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4"/>
    <sheet state="hidden" name="dataICM" sheetId="2" r:id="rId5"/>
    <sheet state="hidden" name="Caseslist" sheetId="3" r:id="rId6"/>
    <sheet state="visible" name="DashBoard" sheetId="4" r:id="rId7"/>
    <sheet state="visible" name="Weekly FO Productivity" sheetId="5" r:id="rId8"/>
    <sheet state="visible" name="Daily FO Productivity" sheetId="6" r:id="rId9"/>
    <sheet state="visible" name="barangay_tracker" sheetId="7" r:id="rId10"/>
    <sheet state="visible" name="brgy_target" sheetId="8" r:id="rId11"/>
    <sheet state="hidden" name="SurveyCTO_lookup_sheet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1">
      <text>
        <t xml:space="preserve">day off
	-Eunice Macatual</t>
      </text>
    </comment>
    <comment authorId="0" ref="R8">
      <text>
        <t xml:space="preserve">day off
	-Eunice Macatual</t>
      </text>
    </comment>
    <comment authorId="0" ref="R6">
      <text>
        <t xml:space="preserve">day off
	-Eunice Macatual</t>
      </text>
    </comment>
    <comment authorId="0" ref="T20">
      <text>
        <t xml:space="preserve">half day travel from Capiz to Aklan, half day worked with issue log
	-Eunice Macatual</t>
      </text>
    </comment>
  </commentList>
</comments>
</file>

<file path=xl/sharedStrings.xml><?xml version="1.0" encoding="utf-8"?>
<sst xmlns="http://schemas.openxmlformats.org/spreadsheetml/2006/main" count="23610" uniqueCount="9304">
  <si>
    <t>SubmissionDate</t>
  </si>
  <si>
    <t>starttime</t>
  </si>
  <si>
    <t>endtime</t>
  </si>
  <si>
    <t>caseid</t>
  </si>
  <si>
    <t>duration</t>
  </si>
  <si>
    <t>users</t>
  </si>
  <si>
    <t>fo_id</t>
  </si>
  <si>
    <t>fo_name</t>
  </si>
  <si>
    <t>fc_id</t>
  </si>
  <si>
    <t>fc_name</t>
  </si>
  <si>
    <t>formdef_id</t>
  </si>
  <si>
    <t>KEY</t>
  </si>
  <si>
    <t>icm_treat_status</t>
  </si>
  <si>
    <t>now_complete</t>
  </si>
  <si>
    <t>pub_to_users</t>
  </si>
  <si>
    <t>attempt_status</t>
  </si>
  <si>
    <t>brgy_prefix</t>
  </si>
  <si>
    <t>2025-08-25T03:44:14.435Z</t>
  </si>
  <si>
    <t>2025-08-25T09:46:02.505+08</t>
  </si>
  <si>
    <t>2025-08-25T11:39:10.499+08</t>
  </si>
  <si>
    <t>H030243024</t>
  </si>
  <si>
    <t>team_e,team_f</t>
  </si>
  <si>
    <t>Ramie De Pedro Jr.</t>
  </si>
  <si>
    <t>ICM_follow_up_launch</t>
  </si>
  <si>
    <t>uuid:88f63169-04a1-425d-80ee-7a74fb545cd6</t>
  </si>
  <si>
    <t>For Revisit</t>
  </si>
  <si>
    <t>2025-08-25T11:16:05.243Z</t>
  </si>
  <si>
    <t>2025-08-25T12:12:28.706+08</t>
  </si>
  <si>
    <t>2025-08-25T13:49:18.388+08</t>
  </si>
  <si>
    <t>H030243026</t>
  </si>
  <si>
    <t>uuid:6eda92a2-acc8-464d-ad1a-003ddbea27a7</t>
  </si>
  <si>
    <t>2025-08-25T11:27:47.527Z</t>
  </si>
  <si>
    <t>2025-08-25T09:43:06.445+08</t>
  </si>
  <si>
    <t>2025-08-25T10:57:26.302+08</t>
  </si>
  <si>
    <t>H030243033</t>
  </si>
  <si>
    <t>Mary May</t>
  </si>
  <si>
    <t>uuid:9104839d-1504-4bee-9a8e-5d3470dc3515</t>
  </si>
  <si>
    <t>2025-08-25T11:27:48.291Z</t>
  </si>
  <si>
    <t>2025-08-25T11:09:34.894+08</t>
  </si>
  <si>
    <t>2025-08-25T11:33:15.835+08</t>
  </si>
  <si>
    <t>H030243028</t>
  </si>
  <si>
    <t>uuid:cad5d068-2f50-4629-96a9-aa9a10049d65</t>
  </si>
  <si>
    <t>2025-08-25T11:27:49.103Z</t>
  </si>
  <si>
    <t>2025-08-25T13:50:40.454+08</t>
  </si>
  <si>
    <t>2025-08-25T14:46:00.327+08</t>
  </si>
  <si>
    <t>H030243032</t>
  </si>
  <si>
    <t>uuid:e34a946b-6ae2-4410-9b00-4be58fb58646</t>
  </si>
  <si>
    <t>2025-08-25T11:27:50.003Z</t>
  </si>
  <si>
    <t>2025-08-25T11:33:40.051+08</t>
  </si>
  <si>
    <t>2025-08-25T13:02:44.072+08</t>
  </si>
  <si>
    <t>H030243030</t>
  </si>
  <si>
    <t>uuid:57ee7864-5af7-4b27-a9c5-74a0f3688503</t>
  </si>
  <si>
    <t>2025-08-25T11:30:54.620Z</t>
  </si>
  <si>
    <t>2025-08-25T10:43:25.996+08</t>
  </si>
  <si>
    <t>2025-08-25T12:24:30.899+08</t>
  </si>
  <si>
    <t>H030069008</t>
  </si>
  <si>
    <t>team_c,team_d</t>
  </si>
  <si>
    <t>O3925718</t>
  </si>
  <si>
    <t>Adrian Montecastro Ferrer</t>
  </si>
  <si>
    <t>uuid:f38247e9-7643-463b-abda-ebf64498aba3</t>
  </si>
  <si>
    <t>2025-08-25T11:30:55.574Z</t>
  </si>
  <si>
    <t>2025-08-25T12:33:59.870+08</t>
  </si>
  <si>
    <t>2025-08-25T13:34:43.797+08</t>
  </si>
  <si>
    <t>H030069018</t>
  </si>
  <si>
    <t>uuid:d71e35ba-7321-401b-bcfc-fe5d558766bf</t>
  </si>
  <si>
    <t>2025-08-25T11:39:28.749Z</t>
  </si>
  <si>
    <t>2025-08-25T09:47:39.044+08</t>
  </si>
  <si>
    <t>2025-08-25T10:52:26.911+08</t>
  </si>
  <si>
    <t>H030243034</t>
  </si>
  <si>
    <t>Mary Jean Villaflor</t>
  </si>
  <si>
    <t>uuid:1cfd2ba2-ac29-4e6e-9432-6ca448daf667</t>
  </si>
  <si>
    <t>2025-08-25T11:39:29.904Z</t>
  </si>
  <si>
    <t>2025-08-25T10:58:11.681+08</t>
  </si>
  <si>
    <t>2025-08-25T11:55:05.909+08</t>
  </si>
  <si>
    <t>H030243035</t>
  </si>
  <si>
    <t>uuid:073a64cd-3d88-43d2-b770-d738288430ea</t>
  </si>
  <si>
    <t>2025-08-25T11:41:09.601Z</t>
  </si>
  <si>
    <t>2025-08-25T09:40:38.307+08</t>
  </si>
  <si>
    <t>2025-08-25T10:28:40.598+08</t>
  </si>
  <si>
    <t>H030243021</t>
  </si>
  <si>
    <t>Janet Serafica</t>
  </si>
  <si>
    <t>uuid:b9fba4ae-3912-4ef3-a4e5-f0d97d0a0878</t>
  </si>
  <si>
    <t>2025-08-25T11:41:10.797Z</t>
  </si>
  <si>
    <t>2025-08-25T14:24:57.836+08</t>
  </si>
  <si>
    <t>2025-08-25T15:11:27.387+08</t>
  </si>
  <si>
    <t>H030243029</t>
  </si>
  <si>
    <t>uuid:2020a6c9-7f95-428d-9725-c8f1d80836df</t>
  </si>
  <si>
    <t>2025-08-25T11:41:10.516Z</t>
  </si>
  <si>
    <t>2025-08-25T10:47:36.335+08</t>
  </si>
  <si>
    <t>2025-08-25T11:58:44.588+08</t>
  </si>
  <si>
    <t>H030243019</t>
  </si>
  <si>
    <t>uuid:a75e8214-2e44-45bc-9cdc-dd495acd8186</t>
  </si>
  <si>
    <t>2025-08-25T11:45:56.065Z</t>
  </si>
  <si>
    <t>2025-08-25T12:40:52.852+08</t>
  </si>
  <si>
    <t>2025-08-25T14:07:17.595+08</t>
  </si>
  <si>
    <t>H030243023</t>
  </si>
  <si>
    <t>Aila Eli</t>
  </si>
  <si>
    <t>uuid:24422a76-d8a3-4b2b-ab3c-86901dd0bb0d</t>
  </si>
  <si>
    <t>2025-08-25T11:46:07.603Z</t>
  </si>
  <si>
    <t>2025-08-25T09:47:34.923+08</t>
  </si>
  <si>
    <t>2025-08-25T12:35:25.780+08</t>
  </si>
  <si>
    <t>H030243022</t>
  </si>
  <si>
    <t>uuid:f96ead38-16c8-403a-811e-b5d65b115103</t>
  </si>
  <si>
    <t>2025-08-25T12:36:06.336Z</t>
  </si>
  <si>
    <t>2025-08-25T10:50:13.980+08</t>
  </si>
  <si>
    <t>2025-08-25T11:53:45.055+08</t>
  </si>
  <si>
    <t>H030069016</t>
  </si>
  <si>
    <t>M6491032</t>
  </si>
  <si>
    <t>Rosevil Tayo Desamparado</t>
  </si>
  <si>
    <t>uuid:266d51e5-4b45-447a-a197-3569494ac592</t>
  </si>
  <si>
    <t>2025-08-25T12:36:07.029Z</t>
  </si>
  <si>
    <t>2025-08-25T12:09:13.476+08</t>
  </si>
  <si>
    <t>2025-08-25T13:22:13.466+08</t>
  </si>
  <si>
    <t>H030069025</t>
  </si>
  <si>
    <t>uuid:3b694f49-86e2-4ed0-80b7-c466061f9b07</t>
  </si>
  <si>
    <t>2025-08-25T12:39:08.165Z</t>
  </si>
  <si>
    <t>2025-08-25T14:14:26.498+08</t>
  </si>
  <si>
    <t>2025-08-25T15:13:24.111+08</t>
  </si>
  <si>
    <t>H030069024</t>
  </si>
  <si>
    <t>K8623174</t>
  </si>
  <si>
    <t>Marielle Kaye Ignacio Alonzo</t>
  </si>
  <si>
    <t>uuid:145b1003-8109-4574-970a-95ed2d909eb3</t>
  </si>
  <si>
    <t>2025-08-25T12:39:09.088Z</t>
  </si>
  <si>
    <t>2025-08-25T11:45:53.359+08</t>
  </si>
  <si>
    <t>2025-08-25T13:49:18.526+08</t>
  </si>
  <si>
    <t>H030069032</t>
  </si>
  <si>
    <t>uuid:42b97ad0-ba6e-4b57-86c9-c7909ae8cd23</t>
  </si>
  <si>
    <t>2025-08-25T12:43:33.517Z</t>
  </si>
  <si>
    <t>2025-08-25T10:42:58.727+08</t>
  </si>
  <si>
    <t>2025-08-25T11:59:55.913+08</t>
  </si>
  <si>
    <t>H030769020</t>
  </si>
  <si>
    <t>team_a,team_b</t>
  </si>
  <si>
    <t>C7502931</t>
  </si>
  <si>
    <t>Jenny Lou Toles Estacio</t>
  </si>
  <si>
    <t>uuid:116eff23-1ca3-4da8-9ce5-ffac5565d9c8</t>
  </si>
  <si>
    <t>2025-08-25T12:43:34.363Z</t>
  </si>
  <si>
    <t>2025-08-25T12:20:50.186+08</t>
  </si>
  <si>
    <t>2025-08-25T20:43:20.307+08</t>
  </si>
  <si>
    <t>H030769019</t>
  </si>
  <si>
    <t>uuid:4ae2d469-0e48-4ec1-94d4-35ee3740c331</t>
  </si>
  <si>
    <t>2025-08-25T12:48:30.448Z</t>
  </si>
  <si>
    <t>2025-08-25T12:00:40.347+08</t>
  </si>
  <si>
    <t>2025-08-25T13:44:32.423+08</t>
  </si>
  <si>
    <t>H030069030</t>
  </si>
  <si>
    <t>Trixie Marie</t>
  </si>
  <si>
    <t>uuid:1bd1ec62-c4ff-415e-b7cf-75fc68e2b664</t>
  </si>
  <si>
    <t>2025-08-25T12:48:31.574Z</t>
  </si>
  <si>
    <t>2025-08-25T11:27:37.648+08</t>
  </si>
  <si>
    <t>2025-08-25T14:28:16.808+08</t>
  </si>
  <si>
    <t>H030069029</t>
  </si>
  <si>
    <t>uuid:7e723010-4697-4124-a588-ef9363a32f78</t>
  </si>
  <si>
    <t>2025-08-25T12:56:52.939Z</t>
  </si>
  <si>
    <t>2025-08-25T11:15:39.664+08</t>
  </si>
  <si>
    <t>2025-08-25T12:28:42.558+08</t>
  </si>
  <si>
    <t>H030769032</t>
  </si>
  <si>
    <t>H2846135</t>
  </si>
  <si>
    <t>Annalou Empanado Encontro</t>
  </si>
  <si>
    <t>uuid:85240357-29ef-4b76-8a8d-40ffe41c35f3</t>
  </si>
  <si>
    <t>2025-08-25T12:56:54.394Z</t>
  </si>
  <si>
    <t>2025-08-25T13:02:15.085+08</t>
  </si>
  <si>
    <t>2025-08-25T14:42:27.567+08</t>
  </si>
  <si>
    <t>H030769025</t>
  </si>
  <si>
    <t>uuid:8126eeb9-d7d4-44c3-85ab-1b265f9291f9</t>
  </si>
  <si>
    <t>2025-08-25T12:59:42.771Z</t>
  </si>
  <si>
    <t>2025-08-25T11:04:38.772+08</t>
  </si>
  <si>
    <t>2025-08-25T12:35:54.803+08</t>
  </si>
  <si>
    <t>H030769033</t>
  </si>
  <si>
    <t>D1284067</t>
  </si>
  <si>
    <t>Mariel Del Rio</t>
  </si>
  <si>
    <t>uuid:8a2837dc-c05e-4e4c-a4bc-1f427e577834</t>
  </si>
  <si>
    <t>2025-08-25T12:59:43.474Z</t>
  </si>
  <si>
    <t>2025-08-25T12:54:32.784+08</t>
  </si>
  <si>
    <t>2025-08-25T13:57:22.634+08</t>
  </si>
  <si>
    <t>H030769026</t>
  </si>
  <si>
    <t>uuid:ff342c15-95e3-49c9-b146-eff3e91b745e</t>
  </si>
  <si>
    <t>2025-08-25T13:01:45.657Z</t>
  </si>
  <si>
    <t>2025-08-25T10:51:56.030+08</t>
  </si>
  <si>
    <t>2025-08-25T12:07:07.490+08</t>
  </si>
  <si>
    <t>H030769030</t>
  </si>
  <si>
    <t>F3051749</t>
  </si>
  <si>
    <t>Elenita Gicos De La Pe�a</t>
  </si>
  <si>
    <t>uuid:38b5833c-9344-4b4a-998a-337f4703ab45</t>
  </si>
  <si>
    <t>2025-08-25T13:01:46.314Z</t>
  </si>
  <si>
    <t>2025-08-25T12:42:08.772+08</t>
  </si>
  <si>
    <t>2025-08-25T15:24:32.435+08</t>
  </si>
  <si>
    <t>H030769027</t>
  </si>
  <si>
    <t>uuid:80a6dda2-4464-4ccd-a7a4-271e33f84dd4</t>
  </si>
  <si>
    <t>2025-08-25T13:05:50.173Z</t>
  </si>
  <si>
    <t>2025-08-25T11:35:05.171+08</t>
  </si>
  <si>
    <t>2025-08-25T13:07:38.693+08</t>
  </si>
  <si>
    <t>H030069028</t>
  </si>
  <si>
    <t>L2057896</t>
  </si>
  <si>
    <t>Franz Reoben Posadas Geneblaza</t>
  </si>
  <si>
    <t>uuid:c2f9b047-a842-4ce4-91b6-4c950e6c2db1</t>
  </si>
  <si>
    <t>2025-08-25T13:05:50.897Z</t>
  </si>
  <si>
    <t>2025-08-25T13:08:02.622+08</t>
  </si>
  <si>
    <t>2025-08-25T14:06:12.207+08</t>
  </si>
  <si>
    <t>H030069034</t>
  </si>
  <si>
    <t>uuid:6f1b7c3d-ed24-4e46-a3bb-d915a23e2360</t>
  </si>
  <si>
    <t>2025-08-25T13:05:51.304Z</t>
  </si>
  <si>
    <t>2025-08-25T14:06:34.102+08</t>
  </si>
  <si>
    <t>2025-08-25T14:55:57.911+08</t>
  </si>
  <si>
    <t>H030069027</t>
  </si>
  <si>
    <t>uuid:868bf885-7f49-4282-8088-c85819cd8cf5</t>
  </si>
  <si>
    <t>2025-08-25T13:22:54.810Z</t>
  </si>
  <si>
    <t>2025-08-25T11:05:44.806+08</t>
  </si>
  <si>
    <t>2025-08-25T17:22:38.953+08</t>
  </si>
  <si>
    <t>H030069026</t>
  </si>
  <si>
    <t>N7814260</t>
  </si>
  <si>
    <t>Jemma Marie Tillo</t>
  </si>
  <si>
    <t>uuid:283e3b8f-3953-460f-a65c-af903184a208</t>
  </si>
  <si>
    <t>2025-08-25T13:22:55.304Z</t>
  </si>
  <si>
    <t>2025-08-25T13:51:15.147+08</t>
  </si>
  <si>
    <t>2025-08-25T14:52:27.078+08</t>
  </si>
  <si>
    <t>H030069017</t>
  </si>
  <si>
    <t>uuid:924acf84-80db-4934-9e34-f80ce2ad0456</t>
  </si>
  <si>
    <t>2025-08-25T13:30:12.654Z</t>
  </si>
  <si>
    <t>2025-08-25T10:37:26.605+08</t>
  </si>
  <si>
    <t>2025-08-25T11:46:57.060+08</t>
  </si>
  <si>
    <t>H030769024</t>
  </si>
  <si>
    <t>B8193462</t>
  </si>
  <si>
    <t>Mark Lorens Mendoza Gilongo</t>
  </si>
  <si>
    <t>uuid:d63e36b0-f056-4066-8774-13269f78cb0a</t>
  </si>
  <si>
    <t>2025-08-25T13:30:13.220Z</t>
  </si>
  <si>
    <t>2025-08-25T12:01:36.894+08</t>
  </si>
  <si>
    <t>2025-08-25T14:21:48.508+08</t>
  </si>
  <si>
    <t>H030769035</t>
  </si>
  <si>
    <t>uuid:dfa5fb38-71e2-460e-8482-f37cf27d14c0</t>
  </si>
  <si>
    <t>2025-08-25T13:33:58.709Z</t>
  </si>
  <si>
    <t>2025-08-25T10:56:22.095+08</t>
  </si>
  <si>
    <t>2025-08-25T12:04:44.958+08</t>
  </si>
  <si>
    <t>H030769016</t>
  </si>
  <si>
    <t>G5472901</t>
  </si>
  <si>
    <t>Wellyn Grace Alaban Parcia</t>
  </si>
  <si>
    <t>uuid:13cb56f1-398f-4073-addb-4b8de1e6ade8</t>
  </si>
  <si>
    <t>2025-08-25T13:34:06.558Z</t>
  </si>
  <si>
    <t>2025-08-25T12:18:48.162+08</t>
  </si>
  <si>
    <t>2025-08-25T13:46:02.164+08</t>
  </si>
  <si>
    <t>H030769018</t>
  </si>
  <si>
    <t>uuid:5365d0a5-988f-441c-926c-7836daaa3e0d</t>
  </si>
  <si>
    <t>2025-08-25T13:36:15.090Z</t>
  </si>
  <si>
    <t>2025-08-25T14:27:59.282+08</t>
  </si>
  <si>
    <t>2025-08-25T21:30:46.472+08</t>
  </si>
  <si>
    <t>H030769028</t>
  </si>
  <si>
    <t>Roland A. Bandiola jr</t>
  </si>
  <si>
    <t>uuid:51d96826-485a-4c0e-ac5f-a46f8c51151c</t>
  </si>
  <si>
    <t>2025-08-25T13:36:16.341Z</t>
  </si>
  <si>
    <t>2025-08-25T12:06:33.837+08</t>
  </si>
  <si>
    <t>2025-08-25T13:41:43.096+08</t>
  </si>
  <si>
    <t>H030769023</t>
  </si>
  <si>
    <t>uuid:fdde6473-5322-4344-a59a-38801126a3e0</t>
  </si>
  <si>
    <t>2025-08-25T13:36:16.953Z</t>
  </si>
  <si>
    <t>2025-08-25T09:46:41.105+08</t>
  </si>
  <si>
    <t>2025-08-25T11:52:56.943+08</t>
  </si>
  <si>
    <t>H030769029</t>
  </si>
  <si>
    <t>uuid:4b76266f-9aca-4c50-ae51-58c49f305e0a</t>
  </si>
  <si>
    <t>2025-08-25T14:30:50.430Z</t>
  </si>
  <si>
    <t>2025-08-25T12:54:53.039+08</t>
  </si>
  <si>
    <t>2025-08-25T14:20:53.301+08</t>
  </si>
  <si>
    <t>H030069021</t>
  </si>
  <si>
    <t>P1068432</t>
  </si>
  <si>
    <t>Mark Daniel Balagao Benson</t>
  </si>
  <si>
    <t>uuid:192766e2-e183-4762-962e-16fd4a4c290b</t>
  </si>
  <si>
    <t>2025-08-25T14:30:49.751Z</t>
  </si>
  <si>
    <t>2025-08-25T10:41:34.544+08</t>
  </si>
  <si>
    <t>2025-08-25T12:40:04.683+08</t>
  </si>
  <si>
    <t>H030069019</t>
  </si>
  <si>
    <t>uuid:d69dbb30-9743-414c-acf9-d1c496853518</t>
  </si>
  <si>
    <t>2025-08-25T22:11:08.185Z</t>
  </si>
  <si>
    <t>2025-08-25T12:19:01.348+08</t>
  </si>
  <si>
    <t>2025-08-25T13:50:59.230+08</t>
  </si>
  <si>
    <t>H030243016</t>
  </si>
  <si>
    <t>Marvin Mondia</t>
  </si>
  <si>
    <t>uuid:1a6be4c0-fb60-4b11-a48a-07d2926cc897</t>
  </si>
  <si>
    <t>2025-08-25T22:11:09.134Z</t>
  </si>
  <si>
    <t>2025-08-25T14:16:29.962+08</t>
  </si>
  <si>
    <t>2025-08-25T14:54:55.516+08</t>
  </si>
  <si>
    <t>H030243017</t>
  </si>
  <si>
    <t>uuid:f43997e6-05c1-4e21-af12-79a5f8bd28ab</t>
  </si>
  <si>
    <t>2025-08-25T22:11:10.104Z</t>
  </si>
  <si>
    <t>2025-08-25T09:53:42.327+08</t>
  </si>
  <si>
    <t>2025-08-26T06:10:20.714+08</t>
  </si>
  <si>
    <t>H030243018</t>
  </si>
  <si>
    <t>uuid:733acfa3-7d91-4b9e-8a37-31bbe4eac15a</t>
  </si>
  <si>
    <t>2025-08-26T09:58:55.348Z</t>
  </si>
  <si>
    <t>2025-08-26T09:37:13.487+08</t>
  </si>
  <si>
    <t>2025-08-26T10:52:17.207+08</t>
  </si>
  <si>
    <t>H019505030</t>
  </si>
  <si>
    <t>team_e</t>
  </si>
  <si>
    <t>uuid:d36c3d46-8c0e-4564-ae1f-173151184948</t>
  </si>
  <si>
    <t>2025-08-26T09:58:56.970Z</t>
  </si>
  <si>
    <t>2025-08-26T11:10:24.428+08</t>
  </si>
  <si>
    <t>2025-08-26T11:55:14.432+08</t>
  </si>
  <si>
    <t>H019505016</t>
  </si>
  <si>
    <t>uuid:d936c41a-d5ff-4cff-8498-c5f423b030b7</t>
  </si>
  <si>
    <t>2025-08-26T09:58:57.744Z</t>
  </si>
  <si>
    <t>2025-08-26T15:47:16.367+08</t>
  </si>
  <si>
    <t>2025-08-26T16:21:36.045+08</t>
  </si>
  <si>
    <t>H019505029</t>
  </si>
  <si>
    <t>uuid:c9dddf31-da43-42ba-8e6d-5c0cc7979c02</t>
  </si>
  <si>
    <t>2025-08-26T11:08:03.143Z</t>
  </si>
  <si>
    <t>2025-08-26T10:39:43.128+08</t>
  </si>
  <si>
    <t>2025-08-26T12:44:02.164+08</t>
  </si>
  <si>
    <t>H019505033</t>
  </si>
  <si>
    <t>S2671943</t>
  </si>
  <si>
    <t>uuid:071d2c05-5c82-47af-927e-2bcc24f7cb02</t>
  </si>
  <si>
    <t>2025-08-26T11:08:06.599Z</t>
  </si>
  <si>
    <t>2025-08-26T15:34:06.981+08</t>
  </si>
  <si>
    <t>2025-08-26T16:54:03.202+08</t>
  </si>
  <si>
    <t>H019505025</t>
  </si>
  <si>
    <t>uuid:4f30663e-2a88-4608-b391-ba34f80fcd52</t>
  </si>
  <si>
    <t>2025-08-26T11:22:52.641Z</t>
  </si>
  <si>
    <t>2025-08-26T09:04:29.066+08</t>
  </si>
  <si>
    <t>2025-08-26T10:29:49.024+08</t>
  </si>
  <si>
    <t>H019575018</t>
  </si>
  <si>
    <t>team_f</t>
  </si>
  <si>
    <t>uuid:7c01325f-b8c0-4df4-92be-84af0f421782</t>
  </si>
  <si>
    <t>2025-08-26T11:22:57.233Z</t>
  </si>
  <si>
    <t>2025-08-26T12:07:31.250+08</t>
  </si>
  <si>
    <t>2025-08-26T13:04:02.387+08</t>
  </si>
  <si>
    <t>H019575021</t>
  </si>
  <si>
    <t>uuid:032e5b55-effa-4822-9a8f-f3c6df610b9f</t>
  </si>
  <si>
    <t>2025-08-26T11:22:56.908Z</t>
  </si>
  <si>
    <t>2025-08-26T10:48:54.928+08</t>
  </si>
  <si>
    <t>2025-08-26T11:40:32.851+08</t>
  </si>
  <si>
    <t>H019575031</t>
  </si>
  <si>
    <t>uuid:43ab4656-dc70-490a-9328-fc9b4c976d79</t>
  </si>
  <si>
    <t>2025-08-26T11:22:57.615Z</t>
  </si>
  <si>
    <t>2025-08-26T14:42:56.856+08</t>
  </si>
  <si>
    <t>2025-08-26T15:25:24.651+08</t>
  </si>
  <si>
    <t>H019575027</t>
  </si>
  <si>
    <t>uuid:fe625fa0-ca74-4056-b014-1c88e8ce8115</t>
  </si>
  <si>
    <t>2025-08-26T11:24:06.197Z</t>
  </si>
  <si>
    <t>2025-08-26T10:21:44.001+08</t>
  </si>
  <si>
    <t>2025-08-26T11:52:13.389+08</t>
  </si>
  <si>
    <t>H019505017</t>
  </si>
  <si>
    <t>uuid:65370b6c-e141-4952-8bc9-0284e50504f4</t>
  </si>
  <si>
    <t>2025-08-26T11:24:07.124Z</t>
  </si>
  <si>
    <t>2025-08-26T12:19:42.256+08</t>
  </si>
  <si>
    <t>2025-08-26T14:34:06.869+08</t>
  </si>
  <si>
    <t>H019505018</t>
  </si>
  <si>
    <t>uuid:7377dfb0-8b85-4c23-ae57-e2a3c6f9be40</t>
  </si>
  <si>
    <t>2025-08-26T11:24:07.478Z</t>
  </si>
  <si>
    <t>2025-08-26T15:28:39.292+08</t>
  </si>
  <si>
    <t>2025-08-26T17:10:13.856+08</t>
  </si>
  <si>
    <t>H019505019</t>
  </si>
  <si>
    <t>uuid:c784a9d9-714b-4aed-b5ef-e4326ed8a9b4</t>
  </si>
  <si>
    <t>2025-08-26T11:26:43.332Z</t>
  </si>
  <si>
    <t>2025-08-26T08:37:19.402+08</t>
  </si>
  <si>
    <t>2025-08-26T10:09:21.905+08</t>
  </si>
  <si>
    <t>H030255019</t>
  </si>
  <si>
    <t>team_d</t>
  </si>
  <si>
    <t>uuid:5bf5cf3f-6c25-4e54-8884-ef3b9d73ff1e</t>
  </si>
  <si>
    <t>2025-08-26T11:26:44.315Z</t>
  </si>
  <si>
    <t>2025-08-26T12:34:04.911+08</t>
  </si>
  <si>
    <t>2025-08-26T13:34:39.925+08</t>
  </si>
  <si>
    <t>H030255022</t>
  </si>
  <si>
    <t>uuid:9d903af7-214b-40c0-83c5-1d449d7e4021</t>
  </si>
  <si>
    <t>2025-08-26T11:26:43.832Z</t>
  </si>
  <si>
    <t>2025-08-26T10:36:23.785+08</t>
  </si>
  <si>
    <t>2025-08-26T11:38:27.251+08</t>
  </si>
  <si>
    <t>H030255017</t>
  </si>
  <si>
    <t>uuid:b434c0b7-0691-473b-8aea-da12e7c9c109</t>
  </si>
  <si>
    <t>2025-08-26T11:36:13.299Z</t>
  </si>
  <si>
    <t>2025-08-26T09:22:19.133+08</t>
  </si>
  <si>
    <t>2025-08-26T10:55:35.602+08</t>
  </si>
  <si>
    <t>H019575016</t>
  </si>
  <si>
    <t>uuid:8ba7bb66-e109-4f41-98e4-2d310f4be2ee</t>
  </si>
  <si>
    <t>2025-08-26T11:36:14.355Z</t>
  </si>
  <si>
    <t>2025-08-26T11:44:48.071+08</t>
  </si>
  <si>
    <t>2025-08-26T14:03:44.150+08</t>
  </si>
  <si>
    <t>H019575019</t>
  </si>
  <si>
    <t>uuid:c4af318e-52d4-4659-a2b8-e6f3694729c6</t>
  </si>
  <si>
    <t>2025-08-26T11:36:15.524Z</t>
  </si>
  <si>
    <t>2025-08-26T14:20:06.142+08</t>
  </si>
  <si>
    <t>2025-08-26T15:22:29.017+08</t>
  </si>
  <si>
    <t>H019575025</t>
  </si>
  <si>
    <t>uuid:a46d1b3d-0f17-4c38-a71a-3692b662bf71</t>
  </si>
  <si>
    <t>2025-08-26T11:38:31.026Z</t>
  </si>
  <si>
    <t>2025-08-26T09:21:14.740+08</t>
  </si>
  <si>
    <t>2025-08-26T09:57:22.910+08</t>
  </si>
  <si>
    <t>H030375033</t>
  </si>
  <si>
    <t>team_c</t>
  </si>
  <si>
    <t>uuid:363937bc-9358-4b59-8b07-e719cac9f6cc</t>
  </si>
  <si>
    <t>2025-08-26T11:38:31.809Z</t>
  </si>
  <si>
    <t>2025-08-26T10:30:05.729+08</t>
  </si>
  <si>
    <t>2025-08-26T11:14:17.820+08</t>
  </si>
  <si>
    <t>H030375035</t>
  </si>
  <si>
    <t>uuid:908b063b-c49b-422a-8994-d3a3b4511318</t>
  </si>
  <si>
    <t>2025-08-26T11:38:32.543Z</t>
  </si>
  <si>
    <t>2025-08-26T14:00:45.631+08</t>
  </si>
  <si>
    <t>2025-08-26T15:04:47.241+08</t>
  </si>
  <si>
    <t>H030375028</t>
  </si>
  <si>
    <t>uuid:c216e14f-58e3-489d-8968-67110ea553bf</t>
  </si>
  <si>
    <t>2025-08-26T11:39:07.913Z</t>
  </si>
  <si>
    <t>2025-08-26T12:40:35.421+08</t>
  </si>
  <si>
    <t>2025-08-26T13:26:13.922+08</t>
  </si>
  <si>
    <t>H030821016</t>
  </si>
  <si>
    <t>team_b</t>
  </si>
  <si>
    <t>uuid:4a8904f2-605a-450c-b36c-baf205fd465a</t>
  </si>
  <si>
    <t>2025-08-26T11:39:09.005Z</t>
  </si>
  <si>
    <t>2025-08-26T09:21:26.385+08</t>
  </si>
  <si>
    <t>2025-08-26T09:49:02.812+08</t>
  </si>
  <si>
    <t>H030821025</t>
  </si>
  <si>
    <t>uuid:2f277270-3880-4813-ba21-a246bd763ac7</t>
  </si>
  <si>
    <t>2025-08-26T11:39:09.495Z</t>
  </si>
  <si>
    <t>2025-08-26T10:23:05.498+08</t>
  </si>
  <si>
    <t>2025-08-26T11:24:46.774+08</t>
  </si>
  <si>
    <t>H030821019</t>
  </si>
  <si>
    <t>uuid:56b551cd-9ceb-4b70-9240-249a8e1415aa</t>
  </si>
  <si>
    <t>2025-08-26T11:39:10.019Z</t>
  </si>
  <si>
    <t>2025-08-26T13:53:14.409+08</t>
  </si>
  <si>
    <t>2025-08-26T15:23:27.371+08</t>
  </si>
  <si>
    <t>H030821032</t>
  </si>
  <si>
    <t>uuid:58086221-18ec-4bb3-abba-e1d44fb89c54</t>
  </si>
  <si>
    <t>2025-08-26T11:41:46.367Z</t>
  </si>
  <si>
    <t>2025-08-26T15:07:52.702+08</t>
  </si>
  <si>
    <t>2025-08-26T16:36:00.433+08</t>
  </si>
  <si>
    <t>H030821018</t>
  </si>
  <si>
    <t>uuid:9b3f5c03-c6a1-40ec-85ce-ae2e77d179ce</t>
  </si>
  <si>
    <t>2025-08-26T11:41:52.820Z</t>
  </si>
  <si>
    <t>2025-08-26T12:41:45.797+08</t>
  </si>
  <si>
    <t>2025-08-26T13:52:28.381+08</t>
  </si>
  <si>
    <t>H030821021</t>
  </si>
  <si>
    <t>uuid:e59250f2-9a4e-427e-afa3-f6737833abe0</t>
  </si>
  <si>
    <t>2025-08-26T11:41:58.380Z</t>
  </si>
  <si>
    <t>2025-08-26T10:13:26.401+08</t>
  </si>
  <si>
    <t>2025-08-26T11:20:50.280+08</t>
  </si>
  <si>
    <t>H030821027</t>
  </si>
  <si>
    <t>uuid:eed92d7d-8e7b-4aa1-a7ef-5c7fb7284b0d</t>
  </si>
  <si>
    <t>2025-08-26T11:49:52.293Z</t>
  </si>
  <si>
    <t>2025-08-26T09:10:02.983+08</t>
  </si>
  <si>
    <t>2025-08-26T10:19:12.659+08</t>
  </si>
  <si>
    <t>H019575020</t>
  </si>
  <si>
    <t>uuid:58eb9512-174e-4e57-ac68-bdc54e35ccff</t>
  </si>
  <si>
    <t>2025-08-26T11:49:57.186Z</t>
  </si>
  <si>
    <t>2025-08-26T10:49:45.840+08</t>
  </si>
  <si>
    <t>2025-08-26T11:26:02.653+08</t>
  </si>
  <si>
    <t>H019575026</t>
  </si>
  <si>
    <t>uuid:8acfd982-42c7-419f-b49e-7181e4565315</t>
  </si>
  <si>
    <t>2025-08-26T11:49:59.033Z</t>
  </si>
  <si>
    <t>2025-08-26T11:46:16.615+08</t>
  </si>
  <si>
    <t>2025-08-26T12:45:40.651+08</t>
  </si>
  <si>
    <t>H019575034</t>
  </si>
  <si>
    <t>uuid:12b3a57c-fd26-4b8c-ad18-7e3d06474f55</t>
  </si>
  <si>
    <t>2025-08-26T11:50:00.767Z</t>
  </si>
  <si>
    <t>2025-08-26T13:03:41.322+08</t>
  </si>
  <si>
    <t>2025-08-26T13:31:09.495+08</t>
  </si>
  <si>
    <t>H019575029</t>
  </si>
  <si>
    <t>uuid:7563ef54-50b3-4c2c-bd0a-83855ac6ef2d</t>
  </si>
  <si>
    <t>2025-08-26T12:02:08.693Z</t>
  </si>
  <si>
    <t>2025-08-26T08:46:35.200+08</t>
  </si>
  <si>
    <t>2025-08-26T09:32:21.149+08</t>
  </si>
  <si>
    <t>H030255021</t>
  </si>
  <si>
    <t>uuid:01f9ef66-2f3f-40c9-aea4-6331617d5eac</t>
  </si>
  <si>
    <t>2025-08-26T12:02:10.994Z</t>
  </si>
  <si>
    <t>2025-08-26T12:41:28.004+08</t>
  </si>
  <si>
    <t>2025-08-26T13:42:00.082+08</t>
  </si>
  <si>
    <t>H030255024</t>
  </si>
  <si>
    <t>uuid:35734219-54b7-4e99-b638-763fc08d6334</t>
  </si>
  <si>
    <t>2025-08-26T12:02:11.603Z</t>
  </si>
  <si>
    <t>2025-08-26T14:44:07.897+08</t>
  </si>
  <si>
    <t>2025-08-26T20:01:22.378+08</t>
  </si>
  <si>
    <t>H030255030</t>
  </si>
  <si>
    <t>uuid:02fa38ad-b0d6-4968-9943-cfc2590f5c76</t>
  </si>
  <si>
    <t>2025-08-26T12:02:12.007Z</t>
  </si>
  <si>
    <t>2025-08-26T10:10:06.960+08</t>
  </si>
  <si>
    <t>2025-08-26T11:48:11.933+08</t>
  </si>
  <si>
    <t>H030255020</t>
  </si>
  <si>
    <t>uuid:cc3f6fee-6bcb-4b1d-b0b2-0928d49912d3</t>
  </si>
  <si>
    <t>2025-08-26T12:09:12.194Z</t>
  </si>
  <si>
    <t>2025-08-26T09:11:13.015+08</t>
  </si>
  <si>
    <t>2025-08-26T10:09:58.704+08</t>
  </si>
  <si>
    <t>H030375034</t>
  </si>
  <si>
    <t>J4315980</t>
  </si>
  <si>
    <t>Trixie Marie Jardeleza Saber</t>
  </si>
  <si>
    <t>uuid:50a3f086-433c-4537-9738-54999f8c1386</t>
  </si>
  <si>
    <t>2025-08-26T12:09:13.217Z</t>
  </si>
  <si>
    <t>2025-08-26T13:10:30.874+08</t>
  </si>
  <si>
    <t>2025-08-26T14:10:02.029+08</t>
  </si>
  <si>
    <t>H030375021</t>
  </si>
  <si>
    <t>uuid:7848d247-9f4e-46fb-bf19-46827b0d3112</t>
  </si>
  <si>
    <t>2025-10-02T08:53:10.164Z</t>
  </si>
  <si>
    <t>2025-10-02T07:48:18.676+08</t>
  </si>
  <si>
    <t>2025-10-02T09:05:50.380+08</t>
  </si>
  <si>
    <t>H030375027</t>
  </si>
  <si>
    <t>I9761042</t>
  </si>
  <si>
    <t>uuid:97da6157-b897-4810-a972-a529b0e999df</t>
  </si>
  <si>
    <t>Completed</t>
  </si>
  <si>
    <t>2025-08-26T12:09:16.296Z</t>
  </si>
  <si>
    <t>2025-08-26T10:40:31.686+08</t>
  </si>
  <si>
    <t>2025-08-26T12:12:10.901+08</t>
  </si>
  <si>
    <t>H030375022</t>
  </si>
  <si>
    <t>uuid:e1f4bdff-2fb6-4ca3-8baf-2b647e5310fe</t>
  </si>
  <si>
    <t>2025-08-26T12:10:25.354Z</t>
  </si>
  <si>
    <t>2025-08-26T08:59:51.028+08</t>
  </si>
  <si>
    <t>2025-08-26T10:19:07.314+08</t>
  </si>
  <si>
    <t>H030129080</t>
  </si>
  <si>
    <t>team_a</t>
  </si>
  <si>
    <t>uuid:408aa71e-ddb1-439a-bffc-dfc47ed4214a</t>
  </si>
  <si>
    <t>2025-08-26T12:10:32.084Z</t>
  </si>
  <si>
    <t>2025-08-26T10:29:03.318+08</t>
  </si>
  <si>
    <t>2025-08-26T20:03:59.758+08</t>
  </si>
  <si>
    <t>H030129017</t>
  </si>
  <si>
    <t>uuid:50cff2f8-6f27-4810-9b15-4bef7c2b2ac0</t>
  </si>
  <si>
    <t>2025-08-26T12:12:24.842Z</t>
  </si>
  <si>
    <t>2025-08-26T08:54:18.601+08</t>
  </si>
  <si>
    <t>2025-08-26T17:26:01.246+08</t>
  </si>
  <si>
    <t>H030129035</t>
  </si>
  <si>
    <t>uuid:98878ac2-5268-4718-83f6-74300ac0575f</t>
  </si>
  <si>
    <t>2025-08-26T12:12:25.650Z</t>
  </si>
  <si>
    <t>2025-08-26T10:28:47.974+08</t>
  </si>
  <si>
    <t>2025-08-26T19:38:47.654+08</t>
  </si>
  <si>
    <t>H030129016</t>
  </si>
  <si>
    <t>uuid:3b4b4b0d-6e0d-45ff-958f-5c17cdef96d7</t>
  </si>
  <si>
    <t>2025-08-26T12:12:26.249Z</t>
  </si>
  <si>
    <t>2025-08-26T12:34:18.103+08</t>
  </si>
  <si>
    <t>2025-08-26T20:02:36.509+08</t>
  </si>
  <si>
    <t>H030129018</t>
  </si>
  <si>
    <t>uuid:dcfd7a44-a827-455c-8b35-15913138b089</t>
  </si>
  <si>
    <t>2025-08-26T12:17:53.157Z</t>
  </si>
  <si>
    <t>2025-08-26T08:59:31.473+08</t>
  </si>
  <si>
    <t>2025-08-26T10:03:25.058+08</t>
  </si>
  <si>
    <t>H030129023</t>
  </si>
  <si>
    <t>uuid:d2e38c7e-30ed-4311-a651-5fbd432bf495</t>
  </si>
  <si>
    <t>2025-08-26T12:17:54.243Z</t>
  </si>
  <si>
    <t>2025-08-26T11:32:21.835+08</t>
  </si>
  <si>
    <t>2025-08-26T20:04:49.525+08</t>
  </si>
  <si>
    <t>H030129025</t>
  </si>
  <si>
    <t>uuid:05a33630-2f0a-4cdb-9b57-5af15b62ccea</t>
  </si>
  <si>
    <t>2025-08-26T12:17:53.843Z</t>
  </si>
  <si>
    <t>2025-08-26T10:05:24.887+08</t>
  </si>
  <si>
    <t>2025-08-26T11:32:03.006+08</t>
  </si>
  <si>
    <t>H030129020</t>
  </si>
  <si>
    <t>uuid:f28fb750-a7a8-4934-98a7-2ab3cb2171aa</t>
  </si>
  <si>
    <t>2025-08-26T12:25:23.404Z</t>
  </si>
  <si>
    <t>2025-08-26T08:54:05.233+08</t>
  </si>
  <si>
    <t>2025-08-26T10:02:57.412+08</t>
  </si>
  <si>
    <t>H030375019</t>
  </si>
  <si>
    <t>uuid:eadebf48-29b5-45fe-8fa6-3baf674db291</t>
  </si>
  <si>
    <t>2025-08-26T12:25:23.633Z</t>
  </si>
  <si>
    <t>2025-08-26T10:22:01.122+08</t>
  </si>
  <si>
    <t>2025-08-26T11:02:18.379+08</t>
  </si>
  <si>
    <t>H030375020</t>
  </si>
  <si>
    <t>uuid:082fda3b-9577-4f20-8890-02f400c52fbc</t>
  </si>
  <si>
    <t>2025-08-26T12:25:23.885Z</t>
  </si>
  <si>
    <t>2025-08-26T14:01:27.527+08</t>
  </si>
  <si>
    <t>2025-08-26T15:09:05.585+08</t>
  </si>
  <si>
    <t>H030375029</t>
  </si>
  <si>
    <t>uuid:1b094e95-dee5-474e-b109-91f94150440e</t>
  </si>
  <si>
    <t>2025-08-26T12:25:24.427Z</t>
  </si>
  <si>
    <t>2025-08-26T15:50:38.673+08</t>
  </si>
  <si>
    <t>2025-08-26T16:40:45.377+08</t>
  </si>
  <si>
    <t>H030375024</t>
  </si>
  <si>
    <t>uuid:3d9e475a-3752-4a9c-80af-35f5c6336460</t>
  </si>
  <si>
    <t>2025-08-26T12:49:18.795Z</t>
  </si>
  <si>
    <t>2025-08-26T09:21:36.295+08</t>
  </si>
  <si>
    <t>2025-08-26T10:31:19.117+08</t>
  </si>
  <si>
    <t>H030821022</t>
  </si>
  <si>
    <t>uuid:846ba56f-7615-4788-be8a-d4a06af12dc5</t>
  </si>
  <si>
    <t>2025-08-26T12:49:19.569Z</t>
  </si>
  <si>
    <t>2025-08-26T11:15:59.348+08</t>
  </si>
  <si>
    <t>2025-08-26T13:35:23.008+08</t>
  </si>
  <si>
    <t>H030821029</t>
  </si>
  <si>
    <t>uuid:6c789529-9759-457c-b58c-0fcfb88e69f2</t>
  </si>
  <si>
    <t>2025-08-26T12:49:43.438Z</t>
  </si>
  <si>
    <t>2025-08-26T08:56:37.564+08</t>
  </si>
  <si>
    <t>2025-08-26T10:04:20.379+08</t>
  </si>
  <si>
    <t>H030375018</t>
  </si>
  <si>
    <t>uuid:7aaa3266-57b8-4fe6-b26f-29eaebe9fb27</t>
  </si>
  <si>
    <t>2025-08-26T12:49:44.240Z</t>
  </si>
  <si>
    <t>2025-08-26T10:25:55.109+08</t>
  </si>
  <si>
    <t>2025-08-26T11:33:26.078+08</t>
  </si>
  <si>
    <t>H030375016</t>
  </si>
  <si>
    <t>uuid:da916592-bf3e-4048-8eb9-aa58d8ba187d</t>
  </si>
  <si>
    <t>2025-08-26T12:49:44.849Z</t>
  </si>
  <si>
    <t>2025-08-26T13:33:20.218+08</t>
  </si>
  <si>
    <t>2025-08-26T14:52:41.379+08</t>
  </si>
  <si>
    <t>H030375031</t>
  </si>
  <si>
    <t>uuid:acafd5ca-10c5-427e-99a5-5ddfe42b0bc9</t>
  </si>
  <si>
    <t>2025-08-26T12:58:02.796Z</t>
  </si>
  <si>
    <t>2025-08-26T10:46:44.026+08</t>
  </si>
  <si>
    <t>2025-08-26T19:48:18.882+08</t>
  </si>
  <si>
    <t>H030129031</t>
  </si>
  <si>
    <t>uuid:237e6ebb-13b3-49a7-a4fd-b4763611e364</t>
  </si>
  <si>
    <t>2025-08-26T12:58:04.679Z</t>
  </si>
  <si>
    <t>2025-08-26T12:27:59.397+08</t>
  </si>
  <si>
    <t>2025-08-26T20:04:03.240+08</t>
  </si>
  <si>
    <t>H030129026</t>
  </si>
  <si>
    <t>uuid:1d53b517-f67c-4151-aa7b-f2156d3d6e7e</t>
  </si>
  <si>
    <t>2025-08-26T12:58:06.953Z</t>
  </si>
  <si>
    <t>2025-08-26T08:52:48.475+08</t>
  </si>
  <si>
    <t>2025-08-26T20:19:46.614+08</t>
  </si>
  <si>
    <t>H030129032</t>
  </si>
  <si>
    <t>uuid:36dd0af6-4672-4a2d-b677-bed74267df68</t>
  </si>
  <si>
    <t>2025-08-26T13:04:07.984Z</t>
  </si>
  <si>
    <t>2025-08-26T08:46:59.494+08</t>
  </si>
  <si>
    <t>2025-08-26T10:21:23.045+08</t>
  </si>
  <si>
    <t>H030255025</t>
  </si>
  <si>
    <t>uuid:e0369abb-a777-41c8-92ea-4c6fca62ea57</t>
  </si>
  <si>
    <t>2025-08-26T13:04:09.080Z</t>
  </si>
  <si>
    <t>2025-08-26T10:43:31.442+08</t>
  </si>
  <si>
    <t>2025-08-26T12:05:54.451+08</t>
  </si>
  <si>
    <t>H030255023</t>
  </si>
  <si>
    <t>uuid:27d6abb1-078b-47db-aed8-ef3a85b47aa9</t>
  </si>
  <si>
    <t>2025-08-26T13:04:09.869Z</t>
  </si>
  <si>
    <t>2025-08-26T13:27:10.023+08</t>
  </si>
  <si>
    <t>2025-08-26T14:48:30.983+08</t>
  </si>
  <si>
    <t>H030255018</t>
  </si>
  <si>
    <t>uuid:5893957b-51c3-4d77-92f5-f52d7f2109bf</t>
  </si>
  <si>
    <t>2025-08-27T09:25:16.309Z</t>
  </si>
  <si>
    <t>2025-08-27T10:11:04.262+08</t>
  </si>
  <si>
    <t>2025-08-27T11:24:45.638+08</t>
  </si>
  <si>
    <t>H030829032</t>
  </si>
  <si>
    <t>uuid:ac6aea83-f7d1-472c-90e3-1933abb46c89</t>
  </si>
  <si>
    <t>2025-08-27T09:39:35.968Z</t>
  </si>
  <si>
    <t>2025-08-27T09:05:40.520+08</t>
  </si>
  <si>
    <t>2025-08-27T13:25:40.656+08</t>
  </si>
  <si>
    <t>H030670021</t>
  </si>
  <si>
    <t>uuid:30617b00-d866-4a36-8a39-fae458dd5ec3</t>
  </si>
  <si>
    <t>2025-08-27T09:39:36.459Z</t>
  </si>
  <si>
    <t>2025-08-27T12:13:41.280+08</t>
  </si>
  <si>
    <t>2025-08-27T12:57:39.082+08</t>
  </si>
  <si>
    <t>H030670026</t>
  </si>
  <si>
    <t>uuid:99a604f1-9aa4-4c1b-adfa-956025eb798d</t>
  </si>
  <si>
    <t>2025-08-27T09:39:36.724Z</t>
  </si>
  <si>
    <t>2025-08-27T13:57:33.038+08</t>
  </si>
  <si>
    <t>2025-08-27T15:00:28.112+08</t>
  </si>
  <si>
    <t>H030670027</t>
  </si>
  <si>
    <t>uuid:40e1cbf7-2073-49e1-91a9-bd1d7c8436cc</t>
  </si>
  <si>
    <t>2025-08-27T10:17:48.410Z</t>
  </si>
  <si>
    <t>2025-08-27T08:52:53.462+08</t>
  </si>
  <si>
    <t>2025-08-27T10:32:51.804+08</t>
  </si>
  <si>
    <t>H019559024</t>
  </si>
  <si>
    <t>uuid:c63d9a2c-f87e-40a5-a928-927bbfd22bb9</t>
  </si>
  <si>
    <t>2025-08-27T10:17:49.412Z</t>
  </si>
  <si>
    <t>2025-08-27T10:48:27.447+08</t>
  </si>
  <si>
    <t>2025-08-27T12:11:07.132+08</t>
  </si>
  <si>
    <t>H019559029</t>
  </si>
  <si>
    <t>uuid:994bc390-a7d2-44d6-80a5-3ef7028c088f</t>
  </si>
  <si>
    <t>2025-08-27T10:17:51.524Z</t>
  </si>
  <si>
    <t>2025-08-27T13:05:43.958+08</t>
  </si>
  <si>
    <t>2025-08-27T14:31:47.673+08</t>
  </si>
  <si>
    <t>H019559025</t>
  </si>
  <si>
    <t>uuid:216cf92a-ee8c-492e-b00d-7aad334e05c0</t>
  </si>
  <si>
    <t>2025-08-27T10:17:54.729Z</t>
  </si>
  <si>
    <t>2025-08-27T15:24:31.228+08</t>
  </si>
  <si>
    <t>2025-08-27T16:26:47.915+08</t>
  </si>
  <si>
    <t>H019559002</t>
  </si>
  <si>
    <t>uuid:c786474f-95b9-42e7-b579-8a7944700925</t>
  </si>
  <si>
    <t>2025-08-27T10:21:48.149Z</t>
  </si>
  <si>
    <t>2025-08-27T11:05:02.954+08</t>
  </si>
  <si>
    <t>2025-08-27T11:51:15.743+08</t>
  </si>
  <si>
    <t>H030670020</t>
  </si>
  <si>
    <t>uuid:db5d0262-9224-4b98-be44-632086526e9b</t>
  </si>
  <si>
    <t>2025-08-27T10:21:48.900Z</t>
  </si>
  <si>
    <t>2025-08-27T13:05:32.221+08</t>
  </si>
  <si>
    <t>2025-08-27T14:39:42.393+08</t>
  </si>
  <si>
    <t>H030670033</t>
  </si>
  <si>
    <t>uuid:eb170793-5eda-42e4-a321-7d74e2fb2005</t>
  </si>
  <si>
    <t>2025-08-27T10:22:09.191Z</t>
  </si>
  <si>
    <t>2025-08-27T09:19:03.405+08</t>
  </si>
  <si>
    <t>2025-08-27T10:39:03.753+08</t>
  </si>
  <si>
    <t>H030670030</t>
  </si>
  <si>
    <t>uuid:65bdae20-4d50-4a8a-85fa-8bcfe60ca702</t>
  </si>
  <si>
    <t>2025-08-27T10:27:19.186Z</t>
  </si>
  <si>
    <t>2025-08-27T12:23:20.241+08</t>
  </si>
  <si>
    <t>2025-08-27T13:12:59.487+08</t>
  </si>
  <si>
    <t>H030670035</t>
  </si>
  <si>
    <t>uuid:667edb6d-0220-43df-8e7f-05a6d985ef05</t>
  </si>
  <si>
    <t>2025-08-27T10:27:18.581Z</t>
  </si>
  <si>
    <t>2025-08-27T10:35:41.157+08</t>
  </si>
  <si>
    <t>2025-08-27T11:38:40.054+08</t>
  </si>
  <si>
    <t>H030670031</t>
  </si>
  <si>
    <t>uuid:aa793410-08d0-418b-8121-3897b3e14ca1</t>
  </si>
  <si>
    <t>2025-08-27T10:49:42.414Z</t>
  </si>
  <si>
    <t>2025-08-27T12:06:55.333+08</t>
  </si>
  <si>
    <t>2025-08-27T13:02:33.952+08</t>
  </si>
  <si>
    <t>H019728027</t>
  </si>
  <si>
    <t>uuid:7ac14192-4265-402e-9cb6-680e87d265e0</t>
  </si>
  <si>
    <t>2025-08-27T10:49:44.330Z</t>
  </si>
  <si>
    <t>2025-08-27T09:53:03.438+08</t>
  </si>
  <si>
    <t>2025-08-27T10:39:16.377+08</t>
  </si>
  <si>
    <t>H019728018</t>
  </si>
  <si>
    <t>uuid:18e5058b-56ce-4558-9426-0f7d2108b644</t>
  </si>
  <si>
    <t>2025-08-27T10:49:43.724Z</t>
  </si>
  <si>
    <t>2025-08-27T08:46:17.044+08</t>
  </si>
  <si>
    <t>2025-08-27T09:37:20.913+08</t>
  </si>
  <si>
    <t>H019728021</t>
  </si>
  <si>
    <t>uuid:57ec9c80-4108-4613-83ea-f92c424524a7</t>
  </si>
  <si>
    <t>2025-08-27T10:49:45.256Z</t>
  </si>
  <si>
    <t>2025-08-27T14:05:21.729+08</t>
  </si>
  <si>
    <t>2025-08-27T14:42:45.305+08</t>
  </si>
  <si>
    <t>H019728032</t>
  </si>
  <si>
    <t>uuid:52659a4f-b99a-4b16-bbad-c0d70682c591</t>
  </si>
  <si>
    <t>2025-08-27T10:49:44.789Z</t>
  </si>
  <si>
    <t>2025-08-27T11:00:24.073+08</t>
  </si>
  <si>
    <t>2025-08-27T11:51:33.176+08</t>
  </si>
  <si>
    <t>H019728020</t>
  </si>
  <si>
    <t>uuid:ad28e7bd-a319-436d-98a2-2d44bbac7eed</t>
  </si>
  <si>
    <t>2025-08-27T10:52:07.733Z</t>
  </si>
  <si>
    <t>2025-08-27T08:37:13.919+08</t>
  </si>
  <si>
    <t>2025-08-27T09:46:49.402+08</t>
  </si>
  <si>
    <t>H019728031</t>
  </si>
  <si>
    <t>Mary Jean Villaflor (duplicate name received from ICM_follow_up_launch on August 26, 2025 11:49 UTC+00:00; submission key: uuid:58eb9512-174e-4e57-ac68-bdc54e35ccff)</t>
  </si>
  <si>
    <t>uuid:b9e63398-7b37-4987-a0cd-5667459284db</t>
  </si>
  <si>
    <t>2025-08-27T10:52:08.821Z</t>
  </si>
  <si>
    <t>2025-08-27T10:04:16.848+08</t>
  </si>
  <si>
    <t>2025-08-27T10:32:44.919+08</t>
  </si>
  <si>
    <t>H019728035</t>
  </si>
  <si>
    <t>uuid:4a2250c4-5078-49ad-9830-2879f5c3edef</t>
  </si>
  <si>
    <t>2025-08-27T10:52:10.315Z</t>
  </si>
  <si>
    <t>2025-08-27T11:36:36.520+08</t>
  </si>
  <si>
    <t>2025-08-27T12:09:27.612+08</t>
  </si>
  <si>
    <t>H019728023</t>
  </si>
  <si>
    <t>uuid:1dd4003f-5b80-4800-893e-a0db2458cd7a</t>
  </si>
  <si>
    <t>2025-08-27T10:52:09.525Z</t>
  </si>
  <si>
    <t>2025-08-27T10:44:41.676+08</t>
  </si>
  <si>
    <t>2025-08-27T11:18:31.337+08</t>
  </si>
  <si>
    <t>H019728034</t>
  </si>
  <si>
    <t>uuid:2ebd9078-cac0-4075-96b0-30bbc37451fe</t>
  </si>
  <si>
    <t>2025-08-27T11:05:42.137Z</t>
  </si>
  <si>
    <t>2025-08-27T08:41:37.428+08</t>
  </si>
  <si>
    <t>2025-08-27T09:40:23.794+08</t>
  </si>
  <si>
    <t>H030829028</t>
  </si>
  <si>
    <t>uuid:0f6ea60c-1a80-4152-92df-0a6178ff3b89</t>
  </si>
  <si>
    <t>2025-08-27T11:05:43.901Z</t>
  </si>
  <si>
    <t>2025-08-27T10:34:35.636+08</t>
  </si>
  <si>
    <t>2025-08-27T11:08:10.756+08</t>
  </si>
  <si>
    <t>H030829034</t>
  </si>
  <si>
    <t>uuid:b442b7dd-2658-40ae-9030-66413d07c761</t>
  </si>
  <si>
    <t>2025-08-27T11:05:44.603Z</t>
  </si>
  <si>
    <t>2025-08-27T12:30:48.263+08</t>
  </si>
  <si>
    <t>2025-08-27T12:59:55.906+08</t>
  </si>
  <si>
    <t>H030829020</t>
  </si>
  <si>
    <t>uuid:ef561909-c6b3-4ed5-a18f-1bc733e42387</t>
  </si>
  <si>
    <t>2025-08-27T11:11:46.713Z</t>
  </si>
  <si>
    <t>2025-08-27T08:54:48.294+08</t>
  </si>
  <si>
    <t>2025-08-27T09:25:15.801+08</t>
  </si>
  <si>
    <t>H019728024</t>
  </si>
  <si>
    <t>uuid:f34b48fe-1c15-4e9a-9420-527af69a1b5b</t>
  </si>
  <si>
    <t>2025-08-27T11:11:47.665Z</t>
  </si>
  <si>
    <t>2025-08-27T10:21:54.342+08</t>
  </si>
  <si>
    <t>2025-08-27T11:18:24.530+08</t>
  </si>
  <si>
    <t>H019728030</t>
  </si>
  <si>
    <t>uuid:c5993453-474e-432a-99a3-b48926f55152</t>
  </si>
  <si>
    <t>2025-08-27T11:11:48.345Z</t>
  </si>
  <si>
    <t>2025-08-27T16:35:23.391+08</t>
  </si>
  <si>
    <t>2025-08-27T17:23:32.121+08</t>
  </si>
  <si>
    <t>H019728029</t>
  </si>
  <si>
    <t>uuid:d1fd8745-ddcc-4993-a80d-e09a8652ccf6</t>
  </si>
  <si>
    <t>2025-08-27T11:12:40.381Z</t>
  </si>
  <si>
    <t>2025-08-27T10:52:14.804+08</t>
  </si>
  <si>
    <t>2025-08-27T11:33:03.066+08</t>
  </si>
  <si>
    <t>H019505032</t>
  </si>
  <si>
    <t>uuid:6d0ac67d-b287-4173-84ee-34461f5ce31a</t>
  </si>
  <si>
    <t>2025-08-27T11:12:41.010Z</t>
  </si>
  <si>
    <t>2025-08-27T15:17:13.414+08</t>
  </si>
  <si>
    <t>2025-08-27T16:06:40.383+08</t>
  </si>
  <si>
    <t>H019559017</t>
  </si>
  <si>
    <t>uuid:28185411-f6f4-4aad-b5f1-4a5cc5a5210f</t>
  </si>
  <si>
    <t>2025-08-27T11:12:41.707Z</t>
  </si>
  <si>
    <t>2025-08-27T09:17:02.581+08</t>
  </si>
  <si>
    <t>2025-08-27T10:32:26.234+08</t>
  </si>
  <si>
    <t>H019505020</t>
  </si>
  <si>
    <t>uuid:d0cbbeca-7405-41e9-bfd1-3339bd127da8</t>
  </si>
  <si>
    <t>2025-08-27T11:40:49.373Z</t>
  </si>
  <si>
    <t>2025-08-27T10:22:32.100+08</t>
  </si>
  <si>
    <t>2025-08-27T11:10:16.957+08</t>
  </si>
  <si>
    <t>H030821028</t>
  </si>
  <si>
    <t>uuid:2e64fdf0-5140-484a-8f7c-61847dc93781</t>
  </si>
  <si>
    <t>2025-08-27T11:40:51.474Z</t>
  </si>
  <si>
    <t>2025-08-27T14:09:42.659+08</t>
  </si>
  <si>
    <t>2025-08-27T15:44:00.913+08</t>
  </si>
  <si>
    <t>H030821023</t>
  </si>
  <si>
    <t>uuid:9bf887e0-8596-484c-a7f0-985cfd65700f</t>
  </si>
  <si>
    <t>2025-08-27T11:40:54.171Z</t>
  </si>
  <si>
    <t>2025-08-27T11:37:33.928+08</t>
  </si>
  <si>
    <t>2025-08-27T12:31:50.930+08</t>
  </si>
  <si>
    <t>H030821017</t>
  </si>
  <si>
    <t>uuid:a728c934-aca2-4b05-8774-cbe32378b163</t>
  </si>
  <si>
    <t>2025-08-27T11:40:54.856Z</t>
  </si>
  <si>
    <t>2025-08-27T08:48:08.414+08</t>
  </si>
  <si>
    <t>2025-08-27T09:46:18.352+08</t>
  </si>
  <si>
    <t>H030821034</t>
  </si>
  <si>
    <t>uuid:ac54d63b-69c2-426e-9279-9910713877d9</t>
  </si>
  <si>
    <t>2025-08-27T11:44:47.399Z</t>
  </si>
  <si>
    <t>2025-08-27T08:15:14.767+08</t>
  </si>
  <si>
    <t>2025-08-27T10:01:10.187+08</t>
  </si>
  <si>
    <t>H030129022</t>
  </si>
  <si>
    <t>uuid:223ba89d-d2e3-4097-b9dd-962fa4074b10</t>
  </si>
  <si>
    <t>2025-08-27T11:44:48.436Z</t>
  </si>
  <si>
    <t>2025-08-27T10:08:34.077+08</t>
  </si>
  <si>
    <t>2025-08-27T11:15:00.304+08</t>
  </si>
  <si>
    <t>H030129029</t>
  </si>
  <si>
    <t>uuid:a4a5d0b7-abf3-48b0-bdd7-43db7b17e338</t>
  </si>
  <si>
    <t>2025-08-27T11:44:49.437Z</t>
  </si>
  <si>
    <t>2025-08-27T11:19:00.944+08</t>
  </si>
  <si>
    <t>2025-08-27T12:27:19.329+08</t>
  </si>
  <si>
    <t>H030129028</t>
  </si>
  <si>
    <t>uuid:4c0149b9-64f4-44ea-ac2d-98d3be854636</t>
  </si>
  <si>
    <t>2025-08-27T11:44:50.263Z</t>
  </si>
  <si>
    <t>2025-08-27T12:39:00.973+08</t>
  </si>
  <si>
    <t>2025-08-27T13:46:27.095+08</t>
  </si>
  <si>
    <t>H030129081</t>
  </si>
  <si>
    <t>uuid:eb54802f-d4c5-4852-a2ec-6c627468a0cf</t>
  </si>
  <si>
    <t>2025-08-27T11:49:14.299Z</t>
  </si>
  <si>
    <t>2025-08-27T15:06:03.170+08</t>
  </si>
  <si>
    <t>2025-08-27T19:31:54.467+08</t>
  </si>
  <si>
    <t>H019559035</t>
  </si>
  <si>
    <t>uuid:b71f3389-0e09-4cbd-b7a4-9dd1757ec499</t>
  </si>
  <si>
    <t>2025-08-27T11:49:16.234Z</t>
  </si>
  <si>
    <t>2025-08-27T07:59:55.325+08</t>
  </si>
  <si>
    <t>2025-08-27T09:00:37.678+08</t>
  </si>
  <si>
    <t>H019505011</t>
  </si>
  <si>
    <t>uuid:e5c42575-e81d-4160-ab0a-8c8c970a6be4</t>
  </si>
  <si>
    <t>2025-08-27T11:49:19.149Z</t>
  </si>
  <si>
    <t>2025-08-27T09:34:20.287+08</t>
  </si>
  <si>
    <t>2025-08-27T11:56:19.973+08</t>
  </si>
  <si>
    <t>H019505026</t>
  </si>
  <si>
    <t>uuid:e4e1229f-5237-47c2-89e1-3ec3da0faba2</t>
  </si>
  <si>
    <t>2025-08-27T11:49:20.510Z</t>
  </si>
  <si>
    <t>2025-08-27T12:53:53.952+08</t>
  </si>
  <si>
    <t>2025-08-27T14:18:47.340+08</t>
  </si>
  <si>
    <t>H019505027</t>
  </si>
  <si>
    <t>uuid:1afd4419-d605-42b2-8cd9-1c39f4552a35</t>
  </si>
  <si>
    <t>2025-08-27T11:52:50.562Z</t>
  </si>
  <si>
    <t>2025-08-27T09:52:52.019+08</t>
  </si>
  <si>
    <t>2025-08-27T10:54:23.242+08</t>
  </si>
  <si>
    <t>H030829019</t>
  </si>
  <si>
    <t>uuid:e772423d-9d77-4fdd-bafc-dd3304a5dd8b</t>
  </si>
  <si>
    <t>2025-08-27T11:52:52.308Z</t>
  </si>
  <si>
    <t>2025-08-27T08:45:15.808+08</t>
  </si>
  <si>
    <t>2025-08-27T09:39:05.283+08</t>
  </si>
  <si>
    <t>H030829025</t>
  </si>
  <si>
    <t>uuid:ce026d0d-efc0-4339-b30b-529277a17c6c</t>
  </si>
  <si>
    <t>2025-08-27T11:52:53.042Z</t>
  </si>
  <si>
    <t>2025-08-27T13:01:40.578+08</t>
  </si>
  <si>
    <t>2025-08-27T13:59:31.589+08</t>
  </si>
  <si>
    <t>H030829024</t>
  </si>
  <si>
    <t>uuid:0265a347-95c5-48e9-8b7d-2c13aff8206b</t>
  </si>
  <si>
    <t>2025-08-27T11:54:09.378Z</t>
  </si>
  <si>
    <t>2025-08-27T09:29:10.075+08</t>
  </si>
  <si>
    <t>2025-08-27T10:18:20.116+08</t>
  </si>
  <si>
    <t>H030748032</t>
  </si>
  <si>
    <t>uuid:d11d27ab-ab5a-498e-aa7b-a5e55d9ddf0d</t>
  </si>
  <si>
    <t>2025-08-27T11:54:11.640Z</t>
  </si>
  <si>
    <t>2025-08-27T17:29:20.695+08</t>
  </si>
  <si>
    <t>2025-08-27T18:32:04.951+08</t>
  </si>
  <si>
    <t>H030748014</t>
  </si>
  <si>
    <t>uuid:dcac4853-36d1-466a-9e46-05700a3303eb</t>
  </si>
  <si>
    <t>2025-08-27T11:54:13.125Z</t>
  </si>
  <si>
    <t>2025-08-27T12:55:09.363+08</t>
  </si>
  <si>
    <t>2025-08-27T13:59:25.335+08</t>
  </si>
  <si>
    <t>H030748022</t>
  </si>
  <si>
    <t>uuid:5deedd54-22c1-43ce-a49e-b786f5dff455</t>
  </si>
  <si>
    <t>2025-08-27T11:54:13.766Z</t>
  </si>
  <si>
    <t>2025-08-27T10:44:49.084+08</t>
  </si>
  <si>
    <t>2025-08-27T11:50:57.831+08</t>
  </si>
  <si>
    <t>H030748028</t>
  </si>
  <si>
    <t>uuid:ff9aba83-e2d4-44bd-b940-c6c38c0ba55f</t>
  </si>
  <si>
    <t>2025-08-27T11:57:34.874Z</t>
  </si>
  <si>
    <t>2025-08-27T09:13:09.764+08</t>
  </si>
  <si>
    <t>2025-08-27T11:10:39.988+08</t>
  </si>
  <si>
    <t>H030748033</t>
  </si>
  <si>
    <t>uuid:a4367963-4a6e-489e-bb49-c58aeaa4e661</t>
  </si>
  <si>
    <t>2025-08-27T11:57:35.567Z</t>
  </si>
  <si>
    <t>2025-08-27T11:51:45.764+08</t>
  </si>
  <si>
    <t>2025-08-27T13:30:53.665+08</t>
  </si>
  <si>
    <t>H030748018</t>
  </si>
  <si>
    <t>uuid:f58577fd-b529-4c6f-b4d1-e409ca82972e</t>
  </si>
  <si>
    <t>2025-08-27T11:57:36.728Z</t>
  </si>
  <si>
    <t>2025-08-27T15:33:03.122+08</t>
  </si>
  <si>
    <t>2025-08-27T17:18:43.591+08</t>
  </si>
  <si>
    <t>H030748019</t>
  </si>
  <si>
    <t>uuid:6c613aa6-caf3-4f28-87f1-99a376b90087</t>
  </si>
  <si>
    <t>2025-08-27T12:10:28.383Z</t>
  </si>
  <si>
    <t>2025-08-27T09:39:06.115+08</t>
  </si>
  <si>
    <t>2025-08-27T11:49:33.530+08</t>
  </si>
  <si>
    <t>H030636013</t>
  </si>
  <si>
    <t>uuid:735b3b41-d9b2-4857-a93a-ee14579b1648</t>
  </si>
  <si>
    <t>2025-08-27T12:10:29.489Z</t>
  </si>
  <si>
    <t>2025-08-27T12:25:00.672+08</t>
  </si>
  <si>
    <t>2025-08-27T14:14:58.288+08</t>
  </si>
  <si>
    <t>H030636032</t>
  </si>
  <si>
    <t>uuid:5f67fdb9-c344-41c6-843b-f038f811fd21</t>
  </si>
  <si>
    <t>2025-08-27T12:10:30.482Z</t>
  </si>
  <si>
    <t>2025-08-27T15:27:05.089+08</t>
  </si>
  <si>
    <t>2025-08-27T17:09:36.790+08</t>
  </si>
  <si>
    <t>H030636029</t>
  </si>
  <si>
    <t>uuid:9244cdb3-96a4-4c1d-bba5-3db29e7670a1</t>
  </si>
  <si>
    <t>2025-08-27T12:14:14.829Z</t>
  </si>
  <si>
    <t>2025-08-27T10:03:24.379+08</t>
  </si>
  <si>
    <t>2025-08-27T11:50:20.429+08</t>
  </si>
  <si>
    <t>H030636020</t>
  </si>
  <si>
    <t>uuid:76e55f2f-f894-470b-962e-3a2e9b3fc3af</t>
  </si>
  <si>
    <t>2025-08-27T12:14:26.871Z</t>
  </si>
  <si>
    <t>2025-08-27T09:51:18.643+08</t>
  </si>
  <si>
    <t>2025-08-27T13:34:44.798+08</t>
  </si>
  <si>
    <t>H030636007</t>
  </si>
  <si>
    <t>uuid:3ddac8f4-4ed4-4d4c-8f6f-c7fe9a304807</t>
  </si>
  <si>
    <t>2025-08-27T12:14:38.709Z</t>
  </si>
  <si>
    <t>2025-08-27T08:37:34.218+08</t>
  </si>
  <si>
    <t>2025-08-27T09:42:07.610+08</t>
  </si>
  <si>
    <t>H030829035</t>
  </si>
  <si>
    <t>uuid:2cf425c4-49d4-4b59-ab32-e923f3351f9d</t>
  </si>
  <si>
    <t>2025-08-27T12:14:39.361Z</t>
  </si>
  <si>
    <t>2025-08-27T09:58:09.470+08</t>
  </si>
  <si>
    <t>2025-08-27T11:18:24.404+08</t>
  </si>
  <si>
    <t>H030829023</t>
  </si>
  <si>
    <t>uuid:b23172ca-b314-4b02-a18a-c6dd6ac553f9</t>
  </si>
  <si>
    <t>2025-08-27T12:14:40.094Z</t>
  </si>
  <si>
    <t>2025-08-27T12:19:37.734+08</t>
  </si>
  <si>
    <t>2025-08-27T13:06:08.501+08</t>
  </si>
  <si>
    <t>H030829022</t>
  </si>
  <si>
    <t>uuid:194ba8c8-3064-44e7-8f57-e14f4689d620</t>
  </si>
  <si>
    <t>2025-08-27T12:15:06.142Z</t>
  </si>
  <si>
    <t>2025-08-27T15:23:21.938+08</t>
  </si>
  <si>
    <t>2025-08-27T16:29:04.306+08</t>
  </si>
  <si>
    <t>H030636001</t>
  </si>
  <si>
    <t>uuid:ba3cdc0b-386b-4eff-9347-4e0fc07280c7</t>
  </si>
  <si>
    <t>2025-08-27T12:18:55.236Z</t>
  </si>
  <si>
    <t>2025-08-27T15:23:33.423+08</t>
  </si>
  <si>
    <t>2025-08-27T17:10:00.263+08</t>
  </si>
  <si>
    <t>H030636019</t>
  </si>
  <si>
    <t>uuid:bdef418c-c77c-43f3-9779-12f0f82ba1f4</t>
  </si>
  <si>
    <t>2025-08-27T12:18:58.479Z</t>
  </si>
  <si>
    <t>2025-08-27T12:43:45.556+08</t>
  </si>
  <si>
    <t>2025-08-27T14:04:02.323+08</t>
  </si>
  <si>
    <t>H030636017</t>
  </si>
  <si>
    <t>uuid:275e4824-2f43-4fd9-baa1-27fd6e971fd7</t>
  </si>
  <si>
    <t>2025-08-27T12:18:58.008Z</t>
  </si>
  <si>
    <t>2025-08-27T09:32:45.673+08</t>
  </si>
  <si>
    <t>2025-08-27T11:06:53.657+08</t>
  </si>
  <si>
    <t>H030636025</t>
  </si>
  <si>
    <t>uuid:c0d6370c-223c-4bcc-aa9c-2ce7178f5d38</t>
  </si>
  <si>
    <t>2025-09-30T11:57:11.358Z</t>
  </si>
  <si>
    <t>2025-09-30T13:54:48.958+08</t>
  </si>
  <si>
    <t>2025-09-30T19:23:45.633+08</t>
  </si>
  <si>
    <t>H030829014</t>
  </si>
  <si>
    <t>uuid:d617763c-2f32-4699-a786-e5aecc874aff</t>
  </si>
  <si>
    <t>2025-08-31T13:05:07.252Z</t>
  </si>
  <si>
    <t>2025-08-31T15:48:55.154+08</t>
  </si>
  <si>
    <t>2025-08-31T16:50:16.084+08</t>
  </si>
  <si>
    <t>H030829033</t>
  </si>
  <si>
    <t>uuid:46f1040f-6d45-42de-8198-edbe42353d57</t>
  </si>
  <si>
    <t>2025-09-30T12:30:20.061Z</t>
  </si>
  <si>
    <t>2025-09-30T15:08:03.912+08</t>
  </si>
  <si>
    <t>2025-09-30T16:12:03.376+08</t>
  </si>
  <si>
    <t>H030829016</t>
  </si>
  <si>
    <t>uuid:18a37b59-0075-4d3d-8385-59599597e3d1</t>
  </si>
  <si>
    <t>2025-08-30T09:52:47.743Z</t>
  </si>
  <si>
    <t>2025-08-30T08:04:28.211+08</t>
  </si>
  <si>
    <t>2025-08-30T08:59:08.628+08</t>
  </si>
  <si>
    <t>H019820025</t>
  </si>
  <si>
    <t>uuid:99317d1f-baf4-468f-9e10-c0064cdb5ddc</t>
  </si>
  <si>
    <t>2025-08-28T10:03:55.221Z</t>
  </si>
  <si>
    <t>2025-08-28T09:20:04.909+08</t>
  </si>
  <si>
    <t>2025-08-28T10:31:24.464+08</t>
  </si>
  <si>
    <t>H019820035</t>
  </si>
  <si>
    <t>uuid:acc4529a-4b55-4f7d-9374-10b0a4adce23</t>
  </si>
  <si>
    <t>2025-08-28T10:03:56.526Z</t>
  </si>
  <si>
    <t>2025-08-28T10:37:36.531+08</t>
  </si>
  <si>
    <t>2025-08-28T11:32:14.141+08</t>
  </si>
  <si>
    <t>H019820022</t>
  </si>
  <si>
    <t>uuid:1731385a-403e-49aa-a0cb-3f71cfe71839</t>
  </si>
  <si>
    <t>2025-08-28T10:03:57.807Z</t>
  </si>
  <si>
    <t>2025-08-28T13:17:12.116+08</t>
  </si>
  <si>
    <t>2025-08-28T14:02:12.526+08</t>
  </si>
  <si>
    <t>H019820032</t>
  </si>
  <si>
    <t>uuid:3917add5-59fc-43db-9311-b6a7d1abc66b</t>
  </si>
  <si>
    <t>2025-08-28T10:03:58.580Z</t>
  </si>
  <si>
    <t>2025-08-28T14:15:07.048+08</t>
  </si>
  <si>
    <t>2025-08-28T15:10:37.883+08</t>
  </si>
  <si>
    <t>H019820031</t>
  </si>
  <si>
    <t>uuid:cf458ec1-d173-43d9-ac20-0b51558b97aa</t>
  </si>
  <si>
    <t>2025-08-28T10:20:03.811Z</t>
  </si>
  <si>
    <t>2025-08-28T08:51:31.328+08</t>
  </si>
  <si>
    <t>2025-08-28T10:50:22.462+08</t>
  </si>
  <si>
    <t>H019687018</t>
  </si>
  <si>
    <t>uuid:5223998e-863d-4009-95e3-3dd38b6ec830</t>
  </si>
  <si>
    <t>2025-08-28T10:20:04.358Z</t>
  </si>
  <si>
    <t>2025-08-28T11:06:59.130+08</t>
  </si>
  <si>
    <t>2025-08-28T12:14:35.984+08</t>
  </si>
  <si>
    <t>H019687023</t>
  </si>
  <si>
    <t>uuid:619e3404-44a8-4068-806d-73bc292ef205</t>
  </si>
  <si>
    <t>2025-08-28T10:20:05.417Z</t>
  </si>
  <si>
    <t>2025-08-28T12:47:05.383+08</t>
  </si>
  <si>
    <t>2025-08-28T13:55:19.429+08</t>
  </si>
  <si>
    <t>H019687025</t>
  </si>
  <si>
    <t>uuid:3621f7cc-a472-4e5e-b428-fe91a589b8eb</t>
  </si>
  <si>
    <t>2025-08-28T10:20:04.727Z</t>
  </si>
  <si>
    <t>2025-08-28T12:37:47.181+08</t>
  </si>
  <si>
    <t>2025-08-28T14:49:55.547+08</t>
  </si>
  <si>
    <t>H019687017</t>
  </si>
  <si>
    <t>uuid:7121f746-861e-4558-9f8d-67852274f1db</t>
  </si>
  <si>
    <t>2025-08-29T08:50:50.453Z</t>
  </si>
  <si>
    <t>2025-08-29T11:50:17.407+08</t>
  </si>
  <si>
    <t>2025-08-29T13:23:35.369+08</t>
  </si>
  <si>
    <t>H019687020</t>
  </si>
  <si>
    <t>uuid:cf48a04f-1dc5-4350-98eb-af36e1a375ca</t>
  </si>
  <si>
    <t>2025-08-28T10:25:26.202Z</t>
  </si>
  <si>
    <t>2025-08-28T11:41:51.126+08</t>
  </si>
  <si>
    <t>2025-08-28T12:29:00.867+08</t>
  </si>
  <si>
    <t>H030415022</t>
  </si>
  <si>
    <t>uuid:607f23c6-07b6-4650-a230-7918e72c8fec</t>
  </si>
  <si>
    <t>2025-08-28T10:25:25.847Z</t>
  </si>
  <si>
    <t>2025-08-28T09:14:09.207+08</t>
  </si>
  <si>
    <t>2025-08-28T10:10:38.723+08</t>
  </si>
  <si>
    <t>H030415028</t>
  </si>
  <si>
    <t>uuid:fa9be02a-4a87-4c41-b896-f588c9263a35</t>
  </si>
  <si>
    <t>2025-08-28T10:25:26.604Z</t>
  </si>
  <si>
    <t>2025-08-28T13:18:51.751+08</t>
  </si>
  <si>
    <t>2025-08-28T13:55:35.398+08</t>
  </si>
  <si>
    <t>H030415019</t>
  </si>
  <si>
    <t>uuid:663271a5-06a5-4f8e-9c4e-54707bb4bbba</t>
  </si>
  <si>
    <t>2025-08-28T10:25:26.976Z</t>
  </si>
  <si>
    <t>2025-08-28T14:25:05.778+08</t>
  </si>
  <si>
    <t>2025-08-28T15:17:52.662+08</t>
  </si>
  <si>
    <t>H030415023</t>
  </si>
  <si>
    <t>uuid:a74fb43b-597a-4938-9ebe-6486533d25e7</t>
  </si>
  <si>
    <t>2025-08-28T10:42:18.466Z</t>
  </si>
  <si>
    <t>2025-08-28T09:34:53.795+08</t>
  </si>
  <si>
    <t>2025-08-28T09:59:41.113+08</t>
  </si>
  <si>
    <t>H019559030</t>
  </si>
  <si>
    <t>uuid:190d4e59-6d63-457b-a0a8-5f84aa90d2c5</t>
  </si>
  <si>
    <t>2025-08-28T10:42:19.452Z</t>
  </si>
  <si>
    <t>2025-08-28T10:57:55.368+08</t>
  </si>
  <si>
    <t>2025-08-28T12:05:57.146+08</t>
  </si>
  <si>
    <t>H019820020</t>
  </si>
  <si>
    <t>uuid:370eea5f-6e66-4b35-8855-e783a9eb203a</t>
  </si>
  <si>
    <t>2025-08-28T10:42:20.447Z</t>
  </si>
  <si>
    <t>2025-08-28T13:04:59.300+08</t>
  </si>
  <si>
    <t>2025-08-28T17:45:25.872+08</t>
  </si>
  <si>
    <t>H019820019</t>
  </si>
  <si>
    <t>uuid:1ff89513-3fc9-4eda-8691-2f067b63285f</t>
  </si>
  <si>
    <t>2025-08-28T10:42:19.786Z</t>
  </si>
  <si>
    <t>2025-08-28T13:46:38.107+08</t>
  </si>
  <si>
    <t>2025-08-28T14:42:30.692+08</t>
  </si>
  <si>
    <t>H019559023</t>
  </si>
  <si>
    <t>uuid:62e5bb9e-0a1b-492c-969d-a36385d3ef4d</t>
  </si>
  <si>
    <t>2025-08-30T08:58:16.149Z</t>
  </si>
  <si>
    <t>2025-08-30T08:15:39.126+08</t>
  </si>
  <si>
    <t>2025-08-30T09:01:51.727+08</t>
  </si>
  <si>
    <t>H019820012</t>
  </si>
  <si>
    <t>uuid:be574924-a0fe-4884-810f-7016b51bcd43</t>
  </si>
  <si>
    <t>2025-09-28T15:58:19.842Z</t>
  </si>
  <si>
    <t>2025-09-28T09:21:56.820+08</t>
  </si>
  <si>
    <t>2025-09-28T09:58:00.998+08</t>
  </si>
  <si>
    <t>H019559020</t>
  </si>
  <si>
    <t>Janet Serafica_2</t>
  </si>
  <si>
    <t>Q5739201</t>
  </si>
  <si>
    <t>uuid:c08127d8-3a1d-479a-bf2e-62e1e9026547</t>
  </si>
  <si>
    <t>2025-08-28T10:42:21.538Z</t>
  </si>
  <si>
    <t>2025-08-28T09:33:38.096+08</t>
  </si>
  <si>
    <t>2025-08-28T10:24:10.462+08</t>
  </si>
  <si>
    <t>H019820026</t>
  </si>
  <si>
    <t>uuid:a169a516-3dba-4887-9124-1eece7e96bb4</t>
  </si>
  <si>
    <t>2025-08-28T11:05:36.014Z</t>
  </si>
  <si>
    <t>2025-08-28T09:13:33.620+08</t>
  </si>
  <si>
    <t>2025-08-28T10:00:41.030+08</t>
  </si>
  <si>
    <t>H030415034</t>
  </si>
  <si>
    <t>uuid:889aa281-956e-4e7b-8d75-228f396c44a8</t>
  </si>
  <si>
    <t>2025-08-28T11:05:37.045Z</t>
  </si>
  <si>
    <t>2025-08-28T10:23:50.507+08</t>
  </si>
  <si>
    <t>2025-08-28T11:39:27.630+08</t>
  </si>
  <si>
    <t>H030415018</t>
  </si>
  <si>
    <t>uuid:15b7948e-1e51-4095-a581-0fd3951db34c</t>
  </si>
  <si>
    <t>2025-08-28T11:05:37.946Z</t>
  </si>
  <si>
    <t>2025-08-28T13:20:36.353+08</t>
  </si>
  <si>
    <t>2025-08-28T14:47:41.533+08</t>
  </si>
  <si>
    <t>H030415020</t>
  </si>
  <si>
    <t>uuid:7a92d1ef-0061-4f95-808c-9ca4d952b6fc</t>
  </si>
  <si>
    <t>2025-08-28T11:05:38.793Z</t>
  </si>
  <si>
    <t>2025-08-28T14:57:41.870+08</t>
  </si>
  <si>
    <t>2025-08-28T16:28:56.497+08</t>
  </si>
  <si>
    <t>H030415007</t>
  </si>
  <si>
    <t>uuid:681a4847-7659-4d15-8161-a728a27cf94e</t>
  </si>
  <si>
    <t>2025-08-28T11:07:43.595Z</t>
  </si>
  <si>
    <t>2025-08-28T11:20:31.732+08</t>
  </si>
  <si>
    <t>2025-08-28T12:13:06.034+08</t>
  </si>
  <si>
    <t>H019820027</t>
  </si>
  <si>
    <t>uuid:48cd6118-ab1a-4a4d-862e-69abd4bb2243</t>
  </si>
  <si>
    <t>2025-08-28T11:07:41.940Z</t>
  </si>
  <si>
    <t>2025-08-28T08:59:17.605+08</t>
  </si>
  <si>
    <t>2025-08-28T09:53:44.730+08</t>
  </si>
  <si>
    <t>H019820023</t>
  </si>
  <si>
    <t>uuid:95b26a6c-ffaf-4c40-b881-b5eb43053a41</t>
  </si>
  <si>
    <t>2025-08-28T11:07:42.869Z</t>
  </si>
  <si>
    <t>2025-08-28T10:14:52.926+08</t>
  </si>
  <si>
    <t>2025-08-28T11:01:20.899+08</t>
  </si>
  <si>
    <t>H019820029</t>
  </si>
  <si>
    <t>uuid:d2f22767-8568-45c6-a464-0111099ef72e</t>
  </si>
  <si>
    <t>2025-08-28T11:07:44.288Z</t>
  </si>
  <si>
    <t>2025-08-28T14:13:55.785+08</t>
  </si>
  <si>
    <t>2025-08-28T14:51:36.187+08</t>
  </si>
  <si>
    <t>H019820033</t>
  </si>
  <si>
    <t>uuid:4bedabb3-5f2d-4a46-a30e-e4671fece6d6</t>
  </si>
  <si>
    <t>2025-08-28T11:17:23.943Z</t>
  </si>
  <si>
    <t>2025-08-28T09:26:40.475+08</t>
  </si>
  <si>
    <t>2025-08-28T10:56:31.724+08</t>
  </si>
  <si>
    <t>H030015020</t>
  </si>
  <si>
    <t>uuid:c248c951-a861-41ae-bfa8-24b61069589d</t>
  </si>
  <si>
    <t>2025-08-28T11:17:24.852Z</t>
  </si>
  <si>
    <t>2025-08-28T11:11:47.130+08</t>
  </si>
  <si>
    <t>2025-08-28T13:02:14.522+08</t>
  </si>
  <si>
    <t>H030015021</t>
  </si>
  <si>
    <t>uuid:0194aa4a-6c6c-4028-a1b4-f415c46598b8</t>
  </si>
  <si>
    <t>2025-09-29T12:08:05.650Z</t>
  </si>
  <si>
    <t>2025-09-29T12:59:08.845+08</t>
  </si>
  <si>
    <t>2025-09-29T13:00:15.337+08</t>
  </si>
  <si>
    <t>H030015028</t>
  </si>
  <si>
    <t>A4729103</t>
  </si>
  <si>
    <t>uuid:50fad243-b043-40f3-8b30-3dbd2f465b08</t>
  </si>
  <si>
    <t>2025-08-28T11:17:25.623Z</t>
  </si>
  <si>
    <t>2025-08-28T13:50:50.895+08</t>
  </si>
  <si>
    <t>2025-08-28T15:04:22.063+08</t>
  </si>
  <si>
    <t>H030015026</t>
  </si>
  <si>
    <t>uuid:c7b04104-426a-47cb-9c55-ee114e3b44d5</t>
  </si>
  <si>
    <t>2025-08-28T11:17:26.534Z</t>
  </si>
  <si>
    <t>2025-08-28T15:18:24.935+08</t>
  </si>
  <si>
    <t>2025-08-28T15:19:38.599+08</t>
  </si>
  <si>
    <t>H030015025</t>
  </si>
  <si>
    <t>uuid:65f4a17f-84db-4a38-b5b6-34948aa2d6e2</t>
  </si>
  <si>
    <t>2025-08-28T11:17:28.587Z</t>
  </si>
  <si>
    <t>2025-08-28T15:26:40.478+08</t>
  </si>
  <si>
    <t>2025-08-28T17:02:14.015+08</t>
  </si>
  <si>
    <t>H030015033</t>
  </si>
  <si>
    <t>uuid:eab48b7b-7c27-459c-9f11-75c4180b112e</t>
  </si>
  <si>
    <t>2025-08-28T11:18:38.878Z</t>
  </si>
  <si>
    <t>2025-08-28T10:01:44.469+08</t>
  </si>
  <si>
    <t>2025-08-28T11:29:46.705+08</t>
  </si>
  <si>
    <t>H030636028</t>
  </si>
  <si>
    <t>uuid:a131fdab-4d89-4b77-a9c9-88392375de9f</t>
  </si>
  <si>
    <t>2025-08-28T11:18:45.290Z</t>
  </si>
  <si>
    <t>2025-08-28T12:31:52.190+08</t>
  </si>
  <si>
    <t>2025-08-28T13:26:01.390+08</t>
  </si>
  <si>
    <t>H030636022</t>
  </si>
  <si>
    <t>uuid:90af6ea1-b122-438e-af50-b91f64968386</t>
  </si>
  <si>
    <t>2025-08-28T11:18:47.606Z</t>
  </si>
  <si>
    <t>2025-08-28T15:23:53.125+08</t>
  </si>
  <si>
    <t>2025-08-28T16:53:04.755+08</t>
  </si>
  <si>
    <t>H030636031</t>
  </si>
  <si>
    <t>uuid:a9dbba22-ac32-41c6-b55f-a71fd762da97</t>
  </si>
  <si>
    <t>2025-08-28T11:19:20.667Z</t>
  </si>
  <si>
    <t>2025-08-28T09:22:53.394+08</t>
  </si>
  <si>
    <t>2025-08-28T10:41:14.315+08</t>
  </si>
  <si>
    <t>H030015024</t>
  </si>
  <si>
    <t>uuid:1e7cfa6a-8408-44e8-ac16-5b6908cf68d7</t>
  </si>
  <si>
    <t>2025-08-28T11:19:21.376Z</t>
  </si>
  <si>
    <t>2025-08-28T11:24:53.328+08</t>
  </si>
  <si>
    <t>2025-08-28T12:58:46.349+08</t>
  </si>
  <si>
    <t>H030015018</t>
  </si>
  <si>
    <t>uuid:56345d7a-181f-48f3-b25d-30ab4a36f315</t>
  </si>
  <si>
    <t>2025-08-28T11:19:22.180Z</t>
  </si>
  <si>
    <t>2025-08-28T13:50:39.219+08</t>
  </si>
  <si>
    <t>2025-08-28T15:20:01.777+08</t>
  </si>
  <si>
    <t>H030015034</t>
  </si>
  <si>
    <t>uuid:19c7c391-4908-4068-b0ac-e3ba0a71b5ee</t>
  </si>
  <si>
    <t>2025-08-28T11:19:22.861Z</t>
  </si>
  <si>
    <t>2025-08-28T15:59:06.915+08</t>
  </si>
  <si>
    <t>2025-08-28T17:00:48.235+08</t>
  </si>
  <si>
    <t>H030015027</t>
  </si>
  <si>
    <t>uuid:864ccc70-1890-47e2-a4bd-9153272eae6b</t>
  </si>
  <si>
    <t>2025-09-29T11:42:02.955Z</t>
  </si>
  <si>
    <t>2025-09-29T09:59:33.456+08</t>
  </si>
  <si>
    <t>2025-09-29T11:00:34.800+08</t>
  </si>
  <si>
    <t>H030748008</t>
  </si>
  <si>
    <t>uuid:469882fe-fac5-42a8-b756-39cdab2fdea0</t>
  </si>
  <si>
    <t>2025-09-29T11:04:04.955Z</t>
  </si>
  <si>
    <t>2025-09-29T10:01:53.570+08</t>
  </si>
  <si>
    <t>2025-09-29T11:02:38.922+08</t>
  </si>
  <si>
    <t>H030748021</t>
  </si>
  <si>
    <t>uuid:4b7984f3-0741-46c9-9985-a0cbad1e398d</t>
  </si>
  <si>
    <t>2025-08-28T11:19:30.600Z</t>
  </si>
  <si>
    <t>2025-08-28T10:33:19.583+08</t>
  </si>
  <si>
    <t>2025-08-28T11:32:53.829+08</t>
  </si>
  <si>
    <t>H030748024</t>
  </si>
  <si>
    <t>uuid:1337cb19-e6aa-4722-afec-adfd573d06a2</t>
  </si>
  <si>
    <t>2025-08-28T11:19:32.064Z</t>
  </si>
  <si>
    <t>2025-08-28T10:26:22.579+08</t>
  </si>
  <si>
    <t>2025-08-28T11:33:20.913+08</t>
  </si>
  <si>
    <t>H030636023</t>
  </si>
  <si>
    <t>uuid:a29782e2-2b95-41f4-8fbf-7bf8df4d13d7</t>
  </si>
  <si>
    <t>2025-08-28T11:19:33.575Z</t>
  </si>
  <si>
    <t>2025-08-28T12:02:31.199+08</t>
  </si>
  <si>
    <t>2025-08-28T13:59:41.480+08</t>
  </si>
  <si>
    <t>H030636030</t>
  </si>
  <si>
    <t>uuid:1dbd7422-c72a-4f2c-9c89-08956b5014da</t>
  </si>
  <si>
    <t>2025-08-28T11:19:34.631Z</t>
  </si>
  <si>
    <t>2025-08-28T15:35:41.516+08</t>
  </si>
  <si>
    <t>2025-08-28T16:40:46.733+08</t>
  </si>
  <si>
    <t>H030636016</t>
  </si>
  <si>
    <t>uuid:1dd2af2d-a7e1-43d9-8bcf-65f26ee0e157</t>
  </si>
  <si>
    <t>2025-08-28T11:19:36.275Z</t>
  </si>
  <si>
    <t>2025-08-28T09:10:42.766+08</t>
  </si>
  <si>
    <t>2025-08-28T10:14:41.754+08</t>
  </si>
  <si>
    <t>H030748026</t>
  </si>
  <si>
    <t>uuid:47df6783-e979-4cf8-bd26-491e24e17285</t>
  </si>
  <si>
    <t>2025-08-28T11:19:39.717Z</t>
  </si>
  <si>
    <t>2025-08-28T12:49:07.966+08</t>
  </si>
  <si>
    <t>2025-08-28T13:53:34.023+08</t>
  </si>
  <si>
    <t>H030748027</t>
  </si>
  <si>
    <t>uuid:41aa926b-71b0-4ddd-a21d-422e375fb35b</t>
  </si>
  <si>
    <t>2025-08-28T11:19:44.510Z</t>
  </si>
  <si>
    <t>2025-08-28T14:13:51.072+08</t>
  </si>
  <si>
    <t>2025-08-28T15:09:54.705+08</t>
  </si>
  <si>
    <t>H030748034</t>
  </si>
  <si>
    <t>uuid:3ba19e4b-8ca3-427d-ad4e-cd083e4fee18</t>
  </si>
  <si>
    <t>2025-08-28T12:07:13.835Z</t>
  </si>
  <si>
    <t>2025-08-28T11:13:16.289+08</t>
  </si>
  <si>
    <t>2025-08-28T12:28:14.405+08</t>
  </si>
  <si>
    <t>H030514021</t>
  </si>
  <si>
    <t>uuid:0dcd9cf0-d134-4b43-87b9-b310e167dc22</t>
  </si>
  <si>
    <t>2025-08-28T11:23:31.402Z</t>
  </si>
  <si>
    <t>2025-08-28T09:22:03.832+08</t>
  </si>
  <si>
    <t>2025-08-28T11:05:11.274+08</t>
  </si>
  <si>
    <t>H030514031</t>
  </si>
  <si>
    <t>uuid:1028b7c9-234d-4c5a-8c92-b03173d76850</t>
  </si>
  <si>
    <t>2025-08-28T12:07:15.967Z</t>
  </si>
  <si>
    <t>2025-08-28T12:57:15.773+08</t>
  </si>
  <si>
    <t>2025-08-28T13:55:58.138+08</t>
  </si>
  <si>
    <t>H030514018</t>
  </si>
  <si>
    <t>uuid:bd309162-01d0-4c9b-a227-f907e895b11a</t>
  </si>
  <si>
    <t>2025-08-28T11:23:36.156Z</t>
  </si>
  <si>
    <t>2025-08-28T11:47:23.560+08</t>
  </si>
  <si>
    <t>2025-08-28T12:41:48.476+08</t>
  </si>
  <si>
    <t>H030514026</t>
  </si>
  <si>
    <t>uuid:1439c48e-47bc-4753-b0f9-189f9035b21b</t>
  </si>
  <si>
    <t>2025-08-28T11:23:40.561Z</t>
  </si>
  <si>
    <t>2025-08-28T13:42:02.652+08</t>
  </si>
  <si>
    <t>2025-08-28T14:55:03.300+08</t>
  </si>
  <si>
    <t>H030514024</t>
  </si>
  <si>
    <t>uuid:c6251dc8-b2af-4943-8897-723034ed06dc</t>
  </si>
  <si>
    <t>2025-09-29T11:55:04.482Z</t>
  </si>
  <si>
    <t>2025-09-29T13:18:51.812+08</t>
  </si>
  <si>
    <t>2025-09-29T14:26:10.855+08</t>
  </si>
  <si>
    <t>H030514030</t>
  </si>
  <si>
    <t>uuid:05032d4b-fe0e-42fa-bdb2-6f720237a16a</t>
  </si>
  <si>
    <t>2025-08-28T11:39:14.593Z</t>
  </si>
  <si>
    <t>2025-08-28T08:55:46.894+08</t>
  </si>
  <si>
    <t>2025-08-28T10:12:47.922+08</t>
  </si>
  <si>
    <t>H030415031</t>
  </si>
  <si>
    <t>uuid:57d5368c-67aa-4bbb-90ec-57678bceea56</t>
  </si>
  <si>
    <t>2025-08-28T11:39:16.501Z</t>
  </si>
  <si>
    <t>2025-08-28T10:32:43.638+08</t>
  </si>
  <si>
    <t>2025-08-28T12:00:08.631+08</t>
  </si>
  <si>
    <t>H030415030</t>
  </si>
  <si>
    <t>uuid:15c3eaa5-1d1e-4ea6-bff1-28f439a7cf1d</t>
  </si>
  <si>
    <t>2025-08-28T11:39:17.531Z</t>
  </si>
  <si>
    <t>2025-08-28T13:00:33.720+08</t>
  </si>
  <si>
    <t>2025-08-28T14:12:27.416+08</t>
  </si>
  <si>
    <t>H030415033</t>
  </si>
  <si>
    <t>uuid:b457cc65-dc23-426b-85c8-542350130a6e</t>
  </si>
  <si>
    <t>2025-08-28T11:40:41.263Z</t>
  </si>
  <si>
    <t>2025-08-28T08:59:53.022+08</t>
  </si>
  <si>
    <t>2025-08-28T09:45:34.646+08</t>
  </si>
  <si>
    <t>H030264080</t>
  </si>
  <si>
    <t>uuid:a3814acd-bfdd-43a1-9b7d-9801570de12b</t>
  </si>
  <si>
    <t>2025-08-28T11:40:42.497Z</t>
  </si>
  <si>
    <t>2025-08-28T11:13:45.361+08</t>
  </si>
  <si>
    <t>2025-08-28T12:48:59.243+08</t>
  </si>
  <si>
    <t>H030264025</t>
  </si>
  <si>
    <t>uuid:caca4a21-8f38-4305-993e-e57bace927eb</t>
  </si>
  <si>
    <t>2025-08-28T11:40:42.109Z</t>
  </si>
  <si>
    <t>2025-08-28T09:45:56.866+08</t>
  </si>
  <si>
    <t>2025-08-28T10:43:33.143+08</t>
  </si>
  <si>
    <t>H030264019</t>
  </si>
  <si>
    <t>uuid:eef69a93-2aec-4007-96cb-65be9f86c719</t>
  </si>
  <si>
    <t>2025-08-28T12:40:41.914Z</t>
  </si>
  <si>
    <t>2025-08-28T08:14:30.504+08</t>
  </si>
  <si>
    <t>2025-08-28T08:15:49.653+08</t>
  </si>
  <si>
    <t>H030264029</t>
  </si>
  <si>
    <t>uuid:3acf0812-3fb5-4cb6-9700-24409124d676</t>
  </si>
  <si>
    <t>2025-08-28T11:51:09.276Z</t>
  </si>
  <si>
    <t>2025-08-28T09:24:21.539+08</t>
  </si>
  <si>
    <t>2025-08-28T10:50:14.408+08</t>
  </si>
  <si>
    <t>H019559021</t>
  </si>
  <si>
    <t>uuid:592d0386-63bf-49f1-8c51-137dc4744690</t>
  </si>
  <si>
    <t>2025-08-28T11:53:56.309Z</t>
  </si>
  <si>
    <t>2025-08-28T11:43:32.327+08</t>
  </si>
  <si>
    <t>2025-08-28T12:44:38.258+08</t>
  </si>
  <si>
    <t>H019559018</t>
  </si>
  <si>
    <t>uuid:26fc0e2d-3121-4ce6-be5a-706643ca0629</t>
  </si>
  <si>
    <t>2025-08-28T11:53:55.597Z</t>
  </si>
  <si>
    <t>2025-08-28T14:39:56.673+08</t>
  </si>
  <si>
    <t>2025-08-28T16:36:07.575+08</t>
  </si>
  <si>
    <t>H019559015</t>
  </si>
  <si>
    <t>uuid:c493d66c-bdf4-4328-b5a1-233668d9dfd9</t>
  </si>
  <si>
    <t>2025-08-29T11:58:36.088Z</t>
  </si>
  <si>
    <t>2025-08-29T11:46:53.897+08</t>
  </si>
  <si>
    <t>2025-08-29T12:53:02.999+08</t>
  </si>
  <si>
    <t>H030514009</t>
  </si>
  <si>
    <t>uuid:f03a527f-9935-4625-84e1-2c1f1ca3eabf</t>
  </si>
  <si>
    <t>2025-08-28T12:07:18.294Z</t>
  </si>
  <si>
    <t>2025-08-28T09:21:02.282+08</t>
  </si>
  <si>
    <t>2025-08-28T10:44:11.413+08</t>
  </si>
  <si>
    <t>H030514027</t>
  </si>
  <si>
    <t>uuid:ad91159d-d0e8-4e19-badd-924785331173</t>
  </si>
  <si>
    <t>2025-08-29T11:58:53.419Z</t>
  </si>
  <si>
    <t>2025-08-29T09:28:54.988+08</t>
  </si>
  <si>
    <t>2025-08-29T15:22:18.212+08</t>
  </si>
  <si>
    <t>H030514035</t>
  </si>
  <si>
    <t>uuid:c9cbba6d-c4be-4ee7-84d4-05f54c9706d1</t>
  </si>
  <si>
    <t>2025-08-28T12:25:44.919Z</t>
  </si>
  <si>
    <t>2025-08-28T09:05:17.463+08</t>
  </si>
  <si>
    <t>2025-08-28T10:38:03.139+08</t>
  </si>
  <si>
    <t>H030264009</t>
  </si>
  <si>
    <t>uuid:f26e9f28-22c3-446d-a7d9-66b6c5caf0d8</t>
  </si>
  <si>
    <t>2025-08-28T12:25:46.122Z</t>
  </si>
  <si>
    <t>2025-08-28T12:29:36.498+08</t>
  </si>
  <si>
    <t>2025-08-28T19:01:28.447+08</t>
  </si>
  <si>
    <t>H030264024</t>
  </si>
  <si>
    <t>uuid:115a37fd-368b-4f8f-84f6-6f101ac08441</t>
  </si>
  <si>
    <t>2025-08-28T12:25:45.757Z</t>
  </si>
  <si>
    <t>2025-08-28T10:45:44.277+08</t>
  </si>
  <si>
    <t>2025-08-28T11:43:59.943+08</t>
  </si>
  <si>
    <t>H030264032</t>
  </si>
  <si>
    <t>uuid:881a43ba-f656-46b8-b429-714e123dd4bd</t>
  </si>
  <si>
    <t>2025-08-28T12:26:54.482Z</t>
  </si>
  <si>
    <t>2025-08-28T12:07:31.287+08</t>
  </si>
  <si>
    <t>2025-08-28T13:36:22.300+08</t>
  </si>
  <si>
    <t>H030264016</t>
  </si>
  <si>
    <t>uuid:1ee949d1-73b6-4ed4-a7c5-d38d1ec25b08</t>
  </si>
  <si>
    <t>2025-08-28T12:26:55.026Z</t>
  </si>
  <si>
    <t>2025-08-28T09:04:37.312+08</t>
  </si>
  <si>
    <t>2025-08-28T11:08:26.424+08</t>
  </si>
  <si>
    <t>H030264031</t>
  </si>
  <si>
    <t>uuid:b022a5b0-20b3-4f17-843a-d37d29a6ee91</t>
  </si>
  <si>
    <t>2025-08-28T12:27:00.528Z</t>
  </si>
  <si>
    <t>2025-08-28T14:10:35.379+08</t>
  </si>
  <si>
    <t>2025-08-28T15:04:27.531+08</t>
  </si>
  <si>
    <t>H030264027</t>
  </si>
  <si>
    <t>uuid:1e42b59d-aa80-4fe1-83bf-3981896334c7</t>
  </si>
  <si>
    <t>2025-08-28T12:40:43.872Z</t>
  </si>
  <si>
    <t>2025-08-28T15:50:35.417+08</t>
  </si>
  <si>
    <t>2025-08-28T16:43:03.339+08</t>
  </si>
  <si>
    <t>H030264033</t>
  </si>
  <si>
    <t>uuid:291a6289-77be-4f0c-9eea-19ea32f11666</t>
  </si>
  <si>
    <t>2025-08-28T12:40:43.431Z</t>
  </si>
  <si>
    <t>2025-08-28T10:00:29.055+08</t>
  </si>
  <si>
    <t>2025-08-28T11:21:45.374+08</t>
  </si>
  <si>
    <t>H030264020</t>
  </si>
  <si>
    <t>uuid:0681d192-acc7-47b7-8291-64f503d70742</t>
  </si>
  <si>
    <t>2025-08-28T12:40:43.009Z</t>
  </si>
  <si>
    <t>2025-08-28T08:23:03.225+08</t>
  </si>
  <si>
    <t>2025-08-28T09:44:09.870+08</t>
  </si>
  <si>
    <t>H030264022</t>
  </si>
  <si>
    <t>uuid:7e0b057a-5743-45a2-a804-768bc018ac79</t>
  </si>
  <si>
    <t>2025-08-28T12:40:44.266Z</t>
  </si>
  <si>
    <t>2025-08-28T13:30:25.248+08</t>
  </si>
  <si>
    <t>2025-08-28T15:38:15.777+08</t>
  </si>
  <si>
    <t>H030264034</t>
  </si>
  <si>
    <t>uuid:bd795af8-8af3-456a-b809-85c05d2aa2f7</t>
  </si>
  <si>
    <t>2025-09-29T10:31:24.549Z</t>
  </si>
  <si>
    <t>2025-09-29T08:48:33.084+08</t>
  </si>
  <si>
    <t>2025-09-29T10:02:06.626+08</t>
  </si>
  <si>
    <t>H030415027</t>
  </si>
  <si>
    <t>uuid:619e80c9-d49b-438b-9ce5-986582b990d3</t>
  </si>
  <si>
    <t>2025-09-29T10:31:26.027Z</t>
  </si>
  <si>
    <t>2025-09-29T12:00:14.044+08</t>
  </si>
  <si>
    <t>2025-09-29T12:54:20.137+08</t>
  </si>
  <si>
    <t>H030415032</t>
  </si>
  <si>
    <t>uuid:c7a435db-5571-4fde-b1e4-fcc55a989cff</t>
  </si>
  <si>
    <t>2025-08-29T08:50:47.990Z</t>
  </si>
  <si>
    <t>2025-08-29T08:40:02.551+08</t>
  </si>
  <si>
    <t>2025-08-29T09:45:11.635+08</t>
  </si>
  <si>
    <t>H019687016</t>
  </si>
  <si>
    <t>uuid:0f3805c2-17c3-4823-a867-206767a4c095</t>
  </si>
  <si>
    <t>2025-08-29T08:50:49.729Z</t>
  </si>
  <si>
    <t>2025-08-29T09:52:15.354+08</t>
  </si>
  <si>
    <t>2025-08-29T11:38:46.875+08</t>
  </si>
  <si>
    <t>H019687022</t>
  </si>
  <si>
    <t>uuid:5287fa45-ddea-460e-be41-376710acd287</t>
  </si>
  <si>
    <t>2025-08-29T10:10:56.691Z</t>
  </si>
  <si>
    <t>2025-08-29T08:24:39.140+08</t>
  </si>
  <si>
    <t>2025-08-29T09:20:05.808+08</t>
  </si>
  <si>
    <t>H030106032</t>
  </si>
  <si>
    <t>uuid:e8086087-b208-4bf0-b63a-bdef740600d5</t>
  </si>
  <si>
    <t>2025-08-29T10:10:59.856Z</t>
  </si>
  <si>
    <t>2025-08-29T14:41:55.426+08</t>
  </si>
  <si>
    <t>2025-08-29T14:43:20.726+08</t>
  </si>
  <si>
    <t>H030106014</t>
  </si>
  <si>
    <t>uuid:64ef1e04-5b99-47ce-8fd9-0bdfa272cc88</t>
  </si>
  <si>
    <t>2025-08-29T10:11:01.027Z</t>
  </si>
  <si>
    <t>2025-08-29T09:33:10.598+08</t>
  </si>
  <si>
    <t>2025-08-29T10:39:26.336+08</t>
  </si>
  <si>
    <t>H030106033</t>
  </si>
  <si>
    <t>uuid:46034ee2-c750-467d-9c6d-726b8f9bc5e8</t>
  </si>
  <si>
    <t>2025-08-29T10:11:02.690Z</t>
  </si>
  <si>
    <t>2025-08-29T10:56:44.695+08</t>
  </si>
  <si>
    <t>2025-08-29T12:12:37.367+08</t>
  </si>
  <si>
    <t>H030106031</t>
  </si>
  <si>
    <t>uuid:7ea5b209-111f-410b-b635-2419533d6d94</t>
  </si>
  <si>
    <t>2025-08-29T10:11:03.740Z</t>
  </si>
  <si>
    <t>2025-08-29T13:38:13.141+08</t>
  </si>
  <si>
    <t>2025-08-29T14:18:53.349+08</t>
  </si>
  <si>
    <t>H030106026</t>
  </si>
  <si>
    <t>uuid:aa5894d4-e820-4af2-973f-edaefcd7c0f9</t>
  </si>
  <si>
    <t>2025-08-29T10:32:07.463Z</t>
  </si>
  <si>
    <t>2025-08-29T13:52:29.653+08</t>
  </si>
  <si>
    <t>2025-08-29T14:41:34.085+08</t>
  </si>
  <si>
    <t>H030106018</t>
  </si>
  <si>
    <t>uuid:b266c9ad-2d1c-4dee-95d3-3ddf80286fb1</t>
  </si>
  <si>
    <t>2025-08-29T10:32:08.026Z</t>
  </si>
  <si>
    <t>2025-08-29T11:12:13.076+08</t>
  </si>
  <si>
    <t>2025-08-29T12:09:56.332+08</t>
  </si>
  <si>
    <t>H030106030</t>
  </si>
  <si>
    <t>uuid:c3826388-520b-4ab4-90d5-f248caaa8430</t>
  </si>
  <si>
    <t>2025-08-29T10:32:08.477Z</t>
  </si>
  <si>
    <t>2025-08-29T09:32:01.567+08</t>
  </si>
  <si>
    <t>2025-08-29T10:38:39.060+08</t>
  </si>
  <si>
    <t>H030106017</t>
  </si>
  <si>
    <t>uuid:f9d78e28-ee41-42de-9bf6-81320272f0af</t>
  </si>
  <si>
    <t>2025-08-29T10:32:08.863Z</t>
  </si>
  <si>
    <t>2025-08-29T08:17:31.007+08</t>
  </si>
  <si>
    <t>2025-08-29T09:16:36.823+08</t>
  </si>
  <si>
    <t>H030106019</t>
  </si>
  <si>
    <t>uuid:d923ed32-c724-4ede-b3e6-a1708876c5ee</t>
  </si>
  <si>
    <t>2025-08-29T10:42:38.033Z</t>
  </si>
  <si>
    <t>2025-08-29T11:18:17.506+08</t>
  </si>
  <si>
    <t>2025-08-29T14:48:03.297+08</t>
  </si>
  <si>
    <t>H019625021</t>
  </si>
  <si>
    <t>uuid:91ccfd0c-7448-4edf-a72e-acc83cdd3a18</t>
  </si>
  <si>
    <t>2025-08-29T10:42:39.082Z</t>
  </si>
  <si>
    <t>2025-08-29T08:54:15.168+08</t>
  </si>
  <si>
    <t>2025-08-29T10:13:47.083+08</t>
  </si>
  <si>
    <t>H019625033</t>
  </si>
  <si>
    <t>uuid:333861ee-3742-490e-84ef-bda1dfd2322e</t>
  </si>
  <si>
    <t>2025-08-29T10:42:39.506Z</t>
  </si>
  <si>
    <t>2025-08-29T10:24:32.901+08</t>
  </si>
  <si>
    <t>2025-08-29T10:54:30.465+08</t>
  </si>
  <si>
    <t>H019625020</t>
  </si>
  <si>
    <t>uuid:69be208e-8993-4621-8344-4e131d7884f5</t>
  </si>
  <si>
    <t>2025-08-29T10:42:40.047Z</t>
  </si>
  <si>
    <t>2025-08-29T12:28:58.217+08</t>
  </si>
  <si>
    <t>2025-08-29T13:24:32.996+08</t>
  </si>
  <si>
    <t>H019625029</t>
  </si>
  <si>
    <t>uuid:b4f0747a-df74-4bb7-86ee-65883abe8a2c</t>
  </si>
  <si>
    <t>2025-08-29T10:42:42.481Z</t>
  </si>
  <si>
    <t>2025-08-29T11:32:02.321+08</t>
  </si>
  <si>
    <t>2025-08-29T12:13:14.781+08</t>
  </si>
  <si>
    <t>H019625016</t>
  </si>
  <si>
    <t>uuid:103d549f-a628-4453-b657-5dfa99b16361</t>
  </si>
  <si>
    <t>2025-08-29T10:42:42.094Z</t>
  </si>
  <si>
    <t>2025-08-29T10:35:59.973+08</t>
  </si>
  <si>
    <t>2025-08-29T11:22:56.080+08</t>
  </si>
  <si>
    <t>H019625024</t>
  </si>
  <si>
    <t>uuid:9436241f-216d-4cbe-913f-340a44796494</t>
  </si>
  <si>
    <t>2025-08-30T08:58:16.942Z</t>
  </si>
  <si>
    <t>2025-08-30T09:41:42.998+08</t>
  </si>
  <si>
    <t>2025-08-30T10:36:03.173+08</t>
  </si>
  <si>
    <t>H019625028</t>
  </si>
  <si>
    <t>uuid:835a3cf0-208d-477a-8cb1-14b0d3df1aa2</t>
  </si>
  <si>
    <t>2025-08-29T10:42:43.161Z</t>
  </si>
  <si>
    <t>2025-08-29T12:28:17.423+08</t>
  </si>
  <si>
    <t>2025-08-29T13:06:31.034+08</t>
  </si>
  <si>
    <t>H019625019</t>
  </si>
  <si>
    <t>uuid:5f43bf27-cc2c-4bc1-b1b3-fd743aadbc48</t>
  </si>
  <si>
    <t>2025-08-29T10:42:43.845Z</t>
  </si>
  <si>
    <t>2025-08-29T08:57:23.963+08</t>
  </si>
  <si>
    <t>2025-08-29T10:01:21.867+08</t>
  </si>
  <si>
    <t>H019625032</t>
  </si>
  <si>
    <t>uuid:5731bc7e-2957-4e1a-9496-563a070b005f</t>
  </si>
  <si>
    <t>2025-09-29T12:08:21.216Z</t>
  </si>
  <si>
    <t>2025-09-29T09:12:07.022+08</t>
  </si>
  <si>
    <t>2025-09-29T10:56:54.248+08</t>
  </si>
  <si>
    <t>H030326034</t>
  </si>
  <si>
    <t>uuid:4aac2a24-598e-4c51-88e8-5027f4219f68</t>
  </si>
  <si>
    <t>2025-08-29T10:53:19.521Z</t>
  </si>
  <si>
    <t>2025-08-29T10:11:50.509+08</t>
  </si>
  <si>
    <t>2025-08-29T11:10:38.310+08</t>
  </si>
  <si>
    <t>H030326021</t>
  </si>
  <si>
    <t>uuid:f61f8098-5265-41c0-94a1-7c8d78fa9e60</t>
  </si>
  <si>
    <t>2025-08-29T10:53:21.265Z</t>
  </si>
  <si>
    <t>2025-08-29T12:31:32.746+08</t>
  </si>
  <si>
    <t>2025-08-29T13:20:41.719+08</t>
  </si>
  <si>
    <t>H030326023</t>
  </si>
  <si>
    <t>uuid:5cb62fd4-09d3-4af2-97ea-49308cf37ca5</t>
  </si>
  <si>
    <t>2025-08-30T11:19:27.230Z</t>
  </si>
  <si>
    <t>2025-08-30T11:53:29.347+08</t>
  </si>
  <si>
    <t>2025-08-30T13:10:47.533+08</t>
  </si>
  <si>
    <t>H030326007</t>
  </si>
  <si>
    <t>uuid:c89bd2d4-ae33-41f0-8bdb-95355b7614e3</t>
  </si>
  <si>
    <t>2025-08-29T10:53:24.267Z</t>
  </si>
  <si>
    <t>2025-08-29T13:25:50.038+08</t>
  </si>
  <si>
    <t>2025-08-29T14:25:39.582+08</t>
  </si>
  <si>
    <t>H030326022</t>
  </si>
  <si>
    <t>uuid:7f6db42d-ba5a-49a5-9a98-b2a079ad22ba</t>
  </si>
  <si>
    <t>2025-08-29T10:53:26.358Z</t>
  </si>
  <si>
    <t>2025-08-29T09:07:59.681+08</t>
  </si>
  <si>
    <t>2025-08-29T10:03:20.240+08</t>
  </si>
  <si>
    <t>H030326028</t>
  </si>
  <si>
    <t>uuid:f8dda324-82f5-46fd-a30c-0773ecbd3d3c</t>
  </si>
  <si>
    <t>2025-08-29T11:05:40.460Z</t>
  </si>
  <si>
    <t>2025-08-29T10:19:18.415+08</t>
  </si>
  <si>
    <t>2025-08-29T10:55:49.332+08</t>
  </si>
  <si>
    <t>H019625026</t>
  </si>
  <si>
    <t>uuid:3003e2b5-d5ad-4ac9-b127-8d465797a8a8</t>
  </si>
  <si>
    <t>2025-08-29T11:05:39.597Z</t>
  </si>
  <si>
    <t>2025-08-29T08:51:17.890+08</t>
  </si>
  <si>
    <t>2025-08-29T09:50:32.728+08</t>
  </si>
  <si>
    <t>H019625030</t>
  </si>
  <si>
    <t>uuid:cb149a5f-01a8-4960-a3cd-2434a7766536</t>
  </si>
  <si>
    <t>2025-08-29T11:05:42.109Z</t>
  </si>
  <si>
    <t>2025-08-29T11:12:19.850+08</t>
  </si>
  <si>
    <t>2025-08-29T11:56:34.085+08</t>
  </si>
  <si>
    <t>H019625025</t>
  </si>
  <si>
    <t>uuid:73f84e80-0386-4213-9dcf-df70aadf3c8a</t>
  </si>
  <si>
    <t>2025-08-29T11:05:45.733Z</t>
  </si>
  <si>
    <t>2025-08-29T12:14:42.635+08</t>
  </si>
  <si>
    <t>2025-08-29T12:56:22.395+08</t>
  </si>
  <si>
    <t>H019625018</t>
  </si>
  <si>
    <t>uuid:25708ea6-703e-441c-9036-085fe2545217</t>
  </si>
  <si>
    <t>2025-08-29T11:06:57.903Z</t>
  </si>
  <si>
    <t>2025-08-29T08:03:25.482+08</t>
  </si>
  <si>
    <t>2025-08-29T09:17:42.166+08</t>
  </si>
  <si>
    <t>H030106035</t>
  </si>
  <si>
    <t>uuid:f1ac3f4b-e47e-4ab6-952a-9b8a9f30f292</t>
  </si>
  <si>
    <t>2025-08-29T11:06:59.337Z</t>
  </si>
  <si>
    <t>2025-08-29T09:52:14.396+08</t>
  </si>
  <si>
    <t>2025-08-29T11:15:32.103+08</t>
  </si>
  <si>
    <t>H030106028</t>
  </si>
  <si>
    <t>uuid:421a1e1b-de39-42c2-b029-8f76b5c9c1fd</t>
  </si>
  <si>
    <t>2025-08-29T11:07:00.890Z</t>
  </si>
  <si>
    <t>2025-08-29T12:17:50.900+08</t>
  </si>
  <si>
    <t>2025-08-29T13:22:08.077+08</t>
  </si>
  <si>
    <t>H030106020</t>
  </si>
  <si>
    <t>uuid:7a6f6f2b-500c-4d71-af06-2b63e4799411</t>
  </si>
  <si>
    <t>2025-08-29T11:07:01.650Z</t>
  </si>
  <si>
    <t>2025-08-29T13:39:01.125+08</t>
  </si>
  <si>
    <t>2025-08-29T14:57:36.983+08</t>
  </si>
  <si>
    <t>H030106023</t>
  </si>
  <si>
    <t>uuid:1263dacd-7c2f-4267-bdde-f26166005f42</t>
  </si>
  <si>
    <t>2025-08-29T11:33:07.044Z</t>
  </si>
  <si>
    <t>2025-08-29T08:21:40.205+08</t>
  </si>
  <si>
    <t>2025-08-29T09:10:17.269+08</t>
  </si>
  <si>
    <t>H030015017</t>
  </si>
  <si>
    <t>uuid:dbc620cb-1dd7-478d-b3ab-3a5c8a90625f</t>
  </si>
  <si>
    <t>2025-09-29T12:08:16.963Z</t>
  </si>
  <si>
    <t>2025-09-29T13:13:02.218+08</t>
  </si>
  <si>
    <t>2025-09-29T14:16:31.101+08</t>
  </si>
  <si>
    <t>H030015022</t>
  </si>
  <si>
    <t>uuid:a03d61a3-6193-4b3c-a94d-1fc087dcfeb8</t>
  </si>
  <si>
    <t>2025-09-30T10:00:22.420Z</t>
  </si>
  <si>
    <t>2025-09-30T10:15:26.711+08</t>
  </si>
  <si>
    <t>2025-09-30T11:26:04.866+08</t>
  </si>
  <si>
    <t>H030015030</t>
  </si>
  <si>
    <t>uuid:18dc604b-972c-4eb1-9a81-588b5f3f3428</t>
  </si>
  <si>
    <t>2025-08-29T11:35:20.949Z</t>
  </si>
  <si>
    <t>2025-08-29T08:35:50.952+08</t>
  </si>
  <si>
    <t>2025-08-29T10:20:45.874+08</t>
  </si>
  <si>
    <t>H030270032</t>
  </si>
  <si>
    <t>uuid:313aa158-9510-4b13-8355-2e695b83efc3</t>
  </si>
  <si>
    <t>2025-08-29T11:35:24.163Z</t>
  </si>
  <si>
    <t>2025-08-29T11:11:30.545+08</t>
  </si>
  <si>
    <t>2025-08-29T11:53:23.924+08</t>
  </si>
  <si>
    <t>H030270004</t>
  </si>
  <si>
    <t>uuid:6844e5a2-768c-477d-ab2b-0b1339715e2f</t>
  </si>
  <si>
    <t>2025-08-29T11:35:26.281Z</t>
  </si>
  <si>
    <t>2025-08-29T12:27:05.209+08</t>
  </si>
  <si>
    <t>2025-08-29T13:59:45.708+08</t>
  </si>
  <si>
    <t>H030270017</t>
  </si>
  <si>
    <t>uuid:49fbf7e8-d883-42e3-b0c9-90e7df66b723</t>
  </si>
  <si>
    <t>2025-09-28T11:38:47.801Z</t>
  </si>
  <si>
    <t>2025-09-28T14:37:43.886+08</t>
  </si>
  <si>
    <t>2025-09-28T15:37:26.881+08</t>
  </si>
  <si>
    <t>H030270031</t>
  </si>
  <si>
    <t>uuid:3ffed859-2fbb-498f-b124-69a781e4d5ec</t>
  </si>
  <si>
    <t>2025-08-29T11:40:03.422Z</t>
  </si>
  <si>
    <t>2025-08-29T08:45:32.727+08</t>
  </si>
  <si>
    <t>2025-08-29T10:05:03.560+08</t>
  </si>
  <si>
    <t>H030326024</t>
  </si>
  <si>
    <t>uuid:64b464f1-4fc9-4a62-9d77-86d2c584dea4</t>
  </si>
  <si>
    <t>2025-08-29T11:40:04.435Z</t>
  </si>
  <si>
    <t>2025-08-29T10:23:11.953+08</t>
  </si>
  <si>
    <t>2025-08-29T11:22:11.625+08</t>
  </si>
  <si>
    <t>H030326017</t>
  </si>
  <si>
    <t>uuid:9d3a81d2-c6ff-479d-bb48-469d9e21b953</t>
  </si>
  <si>
    <t>2025-08-30T11:19:29.010Z</t>
  </si>
  <si>
    <t>2025-08-30T13:24:33.367+08</t>
  </si>
  <si>
    <t>2025-08-30T14:20:32.636+08</t>
  </si>
  <si>
    <t>H030326020</t>
  </si>
  <si>
    <t>uuid:94d18308-88c1-4506-9d4d-0af4bd807a1a</t>
  </si>
  <si>
    <t>2025-08-29T11:40:06.108Z</t>
  </si>
  <si>
    <t>2025-08-29T14:51:20.360+08</t>
  </si>
  <si>
    <t>2025-08-29T16:03:28.106+08</t>
  </si>
  <si>
    <t>H030326015</t>
  </si>
  <si>
    <t>uuid:f9edb384-27bb-48dc-8a86-aefc47082ce3</t>
  </si>
  <si>
    <t>2025-08-29T11:40:07.456Z</t>
  </si>
  <si>
    <t>2025-08-29T12:42:37.306+08</t>
  </si>
  <si>
    <t>2025-08-29T14:37:04.353+08</t>
  </si>
  <si>
    <t>H030326018</t>
  </si>
  <si>
    <t>uuid:6f24ea14-edd8-4e87-a4b0-71d0f785a097</t>
  </si>
  <si>
    <t>2025-08-30T11:19:25.723Z</t>
  </si>
  <si>
    <t>2025-08-30T08:42:46.514+08</t>
  </si>
  <si>
    <t>2025-08-30T10:35:02.327+08</t>
  </si>
  <si>
    <t>H030326016</t>
  </si>
  <si>
    <t>uuid:8e3cddab-14f7-4573-b9f2-49e77ecb9072</t>
  </si>
  <si>
    <t>2025-08-29T11:41:03.064Z</t>
  </si>
  <si>
    <t>2025-08-29T09:14:28.690+08</t>
  </si>
  <si>
    <t>2025-08-29T09:57:59.874+08</t>
  </si>
  <si>
    <t>H030514017</t>
  </si>
  <si>
    <t>uuid:756dd47e-33a2-4533-9722-03065ca0e240</t>
  </si>
  <si>
    <t>2025-08-29T11:41:05.569Z</t>
  </si>
  <si>
    <t>2025-08-29T11:44:08.450+08</t>
  </si>
  <si>
    <t>2025-08-29T12:32:33.076+08</t>
  </si>
  <si>
    <t>H030514025</t>
  </si>
  <si>
    <t>uuid:7a699d46-cd07-4464-8f8f-b539e2d319a7</t>
  </si>
  <si>
    <t>2025-08-29T11:41:06.307Z</t>
  </si>
  <si>
    <t>2025-08-29T13:40:52.715+08</t>
  </si>
  <si>
    <t>2025-08-29T15:01:20.344+08</t>
  </si>
  <si>
    <t>H030514019</t>
  </si>
  <si>
    <t>uuid:acb5f9b3-d0e9-489f-a883-3009c0c4a337</t>
  </si>
  <si>
    <t>2025-08-29T11:41:37.624Z</t>
  </si>
  <si>
    <t>2025-08-29T08:34:43.542+08</t>
  </si>
  <si>
    <t>2025-08-29T09:40:33.617+08</t>
  </si>
  <si>
    <t>H030270033</t>
  </si>
  <si>
    <t>uuid:4c35d856-d211-4abc-9ef5-4144c9b11496</t>
  </si>
  <si>
    <t>2025-08-29T11:41:44.452Z</t>
  </si>
  <si>
    <t>2025-08-29T10:59:51.940+08</t>
  </si>
  <si>
    <t>2025-08-29T12:24:28.513+08</t>
  </si>
  <si>
    <t>H030270019</t>
  </si>
  <si>
    <t>uuid:63c0463b-3ac1-4cdd-a802-b90272ad15ba</t>
  </si>
  <si>
    <t>2025-08-30T11:20:17.446Z</t>
  </si>
  <si>
    <t>2025-08-30T13:02:41.365+08</t>
  </si>
  <si>
    <t>2025-08-30T13:33:41.748+08</t>
  </si>
  <si>
    <t>H030270029</t>
  </si>
  <si>
    <t>uuid:2870a0b8-7cb3-4ee3-9d78-eb6527f4c007</t>
  </si>
  <si>
    <t>2025-08-29T11:41:47.096Z</t>
  </si>
  <si>
    <t>2025-08-29T14:27:21.959+08</t>
  </si>
  <si>
    <t>2025-08-29T15:32:56.352+08</t>
  </si>
  <si>
    <t>H030270021</t>
  </si>
  <si>
    <t>uuid:9c319e9b-17ea-45f9-acce-0bae6dd2e825</t>
  </si>
  <si>
    <t>2025-08-29T11:58:32.505Z</t>
  </si>
  <si>
    <t>2025-08-29T09:39:27.425+08</t>
  </si>
  <si>
    <t>2025-08-29T11:02:03.887+08</t>
  </si>
  <si>
    <t>H030514022</t>
  </si>
  <si>
    <t>uuid:1f4951aa-3201-41a2-b18b-fe38741e81b4</t>
  </si>
  <si>
    <t>2025-08-29T12:04:49.965Z</t>
  </si>
  <si>
    <t>2025-08-29T12:34:29.413+08</t>
  </si>
  <si>
    <t>2025-08-29T13:37:00.141+08</t>
  </si>
  <si>
    <t>H030507029</t>
  </si>
  <si>
    <t>uuid:3ad7e6c6-aa9c-4460-b3d9-51f87944bdda</t>
  </si>
  <si>
    <t>2025-08-29T12:04:51.574Z</t>
  </si>
  <si>
    <t>2025-08-29T14:50:53.020+08</t>
  </si>
  <si>
    <t>2025-08-29T15:44:48.286+08</t>
  </si>
  <si>
    <t>H030507031</t>
  </si>
  <si>
    <t>uuid:83f15abd-0df7-4404-b496-14b947f8e151</t>
  </si>
  <si>
    <t>2025-08-29T12:04:52.738Z</t>
  </si>
  <si>
    <t>2025-08-29T16:24:47.612+08</t>
  </si>
  <si>
    <t>2025-08-29T17:07:23.817+08</t>
  </si>
  <si>
    <t>H030507028</t>
  </si>
  <si>
    <t>uuid:9799b255-2621-4773-8bcd-1e3b16bb0f78</t>
  </si>
  <si>
    <t>2025-08-29T12:34:39.072Z</t>
  </si>
  <si>
    <t>2025-08-29T12:12:18.572+08</t>
  </si>
  <si>
    <t>2025-08-29T12:57:07.506+08</t>
  </si>
  <si>
    <t>H019687028</t>
  </si>
  <si>
    <t>uuid:dd437df3-774d-445e-a4e9-16377df898b7</t>
  </si>
  <si>
    <t>2025-08-29T12:34:41.062Z</t>
  </si>
  <si>
    <t>2025-08-29T09:04:45.852+08</t>
  </si>
  <si>
    <t>2025-08-29T19:56:29.251+08</t>
  </si>
  <si>
    <t>H019687033</t>
  </si>
  <si>
    <t>uuid:3c594b1c-a812-423a-8ca2-abeb04a595cc</t>
  </si>
  <si>
    <t>2025-08-29T12:34:42.116Z</t>
  </si>
  <si>
    <t>2025-08-29T13:05:22.329+08</t>
  </si>
  <si>
    <t>2025-08-29T20:33:48.933+08</t>
  </si>
  <si>
    <t>H019687029</t>
  </si>
  <si>
    <t>uuid:2e92f326-6682-495f-b7ac-3e01739789d8</t>
  </si>
  <si>
    <t>2025-08-29T12:34:43.772Z</t>
  </si>
  <si>
    <t>2025-08-29T11:08:01.945+08</t>
  </si>
  <si>
    <t>2025-08-29T11:59:13.752+08</t>
  </si>
  <si>
    <t>H019687026</t>
  </si>
  <si>
    <t>uuid:9ab6d70e-59b8-42bd-931c-f974a605f0be</t>
  </si>
  <si>
    <t>2025-08-29T12:43:47.373Z</t>
  </si>
  <si>
    <t>2025-08-29T08:48:01.105+08</t>
  </si>
  <si>
    <t>2025-08-29T09:46:15.260+08</t>
  </si>
  <si>
    <t>H019687031</t>
  </si>
  <si>
    <t>uuid:7d7197c6-eb2e-43c3-b158-abf076254c46</t>
  </si>
  <si>
    <t>2025-08-29T12:43:48.419Z</t>
  </si>
  <si>
    <t>2025-08-29T09:55:33.422+08</t>
  </si>
  <si>
    <t>2025-08-29T11:14:12.205+08</t>
  </si>
  <si>
    <t>H019687032</t>
  </si>
  <si>
    <t>uuid:15dc11c8-905e-40f3-829a-4b0ea1f36075</t>
  </si>
  <si>
    <t>2025-08-29T12:43:48.962Z</t>
  </si>
  <si>
    <t>2025-08-29T11:23:01.908+08</t>
  </si>
  <si>
    <t>2025-08-29T11:51:12.984+08</t>
  </si>
  <si>
    <t>H019687024</t>
  </si>
  <si>
    <t>uuid:3a5f7a54-d319-4774-9bc1-fe4d84cc665d</t>
  </si>
  <si>
    <t>2025-08-29T12:43:49.717Z</t>
  </si>
  <si>
    <t>2025-08-29T11:59:19.400+08</t>
  </si>
  <si>
    <t>2025-08-29T12:38:35.308+08</t>
  </si>
  <si>
    <t>H019687030</t>
  </si>
  <si>
    <t>uuid:9b742461-0802-4267-93de-be8709d91d93</t>
  </si>
  <si>
    <t>2025-08-29T13:13:11.134Z</t>
  </si>
  <si>
    <t>2025-08-29T09:40:02.261+08</t>
  </si>
  <si>
    <t>2025-08-29T10:58:10.043+08</t>
  </si>
  <si>
    <t>H030507022</t>
  </si>
  <si>
    <t>uuid:8d12d998-54fc-4f3d-bdef-9cbdf817f88b</t>
  </si>
  <si>
    <t>2025-08-29T13:13:13.706Z</t>
  </si>
  <si>
    <t>2025-08-29T12:54:42.707+08</t>
  </si>
  <si>
    <t>2025-08-29T13:24:04.013+08</t>
  </si>
  <si>
    <t>H030507027</t>
  </si>
  <si>
    <t>uuid:ada5a6e6-d1c7-4835-9eaa-4e0eef1df339</t>
  </si>
  <si>
    <t>2025-08-29T13:13:14.175Z</t>
  </si>
  <si>
    <t>2025-08-29T13:47:33.740+08</t>
  </si>
  <si>
    <t>2025-08-29T14:36:42.248+08</t>
  </si>
  <si>
    <t>H030507035</t>
  </si>
  <si>
    <t>uuid:e76d79a5-1b42-4901-8a1f-75c407cbe9a0</t>
  </si>
  <si>
    <t>2025-08-29T13:13:14.673Z</t>
  </si>
  <si>
    <t>2025-08-29T15:27:52.033+08</t>
  </si>
  <si>
    <t>2025-08-29T16:15:53.511+08</t>
  </si>
  <si>
    <t>H030507030</t>
  </si>
  <si>
    <t>uuid:3e0b833c-fd95-4373-bcac-2cfb9a8cc7cd</t>
  </si>
  <si>
    <t>2025-08-29T13:19:38.632Z</t>
  </si>
  <si>
    <t>2025-08-29T10:17:32.720+08</t>
  </si>
  <si>
    <t>2025-08-29T11:45:28.873+08</t>
  </si>
  <si>
    <t>H030507032</t>
  </si>
  <si>
    <t>uuid:67d18d04-1285-4ff8-9625-160247b4fd7a</t>
  </si>
  <si>
    <t>2025-08-29T13:19:39.237Z</t>
  </si>
  <si>
    <t>2025-08-29T14:23:48.691+08</t>
  </si>
  <si>
    <t>2025-08-29T16:23:26.937+08</t>
  </si>
  <si>
    <t>H030507034</t>
  </si>
  <si>
    <t>uuid:de57bf01-b913-4ac3-a01a-416f66fa4ce2</t>
  </si>
  <si>
    <t>2025-08-29T13:28:42.173Z</t>
  </si>
  <si>
    <t>2025-08-29T09:41:50.220+08</t>
  </si>
  <si>
    <t>2025-08-29T10:22:39.750+08</t>
  </si>
  <si>
    <t>H030507017</t>
  </si>
  <si>
    <t>uuid:dd1cf6db-e96b-4a8e-bf82-de45414747d4</t>
  </si>
  <si>
    <t>2025-08-29T13:28:43.380Z</t>
  </si>
  <si>
    <t>2025-08-29T10:42:07.950+08</t>
  </si>
  <si>
    <t>2025-08-29T11:32:46.449+08</t>
  </si>
  <si>
    <t>H030507018</t>
  </si>
  <si>
    <t>uuid:2d02511b-19a1-4105-a489-b36054f4d892</t>
  </si>
  <si>
    <t>2025-08-29T13:28:44.144Z</t>
  </si>
  <si>
    <t>2025-08-29T12:56:34.184+08</t>
  </si>
  <si>
    <t>2025-08-29T14:12:20.694+08</t>
  </si>
  <si>
    <t>H030507023</t>
  </si>
  <si>
    <t>uuid:3d97f520-ca67-4051-99ad-fa98d648281e</t>
  </si>
  <si>
    <t>2025-08-29T13:28:44.542Z</t>
  </si>
  <si>
    <t>2025-08-29T14:30:05.753+08</t>
  </si>
  <si>
    <t>2025-08-29T15:22:24.517+08</t>
  </si>
  <si>
    <t>H030507024</t>
  </si>
  <si>
    <t>uuid:edde8514-09c2-401f-9eaf-03a1aace3728</t>
  </si>
  <si>
    <t>2025-08-30T09:52:45.903Z</t>
  </si>
  <si>
    <t>2025-08-30T10:07:00.944+08</t>
  </si>
  <si>
    <t>2025-08-30T14:11:23.329+08</t>
  </si>
  <si>
    <t>H019625023</t>
  </si>
  <si>
    <t>uuid:29fff88b-2427-44c9-92ae-cdf33accc24d</t>
  </si>
  <si>
    <t>2025-10-05T12:47:27.710Z</t>
  </si>
  <si>
    <t>2025-10-05T10:09:42.193+08</t>
  </si>
  <si>
    <t>2025-10-05T11:33:04.098+08</t>
  </si>
  <si>
    <t>H030179026</t>
  </si>
  <si>
    <t>uuid:228da2bf-584f-4c4f-8dd6-87d6a86ad400</t>
  </si>
  <si>
    <t>2025-08-30T10:24:52.675Z</t>
  </si>
  <si>
    <t>2025-08-30T14:19:40.820+08</t>
  </si>
  <si>
    <t>2025-08-30T15:27:08.353+08</t>
  </si>
  <si>
    <t>H030179023</t>
  </si>
  <si>
    <t>uuid:f2515819-1499-4ad3-b71a-f74c545ba9f6</t>
  </si>
  <si>
    <t>2025-08-30T10:24:53.990Z</t>
  </si>
  <si>
    <t>2025-08-30T08:59:36.141+08</t>
  </si>
  <si>
    <t>2025-08-30T09:35:47.039+08</t>
  </si>
  <si>
    <t>H030179033</t>
  </si>
  <si>
    <t>uuid:b36d879c-382b-4d0c-84ba-50dc6cbac480</t>
  </si>
  <si>
    <t>2025-08-30T10:24:54.834Z</t>
  </si>
  <si>
    <t>2025-08-30T10:18:14.816+08</t>
  </si>
  <si>
    <t>2025-08-30T10:59:50.364+08</t>
  </si>
  <si>
    <t>H030179035</t>
  </si>
  <si>
    <t>uuid:0fa6d8c5-fe01-49b2-a9b2-aed409a4b2d2</t>
  </si>
  <si>
    <t>2025-08-30T10:24:55.435Z</t>
  </si>
  <si>
    <t>2025-08-30T11:17:34.572+08</t>
  </si>
  <si>
    <t>2025-08-30T12:22:45.355+08</t>
  </si>
  <si>
    <t>H030179031</t>
  </si>
  <si>
    <t>uuid:1f8c108a-8524-4c07-8d15-3489b2c6d85b</t>
  </si>
  <si>
    <t>2025-08-30T10:29:41.874Z</t>
  </si>
  <si>
    <t>2025-08-30T10:16:11.259+08</t>
  </si>
  <si>
    <t>2025-08-30T11:29:45.802+08</t>
  </si>
  <si>
    <t>H030179020</t>
  </si>
  <si>
    <t>uuid:8281df3e-21f0-4cfa-8964-3fbe04d753d3</t>
  </si>
  <si>
    <t>2025-10-05T12:47:28.722Z</t>
  </si>
  <si>
    <t>2025-10-05T11:33:51.390+08</t>
  </si>
  <si>
    <t>2025-10-05T15:35:54.091+08</t>
  </si>
  <si>
    <t>H030179004</t>
  </si>
  <si>
    <t>uuid:5d6a365b-deaa-459f-8228-9235e2f520cf</t>
  </si>
  <si>
    <t>2025-08-30T10:29:43.454Z</t>
  </si>
  <si>
    <t>2025-08-30T08:51:15.037+08</t>
  </si>
  <si>
    <t>2025-08-30T10:09:40.106+08</t>
  </si>
  <si>
    <t>H030179018</t>
  </si>
  <si>
    <t>uuid:e2042af9-e27c-4977-80e4-99a94711891d</t>
  </si>
  <si>
    <t>2025-08-30T10:29:44.787Z</t>
  </si>
  <si>
    <t>2025-08-30T11:31:13.902+08</t>
  </si>
  <si>
    <t>2025-08-30T13:12:39.820+08</t>
  </si>
  <si>
    <t>H030179028</t>
  </si>
  <si>
    <t>uuid:84ad5cf4-2cb3-498e-b093-a303efc50e2e</t>
  </si>
  <si>
    <t>2025-08-30T10:52:00.685Z</t>
  </si>
  <si>
    <t>2025-08-30T09:48:52.748+08</t>
  </si>
  <si>
    <t>2025-08-30T10:37:25.119+08</t>
  </si>
  <si>
    <t>H019196019</t>
  </si>
  <si>
    <t>uuid:667aef66-449b-4966-835f-7477d98b1c2e</t>
  </si>
  <si>
    <t>2025-08-30T10:52:02.383Z</t>
  </si>
  <si>
    <t>2025-08-30T12:36:13.628+08</t>
  </si>
  <si>
    <t>2025-08-30T13:03:03.484+08</t>
  </si>
  <si>
    <t>H019196026</t>
  </si>
  <si>
    <t>uuid:117c4805-0d7f-4c82-8869-e5bbc4eec5c8</t>
  </si>
  <si>
    <t>2025-08-30T10:52:01.874Z</t>
  </si>
  <si>
    <t>2025-08-30T11:10:25.601+08</t>
  </si>
  <si>
    <t>2025-08-30T11:54:12.264+08</t>
  </si>
  <si>
    <t>H019196022</t>
  </si>
  <si>
    <t>uuid:c6b3545a-09ec-47be-8aef-711cf215f00a</t>
  </si>
  <si>
    <t>2025-09-25T07:57:02.352Z</t>
  </si>
  <si>
    <t>2025-09-25T09:34:19.998+08</t>
  </si>
  <si>
    <t>2025-09-25T10:29:12.640+08</t>
  </si>
  <si>
    <t>H019196025</t>
  </si>
  <si>
    <t>uuid:d4c6c70d-8467-4df9-8fbd-cec7e03236ae</t>
  </si>
  <si>
    <t>2025-09-25T07:56:56.437Z</t>
  </si>
  <si>
    <t>2025-09-25T07:45:59.780+08</t>
  </si>
  <si>
    <t>2025-09-25T08:33:02.717+08</t>
  </si>
  <si>
    <t>H019196029</t>
  </si>
  <si>
    <t>uuid:6d469b1d-821e-4d46-8052-79932e698dad</t>
  </si>
  <si>
    <t>2025-08-30T10:59:41.639Z</t>
  </si>
  <si>
    <t>2025-08-30T12:24:16.280+08</t>
  </si>
  <si>
    <t>2025-08-30T16:11:28.444+08</t>
  </si>
  <si>
    <t>H019196032</t>
  </si>
  <si>
    <t>uuid:39a8c721-2adf-447a-98b9-7b186e8aecec</t>
  </si>
  <si>
    <t>2025-08-30T10:59:42.358Z</t>
  </si>
  <si>
    <t>2025-08-30T10:53:34.447+08</t>
  </si>
  <si>
    <t>2025-08-30T16:14:07.554+08</t>
  </si>
  <si>
    <t>H019196021</t>
  </si>
  <si>
    <t>uuid:af98e64f-53b3-408e-b629-da4f12168cca</t>
  </si>
  <si>
    <t>2025-08-30T10:59:43.015Z</t>
  </si>
  <si>
    <t>2025-08-30T09:02:51.973+08</t>
  </si>
  <si>
    <t>2025-08-30T16:15:40.770+08</t>
  </si>
  <si>
    <t>H019196030</t>
  </si>
  <si>
    <t>uuid:38e919b4-4b40-476b-ae87-108c13f80850</t>
  </si>
  <si>
    <t>2025-09-25T07:57:03.833Z</t>
  </si>
  <si>
    <t>2025-09-25T12:29:08.478+08</t>
  </si>
  <si>
    <t>2025-09-25T12:31:16.894+08</t>
  </si>
  <si>
    <t>H019196020</t>
  </si>
  <si>
    <t>uuid:2b84e0a1-3e46-4430-8449-4858136f716a</t>
  </si>
  <si>
    <t>2025-08-30T11:04:13.058Z</t>
  </si>
  <si>
    <t>2025-08-30T09:44:39.876+08</t>
  </si>
  <si>
    <t>2025-08-30T10:24:20.067+08</t>
  </si>
  <si>
    <t>H019625022</t>
  </si>
  <si>
    <t>uuid:7fbab6ed-0e76-4200-a7c6-63bb1fe803fd</t>
  </si>
  <si>
    <t>2025-09-25T08:53:12.724Z</t>
  </si>
  <si>
    <t>2025-09-25T12:57:36.117+08</t>
  </si>
  <si>
    <t>2025-09-25T13:31:06.245+08</t>
  </si>
  <si>
    <t>H019728019</t>
  </si>
  <si>
    <t>Aila Eli_2</t>
  </si>
  <si>
    <t>uuid:529f8e3f-e4ad-4f4f-a8ad-c801cdba457c</t>
  </si>
  <si>
    <t>2025-08-30T11:18:48.155Z</t>
  </si>
  <si>
    <t>2025-08-30T10:56:20.270+08</t>
  </si>
  <si>
    <t>2025-08-30T11:45:47.892+08</t>
  </si>
  <si>
    <t>H030048028</t>
  </si>
  <si>
    <t>uuid:da850679-de28-44a4-9293-cea3d4e34303</t>
  </si>
  <si>
    <t>2025-08-30T11:18:49.257Z</t>
  </si>
  <si>
    <t>2025-08-30T13:55:17.992+08</t>
  </si>
  <si>
    <t>2025-08-30T15:20:59.389+08</t>
  </si>
  <si>
    <t>H030048007</t>
  </si>
  <si>
    <t>uuid:9ec00d69-6b6c-430f-96dc-9e93df3cf7c9</t>
  </si>
  <si>
    <t>2025-10-03T11:29:52.553Z</t>
  </si>
  <si>
    <t>2025-10-03T11:53:35.412+08</t>
  </si>
  <si>
    <t>2025-10-03T12:38:04.070+08</t>
  </si>
  <si>
    <t>H030048033</t>
  </si>
  <si>
    <t>uuid:9d020eed-b202-4ca3-8b7e-d2e436e12e04</t>
  </si>
  <si>
    <t>2025-08-30T11:18:50.576Z</t>
  </si>
  <si>
    <t>2025-08-30T12:00:18.667+08</t>
  </si>
  <si>
    <t>2025-08-30T12:52:16.547+08</t>
  </si>
  <si>
    <t>H030048019</t>
  </si>
  <si>
    <t>uuid:cec54683-5db1-4502-a280-02da6db1d7db</t>
  </si>
  <si>
    <t>2025-08-30T11:18:51.396Z</t>
  </si>
  <si>
    <t>2025-08-30T09:45:05.460+08</t>
  </si>
  <si>
    <t>2025-08-30T10:49:15.513+08</t>
  </si>
  <si>
    <t>H030048030</t>
  </si>
  <si>
    <t>uuid:ee3a022c-9cc4-40d1-8244-a503891fa414</t>
  </si>
  <si>
    <t>2025-08-30T11:19:26.363Z</t>
  </si>
  <si>
    <t>2025-08-30T10:44:05.696+08</t>
  </si>
  <si>
    <t>2025-08-30T11:43:10.075+08</t>
  </si>
  <si>
    <t>H030326033</t>
  </si>
  <si>
    <t>uuid:b5c965ad-8397-43c8-a912-39eb7bb23d52</t>
  </si>
  <si>
    <t>2025-08-30T11:19:30.354Z</t>
  </si>
  <si>
    <t>2025-08-30T15:11:32.904+08</t>
  </si>
  <si>
    <t>2025-08-30T15:58:30.407+08</t>
  </si>
  <si>
    <t>H030326019</t>
  </si>
  <si>
    <t>uuid:f6648c1e-a847-449e-bc83-c95c421b36fc</t>
  </si>
  <si>
    <t>2025-08-30T11:20:13.080Z</t>
  </si>
  <si>
    <t>2025-08-30T09:29:13.769+08</t>
  </si>
  <si>
    <t>2025-08-30T10:41:53.417+08</t>
  </si>
  <si>
    <t>H030270023</t>
  </si>
  <si>
    <t>uuid:bc7e2437-4bc6-4452-853d-2d11d8c3f553</t>
  </si>
  <si>
    <t>2025-08-30T11:20:16.274Z</t>
  </si>
  <si>
    <t>2025-08-30T11:51:23.677+08</t>
  </si>
  <si>
    <t>2025-08-30T12:34:10.224+08</t>
  </si>
  <si>
    <t>H030270025</t>
  </si>
  <si>
    <t>uuid:3ab54743-8037-4862-90d7-66e5451dd7b0</t>
  </si>
  <si>
    <t>2025-09-29T12:02:56.918Z</t>
  </si>
  <si>
    <t>2025-09-29T16:07:37.769+08</t>
  </si>
  <si>
    <t>2025-09-29T19:43:06.523+08</t>
  </si>
  <si>
    <t>H030270020</t>
  </si>
  <si>
    <t>uuid:85d66bff-e68a-42a5-ba44-a57e313821c3</t>
  </si>
  <si>
    <t>2025-08-30T11:20:21.566Z</t>
  </si>
  <si>
    <t>2025-08-30T09:21:18.350+08</t>
  </si>
  <si>
    <t>2025-08-30T11:20:52.496+08</t>
  </si>
  <si>
    <t>H030332021</t>
  </si>
  <si>
    <t>uuid:ee677ce5-cc49-414c-91fa-e5ea0751da7f</t>
  </si>
  <si>
    <t>2025-08-30T11:20:40.292Z</t>
  </si>
  <si>
    <t>2025-08-30T12:18:45.547+08</t>
  </si>
  <si>
    <t>2025-08-30T13:03:09.894+08</t>
  </si>
  <si>
    <t>H030332024</t>
  </si>
  <si>
    <t>uuid:bb504f0e-e1bf-4118-b5f9-e8b62a2b3801</t>
  </si>
  <si>
    <t>2025-08-30T11:20:50.732Z</t>
  </si>
  <si>
    <t>2025-08-30T13:52:34.175+08</t>
  </si>
  <si>
    <t>2025-08-30T15:08:16.046+08</t>
  </si>
  <si>
    <t>H030332032</t>
  </si>
  <si>
    <t>uuid:4f476eba-3b94-44a1-9312-316b652ad949</t>
  </si>
  <si>
    <t>2025-08-30T11:24:35.185Z</t>
  </si>
  <si>
    <t>2025-08-30T09:28:53.107+08</t>
  </si>
  <si>
    <t>2025-08-30T10:54:53.896+08</t>
  </si>
  <si>
    <t>H030270008</t>
  </si>
  <si>
    <t>uuid:f900872a-4c19-4169-a297-1fbdc6f8e3fb</t>
  </si>
  <si>
    <t>2025-08-30T11:24:36.513Z</t>
  </si>
  <si>
    <t>2025-08-30T11:37:32.138+08</t>
  </si>
  <si>
    <t>2025-08-30T13:01:49.428+08</t>
  </si>
  <si>
    <t>H030270027</t>
  </si>
  <si>
    <t>uuid:2e6b1cdf-97ea-4133-a303-155c6ff6ba5c</t>
  </si>
  <si>
    <t>2025-08-30T11:24:37.354Z</t>
  </si>
  <si>
    <t>2025-08-30T13:28:43.487+08</t>
  </si>
  <si>
    <t>2025-08-30T14:17:41.864+08</t>
  </si>
  <si>
    <t>H030270034</t>
  </si>
  <si>
    <t>uuid:486ae7ba-c7a3-4e3d-95c6-1e0eb4cc20be</t>
  </si>
  <si>
    <t>2025-08-30T11:24:38.872Z</t>
  </si>
  <si>
    <t>2025-08-30T14:46:53.277+08</t>
  </si>
  <si>
    <t>2025-08-30T15:44:42.743+08</t>
  </si>
  <si>
    <t>H030270006</t>
  </si>
  <si>
    <t>uuid:db05b18e-92f6-4121-b2a8-3e01f2376642</t>
  </si>
  <si>
    <t>2025-08-30T11:24:40.263Z</t>
  </si>
  <si>
    <t>2025-08-30T09:17:42.741+08</t>
  </si>
  <si>
    <t>2025-08-30T10:21:59.310+08</t>
  </si>
  <si>
    <t>H030332022</t>
  </si>
  <si>
    <t>uuid:e5e885f9-f100-4dfc-9da3-6e49a23ca1da</t>
  </si>
  <si>
    <t>2025-08-30T11:24:42.107Z</t>
  </si>
  <si>
    <t>2025-08-30T11:09:51.663+08</t>
  </si>
  <si>
    <t>2025-08-30T12:17:05.250+08</t>
  </si>
  <si>
    <t>H030332018</t>
  </si>
  <si>
    <t>uuid:771c48f4-ceed-434a-a382-5c058d152e95</t>
  </si>
  <si>
    <t>2025-09-01T10:40:52.614Z</t>
  </si>
  <si>
    <t>2025-09-01T09:01:59.628+08</t>
  </si>
  <si>
    <t>2025-09-01T10:31:00.843+08</t>
  </si>
  <si>
    <t>H030332035</t>
  </si>
  <si>
    <t>uuid:3f70c573-26bd-4730-9905-4f169e443d8f</t>
  </si>
  <si>
    <t>2025-08-30T11:24:46.720Z</t>
  </si>
  <si>
    <t>2025-08-30T13:03:44.762+08</t>
  </si>
  <si>
    <t>2025-08-30T14:04:28.663+08</t>
  </si>
  <si>
    <t>H030332026</t>
  </si>
  <si>
    <t>uuid:fd31dc5d-4403-4366-9a97-0d98e97e4e84</t>
  </si>
  <si>
    <t>2025-08-30T11:27:52.908Z</t>
  </si>
  <si>
    <t>2025-08-30T09:47:39.596+08</t>
  </si>
  <si>
    <t>2025-08-30T10:43:17.762+08</t>
  </si>
  <si>
    <t>H030048024</t>
  </si>
  <si>
    <t>uuid:7c6ded43-29e7-4b2e-9e9b-6ac12a41bf5b</t>
  </si>
  <si>
    <t>2025-08-30T11:27:53.636Z</t>
  </si>
  <si>
    <t>2025-08-30T12:04:05.529+08</t>
  </si>
  <si>
    <t>2025-08-30T13:30:02.720+08</t>
  </si>
  <si>
    <t>H030048020</t>
  </si>
  <si>
    <t>uuid:3127f880-691d-47c2-b472-ba63d73208da</t>
  </si>
  <si>
    <t>2025-10-03T11:10:48.171Z</t>
  </si>
  <si>
    <t>2025-10-03T11:35:20.592+08</t>
  </si>
  <si>
    <t>2025-10-03T12:34:19.837+08</t>
  </si>
  <si>
    <t>H030048029</t>
  </si>
  <si>
    <t>uuid:60ba77ef-2551-4475-a07a-55469003370d</t>
  </si>
  <si>
    <t>2025-08-30T11:27:55.228Z</t>
  </si>
  <si>
    <t>2025-08-30T10:55:02.229+08</t>
  </si>
  <si>
    <t>2025-08-30T11:49:44.943+08</t>
  </si>
  <si>
    <t>H030048032</t>
  </si>
  <si>
    <t>uuid:b6bb4b7f-3372-4a1e-b9bd-f5889584c6af</t>
  </si>
  <si>
    <t>2025-08-30T11:37:56.599Z</t>
  </si>
  <si>
    <t>2025-08-30T09:04:19.830+08</t>
  </si>
  <si>
    <t>2025-08-30T10:12:15.753+08</t>
  </si>
  <si>
    <t>H030179029</t>
  </si>
  <si>
    <t>uuid:1e00fda6-38b8-4e19-91b1-043cf548acc3</t>
  </si>
  <si>
    <t>2025-08-30T11:37:58.486Z</t>
  </si>
  <si>
    <t>2025-08-30T12:52:49.349+08</t>
  </si>
  <si>
    <t>2025-08-30T14:13:04.530+08</t>
  </si>
  <si>
    <t>H030179032</t>
  </si>
  <si>
    <t>uuid:7936ebb5-2d3c-4214-a60d-f67369593be5</t>
  </si>
  <si>
    <t>2025-08-30T11:37:57.730Z</t>
  </si>
  <si>
    <t>2025-08-30T10:18:26.567+08</t>
  </si>
  <si>
    <t>2025-08-30T11:39:58.895+08</t>
  </si>
  <si>
    <t>H030179024</t>
  </si>
  <si>
    <t>uuid:9378a320-daba-4e82-9cfb-82584d3a41f3</t>
  </si>
  <si>
    <t>2025-10-05T12:47:26.576Z</t>
  </si>
  <si>
    <t>2025-10-05T09:01:27.515+08</t>
  </si>
  <si>
    <t>2025-10-05T10:08:22.821+08</t>
  </si>
  <si>
    <t>H030179034</t>
  </si>
  <si>
    <t>uuid:6ccc9580-ad3c-4021-b5ed-14d8827fc9c2</t>
  </si>
  <si>
    <t>2025-08-30T11:37:59.564Z</t>
  </si>
  <si>
    <t>2025-08-30T16:33:09.460+08</t>
  </si>
  <si>
    <t>2025-08-30T16:35:44.192+08</t>
  </si>
  <si>
    <t>H030179030</t>
  </si>
  <si>
    <t>uuid:409078d1-d5b8-4223-bfa7-e0fb15750240</t>
  </si>
  <si>
    <t>2025-08-30T12:11:14.265Z</t>
  </si>
  <si>
    <t>2025-08-30T10:03:23.929+08</t>
  </si>
  <si>
    <t>2025-08-30T10:57:18.189+08</t>
  </si>
  <si>
    <t>H030852018</t>
  </si>
  <si>
    <t>uuid:ff878729-b007-4bba-bdbc-0aa41609d3ff</t>
  </si>
  <si>
    <t>2025-08-30T12:11:14.951Z</t>
  </si>
  <si>
    <t>2025-08-30T12:46:34.889+08</t>
  </si>
  <si>
    <t>2025-08-30T13:35:38.779+08</t>
  </si>
  <si>
    <t>H030852025</t>
  </si>
  <si>
    <t>uuid:bc8fe52e-5149-4634-b55d-8f68382364e6</t>
  </si>
  <si>
    <t>2025-08-31T13:05:04.397Z</t>
  </si>
  <si>
    <t>2025-08-31T09:20:56.302+08</t>
  </si>
  <si>
    <t>2025-08-31T10:22:16.976+08</t>
  </si>
  <si>
    <t>H030852024</t>
  </si>
  <si>
    <t>uuid:95d9f17b-398f-4156-be30-56aa57fa228e</t>
  </si>
  <si>
    <t>2025-08-30T12:28:39.133Z</t>
  </si>
  <si>
    <t>2025-08-30T12:43:03.780+08</t>
  </si>
  <si>
    <t>2025-08-30T13:42:06.126+08</t>
  </si>
  <si>
    <t>H030852016</t>
  </si>
  <si>
    <t>uuid:e1b2b967-1aaf-4f95-b012-7125167baaa8</t>
  </si>
  <si>
    <t>2025-08-30T12:28:40.087Z</t>
  </si>
  <si>
    <t>2025-08-30T14:07:40.618+08</t>
  </si>
  <si>
    <t>2025-08-30T15:00:54.900+08</t>
  </si>
  <si>
    <t>H030852015</t>
  </si>
  <si>
    <t>uuid:68a4f87b-ccb2-47c8-8792-e28363720a21</t>
  </si>
  <si>
    <t>2025-08-30T12:28:40.488Z</t>
  </si>
  <si>
    <t>2025-08-30T15:54:21.427+08</t>
  </si>
  <si>
    <t>2025-08-30T20:27:08.554+08</t>
  </si>
  <si>
    <t>H030852017</t>
  </si>
  <si>
    <t>uuid:a0fbecf1-6b9a-4844-804d-dfb51c324e40</t>
  </si>
  <si>
    <t>2025-08-31T13:05:02.622Z</t>
  </si>
  <si>
    <t>2025-08-31T10:44:18.099+08</t>
  </si>
  <si>
    <t>2025-08-31T11:42:04.860+08</t>
  </si>
  <si>
    <t>H030852020</t>
  </si>
  <si>
    <t>uuid:fe991357-142e-457e-a1bf-e8bd9b3fc936</t>
  </si>
  <si>
    <t>2025-08-30T13:45:31.312Z</t>
  </si>
  <si>
    <t>2025-08-30T12:45:21.079+08</t>
  </si>
  <si>
    <t>2025-08-30T13:44:09.429+08</t>
  </si>
  <si>
    <t>H030852023</t>
  </si>
  <si>
    <t>uuid:cf211248-06f7-4f7c-8ae4-bfd7cde5b319</t>
  </si>
  <si>
    <t>2025-08-30T13:45:31.679Z</t>
  </si>
  <si>
    <t>2025-08-30T14:53:14.764+08</t>
  </si>
  <si>
    <t>2025-08-30T15:45:27.816+08</t>
  </si>
  <si>
    <t>H030852026</t>
  </si>
  <si>
    <t>uuid:d0eab795-a15f-463c-8fca-a901cd7043dc</t>
  </si>
  <si>
    <t>2025-08-31T13:05:06.638Z</t>
  </si>
  <si>
    <t>2025-08-31T12:27:34.301+08</t>
  </si>
  <si>
    <t>2025-08-31T13:33:11.621+08</t>
  </si>
  <si>
    <t>H030507016</t>
  </si>
  <si>
    <t>uuid:3447643b-80e0-48e1-8188-fb85e1d0a24f</t>
  </si>
  <si>
    <t>2025-08-30T13:49:27.921Z</t>
  </si>
  <si>
    <t>2025-08-30T10:15:18.785+08</t>
  </si>
  <si>
    <t>2025-08-30T11:16:52.187+08</t>
  </si>
  <si>
    <t>H030852021</t>
  </si>
  <si>
    <t>uuid:f0696584-7a14-4ce5-8105-071d382ea5b3</t>
  </si>
  <si>
    <t>2025-08-30T13:49:28.918Z</t>
  </si>
  <si>
    <t>2025-08-30T11:52:18.716+08</t>
  </si>
  <si>
    <t>2025-08-30T13:31:03.700+08</t>
  </si>
  <si>
    <t>H030852022</t>
  </si>
  <si>
    <t>uuid:7b2e8b3b-3ae1-44cf-af45-e1d8b2262cb2</t>
  </si>
  <si>
    <t>2025-08-30T13:49:29.995Z</t>
  </si>
  <si>
    <t>2025-08-30T13:37:41.359+08</t>
  </si>
  <si>
    <t>2025-08-30T15:20:17.749+08</t>
  </si>
  <si>
    <t>H030852019</t>
  </si>
  <si>
    <t>uuid:b2f17930-abc5-4d1b-b30f-00e6c899a5dc</t>
  </si>
  <si>
    <t>2025-08-31T13:05:05.171Z</t>
  </si>
  <si>
    <t>2025-08-31T07:55:32.963+08</t>
  </si>
  <si>
    <t>2025-08-31T09:07:38.243+08</t>
  </si>
  <si>
    <t>H030852033</t>
  </si>
  <si>
    <t>uuid:c6041774-575d-44aa-ae89-81238052f4aa</t>
  </si>
  <si>
    <t>2025-08-30T15:19:58.334Z</t>
  </si>
  <si>
    <t>2025-08-30T09:32:28.972+08</t>
  </si>
  <si>
    <t>2025-08-30T10:28:42.038+08</t>
  </si>
  <si>
    <t>H019196027</t>
  </si>
  <si>
    <t>uuid:104ccedc-0f07-4314-b151-460a060eaf82</t>
  </si>
  <si>
    <t>2025-08-30T15:19:59.353Z</t>
  </si>
  <si>
    <t>2025-08-30T15:45:11.584+08</t>
  </si>
  <si>
    <t>2025-08-30T16:59:55.286+08</t>
  </si>
  <si>
    <t>H019196031</t>
  </si>
  <si>
    <t>uuid:bc743c05-a2ec-4269-bf13-4c6f63dfa09d</t>
  </si>
  <si>
    <t>2025-08-30T15:20:00.375Z</t>
  </si>
  <si>
    <t>2025-08-30T11:05:19.599+08</t>
  </si>
  <si>
    <t>2025-08-30T23:12:35.486+08</t>
  </si>
  <si>
    <t>H019196018</t>
  </si>
  <si>
    <t>uuid:54e96f7e-b3c3-42f0-ab54-48185c01f4b4</t>
  </si>
  <si>
    <t>2025-09-25T07:56:59.921Z</t>
  </si>
  <si>
    <t>2025-09-25T08:33:31.038+08</t>
  </si>
  <si>
    <t>2025-09-25T09:17:23.000+08</t>
  </si>
  <si>
    <t>H019196024</t>
  </si>
  <si>
    <t>uuid:5360d4e2-1612-402e-aae5-79cc5814a402</t>
  </si>
  <si>
    <t>2025-08-30T15:20:01.807Z</t>
  </si>
  <si>
    <t>2025-08-30T12:01:41.213+08</t>
  </si>
  <si>
    <t>2025-08-30T13:22:53.816+08</t>
  </si>
  <si>
    <t>H019196023</t>
  </si>
  <si>
    <t>uuid:d3c78a5d-5594-4eb5-af94-f6e0330446b9</t>
  </si>
  <si>
    <t>2025-09-01T09:50:39.574Z</t>
  </si>
  <si>
    <t>2025-09-01T10:45:35.117+08</t>
  </si>
  <si>
    <t>2025-09-01T13:43:32.323+08</t>
  </si>
  <si>
    <t>H019589034</t>
  </si>
  <si>
    <t>uuid:a3bec875-3e78-4cde-b4ef-2a040395a298</t>
  </si>
  <si>
    <t>2025-09-01T09:50:41.158Z</t>
  </si>
  <si>
    <t>2025-09-01T12:05:03.607+08</t>
  </si>
  <si>
    <t>2025-09-01T13:44:18.179+08</t>
  </si>
  <si>
    <t>H019589031</t>
  </si>
  <si>
    <t>uuid:c043ff67-a02a-4f1f-9e4c-b2f103274f2a</t>
  </si>
  <si>
    <t>2025-09-01T09:50:42.457Z</t>
  </si>
  <si>
    <t>2025-09-01T09:28:01.938+08</t>
  </si>
  <si>
    <t>2025-09-01T10:31:58.610+08</t>
  </si>
  <si>
    <t>H019589024</t>
  </si>
  <si>
    <t>uuid:06ce55d5-b451-4a49-92fa-e82089618747</t>
  </si>
  <si>
    <t>2025-09-01T09:50:41.788Z</t>
  </si>
  <si>
    <t>2025-09-01T14:21:16.077+08</t>
  </si>
  <si>
    <t>2025-09-01T17:50:04.724+08</t>
  </si>
  <si>
    <t>H019589017</t>
  </si>
  <si>
    <t>uuid:d793d932-332b-4385-97ed-99a786c4ecc8</t>
  </si>
  <si>
    <t>2025-09-01T10:35:50.975Z</t>
  </si>
  <si>
    <t>2025-09-01T10:28:30.776+08</t>
  </si>
  <si>
    <t>2025-09-01T11:19:49.794+08</t>
  </si>
  <si>
    <t>H030535022</t>
  </si>
  <si>
    <t>uuid:4a3ee0df-2712-4342-bb82-ee9d24aecc92</t>
  </si>
  <si>
    <t>2025-09-02T10:41:54.511Z</t>
  </si>
  <si>
    <t>2025-09-02T09:53:50.583+08</t>
  </si>
  <si>
    <t>2025-09-02T10:46:37.358+08</t>
  </si>
  <si>
    <t>H030535080</t>
  </si>
  <si>
    <t>Roland A. Bandiola jr_2</t>
  </si>
  <si>
    <t>uuid:13feed35-d9bf-40ab-a08f-15c9f58fb518</t>
  </si>
  <si>
    <t>2025-09-01T10:36:27.628Z</t>
  </si>
  <si>
    <t>2025-09-01T11:38:28.399+08</t>
  </si>
  <si>
    <t>2025-09-01T18:25:58.706+08</t>
  </si>
  <si>
    <t>H030535017</t>
  </si>
  <si>
    <t>uuid:73cc6f34-3fe4-4abc-b9b6-0fbd85f9ce26</t>
  </si>
  <si>
    <t>2025-09-01T10:36:47.720Z</t>
  </si>
  <si>
    <t>2025-09-01T13:07:53.901+08</t>
  </si>
  <si>
    <t>2025-09-01T18:29:58.815+08</t>
  </si>
  <si>
    <t>H030535018</t>
  </si>
  <si>
    <t>uuid:6b02872b-5573-4bf8-b5ad-3df25b51b48f</t>
  </si>
  <si>
    <t>2025-10-03T12:35:45.433Z</t>
  </si>
  <si>
    <t>2025-10-03T13:40:12.598+08</t>
  </si>
  <si>
    <t>2025-10-03T13:40:41.391+08</t>
  </si>
  <si>
    <t>H030048035</t>
  </si>
  <si>
    <t>uuid:ef5090a0-7f67-4143-817d-17263f59487a</t>
  </si>
  <si>
    <t>2025-09-01T10:38:10.890Z</t>
  </si>
  <si>
    <t>2025-09-01T12:02:59.934+08</t>
  </si>
  <si>
    <t>2025-09-01T13:31:35.194+08</t>
  </si>
  <si>
    <t>H030048017</t>
  </si>
  <si>
    <t>uuid:09d42302-0bd7-45d6-b816-20585f990875</t>
  </si>
  <si>
    <t>2025-09-01T10:38:13.204Z</t>
  </si>
  <si>
    <t>2025-09-01T09:18:40.587+08</t>
  </si>
  <si>
    <t>2025-09-01T10:06:43.947+08</t>
  </si>
  <si>
    <t>H030048021</t>
  </si>
  <si>
    <t>uuid:4f237a77-53b5-4c1c-b4d5-aafa73547c94</t>
  </si>
  <si>
    <t>2025-09-01T10:40:30.274Z</t>
  </si>
  <si>
    <t>2025-09-01T09:21:03.908+08</t>
  </si>
  <si>
    <t>2025-09-01T10:12:12.431+08</t>
  </si>
  <si>
    <t>H030048025</t>
  </si>
  <si>
    <t>uuid:bb12ddbf-d6f8-4ebc-a5e5-439f676014fb</t>
  </si>
  <si>
    <t>2025-09-01T10:40:31.116Z</t>
  </si>
  <si>
    <t>2025-09-01T11:47:37.747+08</t>
  </si>
  <si>
    <t>2025-09-01T12:40:43.221+08</t>
  </si>
  <si>
    <t>H030048034</t>
  </si>
  <si>
    <t>uuid:3fd9c4ab-ad4b-47ef-8b9d-291f48eb2ca8</t>
  </si>
  <si>
    <t>2025-09-01T10:40:31.805Z</t>
  </si>
  <si>
    <t>2025-09-01T10:12:40.809+08</t>
  </si>
  <si>
    <t>2025-09-01T11:30:05.206+08</t>
  </si>
  <si>
    <t>H030048018</t>
  </si>
  <si>
    <t>uuid:85964a0d-8d69-4736-9860-4ff0d5344147</t>
  </si>
  <si>
    <t>2025-09-01T10:40:40.980Z</t>
  </si>
  <si>
    <t>2025-09-01T08:54:29.920+08</t>
  </si>
  <si>
    <t>2025-09-01T10:32:36.005+08</t>
  </si>
  <si>
    <t>H030332028</t>
  </si>
  <si>
    <t>uuid:a3903576-fcd9-4047-8814-d32814e02d6b</t>
  </si>
  <si>
    <t>2025-09-01T10:40:45.367Z</t>
  </si>
  <si>
    <t>2025-09-01T11:22:09.123+08</t>
  </si>
  <si>
    <t>2025-09-01T12:08:46.542+08</t>
  </si>
  <si>
    <t>H030332030</t>
  </si>
  <si>
    <t>uuid:ef25b1df-3696-4c38-94b9-0cbc3b1a3d0c</t>
  </si>
  <si>
    <t>2025-09-01T10:40:46.848Z</t>
  </si>
  <si>
    <t>2025-09-01T12:17:04.313+08</t>
  </si>
  <si>
    <t>2025-09-01T13:02:14.473+08</t>
  </si>
  <si>
    <t>H030332033</t>
  </si>
  <si>
    <t>uuid:b283e064-87e6-433d-91d3-b67deb1c7f9b</t>
  </si>
  <si>
    <t>2025-09-01T10:40:48.216Z</t>
  </si>
  <si>
    <t>2025-09-01T15:21:33.275+08</t>
  </si>
  <si>
    <t>2025-09-01T16:35:02.745+08</t>
  </si>
  <si>
    <t>H030332027</t>
  </si>
  <si>
    <t>uuid:547df17e-52d3-4d93-aefa-04c7eae123cc</t>
  </si>
  <si>
    <t>2025-09-01T10:40:54.422Z</t>
  </si>
  <si>
    <t>2025-09-01T11:03:46.502+08</t>
  </si>
  <si>
    <t>2025-09-01T12:11:49.652+08</t>
  </si>
  <si>
    <t>H030332031</t>
  </si>
  <si>
    <t>uuid:095fedaf-b90b-4895-b36d-5b4275f31b69</t>
  </si>
  <si>
    <t>2025-09-01T10:40:56.590Z</t>
  </si>
  <si>
    <t>2025-09-01T12:42:09.364+08</t>
  </si>
  <si>
    <t>2025-09-01T13:41:48.228+08</t>
  </si>
  <si>
    <t>H030332029</t>
  </si>
  <si>
    <t>uuid:7a2f4d56-978a-45cd-b15c-c2020746e2f7</t>
  </si>
  <si>
    <t>2025-09-06T11:46:39.311Z</t>
  </si>
  <si>
    <t>2025-09-06T17:07:21.680+08</t>
  </si>
  <si>
    <t>2025-09-06T18:29:12.819+08</t>
  </si>
  <si>
    <t>H030647018</t>
  </si>
  <si>
    <t>uuid:20d58c9a-3bac-4410-91af-d594387f2274</t>
  </si>
  <si>
    <t>2025-09-01T10:42:08.306Z</t>
  </si>
  <si>
    <t>2025-09-01T09:53:44.006+08</t>
  </si>
  <si>
    <t>2025-09-01T11:54:36.868+08</t>
  </si>
  <si>
    <t>H030647019</t>
  </si>
  <si>
    <t>uuid:ae9eb8b9-9c62-447c-b89c-aebac2e2bb86</t>
  </si>
  <si>
    <t>2025-09-01T10:42:09.471Z</t>
  </si>
  <si>
    <t>2025-09-01T12:23:06.766+08</t>
  </si>
  <si>
    <t>2025-09-01T14:04:06.386+08</t>
  </si>
  <si>
    <t>H030647020</t>
  </si>
  <si>
    <t>uuid:d12da4a0-47a6-4844-880b-9d7cd1990f35</t>
  </si>
  <si>
    <t>2025-09-01T10:42:11.056Z</t>
  </si>
  <si>
    <t>2025-09-01T15:52:41.724+08</t>
  </si>
  <si>
    <t>2025-09-01T16:31:38.733+08</t>
  </si>
  <si>
    <t>H030647024</t>
  </si>
  <si>
    <t>uuid:7c3b08b4-5463-4873-ae14-de18035d3a92</t>
  </si>
  <si>
    <t>2025-09-01T10:42:12.229Z</t>
  </si>
  <si>
    <t>2025-09-01T14:20:31.078+08</t>
  </si>
  <si>
    <t>2025-09-01T15:37:19.672+08</t>
  </si>
  <si>
    <t>H030647022</t>
  </si>
  <si>
    <t>uuid:be2972eb-ef53-4516-8c71-da760da41095</t>
  </si>
  <si>
    <t>2025-09-01T10:44:43.775Z</t>
  </si>
  <si>
    <t>2025-09-01T10:51:12.546+08</t>
  </si>
  <si>
    <t>2025-09-01T11:50:21.890+08</t>
  </si>
  <si>
    <t>H030535020</t>
  </si>
  <si>
    <t>uuid:41fab6fd-0bbc-42ec-8a13-8d85250b1e86</t>
  </si>
  <si>
    <t>2025-09-01T10:44:45.591Z</t>
  </si>
  <si>
    <t>2025-09-01T12:02:41.776+08</t>
  </si>
  <si>
    <t>2025-09-01T13:34:55.570+08</t>
  </si>
  <si>
    <t>H030535019</t>
  </si>
  <si>
    <t>uuid:b32ee9d7-507c-466c-892b-c536ae06dd9b</t>
  </si>
  <si>
    <t>2025-09-02T10:41:59.327Z</t>
  </si>
  <si>
    <t>2025-09-02T08:18:59.292+08</t>
  </si>
  <si>
    <t>2025-09-02T09:43:06.956+08</t>
  </si>
  <si>
    <t>H030535024</t>
  </si>
  <si>
    <t>uuid:8b15ed4f-b4c1-4fd9-a23f-1613d68ead41</t>
  </si>
  <si>
    <t>2025-09-02T10:16:44.583Z</t>
  </si>
  <si>
    <t>2025-09-02T10:47:00.693+08</t>
  </si>
  <si>
    <t>2025-09-02T11:50:26.527+08</t>
  </si>
  <si>
    <t>H030535035</t>
  </si>
  <si>
    <t>uuid:839b4ed1-d620-49db-bd86-750945e9a539</t>
  </si>
  <si>
    <t>2025-10-01T10:24:06.368Z</t>
  </si>
  <si>
    <t>2025-10-01T11:25:13.552+08</t>
  </si>
  <si>
    <t>2025-10-01T12:48:10.179+08</t>
  </si>
  <si>
    <t>H030433017</t>
  </si>
  <si>
    <t>uuid:dd051f93-3e89-4f88-bb9e-5055f28bbb3f</t>
  </si>
  <si>
    <t>2025-09-01T10:58:07.514Z</t>
  </si>
  <si>
    <t>2025-09-01T09:27:10.948+08</t>
  </si>
  <si>
    <t>2025-09-01T10:27:30.609+08</t>
  </si>
  <si>
    <t>H030433026</t>
  </si>
  <si>
    <t>uuid:b40e9258-5d6f-41e0-8c4f-a52cc45d34be</t>
  </si>
  <si>
    <t>2025-09-01T10:58:08.747Z</t>
  </si>
  <si>
    <t>2025-09-01T10:54:51.967+08</t>
  </si>
  <si>
    <t>2025-09-01T12:02:11.171+08</t>
  </si>
  <si>
    <t>H030433019</t>
  </si>
  <si>
    <t>uuid:96234d36-3d5d-432d-9809-c79ca1bc887b</t>
  </si>
  <si>
    <t>2025-09-01T10:58:09.979Z</t>
  </si>
  <si>
    <t>2025-09-01T13:26:18.110+08</t>
  </si>
  <si>
    <t>2025-09-01T14:12:56.018+08</t>
  </si>
  <si>
    <t>H030433021</t>
  </si>
  <si>
    <t>uuid:034c21c0-d9d7-44b0-8ca0-cf0985cdd350</t>
  </si>
  <si>
    <t>2025-09-01T10:58:10.920Z</t>
  </si>
  <si>
    <t>2025-09-01T14:19:19.678+08</t>
  </si>
  <si>
    <t>2025-09-01T15:52:11.584+08</t>
  </si>
  <si>
    <t>H030433016</t>
  </si>
  <si>
    <t>uuid:5df3471d-1c06-4449-9748-ed84a8dbfd26</t>
  </si>
  <si>
    <t>2025-10-01T10:24:04.769Z</t>
  </si>
  <si>
    <t>2025-10-01T09:40:32.038+08</t>
  </si>
  <si>
    <t>2025-10-01T10:41:04.225+08</t>
  </si>
  <si>
    <t>H030433024</t>
  </si>
  <si>
    <t>uuid:df667584-3ba2-4286-ad82-b0ad25bb662e</t>
  </si>
  <si>
    <t>2025-10-05T08:17:04.169Z</t>
  </si>
  <si>
    <t>2025-10-05T13:21:38.748+08</t>
  </si>
  <si>
    <t>2025-10-05T13:24:20.123+08</t>
  </si>
  <si>
    <t>H030433033</t>
  </si>
  <si>
    <t>uuid:f0267783-fb03-40da-a5bb-caacd166939a</t>
  </si>
  <si>
    <t>2025-09-01T11:16:24.377Z</t>
  </si>
  <si>
    <t>2025-09-01T13:12:26.401+08</t>
  </si>
  <si>
    <t>2025-09-01T14:16:20.457+08</t>
  </si>
  <si>
    <t>H030433028</t>
  </si>
  <si>
    <t>uuid:b2092823-0f32-47db-8c0b-680f0713d066</t>
  </si>
  <si>
    <t>2025-09-01T11:16:25.303Z</t>
  </si>
  <si>
    <t>2025-09-01T10:26:48.701+08</t>
  </si>
  <si>
    <t>2025-09-01T11:25:48.321+08</t>
  </si>
  <si>
    <t>H030433029</t>
  </si>
  <si>
    <t>uuid:e6d86455-72a0-4e2d-a99d-a76c03eccd0b</t>
  </si>
  <si>
    <t>2025-09-01T11:16:26.910Z</t>
  </si>
  <si>
    <t>2025-09-01T09:06:56.288+08</t>
  </si>
  <si>
    <t>2025-09-01T10:09:13.160+08</t>
  </si>
  <si>
    <t>H030433035</t>
  </si>
  <si>
    <t>uuid:9e94a655-9678-4815-8a9a-ae16c49dff46</t>
  </si>
  <si>
    <t>2025-09-01T11:22:31.640Z</t>
  </si>
  <si>
    <t>2025-09-01T14:37:33.544+08</t>
  </si>
  <si>
    <t>2025-09-01T15:06:46.471+08</t>
  </si>
  <si>
    <t>H019589016</t>
  </si>
  <si>
    <t>uuid:18963d22-7c0f-40a8-a143-4c81c4dcb12c</t>
  </si>
  <si>
    <t>2025-09-01T11:22:32.078Z</t>
  </si>
  <si>
    <t>2025-09-01T09:35:31.196+08</t>
  </si>
  <si>
    <t>2025-09-01T10:13:55.024+08</t>
  </si>
  <si>
    <t>H019589022</t>
  </si>
  <si>
    <t>uuid:6d6de6d3-2a9f-4841-8314-3c8f366a6c9b</t>
  </si>
  <si>
    <t>2025-09-01T11:22:33.150Z</t>
  </si>
  <si>
    <t>2025-09-01T13:23:15.709+08</t>
  </si>
  <si>
    <t>2025-09-01T13:51:42.698+08</t>
  </si>
  <si>
    <t>H019589019</t>
  </si>
  <si>
    <t>uuid:6b15b056-8cbd-4098-8d74-d7e6c1d5c4a2</t>
  </si>
  <si>
    <t>2025-09-01T11:22:33.276Z</t>
  </si>
  <si>
    <t>2025-08-26T16:45:50.556+08</t>
  </si>
  <si>
    <t>2025-09-01T17:07:54.827+08</t>
  </si>
  <si>
    <t>H019575022</t>
  </si>
  <si>
    <t>uuid:9e489639-0c38-450f-839b-dd39ec18138e</t>
  </si>
  <si>
    <t>2025-09-01T11:22:32.691Z</t>
  </si>
  <si>
    <t>2025-09-01T11:39:29.034+08</t>
  </si>
  <si>
    <t>2025-09-01T12:39:22.644+08</t>
  </si>
  <si>
    <t>H019589030</t>
  </si>
  <si>
    <t>uuid:f7ac1079-cc00-4989-bc94-3dc0192a2c9c</t>
  </si>
  <si>
    <t>2025-09-01T11:22:34.440Z</t>
  </si>
  <si>
    <t>2025-09-01T09:28:30.793+08</t>
  </si>
  <si>
    <t>2025-09-01T10:42:37.878+08</t>
  </si>
  <si>
    <t>H019589020</t>
  </si>
  <si>
    <t>uuid:418f39b0-91bc-44cf-b97d-3bb3ef973a91</t>
  </si>
  <si>
    <t>2025-09-01T11:22:33.767Z</t>
  </si>
  <si>
    <t>2025-09-01T14:31:10.376+08</t>
  </si>
  <si>
    <t>2025-09-01T14:56:21.430+08</t>
  </si>
  <si>
    <t>H019589021</t>
  </si>
  <si>
    <t>uuid:69e16011-e184-44db-925b-3ab222979b5a</t>
  </si>
  <si>
    <t>2025-09-01T11:22:34.209Z</t>
  </si>
  <si>
    <t>2025-09-01T15:11:38.099+08</t>
  </si>
  <si>
    <t>2025-09-01T15:30:52.798+08</t>
  </si>
  <si>
    <t>H019589025</t>
  </si>
  <si>
    <t>uuid:6a353482-6f2e-4e58-aa1b-e0b01cca7f12</t>
  </si>
  <si>
    <t>2025-09-01T11:22:42.666Z</t>
  </si>
  <si>
    <t>2025-09-01T10:47:15.722+08</t>
  </si>
  <si>
    <t>2025-09-01T11:26:16.654+08</t>
  </si>
  <si>
    <t>H019589018</t>
  </si>
  <si>
    <t>uuid:f390e840-9eb0-49bb-8001-f65036939bda</t>
  </si>
  <si>
    <t>2025-09-01T11:22:44.939Z</t>
  </si>
  <si>
    <t>2025-09-01T11:59:18.531+08</t>
  </si>
  <si>
    <t>2025-09-01T12:59:43.393+08</t>
  </si>
  <si>
    <t>H019589028</t>
  </si>
  <si>
    <t>uuid:24a59ce0-b4fb-4792-93f2-7c5134c88859</t>
  </si>
  <si>
    <t>2025-09-01T11:23:57.083Z</t>
  </si>
  <si>
    <t>2025-09-01T09:11:22.531+08</t>
  </si>
  <si>
    <t>2025-09-01T09:56:48.909+08</t>
  </si>
  <si>
    <t>H019429028</t>
  </si>
  <si>
    <t>uuid:88945fa2-7a9b-443f-b2ba-bc8c3775e60e</t>
  </si>
  <si>
    <t>2025-09-01T11:23:58.179Z</t>
  </si>
  <si>
    <t>2025-09-01T10:07:31.932+08</t>
  </si>
  <si>
    <t>2025-09-01T10:59:37.495+08</t>
  </si>
  <si>
    <t>H019429024</t>
  </si>
  <si>
    <t>uuid:8497503a-2e00-4d43-b915-ff961fe3e802</t>
  </si>
  <si>
    <t>2025-09-01T11:24:29.352Z</t>
  </si>
  <si>
    <t>2025-09-01T11:07:15.754+08</t>
  </si>
  <si>
    <t>2025-09-01T11:24:39.303+08</t>
  </si>
  <si>
    <t>H019429023</t>
  </si>
  <si>
    <t>uuid:db42095a-cfab-4f08-9552-ee815d0ea49a</t>
  </si>
  <si>
    <t>2025-09-01T11:24:30.111Z</t>
  </si>
  <si>
    <t>2025-09-01T11:32:23.148+08</t>
  </si>
  <si>
    <t>2025-09-01T12:08:36.570+08</t>
  </si>
  <si>
    <t>H019429027</t>
  </si>
  <si>
    <t>uuid:4ddafc58-fe7e-476f-9c78-db60379543b5</t>
  </si>
  <si>
    <t>2025-09-01T11:24:31.761Z</t>
  </si>
  <si>
    <t>2025-09-01T14:25:14.201+08</t>
  </si>
  <si>
    <t>2025-09-01T14:51:13.556+08</t>
  </si>
  <si>
    <t>H019429026</t>
  </si>
  <si>
    <t>uuid:c1b7da8d-ea89-4e32-9629-8e21eadac2eb</t>
  </si>
  <si>
    <t>2025-09-01T11:31:41.546Z</t>
  </si>
  <si>
    <t>2025-09-01T09:08:26.565+08</t>
  </si>
  <si>
    <t>2025-09-01T17:12:28.707+08</t>
  </si>
  <si>
    <t>H019429019</t>
  </si>
  <si>
    <t>uuid:40a08d7d-0afc-43b9-9ed0-1be9f06c9864</t>
  </si>
  <si>
    <t>2025-09-01T11:31:42.274Z</t>
  </si>
  <si>
    <t>2025-09-01T14:56:44.459+08</t>
  </si>
  <si>
    <t>2025-09-01T18:30:19.310+08</t>
  </si>
  <si>
    <t>H019429016</t>
  </si>
  <si>
    <t>uuid:8727e4f0-05d1-4c5a-9003-52705dc27f66</t>
  </si>
  <si>
    <t>2025-09-01T11:31:43.573Z</t>
  </si>
  <si>
    <t>2025-09-01T12:48:58.227+08</t>
  </si>
  <si>
    <t>2025-09-01T18:35:01.172+08</t>
  </si>
  <si>
    <t>H019429021</t>
  </si>
  <si>
    <t>uuid:e82e1707-7c9c-4d40-8df8-538da8fe7fa9</t>
  </si>
  <si>
    <t>2025-10-03T04:54:28.781Z</t>
  </si>
  <si>
    <t>2025-10-02T10:48:30.629+08</t>
  </si>
  <si>
    <t>2025-10-02T11:17:01.154+08</t>
  </si>
  <si>
    <t>H019429022</t>
  </si>
  <si>
    <t>uuid:b5596151-6c17-443f-bbfc-c05131db4dd4</t>
  </si>
  <si>
    <t>2025-09-01T11:31:46.546Z</t>
  </si>
  <si>
    <t>2025-09-01T11:09:44.840+08</t>
  </si>
  <si>
    <t>2025-09-01T19:30:23.624+08</t>
  </si>
  <si>
    <t>H019429018</t>
  </si>
  <si>
    <t>uuid:17c47352-d1a0-4a45-8398-7c184813a731</t>
  </si>
  <si>
    <t>2025-09-01T11:34:07.746Z</t>
  </si>
  <si>
    <t>2025-09-01T09:23:22.084+08</t>
  </si>
  <si>
    <t>2025-09-01T10:36:28.861+08</t>
  </si>
  <si>
    <t>H030433022</t>
  </si>
  <si>
    <t>uuid:cf7c39a0-a877-4551-82cb-61d08e49f309</t>
  </si>
  <si>
    <t>2025-09-01T11:34:09.046Z</t>
  </si>
  <si>
    <t>2025-09-01T12:55:09.743+08</t>
  </si>
  <si>
    <t>2025-09-01T14:12:16.731+08</t>
  </si>
  <si>
    <t>H030433030</t>
  </si>
  <si>
    <t>uuid:4fa21374-c907-488e-9869-76d7651fb37c</t>
  </si>
  <si>
    <t>2025-09-01T11:34:10.196Z</t>
  </si>
  <si>
    <t>2025-09-01T10:48:39.143+08</t>
  </si>
  <si>
    <t>2025-09-01T11:50:29.432+08</t>
  </si>
  <si>
    <t>H030433031</t>
  </si>
  <si>
    <t>uuid:b1b736d2-1d4f-4a7b-9079-f9e181342eae</t>
  </si>
  <si>
    <t>2025-09-01T11:34:11.256Z</t>
  </si>
  <si>
    <t>2025-09-01T14:12:41.575+08</t>
  </si>
  <si>
    <t>2025-09-01T15:30:22.424+08</t>
  </si>
  <si>
    <t>H030433025</t>
  </si>
  <si>
    <t>uuid:3c681ddb-b912-4fb0-bc0b-90394d9f4140</t>
  </si>
  <si>
    <t>2025-09-01T11:58:23.862Z</t>
  </si>
  <si>
    <t>2025-09-01T09:04:44.662+08</t>
  </si>
  <si>
    <t>2025-09-01T09:44:18.391+08</t>
  </si>
  <si>
    <t>H030676021</t>
  </si>
  <si>
    <t>uuid:0efbac26-afd8-47fe-b7b2-9d2ae58beccf</t>
  </si>
  <si>
    <t>2025-09-01T11:58:26.138Z</t>
  </si>
  <si>
    <t>2025-09-01T09:52:55.746+08</t>
  </si>
  <si>
    <t>2025-09-01T10:25:07.152+08</t>
  </si>
  <si>
    <t>H030676002</t>
  </si>
  <si>
    <t>uuid:f4b98d44-a37b-401f-8cd7-6e80178ad5e6</t>
  </si>
  <si>
    <t>2025-09-01T11:58:27.395Z</t>
  </si>
  <si>
    <t>2025-09-01T12:04:51.504+08</t>
  </si>
  <si>
    <t>2025-09-01T12:47:33.354+08</t>
  </si>
  <si>
    <t>H030676029</t>
  </si>
  <si>
    <t>uuid:41221dc4-afaa-4ad9-877b-8703ac55bf56</t>
  </si>
  <si>
    <t>2025-09-01T11:58:26.818Z</t>
  </si>
  <si>
    <t>2025-09-01T10:25:28.187+08</t>
  </si>
  <si>
    <t>2025-09-01T11:27:15.745+08</t>
  </si>
  <si>
    <t>H030676034</t>
  </si>
  <si>
    <t>uuid:95aee657-c11a-45a8-ac5f-8e8ef136f2ab</t>
  </si>
  <si>
    <t>2025-09-01T12:32:05.361Z</t>
  </si>
  <si>
    <t>2025-09-01T09:11:47.357+08</t>
  </si>
  <si>
    <t>2025-09-01T10:26:22.785+08</t>
  </si>
  <si>
    <t>H019429029</t>
  </si>
  <si>
    <t>uuid:93ea8d60-5400-42c8-921b-c1b2fcb77f1b</t>
  </si>
  <si>
    <t>2025-09-01T12:32:07.785Z</t>
  </si>
  <si>
    <t>2025-09-01T10:37:17.919+08</t>
  </si>
  <si>
    <t>2025-09-01T11:43:56.438+08</t>
  </si>
  <si>
    <t>H019429020</t>
  </si>
  <si>
    <t>uuid:54e0fd2b-0a7b-4c83-8c93-4fc5531938f1</t>
  </si>
  <si>
    <t>2025-09-01T12:32:09.285Z</t>
  </si>
  <si>
    <t>2025-09-01T11:51:00.568+08</t>
  </si>
  <si>
    <t>2025-09-01T12:53:06.507+08</t>
  </si>
  <si>
    <t>H019429030</t>
  </si>
  <si>
    <t>uuid:947451f8-8a0f-4d83-aa90-510e80ee9814</t>
  </si>
  <si>
    <t>2025-09-01T12:32:10.617Z</t>
  </si>
  <si>
    <t>2025-09-01T15:02:07.886+08</t>
  </si>
  <si>
    <t>2025-09-01T15:40:47.063+08</t>
  </si>
  <si>
    <t>H019429033</t>
  </si>
  <si>
    <t>uuid:dadeb94f-f368-4b31-80ec-ee62d6081a79</t>
  </si>
  <si>
    <t>2025-09-01T12:32:12.735Z</t>
  </si>
  <si>
    <t>2025-09-01T13:27:22.701+08</t>
  </si>
  <si>
    <t>2025-09-01T20:31:21.002+08</t>
  </si>
  <si>
    <t>H019429031</t>
  </si>
  <si>
    <t>uuid:8827b548-3470-412b-953f-d6ca8328b4bc</t>
  </si>
  <si>
    <t>2025-09-01T12:40:50.302Z</t>
  </si>
  <si>
    <t>2025-09-01T08:58:50.869+08</t>
  </si>
  <si>
    <t>2025-09-01T09:39:39.136+08</t>
  </si>
  <si>
    <t>H030676020</t>
  </si>
  <si>
    <t>uuid:38f84777-84da-4011-91e9-2d6546ad0a21</t>
  </si>
  <si>
    <t>2025-09-01T12:40:52.310Z</t>
  </si>
  <si>
    <t>2025-09-01T12:07:12.154+08</t>
  </si>
  <si>
    <t>2025-09-01T13:19:47.871+08</t>
  </si>
  <si>
    <t>H030676006</t>
  </si>
  <si>
    <t>uuid:37b46509-7c6f-4e7d-9b67-beadf4db6ce6</t>
  </si>
  <si>
    <t>2025-09-01T12:40:51.666Z</t>
  </si>
  <si>
    <t>2025-09-01T09:50:01.302+08</t>
  </si>
  <si>
    <t>2025-09-01T11:21:29.090+08</t>
  </si>
  <si>
    <t>H030676031</t>
  </si>
  <si>
    <t>uuid:90b794f0-4473-4a96-8a85-398496a3600b</t>
  </si>
  <si>
    <t>2025-09-01T12:57:32.267Z</t>
  </si>
  <si>
    <t>2025-09-01T09:48:07.427+08</t>
  </si>
  <si>
    <t>2025-09-01T11:17:10.573+08</t>
  </si>
  <si>
    <t>H030676033</t>
  </si>
  <si>
    <t>uuid:d49c0eb6-71b7-4866-8c83-f9eb326eb30a</t>
  </si>
  <si>
    <t>2025-09-01T12:57:33.251Z</t>
  </si>
  <si>
    <t>2025-09-01T08:52:48.783+08</t>
  </si>
  <si>
    <t>2025-09-01T09:47:46.700+08</t>
  </si>
  <si>
    <t>H030676023</t>
  </si>
  <si>
    <t>uuid:3ae0d831-f818-4e69-bd02-580b9111792e</t>
  </si>
  <si>
    <t>2025-09-01T12:57:32.815Z</t>
  </si>
  <si>
    <t>2025-09-01T12:59:32.509+08</t>
  </si>
  <si>
    <t>2025-09-01T14:09:16.093+08</t>
  </si>
  <si>
    <t>H030676030</t>
  </si>
  <si>
    <t>uuid:45a3e561-a55b-4b88-9cc7-3ef14731877b</t>
  </si>
  <si>
    <t>2025-09-01T13:00:20.981Z</t>
  </si>
  <si>
    <t>2025-09-01T09:59:24.035+08</t>
  </si>
  <si>
    <t>2025-09-01T19:16:08.338+08</t>
  </si>
  <si>
    <t>H030676022</t>
  </si>
  <si>
    <t>uuid:f49525f5-46d4-4fc5-b752-6f3d72a6212e</t>
  </si>
  <si>
    <t>2025-09-01T13:00:21.896Z</t>
  </si>
  <si>
    <t>2025-09-01T11:02:43.587+08</t>
  </si>
  <si>
    <t>2025-09-01T19:16:59.406+08</t>
  </si>
  <si>
    <t>H030676028</t>
  </si>
  <si>
    <t>uuid:fd15d4e5-7d15-4ecc-b42a-76588745f608</t>
  </si>
  <si>
    <t>2025-09-01T13:00:22.631Z</t>
  </si>
  <si>
    <t>2025-09-01T13:15:10.800+08</t>
  </si>
  <si>
    <t>2025-09-01T19:24:09.965+08</t>
  </si>
  <si>
    <t>H030676025</t>
  </si>
  <si>
    <t>uuid:3cb8237c-68b7-4fa6-85be-7cd2aaaca66e</t>
  </si>
  <si>
    <t>2025-09-01T13:00:24.224Z</t>
  </si>
  <si>
    <t>2025-09-01T08:54:47.714+08</t>
  </si>
  <si>
    <t>2025-09-01T09:52:21.153+08</t>
  </si>
  <si>
    <t>H030676017</t>
  </si>
  <si>
    <t>uuid:619556b1-0422-4b14-ba4f-67e6c8f09c9c</t>
  </si>
  <si>
    <t>2025-09-01T13:34:42.031Z</t>
  </si>
  <si>
    <t>2025-09-01T13:54:46.414+08</t>
  </si>
  <si>
    <t>2025-09-01T21:31:44.878+08</t>
  </si>
  <si>
    <t>H030535016</t>
  </si>
  <si>
    <t>uuid:3d21b2a9-6431-4d8e-8072-3734008439ed</t>
  </si>
  <si>
    <t>2025-09-02T09:25:52.086Z</t>
  </si>
  <si>
    <t>2025-09-02T14:13:04.591+08</t>
  </si>
  <si>
    <t>2025-09-02T15:10:14.874+08</t>
  </si>
  <si>
    <t>H030004026</t>
  </si>
  <si>
    <t>uuid:f5851bba-e0f0-4d35-a468-75f5597fb005</t>
  </si>
  <si>
    <t>2025-09-28T07:33:23.849Z</t>
  </si>
  <si>
    <t>2025-09-28T09:03:20.254+08</t>
  </si>
  <si>
    <t>2025-09-28T10:00:59.825+08</t>
  </si>
  <si>
    <t>H030004023</t>
  </si>
  <si>
    <t>uuid:e5fc2354-1913-4258-9834-01ca10d35263</t>
  </si>
  <si>
    <t>2025-09-02T09:25:53.524Z</t>
  </si>
  <si>
    <t>2025-09-02T08:20:58.571+08</t>
  </si>
  <si>
    <t>2025-09-02T17:17:38.599+08</t>
  </si>
  <si>
    <t>H030004017</t>
  </si>
  <si>
    <t>uuid:3441da4e-c74f-4e61-988e-3bdccbb093ab</t>
  </si>
  <si>
    <t>2025-09-02T09:25:54.107Z</t>
  </si>
  <si>
    <t>2025-09-02T09:57:19.918+08</t>
  </si>
  <si>
    <t>2025-09-02T11:14:06.338+08</t>
  </si>
  <si>
    <t>H030004021</t>
  </si>
  <si>
    <t>uuid:91170bbf-eb95-47ca-90ec-eedc89c55055</t>
  </si>
  <si>
    <t>2025-09-02T09:25:54.676Z</t>
  </si>
  <si>
    <t>2025-09-02T13:14:46.554+08</t>
  </si>
  <si>
    <t>2025-09-02T13:52:27.329+08</t>
  </si>
  <si>
    <t>H030004025</t>
  </si>
  <si>
    <t>uuid:22b68f4e-ccd4-4f30-8d5c-7d8f2ef8dbfe</t>
  </si>
  <si>
    <t>2025-09-02T09:27:37.192Z</t>
  </si>
  <si>
    <t>2025-09-02T10:58:47.627+08</t>
  </si>
  <si>
    <t>2025-09-02T12:30:16.387+08</t>
  </si>
  <si>
    <t>H019447017</t>
  </si>
  <si>
    <t>uuid:e8a5606f-1bdd-4721-949e-1597fa2bc0f9</t>
  </si>
  <si>
    <t>2025-09-02T09:27:38.917Z</t>
  </si>
  <si>
    <t>2025-09-02T09:04:28.672+08</t>
  </si>
  <si>
    <t>2025-09-02T12:30:50.093+08</t>
  </si>
  <si>
    <t>H019447018</t>
  </si>
  <si>
    <t>uuid:c859ab38-789d-4c8b-8f98-49513a49844d</t>
  </si>
  <si>
    <t>2025-09-02T09:27:39.901Z</t>
  </si>
  <si>
    <t>2025-09-02T14:34:55.828+08</t>
  </si>
  <si>
    <t>2025-09-02T17:20:05.874+08</t>
  </si>
  <si>
    <t>H019447035</t>
  </si>
  <si>
    <t>uuid:5e4f1c33-1f5f-4c12-abfd-0d9939f2a610</t>
  </si>
  <si>
    <t>2025-09-02T09:27:40.667Z</t>
  </si>
  <si>
    <t>2025-09-02T09:59:28.026+08</t>
  </si>
  <si>
    <t>2025-09-02T17:27:10.673+08</t>
  </si>
  <si>
    <t>H019447025</t>
  </si>
  <si>
    <t>uuid:45a1a673-e4a0-4d67-a7a6-b403dc50ce45</t>
  </si>
  <si>
    <t>2025-09-02T09:27:41.512Z</t>
  </si>
  <si>
    <t>2025-09-02T12:31:10.480+08</t>
  </si>
  <si>
    <t>2025-09-02T13:17:22.588+08</t>
  </si>
  <si>
    <t>H019447028</t>
  </si>
  <si>
    <t>uuid:6d384f6a-3de8-41e0-a4c4-d85d6b892af4</t>
  </si>
  <si>
    <t>2025-09-02T10:03:28.920Z</t>
  </si>
  <si>
    <t>2025-09-02T09:28:06.077+08</t>
  </si>
  <si>
    <t>2025-09-02T10:36:42.310+08</t>
  </si>
  <si>
    <t>H019412020</t>
  </si>
  <si>
    <t>Ramie De Pedro Jr._2</t>
  </si>
  <si>
    <t>uuid:05221bb1-592e-479a-a29a-e0af6b3a922f</t>
  </si>
  <si>
    <t>2025-09-02T10:03:31.267Z</t>
  </si>
  <si>
    <t>2025-09-02T12:58:12.711+08</t>
  </si>
  <si>
    <t>2025-09-02T14:58:19.781+08</t>
  </si>
  <si>
    <t>H019412018</t>
  </si>
  <si>
    <t>uuid:0572782d-cb9a-4d56-875d-b110ab29cc13</t>
  </si>
  <si>
    <t>2025-09-02T10:03:34.159Z</t>
  </si>
  <si>
    <t>2025-09-02T14:10:33.933+08</t>
  </si>
  <si>
    <t>2025-09-02T14:48:33.846+08</t>
  </si>
  <si>
    <t>H019412017</t>
  </si>
  <si>
    <t>uuid:3c73116c-c73d-42ca-af33-9ce7f781afd7</t>
  </si>
  <si>
    <t>2025-09-02T10:03:33.564Z</t>
  </si>
  <si>
    <t>2025-09-02T10:55:35.882+08</t>
  </si>
  <si>
    <t>2025-09-02T12:29:30.188+08</t>
  </si>
  <si>
    <t>H019412019</t>
  </si>
  <si>
    <t>uuid:d698bb4e-7ffe-451c-87de-62e00a89027d</t>
  </si>
  <si>
    <t>2025-09-02T10:03:34.980Z</t>
  </si>
  <si>
    <t>2025-09-02T15:17:53.771+08</t>
  </si>
  <si>
    <t>2025-09-02T16:09:47.056+08</t>
  </si>
  <si>
    <t>H019412016</t>
  </si>
  <si>
    <t>uuid:68c33cea-8a7c-4670-9b10-26a5ecc4c39d</t>
  </si>
  <si>
    <t>2025-09-02T10:16:38.862Z</t>
  </si>
  <si>
    <t>2025-09-02T08:17:15.203+08</t>
  </si>
  <si>
    <t>2025-09-02T09:28:10.121+08</t>
  </si>
  <si>
    <t>H030535026</t>
  </si>
  <si>
    <t>uuid:3f922536-aac0-4418-9108-8777ba09ccfa</t>
  </si>
  <si>
    <t>2025-09-02T10:16:41.431Z</t>
  </si>
  <si>
    <t>2025-09-01T09:57:06.683+08</t>
  </si>
  <si>
    <t>2025-09-02T10:38:27.905+08</t>
  </si>
  <si>
    <t>H030535027</t>
  </si>
  <si>
    <t>uuid:1cf4ec16-e9bd-444a-bb29-64eed33d7db4</t>
  </si>
  <si>
    <t>2025-09-02T10:18:55.615Z</t>
  </si>
  <si>
    <t>2025-09-02T10:11:49.340+08</t>
  </si>
  <si>
    <t>2025-09-02T10:53:52.044+08</t>
  </si>
  <si>
    <t>H019447033</t>
  </si>
  <si>
    <t>uuid:c6bccd1f-e391-4161-9d91-d2674c7836d6</t>
  </si>
  <si>
    <t>2025-09-02T10:18:56.438Z</t>
  </si>
  <si>
    <t>2025-09-02T11:10:59.330+08</t>
  </si>
  <si>
    <t>2025-09-02T12:39:23.026+08</t>
  </si>
  <si>
    <t>H019447020</t>
  </si>
  <si>
    <t>uuid:421a92b8-8328-46ab-9205-83ba5e489b14</t>
  </si>
  <si>
    <t>2025-09-02T10:18:57.148Z</t>
  </si>
  <si>
    <t>2025-09-02T14:07:17.222+08</t>
  </si>
  <si>
    <t>2025-09-02T14:47:26.335+08</t>
  </si>
  <si>
    <t>H019447026</t>
  </si>
  <si>
    <t>uuid:55c51faa-52ef-4ea6-b5cd-e41084472740</t>
  </si>
  <si>
    <t>2025-09-02T10:18:57.779Z</t>
  </si>
  <si>
    <t>2025-09-02T09:13:15.711+08</t>
  </si>
  <si>
    <t>2025-09-02T09:53:38.004+08</t>
  </si>
  <si>
    <t>H019447022</t>
  </si>
  <si>
    <t>uuid:2770fdbd-6ade-46f9-b036-b35521b0ad6e</t>
  </si>
  <si>
    <t>2025-09-02T10:38:04.329Z</t>
  </si>
  <si>
    <t>2025-09-02T11:23:55.811+08</t>
  </si>
  <si>
    <t>2025-09-02T11:50:13.562+08</t>
  </si>
  <si>
    <t>H030517024</t>
  </si>
  <si>
    <t>uuid:682e57f5-e9b9-451b-a3ae-07d9abcc9dd3</t>
  </si>
  <si>
    <t>2025-09-02T10:38:06.289Z</t>
  </si>
  <si>
    <t>2025-09-02T13:15:18.625+08</t>
  </si>
  <si>
    <t>2025-09-02T15:09:18.972+08</t>
  </si>
  <si>
    <t>H030517031</t>
  </si>
  <si>
    <t>uuid:8af9d0cb-0802-4686-8719-d9f6f8114cb8</t>
  </si>
  <si>
    <t>2025-09-03T11:45:04.606Z</t>
  </si>
  <si>
    <t>2025-09-03T09:13:42.570+08</t>
  </si>
  <si>
    <t>2025-09-03T11:43:38.445+08</t>
  </si>
  <si>
    <t>H030517020</t>
  </si>
  <si>
    <t>uuid:7be5fc20-2d50-428b-8686-2cb66f9801f6</t>
  </si>
  <si>
    <t>2025-09-03T11:46:17.806Z</t>
  </si>
  <si>
    <t>2025-09-03T11:15:15.818+08</t>
  </si>
  <si>
    <t>2025-09-03T12:13:40.777+08</t>
  </si>
  <si>
    <t>H030517018</t>
  </si>
  <si>
    <t>uuid:5c59a2e6-0d4b-498f-a6a0-79d478c8d30a</t>
  </si>
  <si>
    <t>2025-09-02T10:38:17.264Z</t>
  </si>
  <si>
    <t>2025-09-02T10:00:17.132+08</t>
  </si>
  <si>
    <t>2025-09-02T10:55:49.727+08</t>
  </si>
  <si>
    <t>H030844028</t>
  </si>
  <si>
    <t>uuid:ac0fa0bd-e918-4ffe-9bc6-cb7fd9d2e032</t>
  </si>
  <si>
    <t>2025-09-02T10:38:18.398Z</t>
  </si>
  <si>
    <t>2025-09-02T11:00:11.050+08</t>
  </si>
  <si>
    <t>2025-09-02T11:54:09.195+08</t>
  </si>
  <si>
    <t>H030844026</t>
  </si>
  <si>
    <t>uuid:cc5fe527-cd8c-4a5d-9e6e-900d4f59c880</t>
  </si>
  <si>
    <t>2025-09-02T10:38:20.439Z</t>
  </si>
  <si>
    <t>2025-09-02T13:30:16.948+08</t>
  </si>
  <si>
    <t>2025-09-02T14:10:27.589+08</t>
  </si>
  <si>
    <t>H030844016</t>
  </si>
  <si>
    <t>uuid:319d9d49-8f3a-4c84-9678-a982a40772ab</t>
  </si>
  <si>
    <t>2025-09-02T10:38:19.579Z</t>
  </si>
  <si>
    <t>2025-09-02T12:00:32.953+08</t>
  </si>
  <si>
    <t>2025-09-02T13:27:52.301+08</t>
  </si>
  <si>
    <t>H030844019</t>
  </si>
  <si>
    <t>uuid:d2f856b9-feb9-439f-85b4-4305b87a12a9</t>
  </si>
  <si>
    <t>2025-09-02T10:38:21.360Z</t>
  </si>
  <si>
    <t>2025-09-02T15:02:05.834+08</t>
  </si>
  <si>
    <t>2025-09-02T15:57:32.966+08</t>
  </si>
  <si>
    <t>H030844029</t>
  </si>
  <si>
    <t>uuid:a020f830-4b5e-4b79-9001-a708c6b7e00c</t>
  </si>
  <si>
    <t>2025-09-02T10:38:22.366Z</t>
  </si>
  <si>
    <t>2025-09-02T14:10:45.490+08</t>
  </si>
  <si>
    <t>2025-09-02T14:53:46.021+08</t>
  </si>
  <si>
    <t>H030844008</t>
  </si>
  <si>
    <t>uuid:cf2ef08f-fefb-4c63-a249-c1e52dbe0e30</t>
  </si>
  <si>
    <t>2025-09-02T10:38:23.454Z</t>
  </si>
  <si>
    <t>2025-09-02T08:46:43.796+08</t>
  </si>
  <si>
    <t>2025-09-02T09:54:26.894+08</t>
  </si>
  <si>
    <t>H030844027</t>
  </si>
  <si>
    <t>uuid:69446e18-78da-4907-8595-57b2f0693770</t>
  </si>
  <si>
    <t>2025-09-02T10:38:28.835Z</t>
  </si>
  <si>
    <t>2025-09-02T09:05:34.080+08</t>
  </si>
  <si>
    <t>2025-09-02T10:21:59.228+08</t>
  </si>
  <si>
    <t>H030647028</t>
  </si>
  <si>
    <t>uuid:2f07e041-c58a-4532-94b6-d74343f8dad5</t>
  </si>
  <si>
    <t>2025-09-02T10:38:29.913Z</t>
  </si>
  <si>
    <t>2025-09-02T11:34:26.871+08</t>
  </si>
  <si>
    <t>2025-09-02T12:58:31.018+08</t>
  </si>
  <si>
    <t>H030647025</t>
  </si>
  <si>
    <t>uuid:f560b2c2-b07b-44b5-8186-ced3b412774b</t>
  </si>
  <si>
    <t>2025-09-30T11:41:30.677Z</t>
  </si>
  <si>
    <t>2025-09-30T10:48:18.664+08</t>
  </si>
  <si>
    <t>2025-09-30T11:46:07.230+08</t>
  </si>
  <si>
    <t>H030647031</t>
  </si>
  <si>
    <t>uuid:ecd18afe-dc97-4e3f-876f-d30b4711e3ff</t>
  </si>
  <si>
    <t>2025-09-02T10:38:32.638Z</t>
  </si>
  <si>
    <t>2025-09-02T14:34:47.511+08</t>
  </si>
  <si>
    <t>2025-09-02T16:42:25.629+08</t>
  </si>
  <si>
    <t>H030647033</t>
  </si>
  <si>
    <t>uuid:f0c5ef30-de59-4f48-b951-4d544000614e</t>
  </si>
  <si>
    <t>2025-09-02T10:38:42.692Z</t>
  </si>
  <si>
    <t>2025-09-02T10:36:59.298+08</t>
  </si>
  <si>
    <t>2025-09-02T11:55:01.280+08</t>
  </si>
  <si>
    <t>H030647027</t>
  </si>
  <si>
    <t>uuid:c28e324c-1ad1-496b-ad69-62bc62cf28c5</t>
  </si>
  <si>
    <t>2025-09-02T10:38:44.486Z</t>
  </si>
  <si>
    <t>2025-09-02T16:51:40.686+08</t>
  </si>
  <si>
    <t>2025-09-02T17:40:08.512+08</t>
  </si>
  <si>
    <t>H030647021</t>
  </si>
  <si>
    <t>uuid:2903c6e6-75a6-4649-9209-ef317177a473</t>
  </si>
  <si>
    <t>2025-09-02T10:38:45.678Z</t>
  </si>
  <si>
    <t>2025-09-02T14:15:05.518+08</t>
  </si>
  <si>
    <t>2025-09-02T15:01:49.299+08</t>
  </si>
  <si>
    <t>H030647023</t>
  </si>
  <si>
    <t>uuid:95448e34-3ea8-4495-8122-0f568e148048</t>
  </si>
  <si>
    <t>2025-09-02T10:38:46.348Z</t>
  </si>
  <si>
    <t>2025-09-02T09:21:37.049+08</t>
  </si>
  <si>
    <t>2025-09-02T10:06:25.994+08</t>
  </si>
  <si>
    <t>H030647026</t>
  </si>
  <si>
    <t>uuid:d0138908-1eca-4081-8ecd-555780bf4c61</t>
  </si>
  <si>
    <t>2025-09-03T11:44:43.266Z</t>
  </si>
  <si>
    <t>2025-09-03T17:26:20.839+08</t>
  </si>
  <si>
    <t>2025-09-03T18:52:30.591+08</t>
  </si>
  <si>
    <t>H030517016</t>
  </si>
  <si>
    <t>uuid:eb400224-6c25-40f2-8057-e20c1bbf2958</t>
  </si>
  <si>
    <t>2025-09-02T10:39:09.607Z</t>
  </si>
  <si>
    <t>2025-09-02T10:18:16.581+08</t>
  </si>
  <si>
    <t>2025-09-02T12:09:53.310+08</t>
  </si>
  <si>
    <t>H030517027</t>
  </si>
  <si>
    <t>uuid:cd21391a-0032-40bc-89b3-d03c23472a3d</t>
  </si>
  <si>
    <t>2025-09-02T10:39:11.539Z</t>
  </si>
  <si>
    <t>2025-09-02T13:11:31.071+08</t>
  </si>
  <si>
    <t>2025-09-02T14:16:20.603+08</t>
  </si>
  <si>
    <t>H030517034</t>
  </si>
  <si>
    <t>uuid:722fb4ff-ae1b-4acb-8602-8830a0323a6d</t>
  </si>
  <si>
    <t>2025-09-03T11:41:22.155Z</t>
  </si>
  <si>
    <t>2025-09-03T09:49:46.394+08</t>
  </si>
  <si>
    <t>2025-09-03T11:09:21.746+08</t>
  </si>
  <si>
    <t>H030517017</t>
  </si>
  <si>
    <t>uuid:86369cd0-086b-41b9-9f4c-4b14bcba58ed</t>
  </si>
  <si>
    <t>2025-09-02T10:41:56.669Z</t>
  </si>
  <si>
    <t>2025-09-02T11:25:03.459+08</t>
  </si>
  <si>
    <t>2025-09-02T12:18:07.278+08</t>
  </si>
  <si>
    <t>H030535031</t>
  </si>
  <si>
    <t>uuid:95fa0d05-2474-4259-9bf2-42ccd99e8c90</t>
  </si>
  <si>
    <t>2025-09-30T09:58:42.696Z</t>
  </si>
  <si>
    <t>2025-09-30T13:39:00.641+08</t>
  </si>
  <si>
    <t>2025-09-30T17:56:40.408+08</t>
  </si>
  <si>
    <t>H030535033</t>
  </si>
  <si>
    <t>uuid:81ead349-a498-4eea-b6cb-b3e53f568236</t>
  </si>
  <si>
    <t>2025-09-02T11:02:42.260Z</t>
  </si>
  <si>
    <t>2025-09-02T08:45:02.446+08</t>
  </si>
  <si>
    <t>2025-09-02T09:31:37.667+08</t>
  </si>
  <si>
    <t>H019447023</t>
  </si>
  <si>
    <t>Mary Jean Villaflor_2</t>
  </si>
  <si>
    <t>uuid:a97006b1-130d-4534-abc6-64708d3eb603</t>
  </si>
  <si>
    <t>2025-09-02T11:02:43.050Z</t>
  </si>
  <si>
    <t>2025-09-02T09:58:59.599+08</t>
  </si>
  <si>
    <t>2025-09-02T11:00:38.209+08</t>
  </si>
  <si>
    <t>H019447027</t>
  </si>
  <si>
    <t>uuid:8d4e5e6c-f0f2-4600-b058-a13d2f655688</t>
  </si>
  <si>
    <t>2025-09-02T11:02:44.337Z</t>
  </si>
  <si>
    <t>2025-09-02T11:56:49.106+08</t>
  </si>
  <si>
    <t>2025-09-02T12:24:27.314+08</t>
  </si>
  <si>
    <t>H019447021</t>
  </si>
  <si>
    <t>uuid:5979eae6-abef-4910-8601-c1da509457dc</t>
  </si>
  <si>
    <t>2025-09-02T11:02:43.727Z</t>
  </si>
  <si>
    <t>2025-09-02T11:09:36.085+08</t>
  </si>
  <si>
    <t>2025-09-02T11:42:16.136+08</t>
  </si>
  <si>
    <t>H019447030</t>
  </si>
  <si>
    <t>uuid:f5df74fd-7601-4691-951a-ec665685ae98</t>
  </si>
  <si>
    <t>2025-09-02T11:02:44.855Z</t>
  </si>
  <si>
    <t>2025-09-02T14:45:30.528+08</t>
  </si>
  <si>
    <t>2025-09-02T15:21:59.930+08</t>
  </si>
  <si>
    <t>H019447031</t>
  </si>
  <si>
    <t>uuid:c7830635-7168-4068-bcf1-38fbefbba517</t>
  </si>
  <si>
    <t>2025-09-02T11:04:43.890Z</t>
  </si>
  <si>
    <t>2025-09-02T09:44:43.658+08</t>
  </si>
  <si>
    <t>2025-09-02T10:17:45.290+08</t>
  </si>
  <si>
    <t>H019412031</t>
  </si>
  <si>
    <t>uuid:3c81a414-79b7-43b5-af94-a7937382a4cc</t>
  </si>
  <si>
    <t>2025-09-02T11:04:45.650Z</t>
  </si>
  <si>
    <t>2025-09-02T10:27:48.275+08</t>
  </si>
  <si>
    <t>2025-09-02T11:01:07.075+08</t>
  </si>
  <si>
    <t>H019412030</t>
  </si>
  <si>
    <t>uuid:804f60e5-41ea-490a-a99a-e318e1b94278</t>
  </si>
  <si>
    <t>2025-09-02T11:04:46.895Z</t>
  </si>
  <si>
    <t>2025-09-02T11:30:11.878+08</t>
  </si>
  <si>
    <t>2025-09-02T12:01:23.398+08</t>
  </si>
  <si>
    <t>H019412035</t>
  </si>
  <si>
    <t>uuid:e8d193f9-6a0f-4a55-bb90-447623c4e0ed</t>
  </si>
  <si>
    <t>2025-09-28T08:37:21.107Z</t>
  </si>
  <si>
    <t>2025-09-28T11:41:53.758+08</t>
  </si>
  <si>
    <t>2025-09-28T12:30:27.602+08</t>
  </si>
  <si>
    <t>H019412029</t>
  </si>
  <si>
    <t>uuid:668a44a1-3d2c-49dd-915e-453b329c7272</t>
  </si>
  <si>
    <t>2025-09-24T09:57:41.975Z</t>
  </si>
  <si>
    <t>2025-09-24T09:53:58.414+08</t>
  </si>
  <si>
    <t>2025-09-24T10:49:09.179+08</t>
  </si>
  <si>
    <t>H019412028</t>
  </si>
  <si>
    <t>uuid:9467518b-b29d-416d-8a64-911de2604f3d</t>
  </si>
  <si>
    <t>2025-09-02T11:09:52.689Z</t>
  </si>
  <si>
    <t>2025-09-02T08:23:21.115+08</t>
  </si>
  <si>
    <t>2025-09-02T09:45:09.773+08</t>
  </si>
  <si>
    <t>H030004018</t>
  </si>
  <si>
    <t>uuid:4afc5846-a2bb-4d75-b05f-c780deefa4e3</t>
  </si>
  <si>
    <t>2025-09-02T11:09:53.845Z</t>
  </si>
  <si>
    <t>2025-09-02T09:49:27.689+08</t>
  </si>
  <si>
    <t>2025-09-02T10:57:40.893+08</t>
  </si>
  <si>
    <t>H030004019</t>
  </si>
  <si>
    <t>uuid:a2608c52-0d40-4012-90cf-85c3daeda794</t>
  </si>
  <si>
    <t>2025-09-28T07:33:22.495Z</t>
  </si>
  <si>
    <t>2025-09-28T07:59:40.298+08</t>
  </si>
  <si>
    <t>2025-09-28T09:02:29.892+08</t>
  </si>
  <si>
    <t>H030004024</t>
  </si>
  <si>
    <t>uuid:2c7b17df-5001-409d-a0ac-717bfb8f42f6</t>
  </si>
  <si>
    <t>2025-09-02T11:09:55.058Z</t>
  </si>
  <si>
    <t>2025-09-02T13:30:47.852+08</t>
  </si>
  <si>
    <t>2025-09-02T14:36:16.175+08</t>
  </si>
  <si>
    <t>H030004014</t>
  </si>
  <si>
    <t>uuid:ead4b753-426c-4828-bb7f-46297d7156c3</t>
  </si>
  <si>
    <t>2025-09-02T11:09:55.822Z</t>
  </si>
  <si>
    <t>2025-09-02T11:36:27.887+08</t>
  </si>
  <si>
    <t>2025-09-02T12:57:31.565+08</t>
  </si>
  <si>
    <t>H030004028</t>
  </si>
  <si>
    <t>uuid:34c173ba-4088-4ebc-a3a1-3065ffd48e8a</t>
  </si>
  <si>
    <t>2025-09-02T11:25:28.245Z</t>
  </si>
  <si>
    <t>2025-09-02T08:25:56.500+08</t>
  </si>
  <si>
    <t>2025-09-02T09:41:22.348+08</t>
  </si>
  <si>
    <t>H030004080</t>
  </si>
  <si>
    <t>uuid:580e7147-f430-4dab-a959-a499997f45e1</t>
  </si>
  <si>
    <t>2025-09-02T11:25:30.396Z</t>
  </si>
  <si>
    <t>2025-09-02T12:20:30.307+08</t>
  </si>
  <si>
    <t>2025-09-02T13:55:21.333+08</t>
  </si>
  <si>
    <t>H030004016</t>
  </si>
  <si>
    <t>uuid:68ef281c-a9ec-4ff7-bfdc-49f9c4d7fbf1</t>
  </si>
  <si>
    <t>2025-09-02T11:25:29.651Z</t>
  </si>
  <si>
    <t>2025-09-02T09:46:27.130+08</t>
  </si>
  <si>
    <t>2025-09-02T11:00:56.692+08</t>
  </si>
  <si>
    <t>H030004030</t>
  </si>
  <si>
    <t>uuid:7cffb8a3-c19b-4fbe-afe4-b7f3728c4c8e</t>
  </si>
  <si>
    <t>2025-09-28T07:33:25.047Z</t>
  </si>
  <si>
    <t>2025-09-28T10:36:38.753+08</t>
  </si>
  <si>
    <t>2025-09-28T11:51:10.372+08</t>
  </si>
  <si>
    <t>H030004020</t>
  </si>
  <si>
    <t>uuid:87ab6e61-7c02-425c-b4c3-8a6522348a4c</t>
  </si>
  <si>
    <t>2025-09-28T07:33:27.215Z</t>
  </si>
  <si>
    <t>2025-09-28T12:02:01.046+08</t>
  </si>
  <si>
    <t>2025-09-28T15:25:13.743+08</t>
  </si>
  <si>
    <t>H030004027</t>
  </si>
  <si>
    <t>uuid:3c15e8db-2aad-42ad-97d5-b39457ae42a0</t>
  </si>
  <si>
    <t>2025-09-02T11:35:40.164Z</t>
  </si>
  <si>
    <t>2025-09-02T09:23:57.186+08</t>
  </si>
  <si>
    <t>2025-09-02T10:52:16.686+08</t>
  </si>
  <si>
    <t>H019412023</t>
  </si>
  <si>
    <t>uuid:ed379bdb-dcba-4f0b-b5e1-25afd97ea907</t>
  </si>
  <si>
    <t>2025-09-02T11:35:41.879Z</t>
  </si>
  <si>
    <t>2025-09-02T11:09:41.112+08</t>
  </si>
  <si>
    <t>2025-09-02T12:10:51.505+08</t>
  </si>
  <si>
    <t>H019412026</t>
  </si>
  <si>
    <t>uuid:c1086d03-e997-41c3-9086-e1cbe405fb61</t>
  </si>
  <si>
    <t>2025-09-02T11:35:48.817Z</t>
  </si>
  <si>
    <t>2025-09-02T12:26:56.083+08</t>
  </si>
  <si>
    <t>2025-09-02T13:08:57.994+08</t>
  </si>
  <si>
    <t>H019412022</t>
  </si>
  <si>
    <t>uuid:d09952b8-ad9c-4fd8-9843-af779523b566</t>
  </si>
  <si>
    <t>2025-09-24T09:57:46.322Z</t>
  </si>
  <si>
    <t>2025-09-24T11:57:47.404+08</t>
  </si>
  <si>
    <t>2025-09-24T12:23:29.783+08</t>
  </si>
  <si>
    <t>H019412025</t>
  </si>
  <si>
    <t>uuid:dd4fdbe9-00d7-49ea-aad4-64d0e1a2cefa</t>
  </si>
  <si>
    <t>2025-09-24T09:57:44.201Z</t>
  </si>
  <si>
    <t>2025-09-24T11:09:58.766+08</t>
  </si>
  <si>
    <t>2025-09-24T11:40:55.898+08</t>
  </si>
  <si>
    <t>H019412021</t>
  </si>
  <si>
    <t>uuid:feb4dde0-004b-4e1f-9e74-0477090239c5</t>
  </si>
  <si>
    <t>2025-09-02T11:58:34.673Z</t>
  </si>
  <si>
    <t>2025-09-02T09:01:12.152+08</t>
  </si>
  <si>
    <t>2025-09-02T10:21:39.235+08</t>
  </si>
  <si>
    <t>H030634022</t>
  </si>
  <si>
    <t>uuid:806a8c21-0d19-485c-8ccf-7bcfc640727d</t>
  </si>
  <si>
    <t>2025-09-02T11:58:36.362Z</t>
  </si>
  <si>
    <t>2025-09-02T12:56:24.834+08</t>
  </si>
  <si>
    <t>2025-09-02T13:57:33.359+08</t>
  </si>
  <si>
    <t>H030634021</t>
  </si>
  <si>
    <t>uuid:5dbe5508-5503-411a-9dc2-ae2086c347ce</t>
  </si>
  <si>
    <t>2025-09-02T11:58:35.659Z</t>
  </si>
  <si>
    <t>2025-09-02T10:50:04.794+08</t>
  </si>
  <si>
    <t>2025-09-02T11:34:20.076+08</t>
  </si>
  <si>
    <t>H030634017</t>
  </si>
  <si>
    <t>uuid:b4bb825a-3ab7-4b76-ac06-bc9b695feff2</t>
  </si>
  <si>
    <t>2025-09-02T12:26:03.842Z</t>
  </si>
  <si>
    <t>2025-09-02T10:39:05.868+08</t>
  </si>
  <si>
    <t>2025-09-02T11:09:42.255+08</t>
  </si>
  <si>
    <t>H030634033</t>
  </si>
  <si>
    <t>uuid:d52092d4-9bb1-43af-be24-e6029a1e1a0b</t>
  </si>
  <si>
    <t>2025-09-02T12:26:05.399Z</t>
  </si>
  <si>
    <t>2025-09-02T13:02:09.795+08</t>
  </si>
  <si>
    <t>2025-09-02T13:31:06.103+08</t>
  </si>
  <si>
    <t>H030634024</t>
  </si>
  <si>
    <t>uuid:ffb06caa-57ca-4ff5-a35c-fedf704dcac1</t>
  </si>
  <si>
    <t>2025-09-02T12:26:07.068Z</t>
  </si>
  <si>
    <t>2025-09-02T14:01:03.254+08</t>
  </si>
  <si>
    <t>2025-09-02T14:39:29.370+08</t>
  </si>
  <si>
    <t>H030634032</t>
  </si>
  <si>
    <t>uuid:dd29fff6-505f-49d6-9c77-5e85a48d4e8b</t>
  </si>
  <si>
    <t>2025-09-02T12:38:42.531Z</t>
  </si>
  <si>
    <t>2025-09-02T09:12:06.148+08</t>
  </si>
  <si>
    <t>2025-09-02T10:06:42.570+08</t>
  </si>
  <si>
    <t>H030634006</t>
  </si>
  <si>
    <t>uuid:d2180eb1-bd6c-4ea7-b4ad-6edfd60b37e7</t>
  </si>
  <si>
    <t>2025-09-02T12:38:43.976Z</t>
  </si>
  <si>
    <t>2025-09-02T12:03:24.367+08</t>
  </si>
  <si>
    <t>2025-09-02T12:48:13.256+08</t>
  </si>
  <si>
    <t>H030634016</t>
  </si>
  <si>
    <t>uuid:004e871b-4670-4032-ae04-ab7c58637d3a</t>
  </si>
  <si>
    <t>2025-09-02T12:38:45.134Z</t>
  </si>
  <si>
    <t>2025-09-02T13:18:05.282+08</t>
  </si>
  <si>
    <t>2025-09-02T20:34:30.959+08</t>
  </si>
  <si>
    <t>H030634025</t>
  </si>
  <si>
    <t>uuid:0df761aa-33bb-4c3c-abfb-3d1f74ecac4b</t>
  </si>
  <si>
    <t>2025-10-01T11:48:48.568Z</t>
  </si>
  <si>
    <t>2025-10-01T09:31:16.616+08</t>
  </si>
  <si>
    <t>2025-10-01T14:57:55.343+08</t>
  </si>
  <si>
    <t>H030634028</t>
  </si>
  <si>
    <t>uuid:b181173c-d2be-48c1-a74e-ddbf56098c18</t>
  </si>
  <si>
    <t>2025-10-01T11:05:49.371Z</t>
  </si>
  <si>
    <t>2025-10-01T09:43:21.205+08</t>
  </si>
  <si>
    <t>2025-10-01T10:27:45.180+08</t>
  </si>
  <si>
    <t>H030634023</t>
  </si>
  <si>
    <t>uuid:701119f6-0826-4fd3-8ecf-f9267fde507e</t>
  </si>
  <si>
    <t>2025-09-02T12:50:06.297Z</t>
  </si>
  <si>
    <t>2025-09-02T08:50:35.688+08</t>
  </si>
  <si>
    <t>2025-09-02T09:34:54.212+08</t>
  </si>
  <si>
    <t>H030634035</t>
  </si>
  <si>
    <t>uuid:b8da8ecc-ec1b-417b-b1b6-439020853dca</t>
  </si>
  <si>
    <t>2025-09-02T12:50:07.304Z</t>
  </si>
  <si>
    <t>2025-09-02T10:48:24.776+08</t>
  </si>
  <si>
    <t>2025-09-02T11:22:40.440+08</t>
  </si>
  <si>
    <t>H030634031</t>
  </si>
  <si>
    <t>uuid:00be04d5-ec6a-413e-a49a-3a6e5e3fbeab</t>
  </si>
  <si>
    <t>2025-09-02T12:50:06.721Z</t>
  </si>
  <si>
    <t>2025-09-02T09:49:25.852+08</t>
  </si>
  <si>
    <t>2025-09-02T10:30:18.239+08</t>
  </si>
  <si>
    <t>H030634026</t>
  </si>
  <si>
    <t>uuid:0ce04737-f891-4d66-8090-30008e6516b9</t>
  </si>
  <si>
    <t>2025-09-30T12:17:24.754Z</t>
  </si>
  <si>
    <t>2025-09-30T10:22:40.450+08</t>
  </si>
  <si>
    <t>2025-09-30T11:57:11.799+08</t>
  </si>
  <si>
    <t>H030546017</t>
  </si>
  <si>
    <t>uuid:08d7d4d1-16df-42ee-8869-f45a89ba0f62</t>
  </si>
  <si>
    <t>2025-09-03T10:27:28.342Z</t>
  </si>
  <si>
    <t>2025-09-03T08:11:24.446+08</t>
  </si>
  <si>
    <t>2025-09-03T09:24:55.897+08</t>
  </si>
  <si>
    <t>H030546016</t>
  </si>
  <si>
    <t>uuid:7b8f8148-d7c0-4fb6-af5a-74d42f2814e6</t>
  </si>
  <si>
    <t>2025-09-03T10:27:29.048Z</t>
  </si>
  <si>
    <t>2025-09-03T11:51:09.805+08</t>
  </si>
  <si>
    <t>2025-09-03T12:44:17.537+08</t>
  </si>
  <si>
    <t>H030546028</t>
  </si>
  <si>
    <t>uuid:b0d9091d-11c5-4fec-8e69-8e3affda0148</t>
  </si>
  <si>
    <t>2025-09-03T10:27:29.696Z</t>
  </si>
  <si>
    <t>2025-09-03T12:56:08.550+08</t>
  </si>
  <si>
    <t>2025-09-03T13:57:13.703+08</t>
  </si>
  <si>
    <t>H030546018</t>
  </si>
  <si>
    <t>uuid:688c0b35-3da4-4e0d-866c-6e3f8184d35a</t>
  </si>
  <si>
    <t>2025-09-03T10:33:49.215Z</t>
  </si>
  <si>
    <t>2025-09-03T12:12:31.042+08</t>
  </si>
  <si>
    <t>2025-09-03T13:12:06.747+08</t>
  </si>
  <si>
    <t>H030546031</t>
  </si>
  <si>
    <t>uuid:54a7a51e-d0f5-4322-85ac-d47b11232eee</t>
  </si>
  <si>
    <t>2025-09-03T10:33:50.206Z</t>
  </si>
  <si>
    <t>2025-09-03T13:26:10.377+08</t>
  </si>
  <si>
    <t>2025-09-03T17:56:19.902+08</t>
  </si>
  <si>
    <t>H030546019</t>
  </si>
  <si>
    <t>uuid:956555cb-6768-41f7-b4f5-a4ef9c1c8088</t>
  </si>
  <si>
    <t>2025-09-03T10:33:51.032Z</t>
  </si>
  <si>
    <t>2025-09-03T09:40:25.494+08</t>
  </si>
  <si>
    <t>2025-09-03T10:36:26.379+08</t>
  </si>
  <si>
    <t>H030546029</t>
  </si>
  <si>
    <t>uuid:00397192-26aa-472d-89ec-bcd678074cbd</t>
  </si>
  <si>
    <t>2025-09-03T10:33:51.757Z</t>
  </si>
  <si>
    <t>2025-09-03T08:14:59.834+08</t>
  </si>
  <si>
    <t>2025-09-03T09:13:01.204+08</t>
  </si>
  <si>
    <t>H030546023</t>
  </si>
  <si>
    <t>uuid:cd83c1f8-75d2-431c-b6dd-182734215541</t>
  </si>
  <si>
    <t>2025-09-03T11:03:11.238Z</t>
  </si>
  <si>
    <t>2025-09-03T09:41:39.229+08</t>
  </si>
  <si>
    <t>2025-09-03T10:27:33.052+08</t>
  </si>
  <si>
    <t>H019277027</t>
  </si>
  <si>
    <t>uuid:85c7e6b4-8e35-4c23-85a0-c5469370d4c2</t>
  </si>
  <si>
    <t>2025-09-03T11:03:12.841Z</t>
  </si>
  <si>
    <t>2025-09-03T10:36:53.148+08</t>
  </si>
  <si>
    <t>2025-09-03T11:37:48.937+08</t>
  </si>
  <si>
    <t>H019277021</t>
  </si>
  <si>
    <t>uuid:8cbd0531-e589-478f-914c-ad1269e8d2e3</t>
  </si>
  <si>
    <t>2025-09-03T11:03:14.108Z</t>
  </si>
  <si>
    <t>2025-09-03T12:50:43.012+08</t>
  </si>
  <si>
    <t>2025-09-03T13:55:52.455+08</t>
  </si>
  <si>
    <t>H019277029</t>
  </si>
  <si>
    <t>uuid:9055e55e-6550-47cd-aee1-0b04b1ea4216</t>
  </si>
  <si>
    <t>2025-09-25T10:20:21.626Z</t>
  </si>
  <si>
    <t>2025-09-25T12:19:22.573+08</t>
  </si>
  <si>
    <t>2025-09-25T12:56:56.762+08</t>
  </si>
  <si>
    <t>H019277017</t>
  </si>
  <si>
    <t>uuid:c78486ce-ee79-4e97-b716-87a1ff939c9f</t>
  </si>
  <si>
    <t>2025-09-03T11:15:04.152Z</t>
  </si>
  <si>
    <t>2025-09-03T09:17:35.538+08</t>
  </si>
  <si>
    <t>2025-09-03T10:22:02.381+08</t>
  </si>
  <si>
    <t>H030327027</t>
  </si>
  <si>
    <t>uuid:b5f6fb89-aff5-4b2b-9dbe-2cd371340255</t>
  </si>
  <si>
    <t>2025-09-03T11:15:05.144Z</t>
  </si>
  <si>
    <t>2025-09-03T10:36:21.793+08</t>
  </si>
  <si>
    <t>2025-09-03T11:15:46.580+08</t>
  </si>
  <si>
    <t>H030327032</t>
  </si>
  <si>
    <t>uuid:01d93605-23fb-4610-8613-e53a0d7594ef</t>
  </si>
  <si>
    <t>2025-09-03T11:15:06.342Z</t>
  </si>
  <si>
    <t>2025-09-03T11:37:35.824+08</t>
  </si>
  <si>
    <t>2025-09-03T12:51:56.478+08</t>
  </si>
  <si>
    <t>H030327035</t>
  </si>
  <si>
    <t>uuid:ac3bb2c8-8339-44b3-82a8-dc8fcddf5614</t>
  </si>
  <si>
    <t>2025-09-03T11:15:07.533Z</t>
  </si>
  <si>
    <t>2025-09-03T13:01:20.301+08</t>
  </si>
  <si>
    <t>2025-09-03T13:54:15.624+08</t>
  </si>
  <si>
    <t>H030327025</t>
  </si>
  <si>
    <t>uuid:9c595638-98f7-4019-bfb8-19dba7ecd32f</t>
  </si>
  <si>
    <t>2025-09-07T11:14:30.520Z</t>
  </si>
  <si>
    <t>2025-09-07T15:18:07.762+08</t>
  </si>
  <si>
    <t>2025-09-07T16:12:25.453+08</t>
  </si>
  <si>
    <t>H030327018</t>
  </si>
  <si>
    <t>uuid:5b6241fc-9813-47ba-9c8b-3626834825a4</t>
  </si>
  <si>
    <t>2025-09-30T11:20:43.229Z</t>
  </si>
  <si>
    <t>2025-09-30T11:15:58.242+08</t>
  </si>
  <si>
    <t>2025-09-30T12:29:13.784+08</t>
  </si>
  <si>
    <t>H030844032</t>
  </si>
  <si>
    <t>uuid:63c89274-c78f-404d-b823-de4bb2d97566</t>
  </si>
  <si>
    <t>2025-09-03T11:16:33.407Z</t>
  </si>
  <si>
    <t>2025-09-03T10:42:04.259+08</t>
  </si>
  <si>
    <t>2025-09-03T11:26:46.453+08</t>
  </si>
  <si>
    <t>H030844025</t>
  </si>
  <si>
    <t>uuid:b94585db-b556-4f5e-9b7c-df06ece44aea</t>
  </si>
  <si>
    <t>2025-09-03T11:16:35.329Z</t>
  </si>
  <si>
    <t>2025-09-03T08:45:46.307+08</t>
  </si>
  <si>
    <t>2025-09-03T09:31:34.175+08</t>
  </si>
  <si>
    <t>H030844021</t>
  </si>
  <si>
    <t>uuid:8cf340fa-7a5d-4b02-bb73-8c9028494ce1</t>
  </si>
  <si>
    <t>2025-09-03T11:16:36.344Z</t>
  </si>
  <si>
    <t>2025-09-03T13:16:43.138+08</t>
  </si>
  <si>
    <t>2025-09-03T14:14:09.375+08</t>
  </si>
  <si>
    <t>H030844033</t>
  </si>
  <si>
    <t>uuid:d6036357-292a-48c8-94ef-c9544118b369</t>
  </si>
  <si>
    <t>2025-09-03T11:17:45.996Z</t>
  </si>
  <si>
    <t>2025-09-03T09:39:49.130+08</t>
  </si>
  <si>
    <t>2025-09-03T10:33:08.973+08</t>
  </si>
  <si>
    <t>H019277026</t>
  </si>
  <si>
    <t>Mary May_2</t>
  </si>
  <si>
    <t>uuid:4bf22075-fbbb-47bf-b13a-f818e1f7b623</t>
  </si>
  <si>
    <t>2025-09-03T11:17:47.868Z</t>
  </si>
  <si>
    <t>2025-09-03T10:44:32.398+08</t>
  </si>
  <si>
    <t>2025-09-03T11:41:14.777+08</t>
  </si>
  <si>
    <t>H019277023</t>
  </si>
  <si>
    <t>uuid:5593df3c-cea7-4b50-86ba-dd367d27d075</t>
  </si>
  <si>
    <t>2025-09-03T11:17:49.141Z</t>
  </si>
  <si>
    <t>2025-09-03T12:53:34.311+08</t>
  </si>
  <si>
    <t>2025-09-03T13:39:18.640+08</t>
  </si>
  <si>
    <t>H019277030</t>
  </si>
  <si>
    <t>uuid:aecb880f-7043-437f-8701-9713ed26efb6</t>
  </si>
  <si>
    <t>2025-09-03T11:17:50.357Z</t>
  </si>
  <si>
    <t>2025-09-03T13:47:29.173+08</t>
  </si>
  <si>
    <t>2025-09-03T14:50:36.459+08</t>
  </si>
  <si>
    <t>H019277031</t>
  </si>
  <si>
    <t>uuid:3bb8d951-c2f3-4fa6-ad59-f1181d9f40f2</t>
  </si>
  <si>
    <t>2025-09-03T11:25:36.147Z</t>
  </si>
  <si>
    <t>2025-09-03T10:48:52.555+08</t>
  </si>
  <si>
    <t>2025-09-03T11:48:11.313+08</t>
  </si>
  <si>
    <t>H030327019</t>
  </si>
  <si>
    <t>uuid:5ce52c9e-8236-4c51-9895-d976f3e24eae</t>
  </si>
  <si>
    <t>2025-09-03T11:25:37.274Z</t>
  </si>
  <si>
    <t>2025-09-03T12:04:08.365+08</t>
  </si>
  <si>
    <t>2025-09-03T12:25:59.227+08</t>
  </si>
  <si>
    <t>H030327024</t>
  </si>
  <si>
    <t>uuid:a61ae2c9-271c-43d8-82ef-12dc3ca0f572</t>
  </si>
  <si>
    <t>2025-09-03T11:25:38.339Z</t>
  </si>
  <si>
    <t>2025-09-03T13:03:30.832+08</t>
  </si>
  <si>
    <t>2025-09-03T14:07:59.559+08</t>
  </si>
  <si>
    <t>H030327028</t>
  </si>
  <si>
    <t>uuid:e8081a49-c7a0-41b9-8015-6518d0d2ffe3</t>
  </si>
  <si>
    <t>2025-09-03T11:25:39.528Z</t>
  </si>
  <si>
    <t>2025-09-03T09:19:27.929+08</t>
  </si>
  <si>
    <t>2025-09-03T10:23:12.438+08</t>
  </si>
  <si>
    <t>H030327033</t>
  </si>
  <si>
    <t>uuid:5592d1d7-7ac1-49f8-b43c-552cb2456af6</t>
  </si>
  <si>
    <t>2025-09-04T11:17:37.102Z</t>
  </si>
  <si>
    <t>2025-09-04T09:14:36.343+08</t>
  </si>
  <si>
    <t>2025-09-04T14:00:24.700+08</t>
  </si>
  <si>
    <t>H030327020</t>
  </si>
  <si>
    <t>uuid:49ff6af8-0fe3-4d15-a520-7f89b09b724c</t>
  </si>
  <si>
    <t>2025-09-03T11:26:11.107Z</t>
  </si>
  <si>
    <t>2025-09-03T12:06:32.606+08</t>
  </si>
  <si>
    <t>2025-09-03T13:41:22.916+08</t>
  </si>
  <si>
    <t>H030597026</t>
  </si>
  <si>
    <t>uuid:01e6bf8c-ca93-4899-b5d7-a31040c590bf</t>
  </si>
  <si>
    <t>2025-09-03T11:26:11.803Z</t>
  </si>
  <si>
    <t>2025-09-03T13:54:25.249+08</t>
  </si>
  <si>
    <t>2025-09-03T14:49:32.338+08</t>
  </si>
  <si>
    <t>H030597027</t>
  </si>
  <si>
    <t>uuid:a949de5a-460d-47a9-9907-39ac8f50a3ce</t>
  </si>
  <si>
    <t>2025-09-04T10:44:53.445Z</t>
  </si>
  <si>
    <t>2025-09-04T15:42:35.395+08</t>
  </si>
  <si>
    <t>2025-09-04T15:44:04.439+08</t>
  </si>
  <si>
    <t>H030597030</t>
  </si>
  <si>
    <t>uuid:c1f016ae-d1c0-427e-8c30-69016c0a3939</t>
  </si>
  <si>
    <t>2025-09-03T11:26:13.067Z</t>
  </si>
  <si>
    <t>2025-09-03T15:20:50.186+08</t>
  </si>
  <si>
    <t>2025-09-03T16:35:16.170+08</t>
  </si>
  <si>
    <t>H030597016</t>
  </si>
  <si>
    <t>uuid:8cc361a8-8fb5-42ac-8e96-7d0769ac6ac3</t>
  </si>
  <si>
    <t>2025-09-03T11:26:13.660Z</t>
  </si>
  <si>
    <t>2025-09-03T09:23:53.821+08</t>
  </si>
  <si>
    <t>2025-09-03T11:19:43.889+08</t>
  </si>
  <si>
    <t>H030597025</t>
  </si>
  <si>
    <t>uuid:d41caf4a-f5c9-491f-9ff1-74412e81c7e1</t>
  </si>
  <si>
    <t>2025-09-03T11:35:45.953Z</t>
  </si>
  <si>
    <t>2025-09-03T07:51:34.256+08</t>
  </si>
  <si>
    <t>2025-09-03T08:52:35.641+08</t>
  </si>
  <si>
    <t>H030546024</t>
  </si>
  <si>
    <t>uuid:2b468788-b426-4f9f-98da-4f00a32d8df7</t>
  </si>
  <si>
    <t>2025-09-03T11:35:47.179Z</t>
  </si>
  <si>
    <t>2025-09-03T09:09:02.845+08</t>
  </si>
  <si>
    <t>2025-09-03T11:09:15.750+08</t>
  </si>
  <si>
    <t>H030546033</t>
  </si>
  <si>
    <t>uuid:bcea915b-899d-4589-accd-def4a0a181db</t>
  </si>
  <si>
    <t>2025-09-03T11:35:48.360Z</t>
  </si>
  <si>
    <t>2025-09-03T11:11:38.362+08</t>
  </si>
  <si>
    <t>2025-09-03T12:37:47.856+08</t>
  </si>
  <si>
    <t>H030546025</t>
  </si>
  <si>
    <t>uuid:13e71bdb-d82a-4527-8c59-7525b49e7370</t>
  </si>
  <si>
    <t>2025-09-03T11:35:49.360Z</t>
  </si>
  <si>
    <t>2025-09-03T13:26:03.909+08</t>
  </si>
  <si>
    <t>2025-09-03T14:44:01.304+08</t>
  </si>
  <si>
    <t>H030546014</t>
  </si>
  <si>
    <t>uuid:78dc2b19-a59b-4f2b-a64e-45b18a3c8b5f</t>
  </si>
  <si>
    <t>2025-09-03T11:39:14.665Z</t>
  </si>
  <si>
    <t>2025-09-03T08:45:04.127+08</t>
  </si>
  <si>
    <t>2025-09-03T09:57:29.241+08</t>
  </si>
  <si>
    <t>H030844017</t>
  </si>
  <si>
    <t>uuid:fa51082f-f056-4992-b4a4-bed686032f41</t>
  </si>
  <si>
    <t>2025-09-03T11:39:15.574Z</t>
  </si>
  <si>
    <t>2025-09-03T10:48:31.480+08</t>
  </si>
  <si>
    <t>2025-09-03T11:46:42.364+08</t>
  </si>
  <si>
    <t>H030844030</t>
  </si>
  <si>
    <t>uuid:a7482236-9808-4d4c-8764-2492e9e2d4c5</t>
  </si>
  <si>
    <t>2025-09-03T11:39:16.314Z</t>
  </si>
  <si>
    <t>2025-09-03T13:22:38.895+08</t>
  </si>
  <si>
    <t>2025-09-03T14:17:07.319+08</t>
  </si>
  <si>
    <t>H030844031</t>
  </si>
  <si>
    <t>uuid:ffcf21ce-93a3-4916-ad8a-65c3397c6c89</t>
  </si>
  <si>
    <t>2025-09-03T11:39:19.040Z</t>
  </si>
  <si>
    <t>2025-09-03T12:07:11.010+08</t>
  </si>
  <si>
    <t>2025-09-03T12:57:52.491+08</t>
  </si>
  <si>
    <t>H030844024</t>
  </si>
  <si>
    <t>uuid:a3148c5f-4ea1-4419-8326-bc943bba3819</t>
  </si>
  <si>
    <t>2025-09-30T11:17:56.176Z</t>
  </si>
  <si>
    <t>2025-09-30T11:15:27.505+08</t>
  </si>
  <si>
    <t>2025-09-30T12:03:47.260+08</t>
  </si>
  <si>
    <t>H030517021</t>
  </si>
  <si>
    <t>uuid:a2a6692e-a578-49b0-868d-19243e68a809</t>
  </si>
  <si>
    <t>2025-09-03T11:45:07.965Z</t>
  </si>
  <si>
    <t>2025-09-03T14:16:13.622+08</t>
  </si>
  <si>
    <t>2025-09-03T15:43:03.490+08</t>
  </si>
  <si>
    <t>H030517030</t>
  </si>
  <si>
    <t>uuid:9d5d07fc-80fa-4798-ba07-d318f7a27cca</t>
  </si>
  <si>
    <t>2025-09-03T11:46:13.290Z</t>
  </si>
  <si>
    <t>2025-09-03T09:39:16.254+08</t>
  </si>
  <si>
    <t>2025-09-03T10:26:15.061+08</t>
  </si>
  <si>
    <t>H019277022</t>
  </si>
  <si>
    <t>uuid:3fc207f1-d5f2-4eca-bf8b-7ffafd2da36f</t>
  </si>
  <si>
    <t>2025-09-03T11:46:14.858Z</t>
  </si>
  <si>
    <t>2025-09-03T12:32:52.378+08</t>
  </si>
  <si>
    <t>2025-09-03T13:19:25.222+08</t>
  </si>
  <si>
    <t>H019277016</t>
  </si>
  <si>
    <t>uuid:1e6dcced-928a-4c77-aa22-c7c59b152c3c</t>
  </si>
  <si>
    <t>2025-09-03T11:46:15.241Z</t>
  </si>
  <si>
    <t>2025-09-03T09:29:06.344+08</t>
  </si>
  <si>
    <t>2025-09-03T11:02:52.782+08</t>
  </si>
  <si>
    <t>H030517023</t>
  </si>
  <si>
    <t>uuid:782f32b5-dc42-43ee-9c7d-2b840d14bae8</t>
  </si>
  <si>
    <t>2025-09-03T11:46:16.081Z</t>
  </si>
  <si>
    <t>2025-09-03T13:42:09.223+08</t>
  </si>
  <si>
    <t>2025-09-03T14:13:49.777+08</t>
  </si>
  <si>
    <t>H019277018</t>
  </si>
  <si>
    <t>uuid:dd775a23-34dc-43b8-be4b-1ce37b4b8783</t>
  </si>
  <si>
    <t>2025-09-24T09:56:28.069Z</t>
  </si>
  <si>
    <t>2025-09-24T10:11:08.992+08</t>
  </si>
  <si>
    <t>2025-09-24T11:08:49.886+08</t>
  </si>
  <si>
    <t>H019277019</t>
  </si>
  <si>
    <t>uuid:879e4071-5c3e-4042-aeba-61ddd3e43cee</t>
  </si>
  <si>
    <t>2025-09-09T10:51:07.464Z</t>
  </si>
  <si>
    <t>2025-09-09T08:09:56.782+08</t>
  </si>
  <si>
    <t>2025-09-09T09:04:19.269+08</t>
  </si>
  <si>
    <t>H030517028</t>
  </si>
  <si>
    <t>uuid:c296bdb9-dec4-4d7d-989c-d632f321d2af</t>
  </si>
  <si>
    <t>2025-09-03T11:46:21.690Z</t>
  </si>
  <si>
    <t>2025-09-03T14:17:22.103+08</t>
  </si>
  <si>
    <t>2025-09-03T16:21:38.105+08</t>
  </si>
  <si>
    <t>H030517022</t>
  </si>
  <si>
    <t>uuid:f98bb066-adf0-450e-b849-80c6bf226b5f</t>
  </si>
  <si>
    <t>2025-09-03T11:46:23.890Z</t>
  </si>
  <si>
    <t>2025-09-03T13:02:02.236+08</t>
  </si>
  <si>
    <t>2025-09-03T17:56:56.135+08</t>
  </si>
  <si>
    <t>H030517033</t>
  </si>
  <si>
    <t>uuid:e176d89f-e4fc-4ef0-af87-caa8f831969c</t>
  </si>
  <si>
    <t>2025-09-29T10:19:56.671Z</t>
  </si>
  <si>
    <t>2025-09-29T12:20:47.064+08</t>
  </si>
  <si>
    <t>2025-09-29T12:44:03.680+08</t>
  </si>
  <si>
    <t>H019500016</t>
  </si>
  <si>
    <t>uuid:67cab56e-8985-46c5-bcc6-b0f79b570109</t>
  </si>
  <si>
    <t>2025-09-03T11:55:40.782Z</t>
  </si>
  <si>
    <t>2025-09-03T10:30:34.218+08</t>
  </si>
  <si>
    <t>2025-09-03T11:32:10.455+08</t>
  </si>
  <si>
    <t>H019500017</t>
  </si>
  <si>
    <t>uuid:2b72922e-9343-4c09-aef5-87a920008090</t>
  </si>
  <si>
    <t>2025-09-03T11:55:41.883Z</t>
  </si>
  <si>
    <t>2025-09-03T11:47:26.442+08</t>
  </si>
  <si>
    <t>2025-09-03T12:53:10.976+08</t>
  </si>
  <si>
    <t>H019500020</t>
  </si>
  <si>
    <t>uuid:16889d3b-f782-4b72-9424-2624728bada8</t>
  </si>
  <si>
    <t>2025-09-03T11:55:42.787Z</t>
  </si>
  <si>
    <t>2025-09-03T13:03:53.377+08</t>
  </si>
  <si>
    <t>2025-09-03T13:43:32.279+08</t>
  </si>
  <si>
    <t>H019500021</t>
  </si>
  <si>
    <t>uuid:a3fd1c12-dd98-4a38-ae95-1ff3a1f9434c</t>
  </si>
  <si>
    <t>2025-09-03T11:55:43.877Z</t>
  </si>
  <si>
    <t>2025-09-03T15:33:02.944+08</t>
  </si>
  <si>
    <t>2025-09-03T16:08:06.055+08</t>
  </si>
  <si>
    <t>H019500022</t>
  </si>
  <si>
    <t>uuid:a061f95c-a8c5-408f-b3d4-4205113a6c6b</t>
  </si>
  <si>
    <t>2025-09-03T12:17:02.974Z</t>
  </si>
  <si>
    <t>2025-09-03T10:42:35.249+08</t>
  </si>
  <si>
    <t>2025-09-03T11:35:40.146+08</t>
  </si>
  <si>
    <t>H019500028</t>
  </si>
  <si>
    <t>uuid:b8b96562-3ac0-4774-9b26-8bf5b024bf60</t>
  </si>
  <si>
    <t>2025-09-03T12:17:05.430Z</t>
  </si>
  <si>
    <t>2025-09-03T13:38:04.801+08</t>
  </si>
  <si>
    <t>2025-09-03T14:56:59.999+08</t>
  </si>
  <si>
    <t>H019500034</t>
  </si>
  <si>
    <t>uuid:b5f04706-422c-47ea-acae-4bc87f1002b6</t>
  </si>
  <si>
    <t>2025-09-03T12:17:06.558Z</t>
  </si>
  <si>
    <t>2025-09-03T15:34:21.046+08</t>
  </si>
  <si>
    <t>2025-09-03T16:08:50.533+08</t>
  </si>
  <si>
    <t>H019500026</t>
  </si>
  <si>
    <t>uuid:6ef0385c-e6c8-40ad-b940-8114123d24a4</t>
  </si>
  <si>
    <t>2025-09-03T12:17:07.872Z</t>
  </si>
  <si>
    <t>2025-09-03T12:03:37.921+08</t>
  </si>
  <si>
    <t>2025-09-03T13:01:06.606+08</t>
  </si>
  <si>
    <t>H019500027</t>
  </si>
  <si>
    <t>uuid:eff1b48f-f37c-4424-9f41-f1c05f68d424</t>
  </si>
  <si>
    <t>2025-09-03T12:17:23.213Z</t>
  </si>
  <si>
    <t>2025-09-03T07:45:00.455+08</t>
  </si>
  <si>
    <t>2025-09-03T08:21:42.997+08</t>
  </si>
  <si>
    <t>H030076018</t>
  </si>
  <si>
    <t>uuid:8b0befb1-8d52-4fab-b606-fadea32a380d</t>
  </si>
  <si>
    <t>2025-09-03T12:17:24.988Z</t>
  </si>
  <si>
    <t>2025-09-03T08:36:04.842+08</t>
  </si>
  <si>
    <t>2025-09-03T09:07:14.646+08</t>
  </si>
  <si>
    <t>H030076033</t>
  </si>
  <si>
    <t>uuid:69ea801e-42bf-4c23-8905-f383c6445e37</t>
  </si>
  <si>
    <t>2025-09-03T12:17:26.262Z</t>
  </si>
  <si>
    <t>2025-09-03T12:51:40.395+08</t>
  </si>
  <si>
    <t>2025-09-03T13:44:12.468+08</t>
  </si>
  <si>
    <t>H030076016</t>
  </si>
  <si>
    <t>uuid:d49a0ed4-7d2a-45b5-b5c3-accb9ed84847</t>
  </si>
  <si>
    <t>2025-09-03T12:19:57.893Z</t>
  </si>
  <si>
    <t>2025-09-03T08:59:54.547+08</t>
  </si>
  <si>
    <t>2025-09-03T12:57:35.289+08</t>
  </si>
  <si>
    <t>H030076004</t>
  </si>
  <si>
    <t>uuid:00e3f4ed-bf44-4a0a-a4b8-6582ef187a7b</t>
  </si>
  <si>
    <t>2025-09-03T12:20:04.034Z</t>
  </si>
  <si>
    <t>2025-09-03T10:49:38.497+08</t>
  </si>
  <si>
    <t>2025-09-03T12:58:55.187+08</t>
  </si>
  <si>
    <t>H030076019</t>
  </si>
  <si>
    <t>uuid:d56893b5-5586-4f6c-9bb6-fdfffe3db86d</t>
  </si>
  <si>
    <t>2025-09-03T12:20:14.039Z</t>
  </si>
  <si>
    <t>2025-09-03T07:43:59.774+08</t>
  </si>
  <si>
    <t>2025-09-03T13:06:43.114+08</t>
  </si>
  <si>
    <t>H030076020</t>
  </si>
  <si>
    <t>uuid:ddf835af-d3b2-4777-a9a1-7950beda317e</t>
  </si>
  <si>
    <t>2025-10-05T12:31:30.454Z</t>
  </si>
  <si>
    <t>2025-10-05T08:43:18.694+08</t>
  </si>
  <si>
    <t>2025-10-05T20:30:38.380+08</t>
  </si>
  <si>
    <t>H030076017</t>
  </si>
  <si>
    <t>uuid:ee1d1ed7-8aa6-414f-b343-a4f1d18773d6</t>
  </si>
  <si>
    <t>2025-10-02T11:55:51.123Z</t>
  </si>
  <si>
    <t>2025-10-02T08:59:25.654+08</t>
  </si>
  <si>
    <t>2025-10-02T09:40:51.881+08</t>
  </si>
  <si>
    <t>H030076024</t>
  </si>
  <si>
    <t>uuid:6e9e07ec-8bb2-4c40-988f-6a53202125f1</t>
  </si>
  <si>
    <t>2025-10-01T11:52:51.588Z</t>
  </si>
  <si>
    <t>2025-10-01T09:06:55.568+08</t>
  </si>
  <si>
    <t>2025-10-01T10:39:15.454+08</t>
  </si>
  <si>
    <t>H030634027</t>
  </si>
  <si>
    <t>uuid:5848a0d0-b3ef-4b5e-85d9-20cb7f2784fc</t>
  </si>
  <si>
    <t>2025-09-03T12:23:10.583Z</t>
  </si>
  <si>
    <t>2025-09-03T07:42:56.110+08</t>
  </si>
  <si>
    <t>2025-09-03T08:39:48.215+08</t>
  </si>
  <si>
    <t>H030076021</t>
  </si>
  <si>
    <t>uuid:c874c0d3-ebfd-40c6-b126-82478297e263</t>
  </si>
  <si>
    <t>2025-09-03T12:23:11.518Z</t>
  </si>
  <si>
    <t>2025-09-03T09:20:20.513+08</t>
  </si>
  <si>
    <t>2025-09-03T10:28:07.468+08</t>
  </si>
  <si>
    <t>H030076030</t>
  </si>
  <si>
    <t>uuid:c0290ddc-f066-49a7-bc22-bd662019f55c</t>
  </si>
  <si>
    <t>2025-09-03T12:23:13.580Z</t>
  </si>
  <si>
    <t>2025-09-03T12:49:08.876+08</t>
  </si>
  <si>
    <t>2025-09-03T13:15:33.713+08</t>
  </si>
  <si>
    <t>H030076028</t>
  </si>
  <si>
    <t>uuid:9cf273fa-8f20-4561-a7e9-ea53eb2382d0</t>
  </si>
  <si>
    <t>2025-09-29T10:20:01.055Z</t>
  </si>
  <si>
    <t>2025-09-29T13:10:16.880+08</t>
  </si>
  <si>
    <t>2025-09-29T17:22:45.944+08</t>
  </si>
  <si>
    <t>H019500030</t>
  </si>
  <si>
    <t>uuid:129d024c-868f-48fe-b87d-a5c54caf5b0b</t>
  </si>
  <si>
    <t>2025-09-29T10:19:51.881Z</t>
  </si>
  <si>
    <t>2025-09-29T10:12:45.895+08</t>
  </si>
  <si>
    <t>2025-09-29T10:38:08.997+08</t>
  </si>
  <si>
    <t>H019500031</t>
  </si>
  <si>
    <t>uuid:d8b15092-6adc-4c99-a7c5-da2a81cf22e9</t>
  </si>
  <si>
    <t>2025-09-03T12:40:16.898Z</t>
  </si>
  <si>
    <t>2025-09-03T08:33:05.637+08</t>
  </si>
  <si>
    <t>2025-09-03T09:32:09.642+08</t>
  </si>
  <si>
    <t>H030076034</t>
  </si>
  <si>
    <t>uuid:71472bcd-45fd-4547-9442-4efff6dbb724</t>
  </si>
  <si>
    <t>2025-09-03T12:40:19.892Z</t>
  </si>
  <si>
    <t>2025-09-03T07:43:32.240+08</t>
  </si>
  <si>
    <t>2025-09-03T09:54:25.076+08</t>
  </si>
  <si>
    <t>H030076031</t>
  </si>
  <si>
    <t>uuid:4f502567-affe-4980-b62f-f55cc54aaff7</t>
  </si>
  <si>
    <t>2025-09-03T12:40:21.670Z</t>
  </si>
  <si>
    <t>2025-09-03T10:19:53.575+08</t>
  </si>
  <si>
    <t>2025-09-03T10:21:58.043+08</t>
  </si>
  <si>
    <t>H030076035</t>
  </si>
  <si>
    <t>uuid:abf70dcf-dc88-4236-ac28-87b45f0ea49f</t>
  </si>
  <si>
    <t>2025-09-03T12:40:22.668Z</t>
  </si>
  <si>
    <t>2025-09-03T12:48:36.886+08</t>
  </si>
  <si>
    <t>2025-09-03T13:46:20.971+08</t>
  </si>
  <si>
    <t>H030076026</t>
  </si>
  <si>
    <t>uuid:5ee4ef79-ccbc-4d69-8e50-bd9dd250d9ee</t>
  </si>
  <si>
    <t>2025-09-03T13:03:30.298Z</t>
  </si>
  <si>
    <t>2025-09-03T10:34:32.735+08</t>
  </si>
  <si>
    <t>2025-09-03T10:59:36.108+08</t>
  </si>
  <si>
    <t>H019500018</t>
  </si>
  <si>
    <t>uuid:625e9273-ef28-4eaf-a1c3-e41c3dfda62d</t>
  </si>
  <si>
    <t>2025-09-03T13:03:32.069Z</t>
  </si>
  <si>
    <t>2025-09-03T11:14:38.432+08</t>
  </si>
  <si>
    <t>2025-09-03T11:56:49.714+08</t>
  </si>
  <si>
    <t>H019500023</t>
  </si>
  <si>
    <t>uuid:3597e974-f262-402b-8757-fc69681228c8</t>
  </si>
  <si>
    <t>2025-09-03T13:03:33.624Z</t>
  </si>
  <si>
    <t>2025-09-03T12:12:50.145+08</t>
  </si>
  <si>
    <t>2025-09-03T12:57:24.421+08</t>
  </si>
  <si>
    <t>H019500025</t>
  </si>
  <si>
    <t>uuid:f24f2314-6c67-4c1c-a3ba-79997b632cd5</t>
  </si>
  <si>
    <t>2025-09-29T10:19:53.284Z</t>
  </si>
  <si>
    <t>2025-09-29T11:15:32.365+08</t>
  </si>
  <si>
    <t>2025-09-29T11:50:13.714+08</t>
  </si>
  <si>
    <t>H019500024</t>
  </si>
  <si>
    <t>uuid:d1e25ef3-e154-4407-9dc2-67aabd44ca32</t>
  </si>
  <si>
    <t>2025-09-04T10:40:51.269Z</t>
  </si>
  <si>
    <t>2025-09-04T09:21:12.497+08</t>
  </si>
  <si>
    <t>2025-09-04T10:32:51.230+08</t>
  </si>
  <si>
    <t>H030327021</t>
  </si>
  <si>
    <t>uuid:a7ebd211-91bf-48c3-b484-18b67f86a64d</t>
  </si>
  <si>
    <t>2025-09-04T10:41:58.158Z</t>
  </si>
  <si>
    <t>2025-09-04T11:01:28.000+08</t>
  </si>
  <si>
    <t>2025-09-04T11:54:11.043+08</t>
  </si>
  <si>
    <t>H030327016</t>
  </si>
  <si>
    <t>uuid:eab3e8c1-5b1a-41c0-9bff-ed4ce3ef606e</t>
  </si>
  <si>
    <t>2025-09-04T10:42:03.495Z</t>
  </si>
  <si>
    <t>2025-09-04T12:21:16.264+08</t>
  </si>
  <si>
    <t>2025-09-04T13:16:36.076+08</t>
  </si>
  <si>
    <t>H030327017</t>
  </si>
  <si>
    <t>uuid:e755cfa2-2492-489d-9825-1c6562d1f8f6</t>
  </si>
  <si>
    <t>2025-09-04T10:44:51.814Z</t>
  </si>
  <si>
    <t>2025-09-04T10:37:08.861+08</t>
  </si>
  <si>
    <t>2025-09-04T11:59:20.537+08</t>
  </si>
  <si>
    <t>H030597018</t>
  </si>
  <si>
    <t>uuid:5b009b24-a90b-4c9b-89ad-cf87790a772a</t>
  </si>
  <si>
    <t>2025-09-04T10:44:52.896Z</t>
  </si>
  <si>
    <t>2025-09-04T12:33:41.282+08</t>
  </si>
  <si>
    <t>2025-09-04T13:56:26.378+08</t>
  </si>
  <si>
    <t>H030597031</t>
  </si>
  <si>
    <t>uuid:68829295-702b-4c32-8110-a4ba2c61457a</t>
  </si>
  <si>
    <t>2025-09-05T11:21:00.866Z</t>
  </si>
  <si>
    <t>2025-09-05T12:45:01.995+08</t>
  </si>
  <si>
    <t>2025-09-05T13:46:04.945+08</t>
  </si>
  <si>
    <t>H030566019</t>
  </si>
  <si>
    <t>uuid:e0f2a6d6-5e67-4669-b1bc-533556eb6ded</t>
  </si>
  <si>
    <t>2025-09-04T10:45:26.971Z</t>
  </si>
  <si>
    <t>2025-09-04T10:00:56.787+08</t>
  </si>
  <si>
    <t>2025-09-04T11:14:58.528+08</t>
  </si>
  <si>
    <t>H030566017</t>
  </si>
  <si>
    <t>uuid:3d94f405-3c0f-454c-ac0e-0d5cdb5b4eda</t>
  </si>
  <si>
    <t>2025-09-04T10:45:28.477Z</t>
  </si>
  <si>
    <t>2025-09-04T11:56:59.291+08</t>
  </si>
  <si>
    <t>2025-09-04T13:10:52.443+08</t>
  </si>
  <si>
    <t>H030566023</t>
  </si>
  <si>
    <t>uuid:4e481d3c-cd50-4061-8d2c-e2a5e375da89</t>
  </si>
  <si>
    <t>2025-09-05T10:57:13.351Z</t>
  </si>
  <si>
    <t>2025-09-05T12:10:18.730+08</t>
  </si>
  <si>
    <t>2025-09-05T13:15:07.993+08</t>
  </si>
  <si>
    <t>H030566020</t>
  </si>
  <si>
    <t>uuid:75dba704-1301-4007-a807-f21afef0a353</t>
  </si>
  <si>
    <t>2025-09-04T10:45:29.226Z</t>
  </si>
  <si>
    <t>2025-09-04T14:04:50.868+08</t>
  </si>
  <si>
    <t>2025-09-04T15:37:16.296+08</t>
  </si>
  <si>
    <t>H030566030</t>
  </si>
  <si>
    <t>uuid:6fb1e1e4-0a71-4644-96bf-480b393c7d37</t>
  </si>
  <si>
    <t>2025-09-04T10:49:07.768Z</t>
  </si>
  <si>
    <t>2025-09-04T14:23:51.142+08</t>
  </si>
  <si>
    <t>2025-09-04T15:23:00.612+08</t>
  </si>
  <si>
    <t>H030597028</t>
  </si>
  <si>
    <t>uuid:e329954c-4d3f-4be0-808b-25679279cc63</t>
  </si>
  <si>
    <t>2025-09-04T10:49:08.801Z</t>
  </si>
  <si>
    <t>2025-09-04T10:41:13.226+08</t>
  </si>
  <si>
    <t>2025-09-04T11:48:33.134+08</t>
  </si>
  <si>
    <t>H030597019</t>
  </si>
  <si>
    <t>uuid:20e39fca-a793-4801-8f22-a889480f4b8e</t>
  </si>
  <si>
    <t>2025-09-04T10:49:09.554Z</t>
  </si>
  <si>
    <t>2025-09-04T12:27:45.964+08</t>
  </si>
  <si>
    <t>2025-09-04T13:31:14.409+08</t>
  </si>
  <si>
    <t>H030597033</t>
  </si>
  <si>
    <t>uuid:08e14a99-d15e-4945-bf04-692773c6a1fd</t>
  </si>
  <si>
    <t>2025-09-04T10:53:34.678Z</t>
  </si>
  <si>
    <t>2025-09-04T11:51:34.779+08</t>
  </si>
  <si>
    <t>2025-09-04T14:27:03.282+08</t>
  </si>
  <si>
    <t>H030597023</t>
  </si>
  <si>
    <t>uuid:0734d02f-98a5-457e-8155-77988c8e3f5c</t>
  </si>
  <si>
    <t>2025-09-04T10:53:36.306Z</t>
  </si>
  <si>
    <t>2025-09-04T10:51:11.501+08</t>
  </si>
  <si>
    <t>2025-09-04T11:45:09.266+08</t>
  </si>
  <si>
    <t>H030597022</t>
  </si>
  <si>
    <t>uuid:da3f89bc-2643-4cac-86c6-657937b39388</t>
  </si>
  <si>
    <t>2025-09-04T10:53:37.186Z</t>
  </si>
  <si>
    <t>2025-09-04T12:08:03.242+08</t>
  </si>
  <si>
    <t>2025-09-04T13:05:02.249+08</t>
  </si>
  <si>
    <t>H030597024</t>
  </si>
  <si>
    <t>uuid:ea2bb2b3-756c-46eb-83da-5bbda5d33c51</t>
  </si>
  <si>
    <t>2025-09-04T10:56:40.898Z</t>
  </si>
  <si>
    <t>2025-09-04T09:26:55.795+08</t>
  </si>
  <si>
    <t>2025-09-04T10:18:14.774+08</t>
  </si>
  <si>
    <t>H030566018</t>
  </si>
  <si>
    <t>uuid:f151adbb-08d6-4a1b-aeb2-2b506377a848</t>
  </si>
  <si>
    <t>2025-09-04T10:56:42.613Z</t>
  </si>
  <si>
    <t>2025-09-04T11:04:30.024+08</t>
  </si>
  <si>
    <t>2025-09-04T12:34:09.957+08</t>
  </si>
  <si>
    <t>H030566035</t>
  </si>
  <si>
    <t>uuid:9858081d-cf8e-4f41-8d3b-71d9ce3887b6</t>
  </si>
  <si>
    <t>2025-09-04T10:56:43.974Z</t>
  </si>
  <si>
    <t>2025-09-04T14:48:34.897+08</t>
  </si>
  <si>
    <t>2025-09-04T15:48:37.784+08</t>
  </si>
  <si>
    <t>H030566031</t>
  </si>
  <si>
    <t>uuid:e6dab18a-c773-42de-aa2c-59c94bd4dd09</t>
  </si>
  <si>
    <t>2025-09-04T10:56:45.523Z</t>
  </si>
  <si>
    <t>2025-09-04T12:54:35.632+08</t>
  </si>
  <si>
    <t>2025-09-04T18:12:09.614+08</t>
  </si>
  <si>
    <t>H030566022</t>
  </si>
  <si>
    <t>uuid:48cf9902-1cbf-47e4-85c2-ec80f39117c3</t>
  </si>
  <si>
    <t>2025-09-05T11:10:42.381Z</t>
  </si>
  <si>
    <t>2025-09-05T12:49:41.627+08</t>
  </si>
  <si>
    <t>2025-09-05T13:48:01.298+08</t>
  </si>
  <si>
    <t>H006183035</t>
  </si>
  <si>
    <t>uuid:71c714e6-ee0a-4213-b976-ab00e0d1b720</t>
  </si>
  <si>
    <t>2025-09-05T11:10:44.267Z</t>
  </si>
  <si>
    <t>2025-09-05T08:58:46.563+08</t>
  </si>
  <si>
    <t>2025-09-05T09:55:31.082+08</t>
  </si>
  <si>
    <t>H006183029</t>
  </si>
  <si>
    <t>uuid:8aafc3a8-0ec4-4503-bebc-d89b05003418</t>
  </si>
  <si>
    <t>2025-09-04T11:16:10.483Z</t>
  </si>
  <si>
    <t>2025-09-04T10:58:57.946+08</t>
  </si>
  <si>
    <t>2025-09-04T12:13:36.556+08</t>
  </si>
  <si>
    <t>H006183021</t>
  </si>
  <si>
    <t>uuid:314b9d9b-5132-4bfb-b65a-c7d5aec78f97</t>
  </si>
  <si>
    <t>2025-09-04T11:16:12.126Z</t>
  </si>
  <si>
    <t>2025-09-04T12:34:29.683+08</t>
  </si>
  <si>
    <t>2025-09-04T13:43:49.185+08</t>
  </si>
  <si>
    <t>H006183016</t>
  </si>
  <si>
    <t>uuid:1de476ce-cd87-46e9-b90e-9f6b05563fc5</t>
  </si>
  <si>
    <t>2025-09-04T11:17:34.947Z</t>
  </si>
  <si>
    <t>2025-09-04T10:33:16.142+08</t>
  </si>
  <si>
    <t>2025-09-04T11:55:18.215+08</t>
  </si>
  <si>
    <t>H030327022</t>
  </si>
  <si>
    <t>uuid:97618455-3e1d-4390-b666-e063649b84d9</t>
  </si>
  <si>
    <t>2025-09-04T11:17:40.253Z</t>
  </si>
  <si>
    <t>2025-09-04T14:45:06.970+08</t>
  </si>
  <si>
    <t>2025-09-04T16:10:00.445+08</t>
  </si>
  <si>
    <t>H030327023</t>
  </si>
  <si>
    <t>uuid:6f314027-4038-43ef-8f77-ce93840ddd7a</t>
  </si>
  <si>
    <t>2025-09-04T11:18:34.568Z</t>
  </si>
  <si>
    <t>2025-09-04T12:16:38.013+08</t>
  </si>
  <si>
    <t>2025-09-04T13:54:25.747+08</t>
  </si>
  <si>
    <t>H019838022</t>
  </si>
  <si>
    <t>uuid:47695954-c456-462f-a9b2-288f6bffb300</t>
  </si>
  <si>
    <t>2025-09-04T11:18:34.861Z</t>
  </si>
  <si>
    <t>2025-09-04T08:53:41.151+08</t>
  </si>
  <si>
    <t>2025-09-04T09:41:48.793+08</t>
  </si>
  <si>
    <t>H019838024</t>
  </si>
  <si>
    <t>uuid:61fd42cc-a4fb-4a4f-b465-7d03e6caae03</t>
  </si>
  <si>
    <t>2025-09-04T11:18:36.011Z</t>
  </si>
  <si>
    <t>2025-09-04T09:51:51.843+08</t>
  </si>
  <si>
    <t>2025-09-04T10:22:51.177+08</t>
  </si>
  <si>
    <t>H019838016</t>
  </si>
  <si>
    <t>uuid:b2133780-8045-4454-b020-32d4be492954</t>
  </si>
  <si>
    <t>2025-09-04T11:18:36.674Z</t>
  </si>
  <si>
    <t>2025-09-04T09:17:38.315+08</t>
  </si>
  <si>
    <t>2025-09-04T15:46:16.627+08</t>
  </si>
  <si>
    <t>H019838025</t>
  </si>
  <si>
    <t>uuid:378d879c-dfdd-4c2b-84ba-2bd0663f3074</t>
  </si>
  <si>
    <t>2025-09-04T11:18:37.002Z</t>
  </si>
  <si>
    <t>2025-09-04T10:54:43.368+08</t>
  </si>
  <si>
    <t>2025-09-04T11:50:39.748+08</t>
  </si>
  <si>
    <t>H019838029</t>
  </si>
  <si>
    <t>uuid:fdf824bf-6f5a-4776-b0db-6461dd5f5e72</t>
  </si>
  <si>
    <t>2025-09-04T11:18:37.641Z</t>
  </si>
  <si>
    <t>2025-09-04T11:00:33.999+08</t>
  </si>
  <si>
    <t>2025-09-04T15:56:32.349+08</t>
  </si>
  <si>
    <t>H019838030</t>
  </si>
  <si>
    <t>uuid:b91a16e1-308c-4cca-8dc4-25d242aa62ed</t>
  </si>
  <si>
    <t>2025-09-04T11:18:37.722Z</t>
  </si>
  <si>
    <t>2025-09-04T12:08:00.700+08</t>
  </si>
  <si>
    <t>2025-09-04T12:50:55.072+08</t>
  </si>
  <si>
    <t>H019838026</t>
  </si>
  <si>
    <t>uuid:de0729e0-aeb6-4416-8e3a-3e10032b69a1</t>
  </si>
  <si>
    <t>2025-09-04T11:18:50.356Z</t>
  </si>
  <si>
    <t>2025-09-04T14:16:14.133+08</t>
  </si>
  <si>
    <t>2025-09-04T15:04:03.900+08</t>
  </si>
  <si>
    <t>H019838020</t>
  </si>
  <si>
    <t>uuid:8deee695-d3bc-44f3-9dca-ae9aca0e7a24</t>
  </si>
  <si>
    <t>2025-09-04T11:18:49.896Z</t>
  </si>
  <si>
    <t>2025-09-04T12:22:59.628+08</t>
  </si>
  <si>
    <t>2025-09-04T13:08:28.592+08</t>
  </si>
  <si>
    <t>H019838031</t>
  </si>
  <si>
    <t>uuid:acb16e30-ff87-4256-af08-02fe6010d244</t>
  </si>
  <si>
    <t>2025-09-04T11:27:04.408Z</t>
  </si>
  <si>
    <t>2025-09-04T09:39:38.666+08</t>
  </si>
  <si>
    <t>2025-09-04T10:21:18.535+08</t>
  </si>
  <si>
    <t>H019096034</t>
  </si>
  <si>
    <t>uuid:3dcbd1ef-ab13-422a-81eb-e1cf0adcb11d</t>
  </si>
  <si>
    <t>2025-09-04T11:27:05.280Z</t>
  </si>
  <si>
    <t>2025-09-04T11:34:27.732+08</t>
  </si>
  <si>
    <t>2025-09-04T12:07:13.548+08</t>
  </si>
  <si>
    <t>H019096017</t>
  </si>
  <si>
    <t>uuid:39120c64-5b82-4c28-8bb4-a9a20cf681e1</t>
  </si>
  <si>
    <t>2025-09-04T11:27:06.359Z</t>
  </si>
  <si>
    <t>2025-09-04T10:45:32.827+08</t>
  </si>
  <si>
    <t>2025-09-04T11:27:41.728+08</t>
  </si>
  <si>
    <t>H019096019</t>
  </si>
  <si>
    <t>uuid:004be7fe-b08b-42ff-a8fd-d815c73a6a25</t>
  </si>
  <si>
    <t>2025-09-04T11:27:34.430Z</t>
  </si>
  <si>
    <t>2025-09-04T11:35:25.729+08</t>
  </si>
  <si>
    <t>2025-09-04T12:38:25.958+08</t>
  </si>
  <si>
    <t>H019096015</t>
  </si>
  <si>
    <t>uuid:b8b89112-f06b-4422-80df-edc26baa82dd</t>
  </si>
  <si>
    <t>2025-09-04T11:27:35.012Z</t>
  </si>
  <si>
    <t>2025-09-04T13:50:39.833+08</t>
  </si>
  <si>
    <t>2025-09-04T15:05:39.335+08</t>
  </si>
  <si>
    <t>H019096035</t>
  </si>
  <si>
    <t>uuid:f8665eaa-87d0-4272-bd41-81b417ee92ac</t>
  </si>
  <si>
    <t>2025-09-04T11:27:35.642Z</t>
  </si>
  <si>
    <t>2025-09-04T09:41:39.529+08</t>
  </si>
  <si>
    <t>2025-09-04T15:27:59.289+08</t>
  </si>
  <si>
    <t>H019096021</t>
  </si>
  <si>
    <t>uuid:886b1b66-c845-461d-b61e-0413041c69f5</t>
  </si>
  <si>
    <t>2025-09-04T11:27:42.860Z</t>
  </si>
  <si>
    <t>2025-09-04T09:44:59.301+08</t>
  </si>
  <si>
    <t>2025-09-04T10:48:58.184+08</t>
  </si>
  <si>
    <t>H019096016</t>
  </si>
  <si>
    <t>uuid:0b7ea02c-baa3-410c-901a-dabb8d941ba1</t>
  </si>
  <si>
    <t>2025-09-04T11:27:44.173Z</t>
  </si>
  <si>
    <t>2025-09-04T11:35:07.975+08</t>
  </si>
  <si>
    <t>2025-09-04T12:41:01.936+08</t>
  </si>
  <si>
    <t>H019096030</t>
  </si>
  <si>
    <t>uuid:a23e1d91-5f6e-4372-a5ce-477c24ea0b67</t>
  </si>
  <si>
    <t>2025-09-04T11:27:45.335Z</t>
  </si>
  <si>
    <t>2025-09-04T14:03:05.700+08</t>
  </si>
  <si>
    <t>2025-09-04T15:04:49.337+08</t>
  </si>
  <si>
    <t>H019096032</t>
  </si>
  <si>
    <t>uuid:2a1a2f56-691b-4141-8e6b-8132b95cac4a</t>
  </si>
  <si>
    <t>2025-09-04T11:27:46.816Z</t>
  </si>
  <si>
    <t>2025-09-04T15:19:44.092+08</t>
  </si>
  <si>
    <t>2025-09-04T16:43:51.918+08</t>
  </si>
  <si>
    <t>H019096033</t>
  </si>
  <si>
    <t>uuid:e19107db-78db-4f7e-af5f-f162d6917842</t>
  </si>
  <si>
    <t>2025-09-04T11:30:36.972Z</t>
  </si>
  <si>
    <t>2025-09-04T11:16:15.239+08</t>
  </si>
  <si>
    <t>2025-09-04T12:27:18.362+08</t>
  </si>
  <si>
    <t>H006183018</t>
  </si>
  <si>
    <t>uuid:2d1b36e7-7486-4a12-abdf-75a74860dadd</t>
  </si>
  <si>
    <t>2025-09-04T11:30:38.498Z</t>
  </si>
  <si>
    <t>2025-09-04T13:05:30.939+08</t>
  </si>
  <si>
    <t>2025-09-04T14:12:07.289+08</t>
  </si>
  <si>
    <t>H006183025</t>
  </si>
  <si>
    <t>uuid:841dada4-3bba-4112-99f3-5f8d90a9acce</t>
  </si>
  <si>
    <t>2025-09-05T11:20:37.623Z</t>
  </si>
  <si>
    <t>2025-09-05T08:50:38.241+08</t>
  </si>
  <si>
    <t>2025-09-05T10:02:12.514+08</t>
  </si>
  <si>
    <t>H006183034</t>
  </si>
  <si>
    <t>uuid:b512dbdf-56b1-4660-a305-6a04ac7a3843</t>
  </si>
  <si>
    <t>2025-09-04T11:34:18.036Z</t>
  </si>
  <si>
    <t>2025-09-04T10:52:26.363+08</t>
  </si>
  <si>
    <t>2025-09-04T11:33:33.545+08</t>
  </si>
  <si>
    <t>H006183022</t>
  </si>
  <si>
    <t>uuid:816fd950-347d-4e84-b841-7a3c9ff2e89a</t>
  </si>
  <si>
    <t>2025-09-04T11:34:19.701Z</t>
  </si>
  <si>
    <t>2025-09-04T11:41:19.275+08</t>
  </si>
  <si>
    <t>2025-09-04T12:50:37.865+08</t>
  </si>
  <si>
    <t>H006183028</t>
  </si>
  <si>
    <t>uuid:dfd1a08d-31b5-46dc-8eb9-f6876673fef7</t>
  </si>
  <si>
    <t>2025-09-04T11:34:21.546Z</t>
  </si>
  <si>
    <t>2025-09-04T13:36:57.320+08</t>
  </si>
  <si>
    <t>2025-09-04T15:01:16.552+08</t>
  </si>
  <si>
    <t>H006183024</t>
  </si>
  <si>
    <t>uuid:6f3725e9-454d-4c56-ba81-07fed5ca825e</t>
  </si>
  <si>
    <t>2025-09-04T11:36:00.989Z</t>
  </si>
  <si>
    <t>2025-09-04T10:43:14.103+08</t>
  </si>
  <si>
    <t>2025-09-04T11:44:12.321+08</t>
  </si>
  <si>
    <t>H006734032</t>
  </si>
  <si>
    <t>uuid:0a444e18-ff89-4b7c-84a0-3b0475ee097d</t>
  </si>
  <si>
    <t>2025-09-04T11:36:04.688Z</t>
  </si>
  <si>
    <t>2025-09-04T12:47:15.064+08</t>
  </si>
  <si>
    <t>2025-09-04T13:50:19.409+08</t>
  </si>
  <si>
    <t>H006734028</t>
  </si>
  <si>
    <t>uuid:f5e42b3b-94b3-4060-9f4c-5aeaf85fdbbe</t>
  </si>
  <si>
    <t>2025-09-04T11:36:07.282Z</t>
  </si>
  <si>
    <t>2025-09-04T14:24:26.315+08</t>
  </si>
  <si>
    <t>2025-09-04T15:09:36.815+08</t>
  </si>
  <si>
    <t>H006734017</t>
  </si>
  <si>
    <t>uuid:fe29bced-e095-49d8-941a-2333c883a31a</t>
  </si>
  <si>
    <t>2025-09-04T11:36:09.111Z</t>
  </si>
  <si>
    <t>2025-09-04T15:28:10.658+08</t>
  </si>
  <si>
    <t>2025-09-04T16:07:29.631+08</t>
  </si>
  <si>
    <t>H006734033</t>
  </si>
  <si>
    <t>uuid:42bdf735-eb07-4f7a-8031-e0c10551f450</t>
  </si>
  <si>
    <t>2025-09-04T11:50:00.495Z</t>
  </si>
  <si>
    <t>2025-09-04T10:39:02.823+08</t>
  </si>
  <si>
    <t>2025-09-04T16:12:38.513+08</t>
  </si>
  <si>
    <t>H006734025</t>
  </si>
  <si>
    <t>uuid:30d7334a-658e-4a5a-bf41-3eafa617ee01</t>
  </si>
  <si>
    <t>2025-09-04T11:50:01.069Z</t>
  </si>
  <si>
    <t>2025-09-04T12:58:23.216+08</t>
  </si>
  <si>
    <t>2025-09-04T16:13:07.745+08</t>
  </si>
  <si>
    <t>H006734022</t>
  </si>
  <si>
    <t>uuid:607829e5-af40-403a-99a8-eae662b8c3e0</t>
  </si>
  <si>
    <t>2025-09-04T11:50:02.289Z</t>
  </si>
  <si>
    <t>2025-09-04T14:20:20.007+08</t>
  </si>
  <si>
    <t>2025-09-04T16:19:07.371+08</t>
  </si>
  <si>
    <t>H006734018</t>
  </si>
  <si>
    <t>uuid:34a7dcbb-7295-4351-bf6c-29c068ac7f28</t>
  </si>
  <si>
    <t>2025-09-04T11:50:04.263Z</t>
  </si>
  <si>
    <t>2025-09-04T15:31:07.518+08</t>
  </si>
  <si>
    <t>2025-09-04T19:21:13.689+08</t>
  </si>
  <si>
    <t>H006734027</t>
  </si>
  <si>
    <t>uuid:65379713-6469-4427-aed8-2bcb25ffe8dd</t>
  </si>
  <si>
    <t>2025-09-04T11:51:25.608Z</t>
  </si>
  <si>
    <t>2025-09-04T08:58:44.449+08</t>
  </si>
  <si>
    <t>2025-09-04T09:59:45.220+08</t>
  </si>
  <si>
    <t>H019838027</t>
  </si>
  <si>
    <t>uuid:4afc7089-3e25-4a5b-82be-0c3032378f26</t>
  </si>
  <si>
    <t>2025-09-04T11:51:27.076Z</t>
  </si>
  <si>
    <t>2025-09-04T10:35:25.917+08</t>
  </si>
  <si>
    <t>2025-09-04T11:26:50.369+08</t>
  </si>
  <si>
    <t>H019838013</t>
  </si>
  <si>
    <t>uuid:ce19a828-3a11-4e0d-a46c-5859ecf6ab28</t>
  </si>
  <si>
    <t>2025-09-06T11:11:06.857Z</t>
  </si>
  <si>
    <t>2025-09-06T10:56:51.058+08</t>
  </si>
  <si>
    <t>2025-09-06T12:03:15.684+08</t>
  </si>
  <si>
    <t>H019838021</t>
  </si>
  <si>
    <t>uuid:04642682-5fc9-4e17-91c0-29b4cee26669</t>
  </si>
  <si>
    <t>2025-09-06T10:09:30.336Z</t>
  </si>
  <si>
    <t>2025-09-06T09:45:16.859+08</t>
  </si>
  <si>
    <t>2025-09-06T10:35:23.012+08</t>
  </si>
  <si>
    <t>H019838019</t>
  </si>
  <si>
    <t>uuid:e6e9a845-aee7-4e6e-8646-19773fdd8fe2</t>
  </si>
  <si>
    <t>2025-09-06T11:13:09.975Z</t>
  </si>
  <si>
    <t>2025-09-06T09:20:16.689+08</t>
  </si>
  <si>
    <t>2025-09-06T10:28:59.914+08</t>
  </si>
  <si>
    <t>H019838018</t>
  </si>
  <si>
    <t>uuid:6bddc2f9-eb5a-48ba-ab06-e060e6a0bb68</t>
  </si>
  <si>
    <t>2025-09-04T11:51:38.514Z</t>
  </si>
  <si>
    <t>2025-09-04T15:39:06.625+08</t>
  </si>
  <si>
    <t>2025-09-04T16:23:00.488+08</t>
  </si>
  <si>
    <t>H019838017</t>
  </si>
  <si>
    <t>uuid:8803bb83-a997-4177-bc58-e4b43c432269</t>
  </si>
  <si>
    <t>2025-09-04T12:13:30.683Z</t>
  </si>
  <si>
    <t>2025-09-04T14:20:50.765+08</t>
  </si>
  <si>
    <t>2025-09-04T15:22:57.132+08</t>
  </si>
  <si>
    <t>H006734029</t>
  </si>
  <si>
    <t>uuid:e7716a81-155f-41c5-a471-379b8f807c48</t>
  </si>
  <si>
    <t>2025-09-04T12:13:32.751Z</t>
  </si>
  <si>
    <t>2025-09-04T15:46:56.511+08</t>
  </si>
  <si>
    <t>2025-09-04T16:40:56.098+08</t>
  </si>
  <si>
    <t>H006734023</t>
  </si>
  <si>
    <t>uuid:f5f24def-ba66-4a2a-83d5-24fb9da1b6bd</t>
  </si>
  <si>
    <t>2025-09-04T12:13:33.584Z</t>
  </si>
  <si>
    <t>2025-09-04T12:54:43.706+08</t>
  </si>
  <si>
    <t>2025-09-04T13:48:13.971+08</t>
  </si>
  <si>
    <t>H006734030</t>
  </si>
  <si>
    <t>uuid:dee5e493-428f-4371-a187-da7451b77870</t>
  </si>
  <si>
    <t>2025-09-04T12:13:34.736Z</t>
  </si>
  <si>
    <t>2025-09-04T10:43:10.795+08</t>
  </si>
  <si>
    <t>2025-09-04T11:41:21.519+08</t>
  </si>
  <si>
    <t>H006734034</t>
  </si>
  <si>
    <t>uuid:74cd8f7b-2d15-4bab-9f3a-45f3c1c016c6</t>
  </si>
  <si>
    <t>2025-09-05T10:07:45.182Z</t>
  </si>
  <si>
    <t>2025-09-05T08:43:55.879+08</t>
  </si>
  <si>
    <t>2025-09-05T09:35:04.269+08</t>
  </si>
  <si>
    <t>H006719081</t>
  </si>
  <si>
    <t>uuid:a6ba50d6-3a59-4a87-93aa-05fc1d55bb66</t>
  </si>
  <si>
    <t>2025-09-05T10:07:46.427Z</t>
  </si>
  <si>
    <t>2025-09-05T10:58:31.369+08</t>
  </si>
  <si>
    <t>2025-09-05T17:59:44.948+08</t>
  </si>
  <si>
    <t>H006719088</t>
  </si>
  <si>
    <t>uuid:fe6b8f2a-c32b-4d97-99fd-d24465eae895</t>
  </si>
  <si>
    <t>2025-09-05T10:07:47.437Z</t>
  </si>
  <si>
    <t>2025-09-05T09:37:11.332+08</t>
  </si>
  <si>
    <t>2025-09-05T10:35:21.291+08</t>
  </si>
  <si>
    <t>H006719085</t>
  </si>
  <si>
    <t>uuid:826aca33-5e78-46eb-a02d-2d8e01172016</t>
  </si>
  <si>
    <t>2025-09-05T10:07:48.410Z</t>
  </si>
  <si>
    <t>2025-09-05T11:58:00.385+08</t>
  </si>
  <si>
    <t>2025-09-05T12:47:05.506+08</t>
  </si>
  <si>
    <t>H006719080</t>
  </si>
  <si>
    <t>uuid:144fcf2f-0c1d-4c58-99b4-f3191299ad60</t>
  </si>
  <si>
    <t>2025-09-05T10:20:25.476Z</t>
  </si>
  <si>
    <t>2025-09-05T10:08:28.444+08</t>
  </si>
  <si>
    <t>2025-09-05T11:15:17.831+08</t>
  </si>
  <si>
    <t>H006657019</t>
  </si>
  <si>
    <t>uuid:2a4d7d77-c7e0-4d02-9f8c-8e9cc3d479ea</t>
  </si>
  <si>
    <t>2025-09-05T10:20:26.173Z</t>
  </si>
  <si>
    <t>2025-09-05T09:01:49.978+08</t>
  </si>
  <si>
    <t>2025-09-05T10:06:39.409+08</t>
  </si>
  <si>
    <t>H006657020</t>
  </si>
  <si>
    <t>uuid:a0830307-429c-4f33-a695-afcaba411227</t>
  </si>
  <si>
    <t>2025-09-05T10:20:27.387Z</t>
  </si>
  <si>
    <t>2025-09-05T14:23:13.332+08</t>
  </si>
  <si>
    <t>2025-09-05T15:25:16.221+08</t>
  </si>
  <si>
    <t>H006657034</t>
  </si>
  <si>
    <t>uuid:a369664e-4bee-4d05-b47a-97a3cfeec024</t>
  </si>
  <si>
    <t>2025-09-05T10:20:26.765Z</t>
  </si>
  <si>
    <t>2025-09-05T12:32:35.365+08</t>
  </si>
  <si>
    <t>2025-09-05T14:22:22.822+08</t>
  </si>
  <si>
    <t>H006657021</t>
  </si>
  <si>
    <t>uuid:aea3ccf9-15e0-492f-9e42-4c904ae13fbf</t>
  </si>
  <si>
    <t>2025-09-05T10:57:07.440Z</t>
  </si>
  <si>
    <t>2025-09-05T09:15:17.933+08</t>
  </si>
  <si>
    <t>2025-09-05T10:35:59.585+08</t>
  </si>
  <si>
    <t>H030566021</t>
  </si>
  <si>
    <t>uuid:919b6f28-e9c7-496e-a084-781c851a05b2</t>
  </si>
  <si>
    <t>2025-09-05T10:57:10.467Z</t>
  </si>
  <si>
    <t>2025-09-05T11:01:51.522+08</t>
  </si>
  <si>
    <t>2025-09-05T11:45:36.218+08</t>
  </si>
  <si>
    <t>H030566034</t>
  </si>
  <si>
    <t>uuid:01724bd5-2d3c-40b8-b1ae-c0797613fb37</t>
  </si>
  <si>
    <t>2025-09-30T10:24:13.708Z</t>
  </si>
  <si>
    <t>2025-09-30T12:01:43.107+08</t>
  </si>
  <si>
    <t>2025-09-30T14:04:55.209+08</t>
  </si>
  <si>
    <t>H030566032</t>
  </si>
  <si>
    <t>uuid:04c0e6e5-e10a-48df-a476-8f6361bf8120</t>
  </si>
  <si>
    <t>2025-09-05T10:57:26.763Z</t>
  </si>
  <si>
    <t>2025-09-05T09:48:51.254+08</t>
  </si>
  <si>
    <t>2025-09-05T11:01:24.480+08</t>
  </si>
  <si>
    <t>H030764023</t>
  </si>
  <si>
    <t>uuid:f367536b-912e-497b-973d-8edca9fb6c3d</t>
  </si>
  <si>
    <t>2025-09-05T10:57:29.162Z</t>
  </si>
  <si>
    <t>2025-09-05T11:22:07.243+08</t>
  </si>
  <si>
    <t>2025-09-05T13:13:32.353+08</t>
  </si>
  <si>
    <t>H030764022</t>
  </si>
  <si>
    <t>uuid:c9912702-609c-43fe-b177-0469d9cf8c7a</t>
  </si>
  <si>
    <t>2025-09-06T11:54:54.390Z</t>
  </si>
  <si>
    <t>2025-09-06T08:41:29.213+08</t>
  </si>
  <si>
    <t>2025-09-06T09:48:20.613+08</t>
  </si>
  <si>
    <t>H030764021</t>
  </si>
  <si>
    <t>uuid:d7d3322d-45d9-46df-bf90-f3b3479e325e</t>
  </si>
  <si>
    <t>2025-09-05T10:57:31.637Z</t>
  </si>
  <si>
    <t>2025-09-05T14:05:17.743+08</t>
  </si>
  <si>
    <t>2025-09-05T15:18:50.881+08</t>
  </si>
  <si>
    <t>H030764033</t>
  </si>
  <si>
    <t>uuid:f4b32b4a-105e-4272-bc3f-600f46784582</t>
  </si>
  <si>
    <t>2025-09-05T10:57:34.138Z</t>
  </si>
  <si>
    <t>2025-09-05T15:39:12.745+08</t>
  </si>
  <si>
    <t>2025-09-05T16:54:53.026+08</t>
  </si>
  <si>
    <t>H030764028</t>
  </si>
  <si>
    <t>uuid:961168d2-3e27-4231-8f0b-b50ee6ce5a99</t>
  </si>
  <si>
    <t>2025-09-06T09:28:17.225Z</t>
  </si>
  <si>
    <t>2025-09-06T11:34:16.516+08</t>
  </si>
  <si>
    <t>2025-09-06T12:25:15.081+08</t>
  </si>
  <si>
    <t>H030764031</t>
  </si>
  <si>
    <t>uuid:b7c12c50-91e8-4cb4-9180-231763b61438</t>
  </si>
  <si>
    <t>2025-09-05T11:02:34.629Z</t>
  </si>
  <si>
    <t>2025-09-05T11:13:56.363+08</t>
  </si>
  <si>
    <t>2025-09-05T12:36:43.912+08</t>
  </si>
  <si>
    <t>H019499012</t>
  </si>
  <si>
    <t>uuid:b360905d-2cd2-4329-910d-d40d851b1fd2</t>
  </si>
  <si>
    <t>2025-09-05T11:02:35.862Z</t>
  </si>
  <si>
    <t>2025-09-05T13:00:28.694+08</t>
  </si>
  <si>
    <t>2025-09-05T13:48:41.347+08</t>
  </si>
  <si>
    <t>H019499032</t>
  </si>
  <si>
    <t>uuid:567cf58a-cb73-467d-9414-17c0f35ff6d7</t>
  </si>
  <si>
    <t>2025-09-05T11:02:37.231Z</t>
  </si>
  <si>
    <t>2025-09-05T14:31:07.835+08</t>
  </si>
  <si>
    <t>2025-09-05T15:52:56.332+08</t>
  </si>
  <si>
    <t>H019499033</t>
  </si>
  <si>
    <t>uuid:e684127a-d08a-4f23-8824-1034f67570e8</t>
  </si>
  <si>
    <t>2025-09-05T11:02:38.421Z</t>
  </si>
  <si>
    <t>2025-09-05T09:49:21.958+08</t>
  </si>
  <si>
    <t>2025-09-05T10:58:58.387+08</t>
  </si>
  <si>
    <t>H019499031</t>
  </si>
  <si>
    <t>uuid:999bcbce-775f-4fe6-9789-9cadc3fb8750</t>
  </si>
  <si>
    <t>2025-09-05T11:10:39.288Z</t>
  </si>
  <si>
    <t>2025-09-05T12:05:55.905+08</t>
  </si>
  <si>
    <t>2025-09-05T12:15:30.684+08</t>
  </si>
  <si>
    <t>H006183020</t>
  </si>
  <si>
    <t>uuid:cab5f00c-5880-48fb-8a85-601ad72728c5</t>
  </si>
  <si>
    <t>2025-09-05T11:10:43.370Z</t>
  </si>
  <si>
    <t>2025-09-05T10:26:41.631+08</t>
  </si>
  <si>
    <t>2025-09-05T11:25:27.387+08</t>
  </si>
  <si>
    <t>H006183027</t>
  </si>
  <si>
    <t>uuid:4f46a2b9-8df3-4a10-825d-07996a20bdb3</t>
  </si>
  <si>
    <t>2025-09-05T11:13:02.299Z</t>
  </si>
  <si>
    <t>2025-09-05T10:22:40.810+08</t>
  </si>
  <si>
    <t>2025-09-05T11:51:02.824+08</t>
  </si>
  <si>
    <t>H019499021</t>
  </si>
  <si>
    <t>uuid:e297d1fd-222d-4b73-9a0b-9dab402aa57b</t>
  </si>
  <si>
    <t>2025-09-05T11:13:07.358Z</t>
  </si>
  <si>
    <t>2025-09-05T12:00:49.621+08</t>
  </si>
  <si>
    <t>2025-09-05T12:34:22.022+08</t>
  </si>
  <si>
    <t>H019499020</t>
  </si>
  <si>
    <t>uuid:671d3f82-0ffc-4ebe-8902-68926279be62</t>
  </si>
  <si>
    <t>2025-09-05T11:13:10.740Z</t>
  </si>
  <si>
    <t>2025-09-05T12:56:13.711+08</t>
  </si>
  <si>
    <t>2025-09-05T13:35:04.036+08</t>
  </si>
  <si>
    <t>H019499018</t>
  </si>
  <si>
    <t>uuid:014dd900-0d00-45a6-8f04-8a7cbf22e621</t>
  </si>
  <si>
    <t>2025-09-05T11:13:13.865Z</t>
  </si>
  <si>
    <t>2025-09-05T14:02:39.117+08</t>
  </si>
  <si>
    <t>2025-09-05T14:31:19.059+08</t>
  </si>
  <si>
    <t>H019499022</t>
  </si>
  <si>
    <t>uuid:d9a4b4a3-ce46-42de-8ec0-885216a5a96b</t>
  </si>
  <si>
    <t>2025-09-05T11:17:16.930Z</t>
  </si>
  <si>
    <t>2025-09-05T09:51:13.344+08</t>
  </si>
  <si>
    <t>2025-09-05T11:02:38.236+08</t>
  </si>
  <si>
    <t>H030764024</t>
  </si>
  <si>
    <t>uuid:e2da24ac-6b20-48ac-b0df-4c59966eb2e5</t>
  </si>
  <si>
    <t>2025-09-05T11:17:20.659Z</t>
  </si>
  <si>
    <t>2025-09-05T11:20:22.155+08</t>
  </si>
  <si>
    <t>2025-09-05T12:27:59.309+08</t>
  </si>
  <si>
    <t>H030764018</t>
  </si>
  <si>
    <t>uuid:90b02ef8-9e35-4bd8-b41e-8c20ab792a39</t>
  </si>
  <si>
    <t>2025-09-06T11:54:56.419Z</t>
  </si>
  <si>
    <t>2025-09-06T10:59:15.800+08</t>
  </si>
  <si>
    <t>2025-09-06T11:51:28.487+08</t>
  </si>
  <si>
    <t>H030764017</t>
  </si>
  <si>
    <t>uuid:a3a62480-6eca-4418-8690-6e7227a54895</t>
  </si>
  <si>
    <t>2025-09-05T11:17:34.742Z</t>
  </si>
  <si>
    <t>2025-09-05T13:55:59.021+08</t>
  </si>
  <si>
    <t>2025-09-05T15:16:17.810+08</t>
  </si>
  <si>
    <t>H030764025</t>
  </si>
  <si>
    <t>uuid:91a88e0e-dc08-498a-9c00-dafa68bf0309</t>
  </si>
  <si>
    <t>2025-09-05T11:17:37.928Z</t>
  </si>
  <si>
    <t>2025-09-05T15:32:49.706+08</t>
  </si>
  <si>
    <t>2025-09-05T16:28:33.909+08</t>
  </si>
  <si>
    <t>H030764026</t>
  </si>
  <si>
    <t>uuid:0bd0978e-bb91-4f9d-a13c-15d190b47b29</t>
  </si>
  <si>
    <t>2025-09-06T09:28:18.446Z</t>
  </si>
  <si>
    <t>2025-09-06T13:11:11.197+08</t>
  </si>
  <si>
    <t>2025-09-06T14:17:04.976+08</t>
  </si>
  <si>
    <t>H030764032</t>
  </si>
  <si>
    <t>uuid:a80275ff-1252-42be-8b17-74e4546c2324</t>
  </si>
  <si>
    <t>2025-09-05T11:17:45.407Z</t>
  </si>
  <si>
    <t>2025-09-05T10:24:56.194+08</t>
  </si>
  <si>
    <t>2025-09-05T12:15:57.009+08</t>
  </si>
  <si>
    <t>H006657029</t>
  </si>
  <si>
    <t>uuid:aa25a8ec-0e21-474e-aead-5cacd2da0f0b</t>
  </si>
  <si>
    <t>2025-09-05T11:17:46.082Z</t>
  </si>
  <si>
    <t>2025-09-05T14:04:55.448+08</t>
  </si>
  <si>
    <t>2025-09-05T14:03:21.505+08</t>
  </si>
  <si>
    <t>H006657017</t>
  </si>
  <si>
    <t>uuid:a549377d-4674-4c7b-98b3-51e3d2a5a01b</t>
  </si>
  <si>
    <t>2025-09-28T11:20:15.598Z</t>
  </si>
  <si>
    <t>2025-09-28T12:16:23.792+08</t>
  </si>
  <si>
    <t>2025-09-28T13:37:49.581+08</t>
  </si>
  <si>
    <t>H006657032</t>
  </si>
  <si>
    <t>uuid:89890534-46b4-428a-b80e-dab7a86937e9</t>
  </si>
  <si>
    <t>2025-09-05T11:17:47.914Z</t>
  </si>
  <si>
    <t>2025-09-05T08:53:40.675+08</t>
  </si>
  <si>
    <t>2025-09-05T10:08:42.790+08</t>
  </si>
  <si>
    <t>H006657026</t>
  </si>
  <si>
    <t>uuid:d53ac2d3-eb30-426c-ab4d-6efede234ab4</t>
  </si>
  <si>
    <t>2025-09-05T11:19:39.078Z</t>
  </si>
  <si>
    <t>2025-09-05T07:59:20.709+08</t>
  </si>
  <si>
    <t>2025-09-05T08:50:06.707+08</t>
  </si>
  <si>
    <t>H006734020</t>
  </si>
  <si>
    <t>uuid:3647274a-5503-4322-b5ca-7f1f605d634d</t>
  </si>
  <si>
    <t>2025-09-05T11:19:41.832Z</t>
  </si>
  <si>
    <t>2025-09-05T09:04:57.322+08</t>
  </si>
  <si>
    <t>2025-09-05T10:07:47.048+08</t>
  </si>
  <si>
    <t>H006734026</t>
  </si>
  <si>
    <t>uuid:2ba8e357-ce81-41dd-93d8-bd2a66c17c2d</t>
  </si>
  <si>
    <t>2025-09-05T11:19:44.496Z</t>
  </si>
  <si>
    <t>2025-09-05T10:28:00.620+08</t>
  </si>
  <si>
    <t>2025-09-05T11:18:10.878+08</t>
  </si>
  <si>
    <t>H006734024</t>
  </si>
  <si>
    <t>uuid:e14b2ebb-860a-46d0-8365-ae26ad5549c2</t>
  </si>
  <si>
    <t>2025-09-05T11:19:46.443Z</t>
  </si>
  <si>
    <t>2025-09-05T12:51:24.784+08</t>
  </si>
  <si>
    <t>2025-09-05T13:45:03.069+08</t>
  </si>
  <si>
    <t>H006657028</t>
  </si>
  <si>
    <t>uuid:8f24d10e-c744-4925-8a53-472b5afac03e</t>
  </si>
  <si>
    <t>2025-09-28T11:20:14.385Z</t>
  </si>
  <si>
    <t>2025-09-28T10:06:39.044+08</t>
  </si>
  <si>
    <t>2025-09-28T12:02:25.852+08</t>
  </si>
  <si>
    <t>H006657035</t>
  </si>
  <si>
    <t>uuid:696a68f2-bb22-4872-bcdd-6b0b34e850c8</t>
  </si>
  <si>
    <t>2025-10-01T11:04:02.860Z</t>
  </si>
  <si>
    <t>2025-10-01T08:51:06.997+08</t>
  </si>
  <si>
    <t>2025-10-01T08:51:26.874+08</t>
  </si>
  <si>
    <t>H030160020</t>
  </si>
  <si>
    <t>uuid:ffb0195b-3a29-4d33-97dc-a3e49f3f1f06</t>
  </si>
  <si>
    <t>2025-09-05T11:20:32.755Z</t>
  </si>
  <si>
    <t>2025-09-05T13:34:49.435+08</t>
  </si>
  <si>
    <t>2025-09-05T14:25:13.836+08</t>
  </si>
  <si>
    <t>H030160023</t>
  </si>
  <si>
    <t>uuid:12cec83c-3736-4388-bb5a-65474315bd1c</t>
  </si>
  <si>
    <t>2025-09-05T11:20:40.972Z</t>
  </si>
  <si>
    <t>2025-09-05T11:15:02.819+08</t>
  </si>
  <si>
    <t>2025-09-05T12:09:16.274+08</t>
  </si>
  <si>
    <t>H030160017</t>
  </si>
  <si>
    <t>uuid:b3389045-129d-4777-b6f7-d8bca6259ec7</t>
  </si>
  <si>
    <t>2025-09-05T11:20:40.891Z</t>
  </si>
  <si>
    <t>2025-09-05T10:33:06.699+08</t>
  </si>
  <si>
    <t>2025-09-05T11:06:47.593+08</t>
  </si>
  <si>
    <t>H006183031</t>
  </si>
  <si>
    <t>uuid:ef317035-09e3-4b30-8944-2b892d40f0a0</t>
  </si>
  <si>
    <t>2025-09-05T11:20:42.332Z</t>
  </si>
  <si>
    <t>2025-09-05T09:14:04.817+08</t>
  </si>
  <si>
    <t>2025-09-05T10:04:17.816+08</t>
  </si>
  <si>
    <t>H030566028</t>
  </si>
  <si>
    <t>uuid:c3e58737-44c6-4de4-a146-218c561a6a84</t>
  </si>
  <si>
    <t>2025-09-05T11:20:45.446Z</t>
  </si>
  <si>
    <t>2025-09-05T09:19:39.290+08</t>
  </si>
  <si>
    <t>2025-09-05T10:40:54.955+08</t>
  </si>
  <si>
    <t>H030160028</t>
  </si>
  <si>
    <t>uuid:f359bb5a-9a21-4c84-8b01-251a4643c9ca</t>
  </si>
  <si>
    <t>2025-09-05T11:20:46.872Z</t>
  </si>
  <si>
    <t>2025-09-05T11:30:25.498+08</t>
  </si>
  <si>
    <t>2025-09-05T12:22:50.045+08</t>
  </si>
  <si>
    <t>H006183026</t>
  </si>
  <si>
    <t>uuid:49f8f74f-c646-4fe4-82ea-8f2483562f4e</t>
  </si>
  <si>
    <t>2025-10-02T11:52:59.139Z</t>
  </si>
  <si>
    <t>2025-10-02T13:50:15.141+08</t>
  </si>
  <si>
    <t>2025-10-02T18:32:51.161+08</t>
  </si>
  <si>
    <t>H030566033</t>
  </si>
  <si>
    <t>uuid:4360b57a-ae8e-410e-b546-b6b61e7b42b0</t>
  </si>
  <si>
    <t>2025-09-30T10:01:09.173Z</t>
  </si>
  <si>
    <t>2025-09-30T12:14:52.175+08</t>
  </si>
  <si>
    <t>2025-09-30T12:16:18.900+08</t>
  </si>
  <si>
    <t>H030566029</t>
  </si>
  <si>
    <t>uuid:0b44cc5a-f342-4768-a693-6fecf3a8671e</t>
  </si>
  <si>
    <t>2025-09-05T11:21:39.011Z</t>
  </si>
  <si>
    <t>2025-09-05T09:06:46.075+08</t>
  </si>
  <si>
    <t>2025-09-05T10:19:00.871+08</t>
  </si>
  <si>
    <t>H030160029</t>
  </si>
  <si>
    <t>uuid:d1571c05-ca26-4ac0-a48e-65906fe58e53</t>
  </si>
  <si>
    <t>2025-09-07T11:13:37.907Z</t>
  </si>
  <si>
    <t>2025-09-07T14:59:13.709+08</t>
  </si>
  <si>
    <t>2025-09-07T16:02:48.268+08</t>
  </si>
  <si>
    <t>H030160019</t>
  </si>
  <si>
    <t>uuid:b2fffb0e-4172-4b9b-a8a4-89f5c66fa2cf</t>
  </si>
  <si>
    <t>2025-09-05T11:22:13.622Z</t>
  </si>
  <si>
    <t>2025-09-05T10:56:38.202+08</t>
  </si>
  <si>
    <t>2025-09-05T11:51:13.396+08</t>
  </si>
  <si>
    <t>H030160021</t>
  </si>
  <si>
    <t>uuid:a55beb2f-8f5b-4b88-9090-533bb9e1d25d</t>
  </si>
  <si>
    <t>2025-09-05T11:22:23.098Z</t>
  </si>
  <si>
    <t>2025-09-05T13:24:52.886+08</t>
  </si>
  <si>
    <t>2025-09-05T14:03:35.260+08</t>
  </si>
  <si>
    <t>H030160026</t>
  </si>
  <si>
    <t>uuid:3637ed9a-fec1-4505-8479-1ec18dd2cd64</t>
  </si>
  <si>
    <t>2025-09-06T10:09:31.372Z</t>
  </si>
  <si>
    <t>2025-09-06T13:17:59.377+08</t>
  </si>
  <si>
    <t>2025-09-06T14:19:41.595+08</t>
  </si>
  <si>
    <t>H019499009</t>
  </si>
  <si>
    <t>uuid:6b97398b-6c3c-43f3-a9af-7ce27159d7fb</t>
  </si>
  <si>
    <t>2025-09-05T11:24:26.941Z</t>
  </si>
  <si>
    <t>2025-09-05T09:53:06.928+08</t>
  </si>
  <si>
    <t>2025-09-05T10:26:46.058+08</t>
  </si>
  <si>
    <t>H019499025</t>
  </si>
  <si>
    <t>uuid:d45ff8cd-3c3c-48af-acf0-56d6ef0d235a</t>
  </si>
  <si>
    <t>2025-09-05T11:24:27.717Z</t>
  </si>
  <si>
    <t>2025-09-05T10:55:32.649+08</t>
  </si>
  <si>
    <t>2025-09-05T11:42:57.926+08</t>
  </si>
  <si>
    <t>H019499028</t>
  </si>
  <si>
    <t>uuid:44edbbbe-702c-4720-8872-1eaa3c29daa2</t>
  </si>
  <si>
    <t>2025-09-05T11:24:28.307Z</t>
  </si>
  <si>
    <t>2025-09-05T12:21:17.679+08</t>
  </si>
  <si>
    <t>2025-09-05T13:36:27.509+08</t>
  </si>
  <si>
    <t>H019499019</t>
  </si>
  <si>
    <t>uuid:d8d65346-3ac5-44c8-9b26-ef8c055838b2</t>
  </si>
  <si>
    <t>2025-09-05T11:24:28.862Z</t>
  </si>
  <si>
    <t>2025-09-05T13:53:26.749+08</t>
  </si>
  <si>
    <t>2025-09-05T14:49:03.274+08</t>
  </si>
  <si>
    <t>H019499017</t>
  </si>
  <si>
    <t>uuid:c464e941-d1fe-40db-b363-392684398702</t>
  </si>
  <si>
    <t>2025-09-05T11:24:52.643Z</t>
  </si>
  <si>
    <t>2025-09-05T10:48:28.662+08</t>
  </si>
  <si>
    <t>2025-09-05T12:26:50.257+08</t>
  </si>
  <si>
    <t>H030160033</t>
  </si>
  <si>
    <t>uuid:e0f4eeea-a42d-4edc-98e9-e594122f98cc</t>
  </si>
  <si>
    <t>2025-09-05T11:24:56.503Z</t>
  </si>
  <si>
    <t>2025-09-05T13:16:34.789+08</t>
  </si>
  <si>
    <t>2025-09-05T14:43:17.784+08</t>
  </si>
  <si>
    <t>H030160025</t>
  </si>
  <si>
    <t>uuid:6170de9f-7f07-4697-a98f-1da6035ff843</t>
  </si>
  <si>
    <t>2025-09-05T11:25:01.352Z</t>
  </si>
  <si>
    <t>2025-09-05T15:23:04.704+08</t>
  </si>
  <si>
    <t>2025-09-05T16:34:14.571+08</t>
  </si>
  <si>
    <t>H030160035</t>
  </si>
  <si>
    <t>uuid:9a9f6cd1-f21a-4dae-9ef2-b54f589bfb15</t>
  </si>
  <si>
    <t>2025-09-05T11:25:25.650Z</t>
  </si>
  <si>
    <t>2025-09-05T09:06:58.023+08</t>
  </si>
  <si>
    <t>2025-09-05T10:25:24.486+08</t>
  </si>
  <si>
    <t>H030160016</t>
  </si>
  <si>
    <t>uuid:51427488-4065-4697-893e-744f4786c609</t>
  </si>
  <si>
    <t>2025-09-05T11:58:51.524Z</t>
  </si>
  <si>
    <t>2025-09-05T08:55:46.453+08</t>
  </si>
  <si>
    <t>2025-09-05T10:09:29.880+08</t>
  </si>
  <si>
    <t>H006657031</t>
  </si>
  <si>
    <t>uuid:6ea03eb4-d779-47a4-9e60-357e298f9197</t>
  </si>
  <si>
    <t>2025-09-05T11:58:52.513Z</t>
  </si>
  <si>
    <t>2025-09-05T10:22:38.606+08</t>
  </si>
  <si>
    <t>2025-09-05T11:53:17.967+08</t>
  </si>
  <si>
    <t>H006657013</t>
  </si>
  <si>
    <t>uuid:bd9bcaf4-719b-4392-a701-c6b9b058a8aa</t>
  </si>
  <si>
    <t>2025-09-05T11:58:53.847Z</t>
  </si>
  <si>
    <t>2025-09-05T12:21:32.705+08</t>
  </si>
  <si>
    <t>2025-09-05T13:42:14.400+08</t>
  </si>
  <si>
    <t>H006657011</t>
  </si>
  <si>
    <t>uuid:16d0a2f1-77ba-4656-a33a-c6f2a00d15c5</t>
  </si>
  <si>
    <t>2025-09-28T10:51:02.440Z</t>
  </si>
  <si>
    <t>2025-09-28T08:54:18.112+08</t>
  </si>
  <si>
    <t>2025-09-28T10:27:42.446+08</t>
  </si>
  <si>
    <t>H006657014</t>
  </si>
  <si>
    <t>uuid:48a22264-bfbf-423c-9ffd-b31b3939a7e2</t>
  </si>
  <si>
    <t>2025-10-01T10:56:31.879Z</t>
  </si>
  <si>
    <t>2025-10-01T12:32:19.419+08</t>
  </si>
  <si>
    <t>2025-10-01T14:45:59.432+08</t>
  </si>
  <si>
    <t>H019611019</t>
  </si>
  <si>
    <t>uuid:14a13383-9cb6-4ae6-ae33-d749d7916721</t>
  </si>
  <si>
    <t>2025-09-05T12:12:11.061Z</t>
  </si>
  <si>
    <t>2025-09-05T09:49:13.366+08</t>
  </si>
  <si>
    <t>2025-09-05T10:57:03.702+08</t>
  </si>
  <si>
    <t>H019611027</t>
  </si>
  <si>
    <t>uuid:ffc14666-fa9e-4887-af5c-a9a7a2215d55</t>
  </si>
  <si>
    <t>2025-09-05T12:12:12.915Z</t>
  </si>
  <si>
    <t>2025-09-05T11:26:01.905+08</t>
  </si>
  <si>
    <t>2025-09-05T12:19:10.372+08</t>
  </si>
  <si>
    <t>H019611034</t>
  </si>
  <si>
    <t>uuid:3d1315dc-35d1-4122-a512-458a171bbd19</t>
  </si>
  <si>
    <t>2025-09-05T12:12:15.827Z</t>
  </si>
  <si>
    <t>2025-09-05T13:03:42.130+08</t>
  </si>
  <si>
    <t>2025-09-05T14:21:43.649+08</t>
  </si>
  <si>
    <t>H019611004</t>
  </si>
  <si>
    <t>uuid:19f584da-e4a2-4532-966f-64f5abca301d</t>
  </si>
  <si>
    <t>2025-09-05T12:45:33.908Z</t>
  </si>
  <si>
    <t>2025-09-05T09:47:14.427+08</t>
  </si>
  <si>
    <t>2025-09-05T10:33:46.302+08</t>
  </si>
  <si>
    <t>H019611029</t>
  </si>
  <si>
    <t>uuid:94e2a7bf-5e43-4c11-806d-37bcf673aa66</t>
  </si>
  <si>
    <t>2025-09-05T12:45:35.383Z</t>
  </si>
  <si>
    <t>2025-09-05T13:05:22.877+08</t>
  </si>
  <si>
    <t>2025-09-05T13:54:06.744+08</t>
  </si>
  <si>
    <t>H019611025</t>
  </si>
  <si>
    <t>uuid:6e8c59e9-4f9f-48ca-9e0d-5aa64db75593</t>
  </si>
  <si>
    <t>2025-09-05T12:45:36.644Z</t>
  </si>
  <si>
    <t>2025-09-05T14:18:37.659+08</t>
  </si>
  <si>
    <t>2025-09-05T15:02:35.239+08</t>
  </si>
  <si>
    <t>H019611024</t>
  </si>
  <si>
    <t>uuid:5f798a92-0bc5-4786-bb86-d7efee2cccdf</t>
  </si>
  <si>
    <t>2025-09-05T12:45:37.967Z</t>
  </si>
  <si>
    <t>2025-09-05T15:43:44.299+08</t>
  </si>
  <si>
    <t>2025-09-05T16:41:50.851+08</t>
  </si>
  <si>
    <t>H019611028</t>
  </si>
  <si>
    <t>uuid:70964d74-58fc-4c03-a8f8-aaebaf1216e9</t>
  </si>
  <si>
    <t>2025-09-05T13:31:26.765Z</t>
  </si>
  <si>
    <t>2025-09-05T09:55:21.381+08</t>
  </si>
  <si>
    <t>2025-09-05T10:53:49.660+08</t>
  </si>
  <si>
    <t>H019611018</t>
  </si>
  <si>
    <t>uuid:d9bf3ac5-767e-42c6-860e-0cd3b42172fe</t>
  </si>
  <si>
    <t>2025-09-05T13:31:28.319Z</t>
  </si>
  <si>
    <t>2025-09-05T12:59:34.268+08</t>
  </si>
  <si>
    <t>2025-09-05T13:28:12.052+08</t>
  </si>
  <si>
    <t>H019611020</t>
  </si>
  <si>
    <t>uuid:569f74ca-5b13-44ef-83b0-a7319c0f1449</t>
  </si>
  <si>
    <t>2025-09-05T13:31:29.627Z</t>
  </si>
  <si>
    <t>2025-09-05T14:51:35.468+08</t>
  </si>
  <si>
    <t>2025-09-05T15:45:43.213+08</t>
  </si>
  <si>
    <t>H019611031</t>
  </si>
  <si>
    <t>uuid:dc64b474-3375-4f5e-b711-a9ac9c20f930</t>
  </si>
  <si>
    <t>2025-09-05T13:31:31.797Z</t>
  </si>
  <si>
    <t>2025-09-05T15:59:00.828+08</t>
  </si>
  <si>
    <t>2025-09-05T16:54:32.711+08</t>
  </si>
  <si>
    <t>H019611032</t>
  </si>
  <si>
    <t>uuid:0f863d23-3f78-49ce-805e-a707f1b732bb</t>
  </si>
  <si>
    <t>2025-09-06T09:28:09.374Z</t>
  </si>
  <si>
    <t>2025-09-06T08:49:24.876+08</t>
  </si>
  <si>
    <t>2025-09-06T09:49:55.881+08</t>
  </si>
  <si>
    <t>H030764020</t>
  </si>
  <si>
    <t>uuid:0d54377e-765f-46e7-84da-d3f001ab1ae4</t>
  </si>
  <si>
    <t>2025-09-06T10:30:27.093Z</t>
  </si>
  <si>
    <t>2025-09-06T09:11:04.176+08</t>
  </si>
  <si>
    <t>2025-09-06T10:20:53.707+08</t>
  </si>
  <si>
    <t>H006525018</t>
  </si>
  <si>
    <t>uuid:0bc132e3-3001-4f35-836c-0562cb49245c</t>
  </si>
  <si>
    <t>2025-09-06T10:30:28.373Z</t>
  </si>
  <si>
    <t>2025-09-06T10:34:14.665+08</t>
  </si>
  <si>
    <t>2025-09-06T11:14:03.083+08</t>
  </si>
  <si>
    <t>H006525023</t>
  </si>
  <si>
    <t>uuid:a0057498-c6b2-4894-9235-5b4598bd88b6</t>
  </si>
  <si>
    <t>2025-09-06T10:30:29.379Z</t>
  </si>
  <si>
    <t>2025-09-06T11:31:38.361+08</t>
  </si>
  <si>
    <t>2025-09-06T12:52:21.204+08</t>
  </si>
  <si>
    <t>H006525028</t>
  </si>
  <si>
    <t>uuid:ca4e4308-f8fb-45be-93e4-7e391c492743</t>
  </si>
  <si>
    <t>2025-09-06T11:13:11.375Z</t>
  </si>
  <si>
    <t>2025-09-06T13:30:29.809+08</t>
  </si>
  <si>
    <t>2025-09-06T14:58:07.417+08</t>
  </si>
  <si>
    <t>H019499016</t>
  </si>
  <si>
    <t>uuid:578658bf-f154-48c3-bb62-0773787caec4</t>
  </si>
  <si>
    <t>2025-09-06T11:17:05.634Z</t>
  </si>
  <si>
    <t>2025-09-06T08:42:14.257+08</t>
  </si>
  <si>
    <t>2025-09-06T10:15:04.124+08</t>
  </si>
  <si>
    <t>H019096028</t>
  </si>
  <si>
    <t>uuid:95cd05bf-d79c-40d6-8512-e8a062824381</t>
  </si>
  <si>
    <t>2025-09-06T11:17:06.566Z</t>
  </si>
  <si>
    <t>2025-09-06T10:22:08.584+08</t>
  </si>
  <si>
    <t>2025-09-06T11:08:43.479+08</t>
  </si>
  <si>
    <t>H019096023</t>
  </si>
  <si>
    <t>uuid:50227ff5-99d7-424e-a8c3-f4909efbcf65</t>
  </si>
  <si>
    <t>2025-09-06T11:17:07.336Z</t>
  </si>
  <si>
    <t>2025-09-06T13:25:38.945+08</t>
  </si>
  <si>
    <t>2025-09-06T14:26:57.823+08</t>
  </si>
  <si>
    <t>H019611021</t>
  </si>
  <si>
    <t>uuid:c2f129ac-f145-4296-9ca7-22afefb1d865</t>
  </si>
  <si>
    <t>2025-09-06T11:22:14.544Z</t>
  </si>
  <si>
    <t>2025-09-06T08:57:38.106+08</t>
  </si>
  <si>
    <t>2025-09-06T10:20:38.462+08</t>
  </si>
  <si>
    <t>H019096018</t>
  </si>
  <si>
    <t>uuid:ce138fe1-f6f9-4451-b8f9-e4789b3b90f9</t>
  </si>
  <si>
    <t>2025-09-06T11:29:49.808Z</t>
  </si>
  <si>
    <t>2025-09-06T08:21:00.308+08</t>
  </si>
  <si>
    <t>2025-09-06T09:44:42.838+08</t>
  </si>
  <si>
    <t>H030173026</t>
  </si>
  <si>
    <t>uuid:955c10d2-10c9-4c7d-a0ba-785f075b83dc</t>
  </si>
  <si>
    <t>2025-09-06T11:29:51.271Z</t>
  </si>
  <si>
    <t>2025-09-06T12:48:29.928+08</t>
  </si>
  <si>
    <t>2025-09-06T13:55:56.698+08</t>
  </si>
  <si>
    <t>H030173024</t>
  </si>
  <si>
    <t>uuid:42bb3c2e-145d-4b6c-b84e-ac53d2259a57</t>
  </si>
  <si>
    <t>2025-09-08T11:31:48.050Z</t>
  </si>
  <si>
    <t>2025-09-08T10:28:02.863+08</t>
  </si>
  <si>
    <t>2025-09-08T11:32:49.568+08</t>
  </si>
  <si>
    <t>H030173022</t>
  </si>
  <si>
    <t>uuid:dba4a519-eef1-4e2c-86c5-a3c7e7f36a2e</t>
  </si>
  <si>
    <t>2025-09-06T11:29:55.094Z</t>
  </si>
  <si>
    <t>2025-09-06T09:47:37.280+08</t>
  </si>
  <si>
    <t>2025-09-06T17:18:32.039+08</t>
  </si>
  <si>
    <t>H030173016</t>
  </si>
  <si>
    <t>uuid:d6895ee1-6dc8-47b4-be71-5c20c5fb3fb5</t>
  </si>
  <si>
    <t>2025-09-06T11:29:56.005Z</t>
  </si>
  <si>
    <t>2025-09-06T14:13:10.296+08</t>
  </si>
  <si>
    <t>2025-09-06T17:30:19.098+08</t>
  </si>
  <si>
    <t>H030173030</t>
  </si>
  <si>
    <t>uuid:12e53d1b-7ed3-4691-91f3-93057b38677c</t>
  </si>
  <si>
    <t>2025-09-06T11:38:53.596Z</t>
  </si>
  <si>
    <t>2025-09-06T08:52:46.816+08</t>
  </si>
  <si>
    <t>2025-09-06T09:46:39.293+08</t>
  </si>
  <si>
    <t>H019096027</t>
  </si>
  <si>
    <t>uuid:122f3e38-f355-4dca-afc1-baf43e15c0b4</t>
  </si>
  <si>
    <t>2025-09-06T11:38:54.770Z</t>
  </si>
  <si>
    <t>2025-09-06T09:57:53.554+08</t>
  </si>
  <si>
    <t>2025-09-06T10:46:56.385+08</t>
  </si>
  <si>
    <t>H019096020</t>
  </si>
  <si>
    <t>uuid:b217cc60-621a-47d6-b586-31d65e87cf2c</t>
  </si>
  <si>
    <t>2025-09-25T11:06:34.508Z</t>
  </si>
  <si>
    <t>2025-09-25T09:54:54.040+08</t>
  </si>
  <si>
    <t>2025-09-25T10:47:26.555+08</t>
  </si>
  <si>
    <t>H006719096</t>
  </si>
  <si>
    <t>uuid:a7ab1b1c-97c9-4b05-a486-13ac03464dc9</t>
  </si>
  <si>
    <t>2025-09-06T11:39:40.801Z</t>
  </si>
  <si>
    <t>2025-09-06T10:47:01.038+08</t>
  </si>
  <si>
    <t>2025-09-06T11:53:48.611+08</t>
  </si>
  <si>
    <t>H006719097</t>
  </si>
  <si>
    <t>uuid:48de7092-821f-40c8-9b76-f084fc2c3a8d</t>
  </si>
  <si>
    <t>2025-09-06T11:39:41.388Z</t>
  </si>
  <si>
    <t>2025-09-06T09:27:11.597+08</t>
  </si>
  <si>
    <t>2025-09-06T10:37:00.759+08</t>
  </si>
  <si>
    <t>H006719093</t>
  </si>
  <si>
    <t>uuid:face7288-58cd-4d1f-829a-1178563d45b0</t>
  </si>
  <si>
    <t>2025-09-06T11:39:42.782Z</t>
  </si>
  <si>
    <t>2025-09-06T08:25:24.503+08</t>
  </si>
  <si>
    <t>2025-09-06T09:19:20.283+08</t>
  </si>
  <si>
    <t>H006719092</t>
  </si>
  <si>
    <t>uuid:e2112307-f932-4ee9-8253-768a51058da4</t>
  </si>
  <si>
    <t>2025-09-06T11:39:46.210Z</t>
  </si>
  <si>
    <t>2025-09-06T09:10:18.725+08</t>
  </si>
  <si>
    <t>2025-09-06T09:51:28.982+08</t>
  </si>
  <si>
    <t>H006248031</t>
  </si>
  <si>
    <t>uuid:63192c3f-942b-4955-af6b-88338f630acb</t>
  </si>
  <si>
    <t>2025-09-06T11:39:48.167Z</t>
  </si>
  <si>
    <t>2025-09-06T10:17:28.735+08</t>
  </si>
  <si>
    <t>2025-09-06T11:02:09.099+08</t>
  </si>
  <si>
    <t>H006248020</t>
  </si>
  <si>
    <t>uuid:f1cddda9-383b-406a-b1d8-8105275767d8</t>
  </si>
  <si>
    <t>2025-09-06T11:39:49.394Z</t>
  </si>
  <si>
    <t>2025-09-06T13:22:57.054+08</t>
  </si>
  <si>
    <t>2025-09-06T14:10:00.325+08</t>
  </si>
  <si>
    <t>H006248017</t>
  </si>
  <si>
    <t>uuid:07ff71c7-72b9-437b-9d19-5ce8511a0469</t>
  </si>
  <si>
    <t>2025-09-06T11:39:51.418Z</t>
  </si>
  <si>
    <t>2025-09-06T08:14:13.775+08</t>
  </si>
  <si>
    <t>2025-09-06T09:23:16.522+08</t>
  </si>
  <si>
    <t>H006719090</t>
  </si>
  <si>
    <t>uuid:40e1fdde-767f-46d6-ae40-527300983306</t>
  </si>
  <si>
    <t>2025-09-06T11:39:52.391Z</t>
  </si>
  <si>
    <t>2025-09-06T09:29:47.912+08</t>
  </si>
  <si>
    <t>2025-09-06T11:05:37.545+08</t>
  </si>
  <si>
    <t>H006719089</t>
  </si>
  <si>
    <t>uuid:dd2d496e-00d0-4c80-b4f5-73196b5d8703</t>
  </si>
  <si>
    <t>2025-09-29T11:30:50.729Z</t>
  </si>
  <si>
    <t>2025-09-29T09:46:43.359+08</t>
  </si>
  <si>
    <t>2025-09-29T10:55:59.509+08</t>
  </si>
  <si>
    <t>H006719084</t>
  </si>
  <si>
    <t>uuid:0016ff41-deae-4752-8714-27bdc33ed6ca</t>
  </si>
  <si>
    <t>2025-09-06T11:39:54.951Z</t>
  </si>
  <si>
    <t>2025-09-06T13:53:10.114+08</t>
  </si>
  <si>
    <t>2025-09-06T15:05:45.714+08</t>
  </si>
  <si>
    <t>H006719095</t>
  </si>
  <si>
    <t>uuid:87a4b314-7018-4d60-a7e0-63e510c7f7a9</t>
  </si>
  <si>
    <t>2025-09-06T11:39:55.607Z</t>
  </si>
  <si>
    <t>2025-09-06T16:00:17.929+08</t>
  </si>
  <si>
    <t>2025-09-06T16:00:47.984+08</t>
  </si>
  <si>
    <t>H006719099</t>
  </si>
  <si>
    <t>uuid:d7ca645c-0fb2-4957-a498-d1519df0d0c9</t>
  </si>
  <si>
    <t>2025-09-06T11:41:55.363Z</t>
  </si>
  <si>
    <t>2025-09-06T10:23:18.652+08</t>
  </si>
  <si>
    <t>2025-09-06T11:09:46.062+08</t>
  </si>
  <si>
    <t>H006248029</t>
  </si>
  <si>
    <t>uuid:90ed018f-e682-4697-acc4-2ccfe5e03167</t>
  </si>
  <si>
    <t>2025-09-06T11:41:58.104Z</t>
  </si>
  <si>
    <t>2025-09-06T09:08:48.619+08</t>
  </si>
  <si>
    <t>2025-09-06T13:20:05.139+08</t>
  </si>
  <si>
    <t>H006248026</t>
  </si>
  <si>
    <t>uuid:a1f2d93d-4ca4-47cf-9173-7ad9751f7158</t>
  </si>
  <si>
    <t>2025-09-06T11:43:44.705Z</t>
  </si>
  <si>
    <t>2025-09-06T09:25:41.229+08</t>
  </si>
  <si>
    <t>2025-09-06T10:17:13.723+08</t>
  </si>
  <si>
    <t>H030160024</t>
  </si>
  <si>
    <t>uuid:e95eaab6-5840-4f4e-a66f-6dd4f3b6e0f9</t>
  </si>
  <si>
    <t>2025-09-06T11:43:48.705Z</t>
  </si>
  <si>
    <t>2025-09-06T12:29:58.623+08</t>
  </si>
  <si>
    <t>2025-09-06T13:23:11.768+08</t>
  </si>
  <si>
    <t>H030160027</t>
  </si>
  <si>
    <t>uuid:1ecfce60-aa60-430e-99cf-d34abd8cc7ec</t>
  </si>
  <si>
    <t>2025-09-06T11:43:55.228Z</t>
  </si>
  <si>
    <t>2025-09-06T10:41:34.736+08</t>
  </si>
  <si>
    <t>2025-09-06T12:08:49.270+08</t>
  </si>
  <si>
    <t>H030160031</t>
  </si>
  <si>
    <t>uuid:ef892e5e-78ad-482a-bda1-6ebe65727858</t>
  </si>
  <si>
    <t>2025-09-30T10:01:10.205Z</t>
  </si>
  <si>
    <t>2025-09-30T14:47:05.647+08</t>
  </si>
  <si>
    <t>2025-09-30T14:47:49.047+08</t>
  </si>
  <si>
    <t>H030173025</t>
  </si>
  <si>
    <t>uuid:9f12d978-bc54-4f66-acf7-9be0c098cf00</t>
  </si>
  <si>
    <t>2025-09-06T11:45:05.835Z</t>
  </si>
  <si>
    <t>2025-09-06T11:05:13.695+08</t>
  </si>
  <si>
    <t>2025-09-06T12:10:50.649+08</t>
  </si>
  <si>
    <t>H030173018</t>
  </si>
  <si>
    <t>uuid:99aca306-6a99-49b2-9e9f-137867c0b292</t>
  </si>
  <si>
    <t>2025-09-06T11:45:07.024Z</t>
  </si>
  <si>
    <t>2025-09-06T12:46:51.332+08</t>
  </si>
  <si>
    <t>2025-09-06T13:50:55.676+08</t>
  </si>
  <si>
    <t>H030173017</t>
  </si>
  <si>
    <t>uuid:f2b61f34-ffc9-48cf-a8ae-00dca1ae5c76</t>
  </si>
  <si>
    <t>2025-09-08T10:35:40.506Z</t>
  </si>
  <si>
    <t>2025-09-08T08:58:10.994+08</t>
  </si>
  <si>
    <t>2025-09-08T10:24:36.535+08</t>
  </si>
  <si>
    <t>H030173028</t>
  </si>
  <si>
    <t>uuid:e1a65663-7f82-4dd7-bc3f-bb102f9041e0</t>
  </si>
  <si>
    <t>2025-09-06T11:45:08.849Z</t>
  </si>
  <si>
    <t>2025-09-06T15:24:35.404+08</t>
  </si>
  <si>
    <t>2025-09-06T16:20:21.643+08</t>
  </si>
  <si>
    <t>H030173033</t>
  </si>
  <si>
    <t>uuid:57855165-90e4-43d5-9c52-6c1eb0010376</t>
  </si>
  <si>
    <t>2025-09-06T11:45:09.575Z</t>
  </si>
  <si>
    <t>2025-09-06T08:39:48.069+08</t>
  </si>
  <si>
    <t>2025-09-06T18:11:27.863+08</t>
  </si>
  <si>
    <t>H030173021</t>
  </si>
  <si>
    <t>uuid:c349b652-edee-46fb-a88e-d4f8f9297ce3</t>
  </si>
  <si>
    <t>2025-09-06T11:45:26.564Z</t>
  </si>
  <si>
    <t>2025-09-06T12:49:22.521+08</t>
  </si>
  <si>
    <t>2025-09-06T13:59:21.788+08</t>
  </si>
  <si>
    <t>H030792029</t>
  </si>
  <si>
    <t>uuid:4159df2e-54aa-4cd1-bf9b-db1ed0f54bd3</t>
  </si>
  <si>
    <t>2025-09-06T11:45:29.752Z</t>
  </si>
  <si>
    <t>2025-09-06T10:34:11.365+08</t>
  </si>
  <si>
    <t>2025-09-06T11:55:16.654+08</t>
  </si>
  <si>
    <t>H030792027</t>
  </si>
  <si>
    <t>uuid:f6a68f50-6948-475e-a33d-3fdf7101826e</t>
  </si>
  <si>
    <t>2025-09-06T11:45:31.697Z</t>
  </si>
  <si>
    <t>2025-09-06T14:12:17.678+08</t>
  </si>
  <si>
    <t>2025-09-06T15:39:32.535+08</t>
  </si>
  <si>
    <t>H030792028</t>
  </si>
  <si>
    <t>uuid:ceaeb6c4-98b0-4740-ad22-0ac8b441c4d9</t>
  </si>
  <si>
    <t>2025-09-06T11:45:34.842Z</t>
  </si>
  <si>
    <t>2025-09-06T08:45:53.617+08</t>
  </si>
  <si>
    <t>2025-09-06T09:52:18.755+08</t>
  </si>
  <si>
    <t>H030792035</t>
  </si>
  <si>
    <t>uuid:48ca355d-e47c-41f5-b310-e2405b14c305</t>
  </si>
  <si>
    <t>2025-09-06T11:46:49.860Z</t>
  </si>
  <si>
    <t>2025-09-06T08:42:48.950+08</t>
  </si>
  <si>
    <t>2025-09-06T09:57:07.907+08</t>
  </si>
  <si>
    <t>H030792021</t>
  </si>
  <si>
    <t>uuid:b1ed6271-5a91-46dd-956f-8a82d58924be</t>
  </si>
  <si>
    <t>2025-09-06T11:46:52.136Z</t>
  </si>
  <si>
    <t>2025-09-06T10:06:15.880+08</t>
  </si>
  <si>
    <t>2025-09-06T11:21:30.204+08</t>
  </si>
  <si>
    <t>H030792020</t>
  </si>
  <si>
    <t>uuid:eed7f7d7-f400-42f6-8cb3-f95b3ad8066d</t>
  </si>
  <si>
    <t>2025-09-06T11:47:23.336Z</t>
  </si>
  <si>
    <t>2025-09-06T13:09:59.561+08</t>
  </si>
  <si>
    <t>2025-09-06T14:55:34.769+08</t>
  </si>
  <si>
    <t>H030792026</t>
  </si>
  <si>
    <t>uuid:e6effbce-0d64-47c0-b0da-bbd4230c5736</t>
  </si>
  <si>
    <t>2025-09-06T11:54:58.005Z</t>
  </si>
  <si>
    <t>2025-09-06T12:07:25.191+08</t>
  </si>
  <si>
    <t>2025-09-06T12:55:02.817+08</t>
  </si>
  <si>
    <t>H030764035</t>
  </si>
  <si>
    <t>uuid:0679dafb-5d46-4068-8343-5d38c9ebee8b</t>
  </si>
  <si>
    <t>2025-09-06T12:03:37.997Z</t>
  </si>
  <si>
    <t>2025-09-06T08:50:23.720+08</t>
  </si>
  <si>
    <t>2025-09-06T09:54:21.790+08</t>
  </si>
  <si>
    <t>H006248030</t>
  </si>
  <si>
    <t>uuid:ce6b536c-b00b-4e14-898f-056a02152783</t>
  </si>
  <si>
    <t>2025-09-06T12:03:38.673Z</t>
  </si>
  <si>
    <t>2025-09-06T10:09:52.377+08</t>
  </si>
  <si>
    <t>2025-09-06T11:12:12.370+08</t>
  </si>
  <si>
    <t>H006248007</t>
  </si>
  <si>
    <t>uuid:a59f75eb-9b1b-44aa-b844-61ac7d9aa32e</t>
  </si>
  <si>
    <t>2025-09-06T15:51:10.326Z</t>
  </si>
  <si>
    <t>2025-09-06T08:49:16.639+08</t>
  </si>
  <si>
    <t>2025-09-06T09:54:36.040+08</t>
  </si>
  <si>
    <t>H006248028</t>
  </si>
  <si>
    <t>uuid:673be80b-fd10-4f4c-adc1-16b7b670afff</t>
  </si>
  <si>
    <t>2025-09-06T15:51:10.945Z</t>
  </si>
  <si>
    <t>2025-09-06T10:03:40.978+08</t>
  </si>
  <si>
    <t>2025-09-06T11:10:09.728+08</t>
  </si>
  <si>
    <t>H006248019</t>
  </si>
  <si>
    <t>uuid:ef0b2e06-fb6d-45e0-863f-dee5eb7fc492</t>
  </si>
  <si>
    <t>2025-09-08T09:58:45.053Z</t>
  </si>
  <si>
    <t>2025-09-08T11:20:08.176+08</t>
  </si>
  <si>
    <t>2025-09-08T12:16:37.191+08</t>
  </si>
  <si>
    <t>H019227031</t>
  </si>
  <si>
    <t>uuid:120dbf4f-aa55-4215-8f22-c6773b7ceeab</t>
  </si>
  <si>
    <t>2025-09-08T09:58:46.948Z</t>
  </si>
  <si>
    <t>2025-09-08T12:20:15.208+08</t>
  </si>
  <si>
    <t>2025-09-08T13:18:57.742+08</t>
  </si>
  <si>
    <t>H019227025</t>
  </si>
  <si>
    <t>uuid:783a80a6-9302-4023-8907-03d9caf2754b</t>
  </si>
  <si>
    <t>2025-09-08T09:58:48.096Z</t>
  </si>
  <si>
    <t>2025-09-08T13:26:33.870+08</t>
  </si>
  <si>
    <t>2025-09-08T14:23:59.104+08</t>
  </si>
  <si>
    <t>H019227024</t>
  </si>
  <si>
    <t>uuid:519c6696-4216-4869-a8b9-46b6df91023d</t>
  </si>
  <si>
    <t>2025-09-25T10:27:13.961Z</t>
  </si>
  <si>
    <t>2025-09-25T10:44:01.127+08</t>
  </si>
  <si>
    <t>2025-09-25T14:49:05.648+08</t>
  </si>
  <si>
    <t>H019227022</t>
  </si>
  <si>
    <t>uuid:803ee13d-e580-4aac-a2dc-93a67ca32e27</t>
  </si>
  <si>
    <t>2025-09-08T09:58:50.185Z</t>
  </si>
  <si>
    <t>2025-09-08T09:53:33.343+08</t>
  </si>
  <si>
    <t>2025-09-08T11:00:11.166+08</t>
  </si>
  <si>
    <t>H019227020</t>
  </si>
  <si>
    <t>uuid:560d8622-614e-4016-ad14-96f328b7a674</t>
  </si>
  <si>
    <t>2025-09-08T10:06:09.091Z</t>
  </si>
  <si>
    <t>2025-09-08T08:08:33.248+08</t>
  </si>
  <si>
    <t>2025-09-08T08:58:02.921+08</t>
  </si>
  <si>
    <t>H006567020</t>
  </si>
  <si>
    <t>uuid:ed365fb8-c980-44e4-9c10-0c09e1f21cd7</t>
  </si>
  <si>
    <t>2025-09-08T10:06:10.475Z</t>
  </si>
  <si>
    <t>2025-09-08T09:04:42.664+08</t>
  </si>
  <si>
    <t>2025-09-08T10:12:13.443+08</t>
  </si>
  <si>
    <t>H006567025</t>
  </si>
  <si>
    <t>uuid:0bb76d05-1036-40fe-84c6-5e49772e0105</t>
  </si>
  <si>
    <t>2025-09-08T10:06:12.071Z</t>
  </si>
  <si>
    <t>2025-09-08T10:27:57.220+08</t>
  </si>
  <si>
    <t>2025-09-08T11:27:44.789+08</t>
  </si>
  <si>
    <t>H006567033</t>
  </si>
  <si>
    <t>uuid:5772980a-a02c-4207-9b1b-1ae4b7ad0c5e</t>
  </si>
  <si>
    <t>2025-09-08T10:06:13.134Z</t>
  </si>
  <si>
    <t>2025-09-08T13:06:06.953+08</t>
  </si>
  <si>
    <t>2025-09-08T14:11:45.095+08</t>
  </si>
  <si>
    <t>H006567024</t>
  </si>
  <si>
    <t>uuid:325e37ff-7cdc-4ef1-badb-909f1b68cb41</t>
  </si>
  <si>
    <t>2025-09-28T11:20:21.099Z</t>
  </si>
  <si>
    <t>2025-09-28T13:10:21.283+08</t>
  </si>
  <si>
    <t>2025-09-28T15:34:43.919+08</t>
  </si>
  <si>
    <t>H006567021</t>
  </si>
  <si>
    <t>uuid:557e7b4a-df88-4e9f-862f-566ff55787ae</t>
  </si>
  <si>
    <t>2025-09-08T10:18:05.924Z</t>
  </si>
  <si>
    <t>2025-09-08T13:13:18.358+08</t>
  </si>
  <si>
    <t>2025-09-08T14:20:55.430+08</t>
  </si>
  <si>
    <t>H006567001</t>
  </si>
  <si>
    <t>uuid:9f5f441a-6e30-4e4f-9c5d-93a776cfc0e7</t>
  </si>
  <si>
    <t>2025-09-08T10:18:06.994Z</t>
  </si>
  <si>
    <t>2025-09-08T11:12:50.091+08</t>
  </si>
  <si>
    <t>2025-09-08T12:22:18.765+08</t>
  </si>
  <si>
    <t>H006567030</t>
  </si>
  <si>
    <t>uuid:4dba81b0-0667-4702-a9ae-d7d5d6bd07fc</t>
  </si>
  <si>
    <t>2025-09-08T10:18:08.220Z</t>
  </si>
  <si>
    <t>2025-09-08T09:56:35.870+08</t>
  </si>
  <si>
    <t>2025-09-08T11:01:15.108+08</t>
  </si>
  <si>
    <t>H006567027</t>
  </si>
  <si>
    <t>uuid:d2e5fd08-96de-4cbc-98c8-608d3781fa71</t>
  </si>
  <si>
    <t>2025-09-08T10:18:10.524Z</t>
  </si>
  <si>
    <t>2025-09-08T08:17:43.266+08</t>
  </si>
  <si>
    <t>2025-09-08T09:41:45.693+08</t>
  </si>
  <si>
    <t>H006567026</t>
  </si>
  <si>
    <t>uuid:62ee9284-9293-4ef4-bfcc-ca53ce570076</t>
  </si>
  <si>
    <t>2025-09-08T10:35:42.111Z</t>
  </si>
  <si>
    <t>2025-09-08T10:38:00.990+08</t>
  </si>
  <si>
    <t>2025-09-08T14:06:47.806+08</t>
  </si>
  <si>
    <t>H030173035</t>
  </si>
  <si>
    <t>uuid:08b0e633-9723-4a75-86d4-625f056444ad</t>
  </si>
  <si>
    <t>2025-09-08T10:35:43.227Z</t>
  </si>
  <si>
    <t>2025-09-08T12:19:10.874+08</t>
  </si>
  <si>
    <t>2025-09-08T16:26:43.037+08</t>
  </si>
  <si>
    <t>H030173034</t>
  </si>
  <si>
    <t>uuid:f0326d8c-a63f-481a-ba3b-9915b83c5093</t>
  </si>
  <si>
    <t>2025-09-08T11:15:16.771Z</t>
  </si>
  <si>
    <t>2025-09-08T08:54:19.397+08</t>
  </si>
  <si>
    <t>2025-09-08T10:00:24.313+08</t>
  </si>
  <si>
    <t>H030792018</t>
  </si>
  <si>
    <t>uuid:b64fc93e-4ec3-41d5-8f8b-1c96effa0159</t>
  </si>
  <si>
    <t>2025-09-08T11:15:19.686Z</t>
  </si>
  <si>
    <t>2025-09-08T12:08:29.902+08</t>
  </si>
  <si>
    <t>2025-09-08T16:07:36.561+08</t>
  </si>
  <si>
    <t>H030792025</t>
  </si>
  <si>
    <t>uuid:1aca81bd-e2d8-4739-a242-8d6f6e0d2818</t>
  </si>
  <si>
    <t>2025-09-08T11:15:24.722Z</t>
  </si>
  <si>
    <t>2025-09-08T10:38:20.313+08</t>
  </si>
  <si>
    <t>2025-09-08T11:48:11.420+08</t>
  </si>
  <si>
    <t>H030792034</t>
  </si>
  <si>
    <t>uuid:9ae72d67-aa2b-4f29-b2e5-3ae0d202129d</t>
  </si>
  <si>
    <t>2025-09-08T11:23:58.575Z</t>
  </si>
  <si>
    <t>2025-09-08T08:30:03.638+08</t>
  </si>
  <si>
    <t>2025-09-08T09:26:07.773+08</t>
  </si>
  <si>
    <t>H006405028</t>
  </si>
  <si>
    <t>uuid:5fbae777-2947-4e81-8c5c-aa0ca80a85c4</t>
  </si>
  <si>
    <t>2025-09-08T11:24:00.631Z</t>
  </si>
  <si>
    <t>2025-09-08T10:29:36.470+08</t>
  </si>
  <si>
    <t>2025-09-08T11:12:14.118+08</t>
  </si>
  <si>
    <t>H006405023</t>
  </si>
  <si>
    <t>uuid:8fd6a94b-df83-450f-95bf-281cccfe52d1</t>
  </si>
  <si>
    <t>2025-09-08T11:24:02.520Z</t>
  </si>
  <si>
    <t>2025-09-08T13:51:34.822+08</t>
  </si>
  <si>
    <t>2025-09-08T14:18:44.337+08</t>
  </si>
  <si>
    <t>H006405020</t>
  </si>
  <si>
    <t>uuid:6339a24e-b105-41a5-9ebe-98cb82840153</t>
  </si>
  <si>
    <t>2025-09-29T12:05:37.668Z</t>
  </si>
  <si>
    <t>2025-09-29T14:17:18.815+08</t>
  </si>
  <si>
    <t>2025-09-29T15:34:11.595+08</t>
  </si>
  <si>
    <t>H006405031</t>
  </si>
  <si>
    <t>uuid:7e3ac239-0d34-43b5-af21-6d47c1049c19</t>
  </si>
  <si>
    <t>2025-09-28T11:27:08.971Z</t>
  </si>
  <si>
    <t>2025-09-28T09:20:20.783+08</t>
  </si>
  <si>
    <t>2025-09-28T10:09:35.293+08</t>
  </si>
  <si>
    <t>H006248024</t>
  </si>
  <si>
    <t>uuid:a5c9e5e3-b0b9-49f6-a1cc-5b81aca1de4b</t>
  </si>
  <si>
    <t>2025-09-08T11:24:29.666Z</t>
  </si>
  <si>
    <t>2025-09-08T08:43:37.238+08</t>
  </si>
  <si>
    <t>2025-09-08T09:48:14.791+08</t>
  </si>
  <si>
    <t>H006405019</t>
  </si>
  <si>
    <t>uuid:bcb742d9-d62e-4d83-919b-290497a2095c</t>
  </si>
  <si>
    <t>2025-09-08T11:24:31.820Z</t>
  </si>
  <si>
    <t>2025-09-08T10:19:46.672+08</t>
  </si>
  <si>
    <t>2025-09-08T11:30:14.925+08</t>
  </si>
  <si>
    <t>H006405016</t>
  </si>
  <si>
    <t>uuid:9a3196e2-f61a-4e45-ae99-114ef9e9eb0f</t>
  </si>
  <si>
    <t>2025-09-28T11:27:07.631Z</t>
  </si>
  <si>
    <t>2025-09-28T09:14:00.255+08</t>
  </si>
  <si>
    <t>2025-09-28T09:15:58.504+08</t>
  </si>
  <si>
    <t>H006248027</t>
  </si>
  <si>
    <t>uuid:22830fbc-c733-410d-bdff-58a778950b6c</t>
  </si>
  <si>
    <t>2025-09-08T11:25:31.549Z</t>
  </si>
  <si>
    <t>2025-09-08T08:37:31.053+08</t>
  </si>
  <si>
    <t>2025-09-08T09:53:29.624+08</t>
  </si>
  <si>
    <t>H006405035</t>
  </si>
  <si>
    <t>uuid:035cadbe-c6a5-4445-baba-6e56fc627f6a</t>
  </si>
  <si>
    <t>2025-09-08T11:25:32.378Z</t>
  </si>
  <si>
    <t>2025-09-08T10:47:24.569+08</t>
  </si>
  <si>
    <t>2025-09-08T11:54:05.575+08</t>
  </si>
  <si>
    <t>H006405025</t>
  </si>
  <si>
    <t>uuid:1e72e1dc-48e5-4648-8cfb-8e3f46ee379d</t>
  </si>
  <si>
    <t>2025-09-08T11:25:33.112Z</t>
  </si>
  <si>
    <t>2025-09-08T12:31:30.666+08</t>
  </si>
  <si>
    <t>2025-09-08T13:35:28.795+08</t>
  </si>
  <si>
    <t>H006405018</t>
  </si>
  <si>
    <t>uuid:0302a6bd-1ecb-49ff-aeea-8da8708cb486</t>
  </si>
  <si>
    <t>2025-09-29T13:03:59.781Z</t>
  </si>
  <si>
    <t>2025-09-29T17:46:35.358+08</t>
  </si>
  <si>
    <t>2025-09-29T18:48:22.371+08</t>
  </si>
  <si>
    <t>H006405024</t>
  </si>
  <si>
    <t>uuid:94c6e437-b312-4717-8333-35e05e79fe3e</t>
  </si>
  <si>
    <t>2025-09-08T11:26:52.050Z</t>
  </si>
  <si>
    <t>2025-09-08T08:09:25.693+08</t>
  </si>
  <si>
    <t>2025-09-08T09:22:12.951+08</t>
  </si>
  <si>
    <t>H006567022</t>
  </si>
  <si>
    <t>uuid:95424d32-d013-41b4-9be4-c6f1c8533be5</t>
  </si>
  <si>
    <t>2025-09-08T11:26:53.705Z</t>
  </si>
  <si>
    <t>2025-09-08T09:25:51.444+08</t>
  </si>
  <si>
    <t>2025-09-08T10:42:41.493+08</t>
  </si>
  <si>
    <t>H006567028</t>
  </si>
  <si>
    <t>uuid:41725ef0-e0aa-4f6d-8ddf-0ac58f8fbfc5</t>
  </si>
  <si>
    <t>2025-09-08T11:26:55.047Z</t>
  </si>
  <si>
    <t>2025-09-08T10:48:33.981+08</t>
  </si>
  <si>
    <t>2025-09-08T12:17:50.302+08</t>
  </si>
  <si>
    <t>H006567029</t>
  </si>
  <si>
    <t>uuid:a21685bc-ab1b-41d3-b4c5-c28f62bcf105</t>
  </si>
  <si>
    <t>2025-09-08T11:26:56.827Z</t>
  </si>
  <si>
    <t>2025-09-08T13:33:03.540+08</t>
  </si>
  <si>
    <t>2025-09-08T15:07:55.267+08</t>
  </si>
  <si>
    <t>H006567019</t>
  </si>
  <si>
    <t>uuid:c896a8a9-45c8-4ea0-b6f4-314286673b7a</t>
  </si>
  <si>
    <t>2025-09-28T11:11:37.265Z</t>
  </si>
  <si>
    <t>2025-09-28T13:50:31.371+08</t>
  </si>
  <si>
    <t>2025-09-28T15:17:29.507+08</t>
  </si>
  <si>
    <t>H006567017</t>
  </si>
  <si>
    <t>uuid:94ea8f42-35ff-4b00-91cd-2062bf99c95e</t>
  </si>
  <si>
    <t>2025-09-08T11:29:26.627Z</t>
  </si>
  <si>
    <t>2025-09-08T13:26:53.937+08</t>
  </si>
  <si>
    <t>2025-09-08T18:39:41.966+08</t>
  </si>
  <si>
    <t>H030792017</t>
  </si>
  <si>
    <t>uuid:9b6c006c-69ff-487e-8030-46d5240318d4</t>
  </si>
  <si>
    <t>2025-09-08T11:29:29.798Z</t>
  </si>
  <si>
    <t>2025-09-08T11:46:48.068+08</t>
  </si>
  <si>
    <t>2025-09-08T13:03:11.984+08</t>
  </si>
  <si>
    <t>H030792016</t>
  </si>
  <si>
    <t>uuid:8a7966b0-6a04-47c9-892c-721cdb084e0e</t>
  </si>
  <si>
    <t>2025-09-08T11:29:32.342Z</t>
  </si>
  <si>
    <t>2025-09-08T10:26:32.178+08</t>
  </si>
  <si>
    <t>2025-09-08T11:30:08.844+08</t>
  </si>
  <si>
    <t>H030792023</t>
  </si>
  <si>
    <t>uuid:c1b42218-5eed-4e84-8f15-0c3368980b31</t>
  </si>
  <si>
    <t>2025-09-08T11:29:33.636Z</t>
  </si>
  <si>
    <t>2025-09-08T09:05:49.102+08</t>
  </si>
  <si>
    <t>2025-09-08T10:20:11.834+08</t>
  </si>
  <si>
    <t>H030792024</t>
  </si>
  <si>
    <t>uuid:a15360d5-a9d8-4d67-8074-5e31aa414631</t>
  </si>
  <si>
    <t>2025-09-28T11:27:05.432Z</t>
  </si>
  <si>
    <t>2025-09-28T10:47:21.216+08</t>
  </si>
  <si>
    <t>2025-09-28T11:33:29.926+08</t>
  </si>
  <si>
    <t>H006248034</t>
  </si>
  <si>
    <t>uuid:31042764-7817-46ae-ad8c-05bd1253ac9d</t>
  </si>
  <si>
    <t>2025-09-08T11:30:55.608Z</t>
  </si>
  <si>
    <t>2025-09-08T08:30:52.130+08</t>
  </si>
  <si>
    <t>2025-09-08T09:37:12.279+08</t>
  </si>
  <si>
    <t>H006405032</t>
  </si>
  <si>
    <t>uuid:a9bdf31c-92f7-4355-b9e5-643f7d295c13</t>
  </si>
  <si>
    <t>2025-09-08T11:30:57.502Z</t>
  </si>
  <si>
    <t>2025-09-08T09:57:15.650+08</t>
  </si>
  <si>
    <t>2025-09-08T10:59:07.294+08</t>
  </si>
  <si>
    <t>H006405021</t>
  </si>
  <si>
    <t>uuid:1d8e6e97-ea76-44f6-950c-35c576abad67</t>
  </si>
  <si>
    <t>2025-09-08T11:31:46.453Z</t>
  </si>
  <si>
    <t>2025-09-08T08:53:14.246+08</t>
  </si>
  <si>
    <t>2025-09-08T10:13:17.558+08</t>
  </si>
  <si>
    <t>H030173027</t>
  </si>
  <si>
    <t>uuid:8f66862c-3845-43e4-aab8-4013482a879c</t>
  </si>
  <si>
    <t>2025-09-08T11:31:49.750Z</t>
  </si>
  <si>
    <t>2025-09-08T11:52:20.486+08</t>
  </si>
  <si>
    <t>2025-09-08T13:12:30.151+08</t>
  </si>
  <si>
    <t>H030173023</t>
  </si>
  <si>
    <t>uuid:455040a5-c1a9-4590-9f3c-4b8742ec60a6</t>
  </si>
  <si>
    <t>2025-09-08T11:39:45.059Z</t>
  </si>
  <si>
    <t>2025-09-08T09:51:40.591+08</t>
  </si>
  <si>
    <t>2025-09-08T10:44:19.335+08</t>
  </si>
  <si>
    <t>H019227018</t>
  </si>
  <si>
    <t>uuid:8d481242-e6a2-4abd-a715-ea3264edf82c</t>
  </si>
  <si>
    <t>2025-09-08T11:39:46.466Z</t>
  </si>
  <si>
    <t>2025-09-08T10:57:52.532+08</t>
  </si>
  <si>
    <t>2025-09-08T11:46:08.674+08</t>
  </si>
  <si>
    <t>H019227019</t>
  </si>
  <si>
    <t>uuid:3a4ff330-2af4-4771-b187-d8bdee24caf9</t>
  </si>
  <si>
    <t>2025-09-08T11:39:47.229Z</t>
  </si>
  <si>
    <t>2025-09-08T11:55:01.470+08</t>
  </si>
  <si>
    <t>2025-09-08T12:59:05.331+08</t>
  </si>
  <si>
    <t>H019227030</t>
  </si>
  <si>
    <t>uuid:053e9e1f-c67e-4f15-992f-fcde91f9a5d3</t>
  </si>
  <si>
    <t>2025-09-08T11:39:47.942Z</t>
  </si>
  <si>
    <t>2025-09-08T13:26:22.938+08</t>
  </si>
  <si>
    <t>2025-09-08T13:59:02.787+08</t>
  </si>
  <si>
    <t>H019227028</t>
  </si>
  <si>
    <t>uuid:ee0e2e1b-d388-4107-85e3-2d58e6e403fc</t>
  </si>
  <si>
    <t>2025-09-08T11:43:54.762Z</t>
  </si>
  <si>
    <t>2025-09-08T10:27:56.695+08</t>
  </si>
  <si>
    <t>2025-09-08T11:50:41.168+08</t>
  </si>
  <si>
    <t>H019227027</t>
  </si>
  <si>
    <t>uuid:60e17b8c-c559-49fa-a6e9-357158200a39</t>
  </si>
  <si>
    <t>2025-09-08T11:43:56.368Z</t>
  </si>
  <si>
    <t>2025-09-08T13:27:34.996+08</t>
  </si>
  <si>
    <t>2025-09-08T14:23:55.813+08</t>
  </si>
  <si>
    <t>H019227017</t>
  </si>
  <si>
    <t>uuid:e62d918f-47e4-4f2e-a28f-6dcf9e26fb42</t>
  </si>
  <si>
    <t>2025-09-08T11:43:57.100Z</t>
  </si>
  <si>
    <t>2025-09-08T12:35:41.804+08</t>
  </si>
  <si>
    <t>2025-09-08T14:24:52.772+08</t>
  </si>
  <si>
    <t>H019227016</t>
  </si>
  <si>
    <t>uuid:5381a7a8-0295-4840-aa3e-8edeb3a0155f</t>
  </si>
  <si>
    <t>2025-09-08T11:43:57.889Z</t>
  </si>
  <si>
    <t>2025-09-08T14:34:25.961+08</t>
  </si>
  <si>
    <t>2025-09-08T15:50:45.953+08</t>
  </si>
  <si>
    <t>H019227021</t>
  </si>
  <si>
    <t>uuid:6a3010c4-1aff-4c72-9b5c-062513434fb5</t>
  </si>
  <si>
    <t>2025-09-08T12:15:56.237Z</t>
  </si>
  <si>
    <t>2025-09-08T15:36:42.852+08</t>
  </si>
  <si>
    <t>2025-09-08T16:34:29.335+08</t>
  </si>
  <si>
    <t>H019506028</t>
  </si>
  <si>
    <t>uuid:1158740e-c747-4735-b921-ec413259a3df</t>
  </si>
  <si>
    <t>2025-09-08T12:15:59.181Z</t>
  </si>
  <si>
    <t>2025-09-08T10:03:12.480+08</t>
  </si>
  <si>
    <t>2025-09-08T11:38:46.964+08</t>
  </si>
  <si>
    <t>H019506032</t>
  </si>
  <si>
    <t>uuid:ee7fef12-5ad1-42e7-b381-9ba8afc335d9</t>
  </si>
  <si>
    <t>2025-09-08T12:15:59.770Z</t>
  </si>
  <si>
    <t>2025-09-08T13:17:05.739+08</t>
  </si>
  <si>
    <t>2025-09-08T14:31:37.325+08</t>
  </si>
  <si>
    <t>H019506026</t>
  </si>
  <si>
    <t>uuid:089ffd1e-c0fc-4f85-9408-db1ea988c169</t>
  </si>
  <si>
    <t>2025-09-08T12:54:44.191Z</t>
  </si>
  <si>
    <t>2025-09-08T10:17:21.721+08</t>
  </si>
  <si>
    <t>2025-09-08T11:13:46.702+08</t>
  </si>
  <si>
    <t>H019506017</t>
  </si>
  <si>
    <t>uuid:93b5ec05-6c8c-447b-b39b-4924f7cf84b5</t>
  </si>
  <si>
    <t>2025-09-08T12:54:45.998Z</t>
  </si>
  <si>
    <t>2025-09-08T13:18:53.923+08</t>
  </si>
  <si>
    <t>2025-09-08T13:53:56.396+08</t>
  </si>
  <si>
    <t>H019506020</t>
  </si>
  <si>
    <t>uuid:a635c8ae-f183-495b-a886-4201e50f0562</t>
  </si>
  <si>
    <t>2025-09-08T12:54:47.564Z</t>
  </si>
  <si>
    <t>2025-09-08T14:27:54.006+08</t>
  </si>
  <si>
    <t>2025-09-08T15:01:14.450+08</t>
  </si>
  <si>
    <t>H019506035</t>
  </si>
  <si>
    <t>uuid:f5031d85-559f-4f0e-b3d3-8b3609bdf744</t>
  </si>
  <si>
    <t>2025-09-08T13:53:57.950Z</t>
  </si>
  <si>
    <t>2025-09-08T10:08:38.166+08</t>
  </si>
  <si>
    <t>2025-09-08T11:28:36.949+08</t>
  </si>
  <si>
    <t>H019506016</t>
  </si>
  <si>
    <t>uuid:d44c88bf-bcda-4804-973c-13afba0c694e</t>
  </si>
  <si>
    <t>2025-09-08T13:54:00.121Z</t>
  </si>
  <si>
    <t>2025-09-08T13:15:38.435+08</t>
  </si>
  <si>
    <t>2025-09-08T14:09:48.411+08</t>
  </si>
  <si>
    <t>H019506025</t>
  </si>
  <si>
    <t>uuid:e8f0ed3b-ecb2-48c2-839f-e4dbcdf7e2db</t>
  </si>
  <si>
    <t>2025-09-30T09:32:04.769Z</t>
  </si>
  <si>
    <t>2025-09-30T13:49:14.375+08</t>
  </si>
  <si>
    <t>2025-09-30T17:31:11.788+08</t>
  </si>
  <si>
    <t>H019506019</t>
  </si>
  <si>
    <t>uuid:2edfff5e-73a0-487d-979c-13ffc9a88cbd</t>
  </si>
  <si>
    <t>2025-09-08T13:54:01.545Z</t>
  </si>
  <si>
    <t>2025-09-08T15:39:22.794+08</t>
  </si>
  <si>
    <t>2025-09-08T16:33:12.404+08</t>
  </si>
  <si>
    <t>H019506034</t>
  </si>
  <si>
    <t>uuid:1cd39d0b-9fdc-4d2d-8eb4-cc2d0e00fd10</t>
  </si>
  <si>
    <t>2025-09-09T10:38:34.443Z</t>
  </si>
  <si>
    <t>2025-09-09T08:56:41.011+08</t>
  </si>
  <si>
    <t>2025-09-09T09:40:22.282+08</t>
  </si>
  <si>
    <t>H030060032</t>
  </si>
  <si>
    <t>uuid:b8969ca6-0612-4578-9ae1-d1d573250f7c</t>
  </si>
  <si>
    <t>2025-09-09T10:38:41.039Z</t>
  </si>
  <si>
    <t>2025-09-09T09:51:30.323+08</t>
  </si>
  <si>
    <t>2025-09-09T11:09:26.443+08</t>
  </si>
  <si>
    <t>H030060030</t>
  </si>
  <si>
    <t>uuid:586c6865-0b77-4c8a-bdee-92533c908027</t>
  </si>
  <si>
    <t>2025-09-09T10:38:42.000Z</t>
  </si>
  <si>
    <t>2025-09-09T11:23:10.818+08</t>
  </si>
  <si>
    <t>2025-09-09T12:19:39.601+08</t>
  </si>
  <si>
    <t>H030060016</t>
  </si>
  <si>
    <t>uuid:6f1b7edd-9925-4afe-9a57-20f7759cd3c4</t>
  </si>
  <si>
    <t>2025-09-09T10:38:42.821Z</t>
  </si>
  <si>
    <t>2025-09-09T14:06:47.264+08</t>
  </si>
  <si>
    <t>2025-09-09T15:25:39.502+08</t>
  </si>
  <si>
    <t>H030060023</t>
  </si>
  <si>
    <t>uuid:a32774aa-3585-48e5-a24a-68db878c6fae</t>
  </si>
  <si>
    <t>2025-09-09T10:46:02.230Z</t>
  </si>
  <si>
    <t>2025-09-09T08:45:57.444+08</t>
  </si>
  <si>
    <t>2025-09-09T10:29:42.550+08</t>
  </si>
  <si>
    <t>H030060017</t>
  </si>
  <si>
    <t>uuid:9036bf44-01da-4661-b61a-fc84ce481eab</t>
  </si>
  <si>
    <t>2025-09-09T10:46:17.726Z</t>
  </si>
  <si>
    <t>2025-09-09T14:27:08.323+08</t>
  </si>
  <si>
    <t>2025-09-09T16:19:15.560+08</t>
  </si>
  <si>
    <t>H030060034</t>
  </si>
  <si>
    <t>uuid:a94eb38d-0163-45ab-badb-c27eb1893460</t>
  </si>
  <si>
    <t>2025-09-09T10:46:58.038Z</t>
  </si>
  <si>
    <t>2025-09-09T13:41:54.891+08</t>
  </si>
  <si>
    <t>2025-09-09T14:22:00.547+08</t>
  </si>
  <si>
    <t>H030060018</t>
  </si>
  <si>
    <t>uuid:2ecaf316-c18e-45e6-9015-51c7e1a9585b</t>
  </si>
  <si>
    <t>2025-09-09T10:51:15.669Z</t>
  </si>
  <si>
    <t>2025-09-09T13:42:15.637+08</t>
  </si>
  <si>
    <t>2025-09-09T14:54:51.429+08</t>
  </si>
  <si>
    <t>H030060026</t>
  </si>
  <si>
    <t>uuid:8fbb0008-89ac-47bb-9acb-64f57e362563</t>
  </si>
  <si>
    <t>2025-09-09T10:51:17.492Z</t>
  </si>
  <si>
    <t>2025-09-09T15:01:55.297+08</t>
  </si>
  <si>
    <t>2025-09-09T17:13:59.659+08</t>
  </si>
  <si>
    <t>H030060035</t>
  </si>
  <si>
    <t>uuid:085e8ac3-a785-4e0d-af47-30b8650e56bd</t>
  </si>
  <si>
    <t>2025-09-09T10:51:25.479Z</t>
  </si>
  <si>
    <t>2025-09-09T11:35:16.783+08</t>
  </si>
  <si>
    <t>2025-09-09T13:01:04.308+08</t>
  </si>
  <si>
    <t>H030060031</t>
  </si>
  <si>
    <t>uuid:e50864e9-6fb5-42d6-9881-788752a7bc69</t>
  </si>
  <si>
    <t>2025-09-09T10:51:59.731Z</t>
  </si>
  <si>
    <t>2025-09-09T08:55:15.489+08</t>
  </si>
  <si>
    <t>2025-09-09T10:08:59.415+08</t>
  </si>
  <si>
    <t>H030060029</t>
  </si>
  <si>
    <t>uuid:2b1a6e26-a3bb-401b-af10-d63a8212203f</t>
  </si>
  <si>
    <t>2025-09-09T10:52:26.521Z</t>
  </si>
  <si>
    <t>2025-09-09T10:24:52.203+08</t>
  </si>
  <si>
    <t>2025-09-09T11:38:23.775+08</t>
  </si>
  <si>
    <t>H030060024</t>
  </si>
  <si>
    <t>uuid:42c17e9c-68b2-4062-ad4e-ccbc3cce1baf</t>
  </si>
  <si>
    <t>2025-09-09T10:52:35.710Z</t>
  </si>
  <si>
    <t>2025-09-09T14:16:33.151+08</t>
  </si>
  <si>
    <t>2025-09-09T15:16:47.874+08</t>
  </si>
  <si>
    <t>H030060019</t>
  </si>
  <si>
    <t>uuid:eb578c84-0cf8-4997-8b73-cf431cb379f5</t>
  </si>
  <si>
    <t>2025-09-09T10:54:38.010Z</t>
  </si>
  <si>
    <t>2025-09-09T18:43:14.274+08</t>
  </si>
  <si>
    <t>2025-09-09T18:46:07.967+08</t>
  </si>
  <si>
    <t>H030790019</t>
  </si>
  <si>
    <t>uuid:75d66707-b37c-4e87-b51c-cba985024387</t>
  </si>
  <si>
    <t>2025-09-09T10:54:40.408Z</t>
  </si>
  <si>
    <t>2025-09-09T08:39:21.265+08</t>
  </si>
  <si>
    <t>2025-09-09T10:14:28.614+08</t>
  </si>
  <si>
    <t>H030790007</t>
  </si>
  <si>
    <t>uuid:bf2bea75-c4c1-4d26-b4c5-1ca41ca87902</t>
  </si>
  <si>
    <t>2025-09-09T10:54:42.231Z</t>
  </si>
  <si>
    <t>2025-09-09T11:08:59.931+08</t>
  </si>
  <si>
    <t>2025-09-09T12:03:28.779+08</t>
  </si>
  <si>
    <t>H030790020</t>
  </si>
  <si>
    <t>uuid:55bf99be-8475-4d22-a44a-c395ae84a42c</t>
  </si>
  <si>
    <t>2025-09-09T10:54:44.057Z</t>
  </si>
  <si>
    <t>2025-09-09T13:35:01.207+08</t>
  </si>
  <si>
    <t>2025-09-09T14:57:49.647+08</t>
  </si>
  <si>
    <t>H030790026</t>
  </si>
  <si>
    <t>uuid:31a8cf3f-2fde-4706-b0bb-2e9355d05b02</t>
  </si>
  <si>
    <t>2025-09-09T10:54:46.919Z</t>
  </si>
  <si>
    <t>2025-09-09T15:17:23.980+08</t>
  </si>
  <si>
    <t>2025-09-09T15:43:48.898+08</t>
  </si>
  <si>
    <t>H030790028</t>
  </si>
  <si>
    <t>uuid:310837af-5877-47ee-b25a-72224f377cea</t>
  </si>
  <si>
    <t>2025-09-09T10:54:57.995Z</t>
  </si>
  <si>
    <t>2025-09-09T10:16:45.045+08</t>
  </si>
  <si>
    <t>2025-09-09T11:36:00.824+08</t>
  </si>
  <si>
    <t>H030790018</t>
  </si>
  <si>
    <t>uuid:ed6343bb-dcd9-4d98-9e81-846ff6883436</t>
  </si>
  <si>
    <t>2025-10-01T10:05:30.673Z</t>
  </si>
  <si>
    <t>2025-10-01T09:13:41.922+08</t>
  </si>
  <si>
    <t>2025-10-01T12:14:59.520+08</t>
  </si>
  <si>
    <t>H030790033</t>
  </si>
  <si>
    <t>uuid:bd4ee6a3-6aad-4252-9d69-8783d2453274</t>
  </si>
  <si>
    <t>2025-09-09T10:55:08.069Z</t>
  </si>
  <si>
    <t>2025-09-09T09:11:34.651+08</t>
  </si>
  <si>
    <t>2025-09-09T10:00:42.127+08</t>
  </si>
  <si>
    <t>H030790017</t>
  </si>
  <si>
    <t>uuid:dfeebc2e-b6a8-44be-a508-bf7be781721b</t>
  </si>
  <si>
    <t>2025-09-09T10:55:14.349Z</t>
  </si>
  <si>
    <t>2025-09-09T11:53:39.339+08</t>
  </si>
  <si>
    <t>2025-09-09T12:45:29.486+08</t>
  </si>
  <si>
    <t>H030790031</t>
  </si>
  <si>
    <t>uuid:ceeafe15-9924-4fce-90c1-3cfe2ec5785b</t>
  </si>
  <si>
    <t>2025-10-02T10:13:21.470Z</t>
  </si>
  <si>
    <t>2025-10-02T09:02:17.118+08</t>
  </si>
  <si>
    <t>2025-10-02T10:32:32.064+08</t>
  </si>
  <si>
    <t>H006525020</t>
  </si>
  <si>
    <t>uuid:842d81fe-d896-4d7e-863b-0eda4cf6871a</t>
  </si>
  <si>
    <t>2025-09-29T11:30:43.434Z</t>
  </si>
  <si>
    <t>2025-09-29T09:03:13.934+08</t>
  </si>
  <si>
    <t>2025-09-29T10:03:10.441+08</t>
  </si>
  <si>
    <t>H006525022</t>
  </si>
  <si>
    <t>uuid:a1535ad4-4462-4f3f-9cb3-9c92a548ebd3</t>
  </si>
  <si>
    <t>2025-09-29T11:30:45.430Z</t>
  </si>
  <si>
    <t>2025-09-29T10:31:05.715+08</t>
  </si>
  <si>
    <t>2025-09-29T11:18:03.221+08</t>
  </si>
  <si>
    <t>H006525030</t>
  </si>
  <si>
    <t>uuid:f1440334-ebd1-499c-bf1c-f950cfb731c4</t>
  </si>
  <si>
    <t>2025-09-30T11:21:48.284Z</t>
  </si>
  <si>
    <t>2025-09-30T08:53:03.533+08</t>
  </si>
  <si>
    <t>2025-09-30T10:23:36.457+08</t>
  </si>
  <si>
    <t>H006525032</t>
  </si>
  <si>
    <t>uuid:2826a379-0259-496e-b29f-163e1d00e54e</t>
  </si>
  <si>
    <t>2025-09-09T11:10:29.129Z</t>
  </si>
  <si>
    <t>2025-09-09T10:22:24.127+08</t>
  </si>
  <si>
    <t>2025-09-09T11:39:49.284+08</t>
  </si>
  <si>
    <t>H006525029</t>
  </si>
  <si>
    <t>uuid:8ace1a36-ef6e-48c2-a0c1-0f9609290332</t>
  </si>
  <si>
    <t>2025-09-30T11:13:42.473Z</t>
  </si>
  <si>
    <t>2025-09-30T09:57:45.412+08</t>
  </si>
  <si>
    <t>2025-09-30T10:42:00.577+08</t>
  </si>
  <si>
    <t>H006525024</t>
  </si>
  <si>
    <t>uuid:aef2c224-9586-456b-8a48-533c27aab11a</t>
  </si>
  <si>
    <t>2025-09-09T11:10:38.504Z</t>
  </si>
  <si>
    <t>2025-09-09T09:50:45.246+08</t>
  </si>
  <si>
    <t>2025-09-09T09:54:39.286+08</t>
  </si>
  <si>
    <t>H006525027</t>
  </si>
  <si>
    <t>uuid:2882cb17-12da-4230-a344-739a3a5143bc</t>
  </si>
  <si>
    <t>2025-09-28T11:20:18.704Z</t>
  </si>
  <si>
    <t>2025-09-28T09:23:51.575+08</t>
  </si>
  <si>
    <t>2025-09-28T11:33:04.826+08</t>
  </si>
  <si>
    <t>H006525031</t>
  </si>
  <si>
    <t>uuid:4efade5a-b592-4484-acc4-d6d44e5f1d21</t>
  </si>
  <si>
    <t>2025-09-09T11:10:44.099Z</t>
  </si>
  <si>
    <t>2025-09-09T13:27:43.536+08</t>
  </si>
  <si>
    <t>2025-09-09T14:58:03.635+08</t>
  </si>
  <si>
    <t>H006525033</t>
  </si>
  <si>
    <t>uuid:7b5dbe5f-ac7c-4048-a625-8a6534b6db05</t>
  </si>
  <si>
    <t>2025-09-28T11:11:35.851Z</t>
  </si>
  <si>
    <t>2025-09-28T09:23:13.306+08</t>
  </si>
  <si>
    <t>2025-09-28T10:05:47.750+08</t>
  </si>
  <si>
    <t>H006525034</t>
  </si>
  <si>
    <t>uuid:9718af04-1faa-43d9-88e2-937d43b44667</t>
  </si>
  <si>
    <t>2025-09-09T11:11:40.487Z</t>
  </si>
  <si>
    <t>2025-09-09T08:26:36.484+08</t>
  </si>
  <si>
    <t>2025-09-09T09:45:02.747+08</t>
  </si>
  <si>
    <t>H006525035</t>
  </si>
  <si>
    <t>uuid:7723ebc3-9518-4abe-a94c-43d6474b95c2</t>
  </si>
  <si>
    <t>2025-09-29T11:30:48.685Z</t>
  </si>
  <si>
    <t>2025-09-29T10:56:58.923+08</t>
  </si>
  <si>
    <t>2025-09-29T11:36:33.589+08</t>
  </si>
  <si>
    <t>H006525026</t>
  </si>
  <si>
    <t>uuid:1adba66a-f3db-4754-ab06-de7322482c50</t>
  </si>
  <si>
    <t>2025-09-09T11:20:18.981Z</t>
  </si>
  <si>
    <t>2025-09-09T09:25:13.816+08</t>
  </si>
  <si>
    <t>2025-09-09T10:09:22.439+08</t>
  </si>
  <si>
    <t>H006319017</t>
  </si>
  <si>
    <t>uuid:cb57b50f-f8f2-419f-811f-122cf6520dee</t>
  </si>
  <si>
    <t>2025-09-24T11:13:12.890Z</t>
  </si>
  <si>
    <t>2025-09-24T09:20:47.597+08</t>
  </si>
  <si>
    <t>2025-09-24T10:40:40.863+08</t>
  </si>
  <si>
    <t>H006319032</t>
  </si>
  <si>
    <t>uuid:268ca08a-c1b4-4c48-bc9a-a34b58652f84</t>
  </si>
  <si>
    <t>2025-09-09T11:20:21.257Z</t>
  </si>
  <si>
    <t>2025-09-09T12:10:06.562+08</t>
  </si>
  <si>
    <t>2025-09-09T13:07:16.884+08</t>
  </si>
  <si>
    <t>H006319027</t>
  </si>
  <si>
    <t>uuid:edf2dbdc-d5e1-4ea9-b94d-d7e08ee9ee38</t>
  </si>
  <si>
    <t>2025-09-09T11:22:49.627Z</t>
  </si>
  <si>
    <t>2025-09-09T10:59:41.671+08</t>
  </si>
  <si>
    <t>2025-09-09T11:42:32.847+08</t>
  </si>
  <si>
    <t>H019591016</t>
  </si>
  <si>
    <t>uuid:cb0dfae2-9fc9-4dba-acc9-61a0fdbfb511</t>
  </si>
  <si>
    <t>2025-09-09T11:22:52.044Z</t>
  </si>
  <si>
    <t>2025-09-09T09:14:27.020+08</t>
  </si>
  <si>
    <t>2025-09-09T12:17:30.586+08</t>
  </si>
  <si>
    <t>H019591001</t>
  </si>
  <si>
    <t>uuid:f8b9ffe9-6bf4-4dfa-be82-565619f41404</t>
  </si>
  <si>
    <t>2025-09-09T11:22:53.803Z</t>
  </si>
  <si>
    <t>2025-09-09T12:29:05.247+08</t>
  </si>
  <si>
    <t>2025-09-09T13:26:10.426+08</t>
  </si>
  <si>
    <t>H019591020</t>
  </si>
  <si>
    <t>uuid:eb23f47e-b750-4f4c-9931-8f72fb055ea5</t>
  </si>
  <si>
    <t>2025-09-09T11:23:05.027Z</t>
  </si>
  <si>
    <t>2025-09-09T13:33:33.827+08</t>
  </si>
  <si>
    <t>2025-09-09T14:26:53.222+08</t>
  </si>
  <si>
    <t>H019591027</t>
  </si>
  <si>
    <t>uuid:c50d340d-4e71-41d4-a63f-93a4b9ace4df</t>
  </si>
  <si>
    <t>2025-09-09T11:23:05.909Z</t>
  </si>
  <si>
    <t>2025-09-09T14:41:47.865+08</t>
  </si>
  <si>
    <t>2025-09-09T15:42:10.580+08</t>
  </si>
  <si>
    <t>H019591019</t>
  </si>
  <si>
    <t>uuid:c983790e-5189-4325-91f8-73b54b794429</t>
  </si>
  <si>
    <t>2025-09-09T11:25:34.285Z</t>
  </si>
  <si>
    <t>2025-09-09T10:24:54.538+08</t>
  </si>
  <si>
    <t>2025-09-09T11:20:27.918+08</t>
  </si>
  <si>
    <t>H019591025</t>
  </si>
  <si>
    <t>uuid:cde85122-c456-4f1b-8f6c-7758518ce3ec</t>
  </si>
  <si>
    <t>2025-09-09T11:25:37.836Z</t>
  </si>
  <si>
    <t>2025-09-09T09:13:47.876+08</t>
  </si>
  <si>
    <t>2025-09-09T10:16:38.429+08</t>
  </si>
  <si>
    <t>H019591033</t>
  </si>
  <si>
    <t>uuid:45738a51-d471-421a-9df2-d721e3053cda</t>
  </si>
  <si>
    <t>2025-09-09T11:25:38.637Z</t>
  </si>
  <si>
    <t>2025-09-09T12:29:38.842+08</t>
  </si>
  <si>
    <t>2025-09-09T13:31:00.475+08</t>
  </si>
  <si>
    <t>H019591026</t>
  </si>
  <si>
    <t>uuid:0afa72aa-89b2-4cbd-ba49-dbea20d7f24f</t>
  </si>
  <si>
    <t>2025-09-09T11:25:39.384Z</t>
  </si>
  <si>
    <t>2025-09-09T13:40:47.862+08</t>
  </si>
  <si>
    <t>2025-09-09T14:37:07.517+08</t>
  </si>
  <si>
    <t>H019591022</t>
  </si>
  <si>
    <t>uuid:5c1a3076-396e-4190-ba57-befca98dc84c</t>
  </si>
  <si>
    <t>2025-09-09T11:26:02.750Z</t>
  </si>
  <si>
    <t>2025-09-09T09:09:08.782+08</t>
  </si>
  <si>
    <t>2025-09-09T09:53:46.863+08</t>
  </si>
  <si>
    <t>H019591029</t>
  </si>
  <si>
    <t>uuid:05ca2b7e-9679-4032-8154-a8e427dba5c1</t>
  </si>
  <si>
    <t>2025-09-09T11:26:04.467Z</t>
  </si>
  <si>
    <t>2025-09-09T10:07:16.723+08</t>
  </si>
  <si>
    <t>2025-09-09T11:16:35.264+08</t>
  </si>
  <si>
    <t>H019591030</t>
  </si>
  <si>
    <t>uuid:f8a8e49d-5ee8-4c44-a7dd-7c4c088a1c66</t>
  </si>
  <si>
    <t>2025-09-09T11:26:07.452Z</t>
  </si>
  <si>
    <t>2025-09-09T12:21:43.076+08</t>
  </si>
  <si>
    <t>2025-09-09T13:27:32.257+08</t>
  </si>
  <si>
    <t>H019591028</t>
  </si>
  <si>
    <t>uuid:66c0f8e9-d3bc-4863-8622-4da9d64fa8e3</t>
  </si>
  <si>
    <t>2025-09-09T11:26:09.515Z</t>
  </si>
  <si>
    <t>2025-09-09T13:36:05.898+08</t>
  </si>
  <si>
    <t>2025-09-09T14:19:44.571+08</t>
  </si>
  <si>
    <t>H019591031</t>
  </si>
  <si>
    <t>uuid:f4de7b6a-4361-42ce-ab38-0208a22fd8be</t>
  </si>
  <si>
    <t>2025-09-09T11:26:15.846Z</t>
  </si>
  <si>
    <t>2025-09-09T09:43:29.217+08</t>
  </si>
  <si>
    <t>2025-09-09T10:27:32.821+08</t>
  </si>
  <si>
    <t>H006319026</t>
  </si>
  <si>
    <t>uuid:e679c478-370d-4efb-8f00-65c4f413a4ed</t>
  </si>
  <si>
    <t>2025-09-09T11:26:17.107Z</t>
  </si>
  <si>
    <t>2025-09-09T10:28:27.444+08</t>
  </si>
  <si>
    <t>2025-09-09T11:30:41.569+08</t>
  </si>
  <si>
    <t>H006319018</t>
  </si>
  <si>
    <t>uuid:4cf6b7f5-d00c-47ee-bb21-3a7ae7981f82</t>
  </si>
  <si>
    <t>2025-09-09T11:56:40.932Z</t>
  </si>
  <si>
    <t>2025-09-09T11:57:48.051+08</t>
  </si>
  <si>
    <t>2025-09-09T19:52:37.587+08</t>
  </si>
  <si>
    <t>H006319028</t>
  </si>
  <si>
    <t>uuid:e01f1fa8-c33c-4d2c-b5d8-4c4d0aa73798</t>
  </si>
  <si>
    <t>2025-09-24T11:05:34.471Z</t>
  </si>
  <si>
    <t>2025-09-24T08:28:05.899+08</t>
  </si>
  <si>
    <t>2025-09-24T18:59:18.813+08</t>
  </si>
  <si>
    <t>H006319019</t>
  </si>
  <si>
    <t>uuid:a7bb0e33-b81a-4f2b-b75d-2e313ef0700f</t>
  </si>
  <si>
    <t>2025-09-09T11:56:44.028Z</t>
  </si>
  <si>
    <t>2025-09-09T09:30:44.955+08</t>
  </si>
  <si>
    <t>2025-09-09T10:47:33.837+08</t>
  </si>
  <si>
    <t>H006319023</t>
  </si>
  <si>
    <t>uuid:f988c849-676e-4d4a-98d6-ff883f3623e5</t>
  </si>
  <si>
    <t>2025-09-09T12:05:05.141Z</t>
  </si>
  <si>
    <t>2025-09-09T09:17:07.335+08</t>
  </si>
  <si>
    <t>2025-09-09T10:58:32.912+08</t>
  </si>
  <si>
    <t>H019423027</t>
  </si>
  <si>
    <t>uuid:cca39e1f-c081-4a08-aa60-a24dfb0ea7c3</t>
  </si>
  <si>
    <t>2025-09-09T12:05:08.808Z</t>
  </si>
  <si>
    <t>2025-09-09T11:11:14.718+08</t>
  </si>
  <si>
    <t>2025-09-09T12:17:17.540+08</t>
  </si>
  <si>
    <t>H019423029</t>
  </si>
  <si>
    <t>uuid:2bae6191-076b-4033-a40f-91fdfc778901</t>
  </si>
  <si>
    <t>2025-09-09T12:05:10.304Z</t>
  </si>
  <si>
    <t>2025-09-09T15:00:27.024+08</t>
  </si>
  <si>
    <t>2025-09-09T16:01:26.190+08</t>
  </si>
  <si>
    <t>H019423016</t>
  </si>
  <si>
    <t>uuid:582a9a42-aeee-4acc-8c5d-72c1530dea09</t>
  </si>
  <si>
    <t>2025-09-09T12:05:09.539Z</t>
  </si>
  <si>
    <t>2025-09-09T13:31:39.399+08</t>
  </si>
  <si>
    <t>2025-09-09T14:36:28.575+08</t>
  </si>
  <si>
    <t>H019423020</t>
  </si>
  <si>
    <t>uuid:7565416c-dec7-4538-84be-3e8b8998fe98</t>
  </si>
  <si>
    <t>2025-09-09T12:05:49.656Z</t>
  </si>
  <si>
    <t>2025-09-09T09:26:22.569+08</t>
  </si>
  <si>
    <t>2025-09-09T10:16:38.454+08</t>
  </si>
  <si>
    <t>H019423024</t>
  </si>
  <si>
    <t>uuid:607e1284-65b8-448b-aa0b-0b8287aff4ca</t>
  </si>
  <si>
    <t>2025-09-09T12:05:51.359Z</t>
  </si>
  <si>
    <t>2025-09-09T10:59:10.209+08</t>
  </si>
  <si>
    <t>2025-09-09T11:43:19.651+08</t>
  </si>
  <si>
    <t>H019423026</t>
  </si>
  <si>
    <t>uuid:1ad5319e-6c6b-4f4c-899c-1299a31c315c</t>
  </si>
  <si>
    <t>2025-09-29T09:20:33.936Z</t>
  </si>
  <si>
    <t>2025-09-29T10:14:40.544+08</t>
  </si>
  <si>
    <t>2025-09-29T11:03:28.470+08</t>
  </si>
  <si>
    <t>H019423032</t>
  </si>
  <si>
    <t>uuid:3382e44c-004f-417e-af57-cd62bd1b31d6</t>
  </si>
  <si>
    <t>2025-09-09T12:05:53.431Z</t>
  </si>
  <si>
    <t>2025-09-09T14:26:59.293+08</t>
  </si>
  <si>
    <t>2025-09-09T15:07:38.036+08</t>
  </si>
  <si>
    <t>H019423018</t>
  </si>
  <si>
    <t>uuid:e37d357a-2603-4ea3-b56c-3244215c9259</t>
  </si>
  <si>
    <t>2025-09-09T12:05:55.075Z</t>
  </si>
  <si>
    <t>2025-09-09T15:14:21.492+08</t>
  </si>
  <si>
    <t>2025-09-09T15:35:55.881+08</t>
  </si>
  <si>
    <t>H019423023</t>
  </si>
  <si>
    <t>uuid:d0568a27-b479-4ab3-b0a3-af290d140f47</t>
  </si>
  <si>
    <t>2025-09-09T12:26:10.318Z</t>
  </si>
  <si>
    <t>2025-09-09T09:32:22.707+08</t>
  </si>
  <si>
    <t>2025-09-09T10:26:12.891+08</t>
  </si>
  <si>
    <t>H006319022</t>
  </si>
  <si>
    <t>uuid:c663374d-7580-4c56-a356-a4122fdbc61f</t>
  </si>
  <si>
    <t>2025-09-30T13:04:41.035Z</t>
  </si>
  <si>
    <t>2025-09-30T11:15:11.165+08</t>
  </si>
  <si>
    <t>2025-09-30T21:03:57.918+08</t>
  </si>
  <si>
    <t>H006319025</t>
  </si>
  <si>
    <t>uuid:f4e4ef5a-c100-476a-afc2-902161400aab</t>
  </si>
  <si>
    <t>2025-09-09T12:26:12.067Z</t>
  </si>
  <si>
    <t>2025-09-09T11:47:13.938+08</t>
  </si>
  <si>
    <t>2025-09-09T14:24:16.630+08</t>
  </si>
  <si>
    <t>H006319021</t>
  </si>
  <si>
    <t>uuid:126fcc32-6509-4533-abdf-f848c4f2982d</t>
  </si>
  <si>
    <t>2025-09-09T12:34:09.451Z</t>
  </si>
  <si>
    <t>2025-09-09T09:19:22.565+08</t>
  </si>
  <si>
    <t>2025-09-09T10:25:27.886+08</t>
  </si>
  <si>
    <t>H019423002</t>
  </si>
  <si>
    <t>uuid:699919d9-149c-4ecc-b066-0f3204827adb</t>
  </si>
  <si>
    <t>2025-09-09T12:34:11.219Z</t>
  </si>
  <si>
    <t>2025-09-09T10:53:00.553+08</t>
  </si>
  <si>
    <t>2025-09-09T11:33:50.604+08</t>
  </si>
  <si>
    <t>H019423019</t>
  </si>
  <si>
    <t>uuid:784814a0-7f88-499f-8f06-0ef31b32ecb3</t>
  </si>
  <si>
    <t>2025-09-09T12:34:12.720Z</t>
  </si>
  <si>
    <t>2025-09-09T13:42:18.033+08</t>
  </si>
  <si>
    <t>2025-09-09T14:53:38.236+08</t>
  </si>
  <si>
    <t>H019423028</t>
  </si>
  <si>
    <t>uuid:0000b3db-2edc-4939-9f6e-129a6defe0f9</t>
  </si>
  <si>
    <t>2025-09-09T12:34:14.426Z</t>
  </si>
  <si>
    <t>2025-09-09T15:09:11.291+08</t>
  </si>
  <si>
    <t>2025-09-09T16:00:33.511+08</t>
  </si>
  <si>
    <t>H019423031</t>
  </si>
  <si>
    <t>uuid:25fdabd1-7366-4761-8de1-b4c1285cc97b</t>
  </si>
  <si>
    <t>2025-09-09T12:34:15.799Z</t>
  </si>
  <si>
    <t>2025-09-09T16:38:44.074+08</t>
  </si>
  <si>
    <t>2025-09-09T17:17:38.407+08</t>
  </si>
  <si>
    <t>H019423017</t>
  </si>
  <si>
    <t>uuid:0c77efa3-b308-4711-ac49-3ff65b5102d6</t>
  </si>
  <si>
    <t>2025-09-09T12:41:17.140Z</t>
  </si>
  <si>
    <t>2025-09-09T08:38:07.477+08</t>
  </si>
  <si>
    <t>2025-09-09T10:11:33.196+08</t>
  </si>
  <si>
    <t>H030790023</t>
  </si>
  <si>
    <t>uuid:da4d2ca1-0b46-4996-8dcb-31ddd13c245d</t>
  </si>
  <si>
    <t>2025-09-09T12:41:20.338Z</t>
  </si>
  <si>
    <t>2025-09-09T13:29:45.530+08</t>
  </si>
  <si>
    <t>2025-09-09T15:01:56.796+08</t>
  </si>
  <si>
    <t>H030790027</t>
  </si>
  <si>
    <t>uuid:dafa7f41-26f0-4322-921a-837deb2b2514</t>
  </si>
  <si>
    <t>2025-09-09T12:41:22.093Z</t>
  </si>
  <si>
    <t>2025-09-09T15:35:23.431+08</t>
  </si>
  <si>
    <t>2025-09-09T17:07:29.970+08</t>
  </si>
  <si>
    <t>H030790022</t>
  </si>
  <si>
    <t>uuid:eddafcfb-b054-43a0-b9d2-eb0b03e63e3d</t>
  </si>
  <si>
    <t>2025-09-09T12:41:24.088Z</t>
  </si>
  <si>
    <t>2025-09-09T11:17:53.642+08</t>
  </si>
  <si>
    <t>2025-09-09T12:50:13.750+08</t>
  </si>
  <si>
    <t>H030790035</t>
  </si>
  <si>
    <t>uuid:e7f9f9b3-d442-4ead-8bbf-e6194199d061</t>
  </si>
  <si>
    <t>2025-09-10T06:31:52.451Z</t>
  </si>
  <si>
    <t>2025-09-10T13:19:50.999+08</t>
  </si>
  <si>
    <t>2025-09-10T13:23:09.132+08</t>
  </si>
  <si>
    <t>H019591018</t>
  </si>
  <si>
    <t>uuid:55d67252-028e-447d-b1aa-612e6e2427b0</t>
  </si>
  <si>
    <t>Refused</t>
  </si>
  <si>
    <t>2025-09-10T06:31:59.157Z</t>
  </si>
  <si>
    <t>2025-09-10T13:23:42.748+08</t>
  </si>
  <si>
    <t>2025-09-10T13:31:58.992+08</t>
  </si>
  <si>
    <t>H019575017</t>
  </si>
  <si>
    <t>uuid:8c3c3937-4484-473c-9404-70b75ed0ffdc</t>
  </si>
  <si>
    <t>2025-09-10T06:32:00.285Z</t>
  </si>
  <si>
    <t>2025-09-10T13:33:41.856+08</t>
  </si>
  <si>
    <t>2025-09-10T13:36:15.283+08</t>
  </si>
  <si>
    <t>H019589026</t>
  </si>
  <si>
    <t>uuid:a44d3e31-b426-484c-a482-703d513c1cbd</t>
  </si>
  <si>
    <t>2025-09-10T06:32:01.037Z</t>
  </si>
  <si>
    <t>2025-09-10T13:37:04.212+08</t>
  </si>
  <si>
    <t>2025-09-10T13:37:53.363+08</t>
  </si>
  <si>
    <t>H019589029</t>
  </si>
  <si>
    <t>uuid:238cbf3a-c073-4dfe-9363-6f419f794548</t>
  </si>
  <si>
    <t>2025-09-10T07:25:37.523Z</t>
  </si>
  <si>
    <t>2025-09-10T14:32:22.363+08</t>
  </si>
  <si>
    <t>2025-09-10T14:44:51.748+08</t>
  </si>
  <si>
    <t>H019506031</t>
  </si>
  <si>
    <t>uuid:96f83a01-5764-4312-9a1c-5d9f37f650c8</t>
  </si>
  <si>
    <t>2025-09-29T09:20:30.286Z</t>
  </si>
  <si>
    <t>2025-09-29T09:24:38.247+08</t>
  </si>
  <si>
    <t>2025-09-29T09:54:48.381+08</t>
  </si>
  <si>
    <t>H019423022</t>
  </si>
  <si>
    <t>uuid:2d122893-6348-4a81-82b4-f8bf18af5c4e</t>
  </si>
  <si>
    <t>2025-09-10T10:13:37.994Z</t>
  </si>
  <si>
    <t>2025-09-10T11:54:48.465+08</t>
  </si>
  <si>
    <t>2025-09-10T12:54:08.769+08</t>
  </si>
  <si>
    <t>H006689023</t>
  </si>
  <si>
    <t>uuid:3efa8bb9-054f-49ef-9e0e-618ad75b976d</t>
  </si>
  <si>
    <t>2025-09-10T10:13:39.564Z</t>
  </si>
  <si>
    <t>2025-09-10T13:11:40.734+08</t>
  </si>
  <si>
    <t>2025-09-10T14:17:04.690+08</t>
  </si>
  <si>
    <t>H006689025</t>
  </si>
  <si>
    <t>uuid:c2e38c76-4b97-482b-82d6-29603cbb4b80</t>
  </si>
  <si>
    <t>2025-09-10T10:41:36.701Z</t>
  </si>
  <si>
    <t>2025-09-10T11:22:57.970+08</t>
  </si>
  <si>
    <t>2025-09-10T12:36:45.297+08</t>
  </si>
  <si>
    <t>H006863029</t>
  </si>
  <si>
    <t>uuid:ca23e20c-d4a9-43da-8866-11e11d36fa74</t>
  </si>
  <si>
    <t>2025-09-13T09:56:23.081Z</t>
  </si>
  <si>
    <t>2025-09-13T07:25:27.037+08</t>
  </si>
  <si>
    <t>2025-09-13T09:14:46.830+08</t>
  </si>
  <si>
    <t>H006863026</t>
  </si>
  <si>
    <t>uuid:2d1475cf-2682-4df3-99f6-7cd4686a103e</t>
  </si>
  <si>
    <t>2025-09-10T10:41:50.841Z</t>
  </si>
  <si>
    <t>2025-09-10T13:13:11.631+08</t>
  </si>
  <si>
    <t>2025-09-10T15:19:04.280+08</t>
  </si>
  <si>
    <t>H006863019</t>
  </si>
  <si>
    <t>uuid:151ef974-cb72-40a2-a916-4ced22b64a06</t>
  </si>
  <si>
    <t>2025-09-10T10:44:31.112Z</t>
  </si>
  <si>
    <t>2025-09-10T11:48:45.886+08</t>
  </si>
  <si>
    <t>2025-09-10T12:39:37.813+08</t>
  </si>
  <si>
    <t>H006689029</t>
  </si>
  <si>
    <t>uuid:73907c2e-7ac6-4313-9aba-50ad2e504683</t>
  </si>
  <si>
    <t>2025-09-10T10:44:45.677Z</t>
  </si>
  <si>
    <t>2025-09-10T13:10:17.265+08</t>
  </si>
  <si>
    <t>2025-09-10T14:56:01.895+08</t>
  </si>
  <si>
    <t>H006689030</t>
  </si>
  <si>
    <t>uuid:7dfa8d75-cf26-45b0-ab02-090abd72024e</t>
  </si>
  <si>
    <t>2025-09-10T10:44:48.243Z</t>
  </si>
  <si>
    <t>2025-09-10T11:08:05.201+08</t>
  </si>
  <si>
    <t>2025-09-10T13:09:47.825+08</t>
  </si>
  <si>
    <t>H030195021</t>
  </si>
  <si>
    <t>uuid:2e4efa59-dba2-46cb-9b26-3094ed39d5ae</t>
  </si>
  <si>
    <t>2025-09-10T10:44:48.487Z</t>
  </si>
  <si>
    <t>2025-09-10T11:37:24.551+08</t>
  </si>
  <si>
    <t>2025-09-10T12:40:10.215+08</t>
  </si>
  <si>
    <t>H006863028</t>
  </si>
  <si>
    <t>uuid:ac480460-6aca-4956-9475-847208fa5f19</t>
  </si>
  <si>
    <t>2025-09-11T09:09:46.473Z</t>
  </si>
  <si>
    <t>2025-09-11T09:16:22.776+08</t>
  </si>
  <si>
    <t>2025-09-11T10:30:19.225+08</t>
  </si>
  <si>
    <t>H030195016</t>
  </si>
  <si>
    <t>uuid:d2d1bb59-b792-4809-8727-1dd2a769f472</t>
  </si>
  <si>
    <t>2025-09-11T10:11:07.764Z</t>
  </si>
  <si>
    <t>2025-09-11T09:15:51.573+08</t>
  </si>
  <si>
    <t>2025-09-11T11:41:19.898+08</t>
  </si>
  <si>
    <t>H030195017</t>
  </si>
  <si>
    <t>uuid:961310f1-4a30-43be-a215-c1bb5be9e86f</t>
  </si>
  <si>
    <t>2025-09-10T10:44:53.914Z</t>
  </si>
  <si>
    <t>2025-09-10T12:53:36.766+08</t>
  </si>
  <si>
    <t>2025-09-10T14:16:54.169+08</t>
  </si>
  <si>
    <t>H006863033</t>
  </si>
  <si>
    <t>uuid:b9d792a9-7c15-429b-b438-64c7b75eb502</t>
  </si>
  <si>
    <t>2025-09-11T10:03:51.805Z</t>
  </si>
  <si>
    <t>2025-09-11T09:00:26.905+08</t>
  </si>
  <si>
    <t>2025-09-11T17:47:05.137+08</t>
  </si>
  <si>
    <t>H030195022</t>
  </si>
  <si>
    <t>uuid:8adf0d64-e565-407f-9e4a-86705fb67be6</t>
  </si>
  <si>
    <t>2025-09-11T10:24:23.992Z</t>
  </si>
  <si>
    <t>2025-09-11T08:53:22.930+08</t>
  </si>
  <si>
    <t>2025-09-11T18:14:28.869+08</t>
  </si>
  <si>
    <t>H030195023</t>
  </si>
  <si>
    <t>uuid:79bd1f0d-b671-4318-8b2d-1c424e9b3502</t>
  </si>
  <si>
    <t>2025-09-10T10:56:15.211Z</t>
  </si>
  <si>
    <t>2025-09-10T11:59:16.766+08</t>
  </si>
  <si>
    <t>2025-09-10T18:54:16.190+08</t>
  </si>
  <si>
    <t>H030195032</t>
  </si>
  <si>
    <t>uuid:e541a489-2a09-432f-b052-8c26d088325c</t>
  </si>
  <si>
    <t>2025-09-11T09:09:47.753Z</t>
  </si>
  <si>
    <t>2025-09-11T11:29:29.479+08</t>
  </si>
  <si>
    <t>2025-09-11T17:08:26.161+08</t>
  </si>
  <si>
    <t>H030195035</t>
  </si>
  <si>
    <t>uuid:2d2266df-bc7a-45f9-ba38-420be9ae8c2a</t>
  </si>
  <si>
    <t>2025-09-10T11:01:39.906Z</t>
  </si>
  <si>
    <t>2025-09-10T11:16:55.859+08</t>
  </si>
  <si>
    <t>2025-09-10T12:44:51.844+08</t>
  </si>
  <si>
    <t>H030195019</t>
  </si>
  <si>
    <t>uuid:51fb35a9-d917-48b8-bef4-e13e3befe4b9</t>
  </si>
  <si>
    <t>2025-09-10T11:01:42.146Z</t>
  </si>
  <si>
    <t>2025-09-10T13:43:04.725+08</t>
  </si>
  <si>
    <t>2025-09-10T13:44:53.248+08</t>
  </si>
  <si>
    <t>H030195024</t>
  </si>
  <si>
    <t>uuid:e3612350-8fcd-4a40-a27b-9b3ec3660d12</t>
  </si>
  <si>
    <t>2025-09-11T10:03:50.791Z</t>
  </si>
  <si>
    <t>2025-09-11T10:21:29.555+08</t>
  </si>
  <si>
    <t>2025-09-11T17:33:13.709+08</t>
  </si>
  <si>
    <t>H030195025</t>
  </si>
  <si>
    <t>uuid:c76211e5-f4d7-4325-a73c-efd3c93a3102</t>
  </si>
  <si>
    <t>2025-09-10T11:03:45.741Z</t>
  </si>
  <si>
    <t>2025-09-10T12:38:06.617+08</t>
  </si>
  <si>
    <t>2025-09-10T13:52:43.854+08</t>
  </si>
  <si>
    <t>H030373026</t>
  </si>
  <si>
    <t>uuid:3aef33e7-eba2-4d88-b29f-43ece70c3755</t>
  </si>
  <si>
    <t>2025-09-10T11:03:49.064Z</t>
  </si>
  <si>
    <t>2025-09-10T10:59:10.288+08</t>
  </si>
  <si>
    <t>2025-09-10T12:18:41.562+08</t>
  </si>
  <si>
    <t>H030373023</t>
  </si>
  <si>
    <t>uuid:211f1c1f-09d9-48b5-97dd-e546b7bfc7ff</t>
  </si>
  <si>
    <t>2025-09-10T11:04:58.665Z</t>
  </si>
  <si>
    <t>2025-09-10T12:04:30.003+08</t>
  </si>
  <si>
    <t>2025-09-10T13:24:09.141+08</t>
  </si>
  <si>
    <t>H006689024</t>
  </si>
  <si>
    <t>uuid:63d92ed5-8ab2-4c28-ae53-47483c4cd6b0</t>
  </si>
  <si>
    <t>2025-09-10T11:05:19.747Z</t>
  </si>
  <si>
    <t>2025-09-10T13:53:17.818+08</t>
  </si>
  <si>
    <t>2025-09-10T15:09:35.877+08</t>
  </si>
  <si>
    <t>H006689033</t>
  </si>
  <si>
    <t>uuid:91b43d89-ce5a-4ddd-a0f8-cb62d91234b8</t>
  </si>
  <si>
    <t>2025-09-10T11:09:11.851Z</t>
  </si>
  <si>
    <t>2025-09-10T11:28:10.628+08</t>
  </si>
  <si>
    <t>2025-09-10T12:43:21.658+08</t>
  </si>
  <si>
    <t>H006863035</t>
  </si>
  <si>
    <t>uuid:750beacb-ade7-4e6d-b802-1b32453a28d2</t>
  </si>
  <si>
    <t>2025-09-10T11:09:13.410Z</t>
  </si>
  <si>
    <t>2025-09-10T13:12:10.525+08</t>
  </si>
  <si>
    <t>2025-09-10T14:39:32.828+08</t>
  </si>
  <si>
    <t>H006863017</t>
  </si>
  <si>
    <t>uuid:1d41a681-e4fb-4f05-8a4f-4d04a82a6373</t>
  </si>
  <si>
    <t>2025-09-10T11:15:21.729Z</t>
  </si>
  <si>
    <t>2025-09-10T10:58:14.539+08</t>
  </si>
  <si>
    <t>2025-09-10T12:19:45.016+08</t>
  </si>
  <si>
    <t>H030373031</t>
  </si>
  <si>
    <t>uuid:2246c277-951e-46ba-aafa-6117cdfc9432</t>
  </si>
  <si>
    <t>2025-09-10T11:23:08.459Z</t>
  </si>
  <si>
    <t>2025-09-10T11:01:59.553+08</t>
  </si>
  <si>
    <t>2025-09-10T12:07:33.150+08</t>
  </si>
  <si>
    <t>H030373016</t>
  </si>
  <si>
    <t>uuid:fc30d359-1072-4c91-aca8-8c457b591c63</t>
  </si>
  <si>
    <t>2025-10-01T11:04:05.992Z</t>
  </si>
  <si>
    <t>2025-10-01T11:03:17.665+08</t>
  </si>
  <si>
    <t>2025-10-01T12:03:54.849+08</t>
  </si>
  <si>
    <t>H030373018</t>
  </si>
  <si>
    <t>uuid:9768ba1d-92c6-499b-b60d-6262373f1ebb</t>
  </si>
  <si>
    <t>2025-09-10T11:28:44.564Z</t>
  </si>
  <si>
    <t>2025-09-10T11:12:12.734+08</t>
  </si>
  <si>
    <t>2025-09-10T12:14:04.936+08</t>
  </si>
  <si>
    <t>H006863016</t>
  </si>
  <si>
    <t>uuid:fad7086c-e068-47c9-b8a7-2c8693dd2c61</t>
  </si>
  <si>
    <t>2025-09-13T09:56:24.041Z</t>
  </si>
  <si>
    <t>2025-09-13T08:05:29.000+08</t>
  </si>
  <si>
    <t>2025-09-13T11:45:38.743+08</t>
  </si>
  <si>
    <t>H006863020</t>
  </si>
  <si>
    <t>uuid:cf88e179-60d3-4dea-b546-e1c217719724</t>
  </si>
  <si>
    <t>2025-09-10T11:28:48.191Z</t>
  </si>
  <si>
    <t>2025-09-10T12:33:20.767+08</t>
  </si>
  <si>
    <t>2025-09-10T13:13:31.087+08</t>
  </si>
  <si>
    <t>H006863018</t>
  </si>
  <si>
    <t>uuid:cb306432-ed9d-47bd-b241-ff3950e56882</t>
  </si>
  <si>
    <t>2025-09-11T10:11:10.863Z</t>
  </si>
  <si>
    <t>2025-09-11T11:47:26.116+08</t>
  </si>
  <si>
    <t>2025-09-11T17:25:48.772+08</t>
  </si>
  <si>
    <t>H030195034</t>
  </si>
  <si>
    <t>uuid:6089345c-ed66-4aaf-a3a0-6299dcc5cbb5</t>
  </si>
  <si>
    <t>2025-09-11T10:11:09.960Z</t>
  </si>
  <si>
    <t>2025-09-11T13:29:49.781+08</t>
  </si>
  <si>
    <t>2025-09-11T17:12:46.077+08</t>
  </si>
  <si>
    <t>H030195029</t>
  </si>
  <si>
    <t>uuid:bb0a5b0c-0d9d-4926-93b4-5a680d823a49</t>
  </si>
  <si>
    <t>2025-09-10T12:12:13.721Z</t>
  </si>
  <si>
    <t>2025-09-10T11:26:24.081+08</t>
  </si>
  <si>
    <t>2025-09-10T14:38:23.061+08</t>
  </si>
  <si>
    <t>H030195030</t>
  </si>
  <si>
    <t>uuid:a6334215-29d5-4889-bd9b-abbf9c795a44</t>
  </si>
  <si>
    <t>2025-09-11T04:43:00.415Z</t>
  </si>
  <si>
    <t>2025-09-11T08:32:23.048+08</t>
  </si>
  <si>
    <t>2025-09-11T09:42:07.243+08</t>
  </si>
  <si>
    <t>H006817034</t>
  </si>
  <si>
    <t>uuid:b869559d-d597-428c-9b2a-c73760b9aaf3</t>
  </si>
  <si>
    <t>2025-09-11T04:48:11.329Z</t>
  </si>
  <si>
    <t>2025-09-11T10:51:27.164+08</t>
  </si>
  <si>
    <t>2025-09-11T12:14:56.601+08</t>
  </si>
  <si>
    <t>H006817005</t>
  </si>
  <si>
    <t>uuid:b1e4a5cc-3fda-4588-85d0-ae407a761862</t>
  </si>
  <si>
    <t>2025-09-11T10:03:52.588Z</t>
  </si>
  <si>
    <t>2025-09-11T12:03:15.927+08</t>
  </si>
  <si>
    <t>2025-09-11T17:53:08.624+08</t>
  </si>
  <si>
    <t>H030195027</t>
  </si>
  <si>
    <t>uuid:d1e04b12-d981-4143-90b9-86443cee53f4</t>
  </si>
  <si>
    <t>2025-09-11T10:04:21.483Z</t>
  </si>
  <si>
    <t>2025-09-11T09:22:12.710+08</t>
  </si>
  <si>
    <t>2025-09-11T10:42:52.072+08</t>
  </si>
  <si>
    <t>H030373028</t>
  </si>
  <si>
    <t>uuid:871069df-0ae7-49e2-a339-3818817d5872</t>
  </si>
  <si>
    <t>2025-10-01T11:04:07.031Z</t>
  </si>
  <si>
    <t>2025-10-01T12:54:15.659+08</t>
  </si>
  <si>
    <t>2025-10-01T13:42:34.791+08</t>
  </si>
  <si>
    <t>H030373020</t>
  </si>
  <si>
    <t>uuid:3873a073-240b-40db-9854-08224504b622</t>
  </si>
  <si>
    <t>2025-09-11T10:04:26.956Z</t>
  </si>
  <si>
    <t>2025-09-11T11:20:09.868+08</t>
  </si>
  <si>
    <t>2025-09-11T13:10:49.212+08</t>
  </si>
  <si>
    <t>H030373030</t>
  </si>
  <si>
    <t>uuid:925a6a77-6cfc-43ae-a269-ab80e17f75cb</t>
  </si>
  <si>
    <t>2025-09-11T10:07:51.163Z</t>
  </si>
  <si>
    <t>2025-09-11T13:07:40.161+08</t>
  </si>
  <si>
    <t>2025-09-11T13:40:44.968+08</t>
  </si>
  <si>
    <t>H030373017</t>
  </si>
  <si>
    <t>uuid:6463363b-45fe-4e49-8cd8-5efa299266f6</t>
  </si>
  <si>
    <t>2025-09-11T10:07:55.425Z</t>
  </si>
  <si>
    <t>2025-09-11T11:26:06.879+08</t>
  </si>
  <si>
    <t>2025-09-11T12:28:30.284+08</t>
  </si>
  <si>
    <t>H030373021</t>
  </si>
  <si>
    <t>uuid:d1e660aa-dd1d-4b6d-9f32-52c448727a83</t>
  </si>
  <si>
    <t>2025-09-11T10:07:58.807Z</t>
  </si>
  <si>
    <t>2025-09-11T09:25:52.689+08</t>
  </si>
  <si>
    <t>2025-09-11T10:34:29.246+08</t>
  </si>
  <si>
    <t>H030373034</t>
  </si>
  <si>
    <t>uuid:37cd0064-1964-432f-ac5a-ca63e48a9947</t>
  </si>
  <si>
    <t>2025-09-11T10:11:18.473Z</t>
  </si>
  <si>
    <t>2025-09-11T09:08:45.813+08</t>
  </si>
  <si>
    <t>2025-09-11T10:50:03.558+08</t>
  </si>
  <si>
    <t>H004541028</t>
  </si>
  <si>
    <t>uuid:b5dbcf45-99c3-4c63-8ca2-ac23bd90c17d</t>
  </si>
  <si>
    <t>2025-09-11T10:11:20.481Z</t>
  </si>
  <si>
    <t>2025-09-11T10:57:29.514+08</t>
  </si>
  <si>
    <t>2025-09-11T11:57:00.537+08</t>
  </si>
  <si>
    <t>H004541025</t>
  </si>
  <si>
    <t>uuid:5fbb9114-7044-497d-b185-e87ae87ddf02</t>
  </si>
  <si>
    <t>2025-09-11T10:11:28.179Z</t>
  </si>
  <si>
    <t>2025-09-11T12:00:16.418+08</t>
  </si>
  <si>
    <t>2025-09-11T12:50:03.750+08</t>
  </si>
  <si>
    <t>H004541027</t>
  </si>
  <si>
    <t>uuid:347ac5ac-8176-4734-bb81-3e78d46379db</t>
  </si>
  <si>
    <t>2025-09-11T10:11:32.405Z</t>
  </si>
  <si>
    <t>2025-09-11T13:03:37.504+08</t>
  </si>
  <si>
    <t>2025-09-11T14:25:12.181+08</t>
  </si>
  <si>
    <t>H004541019</t>
  </si>
  <si>
    <t>uuid:a7698aeb-0e6d-4f42-a071-4ff7f8723522</t>
  </si>
  <si>
    <t>2025-09-11T10:12:55.128Z</t>
  </si>
  <si>
    <t>2025-09-11T10:03:44.390+08</t>
  </si>
  <si>
    <t>2025-09-11T10:56:27.615+08</t>
  </si>
  <si>
    <t>H004541026</t>
  </si>
  <si>
    <t>uuid:48902151-9d19-4e93-8473-701dd032bc56</t>
  </si>
  <si>
    <t>2025-09-11T10:12:55.865Z</t>
  </si>
  <si>
    <t>2025-09-11T11:09:47.359+08</t>
  </si>
  <si>
    <t>2025-09-11T12:53:54.440+08</t>
  </si>
  <si>
    <t>H004541033</t>
  </si>
  <si>
    <t>uuid:8c6545c6-3451-46fb-af4c-7a8eb5cb7bbb</t>
  </si>
  <si>
    <t>2025-09-11T10:12:57.280Z</t>
  </si>
  <si>
    <t>2025-09-11T13:01:28.234+08</t>
  </si>
  <si>
    <t>2025-09-11T15:13:43.868+08</t>
  </si>
  <si>
    <t>H004541018</t>
  </si>
  <si>
    <t>uuid:a02b5d03-ccd9-451a-9ee3-e7933544d753</t>
  </si>
  <si>
    <t>2025-09-11T10:12:56.614Z</t>
  </si>
  <si>
    <t>2025-09-11T08:59:06.822+08</t>
  </si>
  <si>
    <t>2025-09-11T12:54:46.923+08</t>
  </si>
  <si>
    <t>H004541030</t>
  </si>
  <si>
    <t>uuid:b597749e-56bc-4785-b6b3-54b7b0d1619e</t>
  </si>
  <si>
    <t>2025-09-14T10:34:07.823Z</t>
  </si>
  <si>
    <t>2025-09-14T09:20:25.085+08</t>
  </si>
  <si>
    <t>2025-09-14T13:25:31.578+08</t>
  </si>
  <si>
    <t>H004541034</t>
  </si>
  <si>
    <t>uuid:d3551056-e851-441c-a335-914a2ea7a31d</t>
  </si>
  <si>
    <t>2025-09-11T10:21:48.137Z</t>
  </si>
  <si>
    <t>2025-09-11T08:36:00.123+08</t>
  </si>
  <si>
    <t>2025-09-11T09:43:15.201+08</t>
  </si>
  <si>
    <t>H006233024</t>
  </si>
  <si>
    <t>uuid:bab8754f-fee0-42e9-80aa-3b5f3446d410</t>
  </si>
  <si>
    <t>2025-09-11T10:21:54.673Z</t>
  </si>
  <si>
    <t>2025-09-11T10:13:57.532+08</t>
  </si>
  <si>
    <t>2025-09-11T11:13:27.865+08</t>
  </si>
  <si>
    <t>H006233032</t>
  </si>
  <si>
    <t>uuid:94bd19fb-cc11-4bed-b559-9006dc05415a</t>
  </si>
  <si>
    <t>2025-09-11T10:24:25.476Z</t>
  </si>
  <si>
    <t>2025-09-11T10:07:31.619+08</t>
  </si>
  <si>
    <t>2025-09-11T18:22:04.535+08</t>
  </si>
  <si>
    <t>H030195026</t>
  </si>
  <si>
    <t>uuid:b260433a-4d09-4f56-9aa3-8f739f5cc728</t>
  </si>
  <si>
    <t>2025-09-12T10:18:52.718Z</t>
  </si>
  <si>
    <t>2025-09-11T12:47:45.721+08</t>
  </si>
  <si>
    <t>2025-09-12T06:14:16.155+08</t>
  </si>
  <si>
    <t>H004541020</t>
  </si>
  <si>
    <t>uuid:6d7d41de-48eb-4e8d-b62c-d5337a79e3fb</t>
  </si>
  <si>
    <t>2025-09-11T10:29:09.814Z</t>
  </si>
  <si>
    <t>2025-09-11T11:24:52.440+08</t>
  </si>
  <si>
    <t>2025-09-11T12:28:29.431+08</t>
  </si>
  <si>
    <t>H004541021</t>
  </si>
  <si>
    <t>uuid:9162a55a-f1f4-4ad3-872a-20df1bfda6b2</t>
  </si>
  <si>
    <t>2025-09-14T10:34:05.312Z</t>
  </si>
  <si>
    <t>2025-09-14T11:06:22.282+08</t>
  </si>
  <si>
    <t>2025-09-14T13:24:11.348+08</t>
  </si>
  <si>
    <t>H004541032</t>
  </si>
  <si>
    <t>uuid:7d25bb29-7a0a-463d-aed3-be9a5edaea3b</t>
  </si>
  <si>
    <t>2025-09-11T10:29:12.171Z</t>
  </si>
  <si>
    <t>2025-09-11T13:53:36.203+08</t>
  </si>
  <si>
    <t>2025-09-11T15:04:15.476+08</t>
  </si>
  <si>
    <t>H004541031</t>
  </si>
  <si>
    <t>uuid:d516cf24-d3d5-48fd-8dc2-2dc7681e262d</t>
  </si>
  <si>
    <t>2025-09-11T10:29:13.486Z</t>
  </si>
  <si>
    <t>2025-09-11T09:24:26.013+08</t>
  </si>
  <si>
    <t>2025-09-11T10:36:20.941+08</t>
  </si>
  <si>
    <t>H004541022</t>
  </si>
  <si>
    <t>uuid:e1c4a0ed-046e-45fd-9bb0-57f132b45e22</t>
  </si>
  <si>
    <t>2025-09-11T10:58:26.137Z</t>
  </si>
  <si>
    <t>2025-09-11T12:54:34.119+08</t>
  </si>
  <si>
    <t>2025-09-11T13:37:44.729+08</t>
  </si>
  <si>
    <t>H006233016</t>
  </si>
  <si>
    <t>uuid:91f578e7-9711-4a11-b17c-8b340ae7e785</t>
  </si>
  <si>
    <t>2025-09-11T10:58:28.763Z</t>
  </si>
  <si>
    <t>2025-09-11T09:36:19.916+08</t>
  </si>
  <si>
    <t>2025-09-11T10:50:32.514+08</t>
  </si>
  <si>
    <t>H006233080</t>
  </si>
  <si>
    <t>uuid:5a21d786-1aed-41c6-8121-5802b87a2a47</t>
  </si>
  <si>
    <t>2025-09-11T10:58:30.275Z</t>
  </si>
  <si>
    <t>2025-09-11T07:59:33.723+08</t>
  </si>
  <si>
    <t>2025-09-11T08:59:39.861+08</t>
  </si>
  <si>
    <t>H006233082</t>
  </si>
  <si>
    <t>uuid:c23669d4-a18d-4b21-9fcf-7580fbf6fc48</t>
  </si>
  <si>
    <t>2025-09-11T10:59:53.602Z</t>
  </si>
  <si>
    <t>2025-09-11T09:35:34.767+08</t>
  </si>
  <si>
    <t>2025-09-11T10:54:58.579+08</t>
  </si>
  <si>
    <t>H004579031</t>
  </si>
  <si>
    <t>uuid:953fb064-2342-42f4-9ffe-c03badc2f5d6</t>
  </si>
  <si>
    <t>2025-09-11T10:59:54.959Z</t>
  </si>
  <si>
    <t>2025-09-11T11:25:37.684+08</t>
  </si>
  <si>
    <t>2025-09-11T12:48:19.395+08</t>
  </si>
  <si>
    <t>H004579018</t>
  </si>
  <si>
    <t>uuid:c654ae21-8be6-4e40-bdef-4a3de0fdfc37</t>
  </si>
  <si>
    <t>2025-09-11T10:59:57.808Z</t>
  </si>
  <si>
    <t>2025-09-11T15:04:35.911+08</t>
  </si>
  <si>
    <t>2025-09-11T16:26:58.691+08</t>
  </si>
  <si>
    <t>H004579032</t>
  </si>
  <si>
    <t>uuid:63da9c68-f5db-461d-b0ee-6e092bfbc026</t>
  </si>
  <si>
    <t>2025-09-11T11:00:01.091Z</t>
  </si>
  <si>
    <t>2025-09-11T13:06:31.445+08</t>
  </si>
  <si>
    <t>2025-09-11T14:38:30.571+08</t>
  </si>
  <si>
    <t>H004579023</t>
  </si>
  <si>
    <t>uuid:8f2af162-0044-4ce9-b4b5-c08ddbd35c76</t>
  </si>
  <si>
    <t>2025-09-11T11:01:08.901Z</t>
  </si>
  <si>
    <t>2025-09-11T09:37:55.513+08</t>
  </si>
  <si>
    <t>2025-09-11T10:43:02.815+08</t>
  </si>
  <si>
    <t>H004579019</t>
  </si>
  <si>
    <t>uuid:3630920e-f354-491f-bbe9-dbdd0b68b4b8</t>
  </si>
  <si>
    <t>2025-09-11T11:01:11.210Z</t>
  </si>
  <si>
    <t>2025-09-11T10:53:44.405+08</t>
  </si>
  <si>
    <t>2025-09-11T12:04:46.850+08</t>
  </si>
  <si>
    <t>H004579017</t>
  </si>
  <si>
    <t>uuid:303f70b7-bdc0-41c8-bb78-4e1e464abb66</t>
  </si>
  <si>
    <t>2025-09-11T11:01:13.091Z</t>
  </si>
  <si>
    <t>2025-09-11T15:45:43.739+08</t>
  </si>
  <si>
    <t>2025-09-11T16:42:38.148+08</t>
  </si>
  <si>
    <t>H004579016</t>
  </si>
  <si>
    <t>uuid:cc98013a-c528-44b5-9411-e08c8f550736</t>
  </si>
  <si>
    <t>2025-09-24T08:56:47.132Z</t>
  </si>
  <si>
    <t>2025-09-24T08:33:16.121+08</t>
  </si>
  <si>
    <t>2025-09-24T09:28:48.639+08</t>
  </si>
  <si>
    <t>H004579024</t>
  </si>
  <si>
    <t>uuid:ed4b94d9-8dd1-42d3-88bf-03ad60bd027f</t>
  </si>
  <si>
    <t>2025-09-24T08:57:02.197Z</t>
  </si>
  <si>
    <t>2025-09-24T11:34:40.312+08</t>
  </si>
  <si>
    <t>2025-09-24T12:07:57.816+08</t>
  </si>
  <si>
    <t>H004579027</t>
  </si>
  <si>
    <t>uuid:4de14e6d-e309-4140-90d9-e597cce67e16</t>
  </si>
  <si>
    <t>2025-09-11T11:08:23.145Z</t>
  </si>
  <si>
    <t>2025-09-11T08:36:20.175+08</t>
  </si>
  <si>
    <t>2025-09-11T09:49:13.116+08</t>
  </si>
  <si>
    <t>H006817028</t>
  </si>
  <si>
    <t>uuid:e3d78683-72ca-4639-a900-6accdb98eb57</t>
  </si>
  <si>
    <t>2025-09-11T11:08:25.726Z</t>
  </si>
  <si>
    <t>2025-09-11T11:13:35.565+08</t>
  </si>
  <si>
    <t>2025-09-11T11:59:29.634+08</t>
  </si>
  <si>
    <t>H006817004</t>
  </si>
  <si>
    <t>uuid:f8835e4a-6d27-4b59-8200-fcf8f2837c9a</t>
  </si>
  <si>
    <t>2025-09-11T11:08:27.205Z</t>
  </si>
  <si>
    <t>2025-09-11T12:11:18.415+08</t>
  </si>
  <si>
    <t>2025-09-11T13:03:32.829+08</t>
  </si>
  <si>
    <t>H006817016</t>
  </si>
  <si>
    <t>uuid:9967bcdb-ef81-4bf6-8cff-a0f69ea033f9</t>
  </si>
  <si>
    <t>2025-09-11T11:10:07.365Z</t>
  </si>
  <si>
    <t>2025-09-11T13:44:18.496+08</t>
  </si>
  <si>
    <t>2025-09-11T14:41:21.733+08</t>
  </si>
  <si>
    <t>H006817030</t>
  </si>
  <si>
    <t>uuid:1d5bdfc6-e1bc-4580-84ca-329a36f3108b</t>
  </si>
  <si>
    <t>2025-09-11T11:12:39.696Z</t>
  </si>
  <si>
    <t>2025-09-11T09:19:54.508+08</t>
  </si>
  <si>
    <t>2025-09-11T10:20:48.138+08</t>
  </si>
  <si>
    <t>H030373025</t>
  </si>
  <si>
    <t>uuid:fdfe0aa9-7f3b-42e3-baf1-7d559441a69d</t>
  </si>
  <si>
    <t>2025-09-11T11:12:52.339Z</t>
  </si>
  <si>
    <t>2025-09-11T11:48:04.976+08</t>
  </si>
  <si>
    <t>2025-09-11T13:04:54.926+08</t>
  </si>
  <si>
    <t>H030373015</t>
  </si>
  <si>
    <t>uuid:407abe28-6e47-4e51-ac75-68f39c31fa7a</t>
  </si>
  <si>
    <t>2025-09-11T11:15:07.714Z</t>
  </si>
  <si>
    <t>2025-09-11T13:36:39.593+08</t>
  </si>
  <si>
    <t>2025-09-11T15:40:35.294+08</t>
  </si>
  <si>
    <t>H030373035</t>
  </si>
  <si>
    <t>uuid:9a6840f2-0322-4c68-bc70-c2dbfb8dfd8e</t>
  </si>
  <si>
    <t>2025-09-11T11:17:06.184Z</t>
  </si>
  <si>
    <t>2025-09-11T08:36:00.474+08</t>
  </si>
  <si>
    <t>2025-09-11T09:57:38.719+08</t>
  </si>
  <si>
    <t>H006817027</t>
  </si>
  <si>
    <t>uuid:609c070b-ae5c-4cac-9f30-2fc0432d3010</t>
  </si>
  <si>
    <t>2025-09-11T11:17:08.985Z</t>
  </si>
  <si>
    <t>2025-09-11T11:27:13.889+08</t>
  </si>
  <si>
    <t>2025-09-11T12:38:11.867+08</t>
  </si>
  <si>
    <t>H006817020</t>
  </si>
  <si>
    <t>uuid:cc566737-35d0-406a-ad55-cfe8862cbdfa</t>
  </si>
  <si>
    <t>2025-09-11T11:17:11.039Z</t>
  </si>
  <si>
    <t>2025-09-11T13:44:32.540+08</t>
  </si>
  <si>
    <t>2025-09-11T14:46:15.185+08</t>
  </si>
  <si>
    <t>H006817029</t>
  </si>
  <si>
    <t>uuid:4677ffdf-8a11-43e9-b70f-e0ad8751e2f6</t>
  </si>
  <si>
    <t>2025-09-11T11:23:01.798Z</t>
  </si>
  <si>
    <t>2025-09-11T08:41:42.981+08</t>
  </si>
  <si>
    <t>2025-09-11T09:44:36.591+08</t>
  </si>
  <si>
    <t>H006233023</t>
  </si>
  <si>
    <t>uuid:94b15801-8fa2-44ea-9de9-4e26a6db1ae5</t>
  </si>
  <si>
    <t>2025-09-11T11:23:05.087Z</t>
  </si>
  <si>
    <t>2025-09-11T09:57:36.862+08</t>
  </si>
  <si>
    <t>2025-09-11T10:55:50.596+08</t>
  </si>
  <si>
    <t>H006233026</t>
  </si>
  <si>
    <t>uuid:258e61e8-6d96-4d59-8dd2-cf694374af52</t>
  </si>
  <si>
    <t>2025-09-11T11:23:08.275Z</t>
  </si>
  <si>
    <t>2025-09-11T11:15:32.680+08</t>
  </si>
  <si>
    <t>2025-09-11T12:32:30.068+08</t>
  </si>
  <si>
    <t>H006233027</t>
  </si>
  <si>
    <t>uuid:81375c71-fb68-41b6-9f87-8584ef615393</t>
  </si>
  <si>
    <t>2025-09-11T12:12:29.303Z</t>
  </si>
  <si>
    <t>2025-09-11T09:37:55.958+08</t>
  </si>
  <si>
    <t>2025-09-11T11:13:06.835+08</t>
  </si>
  <si>
    <t>H004579030</t>
  </si>
  <si>
    <t>uuid:40a3ebb5-2c81-42e3-9966-616c61c253e3</t>
  </si>
  <si>
    <t>2025-09-11T12:12:31.659Z</t>
  </si>
  <si>
    <t>2025-09-11T11:37:30.963+08</t>
  </si>
  <si>
    <t>2025-09-11T12:44:59.748+08</t>
  </si>
  <si>
    <t>H004579020</t>
  </si>
  <si>
    <t>uuid:10837d13-5d71-4a88-b7bb-da5fb12c7df7</t>
  </si>
  <si>
    <t>2025-09-11T12:12:33.873Z</t>
  </si>
  <si>
    <t>2025-09-11T13:44:38.038+08</t>
  </si>
  <si>
    <t>2025-09-11T14:33:08.693+08</t>
  </si>
  <si>
    <t>H004579026</t>
  </si>
  <si>
    <t>uuid:c6d44a97-9344-40c4-82f7-142bcefb267d</t>
  </si>
  <si>
    <t>2025-09-24T08:56:52.357Z</t>
  </si>
  <si>
    <t>2025-09-24T10:36:01.270+08</t>
  </si>
  <si>
    <t>2025-09-24T11:10:15.237+08</t>
  </si>
  <si>
    <t>H004579022</t>
  </si>
  <si>
    <t>uuid:d117b2c3-0632-4735-9672-eecb66fb64c9</t>
  </si>
  <si>
    <t>2025-09-24T08:57:14.480Z</t>
  </si>
  <si>
    <t>2025-09-24T13:21:23.784+08</t>
  </si>
  <si>
    <t>2025-09-24T13:50:40.826+08</t>
  </si>
  <si>
    <t>H004579029</t>
  </si>
  <si>
    <t>uuid:79638772-5235-4213-abca-2c7167fd4aa9</t>
  </si>
  <si>
    <t>2025-09-11T12:14:23.723Z</t>
  </si>
  <si>
    <t>2025-09-11T08:27:22.230+08</t>
  </si>
  <si>
    <t>2025-09-11T16:44:40.256+08</t>
  </si>
  <si>
    <t>H006817033</t>
  </si>
  <si>
    <t>uuid:3489f802-153e-4377-a6e0-910cb6108fca</t>
  </si>
  <si>
    <t>2025-09-11T12:14:28.656Z</t>
  </si>
  <si>
    <t>2025-09-11T11:27:01.032+08</t>
  </si>
  <si>
    <t>2025-09-11T12:58:20.896+08</t>
  </si>
  <si>
    <t>H006817019</t>
  </si>
  <si>
    <t>uuid:4cede7c9-f097-48da-ae01-3bb472313c0c</t>
  </si>
  <si>
    <t>2025-09-11T12:14:29.823Z</t>
  </si>
  <si>
    <t>2025-09-11T13:57:46.539+08</t>
  </si>
  <si>
    <t>2025-09-11T15:18:06.901+08</t>
  </si>
  <si>
    <t>H006817032</t>
  </si>
  <si>
    <t>uuid:a2c35166-6441-4d5b-9d40-24cc441338ac</t>
  </si>
  <si>
    <t>2025-09-12T04:46:39.522Z</t>
  </si>
  <si>
    <t>2025-09-12T07:45:29.273+08</t>
  </si>
  <si>
    <t>2025-09-12T09:43:09.217+08</t>
  </si>
  <si>
    <t>H006742024</t>
  </si>
  <si>
    <t>uuid:f31731b1-c807-4fc2-af85-5c28708e9269</t>
  </si>
  <si>
    <t>2025-09-12T11:40:00.070Z</t>
  </si>
  <si>
    <t>2025-09-12T12:47:01.013+08</t>
  </si>
  <si>
    <t>2025-09-12T14:30:26.199+08</t>
  </si>
  <si>
    <t>H006742023</t>
  </si>
  <si>
    <t>uuid:f485f622-cb1e-4951-adc1-d588c4df1cf6</t>
  </si>
  <si>
    <t>2025-10-01T09:16:36.917Z</t>
  </si>
  <si>
    <t>2025-10-01T13:11:08.288+08</t>
  </si>
  <si>
    <t>2025-10-01T13:41:44.744+08</t>
  </si>
  <si>
    <t>H004285081</t>
  </si>
  <si>
    <t>uuid:34016bf1-9c14-4b4d-a974-b65ef50c2fd4</t>
  </si>
  <si>
    <t>2025-09-24T10:50:55.322Z</t>
  </si>
  <si>
    <t>2025-09-24T08:23:37.415+08</t>
  </si>
  <si>
    <t>2025-09-24T09:11:08.991+08</t>
  </si>
  <si>
    <t>H004285032</t>
  </si>
  <si>
    <t>uuid:525d78aa-3fdb-46d9-8a6a-48fe349e21c6</t>
  </si>
  <si>
    <t>2025-09-12T08:55:45.273Z</t>
  </si>
  <si>
    <t>2025-09-12T12:17:55.859+08</t>
  </si>
  <si>
    <t>2025-09-12T12:18:42.628+08</t>
  </si>
  <si>
    <t>H004285026</t>
  </si>
  <si>
    <t>uuid:d826e25f-261f-4dff-aeff-5aa32a27b462</t>
  </si>
  <si>
    <t>2025-09-12T08:55:47.121Z</t>
  </si>
  <si>
    <t>2025-09-12T10:55:03.397+08</t>
  </si>
  <si>
    <t>2025-09-12T12:51:15.172+08</t>
  </si>
  <si>
    <t>H004285080</t>
  </si>
  <si>
    <t>uuid:6baca0b9-a72a-4a13-9e3d-e444f33e99cd</t>
  </si>
  <si>
    <t>2025-09-12T08:55:48.116Z</t>
  </si>
  <si>
    <t>2025-09-12T12:57:15.352+08</t>
  </si>
  <si>
    <t>2025-09-12T14:14:06.312+08</t>
  </si>
  <si>
    <t>H004285034</t>
  </si>
  <si>
    <t>uuid:b22884fe-b39d-440a-8775-fd2b840b7cac</t>
  </si>
  <si>
    <t>2025-09-24T10:50:57.293Z</t>
  </si>
  <si>
    <t>2025-09-24T11:21:07.985+08</t>
  </si>
  <si>
    <t>2025-09-24T12:10:16.466+08</t>
  </si>
  <si>
    <t>H004285021</t>
  </si>
  <si>
    <t>uuid:f3448ccb-bc5d-4eff-a8ff-1b1e37651502</t>
  </si>
  <si>
    <t>2025-09-24T10:50:56.332Z</t>
  </si>
  <si>
    <t>2025-09-24T09:45:34.699+08</t>
  </si>
  <si>
    <t>2025-09-24T10:24:09.595+08</t>
  </si>
  <si>
    <t>H004285085</t>
  </si>
  <si>
    <t>uuid:88f04a4a-b12a-483d-935f-72dbf39ccab1</t>
  </si>
  <si>
    <t>2025-09-12T10:08:32.484Z</t>
  </si>
  <si>
    <t>2025-09-12T12:17:43.085+08</t>
  </si>
  <si>
    <t>2025-09-12T13:21:04.598+08</t>
  </si>
  <si>
    <t>H004285025</t>
  </si>
  <si>
    <t>uuid:1923abf5-b20f-4562-addd-f023884dce2d</t>
  </si>
  <si>
    <t>2025-09-24T10:50:58.245Z</t>
  </si>
  <si>
    <t>2025-09-24T17:28:00.293+08</t>
  </si>
  <si>
    <t>2025-09-24T18:11:46.956+08</t>
  </si>
  <si>
    <t>H004285017</t>
  </si>
  <si>
    <t>uuid:d395061d-4e33-49fb-a7f0-a833c17ebfbb</t>
  </si>
  <si>
    <t>2025-09-12T10:08:49.002Z</t>
  </si>
  <si>
    <t>2025-09-12T15:58:11.395+08</t>
  </si>
  <si>
    <t>2025-09-12T16:00:02.013+08</t>
  </si>
  <si>
    <t>H004285084</t>
  </si>
  <si>
    <t>uuid:ea2477ac-9a75-4a25-8220-805d4ec491f3</t>
  </si>
  <si>
    <t>2025-09-12T10:18:53.784Z</t>
  </si>
  <si>
    <t>2025-09-12T08:42:52.865+08</t>
  </si>
  <si>
    <t>2025-09-12T09:43:48.758+08</t>
  </si>
  <si>
    <t>H004285028</t>
  </si>
  <si>
    <t>uuid:6cf0196e-c50f-4eac-a6a2-9bae558cade4</t>
  </si>
  <si>
    <t>2025-09-12T10:18:56.595Z</t>
  </si>
  <si>
    <t>2025-09-12T09:49:13.334+08</t>
  </si>
  <si>
    <t>2025-09-12T11:20:55.248+08</t>
  </si>
  <si>
    <t>H004285022</t>
  </si>
  <si>
    <t>uuid:7f14e7e6-88cc-4901-8a55-8a22c5d3dc9d</t>
  </si>
  <si>
    <t>2025-09-12T10:18:59.486Z</t>
  </si>
  <si>
    <t>2025-09-12T12:04:05.453+08</t>
  </si>
  <si>
    <t>2025-09-12T13:00:50.442+08</t>
  </si>
  <si>
    <t>H004285035</t>
  </si>
  <si>
    <t>uuid:871e3a31-bb72-4992-8a31-c99a2391b653</t>
  </si>
  <si>
    <t>2025-09-12T10:23:20.402Z</t>
  </si>
  <si>
    <t>2025-09-12T09:22:09.295+08</t>
  </si>
  <si>
    <t>2025-09-12T10:06:12.251+08</t>
  </si>
  <si>
    <t>H030774029</t>
  </si>
  <si>
    <t>uuid:717b26f5-3fab-4fbf-a1f3-61ff91a69890</t>
  </si>
  <si>
    <t>2025-09-12T10:23:30.207Z</t>
  </si>
  <si>
    <t>2025-09-12T11:35:14.106+08</t>
  </si>
  <si>
    <t>2025-09-12T13:01:52.137+08</t>
  </si>
  <si>
    <t>H030774025</t>
  </si>
  <si>
    <t>uuid:7ed9805e-5e94-4938-9212-5411ca045db7</t>
  </si>
  <si>
    <t>2025-10-02T11:34:41.088Z</t>
  </si>
  <si>
    <t>2025-10-02T09:46:24.585+08</t>
  </si>
  <si>
    <t>2025-10-02T10:46:58.998+08</t>
  </si>
  <si>
    <t>H030774032</t>
  </si>
  <si>
    <t>uuid:b417060c-5c94-40c2-8af9-ed876f00e86d</t>
  </si>
  <si>
    <t>2025-09-13T10:39:59.641Z</t>
  </si>
  <si>
    <t>2025-09-13T10:40:26.306+08</t>
  </si>
  <si>
    <t>2025-09-13T11:52:15.169+08</t>
  </si>
  <si>
    <t>H030774035</t>
  </si>
  <si>
    <t>uuid:6a361bf4-f4df-46e3-a309-3e799e0aae4b</t>
  </si>
  <si>
    <t>2025-09-12T10:24:56.536Z</t>
  </si>
  <si>
    <t>2025-09-12T09:16:54.038+08</t>
  </si>
  <si>
    <t>2025-09-12T10:46:00.186+08</t>
  </si>
  <si>
    <t>H030774022</t>
  </si>
  <si>
    <t>uuid:ab46cffc-0664-42e0-b7de-0222f088f295</t>
  </si>
  <si>
    <t>2025-09-12T10:24:59.250Z</t>
  </si>
  <si>
    <t>2025-09-12T11:31:57.116+08</t>
  </si>
  <si>
    <t>2025-09-12T12:35:12.068+08</t>
  </si>
  <si>
    <t>H030774023</t>
  </si>
  <si>
    <t>uuid:d96a0f7d-3a56-4c4e-a65c-cb265f702bf9</t>
  </si>
  <si>
    <t>2025-10-02T11:53:00.464Z</t>
  </si>
  <si>
    <t>2025-10-02T11:55:15.905+08</t>
  </si>
  <si>
    <t>2025-10-02T19:48:53.070+08</t>
  </si>
  <si>
    <t>H030774026</t>
  </si>
  <si>
    <t>uuid:883a367f-75dd-4406-80d9-2e0e9eb8869b</t>
  </si>
  <si>
    <t>2025-09-12T10:29:07.977Z</t>
  </si>
  <si>
    <t>2025-09-12T13:23:14.386+08</t>
  </si>
  <si>
    <t>2025-09-12T15:03:30.408+08</t>
  </si>
  <si>
    <t>H006626002</t>
  </si>
  <si>
    <t>uuid:123369fb-f26e-49a8-a03b-c2853151b28e</t>
  </si>
  <si>
    <t>2025-09-13T12:23:21.529Z</t>
  </si>
  <si>
    <t>2025-09-13T08:55:24.132+08</t>
  </si>
  <si>
    <t>2025-09-13T10:47:38.289+08</t>
  </si>
  <si>
    <t>H006626024</t>
  </si>
  <si>
    <t>uuid:ab9c406e-d021-4f04-8626-b48582ff5518</t>
  </si>
  <si>
    <t>2025-09-12T10:29:11.355Z</t>
  </si>
  <si>
    <t>2025-09-12T08:02:49.576+08</t>
  </si>
  <si>
    <t>2025-09-12T09:15:53.616+08</t>
  </si>
  <si>
    <t>H006626019</t>
  </si>
  <si>
    <t>uuid:18bc5bd7-ad4f-4e9a-871e-357024ae01ea</t>
  </si>
  <si>
    <t>2025-09-12T10:29:12.956Z</t>
  </si>
  <si>
    <t>2025-09-12T09:38:55.935+08</t>
  </si>
  <si>
    <t>2025-09-12T10:30:28.746+08</t>
  </si>
  <si>
    <t>H006626016</t>
  </si>
  <si>
    <t>uuid:9c925431-d535-4542-8c16-eee7fd73c260</t>
  </si>
  <si>
    <t>2025-09-12T10:29:14.639Z</t>
  </si>
  <si>
    <t>2025-09-12T10:38:26.495+08</t>
  </si>
  <si>
    <t>2025-09-12T11:50:29.530+08</t>
  </si>
  <si>
    <t>H006626022</t>
  </si>
  <si>
    <t>uuid:60edb4ac-269a-47db-a877-8788794766db</t>
  </si>
  <si>
    <t>2025-09-12T10:29:25.731Z</t>
  </si>
  <si>
    <t>2025-09-12T10:14:11.778+08</t>
  </si>
  <si>
    <t>2025-09-12T11:32:09.877+08</t>
  </si>
  <si>
    <t>H030640020</t>
  </si>
  <si>
    <t>uuid:ee63255d-bca9-47fa-9fba-64e57f373a39</t>
  </si>
  <si>
    <t>2025-09-12T10:29:26.847Z</t>
  </si>
  <si>
    <t>2025-09-12T11:41:07.291+08</t>
  </si>
  <si>
    <t>2025-09-12T12:43:23.752+08</t>
  </si>
  <si>
    <t>H030640019</t>
  </si>
  <si>
    <t>uuid:4972bce2-8e52-440d-a7f5-e1bde3cc9bdf</t>
  </si>
  <si>
    <t>2025-09-12T10:29:28.024Z</t>
  </si>
  <si>
    <t>2025-09-12T14:28:26.058+08</t>
  </si>
  <si>
    <t>2025-09-12T16:19:57.338+08</t>
  </si>
  <si>
    <t>H030640024</t>
  </si>
  <si>
    <t>uuid:0a9481af-95a1-4488-9a4c-8c6e80147da4</t>
  </si>
  <si>
    <t>2025-09-12T10:41:01.868Z</t>
  </si>
  <si>
    <t>2025-09-12T09:22:26.118+08</t>
  </si>
  <si>
    <t>2025-09-12T10:35:23.222+08</t>
  </si>
  <si>
    <t>H030774027</t>
  </si>
  <si>
    <t>uuid:c3ea0896-43ae-4f41-a09e-c81ef0c4ddda</t>
  </si>
  <si>
    <t>2025-09-12T10:41:03.554Z</t>
  </si>
  <si>
    <t>2025-09-12T11:11:58.318+08</t>
  </si>
  <si>
    <t>2025-09-12T12:21:54.887+08</t>
  </si>
  <si>
    <t>H030774024</t>
  </si>
  <si>
    <t>uuid:2866f04f-c5cf-4bab-ac0f-89f48aea2bb2</t>
  </si>
  <si>
    <t>2025-09-13T10:54:51.897Z</t>
  </si>
  <si>
    <t>2025-09-13T09:00:06.179+08</t>
  </si>
  <si>
    <t>2025-09-13T10:09:45.520+08</t>
  </si>
  <si>
    <t>H030774034</t>
  </si>
  <si>
    <t>uuid:34671402-1885-43da-9866-b30c11754b3c</t>
  </si>
  <si>
    <t>2025-09-29T11:45:09.271Z</t>
  </si>
  <si>
    <t>2025-09-29T16:36:34.416+08</t>
  </si>
  <si>
    <t>2025-09-29T17:33:48.583+08</t>
  </si>
  <si>
    <t>H030774033</t>
  </si>
  <si>
    <t>uuid:9f539a00-96f4-487d-9891-46796bbe9672</t>
  </si>
  <si>
    <t>2025-09-12T10:41:21.101Z</t>
  </si>
  <si>
    <t>2025-09-12T09:20:59.383+08</t>
  </si>
  <si>
    <t>2025-09-12T10:23:14.331+08</t>
  </si>
  <si>
    <t>H030774028</t>
  </si>
  <si>
    <t>uuid:8fcad1dc-be0a-4f2b-959f-e4213cb00565</t>
  </si>
  <si>
    <t>2025-09-12T10:41:22.703Z</t>
  </si>
  <si>
    <t>2025-09-12T11:16:01.382+08</t>
  </si>
  <si>
    <t>2025-09-12T12:27:00.500+08</t>
  </si>
  <si>
    <t>H030774031</t>
  </si>
  <si>
    <t>uuid:96d41c9b-e5c9-43f6-a652-39ece4565547</t>
  </si>
  <si>
    <t>2025-09-13T10:57:44.116Z</t>
  </si>
  <si>
    <t>2025-09-13T08:50:30.686+08</t>
  </si>
  <si>
    <t>2025-09-13T09:41:15.408+08</t>
  </si>
  <si>
    <t>H030774016</t>
  </si>
  <si>
    <t>uuid:721e3909-0dfd-47b4-9001-c5fb04b122c7</t>
  </si>
  <si>
    <t>2025-09-13T10:07:57.064Z</t>
  </si>
  <si>
    <t>2025-09-13T09:00:59.778+08</t>
  </si>
  <si>
    <t>2025-09-13T09:52:54.941+08</t>
  </si>
  <si>
    <t>H030774019</t>
  </si>
  <si>
    <t>uuid:7a29fff0-7bc6-49dc-8e61-0eaab864335c</t>
  </si>
  <si>
    <t>2025-09-12T10:41:30.497Z</t>
  </si>
  <si>
    <t>2025-09-12T11:23:30.706+08</t>
  </si>
  <si>
    <t>2025-09-12T12:14:40.252+08</t>
  </si>
  <si>
    <t>H030640022</t>
  </si>
  <si>
    <t>uuid:d6e5667d-098d-441e-b1a9-841c1788f663</t>
  </si>
  <si>
    <t>2025-09-12T10:41:32.613Z</t>
  </si>
  <si>
    <t>2025-09-12T14:41:21.092+08</t>
  </si>
  <si>
    <t>2025-09-12T15:42:00.996+08</t>
  </si>
  <si>
    <t>H030640032</t>
  </si>
  <si>
    <t>uuid:b0b4da63-39f7-4a3d-b95e-7420df1de797</t>
  </si>
  <si>
    <t>2025-09-12T10:41:34.951Z</t>
  </si>
  <si>
    <t>2025-09-12T10:09:45.750+08</t>
  </si>
  <si>
    <t>2025-09-12T11:07:24.461+08</t>
  </si>
  <si>
    <t>H030640033</t>
  </si>
  <si>
    <t>uuid:2ae599b7-145c-435e-ac83-9f29e98a519e</t>
  </si>
  <si>
    <t>2025-09-13T10:58:00.849Z</t>
  </si>
  <si>
    <t>2025-09-13T09:19:57.650+08</t>
  </si>
  <si>
    <t>2025-09-13T10:39:41.145+08</t>
  </si>
  <si>
    <t>H030640017</t>
  </si>
  <si>
    <t>uuid:16263c8f-c3f3-4d94-911a-faaa96707662</t>
  </si>
  <si>
    <t>2025-09-12T10:42:29.304Z</t>
  </si>
  <si>
    <t>2025-09-12T12:02:03.816+08</t>
  </si>
  <si>
    <t>2025-09-12T13:13:26.976+08</t>
  </si>
  <si>
    <t>H030640018</t>
  </si>
  <si>
    <t>uuid:ecd28c58-af0e-42f6-bc0d-b9a9c358e0d7</t>
  </si>
  <si>
    <t>2025-09-12T10:42:31.326Z</t>
  </si>
  <si>
    <t>2025-09-12T14:35:09.669+08</t>
  </si>
  <si>
    <t>2025-09-12T15:33:47.040+08</t>
  </si>
  <si>
    <t>H030640025</t>
  </si>
  <si>
    <t>uuid:0638b713-585f-4169-93f9-5c3ca9a6459b</t>
  </si>
  <si>
    <t>2025-09-12T10:42:32.276Z</t>
  </si>
  <si>
    <t>2025-09-12T10:57:09.661+08</t>
  </si>
  <si>
    <t>2025-09-12T11:51:17.112+08</t>
  </si>
  <si>
    <t>H030640005</t>
  </si>
  <si>
    <t>uuid:fb194c8e-ae8e-4b2f-b38a-ae0a55311a85</t>
  </si>
  <si>
    <t>2025-09-12T10:42:33.166Z</t>
  </si>
  <si>
    <t>2025-09-12T09:56:33.983+08</t>
  </si>
  <si>
    <t>2025-09-12T10:36:22.985+08</t>
  </si>
  <si>
    <t>H030640034</t>
  </si>
  <si>
    <t>uuid:ff29c1a2-4a32-4095-be8b-f0d24fe145ff</t>
  </si>
  <si>
    <t>2025-09-12T11:35:25.360Z</t>
  </si>
  <si>
    <t>2025-09-12T09:51:42.498+08</t>
  </si>
  <si>
    <t>2025-09-12T10:46:59.537+08</t>
  </si>
  <si>
    <t>H004854029</t>
  </si>
  <si>
    <t>uuid:2e005d6c-bf50-4658-8f4c-c4316ca39275</t>
  </si>
  <si>
    <t>2025-09-12T11:35:26.616Z</t>
  </si>
  <si>
    <t>2025-09-12T11:16:56.784+08</t>
  </si>
  <si>
    <t>2025-09-12T11:45:37.437+08</t>
  </si>
  <si>
    <t>H004854020</t>
  </si>
  <si>
    <t>uuid:f0494918-eda2-4e80-99ea-668728d2ca57</t>
  </si>
  <si>
    <t>2025-09-12T11:35:27.998Z</t>
  </si>
  <si>
    <t>2025-09-12T14:53:17.581+08</t>
  </si>
  <si>
    <t>2025-09-12T15:40:15.207+08</t>
  </si>
  <si>
    <t>H004854017</t>
  </si>
  <si>
    <t>uuid:2ad1fbb9-5d11-40b8-8f21-843e29f19e36</t>
  </si>
  <si>
    <t>2025-09-25T10:32:14.161Z</t>
  </si>
  <si>
    <t>2025-09-25T14:05:36.385+08</t>
  </si>
  <si>
    <t>2025-09-25T17:20:21.583+08</t>
  </si>
  <si>
    <t>H004854035</t>
  </si>
  <si>
    <t>uuid:6108b826-2d77-43af-948f-938744210f2b</t>
  </si>
  <si>
    <t>2025-09-25T10:32:10.773Z</t>
  </si>
  <si>
    <t>2025-09-25T09:50:36.383+08</t>
  </si>
  <si>
    <t>2025-09-25T10:16:04.306+08</t>
  </si>
  <si>
    <t>H004854025</t>
  </si>
  <si>
    <t>uuid:ef9058e8-9fe0-4538-8ceb-b47d9150f79e</t>
  </si>
  <si>
    <t>2025-09-12T11:37:51.449Z</t>
  </si>
  <si>
    <t>2025-09-12T08:05:12.429+08</t>
  </si>
  <si>
    <t>2025-09-12T09:34:39.266+08</t>
  </si>
  <si>
    <t>H006626026</t>
  </si>
  <si>
    <t>uuid:da83f148-f4d4-4ad9-98a9-569dafc1ddac</t>
  </si>
  <si>
    <t>2025-09-12T11:37:53.797Z</t>
  </si>
  <si>
    <t>2025-09-12T09:35:01.254+08</t>
  </si>
  <si>
    <t>2025-09-12T10:41:55.181+08</t>
  </si>
  <si>
    <t>H006626025</t>
  </si>
  <si>
    <t>uuid:a1ff3576-a35d-4b56-93c5-0e688427dc48</t>
  </si>
  <si>
    <t>2025-09-12T11:38:03.778Z</t>
  </si>
  <si>
    <t>2025-09-12T10:42:15.890+08</t>
  </si>
  <si>
    <t>2025-09-12T12:46:50.105+08</t>
  </si>
  <si>
    <t>H006626020</t>
  </si>
  <si>
    <t>uuid:49f31926-d173-492b-bf79-c9ff6daf6e65</t>
  </si>
  <si>
    <t>2025-09-12T11:38:05.818Z</t>
  </si>
  <si>
    <t>2025-09-12T13:31:04.369+08</t>
  </si>
  <si>
    <t>2025-09-12T16:00:38.846+08</t>
  </si>
  <si>
    <t>H006626018</t>
  </si>
  <si>
    <t>uuid:a837fccf-bdd2-4656-98c2-18470fe4b6cd</t>
  </si>
  <si>
    <t>2025-09-13T12:23:19.654Z</t>
  </si>
  <si>
    <t>2025-09-13T07:34:40.317+08</t>
  </si>
  <si>
    <t>2025-09-13T08:49:39.611+08</t>
  </si>
  <si>
    <t>H006626030</t>
  </si>
  <si>
    <t>uuid:b7c066f3-3d69-43b2-b104-490f3ef41efe</t>
  </si>
  <si>
    <t>2025-09-12T11:39:48.765Z</t>
  </si>
  <si>
    <t>2025-09-12T13:31:50.908+08</t>
  </si>
  <si>
    <t>2025-09-12T14:39:22.296+08</t>
  </si>
  <si>
    <t>H006626031</t>
  </si>
  <si>
    <t>uuid:cbddfd5d-a4b1-47f4-8bb8-8330ab4cdd9a</t>
  </si>
  <si>
    <t>2025-09-12T11:39:50.369Z</t>
  </si>
  <si>
    <t>2025-09-12T10:46:09.832+08</t>
  </si>
  <si>
    <t>2025-09-12T12:03:34.075+08</t>
  </si>
  <si>
    <t>H006626021</t>
  </si>
  <si>
    <t>uuid:96d49929-4c57-4fe2-a871-21c3f2a940eb</t>
  </si>
  <si>
    <t>2025-09-12T11:39:51.224Z</t>
  </si>
  <si>
    <t>2025-09-12T09:03:17.421+08</t>
  </si>
  <si>
    <t>2025-09-12T09:57:47.377+08</t>
  </si>
  <si>
    <t>H006626027</t>
  </si>
  <si>
    <t>uuid:80baece5-7565-440d-b895-60af2cfab84b</t>
  </si>
  <si>
    <t>2025-09-12T11:39:58.645Z</t>
  </si>
  <si>
    <t>2025-09-12T10:00:05.272+08</t>
  </si>
  <si>
    <t>2025-09-12T11:54:08.667+08</t>
  </si>
  <si>
    <t>H006742016</t>
  </si>
  <si>
    <t>uuid:b35ee224-8c47-4af1-9494-ccc9bf0549fa</t>
  </si>
  <si>
    <t>2025-09-12T11:40:00.232Z</t>
  </si>
  <si>
    <t>2025-09-12T08:07:04.555+08</t>
  </si>
  <si>
    <t>2025-09-12T09:00:16.441+08</t>
  </si>
  <si>
    <t>H006626028</t>
  </si>
  <si>
    <t>uuid:7c8ecda3-33e9-476d-86cd-2e0419a4e9ca</t>
  </si>
  <si>
    <t>2025-09-12T11:40:00.511Z</t>
  </si>
  <si>
    <t>2025-09-12T09:02:39.270+08</t>
  </si>
  <si>
    <t>2025-09-12T10:09:32.915+08</t>
  </si>
  <si>
    <t>H006742035</t>
  </si>
  <si>
    <t>uuid:fe683f9f-c3a6-4596-8f25-e10e6dffb048</t>
  </si>
  <si>
    <t>2025-09-12T11:40:02.952Z</t>
  </si>
  <si>
    <t>2025-09-12T10:31:07.916+08</t>
  </si>
  <si>
    <t>2025-09-12T11:51:06.646+08</t>
  </si>
  <si>
    <t>H006742034</t>
  </si>
  <si>
    <t>uuid:2099f1e1-9d68-4ac4-86a8-9525a93dda18</t>
  </si>
  <si>
    <t>2025-09-12T11:40:05.813Z</t>
  </si>
  <si>
    <t>2025-09-12T07:38:46.437+08</t>
  </si>
  <si>
    <t>2025-09-12T08:58:09.339+08</t>
  </si>
  <si>
    <t>H006742029</t>
  </si>
  <si>
    <t>uuid:ff14b711-dc64-496e-9c63-69eb818a481b</t>
  </si>
  <si>
    <t>2025-09-12T11:41:08.870Z</t>
  </si>
  <si>
    <t>2025-09-12T07:36:47.476+08</t>
  </si>
  <si>
    <t>2025-09-12T08:24:02.761+08</t>
  </si>
  <si>
    <t>H006742031</t>
  </si>
  <si>
    <t>uuid:ed866707-e7dc-4284-988a-8752eb85170a</t>
  </si>
  <si>
    <t>2025-09-12T11:41:14.598Z</t>
  </si>
  <si>
    <t>2025-09-12T08:25:12.601+08</t>
  </si>
  <si>
    <t>2025-09-12T09:30:09.228+08</t>
  </si>
  <si>
    <t>H006742032</t>
  </si>
  <si>
    <t>uuid:a52d8295-d81f-41b7-b5c0-6bdeb9e1c111</t>
  </si>
  <si>
    <t>2025-09-12T11:41:22.225Z</t>
  </si>
  <si>
    <t>2025-09-12T09:30:28.417+08</t>
  </si>
  <si>
    <t>2025-09-12T11:01:28.600+08</t>
  </si>
  <si>
    <t>H006742006</t>
  </si>
  <si>
    <t>uuid:57db9de8-c8d1-4e8f-b24c-f8df8d12d0c0</t>
  </si>
  <si>
    <t>2025-09-12T11:42:24.227Z</t>
  </si>
  <si>
    <t>2025-09-12T07:42:16.813+08</t>
  </si>
  <si>
    <t>2025-09-12T08:49:41.810+08</t>
  </si>
  <si>
    <t>H006742028</t>
  </si>
  <si>
    <t>uuid:609839d3-3781-4b6d-8dd8-142335490d1f</t>
  </si>
  <si>
    <t>2025-09-12T11:45:50.755Z</t>
  </si>
  <si>
    <t>2025-09-12T09:42:45.020+08</t>
  </si>
  <si>
    <t>2025-09-12T10:54:48.676+08</t>
  </si>
  <si>
    <t>H006742027</t>
  </si>
  <si>
    <t>uuid:f68af2a6-ed03-4744-902a-903b1d01f46a</t>
  </si>
  <si>
    <t>2025-09-12T11:46:01.388Z</t>
  </si>
  <si>
    <t>2025-09-12T12:38:41.633+08</t>
  </si>
  <si>
    <t>2025-09-12T13:26:56.609+08</t>
  </si>
  <si>
    <t>H006742030</t>
  </si>
  <si>
    <t>uuid:3e40740b-e825-4323-ada0-6d260f9e09d7</t>
  </si>
  <si>
    <t>2025-09-12T11:46:35.689Z</t>
  </si>
  <si>
    <t>2025-09-12T09:01:27.329+08</t>
  </si>
  <si>
    <t>2025-09-12T09:42:10.088+08</t>
  </si>
  <si>
    <t>H006742021</t>
  </si>
  <si>
    <t>uuid:3c5cc1d7-f4bd-44aa-9e1d-f64085b2cea3</t>
  </si>
  <si>
    <t>2025-09-12T12:02:25.107Z</t>
  </si>
  <si>
    <t>2025-09-12T09:48:09.062+08</t>
  </si>
  <si>
    <t>2025-09-12T10:51:09.443+08</t>
  </si>
  <si>
    <t>H004854030</t>
  </si>
  <si>
    <t>uuid:30f67bf6-a86e-4c3f-a033-f81570a23398</t>
  </si>
  <si>
    <t>2025-09-12T12:02:26.794Z</t>
  </si>
  <si>
    <t>2025-09-12T14:09:51.658+08</t>
  </si>
  <si>
    <t>2025-09-12T15:18:28.272+08</t>
  </si>
  <si>
    <t>H004854031</t>
  </si>
  <si>
    <t>uuid:0d01060b-27ca-492a-a9b1-fcfb1c639f1d</t>
  </si>
  <si>
    <t>2025-09-12T12:02:28.246Z</t>
  </si>
  <si>
    <t>2025-09-12T15:25:31.315+08</t>
  </si>
  <si>
    <t>2025-09-12T16:30:32.101+08</t>
  </si>
  <si>
    <t>H004854033</t>
  </si>
  <si>
    <t>uuid:e3dbf46a-565d-4dff-be0e-daa14c1715dd</t>
  </si>
  <si>
    <t>2025-09-12T12:02:30.677Z</t>
  </si>
  <si>
    <t>2025-09-12T11:22:41.941+08</t>
  </si>
  <si>
    <t>2025-09-12T19:54:44.826+08</t>
  </si>
  <si>
    <t>H004854023</t>
  </si>
  <si>
    <t>uuid:c4440b5a-40b1-4fb2-ab5d-33727b7c2ebc</t>
  </si>
  <si>
    <t>2025-09-12T12:02:31.992Z</t>
  </si>
  <si>
    <t>2025-09-12T12:32:07.749+08</t>
  </si>
  <si>
    <t>2025-09-12T19:59:13.037+08</t>
  </si>
  <si>
    <t>H004854016</t>
  </si>
  <si>
    <t>uuid:e862a487-0eb1-4df1-95c4-01bd46f541f4</t>
  </si>
  <si>
    <t>2025-09-12T12:30:39.299Z</t>
  </si>
  <si>
    <t>2025-09-12T09:59:17.080+08</t>
  </si>
  <si>
    <t>2025-09-12T10:49:59.505+08</t>
  </si>
  <si>
    <t>H004854026</t>
  </si>
  <si>
    <t>uuid:ea5b91af-6453-4cff-b53e-1c59f89c0b92</t>
  </si>
  <si>
    <t>2025-09-12T12:31:41.325Z</t>
  </si>
  <si>
    <t>2025-09-12T11:22:56.719+08</t>
  </si>
  <si>
    <t>2025-09-12T12:11:44.574+08</t>
  </si>
  <si>
    <t>H004854022</t>
  </si>
  <si>
    <t>uuid:3c9ef77e-9ecf-41ff-8cde-175b5cafcd9a</t>
  </si>
  <si>
    <t>2025-09-12T12:32:47.973Z</t>
  </si>
  <si>
    <t>2025-09-12T13:14:55.008+08</t>
  </si>
  <si>
    <t>2025-09-12T14:24:08.141+08</t>
  </si>
  <si>
    <t>H004854034</t>
  </si>
  <si>
    <t>uuid:a8122408-04b7-4507-b423-9a66eace98c3</t>
  </si>
  <si>
    <t>2025-09-25T10:32:08.803Z</t>
  </si>
  <si>
    <t>2025-09-25T08:49:19.395+08</t>
  </si>
  <si>
    <t>2025-09-25T09:50:09.603+08</t>
  </si>
  <si>
    <t>H004854032</t>
  </si>
  <si>
    <t>uuid:0739e77e-1ba9-4d31-9c52-ecdcfe68b7c2</t>
  </si>
  <si>
    <t>2025-09-25T10:32:11.814Z</t>
  </si>
  <si>
    <t>2025-09-25T10:20:30.348+08</t>
  </si>
  <si>
    <t>2025-09-25T11:06:56.259+08</t>
  </si>
  <si>
    <t>H004854019</t>
  </si>
  <si>
    <t>uuid:6368c585-b291-40ef-a3fc-af5486c1966f</t>
  </si>
  <si>
    <t>2025-09-13T09:11:05.027Z</t>
  </si>
  <si>
    <t>2025-09-13T09:14:28.787+08</t>
  </si>
  <si>
    <t>2025-09-13T10:12:55.455+08</t>
  </si>
  <si>
    <t>H004137025</t>
  </si>
  <si>
    <t>uuid:99be3b2f-8a27-45a7-98f3-fa9a4f55b059</t>
  </si>
  <si>
    <t>2025-09-13T09:11:06.028Z</t>
  </si>
  <si>
    <t>2025-09-13T12:27:39.786+08</t>
  </si>
  <si>
    <t>2025-09-13T13:37:21.127+08</t>
  </si>
  <si>
    <t>H004137082</t>
  </si>
  <si>
    <t>uuid:8527a8e1-50af-48e2-b403-a48db9110ce6</t>
  </si>
  <si>
    <t>2025-09-13T09:28:28.715Z</t>
  </si>
  <si>
    <t>2025-09-13T09:09:29.223+08</t>
  </si>
  <si>
    <t>2025-09-13T10:38:37.883+08</t>
  </si>
  <si>
    <t>H004137081</t>
  </si>
  <si>
    <t>uuid:a076ee40-b6f9-4552-b172-359f11956d82</t>
  </si>
  <si>
    <t>2025-09-13T09:28:30.610Z</t>
  </si>
  <si>
    <t>2025-09-13T11:05:07.593+08</t>
  </si>
  <si>
    <t>2025-09-13T12:18:50.705+08</t>
  </si>
  <si>
    <t>H004137080</t>
  </si>
  <si>
    <t>uuid:e7597323-57a3-423b-a5ad-ca4e4e878df2</t>
  </si>
  <si>
    <t>2025-09-14T06:47:41.626Z</t>
  </si>
  <si>
    <t>2025-09-14T11:04:42.687+08</t>
  </si>
  <si>
    <t>2025-09-14T11:57:21.405+08</t>
  </si>
  <si>
    <t>H004137030</t>
  </si>
  <si>
    <t>uuid:c0352f48-e7ce-4021-a842-d981ad5039aa</t>
  </si>
  <si>
    <t>2025-09-13T09:28:33.746Z</t>
  </si>
  <si>
    <t>2025-09-13T12:25:17.105+08</t>
  </si>
  <si>
    <t>2025-09-13T13:39:43.650+08</t>
  </si>
  <si>
    <t>H004137001</t>
  </si>
  <si>
    <t>uuid:4aaa2ca6-8e10-45ed-b328-2bbcfa4fe8ab</t>
  </si>
  <si>
    <t>2025-09-13T09:56:24.887Z</t>
  </si>
  <si>
    <t>2025-09-13T09:20:22.838+08</t>
  </si>
  <si>
    <t>2025-09-13T15:33:18.862+08</t>
  </si>
  <si>
    <t>H006863024</t>
  </si>
  <si>
    <t>uuid:10462783-7535-4854-aa6c-94e9f2fd3ce8</t>
  </si>
  <si>
    <t>2025-09-13T10:10:13.591Z</t>
  </si>
  <si>
    <t>2025-09-13T07:30:27.088+08</t>
  </si>
  <si>
    <t>2025-09-13T08:32:30.962+08</t>
  </si>
  <si>
    <t>H006233020</t>
  </si>
  <si>
    <t>uuid:8fe26b0c-2fb6-4214-8396-345c0d3305ba</t>
  </si>
  <si>
    <t>2025-09-13T10:10:14.655Z</t>
  </si>
  <si>
    <t>2025-09-13T09:15:22.929+08</t>
  </si>
  <si>
    <t>2025-09-13T10:34:07.572+08</t>
  </si>
  <si>
    <t>H006233022</t>
  </si>
  <si>
    <t>uuid:ef0e48b4-1aa7-4542-839c-4e1f2c350935</t>
  </si>
  <si>
    <t>2025-09-13T10:10:15.963Z</t>
  </si>
  <si>
    <t>2025-09-13T11:04:42.566+08</t>
  </si>
  <si>
    <t>2025-09-13T12:25:00.705+08</t>
  </si>
  <si>
    <t>H006233033</t>
  </si>
  <si>
    <t>uuid:b224cf5b-e3eb-4f0c-bf70-e92f3120f65c</t>
  </si>
  <si>
    <t>2025-09-13T10:21:51.797Z</t>
  </si>
  <si>
    <t>2025-09-13T09:58:52.433+08</t>
  </si>
  <si>
    <t>2025-09-13T11:57:29.783+08</t>
  </si>
  <si>
    <t>H004344019</t>
  </si>
  <si>
    <t>uuid:8d308eef-0e6d-4a1c-bbdb-97c92ee606bb</t>
  </si>
  <si>
    <t>2025-09-13T10:21:53.213Z</t>
  </si>
  <si>
    <t>2025-09-13T12:31:57.412+08</t>
  </si>
  <si>
    <t>2025-09-13T13:58:03.356+08</t>
  </si>
  <si>
    <t>H004344030</t>
  </si>
  <si>
    <t>uuid:dda3b098-695c-49d3-8c30-a91aeca86624</t>
  </si>
  <si>
    <t>2025-09-13T10:21:54.351Z</t>
  </si>
  <si>
    <t>2025-09-13T14:10:58.733+08</t>
  </si>
  <si>
    <t>2025-09-13T15:53:49.307+08</t>
  </si>
  <si>
    <t>H004344020</t>
  </si>
  <si>
    <t>uuid:577e8d41-f0a4-42a5-920a-6796e180d564</t>
  </si>
  <si>
    <t>2025-09-13T10:22:04.421Z</t>
  </si>
  <si>
    <t>2025-09-13T09:06:42.353+08</t>
  </si>
  <si>
    <t>2025-09-13T10:04:48.922+08</t>
  </si>
  <si>
    <t>H006233081</t>
  </si>
  <si>
    <t>uuid:566689a7-b938-4d01-817b-b5bf054eeeb1</t>
  </si>
  <si>
    <t>2025-09-13T10:22:05.661Z</t>
  </si>
  <si>
    <t>2025-09-13T10:22:36.064+08</t>
  </si>
  <si>
    <t>2025-09-13T11:16:14.764+08</t>
  </si>
  <si>
    <t>H006233035</t>
  </si>
  <si>
    <t>uuid:b354fbf3-cd59-4271-ad69-e453ab9b9056</t>
  </si>
  <si>
    <t>2025-09-13T10:22:06.586Z</t>
  </si>
  <si>
    <t>2025-09-13T07:43:17.600+08</t>
  </si>
  <si>
    <t>2025-09-13T08:38:27.319+08</t>
  </si>
  <si>
    <t>H006233031</t>
  </si>
  <si>
    <t>uuid:45a003b6-fd51-4cc5-b478-e48673c87997</t>
  </si>
  <si>
    <t>2025-09-13T10:42:27.157Z</t>
  </si>
  <si>
    <t>2025-09-13T09:09:39.647+08</t>
  </si>
  <si>
    <t>2025-09-13T10:28:49.735+08</t>
  </si>
  <si>
    <t>H030640027</t>
  </si>
  <si>
    <t>uuid:5d70c73b-baa8-414d-9981-f24fb289138c</t>
  </si>
  <si>
    <t>2025-09-13T10:54:46.019Z</t>
  </si>
  <si>
    <t>2025-09-13T09:18:54.929+08</t>
  </si>
  <si>
    <t>2025-09-13T10:49:56.430+08</t>
  </si>
  <si>
    <t>H030640026</t>
  </si>
  <si>
    <t>uuid:aecaf6f8-c34a-4163-8577-4c3efc10235a</t>
  </si>
  <si>
    <t>2025-10-02T11:15:49.484Z</t>
  </si>
  <si>
    <t>2025-10-02T09:24:05.358+08</t>
  </si>
  <si>
    <t>2025-10-02T10:54:24.976+08</t>
  </si>
  <si>
    <t>H030640035</t>
  </si>
  <si>
    <t>uuid:fb30bd76-41c8-4469-a441-8a55738195b7</t>
  </si>
  <si>
    <t>2025-09-13T11:48:31.993Z</t>
  </si>
  <si>
    <t>2025-09-13T07:56:12.553+08</t>
  </si>
  <si>
    <t>2025-09-13T08:29:47.523+08</t>
  </si>
  <si>
    <t>H006817035</t>
  </si>
  <si>
    <t>uuid:1e996cd2-6de0-451c-9cfd-ec0113ba3821</t>
  </si>
  <si>
    <t>2025-09-13T11:48:34.688Z</t>
  </si>
  <si>
    <t>2025-09-13T09:06:45.026+08</t>
  </si>
  <si>
    <t>2025-09-13T10:05:57.247+08</t>
  </si>
  <si>
    <t>H006817022</t>
  </si>
  <si>
    <t>uuid:875f7460-f685-469a-891d-56fdd18a3929</t>
  </si>
  <si>
    <t>2025-09-23T11:17:45.085Z</t>
  </si>
  <si>
    <t>2025-09-23T14:15:39.563+08</t>
  </si>
  <si>
    <t>2025-09-23T16:42:20.621+08</t>
  </si>
  <si>
    <t>H006817031</t>
  </si>
  <si>
    <t>uuid:6e1869c9-b0cb-4604-8a6c-61a25c12b18b</t>
  </si>
  <si>
    <t>2025-09-13T11:52:57.000Z</t>
  </si>
  <si>
    <t>2025-09-13T09:07:31.181+08</t>
  </si>
  <si>
    <t>2025-09-13T10:00:41.359+08</t>
  </si>
  <si>
    <t>H004137020</t>
  </si>
  <si>
    <t>uuid:74bc4f70-221b-463b-96fa-b48a7a639f51</t>
  </si>
  <si>
    <t>2025-09-13T11:52:58.020Z</t>
  </si>
  <si>
    <t>2025-09-13T11:11:56.552+08</t>
  </si>
  <si>
    <t>2025-09-13T12:20:31.700+08</t>
  </si>
  <si>
    <t>H004137016</t>
  </si>
  <si>
    <t>uuid:2a08e91f-e3f5-483a-9677-427988773ae7</t>
  </si>
  <si>
    <t>2025-09-29T10:30:05.950Z</t>
  </si>
  <si>
    <t>2025-09-29T09:43:57.611+08</t>
  </si>
  <si>
    <t>2025-09-29T18:23:12.583+08</t>
  </si>
  <si>
    <t>H004137017</t>
  </si>
  <si>
    <t>uuid:e89487b3-deee-473c-bc63-87f64d757158</t>
  </si>
  <si>
    <t>2025-09-13T11:52:59.671Z</t>
  </si>
  <si>
    <t>2025-09-13T12:32:31.681+08</t>
  </si>
  <si>
    <t>2025-09-13T13:14:33.085+08</t>
  </si>
  <si>
    <t>H004137018</t>
  </si>
  <si>
    <t>uuid:b5e9ee15-2c37-40ae-ba40-73a90d7a8b69</t>
  </si>
  <si>
    <t>2025-09-13T11:53:02.920Z</t>
  </si>
  <si>
    <t>2025-09-13T10:09:55.712+08</t>
  </si>
  <si>
    <t>2025-09-13T19:46:40.069+08</t>
  </si>
  <si>
    <t>H004137021</t>
  </si>
  <si>
    <t>uuid:0f33ce40-bc30-4ed0-867c-94cb5301eb8b</t>
  </si>
  <si>
    <t>2025-09-13T12:26:22.279Z</t>
  </si>
  <si>
    <t>2025-09-13T10:02:32.446+08</t>
  </si>
  <si>
    <t>2025-09-13T10:54:41.938+08</t>
  </si>
  <si>
    <t>H004344033</t>
  </si>
  <si>
    <t>uuid:9967cfdc-83b3-4a4b-978d-99c626971e02</t>
  </si>
  <si>
    <t>2025-09-13T12:26:25.640Z</t>
  </si>
  <si>
    <t>2025-09-13T13:36:31.619+08</t>
  </si>
  <si>
    <t>2025-09-13T14:12:40.463+08</t>
  </si>
  <si>
    <t>H004344034</t>
  </si>
  <si>
    <t>uuid:88ee1819-8811-4bc9-8699-b30c2702ba3d</t>
  </si>
  <si>
    <t>2025-09-13T12:26:28.905Z</t>
  </si>
  <si>
    <t>2025-09-13T15:54:38.288+08</t>
  </si>
  <si>
    <t>2025-09-13T16:18:47.647+08</t>
  </si>
  <si>
    <t>H004344026</t>
  </si>
  <si>
    <t>uuid:771f72dc-f908-4389-a8d6-932de82f2e38</t>
  </si>
  <si>
    <t>2025-09-13T12:32:56.810Z</t>
  </si>
  <si>
    <t>2025-09-13T07:21:19.191+08</t>
  </si>
  <si>
    <t>2025-09-13T08:29:50.939+08</t>
  </si>
  <si>
    <t>H006863034</t>
  </si>
  <si>
    <t>uuid:7a114235-2019-4874-b384-50be7428043c</t>
  </si>
  <si>
    <t>2025-09-13T12:32:58.556Z</t>
  </si>
  <si>
    <t>2025-09-13T08:35:18.114+08</t>
  </si>
  <si>
    <t>2025-09-13T09:52:37.276+08</t>
  </si>
  <si>
    <t>H006863030</t>
  </si>
  <si>
    <t>uuid:d12153b7-13f0-426d-9063-2decc5fa5718</t>
  </si>
  <si>
    <t>2025-09-14T06:47:34.679Z</t>
  </si>
  <si>
    <t>2025-09-14T07:59:09.195+08</t>
  </si>
  <si>
    <t>2025-09-14T10:00:28.946+08</t>
  </si>
  <si>
    <t>H004137024</t>
  </si>
  <si>
    <t>uuid:6b5f072a-9303-44f7-9f79-f5c64e1c413d</t>
  </si>
  <si>
    <t>2025-09-14T10:34:09.609Z</t>
  </si>
  <si>
    <t>2025-09-14T07:47:16.929+08</t>
  </si>
  <si>
    <t>2025-09-14T09:08:34.166+08</t>
  </si>
  <si>
    <t>H004541035</t>
  </si>
  <si>
    <t>uuid:af740739-6b36-4d66-bb1c-69cd11f58a0d</t>
  </si>
  <si>
    <t>2025-09-28T09:52:13.637Z</t>
  </si>
  <si>
    <t>2025-09-28T11:14:24.671+08</t>
  </si>
  <si>
    <t>2025-09-28T12:06:08.338+08</t>
  </si>
  <si>
    <t>H004344025</t>
  </si>
  <si>
    <t>uuid:3e9bae3e-4879-4c18-9a01-0000ed56b878</t>
  </si>
  <si>
    <t>2025-09-25T10:21:15.078Z</t>
  </si>
  <si>
    <t>2025-09-25T14:18:14.876+08</t>
  </si>
  <si>
    <t>2025-09-25T15:19:55.962+08</t>
  </si>
  <si>
    <t>H004344031</t>
  </si>
  <si>
    <t>uuid:243bba11-bd47-4cc2-b749-a2c74f4192e3</t>
  </si>
  <si>
    <t>2025-09-14T21:11:49.152Z</t>
  </si>
  <si>
    <t>2025-09-14T08:10:08.750+08</t>
  </si>
  <si>
    <t>2025-09-14T08:57:45.539+08</t>
  </si>
  <si>
    <t>H004137028</t>
  </si>
  <si>
    <t>uuid:645e6903-1e8b-4695-8fbc-ff432d5452a7</t>
  </si>
  <si>
    <t>2025-09-14T21:11:51.005Z</t>
  </si>
  <si>
    <t>2025-09-14T09:06:43.578+08</t>
  </si>
  <si>
    <t>2025-09-14T10:03:26.411+08</t>
  </si>
  <si>
    <t>H004137029</t>
  </si>
  <si>
    <t>uuid:8a0ad3a8-4d11-49ca-a658-d0dc736c966e</t>
  </si>
  <si>
    <t>2025-09-24T10:44:17.675Z</t>
  </si>
  <si>
    <t>2025-09-24T12:59:11.244+08</t>
  </si>
  <si>
    <t>2025-09-24T14:37:46.654+08</t>
  </si>
  <si>
    <t>H004344017</t>
  </si>
  <si>
    <t>uuid:56fde3ae-db85-4c60-a565-00d3cf619d51</t>
  </si>
  <si>
    <t>2025-09-14T22:19:22.547Z</t>
  </si>
  <si>
    <t>2025-09-13T11:30:52.399+08</t>
  </si>
  <si>
    <t>2025-09-13T12:39:39.378+08</t>
  </si>
  <si>
    <t>H004344016</t>
  </si>
  <si>
    <t>uuid:72a3f392-d837-430d-9f23-8e87ab9612ef</t>
  </si>
  <si>
    <t>2025-09-14T22:19:24.519Z</t>
  </si>
  <si>
    <t>2025-09-13T13:35:52.026+08</t>
  </si>
  <si>
    <t>2025-09-13T14:45:50.578+08</t>
  </si>
  <si>
    <t>H004344035</t>
  </si>
  <si>
    <t>uuid:746be039-c0ab-4740-ae93-3495c0ca0259</t>
  </si>
  <si>
    <t>2025-09-14T22:19:26.823Z</t>
  </si>
  <si>
    <t>2025-09-13T15:34:33.858+08</t>
  </si>
  <si>
    <t>2025-09-13T16:39:08.136+08</t>
  </si>
  <si>
    <t>H004344032</t>
  </si>
  <si>
    <t>uuid:9ea0984d-0e08-4f1d-8202-a51cf66c0196</t>
  </si>
  <si>
    <t>2025-09-15T09:51:02.479Z</t>
  </si>
  <si>
    <t>2025-09-15T09:27:30.755+08</t>
  </si>
  <si>
    <t>2025-09-15T10:32:51.954+08</t>
  </si>
  <si>
    <t>H004407019</t>
  </si>
  <si>
    <t>uuid:bba95073-fda9-4011-a666-3fcde7471a4d</t>
  </si>
  <si>
    <t>2025-09-15T09:51:04.674Z</t>
  </si>
  <si>
    <t>2025-09-15T10:52:07.540+08</t>
  </si>
  <si>
    <t>2025-09-15T12:01:00.186+08</t>
  </si>
  <si>
    <t>H004407018</t>
  </si>
  <si>
    <t>uuid:c8aefbaa-708a-4841-af90-1acd84a1b166</t>
  </si>
  <si>
    <t>2025-09-15T09:51:06.119Z</t>
  </si>
  <si>
    <t>2025-09-15T12:16:06.499+08</t>
  </si>
  <si>
    <t>2025-09-15T13:23:57.132+08</t>
  </si>
  <si>
    <t>H004407023</t>
  </si>
  <si>
    <t>uuid:6d7c7d25-3c9a-4e1b-95d8-beaceb52c76d</t>
  </si>
  <si>
    <t>2025-09-15T09:51:07.450Z</t>
  </si>
  <si>
    <t>2025-09-15T13:46:28.763+08</t>
  </si>
  <si>
    <t>2025-09-15T14:40:12.123+08</t>
  </si>
  <si>
    <t>H004407020</t>
  </si>
  <si>
    <t>uuid:940f7030-0038-4098-b00a-489d81643af1</t>
  </si>
  <si>
    <t>2025-09-23T10:42:42.592Z</t>
  </si>
  <si>
    <t>2025-09-23T12:30:11.923+08</t>
  </si>
  <si>
    <t>2025-09-23T13:19:01.418+08</t>
  </si>
  <si>
    <t>H004407021</t>
  </si>
  <si>
    <t>uuid:125d37ea-cba5-4eb5-9ed7-833398775505</t>
  </si>
  <si>
    <t>2025-09-15T10:14:24.242Z</t>
  </si>
  <si>
    <t>2025-09-15T09:11:18.996+08</t>
  </si>
  <si>
    <t>2025-09-15T10:04:44.027+08</t>
  </si>
  <si>
    <t>H004588016</t>
  </si>
  <si>
    <t>uuid:4a3d9727-c392-40f3-a64e-b8869d012b4f</t>
  </si>
  <si>
    <t>2025-09-15T10:14:28.394Z</t>
  </si>
  <si>
    <t>2025-09-15T10:30:35.648+08</t>
  </si>
  <si>
    <t>2025-09-15T11:23:44.760+08</t>
  </si>
  <si>
    <t>H004588022</t>
  </si>
  <si>
    <t>uuid:f0ea8815-a652-4264-90d7-8c05991e08ff</t>
  </si>
  <si>
    <t>2025-09-15T10:14:29.268Z</t>
  </si>
  <si>
    <t>2025-09-15T14:08:05.704+08</t>
  </si>
  <si>
    <t>2025-09-15T15:08:51.887+08</t>
  </si>
  <si>
    <t>H004588027</t>
  </si>
  <si>
    <t>uuid:dc45f422-db3d-45aa-8414-2ec721d09b24</t>
  </si>
  <si>
    <t>2025-09-15T10:14:30.178Z</t>
  </si>
  <si>
    <t>2025-09-15T15:22:35.691+08</t>
  </si>
  <si>
    <t>2025-09-15T16:18:29.686+08</t>
  </si>
  <si>
    <t>H004588028</t>
  </si>
  <si>
    <t>uuid:055b7130-0fb1-4427-ad05-f4ac370c6275</t>
  </si>
  <si>
    <t>2025-09-15T10:20:43.752Z</t>
  </si>
  <si>
    <t>2025-09-15T10:00:29.945+08</t>
  </si>
  <si>
    <t>2025-09-15T11:23:46.586+08</t>
  </si>
  <si>
    <t>H030214003</t>
  </si>
  <si>
    <t>uuid:dbf56986-41ab-447d-ba07-a5f2147cbc08</t>
  </si>
  <si>
    <t>2025-09-15T10:20:47.866Z</t>
  </si>
  <si>
    <t>2025-09-15T11:34:36.300+08</t>
  </si>
  <si>
    <t>2025-09-15T12:46:20.448+08</t>
  </si>
  <si>
    <t>H030214029</t>
  </si>
  <si>
    <t>uuid:40731f60-b658-452c-adb2-4af0903b11c8</t>
  </si>
  <si>
    <t>2025-10-01T09:54:16.460Z</t>
  </si>
  <si>
    <t>2025-10-01T09:41:25.343+08</t>
  </si>
  <si>
    <t>2025-10-01T16:14:13.267+08</t>
  </si>
  <si>
    <t>H030214034</t>
  </si>
  <si>
    <t>uuid:59147dd6-24cc-4aa4-869e-6537f6a1e1e6</t>
  </si>
  <si>
    <t>2025-09-15T10:20:51.459Z</t>
  </si>
  <si>
    <t>2025-09-15T13:05:58.416+08</t>
  </si>
  <si>
    <t>2025-09-15T14:06:09.106+08</t>
  </si>
  <si>
    <t>H030214032</t>
  </si>
  <si>
    <t>uuid:27f3855b-0f8f-435f-bd73-cee195befd80</t>
  </si>
  <si>
    <t>2025-09-15T10:32:08.353Z</t>
  </si>
  <si>
    <t>2025-09-15T09:14:02.605+08</t>
  </si>
  <si>
    <t>2025-09-15T09:57:30.252+08</t>
  </si>
  <si>
    <t>H004588017</t>
  </si>
  <si>
    <t>uuid:3241d724-a448-4c14-82c2-ea529667e2ba</t>
  </si>
  <si>
    <t>2025-09-15T10:32:28.567Z</t>
  </si>
  <si>
    <t>2025-09-15T10:47:55.810+08</t>
  </si>
  <si>
    <t>2025-09-15T11:16:54.525+08</t>
  </si>
  <si>
    <t>H004588034</t>
  </si>
  <si>
    <t>uuid:061c1acd-460a-4e8c-943b-f6c7dca3a3e9</t>
  </si>
  <si>
    <t>2025-09-15T10:32:32.446Z</t>
  </si>
  <si>
    <t>2025-09-15T14:16:01.838+08</t>
  </si>
  <si>
    <t>2025-09-15T14:50:03.874+08</t>
  </si>
  <si>
    <t>H004588024</t>
  </si>
  <si>
    <t>uuid:74a75c52-7bab-44c3-bd35-47bb1ffd9e7a</t>
  </si>
  <si>
    <t>2025-09-15T10:32:36.540Z</t>
  </si>
  <si>
    <t>2025-09-15T15:19:13.132+08</t>
  </si>
  <si>
    <t>2025-09-15T15:54:51.093+08</t>
  </si>
  <si>
    <t>H004588029</t>
  </si>
  <si>
    <t>uuid:33e4dc19-48c6-494a-823b-02e45d709db1</t>
  </si>
  <si>
    <t>2025-09-15T10:44:57.080Z</t>
  </si>
  <si>
    <t>2025-09-15T09:52:20.375+08</t>
  </si>
  <si>
    <t>2025-09-15T11:45:22.823+08</t>
  </si>
  <si>
    <t>H030214033</t>
  </si>
  <si>
    <t>uuid:06593065-56e7-429c-9efb-61c380297855</t>
  </si>
  <si>
    <t>2025-09-15T10:44:59.268Z</t>
  </si>
  <si>
    <t>2025-09-15T11:55:15.195+08</t>
  </si>
  <si>
    <t>2025-09-15T13:23:00.344+08</t>
  </si>
  <si>
    <t>H030214016</t>
  </si>
  <si>
    <t>uuid:50b306fd-a04b-437f-99f7-4d14df395bdb</t>
  </si>
  <si>
    <t>2025-10-01T11:01:55.396Z</t>
  </si>
  <si>
    <t>2025-10-01T10:39:13.969+08</t>
  </si>
  <si>
    <t>2025-10-01T17:36:58.057+08</t>
  </si>
  <si>
    <t>H030214018</t>
  </si>
  <si>
    <t>uuid:db2a1625-f5d3-45f2-a5c6-cd148d6bf2f1</t>
  </si>
  <si>
    <t>2025-09-15T10:45:01.209Z</t>
  </si>
  <si>
    <t>2025-09-15T16:57:59.730+08</t>
  </si>
  <si>
    <t>2025-09-15T17:03:46.392+08</t>
  </si>
  <si>
    <t>H030214006</t>
  </si>
  <si>
    <t>uuid:8e2e2b62-4521-4c25-a10f-c9162c8852c2</t>
  </si>
  <si>
    <t>2025-09-15T10:45:06.170Z</t>
  </si>
  <si>
    <t>2025-09-15T09:30:50.948+08</t>
  </si>
  <si>
    <t>2025-09-15T10:25:28.200+08</t>
  </si>
  <si>
    <t>H030200030</t>
  </si>
  <si>
    <t>uuid:f4ccd382-ce26-427a-ba42-000e55b16148</t>
  </si>
  <si>
    <t>2025-10-01T10:33:32.798Z</t>
  </si>
  <si>
    <t>2025-10-01T15:20:38.925+08</t>
  </si>
  <si>
    <t>2025-10-01T15:21:23.883+08</t>
  </si>
  <si>
    <t>H030200035</t>
  </si>
  <si>
    <t>uuid:74b7bf78-ea1c-44f4-af8c-c53fa143e274</t>
  </si>
  <si>
    <t>2025-09-15T10:45:08.920Z</t>
  </si>
  <si>
    <t>2025-09-15T13:08:50.478+08</t>
  </si>
  <si>
    <t>2025-09-15T14:28:34.792+08</t>
  </si>
  <si>
    <t>H030200033</t>
  </si>
  <si>
    <t>uuid:bee66e46-399b-4cb7-adf3-f5231e63eb41</t>
  </si>
  <si>
    <t>2025-09-15T10:45:10.078Z</t>
  </si>
  <si>
    <t>2025-09-15T10:41:35.863+08</t>
  </si>
  <si>
    <t>2025-09-15T11:41:11.190+08</t>
  </si>
  <si>
    <t>H030200034</t>
  </si>
  <si>
    <t>uuid:95148aa3-a1b0-450c-bf55-ef1a7c47eff1</t>
  </si>
  <si>
    <t>2025-09-15T10:47:40.197Z</t>
  </si>
  <si>
    <t>2025-09-15T09:31:36.897+08</t>
  </si>
  <si>
    <t>2025-09-15T10:54:06.886+08</t>
  </si>
  <si>
    <t>H030200025</t>
  </si>
  <si>
    <t>uuid:3ea0cccb-a285-41ad-9006-f03f3d73b159</t>
  </si>
  <si>
    <t>2025-09-15T10:47:43.422Z</t>
  </si>
  <si>
    <t>2025-09-15T13:10:57.364+08</t>
  </si>
  <si>
    <t>2025-09-15T14:31:56.287+08</t>
  </si>
  <si>
    <t>H030200019</t>
  </si>
  <si>
    <t>uuid:4f6aa058-14fd-4893-b8b6-4cff4c1722cb</t>
  </si>
  <si>
    <t>2025-09-15T10:47:47.902Z</t>
  </si>
  <si>
    <t>2025-09-15T11:01:52.355+08</t>
  </si>
  <si>
    <t>2025-09-15T17:14:06.730+08</t>
  </si>
  <si>
    <t>H030200021</t>
  </si>
  <si>
    <t>uuid:22a61b04-a905-414d-bc7e-fd0a366c89b1</t>
  </si>
  <si>
    <t>2025-09-15T10:47:52.771Z</t>
  </si>
  <si>
    <t>2025-09-15T14:47:10.285+08</t>
  </si>
  <si>
    <t>2025-09-15T16:10:16.314+08</t>
  </si>
  <si>
    <t>H030200029</t>
  </si>
  <si>
    <t>uuid:2fdafb9c-987a-405c-b5f7-9bd4f98eae48</t>
  </si>
  <si>
    <t>2025-09-15T10:56:38.333Z</t>
  </si>
  <si>
    <t>2025-09-15T11:41:44.608+08</t>
  </si>
  <si>
    <t>2025-09-15T13:07:41.553+08</t>
  </si>
  <si>
    <t>H030214019</t>
  </si>
  <si>
    <t>uuid:7d29e710-9eda-451d-b9d6-1110c2910b01</t>
  </si>
  <si>
    <t>2025-10-01T12:08:24.531Z</t>
  </si>
  <si>
    <t>2025-10-01T09:21:15.575+08</t>
  </si>
  <si>
    <t>2025-10-01T10:22:51.511+08</t>
  </si>
  <si>
    <t>H030214023</t>
  </si>
  <si>
    <t>uuid:295a49af-f5dc-434a-baa7-54ab97abcccf</t>
  </si>
  <si>
    <t>2025-09-15T10:56:42.749Z</t>
  </si>
  <si>
    <t>2025-09-15T09:52:57.288+08</t>
  </si>
  <si>
    <t>2025-09-15T11:25:39.853+08</t>
  </si>
  <si>
    <t>H030214025</t>
  </si>
  <si>
    <t>uuid:30e6b57d-6841-44b7-9d60-b441f3b0baaf</t>
  </si>
  <si>
    <t>2025-09-15T10:56:44.528Z</t>
  </si>
  <si>
    <t>2025-09-15T09:58:30.374+08</t>
  </si>
  <si>
    <t>2025-09-15T10:56:52.553+08</t>
  </si>
  <si>
    <t>H030214024</t>
  </si>
  <si>
    <t>uuid:ac8a38de-d129-4788-bc5a-12c6ef2c1be6</t>
  </si>
  <si>
    <t>2025-09-15T10:56:46.984Z</t>
  </si>
  <si>
    <t>2025-09-15T11:41:33.072+08</t>
  </si>
  <si>
    <t>2025-09-15T12:46:08.176+08</t>
  </si>
  <si>
    <t>H030214027</t>
  </si>
  <si>
    <t>uuid:b76fe6b6-d36b-49fe-9470-27cbe5d643e0</t>
  </si>
  <si>
    <t>2025-10-01T11:59:19.152Z</t>
  </si>
  <si>
    <t>2025-10-01T10:39:28.860+08</t>
  </si>
  <si>
    <t>2025-10-01T18:30:02.244+08</t>
  </si>
  <si>
    <t>H030214012</t>
  </si>
  <si>
    <t>uuid:3d8afa0c-100d-4393-9d1d-be660807e80d</t>
  </si>
  <si>
    <t>2025-10-03T04:47:43.896Z</t>
  </si>
  <si>
    <t>2025-10-03T06:48:31.886+08</t>
  </si>
  <si>
    <t>2025-10-03T07:27:37.635+08</t>
  </si>
  <si>
    <t>H030214020</t>
  </si>
  <si>
    <t>uuid:51538ea6-8adc-4624-bab2-33c7a81bd597</t>
  </si>
  <si>
    <t>2025-09-23T10:42:44.844Z</t>
  </si>
  <si>
    <t>2025-09-23T13:36:16.109+08</t>
  </si>
  <si>
    <t>2025-09-23T14:21:17.405+08</t>
  </si>
  <si>
    <t>H004407029</t>
  </si>
  <si>
    <t>uuid:733ea35c-f13b-4f5a-9ec2-94b53f67ae61</t>
  </si>
  <si>
    <t>2025-09-15T11:08:26.831Z</t>
  </si>
  <si>
    <t>2025-09-15T13:05:59.317+08</t>
  </si>
  <si>
    <t>2025-09-15T14:30:05.524+08</t>
  </si>
  <si>
    <t>H004407034</t>
  </si>
  <si>
    <t>uuid:fa28044f-d4af-4771-b81e-007bd25b9ce8</t>
  </si>
  <si>
    <t>2025-09-15T11:05:26.348Z</t>
  </si>
  <si>
    <t>2025-09-15T12:47:15.720+08</t>
  </si>
  <si>
    <t>2025-09-15T16:15:25.471+08</t>
  </si>
  <si>
    <t>H004407031</t>
  </si>
  <si>
    <t>uuid:b9442d6a-5da8-4573-a4cf-f1b7bb77c903</t>
  </si>
  <si>
    <t>2025-09-15T11:07:28.155Z</t>
  </si>
  <si>
    <t>2025-09-15T09:43:06.667+08</t>
  </si>
  <si>
    <t>2025-09-15T11:03:53.121+08</t>
  </si>
  <si>
    <t>H004407032</t>
  </si>
  <si>
    <t>uuid:384c683a-3e21-4591-adeb-69d8f152b721</t>
  </si>
  <si>
    <t>2025-09-15T11:07:53.081Z</t>
  </si>
  <si>
    <t>2025-09-15T11:18:47.841+08</t>
  </si>
  <si>
    <t>2025-09-15T12:23:10.474+08</t>
  </si>
  <si>
    <t>H004407033</t>
  </si>
  <si>
    <t>uuid:f088b743-7462-481c-afb2-27ebfebd0846</t>
  </si>
  <si>
    <t>2025-09-15T11:11:35.805Z</t>
  </si>
  <si>
    <t>2025-09-15T12:17:09.471+08</t>
  </si>
  <si>
    <t>2025-09-15T13:28:46.480+08</t>
  </si>
  <si>
    <t>H030200024</t>
  </si>
  <si>
    <t>uuid:6c932641-8f4e-42e1-97c4-db83c323e3dd</t>
  </si>
  <si>
    <t>2025-09-15T11:11:37.340Z</t>
  </si>
  <si>
    <t>2025-09-15T11:05:18.570+08</t>
  </si>
  <si>
    <t>2025-09-15T12:11:40.825+08</t>
  </si>
  <si>
    <t>H030200016</t>
  </si>
  <si>
    <t>uuid:7f62a3c8-5d3c-4eea-ab61-7c030e16fdc5</t>
  </si>
  <si>
    <t>2025-09-15T11:11:38.450Z</t>
  </si>
  <si>
    <t>2025-09-15T09:34:44.508+08</t>
  </si>
  <si>
    <t>2025-09-15T10:57:43.880+08</t>
  </si>
  <si>
    <t>H030200017</t>
  </si>
  <si>
    <t>uuid:f79ae0ae-a0c2-498a-a8c5-354ab144c6ec</t>
  </si>
  <si>
    <t>2025-09-15T11:11:39.479Z</t>
  </si>
  <si>
    <t>2025-09-15T13:42:47.287+08</t>
  </si>
  <si>
    <t>2025-09-15T14:45:45.134+08</t>
  </si>
  <si>
    <t>H030200026</t>
  </si>
  <si>
    <t>uuid:e70d439f-d9db-4f22-a74d-fb2d89186cb7</t>
  </si>
  <si>
    <t>2025-09-17T11:04:49.868Z</t>
  </si>
  <si>
    <t>2025-09-17T09:37:14.642+08</t>
  </si>
  <si>
    <t>2025-09-17T11:03:26.636+08</t>
  </si>
  <si>
    <t>H006706016</t>
  </si>
  <si>
    <t>uuid:f082ead3-c7aa-48a4-8842-7af0fdc3a87b</t>
  </si>
  <si>
    <t>2025-09-15T11:12:56.583Z</t>
  </si>
  <si>
    <t>2025-09-15T11:02:31.152+08</t>
  </si>
  <si>
    <t>2025-09-15T12:36:53.476+08</t>
  </si>
  <si>
    <t>H006706026</t>
  </si>
  <si>
    <t>uuid:06b043ed-d726-4b55-81f1-02700e4bf60d</t>
  </si>
  <si>
    <t>2025-09-15T11:12:57.996Z</t>
  </si>
  <si>
    <t>2025-09-15T09:58:51.894+08</t>
  </si>
  <si>
    <t>2025-09-15T11:01:55.143+08</t>
  </si>
  <si>
    <t>H006706004</t>
  </si>
  <si>
    <t>uuid:b655ae6e-62a8-4bcb-909a-24cf29f1b5fe</t>
  </si>
  <si>
    <t>2025-09-15T11:12:59.697Z</t>
  </si>
  <si>
    <t>2025-09-15T08:58:27.843+08</t>
  </si>
  <si>
    <t>2025-09-15T09:54:16.209+08</t>
  </si>
  <si>
    <t>H006706027</t>
  </si>
  <si>
    <t>uuid:7fd58f43-51dc-47a3-876b-fbd34d9510d1</t>
  </si>
  <si>
    <t>2025-09-15T11:13:03.733Z</t>
  </si>
  <si>
    <t>2025-09-15T09:36:19.211+08</t>
  </si>
  <si>
    <t>2025-09-15T10:16:51.237+08</t>
  </si>
  <si>
    <t>H006422030</t>
  </si>
  <si>
    <t>uuid:205099ee-f6ef-401f-8d6c-701b248bb3ce</t>
  </si>
  <si>
    <t>2025-09-15T11:13:08.668Z</t>
  </si>
  <si>
    <t>2025-09-15T10:28:17.534+08</t>
  </si>
  <si>
    <t>2025-09-15T11:11:54.442+08</t>
  </si>
  <si>
    <t>H006422033</t>
  </si>
  <si>
    <t>uuid:1cb88e47-9dcc-483d-8794-9806d9a0021e</t>
  </si>
  <si>
    <t>2025-09-15T11:13:12.322Z</t>
  </si>
  <si>
    <t>2025-09-15T12:32:21.139+08</t>
  </si>
  <si>
    <t>2025-09-15T13:22:30.452+08</t>
  </si>
  <si>
    <t>H006422082</t>
  </si>
  <si>
    <t>uuid:59bf14a0-b134-4c6d-a545-07bc4cc98597</t>
  </si>
  <si>
    <t>2025-09-15T11:14:10.653Z</t>
  </si>
  <si>
    <t>2025-09-15T09:05:10.658+08</t>
  </si>
  <si>
    <t>2025-09-15T10:26:41.788+08</t>
  </si>
  <si>
    <t>H006706020</t>
  </si>
  <si>
    <t>uuid:f1d14a4f-5852-42d3-92de-b66f5baac3d6</t>
  </si>
  <si>
    <t>2025-09-15T11:14:12.125Z</t>
  </si>
  <si>
    <t>2025-09-15T10:44:55.942+08</t>
  </si>
  <si>
    <t>2025-09-15T12:01:14.946+08</t>
  </si>
  <si>
    <t>H006706012</t>
  </si>
  <si>
    <t>uuid:3438604b-2705-4dca-a5ee-fdf82397da6f</t>
  </si>
  <si>
    <t>2025-09-15T11:14:13.472Z</t>
  </si>
  <si>
    <t>2025-09-15T12:49:58.425+08</t>
  </si>
  <si>
    <t>2025-09-15T14:10:01.260+08</t>
  </si>
  <si>
    <t>H006706024</t>
  </si>
  <si>
    <t>uuid:ca119365-c26e-41e2-9e52-353b495735dd</t>
  </si>
  <si>
    <t>2025-09-15T11:14:31.907Z</t>
  </si>
  <si>
    <t>2025-09-15T09:13:22.099+08</t>
  </si>
  <si>
    <t>2025-09-15T10:19:01.624+08</t>
  </si>
  <si>
    <t>H006422020</t>
  </si>
  <si>
    <t>uuid:2fb5c451-041b-455c-bfe1-084e04cc5071</t>
  </si>
  <si>
    <t>2025-09-15T11:14:33.937Z</t>
  </si>
  <si>
    <t>2025-09-15T10:28:13.078+08</t>
  </si>
  <si>
    <t>2025-09-15T12:13:12.511+08</t>
  </si>
  <si>
    <t>H006422016</t>
  </si>
  <si>
    <t>uuid:14e2c50b-f9de-4f73-a85b-05928cb25999</t>
  </si>
  <si>
    <t>2025-09-15T11:14:35.854Z</t>
  </si>
  <si>
    <t>2025-09-15T13:13:50.345+08</t>
  </si>
  <si>
    <t>2025-09-15T19:13:41.132+08</t>
  </si>
  <si>
    <t>H006422024</t>
  </si>
  <si>
    <t>uuid:f72a02eb-92c0-4077-a3a0-7b6fda8459a4</t>
  </si>
  <si>
    <t>2025-09-15T11:15:35.911Z</t>
  </si>
  <si>
    <t>2025-09-15T08:43:11.198+08</t>
  </si>
  <si>
    <t>2025-09-15T09:51:18.778+08</t>
  </si>
  <si>
    <t>H006706005</t>
  </si>
  <si>
    <t>uuid:2d3db68e-3fea-4a90-987e-55ff669040ab</t>
  </si>
  <si>
    <t>2025-09-15T11:15:37.799Z</t>
  </si>
  <si>
    <t>2025-09-15T09:51:40.012+08</t>
  </si>
  <si>
    <t>2025-09-15T11:40:30.711+08</t>
  </si>
  <si>
    <t>H006706023</t>
  </si>
  <si>
    <t>uuid:4b1c0a22-3778-4e4e-8ef6-4bcd45a04658</t>
  </si>
  <si>
    <t>2025-09-15T11:15:38.918Z</t>
  </si>
  <si>
    <t>2025-09-15T11:40:54.441+08</t>
  </si>
  <si>
    <t>2025-09-15T15:12:46.767+08</t>
  </si>
  <si>
    <t>H006706025</t>
  </si>
  <si>
    <t>uuid:8e8339ea-63c9-438a-b87e-002b04863bed</t>
  </si>
  <si>
    <t>2025-09-15T11:17:49.406Z</t>
  </si>
  <si>
    <t>2025-09-15T09:27:46.484+08</t>
  </si>
  <si>
    <t>2025-09-15T10:24:29.066+08</t>
  </si>
  <si>
    <t>H004407026</t>
  </si>
  <si>
    <t>uuid:e1465f57-b5c0-4cf5-80b1-3a856f74fb1f</t>
  </si>
  <si>
    <t>2025-09-15T11:17:51.608Z</t>
  </si>
  <si>
    <t>2025-09-15T10:52:30.146+08</t>
  </si>
  <si>
    <t>2025-09-15T11:36:16.107+08</t>
  </si>
  <si>
    <t>H004407024</t>
  </si>
  <si>
    <t>uuid:ccd049cf-dcd9-4c49-9faf-897299f3ae2d</t>
  </si>
  <si>
    <t>2025-09-15T11:17:52.554Z</t>
  </si>
  <si>
    <t>2025-09-15T12:05:44.280+08</t>
  </si>
  <si>
    <t>2025-09-15T13:32:14.405+08</t>
  </si>
  <si>
    <t>H004407028</t>
  </si>
  <si>
    <t>uuid:e1af19ae-dfbc-48b4-83e1-7065d4b7920b</t>
  </si>
  <si>
    <t>2025-09-15T11:17:54.969Z</t>
  </si>
  <si>
    <t>2025-09-15T13:49:58.012+08</t>
  </si>
  <si>
    <t>2025-09-15T14:30:49.565+08</t>
  </si>
  <si>
    <t>H004407025</t>
  </si>
  <si>
    <t>uuid:043662db-7e57-4dfe-acf0-d3ae7591b737</t>
  </si>
  <si>
    <t>2025-09-28T11:42:15.766Z</t>
  </si>
  <si>
    <t>2025-09-28T08:56:33.296+08</t>
  </si>
  <si>
    <t>2025-09-28T09:45:37.644+08</t>
  </si>
  <si>
    <t>H004407027</t>
  </si>
  <si>
    <t>uuid:e5e88228-0ff7-40be-a20a-ba507fd68f65</t>
  </si>
  <si>
    <t>2025-09-15T11:27:52.465Z</t>
  </si>
  <si>
    <t>2025-09-15T09:15:20.024+08</t>
  </si>
  <si>
    <t>2025-09-15T10:23:24.261+08</t>
  </si>
  <si>
    <t>H004588018</t>
  </si>
  <si>
    <t>uuid:8a137e42-9525-4f72-96ff-bacd8d05341a</t>
  </si>
  <si>
    <t>2025-09-15T11:27:54.751Z</t>
  </si>
  <si>
    <t>2025-09-15T11:11:11.288+08</t>
  </si>
  <si>
    <t>2025-09-15T12:14:11.321+08</t>
  </si>
  <si>
    <t>H004588033</t>
  </si>
  <si>
    <t>uuid:fd8a6398-3155-4204-b33a-b59b76ef90c8</t>
  </si>
  <si>
    <t>2025-09-15T11:27:56.735Z</t>
  </si>
  <si>
    <t>2025-09-15T14:09:13.103+08</t>
  </si>
  <si>
    <t>2025-09-15T14:52:45.007+08</t>
  </si>
  <si>
    <t>H004588025</t>
  </si>
  <si>
    <t>uuid:9946f475-7d02-4e36-9837-2fbd7880f08f</t>
  </si>
  <si>
    <t>2025-09-15T11:27:57.863Z</t>
  </si>
  <si>
    <t>2025-09-15T15:06:10.228+08</t>
  </si>
  <si>
    <t>2025-09-15T15:52:27.693+08</t>
  </si>
  <si>
    <t>H004588023</t>
  </si>
  <si>
    <t>uuid:ddb7f19a-4ee5-478a-8acd-0f0ca218dc94</t>
  </si>
  <si>
    <t>2025-09-15T11:50:04.155Z</t>
  </si>
  <si>
    <t>2025-09-15T10:33:14.180+08</t>
  </si>
  <si>
    <t>2025-09-15T11:28:30.161+08</t>
  </si>
  <si>
    <t>H006422022</t>
  </si>
  <si>
    <t>uuid:d4ff82ed-7dc2-4518-a86c-8c2513cc1fee</t>
  </si>
  <si>
    <t>2025-09-15T11:50:05.708Z</t>
  </si>
  <si>
    <t>2025-09-15T15:58:14.740+08</t>
  </si>
  <si>
    <t>2025-09-15T17:23:23.328+08</t>
  </si>
  <si>
    <t>H006863004</t>
  </si>
  <si>
    <t>uuid:b88c7b27-4564-4b82-841d-5bcd4acb74aa</t>
  </si>
  <si>
    <t>2025-09-15T11:50:07.031Z</t>
  </si>
  <si>
    <t>2025-09-15T09:15:04.509+08</t>
  </si>
  <si>
    <t>2025-09-15T10:17:14.835+08</t>
  </si>
  <si>
    <t>H006422001</t>
  </si>
  <si>
    <t>uuid:ca34e823-b93f-4e3d-89e1-b4c979505584</t>
  </si>
  <si>
    <t>2025-09-15T12:07:01.277Z</t>
  </si>
  <si>
    <t>2025-09-15T09:12:21.645+08</t>
  </si>
  <si>
    <t>2025-09-15T10:04:38.295+08</t>
  </si>
  <si>
    <t>H006422018</t>
  </si>
  <si>
    <t>uuid:6b0dbf71-5269-4829-ae50-17e37a0c82e6</t>
  </si>
  <si>
    <t>2025-09-15T12:07:03.579Z</t>
  </si>
  <si>
    <t>2025-09-15T10:25:29.642+08</t>
  </si>
  <si>
    <t>2025-09-15T11:07:31.305+08</t>
  </si>
  <si>
    <t>H006422021</t>
  </si>
  <si>
    <t>uuid:9ea79c89-27a5-4df4-b64e-7ea087fcfff9</t>
  </si>
  <si>
    <t>2025-09-16T04:59:01.807Z</t>
  </si>
  <si>
    <t>2025-09-16T08:42:16.947+08</t>
  </si>
  <si>
    <t>2025-09-16T09:57:51.879+08</t>
  </si>
  <si>
    <t>H006809021</t>
  </si>
  <si>
    <t>uuid:f7b33331-b0d7-4f7f-8f2a-e6bbf0509901</t>
  </si>
  <si>
    <t>2025-09-16T04:59:04.482Z</t>
  </si>
  <si>
    <t>2025-09-16T10:17:58.169+08</t>
  </si>
  <si>
    <t>2025-09-16T11:37:31.066+08</t>
  </si>
  <si>
    <t>H006809086</t>
  </si>
  <si>
    <t>uuid:afe4a270-6828-42c2-bca6-28f4858e1a05</t>
  </si>
  <si>
    <t>2025-09-16T09:39:57.303Z</t>
  </si>
  <si>
    <t>2025-09-16T09:50:28.885+08</t>
  </si>
  <si>
    <t>2025-09-16T10:35:40.478+08</t>
  </si>
  <si>
    <t>H004042029</t>
  </si>
  <si>
    <t>uuid:a8fc51a8-b3d6-47ec-9676-c7937513f474</t>
  </si>
  <si>
    <t>2025-09-16T09:39:59.406Z</t>
  </si>
  <si>
    <t>2025-09-16T11:08:03.310+08</t>
  </si>
  <si>
    <t>2025-09-16T12:01:58.122+08</t>
  </si>
  <si>
    <t>H004042032</t>
  </si>
  <si>
    <t>uuid:b6e60c80-b6f6-4502-bc79-7abb33275f76</t>
  </si>
  <si>
    <t>2025-09-16T09:40:00.891Z</t>
  </si>
  <si>
    <t>2025-09-16T13:22:49.772+08</t>
  </si>
  <si>
    <t>2025-09-16T14:26:49.855+08</t>
  </si>
  <si>
    <t>H004042030</t>
  </si>
  <si>
    <t>uuid:e09829da-a9c6-4730-acdd-07bd6d4c5dab</t>
  </si>
  <si>
    <t>2025-09-16T09:40:03.303Z</t>
  </si>
  <si>
    <t>2025-09-16T14:51:59.638+08</t>
  </si>
  <si>
    <t>2025-09-16T15:52:42.180+08</t>
  </si>
  <si>
    <t>H004042024</t>
  </si>
  <si>
    <t>uuid:ab886f6a-cc9f-4d36-99ac-895e67f4dcf8</t>
  </si>
  <si>
    <t>2025-09-16T09:50:20.225Z</t>
  </si>
  <si>
    <t>2025-09-16T09:48:42.288+08</t>
  </si>
  <si>
    <t>2025-09-16T11:02:32.276+08</t>
  </si>
  <si>
    <t>H004042027</t>
  </si>
  <si>
    <t>uuid:d58f4533-8538-44d1-b762-7210b39a7c34</t>
  </si>
  <si>
    <t>2025-09-16T09:50:22.275Z</t>
  </si>
  <si>
    <t>2025-09-16T11:20:27.672+08</t>
  </si>
  <si>
    <t>2025-09-16T12:33:31.951+08</t>
  </si>
  <si>
    <t>H004042081</t>
  </si>
  <si>
    <t>uuid:e9f69338-3765-47af-bb1e-1326ed2c5a8a</t>
  </si>
  <si>
    <t>2025-09-16T09:50:24.231Z</t>
  </si>
  <si>
    <t>2025-09-16T13:04:40.795+08</t>
  </si>
  <si>
    <t>2025-09-16T14:14:21.161+08</t>
  </si>
  <si>
    <t>H004042021</t>
  </si>
  <si>
    <t>uuid:29c92cfb-9bd4-45a0-b6aa-53fdcb4dd13c</t>
  </si>
  <si>
    <t>2025-09-16T09:50:26.361Z</t>
  </si>
  <si>
    <t>2025-09-16T14:48:56.283+08</t>
  </si>
  <si>
    <t>2025-09-16T16:02:13.667+08</t>
  </si>
  <si>
    <t>H004042080</t>
  </si>
  <si>
    <t>uuid:80e7ae41-9f39-4af6-9bdd-e43c05e4eb2d</t>
  </si>
  <si>
    <t>2025-09-16T09:54:04.217Z</t>
  </si>
  <si>
    <t>2025-09-16T09:43:44.952+08</t>
  </si>
  <si>
    <t>2025-09-16T10:47:19.085+08</t>
  </si>
  <si>
    <t>H004042020</t>
  </si>
  <si>
    <t>uuid:d5fbaf68-36a1-45d0-8d36-ccc12db52403</t>
  </si>
  <si>
    <t>2025-09-16T09:54:06.031Z</t>
  </si>
  <si>
    <t>2025-09-16T12:04:16.799+08</t>
  </si>
  <si>
    <t>2025-09-16T12:56:51.942+08</t>
  </si>
  <si>
    <t>H004042025</t>
  </si>
  <si>
    <t>uuid:7c6461e6-94eb-4b13-906e-4bbac4e87078</t>
  </si>
  <si>
    <t>2025-09-16T09:54:07.724Z</t>
  </si>
  <si>
    <t>2025-09-16T13:16:58.563+08</t>
  </si>
  <si>
    <t>2025-09-16T14:06:21.026+08</t>
  </si>
  <si>
    <t>H004042015</t>
  </si>
  <si>
    <t>uuid:d2851654-0db1-4acf-bf8b-50c3f15f742c</t>
  </si>
  <si>
    <t>2025-09-16T09:54:10.149Z</t>
  </si>
  <si>
    <t>2025-09-16T10:56:46.999+08</t>
  </si>
  <si>
    <t>2025-09-16T17:47:49.030+08</t>
  </si>
  <si>
    <t>H004042019</t>
  </si>
  <si>
    <t>uuid:5eba8e8a-ae2f-4558-bd38-3aa9b3b64228</t>
  </si>
  <si>
    <t>2025-09-16T09:59:25.076Z</t>
  </si>
  <si>
    <t>2025-09-16T09:46:41.543+08</t>
  </si>
  <si>
    <t>2025-09-16T11:00:30.671+08</t>
  </si>
  <si>
    <t>H004001016</t>
  </si>
  <si>
    <t>uuid:ce4f1d7e-701f-4da6-ac96-ad9cda9868e4</t>
  </si>
  <si>
    <t>2025-09-16T09:59:26.397Z</t>
  </si>
  <si>
    <t>2025-09-16T11:11:20.064+08</t>
  </si>
  <si>
    <t>2025-09-16T12:18:23.915+08</t>
  </si>
  <si>
    <t>H004001034</t>
  </si>
  <si>
    <t>uuid:6a051bf2-a731-435f-8b95-6987facd7063</t>
  </si>
  <si>
    <t>2025-09-16T09:59:27.457Z</t>
  </si>
  <si>
    <t>2025-09-16T12:47:33.462+08</t>
  </si>
  <si>
    <t>2025-09-16T13:58:50.132+08</t>
  </si>
  <si>
    <t>H004001020</t>
  </si>
  <si>
    <t>uuid:88585b1f-b06c-4f24-a295-6d4b04ad5b07</t>
  </si>
  <si>
    <t>2025-09-16T09:59:28.373Z</t>
  </si>
  <si>
    <t>2025-09-16T14:06:20.357+08</t>
  </si>
  <si>
    <t>2025-09-16T15:05:10.805+08</t>
  </si>
  <si>
    <t>H004001025</t>
  </si>
  <si>
    <t>uuid:3ec5101d-706a-479f-9591-be200c13eee7</t>
  </si>
  <si>
    <t>2025-09-16T10:27:16.543Z</t>
  </si>
  <si>
    <t>2025-09-16T13:06:15.538+08</t>
  </si>
  <si>
    <t>2025-09-16T14:01:52.880+08</t>
  </si>
  <si>
    <t>H006809087</t>
  </si>
  <si>
    <t>uuid:680e5e11-2459-4d78-b650-20a7f9f41ff2</t>
  </si>
  <si>
    <t>2025-09-16T10:38:25.525Z</t>
  </si>
  <si>
    <t>2025-09-16T10:34:27.642+08</t>
  </si>
  <si>
    <t>2025-09-16T11:56:22.201+08</t>
  </si>
  <si>
    <t>H030515015</t>
  </si>
  <si>
    <t>uuid:280541e9-78e6-40c9-b6dd-50a07e976300</t>
  </si>
  <si>
    <t>2025-09-16T10:38:28.484Z</t>
  </si>
  <si>
    <t>2025-09-16T11:58:22.798+08</t>
  </si>
  <si>
    <t>2025-09-16T16:57:22.039+08</t>
  </si>
  <si>
    <t>H030515030</t>
  </si>
  <si>
    <t>uuid:1ff93669-3641-48a3-b2d5-bc1f1ddc3ff2</t>
  </si>
  <si>
    <t>2025-09-16T10:38:30.075Z</t>
  </si>
  <si>
    <t>2025-09-16T13:53:47.871+08</t>
  </si>
  <si>
    <t>2025-09-16T16:57:55.245+08</t>
  </si>
  <si>
    <t>H030515027</t>
  </si>
  <si>
    <t>uuid:e4206d83-4f9c-46cd-bafb-eb3ee71aab63</t>
  </si>
  <si>
    <t>2025-09-16T10:43:34.684Z</t>
  </si>
  <si>
    <t>2025-09-16T09:15:33.597+08</t>
  </si>
  <si>
    <t>2025-09-16T10:16:53.458+08</t>
  </si>
  <si>
    <t>H030310033</t>
  </si>
  <si>
    <t>uuid:6e283504-43d8-4b6f-a4f4-829fe2b36499</t>
  </si>
  <si>
    <t>2025-09-16T10:43:42.229Z</t>
  </si>
  <si>
    <t>2025-09-16T10:42:23.128+08</t>
  </si>
  <si>
    <t>2025-09-16T12:04:59.015+08</t>
  </si>
  <si>
    <t>H030310025</t>
  </si>
  <si>
    <t>uuid:c4faaa1e-66e3-4489-a9e4-126bb34c1169</t>
  </si>
  <si>
    <t>2025-09-16T10:43:48.253Z</t>
  </si>
  <si>
    <t>2025-09-16T13:08:06.819+08</t>
  </si>
  <si>
    <t>2025-09-16T13:54:57.801+08</t>
  </si>
  <si>
    <t>H030310021</t>
  </si>
  <si>
    <t>uuid:3f955179-908d-48a1-b7e2-99b8e4717318</t>
  </si>
  <si>
    <t>2025-09-16T10:53:57.584Z</t>
  </si>
  <si>
    <t>2025-09-16T10:07:13.703+08</t>
  </si>
  <si>
    <t>2025-09-16T11:00:35.188+08</t>
  </si>
  <si>
    <t>H030515028</t>
  </si>
  <si>
    <t>uuid:e0ea256b-be1e-4150-9340-1d8248f7e86b</t>
  </si>
  <si>
    <t>2025-09-16T10:54:01.061Z</t>
  </si>
  <si>
    <t>2025-09-16T12:28:48.505+08</t>
  </si>
  <si>
    <t>2025-09-16T13:38:22.690+08</t>
  </si>
  <si>
    <t>H030515003</t>
  </si>
  <si>
    <t>uuid:714a0470-fea8-42c4-9cfe-7696baddccab</t>
  </si>
  <si>
    <t>2025-09-16T10:54:01.992Z</t>
  </si>
  <si>
    <t>2025-09-16T14:28:50.846+08</t>
  </si>
  <si>
    <t>2025-09-16T15:28:08.830+08</t>
  </si>
  <si>
    <t>H030515031</t>
  </si>
  <si>
    <t>uuid:ac5e0327-8ed3-4798-8918-338909a14e30</t>
  </si>
  <si>
    <t>2025-09-16T10:54:10.674Z</t>
  </si>
  <si>
    <t>2025-09-16T09:59:37.416+08</t>
  </si>
  <si>
    <t>2025-09-16T16:23:57.633+08</t>
  </si>
  <si>
    <t>H030515026</t>
  </si>
  <si>
    <t>uuid:ee2f4ab2-5d41-4a59-a4ab-e680cf42a778</t>
  </si>
  <si>
    <t>2025-09-16T10:54:21.661Z</t>
  </si>
  <si>
    <t>2025-09-16T12:11:05.328+08</t>
  </si>
  <si>
    <t>2025-09-16T16:29:10.244+08</t>
  </si>
  <si>
    <t>H030515041</t>
  </si>
  <si>
    <t>uuid:6d7ba773-1dfe-4d67-9ff4-a38be899d07d</t>
  </si>
  <si>
    <t>2025-09-16T10:54:27.179Z</t>
  </si>
  <si>
    <t>2025-09-16T09:01:53.893+08</t>
  </si>
  <si>
    <t>2025-09-16T10:21:11.147+08</t>
  </si>
  <si>
    <t>H030200023</t>
  </si>
  <si>
    <t>uuid:68e8daef-a015-4fc2-8e40-dbbff83f5639</t>
  </si>
  <si>
    <t>2025-09-16T10:54:29.942Z</t>
  </si>
  <si>
    <t>2025-09-16T11:24:54.495+08</t>
  </si>
  <si>
    <t>2025-09-16T12:45:50.893+08</t>
  </si>
  <si>
    <t>H030200020</t>
  </si>
  <si>
    <t>uuid:39efe51e-2d0c-4514-877a-6c1b63f7b4ac</t>
  </si>
  <si>
    <t>2025-09-17T10:27:25.516Z</t>
  </si>
  <si>
    <t>2025-09-17T08:14:07.909+08</t>
  </si>
  <si>
    <t>2025-09-17T08:58:29.307+08</t>
  </si>
  <si>
    <t>H030310023</t>
  </si>
  <si>
    <t>uuid:3e4ca8c5-f94b-442b-a7a7-04e55c3a0932</t>
  </si>
  <si>
    <t>2025-09-16T10:55:06.237Z</t>
  </si>
  <si>
    <t>2025-09-16T13:08:34.778+08</t>
  </si>
  <si>
    <t>2025-09-16T13:09:31.160+08</t>
  </si>
  <si>
    <t>H030515016</t>
  </si>
  <si>
    <t>uuid:37e8ad48-82be-4e9b-a146-5ebb4371775e</t>
  </si>
  <si>
    <t>2025-09-16T10:54:36.179Z</t>
  </si>
  <si>
    <t>2025-09-16T10:21:31.284+08</t>
  </si>
  <si>
    <t>2025-09-16T11:17:18.114+08</t>
  </si>
  <si>
    <t>H030200031</t>
  </si>
  <si>
    <t>uuid:e8213492-f83c-4c4c-b94a-4b423fffeb72</t>
  </si>
  <si>
    <t>2025-09-16T10:54:55.047Z</t>
  </si>
  <si>
    <t>2025-09-16T12:04:42.455+08</t>
  </si>
  <si>
    <t>2025-09-16T17:19:43.541+08</t>
  </si>
  <si>
    <t>H030515022</t>
  </si>
  <si>
    <t>uuid:a6fe1028-0221-41e2-ab37-8335b47aedf0</t>
  </si>
  <si>
    <t>2025-09-16T10:54:53.448Z</t>
  </si>
  <si>
    <t>2025-09-16T14:50:13.936+08</t>
  </si>
  <si>
    <t>2025-09-16T17:04:04.993+08</t>
  </si>
  <si>
    <t>H030515020</t>
  </si>
  <si>
    <t>uuid:9debddeb-36f9-49e4-92e8-ea1eebb06bbf</t>
  </si>
  <si>
    <t>2025-09-16T10:54:56.517Z</t>
  </si>
  <si>
    <t>2025-09-16T13:41:54.343+08</t>
  </si>
  <si>
    <t>2025-09-16T17:30:18.416+08</t>
  </si>
  <si>
    <t>H030515017</t>
  </si>
  <si>
    <t>uuid:3df9004d-e46e-4f18-acec-08e7ae9f7e6f</t>
  </si>
  <si>
    <t>2025-09-16T10:55:48.812Z</t>
  </si>
  <si>
    <t>2025-09-16T13:16:20.620+08</t>
  </si>
  <si>
    <t>2025-09-16T14:04:41.330+08</t>
  </si>
  <si>
    <t>H030310022</t>
  </si>
  <si>
    <t>uuid:80248525-e63e-4f47-accc-e90699652612</t>
  </si>
  <si>
    <t>2025-09-16T10:55:57.020Z</t>
  </si>
  <si>
    <t>2025-09-16T11:33:48.545+08</t>
  </si>
  <si>
    <t>2025-09-16T12:46:25.846+08</t>
  </si>
  <si>
    <t>H030310028</t>
  </si>
  <si>
    <t>uuid:60c43f92-67ee-49f1-a2b3-d19493a832c1</t>
  </si>
  <si>
    <t>2025-09-16T10:56:05.107Z</t>
  </si>
  <si>
    <t>2025-09-16T09:11:41.746+08</t>
  </si>
  <si>
    <t>2025-09-16T10:30:25.515+08</t>
  </si>
  <si>
    <t>H030310032</t>
  </si>
  <si>
    <t>uuid:f8bb6032-5057-4b05-bf44-e3790bd0757f</t>
  </si>
  <si>
    <t>2025-09-16T11:06:57.532Z</t>
  </si>
  <si>
    <t>2025-09-16T13:20:38.853+08</t>
  </si>
  <si>
    <t>2025-09-16T14:25:44.318+08</t>
  </si>
  <si>
    <t>H006809022</t>
  </si>
  <si>
    <t>uuid:039c8367-29e6-4d74-9b10-10f20903fdd0</t>
  </si>
  <si>
    <t>2025-09-16T11:06:58.963Z</t>
  </si>
  <si>
    <t>2025-09-16T09:47:29.897+08</t>
  </si>
  <si>
    <t>2025-09-16T11:09:47.767+08</t>
  </si>
  <si>
    <t>H006809027</t>
  </si>
  <si>
    <t>uuid:cc72e153-fe39-48f7-a7f5-5e8672163371</t>
  </si>
  <si>
    <t>2025-09-16T11:07:01.854Z</t>
  </si>
  <si>
    <t>2025-09-16T08:26:23.150+08</t>
  </si>
  <si>
    <t>2025-09-16T09:30:47.868+08</t>
  </si>
  <si>
    <t>H006809016</t>
  </si>
  <si>
    <t>uuid:e9f5e761-797b-4ed8-8eb0-647d5942412b</t>
  </si>
  <si>
    <t>2025-09-16T11:19:48.046Z</t>
  </si>
  <si>
    <t>2025-09-16T08:29:07.992+08</t>
  </si>
  <si>
    <t>2025-09-16T09:34:26.906+08</t>
  </si>
  <si>
    <t>H006809035</t>
  </si>
  <si>
    <t>uuid:aa744696-907d-4f5b-8994-6237853818bc</t>
  </si>
  <si>
    <t>2025-09-16T11:19:51.633Z</t>
  </si>
  <si>
    <t>2025-09-16T09:48:59.290+08</t>
  </si>
  <si>
    <t>2025-09-16T10:43:38.442+08</t>
  </si>
  <si>
    <t>H006809002</t>
  </si>
  <si>
    <t>uuid:9d4ad059-2709-430e-a2e6-278f97ee11a8</t>
  </si>
  <si>
    <t>2025-09-16T11:19:55.561Z</t>
  </si>
  <si>
    <t>2025-09-16T13:24:14.887+08</t>
  </si>
  <si>
    <t>2025-09-16T14:33:11.384+08</t>
  </si>
  <si>
    <t>H006809023</t>
  </si>
  <si>
    <t>uuid:fe9e7d3c-04cc-4578-ac31-8f1a500e6227</t>
  </si>
  <si>
    <t>2025-09-16T11:32:32.314Z</t>
  </si>
  <si>
    <t>2025-09-16T08:48:46.689+08</t>
  </si>
  <si>
    <t>2025-09-16T10:31:45.149+08</t>
  </si>
  <si>
    <t>H006033017</t>
  </si>
  <si>
    <t>uuid:bf85fdb5-7300-44ba-892d-5c01b26a3109</t>
  </si>
  <si>
    <t>2025-09-16T11:32:34.275Z</t>
  </si>
  <si>
    <t>2025-09-16T10:49:51.358+08</t>
  </si>
  <si>
    <t>2025-09-16T11:50:26.388+08</t>
  </si>
  <si>
    <t>H006033023</t>
  </si>
  <si>
    <t>uuid:ea70a6ca-de10-4045-b532-60f002b23751</t>
  </si>
  <si>
    <t>2025-09-17T11:04:21.669Z</t>
  </si>
  <si>
    <t>2025-09-17T09:53:31.496+08</t>
  </si>
  <si>
    <t>2025-09-17T11:02:01.983+08</t>
  </si>
  <si>
    <t>H006033028</t>
  </si>
  <si>
    <t>uuid:435f66bb-f6e8-4cd9-a909-ff75363d1090</t>
  </si>
  <si>
    <t>2025-09-16T11:32:41.418Z</t>
  </si>
  <si>
    <t>2025-09-16T10:21:28.279+08</t>
  </si>
  <si>
    <t>2025-09-16T11:21:42.660+08</t>
  </si>
  <si>
    <t>H006033027</t>
  </si>
  <si>
    <t>uuid:a55c4f5d-2f28-43ad-98e4-490717014d12</t>
  </si>
  <si>
    <t>2025-09-20T06:22:06.483Z</t>
  </si>
  <si>
    <t>2025-09-20T08:38:09.198+08</t>
  </si>
  <si>
    <t>2025-09-20T09:51:37.827+08</t>
  </si>
  <si>
    <t>H006422080</t>
  </si>
  <si>
    <t>uuid:a68edea3-2f7c-4249-8265-5c0eb376e1d8</t>
  </si>
  <si>
    <t>2025-09-17T10:27:53.323Z</t>
  </si>
  <si>
    <t>2025-09-17T09:53:36.499+08</t>
  </si>
  <si>
    <t>2025-09-17T11:08:36.292+08</t>
  </si>
  <si>
    <t>H006033030</t>
  </si>
  <si>
    <t>uuid:419eca14-6cbd-49b8-8640-b1bdf7d28f07</t>
  </si>
  <si>
    <t>2025-09-16T11:32:57.502Z</t>
  </si>
  <si>
    <t>2025-09-16T08:46:39.904+08</t>
  </si>
  <si>
    <t>2025-09-16T09:43:27.302+08</t>
  </si>
  <si>
    <t>H006033032</t>
  </si>
  <si>
    <t>uuid:1fab4b65-f903-4872-8714-debac4ca6f32</t>
  </si>
  <si>
    <t>2025-09-16T11:35:55.775Z</t>
  </si>
  <si>
    <t>2025-09-16T10:10:31.560+08</t>
  </si>
  <si>
    <t>2025-09-16T11:18:56.281+08</t>
  </si>
  <si>
    <t>H006033026</t>
  </si>
  <si>
    <t>uuid:95c38f50-7149-4843-845c-cf364fe97739</t>
  </si>
  <si>
    <t>2025-09-20T06:21:45.731Z</t>
  </si>
  <si>
    <t>2025-09-20T07:36:41.064+08</t>
  </si>
  <si>
    <t>2025-09-20T08:37:36.776+08</t>
  </si>
  <si>
    <t>H006422017</t>
  </si>
  <si>
    <t>uuid:f489c6c9-e640-4e50-9eec-fbe533b95365</t>
  </si>
  <si>
    <t>2025-09-16T11:36:16.465Z</t>
  </si>
  <si>
    <t>2025-09-16T15:17:41.219+08</t>
  </si>
  <si>
    <t>2025-09-16T15:58:20.974+08</t>
  </si>
  <si>
    <t>H004001029</t>
  </si>
  <si>
    <t>uuid:7bd8a9e2-b765-4285-b40c-b1703925113a</t>
  </si>
  <si>
    <t>2025-09-16T11:36:32.346Z</t>
  </si>
  <si>
    <t>2025-09-16T08:46:04.304+08</t>
  </si>
  <si>
    <t>2025-09-16T19:34:27.168+08</t>
  </si>
  <si>
    <t>H006033034</t>
  </si>
  <si>
    <t>uuid:d918df87-0e6d-487b-ab59-356d112101f9</t>
  </si>
  <si>
    <t>2025-09-29T09:49:22.175Z</t>
  </si>
  <si>
    <t>2025-09-29T09:34:05.995+08</t>
  </si>
  <si>
    <t>2025-09-29T11:47:56.491+08</t>
  </si>
  <si>
    <t>H004001026</t>
  </si>
  <si>
    <t>uuid:38953429-cf41-4e9e-929c-334ab5e5ffcf</t>
  </si>
  <si>
    <t>2025-09-16T11:42:05.854Z</t>
  </si>
  <si>
    <t>2025-09-16T10:08:44.220+08</t>
  </si>
  <si>
    <t>2025-09-16T11:00:02.237+08</t>
  </si>
  <si>
    <t>H006033024</t>
  </si>
  <si>
    <t>uuid:39793bcd-8a15-42ec-8552-4205507bbe4b</t>
  </si>
  <si>
    <t>2025-09-16T11:42:12.231Z</t>
  </si>
  <si>
    <t>2025-09-16T08:43:45.070+08</t>
  </si>
  <si>
    <t>2025-09-16T09:51:04.741+08</t>
  </si>
  <si>
    <t>H006033031</t>
  </si>
  <si>
    <t>uuid:c912475e-49cd-4544-8b15-4ee849493093</t>
  </si>
  <si>
    <t>2025-09-16T11:42:16.449Z</t>
  </si>
  <si>
    <t>2025-09-16T11:19:42.873+08</t>
  </si>
  <si>
    <t>2025-09-16T12:31:10.418+08</t>
  </si>
  <si>
    <t>H006033025</t>
  </si>
  <si>
    <t>uuid:665f217a-a6e5-4cda-879b-ce5f08b1a191</t>
  </si>
  <si>
    <t>2025-09-16T11:42:44.346Z</t>
  </si>
  <si>
    <t>2025-09-16T09:52:44.295+08</t>
  </si>
  <si>
    <t>2025-09-16T10:44:27.802+08</t>
  </si>
  <si>
    <t>H004001018</t>
  </si>
  <si>
    <t>uuid:db678950-c487-481c-a093-4bf18cfc90f8</t>
  </si>
  <si>
    <t>2025-09-16T11:42:45.965Z</t>
  </si>
  <si>
    <t>2025-09-16T11:02:25.655+08</t>
  </si>
  <si>
    <t>2025-09-16T12:01:09.158+08</t>
  </si>
  <si>
    <t>H004001022</t>
  </si>
  <si>
    <t>uuid:1bc75819-c101-41bd-ac31-c0c9c0af0cb1</t>
  </si>
  <si>
    <t>2025-09-16T11:42:46.798Z</t>
  </si>
  <si>
    <t>2025-09-16T12:17:15.413+08</t>
  </si>
  <si>
    <t>2025-09-16T13:00:35.815+08</t>
  </si>
  <si>
    <t>H004001021</t>
  </si>
  <si>
    <t>uuid:e2831742-fa4c-42a8-861b-17690915cc61</t>
  </si>
  <si>
    <t>2025-09-16T11:42:47.672Z</t>
  </si>
  <si>
    <t>2025-09-16T13:59:00.020+08</t>
  </si>
  <si>
    <t>2025-09-16T14:36:10.538+08</t>
  </si>
  <si>
    <t>H004001035</t>
  </si>
  <si>
    <t>uuid:b9b10cdd-b0c9-4cbf-8ab3-b20d534bd481</t>
  </si>
  <si>
    <t>2025-09-16T11:42:48.508Z</t>
  </si>
  <si>
    <t>2025-09-16T15:19:59.385+08</t>
  </si>
  <si>
    <t>2025-09-16T16:14:24.834+08</t>
  </si>
  <si>
    <t>H004001031</t>
  </si>
  <si>
    <t>uuid:ab516a8f-dc01-449c-bfe4-089906b497ba</t>
  </si>
  <si>
    <t>2025-09-16T11:46:52.519Z</t>
  </si>
  <si>
    <t>2025-09-16T11:01:53.925+08</t>
  </si>
  <si>
    <t>2025-09-16T12:03:02.297+08</t>
  </si>
  <si>
    <t>H004001019</t>
  </si>
  <si>
    <t>uuid:c5abf781-e811-4659-a58c-bd54105be26a</t>
  </si>
  <si>
    <t>2025-09-16T11:48:38.015Z</t>
  </si>
  <si>
    <t>2025-09-16T13:48:38.444+08</t>
  </si>
  <si>
    <t>2025-09-16T14:48:30.386+08</t>
  </si>
  <si>
    <t>H004001024</t>
  </si>
  <si>
    <t>uuid:000d89ab-0e81-4b4c-98b0-73e298033fe4</t>
  </si>
  <si>
    <t>2025-09-16T11:49:41.103Z</t>
  </si>
  <si>
    <t>2025-09-16T09:47:21.361+08</t>
  </si>
  <si>
    <t>2025-09-16T10:44:13.713+08</t>
  </si>
  <si>
    <t>H004001012</t>
  </si>
  <si>
    <t>uuid:388e85c1-9753-417b-8a65-b5655c56dee4</t>
  </si>
  <si>
    <t>2025-09-17T05:27:29.721Z</t>
  </si>
  <si>
    <t>2025-09-17T08:30:27.325+08</t>
  </si>
  <si>
    <t>2025-09-17T09:42:34.620+08</t>
  </si>
  <si>
    <t>H004596016</t>
  </si>
  <si>
    <t>uuid:fb3ae94c-7ebe-456f-903e-5e0dde79067e</t>
  </si>
  <si>
    <t>2025-09-17T05:27:31.469Z</t>
  </si>
  <si>
    <t>2025-09-17T10:02:49.540+08</t>
  </si>
  <si>
    <t>2025-09-17T13:25:53.303+08</t>
  </si>
  <si>
    <t>H004596033</t>
  </si>
  <si>
    <t>uuid:f24aad45-c0c2-44a3-8ab2-c4f967c0ffa5</t>
  </si>
  <si>
    <t>2025-09-17T09:54:48.776Z</t>
  </si>
  <si>
    <t>2025-09-17T08:36:35.452+08</t>
  </si>
  <si>
    <t>2025-09-17T09:39:17.960+08</t>
  </si>
  <si>
    <t>H004596029</t>
  </si>
  <si>
    <t>uuid:36f72565-74e1-48fb-85c0-54c93220dc77</t>
  </si>
  <si>
    <t>2025-09-17T09:54:50.290Z</t>
  </si>
  <si>
    <t>2025-09-17T09:54:18.777+08</t>
  </si>
  <si>
    <t>2025-09-17T10:42:53.223+08</t>
  </si>
  <si>
    <t>H004596028</t>
  </si>
  <si>
    <t>uuid:24f2458b-c834-49d4-be66-3e648945e6b2</t>
  </si>
  <si>
    <t>2025-09-17T10:20:39.053Z</t>
  </si>
  <si>
    <t>2025-09-17T11:01:06.404+08</t>
  </si>
  <si>
    <t>2025-09-17T12:21:20.596+08</t>
  </si>
  <si>
    <t>H030031027</t>
  </si>
  <si>
    <t>uuid:2474d7f2-17ca-462d-95eb-ebbdc9be1f3c</t>
  </si>
  <si>
    <t>2025-09-18T10:47:12.090Z</t>
  </si>
  <si>
    <t>2025-09-18T09:00:16.076+08</t>
  </si>
  <si>
    <t>2025-09-18T09:57:21.384+08</t>
  </si>
  <si>
    <t>H030031002</t>
  </si>
  <si>
    <t>uuid:3a5633a7-af5c-4040-b24e-0a0ceb8abb49</t>
  </si>
  <si>
    <t>2025-09-18T10:49:06.770Z</t>
  </si>
  <si>
    <t>2025-09-18T11:52:01.808+08</t>
  </si>
  <si>
    <t>2025-09-18T12:41:58.259+08</t>
  </si>
  <si>
    <t>H030031013</t>
  </si>
  <si>
    <t>uuid:8c02d583-e98e-499c-b513-cf813264cdd7</t>
  </si>
  <si>
    <t>2025-09-18T10:49:04.806Z</t>
  </si>
  <si>
    <t>2025-09-18T09:02:19.071+08</t>
  </si>
  <si>
    <t>2025-09-18T10:31:55.175+08</t>
  </si>
  <si>
    <t>H030031031</t>
  </si>
  <si>
    <t>uuid:44f54df2-3693-4cd7-9f48-7fcd81051fac</t>
  </si>
  <si>
    <t>2025-09-17T10:22:11.833Z</t>
  </si>
  <si>
    <t>2025-09-17T11:11:13.175+08</t>
  </si>
  <si>
    <t>2025-09-17T12:05:12.860+08</t>
  </si>
  <si>
    <t>H030031018</t>
  </si>
  <si>
    <t>uuid:f9578ba3-64ff-4993-9852-4f55b0443d4a</t>
  </si>
  <si>
    <t>2025-09-18T10:47:14.680Z</t>
  </si>
  <si>
    <t>2025-09-18T15:23:15.387+08</t>
  </si>
  <si>
    <t>2025-09-18T16:08:40.469+08</t>
  </si>
  <si>
    <t>H030031021</t>
  </si>
  <si>
    <t>uuid:1fca4307-c515-48bb-8caa-b322d7eee214</t>
  </si>
  <si>
    <t>2025-09-18T10:54:16.540Z</t>
  </si>
  <si>
    <t>2025-09-18T09:00:14.209+08</t>
  </si>
  <si>
    <t>2025-09-18T10:18:54.907+08</t>
  </si>
  <si>
    <t>H030031023</t>
  </si>
  <si>
    <t>uuid:9a273ec4-3614-4176-bd33-48a7c2fd23c0</t>
  </si>
  <si>
    <t>2025-09-17T10:24:28.530Z</t>
  </si>
  <si>
    <t>2025-09-17T12:14:31.612+08</t>
  </si>
  <si>
    <t>2025-09-17T14:02:05.763+08</t>
  </si>
  <si>
    <t>H030310020</t>
  </si>
  <si>
    <t>uuid:ff4e9c5d-896e-4908-841c-c5761da90abe</t>
  </si>
  <si>
    <t>2025-09-17T10:24:31.234Z</t>
  </si>
  <si>
    <t>2025-09-17T09:14:06.329+08</t>
  </si>
  <si>
    <t>2025-09-17T14:29:07.887+08</t>
  </si>
  <si>
    <t>H030310018</t>
  </si>
  <si>
    <t>uuid:adf827fe-4253-4cf1-859e-c99c70777d63</t>
  </si>
  <si>
    <t>2025-09-17T10:25:33.160Z</t>
  </si>
  <si>
    <t>2025-09-17T08:30:24.031+08</t>
  </si>
  <si>
    <t>2025-09-17T09:35:06.199+08</t>
  </si>
  <si>
    <t>H004596022</t>
  </si>
  <si>
    <t>uuid:966e3958-6476-461c-ad27-a4fbabf91e4c</t>
  </si>
  <si>
    <t>2025-09-17T10:25:52.319Z</t>
  </si>
  <si>
    <t>2025-09-17T11:01:30.099+08</t>
  </si>
  <si>
    <t>2025-09-17T12:12:51.063+08</t>
  </si>
  <si>
    <t>H030031024</t>
  </si>
  <si>
    <t>uuid:0229ea28-9072-4ec0-9f9e-74cf4de0d615</t>
  </si>
  <si>
    <t>2025-09-18T10:54:18.521Z</t>
  </si>
  <si>
    <t>2025-09-18T12:55:17.468+08</t>
  </si>
  <si>
    <t>2025-09-18T14:28:47.304+08</t>
  </si>
  <si>
    <t>H030031017</t>
  </si>
  <si>
    <t>uuid:749969ef-8213-4820-9e90-477578a9aa97</t>
  </si>
  <si>
    <t>2025-09-18T10:49:00.672Z</t>
  </si>
  <si>
    <t>2025-09-18T14:19:41.104+08</t>
  </si>
  <si>
    <t>2025-09-18T15:33:31.966+08</t>
  </si>
  <si>
    <t>H030031019</t>
  </si>
  <si>
    <t>uuid:8b651c41-9af6-4bbe-b45f-e0a224b00077</t>
  </si>
  <si>
    <t>2025-09-18T10:47:13.461Z</t>
  </si>
  <si>
    <t>2025-09-18T10:59:03.599+08</t>
  </si>
  <si>
    <t>2025-09-18T12:31:27.514+08</t>
  </si>
  <si>
    <t>H030031020</t>
  </si>
  <si>
    <t>uuid:6d418fed-3a93-4985-b4cd-74ee7a53bdba</t>
  </si>
  <si>
    <t>2025-09-17T10:27:26.772Z</t>
  </si>
  <si>
    <t>2025-09-17T11:11:52.570+08</t>
  </si>
  <si>
    <t>2025-09-17T12:13:10.892+08</t>
  </si>
  <si>
    <t>H030310034</t>
  </si>
  <si>
    <t>uuid:6ccd04ef-46fd-499c-b826-15b0fca80a24</t>
  </si>
  <si>
    <t>2025-09-17T10:27:30.268Z</t>
  </si>
  <si>
    <t>2025-09-17T09:53:33.771+08</t>
  </si>
  <si>
    <t>2025-09-17T10:44:56.165+08</t>
  </si>
  <si>
    <t>H030310035</t>
  </si>
  <si>
    <t>uuid:6710a32e-9e96-4757-a494-895d8bab4170</t>
  </si>
  <si>
    <t>2025-09-17T10:29:14.957Z</t>
  </si>
  <si>
    <t>2025-09-17T10:22:08.042+08</t>
  </si>
  <si>
    <t>2025-09-17T10:41:52.654+08</t>
  </si>
  <si>
    <t>H004596035</t>
  </si>
  <si>
    <t>uuid:3599e67b-38ee-4a70-88b5-64c05b7602f1</t>
  </si>
  <si>
    <t>2025-09-17T10:41:01.854Z</t>
  </si>
  <si>
    <t>2025-09-17T09:26:32.177+08</t>
  </si>
  <si>
    <t>2025-09-17T11:07:33.163+08</t>
  </si>
  <si>
    <t>H006706030</t>
  </si>
  <si>
    <t>uuid:e139e9d0-847f-4912-9164-a8bc402f13fe</t>
  </si>
  <si>
    <t>2025-09-17T10:41:03.887Z</t>
  </si>
  <si>
    <t>2025-09-17T11:11:56.769+08</t>
  </si>
  <si>
    <t>2025-09-17T18:32:20.437+08</t>
  </si>
  <si>
    <t>H006706019</t>
  </si>
  <si>
    <t>uuid:7fe60d33-c87e-4c2a-873c-2becfddcda84</t>
  </si>
  <si>
    <t>2025-09-17T10:47:06.379Z</t>
  </si>
  <si>
    <t>2025-09-17T11:05:18.150+08</t>
  </si>
  <si>
    <t>2025-09-17T12:00:10.159+08</t>
  </si>
  <si>
    <t>H030031035</t>
  </si>
  <si>
    <t>uuid:792b07fb-7109-4d92-8926-6a6183a45f9f</t>
  </si>
  <si>
    <t>2025-09-18T10:48:57.793Z</t>
  </si>
  <si>
    <t>2025-09-18T08:58:21.968+08</t>
  </si>
  <si>
    <t>2025-09-18T10:08:15.281+08</t>
  </si>
  <si>
    <t>H030031026</t>
  </si>
  <si>
    <t>uuid:5ffdc8e9-19ad-4aca-9be6-f031424128ba</t>
  </si>
  <si>
    <t>2025-09-17T10:47:09.540Z</t>
  </si>
  <si>
    <t>2025-09-17T11:45:23.065+08</t>
  </si>
  <si>
    <t>2025-09-17T18:46:32.738+08</t>
  </si>
  <si>
    <t>H006033029</t>
  </si>
  <si>
    <t>uuid:6fba27b1-723e-4056-9b05-6411a2371bc0</t>
  </si>
  <si>
    <t>2025-09-18T10:49:05.766Z</t>
  </si>
  <si>
    <t>2025-09-18T10:51:56.765+08</t>
  </si>
  <si>
    <t>2025-09-18T11:25:16.318+08</t>
  </si>
  <si>
    <t>H030031028</t>
  </si>
  <si>
    <t>uuid:c9ecb135-c873-44f2-9ddb-d22026d134e1</t>
  </si>
  <si>
    <t>2025-09-17T10:49:38.642Z</t>
  </si>
  <si>
    <t>2025-09-17T13:24:14.989+08</t>
  </si>
  <si>
    <t>2025-09-17T14:10:18.315+08</t>
  </si>
  <si>
    <t>H030310026</t>
  </si>
  <si>
    <t>uuid:1e6ee562-df1e-4db1-a8c9-f3f0ddb9bdc4</t>
  </si>
  <si>
    <t>2025-09-17T10:49:41.447Z</t>
  </si>
  <si>
    <t>2025-09-17T11:33:43.571+08</t>
  </si>
  <si>
    <t>2025-09-17T12:41:45.017+08</t>
  </si>
  <si>
    <t>H030310017</t>
  </si>
  <si>
    <t>uuid:aee5d326-9314-45b5-b1d3-cdf044a931d1</t>
  </si>
  <si>
    <t>2025-09-17T10:49:42.544Z</t>
  </si>
  <si>
    <t>2025-09-17T09:35:13.208+08</t>
  </si>
  <si>
    <t>2025-09-17T11:09:49.173+08</t>
  </si>
  <si>
    <t>H030310024</t>
  </si>
  <si>
    <t>uuid:569421c5-d29c-47bf-b99b-b88994babc29</t>
  </si>
  <si>
    <t>2025-09-30T13:17:33.582Z</t>
  </si>
  <si>
    <t>2025-09-30T15:24:23.218+08</t>
  </si>
  <si>
    <t>2025-09-30T16:09:31.901+08</t>
  </si>
  <si>
    <t>H019506027</t>
  </si>
  <si>
    <t>uuid:c2b5bb63-369c-4c1a-9bc1-2fb8d2fbba82</t>
  </si>
  <si>
    <t>2025-09-17T10:52:57.756Z</t>
  </si>
  <si>
    <t>2025-09-17T09:35:09.715+08</t>
  </si>
  <si>
    <t>2025-09-17T10:47:40.462+08</t>
  </si>
  <si>
    <t>H006706028</t>
  </si>
  <si>
    <t>uuid:5f89cf65-3dcf-4c6e-9324-5d26013bfc05</t>
  </si>
  <si>
    <t>2025-09-17T10:52:59.645Z</t>
  </si>
  <si>
    <t>2025-09-17T10:48:00.226+08</t>
  </si>
  <si>
    <t>2025-09-17T12:32:53.085+08</t>
  </si>
  <si>
    <t>H006706029</t>
  </si>
  <si>
    <t>uuid:aad64797-9b06-4503-916c-286a0cfb8632</t>
  </si>
  <si>
    <t>2025-09-17T11:11:07.859Z</t>
  </si>
  <si>
    <t>2025-09-17T10:34:11.226+08</t>
  </si>
  <si>
    <t>2025-09-17T12:06:07.967+08</t>
  </si>
  <si>
    <t>H006033021</t>
  </si>
  <si>
    <t>uuid:d5e5a4cf-4dc9-42c1-8b27-23fa6c165eb7</t>
  </si>
  <si>
    <t>2025-10-02T11:05:36.391Z</t>
  </si>
  <si>
    <t>2025-10-02T09:29:06.643+08</t>
  </si>
  <si>
    <t>2025-10-02T10:06:20.113+08</t>
  </si>
  <si>
    <t>H019506024</t>
  </si>
  <si>
    <t>uuid:d80daf75-665a-45c6-9df1-7bbffb8e0d63</t>
  </si>
  <si>
    <t>2025-09-30T09:32:01.379Z</t>
  </si>
  <si>
    <t>2025-09-30T11:51:52.510+08</t>
  </si>
  <si>
    <t>2025-09-30T13:19:19.382+08</t>
  </si>
  <si>
    <t>H019506023</t>
  </si>
  <si>
    <t>uuid:cefe3589-2997-4311-b688-67ba3c2b75d2</t>
  </si>
  <si>
    <t>2025-09-18T08:49:07.482Z</t>
  </si>
  <si>
    <t>2025-09-18T08:53:36.235+08</t>
  </si>
  <si>
    <t>2025-09-18T09:58:00.667+08</t>
  </si>
  <si>
    <t>H004596017</t>
  </si>
  <si>
    <t>uuid:d7df3ccd-4348-4317-96a0-459aca20222a</t>
  </si>
  <si>
    <t>2025-09-18T08:49:08.390Z</t>
  </si>
  <si>
    <t>2025-09-18T10:34:12.249+08</t>
  </si>
  <si>
    <t>2025-09-18T11:47:22.991+08</t>
  </si>
  <si>
    <t>H004596023</t>
  </si>
  <si>
    <t>uuid:7671a07f-4950-4faa-904c-76469f6844d1</t>
  </si>
  <si>
    <t>2025-09-18T09:16:55.997Z</t>
  </si>
  <si>
    <t>2025-09-18T09:41:48.621+08</t>
  </si>
  <si>
    <t>2025-09-18T10:31:21.944+08</t>
  </si>
  <si>
    <t>H004787023</t>
  </si>
  <si>
    <t>uuid:5ee0086f-a841-446e-8c2c-ef80f78a39da</t>
  </si>
  <si>
    <t>2025-09-18T09:16:58.406Z</t>
  </si>
  <si>
    <t>2025-09-18T10:53:34.679+08</t>
  </si>
  <si>
    <t>2025-09-18T11:48:07.364+08</t>
  </si>
  <si>
    <t>H004787032</t>
  </si>
  <si>
    <t>uuid:72975c6b-1856-42f5-af23-32553070dc9d</t>
  </si>
  <si>
    <t>2025-09-18T09:17:00.239Z</t>
  </si>
  <si>
    <t>2025-09-18T11:55:14.138+08</t>
  </si>
  <si>
    <t>2025-09-18T13:07:38.185+08</t>
  </si>
  <si>
    <t>H004787029</t>
  </si>
  <si>
    <t>uuid:9ee450d8-c19f-4f0d-b13c-7c4aedfa376f</t>
  </si>
  <si>
    <t>2025-09-18T09:17:02.130Z</t>
  </si>
  <si>
    <t>2025-09-18T13:41:37.432+08</t>
  </si>
  <si>
    <t>2025-09-18T14:43:20.783+08</t>
  </si>
  <si>
    <t>H004787022</t>
  </si>
  <si>
    <t>uuid:cd2dd6ba-162d-4574-942e-c8fa738ff1f9</t>
  </si>
  <si>
    <t>2025-09-18T10:33:03.300Z</t>
  </si>
  <si>
    <t>2025-09-18T09:25:24.881+08</t>
  </si>
  <si>
    <t>2025-09-18T10:17:13.563+08</t>
  </si>
  <si>
    <t>H006029028</t>
  </si>
  <si>
    <t>uuid:448e0509-3b3c-4619-b939-77704bf6debc</t>
  </si>
  <si>
    <t>2025-09-21T10:37:45.069Z</t>
  </si>
  <si>
    <t>2025-09-21T12:27:24.768+08</t>
  </si>
  <si>
    <t>2025-09-21T17:05:18.135+08</t>
  </si>
  <si>
    <t>H006029017</t>
  </si>
  <si>
    <t>uuid:4dc674e8-1b75-4233-898e-70736f296df8</t>
  </si>
  <si>
    <t>2025-09-18T10:33:07.961Z</t>
  </si>
  <si>
    <t>2025-09-18T10:28:04.331+08</t>
  </si>
  <si>
    <t>2025-09-18T11:38:21.946+08</t>
  </si>
  <si>
    <t>H006029020</t>
  </si>
  <si>
    <t>uuid:254e0377-5775-4b0e-a1e5-88710f3f2c4a</t>
  </si>
  <si>
    <t>2025-09-18T10:33:09.656Z</t>
  </si>
  <si>
    <t>2025-09-18T13:02:38.743+08</t>
  </si>
  <si>
    <t>2025-09-18T13:57:13.921+08</t>
  </si>
  <si>
    <t>H006029016</t>
  </si>
  <si>
    <t>uuid:d46d6d49-b97d-4619-a73d-4c8972078903</t>
  </si>
  <si>
    <t>2025-09-18T10:33:28.538Z</t>
  </si>
  <si>
    <t>2025-09-18T10:05:32.873+08</t>
  </si>
  <si>
    <t>2025-09-18T11:09:20.708+08</t>
  </si>
  <si>
    <t>H006417024</t>
  </si>
  <si>
    <t>uuid:6c727e75-20ac-44a0-a4ae-bfb5c8dd8cdd</t>
  </si>
  <si>
    <t>2025-09-18T10:33:36.890Z</t>
  </si>
  <si>
    <t>2025-09-18T15:36:41.908+08</t>
  </si>
  <si>
    <t>2025-09-18T17:27:33.097+08</t>
  </si>
  <si>
    <t>H006417023</t>
  </si>
  <si>
    <t>uuid:90ad4823-4a6c-4a65-9f1f-968ac572ffb0</t>
  </si>
  <si>
    <t>2025-09-18T10:35:34.429Z</t>
  </si>
  <si>
    <t>2025-09-18T08:53:24.478+08</t>
  </si>
  <si>
    <t>2025-09-18T09:54:06.240+08</t>
  </si>
  <si>
    <t>H006417022</t>
  </si>
  <si>
    <t>uuid:662ea4c0-5d88-4a0c-ae98-e0bc348105f2</t>
  </si>
  <si>
    <t>2025-09-21T10:37:50.090Z</t>
  </si>
  <si>
    <t>2025-09-21T10:32:59.046+08</t>
  </si>
  <si>
    <t>2025-09-21T11:33:45.778+08</t>
  </si>
  <si>
    <t>H006029021</t>
  </si>
  <si>
    <t>uuid:88fbc71c-1b14-40ac-940c-47b126125aab</t>
  </si>
  <si>
    <t>2025-09-18T10:43:47.429Z</t>
  </si>
  <si>
    <t>2025-09-18T13:07:33.491+08</t>
  </si>
  <si>
    <t>2025-09-18T13:59:40.187+08</t>
  </si>
  <si>
    <t>H006029035</t>
  </si>
  <si>
    <t>uuid:1483a599-5339-49b6-a326-093ab79de4d2</t>
  </si>
  <si>
    <t>2025-09-18T10:43:51.581Z</t>
  </si>
  <si>
    <t>2025-09-18T10:42:17.185+08</t>
  </si>
  <si>
    <t>2025-09-18T11:36:39.486+08</t>
  </si>
  <si>
    <t>H006029024</t>
  </si>
  <si>
    <t>uuid:281aa299-413c-47e8-8a7f-63e4a448942e</t>
  </si>
  <si>
    <t>2025-09-18T10:43:55.668Z</t>
  </si>
  <si>
    <t>2025-09-18T09:35:37.614+08</t>
  </si>
  <si>
    <t>2025-09-18T10:27:41.154+08</t>
  </si>
  <si>
    <t>H006029022</t>
  </si>
  <si>
    <t>uuid:fd6c7bc4-1213-44e0-b303-0ff3e7ff988e</t>
  </si>
  <si>
    <t>2025-09-18T10:45:52.473Z</t>
  </si>
  <si>
    <t>2025-09-18T10:51:46.784+08</t>
  </si>
  <si>
    <t>2025-09-18T11:48:07.679+08</t>
  </si>
  <si>
    <t>H030351030</t>
  </si>
  <si>
    <t>uuid:12a656c1-db73-42d5-822a-c3f2b26fb54f</t>
  </si>
  <si>
    <t>2025-09-18T10:45:54.344Z</t>
  </si>
  <si>
    <t>2025-09-18T13:59:22.396+08</t>
  </si>
  <si>
    <t>2025-09-18T15:11:40.945+08</t>
  </si>
  <si>
    <t>H030351020</t>
  </si>
  <si>
    <t>uuid:c70aa3a0-bb8d-432e-a71d-7651b8bf78a1</t>
  </si>
  <si>
    <t>2025-09-18T10:45:55.788Z</t>
  </si>
  <si>
    <t>2025-09-18T09:43:42.075+08</t>
  </si>
  <si>
    <t>2025-09-18T10:38:04.364+08</t>
  </si>
  <si>
    <t>H030351023</t>
  </si>
  <si>
    <t>uuid:7939df4d-dc88-4257-a93f-95ef2e755a18</t>
  </si>
  <si>
    <t>2025-09-18T10:45:57.222Z</t>
  </si>
  <si>
    <t>2025-09-18T12:10:06.699+08</t>
  </si>
  <si>
    <t>2025-09-18T13:10:10.186+08</t>
  </si>
  <si>
    <t>H030351025</t>
  </si>
  <si>
    <t>uuid:254204ad-7bf4-408f-9c54-c97f47c122be</t>
  </si>
  <si>
    <t>2025-09-18T10:46:46.329Z</t>
  </si>
  <si>
    <t>2025-09-18T08:48:14.219+08</t>
  </si>
  <si>
    <t>2025-09-18T10:11:31.849+08</t>
  </si>
  <si>
    <t>H030351027</t>
  </si>
  <si>
    <t>uuid:0af37341-ad26-4828-9c81-c779b76bc033</t>
  </si>
  <si>
    <t>2025-09-18T10:46:47.555Z</t>
  </si>
  <si>
    <t>2025-09-18T10:19:42.440+08</t>
  </si>
  <si>
    <t>2025-09-18T11:55:18.853+08</t>
  </si>
  <si>
    <t>H030351028</t>
  </si>
  <si>
    <t>uuid:b6edfe2b-f684-45c5-b778-18132748307d</t>
  </si>
  <si>
    <t>2025-09-18T10:46:48.721Z</t>
  </si>
  <si>
    <t>2025-09-18T12:54:24.200+08</t>
  </si>
  <si>
    <t>2025-09-18T17:00:37.352+08</t>
  </si>
  <si>
    <t>H030351031</t>
  </si>
  <si>
    <t>uuid:04c3930c-854e-4b60-9e81-2ca6a67d6a2b</t>
  </si>
  <si>
    <t>2025-09-18T10:46:49.726Z</t>
  </si>
  <si>
    <t>2025-09-18T14:40:57.766+08</t>
  </si>
  <si>
    <t>2025-09-18T17:18:19.510+08</t>
  </si>
  <si>
    <t>H030351024</t>
  </si>
  <si>
    <t>uuid:af5206ce-4a29-4341-9122-b67282ddda87</t>
  </si>
  <si>
    <t>2025-09-18T10:47:30.646Z</t>
  </si>
  <si>
    <t>2025-09-18T09:37:33.342+08</t>
  </si>
  <si>
    <t>2025-09-18T10:22:53.342+08</t>
  </si>
  <si>
    <t>H006417019</t>
  </si>
  <si>
    <t>uuid:0e4f8dfa-4516-4d03-a98b-deaba838a993</t>
  </si>
  <si>
    <t>2025-09-18T10:47:36.573Z</t>
  </si>
  <si>
    <t>2025-09-18T10:55:40.099+08</t>
  </si>
  <si>
    <t>2025-09-18T11:54:59.471+08</t>
  </si>
  <si>
    <t>H006417034</t>
  </si>
  <si>
    <t>uuid:380dae9d-c3d9-4ae9-a8e6-c5feaaf53e68</t>
  </si>
  <si>
    <t>2025-09-18T10:47:39.453Z</t>
  </si>
  <si>
    <t>2025-09-18T12:58:41.476+08</t>
  </si>
  <si>
    <t>2025-09-18T13:54:50.605+08</t>
  </si>
  <si>
    <t>H006417029</t>
  </si>
  <si>
    <t>uuid:7b403cb5-9836-4321-854d-6eaa0890b4ae</t>
  </si>
  <si>
    <t>2025-09-18T10:48:59.434Z</t>
  </si>
  <si>
    <t>2025-09-18T10:20:34.843+08</t>
  </si>
  <si>
    <t>2025-09-18T11:57:04.170+08</t>
  </si>
  <si>
    <t>H030031025</t>
  </si>
  <si>
    <t>uuid:e56371aa-c341-44ba-9086-e338331ef7e4</t>
  </si>
  <si>
    <t>2025-09-18T10:50:21.178Z</t>
  </si>
  <si>
    <t>2025-09-18T09:22:41.258+08</t>
  </si>
  <si>
    <t>2025-09-18T10:24:20.145+08</t>
  </si>
  <si>
    <t>H030351005</t>
  </si>
  <si>
    <t>uuid:5250bca6-d24d-44fd-b35b-742aa39d244d</t>
  </si>
  <si>
    <t>2025-09-18T10:50:22.202Z</t>
  </si>
  <si>
    <t>2025-09-18T09:02:39.856+08</t>
  </si>
  <si>
    <t>2025-09-18T12:48:00.870+08</t>
  </si>
  <si>
    <t>H030351029</t>
  </si>
  <si>
    <t>uuid:9a6331c0-49fd-4da9-80a1-a14cbb531852</t>
  </si>
  <si>
    <t>2025-09-18T10:50:23.044Z</t>
  </si>
  <si>
    <t>2025-09-18T13:35:18.888+08</t>
  </si>
  <si>
    <t>2025-09-18T14:28:11.196+08</t>
  </si>
  <si>
    <t>H030351032</t>
  </si>
  <si>
    <t>uuid:bb2416eb-f85e-4d95-a866-cefdea8ac611</t>
  </si>
  <si>
    <t>2025-10-02T12:10:00.051Z</t>
  </si>
  <si>
    <t>2025-10-02T11:11:30.005+08</t>
  </si>
  <si>
    <t>2025-10-02T20:09:09.681+08</t>
  </si>
  <si>
    <t>H030351018</t>
  </si>
  <si>
    <t>uuid:d87a0b8d-a048-4801-a087-3577502b08e1</t>
  </si>
  <si>
    <t>2025-10-02T12:09:57.777Z</t>
  </si>
  <si>
    <t>2025-10-02T16:46:04.769+08</t>
  </si>
  <si>
    <t>2025-10-02T17:43:06.041+08</t>
  </si>
  <si>
    <t>H030351021</t>
  </si>
  <si>
    <t>uuid:52a19824-a4e0-4530-a506-f49155e61774</t>
  </si>
  <si>
    <t>2025-09-18T10:50:25.901Z</t>
  </si>
  <si>
    <t>2025-09-18T10:24:48.254+08</t>
  </si>
  <si>
    <t>2025-09-18T11:26:59.656+08</t>
  </si>
  <si>
    <t>H030351033</t>
  </si>
  <si>
    <t>uuid:281ae974-6a31-44a8-8de0-941ba82cc4ea</t>
  </si>
  <si>
    <t>2025-09-18T10:57:48.193Z</t>
  </si>
  <si>
    <t>2025-09-18T09:32:09.052+08</t>
  </si>
  <si>
    <t>2025-09-18T10:22:38.971+08</t>
  </si>
  <si>
    <t>H006029025</t>
  </si>
  <si>
    <t>uuid:71666e13-be74-4c97-bf80-96d8d101783d</t>
  </si>
  <si>
    <t>2025-09-18T10:57:51.573Z</t>
  </si>
  <si>
    <t>2025-09-18T10:43:24.186+08</t>
  </si>
  <si>
    <t>2025-09-18T11:38:51.183+08</t>
  </si>
  <si>
    <t>H006029015</t>
  </si>
  <si>
    <t>uuid:9f2b6a49-ac7f-42e9-8b8f-023877f21fbe</t>
  </si>
  <si>
    <t>2025-09-18T10:57:54.590Z</t>
  </si>
  <si>
    <t>2025-09-18T13:28:23.985+08</t>
  </si>
  <si>
    <t>2025-09-18T14:25:33.348+08</t>
  </si>
  <si>
    <t>H006029018</t>
  </si>
  <si>
    <t>uuid:fb67633a-2ad6-488d-b5a1-39f8eb283966</t>
  </si>
  <si>
    <t>2025-09-21T10:37:48.561Z</t>
  </si>
  <si>
    <t>2025-09-21T08:52:27.664+08</t>
  </si>
  <si>
    <t>2025-09-21T10:04:55.711+08</t>
  </si>
  <si>
    <t>H006029026</t>
  </si>
  <si>
    <t>uuid:33ad3a9d-81f9-467f-8aa9-c2c2d089fbdc</t>
  </si>
  <si>
    <t>2025-09-18T11:22:01.411Z</t>
  </si>
  <si>
    <t>2025-09-18T09:42:39.315+08</t>
  </si>
  <si>
    <t>2025-09-18T10:22:53.292+08</t>
  </si>
  <si>
    <t>H004787031</t>
  </si>
  <si>
    <t>uuid:1dcc0d84-f268-4234-a291-40b6a889c191</t>
  </si>
  <si>
    <t>2025-09-18T11:22:02.739Z</t>
  </si>
  <si>
    <t>2025-09-18T10:53:37.039+08</t>
  </si>
  <si>
    <t>2025-09-18T11:39:02.812+08</t>
  </si>
  <si>
    <t>H004787034</t>
  </si>
  <si>
    <t>uuid:97c40394-f2e5-443a-9f79-53574e80157c</t>
  </si>
  <si>
    <t>2025-09-20T11:39:19.640Z</t>
  </si>
  <si>
    <t>2025-09-20T08:07:25.530+08</t>
  </si>
  <si>
    <t>2025-09-20T09:08:28.732+08</t>
  </si>
  <si>
    <t>H004787018</t>
  </si>
  <si>
    <t>uuid:e845981b-7e3f-4dce-ab9a-eac5ccf931f1</t>
  </si>
  <si>
    <t>2025-09-18T11:22:05.751Z</t>
  </si>
  <si>
    <t>2025-09-18T12:50:22.979+08</t>
  </si>
  <si>
    <t>2025-09-18T13:59:18.923+08</t>
  </si>
  <si>
    <t>H004787035</t>
  </si>
  <si>
    <t>uuid:11e6133f-1e4a-47c1-b43d-cd75cb520853</t>
  </si>
  <si>
    <t>2025-09-18T11:22:13.379Z</t>
  </si>
  <si>
    <t>2025-09-18T14:15:50.342+08</t>
  </si>
  <si>
    <t>2025-09-18T15:34:38.868+08</t>
  </si>
  <si>
    <t>H004787016</t>
  </si>
  <si>
    <t>uuid:1ad82b3a-ef8d-4a88-94ed-d12419b76d5e</t>
  </si>
  <si>
    <t>2025-09-18T11:22:14.337Z</t>
  </si>
  <si>
    <t>2025-09-18T15:46:53.852+08</t>
  </si>
  <si>
    <t>2025-09-18T16:44:23.045+08</t>
  </si>
  <si>
    <t>H004787028</t>
  </si>
  <si>
    <t>uuid:aec55537-9241-4311-be86-0cc63f86d366</t>
  </si>
  <si>
    <t>2025-09-18T11:23:25.361Z</t>
  </si>
  <si>
    <t>2025-09-18T08:54:37.774+08</t>
  </si>
  <si>
    <t>2025-09-18T09:26:58.473+08</t>
  </si>
  <si>
    <t>H004596019</t>
  </si>
  <si>
    <t>uuid:a40f1c18-4f8d-48c0-bd62-aa86d606cc4e</t>
  </si>
  <si>
    <t>2025-09-18T11:23:26.714Z</t>
  </si>
  <si>
    <t>2025-09-18T09:40:48.731+08</t>
  </si>
  <si>
    <t>2025-09-18T10:50:41.818+08</t>
  </si>
  <si>
    <t>H004596034</t>
  </si>
  <si>
    <t>uuid:b18bf3f3-adf2-4629-99e2-6958dde8acbb</t>
  </si>
  <si>
    <t>2025-09-18T11:23:27.844Z</t>
  </si>
  <si>
    <t>2025-09-18T10:51:03.121+08</t>
  </si>
  <si>
    <t>2025-09-18T10:52:41.330+08</t>
  </si>
  <si>
    <t>H004596031</t>
  </si>
  <si>
    <t>uuid:ad299fc0-db08-4215-a0e6-c763e90ffbc7</t>
  </si>
  <si>
    <t>2025-09-29T09:49:23.208Z</t>
  </si>
  <si>
    <t>2025-09-29T14:38:56.016+08</t>
  </si>
  <si>
    <t>2025-09-29T17:38:55.428+08</t>
  </si>
  <si>
    <t>H004596020</t>
  </si>
  <si>
    <t>uuid:19c6e277-b0cd-4a62-89cb-6b29c5f026a3</t>
  </si>
  <si>
    <t>2025-09-18T11:29:24.409Z</t>
  </si>
  <si>
    <t>2025-09-18T08:59:05.234+08</t>
  </si>
  <si>
    <t>2025-09-18T10:06:17.286+08</t>
  </si>
  <si>
    <t>H006417018</t>
  </si>
  <si>
    <t>uuid:04deb716-7a2c-48d7-a4d7-f266bc0a9062</t>
  </si>
  <si>
    <t>2025-09-18T11:29:27.801Z</t>
  </si>
  <si>
    <t>2025-09-18T10:12:32.410+08</t>
  </si>
  <si>
    <t>2025-09-18T11:24:08.431+08</t>
  </si>
  <si>
    <t>H006417025</t>
  </si>
  <si>
    <t>uuid:0f22dc47-639a-4d1e-9cc9-1de8acba4e96</t>
  </si>
  <si>
    <t>2025-09-18T11:33:06.346Z</t>
  </si>
  <si>
    <t>2025-09-18T08:45:10.819+08</t>
  </si>
  <si>
    <t>2025-09-18T10:08:36.364+08</t>
  </si>
  <si>
    <t>H006417017</t>
  </si>
  <si>
    <t>uuid:f823af27-7d50-440a-b24f-b9d62fbb2210</t>
  </si>
  <si>
    <t>2025-09-18T11:33:10.881Z</t>
  </si>
  <si>
    <t>2025-09-18T13:04:21.825+08</t>
  </si>
  <si>
    <t>2025-09-18T13:44:14.549+08</t>
  </si>
  <si>
    <t>H006417032</t>
  </si>
  <si>
    <t>uuid:91a17165-4373-454f-b677-cf3354999b88</t>
  </si>
  <si>
    <t>2025-09-20T05:15:02.681Z</t>
  </si>
  <si>
    <t>2025-09-20T09:26:45.703+08</t>
  </si>
  <si>
    <t>2025-09-20T10:33:42.645+08</t>
  </si>
  <si>
    <t>H006417033</t>
  </si>
  <si>
    <t>uuid:adcd27e5-0b4d-497d-8d9a-01c70348715b</t>
  </si>
  <si>
    <t>2025-09-20T05:15:01.547Z</t>
  </si>
  <si>
    <t>2025-09-20T07:37:58.209+08</t>
  </si>
  <si>
    <t>2025-09-20T08:26:42.294+08</t>
  </si>
  <si>
    <t>H006417035</t>
  </si>
  <si>
    <t>uuid:e62ec109-ec52-4b9b-8538-7d71fbd9e5dd</t>
  </si>
  <si>
    <t>2025-09-18T11:48:59.983Z</t>
  </si>
  <si>
    <t>2025-09-18T08:54:15.713+08</t>
  </si>
  <si>
    <t>2025-09-18T09:49:11.840+08</t>
  </si>
  <si>
    <t>H004596027</t>
  </si>
  <si>
    <t>uuid:af78ce8a-ee54-4ab9-a1ae-dd38f9da3af9</t>
  </si>
  <si>
    <t>2025-09-18T11:49:01.147Z</t>
  </si>
  <si>
    <t>2025-09-18T09:50:25.981+08</t>
  </si>
  <si>
    <t>2025-09-18T10:45:20.830+08</t>
  </si>
  <si>
    <t>H004596025</t>
  </si>
  <si>
    <t>uuid:c1e3514f-e7b9-46c0-ae6d-d0a5d3c5e874</t>
  </si>
  <si>
    <t>2025-09-18T11:49:01.878Z</t>
  </si>
  <si>
    <t>2025-09-18T12:27:26.309+08</t>
  </si>
  <si>
    <t>2025-09-18T12:28:04.295+08</t>
  </si>
  <si>
    <t>H004596030</t>
  </si>
  <si>
    <t>uuid:07e6b8d3-c967-423d-a87b-6ba527a1e6a3</t>
  </si>
  <si>
    <t>2025-09-18T11:59:47.818Z</t>
  </si>
  <si>
    <t>2025-09-18T09:39:15.337+08</t>
  </si>
  <si>
    <t>2025-09-18T10:38:32.164+08</t>
  </si>
  <si>
    <t>H004787027</t>
  </si>
  <si>
    <t>uuid:dabca27b-9974-4470-905f-3acb1def3297</t>
  </si>
  <si>
    <t>2025-09-18T11:59:51.087Z</t>
  </si>
  <si>
    <t>2025-09-18T10:56:36.382+08</t>
  </si>
  <si>
    <t>2025-09-18T11:48:33.012+08</t>
  </si>
  <si>
    <t>H004787024</t>
  </si>
  <si>
    <t>uuid:8fee3b4a-6a13-4109-a657-81bb9f79339d</t>
  </si>
  <si>
    <t>2025-09-18T11:59:53.505Z</t>
  </si>
  <si>
    <t>2025-09-18T12:16:23.425+08</t>
  </si>
  <si>
    <t>2025-09-18T13:20:06.292+08</t>
  </si>
  <si>
    <t>H004787030</t>
  </si>
  <si>
    <t>uuid:9cde1ab1-1d8d-455b-b257-e4e584ba9a36</t>
  </si>
  <si>
    <t>2025-09-18T11:59:56.281Z</t>
  </si>
  <si>
    <t>2025-09-18T13:31:29.745+08</t>
  </si>
  <si>
    <t>2025-09-18T14:15:48.265+08</t>
  </si>
  <si>
    <t>H004787033</t>
  </si>
  <si>
    <t>uuid:f62c8c1d-a398-4f24-90e7-0367eaa3c8c9</t>
  </si>
  <si>
    <t>2025-09-18T11:59:58.435Z</t>
  </si>
  <si>
    <t>2025-09-18T14:38:13.472+08</t>
  </si>
  <si>
    <t>2025-09-18T15:16:53.870+08</t>
  </si>
  <si>
    <t>H004787007</t>
  </si>
  <si>
    <t>uuid:2c55379a-a9d7-4352-980e-ec5ffa00fee9</t>
  </si>
  <si>
    <t>2025-09-19T09:46:07.605Z</t>
  </si>
  <si>
    <t>2025-09-19T08:24:26.281+08</t>
  </si>
  <si>
    <t>2025-09-19T09:13:34.324+08</t>
  </si>
  <si>
    <t>H004680020</t>
  </si>
  <si>
    <t>uuid:d01501ae-9c3e-4b2d-94ee-ca4d993c717b</t>
  </si>
  <si>
    <t>2025-09-19T09:46:09.093Z</t>
  </si>
  <si>
    <t>2025-09-19T09:20:31.421+08</t>
  </si>
  <si>
    <t>2025-09-19T10:18:44.415+08</t>
  </si>
  <si>
    <t>H004680017</t>
  </si>
  <si>
    <t>uuid:b99b8cdb-3240-493b-8fcf-72b084075c67</t>
  </si>
  <si>
    <t>2025-09-19T09:46:10.438Z</t>
  </si>
  <si>
    <t>2025-09-19T10:28:23.781+08</t>
  </si>
  <si>
    <t>2025-09-19T11:46:43.531+08</t>
  </si>
  <si>
    <t>H004680027</t>
  </si>
  <si>
    <t>uuid:fbb34e7e-df67-4064-9da6-6a8f9af569eb</t>
  </si>
  <si>
    <t>2025-09-19T09:48:34.285Z</t>
  </si>
  <si>
    <t>2025-09-19T09:56:01.802+08</t>
  </si>
  <si>
    <t>2025-09-19T11:53:38.690+08</t>
  </si>
  <si>
    <t>H004680018</t>
  </si>
  <si>
    <t>uuid:2fc5b23a-80e1-497f-82c0-d5c8f2f19c19</t>
  </si>
  <si>
    <t>2025-09-19T09:48:35.439Z</t>
  </si>
  <si>
    <t>2025-09-19T12:00:19.666+08</t>
  </si>
  <si>
    <t>2025-09-19T12:39:59.353+08</t>
  </si>
  <si>
    <t>H004680035</t>
  </si>
  <si>
    <t>uuid:651a5f51-047f-4884-a8ce-eadf89c29fec</t>
  </si>
  <si>
    <t>2025-09-19T09:48:36.515Z</t>
  </si>
  <si>
    <t>2025-09-19T10:55:43.119+08</t>
  </si>
  <si>
    <t>2025-09-19T17:47:59.586+08</t>
  </si>
  <si>
    <t>H004680019</t>
  </si>
  <si>
    <t>uuid:fc4077c3-f3b8-4044-8117-0998f06c06dd</t>
  </si>
  <si>
    <t>2025-09-19T09:48:37.597Z</t>
  </si>
  <si>
    <t>2025-09-19T08:17:30.759+08</t>
  </si>
  <si>
    <t>2025-09-19T09:51:27.951+08</t>
  </si>
  <si>
    <t>H004680016</t>
  </si>
  <si>
    <t>uuid:da80b404-aaf2-4c77-b8d5-ca2b22155f4b</t>
  </si>
  <si>
    <t>2025-09-19T10:11:03.661Z</t>
  </si>
  <si>
    <t>2025-09-19T08:04:27.422+08</t>
  </si>
  <si>
    <t>2025-09-19T11:26:54.306+08</t>
  </si>
  <si>
    <t>H004680032</t>
  </si>
  <si>
    <t>uuid:254c58d7-4d7c-4ed0-9698-550be7fee2de</t>
  </si>
  <si>
    <t>2025-09-19T10:11:05.315Z</t>
  </si>
  <si>
    <t>2025-09-19T08:54:04.409+08</t>
  </si>
  <si>
    <t>2025-09-19T11:41:47.389+08</t>
  </si>
  <si>
    <t>H004680030</t>
  </si>
  <si>
    <t>uuid:2b56121c-b99a-4afe-9429-4dc6726a31db</t>
  </si>
  <si>
    <t>2025-09-19T10:11:06.358Z</t>
  </si>
  <si>
    <t>2025-09-19T10:09:07.361+08</t>
  </si>
  <si>
    <t>2025-09-19T11:51:35.889+08</t>
  </si>
  <si>
    <t>H004680026</t>
  </si>
  <si>
    <t>uuid:84c8bafa-15e8-4477-83ee-1c2450059c10</t>
  </si>
  <si>
    <t>2025-09-19T10:36:13.366Z</t>
  </si>
  <si>
    <t>2025-09-19T14:02:14.340+08</t>
  </si>
  <si>
    <t>2025-09-19T18:26:04.600+08</t>
  </si>
  <si>
    <t>H006631022</t>
  </si>
  <si>
    <t>uuid:9f54392b-648d-408a-bb5d-7f5026f22920</t>
  </si>
  <si>
    <t>2025-09-19T10:36:15.089Z</t>
  </si>
  <si>
    <t>2025-09-19T13:04:45.624+08</t>
  </si>
  <si>
    <t>2025-09-19T14:01:32.337+08</t>
  </si>
  <si>
    <t>H006631023</t>
  </si>
  <si>
    <t>uuid:1b432fa6-f230-455e-b233-3f8ee184947e</t>
  </si>
  <si>
    <t>2025-09-19T10:48:56.249Z</t>
  </si>
  <si>
    <t>2025-09-19T12:31:14.259+08</t>
  </si>
  <si>
    <t>2025-09-19T13:27:25.204+08</t>
  </si>
  <si>
    <t>H030323019</t>
  </si>
  <si>
    <t>uuid:bd3ceba3-036a-4011-b917-2afb5d48771a</t>
  </si>
  <si>
    <t>2025-09-19T10:48:58.032Z</t>
  </si>
  <si>
    <t>2025-09-19T10:12:06.950+08</t>
  </si>
  <si>
    <t>2025-09-19T11:14:35.280+08</t>
  </si>
  <si>
    <t>H030323028</t>
  </si>
  <si>
    <t>uuid:6074b262-6e3c-4904-8d82-4401922f500a</t>
  </si>
  <si>
    <t>2025-09-19T10:49:19.225Z</t>
  </si>
  <si>
    <t>2025-09-19T10:07:27.285+08</t>
  </si>
  <si>
    <t>2025-09-19T12:02:09.258+08</t>
  </si>
  <si>
    <t>H030323027</t>
  </si>
  <si>
    <t>uuid:749ef73e-1f36-483b-a3ef-869423da3d13</t>
  </si>
  <si>
    <t>2025-09-19T10:49:22.210Z</t>
  </si>
  <si>
    <t>2025-09-19T12:27:11.984+08</t>
  </si>
  <si>
    <t>2025-09-19T13:49:49.367+08</t>
  </si>
  <si>
    <t>H030323023</t>
  </si>
  <si>
    <t>uuid:fe970779-9112-4d63-b79c-3bde6aafab07</t>
  </si>
  <si>
    <t>2025-09-19T10:53:26.100Z</t>
  </si>
  <si>
    <t>2025-09-19T10:52:05.294+08</t>
  </si>
  <si>
    <t>2025-09-19T11:47:05.450+08</t>
  </si>
  <si>
    <t>H030244018</t>
  </si>
  <si>
    <t>uuid:1e7c282f-2e4d-4420-ab3c-3d429a393acd</t>
  </si>
  <si>
    <t>2025-09-19T10:53:28.491Z</t>
  </si>
  <si>
    <t>2025-09-19T12:52:40.285+08</t>
  </si>
  <si>
    <t>2025-09-19T14:16:56.494+08</t>
  </si>
  <si>
    <t>H030244024</t>
  </si>
  <si>
    <t>uuid:d2c2b885-c44c-40e6-9c32-24fcea5c20df</t>
  </si>
  <si>
    <t>2025-09-19T10:53:49.066Z</t>
  </si>
  <si>
    <t>2025-09-19T13:20:12.965+08</t>
  </si>
  <si>
    <t>2025-09-19T14:10:07.115+08</t>
  </si>
  <si>
    <t>H006631021</t>
  </si>
  <si>
    <t>uuid:b0106b58-bc67-489f-aece-83291c95da20</t>
  </si>
  <si>
    <t>2025-09-19T10:53:50.367Z</t>
  </si>
  <si>
    <t>2025-09-19T14:14:36.632+08</t>
  </si>
  <si>
    <t>2025-09-19T15:28:54.626+08</t>
  </si>
  <si>
    <t>H006631019</t>
  </si>
  <si>
    <t>uuid:4f89f802-8576-4cda-ab47-9f71b7e330ee</t>
  </si>
  <si>
    <t>2025-09-19T10:54:50.557Z</t>
  </si>
  <si>
    <t>2025-09-19T10:33:12.113+08</t>
  </si>
  <si>
    <t>2025-09-19T11:34:56.305+08</t>
  </si>
  <si>
    <t>H030323018</t>
  </si>
  <si>
    <t>uuid:56c79cad-924a-49ed-8a7e-5a2a7cc9fb19</t>
  </si>
  <si>
    <t>2025-09-20T11:43:32.454Z</t>
  </si>
  <si>
    <t>2025-09-20T11:30:58.214+08</t>
  </si>
  <si>
    <t>2025-09-20T12:23:49.273+08</t>
  </si>
  <si>
    <t>H030323034</t>
  </si>
  <si>
    <t>uuid:85d05ee4-d351-495c-b313-e23d11be7b01</t>
  </si>
  <si>
    <t>2025-09-19T10:54:54.984Z</t>
  </si>
  <si>
    <t>2025-09-19T12:22:31.613+08</t>
  </si>
  <si>
    <t>2025-09-19T14:07:50.128+08</t>
  </si>
  <si>
    <t>H030323030</t>
  </si>
  <si>
    <t>uuid:e42252d9-8b14-4d04-b1e3-c924ea8b3bcb</t>
  </si>
  <si>
    <t>2025-09-20T11:44:25.664Z</t>
  </si>
  <si>
    <t>2025-09-20T08:59:49.416+08</t>
  </si>
  <si>
    <t>2025-09-20T10:03:46.812+08</t>
  </si>
  <si>
    <t>H030323035</t>
  </si>
  <si>
    <t>uuid:c96c06b9-1abf-4c82-a659-876074ae4f79</t>
  </si>
  <si>
    <t>2025-09-19T10:56:03.887Z</t>
  </si>
  <si>
    <t>2025-09-19T13:33:43.133+08</t>
  </si>
  <si>
    <t>2025-09-19T14:45:43.645+08</t>
  </si>
  <si>
    <t>H006631029</t>
  </si>
  <si>
    <t>uuid:8e9ccc67-4ff2-408d-92a2-34aae00b4340</t>
  </si>
  <si>
    <t>2025-09-19T10:56:04.966Z</t>
  </si>
  <si>
    <t>2025-09-19T14:53:34.878+08</t>
  </si>
  <si>
    <t>2025-09-19T16:27:44.550+08</t>
  </si>
  <si>
    <t>H006631026</t>
  </si>
  <si>
    <t>uuid:b2328d70-f845-4a21-a3cf-f19800f5868e</t>
  </si>
  <si>
    <t>2025-09-19T10:57:15.736Z</t>
  </si>
  <si>
    <t>2025-09-19T12:54:52.003+08</t>
  </si>
  <si>
    <t>2025-09-19T18:48:20.768+08</t>
  </si>
  <si>
    <t>H030244027</t>
  </si>
  <si>
    <t>uuid:46fa3d80-c0bd-435c-8dea-2a1a1f59c2dc</t>
  </si>
  <si>
    <t>2025-09-19T10:57:17.175Z</t>
  </si>
  <si>
    <t>2025-09-19T10:49:53.407+08</t>
  </si>
  <si>
    <t>2025-09-19T18:54:03.931+08</t>
  </si>
  <si>
    <t>H030244028</t>
  </si>
  <si>
    <t>uuid:cc51d285-57a0-4f1c-b851-a14df03a5c0f</t>
  </si>
  <si>
    <t>2025-09-19T11:01:16.622Z</t>
  </si>
  <si>
    <t>2025-09-19T11:46:06.249+08</t>
  </si>
  <si>
    <t>2025-09-19T12:39:32.097+08</t>
  </si>
  <si>
    <t>H004380022</t>
  </si>
  <si>
    <t>uuid:64b505df-0180-4fba-aeeb-24c6f82ad701</t>
  </si>
  <si>
    <t>2025-09-19T11:01:21.685Z</t>
  </si>
  <si>
    <t>2025-09-19T09:32:24.470+08</t>
  </si>
  <si>
    <t>2025-09-19T11:28:45.533+08</t>
  </si>
  <si>
    <t>H004380024</t>
  </si>
  <si>
    <t>uuid:2a8ab526-4343-4c6a-8282-021970654d74</t>
  </si>
  <si>
    <t>2025-09-19T11:01:22.477Z</t>
  </si>
  <si>
    <t>2025-09-19T13:40:51.529+08</t>
  </si>
  <si>
    <t>2025-09-19T14:34:53.683+08</t>
  </si>
  <si>
    <t>H004380031</t>
  </si>
  <si>
    <t>uuid:d8a1c3ad-b9ff-487a-859e-e6032bf98e9f</t>
  </si>
  <si>
    <t>2025-09-19T11:02:10.937Z</t>
  </si>
  <si>
    <t>2025-09-19T09:32:35.875+08</t>
  </si>
  <si>
    <t>2025-09-19T10:21:42.528+08</t>
  </si>
  <si>
    <t>H004380028</t>
  </si>
  <si>
    <t>uuid:e64fa0bf-51cd-4aa1-8091-086566857fe5</t>
  </si>
  <si>
    <t>2025-09-19T11:02:13.035Z</t>
  </si>
  <si>
    <t>2025-09-19T10:43:14.194+08</t>
  </si>
  <si>
    <t>2025-09-19T11:13:48.842+08</t>
  </si>
  <si>
    <t>H004380027</t>
  </si>
  <si>
    <t>uuid:3cea61ea-535d-43f0-89ba-16e739ccc341</t>
  </si>
  <si>
    <t>2025-09-19T11:02:15.457Z</t>
  </si>
  <si>
    <t>2025-09-19T13:28:38.689+08</t>
  </si>
  <si>
    <t>2025-09-19T13:51:38.612+08</t>
  </si>
  <si>
    <t>H004380023</t>
  </si>
  <si>
    <t>uuid:ab5090b0-40ae-4780-975c-6305b6a42788</t>
  </si>
  <si>
    <t>2025-09-19T11:10:42.566Z</t>
  </si>
  <si>
    <t>2025-09-19T12:50:29.491+08</t>
  </si>
  <si>
    <t>2025-09-19T19:02:49.783+08</t>
  </si>
  <si>
    <t>H030244017</t>
  </si>
  <si>
    <t>uuid:00e9b0ef-88f9-4c30-b576-df3aded77fd2</t>
  </si>
  <si>
    <t>2025-09-19T11:10:51.125Z</t>
  </si>
  <si>
    <t>2025-09-19T10:44:22.222+08</t>
  </si>
  <si>
    <t>2025-09-19T18:54:33.072+08</t>
  </si>
  <si>
    <t>H030244031</t>
  </si>
  <si>
    <t>uuid:2311b87f-1a99-4d4d-b64b-052a897a7d13</t>
  </si>
  <si>
    <t>2025-09-19T11:10:52.597Z</t>
  </si>
  <si>
    <t>2025-09-19T12:15:58.233+08</t>
  </si>
  <si>
    <t>2025-09-19T19:08:10.452+08</t>
  </si>
  <si>
    <t>H030244034</t>
  </si>
  <si>
    <t>uuid:57e7da7e-8435-41e9-b3f9-25c180b029d5</t>
  </si>
  <si>
    <t>2025-09-19T11:21:49.721Z</t>
  </si>
  <si>
    <t>2025-09-19T12:55:24.452+08</t>
  </si>
  <si>
    <t>2025-09-19T13:57:50.070+08</t>
  </si>
  <si>
    <t>H006510017</t>
  </si>
  <si>
    <t>uuid:3397739c-4ec0-440c-83d3-a23dcfa69c29</t>
  </si>
  <si>
    <t>2025-09-19T11:21:52.875Z</t>
  </si>
  <si>
    <t>2025-09-19T14:09:16.688+08</t>
  </si>
  <si>
    <t>2025-09-19T15:24:03.751+08</t>
  </si>
  <si>
    <t>H006510034</t>
  </si>
  <si>
    <t>uuid:88d0f5ac-84c7-479a-8c12-9c9ac4aeee6b</t>
  </si>
  <si>
    <t>2025-09-19T11:25:15.550Z</t>
  </si>
  <si>
    <t>2025-09-19T10:55:10.575+08</t>
  </si>
  <si>
    <t>2025-09-19T19:09:45.583+08</t>
  </si>
  <si>
    <t>H030244019</t>
  </si>
  <si>
    <t>uuid:b9ad2996-8d11-4d99-850d-95e81ed3b24d</t>
  </si>
  <si>
    <t>2025-09-19T11:27:21.590Z</t>
  </si>
  <si>
    <t>2025-09-19T12:53:39.117+08</t>
  </si>
  <si>
    <t>2025-09-19T14:00:04.991+08</t>
  </si>
  <si>
    <t>H006510018</t>
  </si>
  <si>
    <t>uuid:e4b46d5d-b294-4766-b7c2-f86768381a2a</t>
  </si>
  <si>
    <t>2025-09-19T11:27:31.888Z</t>
  </si>
  <si>
    <t>2025-09-19T14:15:07.132+08</t>
  </si>
  <si>
    <t>2025-09-19T15:16:25.129+08</t>
  </si>
  <si>
    <t>H006510022</t>
  </si>
  <si>
    <t>uuid:a3b6e1f9-15e4-4330-a94d-68ac43a56d67</t>
  </si>
  <si>
    <t>2025-09-19T11:46:26.324Z</t>
  </si>
  <si>
    <t>2025-09-19T11:07:37.855+08</t>
  </si>
  <si>
    <t>2025-09-19T11:51:17.098+08</t>
  </si>
  <si>
    <t>H004380009</t>
  </si>
  <si>
    <t>uuid:84d45905-e7d6-4784-b8d6-f07cfae2502b</t>
  </si>
  <si>
    <t>2025-09-19T11:46:28.378Z</t>
  </si>
  <si>
    <t>2025-09-19T12:56:02.588+08</t>
  </si>
  <si>
    <t>2025-09-19T13:49:14.665+08</t>
  </si>
  <si>
    <t>H004380033</t>
  </si>
  <si>
    <t>uuid:42797af7-64a8-430f-ab3f-0c7eff3b2699</t>
  </si>
  <si>
    <t>2025-09-19T11:46:30.838Z</t>
  </si>
  <si>
    <t>2025-09-19T09:31:55.873+08</t>
  </si>
  <si>
    <t>2025-09-19T10:49:32.751+08</t>
  </si>
  <si>
    <t>H004380025</t>
  </si>
  <si>
    <t>uuid:45c9bfb0-9991-4d27-8ef6-21be8104efcc</t>
  </si>
  <si>
    <t>2025-09-19T12:06:39.139Z</t>
  </si>
  <si>
    <t>2025-09-19T14:06:53.284+08</t>
  </si>
  <si>
    <t>2025-09-19T15:10:35.166+08</t>
  </si>
  <si>
    <t>H006510023</t>
  </si>
  <si>
    <t>uuid:0c9f1b54-0f4b-4c08-8133-0b8c2433be0d</t>
  </si>
  <si>
    <t>2025-09-19T12:06:40.545Z</t>
  </si>
  <si>
    <t>2025-09-19T12:54:49.874+08</t>
  </si>
  <si>
    <t>2025-09-19T13:53:17.926+08</t>
  </si>
  <si>
    <t>H006510020</t>
  </si>
  <si>
    <t>uuid:83e97d12-2288-43ee-9a0c-04cf7625dc7d</t>
  </si>
  <si>
    <t>2025-09-19T12:13:41.247Z</t>
  </si>
  <si>
    <t>2025-09-19T12:54:37.628+08</t>
  </si>
  <si>
    <t>2025-09-19T13:38:07.289+08</t>
  </si>
  <si>
    <t>H006510019</t>
  </si>
  <si>
    <t>uuid:5c7be92a-c1e9-4617-8100-cde2e68ad31a</t>
  </si>
  <si>
    <t>2025-09-19T12:13:48.761Z</t>
  </si>
  <si>
    <t>2025-09-19T13:50:30.278+08</t>
  </si>
  <si>
    <t>2025-09-19T14:42:24.018+08</t>
  </si>
  <si>
    <t>H006510021</t>
  </si>
  <si>
    <t>uuid:efdd812b-1249-4ce8-b003-5475436843cc</t>
  </si>
  <si>
    <t>2025-09-20T06:20:20.193Z</t>
  </si>
  <si>
    <t>2025-09-20T07:37:48.596+08</t>
  </si>
  <si>
    <t>2025-09-20T08:14:03.927+08</t>
  </si>
  <si>
    <t>H006510032</t>
  </si>
  <si>
    <t>uuid:79e9cfe8-63db-44e3-9684-b9afcbe2ee6e</t>
  </si>
  <si>
    <t>2025-09-20T06:20:22.858Z</t>
  </si>
  <si>
    <t>2025-09-20T08:45:13.749+08</t>
  </si>
  <si>
    <t>2025-09-20T09:32:57.429+08</t>
  </si>
  <si>
    <t>H006510031</t>
  </si>
  <si>
    <t>uuid:adea8903-4924-46b1-af54-08bd0f145062</t>
  </si>
  <si>
    <t>2025-09-23T10:26:01.996Z</t>
  </si>
  <si>
    <t>2025-09-23T07:06:35.000+08</t>
  </si>
  <si>
    <t>2025-09-23T08:10:52.435+08</t>
  </si>
  <si>
    <t>H006631017</t>
  </si>
  <si>
    <t>uuid:46f6b3c6-4896-4267-8f4c-33b101e7f819</t>
  </si>
  <si>
    <t>2025-09-20T06:20:39.382Z</t>
  </si>
  <si>
    <t>2025-09-20T07:23:14.454+08</t>
  </si>
  <si>
    <t>2025-09-20T08:33:21.793+08</t>
  </si>
  <si>
    <t>H006631033</t>
  </si>
  <si>
    <t>uuid:5d98e2e8-8524-4967-a9a5-055312a92ca0</t>
  </si>
  <si>
    <t>2025-09-20T06:20:40.256Z</t>
  </si>
  <si>
    <t>2025-09-20T08:56:32.159+08</t>
  </si>
  <si>
    <t>2025-09-20T09:55:48.625+08</t>
  </si>
  <si>
    <t>H006631009</t>
  </si>
  <si>
    <t>uuid:dcdcbb6f-12fe-457d-bb71-0cd99aa19686</t>
  </si>
  <si>
    <t>2025-09-20T06:23:00.715Z</t>
  </si>
  <si>
    <t>2025-09-20T09:46:07.078+08</t>
  </si>
  <si>
    <t>2025-09-20T14:22:05.839+08</t>
  </si>
  <si>
    <t>H006631013</t>
  </si>
  <si>
    <t>uuid:177fd959-c251-4719-b267-2f3b93e542a3</t>
  </si>
  <si>
    <t>2025-09-20T06:23:01.919Z</t>
  </si>
  <si>
    <t>2025-09-20T08:21:29.230+08</t>
  </si>
  <si>
    <t>2025-09-20T09:30:27.995+08</t>
  </si>
  <si>
    <t>H006631025</t>
  </si>
  <si>
    <t>uuid:002dd8b7-6827-4609-a025-86cc33a7c981</t>
  </si>
  <si>
    <t>2025-09-20T06:23:03.125Z</t>
  </si>
  <si>
    <t>2025-09-20T07:30:14.664+08</t>
  </si>
  <si>
    <t>2025-09-20T08:15:09.013+08</t>
  </si>
  <si>
    <t>H006631020</t>
  </si>
  <si>
    <t>uuid:4982c273-ac45-46be-91c9-0371c6735d83</t>
  </si>
  <si>
    <t>2025-09-20T06:24:19.615Z</t>
  </si>
  <si>
    <t>2025-09-20T10:33:44.793+08</t>
  </si>
  <si>
    <t>2025-09-20T11:53:11.485+08</t>
  </si>
  <si>
    <t>H006510024</t>
  </si>
  <si>
    <t>uuid:44d3a6f1-b2ec-4978-a18a-7ba53c9c7e12</t>
  </si>
  <si>
    <t>2025-09-20T06:24:23.761Z</t>
  </si>
  <si>
    <t>2025-09-20T07:33:44.519+08</t>
  </si>
  <si>
    <t>2025-09-20T08:31:29.914+08</t>
  </si>
  <si>
    <t>H006510035</t>
  </si>
  <si>
    <t>uuid:96c93f2f-40b3-4d48-be9b-956dcaaf3e65</t>
  </si>
  <si>
    <t>2025-09-20T06:24:25.243Z</t>
  </si>
  <si>
    <t>2025-09-20T08:44:21.679+08</t>
  </si>
  <si>
    <t>2025-09-20T09:52:09.537+08</t>
  </si>
  <si>
    <t>H006510030</t>
  </si>
  <si>
    <t>uuid:e9780164-8df8-4b03-86cf-5f57627e9a75</t>
  </si>
  <si>
    <t>2025-09-20T06:29:13.652Z</t>
  </si>
  <si>
    <t>2025-09-20T08:02:56.929+08</t>
  </si>
  <si>
    <t>2025-09-20T08:03:18.057+08</t>
  </si>
  <si>
    <t>H006631024</t>
  </si>
  <si>
    <t>uuid:8c33c147-6f0a-47f2-9161-d9829605acc6</t>
  </si>
  <si>
    <t>2025-09-20T06:29:14.797Z</t>
  </si>
  <si>
    <t>2025-09-20T08:10:13.355+08</t>
  </si>
  <si>
    <t>2025-09-20T10:12:19.828+08</t>
  </si>
  <si>
    <t>H006631007</t>
  </si>
  <si>
    <t>uuid:51eb9453-931f-4ccc-933d-472c0dc925a1</t>
  </si>
  <si>
    <t>2025-09-20T06:29:15.764Z</t>
  </si>
  <si>
    <t>2025-09-20T11:07:15.868+08</t>
  </si>
  <si>
    <t>2025-09-20T13:02:16.447+08</t>
  </si>
  <si>
    <t>H006631027</t>
  </si>
  <si>
    <t>uuid:fecde47a-f3be-4499-aa76-56257e5544b2</t>
  </si>
  <si>
    <t>2025-09-24T09:04:56.847Z</t>
  </si>
  <si>
    <t>2025-09-24T09:19:04.182+08</t>
  </si>
  <si>
    <t>2025-09-24T10:31:31.475+08</t>
  </si>
  <si>
    <t>H004042028</t>
  </si>
  <si>
    <t>uuid:12e96c87-0d06-4f3c-8095-ae3c515e1a06</t>
  </si>
  <si>
    <t>2025-09-20T08:23:04.847Z</t>
  </si>
  <si>
    <t>2025-09-20T09:10:40.679+08</t>
  </si>
  <si>
    <t>2025-09-20T10:05:06.387+08</t>
  </si>
  <si>
    <t>H004680025</t>
  </si>
  <si>
    <t>uuid:18d58ba0-766a-4e93-a036-35954698b843</t>
  </si>
  <si>
    <t>2025-09-20T08:23:05.596Z</t>
  </si>
  <si>
    <t>2025-09-20T11:11:41.101+08</t>
  </si>
  <si>
    <t>2025-09-20T12:12:57.268+08</t>
  </si>
  <si>
    <t>H004680028</t>
  </si>
  <si>
    <t>uuid:8b05de3f-dfbe-46b4-baf7-73626b1dbb1b</t>
  </si>
  <si>
    <t>2025-09-20T08:23:06.373Z</t>
  </si>
  <si>
    <t>2025-09-20T12:31:07.075+08</t>
  </si>
  <si>
    <t>2025-09-20T14:22:28.432+08</t>
  </si>
  <si>
    <t>H004680034</t>
  </si>
  <si>
    <t>uuid:df4b9618-5095-42f0-8cf5-d570a51a543b</t>
  </si>
  <si>
    <t>2025-09-20T08:53:35.580Z</t>
  </si>
  <si>
    <t>2025-09-20T08:37:09.612+08</t>
  </si>
  <si>
    <t>2025-09-20T10:14:21.949+08</t>
  </si>
  <si>
    <t>H004380008</t>
  </si>
  <si>
    <t>uuid:3e51a2be-9520-47ce-9b12-ae8653c8209e</t>
  </si>
  <si>
    <t>2025-10-02T12:08:24.940Z</t>
  </si>
  <si>
    <t>2025-10-02T13:19:58.585+08</t>
  </si>
  <si>
    <t>2025-10-02T20:07:30.094+08</t>
  </si>
  <si>
    <t>H030244035</t>
  </si>
  <si>
    <t>uuid:2a288e31-f6e1-4eb1-b506-872f3535ba37</t>
  </si>
  <si>
    <t>2025-09-20T09:13:17.926Z</t>
  </si>
  <si>
    <t>2025-09-20T09:47:16.459+08</t>
  </si>
  <si>
    <t>2025-09-20T17:03:42.704+08</t>
  </si>
  <si>
    <t>H030244016</t>
  </si>
  <si>
    <t>uuid:aad391aa-4f7d-4176-ab18-292d5e33c706</t>
  </si>
  <si>
    <t>2025-09-20T10:29:06.489Z</t>
  </si>
  <si>
    <t>2025-09-20T09:52:32.764+08</t>
  </si>
  <si>
    <t>2025-09-20T11:49:42.963+08</t>
  </si>
  <si>
    <t>H004380017</t>
  </si>
  <si>
    <t>uuid:7837c034-a06c-4c8b-b6f6-3ecf634b85f6</t>
  </si>
  <si>
    <t>2025-09-20T10:29:10.382Z</t>
  </si>
  <si>
    <t>2025-09-20T08:34:24.889+08</t>
  </si>
  <si>
    <t>2025-09-20T09:33:05.318+08</t>
  </si>
  <si>
    <t>H004380030</t>
  </si>
  <si>
    <t>uuid:00efb2a7-c841-4312-882b-e2a3db8a5633</t>
  </si>
  <si>
    <t>2025-09-20T11:02:36.422Z</t>
  </si>
  <si>
    <t>2025-09-20T07:46:50.702+08</t>
  </si>
  <si>
    <t>2025-09-20T11:18:23.940+08</t>
  </si>
  <si>
    <t>H004680033</t>
  </si>
  <si>
    <t>uuid:97e29ba3-e240-4bb6-90d1-56f60484573a</t>
  </si>
  <si>
    <t>2025-09-20T11:02:41.244Z</t>
  </si>
  <si>
    <t>2025-09-20T08:55:24.389+08</t>
  </si>
  <si>
    <t>2025-09-20T11:35:02.656+08</t>
  </si>
  <si>
    <t>H004680031</t>
  </si>
  <si>
    <t>uuid:af1933de-e6dd-459c-9e64-d12fe708ca17</t>
  </si>
  <si>
    <t>2025-09-20T11:22:44.892Z</t>
  </si>
  <si>
    <t>2025-09-20T08:41:40.372+08</t>
  </si>
  <si>
    <t>2025-09-20T09:08:42.869+08</t>
  </si>
  <si>
    <t>H004380016</t>
  </si>
  <si>
    <t>uuid:e8ef7e71-c8fc-44d1-85ad-795b8f658252</t>
  </si>
  <si>
    <t>2025-09-20T11:43:11.324Z</t>
  </si>
  <si>
    <t>2025-09-20T10:30:04.942+08</t>
  </si>
  <si>
    <t>2025-09-20T15:37:00.184+08</t>
  </si>
  <si>
    <t>H030244023</t>
  </si>
  <si>
    <t>uuid:373e96a8-c619-4100-9b24-789dbd6752e0</t>
  </si>
  <si>
    <t>2025-10-02T11:57:20.131Z</t>
  </si>
  <si>
    <t>2025-10-02T13:44:13.543+08</t>
  </si>
  <si>
    <t>2025-10-02T13:49:21.340+08</t>
  </si>
  <si>
    <t>H030244020</t>
  </si>
  <si>
    <t>uuid:a3fe7ff1-0a66-4e7e-a748-8e4ebd959f70</t>
  </si>
  <si>
    <t>2025-09-20T11:43:12.507Z</t>
  </si>
  <si>
    <t>2025-09-20T09:20:55.319+08</t>
  </si>
  <si>
    <t>2025-09-20T15:51:44.313+08</t>
  </si>
  <si>
    <t>H030244033</t>
  </si>
  <si>
    <t>uuid:455172e8-807d-459d-b405-58e4a99582d6</t>
  </si>
  <si>
    <t>2025-10-02T11:50:26.502Z</t>
  </si>
  <si>
    <t>2025-10-02T11:40:12.912+08</t>
  </si>
  <si>
    <t>2025-10-02T12:56:17.438+08</t>
  </si>
  <si>
    <t>H030323016</t>
  </si>
  <si>
    <t>uuid:61b2dc48-1362-4821-8cbd-f9c3543502ec</t>
  </si>
  <si>
    <t>2025-09-20T11:43:16.629Z</t>
  </si>
  <si>
    <t>2025-09-20T09:02:02.533+08</t>
  </si>
  <si>
    <t>2025-09-20T10:26:52.416+08</t>
  </si>
  <si>
    <t>H030323020</t>
  </si>
  <si>
    <t>uuid:1e819baf-4cec-4f38-bf7c-9c53f5299059</t>
  </si>
  <si>
    <t>2025-09-20T11:43:18.791Z</t>
  </si>
  <si>
    <t>2025-09-20T10:47:57.278+08</t>
  </si>
  <si>
    <t>2025-09-20T12:08:03.708+08</t>
  </si>
  <si>
    <t>H030323025</t>
  </si>
  <si>
    <t>uuid:81a587ee-aef3-4442-9047-f784e4a8f32e</t>
  </si>
  <si>
    <t>2025-09-20T11:43:20.605Z</t>
  </si>
  <si>
    <t>2025-09-20T13:44:07.935+08</t>
  </si>
  <si>
    <t>2025-09-20T13:45:01.953+08</t>
  </si>
  <si>
    <t>H030323024</t>
  </si>
  <si>
    <t>uuid:623d8234-7ba7-4feb-bd2a-a2da20a9bf10</t>
  </si>
  <si>
    <t>2025-09-20T11:44:00.491Z</t>
  </si>
  <si>
    <t>2025-09-20T08:48:12.206+08</t>
  </si>
  <si>
    <t>2025-09-20T15:53:49.763+08</t>
  </si>
  <si>
    <t>H030244022</t>
  </si>
  <si>
    <t>uuid:6d5a53f2-f3a6-4b6c-a4da-a13f0e42a62f</t>
  </si>
  <si>
    <t>2025-09-20T11:44:56.495Z</t>
  </si>
  <si>
    <t>2025-09-20T09:04:31.104+08</t>
  </si>
  <si>
    <t>2025-09-20T10:44:28.548+08</t>
  </si>
  <si>
    <t>H030244006</t>
  </si>
  <si>
    <t>uuid:cda99de4-7a1c-4eb1-b952-91fb81688cfb</t>
  </si>
  <si>
    <t>2025-09-20T11:46:36.014Z</t>
  </si>
  <si>
    <t>2025-09-20T09:15:19.144+08</t>
  </si>
  <si>
    <t>2025-09-20T11:46:26.491+08</t>
  </si>
  <si>
    <t>H030323029</t>
  </si>
  <si>
    <t>uuid:e4b81323-9099-4325-a75d-646203449645</t>
  </si>
  <si>
    <t>2025-09-20T11:46:38.544Z</t>
  </si>
  <si>
    <t>2025-09-20T12:11:21.348+08</t>
  </si>
  <si>
    <t>2025-09-20T13:41:03.925+08</t>
  </si>
  <si>
    <t>H030323026</t>
  </si>
  <si>
    <t>uuid:f9c6fc5b-3b94-41bd-9d54-26f1a30ada5b</t>
  </si>
  <si>
    <t>2025-09-21T10:37:51.390Z</t>
  </si>
  <si>
    <t>2025-09-21T14:12:20.226+08</t>
  </si>
  <si>
    <t>2025-09-21T15:15:12.948+08</t>
  </si>
  <si>
    <t>H006029027</t>
  </si>
  <si>
    <t>uuid:0215571c-4068-465a-a738-6980492faec8</t>
  </si>
  <si>
    <t>2025-09-21T11:03:39.447Z</t>
  </si>
  <si>
    <t>2025-09-21T15:20:18.734+08</t>
  </si>
  <si>
    <t>2025-09-21T17:27:49.314+08</t>
  </si>
  <si>
    <t>H006510029</t>
  </si>
  <si>
    <t>uuid:deb45cff-220f-490c-9784-a13f6919e280</t>
  </si>
  <si>
    <t>2025-09-22T09:35:19.755Z</t>
  </si>
  <si>
    <t>2025-09-22T07:46:46.769+08</t>
  </si>
  <si>
    <t>2025-09-22T08:39:15.119+08</t>
  </si>
  <si>
    <t>H004132020</t>
  </si>
  <si>
    <t>uuid:cb8e612d-b17a-4903-a20a-9ebc45974c96</t>
  </si>
  <si>
    <t>2025-09-22T09:35:23.518Z</t>
  </si>
  <si>
    <t>2025-09-22T08:55:42.800+08</t>
  </si>
  <si>
    <t>2025-09-22T10:02:57.704+08</t>
  </si>
  <si>
    <t>H004132028</t>
  </si>
  <si>
    <t>uuid:259b261f-20ab-4ba5-9668-bc4f4347f8ce</t>
  </si>
  <si>
    <t>2025-09-22T09:35:26.539Z</t>
  </si>
  <si>
    <t>2025-09-22T10:18:26.974+08</t>
  </si>
  <si>
    <t>2025-09-22T11:16:10.464+08</t>
  </si>
  <si>
    <t>H004132029</t>
  </si>
  <si>
    <t>uuid:91010ae3-7feb-40e0-805d-2600b41f48c4</t>
  </si>
  <si>
    <t>2025-09-22T09:35:29.453Z</t>
  </si>
  <si>
    <t>2025-09-22T11:26:15.464+08</t>
  </si>
  <si>
    <t>2025-09-22T12:25:50.526+08</t>
  </si>
  <si>
    <t>H004132031</t>
  </si>
  <si>
    <t>uuid:27d4e7af-2b38-4d9c-a5e1-45fc342a166a</t>
  </si>
  <si>
    <t>2025-09-22T09:35:37.806Z</t>
  </si>
  <si>
    <t>2025-09-22T14:07:55.325+08</t>
  </si>
  <si>
    <t>2025-09-22T14:09:19.714+08</t>
  </si>
  <si>
    <t>H004132018</t>
  </si>
  <si>
    <t>uuid:a0e7f68f-ddd3-4e73-9edd-b4ca22c61473</t>
  </si>
  <si>
    <t>2025-09-22T09:59:49.362Z</t>
  </si>
  <si>
    <t>2025-09-22T12:06:38.080+08</t>
  </si>
  <si>
    <t>2025-09-22T13:08:41.014+08</t>
  </si>
  <si>
    <t>H004306022</t>
  </si>
  <si>
    <t>uuid:338d081b-b15d-44d1-b275-a7e8d33f0c61</t>
  </si>
  <si>
    <t>2025-09-22T09:59:48.615Z</t>
  </si>
  <si>
    <t>2025-09-22T10:33:01.264+08</t>
  </si>
  <si>
    <t>2025-09-22T11:39:10.783+08</t>
  </si>
  <si>
    <t>H004306028</t>
  </si>
  <si>
    <t>uuid:48c74796-c8d3-45ce-b69b-96306dc6f6c3</t>
  </si>
  <si>
    <t>2025-09-22T09:59:50.107Z</t>
  </si>
  <si>
    <t>2025-09-22T13:28:51.331+08</t>
  </si>
  <si>
    <t>2025-09-22T14:42:27.185+08</t>
  </si>
  <si>
    <t>H004306030</t>
  </si>
  <si>
    <t>uuid:33856590-3233-4e63-a549-6bd3a0e206cf</t>
  </si>
  <si>
    <t>2025-09-22T09:59:50.859Z</t>
  </si>
  <si>
    <t>2025-09-22T15:06:17.997+08</t>
  </si>
  <si>
    <t>2025-09-22T15:53:54.190+08</t>
  </si>
  <si>
    <t>H004306025</t>
  </si>
  <si>
    <t>uuid:d56d3061-aa80-4b94-9dee-6b4b24f84d4d</t>
  </si>
  <si>
    <t>2025-09-23T10:58:02.291Z</t>
  </si>
  <si>
    <t>2025-09-23T07:23:06.043+08</t>
  </si>
  <si>
    <t>2025-09-23T08:25:29.576+08</t>
  </si>
  <si>
    <t>H006213028</t>
  </si>
  <si>
    <t>uuid:fc212f19-48f2-4f91-80f9-2d4aaa9ed084</t>
  </si>
  <si>
    <t>2025-09-22T10:08:45.587Z</t>
  </si>
  <si>
    <t>2025-09-22T08:53:13.161+08</t>
  </si>
  <si>
    <t>2025-09-22T09:50:36.374+08</t>
  </si>
  <si>
    <t>H006213016</t>
  </si>
  <si>
    <t>uuid:2cf3bd24-c53c-4051-9787-6d4a6cfb39ba</t>
  </si>
  <si>
    <t>2025-09-22T10:08:46.864Z</t>
  </si>
  <si>
    <t>2025-09-22T10:01:51.028+08</t>
  </si>
  <si>
    <t>2025-09-22T11:14:05.755+08</t>
  </si>
  <si>
    <t>H006213032</t>
  </si>
  <si>
    <t>uuid:d8fb7b5a-13e5-40a8-9fcd-ac1f46fdeef2</t>
  </si>
  <si>
    <t>2025-09-22T10:08:48.252Z</t>
  </si>
  <si>
    <t>2025-09-22T11:25:10.371+08</t>
  </si>
  <si>
    <t>2025-09-22T13:25:12.850+08</t>
  </si>
  <si>
    <t>H006213019</t>
  </si>
  <si>
    <t>uuid:da7302ac-2c8c-4984-a034-ba653b87e98f</t>
  </si>
  <si>
    <t>2025-09-22T10:20:29.096Z</t>
  </si>
  <si>
    <t>2025-09-22T11:04:37.540+08</t>
  </si>
  <si>
    <t>2025-09-22T12:07:46.356+08</t>
  </si>
  <si>
    <t>H030470024</t>
  </si>
  <si>
    <t>uuid:5c6c3e39-b865-4ed8-86c6-5d874266bd02</t>
  </si>
  <si>
    <t>2025-10-03T11:29:35.589Z</t>
  </si>
  <si>
    <t>2025-10-03T14:07:06.650+08</t>
  </si>
  <si>
    <t>2025-10-03T14:55:33.808+08</t>
  </si>
  <si>
    <t>H030470033</t>
  </si>
  <si>
    <t>uuid:bed85c02-c9f9-4150-a9e7-312f0afd4c47</t>
  </si>
  <si>
    <t>2025-09-22T10:20:32.163Z</t>
  </si>
  <si>
    <t>2025-09-22T09:46:06.621+08</t>
  </si>
  <si>
    <t>2025-09-22T10:39:09.542+08</t>
  </si>
  <si>
    <t>H030470021</t>
  </si>
  <si>
    <t>uuid:cf6a2340-1ec9-4887-99d5-be3fdc6f37f3</t>
  </si>
  <si>
    <t>2025-09-23T10:45:13.801Z</t>
  </si>
  <si>
    <t>2025-09-23T08:59:46.654+08</t>
  </si>
  <si>
    <t>2025-09-23T10:28:13.886+08</t>
  </si>
  <si>
    <t>H030396018</t>
  </si>
  <si>
    <t>uuid:d8becf9c-5013-471d-848e-3fd362139027</t>
  </si>
  <si>
    <t>2025-09-22T10:49:39.740Z</t>
  </si>
  <si>
    <t>2025-09-22T10:05:56.052+08</t>
  </si>
  <si>
    <t>2025-09-22T11:13:32.786+08</t>
  </si>
  <si>
    <t>H030396032</t>
  </si>
  <si>
    <t>uuid:ddecf18b-d174-480d-a9ac-a955f19961f7</t>
  </si>
  <si>
    <t>2025-09-22T10:49:41.023Z</t>
  </si>
  <si>
    <t>2025-09-22T13:14:08.916+08</t>
  </si>
  <si>
    <t>2025-09-22T14:59:17.118+08</t>
  </si>
  <si>
    <t>H030396021</t>
  </si>
  <si>
    <t>uuid:5837cbd0-95be-4bc2-be4e-843db93a6384</t>
  </si>
  <si>
    <t>2025-09-22T10:55:29.418Z</t>
  </si>
  <si>
    <t>2025-09-22T14:08:46.471+08</t>
  </si>
  <si>
    <t>2025-09-22T16:10:14.394+08</t>
  </si>
  <si>
    <t>H006213034</t>
  </si>
  <si>
    <t>uuid:252d1d82-580a-42f9-b210-a95c8952caf1</t>
  </si>
  <si>
    <t>2025-09-22T10:55:30.679Z</t>
  </si>
  <si>
    <t>2025-09-22T12:18:56.339+08</t>
  </si>
  <si>
    <t>2025-09-22T13:10:20.269+08</t>
  </si>
  <si>
    <t>H006213033</t>
  </si>
  <si>
    <t>uuid:c13cfa25-f88f-4df4-94d5-66d054c9feb8</t>
  </si>
  <si>
    <t>2025-09-22T10:55:32.065Z</t>
  </si>
  <si>
    <t>2025-09-22T11:11:46.257+08</t>
  </si>
  <si>
    <t>2025-09-22T12:10:18.919+08</t>
  </si>
  <si>
    <t>H006213020</t>
  </si>
  <si>
    <t>uuid:ff12d4e9-f28d-436d-84a8-239492ed6f2a</t>
  </si>
  <si>
    <t>2025-09-22T10:55:33.800Z</t>
  </si>
  <si>
    <t>2025-09-22T09:36:14.327+08</t>
  </si>
  <si>
    <t>2025-09-22T10:50:30.672+08</t>
  </si>
  <si>
    <t>H006213031</t>
  </si>
  <si>
    <t>uuid:74057457-6dca-43b0-972e-c9bf4be6d71f</t>
  </si>
  <si>
    <t>2025-09-22T11:06:25.563Z</t>
  </si>
  <si>
    <t>2025-09-22T09:44:09.865+08</t>
  </si>
  <si>
    <t>2025-09-22T11:03:11.095+08</t>
  </si>
  <si>
    <t>H030470023</t>
  </si>
  <si>
    <t>uuid:d3230f47-24fb-43ab-b038-8e4c491d7c62</t>
  </si>
  <si>
    <t>2025-09-22T11:06:29.359Z</t>
  </si>
  <si>
    <t>2025-09-22T11:17:49.682+08</t>
  </si>
  <si>
    <t>2025-09-22T12:25:12.144+08</t>
  </si>
  <si>
    <t>H030470018</t>
  </si>
  <si>
    <t>uuid:5d061343-8112-47b1-b858-11e45265296f</t>
  </si>
  <si>
    <t>2025-09-22T11:07:32.542Z</t>
  </si>
  <si>
    <t>2025-09-22T10:02:18.661+08</t>
  </si>
  <si>
    <t>2025-09-22T11:24:00.314+08</t>
  </si>
  <si>
    <t>H030470026</t>
  </si>
  <si>
    <t>uuid:7af2f47d-9654-47ec-aee3-0a04fbcba323</t>
  </si>
  <si>
    <t>2025-09-22T11:07:34.612Z</t>
  </si>
  <si>
    <t>2025-09-22T11:51:35.161+08</t>
  </si>
  <si>
    <t>2025-09-22T13:09:47.430+08</t>
  </si>
  <si>
    <t>H030470028</t>
  </si>
  <si>
    <t>uuid:2bd14bac-913d-494a-b3c4-d5c560bc4373</t>
  </si>
  <si>
    <t>2025-09-22T11:11:20.319Z</t>
  </si>
  <si>
    <t>2025-09-22T09:11:14.237+08</t>
  </si>
  <si>
    <t>2025-09-22T11:14:16.938+08</t>
  </si>
  <si>
    <t>H006068018</t>
  </si>
  <si>
    <t>uuid:84e7a0b0-539b-45ae-8479-c2fab7772d20</t>
  </si>
  <si>
    <t>2025-09-22T11:11:21.460Z</t>
  </si>
  <si>
    <t>2025-09-22T10:16:37.209+08</t>
  </si>
  <si>
    <t>2025-09-22T11:48:33.901+08</t>
  </si>
  <si>
    <t>H006068016</t>
  </si>
  <si>
    <t>uuid:30796a11-771b-4286-90d4-e5f6f849c197</t>
  </si>
  <si>
    <t>2025-09-22T11:11:21.022Z</t>
  </si>
  <si>
    <t>2025-09-22T09:03:40.210+08</t>
  </si>
  <si>
    <t>2025-09-22T10:06:57.117+08</t>
  </si>
  <si>
    <t>H006213023</t>
  </si>
  <si>
    <t>uuid:568dfde1-16d8-489b-8407-5a2f8eb3a0c9</t>
  </si>
  <si>
    <t>2025-09-22T11:11:22.394Z</t>
  </si>
  <si>
    <t>2025-09-22T10:10:00.015+08</t>
  </si>
  <si>
    <t>2025-09-22T11:59:18.324+08</t>
  </si>
  <si>
    <t>H006213024</t>
  </si>
  <si>
    <t>uuid:78af3586-8f15-4145-b597-43262b2e4495</t>
  </si>
  <si>
    <t>2025-09-22T11:11:22.652Z</t>
  </si>
  <si>
    <t>2025-09-22T11:15:38.511+08</t>
  </si>
  <si>
    <t>2025-09-22T12:56:53.911+08</t>
  </si>
  <si>
    <t>H006068029</t>
  </si>
  <si>
    <t>uuid:06c9aebe-4774-4bdf-8e69-cbfc80963e27</t>
  </si>
  <si>
    <t>2025-09-22T11:11:24.846Z</t>
  </si>
  <si>
    <t>2025-09-22T12:57:59.479+08</t>
  </si>
  <si>
    <t>2025-09-22T14:01:43.180+08</t>
  </si>
  <si>
    <t>H006068023</t>
  </si>
  <si>
    <t>uuid:f055ec7e-0867-4c7a-8f56-dbe82518e682</t>
  </si>
  <si>
    <t>2025-09-22T11:11:23.479Z</t>
  </si>
  <si>
    <t>2025-09-22T11:59:53.723+08</t>
  </si>
  <si>
    <t>2025-09-22T13:34:56.617+08</t>
  </si>
  <si>
    <t>H006213030</t>
  </si>
  <si>
    <t>uuid:af821368-08f9-45e7-86a8-4062ce19bd62</t>
  </si>
  <si>
    <t>2025-09-22T11:11:25.301Z</t>
  </si>
  <si>
    <t>2025-09-22T13:54:16.569+08</t>
  </si>
  <si>
    <t>2025-09-22T16:04:53.563+08</t>
  </si>
  <si>
    <t>H006213022</t>
  </si>
  <si>
    <t>uuid:01078af8-7c1f-47f0-a970-83268203a4f8</t>
  </si>
  <si>
    <t>2025-09-22T11:21:38.507Z</t>
  </si>
  <si>
    <t>2025-09-22T09:00:10.993+08</t>
  </si>
  <si>
    <t>2025-09-22T10:28:05.339+08</t>
  </si>
  <si>
    <t>H004132034</t>
  </si>
  <si>
    <t>uuid:3e64427a-5b50-4c9b-b02f-f771aa5595e4</t>
  </si>
  <si>
    <t>2025-09-22T11:21:40.034Z</t>
  </si>
  <si>
    <t>2025-09-22T07:41:42.824+08</t>
  </si>
  <si>
    <t>2025-09-22T08:50:23.682+08</t>
  </si>
  <si>
    <t>H004132017</t>
  </si>
  <si>
    <t>uuid:961100a1-d0e7-49ef-a6df-83860eb07709</t>
  </si>
  <si>
    <t>2025-09-22T11:21:41.439Z</t>
  </si>
  <si>
    <t>2025-09-22T10:57:06.081+08</t>
  </si>
  <si>
    <t>2025-09-22T11:39:48.455+08</t>
  </si>
  <si>
    <t>H004132027</t>
  </si>
  <si>
    <t>uuid:ee3170b2-41df-45aa-828f-5f7028aa82a4</t>
  </si>
  <si>
    <t>2025-09-22T11:21:42.677Z</t>
  </si>
  <si>
    <t>2025-09-22T11:51:46.996+08</t>
  </si>
  <si>
    <t>2025-09-22T12:36:36.380+08</t>
  </si>
  <si>
    <t>H004132025</t>
  </si>
  <si>
    <t>uuid:fe49c8cd-1623-4b20-99fb-264576093c90</t>
  </si>
  <si>
    <t>2025-09-22T11:21:43.922Z</t>
  </si>
  <si>
    <t>2025-09-22T12:45:57.488+08</t>
  </si>
  <si>
    <t>2025-09-22T13:51:09.651+08</t>
  </si>
  <si>
    <t>H004132032</t>
  </si>
  <si>
    <t>uuid:bacf9c0a-ce29-46cf-b571-461cbc3b393a</t>
  </si>
  <si>
    <t>2025-09-22T11:25:22.638Z</t>
  </si>
  <si>
    <t>2025-09-22T09:26:06.634+08</t>
  </si>
  <si>
    <t>2025-09-22T10:16:25.910+08</t>
  </si>
  <si>
    <t>H004132016</t>
  </si>
  <si>
    <t>uuid:1b3d910b-b6bd-4595-bf97-db7cd0601ed6</t>
  </si>
  <si>
    <t>2025-09-23T09:33:12.858Z</t>
  </si>
  <si>
    <t>2025-09-23T07:07:45.025+08</t>
  </si>
  <si>
    <t>2025-09-23T17:26:31.424+08</t>
  </si>
  <si>
    <t>H004132030</t>
  </si>
  <si>
    <t>uuid:5f51ba5c-4e9a-453a-a20c-9d6b981e964a</t>
  </si>
  <si>
    <t>2025-09-22T11:25:28.161Z</t>
  </si>
  <si>
    <t>2025-09-22T07:43:07.163+08</t>
  </si>
  <si>
    <t>2025-09-22T19:18:21.490+08</t>
  </si>
  <si>
    <t>H004132022</t>
  </si>
  <si>
    <t>uuid:24e57052-0271-418b-a201-0405412a45da</t>
  </si>
  <si>
    <t>2025-09-22T11:25:29.116Z</t>
  </si>
  <si>
    <t>2025-09-22T08:34:42.133+08</t>
  </si>
  <si>
    <t>2025-09-22T19:18:43.670+08</t>
  </si>
  <si>
    <t>H004132021</t>
  </si>
  <si>
    <t>uuid:a52c57d0-2211-4bf9-acad-59b4a6828b19</t>
  </si>
  <si>
    <t>2025-09-22T11:39:59.961Z</t>
  </si>
  <si>
    <t>2025-09-22T10:22:20.362+08</t>
  </si>
  <si>
    <t>2025-09-22T11:22:10.343+08</t>
  </si>
  <si>
    <t>H030470025</t>
  </si>
  <si>
    <t>uuid:1314fa3f-8260-43ed-85fe-c9134e1783dc</t>
  </si>
  <si>
    <t>2025-09-22T11:40:04.542Z</t>
  </si>
  <si>
    <t>2025-09-22T11:55:25.014+08</t>
  </si>
  <si>
    <t>2025-09-22T13:15:58.505+08</t>
  </si>
  <si>
    <t>H030470019</t>
  </si>
  <si>
    <t>uuid:5ebe5fba-e6ac-4a35-af08-3b58fc994eed</t>
  </si>
  <si>
    <t>2025-09-22T11:44:34.723Z</t>
  </si>
  <si>
    <t>2025-09-22T13:39:20.146+08</t>
  </si>
  <si>
    <t>2025-09-22T14:45:05.973+08</t>
  </si>
  <si>
    <t>H030396013</t>
  </si>
  <si>
    <t>uuid:c0dae9b2-ccbf-40ce-971d-59b4226a9ea0</t>
  </si>
  <si>
    <t>2025-09-22T11:44:55.966Z</t>
  </si>
  <si>
    <t>2025-09-22T11:20:37.821+08</t>
  </si>
  <si>
    <t>2025-09-22T12:37:15.344+08</t>
  </si>
  <si>
    <t>H030396025</t>
  </si>
  <si>
    <t>uuid:6b286bea-4ee0-4fc1-bae1-aeaecd5b84b3</t>
  </si>
  <si>
    <t>2025-09-23T10:45:08.662Z</t>
  </si>
  <si>
    <t>2025-09-23T15:09:27.249+08</t>
  </si>
  <si>
    <t>2025-09-23T15:55:11.146+08</t>
  </si>
  <si>
    <t>H030396034</t>
  </si>
  <si>
    <t>uuid:50cea5f3-14c4-4c36-adf9-6b76191b1642</t>
  </si>
  <si>
    <t>2025-09-22T11:45:02.695Z</t>
  </si>
  <si>
    <t>2025-09-22T09:31:22.667+08</t>
  </si>
  <si>
    <t>2025-09-22T11:02:09.361+08</t>
  </si>
  <si>
    <t>H030396027</t>
  </si>
  <si>
    <t>uuid:5a957415-fc3e-4691-ad25-2a78e8f0e44d</t>
  </si>
  <si>
    <t>2025-09-23T10:35:10.091Z</t>
  </si>
  <si>
    <t>2025-09-23T15:22:08.385+08</t>
  </si>
  <si>
    <t>2025-09-23T16:17:44.634+08</t>
  </si>
  <si>
    <t>H030396020</t>
  </si>
  <si>
    <t>uuid:ad4f3e05-c1b5-4d47-b18e-de1a56db2aae</t>
  </si>
  <si>
    <t>2025-09-22T11:45:55.404Z</t>
  </si>
  <si>
    <t>2025-09-22T09:27:10.625+08</t>
  </si>
  <si>
    <t>2025-09-22T13:08:54.486+08</t>
  </si>
  <si>
    <t>H030396023</t>
  </si>
  <si>
    <t>uuid:61da8a17-091f-461d-8e18-f50a5a27c044</t>
  </si>
  <si>
    <t>2025-09-22T11:58:10.200Z</t>
  </si>
  <si>
    <t>2025-09-22T09:19:37.302+08</t>
  </si>
  <si>
    <t>2025-09-22T10:39:58.379+08</t>
  </si>
  <si>
    <t>H006068022</t>
  </si>
  <si>
    <t>uuid:6ea817f9-635a-4711-aa77-85f38e2b7037</t>
  </si>
  <si>
    <t>2025-09-22T11:58:11.972Z</t>
  </si>
  <si>
    <t>2025-09-22T10:40:19.766+08</t>
  </si>
  <si>
    <t>2025-09-22T12:09:03.747+08</t>
  </si>
  <si>
    <t>H006068020</t>
  </si>
  <si>
    <t>uuid:37134ba9-9ece-4ecd-8d8c-27b5e7c1272c</t>
  </si>
  <si>
    <t>2025-09-22T11:58:12.792Z</t>
  </si>
  <si>
    <t>2025-09-22T12:56:06.844+08</t>
  </si>
  <si>
    <t>2025-09-22T13:37:39.355+08</t>
  </si>
  <si>
    <t>H006068019</t>
  </si>
  <si>
    <t>uuid:76821095-6710-42d5-a2a4-f2ea37a01896</t>
  </si>
  <si>
    <t>2025-09-22T11:58:13.595Z</t>
  </si>
  <si>
    <t>2025-09-22T13:37:55.365+08</t>
  </si>
  <si>
    <t>2025-09-22T14:56:52.774+08</t>
  </si>
  <si>
    <t>H006068025</t>
  </si>
  <si>
    <t>uuid:9fc43e1b-46b7-479a-b91b-20dc105c8a3d</t>
  </si>
  <si>
    <t>2025-09-22T11:58:58.776Z</t>
  </si>
  <si>
    <t>2025-09-22T10:43:43.417+08</t>
  </si>
  <si>
    <t>2025-09-22T11:34:02.957+08</t>
  </si>
  <si>
    <t>H004306021</t>
  </si>
  <si>
    <t>uuid:80594bb3-2ff3-43de-aa7d-c03f2390bdf7</t>
  </si>
  <si>
    <t>2025-09-22T11:59:00.451Z</t>
  </si>
  <si>
    <t>2025-09-22T11:48:35.470+08</t>
  </si>
  <si>
    <t>2025-09-22T12:18:01.909+08</t>
  </si>
  <si>
    <t>H004306023</t>
  </si>
  <si>
    <t>uuid:ebbe6df8-4c63-429f-9dd1-443470b27389</t>
  </si>
  <si>
    <t>2025-09-22T11:59:02.108Z</t>
  </si>
  <si>
    <t>2025-09-22T13:30:12.340+08</t>
  </si>
  <si>
    <t>2025-09-22T14:14:57.602+08</t>
  </si>
  <si>
    <t>H004306031</t>
  </si>
  <si>
    <t>uuid:f01f5587-35d1-41a9-ba60-137397e0dbd8</t>
  </si>
  <si>
    <t>2025-09-22T11:59:03.794Z</t>
  </si>
  <si>
    <t>2025-09-22T14:34:55.462+08</t>
  </si>
  <si>
    <t>2025-09-22T15:05:17.774+08</t>
  </si>
  <si>
    <t>H004306020</t>
  </si>
  <si>
    <t>uuid:6fa9702e-6041-4858-a288-f1d7dd0d92de</t>
  </si>
  <si>
    <t>2025-09-22T12:05:57.797Z</t>
  </si>
  <si>
    <t>2025-09-22T10:12:34.845+08</t>
  </si>
  <si>
    <t>2025-09-22T11:53:27.883+08</t>
  </si>
  <si>
    <t>H006068024</t>
  </si>
  <si>
    <t>uuid:85670e36-2c84-4546-b25e-a4a323d328c4</t>
  </si>
  <si>
    <t>2025-09-22T12:05:59.890Z</t>
  </si>
  <si>
    <t>2025-09-22T09:09:13.513+08</t>
  </si>
  <si>
    <t>2025-09-22T10:07:12.131+08</t>
  </si>
  <si>
    <t>H006068032</t>
  </si>
  <si>
    <t>uuid:1b1f6508-dcb8-4f32-a1ae-121b3daaee38</t>
  </si>
  <si>
    <t>2025-09-22T12:06:02.212Z</t>
  </si>
  <si>
    <t>2025-09-22T14:10:32.927+08</t>
  </si>
  <si>
    <t>2025-09-22T15:24:40.049+08</t>
  </si>
  <si>
    <t>H006068028</t>
  </si>
  <si>
    <t>uuid:33d0ceda-ec0c-4760-a2b6-3b98ecffed08</t>
  </si>
  <si>
    <t>2025-09-22T12:08:01.111Z</t>
  </si>
  <si>
    <t>2025-09-22T10:45:56.023+08</t>
  </si>
  <si>
    <t>2025-09-22T11:49:30.725+08</t>
  </si>
  <si>
    <t>H006068026</t>
  </si>
  <si>
    <t>uuid:8e6d44a7-8de8-415f-bb4b-4ed511fcac63</t>
  </si>
  <si>
    <t>2025-09-22T12:08:02.887Z</t>
  </si>
  <si>
    <t>2025-09-22T12:54:22.963+08</t>
  </si>
  <si>
    <t>2025-09-22T13:50:18.341+08</t>
  </si>
  <si>
    <t>H006068030</t>
  </si>
  <si>
    <t>uuid:833bd934-1b86-4fc5-9d9e-865660cf4248</t>
  </si>
  <si>
    <t>2025-09-22T12:08:04.542Z</t>
  </si>
  <si>
    <t>2025-09-22T09:18:34.777+08</t>
  </si>
  <si>
    <t>2025-09-22T10:32:16.224+08</t>
  </si>
  <si>
    <t>H006068021</t>
  </si>
  <si>
    <t>uuid:8acfc434-b910-482c-906c-7d2cd153e394</t>
  </si>
  <si>
    <t>2025-09-22T12:10:09.414Z</t>
  </si>
  <si>
    <t>2025-09-22T10:37:13.527+08</t>
  </si>
  <si>
    <t>2025-09-22T11:12:41.768+08</t>
  </si>
  <si>
    <t>H004306034</t>
  </si>
  <si>
    <t>uuid:737d406c-e111-4982-9202-3173bd308dc2</t>
  </si>
  <si>
    <t>2025-09-22T12:10:11.084Z</t>
  </si>
  <si>
    <t>2025-09-22T11:17:33.573+08</t>
  </si>
  <si>
    <t>2025-09-22T12:04:29.445+08</t>
  </si>
  <si>
    <t>H004306026</t>
  </si>
  <si>
    <t>uuid:baf28fea-a22f-4a5a-97cf-6e32dcbb3ee9</t>
  </si>
  <si>
    <t>2025-09-22T12:10:16.809Z</t>
  </si>
  <si>
    <t>2025-09-22T12:18:46.486+08</t>
  </si>
  <si>
    <t>2025-09-22T13:13:32.308+08</t>
  </si>
  <si>
    <t>H004306024</t>
  </si>
  <si>
    <t>uuid:f95c82c4-6ef5-4a8f-b825-77bb648a8a53</t>
  </si>
  <si>
    <t>2025-09-22T12:10:19.851Z</t>
  </si>
  <si>
    <t>2025-09-22T15:07:39.131+08</t>
  </si>
  <si>
    <t>2025-09-22T15:48:01.134+08</t>
  </si>
  <si>
    <t>H004306029</t>
  </si>
  <si>
    <t>uuid:d40af0ef-f4f6-4ed6-afcc-c67852646e95</t>
  </si>
  <si>
    <t>2025-09-22T13:21:12.786Z</t>
  </si>
  <si>
    <t>2025-09-22T21:19:41.324+08</t>
  </si>
  <si>
    <t>2025-09-22T21:20:50.172+08</t>
  </si>
  <si>
    <t>H004380019</t>
  </si>
  <si>
    <t>uuid:960c0028-0b23-4a0f-a899-de9014e62041</t>
  </si>
  <si>
    <t>2025-09-23T09:41:51.545Z</t>
  </si>
  <si>
    <t>2025-09-13T10:56:25.293+08</t>
  </si>
  <si>
    <t>2025-09-23T14:16:55.918+08</t>
  </si>
  <si>
    <t>H004137034</t>
  </si>
  <si>
    <t>uuid:b4de593c-a691-44bc-befc-e7eeac4ce412</t>
  </si>
  <si>
    <t>2025-09-23T09:46:16.992Z</t>
  </si>
  <si>
    <t>2025-09-23T09:21:24.533+08</t>
  </si>
  <si>
    <t>2025-09-23T10:28:31.606+08</t>
  </si>
  <si>
    <t>H004306018</t>
  </si>
  <si>
    <t>uuid:4bb41d5c-c860-4dbe-96f0-bafddbe2e303</t>
  </si>
  <si>
    <t>2025-09-23T10:03:44.574Z</t>
  </si>
  <si>
    <t>2025-09-23T09:22:47.295+08</t>
  </si>
  <si>
    <t>2025-09-23T10:01:35.363+08</t>
  </si>
  <si>
    <t>H004306019</t>
  </si>
  <si>
    <t>uuid:74ab9a6a-33a1-4956-a83a-1247acabf97a</t>
  </si>
  <si>
    <t>2025-09-23T10:14:58.095Z</t>
  </si>
  <si>
    <t>2025-09-23T12:13:26.977+08</t>
  </si>
  <si>
    <t>2025-09-23T13:12:22.666+08</t>
  </si>
  <si>
    <t>H030370016</t>
  </si>
  <si>
    <t>uuid:1859e31d-16b2-40d1-ac91-69a3ad3efe08</t>
  </si>
  <si>
    <t>2025-09-23T10:14:54.515Z</t>
  </si>
  <si>
    <t>2025-09-23T09:31:30.753+08</t>
  </si>
  <si>
    <t>2025-09-23T10:24:29.800+08</t>
  </si>
  <si>
    <t>H030370026</t>
  </si>
  <si>
    <t>uuid:325be68a-bf42-43ff-8fb9-65e75547b7e1</t>
  </si>
  <si>
    <t>2025-09-24T11:06:50.797Z</t>
  </si>
  <si>
    <t>2025-09-24T08:30:42.818+08</t>
  </si>
  <si>
    <t>2025-09-24T09:41:22.199+08</t>
  </si>
  <si>
    <t>H030370019</t>
  </si>
  <si>
    <t>uuid:ddc2f79c-2df7-4937-abb4-0292b38e0965</t>
  </si>
  <si>
    <t>2025-09-24T11:06:57.376Z</t>
  </si>
  <si>
    <t>2025-09-24T08:32:41.519+08</t>
  </si>
  <si>
    <t>2025-09-24T09:51:39.377+08</t>
  </si>
  <si>
    <t>H030370031</t>
  </si>
  <si>
    <t>uuid:96840959-e7c7-4721-a03c-0efa43c66135</t>
  </si>
  <si>
    <t>2025-09-24T11:05:22.035Z</t>
  </si>
  <si>
    <t>2025-09-24T08:38:38.953+08</t>
  </si>
  <si>
    <t>2025-09-24T09:43:35.526+08</t>
  </si>
  <si>
    <t>H030370018</t>
  </si>
  <si>
    <t>uuid:3676e7d2-e079-4306-97eb-d5baa5eef71c</t>
  </si>
  <si>
    <t>2025-09-23T10:26:03.524Z</t>
  </si>
  <si>
    <t>2025-09-23T09:18:25.284+08</t>
  </si>
  <si>
    <t>2025-09-23T10:03:03.511+08</t>
  </si>
  <si>
    <t>H006029019</t>
  </si>
  <si>
    <t>uuid:4a66fcde-5302-4a93-a1b8-fa10ff37f031</t>
  </si>
  <si>
    <t>2025-09-23T10:26:04.514Z</t>
  </si>
  <si>
    <t>2025-09-23T10:08:53.943+08</t>
  </si>
  <si>
    <t>2025-09-23T11:08:46.377+08</t>
  </si>
  <si>
    <t>H006029030</t>
  </si>
  <si>
    <t>uuid:1ba0e787-a3af-474f-b58b-c984e1d5e764</t>
  </si>
  <si>
    <t>2025-09-23T10:28:20.831Z</t>
  </si>
  <si>
    <t>2025-09-23T09:17:10.953+08</t>
  </si>
  <si>
    <t>2025-09-23T10:32:40.813+08</t>
  </si>
  <si>
    <t>H004306033</t>
  </si>
  <si>
    <t>uuid:1ad46321-55ee-406d-b469-a29b82acc713</t>
  </si>
  <si>
    <t>2025-09-23T10:32:19.447Z</t>
  </si>
  <si>
    <t>2025-09-23T08:40:28.997+08</t>
  </si>
  <si>
    <t>2025-09-23T10:27:28.892+08</t>
  </si>
  <si>
    <t>H030470029</t>
  </si>
  <si>
    <t>uuid:c94b1938-f57a-4bad-adc2-a574af8e6fc9</t>
  </si>
  <si>
    <t>2025-09-23T10:32:22.248Z</t>
  </si>
  <si>
    <t>2025-09-23T10:47:26.867+08</t>
  </si>
  <si>
    <t>2025-09-23T12:00:07.793+08</t>
  </si>
  <si>
    <t>H030470030</t>
  </si>
  <si>
    <t>uuid:073836b6-ef34-43b8-8db9-6ed4f9ffb469</t>
  </si>
  <si>
    <t>2025-09-23T10:32:26.766Z</t>
  </si>
  <si>
    <t>2025-09-23T12:33:20.141+08</t>
  </si>
  <si>
    <t>2025-09-23T13:47:10.054+08</t>
  </si>
  <si>
    <t>H030470032</t>
  </si>
  <si>
    <t>uuid:0e242f54-2c9d-4a46-b246-9378e8e2bff9</t>
  </si>
  <si>
    <t>2025-09-23T10:33:56.932Z</t>
  </si>
  <si>
    <t>2025-09-23T08:52:35.599+08</t>
  </si>
  <si>
    <t>2025-09-23T09:59:33.805+08</t>
  </si>
  <si>
    <t>H030747024</t>
  </si>
  <si>
    <t>uuid:8d6cf2a0-c7a4-4fde-9947-8e7a42329ec7</t>
  </si>
  <si>
    <t>2025-09-23T10:34:01.538Z</t>
  </si>
  <si>
    <t>2025-09-23T10:14:41.979+08</t>
  </si>
  <si>
    <t>2025-09-23T11:46:19.316+08</t>
  </si>
  <si>
    <t>H030747029</t>
  </si>
  <si>
    <t>uuid:7fe02fdb-f40c-4319-92a1-f190567752dd</t>
  </si>
  <si>
    <t>2025-09-23T10:34:07.636Z</t>
  </si>
  <si>
    <t>2025-09-23T13:13:42.597+08</t>
  </si>
  <si>
    <t>2025-09-23T14:28:05.036+08</t>
  </si>
  <si>
    <t>H030747023</t>
  </si>
  <si>
    <t>uuid:d900b602-e46b-4e36-9028-cd387bd29731</t>
  </si>
  <si>
    <t>2025-09-23T10:34:12.951Z</t>
  </si>
  <si>
    <t>2025-09-23T14:40:55.989+08</t>
  </si>
  <si>
    <t>2025-09-23T16:29:00.554+08</t>
  </si>
  <si>
    <t>H030747032</t>
  </si>
  <si>
    <t>uuid:cc1e9988-1e41-4e31-a5a3-4b435bd0f17c</t>
  </si>
  <si>
    <t>2025-09-23T10:35:11.741Z</t>
  </si>
  <si>
    <t>2025-09-23T08:54:56.212+08</t>
  </si>
  <si>
    <t>2025-09-23T10:02:20.067+08</t>
  </si>
  <si>
    <t>H030396022</t>
  </si>
  <si>
    <t>uuid:6f28276f-a215-477e-b5b1-b926f36404f1</t>
  </si>
  <si>
    <t>2025-09-23T10:35:13.586Z</t>
  </si>
  <si>
    <t>2025-09-23T13:45:49.998+08</t>
  </si>
  <si>
    <t>2025-09-23T14:53:24.281+08</t>
  </si>
  <si>
    <t>H030396026</t>
  </si>
  <si>
    <t>uuid:8f81c19c-199b-454c-8008-ec78eef4115f</t>
  </si>
  <si>
    <t>2025-09-23T10:35:14.846Z</t>
  </si>
  <si>
    <t>2025-09-23T11:19:10.282+08</t>
  </si>
  <si>
    <t>2025-09-23T12:38:41.130+08</t>
  </si>
  <si>
    <t>H030396029</t>
  </si>
  <si>
    <t>uuid:3699da23-5141-408d-b5ee-d621e8ee22d1</t>
  </si>
  <si>
    <t>2025-09-24T11:06:55.570Z</t>
  </si>
  <si>
    <t>2025-09-24T09:56:26.463+08</t>
  </si>
  <si>
    <t>2025-09-24T12:15:56.526+08</t>
  </si>
  <si>
    <t>H030370028</t>
  </si>
  <si>
    <t>uuid:b7dc8147-a7a2-4489-a194-2edc6cbc0e44</t>
  </si>
  <si>
    <t>2025-09-23T10:36:39.992Z</t>
  </si>
  <si>
    <t>2025-09-23T11:10:30.243+08</t>
  </si>
  <si>
    <t>2025-09-23T12:21:12.150+08</t>
  </si>
  <si>
    <t>H030370033</t>
  </si>
  <si>
    <t>uuid:a67685df-3498-4168-a40e-92f8b5ccc71e</t>
  </si>
  <si>
    <t>2025-09-23T10:36:38.852Z</t>
  </si>
  <si>
    <t>2025-09-23T09:42:44.322+08</t>
  </si>
  <si>
    <t>2025-09-23T10:47:32.195+08</t>
  </si>
  <si>
    <t>H030370017</t>
  </si>
  <si>
    <t>uuid:a75f20f0-5c85-4314-9700-63ff49e288a4</t>
  </si>
  <si>
    <t>2025-09-23T10:36:41.047Z</t>
  </si>
  <si>
    <t>2025-09-23T12:47:36.575+08</t>
  </si>
  <si>
    <t>2025-09-23T13:56:48.916+08</t>
  </si>
  <si>
    <t>H030370030</t>
  </si>
  <si>
    <t>uuid:db8b812f-fb18-4496-976a-6396f7a304a2</t>
  </si>
  <si>
    <t>2025-09-24T11:06:53.510Z</t>
  </si>
  <si>
    <t>2025-09-24T08:34:37.376+08</t>
  </si>
  <si>
    <t>2025-09-24T09:43:16.503+08</t>
  </si>
  <si>
    <t>H030370023</t>
  </si>
  <si>
    <t>uuid:668694b6-baef-4a1a-a23d-25d04df5b223</t>
  </si>
  <si>
    <t>2025-09-24T11:06:44.439Z</t>
  </si>
  <si>
    <t>2025-09-24T11:44:54.639+08</t>
  </si>
  <si>
    <t>2025-09-24T12:44:18.493+08</t>
  </si>
  <si>
    <t>H030370021</t>
  </si>
  <si>
    <t>uuid:b476a8bc-ec40-43a5-a8c7-573cf2be74ac</t>
  </si>
  <si>
    <t>2025-09-23T10:41:44.078Z</t>
  </si>
  <si>
    <t>2025-09-23T09:33:04.863+08</t>
  </si>
  <si>
    <t>2025-09-23T10:25:15.467+08</t>
  </si>
  <si>
    <t>H030370024</t>
  </si>
  <si>
    <t>uuid:7b7d40ec-7a8a-4acb-9877-a579922f3b16</t>
  </si>
  <si>
    <t>2025-09-23T10:41:45.455Z</t>
  </si>
  <si>
    <t>2025-09-23T11:17:15.681+08</t>
  </si>
  <si>
    <t>2025-09-23T12:24:39.101+08</t>
  </si>
  <si>
    <t>H030370034</t>
  </si>
  <si>
    <t>uuid:01043372-fe17-44f4-827a-c3ccbc53ba6b</t>
  </si>
  <si>
    <t>2025-09-23T10:41:47.275Z</t>
  </si>
  <si>
    <t>2025-09-23T12:53:52.920+08</t>
  </si>
  <si>
    <t>2025-09-23T13:44:24.339+08</t>
  </si>
  <si>
    <t>H030370029</t>
  </si>
  <si>
    <t>uuid:6122cce0-35bc-4701-bfb8-f30a904ad475</t>
  </si>
  <si>
    <t>2025-09-24T09:04:58.563Z</t>
  </si>
  <si>
    <t>2025-09-24T14:23:47.563+08</t>
  </si>
  <si>
    <t>2025-09-24T14:58:48.011+08</t>
  </si>
  <si>
    <t>H004042018</t>
  </si>
  <si>
    <t>uuid:5a9d057d-124c-4193-8eac-4ad81faa802c</t>
  </si>
  <si>
    <t>2025-09-23T10:45:04.619Z</t>
  </si>
  <si>
    <t>2025-09-23T11:26:56.333+08</t>
  </si>
  <si>
    <t>2025-09-23T12:18:59.016+08</t>
  </si>
  <si>
    <t>H030396030</t>
  </si>
  <si>
    <t>uuid:5efc7f5b-339f-4a5c-a436-39dd83586a14</t>
  </si>
  <si>
    <t>2025-09-23T10:45:16.281Z</t>
  </si>
  <si>
    <t>2025-09-23T13:43:29.302+08</t>
  </si>
  <si>
    <t>2025-09-23T14:57:46.409+08</t>
  </si>
  <si>
    <t>H030396042</t>
  </si>
  <si>
    <t>uuid:fe432872-8286-425d-a812-aedb867c4613</t>
  </si>
  <si>
    <t>2025-09-23T10:54:42.587Z</t>
  </si>
  <si>
    <t>2025-09-23T06:22:15.064+08</t>
  </si>
  <si>
    <t>2025-09-23T07:03:46.358+08</t>
  </si>
  <si>
    <t>H006068035</t>
  </si>
  <si>
    <t>uuid:bc50adde-49a1-44e1-bcf0-5f16ab46b262</t>
  </si>
  <si>
    <t>2025-09-23T10:58:06.264Z</t>
  </si>
  <si>
    <t>2025-09-23T08:32:44.757+08</t>
  </si>
  <si>
    <t>2025-09-23T10:45:29.095+08</t>
  </si>
  <si>
    <t>H006213025</t>
  </si>
  <si>
    <t>uuid:a811f85c-e718-4646-9584-c56fa58863ff</t>
  </si>
  <si>
    <t>2025-09-23T11:10:00.566Z</t>
  </si>
  <si>
    <t>2025-09-23T07:24:43.871+08</t>
  </si>
  <si>
    <t>2025-09-23T08:04:52.976+08</t>
  </si>
  <si>
    <t>H006213027</t>
  </si>
  <si>
    <t>uuid:03c5dda1-1d96-4a7e-9ef2-b131bda3d474</t>
  </si>
  <si>
    <t>2025-09-23T11:10:01.792Z</t>
  </si>
  <si>
    <t>2025-09-23T08:06:31.370+08</t>
  </si>
  <si>
    <t>2025-09-23T09:11:04.052+08</t>
  </si>
  <si>
    <t>H006213026</t>
  </si>
  <si>
    <t>uuid:b819b1c1-01e9-44e1-b024-1ca091ef8b86</t>
  </si>
  <si>
    <t>2025-09-23T11:13:02.673Z</t>
  </si>
  <si>
    <t>2025-09-23T14:11:14.807+08</t>
  </si>
  <si>
    <t>2025-09-23T16:48:39.066+08</t>
  </si>
  <si>
    <t>H006863032</t>
  </si>
  <si>
    <t>uuid:7b054e0f-3b67-45bf-baac-f0e7f3e1aee3</t>
  </si>
  <si>
    <t>2025-09-23T11:24:07.111Z</t>
  </si>
  <si>
    <t>2025-09-23T07:15:58.234+08</t>
  </si>
  <si>
    <t>2025-09-23T08:24:09.070+08</t>
  </si>
  <si>
    <t>H006510016</t>
  </si>
  <si>
    <t>uuid:a1f95315-bb74-4e8a-9361-55816d64765d</t>
  </si>
  <si>
    <t>2025-09-24T09:04:57.704Z</t>
  </si>
  <si>
    <t>2025-09-24T12:02:05.274+08</t>
  </si>
  <si>
    <t>2025-09-24T12:03:53.502+08</t>
  </si>
  <si>
    <t>H004042033</t>
  </si>
  <si>
    <t>uuid:ef430db2-33df-4427-9b9f-4437a8a82fec</t>
  </si>
  <si>
    <t>2025-09-24T10:44:20.692Z</t>
  </si>
  <si>
    <t>2025-09-24T08:54:40.077+08</t>
  </si>
  <si>
    <t>2025-09-24T10:23:10.102+08</t>
  </si>
  <si>
    <t>H004588035</t>
  </si>
  <si>
    <t>uuid:f0e4d76d-bf3a-4800-b25d-fb8197c12395</t>
  </si>
  <si>
    <t>2025-09-24T10:50:36.846Z</t>
  </si>
  <si>
    <t>2025-09-24T07:58:09.475+08</t>
  </si>
  <si>
    <t>2025-09-24T11:45:01.570+08</t>
  </si>
  <si>
    <t>H006689032</t>
  </si>
  <si>
    <t>uuid:0bec8321-162e-4d7a-9351-5f8b29d43785</t>
  </si>
  <si>
    <t>2025-09-24T10:50:43.706Z</t>
  </si>
  <si>
    <t>2025-09-24T09:46:11.826+08</t>
  </si>
  <si>
    <t>2025-09-24T11:23:54.415+08</t>
  </si>
  <si>
    <t>H006689001</t>
  </si>
  <si>
    <t>uuid:6e8bca84-0839-4aaa-98ec-fb13b3793dfd</t>
  </si>
  <si>
    <t>2025-09-24T11:06:31.848Z</t>
  </si>
  <si>
    <t>2025-09-24T08:25:22.277+08</t>
  </si>
  <si>
    <t>2025-09-24T09:50:12.085+08</t>
  </si>
  <si>
    <t>H006689028</t>
  </si>
  <si>
    <t>uuid:20c67be6-76ee-4396-b3f4-13f46c65a817</t>
  </si>
  <si>
    <t>2025-09-24T11:06:34.218Z</t>
  </si>
  <si>
    <t>2025-09-24T10:17:33.299+08</t>
  </si>
  <si>
    <t>2025-09-24T11:50:29.068+08</t>
  </si>
  <si>
    <t>H006689031</t>
  </si>
  <si>
    <t>uuid:0134a487-9568-484e-8b3f-0bcbe5bd8527</t>
  </si>
  <si>
    <t>2025-09-24T11:07:12.327Z</t>
  </si>
  <si>
    <t>2025-09-24T10:47:27.251+08</t>
  </si>
  <si>
    <t>2025-09-24T11:57:59.197+08</t>
  </si>
  <si>
    <t>H030747020</t>
  </si>
  <si>
    <t>uuid:a82ce0ed-c3c5-4efb-9ca9-b2d8d3008a60</t>
  </si>
  <si>
    <t>2025-09-24T11:07:51.843Z</t>
  </si>
  <si>
    <t>2025-09-24T13:34:16.609+08</t>
  </si>
  <si>
    <t>2025-09-24T14:31:21.553+08</t>
  </si>
  <si>
    <t>H030747021</t>
  </si>
  <si>
    <t>uuid:b527896d-4729-4345-baf3-e97e34ee8409</t>
  </si>
  <si>
    <t>2025-09-24T11:07:53.716Z</t>
  </si>
  <si>
    <t>2025-09-24T09:22:06.822+08</t>
  </si>
  <si>
    <t>2025-09-24T10:28:49.686+08</t>
  </si>
  <si>
    <t>H030747028</t>
  </si>
  <si>
    <t>uuid:62489e8d-357e-4daa-9e34-edc0d47e8e55</t>
  </si>
  <si>
    <t>2025-09-24T11:08:04.746Z</t>
  </si>
  <si>
    <t>2025-09-24T08:27:34.666+08</t>
  </si>
  <si>
    <t>2025-09-24T09:18:46.862+08</t>
  </si>
  <si>
    <t>H006689026</t>
  </si>
  <si>
    <t>uuid:0717747e-55fe-4218-8b4e-3b8bf233ab60</t>
  </si>
  <si>
    <t>2025-09-24T11:08:08.881Z</t>
  </si>
  <si>
    <t>2025-09-24T09:37:06.465+08</t>
  </si>
  <si>
    <t>2025-09-24T10:55:45.414+08</t>
  </si>
  <si>
    <t>H006689021</t>
  </si>
  <si>
    <t>uuid:28af97d7-9a4e-44fa-a79c-b7997a27fe4d</t>
  </si>
  <si>
    <t>2025-09-24T11:08:10.280Z</t>
  </si>
  <si>
    <t>2025-09-24T11:58:58.835+08</t>
  </si>
  <si>
    <t>2025-09-24T13:03:39.097+08</t>
  </si>
  <si>
    <t>H006689019</t>
  </si>
  <si>
    <t>uuid:a02f486a-9923-48b8-a444-e47adbd3c651</t>
  </si>
  <si>
    <t>2025-09-24T11:08:27.138Z</t>
  </si>
  <si>
    <t>2025-09-24T09:25:55.816+08</t>
  </si>
  <si>
    <t>2025-09-24T10:42:49.753+08</t>
  </si>
  <si>
    <t>H030747018</t>
  </si>
  <si>
    <t>uuid:818c2171-0d82-4ad4-8dde-008917747840</t>
  </si>
  <si>
    <t>2025-09-24T11:08:31.420Z</t>
  </si>
  <si>
    <t>2025-09-24T13:31:51.116+08</t>
  </si>
  <si>
    <t>2025-09-24T14:41:06.619+08</t>
  </si>
  <si>
    <t>H030747025</t>
  </si>
  <si>
    <t>uuid:8747560d-fead-4286-a644-af8df6bba988</t>
  </si>
  <si>
    <t>2025-09-24T11:08:36.309Z</t>
  </si>
  <si>
    <t>2025-09-24T10:48:27.967+08</t>
  </si>
  <si>
    <t>2025-09-24T12:01:03.528+08</t>
  </si>
  <si>
    <t>H030747022</t>
  </si>
  <si>
    <t>uuid:0b507eb5-6800-4a1f-83ad-2988297969d9</t>
  </si>
  <si>
    <t>2025-09-24T11:10:27.210Z</t>
  </si>
  <si>
    <t>2025-09-24T14:06:23.141+08</t>
  </si>
  <si>
    <t>2025-09-24T15:15:32.859+08</t>
  </si>
  <si>
    <t>H030747016</t>
  </si>
  <si>
    <t>uuid:1fa3539e-a238-48c0-b315-fc4f93e3f8b9</t>
  </si>
  <si>
    <t>2025-09-24T11:10:28.310Z</t>
  </si>
  <si>
    <t>2025-09-24T12:03:17.133+08</t>
  </si>
  <si>
    <t>2025-09-24T15:17:25.682+08</t>
  </si>
  <si>
    <t>H030747031</t>
  </si>
  <si>
    <t>uuid:5a1c46a5-6485-4f1d-bf75-658cbc6509cf</t>
  </si>
  <si>
    <t>2025-09-24T11:10:29.728Z</t>
  </si>
  <si>
    <t>2025-09-24T08:52:13.658+08</t>
  </si>
  <si>
    <t>2025-09-24T10:31:23.597+08</t>
  </si>
  <si>
    <t>H030747017</t>
  </si>
  <si>
    <t>uuid:0ddef801-c239-4c1a-8b0b-9b142b01b8f6</t>
  </si>
  <si>
    <t>2025-09-24T12:12:06.080Z</t>
  </si>
  <si>
    <t>2025-09-24T11:30:48.563+08</t>
  </si>
  <si>
    <t>2025-09-24T11:35:10.570+08</t>
  </si>
  <si>
    <t>H006417030</t>
  </si>
  <si>
    <t>uuid:7e62563b-eb40-4f70-9679-58b0d4858094</t>
  </si>
  <si>
    <t>2025-09-24T12:12:07.031Z</t>
  </si>
  <si>
    <t>2025-09-24T19:51:53.821+08</t>
  </si>
  <si>
    <t>2025-09-24T09:47:35.357+08</t>
  </si>
  <si>
    <t>H006417020</t>
  </si>
  <si>
    <t>uuid:edd880f3-dd0e-4a00-a4f8-c0e2bd128d65</t>
  </si>
  <si>
    <t>2025-09-25T10:12:12.525Z</t>
  </si>
  <si>
    <t>2025-09-25T09:53:44.738+08</t>
  </si>
  <si>
    <t>2025-09-25T14:41:01.077+08</t>
  </si>
  <si>
    <t>H030837029</t>
  </si>
  <si>
    <t>uuid:53467754-41b2-4847-98ad-2c03e813f5a5</t>
  </si>
  <si>
    <t>2025-09-25T10:12:15.234Z</t>
  </si>
  <si>
    <t>2025-09-25T11:45:38.561+08</t>
  </si>
  <si>
    <t>2025-09-25T15:33:23.745+08</t>
  </si>
  <si>
    <t>H030837032</t>
  </si>
  <si>
    <t>uuid:dd915c09-0555-47b4-aa7e-40cdcb03e356</t>
  </si>
  <si>
    <t>2025-09-28T11:38:51.055Z</t>
  </si>
  <si>
    <t>2025-09-28T10:27:19.054+08</t>
  </si>
  <si>
    <t>2025-09-28T18:28:19.457+08</t>
  </si>
  <si>
    <t>H030837019</t>
  </si>
  <si>
    <t>uuid:cb0af9da-7041-49b7-afd6-dcb87006719b</t>
  </si>
  <si>
    <t>2025-09-25T10:21:16.200Z</t>
  </si>
  <si>
    <t>2025-09-25T11:52:42.286+08</t>
  </si>
  <si>
    <t>2025-09-25T16:14:33.567+08</t>
  </si>
  <si>
    <t>H004344018</t>
  </si>
  <si>
    <t>uuid:cab0328c-6699-43ca-946a-f744bb7a621d</t>
  </si>
  <si>
    <t>2025-09-25T10:21:20.697Z</t>
  </si>
  <si>
    <t>2025-09-25T07:49:48.917+08</t>
  </si>
  <si>
    <t>2025-09-25T09:01:36.925+08</t>
  </si>
  <si>
    <t>H004588020</t>
  </si>
  <si>
    <t>uuid:8f451b6d-8a72-4760-8bb2-19eae69286ef</t>
  </si>
  <si>
    <t>2025-09-25T10:21:23.233Z</t>
  </si>
  <si>
    <t>2025-09-25T09:17:56.967+08</t>
  </si>
  <si>
    <t>2025-09-25T10:08:16.815+08</t>
  </si>
  <si>
    <t>H004588021</t>
  </si>
  <si>
    <t>uuid:d0ecdb35-9bc5-4805-8466-50d1bb133ef7</t>
  </si>
  <si>
    <t>2025-09-25T10:27:17.682Z</t>
  </si>
  <si>
    <t>2025-09-25T08:34:49.412+08</t>
  </si>
  <si>
    <t>2025-09-25T09:30:18.404+08</t>
  </si>
  <si>
    <t>H019227023</t>
  </si>
  <si>
    <t>uuid:e0e39284-1170-4c72-ac11-22ff819a340c</t>
  </si>
  <si>
    <t>2025-09-25T10:27:19.025Z</t>
  </si>
  <si>
    <t>2025-09-25T09:45:13.119+08</t>
  </si>
  <si>
    <t>2025-09-25T10:30:06.171+08</t>
  </si>
  <si>
    <t>H019227003</t>
  </si>
  <si>
    <t>uuid:32f78c0d-43ae-4f09-88c8-a0aa6c4f4591</t>
  </si>
  <si>
    <t>2025-09-25T10:32:13.015Z</t>
  </si>
  <si>
    <t>2025-09-25T08:02:52.707+08</t>
  </si>
  <si>
    <t>2025-09-25T12:42:44.618+08</t>
  </si>
  <si>
    <t>H004579035</t>
  </si>
  <si>
    <t>uuid:2f45e109-d65b-446f-94a9-04c645b60a17</t>
  </si>
  <si>
    <t>2025-09-25T10:54:17.385Z</t>
  </si>
  <si>
    <t>2025-09-25T10:28:53.678+08</t>
  </si>
  <si>
    <t>2025-09-25T12:03:45.273+08</t>
  </si>
  <si>
    <t>H006809082</t>
  </si>
  <si>
    <t>uuid:e570e6ba-d23e-4b32-8f9e-aae786c9174d</t>
  </si>
  <si>
    <t>2025-09-25T10:54:26.754Z</t>
  </si>
  <si>
    <t>2025-09-25T07:46:34.422+08</t>
  </si>
  <si>
    <t>2025-09-25T10:05:46.092+08</t>
  </si>
  <si>
    <t>H006809080</t>
  </si>
  <si>
    <t>uuid:28cc5975-3e83-45a0-8e26-9b089a19be86</t>
  </si>
  <si>
    <t>2025-09-25T11:05:57.429Z</t>
  </si>
  <si>
    <t>2025-09-25T07:19:48.761+08</t>
  </si>
  <si>
    <t>2025-09-25T08:57:12.178+08</t>
  </si>
  <si>
    <t>H006809088</t>
  </si>
  <si>
    <t>uuid:1f6ecc7d-40f5-493e-8419-e60c30351903</t>
  </si>
  <si>
    <t>2025-09-25T11:05:59.415Z</t>
  </si>
  <si>
    <t>2025-09-25T09:11:37.035+08</t>
  </si>
  <si>
    <t>2025-09-25T10:03:50.713+08</t>
  </si>
  <si>
    <t>H006809011</t>
  </si>
  <si>
    <t>uuid:a3b8fdcd-c5df-4c86-9715-2eed1cc84aa9</t>
  </si>
  <si>
    <t>2025-09-25T11:21:52.897Z</t>
  </si>
  <si>
    <t>2025-09-24T10:38:29.561+08</t>
  </si>
  <si>
    <t>2025-09-25T08:52:16.635+08</t>
  </si>
  <si>
    <t>H030747030</t>
  </si>
  <si>
    <t>uuid:44d72340-c934-4f7a-b248-71f4a465b0d3</t>
  </si>
  <si>
    <t>2025-09-25T11:21:55.184Z</t>
  </si>
  <si>
    <t>2025-09-25T13:53:52.351+08</t>
  </si>
  <si>
    <t>2025-09-25T14:58:55.497+08</t>
  </si>
  <si>
    <t>H030832027</t>
  </si>
  <si>
    <t>uuid:21bd2057-67b8-48fe-b177-fd4ab4988932</t>
  </si>
  <si>
    <t>2025-09-25T11:21:59.069Z</t>
  </si>
  <si>
    <t>2025-09-25T10:03:59.089+08</t>
  </si>
  <si>
    <t>2025-09-25T11:07:08.130+08</t>
  </si>
  <si>
    <t>H030832030</t>
  </si>
  <si>
    <t>uuid:07715d6f-47e5-42d5-8e6d-9fe3c71f611e</t>
  </si>
  <si>
    <t>2025-09-25T11:22:00.738Z</t>
  </si>
  <si>
    <t>2025-09-25T11:41:23.686+08</t>
  </si>
  <si>
    <t>2025-09-25T12:36:36.715+08</t>
  </si>
  <si>
    <t>H030832024</t>
  </si>
  <si>
    <t>uuid:bcf29e06-3096-4152-85a6-4e48c516c0db</t>
  </si>
  <si>
    <t>2025-09-25T11:22:02.578Z</t>
  </si>
  <si>
    <t>2025-09-25T09:44:09.893+08</t>
  </si>
  <si>
    <t>2025-09-25T10:45:08.747+08</t>
  </si>
  <si>
    <t>H030837030</t>
  </si>
  <si>
    <t>uuid:e6f19856-0367-4090-88dc-d15230c7f1e7</t>
  </si>
  <si>
    <t>2025-09-28T12:05:06.910Z</t>
  </si>
  <si>
    <t>2025-09-28T10:29:52.507+08</t>
  </si>
  <si>
    <t>2025-09-28T11:24:14.770+08</t>
  </si>
  <si>
    <t>H030837020</t>
  </si>
  <si>
    <t>uuid:fe3fdd45-499d-4db2-bcbf-9de1cfa93e99</t>
  </si>
  <si>
    <t>2025-09-28T11:49:06.657Z</t>
  </si>
  <si>
    <t>2025-09-28T12:18:52.374+08</t>
  </si>
  <si>
    <t>2025-09-28T18:13:10.137+08</t>
  </si>
  <si>
    <t>H030837018</t>
  </si>
  <si>
    <t>uuid:78e3acc5-d4fb-473c-8af4-def6631c5fd3</t>
  </si>
  <si>
    <t>2025-09-25T11:22:08.712Z</t>
  </si>
  <si>
    <t>2025-09-25T11:23:54.879+08</t>
  </si>
  <si>
    <t>2025-09-25T17:41:29.935+08</t>
  </si>
  <si>
    <t>H030837025</t>
  </si>
  <si>
    <t>uuid:7061116e-2a2a-41ff-b580-85a22fa6e923</t>
  </si>
  <si>
    <t>2025-09-28T11:49:08.292Z</t>
  </si>
  <si>
    <t>2025-09-28T10:27:06.426+08</t>
  </si>
  <si>
    <t>2025-09-28T18:55:07.460+08</t>
  </si>
  <si>
    <t>H030837016</t>
  </si>
  <si>
    <t>uuid:292e20a8-1bcc-47b8-8eb8-480aa6522488</t>
  </si>
  <si>
    <t>2025-09-25T11:39:43.429Z</t>
  </si>
  <si>
    <t>2025-09-25T09:35:21.288+08</t>
  </si>
  <si>
    <t>2025-09-25T14:38:47.402+08</t>
  </si>
  <si>
    <t>H030837028</t>
  </si>
  <si>
    <t>uuid:19565289-3078-424f-8231-1fbea1ee85e5</t>
  </si>
  <si>
    <t>2025-09-25T11:39:45.164Z</t>
  </si>
  <si>
    <t>2025-09-25T11:32:25.384+08</t>
  </si>
  <si>
    <t>2025-09-25T14:41:27.749+08</t>
  </si>
  <si>
    <t>H030837034</t>
  </si>
  <si>
    <t>uuid:84453332-24c9-4a47-a227-b7885cc8d67b</t>
  </si>
  <si>
    <t>2025-09-28T12:05:04.416Z</t>
  </si>
  <si>
    <t>2025-09-28T12:16:45.613+08</t>
  </si>
  <si>
    <t>2025-09-28T18:58:25.383+08</t>
  </si>
  <si>
    <t>H030837035</t>
  </si>
  <si>
    <t>uuid:b0e227be-3b1a-4893-a6f7-155d5858302f</t>
  </si>
  <si>
    <t>2025-09-25T11:42:27.849Z</t>
  </si>
  <si>
    <t>2025-09-25T14:06:59.551+08</t>
  </si>
  <si>
    <t>2025-09-25T15:21:05.845+08</t>
  </si>
  <si>
    <t>H030832018</t>
  </si>
  <si>
    <t>uuid:3f3d4cc7-324b-4940-8317-a21dd813be33</t>
  </si>
  <si>
    <t>2025-09-25T11:42:29.111Z</t>
  </si>
  <si>
    <t>2025-09-25T10:01:06.610+08</t>
  </si>
  <si>
    <t>2025-09-25T11:53:15.366+08</t>
  </si>
  <si>
    <t>H030832029</t>
  </si>
  <si>
    <t>uuid:76bd3c5a-034a-449c-9f8f-727663f4e46d</t>
  </si>
  <si>
    <t>2025-09-25T11:42:30.556Z</t>
  </si>
  <si>
    <t>2025-09-25T12:03:04.480+08</t>
  </si>
  <si>
    <t>2025-09-25T13:09:26.969+08</t>
  </si>
  <si>
    <t>H030832033</t>
  </si>
  <si>
    <t>uuid:640310be-8206-4f95-ab26-63842ea23995</t>
  </si>
  <si>
    <t>2025-09-25T11:47:13.577Z</t>
  </si>
  <si>
    <t>2025-09-25T09:34:06.510+08</t>
  </si>
  <si>
    <t>2025-09-25T10:40:34.375+08</t>
  </si>
  <si>
    <t>H030832021</t>
  </si>
  <si>
    <t>uuid:12012ab0-00f6-4b0e-ad4f-3b61ce5a568d</t>
  </si>
  <si>
    <t>2025-09-25T11:47:25.052Z</t>
  </si>
  <si>
    <t>2025-09-25T13:59:37.479+08</t>
  </si>
  <si>
    <t>2025-09-25T14:00:31.658+08</t>
  </si>
  <si>
    <t>H030747035</t>
  </si>
  <si>
    <t>uuid:a35a513c-b5ea-4041-bbf3-020c240617c6</t>
  </si>
  <si>
    <t>2025-09-25T11:47:28.155Z</t>
  </si>
  <si>
    <t>2025-09-25T11:12:06.323+08</t>
  </si>
  <si>
    <t>2025-09-25T12:12:01.744+08</t>
  </si>
  <si>
    <t>H030832016</t>
  </si>
  <si>
    <t>uuid:f753fa22-3064-46ff-a11e-ac196c3312c2</t>
  </si>
  <si>
    <t>2025-09-25T12:18:53.650Z</t>
  </si>
  <si>
    <t>2025-09-25T09:48:25.049+08</t>
  </si>
  <si>
    <t>2025-09-25T11:27:04.646+08</t>
  </si>
  <si>
    <t>H030837031</t>
  </si>
  <si>
    <t>uuid:e628a2d9-3ac7-453d-91c9-eb8343b903be</t>
  </si>
  <si>
    <t>2025-09-25T12:18:55.994Z</t>
  </si>
  <si>
    <t>2025-09-25T11:28:01.935+08</t>
  </si>
  <si>
    <t>2025-09-25T14:42:18.495+08</t>
  </si>
  <si>
    <t>H030837024</t>
  </si>
  <si>
    <t>uuid:3e205922-de20-486f-97a7-23a2b158eaaa</t>
  </si>
  <si>
    <t>2025-09-28T10:59:11.446Z</t>
  </si>
  <si>
    <t>2025-09-28T10:26:14.372+08</t>
  </si>
  <si>
    <t>2025-09-28T18:10:50.056+08</t>
  </si>
  <si>
    <t>H030837021</t>
  </si>
  <si>
    <t>uuid:51a47a8e-8861-42ab-9f48-e09ae3e36b14</t>
  </si>
  <si>
    <t>2025-10-03T11:45:16.249Z</t>
  </si>
  <si>
    <t>2025-10-03T11:43:39.819+08</t>
  </si>
  <si>
    <t>2025-10-03T19:45:06.118+08</t>
  </si>
  <si>
    <t>H030837033</t>
  </si>
  <si>
    <t>uuid:ac21b6ca-b2b6-44de-a475-f71630db129c</t>
  </si>
  <si>
    <t>2025-09-27T11:35:36.962Z</t>
  </si>
  <si>
    <t>2025-09-27T11:35:41.572+08</t>
  </si>
  <si>
    <t>2025-09-27T12:11:40.890+08</t>
  </si>
  <si>
    <t>H019196016</t>
  </si>
  <si>
    <t>uuid:adb38ca3-651b-4d27-8d1b-44f1029939ed</t>
  </si>
  <si>
    <t>2025-09-28T08:37:18.734Z</t>
  </si>
  <si>
    <t>2025-09-28T08:05:04.139+08</t>
  </si>
  <si>
    <t>2025-09-28T08:47:02.742+08</t>
  </si>
  <si>
    <t>H019559034</t>
  </si>
  <si>
    <t>uuid:5e106a34-c827-4055-8167-dc9eb04facf7</t>
  </si>
  <si>
    <t>2025-09-28T10:11:42.459Z</t>
  </si>
  <si>
    <t>2025-09-28T08:58:06.394+08</t>
  </si>
  <si>
    <t>2025-09-28T09:41:18.699+08</t>
  </si>
  <si>
    <t>H019591017</t>
  </si>
  <si>
    <t>uuid:4edd14a1-a78b-466e-ab31-961578949902</t>
  </si>
  <si>
    <t>2025-09-28T10:51:03.925Z</t>
  </si>
  <si>
    <t>2025-09-28T10:28:06.563+08</t>
  </si>
  <si>
    <t>2025-09-28T13:07:25.724+08</t>
  </si>
  <si>
    <t>H006657024</t>
  </si>
  <si>
    <t>uuid:ad615bb9-f0c8-4ad9-ba11-385726da0c62</t>
  </si>
  <si>
    <t>2025-09-28T11:11:29.670Z</t>
  </si>
  <si>
    <t>2025-09-28T13:07:27.874+08</t>
  </si>
  <si>
    <t>2025-09-28T13:48:13.511+08</t>
  </si>
  <si>
    <t>H006567016</t>
  </si>
  <si>
    <t>uuid:86f65e51-2213-414d-806f-a293a6fd8eb2</t>
  </si>
  <si>
    <t>2025-09-28T11:26:51.734Z</t>
  </si>
  <si>
    <t>2025-09-28T14:22:04.341+08</t>
  </si>
  <si>
    <t>2025-09-28T15:33:40.333+08</t>
  </si>
  <si>
    <t>H030832026</t>
  </si>
  <si>
    <t>uuid:77ce90c8-4ec6-47da-b8a8-ded48f0614b5</t>
  </si>
  <si>
    <t>2025-09-28T11:26:53.642Z</t>
  </si>
  <si>
    <t>2025-09-28T12:13:06.775+08</t>
  </si>
  <si>
    <t>2025-09-28T13:15:30.887+08</t>
  </si>
  <si>
    <t>H030832028</t>
  </si>
  <si>
    <t>uuid:f662eccd-88b1-4e25-93c7-6844ead76ce1</t>
  </si>
  <si>
    <t>2025-09-28T11:27:10.617Z</t>
  </si>
  <si>
    <t>2025-09-28T10:30:28.324+08</t>
  </si>
  <si>
    <t>2025-09-28T10:32:32.061+08</t>
  </si>
  <si>
    <t>H006248022</t>
  </si>
  <si>
    <t>uuid:9bed5bcb-d6db-4d4e-b615-b401614a4d04</t>
  </si>
  <si>
    <t>2025-09-28T11:28:33.399Z</t>
  </si>
  <si>
    <t>2025-09-28T09:09:31.372+08</t>
  </si>
  <si>
    <t>2025-09-28T10:11:45.175+08</t>
  </si>
  <si>
    <t>H006248023</t>
  </si>
  <si>
    <t>uuid:c20ba4b3-5b3f-4f2d-a709-566ad951830e</t>
  </si>
  <si>
    <t>2025-09-28T11:28:34.597Z</t>
  </si>
  <si>
    <t>2025-09-28T10:12:18.449+08</t>
  </si>
  <si>
    <t>2025-09-28T12:32:16.119+08</t>
  </si>
  <si>
    <t>H006248016</t>
  </si>
  <si>
    <t>uuid:341d9f1e-a786-46a0-9337-9545d859f711</t>
  </si>
  <si>
    <t>2025-09-28T12:15:22.385Z</t>
  </si>
  <si>
    <t>2025-09-28T13:51:31.125+08</t>
  </si>
  <si>
    <t>2025-09-28T14:33:53.308+08</t>
  </si>
  <si>
    <t>H030832019</t>
  </si>
  <si>
    <t>uuid:9062c208-1274-418d-adea-2a08121c15a2</t>
  </si>
  <si>
    <t>2025-09-28T12:15:26.166Z</t>
  </si>
  <si>
    <t>2025-09-28T10:58:47.345+08</t>
  </si>
  <si>
    <t>2025-09-28T12:08:02.776+08</t>
  </si>
  <si>
    <t>H030832022</t>
  </si>
  <si>
    <t>uuid:9c2b1673-9a8d-447c-87f7-e59b56e9d0ff</t>
  </si>
  <si>
    <t>2025-09-28T14:06:48.714Z</t>
  </si>
  <si>
    <t>2025-09-28T10:52:20.990+08</t>
  </si>
  <si>
    <t>2025-09-28T12:34:02.974+08</t>
  </si>
  <si>
    <t>H030832020</t>
  </si>
  <si>
    <t>uuid:91ba7fb5-ca3a-4070-ad60-efbfff02e012</t>
  </si>
  <si>
    <t>2025-09-28T14:06:53.493Z</t>
  </si>
  <si>
    <t>2025-09-28T14:12:44.216+08</t>
  </si>
  <si>
    <t>2025-09-28T16:11:24.251+08</t>
  </si>
  <si>
    <t>H030832025</t>
  </si>
  <si>
    <t>uuid:ccd3f079-834b-475a-ad9b-d1ef014b2122</t>
  </si>
  <si>
    <t>2025-09-29T08:55:45.857Z</t>
  </si>
  <si>
    <t>2025-09-29T09:31:52.642+08</t>
  </si>
  <si>
    <t>2025-09-29T10:06:07.291+08</t>
  </si>
  <si>
    <t>H019499027</t>
  </si>
  <si>
    <t>uuid:30524570-fde3-46d1-a301-3f199109581e</t>
  </si>
  <si>
    <t>2025-09-29T09:49:21.016Z</t>
  </si>
  <si>
    <t>2025-09-29T08:06:03.451+08</t>
  </si>
  <si>
    <t>2025-09-29T11:45:12.635+08</t>
  </si>
  <si>
    <t>H004001028</t>
  </si>
  <si>
    <t>uuid:3b927a3e-3e69-418c-9457-0b6a88088d97</t>
  </si>
  <si>
    <t>2025-10-03T10:30:29.022Z</t>
  </si>
  <si>
    <t>2025-10-03T09:11:07.303+08</t>
  </si>
  <si>
    <t>2025-10-03T09:47:41.407+08</t>
  </si>
  <si>
    <t>H030415026</t>
  </si>
  <si>
    <t>uuid:6ab7f993-6666-4944-92dd-edf7125c93a7</t>
  </si>
  <si>
    <t>2025-10-03T06:40:54.936Z</t>
  </si>
  <si>
    <t>2025-10-03T09:05:24.745+08</t>
  </si>
  <si>
    <t>2025-10-03T10:38:10.310+08</t>
  </si>
  <si>
    <t>H030415025</t>
  </si>
  <si>
    <t>uuid:1cdffff1-e7f8-4796-80dc-6dd2bc012a9e</t>
  </si>
  <si>
    <t>2025-09-29T10:36:21.982Z</t>
  </si>
  <si>
    <t>2025-09-29T08:15:34.663+08</t>
  </si>
  <si>
    <t>2025-09-29T10:25:29.353+08</t>
  </si>
  <si>
    <t>H019447029</t>
  </si>
  <si>
    <t>uuid:1194662b-2fc3-4389-bbf7-ff483dd0cf82</t>
  </si>
  <si>
    <t>2025-09-29T11:04:07.267Z</t>
  </si>
  <si>
    <t>2025-09-29T14:52:49.264+08</t>
  </si>
  <si>
    <t>2025-09-29T14:53:39.350+08</t>
  </si>
  <si>
    <t>H030821033</t>
  </si>
  <si>
    <t>uuid:66c57fca-a2f1-44b5-a2fa-19f181f7de47</t>
  </si>
  <si>
    <t>2025-09-29T11:42:00.562Z</t>
  </si>
  <si>
    <t>2025-09-29T13:32:39.678+08</t>
  </si>
  <si>
    <t>2025-09-29T13:33:04.384+08</t>
  </si>
  <si>
    <t>H030748016</t>
  </si>
  <si>
    <t>uuid:fa44e3a5-f3bb-4493-9e45-fec0c676e166</t>
  </si>
  <si>
    <t>2025-09-29T11:48:20.674Z</t>
  </si>
  <si>
    <t>2025-09-29T11:21:31.672+08</t>
  </si>
  <si>
    <t>2025-09-29T12:26:53.908+08</t>
  </si>
  <si>
    <t>H006405022</t>
  </si>
  <si>
    <t>uuid:6ba3ac6f-8d10-4869-af89-469a3c47f48c</t>
  </si>
  <si>
    <t>2025-09-29T12:00:27.939Z</t>
  </si>
  <si>
    <t>2025-09-29T10:53:38.944+08</t>
  </si>
  <si>
    <t>2025-09-29T11:50:35.298+08</t>
  </si>
  <si>
    <t>H006405030</t>
  </si>
  <si>
    <t>uuid:865491f0-fe80-4fbc-a1a7-8c9c0526d974</t>
  </si>
  <si>
    <t>2025-09-29T12:03:02.301Z</t>
  </si>
  <si>
    <t>2025-09-29T14:03:32.691+08</t>
  </si>
  <si>
    <t>2025-09-29T19:48:38.804+08</t>
  </si>
  <si>
    <t>H030515034</t>
  </si>
  <si>
    <t>uuid:d4fa7b00-681d-4c14-82ca-cfb902c1464b</t>
  </si>
  <si>
    <t>2025-09-29T12:51:31.212Z</t>
  </si>
  <si>
    <t>2025-09-29T11:09:55.777+08</t>
  </si>
  <si>
    <t>2025-09-29T12:16:20.030+08</t>
  </si>
  <si>
    <t>H030470020</t>
  </si>
  <si>
    <t>uuid:5665ac6b-b624-4705-87e2-035d44fc3e67</t>
  </si>
  <si>
    <t>2025-10-05T11:44:12.028Z</t>
  </si>
  <si>
    <t>2025-10-05T11:58:10.020+08</t>
  </si>
  <si>
    <t>2025-10-05T16:56:48.845+08</t>
  </si>
  <si>
    <t>H030515018</t>
  </si>
  <si>
    <t>uuid:e0e3e4cb-1bf1-4332-9a6e-656cc029fcc3</t>
  </si>
  <si>
    <t>2025-09-30T12:17:26.503Z</t>
  </si>
  <si>
    <t>2025-09-30T08:32:54.332+08</t>
  </si>
  <si>
    <t>2025-09-30T10:13:10.495+08</t>
  </si>
  <si>
    <t>H030546021</t>
  </si>
  <si>
    <t>uuid:dc7a1326-6556-48fa-91d5-999187ed8f45</t>
  </si>
  <si>
    <t>2025-09-30T12:17:27.779Z</t>
  </si>
  <si>
    <t>2025-09-30T12:27:34.786+08</t>
  </si>
  <si>
    <t>2025-09-30T13:38:16.793+08</t>
  </si>
  <si>
    <t>H030546027</t>
  </si>
  <si>
    <t>uuid:3ffd7fac-10a4-4e87-9086-939f4ae2a147</t>
  </si>
  <si>
    <t>2025-10-01T08:50:17.320Z</t>
  </si>
  <si>
    <t>2025-10-01T11:35:25.100+08</t>
  </si>
  <si>
    <t>2025-10-01T12:13:43.844+08</t>
  </si>
  <si>
    <t>H004132019</t>
  </si>
  <si>
    <t>uuid:1a17bef8-8125-46f2-b6f7-11ee9bc4af3a</t>
  </si>
  <si>
    <t>2025-10-05T08:17:03.714Z</t>
  </si>
  <si>
    <t>2025-10-05T11:25:09.337+08</t>
  </si>
  <si>
    <t>2025-10-05T12:16:46.785+08</t>
  </si>
  <si>
    <t>H030433018</t>
  </si>
  <si>
    <t>uuid:2f5048b3-32d5-4c09-9093-1059f5187ccf</t>
  </si>
  <si>
    <t>2025-10-01T10:33:36.930Z</t>
  </si>
  <si>
    <t>2025-10-01T09:44:01.309+08</t>
  </si>
  <si>
    <t>2025-10-01T10:45:33.505+08</t>
  </si>
  <si>
    <t>H030310031</t>
  </si>
  <si>
    <t>uuid:85d0c0aa-8c71-4842-adca-ff896a0c1ccb</t>
  </si>
  <si>
    <t>2025-10-01T10:56:34.714Z</t>
  </si>
  <si>
    <t>2025-10-01T16:44:00.355+08</t>
  </si>
  <si>
    <t>2025-10-01T17:38:18.792+08</t>
  </si>
  <si>
    <t>H019611023</t>
  </si>
  <si>
    <t>uuid:28b27b3a-1d34-4be8-83ea-26190362eca2</t>
  </si>
  <si>
    <t>2025-10-01T11:08:21.996Z</t>
  </si>
  <si>
    <t>2025-10-01T11:29:23.555+08</t>
  </si>
  <si>
    <t>2025-10-01T12:47:27.097+08</t>
  </si>
  <si>
    <t>H030670034</t>
  </si>
  <si>
    <t>uuid:522c9298-621e-4a55-bc74-c5c0c4652fb9</t>
  </si>
  <si>
    <t>2025-10-05T08:25:38.324Z</t>
  </si>
  <si>
    <t>2025-10-05T08:49:48.486+08</t>
  </si>
  <si>
    <t>2025-10-05T09:16:25.618+08</t>
  </si>
  <si>
    <t>H030106006</t>
  </si>
  <si>
    <t>uuid:c6d2778d-7ba2-49f5-a961-172827ef489d</t>
  </si>
  <si>
    <t>2025-10-01T11:37:11.621Z</t>
  </si>
  <si>
    <t>2025-10-01T10:15:25.532+08</t>
  </si>
  <si>
    <t>2025-10-01T10:15:39.987+08</t>
  </si>
  <si>
    <t>H030255028</t>
  </si>
  <si>
    <t>uuid:3f88a41a-f0b4-4568-b951-6517a3034972</t>
  </si>
  <si>
    <t>2025-10-01T11:37:13.885Z</t>
  </si>
  <si>
    <t>2025-10-01T11:50:31.121+08</t>
  </si>
  <si>
    <t>2025-10-01T15:11:50.455+08</t>
  </si>
  <si>
    <t>H030670023</t>
  </si>
  <si>
    <t>uuid:5d93729b-363d-4773-a108-947955606757</t>
  </si>
  <si>
    <t>2025-10-01T11:50:36.172Z</t>
  </si>
  <si>
    <t>2025-10-01T08:32:16.082+08</t>
  </si>
  <si>
    <t>2025-10-01T09:14:35.940+08</t>
  </si>
  <si>
    <t>H030264026</t>
  </si>
  <si>
    <t>uuid:ba7dc3c9-6e7c-4097-b3b6-ead38da4523e</t>
  </si>
  <si>
    <t>2025-10-01T12:43:59.861Z</t>
  </si>
  <si>
    <t>2025-10-01T10:41:00.054+08</t>
  </si>
  <si>
    <t>2025-10-01T11:40:17.400+08</t>
  </si>
  <si>
    <t>H019611003</t>
  </si>
  <si>
    <t>uuid:6c948d69-ee98-4517-aba7-456b95b824e4</t>
  </si>
  <si>
    <t>2025-10-02T11:02:05.858Z</t>
  </si>
  <si>
    <t>2025-10-02T08:45:13.070+08</t>
  </si>
  <si>
    <t>2025-10-02T10:53:23.592+08</t>
  </si>
  <si>
    <t>H030670025</t>
  </si>
  <si>
    <t>uuid:44219c41-ee65-4ce7-b0ee-c4d056ec1309</t>
  </si>
  <si>
    <t>2025-10-02T11:34:07.878Z</t>
  </si>
  <si>
    <t>2025-10-02T07:59:29.976+08</t>
  </si>
  <si>
    <t>2025-10-02T14:15:33.295+08</t>
  </si>
  <si>
    <t>H030670017</t>
  </si>
  <si>
    <t>uuid:a6df6fe6-985b-4eaa-8221-70461b672df0</t>
  </si>
  <si>
    <t>2025-10-02T13:27:52.576Z</t>
  </si>
  <si>
    <t>2025-10-02T09:42:06.660+08</t>
  </si>
  <si>
    <t>2025-10-02T11:05:46.006+08</t>
  </si>
  <si>
    <t>H030507025</t>
  </si>
  <si>
    <t>uuid:59d0707f-6405-4e73-905a-7017c8bbacdb</t>
  </si>
  <si>
    <t>2025-10-03T03:29:56.660Z</t>
  </si>
  <si>
    <t>2025-10-03T11:27:02.755+08</t>
  </si>
  <si>
    <t>2025-10-03T11:29:37.539+08</t>
  </si>
  <si>
    <t>H019506022</t>
  </si>
  <si>
    <t>uuid:a5bc2f75-f521-418d-a625-019b32a0e142</t>
  </si>
  <si>
    <t>2025-10-03T08:30:11.141Z</t>
  </si>
  <si>
    <t>2025-10-03T08:49:56.968+08</t>
  </si>
  <si>
    <t>2025-10-03T16:29:16.316+08</t>
  </si>
  <si>
    <t>H030375023</t>
  </si>
  <si>
    <t>uuid:eca71483-5315-4490-a019-b16777736abc</t>
  </si>
  <si>
    <t>2025-10-03T10:58:11.600Z</t>
  </si>
  <si>
    <t>2025-10-03T12:02:45.520+08</t>
  </si>
  <si>
    <t>2025-10-03T15:40:54.291+08</t>
  </si>
  <si>
    <t>H030670022</t>
  </si>
  <si>
    <t>uuid:0c41b03d-859e-4b1e-a0f2-01ad5c071342</t>
  </si>
  <si>
    <t>2025-10-05T11:42:24.048Z</t>
  </si>
  <si>
    <t>2025-10-05T11:32:26.926+08</t>
  </si>
  <si>
    <t>2025-10-05T12:53:50.399+08</t>
  </si>
  <si>
    <t>H030792033</t>
  </si>
  <si>
    <t>uuid:405e7ee8-a636-4e5c-ac31-5c9bc131f38d</t>
  </si>
  <si>
    <t>Household_ID</t>
  </si>
  <si>
    <t>Household Survey</t>
  </si>
  <si>
    <t>ID</t>
  </si>
  <si>
    <t>FO</t>
  </si>
  <si>
    <t>ICM Survey</t>
  </si>
  <si>
    <t>HH Date Completed</t>
  </si>
  <si>
    <t>ICM Date Completed</t>
  </si>
  <si>
    <t>Date Completed</t>
  </si>
  <si>
    <t>Treatment</t>
  </si>
  <si>
    <t>Treat</t>
  </si>
  <si>
    <t>H030069022</t>
  </si>
  <si>
    <t>INC</t>
  </si>
  <si>
    <t>H030069023</t>
  </si>
  <si>
    <t>H030069031</t>
  </si>
  <si>
    <t>H030069033</t>
  </si>
  <si>
    <t>H030069035</t>
  </si>
  <si>
    <t>H030069044</t>
  </si>
  <si>
    <t>H030243020</t>
  </si>
  <si>
    <t>H030243025</t>
  </si>
  <si>
    <t>H030243027</t>
  </si>
  <si>
    <t>H030243038</t>
  </si>
  <si>
    <t>H030243040</t>
  </si>
  <si>
    <t>H030243044</t>
  </si>
  <si>
    <t>H030243049</t>
  </si>
  <si>
    <t>H030243051</t>
  </si>
  <si>
    <t>H030243059</t>
  </si>
  <si>
    <t>H030243060</t>
  </si>
  <si>
    <t>H030769017</t>
  </si>
  <si>
    <t>H030769021</t>
  </si>
  <si>
    <t>H030769022</t>
  </si>
  <si>
    <t>H030769050</t>
  </si>
  <si>
    <t>H030769060</t>
  </si>
  <si>
    <t>H030769063</t>
  </si>
  <si>
    <t>H004344027</t>
  </si>
  <si>
    <t>H006033020</t>
  </si>
  <si>
    <t>H006319006</t>
  </si>
  <si>
    <t>H006405029</t>
  </si>
  <si>
    <t>H006422034</t>
  </si>
  <si>
    <t>H006422081</t>
  </si>
  <si>
    <t>H006689035</t>
  </si>
  <si>
    <t>H019277020</t>
  </si>
  <si>
    <t>H019277025</t>
  </si>
  <si>
    <t>H019277033</t>
  </si>
  <si>
    <t>H019505023</t>
  </si>
  <si>
    <t>H019505031</t>
  </si>
  <si>
    <t>H019575028</t>
  </si>
  <si>
    <t>H019575032</t>
  </si>
  <si>
    <t>H019728022</t>
  </si>
  <si>
    <t>H019728028</t>
  </si>
  <si>
    <t>H019820016</t>
  </si>
  <si>
    <t>H019820034</t>
  </si>
  <si>
    <t>H030015019</t>
  </si>
  <si>
    <t>H030015023</t>
  </si>
  <si>
    <t>H030060020</t>
  </si>
  <si>
    <t>H030255016</t>
  </si>
  <si>
    <t>H030255034</t>
  </si>
  <si>
    <t>H030255035</t>
  </si>
  <si>
    <t>H030332019</t>
  </si>
  <si>
    <t>H030332020</t>
  </si>
  <si>
    <t>H030370027</t>
  </si>
  <si>
    <t>H030514020</t>
  </si>
  <si>
    <t>H030514033</t>
  </si>
  <si>
    <t>H030535023</t>
  </si>
  <si>
    <t>H030535032</t>
  </si>
  <si>
    <t>H030647029</t>
  </si>
  <si>
    <t>H030647034</t>
  </si>
  <si>
    <t>H030670019</t>
  </si>
  <si>
    <t>H030670029</t>
  </si>
  <si>
    <t>H030829018</t>
  </si>
  <si>
    <t>H030829029</t>
  </si>
  <si>
    <t>Target</t>
  </si>
  <si>
    <t>%age Completed</t>
  </si>
  <si>
    <t>Start date of data collection</t>
  </si>
  <si>
    <t>Control</t>
  </si>
  <si>
    <t>Date today</t>
  </si>
  <si>
    <t>T1</t>
  </si>
  <si>
    <t>Field collection days</t>
  </si>
  <si>
    <t>T2</t>
  </si>
  <si>
    <t>TOTAL WORK DAYS</t>
  </si>
  <si>
    <t>T3</t>
  </si>
  <si>
    <t>Total</t>
  </si>
  <si>
    <t>Average productivity per day</t>
  </si>
  <si>
    <r>
      <rPr>
        <rFont val="Arial"/>
        <b/>
        <color theme="1"/>
      </rPr>
      <t>Days</t>
    </r>
    <r>
      <rPr>
        <rFont val="Arial"/>
        <b/>
        <color theme="1"/>
      </rPr>
      <t xml:space="preserve"> to finish from today</t>
    </r>
  </si>
  <si>
    <r>
      <rPr>
        <rFont val="Arial"/>
        <b/>
        <color theme="1"/>
      </rPr>
      <t>Weeks</t>
    </r>
    <r>
      <rPr>
        <rFont val="Arial"/>
        <b/>
        <color theme="1"/>
      </rPr>
      <t xml:space="preserve"> to finish from today</t>
    </r>
  </si>
  <si>
    <r>
      <rPr>
        <rFont val="Arial"/>
        <b/>
        <color theme="1"/>
      </rPr>
      <t xml:space="preserve">Projected </t>
    </r>
    <r>
      <rPr>
        <rFont val="Arial"/>
        <b/>
        <color theme="1"/>
      </rPr>
      <t>end date</t>
    </r>
  </si>
  <si>
    <t xml:space="preserve"> </t>
  </si>
  <si>
    <t>Ave productivity per FO</t>
  </si>
  <si>
    <t>Avg duration
in Minutes</t>
  </si>
  <si>
    <t>Field Staff</t>
  </si>
  <si>
    <t>Aug 25-Aug 31, 2025</t>
  </si>
  <si>
    <t>Sep 1-Sep 7, 2025</t>
  </si>
  <si>
    <t>Sep 8-Sep 14, 2025</t>
  </si>
  <si>
    <t>Sep 15-Sep 21, 2025</t>
  </si>
  <si>
    <t>Sep 22-Sep 28, 2025</t>
  </si>
  <si>
    <t>Sep 29-Oct 5, 2025</t>
  </si>
  <si>
    <t>Elsan May Segovia</t>
  </si>
  <si>
    <t>E6938214</t>
  </si>
  <si>
    <t>Rolando Bandiola Jr</t>
  </si>
  <si>
    <t>Elenita Gicos De La Peña</t>
  </si>
  <si>
    <t>Mariecris Gatpolintan</t>
  </si>
  <si>
    <t>Kenneth Ferrer</t>
  </si>
  <si>
    <t>R8145069</t>
  </si>
  <si>
    <t>Ramie Dela Cruz De Pedro Jr.</t>
  </si>
  <si>
    <t>T9058216</t>
  </si>
  <si>
    <t>Janet Villanueva Serafica</t>
  </si>
  <si>
    <t>U3486702</t>
  </si>
  <si>
    <t>Mary May Aspela Fuentes</t>
  </si>
  <si>
    <t>V5914038</t>
  </si>
  <si>
    <t>W7329861</t>
  </si>
  <si>
    <t>Aila Gregorio Eli</t>
  </si>
  <si>
    <t>Team</t>
  </si>
  <si>
    <t>% completed</t>
  </si>
  <si>
    <t>pull_brgy_prefix</t>
  </si>
  <si>
    <t>pull_province</t>
  </si>
  <si>
    <t>pull_municipal_city</t>
  </si>
  <si>
    <t>pull_barangay</t>
  </si>
  <si>
    <t>w1_liveli_treat</t>
  </si>
  <si>
    <t>respondent_count</t>
  </si>
  <si>
    <t>H004001</t>
  </si>
  <si>
    <t>AKLAN</t>
  </si>
  <si>
    <t>MALINAO</t>
  </si>
  <si>
    <t>San Ramon</t>
  </si>
  <si>
    <t>H004042</t>
  </si>
  <si>
    <t>Dangcalan</t>
  </si>
  <si>
    <t>H004132</t>
  </si>
  <si>
    <t>BURUANGA</t>
  </si>
  <si>
    <t>Bagongbayan</t>
  </si>
  <si>
    <t>H004137</t>
  </si>
  <si>
    <t>MADALAG</t>
  </si>
  <si>
    <t>Pang-Itan</t>
  </si>
  <si>
    <t>H004285</t>
  </si>
  <si>
    <t>LIBACAO</t>
  </si>
  <si>
    <t>Janlud</t>
  </si>
  <si>
    <t>H004306</t>
  </si>
  <si>
    <t>MALAY</t>
  </si>
  <si>
    <t>Naasug</t>
  </si>
  <si>
    <t>H004344</t>
  </si>
  <si>
    <t>BANGA</t>
  </si>
  <si>
    <t>Sibalew</t>
  </si>
  <si>
    <t>H004380</t>
  </si>
  <si>
    <t>IBAJAY</t>
  </si>
  <si>
    <t>Monlaque</t>
  </si>
  <si>
    <t>H004407</t>
  </si>
  <si>
    <t>MAKATO</t>
  </si>
  <si>
    <t>Cayangwan</t>
  </si>
  <si>
    <t>H004541</t>
  </si>
  <si>
    <t>ALTAVAS</t>
  </si>
  <si>
    <t>Cabugao</t>
  </si>
  <si>
    <t>H004579</t>
  </si>
  <si>
    <t>BATAN</t>
  </si>
  <si>
    <t>Angas</t>
  </si>
  <si>
    <t>H004588</t>
  </si>
  <si>
    <t>NEW WASHINGTON</t>
  </si>
  <si>
    <t>Mataphao</t>
  </si>
  <si>
    <t>H004596</t>
  </si>
  <si>
    <t>San Dimas</t>
  </si>
  <si>
    <t>H004680</t>
  </si>
  <si>
    <t>Agdugayan</t>
  </si>
  <si>
    <t>H004787</t>
  </si>
  <si>
    <t>Regador</t>
  </si>
  <si>
    <t>H004854</t>
  </si>
  <si>
    <t>Napti</t>
  </si>
  <si>
    <t>H006029</t>
  </si>
  <si>
    <t>ANTIQUE</t>
  </si>
  <si>
    <t>SEBASTE</t>
  </si>
  <si>
    <t>Callan</t>
  </si>
  <si>
    <t>H006033</t>
  </si>
  <si>
    <t>TIBIAO</t>
  </si>
  <si>
    <t>Tuno</t>
  </si>
  <si>
    <t>H006068</t>
  </si>
  <si>
    <t>LIBERTAD</t>
  </si>
  <si>
    <t>Paz</t>
  </si>
  <si>
    <t>H006183</t>
  </si>
  <si>
    <t>TOBIAS FORNIER</t>
  </si>
  <si>
    <t>Cato-ogan</t>
  </si>
  <si>
    <t>H006213</t>
  </si>
  <si>
    <t>Pajo</t>
  </si>
  <si>
    <t>H006233</t>
  </si>
  <si>
    <t>LAUA-AN</t>
  </si>
  <si>
    <t>Maria</t>
  </si>
  <si>
    <t>H006248</t>
  </si>
  <si>
    <t>SIBALOM</t>
  </si>
  <si>
    <t>Tulatula</t>
  </si>
  <si>
    <t>H006319</t>
  </si>
  <si>
    <t>PATNONGON</t>
  </si>
  <si>
    <t>Tigbalogo</t>
  </si>
  <si>
    <t>H006405</t>
  </si>
  <si>
    <t>SAN REMIGIO</t>
  </si>
  <si>
    <t>Bawang</t>
  </si>
  <si>
    <t>H006417</t>
  </si>
  <si>
    <t>Aguila</t>
  </si>
  <si>
    <t>H006422</t>
  </si>
  <si>
    <t>CULASI</t>
  </si>
  <si>
    <t>Bitadton Norte</t>
  </si>
  <si>
    <t>H006510</t>
  </si>
  <si>
    <t>PANDAN</t>
  </si>
  <si>
    <t>Candari</t>
  </si>
  <si>
    <t>H006525</t>
  </si>
  <si>
    <t>Salvacion</t>
  </si>
  <si>
    <t>H006567</t>
  </si>
  <si>
    <t>Maragubdub</t>
  </si>
  <si>
    <t>H006626</t>
  </si>
  <si>
    <t>Intao</t>
  </si>
  <si>
    <t>H006631</t>
  </si>
  <si>
    <t>Fragante</t>
  </si>
  <si>
    <t>H006657</t>
  </si>
  <si>
    <t>HAMTIC</t>
  </si>
  <si>
    <t>Bongbongan III</t>
  </si>
  <si>
    <t>H006689</t>
  </si>
  <si>
    <t>BUGASONG</t>
  </si>
  <si>
    <t>Tica</t>
  </si>
  <si>
    <t>H006706</t>
  </si>
  <si>
    <t>Buenavista</t>
  </si>
  <si>
    <t>H006719</t>
  </si>
  <si>
    <t>Catungan IV</t>
  </si>
  <si>
    <t>H006734</t>
  </si>
  <si>
    <t>Bongbongan I-II</t>
  </si>
  <si>
    <t>H006742</t>
  </si>
  <si>
    <t>Liberato</t>
  </si>
  <si>
    <t>H006809</t>
  </si>
  <si>
    <t>BARBAZA</t>
  </si>
  <si>
    <t>Magtulis</t>
  </si>
  <si>
    <t>H006817</t>
  </si>
  <si>
    <t>VALDERRAMA</t>
  </si>
  <si>
    <t>Iglinab</t>
  </si>
  <si>
    <t>H006863</t>
  </si>
  <si>
    <t>Tagudtud South</t>
  </si>
  <si>
    <t>H019096</t>
  </si>
  <si>
    <t>CAPIZ</t>
  </si>
  <si>
    <t>PANAY</t>
  </si>
  <si>
    <t>Daga</t>
  </si>
  <si>
    <t>H019196</t>
  </si>
  <si>
    <t>SIGMA</t>
  </si>
  <si>
    <t>Malapad Cogon</t>
  </si>
  <si>
    <t>H019227</t>
  </si>
  <si>
    <t>MA-AYON</t>
  </si>
  <si>
    <t>Poblacion Ilawod</t>
  </si>
  <si>
    <t>H019277</t>
  </si>
  <si>
    <t>SAPI-AN</t>
  </si>
  <si>
    <t>Agtatacay Norte</t>
  </si>
  <si>
    <t>H019412</t>
  </si>
  <si>
    <t>MAMBUSAO</t>
  </si>
  <si>
    <t>Bula</t>
  </si>
  <si>
    <t>H019423</t>
  </si>
  <si>
    <t>Manayupit</t>
  </si>
  <si>
    <t>H019429</t>
  </si>
  <si>
    <t>JAMINDAN</t>
  </si>
  <si>
    <t>San Vicente</t>
  </si>
  <si>
    <t>H019447</t>
  </si>
  <si>
    <t>CUARTERO</t>
  </si>
  <si>
    <t>Agdahon</t>
  </si>
  <si>
    <t>H019499</t>
  </si>
  <si>
    <t>Tico</t>
  </si>
  <si>
    <t>H019500</t>
  </si>
  <si>
    <t>TAPAZ</t>
  </si>
  <si>
    <t>Garcia</t>
  </si>
  <si>
    <t>H019505</t>
  </si>
  <si>
    <t>Matangcong</t>
  </si>
  <si>
    <t>H019506</t>
  </si>
  <si>
    <t>PILAR</t>
  </si>
  <si>
    <t>Santa Fe</t>
  </si>
  <si>
    <t>H019559</t>
  </si>
  <si>
    <t>Mansacul</t>
  </si>
  <si>
    <t>H019575</t>
  </si>
  <si>
    <t>Oyong</t>
  </si>
  <si>
    <t>H019589</t>
  </si>
  <si>
    <t>Lapaz</t>
  </si>
  <si>
    <t>H019591</t>
  </si>
  <si>
    <t>Quinabonglan</t>
  </si>
  <si>
    <t>H019611</t>
  </si>
  <si>
    <t>Binantuan</t>
  </si>
  <si>
    <t>H019625</t>
  </si>
  <si>
    <t>IVISAN</t>
  </si>
  <si>
    <t>Agmalobo</t>
  </si>
  <si>
    <t>H019687</t>
  </si>
  <si>
    <t>Balaring</t>
  </si>
  <si>
    <t>H019728</t>
  </si>
  <si>
    <t>Mangoso</t>
  </si>
  <si>
    <t>H019820</t>
  </si>
  <si>
    <t>H019838</t>
  </si>
  <si>
    <t>PANITAN</t>
  </si>
  <si>
    <t>Quios</t>
  </si>
  <si>
    <t>H030004</t>
  </si>
  <si>
    <t>ILOILO</t>
  </si>
  <si>
    <t>TIGBAUAN</t>
  </si>
  <si>
    <t>Napnapan Sur</t>
  </si>
  <si>
    <t>H030015</t>
  </si>
  <si>
    <t>POTOTAN</t>
  </si>
  <si>
    <t>Guinacas</t>
  </si>
  <si>
    <t>H030031</t>
  </si>
  <si>
    <t>SAN ENRIQUE</t>
  </si>
  <si>
    <t>Bantayan</t>
  </si>
  <si>
    <t>H030048</t>
  </si>
  <si>
    <t>DUEÑAS</t>
  </si>
  <si>
    <t>Calang</t>
  </si>
  <si>
    <t>H030060</t>
  </si>
  <si>
    <t>BATAD</t>
  </si>
  <si>
    <t>Tapi-an</t>
  </si>
  <si>
    <t>H030076</t>
  </si>
  <si>
    <t>SAN JOAQUIN</t>
  </si>
  <si>
    <t>Igcadlum</t>
  </si>
  <si>
    <t>H030106</t>
  </si>
  <si>
    <t>ALIMODIAN</t>
  </si>
  <si>
    <t>Coline</t>
  </si>
  <si>
    <t>H030129</t>
  </si>
  <si>
    <t>LEGANES</t>
  </si>
  <si>
    <t>Nabitasan</t>
  </si>
  <si>
    <t>H030160</t>
  </si>
  <si>
    <t>CONCEPCION</t>
  </si>
  <si>
    <t>Agnaga</t>
  </si>
  <si>
    <t>H030173</t>
  </si>
  <si>
    <t>SARA</t>
  </si>
  <si>
    <t>Domingo</t>
  </si>
  <si>
    <t>H030179</t>
  </si>
  <si>
    <t>CABATUAN</t>
  </si>
  <si>
    <t>Duyanduyan</t>
  </si>
  <si>
    <t>H030195</t>
  </si>
  <si>
    <t>CARLES</t>
  </si>
  <si>
    <t>Cawayan</t>
  </si>
  <si>
    <t>H030200</t>
  </si>
  <si>
    <t>LEMERY</t>
  </si>
  <si>
    <t>Nasapahan</t>
  </si>
  <si>
    <t>H030214</t>
  </si>
  <si>
    <t>BALASAN</t>
  </si>
  <si>
    <t>Batuan</t>
  </si>
  <si>
    <t>H030244</t>
  </si>
  <si>
    <t>BADIANGAN</t>
  </si>
  <si>
    <t>Bita-oyan</t>
  </si>
  <si>
    <t>H030255</t>
  </si>
  <si>
    <t>OTON</t>
  </si>
  <si>
    <t>Santa Clara</t>
  </si>
  <si>
    <t>H030264</t>
  </si>
  <si>
    <t>Sipitan</t>
  </si>
  <si>
    <t>H030270</t>
  </si>
  <si>
    <t>NEW LUCENA</t>
  </si>
  <si>
    <t>Jelicuon Oeste</t>
  </si>
  <si>
    <t>H030310</t>
  </si>
  <si>
    <t>Anabo</t>
  </si>
  <si>
    <t>H030323</t>
  </si>
  <si>
    <t>BINGAWAN</t>
  </si>
  <si>
    <t>Malitbog Ilawod</t>
  </si>
  <si>
    <t>H030326</t>
  </si>
  <si>
    <t>Damires</t>
  </si>
  <si>
    <t>H030327</t>
  </si>
  <si>
    <t>AJUY</t>
  </si>
  <si>
    <t>Bato Biasong</t>
  </si>
  <si>
    <t>H030332</t>
  </si>
  <si>
    <t>BAROTAC NUEVO</t>
  </si>
  <si>
    <t>Tiwi</t>
  </si>
  <si>
    <t>H030351</t>
  </si>
  <si>
    <t>Gines Nuevo</t>
  </si>
  <si>
    <t>H030370</t>
  </si>
  <si>
    <t>Cabudian</t>
  </si>
  <si>
    <t>H030373</t>
  </si>
  <si>
    <t>Tarong</t>
  </si>
  <si>
    <t>H030375</t>
  </si>
  <si>
    <t>Galang</t>
  </si>
  <si>
    <t>H030396</t>
  </si>
  <si>
    <t>Sianon</t>
  </si>
  <si>
    <t>H030415</t>
  </si>
  <si>
    <t>Bitas</t>
  </si>
  <si>
    <t>H030433</t>
  </si>
  <si>
    <t>Jelicuon Montinola</t>
  </si>
  <si>
    <t>H030470</t>
  </si>
  <si>
    <t>Budiawe</t>
  </si>
  <si>
    <t>H030507</t>
  </si>
  <si>
    <t>MAASIN</t>
  </si>
  <si>
    <t>Sinubsuban</t>
  </si>
  <si>
    <t>H030514</t>
  </si>
  <si>
    <t>DINGLE</t>
  </si>
  <si>
    <t>Libo-o</t>
  </si>
  <si>
    <t>H030515</t>
  </si>
  <si>
    <t>SAN RAFAEL</t>
  </si>
  <si>
    <t>Bagacay</t>
  </si>
  <si>
    <t>H030517</t>
  </si>
  <si>
    <t>BAROTAC VIEJO</t>
  </si>
  <si>
    <t>Del Pilar</t>
  </si>
  <si>
    <t>H030535</t>
  </si>
  <si>
    <t>San Geronimo</t>
  </si>
  <si>
    <t>H030546</t>
  </si>
  <si>
    <t>MIAGAO</t>
  </si>
  <si>
    <t>Igdulaca</t>
  </si>
  <si>
    <t>H030566</t>
  </si>
  <si>
    <t>Adcadarao</t>
  </si>
  <si>
    <t>H030597</t>
  </si>
  <si>
    <t>Central</t>
  </si>
  <si>
    <t>H030634</t>
  </si>
  <si>
    <t>IGBARAS</t>
  </si>
  <si>
    <t>Taytay</t>
  </si>
  <si>
    <t>H030636</t>
  </si>
  <si>
    <t>Anjawan</t>
  </si>
  <si>
    <t>H030640</t>
  </si>
  <si>
    <t>Bacolod</t>
  </si>
  <si>
    <t>H030647</t>
  </si>
  <si>
    <t>BANATE</t>
  </si>
  <si>
    <t>De La Paz</t>
  </si>
  <si>
    <t>H030670</t>
  </si>
  <si>
    <t>Mambog</t>
  </si>
  <si>
    <t>H030676</t>
  </si>
  <si>
    <t>MINA</t>
  </si>
  <si>
    <t>Abat</t>
  </si>
  <si>
    <t>H030747</t>
  </si>
  <si>
    <t>LAMBUNAO</t>
  </si>
  <si>
    <t>Caninguan</t>
  </si>
  <si>
    <t>H030748</t>
  </si>
  <si>
    <t>Ubang</t>
  </si>
  <si>
    <t>H030764</t>
  </si>
  <si>
    <t>SAN DIONISIO</t>
  </si>
  <si>
    <t>Cudionan</t>
  </si>
  <si>
    <t>H030774</t>
  </si>
  <si>
    <t>Marapal</t>
  </si>
  <si>
    <t>H030790</t>
  </si>
  <si>
    <t>Agdaliran</t>
  </si>
  <si>
    <t>H030792</t>
  </si>
  <si>
    <t>Bato</t>
  </si>
  <si>
    <t>H030821</t>
  </si>
  <si>
    <t>Cari Mayor</t>
  </si>
  <si>
    <t>H030829</t>
  </si>
  <si>
    <t>SAN MIGUEL</t>
  </si>
  <si>
    <t>Santo Angel</t>
  </si>
  <si>
    <t>H030832</t>
  </si>
  <si>
    <t>JANIUAY</t>
  </si>
  <si>
    <t>Madong</t>
  </si>
  <si>
    <t>H030837</t>
  </si>
  <si>
    <t>Carigangan</t>
  </si>
  <si>
    <t>H030844</t>
  </si>
  <si>
    <t>Luca</t>
  </si>
  <si>
    <t>H030852</t>
  </si>
  <si>
    <t>Magsaysay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</si>
</sst>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yy"/>
    <numFmt numFmtId="166" formatCode="m/d/yyyy"/>
    <numFmt numFmtId="167" formatCode="mmm d, yyyy"/>
    <numFmt numFmtId="168" formatCode="d-mmm-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Google Sans Mono"/>
    </font>
    <font>
      <b/>
      <sz val="12.0"/>
      <color theme="1"/>
      <name val="Arial"/>
    </font>
    <font>
      <color theme="1"/>
      <name val="Open Sans"/>
    </font>
    <font>
      <sz val="12.0"/>
      <color theme="1"/>
      <name val="Arial"/>
    </font>
    <font>
      <b/>
      <color theme="1"/>
      <name val="Open Sans"/>
    </font>
    <font>
      <sz val="11.0"/>
      <color rgb="FF000000"/>
      <name val="Arial"/>
    </font>
    <font>
      <b/>
      <sz val="11.0"/>
      <color rgb="FF000000"/>
      <name val="Arial"/>
    </font>
    <font>
      <color rgb="FF222222"/>
      <name val="Arial"/>
    </font>
    <font>
      <b/>
      <color theme="1"/>
      <name val="Arial"/>
      <scheme val="minor"/>
    </font>
    <font>
      <b/>
      <i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theme="7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8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horizontal="left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readingOrder="0" vertical="bottom"/>
    </xf>
    <xf borderId="0" fillId="2" fontId="4" numFmtId="49" xfId="0" applyAlignment="1" applyFill="1" applyFont="1" applyNumberFormat="1">
      <alignment horizontal="lef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3" fontId="6" numFmtId="0" xfId="0" applyAlignment="1" applyFill="1" applyFont="1">
      <alignment vertical="bottom"/>
    </xf>
    <xf borderId="1" fillId="3" fontId="6" numFmtId="165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Font="1"/>
    <xf borderId="0" fillId="0" fontId="7" numFmtId="10" xfId="0" applyAlignment="1" applyFont="1" applyNumberFormat="1">
      <alignment horizontal="center" readingOrder="0"/>
    </xf>
    <xf borderId="1" fillId="3" fontId="6" numFmtId="166" xfId="0" applyAlignment="1" applyBorder="1" applyFont="1" applyNumberFormat="1">
      <alignment horizontal="center" vertical="bottom"/>
    </xf>
    <xf borderId="0" fillId="0" fontId="7" numFmtId="3" xfId="0" applyAlignment="1" applyFont="1" applyNumberFormat="1">
      <alignment horizontal="center" readingOrder="0" vertical="bottom"/>
    </xf>
    <xf borderId="0" fillId="3" fontId="6" numFmtId="0" xfId="0" applyAlignment="1" applyFont="1">
      <alignment readingOrder="0" vertical="bottom"/>
    </xf>
    <xf borderId="1" fillId="3" fontId="6" numFmtId="0" xfId="0" applyAlignment="1" applyBorder="1" applyFont="1">
      <alignment horizontal="center" vertical="bottom"/>
    </xf>
    <xf borderId="2" fillId="3" fontId="8" numFmtId="0" xfId="0" applyAlignment="1" applyBorder="1" applyFont="1">
      <alignment vertical="bottom"/>
    </xf>
    <xf borderId="3" fillId="3" fontId="6" numFmtId="0" xfId="0" applyAlignment="1" applyBorder="1" applyFont="1">
      <alignment horizontal="center" vertical="bottom"/>
    </xf>
    <xf borderId="2" fillId="0" fontId="5" numFmtId="0" xfId="0" applyAlignment="1" applyBorder="1" applyFont="1">
      <alignment readingOrder="0" vertical="bottom"/>
    </xf>
    <xf borderId="2" fillId="0" fontId="7" numFmtId="3" xfId="0" applyAlignment="1" applyBorder="1" applyFont="1" applyNumberFormat="1">
      <alignment horizontal="center" readingOrder="0" vertical="bottom"/>
    </xf>
    <xf borderId="2" fillId="0" fontId="7" numFmtId="0" xfId="0" applyBorder="1" applyFont="1"/>
    <xf borderId="2" fillId="0" fontId="7" numFmtId="10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0" fillId="0" fontId="5" numFmtId="0" xfId="0" applyFont="1"/>
    <xf borderId="4" fillId="0" fontId="2" numFmtId="0" xfId="0" applyAlignment="1" applyBorder="1" applyFont="1">
      <alignment vertical="bottom"/>
    </xf>
    <xf borderId="5" fillId="0" fontId="2" numFmtId="4" xfId="0" applyAlignment="1" applyBorder="1" applyFont="1" applyNumberFormat="1">
      <alignment horizontal="center" vertical="bottom"/>
    </xf>
    <xf borderId="5" fillId="0" fontId="3" numFmtId="4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vertical="bottom"/>
    </xf>
    <xf borderId="7" fillId="0" fontId="3" numFmtId="14" xfId="0" applyAlignment="1" applyBorder="1" applyFont="1" applyNumberFormat="1">
      <alignment horizontal="center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1" numFmtId="0" xfId="0" applyAlignment="1" applyFont="1">
      <alignment vertical="top"/>
    </xf>
    <xf borderId="0" fillId="0" fontId="5" numFmtId="2" xfId="0" applyAlignment="1" applyFont="1" applyNumberFormat="1">
      <alignment horizontal="center" vertical="bottom"/>
    </xf>
    <xf borderId="0" fillId="4" fontId="5" numFmtId="1" xfId="0" applyAlignment="1" applyFill="1" applyFont="1" applyNumberFormat="1">
      <alignment horizontal="center" vertical="bottom"/>
    </xf>
    <xf borderId="0" fillId="5" fontId="12" numFmtId="2" xfId="0" applyAlignment="1" applyFill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2" xfId="0" applyFont="1" applyNumberFormat="1"/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center" vertical="bottom"/>
    </xf>
    <xf borderId="0" fillId="6" fontId="12" numFmtId="1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7" fontId="1" numFmtId="0" xfId="0" applyAlignment="1" applyFill="1" applyFont="1">
      <alignment readingOrder="0"/>
    </xf>
    <xf borderId="0" fillId="7" fontId="1" numFmtId="1" xfId="0" applyAlignment="1" applyFont="1" applyNumberFormat="1">
      <alignment horizontal="center"/>
    </xf>
    <xf borderId="0" fillId="7" fontId="1" numFmtId="0" xfId="0" applyAlignment="1" applyFont="1">
      <alignment horizontal="center"/>
    </xf>
    <xf borderId="0" fillId="7" fontId="1" numFmtId="0" xfId="0" applyFont="1"/>
    <xf borderId="0" fillId="6" fontId="1" numFmtId="1" xfId="0" applyAlignment="1" applyFont="1" applyNumberFormat="1">
      <alignment horizontal="center"/>
    </xf>
    <xf borderId="0" fillId="0" fontId="1" numFmtId="1" xfId="0" applyFont="1" applyNumberFormat="1"/>
    <xf borderId="0" fillId="4" fontId="5" numFmtId="0" xfId="0" applyAlignment="1" applyFont="1">
      <alignment horizontal="center" vertical="bottom"/>
    </xf>
    <xf borderId="0" fillId="5" fontId="12" numFmtId="1" xfId="0" applyAlignment="1" applyFont="1" applyNumberFormat="1">
      <alignment horizontal="center"/>
    </xf>
    <xf borderId="0" fillId="5" fontId="12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2" fillId="0" fontId="13" numFmtId="0" xfId="0" applyAlignment="1" applyBorder="1" applyFont="1">
      <alignment readingOrder="0" shrinkToFit="0" vertical="bottom" wrapText="0"/>
    </xf>
    <xf borderId="2" fillId="0" fontId="13" numFmtId="10" xfId="0" applyAlignment="1" applyBorder="1" applyFont="1" applyNumberForma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0" fillId="0" fontId="14" numFmtId="10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10" xfId="0" applyAlignment="1" applyFont="1" applyNumberFormat="1">
      <alignment horizontal="right" readingOrder="0" shrinkToFit="0" vertical="bottom" wrapText="0"/>
    </xf>
    <xf borderId="0" fillId="0" fontId="14" numFmtId="168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" numFmtId="10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3" width="23.13"/>
    <col customWidth="1" min="4" max="4" width="10.5"/>
    <col customWidth="1" min="5" max="5" width="7.0"/>
    <col customWidth="1" min="6" max="6" width="12.63"/>
    <col customWidth="1" min="7" max="7" width="8.88"/>
    <col customWidth="1" min="8" max="8" width="27.0"/>
    <col customWidth="1" min="9" max="9" width="4.5"/>
    <col customWidth="1" min="10" max="10" width="7.38"/>
    <col customWidth="1" min="11" max="11" width="17.88"/>
    <col customWidth="1" min="12" max="12" width="36.5"/>
    <col customWidth="1" min="13" max="13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>
        <v>6446.0</v>
      </c>
      <c r="F2" s="1" t="s">
        <v>21</v>
      </c>
      <c r="G2" s="1">
        <v>859767.0</v>
      </c>
      <c r="H2" s="1" t="s">
        <v>22</v>
      </c>
      <c r="I2" s="1"/>
      <c r="J2" s="1"/>
      <c r="K2" s="1" t="s">
        <v>23</v>
      </c>
      <c r="L2" s="1" t="s">
        <v>24</v>
      </c>
      <c r="M2" s="1"/>
      <c r="N2" s="1">
        <v>1.0</v>
      </c>
      <c r="O2" s="1" t="s">
        <v>21</v>
      </c>
      <c r="P2" s="1" t="s">
        <v>25</v>
      </c>
      <c r="Q2" s="2" t="str">
        <f t="shared" ref="Q2:Q2857" si="1">LEFT(D2,7)</f>
        <v>H030243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>
        <v>5810.0</v>
      </c>
      <c r="F3" s="1" t="s">
        <v>21</v>
      </c>
      <c r="G3" s="1">
        <v>859767.0</v>
      </c>
      <c r="H3" s="1" t="s">
        <v>22</v>
      </c>
      <c r="I3" s="1"/>
      <c r="J3" s="1"/>
      <c r="K3" s="1" t="s">
        <v>23</v>
      </c>
      <c r="L3" s="1" t="s">
        <v>30</v>
      </c>
      <c r="M3" s="1"/>
      <c r="N3" s="1">
        <v>1.0</v>
      </c>
      <c r="O3" s="1" t="s">
        <v>21</v>
      </c>
      <c r="P3" s="1" t="s">
        <v>25</v>
      </c>
      <c r="Q3" s="2" t="str">
        <f t="shared" si="1"/>
        <v>H030243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>
        <v>4430.0</v>
      </c>
      <c r="F4" s="1" t="s">
        <v>21</v>
      </c>
      <c r="G4" s="1">
        <v>555127.0</v>
      </c>
      <c r="H4" s="1" t="s">
        <v>35</v>
      </c>
      <c r="I4" s="1"/>
      <c r="J4" s="1"/>
      <c r="K4" s="1" t="s">
        <v>23</v>
      </c>
      <c r="L4" s="1" t="s">
        <v>36</v>
      </c>
      <c r="M4" s="1"/>
      <c r="N4" s="1">
        <v>1.0</v>
      </c>
      <c r="O4" s="1" t="s">
        <v>21</v>
      </c>
      <c r="P4" s="1" t="s">
        <v>25</v>
      </c>
      <c r="Q4" s="2" t="str">
        <f t="shared" si="1"/>
        <v>H030243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>
        <v>733.0</v>
      </c>
      <c r="F5" s="1" t="s">
        <v>21</v>
      </c>
      <c r="G5" s="1">
        <v>555127.0</v>
      </c>
      <c r="H5" s="1" t="s">
        <v>35</v>
      </c>
      <c r="I5" s="1"/>
      <c r="J5" s="1"/>
      <c r="K5" s="1" t="s">
        <v>23</v>
      </c>
      <c r="L5" s="1" t="s">
        <v>41</v>
      </c>
      <c r="M5" s="1"/>
      <c r="N5" s="1">
        <v>0.0</v>
      </c>
      <c r="O5" s="1" t="s">
        <v>21</v>
      </c>
      <c r="P5" s="1" t="s">
        <v>25</v>
      </c>
      <c r="Q5" s="2" t="str">
        <f t="shared" si="1"/>
        <v>H030243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>
        <v>3280.0</v>
      </c>
      <c r="F6" s="1" t="s">
        <v>21</v>
      </c>
      <c r="G6" s="1">
        <v>555127.0</v>
      </c>
      <c r="H6" s="1" t="s">
        <v>35</v>
      </c>
      <c r="I6" s="1"/>
      <c r="J6" s="1"/>
      <c r="K6" s="1" t="s">
        <v>23</v>
      </c>
      <c r="L6" s="1" t="s">
        <v>46</v>
      </c>
      <c r="M6" s="1"/>
      <c r="N6" s="1">
        <v>1.0</v>
      </c>
      <c r="O6" s="1" t="s">
        <v>21</v>
      </c>
      <c r="P6" s="1" t="s">
        <v>25</v>
      </c>
      <c r="Q6" s="2" t="str">
        <f t="shared" si="1"/>
        <v>H030243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>
        <v>5291.0</v>
      </c>
      <c r="F7" s="1" t="s">
        <v>21</v>
      </c>
      <c r="G7" s="1">
        <v>555127.0</v>
      </c>
      <c r="H7" s="1" t="s">
        <v>35</v>
      </c>
      <c r="I7" s="1"/>
      <c r="J7" s="1"/>
      <c r="K7" s="1" t="s">
        <v>23</v>
      </c>
      <c r="L7" s="1" t="s">
        <v>51</v>
      </c>
      <c r="M7" s="1"/>
      <c r="N7" s="1">
        <v>1.0</v>
      </c>
      <c r="O7" s="1" t="s">
        <v>21</v>
      </c>
      <c r="P7" s="1" t="s">
        <v>25</v>
      </c>
      <c r="Q7" s="2" t="str">
        <f t="shared" si="1"/>
        <v>H030243</v>
      </c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>
        <v>5384.0</v>
      </c>
      <c r="F8" s="1" t="s">
        <v>56</v>
      </c>
      <c r="G8" s="1" t="s">
        <v>57</v>
      </c>
      <c r="H8" s="1" t="s">
        <v>58</v>
      </c>
      <c r="I8" s="1"/>
      <c r="J8" s="1"/>
      <c r="K8" s="1" t="s">
        <v>23</v>
      </c>
      <c r="L8" s="1" t="s">
        <v>59</v>
      </c>
      <c r="M8" s="1"/>
      <c r="N8" s="1">
        <v>1.0</v>
      </c>
      <c r="O8" s="1" t="s">
        <v>56</v>
      </c>
      <c r="P8" s="1" t="s">
        <v>25</v>
      </c>
      <c r="Q8" s="2" t="str">
        <f t="shared" si="1"/>
        <v>H030069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>
        <v>3644.0</v>
      </c>
      <c r="F9" s="1" t="s">
        <v>56</v>
      </c>
      <c r="G9" s="1" t="s">
        <v>57</v>
      </c>
      <c r="H9" s="1" t="s">
        <v>58</v>
      </c>
      <c r="I9" s="1"/>
      <c r="J9" s="1"/>
      <c r="K9" s="1" t="s">
        <v>23</v>
      </c>
      <c r="L9" s="1" t="s">
        <v>64</v>
      </c>
      <c r="M9" s="1"/>
      <c r="N9" s="1">
        <v>1.0</v>
      </c>
      <c r="O9" s="1" t="s">
        <v>56</v>
      </c>
      <c r="P9" s="1" t="s">
        <v>25</v>
      </c>
      <c r="Q9" s="2" t="str">
        <f t="shared" si="1"/>
        <v>H030069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>
        <v>3888.0</v>
      </c>
      <c r="F10" s="1" t="s">
        <v>21</v>
      </c>
      <c r="G10" s="1">
        <v>455939.0</v>
      </c>
      <c r="H10" s="1" t="s">
        <v>69</v>
      </c>
      <c r="I10" s="1"/>
      <c r="J10" s="1"/>
      <c r="K10" s="1" t="s">
        <v>23</v>
      </c>
      <c r="L10" s="1" t="s">
        <v>70</v>
      </c>
      <c r="M10" s="1"/>
      <c r="N10" s="1">
        <v>1.0</v>
      </c>
      <c r="O10" s="1" t="s">
        <v>21</v>
      </c>
      <c r="P10" s="1" t="s">
        <v>25</v>
      </c>
      <c r="Q10" s="2" t="str">
        <f t="shared" si="1"/>
        <v>H030243</v>
      </c>
    </row>
    <row r="11">
      <c r="A11" s="1" t="s">
        <v>71</v>
      </c>
      <c r="B11" s="1" t="s">
        <v>72</v>
      </c>
      <c r="C11" s="1" t="s">
        <v>73</v>
      </c>
      <c r="D11" s="1" t="s">
        <v>74</v>
      </c>
      <c r="E11" s="1">
        <v>3414.0</v>
      </c>
      <c r="F11" s="1" t="s">
        <v>21</v>
      </c>
      <c r="G11" s="1">
        <v>455939.0</v>
      </c>
      <c r="H11" s="1" t="s">
        <v>69</v>
      </c>
      <c r="I11" s="1"/>
      <c r="J11" s="1"/>
      <c r="K11" s="1" t="s">
        <v>23</v>
      </c>
      <c r="L11" s="1" t="s">
        <v>75</v>
      </c>
      <c r="M11" s="1"/>
      <c r="N11" s="1">
        <v>1.0</v>
      </c>
      <c r="O11" s="1" t="s">
        <v>21</v>
      </c>
      <c r="P11" s="1" t="s">
        <v>25</v>
      </c>
      <c r="Q11" s="2" t="str">
        <f t="shared" si="1"/>
        <v>H030243</v>
      </c>
    </row>
    <row r="12">
      <c r="A12" s="1" t="s">
        <v>76</v>
      </c>
      <c r="B12" s="1" t="s">
        <v>77</v>
      </c>
      <c r="C12" s="1" t="s">
        <v>78</v>
      </c>
      <c r="D12" s="1" t="s">
        <v>79</v>
      </c>
      <c r="E12" s="1">
        <v>2884.0</v>
      </c>
      <c r="F12" s="1" t="s">
        <v>21</v>
      </c>
      <c r="G12" s="1">
        <v>729375.0</v>
      </c>
      <c r="H12" s="1" t="s">
        <v>80</v>
      </c>
      <c r="I12" s="1"/>
      <c r="J12" s="1"/>
      <c r="K12" s="1" t="s">
        <v>23</v>
      </c>
      <c r="L12" s="1" t="s">
        <v>81</v>
      </c>
      <c r="M12" s="1"/>
      <c r="N12" s="1">
        <v>1.0</v>
      </c>
      <c r="O12" s="1" t="s">
        <v>21</v>
      </c>
      <c r="P12" s="1" t="s">
        <v>25</v>
      </c>
      <c r="Q12" s="2" t="str">
        <f t="shared" si="1"/>
        <v>H030243</v>
      </c>
    </row>
    <row r="13">
      <c r="A13" s="1" t="s">
        <v>82</v>
      </c>
      <c r="B13" s="1" t="s">
        <v>83</v>
      </c>
      <c r="C13" s="1" t="s">
        <v>84</v>
      </c>
      <c r="D13" s="1" t="s">
        <v>85</v>
      </c>
      <c r="E13" s="1">
        <v>2750.0</v>
      </c>
      <c r="F13" s="1" t="s">
        <v>21</v>
      </c>
      <c r="G13" s="1">
        <v>729375.0</v>
      </c>
      <c r="H13" s="1" t="s">
        <v>80</v>
      </c>
      <c r="I13" s="1"/>
      <c r="J13" s="1"/>
      <c r="K13" s="1" t="s">
        <v>23</v>
      </c>
      <c r="L13" s="1" t="s">
        <v>86</v>
      </c>
      <c r="M13" s="1"/>
      <c r="N13" s="1">
        <v>1.0</v>
      </c>
      <c r="O13" s="1" t="s">
        <v>21</v>
      </c>
      <c r="P13" s="1" t="s">
        <v>25</v>
      </c>
      <c r="Q13" s="2" t="str">
        <f t="shared" si="1"/>
        <v>H030243</v>
      </c>
    </row>
    <row r="14">
      <c r="A14" s="1" t="s">
        <v>87</v>
      </c>
      <c r="B14" s="1" t="s">
        <v>88</v>
      </c>
      <c r="C14" s="1" t="s">
        <v>89</v>
      </c>
      <c r="D14" s="1" t="s">
        <v>90</v>
      </c>
      <c r="E14" s="1">
        <v>4211.0</v>
      </c>
      <c r="F14" s="1" t="s">
        <v>21</v>
      </c>
      <c r="G14" s="1">
        <v>729375.0</v>
      </c>
      <c r="H14" s="1" t="s">
        <v>80</v>
      </c>
      <c r="I14" s="1"/>
      <c r="J14" s="1"/>
      <c r="K14" s="1" t="s">
        <v>23</v>
      </c>
      <c r="L14" s="1" t="s">
        <v>91</v>
      </c>
      <c r="M14" s="1"/>
      <c r="N14" s="1">
        <v>1.0</v>
      </c>
      <c r="O14" s="1" t="s">
        <v>21</v>
      </c>
      <c r="P14" s="1" t="s">
        <v>25</v>
      </c>
      <c r="Q14" s="2" t="str">
        <f t="shared" si="1"/>
        <v>H030243</v>
      </c>
    </row>
    <row r="15">
      <c r="A15" s="1" t="s">
        <v>92</v>
      </c>
      <c r="B15" s="1" t="s">
        <v>93</v>
      </c>
      <c r="C15" s="1" t="s">
        <v>94</v>
      </c>
      <c r="D15" s="1" t="s">
        <v>95</v>
      </c>
      <c r="E15" s="1">
        <v>5118.0</v>
      </c>
      <c r="F15" s="1" t="s">
        <v>21</v>
      </c>
      <c r="G15" s="1">
        <v>841329.0</v>
      </c>
      <c r="H15" s="1" t="s">
        <v>96</v>
      </c>
      <c r="I15" s="1"/>
      <c r="J15" s="1"/>
      <c r="K15" s="1" t="s">
        <v>23</v>
      </c>
      <c r="L15" s="1" t="s">
        <v>97</v>
      </c>
      <c r="M15" s="1"/>
      <c r="N15" s="1">
        <v>1.0</v>
      </c>
      <c r="O15" s="1" t="s">
        <v>21</v>
      </c>
      <c r="P15" s="1" t="s">
        <v>25</v>
      </c>
      <c r="Q15" s="2" t="str">
        <f t="shared" si="1"/>
        <v>H030243</v>
      </c>
    </row>
    <row r="16">
      <c r="A16" s="1" t="s">
        <v>98</v>
      </c>
      <c r="B16" s="1" t="s">
        <v>99</v>
      </c>
      <c r="C16" s="1" t="s">
        <v>100</v>
      </c>
      <c r="D16" s="1" t="s">
        <v>101</v>
      </c>
      <c r="E16" s="1">
        <v>10035.0</v>
      </c>
      <c r="F16" s="1" t="s">
        <v>21</v>
      </c>
      <c r="G16" s="1">
        <v>841329.0</v>
      </c>
      <c r="H16" s="1" t="s">
        <v>96</v>
      </c>
      <c r="I16" s="1"/>
      <c r="J16" s="1"/>
      <c r="K16" s="1" t="s">
        <v>23</v>
      </c>
      <c r="L16" s="1" t="s">
        <v>102</v>
      </c>
      <c r="M16" s="1"/>
      <c r="N16" s="1">
        <v>1.0</v>
      </c>
      <c r="O16" s="1" t="s">
        <v>21</v>
      </c>
      <c r="P16" s="1" t="s">
        <v>25</v>
      </c>
      <c r="Q16" s="2" t="str">
        <f t="shared" si="1"/>
        <v>H030243</v>
      </c>
    </row>
    <row r="17">
      <c r="A17" s="1" t="s">
        <v>103</v>
      </c>
      <c r="B17" s="1" t="s">
        <v>104</v>
      </c>
      <c r="C17" s="1" t="s">
        <v>105</v>
      </c>
      <c r="D17" s="1" t="s">
        <v>106</v>
      </c>
      <c r="E17" s="1">
        <v>3811.0</v>
      </c>
      <c r="F17" s="1" t="s">
        <v>56</v>
      </c>
      <c r="G17" s="1" t="s">
        <v>107</v>
      </c>
      <c r="H17" s="1" t="s">
        <v>108</v>
      </c>
      <c r="I17" s="1"/>
      <c r="J17" s="1"/>
      <c r="K17" s="1" t="s">
        <v>23</v>
      </c>
      <c r="L17" s="1" t="s">
        <v>109</v>
      </c>
      <c r="M17" s="1"/>
      <c r="N17" s="1">
        <v>1.0</v>
      </c>
      <c r="O17" s="1" t="s">
        <v>56</v>
      </c>
      <c r="P17" s="1" t="s">
        <v>25</v>
      </c>
      <c r="Q17" s="2" t="str">
        <f t="shared" si="1"/>
        <v>H030069</v>
      </c>
    </row>
    <row r="18">
      <c r="A18" s="1" t="s">
        <v>110</v>
      </c>
      <c r="B18" s="1" t="s">
        <v>111</v>
      </c>
      <c r="C18" s="1" t="s">
        <v>112</v>
      </c>
      <c r="D18" s="1" t="s">
        <v>113</v>
      </c>
      <c r="E18" s="1">
        <v>4380.0</v>
      </c>
      <c r="F18" s="1" t="s">
        <v>56</v>
      </c>
      <c r="G18" s="1" t="s">
        <v>107</v>
      </c>
      <c r="H18" s="1" t="s">
        <v>108</v>
      </c>
      <c r="I18" s="1"/>
      <c r="J18" s="1"/>
      <c r="K18" s="1" t="s">
        <v>23</v>
      </c>
      <c r="L18" s="1" t="s">
        <v>114</v>
      </c>
      <c r="M18" s="1"/>
      <c r="N18" s="1">
        <v>1.0</v>
      </c>
      <c r="O18" s="1" t="s">
        <v>56</v>
      </c>
      <c r="P18" s="1" t="s">
        <v>25</v>
      </c>
      <c r="Q18" s="2" t="str">
        <f t="shared" si="1"/>
        <v>H030069</v>
      </c>
    </row>
    <row r="19">
      <c r="A19" s="1" t="s">
        <v>115</v>
      </c>
      <c r="B19" s="1" t="s">
        <v>116</v>
      </c>
      <c r="C19" s="1" t="s">
        <v>117</v>
      </c>
      <c r="D19" s="1" t="s">
        <v>118</v>
      </c>
      <c r="E19" s="1">
        <v>1847.0</v>
      </c>
      <c r="F19" s="1" t="s">
        <v>56</v>
      </c>
      <c r="G19" s="1" t="s">
        <v>119</v>
      </c>
      <c r="H19" s="1" t="s">
        <v>120</v>
      </c>
      <c r="I19" s="1"/>
      <c r="J19" s="1"/>
      <c r="K19" s="1" t="s">
        <v>23</v>
      </c>
      <c r="L19" s="1" t="s">
        <v>121</v>
      </c>
      <c r="M19" s="1"/>
      <c r="N19" s="1">
        <v>1.0</v>
      </c>
      <c r="O19" s="1" t="s">
        <v>56</v>
      </c>
      <c r="P19" s="1" t="s">
        <v>25</v>
      </c>
      <c r="Q19" s="2" t="str">
        <f t="shared" si="1"/>
        <v>H030069</v>
      </c>
    </row>
    <row r="20">
      <c r="A20" s="1" t="s">
        <v>122</v>
      </c>
      <c r="B20" s="1" t="s">
        <v>123</v>
      </c>
      <c r="C20" s="1" t="s">
        <v>124</v>
      </c>
      <c r="D20" s="1" t="s">
        <v>125</v>
      </c>
      <c r="E20" s="1">
        <v>7405.0</v>
      </c>
      <c r="F20" s="1" t="s">
        <v>56</v>
      </c>
      <c r="G20" s="1" t="s">
        <v>119</v>
      </c>
      <c r="H20" s="1" t="s">
        <v>120</v>
      </c>
      <c r="I20" s="1"/>
      <c r="J20" s="1"/>
      <c r="K20" s="1" t="s">
        <v>23</v>
      </c>
      <c r="L20" s="1" t="s">
        <v>126</v>
      </c>
      <c r="M20" s="1"/>
      <c r="N20" s="1">
        <v>1.0</v>
      </c>
      <c r="O20" s="1" t="s">
        <v>56</v>
      </c>
      <c r="P20" s="1" t="s">
        <v>25</v>
      </c>
      <c r="Q20" s="2" t="str">
        <f t="shared" si="1"/>
        <v>H030069</v>
      </c>
    </row>
    <row r="21">
      <c r="A21" s="1" t="s">
        <v>127</v>
      </c>
      <c r="B21" s="1" t="s">
        <v>128</v>
      </c>
      <c r="C21" s="1" t="s">
        <v>129</v>
      </c>
      <c r="D21" s="1" t="s">
        <v>130</v>
      </c>
      <c r="E21" s="1">
        <v>4582.0</v>
      </c>
      <c r="F21" s="1" t="s">
        <v>131</v>
      </c>
      <c r="G21" s="1" t="s">
        <v>132</v>
      </c>
      <c r="H21" s="1" t="s">
        <v>133</v>
      </c>
      <c r="I21" s="1"/>
      <c r="J21" s="1"/>
      <c r="K21" s="1" t="s">
        <v>23</v>
      </c>
      <c r="L21" s="1" t="s">
        <v>134</v>
      </c>
      <c r="M21" s="1"/>
      <c r="N21" s="1">
        <v>1.0</v>
      </c>
      <c r="O21" s="1" t="s">
        <v>131</v>
      </c>
      <c r="P21" s="1" t="s">
        <v>25</v>
      </c>
      <c r="Q21" s="2" t="str">
        <f t="shared" si="1"/>
        <v>H030769</v>
      </c>
    </row>
    <row r="22">
      <c r="A22" s="1" t="s">
        <v>135</v>
      </c>
      <c r="B22" s="1" t="s">
        <v>136</v>
      </c>
      <c r="C22" s="1" t="s">
        <v>137</v>
      </c>
      <c r="D22" s="1" t="s">
        <v>138</v>
      </c>
      <c r="E22" s="1">
        <v>4229.0</v>
      </c>
      <c r="F22" s="1" t="s">
        <v>131</v>
      </c>
      <c r="G22" s="1" t="s">
        <v>132</v>
      </c>
      <c r="H22" s="1" t="s">
        <v>133</v>
      </c>
      <c r="I22" s="1"/>
      <c r="J22" s="1"/>
      <c r="K22" s="1" t="s">
        <v>23</v>
      </c>
      <c r="L22" s="1" t="s">
        <v>139</v>
      </c>
      <c r="M22" s="1"/>
      <c r="N22" s="1">
        <v>1.0</v>
      </c>
      <c r="O22" s="1" t="s">
        <v>131</v>
      </c>
      <c r="P22" s="1" t="s">
        <v>25</v>
      </c>
      <c r="Q22" s="2" t="str">
        <f t="shared" si="1"/>
        <v>H030769</v>
      </c>
    </row>
    <row r="23">
      <c r="A23" s="1" t="s">
        <v>140</v>
      </c>
      <c r="B23" s="1" t="s">
        <v>141</v>
      </c>
      <c r="C23" s="1" t="s">
        <v>142</v>
      </c>
      <c r="D23" s="1" t="s">
        <v>143</v>
      </c>
      <c r="E23" s="1">
        <v>5372.0</v>
      </c>
      <c r="F23" s="1" t="s">
        <v>56</v>
      </c>
      <c r="G23" s="1">
        <v>365637.0</v>
      </c>
      <c r="H23" s="1" t="s">
        <v>144</v>
      </c>
      <c r="I23" s="1"/>
      <c r="J23" s="1"/>
      <c r="K23" s="1" t="s">
        <v>23</v>
      </c>
      <c r="L23" s="1" t="s">
        <v>145</v>
      </c>
      <c r="M23" s="1"/>
      <c r="N23" s="1">
        <v>1.0</v>
      </c>
      <c r="O23" s="1" t="s">
        <v>56</v>
      </c>
      <c r="P23" s="1" t="s">
        <v>25</v>
      </c>
      <c r="Q23" s="2" t="str">
        <f t="shared" si="1"/>
        <v>H030069</v>
      </c>
    </row>
    <row r="24">
      <c r="A24" s="1" t="s">
        <v>146</v>
      </c>
      <c r="B24" s="1" t="s">
        <v>147</v>
      </c>
      <c r="C24" s="1" t="s">
        <v>148</v>
      </c>
      <c r="D24" s="1" t="s">
        <v>149</v>
      </c>
      <c r="E24" s="1">
        <v>2438.0</v>
      </c>
      <c r="F24" s="1" t="s">
        <v>56</v>
      </c>
      <c r="G24" s="1">
        <v>365637.0</v>
      </c>
      <c r="H24" s="1" t="s">
        <v>144</v>
      </c>
      <c r="I24" s="1"/>
      <c r="J24" s="1"/>
      <c r="K24" s="1" t="s">
        <v>23</v>
      </c>
      <c r="L24" s="1" t="s">
        <v>150</v>
      </c>
      <c r="M24" s="1"/>
      <c r="N24" s="1">
        <v>1.0</v>
      </c>
      <c r="O24" s="1" t="s">
        <v>56</v>
      </c>
      <c r="P24" s="1" t="s">
        <v>25</v>
      </c>
      <c r="Q24" s="2" t="str">
        <f t="shared" si="1"/>
        <v>H030069</v>
      </c>
    </row>
    <row r="25">
      <c r="A25" s="1" t="s">
        <v>151</v>
      </c>
      <c r="B25" s="1" t="s">
        <v>152</v>
      </c>
      <c r="C25" s="1" t="s">
        <v>153</v>
      </c>
      <c r="D25" s="1" t="s">
        <v>154</v>
      </c>
      <c r="E25" s="1">
        <v>4020.0</v>
      </c>
      <c r="F25" s="1" t="s">
        <v>131</v>
      </c>
      <c r="G25" s="1" t="s">
        <v>155</v>
      </c>
      <c r="H25" s="1" t="s">
        <v>156</v>
      </c>
      <c r="I25" s="1"/>
      <c r="J25" s="1"/>
      <c r="K25" s="1" t="s">
        <v>23</v>
      </c>
      <c r="L25" s="1" t="s">
        <v>157</v>
      </c>
      <c r="M25" s="1"/>
      <c r="N25" s="1">
        <v>1.0</v>
      </c>
      <c r="O25" s="1" t="s">
        <v>131</v>
      </c>
      <c r="P25" s="1" t="s">
        <v>25</v>
      </c>
      <c r="Q25" s="2" t="str">
        <f t="shared" si="1"/>
        <v>H030769</v>
      </c>
    </row>
    <row r="26">
      <c r="A26" s="1" t="s">
        <v>158</v>
      </c>
      <c r="B26" s="1" t="s">
        <v>159</v>
      </c>
      <c r="C26" s="1" t="s">
        <v>160</v>
      </c>
      <c r="D26" s="1" t="s">
        <v>161</v>
      </c>
      <c r="E26" s="1">
        <v>5495.0</v>
      </c>
      <c r="F26" s="1" t="s">
        <v>131</v>
      </c>
      <c r="G26" s="1" t="s">
        <v>155</v>
      </c>
      <c r="H26" s="1" t="s">
        <v>156</v>
      </c>
      <c r="I26" s="1"/>
      <c r="J26" s="1"/>
      <c r="K26" s="1" t="s">
        <v>23</v>
      </c>
      <c r="L26" s="1" t="s">
        <v>162</v>
      </c>
      <c r="M26" s="1"/>
      <c r="N26" s="1">
        <v>1.0</v>
      </c>
      <c r="O26" s="1" t="s">
        <v>131</v>
      </c>
      <c r="P26" s="1" t="s">
        <v>25</v>
      </c>
      <c r="Q26" s="2" t="str">
        <f t="shared" si="1"/>
        <v>H030769</v>
      </c>
    </row>
    <row r="27">
      <c r="A27" s="1" t="s">
        <v>163</v>
      </c>
      <c r="B27" s="1" t="s">
        <v>164</v>
      </c>
      <c r="C27" s="1" t="s">
        <v>165</v>
      </c>
      <c r="D27" s="1" t="s">
        <v>166</v>
      </c>
      <c r="E27" s="1">
        <v>5476.0</v>
      </c>
      <c r="F27" s="1" t="s">
        <v>131</v>
      </c>
      <c r="G27" s="1" t="s">
        <v>167</v>
      </c>
      <c r="H27" s="1" t="s">
        <v>168</v>
      </c>
      <c r="I27" s="1"/>
      <c r="J27" s="1"/>
      <c r="K27" s="1" t="s">
        <v>23</v>
      </c>
      <c r="L27" s="1" t="s">
        <v>169</v>
      </c>
      <c r="M27" s="1"/>
      <c r="N27" s="1">
        <v>1.0</v>
      </c>
      <c r="O27" s="1" t="s">
        <v>131</v>
      </c>
      <c r="P27" s="1" t="s">
        <v>25</v>
      </c>
      <c r="Q27" s="2" t="str">
        <f t="shared" si="1"/>
        <v>H030769</v>
      </c>
    </row>
    <row r="28">
      <c r="A28" s="1" t="s">
        <v>170</v>
      </c>
      <c r="B28" s="1" t="s">
        <v>171</v>
      </c>
      <c r="C28" s="1" t="s">
        <v>172</v>
      </c>
      <c r="D28" s="1" t="s">
        <v>173</v>
      </c>
      <c r="E28" s="1">
        <v>3787.0</v>
      </c>
      <c r="F28" s="1" t="s">
        <v>131</v>
      </c>
      <c r="G28" s="1" t="s">
        <v>167</v>
      </c>
      <c r="H28" s="1" t="s">
        <v>168</v>
      </c>
      <c r="I28" s="1"/>
      <c r="J28" s="1"/>
      <c r="K28" s="1" t="s">
        <v>23</v>
      </c>
      <c r="L28" s="1" t="s">
        <v>174</v>
      </c>
      <c r="M28" s="1"/>
      <c r="N28" s="1">
        <v>1.0</v>
      </c>
      <c r="O28" s="1" t="s">
        <v>131</v>
      </c>
      <c r="P28" s="1" t="s">
        <v>25</v>
      </c>
      <c r="Q28" s="2" t="str">
        <f t="shared" si="1"/>
        <v>H030769</v>
      </c>
    </row>
    <row r="29">
      <c r="A29" s="1" t="s">
        <v>175</v>
      </c>
      <c r="B29" s="1" t="s">
        <v>176</v>
      </c>
      <c r="C29" s="1" t="s">
        <v>177</v>
      </c>
      <c r="D29" s="1" t="s">
        <v>178</v>
      </c>
      <c r="E29" s="1">
        <v>4511.0</v>
      </c>
      <c r="F29" s="1" t="s">
        <v>131</v>
      </c>
      <c r="G29" s="1" t="s">
        <v>179</v>
      </c>
      <c r="H29" s="1" t="s">
        <v>180</v>
      </c>
      <c r="I29" s="1"/>
      <c r="J29" s="1"/>
      <c r="K29" s="1" t="s">
        <v>23</v>
      </c>
      <c r="L29" s="1" t="s">
        <v>181</v>
      </c>
      <c r="M29" s="1"/>
      <c r="N29" s="1">
        <v>1.0</v>
      </c>
      <c r="O29" s="1" t="s">
        <v>131</v>
      </c>
      <c r="P29" s="1" t="s">
        <v>25</v>
      </c>
      <c r="Q29" s="2" t="str">
        <f t="shared" si="1"/>
        <v>H030769</v>
      </c>
    </row>
    <row r="30">
      <c r="A30" s="1" t="s">
        <v>182</v>
      </c>
      <c r="B30" s="1" t="s">
        <v>183</v>
      </c>
      <c r="C30" s="1" t="s">
        <v>184</v>
      </c>
      <c r="D30" s="1" t="s">
        <v>185</v>
      </c>
      <c r="E30" s="1">
        <v>9744.0</v>
      </c>
      <c r="F30" s="1" t="s">
        <v>131</v>
      </c>
      <c r="G30" s="1" t="s">
        <v>179</v>
      </c>
      <c r="H30" s="1" t="s">
        <v>180</v>
      </c>
      <c r="I30" s="1"/>
      <c r="J30" s="1"/>
      <c r="K30" s="1" t="s">
        <v>23</v>
      </c>
      <c r="L30" s="1" t="s">
        <v>186</v>
      </c>
      <c r="M30" s="1"/>
      <c r="N30" s="1">
        <v>1.0</v>
      </c>
      <c r="O30" s="1" t="s">
        <v>131</v>
      </c>
      <c r="P30" s="1" t="s">
        <v>25</v>
      </c>
      <c r="Q30" s="2" t="str">
        <f t="shared" si="1"/>
        <v>H030769</v>
      </c>
    </row>
    <row r="31">
      <c r="A31" s="1" t="s">
        <v>187</v>
      </c>
      <c r="B31" s="1" t="s">
        <v>188</v>
      </c>
      <c r="C31" s="1" t="s">
        <v>189</v>
      </c>
      <c r="D31" s="1" t="s">
        <v>190</v>
      </c>
      <c r="E31" s="1">
        <v>4189.0</v>
      </c>
      <c r="F31" s="1" t="s">
        <v>56</v>
      </c>
      <c r="G31" s="1" t="s">
        <v>191</v>
      </c>
      <c r="H31" s="1" t="s">
        <v>192</v>
      </c>
      <c r="I31" s="1"/>
      <c r="J31" s="1"/>
      <c r="K31" s="1" t="s">
        <v>23</v>
      </c>
      <c r="L31" s="1" t="s">
        <v>193</v>
      </c>
      <c r="M31" s="1"/>
      <c r="N31" s="1">
        <v>1.0</v>
      </c>
      <c r="O31" s="1" t="s">
        <v>56</v>
      </c>
      <c r="P31" s="1" t="s">
        <v>25</v>
      </c>
      <c r="Q31" s="2" t="str">
        <f t="shared" si="1"/>
        <v>H030069</v>
      </c>
    </row>
    <row r="32">
      <c r="A32" s="1" t="s">
        <v>194</v>
      </c>
      <c r="B32" s="1" t="s">
        <v>195</v>
      </c>
      <c r="C32" s="1" t="s">
        <v>196</v>
      </c>
      <c r="D32" s="1" t="s">
        <v>197</v>
      </c>
      <c r="E32" s="1">
        <v>2943.0</v>
      </c>
      <c r="F32" s="1" t="s">
        <v>56</v>
      </c>
      <c r="G32" s="1" t="s">
        <v>191</v>
      </c>
      <c r="H32" s="1" t="s">
        <v>192</v>
      </c>
      <c r="I32" s="1"/>
      <c r="J32" s="1"/>
      <c r="K32" s="1" t="s">
        <v>23</v>
      </c>
      <c r="L32" s="1" t="s">
        <v>198</v>
      </c>
      <c r="M32" s="1"/>
      <c r="N32" s="1">
        <v>1.0</v>
      </c>
      <c r="O32" s="1" t="s">
        <v>56</v>
      </c>
      <c r="P32" s="1" t="s">
        <v>25</v>
      </c>
      <c r="Q32" s="2" t="str">
        <f t="shared" si="1"/>
        <v>H030069</v>
      </c>
    </row>
    <row r="33">
      <c r="A33" s="1" t="s">
        <v>199</v>
      </c>
      <c r="B33" s="1" t="s">
        <v>200</v>
      </c>
      <c r="C33" s="1" t="s">
        <v>201</v>
      </c>
      <c r="D33" s="1" t="s">
        <v>202</v>
      </c>
      <c r="E33" s="1">
        <v>1578.0</v>
      </c>
      <c r="F33" s="1" t="s">
        <v>56</v>
      </c>
      <c r="G33" s="1" t="s">
        <v>191</v>
      </c>
      <c r="H33" s="1" t="s">
        <v>192</v>
      </c>
      <c r="I33" s="1"/>
      <c r="J33" s="1"/>
      <c r="K33" s="1" t="s">
        <v>23</v>
      </c>
      <c r="L33" s="1" t="s">
        <v>203</v>
      </c>
      <c r="M33" s="1"/>
      <c r="N33" s="1">
        <v>1.0</v>
      </c>
      <c r="O33" s="1" t="s">
        <v>56</v>
      </c>
      <c r="P33" s="1" t="s">
        <v>25</v>
      </c>
      <c r="Q33" s="2" t="str">
        <f t="shared" si="1"/>
        <v>H030069</v>
      </c>
    </row>
    <row r="34">
      <c r="A34" s="1" t="s">
        <v>204</v>
      </c>
      <c r="B34" s="1" t="s">
        <v>205</v>
      </c>
      <c r="C34" s="1" t="s">
        <v>206</v>
      </c>
      <c r="D34" s="1" t="s">
        <v>207</v>
      </c>
      <c r="E34" s="1">
        <v>9853.0</v>
      </c>
      <c r="F34" s="1" t="s">
        <v>56</v>
      </c>
      <c r="G34" s="1" t="s">
        <v>208</v>
      </c>
      <c r="H34" s="1" t="s">
        <v>209</v>
      </c>
      <c r="I34" s="1"/>
      <c r="J34" s="1"/>
      <c r="K34" s="1" t="s">
        <v>23</v>
      </c>
      <c r="L34" s="1" t="s">
        <v>210</v>
      </c>
      <c r="M34" s="1"/>
      <c r="N34" s="1">
        <v>1.0</v>
      </c>
      <c r="O34" s="1" t="s">
        <v>56</v>
      </c>
      <c r="P34" s="1" t="s">
        <v>25</v>
      </c>
      <c r="Q34" s="2" t="str">
        <f t="shared" si="1"/>
        <v>H030069</v>
      </c>
    </row>
    <row r="35">
      <c r="A35" s="1" t="s">
        <v>211</v>
      </c>
      <c r="B35" s="1" t="s">
        <v>212</v>
      </c>
      <c r="C35" s="1" t="s">
        <v>213</v>
      </c>
      <c r="D35" s="1" t="s">
        <v>214</v>
      </c>
      <c r="E35" s="1">
        <v>2184.0</v>
      </c>
      <c r="F35" s="1" t="s">
        <v>56</v>
      </c>
      <c r="G35" s="1" t="s">
        <v>208</v>
      </c>
      <c r="H35" s="1" t="s">
        <v>209</v>
      </c>
      <c r="I35" s="1"/>
      <c r="J35" s="1"/>
      <c r="K35" s="1" t="s">
        <v>23</v>
      </c>
      <c r="L35" s="1" t="s">
        <v>215</v>
      </c>
      <c r="M35" s="1"/>
      <c r="N35" s="1">
        <v>1.0</v>
      </c>
      <c r="O35" s="1" t="s">
        <v>56</v>
      </c>
      <c r="P35" s="1" t="s">
        <v>25</v>
      </c>
      <c r="Q35" s="2" t="str">
        <f t="shared" si="1"/>
        <v>H030069</v>
      </c>
    </row>
    <row r="36">
      <c r="A36" s="1" t="s">
        <v>216</v>
      </c>
      <c r="B36" s="1" t="s">
        <v>217</v>
      </c>
      <c r="C36" s="1" t="s">
        <v>218</v>
      </c>
      <c r="D36" s="1" t="s">
        <v>219</v>
      </c>
      <c r="E36" s="1">
        <v>3964.0</v>
      </c>
      <c r="F36" s="1" t="s">
        <v>131</v>
      </c>
      <c r="G36" s="1" t="s">
        <v>220</v>
      </c>
      <c r="H36" s="1" t="s">
        <v>221</v>
      </c>
      <c r="I36" s="1"/>
      <c r="J36" s="1"/>
      <c r="K36" s="1" t="s">
        <v>23</v>
      </c>
      <c r="L36" s="1" t="s">
        <v>222</v>
      </c>
      <c r="M36" s="1"/>
      <c r="N36" s="1">
        <v>1.0</v>
      </c>
      <c r="O36" s="1" t="s">
        <v>131</v>
      </c>
      <c r="P36" s="1" t="s">
        <v>25</v>
      </c>
      <c r="Q36" s="2" t="str">
        <f t="shared" si="1"/>
        <v>H030769</v>
      </c>
    </row>
    <row r="37">
      <c r="A37" s="1" t="s">
        <v>223</v>
      </c>
      <c r="B37" s="1" t="s">
        <v>224</v>
      </c>
      <c r="C37" s="1" t="s">
        <v>225</v>
      </c>
      <c r="D37" s="1" t="s">
        <v>226</v>
      </c>
      <c r="E37" s="1">
        <v>5390.0</v>
      </c>
      <c r="F37" s="1" t="s">
        <v>131</v>
      </c>
      <c r="G37" s="1" t="s">
        <v>220</v>
      </c>
      <c r="H37" s="1" t="s">
        <v>221</v>
      </c>
      <c r="I37" s="1"/>
      <c r="J37" s="1"/>
      <c r="K37" s="1" t="s">
        <v>23</v>
      </c>
      <c r="L37" s="1" t="s">
        <v>227</v>
      </c>
      <c r="M37" s="1"/>
      <c r="N37" s="1">
        <v>1.0</v>
      </c>
      <c r="O37" s="1" t="s">
        <v>131</v>
      </c>
      <c r="P37" s="1" t="s">
        <v>25</v>
      </c>
      <c r="Q37" s="2" t="str">
        <f t="shared" si="1"/>
        <v>H030769</v>
      </c>
    </row>
    <row r="38">
      <c r="A38" s="1" t="s">
        <v>228</v>
      </c>
      <c r="B38" s="1" t="s">
        <v>229</v>
      </c>
      <c r="C38" s="1" t="s">
        <v>230</v>
      </c>
      <c r="D38" s="1" t="s">
        <v>231</v>
      </c>
      <c r="E38" s="1">
        <v>4103.0</v>
      </c>
      <c r="F38" s="1" t="s">
        <v>131</v>
      </c>
      <c r="G38" s="1" t="s">
        <v>232</v>
      </c>
      <c r="H38" s="1" t="s">
        <v>233</v>
      </c>
      <c r="I38" s="1"/>
      <c r="J38" s="1"/>
      <c r="K38" s="1" t="s">
        <v>23</v>
      </c>
      <c r="L38" s="1" t="s">
        <v>234</v>
      </c>
      <c r="M38" s="1"/>
      <c r="N38" s="1">
        <v>1.0</v>
      </c>
      <c r="O38" s="1" t="s">
        <v>131</v>
      </c>
      <c r="P38" s="1" t="s">
        <v>25</v>
      </c>
      <c r="Q38" s="2" t="str">
        <f t="shared" si="1"/>
        <v>H030769</v>
      </c>
    </row>
    <row r="39">
      <c r="A39" s="1" t="s">
        <v>235</v>
      </c>
      <c r="B39" s="1" t="s">
        <v>236</v>
      </c>
      <c r="C39" s="1" t="s">
        <v>237</v>
      </c>
      <c r="D39" s="1" t="s">
        <v>238</v>
      </c>
      <c r="E39" s="1">
        <v>5234.0</v>
      </c>
      <c r="F39" s="1" t="s">
        <v>131</v>
      </c>
      <c r="G39" s="1" t="s">
        <v>232</v>
      </c>
      <c r="H39" s="1" t="s">
        <v>233</v>
      </c>
      <c r="I39" s="1"/>
      <c r="J39" s="1"/>
      <c r="K39" s="1" t="s">
        <v>23</v>
      </c>
      <c r="L39" s="1" t="s">
        <v>239</v>
      </c>
      <c r="M39" s="1"/>
      <c r="N39" s="1">
        <v>1.0</v>
      </c>
      <c r="O39" s="1" t="s">
        <v>131</v>
      </c>
      <c r="P39" s="1" t="s">
        <v>25</v>
      </c>
      <c r="Q39" s="2" t="str">
        <f t="shared" si="1"/>
        <v>H030769</v>
      </c>
    </row>
    <row r="40">
      <c r="A40" s="1" t="s">
        <v>240</v>
      </c>
      <c r="B40" s="1" t="s">
        <v>241</v>
      </c>
      <c r="C40" s="1" t="s">
        <v>242</v>
      </c>
      <c r="D40" s="1" t="s">
        <v>243</v>
      </c>
      <c r="E40" s="1">
        <v>6675.0</v>
      </c>
      <c r="F40" s="1" t="s">
        <v>131</v>
      </c>
      <c r="G40" s="1">
        <v>896791.0</v>
      </c>
      <c r="H40" s="1" t="s">
        <v>244</v>
      </c>
      <c r="I40" s="1"/>
      <c r="J40" s="1"/>
      <c r="K40" s="1" t="s">
        <v>23</v>
      </c>
      <c r="L40" s="1" t="s">
        <v>245</v>
      </c>
      <c r="M40" s="1"/>
      <c r="N40" s="1">
        <v>1.0</v>
      </c>
      <c r="O40" s="1" t="s">
        <v>131</v>
      </c>
      <c r="P40" s="1" t="s">
        <v>25</v>
      </c>
      <c r="Q40" s="2" t="str">
        <f t="shared" si="1"/>
        <v>H030769</v>
      </c>
    </row>
    <row r="41">
      <c r="A41" s="1" t="s">
        <v>246</v>
      </c>
      <c r="B41" s="1" t="s">
        <v>247</v>
      </c>
      <c r="C41" s="1" t="s">
        <v>248</v>
      </c>
      <c r="D41" s="1" t="s">
        <v>249</v>
      </c>
      <c r="E41" s="1">
        <v>5709.0</v>
      </c>
      <c r="F41" s="1" t="s">
        <v>131</v>
      </c>
      <c r="G41" s="1">
        <v>896791.0</v>
      </c>
      <c r="H41" s="1" t="s">
        <v>244</v>
      </c>
      <c r="I41" s="1"/>
      <c r="J41" s="1"/>
      <c r="K41" s="1" t="s">
        <v>23</v>
      </c>
      <c r="L41" s="1" t="s">
        <v>250</v>
      </c>
      <c r="M41" s="1"/>
      <c r="N41" s="1">
        <v>1.0</v>
      </c>
      <c r="O41" s="1" t="s">
        <v>131</v>
      </c>
      <c r="P41" s="1" t="s">
        <v>25</v>
      </c>
      <c r="Q41" s="2" t="str">
        <f t="shared" si="1"/>
        <v>H030769</v>
      </c>
    </row>
    <row r="42">
      <c r="A42" s="1" t="s">
        <v>251</v>
      </c>
      <c r="B42" s="1" t="s">
        <v>252</v>
      </c>
      <c r="C42" s="1" t="s">
        <v>253</v>
      </c>
      <c r="D42" s="1" t="s">
        <v>254</v>
      </c>
      <c r="E42" s="1">
        <v>7577.0</v>
      </c>
      <c r="F42" s="1" t="s">
        <v>131</v>
      </c>
      <c r="G42" s="1">
        <v>896791.0</v>
      </c>
      <c r="H42" s="1" t="s">
        <v>244</v>
      </c>
      <c r="I42" s="1"/>
      <c r="J42" s="1"/>
      <c r="K42" s="1" t="s">
        <v>23</v>
      </c>
      <c r="L42" s="1" t="s">
        <v>255</v>
      </c>
      <c r="M42" s="1"/>
      <c r="N42" s="1">
        <v>1.0</v>
      </c>
      <c r="O42" s="1" t="s">
        <v>131</v>
      </c>
      <c r="P42" s="1" t="s">
        <v>25</v>
      </c>
      <c r="Q42" s="2" t="str">
        <f t="shared" si="1"/>
        <v>H030769</v>
      </c>
    </row>
    <row r="43">
      <c r="A43" s="1" t="s">
        <v>256</v>
      </c>
      <c r="B43" s="1" t="s">
        <v>257</v>
      </c>
      <c r="C43" s="1" t="s">
        <v>258</v>
      </c>
      <c r="D43" s="1" t="s">
        <v>259</v>
      </c>
      <c r="E43" s="1">
        <v>5160.0</v>
      </c>
      <c r="F43" s="1" t="s">
        <v>56</v>
      </c>
      <c r="G43" s="1" t="s">
        <v>260</v>
      </c>
      <c r="H43" s="1" t="s">
        <v>261</v>
      </c>
      <c r="I43" s="1"/>
      <c r="J43" s="1"/>
      <c r="K43" s="1" t="s">
        <v>23</v>
      </c>
      <c r="L43" s="1" t="s">
        <v>262</v>
      </c>
      <c r="M43" s="1"/>
      <c r="N43" s="1">
        <v>1.0</v>
      </c>
      <c r="O43" s="1" t="s">
        <v>56</v>
      </c>
      <c r="P43" s="1" t="s">
        <v>25</v>
      </c>
      <c r="Q43" s="2" t="str">
        <f t="shared" si="1"/>
        <v>H030069</v>
      </c>
    </row>
    <row r="44">
      <c r="A44" s="1" t="s">
        <v>263</v>
      </c>
      <c r="B44" s="1" t="s">
        <v>264</v>
      </c>
      <c r="C44" s="1" t="s">
        <v>265</v>
      </c>
      <c r="D44" s="1" t="s">
        <v>266</v>
      </c>
      <c r="E44" s="1">
        <v>7111.0</v>
      </c>
      <c r="F44" s="1" t="s">
        <v>56</v>
      </c>
      <c r="G44" s="1" t="s">
        <v>260</v>
      </c>
      <c r="H44" s="1" t="s">
        <v>261</v>
      </c>
      <c r="I44" s="1"/>
      <c r="J44" s="1"/>
      <c r="K44" s="1" t="s">
        <v>23</v>
      </c>
      <c r="L44" s="1" t="s">
        <v>267</v>
      </c>
      <c r="M44" s="1"/>
      <c r="N44" s="1">
        <v>1.0</v>
      </c>
      <c r="O44" s="1" t="s">
        <v>56</v>
      </c>
      <c r="P44" s="1" t="s">
        <v>25</v>
      </c>
      <c r="Q44" s="2" t="str">
        <f t="shared" si="1"/>
        <v>H030069</v>
      </c>
    </row>
    <row r="45">
      <c r="A45" s="1" t="s">
        <v>268</v>
      </c>
      <c r="B45" s="1" t="s">
        <v>269</v>
      </c>
      <c r="C45" s="1" t="s">
        <v>270</v>
      </c>
      <c r="D45" s="1" t="s">
        <v>271</v>
      </c>
      <c r="E45" s="1">
        <v>5472.0</v>
      </c>
      <c r="F45" s="1" t="s">
        <v>21</v>
      </c>
      <c r="G45" s="1">
        <v>642334.0</v>
      </c>
      <c r="H45" s="1" t="s">
        <v>272</v>
      </c>
      <c r="I45" s="1"/>
      <c r="J45" s="1"/>
      <c r="K45" s="1" t="s">
        <v>23</v>
      </c>
      <c r="L45" s="1" t="s">
        <v>273</v>
      </c>
      <c r="M45" s="1"/>
      <c r="N45" s="1">
        <v>1.0</v>
      </c>
      <c r="O45" s="1" t="s">
        <v>21</v>
      </c>
      <c r="P45" s="1" t="s">
        <v>25</v>
      </c>
      <c r="Q45" s="2" t="str">
        <f t="shared" si="1"/>
        <v>H030243</v>
      </c>
    </row>
    <row r="46">
      <c r="A46" s="1" t="s">
        <v>274</v>
      </c>
      <c r="B46" s="1" t="s">
        <v>275</v>
      </c>
      <c r="C46" s="1" t="s">
        <v>276</v>
      </c>
      <c r="D46" s="1" t="s">
        <v>277</v>
      </c>
      <c r="E46" s="1">
        <v>2306.0</v>
      </c>
      <c r="F46" s="1" t="s">
        <v>21</v>
      </c>
      <c r="G46" s="1">
        <v>642334.0</v>
      </c>
      <c r="H46" s="1" t="s">
        <v>272</v>
      </c>
      <c r="I46" s="1"/>
      <c r="J46" s="1"/>
      <c r="K46" s="1" t="s">
        <v>23</v>
      </c>
      <c r="L46" s="1" t="s">
        <v>278</v>
      </c>
      <c r="M46" s="1"/>
      <c r="N46" s="1">
        <v>1.0</v>
      </c>
      <c r="O46" s="1" t="s">
        <v>21</v>
      </c>
      <c r="P46" s="1" t="s">
        <v>25</v>
      </c>
      <c r="Q46" s="2" t="str">
        <f t="shared" si="1"/>
        <v>H030243</v>
      </c>
    </row>
    <row r="47">
      <c r="A47" s="1" t="s">
        <v>279</v>
      </c>
      <c r="B47" s="1" t="s">
        <v>280</v>
      </c>
      <c r="C47" s="1" t="s">
        <v>281</v>
      </c>
      <c r="D47" s="1" t="s">
        <v>282</v>
      </c>
      <c r="E47" s="1">
        <v>8555.0</v>
      </c>
      <c r="F47" s="1" t="s">
        <v>21</v>
      </c>
      <c r="G47" s="1">
        <v>642334.0</v>
      </c>
      <c r="H47" s="1" t="s">
        <v>272</v>
      </c>
      <c r="I47" s="1"/>
      <c r="J47" s="1"/>
      <c r="K47" s="1" t="s">
        <v>23</v>
      </c>
      <c r="L47" s="1" t="s">
        <v>283</v>
      </c>
      <c r="M47" s="1"/>
      <c r="N47" s="1">
        <v>1.0</v>
      </c>
      <c r="O47" s="1" t="s">
        <v>21</v>
      </c>
      <c r="P47" s="1" t="s">
        <v>25</v>
      </c>
      <c r="Q47" s="2" t="str">
        <f t="shared" si="1"/>
        <v>H030243</v>
      </c>
    </row>
    <row r="48">
      <c r="A48" s="1" t="s">
        <v>284</v>
      </c>
      <c r="B48" s="1" t="s">
        <v>285</v>
      </c>
      <c r="C48" s="1" t="s">
        <v>286</v>
      </c>
      <c r="D48" s="1" t="s">
        <v>287</v>
      </c>
      <c r="E48" s="1">
        <v>3878.0</v>
      </c>
      <c r="F48" s="1" t="s">
        <v>288</v>
      </c>
      <c r="G48" s="1">
        <v>729375.0</v>
      </c>
      <c r="H48" s="1" t="s">
        <v>80</v>
      </c>
      <c r="I48" s="1"/>
      <c r="J48" s="1"/>
      <c r="K48" s="1" t="s">
        <v>23</v>
      </c>
      <c r="L48" s="1" t="s">
        <v>289</v>
      </c>
      <c r="M48" s="1">
        <v>1.0</v>
      </c>
      <c r="N48" s="1">
        <v>1.0</v>
      </c>
      <c r="O48" s="1" t="s">
        <v>288</v>
      </c>
      <c r="P48" s="1" t="s">
        <v>25</v>
      </c>
      <c r="Q48" s="2" t="str">
        <f t="shared" si="1"/>
        <v>H019505</v>
      </c>
    </row>
    <row r="49">
      <c r="A49" s="1" t="s">
        <v>290</v>
      </c>
      <c r="B49" s="1" t="s">
        <v>291</v>
      </c>
      <c r="C49" s="1" t="s">
        <v>292</v>
      </c>
      <c r="D49" s="1" t="s">
        <v>293</v>
      </c>
      <c r="E49" s="1">
        <v>2602.0</v>
      </c>
      <c r="F49" s="1" t="s">
        <v>288</v>
      </c>
      <c r="G49" s="1">
        <v>729375.0</v>
      </c>
      <c r="H49" s="1" t="s">
        <v>80</v>
      </c>
      <c r="I49" s="1"/>
      <c r="J49" s="1"/>
      <c r="K49" s="1" t="s">
        <v>23</v>
      </c>
      <c r="L49" s="1" t="s">
        <v>294</v>
      </c>
      <c r="M49" s="1">
        <v>1.0</v>
      </c>
      <c r="N49" s="1">
        <v>1.0</v>
      </c>
      <c r="O49" s="1" t="s">
        <v>288</v>
      </c>
      <c r="P49" s="1" t="s">
        <v>25</v>
      </c>
      <c r="Q49" s="2" t="str">
        <f t="shared" si="1"/>
        <v>H019505</v>
      </c>
    </row>
    <row r="50">
      <c r="A50" s="1" t="s">
        <v>295</v>
      </c>
      <c r="B50" s="1" t="s">
        <v>296</v>
      </c>
      <c r="C50" s="1" t="s">
        <v>297</v>
      </c>
      <c r="D50" s="1" t="s">
        <v>298</v>
      </c>
      <c r="E50" s="1">
        <v>2019.0</v>
      </c>
      <c r="F50" s="1" t="s">
        <v>288</v>
      </c>
      <c r="G50" s="1">
        <v>729375.0</v>
      </c>
      <c r="H50" s="1" t="s">
        <v>80</v>
      </c>
      <c r="I50" s="1"/>
      <c r="J50" s="1"/>
      <c r="K50" s="1" t="s">
        <v>23</v>
      </c>
      <c r="L50" s="1" t="s">
        <v>299</v>
      </c>
      <c r="M50" s="1">
        <v>1.0</v>
      </c>
      <c r="N50" s="1">
        <v>1.0</v>
      </c>
      <c r="O50" s="1" t="s">
        <v>288</v>
      </c>
      <c r="P50" s="1" t="s">
        <v>25</v>
      </c>
      <c r="Q50" s="2" t="str">
        <f t="shared" si="1"/>
        <v>H019505</v>
      </c>
    </row>
    <row r="51">
      <c r="A51" s="1" t="s">
        <v>300</v>
      </c>
      <c r="B51" s="1" t="s">
        <v>301</v>
      </c>
      <c r="C51" s="1" t="s">
        <v>302</v>
      </c>
      <c r="D51" s="1" t="s">
        <v>303</v>
      </c>
      <c r="E51" s="1">
        <v>7459.0</v>
      </c>
      <c r="F51" s="1" t="s">
        <v>288</v>
      </c>
      <c r="G51" s="1" t="s">
        <v>304</v>
      </c>
      <c r="H51" s="1" t="s">
        <v>272</v>
      </c>
      <c r="I51" s="1"/>
      <c r="J51" s="1"/>
      <c r="K51" s="1" t="s">
        <v>23</v>
      </c>
      <c r="L51" s="1" t="s">
        <v>305</v>
      </c>
      <c r="M51" s="1">
        <v>1.0</v>
      </c>
      <c r="N51" s="1">
        <v>1.0</v>
      </c>
      <c r="O51" s="1" t="s">
        <v>288</v>
      </c>
      <c r="P51" s="1" t="s">
        <v>25</v>
      </c>
      <c r="Q51" s="2" t="str">
        <f t="shared" si="1"/>
        <v>H019505</v>
      </c>
    </row>
    <row r="52">
      <c r="A52" s="1" t="s">
        <v>306</v>
      </c>
      <c r="B52" s="1" t="s">
        <v>307</v>
      </c>
      <c r="C52" s="1" t="s">
        <v>308</v>
      </c>
      <c r="D52" s="1" t="s">
        <v>309</v>
      </c>
      <c r="E52" s="1">
        <v>4781.0</v>
      </c>
      <c r="F52" s="1" t="s">
        <v>288</v>
      </c>
      <c r="G52" s="1" t="s">
        <v>304</v>
      </c>
      <c r="H52" s="1" t="s">
        <v>272</v>
      </c>
      <c r="I52" s="1"/>
      <c r="J52" s="1"/>
      <c r="K52" s="1" t="s">
        <v>23</v>
      </c>
      <c r="L52" s="1" t="s">
        <v>310</v>
      </c>
      <c r="M52" s="1">
        <v>1.0</v>
      </c>
      <c r="N52" s="1">
        <v>1.0</v>
      </c>
      <c r="O52" s="1" t="s">
        <v>288</v>
      </c>
      <c r="P52" s="1" t="s">
        <v>25</v>
      </c>
      <c r="Q52" s="2" t="str">
        <f t="shared" si="1"/>
        <v>H019505</v>
      </c>
    </row>
    <row r="53">
      <c r="A53" s="1" t="s">
        <v>311</v>
      </c>
      <c r="B53" s="1" t="s">
        <v>312</v>
      </c>
      <c r="C53" s="1" t="s">
        <v>313</v>
      </c>
      <c r="D53" s="1" t="s">
        <v>314</v>
      </c>
      <c r="E53" s="1">
        <v>4718.0</v>
      </c>
      <c r="F53" s="1" t="s">
        <v>315</v>
      </c>
      <c r="G53" s="1">
        <v>555127.0</v>
      </c>
      <c r="H53" s="1" t="s">
        <v>35</v>
      </c>
      <c r="I53" s="1"/>
      <c r="J53" s="1"/>
      <c r="K53" s="1" t="s">
        <v>23</v>
      </c>
      <c r="L53" s="1" t="s">
        <v>316</v>
      </c>
      <c r="M53" s="1">
        <v>2.0</v>
      </c>
      <c r="N53" s="1">
        <v>1.0</v>
      </c>
      <c r="O53" s="1" t="s">
        <v>315</v>
      </c>
      <c r="P53" s="1" t="s">
        <v>25</v>
      </c>
      <c r="Q53" s="2" t="str">
        <f t="shared" si="1"/>
        <v>H019575</v>
      </c>
    </row>
    <row r="54">
      <c r="A54" s="1" t="s">
        <v>317</v>
      </c>
      <c r="B54" s="1" t="s">
        <v>318</v>
      </c>
      <c r="C54" s="1" t="s">
        <v>319</v>
      </c>
      <c r="D54" s="1" t="s">
        <v>320</v>
      </c>
      <c r="E54" s="1">
        <v>3384.0</v>
      </c>
      <c r="F54" s="1" t="s">
        <v>315</v>
      </c>
      <c r="G54" s="1">
        <v>555127.0</v>
      </c>
      <c r="H54" s="1" t="s">
        <v>35</v>
      </c>
      <c r="I54" s="1"/>
      <c r="J54" s="1"/>
      <c r="K54" s="1" t="s">
        <v>23</v>
      </c>
      <c r="L54" s="1" t="s">
        <v>321</v>
      </c>
      <c r="M54" s="1">
        <v>2.0</v>
      </c>
      <c r="N54" s="1">
        <v>1.0</v>
      </c>
      <c r="O54" s="1" t="s">
        <v>315</v>
      </c>
      <c r="P54" s="1" t="s">
        <v>25</v>
      </c>
      <c r="Q54" s="2" t="str">
        <f t="shared" si="1"/>
        <v>H019575</v>
      </c>
    </row>
    <row r="55">
      <c r="A55" s="1" t="s">
        <v>322</v>
      </c>
      <c r="B55" s="1" t="s">
        <v>323</v>
      </c>
      <c r="C55" s="1" t="s">
        <v>324</v>
      </c>
      <c r="D55" s="1" t="s">
        <v>325</v>
      </c>
      <c r="E55" s="1">
        <v>3037.0</v>
      </c>
      <c r="F55" s="1" t="s">
        <v>315</v>
      </c>
      <c r="G55" s="1">
        <v>555127.0</v>
      </c>
      <c r="H55" s="1" t="s">
        <v>35</v>
      </c>
      <c r="I55" s="1"/>
      <c r="J55" s="1"/>
      <c r="K55" s="1" t="s">
        <v>23</v>
      </c>
      <c r="L55" s="1" t="s">
        <v>326</v>
      </c>
      <c r="M55" s="1">
        <v>2.0</v>
      </c>
      <c r="N55" s="1">
        <v>1.0</v>
      </c>
      <c r="O55" s="1" t="s">
        <v>315</v>
      </c>
      <c r="P55" s="1" t="s">
        <v>25</v>
      </c>
      <c r="Q55" s="2" t="str">
        <f t="shared" si="1"/>
        <v>H019575</v>
      </c>
    </row>
    <row r="56">
      <c r="A56" s="1" t="s">
        <v>327</v>
      </c>
      <c r="B56" s="1" t="s">
        <v>328</v>
      </c>
      <c r="C56" s="1" t="s">
        <v>329</v>
      </c>
      <c r="D56" s="1" t="s">
        <v>330</v>
      </c>
      <c r="E56" s="1">
        <v>2548.0</v>
      </c>
      <c r="F56" s="1" t="s">
        <v>315</v>
      </c>
      <c r="G56" s="1">
        <v>555127.0</v>
      </c>
      <c r="H56" s="1" t="s">
        <v>35</v>
      </c>
      <c r="I56" s="1"/>
      <c r="J56" s="1"/>
      <c r="K56" s="1" t="s">
        <v>23</v>
      </c>
      <c r="L56" s="1" t="s">
        <v>331</v>
      </c>
      <c r="M56" s="1">
        <v>2.0</v>
      </c>
      <c r="N56" s="1">
        <v>1.0</v>
      </c>
      <c r="O56" s="1" t="s">
        <v>315</v>
      </c>
      <c r="P56" s="1" t="s">
        <v>25</v>
      </c>
      <c r="Q56" s="2" t="str">
        <f t="shared" si="1"/>
        <v>H019575</v>
      </c>
    </row>
    <row r="57">
      <c r="A57" s="1" t="s">
        <v>332</v>
      </c>
      <c r="B57" s="1" t="s">
        <v>333</v>
      </c>
      <c r="C57" s="1" t="s">
        <v>334</v>
      </c>
      <c r="D57" s="1" t="s">
        <v>335</v>
      </c>
      <c r="E57" s="1">
        <v>5229.0</v>
      </c>
      <c r="F57" s="1" t="s">
        <v>288</v>
      </c>
      <c r="G57" s="1">
        <v>859767.0</v>
      </c>
      <c r="H57" s="1" t="s">
        <v>22</v>
      </c>
      <c r="I57" s="1"/>
      <c r="J57" s="1"/>
      <c r="K57" s="1" t="s">
        <v>23</v>
      </c>
      <c r="L57" s="1" t="s">
        <v>336</v>
      </c>
      <c r="M57" s="1">
        <v>1.0</v>
      </c>
      <c r="N57" s="1">
        <v>1.0</v>
      </c>
      <c r="O57" s="1" t="s">
        <v>288</v>
      </c>
      <c r="P57" s="1" t="s">
        <v>25</v>
      </c>
      <c r="Q57" s="2" t="str">
        <f t="shared" si="1"/>
        <v>H019505</v>
      </c>
    </row>
    <row r="58">
      <c r="A58" s="1" t="s">
        <v>337</v>
      </c>
      <c r="B58" s="1" t="s">
        <v>338</v>
      </c>
      <c r="C58" s="1" t="s">
        <v>339</v>
      </c>
      <c r="D58" s="1" t="s">
        <v>340</v>
      </c>
      <c r="E58" s="1">
        <v>7348.0</v>
      </c>
      <c r="F58" s="1" t="s">
        <v>288</v>
      </c>
      <c r="G58" s="1">
        <v>859767.0</v>
      </c>
      <c r="H58" s="1" t="s">
        <v>22</v>
      </c>
      <c r="I58" s="1"/>
      <c r="J58" s="1"/>
      <c r="K58" s="1" t="s">
        <v>23</v>
      </c>
      <c r="L58" s="1" t="s">
        <v>341</v>
      </c>
      <c r="M58" s="1">
        <v>1.0</v>
      </c>
      <c r="N58" s="1">
        <v>1.0</v>
      </c>
      <c r="O58" s="1" t="s">
        <v>288</v>
      </c>
      <c r="P58" s="1" t="s">
        <v>25</v>
      </c>
      <c r="Q58" s="2" t="str">
        <f t="shared" si="1"/>
        <v>H019505</v>
      </c>
    </row>
    <row r="59">
      <c r="A59" s="1" t="s">
        <v>342</v>
      </c>
      <c r="B59" s="1" t="s">
        <v>343</v>
      </c>
      <c r="C59" s="1" t="s">
        <v>344</v>
      </c>
      <c r="D59" s="1" t="s">
        <v>345</v>
      </c>
      <c r="E59" s="1">
        <v>6024.0</v>
      </c>
      <c r="F59" s="1" t="s">
        <v>288</v>
      </c>
      <c r="G59" s="1">
        <v>859767.0</v>
      </c>
      <c r="H59" s="1" t="s">
        <v>22</v>
      </c>
      <c r="I59" s="1"/>
      <c r="J59" s="1"/>
      <c r="K59" s="1" t="s">
        <v>23</v>
      </c>
      <c r="L59" s="1" t="s">
        <v>346</v>
      </c>
      <c r="M59" s="1">
        <v>1.0</v>
      </c>
      <c r="N59" s="1">
        <v>1.0</v>
      </c>
      <c r="O59" s="1" t="s">
        <v>288</v>
      </c>
      <c r="P59" s="1" t="s">
        <v>25</v>
      </c>
      <c r="Q59" s="2" t="str">
        <f t="shared" si="1"/>
        <v>H019505</v>
      </c>
    </row>
    <row r="60">
      <c r="A60" s="1" t="s">
        <v>347</v>
      </c>
      <c r="B60" s="1" t="s">
        <v>348</v>
      </c>
      <c r="C60" s="1" t="s">
        <v>349</v>
      </c>
      <c r="D60" s="1" t="s">
        <v>350</v>
      </c>
      <c r="E60" s="1">
        <v>5523.0</v>
      </c>
      <c r="F60" s="1" t="s">
        <v>351</v>
      </c>
      <c r="G60" s="1" t="s">
        <v>208</v>
      </c>
      <c r="H60" s="1" t="s">
        <v>209</v>
      </c>
      <c r="I60" s="1"/>
      <c r="J60" s="1"/>
      <c r="K60" s="1" t="s">
        <v>23</v>
      </c>
      <c r="L60" s="1" t="s">
        <v>352</v>
      </c>
      <c r="M60" s="1">
        <v>3.0</v>
      </c>
      <c r="N60" s="1">
        <v>1.0</v>
      </c>
      <c r="O60" s="1" t="s">
        <v>351</v>
      </c>
      <c r="P60" s="1" t="s">
        <v>25</v>
      </c>
      <c r="Q60" s="2" t="str">
        <f t="shared" si="1"/>
        <v>H030255</v>
      </c>
    </row>
    <row r="61">
      <c r="A61" s="1" t="s">
        <v>353</v>
      </c>
      <c r="B61" s="1" t="s">
        <v>354</v>
      </c>
      <c r="C61" s="1" t="s">
        <v>355</v>
      </c>
      <c r="D61" s="1" t="s">
        <v>356</v>
      </c>
      <c r="E61" s="1">
        <v>3635.0</v>
      </c>
      <c r="F61" s="1" t="s">
        <v>351</v>
      </c>
      <c r="G61" s="1" t="s">
        <v>208</v>
      </c>
      <c r="H61" s="1" t="s">
        <v>209</v>
      </c>
      <c r="I61" s="1"/>
      <c r="J61" s="1"/>
      <c r="K61" s="1" t="s">
        <v>23</v>
      </c>
      <c r="L61" s="1" t="s">
        <v>357</v>
      </c>
      <c r="M61" s="1">
        <v>3.0</v>
      </c>
      <c r="N61" s="1">
        <v>1.0</v>
      </c>
      <c r="O61" s="1" t="s">
        <v>351</v>
      </c>
      <c r="P61" s="1" t="s">
        <v>25</v>
      </c>
      <c r="Q61" s="2" t="str">
        <f t="shared" si="1"/>
        <v>H030255</v>
      </c>
    </row>
    <row r="62">
      <c r="A62" s="1" t="s">
        <v>358</v>
      </c>
      <c r="B62" s="1" t="s">
        <v>359</v>
      </c>
      <c r="C62" s="1" t="s">
        <v>360</v>
      </c>
      <c r="D62" s="1" t="s">
        <v>361</v>
      </c>
      <c r="E62" s="1">
        <v>3723.0</v>
      </c>
      <c r="F62" s="1" t="s">
        <v>351</v>
      </c>
      <c r="G62" s="1" t="s">
        <v>208</v>
      </c>
      <c r="H62" s="1" t="s">
        <v>209</v>
      </c>
      <c r="I62" s="1"/>
      <c r="J62" s="1"/>
      <c r="K62" s="1" t="s">
        <v>23</v>
      </c>
      <c r="L62" s="1" t="s">
        <v>362</v>
      </c>
      <c r="M62" s="1">
        <v>3.0</v>
      </c>
      <c r="N62" s="1">
        <v>1.0</v>
      </c>
      <c r="O62" s="1" t="s">
        <v>351</v>
      </c>
      <c r="P62" s="1" t="s">
        <v>25</v>
      </c>
      <c r="Q62" s="2" t="str">
        <f t="shared" si="1"/>
        <v>H030255</v>
      </c>
    </row>
    <row r="63">
      <c r="A63" s="1" t="s">
        <v>363</v>
      </c>
      <c r="B63" s="1" t="s">
        <v>364</v>
      </c>
      <c r="C63" s="1" t="s">
        <v>365</v>
      </c>
      <c r="D63" s="1" t="s">
        <v>366</v>
      </c>
      <c r="E63" s="1">
        <v>5596.0</v>
      </c>
      <c r="F63" s="1" t="s">
        <v>315</v>
      </c>
      <c r="G63" s="1">
        <v>841329.0</v>
      </c>
      <c r="H63" s="1" t="s">
        <v>96</v>
      </c>
      <c r="I63" s="1"/>
      <c r="J63" s="1"/>
      <c r="K63" s="1" t="s">
        <v>23</v>
      </c>
      <c r="L63" s="1" t="s">
        <v>367</v>
      </c>
      <c r="M63" s="1">
        <v>2.0</v>
      </c>
      <c r="N63" s="1">
        <v>1.0</v>
      </c>
      <c r="O63" s="1" t="s">
        <v>315</v>
      </c>
      <c r="P63" s="1" t="s">
        <v>25</v>
      </c>
      <c r="Q63" s="2" t="str">
        <f t="shared" si="1"/>
        <v>H019575</v>
      </c>
    </row>
    <row r="64">
      <c r="A64" s="1" t="s">
        <v>368</v>
      </c>
      <c r="B64" s="1" t="s">
        <v>369</v>
      </c>
      <c r="C64" s="1" t="s">
        <v>370</v>
      </c>
      <c r="D64" s="1" t="s">
        <v>371</v>
      </c>
      <c r="E64" s="1">
        <v>6366.0</v>
      </c>
      <c r="F64" s="1" t="s">
        <v>315</v>
      </c>
      <c r="G64" s="1">
        <v>841329.0</v>
      </c>
      <c r="H64" s="1" t="s">
        <v>96</v>
      </c>
      <c r="I64" s="1"/>
      <c r="J64" s="1"/>
      <c r="K64" s="1" t="s">
        <v>23</v>
      </c>
      <c r="L64" s="1" t="s">
        <v>372</v>
      </c>
      <c r="M64" s="1">
        <v>2.0</v>
      </c>
      <c r="N64" s="1">
        <v>1.0</v>
      </c>
      <c r="O64" s="1" t="s">
        <v>315</v>
      </c>
      <c r="P64" s="1" t="s">
        <v>25</v>
      </c>
      <c r="Q64" s="2" t="str">
        <f t="shared" si="1"/>
        <v>H019575</v>
      </c>
    </row>
    <row r="65">
      <c r="A65" s="1" t="s">
        <v>373</v>
      </c>
      <c r="B65" s="1" t="s">
        <v>374</v>
      </c>
      <c r="C65" s="1" t="s">
        <v>375</v>
      </c>
      <c r="D65" s="1" t="s">
        <v>376</v>
      </c>
      <c r="E65" s="1">
        <v>3743.0</v>
      </c>
      <c r="F65" s="1" t="s">
        <v>315</v>
      </c>
      <c r="G65" s="1">
        <v>841329.0</v>
      </c>
      <c r="H65" s="1" t="s">
        <v>96</v>
      </c>
      <c r="I65" s="1"/>
      <c r="J65" s="1"/>
      <c r="K65" s="1" t="s">
        <v>23</v>
      </c>
      <c r="L65" s="1" t="s">
        <v>377</v>
      </c>
      <c r="M65" s="1">
        <v>2.0</v>
      </c>
      <c r="N65" s="1">
        <v>1.0</v>
      </c>
      <c r="O65" s="1" t="s">
        <v>315</v>
      </c>
      <c r="P65" s="1" t="s">
        <v>25</v>
      </c>
      <c r="Q65" s="2" t="str">
        <f t="shared" si="1"/>
        <v>H019575</v>
      </c>
    </row>
    <row r="66">
      <c r="A66" s="1" t="s">
        <v>378</v>
      </c>
      <c r="B66" s="1" t="s">
        <v>379</v>
      </c>
      <c r="C66" s="1" t="s">
        <v>380</v>
      </c>
      <c r="D66" s="1" t="s">
        <v>381</v>
      </c>
      <c r="E66" s="1">
        <v>2168.0</v>
      </c>
      <c r="F66" s="1" t="s">
        <v>382</v>
      </c>
      <c r="G66" s="1" t="s">
        <v>191</v>
      </c>
      <c r="H66" s="1" t="s">
        <v>192</v>
      </c>
      <c r="I66" s="1"/>
      <c r="J66" s="1"/>
      <c r="K66" s="1" t="s">
        <v>23</v>
      </c>
      <c r="L66" s="1" t="s">
        <v>383</v>
      </c>
      <c r="M66" s="1">
        <v>1.0</v>
      </c>
      <c r="N66" s="1">
        <v>1.0</v>
      </c>
      <c r="O66" s="1" t="s">
        <v>382</v>
      </c>
      <c r="P66" s="1" t="s">
        <v>25</v>
      </c>
      <c r="Q66" s="2" t="str">
        <f t="shared" si="1"/>
        <v>H030375</v>
      </c>
    </row>
    <row r="67">
      <c r="A67" s="1" t="s">
        <v>384</v>
      </c>
      <c r="B67" s="1" t="s">
        <v>385</v>
      </c>
      <c r="C67" s="1" t="s">
        <v>386</v>
      </c>
      <c r="D67" s="1" t="s">
        <v>387</v>
      </c>
      <c r="E67" s="1">
        <v>2652.0</v>
      </c>
      <c r="F67" s="1" t="s">
        <v>382</v>
      </c>
      <c r="G67" s="1" t="s">
        <v>191</v>
      </c>
      <c r="H67" s="1" t="s">
        <v>192</v>
      </c>
      <c r="I67" s="1"/>
      <c r="J67" s="1"/>
      <c r="K67" s="1" t="s">
        <v>23</v>
      </c>
      <c r="L67" s="1" t="s">
        <v>388</v>
      </c>
      <c r="M67" s="1">
        <v>1.0</v>
      </c>
      <c r="N67" s="1">
        <v>1.0</v>
      </c>
      <c r="O67" s="1" t="s">
        <v>382</v>
      </c>
      <c r="P67" s="1" t="s">
        <v>25</v>
      </c>
      <c r="Q67" s="2" t="str">
        <f t="shared" si="1"/>
        <v>H030375</v>
      </c>
    </row>
    <row r="68">
      <c r="A68" s="1" t="s">
        <v>389</v>
      </c>
      <c r="B68" s="1" t="s">
        <v>390</v>
      </c>
      <c r="C68" s="1" t="s">
        <v>391</v>
      </c>
      <c r="D68" s="1" t="s">
        <v>392</v>
      </c>
      <c r="E68" s="1">
        <v>3842.0</v>
      </c>
      <c r="F68" s="1" t="s">
        <v>382</v>
      </c>
      <c r="G68" s="1" t="s">
        <v>191</v>
      </c>
      <c r="H68" s="1" t="s">
        <v>192</v>
      </c>
      <c r="I68" s="1"/>
      <c r="J68" s="1"/>
      <c r="K68" s="1" t="s">
        <v>23</v>
      </c>
      <c r="L68" s="1" t="s">
        <v>393</v>
      </c>
      <c r="M68" s="1">
        <v>1.0</v>
      </c>
      <c r="N68" s="1">
        <v>1.0</v>
      </c>
      <c r="O68" s="1" t="s">
        <v>382</v>
      </c>
      <c r="P68" s="1" t="s">
        <v>25</v>
      </c>
      <c r="Q68" s="2" t="str">
        <f t="shared" si="1"/>
        <v>H030375</v>
      </c>
    </row>
    <row r="69">
      <c r="A69" s="1" t="s">
        <v>394</v>
      </c>
      <c r="B69" s="1" t="s">
        <v>395</v>
      </c>
      <c r="C69" s="1" t="s">
        <v>396</v>
      </c>
      <c r="D69" s="1" t="s">
        <v>397</v>
      </c>
      <c r="E69" s="1">
        <v>2186.0</v>
      </c>
      <c r="F69" s="1" t="s">
        <v>398</v>
      </c>
      <c r="G69" s="1" t="s">
        <v>155</v>
      </c>
      <c r="H69" s="1" t="s">
        <v>156</v>
      </c>
      <c r="I69" s="1"/>
      <c r="J69" s="1"/>
      <c r="K69" s="1" t="s">
        <v>23</v>
      </c>
      <c r="L69" s="1" t="s">
        <v>399</v>
      </c>
      <c r="M69" s="1">
        <v>3.0</v>
      </c>
      <c r="N69" s="1">
        <v>1.0</v>
      </c>
      <c r="O69" s="1" t="s">
        <v>398</v>
      </c>
      <c r="P69" s="1" t="s">
        <v>25</v>
      </c>
      <c r="Q69" s="2" t="str">
        <f t="shared" si="1"/>
        <v>H030821</v>
      </c>
    </row>
    <row r="70">
      <c r="A70" s="1" t="s">
        <v>400</v>
      </c>
      <c r="B70" s="1" t="s">
        <v>401</v>
      </c>
      <c r="C70" s="1" t="s">
        <v>402</v>
      </c>
      <c r="D70" s="1" t="s">
        <v>403</v>
      </c>
      <c r="E70" s="1">
        <v>1656.0</v>
      </c>
      <c r="F70" s="1" t="s">
        <v>398</v>
      </c>
      <c r="G70" s="1" t="s">
        <v>155</v>
      </c>
      <c r="H70" s="1" t="s">
        <v>156</v>
      </c>
      <c r="I70" s="1"/>
      <c r="J70" s="1"/>
      <c r="K70" s="1" t="s">
        <v>23</v>
      </c>
      <c r="L70" s="1" t="s">
        <v>404</v>
      </c>
      <c r="M70" s="1">
        <v>3.0</v>
      </c>
      <c r="N70" s="1">
        <v>1.0</v>
      </c>
      <c r="O70" s="1" t="s">
        <v>398</v>
      </c>
      <c r="P70" s="1" t="s">
        <v>25</v>
      </c>
      <c r="Q70" s="2" t="str">
        <f t="shared" si="1"/>
        <v>H030821</v>
      </c>
    </row>
    <row r="71">
      <c r="A71" s="1" t="s">
        <v>405</v>
      </c>
      <c r="B71" s="1" t="s">
        <v>406</v>
      </c>
      <c r="C71" s="1" t="s">
        <v>407</v>
      </c>
      <c r="D71" s="1" t="s">
        <v>408</v>
      </c>
      <c r="E71" s="1">
        <v>3723.0</v>
      </c>
      <c r="F71" s="1" t="s">
        <v>398</v>
      </c>
      <c r="G71" s="1" t="s">
        <v>155</v>
      </c>
      <c r="H71" s="1" t="s">
        <v>156</v>
      </c>
      <c r="I71" s="1"/>
      <c r="J71" s="1"/>
      <c r="K71" s="1" t="s">
        <v>23</v>
      </c>
      <c r="L71" s="1" t="s">
        <v>409</v>
      </c>
      <c r="M71" s="1">
        <v>3.0</v>
      </c>
      <c r="N71" s="1">
        <v>1.0</v>
      </c>
      <c r="O71" s="1" t="s">
        <v>398</v>
      </c>
      <c r="P71" s="1" t="s">
        <v>25</v>
      </c>
      <c r="Q71" s="2" t="str">
        <f t="shared" si="1"/>
        <v>H030821</v>
      </c>
    </row>
    <row r="72">
      <c r="A72" s="1" t="s">
        <v>410</v>
      </c>
      <c r="B72" s="1" t="s">
        <v>411</v>
      </c>
      <c r="C72" s="1" t="s">
        <v>412</v>
      </c>
      <c r="D72" s="1" t="s">
        <v>413</v>
      </c>
      <c r="E72" s="1">
        <v>5338.0</v>
      </c>
      <c r="F72" s="1" t="s">
        <v>398</v>
      </c>
      <c r="G72" s="1" t="s">
        <v>155</v>
      </c>
      <c r="H72" s="1" t="s">
        <v>156</v>
      </c>
      <c r="I72" s="1"/>
      <c r="J72" s="1"/>
      <c r="K72" s="1" t="s">
        <v>23</v>
      </c>
      <c r="L72" s="1" t="s">
        <v>414</v>
      </c>
      <c r="M72" s="1">
        <v>3.0</v>
      </c>
      <c r="N72" s="1">
        <v>1.0</v>
      </c>
      <c r="O72" s="1" t="s">
        <v>398</v>
      </c>
      <c r="P72" s="1" t="s">
        <v>25</v>
      </c>
      <c r="Q72" s="2" t="str">
        <f t="shared" si="1"/>
        <v>H030821</v>
      </c>
    </row>
    <row r="73">
      <c r="A73" s="1" t="s">
        <v>415</v>
      </c>
      <c r="B73" s="1" t="s">
        <v>416</v>
      </c>
      <c r="C73" s="1" t="s">
        <v>417</v>
      </c>
      <c r="D73" s="1" t="s">
        <v>418</v>
      </c>
      <c r="E73" s="1">
        <v>5288.0</v>
      </c>
      <c r="F73" s="1" t="s">
        <v>398</v>
      </c>
      <c r="G73" s="1" t="s">
        <v>232</v>
      </c>
      <c r="H73" s="1" t="s">
        <v>233</v>
      </c>
      <c r="I73" s="1"/>
      <c r="J73" s="1"/>
      <c r="K73" s="1" t="s">
        <v>23</v>
      </c>
      <c r="L73" s="1" t="s">
        <v>419</v>
      </c>
      <c r="M73" s="1">
        <v>3.0</v>
      </c>
      <c r="N73" s="1">
        <v>1.0</v>
      </c>
      <c r="O73" s="1" t="s">
        <v>398</v>
      </c>
      <c r="P73" s="1" t="s">
        <v>25</v>
      </c>
      <c r="Q73" s="2" t="str">
        <f t="shared" si="1"/>
        <v>H030821</v>
      </c>
    </row>
    <row r="74">
      <c r="A74" s="1" t="s">
        <v>420</v>
      </c>
      <c r="B74" s="1" t="s">
        <v>421</v>
      </c>
      <c r="C74" s="1" t="s">
        <v>422</v>
      </c>
      <c r="D74" s="1" t="s">
        <v>423</v>
      </c>
      <c r="E74" s="1">
        <v>4253.0</v>
      </c>
      <c r="F74" s="1" t="s">
        <v>398</v>
      </c>
      <c r="G74" s="1" t="s">
        <v>232</v>
      </c>
      <c r="H74" s="1" t="s">
        <v>233</v>
      </c>
      <c r="I74" s="1"/>
      <c r="J74" s="1"/>
      <c r="K74" s="1" t="s">
        <v>23</v>
      </c>
      <c r="L74" s="1" t="s">
        <v>424</v>
      </c>
      <c r="M74" s="1">
        <v>3.0</v>
      </c>
      <c r="N74" s="1">
        <v>1.0</v>
      </c>
      <c r="O74" s="1" t="s">
        <v>398</v>
      </c>
      <c r="P74" s="1" t="s">
        <v>25</v>
      </c>
      <c r="Q74" s="2" t="str">
        <f t="shared" si="1"/>
        <v>H030821</v>
      </c>
    </row>
    <row r="75">
      <c r="A75" s="1" t="s">
        <v>425</v>
      </c>
      <c r="B75" s="1" t="s">
        <v>426</v>
      </c>
      <c r="C75" s="1" t="s">
        <v>427</v>
      </c>
      <c r="D75" s="1" t="s">
        <v>428</v>
      </c>
      <c r="E75" s="1">
        <v>4008.0</v>
      </c>
      <c r="F75" s="1" t="s">
        <v>398</v>
      </c>
      <c r="G75" s="1" t="s">
        <v>232</v>
      </c>
      <c r="H75" s="1" t="s">
        <v>233</v>
      </c>
      <c r="I75" s="1"/>
      <c r="J75" s="1"/>
      <c r="K75" s="1" t="s">
        <v>23</v>
      </c>
      <c r="L75" s="1" t="s">
        <v>429</v>
      </c>
      <c r="M75" s="1">
        <v>3.0</v>
      </c>
      <c r="N75" s="1">
        <v>1.0</v>
      </c>
      <c r="O75" s="1" t="s">
        <v>398</v>
      </c>
      <c r="P75" s="1" t="s">
        <v>25</v>
      </c>
      <c r="Q75" s="2" t="str">
        <f t="shared" si="1"/>
        <v>H030821</v>
      </c>
    </row>
    <row r="76">
      <c r="A76" s="1" t="s">
        <v>430</v>
      </c>
      <c r="B76" s="1" t="s">
        <v>431</v>
      </c>
      <c r="C76" s="1" t="s">
        <v>432</v>
      </c>
      <c r="D76" s="1" t="s">
        <v>433</v>
      </c>
      <c r="E76" s="1">
        <v>4150.0</v>
      </c>
      <c r="F76" s="1" t="s">
        <v>315</v>
      </c>
      <c r="G76" s="1">
        <v>455939.0</v>
      </c>
      <c r="H76" s="1" t="s">
        <v>69</v>
      </c>
      <c r="I76" s="1"/>
      <c r="J76" s="1"/>
      <c r="K76" s="1" t="s">
        <v>23</v>
      </c>
      <c r="L76" s="1" t="s">
        <v>434</v>
      </c>
      <c r="M76" s="1">
        <v>2.0</v>
      </c>
      <c r="N76" s="1">
        <v>1.0</v>
      </c>
      <c r="O76" s="1" t="s">
        <v>315</v>
      </c>
      <c r="P76" s="1" t="s">
        <v>25</v>
      </c>
      <c r="Q76" s="2" t="str">
        <f t="shared" si="1"/>
        <v>H019575</v>
      </c>
    </row>
    <row r="77">
      <c r="A77" s="1" t="s">
        <v>435</v>
      </c>
      <c r="B77" s="1" t="s">
        <v>436</v>
      </c>
      <c r="C77" s="1" t="s">
        <v>437</v>
      </c>
      <c r="D77" s="1" t="s">
        <v>438</v>
      </c>
      <c r="E77" s="1">
        <v>2177.0</v>
      </c>
      <c r="F77" s="1" t="s">
        <v>315</v>
      </c>
      <c r="G77" s="1">
        <v>455939.0</v>
      </c>
      <c r="H77" s="1" t="s">
        <v>69</v>
      </c>
      <c r="I77" s="1"/>
      <c r="J77" s="1"/>
      <c r="K77" s="1" t="s">
        <v>23</v>
      </c>
      <c r="L77" s="1" t="s">
        <v>439</v>
      </c>
      <c r="M77" s="1">
        <v>2.0</v>
      </c>
      <c r="N77" s="1">
        <v>1.0</v>
      </c>
      <c r="O77" s="1" t="s">
        <v>315</v>
      </c>
      <c r="P77" s="1" t="s">
        <v>25</v>
      </c>
      <c r="Q77" s="2" t="str">
        <f t="shared" si="1"/>
        <v>H019575</v>
      </c>
    </row>
    <row r="78">
      <c r="A78" s="1" t="s">
        <v>440</v>
      </c>
      <c r="B78" s="1" t="s">
        <v>441</v>
      </c>
      <c r="C78" s="1" t="s">
        <v>442</v>
      </c>
      <c r="D78" s="1" t="s">
        <v>443</v>
      </c>
      <c r="E78" s="1">
        <v>3564.0</v>
      </c>
      <c r="F78" s="1" t="s">
        <v>315</v>
      </c>
      <c r="G78" s="1">
        <v>455939.0</v>
      </c>
      <c r="H78" s="1" t="s">
        <v>69</v>
      </c>
      <c r="I78" s="1"/>
      <c r="J78" s="1"/>
      <c r="K78" s="1" t="s">
        <v>23</v>
      </c>
      <c r="L78" s="1" t="s">
        <v>444</v>
      </c>
      <c r="M78" s="1">
        <v>2.0</v>
      </c>
      <c r="N78" s="1">
        <v>1.0</v>
      </c>
      <c r="O78" s="1" t="s">
        <v>315</v>
      </c>
      <c r="P78" s="1" t="s">
        <v>25</v>
      </c>
      <c r="Q78" s="2" t="str">
        <f t="shared" si="1"/>
        <v>H019575</v>
      </c>
    </row>
    <row r="79">
      <c r="A79" s="1" t="s">
        <v>445</v>
      </c>
      <c r="B79" s="1" t="s">
        <v>446</v>
      </c>
      <c r="C79" s="1" t="s">
        <v>447</v>
      </c>
      <c r="D79" s="1" t="s">
        <v>448</v>
      </c>
      <c r="E79" s="1">
        <v>1648.0</v>
      </c>
      <c r="F79" s="1" t="s">
        <v>315</v>
      </c>
      <c r="G79" s="1">
        <v>455939.0</v>
      </c>
      <c r="H79" s="1" t="s">
        <v>69</v>
      </c>
      <c r="I79" s="1"/>
      <c r="J79" s="1"/>
      <c r="K79" s="1" t="s">
        <v>23</v>
      </c>
      <c r="L79" s="1" t="s">
        <v>449</v>
      </c>
      <c r="M79" s="1">
        <v>2.0</v>
      </c>
      <c r="N79" s="1">
        <v>1.0</v>
      </c>
      <c r="O79" s="1" t="s">
        <v>315</v>
      </c>
      <c r="P79" s="1" t="s">
        <v>25</v>
      </c>
      <c r="Q79" s="2" t="str">
        <f t="shared" si="1"/>
        <v>H019575</v>
      </c>
    </row>
    <row r="80">
      <c r="A80" s="1" t="s">
        <v>450</v>
      </c>
      <c r="B80" s="1" t="s">
        <v>451</v>
      </c>
      <c r="C80" s="1" t="s">
        <v>452</v>
      </c>
      <c r="D80" s="1" t="s">
        <v>453</v>
      </c>
      <c r="E80" s="1">
        <v>2746.0</v>
      </c>
      <c r="F80" s="1" t="s">
        <v>351</v>
      </c>
      <c r="G80" s="1" t="s">
        <v>57</v>
      </c>
      <c r="H80" s="1" t="s">
        <v>58</v>
      </c>
      <c r="I80" s="1"/>
      <c r="J80" s="1"/>
      <c r="K80" s="1" t="s">
        <v>23</v>
      </c>
      <c r="L80" s="1" t="s">
        <v>454</v>
      </c>
      <c r="M80" s="1">
        <v>3.0</v>
      </c>
      <c r="N80" s="1">
        <v>1.0</v>
      </c>
      <c r="O80" s="1" t="s">
        <v>351</v>
      </c>
      <c r="P80" s="1" t="s">
        <v>25</v>
      </c>
      <c r="Q80" s="2" t="str">
        <f t="shared" si="1"/>
        <v>H030255</v>
      </c>
    </row>
    <row r="81">
      <c r="A81" s="1" t="s">
        <v>455</v>
      </c>
      <c r="B81" s="1" t="s">
        <v>456</v>
      </c>
      <c r="C81" s="1" t="s">
        <v>457</v>
      </c>
      <c r="D81" s="1" t="s">
        <v>458</v>
      </c>
      <c r="E81" s="1">
        <v>3632.0</v>
      </c>
      <c r="F81" s="1" t="s">
        <v>351</v>
      </c>
      <c r="G81" s="1" t="s">
        <v>57</v>
      </c>
      <c r="H81" s="1" t="s">
        <v>58</v>
      </c>
      <c r="I81" s="1"/>
      <c r="J81" s="1"/>
      <c r="K81" s="1" t="s">
        <v>23</v>
      </c>
      <c r="L81" s="1" t="s">
        <v>459</v>
      </c>
      <c r="M81" s="1">
        <v>3.0</v>
      </c>
      <c r="N81" s="1">
        <v>1.0</v>
      </c>
      <c r="O81" s="1" t="s">
        <v>351</v>
      </c>
      <c r="P81" s="1" t="s">
        <v>25</v>
      </c>
      <c r="Q81" s="2" t="str">
        <f t="shared" si="1"/>
        <v>H030255</v>
      </c>
    </row>
    <row r="82">
      <c r="A82" s="1" t="s">
        <v>460</v>
      </c>
      <c r="B82" s="1" t="s">
        <v>461</v>
      </c>
      <c r="C82" s="1" t="s">
        <v>462</v>
      </c>
      <c r="D82" s="1" t="s">
        <v>463</v>
      </c>
      <c r="E82" s="1">
        <v>6102.0</v>
      </c>
      <c r="F82" s="1" t="s">
        <v>351</v>
      </c>
      <c r="G82" s="1" t="s">
        <v>57</v>
      </c>
      <c r="H82" s="1" t="s">
        <v>58</v>
      </c>
      <c r="I82" s="1"/>
      <c r="J82" s="1"/>
      <c r="K82" s="1" t="s">
        <v>23</v>
      </c>
      <c r="L82" s="1" t="s">
        <v>464</v>
      </c>
      <c r="M82" s="1">
        <v>3.0</v>
      </c>
      <c r="N82" s="1">
        <v>1.0</v>
      </c>
      <c r="O82" s="1" t="s">
        <v>351</v>
      </c>
      <c r="P82" s="1" t="s">
        <v>25</v>
      </c>
      <c r="Q82" s="2" t="str">
        <f t="shared" si="1"/>
        <v>H030255</v>
      </c>
    </row>
    <row r="83">
      <c r="A83" s="1" t="s">
        <v>465</v>
      </c>
      <c r="B83" s="1" t="s">
        <v>466</v>
      </c>
      <c r="C83" s="1" t="s">
        <v>467</v>
      </c>
      <c r="D83" s="1" t="s">
        <v>468</v>
      </c>
      <c r="E83" s="1">
        <v>5885.0</v>
      </c>
      <c r="F83" s="1" t="s">
        <v>351</v>
      </c>
      <c r="G83" s="1" t="s">
        <v>57</v>
      </c>
      <c r="H83" s="1" t="s">
        <v>58</v>
      </c>
      <c r="I83" s="1"/>
      <c r="J83" s="1"/>
      <c r="K83" s="1" t="s">
        <v>23</v>
      </c>
      <c r="L83" s="1" t="s">
        <v>469</v>
      </c>
      <c r="M83" s="1">
        <v>3.0</v>
      </c>
      <c r="N83" s="1">
        <v>1.0</v>
      </c>
      <c r="O83" s="1" t="s">
        <v>351</v>
      </c>
      <c r="P83" s="1" t="s">
        <v>25</v>
      </c>
      <c r="Q83" s="2" t="str">
        <f t="shared" si="1"/>
        <v>H030255</v>
      </c>
    </row>
    <row r="84">
      <c r="A84" s="1" t="s">
        <v>470</v>
      </c>
      <c r="B84" s="1" t="s">
        <v>471</v>
      </c>
      <c r="C84" s="1" t="s">
        <v>472</v>
      </c>
      <c r="D84" s="1" t="s">
        <v>473</v>
      </c>
      <c r="E84" s="1">
        <v>3478.0</v>
      </c>
      <c r="F84" s="1" t="s">
        <v>382</v>
      </c>
      <c r="G84" s="1" t="s">
        <v>474</v>
      </c>
      <c r="H84" s="1" t="s">
        <v>475</v>
      </c>
      <c r="I84" s="1"/>
      <c r="J84" s="1"/>
      <c r="K84" s="1" t="s">
        <v>23</v>
      </c>
      <c r="L84" s="1" t="s">
        <v>476</v>
      </c>
      <c r="M84" s="1">
        <v>1.0</v>
      </c>
      <c r="N84" s="1">
        <v>1.0</v>
      </c>
      <c r="O84" s="1" t="s">
        <v>382</v>
      </c>
      <c r="P84" s="1" t="s">
        <v>25</v>
      </c>
      <c r="Q84" s="2" t="str">
        <f t="shared" si="1"/>
        <v>H030375</v>
      </c>
    </row>
    <row r="85">
      <c r="A85" s="1" t="s">
        <v>477</v>
      </c>
      <c r="B85" s="1" t="s">
        <v>478</v>
      </c>
      <c r="C85" s="1" t="s">
        <v>479</v>
      </c>
      <c r="D85" s="1" t="s">
        <v>480</v>
      </c>
      <c r="E85" s="1">
        <v>3096.0</v>
      </c>
      <c r="F85" s="1" t="s">
        <v>382</v>
      </c>
      <c r="G85" s="1" t="s">
        <v>474</v>
      </c>
      <c r="H85" s="1" t="s">
        <v>475</v>
      </c>
      <c r="I85" s="1"/>
      <c r="J85" s="1"/>
      <c r="K85" s="1" t="s">
        <v>23</v>
      </c>
      <c r="L85" s="1" t="s">
        <v>481</v>
      </c>
      <c r="M85" s="1">
        <v>1.0</v>
      </c>
      <c r="N85" s="1">
        <v>1.0</v>
      </c>
      <c r="O85" s="1" t="s">
        <v>382</v>
      </c>
      <c r="P85" s="1" t="s">
        <v>25</v>
      </c>
      <c r="Q85" s="2" t="str">
        <f t="shared" si="1"/>
        <v>H030375</v>
      </c>
    </row>
    <row r="86">
      <c r="A86" s="1" t="s">
        <v>482</v>
      </c>
      <c r="B86" s="1" t="s">
        <v>483</v>
      </c>
      <c r="C86" s="1" t="s">
        <v>484</v>
      </c>
      <c r="D86" s="1" t="s">
        <v>485</v>
      </c>
      <c r="E86" s="1">
        <v>4614.0</v>
      </c>
      <c r="F86" s="1" t="s">
        <v>382</v>
      </c>
      <c r="G86" s="1" t="s">
        <v>474</v>
      </c>
      <c r="H86" s="1" t="s">
        <v>475</v>
      </c>
      <c r="I86" s="1" t="s">
        <v>486</v>
      </c>
      <c r="J86" s="1"/>
      <c r="K86" s="1" t="s">
        <v>23</v>
      </c>
      <c r="L86" s="1" t="s">
        <v>487</v>
      </c>
      <c r="M86" s="1">
        <v>1.0</v>
      </c>
      <c r="N86" s="1">
        <v>1.0</v>
      </c>
      <c r="O86" s="1" t="s">
        <v>382</v>
      </c>
      <c r="P86" s="1" t="s">
        <v>488</v>
      </c>
      <c r="Q86" s="2" t="str">
        <f t="shared" si="1"/>
        <v>H030375</v>
      </c>
    </row>
    <row r="87">
      <c r="A87" s="1" t="s">
        <v>489</v>
      </c>
      <c r="B87" s="1" t="s">
        <v>490</v>
      </c>
      <c r="C87" s="1" t="s">
        <v>491</v>
      </c>
      <c r="D87" s="1" t="s">
        <v>492</v>
      </c>
      <c r="E87" s="1">
        <v>5499.0</v>
      </c>
      <c r="F87" s="1" t="s">
        <v>382</v>
      </c>
      <c r="G87" s="1" t="s">
        <v>474</v>
      </c>
      <c r="H87" s="1" t="s">
        <v>475</v>
      </c>
      <c r="I87" s="1"/>
      <c r="J87" s="1"/>
      <c r="K87" s="1" t="s">
        <v>23</v>
      </c>
      <c r="L87" s="1" t="s">
        <v>493</v>
      </c>
      <c r="M87" s="1">
        <v>1.0</v>
      </c>
      <c r="N87" s="1">
        <v>1.0</v>
      </c>
      <c r="O87" s="1" t="s">
        <v>382</v>
      </c>
      <c r="P87" s="1" t="s">
        <v>25</v>
      </c>
      <c r="Q87" s="2" t="str">
        <f t="shared" si="1"/>
        <v>H030375</v>
      </c>
    </row>
    <row r="88">
      <c r="A88" s="1" t="s">
        <v>494</v>
      </c>
      <c r="B88" s="1" t="s">
        <v>495</v>
      </c>
      <c r="C88" s="1" t="s">
        <v>496</v>
      </c>
      <c r="D88" s="1" t="s">
        <v>497</v>
      </c>
      <c r="E88" s="1">
        <v>4618.0</v>
      </c>
      <c r="F88" s="1" t="s">
        <v>498</v>
      </c>
      <c r="G88" s="1" t="s">
        <v>167</v>
      </c>
      <c r="H88" s="1" t="s">
        <v>168</v>
      </c>
      <c r="I88" s="1"/>
      <c r="J88" s="1"/>
      <c r="K88" s="1" t="s">
        <v>23</v>
      </c>
      <c r="L88" s="1" t="s">
        <v>499</v>
      </c>
      <c r="M88" s="1">
        <v>0.0</v>
      </c>
      <c r="N88" s="1">
        <v>1.0</v>
      </c>
      <c r="O88" s="1" t="s">
        <v>498</v>
      </c>
      <c r="P88" s="1" t="s">
        <v>25</v>
      </c>
      <c r="Q88" s="2" t="str">
        <f t="shared" si="1"/>
        <v>H030129</v>
      </c>
    </row>
    <row r="89">
      <c r="A89" s="1" t="s">
        <v>500</v>
      </c>
      <c r="B89" s="1" t="s">
        <v>501</v>
      </c>
      <c r="C89" s="1" t="s">
        <v>502</v>
      </c>
      <c r="D89" s="1" t="s">
        <v>503</v>
      </c>
      <c r="E89" s="1">
        <v>11654.0</v>
      </c>
      <c r="F89" s="1" t="s">
        <v>498</v>
      </c>
      <c r="G89" s="1" t="s">
        <v>167</v>
      </c>
      <c r="H89" s="1" t="s">
        <v>168</v>
      </c>
      <c r="I89" s="1"/>
      <c r="J89" s="1"/>
      <c r="K89" s="1" t="s">
        <v>23</v>
      </c>
      <c r="L89" s="1" t="s">
        <v>504</v>
      </c>
      <c r="M89" s="1">
        <v>0.0</v>
      </c>
      <c r="N89" s="1">
        <v>1.0</v>
      </c>
      <c r="O89" s="1" t="s">
        <v>498</v>
      </c>
      <c r="P89" s="1" t="s">
        <v>25</v>
      </c>
      <c r="Q89" s="2" t="str">
        <f t="shared" si="1"/>
        <v>H030129</v>
      </c>
    </row>
    <row r="90">
      <c r="A90" s="1" t="s">
        <v>505</v>
      </c>
      <c r="B90" s="1" t="s">
        <v>506</v>
      </c>
      <c r="C90" s="1" t="s">
        <v>507</v>
      </c>
      <c r="D90" s="1" t="s">
        <v>508</v>
      </c>
      <c r="E90" s="1">
        <v>5516.0</v>
      </c>
      <c r="F90" s="1" t="s">
        <v>498</v>
      </c>
      <c r="G90" s="1">
        <v>896791.0</v>
      </c>
      <c r="H90" s="1" t="s">
        <v>244</v>
      </c>
      <c r="I90" s="1"/>
      <c r="J90" s="1"/>
      <c r="K90" s="1" t="s">
        <v>23</v>
      </c>
      <c r="L90" s="1" t="s">
        <v>509</v>
      </c>
      <c r="M90" s="1">
        <v>0.0</v>
      </c>
      <c r="N90" s="1">
        <v>1.0</v>
      </c>
      <c r="O90" s="1" t="s">
        <v>498</v>
      </c>
      <c r="P90" s="1" t="s">
        <v>25</v>
      </c>
      <c r="Q90" s="2" t="str">
        <f t="shared" si="1"/>
        <v>H030129</v>
      </c>
    </row>
    <row r="91">
      <c r="A91" s="1" t="s">
        <v>510</v>
      </c>
      <c r="B91" s="1" t="s">
        <v>511</v>
      </c>
      <c r="C91" s="1" t="s">
        <v>512</v>
      </c>
      <c r="D91" s="1" t="s">
        <v>513</v>
      </c>
      <c r="E91" s="1">
        <v>7494.0</v>
      </c>
      <c r="F91" s="1" t="s">
        <v>498</v>
      </c>
      <c r="G91" s="1">
        <v>896791.0</v>
      </c>
      <c r="H91" s="1" t="s">
        <v>244</v>
      </c>
      <c r="I91" s="1"/>
      <c r="J91" s="1"/>
      <c r="K91" s="1" t="s">
        <v>23</v>
      </c>
      <c r="L91" s="1" t="s">
        <v>514</v>
      </c>
      <c r="M91" s="1">
        <v>0.0</v>
      </c>
      <c r="N91" s="1">
        <v>1.0</v>
      </c>
      <c r="O91" s="1" t="s">
        <v>498</v>
      </c>
      <c r="P91" s="1" t="s">
        <v>25</v>
      </c>
      <c r="Q91" s="2" t="str">
        <f t="shared" si="1"/>
        <v>H030129</v>
      </c>
    </row>
    <row r="92">
      <c r="A92" s="1" t="s">
        <v>515</v>
      </c>
      <c r="B92" s="1" t="s">
        <v>516</v>
      </c>
      <c r="C92" s="1" t="s">
        <v>517</v>
      </c>
      <c r="D92" s="1" t="s">
        <v>518</v>
      </c>
      <c r="E92" s="1">
        <v>8571.0</v>
      </c>
      <c r="F92" s="1" t="s">
        <v>498</v>
      </c>
      <c r="G92" s="1">
        <v>896791.0</v>
      </c>
      <c r="H92" s="1" t="s">
        <v>244</v>
      </c>
      <c r="I92" s="1"/>
      <c r="J92" s="1"/>
      <c r="K92" s="1" t="s">
        <v>23</v>
      </c>
      <c r="L92" s="1" t="s">
        <v>519</v>
      </c>
      <c r="M92" s="1">
        <v>0.0</v>
      </c>
      <c r="N92" s="1">
        <v>1.0</v>
      </c>
      <c r="O92" s="1" t="s">
        <v>498</v>
      </c>
      <c r="P92" s="1" t="s">
        <v>25</v>
      </c>
      <c r="Q92" s="2" t="str">
        <f t="shared" si="1"/>
        <v>H030129</v>
      </c>
    </row>
    <row r="93">
      <c r="A93" s="1" t="s">
        <v>520</v>
      </c>
      <c r="B93" s="1" t="s">
        <v>521</v>
      </c>
      <c r="C93" s="1" t="s">
        <v>522</v>
      </c>
      <c r="D93" s="1" t="s">
        <v>523</v>
      </c>
      <c r="E93" s="1">
        <v>3570.0</v>
      </c>
      <c r="F93" s="1" t="s">
        <v>498</v>
      </c>
      <c r="G93" s="1" t="s">
        <v>220</v>
      </c>
      <c r="H93" s="1" t="s">
        <v>221</v>
      </c>
      <c r="I93" s="1"/>
      <c r="J93" s="1"/>
      <c r="K93" s="1" t="s">
        <v>23</v>
      </c>
      <c r="L93" s="1" t="s">
        <v>524</v>
      </c>
      <c r="M93" s="1">
        <v>0.0</v>
      </c>
      <c r="N93" s="1">
        <v>1.0</v>
      </c>
      <c r="O93" s="1" t="s">
        <v>498</v>
      </c>
      <c r="P93" s="1" t="s">
        <v>25</v>
      </c>
      <c r="Q93" s="2" t="str">
        <f t="shared" si="1"/>
        <v>H030129</v>
      </c>
    </row>
    <row r="94">
      <c r="A94" s="1" t="s">
        <v>525</v>
      </c>
      <c r="B94" s="1" t="s">
        <v>526</v>
      </c>
      <c r="C94" s="1" t="s">
        <v>527</v>
      </c>
      <c r="D94" s="1" t="s">
        <v>528</v>
      </c>
      <c r="E94" s="1">
        <v>6775.0</v>
      </c>
      <c r="F94" s="1" t="s">
        <v>498</v>
      </c>
      <c r="G94" s="1" t="s">
        <v>220</v>
      </c>
      <c r="H94" s="1" t="s">
        <v>221</v>
      </c>
      <c r="I94" s="1"/>
      <c r="J94" s="1"/>
      <c r="K94" s="1" t="s">
        <v>23</v>
      </c>
      <c r="L94" s="1" t="s">
        <v>529</v>
      </c>
      <c r="M94" s="1">
        <v>0.0</v>
      </c>
      <c r="N94" s="1">
        <v>1.0</v>
      </c>
      <c r="O94" s="1" t="s">
        <v>498</v>
      </c>
      <c r="P94" s="1" t="s">
        <v>25</v>
      </c>
      <c r="Q94" s="2" t="str">
        <f t="shared" si="1"/>
        <v>H030129</v>
      </c>
    </row>
    <row r="95">
      <c r="A95" s="1" t="s">
        <v>530</v>
      </c>
      <c r="B95" s="1" t="s">
        <v>531</v>
      </c>
      <c r="C95" s="1" t="s">
        <v>532</v>
      </c>
      <c r="D95" s="1" t="s">
        <v>533</v>
      </c>
      <c r="E95" s="1">
        <v>4683.0</v>
      </c>
      <c r="F95" s="1" t="s">
        <v>498</v>
      </c>
      <c r="G95" s="1" t="s">
        <v>220</v>
      </c>
      <c r="H95" s="1" t="s">
        <v>221</v>
      </c>
      <c r="I95" s="1"/>
      <c r="J95" s="1"/>
      <c r="K95" s="1" t="s">
        <v>23</v>
      </c>
      <c r="L95" s="1" t="s">
        <v>534</v>
      </c>
      <c r="M95" s="1">
        <v>0.0</v>
      </c>
      <c r="N95" s="1">
        <v>1.0</v>
      </c>
      <c r="O95" s="1" t="s">
        <v>498</v>
      </c>
      <c r="P95" s="1" t="s">
        <v>25</v>
      </c>
      <c r="Q95" s="2" t="str">
        <f t="shared" si="1"/>
        <v>H030129</v>
      </c>
    </row>
    <row r="96">
      <c r="A96" s="1" t="s">
        <v>535</v>
      </c>
      <c r="B96" s="1" t="s">
        <v>536</v>
      </c>
      <c r="C96" s="1" t="s">
        <v>537</v>
      </c>
      <c r="D96" s="1" t="s">
        <v>538</v>
      </c>
      <c r="E96" s="1">
        <v>4151.0</v>
      </c>
      <c r="F96" s="1" t="s">
        <v>382</v>
      </c>
      <c r="G96" s="1" t="s">
        <v>119</v>
      </c>
      <c r="H96" s="1" t="s">
        <v>120</v>
      </c>
      <c r="I96" s="1"/>
      <c r="J96" s="1"/>
      <c r="K96" s="1" t="s">
        <v>23</v>
      </c>
      <c r="L96" s="1" t="s">
        <v>539</v>
      </c>
      <c r="M96" s="1">
        <v>1.0</v>
      </c>
      <c r="N96" s="1">
        <v>1.0</v>
      </c>
      <c r="O96" s="1" t="s">
        <v>382</v>
      </c>
      <c r="P96" s="1" t="s">
        <v>25</v>
      </c>
      <c r="Q96" s="2" t="str">
        <f t="shared" si="1"/>
        <v>H030375</v>
      </c>
    </row>
    <row r="97">
      <c r="A97" s="1" t="s">
        <v>540</v>
      </c>
      <c r="B97" s="1" t="s">
        <v>541</v>
      </c>
      <c r="C97" s="1" t="s">
        <v>542</v>
      </c>
      <c r="D97" s="1" t="s">
        <v>543</v>
      </c>
      <c r="E97" s="1">
        <v>2423.0</v>
      </c>
      <c r="F97" s="1" t="s">
        <v>382</v>
      </c>
      <c r="G97" s="1" t="s">
        <v>119</v>
      </c>
      <c r="H97" s="1" t="s">
        <v>120</v>
      </c>
      <c r="I97" s="1"/>
      <c r="J97" s="1"/>
      <c r="K97" s="1" t="s">
        <v>23</v>
      </c>
      <c r="L97" s="1" t="s">
        <v>544</v>
      </c>
      <c r="M97" s="1">
        <v>1.0</v>
      </c>
      <c r="N97" s="1">
        <v>1.0</v>
      </c>
      <c r="O97" s="1" t="s">
        <v>382</v>
      </c>
      <c r="P97" s="1" t="s">
        <v>25</v>
      </c>
      <c r="Q97" s="2" t="str">
        <f t="shared" si="1"/>
        <v>H030375</v>
      </c>
    </row>
    <row r="98">
      <c r="A98" s="1" t="s">
        <v>545</v>
      </c>
      <c r="B98" s="1" t="s">
        <v>546</v>
      </c>
      <c r="C98" s="1" t="s">
        <v>547</v>
      </c>
      <c r="D98" s="1" t="s">
        <v>548</v>
      </c>
      <c r="E98" s="1">
        <v>4059.0</v>
      </c>
      <c r="F98" s="1" t="s">
        <v>382</v>
      </c>
      <c r="G98" s="1" t="s">
        <v>119</v>
      </c>
      <c r="H98" s="1" t="s">
        <v>120</v>
      </c>
      <c r="I98" s="1"/>
      <c r="J98" s="1"/>
      <c r="K98" s="1" t="s">
        <v>23</v>
      </c>
      <c r="L98" s="1" t="s">
        <v>549</v>
      </c>
      <c r="M98" s="1">
        <v>1.0</v>
      </c>
      <c r="N98" s="1">
        <v>1.0</v>
      </c>
      <c r="O98" s="1" t="s">
        <v>382</v>
      </c>
      <c r="P98" s="1" t="s">
        <v>25</v>
      </c>
      <c r="Q98" s="2" t="str">
        <f t="shared" si="1"/>
        <v>H030375</v>
      </c>
    </row>
    <row r="99">
      <c r="A99" s="1" t="s">
        <v>550</v>
      </c>
      <c r="B99" s="1" t="s">
        <v>551</v>
      </c>
      <c r="C99" s="1" t="s">
        <v>552</v>
      </c>
      <c r="D99" s="1" t="s">
        <v>553</v>
      </c>
      <c r="E99" s="1">
        <v>3007.0</v>
      </c>
      <c r="F99" s="1" t="s">
        <v>382</v>
      </c>
      <c r="G99" s="1" t="s">
        <v>119</v>
      </c>
      <c r="H99" s="1" t="s">
        <v>120</v>
      </c>
      <c r="I99" s="1"/>
      <c r="J99" s="1"/>
      <c r="K99" s="1" t="s">
        <v>23</v>
      </c>
      <c r="L99" s="1" t="s">
        <v>554</v>
      </c>
      <c r="M99" s="1">
        <v>1.0</v>
      </c>
      <c r="N99" s="1">
        <v>1.0</v>
      </c>
      <c r="O99" s="1" t="s">
        <v>382</v>
      </c>
      <c r="P99" s="1" t="s">
        <v>25</v>
      </c>
      <c r="Q99" s="2" t="str">
        <f t="shared" si="1"/>
        <v>H030375</v>
      </c>
    </row>
    <row r="100">
      <c r="A100" s="1" t="s">
        <v>555</v>
      </c>
      <c r="B100" s="1" t="s">
        <v>556</v>
      </c>
      <c r="C100" s="1" t="s">
        <v>557</v>
      </c>
      <c r="D100" s="1" t="s">
        <v>558</v>
      </c>
      <c r="E100" s="1">
        <v>4183.0</v>
      </c>
      <c r="F100" s="1" t="s">
        <v>398</v>
      </c>
      <c r="G100" s="1" t="s">
        <v>179</v>
      </c>
      <c r="H100" s="1" t="s">
        <v>180</v>
      </c>
      <c r="I100" s="1"/>
      <c r="J100" s="1"/>
      <c r="K100" s="1" t="s">
        <v>23</v>
      </c>
      <c r="L100" s="1" t="s">
        <v>559</v>
      </c>
      <c r="M100" s="1">
        <v>3.0</v>
      </c>
      <c r="N100" s="1">
        <v>1.0</v>
      </c>
      <c r="O100" s="1" t="s">
        <v>398</v>
      </c>
      <c r="P100" s="1" t="s">
        <v>25</v>
      </c>
      <c r="Q100" s="2" t="str">
        <f t="shared" si="1"/>
        <v>H030821</v>
      </c>
    </row>
    <row r="101">
      <c r="A101" s="1" t="s">
        <v>560</v>
      </c>
      <c r="B101" s="1" t="s">
        <v>561</v>
      </c>
      <c r="C101" s="1" t="s">
        <v>562</v>
      </c>
      <c r="D101" s="1" t="s">
        <v>563</v>
      </c>
      <c r="E101" s="1">
        <v>8373.0</v>
      </c>
      <c r="F101" s="1" t="s">
        <v>398</v>
      </c>
      <c r="G101" s="1" t="s">
        <v>179</v>
      </c>
      <c r="H101" s="1" t="s">
        <v>180</v>
      </c>
      <c r="I101" s="1"/>
      <c r="J101" s="1"/>
      <c r="K101" s="1" t="s">
        <v>23</v>
      </c>
      <c r="L101" s="1" t="s">
        <v>564</v>
      </c>
      <c r="M101" s="1">
        <v>3.0</v>
      </c>
      <c r="N101" s="1">
        <v>1.0</v>
      </c>
      <c r="O101" s="1" t="s">
        <v>398</v>
      </c>
      <c r="P101" s="1" t="s">
        <v>25</v>
      </c>
      <c r="Q101" s="2" t="str">
        <f t="shared" si="1"/>
        <v>H030821</v>
      </c>
    </row>
    <row r="102">
      <c r="A102" s="1" t="s">
        <v>565</v>
      </c>
      <c r="B102" s="1" t="s">
        <v>566</v>
      </c>
      <c r="C102" s="1" t="s">
        <v>567</v>
      </c>
      <c r="D102" s="1" t="s">
        <v>568</v>
      </c>
      <c r="E102" s="1">
        <v>4064.0</v>
      </c>
      <c r="F102" s="1" t="s">
        <v>382</v>
      </c>
      <c r="G102" s="1" t="s">
        <v>107</v>
      </c>
      <c r="H102" s="1" t="s">
        <v>108</v>
      </c>
      <c r="I102" s="1"/>
      <c r="J102" s="1"/>
      <c r="K102" s="1" t="s">
        <v>23</v>
      </c>
      <c r="L102" s="1" t="s">
        <v>569</v>
      </c>
      <c r="M102" s="1">
        <v>1.0</v>
      </c>
      <c r="N102" s="1">
        <v>1.0</v>
      </c>
      <c r="O102" s="1" t="s">
        <v>382</v>
      </c>
      <c r="P102" s="1" t="s">
        <v>25</v>
      </c>
      <c r="Q102" s="2" t="str">
        <f t="shared" si="1"/>
        <v>H030375</v>
      </c>
    </row>
    <row r="103">
      <c r="A103" s="1" t="s">
        <v>570</v>
      </c>
      <c r="B103" s="1" t="s">
        <v>571</v>
      </c>
      <c r="C103" s="1" t="s">
        <v>572</v>
      </c>
      <c r="D103" s="1" t="s">
        <v>573</v>
      </c>
      <c r="E103" s="1">
        <v>4051.0</v>
      </c>
      <c r="F103" s="1" t="s">
        <v>382</v>
      </c>
      <c r="G103" s="1" t="s">
        <v>107</v>
      </c>
      <c r="H103" s="1" t="s">
        <v>108</v>
      </c>
      <c r="I103" s="1"/>
      <c r="J103" s="1"/>
      <c r="K103" s="1" t="s">
        <v>23</v>
      </c>
      <c r="L103" s="1" t="s">
        <v>574</v>
      </c>
      <c r="M103" s="1">
        <v>1.0</v>
      </c>
      <c r="N103" s="1">
        <v>1.0</v>
      </c>
      <c r="O103" s="1" t="s">
        <v>382</v>
      </c>
      <c r="P103" s="1" t="s">
        <v>25</v>
      </c>
      <c r="Q103" s="2" t="str">
        <f t="shared" si="1"/>
        <v>H030375</v>
      </c>
    </row>
    <row r="104">
      <c r="A104" s="1" t="s">
        <v>575</v>
      </c>
      <c r="B104" s="1" t="s">
        <v>576</v>
      </c>
      <c r="C104" s="1" t="s">
        <v>577</v>
      </c>
      <c r="D104" s="1" t="s">
        <v>578</v>
      </c>
      <c r="E104" s="1">
        <v>4761.0</v>
      </c>
      <c r="F104" s="1" t="s">
        <v>382</v>
      </c>
      <c r="G104" s="1" t="s">
        <v>107</v>
      </c>
      <c r="H104" s="1" t="s">
        <v>108</v>
      </c>
      <c r="I104" s="1"/>
      <c r="J104" s="1"/>
      <c r="K104" s="1" t="s">
        <v>23</v>
      </c>
      <c r="L104" s="1" t="s">
        <v>579</v>
      </c>
      <c r="M104" s="1">
        <v>1.0</v>
      </c>
      <c r="N104" s="1">
        <v>1.0</v>
      </c>
      <c r="O104" s="1" t="s">
        <v>382</v>
      </c>
      <c r="P104" s="1" t="s">
        <v>25</v>
      </c>
      <c r="Q104" s="2" t="str">
        <f t="shared" si="1"/>
        <v>H030375</v>
      </c>
    </row>
    <row r="105">
      <c r="A105" s="1" t="s">
        <v>580</v>
      </c>
      <c r="B105" s="1" t="s">
        <v>581</v>
      </c>
      <c r="C105" s="1" t="s">
        <v>582</v>
      </c>
      <c r="D105" s="1" t="s">
        <v>583</v>
      </c>
      <c r="E105" s="1">
        <v>6105.0</v>
      </c>
      <c r="F105" s="1" t="s">
        <v>498</v>
      </c>
      <c r="G105" s="1" t="s">
        <v>132</v>
      </c>
      <c r="H105" s="1" t="s">
        <v>133</v>
      </c>
      <c r="I105" s="1"/>
      <c r="J105" s="1"/>
      <c r="K105" s="1" t="s">
        <v>23</v>
      </c>
      <c r="L105" s="1" t="s">
        <v>584</v>
      </c>
      <c r="M105" s="1">
        <v>0.0</v>
      </c>
      <c r="N105" s="1">
        <v>1.0</v>
      </c>
      <c r="O105" s="1" t="s">
        <v>498</v>
      </c>
      <c r="P105" s="1" t="s">
        <v>25</v>
      </c>
      <c r="Q105" s="2" t="str">
        <f t="shared" si="1"/>
        <v>H030129</v>
      </c>
    </row>
    <row r="106">
      <c r="A106" s="1" t="s">
        <v>585</v>
      </c>
      <c r="B106" s="1" t="s">
        <v>586</v>
      </c>
      <c r="C106" s="1" t="s">
        <v>587</v>
      </c>
      <c r="D106" s="1" t="s">
        <v>588</v>
      </c>
      <c r="E106" s="1">
        <v>4524.0</v>
      </c>
      <c r="F106" s="1" t="s">
        <v>498</v>
      </c>
      <c r="G106" s="1" t="s">
        <v>132</v>
      </c>
      <c r="H106" s="1" t="s">
        <v>133</v>
      </c>
      <c r="I106" s="1"/>
      <c r="J106" s="1"/>
      <c r="K106" s="1" t="s">
        <v>23</v>
      </c>
      <c r="L106" s="1" t="s">
        <v>589</v>
      </c>
      <c r="M106" s="1">
        <v>0.0</v>
      </c>
      <c r="N106" s="1">
        <v>1.0</v>
      </c>
      <c r="O106" s="1" t="s">
        <v>498</v>
      </c>
      <c r="P106" s="1" t="s">
        <v>25</v>
      </c>
      <c r="Q106" s="2" t="str">
        <f t="shared" si="1"/>
        <v>H030129</v>
      </c>
    </row>
    <row r="107">
      <c r="A107" s="1" t="s">
        <v>590</v>
      </c>
      <c r="B107" s="1" t="s">
        <v>591</v>
      </c>
      <c r="C107" s="1" t="s">
        <v>592</v>
      </c>
      <c r="D107" s="1" t="s">
        <v>593</v>
      </c>
      <c r="E107" s="1">
        <v>9046.0</v>
      </c>
      <c r="F107" s="1" t="s">
        <v>498</v>
      </c>
      <c r="G107" s="1" t="s">
        <v>132</v>
      </c>
      <c r="H107" s="1" t="s">
        <v>133</v>
      </c>
      <c r="I107" s="1"/>
      <c r="J107" s="1"/>
      <c r="K107" s="1" t="s">
        <v>23</v>
      </c>
      <c r="L107" s="1" t="s">
        <v>594</v>
      </c>
      <c r="M107" s="1">
        <v>0.0</v>
      </c>
      <c r="N107" s="1">
        <v>1.0</v>
      </c>
      <c r="O107" s="1" t="s">
        <v>498</v>
      </c>
      <c r="P107" s="1" t="s">
        <v>25</v>
      </c>
      <c r="Q107" s="2" t="str">
        <f t="shared" si="1"/>
        <v>H030129</v>
      </c>
    </row>
    <row r="108">
      <c r="A108" s="1" t="s">
        <v>595</v>
      </c>
      <c r="B108" s="1" t="s">
        <v>596</v>
      </c>
      <c r="C108" s="1" t="s">
        <v>597</v>
      </c>
      <c r="D108" s="1" t="s">
        <v>598</v>
      </c>
      <c r="E108" s="1">
        <v>5654.0</v>
      </c>
      <c r="F108" s="1" t="s">
        <v>351</v>
      </c>
      <c r="G108" s="1" t="s">
        <v>260</v>
      </c>
      <c r="H108" s="1" t="s">
        <v>261</v>
      </c>
      <c r="I108" s="1"/>
      <c r="J108" s="1"/>
      <c r="K108" s="1" t="s">
        <v>23</v>
      </c>
      <c r="L108" s="1" t="s">
        <v>599</v>
      </c>
      <c r="M108" s="1">
        <v>3.0</v>
      </c>
      <c r="N108" s="1">
        <v>1.0</v>
      </c>
      <c r="O108" s="1" t="s">
        <v>351</v>
      </c>
      <c r="P108" s="1" t="s">
        <v>25</v>
      </c>
      <c r="Q108" s="2" t="str">
        <f t="shared" si="1"/>
        <v>H030255</v>
      </c>
    </row>
    <row r="109">
      <c r="A109" s="1" t="s">
        <v>600</v>
      </c>
      <c r="B109" s="1" t="s">
        <v>601</v>
      </c>
      <c r="C109" s="1" t="s">
        <v>602</v>
      </c>
      <c r="D109" s="1" t="s">
        <v>603</v>
      </c>
      <c r="E109" s="1">
        <v>4943.0</v>
      </c>
      <c r="F109" s="1" t="s">
        <v>351</v>
      </c>
      <c r="G109" s="1" t="s">
        <v>260</v>
      </c>
      <c r="H109" s="1" t="s">
        <v>261</v>
      </c>
      <c r="I109" s="1"/>
      <c r="J109" s="1"/>
      <c r="K109" s="1" t="s">
        <v>23</v>
      </c>
      <c r="L109" s="1" t="s">
        <v>604</v>
      </c>
      <c r="M109" s="1">
        <v>3.0</v>
      </c>
      <c r="N109" s="1">
        <v>1.0</v>
      </c>
      <c r="O109" s="1" t="s">
        <v>351</v>
      </c>
      <c r="P109" s="1" t="s">
        <v>25</v>
      </c>
      <c r="Q109" s="2" t="str">
        <f t="shared" si="1"/>
        <v>H030255</v>
      </c>
    </row>
    <row r="110">
      <c r="A110" s="1" t="s">
        <v>605</v>
      </c>
      <c r="B110" s="1" t="s">
        <v>606</v>
      </c>
      <c r="C110" s="1" t="s">
        <v>607</v>
      </c>
      <c r="D110" s="1" t="s">
        <v>608</v>
      </c>
      <c r="E110" s="1">
        <v>4881.0</v>
      </c>
      <c r="F110" s="1" t="s">
        <v>351</v>
      </c>
      <c r="G110" s="1" t="s">
        <v>260</v>
      </c>
      <c r="H110" s="1" t="s">
        <v>261</v>
      </c>
      <c r="I110" s="1"/>
      <c r="J110" s="1"/>
      <c r="K110" s="1" t="s">
        <v>23</v>
      </c>
      <c r="L110" s="1" t="s">
        <v>609</v>
      </c>
      <c r="M110" s="1">
        <v>3.0</v>
      </c>
      <c r="N110" s="1">
        <v>1.0</v>
      </c>
      <c r="O110" s="1" t="s">
        <v>351</v>
      </c>
      <c r="P110" s="1" t="s">
        <v>25</v>
      </c>
      <c r="Q110" s="2" t="str">
        <f t="shared" si="1"/>
        <v>H030255</v>
      </c>
    </row>
    <row r="111">
      <c r="A111" s="1" t="s">
        <v>610</v>
      </c>
      <c r="B111" s="1" t="s">
        <v>611</v>
      </c>
      <c r="C111" s="1" t="s">
        <v>612</v>
      </c>
      <c r="D111" s="1" t="s">
        <v>613</v>
      </c>
      <c r="E111" s="1">
        <v>4421.0</v>
      </c>
      <c r="F111" s="1" t="s">
        <v>382</v>
      </c>
      <c r="G111" s="1" t="s">
        <v>474</v>
      </c>
      <c r="H111" s="1" t="s">
        <v>475</v>
      </c>
      <c r="I111" s="1"/>
      <c r="J111" s="1"/>
      <c r="K111" s="1" t="s">
        <v>23</v>
      </c>
      <c r="L111" s="1" t="s">
        <v>614</v>
      </c>
      <c r="M111" s="1">
        <v>2.0</v>
      </c>
      <c r="N111" s="1">
        <v>1.0</v>
      </c>
      <c r="O111" s="1" t="s">
        <v>382</v>
      </c>
      <c r="P111" s="1" t="s">
        <v>25</v>
      </c>
      <c r="Q111" s="2" t="str">
        <f t="shared" si="1"/>
        <v>H030829</v>
      </c>
    </row>
    <row r="112">
      <c r="A112" s="1" t="s">
        <v>615</v>
      </c>
      <c r="B112" s="1" t="s">
        <v>616</v>
      </c>
      <c r="C112" s="1" t="s">
        <v>617</v>
      </c>
      <c r="D112" s="1" t="s">
        <v>618</v>
      </c>
      <c r="E112" s="1">
        <v>3558.0</v>
      </c>
      <c r="F112" s="1" t="s">
        <v>351</v>
      </c>
      <c r="G112" s="1" t="s">
        <v>208</v>
      </c>
      <c r="H112" s="1" t="s">
        <v>209</v>
      </c>
      <c r="I112" s="1"/>
      <c r="J112" s="1"/>
      <c r="K112" s="1" t="s">
        <v>23</v>
      </c>
      <c r="L112" s="1" t="s">
        <v>619</v>
      </c>
      <c r="M112" s="1">
        <v>0.0</v>
      </c>
      <c r="N112" s="1">
        <v>1.0</v>
      </c>
      <c r="O112" s="1" t="s">
        <v>351</v>
      </c>
      <c r="P112" s="1" t="s">
        <v>25</v>
      </c>
      <c r="Q112" s="2" t="str">
        <f t="shared" si="1"/>
        <v>H030670</v>
      </c>
    </row>
    <row r="113">
      <c r="A113" s="1" t="s">
        <v>620</v>
      </c>
      <c r="B113" s="1" t="s">
        <v>621</v>
      </c>
      <c r="C113" s="1" t="s">
        <v>622</v>
      </c>
      <c r="D113" s="1" t="s">
        <v>623</v>
      </c>
      <c r="E113" s="1">
        <v>2638.0</v>
      </c>
      <c r="F113" s="1" t="s">
        <v>351</v>
      </c>
      <c r="G113" s="1" t="s">
        <v>208</v>
      </c>
      <c r="H113" s="1" t="s">
        <v>209</v>
      </c>
      <c r="I113" s="1"/>
      <c r="J113" s="1"/>
      <c r="K113" s="1" t="s">
        <v>23</v>
      </c>
      <c r="L113" s="1" t="s">
        <v>624</v>
      </c>
      <c r="M113" s="1">
        <v>0.0</v>
      </c>
      <c r="N113" s="1">
        <v>1.0</v>
      </c>
      <c r="O113" s="1" t="s">
        <v>351</v>
      </c>
      <c r="P113" s="1" t="s">
        <v>25</v>
      </c>
      <c r="Q113" s="2" t="str">
        <f t="shared" si="1"/>
        <v>H030670</v>
      </c>
    </row>
    <row r="114">
      <c r="A114" s="1" t="s">
        <v>625</v>
      </c>
      <c r="B114" s="1" t="s">
        <v>626</v>
      </c>
      <c r="C114" s="1" t="s">
        <v>627</v>
      </c>
      <c r="D114" s="1" t="s">
        <v>628</v>
      </c>
      <c r="E114" s="1">
        <v>3590.0</v>
      </c>
      <c r="F114" s="1" t="s">
        <v>351</v>
      </c>
      <c r="G114" s="1" t="s">
        <v>208</v>
      </c>
      <c r="H114" s="1" t="s">
        <v>209</v>
      </c>
      <c r="I114" s="1"/>
      <c r="J114" s="1"/>
      <c r="K114" s="1" t="s">
        <v>23</v>
      </c>
      <c r="L114" s="1" t="s">
        <v>629</v>
      </c>
      <c r="M114" s="1">
        <v>0.0</v>
      </c>
      <c r="N114" s="1">
        <v>1.0</v>
      </c>
      <c r="O114" s="1" t="s">
        <v>351</v>
      </c>
      <c r="P114" s="1" t="s">
        <v>25</v>
      </c>
      <c r="Q114" s="2" t="str">
        <f t="shared" si="1"/>
        <v>H030670</v>
      </c>
    </row>
    <row r="115">
      <c r="A115" s="1" t="s">
        <v>630</v>
      </c>
      <c r="B115" s="1" t="s">
        <v>631</v>
      </c>
      <c r="C115" s="1" t="s">
        <v>632</v>
      </c>
      <c r="D115" s="1" t="s">
        <v>633</v>
      </c>
      <c r="E115" s="1">
        <v>5890.0</v>
      </c>
      <c r="F115" s="1" t="s">
        <v>288</v>
      </c>
      <c r="G115" s="1">
        <v>859767.0</v>
      </c>
      <c r="H115" s="1" t="s">
        <v>22</v>
      </c>
      <c r="I115" s="1"/>
      <c r="J115" s="1"/>
      <c r="K115" s="1" t="s">
        <v>23</v>
      </c>
      <c r="L115" s="1" t="s">
        <v>634</v>
      </c>
      <c r="M115" s="1">
        <v>1.0</v>
      </c>
      <c r="N115" s="1">
        <v>1.0</v>
      </c>
      <c r="O115" s="1" t="s">
        <v>288</v>
      </c>
      <c r="P115" s="1" t="s">
        <v>25</v>
      </c>
      <c r="Q115" s="2" t="str">
        <f t="shared" si="1"/>
        <v>H019559</v>
      </c>
    </row>
    <row r="116">
      <c r="A116" s="1" t="s">
        <v>635</v>
      </c>
      <c r="B116" s="1" t="s">
        <v>636</v>
      </c>
      <c r="C116" s="1" t="s">
        <v>637</v>
      </c>
      <c r="D116" s="1" t="s">
        <v>638</v>
      </c>
      <c r="E116" s="1">
        <v>4884.0</v>
      </c>
      <c r="F116" s="1" t="s">
        <v>288</v>
      </c>
      <c r="G116" s="1">
        <v>859767.0</v>
      </c>
      <c r="H116" s="1" t="s">
        <v>22</v>
      </c>
      <c r="I116" s="1"/>
      <c r="J116" s="1"/>
      <c r="K116" s="1" t="s">
        <v>23</v>
      </c>
      <c r="L116" s="1" t="s">
        <v>639</v>
      </c>
      <c r="M116" s="1">
        <v>1.0</v>
      </c>
      <c r="N116" s="1">
        <v>1.0</v>
      </c>
      <c r="O116" s="1" t="s">
        <v>288</v>
      </c>
      <c r="P116" s="1" t="s">
        <v>25</v>
      </c>
      <c r="Q116" s="2" t="str">
        <f t="shared" si="1"/>
        <v>H019559</v>
      </c>
    </row>
    <row r="117">
      <c r="A117" s="1" t="s">
        <v>640</v>
      </c>
      <c r="B117" s="1" t="s">
        <v>641</v>
      </c>
      <c r="C117" s="1" t="s">
        <v>642</v>
      </c>
      <c r="D117" s="1" t="s">
        <v>643</v>
      </c>
      <c r="E117" s="1">
        <v>5078.0</v>
      </c>
      <c r="F117" s="1" t="s">
        <v>288</v>
      </c>
      <c r="G117" s="1">
        <v>859767.0</v>
      </c>
      <c r="H117" s="1" t="s">
        <v>22</v>
      </c>
      <c r="I117" s="1"/>
      <c r="J117" s="1"/>
      <c r="K117" s="1" t="s">
        <v>23</v>
      </c>
      <c r="L117" s="1" t="s">
        <v>644</v>
      </c>
      <c r="M117" s="1">
        <v>1.0</v>
      </c>
      <c r="N117" s="1">
        <v>1.0</v>
      </c>
      <c r="O117" s="1" t="s">
        <v>288</v>
      </c>
      <c r="P117" s="1" t="s">
        <v>25</v>
      </c>
      <c r="Q117" s="2" t="str">
        <f t="shared" si="1"/>
        <v>H019559</v>
      </c>
    </row>
    <row r="118">
      <c r="A118" s="1" t="s">
        <v>645</v>
      </c>
      <c r="B118" s="1" t="s">
        <v>646</v>
      </c>
      <c r="C118" s="1" t="s">
        <v>647</v>
      </c>
      <c r="D118" s="1" t="s">
        <v>648</v>
      </c>
      <c r="E118" s="1">
        <v>3737.0</v>
      </c>
      <c r="F118" s="1" t="s">
        <v>288</v>
      </c>
      <c r="G118" s="1">
        <v>859767.0</v>
      </c>
      <c r="H118" s="1" t="s">
        <v>22</v>
      </c>
      <c r="I118" s="1"/>
      <c r="J118" s="1"/>
      <c r="K118" s="1" t="s">
        <v>23</v>
      </c>
      <c r="L118" s="1" t="s">
        <v>649</v>
      </c>
      <c r="M118" s="1">
        <v>1.0</v>
      </c>
      <c r="N118" s="1">
        <v>1.0</v>
      </c>
      <c r="O118" s="1" t="s">
        <v>288</v>
      </c>
      <c r="P118" s="1" t="s">
        <v>25</v>
      </c>
      <c r="Q118" s="2" t="str">
        <f t="shared" si="1"/>
        <v>H019559</v>
      </c>
    </row>
    <row r="119">
      <c r="A119" s="1" t="s">
        <v>650</v>
      </c>
      <c r="B119" s="1" t="s">
        <v>651</v>
      </c>
      <c r="C119" s="1" t="s">
        <v>652</v>
      </c>
      <c r="D119" s="1" t="s">
        <v>653</v>
      </c>
      <c r="E119" s="1">
        <v>2773.0</v>
      </c>
      <c r="F119" s="1" t="s">
        <v>351</v>
      </c>
      <c r="G119" s="1" t="s">
        <v>260</v>
      </c>
      <c r="H119" s="1" t="s">
        <v>261</v>
      </c>
      <c r="I119" s="1"/>
      <c r="J119" s="1"/>
      <c r="K119" s="1" t="s">
        <v>23</v>
      </c>
      <c r="L119" s="1" t="s">
        <v>654</v>
      </c>
      <c r="M119" s="1">
        <v>0.0</v>
      </c>
      <c r="N119" s="1">
        <v>1.0</v>
      </c>
      <c r="O119" s="1" t="s">
        <v>351</v>
      </c>
      <c r="P119" s="1" t="s">
        <v>25</v>
      </c>
      <c r="Q119" s="2" t="str">
        <f t="shared" si="1"/>
        <v>H030670</v>
      </c>
    </row>
    <row r="120">
      <c r="A120" s="1" t="s">
        <v>655</v>
      </c>
      <c r="B120" s="1" t="s">
        <v>656</v>
      </c>
      <c r="C120" s="1" t="s">
        <v>657</v>
      </c>
      <c r="D120" s="1" t="s">
        <v>658</v>
      </c>
      <c r="E120" s="1">
        <v>5650.0</v>
      </c>
      <c r="F120" s="1" t="s">
        <v>351</v>
      </c>
      <c r="G120" s="1" t="s">
        <v>260</v>
      </c>
      <c r="H120" s="1" t="s">
        <v>261</v>
      </c>
      <c r="I120" s="1"/>
      <c r="J120" s="1"/>
      <c r="K120" s="1" t="s">
        <v>23</v>
      </c>
      <c r="L120" s="1" t="s">
        <v>659</v>
      </c>
      <c r="M120" s="1">
        <v>0.0</v>
      </c>
      <c r="N120" s="1">
        <v>1.0</v>
      </c>
      <c r="O120" s="1" t="s">
        <v>351</v>
      </c>
      <c r="P120" s="1" t="s">
        <v>25</v>
      </c>
      <c r="Q120" s="2" t="str">
        <f t="shared" si="1"/>
        <v>H030670</v>
      </c>
    </row>
    <row r="121">
      <c r="A121" s="1" t="s">
        <v>660</v>
      </c>
      <c r="B121" s="1" t="s">
        <v>661</v>
      </c>
      <c r="C121" s="1" t="s">
        <v>662</v>
      </c>
      <c r="D121" s="1" t="s">
        <v>663</v>
      </c>
      <c r="E121" s="1">
        <v>4800.0</v>
      </c>
      <c r="F121" s="1" t="s">
        <v>351</v>
      </c>
      <c r="G121" s="1" t="s">
        <v>260</v>
      </c>
      <c r="H121" s="1" t="s">
        <v>261</v>
      </c>
      <c r="I121" s="1"/>
      <c r="J121" s="1"/>
      <c r="K121" s="1" t="s">
        <v>23</v>
      </c>
      <c r="L121" s="1" t="s">
        <v>664</v>
      </c>
      <c r="M121" s="1">
        <v>0.0</v>
      </c>
      <c r="N121" s="1">
        <v>1.0</v>
      </c>
      <c r="O121" s="1" t="s">
        <v>351</v>
      </c>
      <c r="P121" s="1" t="s">
        <v>25</v>
      </c>
      <c r="Q121" s="2" t="str">
        <f t="shared" si="1"/>
        <v>H030670</v>
      </c>
    </row>
    <row r="122">
      <c r="A122" s="1" t="s">
        <v>665</v>
      </c>
      <c r="B122" s="1" t="s">
        <v>666</v>
      </c>
      <c r="C122" s="1" t="s">
        <v>667</v>
      </c>
      <c r="D122" s="1" t="s">
        <v>668</v>
      </c>
      <c r="E122" s="1">
        <v>2968.0</v>
      </c>
      <c r="F122" s="1" t="s">
        <v>351</v>
      </c>
      <c r="G122" s="1" t="s">
        <v>57</v>
      </c>
      <c r="H122" s="1" t="s">
        <v>58</v>
      </c>
      <c r="I122" s="1"/>
      <c r="J122" s="1"/>
      <c r="K122" s="1" t="s">
        <v>23</v>
      </c>
      <c r="L122" s="1" t="s">
        <v>669</v>
      </c>
      <c r="M122" s="1">
        <v>0.0</v>
      </c>
      <c r="N122" s="1">
        <v>1.0</v>
      </c>
      <c r="O122" s="1" t="s">
        <v>351</v>
      </c>
      <c r="P122" s="1" t="s">
        <v>25</v>
      </c>
      <c r="Q122" s="2" t="str">
        <f t="shared" si="1"/>
        <v>H030670</v>
      </c>
    </row>
    <row r="123">
      <c r="A123" s="1" t="s">
        <v>670</v>
      </c>
      <c r="B123" s="1" t="s">
        <v>671</v>
      </c>
      <c r="C123" s="1" t="s">
        <v>672</v>
      </c>
      <c r="D123" s="1" t="s">
        <v>673</v>
      </c>
      <c r="E123" s="1">
        <v>3792.0</v>
      </c>
      <c r="F123" s="1" t="s">
        <v>351</v>
      </c>
      <c r="G123" s="1" t="s">
        <v>57</v>
      </c>
      <c r="H123" s="1" t="s">
        <v>58</v>
      </c>
      <c r="I123" s="1"/>
      <c r="J123" s="1"/>
      <c r="K123" s="1" t="s">
        <v>23</v>
      </c>
      <c r="L123" s="1" t="s">
        <v>674</v>
      </c>
      <c r="M123" s="1">
        <v>0.0</v>
      </c>
      <c r="N123" s="1">
        <v>1.0</v>
      </c>
      <c r="O123" s="1" t="s">
        <v>351</v>
      </c>
      <c r="P123" s="1" t="s">
        <v>25</v>
      </c>
      <c r="Q123" s="2" t="str">
        <f t="shared" si="1"/>
        <v>H030670</v>
      </c>
    </row>
    <row r="124">
      <c r="A124" s="1" t="s">
        <v>675</v>
      </c>
      <c r="B124" s="1" t="s">
        <v>676</v>
      </c>
      <c r="C124" s="1" t="s">
        <v>677</v>
      </c>
      <c r="D124" s="1" t="s">
        <v>678</v>
      </c>
      <c r="E124" s="1">
        <v>3339.0</v>
      </c>
      <c r="F124" s="1" t="s">
        <v>315</v>
      </c>
      <c r="G124" s="1">
        <v>841329.0</v>
      </c>
      <c r="H124" s="1" t="s">
        <v>96</v>
      </c>
      <c r="I124" s="1"/>
      <c r="J124" s="1"/>
      <c r="K124" s="1" t="s">
        <v>23</v>
      </c>
      <c r="L124" s="1" t="s">
        <v>679</v>
      </c>
      <c r="M124" s="1">
        <v>3.0</v>
      </c>
      <c r="N124" s="1">
        <v>1.0</v>
      </c>
      <c r="O124" s="1" t="s">
        <v>315</v>
      </c>
      <c r="P124" s="1" t="s">
        <v>25</v>
      </c>
      <c r="Q124" s="2" t="str">
        <f t="shared" si="1"/>
        <v>H019728</v>
      </c>
    </row>
    <row r="125">
      <c r="A125" s="1" t="s">
        <v>680</v>
      </c>
      <c r="B125" s="1" t="s">
        <v>681</v>
      </c>
      <c r="C125" s="1" t="s">
        <v>682</v>
      </c>
      <c r="D125" s="1" t="s">
        <v>683</v>
      </c>
      <c r="E125" s="1">
        <v>2773.0</v>
      </c>
      <c r="F125" s="1" t="s">
        <v>315</v>
      </c>
      <c r="G125" s="1">
        <v>841329.0</v>
      </c>
      <c r="H125" s="1" t="s">
        <v>96</v>
      </c>
      <c r="I125" s="1"/>
      <c r="J125" s="1"/>
      <c r="K125" s="1" t="s">
        <v>23</v>
      </c>
      <c r="L125" s="1" t="s">
        <v>684</v>
      </c>
      <c r="M125" s="1">
        <v>3.0</v>
      </c>
      <c r="N125" s="1">
        <v>1.0</v>
      </c>
      <c r="O125" s="1" t="s">
        <v>315</v>
      </c>
      <c r="P125" s="1" t="s">
        <v>25</v>
      </c>
      <c r="Q125" s="2" t="str">
        <f t="shared" si="1"/>
        <v>H019728</v>
      </c>
    </row>
    <row r="126">
      <c r="A126" s="1" t="s">
        <v>685</v>
      </c>
      <c r="B126" s="1" t="s">
        <v>686</v>
      </c>
      <c r="C126" s="1" t="s">
        <v>687</v>
      </c>
      <c r="D126" s="1" t="s">
        <v>688</v>
      </c>
      <c r="E126" s="1">
        <v>3067.0</v>
      </c>
      <c r="F126" s="1" t="s">
        <v>315</v>
      </c>
      <c r="G126" s="1">
        <v>841329.0</v>
      </c>
      <c r="H126" s="1" t="s">
        <v>96</v>
      </c>
      <c r="I126" s="1"/>
      <c r="J126" s="1"/>
      <c r="K126" s="1" t="s">
        <v>23</v>
      </c>
      <c r="L126" s="1" t="s">
        <v>689</v>
      </c>
      <c r="M126" s="1">
        <v>3.0</v>
      </c>
      <c r="N126" s="1">
        <v>1.0</v>
      </c>
      <c r="O126" s="1" t="s">
        <v>315</v>
      </c>
      <c r="P126" s="1" t="s">
        <v>25</v>
      </c>
      <c r="Q126" s="2" t="str">
        <f t="shared" si="1"/>
        <v>H019728</v>
      </c>
    </row>
    <row r="127">
      <c r="A127" s="1" t="s">
        <v>690</v>
      </c>
      <c r="B127" s="1" t="s">
        <v>691</v>
      </c>
      <c r="C127" s="1" t="s">
        <v>692</v>
      </c>
      <c r="D127" s="1" t="s">
        <v>693</v>
      </c>
      <c r="E127" s="1">
        <v>2244.0</v>
      </c>
      <c r="F127" s="1" t="s">
        <v>315</v>
      </c>
      <c r="G127" s="1">
        <v>841329.0</v>
      </c>
      <c r="H127" s="1" t="s">
        <v>96</v>
      </c>
      <c r="I127" s="1"/>
      <c r="J127" s="1"/>
      <c r="K127" s="1" t="s">
        <v>23</v>
      </c>
      <c r="L127" s="1" t="s">
        <v>694</v>
      </c>
      <c r="M127" s="1">
        <v>3.0</v>
      </c>
      <c r="N127" s="1">
        <v>1.0</v>
      </c>
      <c r="O127" s="1" t="s">
        <v>315</v>
      </c>
      <c r="P127" s="1" t="s">
        <v>25</v>
      </c>
      <c r="Q127" s="2" t="str">
        <f t="shared" si="1"/>
        <v>H019728</v>
      </c>
    </row>
    <row r="128">
      <c r="A128" s="1" t="s">
        <v>695</v>
      </c>
      <c r="B128" s="1" t="s">
        <v>696</v>
      </c>
      <c r="C128" s="1" t="s">
        <v>697</v>
      </c>
      <c r="D128" s="1" t="s">
        <v>698</v>
      </c>
      <c r="E128" s="1">
        <v>3069.0</v>
      </c>
      <c r="F128" s="1" t="s">
        <v>315</v>
      </c>
      <c r="G128" s="1">
        <v>841329.0</v>
      </c>
      <c r="H128" s="1" t="s">
        <v>96</v>
      </c>
      <c r="I128" s="1"/>
      <c r="J128" s="1"/>
      <c r="K128" s="1" t="s">
        <v>23</v>
      </c>
      <c r="L128" s="1" t="s">
        <v>699</v>
      </c>
      <c r="M128" s="1">
        <v>3.0</v>
      </c>
      <c r="N128" s="1">
        <v>1.0</v>
      </c>
      <c r="O128" s="1" t="s">
        <v>315</v>
      </c>
      <c r="P128" s="1" t="s">
        <v>25</v>
      </c>
      <c r="Q128" s="2" t="str">
        <f t="shared" si="1"/>
        <v>H019728</v>
      </c>
    </row>
    <row r="129">
      <c r="A129" s="1" t="s">
        <v>700</v>
      </c>
      <c r="B129" s="1" t="s">
        <v>701</v>
      </c>
      <c r="C129" s="1" t="s">
        <v>702</v>
      </c>
      <c r="D129" s="1" t="s">
        <v>703</v>
      </c>
      <c r="E129" s="1">
        <v>4173.0</v>
      </c>
      <c r="F129" s="1" t="s">
        <v>315</v>
      </c>
      <c r="G129" s="1">
        <v>455939.0</v>
      </c>
      <c r="H129" s="1" t="s">
        <v>704</v>
      </c>
      <c r="I129" s="1"/>
      <c r="J129" s="1"/>
      <c r="K129" s="1" t="s">
        <v>23</v>
      </c>
      <c r="L129" s="1" t="s">
        <v>705</v>
      </c>
      <c r="M129" s="1">
        <v>3.0</v>
      </c>
      <c r="N129" s="1">
        <v>1.0</v>
      </c>
      <c r="O129" s="1" t="s">
        <v>315</v>
      </c>
      <c r="P129" s="1" t="s">
        <v>25</v>
      </c>
      <c r="Q129" s="2" t="str">
        <f t="shared" si="1"/>
        <v>H019728</v>
      </c>
    </row>
    <row r="130">
      <c r="A130" s="1" t="s">
        <v>706</v>
      </c>
      <c r="B130" s="1" t="s">
        <v>707</v>
      </c>
      <c r="C130" s="1" t="s">
        <v>708</v>
      </c>
      <c r="D130" s="1" t="s">
        <v>709</v>
      </c>
      <c r="E130" s="1">
        <v>1708.0</v>
      </c>
      <c r="F130" s="1" t="s">
        <v>315</v>
      </c>
      <c r="G130" s="1">
        <v>455939.0</v>
      </c>
      <c r="H130" s="1" t="s">
        <v>704</v>
      </c>
      <c r="I130" s="1"/>
      <c r="J130" s="1"/>
      <c r="K130" s="1" t="s">
        <v>23</v>
      </c>
      <c r="L130" s="1" t="s">
        <v>710</v>
      </c>
      <c r="M130" s="1">
        <v>3.0</v>
      </c>
      <c r="N130" s="1">
        <v>1.0</v>
      </c>
      <c r="O130" s="1" t="s">
        <v>315</v>
      </c>
      <c r="P130" s="1" t="s">
        <v>25</v>
      </c>
      <c r="Q130" s="2" t="str">
        <f t="shared" si="1"/>
        <v>H019728</v>
      </c>
    </row>
    <row r="131">
      <c r="A131" s="1" t="s">
        <v>711</v>
      </c>
      <c r="B131" s="1" t="s">
        <v>712</v>
      </c>
      <c r="C131" s="1" t="s">
        <v>713</v>
      </c>
      <c r="D131" s="1" t="s">
        <v>714</v>
      </c>
      <c r="E131" s="1">
        <v>1971.0</v>
      </c>
      <c r="F131" s="1" t="s">
        <v>315</v>
      </c>
      <c r="G131" s="1">
        <v>455939.0</v>
      </c>
      <c r="H131" s="1" t="s">
        <v>704</v>
      </c>
      <c r="I131" s="1"/>
      <c r="J131" s="1"/>
      <c r="K131" s="1" t="s">
        <v>23</v>
      </c>
      <c r="L131" s="1" t="s">
        <v>715</v>
      </c>
      <c r="M131" s="1">
        <v>3.0</v>
      </c>
      <c r="N131" s="1">
        <v>1.0</v>
      </c>
      <c r="O131" s="1" t="s">
        <v>315</v>
      </c>
      <c r="P131" s="1" t="s">
        <v>25</v>
      </c>
      <c r="Q131" s="2" t="str">
        <f t="shared" si="1"/>
        <v>H019728</v>
      </c>
    </row>
    <row r="132">
      <c r="A132" s="1" t="s">
        <v>716</v>
      </c>
      <c r="B132" s="1" t="s">
        <v>717</v>
      </c>
      <c r="C132" s="1" t="s">
        <v>718</v>
      </c>
      <c r="D132" s="1" t="s">
        <v>719</v>
      </c>
      <c r="E132" s="1">
        <v>2033.0</v>
      </c>
      <c r="F132" s="1" t="s">
        <v>315</v>
      </c>
      <c r="G132" s="1">
        <v>455939.0</v>
      </c>
      <c r="H132" s="1" t="s">
        <v>704</v>
      </c>
      <c r="I132" s="1"/>
      <c r="J132" s="1"/>
      <c r="K132" s="1" t="s">
        <v>23</v>
      </c>
      <c r="L132" s="1" t="s">
        <v>720</v>
      </c>
      <c r="M132" s="1">
        <v>3.0</v>
      </c>
      <c r="N132" s="1">
        <v>1.0</v>
      </c>
      <c r="O132" s="1" t="s">
        <v>315</v>
      </c>
      <c r="P132" s="1" t="s">
        <v>25</v>
      </c>
      <c r="Q132" s="2" t="str">
        <f t="shared" si="1"/>
        <v>H019728</v>
      </c>
    </row>
    <row r="133">
      <c r="A133" s="1" t="s">
        <v>721</v>
      </c>
      <c r="B133" s="1" t="s">
        <v>722</v>
      </c>
      <c r="C133" s="1" t="s">
        <v>723</v>
      </c>
      <c r="D133" s="1" t="s">
        <v>724</v>
      </c>
      <c r="E133" s="1">
        <v>3526.0</v>
      </c>
      <c r="F133" s="1" t="s">
        <v>382</v>
      </c>
      <c r="G133" s="1" t="s">
        <v>191</v>
      </c>
      <c r="H133" s="1" t="s">
        <v>192</v>
      </c>
      <c r="I133" s="1"/>
      <c r="J133" s="1"/>
      <c r="K133" s="1" t="s">
        <v>23</v>
      </c>
      <c r="L133" s="1" t="s">
        <v>725</v>
      </c>
      <c r="M133" s="1">
        <v>2.0</v>
      </c>
      <c r="N133" s="1">
        <v>1.0</v>
      </c>
      <c r="O133" s="1" t="s">
        <v>382</v>
      </c>
      <c r="P133" s="1" t="s">
        <v>25</v>
      </c>
      <c r="Q133" s="2" t="str">
        <f t="shared" si="1"/>
        <v>H030829</v>
      </c>
    </row>
    <row r="134">
      <c r="A134" s="1" t="s">
        <v>726</v>
      </c>
      <c r="B134" s="1" t="s">
        <v>727</v>
      </c>
      <c r="C134" s="1" t="s">
        <v>728</v>
      </c>
      <c r="D134" s="1" t="s">
        <v>729</v>
      </c>
      <c r="E134" s="1">
        <v>2015.0</v>
      </c>
      <c r="F134" s="1" t="s">
        <v>382</v>
      </c>
      <c r="G134" s="1" t="s">
        <v>191</v>
      </c>
      <c r="H134" s="1" t="s">
        <v>192</v>
      </c>
      <c r="I134" s="1"/>
      <c r="J134" s="1"/>
      <c r="K134" s="1" t="s">
        <v>23</v>
      </c>
      <c r="L134" s="1" t="s">
        <v>730</v>
      </c>
      <c r="M134" s="1">
        <v>2.0</v>
      </c>
      <c r="N134" s="1">
        <v>1.0</v>
      </c>
      <c r="O134" s="1" t="s">
        <v>382</v>
      </c>
      <c r="P134" s="1" t="s">
        <v>25</v>
      </c>
      <c r="Q134" s="2" t="str">
        <f t="shared" si="1"/>
        <v>H030829</v>
      </c>
    </row>
    <row r="135">
      <c r="A135" s="1" t="s">
        <v>731</v>
      </c>
      <c r="B135" s="1" t="s">
        <v>732</v>
      </c>
      <c r="C135" s="1" t="s">
        <v>733</v>
      </c>
      <c r="D135" s="1" t="s">
        <v>734</v>
      </c>
      <c r="E135" s="1">
        <v>1747.0</v>
      </c>
      <c r="F135" s="1" t="s">
        <v>382</v>
      </c>
      <c r="G135" s="1" t="s">
        <v>191</v>
      </c>
      <c r="H135" s="1" t="s">
        <v>192</v>
      </c>
      <c r="I135" s="1"/>
      <c r="J135" s="1"/>
      <c r="K135" s="1" t="s">
        <v>23</v>
      </c>
      <c r="L135" s="1" t="s">
        <v>735</v>
      </c>
      <c r="M135" s="1">
        <v>2.0</v>
      </c>
      <c r="N135" s="1">
        <v>1.0</v>
      </c>
      <c r="O135" s="1" t="s">
        <v>382</v>
      </c>
      <c r="P135" s="1" t="s">
        <v>25</v>
      </c>
      <c r="Q135" s="2" t="str">
        <f t="shared" si="1"/>
        <v>H030829</v>
      </c>
    </row>
    <row r="136">
      <c r="A136" s="1" t="s">
        <v>736</v>
      </c>
      <c r="B136" s="1" t="s">
        <v>737</v>
      </c>
      <c r="C136" s="1" t="s">
        <v>738</v>
      </c>
      <c r="D136" s="1" t="s">
        <v>739</v>
      </c>
      <c r="E136" s="1">
        <v>1828.0</v>
      </c>
      <c r="F136" s="1" t="s">
        <v>315</v>
      </c>
      <c r="G136" s="1">
        <v>555127.0</v>
      </c>
      <c r="H136" s="1" t="s">
        <v>35</v>
      </c>
      <c r="I136" s="1"/>
      <c r="J136" s="1"/>
      <c r="K136" s="1" t="s">
        <v>23</v>
      </c>
      <c r="L136" s="1" t="s">
        <v>740</v>
      </c>
      <c r="M136" s="1">
        <v>3.0</v>
      </c>
      <c r="N136" s="1">
        <v>1.0</v>
      </c>
      <c r="O136" s="1" t="s">
        <v>315</v>
      </c>
      <c r="P136" s="1" t="s">
        <v>25</v>
      </c>
      <c r="Q136" s="2" t="str">
        <f t="shared" si="1"/>
        <v>H019728</v>
      </c>
    </row>
    <row r="137">
      <c r="A137" s="1" t="s">
        <v>741</v>
      </c>
      <c r="B137" s="1" t="s">
        <v>742</v>
      </c>
      <c r="C137" s="1" t="s">
        <v>743</v>
      </c>
      <c r="D137" s="1" t="s">
        <v>744</v>
      </c>
      <c r="E137" s="1">
        <v>3316.0</v>
      </c>
      <c r="F137" s="1" t="s">
        <v>315</v>
      </c>
      <c r="G137" s="1">
        <v>555127.0</v>
      </c>
      <c r="H137" s="1" t="s">
        <v>35</v>
      </c>
      <c r="I137" s="1"/>
      <c r="J137" s="1"/>
      <c r="K137" s="1" t="s">
        <v>23</v>
      </c>
      <c r="L137" s="1" t="s">
        <v>745</v>
      </c>
      <c r="M137" s="1">
        <v>3.0</v>
      </c>
      <c r="N137" s="1">
        <v>1.0</v>
      </c>
      <c r="O137" s="1" t="s">
        <v>315</v>
      </c>
      <c r="P137" s="1" t="s">
        <v>25</v>
      </c>
      <c r="Q137" s="2" t="str">
        <f t="shared" si="1"/>
        <v>H019728</v>
      </c>
    </row>
    <row r="138">
      <c r="A138" s="1" t="s">
        <v>746</v>
      </c>
      <c r="B138" s="1" t="s">
        <v>747</v>
      </c>
      <c r="C138" s="1" t="s">
        <v>748</v>
      </c>
      <c r="D138" s="1" t="s">
        <v>749</v>
      </c>
      <c r="E138" s="1">
        <v>2889.0</v>
      </c>
      <c r="F138" s="1" t="s">
        <v>315</v>
      </c>
      <c r="G138" s="1">
        <v>555127.0</v>
      </c>
      <c r="H138" s="1" t="s">
        <v>35</v>
      </c>
      <c r="I138" s="1"/>
      <c r="J138" s="1"/>
      <c r="K138" s="1" t="s">
        <v>23</v>
      </c>
      <c r="L138" s="1" t="s">
        <v>750</v>
      </c>
      <c r="M138" s="1">
        <v>3.0</v>
      </c>
      <c r="N138" s="1">
        <v>1.0</v>
      </c>
      <c r="O138" s="1" t="s">
        <v>315</v>
      </c>
      <c r="P138" s="1" t="s">
        <v>25</v>
      </c>
      <c r="Q138" s="2" t="str">
        <f t="shared" si="1"/>
        <v>H019728</v>
      </c>
    </row>
    <row r="139">
      <c r="A139" s="1" t="s">
        <v>751</v>
      </c>
      <c r="B139" s="1" t="s">
        <v>752</v>
      </c>
      <c r="C139" s="1" t="s">
        <v>753</v>
      </c>
      <c r="D139" s="1" t="s">
        <v>754</v>
      </c>
      <c r="E139" s="1">
        <v>2399.0</v>
      </c>
      <c r="F139" s="1" t="s">
        <v>288</v>
      </c>
      <c r="G139" s="1">
        <v>729375.0</v>
      </c>
      <c r="H139" s="1" t="s">
        <v>80</v>
      </c>
      <c r="I139" s="1"/>
      <c r="J139" s="1"/>
      <c r="K139" s="1" t="s">
        <v>23</v>
      </c>
      <c r="L139" s="1" t="s">
        <v>755</v>
      </c>
      <c r="M139" s="1">
        <v>1.0</v>
      </c>
      <c r="N139" s="1">
        <v>1.0</v>
      </c>
      <c r="O139" s="1" t="s">
        <v>288</v>
      </c>
      <c r="P139" s="1" t="s">
        <v>25</v>
      </c>
      <c r="Q139" s="2" t="str">
        <f t="shared" si="1"/>
        <v>H019505</v>
      </c>
    </row>
    <row r="140">
      <c r="A140" s="1" t="s">
        <v>756</v>
      </c>
      <c r="B140" s="1" t="s">
        <v>757</v>
      </c>
      <c r="C140" s="1" t="s">
        <v>758</v>
      </c>
      <c r="D140" s="1" t="s">
        <v>759</v>
      </c>
      <c r="E140" s="1">
        <v>2769.0</v>
      </c>
      <c r="F140" s="1" t="s">
        <v>288</v>
      </c>
      <c r="G140" s="1">
        <v>729375.0</v>
      </c>
      <c r="H140" s="1" t="s">
        <v>80</v>
      </c>
      <c r="I140" s="1"/>
      <c r="J140" s="1"/>
      <c r="K140" s="1" t="s">
        <v>23</v>
      </c>
      <c r="L140" s="1" t="s">
        <v>760</v>
      </c>
      <c r="M140" s="1">
        <v>1.0</v>
      </c>
      <c r="N140" s="1">
        <v>1.0</v>
      </c>
      <c r="O140" s="1" t="s">
        <v>288</v>
      </c>
      <c r="P140" s="1" t="s">
        <v>25</v>
      </c>
      <c r="Q140" s="2" t="str">
        <f t="shared" si="1"/>
        <v>H019559</v>
      </c>
    </row>
    <row r="141">
      <c r="A141" s="1" t="s">
        <v>761</v>
      </c>
      <c r="B141" s="1" t="s">
        <v>762</v>
      </c>
      <c r="C141" s="1" t="s">
        <v>763</v>
      </c>
      <c r="D141" s="1" t="s">
        <v>764</v>
      </c>
      <c r="E141" s="1">
        <v>4325.0</v>
      </c>
      <c r="F141" s="1" t="s">
        <v>288</v>
      </c>
      <c r="G141" s="1">
        <v>729375.0</v>
      </c>
      <c r="H141" s="1" t="s">
        <v>80</v>
      </c>
      <c r="I141" s="1"/>
      <c r="J141" s="1"/>
      <c r="K141" s="1" t="s">
        <v>23</v>
      </c>
      <c r="L141" s="1" t="s">
        <v>765</v>
      </c>
      <c r="M141" s="1">
        <v>1.0</v>
      </c>
      <c r="N141" s="1">
        <v>1.0</v>
      </c>
      <c r="O141" s="1" t="s">
        <v>288</v>
      </c>
      <c r="P141" s="1" t="s">
        <v>25</v>
      </c>
      <c r="Q141" s="2" t="str">
        <f t="shared" si="1"/>
        <v>H019505</v>
      </c>
    </row>
    <row r="142">
      <c r="A142" s="1" t="s">
        <v>766</v>
      </c>
      <c r="B142" s="1" t="s">
        <v>767</v>
      </c>
      <c r="C142" s="1" t="s">
        <v>768</v>
      </c>
      <c r="D142" s="1" t="s">
        <v>769</v>
      </c>
      <c r="E142" s="1">
        <v>2821.0</v>
      </c>
      <c r="F142" s="1" t="s">
        <v>398</v>
      </c>
      <c r="G142" s="1" t="s">
        <v>155</v>
      </c>
      <c r="H142" s="1" t="s">
        <v>156</v>
      </c>
      <c r="I142" s="1"/>
      <c r="J142" s="1"/>
      <c r="K142" s="1" t="s">
        <v>23</v>
      </c>
      <c r="L142" s="1" t="s">
        <v>770</v>
      </c>
      <c r="M142" s="1">
        <v>3.0</v>
      </c>
      <c r="N142" s="1">
        <v>1.0</v>
      </c>
      <c r="O142" s="1" t="s">
        <v>398</v>
      </c>
      <c r="P142" s="1" t="s">
        <v>25</v>
      </c>
      <c r="Q142" s="2" t="str">
        <f t="shared" si="1"/>
        <v>H030821</v>
      </c>
    </row>
    <row r="143">
      <c r="A143" s="1" t="s">
        <v>771</v>
      </c>
      <c r="B143" s="1" t="s">
        <v>772</v>
      </c>
      <c r="C143" s="1" t="s">
        <v>773</v>
      </c>
      <c r="D143" s="1" t="s">
        <v>774</v>
      </c>
      <c r="E143" s="1">
        <v>5313.0</v>
      </c>
      <c r="F143" s="1" t="s">
        <v>398</v>
      </c>
      <c r="G143" s="1" t="s">
        <v>155</v>
      </c>
      <c r="H143" s="1" t="s">
        <v>156</v>
      </c>
      <c r="I143" s="1"/>
      <c r="J143" s="1"/>
      <c r="K143" s="1" t="s">
        <v>23</v>
      </c>
      <c r="L143" s="1" t="s">
        <v>775</v>
      </c>
      <c r="M143" s="1">
        <v>3.0</v>
      </c>
      <c r="N143" s="1">
        <v>1.0</v>
      </c>
      <c r="O143" s="1" t="s">
        <v>398</v>
      </c>
      <c r="P143" s="1" t="s">
        <v>25</v>
      </c>
      <c r="Q143" s="2" t="str">
        <f t="shared" si="1"/>
        <v>H030821</v>
      </c>
    </row>
    <row r="144">
      <c r="A144" s="1" t="s">
        <v>776</v>
      </c>
      <c r="B144" s="1" t="s">
        <v>777</v>
      </c>
      <c r="C144" s="1" t="s">
        <v>778</v>
      </c>
      <c r="D144" s="1" t="s">
        <v>779</v>
      </c>
      <c r="E144" s="1">
        <v>3257.0</v>
      </c>
      <c r="F144" s="1" t="s">
        <v>398</v>
      </c>
      <c r="G144" s="1" t="s">
        <v>155</v>
      </c>
      <c r="H144" s="1" t="s">
        <v>156</v>
      </c>
      <c r="I144" s="1"/>
      <c r="J144" s="1"/>
      <c r="K144" s="1" t="s">
        <v>23</v>
      </c>
      <c r="L144" s="1" t="s">
        <v>780</v>
      </c>
      <c r="M144" s="1">
        <v>3.0</v>
      </c>
      <c r="N144" s="1">
        <v>1.0</v>
      </c>
      <c r="O144" s="1" t="s">
        <v>398</v>
      </c>
      <c r="P144" s="1" t="s">
        <v>25</v>
      </c>
      <c r="Q144" s="2" t="str">
        <f t="shared" si="1"/>
        <v>H030821</v>
      </c>
    </row>
    <row r="145">
      <c r="A145" s="1" t="s">
        <v>781</v>
      </c>
      <c r="B145" s="1" t="s">
        <v>782</v>
      </c>
      <c r="C145" s="1" t="s">
        <v>783</v>
      </c>
      <c r="D145" s="1" t="s">
        <v>784</v>
      </c>
      <c r="E145" s="1">
        <v>3490.0</v>
      </c>
      <c r="F145" s="1" t="s">
        <v>398</v>
      </c>
      <c r="G145" s="1" t="s">
        <v>155</v>
      </c>
      <c r="H145" s="1" t="s">
        <v>156</v>
      </c>
      <c r="I145" s="1"/>
      <c r="J145" s="1"/>
      <c r="K145" s="1" t="s">
        <v>23</v>
      </c>
      <c r="L145" s="1" t="s">
        <v>785</v>
      </c>
      <c r="M145" s="1">
        <v>3.0</v>
      </c>
      <c r="N145" s="1">
        <v>1.0</v>
      </c>
      <c r="O145" s="1" t="s">
        <v>398</v>
      </c>
      <c r="P145" s="1" t="s">
        <v>25</v>
      </c>
      <c r="Q145" s="2" t="str">
        <f t="shared" si="1"/>
        <v>H030821</v>
      </c>
    </row>
    <row r="146">
      <c r="A146" s="1" t="s">
        <v>786</v>
      </c>
      <c r="B146" s="1" t="s">
        <v>787</v>
      </c>
      <c r="C146" s="1" t="s">
        <v>788</v>
      </c>
      <c r="D146" s="1" t="s">
        <v>789</v>
      </c>
      <c r="E146" s="1">
        <v>6355.0</v>
      </c>
      <c r="F146" s="1" t="s">
        <v>498</v>
      </c>
      <c r="G146" s="1" t="s">
        <v>167</v>
      </c>
      <c r="H146" s="1" t="s">
        <v>168</v>
      </c>
      <c r="I146" s="1"/>
      <c r="J146" s="1"/>
      <c r="K146" s="1" t="s">
        <v>23</v>
      </c>
      <c r="L146" s="1" t="s">
        <v>790</v>
      </c>
      <c r="M146" s="1">
        <v>0.0</v>
      </c>
      <c r="N146" s="1">
        <v>1.0</v>
      </c>
      <c r="O146" s="1" t="s">
        <v>498</v>
      </c>
      <c r="P146" s="1" t="s">
        <v>25</v>
      </c>
      <c r="Q146" s="2" t="str">
        <f t="shared" si="1"/>
        <v>H030129</v>
      </c>
    </row>
    <row r="147">
      <c r="A147" s="1" t="s">
        <v>791</v>
      </c>
      <c r="B147" s="1" t="s">
        <v>792</v>
      </c>
      <c r="C147" s="1" t="s">
        <v>793</v>
      </c>
      <c r="D147" s="1" t="s">
        <v>794</v>
      </c>
      <c r="E147" s="1">
        <v>3986.0</v>
      </c>
      <c r="F147" s="1" t="s">
        <v>498</v>
      </c>
      <c r="G147" s="1" t="s">
        <v>167</v>
      </c>
      <c r="H147" s="1" t="s">
        <v>168</v>
      </c>
      <c r="I147" s="1"/>
      <c r="J147" s="1"/>
      <c r="K147" s="1" t="s">
        <v>23</v>
      </c>
      <c r="L147" s="1" t="s">
        <v>795</v>
      </c>
      <c r="M147" s="1">
        <v>0.0</v>
      </c>
      <c r="N147" s="1">
        <v>1.0</v>
      </c>
      <c r="O147" s="1" t="s">
        <v>498</v>
      </c>
      <c r="P147" s="1" t="s">
        <v>25</v>
      </c>
      <c r="Q147" s="2" t="str">
        <f t="shared" si="1"/>
        <v>H030129</v>
      </c>
    </row>
    <row r="148">
      <c r="A148" s="1" t="s">
        <v>796</v>
      </c>
      <c r="B148" s="1" t="s">
        <v>797</v>
      </c>
      <c r="C148" s="1" t="s">
        <v>798</v>
      </c>
      <c r="D148" s="1" t="s">
        <v>799</v>
      </c>
      <c r="E148" s="1">
        <v>4107.0</v>
      </c>
      <c r="F148" s="1" t="s">
        <v>498</v>
      </c>
      <c r="G148" s="1" t="s">
        <v>167</v>
      </c>
      <c r="H148" s="1" t="s">
        <v>168</v>
      </c>
      <c r="I148" s="1"/>
      <c r="J148" s="1"/>
      <c r="K148" s="1" t="s">
        <v>23</v>
      </c>
      <c r="L148" s="1" t="s">
        <v>800</v>
      </c>
      <c r="M148" s="1">
        <v>0.0</v>
      </c>
      <c r="N148" s="1">
        <v>1.0</v>
      </c>
      <c r="O148" s="1" t="s">
        <v>498</v>
      </c>
      <c r="P148" s="1" t="s">
        <v>25</v>
      </c>
      <c r="Q148" s="2" t="str">
        <f t="shared" si="1"/>
        <v>H030129</v>
      </c>
    </row>
    <row r="149">
      <c r="A149" s="1" t="s">
        <v>801</v>
      </c>
      <c r="B149" s="1" t="s">
        <v>802</v>
      </c>
      <c r="C149" s="1" t="s">
        <v>803</v>
      </c>
      <c r="D149" s="1" t="s">
        <v>804</v>
      </c>
      <c r="E149" s="1">
        <v>4051.0</v>
      </c>
      <c r="F149" s="1" t="s">
        <v>498</v>
      </c>
      <c r="G149" s="1" t="s">
        <v>167</v>
      </c>
      <c r="H149" s="1" t="s">
        <v>168</v>
      </c>
      <c r="I149" s="1"/>
      <c r="J149" s="1"/>
      <c r="K149" s="1" t="s">
        <v>23</v>
      </c>
      <c r="L149" s="1" t="s">
        <v>805</v>
      </c>
      <c r="M149" s="1">
        <v>0.0</v>
      </c>
      <c r="N149" s="1">
        <v>1.0</v>
      </c>
      <c r="O149" s="1" t="s">
        <v>498</v>
      </c>
      <c r="P149" s="1" t="s">
        <v>25</v>
      </c>
      <c r="Q149" s="2" t="str">
        <f t="shared" si="1"/>
        <v>H030129</v>
      </c>
    </row>
    <row r="150">
      <c r="A150" s="1" t="s">
        <v>806</v>
      </c>
      <c r="B150" s="1" t="s">
        <v>807</v>
      </c>
      <c r="C150" s="1" t="s">
        <v>808</v>
      </c>
      <c r="D150" s="1" t="s">
        <v>809</v>
      </c>
      <c r="E150" s="1">
        <v>4574.0</v>
      </c>
      <c r="F150" s="1" t="s">
        <v>288</v>
      </c>
      <c r="G150" s="1" t="s">
        <v>304</v>
      </c>
      <c r="H150" s="1" t="s">
        <v>272</v>
      </c>
      <c r="I150" s="1"/>
      <c r="J150" s="1"/>
      <c r="K150" s="1" t="s">
        <v>23</v>
      </c>
      <c r="L150" s="1" t="s">
        <v>810</v>
      </c>
      <c r="M150" s="1">
        <v>1.0</v>
      </c>
      <c r="N150" s="1">
        <v>1.0</v>
      </c>
      <c r="O150" s="1" t="s">
        <v>288</v>
      </c>
      <c r="P150" s="1" t="s">
        <v>25</v>
      </c>
      <c r="Q150" s="2" t="str">
        <f t="shared" si="1"/>
        <v>H019559</v>
      </c>
    </row>
    <row r="151">
      <c r="A151" s="1" t="s">
        <v>811</v>
      </c>
      <c r="B151" s="1" t="s">
        <v>812</v>
      </c>
      <c r="C151" s="1" t="s">
        <v>813</v>
      </c>
      <c r="D151" s="1" t="s">
        <v>814</v>
      </c>
      <c r="E151" s="1">
        <v>3625.0</v>
      </c>
      <c r="F151" s="1" t="s">
        <v>288</v>
      </c>
      <c r="G151" s="1" t="s">
        <v>304</v>
      </c>
      <c r="H151" s="1" t="s">
        <v>272</v>
      </c>
      <c r="I151" s="1"/>
      <c r="J151" s="1"/>
      <c r="K151" s="1" t="s">
        <v>23</v>
      </c>
      <c r="L151" s="1" t="s">
        <v>815</v>
      </c>
      <c r="M151" s="1">
        <v>1.0</v>
      </c>
      <c r="N151" s="1">
        <v>1.0</v>
      </c>
      <c r="O151" s="1" t="s">
        <v>288</v>
      </c>
      <c r="P151" s="1" t="s">
        <v>25</v>
      </c>
      <c r="Q151" s="2" t="str">
        <f t="shared" si="1"/>
        <v>H019505</v>
      </c>
    </row>
    <row r="152">
      <c r="A152" s="1" t="s">
        <v>816</v>
      </c>
      <c r="B152" s="1" t="s">
        <v>817</v>
      </c>
      <c r="C152" s="1" t="s">
        <v>818</v>
      </c>
      <c r="D152" s="1" t="s">
        <v>819</v>
      </c>
      <c r="E152" s="1">
        <v>8426.0</v>
      </c>
      <c r="F152" s="1" t="s">
        <v>288</v>
      </c>
      <c r="G152" s="1" t="s">
        <v>304</v>
      </c>
      <c r="H152" s="1" t="s">
        <v>272</v>
      </c>
      <c r="I152" s="1"/>
      <c r="J152" s="1"/>
      <c r="K152" s="1" t="s">
        <v>23</v>
      </c>
      <c r="L152" s="1" t="s">
        <v>820</v>
      </c>
      <c r="M152" s="1">
        <v>1.0</v>
      </c>
      <c r="N152" s="1">
        <v>1.0</v>
      </c>
      <c r="O152" s="1" t="s">
        <v>288</v>
      </c>
      <c r="P152" s="1" t="s">
        <v>25</v>
      </c>
      <c r="Q152" s="2" t="str">
        <f t="shared" si="1"/>
        <v>H019505</v>
      </c>
    </row>
    <row r="153">
      <c r="A153" s="1" t="s">
        <v>821</v>
      </c>
      <c r="B153" s="1" t="s">
        <v>822</v>
      </c>
      <c r="C153" s="1" t="s">
        <v>823</v>
      </c>
      <c r="D153" s="1" t="s">
        <v>824</v>
      </c>
      <c r="E153" s="1">
        <v>5035.0</v>
      </c>
      <c r="F153" s="1" t="s">
        <v>288</v>
      </c>
      <c r="G153" s="1" t="s">
        <v>304</v>
      </c>
      <c r="H153" s="1" t="s">
        <v>272</v>
      </c>
      <c r="I153" s="1"/>
      <c r="J153" s="1"/>
      <c r="K153" s="1" t="s">
        <v>23</v>
      </c>
      <c r="L153" s="1" t="s">
        <v>825</v>
      </c>
      <c r="M153" s="1">
        <v>1.0</v>
      </c>
      <c r="N153" s="1">
        <v>1.0</v>
      </c>
      <c r="O153" s="1" t="s">
        <v>288</v>
      </c>
      <c r="P153" s="1" t="s">
        <v>25</v>
      </c>
      <c r="Q153" s="2" t="str">
        <f t="shared" si="1"/>
        <v>H019505</v>
      </c>
    </row>
    <row r="154">
      <c r="A154" s="1" t="s">
        <v>826</v>
      </c>
      <c r="B154" s="1" t="s">
        <v>827</v>
      </c>
      <c r="C154" s="1" t="s">
        <v>828</v>
      </c>
      <c r="D154" s="1" t="s">
        <v>829</v>
      </c>
      <c r="E154" s="1">
        <v>3671.0</v>
      </c>
      <c r="F154" s="1" t="s">
        <v>382</v>
      </c>
      <c r="G154" s="1" t="s">
        <v>119</v>
      </c>
      <c r="H154" s="1" t="s">
        <v>120</v>
      </c>
      <c r="I154" s="1"/>
      <c r="J154" s="1"/>
      <c r="K154" s="1" t="s">
        <v>23</v>
      </c>
      <c r="L154" s="1" t="s">
        <v>830</v>
      </c>
      <c r="M154" s="1">
        <v>2.0</v>
      </c>
      <c r="N154" s="1">
        <v>1.0</v>
      </c>
      <c r="O154" s="1" t="s">
        <v>382</v>
      </c>
      <c r="P154" s="1" t="s">
        <v>25</v>
      </c>
      <c r="Q154" s="2" t="str">
        <f t="shared" si="1"/>
        <v>H030829</v>
      </c>
    </row>
    <row r="155">
      <c r="A155" s="1" t="s">
        <v>831</v>
      </c>
      <c r="B155" s="1" t="s">
        <v>832</v>
      </c>
      <c r="C155" s="1" t="s">
        <v>833</v>
      </c>
      <c r="D155" s="1" t="s">
        <v>834</v>
      </c>
      <c r="E155" s="1">
        <v>3229.0</v>
      </c>
      <c r="F155" s="1" t="s">
        <v>382</v>
      </c>
      <c r="G155" s="1" t="s">
        <v>119</v>
      </c>
      <c r="H155" s="1" t="s">
        <v>120</v>
      </c>
      <c r="I155" s="1"/>
      <c r="J155" s="1"/>
      <c r="K155" s="1" t="s">
        <v>23</v>
      </c>
      <c r="L155" s="1" t="s">
        <v>835</v>
      </c>
      <c r="M155" s="1">
        <v>2.0</v>
      </c>
      <c r="N155" s="1">
        <v>1.0</v>
      </c>
      <c r="O155" s="1" t="s">
        <v>382</v>
      </c>
      <c r="P155" s="1" t="s">
        <v>25</v>
      </c>
      <c r="Q155" s="2" t="str">
        <f t="shared" si="1"/>
        <v>H030829</v>
      </c>
    </row>
    <row r="156">
      <c r="A156" s="1" t="s">
        <v>836</v>
      </c>
      <c r="B156" s="1" t="s">
        <v>837</v>
      </c>
      <c r="C156" s="1" t="s">
        <v>838</v>
      </c>
      <c r="D156" s="1" t="s">
        <v>839</v>
      </c>
      <c r="E156" s="1">
        <v>3471.0</v>
      </c>
      <c r="F156" s="1" t="s">
        <v>382</v>
      </c>
      <c r="G156" s="1" t="s">
        <v>119</v>
      </c>
      <c r="H156" s="1" t="s">
        <v>120</v>
      </c>
      <c r="I156" s="1"/>
      <c r="J156" s="1"/>
      <c r="K156" s="1" t="s">
        <v>23</v>
      </c>
      <c r="L156" s="1" t="s">
        <v>840</v>
      </c>
      <c r="M156" s="1">
        <v>2.0</v>
      </c>
      <c r="N156" s="1">
        <v>1.0</v>
      </c>
      <c r="O156" s="1" t="s">
        <v>382</v>
      </c>
      <c r="P156" s="1" t="s">
        <v>25</v>
      </c>
      <c r="Q156" s="2" t="str">
        <f t="shared" si="1"/>
        <v>H030829</v>
      </c>
    </row>
    <row r="157">
      <c r="A157" s="1" t="s">
        <v>841</v>
      </c>
      <c r="B157" s="1" t="s">
        <v>842</v>
      </c>
      <c r="C157" s="1" t="s">
        <v>843</v>
      </c>
      <c r="D157" s="1" t="s">
        <v>844</v>
      </c>
      <c r="E157" s="1">
        <v>2856.0</v>
      </c>
      <c r="F157" s="1" t="s">
        <v>398</v>
      </c>
      <c r="G157" s="1" t="s">
        <v>232</v>
      </c>
      <c r="H157" s="1" t="s">
        <v>233</v>
      </c>
      <c r="I157" s="1"/>
      <c r="J157" s="1"/>
      <c r="K157" s="1" t="s">
        <v>23</v>
      </c>
      <c r="L157" s="1" t="s">
        <v>845</v>
      </c>
      <c r="M157" s="1">
        <v>2.0</v>
      </c>
      <c r="N157" s="1">
        <v>1.0</v>
      </c>
      <c r="O157" s="1" t="s">
        <v>398</v>
      </c>
      <c r="P157" s="1" t="s">
        <v>25</v>
      </c>
      <c r="Q157" s="2" t="str">
        <f t="shared" si="1"/>
        <v>H030748</v>
      </c>
    </row>
    <row r="158">
      <c r="A158" s="1" t="s">
        <v>846</v>
      </c>
      <c r="B158" s="1" t="s">
        <v>847</v>
      </c>
      <c r="C158" s="1" t="s">
        <v>848</v>
      </c>
      <c r="D158" s="1" t="s">
        <v>849</v>
      </c>
      <c r="E158" s="1">
        <v>3770.0</v>
      </c>
      <c r="F158" s="1" t="s">
        <v>398</v>
      </c>
      <c r="G158" s="1" t="s">
        <v>232</v>
      </c>
      <c r="H158" s="1" t="s">
        <v>233</v>
      </c>
      <c r="I158" s="1"/>
      <c r="J158" s="1"/>
      <c r="K158" s="1" t="s">
        <v>23</v>
      </c>
      <c r="L158" s="1" t="s">
        <v>850</v>
      </c>
      <c r="M158" s="1">
        <v>2.0</v>
      </c>
      <c r="N158" s="1">
        <v>1.0</v>
      </c>
      <c r="O158" s="1" t="s">
        <v>398</v>
      </c>
      <c r="P158" s="1" t="s">
        <v>25</v>
      </c>
      <c r="Q158" s="2" t="str">
        <f t="shared" si="1"/>
        <v>H030748</v>
      </c>
    </row>
    <row r="159">
      <c r="A159" s="1" t="s">
        <v>851</v>
      </c>
      <c r="B159" s="1" t="s">
        <v>852</v>
      </c>
      <c r="C159" s="1" t="s">
        <v>853</v>
      </c>
      <c r="D159" s="1" t="s">
        <v>854</v>
      </c>
      <c r="E159" s="1">
        <v>3856.0</v>
      </c>
      <c r="F159" s="1" t="s">
        <v>398</v>
      </c>
      <c r="G159" s="1" t="s">
        <v>232</v>
      </c>
      <c r="H159" s="1" t="s">
        <v>233</v>
      </c>
      <c r="I159" s="1"/>
      <c r="J159" s="1"/>
      <c r="K159" s="1" t="s">
        <v>23</v>
      </c>
      <c r="L159" s="1" t="s">
        <v>855</v>
      </c>
      <c r="M159" s="1">
        <v>2.0</v>
      </c>
      <c r="N159" s="1">
        <v>1.0</v>
      </c>
      <c r="O159" s="1" t="s">
        <v>398</v>
      </c>
      <c r="P159" s="1" t="s">
        <v>25</v>
      </c>
      <c r="Q159" s="2" t="str">
        <f t="shared" si="1"/>
        <v>H030748</v>
      </c>
    </row>
    <row r="160">
      <c r="A160" s="1" t="s">
        <v>856</v>
      </c>
      <c r="B160" s="1" t="s">
        <v>857</v>
      </c>
      <c r="C160" s="1" t="s">
        <v>858</v>
      </c>
      <c r="D160" s="1" t="s">
        <v>859</v>
      </c>
      <c r="E160" s="1">
        <v>3866.0</v>
      </c>
      <c r="F160" s="1" t="s">
        <v>398</v>
      </c>
      <c r="G160" s="1" t="s">
        <v>232</v>
      </c>
      <c r="H160" s="1" t="s">
        <v>233</v>
      </c>
      <c r="I160" s="1"/>
      <c r="J160" s="1"/>
      <c r="K160" s="1" t="s">
        <v>23</v>
      </c>
      <c r="L160" s="1" t="s">
        <v>860</v>
      </c>
      <c r="M160" s="1">
        <v>2.0</v>
      </c>
      <c r="N160" s="1">
        <v>1.0</v>
      </c>
      <c r="O160" s="1" t="s">
        <v>398</v>
      </c>
      <c r="P160" s="1" t="s">
        <v>25</v>
      </c>
      <c r="Q160" s="2" t="str">
        <f t="shared" si="1"/>
        <v>H030748</v>
      </c>
    </row>
    <row r="161">
      <c r="A161" s="1" t="s">
        <v>861</v>
      </c>
      <c r="B161" s="1" t="s">
        <v>862</v>
      </c>
      <c r="C161" s="1" t="s">
        <v>863</v>
      </c>
      <c r="D161" s="1" t="s">
        <v>864</v>
      </c>
      <c r="E161" s="1">
        <v>7050.0</v>
      </c>
      <c r="F161" s="1" t="s">
        <v>398</v>
      </c>
      <c r="G161" s="1" t="s">
        <v>179</v>
      </c>
      <c r="H161" s="1" t="s">
        <v>180</v>
      </c>
      <c r="I161" s="1"/>
      <c r="J161" s="1"/>
      <c r="K161" s="1" t="s">
        <v>23</v>
      </c>
      <c r="L161" s="1" t="s">
        <v>865</v>
      </c>
      <c r="M161" s="1">
        <v>2.0</v>
      </c>
      <c r="N161" s="1">
        <v>1.0</v>
      </c>
      <c r="O161" s="1" t="s">
        <v>398</v>
      </c>
      <c r="P161" s="1" t="s">
        <v>25</v>
      </c>
      <c r="Q161" s="2" t="str">
        <f t="shared" si="1"/>
        <v>H030748</v>
      </c>
    </row>
    <row r="162">
      <c r="A162" s="1" t="s">
        <v>866</v>
      </c>
      <c r="B162" s="1" t="s">
        <v>867</v>
      </c>
      <c r="C162" s="1" t="s">
        <v>868</v>
      </c>
      <c r="D162" s="1" t="s">
        <v>869</v>
      </c>
      <c r="E162" s="1">
        <v>5995.0</v>
      </c>
      <c r="F162" s="1" t="s">
        <v>398</v>
      </c>
      <c r="G162" s="1" t="s">
        <v>179</v>
      </c>
      <c r="H162" s="1" t="s">
        <v>180</v>
      </c>
      <c r="I162" s="1"/>
      <c r="J162" s="1"/>
      <c r="K162" s="1" t="s">
        <v>23</v>
      </c>
      <c r="L162" s="1" t="s">
        <v>870</v>
      </c>
      <c r="M162" s="1">
        <v>2.0</v>
      </c>
      <c r="N162" s="1">
        <v>1.0</v>
      </c>
      <c r="O162" s="1" t="s">
        <v>398</v>
      </c>
      <c r="P162" s="1" t="s">
        <v>25</v>
      </c>
      <c r="Q162" s="2" t="str">
        <f t="shared" si="1"/>
        <v>H030748</v>
      </c>
    </row>
    <row r="163">
      <c r="A163" s="1" t="s">
        <v>871</v>
      </c>
      <c r="B163" s="1" t="s">
        <v>872</v>
      </c>
      <c r="C163" s="1" t="s">
        <v>873</v>
      </c>
      <c r="D163" s="1" t="s">
        <v>874</v>
      </c>
      <c r="E163" s="1">
        <v>6340.0</v>
      </c>
      <c r="F163" s="1" t="s">
        <v>398</v>
      </c>
      <c r="G163" s="1" t="s">
        <v>179</v>
      </c>
      <c r="H163" s="1" t="s">
        <v>180</v>
      </c>
      <c r="I163" s="1"/>
      <c r="J163" s="1"/>
      <c r="K163" s="1" t="s">
        <v>23</v>
      </c>
      <c r="L163" s="1" t="s">
        <v>875</v>
      </c>
      <c r="M163" s="1">
        <v>2.0</v>
      </c>
      <c r="N163" s="1">
        <v>1.0</v>
      </c>
      <c r="O163" s="1" t="s">
        <v>398</v>
      </c>
      <c r="P163" s="1" t="s">
        <v>25</v>
      </c>
      <c r="Q163" s="2" t="str">
        <f t="shared" si="1"/>
        <v>H030748</v>
      </c>
    </row>
    <row r="164">
      <c r="A164" s="1" t="s">
        <v>876</v>
      </c>
      <c r="B164" s="1" t="s">
        <v>877</v>
      </c>
      <c r="C164" s="1" t="s">
        <v>878</v>
      </c>
      <c r="D164" s="1" t="s">
        <v>879</v>
      </c>
      <c r="E164" s="1">
        <v>7834.0</v>
      </c>
      <c r="F164" s="1" t="s">
        <v>498</v>
      </c>
      <c r="G164" s="1">
        <v>896791.0</v>
      </c>
      <c r="H164" s="1" t="s">
        <v>244</v>
      </c>
      <c r="I164" s="1"/>
      <c r="J164" s="1"/>
      <c r="K164" s="1" t="s">
        <v>23</v>
      </c>
      <c r="L164" s="1" t="s">
        <v>880</v>
      </c>
      <c r="M164" s="1">
        <v>1.0</v>
      </c>
      <c r="N164" s="1">
        <v>1.0</v>
      </c>
      <c r="O164" s="1" t="s">
        <v>498</v>
      </c>
      <c r="P164" s="1" t="s">
        <v>25</v>
      </c>
      <c r="Q164" s="2" t="str">
        <f t="shared" si="1"/>
        <v>H030636</v>
      </c>
    </row>
    <row r="165">
      <c r="A165" s="1" t="s">
        <v>881</v>
      </c>
      <c r="B165" s="1" t="s">
        <v>882</v>
      </c>
      <c r="C165" s="1" t="s">
        <v>883</v>
      </c>
      <c r="D165" s="1" t="s">
        <v>884</v>
      </c>
      <c r="E165" s="1">
        <v>6598.0</v>
      </c>
      <c r="F165" s="1" t="s">
        <v>498</v>
      </c>
      <c r="G165" s="1">
        <v>896791.0</v>
      </c>
      <c r="H165" s="1" t="s">
        <v>244</v>
      </c>
      <c r="I165" s="1"/>
      <c r="J165" s="1"/>
      <c r="K165" s="1" t="s">
        <v>23</v>
      </c>
      <c r="L165" s="1" t="s">
        <v>885</v>
      </c>
      <c r="M165" s="1">
        <v>1.0</v>
      </c>
      <c r="N165" s="1">
        <v>1.0</v>
      </c>
      <c r="O165" s="1" t="s">
        <v>498</v>
      </c>
      <c r="P165" s="1" t="s">
        <v>25</v>
      </c>
      <c r="Q165" s="2" t="str">
        <f t="shared" si="1"/>
        <v>H030636</v>
      </c>
    </row>
    <row r="166">
      <c r="A166" s="1" t="s">
        <v>886</v>
      </c>
      <c r="B166" s="1" t="s">
        <v>887</v>
      </c>
      <c r="C166" s="1" t="s">
        <v>888</v>
      </c>
      <c r="D166" s="1" t="s">
        <v>889</v>
      </c>
      <c r="E166" s="1">
        <v>6152.0</v>
      </c>
      <c r="F166" s="1" t="s">
        <v>498</v>
      </c>
      <c r="G166" s="1">
        <v>896791.0</v>
      </c>
      <c r="H166" s="1" t="s">
        <v>244</v>
      </c>
      <c r="I166" s="1"/>
      <c r="J166" s="1"/>
      <c r="K166" s="1" t="s">
        <v>23</v>
      </c>
      <c r="L166" s="1" t="s">
        <v>890</v>
      </c>
      <c r="M166" s="1">
        <v>1.0</v>
      </c>
      <c r="N166" s="1">
        <v>1.0</v>
      </c>
      <c r="O166" s="1" t="s">
        <v>498</v>
      </c>
      <c r="P166" s="1" t="s">
        <v>25</v>
      </c>
      <c r="Q166" s="2" t="str">
        <f t="shared" si="1"/>
        <v>H030636</v>
      </c>
    </row>
    <row r="167">
      <c r="A167" s="1" t="s">
        <v>891</v>
      </c>
      <c r="B167" s="1" t="s">
        <v>892</v>
      </c>
      <c r="C167" s="1" t="s">
        <v>893</v>
      </c>
      <c r="D167" s="1" t="s">
        <v>894</v>
      </c>
      <c r="E167" s="1">
        <v>6416.0</v>
      </c>
      <c r="F167" s="1" t="s">
        <v>498</v>
      </c>
      <c r="G167" s="1" t="s">
        <v>220</v>
      </c>
      <c r="H167" s="1" t="s">
        <v>221</v>
      </c>
      <c r="I167" s="1"/>
      <c r="J167" s="1"/>
      <c r="K167" s="1" t="s">
        <v>23</v>
      </c>
      <c r="L167" s="1" t="s">
        <v>895</v>
      </c>
      <c r="M167" s="1">
        <v>1.0</v>
      </c>
      <c r="N167" s="1">
        <v>1.0</v>
      </c>
      <c r="O167" s="1" t="s">
        <v>498</v>
      </c>
      <c r="P167" s="1" t="s">
        <v>25</v>
      </c>
      <c r="Q167" s="2" t="str">
        <f t="shared" si="1"/>
        <v>H030636</v>
      </c>
    </row>
    <row r="168">
      <c r="A168" s="1" t="s">
        <v>896</v>
      </c>
      <c r="B168" s="1" t="s">
        <v>897</v>
      </c>
      <c r="C168" s="1" t="s">
        <v>898</v>
      </c>
      <c r="D168" s="1" t="s">
        <v>899</v>
      </c>
      <c r="E168" s="1">
        <v>5031.0</v>
      </c>
      <c r="F168" s="1" t="s">
        <v>498</v>
      </c>
      <c r="G168" s="1" t="s">
        <v>220</v>
      </c>
      <c r="H168" s="1" t="s">
        <v>221</v>
      </c>
      <c r="I168" s="1"/>
      <c r="J168" s="1"/>
      <c r="K168" s="1" t="s">
        <v>23</v>
      </c>
      <c r="L168" s="1" t="s">
        <v>900</v>
      </c>
      <c r="M168" s="1">
        <v>1.0</v>
      </c>
      <c r="N168" s="1">
        <v>1.0</v>
      </c>
      <c r="O168" s="1" t="s">
        <v>498</v>
      </c>
      <c r="P168" s="1" t="s">
        <v>25</v>
      </c>
      <c r="Q168" s="2" t="str">
        <f t="shared" si="1"/>
        <v>H030636</v>
      </c>
    </row>
    <row r="169">
      <c r="A169" s="1" t="s">
        <v>901</v>
      </c>
      <c r="B169" s="1" t="s">
        <v>902</v>
      </c>
      <c r="C169" s="1" t="s">
        <v>903</v>
      </c>
      <c r="D169" s="1" t="s">
        <v>904</v>
      </c>
      <c r="E169" s="1">
        <v>3873.0</v>
      </c>
      <c r="F169" s="1" t="s">
        <v>382</v>
      </c>
      <c r="G169" s="1" t="s">
        <v>107</v>
      </c>
      <c r="H169" s="1" t="s">
        <v>108</v>
      </c>
      <c r="I169" s="1"/>
      <c r="J169" s="1"/>
      <c r="K169" s="1" t="s">
        <v>23</v>
      </c>
      <c r="L169" s="1" t="s">
        <v>905</v>
      </c>
      <c r="M169" s="1">
        <v>2.0</v>
      </c>
      <c r="N169" s="1">
        <v>1.0</v>
      </c>
      <c r="O169" s="1" t="s">
        <v>382</v>
      </c>
      <c r="P169" s="1" t="s">
        <v>25</v>
      </c>
      <c r="Q169" s="2" t="str">
        <f t="shared" si="1"/>
        <v>H030829</v>
      </c>
    </row>
    <row r="170">
      <c r="A170" s="1" t="s">
        <v>906</v>
      </c>
      <c r="B170" s="1" t="s">
        <v>907</v>
      </c>
      <c r="C170" s="1" t="s">
        <v>908</v>
      </c>
      <c r="D170" s="1" t="s">
        <v>909</v>
      </c>
      <c r="E170" s="1">
        <v>4815.0</v>
      </c>
      <c r="F170" s="1" t="s">
        <v>382</v>
      </c>
      <c r="G170" s="1" t="s">
        <v>107</v>
      </c>
      <c r="H170" s="1" t="s">
        <v>108</v>
      </c>
      <c r="I170" s="1"/>
      <c r="J170" s="1"/>
      <c r="K170" s="1" t="s">
        <v>23</v>
      </c>
      <c r="L170" s="1" t="s">
        <v>910</v>
      </c>
      <c r="M170" s="1">
        <v>2.0</v>
      </c>
      <c r="N170" s="1">
        <v>1.0</v>
      </c>
      <c r="O170" s="1" t="s">
        <v>382</v>
      </c>
      <c r="P170" s="1" t="s">
        <v>25</v>
      </c>
      <c r="Q170" s="2" t="str">
        <f t="shared" si="1"/>
        <v>H030829</v>
      </c>
    </row>
    <row r="171">
      <c r="A171" s="1" t="s">
        <v>911</v>
      </c>
      <c r="B171" s="1" t="s">
        <v>912</v>
      </c>
      <c r="C171" s="1" t="s">
        <v>913</v>
      </c>
      <c r="D171" s="1" t="s">
        <v>914</v>
      </c>
      <c r="E171" s="1">
        <v>2793.0</v>
      </c>
      <c r="F171" s="1" t="s">
        <v>382</v>
      </c>
      <c r="G171" s="1" t="s">
        <v>107</v>
      </c>
      <c r="H171" s="1" t="s">
        <v>108</v>
      </c>
      <c r="I171" s="1"/>
      <c r="J171" s="1"/>
      <c r="K171" s="1" t="s">
        <v>23</v>
      </c>
      <c r="L171" s="1" t="s">
        <v>915</v>
      </c>
      <c r="M171" s="1">
        <v>2.0</v>
      </c>
      <c r="N171" s="1">
        <v>1.0</v>
      </c>
      <c r="O171" s="1" t="s">
        <v>382</v>
      </c>
      <c r="P171" s="1" t="s">
        <v>25</v>
      </c>
      <c r="Q171" s="2" t="str">
        <f t="shared" si="1"/>
        <v>H030829</v>
      </c>
    </row>
    <row r="172">
      <c r="A172" s="1" t="s">
        <v>916</v>
      </c>
      <c r="B172" s="1" t="s">
        <v>917</v>
      </c>
      <c r="C172" s="1" t="s">
        <v>918</v>
      </c>
      <c r="D172" s="1" t="s">
        <v>919</v>
      </c>
      <c r="E172" s="1">
        <v>3942.0</v>
      </c>
      <c r="F172" s="1" t="s">
        <v>498</v>
      </c>
      <c r="G172" s="1" t="s">
        <v>220</v>
      </c>
      <c r="H172" s="1" t="s">
        <v>221</v>
      </c>
      <c r="I172" s="1"/>
      <c r="J172" s="1"/>
      <c r="K172" s="1" t="s">
        <v>23</v>
      </c>
      <c r="L172" s="1" t="s">
        <v>920</v>
      </c>
      <c r="M172" s="1">
        <v>1.0</v>
      </c>
      <c r="N172" s="1">
        <v>1.0</v>
      </c>
      <c r="O172" s="1" t="s">
        <v>498</v>
      </c>
      <c r="P172" s="1" t="s">
        <v>25</v>
      </c>
      <c r="Q172" s="2" t="str">
        <f t="shared" si="1"/>
        <v>H030636</v>
      </c>
    </row>
    <row r="173">
      <c r="A173" s="1" t="s">
        <v>921</v>
      </c>
      <c r="B173" s="1" t="s">
        <v>922</v>
      </c>
      <c r="C173" s="1" t="s">
        <v>923</v>
      </c>
      <c r="D173" s="1" t="s">
        <v>924</v>
      </c>
      <c r="E173" s="1">
        <v>6331.0</v>
      </c>
      <c r="F173" s="1" t="s">
        <v>498</v>
      </c>
      <c r="G173" s="1" t="s">
        <v>132</v>
      </c>
      <c r="H173" s="1" t="s">
        <v>133</v>
      </c>
      <c r="I173" s="1"/>
      <c r="J173" s="1"/>
      <c r="K173" s="1" t="s">
        <v>23</v>
      </c>
      <c r="L173" s="1" t="s">
        <v>925</v>
      </c>
      <c r="M173" s="1">
        <v>1.0</v>
      </c>
      <c r="N173" s="1">
        <v>1.0</v>
      </c>
      <c r="O173" s="1" t="s">
        <v>498</v>
      </c>
      <c r="P173" s="1" t="s">
        <v>25</v>
      </c>
      <c r="Q173" s="2" t="str">
        <f t="shared" si="1"/>
        <v>H030636</v>
      </c>
    </row>
    <row r="174">
      <c r="A174" s="1" t="s">
        <v>926</v>
      </c>
      <c r="B174" s="1" t="s">
        <v>927</v>
      </c>
      <c r="C174" s="1" t="s">
        <v>928</v>
      </c>
      <c r="D174" s="1" t="s">
        <v>929</v>
      </c>
      <c r="E174" s="1">
        <v>4499.0</v>
      </c>
      <c r="F174" s="1" t="s">
        <v>498</v>
      </c>
      <c r="G174" s="1" t="s">
        <v>132</v>
      </c>
      <c r="H174" s="1" t="s">
        <v>133</v>
      </c>
      <c r="I174" s="1"/>
      <c r="J174" s="1"/>
      <c r="K174" s="1" t="s">
        <v>23</v>
      </c>
      <c r="L174" s="1" t="s">
        <v>930</v>
      </c>
      <c r="M174" s="1">
        <v>1.0</v>
      </c>
      <c r="N174" s="1">
        <v>1.0</v>
      </c>
      <c r="O174" s="1" t="s">
        <v>498</v>
      </c>
      <c r="P174" s="1" t="s">
        <v>25</v>
      </c>
      <c r="Q174" s="2" t="str">
        <f t="shared" si="1"/>
        <v>H030636</v>
      </c>
    </row>
    <row r="175">
      <c r="A175" s="1" t="s">
        <v>931</v>
      </c>
      <c r="B175" s="1" t="s">
        <v>932</v>
      </c>
      <c r="C175" s="1" t="s">
        <v>933</v>
      </c>
      <c r="D175" s="1" t="s">
        <v>934</v>
      </c>
      <c r="E175" s="1">
        <v>5426.0</v>
      </c>
      <c r="F175" s="1" t="s">
        <v>498</v>
      </c>
      <c r="G175" s="1" t="s">
        <v>132</v>
      </c>
      <c r="H175" s="1" t="s">
        <v>133</v>
      </c>
      <c r="I175" s="1"/>
      <c r="J175" s="1"/>
      <c r="K175" s="1" t="s">
        <v>23</v>
      </c>
      <c r="L175" s="1" t="s">
        <v>935</v>
      </c>
      <c r="M175" s="1">
        <v>1.0</v>
      </c>
      <c r="N175" s="1">
        <v>1.0</v>
      </c>
      <c r="O175" s="1" t="s">
        <v>498</v>
      </c>
      <c r="P175" s="1" t="s">
        <v>25</v>
      </c>
      <c r="Q175" s="2" t="str">
        <f t="shared" si="1"/>
        <v>H030636</v>
      </c>
    </row>
    <row r="176">
      <c r="A176" s="1" t="s">
        <v>936</v>
      </c>
      <c r="B176" s="1" t="s">
        <v>937</v>
      </c>
      <c r="C176" s="1" t="s">
        <v>938</v>
      </c>
      <c r="D176" s="1" t="s">
        <v>939</v>
      </c>
      <c r="E176" s="1">
        <v>2798.0</v>
      </c>
      <c r="F176" s="1" t="s">
        <v>382</v>
      </c>
      <c r="G176" s="1" t="s">
        <v>191</v>
      </c>
      <c r="H176" s="1" t="s">
        <v>192</v>
      </c>
      <c r="I176" s="1" t="s">
        <v>486</v>
      </c>
      <c r="J176" s="1"/>
      <c r="K176" s="1" t="s">
        <v>23</v>
      </c>
      <c r="L176" s="1" t="s">
        <v>940</v>
      </c>
      <c r="M176" s="1">
        <v>2.0</v>
      </c>
      <c r="N176" s="1">
        <v>1.0</v>
      </c>
      <c r="O176" s="1" t="s">
        <v>382</v>
      </c>
      <c r="P176" s="1" t="s">
        <v>488</v>
      </c>
      <c r="Q176" s="2" t="str">
        <f t="shared" si="1"/>
        <v>H030829</v>
      </c>
    </row>
    <row r="177">
      <c r="A177" s="1" t="s">
        <v>941</v>
      </c>
      <c r="B177" s="1" t="s">
        <v>942</v>
      </c>
      <c r="C177" s="1" t="s">
        <v>943</v>
      </c>
      <c r="D177" s="1" t="s">
        <v>944</v>
      </c>
      <c r="E177" s="1">
        <v>3681.0</v>
      </c>
      <c r="F177" s="1" t="s">
        <v>382</v>
      </c>
      <c r="G177" s="1" t="s">
        <v>474</v>
      </c>
      <c r="H177" s="1" t="s">
        <v>475</v>
      </c>
      <c r="I177" s="1"/>
      <c r="J177" s="1"/>
      <c r="K177" s="1" t="s">
        <v>23</v>
      </c>
      <c r="L177" s="1" t="s">
        <v>945</v>
      </c>
      <c r="M177" s="1">
        <v>2.0</v>
      </c>
      <c r="N177" s="1">
        <v>1.0</v>
      </c>
      <c r="O177" s="1" t="s">
        <v>382</v>
      </c>
      <c r="P177" s="1" t="s">
        <v>25</v>
      </c>
      <c r="Q177" s="2" t="str">
        <f t="shared" si="1"/>
        <v>H030829</v>
      </c>
    </row>
    <row r="178">
      <c r="A178" s="1" t="s">
        <v>946</v>
      </c>
      <c r="B178" s="1" t="s">
        <v>947</v>
      </c>
      <c r="C178" s="1" t="s">
        <v>948</v>
      </c>
      <c r="D178" s="1" t="s">
        <v>949</v>
      </c>
      <c r="E178" s="1">
        <v>3839.0</v>
      </c>
      <c r="F178" s="1" t="s">
        <v>382</v>
      </c>
      <c r="G178" s="1" t="s">
        <v>107</v>
      </c>
      <c r="H178" s="1" t="s">
        <v>108</v>
      </c>
      <c r="I178" s="1" t="s">
        <v>486</v>
      </c>
      <c r="J178" s="1"/>
      <c r="K178" s="1" t="s">
        <v>23</v>
      </c>
      <c r="L178" s="1" t="s">
        <v>950</v>
      </c>
      <c r="M178" s="1">
        <v>2.0</v>
      </c>
      <c r="N178" s="1">
        <v>1.0</v>
      </c>
      <c r="O178" s="1" t="s">
        <v>382</v>
      </c>
      <c r="P178" s="1" t="s">
        <v>488</v>
      </c>
      <c r="Q178" s="2" t="str">
        <f t="shared" si="1"/>
        <v>H030829</v>
      </c>
    </row>
    <row r="179">
      <c r="A179" s="1" t="s">
        <v>951</v>
      </c>
      <c r="B179" s="1" t="s">
        <v>952</v>
      </c>
      <c r="C179" s="1" t="s">
        <v>953</v>
      </c>
      <c r="D179" s="1" t="s">
        <v>954</v>
      </c>
      <c r="E179" s="1">
        <v>3249.0</v>
      </c>
      <c r="F179" s="1" t="s">
        <v>315</v>
      </c>
      <c r="G179" s="1">
        <v>555127.0</v>
      </c>
      <c r="H179" s="1" t="s">
        <v>35</v>
      </c>
      <c r="I179" s="1"/>
      <c r="J179" s="1"/>
      <c r="K179" s="1" t="s">
        <v>23</v>
      </c>
      <c r="L179" s="1" t="s">
        <v>955</v>
      </c>
      <c r="M179" s="1">
        <v>3.0</v>
      </c>
      <c r="N179" s="1">
        <v>1.0</v>
      </c>
      <c r="O179" s="1" t="s">
        <v>315</v>
      </c>
      <c r="P179" s="1" t="s">
        <v>25</v>
      </c>
      <c r="Q179" s="2" t="str">
        <f t="shared" si="1"/>
        <v>H019820</v>
      </c>
    </row>
    <row r="180">
      <c r="A180" s="1" t="s">
        <v>956</v>
      </c>
      <c r="B180" s="1" t="s">
        <v>957</v>
      </c>
      <c r="C180" s="1" t="s">
        <v>958</v>
      </c>
      <c r="D180" s="1" t="s">
        <v>959</v>
      </c>
      <c r="E180" s="1">
        <v>4265.0</v>
      </c>
      <c r="F180" s="1" t="s">
        <v>315</v>
      </c>
      <c r="G180" s="1">
        <v>555127.0</v>
      </c>
      <c r="H180" s="1" t="s">
        <v>35</v>
      </c>
      <c r="I180" s="1"/>
      <c r="J180" s="1"/>
      <c r="K180" s="1" t="s">
        <v>23</v>
      </c>
      <c r="L180" s="1" t="s">
        <v>960</v>
      </c>
      <c r="M180" s="1">
        <v>3.0</v>
      </c>
      <c r="N180" s="1">
        <v>1.0</v>
      </c>
      <c r="O180" s="1" t="s">
        <v>315</v>
      </c>
      <c r="P180" s="1" t="s">
        <v>25</v>
      </c>
      <c r="Q180" s="2" t="str">
        <f t="shared" si="1"/>
        <v>H019820</v>
      </c>
    </row>
    <row r="181">
      <c r="A181" s="1" t="s">
        <v>961</v>
      </c>
      <c r="B181" s="1" t="s">
        <v>962</v>
      </c>
      <c r="C181" s="1" t="s">
        <v>963</v>
      </c>
      <c r="D181" s="1" t="s">
        <v>964</v>
      </c>
      <c r="E181" s="1">
        <v>3262.0</v>
      </c>
      <c r="F181" s="1" t="s">
        <v>315</v>
      </c>
      <c r="G181" s="1">
        <v>555127.0</v>
      </c>
      <c r="H181" s="1" t="s">
        <v>35</v>
      </c>
      <c r="I181" s="1"/>
      <c r="J181" s="1"/>
      <c r="K181" s="1" t="s">
        <v>23</v>
      </c>
      <c r="L181" s="1" t="s">
        <v>965</v>
      </c>
      <c r="M181" s="1">
        <v>3.0</v>
      </c>
      <c r="N181" s="1">
        <v>1.0</v>
      </c>
      <c r="O181" s="1" t="s">
        <v>315</v>
      </c>
      <c r="P181" s="1" t="s">
        <v>25</v>
      </c>
      <c r="Q181" s="2" t="str">
        <f t="shared" si="1"/>
        <v>H019820</v>
      </c>
    </row>
    <row r="182">
      <c r="A182" s="1" t="s">
        <v>966</v>
      </c>
      <c r="B182" s="1" t="s">
        <v>967</v>
      </c>
      <c r="C182" s="1" t="s">
        <v>968</v>
      </c>
      <c r="D182" s="1" t="s">
        <v>969</v>
      </c>
      <c r="E182" s="1">
        <v>2667.0</v>
      </c>
      <c r="F182" s="1" t="s">
        <v>315</v>
      </c>
      <c r="G182" s="1">
        <v>555127.0</v>
      </c>
      <c r="H182" s="1" t="s">
        <v>35</v>
      </c>
      <c r="I182" s="1"/>
      <c r="J182" s="1"/>
      <c r="K182" s="1" t="s">
        <v>23</v>
      </c>
      <c r="L182" s="1" t="s">
        <v>970</v>
      </c>
      <c r="M182" s="1">
        <v>3.0</v>
      </c>
      <c r="N182" s="1">
        <v>1.0</v>
      </c>
      <c r="O182" s="1" t="s">
        <v>315</v>
      </c>
      <c r="P182" s="1" t="s">
        <v>25</v>
      </c>
      <c r="Q182" s="2" t="str">
        <f t="shared" si="1"/>
        <v>H019820</v>
      </c>
    </row>
    <row r="183">
      <c r="A183" s="1" t="s">
        <v>971</v>
      </c>
      <c r="B183" s="1" t="s">
        <v>972</v>
      </c>
      <c r="C183" s="1" t="s">
        <v>973</v>
      </c>
      <c r="D183" s="1" t="s">
        <v>974</v>
      </c>
      <c r="E183" s="1">
        <v>3307.0</v>
      </c>
      <c r="F183" s="1" t="s">
        <v>315</v>
      </c>
      <c r="G183" s="1">
        <v>555127.0</v>
      </c>
      <c r="H183" s="1" t="s">
        <v>35</v>
      </c>
      <c r="I183" s="1"/>
      <c r="J183" s="1"/>
      <c r="K183" s="1" t="s">
        <v>23</v>
      </c>
      <c r="L183" s="1" t="s">
        <v>975</v>
      </c>
      <c r="M183" s="1">
        <v>3.0</v>
      </c>
      <c r="N183" s="1">
        <v>1.0</v>
      </c>
      <c r="O183" s="1" t="s">
        <v>315</v>
      </c>
      <c r="P183" s="1" t="s">
        <v>25</v>
      </c>
      <c r="Q183" s="2" t="str">
        <f t="shared" si="1"/>
        <v>H019820</v>
      </c>
    </row>
    <row r="184">
      <c r="A184" s="1" t="s">
        <v>976</v>
      </c>
      <c r="B184" s="1" t="s">
        <v>977</v>
      </c>
      <c r="C184" s="1" t="s">
        <v>978</v>
      </c>
      <c r="D184" s="1" t="s">
        <v>979</v>
      </c>
      <c r="E184" s="1">
        <v>7105.0</v>
      </c>
      <c r="F184" s="1" t="s">
        <v>288</v>
      </c>
      <c r="G184" s="1">
        <v>859767.0</v>
      </c>
      <c r="H184" s="1" t="s">
        <v>22</v>
      </c>
      <c r="I184" s="1"/>
      <c r="J184" s="1"/>
      <c r="K184" s="1" t="s">
        <v>23</v>
      </c>
      <c r="L184" s="1" t="s">
        <v>980</v>
      </c>
      <c r="M184" s="1">
        <v>0.0</v>
      </c>
      <c r="N184" s="1">
        <v>1.0</v>
      </c>
      <c r="O184" s="1" t="s">
        <v>288</v>
      </c>
      <c r="P184" s="1" t="s">
        <v>25</v>
      </c>
      <c r="Q184" s="2" t="str">
        <f t="shared" si="1"/>
        <v>H019687</v>
      </c>
    </row>
    <row r="185">
      <c r="A185" s="1" t="s">
        <v>981</v>
      </c>
      <c r="B185" s="1" t="s">
        <v>982</v>
      </c>
      <c r="C185" s="1" t="s">
        <v>983</v>
      </c>
      <c r="D185" s="1" t="s">
        <v>984</v>
      </c>
      <c r="E185" s="1">
        <v>4040.0</v>
      </c>
      <c r="F185" s="1" t="s">
        <v>288</v>
      </c>
      <c r="G185" s="1">
        <v>859767.0</v>
      </c>
      <c r="H185" s="1" t="s">
        <v>22</v>
      </c>
      <c r="I185" s="1"/>
      <c r="J185" s="1"/>
      <c r="K185" s="1" t="s">
        <v>23</v>
      </c>
      <c r="L185" s="1" t="s">
        <v>985</v>
      </c>
      <c r="M185" s="1">
        <v>0.0</v>
      </c>
      <c r="N185" s="1">
        <v>1.0</v>
      </c>
      <c r="O185" s="1" t="s">
        <v>288</v>
      </c>
      <c r="P185" s="1" t="s">
        <v>25</v>
      </c>
      <c r="Q185" s="2" t="str">
        <f t="shared" si="1"/>
        <v>H019687</v>
      </c>
    </row>
    <row r="186">
      <c r="A186" s="1" t="s">
        <v>986</v>
      </c>
      <c r="B186" s="1" t="s">
        <v>987</v>
      </c>
      <c r="C186" s="1" t="s">
        <v>988</v>
      </c>
      <c r="D186" s="1" t="s">
        <v>989</v>
      </c>
      <c r="E186" s="1">
        <v>4104.0</v>
      </c>
      <c r="F186" s="1" t="s">
        <v>288</v>
      </c>
      <c r="G186" s="1">
        <v>859767.0</v>
      </c>
      <c r="H186" s="1" t="s">
        <v>22</v>
      </c>
      <c r="I186" s="1"/>
      <c r="J186" s="1"/>
      <c r="K186" s="1" t="s">
        <v>23</v>
      </c>
      <c r="L186" s="1" t="s">
        <v>990</v>
      </c>
      <c r="M186" s="1">
        <v>0.0</v>
      </c>
      <c r="N186" s="1">
        <v>1.0</v>
      </c>
      <c r="O186" s="1" t="s">
        <v>288</v>
      </c>
      <c r="P186" s="1" t="s">
        <v>25</v>
      </c>
      <c r="Q186" s="2" t="str">
        <f t="shared" si="1"/>
        <v>H019687</v>
      </c>
    </row>
    <row r="187">
      <c r="A187" s="1" t="s">
        <v>991</v>
      </c>
      <c r="B187" s="1" t="s">
        <v>992</v>
      </c>
      <c r="C187" s="1" t="s">
        <v>993</v>
      </c>
      <c r="D187" s="1" t="s">
        <v>994</v>
      </c>
      <c r="E187" s="1">
        <v>3112.0</v>
      </c>
      <c r="F187" s="1" t="s">
        <v>288</v>
      </c>
      <c r="G187" s="1">
        <v>859767.0</v>
      </c>
      <c r="H187" s="1" t="s">
        <v>22</v>
      </c>
      <c r="I187" s="1"/>
      <c r="J187" s="1"/>
      <c r="K187" s="1" t="s">
        <v>23</v>
      </c>
      <c r="L187" s="1" t="s">
        <v>995</v>
      </c>
      <c r="M187" s="1">
        <v>0.0</v>
      </c>
      <c r="N187" s="1">
        <v>1.0</v>
      </c>
      <c r="O187" s="1" t="s">
        <v>288</v>
      </c>
      <c r="P187" s="1" t="s">
        <v>25</v>
      </c>
      <c r="Q187" s="2" t="str">
        <f t="shared" si="1"/>
        <v>H019687</v>
      </c>
    </row>
    <row r="188">
      <c r="A188" s="1" t="s">
        <v>996</v>
      </c>
      <c r="B188" s="1" t="s">
        <v>997</v>
      </c>
      <c r="C188" s="1" t="s">
        <v>998</v>
      </c>
      <c r="D188" s="1" t="s">
        <v>999</v>
      </c>
      <c r="E188" s="1">
        <v>5502.0</v>
      </c>
      <c r="F188" s="1" t="s">
        <v>288</v>
      </c>
      <c r="G188" s="1">
        <v>859767.0</v>
      </c>
      <c r="H188" s="1" t="s">
        <v>22</v>
      </c>
      <c r="I188" s="1"/>
      <c r="J188" s="1"/>
      <c r="K188" s="1" t="s">
        <v>23</v>
      </c>
      <c r="L188" s="1" t="s">
        <v>1000</v>
      </c>
      <c r="M188" s="1">
        <v>0.0</v>
      </c>
      <c r="N188" s="1">
        <v>1.0</v>
      </c>
      <c r="O188" s="1" t="s">
        <v>288</v>
      </c>
      <c r="P188" s="1" t="s">
        <v>25</v>
      </c>
      <c r="Q188" s="2" t="str">
        <f t="shared" si="1"/>
        <v>H019687</v>
      </c>
    </row>
    <row r="189">
      <c r="A189" s="1" t="s">
        <v>1001</v>
      </c>
      <c r="B189" s="1" t="s">
        <v>1002</v>
      </c>
      <c r="C189" s="1" t="s">
        <v>1003</v>
      </c>
      <c r="D189" s="1" t="s">
        <v>1004</v>
      </c>
      <c r="E189" s="1">
        <v>2821.0</v>
      </c>
      <c r="F189" s="1" t="s">
        <v>351</v>
      </c>
      <c r="G189" s="1" t="s">
        <v>57</v>
      </c>
      <c r="H189" s="1" t="s">
        <v>58</v>
      </c>
      <c r="I189" s="1"/>
      <c r="J189" s="1"/>
      <c r="K189" s="1" t="s">
        <v>23</v>
      </c>
      <c r="L189" s="1" t="s">
        <v>1005</v>
      </c>
      <c r="M189" s="1">
        <v>2.0</v>
      </c>
      <c r="N189" s="1">
        <v>1.0</v>
      </c>
      <c r="O189" s="1" t="s">
        <v>351</v>
      </c>
      <c r="P189" s="1" t="s">
        <v>25</v>
      </c>
      <c r="Q189" s="2" t="str">
        <f t="shared" si="1"/>
        <v>H030415</v>
      </c>
    </row>
    <row r="190">
      <c r="A190" s="1" t="s">
        <v>1006</v>
      </c>
      <c r="B190" s="1" t="s">
        <v>1007</v>
      </c>
      <c r="C190" s="1" t="s">
        <v>1008</v>
      </c>
      <c r="D190" s="1" t="s">
        <v>1009</v>
      </c>
      <c r="E190" s="1">
        <v>3390.0</v>
      </c>
      <c r="F190" s="1" t="s">
        <v>351</v>
      </c>
      <c r="G190" s="1" t="s">
        <v>57</v>
      </c>
      <c r="H190" s="1" t="s">
        <v>58</v>
      </c>
      <c r="I190" s="1"/>
      <c r="J190" s="1"/>
      <c r="K190" s="1" t="s">
        <v>23</v>
      </c>
      <c r="L190" s="1" t="s">
        <v>1010</v>
      </c>
      <c r="M190" s="1">
        <v>2.0</v>
      </c>
      <c r="N190" s="1">
        <v>1.0</v>
      </c>
      <c r="O190" s="1" t="s">
        <v>351</v>
      </c>
      <c r="P190" s="1" t="s">
        <v>25</v>
      </c>
      <c r="Q190" s="2" t="str">
        <f t="shared" si="1"/>
        <v>H030415</v>
      </c>
    </row>
    <row r="191">
      <c r="A191" s="1" t="s">
        <v>1011</v>
      </c>
      <c r="B191" s="1" t="s">
        <v>1012</v>
      </c>
      <c r="C191" s="1" t="s">
        <v>1013</v>
      </c>
      <c r="D191" s="1" t="s">
        <v>1014</v>
      </c>
      <c r="E191" s="1">
        <v>2228.0</v>
      </c>
      <c r="F191" s="1" t="s">
        <v>351</v>
      </c>
      <c r="G191" s="1" t="s">
        <v>57</v>
      </c>
      <c r="H191" s="1" t="s">
        <v>58</v>
      </c>
      <c r="I191" s="1"/>
      <c r="J191" s="1"/>
      <c r="K191" s="1" t="s">
        <v>23</v>
      </c>
      <c r="L191" s="1" t="s">
        <v>1015</v>
      </c>
      <c r="M191" s="1">
        <v>2.0</v>
      </c>
      <c r="N191" s="1">
        <v>1.0</v>
      </c>
      <c r="O191" s="1" t="s">
        <v>351</v>
      </c>
      <c r="P191" s="1" t="s">
        <v>25</v>
      </c>
      <c r="Q191" s="2" t="str">
        <f t="shared" si="1"/>
        <v>H030415</v>
      </c>
    </row>
    <row r="192">
      <c r="A192" s="1" t="s">
        <v>1016</v>
      </c>
      <c r="B192" s="1" t="s">
        <v>1017</v>
      </c>
      <c r="C192" s="1" t="s">
        <v>1018</v>
      </c>
      <c r="D192" s="1" t="s">
        <v>1019</v>
      </c>
      <c r="E192" s="1">
        <v>3167.0</v>
      </c>
      <c r="F192" s="1" t="s">
        <v>351</v>
      </c>
      <c r="G192" s="1" t="s">
        <v>57</v>
      </c>
      <c r="H192" s="1" t="s">
        <v>58</v>
      </c>
      <c r="I192" s="1"/>
      <c r="J192" s="1"/>
      <c r="K192" s="1" t="s">
        <v>23</v>
      </c>
      <c r="L192" s="1" t="s">
        <v>1020</v>
      </c>
      <c r="M192" s="1">
        <v>2.0</v>
      </c>
      <c r="N192" s="1">
        <v>1.0</v>
      </c>
      <c r="O192" s="1" t="s">
        <v>351</v>
      </c>
      <c r="P192" s="1" t="s">
        <v>25</v>
      </c>
      <c r="Q192" s="2" t="str">
        <f t="shared" si="1"/>
        <v>H030415</v>
      </c>
    </row>
    <row r="193">
      <c r="A193" s="1" t="s">
        <v>1021</v>
      </c>
      <c r="B193" s="1" t="s">
        <v>1022</v>
      </c>
      <c r="C193" s="1" t="s">
        <v>1023</v>
      </c>
      <c r="D193" s="1" t="s">
        <v>1024</v>
      </c>
      <c r="E193" s="1">
        <v>1435.0</v>
      </c>
      <c r="F193" s="1" t="s">
        <v>288</v>
      </c>
      <c r="G193" s="1">
        <v>729375.0</v>
      </c>
      <c r="H193" s="1" t="s">
        <v>80</v>
      </c>
      <c r="I193" s="1"/>
      <c r="J193" s="1"/>
      <c r="K193" s="1" t="s">
        <v>23</v>
      </c>
      <c r="L193" s="1" t="s">
        <v>1025</v>
      </c>
      <c r="M193" s="1">
        <v>1.0</v>
      </c>
      <c r="N193" s="1">
        <v>1.0</v>
      </c>
      <c r="O193" s="1" t="s">
        <v>288</v>
      </c>
      <c r="P193" s="1" t="s">
        <v>25</v>
      </c>
      <c r="Q193" s="2" t="str">
        <f t="shared" si="1"/>
        <v>H019559</v>
      </c>
    </row>
    <row r="194">
      <c r="A194" s="1" t="s">
        <v>1026</v>
      </c>
      <c r="B194" s="1" t="s">
        <v>1027</v>
      </c>
      <c r="C194" s="1" t="s">
        <v>1028</v>
      </c>
      <c r="D194" s="1" t="s">
        <v>1029</v>
      </c>
      <c r="E194" s="1">
        <v>4024.0</v>
      </c>
      <c r="F194" s="1" t="s">
        <v>315</v>
      </c>
      <c r="G194" s="1">
        <v>841329.0</v>
      </c>
      <c r="H194" s="1" t="s">
        <v>96</v>
      </c>
      <c r="I194" s="1"/>
      <c r="J194" s="1"/>
      <c r="K194" s="1" t="s">
        <v>23</v>
      </c>
      <c r="L194" s="1" t="s">
        <v>1030</v>
      </c>
      <c r="M194" s="1">
        <v>3.0</v>
      </c>
      <c r="N194" s="1">
        <v>1.0</v>
      </c>
      <c r="O194" s="1" t="s">
        <v>315</v>
      </c>
      <c r="P194" s="1" t="s">
        <v>25</v>
      </c>
      <c r="Q194" s="2" t="str">
        <f t="shared" si="1"/>
        <v>H019820</v>
      </c>
    </row>
    <row r="195">
      <c r="A195" s="1" t="s">
        <v>1031</v>
      </c>
      <c r="B195" s="1" t="s">
        <v>1032</v>
      </c>
      <c r="C195" s="1" t="s">
        <v>1033</v>
      </c>
      <c r="D195" s="1" t="s">
        <v>1034</v>
      </c>
      <c r="E195" s="1">
        <v>3954.0</v>
      </c>
      <c r="F195" s="1" t="s">
        <v>315</v>
      </c>
      <c r="G195" s="1">
        <v>841329.0</v>
      </c>
      <c r="H195" s="1" t="s">
        <v>96</v>
      </c>
      <c r="I195" s="1"/>
      <c r="J195" s="1"/>
      <c r="K195" s="1" t="s">
        <v>23</v>
      </c>
      <c r="L195" s="1" t="s">
        <v>1035</v>
      </c>
      <c r="M195" s="1">
        <v>3.0</v>
      </c>
      <c r="N195" s="1">
        <v>1.0</v>
      </c>
      <c r="O195" s="1" t="s">
        <v>315</v>
      </c>
      <c r="P195" s="1" t="s">
        <v>25</v>
      </c>
      <c r="Q195" s="2" t="str">
        <f t="shared" si="1"/>
        <v>H019820</v>
      </c>
    </row>
    <row r="196">
      <c r="A196" s="1" t="s">
        <v>1036</v>
      </c>
      <c r="B196" s="1" t="s">
        <v>1037</v>
      </c>
      <c r="C196" s="1" t="s">
        <v>1038</v>
      </c>
      <c r="D196" s="1" t="s">
        <v>1039</v>
      </c>
      <c r="E196" s="1">
        <v>3295.0</v>
      </c>
      <c r="F196" s="1" t="s">
        <v>288</v>
      </c>
      <c r="G196" s="1">
        <v>729375.0</v>
      </c>
      <c r="H196" s="1" t="s">
        <v>80</v>
      </c>
      <c r="I196" s="1"/>
      <c r="J196" s="1"/>
      <c r="K196" s="1" t="s">
        <v>23</v>
      </c>
      <c r="L196" s="1" t="s">
        <v>1040</v>
      </c>
      <c r="M196" s="1">
        <v>1.0</v>
      </c>
      <c r="N196" s="1">
        <v>1.0</v>
      </c>
      <c r="O196" s="1" t="s">
        <v>288</v>
      </c>
      <c r="P196" s="1" t="s">
        <v>25</v>
      </c>
      <c r="Q196" s="2" t="str">
        <f t="shared" si="1"/>
        <v>H019559</v>
      </c>
    </row>
    <row r="197">
      <c r="A197" s="1" t="s">
        <v>1041</v>
      </c>
      <c r="B197" s="1" t="s">
        <v>1042</v>
      </c>
      <c r="C197" s="1" t="s">
        <v>1043</v>
      </c>
      <c r="D197" s="1" t="s">
        <v>1044</v>
      </c>
      <c r="E197" s="1">
        <v>2727.0</v>
      </c>
      <c r="F197" s="1" t="s">
        <v>315</v>
      </c>
      <c r="G197" s="1">
        <v>841329.0</v>
      </c>
      <c r="H197" s="1" t="s">
        <v>96</v>
      </c>
      <c r="I197" s="1"/>
      <c r="J197" s="1"/>
      <c r="K197" s="1" t="s">
        <v>23</v>
      </c>
      <c r="L197" s="1" t="s">
        <v>1045</v>
      </c>
      <c r="M197" s="1">
        <v>3.0</v>
      </c>
      <c r="N197" s="1">
        <v>1.0</v>
      </c>
      <c r="O197" s="1" t="s">
        <v>315</v>
      </c>
      <c r="P197" s="1" t="s">
        <v>25</v>
      </c>
      <c r="Q197" s="2" t="str">
        <f t="shared" si="1"/>
        <v>H019820</v>
      </c>
    </row>
    <row r="198">
      <c r="A198" s="1" t="s">
        <v>1046</v>
      </c>
      <c r="B198" s="1" t="s">
        <v>1047</v>
      </c>
      <c r="C198" s="1" t="s">
        <v>1048</v>
      </c>
      <c r="D198" s="1" t="s">
        <v>1049</v>
      </c>
      <c r="E198" s="1">
        <v>2164.0</v>
      </c>
      <c r="F198" s="1" t="s">
        <v>288</v>
      </c>
      <c r="G198" s="1">
        <v>729375.0</v>
      </c>
      <c r="H198" s="1" t="s">
        <v>1050</v>
      </c>
      <c r="I198" s="1" t="s">
        <v>1051</v>
      </c>
      <c r="J198" s="1"/>
      <c r="K198" s="1" t="s">
        <v>23</v>
      </c>
      <c r="L198" s="1" t="s">
        <v>1052</v>
      </c>
      <c r="M198" s="1">
        <v>1.0</v>
      </c>
      <c r="N198" s="1">
        <v>1.0</v>
      </c>
      <c r="O198" s="1" t="s">
        <v>288</v>
      </c>
      <c r="P198" s="1" t="s">
        <v>488</v>
      </c>
      <c r="Q198" s="2" t="str">
        <f t="shared" si="1"/>
        <v>H019559</v>
      </c>
    </row>
    <row r="199">
      <c r="A199" s="1" t="s">
        <v>1053</v>
      </c>
      <c r="B199" s="1" t="s">
        <v>1054</v>
      </c>
      <c r="C199" s="1" t="s">
        <v>1055</v>
      </c>
      <c r="D199" s="1" t="s">
        <v>1056</v>
      </c>
      <c r="E199" s="1">
        <v>3032.0</v>
      </c>
      <c r="F199" s="1" t="s">
        <v>315</v>
      </c>
      <c r="G199" s="1">
        <v>841329.0</v>
      </c>
      <c r="H199" s="1" t="s">
        <v>96</v>
      </c>
      <c r="I199" s="1"/>
      <c r="J199" s="1"/>
      <c r="K199" s="1" t="s">
        <v>23</v>
      </c>
      <c r="L199" s="1" t="s">
        <v>1057</v>
      </c>
      <c r="M199" s="1">
        <v>3.0</v>
      </c>
      <c r="N199" s="1">
        <v>1.0</v>
      </c>
      <c r="O199" s="1" t="s">
        <v>315</v>
      </c>
      <c r="P199" s="1" t="s">
        <v>25</v>
      </c>
      <c r="Q199" s="2" t="str">
        <f t="shared" si="1"/>
        <v>H019820</v>
      </c>
    </row>
    <row r="200">
      <c r="A200" s="1" t="s">
        <v>1058</v>
      </c>
      <c r="B200" s="1" t="s">
        <v>1059</v>
      </c>
      <c r="C200" s="1" t="s">
        <v>1060</v>
      </c>
      <c r="D200" s="1" t="s">
        <v>1061</v>
      </c>
      <c r="E200" s="1">
        <v>2827.0</v>
      </c>
      <c r="F200" s="1" t="s">
        <v>351</v>
      </c>
      <c r="G200" s="1" t="s">
        <v>208</v>
      </c>
      <c r="H200" s="1" t="s">
        <v>209</v>
      </c>
      <c r="I200" s="1"/>
      <c r="J200" s="1"/>
      <c r="K200" s="1" t="s">
        <v>23</v>
      </c>
      <c r="L200" s="1" t="s">
        <v>1062</v>
      </c>
      <c r="M200" s="1">
        <v>2.0</v>
      </c>
      <c r="N200" s="1">
        <v>1.0</v>
      </c>
      <c r="O200" s="1" t="s">
        <v>351</v>
      </c>
      <c r="P200" s="1" t="s">
        <v>25</v>
      </c>
      <c r="Q200" s="2" t="str">
        <f t="shared" si="1"/>
        <v>H030415</v>
      </c>
    </row>
    <row r="201">
      <c r="A201" s="1" t="s">
        <v>1063</v>
      </c>
      <c r="B201" s="1" t="s">
        <v>1064</v>
      </c>
      <c r="C201" s="1" t="s">
        <v>1065</v>
      </c>
      <c r="D201" s="1" t="s">
        <v>1066</v>
      </c>
      <c r="E201" s="1">
        <v>4365.0</v>
      </c>
      <c r="F201" s="1" t="s">
        <v>351</v>
      </c>
      <c r="G201" s="1" t="s">
        <v>208</v>
      </c>
      <c r="H201" s="1" t="s">
        <v>209</v>
      </c>
      <c r="I201" s="1"/>
      <c r="J201" s="1"/>
      <c r="K201" s="1" t="s">
        <v>23</v>
      </c>
      <c r="L201" s="1" t="s">
        <v>1067</v>
      </c>
      <c r="M201" s="1">
        <v>2.0</v>
      </c>
      <c r="N201" s="1">
        <v>1.0</v>
      </c>
      <c r="O201" s="1" t="s">
        <v>351</v>
      </c>
      <c r="P201" s="1" t="s">
        <v>25</v>
      </c>
      <c r="Q201" s="2" t="str">
        <f t="shared" si="1"/>
        <v>H030415</v>
      </c>
    </row>
    <row r="202">
      <c r="A202" s="1" t="s">
        <v>1068</v>
      </c>
      <c r="B202" s="1" t="s">
        <v>1069</v>
      </c>
      <c r="C202" s="1" t="s">
        <v>1070</v>
      </c>
      <c r="D202" s="1" t="s">
        <v>1071</v>
      </c>
      <c r="E202" s="1">
        <v>5023.0</v>
      </c>
      <c r="F202" s="1" t="s">
        <v>351</v>
      </c>
      <c r="G202" s="1" t="s">
        <v>208</v>
      </c>
      <c r="H202" s="1" t="s">
        <v>209</v>
      </c>
      <c r="I202" s="1"/>
      <c r="J202" s="1"/>
      <c r="K202" s="1" t="s">
        <v>23</v>
      </c>
      <c r="L202" s="1" t="s">
        <v>1072</v>
      </c>
      <c r="M202" s="1">
        <v>2.0</v>
      </c>
      <c r="N202" s="1">
        <v>1.0</v>
      </c>
      <c r="O202" s="1" t="s">
        <v>351</v>
      </c>
      <c r="P202" s="1" t="s">
        <v>25</v>
      </c>
      <c r="Q202" s="2" t="str">
        <f t="shared" si="1"/>
        <v>H030415</v>
      </c>
    </row>
    <row r="203">
      <c r="A203" s="1" t="s">
        <v>1073</v>
      </c>
      <c r="B203" s="1" t="s">
        <v>1074</v>
      </c>
      <c r="C203" s="1" t="s">
        <v>1075</v>
      </c>
      <c r="D203" s="1" t="s">
        <v>1076</v>
      </c>
      <c r="E203" s="1">
        <v>5448.0</v>
      </c>
      <c r="F203" s="1" t="s">
        <v>351</v>
      </c>
      <c r="G203" s="1" t="s">
        <v>208</v>
      </c>
      <c r="H203" s="1" t="s">
        <v>209</v>
      </c>
      <c r="I203" s="1"/>
      <c r="J203" s="1"/>
      <c r="K203" s="1" t="s">
        <v>23</v>
      </c>
      <c r="L203" s="1" t="s">
        <v>1077</v>
      </c>
      <c r="M203" s="1">
        <v>2.0</v>
      </c>
      <c r="N203" s="1">
        <v>1.0</v>
      </c>
      <c r="O203" s="1" t="s">
        <v>351</v>
      </c>
      <c r="P203" s="1" t="s">
        <v>25</v>
      </c>
      <c r="Q203" s="2" t="str">
        <f t="shared" si="1"/>
        <v>H030415</v>
      </c>
    </row>
    <row r="204">
      <c r="A204" s="1" t="s">
        <v>1078</v>
      </c>
      <c r="B204" s="1" t="s">
        <v>1079</v>
      </c>
      <c r="C204" s="1" t="s">
        <v>1080</v>
      </c>
      <c r="D204" s="1" t="s">
        <v>1081</v>
      </c>
      <c r="E204" s="1">
        <v>2999.0</v>
      </c>
      <c r="F204" s="1" t="s">
        <v>315</v>
      </c>
      <c r="G204" s="1">
        <v>455939.0</v>
      </c>
      <c r="H204" s="1" t="s">
        <v>704</v>
      </c>
      <c r="I204" s="1"/>
      <c r="J204" s="1"/>
      <c r="K204" s="1" t="s">
        <v>23</v>
      </c>
      <c r="L204" s="1" t="s">
        <v>1082</v>
      </c>
      <c r="M204" s="1">
        <v>3.0</v>
      </c>
      <c r="N204" s="1">
        <v>1.0</v>
      </c>
      <c r="O204" s="1" t="s">
        <v>315</v>
      </c>
      <c r="P204" s="1" t="s">
        <v>25</v>
      </c>
      <c r="Q204" s="2" t="str">
        <f t="shared" si="1"/>
        <v>H019820</v>
      </c>
    </row>
    <row r="205">
      <c r="A205" s="1" t="s">
        <v>1083</v>
      </c>
      <c r="B205" s="1" t="s">
        <v>1084</v>
      </c>
      <c r="C205" s="1" t="s">
        <v>1085</v>
      </c>
      <c r="D205" s="1" t="s">
        <v>1086</v>
      </c>
      <c r="E205" s="1">
        <v>3267.0</v>
      </c>
      <c r="F205" s="1" t="s">
        <v>315</v>
      </c>
      <c r="G205" s="1">
        <v>455939.0</v>
      </c>
      <c r="H205" s="1" t="s">
        <v>704</v>
      </c>
      <c r="I205" s="1"/>
      <c r="J205" s="1"/>
      <c r="K205" s="1" t="s">
        <v>23</v>
      </c>
      <c r="L205" s="1" t="s">
        <v>1087</v>
      </c>
      <c r="M205" s="1">
        <v>3.0</v>
      </c>
      <c r="N205" s="1">
        <v>1.0</v>
      </c>
      <c r="O205" s="1" t="s">
        <v>315</v>
      </c>
      <c r="P205" s="1" t="s">
        <v>25</v>
      </c>
      <c r="Q205" s="2" t="str">
        <f t="shared" si="1"/>
        <v>H019820</v>
      </c>
    </row>
    <row r="206">
      <c r="A206" s="1" t="s">
        <v>1088</v>
      </c>
      <c r="B206" s="1" t="s">
        <v>1089</v>
      </c>
      <c r="C206" s="1" t="s">
        <v>1090</v>
      </c>
      <c r="D206" s="1" t="s">
        <v>1091</v>
      </c>
      <c r="E206" s="1">
        <v>2788.0</v>
      </c>
      <c r="F206" s="1" t="s">
        <v>315</v>
      </c>
      <c r="G206" s="1">
        <v>455939.0</v>
      </c>
      <c r="H206" s="1" t="s">
        <v>704</v>
      </c>
      <c r="I206" s="1"/>
      <c r="J206" s="1"/>
      <c r="K206" s="1" t="s">
        <v>23</v>
      </c>
      <c r="L206" s="1" t="s">
        <v>1092</v>
      </c>
      <c r="M206" s="1">
        <v>3.0</v>
      </c>
      <c r="N206" s="1">
        <v>1.0</v>
      </c>
      <c r="O206" s="1" t="s">
        <v>315</v>
      </c>
      <c r="P206" s="1" t="s">
        <v>25</v>
      </c>
      <c r="Q206" s="2" t="str">
        <f t="shared" si="1"/>
        <v>H019820</v>
      </c>
    </row>
    <row r="207">
      <c r="A207" s="1" t="s">
        <v>1093</v>
      </c>
      <c r="B207" s="1" t="s">
        <v>1094</v>
      </c>
      <c r="C207" s="1" t="s">
        <v>1095</v>
      </c>
      <c r="D207" s="1" t="s">
        <v>1096</v>
      </c>
      <c r="E207" s="1">
        <v>2207.0</v>
      </c>
      <c r="F207" s="1" t="s">
        <v>315</v>
      </c>
      <c r="G207" s="1">
        <v>455939.0</v>
      </c>
      <c r="H207" s="1" t="s">
        <v>704</v>
      </c>
      <c r="I207" s="1"/>
      <c r="J207" s="1"/>
      <c r="K207" s="1" t="s">
        <v>23</v>
      </c>
      <c r="L207" s="1" t="s">
        <v>1097</v>
      </c>
      <c r="M207" s="1">
        <v>3.0</v>
      </c>
      <c r="N207" s="1">
        <v>1.0</v>
      </c>
      <c r="O207" s="1" t="s">
        <v>315</v>
      </c>
      <c r="P207" s="1" t="s">
        <v>25</v>
      </c>
      <c r="Q207" s="2" t="str">
        <f t="shared" si="1"/>
        <v>H019820</v>
      </c>
    </row>
    <row r="208">
      <c r="A208" s="1" t="s">
        <v>1098</v>
      </c>
      <c r="B208" s="1" t="s">
        <v>1099</v>
      </c>
      <c r="C208" s="1" t="s">
        <v>1100</v>
      </c>
      <c r="D208" s="1" t="s">
        <v>1101</v>
      </c>
      <c r="E208" s="1">
        <v>5268.0</v>
      </c>
      <c r="F208" s="1" t="s">
        <v>398</v>
      </c>
      <c r="G208" s="1" t="s">
        <v>155</v>
      </c>
      <c r="H208" s="1" t="s">
        <v>156</v>
      </c>
      <c r="I208" s="1"/>
      <c r="J208" s="1"/>
      <c r="K208" s="1" t="s">
        <v>23</v>
      </c>
      <c r="L208" s="1" t="s">
        <v>1102</v>
      </c>
      <c r="M208" s="1">
        <v>1.0</v>
      </c>
      <c r="N208" s="1">
        <v>1.0</v>
      </c>
      <c r="O208" s="1" t="s">
        <v>398</v>
      </c>
      <c r="P208" s="1" t="s">
        <v>25</v>
      </c>
      <c r="Q208" s="2" t="str">
        <f t="shared" si="1"/>
        <v>H030015</v>
      </c>
    </row>
    <row r="209">
      <c r="A209" s="1" t="s">
        <v>1103</v>
      </c>
      <c r="B209" s="1" t="s">
        <v>1104</v>
      </c>
      <c r="C209" s="1" t="s">
        <v>1105</v>
      </c>
      <c r="D209" s="1" t="s">
        <v>1106</v>
      </c>
      <c r="E209" s="1">
        <v>6620.0</v>
      </c>
      <c r="F209" s="1" t="s">
        <v>398</v>
      </c>
      <c r="G209" s="1" t="s">
        <v>155</v>
      </c>
      <c r="H209" s="1" t="s">
        <v>156</v>
      </c>
      <c r="I209" s="1"/>
      <c r="J209" s="1"/>
      <c r="K209" s="1" t="s">
        <v>23</v>
      </c>
      <c r="L209" s="1" t="s">
        <v>1107</v>
      </c>
      <c r="M209" s="1">
        <v>1.0</v>
      </c>
      <c r="N209" s="1">
        <v>1.0</v>
      </c>
      <c r="O209" s="1" t="s">
        <v>398</v>
      </c>
      <c r="P209" s="1" t="s">
        <v>25</v>
      </c>
      <c r="Q209" s="2" t="str">
        <f t="shared" si="1"/>
        <v>H030015</v>
      </c>
    </row>
    <row r="210">
      <c r="A210" s="1" t="s">
        <v>1108</v>
      </c>
      <c r="B210" s="1" t="s">
        <v>1109</v>
      </c>
      <c r="C210" s="1" t="s">
        <v>1110</v>
      </c>
      <c r="D210" s="1" t="s">
        <v>1111</v>
      </c>
      <c r="E210" s="1">
        <v>67.0</v>
      </c>
      <c r="F210" s="1" t="s">
        <v>398</v>
      </c>
      <c r="G210" s="1" t="s">
        <v>179</v>
      </c>
      <c r="H210" s="1" t="s">
        <v>180</v>
      </c>
      <c r="I210" s="1" t="s">
        <v>1112</v>
      </c>
      <c r="J210" s="1"/>
      <c r="K210" s="1" t="s">
        <v>23</v>
      </c>
      <c r="L210" s="1" t="s">
        <v>1113</v>
      </c>
      <c r="M210" s="1">
        <v>1.0</v>
      </c>
      <c r="N210" s="1">
        <v>0.0</v>
      </c>
      <c r="O210" s="1" t="s">
        <v>398</v>
      </c>
      <c r="P210" s="1" t="s">
        <v>25</v>
      </c>
      <c r="Q210" s="2" t="str">
        <f t="shared" si="1"/>
        <v>H030015</v>
      </c>
    </row>
    <row r="211">
      <c r="A211" s="1" t="s">
        <v>1114</v>
      </c>
      <c r="B211" s="1" t="s">
        <v>1115</v>
      </c>
      <c r="C211" s="1" t="s">
        <v>1116</v>
      </c>
      <c r="D211" s="1" t="s">
        <v>1117</v>
      </c>
      <c r="E211" s="1">
        <v>4397.0</v>
      </c>
      <c r="F211" s="1" t="s">
        <v>398</v>
      </c>
      <c r="G211" s="1" t="s">
        <v>155</v>
      </c>
      <c r="H211" s="1" t="s">
        <v>156</v>
      </c>
      <c r="I211" s="1"/>
      <c r="J211" s="1"/>
      <c r="K211" s="1" t="s">
        <v>23</v>
      </c>
      <c r="L211" s="1" t="s">
        <v>1118</v>
      </c>
      <c r="M211" s="1">
        <v>1.0</v>
      </c>
      <c r="N211" s="1">
        <v>1.0</v>
      </c>
      <c r="O211" s="1" t="s">
        <v>398</v>
      </c>
      <c r="P211" s="1" t="s">
        <v>25</v>
      </c>
      <c r="Q211" s="2" t="str">
        <f t="shared" si="1"/>
        <v>H030015</v>
      </c>
    </row>
    <row r="212">
      <c r="A212" s="1" t="s">
        <v>1119</v>
      </c>
      <c r="B212" s="1" t="s">
        <v>1120</v>
      </c>
      <c r="C212" s="1" t="s">
        <v>1121</v>
      </c>
      <c r="D212" s="1" t="s">
        <v>1122</v>
      </c>
      <c r="E212" s="1">
        <v>63.0</v>
      </c>
      <c r="F212" s="1" t="s">
        <v>398</v>
      </c>
      <c r="G212" s="1" t="s">
        <v>155</v>
      </c>
      <c r="H212" s="1" t="s">
        <v>156</v>
      </c>
      <c r="I212" s="1"/>
      <c r="J212" s="1"/>
      <c r="K212" s="1" t="s">
        <v>23</v>
      </c>
      <c r="L212" s="1" t="s">
        <v>1123</v>
      </c>
      <c r="M212" s="1">
        <v>1.0</v>
      </c>
      <c r="N212" s="1">
        <v>0.0</v>
      </c>
      <c r="O212" s="1" t="s">
        <v>398</v>
      </c>
      <c r="P212" s="1" t="s">
        <v>25</v>
      </c>
      <c r="Q212" s="2" t="str">
        <f t="shared" si="1"/>
        <v>H030015</v>
      </c>
    </row>
    <row r="213">
      <c r="A213" s="1" t="s">
        <v>1124</v>
      </c>
      <c r="B213" s="1" t="s">
        <v>1125</v>
      </c>
      <c r="C213" s="1" t="s">
        <v>1126</v>
      </c>
      <c r="D213" s="1" t="s">
        <v>1127</v>
      </c>
      <c r="E213" s="1">
        <v>5734.0</v>
      </c>
      <c r="F213" s="1" t="s">
        <v>398</v>
      </c>
      <c r="G213" s="1" t="s">
        <v>155</v>
      </c>
      <c r="H213" s="1" t="s">
        <v>156</v>
      </c>
      <c r="I213" s="1"/>
      <c r="J213" s="1"/>
      <c r="K213" s="1" t="s">
        <v>23</v>
      </c>
      <c r="L213" s="1" t="s">
        <v>1128</v>
      </c>
      <c r="M213" s="1">
        <v>1.0</v>
      </c>
      <c r="N213" s="1">
        <v>1.0</v>
      </c>
      <c r="O213" s="1" t="s">
        <v>398</v>
      </c>
      <c r="P213" s="1" t="s">
        <v>25</v>
      </c>
      <c r="Q213" s="2" t="str">
        <f t="shared" si="1"/>
        <v>H030015</v>
      </c>
    </row>
    <row r="214">
      <c r="A214" s="1" t="s">
        <v>1129</v>
      </c>
      <c r="B214" s="1" t="s">
        <v>1130</v>
      </c>
      <c r="C214" s="1" t="s">
        <v>1131</v>
      </c>
      <c r="D214" s="1" t="s">
        <v>1132</v>
      </c>
      <c r="E214" s="1">
        <v>5302.0</v>
      </c>
      <c r="F214" s="1" t="s">
        <v>498</v>
      </c>
      <c r="G214" s="1" t="s">
        <v>167</v>
      </c>
      <c r="H214" s="1" t="s">
        <v>168</v>
      </c>
      <c r="I214" s="1"/>
      <c r="J214" s="1"/>
      <c r="K214" s="1" t="s">
        <v>23</v>
      </c>
      <c r="L214" s="1" t="s">
        <v>1133</v>
      </c>
      <c r="M214" s="1">
        <v>1.0</v>
      </c>
      <c r="N214" s="1">
        <v>1.0</v>
      </c>
      <c r="O214" s="1" t="s">
        <v>498</v>
      </c>
      <c r="P214" s="1" t="s">
        <v>25</v>
      </c>
      <c r="Q214" s="2" t="str">
        <f t="shared" si="1"/>
        <v>H030636</v>
      </c>
    </row>
    <row r="215">
      <c r="A215" s="1" t="s">
        <v>1134</v>
      </c>
      <c r="B215" s="1" t="s">
        <v>1135</v>
      </c>
      <c r="C215" s="1" t="s">
        <v>1136</v>
      </c>
      <c r="D215" s="1" t="s">
        <v>1137</v>
      </c>
      <c r="E215" s="1">
        <v>3271.0</v>
      </c>
      <c r="F215" s="1" t="s">
        <v>498</v>
      </c>
      <c r="G215" s="1" t="s">
        <v>167</v>
      </c>
      <c r="H215" s="1" t="s">
        <v>168</v>
      </c>
      <c r="I215" s="1"/>
      <c r="J215" s="1"/>
      <c r="K215" s="1" t="s">
        <v>23</v>
      </c>
      <c r="L215" s="1" t="s">
        <v>1138</v>
      </c>
      <c r="M215" s="1">
        <v>1.0</v>
      </c>
      <c r="N215" s="1">
        <v>1.0</v>
      </c>
      <c r="O215" s="1" t="s">
        <v>498</v>
      </c>
      <c r="P215" s="1" t="s">
        <v>25</v>
      </c>
      <c r="Q215" s="2" t="str">
        <f t="shared" si="1"/>
        <v>H030636</v>
      </c>
    </row>
    <row r="216">
      <c r="A216" s="1" t="s">
        <v>1139</v>
      </c>
      <c r="B216" s="1" t="s">
        <v>1140</v>
      </c>
      <c r="C216" s="1" t="s">
        <v>1141</v>
      </c>
      <c r="D216" s="1" t="s">
        <v>1142</v>
      </c>
      <c r="E216" s="1">
        <v>5352.0</v>
      </c>
      <c r="F216" s="1" t="s">
        <v>498</v>
      </c>
      <c r="G216" s="1" t="s">
        <v>167</v>
      </c>
      <c r="H216" s="1" t="s">
        <v>168</v>
      </c>
      <c r="I216" s="1"/>
      <c r="J216" s="1"/>
      <c r="K216" s="1" t="s">
        <v>23</v>
      </c>
      <c r="L216" s="1" t="s">
        <v>1143</v>
      </c>
      <c r="M216" s="1">
        <v>1.0</v>
      </c>
      <c r="N216" s="1">
        <v>1.0</v>
      </c>
      <c r="O216" s="1" t="s">
        <v>498</v>
      </c>
      <c r="P216" s="1" t="s">
        <v>25</v>
      </c>
      <c r="Q216" s="2" t="str">
        <f t="shared" si="1"/>
        <v>H030636</v>
      </c>
    </row>
    <row r="217">
      <c r="A217" s="1" t="s">
        <v>1144</v>
      </c>
      <c r="B217" s="1" t="s">
        <v>1145</v>
      </c>
      <c r="C217" s="1" t="s">
        <v>1146</v>
      </c>
      <c r="D217" s="1" t="s">
        <v>1147</v>
      </c>
      <c r="E217" s="1">
        <v>4701.0</v>
      </c>
      <c r="F217" s="1" t="s">
        <v>398</v>
      </c>
      <c r="G217" s="1" t="s">
        <v>179</v>
      </c>
      <c r="H217" s="1" t="s">
        <v>180</v>
      </c>
      <c r="I217" s="1"/>
      <c r="J217" s="1"/>
      <c r="K217" s="1" t="s">
        <v>23</v>
      </c>
      <c r="L217" s="1" t="s">
        <v>1148</v>
      </c>
      <c r="M217" s="1">
        <v>1.0</v>
      </c>
      <c r="N217" s="1">
        <v>1.0</v>
      </c>
      <c r="O217" s="1" t="s">
        <v>398</v>
      </c>
      <c r="P217" s="1" t="s">
        <v>25</v>
      </c>
      <c r="Q217" s="2" t="str">
        <f t="shared" si="1"/>
        <v>H030015</v>
      </c>
    </row>
    <row r="218">
      <c r="A218" s="1" t="s">
        <v>1149</v>
      </c>
      <c r="B218" s="1" t="s">
        <v>1150</v>
      </c>
      <c r="C218" s="1" t="s">
        <v>1151</v>
      </c>
      <c r="D218" s="1" t="s">
        <v>1152</v>
      </c>
      <c r="E218" s="1">
        <v>5682.0</v>
      </c>
      <c r="F218" s="1" t="s">
        <v>398</v>
      </c>
      <c r="G218" s="1" t="s">
        <v>179</v>
      </c>
      <c r="H218" s="1" t="s">
        <v>180</v>
      </c>
      <c r="I218" s="1"/>
      <c r="J218" s="1"/>
      <c r="K218" s="1" t="s">
        <v>23</v>
      </c>
      <c r="L218" s="1" t="s">
        <v>1153</v>
      </c>
      <c r="M218" s="1">
        <v>1.0</v>
      </c>
      <c r="N218" s="1">
        <v>1.0</v>
      </c>
      <c r="O218" s="1" t="s">
        <v>398</v>
      </c>
      <c r="P218" s="1" t="s">
        <v>25</v>
      </c>
      <c r="Q218" s="2" t="str">
        <f t="shared" si="1"/>
        <v>H030015</v>
      </c>
    </row>
    <row r="219">
      <c r="A219" s="1" t="s">
        <v>1154</v>
      </c>
      <c r="B219" s="1" t="s">
        <v>1155</v>
      </c>
      <c r="C219" s="1" t="s">
        <v>1156</v>
      </c>
      <c r="D219" s="1" t="s">
        <v>1157</v>
      </c>
      <c r="E219" s="1">
        <v>5363.0</v>
      </c>
      <c r="F219" s="1" t="s">
        <v>398</v>
      </c>
      <c r="G219" s="1" t="s">
        <v>179</v>
      </c>
      <c r="H219" s="1" t="s">
        <v>180</v>
      </c>
      <c r="I219" s="1"/>
      <c r="J219" s="1"/>
      <c r="K219" s="1" t="s">
        <v>23</v>
      </c>
      <c r="L219" s="1" t="s">
        <v>1158</v>
      </c>
      <c r="M219" s="1">
        <v>1.0</v>
      </c>
      <c r="N219" s="1">
        <v>1.0</v>
      </c>
      <c r="O219" s="1" t="s">
        <v>398</v>
      </c>
      <c r="P219" s="1" t="s">
        <v>25</v>
      </c>
      <c r="Q219" s="2" t="str">
        <f t="shared" si="1"/>
        <v>H030015</v>
      </c>
    </row>
    <row r="220">
      <c r="A220" s="1" t="s">
        <v>1159</v>
      </c>
      <c r="B220" s="1" t="s">
        <v>1160</v>
      </c>
      <c r="C220" s="1" t="s">
        <v>1161</v>
      </c>
      <c r="D220" s="1" t="s">
        <v>1162</v>
      </c>
      <c r="E220" s="1">
        <v>3714.0</v>
      </c>
      <c r="F220" s="1" t="s">
        <v>398</v>
      </c>
      <c r="G220" s="1" t="s">
        <v>179</v>
      </c>
      <c r="H220" s="1" t="s">
        <v>180</v>
      </c>
      <c r="I220" s="1"/>
      <c r="J220" s="1"/>
      <c r="K220" s="1" t="s">
        <v>23</v>
      </c>
      <c r="L220" s="1" t="s">
        <v>1163</v>
      </c>
      <c r="M220" s="1">
        <v>1.0</v>
      </c>
      <c r="N220" s="1">
        <v>1.0</v>
      </c>
      <c r="O220" s="1" t="s">
        <v>398</v>
      </c>
      <c r="P220" s="1" t="s">
        <v>25</v>
      </c>
      <c r="Q220" s="2" t="str">
        <f t="shared" si="1"/>
        <v>H030015</v>
      </c>
    </row>
    <row r="221">
      <c r="A221" s="1" t="s">
        <v>1164</v>
      </c>
      <c r="B221" s="1" t="s">
        <v>1165</v>
      </c>
      <c r="C221" s="1" t="s">
        <v>1166</v>
      </c>
      <c r="D221" s="1" t="s">
        <v>1167</v>
      </c>
      <c r="E221" s="1">
        <v>3668.0</v>
      </c>
      <c r="F221" s="1" t="s">
        <v>398</v>
      </c>
      <c r="G221" s="1" t="s">
        <v>155</v>
      </c>
      <c r="H221" s="1" t="s">
        <v>156</v>
      </c>
      <c r="I221" s="1" t="s">
        <v>1112</v>
      </c>
      <c r="J221" s="1"/>
      <c r="K221" s="1" t="s">
        <v>23</v>
      </c>
      <c r="L221" s="1" t="s">
        <v>1168</v>
      </c>
      <c r="M221" s="1">
        <v>2.0</v>
      </c>
      <c r="N221" s="1">
        <v>1.0</v>
      </c>
      <c r="O221" s="1" t="s">
        <v>398</v>
      </c>
      <c r="P221" s="1" t="s">
        <v>488</v>
      </c>
      <c r="Q221" s="2" t="str">
        <f t="shared" si="1"/>
        <v>H030748</v>
      </c>
    </row>
    <row r="222">
      <c r="A222" s="1" t="s">
        <v>1169</v>
      </c>
      <c r="B222" s="1" t="s">
        <v>1170</v>
      </c>
      <c r="C222" s="1" t="s">
        <v>1171</v>
      </c>
      <c r="D222" s="1" t="s">
        <v>1172</v>
      </c>
      <c r="E222" s="1">
        <v>3627.0</v>
      </c>
      <c r="F222" s="1" t="s">
        <v>398</v>
      </c>
      <c r="G222" s="1" t="s">
        <v>232</v>
      </c>
      <c r="H222" s="1" t="s">
        <v>233</v>
      </c>
      <c r="I222" s="1" t="s">
        <v>1112</v>
      </c>
      <c r="J222" s="1"/>
      <c r="K222" s="1" t="s">
        <v>23</v>
      </c>
      <c r="L222" s="1" t="s">
        <v>1173</v>
      </c>
      <c r="M222" s="1">
        <v>2.0</v>
      </c>
      <c r="N222" s="1">
        <v>1.0</v>
      </c>
      <c r="O222" s="1" t="s">
        <v>398</v>
      </c>
      <c r="P222" s="1" t="s">
        <v>488</v>
      </c>
      <c r="Q222" s="2" t="str">
        <f t="shared" si="1"/>
        <v>H030748</v>
      </c>
    </row>
    <row r="223">
      <c r="A223" s="1" t="s">
        <v>1174</v>
      </c>
      <c r="B223" s="1" t="s">
        <v>1175</v>
      </c>
      <c r="C223" s="1" t="s">
        <v>1176</v>
      </c>
      <c r="D223" s="1" t="s">
        <v>1177</v>
      </c>
      <c r="E223" s="1">
        <v>3574.0</v>
      </c>
      <c r="F223" s="1" t="s">
        <v>398</v>
      </c>
      <c r="G223" s="1" t="s">
        <v>232</v>
      </c>
      <c r="H223" s="1" t="s">
        <v>233</v>
      </c>
      <c r="I223" s="1"/>
      <c r="J223" s="1"/>
      <c r="K223" s="1" t="s">
        <v>23</v>
      </c>
      <c r="L223" s="1" t="s">
        <v>1178</v>
      </c>
      <c r="M223" s="1">
        <v>2.0</v>
      </c>
      <c r="N223" s="1">
        <v>1.0</v>
      </c>
      <c r="O223" s="1" t="s">
        <v>398</v>
      </c>
      <c r="P223" s="1" t="s">
        <v>25</v>
      </c>
      <c r="Q223" s="2" t="str">
        <f t="shared" si="1"/>
        <v>H030748</v>
      </c>
    </row>
    <row r="224">
      <c r="A224" s="1" t="s">
        <v>1179</v>
      </c>
      <c r="B224" s="1" t="s">
        <v>1180</v>
      </c>
      <c r="C224" s="1" t="s">
        <v>1181</v>
      </c>
      <c r="D224" s="1" t="s">
        <v>1182</v>
      </c>
      <c r="E224" s="1">
        <v>4018.0</v>
      </c>
      <c r="F224" s="1" t="s">
        <v>498</v>
      </c>
      <c r="G224" s="1">
        <v>896791.0</v>
      </c>
      <c r="H224" s="1" t="s">
        <v>244</v>
      </c>
      <c r="I224" s="1"/>
      <c r="J224" s="1"/>
      <c r="K224" s="1" t="s">
        <v>23</v>
      </c>
      <c r="L224" s="1" t="s">
        <v>1183</v>
      </c>
      <c r="M224" s="1">
        <v>1.0</v>
      </c>
      <c r="N224" s="1">
        <v>1.0</v>
      </c>
      <c r="O224" s="1" t="s">
        <v>498</v>
      </c>
      <c r="P224" s="1" t="s">
        <v>25</v>
      </c>
      <c r="Q224" s="2" t="str">
        <f t="shared" si="1"/>
        <v>H030636</v>
      </c>
    </row>
    <row r="225">
      <c r="A225" s="1" t="s">
        <v>1184</v>
      </c>
      <c r="B225" s="1" t="s">
        <v>1185</v>
      </c>
      <c r="C225" s="1" t="s">
        <v>1186</v>
      </c>
      <c r="D225" s="1" t="s">
        <v>1187</v>
      </c>
      <c r="E225" s="1">
        <v>7030.0</v>
      </c>
      <c r="F225" s="1" t="s">
        <v>498</v>
      </c>
      <c r="G225" s="1">
        <v>896791.0</v>
      </c>
      <c r="H225" s="1" t="s">
        <v>244</v>
      </c>
      <c r="I225" s="1"/>
      <c r="J225" s="1"/>
      <c r="K225" s="1" t="s">
        <v>23</v>
      </c>
      <c r="L225" s="1" t="s">
        <v>1188</v>
      </c>
      <c r="M225" s="1">
        <v>1.0</v>
      </c>
      <c r="N225" s="1">
        <v>1.0</v>
      </c>
      <c r="O225" s="1" t="s">
        <v>498</v>
      </c>
      <c r="P225" s="1" t="s">
        <v>25</v>
      </c>
      <c r="Q225" s="2" t="str">
        <f t="shared" si="1"/>
        <v>H030636</v>
      </c>
    </row>
    <row r="226">
      <c r="A226" s="1" t="s">
        <v>1189</v>
      </c>
      <c r="B226" s="1" t="s">
        <v>1190</v>
      </c>
      <c r="C226" s="1" t="s">
        <v>1191</v>
      </c>
      <c r="D226" s="1" t="s">
        <v>1192</v>
      </c>
      <c r="E226" s="1">
        <v>3905.0</v>
      </c>
      <c r="F226" s="1" t="s">
        <v>498</v>
      </c>
      <c r="G226" s="1">
        <v>896791.0</v>
      </c>
      <c r="H226" s="1" t="s">
        <v>244</v>
      </c>
      <c r="I226" s="1"/>
      <c r="J226" s="1"/>
      <c r="K226" s="1" t="s">
        <v>23</v>
      </c>
      <c r="L226" s="1" t="s">
        <v>1193</v>
      </c>
      <c r="M226" s="1">
        <v>1.0</v>
      </c>
      <c r="N226" s="1">
        <v>1.0</v>
      </c>
      <c r="O226" s="1" t="s">
        <v>498</v>
      </c>
      <c r="P226" s="1" t="s">
        <v>25</v>
      </c>
      <c r="Q226" s="2" t="str">
        <f t="shared" si="1"/>
        <v>H030636</v>
      </c>
    </row>
    <row r="227">
      <c r="A227" s="1" t="s">
        <v>1194</v>
      </c>
      <c r="B227" s="1" t="s">
        <v>1195</v>
      </c>
      <c r="C227" s="1" t="s">
        <v>1196</v>
      </c>
      <c r="D227" s="1" t="s">
        <v>1197</v>
      </c>
      <c r="E227" s="1">
        <v>3839.0</v>
      </c>
      <c r="F227" s="1" t="s">
        <v>398</v>
      </c>
      <c r="G227" s="1" t="s">
        <v>232</v>
      </c>
      <c r="H227" s="1" t="s">
        <v>233</v>
      </c>
      <c r="I227" s="1"/>
      <c r="J227" s="1"/>
      <c r="K227" s="1" t="s">
        <v>23</v>
      </c>
      <c r="L227" s="1" t="s">
        <v>1198</v>
      </c>
      <c r="M227" s="1">
        <v>2.0</v>
      </c>
      <c r="N227" s="1">
        <v>1.0</v>
      </c>
      <c r="O227" s="1" t="s">
        <v>398</v>
      </c>
      <c r="P227" s="1" t="s">
        <v>25</v>
      </c>
      <c r="Q227" s="2" t="str">
        <f t="shared" si="1"/>
        <v>H030748</v>
      </c>
    </row>
    <row r="228">
      <c r="A228" s="1" t="s">
        <v>1199</v>
      </c>
      <c r="B228" s="1" t="s">
        <v>1200</v>
      </c>
      <c r="C228" s="1" t="s">
        <v>1201</v>
      </c>
      <c r="D228" s="1" t="s">
        <v>1202</v>
      </c>
      <c r="E228" s="1">
        <v>3866.0</v>
      </c>
      <c r="F228" s="1" t="s">
        <v>398</v>
      </c>
      <c r="G228" s="1" t="s">
        <v>232</v>
      </c>
      <c r="H228" s="1" t="s">
        <v>233</v>
      </c>
      <c r="I228" s="1"/>
      <c r="J228" s="1"/>
      <c r="K228" s="1" t="s">
        <v>23</v>
      </c>
      <c r="L228" s="1" t="s">
        <v>1203</v>
      </c>
      <c r="M228" s="1">
        <v>2.0</v>
      </c>
      <c r="N228" s="1">
        <v>1.0</v>
      </c>
      <c r="O228" s="1" t="s">
        <v>398</v>
      </c>
      <c r="P228" s="1" t="s">
        <v>25</v>
      </c>
      <c r="Q228" s="2" t="str">
        <f t="shared" si="1"/>
        <v>H030748</v>
      </c>
    </row>
    <row r="229">
      <c r="A229" s="1" t="s">
        <v>1204</v>
      </c>
      <c r="B229" s="1" t="s">
        <v>1205</v>
      </c>
      <c r="C229" s="1" t="s">
        <v>1206</v>
      </c>
      <c r="D229" s="1" t="s">
        <v>1207</v>
      </c>
      <c r="E229" s="1">
        <v>3364.0</v>
      </c>
      <c r="F229" s="1" t="s">
        <v>398</v>
      </c>
      <c r="G229" s="1" t="s">
        <v>232</v>
      </c>
      <c r="H229" s="1" t="s">
        <v>233</v>
      </c>
      <c r="I229" s="1"/>
      <c r="J229" s="1"/>
      <c r="K229" s="1" t="s">
        <v>23</v>
      </c>
      <c r="L229" s="1" t="s">
        <v>1208</v>
      </c>
      <c r="M229" s="1">
        <v>2.0</v>
      </c>
      <c r="N229" s="1">
        <v>1.0</v>
      </c>
      <c r="O229" s="1" t="s">
        <v>398</v>
      </c>
      <c r="P229" s="1" t="s">
        <v>25</v>
      </c>
      <c r="Q229" s="2" t="str">
        <f t="shared" si="1"/>
        <v>H030748</v>
      </c>
    </row>
    <row r="230">
      <c r="A230" s="1" t="s">
        <v>1209</v>
      </c>
      <c r="B230" s="1" t="s">
        <v>1210</v>
      </c>
      <c r="C230" s="1" t="s">
        <v>1211</v>
      </c>
      <c r="D230" s="1" t="s">
        <v>1212</v>
      </c>
      <c r="E230" s="1">
        <v>3961.0</v>
      </c>
      <c r="F230" s="1" t="s">
        <v>498</v>
      </c>
      <c r="G230" s="1" t="s">
        <v>132</v>
      </c>
      <c r="H230" s="1" t="s">
        <v>133</v>
      </c>
      <c r="I230" s="1"/>
      <c r="J230" s="1"/>
      <c r="K230" s="1" t="s">
        <v>23</v>
      </c>
      <c r="L230" s="1" t="s">
        <v>1213</v>
      </c>
      <c r="M230" s="1">
        <v>1.0</v>
      </c>
      <c r="N230" s="1">
        <v>1.0</v>
      </c>
      <c r="O230" s="1" t="s">
        <v>498</v>
      </c>
      <c r="P230" s="1" t="s">
        <v>25</v>
      </c>
      <c r="Q230" s="2" t="str">
        <f t="shared" si="1"/>
        <v>H030514</v>
      </c>
    </row>
    <row r="231">
      <c r="A231" s="1" t="s">
        <v>1214</v>
      </c>
      <c r="B231" s="1" t="s">
        <v>1215</v>
      </c>
      <c r="C231" s="1" t="s">
        <v>1216</v>
      </c>
      <c r="D231" s="1" t="s">
        <v>1217</v>
      </c>
      <c r="E231" s="1">
        <v>5426.0</v>
      </c>
      <c r="F231" s="1" t="s">
        <v>498</v>
      </c>
      <c r="G231" s="1" t="s">
        <v>220</v>
      </c>
      <c r="H231" s="1" t="s">
        <v>221</v>
      </c>
      <c r="I231" s="1"/>
      <c r="J231" s="1"/>
      <c r="K231" s="1" t="s">
        <v>23</v>
      </c>
      <c r="L231" s="1" t="s">
        <v>1218</v>
      </c>
      <c r="M231" s="1">
        <v>1.0</v>
      </c>
      <c r="N231" s="1">
        <v>1.0</v>
      </c>
      <c r="O231" s="1" t="s">
        <v>498</v>
      </c>
      <c r="P231" s="1" t="s">
        <v>25</v>
      </c>
      <c r="Q231" s="2" t="str">
        <f t="shared" si="1"/>
        <v>H030514</v>
      </c>
    </row>
    <row r="232">
      <c r="A232" s="1" t="s">
        <v>1219</v>
      </c>
      <c r="B232" s="1" t="s">
        <v>1220</v>
      </c>
      <c r="C232" s="1" t="s">
        <v>1221</v>
      </c>
      <c r="D232" s="1" t="s">
        <v>1222</v>
      </c>
      <c r="E232" s="1">
        <v>3431.0</v>
      </c>
      <c r="F232" s="1" t="s">
        <v>498</v>
      </c>
      <c r="G232" s="1" t="s">
        <v>132</v>
      </c>
      <c r="H232" s="1" t="s">
        <v>133</v>
      </c>
      <c r="I232" s="1"/>
      <c r="J232" s="1"/>
      <c r="K232" s="1" t="s">
        <v>23</v>
      </c>
      <c r="L232" s="1" t="s">
        <v>1223</v>
      </c>
      <c r="M232" s="1">
        <v>1.0</v>
      </c>
      <c r="N232" s="1">
        <v>1.0</v>
      </c>
      <c r="O232" s="1" t="s">
        <v>498</v>
      </c>
      <c r="P232" s="1" t="s">
        <v>25</v>
      </c>
      <c r="Q232" s="2" t="str">
        <f t="shared" si="1"/>
        <v>H030514</v>
      </c>
    </row>
    <row r="233">
      <c r="A233" s="1" t="s">
        <v>1224</v>
      </c>
      <c r="B233" s="1" t="s">
        <v>1225</v>
      </c>
      <c r="C233" s="1" t="s">
        <v>1226</v>
      </c>
      <c r="D233" s="1" t="s">
        <v>1227</v>
      </c>
      <c r="E233" s="1">
        <v>3265.0</v>
      </c>
      <c r="F233" s="1" t="s">
        <v>498</v>
      </c>
      <c r="G233" s="1" t="s">
        <v>220</v>
      </c>
      <c r="H233" s="1" t="s">
        <v>221</v>
      </c>
      <c r="I233" s="1"/>
      <c r="J233" s="1"/>
      <c r="K233" s="1" t="s">
        <v>23</v>
      </c>
      <c r="L233" s="1" t="s">
        <v>1228</v>
      </c>
      <c r="M233" s="1">
        <v>1.0</v>
      </c>
      <c r="N233" s="1">
        <v>1.0</v>
      </c>
      <c r="O233" s="1" t="s">
        <v>498</v>
      </c>
      <c r="P233" s="1" t="s">
        <v>25</v>
      </c>
      <c r="Q233" s="2" t="str">
        <f t="shared" si="1"/>
        <v>H030514</v>
      </c>
    </row>
    <row r="234">
      <c r="A234" s="1" t="s">
        <v>1229</v>
      </c>
      <c r="B234" s="1" t="s">
        <v>1230</v>
      </c>
      <c r="C234" s="1" t="s">
        <v>1231</v>
      </c>
      <c r="D234" s="1" t="s">
        <v>1232</v>
      </c>
      <c r="E234" s="1">
        <v>4311.0</v>
      </c>
      <c r="F234" s="1" t="s">
        <v>498</v>
      </c>
      <c r="G234" s="1" t="s">
        <v>220</v>
      </c>
      <c r="H234" s="1" t="s">
        <v>221</v>
      </c>
      <c r="I234" s="1"/>
      <c r="J234" s="1"/>
      <c r="K234" s="1" t="s">
        <v>23</v>
      </c>
      <c r="L234" s="1" t="s">
        <v>1233</v>
      </c>
      <c r="M234" s="1">
        <v>1.0</v>
      </c>
      <c r="N234" s="1">
        <v>1.0</v>
      </c>
      <c r="O234" s="1" t="s">
        <v>498</v>
      </c>
      <c r="P234" s="1" t="s">
        <v>25</v>
      </c>
      <c r="Q234" s="2" t="str">
        <f t="shared" si="1"/>
        <v>H030514</v>
      </c>
    </row>
    <row r="235">
      <c r="A235" s="1" t="s">
        <v>1234</v>
      </c>
      <c r="B235" s="1" t="s">
        <v>1235</v>
      </c>
      <c r="C235" s="1" t="s">
        <v>1236</v>
      </c>
      <c r="D235" s="1" t="s">
        <v>1237</v>
      </c>
      <c r="E235" s="1">
        <v>4037.0</v>
      </c>
      <c r="F235" s="1" t="s">
        <v>498</v>
      </c>
      <c r="G235" s="1" t="s">
        <v>132</v>
      </c>
      <c r="H235" s="1" t="s">
        <v>133</v>
      </c>
      <c r="I235" s="1" t="s">
        <v>1112</v>
      </c>
      <c r="J235" s="1"/>
      <c r="K235" s="1" t="s">
        <v>23</v>
      </c>
      <c r="L235" s="1" t="s">
        <v>1238</v>
      </c>
      <c r="M235" s="1">
        <v>1.0</v>
      </c>
      <c r="N235" s="1">
        <v>1.0</v>
      </c>
      <c r="O235" s="1" t="s">
        <v>498</v>
      </c>
      <c r="P235" s="1" t="s">
        <v>488</v>
      </c>
      <c r="Q235" s="2" t="str">
        <f t="shared" si="1"/>
        <v>H030514</v>
      </c>
    </row>
    <row r="236">
      <c r="A236" s="1" t="s">
        <v>1239</v>
      </c>
      <c r="B236" s="1" t="s">
        <v>1240</v>
      </c>
      <c r="C236" s="1" t="s">
        <v>1241</v>
      </c>
      <c r="D236" s="1" t="s">
        <v>1242</v>
      </c>
      <c r="E236" s="1">
        <v>4635.0</v>
      </c>
      <c r="F236" s="1" t="s">
        <v>351</v>
      </c>
      <c r="G236" s="1" t="s">
        <v>260</v>
      </c>
      <c r="H236" s="1" t="s">
        <v>261</v>
      </c>
      <c r="I236" s="1"/>
      <c r="J236" s="1"/>
      <c r="K236" s="1" t="s">
        <v>23</v>
      </c>
      <c r="L236" s="1" t="s">
        <v>1243</v>
      </c>
      <c r="M236" s="1">
        <v>2.0</v>
      </c>
      <c r="N236" s="1">
        <v>1.0</v>
      </c>
      <c r="O236" s="1" t="s">
        <v>351</v>
      </c>
      <c r="P236" s="1" t="s">
        <v>25</v>
      </c>
      <c r="Q236" s="2" t="str">
        <f t="shared" si="1"/>
        <v>H030415</v>
      </c>
    </row>
    <row r="237">
      <c r="A237" s="1" t="s">
        <v>1244</v>
      </c>
      <c r="B237" s="1" t="s">
        <v>1245</v>
      </c>
      <c r="C237" s="1" t="s">
        <v>1246</v>
      </c>
      <c r="D237" s="1" t="s">
        <v>1247</v>
      </c>
      <c r="E237" s="1">
        <v>5245.0</v>
      </c>
      <c r="F237" s="1" t="s">
        <v>351</v>
      </c>
      <c r="G237" s="1" t="s">
        <v>260</v>
      </c>
      <c r="H237" s="1" t="s">
        <v>261</v>
      </c>
      <c r="I237" s="1"/>
      <c r="J237" s="1"/>
      <c r="K237" s="1" t="s">
        <v>23</v>
      </c>
      <c r="L237" s="1" t="s">
        <v>1248</v>
      </c>
      <c r="M237" s="1">
        <v>2.0</v>
      </c>
      <c r="N237" s="1">
        <v>1.0</v>
      </c>
      <c r="O237" s="1" t="s">
        <v>351</v>
      </c>
      <c r="P237" s="1" t="s">
        <v>25</v>
      </c>
      <c r="Q237" s="2" t="str">
        <f t="shared" si="1"/>
        <v>H030415</v>
      </c>
    </row>
    <row r="238">
      <c r="A238" s="1" t="s">
        <v>1249</v>
      </c>
      <c r="B238" s="1" t="s">
        <v>1250</v>
      </c>
      <c r="C238" s="1" t="s">
        <v>1251</v>
      </c>
      <c r="D238" s="1" t="s">
        <v>1252</v>
      </c>
      <c r="E238" s="1">
        <v>4314.0</v>
      </c>
      <c r="F238" s="1" t="s">
        <v>351</v>
      </c>
      <c r="G238" s="1" t="s">
        <v>260</v>
      </c>
      <c r="H238" s="1" t="s">
        <v>261</v>
      </c>
      <c r="I238" s="1"/>
      <c r="J238" s="1"/>
      <c r="K238" s="1" t="s">
        <v>23</v>
      </c>
      <c r="L238" s="1" t="s">
        <v>1253</v>
      </c>
      <c r="M238" s="1">
        <v>2.0</v>
      </c>
      <c r="N238" s="1">
        <v>1.0</v>
      </c>
      <c r="O238" s="1" t="s">
        <v>351</v>
      </c>
      <c r="P238" s="1" t="s">
        <v>25</v>
      </c>
      <c r="Q238" s="2" t="str">
        <f t="shared" si="1"/>
        <v>H030415</v>
      </c>
    </row>
    <row r="239">
      <c r="A239" s="1" t="s">
        <v>1254</v>
      </c>
      <c r="B239" s="1" t="s">
        <v>1255</v>
      </c>
      <c r="C239" s="1" t="s">
        <v>1256</v>
      </c>
      <c r="D239" s="1" t="s">
        <v>1257</v>
      </c>
      <c r="E239" s="1">
        <v>2456.0</v>
      </c>
      <c r="F239" s="1" t="s">
        <v>382</v>
      </c>
      <c r="G239" s="1" t="s">
        <v>191</v>
      </c>
      <c r="H239" s="1" t="s">
        <v>192</v>
      </c>
      <c r="I239" s="1"/>
      <c r="J239" s="1"/>
      <c r="K239" s="1" t="s">
        <v>23</v>
      </c>
      <c r="L239" s="1" t="s">
        <v>1258</v>
      </c>
      <c r="M239" s="1">
        <v>0.0</v>
      </c>
      <c r="N239" s="1">
        <v>1.0</v>
      </c>
      <c r="O239" s="1" t="s">
        <v>382</v>
      </c>
      <c r="P239" s="1" t="s">
        <v>25</v>
      </c>
      <c r="Q239" s="2" t="str">
        <f t="shared" si="1"/>
        <v>H030264</v>
      </c>
    </row>
    <row r="240">
      <c r="A240" s="1" t="s">
        <v>1259</v>
      </c>
      <c r="B240" s="1" t="s">
        <v>1260</v>
      </c>
      <c r="C240" s="1" t="s">
        <v>1261</v>
      </c>
      <c r="D240" s="1" t="s">
        <v>1262</v>
      </c>
      <c r="E240" s="1">
        <v>4271.0</v>
      </c>
      <c r="F240" s="1" t="s">
        <v>382</v>
      </c>
      <c r="G240" s="1" t="s">
        <v>191</v>
      </c>
      <c r="H240" s="1" t="s">
        <v>192</v>
      </c>
      <c r="I240" s="1"/>
      <c r="J240" s="1"/>
      <c r="K240" s="1" t="s">
        <v>23</v>
      </c>
      <c r="L240" s="1" t="s">
        <v>1263</v>
      </c>
      <c r="M240" s="1">
        <v>0.0</v>
      </c>
      <c r="N240" s="1">
        <v>1.0</v>
      </c>
      <c r="O240" s="1" t="s">
        <v>382</v>
      </c>
      <c r="P240" s="1" t="s">
        <v>25</v>
      </c>
      <c r="Q240" s="2" t="str">
        <f t="shared" si="1"/>
        <v>H030264</v>
      </c>
    </row>
    <row r="241">
      <c r="A241" s="1" t="s">
        <v>1264</v>
      </c>
      <c r="B241" s="1" t="s">
        <v>1265</v>
      </c>
      <c r="C241" s="1" t="s">
        <v>1266</v>
      </c>
      <c r="D241" s="1" t="s">
        <v>1267</v>
      </c>
      <c r="E241" s="1">
        <v>2324.0</v>
      </c>
      <c r="F241" s="1" t="s">
        <v>382</v>
      </c>
      <c r="G241" s="1" t="s">
        <v>191</v>
      </c>
      <c r="H241" s="1" t="s">
        <v>192</v>
      </c>
      <c r="I241" s="1"/>
      <c r="J241" s="1"/>
      <c r="K241" s="1" t="s">
        <v>23</v>
      </c>
      <c r="L241" s="1" t="s">
        <v>1268</v>
      </c>
      <c r="M241" s="1">
        <v>0.0</v>
      </c>
      <c r="N241" s="1">
        <v>1.0</v>
      </c>
      <c r="O241" s="1" t="s">
        <v>382</v>
      </c>
      <c r="P241" s="1" t="s">
        <v>25</v>
      </c>
      <c r="Q241" s="2" t="str">
        <f t="shared" si="1"/>
        <v>H030264</v>
      </c>
    </row>
    <row r="242">
      <c r="A242" s="1" t="s">
        <v>1269</v>
      </c>
      <c r="B242" s="1" t="s">
        <v>1270</v>
      </c>
      <c r="C242" s="1" t="s">
        <v>1271</v>
      </c>
      <c r="D242" s="1" t="s">
        <v>1272</v>
      </c>
      <c r="E242" s="1">
        <v>79.0</v>
      </c>
      <c r="F242" s="1" t="s">
        <v>382</v>
      </c>
      <c r="G242" s="1" t="s">
        <v>474</v>
      </c>
      <c r="H242" s="1" t="s">
        <v>475</v>
      </c>
      <c r="I242" s="1"/>
      <c r="J242" s="1"/>
      <c r="K242" s="1" t="s">
        <v>23</v>
      </c>
      <c r="L242" s="1" t="s">
        <v>1273</v>
      </c>
      <c r="M242" s="1">
        <v>0.0</v>
      </c>
      <c r="N242" s="1">
        <v>0.0</v>
      </c>
      <c r="O242" s="1" t="s">
        <v>382</v>
      </c>
      <c r="P242" s="1" t="s">
        <v>25</v>
      </c>
      <c r="Q242" s="2" t="str">
        <f t="shared" si="1"/>
        <v>H030264</v>
      </c>
    </row>
    <row r="243">
      <c r="A243" s="1" t="s">
        <v>1274</v>
      </c>
      <c r="B243" s="1" t="s">
        <v>1275</v>
      </c>
      <c r="C243" s="1" t="s">
        <v>1276</v>
      </c>
      <c r="D243" s="1" t="s">
        <v>1277</v>
      </c>
      <c r="E243" s="1">
        <v>5134.0</v>
      </c>
      <c r="F243" s="1" t="s">
        <v>288</v>
      </c>
      <c r="G243" s="1" t="s">
        <v>304</v>
      </c>
      <c r="H243" s="1" t="s">
        <v>272</v>
      </c>
      <c r="I243" s="1"/>
      <c r="J243" s="1"/>
      <c r="K243" s="1" t="s">
        <v>23</v>
      </c>
      <c r="L243" s="1" t="s">
        <v>1278</v>
      </c>
      <c r="M243" s="1">
        <v>1.0</v>
      </c>
      <c r="N243" s="1">
        <v>1.0</v>
      </c>
      <c r="O243" s="1" t="s">
        <v>288</v>
      </c>
      <c r="P243" s="1" t="s">
        <v>25</v>
      </c>
      <c r="Q243" s="2" t="str">
        <f t="shared" si="1"/>
        <v>H019559</v>
      </c>
    </row>
    <row r="244">
      <c r="A244" s="1" t="s">
        <v>1279</v>
      </c>
      <c r="B244" s="1" t="s">
        <v>1280</v>
      </c>
      <c r="C244" s="1" t="s">
        <v>1281</v>
      </c>
      <c r="D244" s="1" t="s">
        <v>1282</v>
      </c>
      <c r="E244" s="1">
        <v>3551.0</v>
      </c>
      <c r="F244" s="1" t="s">
        <v>288</v>
      </c>
      <c r="G244" s="1" t="s">
        <v>304</v>
      </c>
      <c r="H244" s="1" t="s">
        <v>272</v>
      </c>
      <c r="I244" s="1"/>
      <c r="J244" s="1"/>
      <c r="K244" s="1" t="s">
        <v>23</v>
      </c>
      <c r="L244" s="1" t="s">
        <v>1283</v>
      </c>
      <c r="M244" s="1">
        <v>1.0</v>
      </c>
      <c r="N244" s="1">
        <v>1.0</v>
      </c>
      <c r="O244" s="1" t="s">
        <v>288</v>
      </c>
      <c r="P244" s="1" t="s">
        <v>25</v>
      </c>
      <c r="Q244" s="2" t="str">
        <f t="shared" si="1"/>
        <v>H019559</v>
      </c>
    </row>
    <row r="245">
      <c r="A245" s="1" t="s">
        <v>1284</v>
      </c>
      <c r="B245" s="1" t="s">
        <v>1285</v>
      </c>
      <c r="C245" s="1" t="s">
        <v>1286</v>
      </c>
      <c r="D245" s="1" t="s">
        <v>1287</v>
      </c>
      <c r="E245" s="1">
        <v>6699.0</v>
      </c>
      <c r="F245" s="1" t="s">
        <v>288</v>
      </c>
      <c r="G245" s="1" t="s">
        <v>304</v>
      </c>
      <c r="H245" s="1" t="s">
        <v>272</v>
      </c>
      <c r="I245" s="1"/>
      <c r="J245" s="1"/>
      <c r="K245" s="1" t="s">
        <v>23</v>
      </c>
      <c r="L245" s="1" t="s">
        <v>1288</v>
      </c>
      <c r="M245" s="1">
        <v>1.0</v>
      </c>
      <c r="N245" s="1">
        <v>1.0</v>
      </c>
      <c r="O245" s="1" t="s">
        <v>288</v>
      </c>
      <c r="P245" s="1" t="s">
        <v>25</v>
      </c>
      <c r="Q245" s="2" t="str">
        <f t="shared" si="1"/>
        <v>H019559</v>
      </c>
    </row>
    <row r="246">
      <c r="A246" s="1" t="s">
        <v>1289</v>
      </c>
      <c r="B246" s="1" t="s">
        <v>1290</v>
      </c>
      <c r="C246" s="1" t="s">
        <v>1291</v>
      </c>
      <c r="D246" s="1" t="s">
        <v>1292</v>
      </c>
      <c r="E246" s="1">
        <v>3888.0</v>
      </c>
      <c r="F246" s="1" t="s">
        <v>498</v>
      </c>
      <c r="G246" s="1" t="s">
        <v>132</v>
      </c>
      <c r="H246" s="1" t="s">
        <v>133</v>
      </c>
      <c r="I246" s="1"/>
      <c r="J246" s="1"/>
      <c r="K246" s="1" t="s">
        <v>23</v>
      </c>
      <c r="L246" s="1" t="s">
        <v>1293</v>
      </c>
      <c r="M246" s="1">
        <v>1.0</v>
      </c>
      <c r="N246" s="1">
        <v>1.0</v>
      </c>
      <c r="O246" s="1" t="s">
        <v>498</v>
      </c>
      <c r="P246" s="1" t="s">
        <v>25</v>
      </c>
      <c r="Q246" s="2" t="str">
        <f t="shared" si="1"/>
        <v>H030514</v>
      </c>
    </row>
    <row r="247">
      <c r="A247" s="1" t="s">
        <v>1294</v>
      </c>
      <c r="B247" s="1" t="s">
        <v>1295</v>
      </c>
      <c r="C247" s="1" t="s">
        <v>1296</v>
      </c>
      <c r="D247" s="1" t="s">
        <v>1297</v>
      </c>
      <c r="E247" s="1">
        <v>4303.0</v>
      </c>
      <c r="F247" s="1" t="s">
        <v>498</v>
      </c>
      <c r="G247" s="1" t="s">
        <v>132</v>
      </c>
      <c r="H247" s="1" t="s">
        <v>133</v>
      </c>
      <c r="I247" s="1"/>
      <c r="J247" s="1"/>
      <c r="K247" s="1" t="s">
        <v>23</v>
      </c>
      <c r="L247" s="1" t="s">
        <v>1298</v>
      </c>
      <c r="M247" s="1">
        <v>1.0</v>
      </c>
      <c r="N247" s="1">
        <v>1.0</v>
      </c>
      <c r="O247" s="1" t="s">
        <v>498</v>
      </c>
      <c r="P247" s="1" t="s">
        <v>25</v>
      </c>
      <c r="Q247" s="2" t="str">
        <f t="shared" si="1"/>
        <v>H030514</v>
      </c>
    </row>
    <row r="248">
      <c r="A248" s="1" t="s">
        <v>1299</v>
      </c>
      <c r="B248" s="1" t="s">
        <v>1300</v>
      </c>
      <c r="C248" s="1" t="s">
        <v>1301</v>
      </c>
      <c r="D248" s="1" t="s">
        <v>1302</v>
      </c>
      <c r="E248" s="1">
        <v>6819.0</v>
      </c>
      <c r="F248" s="1" t="s">
        <v>498</v>
      </c>
      <c r="G248" s="1" t="s">
        <v>132</v>
      </c>
      <c r="H248" s="1" t="s">
        <v>133</v>
      </c>
      <c r="I248" s="1"/>
      <c r="J248" s="1"/>
      <c r="K248" s="1" t="s">
        <v>23</v>
      </c>
      <c r="L248" s="1" t="s">
        <v>1303</v>
      </c>
      <c r="M248" s="1">
        <v>1.0</v>
      </c>
      <c r="N248" s="1">
        <v>1.0</v>
      </c>
      <c r="O248" s="1" t="s">
        <v>498</v>
      </c>
      <c r="P248" s="1" t="s">
        <v>25</v>
      </c>
      <c r="Q248" s="2" t="str">
        <f t="shared" si="1"/>
        <v>H030514</v>
      </c>
    </row>
    <row r="249">
      <c r="A249" s="1" t="s">
        <v>1304</v>
      </c>
      <c r="B249" s="1" t="s">
        <v>1305</v>
      </c>
      <c r="C249" s="1" t="s">
        <v>1306</v>
      </c>
      <c r="D249" s="1" t="s">
        <v>1307</v>
      </c>
      <c r="E249" s="1">
        <v>3144.0</v>
      </c>
      <c r="F249" s="1" t="s">
        <v>382</v>
      </c>
      <c r="G249" s="1" t="s">
        <v>107</v>
      </c>
      <c r="H249" s="1" t="s">
        <v>108</v>
      </c>
      <c r="I249" s="1"/>
      <c r="J249" s="1"/>
      <c r="K249" s="1" t="s">
        <v>23</v>
      </c>
      <c r="L249" s="1" t="s">
        <v>1308</v>
      </c>
      <c r="M249" s="1">
        <v>0.0</v>
      </c>
      <c r="N249" s="1">
        <v>1.0</v>
      </c>
      <c r="O249" s="1" t="s">
        <v>382</v>
      </c>
      <c r="P249" s="1" t="s">
        <v>25</v>
      </c>
      <c r="Q249" s="2" t="str">
        <f t="shared" si="1"/>
        <v>H030264</v>
      </c>
    </row>
    <row r="250">
      <c r="A250" s="1" t="s">
        <v>1309</v>
      </c>
      <c r="B250" s="1" t="s">
        <v>1310</v>
      </c>
      <c r="C250" s="1" t="s">
        <v>1311</v>
      </c>
      <c r="D250" s="1" t="s">
        <v>1312</v>
      </c>
      <c r="E250" s="1">
        <v>4945.0</v>
      </c>
      <c r="F250" s="1" t="s">
        <v>382</v>
      </c>
      <c r="G250" s="1" t="s">
        <v>107</v>
      </c>
      <c r="H250" s="1" t="s">
        <v>108</v>
      </c>
      <c r="I250" s="1"/>
      <c r="J250" s="1"/>
      <c r="K250" s="1" t="s">
        <v>23</v>
      </c>
      <c r="L250" s="1" t="s">
        <v>1313</v>
      </c>
      <c r="M250" s="1">
        <v>0.0</v>
      </c>
      <c r="N250" s="1">
        <v>1.0</v>
      </c>
      <c r="O250" s="1" t="s">
        <v>382</v>
      </c>
      <c r="P250" s="1" t="s">
        <v>25</v>
      </c>
      <c r="Q250" s="2" t="str">
        <f t="shared" si="1"/>
        <v>H030264</v>
      </c>
    </row>
    <row r="251">
      <c r="A251" s="1" t="s">
        <v>1314</v>
      </c>
      <c r="B251" s="1" t="s">
        <v>1315</v>
      </c>
      <c r="C251" s="1" t="s">
        <v>1316</v>
      </c>
      <c r="D251" s="1" t="s">
        <v>1317</v>
      </c>
      <c r="E251" s="1">
        <v>3496.0</v>
      </c>
      <c r="F251" s="1" t="s">
        <v>382</v>
      </c>
      <c r="G251" s="1" t="s">
        <v>107</v>
      </c>
      <c r="H251" s="1" t="s">
        <v>108</v>
      </c>
      <c r="I251" s="1"/>
      <c r="J251" s="1"/>
      <c r="K251" s="1" t="s">
        <v>23</v>
      </c>
      <c r="L251" s="1" t="s">
        <v>1318</v>
      </c>
      <c r="M251" s="1">
        <v>0.0</v>
      </c>
      <c r="N251" s="1">
        <v>1.0</v>
      </c>
      <c r="O251" s="1" t="s">
        <v>382</v>
      </c>
      <c r="P251" s="1" t="s">
        <v>25</v>
      </c>
      <c r="Q251" s="2" t="str">
        <f t="shared" si="1"/>
        <v>H030264</v>
      </c>
    </row>
    <row r="252">
      <c r="A252" s="1" t="s">
        <v>1319</v>
      </c>
      <c r="B252" s="1" t="s">
        <v>1320</v>
      </c>
      <c r="C252" s="1" t="s">
        <v>1321</v>
      </c>
      <c r="D252" s="1" t="s">
        <v>1322</v>
      </c>
      <c r="E252" s="1">
        <v>3794.0</v>
      </c>
      <c r="F252" s="1" t="s">
        <v>382</v>
      </c>
      <c r="G252" s="1" t="s">
        <v>119</v>
      </c>
      <c r="H252" s="1" t="s">
        <v>120</v>
      </c>
      <c r="I252" s="1"/>
      <c r="J252" s="1"/>
      <c r="K252" s="1" t="s">
        <v>23</v>
      </c>
      <c r="L252" s="1" t="s">
        <v>1323</v>
      </c>
      <c r="M252" s="1">
        <v>0.0</v>
      </c>
      <c r="N252" s="1">
        <v>1.0</v>
      </c>
      <c r="O252" s="1" t="s">
        <v>382</v>
      </c>
      <c r="P252" s="1" t="s">
        <v>25</v>
      </c>
      <c r="Q252" s="2" t="str">
        <f t="shared" si="1"/>
        <v>H030264</v>
      </c>
    </row>
    <row r="253">
      <c r="A253" s="1" t="s">
        <v>1324</v>
      </c>
      <c r="B253" s="1" t="s">
        <v>1325</v>
      </c>
      <c r="C253" s="1" t="s">
        <v>1326</v>
      </c>
      <c r="D253" s="1" t="s">
        <v>1327</v>
      </c>
      <c r="E253" s="1">
        <v>4746.0</v>
      </c>
      <c r="F253" s="1" t="s">
        <v>382</v>
      </c>
      <c r="G253" s="1" t="s">
        <v>119</v>
      </c>
      <c r="H253" s="1" t="s">
        <v>120</v>
      </c>
      <c r="I253" s="1"/>
      <c r="J253" s="1"/>
      <c r="K253" s="1" t="s">
        <v>23</v>
      </c>
      <c r="L253" s="1" t="s">
        <v>1328</v>
      </c>
      <c r="M253" s="1">
        <v>0.0</v>
      </c>
      <c r="N253" s="1">
        <v>1.0</v>
      </c>
      <c r="O253" s="1" t="s">
        <v>382</v>
      </c>
      <c r="P253" s="1" t="s">
        <v>25</v>
      </c>
      <c r="Q253" s="2" t="str">
        <f t="shared" si="1"/>
        <v>H030264</v>
      </c>
    </row>
    <row r="254">
      <c r="A254" s="1" t="s">
        <v>1329</v>
      </c>
      <c r="B254" s="1" t="s">
        <v>1330</v>
      </c>
      <c r="C254" s="1" t="s">
        <v>1331</v>
      </c>
      <c r="D254" s="1" t="s">
        <v>1332</v>
      </c>
      <c r="E254" s="1">
        <v>3124.0</v>
      </c>
      <c r="F254" s="1" t="s">
        <v>382</v>
      </c>
      <c r="G254" s="1" t="s">
        <v>119</v>
      </c>
      <c r="H254" s="1" t="s">
        <v>120</v>
      </c>
      <c r="I254" s="1"/>
      <c r="J254" s="1"/>
      <c r="K254" s="1" t="s">
        <v>23</v>
      </c>
      <c r="L254" s="1" t="s">
        <v>1333</v>
      </c>
      <c r="M254" s="1">
        <v>0.0</v>
      </c>
      <c r="N254" s="1">
        <v>1.0</v>
      </c>
      <c r="O254" s="1" t="s">
        <v>382</v>
      </c>
      <c r="P254" s="1" t="s">
        <v>25</v>
      </c>
      <c r="Q254" s="2" t="str">
        <f t="shared" si="1"/>
        <v>H030264</v>
      </c>
    </row>
    <row r="255">
      <c r="A255" s="1" t="s">
        <v>1334</v>
      </c>
      <c r="B255" s="1" t="s">
        <v>1335</v>
      </c>
      <c r="C255" s="1" t="s">
        <v>1336</v>
      </c>
      <c r="D255" s="1" t="s">
        <v>1337</v>
      </c>
      <c r="E255" s="1">
        <v>3153.0</v>
      </c>
      <c r="F255" s="1" t="s">
        <v>382</v>
      </c>
      <c r="G255" s="1" t="s">
        <v>474</v>
      </c>
      <c r="H255" s="1" t="s">
        <v>475</v>
      </c>
      <c r="I255" s="1"/>
      <c r="J255" s="1"/>
      <c r="K255" s="1" t="s">
        <v>23</v>
      </c>
      <c r="L255" s="1" t="s">
        <v>1338</v>
      </c>
      <c r="M255" s="1">
        <v>0.0</v>
      </c>
      <c r="N255" s="1">
        <v>1.0</v>
      </c>
      <c r="O255" s="1" t="s">
        <v>382</v>
      </c>
      <c r="P255" s="1" t="s">
        <v>25</v>
      </c>
      <c r="Q255" s="2" t="str">
        <f t="shared" si="1"/>
        <v>H030264</v>
      </c>
    </row>
    <row r="256">
      <c r="A256" s="1" t="s">
        <v>1339</v>
      </c>
      <c r="B256" s="1" t="s">
        <v>1340</v>
      </c>
      <c r="C256" s="1" t="s">
        <v>1341</v>
      </c>
      <c r="D256" s="1" t="s">
        <v>1342</v>
      </c>
      <c r="E256" s="1">
        <v>4876.0</v>
      </c>
      <c r="F256" s="1" t="s">
        <v>382</v>
      </c>
      <c r="G256" s="1" t="s">
        <v>474</v>
      </c>
      <c r="H256" s="1" t="s">
        <v>475</v>
      </c>
      <c r="I256" s="1"/>
      <c r="J256" s="1"/>
      <c r="K256" s="1" t="s">
        <v>23</v>
      </c>
      <c r="L256" s="1" t="s">
        <v>1343</v>
      </c>
      <c r="M256" s="1">
        <v>0.0</v>
      </c>
      <c r="N256" s="1">
        <v>1.0</v>
      </c>
      <c r="O256" s="1" t="s">
        <v>382</v>
      </c>
      <c r="P256" s="1" t="s">
        <v>25</v>
      </c>
      <c r="Q256" s="2" t="str">
        <f t="shared" si="1"/>
        <v>H030264</v>
      </c>
    </row>
    <row r="257">
      <c r="A257" s="1" t="s">
        <v>1344</v>
      </c>
      <c r="B257" s="1" t="s">
        <v>1345</v>
      </c>
      <c r="C257" s="1" t="s">
        <v>1346</v>
      </c>
      <c r="D257" s="1" t="s">
        <v>1347</v>
      </c>
      <c r="E257" s="1">
        <v>4804.0</v>
      </c>
      <c r="F257" s="1" t="s">
        <v>382</v>
      </c>
      <c r="G257" s="1" t="s">
        <v>474</v>
      </c>
      <c r="H257" s="1" t="s">
        <v>475</v>
      </c>
      <c r="I257" s="1"/>
      <c r="J257" s="1"/>
      <c r="K257" s="1" t="s">
        <v>23</v>
      </c>
      <c r="L257" s="1" t="s">
        <v>1348</v>
      </c>
      <c r="M257" s="1">
        <v>0.0</v>
      </c>
      <c r="N257" s="1">
        <v>1.0</v>
      </c>
      <c r="O257" s="1" t="s">
        <v>382</v>
      </c>
      <c r="P257" s="1" t="s">
        <v>25</v>
      </c>
      <c r="Q257" s="2" t="str">
        <f t="shared" si="1"/>
        <v>H030264</v>
      </c>
    </row>
    <row r="258">
      <c r="A258" s="1" t="s">
        <v>1349</v>
      </c>
      <c r="B258" s="1" t="s">
        <v>1350</v>
      </c>
      <c r="C258" s="1" t="s">
        <v>1351</v>
      </c>
      <c r="D258" s="1" t="s">
        <v>1352</v>
      </c>
      <c r="E258" s="1">
        <v>7675.0</v>
      </c>
      <c r="F258" s="1" t="s">
        <v>382</v>
      </c>
      <c r="G258" s="1" t="s">
        <v>474</v>
      </c>
      <c r="H258" s="1" t="s">
        <v>475</v>
      </c>
      <c r="I258" s="1"/>
      <c r="J258" s="1"/>
      <c r="K258" s="1" t="s">
        <v>23</v>
      </c>
      <c r="L258" s="1" t="s">
        <v>1353</v>
      </c>
      <c r="M258" s="1">
        <v>0.0</v>
      </c>
      <c r="N258" s="1">
        <v>1.0</v>
      </c>
      <c r="O258" s="1" t="s">
        <v>382</v>
      </c>
      <c r="P258" s="1" t="s">
        <v>25</v>
      </c>
      <c r="Q258" s="2" t="str">
        <f t="shared" si="1"/>
        <v>H030264</v>
      </c>
    </row>
    <row r="259">
      <c r="A259" s="1" t="s">
        <v>1354</v>
      </c>
      <c r="B259" s="1" t="s">
        <v>1355</v>
      </c>
      <c r="C259" s="1" t="s">
        <v>1356</v>
      </c>
      <c r="D259" s="1" t="s">
        <v>1357</v>
      </c>
      <c r="E259" s="1">
        <v>4414.0</v>
      </c>
      <c r="F259" s="1" t="s">
        <v>351</v>
      </c>
      <c r="G259" s="1" t="s">
        <v>208</v>
      </c>
      <c r="H259" s="1" t="s">
        <v>209</v>
      </c>
      <c r="I259" s="1" t="s">
        <v>486</v>
      </c>
      <c r="J259" s="1"/>
      <c r="K259" s="1" t="s">
        <v>23</v>
      </c>
      <c r="L259" s="1" t="s">
        <v>1358</v>
      </c>
      <c r="M259" s="1">
        <v>2.0</v>
      </c>
      <c r="N259" s="1">
        <v>1.0</v>
      </c>
      <c r="O259" s="1" t="s">
        <v>351</v>
      </c>
      <c r="P259" s="1" t="s">
        <v>488</v>
      </c>
      <c r="Q259" s="2" t="str">
        <f t="shared" si="1"/>
        <v>H030415</v>
      </c>
    </row>
    <row r="260">
      <c r="A260" s="1" t="s">
        <v>1359</v>
      </c>
      <c r="B260" s="1" t="s">
        <v>1360</v>
      </c>
      <c r="C260" s="1" t="s">
        <v>1361</v>
      </c>
      <c r="D260" s="1" t="s">
        <v>1362</v>
      </c>
      <c r="E260" s="1">
        <v>3246.0</v>
      </c>
      <c r="F260" s="1" t="s">
        <v>351</v>
      </c>
      <c r="G260" s="1" t="s">
        <v>208</v>
      </c>
      <c r="H260" s="1" t="s">
        <v>209</v>
      </c>
      <c r="I260" s="1" t="s">
        <v>486</v>
      </c>
      <c r="J260" s="1"/>
      <c r="K260" s="1" t="s">
        <v>23</v>
      </c>
      <c r="L260" s="1" t="s">
        <v>1363</v>
      </c>
      <c r="M260" s="1">
        <v>2.0</v>
      </c>
      <c r="N260" s="1">
        <v>1.0</v>
      </c>
      <c r="O260" s="1" t="s">
        <v>351</v>
      </c>
      <c r="P260" s="1" t="s">
        <v>488</v>
      </c>
      <c r="Q260" s="2" t="str">
        <f t="shared" si="1"/>
        <v>H030415</v>
      </c>
    </row>
    <row r="261">
      <c r="A261" s="1" t="s">
        <v>1364</v>
      </c>
      <c r="B261" s="1" t="s">
        <v>1365</v>
      </c>
      <c r="C261" s="1" t="s">
        <v>1366</v>
      </c>
      <c r="D261" s="1" t="s">
        <v>1367</v>
      </c>
      <c r="E261" s="1">
        <v>3888.0</v>
      </c>
      <c r="F261" s="1" t="s">
        <v>288</v>
      </c>
      <c r="G261" s="1">
        <v>859767.0</v>
      </c>
      <c r="H261" s="1" t="s">
        <v>22</v>
      </c>
      <c r="I261" s="1"/>
      <c r="J261" s="1"/>
      <c r="K261" s="1" t="s">
        <v>23</v>
      </c>
      <c r="L261" s="1" t="s">
        <v>1368</v>
      </c>
      <c r="M261" s="1">
        <v>0.0</v>
      </c>
      <c r="N261" s="1">
        <v>1.0</v>
      </c>
      <c r="O261" s="1" t="s">
        <v>288</v>
      </c>
      <c r="P261" s="1" t="s">
        <v>25</v>
      </c>
      <c r="Q261" s="2" t="str">
        <f t="shared" si="1"/>
        <v>H019687</v>
      </c>
    </row>
    <row r="262">
      <c r="A262" s="1" t="s">
        <v>1369</v>
      </c>
      <c r="B262" s="1" t="s">
        <v>1370</v>
      </c>
      <c r="C262" s="1" t="s">
        <v>1371</v>
      </c>
      <c r="D262" s="1" t="s">
        <v>1372</v>
      </c>
      <c r="E262" s="1">
        <v>6130.0</v>
      </c>
      <c r="F262" s="1" t="s">
        <v>288</v>
      </c>
      <c r="G262" s="1">
        <v>859767.0</v>
      </c>
      <c r="H262" s="1" t="s">
        <v>22</v>
      </c>
      <c r="I262" s="1"/>
      <c r="J262" s="1"/>
      <c r="K262" s="1" t="s">
        <v>23</v>
      </c>
      <c r="L262" s="1" t="s">
        <v>1373</v>
      </c>
      <c r="M262" s="1">
        <v>0.0</v>
      </c>
      <c r="N262" s="1">
        <v>1.0</v>
      </c>
      <c r="O262" s="1" t="s">
        <v>288</v>
      </c>
      <c r="P262" s="1" t="s">
        <v>25</v>
      </c>
      <c r="Q262" s="2" t="str">
        <f t="shared" si="1"/>
        <v>H019687</v>
      </c>
    </row>
    <row r="263">
      <c r="A263" s="1" t="s">
        <v>1374</v>
      </c>
      <c r="B263" s="1" t="s">
        <v>1375</v>
      </c>
      <c r="C263" s="1" t="s">
        <v>1376</v>
      </c>
      <c r="D263" s="1" t="s">
        <v>1377</v>
      </c>
      <c r="E263" s="1">
        <v>3327.0</v>
      </c>
      <c r="F263" s="1" t="s">
        <v>351</v>
      </c>
      <c r="G263" s="1" t="s">
        <v>208</v>
      </c>
      <c r="H263" s="1" t="s">
        <v>209</v>
      </c>
      <c r="I263" s="1"/>
      <c r="J263" s="1"/>
      <c r="K263" s="1" t="s">
        <v>23</v>
      </c>
      <c r="L263" s="1" t="s">
        <v>1378</v>
      </c>
      <c r="M263" s="1">
        <v>1.0</v>
      </c>
      <c r="N263" s="1">
        <v>1.0</v>
      </c>
      <c r="O263" s="1" t="s">
        <v>351</v>
      </c>
      <c r="P263" s="1" t="s">
        <v>25</v>
      </c>
      <c r="Q263" s="2" t="str">
        <f t="shared" si="1"/>
        <v>H030106</v>
      </c>
    </row>
    <row r="264">
      <c r="A264" s="1" t="s">
        <v>1379</v>
      </c>
      <c r="B264" s="1" t="s">
        <v>1380</v>
      </c>
      <c r="C264" s="1" t="s">
        <v>1381</v>
      </c>
      <c r="D264" s="1" t="s">
        <v>1382</v>
      </c>
      <c r="E264" s="1">
        <v>85.0</v>
      </c>
      <c r="F264" s="1" t="s">
        <v>351</v>
      </c>
      <c r="G264" s="1" t="s">
        <v>208</v>
      </c>
      <c r="H264" s="1" t="s">
        <v>209</v>
      </c>
      <c r="I264" s="1"/>
      <c r="J264" s="1"/>
      <c r="K264" s="1" t="s">
        <v>23</v>
      </c>
      <c r="L264" s="1" t="s">
        <v>1383</v>
      </c>
      <c r="M264" s="1">
        <v>1.0</v>
      </c>
      <c r="N264" s="1">
        <v>0.0</v>
      </c>
      <c r="O264" s="1" t="s">
        <v>351</v>
      </c>
      <c r="P264" s="1" t="s">
        <v>25</v>
      </c>
      <c r="Q264" s="2" t="str">
        <f t="shared" si="1"/>
        <v>H030106</v>
      </c>
    </row>
    <row r="265">
      <c r="A265" s="1" t="s">
        <v>1384</v>
      </c>
      <c r="B265" s="1" t="s">
        <v>1385</v>
      </c>
      <c r="C265" s="1" t="s">
        <v>1386</v>
      </c>
      <c r="D265" s="1" t="s">
        <v>1387</v>
      </c>
      <c r="E265" s="1">
        <v>3976.0</v>
      </c>
      <c r="F265" s="1" t="s">
        <v>351</v>
      </c>
      <c r="G265" s="1" t="s">
        <v>208</v>
      </c>
      <c r="H265" s="1" t="s">
        <v>209</v>
      </c>
      <c r="I265" s="1"/>
      <c r="J265" s="1"/>
      <c r="K265" s="1" t="s">
        <v>23</v>
      </c>
      <c r="L265" s="1" t="s">
        <v>1388</v>
      </c>
      <c r="M265" s="1">
        <v>1.0</v>
      </c>
      <c r="N265" s="1">
        <v>1.0</v>
      </c>
      <c r="O265" s="1" t="s">
        <v>351</v>
      </c>
      <c r="P265" s="1" t="s">
        <v>25</v>
      </c>
      <c r="Q265" s="2" t="str">
        <f t="shared" si="1"/>
        <v>H030106</v>
      </c>
    </row>
    <row r="266">
      <c r="A266" s="1" t="s">
        <v>1389</v>
      </c>
      <c r="B266" s="1" t="s">
        <v>1390</v>
      </c>
      <c r="C266" s="1" t="s">
        <v>1391</v>
      </c>
      <c r="D266" s="1" t="s">
        <v>1392</v>
      </c>
      <c r="E266" s="1">
        <v>3580.0</v>
      </c>
      <c r="F266" s="1" t="s">
        <v>351</v>
      </c>
      <c r="G266" s="1" t="s">
        <v>208</v>
      </c>
      <c r="H266" s="1" t="s">
        <v>209</v>
      </c>
      <c r="I266" s="1"/>
      <c r="J266" s="1"/>
      <c r="K266" s="1" t="s">
        <v>23</v>
      </c>
      <c r="L266" s="1" t="s">
        <v>1393</v>
      </c>
      <c r="M266" s="1">
        <v>1.0</v>
      </c>
      <c r="N266" s="1">
        <v>1.0</v>
      </c>
      <c r="O266" s="1" t="s">
        <v>351</v>
      </c>
      <c r="P266" s="1" t="s">
        <v>25</v>
      </c>
      <c r="Q266" s="2" t="str">
        <f t="shared" si="1"/>
        <v>H030106</v>
      </c>
    </row>
    <row r="267">
      <c r="A267" s="1" t="s">
        <v>1394</v>
      </c>
      <c r="B267" s="1" t="s">
        <v>1395</v>
      </c>
      <c r="C267" s="1" t="s">
        <v>1396</v>
      </c>
      <c r="D267" s="1" t="s">
        <v>1397</v>
      </c>
      <c r="E267" s="1">
        <v>2027.0</v>
      </c>
      <c r="F267" s="1" t="s">
        <v>351</v>
      </c>
      <c r="G267" s="1" t="s">
        <v>208</v>
      </c>
      <c r="H267" s="1" t="s">
        <v>209</v>
      </c>
      <c r="I267" s="1"/>
      <c r="J267" s="1"/>
      <c r="K267" s="1" t="s">
        <v>23</v>
      </c>
      <c r="L267" s="1" t="s">
        <v>1398</v>
      </c>
      <c r="M267" s="1">
        <v>1.0</v>
      </c>
      <c r="N267" s="1">
        <v>1.0</v>
      </c>
      <c r="O267" s="1" t="s">
        <v>351</v>
      </c>
      <c r="P267" s="1" t="s">
        <v>25</v>
      </c>
      <c r="Q267" s="2" t="str">
        <f t="shared" si="1"/>
        <v>H030106</v>
      </c>
    </row>
    <row r="268">
      <c r="A268" s="1" t="s">
        <v>1399</v>
      </c>
      <c r="B268" s="1" t="s">
        <v>1400</v>
      </c>
      <c r="C268" s="1" t="s">
        <v>1401</v>
      </c>
      <c r="D268" s="1" t="s">
        <v>1402</v>
      </c>
      <c r="E268" s="1">
        <v>2860.0</v>
      </c>
      <c r="F268" s="1" t="s">
        <v>351</v>
      </c>
      <c r="G268" s="1" t="s">
        <v>57</v>
      </c>
      <c r="H268" s="1" t="s">
        <v>58</v>
      </c>
      <c r="I268" s="1"/>
      <c r="J268" s="1"/>
      <c r="K268" s="1" t="s">
        <v>23</v>
      </c>
      <c r="L268" s="1" t="s">
        <v>1403</v>
      </c>
      <c r="M268" s="1">
        <v>1.0</v>
      </c>
      <c r="N268" s="1">
        <v>1.0</v>
      </c>
      <c r="O268" s="1" t="s">
        <v>351</v>
      </c>
      <c r="P268" s="1" t="s">
        <v>25</v>
      </c>
      <c r="Q268" s="2" t="str">
        <f t="shared" si="1"/>
        <v>H030106</v>
      </c>
    </row>
    <row r="269">
      <c r="A269" s="1" t="s">
        <v>1404</v>
      </c>
      <c r="B269" s="1" t="s">
        <v>1405</v>
      </c>
      <c r="C269" s="1" t="s">
        <v>1406</v>
      </c>
      <c r="D269" s="1" t="s">
        <v>1407</v>
      </c>
      <c r="E269" s="1">
        <v>3391.0</v>
      </c>
      <c r="F269" s="1" t="s">
        <v>351</v>
      </c>
      <c r="G269" s="1" t="s">
        <v>57</v>
      </c>
      <c r="H269" s="1" t="s">
        <v>58</v>
      </c>
      <c r="I269" s="1"/>
      <c r="J269" s="1"/>
      <c r="K269" s="1" t="s">
        <v>23</v>
      </c>
      <c r="L269" s="1" t="s">
        <v>1408</v>
      </c>
      <c r="M269" s="1">
        <v>1.0</v>
      </c>
      <c r="N269" s="1">
        <v>1.0</v>
      </c>
      <c r="O269" s="1" t="s">
        <v>351</v>
      </c>
      <c r="P269" s="1" t="s">
        <v>25</v>
      </c>
      <c r="Q269" s="2" t="str">
        <f t="shared" si="1"/>
        <v>H030106</v>
      </c>
    </row>
    <row r="270">
      <c r="A270" s="1" t="s">
        <v>1409</v>
      </c>
      <c r="B270" s="1" t="s">
        <v>1410</v>
      </c>
      <c r="C270" s="1" t="s">
        <v>1411</v>
      </c>
      <c r="D270" s="1" t="s">
        <v>1412</v>
      </c>
      <c r="E270" s="1">
        <v>3850.0</v>
      </c>
      <c r="F270" s="1" t="s">
        <v>351</v>
      </c>
      <c r="G270" s="1" t="s">
        <v>57</v>
      </c>
      <c r="H270" s="1" t="s">
        <v>58</v>
      </c>
      <c r="I270" s="1"/>
      <c r="J270" s="1"/>
      <c r="K270" s="1" t="s">
        <v>23</v>
      </c>
      <c r="L270" s="1" t="s">
        <v>1413</v>
      </c>
      <c r="M270" s="1">
        <v>1.0</v>
      </c>
      <c r="N270" s="1">
        <v>1.0</v>
      </c>
      <c r="O270" s="1" t="s">
        <v>351</v>
      </c>
      <c r="P270" s="1" t="s">
        <v>25</v>
      </c>
      <c r="Q270" s="2" t="str">
        <f t="shared" si="1"/>
        <v>H030106</v>
      </c>
    </row>
    <row r="271">
      <c r="A271" s="1" t="s">
        <v>1414</v>
      </c>
      <c r="B271" s="1" t="s">
        <v>1415</v>
      </c>
      <c r="C271" s="1" t="s">
        <v>1416</v>
      </c>
      <c r="D271" s="1" t="s">
        <v>1417</v>
      </c>
      <c r="E271" s="1">
        <v>3474.0</v>
      </c>
      <c r="F271" s="1" t="s">
        <v>351</v>
      </c>
      <c r="G271" s="1" t="s">
        <v>57</v>
      </c>
      <c r="H271" s="1" t="s">
        <v>58</v>
      </c>
      <c r="I271" s="1"/>
      <c r="J271" s="1"/>
      <c r="K271" s="1" t="s">
        <v>23</v>
      </c>
      <c r="L271" s="1" t="s">
        <v>1418</v>
      </c>
      <c r="M271" s="1">
        <v>1.0</v>
      </c>
      <c r="N271" s="1">
        <v>1.0</v>
      </c>
      <c r="O271" s="1" t="s">
        <v>351</v>
      </c>
      <c r="P271" s="1" t="s">
        <v>25</v>
      </c>
      <c r="Q271" s="2" t="str">
        <f t="shared" si="1"/>
        <v>H030106</v>
      </c>
    </row>
    <row r="272">
      <c r="A272" s="1" t="s">
        <v>1419</v>
      </c>
      <c r="B272" s="1" t="s">
        <v>1420</v>
      </c>
      <c r="C272" s="1" t="s">
        <v>1421</v>
      </c>
      <c r="D272" s="1" t="s">
        <v>1422</v>
      </c>
      <c r="E272" s="1">
        <v>3150.0</v>
      </c>
      <c r="F272" s="1" t="s">
        <v>315</v>
      </c>
      <c r="G272" s="1">
        <v>555127.0</v>
      </c>
      <c r="H272" s="1" t="s">
        <v>35</v>
      </c>
      <c r="I272" s="1"/>
      <c r="J272" s="1"/>
      <c r="K272" s="1" t="s">
        <v>23</v>
      </c>
      <c r="L272" s="1" t="s">
        <v>1423</v>
      </c>
      <c r="M272" s="1">
        <v>0.0</v>
      </c>
      <c r="N272" s="1">
        <v>1.0</v>
      </c>
      <c r="O272" s="1" t="s">
        <v>315</v>
      </c>
      <c r="P272" s="1" t="s">
        <v>25</v>
      </c>
      <c r="Q272" s="2" t="str">
        <f t="shared" si="1"/>
        <v>H019625</v>
      </c>
    </row>
    <row r="273">
      <c r="A273" s="1" t="s">
        <v>1424</v>
      </c>
      <c r="B273" s="1" t="s">
        <v>1425</v>
      </c>
      <c r="C273" s="1" t="s">
        <v>1426</v>
      </c>
      <c r="D273" s="1" t="s">
        <v>1427</v>
      </c>
      <c r="E273" s="1">
        <v>4772.0</v>
      </c>
      <c r="F273" s="1" t="s">
        <v>315</v>
      </c>
      <c r="G273" s="1">
        <v>555127.0</v>
      </c>
      <c r="H273" s="1" t="s">
        <v>35</v>
      </c>
      <c r="I273" s="1"/>
      <c r="J273" s="1"/>
      <c r="K273" s="1" t="s">
        <v>23</v>
      </c>
      <c r="L273" s="1" t="s">
        <v>1428</v>
      </c>
      <c r="M273" s="1">
        <v>0.0</v>
      </c>
      <c r="N273" s="1">
        <v>1.0</v>
      </c>
      <c r="O273" s="1" t="s">
        <v>315</v>
      </c>
      <c r="P273" s="1" t="s">
        <v>25</v>
      </c>
      <c r="Q273" s="2" t="str">
        <f t="shared" si="1"/>
        <v>H019625</v>
      </c>
    </row>
    <row r="274">
      <c r="A274" s="1" t="s">
        <v>1429</v>
      </c>
      <c r="B274" s="1" t="s">
        <v>1430</v>
      </c>
      <c r="C274" s="1" t="s">
        <v>1431</v>
      </c>
      <c r="D274" s="1" t="s">
        <v>1432</v>
      </c>
      <c r="E274" s="1">
        <v>1797.0</v>
      </c>
      <c r="F274" s="1" t="s">
        <v>315</v>
      </c>
      <c r="G274" s="1">
        <v>555127.0</v>
      </c>
      <c r="H274" s="1" t="s">
        <v>35</v>
      </c>
      <c r="I274" s="1"/>
      <c r="J274" s="1"/>
      <c r="K274" s="1" t="s">
        <v>23</v>
      </c>
      <c r="L274" s="1" t="s">
        <v>1433</v>
      </c>
      <c r="M274" s="1">
        <v>0.0</v>
      </c>
      <c r="N274" s="1">
        <v>1.0</v>
      </c>
      <c r="O274" s="1" t="s">
        <v>315</v>
      </c>
      <c r="P274" s="1" t="s">
        <v>25</v>
      </c>
      <c r="Q274" s="2" t="str">
        <f t="shared" si="1"/>
        <v>H019625</v>
      </c>
    </row>
    <row r="275">
      <c r="A275" s="1" t="s">
        <v>1434</v>
      </c>
      <c r="B275" s="1" t="s">
        <v>1435</v>
      </c>
      <c r="C275" s="1" t="s">
        <v>1436</v>
      </c>
      <c r="D275" s="1" t="s">
        <v>1437</v>
      </c>
      <c r="E275" s="1">
        <v>3329.0</v>
      </c>
      <c r="F275" s="1" t="s">
        <v>315</v>
      </c>
      <c r="G275" s="1">
        <v>555127.0</v>
      </c>
      <c r="H275" s="1" t="s">
        <v>35</v>
      </c>
      <c r="I275" s="1"/>
      <c r="J275" s="1"/>
      <c r="K275" s="1" t="s">
        <v>23</v>
      </c>
      <c r="L275" s="1" t="s">
        <v>1438</v>
      </c>
      <c r="M275" s="1">
        <v>0.0</v>
      </c>
      <c r="N275" s="1">
        <v>1.0</v>
      </c>
      <c r="O275" s="1" t="s">
        <v>315</v>
      </c>
      <c r="P275" s="1" t="s">
        <v>25</v>
      </c>
      <c r="Q275" s="2" t="str">
        <f t="shared" si="1"/>
        <v>H019625</v>
      </c>
    </row>
    <row r="276">
      <c r="A276" s="1" t="s">
        <v>1439</v>
      </c>
      <c r="B276" s="1" t="s">
        <v>1440</v>
      </c>
      <c r="C276" s="1" t="s">
        <v>1441</v>
      </c>
      <c r="D276" s="1" t="s">
        <v>1442</v>
      </c>
      <c r="E276" s="1">
        <v>2415.0</v>
      </c>
      <c r="F276" s="1" t="s">
        <v>315</v>
      </c>
      <c r="G276" s="1">
        <v>841329.0</v>
      </c>
      <c r="H276" s="1" t="s">
        <v>96</v>
      </c>
      <c r="I276" s="1"/>
      <c r="J276" s="1"/>
      <c r="K276" s="1" t="s">
        <v>23</v>
      </c>
      <c r="L276" s="1" t="s">
        <v>1443</v>
      </c>
      <c r="M276" s="1">
        <v>0.0</v>
      </c>
      <c r="N276" s="1">
        <v>1.0</v>
      </c>
      <c r="O276" s="1" t="s">
        <v>315</v>
      </c>
      <c r="P276" s="1" t="s">
        <v>25</v>
      </c>
      <c r="Q276" s="2" t="str">
        <f t="shared" si="1"/>
        <v>H019625</v>
      </c>
    </row>
    <row r="277">
      <c r="A277" s="1" t="s">
        <v>1444</v>
      </c>
      <c r="B277" s="1" t="s">
        <v>1445</v>
      </c>
      <c r="C277" s="1" t="s">
        <v>1446</v>
      </c>
      <c r="D277" s="1" t="s">
        <v>1447</v>
      </c>
      <c r="E277" s="1">
        <v>2768.0</v>
      </c>
      <c r="F277" s="1" t="s">
        <v>315</v>
      </c>
      <c r="G277" s="1">
        <v>841329.0</v>
      </c>
      <c r="H277" s="1" t="s">
        <v>96</v>
      </c>
      <c r="I277" s="1"/>
      <c r="J277" s="1"/>
      <c r="K277" s="1" t="s">
        <v>23</v>
      </c>
      <c r="L277" s="1" t="s">
        <v>1448</v>
      </c>
      <c r="M277" s="1">
        <v>0.0</v>
      </c>
      <c r="N277" s="1">
        <v>1.0</v>
      </c>
      <c r="O277" s="1" t="s">
        <v>315</v>
      </c>
      <c r="P277" s="1" t="s">
        <v>25</v>
      </c>
      <c r="Q277" s="2" t="str">
        <f t="shared" si="1"/>
        <v>H019625</v>
      </c>
    </row>
    <row r="278">
      <c r="A278" s="1" t="s">
        <v>1449</v>
      </c>
      <c r="B278" s="1" t="s">
        <v>1450</v>
      </c>
      <c r="C278" s="1" t="s">
        <v>1451</v>
      </c>
      <c r="D278" s="1" t="s">
        <v>1452</v>
      </c>
      <c r="E278" s="1">
        <v>3260.0</v>
      </c>
      <c r="F278" s="1" t="s">
        <v>315</v>
      </c>
      <c r="G278" s="1">
        <v>841329.0</v>
      </c>
      <c r="H278" s="1" t="s">
        <v>96</v>
      </c>
      <c r="I278" s="1"/>
      <c r="J278" s="1"/>
      <c r="K278" s="1" t="s">
        <v>23</v>
      </c>
      <c r="L278" s="1" t="s">
        <v>1453</v>
      </c>
      <c r="M278" s="1">
        <v>0.0</v>
      </c>
      <c r="N278" s="1">
        <v>1.0</v>
      </c>
      <c r="O278" s="1" t="s">
        <v>315</v>
      </c>
      <c r="P278" s="1" t="s">
        <v>25</v>
      </c>
      <c r="Q278" s="2" t="str">
        <f t="shared" si="1"/>
        <v>H019625</v>
      </c>
    </row>
    <row r="279">
      <c r="A279" s="1" t="s">
        <v>1454</v>
      </c>
      <c r="B279" s="1" t="s">
        <v>1455</v>
      </c>
      <c r="C279" s="1" t="s">
        <v>1456</v>
      </c>
      <c r="D279" s="1" t="s">
        <v>1457</v>
      </c>
      <c r="E279" s="1">
        <v>2292.0</v>
      </c>
      <c r="F279" s="1" t="s">
        <v>315</v>
      </c>
      <c r="G279" s="1">
        <v>841329.0</v>
      </c>
      <c r="H279" s="1" t="s">
        <v>96</v>
      </c>
      <c r="I279" s="1"/>
      <c r="J279" s="1"/>
      <c r="K279" s="1" t="s">
        <v>23</v>
      </c>
      <c r="L279" s="1" t="s">
        <v>1458</v>
      </c>
      <c r="M279" s="1">
        <v>0.0</v>
      </c>
      <c r="N279" s="1">
        <v>1.0</v>
      </c>
      <c r="O279" s="1" t="s">
        <v>315</v>
      </c>
      <c r="P279" s="1" t="s">
        <v>25</v>
      </c>
      <c r="Q279" s="2" t="str">
        <f t="shared" si="1"/>
        <v>H019625</v>
      </c>
    </row>
    <row r="280">
      <c r="A280" s="1" t="s">
        <v>1459</v>
      </c>
      <c r="B280" s="1" t="s">
        <v>1460</v>
      </c>
      <c r="C280" s="1" t="s">
        <v>1461</v>
      </c>
      <c r="D280" s="1" t="s">
        <v>1462</v>
      </c>
      <c r="E280" s="1">
        <v>3838.0</v>
      </c>
      <c r="F280" s="1" t="s">
        <v>315</v>
      </c>
      <c r="G280" s="1">
        <v>841329.0</v>
      </c>
      <c r="H280" s="1" t="s">
        <v>96</v>
      </c>
      <c r="I280" s="1"/>
      <c r="J280" s="1"/>
      <c r="K280" s="1" t="s">
        <v>23</v>
      </c>
      <c r="L280" s="1" t="s">
        <v>1463</v>
      </c>
      <c r="M280" s="1">
        <v>0.0</v>
      </c>
      <c r="N280" s="1">
        <v>1.0</v>
      </c>
      <c r="O280" s="1" t="s">
        <v>315</v>
      </c>
      <c r="P280" s="1" t="s">
        <v>25</v>
      </c>
      <c r="Q280" s="2" t="str">
        <f t="shared" si="1"/>
        <v>H019625</v>
      </c>
    </row>
    <row r="281">
      <c r="A281" s="1" t="s">
        <v>1464</v>
      </c>
      <c r="B281" s="1" t="s">
        <v>1465</v>
      </c>
      <c r="C281" s="1" t="s">
        <v>1466</v>
      </c>
      <c r="D281" s="1" t="s">
        <v>1467</v>
      </c>
      <c r="E281" s="1">
        <v>6287.0</v>
      </c>
      <c r="F281" s="1" t="s">
        <v>398</v>
      </c>
      <c r="G281" s="1" t="s">
        <v>179</v>
      </c>
      <c r="H281" s="1" t="s">
        <v>180</v>
      </c>
      <c r="I281" s="1" t="s">
        <v>1112</v>
      </c>
      <c r="J281" s="1"/>
      <c r="K281" s="1" t="s">
        <v>23</v>
      </c>
      <c r="L281" s="1" t="s">
        <v>1468</v>
      </c>
      <c r="M281" s="1">
        <v>0.0</v>
      </c>
      <c r="N281" s="1">
        <v>1.0</v>
      </c>
      <c r="O281" s="1" t="s">
        <v>398</v>
      </c>
      <c r="P281" s="1" t="s">
        <v>488</v>
      </c>
      <c r="Q281" s="2" t="str">
        <f t="shared" si="1"/>
        <v>H030326</v>
      </c>
    </row>
    <row r="282">
      <c r="A282" s="1" t="s">
        <v>1469</v>
      </c>
      <c r="B282" s="1" t="s">
        <v>1470</v>
      </c>
      <c r="C282" s="1" t="s">
        <v>1471</v>
      </c>
      <c r="D282" s="1" t="s">
        <v>1472</v>
      </c>
      <c r="E282" s="1">
        <v>3242.0</v>
      </c>
      <c r="F282" s="1" t="s">
        <v>398</v>
      </c>
      <c r="G282" s="1" t="s">
        <v>232</v>
      </c>
      <c r="H282" s="1" t="s">
        <v>233</v>
      </c>
      <c r="I282" s="1"/>
      <c r="J282" s="1"/>
      <c r="K282" s="1" t="s">
        <v>23</v>
      </c>
      <c r="L282" s="1" t="s">
        <v>1473</v>
      </c>
      <c r="M282" s="1">
        <v>0.0</v>
      </c>
      <c r="N282" s="1">
        <v>1.0</v>
      </c>
      <c r="O282" s="1" t="s">
        <v>398</v>
      </c>
      <c r="P282" s="1" t="s">
        <v>25</v>
      </c>
      <c r="Q282" s="2" t="str">
        <f t="shared" si="1"/>
        <v>H030326</v>
      </c>
    </row>
    <row r="283">
      <c r="A283" s="1" t="s">
        <v>1474</v>
      </c>
      <c r="B283" s="1" t="s">
        <v>1475</v>
      </c>
      <c r="C283" s="1" t="s">
        <v>1476</v>
      </c>
      <c r="D283" s="1" t="s">
        <v>1477</v>
      </c>
      <c r="E283" s="1">
        <v>2928.0</v>
      </c>
      <c r="F283" s="1" t="s">
        <v>398</v>
      </c>
      <c r="G283" s="1" t="s">
        <v>232</v>
      </c>
      <c r="H283" s="1" t="s">
        <v>233</v>
      </c>
      <c r="I283" s="1"/>
      <c r="J283" s="1"/>
      <c r="K283" s="1" t="s">
        <v>23</v>
      </c>
      <c r="L283" s="1" t="s">
        <v>1478</v>
      </c>
      <c r="M283" s="1">
        <v>0.0</v>
      </c>
      <c r="N283" s="1">
        <v>1.0</v>
      </c>
      <c r="O283" s="1" t="s">
        <v>398</v>
      </c>
      <c r="P283" s="1" t="s">
        <v>25</v>
      </c>
      <c r="Q283" s="2" t="str">
        <f t="shared" si="1"/>
        <v>H030326</v>
      </c>
    </row>
    <row r="284">
      <c r="A284" s="1" t="s">
        <v>1479</v>
      </c>
      <c r="B284" s="1" t="s">
        <v>1480</v>
      </c>
      <c r="C284" s="1" t="s">
        <v>1481</v>
      </c>
      <c r="D284" s="1" t="s">
        <v>1482</v>
      </c>
      <c r="E284" s="1">
        <v>4648.0</v>
      </c>
      <c r="F284" s="1" t="s">
        <v>398</v>
      </c>
      <c r="G284" s="1" t="s">
        <v>179</v>
      </c>
      <c r="H284" s="1" t="s">
        <v>180</v>
      </c>
      <c r="I284" s="1"/>
      <c r="J284" s="1"/>
      <c r="K284" s="1" t="s">
        <v>23</v>
      </c>
      <c r="L284" s="1" t="s">
        <v>1483</v>
      </c>
      <c r="M284" s="1">
        <v>0.0</v>
      </c>
      <c r="N284" s="1">
        <v>1.0</v>
      </c>
      <c r="O284" s="1" t="s">
        <v>398</v>
      </c>
      <c r="P284" s="1" t="s">
        <v>25</v>
      </c>
      <c r="Q284" s="2" t="str">
        <f t="shared" si="1"/>
        <v>H030326</v>
      </c>
    </row>
    <row r="285">
      <c r="A285" s="1" t="s">
        <v>1484</v>
      </c>
      <c r="B285" s="1" t="s">
        <v>1485</v>
      </c>
      <c r="C285" s="1" t="s">
        <v>1486</v>
      </c>
      <c r="D285" s="1" t="s">
        <v>1487</v>
      </c>
      <c r="E285" s="1">
        <v>3590.0</v>
      </c>
      <c r="F285" s="1" t="s">
        <v>398</v>
      </c>
      <c r="G285" s="1" t="s">
        <v>232</v>
      </c>
      <c r="H285" s="1" t="s">
        <v>233</v>
      </c>
      <c r="I285" s="1"/>
      <c r="J285" s="1"/>
      <c r="K285" s="1" t="s">
        <v>23</v>
      </c>
      <c r="L285" s="1" t="s">
        <v>1488</v>
      </c>
      <c r="M285" s="1">
        <v>0.0</v>
      </c>
      <c r="N285" s="1">
        <v>1.0</v>
      </c>
      <c r="O285" s="1" t="s">
        <v>398</v>
      </c>
      <c r="P285" s="1" t="s">
        <v>25</v>
      </c>
      <c r="Q285" s="2" t="str">
        <f t="shared" si="1"/>
        <v>H030326</v>
      </c>
    </row>
    <row r="286">
      <c r="A286" s="1" t="s">
        <v>1489</v>
      </c>
      <c r="B286" s="1" t="s">
        <v>1490</v>
      </c>
      <c r="C286" s="1" t="s">
        <v>1491</v>
      </c>
      <c r="D286" s="1" t="s">
        <v>1492</v>
      </c>
      <c r="E286" s="1">
        <v>3321.0</v>
      </c>
      <c r="F286" s="1" t="s">
        <v>398</v>
      </c>
      <c r="G286" s="1" t="s">
        <v>232</v>
      </c>
      <c r="H286" s="1" t="s">
        <v>233</v>
      </c>
      <c r="I286" s="1"/>
      <c r="J286" s="1"/>
      <c r="K286" s="1" t="s">
        <v>23</v>
      </c>
      <c r="L286" s="1" t="s">
        <v>1493</v>
      </c>
      <c r="M286" s="1">
        <v>0.0</v>
      </c>
      <c r="N286" s="1">
        <v>1.0</v>
      </c>
      <c r="O286" s="1" t="s">
        <v>398</v>
      </c>
      <c r="P286" s="1" t="s">
        <v>25</v>
      </c>
      <c r="Q286" s="2" t="str">
        <f t="shared" si="1"/>
        <v>H030326</v>
      </c>
    </row>
    <row r="287">
      <c r="A287" s="1" t="s">
        <v>1494</v>
      </c>
      <c r="B287" s="1" t="s">
        <v>1495</v>
      </c>
      <c r="C287" s="1" t="s">
        <v>1496</v>
      </c>
      <c r="D287" s="1" t="s">
        <v>1497</v>
      </c>
      <c r="E287" s="1">
        <v>2191.0</v>
      </c>
      <c r="F287" s="1" t="s">
        <v>315</v>
      </c>
      <c r="G287" s="1">
        <v>455939.0</v>
      </c>
      <c r="H287" s="1" t="s">
        <v>704</v>
      </c>
      <c r="I287" s="1"/>
      <c r="J287" s="1"/>
      <c r="K287" s="1" t="s">
        <v>23</v>
      </c>
      <c r="L287" s="1" t="s">
        <v>1498</v>
      </c>
      <c r="M287" s="1">
        <v>0.0</v>
      </c>
      <c r="N287" s="1">
        <v>1.0</v>
      </c>
      <c r="O287" s="1" t="s">
        <v>315</v>
      </c>
      <c r="P287" s="1" t="s">
        <v>25</v>
      </c>
      <c r="Q287" s="2" t="str">
        <f t="shared" si="1"/>
        <v>H019625</v>
      </c>
    </row>
    <row r="288">
      <c r="A288" s="1" t="s">
        <v>1499</v>
      </c>
      <c r="B288" s="1" t="s">
        <v>1500</v>
      </c>
      <c r="C288" s="1" t="s">
        <v>1501</v>
      </c>
      <c r="D288" s="1" t="s">
        <v>1502</v>
      </c>
      <c r="E288" s="1">
        <v>3555.0</v>
      </c>
      <c r="F288" s="1" t="s">
        <v>315</v>
      </c>
      <c r="G288" s="1">
        <v>455939.0</v>
      </c>
      <c r="H288" s="1" t="s">
        <v>704</v>
      </c>
      <c r="I288" s="1"/>
      <c r="J288" s="1"/>
      <c r="K288" s="1" t="s">
        <v>23</v>
      </c>
      <c r="L288" s="1" t="s">
        <v>1503</v>
      </c>
      <c r="M288" s="1">
        <v>0.0</v>
      </c>
      <c r="N288" s="1">
        <v>1.0</v>
      </c>
      <c r="O288" s="1" t="s">
        <v>315</v>
      </c>
      <c r="P288" s="1" t="s">
        <v>25</v>
      </c>
      <c r="Q288" s="2" t="str">
        <f t="shared" si="1"/>
        <v>H019625</v>
      </c>
    </row>
    <row r="289">
      <c r="A289" s="1" t="s">
        <v>1504</v>
      </c>
      <c r="B289" s="1" t="s">
        <v>1505</v>
      </c>
      <c r="C289" s="1" t="s">
        <v>1506</v>
      </c>
      <c r="D289" s="1" t="s">
        <v>1507</v>
      </c>
      <c r="E289" s="1">
        <v>2601.0</v>
      </c>
      <c r="F289" s="1" t="s">
        <v>315</v>
      </c>
      <c r="G289" s="1">
        <v>455939.0</v>
      </c>
      <c r="H289" s="1" t="s">
        <v>704</v>
      </c>
      <c r="I289" s="1"/>
      <c r="J289" s="1"/>
      <c r="K289" s="1" t="s">
        <v>23</v>
      </c>
      <c r="L289" s="1" t="s">
        <v>1508</v>
      </c>
      <c r="M289" s="1">
        <v>0.0</v>
      </c>
      <c r="N289" s="1">
        <v>1.0</v>
      </c>
      <c r="O289" s="1" t="s">
        <v>315</v>
      </c>
      <c r="P289" s="1" t="s">
        <v>25</v>
      </c>
      <c r="Q289" s="2" t="str">
        <f t="shared" si="1"/>
        <v>H019625</v>
      </c>
    </row>
    <row r="290">
      <c r="A290" s="1" t="s">
        <v>1509</v>
      </c>
      <c r="B290" s="1" t="s">
        <v>1510</v>
      </c>
      <c r="C290" s="1" t="s">
        <v>1511</v>
      </c>
      <c r="D290" s="1" t="s">
        <v>1512</v>
      </c>
      <c r="E290" s="1">
        <v>2500.0</v>
      </c>
      <c r="F290" s="1" t="s">
        <v>315</v>
      </c>
      <c r="G290" s="1">
        <v>455939.0</v>
      </c>
      <c r="H290" s="1" t="s">
        <v>704</v>
      </c>
      <c r="I290" s="1"/>
      <c r="J290" s="1"/>
      <c r="K290" s="1" t="s">
        <v>23</v>
      </c>
      <c r="L290" s="1" t="s">
        <v>1513</v>
      </c>
      <c r="M290" s="1">
        <v>0.0</v>
      </c>
      <c r="N290" s="1">
        <v>1.0</v>
      </c>
      <c r="O290" s="1" t="s">
        <v>315</v>
      </c>
      <c r="P290" s="1" t="s">
        <v>25</v>
      </c>
      <c r="Q290" s="2" t="str">
        <f t="shared" si="1"/>
        <v>H019625</v>
      </c>
    </row>
    <row r="291">
      <c r="A291" s="1" t="s">
        <v>1514</v>
      </c>
      <c r="B291" s="1" t="s">
        <v>1515</v>
      </c>
      <c r="C291" s="1" t="s">
        <v>1516</v>
      </c>
      <c r="D291" s="1" t="s">
        <v>1517</v>
      </c>
      <c r="E291" s="1">
        <v>4457.0</v>
      </c>
      <c r="F291" s="1" t="s">
        <v>351</v>
      </c>
      <c r="G291" s="1" t="s">
        <v>260</v>
      </c>
      <c r="H291" s="1" t="s">
        <v>261</v>
      </c>
      <c r="I291" s="1"/>
      <c r="J291" s="1"/>
      <c r="K291" s="1" t="s">
        <v>23</v>
      </c>
      <c r="L291" s="1" t="s">
        <v>1518</v>
      </c>
      <c r="M291" s="1">
        <v>1.0</v>
      </c>
      <c r="N291" s="1">
        <v>1.0</v>
      </c>
      <c r="O291" s="1" t="s">
        <v>351</v>
      </c>
      <c r="P291" s="1" t="s">
        <v>25</v>
      </c>
      <c r="Q291" s="2" t="str">
        <f t="shared" si="1"/>
        <v>H030106</v>
      </c>
    </row>
    <row r="292">
      <c r="A292" s="1" t="s">
        <v>1519</v>
      </c>
      <c r="B292" s="1" t="s">
        <v>1520</v>
      </c>
      <c r="C292" s="1" t="s">
        <v>1521</v>
      </c>
      <c r="D292" s="1" t="s">
        <v>1522</v>
      </c>
      <c r="E292" s="1">
        <v>4998.0</v>
      </c>
      <c r="F292" s="1" t="s">
        <v>351</v>
      </c>
      <c r="G292" s="1" t="s">
        <v>260</v>
      </c>
      <c r="H292" s="1" t="s">
        <v>261</v>
      </c>
      <c r="I292" s="1"/>
      <c r="J292" s="1"/>
      <c r="K292" s="1" t="s">
        <v>23</v>
      </c>
      <c r="L292" s="1" t="s">
        <v>1523</v>
      </c>
      <c r="M292" s="1">
        <v>1.0</v>
      </c>
      <c r="N292" s="1">
        <v>1.0</v>
      </c>
      <c r="O292" s="1" t="s">
        <v>351</v>
      </c>
      <c r="P292" s="1" t="s">
        <v>25</v>
      </c>
      <c r="Q292" s="2" t="str">
        <f t="shared" si="1"/>
        <v>H030106</v>
      </c>
    </row>
    <row r="293">
      <c r="A293" s="1" t="s">
        <v>1524</v>
      </c>
      <c r="B293" s="1" t="s">
        <v>1525</v>
      </c>
      <c r="C293" s="1" t="s">
        <v>1526</v>
      </c>
      <c r="D293" s="1" t="s">
        <v>1527</v>
      </c>
      <c r="E293" s="1">
        <v>3857.0</v>
      </c>
      <c r="F293" s="1" t="s">
        <v>351</v>
      </c>
      <c r="G293" s="1" t="s">
        <v>260</v>
      </c>
      <c r="H293" s="1" t="s">
        <v>261</v>
      </c>
      <c r="I293" s="1"/>
      <c r="J293" s="1"/>
      <c r="K293" s="1" t="s">
        <v>23</v>
      </c>
      <c r="L293" s="1" t="s">
        <v>1528</v>
      </c>
      <c r="M293" s="1">
        <v>1.0</v>
      </c>
      <c r="N293" s="1">
        <v>1.0</v>
      </c>
      <c r="O293" s="1" t="s">
        <v>351</v>
      </c>
      <c r="P293" s="1" t="s">
        <v>25</v>
      </c>
      <c r="Q293" s="2" t="str">
        <f t="shared" si="1"/>
        <v>H030106</v>
      </c>
    </row>
    <row r="294">
      <c r="A294" s="1" t="s">
        <v>1529</v>
      </c>
      <c r="B294" s="1" t="s">
        <v>1530</v>
      </c>
      <c r="C294" s="1" t="s">
        <v>1531</v>
      </c>
      <c r="D294" s="1" t="s">
        <v>1532</v>
      </c>
      <c r="E294" s="1">
        <v>4716.0</v>
      </c>
      <c r="F294" s="1" t="s">
        <v>351</v>
      </c>
      <c r="G294" s="1" t="s">
        <v>260</v>
      </c>
      <c r="H294" s="1" t="s">
        <v>261</v>
      </c>
      <c r="I294" s="1"/>
      <c r="J294" s="1"/>
      <c r="K294" s="1" t="s">
        <v>23</v>
      </c>
      <c r="L294" s="1" t="s">
        <v>1533</v>
      </c>
      <c r="M294" s="1">
        <v>1.0</v>
      </c>
      <c r="N294" s="1">
        <v>1.0</v>
      </c>
      <c r="O294" s="1" t="s">
        <v>351</v>
      </c>
      <c r="P294" s="1" t="s">
        <v>25</v>
      </c>
      <c r="Q294" s="2" t="str">
        <f t="shared" si="1"/>
        <v>H030106</v>
      </c>
    </row>
    <row r="295">
      <c r="A295" s="1" t="s">
        <v>1534</v>
      </c>
      <c r="B295" s="1" t="s">
        <v>1535</v>
      </c>
      <c r="C295" s="1" t="s">
        <v>1536</v>
      </c>
      <c r="D295" s="1" t="s">
        <v>1537</v>
      </c>
      <c r="E295" s="1">
        <v>2878.0</v>
      </c>
      <c r="F295" s="1" t="s">
        <v>398</v>
      </c>
      <c r="G295" s="1" t="s">
        <v>155</v>
      </c>
      <c r="H295" s="1" t="s">
        <v>156</v>
      </c>
      <c r="I295" s="1"/>
      <c r="J295" s="1"/>
      <c r="K295" s="1" t="s">
        <v>23</v>
      </c>
      <c r="L295" s="1" t="s">
        <v>1538</v>
      </c>
      <c r="M295" s="1">
        <v>1.0</v>
      </c>
      <c r="N295" s="1">
        <v>1.0</v>
      </c>
      <c r="O295" s="1" t="s">
        <v>398</v>
      </c>
      <c r="P295" s="1" t="s">
        <v>25</v>
      </c>
      <c r="Q295" s="2" t="str">
        <f t="shared" si="1"/>
        <v>H030015</v>
      </c>
    </row>
    <row r="296">
      <c r="A296" s="1" t="s">
        <v>1539</v>
      </c>
      <c r="B296" s="1" t="s">
        <v>1540</v>
      </c>
      <c r="C296" s="1" t="s">
        <v>1541</v>
      </c>
      <c r="D296" s="1" t="s">
        <v>1542</v>
      </c>
      <c r="E296" s="1">
        <v>3812.0</v>
      </c>
      <c r="F296" s="1" t="s">
        <v>398</v>
      </c>
      <c r="G296" s="1" t="s">
        <v>179</v>
      </c>
      <c r="H296" s="1" t="s">
        <v>180</v>
      </c>
      <c r="I296" s="1" t="s">
        <v>1112</v>
      </c>
      <c r="J296" s="1"/>
      <c r="K296" s="1" t="s">
        <v>23</v>
      </c>
      <c r="L296" s="1" t="s">
        <v>1543</v>
      </c>
      <c r="M296" s="1">
        <v>1.0</v>
      </c>
      <c r="N296" s="1">
        <v>1.0</v>
      </c>
      <c r="O296" s="1" t="s">
        <v>398</v>
      </c>
      <c r="P296" s="1" t="s">
        <v>488</v>
      </c>
      <c r="Q296" s="2" t="str">
        <f t="shared" si="1"/>
        <v>H030015</v>
      </c>
    </row>
    <row r="297">
      <c r="A297" s="1" t="s">
        <v>1544</v>
      </c>
      <c r="B297" s="1" t="s">
        <v>1545</v>
      </c>
      <c r="C297" s="1" t="s">
        <v>1546</v>
      </c>
      <c r="D297" s="1" t="s">
        <v>1547</v>
      </c>
      <c r="E297" s="1">
        <v>4238.0</v>
      </c>
      <c r="F297" s="1" t="s">
        <v>398</v>
      </c>
      <c r="G297" s="1" t="s">
        <v>179</v>
      </c>
      <c r="H297" s="1" t="s">
        <v>180</v>
      </c>
      <c r="I297" s="1" t="s">
        <v>1112</v>
      </c>
      <c r="J297" s="1"/>
      <c r="K297" s="1" t="s">
        <v>23</v>
      </c>
      <c r="L297" s="1" t="s">
        <v>1548</v>
      </c>
      <c r="M297" s="1">
        <v>1.0</v>
      </c>
      <c r="N297" s="1">
        <v>1.0</v>
      </c>
      <c r="O297" s="1" t="s">
        <v>398</v>
      </c>
      <c r="P297" s="1" t="s">
        <v>488</v>
      </c>
      <c r="Q297" s="2" t="str">
        <f t="shared" si="1"/>
        <v>H030015</v>
      </c>
    </row>
    <row r="298">
      <c r="A298" s="1" t="s">
        <v>1549</v>
      </c>
      <c r="B298" s="1" t="s">
        <v>1550</v>
      </c>
      <c r="C298" s="1" t="s">
        <v>1551</v>
      </c>
      <c r="D298" s="1" t="s">
        <v>1552</v>
      </c>
      <c r="E298" s="1">
        <v>6295.0</v>
      </c>
      <c r="F298" s="1" t="s">
        <v>498</v>
      </c>
      <c r="G298" s="1">
        <v>896791.0</v>
      </c>
      <c r="H298" s="1" t="s">
        <v>244</v>
      </c>
      <c r="I298" s="1"/>
      <c r="J298" s="1"/>
      <c r="K298" s="1" t="s">
        <v>23</v>
      </c>
      <c r="L298" s="1" t="s">
        <v>1553</v>
      </c>
      <c r="M298" s="1">
        <v>3.0</v>
      </c>
      <c r="N298" s="1">
        <v>1.0</v>
      </c>
      <c r="O298" s="1" t="s">
        <v>498</v>
      </c>
      <c r="P298" s="1" t="s">
        <v>25</v>
      </c>
      <c r="Q298" s="2" t="str">
        <f t="shared" si="1"/>
        <v>H030270</v>
      </c>
    </row>
    <row r="299">
      <c r="A299" s="1" t="s">
        <v>1554</v>
      </c>
      <c r="B299" s="1" t="s">
        <v>1555</v>
      </c>
      <c r="C299" s="1" t="s">
        <v>1556</v>
      </c>
      <c r="D299" s="1" t="s">
        <v>1557</v>
      </c>
      <c r="E299" s="1">
        <v>2545.0</v>
      </c>
      <c r="F299" s="1" t="s">
        <v>498</v>
      </c>
      <c r="G299" s="1">
        <v>896791.0</v>
      </c>
      <c r="H299" s="1" t="s">
        <v>244</v>
      </c>
      <c r="I299" s="1"/>
      <c r="J299" s="1"/>
      <c r="K299" s="1" t="s">
        <v>23</v>
      </c>
      <c r="L299" s="1" t="s">
        <v>1558</v>
      </c>
      <c r="M299" s="1">
        <v>3.0</v>
      </c>
      <c r="N299" s="1">
        <v>1.0</v>
      </c>
      <c r="O299" s="1" t="s">
        <v>498</v>
      </c>
      <c r="P299" s="1" t="s">
        <v>25</v>
      </c>
      <c r="Q299" s="2" t="str">
        <f t="shared" si="1"/>
        <v>H030270</v>
      </c>
    </row>
    <row r="300">
      <c r="A300" s="1" t="s">
        <v>1559</v>
      </c>
      <c r="B300" s="1" t="s">
        <v>1560</v>
      </c>
      <c r="C300" s="1" t="s">
        <v>1561</v>
      </c>
      <c r="D300" s="1" t="s">
        <v>1562</v>
      </c>
      <c r="E300" s="1">
        <v>5561.0</v>
      </c>
      <c r="F300" s="1" t="s">
        <v>498</v>
      </c>
      <c r="G300" s="1">
        <v>896791.0</v>
      </c>
      <c r="H300" s="1" t="s">
        <v>244</v>
      </c>
      <c r="I300" s="1"/>
      <c r="J300" s="1"/>
      <c r="K300" s="1" t="s">
        <v>23</v>
      </c>
      <c r="L300" s="1" t="s">
        <v>1563</v>
      </c>
      <c r="M300" s="1">
        <v>3.0</v>
      </c>
      <c r="N300" s="1">
        <v>1.0</v>
      </c>
      <c r="O300" s="1" t="s">
        <v>498</v>
      </c>
      <c r="P300" s="1" t="s">
        <v>25</v>
      </c>
      <c r="Q300" s="2" t="str">
        <f t="shared" si="1"/>
        <v>H030270</v>
      </c>
    </row>
    <row r="301">
      <c r="A301" s="1" t="s">
        <v>1564</v>
      </c>
      <c r="B301" s="1" t="s">
        <v>1565</v>
      </c>
      <c r="C301" s="1" t="s">
        <v>1566</v>
      </c>
      <c r="D301" s="1" t="s">
        <v>1567</v>
      </c>
      <c r="E301" s="1">
        <v>3559.0</v>
      </c>
      <c r="F301" s="1" t="s">
        <v>498</v>
      </c>
      <c r="G301" s="1" t="s">
        <v>167</v>
      </c>
      <c r="H301" s="1" t="s">
        <v>168</v>
      </c>
      <c r="I301" s="1" t="s">
        <v>1112</v>
      </c>
      <c r="J301" s="1"/>
      <c r="K301" s="1" t="s">
        <v>23</v>
      </c>
      <c r="L301" s="1" t="s">
        <v>1568</v>
      </c>
      <c r="M301" s="1">
        <v>3.0</v>
      </c>
      <c r="N301" s="1">
        <v>1.0</v>
      </c>
      <c r="O301" s="1" t="s">
        <v>498</v>
      </c>
      <c r="P301" s="1" t="s">
        <v>488</v>
      </c>
      <c r="Q301" s="2" t="str">
        <f t="shared" si="1"/>
        <v>H030270</v>
      </c>
    </row>
    <row r="302">
      <c r="A302" s="1" t="s">
        <v>1569</v>
      </c>
      <c r="B302" s="1" t="s">
        <v>1570</v>
      </c>
      <c r="C302" s="1" t="s">
        <v>1571</v>
      </c>
      <c r="D302" s="1" t="s">
        <v>1572</v>
      </c>
      <c r="E302" s="1">
        <v>4612.0</v>
      </c>
      <c r="F302" s="1" t="s">
        <v>398</v>
      </c>
      <c r="G302" s="1" t="s">
        <v>179</v>
      </c>
      <c r="H302" s="1" t="s">
        <v>180</v>
      </c>
      <c r="I302" s="1"/>
      <c r="J302" s="1"/>
      <c r="K302" s="1" t="s">
        <v>23</v>
      </c>
      <c r="L302" s="1" t="s">
        <v>1573</v>
      </c>
      <c r="M302" s="1">
        <v>0.0</v>
      </c>
      <c r="N302" s="1">
        <v>1.0</v>
      </c>
      <c r="O302" s="1" t="s">
        <v>398</v>
      </c>
      <c r="P302" s="1" t="s">
        <v>25</v>
      </c>
      <c r="Q302" s="2" t="str">
        <f t="shared" si="1"/>
        <v>H030326</v>
      </c>
    </row>
    <row r="303">
      <c r="A303" s="1" t="s">
        <v>1574</v>
      </c>
      <c r="B303" s="1" t="s">
        <v>1575</v>
      </c>
      <c r="C303" s="1" t="s">
        <v>1576</v>
      </c>
      <c r="D303" s="1" t="s">
        <v>1577</v>
      </c>
      <c r="E303" s="1">
        <v>3540.0</v>
      </c>
      <c r="F303" s="1" t="s">
        <v>398</v>
      </c>
      <c r="G303" s="1" t="s">
        <v>179</v>
      </c>
      <c r="H303" s="1" t="s">
        <v>180</v>
      </c>
      <c r="I303" s="1"/>
      <c r="J303" s="1"/>
      <c r="K303" s="1" t="s">
        <v>23</v>
      </c>
      <c r="L303" s="1" t="s">
        <v>1578</v>
      </c>
      <c r="M303" s="1">
        <v>0.0</v>
      </c>
      <c r="N303" s="1">
        <v>1.0</v>
      </c>
      <c r="O303" s="1" t="s">
        <v>398</v>
      </c>
      <c r="P303" s="1" t="s">
        <v>25</v>
      </c>
      <c r="Q303" s="2" t="str">
        <f t="shared" si="1"/>
        <v>H030326</v>
      </c>
    </row>
    <row r="304">
      <c r="A304" s="1" t="s">
        <v>1579</v>
      </c>
      <c r="B304" s="1" t="s">
        <v>1580</v>
      </c>
      <c r="C304" s="1" t="s">
        <v>1581</v>
      </c>
      <c r="D304" s="1" t="s">
        <v>1582</v>
      </c>
      <c r="E304" s="1">
        <v>3359.0</v>
      </c>
      <c r="F304" s="1" t="s">
        <v>398</v>
      </c>
      <c r="G304" s="1" t="s">
        <v>179</v>
      </c>
      <c r="H304" s="1" t="s">
        <v>180</v>
      </c>
      <c r="I304" s="1"/>
      <c r="J304" s="1"/>
      <c r="K304" s="1" t="s">
        <v>23</v>
      </c>
      <c r="L304" s="1" t="s">
        <v>1583</v>
      </c>
      <c r="M304" s="1">
        <v>0.0</v>
      </c>
      <c r="N304" s="1">
        <v>1.0</v>
      </c>
      <c r="O304" s="1" t="s">
        <v>398</v>
      </c>
      <c r="P304" s="1" t="s">
        <v>25</v>
      </c>
      <c r="Q304" s="2" t="str">
        <f t="shared" si="1"/>
        <v>H030326</v>
      </c>
    </row>
    <row r="305">
      <c r="A305" s="1" t="s">
        <v>1584</v>
      </c>
      <c r="B305" s="1" t="s">
        <v>1585</v>
      </c>
      <c r="C305" s="1" t="s">
        <v>1586</v>
      </c>
      <c r="D305" s="1" t="s">
        <v>1587</v>
      </c>
      <c r="E305" s="1">
        <v>4361.0</v>
      </c>
      <c r="F305" s="1" t="s">
        <v>398</v>
      </c>
      <c r="G305" s="1" t="s">
        <v>179</v>
      </c>
      <c r="H305" s="1" t="s">
        <v>180</v>
      </c>
      <c r="I305" s="1"/>
      <c r="J305" s="1"/>
      <c r="K305" s="1" t="s">
        <v>23</v>
      </c>
      <c r="L305" s="1" t="s">
        <v>1588</v>
      </c>
      <c r="M305" s="1">
        <v>0.0</v>
      </c>
      <c r="N305" s="1">
        <v>1.0</v>
      </c>
      <c r="O305" s="1" t="s">
        <v>398</v>
      </c>
      <c r="P305" s="1" t="s">
        <v>25</v>
      </c>
      <c r="Q305" s="2" t="str">
        <f t="shared" si="1"/>
        <v>H030326</v>
      </c>
    </row>
    <row r="306">
      <c r="A306" s="1" t="s">
        <v>1589</v>
      </c>
      <c r="B306" s="1" t="s">
        <v>1590</v>
      </c>
      <c r="C306" s="1" t="s">
        <v>1591</v>
      </c>
      <c r="D306" s="1" t="s">
        <v>1592</v>
      </c>
      <c r="E306" s="1">
        <v>6867.0</v>
      </c>
      <c r="F306" s="1" t="s">
        <v>398</v>
      </c>
      <c r="G306" s="1" t="s">
        <v>179</v>
      </c>
      <c r="H306" s="1" t="s">
        <v>180</v>
      </c>
      <c r="I306" s="1"/>
      <c r="J306" s="1"/>
      <c r="K306" s="1" t="s">
        <v>23</v>
      </c>
      <c r="L306" s="1" t="s">
        <v>1593</v>
      </c>
      <c r="M306" s="1">
        <v>0.0</v>
      </c>
      <c r="N306" s="1">
        <v>1.0</v>
      </c>
      <c r="O306" s="1" t="s">
        <v>398</v>
      </c>
      <c r="P306" s="1" t="s">
        <v>25</v>
      </c>
      <c r="Q306" s="2" t="str">
        <f t="shared" si="1"/>
        <v>H030326</v>
      </c>
    </row>
    <row r="307">
      <c r="A307" s="1" t="s">
        <v>1594</v>
      </c>
      <c r="B307" s="1" t="s">
        <v>1595</v>
      </c>
      <c r="C307" s="1" t="s">
        <v>1596</v>
      </c>
      <c r="D307" s="1" t="s">
        <v>1597</v>
      </c>
      <c r="E307" s="1">
        <v>6745.0</v>
      </c>
      <c r="F307" s="1" t="s">
        <v>398</v>
      </c>
      <c r="G307" s="1" t="s">
        <v>179</v>
      </c>
      <c r="H307" s="1" t="s">
        <v>180</v>
      </c>
      <c r="I307" s="1"/>
      <c r="J307" s="1"/>
      <c r="K307" s="1" t="s">
        <v>23</v>
      </c>
      <c r="L307" s="1" t="s">
        <v>1598</v>
      </c>
      <c r="M307" s="1">
        <v>0.0</v>
      </c>
      <c r="N307" s="1">
        <v>1.0</v>
      </c>
      <c r="O307" s="1" t="s">
        <v>398</v>
      </c>
      <c r="P307" s="1" t="s">
        <v>25</v>
      </c>
      <c r="Q307" s="2" t="str">
        <f t="shared" si="1"/>
        <v>H030326</v>
      </c>
    </row>
    <row r="308">
      <c r="A308" s="1" t="s">
        <v>1599</v>
      </c>
      <c r="B308" s="1" t="s">
        <v>1600</v>
      </c>
      <c r="C308" s="1" t="s">
        <v>1601</v>
      </c>
      <c r="D308" s="1" t="s">
        <v>1602</v>
      </c>
      <c r="E308" s="1">
        <v>2611.0</v>
      </c>
      <c r="F308" s="1" t="s">
        <v>498</v>
      </c>
      <c r="G308" s="1" t="s">
        <v>220</v>
      </c>
      <c r="H308" s="1" t="s">
        <v>221</v>
      </c>
      <c r="I308" s="1"/>
      <c r="J308" s="1"/>
      <c r="K308" s="1" t="s">
        <v>23</v>
      </c>
      <c r="L308" s="1" t="s">
        <v>1603</v>
      </c>
      <c r="M308" s="1">
        <v>1.0</v>
      </c>
      <c r="N308" s="1">
        <v>1.0</v>
      </c>
      <c r="O308" s="1" t="s">
        <v>498</v>
      </c>
      <c r="P308" s="1" t="s">
        <v>25</v>
      </c>
      <c r="Q308" s="2" t="str">
        <f t="shared" si="1"/>
        <v>H030514</v>
      </c>
    </row>
    <row r="309">
      <c r="A309" s="1" t="s">
        <v>1604</v>
      </c>
      <c r="B309" s="1" t="s">
        <v>1605</v>
      </c>
      <c r="C309" s="1" t="s">
        <v>1606</v>
      </c>
      <c r="D309" s="1" t="s">
        <v>1607</v>
      </c>
      <c r="E309" s="1">
        <v>2905.0</v>
      </c>
      <c r="F309" s="1" t="s">
        <v>498</v>
      </c>
      <c r="G309" s="1" t="s">
        <v>220</v>
      </c>
      <c r="H309" s="1" t="s">
        <v>221</v>
      </c>
      <c r="I309" s="1"/>
      <c r="J309" s="1"/>
      <c r="K309" s="1" t="s">
        <v>23</v>
      </c>
      <c r="L309" s="1" t="s">
        <v>1608</v>
      </c>
      <c r="M309" s="1">
        <v>1.0</v>
      </c>
      <c r="N309" s="1">
        <v>1.0</v>
      </c>
      <c r="O309" s="1" t="s">
        <v>498</v>
      </c>
      <c r="P309" s="1" t="s">
        <v>25</v>
      </c>
      <c r="Q309" s="2" t="str">
        <f t="shared" si="1"/>
        <v>H030514</v>
      </c>
    </row>
    <row r="310">
      <c r="A310" s="1" t="s">
        <v>1609</v>
      </c>
      <c r="B310" s="1" t="s">
        <v>1610</v>
      </c>
      <c r="C310" s="1" t="s">
        <v>1611</v>
      </c>
      <c r="D310" s="1" t="s">
        <v>1612</v>
      </c>
      <c r="E310" s="1">
        <v>4656.0</v>
      </c>
      <c r="F310" s="1" t="s">
        <v>498</v>
      </c>
      <c r="G310" s="1" t="s">
        <v>220</v>
      </c>
      <c r="H310" s="1" t="s">
        <v>221</v>
      </c>
      <c r="I310" s="1"/>
      <c r="J310" s="1"/>
      <c r="K310" s="1" t="s">
        <v>23</v>
      </c>
      <c r="L310" s="1" t="s">
        <v>1613</v>
      </c>
      <c r="M310" s="1">
        <v>1.0</v>
      </c>
      <c r="N310" s="1">
        <v>1.0</v>
      </c>
      <c r="O310" s="1" t="s">
        <v>498</v>
      </c>
      <c r="P310" s="1" t="s">
        <v>25</v>
      </c>
      <c r="Q310" s="2" t="str">
        <f t="shared" si="1"/>
        <v>H030514</v>
      </c>
    </row>
    <row r="311">
      <c r="A311" s="1" t="s">
        <v>1614</v>
      </c>
      <c r="B311" s="1" t="s">
        <v>1615</v>
      </c>
      <c r="C311" s="1" t="s">
        <v>1616</v>
      </c>
      <c r="D311" s="1" t="s">
        <v>1617</v>
      </c>
      <c r="E311" s="1">
        <v>3950.0</v>
      </c>
      <c r="F311" s="1" t="s">
        <v>498</v>
      </c>
      <c r="G311" s="1" t="s">
        <v>167</v>
      </c>
      <c r="H311" s="1" t="s">
        <v>168</v>
      </c>
      <c r="I311" s="1"/>
      <c r="J311" s="1"/>
      <c r="K311" s="1" t="s">
        <v>23</v>
      </c>
      <c r="L311" s="1" t="s">
        <v>1618</v>
      </c>
      <c r="M311" s="1">
        <v>3.0</v>
      </c>
      <c r="N311" s="1">
        <v>1.0</v>
      </c>
      <c r="O311" s="1" t="s">
        <v>498</v>
      </c>
      <c r="P311" s="1" t="s">
        <v>25</v>
      </c>
      <c r="Q311" s="2" t="str">
        <f t="shared" si="1"/>
        <v>H030270</v>
      </c>
    </row>
    <row r="312">
      <c r="A312" s="1" t="s">
        <v>1619</v>
      </c>
      <c r="B312" s="1" t="s">
        <v>1620</v>
      </c>
      <c r="C312" s="1" t="s">
        <v>1621</v>
      </c>
      <c r="D312" s="1" t="s">
        <v>1622</v>
      </c>
      <c r="E312" s="1">
        <v>5022.0</v>
      </c>
      <c r="F312" s="1" t="s">
        <v>498</v>
      </c>
      <c r="G312" s="1" t="s">
        <v>167</v>
      </c>
      <c r="H312" s="1" t="s">
        <v>168</v>
      </c>
      <c r="I312" s="1"/>
      <c r="J312" s="1"/>
      <c r="K312" s="1" t="s">
        <v>23</v>
      </c>
      <c r="L312" s="1" t="s">
        <v>1623</v>
      </c>
      <c r="M312" s="1">
        <v>3.0</v>
      </c>
      <c r="N312" s="1">
        <v>1.0</v>
      </c>
      <c r="O312" s="1" t="s">
        <v>498</v>
      </c>
      <c r="P312" s="1" t="s">
        <v>25</v>
      </c>
      <c r="Q312" s="2" t="str">
        <f t="shared" si="1"/>
        <v>H030270</v>
      </c>
    </row>
    <row r="313">
      <c r="A313" s="1" t="s">
        <v>1624</v>
      </c>
      <c r="B313" s="1" t="s">
        <v>1625</v>
      </c>
      <c r="C313" s="1" t="s">
        <v>1626</v>
      </c>
      <c r="D313" s="1" t="s">
        <v>1627</v>
      </c>
      <c r="E313" s="1">
        <v>1860.0</v>
      </c>
      <c r="F313" s="1" t="s">
        <v>498</v>
      </c>
      <c r="G313" s="1" t="s">
        <v>167</v>
      </c>
      <c r="H313" s="1" t="s">
        <v>168</v>
      </c>
      <c r="I313" s="1"/>
      <c r="J313" s="1"/>
      <c r="K313" s="1" t="s">
        <v>23</v>
      </c>
      <c r="L313" s="1" t="s">
        <v>1628</v>
      </c>
      <c r="M313" s="1">
        <v>3.0</v>
      </c>
      <c r="N313" s="1">
        <v>1.0</v>
      </c>
      <c r="O313" s="1" t="s">
        <v>498</v>
      </c>
      <c r="P313" s="1" t="s">
        <v>25</v>
      </c>
      <c r="Q313" s="2" t="str">
        <f t="shared" si="1"/>
        <v>H030270</v>
      </c>
    </row>
    <row r="314">
      <c r="A314" s="1" t="s">
        <v>1629</v>
      </c>
      <c r="B314" s="1" t="s">
        <v>1630</v>
      </c>
      <c r="C314" s="1" t="s">
        <v>1631</v>
      </c>
      <c r="D314" s="1" t="s">
        <v>1632</v>
      </c>
      <c r="E314" s="1">
        <v>3934.0</v>
      </c>
      <c r="F314" s="1" t="s">
        <v>498</v>
      </c>
      <c r="G314" s="1" t="s">
        <v>167</v>
      </c>
      <c r="H314" s="1" t="s">
        <v>168</v>
      </c>
      <c r="I314" s="1"/>
      <c r="J314" s="1"/>
      <c r="K314" s="1" t="s">
        <v>23</v>
      </c>
      <c r="L314" s="1" t="s">
        <v>1633</v>
      </c>
      <c r="M314" s="1">
        <v>3.0</v>
      </c>
      <c r="N314" s="1">
        <v>1.0</v>
      </c>
      <c r="O314" s="1" t="s">
        <v>498</v>
      </c>
      <c r="P314" s="1" t="s">
        <v>25</v>
      </c>
      <c r="Q314" s="2" t="str">
        <f t="shared" si="1"/>
        <v>H030270</v>
      </c>
    </row>
    <row r="315">
      <c r="A315" s="1" t="s">
        <v>1634</v>
      </c>
      <c r="B315" s="1" t="s">
        <v>1635</v>
      </c>
      <c r="C315" s="1" t="s">
        <v>1636</v>
      </c>
      <c r="D315" s="1" t="s">
        <v>1637</v>
      </c>
      <c r="E315" s="1">
        <v>4774.0</v>
      </c>
      <c r="F315" s="1" t="s">
        <v>498</v>
      </c>
      <c r="G315" s="1" t="s">
        <v>132</v>
      </c>
      <c r="H315" s="1" t="s">
        <v>133</v>
      </c>
      <c r="I315" s="1"/>
      <c r="J315" s="1"/>
      <c r="K315" s="1" t="s">
        <v>23</v>
      </c>
      <c r="L315" s="1" t="s">
        <v>1638</v>
      </c>
      <c r="M315" s="1">
        <v>1.0</v>
      </c>
      <c r="N315" s="1">
        <v>1.0</v>
      </c>
      <c r="O315" s="1" t="s">
        <v>498</v>
      </c>
      <c r="P315" s="1" t="s">
        <v>25</v>
      </c>
      <c r="Q315" s="2" t="str">
        <f t="shared" si="1"/>
        <v>H030514</v>
      </c>
    </row>
    <row r="316">
      <c r="A316" s="1" t="s">
        <v>1639</v>
      </c>
      <c r="B316" s="1" t="s">
        <v>1640</v>
      </c>
      <c r="C316" s="1" t="s">
        <v>1641</v>
      </c>
      <c r="D316" s="1" t="s">
        <v>1642</v>
      </c>
      <c r="E316" s="1">
        <v>3751.0</v>
      </c>
      <c r="F316" s="1" t="s">
        <v>382</v>
      </c>
      <c r="G316" s="1" t="s">
        <v>191</v>
      </c>
      <c r="H316" s="1" t="s">
        <v>192</v>
      </c>
      <c r="I316" s="1"/>
      <c r="J316" s="1"/>
      <c r="K316" s="1" t="s">
        <v>23</v>
      </c>
      <c r="L316" s="1" t="s">
        <v>1643</v>
      </c>
      <c r="M316" s="1">
        <v>3.0</v>
      </c>
      <c r="N316" s="1">
        <v>1.0</v>
      </c>
      <c r="O316" s="1" t="s">
        <v>382</v>
      </c>
      <c r="P316" s="1" t="s">
        <v>25</v>
      </c>
      <c r="Q316" s="2" t="str">
        <f t="shared" si="1"/>
        <v>H030507</v>
      </c>
    </row>
    <row r="317">
      <c r="A317" s="1" t="s">
        <v>1644</v>
      </c>
      <c r="B317" s="1" t="s">
        <v>1645</v>
      </c>
      <c r="C317" s="1" t="s">
        <v>1646</v>
      </c>
      <c r="D317" s="1" t="s">
        <v>1647</v>
      </c>
      <c r="E317" s="1">
        <v>3235.0</v>
      </c>
      <c r="F317" s="1" t="s">
        <v>382</v>
      </c>
      <c r="G317" s="1" t="s">
        <v>191</v>
      </c>
      <c r="H317" s="1" t="s">
        <v>192</v>
      </c>
      <c r="I317" s="1"/>
      <c r="J317" s="1"/>
      <c r="K317" s="1" t="s">
        <v>23</v>
      </c>
      <c r="L317" s="1" t="s">
        <v>1648</v>
      </c>
      <c r="M317" s="1">
        <v>3.0</v>
      </c>
      <c r="N317" s="1">
        <v>1.0</v>
      </c>
      <c r="O317" s="1" t="s">
        <v>382</v>
      </c>
      <c r="P317" s="1" t="s">
        <v>25</v>
      </c>
      <c r="Q317" s="2" t="str">
        <f t="shared" si="1"/>
        <v>H030507</v>
      </c>
    </row>
    <row r="318">
      <c r="A318" s="1" t="s">
        <v>1649</v>
      </c>
      <c r="B318" s="1" t="s">
        <v>1650</v>
      </c>
      <c r="C318" s="1" t="s">
        <v>1651</v>
      </c>
      <c r="D318" s="1" t="s">
        <v>1652</v>
      </c>
      <c r="E318" s="1">
        <v>2556.0</v>
      </c>
      <c r="F318" s="1" t="s">
        <v>382</v>
      </c>
      <c r="G318" s="1" t="s">
        <v>191</v>
      </c>
      <c r="H318" s="1" t="s">
        <v>192</v>
      </c>
      <c r="I318" s="1"/>
      <c r="J318" s="1"/>
      <c r="K318" s="1" t="s">
        <v>23</v>
      </c>
      <c r="L318" s="1" t="s">
        <v>1653</v>
      </c>
      <c r="M318" s="1">
        <v>3.0</v>
      </c>
      <c r="N318" s="1">
        <v>1.0</v>
      </c>
      <c r="O318" s="1" t="s">
        <v>382</v>
      </c>
      <c r="P318" s="1" t="s">
        <v>25</v>
      </c>
      <c r="Q318" s="2" t="str">
        <f t="shared" si="1"/>
        <v>H030507</v>
      </c>
    </row>
    <row r="319">
      <c r="A319" s="1" t="s">
        <v>1654</v>
      </c>
      <c r="B319" s="1" t="s">
        <v>1655</v>
      </c>
      <c r="C319" s="1" t="s">
        <v>1656</v>
      </c>
      <c r="D319" s="1" t="s">
        <v>1657</v>
      </c>
      <c r="E319" s="1">
        <v>2685.0</v>
      </c>
      <c r="F319" s="1" t="s">
        <v>288</v>
      </c>
      <c r="G319" s="1" t="s">
        <v>304</v>
      </c>
      <c r="H319" s="1" t="s">
        <v>272</v>
      </c>
      <c r="I319" s="1"/>
      <c r="J319" s="1"/>
      <c r="K319" s="1" t="s">
        <v>23</v>
      </c>
      <c r="L319" s="1" t="s">
        <v>1658</v>
      </c>
      <c r="M319" s="1">
        <v>0.0</v>
      </c>
      <c r="N319" s="1">
        <v>1.0</v>
      </c>
      <c r="O319" s="1" t="s">
        <v>288</v>
      </c>
      <c r="P319" s="1" t="s">
        <v>25</v>
      </c>
      <c r="Q319" s="2" t="str">
        <f t="shared" si="1"/>
        <v>H019687</v>
      </c>
    </row>
    <row r="320">
      <c r="A320" s="1" t="s">
        <v>1659</v>
      </c>
      <c r="B320" s="1" t="s">
        <v>1660</v>
      </c>
      <c r="C320" s="1" t="s">
        <v>1661</v>
      </c>
      <c r="D320" s="1" t="s">
        <v>1662</v>
      </c>
      <c r="E320" s="1">
        <v>8166.0</v>
      </c>
      <c r="F320" s="1" t="s">
        <v>288</v>
      </c>
      <c r="G320" s="1" t="s">
        <v>304</v>
      </c>
      <c r="H320" s="1" t="s">
        <v>272</v>
      </c>
      <c r="I320" s="1"/>
      <c r="J320" s="1"/>
      <c r="K320" s="1" t="s">
        <v>23</v>
      </c>
      <c r="L320" s="1" t="s">
        <v>1663</v>
      </c>
      <c r="M320" s="1">
        <v>0.0</v>
      </c>
      <c r="N320" s="1">
        <v>1.0</v>
      </c>
      <c r="O320" s="1" t="s">
        <v>288</v>
      </c>
      <c r="P320" s="1" t="s">
        <v>25</v>
      </c>
      <c r="Q320" s="2" t="str">
        <f t="shared" si="1"/>
        <v>H019687</v>
      </c>
    </row>
    <row r="321">
      <c r="A321" s="1" t="s">
        <v>1664</v>
      </c>
      <c r="B321" s="1" t="s">
        <v>1665</v>
      </c>
      <c r="C321" s="1" t="s">
        <v>1666</v>
      </c>
      <c r="D321" s="1" t="s">
        <v>1667</v>
      </c>
      <c r="E321" s="1">
        <v>6127.0</v>
      </c>
      <c r="F321" s="1" t="s">
        <v>288</v>
      </c>
      <c r="G321" s="1" t="s">
        <v>304</v>
      </c>
      <c r="H321" s="1" t="s">
        <v>272</v>
      </c>
      <c r="I321" s="1"/>
      <c r="J321" s="1"/>
      <c r="K321" s="1" t="s">
        <v>23</v>
      </c>
      <c r="L321" s="1" t="s">
        <v>1668</v>
      </c>
      <c r="M321" s="1">
        <v>0.0</v>
      </c>
      <c r="N321" s="1">
        <v>1.0</v>
      </c>
      <c r="O321" s="1" t="s">
        <v>288</v>
      </c>
      <c r="P321" s="1" t="s">
        <v>25</v>
      </c>
      <c r="Q321" s="2" t="str">
        <f t="shared" si="1"/>
        <v>H019687</v>
      </c>
    </row>
    <row r="322">
      <c r="A322" s="1" t="s">
        <v>1669</v>
      </c>
      <c r="B322" s="1" t="s">
        <v>1670</v>
      </c>
      <c r="C322" s="1" t="s">
        <v>1671</v>
      </c>
      <c r="D322" s="1" t="s">
        <v>1672</v>
      </c>
      <c r="E322" s="1">
        <v>3031.0</v>
      </c>
      <c r="F322" s="1" t="s">
        <v>288</v>
      </c>
      <c r="G322" s="1" t="s">
        <v>304</v>
      </c>
      <c r="H322" s="1" t="s">
        <v>272</v>
      </c>
      <c r="I322" s="1"/>
      <c r="J322" s="1"/>
      <c r="K322" s="1" t="s">
        <v>23</v>
      </c>
      <c r="L322" s="1" t="s">
        <v>1673</v>
      </c>
      <c r="M322" s="1">
        <v>0.0</v>
      </c>
      <c r="N322" s="1">
        <v>1.0</v>
      </c>
      <c r="O322" s="1" t="s">
        <v>288</v>
      </c>
      <c r="P322" s="1" t="s">
        <v>25</v>
      </c>
      <c r="Q322" s="2" t="str">
        <f t="shared" si="1"/>
        <v>H019687</v>
      </c>
    </row>
    <row r="323">
      <c r="A323" s="1" t="s">
        <v>1674</v>
      </c>
      <c r="B323" s="1" t="s">
        <v>1675</v>
      </c>
      <c r="C323" s="1" t="s">
        <v>1676</v>
      </c>
      <c r="D323" s="1" t="s">
        <v>1677</v>
      </c>
      <c r="E323" s="1">
        <v>3183.0</v>
      </c>
      <c r="F323" s="1" t="s">
        <v>288</v>
      </c>
      <c r="G323" s="1">
        <v>729375.0</v>
      </c>
      <c r="H323" s="1" t="s">
        <v>80</v>
      </c>
      <c r="I323" s="1"/>
      <c r="J323" s="1"/>
      <c r="K323" s="1" t="s">
        <v>23</v>
      </c>
      <c r="L323" s="1" t="s">
        <v>1678</v>
      </c>
      <c r="M323" s="1">
        <v>0.0</v>
      </c>
      <c r="N323" s="1">
        <v>1.0</v>
      </c>
      <c r="O323" s="1" t="s">
        <v>288</v>
      </c>
      <c r="P323" s="1" t="s">
        <v>25</v>
      </c>
      <c r="Q323" s="2" t="str">
        <f t="shared" si="1"/>
        <v>H019687</v>
      </c>
    </row>
    <row r="324">
      <c r="A324" s="1" t="s">
        <v>1679</v>
      </c>
      <c r="B324" s="1" t="s">
        <v>1680</v>
      </c>
      <c r="C324" s="1" t="s">
        <v>1681</v>
      </c>
      <c r="D324" s="1" t="s">
        <v>1682</v>
      </c>
      <c r="E324" s="1">
        <v>1955.0</v>
      </c>
      <c r="F324" s="1" t="s">
        <v>288</v>
      </c>
      <c r="G324" s="1">
        <v>729375.0</v>
      </c>
      <c r="H324" s="1" t="s">
        <v>80</v>
      </c>
      <c r="I324" s="1"/>
      <c r="J324" s="1"/>
      <c r="K324" s="1" t="s">
        <v>23</v>
      </c>
      <c r="L324" s="1" t="s">
        <v>1683</v>
      </c>
      <c r="M324" s="1">
        <v>0.0</v>
      </c>
      <c r="N324" s="1">
        <v>1.0</v>
      </c>
      <c r="O324" s="1" t="s">
        <v>288</v>
      </c>
      <c r="P324" s="1" t="s">
        <v>25</v>
      </c>
      <c r="Q324" s="2" t="str">
        <f t="shared" si="1"/>
        <v>H019687</v>
      </c>
    </row>
    <row r="325">
      <c r="A325" s="1" t="s">
        <v>1684</v>
      </c>
      <c r="B325" s="1" t="s">
        <v>1685</v>
      </c>
      <c r="C325" s="1" t="s">
        <v>1686</v>
      </c>
      <c r="D325" s="1" t="s">
        <v>1687</v>
      </c>
      <c r="E325" s="1">
        <v>1685.0</v>
      </c>
      <c r="F325" s="1" t="s">
        <v>288</v>
      </c>
      <c r="G325" s="1">
        <v>729375.0</v>
      </c>
      <c r="H325" s="1" t="s">
        <v>80</v>
      </c>
      <c r="I325" s="1"/>
      <c r="J325" s="1"/>
      <c r="K325" s="1" t="s">
        <v>23</v>
      </c>
      <c r="L325" s="1" t="s">
        <v>1688</v>
      </c>
      <c r="M325" s="1">
        <v>0.0</v>
      </c>
      <c r="N325" s="1">
        <v>1.0</v>
      </c>
      <c r="O325" s="1" t="s">
        <v>288</v>
      </c>
      <c r="P325" s="1" t="s">
        <v>25</v>
      </c>
      <c r="Q325" s="2" t="str">
        <f t="shared" si="1"/>
        <v>H019687</v>
      </c>
    </row>
    <row r="326">
      <c r="A326" s="1" t="s">
        <v>1689</v>
      </c>
      <c r="B326" s="1" t="s">
        <v>1690</v>
      </c>
      <c r="C326" s="1" t="s">
        <v>1691</v>
      </c>
      <c r="D326" s="1" t="s">
        <v>1692</v>
      </c>
      <c r="E326" s="1">
        <v>2289.0</v>
      </c>
      <c r="F326" s="1" t="s">
        <v>288</v>
      </c>
      <c r="G326" s="1">
        <v>729375.0</v>
      </c>
      <c r="H326" s="1" t="s">
        <v>80</v>
      </c>
      <c r="I326" s="1"/>
      <c r="J326" s="1"/>
      <c r="K326" s="1" t="s">
        <v>23</v>
      </c>
      <c r="L326" s="1" t="s">
        <v>1693</v>
      </c>
      <c r="M326" s="1">
        <v>0.0</v>
      </c>
      <c r="N326" s="1">
        <v>1.0</v>
      </c>
      <c r="O326" s="1" t="s">
        <v>288</v>
      </c>
      <c r="P326" s="1" t="s">
        <v>25</v>
      </c>
      <c r="Q326" s="2" t="str">
        <f t="shared" si="1"/>
        <v>H019687</v>
      </c>
    </row>
    <row r="327">
      <c r="A327" s="1" t="s">
        <v>1694</v>
      </c>
      <c r="B327" s="1" t="s">
        <v>1695</v>
      </c>
      <c r="C327" s="1" t="s">
        <v>1696</v>
      </c>
      <c r="D327" s="1" t="s">
        <v>1697</v>
      </c>
      <c r="E327" s="1">
        <v>4692.0</v>
      </c>
      <c r="F327" s="1" t="s">
        <v>382</v>
      </c>
      <c r="G327" s="1" t="s">
        <v>119</v>
      </c>
      <c r="H327" s="1" t="s">
        <v>120</v>
      </c>
      <c r="I327" s="1"/>
      <c r="J327" s="1"/>
      <c r="K327" s="1" t="s">
        <v>23</v>
      </c>
      <c r="L327" s="1" t="s">
        <v>1698</v>
      </c>
      <c r="M327" s="1">
        <v>3.0</v>
      </c>
      <c r="N327" s="1">
        <v>1.0</v>
      </c>
      <c r="O327" s="1" t="s">
        <v>382</v>
      </c>
      <c r="P327" s="1" t="s">
        <v>25</v>
      </c>
      <c r="Q327" s="2" t="str">
        <f t="shared" si="1"/>
        <v>H030507</v>
      </c>
    </row>
    <row r="328">
      <c r="A328" s="1" t="s">
        <v>1699</v>
      </c>
      <c r="B328" s="1" t="s">
        <v>1700</v>
      </c>
      <c r="C328" s="1" t="s">
        <v>1701</v>
      </c>
      <c r="D328" s="1" t="s">
        <v>1702</v>
      </c>
      <c r="E328" s="1">
        <v>1761.0</v>
      </c>
      <c r="F328" s="1" t="s">
        <v>382</v>
      </c>
      <c r="G328" s="1" t="s">
        <v>119</v>
      </c>
      <c r="H328" s="1" t="s">
        <v>120</v>
      </c>
      <c r="I328" s="1"/>
      <c r="J328" s="1"/>
      <c r="K328" s="1" t="s">
        <v>23</v>
      </c>
      <c r="L328" s="1" t="s">
        <v>1703</v>
      </c>
      <c r="M328" s="1">
        <v>3.0</v>
      </c>
      <c r="N328" s="1">
        <v>1.0</v>
      </c>
      <c r="O328" s="1" t="s">
        <v>382</v>
      </c>
      <c r="P328" s="1" t="s">
        <v>25</v>
      </c>
      <c r="Q328" s="2" t="str">
        <f t="shared" si="1"/>
        <v>H030507</v>
      </c>
    </row>
    <row r="329">
      <c r="A329" s="1" t="s">
        <v>1704</v>
      </c>
      <c r="B329" s="1" t="s">
        <v>1705</v>
      </c>
      <c r="C329" s="1" t="s">
        <v>1706</v>
      </c>
      <c r="D329" s="1" t="s">
        <v>1707</v>
      </c>
      <c r="E329" s="1">
        <v>2949.0</v>
      </c>
      <c r="F329" s="1" t="s">
        <v>382</v>
      </c>
      <c r="G329" s="1" t="s">
        <v>119</v>
      </c>
      <c r="H329" s="1" t="s">
        <v>120</v>
      </c>
      <c r="I329" s="1"/>
      <c r="J329" s="1"/>
      <c r="K329" s="1" t="s">
        <v>23</v>
      </c>
      <c r="L329" s="1" t="s">
        <v>1708</v>
      </c>
      <c r="M329" s="1">
        <v>3.0</v>
      </c>
      <c r="N329" s="1">
        <v>1.0</v>
      </c>
      <c r="O329" s="1" t="s">
        <v>382</v>
      </c>
      <c r="P329" s="1" t="s">
        <v>25</v>
      </c>
      <c r="Q329" s="2" t="str">
        <f t="shared" si="1"/>
        <v>H030507</v>
      </c>
    </row>
    <row r="330">
      <c r="A330" s="1" t="s">
        <v>1709</v>
      </c>
      <c r="B330" s="1" t="s">
        <v>1710</v>
      </c>
      <c r="C330" s="1" t="s">
        <v>1711</v>
      </c>
      <c r="D330" s="1" t="s">
        <v>1712</v>
      </c>
      <c r="E330" s="1">
        <v>2881.0</v>
      </c>
      <c r="F330" s="1" t="s">
        <v>382</v>
      </c>
      <c r="G330" s="1" t="s">
        <v>119</v>
      </c>
      <c r="H330" s="1" t="s">
        <v>120</v>
      </c>
      <c r="I330" s="1"/>
      <c r="J330" s="1"/>
      <c r="K330" s="1" t="s">
        <v>23</v>
      </c>
      <c r="L330" s="1" t="s">
        <v>1713</v>
      </c>
      <c r="M330" s="1">
        <v>3.0</v>
      </c>
      <c r="N330" s="1">
        <v>1.0</v>
      </c>
      <c r="O330" s="1" t="s">
        <v>382</v>
      </c>
      <c r="P330" s="1" t="s">
        <v>25</v>
      </c>
      <c r="Q330" s="2" t="str">
        <f t="shared" si="1"/>
        <v>H030507</v>
      </c>
    </row>
    <row r="331">
      <c r="A331" s="1" t="s">
        <v>1714</v>
      </c>
      <c r="B331" s="1" t="s">
        <v>1715</v>
      </c>
      <c r="C331" s="1" t="s">
        <v>1716</v>
      </c>
      <c r="D331" s="1" t="s">
        <v>1717</v>
      </c>
      <c r="E331" s="1">
        <v>5276.0</v>
      </c>
      <c r="F331" s="1" t="s">
        <v>382</v>
      </c>
      <c r="G331" s="1" t="s">
        <v>474</v>
      </c>
      <c r="H331" s="1" t="s">
        <v>475</v>
      </c>
      <c r="I331" s="1"/>
      <c r="J331" s="1"/>
      <c r="K331" s="1" t="s">
        <v>23</v>
      </c>
      <c r="L331" s="1" t="s">
        <v>1718</v>
      </c>
      <c r="M331" s="1">
        <v>3.0</v>
      </c>
      <c r="N331" s="1">
        <v>1.0</v>
      </c>
      <c r="O331" s="1" t="s">
        <v>382</v>
      </c>
      <c r="P331" s="1" t="s">
        <v>25</v>
      </c>
      <c r="Q331" s="2" t="str">
        <f t="shared" si="1"/>
        <v>H030507</v>
      </c>
    </row>
    <row r="332">
      <c r="A332" s="1" t="s">
        <v>1719</v>
      </c>
      <c r="B332" s="1" t="s">
        <v>1720</v>
      </c>
      <c r="C332" s="1" t="s">
        <v>1721</v>
      </c>
      <c r="D332" s="1" t="s">
        <v>1722</v>
      </c>
      <c r="E332" s="1">
        <v>6995.0</v>
      </c>
      <c r="F332" s="1" t="s">
        <v>382</v>
      </c>
      <c r="G332" s="1" t="s">
        <v>474</v>
      </c>
      <c r="H332" s="1" t="s">
        <v>475</v>
      </c>
      <c r="I332" s="1"/>
      <c r="J332" s="1"/>
      <c r="K332" s="1" t="s">
        <v>23</v>
      </c>
      <c r="L332" s="1" t="s">
        <v>1723</v>
      </c>
      <c r="M332" s="1">
        <v>3.0</v>
      </c>
      <c r="N332" s="1">
        <v>1.0</v>
      </c>
      <c r="O332" s="1" t="s">
        <v>382</v>
      </c>
      <c r="P332" s="1" t="s">
        <v>25</v>
      </c>
      <c r="Q332" s="2" t="str">
        <f t="shared" si="1"/>
        <v>H030507</v>
      </c>
    </row>
    <row r="333">
      <c r="A333" s="1" t="s">
        <v>1724</v>
      </c>
      <c r="B333" s="1" t="s">
        <v>1725</v>
      </c>
      <c r="C333" s="1" t="s">
        <v>1726</v>
      </c>
      <c r="D333" s="1" t="s">
        <v>1727</v>
      </c>
      <c r="E333" s="1">
        <v>2460.0</v>
      </c>
      <c r="F333" s="1" t="s">
        <v>382</v>
      </c>
      <c r="G333" s="1" t="s">
        <v>107</v>
      </c>
      <c r="H333" s="1" t="s">
        <v>108</v>
      </c>
      <c r="I333" s="1"/>
      <c r="J333" s="1"/>
      <c r="K333" s="1" t="s">
        <v>23</v>
      </c>
      <c r="L333" s="1" t="s">
        <v>1728</v>
      </c>
      <c r="M333" s="1">
        <v>3.0</v>
      </c>
      <c r="N333" s="1">
        <v>1.0</v>
      </c>
      <c r="O333" s="1" t="s">
        <v>382</v>
      </c>
      <c r="P333" s="1" t="s">
        <v>25</v>
      </c>
      <c r="Q333" s="2" t="str">
        <f t="shared" si="1"/>
        <v>H030507</v>
      </c>
    </row>
    <row r="334">
      <c r="A334" s="1" t="s">
        <v>1729</v>
      </c>
      <c r="B334" s="1" t="s">
        <v>1730</v>
      </c>
      <c r="C334" s="1" t="s">
        <v>1731</v>
      </c>
      <c r="D334" s="1" t="s">
        <v>1732</v>
      </c>
      <c r="E334" s="1">
        <v>3039.0</v>
      </c>
      <c r="F334" s="1" t="s">
        <v>382</v>
      </c>
      <c r="G334" s="1" t="s">
        <v>107</v>
      </c>
      <c r="H334" s="1" t="s">
        <v>108</v>
      </c>
      <c r="I334" s="1"/>
      <c r="J334" s="1"/>
      <c r="K334" s="1" t="s">
        <v>23</v>
      </c>
      <c r="L334" s="1" t="s">
        <v>1733</v>
      </c>
      <c r="M334" s="1">
        <v>3.0</v>
      </c>
      <c r="N334" s="1">
        <v>1.0</v>
      </c>
      <c r="O334" s="1" t="s">
        <v>382</v>
      </c>
      <c r="P334" s="1" t="s">
        <v>25</v>
      </c>
      <c r="Q334" s="2" t="str">
        <f t="shared" si="1"/>
        <v>H030507</v>
      </c>
    </row>
    <row r="335">
      <c r="A335" s="1" t="s">
        <v>1734</v>
      </c>
      <c r="B335" s="1" t="s">
        <v>1735</v>
      </c>
      <c r="C335" s="1" t="s">
        <v>1736</v>
      </c>
      <c r="D335" s="1" t="s">
        <v>1737</v>
      </c>
      <c r="E335" s="1">
        <v>4503.0</v>
      </c>
      <c r="F335" s="1" t="s">
        <v>382</v>
      </c>
      <c r="G335" s="1" t="s">
        <v>107</v>
      </c>
      <c r="H335" s="1" t="s">
        <v>108</v>
      </c>
      <c r="I335" s="1"/>
      <c r="J335" s="1"/>
      <c r="K335" s="1" t="s">
        <v>23</v>
      </c>
      <c r="L335" s="1" t="s">
        <v>1738</v>
      </c>
      <c r="M335" s="1">
        <v>3.0</v>
      </c>
      <c r="N335" s="1">
        <v>1.0</v>
      </c>
      <c r="O335" s="1" t="s">
        <v>382</v>
      </c>
      <c r="P335" s="1" t="s">
        <v>25</v>
      </c>
      <c r="Q335" s="2" t="str">
        <f t="shared" si="1"/>
        <v>H030507</v>
      </c>
    </row>
    <row r="336">
      <c r="A336" s="1" t="s">
        <v>1739</v>
      </c>
      <c r="B336" s="1" t="s">
        <v>1740</v>
      </c>
      <c r="C336" s="1" t="s">
        <v>1741</v>
      </c>
      <c r="D336" s="1" t="s">
        <v>1742</v>
      </c>
      <c r="E336" s="1">
        <v>2991.0</v>
      </c>
      <c r="F336" s="1" t="s">
        <v>382</v>
      </c>
      <c r="G336" s="1" t="s">
        <v>107</v>
      </c>
      <c r="H336" s="1" t="s">
        <v>108</v>
      </c>
      <c r="I336" s="1"/>
      <c r="J336" s="1"/>
      <c r="K336" s="1" t="s">
        <v>23</v>
      </c>
      <c r="L336" s="1" t="s">
        <v>1743</v>
      </c>
      <c r="M336" s="1">
        <v>3.0</v>
      </c>
      <c r="N336" s="1">
        <v>1.0</v>
      </c>
      <c r="O336" s="1" t="s">
        <v>382</v>
      </c>
      <c r="P336" s="1" t="s">
        <v>25</v>
      </c>
      <c r="Q336" s="2" t="str">
        <f t="shared" si="1"/>
        <v>H030507</v>
      </c>
    </row>
    <row r="337">
      <c r="A337" s="1" t="s">
        <v>1744</v>
      </c>
      <c r="B337" s="1" t="s">
        <v>1745</v>
      </c>
      <c r="C337" s="1" t="s">
        <v>1746</v>
      </c>
      <c r="D337" s="1" t="s">
        <v>1747</v>
      </c>
      <c r="E337" s="1">
        <v>2148.0</v>
      </c>
      <c r="F337" s="1" t="s">
        <v>315</v>
      </c>
      <c r="G337" s="1">
        <v>555127.0</v>
      </c>
      <c r="H337" s="1" t="s">
        <v>35</v>
      </c>
      <c r="I337" s="1"/>
      <c r="J337" s="1"/>
      <c r="K337" s="1" t="s">
        <v>23</v>
      </c>
      <c r="L337" s="1" t="s">
        <v>1748</v>
      </c>
      <c r="M337" s="1">
        <v>0.0</v>
      </c>
      <c r="N337" s="1">
        <v>1.0</v>
      </c>
      <c r="O337" s="1" t="s">
        <v>315</v>
      </c>
      <c r="P337" s="1" t="s">
        <v>25</v>
      </c>
      <c r="Q337" s="2" t="str">
        <f t="shared" si="1"/>
        <v>H019625</v>
      </c>
    </row>
    <row r="338">
      <c r="A338" s="1" t="s">
        <v>1749</v>
      </c>
      <c r="B338" s="1" t="s">
        <v>1750</v>
      </c>
      <c r="C338" s="1" t="s">
        <v>1751</v>
      </c>
      <c r="D338" s="1" t="s">
        <v>1752</v>
      </c>
      <c r="E338" s="1">
        <v>3698.0</v>
      </c>
      <c r="F338" s="1" t="s">
        <v>351</v>
      </c>
      <c r="G338" s="1" t="s">
        <v>260</v>
      </c>
      <c r="H338" s="1" t="s">
        <v>261</v>
      </c>
      <c r="I338" s="1" t="s">
        <v>486</v>
      </c>
      <c r="J338" s="1"/>
      <c r="K338" s="1" t="s">
        <v>23</v>
      </c>
      <c r="L338" s="1" t="s">
        <v>1753</v>
      </c>
      <c r="M338" s="1">
        <v>0.0</v>
      </c>
      <c r="N338" s="1">
        <v>1.0</v>
      </c>
      <c r="O338" s="1" t="s">
        <v>351</v>
      </c>
      <c r="P338" s="1" t="s">
        <v>488</v>
      </c>
      <c r="Q338" s="2" t="str">
        <f t="shared" si="1"/>
        <v>H030179</v>
      </c>
    </row>
    <row r="339">
      <c r="A339" s="1" t="s">
        <v>1754</v>
      </c>
      <c r="B339" s="1" t="s">
        <v>1755</v>
      </c>
      <c r="C339" s="1" t="s">
        <v>1756</v>
      </c>
      <c r="D339" s="1" t="s">
        <v>1757</v>
      </c>
      <c r="E339" s="1">
        <v>3995.0</v>
      </c>
      <c r="F339" s="1" t="s">
        <v>351</v>
      </c>
      <c r="G339" s="1" t="s">
        <v>57</v>
      </c>
      <c r="H339" s="1" t="s">
        <v>58</v>
      </c>
      <c r="I339" s="1"/>
      <c r="J339" s="1"/>
      <c r="K339" s="1" t="s">
        <v>23</v>
      </c>
      <c r="L339" s="1" t="s">
        <v>1758</v>
      </c>
      <c r="M339" s="1">
        <v>0.0</v>
      </c>
      <c r="N339" s="1">
        <v>1.0</v>
      </c>
      <c r="O339" s="1" t="s">
        <v>351</v>
      </c>
      <c r="P339" s="1" t="s">
        <v>25</v>
      </c>
      <c r="Q339" s="2" t="str">
        <f t="shared" si="1"/>
        <v>H030179</v>
      </c>
    </row>
    <row r="340">
      <c r="A340" s="1" t="s">
        <v>1759</v>
      </c>
      <c r="B340" s="1" t="s">
        <v>1760</v>
      </c>
      <c r="C340" s="1" t="s">
        <v>1761</v>
      </c>
      <c r="D340" s="1" t="s">
        <v>1762</v>
      </c>
      <c r="E340" s="1">
        <v>2177.0</v>
      </c>
      <c r="F340" s="1" t="s">
        <v>351</v>
      </c>
      <c r="G340" s="1" t="s">
        <v>57</v>
      </c>
      <c r="H340" s="1" t="s">
        <v>58</v>
      </c>
      <c r="I340" s="1"/>
      <c r="J340" s="1"/>
      <c r="K340" s="1" t="s">
        <v>23</v>
      </c>
      <c r="L340" s="1" t="s">
        <v>1763</v>
      </c>
      <c r="M340" s="1">
        <v>0.0</v>
      </c>
      <c r="N340" s="1">
        <v>1.0</v>
      </c>
      <c r="O340" s="1" t="s">
        <v>351</v>
      </c>
      <c r="P340" s="1" t="s">
        <v>25</v>
      </c>
      <c r="Q340" s="2" t="str">
        <f t="shared" si="1"/>
        <v>H030179</v>
      </c>
    </row>
    <row r="341">
      <c r="A341" s="1" t="s">
        <v>1764</v>
      </c>
      <c r="B341" s="1" t="s">
        <v>1765</v>
      </c>
      <c r="C341" s="1" t="s">
        <v>1766</v>
      </c>
      <c r="D341" s="1" t="s">
        <v>1767</v>
      </c>
      <c r="E341" s="1">
        <v>2456.0</v>
      </c>
      <c r="F341" s="1" t="s">
        <v>351</v>
      </c>
      <c r="G341" s="1" t="s">
        <v>57</v>
      </c>
      <c r="H341" s="1" t="s">
        <v>58</v>
      </c>
      <c r="I341" s="1"/>
      <c r="J341" s="1"/>
      <c r="K341" s="1" t="s">
        <v>23</v>
      </c>
      <c r="L341" s="1" t="s">
        <v>1768</v>
      </c>
      <c r="M341" s="1">
        <v>0.0</v>
      </c>
      <c r="N341" s="1">
        <v>1.0</v>
      </c>
      <c r="O341" s="1" t="s">
        <v>351</v>
      </c>
      <c r="P341" s="1" t="s">
        <v>25</v>
      </c>
      <c r="Q341" s="2" t="str">
        <f t="shared" si="1"/>
        <v>H030179</v>
      </c>
    </row>
    <row r="342">
      <c r="A342" s="1" t="s">
        <v>1769</v>
      </c>
      <c r="B342" s="1" t="s">
        <v>1770</v>
      </c>
      <c r="C342" s="1" t="s">
        <v>1771</v>
      </c>
      <c r="D342" s="1" t="s">
        <v>1772</v>
      </c>
      <c r="E342" s="1">
        <v>3842.0</v>
      </c>
      <c r="F342" s="1" t="s">
        <v>351</v>
      </c>
      <c r="G342" s="1" t="s">
        <v>57</v>
      </c>
      <c r="H342" s="1" t="s">
        <v>58</v>
      </c>
      <c r="I342" s="1"/>
      <c r="J342" s="1"/>
      <c r="K342" s="1" t="s">
        <v>23</v>
      </c>
      <c r="L342" s="1" t="s">
        <v>1773</v>
      </c>
      <c r="M342" s="1">
        <v>0.0</v>
      </c>
      <c r="N342" s="1">
        <v>1.0</v>
      </c>
      <c r="O342" s="1" t="s">
        <v>351</v>
      </c>
      <c r="P342" s="1" t="s">
        <v>25</v>
      </c>
      <c r="Q342" s="2" t="str">
        <f t="shared" si="1"/>
        <v>H030179</v>
      </c>
    </row>
    <row r="343">
      <c r="A343" s="1" t="s">
        <v>1774</v>
      </c>
      <c r="B343" s="1" t="s">
        <v>1775</v>
      </c>
      <c r="C343" s="1" t="s">
        <v>1776</v>
      </c>
      <c r="D343" s="1" t="s">
        <v>1777</v>
      </c>
      <c r="E343" s="1">
        <v>4434.0</v>
      </c>
      <c r="F343" s="1" t="s">
        <v>351</v>
      </c>
      <c r="G343" s="1" t="s">
        <v>208</v>
      </c>
      <c r="H343" s="1" t="s">
        <v>209</v>
      </c>
      <c r="I343" s="1"/>
      <c r="J343" s="1"/>
      <c r="K343" s="1" t="s">
        <v>23</v>
      </c>
      <c r="L343" s="1" t="s">
        <v>1778</v>
      </c>
      <c r="M343" s="1">
        <v>0.0</v>
      </c>
      <c r="N343" s="1">
        <v>1.0</v>
      </c>
      <c r="O343" s="1" t="s">
        <v>351</v>
      </c>
      <c r="P343" s="1" t="s">
        <v>25</v>
      </c>
      <c r="Q343" s="2" t="str">
        <f t="shared" si="1"/>
        <v>H030179</v>
      </c>
    </row>
    <row r="344">
      <c r="A344" s="1" t="s">
        <v>1779</v>
      </c>
      <c r="B344" s="1" t="s">
        <v>1780</v>
      </c>
      <c r="C344" s="1" t="s">
        <v>1781</v>
      </c>
      <c r="D344" s="1" t="s">
        <v>1782</v>
      </c>
      <c r="E344" s="1">
        <v>4632.0</v>
      </c>
      <c r="F344" s="1" t="s">
        <v>351</v>
      </c>
      <c r="G344" s="1" t="s">
        <v>260</v>
      </c>
      <c r="H344" s="1" t="s">
        <v>261</v>
      </c>
      <c r="I344" s="1" t="s">
        <v>486</v>
      </c>
      <c r="J344" s="1"/>
      <c r="K344" s="1" t="s">
        <v>23</v>
      </c>
      <c r="L344" s="1" t="s">
        <v>1783</v>
      </c>
      <c r="M344" s="1">
        <v>0.0</v>
      </c>
      <c r="N344" s="1">
        <v>1.0</v>
      </c>
      <c r="O344" s="1" t="s">
        <v>351</v>
      </c>
      <c r="P344" s="1" t="s">
        <v>488</v>
      </c>
      <c r="Q344" s="2" t="str">
        <f t="shared" si="1"/>
        <v>H030179</v>
      </c>
    </row>
    <row r="345">
      <c r="A345" s="1" t="s">
        <v>1784</v>
      </c>
      <c r="B345" s="1" t="s">
        <v>1785</v>
      </c>
      <c r="C345" s="1" t="s">
        <v>1786</v>
      </c>
      <c r="D345" s="1" t="s">
        <v>1787</v>
      </c>
      <c r="E345" s="1">
        <v>4705.0</v>
      </c>
      <c r="F345" s="1" t="s">
        <v>351</v>
      </c>
      <c r="G345" s="1" t="s">
        <v>208</v>
      </c>
      <c r="H345" s="1" t="s">
        <v>209</v>
      </c>
      <c r="I345" s="1"/>
      <c r="J345" s="1"/>
      <c r="K345" s="1" t="s">
        <v>23</v>
      </c>
      <c r="L345" s="1" t="s">
        <v>1788</v>
      </c>
      <c r="M345" s="1">
        <v>0.0</v>
      </c>
      <c r="N345" s="1">
        <v>1.0</v>
      </c>
      <c r="O345" s="1" t="s">
        <v>351</v>
      </c>
      <c r="P345" s="1" t="s">
        <v>25</v>
      </c>
      <c r="Q345" s="2" t="str">
        <f t="shared" si="1"/>
        <v>H030179</v>
      </c>
    </row>
    <row r="346">
      <c r="A346" s="1" t="s">
        <v>1789</v>
      </c>
      <c r="B346" s="1" t="s">
        <v>1790</v>
      </c>
      <c r="C346" s="1" t="s">
        <v>1791</v>
      </c>
      <c r="D346" s="1" t="s">
        <v>1792</v>
      </c>
      <c r="E346" s="1">
        <v>5192.0</v>
      </c>
      <c r="F346" s="1" t="s">
        <v>351</v>
      </c>
      <c r="G346" s="1" t="s">
        <v>208</v>
      </c>
      <c r="H346" s="1" t="s">
        <v>209</v>
      </c>
      <c r="I346" s="1"/>
      <c r="J346" s="1"/>
      <c r="K346" s="1" t="s">
        <v>23</v>
      </c>
      <c r="L346" s="1" t="s">
        <v>1793</v>
      </c>
      <c r="M346" s="1">
        <v>0.0</v>
      </c>
      <c r="N346" s="1">
        <v>1.0</v>
      </c>
      <c r="O346" s="1" t="s">
        <v>351</v>
      </c>
      <c r="P346" s="1" t="s">
        <v>25</v>
      </c>
      <c r="Q346" s="2" t="str">
        <f t="shared" si="1"/>
        <v>H030179</v>
      </c>
    </row>
    <row r="347">
      <c r="A347" s="1" t="s">
        <v>1794</v>
      </c>
      <c r="B347" s="1" t="s">
        <v>1795</v>
      </c>
      <c r="C347" s="1" t="s">
        <v>1796</v>
      </c>
      <c r="D347" s="1" t="s">
        <v>1797</v>
      </c>
      <c r="E347" s="1">
        <v>2846.0</v>
      </c>
      <c r="F347" s="1" t="s">
        <v>288</v>
      </c>
      <c r="G347" s="1">
        <v>729375.0</v>
      </c>
      <c r="H347" s="1" t="s">
        <v>80</v>
      </c>
      <c r="I347" s="1"/>
      <c r="J347" s="1"/>
      <c r="K347" s="1" t="s">
        <v>23</v>
      </c>
      <c r="L347" s="1" t="s">
        <v>1798</v>
      </c>
      <c r="M347" s="1">
        <v>0.0</v>
      </c>
      <c r="N347" s="1">
        <v>1.0</v>
      </c>
      <c r="O347" s="1" t="s">
        <v>288</v>
      </c>
      <c r="P347" s="1" t="s">
        <v>25</v>
      </c>
      <c r="Q347" s="2" t="str">
        <f t="shared" si="1"/>
        <v>H019196</v>
      </c>
    </row>
    <row r="348">
      <c r="A348" s="1" t="s">
        <v>1799</v>
      </c>
      <c r="B348" s="1" t="s">
        <v>1800</v>
      </c>
      <c r="C348" s="1" t="s">
        <v>1801</v>
      </c>
      <c r="D348" s="1" t="s">
        <v>1802</v>
      </c>
      <c r="E348" s="1">
        <v>1610.0</v>
      </c>
      <c r="F348" s="1" t="s">
        <v>288</v>
      </c>
      <c r="G348" s="1">
        <v>729375.0</v>
      </c>
      <c r="H348" s="1" t="s">
        <v>80</v>
      </c>
      <c r="I348" s="1"/>
      <c r="J348" s="1"/>
      <c r="K348" s="1" t="s">
        <v>23</v>
      </c>
      <c r="L348" s="1" t="s">
        <v>1803</v>
      </c>
      <c r="M348" s="1">
        <v>0.0</v>
      </c>
      <c r="N348" s="1">
        <v>1.0</v>
      </c>
      <c r="O348" s="1" t="s">
        <v>288</v>
      </c>
      <c r="P348" s="1" t="s">
        <v>25</v>
      </c>
      <c r="Q348" s="2" t="str">
        <f t="shared" si="1"/>
        <v>H019196</v>
      </c>
    </row>
    <row r="349">
      <c r="A349" s="1" t="s">
        <v>1804</v>
      </c>
      <c r="B349" s="1" t="s">
        <v>1805</v>
      </c>
      <c r="C349" s="1" t="s">
        <v>1806</v>
      </c>
      <c r="D349" s="1" t="s">
        <v>1807</v>
      </c>
      <c r="E349" s="1">
        <v>2574.0</v>
      </c>
      <c r="F349" s="1" t="s">
        <v>288</v>
      </c>
      <c r="G349" s="1">
        <v>729375.0</v>
      </c>
      <c r="H349" s="1" t="s">
        <v>80</v>
      </c>
      <c r="I349" s="1"/>
      <c r="J349" s="1"/>
      <c r="K349" s="1" t="s">
        <v>23</v>
      </c>
      <c r="L349" s="1" t="s">
        <v>1808</v>
      </c>
      <c r="M349" s="1">
        <v>0.0</v>
      </c>
      <c r="N349" s="1">
        <v>1.0</v>
      </c>
      <c r="O349" s="1" t="s">
        <v>288</v>
      </c>
      <c r="P349" s="1" t="s">
        <v>25</v>
      </c>
      <c r="Q349" s="2" t="str">
        <f t="shared" si="1"/>
        <v>H019196</v>
      </c>
    </row>
    <row r="350">
      <c r="A350" s="1" t="s">
        <v>1809</v>
      </c>
      <c r="B350" s="1" t="s">
        <v>1810</v>
      </c>
      <c r="C350" s="1" t="s">
        <v>1811</v>
      </c>
      <c r="D350" s="1" t="s">
        <v>1812</v>
      </c>
      <c r="E350" s="1">
        <v>3283.0</v>
      </c>
      <c r="F350" s="1" t="s">
        <v>288</v>
      </c>
      <c r="G350" s="1" t="s">
        <v>304</v>
      </c>
      <c r="H350" s="1" t="s">
        <v>272</v>
      </c>
      <c r="I350" s="1" t="s">
        <v>1051</v>
      </c>
      <c r="J350" s="1"/>
      <c r="K350" s="1" t="s">
        <v>23</v>
      </c>
      <c r="L350" s="1" t="s">
        <v>1813</v>
      </c>
      <c r="M350" s="1">
        <v>0.0</v>
      </c>
      <c r="N350" s="1">
        <v>1.0</v>
      </c>
      <c r="O350" s="1" t="s">
        <v>288</v>
      </c>
      <c r="P350" s="1" t="s">
        <v>488</v>
      </c>
      <c r="Q350" s="2" t="str">
        <f t="shared" si="1"/>
        <v>H019196</v>
      </c>
    </row>
    <row r="351">
      <c r="A351" s="1" t="s">
        <v>1814</v>
      </c>
      <c r="B351" s="1" t="s">
        <v>1815</v>
      </c>
      <c r="C351" s="1" t="s">
        <v>1816</v>
      </c>
      <c r="D351" s="1" t="s">
        <v>1817</v>
      </c>
      <c r="E351" s="1">
        <v>2052.0</v>
      </c>
      <c r="F351" s="1" t="s">
        <v>288</v>
      </c>
      <c r="G351" s="1" t="s">
        <v>304</v>
      </c>
      <c r="H351" s="1" t="s">
        <v>272</v>
      </c>
      <c r="I351" s="1" t="s">
        <v>1051</v>
      </c>
      <c r="J351" s="1"/>
      <c r="K351" s="1" t="s">
        <v>23</v>
      </c>
      <c r="L351" s="1" t="s">
        <v>1818</v>
      </c>
      <c r="M351" s="1">
        <v>0.0</v>
      </c>
      <c r="N351" s="1">
        <v>1.0</v>
      </c>
      <c r="O351" s="1" t="s">
        <v>288</v>
      </c>
      <c r="P351" s="1" t="s">
        <v>488</v>
      </c>
      <c r="Q351" s="2" t="str">
        <f t="shared" si="1"/>
        <v>H019196</v>
      </c>
    </row>
    <row r="352">
      <c r="A352" s="1" t="s">
        <v>1819</v>
      </c>
      <c r="B352" s="1" t="s">
        <v>1820</v>
      </c>
      <c r="C352" s="1" t="s">
        <v>1821</v>
      </c>
      <c r="D352" s="1" t="s">
        <v>1822</v>
      </c>
      <c r="E352" s="1">
        <v>3984.0</v>
      </c>
      <c r="F352" s="1" t="s">
        <v>288</v>
      </c>
      <c r="G352" s="1">
        <v>859767.0</v>
      </c>
      <c r="H352" s="1" t="s">
        <v>22</v>
      </c>
      <c r="I352" s="1"/>
      <c r="J352" s="1"/>
      <c r="K352" s="1" t="s">
        <v>23</v>
      </c>
      <c r="L352" s="1" t="s">
        <v>1823</v>
      </c>
      <c r="M352" s="1">
        <v>0.0</v>
      </c>
      <c r="N352" s="1">
        <v>1.0</v>
      </c>
      <c r="O352" s="1" t="s">
        <v>288</v>
      </c>
      <c r="P352" s="1" t="s">
        <v>25</v>
      </c>
      <c r="Q352" s="2" t="str">
        <f t="shared" si="1"/>
        <v>H019196</v>
      </c>
    </row>
    <row r="353">
      <c r="A353" s="1" t="s">
        <v>1824</v>
      </c>
      <c r="B353" s="1" t="s">
        <v>1825</v>
      </c>
      <c r="C353" s="1" t="s">
        <v>1826</v>
      </c>
      <c r="D353" s="1" t="s">
        <v>1827</v>
      </c>
      <c r="E353" s="1">
        <v>4937.0</v>
      </c>
      <c r="F353" s="1" t="s">
        <v>288</v>
      </c>
      <c r="G353" s="1">
        <v>859767.0</v>
      </c>
      <c r="H353" s="1" t="s">
        <v>22</v>
      </c>
      <c r="I353" s="1"/>
      <c r="J353" s="1"/>
      <c r="K353" s="1" t="s">
        <v>23</v>
      </c>
      <c r="L353" s="1" t="s">
        <v>1828</v>
      </c>
      <c r="M353" s="1">
        <v>0.0</v>
      </c>
      <c r="N353" s="1">
        <v>1.0</v>
      </c>
      <c r="O353" s="1" t="s">
        <v>288</v>
      </c>
      <c r="P353" s="1" t="s">
        <v>25</v>
      </c>
      <c r="Q353" s="2" t="str">
        <f t="shared" si="1"/>
        <v>H019196</v>
      </c>
    </row>
    <row r="354">
      <c r="A354" s="1" t="s">
        <v>1829</v>
      </c>
      <c r="B354" s="1" t="s">
        <v>1830</v>
      </c>
      <c r="C354" s="1" t="s">
        <v>1831</v>
      </c>
      <c r="D354" s="1" t="s">
        <v>1832</v>
      </c>
      <c r="E354" s="1">
        <v>5265.0</v>
      </c>
      <c r="F354" s="1" t="s">
        <v>288</v>
      </c>
      <c r="G354" s="1">
        <v>859767.0</v>
      </c>
      <c r="H354" s="1" t="s">
        <v>22</v>
      </c>
      <c r="I354" s="1"/>
      <c r="J354" s="1"/>
      <c r="K354" s="1" t="s">
        <v>23</v>
      </c>
      <c r="L354" s="1" t="s">
        <v>1833</v>
      </c>
      <c r="M354" s="1">
        <v>0.0</v>
      </c>
      <c r="N354" s="1">
        <v>1.0</v>
      </c>
      <c r="O354" s="1" t="s">
        <v>288</v>
      </c>
      <c r="P354" s="1" t="s">
        <v>25</v>
      </c>
      <c r="Q354" s="2" t="str">
        <f t="shared" si="1"/>
        <v>H019196</v>
      </c>
    </row>
    <row r="355">
      <c r="A355" s="1" t="s">
        <v>1834</v>
      </c>
      <c r="B355" s="1" t="s">
        <v>1835</v>
      </c>
      <c r="C355" s="1" t="s">
        <v>1836</v>
      </c>
      <c r="D355" s="1" t="s">
        <v>1837</v>
      </c>
      <c r="E355" s="1">
        <v>128.0</v>
      </c>
      <c r="F355" s="1" t="s">
        <v>288</v>
      </c>
      <c r="G355" s="1" t="s">
        <v>304</v>
      </c>
      <c r="H355" s="1" t="s">
        <v>272</v>
      </c>
      <c r="I355" s="1" t="s">
        <v>1051</v>
      </c>
      <c r="J355" s="1"/>
      <c r="K355" s="1" t="s">
        <v>23</v>
      </c>
      <c r="L355" s="1" t="s">
        <v>1838</v>
      </c>
      <c r="M355" s="1">
        <v>0.0</v>
      </c>
      <c r="N355" s="1">
        <v>0.0</v>
      </c>
      <c r="O355" s="1" t="s">
        <v>288</v>
      </c>
      <c r="P355" s="1" t="s">
        <v>25</v>
      </c>
      <c r="Q355" s="2" t="str">
        <f t="shared" si="1"/>
        <v>H019196</v>
      </c>
    </row>
    <row r="356">
      <c r="A356" s="1" t="s">
        <v>1839</v>
      </c>
      <c r="B356" s="1" t="s">
        <v>1840</v>
      </c>
      <c r="C356" s="1" t="s">
        <v>1841</v>
      </c>
      <c r="D356" s="1" t="s">
        <v>1842</v>
      </c>
      <c r="E356" s="1">
        <v>2380.0</v>
      </c>
      <c r="F356" s="1" t="s">
        <v>315</v>
      </c>
      <c r="G356" s="1">
        <v>455939.0</v>
      </c>
      <c r="H356" s="1" t="s">
        <v>704</v>
      </c>
      <c r="I356" s="1"/>
      <c r="J356" s="1"/>
      <c r="K356" s="1" t="s">
        <v>23</v>
      </c>
      <c r="L356" s="1" t="s">
        <v>1843</v>
      </c>
      <c r="M356" s="1">
        <v>0.0</v>
      </c>
      <c r="N356" s="1">
        <v>1.0</v>
      </c>
      <c r="O356" s="1" t="s">
        <v>315</v>
      </c>
      <c r="P356" s="1" t="s">
        <v>25</v>
      </c>
      <c r="Q356" s="2" t="str">
        <f t="shared" si="1"/>
        <v>H019625</v>
      </c>
    </row>
    <row r="357">
      <c r="A357" s="1" t="s">
        <v>1844</v>
      </c>
      <c r="B357" s="1" t="s">
        <v>1845</v>
      </c>
      <c r="C357" s="1" t="s">
        <v>1846</v>
      </c>
      <c r="D357" s="1" t="s">
        <v>1847</v>
      </c>
      <c r="E357" s="1">
        <v>2010.0</v>
      </c>
      <c r="F357" s="1" t="s">
        <v>315</v>
      </c>
      <c r="G357" s="1">
        <v>841329.0</v>
      </c>
      <c r="H357" s="1" t="s">
        <v>1848</v>
      </c>
      <c r="I357" s="1" t="s">
        <v>1051</v>
      </c>
      <c r="J357" s="1"/>
      <c r="K357" s="1" t="s">
        <v>23</v>
      </c>
      <c r="L357" s="1" t="s">
        <v>1849</v>
      </c>
      <c r="M357" s="1">
        <v>3.0</v>
      </c>
      <c r="N357" s="1">
        <v>1.0</v>
      </c>
      <c r="O357" s="1" t="s">
        <v>315</v>
      </c>
      <c r="P357" s="1" t="s">
        <v>488</v>
      </c>
      <c r="Q357" s="2" t="str">
        <f t="shared" si="1"/>
        <v>H019728</v>
      </c>
    </row>
    <row r="358">
      <c r="A358" s="1" t="s">
        <v>1850</v>
      </c>
      <c r="B358" s="1" t="s">
        <v>1851</v>
      </c>
      <c r="C358" s="1" t="s">
        <v>1852</v>
      </c>
      <c r="D358" s="1" t="s">
        <v>1853</v>
      </c>
      <c r="E358" s="1">
        <v>2950.0</v>
      </c>
      <c r="F358" s="1" t="s">
        <v>398</v>
      </c>
      <c r="G358" s="1" t="s">
        <v>155</v>
      </c>
      <c r="H358" s="1" t="s">
        <v>156</v>
      </c>
      <c r="I358" s="1"/>
      <c r="J358" s="1"/>
      <c r="K358" s="1" t="s">
        <v>23</v>
      </c>
      <c r="L358" s="1" t="s">
        <v>1854</v>
      </c>
      <c r="M358" s="1">
        <v>0.0</v>
      </c>
      <c r="N358" s="1">
        <v>1.0</v>
      </c>
      <c r="O358" s="1" t="s">
        <v>398</v>
      </c>
      <c r="P358" s="1" t="s">
        <v>25</v>
      </c>
      <c r="Q358" s="2" t="str">
        <f t="shared" si="1"/>
        <v>H030048</v>
      </c>
    </row>
    <row r="359">
      <c r="A359" s="1" t="s">
        <v>1855</v>
      </c>
      <c r="B359" s="1" t="s">
        <v>1856</v>
      </c>
      <c r="C359" s="1" t="s">
        <v>1857</v>
      </c>
      <c r="D359" s="1" t="s">
        <v>1858</v>
      </c>
      <c r="E359" s="1">
        <v>4769.0</v>
      </c>
      <c r="F359" s="1" t="s">
        <v>398</v>
      </c>
      <c r="G359" s="1" t="s">
        <v>155</v>
      </c>
      <c r="H359" s="1" t="s">
        <v>156</v>
      </c>
      <c r="I359" s="1"/>
      <c r="J359" s="1"/>
      <c r="K359" s="1" t="s">
        <v>23</v>
      </c>
      <c r="L359" s="1" t="s">
        <v>1859</v>
      </c>
      <c r="M359" s="1">
        <v>0.0</v>
      </c>
      <c r="N359" s="1">
        <v>1.0</v>
      </c>
      <c r="O359" s="1" t="s">
        <v>398</v>
      </c>
      <c r="P359" s="1" t="s">
        <v>25</v>
      </c>
      <c r="Q359" s="2" t="str">
        <f t="shared" si="1"/>
        <v>H030048</v>
      </c>
    </row>
    <row r="360">
      <c r="A360" s="1" t="s">
        <v>1860</v>
      </c>
      <c r="B360" s="1" t="s">
        <v>1861</v>
      </c>
      <c r="C360" s="1" t="s">
        <v>1862</v>
      </c>
      <c r="D360" s="1" t="s">
        <v>1863</v>
      </c>
      <c r="E360" s="1">
        <v>2669.0</v>
      </c>
      <c r="F360" s="1" t="s">
        <v>398</v>
      </c>
      <c r="G360" s="1" t="s">
        <v>155</v>
      </c>
      <c r="H360" s="1" t="s">
        <v>156</v>
      </c>
      <c r="I360" s="1" t="s">
        <v>1112</v>
      </c>
      <c r="J360" s="1"/>
      <c r="K360" s="1" t="s">
        <v>23</v>
      </c>
      <c r="L360" s="1" t="s">
        <v>1864</v>
      </c>
      <c r="M360" s="1">
        <v>0.0</v>
      </c>
      <c r="N360" s="1">
        <v>1.0</v>
      </c>
      <c r="O360" s="1" t="s">
        <v>398</v>
      </c>
      <c r="P360" s="1" t="s">
        <v>488</v>
      </c>
      <c r="Q360" s="2" t="str">
        <f t="shared" si="1"/>
        <v>H030048</v>
      </c>
    </row>
    <row r="361">
      <c r="A361" s="1" t="s">
        <v>1865</v>
      </c>
      <c r="B361" s="1" t="s">
        <v>1866</v>
      </c>
      <c r="C361" s="1" t="s">
        <v>1867</v>
      </c>
      <c r="D361" s="1" t="s">
        <v>1868</v>
      </c>
      <c r="E361" s="1">
        <v>2943.0</v>
      </c>
      <c r="F361" s="1" t="s">
        <v>398</v>
      </c>
      <c r="G361" s="1" t="s">
        <v>155</v>
      </c>
      <c r="H361" s="1" t="s">
        <v>156</v>
      </c>
      <c r="I361" s="1"/>
      <c r="J361" s="1"/>
      <c r="K361" s="1" t="s">
        <v>23</v>
      </c>
      <c r="L361" s="1" t="s">
        <v>1869</v>
      </c>
      <c r="M361" s="1">
        <v>0.0</v>
      </c>
      <c r="N361" s="1">
        <v>1.0</v>
      </c>
      <c r="O361" s="1" t="s">
        <v>398</v>
      </c>
      <c r="P361" s="1" t="s">
        <v>25</v>
      </c>
      <c r="Q361" s="2" t="str">
        <f t="shared" si="1"/>
        <v>H030048</v>
      </c>
    </row>
    <row r="362">
      <c r="A362" s="1" t="s">
        <v>1870</v>
      </c>
      <c r="B362" s="1" t="s">
        <v>1871</v>
      </c>
      <c r="C362" s="1" t="s">
        <v>1872</v>
      </c>
      <c r="D362" s="1" t="s">
        <v>1873</v>
      </c>
      <c r="E362" s="1">
        <v>3852.0</v>
      </c>
      <c r="F362" s="1" t="s">
        <v>398</v>
      </c>
      <c r="G362" s="1" t="s">
        <v>155</v>
      </c>
      <c r="H362" s="1" t="s">
        <v>156</v>
      </c>
      <c r="I362" s="1"/>
      <c r="J362" s="1"/>
      <c r="K362" s="1" t="s">
        <v>23</v>
      </c>
      <c r="L362" s="1" t="s">
        <v>1874</v>
      </c>
      <c r="M362" s="1">
        <v>0.0</v>
      </c>
      <c r="N362" s="1">
        <v>1.0</v>
      </c>
      <c r="O362" s="1" t="s">
        <v>398</v>
      </c>
      <c r="P362" s="1" t="s">
        <v>25</v>
      </c>
      <c r="Q362" s="2" t="str">
        <f t="shared" si="1"/>
        <v>H030048</v>
      </c>
    </row>
    <row r="363">
      <c r="A363" s="1" t="s">
        <v>1875</v>
      </c>
      <c r="B363" s="1" t="s">
        <v>1876</v>
      </c>
      <c r="C363" s="1" t="s">
        <v>1877</v>
      </c>
      <c r="D363" s="1" t="s">
        <v>1878</v>
      </c>
      <c r="E363" s="1">
        <v>3544.0</v>
      </c>
      <c r="F363" s="1" t="s">
        <v>398</v>
      </c>
      <c r="G363" s="1" t="s">
        <v>179</v>
      </c>
      <c r="H363" s="1" t="s">
        <v>180</v>
      </c>
      <c r="I363" s="1"/>
      <c r="J363" s="1"/>
      <c r="K363" s="1" t="s">
        <v>23</v>
      </c>
      <c r="L363" s="1" t="s">
        <v>1879</v>
      </c>
      <c r="M363" s="1">
        <v>0.0</v>
      </c>
      <c r="N363" s="1">
        <v>1.0</v>
      </c>
      <c r="O363" s="1" t="s">
        <v>398</v>
      </c>
      <c r="P363" s="1" t="s">
        <v>25</v>
      </c>
      <c r="Q363" s="2" t="str">
        <f t="shared" si="1"/>
        <v>H030326</v>
      </c>
    </row>
    <row r="364">
      <c r="A364" s="1" t="s">
        <v>1880</v>
      </c>
      <c r="B364" s="1" t="s">
        <v>1881</v>
      </c>
      <c r="C364" s="1" t="s">
        <v>1882</v>
      </c>
      <c r="D364" s="1" t="s">
        <v>1883</v>
      </c>
      <c r="E364" s="1">
        <v>2787.0</v>
      </c>
      <c r="F364" s="1" t="s">
        <v>398</v>
      </c>
      <c r="G364" s="1" t="s">
        <v>179</v>
      </c>
      <c r="H364" s="1" t="s">
        <v>180</v>
      </c>
      <c r="I364" s="1"/>
      <c r="J364" s="1"/>
      <c r="K364" s="1" t="s">
        <v>23</v>
      </c>
      <c r="L364" s="1" t="s">
        <v>1884</v>
      </c>
      <c r="M364" s="1">
        <v>0.0</v>
      </c>
      <c r="N364" s="1">
        <v>1.0</v>
      </c>
      <c r="O364" s="1" t="s">
        <v>398</v>
      </c>
      <c r="P364" s="1" t="s">
        <v>25</v>
      </c>
      <c r="Q364" s="2" t="str">
        <f t="shared" si="1"/>
        <v>H030326</v>
      </c>
    </row>
    <row r="365">
      <c r="A365" s="1" t="s">
        <v>1885</v>
      </c>
      <c r="B365" s="1" t="s">
        <v>1886</v>
      </c>
      <c r="C365" s="1" t="s">
        <v>1887</v>
      </c>
      <c r="D365" s="1" t="s">
        <v>1888</v>
      </c>
      <c r="E365" s="1">
        <v>4336.0</v>
      </c>
      <c r="F365" s="1" t="s">
        <v>498</v>
      </c>
      <c r="G365" s="1" t="s">
        <v>167</v>
      </c>
      <c r="H365" s="1" t="s">
        <v>168</v>
      </c>
      <c r="I365" s="1"/>
      <c r="J365" s="1"/>
      <c r="K365" s="1" t="s">
        <v>23</v>
      </c>
      <c r="L365" s="1" t="s">
        <v>1889</v>
      </c>
      <c r="M365" s="1">
        <v>3.0</v>
      </c>
      <c r="N365" s="1">
        <v>1.0</v>
      </c>
      <c r="O365" s="1" t="s">
        <v>498</v>
      </c>
      <c r="P365" s="1" t="s">
        <v>25</v>
      </c>
      <c r="Q365" s="2" t="str">
        <f t="shared" si="1"/>
        <v>H030270</v>
      </c>
    </row>
    <row r="366">
      <c r="A366" s="1" t="s">
        <v>1890</v>
      </c>
      <c r="B366" s="1" t="s">
        <v>1891</v>
      </c>
      <c r="C366" s="1" t="s">
        <v>1892</v>
      </c>
      <c r="D366" s="1" t="s">
        <v>1893</v>
      </c>
      <c r="E366" s="1">
        <v>2567.0</v>
      </c>
      <c r="F366" s="1" t="s">
        <v>498</v>
      </c>
      <c r="G366" s="1" t="s">
        <v>167</v>
      </c>
      <c r="H366" s="1" t="s">
        <v>168</v>
      </c>
      <c r="I366" s="1"/>
      <c r="J366" s="1"/>
      <c r="K366" s="1" t="s">
        <v>23</v>
      </c>
      <c r="L366" s="1" t="s">
        <v>1894</v>
      </c>
      <c r="M366" s="1">
        <v>3.0</v>
      </c>
      <c r="N366" s="1">
        <v>1.0</v>
      </c>
      <c r="O366" s="1" t="s">
        <v>498</v>
      </c>
      <c r="P366" s="1" t="s">
        <v>25</v>
      </c>
      <c r="Q366" s="2" t="str">
        <f t="shared" si="1"/>
        <v>H030270</v>
      </c>
    </row>
    <row r="367">
      <c r="A367" s="1" t="s">
        <v>1895</v>
      </c>
      <c r="B367" s="1" t="s">
        <v>1896</v>
      </c>
      <c r="C367" s="1" t="s">
        <v>1897</v>
      </c>
      <c r="D367" s="1" t="s">
        <v>1898</v>
      </c>
      <c r="E367" s="1">
        <v>3152.0</v>
      </c>
      <c r="F367" s="1" t="s">
        <v>498</v>
      </c>
      <c r="G367" s="1" t="s">
        <v>167</v>
      </c>
      <c r="H367" s="1" t="s">
        <v>168</v>
      </c>
      <c r="I367" s="1" t="s">
        <v>1112</v>
      </c>
      <c r="J367" s="1"/>
      <c r="K367" s="1" t="s">
        <v>23</v>
      </c>
      <c r="L367" s="1" t="s">
        <v>1899</v>
      </c>
      <c r="M367" s="1">
        <v>3.0</v>
      </c>
      <c r="N367" s="1">
        <v>1.0</v>
      </c>
      <c r="O367" s="1" t="s">
        <v>498</v>
      </c>
      <c r="P367" s="1" t="s">
        <v>488</v>
      </c>
      <c r="Q367" s="2" t="str">
        <f t="shared" si="1"/>
        <v>H030270</v>
      </c>
    </row>
    <row r="368">
      <c r="A368" s="1" t="s">
        <v>1900</v>
      </c>
      <c r="B368" s="1" t="s">
        <v>1901</v>
      </c>
      <c r="C368" s="1" t="s">
        <v>1902</v>
      </c>
      <c r="D368" s="1" t="s">
        <v>1903</v>
      </c>
      <c r="E368" s="1">
        <v>7190.0</v>
      </c>
      <c r="F368" s="1" t="s">
        <v>498</v>
      </c>
      <c r="G368" s="1">
        <v>896791.0</v>
      </c>
      <c r="H368" s="1" t="s">
        <v>244</v>
      </c>
      <c r="I368" s="1"/>
      <c r="J368" s="1"/>
      <c r="K368" s="1" t="s">
        <v>23</v>
      </c>
      <c r="L368" s="1" t="s">
        <v>1904</v>
      </c>
      <c r="M368" s="1">
        <v>2.0</v>
      </c>
      <c r="N368" s="1">
        <v>1.0</v>
      </c>
      <c r="O368" s="1" t="s">
        <v>498</v>
      </c>
      <c r="P368" s="1" t="s">
        <v>25</v>
      </c>
      <c r="Q368" s="2" t="str">
        <f t="shared" si="1"/>
        <v>H030332</v>
      </c>
    </row>
    <row r="369">
      <c r="A369" s="1" t="s">
        <v>1905</v>
      </c>
      <c r="B369" s="1" t="s">
        <v>1906</v>
      </c>
      <c r="C369" s="1" t="s">
        <v>1907</v>
      </c>
      <c r="D369" s="1" t="s">
        <v>1908</v>
      </c>
      <c r="E369" s="1">
        <v>2664.0</v>
      </c>
      <c r="F369" s="1" t="s">
        <v>498</v>
      </c>
      <c r="G369" s="1">
        <v>896791.0</v>
      </c>
      <c r="H369" s="1" t="s">
        <v>244</v>
      </c>
      <c r="I369" s="1"/>
      <c r="J369" s="1"/>
      <c r="K369" s="1" t="s">
        <v>23</v>
      </c>
      <c r="L369" s="1" t="s">
        <v>1909</v>
      </c>
      <c r="M369" s="1">
        <v>2.0</v>
      </c>
      <c r="N369" s="1">
        <v>1.0</v>
      </c>
      <c r="O369" s="1" t="s">
        <v>498</v>
      </c>
      <c r="P369" s="1" t="s">
        <v>25</v>
      </c>
      <c r="Q369" s="2" t="str">
        <f t="shared" si="1"/>
        <v>H030332</v>
      </c>
    </row>
    <row r="370">
      <c r="A370" s="1" t="s">
        <v>1910</v>
      </c>
      <c r="B370" s="1" t="s">
        <v>1911</v>
      </c>
      <c r="C370" s="1" t="s">
        <v>1912</v>
      </c>
      <c r="D370" s="1" t="s">
        <v>1913</v>
      </c>
      <c r="E370" s="1">
        <v>4542.0</v>
      </c>
      <c r="F370" s="1" t="s">
        <v>498</v>
      </c>
      <c r="G370" s="1">
        <v>896791.0</v>
      </c>
      <c r="H370" s="1" t="s">
        <v>244</v>
      </c>
      <c r="I370" s="1"/>
      <c r="J370" s="1"/>
      <c r="K370" s="1" t="s">
        <v>23</v>
      </c>
      <c r="L370" s="1" t="s">
        <v>1914</v>
      </c>
      <c r="M370" s="1">
        <v>2.0</v>
      </c>
      <c r="N370" s="1">
        <v>1.0</v>
      </c>
      <c r="O370" s="1" t="s">
        <v>498</v>
      </c>
      <c r="P370" s="1" t="s">
        <v>25</v>
      </c>
      <c r="Q370" s="2" t="str">
        <f t="shared" si="1"/>
        <v>H030332</v>
      </c>
    </row>
    <row r="371">
      <c r="A371" s="1" t="s">
        <v>1915</v>
      </c>
      <c r="B371" s="1" t="s">
        <v>1916</v>
      </c>
      <c r="C371" s="1" t="s">
        <v>1917</v>
      </c>
      <c r="D371" s="1" t="s">
        <v>1918</v>
      </c>
      <c r="E371" s="1">
        <v>5062.0</v>
      </c>
      <c r="F371" s="1" t="s">
        <v>498</v>
      </c>
      <c r="G371" s="1" t="s">
        <v>220</v>
      </c>
      <c r="H371" s="1" t="s">
        <v>221</v>
      </c>
      <c r="I371" s="1"/>
      <c r="J371" s="1"/>
      <c r="K371" s="1" t="s">
        <v>23</v>
      </c>
      <c r="L371" s="1" t="s">
        <v>1919</v>
      </c>
      <c r="M371" s="1">
        <v>3.0</v>
      </c>
      <c r="N371" s="1">
        <v>1.0</v>
      </c>
      <c r="O371" s="1" t="s">
        <v>498</v>
      </c>
      <c r="P371" s="1" t="s">
        <v>25</v>
      </c>
      <c r="Q371" s="2" t="str">
        <f t="shared" si="1"/>
        <v>H030270</v>
      </c>
    </row>
    <row r="372">
      <c r="A372" s="1" t="s">
        <v>1920</v>
      </c>
      <c r="B372" s="1" t="s">
        <v>1921</v>
      </c>
      <c r="C372" s="1" t="s">
        <v>1922</v>
      </c>
      <c r="D372" s="1" t="s">
        <v>1923</v>
      </c>
      <c r="E372" s="1">
        <v>5057.0</v>
      </c>
      <c r="F372" s="1" t="s">
        <v>498</v>
      </c>
      <c r="G372" s="1" t="s">
        <v>220</v>
      </c>
      <c r="H372" s="1" t="s">
        <v>221</v>
      </c>
      <c r="I372" s="1"/>
      <c r="J372" s="1"/>
      <c r="K372" s="1" t="s">
        <v>23</v>
      </c>
      <c r="L372" s="1" t="s">
        <v>1924</v>
      </c>
      <c r="M372" s="1">
        <v>3.0</v>
      </c>
      <c r="N372" s="1">
        <v>1.0</v>
      </c>
      <c r="O372" s="1" t="s">
        <v>498</v>
      </c>
      <c r="P372" s="1" t="s">
        <v>25</v>
      </c>
      <c r="Q372" s="2" t="str">
        <f t="shared" si="1"/>
        <v>H030270</v>
      </c>
    </row>
    <row r="373">
      <c r="A373" s="1" t="s">
        <v>1925</v>
      </c>
      <c r="B373" s="1" t="s">
        <v>1926</v>
      </c>
      <c r="C373" s="1" t="s">
        <v>1927</v>
      </c>
      <c r="D373" s="1" t="s">
        <v>1928</v>
      </c>
      <c r="E373" s="1">
        <v>2934.0</v>
      </c>
      <c r="F373" s="1" t="s">
        <v>498</v>
      </c>
      <c r="G373" s="1" t="s">
        <v>220</v>
      </c>
      <c r="H373" s="1" t="s">
        <v>221</v>
      </c>
      <c r="I373" s="1"/>
      <c r="J373" s="1"/>
      <c r="K373" s="1" t="s">
        <v>23</v>
      </c>
      <c r="L373" s="1" t="s">
        <v>1929</v>
      </c>
      <c r="M373" s="1">
        <v>3.0</v>
      </c>
      <c r="N373" s="1">
        <v>1.0</v>
      </c>
      <c r="O373" s="1" t="s">
        <v>498</v>
      </c>
      <c r="P373" s="1" t="s">
        <v>25</v>
      </c>
      <c r="Q373" s="2" t="str">
        <f t="shared" si="1"/>
        <v>H030270</v>
      </c>
    </row>
    <row r="374">
      <c r="A374" s="1" t="s">
        <v>1930</v>
      </c>
      <c r="B374" s="1" t="s">
        <v>1931</v>
      </c>
      <c r="C374" s="1" t="s">
        <v>1932</v>
      </c>
      <c r="D374" s="1" t="s">
        <v>1933</v>
      </c>
      <c r="E374" s="1">
        <v>3469.0</v>
      </c>
      <c r="F374" s="1" t="s">
        <v>498</v>
      </c>
      <c r="G374" s="1" t="s">
        <v>220</v>
      </c>
      <c r="H374" s="1" t="s">
        <v>221</v>
      </c>
      <c r="I374" s="1"/>
      <c r="J374" s="1"/>
      <c r="K374" s="1" t="s">
        <v>23</v>
      </c>
      <c r="L374" s="1" t="s">
        <v>1934</v>
      </c>
      <c r="M374" s="1">
        <v>3.0</v>
      </c>
      <c r="N374" s="1">
        <v>1.0</v>
      </c>
      <c r="O374" s="1" t="s">
        <v>498</v>
      </c>
      <c r="P374" s="1" t="s">
        <v>25</v>
      </c>
      <c r="Q374" s="2" t="str">
        <f t="shared" si="1"/>
        <v>H030270</v>
      </c>
    </row>
    <row r="375">
      <c r="A375" s="1" t="s">
        <v>1935</v>
      </c>
      <c r="B375" s="1" t="s">
        <v>1936</v>
      </c>
      <c r="C375" s="1" t="s">
        <v>1937</v>
      </c>
      <c r="D375" s="1" t="s">
        <v>1938</v>
      </c>
      <c r="E375" s="1">
        <v>3596.0</v>
      </c>
      <c r="F375" s="1" t="s">
        <v>498</v>
      </c>
      <c r="G375" s="1" t="s">
        <v>132</v>
      </c>
      <c r="H375" s="1" t="s">
        <v>133</v>
      </c>
      <c r="I375" s="1"/>
      <c r="J375" s="1"/>
      <c r="K375" s="1" t="s">
        <v>23</v>
      </c>
      <c r="L375" s="1" t="s">
        <v>1939</v>
      </c>
      <c r="M375" s="1">
        <v>2.0</v>
      </c>
      <c r="N375" s="1">
        <v>1.0</v>
      </c>
      <c r="O375" s="1" t="s">
        <v>498</v>
      </c>
      <c r="P375" s="1" t="s">
        <v>25</v>
      </c>
      <c r="Q375" s="2" t="str">
        <f t="shared" si="1"/>
        <v>H030332</v>
      </c>
    </row>
    <row r="376">
      <c r="A376" s="1" t="s">
        <v>1940</v>
      </c>
      <c r="B376" s="1" t="s">
        <v>1941</v>
      </c>
      <c r="C376" s="1" t="s">
        <v>1942</v>
      </c>
      <c r="D376" s="1" t="s">
        <v>1943</v>
      </c>
      <c r="E376" s="1">
        <v>3989.0</v>
      </c>
      <c r="F376" s="1" t="s">
        <v>498</v>
      </c>
      <c r="G376" s="1" t="s">
        <v>132</v>
      </c>
      <c r="H376" s="1" t="s">
        <v>133</v>
      </c>
      <c r="I376" s="1"/>
      <c r="J376" s="1"/>
      <c r="K376" s="1" t="s">
        <v>23</v>
      </c>
      <c r="L376" s="1" t="s">
        <v>1944</v>
      </c>
      <c r="M376" s="1">
        <v>2.0</v>
      </c>
      <c r="N376" s="1">
        <v>1.0</v>
      </c>
      <c r="O376" s="1" t="s">
        <v>498</v>
      </c>
      <c r="P376" s="1" t="s">
        <v>25</v>
      </c>
      <c r="Q376" s="2" t="str">
        <f t="shared" si="1"/>
        <v>H030332</v>
      </c>
    </row>
    <row r="377">
      <c r="A377" s="1" t="s">
        <v>1945</v>
      </c>
      <c r="B377" s="1" t="s">
        <v>1946</v>
      </c>
      <c r="C377" s="1" t="s">
        <v>1947</v>
      </c>
      <c r="D377" s="1" t="s">
        <v>1948</v>
      </c>
      <c r="E377" s="1">
        <v>5341.0</v>
      </c>
      <c r="F377" s="1" t="s">
        <v>498</v>
      </c>
      <c r="G377" s="1" t="s">
        <v>220</v>
      </c>
      <c r="H377" s="1" t="s">
        <v>221</v>
      </c>
      <c r="I377" s="1"/>
      <c r="J377" s="1"/>
      <c r="K377" s="1" t="s">
        <v>23</v>
      </c>
      <c r="L377" s="1" t="s">
        <v>1949</v>
      </c>
      <c r="M377" s="1">
        <v>2.0</v>
      </c>
      <c r="N377" s="1">
        <v>1.0</v>
      </c>
      <c r="O377" s="1" t="s">
        <v>498</v>
      </c>
      <c r="P377" s="1" t="s">
        <v>25</v>
      </c>
      <c r="Q377" s="2" t="str">
        <f t="shared" si="1"/>
        <v>H030332</v>
      </c>
    </row>
    <row r="378">
      <c r="A378" s="1" t="s">
        <v>1950</v>
      </c>
      <c r="B378" s="1" t="s">
        <v>1951</v>
      </c>
      <c r="C378" s="1" t="s">
        <v>1952</v>
      </c>
      <c r="D378" s="1" t="s">
        <v>1953</v>
      </c>
      <c r="E378" s="1">
        <v>3645.0</v>
      </c>
      <c r="F378" s="1" t="s">
        <v>498</v>
      </c>
      <c r="G378" s="1" t="s">
        <v>132</v>
      </c>
      <c r="H378" s="1" t="s">
        <v>133</v>
      </c>
      <c r="I378" s="1"/>
      <c r="J378" s="1"/>
      <c r="K378" s="1" t="s">
        <v>23</v>
      </c>
      <c r="L378" s="1" t="s">
        <v>1954</v>
      </c>
      <c r="M378" s="1">
        <v>2.0</v>
      </c>
      <c r="N378" s="1">
        <v>1.0</v>
      </c>
      <c r="O378" s="1" t="s">
        <v>498</v>
      </c>
      <c r="P378" s="1" t="s">
        <v>25</v>
      </c>
      <c r="Q378" s="2" t="str">
        <f t="shared" si="1"/>
        <v>H030332</v>
      </c>
    </row>
    <row r="379">
      <c r="A379" s="1" t="s">
        <v>1955</v>
      </c>
      <c r="B379" s="1" t="s">
        <v>1956</v>
      </c>
      <c r="C379" s="1" t="s">
        <v>1957</v>
      </c>
      <c r="D379" s="1" t="s">
        <v>1958</v>
      </c>
      <c r="E379" s="1">
        <v>3320.0</v>
      </c>
      <c r="F379" s="1" t="s">
        <v>398</v>
      </c>
      <c r="G379" s="1" t="s">
        <v>232</v>
      </c>
      <c r="H379" s="1" t="s">
        <v>233</v>
      </c>
      <c r="I379" s="1"/>
      <c r="J379" s="1"/>
      <c r="K379" s="1" t="s">
        <v>23</v>
      </c>
      <c r="L379" s="1" t="s">
        <v>1959</v>
      </c>
      <c r="M379" s="1">
        <v>0.0</v>
      </c>
      <c r="N379" s="1">
        <v>1.0</v>
      </c>
      <c r="O379" s="1" t="s">
        <v>398</v>
      </c>
      <c r="P379" s="1" t="s">
        <v>25</v>
      </c>
      <c r="Q379" s="2" t="str">
        <f t="shared" si="1"/>
        <v>H030048</v>
      </c>
    </row>
    <row r="380">
      <c r="A380" s="1" t="s">
        <v>1960</v>
      </c>
      <c r="B380" s="1" t="s">
        <v>1961</v>
      </c>
      <c r="C380" s="1" t="s">
        <v>1962</v>
      </c>
      <c r="D380" s="1" t="s">
        <v>1963</v>
      </c>
      <c r="E380" s="1">
        <v>4922.0</v>
      </c>
      <c r="F380" s="1" t="s">
        <v>398</v>
      </c>
      <c r="G380" s="1" t="s">
        <v>232</v>
      </c>
      <c r="H380" s="1" t="s">
        <v>233</v>
      </c>
      <c r="I380" s="1"/>
      <c r="J380" s="1"/>
      <c r="K380" s="1" t="s">
        <v>23</v>
      </c>
      <c r="L380" s="1" t="s">
        <v>1964</v>
      </c>
      <c r="M380" s="1">
        <v>0.0</v>
      </c>
      <c r="N380" s="1">
        <v>1.0</v>
      </c>
      <c r="O380" s="1" t="s">
        <v>398</v>
      </c>
      <c r="P380" s="1" t="s">
        <v>25</v>
      </c>
      <c r="Q380" s="2" t="str">
        <f t="shared" si="1"/>
        <v>H030048</v>
      </c>
    </row>
    <row r="381">
      <c r="A381" s="1" t="s">
        <v>1965</v>
      </c>
      <c r="B381" s="1" t="s">
        <v>1966</v>
      </c>
      <c r="C381" s="1" t="s">
        <v>1967</v>
      </c>
      <c r="D381" s="1" t="s">
        <v>1968</v>
      </c>
      <c r="E381" s="1">
        <v>3539.0</v>
      </c>
      <c r="F381" s="1" t="s">
        <v>398</v>
      </c>
      <c r="G381" s="1" t="s">
        <v>232</v>
      </c>
      <c r="H381" s="1" t="s">
        <v>233</v>
      </c>
      <c r="I381" s="1" t="s">
        <v>1112</v>
      </c>
      <c r="J381" s="1"/>
      <c r="K381" s="1" t="s">
        <v>23</v>
      </c>
      <c r="L381" s="1" t="s">
        <v>1969</v>
      </c>
      <c r="M381" s="1">
        <v>0.0</v>
      </c>
      <c r="N381" s="1">
        <v>1.0</v>
      </c>
      <c r="O381" s="1" t="s">
        <v>398</v>
      </c>
      <c r="P381" s="1" t="s">
        <v>488</v>
      </c>
      <c r="Q381" s="2" t="str">
        <f t="shared" si="1"/>
        <v>H030048</v>
      </c>
    </row>
    <row r="382">
      <c r="A382" s="1" t="s">
        <v>1970</v>
      </c>
      <c r="B382" s="1" t="s">
        <v>1971</v>
      </c>
      <c r="C382" s="1" t="s">
        <v>1972</v>
      </c>
      <c r="D382" s="1" t="s">
        <v>1973</v>
      </c>
      <c r="E382" s="1">
        <v>3283.0</v>
      </c>
      <c r="F382" s="1" t="s">
        <v>398</v>
      </c>
      <c r="G382" s="1" t="s">
        <v>232</v>
      </c>
      <c r="H382" s="1" t="s">
        <v>233</v>
      </c>
      <c r="I382" s="1"/>
      <c r="J382" s="1"/>
      <c r="K382" s="1" t="s">
        <v>23</v>
      </c>
      <c r="L382" s="1" t="s">
        <v>1974</v>
      </c>
      <c r="M382" s="1">
        <v>0.0</v>
      </c>
      <c r="N382" s="1">
        <v>1.0</v>
      </c>
      <c r="O382" s="1" t="s">
        <v>398</v>
      </c>
      <c r="P382" s="1" t="s">
        <v>25</v>
      </c>
      <c r="Q382" s="2" t="str">
        <f t="shared" si="1"/>
        <v>H030048</v>
      </c>
    </row>
    <row r="383">
      <c r="A383" s="1" t="s">
        <v>1975</v>
      </c>
      <c r="B383" s="1" t="s">
        <v>1976</v>
      </c>
      <c r="C383" s="1" t="s">
        <v>1977</v>
      </c>
      <c r="D383" s="1" t="s">
        <v>1978</v>
      </c>
      <c r="E383" s="1">
        <v>4076.0</v>
      </c>
      <c r="F383" s="1" t="s">
        <v>351</v>
      </c>
      <c r="G383" s="1" t="s">
        <v>260</v>
      </c>
      <c r="H383" s="1" t="s">
        <v>261</v>
      </c>
      <c r="I383" s="1"/>
      <c r="J383" s="1"/>
      <c r="K383" s="1" t="s">
        <v>23</v>
      </c>
      <c r="L383" s="1" t="s">
        <v>1979</v>
      </c>
      <c r="M383" s="1">
        <v>0.0</v>
      </c>
      <c r="N383" s="1">
        <v>1.0</v>
      </c>
      <c r="O383" s="1" t="s">
        <v>351</v>
      </c>
      <c r="P383" s="1" t="s">
        <v>25</v>
      </c>
      <c r="Q383" s="2" t="str">
        <f t="shared" si="1"/>
        <v>H030179</v>
      </c>
    </row>
    <row r="384">
      <c r="A384" s="1" t="s">
        <v>1980</v>
      </c>
      <c r="B384" s="1" t="s">
        <v>1981</v>
      </c>
      <c r="C384" s="1" t="s">
        <v>1982</v>
      </c>
      <c r="D384" s="1" t="s">
        <v>1983</v>
      </c>
      <c r="E384" s="1">
        <v>4277.0</v>
      </c>
      <c r="F384" s="1" t="s">
        <v>351</v>
      </c>
      <c r="G384" s="1" t="s">
        <v>260</v>
      </c>
      <c r="H384" s="1" t="s">
        <v>261</v>
      </c>
      <c r="I384" s="1"/>
      <c r="J384" s="1"/>
      <c r="K384" s="1" t="s">
        <v>23</v>
      </c>
      <c r="L384" s="1" t="s">
        <v>1984</v>
      </c>
      <c r="M384" s="1">
        <v>0.0</v>
      </c>
      <c r="N384" s="1">
        <v>1.0</v>
      </c>
      <c r="O384" s="1" t="s">
        <v>351</v>
      </c>
      <c r="P384" s="1" t="s">
        <v>25</v>
      </c>
      <c r="Q384" s="2" t="str">
        <f t="shared" si="1"/>
        <v>H030179</v>
      </c>
    </row>
    <row r="385">
      <c r="A385" s="1" t="s">
        <v>1985</v>
      </c>
      <c r="B385" s="1" t="s">
        <v>1986</v>
      </c>
      <c r="C385" s="1" t="s">
        <v>1987</v>
      </c>
      <c r="D385" s="1" t="s">
        <v>1988</v>
      </c>
      <c r="E385" s="1">
        <v>4892.0</v>
      </c>
      <c r="F385" s="1" t="s">
        <v>351</v>
      </c>
      <c r="G385" s="1" t="s">
        <v>260</v>
      </c>
      <c r="H385" s="1" t="s">
        <v>261</v>
      </c>
      <c r="I385" s="1"/>
      <c r="J385" s="1"/>
      <c r="K385" s="1" t="s">
        <v>23</v>
      </c>
      <c r="L385" s="1" t="s">
        <v>1989</v>
      </c>
      <c r="M385" s="1">
        <v>0.0</v>
      </c>
      <c r="N385" s="1">
        <v>1.0</v>
      </c>
      <c r="O385" s="1" t="s">
        <v>351</v>
      </c>
      <c r="P385" s="1" t="s">
        <v>25</v>
      </c>
      <c r="Q385" s="2" t="str">
        <f t="shared" si="1"/>
        <v>H030179</v>
      </c>
    </row>
    <row r="386">
      <c r="A386" s="1" t="s">
        <v>1990</v>
      </c>
      <c r="B386" s="1" t="s">
        <v>1991</v>
      </c>
      <c r="C386" s="1" t="s">
        <v>1992</v>
      </c>
      <c r="D386" s="1" t="s">
        <v>1993</v>
      </c>
      <c r="E386" s="1">
        <v>3666.0</v>
      </c>
      <c r="F386" s="1" t="s">
        <v>351</v>
      </c>
      <c r="G386" s="1" t="s">
        <v>260</v>
      </c>
      <c r="H386" s="1" t="s">
        <v>261</v>
      </c>
      <c r="I386" s="1" t="s">
        <v>486</v>
      </c>
      <c r="J386" s="1"/>
      <c r="K386" s="1" t="s">
        <v>23</v>
      </c>
      <c r="L386" s="1" t="s">
        <v>1994</v>
      </c>
      <c r="M386" s="1">
        <v>0.0</v>
      </c>
      <c r="N386" s="1">
        <v>1.0</v>
      </c>
      <c r="O386" s="1" t="s">
        <v>351</v>
      </c>
      <c r="P386" s="1" t="s">
        <v>488</v>
      </c>
      <c r="Q386" s="2" t="str">
        <f t="shared" si="1"/>
        <v>H030179</v>
      </c>
    </row>
    <row r="387">
      <c r="A387" s="1" t="s">
        <v>1995</v>
      </c>
      <c r="B387" s="1" t="s">
        <v>1996</v>
      </c>
      <c r="C387" s="1" t="s">
        <v>1997</v>
      </c>
      <c r="D387" s="1" t="s">
        <v>1998</v>
      </c>
      <c r="E387" s="1">
        <v>155.0</v>
      </c>
      <c r="F387" s="1" t="s">
        <v>351</v>
      </c>
      <c r="G387" s="1" t="s">
        <v>260</v>
      </c>
      <c r="H387" s="1" t="s">
        <v>261</v>
      </c>
      <c r="I387" s="1"/>
      <c r="J387" s="1"/>
      <c r="K387" s="1" t="s">
        <v>23</v>
      </c>
      <c r="L387" s="1" t="s">
        <v>1999</v>
      </c>
      <c r="M387" s="1">
        <v>0.0</v>
      </c>
      <c r="N387" s="1">
        <v>0.0</v>
      </c>
      <c r="O387" s="1" t="s">
        <v>351</v>
      </c>
      <c r="P387" s="1" t="s">
        <v>25</v>
      </c>
      <c r="Q387" s="2" t="str">
        <f t="shared" si="1"/>
        <v>H030179</v>
      </c>
    </row>
    <row r="388">
      <c r="A388" s="1" t="s">
        <v>2000</v>
      </c>
      <c r="B388" s="1" t="s">
        <v>2001</v>
      </c>
      <c r="C388" s="1" t="s">
        <v>2002</v>
      </c>
      <c r="D388" s="1" t="s">
        <v>2003</v>
      </c>
      <c r="E388" s="1">
        <v>3234.0</v>
      </c>
      <c r="F388" s="1" t="s">
        <v>382</v>
      </c>
      <c r="G388" s="1" t="s">
        <v>107</v>
      </c>
      <c r="H388" s="1" t="s">
        <v>108</v>
      </c>
      <c r="I388" s="1"/>
      <c r="J388" s="1"/>
      <c r="K388" s="1" t="s">
        <v>23</v>
      </c>
      <c r="L388" s="1" t="s">
        <v>2004</v>
      </c>
      <c r="M388" s="1">
        <v>0.0</v>
      </c>
      <c r="N388" s="1">
        <v>1.0</v>
      </c>
      <c r="O388" s="1" t="s">
        <v>382</v>
      </c>
      <c r="P388" s="1" t="s">
        <v>25</v>
      </c>
      <c r="Q388" s="2" t="str">
        <f t="shared" si="1"/>
        <v>H030852</v>
      </c>
    </row>
    <row r="389">
      <c r="A389" s="1" t="s">
        <v>2005</v>
      </c>
      <c r="B389" s="1" t="s">
        <v>2006</v>
      </c>
      <c r="C389" s="1" t="s">
        <v>2007</v>
      </c>
      <c r="D389" s="1" t="s">
        <v>2008</v>
      </c>
      <c r="E389" s="1">
        <v>2966.0</v>
      </c>
      <c r="F389" s="1" t="s">
        <v>382</v>
      </c>
      <c r="G389" s="1" t="s">
        <v>107</v>
      </c>
      <c r="H389" s="1" t="s">
        <v>108</v>
      </c>
      <c r="I389" s="1"/>
      <c r="J389" s="1"/>
      <c r="K389" s="1" t="s">
        <v>23</v>
      </c>
      <c r="L389" s="1" t="s">
        <v>2009</v>
      </c>
      <c r="M389" s="1">
        <v>0.0</v>
      </c>
      <c r="N389" s="1">
        <v>1.0</v>
      </c>
      <c r="O389" s="1" t="s">
        <v>382</v>
      </c>
      <c r="P389" s="1" t="s">
        <v>25</v>
      </c>
      <c r="Q389" s="2" t="str">
        <f t="shared" si="1"/>
        <v>H030852</v>
      </c>
    </row>
    <row r="390">
      <c r="A390" s="1" t="s">
        <v>2010</v>
      </c>
      <c r="B390" s="1" t="s">
        <v>2011</v>
      </c>
      <c r="C390" s="1" t="s">
        <v>2012</v>
      </c>
      <c r="D390" s="1" t="s">
        <v>2013</v>
      </c>
      <c r="E390" s="1">
        <v>3151.0</v>
      </c>
      <c r="F390" s="1" t="s">
        <v>382</v>
      </c>
      <c r="G390" s="1" t="s">
        <v>474</v>
      </c>
      <c r="H390" s="1" t="s">
        <v>475</v>
      </c>
      <c r="I390" s="1"/>
      <c r="J390" s="1"/>
      <c r="K390" s="1" t="s">
        <v>23</v>
      </c>
      <c r="L390" s="1" t="s">
        <v>2014</v>
      </c>
      <c r="M390" s="1">
        <v>0.0</v>
      </c>
      <c r="N390" s="1">
        <v>1.0</v>
      </c>
      <c r="O390" s="1" t="s">
        <v>382</v>
      </c>
      <c r="P390" s="1" t="s">
        <v>25</v>
      </c>
      <c r="Q390" s="2" t="str">
        <f t="shared" si="1"/>
        <v>H030852</v>
      </c>
    </row>
    <row r="391">
      <c r="A391" s="1" t="s">
        <v>2015</v>
      </c>
      <c r="B391" s="1" t="s">
        <v>2016</v>
      </c>
      <c r="C391" s="1" t="s">
        <v>2017</v>
      </c>
      <c r="D391" s="1" t="s">
        <v>2018</v>
      </c>
      <c r="E391" s="1">
        <v>3244.0</v>
      </c>
      <c r="F391" s="1" t="s">
        <v>382</v>
      </c>
      <c r="G391" s="1" t="s">
        <v>191</v>
      </c>
      <c r="H391" s="1" t="s">
        <v>192</v>
      </c>
      <c r="I391" s="1"/>
      <c r="J391" s="1"/>
      <c r="K391" s="1" t="s">
        <v>23</v>
      </c>
      <c r="L391" s="1" t="s">
        <v>2019</v>
      </c>
      <c r="M391" s="1">
        <v>0.0</v>
      </c>
      <c r="N391" s="1">
        <v>1.0</v>
      </c>
      <c r="O391" s="1" t="s">
        <v>382</v>
      </c>
      <c r="P391" s="1" t="s">
        <v>25</v>
      </c>
      <c r="Q391" s="2" t="str">
        <f t="shared" si="1"/>
        <v>H030852</v>
      </c>
    </row>
    <row r="392">
      <c r="A392" s="1" t="s">
        <v>2020</v>
      </c>
      <c r="B392" s="1" t="s">
        <v>2021</v>
      </c>
      <c r="C392" s="1" t="s">
        <v>2022</v>
      </c>
      <c r="D392" s="1" t="s">
        <v>2023</v>
      </c>
      <c r="E392" s="1">
        <v>2331.0</v>
      </c>
      <c r="F392" s="1" t="s">
        <v>382</v>
      </c>
      <c r="G392" s="1" t="s">
        <v>191</v>
      </c>
      <c r="H392" s="1" t="s">
        <v>192</v>
      </c>
      <c r="I392" s="1"/>
      <c r="J392" s="1"/>
      <c r="K392" s="1" t="s">
        <v>23</v>
      </c>
      <c r="L392" s="1" t="s">
        <v>2024</v>
      </c>
      <c r="M392" s="1">
        <v>0.0</v>
      </c>
      <c r="N392" s="1">
        <v>1.0</v>
      </c>
      <c r="O392" s="1" t="s">
        <v>382</v>
      </c>
      <c r="P392" s="1" t="s">
        <v>25</v>
      </c>
      <c r="Q392" s="2" t="str">
        <f t="shared" si="1"/>
        <v>H030852</v>
      </c>
    </row>
    <row r="393">
      <c r="A393" s="1" t="s">
        <v>2025</v>
      </c>
      <c r="B393" s="1" t="s">
        <v>2026</v>
      </c>
      <c r="C393" s="1" t="s">
        <v>2027</v>
      </c>
      <c r="D393" s="1" t="s">
        <v>2028</v>
      </c>
      <c r="E393" s="1">
        <v>2894.0</v>
      </c>
      <c r="F393" s="1" t="s">
        <v>382</v>
      </c>
      <c r="G393" s="1" t="s">
        <v>191</v>
      </c>
      <c r="H393" s="1" t="s">
        <v>192</v>
      </c>
      <c r="I393" s="1"/>
      <c r="J393" s="1"/>
      <c r="K393" s="1" t="s">
        <v>23</v>
      </c>
      <c r="L393" s="1" t="s">
        <v>2029</v>
      </c>
      <c r="M393" s="1">
        <v>0.0</v>
      </c>
      <c r="N393" s="1">
        <v>1.0</v>
      </c>
      <c r="O393" s="1" t="s">
        <v>382</v>
      </c>
      <c r="P393" s="1" t="s">
        <v>25</v>
      </c>
      <c r="Q393" s="2" t="str">
        <f t="shared" si="1"/>
        <v>H030852</v>
      </c>
    </row>
    <row r="394">
      <c r="A394" s="1" t="s">
        <v>2030</v>
      </c>
      <c r="B394" s="1" t="s">
        <v>2031</v>
      </c>
      <c r="C394" s="1" t="s">
        <v>2032</v>
      </c>
      <c r="D394" s="1" t="s">
        <v>2033</v>
      </c>
      <c r="E394" s="1">
        <v>3467.0</v>
      </c>
      <c r="F394" s="1" t="s">
        <v>382</v>
      </c>
      <c r="G394" s="1" t="s">
        <v>474</v>
      </c>
      <c r="H394" s="1" t="s">
        <v>475</v>
      </c>
      <c r="I394" s="1"/>
      <c r="J394" s="1"/>
      <c r="K394" s="1" t="s">
        <v>23</v>
      </c>
      <c r="L394" s="1" t="s">
        <v>2034</v>
      </c>
      <c r="M394" s="1">
        <v>0.0</v>
      </c>
      <c r="N394" s="1">
        <v>1.0</v>
      </c>
      <c r="O394" s="1" t="s">
        <v>382</v>
      </c>
      <c r="P394" s="1" t="s">
        <v>25</v>
      </c>
      <c r="Q394" s="2" t="str">
        <f t="shared" si="1"/>
        <v>H030852</v>
      </c>
    </row>
    <row r="395">
      <c r="A395" s="1" t="s">
        <v>2035</v>
      </c>
      <c r="B395" s="1" t="s">
        <v>2036</v>
      </c>
      <c r="C395" s="1" t="s">
        <v>2037</v>
      </c>
      <c r="D395" s="1" t="s">
        <v>2038</v>
      </c>
      <c r="E395" s="1">
        <v>3538.0</v>
      </c>
      <c r="F395" s="1" t="s">
        <v>382</v>
      </c>
      <c r="G395" s="1" t="s">
        <v>119</v>
      </c>
      <c r="H395" s="1" t="s">
        <v>120</v>
      </c>
      <c r="I395" s="1"/>
      <c r="J395" s="1"/>
      <c r="K395" s="1" t="s">
        <v>23</v>
      </c>
      <c r="L395" s="1" t="s">
        <v>2039</v>
      </c>
      <c r="M395" s="1">
        <v>0.0</v>
      </c>
      <c r="N395" s="1">
        <v>1.0</v>
      </c>
      <c r="O395" s="1" t="s">
        <v>382</v>
      </c>
      <c r="P395" s="1" t="s">
        <v>25</v>
      </c>
      <c r="Q395" s="2" t="str">
        <f t="shared" si="1"/>
        <v>H030852</v>
      </c>
    </row>
    <row r="396">
      <c r="A396" s="1" t="s">
        <v>2040</v>
      </c>
      <c r="B396" s="1" t="s">
        <v>2041</v>
      </c>
      <c r="C396" s="1" t="s">
        <v>2042</v>
      </c>
      <c r="D396" s="1" t="s">
        <v>2043</v>
      </c>
      <c r="E396" s="1">
        <v>3094.0</v>
      </c>
      <c r="F396" s="1" t="s">
        <v>382</v>
      </c>
      <c r="G396" s="1" t="s">
        <v>119</v>
      </c>
      <c r="H396" s="1" t="s">
        <v>120</v>
      </c>
      <c r="I396" s="1"/>
      <c r="J396" s="1"/>
      <c r="K396" s="1" t="s">
        <v>23</v>
      </c>
      <c r="L396" s="1" t="s">
        <v>2044</v>
      </c>
      <c r="M396" s="1">
        <v>0.0</v>
      </c>
      <c r="N396" s="1">
        <v>1.0</v>
      </c>
      <c r="O396" s="1" t="s">
        <v>382</v>
      </c>
      <c r="P396" s="1" t="s">
        <v>25</v>
      </c>
      <c r="Q396" s="2" t="str">
        <f t="shared" si="1"/>
        <v>H030852</v>
      </c>
    </row>
    <row r="397">
      <c r="A397" s="1" t="s">
        <v>2045</v>
      </c>
      <c r="B397" s="1" t="s">
        <v>2046</v>
      </c>
      <c r="C397" s="1" t="s">
        <v>2047</v>
      </c>
      <c r="D397" s="1" t="s">
        <v>2048</v>
      </c>
      <c r="E397" s="1">
        <v>3937.0</v>
      </c>
      <c r="F397" s="1" t="s">
        <v>382</v>
      </c>
      <c r="G397" s="1" t="s">
        <v>474</v>
      </c>
      <c r="H397" s="1" t="s">
        <v>475</v>
      </c>
      <c r="I397" s="1"/>
      <c r="J397" s="1"/>
      <c r="K397" s="1" t="s">
        <v>23</v>
      </c>
      <c r="L397" s="1" t="s">
        <v>2049</v>
      </c>
      <c r="M397" s="1">
        <v>3.0</v>
      </c>
      <c r="N397" s="1">
        <v>1.0</v>
      </c>
      <c r="O397" s="1" t="s">
        <v>382</v>
      </c>
      <c r="P397" s="1" t="s">
        <v>25</v>
      </c>
      <c r="Q397" s="2" t="str">
        <f t="shared" si="1"/>
        <v>H030507</v>
      </c>
    </row>
    <row r="398">
      <c r="A398" s="1" t="s">
        <v>2050</v>
      </c>
      <c r="B398" s="1" t="s">
        <v>2051</v>
      </c>
      <c r="C398" s="1" t="s">
        <v>2052</v>
      </c>
      <c r="D398" s="1" t="s">
        <v>2053</v>
      </c>
      <c r="E398" s="1">
        <v>3503.0</v>
      </c>
      <c r="F398" s="1" t="s">
        <v>382</v>
      </c>
      <c r="G398" s="1" t="s">
        <v>474</v>
      </c>
      <c r="H398" s="1" t="s">
        <v>475</v>
      </c>
      <c r="I398" s="1"/>
      <c r="J398" s="1"/>
      <c r="K398" s="1" t="s">
        <v>23</v>
      </c>
      <c r="L398" s="1" t="s">
        <v>2054</v>
      </c>
      <c r="M398" s="1">
        <v>0.0</v>
      </c>
      <c r="N398" s="1">
        <v>1.0</v>
      </c>
      <c r="O398" s="1" t="s">
        <v>382</v>
      </c>
      <c r="P398" s="1" t="s">
        <v>25</v>
      </c>
      <c r="Q398" s="2" t="str">
        <f t="shared" si="1"/>
        <v>H030852</v>
      </c>
    </row>
    <row r="399">
      <c r="A399" s="1" t="s">
        <v>2055</v>
      </c>
      <c r="B399" s="1" t="s">
        <v>2056</v>
      </c>
      <c r="C399" s="1" t="s">
        <v>2057</v>
      </c>
      <c r="D399" s="1" t="s">
        <v>2058</v>
      </c>
      <c r="E399" s="1">
        <v>4799.0</v>
      </c>
      <c r="F399" s="1" t="s">
        <v>382</v>
      </c>
      <c r="G399" s="1" t="s">
        <v>474</v>
      </c>
      <c r="H399" s="1" t="s">
        <v>475</v>
      </c>
      <c r="I399" s="1"/>
      <c r="J399" s="1"/>
      <c r="K399" s="1" t="s">
        <v>23</v>
      </c>
      <c r="L399" s="1" t="s">
        <v>2059</v>
      </c>
      <c r="M399" s="1">
        <v>0.0</v>
      </c>
      <c r="N399" s="1">
        <v>1.0</v>
      </c>
      <c r="O399" s="1" t="s">
        <v>382</v>
      </c>
      <c r="P399" s="1" t="s">
        <v>25</v>
      </c>
      <c r="Q399" s="2" t="str">
        <f t="shared" si="1"/>
        <v>H030852</v>
      </c>
    </row>
    <row r="400">
      <c r="A400" s="1" t="s">
        <v>2060</v>
      </c>
      <c r="B400" s="1" t="s">
        <v>2061</v>
      </c>
      <c r="C400" s="1" t="s">
        <v>2062</v>
      </c>
      <c r="D400" s="1" t="s">
        <v>2063</v>
      </c>
      <c r="E400" s="1">
        <v>5670.0</v>
      </c>
      <c r="F400" s="1" t="s">
        <v>382</v>
      </c>
      <c r="G400" s="1" t="s">
        <v>474</v>
      </c>
      <c r="H400" s="1" t="s">
        <v>475</v>
      </c>
      <c r="I400" s="1"/>
      <c r="J400" s="1"/>
      <c r="K400" s="1" t="s">
        <v>23</v>
      </c>
      <c r="L400" s="1" t="s">
        <v>2064</v>
      </c>
      <c r="M400" s="1">
        <v>0.0</v>
      </c>
      <c r="N400" s="1">
        <v>1.0</v>
      </c>
      <c r="O400" s="1" t="s">
        <v>382</v>
      </c>
      <c r="P400" s="1" t="s">
        <v>25</v>
      </c>
      <c r="Q400" s="2" t="str">
        <f t="shared" si="1"/>
        <v>H030852</v>
      </c>
    </row>
    <row r="401">
      <c r="A401" s="1" t="s">
        <v>2065</v>
      </c>
      <c r="B401" s="1" t="s">
        <v>2066</v>
      </c>
      <c r="C401" s="1" t="s">
        <v>2067</v>
      </c>
      <c r="D401" s="1" t="s">
        <v>2068</v>
      </c>
      <c r="E401" s="1">
        <v>4315.0</v>
      </c>
      <c r="F401" s="1" t="s">
        <v>382</v>
      </c>
      <c r="G401" s="1" t="s">
        <v>474</v>
      </c>
      <c r="H401" s="1" t="s">
        <v>475</v>
      </c>
      <c r="I401" s="1"/>
      <c r="J401" s="1"/>
      <c r="K401" s="1" t="s">
        <v>23</v>
      </c>
      <c r="L401" s="1" t="s">
        <v>2069</v>
      </c>
      <c r="M401" s="1">
        <v>0.0</v>
      </c>
      <c r="N401" s="1">
        <v>1.0</v>
      </c>
      <c r="O401" s="1" t="s">
        <v>382</v>
      </c>
      <c r="P401" s="1" t="s">
        <v>25</v>
      </c>
      <c r="Q401" s="2" t="str">
        <f t="shared" si="1"/>
        <v>H030852</v>
      </c>
    </row>
    <row r="402">
      <c r="A402" s="1" t="s">
        <v>2070</v>
      </c>
      <c r="B402" s="1" t="s">
        <v>2071</v>
      </c>
      <c r="C402" s="1" t="s">
        <v>2072</v>
      </c>
      <c r="D402" s="1" t="s">
        <v>2073</v>
      </c>
      <c r="E402" s="1">
        <v>3290.0</v>
      </c>
      <c r="F402" s="1" t="s">
        <v>288</v>
      </c>
      <c r="G402" s="1" t="s">
        <v>304</v>
      </c>
      <c r="H402" s="1" t="s">
        <v>272</v>
      </c>
      <c r="I402" s="1"/>
      <c r="J402" s="1"/>
      <c r="K402" s="1" t="s">
        <v>23</v>
      </c>
      <c r="L402" s="1" t="s">
        <v>2074</v>
      </c>
      <c r="M402" s="1">
        <v>0.0</v>
      </c>
      <c r="N402" s="1">
        <v>1.0</v>
      </c>
      <c r="O402" s="1" t="s">
        <v>288</v>
      </c>
      <c r="P402" s="1" t="s">
        <v>25</v>
      </c>
      <c r="Q402" s="2" t="str">
        <f t="shared" si="1"/>
        <v>H019196</v>
      </c>
    </row>
    <row r="403">
      <c r="A403" s="1" t="s">
        <v>2075</v>
      </c>
      <c r="B403" s="1" t="s">
        <v>2076</v>
      </c>
      <c r="C403" s="1" t="s">
        <v>2077</v>
      </c>
      <c r="D403" s="1" t="s">
        <v>2078</v>
      </c>
      <c r="E403" s="1">
        <v>4402.0</v>
      </c>
      <c r="F403" s="1" t="s">
        <v>288</v>
      </c>
      <c r="G403" s="1" t="s">
        <v>304</v>
      </c>
      <c r="H403" s="1" t="s">
        <v>272</v>
      </c>
      <c r="I403" s="1"/>
      <c r="J403" s="1"/>
      <c r="K403" s="1" t="s">
        <v>23</v>
      </c>
      <c r="L403" s="1" t="s">
        <v>2079</v>
      </c>
      <c r="M403" s="1">
        <v>0.0</v>
      </c>
      <c r="N403" s="1">
        <v>1.0</v>
      </c>
      <c r="O403" s="1" t="s">
        <v>288</v>
      </c>
      <c r="P403" s="1" t="s">
        <v>25</v>
      </c>
      <c r="Q403" s="2" t="str">
        <f t="shared" si="1"/>
        <v>H019196</v>
      </c>
    </row>
    <row r="404">
      <c r="A404" s="1" t="s">
        <v>2080</v>
      </c>
      <c r="B404" s="1" t="s">
        <v>2081</v>
      </c>
      <c r="C404" s="1" t="s">
        <v>2082</v>
      </c>
      <c r="D404" s="1" t="s">
        <v>2083</v>
      </c>
      <c r="E404" s="1">
        <v>3973.0</v>
      </c>
      <c r="F404" s="1" t="s">
        <v>288</v>
      </c>
      <c r="G404" s="1" t="s">
        <v>304</v>
      </c>
      <c r="H404" s="1" t="s">
        <v>272</v>
      </c>
      <c r="I404" s="1"/>
      <c r="J404" s="1"/>
      <c r="K404" s="1" t="s">
        <v>23</v>
      </c>
      <c r="L404" s="1" t="s">
        <v>2084</v>
      </c>
      <c r="M404" s="1">
        <v>0.0</v>
      </c>
      <c r="N404" s="1">
        <v>1.0</v>
      </c>
      <c r="O404" s="1" t="s">
        <v>288</v>
      </c>
      <c r="P404" s="1" t="s">
        <v>25</v>
      </c>
      <c r="Q404" s="2" t="str">
        <f t="shared" si="1"/>
        <v>H019196</v>
      </c>
    </row>
    <row r="405">
      <c r="A405" s="1" t="s">
        <v>2085</v>
      </c>
      <c r="B405" s="1" t="s">
        <v>2086</v>
      </c>
      <c r="C405" s="1" t="s">
        <v>2087</v>
      </c>
      <c r="D405" s="1" t="s">
        <v>2088</v>
      </c>
      <c r="E405" s="1">
        <v>2632.0</v>
      </c>
      <c r="F405" s="1" t="s">
        <v>288</v>
      </c>
      <c r="G405" s="1" t="s">
        <v>304</v>
      </c>
      <c r="H405" s="1" t="s">
        <v>272</v>
      </c>
      <c r="I405" s="1" t="s">
        <v>1051</v>
      </c>
      <c r="J405" s="1"/>
      <c r="K405" s="1" t="s">
        <v>23</v>
      </c>
      <c r="L405" s="1" t="s">
        <v>2089</v>
      </c>
      <c r="M405" s="1">
        <v>0.0</v>
      </c>
      <c r="N405" s="1">
        <v>1.0</v>
      </c>
      <c r="O405" s="1" t="s">
        <v>288</v>
      </c>
      <c r="P405" s="1" t="s">
        <v>488</v>
      </c>
      <c r="Q405" s="2" t="str">
        <f t="shared" si="1"/>
        <v>H019196</v>
      </c>
    </row>
    <row r="406">
      <c r="A406" s="1" t="s">
        <v>2090</v>
      </c>
      <c r="B406" s="1" t="s">
        <v>2091</v>
      </c>
      <c r="C406" s="1" t="s">
        <v>2092</v>
      </c>
      <c r="D406" s="1" t="s">
        <v>2093</v>
      </c>
      <c r="E406" s="1">
        <v>4742.0</v>
      </c>
      <c r="F406" s="1" t="s">
        <v>288</v>
      </c>
      <c r="G406" s="1" t="s">
        <v>304</v>
      </c>
      <c r="H406" s="1" t="s">
        <v>272</v>
      </c>
      <c r="I406" s="1"/>
      <c r="J406" s="1"/>
      <c r="K406" s="1" t="s">
        <v>23</v>
      </c>
      <c r="L406" s="1" t="s">
        <v>2094</v>
      </c>
      <c r="M406" s="1">
        <v>0.0</v>
      </c>
      <c r="N406" s="1">
        <v>1.0</v>
      </c>
      <c r="O406" s="1" t="s">
        <v>288</v>
      </c>
      <c r="P406" s="1" t="s">
        <v>25</v>
      </c>
      <c r="Q406" s="2" t="str">
        <f t="shared" si="1"/>
        <v>H019196</v>
      </c>
    </row>
    <row r="407">
      <c r="A407" s="1" t="s">
        <v>2095</v>
      </c>
      <c r="B407" s="1" t="s">
        <v>2096</v>
      </c>
      <c r="C407" s="1" t="s">
        <v>2097</v>
      </c>
      <c r="D407" s="1" t="s">
        <v>2098</v>
      </c>
      <c r="E407" s="1">
        <v>2450.0</v>
      </c>
      <c r="F407" s="1" t="s">
        <v>315</v>
      </c>
      <c r="G407" s="1">
        <v>555127.0</v>
      </c>
      <c r="H407" s="1" t="s">
        <v>35</v>
      </c>
      <c r="I407" s="1"/>
      <c r="J407" s="1"/>
      <c r="K407" s="1" t="s">
        <v>23</v>
      </c>
      <c r="L407" s="1" t="s">
        <v>2099</v>
      </c>
      <c r="M407" s="1">
        <v>0.0</v>
      </c>
      <c r="N407" s="1">
        <v>1.0</v>
      </c>
      <c r="O407" s="1" t="s">
        <v>315</v>
      </c>
      <c r="P407" s="1" t="s">
        <v>25</v>
      </c>
      <c r="Q407" s="2" t="str">
        <f t="shared" si="1"/>
        <v>H019589</v>
      </c>
    </row>
    <row r="408">
      <c r="A408" s="1" t="s">
        <v>2100</v>
      </c>
      <c r="B408" s="1" t="s">
        <v>2101</v>
      </c>
      <c r="C408" s="1" t="s">
        <v>2102</v>
      </c>
      <c r="D408" s="1" t="s">
        <v>2103</v>
      </c>
      <c r="E408" s="1">
        <v>2298.0</v>
      </c>
      <c r="F408" s="1" t="s">
        <v>315</v>
      </c>
      <c r="G408" s="1">
        <v>555127.0</v>
      </c>
      <c r="H408" s="1" t="s">
        <v>35</v>
      </c>
      <c r="I408" s="1"/>
      <c r="J408" s="1"/>
      <c r="K408" s="1" t="s">
        <v>23</v>
      </c>
      <c r="L408" s="1" t="s">
        <v>2104</v>
      </c>
      <c r="M408" s="1">
        <v>0.0</v>
      </c>
      <c r="N408" s="1">
        <v>1.0</v>
      </c>
      <c r="O408" s="1" t="s">
        <v>315</v>
      </c>
      <c r="P408" s="1" t="s">
        <v>25</v>
      </c>
      <c r="Q408" s="2" t="str">
        <f t="shared" si="1"/>
        <v>H019589</v>
      </c>
    </row>
    <row r="409">
      <c r="A409" s="1" t="s">
        <v>2105</v>
      </c>
      <c r="B409" s="1" t="s">
        <v>2106</v>
      </c>
      <c r="C409" s="1" t="s">
        <v>2107</v>
      </c>
      <c r="D409" s="1" t="s">
        <v>2108</v>
      </c>
      <c r="E409" s="1">
        <v>3807.0</v>
      </c>
      <c r="F409" s="1" t="s">
        <v>315</v>
      </c>
      <c r="G409" s="1">
        <v>555127.0</v>
      </c>
      <c r="H409" s="1" t="s">
        <v>35</v>
      </c>
      <c r="I409" s="1"/>
      <c r="J409" s="1"/>
      <c r="K409" s="1" t="s">
        <v>23</v>
      </c>
      <c r="L409" s="1" t="s">
        <v>2109</v>
      </c>
      <c r="M409" s="1">
        <v>0.0</v>
      </c>
      <c r="N409" s="1">
        <v>1.0</v>
      </c>
      <c r="O409" s="1" t="s">
        <v>315</v>
      </c>
      <c r="P409" s="1" t="s">
        <v>25</v>
      </c>
      <c r="Q409" s="2" t="str">
        <f t="shared" si="1"/>
        <v>H019589</v>
      </c>
    </row>
    <row r="410">
      <c r="A410" s="1" t="s">
        <v>2110</v>
      </c>
      <c r="B410" s="1" t="s">
        <v>2111</v>
      </c>
      <c r="C410" s="1" t="s">
        <v>2112</v>
      </c>
      <c r="D410" s="1" t="s">
        <v>2113</v>
      </c>
      <c r="E410" s="1">
        <v>2352.0</v>
      </c>
      <c r="F410" s="1" t="s">
        <v>315</v>
      </c>
      <c r="G410" s="1">
        <v>555127.0</v>
      </c>
      <c r="H410" s="1" t="s">
        <v>35</v>
      </c>
      <c r="I410" s="1"/>
      <c r="J410" s="1"/>
      <c r="K410" s="1" t="s">
        <v>23</v>
      </c>
      <c r="L410" s="1" t="s">
        <v>2114</v>
      </c>
      <c r="M410" s="1">
        <v>0.0</v>
      </c>
      <c r="N410" s="1">
        <v>1.0</v>
      </c>
      <c r="O410" s="1" t="s">
        <v>315</v>
      </c>
      <c r="P410" s="1" t="s">
        <v>25</v>
      </c>
      <c r="Q410" s="2" t="str">
        <f t="shared" si="1"/>
        <v>H019589</v>
      </c>
    </row>
    <row r="411">
      <c r="A411" s="1" t="s">
        <v>2115</v>
      </c>
      <c r="B411" s="1" t="s">
        <v>2116</v>
      </c>
      <c r="C411" s="1" t="s">
        <v>2117</v>
      </c>
      <c r="D411" s="1" t="s">
        <v>2118</v>
      </c>
      <c r="E411" s="1">
        <v>3003.0</v>
      </c>
      <c r="F411" s="1" t="s">
        <v>498</v>
      </c>
      <c r="G411" s="1" t="s">
        <v>132</v>
      </c>
      <c r="H411" s="1" t="s">
        <v>133</v>
      </c>
      <c r="I411" s="1"/>
      <c r="J411" s="1"/>
      <c r="K411" s="1" t="s">
        <v>23</v>
      </c>
      <c r="L411" s="1" t="s">
        <v>2119</v>
      </c>
      <c r="M411" s="1">
        <v>2.0</v>
      </c>
      <c r="N411" s="1">
        <v>1.0</v>
      </c>
      <c r="O411" s="1" t="s">
        <v>498</v>
      </c>
      <c r="P411" s="1" t="s">
        <v>25</v>
      </c>
      <c r="Q411" s="2" t="str">
        <f t="shared" si="1"/>
        <v>H030535</v>
      </c>
    </row>
    <row r="412">
      <c r="A412" s="1" t="s">
        <v>2120</v>
      </c>
      <c r="B412" s="1" t="s">
        <v>2121</v>
      </c>
      <c r="C412" s="1" t="s">
        <v>2122</v>
      </c>
      <c r="D412" s="1" t="s">
        <v>2123</v>
      </c>
      <c r="E412" s="1">
        <v>3167.0</v>
      </c>
      <c r="F412" s="1" t="s">
        <v>498</v>
      </c>
      <c r="G412" s="1">
        <v>896791.0</v>
      </c>
      <c r="H412" s="1" t="s">
        <v>2124</v>
      </c>
      <c r="I412" s="1" t="s">
        <v>1112</v>
      </c>
      <c r="J412" s="1"/>
      <c r="K412" s="1" t="s">
        <v>23</v>
      </c>
      <c r="L412" s="1" t="s">
        <v>2125</v>
      </c>
      <c r="M412" s="1">
        <v>2.0</v>
      </c>
      <c r="N412" s="1">
        <v>1.0</v>
      </c>
      <c r="O412" s="1" t="s">
        <v>498</v>
      </c>
      <c r="P412" s="1" t="s">
        <v>25</v>
      </c>
      <c r="Q412" s="2" t="str">
        <f t="shared" si="1"/>
        <v>H030535</v>
      </c>
    </row>
    <row r="413">
      <c r="A413" s="1" t="s">
        <v>2126</v>
      </c>
      <c r="B413" s="1" t="s">
        <v>2127</v>
      </c>
      <c r="C413" s="1" t="s">
        <v>2128</v>
      </c>
      <c r="D413" s="1" t="s">
        <v>2129</v>
      </c>
      <c r="E413" s="1">
        <v>4334.0</v>
      </c>
      <c r="F413" s="1" t="s">
        <v>498</v>
      </c>
      <c r="G413" s="1" t="s">
        <v>132</v>
      </c>
      <c r="H413" s="1" t="s">
        <v>133</v>
      </c>
      <c r="I413" s="1"/>
      <c r="J413" s="1"/>
      <c r="K413" s="1" t="s">
        <v>23</v>
      </c>
      <c r="L413" s="1" t="s">
        <v>2130</v>
      </c>
      <c r="M413" s="1">
        <v>2.0</v>
      </c>
      <c r="N413" s="1">
        <v>1.0</v>
      </c>
      <c r="O413" s="1" t="s">
        <v>498</v>
      </c>
      <c r="P413" s="1" t="s">
        <v>25</v>
      </c>
      <c r="Q413" s="2" t="str">
        <f t="shared" si="1"/>
        <v>H030535</v>
      </c>
    </row>
    <row r="414">
      <c r="A414" s="1" t="s">
        <v>2131</v>
      </c>
      <c r="B414" s="1" t="s">
        <v>2132</v>
      </c>
      <c r="C414" s="1" t="s">
        <v>2133</v>
      </c>
      <c r="D414" s="1" t="s">
        <v>2134</v>
      </c>
      <c r="E414" s="1">
        <v>3127.0</v>
      </c>
      <c r="F414" s="1" t="s">
        <v>498</v>
      </c>
      <c r="G414" s="1" t="s">
        <v>132</v>
      </c>
      <c r="H414" s="1" t="s">
        <v>133</v>
      </c>
      <c r="I414" s="1"/>
      <c r="J414" s="1"/>
      <c r="K414" s="1" t="s">
        <v>23</v>
      </c>
      <c r="L414" s="1" t="s">
        <v>2135</v>
      </c>
      <c r="M414" s="1">
        <v>2.0</v>
      </c>
      <c r="N414" s="1">
        <v>1.0</v>
      </c>
      <c r="O414" s="1" t="s">
        <v>498</v>
      </c>
      <c r="P414" s="1" t="s">
        <v>25</v>
      </c>
      <c r="Q414" s="2" t="str">
        <f t="shared" si="1"/>
        <v>H030535</v>
      </c>
    </row>
    <row r="415">
      <c r="A415" s="1" t="s">
        <v>2136</v>
      </c>
      <c r="B415" s="1" t="s">
        <v>2137</v>
      </c>
      <c r="C415" s="1" t="s">
        <v>2138</v>
      </c>
      <c r="D415" s="1" t="s">
        <v>2139</v>
      </c>
      <c r="E415" s="1">
        <v>29.0</v>
      </c>
      <c r="F415" s="1" t="s">
        <v>398</v>
      </c>
      <c r="G415" s="1" t="s">
        <v>179</v>
      </c>
      <c r="H415" s="1" t="s">
        <v>180</v>
      </c>
      <c r="I415" s="1" t="s">
        <v>1112</v>
      </c>
      <c r="J415" s="1"/>
      <c r="K415" s="1" t="s">
        <v>23</v>
      </c>
      <c r="L415" s="1" t="s">
        <v>2140</v>
      </c>
      <c r="M415" s="1">
        <v>0.0</v>
      </c>
      <c r="N415" s="1">
        <v>0.0</v>
      </c>
      <c r="O415" s="1" t="s">
        <v>398</v>
      </c>
      <c r="P415" s="1" t="s">
        <v>25</v>
      </c>
      <c r="Q415" s="2" t="str">
        <f t="shared" si="1"/>
        <v>H030048</v>
      </c>
    </row>
    <row r="416">
      <c r="A416" s="1" t="s">
        <v>2141</v>
      </c>
      <c r="B416" s="1" t="s">
        <v>2142</v>
      </c>
      <c r="C416" s="1" t="s">
        <v>2143</v>
      </c>
      <c r="D416" s="1" t="s">
        <v>2144</v>
      </c>
      <c r="E416" s="1">
        <v>5012.0</v>
      </c>
      <c r="F416" s="1" t="s">
        <v>398</v>
      </c>
      <c r="G416" s="1" t="s">
        <v>155</v>
      </c>
      <c r="H416" s="1" t="s">
        <v>156</v>
      </c>
      <c r="I416" s="1"/>
      <c r="J416" s="1"/>
      <c r="K416" s="1" t="s">
        <v>23</v>
      </c>
      <c r="L416" s="1" t="s">
        <v>2145</v>
      </c>
      <c r="M416" s="1">
        <v>0.0</v>
      </c>
      <c r="N416" s="1">
        <v>1.0</v>
      </c>
      <c r="O416" s="1" t="s">
        <v>398</v>
      </c>
      <c r="P416" s="1" t="s">
        <v>25</v>
      </c>
      <c r="Q416" s="2" t="str">
        <f t="shared" si="1"/>
        <v>H030048</v>
      </c>
    </row>
    <row r="417">
      <c r="A417" s="1" t="s">
        <v>2146</v>
      </c>
      <c r="B417" s="1" t="s">
        <v>2147</v>
      </c>
      <c r="C417" s="1" t="s">
        <v>2148</v>
      </c>
      <c r="D417" s="1" t="s">
        <v>2149</v>
      </c>
      <c r="E417" s="1">
        <v>2883.0</v>
      </c>
      <c r="F417" s="1" t="s">
        <v>398</v>
      </c>
      <c r="G417" s="1" t="s">
        <v>155</v>
      </c>
      <c r="H417" s="1" t="s">
        <v>156</v>
      </c>
      <c r="I417" s="1"/>
      <c r="J417" s="1"/>
      <c r="K417" s="1" t="s">
        <v>23</v>
      </c>
      <c r="L417" s="1" t="s">
        <v>2150</v>
      </c>
      <c r="M417" s="1">
        <v>0.0</v>
      </c>
      <c r="N417" s="1">
        <v>1.0</v>
      </c>
      <c r="O417" s="1" t="s">
        <v>398</v>
      </c>
      <c r="P417" s="1" t="s">
        <v>25</v>
      </c>
      <c r="Q417" s="2" t="str">
        <f t="shared" si="1"/>
        <v>H030048</v>
      </c>
    </row>
    <row r="418">
      <c r="A418" s="1" t="s">
        <v>2151</v>
      </c>
      <c r="B418" s="1" t="s">
        <v>2152</v>
      </c>
      <c r="C418" s="1" t="s">
        <v>2153</v>
      </c>
      <c r="D418" s="1" t="s">
        <v>2154</v>
      </c>
      <c r="E418" s="1">
        <v>2804.0</v>
      </c>
      <c r="F418" s="1" t="s">
        <v>398</v>
      </c>
      <c r="G418" s="1" t="s">
        <v>232</v>
      </c>
      <c r="H418" s="1" t="s">
        <v>233</v>
      </c>
      <c r="I418" s="1"/>
      <c r="J418" s="1"/>
      <c r="K418" s="1" t="s">
        <v>23</v>
      </c>
      <c r="L418" s="1" t="s">
        <v>2155</v>
      </c>
      <c r="M418" s="1">
        <v>0.0</v>
      </c>
      <c r="N418" s="1">
        <v>1.0</v>
      </c>
      <c r="O418" s="1" t="s">
        <v>398</v>
      </c>
      <c r="P418" s="1" t="s">
        <v>25</v>
      </c>
      <c r="Q418" s="2" t="str">
        <f t="shared" si="1"/>
        <v>H030048</v>
      </c>
    </row>
    <row r="419">
      <c r="A419" s="1" t="s">
        <v>2156</v>
      </c>
      <c r="B419" s="1" t="s">
        <v>2157</v>
      </c>
      <c r="C419" s="1" t="s">
        <v>2158</v>
      </c>
      <c r="D419" s="1" t="s">
        <v>2159</v>
      </c>
      <c r="E419" s="1">
        <v>2604.0</v>
      </c>
      <c r="F419" s="1" t="s">
        <v>398</v>
      </c>
      <c r="G419" s="1" t="s">
        <v>232</v>
      </c>
      <c r="H419" s="1" t="s">
        <v>233</v>
      </c>
      <c r="I419" s="1"/>
      <c r="J419" s="1"/>
      <c r="K419" s="1" t="s">
        <v>23</v>
      </c>
      <c r="L419" s="1" t="s">
        <v>2160</v>
      </c>
      <c r="M419" s="1">
        <v>0.0</v>
      </c>
      <c r="N419" s="1">
        <v>1.0</v>
      </c>
      <c r="O419" s="1" t="s">
        <v>398</v>
      </c>
      <c r="P419" s="1" t="s">
        <v>25</v>
      </c>
      <c r="Q419" s="2" t="str">
        <f t="shared" si="1"/>
        <v>H030048</v>
      </c>
    </row>
    <row r="420">
      <c r="A420" s="1" t="s">
        <v>2161</v>
      </c>
      <c r="B420" s="1" t="s">
        <v>2162</v>
      </c>
      <c r="C420" s="1" t="s">
        <v>2163</v>
      </c>
      <c r="D420" s="1" t="s">
        <v>2164</v>
      </c>
      <c r="E420" s="1">
        <v>4652.0</v>
      </c>
      <c r="F420" s="1" t="s">
        <v>398</v>
      </c>
      <c r="G420" s="1" t="s">
        <v>232</v>
      </c>
      <c r="H420" s="1" t="s">
        <v>233</v>
      </c>
      <c r="I420" s="1"/>
      <c r="J420" s="1"/>
      <c r="K420" s="1" t="s">
        <v>23</v>
      </c>
      <c r="L420" s="1" t="s">
        <v>2165</v>
      </c>
      <c r="M420" s="1">
        <v>0.0</v>
      </c>
      <c r="N420" s="1">
        <v>1.0</v>
      </c>
      <c r="O420" s="1" t="s">
        <v>398</v>
      </c>
      <c r="P420" s="1" t="s">
        <v>25</v>
      </c>
      <c r="Q420" s="2" t="str">
        <f t="shared" si="1"/>
        <v>H030048</v>
      </c>
    </row>
    <row r="421">
      <c r="A421" s="1" t="s">
        <v>2166</v>
      </c>
      <c r="B421" s="1" t="s">
        <v>2167</v>
      </c>
      <c r="C421" s="1" t="s">
        <v>2168</v>
      </c>
      <c r="D421" s="1" t="s">
        <v>2169</v>
      </c>
      <c r="E421" s="1">
        <v>5849.0</v>
      </c>
      <c r="F421" s="1" t="s">
        <v>498</v>
      </c>
      <c r="G421" s="1" t="s">
        <v>167</v>
      </c>
      <c r="H421" s="1" t="s">
        <v>168</v>
      </c>
      <c r="I421" s="1"/>
      <c r="J421" s="1"/>
      <c r="K421" s="1" t="s">
        <v>23</v>
      </c>
      <c r="L421" s="1" t="s">
        <v>2170</v>
      </c>
      <c r="M421" s="1">
        <v>2.0</v>
      </c>
      <c r="N421" s="1">
        <v>1.0</v>
      </c>
      <c r="O421" s="1" t="s">
        <v>498</v>
      </c>
      <c r="P421" s="1" t="s">
        <v>25</v>
      </c>
      <c r="Q421" s="2" t="str">
        <f t="shared" si="1"/>
        <v>H030332</v>
      </c>
    </row>
    <row r="422">
      <c r="A422" s="1" t="s">
        <v>2171</v>
      </c>
      <c r="B422" s="1" t="s">
        <v>2172</v>
      </c>
      <c r="C422" s="1" t="s">
        <v>2173</v>
      </c>
      <c r="D422" s="1" t="s">
        <v>2174</v>
      </c>
      <c r="E422" s="1">
        <v>2797.0</v>
      </c>
      <c r="F422" s="1" t="s">
        <v>498</v>
      </c>
      <c r="G422" s="1" t="s">
        <v>167</v>
      </c>
      <c r="H422" s="1" t="s">
        <v>168</v>
      </c>
      <c r="I422" s="1"/>
      <c r="J422" s="1"/>
      <c r="K422" s="1" t="s">
        <v>23</v>
      </c>
      <c r="L422" s="1" t="s">
        <v>2175</v>
      </c>
      <c r="M422" s="1">
        <v>2.0</v>
      </c>
      <c r="N422" s="1">
        <v>1.0</v>
      </c>
      <c r="O422" s="1" t="s">
        <v>498</v>
      </c>
      <c r="P422" s="1" t="s">
        <v>25</v>
      </c>
      <c r="Q422" s="2" t="str">
        <f t="shared" si="1"/>
        <v>H030332</v>
      </c>
    </row>
    <row r="423">
      <c r="A423" s="1" t="s">
        <v>2176</v>
      </c>
      <c r="B423" s="1" t="s">
        <v>2177</v>
      </c>
      <c r="C423" s="1" t="s">
        <v>2178</v>
      </c>
      <c r="D423" s="1" t="s">
        <v>2179</v>
      </c>
      <c r="E423" s="1">
        <v>2689.0</v>
      </c>
      <c r="F423" s="1" t="s">
        <v>498</v>
      </c>
      <c r="G423" s="1" t="s">
        <v>167</v>
      </c>
      <c r="H423" s="1" t="s">
        <v>168</v>
      </c>
      <c r="I423" s="1"/>
      <c r="J423" s="1"/>
      <c r="K423" s="1" t="s">
        <v>23</v>
      </c>
      <c r="L423" s="1" t="s">
        <v>2180</v>
      </c>
      <c r="M423" s="1">
        <v>2.0</v>
      </c>
      <c r="N423" s="1">
        <v>1.0</v>
      </c>
      <c r="O423" s="1" t="s">
        <v>498</v>
      </c>
      <c r="P423" s="1" t="s">
        <v>25</v>
      </c>
      <c r="Q423" s="2" t="str">
        <f t="shared" si="1"/>
        <v>H030332</v>
      </c>
    </row>
    <row r="424">
      <c r="A424" s="1" t="s">
        <v>2181</v>
      </c>
      <c r="B424" s="1" t="s">
        <v>2182</v>
      </c>
      <c r="C424" s="1" t="s">
        <v>2183</v>
      </c>
      <c r="D424" s="1" t="s">
        <v>2184</v>
      </c>
      <c r="E424" s="1">
        <v>4409.0</v>
      </c>
      <c r="F424" s="1" t="s">
        <v>498</v>
      </c>
      <c r="G424" s="1" t="s">
        <v>167</v>
      </c>
      <c r="H424" s="1" t="s">
        <v>168</v>
      </c>
      <c r="I424" s="1"/>
      <c r="J424" s="1"/>
      <c r="K424" s="1" t="s">
        <v>23</v>
      </c>
      <c r="L424" s="1" t="s">
        <v>2185</v>
      </c>
      <c r="M424" s="1">
        <v>2.0</v>
      </c>
      <c r="N424" s="1">
        <v>1.0</v>
      </c>
      <c r="O424" s="1" t="s">
        <v>498</v>
      </c>
      <c r="P424" s="1" t="s">
        <v>25</v>
      </c>
      <c r="Q424" s="2" t="str">
        <f t="shared" si="1"/>
        <v>H030332</v>
      </c>
    </row>
    <row r="425">
      <c r="A425" s="1" t="s">
        <v>2186</v>
      </c>
      <c r="B425" s="1" t="s">
        <v>2187</v>
      </c>
      <c r="C425" s="1" t="s">
        <v>2188</v>
      </c>
      <c r="D425" s="1" t="s">
        <v>2189</v>
      </c>
      <c r="E425" s="1">
        <v>4083.0</v>
      </c>
      <c r="F425" s="1" t="s">
        <v>498</v>
      </c>
      <c r="G425" s="1" t="s">
        <v>220</v>
      </c>
      <c r="H425" s="1" t="s">
        <v>221</v>
      </c>
      <c r="I425" s="1"/>
      <c r="J425" s="1"/>
      <c r="K425" s="1" t="s">
        <v>23</v>
      </c>
      <c r="L425" s="1" t="s">
        <v>2190</v>
      </c>
      <c r="M425" s="1">
        <v>2.0</v>
      </c>
      <c r="N425" s="1">
        <v>1.0</v>
      </c>
      <c r="O425" s="1" t="s">
        <v>498</v>
      </c>
      <c r="P425" s="1" t="s">
        <v>25</v>
      </c>
      <c r="Q425" s="2" t="str">
        <f t="shared" si="1"/>
        <v>H030332</v>
      </c>
    </row>
    <row r="426">
      <c r="A426" s="1" t="s">
        <v>2191</v>
      </c>
      <c r="B426" s="1" t="s">
        <v>2192</v>
      </c>
      <c r="C426" s="1" t="s">
        <v>2193</v>
      </c>
      <c r="D426" s="1" t="s">
        <v>2194</v>
      </c>
      <c r="E426" s="1">
        <v>3579.0</v>
      </c>
      <c r="F426" s="1" t="s">
        <v>498</v>
      </c>
      <c r="G426" s="1" t="s">
        <v>220</v>
      </c>
      <c r="H426" s="1" t="s">
        <v>221</v>
      </c>
      <c r="I426" s="1"/>
      <c r="J426" s="1"/>
      <c r="K426" s="1" t="s">
        <v>23</v>
      </c>
      <c r="L426" s="1" t="s">
        <v>2195</v>
      </c>
      <c r="M426" s="1">
        <v>2.0</v>
      </c>
      <c r="N426" s="1">
        <v>1.0</v>
      </c>
      <c r="O426" s="1" t="s">
        <v>498</v>
      </c>
      <c r="P426" s="1" t="s">
        <v>25</v>
      </c>
      <c r="Q426" s="2" t="str">
        <f t="shared" si="1"/>
        <v>H030332</v>
      </c>
    </row>
    <row r="427">
      <c r="A427" s="1" t="s">
        <v>2196</v>
      </c>
      <c r="B427" s="1" t="s">
        <v>2197</v>
      </c>
      <c r="C427" s="1" t="s">
        <v>2198</v>
      </c>
      <c r="D427" s="1" t="s">
        <v>2199</v>
      </c>
      <c r="E427" s="1">
        <v>4888.0</v>
      </c>
      <c r="F427" s="1" t="s">
        <v>398</v>
      </c>
      <c r="G427" s="1" t="s">
        <v>179</v>
      </c>
      <c r="H427" s="1" t="s">
        <v>180</v>
      </c>
      <c r="I427" s="1" t="s">
        <v>1112</v>
      </c>
      <c r="J427" s="1"/>
      <c r="K427" s="1" t="s">
        <v>23</v>
      </c>
      <c r="L427" s="1" t="s">
        <v>2200</v>
      </c>
      <c r="M427" s="1">
        <v>3.0</v>
      </c>
      <c r="N427" s="1">
        <v>1.0</v>
      </c>
      <c r="O427" s="1" t="s">
        <v>398</v>
      </c>
      <c r="P427" s="1" t="s">
        <v>25</v>
      </c>
      <c r="Q427" s="2" t="str">
        <f t="shared" si="1"/>
        <v>H030647</v>
      </c>
    </row>
    <row r="428">
      <c r="A428" s="1" t="s">
        <v>2201</v>
      </c>
      <c r="B428" s="1" t="s">
        <v>2202</v>
      </c>
      <c r="C428" s="1" t="s">
        <v>2203</v>
      </c>
      <c r="D428" s="1" t="s">
        <v>2204</v>
      </c>
      <c r="E428" s="1">
        <v>7253.0</v>
      </c>
      <c r="F428" s="1" t="s">
        <v>398</v>
      </c>
      <c r="G428" s="1" t="s">
        <v>179</v>
      </c>
      <c r="H428" s="1" t="s">
        <v>180</v>
      </c>
      <c r="I428" s="1"/>
      <c r="J428" s="1"/>
      <c r="K428" s="1" t="s">
        <v>23</v>
      </c>
      <c r="L428" s="1" t="s">
        <v>2205</v>
      </c>
      <c r="M428" s="1">
        <v>3.0</v>
      </c>
      <c r="N428" s="1">
        <v>1.0</v>
      </c>
      <c r="O428" s="1" t="s">
        <v>398</v>
      </c>
      <c r="P428" s="1" t="s">
        <v>25</v>
      </c>
      <c r="Q428" s="2" t="str">
        <f t="shared" si="1"/>
        <v>H030647</v>
      </c>
    </row>
    <row r="429">
      <c r="A429" s="1" t="s">
        <v>2206</v>
      </c>
      <c r="B429" s="1" t="s">
        <v>2207</v>
      </c>
      <c r="C429" s="1" t="s">
        <v>2208</v>
      </c>
      <c r="D429" s="1" t="s">
        <v>2209</v>
      </c>
      <c r="E429" s="1">
        <v>6105.0</v>
      </c>
      <c r="F429" s="1" t="s">
        <v>398</v>
      </c>
      <c r="G429" s="1" t="s">
        <v>179</v>
      </c>
      <c r="H429" s="1" t="s">
        <v>180</v>
      </c>
      <c r="I429" s="1"/>
      <c r="J429" s="1"/>
      <c r="K429" s="1" t="s">
        <v>23</v>
      </c>
      <c r="L429" s="1" t="s">
        <v>2210</v>
      </c>
      <c r="M429" s="1">
        <v>3.0</v>
      </c>
      <c r="N429" s="1">
        <v>1.0</v>
      </c>
      <c r="O429" s="1" t="s">
        <v>398</v>
      </c>
      <c r="P429" s="1" t="s">
        <v>25</v>
      </c>
      <c r="Q429" s="2" t="str">
        <f t="shared" si="1"/>
        <v>H030647</v>
      </c>
    </row>
    <row r="430">
      <c r="A430" s="1" t="s">
        <v>2211</v>
      </c>
      <c r="B430" s="1" t="s">
        <v>2212</v>
      </c>
      <c r="C430" s="1" t="s">
        <v>2213</v>
      </c>
      <c r="D430" s="1" t="s">
        <v>2214</v>
      </c>
      <c r="E430" s="1">
        <v>2337.0</v>
      </c>
      <c r="F430" s="1" t="s">
        <v>398</v>
      </c>
      <c r="G430" s="1" t="s">
        <v>179</v>
      </c>
      <c r="H430" s="1" t="s">
        <v>180</v>
      </c>
      <c r="I430" s="1"/>
      <c r="J430" s="1"/>
      <c r="K430" s="1" t="s">
        <v>23</v>
      </c>
      <c r="L430" s="1" t="s">
        <v>2215</v>
      </c>
      <c r="M430" s="1">
        <v>3.0</v>
      </c>
      <c r="N430" s="1">
        <v>1.0</v>
      </c>
      <c r="O430" s="1" t="s">
        <v>398</v>
      </c>
      <c r="P430" s="1" t="s">
        <v>25</v>
      </c>
      <c r="Q430" s="2" t="str">
        <f t="shared" si="1"/>
        <v>H030647</v>
      </c>
    </row>
    <row r="431">
      <c r="A431" s="1" t="s">
        <v>2216</v>
      </c>
      <c r="B431" s="1" t="s">
        <v>2217</v>
      </c>
      <c r="C431" s="1" t="s">
        <v>2218</v>
      </c>
      <c r="D431" s="1" t="s">
        <v>2219</v>
      </c>
      <c r="E431" s="1">
        <v>4624.0</v>
      </c>
      <c r="F431" s="1" t="s">
        <v>398</v>
      </c>
      <c r="G431" s="1" t="s">
        <v>179</v>
      </c>
      <c r="H431" s="1" t="s">
        <v>180</v>
      </c>
      <c r="I431" s="1"/>
      <c r="J431" s="1"/>
      <c r="K431" s="1" t="s">
        <v>23</v>
      </c>
      <c r="L431" s="1" t="s">
        <v>2220</v>
      </c>
      <c r="M431" s="1">
        <v>3.0</v>
      </c>
      <c r="N431" s="1">
        <v>1.0</v>
      </c>
      <c r="O431" s="1" t="s">
        <v>398</v>
      </c>
      <c r="P431" s="1" t="s">
        <v>25</v>
      </c>
      <c r="Q431" s="2" t="str">
        <f t="shared" si="1"/>
        <v>H030647</v>
      </c>
    </row>
    <row r="432">
      <c r="A432" s="1" t="s">
        <v>2221</v>
      </c>
      <c r="B432" s="1" t="s">
        <v>2222</v>
      </c>
      <c r="C432" s="1" t="s">
        <v>2223</v>
      </c>
      <c r="D432" s="1" t="s">
        <v>2224</v>
      </c>
      <c r="E432" s="1">
        <v>3549.0</v>
      </c>
      <c r="F432" s="1" t="s">
        <v>498</v>
      </c>
      <c r="G432" s="1">
        <v>896791.0</v>
      </c>
      <c r="H432" s="1" t="s">
        <v>244</v>
      </c>
      <c r="I432" s="1"/>
      <c r="J432" s="1"/>
      <c r="K432" s="1" t="s">
        <v>23</v>
      </c>
      <c r="L432" s="1" t="s">
        <v>2225</v>
      </c>
      <c r="M432" s="1">
        <v>2.0</v>
      </c>
      <c r="N432" s="1">
        <v>1.0</v>
      </c>
      <c r="O432" s="1" t="s">
        <v>498</v>
      </c>
      <c r="P432" s="1" t="s">
        <v>25</v>
      </c>
      <c r="Q432" s="2" t="str">
        <f t="shared" si="1"/>
        <v>H030535</v>
      </c>
    </row>
    <row r="433">
      <c r="A433" s="1" t="s">
        <v>2226</v>
      </c>
      <c r="B433" s="1" t="s">
        <v>2227</v>
      </c>
      <c r="C433" s="1" t="s">
        <v>2228</v>
      </c>
      <c r="D433" s="1" t="s">
        <v>2229</v>
      </c>
      <c r="E433" s="1">
        <v>4860.0</v>
      </c>
      <c r="F433" s="1" t="s">
        <v>498</v>
      </c>
      <c r="G433" s="1">
        <v>896791.0</v>
      </c>
      <c r="H433" s="1" t="s">
        <v>244</v>
      </c>
      <c r="I433" s="1"/>
      <c r="J433" s="1"/>
      <c r="K433" s="1" t="s">
        <v>23</v>
      </c>
      <c r="L433" s="1" t="s">
        <v>2230</v>
      </c>
      <c r="M433" s="1">
        <v>2.0</v>
      </c>
      <c r="N433" s="1">
        <v>1.0</v>
      </c>
      <c r="O433" s="1" t="s">
        <v>498</v>
      </c>
      <c r="P433" s="1" t="s">
        <v>25</v>
      </c>
      <c r="Q433" s="2" t="str">
        <f t="shared" si="1"/>
        <v>H030535</v>
      </c>
    </row>
    <row r="434">
      <c r="A434" s="1" t="s">
        <v>2231</v>
      </c>
      <c r="B434" s="1" t="s">
        <v>2232</v>
      </c>
      <c r="C434" s="1" t="s">
        <v>2233</v>
      </c>
      <c r="D434" s="1" t="s">
        <v>2234</v>
      </c>
      <c r="E434" s="1">
        <v>5048.0</v>
      </c>
      <c r="F434" s="1" t="s">
        <v>498</v>
      </c>
      <c r="G434" s="1">
        <v>896791.0</v>
      </c>
      <c r="H434" s="1" t="s">
        <v>2124</v>
      </c>
      <c r="I434" s="1" t="s">
        <v>1112</v>
      </c>
      <c r="J434" s="1"/>
      <c r="K434" s="1" t="s">
        <v>23</v>
      </c>
      <c r="L434" s="1" t="s">
        <v>2235</v>
      </c>
      <c r="M434" s="1">
        <v>2.0</v>
      </c>
      <c r="N434" s="1">
        <v>1.0</v>
      </c>
      <c r="O434" s="1" t="s">
        <v>498</v>
      </c>
      <c r="P434" s="1" t="s">
        <v>25</v>
      </c>
      <c r="Q434" s="2" t="str">
        <f t="shared" si="1"/>
        <v>H030535</v>
      </c>
    </row>
    <row r="435">
      <c r="A435" s="1" t="s">
        <v>2236</v>
      </c>
      <c r="B435" s="1" t="s">
        <v>2237</v>
      </c>
      <c r="C435" s="1" t="s">
        <v>2238</v>
      </c>
      <c r="D435" s="1" t="s">
        <v>2239</v>
      </c>
      <c r="E435" s="1">
        <v>3737.0</v>
      </c>
      <c r="F435" s="1" t="s">
        <v>498</v>
      </c>
      <c r="G435" s="1" t="s">
        <v>132</v>
      </c>
      <c r="H435" s="1" t="s">
        <v>133</v>
      </c>
      <c r="I435" s="1" t="s">
        <v>1112</v>
      </c>
      <c r="J435" s="1"/>
      <c r="K435" s="1" t="s">
        <v>23</v>
      </c>
      <c r="L435" s="1" t="s">
        <v>2240</v>
      </c>
      <c r="M435" s="1">
        <v>2.0</v>
      </c>
      <c r="N435" s="1">
        <v>1.0</v>
      </c>
      <c r="O435" s="1" t="s">
        <v>498</v>
      </c>
      <c r="P435" s="1" t="s">
        <v>25</v>
      </c>
      <c r="Q435" s="2" t="str">
        <f t="shared" si="1"/>
        <v>H030535</v>
      </c>
    </row>
    <row r="436">
      <c r="A436" s="1" t="s">
        <v>2241</v>
      </c>
      <c r="B436" s="1" t="s">
        <v>2242</v>
      </c>
      <c r="C436" s="1" t="s">
        <v>2243</v>
      </c>
      <c r="D436" s="1" t="s">
        <v>2244</v>
      </c>
      <c r="E436" s="1">
        <v>4041.0</v>
      </c>
      <c r="F436" s="1" t="s">
        <v>351</v>
      </c>
      <c r="G436" s="1" t="s">
        <v>208</v>
      </c>
      <c r="H436" s="1" t="s">
        <v>209</v>
      </c>
      <c r="I436" s="1" t="s">
        <v>486</v>
      </c>
      <c r="J436" s="1"/>
      <c r="K436" s="1" t="s">
        <v>23</v>
      </c>
      <c r="L436" s="1" t="s">
        <v>2245</v>
      </c>
      <c r="M436" s="1">
        <v>0.0</v>
      </c>
      <c r="N436" s="1">
        <v>1.0</v>
      </c>
      <c r="O436" s="1" t="s">
        <v>351</v>
      </c>
      <c r="P436" s="1" t="s">
        <v>488</v>
      </c>
      <c r="Q436" s="2" t="str">
        <f t="shared" si="1"/>
        <v>H030433</v>
      </c>
    </row>
    <row r="437">
      <c r="A437" s="1" t="s">
        <v>2246</v>
      </c>
      <c r="B437" s="1" t="s">
        <v>2247</v>
      </c>
      <c r="C437" s="1" t="s">
        <v>2248</v>
      </c>
      <c r="D437" s="1" t="s">
        <v>2249</v>
      </c>
      <c r="E437" s="1">
        <v>3622.0</v>
      </c>
      <c r="F437" s="1" t="s">
        <v>351</v>
      </c>
      <c r="G437" s="1" t="s">
        <v>208</v>
      </c>
      <c r="H437" s="1" t="s">
        <v>209</v>
      </c>
      <c r="I437" s="1"/>
      <c r="J437" s="1"/>
      <c r="K437" s="1" t="s">
        <v>23</v>
      </c>
      <c r="L437" s="1" t="s">
        <v>2250</v>
      </c>
      <c r="M437" s="1">
        <v>0.0</v>
      </c>
      <c r="N437" s="1">
        <v>1.0</v>
      </c>
      <c r="O437" s="1" t="s">
        <v>351</v>
      </c>
      <c r="P437" s="1" t="s">
        <v>25</v>
      </c>
      <c r="Q437" s="2" t="str">
        <f t="shared" si="1"/>
        <v>H030433</v>
      </c>
    </row>
    <row r="438">
      <c r="A438" s="1" t="s">
        <v>2251</v>
      </c>
      <c r="B438" s="1" t="s">
        <v>2252</v>
      </c>
      <c r="C438" s="1" t="s">
        <v>2253</v>
      </c>
      <c r="D438" s="1" t="s">
        <v>2254</v>
      </c>
      <c r="E438" s="1">
        <v>4039.0</v>
      </c>
      <c r="F438" s="1" t="s">
        <v>351</v>
      </c>
      <c r="G438" s="1" t="s">
        <v>208</v>
      </c>
      <c r="H438" s="1" t="s">
        <v>209</v>
      </c>
      <c r="I438" s="1"/>
      <c r="J438" s="1"/>
      <c r="K438" s="1" t="s">
        <v>23</v>
      </c>
      <c r="L438" s="1" t="s">
        <v>2255</v>
      </c>
      <c r="M438" s="1">
        <v>0.0</v>
      </c>
      <c r="N438" s="1">
        <v>1.0</v>
      </c>
      <c r="O438" s="1" t="s">
        <v>351</v>
      </c>
      <c r="P438" s="1" t="s">
        <v>25</v>
      </c>
      <c r="Q438" s="2" t="str">
        <f t="shared" si="1"/>
        <v>H030433</v>
      </c>
    </row>
    <row r="439">
      <c r="A439" s="1" t="s">
        <v>2256</v>
      </c>
      <c r="B439" s="1" t="s">
        <v>2257</v>
      </c>
      <c r="C439" s="1" t="s">
        <v>2258</v>
      </c>
      <c r="D439" s="1" t="s">
        <v>2259</v>
      </c>
      <c r="E439" s="1">
        <v>2798.0</v>
      </c>
      <c r="F439" s="1" t="s">
        <v>351</v>
      </c>
      <c r="G439" s="1" t="s">
        <v>208</v>
      </c>
      <c r="H439" s="1" t="s">
        <v>209</v>
      </c>
      <c r="I439" s="1"/>
      <c r="J439" s="1"/>
      <c r="K439" s="1" t="s">
        <v>23</v>
      </c>
      <c r="L439" s="1" t="s">
        <v>2260</v>
      </c>
      <c r="M439" s="1">
        <v>0.0</v>
      </c>
      <c r="N439" s="1">
        <v>1.0</v>
      </c>
      <c r="O439" s="1" t="s">
        <v>351</v>
      </c>
      <c r="P439" s="1" t="s">
        <v>25</v>
      </c>
      <c r="Q439" s="2" t="str">
        <f t="shared" si="1"/>
        <v>H030433</v>
      </c>
    </row>
    <row r="440">
      <c r="A440" s="1" t="s">
        <v>2261</v>
      </c>
      <c r="B440" s="1" t="s">
        <v>2262</v>
      </c>
      <c r="C440" s="1" t="s">
        <v>2263</v>
      </c>
      <c r="D440" s="1" t="s">
        <v>2264</v>
      </c>
      <c r="E440" s="1">
        <v>5572.0</v>
      </c>
      <c r="F440" s="1" t="s">
        <v>351</v>
      </c>
      <c r="G440" s="1" t="s">
        <v>208</v>
      </c>
      <c r="H440" s="1" t="s">
        <v>209</v>
      </c>
      <c r="I440" s="1"/>
      <c r="J440" s="1"/>
      <c r="K440" s="1" t="s">
        <v>23</v>
      </c>
      <c r="L440" s="1" t="s">
        <v>2265</v>
      </c>
      <c r="M440" s="1">
        <v>0.0</v>
      </c>
      <c r="N440" s="1">
        <v>1.0</v>
      </c>
      <c r="O440" s="1" t="s">
        <v>351</v>
      </c>
      <c r="P440" s="1" t="s">
        <v>25</v>
      </c>
      <c r="Q440" s="2" t="str">
        <f t="shared" si="1"/>
        <v>H030433</v>
      </c>
    </row>
    <row r="441">
      <c r="A441" s="1" t="s">
        <v>2266</v>
      </c>
      <c r="B441" s="1" t="s">
        <v>2267</v>
      </c>
      <c r="C441" s="1" t="s">
        <v>2268</v>
      </c>
      <c r="D441" s="1" t="s">
        <v>2269</v>
      </c>
      <c r="E441" s="1">
        <v>3374.0</v>
      </c>
      <c r="F441" s="1" t="s">
        <v>351</v>
      </c>
      <c r="G441" s="1" t="s">
        <v>208</v>
      </c>
      <c r="H441" s="1" t="s">
        <v>209</v>
      </c>
      <c r="I441" s="1" t="s">
        <v>486</v>
      </c>
      <c r="J441" s="1"/>
      <c r="K441" s="1" t="s">
        <v>23</v>
      </c>
      <c r="L441" s="1" t="s">
        <v>2270</v>
      </c>
      <c r="M441" s="1">
        <v>0.0</v>
      </c>
      <c r="N441" s="1">
        <v>1.0</v>
      </c>
      <c r="O441" s="1" t="s">
        <v>351</v>
      </c>
      <c r="P441" s="1" t="s">
        <v>488</v>
      </c>
      <c r="Q441" s="2" t="str">
        <f t="shared" si="1"/>
        <v>H030433</v>
      </c>
    </row>
    <row r="442">
      <c r="A442" s="1" t="s">
        <v>2271</v>
      </c>
      <c r="B442" s="1" t="s">
        <v>2272</v>
      </c>
      <c r="C442" s="1" t="s">
        <v>2273</v>
      </c>
      <c r="D442" s="1" t="s">
        <v>2274</v>
      </c>
      <c r="E442" s="1">
        <v>161.0</v>
      </c>
      <c r="F442" s="1" t="s">
        <v>351</v>
      </c>
      <c r="G442" s="1" t="s">
        <v>208</v>
      </c>
      <c r="H442" s="1" t="s">
        <v>209</v>
      </c>
      <c r="I442" s="1" t="s">
        <v>486</v>
      </c>
      <c r="J442" s="1"/>
      <c r="K442" s="1" t="s">
        <v>23</v>
      </c>
      <c r="L442" s="1" t="s">
        <v>2275</v>
      </c>
      <c r="M442" s="1">
        <v>0.0</v>
      </c>
      <c r="N442" s="1">
        <v>0.0</v>
      </c>
      <c r="O442" s="1" t="s">
        <v>351</v>
      </c>
      <c r="P442" s="1" t="s">
        <v>25</v>
      </c>
      <c r="Q442" s="2" t="str">
        <f t="shared" si="1"/>
        <v>H030433</v>
      </c>
    </row>
    <row r="443">
      <c r="A443" s="1" t="s">
        <v>2276</v>
      </c>
      <c r="B443" s="1" t="s">
        <v>2277</v>
      </c>
      <c r="C443" s="1" t="s">
        <v>2278</v>
      </c>
      <c r="D443" s="1" t="s">
        <v>2279</v>
      </c>
      <c r="E443" s="1">
        <v>3834.0</v>
      </c>
      <c r="F443" s="1" t="s">
        <v>351</v>
      </c>
      <c r="G443" s="1" t="s">
        <v>57</v>
      </c>
      <c r="H443" s="1" t="s">
        <v>58</v>
      </c>
      <c r="I443" s="1"/>
      <c r="J443" s="1"/>
      <c r="K443" s="1" t="s">
        <v>23</v>
      </c>
      <c r="L443" s="1" t="s">
        <v>2280</v>
      </c>
      <c r="M443" s="1">
        <v>0.0</v>
      </c>
      <c r="N443" s="1">
        <v>1.0</v>
      </c>
      <c r="O443" s="1" t="s">
        <v>351</v>
      </c>
      <c r="P443" s="1" t="s">
        <v>25</v>
      </c>
      <c r="Q443" s="2" t="str">
        <f t="shared" si="1"/>
        <v>H030433</v>
      </c>
    </row>
    <row r="444">
      <c r="A444" s="1" t="s">
        <v>2281</v>
      </c>
      <c r="B444" s="1" t="s">
        <v>2282</v>
      </c>
      <c r="C444" s="1" t="s">
        <v>2283</v>
      </c>
      <c r="D444" s="1" t="s">
        <v>2284</v>
      </c>
      <c r="E444" s="1">
        <v>3520.0</v>
      </c>
      <c r="F444" s="1" t="s">
        <v>351</v>
      </c>
      <c r="G444" s="1" t="s">
        <v>57</v>
      </c>
      <c r="H444" s="1" t="s">
        <v>58</v>
      </c>
      <c r="I444" s="1"/>
      <c r="J444" s="1"/>
      <c r="K444" s="1" t="s">
        <v>23</v>
      </c>
      <c r="L444" s="1" t="s">
        <v>2285</v>
      </c>
      <c r="M444" s="1">
        <v>0.0</v>
      </c>
      <c r="N444" s="1">
        <v>1.0</v>
      </c>
      <c r="O444" s="1" t="s">
        <v>351</v>
      </c>
      <c r="P444" s="1" t="s">
        <v>25</v>
      </c>
      <c r="Q444" s="2" t="str">
        <f t="shared" si="1"/>
        <v>H030433</v>
      </c>
    </row>
    <row r="445">
      <c r="A445" s="1" t="s">
        <v>2286</v>
      </c>
      <c r="B445" s="1" t="s">
        <v>2287</v>
      </c>
      <c r="C445" s="1" t="s">
        <v>2288</v>
      </c>
      <c r="D445" s="1" t="s">
        <v>2289</v>
      </c>
      <c r="E445" s="1">
        <v>3720.0</v>
      </c>
      <c r="F445" s="1" t="s">
        <v>351</v>
      </c>
      <c r="G445" s="1" t="s">
        <v>57</v>
      </c>
      <c r="H445" s="1" t="s">
        <v>58</v>
      </c>
      <c r="I445" s="1"/>
      <c r="J445" s="1"/>
      <c r="K445" s="1" t="s">
        <v>23</v>
      </c>
      <c r="L445" s="1" t="s">
        <v>2290</v>
      </c>
      <c r="M445" s="1">
        <v>0.0</v>
      </c>
      <c r="N445" s="1">
        <v>1.0</v>
      </c>
      <c r="O445" s="1" t="s">
        <v>351</v>
      </c>
      <c r="P445" s="1" t="s">
        <v>25</v>
      </c>
      <c r="Q445" s="2" t="str">
        <f t="shared" si="1"/>
        <v>H030433</v>
      </c>
    </row>
    <row r="446">
      <c r="A446" s="1" t="s">
        <v>2291</v>
      </c>
      <c r="B446" s="1" t="s">
        <v>2292</v>
      </c>
      <c r="C446" s="1" t="s">
        <v>2293</v>
      </c>
      <c r="D446" s="1" t="s">
        <v>2294</v>
      </c>
      <c r="E446" s="1">
        <v>1716.0</v>
      </c>
      <c r="F446" s="1" t="s">
        <v>315</v>
      </c>
      <c r="G446" s="1">
        <v>841329.0</v>
      </c>
      <c r="H446" s="1" t="s">
        <v>96</v>
      </c>
      <c r="I446" s="1"/>
      <c r="J446" s="1"/>
      <c r="K446" s="1" t="s">
        <v>23</v>
      </c>
      <c r="L446" s="1" t="s">
        <v>2295</v>
      </c>
      <c r="M446" s="1">
        <v>0.0</v>
      </c>
      <c r="N446" s="1">
        <v>1.0</v>
      </c>
      <c r="O446" s="1" t="s">
        <v>315</v>
      </c>
      <c r="P446" s="1" t="s">
        <v>25</v>
      </c>
      <c r="Q446" s="2" t="str">
        <f t="shared" si="1"/>
        <v>H019589</v>
      </c>
    </row>
    <row r="447">
      <c r="A447" s="1" t="s">
        <v>2296</v>
      </c>
      <c r="B447" s="1" t="s">
        <v>2297</v>
      </c>
      <c r="C447" s="1" t="s">
        <v>2298</v>
      </c>
      <c r="D447" s="1" t="s">
        <v>2299</v>
      </c>
      <c r="E447" s="1">
        <v>2304.0</v>
      </c>
      <c r="F447" s="1" t="s">
        <v>315</v>
      </c>
      <c r="G447" s="1">
        <v>455939.0</v>
      </c>
      <c r="H447" s="1" t="s">
        <v>704</v>
      </c>
      <c r="I447" s="1"/>
      <c r="J447" s="1"/>
      <c r="K447" s="1" t="s">
        <v>23</v>
      </c>
      <c r="L447" s="1" t="s">
        <v>2300</v>
      </c>
      <c r="M447" s="1">
        <v>0.0</v>
      </c>
      <c r="N447" s="1">
        <v>1.0</v>
      </c>
      <c r="O447" s="1" t="s">
        <v>315</v>
      </c>
      <c r="P447" s="1" t="s">
        <v>25</v>
      </c>
      <c r="Q447" s="2" t="str">
        <f t="shared" si="1"/>
        <v>H019589</v>
      </c>
    </row>
    <row r="448">
      <c r="A448" s="1" t="s">
        <v>2301</v>
      </c>
      <c r="B448" s="1" t="s">
        <v>2302</v>
      </c>
      <c r="C448" s="1" t="s">
        <v>2303</v>
      </c>
      <c r="D448" s="1" t="s">
        <v>2304</v>
      </c>
      <c r="E448" s="1">
        <v>1707.0</v>
      </c>
      <c r="F448" s="1" t="s">
        <v>315</v>
      </c>
      <c r="G448" s="1">
        <v>455939.0</v>
      </c>
      <c r="H448" s="1" t="s">
        <v>704</v>
      </c>
      <c r="I448" s="1"/>
      <c r="J448" s="1"/>
      <c r="K448" s="1" t="s">
        <v>23</v>
      </c>
      <c r="L448" s="1" t="s">
        <v>2305</v>
      </c>
      <c r="M448" s="1">
        <v>0.0</v>
      </c>
      <c r="N448" s="1">
        <v>1.0</v>
      </c>
      <c r="O448" s="1" t="s">
        <v>315</v>
      </c>
      <c r="P448" s="1" t="s">
        <v>25</v>
      </c>
      <c r="Q448" s="2" t="str">
        <f t="shared" si="1"/>
        <v>H019589</v>
      </c>
    </row>
    <row r="449">
      <c r="A449" s="1" t="s">
        <v>2306</v>
      </c>
      <c r="B449" s="1" t="s">
        <v>2307</v>
      </c>
      <c r="C449" s="1" t="s">
        <v>2308</v>
      </c>
      <c r="D449" s="1" t="s">
        <v>2309</v>
      </c>
      <c r="E449" s="1">
        <v>4060.0</v>
      </c>
      <c r="F449" s="1" t="s">
        <v>315</v>
      </c>
      <c r="G449" s="1">
        <v>841329.0</v>
      </c>
      <c r="H449" s="1" t="s">
        <v>96</v>
      </c>
      <c r="I449" s="1"/>
      <c r="J449" s="1"/>
      <c r="K449" s="1" t="s">
        <v>23</v>
      </c>
      <c r="L449" s="1" t="s">
        <v>2310</v>
      </c>
      <c r="M449" s="1">
        <v>2.0</v>
      </c>
      <c r="N449" s="1">
        <v>1.0</v>
      </c>
      <c r="O449" s="1" t="s">
        <v>315</v>
      </c>
      <c r="P449" s="1" t="s">
        <v>25</v>
      </c>
      <c r="Q449" s="2" t="str">
        <f t="shared" si="1"/>
        <v>H019575</v>
      </c>
    </row>
    <row r="450">
      <c r="A450" s="1" t="s">
        <v>2311</v>
      </c>
      <c r="B450" s="1" t="s">
        <v>2312</v>
      </c>
      <c r="C450" s="1" t="s">
        <v>2313</v>
      </c>
      <c r="D450" s="1" t="s">
        <v>2314</v>
      </c>
      <c r="E450" s="1">
        <v>3594.0</v>
      </c>
      <c r="F450" s="1" t="s">
        <v>315</v>
      </c>
      <c r="G450" s="1">
        <v>455939.0</v>
      </c>
      <c r="H450" s="1" t="s">
        <v>704</v>
      </c>
      <c r="I450" s="1"/>
      <c r="J450" s="1"/>
      <c r="K450" s="1" t="s">
        <v>23</v>
      </c>
      <c r="L450" s="1" t="s">
        <v>2315</v>
      </c>
      <c r="M450" s="1">
        <v>0.0</v>
      </c>
      <c r="N450" s="1">
        <v>1.0</v>
      </c>
      <c r="O450" s="1" t="s">
        <v>315</v>
      </c>
      <c r="P450" s="1" t="s">
        <v>25</v>
      </c>
      <c r="Q450" s="2" t="str">
        <f t="shared" si="1"/>
        <v>H019589</v>
      </c>
    </row>
    <row r="451">
      <c r="A451" s="1" t="s">
        <v>2316</v>
      </c>
      <c r="B451" s="1" t="s">
        <v>2317</v>
      </c>
      <c r="C451" s="1" t="s">
        <v>2318</v>
      </c>
      <c r="D451" s="1" t="s">
        <v>2319</v>
      </c>
      <c r="E451" s="1">
        <v>4447.0</v>
      </c>
      <c r="F451" s="1" t="s">
        <v>315</v>
      </c>
      <c r="G451" s="1">
        <v>841329.0</v>
      </c>
      <c r="H451" s="1" t="s">
        <v>96</v>
      </c>
      <c r="I451" s="1"/>
      <c r="J451" s="1"/>
      <c r="K451" s="1" t="s">
        <v>23</v>
      </c>
      <c r="L451" s="1" t="s">
        <v>2320</v>
      </c>
      <c r="M451" s="1">
        <v>0.0</v>
      </c>
      <c r="N451" s="1">
        <v>1.0</v>
      </c>
      <c r="O451" s="1" t="s">
        <v>315</v>
      </c>
      <c r="P451" s="1" t="s">
        <v>25</v>
      </c>
      <c r="Q451" s="2" t="str">
        <f t="shared" si="1"/>
        <v>H019589</v>
      </c>
    </row>
    <row r="452">
      <c r="A452" s="1" t="s">
        <v>2321</v>
      </c>
      <c r="B452" s="1" t="s">
        <v>2322</v>
      </c>
      <c r="C452" s="1" t="s">
        <v>2323</v>
      </c>
      <c r="D452" s="1" t="s">
        <v>2324</v>
      </c>
      <c r="E452" s="1">
        <v>1511.0</v>
      </c>
      <c r="F452" s="1" t="s">
        <v>315</v>
      </c>
      <c r="G452" s="1">
        <v>455939.0</v>
      </c>
      <c r="H452" s="1" t="s">
        <v>704</v>
      </c>
      <c r="I452" s="1"/>
      <c r="J452" s="1"/>
      <c r="K452" s="1" t="s">
        <v>23</v>
      </c>
      <c r="L452" s="1" t="s">
        <v>2325</v>
      </c>
      <c r="M452" s="1">
        <v>0.0</v>
      </c>
      <c r="N452" s="1">
        <v>1.0</v>
      </c>
      <c r="O452" s="1" t="s">
        <v>315</v>
      </c>
      <c r="P452" s="1" t="s">
        <v>25</v>
      </c>
      <c r="Q452" s="2" t="str">
        <f t="shared" si="1"/>
        <v>H019589</v>
      </c>
    </row>
    <row r="453">
      <c r="A453" s="1" t="s">
        <v>2326</v>
      </c>
      <c r="B453" s="1" t="s">
        <v>2327</v>
      </c>
      <c r="C453" s="1" t="s">
        <v>2328</v>
      </c>
      <c r="D453" s="1" t="s">
        <v>2329</v>
      </c>
      <c r="E453" s="1">
        <v>1155.0</v>
      </c>
      <c r="F453" s="1" t="s">
        <v>315</v>
      </c>
      <c r="G453" s="1">
        <v>455939.0</v>
      </c>
      <c r="H453" s="1" t="s">
        <v>704</v>
      </c>
      <c r="I453" s="1"/>
      <c r="J453" s="1"/>
      <c r="K453" s="1" t="s">
        <v>23</v>
      </c>
      <c r="L453" s="1" t="s">
        <v>2330</v>
      </c>
      <c r="M453" s="1">
        <v>0.0</v>
      </c>
      <c r="N453" s="1">
        <v>1.0</v>
      </c>
      <c r="O453" s="1" t="s">
        <v>315</v>
      </c>
      <c r="P453" s="1" t="s">
        <v>25</v>
      </c>
      <c r="Q453" s="2" t="str">
        <f t="shared" si="1"/>
        <v>H019589</v>
      </c>
    </row>
    <row r="454">
      <c r="A454" s="1" t="s">
        <v>2331</v>
      </c>
      <c r="B454" s="1" t="s">
        <v>2332</v>
      </c>
      <c r="C454" s="1" t="s">
        <v>2333</v>
      </c>
      <c r="D454" s="1" t="s">
        <v>2334</v>
      </c>
      <c r="E454" s="1">
        <v>2341.0</v>
      </c>
      <c r="F454" s="1" t="s">
        <v>315</v>
      </c>
      <c r="G454" s="1">
        <v>841329.0</v>
      </c>
      <c r="H454" s="1" t="s">
        <v>96</v>
      </c>
      <c r="I454" s="1"/>
      <c r="J454" s="1"/>
      <c r="K454" s="1" t="s">
        <v>23</v>
      </c>
      <c r="L454" s="1" t="s">
        <v>2335</v>
      </c>
      <c r="M454" s="1">
        <v>0.0</v>
      </c>
      <c r="N454" s="1">
        <v>1.0</v>
      </c>
      <c r="O454" s="1" t="s">
        <v>315</v>
      </c>
      <c r="P454" s="1" t="s">
        <v>25</v>
      </c>
      <c r="Q454" s="2" t="str">
        <f t="shared" si="1"/>
        <v>H019589</v>
      </c>
    </row>
    <row r="455">
      <c r="A455" s="1" t="s">
        <v>2336</v>
      </c>
      <c r="B455" s="1" t="s">
        <v>2337</v>
      </c>
      <c r="C455" s="1" t="s">
        <v>2338</v>
      </c>
      <c r="D455" s="1" t="s">
        <v>2339</v>
      </c>
      <c r="E455" s="1">
        <v>3625.0</v>
      </c>
      <c r="F455" s="1" t="s">
        <v>315</v>
      </c>
      <c r="G455" s="1">
        <v>841329.0</v>
      </c>
      <c r="H455" s="1" t="s">
        <v>96</v>
      </c>
      <c r="I455" s="1"/>
      <c r="J455" s="1"/>
      <c r="K455" s="1" t="s">
        <v>23</v>
      </c>
      <c r="L455" s="1" t="s">
        <v>2340</v>
      </c>
      <c r="M455" s="1">
        <v>0.0</v>
      </c>
      <c r="N455" s="1">
        <v>1.0</v>
      </c>
      <c r="O455" s="1" t="s">
        <v>315</v>
      </c>
      <c r="P455" s="1" t="s">
        <v>25</v>
      </c>
      <c r="Q455" s="2" t="str">
        <f t="shared" si="1"/>
        <v>H019589</v>
      </c>
    </row>
    <row r="456">
      <c r="A456" s="1" t="s">
        <v>2341</v>
      </c>
      <c r="B456" s="1" t="s">
        <v>2342</v>
      </c>
      <c r="C456" s="1" t="s">
        <v>2343</v>
      </c>
      <c r="D456" s="1" t="s">
        <v>2344</v>
      </c>
      <c r="E456" s="1">
        <v>2578.0</v>
      </c>
      <c r="F456" s="1" t="s">
        <v>288</v>
      </c>
      <c r="G456" s="1">
        <v>729375.0</v>
      </c>
      <c r="H456" s="1" t="s">
        <v>80</v>
      </c>
      <c r="I456" s="1"/>
      <c r="J456" s="1"/>
      <c r="K456" s="1" t="s">
        <v>23</v>
      </c>
      <c r="L456" s="1" t="s">
        <v>2345</v>
      </c>
      <c r="M456" s="1">
        <v>0.0</v>
      </c>
      <c r="N456" s="1">
        <v>1.0</v>
      </c>
      <c r="O456" s="1" t="s">
        <v>288</v>
      </c>
      <c r="P456" s="1" t="s">
        <v>25</v>
      </c>
      <c r="Q456" s="2" t="str">
        <f t="shared" si="1"/>
        <v>H019429</v>
      </c>
    </row>
    <row r="457">
      <c r="A457" s="1" t="s">
        <v>2346</v>
      </c>
      <c r="B457" s="1" t="s">
        <v>2347</v>
      </c>
      <c r="C457" s="1" t="s">
        <v>2348</v>
      </c>
      <c r="D457" s="1" t="s">
        <v>2349</v>
      </c>
      <c r="E457" s="1">
        <v>2837.0</v>
      </c>
      <c r="F457" s="1" t="s">
        <v>288</v>
      </c>
      <c r="G457" s="1">
        <v>729375.0</v>
      </c>
      <c r="H457" s="1" t="s">
        <v>80</v>
      </c>
      <c r="I457" s="1"/>
      <c r="J457" s="1"/>
      <c r="K457" s="1" t="s">
        <v>23</v>
      </c>
      <c r="L457" s="1" t="s">
        <v>2350</v>
      </c>
      <c r="M457" s="1">
        <v>0.0</v>
      </c>
      <c r="N457" s="1">
        <v>1.0</v>
      </c>
      <c r="O457" s="1" t="s">
        <v>288</v>
      </c>
      <c r="P457" s="1" t="s">
        <v>25</v>
      </c>
      <c r="Q457" s="2" t="str">
        <f t="shared" si="1"/>
        <v>H019429</v>
      </c>
    </row>
    <row r="458">
      <c r="A458" s="1" t="s">
        <v>2351</v>
      </c>
      <c r="B458" s="1" t="s">
        <v>2352</v>
      </c>
      <c r="C458" s="1" t="s">
        <v>2353</v>
      </c>
      <c r="D458" s="1" t="s">
        <v>2354</v>
      </c>
      <c r="E458" s="1">
        <v>1034.0</v>
      </c>
      <c r="F458" s="1" t="s">
        <v>288</v>
      </c>
      <c r="G458" s="1">
        <v>729375.0</v>
      </c>
      <c r="H458" s="1" t="s">
        <v>80</v>
      </c>
      <c r="I458" s="1"/>
      <c r="J458" s="1"/>
      <c r="K458" s="1" t="s">
        <v>23</v>
      </c>
      <c r="L458" s="1" t="s">
        <v>2355</v>
      </c>
      <c r="M458" s="1">
        <v>0.0</v>
      </c>
      <c r="N458" s="1">
        <v>1.0</v>
      </c>
      <c r="O458" s="1" t="s">
        <v>288</v>
      </c>
      <c r="P458" s="1" t="s">
        <v>25</v>
      </c>
      <c r="Q458" s="2" t="str">
        <f t="shared" si="1"/>
        <v>H019429</v>
      </c>
    </row>
    <row r="459">
      <c r="A459" s="1" t="s">
        <v>2356</v>
      </c>
      <c r="B459" s="1" t="s">
        <v>2357</v>
      </c>
      <c r="C459" s="1" t="s">
        <v>2358</v>
      </c>
      <c r="D459" s="1" t="s">
        <v>2359</v>
      </c>
      <c r="E459" s="1">
        <v>2098.0</v>
      </c>
      <c r="F459" s="1" t="s">
        <v>288</v>
      </c>
      <c r="G459" s="1">
        <v>729375.0</v>
      </c>
      <c r="H459" s="1" t="s">
        <v>80</v>
      </c>
      <c r="I459" s="1"/>
      <c r="J459" s="1"/>
      <c r="K459" s="1" t="s">
        <v>23</v>
      </c>
      <c r="L459" s="1" t="s">
        <v>2360</v>
      </c>
      <c r="M459" s="1">
        <v>0.0</v>
      </c>
      <c r="N459" s="1">
        <v>1.0</v>
      </c>
      <c r="O459" s="1" t="s">
        <v>288</v>
      </c>
      <c r="P459" s="1" t="s">
        <v>25</v>
      </c>
      <c r="Q459" s="2" t="str">
        <f t="shared" si="1"/>
        <v>H019429</v>
      </c>
    </row>
    <row r="460">
      <c r="A460" s="1" t="s">
        <v>2361</v>
      </c>
      <c r="B460" s="1" t="s">
        <v>2362</v>
      </c>
      <c r="C460" s="1" t="s">
        <v>2363</v>
      </c>
      <c r="D460" s="1" t="s">
        <v>2364</v>
      </c>
      <c r="E460" s="1">
        <v>1559.0</v>
      </c>
      <c r="F460" s="1" t="s">
        <v>288</v>
      </c>
      <c r="G460" s="1">
        <v>729375.0</v>
      </c>
      <c r="H460" s="1" t="s">
        <v>80</v>
      </c>
      <c r="I460" s="1"/>
      <c r="J460" s="1"/>
      <c r="K460" s="1" t="s">
        <v>23</v>
      </c>
      <c r="L460" s="1" t="s">
        <v>2365</v>
      </c>
      <c r="M460" s="1">
        <v>0.0</v>
      </c>
      <c r="N460" s="1">
        <v>1.0</v>
      </c>
      <c r="O460" s="1" t="s">
        <v>288</v>
      </c>
      <c r="P460" s="1" t="s">
        <v>25</v>
      </c>
      <c r="Q460" s="2" t="str">
        <f t="shared" si="1"/>
        <v>H019429</v>
      </c>
    </row>
    <row r="461">
      <c r="A461" s="1" t="s">
        <v>2366</v>
      </c>
      <c r="B461" s="1" t="s">
        <v>2367</v>
      </c>
      <c r="C461" s="1" t="s">
        <v>2368</v>
      </c>
      <c r="D461" s="1" t="s">
        <v>2369</v>
      </c>
      <c r="E461" s="1">
        <v>6028.0</v>
      </c>
      <c r="F461" s="1" t="s">
        <v>288</v>
      </c>
      <c r="G461" s="1">
        <v>859767.0</v>
      </c>
      <c r="H461" s="1" t="s">
        <v>22</v>
      </c>
      <c r="I461" s="1"/>
      <c r="J461" s="1"/>
      <c r="K461" s="1" t="s">
        <v>23</v>
      </c>
      <c r="L461" s="1" t="s">
        <v>2370</v>
      </c>
      <c r="M461" s="1">
        <v>0.0</v>
      </c>
      <c r="N461" s="1">
        <v>1.0</v>
      </c>
      <c r="O461" s="1" t="s">
        <v>288</v>
      </c>
      <c r="P461" s="1" t="s">
        <v>25</v>
      </c>
      <c r="Q461" s="2" t="str">
        <f t="shared" si="1"/>
        <v>H019429</v>
      </c>
    </row>
    <row r="462">
      <c r="A462" s="1" t="s">
        <v>2371</v>
      </c>
      <c r="B462" s="1" t="s">
        <v>2372</v>
      </c>
      <c r="C462" s="1" t="s">
        <v>2373</v>
      </c>
      <c r="D462" s="1" t="s">
        <v>2374</v>
      </c>
      <c r="E462" s="1">
        <v>3444.0</v>
      </c>
      <c r="F462" s="1" t="s">
        <v>288</v>
      </c>
      <c r="G462" s="1">
        <v>859767.0</v>
      </c>
      <c r="H462" s="1" t="s">
        <v>22</v>
      </c>
      <c r="I462" s="1"/>
      <c r="J462" s="1"/>
      <c r="K462" s="1" t="s">
        <v>23</v>
      </c>
      <c r="L462" s="1" t="s">
        <v>2375</v>
      </c>
      <c r="M462" s="1">
        <v>0.0</v>
      </c>
      <c r="N462" s="1">
        <v>1.0</v>
      </c>
      <c r="O462" s="1" t="s">
        <v>288</v>
      </c>
      <c r="P462" s="1" t="s">
        <v>25</v>
      </c>
      <c r="Q462" s="2" t="str">
        <f t="shared" si="1"/>
        <v>H019429</v>
      </c>
    </row>
    <row r="463">
      <c r="A463" s="1" t="s">
        <v>2376</v>
      </c>
      <c r="B463" s="1" t="s">
        <v>2377</v>
      </c>
      <c r="C463" s="1" t="s">
        <v>2378</v>
      </c>
      <c r="D463" s="1" t="s">
        <v>2379</v>
      </c>
      <c r="E463" s="1">
        <v>6329.0</v>
      </c>
      <c r="F463" s="1" t="s">
        <v>288</v>
      </c>
      <c r="G463" s="1">
        <v>859767.0</v>
      </c>
      <c r="H463" s="1" t="s">
        <v>22</v>
      </c>
      <c r="I463" s="1"/>
      <c r="J463" s="1"/>
      <c r="K463" s="1" t="s">
        <v>23</v>
      </c>
      <c r="L463" s="1" t="s">
        <v>2380</v>
      </c>
      <c r="M463" s="1">
        <v>0.0</v>
      </c>
      <c r="N463" s="1">
        <v>1.0</v>
      </c>
      <c r="O463" s="1" t="s">
        <v>288</v>
      </c>
      <c r="P463" s="1" t="s">
        <v>25</v>
      </c>
      <c r="Q463" s="2" t="str">
        <f t="shared" si="1"/>
        <v>H019429</v>
      </c>
    </row>
    <row r="464">
      <c r="A464" s="1" t="s">
        <v>2381</v>
      </c>
      <c r="B464" s="1" t="s">
        <v>2382</v>
      </c>
      <c r="C464" s="1" t="s">
        <v>2383</v>
      </c>
      <c r="D464" s="1" t="s">
        <v>2384</v>
      </c>
      <c r="E464" s="1">
        <v>1711.0</v>
      </c>
      <c r="F464" s="1" t="s">
        <v>288</v>
      </c>
      <c r="G464" s="1">
        <v>729375.0</v>
      </c>
      <c r="H464" s="1" t="s">
        <v>1050</v>
      </c>
      <c r="I464" s="1" t="s">
        <v>1051</v>
      </c>
      <c r="J464" s="1"/>
      <c r="K464" s="1" t="s">
        <v>23</v>
      </c>
      <c r="L464" s="1" t="s">
        <v>2385</v>
      </c>
      <c r="M464" s="1">
        <v>0.0</v>
      </c>
      <c r="N464" s="1">
        <v>1.0</v>
      </c>
      <c r="O464" s="1" t="s">
        <v>288</v>
      </c>
      <c r="P464" s="1" t="s">
        <v>488</v>
      </c>
      <c r="Q464" s="2" t="str">
        <f t="shared" si="1"/>
        <v>H019429</v>
      </c>
    </row>
    <row r="465">
      <c r="A465" s="1" t="s">
        <v>2386</v>
      </c>
      <c r="B465" s="1" t="s">
        <v>2387</v>
      </c>
      <c r="C465" s="1" t="s">
        <v>2388</v>
      </c>
      <c r="D465" s="1" t="s">
        <v>2389</v>
      </c>
      <c r="E465" s="1">
        <v>4963.0</v>
      </c>
      <c r="F465" s="1" t="s">
        <v>288</v>
      </c>
      <c r="G465" s="1">
        <v>859767.0</v>
      </c>
      <c r="H465" s="1" t="s">
        <v>22</v>
      </c>
      <c r="I465" s="1"/>
      <c r="J465" s="1"/>
      <c r="K465" s="1" t="s">
        <v>23</v>
      </c>
      <c r="L465" s="1" t="s">
        <v>2390</v>
      </c>
      <c r="M465" s="1">
        <v>0.0</v>
      </c>
      <c r="N465" s="1">
        <v>1.0</v>
      </c>
      <c r="O465" s="1" t="s">
        <v>288</v>
      </c>
      <c r="P465" s="1" t="s">
        <v>25</v>
      </c>
      <c r="Q465" s="2" t="str">
        <f t="shared" si="1"/>
        <v>H019429</v>
      </c>
    </row>
    <row r="466">
      <c r="A466" s="1" t="s">
        <v>2391</v>
      </c>
      <c r="B466" s="1" t="s">
        <v>2392</v>
      </c>
      <c r="C466" s="1" t="s">
        <v>2393</v>
      </c>
      <c r="D466" s="1" t="s">
        <v>2394</v>
      </c>
      <c r="E466" s="1">
        <v>4387.0</v>
      </c>
      <c r="F466" s="1" t="s">
        <v>351</v>
      </c>
      <c r="G466" s="1" t="s">
        <v>260</v>
      </c>
      <c r="H466" s="1" t="s">
        <v>261</v>
      </c>
      <c r="I466" s="1"/>
      <c r="J466" s="1"/>
      <c r="K466" s="1" t="s">
        <v>23</v>
      </c>
      <c r="L466" s="1" t="s">
        <v>2395</v>
      </c>
      <c r="M466" s="1">
        <v>0.0</v>
      </c>
      <c r="N466" s="1">
        <v>1.0</v>
      </c>
      <c r="O466" s="1" t="s">
        <v>351</v>
      </c>
      <c r="P466" s="1" t="s">
        <v>25</v>
      </c>
      <c r="Q466" s="2" t="str">
        <f t="shared" si="1"/>
        <v>H030433</v>
      </c>
    </row>
    <row r="467">
      <c r="A467" s="1" t="s">
        <v>2396</v>
      </c>
      <c r="B467" s="1" t="s">
        <v>2397</v>
      </c>
      <c r="C467" s="1" t="s">
        <v>2398</v>
      </c>
      <c r="D467" s="1" t="s">
        <v>2399</v>
      </c>
      <c r="E467" s="1">
        <v>3398.0</v>
      </c>
      <c r="F467" s="1" t="s">
        <v>351</v>
      </c>
      <c r="G467" s="1" t="s">
        <v>260</v>
      </c>
      <c r="H467" s="1" t="s">
        <v>261</v>
      </c>
      <c r="I467" s="1"/>
      <c r="J467" s="1"/>
      <c r="K467" s="1" t="s">
        <v>23</v>
      </c>
      <c r="L467" s="1" t="s">
        <v>2400</v>
      </c>
      <c r="M467" s="1">
        <v>0.0</v>
      </c>
      <c r="N467" s="1">
        <v>1.0</v>
      </c>
      <c r="O467" s="1" t="s">
        <v>351</v>
      </c>
      <c r="P467" s="1" t="s">
        <v>25</v>
      </c>
      <c r="Q467" s="2" t="str">
        <f t="shared" si="1"/>
        <v>H030433</v>
      </c>
    </row>
    <row r="468">
      <c r="A468" s="1" t="s">
        <v>2401</v>
      </c>
      <c r="B468" s="1" t="s">
        <v>2402</v>
      </c>
      <c r="C468" s="1" t="s">
        <v>2403</v>
      </c>
      <c r="D468" s="1" t="s">
        <v>2404</v>
      </c>
      <c r="E468" s="1">
        <v>3715.0</v>
      </c>
      <c r="F468" s="1" t="s">
        <v>351</v>
      </c>
      <c r="G468" s="1" t="s">
        <v>260</v>
      </c>
      <c r="H468" s="1" t="s">
        <v>261</v>
      </c>
      <c r="I468" s="1"/>
      <c r="J468" s="1"/>
      <c r="K468" s="1" t="s">
        <v>23</v>
      </c>
      <c r="L468" s="1" t="s">
        <v>2405</v>
      </c>
      <c r="M468" s="1">
        <v>0.0</v>
      </c>
      <c r="N468" s="1">
        <v>1.0</v>
      </c>
      <c r="O468" s="1" t="s">
        <v>351</v>
      </c>
      <c r="P468" s="1" t="s">
        <v>25</v>
      </c>
      <c r="Q468" s="2" t="str">
        <f t="shared" si="1"/>
        <v>H030433</v>
      </c>
    </row>
    <row r="469">
      <c r="A469" s="1" t="s">
        <v>2406</v>
      </c>
      <c r="B469" s="1" t="s">
        <v>2407</v>
      </c>
      <c r="C469" s="1" t="s">
        <v>2408</v>
      </c>
      <c r="D469" s="1" t="s">
        <v>2409</v>
      </c>
      <c r="E469" s="1">
        <v>3690.0</v>
      </c>
      <c r="F469" s="1" t="s">
        <v>351</v>
      </c>
      <c r="G469" s="1" t="s">
        <v>260</v>
      </c>
      <c r="H469" s="1" t="s">
        <v>261</v>
      </c>
      <c r="I469" s="1"/>
      <c r="J469" s="1"/>
      <c r="K469" s="1" t="s">
        <v>23</v>
      </c>
      <c r="L469" s="1" t="s">
        <v>2410</v>
      </c>
      <c r="M469" s="1">
        <v>0.0</v>
      </c>
      <c r="N469" s="1">
        <v>1.0</v>
      </c>
      <c r="O469" s="1" t="s">
        <v>351</v>
      </c>
      <c r="P469" s="1" t="s">
        <v>25</v>
      </c>
      <c r="Q469" s="2" t="str">
        <f t="shared" si="1"/>
        <v>H030433</v>
      </c>
    </row>
    <row r="470">
      <c r="A470" s="1" t="s">
        <v>2411</v>
      </c>
      <c r="B470" s="1" t="s">
        <v>2412</v>
      </c>
      <c r="C470" s="1" t="s">
        <v>2413</v>
      </c>
      <c r="D470" s="1" t="s">
        <v>2414</v>
      </c>
      <c r="E470" s="1">
        <v>2109.0</v>
      </c>
      <c r="F470" s="1" t="s">
        <v>382</v>
      </c>
      <c r="G470" s="1" t="s">
        <v>191</v>
      </c>
      <c r="H470" s="1" t="s">
        <v>192</v>
      </c>
      <c r="I470" s="1"/>
      <c r="J470" s="1"/>
      <c r="K470" s="1" t="s">
        <v>23</v>
      </c>
      <c r="L470" s="1" t="s">
        <v>2415</v>
      </c>
      <c r="M470" s="1">
        <v>0.0</v>
      </c>
      <c r="N470" s="1">
        <v>1.0</v>
      </c>
      <c r="O470" s="1" t="s">
        <v>382</v>
      </c>
      <c r="P470" s="1" t="s">
        <v>25</v>
      </c>
      <c r="Q470" s="2" t="str">
        <f t="shared" si="1"/>
        <v>H030676</v>
      </c>
    </row>
    <row r="471">
      <c r="A471" s="1" t="s">
        <v>2416</v>
      </c>
      <c r="B471" s="1" t="s">
        <v>2417</v>
      </c>
      <c r="C471" s="1" t="s">
        <v>2418</v>
      </c>
      <c r="D471" s="1" t="s">
        <v>2419</v>
      </c>
      <c r="E471" s="1">
        <v>1280.0</v>
      </c>
      <c r="F471" s="1" t="s">
        <v>382</v>
      </c>
      <c r="G471" s="1" t="s">
        <v>191</v>
      </c>
      <c r="H471" s="1" t="s">
        <v>192</v>
      </c>
      <c r="I471" s="1"/>
      <c r="J471" s="1"/>
      <c r="K471" s="1" t="s">
        <v>23</v>
      </c>
      <c r="L471" s="1" t="s">
        <v>2420</v>
      </c>
      <c r="M471" s="1">
        <v>0.0</v>
      </c>
      <c r="N471" s="1">
        <v>1.0</v>
      </c>
      <c r="O471" s="1" t="s">
        <v>382</v>
      </c>
      <c r="P471" s="1" t="s">
        <v>25</v>
      </c>
      <c r="Q471" s="2" t="str">
        <f t="shared" si="1"/>
        <v>H030676</v>
      </c>
    </row>
    <row r="472">
      <c r="A472" s="1" t="s">
        <v>2421</v>
      </c>
      <c r="B472" s="1" t="s">
        <v>2422</v>
      </c>
      <c r="C472" s="1" t="s">
        <v>2423</v>
      </c>
      <c r="D472" s="1" t="s">
        <v>2424</v>
      </c>
      <c r="E472" s="1">
        <v>2562.0</v>
      </c>
      <c r="F472" s="1" t="s">
        <v>382</v>
      </c>
      <c r="G472" s="1" t="s">
        <v>191</v>
      </c>
      <c r="H472" s="1" t="s">
        <v>192</v>
      </c>
      <c r="I472" s="1"/>
      <c r="J472" s="1"/>
      <c r="K472" s="1" t="s">
        <v>23</v>
      </c>
      <c r="L472" s="1" t="s">
        <v>2425</v>
      </c>
      <c r="M472" s="1">
        <v>0.0</v>
      </c>
      <c r="N472" s="1">
        <v>1.0</v>
      </c>
      <c r="O472" s="1" t="s">
        <v>382</v>
      </c>
      <c r="P472" s="1" t="s">
        <v>25</v>
      </c>
      <c r="Q472" s="2" t="str">
        <f t="shared" si="1"/>
        <v>H030676</v>
      </c>
    </row>
    <row r="473">
      <c r="A473" s="1" t="s">
        <v>2426</v>
      </c>
      <c r="B473" s="1" t="s">
        <v>2427</v>
      </c>
      <c r="C473" s="1" t="s">
        <v>2428</v>
      </c>
      <c r="D473" s="1" t="s">
        <v>2429</v>
      </c>
      <c r="E473" s="1">
        <v>2286.0</v>
      </c>
      <c r="F473" s="1" t="s">
        <v>382</v>
      </c>
      <c r="G473" s="1" t="s">
        <v>191</v>
      </c>
      <c r="H473" s="1" t="s">
        <v>192</v>
      </c>
      <c r="I473" s="1"/>
      <c r="J473" s="1"/>
      <c r="K473" s="1" t="s">
        <v>23</v>
      </c>
      <c r="L473" s="1" t="s">
        <v>2430</v>
      </c>
      <c r="M473" s="1">
        <v>0.0</v>
      </c>
      <c r="N473" s="1">
        <v>1.0</v>
      </c>
      <c r="O473" s="1" t="s">
        <v>382</v>
      </c>
      <c r="P473" s="1" t="s">
        <v>25</v>
      </c>
      <c r="Q473" s="2" t="str">
        <f t="shared" si="1"/>
        <v>H030676</v>
      </c>
    </row>
    <row r="474">
      <c r="A474" s="1" t="s">
        <v>2431</v>
      </c>
      <c r="B474" s="1" t="s">
        <v>2432</v>
      </c>
      <c r="C474" s="1" t="s">
        <v>2433</v>
      </c>
      <c r="D474" s="1" t="s">
        <v>2434</v>
      </c>
      <c r="E474" s="1">
        <v>4395.0</v>
      </c>
      <c r="F474" s="1" t="s">
        <v>288</v>
      </c>
      <c r="G474" s="1" t="s">
        <v>304</v>
      </c>
      <c r="H474" s="1" t="s">
        <v>272</v>
      </c>
      <c r="I474" s="1"/>
      <c r="J474" s="1"/>
      <c r="K474" s="1" t="s">
        <v>23</v>
      </c>
      <c r="L474" s="1" t="s">
        <v>2435</v>
      </c>
      <c r="M474" s="1">
        <v>0.0</v>
      </c>
      <c r="N474" s="1">
        <v>1.0</v>
      </c>
      <c r="O474" s="1" t="s">
        <v>288</v>
      </c>
      <c r="P474" s="1" t="s">
        <v>25</v>
      </c>
      <c r="Q474" s="2" t="str">
        <f t="shared" si="1"/>
        <v>H019429</v>
      </c>
    </row>
    <row r="475">
      <c r="A475" s="1" t="s">
        <v>2436</v>
      </c>
      <c r="B475" s="1" t="s">
        <v>2437</v>
      </c>
      <c r="C475" s="1" t="s">
        <v>2438</v>
      </c>
      <c r="D475" s="1" t="s">
        <v>2439</v>
      </c>
      <c r="E475" s="1">
        <v>3963.0</v>
      </c>
      <c r="F475" s="1" t="s">
        <v>288</v>
      </c>
      <c r="G475" s="1" t="s">
        <v>304</v>
      </c>
      <c r="H475" s="1" t="s">
        <v>272</v>
      </c>
      <c r="I475" s="1"/>
      <c r="J475" s="1"/>
      <c r="K475" s="1" t="s">
        <v>23</v>
      </c>
      <c r="L475" s="1" t="s">
        <v>2440</v>
      </c>
      <c r="M475" s="1">
        <v>0.0</v>
      </c>
      <c r="N475" s="1">
        <v>1.0</v>
      </c>
      <c r="O475" s="1" t="s">
        <v>288</v>
      </c>
      <c r="P475" s="1" t="s">
        <v>25</v>
      </c>
      <c r="Q475" s="2" t="str">
        <f t="shared" si="1"/>
        <v>H019429</v>
      </c>
    </row>
    <row r="476">
      <c r="A476" s="1" t="s">
        <v>2441</v>
      </c>
      <c r="B476" s="1" t="s">
        <v>2442</v>
      </c>
      <c r="C476" s="1" t="s">
        <v>2443</v>
      </c>
      <c r="D476" s="1" t="s">
        <v>2444</v>
      </c>
      <c r="E476" s="1">
        <v>3380.0</v>
      </c>
      <c r="F476" s="1" t="s">
        <v>288</v>
      </c>
      <c r="G476" s="1" t="s">
        <v>304</v>
      </c>
      <c r="H476" s="1" t="s">
        <v>272</v>
      </c>
      <c r="I476" s="1"/>
      <c r="J476" s="1"/>
      <c r="K476" s="1" t="s">
        <v>23</v>
      </c>
      <c r="L476" s="1" t="s">
        <v>2445</v>
      </c>
      <c r="M476" s="1">
        <v>0.0</v>
      </c>
      <c r="N476" s="1">
        <v>1.0</v>
      </c>
      <c r="O476" s="1" t="s">
        <v>288</v>
      </c>
      <c r="P476" s="1" t="s">
        <v>25</v>
      </c>
      <c r="Q476" s="2" t="str">
        <f t="shared" si="1"/>
        <v>H019429</v>
      </c>
    </row>
    <row r="477">
      <c r="A477" s="1" t="s">
        <v>2446</v>
      </c>
      <c r="B477" s="1" t="s">
        <v>2447</v>
      </c>
      <c r="C477" s="1" t="s">
        <v>2448</v>
      </c>
      <c r="D477" s="1" t="s">
        <v>2449</v>
      </c>
      <c r="E477" s="1">
        <v>2319.0</v>
      </c>
      <c r="F477" s="1" t="s">
        <v>288</v>
      </c>
      <c r="G477" s="1" t="s">
        <v>304</v>
      </c>
      <c r="H477" s="1" t="s">
        <v>272</v>
      </c>
      <c r="I477" s="1"/>
      <c r="J477" s="1"/>
      <c r="K477" s="1" t="s">
        <v>23</v>
      </c>
      <c r="L477" s="1" t="s">
        <v>2450</v>
      </c>
      <c r="M477" s="1">
        <v>0.0</v>
      </c>
      <c r="N477" s="1">
        <v>1.0</v>
      </c>
      <c r="O477" s="1" t="s">
        <v>288</v>
      </c>
      <c r="P477" s="1" t="s">
        <v>25</v>
      </c>
      <c r="Q477" s="2" t="str">
        <f t="shared" si="1"/>
        <v>H019429</v>
      </c>
    </row>
    <row r="478">
      <c r="A478" s="1" t="s">
        <v>2451</v>
      </c>
      <c r="B478" s="1" t="s">
        <v>2452</v>
      </c>
      <c r="C478" s="1" t="s">
        <v>2453</v>
      </c>
      <c r="D478" s="1" t="s">
        <v>2454</v>
      </c>
      <c r="E478" s="1">
        <v>4914.0</v>
      </c>
      <c r="F478" s="1" t="s">
        <v>288</v>
      </c>
      <c r="G478" s="1" t="s">
        <v>304</v>
      </c>
      <c r="H478" s="1" t="s">
        <v>272</v>
      </c>
      <c r="I478" s="1"/>
      <c r="J478" s="1"/>
      <c r="K478" s="1" t="s">
        <v>23</v>
      </c>
      <c r="L478" s="1" t="s">
        <v>2455</v>
      </c>
      <c r="M478" s="1">
        <v>0.0</v>
      </c>
      <c r="N478" s="1">
        <v>1.0</v>
      </c>
      <c r="O478" s="1" t="s">
        <v>288</v>
      </c>
      <c r="P478" s="1" t="s">
        <v>25</v>
      </c>
      <c r="Q478" s="2" t="str">
        <f t="shared" si="1"/>
        <v>H019429</v>
      </c>
    </row>
    <row r="479">
      <c r="A479" s="1" t="s">
        <v>2456</v>
      </c>
      <c r="B479" s="1" t="s">
        <v>2457</v>
      </c>
      <c r="C479" s="1" t="s">
        <v>2458</v>
      </c>
      <c r="D479" s="1" t="s">
        <v>2459</v>
      </c>
      <c r="E479" s="1">
        <v>2456.0</v>
      </c>
      <c r="F479" s="1" t="s">
        <v>382</v>
      </c>
      <c r="G479" s="1" t="s">
        <v>474</v>
      </c>
      <c r="H479" s="1" t="s">
        <v>475</v>
      </c>
      <c r="I479" s="1"/>
      <c r="J479" s="1"/>
      <c r="K479" s="1" t="s">
        <v>23</v>
      </c>
      <c r="L479" s="1" t="s">
        <v>2460</v>
      </c>
      <c r="M479" s="1">
        <v>0.0</v>
      </c>
      <c r="N479" s="1">
        <v>1.0</v>
      </c>
      <c r="O479" s="1" t="s">
        <v>382</v>
      </c>
      <c r="P479" s="1" t="s">
        <v>25</v>
      </c>
      <c r="Q479" s="2" t="str">
        <f t="shared" si="1"/>
        <v>H030676</v>
      </c>
    </row>
    <row r="480">
      <c r="A480" s="1" t="s">
        <v>2461</v>
      </c>
      <c r="B480" s="1" t="s">
        <v>2462</v>
      </c>
      <c r="C480" s="1" t="s">
        <v>2463</v>
      </c>
      <c r="D480" s="1" t="s">
        <v>2464</v>
      </c>
      <c r="E480" s="1">
        <v>4197.0</v>
      </c>
      <c r="F480" s="1" t="s">
        <v>382</v>
      </c>
      <c r="G480" s="1" t="s">
        <v>474</v>
      </c>
      <c r="H480" s="1" t="s">
        <v>475</v>
      </c>
      <c r="I480" s="1"/>
      <c r="J480" s="1"/>
      <c r="K480" s="1" t="s">
        <v>23</v>
      </c>
      <c r="L480" s="1" t="s">
        <v>2465</v>
      </c>
      <c r="M480" s="1">
        <v>0.0</v>
      </c>
      <c r="N480" s="1">
        <v>1.0</v>
      </c>
      <c r="O480" s="1" t="s">
        <v>382</v>
      </c>
      <c r="P480" s="1" t="s">
        <v>25</v>
      </c>
      <c r="Q480" s="2" t="str">
        <f t="shared" si="1"/>
        <v>H030676</v>
      </c>
    </row>
    <row r="481">
      <c r="A481" s="1" t="s">
        <v>2466</v>
      </c>
      <c r="B481" s="1" t="s">
        <v>2467</v>
      </c>
      <c r="C481" s="1" t="s">
        <v>2468</v>
      </c>
      <c r="D481" s="1" t="s">
        <v>2469</v>
      </c>
      <c r="E481" s="1">
        <v>5426.0</v>
      </c>
      <c r="F481" s="1" t="s">
        <v>382</v>
      </c>
      <c r="G481" s="1" t="s">
        <v>474</v>
      </c>
      <c r="H481" s="1" t="s">
        <v>475</v>
      </c>
      <c r="I481" s="1"/>
      <c r="J481" s="1"/>
      <c r="K481" s="1" t="s">
        <v>23</v>
      </c>
      <c r="L481" s="1" t="s">
        <v>2470</v>
      </c>
      <c r="M481" s="1">
        <v>0.0</v>
      </c>
      <c r="N481" s="1">
        <v>1.0</v>
      </c>
      <c r="O481" s="1" t="s">
        <v>382</v>
      </c>
      <c r="P481" s="1" t="s">
        <v>25</v>
      </c>
      <c r="Q481" s="2" t="str">
        <f t="shared" si="1"/>
        <v>H030676</v>
      </c>
    </row>
    <row r="482">
      <c r="A482" s="1" t="s">
        <v>2471</v>
      </c>
      <c r="B482" s="1" t="s">
        <v>2472</v>
      </c>
      <c r="C482" s="1" t="s">
        <v>2473</v>
      </c>
      <c r="D482" s="1" t="s">
        <v>2474</v>
      </c>
      <c r="E482" s="1">
        <v>3308.0</v>
      </c>
      <c r="F482" s="1" t="s">
        <v>382</v>
      </c>
      <c r="G482" s="1" t="s">
        <v>119</v>
      </c>
      <c r="H482" s="1" t="s">
        <v>120</v>
      </c>
      <c r="I482" s="1"/>
      <c r="J482" s="1"/>
      <c r="K482" s="1" t="s">
        <v>23</v>
      </c>
      <c r="L482" s="1" t="s">
        <v>2475</v>
      </c>
      <c r="M482" s="1">
        <v>0.0</v>
      </c>
      <c r="N482" s="1">
        <v>1.0</v>
      </c>
      <c r="O482" s="1" t="s">
        <v>382</v>
      </c>
      <c r="P482" s="1" t="s">
        <v>25</v>
      </c>
      <c r="Q482" s="2" t="str">
        <f t="shared" si="1"/>
        <v>H030676</v>
      </c>
    </row>
    <row r="483">
      <c r="A483" s="1" t="s">
        <v>2476</v>
      </c>
      <c r="B483" s="1" t="s">
        <v>2477</v>
      </c>
      <c r="C483" s="1" t="s">
        <v>2478</v>
      </c>
      <c r="D483" s="1" t="s">
        <v>2479</v>
      </c>
      <c r="E483" s="1">
        <v>3003.0</v>
      </c>
      <c r="F483" s="1" t="s">
        <v>382</v>
      </c>
      <c r="G483" s="1" t="s">
        <v>119</v>
      </c>
      <c r="H483" s="1" t="s">
        <v>120</v>
      </c>
      <c r="I483" s="1"/>
      <c r="J483" s="1"/>
      <c r="K483" s="1" t="s">
        <v>23</v>
      </c>
      <c r="L483" s="1" t="s">
        <v>2480</v>
      </c>
      <c r="M483" s="1">
        <v>0.0</v>
      </c>
      <c r="N483" s="1">
        <v>1.0</v>
      </c>
      <c r="O483" s="1" t="s">
        <v>382</v>
      </c>
      <c r="P483" s="1" t="s">
        <v>25</v>
      </c>
      <c r="Q483" s="2" t="str">
        <f t="shared" si="1"/>
        <v>H030676</v>
      </c>
    </row>
    <row r="484">
      <c r="A484" s="1" t="s">
        <v>2481</v>
      </c>
      <c r="B484" s="1" t="s">
        <v>2482</v>
      </c>
      <c r="C484" s="1" t="s">
        <v>2483</v>
      </c>
      <c r="D484" s="1" t="s">
        <v>2484</v>
      </c>
      <c r="E484" s="1">
        <v>2402.0</v>
      </c>
      <c r="F484" s="1" t="s">
        <v>382</v>
      </c>
      <c r="G484" s="1" t="s">
        <v>119</v>
      </c>
      <c r="H484" s="1" t="s">
        <v>120</v>
      </c>
      <c r="I484" s="1"/>
      <c r="J484" s="1"/>
      <c r="K484" s="1" t="s">
        <v>23</v>
      </c>
      <c r="L484" s="1" t="s">
        <v>2485</v>
      </c>
      <c r="M484" s="1">
        <v>0.0</v>
      </c>
      <c r="N484" s="1">
        <v>1.0</v>
      </c>
      <c r="O484" s="1" t="s">
        <v>382</v>
      </c>
      <c r="P484" s="1" t="s">
        <v>25</v>
      </c>
      <c r="Q484" s="2" t="str">
        <f t="shared" si="1"/>
        <v>H030676</v>
      </c>
    </row>
    <row r="485">
      <c r="A485" s="1" t="s">
        <v>2486</v>
      </c>
      <c r="B485" s="1" t="s">
        <v>2487</v>
      </c>
      <c r="C485" s="1" t="s">
        <v>2488</v>
      </c>
      <c r="D485" s="1" t="s">
        <v>2489</v>
      </c>
      <c r="E485" s="1">
        <v>2544.0</v>
      </c>
      <c r="F485" s="1" t="s">
        <v>382</v>
      </c>
      <c r="G485" s="1" t="s">
        <v>107</v>
      </c>
      <c r="H485" s="1" t="s">
        <v>108</v>
      </c>
      <c r="I485" s="1"/>
      <c r="J485" s="1"/>
      <c r="K485" s="1" t="s">
        <v>23</v>
      </c>
      <c r="L485" s="1" t="s">
        <v>2490</v>
      </c>
      <c r="M485" s="1">
        <v>0.0</v>
      </c>
      <c r="N485" s="1">
        <v>1.0</v>
      </c>
      <c r="O485" s="1" t="s">
        <v>382</v>
      </c>
      <c r="P485" s="1" t="s">
        <v>25</v>
      </c>
      <c r="Q485" s="2" t="str">
        <f t="shared" si="1"/>
        <v>H030676</v>
      </c>
    </row>
    <row r="486">
      <c r="A486" s="1" t="s">
        <v>2491</v>
      </c>
      <c r="B486" s="1" t="s">
        <v>2492</v>
      </c>
      <c r="C486" s="1" t="s">
        <v>2493</v>
      </c>
      <c r="D486" s="1" t="s">
        <v>2494</v>
      </c>
      <c r="E486" s="1">
        <v>3016.0</v>
      </c>
      <c r="F486" s="1" t="s">
        <v>382</v>
      </c>
      <c r="G486" s="1" t="s">
        <v>107</v>
      </c>
      <c r="H486" s="1" t="s">
        <v>108</v>
      </c>
      <c r="I486" s="1"/>
      <c r="J486" s="1"/>
      <c r="K486" s="1" t="s">
        <v>23</v>
      </c>
      <c r="L486" s="1" t="s">
        <v>2495</v>
      </c>
      <c r="M486" s="1">
        <v>0.0</v>
      </c>
      <c r="N486" s="1">
        <v>1.0</v>
      </c>
      <c r="O486" s="1" t="s">
        <v>382</v>
      </c>
      <c r="P486" s="1" t="s">
        <v>25</v>
      </c>
      <c r="Q486" s="2" t="str">
        <f t="shared" si="1"/>
        <v>H030676</v>
      </c>
    </row>
    <row r="487">
      <c r="A487" s="1" t="s">
        <v>2496</v>
      </c>
      <c r="B487" s="1" t="s">
        <v>2497</v>
      </c>
      <c r="C487" s="1" t="s">
        <v>2498</v>
      </c>
      <c r="D487" s="1" t="s">
        <v>2499</v>
      </c>
      <c r="E487" s="1">
        <v>2845.0</v>
      </c>
      <c r="F487" s="1" t="s">
        <v>382</v>
      </c>
      <c r="G487" s="1" t="s">
        <v>107</v>
      </c>
      <c r="H487" s="1" t="s">
        <v>108</v>
      </c>
      <c r="I487" s="1"/>
      <c r="J487" s="1"/>
      <c r="K487" s="1" t="s">
        <v>23</v>
      </c>
      <c r="L487" s="1" t="s">
        <v>2500</v>
      </c>
      <c r="M487" s="1">
        <v>0.0</v>
      </c>
      <c r="N487" s="1">
        <v>1.0</v>
      </c>
      <c r="O487" s="1" t="s">
        <v>382</v>
      </c>
      <c r="P487" s="1" t="s">
        <v>25</v>
      </c>
      <c r="Q487" s="2" t="str">
        <f t="shared" si="1"/>
        <v>H030676</v>
      </c>
    </row>
    <row r="488">
      <c r="A488" s="1" t="s">
        <v>2501</v>
      </c>
      <c r="B488" s="1" t="s">
        <v>2502</v>
      </c>
      <c r="C488" s="1" t="s">
        <v>2503</v>
      </c>
      <c r="D488" s="1" t="s">
        <v>2504</v>
      </c>
      <c r="E488" s="1">
        <v>3453.0</v>
      </c>
      <c r="F488" s="1" t="s">
        <v>382</v>
      </c>
      <c r="G488" s="1" t="s">
        <v>107</v>
      </c>
      <c r="H488" s="1" t="s">
        <v>108</v>
      </c>
      <c r="I488" s="1"/>
      <c r="J488" s="1"/>
      <c r="K488" s="1" t="s">
        <v>23</v>
      </c>
      <c r="L488" s="1" t="s">
        <v>2505</v>
      </c>
      <c r="M488" s="1">
        <v>0.0</v>
      </c>
      <c r="N488" s="1">
        <v>1.0</v>
      </c>
      <c r="O488" s="1" t="s">
        <v>382</v>
      </c>
      <c r="P488" s="1" t="s">
        <v>25</v>
      </c>
      <c r="Q488" s="2" t="str">
        <f t="shared" si="1"/>
        <v>H030676</v>
      </c>
    </row>
    <row r="489">
      <c r="A489" s="1" t="s">
        <v>2506</v>
      </c>
      <c r="B489" s="1" t="s">
        <v>2507</v>
      </c>
      <c r="C489" s="1" t="s">
        <v>2508</v>
      </c>
      <c r="D489" s="1" t="s">
        <v>2509</v>
      </c>
      <c r="E489" s="1">
        <v>8264.0</v>
      </c>
      <c r="F489" s="1" t="s">
        <v>498</v>
      </c>
      <c r="G489" s="1">
        <v>896791.0</v>
      </c>
      <c r="H489" s="1" t="s">
        <v>244</v>
      </c>
      <c r="I489" s="1"/>
      <c r="J489" s="1"/>
      <c r="K489" s="1" t="s">
        <v>23</v>
      </c>
      <c r="L489" s="1" t="s">
        <v>2510</v>
      </c>
      <c r="M489" s="1">
        <v>2.0</v>
      </c>
      <c r="N489" s="1">
        <v>1.0</v>
      </c>
      <c r="O489" s="1" t="s">
        <v>498</v>
      </c>
      <c r="P489" s="1" t="s">
        <v>25</v>
      </c>
      <c r="Q489" s="2" t="str">
        <f t="shared" si="1"/>
        <v>H030535</v>
      </c>
    </row>
    <row r="490">
      <c r="A490" s="1" t="s">
        <v>2511</v>
      </c>
      <c r="B490" s="1" t="s">
        <v>2512</v>
      </c>
      <c r="C490" s="1" t="s">
        <v>2513</v>
      </c>
      <c r="D490" s="1" t="s">
        <v>2514</v>
      </c>
      <c r="E490" s="1">
        <v>3430.0</v>
      </c>
      <c r="F490" s="1" t="s">
        <v>351</v>
      </c>
      <c r="G490" s="1" t="s">
        <v>208</v>
      </c>
      <c r="H490" s="1" t="s">
        <v>209</v>
      </c>
      <c r="I490" s="1" t="s">
        <v>486</v>
      </c>
      <c r="J490" s="1"/>
      <c r="K490" s="1" t="s">
        <v>23</v>
      </c>
      <c r="L490" s="1" t="s">
        <v>2515</v>
      </c>
      <c r="M490" s="1">
        <v>0.0</v>
      </c>
      <c r="N490" s="1">
        <v>1.0</v>
      </c>
      <c r="O490" s="1" t="s">
        <v>351</v>
      </c>
      <c r="P490" s="1" t="s">
        <v>25</v>
      </c>
      <c r="Q490" s="2" t="str">
        <f t="shared" si="1"/>
        <v>H030004</v>
      </c>
    </row>
    <row r="491">
      <c r="A491" s="1" t="s">
        <v>2516</v>
      </c>
      <c r="B491" s="1" t="s">
        <v>2517</v>
      </c>
      <c r="C491" s="1" t="s">
        <v>2518</v>
      </c>
      <c r="D491" s="1" t="s">
        <v>2519</v>
      </c>
      <c r="E491" s="1">
        <v>3460.0</v>
      </c>
      <c r="F491" s="1" t="s">
        <v>351</v>
      </c>
      <c r="G491" s="1" t="s">
        <v>208</v>
      </c>
      <c r="H491" s="1" t="s">
        <v>209</v>
      </c>
      <c r="I491" s="1" t="s">
        <v>486</v>
      </c>
      <c r="J491" s="1"/>
      <c r="K491" s="1" t="s">
        <v>23</v>
      </c>
      <c r="L491" s="1" t="s">
        <v>2520</v>
      </c>
      <c r="M491" s="1">
        <v>0.0</v>
      </c>
      <c r="N491" s="1">
        <v>1.0</v>
      </c>
      <c r="O491" s="1" t="s">
        <v>351</v>
      </c>
      <c r="P491" s="1" t="s">
        <v>488</v>
      </c>
      <c r="Q491" s="2" t="str">
        <f t="shared" si="1"/>
        <v>H030004</v>
      </c>
    </row>
    <row r="492">
      <c r="A492" s="1" t="s">
        <v>2521</v>
      </c>
      <c r="B492" s="1" t="s">
        <v>2522</v>
      </c>
      <c r="C492" s="1" t="s">
        <v>2523</v>
      </c>
      <c r="D492" s="1" t="s">
        <v>2524</v>
      </c>
      <c r="E492" s="1">
        <v>4777.0</v>
      </c>
      <c r="F492" s="1" t="s">
        <v>351</v>
      </c>
      <c r="G492" s="1" t="s">
        <v>208</v>
      </c>
      <c r="H492" s="1" t="s">
        <v>209</v>
      </c>
      <c r="I492" s="1" t="s">
        <v>486</v>
      </c>
      <c r="J492" s="1"/>
      <c r="K492" s="1" t="s">
        <v>23</v>
      </c>
      <c r="L492" s="1" t="s">
        <v>2525</v>
      </c>
      <c r="M492" s="1">
        <v>0.0</v>
      </c>
      <c r="N492" s="1">
        <v>1.0</v>
      </c>
      <c r="O492" s="1" t="s">
        <v>351</v>
      </c>
      <c r="P492" s="1" t="s">
        <v>25</v>
      </c>
      <c r="Q492" s="2" t="str">
        <f t="shared" si="1"/>
        <v>H030004</v>
      </c>
    </row>
    <row r="493">
      <c r="A493" s="1" t="s">
        <v>2526</v>
      </c>
      <c r="B493" s="1" t="s">
        <v>2527</v>
      </c>
      <c r="C493" s="1" t="s">
        <v>2528</v>
      </c>
      <c r="D493" s="1" t="s">
        <v>2529</v>
      </c>
      <c r="E493" s="1">
        <v>4606.0</v>
      </c>
      <c r="F493" s="1" t="s">
        <v>351</v>
      </c>
      <c r="G493" s="1" t="s">
        <v>208</v>
      </c>
      <c r="H493" s="1" t="s">
        <v>209</v>
      </c>
      <c r="I493" s="1" t="s">
        <v>486</v>
      </c>
      <c r="J493" s="1"/>
      <c r="K493" s="1" t="s">
        <v>23</v>
      </c>
      <c r="L493" s="1" t="s">
        <v>2530</v>
      </c>
      <c r="M493" s="1">
        <v>0.0</v>
      </c>
      <c r="N493" s="1">
        <v>1.0</v>
      </c>
      <c r="O493" s="1" t="s">
        <v>351</v>
      </c>
      <c r="P493" s="1" t="s">
        <v>25</v>
      </c>
      <c r="Q493" s="2" t="str">
        <f t="shared" si="1"/>
        <v>H030004</v>
      </c>
    </row>
    <row r="494">
      <c r="A494" s="1" t="s">
        <v>2531</v>
      </c>
      <c r="B494" s="1" t="s">
        <v>2532</v>
      </c>
      <c r="C494" s="1" t="s">
        <v>2533</v>
      </c>
      <c r="D494" s="1" t="s">
        <v>2534</v>
      </c>
      <c r="E494" s="1">
        <v>2261.0</v>
      </c>
      <c r="F494" s="1" t="s">
        <v>351</v>
      </c>
      <c r="G494" s="1" t="s">
        <v>208</v>
      </c>
      <c r="H494" s="1" t="s">
        <v>209</v>
      </c>
      <c r="I494" s="1" t="s">
        <v>486</v>
      </c>
      <c r="J494" s="1"/>
      <c r="K494" s="1" t="s">
        <v>23</v>
      </c>
      <c r="L494" s="1" t="s">
        <v>2535</v>
      </c>
      <c r="M494" s="1">
        <v>0.0</v>
      </c>
      <c r="N494" s="1">
        <v>1.0</v>
      </c>
      <c r="O494" s="1" t="s">
        <v>351</v>
      </c>
      <c r="P494" s="1" t="s">
        <v>25</v>
      </c>
      <c r="Q494" s="2" t="str">
        <f t="shared" si="1"/>
        <v>H030004</v>
      </c>
    </row>
    <row r="495">
      <c r="A495" s="1" t="s">
        <v>2536</v>
      </c>
      <c r="B495" s="1" t="s">
        <v>2537</v>
      </c>
      <c r="C495" s="1" t="s">
        <v>2538</v>
      </c>
      <c r="D495" s="1" t="s">
        <v>2539</v>
      </c>
      <c r="E495" s="1">
        <v>5164.0</v>
      </c>
      <c r="F495" s="1" t="s">
        <v>315</v>
      </c>
      <c r="G495" s="1">
        <v>555127.0</v>
      </c>
      <c r="H495" s="1" t="s">
        <v>35</v>
      </c>
      <c r="I495" s="1"/>
      <c r="J495" s="1"/>
      <c r="K495" s="1" t="s">
        <v>23</v>
      </c>
      <c r="L495" s="1" t="s">
        <v>2540</v>
      </c>
      <c r="M495" s="1">
        <v>0.0</v>
      </c>
      <c r="N495" s="1">
        <v>1.0</v>
      </c>
      <c r="O495" s="1" t="s">
        <v>315</v>
      </c>
      <c r="P495" s="1" t="s">
        <v>25</v>
      </c>
      <c r="Q495" s="2" t="str">
        <f t="shared" si="1"/>
        <v>H019447</v>
      </c>
    </row>
    <row r="496">
      <c r="A496" s="1" t="s">
        <v>2541</v>
      </c>
      <c r="B496" s="1" t="s">
        <v>2542</v>
      </c>
      <c r="C496" s="1" t="s">
        <v>2543</v>
      </c>
      <c r="D496" s="1" t="s">
        <v>2544</v>
      </c>
      <c r="E496" s="1">
        <v>3126.0</v>
      </c>
      <c r="F496" s="1" t="s">
        <v>315</v>
      </c>
      <c r="G496" s="1">
        <v>555127.0</v>
      </c>
      <c r="H496" s="1" t="s">
        <v>35</v>
      </c>
      <c r="I496" s="1"/>
      <c r="J496" s="1"/>
      <c r="K496" s="1" t="s">
        <v>23</v>
      </c>
      <c r="L496" s="1" t="s">
        <v>2545</v>
      </c>
      <c r="M496" s="1">
        <v>0.0</v>
      </c>
      <c r="N496" s="1">
        <v>1.0</v>
      </c>
      <c r="O496" s="1" t="s">
        <v>315</v>
      </c>
      <c r="P496" s="1" t="s">
        <v>25</v>
      </c>
      <c r="Q496" s="2" t="str">
        <f t="shared" si="1"/>
        <v>H019447</v>
      </c>
    </row>
    <row r="497">
      <c r="A497" s="1" t="s">
        <v>2546</v>
      </c>
      <c r="B497" s="1" t="s">
        <v>2547</v>
      </c>
      <c r="C497" s="1" t="s">
        <v>2548</v>
      </c>
      <c r="D497" s="1" t="s">
        <v>2549</v>
      </c>
      <c r="E497" s="1">
        <v>3458.0</v>
      </c>
      <c r="F497" s="1" t="s">
        <v>315</v>
      </c>
      <c r="G497" s="1">
        <v>555127.0</v>
      </c>
      <c r="H497" s="1" t="s">
        <v>35</v>
      </c>
      <c r="I497" s="1"/>
      <c r="J497" s="1"/>
      <c r="K497" s="1" t="s">
        <v>23</v>
      </c>
      <c r="L497" s="1" t="s">
        <v>2550</v>
      </c>
      <c r="M497" s="1">
        <v>0.0</v>
      </c>
      <c r="N497" s="1">
        <v>1.0</v>
      </c>
      <c r="O497" s="1" t="s">
        <v>315</v>
      </c>
      <c r="P497" s="1" t="s">
        <v>25</v>
      </c>
      <c r="Q497" s="2" t="str">
        <f t="shared" si="1"/>
        <v>H019447</v>
      </c>
    </row>
    <row r="498">
      <c r="A498" s="1" t="s">
        <v>2551</v>
      </c>
      <c r="B498" s="1" t="s">
        <v>2552</v>
      </c>
      <c r="C498" s="1" t="s">
        <v>2553</v>
      </c>
      <c r="D498" s="1" t="s">
        <v>2554</v>
      </c>
      <c r="E498" s="1">
        <v>2462.0</v>
      </c>
      <c r="F498" s="1" t="s">
        <v>315</v>
      </c>
      <c r="G498" s="1">
        <v>555127.0</v>
      </c>
      <c r="H498" s="1" t="s">
        <v>35</v>
      </c>
      <c r="I498" s="1"/>
      <c r="J498" s="1"/>
      <c r="K498" s="1" t="s">
        <v>23</v>
      </c>
      <c r="L498" s="1" t="s">
        <v>2555</v>
      </c>
      <c r="M498" s="1">
        <v>0.0</v>
      </c>
      <c r="N498" s="1">
        <v>1.0</v>
      </c>
      <c r="O498" s="1" t="s">
        <v>315</v>
      </c>
      <c r="P498" s="1" t="s">
        <v>25</v>
      </c>
      <c r="Q498" s="2" t="str">
        <f t="shared" si="1"/>
        <v>H019447</v>
      </c>
    </row>
    <row r="499">
      <c r="A499" s="1" t="s">
        <v>2556</v>
      </c>
      <c r="B499" s="1" t="s">
        <v>2557</v>
      </c>
      <c r="C499" s="1" t="s">
        <v>2558</v>
      </c>
      <c r="D499" s="1" t="s">
        <v>2559</v>
      </c>
      <c r="E499" s="1">
        <v>2772.0</v>
      </c>
      <c r="F499" s="1" t="s">
        <v>315</v>
      </c>
      <c r="G499" s="1">
        <v>555127.0</v>
      </c>
      <c r="H499" s="1" t="s">
        <v>35</v>
      </c>
      <c r="I499" s="1"/>
      <c r="J499" s="1"/>
      <c r="K499" s="1" t="s">
        <v>23</v>
      </c>
      <c r="L499" s="1" t="s">
        <v>2560</v>
      </c>
      <c r="M499" s="1">
        <v>0.0</v>
      </c>
      <c r="N499" s="1">
        <v>1.0</v>
      </c>
      <c r="O499" s="1" t="s">
        <v>315</v>
      </c>
      <c r="P499" s="1" t="s">
        <v>25</v>
      </c>
      <c r="Q499" s="2" t="str">
        <f t="shared" si="1"/>
        <v>H019447</v>
      </c>
    </row>
    <row r="500">
      <c r="A500" s="1" t="s">
        <v>2561</v>
      </c>
      <c r="B500" s="1" t="s">
        <v>2562</v>
      </c>
      <c r="C500" s="1" t="s">
        <v>2563</v>
      </c>
      <c r="D500" s="1" t="s">
        <v>2564</v>
      </c>
      <c r="E500" s="1">
        <v>4068.0</v>
      </c>
      <c r="F500" s="1" t="s">
        <v>288</v>
      </c>
      <c r="G500" s="1">
        <v>859767.0</v>
      </c>
      <c r="H500" s="1" t="s">
        <v>2565</v>
      </c>
      <c r="I500" s="1" t="s">
        <v>1051</v>
      </c>
      <c r="J500" s="1"/>
      <c r="K500" s="1" t="s">
        <v>23</v>
      </c>
      <c r="L500" s="1" t="s">
        <v>2566</v>
      </c>
      <c r="M500" s="1">
        <v>2.0</v>
      </c>
      <c r="N500" s="1">
        <v>1.0</v>
      </c>
      <c r="O500" s="1" t="s">
        <v>288</v>
      </c>
      <c r="P500" s="1" t="s">
        <v>25</v>
      </c>
      <c r="Q500" s="2" t="str">
        <f t="shared" si="1"/>
        <v>H019412</v>
      </c>
    </row>
    <row r="501">
      <c r="A501" s="1" t="s">
        <v>2567</v>
      </c>
      <c r="B501" s="1" t="s">
        <v>2568</v>
      </c>
      <c r="C501" s="1" t="s">
        <v>2569</v>
      </c>
      <c r="D501" s="1" t="s">
        <v>2570</v>
      </c>
      <c r="E501" s="1">
        <v>4331.0</v>
      </c>
      <c r="F501" s="1" t="s">
        <v>288</v>
      </c>
      <c r="G501" s="1">
        <v>859767.0</v>
      </c>
      <c r="H501" s="1" t="s">
        <v>2565</v>
      </c>
      <c r="I501" s="1" t="s">
        <v>1051</v>
      </c>
      <c r="J501" s="1"/>
      <c r="K501" s="1" t="s">
        <v>23</v>
      </c>
      <c r="L501" s="1" t="s">
        <v>2571</v>
      </c>
      <c r="M501" s="1">
        <v>2.0</v>
      </c>
      <c r="N501" s="1">
        <v>1.0</v>
      </c>
      <c r="O501" s="1" t="s">
        <v>288</v>
      </c>
      <c r="P501" s="1" t="s">
        <v>25</v>
      </c>
      <c r="Q501" s="2" t="str">
        <f t="shared" si="1"/>
        <v>H019412</v>
      </c>
    </row>
    <row r="502">
      <c r="A502" s="1" t="s">
        <v>2572</v>
      </c>
      <c r="B502" s="1" t="s">
        <v>2573</v>
      </c>
      <c r="C502" s="1" t="s">
        <v>2574</v>
      </c>
      <c r="D502" s="1" t="s">
        <v>2575</v>
      </c>
      <c r="E502" s="1">
        <v>2280.0</v>
      </c>
      <c r="F502" s="1" t="s">
        <v>288</v>
      </c>
      <c r="G502" s="1">
        <v>859767.0</v>
      </c>
      <c r="H502" s="1" t="s">
        <v>2565</v>
      </c>
      <c r="I502" s="1" t="s">
        <v>1051</v>
      </c>
      <c r="J502" s="1"/>
      <c r="K502" s="1" t="s">
        <v>23</v>
      </c>
      <c r="L502" s="1" t="s">
        <v>2576</v>
      </c>
      <c r="M502" s="1">
        <v>2.0</v>
      </c>
      <c r="N502" s="1">
        <v>1.0</v>
      </c>
      <c r="O502" s="1" t="s">
        <v>288</v>
      </c>
      <c r="P502" s="1" t="s">
        <v>25</v>
      </c>
      <c r="Q502" s="2" t="str">
        <f t="shared" si="1"/>
        <v>H019412</v>
      </c>
    </row>
    <row r="503">
      <c r="A503" s="1" t="s">
        <v>2577</v>
      </c>
      <c r="B503" s="1" t="s">
        <v>2578</v>
      </c>
      <c r="C503" s="1" t="s">
        <v>2579</v>
      </c>
      <c r="D503" s="1" t="s">
        <v>2580</v>
      </c>
      <c r="E503" s="1">
        <v>5634.0</v>
      </c>
      <c r="F503" s="1" t="s">
        <v>288</v>
      </c>
      <c r="G503" s="1">
        <v>859767.0</v>
      </c>
      <c r="H503" s="1" t="s">
        <v>2565</v>
      </c>
      <c r="I503" s="1" t="s">
        <v>1051</v>
      </c>
      <c r="J503" s="1"/>
      <c r="K503" s="1" t="s">
        <v>23</v>
      </c>
      <c r="L503" s="1" t="s">
        <v>2581</v>
      </c>
      <c r="M503" s="1">
        <v>2.0</v>
      </c>
      <c r="N503" s="1">
        <v>1.0</v>
      </c>
      <c r="O503" s="1" t="s">
        <v>288</v>
      </c>
      <c r="P503" s="1" t="s">
        <v>25</v>
      </c>
      <c r="Q503" s="2" t="str">
        <f t="shared" si="1"/>
        <v>H019412</v>
      </c>
    </row>
    <row r="504">
      <c r="A504" s="1" t="s">
        <v>2582</v>
      </c>
      <c r="B504" s="1" t="s">
        <v>2583</v>
      </c>
      <c r="C504" s="1" t="s">
        <v>2584</v>
      </c>
      <c r="D504" s="1" t="s">
        <v>2585</v>
      </c>
      <c r="E504" s="1">
        <v>3113.0</v>
      </c>
      <c r="F504" s="1" t="s">
        <v>288</v>
      </c>
      <c r="G504" s="1">
        <v>859767.0</v>
      </c>
      <c r="H504" s="1" t="s">
        <v>2565</v>
      </c>
      <c r="I504" s="1" t="s">
        <v>1051</v>
      </c>
      <c r="J504" s="1"/>
      <c r="K504" s="1" t="s">
        <v>23</v>
      </c>
      <c r="L504" s="1" t="s">
        <v>2586</v>
      </c>
      <c r="M504" s="1">
        <v>2.0</v>
      </c>
      <c r="N504" s="1">
        <v>1.0</v>
      </c>
      <c r="O504" s="1" t="s">
        <v>288</v>
      </c>
      <c r="P504" s="1" t="s">
        <v>25</v>
      </c>
      <c r="Q504" s="2" t="str">
        <f t="shared" si="1"/>
        <v>H019412</v>
      </c>
    </row>
    <row r="505">
      <c r="A505" s="1" t="s">
        <v>2587</v>
      </c>
      <c r="B505" s="1" t="s">
        <v>2588</v>
      </c>
      <c r="C505" s="1" t="s">
        <v>2589</v>
      </c>
      <c r="D505" s="1" t="s">
        <v>2590</v>
      </c>
      <c r="E505" s="1">
        <v>4219.0</v>
      </c>
      <c r="F505" s="1" t="s">
        <v>498</v>
      </c>
      <c r="G505" s="1" t="s">
        <v>132</v>
      </c>
      <c r="H505" s="1" t="s">
        <v>133</v>
      </c>
      <c r="I505" s="1" t="s">
        <v>1112</v>
      </c>
      <c r="J505" s="1"/>
      <c r="K505" s="1" t="s">
        <v>23</v>
      </c>
      <c r="L505" s="1" t="s">
        <v>2591</v>
      </c>
      <c r="M505" s="1">
        <v>2.0</v>
      </c>
      <c r="N505" s="1">
        <v>1.0</v>
      </c>
      <c r="O505" s="1" t="s">
        <v>498</v>
      </c>
      <c r="P505" s="1" t="s">
        <v>25</v>
      </c>
      <c r="Q505" s="2" t="str">
        <f t="shared" si="1"/>
        <v>H030535</v>
      </c>
    </row>
    <row r="506">
      <c r="A506" s="1" t="s">
        <v>2592</v>
      </c>
      <c r="B506" s="1" t="s">
        <v>2593</v>
      </c>
      <c r="C506" s="1" t="s">
        <v>2594</v>
      </c>
      <c r="D506" s="1" t="s">
        <v>2595</v>
      </c>
      <c r="E506" s="1">
        <v>4236.0</v>
      </c>
      <c r="F506" s="1" t="s">
        <v>498</v>
      </c>
      <c r="G506" s="1" t="s">
        <v>132</v>
      </c>
      <c r="H506" s="1" t="s">
        <v>133</v>
      </c>
      <c r="I506" s="1"/>
      <c r="J506" s="1"/>
      <c r="K506" s="1" t="s">
        <v>23</v>
      </c>
      <c r="L506" s="1" t="s">
        <v>2596</v>
      </c>
      <c r="M506" s="1">
        <v>2.0</v>
      </c>
      <c r="N506" s="1">
        <v>1.0</v>
      </c>
      <c r="O506" s="1" t="s">
        <v>498</v>
      </c>
      <c r="P506" s="1" t="s">
        <v>25</v>
      </c>
      <c r="Q506" s="2" t="str">
        <f t="shared" si="1"/>
        <v>H030535</v>
      </c>
    </row>
    <row r="507">
      <c r="A507" s="1" t="s">
        <v>2597</v>
      </c>
      <c r="B507" s="1" t="s">
        <v>2598</v>
      </c>
      <c r="C507" s="1" t="s">
        <v>2599</v>
      </c>
      <c r="D507" s="1" t="s">
        <v>2600</v>
      </c>
      <c r="E507" s="1">
        <v>2523.0</v>
      </c>
      <c r="F507" s="1" t="s">
        <v>315</v>
      </c>
      <c r="G507" s="1">
        <v>841329.0</v>
      </c>
      <c r="H507" s="1" t="s">
        <v>1848</v>
      </c>
      <c r="I507" s="1" t="s">
        <v>1051</v>
      </c>
      <c r="J507" s="1"/>
      <c r="K507" s="1" t="s">
        <v>23</v>
      </c>
      <c r="L507" s="1" t="s">
        <v>2601</v>
      </c>
      <c r="M507" s="1">
        <v>0.0</v>
      </c>
      <c r="N507" s="1">
        <v>1.0</v>
      </c>
      <c r="O507" s="1" t="s">
        <v>315</v>
      </c>
      <c r="P507" s="1" t="s">
        <v>25</v>
      </c>
      <c r="Q507" s="2" t="str">
        <f t="shared" si="1"/>
        <v>H019447</v>
      </c>
    </row>
    <row r="508">
      <c r="A508" s="1" t="s">
        <v>2602</v>
      </c>
      <c r="B508" s="1" t="s">
        <v>2603</v>
      </c>
      <c r="C508" s="1" t="s">
        <v>2604</v>
      </c>
      <c r="D508" s="1" t="s">
        <v>2605</v>
      </c>
      <c r="E508" s="1">
        <v>5278.0</v>
      </c>
      <c r="F508" s="1" t="s">
        <v>315</v>
      </c>
      <c r="G508" s="1">
        <v>841329.0</v>
      </c>
      <c r="H508" s="1" t="s">
        <v>1848</v>
      </c>
      <c r="I508" s="1" t="s">
        <v>1051</v>
      </c>
      <c r="J508" s="1"/>
      <c r="K508" s="1" t="s">
        <v>23</v>
      </c>
      <c r="L508" s="1" t="s">
        <v>2606</v>
      </c>
      <c r="M508" s="1">
        <v>0.0</v>
      </c>
      <c r="N508" s="1">
        <v>1.0</v>
      </c>
      <c r="O508" s="1" t="s">
        <v>315</v>
      </c>
      <c r="P508" s="1" t="s">
        <v>25</v>
      </c>
      <c r="Q508" s="2" t="str">
        <f t="shared" si="1"/>
        <v>H019447</v>
      </c>
    </row>
    <row r="509">
      <c r="A509" s="1" t="s">
        <v>2607</v>
      </c>
      <c r="B509" s="1" t="s">
        <v>2608</v>
      </c>
      <c r="C509" s="1" t="s">
        <v>2609</v>
      </c>
      <c r="D509" s="1" t="s">
        <v>2610</v>
      </c>
      <c r="E509" s="1">
        <v>2424.0</v>
      </c>
      <c r="F509" s="1" t="s">
        <v>315</v>
      </c>
      <c r="G509" s="1">
        <v>841329.0</v>
      </c>
      <c r="H509" s="1" t="s">
        <v>1848</v>
      </c>
      <c r="I509" s="1" t="s">
        <v>1051</v>
      </c>
      <c r="J509" s="1"/>
      <c r="K509" s="1" t="s">
        <v>23</v>
      </c>
      <c r="L509" s="1" t="s">
        <v>2611</v>
      </c>
      <c r="M509" s="1">
        <v>0.0</v>
      </c>
      <c r="N509" s="1">
        <v>1.0</v>
      </c>
      <c r="O509" s="1" t="s">
        <v>315</v>
      </c>
      <c r="P509" s="1" t="s">
        <v>25</v>
      </c>
      <c r="Q509" s="2" t="str">
        <f t="shared" si="1"/>
        <v>H019447</v>
      </c>
    </row>
    <row r="510">
      <c r="A510" s="1" t="s">
        <v>2612</v>
      </c>
      <c r="B510" s="1" t="s">
        <v>2613</v>
      </c>
      <c r="C510" s="1" t="s">
        <v>2614</v>
      </c>
      <c r="D510" s="1" t="s">
        <v>2615</v>
      </c>
      <c r="E510" s="1">
        <v>2422.0</v>
      </c>
      <c r="F510" s="1" t="s">
        <v>315</v>
      </c>
      <c r="G510" s="1">
        <v>841329.0</v>
      </c>
      <c r="H510" s="1" t="s">
        <v>1848</v>
      </c>
      <c r="I510" s="1" t="s">
        <v>1051</v>
      </c>
      <c r="J510" s="1"/>
      <c r="K510" s="1" t="s">
        <v>23</v>
      </c>
      <c r="L510" s="1" t="s">
        <v>2616</v>
      </c>
      <c r="M510" s="1">
        <v>0.0</v>
      </c>
      <c r="N510" s="1">
        <v>1.0</v>
      </c>
      <c r="O510" s="1" t="s">
        <v>315</v>
      </c>
      <c r="P510" s="1" t="s">
        <v>25</v>
      </c>
      <c r="Q510" s="2" t="str">
        <f t="shared" si="1"/>
        <v>H019447</v>
      </c>
    </row>
    <row r="511">
      <c r="A511" s="1" t="s">
        <v>2617</v>
      </c>
      <c r="B511" s="1" t="s">
        <v>2618</v>
      </c>
      <c r="C511" s="1" t="s">
        <v>2619</v>
      </c>
      <c r="D511" s="1" t="s">
        <v>2620</v>
      </c>
      <c r="E511" s="1">
        <v>1542.0</v>
      </c>
      <c r="F511" s="1" t="s">
        <v>498</v>
      </c>
      <c r="G511" s="1" t="s">
        <v>220</v>
      </c>
      <c r="H511" s="1" t="s">
        <v>221</v>
      </c>
      <c r="I511" s="1" t="s">
        <v>1112</v>
      </c>
      <c r="J511" s="1"/>
      <c r="K511" s="1" t="s">
        <v>23</v>
      </c>
      <c r="L511" s="1" t="s">
        <v>2621</v>
      </c>
      <c r="M511" s="1">
        <v>3.0</v>
      </c>
      <c r="N511" s="1">
        <v>1.0</v>
      </c>
      <c r="O511" s="1" t="s">
        <v>498</v>
      </c>
      <c r="P511" s="1" t="s">
        <v>25</v>
      </c>
      <c r="Q511" s="2" t="str">
        <f t="shared" si="1"/>
        <v>H030517</v>
      </c>
    </row>
    <row r="512">
      <c r="A512" s="1" t="s">
        <v>2622</v>
      </c>
      <c r="B512" s="1" t="s">
        <v>2623</v>
      </c>
      <c r="C512" s="1" t="s">
        <v>2624</v>
      </c>
      <c r="D512" s="1" t="s">
        <v>2625</v>
      </c>
      <c r="E512" s="1">
        <v>6602.0</v>
      </c>
      <c r="F512" s="1" t="s">
        <v>498</v>
      </c>
      <c r="G512" s="1" t="s">
        <v>220</v>
      </c>
      <c r="H512" s="1" t="s">
        <v>221</v>
      </c>
      <c r="I512" s="1" t="s">
        <v>1112</v>
      </c>
      <c r="J512" s="1"/>
      <c r="K512" s="1" t="s">
        <v>23</v>
      </c>
      <c r="L512" s="1" t="s">
        <v>2626</v>
      </c>
      <c r="M512" s="1">
        <v>3.0</v>
      </c>
      <c r="N512" s="1">
        <v>1.0</v>
      </c>
      <c r="O512" s="1" t="s">
        <v>498</v>
      </c>
      <c r="P512" s="1" t="s">
        <v>25</v>
      </c>
      <c r="Q512" s="2" t="str">
        <f t="shared" si="1"/>
        <v>H030517</v>
      </c>
    </row>
    <row r="513">
      <c r="A513" s="1" t="s">
        <v>2627</v>
      </c>
      <c r="B513" s="1" t="s">
        <v>2628</v>
      </c>
      <c r="C513" s="1" t="s">
        <v>2629</v>
      </c>
      <c r="D513" s="1" t="s">
        <v>2630</v>
      </c>
      <c r="E513" s="1">
        <v>2895.0</v>
      </c>
      <c r="F513" s="1" t="s">
        <v>498</v>
      </c>
      <c r="G513" s="1" t="s">
        <v>167</v>
      </c>
      <c r="H513" s="1" t="s">
        <v>168</v>
      </c>
      <c r="I513" s="1" t="s">
        <v>1112</v>
      </c>
      <c r="J513" s="1"/>
      <c r="K513" s="1" t="s">
        <v>23</v>
      </c>
      <c r="L513" s="1" t="s">
        <v>2631</v>
      </c>
      <c r="M513" s="1">
        <v>3.0</v>
      </c>
      <c r="N513" s="1">
        <v>1.0</v>
      </c>
      <c r="O513" s="1" t="s">
        <v>498</v>
      </c>
      <c r="P513" s="1" t="s">
        <v>25</v>
      </c>
      <c r="Q513" s="2" t="str">
        <f t="shared" si="1"/>
        <v>H030517</v>
      </c>
    </row>
    <row r="514">
      <c r="A514" s="1" t="s">
        <v>2632</v>
      </c>
      <c r="B514" s="1" t="s">
        <v>2633</v>
      </c>
      <c r="C514" s="1" t="s">
        <v>2634</v>
      </c>
      <c r="D514" s="1" t="s">
        <v>2635</v>
      </c>
      <c r="E514" s="1">
        <v>3309.0</v>
      </c>
      <c r="F514" s="1" t="s">
        <v>498</v>
      </c>
      <c r="G514" s="1" t="s">
        <v>220</v>
      </c>
      <c r="H514" s="1" t="s">
        <v>221</v>
      </c>
      <c r="I514" s="1" t="s">
        <v>1112</v>
      </c>
      <c r="J514" s="1"/>
      <c r="K514" s="1" t="s">
        <v>23</v>
      </c>
      <c r="L514" s="1" t="s">
        <v>2636</v>
      </c>
      <c r="M514" s="1">
        <v>3.0</v>
      </c>
      <c r="N514" s="1">
        <v>1.0</v>
      </c>
      <c r="O514" s="1" t="s">
        <v>498</v>
      </c>
      <c r="P514" s="1" t="s">
        <v>25</v>
      </c>
      <c r="Q514" s="2" t="str">
        <f t="shared" si="1"/>
        <v>H030517</v>
      </c>
    </row>
    <row r="515">
      <c r="A515" s="1" t="s">
        <v>2637</v>
      </c>
      <c r="B515" s="1" t="s">
        <v>2638</v>
      </c>
      <c r="C515" s="1" t="s">
        <v>2639</v>
      </c>
      <c r="D515" s="1" t="s">
        <v>2640</v>
      </c>
      <c r="E515" s="1">
        <v>3071.0</v>
      </c>
      <c r="F515" s="1" t="s">
        <v>398</v>
      </c>
      <c r="G515" s="1" t="s">
        <v>155</v>
      </c>
      <c r="H515" s="1" t="s">
        <v>156</v>
      </c>
      <c r="I515" s="1" t="s">
        <v>1112</v>
      </c>
      <c r="J515" s="1"/>
      <c r="K515" s="1" t="s">
        <v>23</v>
      </c>
      <c r="L515" s="1" t="s">
        <v>2641</v>
      </c>
      <c r="M515" s="1">
        <v>0.0</v>
      </c>
      <c r="N515" s="1">
        <v>1.0</v>
      </c>
      <c r="O515" s="1" t="s">
        <v>398</v>
      </c>
      <c r="P515" s="1" t="s">
        <v>25</v>
      </c>
      <c r="Q515" s="2" t="str">
        <f t="shared" si="1"/>
        <v>H030844</v>
      </c>
    </row>
    <row r="516">
      <c r="A516" s="1" t="s">
        <v>2642</v>
      </c>
      <c r="B516" s="1" t="s">
        <v>2643</v>
      </c>
      <c r="C516" s="1" t="s">
        <v>2644</v>
      </c>
      <c r="D516" s="1" t="s">
        <v>2645</v>
      </c>
      <c r="E516" s="1">
        <v>3066.0</v>
      </c>
      <c r="F516" s="1" t="s">
        <v>398</v>
      </c>
      <c r="G516" s="1" t="s">
        <v>155</v>
      </c>
      <c r="H516" s="1" t="s">
        <v>156</v>
      </c>
      <c r="I516" s="1" t="s">
        <v>1112</v>
      </c>
      <c r="J516" s="1"/>
      <c r="K516" s="1" t="s">
        <v>23</v>
      </c>
      <c r="L516" s="1" t="s">
        <v>2646</v>
      </c>
      <c r="M516" s="1">
        <v>0.0</v>
      </c>
      <c r="N516" s="1">
        <v>1.0</v>
      </c>
      <c r="O516" s="1" t="s">
        <v>398</v>
      </c>
      <c r="P516" s="1" t="s">
        <v>25</v>
      </c>
      <c r="Q516" s="2" t="str">
        <f t="shared" si="1"/>
        <v>H030844</v>
      </c>
    </row>
    <row r="517">
      <c r="A517" s="1" t="s">
        <v>2647</v>
      </c>
      <c r="B517" s="1" t="s">
        <v>2648</v>
      </c>
      <c r="C517" s="1" t="s">
        <v>2649</v>
      </c>
      <c r="D517" s="1" t="s">
        <v>2650</v>
      </c>
      <c r="E517" s="1">
        <v>2155.0</v>
      </c>
      <c r="F517" s="1" t="s">
        <v>398</v>
      </c>
      <c r="G517" s="1" t="s">
        <v>155</v>
      </c>
      <c r="H517" s="1" t="s">
        <v>156</v>
      </c>
      <c r="I517" s="1" t="s">
        <v>1112</v>
      </c>
      <c r="J517" s="1"/>
      <c r="K517" s="1" t="s">
        <v>23</v>
      </c>
      <c r="L517" s="1" t="s">
        <v>2651</v>
      </c>
      <c r="M517" s="1">
        <v>0.0</v>
      </c>
      <c r="N517" s="1">
        <v>1.0</v>
      </c>
      <c r="O517" s="1" t="s">
        <v>398</v>
      </c>
      <c r="P517" s="1" t="s">
        <v>25</v>
      </c>
      <c r="Q517" s="2" t="str">
        <f t="shared" si="1"/>
        <v>H030844</v>
      </c>
    </row>
    <row r="518">
      <c r="A518" s="1" t="s">
        <v>2652</v>
      </c>
      <c r="B518" s="1" t="s">
        <v>2653</v>
      </c>
      <c r="C518" s="1" t="s">
        <v>2654</v>
      </c>
      <c r="D518" s="1" t="s">
        <v>2655</v>
      </c>
      <c r="E518" s="1">
        <v>5081.0</v>
      </c>
      <c r="F518" s="1" t="s">
        <v>398</v>
      </c>
      <c r="G518" s="1" t="s">
        <v>155</v>
      </c>
      <c r="H518" s="1" t="s">
        <v>156</v>
      </c>
      <c r="I518" s="1" t="s">
        <v>1112</v>
      </c>
      <c r="J518" s="1"/>
      <c r="K518" s="1" t="s">
        <v>23</v>
      </c>
      <c r="L518" s="1" t="s">
        <v>2656</v>
      </c>
      <c r="M518" s="1">
        <v>0.0</v>
      </c>
      <c r="N518" s="1">
        <v>1.0</v>
      </c>
      <c r="O518" s="1" t="s">
        <v>398</v>
      </c>
      <c r="P518" s="1" t="s">
        <v>25</v>
      </c>
      <c r="Q518" s="2" t="str">
        <f t="shared" si="1"/>
        <v>H030844</v>
      </c>
    </row>
    <row r="519">
      <c r="A519" s="1" t="s">
        <v>2657</v>
      </c>
      <c r="B519" s="1" t="s">
        <v>2658</v>
      </c>
      <c r="C519" s="1" t="s">
        <v>2659</v>
      </c>
      <c r="D519" s="1" t="s">
        <v>2660</v>
      </c>
      <c r="E519" s="1">
        <v>3147.0</v>
      </c>
      <c r="F519" s="1" t="s">
        <v>398</v>
      </c>
      <c r="G519" s="1" t="s">
        <v>155</v>
      </c>
      <c r="H519" s="1" t="s">
        <v>156</v>
      </c>
      <c r="I519" s="1" t="s">
        <v>1112</v>
      </c>
      <c r="J519" s="1"/>
      <c r="K519" s="1" t="s">
        <v>23</v>
      </c>
      <c r="L519" s="1" t="s">
        <v>2661</v>
      </c>
      <c r="M519" s="1">
        <v>0.0</v>
      </c>
      <c r="N519" s="1">
        <v>1.0</v>
      </c>
      <c r="O519" s="1" t="s">
        <v>398</v>
      </c>
      <c r="P519" s="1" t="s">
        <v>25</v>
      </c>
      <c r="Q519" s="2" t="str">
        <f t="shared" si="1"/>
        <v>H030844</v>
      </c>
    </row>
    <row r="520">
      <c r="A520" s="1" t="s">
        <v>2662</v>
      </c>
      <c r="B520" s="1" t="s">
        <v>2663</v>
      </c>
      <c r="C520" s="1" t="s">
        <v>2664</v>
      </c>
      <c r="D520" s="1" t="s">
        <v>2665</v>
      </c>
      <c r="E520" s="1">
        <v>2581.0</v>
      </c>
      <c r="F520" s="1" t="s">
        <v>398</v>
      </c>
      <c r="G520" s="1" t="s">
        <v>155</v>
      </c>
      <c r="H520" s="1" t="s">
        <v>156</v>
      </c>
      <c r="I520" s="1" t="s">
        <v>1112</v>
      </c>
      <c r="J520" s="1"/>
      <c r="K520" s="1" t="s">
        <v>23</v>
      </c>
      <c r="L520" s="1" t="s">
        <v>2666</v>
      </c>
      <c r="M520" s="1">
        <v>0.0</v>
      </c>
      <c r="N520" s="1">
        <v>1.0</v>
      </c>
      <c r="O520" s="1" t="s">
        <v>398</v>
      </c>
      <c r="P520" s="1" t="s">
        <v>25</v>
      </c>
      <c r="Q520" s="2" t="str">
        <f t="shared" si="1"/>
        <v>H030844</v>
      </c>
    </row>
    <row r="521">
      <c r="A521" s="1" t="s">
        <v>2667</v>
      </c>
      <c r="B521" s="1" t="s">
        <v>2668</v>
      </c>
      <c r="C521" s="1" t="s">
        <v>2669</v>
      </c>
      <c r="D521" s="1" t="s">
        <v>2670</v>
      </c>
      <c r="E521" s="1">
        <v>4093.0</v>
      </c>
      <c r="F521" s="1" t="s">
        <v>398</v>
      </c>
      <c r="G521" s="1" t="s">
        <v>155</v>
      </c>
      <c r="H521" s="1" t="s">
        <v>156</v>
      </c>
      <c r="I521" s="1" t="s">
        <v>1112</v>
      </c>
      <c r="J521" s="1"/>
      <c r="K521" s="1" t="s">
        <v>23</v>
      </c>
      <c r="L521" s="1" t="s">
        <v>2671</v>
      </c>
      <c r="M521" s="1">
        <v>0.0</v>
      </c>
      <c r="N521" s="1">
        <v>1.0</v>
      </c>
      <c r="O521" s="1" t="s">
        <v>398</v>
      </c>
      <c r="P521" s="1" t="s">
        <v>25</v>
      </c>
      <c r="Q521" s="2" t="str">
        <f t="shared" si="1"/>
        <v>H030844</v>
      </c>
    </row>
    <row r="522">
      <c r="A522" s="1" t="s">
        <v>2672</v>
      </c>
      <c r="B522" s="1" t="s">
        <v>2673</v>
      </c>
      <c r="C522" s="1" t="s">
        <v>2674</v>
      </c>
      <c r="D522" s="1" t="s">
        <v>2675</v>
      </c>
      <c r="E522" s="1">
        <v>4585.0</v>
      </c>
      <c r="F522" s="1" t="s">
        <v>398</v>
      </c>
      <c r="G522" s="1" t="s">
        <v>179</v>
      </c>
      <c r="H522" s="1" t="s">
        <v>180</v>
      </c>
      <c r="I522" s="1" t="s">
        <v>1112</v>
      </c>
      <c r="J522" s="1"/>
      <c r="K522" s="1" t="s">
        <v>23</v>
      </c>
      <c r="L522" s="1" t="s">
        <v>2676</v>
      </c>
      <c r="M522" s="1">
        <v>3.0</v>
      </c>
      <c r="N522" s="1">
        <v>1.0</v>
      </c>
      <c r="O522" s="1" t="s">
        <v>398</v>
      </c>
      <c r="P522" s="1" t="s">
        <v>25</v>
      </c>
      <c r="Q522" s="2" t="str">
        <f t="shared" si="1"/>
        <v>H030647</v>
      </c>
    </row>
    <row r="523">
      <c r="A523" s="1" t="s">
        <v>2677</v>
      </c>
      <c r="B523" s="1" t="s">
        <v>2678</v>
      </c>
      <c r="C523" s="1" t="s">
        <v>2679</v>
      </c>
      <c r="D523" s="1" t="s">
        <v>2680</v>
      </c>
      <c r="E523" s="1">
        <v>5044.0</v>
      </c>
      <c r="F523" s="1" t="s">
        <v>398</v>
      </c>
      <c r="G523" s="1" t="s">
        <v>179</v>
      </c>
      <c r="H523" s="1" t="s">
        <v>180</v>
      </c>
      <c r="I523" s="1" t="s">
        <v>1112</v>
      </c>
      <c r="J523" s="1"/>
      <c r="K523" s="1" t="s">
        <v>23</v>
      </c>
      <c r="L523" s="1" t="s">
        <v>2681</v>
      </c>
      <c r="M523" s="1">
        <v>3.0</v>
      </c>
      <c r="N523" s="1">
        <v>1.0</v>
      </c>
      <c r="O523" s="1" t="s">
        <v>398</v>
      </c>
      <c r="P523" s="1" t="s">
        <v>25</v>
      </c>
      <c r="Q523" s="2" t="str">
        <f t="shared" si="1"/>
        <v>H030647</v>
      </c>
    </row>
    <row r="524">
      <c r="A524" s="1" t="s">
        <v>2682</v>
      </c>
      <c r="B524" s="1" t="s">
        <v>2683</v>
      </c>
      <c r="C524" s="1" t="s">
        <v>2684</v>
      </c>
      <c r="D524" s="1" t="s">
        <v>2685</v>
      </c>
      <c r="E524" s="1">
        <v>3469.0</v>
      </c>
      <c r="F524" s="1" t="s">
        <v>398</v>
      </c>
      <c r="G524" s="1" t="s">
        <v>232</v>
      </c>
      <c r="H524" s="1" t="s">
        <v>233</v>
      </c>
      <c r="I524" s="1" t="s">
        <v>1112</v>
      </c>
      <c r="J524" s="1"/>
      <c r="K524" s="1" t="s">
        <v>23</v>
      </c>
      <c r="L524" s="1" t="s">
        <v>2686</v>
      </c>
      <c r="M524" s="1">
        <v>3.0</v>
      </c>
      <c r="N524" s="1">
        <v>1.0</v>
      </c>
      <c r="O524" s="1" t="s">
        <v>398</v>
      </c>
      <c r="P524" s="1" t="s">
        <v>488</v>
      </c>
      <c r="Q524" s="2" t="str">
        <f t="shared" si="1"/>
        <v>H030647</v>
      </c>
    </row>
    <row r="525">
      <c r="A525" s="1" t="s">
        <v>2687</v>
      </c>
      <c r="B525" s="1" t="s">
        <v>2688</v>
      </c>
      <c r="C525" s="1" t="s">
        <v>2689</v>
      </c>
      <c r="D525" s="1" t="s">
        <v>2690</v>
      </c>
      <c r="E525" s="1">
        <v>7669.0</v>
      </c>
      <c r="F525" s="1" t="s">
        <v>398</v>
      </c>
      <c r="G525" s="1" t="s">
        <v>179</v>
      </c>
      <c r="H525" s="1" t="s">
        <v>180</v>
      </c>
      <c r="I525" s="1" t="s">
        <v>1112</v>
      </c>
      <c r="J525" s="1"/>
      <c r="K525" s="1" t="s">
        <v>23</v>
      </c>
      <c r="L525" s="1" t="s">
        <v>2691</v>
      </c>
      <c r="M525" s="1">
        <v>3.0</v>
      </c>
      <c r="N525" s="1">
        <v>1.0</v>
      </c>
      <c r="O525" s="1" t="s">
        <v>398</v>
      </c>
      <c r="P525" s="1" t="s">
        <v>25</v>
      </c>
      <c r="Q525" s="2" t="str">
        <f t="shared" si="1"/>
        <v>H030647</v>
      </c>
    </row>
    <row r="526">
      <c r="A526" s="1" t="s">
        <v>2692</v>
      </c>
      <c r="B526" s="1" t="s">
        <v>2693</v>
      </c>
      <c r="C526" s="1" t="s">
        <v>2694</v>
      </c>
      <c r="D526" s="1" t="s">
        <v>2695</v>
      </c>
      <c r="E526" s="1">
        <v>4643.0</v>
      </c>
      <c r="F526" s="1" t="s">
        <v>398</v>
      </c>
      <c r="G526" s="1" t="s">
        <v>232</v>
      </c>
      <c r="H526" s="1" t="s">
        <v>233</v>
      </c>
      <c r="I526" s="1" t="s">
        <v>1112</v>
      </c>
      <c r="J526" s="1"/>
      <c r="K526" s="1" t="s">
        <v>23</v>
      </c>
      <c r="L526" s="1" t="s">
        <v>2696</v>
      </c>
      <c r="M526" s="1">
        <v>3.0</v>
      </c>
      <c r="N526" s="1">
        <v>1.0</v>
      </c>
      <c r="O526" s="1" t="s">
        <v>398</v>
      </c>
      <c r="P526" s="1" t="s">
        <v>25</v>
      </c>
      <c r="Q526" s="2" t="str">
        <f t="shared" si="1"/>
        <v>H030647</v>
      </c>
    </row>
    <row r="527">
      <c r="A527" s="1" t="s">
        <v>2697</v>
      </c>
      <c r="B527" s="1" t="s">
        <v>2698</v>
      </c>
      <c r="C527" s="1" t="s">
        <v>2699</v>
      </c>
      <c r="D527" s="1" t="s">
        <v>2700</v>
      </c>
      <c r="E527" s="1">
        <v>2908.0</v>
      </c>
      <c r="F527" s="1" t="s">
        <v>398</v>
      </c>
      <c r="G527" s="1" t="s">
        <v>232</v>
      </c>
      <c r="H527" s="1" t="s">
        <v>233</v>
      </c>
      <c r="I527" s="1" t="s">
        <v>1112</v>
      </c>
      <c r="J527" s="1"/>
      <c r="K527" s="1" t="s">
        <v>23</v>
      </c>
      <c r="L527" s="1" t="s">
        <v>2701</v>
      </c>
      <c r="M527" s="1">
        <v>3.0</v>
      </c>
      <c r="N527" s="1">
        <v>1.0</v>
      </c>
      <c r="O527" s="1" t="s">
        <v>398</v>
      </c>
      <c r="P527" s="1" t="s">
        <v>25</v>
      </c>
      <c r="Q527" s="2" t="str">
        <f t="shared" si="1"/>
        <v>H030647</v>
      </c>
    </row>
    <row r="528">
      <c r="A528" s="1" t="s">
        <v>2702</v>
      </c>
      <c r="B528" s="1" t="s">
        <v>2703</v>
      </c>
      <c r="C528" s="1" t="s">
        <v>2704</v>
      </c>
      <c r="D528" s="1" t="s">
        <v>2705</v>
      </c>
      <c r="E528" s="1">
        <v>2804.0</v>
      </c>
      <c r="F528" s="1" t="s">
        <v>398</v>
      </c>
      <c r="G528" s="1" t="s">
        <v>232</v>
      </c>
      <c r="H528" s="1" t="s">
        <v>233</v>
      </c>
      <c r="I528" s="1" t="s">
        <v>1112</v>
      </c>
      <c r="J528" s="1"/>
      <c r="K528" s="1" t="s">
        <v>23</v>
      </c>
      <c r="L528" s="1" t="s">
        <v>2706</v>
      </c>
      <c r="M528" s="1">
        <v>3.0</v>
      </c>
      <c r="N528" s="1">
        <v>1.0</v>
      </c>
      <c r="O528" s="1" t="s">
        <v>398</v>
      </c>
      <c r="P528" s="1" t="s">
        <v>25</v>
      </c>
      <c r="Q528" s="2" t="str">
        <f t="shared" si="1"/>
        <v>H030647</v>
      </c>
    </row>
    <row r="529">
      <c r="A529" s="1" t="s">
        <v>2707</v>
      </c>
      <c r="B529" s="1" t="s">
        <v>2708</v>
      </c>
      <c r="C529" s="1" t="s">
        <v>2709</v>
      </c>
      <c r="D529" s="1" t="s">
        <v>2710</v>
      </c>
      <c r="E529" s="1">
        <v>2689.0</v>
      </c>
      <c r="F529" s="1" t="s">
        <v>398</v>
      </c>
      <c r="G529" s="1" t="s">
        <v>232</v>
      </c>
      <c r="H529" s="1" t="s">
        <v>233</v>
      </c>
      <c r="I529" s="1" t="s">
        <v>1112</v>
      </c>
      <c r="J529" s="1"/>
      <c r="K529" s="1" t="s">
        <v>23</v>
      </c>
      <c r="L529" s="1" t="s">
        <v>2711</v>
      </c>
      <c r="M529" s="1">
        <v>3.0</v>
      </c>
      <c r="N529" s="1">
        <v>1.0</v>
      </c>
      <c r="O529" s="1" t="s">
        <v>398</v>
      </c>
      <c r="P529" s="1" t="s">
        <v>25</v>
      </c>
      <c r="Q529" s="2" t="str">
        <f t="shared" si="1"/>
        <v>H030647</v>
      </c>
    </row>
    <row r="530">
      <c r="A530" s="1" t="s">
        <v>2712</v>
      </c>
      <c r="B530" s="1" t="s">
        <v>2713</v>
      </c>
      <c r="C530" s="1" t="s">
        <v>2714</v>
      </c>
      <c r="D530" s="1" t="s">
        <v>2715</v>
      </c>
      <c r="E530" s="1">
        <v>5066.0</v>
      </c>
      <c r="F530" s="1" t="s">
        <v>498</v>
      </c>
      <c r="G530" s="1" t="s">
        <v>167</v>
      </c>
      <c r="H530" s="1" t="s">
        <v>168</v>
      </c>
      <c r="I530" s="1" t="s">
        <v>1112</v>
      </c>
      <c r="J530" s="1"/>
      <c r="K530" s="1" t="s">
        <v>23</v>
      </c>
      <c r="L530" s="1" t="s">
        <v>2716</v>
      </c>
      <c r="M530" s="1">
        <v>3.0</v>
      </c>
      <c r="N530" s="1">
        <v>1.0</v>
      </c>
      <c r="O530" s="1" t="s">
        <v>498</v>
      </c>
      <c r="P530" s="1" t="s">
        <v>25</v>
      </c>
      <c r="Q530" s="2" t="str">
        <f t="shared" si="1"/>
        <v>H030517</v>
      </c>
    </row>
    <row r="531">
      <c r="A531" s="1" t="s">
        <v>2717</v>
      </c>
      <c r="B531" s="1" t="s">
        <v>2718</v>
      </c>
      <c r="C531" s="1" t="s">
        <v>2719</v>
      </c>
      <c r="D531" s="1" t="s">
        <v>2720</v>
      </c>
      <c r="E531" s="1">
        <v>6731.0</v>
      </c>
      <c r="F531" s="1" t="s">
        <v>498</v>
      </c>
      <c r="G531" s="1" t="s">
        <v>167</v>
      </c>
      <c r="H531" s="1" t="s">
        <v>168</v>
      </c>
      <c r="I531" s="1" t="s">
        <v>1112</v>
      </c>
      <c r="J531" s="1"/>
      <c r="K531" s="1" t="s">
        <v>23</v>
      </c>
      <c r="L531" s="1" t="s">
        <v>2721</v>
      </c>
      <c r="M531" s="1">
        <v>3.0</v>
      </c>
      <c r="N531" s="1">
        <v>1.0</v>
      </c>
      <c r="O531" s="1" t="s">
        <v>498</v>
      </c>
      <c r="P531" s="1" t="s">
        <v>25</v>
      </c>
      <c r="Q531" s="2" t="str">
        <f t="shared" si="1"/>
        <v>H030517</v>
      </c>
    </row>
    <row r="532">
      <c r="A532" s="1" t="s">
        <v>2722</v>
      </c>
      <c r="B532" s="1" t="s">
        <v>2723</v>
      </c>
      <c r="C532" s="1" t="s">
        <v>2724</v>
      </c>
      <c r="D532" s="1" t="s">
        <v>2725</v>
      </c>
      <c r="E532" s="1">
        <v>3890.0</v>
      </c>
      <c r="F532" s="1" t="s">
        <v>498</v>
      </c>
      <c r="G532" s="1" t="s">
        <v>167</v>
      </c>
      <c r="H532" s="1" t="s">
        <v>168</v>
      </c>
      <c r="I532" s="1" t="s">
        <v>1112</v>
      </c>
      <c r="J532" s="1"/>
      <c r="K532" s="1" t="s">
        <v>23</v>
      </c>
      <c r="L532" s="1" t="s">
        <v>2726</v>
      </c>
      <c r="M532" s="1">
        <v>3.0</v>
      </c>
      <c r="N532" s="1">
        <v>1.0</v>
      </c>
      <c r="O532" s="1" t="s">
        <v>498</v>
      </c>
      <c r="P532" s="1" t="s">
        <v>25</v>
      </c>
      <c r="Q532" s="2" t="str">
        <f t="shared" si="1"/>
        <v>H030517</v>
      </c>
    </row>
    <row r="533">
      <c r="A533" s="1" t="s">
        <v>2727</v>
      </c>
      <c r="B533" s="1" t="s">
        <v>2728</v>
      </c>
      <c r="C533" s="1" t="s">
        <v>2729</v>
      </c>
      <c r="D533" s="1" t="s">
        <v>2730</v>
      </c>
      <c r="E533" s="1">
        <v>4775.0</v>
      </c>
      <c r="F533" s="1" t="s">
        <v>498</v>
      </c>
      <c r="G533" s="1" t="s">
        <v>167</v>
      </c>
      <c r="H533" s="1" t="s">
        <v>168</v>
      </c>
      <c r="I533" s="1" t="s">
        <v>1112</v>
      </c>
      <c r="J533" s="1"/>
      <c r="K533" s="1" t="s">
        <v>23</v>
      </c>
      <c r="L533" s="1" t="s">
        <v>2731</v>
      </c>
      <c r="M533" s="1">
        <v>3.0</v>
      </c>
      <c r="N533" s="1">
        <v>1.0</v>
      </c>
      <c r="O533" s="1" t="s">
        <v>498</v>
      </c>
      <c r="P533" s="1" t="s">
        <v>25</v>
      </c>
      <c r="Q533" s="2" t="str">
        <f t="shared" si="1"/>
        <v>H030517</v>
      </c>
    </row>
    <row r="534">
      <c r="A534" s="1" t="s">
        <v>2732</v>
      </c>
      <c r="B534" s="1" t="s">
        <v>2733</v>
      </c>
      <c r="C534" s="1" t="s">
        <v>2734</v>
      </c>
      <c r="D534" s="1" t="s">
        <v>2735</v>
      </c>
      <c r="E534" s="1">
        <v>3184.0</v>
      </c>
      <c r="F534" s="1" t="s">
        <v>498</v>
      </c>
      <c r="G534" s="1">
        <v>896791.0</v>
      </c>
      <c r="H534" s="1" t="s">
        <v>2124</v>
      </c>
      <c r="I534" s="1" t="s">
        <v>1112</v>
      </c>
      <c r="J534" s="1"/>
      <c r="K534" s="1" t="s">
        <v>23</v>
      </c>
      <c r="L534" s="1" t="s">
        <v>2736</v>
      </c>
      <c r="M534" s="1">
        <v>2.0</v>
      </c>
      <c r="N534" s="1">
        <v>1.0</v>
      </c>
      <c r="O534" s="1" t="s">
        <v>498</v>
      </c>
      <c r="P534" s="1" t="s">
        <v>25</v>
      </c>
      <c r="Q534" s="2" t="str">
        <f t="shared" si="1"/>
        <v>H030535</v>
      </c>
    </row>
    <row r="535">
      <c r="A535" s="1" t="s">
        <v>2737</v>
      </c>
      <c r="B535" s="1" t="s">
        <v>2738</v>
      </c>
      <c r="C535" s="1" t="s">
        <v>2739</v>
      </c>
      <c r="D535" s="1" t="s">
        <v>2740</v>
      </c>
      <c r="E535" s="1">
        <v>3353.0</v>
      </c>
      <c r="F535" s="1" t="s">
        <v>498</v>
      </c>
      <c r="G535" s="1">
        <v>896791.0</v>
      </c>
      <c r="H535" s="1" t="s">
        <v>2124</v>
      </c>
      <c r="I535" s="1" t="s">
        <v>1112</v>
      </c>
      <c r="J535" s="1"/>
      <c r="K535" s="1" t="s">
        <v>23</v>
      </c>
      <c r="L535" s="1" t="s">
        <v>2741</v>
      </c>
      <c r="M535" s="1">
        <v>2.0</v>
      </c>
      <c r="N535" s="1">
        <v>1.0</v>
      </c>
      <c r="O535" s="1" t="s">
        <v>498</v>
      </c>
      <c r="P535" s="1" t="s">
        <v>488</v>
      </c>
      <c r="Q535" s="2" t="str">
        <f t="shared" si="1"/>
        <v>H030535</v>
      </c>
    </row>
    <row r="536">
      <c r="A536" s="1" t="s">
        <v>2742</v>
      </c>
      <c r="B536" s="1" t="s">
        <v>2743</v>
      </c>
      <c r="C536" s="1" t="s">
        <v>2744</v>
      </c>
      <c r="D536" s="1" t="s">
        <v>2745</v>
      </c>
      <c r="E536" s="1">
        <v>2795.0</v>
      </c>
      <c r="F536" s="1" t="s">
        <v>315</v>
      </c>
      <c r="G536" s="1">
        <v>455939.0</v>
      </c>
      <c r="H536" s="1" t="s">
        <v>2746</v>
      </c>
      <c r="I536" s="1" t="s">
        <v>1051</v>
      </c>
      <c r="J536" s="1"/>
      <c r="K536" s="1" t="s">
        <v>23</v>
      </c>
      <c r="L536" s="1" t="s">
        <v>2747</v>
      </c>
      <c r="M536" s="1">
        <v>0.0</v>
      </c>
      <c r="N536" s="1">
        <v>1.0</v>
      </c>
      <c r="O536" s="1" t="s">
        <v>315</v>
      </c>
      <c r="P536" s="1" t="s">
        <v>25</v>
      </c>
      <c r="Q536" s="2" t="str">
        <f t="shared" si="1"/>
        <v>H019447</v>
      </c>
    </row>
    <row r="537">
      <c r="A537" s="1" t="s">
        <v>2748</v>
      </c>
      <c r="B537" s="1" t="s">
        <v>2749</v>
      </c>
      <c r="C537" s="1" t="s">
        <v>2750</v>
      </c>
      <c r="D537" s="1" t="s">
        <v>2751</v>
      </c>
      <c r="E537" s="1">
        <v>2276.0</v>
      </c>
      <c r="F537" s="1" t="s">
        <v>315</v>
      </c>
      <c r="G537" s="1">
        <v>455939.0</v>
      </c>
      <c r="H537" s="1" t="s">
        <v>2746</v>
      </c>
      <c r="I537" s="1" t="s">
        <v>1051</v>
      </c>
      <c r="J537" s="1"/>
      <c r="K537" s="1" t="s">
        <v>23</v>
      </c>
      <c r="L537" s="1" t="s">
        <v>2752</v>
      </c>
      <c r="M537" s="1">
        <v>0.0</v>
      </c>
      <c r="N537" s="1">
        <v>1.0</v>
      </c>
      <c r="O537" s="1" t="s">
        <v>315</v>
      </c>
      <c r="P537" s="1" t="s">
        <v>25</v>
      </c>
      <c r="Q537" s="2" t="str">
        <f t="shared" si="1"/>
        <v>H019447</v>
      </c>
    </row>
    <row r="538">
      <c r="A538" s="1" t="s">
        <v>2753</v>
      </c>
      <c r="B538" s="1" t="s">
        <v>2754</v>
      </c>
      <c r="C538" s="1" t="s">
        <v>2755</v>
      </c>
      <c r="D538" s="1" t="s">
        <v>2756</v>
      </c>
      <c r="E538" s="1">
        <v>1658.0</v>
      </c>
      <c r="F538" s="1" t="s">
        <v>315</v>
      </c>
      <c r="G538" s="1">
        <v>455939.0</v>
      </c>
      <c r="H538" s="1" t="s">
        <v>2746</v>
      </c>
      <c r="I538" s="1" t="s">
        <v>1051</v>
      </c>
      <c r="J538" s="1"/>
      <c r="K538" s="1" t="s">
        <v>23</v>
      </c>
      <c r="L538" s="1" t="s">
        <v>2757</v>
      </c>
      <c r="M538" s="1">
        <v>0.0</v>
      </c>
      <c r="N538" s="1">
        <v>1.0</v>
      </c>
      <c r="O538" s="1" t="s">
        <v>315</v>
      </c>
      <c r="P538" s="1" t="s">
        <v>25</v>
      </c>
      <c r="Q538" s="2" t="str">
        <f t="shared" si="1"/>
        <v>H019447</v>
      </c>
    </row>
    <row r="539">
      <c r="A539" s="1" t="s">
        <v>2758</v>
      </c>
      <c r="B539" s="1" t="s">
        <v>2759</v>
      </c>
      <c r="C539" s="1" t="s">
        <v>2760</v>
      </c>
      <c r="D539" s="1" t="s">
        <v>2761</v>
      </c>
      <c r="E539" s="1">
        <v>1967.0</v>
      </c>
      <c r="F539" s="1" t="s">
        <v>315</v>
      </c>
      <c r="G539" s="1">
        <v>455939.0</v>
      </c>
      <c r="H539" s="1" t="s">
        <v>2746</v>
      </c>
      <c r="I539" s="1" t="s">
        <v>1051</v>
      </c>
      <c r="J539" s="1"/>
      <c r="K539" s="1" t="s">
        <v>23</v>
      </c>
      <c r="L539" s="1" t="s">
        <v>2762</v>
      </c>
      <c r="M539" s="1">
        <v>0.0</v>
      </c>
      <c r="N539" s="1">
        <v>1.0</v>
      </c>
      <c r="O539" s="1" t="s">
        <v>315</v>
      </c>
      <c r="P539" s="1" t="s">
        <v>25</v>
      </c>
      <c r="Q539" s="2" t="str">
        <f t="shared" si="1"/>
        <v>H019447</v>
      </c>
    </row>
    <row r="540">
      <c r="A540" s="1" t="s">
        <v>2763</v>
      </c>
      <c r="B540" s="1" t="s">
        <v>2764</v>
      </c>
      <c r="C540" s="1" t="s">
        <v>2765</v>
      </c>
      <c r="D540" s="1" t="s">
        <v>2766</v>
      </c>
      <c r="E540" s="1">
        <v>2111.0</v>
      </c>
      <c r="F540" s="1" t="s">
        <v>315</v>
      </c>
      <c r="G540" s="1">
        <v>455939.0</v>
      </c>
      <c r="H540" s="1" t="s">
        <v>2746</v>
      </c>
      <c r="I540" s="1" t="s">
        <v>1051</v>
      </c>
      <c r="J540" s="1"/>
      <c r="K540" s="1" t="s">
        <v>23</v>
      </c>
      <c r="L540" s="1" t="s">
        <v>2767</v>
      </c>
      <c r="M540" s="1">
        <v>0.0</v>
      </c>
      <c r="N540" s="1">
        <v>1.0</v>
      </c>
      <c r="O540" s="1" t="s">
        <v>315</v>
      </c>
      <c r="P540" s="1" t="s">
        <v>25</v>
      </c>
      <c r="Q540" s="2" t="str">
        <f t="shared" si="1"/>
        <v>H019447</v>
      </c>
    </row>
    <row r="541">
      <c r="A541" s="1" t="s">
        <v>2768</v>
      </c>
      <c r="B541" s="1" t="s">
        <v>2769</v>
      </c>
      <c r="C541" s="1" t="s">
        <v>2770</v>
      </c>
      <c r="D541" s="1" t="s">
        <v>2771</v>
      </c>
      <c r="E541" s="1">
        <v>1963.0</v>
      </c>
      <c r="F541" s="1" t="s">
        <v>288</v>
      </c>
      <c r="G541" s="1">
        <v>729375.0</v>
      </c>
      <c r="H541" s="1" t="s">
        <v>1050</v>
      </c>
      <c r="I541" s="1" t="s">
        <v>1051</v>
      </c>
      <c r="J541" s="1"/>
      <c r="K541" s="1" t="s">
        <v>23</v>
      </c>
      <c r="L541" s="1" t="s">
        <v>2772</v>
      </c>
      <c r="M541" s="1">
        <v>2.0</v>
      </c>
      <c r="N541" s="1">
        <v>1.0</v>
      </c>
      <c r="O541" s="1" t="s">
        <v>288</v>
      </c>
      <c r="P541" s="1" t="s">
        <v>25</v>
      </c>
      <c r="Q541" s="2" t="str">
        <f t="shared" si="1"/>
        <v>H019412</v>
      </c>
    </row>
    <row r="542">
      <c r="A542" s="1" t="s">
        <v>2773</v>
      </c>
      <c r="B542" s="1" t="s">
        <v>2774</v>
      </c>
      <c r="C542" s="1" t="s">
        <v>2775</v>
      </c>
      <c r="D542" s="1" t="s">
        <v>2776</v>
      </c>
      <c r="E542" s="1">
        <v>1996.0</v>
      </c>
      <c r="F542" s="1" t="s">
        <v>288</v>
      </c>
      <c r="G542" s="1">
        <v>729375.0</v>
      </c>
      <c r="H542" s="1" t="s">
        <v>1050</v>
      </c>
      <c r="I542" s="1" t="s">
        <v>1051</v>
      </c>
      <c r="J542" s="1"/>
      <c r="K542" s="1" t="s">
        <v>23</v>
      </c>
      <c r="L542" s="1" t="s">
        <v>2777</v>
      </c>
      <c r="M542" s="1">
        <v>2.0</v>
      </c>
      <c r="N542" s="1">
        <v>1.0</v>
      </c>
      <c r="O542" s="1" t="s">
        <v>288</v>
      </c>
      <c r="P542" s="1" t="s">
        <v>25</v>
      </c>
      <c r="Q542" s="2" t="str">
        <f t="shared" si="1"/>
        <v>H019412</v>
      </c>
    </row>
    <row r="543">
      <c r="A543" s="1" t="s">
        <v>2778</v>
      </c>
      <c r="B543" s="1" t="s">
        <v>2779</v>
      </c>
      <c r="C543" s="1" t="s">
        <v>2780</v>
      </c>
      <c r="D543" s="1" t="s">
        <v>2781</v>
      </c>
      <c r="E543" s="1">
        <v>1794.0</v>
      </c>
      <c r="F543" s="1" t="s">
        <v>288</v>
      </c>
      <c r="G543" s="1">
        <v>729375.0</v>
      </c>
      <c r="H543" s="1" t="s">
        <v>1050</v>
      </c>
      <c r="I543" s="1" t="s">
        <v>1051</v>
      </c>
      <c r="J543" s="1"/>
      <c r="K543" s="1" t="s">
        <v>23</v>
      </c>
      <c r="L543" s="1" t="s">
        <v>2782</v>
      </c>
      <c r="M543" s="1">
        <v>2.0</v>
      </c>
      <c r="N543" s="1">
        <v>1.0</v>
      </c>
      <c r="O543" s="1" t="s">
        <v>288</v>
      </c>
      <c r="P543" s="1" t="s">
        <v>25</v>
      </c>
      <c r="Q543" s="2" t="str">
        <f t="shared" si="1"/>
        <v>H019412</v>
      </c>
    </row>
    <row r="544">
      <c r="A544" s="1" t="s">
        <v>2783</v>
      </c>
      <c r="B544" s="1" t="s">
        <v>2784</v>
      </c>
      <c r="C544" s="1" t="s">
        <v>2785</v>
      </c>
      <c r="D544" s="1" t="s">
        <v>2786</v>
      </c>
      <c r="E544" s="1">
        <v>2914.0</v>
      </c>
      <c r="F544" s="1" t="s">
        <v>288</v>
      </c>
      <c r="G544" s="1" t="s">
        <v>304</v>
      </c>
      <c r="H544" s="1" t="s">
        <v>272</v>
      </c>
      <c r="I544" s="1" t="s">
        <v>1051</v>
      </c>
      <c r="J544" s="1"/>
      <c r="K544" s="1" t="s">
        <v>23</v>
      </c>
      <c r="L544" s="1" t="s">
        <v>2787</v>
      </c>
      <c r="M544" s="1">
        <v>2.0</v>
      </c>
      <c r="N544" s="1">
        <v>1.0</v>
      </c>
      <c r="O544" s="1" t="s">
        <v>288</v>
      </c>
      <c r="P544" s="1" t="s">
        <v>488</v>
      </c>
      <c r="Q544" s="2" t="str">
        <f t="shared" si="1"/>
        <v>H019412</v>
      </c>
    </row>
    <row r="545">
      <c r="A545" s="1" t="s">
        <v>2788</v>
      </c>
      <c r="B545" s="1" t="s">
        <v>2789</v>
      </c>
      <c r="C545" s="1" t="s">
        <v>2790</v>
      </c>
      <c r="D545" s="1" t="s">
        <v>2791</v>
      </c>
      <c r="E545" s="1">
        <v>3287.0</v>
      </c>
      <c r="F545" s="1" t="s">
        <v>288</v>
      </c>
      <c r="G545" s="1" t="s">
        <v>304</v>
      </c>
      <c r="H545" s="1" t="s">
        <v>272</v>
      </c>
      <c r="I545" s="1" t="s">
        <v>1051</v>
      </c>
      <c r="J545" s="1"/>
      <c r="K545" s="1" t="s">
        <v>23</v>
      </c>
      <c r="L545" s="1" t="s">
        <v>2792</v>
      </c>
      <c r="M545" s="1">
        <v>2.0</v>
      </c>
      <c r="N545" s="1">
        <v>1.0</v>
      </c>
      <c r="O545" s="1" t="s">
        <v>288</v>
      </c>
      <c r="P545" s="1" t="s">
        <v>488</v>
      </c>
      <c r="Q545" s="2" t="str">
        <f t="shared" si="1"/>
        <v>H019412</v>
      </c>
    </row>
    <row r="546">
      <c r="A546" s="1" t="s">
        <v>2793</v>
      </c>
      <c r="B546" s="1" t="s">
        <v>2794</v>
      </c>
      <c r="C546" s="1" t="s">
        <v>2795</v>
      </c>
      <c r="D546" s="1" t="s">
        <v>2796</v>
      </c>
      <c r="E546" s="1">
        <v>4909.0</v>
      </c>
      <c r="F546" s="1" t="s">
        <v>351</v>
      </c>
      <c r="G546" s="1" t="s">
        <v>57</v>
      </c>
      <c r="H546" s="1" t="s">
        <v>58</v>
      </c>
      <c r="I546" s="1" t="s">
        <v>486</v>
      </c>
      <c r="J546" s="1"/>
      <c r="K546" s="1" t="s">
        <v>23</v>
      </c>
      <c r="L546" s="1" t="s">
        <v>2797</v>
      </c>
      <c r="M546" s="1">
        <v>0.0</v>
      </c>
      <c r="N546" s="1">
        <v>1.0</v>
      </c>
      <c r="O546" s="1" t="s">
        <v>351</v>
      </c>
      <c r="P546" s="1" t="s">
        <v>25</v>
      </c>
      <c r="Q546" s="2" t="str">
        <f t="shared" si="1"/>
        <v>H030004</v>
      </c>
    </row>
    <row r="547">
      <c r="A547" s="1" t="s">
        <v>2798</v>
      </c>
      <c r="B547" s="1" t="s">
        <v>2799</v>
      </c>
      <c r="C547" s="1" t="s">
        <v>2800</v>
      </c>
      <c r="D547" s="1" t="s">
        <v>2801</v>
      </c>
      <c r="E547" s="1">
        <v>4066.0</v>
      </c>
      <c r="F547" s="1" t="s">
        <v>351</v>
      </c>
      <c r="G547" s="1" t="s">
        <v>57</v>
      </c>
      <c r="H547" s="1" t="s">
        <v>58</v>
      </c>
      <c r="I547" s="1" t="s">
        <v>486</v>
      </c>
      <c r="J547" s="1"/>
      <c r="K547" s="1" t="s">
        <v>23</v>
      </c>
      <c r="L547" s="1" t="s">
        <v>2802</v>
      </c>
      <c r="M547" s="1">
        <v>0.0</v>
      </c>
      <c r="N547" s="1">
        <v>1.0</v>
      </c>
      <c r="O547" s="1" t="s">
        <v>351</v>
      </c>
      <c r="P547" s="1" t="s">
        <v>25</v>
      </c>
      <c r="Q547" s="2" t="str">
        <f t="shared" si="1"/>
        <v>H030004</v>
      </c>
    </row>
    <row r="548">
      <c r="A548" s="1" t="s">
        <v>2803</v>
      </c>
      <c r="B548" s="1" t="s">
        <v>2804</v>
      </c>
      <c r="C548" s="1" t="s">
        <v>2805</v>
      </c>
      <c r="D548" s="1" t="s">
        <v>2806</v>
      </c>
      <c r="E548" s="1">
        <v>3313.0</v>
      </c>
      <c r="F548" s="1" t="s">
        <v>351</v>
      </c>
      <c r="G548" s="1" t="s">
        <v>208</v>
      </c>
      <c r="H548" s="1" t="s">
        <v>209</v>
      </c>
      <c r="I548" s="1" t="s">
        <v>486</v>
      </c>
      <c r="J548" s="1"/>
      <c r="K548" s="1" t="s">
        <v>23</v>
      </c>
      <c r="L548" s="1" t="s">
        <v>2807</v>
      </c>
      <c r="M548" s="1">
        <v>0.0</v>
      </c>
      <c r="N548" s="1">
        <v>1.0</v>
      </c>
      <c r="O548" s="1" t="s">
        <v>351</v>
      </c>
      <c r="P548" s="1" t="s">
        <v>488</v>
      </c>
      <c r="Q548" s="2" t="str">
        <f t="shared" si="1"/>
        <v>H030004</v>
      </c>
    </row>
    <row r="549">
      <c r="A549" s="1" t="s">
        <v>2808</v>
      </c>
      <c r="B549" s="1" t="s">
        <v>2809</v>
      </c>
      <c r="C549" s="1" t="s">
        <v>2810</v>
      </c>
      <c r="D549" s="1" t="s">
        <v>2811</v>
      </c>
      <c r="E549" s="1">
        <v>3928.0</v>
      </c>
      <c r="F549" s="1" t="s">
        <v>351</v>
      </c>
      <c r="G549" s="1" t="s">
        <v>57</v>
      </c>
      <c r="H549" s="1" t="s">
        <v>58</v>
      </c>
      <c r="I549" s="1" t="s">
        <v>486</v>
      </c>
      <c r="J549" s="1"/>
      <c r="K549" s="1" t="s">
        <v>23</v>
      </c>
      <c r="L549" s="1" t="s">
        <v>2812</v>
      </c>
      <c r="M549" s="1">
        <v>0.0</v>
      </c>
      <c r="N549" s="1">
        <v>1.0</v>
      </c>
      <c r="O549" s="1" t="s">
        <v>351</v>
      </c>
      <c r="P549" s="1" t="s">
        <v>25</v>
      </c>
      <c r="Q549" s="2" t="str">
        <f t="shared" si="1"/>
        <v>H030004</v>
      </c>
    </row>
    <row r="550">
      <c r="A550" s="1" t="s">
        <v>2813</v>
      </c>
      <c r="B550" s="1" t="s">
        <v>2814</v>
      </c>
      <c r="C550" s="1" t="s">
        <v>2815</v>
      </c>
      <c r="D550" s="1" t="s">
        <v>2816</v>
      </c>
      <c r="E550" s="1">
        <v>4864.0</v>
      </c>
      <c r="F550" s="1" t="s">
        <v>351</v>
      </c>
      <c r="G550" s="1" t="s">
        <v>57</v>
      </c>
      <c r="H550" s="1" t="s">
        <v>58</v>
      </c>
      <c r="I550" s="1" t="s">
        <v>486</v>
      </c>
      <c r="J550" s="1"/>
      <c r="K550" s="1" t="s">
        <v>23</v>
      </c>
      <c r="L550" s="1" t="s">
        <v>2817</v>
      </c>
      <c r="M550" s="1">
        <v>0.0</v>
      </c>
      <c r="N550" s="1">
        <v>1.0</v>
      </c>
      <c r="O550" s="1" t="s">
        <v>351</v>
      </c>
      <c r="P550" s="1" t="s">
        <v>25</v>
      </c>
      <c r="Q550" s="2" t="str">
        <f t="shared" si="1"/>
        <v>H030004</v>
      </c>
    </row>
    <row r="551">
      <c r="A551" s="1" t="s">
        <v>2818</v>
      </c>
      <c r="B551" s="1" t="s">
        <v>2819</v>
      </c>
      <c r="C551" s="1" t="s">
        <v>2820</v>
      </c>
      <c r="D551" s="1" t="s">
        <v>2821</v>
      </c>
      <c r="E551" s="1">
        <v>4527.0</v>
      </c>
      <c r="F551" s="1" t="s">
        <v>351</v>
      </c>
      <c r="G551" s="1" t="s">
        <v>260</v>
      </c>
      <c r="H551" s="1" t="s">
        <v>261</v>
      </c>
      <c r="I551" s="1" t="s">
        <v>486</v>
      </c>
      <c r="J551" s="1"/>
      <c r="K551" s="1" t="s">
        <v>23</v>
      </c>
      <c r="L551" s="1" t="s">
        <v>2822</v>
      </c>
      <c r="M551" s="1">
        <v>0.0</v>
      </c>
      <c r="N551" s="1">
        <v>1.0</v>
      </c>
      <c r="O551" s="1" t="s">
        <v>351</v>
      </c>
      <c r="P551" s="1" t="s">
        <v>25</v>
      </c>
      <c r="Q551" s="2" t="str">
        <f t="shared" si="1"/>
        <v>H030004</v>
      </c>
    </row>
    <row r="552">
      <c r="A552" s="1" t="s">
        <v>2823</v>
      </c>
      <c r="B552" s="1" t="s">
        <v>2824</v>
      </c>
      <c r="C552" s="1" t="s">
        <v>2825</v>
      </c>
      <c r="D552" s="1" t="s">
        <v>2826</v>
      </c>
      <c r="E552" s="1">
        <v>5691.0</v>
      </c>
      <c r="F552" s="1" t="s">
        <v>351</v>
      </c>
      <c r="G552" s="1" t="s">
        <v>260</v>
      </c>
      <c r="H552" s="1" t="s">
        <v>261</v>
      </c>
      <c r="I552" s="1" t="s">
        <v>486</v>
      </c>
      <c r="J552" s="1"/>
      <c r="K552" s="1" t="s">
        <v>23</v>
      </c>
      <c r="L552" s="1" t="s">
        <v>2827</v>
      </c>
      <c r="M552" s="1">
        <v>0.0</v>
      </c>
      <c r="N552" s="1">
        <v>1.0</v>
      </c>
      <c r="O552" s="1" t="s">
        <v>351</v>
      </c>
      <c r="P552" s="1" t="s">
        <v>25</v>
      </c>
      <c r="Q552" s="2" t="str">
        <f t="shared" si="1"/>
        <v>H030004</v>
      </c>
    </row>
    <row r="553">
      <c r="A553" s="1" t="s">
        <v>2828</v>
      </c>
      <c r="B553" s="1" t="s">
        <v>2829</v>
      </c>
      <c r="C553" s="1" t="s">
        <v>2830</v>
      </c>
      <c r="D553" s="1" t="s">
        <v>2831</v>
      </c>
      <c r="E553" s="1">
        <v>4470.0</v>
      </c>
      <c r="F553" s="1" t="s">
        <v>351</v>
      </c>
      <c r="G553" s="1" t="s">
        <v>260</v>
      </c>
      <c r="H553" s="1" t="s">
        <v>261</v>
      </c>
      <c r="I553" s="1" t="s">
        <v>486</v>
      </c>
      <c r="J553" s="1"/>
      <c r="K553" s="1" t="s">
        <v>23</v>
      </c>
      <c r="L553" s="1" t="s">
        <v>2832</v>
      </c>
      <c r="M553" s="1">
        <v>0.0</v>
      </c>
      <c r="N553" s="1">
        <v>1.0</v>
      </c>
      <c r="O553" s="1" t="s">
        <v>351</v>
      </c>
      <c r="P553" s="1" t="s">
        <v>25</v>
      </c>
      <c r="Q553" s="2" t="str">
        <f t="shared" si="1"/>
        <v>H030004</v>
      </c>
    </row>
    <row r="554">
      <c r="A554" s="1" t="s">
        <v>2833</v>
      </c>
      <c r="B554" s="1" t="s">
        <v>2834</v>
      </c>
      <c r="C554" s="1" t="s">
        <v>2835</v>
      </c>
      <c r="D554" s="1" t="s">
        <v>2836</v>
      </c>
      <c r="E554" s="1">
        <v>3271.0</v>
      </c>
      <c r="F554" s="1" t="s">
        <v>351</v>
      </c>
      <c r="G554" s="1" t="s">
        <v>208</v>
      </c>
      <c r="H554" s="1" t="s">
        <v>209</v>
      </c>
      <c r="I554" s="1" t="s">
        <v>486</v>
      </c>
      <c r="J554" s="1"/>
      <c r="K554" s="1" t="s">
        <v>23</v>
      </c>
      <c r="L554" s="1" t="s">
        <v>2837</v>
      </c>
      <c r="M554" s="1">
        <v>0.0</v>
      </c>
      <c r="N554" s="1">
        <v>1.0</v>
      </c>
      <c r="O554" s="1" t="s">
        <v>351</v>
      </c>
      <c r="P554" s="1" t="s">
        <v>488</v>
      </c>
      <c r="Q554" s="2" t="str">
        <f t="shared" si="1"/>
        <v>H030004</v>
      </c>
    </row>
    <row r="555">
      <c r="A555" s="1" t="s">
        <v>2838</v>
      </c>
      <c r="B555" s="1" t="s">
        <v>2839</v>
      </c>
      <c r="C555" s="1" t="s">
        <v>2840</v>
      </c>
      <c r="D555" s="1" t="s">
        <v>2841</v>
      </c>
      <c r="E555" s="1">
        <v>4785.0</v>
      </c>
      <c r="F555" s="1" t="s">
        <v>351</v>
      </c>
      <c r="G555" s="1" t="s">
        <v>208</v>
      </c>
      <c r="H555" s="1" t="s">
        <v>209</v>
      </c>
      <c r="I555" s="1" t="s">
        <v>486</v>
      </c>
      <c r="J555" s="1"/>
      <c r="K555" s="1" t="s">
        <v>23</v>
      </c>
      <c r="L555" s="1" t="s">
        <v>2842</v>
      </c>
      <c r="M555" s="1">
        <v>0.0</v>
      </c>
      <c r="N555" s="1">
        <v>1.0</v>
      </c>
      <c r="O555" s="1" t="s">
        <v>351</v>
      </c>
      <c r="P555" s="1" t="s">
        <v>488</v>
      </c>
      <c r="Q555" s="2" t="str">
        <f t="shared" si="1"/>
        <v>H030004</v>
      </c>
    </row>
    <row r="556">
      <c r="A556" s="1" t="s">
        <v>2843</v>
      </c>
      <c r="B556" s="1" t="s">
        <v>2844</v>
      </c>
      <c r="C556" s="1" t="s">
        <v>2845</v>
      </c>
      <c r="D556" s="1" t="s">
        <v>2846</v>
      </c>
      <c r="E556" s="1">
        <v>5267.0</v>
      </c>
      <c r="F556" s="1" t="s">
        <v>288</v>
      </c>
      <c r="G556" s="1" t="s">
        <v>304</v>
      </c>
      <c r="H556" s="1" t="s">
        <v>272</v>
      </c>
      <c r="I556" s="1" t="s">
        <v>1051</v>
      </c>
      <c r="J556" s="1"/>
      <c r="K556" s="1" t="s">
        <v>23</v>
      </c>
      <c r="L556" s="1" t="s">
        <v>2847</v>
      </c>
      <c r="M556" s="1">
        <v>2.0</v>
      </c>
      <c r="N556" s="1">
        <v>1.0</v>
      </c>
      <c r="O556" s="1" t="s">
        <v>288</v>
      </c>
      <c r="P556" s="1" t="s">
        <v>25</v>
      </c>
      <c r="Q556" s="2" t="str">
        <f t="shared" si="1"/>
        <v>H019412</v>
      </c>
    </row>
    <row r="557">
      <c r="A557" s="1" t="s">
        <v>2848</v>
      </c>
      <c r="B557" s="1" t="s">
        <v>2849</v>
      </c>
      <c r="C557" s="1" t="s">
        <v>2850</v>
      </c>
      <c r="D557" s="1" t="s">
        <v>2851</v>
      </c>
      <c r="E557" s="1">
        <v>3624.0</v>
      </c>
      <c r="F557" s="1" t="s">
        <v>288</v>
      </c>
      <c r="G557" s="1" t="s">
        <v>304</v>
      </c>
      <c r="H557" s="1" t="s">
        <v>272</v>
      </c>
      <c r="I557" s="1" t="s">
        <v>1051</v>
      </c>
      <c r="J557" s="1"/>
      <c r="K557" s="1" t="s">
        <v>23</v>
      </c>
      <c r="L557" s="1" t="s">
        <v>2852</v>
      </c>
      <c r="M557" s="1">
        <v>2.0</v>
      </c>
      <c r="N557" s="1">
        <v>1.0</v>
      </c>
      <c r="O557" s="1" t="s">
        <v>288</v>
      </c>
      <c r="P557" s="1" t="s">
        <v>25</v>
      </c>
      <c r="Q557" s="2" t="str">
        <f t="shared" si="1"/>
        <v>H019412</v>
      </c>
    </row>
    <row r="558">
      <c r="A558" s="1" t="s">
        <v>2853</v>
      </c>
      <c r="B558" s="1" t="s">
        <v>2854</v>
      </c>
      <c r="C558" s="1" t="s">
        <v>2855</v>
      </c>
      <c r="D558" s="1" t="s">
        <v>2856</v>
      </c>
      <c r="E558" s="1">
        <v>2522.0</v>
      </c>
      <c r="F558" s="1" t="s">
        <v>288</v>
      </c>
      <c r="G558" s="1" t="s">
        <v>304</v>
      </c>
      <c r="H558" s="1" t="s">
        <v>272</v>
      </c>
      <c r="I558" s="1" t="s">
        <v>1051</v>
      </c>
      <c r="J558" s="1"/>
      <c r="K558" s="1" t="s">
        <v>23</v>
      </c>
      <c r="L558" s="1" t="s">
        <v>2857</v>
      </c>
      <c r="M558" s="1">
        <v>2.0</v>
      </c>
      <c r="N558" s="1">
        <v>1.0</v>
      </c>
      <c r="O558" s="1" t="s">
        <v>288</v>
      </c>
      <c r="P558" s="1" t="s">
        <v>25</v>
      </c>
      <c r="Q558" s="2" t="str">
        <f t="shared" si="1"/>
        <v>H019412</v>
      </c>
    </row>
    <row r="559">
      <c r="A559" s="1" t="s">
        <v>2858</v>
      </c>
      <c r="B559" s="1" t="s">
        <v>2859</v>
      </c>
      <c r="C559" s="1" t="s">
        <v>2860</v>
      </c>
      <c r="D559" s="1" t="s">
        <v>2861</v>
      </c>
      <c r="E559" s="1">
        <v>1389.0</v>
      </c>
      <c r="F559" s="1" t="s">
        <v>288</v>
      </c>
      <c r="G559" s="1" t="s">
        <v>304</v>
      </c>
      <c r="H559" s="1" t="s">
        <v>272</v>
      </c>
      <c r="I559" s="1" t="s">
        <v>1051</v>
      </c>
      <c r="J559" s="1"/>
      <c r="K559" s="1" t="s">
        <v>23</v>
      </c>
      <c r="L559" s="1" t="s">
        <v>2862</v>
      </c>
      <c r="M559" s="1">
        <v>2.0</v>
      </c>
      <c r="N559" s="1">
        <v>1.0</v>
      </c>
      <c r="O559" s="1" t="s">
        <v>288</v>
      </c>
      <c r="P559" s="1" t="s">
        <v>488</v>
      </c>
      <c r="Q559" s="2" t="str">
        <f t="shared" si="1"/>
        <v>H019412</v>
      </c>
    </row>
    <row r="560">
      <c r="A560" s="1" t="s">
        <v>2863</v>
      </c>
      <c r="B560" s="1" t="s">
        <v>2864</v>
      </c>
      <c r="C560" s="1" t="s">
        <v>2865</v>
      </c>
      <c r="D560" s="1" t="s">
        <v>2866</v>
      </c>
      <c r="E560" s="1">
        <v>1857.0</v>
      </c>
      <c r="F560" s="1" t="s">
        <v>288</v>
      </c>
      <c r="G560" s="1" t="s">
        <v>304</v>
      </c>
      <c r="H560" s="1" t="s">
        <v>272</v>
      </c>
      <c r="I560" s="1" t="s">
        <v>1051</v>
      </c>
      <c r="J560" s="1"/>
      <c r="K560" s="1" t="s">
        <v>23</v>
      </c>
      <c r="L560" s="1" t="s">
        <v>2867</v>
      </c>
      <c r="M560" s="1">
        <v>2.0</v>
      </c>
      <c r="N560" s="1">
        <v>1.0</v>
      </c>
      <c r="O560" s="1" t="s">
        <v>288</v>
      </c>
      <c r="P560" s="1" t="s">
        <v>488</v>
      </c>
      <c r="Q560" s="2" t="str">
        <f t="shared" si="1"/>
        <v>H019412</v>
      </c>
    </row>
    <row r="561">
      <c r="A561" s="1" t="s">
        <v>2868</v>
      </c>
      <c r="B561" s="1" t="s">
        <v>2869</v>
      </c>
      <c r="C561" s="1" t="s">
        <v>2870</v>
      </c>
      <c r="D561" s="1" t="s">
        <v>2871</v>
      </c>
      <c r="E561" s="1">
        <v>4794.0</v>
      </c>
      <c r="F561" s="1" t="s">
        <v>382</v>
      </c>
      <c r="G561" s="1" t="s">
        <v>474</v>
      </c>
      <c r="H561" s="1" t="s">
        <v>475</v>
      </c>
      <c r="I561" s="1" t="s">
        <v>486</v>
      </c>
      <c r="J561" s="1"/>
      <c r="K561" s="1" t="s">
        <v>23</v>
      </c>
      <c r="L561" s="1" t="s">
        <v>2872</v>
      </c>
      <c r="M561" s="1">
        <v>1.0</v>
      </c>
      <c r="N561" s="1">
        <v>1.0</v>
      </c>
      <c r="O561" s="1" t="s">
        <v>382</v>
      </c>
      <c r="P561" s="1" t="s">
        <v>25</v>
      </c>
      <c r="Q561" s="2" t="str">
        <f t="shared" si="1"/>
        <v>H030634</v>
      </c>
    </row>
    <row r="562">
      <c r="A562" s="1" t="s">
        <v>2873</v>
      </c>
      <c r="B562" s="1" t="s">
        <v>2874</v>
      </c>
      <c r="C562" s="1" t="s">
        <v>2875</v>
      </c>
      <c r="D562" s="1" t="s">
        <v>2876</v>
      </c>
      <c r="E562" s="1">
        <v>3669.0</v>
      </c>
      <c r="F562" s="1" t="s">
        <v>382</v>
      </c>
      <c r="G562" s="1" t="s">
        <v>474</v>
      </c>
      <c r="H562" s="1" t="s">
        <v>475</v>
      </c>
      <c r="I562" s="1" t="s">
        <v>486</v>
      </c>
      <c r="J562" s="1"/>
      <c r="K562" s="1" t="s">
        <v>23</v>
      </c>
      <c r="L562" s="1" t="s">
        <v>2877</v>
      </c>
      <c r="M562" s="1">
        <v>1.0</v>
      </c>
      <c r="N562" s="1">
        <v>1.0</v>
      </c>
      <c r="O562" s="1" t="s">
        <v>382</v>
      </c>
      <c r="P562" s="1" t="s">
        <v>25</v>
      </c>
      <c r="Q562" s="2" t="str">
        <f t="shared" si="1"/>
        <v>H030634</v>
      </c>
    </row>
    <row r="563">
      <c r="A563" s="1" t="s">
        <v>2878</v>
      </c>
      <c r="B563" s="1" t="s">
        <v>2879</v>
      </c>
      <c r="C563" s="1" t="s">
        <v>2880</v>
      </c>
      <c r="D563" s="1" t="s">
        <v>2881</v>
      </c>
      <c r="E563" s="1">
        <v>2655.0</v>
      </c>
      <c r="F563" s="1" t="s">
        <v>382</v>
      </c>
      <c r="G563" s="1" t="s">
        <v>474</v>
      </c>
      <c r="H563" s="1" t="s">
        <v>475</v>
      </c>
      <c r="I563" s="1" t="s">
        <v>486</v>
      </c>
      <c r="J563" s="1"/>
      <c r="K563" s="1" t="s">
        <v>23</v>
      </c>
      <c r="L563" s="1" t="s">
        <v>2882</v>
      </c>
      <c r="M563" s="1">
        <v>1.0</v>
      </c>
      <c r="N563" s="1">
        <v>1.0</v>
      </c>
      <c r="O563" s="1" t="s">
        <v>382</v>
      </c>
      <c r="P563" s="1" t="s">
        <v>25</v>
      </c>
      <c r="Q563" s="2" t="str">
        <f t="shared" si="1"/>
        <v>H030634</v>
      </c>
    </row>
    <row r="564">
      <c r="A564" s="1" t="s">
        <v>2883</v>
      </c>
      <c r="B564" s="1" t="s">
        <v>2884</v>
      </c>
      <c r="C564" s="1" t="s">
        <v>2885</v>
      </c>
      <c r="D564" s="1" t="s">
        <v>2886</v>
      </c>
      <c r="E564" s="1">
        <v>1836.0</v>
      </c>
      <c r="F564" s="1" t="s">
        <v>382</v>
      </c>
      <c r="G564" s="1" t="s">
        <v>191</v>
      </c>
      <c r="H564" s="1" t="s">
        <v>192</v>
      </c>
      <c r="I564" s="1" t="s">
        <v>486</v>
      </c>
      <c r="J564" s="1"/>
      <c r="K564" s="1" t="s">
        <v>23</v>
      </c>
      <c r="L564" s="1" t="s">
        <v>2887</v>
      </c>
      <c r="M564" s="1">
        <v>1.0</v>
      </c>
      <c r="N564" s="1">
        <v>1.0</v>
      </c>
      <c r="O564" s="1" t="s">
        <v>382</v>
      </c>
      <c r="P564" s="1" t="s">
        <v>25</v>
      </c>
      <c r="Q564" s="2" t="str">
        <f t="shared" si="1"/>
        <v>H030634</v>
      </c>
    </row>
    <row r="565">
      <c r="A565" s="1" t="s">
        <v>2888</v>
      </c>
      <c r="B565" s="1" t="s">
        <v>2889</v>
      </c>
      <c r="C565" s="1" t="s">
        <v>2890</v>
      </c>
      <c r="D565" s="1" t="s">
        <v>2891</v>
      </c>
      <c r="E565" s="1">
        <v>1736.0</v>
      </c>
      <c r="F565" s="1" t="s">
        <v>382</v>
      </c>
      <c r="G565" s="1" t="s">
        <v>191</v>
      </c>
      <c r="H565" s="1" t="s">
        <v>192</v>
      </c>
      <c r="I565" s="1" t="s">
        <v>486</v>
      </c>
      <c r="J565" s="1"/>
      <c r="K565" s="1" t="s">
        <v>23</v>
      </c>
      <c r="L565" s="1" t="s">
        <v>2892</v>
      </c>
      <c r="M565" s="1">
        <v>1.0</v>
      </c>
      <c r="N565" s="1">
        <v>1.0</v>
      </c>
      <c r="O565" s="1" t="s">
        <v>382</v>
      </c>
      <c r="P565" s="1" t="s">
        <v>25</v>
      </c>
      <c r="Q565" s="2" t="str">
        <f t="shared" si="1"/>
        <v>H030634</v>
      </c>
    </row>
    <row r="566">
      <c r="A566" s="1" t="s">
        <v>2893</v>
      </c>
      <c r="B566" s="1" t="s">
        <v>2894</v>
      </c>
      <c r="C566" s="1" t="s">
        <v>2895</v>
      </c>
      <c r="D566" s="1" t="s">
        <v>2896</v>
      </c>
      <c r="E566" s="1">
        <v>2306.0</v>
      </c>
      <c r="F566" s="1" t="s">
        <v>382</v>
      </c>
      <c r="G566" s="1" t="s">
        <v>191</v>
      </c>
      <c r="H566" s="1" t="s">
        <v>192</v>
      </c>
      <c r="I566" s="1" t="s">
        <v>486</v>
      </c>
      <c r="J566" s="1"/>
      <c r="K566" s="1" t="s">
        <v>23</v>
      </c>
      <c r="L566" s="1" t="s">
        <v>2897</v>
      </c>
      <c r="M566" s="1">
        <v>1.0</v>
      </c>
      <c r="N566" s="1">
        <v>1.0</v>
      </c>
      <c r="O566" s="1" t="s">
        <v>382</v>
      </c>
      <c r="P566" s="1" t="s">
        <v>25</v>
      </c>
      <c r="Q566" s="2" t="str">
        <f t="shared" si="1"/>
        <v>H030634</v>
      </c>
    </row>
    <row r="567">
      <c r="A567" s="1" t="s">
        <v>2898</v>
      </c>
      <c r="B567" s="1" t="s">
        <v>2899</v>
      </c>
      <c r="C567" s="1" t="s">
        <v>2900</v>
      </c>
      <c r="D567" s="1" t="s">
        <v>2901</v>
      </c>
      <c r="E567" s="1">
        <v>3279.0</v>
      </c>
      <c r="F567" s="1" t="s">
        <v>382</v>
      </c>
      <c r="G567" s="1" t="s">
        <v>107</v>
      </c>
      <c r="H567" s="1" t="s">
        <v>108</v>
      </c>
      <c r="I567" s="1" t="s">
        <v>486</v>
      </c>
      <c r="J567" s="1"/>
      <c r="K567" s="1" t="s">
        <v>23</v>
      </c>
      <c r="L567" s="1" t="s">
        <v>2902</v>
      </c>
      <c r="M567" s="1">
        <v>1.0</v>
      </c>
      <c r="N567" s="1">
        <v>1.0</v>
      </c>
      <c r="O567" s="1" t="s">
        <v>382</v>
      </c>
      <c r="P567" s="1" t="s">
        <v>25</v>
      </c>
      <c r="Q567" s="2" t="str">
        <f t="shared" si="1"/>
        <v>H030634</v>
      </c>
    </row>
    <row r="568">
      <c r="A568" s="1" t="s">
        <v>2903</v>
      </c>
      <c r="B568" s="1" t="s">
        <v>2904</v>
      </c>
      <c r="C568" s="1" t="s">
        <v>2905</v>
      </c>
      <c r="D568" s="1" t="s">
        <v>2906</v>
      </c>
      <c r="E568" s="1">
        <v>2689.0</v>
      </c>
      <c r="F568" s="1" t="s">
        <v>382</v>
      </c>
      <c r="G568" s="1" t="s">
        <v>107</v>
      </c>
      <c r="H568" s="1" t="s">
        <v>108</v>
      </c>
      <c r="I568" s="1" t="s">
        <v>486</v>
      </c>
      <c r="J568" s="1"/>
      <c r="K568" s="1" t="s">
        <v>23</v>
      </c>
      <c r="L568" s="1" t="s">
        <v>2907</v>
      </c>
      <c r="M568" s="1">
        <v>1.0</v>
      </c>
      <c r="N568" s="1">
        <v>1.0</v>
      </c>
      <c r="O568" s="1" t="s">
        <v>382</v>
      </c>
      <c r="P568" s="1" t="s">
        <v>25</v>
      </c>
      <c r="Q568" s="2" t="str">
        <f t="shared" si="1"/>
        <v>H030634</v>
      </c>
    </row>
    <row r="569">
      <c r="A569" s="1" t="s">
        <v>2908</v>
      </c>
      <c r="B569" s="1" t="s">
        <v>2909</v>
      </c>
      <c r="C569" s="1" t="s">
        <v>2910</v>
      </c>
      <c r="D569" s="1" t="s">
        <v>2911</v>
      </c>
      <c r="E569" s="1">
        <v>4223.0</v>
      </c>
      <c r="F569" s="1" t="s">
        <v>382</v>
      </c>
      <c r="G569" s="1" t="s">
        <v>107</v>
      </c>
      <c r="H569" s="1" t="s">
        <v>108</v>
      </c>
      <c r="I569" s="1" t="s">
        <v>486</v>
      </c>
      <c r="J569" s="1"/>
      <c r="K569" s="1" t="s">
        <v>23</v>
      </c>
      <c r="L569" s="1" t="s">
        <v>2912</v>
      </c>
      <c r="M569" s="1">
        <v>1.0</v>
      </c>
      <c r="N569" s="1">
        <v>1.0</v>
      </c>
      <c r="O569" s="1" t="s">
        <v>382</v>
      </c>
      <c r="P569" s="1" t="s">
        <v>25</v>
      </c>
      <c r="Q569" s="2" t="str">
        <f t="shared" si="1"/>
        <v>H030634</v>
      </c>
    </row>
    <row r="570">
      <c r="A570" s="1" t="s">
        <v>2913</v>
      </c>
      <c r="B570" s="1" t="s">
        <v>2914</v>
      </c>
      <c r="C570" s="1" t="s">
        <v>2915</v>
      </c>
      <c r="D570" s="1" t="s">
        <v>2916</v>
      </c>
      <c r="E570" s="1">
        <v>5575.0</v>
      </c>
      <c r="F570" s="1" t="s">
        <v>382</v>
      </c>
      <c r="G570" s="1" t="s">
        <v>107</v>
      </c>
      <c r="H570" s="1" t="s">
        <v>108</v>
      </c>
      <c r="I570" s="1" t="s">
        <v>486</v>
      </c>
      <c r="J570" s="1"/>
      <c r="K570" s="1" t="s">
        <v>23</v>
      </c>
      <c r="L570" s="1" t="s">
        <v>2917</v>
      </c>
      <c r="M570" s="1">
        <v>1.0</v>
      </c>
      <c r="N570" s="1">
        <v>1.0</v>
      </c>
      <c r="O570" s="1" t="s">
        <v>382</v>
      </c>
      <c r="P570" s="1" t="s">
        <v>488</v>
      </c>
      <c r="Q570" s="2" t="str">
        <f t="shared" si="1"/>
        <v>H030634</v>
      </c>
    </row>
    <row r="571">
      <c r="A571" s="1" t="s">
        <v>2918</v>
      </c>
      <c r="B571" s="1" t="s">
        <v>2919</v>
      </c>
      <c r="C571" s="1" t="s">
        <v>2920</v>
      </c>
      <c r="D571" s="1" t="s">
        <v>2921</v>
      </c>
      <c r="E571" s="1">
        <v>2266.0</v>
      </c>
      <c r="F571" s="1" t="s">
        <v>382</v>
      </c>
      <c r="G571" s="1" t="s">
        <v>191</v>
      </c>
      <c r="H571" s="1" t="s">
        <v>192</v>
      </c>
      <c r="I571" s="1" t="s">
        <v>486</v>
      </c>
      <c r="J571" s="1"/>
      <c r="K571" s="1" t="s">
        <v>23</v>
      </c>
      <c r="L571" s="1" t="s">
        <v>2922</v>
      </c>
      <c r="M571" s="1">
        <v>1.0</v>
      </c>
      <c r="N571" s="1">
        <v>1.0</v>
      </c>
      <c r="O571" s="1" t="s">
        <v>382</v>
      </c>
      <c r="P571" s="1" t="s">
        <v>488</v>
      </c>
      <c r="Q571" s="2" t="str">
        <f t="shared" si="1"/>
        <v>H030634</v>
      </c>
    </row>
    <row r="572">
      <c r="A572" s="1" t="s">
        <v>2923</v>
      </c>
      <c r="B572" s="1" t="s">
        <v>2924</v>
      </c>
      <c r="C572" s="1" t="s">
        <v>2925</v>
      </c>
      <c r="D572" s="1" t="s">
        <v>2926</v>
      </c>
      <c r="E572" s="1">
        <v>2659.0</v>
      </c>
      <c r="F572" s="1" t="s">
        <v>382</v>
      </c>
      <c r="G572" s="1" t="s">
        <v>119</v>
      </c>
      <c r="H572" s="1" t="s">
        <v>120</v>
      </c>
      <c r="I572" s="1" t="s">
        <v>486</v>
      </c>
      <c r="J572" s="1"/>
      <c r="K572" s="1" t="s">
        <v>23</v>
      </c>
      <c r="L572" s="1" t="s">
        <v>2927</v>
      </c>
      <c r="M572" s="1">
        <v>1.0</v>
      </c>
      <c r="N572" s="1">
        <v>1.0</v>
      </c>
      <c r="O572" s="1" t="s">
        <v>382</v>
      </c>
      <c r="P572" s="1" t="s">
        <v>25</v>
      </c>
      <c r="Q572" s="2" t="str">
        <f t="shared" si="1"/>
        <v>H030634</v>
      </c>
    </row>
    <row r="573">
      <c r="A573" s="1" t="s">
        <v>2928</v>
      </c>
      <c r="B573" s="1" t="s">
        <v>2929</v>
      </c>
      <c r="C573" s="1" t="s">
        <v>2930</v>
      </c>
      <c r="D573" s="1" t="s">
        <v>2931</v>
      </c>
      <c r="E573" s="1">
        <v>2056.0</v>
      </c>
      <c r="F573" s="1" t="s">
        <v>382</v>
      </c>
      <c r="G573" s="1" t="s">
        <v>119</v>
      </c>
      <c r="H573" s="1" t="s">
        <v>120</v>
      </c>
      <c r="I573" s="1" t="s">
        <v>486</v>
      </c>
      <c r="J573" s="1"/>
      <c r="K573" s="1" t="s">
        <v>23</v>
      </c>
      <c r="L573" s="1" t="s">
        <v>2932</v>
      </c>
      <c r="M573" s="1">
        <v>1.0</v>
      </c>
      <c r="N573" s="1">
        <v>1.0</v>
      </c>
      <c r="O573" s="1" t="s">
        <v>382</v>
      </c>
      <c r="P573" s="1" t="s">
        <v>25</v>
      </c>
      <c r="Q573" s="2" t="str">
        <f t="shared" si="1"/>
        <v>H030634</v>
      </c>
    </row>
    <row r="574">
      <c r="A574" s="1" t="s">
        <v>2933</v>
      </c>
      <c r="B574" s="1" t="s">
        <v>2934</v>
      </c>
      <c r="C574" s="1" t="s">
        <v>2935</v>
      </c>
      <c r="D574" s="1" t="s">
        <v>2936</v>
      </c>
      <c r="E574" s="1">
        <v>2452.0</v>
      </c>
      <c r="F574" s="1" t="s">
        <v>382</v>
      </c>
      <c r="G574" s="1" t="s">
        <v>119</v>
      </c>
      <c r="H574" s="1" t="s">
        <v>120</v>
      </c>
      <c r="I574" s="1" t="s">
        <v>486</v>
      </c>
      <c r="J574" s="1"/>
      <c r="K574" s="1" t="s">
        <v>23</v>
      </c>
      <c r="L574" s="1" t="s">
        <v>2937</v>
      </c>
      <c r="M574" s="1">
        <v>1.0</v>
      </c>
      <c r="N574" s="1">
        <v>1.0</v>
      </c>
      <c r="O574" s="1" t="s">
        <v>382</v>
      </c>
      <c r="P574" s="1" t="s">
        <v>25</v>
      </c>
      <c r="Q574" s="2" t="str">
        <f t="shared" si="1"/>
        <v>H030634</v>
      </c>
    </row>
    <row r="575">
      <c r="A575" s="1" t="s">
        <v>2938</v>
      </c>
      <c r="B575" s="1" t="s">
        <v>2939</v>
      </c>
      <c r="C575" s="1" t="s">
        <v>2940</v>
      </c>
      <c r="D575" s="1" t="s">
        <v>2941</v>
      </c>
      <c r="E575" s="1">
        <v>5671.0</v>
      </c>
      <c r="F575" s="1" t="s">
        <v>351</v>
      </c>
      <c r="G575" s="1" t="s">
        <v>208</v>
      </c>
      <c r="H575" s="1" t="s">
        <v>209</v>
      </c>
      <c r="I575" s="1" t="s">
        <v>486</v>
      </c>
      <c r="J575" s="1"/>
      <c r="K575" s="1" t="s">
        <v>23</v>
      </c>
      <c r="L575" s="1" t="s">
        <v>2942</v>
      </c>
      <c r="M575" s="1">
        <v>0.0</v>
      </c>
      <c r="N575" s="1">
        <v>1.0</v>
      </c>
      <c r="O575" s="1" t="s">
        <v>351</v>
      </c>
      <c r="P575" s="1" t="s">
        <v>488</v>
      </c>
      <c r="Q575" s="2" t="str">
        <f t="shared" si="1"/>
        <v>H030546</v>
      </c>
    </row>
    <row r="576">
      <c r="A576" s="1" t="s">
        <v>2943</v>
      </c>
      <c r="B576" s="1" t="s">
        <v>2944</v>
      </c>
      <c r="C576" s="1" t="s">
        <v>2945</v>
      </c>
      <c r="D576" s="1" t="s">
        <v>2946</v>
      </c>
      <c r="E576" s="1">
        <v>4391.0</v>
      </c>
      <c r="F576" s="1" t="s">
        <v>351</v>
      </c>
      <c r="G576" s="1" t="s">
        <v>208</v>
      </c>
      <c r="H576" s="1" t="s">
        <v>209</v>
      </c>
      <c r="I576" s="1" t="s">
        <v>486</v>
      </c>
      <c r="J576" s="1"/>
      <c r="K576" s="1" t="s">
        <v>23</v>
      </c>
      <c r="L576" s="1" t="s">
        <v>2947</v>
      </c>
      <c r="M576" s="1">
        <v>0.0</v>
      </c>
      <c r="N576" s="1">
        <v>1.0</v>
      </c>
      <c r="O576" s="1" t="s">
        <v>351</v>
      </c>
      <c r="P576" s="1" t="s">
        <v>25</v>
      </c>
      <c r="Q576" s="2" t="str">
        <f t="shared" si="1"/>
        <v>H030546</v>
      </c>
    </row>
    <row r="577">
      <c r="A577" s="1" t="s">
        <v>2948</v>
      </c>
      <c r="B577" s="1" t="s">
        <v>2949</v>
      </c>
      <c r="C577" s="1" t="s">
        <v>2950</v>
      </c>
      <c r="D577" s="1" t="s">
        <v>2951</v>
      </c>
      <c r="E577" s="1">
        <v>3161.0</v>
      </c>
      <c r="F577" s="1" t="s">
        <v>351</v>
      </c>
      <c r="G577" s="1" t="s">
        <v>208</v>
      </c>
      <c r="H577" s="1" t="s">
        <v>209</v>
      </c>
      <c r="I577" s="1" t="s">
        <v>486</v>
      </c>
      <c r="J577" s="1"/>
      <c r="K577" s="1" t="s">
        <v>23</v>
      </c>
      <c r="L577" s="1" t="s">
        <v>2952</v>
      </c>
      <c r="M577" s="1">
        <v>0.0</v>
      </c>
      <c r="N577" s="1">
        <v>1.0</v>
      </c>
      <c r="O577" s="1" t="s">
        <v>351</v>
      </c>
      <c r="P577" s="1" t="s">
        <v>25</v>
      </c>
      <c r="Q577" s="2" t="str">
        <f t="shared" si="1"/>
        <v>H030546</v>
      </c>
    </row>
    <row r="578">
      <c r="A578" s="1" t="s">
        <v>2953</v>
      </c>
      <c r="B578" s="1" t="s">
        <v>2954</v>
      </c>
      <c r="C578" s="1" t="s">
        <v>2955</v>
      </c>
      <c r="D578" s="1" t="s">
        <v>2956</v>
      </c>
      <c r="E578" s="1">
        <v>3651.0</v>
      </c>
      <c r="F578" s="1" t="s">
        <v>351</v>
      </c>
      <c r="G578" s="1" t="s">
        <v>208</v>
      </c>
      <c r="H578" s="1" t="s">
        <v>209</v>
      </c>
      <c r="I578" s="1" t="s">
        <v>486</v>
      </c>
      <c r="J578" s="1"/>
      <c r="K578" s="1" t="s">
        <v>23</v>
      </c>
      <c r="L578" s="1" t="s">
        <v>2957</v>
      </c>
      <c r="M578" s="1">
        <v>0.0</v>
      </c>
      <c r="N578" s="1">
        <v>1.0</v>
      </c>
      <c r="O578" s="1" t="s">
        <v>351</v>
      </c>
      <c r="P578" s="1" t="s">
        <v>25</v>
      </c>
      <c r="Q578" s="2" t="str">
        <f t="shared" si="1"/>
        <v>H030546</v>
      </c>
    </row>
    <row r="579">
      <c r="A579" s="1" t="s">
        <v>2958</v>
      </c>
      <c r="B579" s="1" t="s">
        <v>2959</v>
      </c>
      <c r="C579" s="1" t="s">
        <v>2960</v>
      </c>
      <c r="D579" s="1" t="s">
        <v>2961</v>
      </c>
      <c r="E579" s="1">
        <v>3532.0</v>
      </c>
      <c r="F579" s="1" t="s">
        <v>351</v>
      </c>
      <c r="G579" s="1" t="s">
        <v>57</v>
      </c>
      <c r="H579" s="1" t="s">
        <v>58</v>
      </c>
      <c r="I579" s="1" t="s">
        <v>486</v>
      </c>
      <c r="J579" s="1"/>
      <c r="K579" s="1" t="s">
        <v>23</v>
      </c>
      <c r="L579" s="1" t="s">
        <v>2962</v>
      </c>
      <c r="M579" s="1">
        <v>0.0</v>
      </c>
      <c r="N579" s="1">
        <v>1.0</v>
      </c>
      <c r="O579" s="1" t="s">
        <v>351</v>
      </c>
      <c r="P579" s="1" t="s">
        <v>25</v>
      </c>
      <c r="Q579" s="2" t="str">
        <f t="shared" si="1"/>
        <v>H030546</v>
      </c>
    </row>
    <row r="580">
      <c r="A580" s="1" t="s">
        <v>2963</v>
      </c>
      <c r="B580" s="1" t="s">
        <v>2964</v>
      </c>
      <c r="C580" s="1" t="s">
        <v>2965</v>
      </c>
      <c r="D580" s="1" t="s">
        <v>2966</v>
      </c>
      <c r="E580" s="1">
        <v>4439.0</v>
      </c>
      <c r="F580" s="1" t="s">
        <v>351</v>
      </c>
      <c r="G580" s="1" t="s">
        <v>57</v>
      </c>
      <c r="H580" s="1" t="s">
        <v>58</v>
      </c>
      <c r="I580" s="1" t="s">
        <v>486</v>
      </c>
      <c r="J580" s="1"/>
      <c r="K580" s="1" t="s">
        <v>23</v>
      </c>
      <c r="L580" s="1" t="s">
        <v>2967</v>
      </c>
      <c r="M580" s="1">
        <v>0.0</v>
      </c>
      <c r="N580" s="1">
        <v>1.0</v>
      </c>
      <c r="O580" s="1" t="s">
        <v>351</v>
      </c>
      <c r="P580" s="1" t="s">
        <v>25</v>
      </c>
      <c r="Q580" s="2" t="str">
        <f t="shared" si="1"/>
        <v>H030546</v>
      </c>
    </row>
    <row r="581">
      <c r="A581" s="1" t="s">
        <v>2968</v>
      </c>
      <c r="B581" s="1" t="s">
        <v>2969</v>
      </c>
      <c r="C581" s="1" t="s">
        <v>2970</v>
      </c>
      <c r="D581" s="1" t="s">
        <v>2971</v>
      </c>
      <c r="E581" s="1">
        <v>3361.0</v>
      </c>
      <c r="F581" s="1" t="s">
        <v>351</v>
      </c>
      <c r="G581" s="1" t="s">
        <v>57</v>
      </c>
      <c r="H581" s="1" t="s">
        <v>58</v>
      </c>
      <c r="I581" s="1" t="s">
        <v>486</v>
      </c>
      <c r="J581" s="1"/>
      <c r="K581" s="1" t="s">
        <v>23</v>
      </c>
      <c r="L581" s="1" t="s">
        <v>2972</v>
      </c>
      <c r="M581" s="1">
        <v>0.0</v>
      </c>
      <c r="N581" s="1">
        <v>1.0</v>
      </c>
      <c r="O581" s="1" t="s">
        <v>351</v>
      </c>
      <c r="P581" s="1" t="s">
        <v>25</v>
      </c>
      <c r="Q581" s="2" t="str">
        <f t="shared" si="1"/>
        <v>H030546</v>
      </c>
    </row>
    <row r="582">
      <c r="A582" s="1" t="s">
        <v>2973</v>
      </c>
      <c r="B582" s="1" t="s">
        <v>2974</v>
      </c>
      <c r="C582" s="1" t="s">
        <v>2975</v>
      </c>
      <c r="D582" s="1" t="s">
        <v>2976</v>
      </c>
      <c r="E582" s="1">
        <v>3481.0</v>
      </c>
      <c r="F582" s="1" t="s">
        <v>351</v>
      </c>
      <c r="G582" s="1" t="s">
        <v>57</v>
      </c>
      <c r="H582" s="1" t="s">
        <v>58</v>
      </c>
      <c r="I582" s="1" t="s">
        <v>486</v>
      </c>
      <c r="J582" s="1"/>
      <c r="K582" s="1" t="s">
        <v>23</v>
      </c>
      <c r="L582" s="1" t="s">
        <v>2977</v>
      </c>
      <c r="M582" s="1">
        <v>0.0</v>
      </c>
      <c r="N582" s="1">
        <v>1.0</v>
      </c>
      <c r="O582" s="1" t="s">
        <v>351</v>
      </c>
      <c r="P582" s="1" t="s">
        <v>25</v>
      </c>
      <c r="Q582" s="2" t="str">
        <f t="shared" si="1"/>
        <v>H030546</v>
      </c>
    </row>
    <row r="583">
      <c r="A583" s="1" t="s">
        <v>2978</v>
      </c>
      <c r="B583" s="1" t="s">
        <v>2979</v>
      </c>
      <c r="C583" s="1" t="s">
        <v>2980</v>
      </c>
      <c r="D583" s="1" t="s">
        <v>2981</v>
      </c>
      <c r="E583" s="1">
        <v>2401.0</v>
      </c>
      <c r="F583" s="1" t="s">
        <v>315</v>
      </c>
      <c r="G583" s="1">
        <v>841329.0</v>
      </c>
      <c r="H583" s="1" t="s">
        <v>1848</v>
      </c>
      <c r="I583" s="1" t="s">
        <v>1051</v>
      </c>
      <c r="J583" s="1"/>
      <c r="K583" s="1" t="s">
        <v>23</v>
      </c>
      <c r="L583" s="1" t="s">
        <v>2982</v>
      </c>
      <c r="M583" s="1">
        <v>3.0</v>
      </c>
      <c r="N583" s="1">
        <v>1.0</v>
      </c>
      <c r="O583" s="1" t="s">
        <v>315</v>
      </c>
      <c r="P583" s="1" t="s">
        <v>25</v>
      </c>
      <c r="Q583" s="2" t="str">
        <f t="shared" si="1"/>
        <v>H019277</v>
      </c>
    </row>
    <row r="584">
      <c r="A584" s="1" t="s">
        <v>2983</v>
      </c>
      <c r="B584" s="1" t="s">
        <v>2984</v>
      </c>
      <c r="C584" s="1" t="s">
        <v>2985</v>
      </c>
      <c r="D584" s="1" t="s">
        <v>2986</v>
      </c>
      <c r="E584" s="1">
        <v>3656.0</v>
      </c>
      <c r="F584" s="1" t="s">
        <v>315</v>
      </c>
      <c r="G584" s="1">
        <v>841329.0</v>
      </c>
      <c r="H584" s="1" t="s">
        <v>1848</v>
      </c>
      <c r="I584" s="1" t="s">
        <v>1051</v>
      </c>
      <c r="J584" s="1"/>
      <c r="K584" s="1" t="s">
        <v>23</v>
      </c>
      <c r="L584" s="1" t="s">
        <v>2987</v>
      </c>
      <c r="M584" s="1">
        <v>3.0</v>
      </c>
      <c r="N584" s="1">
        <v>1.0</v>
      </c>
      <c r="O584" s="1" t="s">
        <v>315</v>
      </c>
      <c r="P584" s="1" t="s">
        <v>25</v>
      </c>
      <c r="Q584" s="2" t="str">
        <f t="shared" si="1"/>
        <v>H019277</v>
      </c>
    </row>
    <row r="585">
      <c r="A585" s="1" t="s">
        <v>2988</v>
      </c>
      <c r="B585" s="1" t="s">
        <v>2989</v>
      </c>
      <c r="C585" s="1" t="s">
        <v>2990</v>
      </c>
      <c r="D585" s="1" t="s">
        <v>2991</v>
      </c>
      <c r="E585" s="1">
        <v>3909.0</v>
      </c>
      <c r="F585" s="1" t="s">
        <v>315</v>
      </c>
      <c r="G585" s="1">
        <v>841329.0</v>
      </c>
      <c r="H585" s="1" t="s">
        <v>1848</v>
      </c>
      <c r="I585" s="1" t="s">
        <v>1051</v>
      </c>
      <c r="J585" s="1"/>
      <c r="K585" s="1" t="s">
        <v>23</v>
      </c>
      <c r="L585" s="1" t="s">
        <v>2992</v>
      </c>
      <c r="M585" s="1">
        <v>3.0</v>
      </c>
      <c r="N585" s="1">
        <v>1.0</v>
      </c>
      <c r="O585" s="1" t="s">
        <v>315</v>
      </c>
      <c r="P585" s="1" t="s">
        <v>25</v>
      </c>
      <c r="Q585" s="2" t="str">
        <f t="shared" si="1"/>
        <v>H019277</v>
      </c>
    </row>
    <row r="586">
      <c r="A586" s="1" t="s">
        <v>2993</v>
      </c>
      <c r="B586" s="1" t="s">
        <v>2994</v>
      </c>
      <c r="C586" s="1" t="s">
        <v>2995</v>
      </c>
      <c r="D586" s="1" t="s">
        <v>2996</v>
      </c>
      <c r="E586" s="1">
        <v>2254.0</v>
      </c>
      <c r="F586" s="1" t="s">
        <v>315</v>
      </c>
      <c r="G586" s="1">
        <v>455939.0</v>
      </c>
      <c r="H586" s="1" t="s">
        <v>2746</v>
      </c>
      <c r="I586" s="1" t="s">
        <v>1051</v>
      </c>
      <c r="J586" s="1"/>
      <c r="K586" s="1" t="s">
        <v>23</v>
      </c>
      <c r="L586" s="1" t="s">
        <v>2997</v>
      </c>
      <c r="M586" s="1">
        <v>3.0</v>
      </c>
      <c r="N586" s="1">
        <v>1.0</v>
      </c>
      <c r="O586" s="1" t="s">
        <v>315</v>
      </c>
      <c r="P586" s="1" t="s">
        <v>488</v>
      </c>
      <c r="Q586" s="2" t="str">
        <f t="shared" si="1"/>
        <v>H019277</v>
      </c>
    </row>
    <row r="587">
      <c r="A587" s="1" t="s">
        <v>2998</v>
      </c>
      <c r="B587" s="1" t="s">
        <v>2999</v>
      </c>
      <c r="C587" s="1" t="s">
        <v>3000</v>
      </c>
      <c r="D587" s="1" t="s">
        <v>3001</v>
      </c>
      <c r="E587" s="1">
        <v>3827.0</v>
      </c>
      <c r="F587" s="1" t="s">
        <v>498</v>
      </c>
      <c r="G587" s="1" t="s">
        <v>132</v>
      </c>
      <c r="H587" s="1" t="s">
        <v>133</v>
      </c>
      <c r="I587" s="1" t="s">
        <v>1112</v>
      </c>
      <c r="J587" s="1"/>
      <c r="K587" s="1" t="s">
        <v>23</v>
      </c>
      <c r="L587" s="1" t="s">
        <v>3002</v>
      </c>
      <c r="M587" s="1">
        <v>3.0</v>
      </c>
      <c r="N587" s="1">
        <v>1.0</v>
      </c>
      <c r="O587" s="1" t="s">
        <v>498</v>
      </c>
      <c r="P587" s="1" t="s">
        <v>25</v>
      </c>
      <c r="Q587" s="2" t="str">
        <f t="shared" si="1"/>
        <v>H030327</v>
      </c>
    </row>
    <row r="588">
      <c r="A588" s="1" t="s">
        <v>3003</v>
      </c>
      <c r="B588" s="1" t="s">
        <v>3004</v>
      </c>
      <c r="C588" s="1" t="s">
        <v>3005</v>
      </c>
      <c r="D588" s="1" t="s">
        <v>3006</v>
      </c>
      <c r="E588" s="1">
        <v>2204.0</v>
      </c>
      <c r="F588" s="1" t="s">
        <v>498</v>
      </c>
      <c r="G588" s="1" t="s">
        <v>132</v>
      </c>
      <c r="H588" s="1" t="s">
        <v>133</v>
      </c>
      <c r="I588" s="1" t="s">
        <v>1112</v>
      </c>
      <c r="J588" s="1"/>
      <c r="K588" s="1" t="s">
        <v>23</v>
      </c>
      <c r="L588" s="1" t="s">
        <v>3007</v>
      </c>
      <c r="M588" s="1">
        <v>3.0</v>
      </c>
      <c r="N588" s="1">
        <v>1.0</v>
      </c>
      <c r="O588" s="1" t="s">
        <v>498</v>
      </c>
      <c r="P588" s="1" t="s">
        <v>25</v>
      </c>
      <c r="Q588" s="2" t="str">
        <f t="shared" si="1"/>
        <v>H030327</v>
      </c>
    </row>
    <row r="589">
      <c r="A589" s="1" t="s">
        <v>3008</v>
      </c>
      <c r="B589" s="1" t="s">
        <v>3009</v>
      </c>
      <c r="C589" s="1" t="s">
        <v>3010</v>
      </c>
      <c r="D589" s="1" t="s">
        <v>3011</v>
      </c>
      <c r="E589" s="1">
        <v>4019.0</v>
      </c>
      <c r="F589" s="1" t="s">
        <v>498</v>
      </c>
      <c r="G589" s="1" t="s">
        <v>132</v>
      </c>
      <c r="H589" s="1" t="s">
        <v>133</v>
      </c>
      <c r="I589" s="1" t="s">
        <v>1112</v>
      </c>
      <c r="J589" s="1"/>
      <c r="K589" s="1" t="s">
        <v>23</v>
      </c>
      <c r="L589" s="1" t="s">
        <v>3012</v>
      </c>
      <c r="M589" s="1">
        <v>3.0</v>
      </c>
      <c r="N589" s="1">
        <v>1.0</v>
      </c>
      <c r="O589" s="1" t="s">
        <v>498</v>
      </c>
      <c r="P589" s="1" t="s">
        <v>25</v>
      </c>
      <c r="Q589" s="2" t="str">
        <f t="shared" si="1"/>
        <v>H030327</v>
      </c>
    </row>
    <row r="590">
      <c r="A590" s="1" t="s">
        <v>3013</v>
      </c>
      <c r="B590" s="1" t="s">
        <v>3014</v>
      </c>
      <c r="C590" s="1" t="s">
        <v>3015</v>
      </c>
      <c r="D590" s="1" t="s">
        <v>3016</v>
      </c>
      <c r="E590" s="1">
        <v>2746.0</v>
      </c>
      <c r="F590" s="1" t="s">
        <v>498</v>
      </c>
      <c r="G590" s="1" t="s">
        <v>132</v>
      </c>
      <c r="H590" s="1" t="s">
        <v>133</v>
      </c>
      <c r="I590" s="1" t="s">
        <v>1112</v>
      </c>
      <c r="J590" s="1"/>
      <c r="K590" s="1" t="s">
        <v>23</v>
      </c>
      <c r="L590" s="1" t="s">
        <v>3017</v>
      </c>
      <c r="M590" s="1">
        <v>3.0</v>
      </c>
      <c r="N590" s="1">
        <v>1.0</v>
      </c>
      <c r="O590" s="1" t="s">
        <v>498</v>
      </c>
      <c r="P590" s="1" t="s">
        <v>25</v>
      </c>
      <c r="Q590" s="2" t="str">
        <f t="shared" si="1"/>
        <v>H030327</v>
      </c>
    </row>
    <row r="591">
      <c r="A591" s="1" t="s">
        <v>3018</v>
      </c>
      <c r="B591" s="1" t="s">
        <v>3019</v>
      </c>
      <c r="C591" s="1" t="s">
        <v>3020</v>
      </c>
      <c r="D591" s="1" t="s">
        <v>3021</v>
      </c>
      <c r="E591" s="1">
        <v>3256.0</v>
      </c>
      <c r="F591" s="1" t="s">
        <v>498</v>
      </c>
      <c r="G591" s="1" t="s">
        <v>132</v>
      </c>
      <c r="H591" s="1" t="s">
        <v>133</v>
      </c>
      <c r="I591" s="1" t="s">
        <v>1112</v>
      </c>
      <c r="J591" s="1"/>
      <c r="K591" s="1" t="s">
        <v>23</v>
      </c>
      <c r="L591" s="1" t="s">
        <v>3022</v>
      </c>
      <c r="M591" s="1">
        <v>3.0</v>
      </c>
      <c r="N591" s="1">
        <v>1.0</v>
      </c>
      <c r="O591" s="1" t="s">
        <v>498</v>
      </c>
      <c r="P591" s="1" t="s">
        <v>25</v>
      </c>
      <c r="Q591" s="2" t="str">
        <f t="shared" si="1"/>
        <v>H030327</v>
      </c>
    </row>
    <row r="592">
      <c r="A592" s="1" t="s">
        <v>3023</v>
      </c>
      <c r="B592" s="1" t="s">
        <v>3024</v>
      </c>
      <c r="C592" s="1" t="s">
        <v>3025</v>
      </c>
      <c r="D592" s="1" t="s">
        <v>3026</v>
      </c>
      <c r="E592" s="1">
        <v>4196.0</v>
      </c>
      <c r="F592" s="1" t="s">
        <v>398</v>
      </c>
      <c r="G592" s="1" t="s">
        <v>155</v>
      </c>
      <c r="H592" s="1" t="s">
        <v>156</v>
      </c>
      <c r="I592" s="1" t="s">
        <v>1112</v>
      </c>
      <c r="J592" s="1"/>
      <c r="K592" s="1" t="s">
        <v>23</v>
      </c>
      <c r="L592" s="1" t="s">
        <v>3027</v>
      </c>
      <c r="M592" s="1">
        <v>0.0</v>
      </c>
      <c r="N592" s="1">
        <v>1.0</v>
      </c>
      <c r="O592" s="1" t="s">
        <v>398</v>
      </c>
      <c r="P592" s="1" t="s">
        <v>488</v>
      </c>
      <c r="Q592" s="2" t="str">
        <f t="shared" si="1"/>
        <v>H030844</v>
      </c>
    </row>
    <row r="593">
      <c r="A593" s="1" t="s">
        <v>3028</v>
      </c>
      <c r="B593" s="1" t="s">
        <v>3029</v>
      </c>
      <c r="C593" s="1" t="s">
        <v>3030</v>
      </c>
      <c r="D593" s="1" t="s">
        <v>3031</v>
      </c>
      <c r="E593" s="1">
        <v>2427.0</v>
      </c>
      <c r="F593" s="1" t="s">
        <v>398</v>
      </c>
      <c r="G593" s="1" t="s">
        <v>155</v>
      </c>
      <c r="H593" s="1" t="s">
        <v>156</v>
      </c>
      <c r="I593" s="1" t="s">
        <v>1112</v>
      </c>
      <c r="J593" s="1"/>
      <c r="K593" s="1" t="s">
        <v>23</v>
      </c>
      <c r="L593" s="1" t="s">
        <v>3032</v>
      </c>
      <c r="M593" s="1">
        <v>0.0</v>
      </c>
      <c r="N593" s="1">
        <v>1.0</v>
      </c>
      <c r="O593" s="1" t="s">
        <v>398</v>
      </c>
      <c r="P593" s="1" t="s">
        <v>25</v>
      </c>
      <c r="Q593" s="2" t="str">
        <f t="shared" si="1"/>
        <v>H030844</v>
      </c>
    </row>
    <row r="594">
      <c r="A594" s="1" t="s">
        <v>3033</v>
      </c>
      <c r="B594" s="1" t="s">
        <v>3034</v>
      </c>
      <c r="C594" s="1" t="s">
        <v>3035</v>
      </c>
      <c r="D594" s="1" t="s">
        <v>3036</v>
      </c>
      <c r="E594" s="1">
        <v>2267.0</v>
      </c>
      <c r="F594" s="1" t="s">
        <v>398</v>
      </c>
      <c r="G594" s="1" t="s">
        <v>155</v>
      </c>
      <c r="H594" s="1" t="s">
        <v>156</v>
      </c>
      <c r="I594" s="1" t="s">
        <v>1112</v>
      </c>
      <c r="J594" s="1"/>
      <c r="K594" s="1" t="s">
        <v>23</v>
      </c>
      <c r="L594" s="1" t="s">
        <v>3037</v>
      </c>
      <c r="M594" s="1">
        <v>0.0</v>
      </c>
      <c r="N594" s="1">
        <v>1.0</v>
      </c>
      <c r="O594" s="1" t="s">
        <v>398</v>
      </c>
      <c r="P594" s="1" t="s">
        <v>25</v>
      </c>
      <c r="Q594" s="2" t="str">
        <f t="shared" si="1"/>
        <v>H030844</v>
      </c>
    </row>
    <row r="595">
      <c r="A595" s="1" t="s">
        <v>3038</v>
      </c>
      <c r="B595" s="1" t="s">
        <v>3039</v>
      </c>
      <c r="C595" s="1" t="s">
        <v>3040</v>
      </c>
      <c r="D595" s="1" t="s">
        <v>3041</v>
      </c>
      <c r="E595" s="1">
        <v>3446.0</v>
      </c>
      <c r="F595" s="1" t="s">
        <v>398</v>
      </c>
      <c r="G595" s="1" t="s">
        <v>155</v>
      </c>
      <c r="H595" s="1" t="s">
        <v>156</v>
      </c>
      <c r="I595" s="1" t="s">
        <v>1112</v>
      </c>
      <c r="J595" s="1"/>
      <c r="K595" s="1" t="s">
        <v>23</v>
      </c>
      <c r="L595" s="1" t="s">
        <v>3042</v>
      </c>
      <c r="M595" s="1">
        <v>0.0</v>
      </c>
      <c r="N595" s="1">
        <v>1.0</v>
      </c>
      <c r="O595" s="1" t="s">
        <v>398</v>
      </c>
      <c r="P595" s="1" t="s">
        <v>25</v>
      </c>
      <c r="Q595" s="2" t="str">
        <f t="shared" si="1"/>
        <v>H030844</v>
      </c>
    </row>
    <row r="596">
      <c r="A596" s="1" t="s">
        <v>3043</v>
      </c>
      <c r="B596" s="1" t="s">
        <v>3044</v>
      </c>
      <c r="C596" s="1" t="s">
        <v>3045</v>
      </c>
      <c r="D596" s="1" t="s">
        <v>3046</v>
      </c>
      <c r="E596" s="1">
        <v>3198.0</v>
      </c>
      <c r="F596" s="1" t="s">
        <v>315</v>
      </c>
      <c r="G596" s="1">
        <v>555127.0</v>
      </c>
      <c r="H596" s="1" t="s">
        <v>3047</v>
      </c>
      <c r="I596" s="1" t="s">
        <v>1051</v>
      </c>
      <c r="J596" s="1"/>
      <c r="K596" s="1" t="s">
        <v>23</v>
      </c>
      <c r="L596" s="1" t="s">
        <v>3048</v>
      </c>
      <c r="M596" s="1">
        <v>3.0</v>
      </c>
      <c r="N596" s="1">
        <v>1.0</v>
      </c>
      <c r="O596" s="1" t="s">
        <v>315</v>
      </c>
      <c r="P596" s="1" t="s">
        <v>25</v>
      </c>
      <c r="Q596" s="2" t="str">
        <f t="shared" si="1"/>
        <v>H019277</v>
      </c>
    </row>
    <row r="597">
      <c r="A597" s="1" t="s">
        <v>3049</v>
      </c>
      <c r="B597" s="1" t="s">
        <v>3050</v>
      </c>
      <c r="C597" s="1" t="s">
        <v>3051</v>
      </c>
      <c r="D597" s="1" t="s">
        <v>3052</v>
      </c>
      <c r="E597" s="1">
        <v>3393.0</v>
      </c>
      <c r="F597" s="1" t="s">
        <v>315</v>
      </c>
      <c r="G597" s="1">
        <v>555127.0</v>
      </c>
      <c r="H597" s="1" t="s">
        <v>3047</v>
      </c>
      <c r="I597" s="1" t="s">
        <v>1051</v>
      </c>
      <c r="J597" s="1"/>
      <c r="K597" s="1" t="s">
        <v>23</v>
      </c>
      <c r="L597" s="1" t="s">
        <v>3053</v>
      </c>
      <c r="M597" s="1">
        <v>3.0</v>
      </c>
      <c r="N597" s="1">
        <v>1.0</v>
      </c>
      <c r="O597" s="1" t="s">
        <v>315</v>
      </c>
      <c r="P597" s="1" t="s">
        <v>25</v>
      </c>
      <c r="Q597" s="2" t="str">
        <f t="shared" si="1"/>
        <v>H019277</v>
      </c>
    </row>
    <row r="598">
      <c r="A598" s="1" t="s">
        <v>3054</v>
      </c>
      <c r="B598" s="1" t="s">
        <v>3055</v>
      </c>
      <c r="C598" s="1" t="s">
        <v>3056</v>
      </c>
      <c r="D598" s="1" t="s">
        <v>3057</v>
      </c>
      <c r="E598" s="1">
        <v>2744.0</v>
      </c>
      <c r="F598" s="1" t="s">
        <v>315</v>
      </c>
      <c r="G598" s="1">
        <v>555127.0</v>
      </c>
      <c r="H598" s="1" t="s">
        <v>3047</v>
      </c>
      <c r="I598" s="1" t="s">
        <v>1051</v>
      </c>
      <c r="J598" s="1"/>
      <c r="K598" s="1" t="s">
        <v>23</v>
      </c>
      <c r="L598" s="1" t="s">
        <v>3058</v>
      </c>
      <c r="M598" s="1">
        <v>3.0</v>
      </c>
      <c r="N598" s="1">
        <v>1.0</v>
      </c>
      <c r="O598" s="1" t="s">
        <v>315</v>
      </c>
      <c r="P598" s="1" t="s">
        <v>25</v>
      </c>
      <c r="Q598" s="2" t="str">
        <f t="shared" si="1"/>
        <v>H019277</v>
      </c>
    </row>
    <row r="599">
      <c r="A599" s="1" t="s">
        <v>3059</v>
      </c>
      <c r="B599" s="1" t="s">
        <v>3060</v>
      </c>
      <c r="C599" s="1" t="s">
        <v>3061</v>
      </c>
      <c r="D599" s="1" t="s">
        <v>3062</v>
      </c>
      <c r="E599" s="1">
        <v>3597.0</v>
      </c>
      <c r="F599" s="1" t="s">
        <v>315</v>
      </c>
      <c r="G599" s="1">
        <v>555127.0</v>
      </c>
      <c r="H599" s="1" t="s">
        <v>3047</v>
      </c>
      <c r="I599" s="1" t="s">
        <v>1051</v>
      </c>
      <c r="J599" s="1"/>
      <c r="K599" s="1" t="s">
        <v>23</v>
      </c>
      <c r="L599" s="1" t="s">
        <v>3063</v>
      </c>
      <c r="M599" s="1">
        <v>3.0</v>
      </c>
      <c r="N599" s="1">
        <v>1.0</v>
      </c>
      <c r="O599" s="1" t="s">
        <v>315</v>
      </c>
      <c r="P599" s="1" t="s">
        <v>25</v>
      </c>
      <c r="Q599" s="2" t="str">
        <f t="shared" si="1"/>
        <v>H019277</v>
      </c>
    </row>
    <row r="600">
      <c r="A600" s="1" t="s">
        <v>3064</v>
      </c>
      <c r="B600" s="1" t="s">
        <v>3065</v>
      </c>
      <c r="C600" s="1" t="s">
        <v>3066</v>
      </c>
      <c r="D600" s="1" t="s">
        <v>3067</v>
      </c>
      <c r="E600" s="1">
        <v>3533.0</v>
      </c>
      <c r="F600" s="1" t="s">
        <v>498</v>
      </c>
      <c r="G600" s="1">
        <v>896791.0</v>
      </c>
      <c r="H600" s="1" t="s">
        <v>2124</v>
      </c>
      <c r="I600" s="1" t="s">
        <v>1112</v>
      </c>
      <c r="J600" s="1"/>
      <c r="K600" s="1" t="s">
        <v>23</v>
      </c>
      <c r="L600" s="1" t="s">
        <v>3068</v>
      </c>
      <c r="M600" s="1">
        <v>3.0</v>
      </c>
      <c r="N600" s="1">
        <v>1.0</v>
      </c>
      <c r="O600" s="1" t="s">
        <v>498</v>
      </c>
      <c r="P600" s="1" t="s">
        <v>25</v>
      </c>
      <c r="Q600" s="2" t="str">
        <f t="shared" si="1"/>
        <v>H030327</v>
      </c>
    </row>
    <row r="601">
      <c r="A601" s="1" t="s">
        <v>3069</v>
      </c>
      <c r="B601" s="1" t="s">
        <v>3070</v>
      </c>
      <c r="C601" s="1" t="s">
        <v>3071</v>
      </c>
      <c r="D601" s="1" t="s">
        <v>3072</v>
      </c>
      <c r="E601" s="1">
        <v>1311.0</v>
      </c>
      <c r="F601" s="1" t="s">
        <v>498</v>
      </c>
      <c r="G601" s="1">
        <v>896791.0</v>
      </c>
      <c r="H601" s="1" t="s">
        <v>2124</v>
      </c>
      <c r="I601" s="1" t="s">
        <v>1112</v>
      </c>
      <c r="J601" s="1"/>
      <c r="K601" s="1" t="s">
        <v>23</v>
      </c>
      <c r="L601" s="1" t="s">
        <v>3073</v>
      </c>
      <c r="M601" s="1">
        <v>3.0</v>
      </c>
      <c r="N601" s="1">
        <v>1.0</v>
      </c>
      <c r="O601" s="1" t="s">
        <v>498</v>
      </c>
      <c r="P601" s="1" t="s">
        <v>25</v>
      </c>
      <c r="Q601" s="2" t="str">
        <f t="shared" si="1"/>
        <v>H030327</v>
      </c>
    </row>
    <row r="602">
      <c r="A602" s="1" t="s">
        <v>3074</v>
      </c>
      <c r="B602" s="1" t="s">
        <v>3075</v>
      </c>
      <c r="C602" s="1" t="s">
        <v>3076</v>
      </c>
      <c r="D602" s="1" t="s">
        <v>3077</v>
      </c>
      <c r="E602" s="1">
        <v>3850.0</v>
      </c>
      <c r="F602" s="1" t="s">
        <v>498</v>
      </c>
      <c r="G602" s="1">
        <v>896791.0</v>
      </c>
      <c r="H602" s="1" t="s">
        <v>2124</v>
      </c>
      <c r="I602" s="1" t="s">
        <v>1112</v>
      </c>
      <c r="J602" s="1"/>
      <c r="K602" s="1" t="s">
        <v>23</v>
      </c>
      <c r="L602" s="1" t="s">
        <v>3078</v>
      </c>
      <c r="M602" s="1">
        <v>3.0</v>
      </c>
      <c r="N602" s="1">
        <v>1.0</v>
      </c>
      <c r="O602" s="1" t="s">
        <v>498</v>
      </c>
      <c r="P602" s="1" t="s">
        <v>25</v>
      </c>
      <c r="Q602" s="2" t="str">
        <f t="shared" si="1"/>
        <v>H030327</v>
      </c>
    </row>
    <row r="603">
      <c r="A603" s="1" t="s">
        <v>3079</v>
      </c>
      <c r="B603" s="1" t="s">
        <v>3080</v>
      </c>
      <c r="C603" s="1" t="s">
        <v>3081</v>
      </c>
      <c r="D603" s="1" t="s">
        <v>3082</v>
      </c>
      <c r="E603" s="1">
        <v>3790.0</v>
      </c>
      <c r="F603" s="1" t="s">
        <v>498</v>
      </c>
      <c r="G603" s="1">
        <v>896791.0</v>
      </c>
      <c r="H603" s="1" t="s">
        <v>2124</v>
      </c>
      <c r="I603" s="1" t="s">
        <v>1112</v>
      </c>
      <c r="J603" s="1"/>
      <c r="K603" s="1" t="s">
        <v>23</v>
      </c>
      <c r="L603" s="1" t="s">
        <v>3083</v>
      </c>
      <c r="M603" s="1">
        <v>3.0</v>
      </c>
      <c r="N603" s="1">
        <v>1.0</v>
      </c>
      <c r="O603" s="1" t="s">
        <v>498</v>
      </c>
      <c r="P603" s="1" t="s">
        <v>25</v>
      </c>
      <c r="Q603" s="2" t="str">
        <f t="shared" si="1"/>
        <v>H030327</v>
      </c>
    </row>
    <row r="604">
      <c r="A604" s="1" t="s">
        <v>3084</v>
      </c>
      <c r="B604" s="1" t="s">
        <v>3085</v>
      </c>
      <c r="C604" s="1" t="s">
        <v>3086</v>
      </c>
      <c r="D604" s="1" t="s">
        <v>3087</v>
      </c>
      <c r="E604" s="1">
        <v>3362.0</v>
      </c>
      <c r="F604" s="1" t="s">
        <v>498</v>
      </c>
      <c r="G604" s="1">
        <v>896791.0</v>
      </c>
      <c r="H604" s="1" t="s">
        <v>2124</v>
      </c>
      <c r="I604" s="1" t="s">
        <v>1112</v>
      </c>
      <c r="J604" s="1"/>
      <c r="K604" s="1" t="s">
        <v>23</v>
      </c>
      <c r="L604" s="1" t="s">
        <v>3088</v>
      </c>
      <c r="M604" s="1">
        <v>3.0</v>
      </c>
      <c r="N604" s="1">
        <v>1.0</v>
      </c>
      <c r="O604" s="1" t="s">
        <v>498</v>
      </c>
      <c r="P604" s="1" t="s">
        <v>25</v>
      </c>
      <c r="Q604" s="2" t="str">
        <f t="shared" si="1"/>
        <v>H030327</v>
      </c>
    </row>
    <row r="605">
      <c r="A605" s="1" t="s">
        <v>3089</v>
      </c>
      <c r="B605" s="1" t="s">
        <v>3090</v>
      </c>
      <c r="C605" s="1" t="s">
        <v>3091</v>
      </c>
      <c r="D605" s="1" t="s">
        <v>3092</v>
      </c>
      <c r="E605" s="1">
        <v>5690.0</v>
      </c>
      <c r="F605" s="1" t="s">
        <v>398</v>
      </c>
      <c r="G605" s="1" t="s">
        <v>179</v>
      </c>
      <c r="H605" s="1" t="s">
        <v>180</v>
      </c>
      <c r="I605" s="1" t="s">
        <v>1112</v>
      </c>
      <c r="J605" s="1"/>
      <c r="K605" s="1" t="s">
        <v>23</v>
      </c>
      <c r="L605" s="1" t="s">
        <v>3093</v>
      </c>
      <c r="M605" s="1">
        <v>0.0</v>
      </c>
      <c r="N605" s="1">
        <v>1.0</v>
      </c>
      <c r="O605" s="1" t="s">
        <v>398</v>
      </c>
      <c r="P605" s="1" t="s">
        <v>25</v>
      </c>
      <c r="Q605" s="2" t="str">
        <f t="shared" si="1"/>
        <v>H030597</v>
      </c>
    </row>
    <row r="606">
      <c r="A606" s="1" t="s">
        <v>3094</v>
      </c>
      <c r="B606" s="1" t="s">
        <v>3095</v>
      </c>
      <c r="C606" s="1" t="s">
        <v>3096</v>
      </c>
      <c r="D606" s="1" t="s">
        <v>3097</v>
      </c>
      <c r="E606" s="1">
        <v>3307.0</v>
      </c>
      <c r="F606" s="1" t="s">
        <v>398</v>
      </c>
      <c r="G606" s="1" t="s">
        <v>179</v>
      </c>
      <c r="H606" s="1" t="s">
        <v>180</v>
      </c>
      <c r="I606" s="1" t="s">
        <v>1112</v>
      </c>
      <c r="J606" s="1"/>
      <c r="K606" s="1" t="s">
        <v>23</v>
      </c>
      <c r="L606" s="1" t="s">
        <v>3098</v>
      </c>
      <c r="M606" s="1">
        <v>0.0</v>
      </c>
      <c r="N606" s="1">
        <v>1.0</v>
      </c>
      <c r="O606" s="1" t="s">
        <v>398</v>
      </c>
      <c r="P606" s="1" t="s">
        <v>25</v>
      </c>
      <c r="Q606" s="2" t="str">
        <f t="shared" si="1"/>
        <v>H030597</v>
      </c>
    </row>
    <row r="607">
      <c r="A607" s="1" t="s">
        <v>3099</v>
      </c>
      <c r="B607" s="1" t="s">
        <v>3100</v>
      </c>
      <c r="C607" s="1" t="s">
        <v>3101</v>
      </c>
      <c r="D607" s="1" t="s">
        <v>3102</v>
      </c>
      <c r="E607" s="1">
        <v>89.0</v>
      </c>
      <c r="F607" s="1" t="s">
        <v>398</v>
      </c>
      <c r="G607" s="1" t="s">
        <v>179</v>
      </c>
      <c r="H607" s="1" t="s">
        <v>180</v>
      </c>
      <c r="I607" s="1" t="s">
        <v>1112</v>
      </c>
      <c r="J607" s="1"/>
      <c r="K607" s="1" t="s">
        <v>23</v>
      </c>
      <c r="L607" s="1" t="s">
        <v>3103</v>
      </c>
      <c r="M607" s="1">
        <v>0.0</v>
      </c>
      <c r="N607" s="1">
        <v>0.0</v>
      </c>
      <c r="O607" s="1" t="s">
        <v>398</v>
      </c>
      <c r="P607" s="1" t="s">
        <v>25</v>
      </c>
      <c r="Q607" s="2" t="str">
        <f t="shared" si="1"/>
        <v>H030597</v>
      </c>
    </row>
    <row r="608">
      <c r="A608" s="1" t="s">
        <v>3104</v>
      </c>
      <c r="B608" s="1" t="s">
        <v>3105</v>
      </c>
      <c r="C608" s="1" t="s">
        <v>3106</v>
      </c>
      <c r="D608" s="1" t="s">
        <v>3107</v>
      </c>
      <c r="E608" s="1">
        <v>4477.0</v>
      </c>
      <c r="F608" s="1" t="s">
        <v>398</v>
      </c>
      <c r="G608" s="1" t="s">
        <v>179</v>
      </c>
      <c r="H608" s="1" t="s">
        <v>180</v>
      </c>
      <c r="I608" s="1" t="s">
        <v>1112</v>
      </c>
      <c r="J608" s="1"/>
      <c r="K608" s="1" t="s">
        <v>23</v>
      </c>
      <c r="L608" s="1" t="s">
        <v>3108</v>
      </c>
      <c r="M608" s="1">
        <v>0.0</v>
      </c>
      <c r="N608" s="1">
        <v>1.0</v>
      </c>
      <c r="O608" s="1" t="s">
        <v>398</v>
      </c>
      <c r="P608" s="1" t="s">
        <v>25</v>
      </c>
      <c r="Q608" s="2" t="str">
        <f t="shared" si="1"/>
        <v>H030597</v>
      </c>
    </row>
    <row r="609">
      <c r="A609" s="1" t="s">
        <v>3109</v>
      </c>
      <c r="B609" s="1" t="s">
        <v>3110</v>
      </c>
      <c r="C609" s="1" t="s">
        <v>3111</v>
      </c>
      <c r="D609" s="1" t="s">
        <v>3112</v>
      </c>
      <c r="E609" s="1">
        <v>6950.0</v>
      </c>
      <c r="F609" s="1" t="s">
        <v>398</v>
      </c>
      <c r="G609" s="1" t="s">
        <v>179</v>
      </c>
      <c r="H609" s="1" t="s">
        <v>180</v>
      </c>
      <c r="I609" s="1" t="s">
        <v>1112</v>
      </c>
      <c r="J609" s="1"/>
      <c r="K609" s="1" t="s">
        <v>23</v>
      </c>
      <c r="L609" s="1" t="s">
        <v>3113</v>
      </c>
      <c r="M609" s="1">
        <v>0.0</v>
      </c>
      <c r="N609" s="1">
        <v>1.0</v>
      </c>
      <c r="O609" s="1" t="s">
        <v>398</v>
      </c>
      <c r="P609" s="1" t="s">
        <v>25</v>
      </c>
      <c r="Q609" s="2" t="str">
        <f t="shared" si="1"/>
        <v>H030597</v>
      </c>
    </row>
    <row r="610">
      <c r="A610" s="1" t="s">
        <v>3114</v>
      </c>
      <c r="B610" s="1" t="s">
        <v>3115</v>
      </c>
      <c r="C610" s="1" t="s">
        <v>3116</v>
      </c>
      <c r="D610" s="1" t="s">
        <v>3117</v>
      </c>
      <c r="E610" s="1">
        <v>3661.0</v>
      </c>
      <c r="F610" s="1" t="s">
        <v>351</v>
      </c>
      <c r="G610" s="1" t="s">
        <v>260</v>
      </c>
      <c r="H610" s="1" t="s">
        <v>261</v>
      </c>
      <c r="I610" s="1" t="s">
        <v>486</v>
      </c>
      <c r="J610" s="1"/>
      <c r="K610" s="1" t="s">
        <v>23</v>
      </c>
      <c r="L610" s="1" t="s">
        <v>3118</v>
      </c>
      <c r="M610" s="1">
        <v>0.0</v>
      </c>
      <c r="N610" s="1">
        <v>1.0</v>
      </c>
      <c r="O610" s="1" t="s">
        <v>351</v>
      </c>
      <c r="P610" s="1" t="s">
        <v>25</v>
      </c>
      <c r="Q610" s="2" t="str">
        <f t="shared" si="1"/>
        <v>H030546</v>
      </c>
    </row>
    <row r="611">
      <c r="A611" s="1" t="s">
        <v>3119</v>
      </c>
      <c r="B611" s="1" t="s">
        <v>3120</v>
      </c>
      <c r="C611" s="1" t="s">
        <v>3121</v>
      </c>
      <c r="D611" s="1" t="s">
        <v>3122</v>
      </c>
      <c r="E611" s="1">
        <v>7213.0</v>
      </c>
      <c r="F611" s="1" t="s">
        <v>351</v>
      </c>
      <c r="G611" s="1" t="s">
        <v>260</v>
      </c>
      <c r="H611" s="1" t="s">
        <v>261</v>
      </c>
      <c r="I611" s="1" t="s">
        <v>486</v>
      </c>
      <c r="J611" s="1"/>
      <c r="K611" s="1" t="s">
        <v>23</v>
      </c>
      <c r="L611" s="1" t="s">
        <v>3123</v>
      </c>
      <c r="M611" s="1">
        <v>0.0</v>
      </c>
      <c r="N611" s="1">
        <v>1.0</v>
      </c>
      <c r="O611" s="1" t="s">
        <v>351</v>
      </c>
      <c r="P611" s="1" t="s">
        <v>25</v>
      </c>
      <c r="Q611" s="2" t="str">
        <f t="shared" si="1"/>
        <v>H030546</v>
      </c>
    </row>
    <row r="612">
      <c r="A612" s="1" t="s">
        <v>3124</v>
      </c>
      <c r="B612" s="1" t="s">
        <v>3125</v>
      </c>
      <c r="C612" s="1" t="s">
        <v>3126</v>
      </c>
      <c r="D612" s="1" t="s">
        <v>3127</v>
      </c>
      <c r="E612" s="1">
        <v>5170.0</v>
      </c>
      <c r="F612" s="1" t="s">
        <v>351</v>
      </c>
      <c r="G612" s="1" t="s">
        <v>260</v>
      </c>
      <c r="H612" s="1" t="s">
        <v>261</v>
      </c>
      <c r="I612" s="1" t="s">
        <v>486</v>
      </c>
      <c r="J612" s="1"/>
      <c r="K612" s="1" t="s">
        <v>23</v>
      </c>
      <c r="L612" s="1" t="s">
        <v>3128</v>
      </c>
      <c r="M612" s="1">
        <v>0.0</v>
      </c>
      <c r="N612" s="1">
        <v>1.0</v>
      </c>
      <c r="O612" s="1" t="s">
        <v>351</v>
      </c>
      <c r="P612" s="1" t="s">
        <v>25</v>
      </c>
      <c r="Q612" s="2" t="str">
        <f t="shared" si="1"/>
        <v>H030546</v>
      </c>
    </row>
    <row r="613">
      <c r="A613" s="1" t="s">
        <v>3129</v>
      </c>
      <c r="B613" s="1" t="s">
        <v>3130</v>
      </c>
      <c r="C613" s="1" t="s">
        <v>3131</v>
      </c>
      <c r="D613" s="1" t="s">
        <v>3132</v>
      </c>
      <c r="E613" s="1">
        <v>4677.0</v>
      </c>
      <c r="F613" s="1" t="s">
        <v>351</v>
      </c>
      <c r="G613" s="1" t="s">
        <v>260</v>
      </c>
      <c r="H613" s="1" t="s">
        <v>261</v>
      </c>
      <c r="I613" s="1" t="s">
        <v>486</v>
      </c>
      <c r="J613" s="1"/>
      <c r="K613" s="1" t="s">
        <v>23</v>
      </c>
      <c r="L613" s="1" t="s">
        <v>3133</v>
      </c>
      <c r="M613" s="1">
        <v>0.0</v>
      </c>
      <c r="N613" s="1">
        <v>1.0</v>
      </c>
      <c r="O613" s="1" t="s">
        <v>351</v>
      </c>
      <c r="P613" s="1" t="s">
        <v>25</v>
      </c>
      <c r="Q613" s="2" t="str">
        <f t="shared" si="1"/>
        <v>H030546</v>
      </c>
    </row>
    <row r="614">
      <c r="A614" s="1" t="s">
        <v>3134</v>
      </c>
      <c r="B614" s="1" t="s">
        <v>3135</v>
      </c>
      <c r="C614" s="1" t="s">
        <v>3136</v>
      </c>
      <c r="D614" s="1" t="s">
        <v>3137</v>
      </c>
      <c r="E614" s="1">
        <v>4327.0</v>
      </c>
      <c r="F614" s="1" t="s">
        <v>398</v>
      </c>
      <c r="G614" s="1" t="s">
        <v>232</v>
      </c>
      <c r="H614" s="1" t="s">
        <v>233</v>
      </c>
      <c r="I614" s="1" t="s">
        <v>1112</v>
      </c>
      <c r="J614" s="1"/>
      <c r="K614" s="1" t="s">
        <v>23</v>
      </c>
      <c r="L614" s="1" t="s">
        <v>3138</v>
      </c>
      <c r="M614" s="1">
        <v>0.0</v>
      </c>
      <c r="N614" s="1">
        <v>1.0</v>
      </c>
      <c r="O614" s="1" t="s">
        <v>398</v>
      </c>
      <c r="P614" s="1" t="s">
        <v>25</v>
      </c>
      <c r="Q614" s="2" t="str">
        <f t="shared" si="1"/>
        <v>H030844</v>
      </c>
    </row>
    <row r="615">
      <c r="A615" s="1" t="s">
        <v>3139</v>
      </c>
      <c r="B615" s="1" t="s">
        <v>3140</v>
      </c>
      <c r="C615" s="1" t="s">
        <v>3141</v>
      </c>
      <c r="D615" s="1" t="s">
        <v>3142</v>
      </c>
      <c r="E615" s="1">
        <v>3491.0</v>
      </c>
      <c r="F615" s="1" t="s">
        <v>398</v>
      </c>
      <c r="G615" s="1" t="s">
        <v>232</v>
      </c>
      <c r="H615" s="1" t="s">
        <v>233</v>
      </c>
      <c r="I615" s="1" t="s">
        <v>1112</v>
      </c>
      <c r="J615" s="1"/>
      <c r="K615" s="1" t="s">
        <v>23</v>
      </c>
      <c r="L615" s="1" t="s">
        <v>3143</v>
      </c>
      <c r="M615" s="1">
        <v>0.0</v>
      </c>
      <c r="N615" s="1">
        <v>1.0</v>
      </c>
      <c r="O615" s="1" t="s">
        <v>398</v>
      </c>
      <c r="P615" s="1" t="s">
        <v>25</v>
      </c>
      <c r="Q615" s="2" t="str">
        <f t="shared" si="1"/>
        <v>H030844</v>
      </c>
    </row>
    <row r="616">
      <c r="A616" s="1" t="s">
        <v>3144</v>
      </c>
      <c r="B616" s="1" t="s">
        <v>3145</v>
      </c>
      <c r="C616" s="1" t="s">
        <v>3146</v>
      </c>
      <c r="D616" s="1" t="s">
        <v>3147</v>
      </c>
      <c r="E616" s="1">
        <v>3268.0</v>
      </c>
      <c r="F616" s="1" t="s">
        <v>398</v>
      </c>
      <c r="G616" s="1" t="s">
        <v>232</v>
      </c>
      <c r="H616" s="1" t="s">
        <v>233</v>
      </c>
      <c r="I616" s="1" t="s">
        <v>1112</v>
      </c>
      <c r="J616" s="1"/>
      <c r="K616" s="1" t="s">
        <v>23</v>
      </c>
      <c r="L616" s="1" t="s">
        <v>3148</v>
      </c>
      <c r="M616" s="1">
        <v>0.0</v>
      </c>
      <c r="N616" s="1">
        <v>1.0</v>
      </c>
      <c r="O616" s="1" t="s">
        <v>398</v>
      </c>
      <c r="P616" s="1" t="s">
        <v>25</v>
      </c>
      <c r="Q616" s="2" t="str">
        <f t="shared" si="1"/>
        <v>H030844</v>
      </c>
    </row>
    <row r="617">
      <c r="A617" s="1" t="s">
        <v>3149</v>
      </c>
      <c r="B617" s="1" t="s">
        <v>3150</v>
      </c>
      <c r="C617" s="1" t="s">
        <v>3151</v>
      </c>
      <c r="D617" s="1" t="s">
        <v>3152</v>
      </c>
      <c r="E617" s="1">
        <v>3055.0</v>
      </c>
      <c r="F617" s="1" t="s">
        <v>398</v>
      </c>
      <c r="G617" s="1" t="s">
        <v>232</v>
      </c>
      <c r="H617" s="1" t="s">
        <v>233</v>
      </c>
      <c r="I617" s="1" t="s">
        <v>1112</v>
      </c>
      <c r="J617" s="1"/>
      <c r="K617" s="1" t="s">
        <v>23</v>
      </c>
      <c r="L617" s="1" t="s">
        <v>3153</v>
      </c>
      <c r="M617" s="1">
        <v>0.0</v>
      </c>
      <c r="N617" s="1">
        <v>1.0</v>
      </c>
      <c r="O617" s="1" t="s">
        <v>398</v>
      </c>
      <c r="P617" s="1" t="s">
        <v>25</v>
      </c>
      <c r="Q617" s="2" t="str">
        <f t="shared" si="1"/>
        <v>H030844</v>
      </c>
    </row>
    <row r="618">
      <c r="A618" s="1" t="s">
        <v>3154</v>
      </c>
      <c r="B618" s="1" t="s">
        <v>3155</v>
      </c>
      <c r="C618" s="1" t="s">
        <v>3156</v>
      </c>
      <c r="D618" s="1" t="s">
        <v>3157</v>
      </c>
      <c r="E618" s="1">
        <v>2436.0</v>
      </c>
      <c r="F618" s="1" t="s">
        <v>498</v>
      </c>
      <c r="G618" s="1" t="s">
        <v>167</v>
      </c>
      <c r="H618" s="1" t="s">
        <v>168</v>
      </c>
      <c r="I618" s="1" t="s">
        <v>1112</v>
      </c>
      <c r="J618" s="1"/>
      <c r="K618" s="1" t="s">
        <v>23</v>
      </c>
      <c r="L618" s="1" t="s">
        <v>3158</v>
      </c>
      <c r="M618" s="1">
        <v>3.0</v>
      </c>
      <c r="N618" s="1">
        <v>1.0</v>
      </c>
      <c r="O618" s="1" t="s">
        <v>498</v>
      </c>
      <c r="P618" s="1" t="s">
        <v>488</v>
      </c>
      <c r="Q618" s="2" t="str">
        <f t="shared" si="1"/>
        <v>H030517</v>
      </c>
    </row>
    <row r="619">
      <c r="A619" s="1" t="s">
        <v>3159</v>
      </c>
      <c r="B619" s="1" t="s">
        <v>3160</v>
      </c>
      <c r="C619" s="1" t="s">
        <v>3161</v>
      </c>
      <c r="D619" s="1" t="s">
        <v>3162</v>
      </c>
      <c r="E619" s="1">
        <v>5210.0</v>
      </c>
      <c r="F619" s="1" t="s">
        <v>498</v>
      </c>
      <c r="G619" s="1" t="s">
        <v>167</v>
      </c>
      <c r="H619" s="1" t="s">
        <v>168</v>
      </c>
      <c r="I619" s="1" t="s">
        <v>1112</v>
      </c>
      <c r="J619" s="1"/>
      <c r="K619" s="1" t="s">
        <v>23</v>
      </c>
      <c r="L619" s="1" t="s">
        <v>3163</v>
      </c>
      <c r="M619" s="1">
        <v>3.0</v>
      </c>
      <c r="N619" s="1">
        <v>1.0</v>
      </c>
      <c r="O619" s="1" t="s">
        <v>498</v>
      </c>
      <c r="P619" s="1" t="s">
        <v>25</v>
      </c>
      <c r="Q619" s="2" t="str">
        <f t="shared" si="1"/>
        <v>H030517</v>
      </c>
    </row>
    <row r="620">
      <c r="A620" s="1" t="s">
        <v>3164</v>
      </c>
      <c r="B620" s="1" t="s">
        <v>3165</v>
      </c>
      <c r="C620" s="1" t="s">
        <v>3166</v>
      </c>
      <c r="D620" s="1" t="s">
        <v>3167</v>
      </c>
      <c r="E620" s="1">
        <v>2759.0</v>
      </c>
      <c r="F620" s="1" t="s">
        <v>315</v>
      </c>
      <c r="G620" s="1">
        <v>455939.0</v>
      </c>
      <c r="H620" s="1" t="s">
        <v>2746</v>
      </c>
      <c r="I620" s="1" t="s">
        <v>1051</v>
      </c>
      <c r="J620" s="1"/>
      <c r="K620" s="1" t="s">
        <v>23</v>
      </c>
      <c r="L620" s="1" t="s">
        <v>3168</v>
      </c>
      <c r="M620" s="1">
        <v>3.0</v>
      </c>
      <c r="N620" s="1">
        <v>1.0</v>
      </c>
      <c r="O620" s="1" t="s">
        <v>315</v>
      </c>
      <c r="P620" s="1" t="s">
        <v>25</v>
      </c>
      <c r="Q620" s="2" t="str">
        <f t="shared" si="1"/>
        <v>H019277</v>
      </c>
    </row>
    <row r="621">
      <c r="A621" s="1" t="s">
        <v>3169</v>
      </c>
      <c r="B621" s="1" t="s">
        <v>3170</v>
      </c>
      <c r="C621" s="1" t="s">
        <v>3171</v>
      </c>
      <c r="D621" s="1" t="s">
        <v>3172</v>
      </c>
      <c r="E621" s="1">
        <v>2793.0</v>
      </c>
      <c r="F621" s="1" t="s">
        <v>315</v>
      </c>
      <c r="G621" s="1">
        <v>455939.0</v>
      </c>
      <c r="H621" s="1" t="s">
        <v>2746</v>
      </c>
      <c r="I621" s="1" t="s">
        <v>1051</v>
      </c>
      <c r="J621" s="1"/>
      <c r="K621" s="1" t="s">
        <v>23</v>
      </c>
      <c r="L621" s="1" t="s">
        <v>3173</v>
      </c>
      <c r="M621" s="1">
        <v>3.0</v>
      </c>
      <c r="N621" s="1">
        <v>1.0</v>
      </c>
      <c r="O621" s="1" t="s">
        <v>315</v>
      </c>
      <c r="P621" s="1" t="s">
        <v>25</v>
      </c>
      <c r="Q621" s="2" t="str">
        <f t="shared" si="1"/>
        <v>H019277</v>
      </c>
    </row>
    <row r="622">
      <c r="A622" s="1" t="s">
        <v>3174</v>
      </c>
      <c r="B622" s="1" t="s">
        <v>3175</v>
      </c>
      <c r="C622" s="1" t="s">
        <v>3176</v>
      </c>
      <c r="D622" s="1" t="s">
        <v>3177</v>
      </c>
      <c r="E622" s="1">
        <v>5121.0</v>
      </c>
      <c r="F622" s="1" t="s">
        <v>498</v>
      </c>
      <c r="G622" s="1" t="s">
        <v>220</v>
      </c>
      <c r="H622" s="1" t="s">
        <v>221</v>
      </c>
      <c r="I622" s="1" t="s">
        <v>1112</v>
      </c>
      <c r="J622" s="1"/>
      <c r="K622" s="1" t="s">
        <v>23</v>
      </c>
      <c r="L622" s="1" t="s">
        <v>3178</v>
      </c>
      <c r="M622" s="1">
        <v>3.0</v>
      </c>
      <c r="N622" s="1">
        <v>1.0</v>
      </c>
      <c r="O622" s="1" t="s">
        <v>498</v>
      </c>
      <c r="P622" s="1" t="s">
        <v>25</v>
      </c>
      <c r="Q622" s="2" t="str">
        <f t="shared" si="1"/>
        <v>H030517</v>
      </c>
    </row>
    <row r="623">
      <c r="A623" s="1" t="s">
        <v>3179</v>
      </c>
      <c r="B623" s="1" t="s">
        <v>3180</v>
      </c>
      <c r="C623" s="1" t="s">
        <v>3181</v>
      </c>
      <c r="D623" s="1" t="s">
        <v>3182</v>
      </c>
      <c r="E623" s="1">
        <v>1901.0</v>
      </c>
      <c r="F623" s="1" t="s">
        <v>315</v>
      </c>
      <c r="G623" s="1">
        <v>455939.0</v>
      </c>
      <c r="H623" s="1" t="s">
        <v>2746</v>
      </c>
      <c r="I623" s="1" t="s">
        <v>1051</v>
      </c>
      <c r="J623" s="1"/>
      <c r="K623" s="1" t="s">
        <v>23</v>
      </c>
      <c r="L623" s="1" t="s">
        <v>3183</v>
      </c>
      <c r="M623" s="1">
        <v>3.0</v>
      </c>
      <c r="N623" s="1">
        <v>1.0</v>
      </c>
      <c r="O623" s="1" t="s">
        <v>315</v>
      </c>
      <c r="P623" s="1" t="s">
        <v>25</v>
      </c>
      <c r="Q623" s="2" t="str">
        <f t="shared" si="1"/>
        <v>H019277</v>
      </c>
    </row>
    <row r="624">
      <c r="A624" s="1" t="s">
        <v>3184</v>
      </c>
      <c r="B624" s="1" t="s">
        <v>3185</v>
      </c>
      <c r="C624" s="1" t="s">
        <v>3186</v>
      </c>
      <c r="D624" s="1" t="s">
        <v>3187</v>
      </c>
      <c r="E624" s="1">
        <v>3406.0</v>
      </c>
      <c r="F624" s="1" t="s">
        <v>315</v>
      </c>
      <c r="G624" s="1">
        <v>555127.0</v>
      </c>
      <c r="H624" s="1" t="s">
        <v>3047</v>
      </c>
      <c r="I624" s="1" t="s">
        <v>1051</v>
      </c>
      <c r="J624" s="1"/>
      <c r="K624" s="1" t="s">
        <v>23</v>
      </c>
      <c r="L624" s="1" t="s">
        <v>3188</v>
      </c>
      <c r="M624" s="1">
        <v>3.0</v>
      </c>
      <c r="N624" s="1">
        <v>1.0</v>
      </c>
      <c r="O624" s="1" t="s">
        <v>315</v>
      </c>
      <c r="P624" s="1" t="s">
        <v>488</v>
      </c>
      <c r="Q624" s="2" t="str">
        <f t="shared" si="1"/>
        <v>H019277</v>
      </c>
    </row>
    <row r="625">
      <c r="A625" s="1" t="s">
        <v>3189</v>
      </c>
      <c r="B625" s="1" t="s">
        <v>3190</v>
      </c>
      <c r="C625" s="1" t="s">
        <v>3191</v>
      </c>
      <c r="D625" s="1" t="s">
        <v>3192</v>
      </c>
      <c r="E625" s="1">
        <v>3170.0</v>
      </c>
      <c r="F625" s="1" t="s">
        <v>498</v>
      </c>
      <c r="G625" s="1" t="s">
        <v>220</v>
      </c>
      <c r="H625" s="1" t="s">
        <v>221</v>
      </c>
      <c r="I625" s="1" t="s">
        <v>1112</v>
      </c>
      <c r="J625" s="1"/>
      <c r="K625" s="1" t="s">
        <v>23</v>
      </c>
      <c r="L625" s="1" t="s">
        <v>3193</v>
      </c>
      <c r="M625" s="1">
        <v>3.0</v>
      </c>
      <c r="N625" s="1">
        <v>1.0</v>
      </c>
      <c r="O625" s="1" t="s">
        <v>498</v>
      </c>
      <c r="P625" s="1" t="s">
        <v>25</v>
      </c>
      <c r="Q625" s="2" t="str">
        <f t="shared" si="1"/>
        <v>H030517</v>
      </c>
    </row>
    <row r="626">
      <c r="A626" s="1" t="s">
        <v>3194</v>
      </c>
      <c r="B626" s="1" t="s">
        <v>3195</v>
      </c>
      <c r="C626" s="1" t="s">
        <v>3196</v>
      </c>
      <c r="D626" s="1" t="s">
        <v>3197</v>
      </c>
      <c r="E626" s="1">
        <v>3814.0</v>
      </c>
      <c r="F626" s="1" t="s">
        <v>498</v>
      </c>
      <c r="G626" s="1" t="s">
        <v>220</v>
      </c>
      <c r="H626" s="1" t="s">
        <v>221</v>
      </c>
      <c r="I626" s="1" t="s">
        <v>1112</v>
      </c>
      <c r="J626" s="1"/>
      <c r="K626" s="1" t="s">
        <v>23</v>
      </c>
      <c r="L626" s="1" t="s">
        <v>3198</v>
      </c>
      <c r="M626" s="1">
        <v>3.0</v>
      </c>
      <c r="N626" s="1">
        <v>1.0</v>
      </c>
      <c r="O626" s="1" t="s">
        <v>498</v>
      </c>
      <c r="P626" s="1" t="s">
        <v>25</v>
      </c>
      <c r="Q626" s="2" t="str">
        <f t="shared" si="1"/>
        <v>H030517</v>
      </c>
    </row>
    <row r="627">
      <c r="A627" s="1" t="s">
        <v>3199</v>
      </c>
      <c r="B627" s="1" t="s">
        <v>3200</v>
      </c>
      <c r="C627" s="1" t="s">
        <v>3201</v>
      </c>
      <c r="D627" s="1" t="s">
        <v>3202</v>
      </c>
      <c r="E627" s="1">
        <v>5401.0</v>
      </c>
      <c r="F627" s="1" t="s">
        <v>498</v>
      </c>
      <c r="G627" s="1" t="s">
        <v>220</v>
      </c>
      <c r="H627" s="1" t="s">
        <v>221</v>
      </c>
      <c r="I627" s="1" t="s">
        <v>1112</v>
      </c>
      <c r="J627" s="1"/>
      <c r="K627" s="1" t="s">
        <v>23</v>
      </c>
      <c r="L627" s="1" t="s">
        <v>3203</v>
      </c>
      <c r="M627" s="1">
        <v>3.0</v>
      </c>
      <c r="N627" s="1">
        <v>1.0</v>
      </c>
      <c r="O627" s="1" t="s">
        <v>498</v>
      </c>
      <c r="P627" s="1" t="s">
        <v>25</v>
      </c>
      <c r="Q627" s="2" t="str">
        <f t="shared" si="1"/>
        <v>H030517</v>
      </c>
    </row>
    <row r="628">
      <c r="A628" s="1" t="s">
        <v>3204</v>
      </c>
      <c r="B628" s="1" t="s">
        <v>3205</v>
      </c>
      <c r="C628" s="1" t="s">
        <v>3206</v>
      </c>
      <c r="D628" s="1" t="s">
        <v>3207</v>
      </c>
      <c r="E628" s="1">
        <v>1397.0</v>
      </c>
      <c r="F628" s="1" t="s">
        <v>288</v>
      </c>
      <c r="G628" s="1">
        <v>729375.0</v>
      </c>
      <c r="H628" s="1" t="s">
        <v>1050</v>
      </c>
      <c r="I628" s="1" t="s">
        <v>1051</v>
      </c>
      <c r="J628" s="1"/>
      <c r="K628" s="1" t="s">
        <v>23</v>
      </c>
      <c r="L628" s="1" t="s">
        <v>3208</v>
      </c>
      <c r="M628" s="1">
        <v>1.0</v>
      </c>
      <c r="N628" s="1">
        <v>1.0</v>
      </c>
      <c r="O628" s="1" t="s">
        <v>288</v>
      </c>
      <c r="P628" s="1" t="s">
        <v>488</v>
      </c>
      <c r="Q628" s="2" t="str">
        <f t="shared" si="1"/>
        <v>H019500</v>
      </c>
    </row>
    <row r="629">
      <c r="A629" s="1" t="s">
        <v>3209</v>
      </c>
      <c r="B629" s="1" t="s">
        <v>3210</v>
      </c>
      <c r="C629" s="1" t="s">
        <v>3211</v>
      </c>
      <c r="D629" s="1" t="s">
        <v>3212</v>
      </c>
      <c r="E629" s="1">
        <v>3696.0</v>
      </c>
      <c r="F629" s="1" t="s">
        <v>288</v>
      </c>
      <c r="G629" s="1">
        <v>859767.0</v>
      </c>
      <c r="H629" s="1" t="s">
        <v>2565</v>
      </c>
      <c r="I629" s="1" t="s">
        <v>1051</v>
      </c>
      <c r="J629" s="1"/>
      <c r="K629" s="1" t="s">
        <v>23</v>
      </c>
      <c r="L629" s="1" t="s">
        <v>3213</v>
      </c>
      <c r="M629" s="1">
        <v>1.0</v>
      </c>
      <c r="N629" s="1">
        <v>1.0</v>
      </c>
      <c r="O629" s="1" t="s">
        <v>288</v>
      </c>
      <c r="P629" s="1" t="s">
        <v>25</v>
      </c>
      <c r="Q629" s="2" t="str">
        <f t="shared" si="1"/>
        <v>H019500</v>
      </c>
    </row>
    <row r="630">
      <c r="A630" s="1" t="s">
        <v>3214</v>
      </c>
      <c r="B630" s="1" t="s">
        <v>3215</v>
      </c>
      <c r="C630" s="1" t="s">
        <v>3216</v>
      </c>
      <c r="D630" s="1" t="s">
        <v>3217</v>
      </c>
      <c r="E630" s="1">
        <v>3945.0</v>
      </c>
      <c r="F630" s="1" t="s">
        <v>288</v>
      </c>
      <c r="G630" s="1">
        <v>859767.0</v>
      </c>
      <c r="H630" s="1" t="s">
        <v>2565</v>
      </c>
      <c r="I630" s="1" t="s">
        <v>1051</v>
      </c>
      <c r="J630" s="1"/>
      <c r="K630" s="1" t="s">
        <v>23</v>
      </c>
      <c r="L630" s="1" t="s">
        <v>3218</v>
      </c>
      <c r="M630" s="1">
        <v>1.0</v>
      </c>
      <c r="N630" s="1">
        <v>1.0</v>
      </c>
      <c r="O630" s="1" t="s">
        <v>288</v>
      </c>
      <c r="P630" s="1" t="s">
        <v>25</v>
      </c>
      <c r="Q630" s="2" t="str">
        <f t="shared" si="1"/>
        <v>H019500</v>
      </c>
    </row>
    <row r="631">
      <c r="A631" s="1" t="s">
        <v>3219</v>
      </c>
      <c r="B631" s="1" t="s">
        <v>3220</v>
      </c>
      <c r="C631" s="1" t="s">
        <v>3221</v>
      </c>
      <c r="D631" s="1" t="s">
        <v>3222</v>
      </c>
      <c r="E631" s="1">
        <v>2379.0</v>
      </c>
      <c r="F631" s="1" t="s">
        <v>288</v>
      </c>
      <c r="G631" s="1">
        <v>859767.0</v>
      </c>
      <c r="H631" s="1" t="s">
        <v>2565</v>
      </c>
      <c r="I631" s="1" t="s">
        <v>1051</v>
      </c>
      <c r="J631" s="1"/>
      <c r="K631" s="1" t="s">
        <v>23</v>
      </c>
      <c r="L631" s="1" t="s">
        <v>3223</v>
      </c>
      <c r="M631" s="1">
        <v>1.0</v>
      </c>
      <c r="N631" s="1">
        <v>1.0</v>
      </c>
      <c r="O631" s="1" t="s">
        <v>288</v>
      </c>
      <c r="P631" s="1" t="s">
        <v>25</v>
      </c>
      <c r="Q631" s="2" t="str">
        <f t="shared" si="1"/>
        <v>H019500</v>
      </c>
    </row>
    <row r="632">
      <c r="A632" s="1" t="s">
        <v>3224</v>
      </c>
      <c r="B632" s="1" t="s">
        <v>3225</v>
      </c>
      <c r="C632" s="1" t="s">
        <v>3226</v>
      </c>
      <c r="D632" s="1" t="s">
        <v>3227</v>
      </c>
      <c r="E632" s="1">
        <v>2108.0</v>
      </c>
      <c r="F632" s="1" t="s">
        <v>288</v>
      </c>
      <c r="G632" s="1">
        <v>859767.0</v>
      </c>
      <c r="H632" s="1" t="s">
        <v>2565</v>
      </c>
      <c r="I632" s="1" t="s">
        <v>1051</v>
      </c>
      <c r="J632" s="1"/>
      <c r="K632" s="1" t="s">
        <v>23</v>
      </c>
      <c r="L632" s="1" t="s">
        <v>3228</v>
      </c>
      <c r="M632" s="1">
        <v>1.0</v>
      </c>
      <c r="N632" s="1">
        <v>1.0</v>
      </c>
      <c r="O632" s="1" t="s">
        <v>288</v>
      </c>
      <c r="P632" s="1" t="s">
        <v>25</v>
      </c>
      <c r="Q632" s="2" t="str">
        <f t="shared" si="1"/>
        <v>H019500</v>
      </c>
    </row>
    <row r="633">
      <c r="A633" s="1" t="s">
        <v>3229</v>
      </c>
      <c r="B633" s="1" t="s">
        <v>3230</v>
      </c>
      <c r="C633" s="1" t="s">
        <v>3231</v>
      </c>
      <c r="D633" s="1" t="s">
        <v>3232</v>
      </c>
      <c r="E633" s="1">
        <v>3185.0</v>
      </c>
      <c r="F633" s="1" t="s">
        <v>288</v>
      </c>
      <c r="G633" s="1" t="s">
        <v>304</v>
      </c>
      <c r="H633" s="1" t="s">
        <v>272</v>
      </c>
      <c r="I633" s="1" t="s">
        <v>1051</v>
      </c>
      <c r="J633" s="1"/>
      <c r="K633" s="1" t="s">
        <v>23</v>
      </c>
      <c r="L633" s="1" t="s">
        <v>3233</v>
      </c>
      <c r="M633" s="1">
        <v>1.0</v>
      </c>
      <c r="N633" s="1">
        <v>1.0</v>
      </c>
      <c r="O633" s="1" t="s">
        <v>288</v>
      </c>
      <c r="P633" s="1" t="s">
        <v>25</v>
      </c>
      <c r="Q633" s="2" t="str">
        <f t="shared" si="1"/>
        <v>H019500</v>
      </c>
    </row>
    <row r="634">
      <c r="A634" s="1" t="s">
        <v>3234</v>
      </c>
      <c r="B634" s="1" t="s">
        <v>3235</v>
      </c>
      <c r="C634" s="1" t="s">
        <v>3236</v>
      </c>
      <c r="D634" s="1" t="s">
        <v>3237</v>
      </c>
      <c r="E634" s="1">
        <v>4607.0</v>
      </c>
      <c r="F634" s="1" t="s">
        <v>288</v>
      </c>
      <c r="G634" s="1" t="s">
        <v>304</v>
      </c>
      <c r="H634" s="1" t="s">
        <v>272</v>
      </c>
      <c r="I634" s="1" t="s">
        <v>1051</v>
      </c>
      <c r="J634" s="1"/>
      <c r="K634" s="1" t="s">
        <v>23</v>
      </c>
      <c r="L634" s="1" t="s">
        <v>3238</v>
      </c>
      <c r="M634" s="1">
        <v>1.0</v>
      </c>
      <c r="N634" s="1">
        <v>1.0</v>
      </c>
      <c r="O634" s="1" t="s">
        <v>288</v>
      </c>
      <c r="P634" s="1" t="s">
        <v>25</v>
      </c>
      <c r="Q634" s="2" t="str">
        <f t="shared" si="1"/>
        <v>H019500</v>
      </c>
    </row>
    <row r="635">
      <c r="A635" s="1" t="s">
        <v>3239</v>
      </c>
      <c r="B635" s="1" t="s">
        <v>3240</v>
      </c>
      <c r="C635" s="1" t="s">
        <v>3241</v>
      </c>
      <c r="D635" s="1" t="s">
        <v>3242</v>
      </c>
      <c r="E635" s="1">
        <v>2069.0</v>
      </c>
      <c r="F635" s="1" t="s">
        <v>288</v>
      </c>
      <c r="G635" s="1" t="s">
        <v>304</v>
      </c>
      <c r="H635" s="1" t="s">
        <v>272</v>
      </c>
      <c r="I635" s="1" t="s">
        <v>1051</v>
      </c>
      <c r="J635" s="1"/>
      <c r="K635" s="1" t="s">
        <v>23</v>
      </c>
      <c r="L635" s="1" t="s">
        <v>3243</v>
      </c>
      <c r="M635" s="1">
        <v>1.0</v>
      </c>
      <c r="N635" s="1">
        <v>1.0</v>
      </c>
      <c r="O635" s="1" t="s">
        <v>288</v>
      </c>
      <c r="P635" s="1" t="s">
        <v>25</v>
      </c>
      <c r="Q635" s="2" t="str">
        <f t="shared" si="1"/>
        <v>H019500</v>
      </c>
    </row>
    <row r="636">
      <c r="A636" s="1" t="s">
        <v>3244</v>
      </c>
      <c r="B636" s="1" t="s">
        <v>3245</v>
      </c>
      <c r="C636" s="1" t="s">
        <v>3246</v>
      </c>
      <c r="D636" s="1" t="s">
        <v>3247</v>
      </c>
      <c r="E636" s="1">
        <v>3255.0</v>
      </c>
      <c r="F636" s="1" t="s">
        <v>288</v>
      </c>
      <c r="G636" s="1" t="s">
        <v>304</v>
      </c>
      <c r="H636" s="1" t="s">
        <v>272</v>
      </c>
      <c r="I636" s="1" t="s">
        <v>1051</v>
      </c>
      <c r="J636" s="1"/>
      <c r="K636" s="1" t="s">
        <v>23</v>
      </c>
      <c r="L636" s="1" t="s">
        <v>3248</v>
      </c>
      <c r="M636" s="1">
        <v>1.0</v>
      </c>
      <c r="N636" s="1">
        <v>1.0</v>
      </c>
      <c r="O636" s="1" t="s">
        <v>288</v>
      </c>
      <c r="P636" s="1" t="s">
        <v>25</v>
      </c>
      <c r="Q636" s="2" t="str">
        <f t="shared" si="1"/>
        <v>H019500</v>
      </c>
    </row>
    <row r="637">
      <c r="A637" s="1" t="s">
        <v>3249</v>
      </c>
      <c r="B637" s="1" t="s">
        <v>3250</v>
      </c>
      <c r="C637" s="1" t="s">
        <v>3251</v>
      </c>
      <c r="D637" s="1" t="s">
        <v>3252</v>
      </c>
      <c r="E637" s="1">
        <v>2203.0</v>
      </c>
      <c r="F637" s="1" t="s">
        <v>382</v>
      </c>
      <c r="G637" s="1" t="s">
        <v>191</v>
      </c>
      <c r="H637" s="1" t="s">
        <v>192</v>
      </c>
      <c r="I637" s="1" t="s">
        <v>486</v>
      </c>
      <c r="J637" s="1"/>
      <c r="K637" s="1" t="s">
        <v>23</v>
      </c>
      <c r="L637" s="1" t="s">
        <v>3253</v>
      </c>
      <c r="M637" s="1">
        <v>2.0</v>
      </c>
      <c r="N637" s="1">
        <v>1.0</v>
      </c>
      <c r="O637" s="1" t="s">
        <v>382</v>
      </c>
      <c r="P637" s="1" t="s">
        <v>25</v>
      </c>
      <c r="Q637" s="2" t="str">
        <f t="shared" si="1"/>
        <v>H030076</v>
      </c>
    </row>
    <row r="638">
      <c r="A638" s="1" t="s">
        <v>3254</v>
      </c>
      <c r="B638" s="1" t="s">
        <v>3255</v>
      </c>
      <c r="C638" s="1" t="s">
        <v>3256</v>
      </c>
      <c r="D638" s="1" t="s">
        <v>3257</v>
      </c>
      <c r="E638" s="1">
        <v>1870.0</v>
      </c>
      <c r="F638" s="1" t="s">
        <v>382</v>
      </c>
      <c r="G638" s="1" t="s">
        <v>191</v>
      </c>
      <c r="H638" s="1" t="s">
        <v>192</v>
      </c>
      <c r="I638" s="1" t="s">
        <v>486</v>
      </c>
      <c r="J638" s="1"/>
      <c r="K638" s="1" t="s">
        <v>23</v>
      </c>
      <c r="L638" s="1" t="s">
        <v>3258</v>
      </c>
      <c r="M638" s="1">
        <v>2.0</v>
      </c>
      <c r="N638" s="1">
        <v>1.0</v>
      </c>
      <c r="O638" s="1" t="s">
        <v>382</v>
      </c>
      <c r="P638" s="1" t="s">
        <v>25</v>
      </c>
      <c r="Q638" s="2" t="str">
        <f t="shared" si="1"/>
        <v>H030076</v>
      </c>
    </row>
    <row r="639">
      <c r="A639" s="1" t="s">
        <v>3259</v>
      </c>
      <c r="B639" s="1" t="s">
        <v>3260</v>
      </c>
      <c r="C639" s="1" t="s">
        <v>3261</v>
      </c>
      <c r="D639" s="1" t="s">
        <v>3262</v>
      </c>
      <c r="E639" s="1">
        <v>3099.0</v>
      </c>
      <c r="F639" s="1" t="s">
        <v>382</v>
      </c>
      <c r="G639" s="1" t="s">
        <v>191</v>
      </c>
      <c r="H639" s="1" t="s">
        <v>192</v>
      </c>
      <c r="I639" s="1" t="s">
        <v>486</v>
      </c>
      <c r="J639" s="1"/>
      <c r="K639" s="1" t="s">
        <v>23</v>
      </c>
      <c r="L639" s="1" t="s">
        <v>3263</v>
      </c>
      <c r="M639" s="1">
        <v>2.0</v>
      </c>
      <c r="N639" s="1">
        <v>1.0</v>
      </c>
      <c r="O639" s="1" t="s">
        <v>382</v>
      </c>
      <c r="P639" s="1" t="s">
        <v>25</v>
      </c>
      <c r="Q639" s="2" t="str">
        <f t="shared" si="1"/>
        <v>H030076</v>
      </c>
    </row>
    <row r="640">
      <c r="A640" s="1" t="s">
        <v>3264</v>
      </c>
      <c r="B640" s="1" t="s">
        <v>3265</v>
      </c>
      <c r="C640" s="1" t="s">
        <v>3266</v>
      </c>
      <c r="D640" s="1" t="s">
        <v>3267</v>
      </c>
      <c r="E640" s="1">
        <v>2588.0</v>
      </c>
      <c r="F640" s="1" t="s">
        <v>382</v>
      </c>
      <c r="G640" s="1" t="s">
        <v>107</v>
      </c>
      <c r="H640" s="1" t="s">
        <v>108</v>
      </c>
      <c r="I640" s="1" t="s">
        <v>486</v>
      </c>
      <c r="J640" s="1"/>
      <c r="K640" s="1" t="s">
        <v>23</v>
      </c>
      <c r="L640" s="1" t="s">
        <v>3268</v>
      </c>
      <c r="M640" s="1">
        <v>2.0</v>
      </c>
      <c r="N640" s="1">
        <v>1.0</v>
      </c>
      <c r="O640" s="1" t="s">
        <v>382</v>
      </c>
      <c r="P640" s="1" t="s">
        <v>25</v>
      </c>
      <c r="Q640" s="2" t="str">
        <f t="shared" si="1"/>
        <v>H030076</v>
      </c>
    </row>
    <row r="641">
      <c r="A641" s="1" t="s">
        <v>3269</v>
      </c>
      <c r="B641" s="1" t="s">
        <v>3270</v>
      </c>
      <c r="C641" s="1" t="s">
        <v>3271</v>
      </c>
      <c r="D641" s="1" t="s">
        <v>3272</v>
      </c>
      <c r="E641" s="1">
        <v>2422.0</v>
      </c>
      <c r="F641" s="1" t="s">
        <v>382</v>
      </c>
      <c r="G641" s="1" t="s">
        <v>107</v>
      </c>
      <c r="H641" s="1" t="s">
        <v>108</v>
      </c>
      <c r="I641" s="1" t="s">
        <v>486</v>
      </c>
      <c r="J641" s="1"/>
      <c r="K641" s="1" t="s">
        <v>23</v>
      </c>
      <c r="L641" s="1" t="s">
        <v>3273</v>
      </c>
      <c r="M641" s="1">
        <v>2.0</v>
      </c>
      <c r="N641" s="1">
        <v>1.0</v>
      </c>
      <c r="O641" s="1" t="s">
        <v>382</v>
      </c>
      <c r="P641" s="1" t="s">
        <v>25</v>
      </c>
      <c r="Q641" s="2" t="str">
        <f t="shared" si="1"/>
        <v>H030076</v>
      </c>
    </row>
    <row r="642">
      <c r="A642" s="1" t="s">
        <v>3274</v>
      </c>
      <c r="B642" s="1" t="s">
        <v>3275</v>
      </c>
      <c r="C642" s="1" t="s">
        <v>3276</v>
      </c>
      <c r="D642" s="1" t="s">
        <v>3277</v>
      </c>
      <c r="E642" s="1">
        <v>3041.0</v>
      </c>
      <c r="F642" s="1" t="s">
        <v>382</v>
      </c>
      <c r="G642" s="1" t="s">
        <v>107</v>
      </c>
      <c r="H642" s="1" t="s">
        <v>108</v>
      </c>
      <c r="I642" s="1" t="s">
        <v>486</v>
      </c>
      <c r="J642" s="1"/>
      <c r="K642" s="1" t="s">
        <v>23</v>
      </c>
      <c r="L642" s="1" t="s">
        <v>3278</v>
      </c>
      <c r="M642" s="1">
        <v>2.0</v>
      </c>
      <c r="N642" s="1">
        <v>1.0</v>
      </c>
      <c r="O642" s="1" t="s">
        <v>382</v>
      </c>
      <c r="P642" s="1" t="s">
        <v>25</v>
      </c>
      <c r="Q642" s="2" t="str">
        <f t="shared" si="1"/>
        <v>H030076</v>
      </c>
    </row>
    <row r="643">
      <c r="A643" s="1" t="s">
        <v>3279</v>
      </c>
      <c r="B643" s="1" t="s">
        <v>3280</v>
      </c>
      <c r="C643" s="1" t="s">
        <v>3281</v>
      </c>
      <c r="D643" s="1" t="s">
        <v>3282</v>
      </c>
      <c r="E643" s="1">
        <v>3374.0</v>
      </c>
      <c r="F643" s="1" t="s">
        <v>382</v>
      </c>
      <c r="G643" s="1" t="s">
        <v>107</v>
      </c>
      <c r="H643" s="1" t="s">
        <v>108</v>
      </c>
      <c r="I643" s="1" t="s">
        <v>486</v>
      </c>
      <c r="J643" s="1"/>
      <c r="K643" s="1" t="s">
        <v>23</v>
      </c>
      <c r="L643" s="1" t="s">
        <v>3283</v>
      </c>
      <c r="M643" s="1">
        <v>2.0</v>
      </c>
      <c r="N643" s="1">
        <v>1.0</v>
      </c>
      <c r="O643" s="1" t="s">
        <v>382</v>
      </c>
      <c r="P643" s="1" t="s">
        <v>488</v>
      </c>
      <c r="Q643" s="2" t="str">
        <f t="shared" si="1"/>
        <v>H030076</v>
      </c>
    </row>
    <row r="644">
      <c r="A644" s="1" t="s">
        <v>3284</v>
      </c>
      <c r="B644" s="1" t="s">
        <v>3285</v>
      </c>
      <c r="C644" s="1" t="s">
        <v>3286</v>
      </c>
      <c r="D644" s="1" t="s">
        <v>3287</v>
      </c>
      <c r="E644" s="1">
        <v>2486.0</v>
      </c>
      <c r="F644" s="1" t="s">
        <v>382</v>
      </c>
      <c r="G644" s="1" t="s">
        <v>191</v>
      </c>
      <c r="H644" s="1" t="s">
        <v>192</v>
      </c>
      <c r="I644" s="1" t="s">
        <v>486</v>
      </c>
      <c r="J644" s="1"/>
      <c r="K644" s="1" t="s">
        <v>23</v>
      </c>
      <c r="L644" s="1" t="s">
        <v>3288</v>
      </c>
      <c r="M644" s="1">
        <v>2.0</v>
      </c>
      <c r="N644" s="1">
        <v>1.0</v>
      </c>
      <c r="O644" s="1" t="s">
        <v>382</v>
      </c>
      <c r="P644" s="1" t="s">
        <v>488</v>
      </c>
      <c r="Q644" s="2" t="str">
        <f t="shared" si="1"/>
        <v>H030076</v>
      </c>
    </row>
    <row r="645">
      <c r="A645" s="1" t="s">
        <v>3289</v>
      </c>
      <c r="B645" s="1" t="s">
        <v>3290</v>
      </c>
      <c r="C645" s="1" t="s">
        <v>3291</v>
      </c>
      <c r="D645" s="1" t="s">
        <v>3292</v>
      </c>
      <c r="E645" s="1">
        <v>1961.0</v>
      </c>
      <c r="F645" s="1" t="s">
        <v>382</v>
      </c>
      <c r="G645" s="1" t="s">
        <v>119</v>
      </c>
      <c r="H645" s="1" t="s">
        <v>120</v>
      </c>
      <c r="I645" s="1" t="s">
        <v>486</v>
      </c>
      <c r="J645" s="1"/>
      <c r="K645" s="1" t="s">
        <v>23</v>
      </c>
      <c r="L645" s="1" t="s">
        <v>3293</v>
      </c>
      <c r="M645" s="1">
        <v>1.0</v>
      </c>
      <c r="N645" s="1">
        <v>1.0</v>
      </c>
      <c r="O645" s="1" t="s">
        <v>382</v>
      </c>
      <c r="P645" s="1" t="s">
        <v>488</v>
      </c>
      <c r="Q645" s="2" t="str">
        <f t="shared" si="1"/>
        <v>H030634</v>
      </c>
    </row>
    <row r="646">
      <c r="A646" s="1" t="s">
        <v>3294</v>
      </c>
      <c r="B646" s="1" t="s">
        <v>3295</v>
      </c>
      <c r="C646" s="1" t="s">
        <v>3296</v>
      </c>
      <c r="D646" s="1" t="s">
        <v>3297</v>
      </c>
      <c r="E646" s="1">
        <v>3412.0</v>
      </c>
      <c r="F646" s="1" t="s">
        <v>382</v>
      </c>
      <c r="G646" s="1" t="s">
        <v>119</v>
      </c>
      <c r="H646" s="1" t="s">
        <v>120</v>
      </c>
      <c r="I646" s="1" t="s">
        <v>486</v>
      </c>
      <c r="J646" s="1"/>
      <c r="K646" s="1" t="s">
        <v>23</v>
      </c>
      <c r="L646" s="1" t="s">
        <v>3298</v>
      </c>
      <c r="M646" s="1">
        <v>2.0</v>
      </c>
      <c r="N646" s="1">
        <v>1.0</v>
      </c>
      <c r="O646" s="1" t="s">
        <v>382</v>
      </c>
      <c r="P646" s="1" t="s">
        <v>25</v>
      </c>
      <c r="Q646" s="2" t="str">
        <f t="shared" si="1"/>
        <v>H030076</v>
      </c>
    </row>
    <row r="647">
      <c r="A647" s="1" t="s">
        <v>3299</v>
      </c>
      <c r="B647" s="1" t="s">
        <v>3300</v>
      </c>
      <c r="C647" s="1" t="s">
        <v>3301</v>
      </c>
      <c r="D647" s="1" t="s">
        <v>3302</v>
      </c>
      <c r="E647" s="1">
        <v>4067.0</v>
      </c>
      <c r="F647" s="1" t="s">
        <v>382</v>
      </c>
      <c r="G647" s="1" t="s">
        <v>119</v>
      </c>
      <c r="H647" s="1" t="s">
        <v>120</v>
      </c>
      <c r="I647" s="1" t="s">
        <v>486</v>
      </c>
      <c r="J647" s="1"/>
      <c r="K647" s="1" t="s">
        <v>23</v>
      </c>
      <c r="L647" s="1" t="s">
        <v>3303</v>
      </c>
      <c r="M647" s="1">
        <v>2.0</v>
      </c>
      <c r="N647" s="1">
        <v>1.0</v>
      </c>
      <c r="O647" s="1" t="s">
        <v>382</v>
      </c>
      <c r="P647" s="1" t="s">
        <v>25</v>
      </c>
      <c r="Q647" s="2" t="str">
        <f t="shared" si="1"/>
        <v>H030076</v>
      </c>
    </row>
    <row r="648">
      <c r="A648" s="1" t="s">
        <v>3304</v>
      </c>
      <c r="B648" s="1" t="s">
        <v>3305</v>
      </c>
      <c r="C648" s="1" t="s">
        <v>3306</v>
      </c>
      <c r="D648" s="1" t="s">
        <v>3307</v>
      </c>
      <c r="E648" s="1">
        <v>1573.0</v>
      </c>
      <c r="F648" s="1" t="s">
        <v>382</v>
      </c>
      <c r="G648" s="1" t="s">
        <v>119</v>
      </c>
      <c r="H648" s="1" t="s">
        <v>120</v>
      </c>
      <c r="I648" s="1" t="s">
        <v>486</v>
      </c>
      <c r="J648" s="1"/>
      <c r="K648" s="1" t="s">
        <v>23</v>
      </c>
      <c r="L648" s="1" t="s">
        <v>3308</v>
      </c>
      <c r="M648" s="1">
        <v>2.0</v>
      </c>
      <c r="N648" s="1">
        <v>1.0</v>
      </c>
      <c r="O648" s="1" t="s">
        <v>382</v>
      </c>
      <c r="P648" s="1" t="s">
        <v>25</v>
      </c>
      <c r="Q648" s="2" t="str">
        <f t="shared" si="1"/>
        <v>H030076</v>
      </c>
    </row>
    <row r="649">
      <c r="A649" s="1" t="s">
        <v>3309</v>
      </c>
      <c r="B649" s="1" t="s">
        <v>3310</v>
      </c>
      <c r="C649" s="1" t="s">
        <v>3311</v>
      </c>
      <c r="D649" s="1" t="s">
        <v>3312</v>
      </c>
      <c r="E649" s="1">
        <v>1524.0</v>
      </c>
      <c r="F649" s="1" t="s">
        <v>288</v>
      </c>
      <c r="G649" s="1">
        <v>729375.0</v>
      </c>
      <c r="H649" s="1" t="s">
        <v>1050</v>
      </c>
      <c r="I649" s="1" t="s">
        <v>1051</v>
      </c>
      <c r="J649" s="1"/>
      <c r="K649" s="1" t="s">
        <v>23</v>
      </c>
      <c r="L649" s="1" t="s">
        <v>3313</v>
      </c>
      <c r="M649" s="1">
        <v>1.0</v>
      </c>
      <c r="N649" s="1">
        <v>1.0</v>
      </c>
      <c r="O649" s="1" t="s">
        <v>288</v>
      </c>
      <c r="P649" s="1" t="s">
        <v>488</v>
      </c>
      <c r="Q649" s="2" t="str">
        <f t="shared" si="1"/>
        <v>H019500</v>
      </c>
    </row>
    <row r="650">
      <c r="A650" s="1" t="s">
        <v>3314</v>
      </c>
      <c r="B650" s="1" t="s">
        <v>3315</v>
      </c>
      <c r="C650" s="1" t="s">
        <v>3316</v>
      </c>
      <c r="D650" s="1" t="s">
        <v>3317</v>
      </c>
      <c r="E650" s="1">
        <v>1504.0</v>
      </c>
      <c r="F650" s="1" t="s">
        <v>288</v>
      </c>
      <c r="G650" s="1">
        <v>729375.0</v>
      </c>
      <c r="H650" s="1" t="s">
        <v>1050</v>
      </c>
      <c r="I650" s="1" t="s">
        <v>1051</v>
      </c>
      <c r="J650" s="1"/>
      <c r="K650" s="1" t="s">
        <v>23</v>
      </c>
      <c r="L650" s="1" t="s">
        <v>3318</v>
      </c>
      <c r="M650" s="1">
        <v>1.0</v>
      </c>
      <c r="N650" s="1">
        <v>1.0</v>
      </c>
      <c r="O650" s="1" t="s">
        <v>288</v>
      </c>
      <c r="P650" s="1" t="s">
        <v>488</v>
      </c>
      <c r="Q650" s="2" t="str">
        <f t="shared" si="1"/>
        <v>H019500</v>
      </c>
    </row>
    <row r="651">
      <c r="A651" s="1" t="s">
        <v>3319</v>
      </c>
      <c r="B651" s="1" t="s">
        <v>3320</v>
      </c>
      <c r="C651" s="1" t="s">
        <v>3321</v>
      </c>
      <c r="D651" s="1" t="s">
        <v>3322</v>
      </c>
      <c r="E651" s="1">
        <v>3544.0</v>
      </c>
      <c r="F651" s="1" t="s">
        <v>382</v>
      </c>
      <c r="G651" s="1" t="s">
        <v>474</v>
      </c>
      <c r="H651" s="1" t="s">
        <v>475</v>
      </c>
      <c r="I651" s="1" t="s">
        <v>486</v>
      </c>
      <c r="J651" s="1"/>
      <c r="K651" s="1" t="s">
        <v>23</v>
      </c>
      <c r="L651" s="1" t="s">
        <v>3323</v>
      </c>
      <c r="M651" s="1">
        <v>2.0</v>
      </c>
      <c r="N651" s="1">
        <v>1.0</v>
      </c>
      <c r="O651" s="1" t="s">
        <v>382</v>
      </c>
      <c r="P651" s="1" t="s">
        <v>25</v>
      </c>
      <c r="Q651" s="2" t="str">
        <f t="shared" si="1"/>
        <v>H030076</v>
      </c>
    </row>
    <row r="652">
      <c r="A652" s="1" t="s">
        <v>3324</v>
      </c>
      <c r="B652" s="1" t="s">
        <v>3325</v>
      </c>
      <c r="C652" s="1" t="s">
        <v>3326</v>
      </c>
      <c r="D652" s="1" t="s">
        <v>3327</v>
      </c>
      <c r="E652" s="1">
        <v>3212.0</v>
      </c>
      <c r="F652" s="1" t="s">
        <v>382</v>
      </c>
      <c r="G652" s="1" t="s">
        <v>474</v>
      </c>
      <c r="H652" s="1" t="s">
        <v>475</v>
      </c>
      <c r="I652" s="1" t="s">
        <v>486</v>
      </c>
      <c r="J652" s="1"/>
      <c r="K652" s="1" t="s">
        <v>23</v>
      </c>
      <c r="L652" s="1" t="s">
        <v>3328</v>
      </c>
      <c r="M652" s="1">
        <v>2.0</v>
      </c>
      <c r="N652" s="1">
        <v>1.0</v>
      </c>
      <c r="O652" s="1" t="s">
        <v>382</v>
      </c>
      <c r="P652" s="1" t="s">
        <v>25</v>
      </c>
      <c r="Q652" s="2" t="str">
        <f t="shared" si="1"/>
        <v>H030076</v>
      </c>
    </row>
    <row r="653">
      <c r="A653" s="1" t="s">
        <v>3329</v>
      </c>
      <c r="B653" s="1" t="s">
        <v>3330</v>
      </c>
      <c r="C653" s="1" t="s">
        <v>3331</v>
      </c>
      <c r="D653" s="1" t="s">
        <v>3332</v>
      </c>
      <c r="E653" s="1">
        <v>124.0</v>
      </c>
      <c r="F653" s="1" t="s">
        <v>382</v>
      </c>
      <c r="G653" s="1" t="s">
        <v>474</v>
      </c>
      <c r="H653" s="1" t="s">
        <v>475</v>
      </c>
      <c r="I653" s="1" t="s">
        <v>486</v>
      </c>
      <c r="J653" s="1"/>
      <c r="K653" s="1" t="s">
        <v>23</v>
      </c>
      <c r="L653" s="1" t="s">
        <v>3333</v>
      </c>
      <c r="M653" s="1">
        <v>2.0</v>
      </c>
      <c r="N653" s="1">
        <v>0.0</v>
      </c>
      <c r="O653" s="1" t="s">
        <v>382</v>
      </c>
      <c r="P653" s="1" t="s">
        <v>25</v>
      </c>
      <c r="Q653" s="2" t="str">
        <f t="shared" si="1"/>
        <v>H030076</v>
      </c>
    </row>
    <row r="654">
      <c r="A654" s="1" t="s">
        <v>3334</v>
      </c>
      <c r="B654" s="1" t="s">
        <v>3335</v>
      </c>
      <c r="C654" s="1" t="s">
        <v>3336</v>
      </c>
      <c r="D654" s="1" t="s">
        <v>3337</v>
      </c>
      <c r="E654" s="1">
        <v>3464.0</v>
      </c>
      <c r="F654" s="1" t="s">
        <v>382</v>
      </c>
      <c r="G654" s="1" t="s">
        <v>474</v>
      </c>
      <c r="H654" s="1" t="s">
        <v>475</v>
      </c>
      <c r="I654" s="1" t="s">
        <v>486</v>
      </c>
      <c r="J654" s="1"/>
      <c r="K654" s="1" t="s">
        <v>23</v>
      </c>
      <c r="L654" s="1" t="s">
        <v>3338</v>
      </c>
      <c r="M654" s="1">
        <v>2.0</v>
      </c>
      <c r="N654" s="1">
        <v>1.0</v>
      </c>
      <c r="O654" s="1" t="s">
        <v>382</v>
      </c>
      <c r="P654" s="1" t="s">
        <v>25</v>
      </c>
      <c r="Q654" s="2" t="str">
        <f t="shared" si="1"/>
        <v>H030076</v>
      </c>
    </row>
    <row r="655">
      <c r="A655" s="1" t="s">
        <v>3339</v>
      </c>
      <c r="B655" s="1" t="s">
        <v>3340</v>
      </c>
      <c r="C655" s="1" t="s">
        <v>3341</v>
      </c>
      <c r="D655" s="1" t="s">
        <v>3342</v>
      </c>
      <c r="E655" s="1">
        <v>1513.0</v>
      </c>
      <c r="F655" s="1" t="s">
        <v>288</v>
      </c>
      <c r="G655" s="1">
        <v>729375.0</v>
      </c>
      <c r="H655" s="1" t="s">
        <v>1050</v>
      </c>
      <c r="I655" s="1" t="s">
        <v>1051</v>
      </c>
      <c r="J655" s="1"/>
      <c r="K655" s="1" t="s">
        <v>23</v>
      </c>
      <c r="L655" s="1" t="s">
        <v>3343</v>
      </c>
      <c r="M655" s="1">
        <v>1.0</v>
      </c>
      <c r="N655" s="1">
        <v>1.0</v>
      </c>
      <c r="O655" s="1" t="s">
        <v>288</v>
      </c>
      <c r="P655" s="1" t="s">
        <v>25</v>
      </c>
      <c r="Q655" s="2" t="str">
        <f t="shared" si="1"/>
        <v>H019500</v>
      </c>
    </row>
    <row r="656">
      <c r="A656" s="1" t="s">
        <v>3344</v>
      </c>
      <c r="B656" s="1" t="s">
        <v>3345</v>
      </c>
      <c r="C656" s="1" t="s">
        <v>3346</v>
      </c>
      <c r="D656" s="1" t="s">
        <v>3347</v>
      </c>
      <c r="E656" s="1">
        <v>2462.0</v>
      </c>
      <c r="F656" s="1" t="s">
        <v>288</v>
      </c>
      <c r="G656" s="1">
        <v>729375.0</v>
      </c>
      <c r="H656" s="1" t="s">
        <v>1050</v>
      </c>
      <c r="I656" s="1" t="s">
        <v>1051</v>
      </c>
      <c r="J656" s="1"/>
      <c r="K656" s="1" t="s">
        <v>23</v>
      </c>
      <c r="L656" s="1" t="s">
        <v>3348</v>
      </c>
      <c r="M656" s="1">
        <v>1.0</v>
      </c>
      <c r="N656" s="1">
        <v>1.0</v>
      </c>
      <c r="O656" s="1" t="s">
        <v>288</v>
      </c>
      <c r="P656" s="1" t="s">
        <v>25</v>
      </c>
      <c r="Q656" s="2" t="str">
        <f t="shared" si="1"/>
        <v>H019500</v>
      </c>
    </row>
    <row r="657">
      <c r="A657" s="1" t="s">
        <v>3349</v>
      </c>
      <c r="B657" s="1" t="s">
        <v>3350</v>
      </c>
      <c r="C657" s="1" t="s">
        <v>3351</v>
      </c>
      <c r="D657" s="1" t="s">
        <v>3352</v>
      </c>
      <c r="E657" s="1">
        <v>2566.0</v>
      </c>
      <c r="F657" s="1" t="s">
        <v>288</v>
      </c>
      <c r="G657" s="1">
        <v>729375.0</v>
      </c>
      <c r="H657" s="1" t="s">
        <v>1050</v>
      </c>
      <c r="I657" s="1" t="s">
        <v>1051</v>
      </c>
      <c r="J657" s="1"/>
      <c r="K657" s="1" t="s">
        <v>23</v>
      </c>
      <c r="L657" s="1" t="s">
        <v>3353</v>
      </c>
      <c r="M657" s="1">
        <v>1.0</v>
      </c>
      <c r="N657" s="1">
        <v>1.0</v>
      </c>
      <c r="O657" s="1" t="s">
        <v>288</v>
      </c>
      <c r="P657" s="1" t="s">
        <v>25</v>
      </c>
      <c r="Q657" s="2" t="str">
        <f t="shared" si="1"/>
        <v>H019500</v>
      </c>
    </row>
    <row r="658">
      <c r="A658" s="1" t="s">
        <v>3354</v>
      </c>
      <c r="B658" s="1" t="s">
        <v>3355</v>
      </c>
      <c r="C658" s="1" t="s">
        <v>3356</v>
      </c>
      <c r="D658" s="1" t="s">
        <v>3357</v>
      </c>
      <c r="E658" s="1">
        <v>1982.0</v>
      </c>
      <c r="F658" s="1" t="s">
        <v>288</v>
      </c>
      <c r="G658" s="1">
        <v>729375.0</v>
      </c>
      <c r="H658" s="1" t="s">
        <v>1050</v>
      </c>
      <c r="I658" s="1" t="s">
        <v>1051</v>
      </c>
      <c r="J658" s="1"/>
      <c r="K658" s="1" t="s">
        <v>23</v>
      </c>
      <c r="L658" s="1" t="s">
        <v>3358</v>
      </c>
      <c r="M658" s="1">
        <v>1.0</v>
      </c>
      <c r="N658" s="1">
        <v>1.0</v>
      </c>
      <c r="O658" s="1" t="s">
        <v>288</v>
      </c>
      <c r="P658" s="1" t="s">
        <v>488</v>
      </c>
      <c r="Q658" s="2" t="str">
        <f t="shared" si="1"/>
        <v>H019500</v>
      </c>
    </row>
    <row r="659">
      <c r="A659" s="1" t="s">
        <v>3359</v>
      </c>
      <c r="B659" s="1" t="s">
        <v>3360</v>
      </c>
      <c r="C659" s="1" t="s">
        <v>3361</v>
      </c>
      <c r="D659" s="1" t="s">
        <v>3362</v>
      </c>
      <c r="E659" s="1">
        <v>3969.0</v>
      </c>
      <c r="F659" s="1" t="s">
        <v>498</v>
      </c>
      <c r="G659" s="1" t="s">
        <v>132</v>
      </c>
      <c r="H659" s="1" t="s">
        <v>133</v>
      </c>
      <c r="I659" s="1" t="s">
        <v>1112</v>
      </c>
      <c r="J659" s="1"/>
      <c r="K659" s="1" t="s">
        <v>23</v>
      </c>
      <c r="L659" s="1" t="s">
        <v>3363</v>
      </c>
      <c r="M659" s="1">
        <v>3.0</v>
      </c>
      <c r="N659" s="1">
        <v>1.0</v>
      </c>
      <c r="O659" s="1" t="s">
        <v>498</v>
      </c>
      <c r="P659" s="1" t="s">
        <v>25</v>
      </c>
      <c r="Q659" s="2" t="str">
        <f t="shared" si="1"/>
        <v>H030327</v>
      </c>
    </row>
    <row r="660">
      <c r="A660" s="1" t="s">
        <v>3364</v>
      </c>
      <c r="B660" s="1" t="s">
        <v>3365</v>
      </c>
      <c r="C660" s="1" t="s">
        <v>3366</v>
      </c>
      <c r="D660" s="1" t="s">
        <v>3367</v>
      </c>
      <c r="E660" s="1">
        <v>3148.0</v>
      </c>
      <c r="F660" s="1" t="s">
        <v>498</v>
      </c>
      <c r="G660" s="1" t="s">
        <v>132</v>
      </c>
      <c r="H660" s="1" t="s">
        <v>133</v>
      </c>
      <c r="I660" s="1" t="s">
        <v>1112</v>
      </c>
      <c r="J660" s="1"/>
      <c r="K660" s="1" t="s">
        <v>23</v>
      </c>
      <c r="L660" s="1" t="s">
        <v>3368</v>
      </c>
      <c r="M660" s="1">
        <v>3.0</v>
      </c>
      <c r="N660" s="1">
        <v>1.0</v>
      </c>
      <c r="O660" s="1" t="s">
        <v>498</v>
      </c>
      <c r="P660" s="1" t="s">
        <v>25</v>
      </c>
      <c r="Q660" s="2" t="str">
        <f t="shared" si="1"/>
        <v>H030327</v>
      </c>
    </row>
    <row r="661">
      <c r="A661" s="1" t="s">
        <v>3369</v>
      </c>
      <c r="B661" s="1" t="s">
        <v>3370</v>
      </c>
      <c r="C661" s="1" t="s">
        <v>3371</v>
      </c>
      <c r="D661" s="1" t="s">
        <v>3372</v>
      </c>
      <c r="E661" s="1">
        <v>3065.0</v>
      </c>
      <c r="F661" s="1" t="s">
        <v>498</v>
      </c>
      <c r="G661" s="1" t="s">
        <v>132</v>
      </c>
      <c r="H661" s="1" t="s">
        <v>133</v>
      </c>
      <c r="I661" s="1" t="s">
        <v>1112</v>
      </c>
      <c r="J661" s="1"/>
      <c r="K661" s="1" t="s">
        <v>23</v>
      </c>
      <c r="L661" s="1" t="s">
        <v>3373</v>
      </c>
      <c r="M661" s="1">
        <v>3.0</v>
      </c>
      <c r="N661" s="1">
        <v>1.0</v>
      </c>
      <c r="O661" s="1" t="s">
        <v>498</v>
      </c>
      <c r="P661" s="1" t="s">
        <v>25</v>
      </c>
      <c r="Q661" s="2" t="str">
        <f t="shared" si="1"/>
        <v>H030327</v>
      </c>
    </row>
    <row r="662">
      <c r="A662" s="1" t="s">
        <v>3374</v>
      </c>
      <c r="B662" s="1" t="s">
        <v>3375</v>
      </c>
      <c r="C662" s="1" t="s">
        <v>3376</v>
      </c>
      <c r="D662" s="1" t="s">
        <v>3377</v>
      </c>
      <c r="E662" s="1">
        <v>4919.0</v>
      </c>
      <c r="F662" s="1" t="s">
        <v>398</v>
      </c>
      <c r="G662" s="1" t="s">
        <v>179</v>
      </c>
      <c r="H662" s="1" t="s">
        <v>180</v>
      </c>
      <c r="I662" s="1" t="s">
        <v>1112</v>
      </c>
      <c r="J662" s="1"/>
      <c r="K662" s="1" t="s">
        <v>23</v>
      </c>
      <c r="L662" s="1" t="s">
        <v>3378</v>
      </c>
      <c r="M662" s="1">
        <v>0.0</v>
      </c>
      <c r="N662" s="1">
        <v>1.0</v>
      </c>
      <c r="O662" s="1" t="s">
        <v>398</v>
      </c>
      <c r="P662" s="1" t="s">
        <v>25</v>
      </c>
      <c r="Q662" s="2" t="str">
        <f t="shared" si="1"/>
        <v>H030597</v>
      </c>
    </row>
    <row r="663">
      <c r="A663" s="1" t="s">
        <v>3379</v>
      </c>
      <c r="B663" s="1" t="s">
        <v>3380</v>
      </c>
      <c r="C663" s="1" t="s">
        <v>3381</v>
      </c>
      <c r="D663" s="1" t="s">
        <v>3382</v>
      </c>
      <c r="E663" s="1">
        <v>4935.0</v>
      </c>
      <c r="F663" s="1" t="s">
        <v>398</v>
      </c>
      <c r="G663" s="1" t="s">
        <v>179</v>
      </c>
      <c r="H663" s="1" t="s">
        <v>180</v>
      </c>
      <c r="I663" s="1" t="s">
        <v>1112</v>
      </c>
      <c r="J663" s="1"/>
      <c r="K663" s="1" t="s">
        <v>23</v>
      </c>
      <c r="L663" s="1" t="s">
        <v>3383</v>
      </c>
      <c r="M663" s="1">
        <v>0.0</v>
      </c>
      <c r="N663" s="1">
        <v>1.0</v>
      </c>
      <c r="O663" s="1" t="s">
        <v>398</v>
      </c>
      <c r="P663" s="1" t="s">
        <v>25</v>
      </c>
      <c r="Q663" s="2" t="str">
        <f t="shared" si="1"/>
        <v>H030597</v>
      </c>
    </row>
    <row r="664">
      <c r="A664" s="1" t="s">
        <v>3384</v>
      </c>
      <c r="B664" s="1" t="s">
        <v>3385</v>
      </c>
      <c r="C664" s="1" t="s">
        <v>3386</v>
      </c>
      <c r="D664" s="1" t="s">
        <v>3387</v>
      </c>
      <c r="E664" s="1">
        <v>3698.0</v>
      </c>
      <c r="F664" s="1" t="s">
        <v>498</v>
      </c>
      <c r="G664" s="1" t="s">
        <v>167</v>
      </c>
      <c r="H664" s="1" t="s">
        <v>168</v>
      </c>
      <c r="I664" s="1" t="s">
        <v>1112</v>
      </c>
      <c r="J664" s="1"/>
      <c r="K664" s="1" t="s">
        <v>23</v>
      </c>
      <c r="L664" s="1" t="s">
        <v>3388</v>
      </c>
      <c r="M664" s="1">
        <v>1.0</v>
      </c>
      <c r="N664" s="1">
        <v>1.0</v>
      </c>
      <c r="O664" s="1" t="s">
        <v>498</v>
      </c>
      <c r="P664" s="1" t="s">
        <v>25</v>
      </c>
      <c r="Q664" s="2" t="str">
        <f t="shared" si="1"/>
        <v>H030566</v>
      </c>
    </row>
    <row r="665">
      <c r="A665" s="1" t="s">
        <v>3389</v>
      </c>
      <c r="B665" s="1" t="s">
        <v>3390</v>
      </c>
      <c r="C665" s="1" t="s">
        <v>3391</v>
      </c>
      <c r="D665" s="1" t="s">
        <v>3392</v>
      </c>
      <c r="E665" s="1">
        <v>4442.0</v>
      </c>
      <c r="F665" s="1" t="s">
        <v>498</v>
      </c>
      <c r="G665" s="1" t="s">
        <v>220</v>
      </c>
      <c r="H665" s="1" t="s">
        <v>221</v>
      </c>
      <c r="I665" s="1" t="s">
        <v>1112</v>
      </c>
      <c r="J665" s="1"/>
      <c r="K665" s="1" t="s">
        <v>23</v>
      </c>
      <c r="L665" s="1" t="s">
        <v>3393</v>
      </c>
      <c r="M665" s="1">
        <v>1.0</v>
      </c>
      <c r="N665" s="1">
        <v>1.0</v>
      </c>
      <c r="O665" s="1" t="s">
        <v>498</v>
      </c>
      <c r="P665" s="1" t="s">
        <v>25</v>
      </c>
      <c r="Q665" s="2" t="str">
        <f t="shared" si="1"/>
        <v>H030566</v>
      </c>
    </row>
    <row r="666">
      <c r="A666" s="1" t="s">
        <v>3394</v>
      </c>
      <c r="B666" s="1" t="s">
        <v>3395</v>
      </c>
      <c r="C666" s="1" t="s">
        <v>3396</v>
      </c>
      <c r="D666" s="1" t="s">
        <v>3397</v>
      </c>
      <c r="E666" s="1">
        <v>4433.0</v>
      </c>
      <c r="F666" s="1" t="s">
        <v>498</v>
      </c>
      <c r="G666" s="1" t="s">
        <v>220</v>
      </c>
      <c r="H666" s="1" t="s">
        <v>221</v>
      </c>
      <c r="I666" s="1" t="s">
        <v>1112</v>
      </c>
      <c r="J666" s="1"/>
      <c r="K666" s="1" t="s">
        <v>23</v>
      </c>
      <c r="L666" s="1" t="s">
        <v>3398</v>
      </c>
      <c r="M666" s="1">
        <v>1.0</v>
      </c>
      <c r="N666" s="1">
        <v>1.0</v>
      </c>
      <c r="O666" s="1" t="s">
        <v>498</v>
      </c>
      <c r="P666" s="1" t="s">
        <v>25</v>
      </c>
      <c r="Q666" s="2" t="str">
        <f t="shared" si="1"/>
        <v>H030566</v>
      </c>
    </row>
    <row r="667">
      <c r="A667" s="1" t="s">
        <v>3399</v>
      </c>
      <c r="B667" s="1" t="s">
        <v>3400</v>
      </c>
      <c r="C667" s="1" t="s">
        <v>3401</v>
      </c>
      <c r="D667" s="1" t="s">
        <v>3402</v>
      </c>
      <c r="E667" s="1">
        <v>3889.0</v>
      </c>
      <c r="F667" s="1" t="s">
        <v>498</v>
      </c>
      <c r="G667" s="1" t="s">
        <v>220</v>
      </c>
      <c r="H667" s="1" t="s">
        <v>221</v>
      </c>
      <c r="I667" s="1" t="s">
        <v>1112</v>
      </c>
      <c r="J667" s="1"/>
      <c r="K667" s="1" t="s">
        <v>23</v>
      </c>
      <c r="L667" s="1" t="s">
        <v>3403</v>
      </c>
      <c r="M667" s="1">
        <v>1.0</v>
      </c>
      <c r="N667" s="1">
        <v>1.0</v>
      </c>
      <c r="O667" s="1" t="s">
        <v>498</v>
      </c>
      <c r="P667" s="1" t="s">
        <v>25</v>
      </c>
      <c r="Q667" s="2" t="str">
        <f t="shared" si="1"/>
        <v>H030566</v>
      </c>
    </row>
    <row r="668">
      <c r="A668" s="1" t="s">
        <v>3404</v>
      </c>
      <c r="B668" s="1" t="s">
        <v>3405</v>
      </c>
      <c r="C668" s="1" t="s">
        <v>3406</v>
      </c>
      <c r="D668" s="1" t="s">
        <v>3407</v>
      </c>
      <c r="E668" s="1">
        <v>5477.0</v>
      </c>
      <c r="F668" s="1" t="s">
        <v>498</v>
      </c>
      <c r="G668" s="1" t="s">
        <v>220</v>
      </c>
      <c r="H668" s="1" t="s">
        <v>221</v>
      </c>
      <c r="I668" s="1" t="s">
        <v>1112</v>
      </c>
      <c r="J668" s="1"/>
      <c r="K668" s="1" t="s">
        <v>23</v>
      </c>
      <c r="L668" s="1" t="s">
        <v>3408</v>
      </c>
      <c r="M668" s="1">
        <v>1.0</v>
      </c>
      <c r="N668" s="1">
        <v>1.0</v>
      </c>
      <c r="O668" s="1" t="s">
        <v>498</v>
      </c>
      <c r="P668" s="1" t="s">
        <v>25</v>
      </c>
      <c r="Q668" s="2" t="str">
        <f t="shared" si="1"/>
        <v>H030566</v>
      </c>
    </row>
    <row r="669">
      <c r="A669" s="1" t="s">
        <v>3409</v>
      </c>
      <c r="B669" s="1" t="s">
        <v>3410</v>
      </c>
      <c r="C669" s="1" t="s">
        <v>3411</v>
      </c>
      <c r="D669" s="1" t="s">
        <v>3412</v>
      </c>
      <c r="E669" s="1">
        <v>2885.0</v>
      </c>
      <c r="F669" s="1" t="s">
        <v>398</v>
      </c>
      <c r="G669" s="1" t="s">
        <v>232</v>
      </c>
      <c r="H669" s="1" t="s">
        <v>233</v>
      </c>
      <c r="I669" s="1" t="s">
        <v>1112</v>
      </c>
      <c r="J669" s="1"/>
      <c r="K669" s="1" t="s">
        <v>23</v>
      </c>
      <c r="L669" s="1" t="s">
        <v>3413</v>
      </c>
      <c r="M669" s="1">
        <v>0.0</v>
      </c>
      <c r="N669" s="1">
        <v>1.0</v>
      </c>
      <c r="O669" s="1" t="s">
        <v>398</v>
      </c>
      <c r="P669" s="1" t="s">
        <v>25</v>
      </c>
      <c r="Q669" s="2" t="str">
        <f t="shared" si="1"/>
        <v>H030597</v>
      </c>
    </row>
    <row r="670">
      <c r="A670" s="1" t="s">
        <v>3414</v>
      </c>
      <c r="B670" s="1" t="s">
        <v>3415</v>
      </c>
      <c r="C670" s="1" t="s">
        <v>3416</v>
      </c>
      <c r="D670" s="1" t="s">
        <v>3417</v>
      </c>
      <c r="E670" s="1">
        <v>3511.0</v>
      </c>
      <c r="F670" s="1" t="s">
        <v>398</v>
      </c>
      <c r="G670" s="1" t="s">
        <v>232</v>
      </c>
      <c r="H670" s="1" t="s">
        <v>233</v>
      </c>
      <c r="I670" s="1" t="s">
        <v>1112</v>
      </c>
      <c r="J670" s="1"/>
      <c r="K670" s="1" t="s">
        <v>23</v>
      </c>
      <c r="L670" s="1" t="s">
        <v>3418</v>
      </c>
      <c r="M670" s="1">
        <v>0.0</v>
      </c>
      <c r="N670" s="1">
        <v>1.0</v>
      </c>
      <c r="O670" s="1" t="s">
        <v>398</v>
      </c>
      <c r="P670" s="1" t="s">
        <v>25</v>
      </c>
      <c r="Q670" s="2" t="str">
        <f t="shared" si="1"/>
        <v>H030597</v>
      </c>
    </row>
    <row r="671">
      <c r="A671" s="1" t="s">
        <v>3419</v>
      </c>
      <c r="B671" s="1" t="s">
        <v>3420</v>
      </c>
      <c r="C671" s="1" t="s">
        <v>3421</v>
      </c>
      <c r="D671" s="1" t="s">
        <v>3422</v>
      </c>
      <c r="E671" s="1">
        <v>3367.0</v>
      </c>
      <c r="F671" s="1" t="s">
        <v>398</v>
      </c>
      <c r="G671" s="1" t="s">
        <v>232</v>
      </c>
      <c r="H671" s="1" t="s">
        <v>233</v>
      </c>
      <c r="I671" s="1" t="s">
        <v>1112</v>
      </c>
      <c r="J671" s="1"/>
      <c r="K671" s="1" t="s">
        <v>23</v>
      </c>
      <c r="L671" s="1" t="s">
        <v>3423</v>
      </c>
      <c r="M671" s="1">
        <v>0.0</v>
      </c>
      <c r="N671" s="1">
        <v>1.0</v>
      </c>
      <c r="O671" s="1" t="s">
        <v>398</v>
      </c>
      <c r="P671" s="1" t="s">
        <v>25</v>
      </c>
      <c r="Q671" s="2" t="str">
        <f t="shared" si="1"/>
        <v>H030597</v>
      </c>
    </row>
    <row r="672">
      <c r="A672" s="1" t="s">
        <v>3424</v>
      </c>
      <c r="B672" s="1" t="s">
        <v>3425</v>
      </c>
      <c r="C672" s="1" t="s">
        <v>3426</v>
      </c>
      <c r="D672" s="1" t="s">
        <v>3427</v>
      </c>
      <c r="E672" s="1">
        <v>3176.0</v>
      </c>
      <c r="F672" s="1" t="s">
        <v>398</v>
      </c>
      <c r="G672" s="1" t="s">
        <v>155</v>
      </c>
      <c r="H672" s="1" t="s">
        <v>156</v>
      </c>
      <c r="I672" s="1" t="s">
        <v>1112</v>
      </c>
      <c r="J672" s="1"/>
      <c r="K672" s="1" t="s">
        <v>23</v>
      </c>
      <c r="L672" s="1" t="s">
        <v>3428</v>
      </c>
      <c r="M672" s="1">
        <v>0.0</v>
      </c>
      <c r="N672" s="1">
        <v>1.0</v>
      </c>
      <c r="O672" s="1" t="s">
        <v>398</v>
      </c>
      <c r="P672" s="1" t="s">
        <v>25</v>
      </c>
      <c r="Q672" s="2" t="str">
        <f t="shared" si="1"/>
        <v>H030597</v>
      </c>
    </row>
    <row r="673">
      <c r="A673" s="1" t="s">
        <v>3429</v>
      </c>
      <c r="B673" s="1" t="s">
        <v>3430</v>
      </c>
      <c r="C673" s="1" t="s">
        <v>3431</v>
      </c>
      <c r="D673" s="1" t="s">
        <v>3432</v>
      </c>
      <c r="E673" s="1">
        <v>3238.0</v>
      </c>
      <c r="F673" s="1" t="s">
        <v>398</v>
      </c>
      <c r="G673" s="1" t="s">
        <v>155</v>
      </c>
      <c r="H673" s="1" t="s">
        <v>156</v>
      </c>
      <c r="I673" s="1" t="s">
        <v>1112</v>
      </c>
      <c r="J673" s="1"/>
      <c r="K673" s="1" t="s">
        <v>23</v>
      </c>
      <c r="L673" s="1" t="s">
        <v>3433</v>
      </c>
      <c r="M673" s="1">
        <v>0.0</v>
      </c>
      <c r="N673" s="1">
        <v>1.0</v>
      </c>
      <c r="O673" s="1" t="s">
        <v>398</v>
      </c>
      <c r="P673" s="1" t="s">
        <v>25</v>
      </c>
      <c r="Q673" s="2" t="str">
        <f t="shared" si="1"/>
        <v>H030597</v>
      </c>
    </row>
    <row r="674">
      <c r="A674" s="1" t="s">
        <v>3434</v>
      </c>
      <c r="B674" s="1" t="s">
        <v>3435</v>
      </c>
      <c r="C674" s="1" t="s">
        <v>3436</v>
      </c>
      <c r="D674" s="1" t="s">
        <v>3437</v>
      </c>
      <c r="E674" s="1">
        <v>3419.0</v>
      </c>
      <c r="F674" s="1" t="s">
        <v>398</v>
      </c>
      <c r="G674" s="1" t="s">
        <v>155</v>
      </c>
      <c r="H674" s="1" t="s">
        <v>156</v>
      </c>
      <c r="I674" s="1" t="s">
        <v>1112</v>
      </c>
      <c r="J674" s="1"/>
      <c r="K674" s="1" t="s">
        <v>23</v>
      </c>
      <c r="L674" s="1" t="s">
        <v>3438</v>
      </c>
      <c r="M674" s="1">
        <v>0.0</v>
      </c>
      <c r="N674" s="1">
        <v>1.0</v>
      </c>
      <c r="O674" s="1" t="s">
        <v>398</v>
      </c>
      <c r="P674" s="1" t="s">
        <v>25</v>
      </c>
      <c r="Q674" s="2" t="str">
        <f t="shared" si="1"/>
        <v>H030597</v>
      </c>
    </row>
    <row r="675">
      <c r="A675" s="1" t="s">
        <v>3439</v>
      </c>
      <c r="B675" s="1" t="s">
        <v>3440</v>
      </c>
      <c r="C675" s="1" t="s">
        <v>3441</v>
      </c>
      <c r="D675" s="1" t="s">
        <v>3442</v>
      </c>
      <c r="E675" s="1">
        <v>3079.0</v>
      </c>
      <c r="F675" s="1" t="s">
        <v>498</v>
      </c>
      <c r="G675" s="1" t="s">
        <v>167</v>
      </c>
      <c r="H675" s="1" t="s">
        <v>168</v>
      </c>
      <c r="I675" s="1" t="s">
        <v>1112</v>
      </c>
      <c r="J675" s="1"/>
      <c r="K675" s="1" t="s">
        <v>23</v>
      </c>
      <c r="L675" s="1" t="s">
        <v>3443</v>
      </c>
      <c r="M675" s="1">
        <v>1.0</v>
      </c>
      <c r="N675" s="1">
        <v>1.0</v>
      </c>
      <c r="O675" s="1" t="s">
        <v>498</v>
      </c>
      <c r="P675" s="1" t="s">
        <v>25</v>
      </c>
      <c r="Q675" s="2" t="str">
        <f t="shared" si="1"/>
        <v>H030566</v>
      </c>
    </row>
    <row r="676">
      <c r="A676" s="1" t="s">
        <v>3444</v>
      </c>
      <c r="B676" s="1" t="s">
        <v>3445</v>
      </c>
      <c r="C676" s="1" t="s">
        <v>3446</v>
      </c>
      <c r="D676" s="1" t="s">
        <v>3447</v>
      </c>
      <c r="E676" s="1">
        <v>5380.0</v>
      </c>
      <c r="F676" s="1" t="s">
        <v>498</v>
      </c>
      <c r="G676" s="1" t="s">
        <v>167</v>
      </c>
      <c r="H676" s="1" t="s">
        <v>168</v>
      </c>
      <c r="I676" s="1" t="s">
        <v>1112</v>
      </c>
      <c r="J676" s="1"/>
      <c r="K676" s="1" t="s">
        <v>23</v>
      </c>
      <c r="L676" s="1" t="s">
        <v>3448</v>
      </c>
      <c r="M676" s="1">
        <v>1.0</v>
      </c>
      <c r="N676" s="1">
        <v>1.0</v>
      </c>
      <c r="O676" s="1" t="s">
        <v>498</v>
      </c>
      <c r="P676" s="1" t="s">
        <v>25</v>
      </c>
      <c r="Q676" s="2" t="str">
        <f t="shared" si="1"/>
        <v>H030566</v>
      </c>
    </row>
    <row r="677">
      <c r="A677" s="1" t="s">
        <v>3449</v>
      </c>
      <c r="B677" s="1" t="s">
        <v>3450</v>
      </c>
      <c r="C677" s="1" t="s">
        <v>3451</v>
      </c>
      <c r="D677" s="1" t="s">
        <v>3452</v>
      </c>
      <c r="E677" s="1">
        <v>3568.0</v>
      </c>
      <c r="F677" s="1" t="s">
        <v>498</v>
      </c>
      <c r="G677" s="1" t="s">
        <v>167</v>
      </c>
      <c r="H677" s="1" t="s">
        <v>168</v>
      </c>
      <c r="I677" s="1" t="s">
        <v>1112</v>
      </c>
      <c r="J677" s="1"/>
      <c r="K677" s="1" t="s">
        <v>23</v>
      </c>
      <c r="L677" s="1" t="s">
        <v>3453</v>
      </c>
      <c r="M677" s="1">
        <v>1.0</v>
      </c>
      <c r="N677" s="1">
        <v>1.0</v>
      </c>
      <c r="O677" s="1" t="s">
        <v>498</v>
      </c>
      <c r="P677" s="1" t="s">
        <v>25</v>
      </c>
      <c r="Q677" s="2" t="str">
        <f t="shared" si="1"/>
        <v>H030566</v>
      </c>
    </row>
    <row r="678">
      <c r="A678" s="1" t="s">
        <v>3454</v>
      </c>
      <c r="B678" s="1" t="s">
        <v>3455</v>
      </c>
      <c r="C678" s="1" t="s">
        <v>3456</v>
      </c>
      <c r="D678" s="1" t="s">
        <v>3457</v>
      </c>
      <c r="E678" s="1">
        <v>5480.0</v>
      </c>
      <c r="F678" s="1" t="s">
        <v>498</v>
      </c>
      <c r="G678" s="1" t="s">
        <v>167</v>
      </c>
      <c r="H678" s="1" t="s">
        <v>168</v>
      </c>
      <c r="I678" s="1" t="s">
        <v>1112</v>
      </c>
      <c r="J678" s="1"/>
      <c r="K678" s="1" t="s">
        <v>23</v>
      </c>
      <c r="L678" s="1" t="s">
        <v>3458</v>
      </c>
      <c r="M678" s="1">
        <v>1.0</v>
      </c>
      <c r="N678" s="1">
        <v>1.0</v>
      </c>
      <c r="O678" s="1" t="s">
        <v>498</v>
      </c>
      <c r="P678" s="1" t="s">
        <v>25</v>
      </c>
      <c r="Q678" s="2" t="str">
        <f t="shared" si="1"/>
        <v>H030566</v>
      </c>
    </row>
    <row r="679">
      <c r="A679" s="1" t="s">
        <v>3459</v>
      </c>
      <c r="B679" s="1" t="s">
        <v>3460</v>
      </c>
      <c r="C679" s="1" t="s">
        <v>3461</v>
      </c>
      <c r="D679" s="1" t="s">
        <v>3462</v>
      </c>
      <c r="E679" s="1">
        <v>3500.0</v>
      </c>
      <c r="F679" s="1" t="s">
        <v>351</v>
      </c>
      <c r="G679" s="1" t="s">
        <v>57</v>
      </c>
      <c r="H679" s="1" t="s">
        <v>58</v>
      </c>
      <c r="I679" s="1" t="s">
        <v>486</v>
      </c>
      <c r="J679" s="1"/>
      <c r="K679" s="1" t="s">
        <v>23</v>
      </c>
      <c r="L679" s="1" t="s">
        <v>3463</v>
      </c>
      <c r="M679" s="1">
        <v>1.0</v>
      </c>
      <c r="N679" s="1">
        <v>1.0</v>
      </c>
      <c r="O679" s="1" t="s">
        <v>351</v>
      </c>
      <c r="P679" s="1" t="s">
        <v>25</v>
      </c>
      <c r="Q679" s="2" t="str">
        <f t="shared" si="1"/>
        <v>H006183</v>
      </c>
    </row>
    <row r="680">
      <c r="A680" s="1" t="s">
        <v>3464</v>
      </c>
      <c r="B680" s="1" t="s">
        <v>3465</v>
      </c>
      <c r="C680" s="1" t="s">
        <v>3466</v>
      </c>
      <c r="D680" s="1" t="s">
        <v>3467</v>
      </c>
      <c r="E680" s="1">
        <v>3405.0</v>
      </c>
      <c r="F680" s="1" t="s">
        <v>351</v>
      </c>
      <c r="G680" s="1" t="s">
        <v>57</v>
      </c>
      <c r="H680" s="1" t="s">
        <v>58</v>
      </c>
      <c r="I680" s="1" t="s">
        <v>486</v>
      </c>
      <c r="J680" s="1"/>
      <c r="K680" s="1" t="s">
        <v>23</v>
      </c>
      <c r="L680" s="1" t="s">
        <v>3468</v>
      </c>
      <c r="M680" s="1">
        <v>1.0</v>
      </c>
      <c r="N680" s="1">
        <v>1.0</v>
      </c>
      <c r="O680" s="1" t="s">
        <v>351</v>
      </c>
      <c r="P680" s="1" t="s">
        <v>25</v>
      </c>
      <c r="Q680" s="2" t="str">
        <f t="shared" si="1"/>
        <v>H006183</v>
      </c>
    </row>
    <row r="681">
      <c r="A681" s="1" t="s">
        <v>3469</v>
      </c>
      <c r="B681" s="1" t="s">
        <v>3470</v>
      </c>
      <c r="C681" s="1" t="s">
        <v>3471</v>
      </c>
      <c r="D681" s="1" t="s">
        <v>3472</v>
      </c>
      <c r="E681" s="1">
        <v>4489.0</v>
      </c>
      <c r="F681" s="1" t="s">
        <v>351</v>
      </c>
      <c r="G681" s="1" t="s">
        <v>57</v>
      </c>
      <c r="H681" s="1" t="s">
        <v>58</v>
      </c>
      <c r="I681" s="1" t="s">
        <v>486</v>
      </c>
      <c r="J681" s="1"/>
      <c r="K681" s="1" t="s">
        <v>23</v>
      </c>
      <c r="L681" s="1" t="s">
        <v>3473</v>
      </c>
      <c r="M681" s="1">
        <v>1.0</v>
      </c>
      <c r="N681" s="1">
        <v>1.0</v>
      </c>
      <c r="O681" s="1" t="s">
        <v>351</v>
      </c>
      <c r="P681" s="1" t="s">
        <v>25</v>
      </c>
      <c r="Q681" s="2" t="str">
        <f t="shared" si="1"/>
        <v>H006183</v>
      </c>
    </row>
    <row r="682">
      <c r="A682" s="1" t="s">
        <v>3474</v>
      </c>
      <c r="B682" s="1" t="s">
        <v>3475</v>
      </c>
      <c r="C682" s="1" t="s">
        <v>3476</v>
      </c>
      <c r="D682" s="1" t="s">
        <v>3477</v>
      </c>
      <c r="E682" s="1">
        <v>4161.0</v>
      </c>
      <c r="F682" s="1" t="s">
        <v>351</v>
      </c>
      <c r="G682" s="1" t="s">
        <v>57</v>
      </c>
      <c r="H682" s="1" t="s">
        <v>58</v>
      </c>
      <c r="I682" s="1" t="s">
        <v>486</v>
      </c>
      <c r="J682" s="1"/>
      <c r="K682" s="1" t="s">
        <v>23</v>
      </c>
      <c r="L682" s="1" t="s">
        <v>3478</v>
      </c>
      <c r="M682" s="1">
        <v>1.0</v>
      </c>
      <c r="N682" s="1">
        <v>1.0</v>
      </c>
      <c r="O682" s="1" t="s">
        <v>351</v>
      </c>
      <c r="P682" s="1" t="s">
        <v>25</v>
      </c>
      <c r="Q682" s="2" t="str">
        <f t="shared" si="1"/>
        <v>H006183</v>
      </c>
    </row>
    <row r="683">
      <c r="A683" s="1" t="s">
        <v>3479</v>
      </c>
      <c r="B683" s="1" t="s">
        <v>3480</v>
      </c>
      <c r="C683" s="1" t="s">
        <v>3481</v>
      </c>
      <c r="D683" s="1" t="s">
        <v>3482</v>
      </c>
      <c r="E683" s="1">
        <v>4922.0</v>
      </c>
      <c r="F683" s="1" t="s">
        <v>498</v>
      </c>
      <c r="G683" s="1">
        <v>896791.0</v>
      </c>
      <c r="H683" s="1" t="s">
        <v>2124</v>
      </c>
      <c r="I683" s="1" t="s">
        <v>1112</v>
      </c>
      <c r="J683" s="1"/>
      <c r="K683" s="1" t="s">
        <v>23</v>
      </c>
      <c r="L683" s="1" t="s">
        <v>3483</v>
      </c>
      <c r="M683" s="1">
        <v>3.0</v>
      </c>
      <c r="N683" s="1">
        <v>1.0</v>
      </c>
      <c r="O683" s="1" t="s">
        <v>498</v>
      </c>
      <c r="P683" s="1" t="s">
        <v>25</v>
      </c>
      <c r="Q683" s="2" t="str">
        <f t="shared" si="1"/>
        <v>H030327</v>
      </c>
    </row>
    <row r="684">
      <c r="A684" s="1" t="s">
        <v>3484</v>
      </c>
      <c r="B684" s="1" t="s">
        <v>3485</v>
      </c>
      <c r="C684" s="1" t="s">
        <v>3486</v>
      </c>
      <c r="D684" s="1" t="s">
        <v>3487</v>
      </c>
      <c r="E684" s="1">
        <v>5093.0</v>
      </c>
      <c r="F684" s="1" t="s">
        <v>498</v>
      </c>
      <c r="G684" s="1">
        <v>896791.0</v>
      </c>
      <c r="H684" s="1" t="s">
        <v>2124</v>
      </c>
      <c r="I684" s="1" t="s">
        <v>1112</v>
      </c>
      <c r="J684" s="1"/>
      <c r="K684" s="1" t="s">
        <v>23</v>
      </c>
      <c r="L684" s="1" t="s">
        <v>3488</v>
      </c>
      <c r="M684" s="1">
        <v>3.0</v>
      </c>
      <c r="N684" s="1">
        <v>1.0</v>
      </c>
      <c r="O684" s="1" t="s">
        <v>498</v>
      </c>
      <c r="P684" s="1" t="s">
        <v>25</v>
      </c>
      <c r="Q684" s="2" t="str">
        <f t="shared" si="1"/>
        <v>H030327</v>
      </c>
    </row>
    <row r="685">
      <c r="A685" s="1" t="s">
        <v>3489</v>
      </c>
      <c r="B685" s="1" t="s">
        <v>3490</v>
      </c>
      <c r="C685" s="1" t="s">
        <v>3491</v>
      </c>
      <c r="D685" s="1" t="s">
        <v>3492</v>
      </c>
      <c r="E685" s="1">
        <v>2870.0</v>
      </c>
      <c r="F685" s="1" t="s">
        <v>315</v>
      </c>
      <c r="G685" s="1">
        <v>841329.0</v>
      </c>
      <c r="H685" s="1" t="s">
        <v>1848</v>
      </c>
      <c r="I685" s="1" t="s">
        <v>1051</v>
      </c>
      <c r="J685" s="1"/>
      <c r="K685" s="1" t="s">
        <v>23</v>
      </c>
      <c r="L685" s="1" t="s">
        <v>3493</v>
      </c>
      <c r="M685" s="1">
        <v>3.0</v>
      </c>
      <c r="N685" s="1">
        <v>1.0</v>
      </c>
      <c r="O685" s="1" t="s">
        <v>315</v>
      </c>
      <c r="P685" s="1" t="s">
        <v>25</v>
      </c>
      <c r="Q685" s="2" t="str">
        <f t="shared" si="1"/>
        <v>H019838</v>
      </c>
    </row>
    <row r="686">
      <c r="A686" s="1" t="s">
        <v>3494</v>
      </c>
      <c r="B686" s="1" t="s">
        <v>3495</v>
      </c>
      <c r="C686" s="1" t="s">
        <v>3496</v>
      </c>
      <c r="D686" s="1" t="s">
        <v>3497</v>
      </c>
      <c r="E686" s="1">
        <v>2887.0</v>
      </c>
      <c r="F686" s="1" t="s">
        <v>315</v>
      </c>
      <c r="G686" s="1">
        <v>555127.0</v>
      </c>
      <c r="H686" s="1" t="s">
        <v>3047</v>
      </c>
      <c r="I686" s="1" t="s">
        <v>1051</v>
      </c>
      <c r="J686" s="1"/>
      <c r="K686" s="1" t="s">
        <v>23</v>
      </c>
      <c r="L686" s="1" t="s">
        <v>3498</v>
      </c>
      <c r="M686" s="1">
        <v>3.0</v>
      </c>
      <c r="N686" s="1">
        <v>1.0</v>
      </c>
      <c r="O686" s="1" t="s">
        <v>315</v>
      </c>
      <c r="P686" s="1" t="s">
        <v>25</v>
      </c>
      <c r="Q686" s="2" t="str">
        <f t="shared" si="1"/>
        <v>H019838</v>
      </c>
    </row>
    <row r="687">
      <c r="A687" s="1" t="s">
        <v>3499</v>
      </c>
      <c r="B687" s="1" t="s">
        <v>3500</v>
      </c>
      <c r="C687" s="1" t="s">
        <v>3501</v>
      </c>
      <c r="D687" s="1" t="s">
        <v>3502</v>
      </c>
      <c r="E687" s="1">
        <v>1836.0</v>
      </c>
      <c r="F687" s="1" t="s">
        <v>315</v>
      </c>
      <c r="G687" s="1">
        <v>555127.0</v>
      </c>
      <c r="H687" s="1" t="s">
        <v>3047</v>
      </c>
      <c r="I687" s="1" t="s">
        <v>1051</v>
      </c>
      <c r="J687" s="1"/>
      <c r="K687" s="1" t="s">
        <v>23</v>
      </c>
      <c r="L687" s="1" t="s">
        <v>3503</v>
      </c>
      <c r="M687" s="1">
        <v>3.0</v>
      </c>
      <c r="N687" s="1">
        <v>1.0</v>
      </c>
      <c r="O687" s="1" t="s">
        <v>315</v>
      </c>
      <c r="P687" s="1" t="s">
        <v>25</v>
      </c>
      <c r="Q687" s="2" t="str">
        <f t="shared" si="1"/>
        <v>H019838</v>
      </c>
    </row>
    <row r="688">
      <c r="A688" s="1" t="s">
        <v>3504</v>
      </c>
      <c r="B688" s="1" t="s">
        <v>3505</v>
      </c>
      <c r="C688" s="1" t="s">
        <v>3506</v>
      </c>
      <c r="D688" s="1" t="s">
        <v>3507</v>
      </c>
      <c r="E688" s="1">
        <v>4892.0</v>
      </c>
      <c r="F688" s="1" t="s">
        <v>315</v>
      </c>
      <c r="G688" s="1">
        <v>841329.0</v>
      </c>
      <c r="H688" s="1" t="s">
        <v>1848</v>
      </c>
      <c r="I688" s="1" t="s">
        <v>1051</v>
      </c>
      <c r="J688" s="1"/>
      <c r="K688" s="1" t="s">
        <v>23</v>
      </c>
      <c r="L688" s="1" t="s">
        <v>3508</v>
      </c>
      <c r="M688" s="1">
        <v>3.0</v>
      </c>
      <c r="N688" s="1">
        <v>1.0</v>
      </c>
      <c r="O688" s="1" t="s">
        <v>315</v>
      </c>
      <c r="P688" s="1" t="s">
        <v>25</v>
      </c>
      <c r="Q688" s="2" t="str">
        <f t="shared" si="1"/>
        <v>H019838</v>
      </c>
    </row>
    <row r="689">
      <c r="A689" s="1" t="s">
        <v>3509</v>
      </c>
      <c r="B689" s="1" t="s">
        <v>3510</v>
      </c>
      <c r="C689" s="1" t="s">
        <v>3511</v>
      </c>
      <c r="D689" s="1" t="s">
        <v>3512</v>
      </c>
      <c r="E689" s="1">
        <v>3344.0</v>
      </c>
      <c r="F689" s="1" t="s">
        <v>315</v>
      </c>
      <c r="G689" s="1">
        <v>555127.0</v>
      </c>
      <c r="H689" s="1" t="s">
        <v>3047</v>
      </c>
      <c r="I689" s="1" t="s">
        <v>1051</v>
      </c>
      <c r="J689" s="1"/>
      <c r="K689" s="1" t="s">
        <v>23</v>
      </c>
      <c r="L689" s="1" t="s">
        <v>3513</v>
      </c>
      <c r="M689" s="1">
        <v>3.0</v>
      </c>
      <c r="N689" s="1">
        <v>1.0</v>
      </c>
      <c r="O689" s="1" t="s">
        <v>315</v>
      </c>
      <c r="P689" s="1" t="s">
        <v>25</v>
      </c>
      <c r="Q689" s="2" t="str">
        <f t="shared" si="1"/>
        <v>H019838</v>
      </c>
    </row>
    <row r="690">
      <c r="A690" s="1" t="s">
        <v>3514</v>
      </c>
      <c r="B690" s="1" t="s">
        <v>3515</v>
      </c>
      <c r="C690" s="1" t="s">
        <v>3516</v>
      </c>
      <c r="D690" s="1" t="s">
        <v>3517</v>
      </c>
      <c r="E690" s="1">
        <v>3788.0</v>
      </c>
      <c r="F690" s="1" t="s">
        <v>315</v>
      </c>
      <c r="G690" s="1">
        <v>841329.0</v>
      </c>
      <c r="H690" s="1" t="s">
        <v>1848</v>
      </c>
      <c r="I690" s="1" t="s">
        <v>1051</v>
      </c>
      <c r="J690" s="1"/>
      <c r="K690" s="1" t="s">
        <v>23</v>
      </c>
      <c r="L690" s="1" t="s">
        <v>3518</v>
      </c>
      <c r="M690" s="1">
        <v>3.0</v>
      </c>
      <c r="N690" s="1">
        <v>1.0</v>
      </c>
      <c r="O690" s="1" t="s">
        <v>315</v>
      </c>
      <c r="P690" s="1" t="s">
        <v>25</v>
      </c>
      <c r="Q690" s="2" t="str">
        <f t="shared" si="1"/>
        <v>H019838</v>
      </c>
    </row>
    <row r="691">
      <c r="A691" s="1" t="s">
        <v>3519</v>
      </c>
      <c r="B691" s="1" t="s">
        <v>3520</v>
      </c>
      <c r="C691" s="1" t="s">
        <v>3521</v>
      </c>
      <c r="D691" s="1" t="s">
        <v>3522</v>
      </c>
      <c r="E691" s="1">
        <v>2551.0</v>
      </c>
      <c r="F691" s="1" t="s">
        <v>315</v>
      </c>
      <c r="G691" s="1">
        <v>555127.0</v>
      </c>
      <c r="H691" s="1" t="s">
        <v>3047</v>
      </c>
      <c r="I691" s="1" t="s">
        <v>1051</v>
      </c>
      <c r="J691" s="1"/>
      <c r="K691" s="1" t="s">
        <v>23</v>
      </c>
      <c r="L691" s="1" t="s">
        <v>3523</v>
      </c>
      <c r="M691" s="1">
        <v>3.0</v>
      </c>
      <c r="N691" s="1">
        <v>1.0</v>
      </c>
      <c r="O691" s="1" t="s">
        <v>315</v>
      </c>
      <c r="P691" s="1" t="s">
        <v>25</v>
      </c>
      <c r="Q691" s="2" t="str">
        <f t="shared" si="1"/>
        <v>H019838</v>
      </c>
    </row>
    <row r="692">
      <c r="A692" s="1" t="s">
        <v>3524</v>
      </c>
      <c r="B692" s="1" t="s">
        <v>3525</v>
      </c>
      <c r="C692" s="1" t="s">
        <v>3526</v>
      </c>
      <c r="D692" s="1" t="s">
        <v>3527</v>
      </c>
      <c r="E692" s="1">
        <v>2870.0</v>
      </c>
      <c r="F692" s="1" t="s">
        <v>315</v>
      </c>
      <c r="G692" s="1">
        <v>841329.0</v>
      </c>
      <c r="H692" s="1" t="s">
        <v>1848</v>
      </c>
      <c r="I692" s="1" t="s">
        <v>1051</v>
      </c>
      <c r="J692" s="1"/>
      <c r="K692" s="1" t="s">
        <v>23</v>
      </c>
      <c r="L692" s="1" t="s">
        <v>3528</v>
      </c>
      <c r="M692" s="1">
        <v>3.0</v>
      </c>
      <c r="N692" s="1">
        <v>1.0</v>
      </c>
      <c r="O692" s="1" t="s">
        <v>315</v>
      </c>
      <c r="P692" s="1" t="s">
        <v>25</v>
      </c>
      <c r="Q692" s="2" t="str">
        <f t="shared" si="1"/>
        <v>H019838</v>
      </c>
    </row>
    <row r="693">
      <c r="A693" s="1" t="s">
        <v>3529</v>
      </c>
      <c r="B693" s="1" t="s">
        <v>3530</v>
      </c>
      <c r="C693" s="1" t="s">
        <v>3531</v>
      </c>
      <c r="D693" s="1" t="s">
        <v>3532</v>
      </c>
      <c r="E693" s="1">
        <v>2692.0</v>
      </c>
      <c r="F693" s="1" t="s">
        <v>315</v>
      </c>
      <c r="G693" s="1">
        <v>841329.0</v>
      </c>
      <c r="H693" s="1" t="s">
        <v>1848</v>
      </c>
      <c r="I693" s="1" t="s">
        <v>1051</v>
      </c>
      <c r="J693" s="1"/>
      <c r="K693" s="1" t="s">
        <v>23</v>
      </c>
      <c r="L693" s="1" t="s">
        <v>3533</v>
      </c>
      <c r="M693" s="1">
        <v>3.0</v>
      </c>
      <c r="N693" s="1">
        <v>1.0</v>
      </c>
      <c r="O693" s="1" t="s">
        <v>315</v>
      </c>
      <c r="P693" s="1" t="s">
        <v>25</v>
      </c>
      <c r="Q693" s="2" t="str">
        <f t="shared" si="1"/>
        <v>H019838</v>
      </c>
    </row>
    <row r="694">
      <c r="A694" s="1" t="s">
        <v>3534</v>
      </c>
      <c r="B694" s="1" t="s">
        <v>3535</v>
      </c>
      <c r="C694" s="1" t="s">
        <v>3536</v>
      </c>
      <c r="D694" s="1" t="s">
        <v>3537</v>
      </c>
      <c r="E694" s="1">
        <v>2465.0</v>
      </c>
      <c r="F694" s="1" t="s">
        <v>288</v>
      </c>
      <c r="G694" s="1">
        <v>729375.0</v>
      </c>
      <c r="H694" s="1" t="s">
        <v>1050</v>
      </c>
      <c r="I694" s="1" t="s">
        <v>1051</v>
      </c>
      <c r="J694" s="1"/>
      <c r="K694" s="1" t="s">
        <v>23</v>
      </c>
      <c r="L694" s="1" t="s">
        <v>3538</v>
      </c>
      <c r="M694" s="1">
        <v>0.0</v>
      </c>
      <c r="N694" s="1">
        <v>1.0</v>
      </c>
      <c r="O694" s="1" t="s">
        <v>288</v>
      </c>
      <c r="P694" s="1" t="s">
        <v>25</v>
      </c>
      <c r="Q694" s="2" t="str">
        <f t="shared" si="1"/>
        <v>H019096</v>
      </c>
    </row>
    <row r="695">
      <c r="A695" s="1" t="s">
        <v>3539</v>
      </c>
      <c r="B695" s="1" t="s">
        <v>3540</v>
      </c>
      <c r="C695" s="1" t="s">
        <v>3541</v>
      </c>
      <c r="D695" s="1" t="s">
        <v>3542</v>
      </c>
      <c r="E695" s="1">
        <v>1966.0</v>
      </c>
      <c r="F695" s="1" t="s">
        <v>288</v>
      </c>
      <c r="G695" s="1">
        <v>729375.0</v>
      </c>
      <c r="H695" s="1" t="s">
        <v>1050</v>
      </c>
      <c r="I695" s="1" t="s">
        <v>1051</v>
      </c>
      <c r="J695" s="1"/>
      <c r="K695" s="1" t="s">
        <v>23</v>
      </c>
      <c r="L695" s="1" t="s">
        <v>3543</v>
      </c>
      <c r="M695" s="1">
        <v>0.0</v>
      </c>
      <c r="N695" s="1">
        <v>1.0</v>
      </c>
      <c r="O695" s="1" t="s">
        <v>288</v>
      </c>
      <c r="P695" s="1" t="s">
        <v>25</v>
      </c>
      <c r="Q695" s="2" t="str">
        <f t="shared" si="1"/>
        <v>H019096</v>
      </c>
    </row>
    <row r="696">
      <c r="A696" s="1" t="s">
        <v>3544</v>
      </c>
      <c r="B696" s="1" t="s">
        <v>3545</v>
      </c>
      <c r="C696" s="1" t="s">
        <v>3546</v>
      </c>
      <c r="D696" s="1" t="s">
        <v>3547</v>
      </c>
      <c r="E696" s="1">
        <v>2413.0</v>
      </c>
      <c r="F696" s="1" t="s">
        <v>288</v>
      </c>
      <c r="G696" s="1">
        <v>729375.0</v>
      </c>
      <c r="H696" s="1" t="s">
        <v>1050</v>
      </c>
      <c r="I696" s="1" t="s">
        <v>1051</v>
      </c>
      <c r="J696" s="1"/>
      <c r="K696" s="1" t="s">
        <v>23</v>
      </c>
      <c r="L696" s="1" t="s">
        <v>3548</v>
      </c>
      <c r="M696" s="1">
        <v>0.0</v>
      </c>
      <c r="N696" s="1">
        <v>1.0</v>
      </c>
      <c r="O696" s="1" t="s">
        <v>288</v>
      </c>
      <c r="P696" s="1" t="s">
        <v>25</v>
      </c>
      <c r="Q696" s="2" t="str">
        <f t="shared" si="1"/>
        <v>H019096</v>
      </c>
    </row>
    <row r="697">
      <c r="A697" s="1" t="s">
        <v>3549</v>
      </c>
      <c r="B697" s="1" t="s">
        <v>3550</v>
      </c>
      <c r="C697" s="1" t="s">
        <v>3551</v>
      </c>
      <c r="D697" s="1" t="s">
        <v>3552</v>
      </c>
      <c r="E697" s="1">
        <v>3672.0</v>
      </c>
      <c r="F697" s="1" t="s">
        <v>288</v>
      </c>
      <c r="G697" s="1">
        <v>859767.0</v>
      </c>
      <c r="H697" s="1" t="s">
        <v>2565</v>
      </c>
      <c r="I697" s="1" t="s">
        <v>1051</v>
      </c>
      <c r="J697" s="1"/>
      <c r="K697" s="1" t="s">
        <v>23</v>
      </c>
      <c r="L697" s="1" t="s">
        <v>3553</v>
      </c>
      <c r="M697" s="1">
        <v>0.0</v>
      </c>
      <c r="N697" s="1">
        <v>1.0</v>
      </c>
      <c r="O697" s="1" t="s">
        <v>288</v>
      </c>
      <c r="P697" s="1" t="s">
        <v>25</v>
      </c>
      <c r="Q697" s="2" t="str">
        <f t="shared" si="1"/>
        <v>H019096</v>
      </c>
    </row>
    <row r="698">
      <c r="A698" s="1" t="s">
        <v>3554</v>
      </c>
      <c r="B698" s="1" t="s">
        <v>3555</v>
      </c>
      <c r="C698" s="1" t="s">
        <v>3556</v>
      </c>
      <c r="D698" s="1" t="s">
        <v>3557</v>
      </c>
      <c r="E698" s="1">
        <v>4284.0</v>
      </c>
      <c r="F698" s="1" t="s">
        <v>288</v>
      </c>
      <c r="G698" s="1">
        <v>859767.0</v>
      </c>
      <c r="H698" s="1" t="s">
        <v>2565</v>
      </c>
      <c r="I698" s="1" t="s">
        <v>1051</v>
      </c>
      <c r="J698" s="1"/>
      <c r="K698" s="1" t="s">
        <v>23</v>
      </c>
      <c r="L698" s="1" t="s">
        <v>3558</v>
      </c>
      <c r="M698" s="1">
        <v>0.0</v>
      </c>
      <c r="N698" s="1">
        <v>1.0</v>
      </c>
      <c r="O698" s="1" t="s">
        <v>288</v>
      </c>
      <c r="P698" s="1" t="s">
        <v>25</v>
      </c>
      <c r="Q698" s="2" t="str">
        <f t="shared" si="1"/>
        <v>H019096</v>
      </c>
    </row>
    <row r="699">
      <c r="A699" s="1" t="s">
        <v>3559</v>
      </c>
      <c r="B699" s="1" t="s">
        <v>3560</v>
      </c>
      <c r="C699" s="1" t="s">
        <v>3561</v>
      </c>
      <c r="D699" s="1" t="s">
        <v>3562</v>
      </c>
      <c r="E699" s="1">
        <v>4143.0</v>
      </c>
      <c r="F699" s="1" t="s">
        <v>288</v>
      </c>
      <c r="G699" s="1">
        <v>859767.0</v>
      </c>
      <c r="H699" s="1" t="s">
        <v>2565</v>
      </c>
      <c r="I699" s="1" t="s">
        <v>1051</v>
      </c>
      <c r="J699" s="1"/>
      <c r="K699" s="1" t="s">
        <v>23</v>
      </c>
      <c r="L699" s="1" t="s">
        <v>3563</v>
      </c>
      <c r="M699" s="1">
        <v>0.0</v>
      </c>
      <c r="N699" s="1">
        <v>1.0</v>
      </c>
      <c r="O699" s="1" t="s">
        <v>288</v>
      </c>
      <c r="P699" s="1" t="s">
        <v>25</v>
      </c>
      <c r="Q699" s="2" t="str">
        <f t="shared" si="1"/>
        <v>H019096</v>
      </c>
    </row>
    <row r="700">
      <c r="A700" s="1" t="s">
        <v>3564</v>
      </c>
      <c r="B700" s="1" t="s">
        <v>3565</v>
      </c>
      <c r="C700" s="1" t="s">
        <v>3566</v>
      </c>
      <c r="D700" s="1" t="s">
        <v>3567</v>
      </c>
      <c r="E700" s="1">
        <v>3751.0</v>
      </c>
      <c r="F700" s="1" t="s">
        <v>288</v>
      </c>
      <c r="G700" s="1" t="s">
        <v>304</v>
      </c>
      <c r="H700" s="1" t="s">
        <v>272</v>
      </c>
      <c r="I700" s="1" t="s">
        <v>1051</v>
      </c>
      <c r="J700" s="1"/>
      <c r="K700" s="1" t="s">
        <v>23</v>
      </c>
      <c r="L700" s="1" t="s">
        <v>3568</v>
      </c>
      <c r="M700" s="1">
        <v>0.0</v>
      </c>
      <c r="N700" s="1">
        <v>1.0</v>
      </c>
      <c r="O700" s="1" t="s">
        <v>288</v>
      </c>
      <c r="P700" s="1" t="s">
        <v>25</v>
      </c>
      <c r="Q700" s="2" t="str">
        <f t="shared" si="1"/>
        <v>H019096</v>
      </c>
    </row>
    <row r="701">
      <c r="A701" s="1" t="s">
        <v>3569</v>
      </c>
      <c r="B701" s="1" t="s">
        <v>3570</v>
      </c>
      <c r="C701" s="1" t="s">
        <v>3571</v>
      </c>
      <c r="D701" s="1" t="s">
        <v>3572</v>
      </c>
      <c r="E701" s="1">
        <v>3930.0</v>
      </c>
      <c r="F701" s="1" t="s">
        <v>288</v>
      </c>
      <c r="G701" s="1" t="s">
        <v>304</v>
      </c>
      <c r="H701" s="1" t="s">
        <v>272</v>
      </c>
      <c r="I701" s="1" t="s">
        <v>1051</v>
      </c>
      <c r="J701" s="1"/>
      <c r="K701" s="1" t="s">
        <v>23</v>
      </c>
      <c r="L701" s="1" t="s">
        <v>3573</v>
      </c>
      <c r="M701" s="1">
        <v>0.0</v>
      </c>
      <c r="N701" s="1">
        <v>1.0</v>
      </c>
      <c r="O701" s="1" t="s">
        <v>288</v>
      </c>
      <c r="P701" s="1" t="s">
        <v>25</v>
      </c>
      <c r="Q701" s="2" t="str">
        <f t="shared" si="1"/>
        <v>H019096</v>
      </c>
    </row>
    <row r="702">
      <c r="A702" s="1" t="s">
        <v>3574</v>
      </c>
      <c r="B702" s="1" t="s">
        <v>3575</v>
      </c>
      <c r="C702" s="1" t="s">
        <v>3576</v>
      </c>
      <c r="D702" s="1" t="s">
        <v>3577</v>
      </c>
      <c r="E702" s="1">
        <v>3704.0</v>
      </c>
      <c r="F702" s="1" t="s">
        <v>288</v>
      </c>
      <c r="G702" s="1" t="s">
        <v>304</v>
      </c>
      <c r="H702" s="1" t="s">
        <v>272</v>
      </c>
      <c r="I702" s="1" t="s">
        <v>1051</v>
      </c>
      <c r="J702" s="1"/>
      <c r="K702" s="1" t="s">
        <v>23</v>
      </c>
      <c r="L702" s="1" t="s">
        <v>3578</v>
      </c>
      <c r="M702" s="1">
        <v>0.0</v>
      </c>
      <c r="N702" s="1">
        <v>1.0</v>
      </c>
      <c r="O702" s="1" t="s">
        <v>288</v>
      </c>
      <c r="P702" s="1" t="s">
        <v>25</v>
      </c>
      <c r="Q702" s="2" t="str">
        <f t="shared" si="1"/>
        <v>H019096</v>
      </c>
    </row>
    <row r="703">
      <c r="A703" s="1" t="s">
        <v>3579</v>
      </c>
      <c r="B703" s="1" t="s">
        <v>3580</v>
      </c>
      <c r="C703" s="1" t="s">
        <v>3581</v>
      </c>
      <c r="D703" s="1" t="s">
        <v>3582</v>
      </c>
      <c r="E703" s="1">
        <v>5046.0</v>
      </c>
      <c r="F703" s="1" t="s">
        <v>288</v>
      </c>
      <c r="G703" s="1" t="s">
        <v>304</v>
      </c>
      <c r="H703" s="1" t="s">
        <v>272</v>
      </c>
      <c r="I703" s="1" t="s">
        <v>1051</v>
      </c>
      <c r="J703" s="1"/>
      <c r="K703" s="1" t="s">
        <v>23</v>
      </c>
      <c r="L703" s="1" t="s">
        <v>3583</v>
      </c>
      <c r="M703" s="1">
        <v>0.0</v>
      </c>
      <c r="N703" s="1">
        <v>1.0</v>
      </c>
      <c r="O703" s="1" t="s">
        <v>288</v>
      </c>
      <c r="P703" s="1" t="s">
        <v>25</v>
      </c>
      <c r="Q703" s="2" t="str">
        <f t="shared" si="1"/>
        <v>H019096</v>
      </c>
    </row>
    <row r="704">
      <c r="A704" s="1" t="s">
        <v>3584</v>
      </c>
      <c r="B704" s="1" t="s">
        <v>3585</v>
      </c>
      <c r="C704" s="1" t="s">
        <v>3586</v>
      </c>
      <c r="D704" s="1" t="s">
        <v>3587</v>
      </c>
      <c r="E704" s="1">
        <v>4263.0</v>
      </c>
      <c r="F704" s="1" t="s">
        <v>351</v>
      </c>
      <c r="G704" s="1" t="s">
        <v>260</v>
      </c>
      <c r="H704" s="1" t="s">
        <v>261</v>
      </c>
      <c r="I704" s="1" t="s">
        <v>486</v>
      </c>
      <c r="J704" s="1"/>
      <c r="K704" s="1" t="s">
        <v>23</v>
      </c>
      <c r="L704" s="1" t="s">
        <v>3588</v>
      </c>
      <c r="M704" s="1">
        <v>1.0</v>
      </c>
      <c r="N704" s="1">
        <v>1.0</v>
      </c>
      <c r="O704" s="1" t="s">
        <v>351</v>
      </c>
      <c r="P704" s="1" t="s">
        <v>25</v>
      </c>
      <c r="Q704" s="2" t="str">
        <f t="shared" si="1"/>
        <v>H006183</v>
      </c>
    </row>
    <row r="705">
      <c r="A705" s="1" t="s">
        <v>3589</v>
      </c>
      <c r="B705" s="1" t="s">
        <v>3590</v>
      </c>
      <c r="C705" s="1" t="s">
        <v>3591</v>
      </c>
      <c r="D705" s="1" t="s">
        <v>3592</v>
      </c>
      <c r="E705" s="1">
        <v>3996.0</v>
      </c>
      <c r="F705" s="1" t="s">
        <v>351</v>
      </c>
      <c r="G705" s="1" t="s">
        <v>260</v>
      </c>
      <c r="H705" s="1" t="s">
        <v>261</v>
      </c>
      <c r="I705" s="1" t="s">
        <v>486</v>
      </c>
      <c r="J705" s="1"/>
      <c r="K705" s="1" t="s">
        <v>23</v>
      </c>
      <c r="L705" s="1" t="s">
        <v>3593</v>
      </c>
      <c r="M705" s="1">
        <v>1.0</v>
      </c>
      <c r="N705" s="1">
        <v>1.0</v>
      </c>
      <c r="O705" s="1" t="s">
        <v>351</v>
      </c>
      <c r="P705" s="1" t="s">
        <v>25</v>
      </c>
      <c r="Q705" s="2" t="str">
        <f t="shared" si="1"/>
        <v>H006183</v>
      </c>
    </row>
    <row r="706">
      <c r="A706" s="1" t="s">
        <v>3594</v>
      </c>
      <c r="B706" s="1" t="s">
        <v>3595</v>
      </c>
      <c r="C706" s="1" t="s">
        <v>3596</v>
      </c>
      <c r="D706" s="1" t="s">
        <v>3597</v>
      </c>
      <c r="E706" s="1">
        <v>4294.0</v>
      </c>
      <c r="F706" s="1" t="s">
        <v>351</v>
      </c>
      <c r="G706" s="1" t="s">
        <v>260</v>
      </c>
      <c r="H706" s="1" t="s">
        <v>261</v>
      </c>
      <c r="I706" s="1" t="s">
        <v>486</v>
      </c>
      <c r="J706" s="1"/>
      <c r="K706" s="1" t="s">
        <v>23</v>
      </c>
      <c r="L706" s="1" t="s">
        <v>3598</v>
      </c>
      <c r="M706" s="1">
        <v>1.0</v>
      </c>
      <c r="N706" s="1">
        <v>1.0</v>
      </c>
      <c r="O706" s="1" t="s">
        <v>351</v>
      </c>
      <c r="P706" s="1" t="s">
        <v>25</v>
      </c>
      <c r="Q706" s="2" t="str">
        <f t="shared" si="1"/>
        <v>H006183</v>
      </c>
    </row>
    <row r="707">
      <c r="A707" s="1" t="s">
        <v>3599</v>
      </c>
      <c r="B707" s="1" t="s">
        <v>3600</v>
      </c>
      <c r="C707" s="1" t="s">
        <v>3601</v>
      </c>
      <c r="D707" s="1" t="s">
        <v>3602</v>
      </c>
      <c r="E707" s="1">
        <v>2467.0</v>
      </c>
      <c r="F707" s="1" t="s">
        <v>351</v>
      </c>
      <c r="G707" s="1" t="s">
        <v>208</v>
      </c>
      <c r="H707" s="1" t="s">
        <v>209</v>
      </c>
      <c r="I707" s="1" t="s">
        <v>486</v>
      </c>
      <c r="J707" s="1"/>
      <c r="K707" s="1" t="s">
        <v>23</v>
      </c>
      <c r="L707" s="1" t="s">
        <v>3603</v>
      </c>
      <c r="M707" s="1">
        <v>1.0</v>
      </c>
      <c r="N707" s="1">
        <v>1.0</v>
      </c>
      <c r="O707" s="1" t="s">
        <v>351</v>
      </c>
      <c r="P707" s="1" t="s">
        <v>25</v>
      </c>
      <c r="Q707" s="2" t="str">
        <f t="shared" si="1"/>
        <v>H006183</v>
      </c>
    </row>
    <row r="708">
      <c r="A708" s="1" t="s">
        <v>3604</v>
      </c>
      <c r="B708" s="1" t="s">
        <v>3605</v>
      </c>
      <c r="C708" s="1" t="s">
        <v>3606</v>
      </c>
      <c r="D708" s="1" t="s">
        <v>3607</v>
      </c>
      <c r="E708" s="1">
        <v>4159.0</v>
      </c>
      <c r="F708" s="1" t="s">
        <v>351</v>
      </c>
      <c r="G708" s="1" t="s">
        <v>208</v>
      </c>
      <c r="H708" s="1" t="s">
        <v>209</v>
      </c>
      <c r="I708" s="1" t="s">
        <v>486</v>
      </c>
      <c r="J708" s="1"/>
      <c r="K708" s="1" t="s">
        <v>23</v>
      </c>
      <c r="L708" s="1" t="s">
        <v>3608</v>
      </c>
      <c r="M708" s="1">
        <v>1.0</v>
      </c>
      <c r="N708" s="1">
        <v>1.0</v>
      </c>
      <c r="O708" s="1" t="s">
        <v>351</v>
      </c>
      <c r="P708" s="1" t="s">
        <v>25</v>
      </c>
      <c r="Q708" s="2" t="str">
        <f t="shared" si="1"/>
        <v>H006183</v>
      </c>
    </row>
    <row r="709">
      <c r="A709" s="1" t="s">
        <v>3609</v>
      </c>
      <c r="B709" s="1" t="s">
        <v>3610</v>
      </c>
      <c r="C709" s="1" t="s">
        <v>3611</v>
      </c>
      <c r="D709" s="1" t="s">
        <v>3612</v>
      </c>
      <c r="E709" s="1">
        <v>4954.0</v>
      </c>
      <c r="F709" s="1" t="s">
        <v>351</v>
      </c>
      <c r="G709" s="1" t="s">
        <v>208</v>
      </c>
      <c r="H709" s="1" t="s">
        <v>209</v>
      </c>
      <c r="I709" s="1" t="s">
        <v>486</v>
      </c>
      <c r="J709" s="1"/>
      <c r="K709" s="1" t="s">
        <v>23</v>
      </c>
      <c r="L709" s="1" t="s">
        <v>3613</v>
      </c>
      <c r="M709" s="1">
        <v>1.0</v>
      </c>
      <c r="N709" s="1">
        <v>1.0</v>
      </c>
      <c r="O709" s="1" t="s">
        <v>351</v>
      </c>
      <c r="P709" s="1" t="s">
        <v>25</v>
      </c>
      <c r="Q709" s="2" t="str">
        <f t="shared" si="1"/>
        <v>H006183</v>
      </c>
    </row>
    <row r="710">
      <c r="A710" s="1" t="s">
        <v>3614</v>
      </c>
      <c r="B710" s="1" t="s">
        <v>3615</v>
      </c>
      <c r="C710" s="1" t="s">
        <v>3616</v>
      </c>
      <c r="D710" s="1" t="s">
        <v>3617</v>
      </c>
      <c r="E710" s="1">
        <v>3653.0</v>
      </c>
      <c r="F710" s="1" t="s">
        <v>382</v>
      </c>
      <c r="G710" s="1" t="s">
        <v>191</v>
      </c>
      <c r="H710" s="1" t="s">
        <v>192</v>
      </c>
      <c r="I710" s="1" t="s">
        <v>486</v>
      </c>
      <c r="J710" s="1"/>
      <c r="K710" s="1" t="s">
        <v>23</v>
      </c>
      <c r="L710" s="1" t="s">
        <v>3618</v>
      </c>
      <c r="M710" s="1">
        <v>2.0</v>
      </c>
      <c r="N710" s="1">
        <v>1.0</v>
      </c>
      <c r="O710" s="1" t="s">
        <v>382</v>
      </c>
      <c r="P710" s="1" t="s">
        <v>25</v>
      </c>
      <c r="Q710" s="2" t="str">
        <f t="shared" si="1"/>
        <v>H006734</v>
      </c>
    </row>
    <row r="711">
      <c r="A711" s="1" t="s">
        <v>3619</v>
      </c>
      <c r="B711" s="1" t="s">
        <v>3620</v>
      </c>
      <c r="C711" s="1" t="s">
        <v>3621</v>
      </c>
      <c r="D711" s="1" t="s">
        <v>3622</v>
      </c>
      <c r="E711" s="1">
        <v>3139.0</v>
      </c>
      <c r="F711" s="1" t="s">
        <v>382</v>
      </c>
      <c r="G711" s="1" t="s">
        <v>191</v>
      </c>
      <c r="H711" s="1" t="s">
        <v>192</v>
      </c>
      <c r="I711" s="1" t="s">
        <v>486</v>
      </c>
      <c r="J711" s="1"/>
      <c r="K711" s="1" t="s">
        <v>23</v>
      </c>
      <c r="L711" s="1" t="s">
        <v>3623</v>
      </c>
      <c r="M711" s="1">
        <v>2.0</v>
      </c>
      <c r="N711" s="1">
        <v>1.0</v>
      </c>
      <c r="O711" s="1" t="s">
        <v>382</v>
      </c>
      <c r="P711" s="1" t="s">
        <v>25</v>
      </c>
      <c r="Q711" s="2" t="str">
        <f t="shared" si="1"/>
        <v>H006734</v>
      </c>
    </row>
    <row r="712">
      <c r="A712" s="1" t="s">
        <v>3624</v>
      </c>
      <c r="B712" s="1" t="s">
        <v>3625</v>
      </c>
      <c r="C712" s="1" t="s">
        <v>3626</v>
      </c>
      <c r="D712" s="1" t="s">
        <v>3627</v>
      </c>
      <c r="E712" s="1">
        <v>2711.0</v>
      </c>
      <c r="F712" s="1" t="s">
        <v>382</v>
      </c>
      <c r="G712" s="1" t="s">
        <v>191</v>
      </c>
      <c r="H712" s="1" t="s">
        <v>192</v>
      </c>
      <c r="I712" s="1" t="s">
        <v>486</v>
      </c>
      <c r="J712" s="1"/>
      <c r="K712" s="1" t="s">
        <v>23</v>
      </c>
      <c r="L712" s="1" t="s">
        <v>3628</v>
      </c>
      <c r="M712" s="1">
        <v>2.0</v>
      </c>
      <c r="N712" s="1">
        <v>1.0</v>
      </c>
      <c r="O712" s="1" t="s">
        <v>382</v>
      </c>
      <c r="P712" s="1" t="s">
        <v>25</v>
      </c>
      <c r="Q712" s="2" t="str">
        <f t="shared" si="1"/>
        <v>H006734</v>
      </c>
    </row>
    <row r="713">
      <c r="A713" s="1" t="s">
        <v>3629</v>
      </c>
      <c r="B713" s="1" t="s">
        <v>3630</v>
      </c>
      <c r="C713" s="1" t="s">
        <v>3631</v>
      </c>
      <c r="D713" s="1" t="s">
        <v>3632</v>
      </c>
      <c r="E713" s="1">
        <v>2358.0</v>
      </c>
      <c r="F713" s="1" t="s">
        <v>382</v>
      </c>
      <c r="G713" s="1" t="s">
        <v>191</v>
      </c>
      <c r="H713" s="1" t="s">
        <v>192</v>
      </c>
      <c r="I713" s="1" t="s">
        <v>486</v>
      </c>
      <c r="J713" s="1"/>
      <c r="K713" s="1" t="s">
        <v>23</v>
      </c>
      <c r="L713" s="1" t="s">
        <v>3633</v>
      </c>
      <c r="M713" s="1">
        <v>2.0</v>
      </c>
      <c r="N713" s="1">
        <v>1.0</v>
      </c>
      <c r="O713" s="1" t="s">
        <v>382</v>
      </c>
      <c r="P713" s="1" t="s">
        <v>25</v>
      </c>
      <c r="Q713" s="2" t="str">
        <f t="shared" si="1"/>
        <v>H006734</v>
      </c>
    </row>
    <row r="714">
      <c r="A714" s="1" t="s">
        <v>3634</v>
      </c>
      <c r="B714" s="1" t="s">
        <v>3635</v>
      </c>
      <c r="C714" s="1" t="s">
        <v>3636</v>
      </c>
      <c r="D714" s="1" t="s">
        <v>3637</v>
      </c>
      <c r="E714" s="1">
        <v>4142.0</v>
      </c>
      <c r="F714" s="1" t="s">
        <v>382</v>
      </c>
      <c r="G714" s="1" t="s">
        <v>107</v>
      </c>
      <c r="H714" s="1" t="s">
        <v>108</v>
      </c>
      <c r="I714" s="1" t="s">
        <v>486</v>
      </c>
      <c r="J714" s="1"/>
      <c r="K714" s="1" t="s">
        <v>23</v>
      </c>
      <c r="L714" s="1" t="s">
        <v>3638</v>
      </c>
      <c r="M714" s="1">
        <v>2.0</v>
      </c>
      <c r="N714" s="1">
        <v>1.0</v>
      </c>
      <c r="O714" s="1" t="s">
        <v>382</v>
      </c>
      <c r="P714" s="1" t="s">
        <v>25</v>
      </c>
      <c r="Q714" s="2" t="str">
        <f t="shared" si="1"/>
        <v>H006734</v>
      </c>
    </row>
    <row r="715">
      <c r="A715" s="1" t="s">
        <v>3639</v>
      </c>
      <c r="B715" s="1" t="s">
        <v>3640</v>
      </c>
      <c r="C715" s="1" t="s">
        <v>3641</v>
      </c>
      <c r="D715" s="1" t="s">
        <v>3642</v>
      </c>
      <c r="E715" s="1">
        <v>3647.0</v>
      </c>
      <c r="F715" s="1" t="s">
        <v>382</v>
      </c>
      <c r="G715" s="1" t="s">
        <v>107</v>
      </c>
      <c r="H715" s="1" t="s">
        <v>108</v>
      </c>
      <c r="I715" s="1" t="s">
        <v>486</v>
      </c>
      <c r="J715" s="1"/>
      <c r="K715" s="1" t="s">
        <v>23</v>
      </c>
      <c r="L715" s="1" t="s">
        <v>3643</v>
      </c>
      <c r="M715" s="1">
        <v>2.0</v>
      </c>
      <c r="N715" s="1">
        <v>1.0</v>
      </c>
      <c r="O715" s="1" t="s">
        <v>382</v>
      </c>
      <c r="P715" s="1" t="s">
        <v>25</v>
      </c>
      <c r="Q715" s="2" t="str">
        <f t="shared" si="1"/>
        <v>H006734</v>
      </c>
    </row>
    <row r="716">
      <c r="A716" s="1" t="s">
        <v>3644</v>
      </c>
      <c r="B716" s="1" t="s">
        <v>3645</v>
      </c>
      <c r="C716" s="1" t="s">
        <v>3646</v>
      </c>
      <c r="D716" s="1" t="s">
        <v>3647</v>
      </c>
      <c r="E716" s="1">
        <v>3589.0</v>
      </c>
      <c r="F716" s="1" t="s">
        <v>382</v>
      </c>
      <c r="G716" s="1" t="s">
        <v>107</v>
      </c>
      <c r="H716" s="1" t="s">
        <v>108</v>
      </c>
      <c r="I716" s="1" t="s">
        <v>486</v>
      </c>
      <c r="J716" s="1"/>
      <c r="K716" s="1" t="s">
        <v>23</v>
      </c>
      <c r="L716" s="1" t="s">
        <v>3648</v>
      </c>
      <c r="M716" s="1">
        <v>2.0</v>
      </c>
      <c r="N716" s="1">
        <v>1.0</v>
      </c>
      <c r="O716" s="1" t="s">
        <v>382</v>
      </c>
      <c r="P716" s="1" t="s">
        <v>25</v>
      </c>
      <c r="Q716" s="2" t="str">
        <f t="shared" si="1"/>
        <v>H006734</v>
      </c>
    </row>
    <row r="717">
      <c r="A717" s="1" t="s">
        <v>3649</v>
      </c>
      <c r="B717" s="1" t="s">
        <v>3650</v>
      </c>
      <c r="C717" s="1" t="s">
        <v>3651</v>
      </c>
      <c r="D717" s="1" t="s">
        <v>3652</v>
      </c>
      <c r="E717" s="1">
        <v>2524.0</v>
      </c>
      <c r="F717" s="1" t="s">
        <v>382</v>
      </c>
      <c r="G717" s="1" t="s">
        <v>107</v>
      </c>
      <c r="H717" s="1" t="s">
        <v>108</v>
      </c>
      <c r="I717" s="1" t="s">
        <v>486</v>
      </c>
      <c r="J717" s="1"/>
      <c r="K717" s="1" t="s">
        <v>23</v>
      </c>
      <c r="L717" s="1" t="s">
        <v>3653</v>
      </c>
      <c r="M717" s="1">
        <v>2.0</v>
      </c>
      <c r="N717" s="1">
        <v>1.0</v>
      </c>
      <c r="O717" s="1" t="s">
        <v>382</v>
      </c>
      <c r="P717" s="1" t="s">
        <v>25</v>
      </c>
      <c r="Q717" s="2" t="str">
        <f t="shared" si="1"/>
        <v>H006734</v>
      </c>
    </row>
    <row r="718">
      <c r="A718" s="1" t="s">
        <v>3654</v>
      </c>
      <c r="B718" s="1" t="s">
        <v>3655</v>
      </c>
      <c r="C718" s="1" t="s">
        <v>3656</v>
      </c>
      <c r="D718" s="1" t="s">
        <v>3657</v>
      </c>
      <c r="E718" s="1">
        <v>3661.0</v>
      </c>
      <c r="F718" s="1" t="s">
        <v>315</v>
      </c>
      <c r="G718" s="1">
        <v>455939.0</v>
      </c>
      <c r="H718" s="1" t="s">
        <v>2746</v>
      </c>
      <c r="I718" s="1" t="s">
        <v>1051</v>
      </c>
      <c r="J718" s="1"/>
      <c r="K718" s="1" t="s">
        <v>23</v>
      </c>
      <c r="L718" s="1" t="s">
        <v>3658</v>
      </c>
      <c r="M718" s="1">
        <v>3.0</v>
      </c>
      <c r="N718" s="1">
        <v>1.0</v>
      </c>
      <c r="O718" s="1" t="s">
        <v>315</v>
      </c>
      <c r="P718" s="1" t="s">
        <v>25</v>
      </c>
      <c r="Q718" s="2" t="str">
        <f t="shared" si="1"/>
        <v>H019838</v>
      </c>
    </row>
    <row r="719">
      <c r="A719" s="1" t="s">
        <v>3659</v>
      </c>
      <c r="B719" s="1" t="s">
        <v>3660</v>
      </c>
      <c r="C719" s="1" t="s">
        <v>3661</v>
      </c>
      <c r="D719" s="1" t="s">
        <v>3662</v>
      </c>
      <c r="E719" s="1">
        <v>3084.0</v>
      </c>
      <c r="F719" s="1" t="s">
        <v>315</v>
      </c>
      <c r="G719" s="1">
        <v>455939.0</v>
      </c>
      <c r="H719" s="1" t="s">
        <v>2746</v>
      </c>
      <c r="I719" s="1" t="s">
        <v>1051</v>
      </c>
      <c r="J719" s="1"/>
      <c r="K719" s="1" t="s">
        <v>23</v>
      </c>
      <c r="L719" s="1" t="s">
        <v>3663</v>
      </c>
      <c r="M719" s="1">
        <v>3.0</v>
      </c>
      <c r="N719" s="1">
        <v>1.0</v>
      </c>
      <c r="O719" s="1" t="s">
        <v>315</v>
      </c>
      <c r="P719" s="1" t="s">
        <v>25</v>
      </c>
      <c r="Q719" s="2" t="str">
        <f t="shared" si="1"/>
        <v>H019838</v>
      </c>
    </row>
    <row r="720">
      <c r="A720" s="1" t="s">
        <v>3664</v>
      </c>
      <c r="B720" s="1" t="s">
        <v>3665</v>
      </c>
      <c r="C720" s="1" t="s">
        <v>3666</v>
      </c>
      <c r="D720" s="1" t="s">
        <v>3667</v>
      </c>
      <c r="E720" s="1">
        <v>3985.0</v>
      </c>
      <c r="F720" s="1" t="s">
        <v>315</v>
      </c>
      <c r="G720" s="1">
        <v>555127.0</v>
      </c>
      <c r="H720" s="1" t="s">
        <v>3047</v>
      </c>
      <c r="I720" s="1" t="s">
        <v>1051</v>
      </c>
      <c r="J720" s="1"/>
      <c r="K720" s="1" t="s">
        <v>23</v>
      </c>
      <c r="L720" s="1" t="s">
        <v>3668</v>
      </c>
      <c r="M720" s="1">
        <v>3.0</v>
      </c>
      <c r="N720" s="1">
        <v>1.0</v>
      </c>
      <c r="O720" s="1" t="s">
        <v>315</v>
      </c>
      <c r="P720" s="1" t="s">
        <v>25</v>
      </c>
      <c r="Q720" s="2" t="str">
        <f t="shared" si="1"/>
        <v>H019838</v>
      </c>
    </row>
    <row r="721">
      <c r="A721" s="1" t="s">
        <v>3669</v>
      </c>
      <c r="B721" s="1" t="s">
        <v>3670</v>
      </c>
      <c r="C721" s="1" t="s">
        <v>3671</v>
      </c>
      <c r="D721" s="1" t="s">
        <v>3672</v>
      </c>
      <c r="E721" s="1">
        <v>3006.0</v>
      </c>
      <c r="F721" s="1" t="s">
        <v>315</v>
      </c>
      <c r="G721" s="1">
        <v>841329.0</v>
      </c>
      <c r="H721" s="1" t="s">
        <v>1848</v>
      </c>
      <c r="I721" s="1" t="s">
        <v>1051</v>
      </c>
      <c r="J721" s="1"/>
      <c r="K721" s="1" t="s">
        <v>23</v>
      </c>
      <c r="L721" s="1" t="s">
        <v>3673</v>
      </c>
      <c r="M721" s="1">
        <v>3.0</v>
      </c>
      <c r="N721" s="1">
        <v>1.0</v>
      </c>
      <c r="O721" s="1" t="s">
        <v>315</v>
      </c>
      <c r="P721" s="1" t="s">
        <v>25</v>
      </c>
      <c r="Q721" s="2" t="str">
        <f t="shared" si="1"/>
        <v>H019838</v>
      </c>
    </row>
    <row r="722">
      <c r="A722" s="1" t="s">
        <v>3674</v>
      </c>
      <c r="B722" s="1" t="s">
        <v>3675</v>
      </c>
      <c r="C722" s="1" t="s">
        <v>3676</v>
      </c>
      <c r="D722" s="1" t="s">
        <v>3677</v>
      </c>
      <c r="E722" s="1">
        <v>4123.0</v>
      </c>
      <c r="F722" s="1" t="s">
        <v>315</v>
      </c>
      <c r="G722" s="1">
        <v>455939.0</v>
      </c>
      <c r="H722" s="1" t="s">
        <v>2746</v>
      </c>
      <c r="I722" s="1" t="s">
        <v>1051</v>
      </c>
      <c r="J722" s="1"/>
      <c r="K722" s="1" t="s">
        <v>23</v>
      </c>
      <c r="L722" s="1" t="s">
        <v>3678</v>
      </c>
      <c r="M722" s="1">
        <v>3.0</v>
      </c>
      <c r="N722" s="1">
        <v>1.0</v>
      </c>
      <c r="O722" s="1" t="s">
        <v>315</v>
      </c>
      <c r="P722" s="1" t="s">
        <v>25</v>
      </c>
      <c r="Q722" s="2" t="str">
        <f t="shared" si="1"/>
        <v>H019838</v>
      </c>
    </row>
    <row r="723">
      <c r="A723" s="1" t="s">
        <v>3679</v>
      </c>
      <c r="B723" s="1" t="s">
        <v>3680</v>
      </c>
      <c r="C723" s="1" t="s">
        <v>3681</v>
      </c>
      <c r="D723" s="1" t="s">
        <v>3682</v>
      </c>
      <c r="E723" s="1">
        <v>2634.0</v>
      </c>
      <c r="F723" s="1" t="s">
        <v>315</v>
      </c>
      <c r="G723" s="1">
        <v>455939.0</v>
      </c>
      <c r="H723" s="1" t="s">
        <v>2746</v>
      </c>
      <c r="I723" s="1" t="s">
        <v>1051</v>
      </c>
      <c r="J723" s="1"/>
      <c r="K723" s="1" t="s">
        <v>23</v>
      </c>
      <c r="L723" s="1" t="s">
        <v>3683</v>
      </c>
      <c r="M723" s="1">
        <v>3.0</v>
      </c>
      <c r="N723" s="1">
        <v>1.0</v>
      </c>
      <c r="O723" s="1" t="s">
        <v>315</v>
      </c>
      <c r="P723" s="1" t="s">
        <v>25</v>
      </c>
      <c r="Q723" s="2" t="str">
        <f t="shared" si="1"/>
        <v>H019838</v>
      </c>
    </row>
    <row r="724">
      <c r="A724" s="1" t="s">
        <v>3684</v>
      </c>
      <c r="B724" s="1" t="s">
        <v>3685</v>
      </c>
      <c r="C724" s="1" t="s">
        <v>3686</v>
      </c>
      <c r="D724" s="1" t="s">
        <v>3687</v>
      </c>
      <c r="E724" s="1">
        <v>2599.0</v>
      </c>
      <c r="F724" s="1" t="s">
        <v>382</v>
      </c>
      <c r="G724" s="1" t="s">
        <v>119</v>
      </c>
      <c r="H724" s="1" t="s">
        <v>120</v>
      </c>
      <c r="I724" s="1" t="s">
        <v>486</v>
      </c>
      <c r="J724" s="1"/>
      <c r="K724" s="1" t="s">
        <v>23</v>
      </c>
      <c r="L724" s="1" t="s">
        <v>3688</v>
      </c>
      <c r="M724" s="1">
        <v>2.0</v>
      </c>
      <c r="N724" s="1">
        <v>1.0</v>
      </c>
      <c r="O724" s="1" t="s">
        <v>382</v>
      </c>
      <c r="P724" s="1" t="s">
        <v>25</v>
      </c>
      <c r="Q724" s="2" t="str">
        <f t="shared" si="1"/>
        <v>H006734</v>
      </c>
    </row>
    <row r="725">
      <c r="A725" s="1" t="s">
        <v>3689</v>
      </c>
      <c r="B725" s="1" t="s">
        <v>3690</v>
      </c>
      <c r="C725" s="1" t="s">
        <v>3691</v>
      </c>
      <c r="D725" s="1" t="s">
        <v>3692</v>
      </c>
      <c r="E725" s="1">
        <v>3240.0</v>
      </c>
      <c r="F725" s="1" t="s">
        <v>382</v>
      </c>
      <c r="G725" s="1" t="s">
        <v>119</v>
      </c>
      <c r="H725" s="1" t="s">
        <v>120</v>
      </c>
      <c r="I725" s="1" t="s">
        <v>486</v>
      </c>
      <c r="J725" s="1"/>
      <c r="K725" s="1" t="s">
        <v>23</v>
      </c>
      <c r="L725" s="1" t="s">
        <v>3693</v>
      </c>
      <c r="M725" s="1">
        <v>2.0</v>
      </c>
      <c r="N725" s="1">
        <v>1.0</v>
      </c>
      <c r="O725" s="1" t="s">
        <v>382</v>
      </c>
      <c r="P725" s="1" t="s">
        <v>25</v>
      </c>
      <c r="Q725" s="2" t="str">
        <f t="shared" si="1"/>
        <v>H006734</v>
      </c>
    </row>
    <row r="726">
      <c r="A726" s="1" t="s">
        <v>3694</v>
      </c>
      <c r="B726" s="1" t="s">
        <v>3695</v>
      </c>
      <c r="C726" s="1" t="s">
        <v>3696</v>
      </c>
      <c r="D726" s="1" t="s">
        <v>3697</v>
      </c>
      <c r="E726" s="1">
        <v>3210.0</v>
      </c>
      <c r="F726" s="1" t="s">
        <v>382</v>
      </c>
      <c r="G726" s="1" t="s">
        <v>119</v>
      </c>
      <c r="H726" s="1" t="s">
        <v>120</v>
      </c>
      <c r="I726" s="1" t="s">
        <v>486</v>
      </c>
      <c r="J726" s="1"/>
      <c r="K726" s="1" t="s">
        <v>23</v>
      </c>
      <c r="L726" s="1" t="s">
        <v>3698</v>
      </c>
      <c r="M726" s="1">
        <v>2.0</v>
      </c>
      <c r="N726" s="1">
        <v>1.0</v>
      </c>
      <c r="O726" s="1" t="s">
        <v>382</v>
      </c>
      <c r="P726" s="1" t="s">
        <v>25</v>
      </c>
      <c r="Q726" s="2" t="str">
        <f t="shared" si="1"/>
        <v>H006734</v>
      </c>
    </row>
    <row r="727">
      <c r="A727" s="1" t="s">
        <v>3699</v>
      </c>
      <c r="B727" s="1" t="s">
        <v>3700</v>
      </c>
      <c r="C727" s="1" t="s">
        <v>3701</v>
      </c>
      <c r="D727" s="1" t="s">
        <v>3702</v>
      </c>
      <c r="E727" s="1">
        <v>3491.0</v>
      </c>
      <c r="F727" s="1" t="s">
        <v>382</v>
      </c>
      <c r="G727" s="1" t="s">
        <v>119</v>
      </c>
      <c r="H727" s="1" t="s">
        <v>120</v>
      </c>
      <c r="I727" s="1" t="s">
        <v>486</v>
      </c>
      <c r="J727" s="1"/>
      <c r="K727" s="1" t="s">
        <v>23</v>
      </c>
      <c r="L727" s="1" t="s">
        <v>3703</v>
      </c>
      <c r="M727" s="1">
        <v>2.0</v>
      </c>
      <c r="N727" s="1">
        <v>1.0</v>
      </c>
      <c r="O727" s="1" t="s">
        <v>382</v>
      </c>
      <c r="P727" s="1" t="s">
        <v>25</v>
      </c>
      <c r="Q727" s="2" t="str">
        <f t="shared" si="1"/>
        <v>H006734</v>
      </c>
    </row>
    <row r="728">
      <c r="A728" s="1" t="s">
        <v>3704</v>
      </c>
      <c r="B728" s="1" t="s">
        <v>3705</v>
      </c>
      <c r="C728" s="1" t="s">
        <v>3706</v>
      </c>
      <c r="D728" s="1" t="s">
        <v>3707</v>
      </c>
      <c r="E728" s="1">
        <v>3028.0</v>
      </c>
      <c r="F728" s="1" t="s">
        <v>351</v>
      </c>
      <c r="G728" s="1" t="s">
        <v>208</v>
      </c>
      <c r="H728" s="1" t="s">
        <v>209</v>
      </c>
      <c r="I728" s="1" t="s">
        <v>486</v>
      </c>
      <c r="J728" s="1"/>
      <c r="K728" s="1" t="s">
        <v>23</v>
      </c>
      <c r="L728" s="1" t="s">
        <v>3708</v>
      </c>
      <c r="M728" s="1">
        <v>0.0</v>
      </c>
      <c r="N728" s="1">
        <v>1.0</v>
      </c>
      <c r="O728" s="1" t="s">
        <v>351</v>
      </c>
      <c r="P728" s="1" t="s">
        <v>25</v>
      </c>
      <c r="Q728" s="2" t="str">
        <f t="shared" si="1"/>
        <v>H006719</v>
      </c>
    </row>
    <row r="729">
      <c r="A729" s="1" t="s">
        <v>3709</v>
      </c>
      <c r="B729" s="1" t="s">
        <v>3710</v>
      </c>
      <c r="C729" s="1" t="s">
        <v>3711</v>
      </c>
      <c r="D729" s="1" t="s">
        <v>3712</v>
      </c>
      <c r="E729" s="1">
        <v>4381.0</v>
      </c>
      <c r="F729" s="1" t="s">
        <v>351</v>
      </c>
      <c r="G729" s="1" t="s">
        <v>208</v>
      </c>
      <c r="H729" s="1" t="s">
        <v>209</v>
      </c>
      <c r="I729" s="1" t="s">
        <v>486</v>
      </c>
      <c r="J729" s="1"/>
      <c r="K729" s="1" t="s">
        <v>23</v>
      </c>
      <c r="L729" s="1" t="s">
        <v>3713</v>
      </c>
      <c r="M729" s="1">
        <v>0.0</v>
      </c>
      <c r="N729" s="1">
        <v>1.0</v>
      </c>
      <c r="O729" s="1" t="s">
        <v>351</v>
      </c>
      <c r="P729" s="1" t="s">
        <v>25</v>
      </c>
      <c r="Q729" s="2" t="str">
        <f t="shared" si="1"/>
        <v>H006719</v>
      </c>
    </row>
    <row r="730">
      <c r="A730" s="1" t="s">
        <v>3714</v>
      </c>
      <c r="B730" s="1" t="s">
        <v>3715</v>
      </c>
      <c r="C730" s="1" t="s">
        <v>3716</v>
      </c>
      <c r="D730" s="1" t="s">
        <v>3717</v>
      </c>
      <c r="E730" s="1">
        <v>3378.0</v>
      </c>
      <c r="F730" s="1" t="s">
        <v>351</v>
      </c>
      <c r="G730" s="1" t="s">
        <v>208</v>
      </c>
      <c r="H730" s="1" t="s">
        <v>209</v>
      </c>
      <c r="I730" s="1" t="s">
        <v>486</v>
      </c>
      <c r="J730" s="1"/>
      <c r="K730" s="1" t="s">
        <v>23</v>
      </c>
      <c r="L730" s="1" t="s">
        <v>3718</v>
      </c>
      <c r="M730" s="1">
        <v>0.0</v>
      </c>
      <c r="N730" s="1">
        <v>1.0</v>
      </c>
      <c r="O730" s="1" t="s">
        <v>351</v>
      </c>
      <c r="P730" s="1" t="s">
        <v>25</v>
      </c>
      <c r="Q730" s="2" t="str">
        <f t="shared" si="1"/>
        <v>H006719</v>
      </c>
    </row>
    <row r="731">
      <c r="A731" s="1" t="s">
        <v>3719</v>
      </c>
      <c r="B731" s="1" t="s">
        <v>3720</v>
      </c>
      <c r="C731" s="1" t="s">
        <v>3721</v>
      </c>
      <c r="D731" s="1" t="s">
        <v>3722</v>
      </c>
      <c r="E731" s="1">
        <v>2945.0</v>
      </c>
      <c r="F731" s="1" t="s">
        <v>351</v>
      </c>
      <c r="G731" s="1" t="s">
        <v>208</v>
      </c>
      <c r="H731" s="1" t="s">
        <v>209</v>
      </c>
      <c r="I731" s="1" t="s">
        <v>486</v>
      </c>
      <c r="J731" s="1"/>
      <c r="K731" s="1" t="s">
        <v>23</v>
      </c>
      <c r="L731" s="1" t="s">
        <v>3723</v>
      </c>
      <c r="M731" s="1">
        <v>0.0</v>
      </c>
      <c r="N731" s="1">
        <v>1.0</v>
      </c>
      <c r="O731" s="1" t="s">
        <v>351</v>
      </c>
      <c r="P731" s="1" t="s">
        <v>25</v>
      </c>
      <c r="Q731" s="2" t="str">
        <f t="shared" si="1"/>
        <v>H006719</v>
      </c>
    </row>
    <row r="732">
      <c r="A732" s="1" t="s">
        <v>3724</v>
      </c>
      <c r="B732" s="1" t="s">
        <v>3725</v>
      </c>
      <c r="C732" s="1" t="s">
        <v>3726</v>
      </c>
      <c r="D732" s="1" t="s">
        <v>3727</v>
      </c>
      <c r="E732" s="1">
        <v>4009.0</v>
      </c>
      <c r="F732" s="1" t="s">
        <v>382</v>
      </c>
      <c r="G732" s="1" t="s">
        <v>107</v>
      </c>
      <c r="H732" s="1" t="s">
        <v>108</v>
      </c>
      <c r="I732" s="1" t="s">
        <v>486</v>
      </c>
      <c r="J732" s="1"/>
      <c r="K732" s="1" t="s">
        <v>23</v>
      </c>
      <c r="L732" s="1" t="s">
        <v>3728</v>
      </c>
      <c r="M732" s="1">
        <v>0.0</v>
      </c>
      <c r="N732" s="1">
        <v>1.0</v>
      </c>
      <c r="O732" s="1" t="s">
        <v>382</v>
      </c>
      <c r="P732" s="1" t="s">
        <v>25</v>
      </c>
      <c r="Q732" s="2" t="str">
        <f t="shared" si="1"/>
        <v>H006657</v>
      </c>
    </row>
    <row r="733">
      <c r="A733" s="1" t="s">
        <v>3729</v>
      </c>
      <c r="B733" s="1" t="s">
        <v>3730</v>
      </c>
      <c r="C733" s="1" t="s">
        <v>3731</v>
      </c>
      <c r="D733" s="1" t="s">
        <v>3732</v>
      </c>
      <c r="E733" s="1">
        <v>2863.0</v>
      </c>
      <c r="F733" s="1" t="s">
        <v>382</v>
      </c>
      <c r="G733" s="1" t="s">
        <v>107</v>
      </c>
      <c r="H733" s="1" t="s">
        <v>108</v>
      </c>
      <c r="I733" s="1" t="s">
        <v>486</v>
      </c>
      <c r="J733" s="1"/>
      <c r="K733" s="1" t="s">
        <v>23</v>
      </c>
      <c r="L733" s="1" t="s">
        <v>3733</v>
      </c>
      <c r="M733" s="1">
        <v>0.0</v>
      </c>
      <c r="N733" s="1">
        <v>1.0</v>
      </c>
      <c r="O733" s="1" t="s">
        <v>382</v>
      </c>
      <c r="P733" s="1" t="s">
        <v>25</v>
      </c>
      <c r="Q733" s="2" t="str">
        <f t="shared" si="1"/>
        <v>H006657</v>
      </c>
    </row>
    <row r="734">
      <c r="A734" s="1" t="s">
        <v>3734</v>
      </c>
      <c r="B734" s="1" t="s">
        <v>3735</v>
      </c>
      <c r="C734" s="1" t="s">
        <v>3736</v>
      </c>
      <c r="D734" s="1" t="s">
        <v>3737</v>
      </c>
      <c r="E734" s="1">
        <v>2679.0</v>
      </c>
      <c r="F734" s="1" t="s">
        <v>382</v>
      </c>
      <c r="G734" s="1" t="s">
        <v>107</v>
      </c>
      <c r="H734" s="1" t="s">
        <v>108</v>
      </c>
      <c r="I734" s="1" t="s">
        <v>486</v>
      </c>
      <c r="J734" s="1"/>
      <c r="K734" s="1" t="s">
        <v>23</v>
      </c>
      <c r="L734" s="1" t="s">
        <v>3738</v>
      </c>
      <c r="M734" s="1">
        <v>0.0</v>
      </c>
      <c r="N734" s="1">
        <v>1.0</v>
      </c>
      <c r="O734" s="1" t="s">
        <v>382</v>
      </c>
      <c r="P734" s="1" t="s">
        <v>25</v>
      </c>
      <c r="Q734" s="2" t="str">
        <f t="shared" si="1"/>
        <v>H006657</v>
      </c>
    </row>
    <row r="735">
      <c r="A735" s="1" t="s">
        <v>3739</v>
      </c>
      <c r="B735" s="1" t="s">
        <v>3740</v>
      </c>
      <c r="C735" s="1" t="s">
        <v>3741</v>
      </c>
      <c r="D735" s="1" t="s">
        <v>3742</v>
      </c>
      <c r="E735" s="1">
        <v>3750.0</v>
      </c>
      <c r="F735" s="1" t="s">
        <v>382</v>
      </c>
      <c r="G735" s="1" t="s">
        <v>107</v>
      </c>
      <c r="H735" s="1" t="s">
        <v>108</v>
      </c>
      <c r="I735" s="1" t="s">
        <v>486</v>
      </c>
      <c r="J735" s="1"/>
      <c r="K735" s="1" t="s">
        <v>23</v>
      </c>
      <c r="L735" s="1" t="s">
        <v>3743</v>
      </c>
      <c r="M735" s="1">
        <v>0.0</v>
      </c>
      <c r="N735" s="1">
        <v>1.0</v>
      </c>
      <c r="O735" s="1" t="s">
        <v>382</v>
      </c>
      <c r="P735" s="1" t="s">
        <v>25</v>
      </c>
      <c r="Q735" s="2" t="str">
        <f t="shared" si="1"/>
        <v>H006657</v>
      </c>
    </row>
    <row r="736">
      <c r="A736" s="1" t="s">
        <v>3744</v>
      </c>
      <c r="B736" s="1" t="s">
        <v>3745</v>
      </c>
      <c r="C736" s="1" t="s">
        <v>3746</v>
      </c>
      <c r="D736" s="1" t="s">
        <v>3747</v>
      </c>
      <c r="E736" s="1">
        <v>4733.0</v>
      </c>
      <c r="F736" s="1" t="s">
        <v>498</v>
      </c>
      <c r="G736" s="1" t="s">
        <v>220</v>
      </c>
      <c r="H736" s="1" t="s">
        <v>221</v>
      </c>
      <c r="I736" s="1" t="s">
        <v>1112</v>
      </c>
      <c r="J736" s="1"/>
      <c r="K736" s="1" t="s">
        <v>23</v>
      </c>
      <c r="L736" s="1" t="s">
        <v>3748</v>
      </c>
      <c r="M736" s="1">
        <v>1.0</v>
      </c>
      <c r="N736" s="1">
        <v>1.0</v>
      </c>
      <c r="O736" s="1" t="s">
        <v>498</v>
      </c>
      <c r="P736" s="1" t="s">
        <v>25</v>
      </c>
      <c r="Q736" s="2" t="str">
        <f t="shared" si="1"/>
        <v>H030566</v>
      </c>
    </row>
    <row r="737">
      <c r="A737" s="1" t="s">
        <v>3749</v>
      </c>
      <c r="B737" s="1" t="s">
        <v>3750</v>
      </c>
      <c r="C737" s="1" t="s">
        <v>3751</v>
      </c>
      <c r="D737" s="1" t="s">
        <v>3752</v>
      </c>
      <c r="E737" s="1">
        <v>2625.0</v>
      </c>
      <c r="F737" s="1" t="s">
        <v>498</v>
      </c>
      <c r="G737" s="1" t="s">
        <v>220</v>
      </c>
      <c r="H737" s="1" t="s">
        <v>221</v>
      </c>
      <c r="I737" s="1" t="s">
        <v>1112</v>
      </c>
      <c r="J737" s="1"/>
      <c r="K737" s="1" t="s">
        <v>23</v>
      </c>
      <c r="L737" s="1" t="s">
        <v>3753</v>
      </c>
      <c r="M737" s="1">
        <v>1.0</v>
      </c>
      <c r="N737" s="1">
        <v>1.0</v>
      </c>
      <c r="O737" s="1" t="s">
        <v>498</v>
      </c>
      <c r="P737" s="1" t="s">
        <v>25</v>
      </c>
      <c r="Q737" s="2" t="str">
        <f t="shared" si="1"/>
        <v>H030566</v>
      </c>
    </row>
    <row r="738">
      <c r="A738" s="1" t="s">
        <v>3754</v>
      </c>
      <c r="B738" s="1" t="s">
        <v>3755</v>
      </c>
      <c r="C738" s="1" t="s">
        <v>3756</v>
      </c>
      <c r="D738" s="1" t="s">
        <v>3757</v>
      </c>
      <c r="E738" s="1">
        <v>3532.0</v>
      </c>
      <c r="F738" s="1" t="s">
        <v>498</v>
      </c>
      <c r="G738" s="1" t="s">
        <v>132</v>
      </c>
      <c r="H738" s="1" t="s">
        <v>133</v>
      </c>
      <c r="I738" s="1" t="s">
        <v>1112</v>
      </c>
      <c r="J738" s="1"/>
      <c r="K738" s="1" t="s">
        <v>23</v>
      </c>
      <c r="L738" s="1" t="s">
        <v>3758</v>
      </c>
      <c r="M738" s="1">
        <v>1.0</v>
      </c>
      <c r="N738" s="1">
        <v>1.0</v>
      </c>
      <c r="O738" s="1" t="s">
        <v>498</v>
      </c>
      <c r="P738" s="1" t="s">
        <v>488</v>
      </c>
      <c r="Q738" s="2" t="str">
        <f t="shared" si="1"/>
        <v>H030566</v>
      </c>
    </row>
    <row r="739">
      <c r="A739" s="1" t="s">
        <v>3759</v>
      </c>
      <c r="B739" s="1" t="s">
        <v>3760</v>
      </c>
      <c r="C739" s="1" t="s">
        <v>3761</v>
      </c>
      <c r="D739" s="1" t="s">
        <v>3762</v>
      </c>
      <c r="E739" s="1">
        <v>4353.0</v>
      </c>
      <c r="F739" s="1" t="s">
        <v>498</v>
      </c>
      <c r="G739" s="1">
        <v>896791.0</v>
      </c>
      <c r="H739" s="1" t="s">
        <v>2124</v>
      </c>
      <c r="I739" s="1" t="s">
        <v>1112</v>
      </c>
      <c r="J739" s="1"/>
      <c r="K739" s="1" t="s">
        <v>23</v>
      </c>
      <c r="L739" s="1" t="s">
        <v>3763</v>
      </c>
      <c r="M739" s="1">
        <v>3.0</v>
      </c>
      <c r="N739" s="1">
        <v>1.0</v>
      </c>
      <c r="O739" s="1" t="s">
        <v>498</v>
      </c>
      <c r="P739" s="1" t="s">
        <v>25</v>
      </c>
      <c r="Q739" s="2" t="str">
        <f t="shared" si="1"/>
        <v>H030764</v>
      </c>
    </row>
    <row r="740">
      <c r="A740" s="1" t="s">
        <v>3764</v>
      </c>
      <c r="B740" s="1" t="s">
        <v>3765</v>
      </c>
      <c r="C740" s="1" t="s">
        <v>3766</v>
      </c>
      <c r="D740" s="1" t="s">
        <v>3767</v>
      </c>
      <c r="E740" s="1">
        <v>6685.0</v>
      </c>
      <c r="F740" s="1" t="s">
        <v>498</v>
      </c>
      <c r="G740" s="1">
        <v>896791.0</v>
      </c>
      <c r="H740" s="1" t="s">
        <v>2124</v>
      </c>
      <c r="I740" s="1" t="s">
        <v>1112</v>
      </c>
      <c r="J740" s="1"/>
      <c r="K740" s="1" t="s">
        <v>23</v>
      </c>
      <c r="L740" s="1" t="s">
        <v>3768</v>
      </c>
      <c r="M740" s="1">
        <v>3.0</v>
      </c>
      <c r="N740" s="1">
        <v>1.0</v>
      </c>
      <c r="O740" s="1" t="s">
        <v>498</v>
      </c>
      <c r="P740" s="1" t="s">
        <v>25</v>
      </c>
      <c r="Q740" s="2" t="str">
        <f t="shared" si="1"/>
        <v>H030764</v>
      </c>
    </row>
    <row r="741">
      <c r="A741" s="1" t="s">
        <v>3769</v>
      </c>
      <c r="B741" s="1" t="s">
        <v>3770</v>
      </c>
      <c r="C741" s="1" t="s">
        <v>3771</v>
      </c>
      <c r="D741" s="1" t="s">
        <v>3772</v>
      </c>
      <c r="E741" s="1">
        <v>3924.0</v>
      </c>
      <c r="F741" s="1" t="s">
        <v>498</v>
      </c>
      <c r="G741" s="1" t="s">
        <v>132</v>
      </c>
      <c r="H741" s="1" t="s">
        <v>133</v>
      </c>
      <c r="I741" s="1" t="s">
        <v>1112</v>
      </c>
      <c r="J741" s="1"/>
      <c r="K741" s="1" t="s">
        <v>23</v>
      </c>
      <c r="L741" s="1" t="s">
        <v>3773</v>
      </c>
      <c r="M741" s="1">
        <v>3.0</v>
      </c>
      <c r="N741" s="1">
        <v>1.0</v>
      </c>
      <c r="O741" s="1" t="s">
        <v>498</v>
      </c>
      <c r="P741" s="1" t="s">
        <v>25</v>
      </c>
      <c r="Q741" s="2" t="str">
        <f t="shared" si="1"/>
        <v>H030764</v>
      </c>
    </row>
    <row r="742">
      <c r="A742" s="1" t="s">
        <v>3774</v>
      </c>
      <c r="B742" s="1" t="s">
        <v>3775</v>
      </c>
      <c r="C742" s="1" t="s">
        <v>3776</v>
      </c>
      <c r="D742" s="1" t="s">
        <v>3777</v>
      </c>
      <c r="E742" s="1">
        <v>4413.0</v>
      </c>
      <c r="F742" s="1" t="s">
        <v>498</v>
      </c>
      <c r="G742" s="1">
        <v>896791.0</v>
      </c>
      <c r="H742" s="1" t="s">
        <v>2124</v>
      </c>
      <c r="I742" s="1" t="s">
        <v>1112</v>
      </c>
      <c r="J742" s="1"/>
      <c r="K742" s="1" t="s">
        <v>23</v>
      </c>
      <c r="L742" s="1" t="s">
        <v>3778</v>
      </c>
      <c r="M742" s="1">
        <v>3.0</v>
      </c>
      <c r="N742" s="1">
        <v>1.0</v>
      </c>
      <c r="O742" s="1" t="s">
        <v>498</v>
      </c>
      <c r="P742" s="1" t="s">
        <v>25</v>
      </c>
      <c r="Q742" s="2" t="str">
        <f t="shared" si="1"/>
        <v>H030764</v>
      </c>
    </row>
    <row r="743">
      <c r="A743" s="1" t="s">
        <v>3779</v>
      </c>
      <c r="B743" s="1" t="s">
        <v>3780</v>
      </c>
      <c r="C743" s="1" t="s">
        <v>3781</v>
      </c>
      <c r="D743" s="1" t="s">
        <v>3782</v>
      </c>
      <c r="E743" s="1">
        <v>4517.0</v>
      </c>
      <c r="F743" s="1" t="s">
        <v>498</v>
      </c>
      <c r="G743" s="1">
        <v>896791.0</v>
      </c>
      <c r="H743" s="1" t="s">
        <v>2124</v>
      </c>
      <c r="I743" s="1" t="s">
        <v>1112</v>
      </c>
      <c r="J743" s="1"/>
      <c r="K743" s="1" t="s">
        <v>23</v>
      </c>
      <c r="L743" s="1" t="s">
        <v>3783</v>
      </c>
      <c r="M743" s="1">
        <v>3.0</v>
      </c>
      <c r="N743" s="1">
        <v>1.0</v>
      </c>
      <c r="O743" s="1" t="s">
        <v>498</v>
      </c>
      <c r="P743" s="1" t="s">
        <v>25</v>
      </c>
      <c r="Q743" s="2" t="str">
        <f t="shared" si="1"/>
        <v>H030764</v>
      </c>
    </row>
    <row r="744">
      <c r="A744" s="1" t="s">
        <v>3784</v>
      </c>
      <c r="B744" s="1" t="s">
        <v>3785</v>
      </c>
      <c r="C744" s="1" t="s">
        <v>3786</v>
      </c>
      <c r="D744" s="1" t="s">
        <v>3787</v>
      </c>
      <c r="E744" s="1">
        <v>2978.0</v>
      </c>
      <c r="F744" s="1" t="s">
        <v>498</v>
      </c>
      <c r="G744" s="1">
        <v>896791.0</v>
      </c>
      <c r="H744" s="1" t="s">
        <v>2124</v>
      </c>
      <c r="I744" s="1" t="s">
        <v>1112</v>
      </c>
      <c r="J744" s="1"/>
      <c r="K744" s="1" t="s">
        <v>23</v>
      </c>
      <c r="L744" s="1" t="s">
        <v>3788</v>
      </c>
      <c r="M744" s="1">
        <v>3.0</v>
      </c>
      <c r="N744" s="1">
        <v>1.0</v>
      </c>
      <c r="O744" s="1" t="s">
        <v>498</v>
      </c>
      <c r="P744" s="1" t="s">
        <v>25</v>
      </c>
      <c r="Q744" s="2" t="str">
        <f t="shared" si="1"/>
        <v>H030764</v>
      </c>
    </row>
    <row r="745">
      <c r="A745" s="1" t="s">
        <v>3789</v>
      </c>
      <c r="B745" s="1" t="s">
        <v>3790</v>
      </c>
      <c r="C745" s="1" t="s">
        <v>3791</v>
      </c>
      <c r="D745" s="1" t="s">
        <v>3792</v>
      </c>
      <c r="E745" s="1">
        <v>4930.0</v>
      </c>
      <c r="F745" s="1" t="s">
        <v>315</v>
      </c>
      <c r="G745" s="1">
        <v>841329.0</v>
      </c>
      <c r="H745" s="1" t="s">
        <v>1848</v>
      </c>
      <c r="I745" s="1" t="s">
        <v>1051</v>
      </c>
      <c r="J745" s="1"/>
      <c r="K745" s="1" t="s">
        <v>23</v>
      </c>
      <c r="L745" s="1" t="s">
        <v>3793</v>
      </c>
      <c r="M745" s="1">
        <v>1.0</v>
      </c>
      <c r="N745" s="1">
        <v>1.0</v>
      </c>
      <c r="O745" s="1" t="s">
        <v>315</v>
      </c>
      <c r="P745" s="1" t="s">
        <v>25</v>
      </c>
      <c r="Q745" s="2" t="str">
        <f t="shared" si="1"/>
        <v>H019499</v>
      </c>
    </row>
    <row r="746">
      <c r="A746" s="1" t="s">
        <v>3794</v>
      </c>
      <c r="B746" s="1" t="s">
        <v>3795</v>
      </c>
      <c r="C746" s="1" t="s">
        <v>3796</v>
      </c>
      <c r="D746" s="1" t="s">
        <v>3797</v>
      </c>
      <c r="E746" s="1">
        <v>2893.0</v>
      </c>
      <c r="F746" s="1" t="s">
        <v>315</v>
      </c>
      <c r="G746" s="1">
        <v>841329.0</v>
      </c>
      <c r="H746" s="1" t="s">
        <v>1848</v>
      </c>
      <c r="I746" s="1" t="s">
        <v>1051</v>
      </c>
      <c r="J746" s="1"/>
      <c r="K746" s="1" t="s">
        <v>23</v>
      </c>
      <c r="L746" s="1" t="s">
        <v>3798</v>
      </c>
      <c r="M746" s="1">
        <v>1.0</v>
      </c>
      <c r="N746" s="1">
        <v>1.0</v>
      </c>
      <c r="O746" s="1" t="s">
        <v>315</v>
      </c>
      <c r="P746" s="1" t="s">
        <v>25</v>
      </c>
      <c r="Q746" s="2" t="str">
        <f t="shared" si="1"/>
        <v>H019499</v>
      </c>
    </row>
    <row r="747">
      <c r="A747" s="1" t="s">
        <v>3799</v>
      </c>
      <c r="B747" s="1" t="s">
        <v>3800</v>
      </c>
      <c r="C747" s="1" t="s">
        <v>3801</v>
      </c>
      <c r="D747" s="1" t="s">
        <v>3802</v>
      </c>
      <c r="E747" s="1">
        <v>4906.0</v>
      </c>
      <c r="F747" s="1" t="s">
        <v>315</v>
      </c>
      <c r="G747" s="1">
        <v>841329.0</v>
      </c>
      <c r="H747" s="1" t="s">
        <v>1848</v>
      </c>
      <c r="I747" s="1" t="s">
        <v>1051</v>
      </c>
      <c r="J747" s="1"/>
      <c r="K747" s="1" t="s">
        <v>23</v>
      </c>
      <c r="L747" s="1" t="s">
        <v>3803</v>
      </c>
      <c r="M747" s="1">
        <v>1.0</v>
      </c>
      <c r="N747" s="1">
        <v>1.0</v>
      </c>
      <c r="O747" s="1" t="s">
        <v>315</v>
      </c>
      <c r="P747" s="1" t="s">
        <v>25</v>
      </c>
      <c r="Q747" s="2" t="str">
        <f t="shared" si="1"/>
        <v>H019499</v>
      </c>
    </row>
    <row r="748">
      <c r="A748" s="1" t="s">
        <v>3804</v>
      </c>
      <c r="B748" s="1" t="s">
        <v>3805</v>
      </c>
      <c r="C748" s="1" t="s">
        <v>3806</v>
      </c>
      <c r="D748" s="1" t="s">
        <v>3807</v>
      </c>
      <c r="E748" s="1">
        <v>4176.0</v>
      </c>
      <c r="F748" s="1" t="s">
        <v>315</v>
      </c>
      <c r="G748" s="1">
        <v>841329.0</v>
      </c>
      <c r="H748" s="1" t="s">
        <v>1848</v>
      </c>
      <c r="I748" s="1" t="s">
        <v>1051</v>
      </c>
      <c r="J748" s="1"/>
      <c r="K748" s="1" t="s">
        <v>23</v>
      </c>
      <c r="L748" s="1" t="s">
        <v>3808</v>
      </c>
      <c r="M748" s="1">
        <v>1.0</v>
      </c>
      <c r="N748" s="1">
        <v>1.0</v>
      </c>
      <c r="O748" s="1" t="s">
        <v>315</v>
      </c>
      <c r="P748" s="1" t="s">
        <v>25</v>
      </c>
      <c r="Q748" s="2" t="str">
        <f t="shared" si="1"/>
        <v>H019499</v>
      </c>
    </row>
    <row r="749">
      <c r="A749" s="1" t="s">
        <v>3809</v>
      </c>
      <c r="B749" s="1" t="s">
        <v>3810</v>
      </c>
      <c r="C749" s="1" t="s">
        <v>3811</v>
      </c>
      <c r="D749" s="1" t="s">
        <v>3812</v>
      </c>
      <c r="E749" s="1">
        <v>575.0</v>
      </c>
      <c r="F749" s="1" t="s">
        <v>351</v>
      </c>
      <c r="G749" s="1" t="s">
        <v>57</v>
      </c>
      <c r="H749" s="1" t="s">
        <v>58</v>
      </c>
      <c r="I749" s="1" t="s">
        <v>486</v>
      </c>
      <c r="J749" s="1"/>
      <c r="K749" s="1" t="s">
        <v>23</v>
      </c>
      <c r="L749" s="1" t="s">
        <v>3813</v>
      </c>
      <c r="M749" s="1">
        <v>1.0</v>
      </c>
      <c r="N749" s="1">
        <v>0.0</v>
      </c>
      <c r="O749" s="1" t="s">
        <v>351</v>
      </c>
      <c r="P749" s="1" t="s">
        <v>25</v>
      </c>
      <c r="Q749" s="2" t="str">
        <f t="shared" si="1"/>
        <v>H006183</v>
      </c>
    </row>
    <row r="750">
      <c r="A750" s="1" t="s">
        <v>3814</v>
      </c>
      <c r="B750" s="1" t="s">
        <v>3815</v>
      </c>
      <c r="C750" s="1" t="s">
        <v>3816</v>
      </c>
      <c r="D750" s="1" t="s">
        <v>3817</v>
      </c>
      <c r="E750" s="1">
        <v>3528.0</v>
      </c>
      <c r="F750" s="1" t="s">
        <v>351</v>
      </c>
      <c r="G750" s="1" t="s">
        <v>57</v>
      </c>
      <c r="H750" s="1" t="s">
        <v>58</v>
      </c>
      <c r="I750" s="1" t="s">
        <v>486</v>
      </c>
      <c r="J750" s="1"/>
      <c r="K750" s="1" t="s">
        <v>23</v>
      </c>
      <c r="L750" s="1" t="s">
        <v>3818</v>
      </c>
      <c r="M750" s="1">
        <v>1.0</v>
      </c>
      <c r="N750" s="1">
        <v>1.0</v>
      </c>
      <c r="O750" s="1" t="s">
        <v>351</v>
      </c>
      <c r="P750" s="1" t="s">
        <v>25</v>
      </c>
      <c r="Q750" s="2" t="str">
        <f t="shared" si="1"/>
        <v>H006183</v>
      </c>
    </row>
    <row r="751">
      <c r="A751" s="1" t="s">
        <v>3819</v>
      </c>
      <c r="B751" s="1" t="s">
        <v>3820</v>
      </c>
      <c r="C751" s="1" t="s">
        <v>3821</v>
      </c>
      <c r="D751" s="1" t="s">
        <v>3822</v>
      </c>
      <c r="E751" s="1">
        <v>5283.0</v>
      </c>
      <c r="F751" s="1" t="s">
        <v>315</v>
      </c>
      <c r="G751" s="1">
        <v>455939.0</v>
      </c>
      <c r="H751" s="1" t="s">
        <v>2746</v>
      </c>
      <c r="I751" s="1" t="s">
        <v>1051</v>
      </c>
      <c r="J751" s="1"/>
      <c r="K751" s="1" t="s">
        <v>23</v>
      </c>
      <c r="L751" s="1" t="s">
        <v>3823</v>
      </c>
      <c r="M751" s="1">
        <v>1.0</v>
      </c>
      <c r="N751" s="1">
        <v>1.0</v>
      </c>
      <c r="O751" s="1" t="s">
        <v>315</v>
      </c>
      <c r="P751" s="1" t="s">
        <v>25</v>
      </c>
      <c r="Q751" s="2" t="str">
        <f t="shared" si="1"/>
        <v>H019499</v>
      </c>
    </row>
    <row r="752">
      <c r="A752" s="1" t="s">
        <v>3824</v>
      </c>
      <c r="B752" s="1" t="s">
        <v>3825</v>
      </c>
      <c r="C752" s="1" t="s">
        <v>3826</v>
      </c>
      <c r="D752" s="1" t="s">
        <v>3827</v>
      </c>
      <c r="E752" s="1">
        <v>2012.0</v>
      </c>
      <c r="F752" s="1" t="s">
        <v>315</v>
      </c>
      <c r="G752" s="1">
        <v>455939.0</v>
      </c>
      <c r="H752" s="1" t="s">
        <v>2746</v>
      </c>
      <c r="I752" s="1" t="s">
        <v>1051</v>
      </c>
      <c r="J752" s="1"/>
      <c r="K752" s="1" t="s">
        <v>23</v>
      </c>
      <c r="L752" s="1" t="s">
        <v>3828</v>
      </c>
      <c r="M752" s="1">
        <v>1.0</v>
      </c>
      <c r="N752" s="1">
        <v>1.0</v>
      </c>
      <c r="O752" s="1" t="s">
        <v>315</v>
      </c>
      <c r="P752" s="1" t="s">
        <v>25</v>
      </c>
      <c r="Q752" s="2" t="str">
        <f t="shared" si="1"/>
        <v>H019499</v>
      </c>
    </row>
    <row r="753">
      <c r="A753" s="1" t="s">
        <v>3829</v>
      </c>
      <c r="B753" s="1" t="s">
        <v>3830</v>
      </c>
      <c r="C753" s="1" t="s">
        <v>3831</v>
      </c>
      <c r="D753" s="1" t="s">
        <v>3832</v>
      </c>
      <c r="E753" s="1">
        <v>2330.0</v>
      </c>
      <c r="F753" s="1" t="s">
        <v>315</v>
      </c>
      <c r="G753" s="1">
        <v>455939.0</v>
      </c>
      <c r="H753" s="1" t="s">
        <v>2746</v>
      </c>
      <c r="I753" s="1" t="s">
        <v>1051</v>
      </c>
      <c r="J753" s="1"/>
      <c r="K753" s="1" t="s">
        <v>23</v>
      </c>
      <c r="L753" s="1" t="s">
        <v>3833</v>
      </c>
      <c r="M753" s="1">
        <v>1.0</v>
      </c>
      <c r="N753" s="1">
        <v>1.0</v>
      </c>
      <c r="O753" s="1" t="s">
        <v>315</v>
      </c>
      <c r="P753" s="1" t="s">
        <v>25</v>
      </c>
      <c r="Q753" s="2" t="str">
        <f t="shared" si="1"/>
        <v>H019499</v>
      </c>
    </row>
    <row r="754">
      <c r="A754" s="1" t="s">
        <v>3834</v>
      </c>
      <c r="B754" s="1" t="s">
        <v>3835</v>
      </c>
      <c r="C754" s="1" t="s">
        <v>3836</v>
      </c>
      <c r="D754" s="1" t="s">
        <v>3837</v>
      </c>
      <c r="E754" s="1">
        <v>1720.0</v>
      </c>
      <c r="F754" s="1" t="s">
        <v>315</v>
      </c>
      <c r="G754" s="1">
        <v>455939.0</v>
      </c>
      <c r="H754" s="1" t="s">
        <v>2746</v>
      </c>
      <c r="I754" s="1" t="s">
        <v>1051</v>
      </c>
      <c r="J754" s="1"/>
      <c r="K754" s="1" t="s">
        <v>23</v>
      </c>
      <c r="L754" s="1" t="s">
        <v>3838</v>
      </c>
      <c r="M754" s="1">
        <v>1.0</v>
      </c>
      <c r="N754" s="1">
        <v>1.0</v>
      </c>
      <c r="O754" s="1" t="s">
        <v>315</v>
      </c>
      <c r="P754" s="1" t="s">
        <v>25</v>
      </c>
      <c r="Q754" s="2" t="str">
        <f t="shared" si="1"/>
        <v>H019499</v>
      </c>
    </row>
    <row r="755">
      <c r="A755" s="1" t="s">
        <v>3839</v>
      </c>
      <c r="B755" s="1" t="s">
        <v>3840</v>
      </c>
      <c r="C755" s="1" t="s">
        <v>3841</v>
      </c>
      <c r="D755" s="1" t="s">
        <v>3842</v>
      </c>
      <c r="E755" s="1">
        <v>4113.0</v>
      </c>
      <c r="F755" s="1" t="s">
        <v>498</v>
      </c>
      <c r="G755" s="1" t="s">
        <v>132</v>
      </c>
      <c r="H755" s="1" t="s">
        <v>133</v>
      </c>
      <c r="I755" s="1" t="s">
        <v>1112</v>
      </c>
      <c r="J755" s="1"/>
      <c r="K755" s="1" t="s">
        <v>23</v>
      </c>
      <c r="L755" s="1" t="s">
        <v>3843</v>
      </c>
      <c r="M755" s="1">
        <v>3.0</v>
      </c>
      <c r="N755" s="1">
        <v>1.0</v>
      </c>
      <c r="O755" s="1" t="s">
        <v>498</v>
      </c>
      <c r="P755" s="1" t="s">
        <v>25</v>
      </c>
      <c r="Q755" s="2" t="str">
        <f t="shared" si="1"/>
        <v>H030764</v>
      </c>
    </row>
    <row r="756">
      <c r="A756" s="1" t="s">
        <v>3844</v>
      </c>
      <c r="B756" s="1" t="s">
        <v>3845</v>
      </c>
      <c r="C756" s="1" t="s">
        <v>3846</v>
      </c>
      <c r="D756" s="1" t="s">
        <v>3847</v>
      </c>
      <c r="E756" s="1">
        <v>3837.0</v>
      </c>
      <c r="F756" s="1" t="s">
        <v>498</v>
      </c>
      <c r="G756" s="1" t="s">
        <v>132</v>
      </c>
      <c r="H756" s="1" t="s">
        <v>133</v>
      </c>
      <c r="I756" s="1" t="s">
        <v>1112</v>
      </c>
      <c r="J756" s="1"/>
      <c r="K756" s="1" t="s">
        <v>23</v>
      </c>
      <c r="L756" s="1" t="s">
        <v>3848</v>
      </c>
      <c r="M756" s="1">
        <v>3.0</v>
      </c>
      <c r="N756" s="1">
        <v>1.0</v>
      </c>
      <c r="O756" s="1" t="s">
        <v>498</v>
      </c>
      <c r="P756" s="1" t="s">
        <v>25</v>
      </c>
      <c r="Q756" s="2" t="str">
        <f t="shared" si="1"/>
        <v>H030764</v>
      </c>
    </row>
    <row r="757">
      <c r="A757" s="1" t="s">
        <v>3849</v>
      </c>
      <c r="B757" s="1" t="s">
        <v>3850</v>
      </c>
      <c r="C757" s="1" t="s">
        <v>3851</v>
      </c>
      <c r="D757" s="1" t="s">
        <v>3852</v>
      </c>
      <c r="E757" s="1">
        <v>3093.0</v>
      </c>
      <c r="F757" s="1" t="s">
        <v>498</v>
      </c>
      <c r="G757" s="1" t="s">
        <v>132</v>
      </c>
      <c r="H757" s="1" t="s">
        <v>133</v>
      </c>
      <c r="I757" s="1" t="s">
        <v>1112</v>
      </c>
      <c r="J757" s="1"/>
      <c r="K757" s="1" t="s">
        <v>23</v>
      </c>
      <c r="L757" s="1" t="s">
        <v>3853</v>
      </c>
      <c r="M757" s="1">
        <v>3.0</v>
      </c>
      <c r="N757" s="1">
        <v>1.0</v>
      </c>
      <c r="O757" s="1" t="s">
        <v>498</v>
      </c>
      <c r="P757" s="1" t="s">
        <v>25</v>
      </c>
      <c r="Q757" s="2" t="str">
        <f t="shared" si="1"/>
        <v>H030764</v>
      </c>
    </row>
    <row r="758">
      <c r="A758" s="1" t="s">
        <v>3854</v>
      </c>
      <c r="B758" s="1" t="s">
        <v>3855</v>
      </c>
      <c r="C758" s="1" t="s">
        <v>3856</v>
      </c>
      <c r="D758" s="1" t="s">
        <v>3857</v>
      </c>
      <c r="E758" s="1">
        <v>4820.0</v>
      </c>
      <c r="F758" s="1" t="s">
        <v>498</v>
      </c>
      <c r="G758" s="1" t="s">
        <v>132</v>
      </c>
      <c r="H758" s="1" t="s">
        <v>133</v>
      </c>
      <c r="I758" s="1" t="s">
        <v>1112</v>
      </c>
      <c r="J758" s="1"/>
      <c r="K758" s="1" t="s">
        <v>23</v>
      </c>
      <c r="L758" s="1" t="s">
        <v>3858</v>
      </c>
      <c r="M758" s="1">
        <v>3.0</v>
      </c>
      <c r="N758" s="1">
        <v>1.0</v>
      </c>
      <c r="O758" s="1" t="s">
        <v>498</v>
      </c>
      <c r="P758" s="1" t="s">
        <v>25</v>
      </c>
      <c r="Q758" s="2" t="str">
        <f t="shared" si="1"/>
        <v>H030764</v>
      </c>
    </row>
    <row r="759">
      <c r="A759" s="1" t="s">
        <v>3859</v>
      </c>
      <c r="B759" s="1" t="s">
        <v>3860</v>
      </c>
      <c r="C759" s="1" t="s">
        <v>3861</v>
      </c>
      <c r="D759" s="1" t="s">
        <v>3862</v>
      </c>
      <c r="E759" s="1">
        <v>3071.0</v>
      </c>
      <c r="F759" s="1" t="s">
        <v>498</v>
      </c>
      <c r="G759" s="1" t="s">
        <v>132</v>
      </c>
      <c r="H759" s="1" t="s">
        <v>133</v>
      </c>
      <c r="I759" s="1" t="s">
        <v>1112</v>
      </c>
      <c r="J759" s="1"/>
      <c r="K759" s="1" t="s">
        <v>23</v>
      </c>
      <c r="L759" s="1" t="s">
        <v>3863</v>
      </c>
      <c r="M759" s="1">
        <v>3.0</v>
      </c>
      <c r="N759" s="1">
        <v>1.0</v>
      </c>
      <c r="O759" s="1" t="s">
        <v>498</v>
      </c>
      <c r="P759" s="1" t="s">
        <v>25</v>
      </c>
      <c r="Q759" s="2" t="str">
        <f t="shared" si="1"/>
        <v>H030764</v>
      </c>
    </row>
    <row r="760">
      <c r="A760" s="1" t="s">
        <v>3864</v>
      </c>
      <c r="B760" s="1" t="s">
        <v>3865</v>
      </c>
      <c r="C760" s="1" t="s">
        <v>3866</v>
      </c>
      <c r="D760" s="1" t="s">
        <v>3867</v>
      </c>
      <c r="E760" s="1">
        <v>3954.0</v>
      </c>
      <c r="F760" s="1" t="s">
        <v>498</v>
      </c>
      <c r="G760" s="1">
        <v>896791.0</v>
      </c>
      <c r="H760" s="1" t="s">
        <v>2124</v>
      </c>
      <c r="I760" s="1" t="s">
        <v>1112</v>
      </c>
      <c r="J760" s="1"/>
      <c r="K760" s="1" t="s">
        <v>23</v>
      </c>
      <c r="L760" s="1" t="s">
        <v>3868</v>
      </c>
      <c r="M760" s="1">
        <v>3.0</v>
      </c>
      <c r="N760" s="1">
        <v>1.0</v>
      </c>
      <c r="O760" s="1" t="s">
        <v>498</v>
      </c>
      <c r="P760" s="1" t="s">
        <v>25</v>
      </c>
      <c r="Q760" s="2" t="str">
        <f t="shared" si="1"/>
        <v>H030764</v>
      </c>
    </row>
    <row r="761">
      <c r="A761" s="1" t="s">
        <v>3869</v>
      </c>
      <c r="B761" s="1" t="s">
        <v>3870</v>
      </c>
      <c r="C761" s="1" t="s">
        <v>3871</v>
      </c>
      <c r="D761" s="1" t="s">
        <v>3872</v>
      </c>
      <c r="E761" s="1">
        <v>2164.0</v>
      </c>
      <c r="F761" s="1" t="s">
        <v>382</v>
      </c>
      <c r="G761" s="1" t="s">
        <v>119</v>
      </c>
      <c r="H761" s="1" t="s">
        <v>120</v>
      </c>
      <c r="I761" s="1" t="s">
        <v>486</v>
      </c>
      <c r="J761" s="1"/>
      <c r="K761" s="1" t="s">
        <v>23</v>
      </c>
      <c r="L761" s="1" t="s">
        <v>3873</v>
      </c>
      <c r="M761" s="1">
        <v>0.0</v>
      </c>
      <c r="N761" s="1">
        <v>1.0</v>
      </c>
      <c r="O761" s="1" t="s">
        <v>382</v>
      </c>
      <c r="P761" s="1" t="s">
        <v>25</v>
      </c>
      <c r="Q761" s="2" t="str">
        <f t="shared" si="1"/>
        <v>H006657</v>
      </c>
    </row>
    <row r="762">
      <c r="A762" s="1" t="s">
        <v>3874</v>
      </c>
      <c r="B762" s="1" t="s">
        <v>3875</v>
      </c>
      <c r="C762" s="1" t="s">
        <v>3876</v>
      </c>
      <c r="D762" s="1" t="s">
        <v>3877</v>
      </c>
      <c r="E762" s="1">
        <v>1993.0</v>
      </c>
      <c r="F762" s="1" t="s">
        <v>382</v>
      </c>
      <c r="G762" s="1" t="s">
        <v>119</v>
      </c>
      <c r="H762" s="1" t="s">
        <v>120</v>
      </c>
      <c r="I762" s="1" t="s">
        <v>486</v>
      </c>
      <c r="J762" s="1"/>
      <c r="K762" s="1" t="s">
        <v>23</v>
      </c>
      <c r="L762" s="1" t="s">
        <v>3878</v>
      </c>
      <c r="M762" s="1">
        <v>0.0</v>
      </c>
      <c r="N762" s="1">
        <v>1.0</v>
      </c>
      <c r="O762" s="1" t="s">
        <v>382</v>
      </c>
      <c r="P762" s="1" t="s">
        <v>25</v>
      </c>
      <c r="Q762" s="2" t="str">
        <f t="shared" si="1"/>
        <v>H006657</v>
      </c>
    </row>
    <row r="763">
      <c r="A763" s="1" t="s">
        <v>3879</v>
      </c>
      <c r="B763" s="1" t="s">
        <v>3880</v>
      </c>
      <c r="C763" s="1" t="s">
        <v>3881</v>
      </c>
      <c r="D763" s="1" t="s">
        <v>3882</v>
      </c>
      <c r="E763" s="1">
        <v>5343.0</v>
      </c>
      <c r="F763" s="1" t="s">
        <v>382</v>
      </c>
      <c r="G763" s="1" t="s">
        <v>119</v>
      </c>
      <c r="H763" s="1" t="s">
        <v>120</v>
      </c>
      <c r="I763" s="1" t="s">
        <v>486</v>
      </c>
      <c r="J763" s="1"/>
      <c r="K763" s="1" t="s">
        <v>23</v>
      </c>
      <c r="L763" s="1" t="s">
        <v>3883</v>
      </c>
      <c r="M763" s="1">
        <v>0.0</v>
      </c>
      <c r="N763" s="1">
        <v>1.0</v>
      </c>
      <c r="O763" s="1" t="s">
        <v>382</v>
      </c>
      <c r="P763" s="1" t="s">
        <v>488</v>
      </c>
      <c r="Q763" s="2" t="str">
        <f t="shared" si="1"/>
        <v>H006657</v>
      </c>
    </row>
    <row r="764">
      <c r="A764" s="1" t="s">
        <v>3884</v>
      </c>
      <c r="B764" s="1" t="s">
        <v>3885</v>
      </c>
      <c r="C764" s="1" t="s">
        <v>3886</v>
      </c>
      <c r="D764" s="1" t="s">
        <v>3887</v>
      </c>
      <c r="E764" s="1">
        <v>4502.0</v>
      </c>
      <c r="F764" s="1" t="s">
        <v>382</v>
      </c>
      <c r="G764" s="1" t="s">
        <v>119</v>
      </c>
      <c r="H764" s="1" t="s">
        <v>120</v>
      </c>
      <c r="I764" s="1" t="s">
        <v>486</v>
      </c>
      <c r="J764" s="1"/>
      <c r="K764" s="1" t="s">
        <v>23</v>
      </c>
      <c r="L764" s="1" t="s">
        <v>3888</v>
      </c>
      <c r="M764" s="1">
        <v>0.0</v>
      </c>
      <c r="N764" s="1">
        <v>1.0</v>
      </c>
      <c r="O764" s="1" t="s">
        <v>382</v>
      </c>
      <c r="P764" s="1" t="s">
        <v>25</v>
      </c>
      <c r="Q764" s="2" t="str">
        <f t="shared" si="1"/>
        <v>H006657</v>
      </c>
    </row>
    <row r="765">
      <c r="A765" s="1" t="s">
        <v>3889</v>
      </c>
      <c r="B765" s="1" t="s">
        <v>3890</v>
      </c>
      <c r="C765" s="1" t="s">
        <v>3891</v>
      </c>
      <c r="D765" s="1" t="s">
        <v>3892</v>
      </c>
      <c r="E765" s="1">
        <v>3046.0</v>
      </c>
      <c r="F765" s="1" t="s">
        <v>382</v>
      </c>
      <c r="G765" s="1" t="s">
        <v>474</v>
      </c>
      <c r="H765" s="1" t="s">
        <v>475</v>
      </c>
      <c r="I765" s="1" t="s">
        <v>486</v>
      </c>
      <c r="J765" s="1"/>
      <c r="K765" s="1" t="s">
        <v>23</v>
      </c>
      <c r="L765" s="1" t="s">
        <v>3893</v>
      </c>
      <c r="M765" s="1">
        <v>2.0</v>
      </c>
      <c r="N765" s="1">
        <v>1.0</v>
      </c>
      <c r="O765" s="1" t="s">
        <v>382</v>
      </c>
      <c r="P765" s="1" t="s">
        <v>25</v>
      </c>
      <c r="Q765" s="2" t="str">
        <f t="shared" si="1"/>
        <v>H006734</v>
      </c>
    </row>
    <row r="766">
      <c r="A766" s="1" t="s">
        <v>3894</v>
      </c>
      <c r="B766" s="1" t="s">
        <v>3895</v>
      </c>
      <c r="C766" s="1" t="s">
        <v>3896</v>
      </c>
      <c r="D766" s="1" t="s">
        <v>3897</v>
      </c>
      <c r="E766" s="1">
        <v>3727.0</v>
      </c>
      <c r="F766" s="1" t="s">
        <v>382</v>
      </c>
      <c r="G766" s="1" t="s">
        <v>474</v>
      </c>
      <c r="H766" s="1" t="s">
        <v>475</v>
      </c>
      <c r="I766" s="1" t="s">
        <v>486</v>
      </c>
      <c r="J766" s="1"/>
      <c r="K766" s="1" t="s">
        <v>23</v>
      </c>
      <c r="L766" s="1" t="s">
        <v>3898</v>
      </c>
      <c r="M766" s="1">
        <v>2.0</v>
      </c>
      <c r="N766" s="1">
        <v>1.0</v>
      </c>
      <c r="O766" s="1" t="s">
        <v>382</v>
      </c>
      <c r="P766" s="1" t="s">
        <v>25</v>
      </c>
      <c r="Q766" s="2" t="str">
        <f t="shared" si="1"/>
        <v>H006734</v>
      </c>
    </row>
    <row r="767">
      <c r="A767" s="1" t="s">
        <v>3899</v>
      </c>
      <c r="B767" s="1" t="s">
        <v>3900</v>
      </c>
      <c r="C767" s="1" t="s">
        <v>3901</v>
      </c>
      <c r="D767" s="1" t="s">
        <v>3902</v>
      </c>
      <c r="E767" s="1">
        <v>3010.0</v>
      </c>
      <c r="F767" s="1" t="s">
        <v>382</v>
      </c>
      <c r="G767" s="1" t="s">
        <v>474</v>
      </c>
      <c r="H767" s="1" t="s">
        <v>475</v>
      </c>
      <c r="I767" s="1" t="s">
        <v>486</v>
      </c>
      <c r="J767" s="1"/>
      <c r="K767" s="1" t="s">
        <v>23</v>
      </c>
      <c r="L767" s="1" t="s">
        <v>3903</v>
      </c>
      <c r="M767" s="1">
        <v>2.0</v>
      </c>
      <c r="N767" s="1">
        <v>1.0</v>
      </c>
      <c r="O767" s="1" t="s">
        <v>382</v>
      </c>
      <c r="P767" s="1" t="s">
        <v>25</v>
      </c>
      <c r="Q767" s="2" t="str">
        <f t="shared" si="1"/>
        <v>H006734</v>
      </c>
    </row>
    <row r="768">
      <c r="A768" s="1" t="s">
        <v>3904</v>
      </c>
      <c r="B768" s="1" t="s">
        <v>3905</v>
      </c>
      <c r="C768" s="1" t="s">
        <v>3906</v>
      </c>
      <c r="D768" s="1" t="s">
        <v>3907</v>
      </c>
      <c r="E768" s="1">
        <v>3220.0</v>
      </c>
      <c r="F768" s="1" t="s">
        <v>382</v>
      </c>
      <c r="G768" s="1" t="s">
        <v>474</v>
      </c>
      <c r="H768" s="1" t="s">
        <v>475</v>
      </c>
      <c r="I768" s="1" t="s">
        <v>486</v>
      </c>
      <c r="J768" s="1"/>
      <c r="K768" s="1" t="s">
        <v>23</v>
      </c>
      <c r="L768" s="1" t="s">
        <v>3908</v>
      </c>
      <c r="M768" s="1">
        <v>0.0</v>
      </c>
      <c r="N768" s="1">
        <v>1.0</v>
      </c>
      <c r="O768" s="1" t="s">
        <v>382</v>
      </c>
      <c r="P768" s="1" t="s">
        <v>25</v>
      </c>
      <c r="Q768" s="2" t="str">
        <f t="shared" si="1"/>
        <v>H006657</v>
      </c>
    </row>
    <row r="769">
      <c r="A769" s="1" t="s">
        <v>3909</v>
      </c>
      <c r="B769" s="1" t="s">
        <v>3910</v>
      </c>
      <c r="C769" s="1" t="s">
        <v>3911</v>
      </c>
      <c r="D769" s="1" t="s">
        <v>3912</v>
      </c>
      <c r="E769" s="1">
        <v>6054.0</v>
      </c>
      <c r="F769" s="1" t="s">
        <v>382</v>
      </c>
      <c r="G769" s="1" t="s">
        <v>119</v>
      </c>
      <c r="H769" s="1" t="s">
        <v>120</v>
      </c>
      <c r="I769" s="1" t="s">
        <v>486</v>
      </c>
      <c r="J769" s="1"/>
      <c r="K769" s="1" t="s">
        <v>23</v>
      </c>
      <c r="L769" s="1" t="s">
        <v>3913</v>
      </c>
      <c r="M769" s="1">
        <v>0.0</v>
      </c>
      <c r="N769" s="1">
        <v>1.0</v>
      </c>
      <c r="O769" s="1" t="s">
        <v>382</v>
      </c>
      <c r="P769" s="1" t="s">
        <v>488</v>
      </c>
      <c r="Q769" s="2" t="str">
        <f t="shared" si="1"/>
        <v>H006657</v>
      </c>
    </row>
    <row r="770">
      <c r="A770" s="1" t="s">
        <v>3914</v>
      </c>
      <c r="B770" s="1" t="s">
        <v>3915</v>
      </c>
      <c r="C770" s="1" t="s">
        <v>3916</v>
      </c>
      <c r="D770" s="1" t="s">
        <v>3917</v>
      </c>
      <c r="E770" s="1">
        <v>20.0</v>
      </c>
      <c r="F770" s="1" t="s">
        <v>398</v>
      </c>
      <c r="G770" s="1" t="s">
        <v>155</v>
      </c>
      <c r="H770" s="1" t="s">
        <v>156</v>
      </c>
      <c r="I770" s="1" t="s">
        <v>1112</v>
      </c>
      <c r="J770" s="1"/>
      <c r="K770" s="1" t="s">
        <v>23</v>
      </c>
      <c r="L770" s="1" t="s">
        <v>3918</v>
      </c>
      <c r="M770" s="1">
        <v>2.0</v>
      </c>
      <c r="N770" s="1">
        <v>0.0</v>
      </c>
      <c r="O770" s="1" t="s">
        <v>398</v>
      </c>
      <c r="P770" s="1" t="s">
        <v>25</v>
      </c>
      <c r="Q770" s="2" t="str">
        <f t="shared" si="1"/>
        <v>H030160</v>
      </c>
    </row>
    <row r="771">
      <c r="A771" s="1" t="s">
        <v>3919</v>
      </c>
      <c r="B771" s="1" t="s">
        <v>3920</v>
      </c>
      <c r="C771" s="1" t="s">
        <v>3921</v>
      </c>
      <c r="D771" s="1" t="s">
        <v>3922</v>
      </c>
      <c r="E771" s="1">
        <v>2999.0</v>
      </c>
      <c r="F771" s="1" t="s">
        <v>398</v>
      </c>
      <c r="G771" s="1" t="s">
        <v>232</v>
      </c>
      <c r="H771" s="1" t="s">
        <v>233</v>
      </c>
      <c r="I771" s="1" t="s">
        <v>1112</v>
      </c>
      <c r="J771" s="1"/>
      <c r="K771" s="1" t="s">
        <v>23</v>
      </c>
      <c r="L771" s="1" t="s">
        <v>3923</v>
      </c>
      <c r="M771" s="1">
        <v>2.0</v>
      </c>
      <c r="N771" s="1">
        <v>1.0</v>
      </c>
      <c r="O771" s="1" t="s">
        <v>398</v>
      </c>
      <c r="P771" s="1" t="s">
        <v>25</v>
      </c>
      <c r="Q771" s="2" t="str">
        <f t="shared" si="1"/>
        <v>H030160</v>
      </c>
    </row>
    <row r="772">
      <c r="A772" s="1" t="s">
        <v>3924</v>
      </c>
      <c r="B772" s="1" t="s">
        <v>3925</v>
      </c>
      <c r="C772" s="1" t="s">
        <v>3926</v>
      </c>
      <c r="D772" s="1" t="s">
        <v>3927</v>
      </c>
      <c r="E772" s="1">
        <v>3270.0</v>
      </c>
      <c r="F772" s="1" t="s">
        <v>398</v>
      </c>
      <c r="G772" s="1" t="s">
        <v>232</v>
      </c>
      <c r="H772" s="1" t="s">
        <v>233</v>
      </c>
      <c r="I772" s="1" t="s">
        <v>1112</v>
      </c>
      <c r="J772" s="1"/>
      <c r="K772" s="1" t="s">
        <v>23</v>
      </c>
      <c r="L772" s="1" t="s">
        <v>3928</v>
      </c>
      <c r="M772" s="1">
        <v>2.0</v>
      </c>
      <c r="N772" s="1">
        <v>1.0</v>
      </c>
      <c r="O772" s="1" t="s">
        <v>398</v>
      </c>
      <c r="P772" s="1" t="s">
        <v>25</v>
      </c>
      <c r="Q772" s="2" t="str">
        <f t="shared" si="1"/>
        <v>H030160</v>
      </c>
    </row>
    <row r="773">
      <c r="A773" s="1" t="s">
        <v>3929</v>
      </c>
      <c r="B773" s="1" t="s">
        <v>3930</v>
      </c>
      <c r="C773" s="1" t="s">
        <v>3931</v>
      </c>
      <c r="D773" s="1" t="s">
        <v>3932</v>
      </c>
      <c r="E773" s="1">
        <v>2021.0</v>
      </c>
      <c r="F773" s="1" t="s">
        <v>351</v>
      </c>
      <c r="G773" s="1" t="s">
        <v>260</v>
      </c>
      <c r="H773" s="1" t="s">
        <v>261</v>
      </c>
      <c r="I773" s="1" t="s">
        <v>486</v>
      </c>
      <c r="J773" s="1"/>
      <c r="K773" s="1" t="s">
        <v>23</v>
      </c>
      <c r="L773" s="1" t="s">
        <v>3933</v>
      </c>
      <c r="M773" s="1">
        <v>1.0</v>
      </c>
      <c r="N773" s="1">
        <v>1.0</v>
      </c>
      <c r="O773" s="1" t="s">
        <v>351</v>
      </c>
      <c r="P773" s="1" t="s">
        <v>25</v>
      </c>
      <c r="Q773" s="2" t="str">
        <f t="shared" si="1"/>
        <v>H006183</v>
      </c>
    </row>
    <row r="774">
      <c r="A774" s="1" t="s">
        <v>3934</v>
      </c>
      <c r="B774" s="1" t="s">
        <v>3935</v>
      </c>
      <c r="C774" s="1" t="s">
        <v>3936</v>
      </c>
      <c r="D774" s="1" t="s">
        <v>3937</v>
      </c>
      <c r="E774" s="1">
        <v>3013.0</v>
      </c>
      <c r="F774" s="1" t="s">
        <v>498</v>
      </c>
      <c r="G774" s="1" t="s">
        <v>167</v>
      </c>
      <c r="H774" s="1" t="s">
        <v>168</v>
      </c>
      <c r="I774" s="1" t="s">
        <v>1112</v>
      </c>
      <c r="J774" s="1"/>
      <c r="K774" s="1" t="s">
        <v>23</v>
      </c>
      <c r="L774" s="1" t="s">
        <v>3938</v>
      </c>
      <c r="M774" s="1">
        <v>1.0</v>
      </c>
      <c r="N774" s="1">
        <v>1.0</v>
      </c>
      <c r="O774" s="1" t="s">
        <v>498</v>
      </c>
      <c r="P774" s="1" t="s">
        <v>25</v>
      </c>
      <c r="Q774" s="2" t="str">
        <f t="shared" si="1"/>
        <v>H030566</v>
      </c>
    </row>
    <row r="775">
      <c r="A775" s="1" t="s">
        <v>3939</v>
      </c>
      <c r="B775" s="1" t="s">
        <v>3940</v>
      </c>
      <c r="C775" s="1" t="s">
        <v>3941</v>
      </c>
      <c r="D775" s="1" t="s">
        <v>3942</v>
      </c>
      <c r="E775" s="1">
        <v>4876.0</v>
      </c>
      <c r="F775" s="1" t="s">
        <v>398</v>
      </c>
      <c r="G775" s="1" t="s">
        <v>232</v>
      </c>
      <c r="H775" s="1" t="s">
        <v>233</v>
      </c>
      <c r="I775" s="1" t="s">
        <v>1112</v>
      </c>
      <c r="J775" s="1"/>
      <c r="K775" s="1" t="s">
        <v>23</v>
      </c>
      <c r="L775" s="1" t="s">
        <v>3943</v>
      </c>
      <c r="M775" s="1">
        <v>2.0</v>
      </c>
      <c r="N775" s="1">
        <v>1.0</v>
      </c>
      <c r="O775" s="1" t="s">
        <v>398</v>
      </c>
      <c r="P775" s="1" t="s">
        <v>25</v>
      </c>
      <c r="Q775" s="2" t="str">
        <f t="shared" si="1"/>
        <v>H030160</v>
      </c>
    </row>
    <row r="776">
      <c r="A776" s="1" t="s">
        <v>3944</v>
      </c>
      <c r="B776" s="1" t="s">
        <v>3945</v>
      </c>
      <c r="C776" s="1" t="s">
        <v>3946</v>
      </c>
      <c r="D776" s="1" t="s">
        <v>3947</v>
      </c>
      <c r="E776" s="1">
        <v>3145.0</v>
      </c>
      <c r="F776" s="1" t="s">
        <v>351</v>
      </c>
      <c r="G776" s="1" t="s">
        <v>260</v>
      </c>
      <c r="H776" s="1" t="s">
        <v>261</v>
      </c>
      <c r="I776" s="1" t="s">
        <v>486</v>
      </c>
      <c r="J776" s="1"/>
      <c r="K776" s="1" t="s">
        <v>23</v>
      </c>
      <c r="L776" s="1" t="s">
        <v>3948</v>
      </c>
      <c r="M776" s="1">
        <v>1.0</v>
      </c>
      <c r="N776" s="1">
        <v>1.0</v>
      </c>
      <c r="O776" s="1" t="s">
        <v>351</v>
      </c>
      <c r="P776" s="1" t="s">
        <v>25</v>
      </c>
      <c r="Q776" s="2" t="str">
        <f t="shared" si="1"/>
        <v>H006183</v>
      </c>
    </row>
    <row r="777">
      <c r="A777" s="1" t="s">
        <v>3949</v>
      </c>
      <c r="B777" s="1" t="s">
        <v>3950</v>
      </c>
      <c r="C777" s="1" t="s">
        <v>3951</v>
      </c>
      <c r="D777" s="1" t="s">
        <v>3952</v>
      </c>
      <c r="E777" s="1">
        <v>3512.0</v>
      </c>
      <c r="F777" s="1" t="s">
        <v>498</v>
      </c>
      <c r="G777" s="1" t="s">
        <v>220</v>
      </c>
      <c r="H777" s="1" t="s">
        <v>221</v>
      </c>
      <c r="I777" s="1" t="s">
        <v>1112</v>
      </c>
      <c r="J777" s="1"/>
      <c r="K777" s="1" t="s">
        <v>23</v>
      </c>
      <c r="L777" s="1" t="s">
        <v>3953</v>
      </c>
      <c r="M777" s="1">
        <v>1.0</v>
      </c>
      <c r="N777" s="1">
        <v>1.0</v>
      </c>
      <c r="O777" s="1" t="s">
        <v>498</v>
      </c>
      <c r="P777" s="1" t="s">
        <v>488</v>
      </c>
      <c r="Q777" s="2" t="str">
        <f t="shared" si="1"/>
        <v>H030566</v>
      </c>
    </row>
    <row r="778">
      <c r="A778" s="1" t="s">
        <v>3954</v>
      </c>
      <c r="B778" s="1" t="s">
        <v>3955</v>
      </c>
      <c r="C778" s="1" t="s">
        <v>3956</v>
      </c>
      <c r="D778" s="1" t="s">
        <v>3957</v>
      </c>
      <c r="E778" s="1">
        <v>87.0</v>
      </c>
      <c r="F778" s="1" t="s">
        <v>498</v>
      </c>
      <c r="G778" s="1" t="s">
        <v>220</v>
      </c>
      <c r="H778" s="1" t="s">
        <v>221</v>
      </c>
      <c r="I778" s="1" t="s">
        <v>1112</v>
      </c>
      <c r="J778" s="1"/>
      <c r="K778" s="1" t="s">
        <v>23</v>
      </c>
      <c r="L778" s="1" t="s">
        <v>3958</v>
      </c>
      <c r="M778" s="1">
        <v>1.0</v>
      </c>
      <c r="N778" s="1">
        <v>0.0</v>
      </c>
      <c r="O778" s="1" t="s">
        <v>498</v>
      </c>
      <c r="P778" s="1" t="s">
        <v>25</v>
      </c>
      <c r="Q778" s="2" t="str">
        <f t="shared" si="1"/>
        <v>H030566</v>
      </c>
    </row>
    <row r="779">
      <c r="A779" s="1" t="s">
        <v>3959</v>
      </c>
      <c r="B779" s="1" t="s">
        <v>3960</v>
      </c>
      <c r="C779" s="1" t="s">
        <v>3961</v>
      </c>
      <c r="D779" s="1" t="s">
        <v>3962</v>
      </c>
      <c r="E779" s="1">
        <v>4316.0</v>
      </c>
      <c r="F779" s="1" t="s">
        <v>398</v>
      </c>
      <c r="G779" s="1" t="s">
        <v>155</v>
      </c>
      <c r="H779" s="1" t="s">
        <v>156</v>
      </c>
      <c r="I779" s="1" t="s">
        <v>1112</v>
      </c>
      <c r="J779" s="1"/>
      <c r="K779" s="1" t="s">
        <v>23</v>
      </c>
      <c r="L779" s="1" t="s">
        <v>3963</v>
      </c>
      <c r="M779" s="1">
        <v>2.0</v>
      </c>
      <c r="N779" s="1">
        <v>1.0</v>
      </c>
      <c r="O779" s="1" t="s">
        <v>398</v>
      </c>
      <c r="P779" s="1" t="s">
        <v>25</v>
      </c>
      <c r="Q779" s="2" t="str">
        <f t="shared" si="1"/>
        <v>H030160</v>
      </c>
    </row>
    <row r="780">
      <c r="A780" s="1" t="s">
        <v>3964</v>
      </c>
      <c r="B780" s="1" t="s">
        <v>3965</v>
      </c>
      <c r="C780" s="1" t="s">
        <v>3966</v>
      </c>
      <c r="D780" s="1" t="s">
        <v>3967</v>
      </c>
      <c r="E780" s="1">
        <v>3804.0</v>
      </c>
      <c r="F780" s="1" t="s">
        <v>398</v>
      </c>
      <c r="G780" s="1" t="s">
        <v>155</v>
      </c>
      <c r="H780" s="1" t="s">
        <v>156</v>
      </c>
      <c r="I780" s="1" t="s">
        <v>1112</v>
      </c>
      <c r="J780" s="1"/>
      <c r="K780" s="1" t="s">
        <v>23</v>
      </c>
      <c r="L780" s="1" t="s">
        <v>3968</v>
      </c>
      <c r="M780" s="1">
        <v>2.0</v>
      </c>
      <c r="N780" s="1">
        <v>1.0</v>
      </c>
      <c r="O780" s="1" t="s">
        <v>398</v>
      </c>
      <c r="P780" s="1" t="s">
        <v>25</v>
      </c>
      <c r="Q780" s="2" t="str">
        <f t="shared" si="1"/>
        <v>H030160</v>
      </c>
    </row>
    <row r="781">
      <c r="A781" s="1" t="s">
        <v>3969</v>
      </c>
      <c r="B781" s="1" t="s">
        <v>3970</v>
      </c>
      <c r="C781" s="1" t="s">
        <v>3971</v>
      </c>
      <c r="D781" s="1" t="s">
        <v>3972</v>
      </c>
      <c r="E781" s="1">
        <v>3275.0</v>
      </c>
      <c r="F781" s="1" t="s">
        <v>398</v>
      </c>
      <c r="G781" s="1" t="s">
        <v>155</v>
      </c>
      <c r="H781" s="1" t="s">
        <v>156</v>
      </c>
      <c r="I781" s="1" t="s">
        <v>1112</v>
      </c>
      <c r="J781" s="1"/>
      <c r="K781" s="1" t="s">
        <v>23</v>
      </c>
      <c r="L781" s="1" t="s">
        <v>3973</v>
      </c>
      <c r="M781" s="1">
        <v>2.0</v>
      </c>
      <c r="N781" s="1">
        <v>1.0</v>
      </c>
      <c r="O781" s="1" t="s">
        <v>398</v>
      </c>
      <c r="P781" s="1" t="s">
        <v>25</v>
      </c>
      <c r="Q781" s="2" t="str">
        <f t="shared" si="1"/>
        <v>H030160</v>
      </c>
    </row>
    <row r="782">
      <c r="A782" s="1" t="s">
        <v>3974</v>
      </c>
      <c r="B782" s="1" t="s">
        <v>3975</v>
      </c>
      <c r="C782" s="1" t="s">
        <v>3976</v>
      </c>
      <c r="D782" s="1" t="s">
        <v>3977</v>
      </c>
      <c r="E782" s="1">
        <v>2335.0</v>
      </c>
      <c r="F782" s="1" t="s">
        <v>398</v>
      </c>
      <c r="G782" s="1" t="s">
        <v>155</v>
      </c>
      <c r="H782" s="1" t="s">
        <v>156</v>
      </c>
      <c r="I782" s="1" t="s">
        <v>1112</v>
      </c>
      <c r="J782" s="1"/>
      <c r="K782" s="1" t="s">
        <v>23</v>
      </c>
      <c r="L782" s="1" t="s">
        <v>3978</v>
      </c>
      <c r="M782" s="1">
        <v>2.0</v>
      </c>
      <c r="N782" s="1">
        <v>1.0</v>
      </c>
      <c r="O782" s="1" t="s">
        <v>398</v>
      </c>
      <c r="P782" s="1" t="s">
        <v>25</v>
      </c>
      <c r="Q782" s="2" t="str">
        <f t="shared" si="1"/>
        <v>H030160</v>
      </c>
    </row>
    <row r="783">
      <c r="A783" s="1" t="s">
        <v>3979</v>
      </c>
      <c r="B783" s="1" t="s">
        <v>3980</v>
      </c>
      <c r="C783" s="1" t="s">
        <v>3981</v>
      </c>
      <c r="D783" s="1" t="s">
        <v>3982</v>
      </c>
      <c r="E783" s="1">
        <v>3702.0</v>
      </c>
      <c r="F783" s="1" t="s">
        <v>315</v>
      </c>
      <c r="G783" s="1">
        <v>841329.0</v>
      </c>
      <c r="H783" s="1" t="s">
        <v>1848</v>
      </c>
      <c r="I783" s="1" t="s">
        <v>1051</v>
      </c>
      <c r="J783" s="1"/>
      <c r="K783" s="1" t="s">
        <v>23</v>
      </c>
      <c r="L783" s="1" t="s">
        <v>3983</v>
      </c>
      <c r="M783" s="1">
        <v>1.0</v>
      </c>
      <c r="N783" s="1">
        <v>1.0</v>
      </c>
      <c r="O783" s="1" t="s">
        <v>315</v>
      </c>
      <c r="P783" s="1" t="s">
        <v>25</v>
      </c>
      <c r="Q783" s="2" t="str">
        <f t="shared" si="1"/>
        <v>H019499</v>
      </c>
    </row>
    <row r="784">
      <c r="A784" s="1" t="s">
        <v>3984</v>
      </c>
      <c r="B784" s="1" t="s">
        <v>3985</v>
      </c>
      <c r="C784" s="1" t="s">
        <v>3986</v>
      </c>
      <c r="D784" s="1" t="s">
        <v>3987</v>
      </c>
      <c r="E784" s="1">
        <v>2019.0</v>
      </c>
      <c r="F784" s="1" t="s">
        <v>315</v>
      </c>
      <c r="G784" s="1">
        <v>555127.0</v>
      </c>
      <c r="H784" s="1" t="s">
        <v>3047</v>
      </c>
      <c r="I784" s="1" t="s">
        <v>1051</v>
      </c>
      <c r="J784" s="1"/>
      <c r="K784" s="1" t="s">
        <v>23</v>
      </c>
      <c r="L784" s="1" t="s">
        <v>3988</v>
      </c>
      <c r="M784" s="1">
        <v>1.0</v>
      </c>
      <c r="N784" s="1">
        <v>1.0</v>
      </c>
      <c r="O784" s="1" t="s">
        <v>315</v>
      </c>
      <c r="P784" s="1" t="s">
        <v>25</v>
      </c>
      <c r="Q784" s="2" t="str">
        <f t="shared" si="1"/>
        <v>H019499</v>
      </c>
    </row>
    <row r="785">
      <c r="A785" s="1" t="s">
        <v>3989</v>
      </c>
      <c r="B785" s="1" t="s">
        <v>3990</v>
      </c>
      <c r="C785" s="1" t="s">
        <v>3991</v>
      </c>
      <c r="D785" s="1" t="s">
        <v>3992</v>
      </c>
      <c r="E785" s="1">
        <v>2821.0</v>
      </c>
      <c r="F785" s="1" t="s">
        <v>315</v>
      </c>
      <c r="G785" s="1">
        <v>555127.0</v>
      </c>
      <c r="H785" s="1" t="s">
        <v>3047</v>
      </c>
      <c r="I785" s="1" t="s">
        <v>1051</v>
      </c>
      <c r="J785" s="1"/>
      <c r="K785" s="1" t="s">
        <v>23</v>
      </c>
      <c r="L785" s="1" t="s">
        <v>3993</v>
      </c>
      <c r="M785" s="1">
        <v>1.0</v>
      </c>
      <c r="N785" s="1">
        <v>1.0</v>
      </c>
      <c r="O785" s="1" t="s">
        <v>315</v>
      </c>
      <c r="P785" s="1" t="s">
        <v>25</v>
      </c>
      <c r="Q785" s="2" t="str">
        <f t="shared" si="1"/>
        <v>H019499</v>
      </c>
    </row>
    <row r="786">
      <c r="A786" s="1" t="s">
        <v>3994</v>
      </c>
      <c r="B786" s="1" t="s">
        <v>3995</v>
      </c>
      <c r="C786" s="1" t="s">
        <v>3996</v>
      </c>
      <c r="D786" s="1" t="s">
        <v>3997</v>
      </c>
      <c r="E786" s="1">
        <v>4465.0</v>
      </c>
      <c r="F786" s="1" t="s">
        <v>315</v>
      </c>
      <c r="G786" s="1">
        <v>555127.0</v>
      </c>
      <c r="H786" s="1" t="s">
        <v>3047</v>
      </c>
      <c r="I786" s="1" t="s">
        <v>1051</v>
      </c>
      <c r="J786" s="1"/>
      <c r="K786" s="1" t="s">
        <v>23</v>
      </c>
      <c r="L786" s="1" t="s">
        <v>3998</v>
      </c>
      <c r="M786" s="1">
        <v>1.0</v>
      </c>
      <c r="N786" s="1">
        <v>1.0</v>
      </c>
      <c r="O786" s="1" t="s">
        <v>315</v>
      </c>
      <c r="P786" s="1" t="s">
        <v>25</v>
      </c>
      <c r="Q786" s="2" t="str">
        <f t="shared" si="1"/>
        <v>H019499</v>
      </c>
    </row>
    <row r="787">
      <c r="A787" s="1" t="s">
        <v>3999</v>
      </c>
      <c r="B787" s="1" t="s">
        <v>4000</v>
      </c>
      <c r="C787" s="1" t="s">
        <v>4001</v>
      </c>
      <c r="D787" s="1" t="s">
        <v>4002</v>
      </c>
      <c r="E787" s="1">
        <v>3260.0</v>
      </c>
      <c r="F787" s="1" t="s">
        <v>315</v>
      </c>
      <c r="G787" s="1">
        <v>555127.0</v>
      </c>
      <c r="H787" s="1" t="s">
        <v>3047</v>
      </c>
      <c r="I787" s="1" t="s">
        <v>1051</v>
      </c>
      <c r="J787" s="1"/>
      <c r="K787" s="1" t="s">
        <v>23</v>
      </c>
      <c r="L787" s="1" t="s">
        <v>4003</v>
      </c>
      <c r="M787" s="1">
        <v>1.0</v>
      </c>
      <c r="N787" s="1">
        <v>1.0</v>
      </c>
      <c r="O787" s="1" t="s">
        <v>315</v>
      </c>
      <c r="P787" s="1" t="s">
        <v>25</v>
      </c>
      <c r="Q787" s="2" t="str">
        <f t="shared" si="1"/>
        <v>H019499</v>
      </c>
    </row>
    <row r="788">
      <c r="A788" s="1" t="s">
        <v>4004</v>
      </c>
      <c r="B788" s="1" t="s">
        <v>4005</v>
      </c>
      <c r="C788" s="1" t="s">
        <v>4006</v>
      </c>
      <c r="D788" s="1" t="s">
        <v>4007</v>
      </c>
      <c r="E788" s="1">
        <v>5902.0</v>
      </c>
      <c r="F788" s="1" t="s">
        <v>398</v>
      </c>
      <c r="G788" s="1" t="s">
        <v>179</v>
      </c>
      <c r="H788" s="1" t="s">
        <v>180</v>
      </c>
      <c r="I788" s="1" t="s">
        <v>1112</v>
      </c>
      <c r="J788" s="1"/>
      <c r="K788" s="1" t="s">
        <v>23</v>
      </c>
      <c r="L788" s="1" t="s">
        <v>4008</v>
      </c>
      <c r="M788" s="1">
        <v>2.0</v>
      </c>
      <c r="N788" s="1">
        <v>1.0</v>
      </c>
      <c r="O788" s="1" t="s">
        <v>398</v>
      </c>
      <c r="P788" s="1" t="s">
        <v>25</v>
      </c>
      <c r="Q788" s="2" t="str">
        <f t="shared" si="1"/>
        <v>H030160</v>
      </c>
    </row>
    <row r="789">
      <c r="A789" s="1" t="s">
        <v>4009</v>
      </c>
      <c r="B789" s="1" t="s">
        <v>4010</v>
      </c>
      <c r="C789" s="1" t="s">
        <v>4011</v>
      </c>
      <c r="D789" s="1" t="s">
        <v>4012</v>
      </c>
      <c r="E789" s="1">
        <v>5203.0</v>
      </c>
      <c r="F789" s="1" t="s">
        <v>398</v>
      </c>
      <c r="G789" s="1" t="s">
        <v>179</v>
      </c>
      <c r="H789" s="1" t="s">
        <v>180</v>
      </c>
      <c r="I789" s="1" t="s">
        <v>1112</v>
      </c>
      <c r="J789" s="1"/>
      <c r="K789" s="1" t="s">
        <v>23</v>
      </c>
      <c r="L789" s="1" t="s">
        <v>4013</v>
      </c>
      <c r="M789" s="1">
        <v>2.0</v>
      </c>
      <c r="N789" s="1">
        <v>1.0</v>
      </c>
      <c r="O789" s="1" t="s">
        <v>398</v>
      </c>
      <c r="P789" s="1" t="s">
        <v>25</v>
      </c>
      <c r="Q789" s="2" t="str">
        <f t="shared" si="1"/>
        <v>H030160</v>
      </c>
    </row>
    <row r="790">
      <c r="A790" s="1" t="s">
        <v>4014</v>
      </c>
      <c r="B790" s="1" t="s">
        <v>4015</v>
      </c>
      <c r="C790" s="1" t="s">
        <v>4016</v>
      </c>
      <c r="D790" s="1" t="s">
        <v>4017</v>
      </c>
      <c r="E790" s="1">
        <v>4270.0</v>
      </c>
      <c r="F790" s="1" t="s">
        <v>398</v>
      </c>
      <c r="G790" s="1" t="s">
        <v>179</v>
      </c>
      <c r="H790" s="1" t="s">
        <v>180</v>
      </c>
      <c r="I790" s="1" t="s">
        <v>1112</v>
      </c>
      <c r="J790" s="1"/>
      <c r="K790" s="1" t="s">
        <v>23</v>
      </c>
      <c r="L790" s="1" t="s">
        <v>4018</v>
      </c>
      <c r="M790" s="1">
        <v>2.0</v>
      </c>
      <c r="N790" s="1">
        <v>1.0</v>
      </c>
      <c r="O790" s="1" t="s">
        <v>398</v>
      </c>
      <c r="P790" s="1" t="s">
        <v>25</v>
      </c>
      <c r="Q790" s="2" t="str">
        <f t="shared" si="1"/>
        <v>H030160</v>
      </c>
    </row>
    <row r="791">
      <c r="A791" s="1" t="s">
        <v>4019</v>
      </c>
      <c r="B791" s="1" t="s">
        <v>4020</v>
      </c>
      <c r="C791" s="1" t="s">
        <v>4021</v>
      </c>
      <c r="D791" s="1" t="s">
        <v>4022</v>
      </c>
      <c r="E791" s="1">
        <v>4706.0</v>
      </c>
      <c r="F791" s="1" t="s">
        <v>398</v>
      </c>
      <c r="G791" s="1" t="s">
        <v>179</v>
      </c>
      <c r="H791" s="1" t="s">
        <v>180</v>
      </c>
      <c r="I791" s="1" t="s">
        <v>1112</v>
      </c>
      <c r="J791" s="1"/>
      <c r="K791" s="1" t="s">
        <v>23</v>
      </c>
      <c r="L791" s="1" t="s">
        <v>4023</v>
      </c>
      <c r="M791" s="1">
        <v>2.0</v>
      </c>
      <c r="N791" s="1">
        <v>1.0</v>
      </c>
      <c r="O791" s="1" t="s">
        <v>398</v>
      </c>
      <c r="P791" s="1" t="s">
        <v>25</v>
      </c>
      <c r="Q791" s="2" t="str">
        <f t="shared" si="1"/>
        <v>H030160</v>
      </c>
    </row>
    <row r="792">
      <c r="A792" s="1" t="s">
        <v>4024</v>
      </c>
      <c r="B792" s="1" t="s">
        <v>4025</v>
      </c>
      <c r="C792" s="1" t="s">
        <v>4026</v>
      </c>
      <c r="D792" s="1" t="s">
        <v>4027</v>
      </c>
      <c r="E792" s="1">
        <v>3365.0</v>
      </c>
      <c r="F792" s="1" t="s">
        <v>382</v>
      </c>
      <c r="G792" s="1" t="s">
        <v>191</v>
      </c>
      <c r="H792" s="1" t="s">
        <v>192</v>
      </c>
      <c r="I792" s="1" t="s">
        <v>486</v>
      </c>
      <c r="J792" s="1"/>
      <c r="K792" s="1" t="s">
        <v>23</v>
      </c>
      <c r="L792" s="1" t="s">
        <v>4028</v>
      </c>
      <c r="M792" s="1">
        <v>0.0</v>
      </c>
      <c r="N792" s="1">
        <v>1.0</v>
      </c>
      <c r="O792" s="1" t="s">
        <v>382</v>
      </c>
      <c r="P792" s="1" t="s">
        <v>25</v>
      </c>
      <c r="Q792" s="2" t="str">
        <f t="shared" si="1"/>
        <v>H006657</v>
      </c>
    </row>
    <row r="793">
      <c r="A793" s="1" t="s">
        <v>4029</v>
      </c>
      <c r="B793" s="1" t="s">
        <v>4030</v>
      </c>
      <c r="C793" s="1" t="s">
        <v>4031</v>
      </c>
      <c r="D793" s="1" t="s">
        <v>4032</v>
      </c>
      <c r="E793" s="1">
        <v>3326.0</v>
      </c>
      <c r="F793" s="1" t="s">
        <v>382</v>
      </c>
      <c r="G793" s="1" t="s">
        <v>191</v>
      </c>
      <c r="H793" s="1" t="s">
        <v>192</v>
      </c>
      <c r="I793" s="1" t="s">
        <v>486</v>
      </c>
      <c r="J793" s="1"/>
      <c r="K793" s="1" t="s">
        <v>23</v>
      </c>
      <c r="L793" s="1" t="s">
        <v>4033</v>
      </c>
      <c r="M793" s="1">
        <v>0.0</v>
      </c>
      <c r="N793" s="1">
        <v>1.0</v>
      </c>
      <c r="O793" s="1" t="s">
        <v>382</v>
      </c>
      <c r="P793" s="1" t="s">
        <v>25</v>
      </c>
      <c r="Q793" s="2" t="str">
        <f t="shared" si="1"/>
        <v>H006657</v>
      </c>
    </row>
    <row r="794">
      <c r="A794" s="1" t="s">
        <v>4034</v>
      </c>
      <c r="B794" s="1" t="s">
        <v>4035</v>
      </c>
      <c r="C794" s="1" t="s">
        <v>4036</v>
      </c>
      <c r="D794" s="1" t="s">
        <v>4037</v>
      </c>
      <c r="E794" s="1">
        <v>2646.0</v>
      </c>
      <c r="F794" s="1" t="s">
        <v>382</v>
      </c>
      <c r="G794" s="1" t="s">
        <v>191</v>
      </c>
      <c r="H794" s="1" t="s">
        <v>192</v>
      </c>
      <c r="I794" s="1" t="s">
        <v>486</v>
      </c>
      <c r="J794" s="1"/>
      <c r="K794" s="1" t="s">
        <v>23</v>
      </c>
      <c r="L794" s="1" t="s">
        <v>4038</v>
      </c>
      <c r="M794" s="1">
        <v>0.0</v>
      </c>
      <c r="N794" s="1">
        <v>1.0</v>
      </c>
      <c r="O794" s="1" t="s">
        <v>382</v>
      </c>
      <c r="P794" s="1" t="s">
        <v>25</v>
      </c>
      <c r="Q794" s="2" t="str">
        <f t="shared" si="1"/>
        <v>H006657</v>
      </c>
    </row>
    <row r="795">
      <c r="A795" s="1" t="s">
        <v>4039</v>
      </c>
      <c r="B795" s="1" t="s">
        <v>4040</v>
      </c>
      <c r="C795" s="1" t="s">
        <v>4041</v>
      </c>
      <c r="D795" s="1" t="s">
        <v>4042</v>
      </c>
      <c r="E795" s="1">
        <v>4062.0</v>
      </c>
      <c r="F795" s="1" t="s">
        <v>382</v>
      </c>
      <c r="G795" s="1" t="s">
        <v>191</v>
      </c>
      <c r="H795" s="1" t="s">
        <v>192</v>
      </c>
      <c r="I795" s="1" t="s">
        <v>486</v>
      </c>
      <c r="J795" s="1"/>
      <c r="K795" s="1" t="s">
        <v>23</v>
      </c>
      <c r="L795" s="1" t="s">
        <v>4043</v>
      </c>
      <c r="M795" s="1">
        <v>0.0</v>
      </c>
      <c r="N795" s="1">
        <v>1.0</v>
      </c>
      <c r="O795" s="1" t="s">
        <v>382</v>
      </c>
      <c r="P795" s="1" t="s">
        <v>488</v>
      </c>
      <c r="Q795" s="2" t="str">
        <f t="shared" si="1"/>
        <v>H006657</v>
      </c>
    </row>
    <row r="796">
      <c r="A796" s="1" t="s">
        <v>4044</v>
      </c>
      <c r="B796" s="1" t="s">
        <v>4045</v>
      </c>
      <c r="C796" s="1" t="s">
        <v>4046</v>
      </c>
      <c r="D796" s="1" t="s">
        <v>4047</v>
      </c>
      <c r="E796" s="1">
        <v>4446.0</v>
      </c>
      <c r="F796" s="1" t="s">
        <v>288</v>
      </c>
      <c r="G796" s="1">
        <v>859767.0</v>
      </c>
      <c r="H796" s="1" t="s">
        <v>2565</v>
      </c>
      <c r="I796" s="1" t="s">
        <v>1051</v>
      </c>
      <c r="J796" s="1"/>
      <c r="K796" s="1" t="s">
        <v>23</v>
      </c>
      <c r="L796" s="1" t="s">
        <v>4048</v>
      </c>
      <c r="M796" s="1">
        <v>2.0</v>
      </c>
      <c r="N796" s="1">
        <v>1.0</v>
      </c>
      <c r="O796" s="1" t="s">
        <v>288</v>
      </c>
      <c r="P796" s="1" t="s">
        <v>488</v>
      </c>
      <c r="Q796" s="2" t="str">
        <f t="shared" si="1"/>
        <v>H019611</v>
      </c>
    </row>
    <row r="797">
      <c r="A797" s="1" t="s">
        <v>4049</v>
      </c>
      <c r="B797" s="1" t="s">
        <v>4050</v>
      </c>
      <c r="C797" s="1" t="s">
        <v>4051</v>
      </c>
      <c r="D797" s="1" t="s">
        <v>4052</v>
      </c>
      <c r="E797" s="1">
        <v>4090.0</v>
      </c>
      <c r="F797" s="1" t="s">
        <v>288</v>
      </c>
      <c r="G797" s="1">
        <v>859767.0</v>
      </c>
      <c r="H797" s="1" t="s">
        <v>2565</v>
      </c>
      <c r="I797" s="1" t="s">
        <v>1051</v>
      </c>
      <c r="J797" s="1"/>
      <c r="K797" s="1" t="s">
        <v>23</v>
      </c>
      <c r="L797" s="1" t="s">
        <v>4053</v>
      </c>
      <c r="M797" s="1">
        <v>2.0</v>
      </c>
      <c r="N797" s="1">
        <v>1.0</v>
      </c>
      <c r="O797" s="1" t="s">
        <v>288</v>
      </c>
      <c r="P797" s="1" t="s">
        <v>25</v>
      </c>
      <c r="Q797" s="2" t="str">
        <f t="shared" si="1"/>
        <v>H019611</v>
      </c>
    </row>
    <row r="798">
      <c r="A798" s="1" t="s">
        <v>4054</v>
      </c>
      <c r="B798" s="1" t="s">
        <v>4055</v>
      </c>
      <c r="C798" s="1" t="s">
        <v>4056</v>
      </c>
      <c r="D798" s="1" t="s">
        <v>4057</v>
      </c>
      <c r="E798" s="1">
        <v>3188.0</v>
      </c>
      <c r="F798" s="1" t="s">
        <v>288</v>
      </c>
      <c r="G798" s="1">
        <v>859767.0</v>
      </c>
      <c r="H798" s="1" t="s">
        <v>2565</v>
      </c>
      <c r="I798" s="1" t="s">
        <v>1051</v>
      </c>
      <c r="J798" s="1"/>
      <c r="K798" s="1" t="s">
        <v>23</v>
      </c>
      <c r="L798" s="1" t="s">
        <v>4058</v>
      </c>
      <c r="M798" s="1">
        <v>2.0</v>
      </c>
      <c r="N798" s="1">
        <v>1.0</v>
      </c>
      <c r="O798" s="1" t="s">
        <v>288</v>
      </c>
      <c r="P798" s="1" t="s">
        <v>25</v>
      </c>
      <c r="Q798" s="2" t="str">
        <f t="shared" si="1"/>
        <v>H019611</v>
      </c>
    </row>
    <row r="799">
      <c r="A799" s="1" t="s">
        <v>4059</v>
      </c>
      <c r="B799" s="1" t="s">
        <v>4060</v>
      </c>
      <c r="C799" s="1" t="s">
        <v>4061</v>
      </c>
      <c r="D799" s="1" t="s">
        <v>4062</v>
      </c>
      <c r="E799" s="1">
        <v>4682.0</v>
      </c>
      <c r="F799" s="1" t="s">
        <v>288</v>
      </c>
      <c r="G799" s="1">
        <v>859767.0</v>
      </c>
      <c r="H799" s="1" t="s">
        <v>2565</v>
      </c>
      <c r="I799" s="1" t="s">
        <v>1051</v>
      </c>
      <c r="J799" s="1"/>
      <c r="K799" s="1" t="s">
        <v>23</v>
      </c>
      <c r="L799" s="1" t="s">
        <v>4063</v>
      </c>
      <c r="M799" s="1">
        <v>2.0</v>
      </c>
      <c r="N799" s="1">
        <v>1.0</v>
      </c>
      <c r="O799" s="1" t="s">
        <v>288</v>
      </c>
      <c r="P799" s="1" t="s">
        <v>25</v>
      </c>
      <c r="Q799" s="2" t="str">
        <f t="shared" si="1"/>
        <v>H019611</v>
      </c>
    </row>
    <row r="800">
      <c r="A800" s="1" t="s">
        <v>4064</v>
      </c>
      <c r="B800" s="1" t="s">
        <v>4065</v>
      </c>
      <c r="C800" s="1" t="s">
        <v>4066</v>
      </c>
      <c r="D800" s="1" t="s">
        <v>4067</v>
      </c>
      <c r="E800" s="1">
        <v>2605.0</v>
      </c>
      <c r="F800" s="1" t="s">
        <v>288</v>
      </c>
      <c r="G800" s="1">
        <v>729375.0</v>
      </c>
      <c r="H800" s="1" t="s">
        <v>1050</v>
      </c>
      <c r="I800" s="1" t="s">
        <v>1051</v>
      </c>
      <c r="J800" s="1"/>
      <c r="K800" s="1" t="s">
        <v>23</v>
      </c>
      <c r="L800" s="1" t="s">
        <v>4068</v>
      </c>
      <c r="M800" s="1">
        <v>2.0</v>
      </c>
      <c r="N800" s="1">
        <v>1.0</v>
      </c>
      <c r="O800" s="1" t="s">
        <v>288</v>
      </c>
      <c r="P800" s="1" t="s">
        <v>25</v>
      </c>
      <c r="Q800" s="2" t="str">
        <f t="shared" si="1"/>
        <v>H019611</v>
      </c>
    </row>
    <row r="801">
      <c r="A801" s="1" t="s">
        <v>4069</v>
      </c>
      <c r="B801" s="1" t="s">
        <v>4070</v>
      </c>
      <c r="C801" s="1" t="s">
        <v>4071</v>
      </c>
      <c r="D801" s="1" t="s">
        <v>4072</v>
      </c>
      <c r="E801" s="1">
        <v>2924.0</v>
      </c>
      <c r="F801" s="1" t="s">
        <v>288</v>
      </c>
      <c r="G801" s="1">
        <v>729375.0</v>
      </c>
      <c r="H801" s="1" t="s">
        <v>1050</v>
      </c>
      <c r="I801" s="1" t="s">
        <v>1051</v>
      </c>
      <c r="J801" s="1"/>
      <c r="K801" s="1" t="s">
        <v>23</v>
      </c>
      <c r="L801" s="1" t="s">
        <v>4073</v>
      </c>
      <c r="M801" s="1">
        <v>2.0</v>
      </c>
      <c r="N801" s="1">
        <v>1.0</v>
      </c>
      <c r="O801" s="1" t="s">
        <v>288</v>
      </c>
      <c r="P801" s="1" t="s">
        <v>25</v>
      </c>
      <c r="Q801" s="2" t="str">
        <f t="shared" si="1"/>
        <v>H019611</v>
      </c>
    </row>
    <row r="802">
      <c r="A802" s="1" t="s">
        <v>4074</v>
      </c>
      <c r="B802" s="1" t="s">
        <v>4075</v>
      </c>
      <c r="C802" s="1" t="s">
        <v>4076</v>
      </c>
      <c r="D802" s="1" t="s">
        <v>4077</v>
      </c>
      <c r="E802" s="1">
        <v>2629.0</v>
      </c>
      <c r="F802" s="1" t="s">
        <v>288</v>
      </c>
      <c r="G802" s="1">
        <v>729375.0</v>
      </c>
      <c r="H802" s="1" t="s">
        <v>1050</v>
      </c>
      <c r="I802" s="1" t="s">
        <v>1051</v>
      </c>
      <c r="J802" s="1"/>
      <c r="K802" s="1" t="s">
        <v>23</v>
      </c>
      <c r="L802" s="1" t="s">
        <v>4078</v>
      </c>
      <c r="M802" s="1">
        <v>2.0</v>
      </c>
      <c r="N802" s="1">
        <v>1.0</v>
      </c>
      <c r="O802" s="1" t="s">
        <v>288</v>
      </c>
      <c r="P802" s="1" t="s">
        <v>25</v>
      </c>
      <c r="Q802" s="2" t="str">
        <f t="shared" si="1"/>
        <v>H019611</v>
      </c>
    </row>
    <row r="803">
      <c r="A803" s="1" t="s">
        <v>4079</v>
      </c>
      <c r="B803" s="1" t="s">
        <v>4080</v>
      </c>
      <c r="C803" s="1" t="s">
        <v>4081</v>
      </c>
      <c r="D803" s="1" t="s">
        <v>4082</v>
      </c>
      <c r="E803" s="1">
        <v>3464.0</v>
      </c>
      <c r="F803" s="1" t="s">
        <v>288</v>
      </c>
      <c r="G803" s="1">
        <v>729375.0</v>
      </c>
      <c r="H803" s="1" t="s">
        <v>1050</v>
      </c>
      <c r="I803" s="1" t="s">
        <v>1051</v>
      </c>
      <c r="J803" s="1"/>
      <c r="K803" s="1" t="s">
        <v>23</v>
      </c>
      <c r="L803" s="1" t="s">
        <v>4083</v>
      </c>
      <c r="M803" s="1">
        <v>2.0</v>
      </c>
      <c r="N803" s="1">
        <v>1.0</v>
      </c>
      <c r="O803" s="1" t="s">
        <v>288</v>
      </c>
      <c r="P803" s="1" t="s">
        <v>25</v>
      </c>
      <c r="Q803" s="2" t="str">
        <f t="shared" si="1"/>
        <v>H019611</v>
      </c>
    </row>
    <row r="804">
      <c r="A804" s="1" t="s">
        <v>4084</v>
      </c>
      <c r="B804" s="1" t="s">
        <v>4085</v>
      </c>
      <c r="C804" s="1" t="s">
        <v>4086</v>
      </c>
      <c r="D804" s="1" t="s">
        <v>4087</v>
      </c>
      <c r="E804" s="1">
        <v>3257.0</v>
      </c>
      <c r="F804" s="1" t="s">
        <v>288</v>
      </c>
      <c r="G804" s="1" t="s">
        <v>304</v>
      </c>
      <c r="H804" s="1" t="s">
        <v>272</v>
      </c>
      <c r="I804" s="1" t="s">
        <v>1051</v>
      </c>
      <c r="J804" s="1"/>
      <c r="K804" s="1" t="s">
        <v>23</v>
      </c>
      <c r="L804" s="1" t="s">
        <v>4088</v>
      </c>
      <c r="M804" s="1">
        <v>2.0</v>
      </c>
      <c r="N804" s="1">
        <v>1.0</v>
      </c>
      <c r="O804" s="1" t="s">
        <v>288</v>
      </c>
      <c r="P804" s="1" t="s">
        <v>25</v>
      </c>
      <c r="Q804" s="2" t="str">
        <f t="shared" si="1"/>
        <v>H019611</v>
      </c>
    </row>
    <row r="805">
      <c r="A805" s="1" t="s">
        <v>4089</v>
      </c>
      <c r="B805" s="1" t="s">
        <v>4090</v>
      </c>
      <c r="C805" s="1" t="s">
        <v>4091</v>
      </c>
      <c r="D805" s="1" t="s">
        <v>4092</v>
      </c>
      <c r="E805" s="1">
        <v>1718.0</v>
      </c>
      <c r="F805" s="1" t="s">
        <v>288</v>
      </c>
      <c r="G805" s="1" t="s">
        <v>304</v>
      </c>
      <c r="H805" s="1" t="s">
        <v>272</v>
      </c>
      <c r="I805" s="1" t="s">
        <v>1051</v>
      </c>
      <c r="J805" s="1"/>
      <c r="K805" s="1" t="s">
        <v>23</v>
      </c>
      <c r="L805" s="1" t="s">
        <v>4093</v>
      </c>
      <c r="M805" s="1">
        <v>2.0</v>
      </c>
      <c r="N805" s="1">
        <v>1.0</v>
      </c>
      <c r="O805" s="1" t="s">
        <v>288</v>
      </c>
      <c r="P805" s="1" t="s">
        <v>25</v>
      </c>
      <c r="Q805" s="2" t="str">
        <f t="shared" si="1"/>
        <v>H019611</v>
      </c>
    </row>
    <row r="806">
      <c r="A806" s="1" t="s">
        <v>4094</v>
      </c>
      <c r="B806" s="1" t="s">
        <v>4095</v>
      </c>
      <c r="C806" s="1" t="s">
        <v>4096</v>
      </c>
      <c r="D806" s="1" t="s">
        <v>4097</v>
      </c>
      <c r="E806" s="1">
        <v>3183.0</v>
      </c>
      <c r="F806" s="1" t="s">
        <v>288</v>
      </c>
      <c r="G806" s="1" t="s">
        <v>304</v>
      </c>
      <c r="H806" s="1" t="s">
        <v>272</v>
      </c>
      <c r="I806" s="1" t="s">
        <v>1051</v>
      </c>
      <c r="J806" s="1"/>
      <c r="K806" s="1" t="s">
        <v>23</v>
      </c>
      <c r="L806" s="1" t="s">
        <v>4098</v>
      </c>
      <c r="M806" s="1">
        <v>2.0</v>
      </c>
      <c r="N806" s="1">
        <v>1.0</v>
      </c>
      <c r="O806" s="1" t="s">
        <v>288</v>
      </c>
      <c r="P806" s="1" t="s">
        <v>25</v>
      </c>
      <c r="Q806" s="2" t="str">
        <f t="shared" si="1"/>
        <v>H019611</v>
      </c>
    </row>
    <row r="807">
      <c r="A807" s="1" t="s">
        <v>4099</v>
      </c>
      <c r="B807" s="1" t="s">
        <v>4100</v>
      </c>
      <c r="C807" s="1" t="s">
        <v>4101</v>
      </c>
      <c r="D807" s="1" t="s">
        <v>4102</v>
      </c>
      <c r="E807" s="1">
        <v>3186.0</v>
      </c>
      <c r="F807" s="1" t="s">
        <v>288</v>
      </c>
      <c r="G807" s="1" t="s">
        <v>304</v>
      </c>
      <c r="H807" s="1" t="s">
        <v>272</v>
      </c>
      <c r="I807" s="1" t="s">
        <v>1051</v>
      </c>
      <c r="J807" s="1"/>
      <c r="K807" s="1" t="s">
        <v>23</v>
      </c>
      <c r="L807" s="1" t="s">
        <v>4103</v>
      </c>
      <c r="M807" s="1">
        <v>2.0</v>
      </c>
      <c r="N807" s="1">
        <v>1.0</v>
      </c>
      <c r="O807" s="1" t="s">
        <v>288</v>
      </c>
      <c r="P807" s="1" t="s">
        <v>25</v>
      </c>
      <c r="Q807" s="2" t="str">
        <f t="shared" si="1"/>
        <v>H019611</v>
      </c>
    </row>
    <row r="808">
      <c r="A808" s="1" t="s">
        <v>4104</v>
      </c>
      <c r="B808" s="1" t="s">
        <v>4105</v>
      </c>
      <c r="C808" s="1" t="s">
        <v>4106</v>
      </c>
      <c r="D808" s="1" t="s">
        <v>4107</v>
      </c>
      <c r="E808" s="1">
        <v>3631.0</v>
      </c>
      <c r="F808" s="1" t="s">
        <v>498</v>
      </c>
      <c r="G808" s="1">
        <v>896791.0</v>
      </c>
      <c r="H808" s="1" t="s">
        <v>2124</v>
      </c>
      <c r="I808" s="1" t="s">
        <v>1112</v>
      </c>
      <c r="J808" s="1"/>
      <c r="K808" s="1" t="s">
        <v>23</v>
      </c>
      <c r="L808" s="1" t="s">
        <v>4108</v>
      </c>
      <c r="M808" s="1">
        <v>3.0</v>
      </c>
      <c r="N808" s="1">
        <v>1.0</v>
      </c>
      <c r="O808" s="1" t="s">
        <v>498</v>
      </c>
      <c r="P808" s="1" t="s">
        <v>25</v>
      </c>
      <c r="Q808" s="2" t="str">
        <f t="shared" si="1"/>
        <v>H030764</v>
      </c>
    </row>
    <row r="809">
      <c r="A809" s="1" t="s">
        <v>4109</v>
      </c>
      <c r="B809" s="1" t="s">
        <v>4110</v>
      </c>
      <c r="C809" s="1" t="s">
        <v>4111</v>
      </c>
      <c r="D809" s="1" t="s">
        <v>4112</v>
      </c>
      <c r="E809" s="1">
        <v>4154.0</v>
      </c>
      <c r="F809" s="1" t="s">
        <v>351</v>
      </c>
      <c r="G809" s="1" t="s">
        <v>208</v>
      </c>
      <c r="H809" s="1" t="s">
        <v>209</v>
      </c>
      <c r="I809" s="1" t="s">
        <v>486</v>
      </c>
      <c r="J809" s="1"/>
      <c r="K809" s="1" t="s">
        <v>23</v>
      </c>
      <c r="L809" s="1" t="s">
        <v>4113</v>
      </c>
      <c r="M809" s="1">
        <v>3.0</v>
      </c>
      <c r="N809" s="1">
        <v>1.0</v>
      </c>
      <c r="O809" s="1" t="s">
        <v>351</v>
      </c>
      <c r="P809" s="1" t="s">
        <v>25</v>
      </c>
      <c r="Q809" s="2" t="str">
        <f t="shared" si="1"/>
        <v>H006525</v>
      </c>
    </row>
    <row r="810">
      <c r="A810" s="1" t="s">
        <v>4114</v>
      </c>
      <c r="B810" s="1" t="s">
        <v>4115</v>
      </c>
      <c r="C810" s="1" t="s">
        <v>4116</v>
      </c>
      <c r="D810" s="1" t="s">
        <v>4117</v>
      </c>
      <c r="E810" s="1">
        <v>2253.0</v>
      </c>
      <c r="F810" s="1" t="s">
        <v>351</v>
      </c>
      <c r="G810" s="1" t="s">
        <v>208</v>
      </c>
      <c r="H810" s="1" t="s">
        <v>209</v>
      </c>
      <c r="I810" s="1" t="s">
        <v>486</v>
      </c>
      <c r="J810" s="1"/>
      <c r="K810" s="1" t="s">
        <v>23</v>
      </c>
      <c r="L810" s="1" t="s">
        <v>4118</v>
      </c>
      <c r="M810" s="1">
        <v>3.0</v>
      </c>
      <c r="N810" s="1">
        <v>1.0</v>
      </c>
      <c r="O810" s="1" t="s">
        <v>351</v>
      </c>
      <c r="P810" s="1" t="s">
        <v>25</v>
      </c>
      <c r="Q810" s="2" t="str">
        <f t="shared" si="1"/>
        <v>H006525</v>
      </c>
    </row>
    <row r="811">
      <c r="A811" s="1" t="s">
        <v>4119</v>
      </c>
      <c r="B811" s="1" t="s">
        <v>4120</v>
      </c>
      <c r="C811" s="1" t="s">
        <v>4121</v>
      </c>
      <c r="D811" s="1" t="s">
        <v>4122</v>
      </c>
      <c r="E811" s="1">
        <v>4843.0</v>
      </c>
      <c r="F811" s="1" t="s">
        <v>351</v>
      </c>
      <c r="G811" s="1" t="s">
        <v>208</v>
      </c>
      <c r="H811" s="1" t="s">
        <v>209</v>
      </c>
      <c r="I811" s="1" t="s">
        <v>486</v>
      </c>
      <c r="J811" s="1"/>
      <c r="K811" s="1" t="s">
        <v>23</v>
      </c>
      <c r="L811" s="1" t="s">
        <v>4123</v>
      </c>
      <c r="M811" s="1">
        <v>3.0</v>
      </c>
      <c r="N811" s="1">
        <v>1.0</v>
      </c>
      <c r="O811" s="1" t="s">
        <v>351</v>
      </c>
      <c r="P811" s="1" t="s">
        <v>25</v>
      </c>
      <c r="Q811" s="2" t="str">
        <f t="shared" si="1"/>
        <v>H006525</v>
      </c>
    </row>
    <row r="812">
      <c r="A812" s="1" t="s">
        <v>4124</v>
      </c>
      <c r="B812" s="1" t="s">
        <v>4125</v>
      </c>
      <c r="C812" s="1" t="s">
        <v>4126</v>
      </c>
      <c r="D812" s="1" t="s">
        <v>4127</v>
      </c>
      <c r="E812" s="1">
        <v>5154.0</v>
      </c>
      <c r="F812" s="1" t="s">
        <v>315</v>
      </c>
      <c r="G812" s="1">
        <v>455939.0</v>
      </c>
      <c r="H812" s="1" t="s">
        <v>2746</v>
      </c>
      <c r="I812" s="1" t="s">
        <v>1051</v>
      </c>
      <c r="J812" s="1"/>
      <c r="K812" s="1" t="s">
        <v>23</v>
      </c>
      <c r="L812" s="1" t="s">
        <v>4128</v>
      </c>
      <c r="M812" s="1">
        <v>1.0</v>
      </c>
      <c r="N812" s="1">
        <v>1.0</v>
      </c>
      <c r="O812" s="1" t="s">
        <v>315</v>
      </c>
      <c r="P812" s="1" t="s">
        <v>25</v>
      </c>
      <c r="Q812" s="2" t="str">
        <f t="shared" si="1"/>
        <v>H019499</v>
      </c>
    </row>
    <row r="813">
      <c r="A813" s="1" t="s">
        <v>4129</v>
      </c>
      <c r="B813" s="1" t="s">
        <v>4130</v>
      </c>
      <c r="C813" s="1" t="s">
        <v>4131</v>
      </c>
      <c r="D813" s="1" t="s">
        <v>4132</v>
      </c>
      <c r="E813" s="1">
        <v>5445.0</v>
      </c>
      <c r="F813" s="1" t="s">
        <v>288</v>
      </c>
      <c r="G813" s="1" t="s">
        <v>304</v>
      </c>
      <c r="H813" s="1" t="s">
        <v>272</v>
      </c>
      <c r="I813" s="1" t="s">
        <v>1051</v>
      </c>
      <c r="J813" s="1"/>
      <c r="K813" s="1" t="s">
        <v>23</v>
      </c>
      <c r="L813" s="1" t="s">
        <v>4133</v>
      </c>
      <c r="M813" s="1">
        <v>0.0</v>
      </c>
      <c r="N813" s="1">
        <v>1.0</v>
      </c>
      <c r="O813" s="1" t="s">
        <v>288</v>
      </c>
      <c r="P813" s="1" t="s">
        <v>25</v>
      </c>
      <c r="Q813" s="2" t="str">
        <f t="shared" si="1"/>
        <v>H019096</v>
      </c>
    </row>
    <row r="814">
      <c r="A814" s="1" t="s">
        <v>4134</v>
      </c>
      <c r="B814" s="1" t="s">
        <v>4135</v>
      </c>
      <c r="C814" s="1" t="s">
        <v>4136</v>
      </c>
      <c r="D814" s="1" t="s">
        <v>4137</v>
      </c>
      <c r="E814" s="1">
        <v>2795.0</v>
      </c>
      <c r="F814" s="1" t="s">
        <v>288</v>
      </c>
      <c r="G814" s="1" t="s">
        <v>304</v>
      </c>
      <c r="H814" s="1" t="s">
        <v>272</v>
      </c>
      <c r="I814" s="1" t="s">
        <v>1051</v>
      </c>
      <c r="J814" s="1"/>
      <c r="K814" s="1" t="s">
        <v>23</v>
      </c>
      <c r="L814" s="1" t="s">
        <v>4138</v>
      </c>
      <c r="M814" s="1">
        <v>0.0</v>
      </c>
      <c r="N814" s="1">
        <v>1.0</v>
      </c>
      <c r="O814" s="1" t="s">
        <v>288</v>
      </c>
      <c r="P814" s="1" t="s">
        <v>25</v>
      </c>
      <c r="Q814" s="2" t="str">
        <f t="shared" si="1"/>
        <v>H019096</v>
      </c>
    </row>
    <row r="815">
      <c r="A815" s="1" t="s">
        <v>4139</v>
      </c>
      <c r="B815" s="1" t="s">
        <v>4140</v>
      </c>
      <c r="C815" s="1" t="s">
        <v>4141</v>
      </c>
      <c r="D815" s="1" t="s">
        <v>4142</v>
      </c>
      <c r="E815" s="1">
        <v>3628.0</v>
      </c>
      <c r="F815" s="1" t="s">
        <v>288</v>
      </c>
      <c r="G815" s="1" t="s">
        <v>304</v>
      </c>
      <c r="H815" s="1" t="s">
        <v>272</v>
      </c>
      <c r="I815" s="1" t="s">
        <v>1051</v>
      </c>
      <c r="J815" s="1"/>
      <c r="K815" s="1" t="s">
        <v>23</v>
      </c>
      <c r="L815" s="1" t="s">
        <v>4143</v>
      </c>
      <c r="M815" s="1">
        <v>2.0</v>
      </c>
      <c r="N815" s="1">
        <v>1.0</v>
      </c>
      <c r="O815" s="1" t="s">
        <v>288</v>
      </c>
      <c r="P815" s="1" t="s">
        <v>25</v>
      </c>
      <c r="Q815" s="2" t="str">
        <f t="shared" si="1"/>
        <v>H019611</v>
      </c>
    </row>
    <row r="816">
      <c r="A816" s="1" t="s">
        <v>4144</v>
      </c>
      <c r="B816" s="1" t="s">
        <v>4145</v>
      </c>
      <c r="C816" s="1" t="s">
        <v>4146</v>
      </c>
      <c r="D816" s="1" t="s">
        <v>4147</v>
      </c>
      <c r="E816" s="1">
        <v>4986.0</v>
      </c>
      <c r="F816" s="1" t="s">
        <v>288</v>
      </c>
      <c r="G816" s="1">
        <v>859767.0</v>
      </c>
      <c r="H816" s="1" t="s">
        <v>2565</v>
      </c>
      <c r="I816" s="1" t="s">
        <v>1051</v>
      </c>
      <c r="J816" s="1"/>
      <c r="K816" s="1" t="s">
        <v>23</v>
      </c>
      <c r="L816" s="1" t="s">
        <v>4148</v>
      </c>
      <c r="M816" s="1">
        <v>0.0</v>
      </c>
      <c r="N816" s="1">
        <v>1.0</v>
      </c>
      <c r="O816" s="1" t="s">
        <v>288</v>
      </c>
      <c r="P816" s="1" t="s">
        <v>25</v>
      </c>
      <c r="Q816" s="2" t="str">
        <f t="shared" si="1"/>
        <v>H019096</v>
      </c>
    </row>
    <row r="817">
      <c r="A817" s="1" t="s">
        <v>4149</v>
      </c>
      <c r="B817" s="1" t="s">
        <v>4150</v>
      </c>
      <c r="C817" s="1" t="s">
        <v>4151</v>
      </c>
      <c r="D817" s="1" t="s">
        <v>4152</v>
      </c>
      <c r="E817" s="1">
        <v>3505.0</v>
      </c>
      <c r="F817" s="1" t="s">
        <v>498</v>
      </c>
      <c r="G817" s="1" t="s">
        <v>220</v>
      </c>
      <c r="H817" s="1" t="s">
        <v>221</v>
      </c>
      <c r="I817" s="1" t="s">
        <v>1112</v>
      </c>
      <c r="J817" s="1"/>
      <c r="K817" s="1" t="s">
        <v>23</v>
      </c>
      <c r="L817" s="1" t="s">
        <v>4153</v>
      </c>
      <c r="M817" s="1">
        <v>0.0</v>
      </c>
      <c r="N817" s="1">
        <v>1.0</v>
      </c>
      <c r="O817" s="1" t="s">
        <v>498</v>
      </c>
      <c r="P817" s="1" t="s">
        <v>25</v>
      </c>
      <c r="Q817" s="2" t="str">
        <f t="shared" si="1"/>
        <v>H030173</v>
      </c>
    </row>
    <row r="818">
      <c r="A818" s="1" t="s">
        <v>4154</v>
      </c>
      <c r="B818" s="1" t="s">
        <v>4155</v>
      </c>
      <c r="C818" s="1" t="s">
        <v>4156</v>
      </c>
      <c r="D818" s="1" t="s">
        <v>4157</v>
      </c>
      <c r="E818" s="1">
        <v>3462.0</v>
      </c>
      <c r="F818" s="1" t="s">
        <v>498</v>
      </c>
      <c r="G818" s="1" t="s">
        <v>220</v>
      </c>
      <c r="H818" s="1" t="s">
        <v>221</v>
      </c>
      <c r="I818" s="1" t="s">
        <v>1112</v>
      </c>
      <c r="J818" s="1"/>
      <c r="K818" s="1" t="s">
        <v>23</v>
      </c>
      <c r="L818" s="1" t="s">
        <v>4158</v>
      </c>
      <c r="M818" s="1">
        <v>0.0</v>
      </c>
      <c r="N818" s="1">
        <v>1.0</v>
      </c>
      <c r="O818" s="1" t="s">
        <v>498</v>
      </c>
      <c r="P818" s="1" t="s">
        <v>25</v>
      </c>
      <c r="Q818" s="2" t="str">
        <f t="shared" si="1"/>
        <v>H030173</v>
      </c>
    </row>
    <row r="819">
      <c r="A819" s="1" t="s">
        <v>4159</v>
      </c>
      <c r="B819" s="1" t="s">
        <v>4160</v>
      </c>
      <c r="C819" s="1" t="s">
        <v>4161</v>
      </c>
      <c r="D819" s="1" t="s">
        <v>4162</v>
      </c>
      <c r="E819" s="1">
        <v>3736.0</v>
      </c>
      <c r="F819" s="1" t="s">
        <v>498</v>
      </c>
      <c r="G819" s="1" t="s">
        <v>167</v>
      </c>
      <c r="H819" s="1" t="s">
        <v>168</v>
      </c>
      <c r="I819" s="1" t="s">
        <v>1112</v>
      </c>
      <c r="J819" s="1"/>
      <c r="K819" s="1" t="s">
        <v>23</v>
      </c>
      <c r="L819" s="1" t="s">
        <v>4163</v>
      </c>
      <c r="M819" s="1">
        <v>0.0</v>
      </c>
      <c r="N819" s="1">
        <v>1.0</v>
      </c>
      <c r="O819" s="1" t="s">
        <v>498</v>
      </c>
      <c r="P819" s="1" t="s">
        <v>25</v>
      </c>
      <c r="Q819" s="2" t="str">
        <f t="shared" si="1"/>
        <v>H030173</v>
      </c>
    </row>
    <row r="820">
      <c r="A820" s="1" t="s">
        <v>4164</v>
      </c>
      <c r="B820" s="1" t="s">
        <v>4165</v>
      </c>
      <c r="C820" s="1" t="s">
        <v>4166</v>
      </c>
      <c r="D820" s="1" t="s">
        <v>4167</v>
      </c>
      <c r="E820" s="1">
        <v>5909.0</v>
      </c>
      <c r="F820" s="1" t="s">
        <v>498</v>
      </c>
      <c r="G820" s="1" t="s">
        <v>220</v>
      </c>
      <c r="H820" s="1" t="s">
        <v>221</v>
      </c>
      <c r="I820" s="1" t="s">
        <v>1112</v>
      </c>
      <c r="J820" s="1"/>
      <c r="K820" s="1" t="s">
        <v>23</v>
      </c>
      <c r="L820" s="1" t="s">
        <v>4168</v>
      </c>
      <c r="M820" s="1">
        <v>0.0</v>
      </c>
      <c r="N820" s="1">
        <v>1.0</v>
      </c>
      <c r="O820" s="1" t="s">
        <v>498</v>
      </c>
      <c r="P820" s="1" t="s">
        <v>25</v>
      </c>
      <c r="Q820" s="2" t="str">
        <f t="shared" si="1"/>
        <v>H030173</v>
      </c>
    </row>
    <row r="821">
      <c r="A821" s="1" t="s">
        <v>4169</v>
      </c>
      <c r="B821" s="1" t="s">
        <v>4170</v>
      </c>
      <c r="C821" s="1" t="s">
        <v>4171</v>
      </c>
      <c r="D821" s="1" t="s">
        <v>4172</v>
      </c>
      <c r="E821" s="1">
        <v>4472.0</v>
      </c>
      <c r="F821" s="1" t="s">
        <v>498</v>
      </c>
      <c r="G821" s="1" t="s">
        <v>220</v>
      </c>
      <c r="H821" s="1" t="s">
        <v>221</v>
      </c>
      <c r="I821" s="1" t="s">
        <v>1112</v>
      </c>
      <c r="J821" s="1"/>
      <c r="K821" s="1" t="s">
        <v>23</v>
      </c>
      <c r="L821" s="1" t="s">
        <v>4173</v>
      </c>
      <c r="M821" s="1">
        <v>0.0</v>
      </c>
      <c r="N821" s="1">
        <v>1.0</v>
      </c>
      <c r="O821" s="1" t="s">
        <v>498</v>
      </c>
      <c r="P821" s="1" t="s">
        <v>25</v>
      </c>
      <c r="Q821" s="2" t="str">
        <f t="shared" si="1"/>
        <v>H030173</v>
      </c>
    </row>
    <row r="822">
      <c r="A822" s="1" t="s">
        <v>4174</v>
      </c>
      <c r="B822" s="1" t="s">
        <v>4175</v>
      </c>
      <c r="C822" s="1" t="s">
        <v>4176</v>
      </c>
      <c r="D822" s="1" t="s">
        <v>4177</v>
      </c>
      <c r="E822" s="1">
        <v>3193.0</v>
      </c>
      <c r="F822" s="1" t="s">
        <v>288</v>
      </c>
      <c r="G822" s="1">
        <v>729375.0</v>
      </c>
      <c r="H822" s="1" t="s">
        <v>1050</v>
      </c>
      <c r="I822" s="1" t="s">
        <v>1051</v>
      </c>
      <c r="J822" s="1"/>
      <c r="K822" s="1" t="s">
        <v>23</v>
      </c>
      <c r="L822" s="1" t="s">
        <v>4178</v>
      </c>
      <c r="M822" s="1">
        <v>0.0</v>
      </c>
      <c r="N822" s="1">
        <v>1.0</v>
      </c>
      <c r="O822" s="1" t="s">
        <v>288</v>
      </c>
      <c r="P822" s="1" t="s">
        <v>25</v>
      </c>
      <c r="Q822" s="2" t="str">
        <f t="shared" si="1"/>
        <v>H019096</v>
      </c>
    </row>
    <row r="823">
      <c r="A823" s="1" t="s">
        <v>4179</v>
      </c>
      <c r="B823" s="1" t="s">
        <v>4180</v>
      </c>
      <c r="C823" s="1" t="s">
        <v>4181</v>
      </c>
      <c r="D823" s="1" t="s">
        <v>4182</v>
      </c>
      <c r="E823" s="1">
        <v>2928.0</v>
      </c>
      <c r="F823" s="1" t="s">
        <v>288</v>
      </c>
      <c r="G823" s="1">
        <v>729375.0</v>
      </c>
      <c r="H823" s="1" t="s">
        <v>1050</v>
      </c>
      <c r="I823" s="1" t="s">
        <v>1051</v>
      </c>
      <c r="J823" s="1"/>
      <c r="K823" s="1" t="s">
        <v>23</v>
      </c>
      <c r="L823" s="1" t="s">
        <v>4183</v>
      </c>
      <c r="M823" s="1">
        <v>0.0</v>
      </c>
      <c r="N823" s="1">
        <v>1.0</v>
      </c>
      <c r="O823" s="1" t="s">
        <v>288</v>
      </c>
      <c r="P823" s="1" t="s">
        <v>25</v>
      </c>
      <c r="Q823" s="2" t="str">
        <f t="shared" si="1"/>
        <v>H019096</v>
      </c>
    </row>
    <row r="824">
      <c r="A824" s="1" t="s">
        <v>4184</v>
      </c>
      <c r="B824" s="1" t="s">
        <v>4185</v>
      </c>
      <c r="C824" s="1" t="s">
        <v>4186</v>
      </c>
      <c r="D824" s="1" t="s">
        <v>4187</v>
      </c>
      <c r="E824" s="1">
        <v>3133.0</v>
      </c>
      <c r="F824" s="1" t="s">
        <v>351</v>
      </c>
      <c r="G824" s="1" t="s">
        <v>57</v>
      </c>
      <c r="H824" s="1" t="s">
        <v>58</v>
      </c>
      <c r="I824" s="1" t="s">
        <v>486</v>
      </c>
      <c r="J824" s="1"/>
      <c r="K824" s="1" t="s">
        <v>23</v>
      </c>
      <c r="L824" s="1" t="s">
        <v>4188</v>
      </c>
      <c r="M824" s="1">
        <v>0.0</v>
      </c>
      <c r="N824" s="1">
        <v>1.0</v>
      </c>
      <c r="O824" s="1" t="s">
        <v>351</v>
      </c>
      <c r="P824" s="1" t="s">
        <v>488</v>
      </c>
      <c r="Q824" s="2" t="str">
        <f t="shared" si="1"/>
        <v>H006719</v>
      </c>
    </row>
    <row r="825">
      <c r="A825" s="1" t="s">
        <v>4189</v>
      </c>
      <c r="B825" s="1" t="s">
        <v>4190</v>
      </c>
      <c r="C825" s="1" t="s">
        <v>4191</v>
      </c>
      <c r="D825" s="1" t="s">
        <v>4192</v>
      </c>
      <c r="E825" s="1">
        <v>3762.0</v>
      </c>
      <c r="F825" s="1" t="s">
        <v>351</v>
      </c>
      <c r="G825" s="1" t="s">
        <v>57</v>
      </c>
      <c r="H825" s="1" t="s">
        <v>58</v>
      </c>
      <c r="I825" s="1" t="s">
        <v>486</v>
      </c>
      <c r="J825" s="1"/>
      <c r="K825" s="1" t="s">
        <v>23</v>
      </c>
      <c r="L825" s="1" t="s">
        <v>4193</v>
      </c>
      <c r="M825" s="1">
        <v>0.0</v>
      </c>
      <c r="N825" s="1">
        <v>1.0</v>
      </c>
      <c r="O825" s="1" t="s">
        <v>351</v>
      </c>
      <c r="P825" s="1" t="s">
        <v>25</v>
      </c>
      <c r="Q825" s="2" t="str">
        <f t="shared" si="1"/>
        <v>H006719</v>
      </c>
    </row>
    <row r="826">
      <c r="A826" s="1" t="s">
        <v>4194</v>
      </c>
      <c r="B826" s="1" t="s">
        <v>4195</v>
      </c>
      <c r="C826" s="1" t="s">
        <v>4196</v>
      </c>
      <c r="D826" s="1" t="s">
        <v>4197</v>
      </c>
      <c r="E826" s="1">
        <v>4189.0</v>
      </c>
      <c r="F826" s="1" t="s">
        <v>351</v>
      </c>
      <c r="G826" s="1" t="s">
        <v>57</v>
      </c>
      <c r="H826" s="1" t="s">
        <v>58</v>
      </c>
      <c r="I826" s="1" t="s">
        <v>486</v>
      </c>
      <c r="J826" s="1"/>
      <c r="K826" s="1" t="s">
        <v>23</v>
      </c>
      <c r="L826" s="1" t="s">
        <v>4198</v>
      </c>
      <c r="M826" s="1">
        <v>0.0</v>
      </c>
      <c r="N826" s="1">
        <v>1.0</v>
      </c>
      <c r="O826" s="1" t="s">
        <v>351</v>
      </c>
      <c r="P826" s="1" t="s">
        <v>25</v>
      </c>
      <c r="Q826" s="2" t="str">
        <f t="shared" si="1"/>
        <v>H006719</v>
      </c>
    </row>
    <row r="827">
      <c r="A827" s="1" t="s">
        <v>4199</v>
      </c>
      <c r="B827" s="1" t="s">
        <v>4200</v>
      </c>
      <c r="C827" s="1" t="s">
        <v>4201</v>
      </c>
      <c r="D827" s="1" t="s">
        <v>4202</v>
      </c>
      <c r="E827" s="1">
        <v>3233.0</v>
      </c>
      <c r="F827" s="1" t="s">
        <v>351</v>
      </c>
      <c r="G827" s="1" t="s">
        <v>57</v>
      </c>
      <c r="H827" s="1" t="s">
        <v>58</v>
      </c>
      <c r="I827" s="1" t="s">
        <v>486</v>
      </c>
      <c r="J827" s="1"/>
      <c r="K827" s="1" t="s">
        <v>23</v>
      </c>
      <c r="L827" s="1" t="s">
        <v>4203</v>
      </c>
      <c r="M827" s="1">
        <v>0.0</v>
      </c>
      <c r="N827" s="1">
        <v>1.0</v>
      </c>
      <c r="O827" s="1" t="s">
        <v>351</v>
      </c>
      <c r="P827" s="1" t="s">
        <v>25</v>
      </c>
      <c r="Q827" s="2" t="str">
        <f t="shared" si="1"/>
        <v>H006719</v>
      </c>
    </row>
    <row r="828">
      <c r="A828" s="1" t="s">
        <v>4204</v>
      </c>
      <c r="B828" s="1" t="s">
        <v>4205</v>
      </c>
      <c r="C828" s="1" t="s">
        <v>4206</v>
      </c>
      <c r="D828" s="1" t="s">
        <v>4207</v>
      </c>
      <c r="E828" s="1">
        <v>2418.0</v>
      </c>
      <c r="F828" s="1" t="s">
        <v>382</v>
      </c>
      <c r="G828" s="1" t="s">
        <v>191</v>
      </c>
      <c r="H828" s="1" t="s">
        <v>192</v>
      </c>
      <c r="I828" s="1" t="s">
        <v>486</v>
      </c>
      <c r="J828" s="1"/>
      <c r="K828" s="1" t="s">
        <v>23</v>
      </c>
      <c r="L828" s="1" t="s">
        <v>4208</v>
      </c>
      <c r="M828" s="1">
        <v>3.0</v>
      </c>
      <c r="N828" s="1">
        <v>1.0</v>
      </c>
      <c r="O828" s="1" t="s">
        <v>382</v>
      </c>
      <c r="P828" s="1" t="s">
        <v>25</v>
      </c>
      <c r="Q828" s="2" t="str">
        <f t="shared" si="1"/>
        <v>H006248</v>
      </c>
    </row>
    <row r="829">
      <c r="A829" s="1" t="s">
        <v>4209</v>
      </c>
      <c r="B829" s="1" t="s">
        <v>4210</v>
      </c>
      <c r="C829" s="1" t="s">
        <v>4211</v>
      </c>
      <c r="D829" s="1" t="s">
        <v>4212</v>
      </c>
      <c r="E829" s="1">
        <v>2671.0</v>
      </c>
      <c r="F829" s="1" t="s">
        <v>382</v>
      </c>
      <c r="G829" s="1" t="s">
        <v>191</v>
      </c>
      <c r="H829" s="1" t="s">
        <v>192</v>
      </c>
      <c r="I829" s="1" t="s">
        <v>486</v>
      </c>
      <c r="J829" s="1"/>
      <c r="K829" s="1" t="s">
        <v>23</v>
      </c>
      <c r="L829" s="1" t="s">
        <v>4213</v>
      </c>
      <c r="M829" s="1">
        <v>3.0</v>
      </c>
      <c r="N829" s="1">
        <v>1.0</v>
      </c>
      <c r="O829" s="1" t="s">
        <v>382</v>
      </c>
      <c r="P829" s="1" t="s">
        <v>25</v>
      </c>
      <c r="Q829" s="2" t="str">
        <f t="shared" si="1"/>
        <v>H006248</v>
      </c>
    </row>
    <row r="830">
      <c r="A830" s="1" t="s">
        <v>4214</v>
      </c>
      <c r="B830" s="1" t="s">
        <v>4215</v>
      </c>
      <c r="C830" s="1" t="s">
        <v>4216</v>
      </c>
      <c r="D830" s="1" t="s">
        <v>4217</v>
      </c>
      <c r="E830" s="1">
        <v>2829.0</v>
      </c>
      <c r="F830" s="1" t="s">
        <v>382</v>
      </c>
      <c r="G830" s="1" t="s">
        <v>191</v>
      </c>
      <c r="H830" s="1" t="s">
        <v>192</v>
      </c>
      <c r="I830" s="1" t="s">
        <v>486</v>
      </c>
      <c r="J830" s="1"/>
      <c r="K830" s="1" t="s">
        <v>23</v>
      </c>
      <c r="L830" s="1" t="s">
        <v>4218</v>
      </c>
      <c r="M830" s="1">
        <v>3.0</v>
      </c>
      <c r="N830" s="1">
        <v>1.0</v>
      </c>
      <c r="O830" s="1" t="s">
        <v>382</v>
      </c>
      <c r="P830" s="1" t="s">
        <v>25</v>
      </c>
      <c r="Q830" s="2" t="str">
        <f t="shared" si="1"/>
        <v>H006248</v>
      </c>
    </row>
    <row r="831">
      <c r="A831" s="1" t="s">
        <v>4219</v>
      </c>
      <c r="B831" s="1" t="s">
        <v>4220</v>
      </c>
      <c r="C831" s="1" t="s">
        <v>4221</v>
      </c>
      <c r="D831" s="1" t="s">
        <v>4222</v>
      </c>
      <c r="E831" s="1">
        <v>3352.0</v>
      </c>
      <c r="F831" s="1" t="s">
        <v>351</v>
      </c>
      <c r="G831" s="1" t="s">
        <v>260</v>
      </c>
      <c r="H831" s="1" t="s">
        <v>261</v>
      </c>
      <c r="I831" s="1" t="s">
        <v>486</v>
      </c>
      <c r="J831" s="1"/>
      <c r="K831" s="1" t="s">
        <v>23</v>
      </c>
      <c r="L831" s="1" t="s">
        <v>4223</v>
      </c>
      <c r="M831" s="1">
        <v>0.0</v>
      </c>
      <c r="N831" s="1">
        <v>1.0</v>
      </c>
      <c r="O831" s="1" t="s">
        <v>351</v>
      </c>
      <c r="P831" s="1" t="s">
        <v>25</v>
      </c>
      <c r="Q831" s="2" t="str">
        <f t="shared" si="1"/>
        <v>H006719</v>
      </c>
    </row>
    <row r="832">
      <c r="A832" s="1" t="s">
        <v>4224</v>
      </c>
      <c r="B832" s="1" t="s">
        <v>4225</v>
      </c>
      <c r="C832" s="1" t="s">
        <v>4226</v>
      </c>
      <c r="D832" s="1" t="s">
        <v>4227</v>
      </c>
      <c r="E832" s="1">
        <v>5750.0</v>
      </c>
      <c r="F832" s="1" t="s">
        <v>351</v>
      </c>
      <c r="G832" s="1" t="s">
        <v>260</v>
      </c>
      <c r="H832" s="1" t="s">
        <v>261</v>
      </c>
      <c r="I832" s="1" t="s">
        <v>486</v>
      </c>
      <c r="J832" s="1"/>
      <c r="K832" s="1" t="s">
        <v>23</v>
      </c>
      <c r="L832" s="1" t="s">
        <v>4228</v>
      </c>
      <c r="M832" s="1">
        <v>0.0</v>
      </c>
      <c r="N832" s="1">
        <v>1.0</v>
      </c>
      <c r="O832" s="1" t="s">
        <v>351</v>
      </c>
      <c r="P832" s="1" t="s">
        <v>25</v>
      </c>
      <c r="Q832" s="2" t="str">
        <f t="shared" si="1"/>
        <v>H006719</v>
      </c>
    </row>
    <row r="833">
      <c r="A833" s="1" t="s">
        <v>4229</v>
      </c>
      <c r="B833" s="1" t="s">
        <v>4230</v>
      </c>
      <c r="C833" s="1" t="s">
        <v>4231</v>
      </c>
      <c r="D833" s="1" t="s">
        <v>4232</v>
      </c>
      <c r="E833" s="1">
        <v>3303.0</v>
      </c>
      <c r="F833" s="1" t="s">
        <v>351</v>
      </c>
      <c r="G833" s="1" t="s">
        <v>57</v>
      </c>
      <c r="H833" s="1" t="s">
        <v>58</v>
      </c>
      <c r="I833" s="1" t="s">
        <v>486</v>
      </c>
      <c r="J833" s="1"/>
      <c r="K833" s="1" t="s">
        <v>23</v>
      </c>
      <c r="L833" s="1" t="s">
        <v>4233</v>
      </c>
      <c r="M833" s="1">
        <v>0.0</v>
      </c>
      <c r="N833" s="1">
        <v>1.0</v>
      </c>
      <c r="O833" s="1" t="s">
        <v>351</v>
      </c>
      <c r="P833" s="1" t="s">
        <v>488</v>
      </c>
      <c r="Q833" s="2" t="str">
        <f t="shared" si="1"/>
        <v>H006719</v>
      </c>
    </row>
    <row r="834">
      <c r="A834" s="1" t="s">
        <v>4234</v>
      </c>
      <c r="B834" s="1" t="s">
        <v>4235</v>
      </c>
      <c r="C834" s="1" t="s">
        <v>4236</v>
      </c>
      <c r="D834" s="1" t="s">
        <v>4237</v>
      </c>
      <c r="E834" s="1">
        <v>4363.0</v>
      </c>
      <c r="F834" s="1" t="s">
        <v>351</v>
      </c>
      <c r="G834" s="1" t="s">
        <v>260</v>
      </c>
      <c r="H834" s="1" t="s">
        <v>261</v>
      </c>
      <c r="I834" s="1" t="s">
        <v>486</v>
      </c>
      <c r="J834" s="1"/>
      <c r="K834" s="1" t="s">
        <v>23</v>
      </c>
      <c r="L834" s="1" t="s">
        <v>4238</v>
      </c>
      <c r="M834" s="1">
        <v>0.0</v>
      </c>
      <c r="N834" s="1">
        <v>1.0</v>
      </c>
      <c r="O834" s="1" t="s">
        <v>351</v>
      </c>
      <c r="P834" s="1" t="s">
        <v>25</v>
      </c>
      <c r="Q834" s="2" t="str">
        <f t="shared" si="1"/>
        <v>H006719</v>
      </c>
    </row>
    <row r="835">
      <c r="A835" s="1" t="s">
        <v>4239</v>
      </c>
      <c r="B835" s="1" t="s">
        <v>4240</v>
      </c>
      <c r="C835" s="1" t="s">
        <v>4241</v>
      </c>
      <c r="D835" s="1" t="s">
        <v>4242</v>
      </c>
      <c r="E835" s="1">
        <v>30.0</v>
      </c>
      <c r="F835" s="1" t="s">
        <v>351</v>
      </c>
      <c r="G835" s="1" t="s">
        <v>260</v>
      </c>
      <c r="H835" s="1" t="s">
        <v>261</v>
      </c>
      <c r="I835" s="1" t="s">
        <v>486</v>
      </c>
      <c r="J835" s="1"/>
      <c r="K835" s="1" t="s">
        <v>23</v>
      </c>
      <c r="L835" s="1" t="s">
        <v>4243</v>
      </c>
      <c r="M835" s="1">
        <v>0.0</v>
      </c>
      <c r="N835" s="1">
        <v>0.0</v>
      </c>
      <c r="O835" s="1" t="s">
        <v>351</v>
      </c>
      <c r="P835" s="1" t="s">
        <v>25</v>
      </c>
      <c r="Q835" s="2" t="str">
        <f t="shared" si="1"/>
        <v>H006719</v>
      </c>
    </row>
    <row r="836">
      <c r="A836" s="1" t="s">
        <v>4244</v>
      </c>
      <c r="B836" s="1" t="s">
        <v>4245</v>
      </c>
      <c r="C836" s="1" t="s">
        <v>4246</v>
      </c>
      <c r="D836" s="1" t="s">
        <v>4247</v>
      </c>
      <c r="E836" s="1">
        <v>2787.0</v>
      </c>
      <c r="F836" s="1" t="s">
        <v>382</v>
      </c>
      <c r="G836" s="1" t="s">
        <v>474</v>
      </c>
      <c r="H836" s="1" t="s">
        <v>475</v>
      </c>
      <c r="I836" s="1" t="s">
        <v>486</v>
      </c>
      <c r="J836" s="1"/>
      <c r="K836" s="1" t="s">
        <v>23</v>
      </c>
      <c r="L836" s="1" t="s">
        <v>4248</v>
      </c>
      <c r="M836" s="1">
        <v>3.0</v>
      </c>
      <c r="N836" s="1">
        <v>1.0</v>
      </c>
      <c r="O836" s="1" t="s">
        <v>382</v>
      </c>
      <c r="P836" s="1" t="s">
        <v>25</v>
      </c>
      <c r="Q836" s="2" t="str">
        <f t="shared" si="1"/>
        <v>H006248</v>
      </c>
    </row>
    <row r="837">
      <c r="A837" s="1" t="s">
        <v>4249</v>
      </c>
      <c r="B837" s="1" t="s">
        <v>4250</v>
      </c>
      <c r="C837" s="1" t="s">
        <v>4251</v>
      </c>
      <c r="D837" s="1" t="s">
        <v>4252</v>
      </c>
      <c r="E837" s="1">
        <v>4670.0</v>
      </c>
      <c r="F837" s="1" t="s">
        <v>382</v>
      </c>
      <c r="G837" s="1" t="s">
        <v>474</v>
      </c>
      <c r="H837" s="1" t="s">
        <v>475</v>
      </c>
      <c r="I837" s="1" t="s">
        <v>486</v>
      </c>
      <c r="J837" s="1"/>
      <c r="K837" s="1" t="s">
        <v>23</v>
      </c>
      <c r="L837" s="1" t="s">
        <v>4253</v>
      </c>
      <c r="M837" s="1">
        <v>3.0</v>
      </c>
      <c r="N837" s="1">
        <v>1.0</v>
      </c>
      <c r="O837" s="1" t="s">
        <v>382</v>
      </c>
      <c r="P837" s="1" t="s">
        <v>25</v>
      </c>
      <c r="Q837" s="2" t="str">
        <f t="shared" si="1"/>
        <v>H006248</v>
      </c>
    </row>
    <row r="838">
      <c r="A838" s="1" t="s">
        <v>4254</v>
      </c>
      <c r="B838" s="1" t="s">
        <v>4255</v>
      </c>
      <c r="C838" s="1" t="s">
        <v>4256</v>
      </c>
      <c r="D838" s="1" t="s">
        <v>4257</v>
      </c>
      <c r="E838" s="1">
        <v>2895.0</v>
      </c>
      <c r="F838" s="1" t="s">
        <v>398</v>
      </c>
      <c r="G838" s="1" t="s">
        <v>155</v>
      </c>
      <c r="H838" s="1" t="s">
        <v>156</v>
      </c>
      <c r="I838" s="1" t="s">
        <v>1112</v>
      </c>
      <c r="J838" s="1"/>
      <c r="K838" s="1" t="s">
        <v>23</v>
      </c>
      <c r="L838" s="1" t="s">
        <v>4258</v>
      </c>
      <c r="M838" s="1">
        <v>2.0</v>
      </c>
      <c r="N838" s="1">
        <v>1.0</v>
      </c>
      <c r="O838" s="1" t="s">
        <v>398</v>
      </c>
      <c r="P838" s="1" t="s">
        <v>25</v>
      </c>
      <c r="Q838" s="2" t="str">
        <f t="shared" si="1"/>
        <v>H030160</v>
      </c>
    </row>
    <row r="839">
      <c r="A839" s="1" t="s">
        <v>4259</v>
      </c>
      <c r="B839" s="1" t="s">
        <v>4260</v>
      </c>
      <c r="C839" s="1" t="s">
        <v>4261</v>
      </c>
      <c r="D839" s="1" t="s">
        <v>4262</v>
      </c>
      <c r="E839" s="1">
        <v>2873.0</v>
      </c>
      <c r="F839" s="1" t="s">
        <v>398</v>
      </c>
      <c r="G839" s="1" t="s">
        <v>155</v>
      </c>
      <c r="H839" s="1" t="s">
        <v>156</v>
      </c>
      <c r="I839" s="1" t="s">
        <v>1112</v>
      </c>
      <c r="J839" s="1"/>
      <c r="K839" s="1" t="s">
        <v>23</v>
      </c>
      <c r="L839" s="1" t="s">
        <v>4263</v>
      </c>
      <c r="M839" s="1">
        <v>2.0</v>
      </c>
      <c r="N839" s="1">
        <v>1.0</v>
      </c>
      <c r="O839" s="1" t="s">
        <v>398</v>
      </c>
      <c r="P839" s="1" t="s">
        <v>25</v>
      </c>
      <c r="Q839" s="2" t="str">
        <f t="shared" si="1"/>
        <v>H030160</v>
      </c>
    </row>
    <row r="840">
      <c r="A840" s="1" t="s">
        <v>4264</v>
      </c>
      <c r="B840" s="1" t="s">
        <v>4265</v>
      </c>
      <c r="C840" s="1" t="s">
        <v>4266</v>
      </c>
      <c r="D840" s="1" t="s">
        <v>4267</v>
      </c>
      <c r="E840" s="1">
        <v>5235.0</v>
      </c>
      <c r="F840" s="1" t="s">
        <v>398</v>
      </c>
      <c r="G840" s="1" t="s">
        <v>155</v>
      </c>
      <c r="H840" s="1" t="s">
        <v>156</v>
      </c>
      <c r="I840" s="1" t="s">
        <v>1112</v>
      </c>
      <c r="J840" s="1"/>
      <c r="K840" s="1" t="s">
        <v>23</v>
      </c>
      <c r="L840" s="1" t="s">
        <v>4268</v>
      </c>
      <c r="M840" s="1">
        <v>2.0</v>
      </c>
      <c r="N840" s="1">
        <v>1.0</v>
      </c>
      <c r="O840" s="1" t="s">
        <v>398</v>
      </c>
      <c r="P840" s="1" t="s">
        <v>25</v>
      </c>
      <c r="Q840" s="2" t="str">
        <f t="shared" si="1"/>
        <v>H030160</v>
      </c>
    </row>
    <row r="841">
      <c r="A841" s="1" t="s">
        <v>4269</v>
      </c>
      <c r="B841" s="1" t="s">
        <v>4270</v>
      </c>
      <c r="C841" s="1" t="s">
        <v>4271</v>
      </c>
      <c r="D841" s="1" t="s">
        <v>4272</v>
      </c>
      <c r="E841" s="1">
        <v>43.0</v>
      </c>
      <c r="F841" s="1" t="s">
        <v>498</v>
      </c>
      <c r="G841" s="1" t="s">
        <v>220</v>
      </c>
      <c r="H841" s="1" t="s">
        <v>221</v>
      </c>
      <c r="I841" s="1" t="s">
        <v>1112</v>
      </c>
      <c r="J841" s="1"/>
      <c r="K841" s="1" t="s">
        <v>23</v>
      </c>
      <c r="L841" s="1" t="s">
        <v>4273</v>
      </c>
      <c r="M841" s="1">
        <v>0.0</v>
      </c>
      <c r="N841" s="1">
        <v>0.0</v>
      </c>
      <c r="O841" s="1" t="s">
        <v>498</v>
      </c>
      <c r="P841" s="1" t="s">
        <v>25</v>
      </c>
      <c r="Q841" s="2" t="str">
        <f t="shared" si="1"/>
        <v>H030173</v>
      </c>
    </row>
    <row r="842">
      <c r="A842" s="1" t="s">
        <v>4274</v>
      </c>
      <c r="B842" s="1" t="s">
        <v>4275</v>
      </c>
      <c r="C842" s="1" t="s">
        <v>4276</v>
      </c>
      <c r="D842" s="1" t="s">
        <v>4277</v>
      </c>
      <c r="E842" s="1">
        <v>3937.0</v>
      </c>
      <c r="F842" s="1" t="s">
        <v>498</v>
      </c>
      <c r="G842" s="1" t="s">
        <v>167</v>
      </c>
      <c r="H842" s="1" t="s">
        <v>168</v>
      </c>
      <c r="I842" s="1" t="s">
        <v>1112</v>
      </c>
      <c r="J842" s="1"/>
      <c r="K842" s="1" t="s">
        <v>23</v>
      </c>
      <c r="L842" s="1" t="s">
        <v>4278</v>
      </c>
      <c r="M842" s="1">
        <v>0.0</v>
      </c>
      <c r="N842" s="1">
        <v>1.0</v>
      </c>
      <c r="O842" s="1" t="s">
        <v>498</v>
      </c>
      <c r="P842" s="1" t="s">
        <v>25</v>
      </c>
      <c r="Q842" s="2" t="str">
        <f t="shared" si="1"/>
        <v>H030173</v>
      </c>
    </row>
    <row r="843">
      <c r="A843" s="1" t="s">
        <v>4279</v>
      </c>
      <c r="B843" s="1" t="s">
        <v>4280</v>
      </c>
      <c r="C843" s="1" t="s">
        <v>4281</v>
      </c>
      <c r="D843" s="1" t="s">
        <v>4282</v>
      </c>
      <c r="E843" s="1">
        <v>3844.0</v>
      </c>
      <c r="F843" s="1" t="s">
        <v>498</v>
      </c>
      <c r="G843" s="1" t="s">
        <v>167</v>
      </c>
      <c r="H843" s="1" t="s">
        <v>168</v>
      </c>
      <c r="I843" s="1" t="s">
        <v>1112</v>
      </c>
      <c r="J843" s="1"/>
      <c r="K843" s="1" t="s">
        <v>23</v>
      </c>
      <c r="L843" s="1" t="s">
        <v>4283</v>
      </c>
      <c r="M843" s="1">
        <v>0.0</v>
      </c>
      <c r="N843" s="1">
        <v>1.0</v>
      </c>
      <c r="O843" s="1" t="s">
        <v>498</v>
      </c>
      <c r="P843" s="1" t="s">
        <v>25</v>
      </c>
      <c r="Q843" s="2" t="str">
        <f t="shared" si="1"/>
        <v>H030173</v>
      </c>
    </row>
    <row r="844">
      <c r="A844" s="1" t="s">
        <v>4284</v>
      </c>
      <c r="B844" s="1" t="s">
        <v>4285</v>
      </c>
      <c r="C844" s="1" t="s">
        <v>4286</v>
      </c>
      <c r="D844" s="1" t="s">
        <v>4287</v>
      </c>
      <c r="E844" s="1">
        <v>4017.0</v>
      </c>
      <c r="F844" s="1" t="s">
        <v>498</v>
      </c>
      <c r="G844" s="1" t="s">
        <v>220</v>
      </c>
      <c r="H844" s="1" t="s">
        <v>221</v>
      </c>
      <c r="I844" s="1" t="s">
        <v>1112</v>
      </c>
      <c r="J844" s="1"/>
      <c r="K844" s="1" t="s">
        <v>23</v>
      </c>
      <c r="L844" s="1" t="s">
        <v>4288</v>
      </c>
      <c r="M844" s="1">
        <v>0.0</v>
      </c>
      <c r="N844" s="1">
        <v>1.0</v>
      </c>
      <c r="O844" s="1" t="s">
        <v>498</v>
      </c>
      <c r="P844" s="1" t="s">
        <v>25</v>
      </c>
      <c r="Q844" s="2" t="str">
        <f t="shared" si="1"/>
        <v>H030173</v>
      </c>
    </row>
    <row r="845">
      <c r="A845" s="1" t="s">
        <v>4289</v>
      </c>
      <c r="B845" s="1" t="s">
        <v>4290</v>
      </c>
      <c r="C845" s="1" t="s">
        <v>4291</v>
      </c>
      <c r="D845" s="1" t="s">
        <v>4292</v>
      </c>
      <c r="E845" s="1">
        <v>2658.0</v>
      </c>
      <c r="F845" s="1" t="s">
        <v>498</v>
      </c>
      <c r="G845" s="1" t="s">
        <v>167</v>
      </c>
      <c r="H845" s="1" t="s">
        <v>168</v>
      </c>
      <c r="I845" s="1" t="s">
        <v>1112</v>
      </c>
      <c r="J845" s="1"/>
      <c r="K845" s="1" t="s">
        <v>23</v>
      </c>
      <c r="L845" s="1" t="s">
        <v>4293</v>
      </c>
      <c r="M845" s="1">
        <v>0.0</v>
      </c>
      <c r="N845" s="1">
        <v>1.0</v>
      </c>
      <c r="O845" s="1" t="s">
        <v>498</v>
      </c>
      <c r="P845" s="1" t="s">
        <v>25</v>
      </c>
      <c r="Q845" s="2" t="str">
        <f t="shared" si="1"/>
        <v>H030173</v>
      </c>
    </row>
    <row r="846">
      <c r="A846" s="1" t="s">
        <v>4294</v>
      </c>
      <c r="B846" s="1" t="s">
        <v>4295</v>
      </c>
      <c r="C846" s="1" t="s">
        <v>4296</v>
      </c>
      <c r="D846" s="1" t="s">
        <v>4297</v>
      </c>
      <c r="E846" s="1">
        <v>7288.0</v>
      </c>
      <c r="F846" s="1" t="s">
        <v>498</v>
      </c>
      <c r="G846" s="1" t="s">
        <v>167</v>
      </c>
      <c r="H846" s="1" t="s">
        <v>168</v>
      </c>
      <c r="I846" s="1" t="s">
        <v>1112</v>
      </c>
      <c r="J846" s="1"/>
      <c r="K846" s="1" t="s">
        <v>23</v>
      </c>
      <c r="L846" s="1" t="s">
        <v>4298</v>
      </c>
      <c r="M846" s="1">
        <v>0.0</v>
      </c>
      <c r="N846" s="1">
        <v>1.0</v>
      </c>
      <c r="O846" s="1" t="s">
        <v>498</v>
      </c>
      <c r="P846" s="1" t="s">
        <v>25</v>
      </c>
      <c r="Q846" s="2" t="str">
        <f t="shared" si="1"/>
        <v>H030173</v>
      </c>
    </row>
    <row r="847">
      <c r="A847" s="1" t="s">
        <v>4299</v>
      </c>
      <c r="B847" s="1" t="s">
        <v>4300</v>
      </c>
      <c r="C847" s="1" t="s">
        <v>4301</v>
      </c>
      <c r="D847" s="1" t="s">
        <v>4302</v>
      </c>
      <c r="E847" s="1">
        <v>3648.0</v>
      </c>
      <c r="F847" s="1" t="s">
        <v>398</v>
      </c>
      <c r="G847" s="1" t="s">
        <v>232</v>
      </c>
      <c r="H847" s="1" t="s">
        <v>233</v>
      </c>
      <c r="I847" s="1" t="s">
        <v>1112</v>
      </c>
      <c r="J847" s="1"/>
      <c r="K847" s="1" t="s">
        <v>23</v>
      </c>
      <c r="L847" s="1" t="s">
        <v>4303</v>
      </c>
      <c r="M847" s="1">
        <v>0.0</v>
      </c>
      <c r="N847" s="1">
        <v>1.0</v>
      </c>
      <c r="O847" s="1" t="s">
        <v>398</v>
      </c>
      <c r="P847" s="1" t="s">
        <v>25</v>
      </c>
      <c r="Q847" s="2" t="str">
        <f t="shared" si="1"/>
        <v>H030792</v>
      </c>
    </row>
    <row r="848">
      <c r="A848" s="1" t="s">
        <v>4304</v>
      </c>
      <c r="B848" s="1" t="s">
        <v>4305</v>
      </c>
      <c r="C848" s="1" t="s">
        <v>4306</v>
      </c>
      <c r="D848" s="1" t="s">
        <v>4307</v>
      </c>
      <c r="E848" s="1">
        <v>3970.0</v>
      </c>
      <c r="F848" s="1" t="s">
        <v>398</v>
      </c>
      <c r="G848" s="1" t="s">
        <v>232</v>
      </c>
      <c r="H848" s="1" t="s">
        <v>233</v>
      </c>
      <c r="I848" s="1" t="s">
        <v>1112</v>
      </c>
      <c r="J848" s="1"/>
      <c r="K848" s="1" t="s">
        <v>23</v>
      </c>
      <c r="L848" s="1" t="s">
        <v>4308</v>
      </c>
      <c r="M848" s="1">
        <v>0.0</v>
      </c>
      <c r="N848" s="1">
        <v>1.0</v>
      </c>
      <c r="O848" s="1" t="s">
        <v>398</v>
      </c>
      <c r="P848" s="1" t="s">
        <v>25</v>
      </c>
      <c r="Q848" s="2" t="str">
        <f t="shared" si="1"/>
        <v>H030792</v>
      </c>
    </row>
    <row r="849">
      <c r="A849" s="1" t="s">
        <v>4309</v>
      </c>
      <c r="B849" s="1" t="s">
        <v>4310</v>
      </c>
      <c r="C849" s="1" t="s">
        <v>4311</v>
      </c>
      <c r="D849" s="1" t="s">
        <v>4312</v>
      </c>
      <c r="E849" s="1">
        <v>5235.0</v>
      </c>
      <c r="F849" s="1" t="s">
        <v>398</v>
      </c>
      <c r="G849" s="1" t="s">
        <v>232</v>
      </c>
      <c r="H849" s="1" t="s">
        <v>233</v>
      </c>
      <c r="I849" s="1" t="s">
        <v>1112</v>
      </c>
      <c r="J849" s="1"/>
      <c r="K849" s="1" t="s">
        <v>23</v>
      </c>
      <c r="L849" s="1" t="s">
        <v>4313</v>
      </c>
      <c r="M849" s="1">
        <v>0.0</v>
      </c>
      <c r="N849" s="1">
        <v>1.0</v>
      </c>
      <c r="O849" s="1" t="s">
        <v>398</v>
      </c>
      <c r="P849" s="1" t="s">
        <v>25</v>
      </c>
      <c r="Q849" s="2" t="str">
        <f t="shared" si="1"/>
        <v>H030792</v>
      </c>
    </row>
    <row r="850">
      <c r="A850" s="1" t="s">
        <v>4314</v>
      </c>
      <c r="B850" s="1" t="s">
        <v>4315</v>
      </c>
      <c r="C850" s="1" t="s">
        <v>4316</v>
      </c>
      <c r="D850" s="1" t="s">
        <v>4317</v>
      </c>
      <c r="E850" s="1">
        <v>3998.0</v>
      </c>
      <c r="F850" s="1" t="s">
        <v>398</v>
      </c>
      <c r="G850" s="1" t="s">
        <v>232</v>
      </c>
      <c r="H850" s="1" t="s">
        <v>233</v>
      </c>
      <c r="I850" s="1" t="s">
        <v>1112</v>
      </c>
      <c r="J850" s="1"/>
      <c r="K850" s="1" t="s">
        <v>23</v>
      </c>
      <c r="L850" s="1" t="s">
        <v>4318</v>
      </c>
      <c r="M850" s="1">
        <v>0.0</v>
      </c>
      <c r="N850" s="1">
        <v>1.0</v>
      </c>
      <c r="O850" s="1" t="s">
        <v>398</v>
      </c>
      <c r="P850" s="1" t="s">
        <v>25</v>
      </c>
      <c r="Q850" s="2" t="str">
        <f t="shared" si="1"/>
        <v>H030792</v>
      </c>
    </row>
    <row r="851">
      <c r="A851" s="1" t="s">
        <v>4319</v>
      </c>
      <c r="B851" s="1" t="s">
        <v>4320</v>
      </c>
      <c r="C851" s="1" t="s">
        <v>4321</v>
      </c>
      <c r="D851" s="1" t="s">
        <v>4322</v>
      </c>
      <c r="E851" s="1">
        <v>4459.0</v>
      </c>
      <c r="F851" s="1" t="s">
        <v>398</v>
      </c>
      <c r="G851" s="1" t="s">
        <v>179</v>
      </c>
      <c r="H851" s="1" t="s">
        <v>180</v>
      </c>
      <c r="I851" s="1" t="s">
        <v>1112</v>
      </c>
      <c r="J851" s="1"/>
      <c r="K851" s="1" t="s">
        <v>23</v>
      </c>
      <c r="L851" s="1" t="s">
        <v>4323</v>
      </c>
      <c r="M851" s="1">
        <v>0.0</v>
      </c>
      <c r="N851" s="1">
        <v>1.0</v>
      </c>
      <c r="O851" s="1" t="s">
        <v>398</v>
      </c>
      <c r="P851" s="1" t="s">
        <v>25</v>
      </c>
      <c r="Q851" s="2" t="str">
        <f t="shared" si="1"/>
        <v>H030792</v>
      </c>
    </row>
    <row r="852">
      <c r="A852" s="1" t="s">
        <v>4324</v>
      </c>
      <c r="B852" s="1" t="s">
        <v>4325</v>
      </c>
      <c r="C852" s="1" t="s">
        <v>4326</v>
      </c>
      <c r="D852" s="1" t="s">
        <v>4327</v>
      </c>
      <c r="E852" s="1">
        <v>4514.0</v>
      </c>
      <c r="F852" s="1" t="s">
        <v>398</v>
      </c>
      <c r="G852" s="1" t="s">
        <v>179</v>
      </c>
      <c r="H852" s="1" t="s">
        <v>180</v>
      </c>
      <c r="I852" s="1" t="s">
        <v>1112</v>
      </c>
      <c r="J852" s="1"/>
      <c r="K852" s="1" t="s">
        <v>23</v>
      </c>
      <c r="L852" s="1" t="s">
        <v>4328</v>
      </c>
      <c r="M852" s="1">
        <v>0.0</v>
      </c>
      <c r="N852" s="1">
        <v>1.0</v>
      </c>
      <c r="O852" s="1" t="s">
        <v>398</v>
      </c>
      <c r="P852" s="1" t="s">
        <v>25</v>
      </c>
      <c r="Q852" s="2" t="str">
        <f t="shared" si="1"/>
        <v>H030792</v>
      </c>
    </row>
    <row r="853">
      <c r="A853" s="1" t="s">
        <v>4329</v>
      </c>
      <c r="B853" s="1" t="s">
        <v>4330</v>
      </c>
      <c r="C853" s="1" t="s">
        <v>4331</v>
      </c>
      <c r="D853" s="1" t="s">
        <v>4332</v>
      </c>
      <c r="E853" s="1">
        <v>6335.0</v>
      </c>
      <c r="F853" s="1" t="s">
        <v>398</v>
      </c>
      <c r="G853" s="1" t="s">
        <v>179</v>
      </c>
      <c r="H853" s="1" t="s">
        <v>180</v>
      </c>
      <c r="I853" s="1" t="s">
        <v>1112</v>
      </c>
      <c r="J853" s="1"/>
      <c r="K853" s="1" t="s">
        <v>23</v>
      </c>
      <c r="L853" s="1" t="s">
        <v>4333</v>
      </c>
      <c r="M853" s="1">
        <v>0.0</v>
      </c>
      <c r="N853" s="1">
        <v>1.0</v>
      </c>
      <c r="O853" s="1" t="s">
        <v>398</v>
      </c>
      <c r="P853" s="1" t="s">
        <v>25</v>
      </c>
      <c r="Q853" s="2" t="str">
        <f t="shared" si="1"/>
        <v>H030792</v>
      </c>
    </row>
    <row r="854">
      <c r="A854" s="1" t="s">
        <v>4334</v>
      </c>
      <c r="B854" s="1" t="s">
        <v>4335</v>
      </c>
      <c r="C854" s="1" t="s">
        <v>4336</v>
      </c>
      <c r="D854" s="1" t="s">
        <v>4337</v>
      </c>
      <c r="E854" s="1">
        <v>2858.0</v>
      </c>
      <c r="F854" s="1" t="s">
        <v>498</v>
      </c>
      <c r="G854" s="1" t="s">
        <v>132</v>
      </c>
      <c r="H854" s="1" t="s">
        <v>133</v>
      </c>
      <c r="I854" s="1" t="s">
        <v>1112</v>
      </c>
      <c r="J854" s="1"/>
      <c r="K854" s="1" t="s">
        <v>23</v>
      </c>
      <c r="L854" s="1" t="s">
        <v>4338</v>
      </c>
      <c r="M854" s="1">
        <v>3.0</v>
      </c>
      <c r="N854" s="1">
        <v>1.0</v>
      </c>
      <c r="O854" s="1" t="s">
        <v>498</v>
      </c>
      <c r="P854" s="1" t="s">
        <v>25</v>
      </c>
      <c r="Q854" s="2" t="str">
        <f t="shared" si="1"/>
        <v>H030764</v>
      </c>
    </row>
    <row r="855">
      <c r="A855" s="1" t="s">
        <v>4339</v>
      </c>
      <c r="B855" s="1" t="s">
        <v>4340</v>
      </c>
      <c r="C855" s="1" t="s">
        <v>4341</v>
      </c>
      <c r="D855" s="1" t="s">
        <v>4342</v>
      </c>
      <c r="E855" s="1">
        <v>3838.0</v>
      </c>
      <c r="F855" s="1" t="s">
        <v>382</v>
      </c>
      <c r="G855" s="1" t="s">
        <v>107</v>
      </c>
      <c r="H855" s="1" t="s">
        <v>108</v>
      </c>
      <c r="I855" s="1" t="s">
        <v>486</v>
      </c>
      <c r="J855" s="1"/>
      <c r="K855" s="1" t="s">
        <v>23</v>
      </c>
      <c r="L855" s="1" t="s">
        <v>4343</v>
      </c>
      <c r="M855" s="1">
        <v>3.0</v>
      </c>
      <c r="N855" s="1">
        <v>1.0</v>
      </c>
      <c r="O855" s="1" t="s">
        <v>382</v>
      </c>
      <c r="P855" s="1" t="s">
        <v>25</v>
      </c>
      <c r="Q855" s="2" t="str">
        <f t="shared" si="1"/>
        <v>H006248</v>
      </c>
    </row>
    <row r="856">
      <c r="A856" s="1" t="s">
        <v>4344</v>
      </c>
      <c r="B856" s="1" t="s">
        <v>4345</v>
      </c>
      <c r="C856" s="1" t="s">
        <v>4346</v>
      </c>
      <c r="D856" s="1" t="s">
        <v>4347</v>
      </c>
      <c r="E856" s="1">
        <v>3694.0</v>
      </c>
      <c r="F856" s="1" t="s">
        <v>382</v>
      </c>
      <c r="G856" s="1" t="s">
        <v>107</v>
      </c>
      <c r="H856" s="1" t="s">
        <v>108</v>
      </c>
      <c r="I856" s="1" t="s">
        <v>486</v>
      </c>
      <c r="J856" s="1"/>
      <c r="K856" s="1" t="s">
        <v>23</v>
      </c>
      <c r="L856" s="1" t="s">
        <v>4348</v>
      </c>
      <c r="M856" s="1">
        <v>3.0</v>
      </c>
      <c r="N856" s="1">
        <v>1.0</v>
      </c>
      <c r="O856" s="1" t="s">
        <v>382</v>
      </c>
      <c r="P856" s="1" t="s">
        <v>25</v>
      </c>
      <c r="Q856" s="2" t="str">
        <f t="shared" si="1"/>
        <v>H006248</v>
      </c>
    </row>
    <row r="857">
      <c r="A857" s="1" t="s">
        <v>4349</v>
      </c>
      <c r="B857" s="1" t="s">
        <v>4350</v>
      </c>
      <c r="C857" s="1" t="s">
        <v>4351</v>
      </c>
      <c r="D857" s="1" t="s">
        <v>4352</v>
      </c>
      <c r="E857" s="1">
        <v>3919.0</v>
      </c>
      <c r="F857" s="1" t="s">
        <v>382</v>
      </c>
      <c r="G857" s="1" t="s">
        <v>119</v>
      </c>
      <c r="H857" s="1" t="s">
        <v>120</v>
      </c>
      <c r="I857" s="1" t="s">
        <v>486</v>
      </c>
      <c r="J857" s="1"/>
      <c r="K857" s="1" t="s">
        <v>23</v>
      </c>
      <c r="L857" s="1" t="s">
        <v>4353</v>
      </c>
      <c r="M857" s="1">
        <v>3.0</v>
      </c>
      <c r="N857" s="1">
        <v>1.0</v>
      </c>
      <c r="O857" s="1" t="s">
        <v>382</v>
      </c>
      <c r="P857" s="1" t="s">
        <v>25</v>
      </c>
      <c r="Q857" s="2" t="str">
        <f t="shared" si="1"/>
        <v>H006248</v>
      </c>
    </row>
    <row r="858">
      <c r="A858" s="1" t="s">
        <v>4354</v>
      </c>
      <c r="B858" s="1" t="s">
        <v>4355</v>
      </c>
      <c r="C858" s="1" t="s">
        <v>4356</v>
      </c>
      <c r="D858" s="1" t="s">
        <v>4357</v>
      </c>
      <c r="E858" s="1">
        <v>2855.0</v>
      </c>
      <c r="F858" s="1" t="s">
        <v>382</v>
      </c>
      <c r="G858" s="1" t="s">
        <v>119</v>
      </c>
      <c r="H858" s="1" t="s">
        <v>120</v>
      </c>
      <c r="I858" s="1" t="s">
        <v>486</v>
      </c>
      <c r="J858" s="1"/>
      <c r="K858" s="1" t="s">
        <v>23</v>
      </c>
      <c r="L858" s="1" t="s">
        <v>4358</v>
      </c>
      <c r="M858" s="1">
        <v>3.0</v>
      </c>
      <c r="N858" s="1">
        <v>1.0</v>
      </c>
      <c r="O858" s="1" t="s">
        <v>382</v>
      </c>
      <c r="P858" s="1" t="s">
        <v>25</v>
      </c>
      <c r="Q858" s="2" t="str">
        <f t="shared" si="1"/>
        <v>H006248</v>
      </c>
    </row>
    <row r="859">
      <c r="A859" s="1" t="s">
        <v>4359</v>
      </c>
      <c r="B859" s="1" t="s">
        <v>4360</v>
      </c>
      <c r="C859" s="1" t="s">
        <v>4361</v>
      </c>
      <c r="D859" s="1" t="s">
        <v>4362</v>
      </c>
      <c r="E859" s="1">
        <v>3389.0</v>
      </c>
      <c r="F859" s="1" t="s">
        <v>315</v>
      </c>
      <c r="G859" s="1">
        <v>841329.0</v>
      </c>
      <c r="H859" s="1" t="s">
        <v>1848</v>
      </c>
      <c r="I859" s="1" t="s">
        <v>1051</v>
      </c>
      <c r="J859" s="1"/>
      <c r="K859" s="1" t="s">
        <v>23</v>
      </c>
      <c r="L859" s="1" t="s">
        <v>4363</v>
      </c>
      <c r="M859" s="1">
        <v>0.0</v>
      </c>
      <c r="N859" s="1">
        <v>1.0</v>
      </c>
      <c r="O859" s="1" t="s">
        <v>315</v>
      </c>
      <c r="P859" s="1" t="s">
        <v>25</v>
      </c>
      <c r="Q859" s="2" t="str">
        <f t="shared" si="1"/>
        <v>H019227</v>
      </c>
    </row>
    <row r="860">
      <c r="A860" s="1" t="s">
        <v>4364</v>
      </c>
      <c r="B860" s="1" t="s">
        <v>4365</v>
      </c>
      <c r="C860" s="1" t="s">
        <v>4366</v>
      </c>
      <c r="D860" s="1" t="s">
        <v>4367</v>
      </c>
      <c r="E860" s="1">
        <v>3523.0</v>
      </c>
      <c r="F860" s="1" t="s">
        <v>315</v>
      </c>
      <c r="G860" s="1">
        <v>841329.0</v>
      </c>
      <c r="H860" s="1" t="s">
        <v>1848</v>
      </c>
      <c r="I860" s="1" t="s">
        <v>1051</v>
      </c>
      <c r="J860" s="1"/>
      <c r="K860" s="1" t="s">
        <v>23</v>
      </c>
      <c r="L860" s="1" t="s">
        <v>4368</v>
      </c>
      <c r="M860" s="1">
        <v>0.0</v>
      </c>
      <c r="N860" s="1">
        <v>1.0</v>
      </c>
      <c r="O860" s="1" t="s">
        <v>315</v>
      </c>
      <c r="P860" s="1" t="s">
        <v>25</v>
      </c>
      <c r="Q860" s="2" t="str">
        <f t="shared" si="1"/>
        <v>H019227</v>
      </c>
    </row>
    <row r="861">
      <c r="A861" s="1" t="s">
        <v>4369</v>
      </c>
      <c r="B861" s="1" t="s">
        <v>4370</v>
      </c>
      <c r="C861" s="1" t="s">
        <v>4371</v>
      </c>
      <c r="D861" s="1" t="s">
        <v>4372</v>
      </c>
      <c r="E861" s="1">
        <v>3445.0</v>
      </c>
      <c r="F861" s="1" t="s">
        <v>315</v>
      </c>
      <c r="G861" s="1">
        <v>841329.0</v>
      </c>
      <c r="H861" s="1" t="s">
        <v>1848</v>
      </c>
      <c r="I861" s="1" t="s">
        <v>1051</v>
      </c>
      <c r="J861" s="1"/>
      <c r="K861" s="1" t="s">
        <v>23</v>
      </c>
      <c r="L861" s="1" t="s">
        <v>4373</v>
      </c>
      <c r="M861" s="1">
        <v>0.0</v>
      </c>
      <c r="N861" s="1">
        <v>1.0</v>
      </c>
      <c r="O861" s="1" t="s">
        <v>315</v>
      </c>
      <c r="P861" s="1" t="s">
        <v>25</v>
      </c>
      <c r="Q861" s="2" t="str">
        <f t="shared" si="1"/>
        <v>H019227</v>
      </c>
    </row>
    <row r="862">
      <c r="A862" s="1" t="s">
        <v>4374</v>
      </c>
      <c r="B862" s="1" t="s">
        <v>4375</v>
      </c>
      <c r="C862" s="1" t="s">
        <v>4376</v>
      </c>
      <c r="D862" s="1" t="s">
        <v>4377</v>
      </c>
      <c r="E862" s="1">
        <v>2841.0</v>
      </c>
      <c r="F862" s="1" t="s">
        <v>315</v>
      </c>
      <c r="G862" s="1">
        <v>555127.0</v>
      </c>
      <c r="H862" s="1" t="s">
        <v>3047</v>
      </c>
      <c r="I862" s="1" t="s">
        <v>1051</v>
      </c>
      <c r="J862" s="1"/>
      <c r="K862" s="1" t="s">
        <v>23</v>
      </c>
      <c r="L862" s="1" t="s">
        <v>4378</v>
      </c>
      <c r="M862" s="1">
        <v>0.0</v>
      </c>
      <c r="N862" s="1">
        <v>1.0</v>
      </c>
      <c r="O862" s="1" t="s">
        <v>315</v>
      </c>
      <c r="P862" s="1" t="s">
        <v>488</v>
      </c>
      <c r="Q862" s="2" t="str">
        <f t="shared" si="1"/>
        <v>H019227</v>
      </c>
    </row>
    <row r="863">
      <c r="A863" s="1" t="s">
        <v>4379</v>
      </c>
      <c r="B863" s="1" t="s">
        <v>4380</v>
      </c>
      <c r="C863" s="1" t="s">
        <v>4381</v>
      </c>
      <c r="D863" s="1" t="s">
        <v>4382</v>
      </c>
      <c r="E863" s="1">
        <v>4006.0</v>
      </c>
      <c r="F863" s="1" t="s">
        <v>315</v>
      </c>
      <c r="G863" s="1">
        <v>841329.0</v>
      </c>
      <c r="H863" s="1" t="s">
        <v>1848</v>
      </c>
      <c r="I863" s="1" t="s">
        <v>1051</v>
      </c>
      <c r="J863" s="1"/>
      <c r="K863" s="1" t="s">
        <v>23</v>
      </c>
      <c r="L863" s="1" t="s">
        <v>4383</v>
      </c>
      <c r="M863" s="1">
        <v>0.0</v>
      </c>
      <c r="N863" s="1">
        <v>1.0</v>
      </c>
      <c r="O863" s="1" t="s">
        <v>315</v>
      </c>
      <c r="P863" s="1" t="s">
        <v>25</v>
      </c>
      <c r="Q863" s="2" t="str">
        <f t="shared" si="1"/>
        <v>H019227</v>
      </c>
    </row>
    <row r="864">
      <c r="A864" s="1" t="s">
        <v>4384</v>
      </c>
      <c r="B864" s="1" t="s">
        <v>4385</v>
      </c>
      <c r="C864" s="1" t="s">
        <v>4386</v>
      </c>
      <c r="D864" s="1" t="s">
        <v>4387</v>
      </c>
      <c r="E864" s="1">
        <v>2970.0</v>
      </c>
      <c r="F864" s="1" t="s">
        <v>351</v>
      </c>
      <c r="G864" s="1" t="s">
        <v>208</v>
      </c>
      <c r="H864" s="1" t="s">
        <v>209</v>
      </c>
      <c r="I864" s="1" t="s">
        <v>486</v>
      </c>
      <c r="J864" s="1"/>
      <c r="K864" s="1" t="s">
        <v>23</v>
      </c>
      <c r="L864" s="1" t="s">
        <v>4388</v>
      </c>
      <c r="M864" s="1">
        <v>0.0</v>
      </c>
      <c r="N864" s="1">
        <v>1.0</v>
      </c>
      <c r="O864" s="1" t="s">
        <v>351</v>
      </c>
      <c r="P864" s="1" t="s">
        <v>25</v>
      </c>
      <c r="Q864" s="2" t="str">
        <f t="shared" si="1"/>
        <v>H006567</v>
      </c>
    </row>
    <row r="865">
      <c r="A865" s="1" t="s">
        <v>4389</v>
      </c>
      <c r="B865" s="1" t="s">
        <v>4390</v>
      </c>
      <c r="C865" s="1" t="s">
        <v>4391</v>
      </c>
      <c r="D865" s="1" t="s">
        <v>4392</v>
      </c>
      <c r="E865" s="1">
        <v>4051.0</v>
      </c>
      <c r="F865" s="1" t="s">
        <v>351</v>
      </c>
      <c r="G865" s="1" t="s">
        <v>208</v>
      </c>
      <c r="H865" s="1" t="s">
        <v>209</v>
      </c>
      <c r="I865" s="1" t="s">
        <v>486</v>
      </c>
      <c r="J865" s="1"/>
      <c r="K865" s="1" t="s">
        <v>23</v>
      </c>
      <c r="L865" s="1" t="s">
        <v>4393</v>
      </c>
      <c r="M865" s="1">
        <v>0.0</v>
      </c>
      <c r="N865" s="1">
        <v>1.0</v>
      </c>
      <c r="O865" s="1" t="s">
        <v>351</v>
      </c>
      <c r="P865" s="1" t="s">
        <v>25</v>
      </c>
      <c r="Q865" s="2" t="str">
        <f t="shared" si="1"/>
        <v>H006567</v>
      </c>
    </row>
    <row r="866">
      <c r="A866" s="1" t="s">
        <v>4394</v>
      </c>
      <c r="B866" s="1" t="s">
        <v>4395</v>
      </c>
      <c r="C866" s="1" t="s">
        <v>4396</v>
      </c>
      <c r="D866" s="1" t="s">
        <v>4397</v>
      </c>
      <c r="E866" s="1">
        <v>3241.0</v>
      </c>
      <c r="F866" s="1" t="s">
        <v>351</v>
      </c>
      <c r="G866" s="1" t="s">
        <v>208</v>
      </c>
      <c r="H866" s="1" t="s">
        <v>209</v>
      </c>
      <c r="I866" s="1" t="s">
        <v>486</v>
      </c>
      <c r="J866" s="1"/>
      <c r="K866" s="1" t="s">
        <v>23</v>
      </c>
      <c r="L866" s="1" t="s">
        <v>4398</v>
      </c>
      <c r="M866" s="1">
        <v>0.0</v>
      </c>
      <c r="N866" s="1">
        <v>1.0</v>
      </c>
      <c r="O866" s="1" t="s">
        <v>351</v>
      </c>
      <c r="P866" s="1" t="s">
        <v>25</v>
      </c>
      <c r="Q866" s="2" t="str">
        <f t="shared" si="1"/>
        <v>H006567</v>
      </c>
    </row>
    <row r="867">
      <c r="A867" s="1" t="s">
        <v>4399</v>
      </c>
      <c r="B867" s="1" t="s">
        <v>4400</v>
      </c>
      <c r="C867" s="1" t="s">
        <v>4401</v>
      </c>
      <c r="D867" s="1" t="s">
        <v>4402</v>
      </c>
      <c r="E867" s="1">
        <v>3938.0</v>
      </c>
      <c r="F867" s="1" t="s">
        <v>351</v>
      </c>
      <c r="G867" s="1" t="s">
        <v>208</v>
      </c>
      <c r="H867" s="1" t="s">
        <v>209</v>
      </c>
      <c r="I867" s="1" t="s">
        <v>486</v>
      </c>
      <c r="J867" s="1"/>
      <c r="K867" s="1" t="s">
        <v>23</v>
      </c>
      <c r="L867" s="1" t="s">
        <v>4403</v>
      </c>
      <c r="M867" s="1">
        <v>0.0</v>
      </c>
      <c r="N867" s="1">
        <v>1.0</v>
      </c>
      <c r="O867" s="1" t="s">
        <v>351</v>
      </c>
      <c r="P867" s="1" t="s">
        <v>25</v>
      </c>
      <c r="Q867" s="2" t="str">
        <f t="shared" si="1"/>
        <v>H006567</v>
      </c>
    </row>
    <row r="868">
      <c r="A868" s="1" t="s">
        <v>4404</v>
      </c>
      <c r="B868" s="1" t="s">
        <v>4405</v>
      </c>
      <c r="C868" s="1" t="s">
        <v>4406</v>
      </c>
      <c r="D868" s="1" t="s">
        <v>4407</v>
      </c>
      <c r="E868" s="1">
        <v>5573.0</v>
      </c>
      <c r="F868" s="1" t="s">
        <v>351</v>
      </c>
      <c r="G868" s="1" t="s">
        <v>260</v>
      </c>
      <c r="H868" s="1" t="s">
        <v>261</v>
      </c>
      <c r="I868" s="1" t="s">
        <v>486</v>
      </c>
      <c r="J868" s="1"/>
      <c r="K868" s="1" t="s">
        <v>23</v>
      </c>
      <c r="L868" s="1" t="s">
        <v>4408</v>
      </c>
      <c r="M868" s="1">
        <v>0.0</v>
      </c>
      <c r="N868" s="1">
        <v>1.0</v>
      </c>
      <c r="O868" s="1" t="s">
        <v>351</v>
      </c>
      <c r="P868" s="1" t="s">
        <v>488</v>
      </c>
      <c r="Q868" s="2" t="str">
        <f t="shared" si="1"/>
        <v>H006567</v>
      </c>
    </row>
    <row r="869">
      <c r="A869" s="1" t="s">
        <v>4409</v>
      </c>
      <c r="B869" s="1" t="s">
        <v>4410</v>
      </c>
      <c r="C869" s="1" t="s">
        <v>4411</v>
      </c>
      <c r="D869" s="1" t="s">
        <v>4412</v>
      </c>
      <c r="E869" s="1">
        <v>3948.0</v>
      </c>
      <c r="F869" s="1" t="s">
        <v>351</v>
      </c>
      <c r="G869" s="1" t="s">
        <v>57</v>
      </c>
      <c r="H869" s="1" t="s">
        <v>58</v>
      </c>
      <c r="I869" s="1" t="s">
        <v>486</v>
      </c>
      <c r="J869" s="1"/>
      <c r="K869" s="1" t="s">
        <v>23</v>
      </c>
      <c r="L869" s="1" t="s">
        <v>4413</v>
      </c>
      <c r="M869" s="1">
        <v>0.0</v>
      </c>
      <c r="N869" s="1">
        <v>1.0</v>
      </c>
      <c r="O869" s="1" t="s">
        <v>351</v>
      </c>
      <c r="P869" s="1" t="s">
        <v>25</v>
      </c>
      <c r="Q869" s="2" t="str">
        <f t="shared" si="1"/>
        <v>H006567</v>
      </c>
    </row>
    <row r="870">
      <c r="A870" s="1" t="s">
        <v>4414</v>
      </c>
      <c r="B870" s="1" t="s">
        <v>4415</v>
      </c>
      <c r="C870" s="1" t="s">
        <v>4416</v>
      </c>
      <c r="D870" s="1" t="s">
        <v>4417</v>
      </c>
      <c r="E870" s="1">
        <v>3787.0</v>
      </c>
      <c r="F870" s="1" t="s">
        <v>351</v>
      </c>
      <c r="G870" s="1" t="s">
        <v>57</v>
      </c>
      <c r="H870" s="1" t="s">
        <v>58</v>
      </c>
      <c r="I870" s="1" t="s">
        <v>486</v>
      </c>
      <c r="J870" s="1"/>
      <c r="K870" s="1" t="s">
        <v>23</v>
      </c>
      <c r="L870" s="1" t="s">
        <v>4418</v>
      </c>
      <c r="M870" s="1">
        <v>0.0</v>
      </c>
      <c r="N870" s="1">
        <v>1.0</v>
      </c>
      <c r="O870" s="1" t="s">
        <v>351</v>
      </c>
      <c r="P870" s="1" t="s">
        <v>25</v>
      </c>
      <c r="Q870" s="2" t="str">
        <f t="shared" si="1"/>
        <v>H006567</v>
      </c>
    </row>
    <row r="871">
      <c r="A871" s="1" t="s">
        <v>4419</v>
      </c>
      <c r="B871" s="1" t="s">
        <v>4420</v>
      </c>
      <c r="C871" s="1" t="s">
        <v>4421</v>
      </c>
      <c r="D871" s="1" t="s">
        <v>4422</v>
      </c>
      <c r="E871" s="1">
        <v>3879.0</v>
      </c>
      <c r="F871" s="1" t="s">
        <v>351</v>
      </c>
      <c r="G871" s="1" t="s">
        <v>57</v>
      </c>
      <c r="H871" s="1" t="s">
        <v>58</v>
      </c>
      <c r="I871" s="1" t="s">
        <v>486</v>
      </c>
      <c r="J871" s="1"/>
      <c r="K871" s="1" t="s">
        <v>23</v>
      </c>
      <c r="L871" s="1" t="s">
        <v>4423</v>
      </c>
      <c r="M871" s="1">
        <v>0.0</v>
      </c>
      <c r="N871" s="1">
        <v>1.0</v>
      </c>
      <c r="O871" s="1" t="s">
        <v>351</v>
      </c>
      <c r="P871" s="1" t="s">
        <v>25</v>
      </c>
      <c r="Q871" s="2" t="str">
        <f t="shared" si="1"/>
        <v>H006567</v>
      </c>
    </row>
    <row r="872">
      <c r="A872" s="1" t="s">
        <v>4424</v>
      </c>
      <c r="B872" s="1" t="s">
        <v>4425</v>
      </c>
      <c r="C872" s="1" t="s">
        <v>4426</v>
      </c>
      <c r="D872" s="1" t="s">
        <v>4427</v>
      </c>
      <c r="E872" s="1">
        <v>5020.0</v>
      </c>
      <c r="F872" s="1" t="s">
        <v>351</v>
      </c>
      <c r="G872" s="1" t="s">
        <v>57</v>
      </c>
      <c r="H872" s="1" t="s">
        <v>58</v>
      </c>
      <c r="I872" s="1" t="s">
        <v>486</v>
      </c>
      <c r="J872" s="1"/>
      <c r="K872" s="1" t="s">
        <v>23</v>
      </c>
      <c r="L872" s="1" t="s">
        <v>4428</v>
      </c>
      <c r="M872" s="1">
        <v>0.0</v>
      </c>
      <c r="N872" s="1">
        <v>1.0</v>
      </c>
      <c r="O872" s="1" t="s">
        <v>351</v>
      </c>
      <c r="P872" s="1" t="s">
        <v>25</v>
      </c>
      <c r="Q872" s="2" t="str">
        <f t="shared" si="1"/>
        <v>H006567</v>
      </c>
    </row>
    <row r="873">
      <c r="A873" s="1" t="s">
        <v>4429</v>
      </c>
      <c r="B873" s="1" t="s">
        <v>4430</v>
      </c>
      <c r="C873" s="1" t="s">
        <v>4431</v>
      </c>
      <c r="D873" s="1" t="s">
        <v>4432</v>
      </c>
      <c r="E873" s="1">
        <v>3961.0</v>
      </c>
      <c r="F873" s="1" t="s">
        <v>498</v>
      </c>
      <c r="G873" s="1" t="s">
        <v>220</v>
      </c>
      <c r="H873" s="1" t="s">
        <v>221</v>
      </c>
      <c r="I873" s="1" t="s">
        <v>1112</v>
      </c>
      <c r="J873" s="1"/>
      <c r="K873" s="1" t="s">
        <v>23</v>
      </c>
      <c r="L873" s="1" t="s">
        <v>4433</v>
      </c>
      <c r="M873" s="1">
        <v>0.0</v>
      </c>
      <c r="N873" s="1">
        <v>1.0</v>
      </c>
      <c r="O873" s="1" t="s">
        <v>498</v>
      </c>
      <c r="P873" s="1" t="s">
        <v>25</v>
      </c>
      <c r="Q873" s="2" t="str">
        <f t="shared" si="1"/>
        <v>H030173</v>
      </c>
    </row>
    <row r="874">
      <c r="A874" s="1" t="s">
        <v>4434</v>
      </c>
      <c r="B874" s="1" t="s">
        <v>4435</v>
      </c>
      <c r="C874" s="1" t="s">
        <v>4436</v>
      </c>
      <c r="D874" s="1" t="s">
        <v>4437</v>
      </c>
      <c r="E874" s="1">
        <v>4710.0</v>
      </c>
      <c r="F874" s="1" t="s">
        <v>498</v>
      </c>
      <c r="G874" s="1" t="s">
        <v>220</v>
      </c>
      <c r="H874" s="1" t="s">
        <v>221</v>
      </c>
      <c r="I874" s="1" t="s">
        <v>1112</v>
      </c>
      <c r="J874" s="1"/>
      <c r="K874" s="1" t="s">
        <v>23</v>
      </c>
      <c r="L874" s="1" t="s">
        <v>4438</v>
      </c>
      <c r="M874" s="1">
        <v>0.0</v>
      </c>
      <c r="N874" s="1">
        <v>1.0</v>
      </c>
      <c r="O874" s="1" t="s">
        <v>498</v>
      </c>
      <c r="P874" s="1" t="s">
        <v>25</v>
      </c>
      <c r="Q874" s="2" t="str">
        <f t="shared" si="1"/>
        <v>H030173</v>
      </c>
    </row>
    <row r="875">
      <c r="A875" s="1" t="s">
        <v>4439</v>
      </c>
      <c r="B875" s="1" t="s">
        <v>4440</v>
      </c>
      <c r="C875" s="1" t="s">
        <v>4441</v>
      </c>
      <c r="D875" s="1" t="s">
        <v>4442</v>
      </c>
      <c r="E875" s="1">
        <v>3965.0</v>
      </c>
      <c r="F875" s="1" t="s">
        <v>398</v>
      </c>
      <c r="G875" s="1" t="s">
        <v>179</v>
      </c>
      <c r="H875" s="1" t="s">
        <v>180</v>
      </c>
      <c r="I875" s="1" t="s">
        <v>1112</v>
      </c>
      <c r="J875" s="1"/>
      <c r="K875" s="1" t="s">
        <v>23</v>
      </c>
      <c r="L875" s="1" t="s">
        <v>4443</v>
      </c>
      <c r="M875" s="1">
        <v>0.0</v>
      </c>
      <c r="N875" s="1">
        <v>1.0</v>
      </c>
      <c r="O875" s="1" t="s">
        <v>398</v>
      </c>
      <c r="P875" s="1" t="s">
        <v>25</v>
      </c>
      <c r="Q875" s="2" t="str">
        <f t="shared" si="1"/>
        <v>H030792</v>
      </c>
    </row>
    <row r="876">
      <c r="A876" s="1" t="s">
        <v>4444</v>
      </c>
      <c r="B876" s="1" t="s">
        <v>4445</v>
      </c>
      <c r="C876" s="1" t="s">
        <v>4446</v>
      </c>
      <c r="D876" s="1" t="s">
        <v>4447</v>
      </c>
      <c r="E876" s="1">
        <v>9711.0</v>
      </c>
      <c r="F876" s="1" t="s">
        <v>398</v>
      </c>
      <c r="G876" s="1" t="s">
        <v>179</v>
      </c>
      <c r="H876" s="1" t="s">
        <v>180</v>
      </c>
      <c r="I876" s="1" t="s">
        <v>1112</v>
      </c>
      <c r="J876" s="1"/>
      <c r="K876" s="1" t="s">
        <v>23</v>
      </c>
      <c r="L876" s="1" t="s">
        <v>4448</v>
      </c>
      <c r="M876" s="1">
        <v>0.0</v>
      </c>
      <c r="N876" s="1">
        <v>1.0</v>
      </c>
      <c r="O876" s="1" t="s">
        <v>398</v>
      </c>
      <c r="P876" s="1" t="s">
        <v>25</v>
      </c>
      <c r="Q876" s="2" t="str">
        <f t="shared" si="1"/>
        <v>H030792</v>
      </c>
    </row>
    <row r="877">
      <c r="A877" s="1" t="s">
        <v>4449</v>
      </c>
      <c r="B877" s="1" t="s">
        <v>4450</v>
      </c>
      <c r="C877" s="1" t="s">
        <v>4451</v>
      </c>
      <c r="D877" s="1" t="s">
        <v>4452</v>
      </c>
      <c r="E877" s="1">
        <v>4191.0</v>
      </c>
      <c r="F877" s="1" t="s">
        <v>398</v>
      </c>
      <c r="G877" s="1" t="s">
        <v>179</v>
      </c>
      <c r="H877" s="1" t="s">
        <v>180</v>
      </c>
      <c r="I877" s="1" t="s">
        <v>1112</v>
      </c>
      <c r="J877" s="1"/>
      <c r="K877" s="1" t="s">
        <v>23</v>
      </c>
      <c r="L877" s="1" t="s">
        <v>4453</v>
      </c>
      <c r="M877" s="1">
        <v>0.0</v>
      </c>
      <c r="N877" s="1">
        <v>1.0</v>
      </c>
      <c r="O877" s="1" t="s">
        <v>398</v>
      </c>
      <c r="P877" s="1" t="s">
        <v>25</v>
      </c>
      <c r="Q877" s="2" t="str">
        <f t="shared" si="1"/>
        <v>H030792</v>
      </c>
    </row>
    <row r="878">
      <c r="A878" s="1" t="s">
        <v>4454</v>
      </c>
      <c r="B878" s="1" t="s">
        <v>4455</v>
      </c>
      <c r="C878" s="1" t="s">
        <v>4456</v>
      </c>
      <c r="D878" s="1" t="s">
        <v>4457</v>
      </c>
      <c r="E878" s="1">
        <v>3140.0</v>
      </c>
      <c r="F878" s="1" t="s">
        <v>382</v>
      </c>
      <c r="G878" s="1" t="s">
        <v>191</v>
      </c>
      <c r="H878" s="1" t="s">
        <v>192</v>
      </c>
      <c r="I878" s="1" t="s">
        <v>486</v>
      </c>
      <c r="J878" s="1"/>
      <c r="K878" s="1" t="s">
        <v>23</v>
      </c>
      <c r="L878" s="1" t="s">
        <v>4458</v>
      </c>
      <c r="M878" s="1">
        <v>3.0</v>
      </c>
      <c r="N878" s="1">
        <v>1.0</v>
      </c>
      <c r="O878" s="1" t="s">
        <v>382</v>
      </c>
      <c r="P878" s="1" t="s">
        <v>25</v>
      </c>
      <c r="Q878" s="2" t="str">
        <f t="shared" si="1"/>
        <v>H006405</v>
      </c>
    </row>
    <row r="879">
      <c r="A879" s="1" t="s">
        <v>4459</v>
      </c>
      <c r="B879" s="1" t="s">
        <v>4460</v>
      </c>
      <c r="C879" s="1" t="s">
        <v>4461</v>
      </c>
      <c r="D879" s="1" t="s">
        <v>4462</v>
      </c>
      <c r="E879" s="1">
        <v>1973.0</v>
      </c>
      <c r="F879" s="1" t="s">
        <v>382</v>
      </c>
      <c r="G879" s="1" t="s">
        <v>191</v>
      </c>
      <c r="H879" s="1" t="s">
        <v>192</v>
      </c>
      <c r="I879" s="1" t="s">
        <v>486</v>
      </c>
      <c r="J879" s="1"/>
      <c r="K879" s="1" t="s">
        <v>23</v>
      </c>
      <c r="L879" s="1" t="s">
        <v>4463</v>
      </c>
      <c r="M879" s="1">
        <v>3.0</v>
      </c>
      <c r="N879" s="1">
        <v>1.0</v>
      </c>
      <c r="O879" s="1" t="s">
        <v>382</v>
      </c>
      <c r="P879" s="1" t="s">
        <v>25</v>
      </c>
      <c r="Q879" s="2" t="str">
        <f t="shared" si="1"/>
        <v>H006405</v>
      </c>
    </row>
    <row r="880">
      <c r="A880" s="1" t="s">
        <v>4464</v>
      </c>
      <c r="B880" s="1" t="s">
        <v>4465</v>
      </c>
      <c r="C880" s="1" t="s">
        <v>4466</v>
      </c>
      <c r="D880" s="1" t="s">
        <v>4467</v>
      </c>
      <c r="E880" s="1">
        <v>1404.0</v>
      </c>
      <c r="F880" s="1" t="s">
        <v>382</v>
      </c>
      <c r="G880" s="1" t="s">
        <v>191</v>
      </c>
      <c r="H880" s="1" t="s">
        <v>192</v>
      </c>
      <c r="I880" s="1" t="s">
        <v>486</v>
      </c>
      <c r="J880" s="1"/>
      <c r="K880" s="1" t="s">
        <v>23</v>
      </c>
      <c r="L880" s="1" t="s">
        <v>4468</v>
      </c>
      <c r="M880" s="1">
        <v>3.0</v>
      </c>
      <c r="N880" s="1">
        <v>1.0</v>
      </c>
      <c r="O880" s="1" t="s">
        <v>382</v>
      </c>
      <c r="P880" s="1" t="s">
        <v>25</v>
      </c>
      <c r="Q880" s="2" t="str">
        <f t="shared" si="1"/>
        <v>H006405</v>
      </c>
    </row>
    <row r="881">
      <c r="A881" s="1" t="s">
        <v>4469</v>
      </c>
      <c r="B881" s="1" t="s">
        <v>4470</v>
      </c>
      <c r="C881" s="1" t="s">
        <v>4471</v>
      </c>
      <c r="D881" s="1" t="s">
        <v>4472</v>
      </c>
      <c r="E881" s="1">
        <v>3088.0</v>
      </c>
      <c r="F881" s="1" t="s">
        <v>382</v>
      </c>
      <c r="G881" s="1" t="s">
        <v>119</v>
      </c>
      <c r="H881" s="1" t="s">
        <v>120</v>
      </c>
      <c r="I881" s="1" t="s">
        <v>486</v>
      </c>
      <c r="J881" s="1"/>
      <c r="K881" s="1" t="s">
        <v>23</v>
      </c>
      <c r="L881" s="1" t="s">
        <v>4473</v>
      </c>
      <c r="M881" s="1">
        <v>3.0</v>
      </c>
      <c r="N881" s="1">
        <v>1.0</v>
      </c>
      <c r="O881" s="1" t="s">
        <v>382</v>
      </c>
      <c r="P881" s="1" t="s">
        <v>488</v>
      </c>
      <c r="Q881" s="2" t="str">
        <f t="shared" si="1"/>
        <v>H006405</v>
      </c>
    </row>
    <row r="882">
      <c r="A882" s="1" t="s">
        <v>4474</v>
      </c>
      <c r="B882" s="1" t="s">
        <v>4475</v>
      </c>
      <c r="C882" s="1" t="s">
        <v>4476</v>
      </c>
      <c r="D882" s="1" t="s">
        <v>4477</v>
      </c>
      <c r="E882" s="1">
        <v>2915.0</v>
      </c>
      <c r="F882" s="1" t="s">
        <v>382</v>
      </c>
      <c r="G882" s="1" t="s">
        <v>474</v>
      </c>
      <c r="H882" s="1" t="s">
        <v>475</v>
      </c>
      <c r="I882" s="1" t="s">
        <v>486</v>
      </c>
      <c r="J882" s="1"/>
      <c r="K882" s="1" t="s">
        <v>23</v>
      </c>
      <c r="L882" s="1" t="s">
        <v>4478</v>
      </c>
      <c r="M882" s="1">
        <v>3.0</v>
      </c>
      <c r="N882" s="1">
        <v>1.0</v>
      </c>
      <c r="O882" s="1" t="s">
        <v>382</v>
      </c>
      <c r="P882" s="1" t="s">
        <v>488</v>
      </c>
      <c r="Q882" s="2" t="str">
        <f t="shared" si="1"/>
        <v>H006248</v>
      </c>
    </row>
    <row r="883">
      <c r="A883" s="1" t="s">
        <v>4479</v>
      </c>
      <c r="B883" s="1" t="s">
        <v>4480</v>
      </c>
      <c r="C883" s="1" t="s">
        <v>4481</v>
      </c>
      <c r="D883" s="1" t="s">
        <v>4482</v>
      </c>
      <c r="E883" s="1">
        <v>3878.0</v>
      </c>
      <c r="F883" s="1" t="s">
        <v>382</v>
      </c>
      <c r="G883" s="1" t="s">
        <v>474</v>
      </c>
      <c r="H883" s="1" t="s">
        <v>475</v>
      </c>
      <c r="I883" s="1" t="s">
        <v>486</v>
      </c>
      <c r="J883" s="1"/>
      <c r="K883" s="1" t="s">
        <v>23</v>
      </c>
      <c r="L883" s="1" t="s">
        <v>4483</v>
      </c>
      <c r="M883" s="1">
        <v>3.0</v>
      </c>
      <c r="N883" s="1">
        <v>1.0</v>
      </c>
      <c r="O883" s="1" t="s">
        <v>382</v>
      </c>
      <c r="P883" s="1" t="s">
        <v>25</v>
      </c>
      <c r="Q883" s="2" t="str">
        <f t="shared" si="1"/>
        <v>H006405</v>
      </c>
    </row>
    <row r="884">
      <c r="A884" s="1" t="s">
        <v>4484</v>
      </c>
      <c r="B884" s="1" t="s">
        <v>4485</v>
      </c>
      <c r="C884" s="1" t="s">
        <v>4486</v>
      </c>
      <c r="D884" s="1" t="s">
        <v>4487</v>
      </c>
      <c r="E884" s="1">
        <v>4203.0</v>
      </c>
      <c r="F884" s="1" t="s">
        <v>382</v>
      </c>
      <c r="G884" s="1" t="s">
        <v>474</v>
      </c>
      <c r="H884" s="1" t="s">
        <v>475</v>
      </c>
      <c r="I884" s="1" t="s">
        <v>486</v>
      </c>
      <c r="J884" s="1"/>
      <c r="K884" s="1" t="s">
        <v>23</v>
      </c>
      <c r="L884" s="1" t="s">
        <v>4488</v>
      </c>
      <c r="M884" s="1">
        <v>3.0</v>
      </c>
      <c r="N884" s="1">
        <v>1.0</v>
      </c>
      <c r="O884" s="1" t="s">
        <v>382</v>
      </c>
      <c r="P884" s="1" t="s">
        <v>25</v>
      </c>
      <c r="Q884" s="2" t="str">
        <f t="shared" si="1"/>
        <v>H006405</v>
      </c>
    </row>
    <row r="885">
      <c r="A885" s="1" t="s">
        <v>4489</v>
      </c>
      <c r="B885" s="1" t="s">
        <v>4490</v>
      </c>
      <c r="C885" s="1" t="s">
        <v>4491</v>
      </c>
      <c r="D885" s="1" t="s">
        <v>4492</v>
      </c>
      <c r="E885" s="1">
        <v>116.0</v>
      </c>
      <c r="F885" s="1" t="s">
        <v>382</v>
      </c>
      <c r="G885" s="1" t="s">
        <v>474</v>
      </c>
      <c r="H885" s="1" t="s">
        <v>475</v>
      </c>
      <c r="I885" s="1" t="s">
        <v>486</v>
      </c>
      <c r="J885" s="1"/>
      <c r="K885" s="1" t="s">
        <v>23</v>
      </c>
      <c r="L885" s="1" t="s">
        <v>4493</v>
      </c>
      <c r="M885" s="1">
        <v>3.0</v>
      </c>
      <c r="N885" s="1">
        <v>0.0</v>
      </c>
      <c r="O885" s="1" t="s">
        <v>382</v>
      </c>
      <c r="P885" s="1" t="s">
        <v>25</v>
      </c>
      <c r="Q885" s="2" t="str">
        <f t="shared" si="1"/>
        <v>H006248</v>
      </c>
    </row>
    <row r="886">
      <c r="A886" s="1" t="s">
        <v>4494</v>
      </c>
      <c r="B886" s="1" t="s">
        <v>4495</v>
      </c>
      <c r="C886" s="1" t="s">
        <v>4496</v>
      </c>
      <c r="D886" s="1" t="s">
        <v>4497</v>
      </c>
      <c r="E886" s="1">
        <v>4517.0</v>
      </c>
      <c r="F886" s="1" t="s">
        <v>382</v>
      </c>
      <c r="G886" s="1" t="s">
        <v>107</v>
      </c>
      <c r="H886" s="1" t="s">
        <v>108</v>
      </c>
      <c r="I886" s="1" t="s">
        <v>486</v>
      </c>
      <c r="J886" s="1"/>
      <c r="K886" s="1" t="s">
        <v>23</v>
      </c>
      <c r="L886" s="1" t="s">
        <v>4498</v>
      </c>
      <c r="M886" s="1">
        <v>3.0</v>
      </c>
      <c r="N886" s="1">
        <v>1.0</v>
      </c>
      <c r="O886" s="1" t="s">
        <v>382</v>
      </c>
      <c r="P886" s="1" t="s">
        <v>25</v>
      </c>
      <c r="Q886" s="2" t="str">
        <f t="shared" si="1"/>
        <v>H006405</v>
      </c>
    </row>
    <row r="887">
      <c r="A887" s="1" t="s">
        <v>4499</v>
      </c>
      <c r="B887" s="1" t="s">
        <v>4500</v>
      </c>
      <c r="C887" s="1" t="s">
        <v>4501</v>
      </c>
      <c r="D887" s="1" t="s">
        <v>4502</v>
      </c>
      <c r="E887" s="1">
        <v>3951.0</v>
      </c>
      <c r="F887" s="1" t="s">
        <v>382</v>
      </c>
      <c r="G887" s="1" t="s">
        <v>107</v>
      </c>
      <c r="H887" s="1" t="s">
        <v>108</v>
      </c>
      <c r="I887" s="1" t="s">
        <v>486</v>
      </c>
      <c r="J887" s="1"/>
      <c r="K887" s="1" t="s">
        <v>23</v>
      </c>
      <c r="L887" s="1" t="s">
        <v>4503</v>
      </c>
      <c r="M887" s="1">
        <v>3.0</v>
      </c>
      <c r="N887" s="1">
        <v>1.0</v>
      </c>
      <c r="O887" s="1" t="s">
        <v>382</v>
      </c>
      <c r="P887" s="1" t="s">
        <v>25</v>
      </c>
      <c r="Q887" s="2" t="str">
        <f t="shared" si="1"/>
        <v>H006405</v>
      </c>
    </row>
    <row r="888">
      <c r="A888" s="1" t="s">
        <v>4504</v>
      </c>
      <c r="B888" s="1" t="s">
        <v>4505</v>
      </c>
      <c r="C888" s="1" t="s">
        <v>4506</v>
      </c>
      <c r="D888" s="1" t="s">
        <v>4507</v>
      </c>
      <c r="E888" s="1">
        <v>3812.0</v>
      </c>
      <c r="F888" s="1" t="s">
        <v>382</v>
      </c>
      <c r="G888" s="1" t="s">
        <v>107</v>
      </c>
      <c r="H888" s="1" t="s">
        <v>108</v>
      </c>
      <c r="I888" s="1" t="s">
        <v>486</v>
      </c>
      <c r="J888" s="1"/>
      <c r="K888" s="1" t="s">
        <v>23</v>
      </c>
      <c r="L888" s="1" t="s">
        <v>4508</v>
      </c>
      <c r="M888" s="1">
        <v>3.0</v>
      </c>
      <c r="N888" s="1">
        <v>1.0</v>
      </c>
      <c r="O888" s="1" t="s">
        <v>382</v>
      </c>
      <c r="P888" s="1" t="s">
        <v>25</v>
      </c>
      <c r="Q888" s="2" t="str">
        <f t="shared" si="1"/>
        <v>H006405</v>
      </c>
    </row>
    <row r="889">
      <c r="A889" s="1" t="s">
        <v>4509</v>
      </c>
      <c r="B889" s="1" t="s">
        <v>4510</v>
      </c>
      <c r="C889" s="1" t="s">
        <v>4511</v>
      </c>
      <c r="D889" s="1" t="s">
        <v>4512</v>
      </c>
      <c r="E889" s="1">
        <v>3707.0</v>
      </c>
      <c r="F889" s="1" t="s">
        <v>382</v>
      </c>
      <c r="G889" s="1" t="s">
        <v>474</v>
      </c>
      <c r="H889" s="1" t="s">
        <v>475</v>
      </c>
      <c r="I889" s="1" t="s">
        <v>486</v>
      </c>
      <c r="J889" s="1"/>
      <c r="K889" s="1" t="s">
        <v>23</v>
      </c>
      <c r="L889" s="1" t="s">
        <v>4513</v>
      </c>
      <c r="M889" s="1">
        <v>3.0</v>
      </c>
      <c r="N889" s="1">
        <v>1.0</v>
      </c>
      <c r="O889" s="1" t="s">
        <v>382</v>
      </c>
      <c r="P889" s="1" t="s">
        <v>488</v>
      </c>
      <c r="Q889" s="2" t="str">
        <f t="shared" si="1"/>
        <v>H006405</v>
      </c>
    </row>
    <row r="890">
      <c r="A890" s="1" t="s">
        <v>4514</v>
      </c>
      <c r="B890" s="1" t="s">
        <v>4515</v>
      </c>
      <c r="C890" s="1" t="s">
        <v>4516</v>
      </c>
      <c r="D890" s="1" t="s">
        <v>4517</v>
      </c>
      <c r="E890" s="1">
        <v>4367.0</v>
      </c>
      <c r="F890" s="1" t="s">
        <v>351</v>
      </c>
      <c r="G890" s="1" t="s">
        <v>260</v>
      </c>
      <c r="H890" s="1" t="s">
        <v>261</v>
      </c>
      <c r="I890" s="1" t="s">
        <v>486</v>
      </c>
      <c r="J890" s="1"/>
      <c r="K890" s="1" t="s">
        <v>23</v>
      </c>
      <c r="L890" s="1" t="s">
        <v>4518</v>
      </c>
      <c r="M890" s="1">
        <v>0.0</v>
      </c>
      <c r="N890" s="1">
        <v>1.0</v>
      </c>
      <c r="O890" s="1" t="s">
        <v>351</v>
      </c>
      <c r="P890" s="1" t="s">
        <v>25</v>
      </c>
      <c r="Q890" s="2" t="str">
        <f t="shared" si="1"/>
        <v>H006567</v>
      </c>
    </row>
    <row r="891">
      <c r="A891" s="1" t="s">
        <v>4519</v>
      </c>
      <c r="B891" s="1" t="s">
        <v>4520</v>
      </c>
      <c r="C891" s="1" t="s">
        <v>4521</v>
      </c>
      <c r="D891" s="1" t="s">
        <v>4522</v>
      </c>
      <c r="E891" s="1">
        <v>3933.0</v>
      </c>
      <c r="F891" s="1" t="s">
        <v>351</v>
      </c>
      <c r="G891" s="1" t="s">
        <v>260</v>
      </c>
      <c r="H891" s="1" t="s">
        <v>261</v>
      </c>
      <c r="I891" s="1" t="s">
        <v>486</v>
      </c>
      <c r="J891" s="1"/>
      <c r="K891" s="1" t="s">
        <v>23</v>
      </c>
      <c r="L891" s="1" t="s">
        <v>4523</v>
      </c>
      <c r="M891" s="1">
        <v>0.0</v>
      </c>
      <c r="N891" s="1">
        <v>1.0</v>
      </c>
      <c r="O891" s="1" t="s">
        <v>351</v>
      </c>
      <c r="P891" s="1" t="s">
        <v>25</v>
      </c>
      <c r="Q891" s="2" t="str">
        <f t="shared" si="1"/>
        <v>H006567</v>
      </c>
    </row>
    <row r="892">
      <c r="A892" s="1" t="s">
        <v>4524</v>
      </c>
      <c r="B892" s="1" t="s">
        <v>4525</v>
      </c>
      <c r="C892" s="1" t="s">
        <v>4526</v>
      </c>
      <c r="D892" s="1" t="s">
        <v>4527</v>
      </c>
      <c r="E892" s="1">
        <v>4009.0</v>
      </c>
      <c r="F892" s="1" t="s">
        <v>351</v>
      </c>
      <c r="G892" s="1" t="s">
        <v>260</v>
      </c>
      <c r="H892" s="1" t="s">
        <v>261</v>
      </c>
      <c r="I892" s="1" t="s">
        <v>486</v>
      </c>
      <c r="J892" s="1"/>
      <c r="K892" s="1" t="s">
        <v>23</v>
      </c>
      <c r="L892" s="1" t="s">
        <v>4528</v>
      </c>
      <c r="M892" s="1">
        <v>0.0</v>
      </c>
      <c r="N892" s="1">
        <v>1.0</v>
      </c>
      <c r="O892" s="1" t="s">
        <v>351</v>
      </c>
      <c r="P892" s="1" t="s">
        <v>25</v>
      </c>
      <c r="Q892" s="2" t="str">
        <f t="shared" si="1"/>
        <v>H006567</v>
      </c>
    </row>
    <row r="893">
      <c r="A893" s="1" t="s">
        <v>4529</v>
      </c>
      <c r="B893" s="1" t="s">
        <v>4530</v>
      </c>
      <c r="C893" s="1" t="s">
        <v>4531</v>
      </c>
      <c r="D893" s="1" t="s">
        <v>4532</v>
      </c>
      <c r="E893" s="1">
        <v>5692.0</v>
      </c>
      <c r="F893" s="1" t="s">
        <v>351</v>
      </c>
      <c r="G893" s="1" t="s">
        <v>260</v>
      </c>
      <c r="H893" s="1" t="s">
        <v>261</v>
      </c>
      <c r="I893" s="1" t="s">
        <v>486</v>
      </c>
      <c r="J893" s="1"/>
      <c r="K893" s="1" t="s">
        <v>23</v>
      </c>
      <c r="L893" s="1" t="s">
        <v>4533</v>
      </c>
      <c r="M893" s="1">
        <v>0.0</v>
      </c>
      <c r="N893" s="1">
        <v>1.0</v>
      </c>
      <c r="O893" s="1" t="s">
        <v>351</v>
      </c>
      <c r="P893" s="1" t="s">
        <v>25</v>
      </c>
      <c r="Q893" s="2" t="str">
        <f t="shared" si="1"/>
        <v>H006567</v>
      </c>
    </row>
    <row r="894">
      <c r="A894" s="1" t="s">
        <v>4534</v>
      </c>
      <c r="B894" s="1" t="s">
        <v>4535</v>
      </c>
      <c r="C894" s="1" t="s">
        <v>4536</v>
      </c>
      <c r="D894" s="1" t="s">
        <v>4537</v>
      </c>
      <c r="E894" s="1">
        <v>2670.0</v>
      </c>
      <c r="F894" s="1" t="s">
        <v>351</v>
      </c>
      <c r="G894" s="1" t="s">
        <v>57</v>
      </c>
      <c r="H894" s="1" t="s">
        <v>58</v>
      </c>
      <c r="I894" s="1" t="s">
        <v>486</v>
      </c>
      <c r="J894" s="1"/>
      <c r="K894" s="1" t="s">
        <v>23</v>
      </c>
      <c r="L894" s="1" t="s">
        <v>4538</v>
      </c>
      <c r="M894" s="1">
        <v>0.0</v>
      </c>
      <c r="N894" s="1">
        <v>1.0</v>
      </c>
      <c r="O894" s="1" t="s">
        <v>351</v>
      </c>
      <c r="P894" s="1" t="s">
        <v>488</v>
      </c>
      <c r="Q894" s="2" t="str">
        <f t="shared" si="1"/>
        <v>H006567</v>
      </c>
    </row>
    <row r="895">
      <c r="A895" s="1" t="s">
        <v>4539</v>
      </c>
      <c r="B895" s="1" t="s">
        <v>4540</v>
      </c>
      <c r="C895" s="1" t="s">
        <v>4541</v>
      </c>
      <c r="D895" s="1" t="s">
        <v>4542</v>
      </c>
      <c r="E895" s="1">
        <v>4350.0</v>
      </c>
      <c r="F895" s="1" t="s">
        <v>398</v>
      </c>
      <c r="G895" s="1" t="s">
        <v>232</v>
      </c>
      <c r="H895" s="1" t="s">
        <v>233</v>
      </c>
      <c r="I895" s="1" t="s">
        <v>1112</v>
      </c>
      <c r="J895" s="1"/>
      <c r="K895" s="1" t="s">
        <v>23</v>
      </c>
      <c r="L895" s="1" t="s">
        <v>4543</v>
      </c>
      <c r="M895" s="1">
        <v>0.0</v>
      </c>
      <c r="N895" s="1">
        <v>1.0</v>
      </c>
      <c r="O895" s="1" t="s">
        <v>398</v>
      </c>
      <c r="P895" s="1" t="s">
        <v>25</v>
      </c>
      <c r="Q895" s="2" t="str">
        <f t="shared" si="1"/>
        <v>H030792</v>
      </c>
    </row>
    <row r="896">
      <c r="A896" s="1" t="s">
        <v>4544</v>
      </c>
      <c r="B896" s="1" t="s">
        <v>4545</v>
      </c>
      <c r="C896" s="1" t="s">
        <v>4546</v>
      </c>
      <c r="D896" s="1" t="s">
        <v>4547</v>
      </c>
      <c r="E896" s="1">
        <v>4584.0</v>
      </c>
      <c r="F896" s="1" t="s">
        <v>398</v>
      </c>
      <c r="G896" s="1" t="s">
        <v>232</v>
      </c>
      <c r="H896" s="1" t="s">
        <v>233</v>
      </c>
      <c r="I896" s="1" t="s">
        <v>1112</v>
      </c>
      <c r="J896" s="1"/>
      <c r="K896" s="1" t="s">
        <v>23</v>
      </c>
      <c r="L896" s="1" t="s">
        <v>4548</v>
      </c>
      <c r="M896" s="1">
        <v>0.0</v>
      </c>
      <c r="N896" s="1">
        <v>1.0</v>
      </c>
      <c r="O896" s="1" t="s">
        <v>398</v>
      </c>
      <c r="P896" s="1" t="s">
        <v>25</v>
      </c>
      <c r="Q896" s="2" t="str">
        <f t="shared" si="1"/>
        <v>H030792</v>
      </c>
    </row>
    <row r="897">
      <c r="A897" s="1" t="s">
        <v>4549</v>
      </c>
      <c r="B897" s="1" t="s">
        <v>4550</v>
      </c>
      <c r="C897" s="1" t="s">
        <v>4551</v>
      </c>
      <c r="D897" s="1" t="s">
        <v>4552</v>
      </c>
      <c r="E897" s="1">
        <v>3680.0</v>
      </c>
      <c r="F897" s="1" t="s">
        <v>398</v>
      </c>
      <c r="G897" s="1" t="s">
        <v>232</v>
      </c>
      <c r="H897" s="1" t="s">
        <v>233</v>
      </c>
      <c r="I897" s="1" t="s">
        <v>1112</v>
      </c>
      <c r="J897" s="1"/>
      <c r="K897" s="1" t="s">
        <v>23</v>
      </c>
      <c r="L897" s="1" t="s">
        <v>4553</v>
      </c>
      <c r="M897" s="1">
        <v>0.0</v>
      </c>
      <c r="N897" s="1">
        <v>1.0</v>
      </c>
      <c r="O897" s="1" t="s">
        <v>398</v>
      </c>
      <c r="P897" s="1" t="s">
        <v>25</v>
      </c>
      <c r="Q897" s="2" t="str">
        <f t="shared" si="1"/>
        <v>H030792</v>
      </c>
    </row>
    <row r="898">
      <c r="A898" s="1" t="s">
        <v>4554</v>
      </c>
      <c r="B898" s="1" t="s">
        <v>4555</v>
      </c>
      <c r="C898" s="1" t="s">
        <v>4556</v>
      </c>
      <c r="D898" s="1" t="s">
        <v>4557</v>
      </c>
      <c r="E898" s="1">
        <v>4487.0</v>
      </c>
      <c r="F898" s="1" t="s">
        <v>398</v>
      </c>
      <c r="G898" s="1" t="s">
        <v>232</v>
      </c>
      <c r="H898" s="1" t="s">
        <v>233</v>
      </c>
      <c r="I898" s="1" t="s">
        <v>1112</v>
      </c>
      <c r="J898" s="1"/>
      <c r="K898" s="1" t="s">
        <v>23</v>
      </c>
      <c r="L898" s="1" t="s">
        <v>4558</v>
      </c>
      <c r="M898" s="1">
        <v>0.0</v>
      </c>
      <c r="N898" s="1">
        <v>1.0</v>
      </c>
      <c r="O898" s="1" t="s">
        <v>398</v>
      </c>
      <c r="P898" s="1" t="s">
        <v>25</v>
      </c>
      <c r="Q898" s="2" t="str">
        <f t="shared" si="1"/>
        <v>H030792</v>
      </c>
    </row>
    <row r="899">
      <c r="A899" s="1" t="s">
        <v>4559</v>
      </c>
      <c r="B899" s="1" t="s">
        <v>4560</v>
      </c>
      <c r="C899" s="1" t="s">
        <v>4561</v>
      </c>
      <c r="D899" s="1" t="s">
        <v>4562</v>
      </c>
      <c r="E899" s="1">
        <v>2698.0</v>
      </c>
      <c r="F899" s="1" t="s">
        <v>382</v>
      </c>
      <c r="G899" s="1" t="s">
        <v>474</v>
      </c>
      <c r="H899" s="1" t="s">
        <v>475</v>
      </c>
      <c r="I899" s="1" t="s">
        <v>486</v>
      </c>
      <c r="J899" s="1"/>
      <c r="K899" s="1" t="s">
        <v>23</v>
      </c>
      <c r="L899" s="1" t="s">
        <v>4563</v>
      </c>
      <c r="M899" s="1">
        <v>3.0</v>
      </c>
      <c r="N899" s="1">
        <v>1.0</v>
      </c>
      <c r="O899" s="1" t="s">
        <v>382</v>
      </c>
      <c r="P899" s="1" t="s">
        <v>488</v>
      </c>
      <c r="Q899" s="2" t="str">
        <f t="shared" si="1"/>
        <v>H006248</v>
      </c>
    </row>
    <row r="900">
      <c r="A900" s="1" t="s">
        <v>4564</v>
      </c>
      <c r="B900" s="1" t="s">
        <v>4565</v>
      </c>
      <c r="C900" s="1" t="s">
        <v>4566</v>
      </c>
      <c r="D900" s="1" t="s">
        <v>4567</v>
      </c>
      <c r="E900" s="1">
        <v>2785.0</v>
      </c>
      <c r="F900" s="1" t="s">
        <v>382</v>
      </c>
      <c r="G900" s="1" t="s">
        <v>119</v>
      </c>
      <c r="H900" s="1" t="s">
        <v>120</v>
      </c>
      <c r="I900" s="1" t="s">
        <v>486</v>
      </c>
      <c r="J900" s="1"/>
      <c r="K900" s="1" t="s">
        <v>23</v>
      </c>
      <c r="L900" s="1" t="s">
        <v>4568</v>
      </c>
      <c r="M900" s="1">
        <v>3.0</v>
      </c>
      <c r="N900" s="1">
        <v>1.0</v>
      </c>
      <c r="O900" s="1" t="s">
        <v>382</v>
      </c>
      <c r="P900" s="1" t="s">
        <v>25</v>
      </c>
      <c r="Q900" s="2" t="str">
        <f t="shared" si="1"/>
        <v>H006405</v>
      </c>
    </row>
    <row r="901">
      <c r="A901" s="1" t="s">
        <v>4569</v>
      </c>
      <c r="B901" s="1" t="s">
        <v>4570</v>
      </c>
      <c r="C901" s="1" t="s">
        <v>4571</v>
      </c>
      <c r="D901" s="1" t="s">
        <v>4572</v>
      </c>
      <c r="E901" s="1">
        <v>1756.0</v>
      </c>
      <c r="F901" s="1" t="s">
        <v>382</v>
      </c>
      <c r="G901" s="1" t="s">
        <v>119</v>
      </c>
      <c r="H901" s="1" t="s">
        <v>120</v>
      </c>
      <c r="I901" s="1" t="s">
        <v>486</v>
      </c>
      <c r="J901" s="1"/>
      <c r="K901" s="1" t="s">
        <v>23</v>
      </c>
      <c r="L901" s="1" t="s">
        <v>4573</v>
      </c>
      <c r="M901" s="1">
        <v>3.0</v>
      </c>
      <c r="N901" s="1">
        <v>1.0</v>
      </c>
      <c r="O901" s="1" t="s">
        <v>382</v>
      </c>
      <c r="P901" s="1" t="s">
        <v>25</v>
      </c>
      <c r="Q901" s="2" t="str">
        <f t="shared" si="1"/>
        <v>H006405</v>
      </c>
    </row>
    <row r="902">
      <c r="A902" s="1" t="s">
        <v>4574</v>
      </c>
      <c r="B902" s="1" t="s">
        <v>4575</v>
      </c>
      <c r="C902" s="1" t="s">
        <v>4576</v>
      </c>
      <c r="D902" s="1" t="s">
        <v>4577</v>
      </c>
      <c r="E902" s="1">
        <v>4828.0</v>
      </c>
      <c r="F902" s="1" t="s">
        <v>498</v>
      </c>
      <c r="G902" s="1" t="s">
        <v>167</v>
      </c>
      <c r="H902" s="1" t="s">
        <v>168</v>
      </c>
      <c r="I902" s="1" t="s">
        <v>1112</v>
      </c>
      <c r="J902" s="1"/>
      <c r="K902" s="1" t="s">
        <v>23</v>
      </c>
      <c r="L902" s="1" t="s">
        <v>4578</v>
      </c>
      <c r="M902" s="1">
        <v>0.0</v>
      </c>
      <c r="N902" s="1">
        <v>1.0</v>
      </c>
      <c r="O902" s="1" t="s">
        <v>498</v>
      </c>
      <c r="P902" s="1" t="s">
        <v>25</v>
      </c>
      <c r="Q902" s="2" t="str">
        <f t="shared" si="1"/>
        <v>H030173</v>
      </c>
    </row>
    <row r="903">
      <c r="A903" s="1" t="s">
        <v>4579</v>
      </c>
      <c r="B903" s="1" t="s">
        <v>4580</v>
      </c>
      <c r="C903" s="1" t="s">
        <v>4581</v>
      </c>
      <c r="D903" s="1" t="s">
        <v>4582</v>
      </c>
      <c r="E903" s="1">
        <v>4021.0</v>
      </c>
      <c r="F903" s="1" t="s">
        <v>498</v>
      </c>
      <c r="G903" s="1" t="s">
        <v>167</v>
      </c>
      <c r="H903" s="1" t="s">
        <v>168</v>
      </c>
      <c r="I903" s="1" t="s">
        <v>1112</v>
      </c>
      <c r="J903" s="1"/>
      <c r="K903" s="1" t="s">
        <v>23</v>
      </c>
      <c r="L903" s="1" t="s">
        <v>4583</v>
      </c>
      <c r="M903" s="1">
        <v>0.0</v>
      </c>
      <c r="N903" s="1">
        <v>1.0</v>
      </c>
      <c r="O903" s="1" t="s">
        <v>498</v>
      </c>
      <c r="P903" s="1" t="s">
        <v>25</v>
      </c>
      <c r="Q903" s="2" t="str">
        <f t="shared" si="1"/>
        <v>H030173</v>
      </c>
    </row>
    <row r="904">
      <c r="A904" s="1" t="s">
        <v>4584</v>
      </c>
      <c r="B904" s="1" t="s">
        <v>4585</v>
      </c>
      <c r="C904" s="1" t="s">
        <v>4586</v>
      </c>
      <c r="D904" s="1" t="s">
        <v>4587</v>
      </c>
      <c r="E904" s="1">
        <v>3117.0</v>
      </c>
      <c r="F904" s="1" t="s">
        <v>315</v>
      </c>
      <c r="G904" s="1">
        <v>455939.0</v>
      </c>
      <c r="H904" s="1" t="s">
        <v>2746</v>
      </c>
      <c r="I904" s="1" t="s">
        <v>1051</v>
      </c>
      <c r="J904" s="1"/>
      <c r="K904" s="1" t="s">
        <v>23</v>
      </c>
      <c r="L904" s="1" t="s">
        <v>4588</v>
      </c>
      <c r="M904" s="1">
        <v>0.0</v>
      </c>
      <c r="N904" s="1">
        <v>1.0</v>
      </c>
      <c r="O904" s="1" t="s">
        <v>315</v>
      </c>
      <c r="P904" s="1" t="s">
        <v>25</v>
      </c>
      <c r="Q904" s="2" t="str">
        <f t="shared" si="1"/>
        <v>H019227</v>
      </c>
    </row>
    <row r="905">
      <c r="A905" s="1" t="s">
        <v>4589</v>
      </c>
      <c r="B905" s="1" t="s">
        <v>4590</v>
      </c>
      <c r="C905" s="1" t="s">
        <v>4591</v>
      </c>
      <c r="D905" s="1" t="s">
        <v>4592</v>
      </c>
      <c r="E905" s="1">
        <v>2896.0</v>
      </c>
      <c r="F905" s="1" t="s">
        <v>315</v>
      </c>
      <c r="G905" s="1">
        <v>455939.0</v>
      </c>
      <c r="H905" s="1" t="s">
        <v>2746</v>
      </c>
      <c r="I905" s="1" t="s">
        <v>1051</v>
      </c>
      <c r="J905" s="1"/>
      <c r="K905" s="1" t="s">
        <v>23</v>
      </c>
      <c r="L905" s="1" t="s">
        <v>4593</v>
      </c>
      <c r="M905" s="1">
        <v>0.0</v>
      </c>
      <c r="N905" s="1">
        <v>1.0</v>
      </c>
      <c r="O905" s="1" t="s">
        <v>315</v>
      </c>
      <c r="P905" s="1" t="s">
        <v>25</v>
      </c>
      <c r="Q905" s="2" t="str">
        <f t="shared" si="1"/>
        <v>H019227</v>
      </c>
    </row>
    <row r="906">
      <c r="A906" s="1" t="s">
        <v>4594</v>
      </c>
      <c r="B906" s="1" t="s">
        <v>4595</v>
      </c>
      <c r="C906" s="1" t="s">
        <v>4596</v>
      </c>
      <c r="D906" s="1" t="s">
        <v>4597</v>
      </c>
      <c r="E906" s="1">
        <v>3844.0</v>
      </c>
      <c r="F906" s="1" t="s">
        <v>315</v>
      </c>
      <c r="G906" s="1">
        <v>455939.0</v>
      </c>
      <c r="H906" s="1" t="s">
        <v>2746</v>
      </c>
      <c r="I906" s="1" t="s">
        <v>1051</v>
      </c>
      <c r="J906" s="1"/>
      <c r="K906" s="1" t="s">
        <v>23</v>
      </c>
      <c r="L906" s="1" t="s">
        <v>4598</v>
      </c>
      <c r="M906" s="1">
        <v>0.0</v>
      </c>
      <c r="N906" s="1">
        <v>1.0</v>
      </c>
      <c r="O906" s="1" t="s">
        <v>315</v>
      </c>
      <c r="P906" s="1" t="s">
        <v>25</v>
      </c>
      <c r="Q906" s="2" t="str">
        <f t="shared" si="1"/>
        <v>H019227</v>
      </c>
    </row>
    <row r="907">
      <c r="A907" s="1" t="s">
        <v>4599</v>
      </c>
      <c r="B907" s="1" t="s">
        <v>4600</v>
      </c>
      <c r="C907" s="1" t="s">
        <v>4601</v>
      </c>
      <c r="D907" s="1" t="s">
        <v>4602</v>
      </c>
      <c r="E907" s="1">
        <v>1960.0</v>
      </c>
      <c r="F907" s="1" t="s">
        <v>315</v>
      </c>
      <c r="G907" s="1">
        <v>455939.0</v>
      </c>
      <c r="H907" s="1" t="s">
        <v>2746</v>
      </c>
      <c r="I907" s="1" t="s">
        <v>1051</v>
      </c>
      <c r="J907" s="1"/>
      <c r="K907" s="1" t="s">
        <v>23</v>
      </c>
      <c r="L907" s="1" t="s">
        <v>4603</v>
      </c>
      <c r="M907" s="1">
        <v>0.0</v>
      </c>
      <c r="N907" s="1">
        <v>1.0</v>
      </c>
      <c r="O907" s="1" t="s">
        <v>315</v>
      </c>
      <c r="P907" s="1" t="s">
        <v>25</v>
      </c>
      <c r="Q907" s="2" t="str">
        <f t="shared" si="1"/>
        <v>H019227</v>
      </c>
    </row>
    <row r="908">
      <c r="A908" s="1" t="s">
        <v>4604</v>
      </c>
      <c r="B908" s="1" t="s">
        <v>4605</v>
      </c>
      <c r="C908" s="1" t="s">
        <v>4606</v>
      </c>
      <c r="D908" s="1" t="s">
        <v>4607</v>
      </c>
      <c r="E908" s="1">
        <v>4847.0</v>
      </c>
      <c r="F908" s="1" t="s">
        <v>315</v>
      </c>
      <c r="G908" s="1">
        <v>555127.0</v>
      </c>
      <c r="H908" s="1" t="s">
        <v>3047</v>
      </c>
      <c r="I908" s="1" t="s">
        <v>1051</v>
      </c>
      <c r="J908" s="1"/>
      <c r="K908" s="1" t="s">
        <v>23</v>
      </c>
      <c r="L908" s="1" t="s">
        <v>4608</v>
      </c>
      <c r="M908" s="1">
        <v>0.0</v>
      </c>
      <c r="N908" s="1">
        <v>1.0</v>
      </c>
      <c r="O908" s="1" t="s">
        <v>315</v>
      </c>
      <c r="P908" s="1" t="s">
        <v>25</v>
      </c>
      <c r="Q908" s="2" t="str">
        <f t="shared" si="1"/>
        <v>H019227</v>
      </c>
    </row>
    <row r="909">
      <c r="A909" s="1" t="s">
        <v>4609</v>
      </c>
      <c r="B909" s="1" t="s">
        <v>4610</v>
      </c>
      <c r="C909" s="1" t="s">
        <v>4611</v>
      </c>
      <c r="D909" s="1" t="s">
        <v>4612</v>
      </c>
      <c r="E909" s="1">
        <v>3292.0</v>
      </c>
      <c r="F909" s="1" t="s">
        <v>315</v>
      </c>
      <c r="G909" s="1">
        <v>555127.0</v>
      </c>
      <c r="H909" s="1" t="s">
        <v>3047</v>
      </c>
      <c r="I909" s="1" t="s">
        <v>1051</v>
      </c>
      <c r="J909" s="1"/>
      <c r="K909" s="1" t="s">
        <v>23</v>
      </c>
      <c r="L909" s="1" t="s">
        <v>4613</v>
      </c>
      <c r="M909" s="1">
        <v>0.0</v>
      </c>
      <c r="N909" s="1">
        <v>1.0</v>
      </c>
      <c r="O909" s="1" t="s">
        <v>315</v>
      </c>
      <c r="P909" s="1" t="s">
        <v>25</v>
      </c>
      <c r="Q909" s="2" t="str">
        <f t="shared" si="1"/>
        <v>H019227</v>
      </c>
    </row>
    <row r="910">
      <c r="A910" s="1" t="s">
        <v>4614</v>
      </c>
      <c r="B910" s="1" t="s">
        <v>4615</v>
      </c>
      <c r="C910" s="1" t="s">
        <v>4616</v>
      </c>
      <c r="D910" s="1" t="s">
        <v>4617</v>
      </c>
      <c r="E910" s="1">
        <v>2716.0</v>
      </c>
      <c r="F910" s="1" t="s">
        <v>315</v>
      </c>
      <c r="G910" s="1">
        <v>555127.0</v>
      </c>
      <c r="H910" s="1" t="s">
        <v>3047</v>
      </c>
      <c r="I910" s="1" t="s">
        <v>1051</v>
      </c>
      <c r="J910" s="1"/>
      <c r="K910" s="1" t="s">
        <v>23</v>
      </c>
      <c r="L910" s="1" t="s">
        <v>4618</v>
      </c>
      <c r="M910" s="1">
        <v>0.0</v>
      </c>
      <c r="N910" s="1">
        <v>1.0</v>
      </c>
      <c r="O910" s="1" t="s">
        <v>315</v>
      </c>
      <c r="P910" s="1" t="s">
        <v>25</v>
      </c>
      <c r="Q910" s="2" t="str">
        <f t="shared" si="1"/>
        <v>H019227</v>
      </c>
    </row>
    <row r="911">
      <c r="A911" s="1" t="s">
        <v>4619</v>
      </c>
      <c r="B911" s="1" t="s">
        <v>4620</v>
      </c>
      <c r="C911" s="1" t="s">
        <v>4621</v>
      </c>
      <c r="D911" s="1" t="s">
        <v>4622</v>
      </c>
      <c r="E911" s="1">
        <v>4562.0</v>
      </c>
      <c r="F911" s="1" t="s">
        <v>315</v>
      </c>
      <c r="G911" s="1">
        <v>555127.0</v>
      </c>
      <c r="H911" s="1" t="s">
        <v>3047</v>
      </c>
      <c r="I911" s="1" t="s">
        <v>1051</v>
      </c>
      <c r="J911" s="1"/>
      <c r="K911" s="1" t="s">
        <v>23</v>
      </c>
      <c r="L911" s="1" t="s">
        <v>4623</v>
      </c>
      <c r="M911" s="1">
        <v>0.0</v>
      </c>
      <c r="N911" s="1">
        <v>1.0</v>
      </c>
      <c r="O911" s="1" t="s">
        <v>315</v>
      </c>
      <c r="P911" s="1" t="s">
        <v>25</v>
      </c>
      <c r="Q911" s="2" t="str">
        <f t="shared" si="1"/>
        <v>H019227</v>
      </c>
    </row>
    <row r="912">
      <c r="A912" s="1" t="s">
        <v>4624</v>
      </c>
      <c r="B912" s="1" t="s">
        <v>4625</v>
      </c>
      <c r="C912" s="1" t="s">
        <v>4626</v>
      </c>
      <c r="D912" s="1" t="s">
        <v>4627</v>
      </c>
      <c r="E912" s="1">
        <v>3460.0</v>
      </c>
      <c r="F912" s="1" t="s">
        <v>288</v>
      </c>
      <c r="G912" s="1">
        <v>859767.0</v>
      </c>
      <c r="H912" s="1" t="s">
        <v>2565</v>
      </c>
      <c r="I912" s="1" t="s">
        <v>1051</v>
      </c>
      <c r="J912" s="1"/>
      <c r="K912" s="1" t="s">
        <v>23</v>
      </c>
      <c r="L912" s="1" t="s">
        <v>4628</v>
      </c>
      <c r="M912" s="1">
        <v>1.0</v>
      </c>
      <c r="N912" s="1">
        <v>1.0</v>
      </c>
      <c r="O912" s="1" t="s">
        <v>288</v>
      </c>
      <c r="P912" s="1" t="s">
        <v>25</v>
      </c>
      <c r="Q912" s="2" t="str">
        <f t="shared" si="1"/>
        <v>H019506</v>
      </c>
    </row>
    <row r="913">
      <c r="A913" s="1" t="s">
        <v>4629</v>
      </c>
      <c r="B913" s="1" t="s">
        <v>4630</v>
      </c>
      <c r="C913" s="1" t="s">
        <v>4631</v>
      </c>
      <c r="D913" s="1" t="s">
        <v>4632</v>
      </c>
      <c r="E913" s="1">
        <v>5734.0</v>
      </c>
      <c r="F913" s="1" t="s">
        <v>288</v>
      </c>
      <c r="G913" s="1">
        <v>859767.0</v>
      </c>
      <c r="H913" s="1" t="s">
        <v>2565</v>
      </c>
      <c r="I913" s="1" t="s">
        <v>1051</v>
      </c>
      <c r="J913" s="1"/>
      <c r="K913" s="1" t="s">
        <v>23</v>
      </c>
      <c r="L913" s="1" t="s">
        <v>4633</v>
      </c>
      <c r="M913" s="1">
        <v>1.0</v>
      </c>
      <c r="N913" s="1">
        <v>1.0</v>
      </c>
      <c r="O913" s="1" t="s">
        <v>288</v>
      </c>
      <c r="P913" s="1" t="s">
        <v>25</v>
      </c>
      <c r="Q913" s="2" t="str">
        <f t="shared" si="1"/>
        <v>H019506</v>
      </c>
    </row>
    <row r="914">
      <c r="A914" s="1" t="s">
        <v>4634</v>
      </c>
      <c r="B914" s="1" t="s">
        <v>4635</v>
      </c>
      <c r="C914" s="1" t="s">
        <v>4636</v>
      </c>
      <c r="D914" s="1" t="s">
        <v>4637</v>
      </c>
      <c r="E914" s="1">
        <v>4472.0</v>
      </c>
      <c r="F914" s="1" t="s">
        <v>288</v>
      </c>
      <c r="G914" s="1">
        <v>859767.0</v>
      </c>
      <c r="H914" s="1" t="s">
        <v>2565</v>
      </c>
      <c r="I914" s="1" t="s">
        <v>1051</v>
      </c>
      <c r="J914" s="1"/>
      <c r="K914" s="1" t="s">
        <v>23</v>
      </c>
      <c r="L914" s="1" t="s">
        <v>4638</v>
      </c>
      <c r="M914" s="1">
        <v>1.0</v>
      </c>
      <c r="N914" s="1">
        <v>1.0</v>
      </c>
      <c r="O914" s="1" t="s">
        <v>288</v>
      </c>
      <c r="P914" s="1" t="s">
        <v>25</v>
      </c>
      <c r="Q914" s="2" t="str">
        <f t="shared" si="1"/>
        <v>H019506</v>
      </c>
    </row>
    <row r="915">
      <c r="A915" s="1" t="s">
        <v>4639</v>
      </c>
      <c r="B915" s="1" t="s">
        <v>4640</v>
      </c>
      <c r="C915" s="1" t="s">
        <v>4641</v>
      </c>
      <c r="D915" s="1" t="s">
        <v>4642</v>
      </c>
      <c r="E915" s="1">
        <v>3045.0</v>
      </c>
      <c r="F915" s="1" t="s">
        <v>288</v>
      </c>
      <c r="G915" s="1">
        <v>729375.0</v>
      </c>
      <c r="H915" s="1" t="s">
        <v>1050</v>
      </c>
      <c r="I915" s="1" t="s">
        <v>1051</v>
      </c>
      <c r="J915" s="1"/>
      <c r="K915" s="1" t="s">
        <v>23</v>
      </c>
      <c r="L915" s="1" t="s">
        <v>4643</v>
      </c>
      <c r="M915" s="1">
        <v>1.0</v>
      </c>
      <c r="N915" s="1">
        <v>1.0</v>
      </c>
      <c r="O915" s="1" t="s">
        <v>288</v>
      </c>
      <c r="P915" s="1" t="s">
        <v>25</v>
      </c>
      <c r="Q915" s="2" t="str">
        <f t="shared" si="1"/>
        <v>H019506</v>
      </c>
    </row>
    <row r="916">
      <c r="A916" s="1" t="s">
        <v>4644</v>
      </c>
      <c r="B916" s="1" t="s">
        <v>4645</v>
      </c>
      <c r="C916" s="1" t="s">
        <v>4646</v>
      </c>
      <c r="D916" s="1" t="s">
        <v>4647</v>
      </c>
      <c r="E916" s="1">
        <v>2064.0</v>
      </c>
      <c r="F916" s="1" t="s">
        <v>288</v>
      </c>
      <c r="G916" s="1">
        <v>729375.0</v>
      </c>
      <c r="H916" s="1" t="s">
        <v>1050</v>
      </c>
      <c r="I916" s="1" t="s">
        <v>1051</v>
      </c>
      <c r="J916" s="1"/>
      <c r="K916" s="1" t="s">
        <v>23</v>
      </c>
      <c r="L916" s="1" t="s">
        <v>4648</v>
      </c>
      <c r="M916" s="1">
        <v>1.0</v>
      </c>
      <c r="N916" s="1">
        <v>1.0</v>
      </c>
      <c r="O916" s="1" t="s">
        <v>288</v>
      </c>
      <c r="P916" s="1" t="s">
        <v>25</v>
      </c>
      <c r="Q916" s="2" t="str">
        <f t="shared" si="1"/>
        <v>H019506</v>
      </c>
    </row>
    <row r="917">
      <c r="A917" s="1" t="s">
        <v>4649</v>
      </c>
      <c r="B917" s="1" t="s">
        <v>4650</v>
      </c>
      <c r="C917" s="1" t="s">
        <v>4651</v>
      </c>
      <c r="D917" s="1" t="s">
        <v>4652</v>
      </c>
      <c r="E917" s="1">
        <v>1773.0</v>
      </c>
      <c r="F917" s="1" t="s">
        <v>288</v>
      </c>
      <c r="G917" s="1">
        <v>729375.0</v>
      </c>
      <c r="H917" s="1" t="s">
        <v>1050</v>
      </c>
      <c r="I917" s="1" t="s">
        <v>1051</v>
      </c>
      <c r="J917" s="1"/>
      <c r="K917" s="1" t="s">
        <v>23</v>
      </c>
      <c r="L917" s="1" t="s">
        <v>4653</v>
      </c>
      <c r="M917" s="1">
        <v>1.0</v>
      </c>
      <c r="N917" s="1">
        <v>1.0</v>
      </c>
      <c r="O917" s="1" t="s">
        <v>288</v>
      </c>
      <c r="P917" s="1" t="s">
        <v>25</v>
      </c>
      <c r="Q917" s="2" t="str">
        <f t="shared" si="1"/>
        <v>H019506</v>
      </c>
    </row>
    <row r="918">
      <c r="A918" s="1" t="s">
        <v>4654</v>
      </c>
      <c r="B918" s="1" t="s">
        <v>4655</v>
      </c>
      <c r="C918" s="1" t="s">
        <v>4656</v>
      </c>
      <c r="D918" s="1" t="s">
        <v>4657</v>
      </c>
      <c r="E918" s="1">
        <v>4564.0</v>
      </c>
      <c r="F918" s="1" t="s">
        <v>288</v>
      </c>
      <c r="G918" s="1" t="s">
        <v>304</v>
      </c>
      <c r="H918" s="1" t="s">
        <v>272</v>
      </c>
      <c r="I918" s="1" t="s">
        <v>1051</v>
      </c>
      <c r="J918" s="1"/>
      <c r="K918" s="1" t="s">
        <v>23</v>
      </c>
      <c r="L918" s="1" t="s">
        <v>4658</v>
      </c>
      <c r="M918" s="1">
        <v>1.0</v>
      </c>
      <c r="N918" s="1">
        <v>1.0</v>
      </c>
      <c r="O918" s="1" t="s">
        <v>288</v>
      </c>
      <c r="P918" s="1" t="s">
        <v>25</v>
      </c>
      <c r="Q918" s="2" t="str">
        <f t="shared" si="1"/>
        <v>H019506</v>
      </c>
    </row>
    <row r="919">
      <c r="A919" s="1" t="s">
        <v>4659</v>
      </c>
      <c r="B919" s="1" t="s">
        <v>4660</v>
      </c>
      <c r="C919" s="1" t="s">
        <v>4661</v>
      </c>
      <c r="D919" s="1" t="s">
        <v>4662</v>
      </c>
      <c r="E919" s="1">
        <v>3079.0</v>
      </c>
      <c r="F919" s="1" t="s">
        <v>288</v>
      </c>
      <c r="G919" s="1" t="s">
        <v>304</v>
      </c>
      <c r="H919" s="1" t="s">
        <v>272</v>
      </c>
      <c r="I919" s="1" t="s">
        <v>1051</v>
      </c>
      <c r="J919" s="1"/>
      <c r="K919" s="1" t="s">
        <v>23</v>
      </c>
      <c r="L919" s="1" t="s">
        <v>4663</v>
      </c>
      <c r="M919" s="1">
        <v>1.0</v>
      </c>
      <c r="N919" s="1">
        <v>1.0</v>
      </c>
      <c r="O919" s="1" t="s">
        <v>288</v>
      </c>
      <c r="P919" s="1" t="s">
        <v>25</v>
      </c>
      <c r="Q919" s="2" t="str">
        <f t="shared" si="1"/>
        <v>H019506</v>
      </c>
    </row>
    <row r="920">
      <c r="A920" s="1" t="s">
        <v>4664</v>
      </c>
      <c r="B920" s="1" t="s">
        <v>4665</v>
      </c>
      <c r="C920" s="1" t="s">
        <v>4666</v>
      </c>
      <c r="D920" s="1" t="s">
        <v>4667</v>
      </c>
      <c r="E920" s="1">
        <v>3741.0</v>
      </c>
      <c r="F920" s="1" t="s">
        <v>288</v>
      </c>
      <c r="G920" s="1">
        <v>859767.0</v>
      </c>
      <c r="H920" s="1" t="s">
        <v>2565</v>
      </c>
      <c r="I920" s="1" t="s">
        <v>1051</v>
      </c>
      <c r="J920" s="1"/>
      <c r="K920" s="1" t="s">
        <v>23</v>
      </c>
      <c r="L920" s="1" t="s">
        <v>4668</v>
      </c>
      <c r="M920" s="1">
        <v>1.0</v>
      </c>
      <c r="N920" s="1">
        <v>1.0</v>
      </c>
      <c r="O920" s="1" t="s">
        <v>288</v>
      </c>
      <c r="P920" s="1" t="s">
        <v>488</v>
      </c>
      <c r="Q920" s="2" t="str">
        <f t="shared" si="1"/>
        <v>H019506</v>
      </c>
    </row>
    <row r="921">
      <c r="A921" s="1" t="s">
        <v>4669</v>
      </c>
      <c r="B921" s="1" t="s">
        <v>4670</v>
      </c>
      <c r="C921" s="1" t="s">
        <v>4671</v>
      </c>
      <c r="D921" s="1" t="s">
        <v>4672</v>
      </c>
      <c r="E921" s="1">
        <v>3230.0</v>
      </c>
      <c r="F921" s="1" t="s">
        <v>288</v>
      </c>
      <c r="G921" s="1" t="s">
        <v>304</v>
      </c>
      <c r="H921" s="1" t="s">
        <v>272</v>
      </c>
      <c r="I921" s="1" t="s">
        <v>1051</v>
      </c>
      <c r="J921" s="1"/>
      <c r="K921" s="1" t="s">
        <v>23</v>
      </c>
      <c r="L921" s="1" t="s">
        <v>4673</v>
      </c>
      <c r="M921" s="1">
        <v>1.0</v>
      </c>
      <c r="N921" s="1">
        <v>1.0</v>
      </c>
      <c r="O921" s="1" t="s">
        <v>288</v>
      </c>
      <c r="P921" s="1" t="s">
        <v>25</v>
      </c>
      <c r="Q921" s="2" t="str">
        <f t="shared" si="1"/>
        <v>H019506</v>
      </c>
    </row>
    <row r="922">
      <c r="A922" s="1" t="s">
        <v>4674</v>
      </c>
      <c r="B922" s="1" t="s">
        <v>4675</v>
      </c>
      <c r="C922" s="1" t="s">
        <v>4676</v>
      </c>
      <c r="D922" s="1" t="s">
        <v>4677</v>
      </c>
      <c r="E922" s="1">
        <v>2626.0</v>
      </c>
      <c r="F922" s="1" t="s">
        <v>498</v>
      </c>
      <c r="G922" s="1">
        <v>896791.0</v>
      </c>
      <c r="H922" s="1" t="s">
        <v>2124</v>
      </c>
      <c r="I922" s="1" t="s">
        <v>1112</v>
      </c>
      <c r="J922" s="1"/>
      <c r="K922" s="1" t="s">
        <v>23</v>
      </c>
      <c r="L922" s="1" t="s">
        <v>4678</v>
      </c>
      <c r="M922" s="1">
        <v>2.0</v>
      </c>
      <c r="N922" s="1">
        <v>1.0</v>
      </c>
      <c r="O922" s="1" t="s">
        <v>498</v>
      </c>
      <c r="P922" s="1" t="s">
        <v>25</v>
      </c>
      <c r="Q922" s="2" t="str">
        <f t="shared" si="1"/>
        <v>H030060</v>
      </c>
    </row>
    <row r="923">
      <c r="A923" s="1" t="s">
        <v>4679</v>
      </c>
      <c r="B923" s="1" t="s">
        <v>4680</v>
      </c>
      <c r="C923" s="1" t="s">
        <v>4681</v>
      </c>
      <c r="D923" s="1" t="s">
        <v>4682</v>
      </c>
      <c r="E923" s="1">
        <v>4676.0</v>
      </c>
      <c r="F923" s="1" t="s">
        <v>498</v>
      </c>
      <c r="G923" s="1">
        <v>896791.0</v>
      </c>
      <c r="H923" s="1" t="s">
        <v>2124</v>
      </c>
      <c r="I923" s="1" t="s">
        <v>1112</v>
      </c>
      <c r="J923" s="1"/>
      <c r="K923" s="1" t="s">
        <v>23</v>
      </c>
      <c r="L923" s="1" t="s">
        <v>4683</v>
      </c>
      <c r="M923" s="1">
        <v>2.0</v>
      </c>
      <c r="N923" s="1">
        <v>1.0</v>
      </c>
      <c r="O923" s="1" t="s">
        <v>498</v>
      </c>
      <c r="P923" s="1" t="s">
        <v>25</v>
      </c>
      <c r="Q923" s="2" t="str">
        <f t="shared" si="1"/>
        <v>H030060</v>
      </c>
    </row>
    <row r="924">
      <c r="A924" s="1" t="s">
        <v>4684</v>
      </c>
      <c r="B924" s="1" t="s">
        <v>4685</v>
      </c>
      <c r="C924" s="1" t="s">
        <v>4686</v>
      </c>
      <c r="D924" s="1" t="s">
        <v>4687</v>
      </c>
      <c r="E924" s="1">
        <v>3389.0</v>
      </c>
      <c r="F924" s="1" t="s">
        <v>498</v>
      </c>
      <c r="G924" s="1">
        <v>896791.0</v>
      </c>
      <c r="H924" s="1" t="s">
        <v>2124</v>
      </c>
      <c r="I924" s="1" t="s">
        <v>1112</v>
      </c>
      <c r="J924" s="1"/>
      <c r="K924" s="1" t="s">
        <v>23</v>
      </c>
      <c r="L924" s="1" t="s">
        <v>4688</v>
      </c>
      <c r="M924" s="1">
        <v>2.0</v>
      </c>
      <c r="N924" s="1">
        <v>1.0</v>
      </c>
      <c r="O924" s="1" t="s">
        <v>498</v>
      </c>
      <c r="P924" s="1" t="s">
        <v>25</v>
      </c>
      <c r="Q924" s="2" t="str">
        <f t="shared" si="1"/>
        <v>H030060</v>
      </c>
    </row>
    <row r="925">
      <c r="A925" s="1" t="s">
        <v>4689</v>
      </c>
      <c r="B925" s="1" t="s">
        <v>4690</v>
      </c>
      <c r="C925" s="1" t="s">
        <v>4691</v>
      </c>
      <c r="D925" s="1" t="s">
        <v>4692</v>
      </c>
      <c r="E925" s="1">
        <v>4732.0</v>
      </c>
      <c r="F925" s="1" t="s">
        <v>498</v>
      </c>
      <c r="G925" s="1">
        <v>896791.0</v>
      </c>
      <c r="H925" s="1" t="s">
        <v>2124</v>
      </c>
      <c r="I925" s="1" t="s">
        <v>1112</v>
      </c>
      <c r="J925" s="1"/>
      <c r="K925" s="1" t="s">
        <v>23</v>
      </c>
      <c r="L925" s="1" t="s">
        <v>4693</v>
      </c>
      <c r="M925" s="1">
        <v>2.0</v>
      </c>
      <c r="N925" s="1">
        <v>1.0</v>
      </c>
      <c r="O925" s="1" t="s">
        <v>498</v>
      </c>
      <c r="P925" s="1" t="s">
        <v>25</v>
      </c>
      <c r="Q925" s="2" t="str">
        <f t="shared" si="1"/>
        <v>H030060</v>
      </c>
    </row>
    <row r="926">
      <c r="A926" s="1" t="s">
        <v>4694</v>
      </c>
      <c r="B926" s="1" t="s">
        <v>4695</v>
      </c>
      <c r="C926" s="1" t="s">
        <v>4696</v>
      </c>
      <c r="D926" s="1" t="s">
        <v>4697</v>
      </c>
      <c r="E926" s="1">
        <v>6002.0</v>
      </c>
      <c r="F926" s="1" t="s">
        <v>498</v>
      </c>
      <c r="G926" s="1" t="s">
        <v>132</v>
      </c>
      <c r="H926" s="1" t="s">
        <v>133</v>
      </c>
      <c r="I926" s="1" t="s">
        <v>1112</v>
      </c>
      <c r="J926" s="1"/>
      <c r="K926" s="1" t="s">
        <v>23</v>
      </c>
      <c r="L926" s="1" t="s">
        <v>4698</v>
      </c>
      <c r="M926" s="1">
        <v>2.0</v>
      </c>
      <c r="N926" s="1">
        <v>1.0</v>
      </c>
      <c r="O926" s="1" t="s">
        <v>498</v>
      </c>
      <c r="P926" s="1" t="s">
        <v>25</v>
      </c>
      <c r="Q926" s="2" t="str">
        <f t="shared" si="1"/>
        <v>H030060</v>
      </c>
    </row>
    <row r="927">
      <c r="A927" s="1" t="s">
        <v>4699</v>
      </c>
      <c r="B927" s="1" t="s">
        <v>4700</v>
      </c>
      <c r="C927" s="1" t="s">
        <v>4701</v>
      </c>
      <c r="D927" s="1" t="s">
        <v>4702</v>
      </c>
      <c r="E927" s="1">
        <v>6008.0</v>
      </c>
      <c r="F927" s="1" t="s">
        <v>498</v>
      </c>
      <c r="G927" s="1" t="s">
        <v>132</v>
      </c>
      <c r="H927" s="1" t="s">
        <v>133</v>
      </c>
      <c r="I927" s="1" t="s">
        <v>1112</v>
      </c>
      <c r="J927" s="1"/>
      <c r="K927" s="1" t="s">
        <v>23</v>
      </c>
      <c r="L927" s="1" t="s">
        <v>4703</v>
      </c>
      <c r="M927" s="1">
        <v>2.0</v>
      </c>
      <c r="N927" s="1">
        <v>1.0</v>
      </c>
      <c r="O927" s="1" t="s">
        <v>498</v>
      </c>
      <c r="P927" s="1" t="s">
        <v>25</v>
      </c>
      <c r="Q927" s="2" t="str">
        <f t="shared" si="1"/>
        <v>H030060</v>
      </c>
    </row>
    <row r="928">
      <c r="A928" s="1" t="s">
        <v>4704</v>
      </c>
      <c r="B928" s="1" t="s">
        <v>4705</v>
      </c>
      <c r="C928" s="1" t="s">
        <v>4706</v>
      </c>
      <c r="D928" s="1" t="s">
        <v>4707</v>
      </c>
      <c r="E928" s="1">
        <v>2319.0</v>
      </c>
      <c r="F928" s="1" t="s">
        <v>498</v>
      </c>
      <c r="G928" s="1" t="s">
        <v>132</v>
      </c>
      <c r="H928" s="1" t="s">
        <v>133</v>
      </c>
      <c r="I928" s="1" t="s">
        <v>1112</v>
      </c>
      <c r="J928" s="1"/>
      <c r="K928" s="1" t="s">
        <v>23</v>
      </c>
      <c r="L928" s="1" t="s">
        <v>4708</v>
      </c>
      <c r="M928" s="1">
        <v>2.0</v>
      </c>
      <c r="N928" s="1">
        <v>1.0</v>
      </c>
      <c r="O928" s="1" t="s">
        <v>498</v>
      </c>
      <c r="P928" s="1" t="s">
        <v>25</v>
      </c>
      <c r="Q928" s="2" t="str">
        <f t="shared" si="1"/>
        <v>H030060</v>
      </c>
    </row>
    <row r="929">
      <c r="A929" s="1" t="s">
        <v>4709</v>
      </c>
      <c r="B929" s="1" t="s">
        <v>4710</v>
      </c>
      <c r="C929" s="1" t="s">
        <v>4711</v>
      </c>
      <c r="D929" s="1" t="s">
        <v>4712</v>
      </c>
      <c r="E929" s="1">
        <v>4235.0</v>
      </c>
      <c r="F929" s="1" t="s">
        <v>498</v>
      </c>
      <c r="G929" s="1" t="s">
        <v>220</v>
      </c>
      <c r="H929" s="1" t="s">
        <v>221</v>
      </c>
      <c r="I929" s="1" t="s">
        <v>1112</v>
      </c>
      <c r="J929" s="1"/>
      <c r="K929" s="1" t="s">
        <v>23</v>
      </c>
      <c r="L929" s="1" t="s">
        <v>4713</v>
      </c>
      <c r="M929" s="1">
        <v>2.0</v>
      </c>
      <c r="N929" s="1">
        <v>1.0</v>
      </c>
      <c r="O929" s="1" t="s">
        <v>498</v>
      </c>
      <c r="P929" s="1" t="s">
        <v>25</v>
      </c>
      <c r="Q929" s="2" t="str">
        <f t="shared" si="1"/>
        <v>H030060</v>
      </c>
    </row>
    <row r="930">
      <c r="A930" s="1" t="s">
        <v>4714</v>
      </c>
      <c r="B930" s="1" t="s">
        <v>4715</v>
      </c>
      <c r="C930" s="1" t="s">
        <v>4716</v>
      </c>
      <c r="D930" s="1" t="s">
        <v>4717</v>
      </c>
      <c r="E930" s="1">
        <v>2790.0</v>
      </c>
      <c r="F930" s="1" t="s">
        <v>498</v>
      </c>
      <c r="G930" s="1" t="s">
        <v>220</v>
      </c>
      <c r="H930" s="1" t="s">
        <v>221</v>
      </c>
      <c r="I930" s="1" t="s">
        <v>1112</v>
      </c>
      <c r="J930" s="1"/>
      <c r="K930" s="1" t="s">
        <v>23</v>
      </c>
      <c r="L930" s="1" t="s">
        <v>4718</v>
      </c>
      <c r="M930" s="1">
        <v>2.0</v>
      </c>
      <c r="N930" s="1">
        <v>1.0</v>
      </c>
      <c r="O930" s="1" t="s">
        <v>498</v>
      </c>
      <c r="P930" s="1" t="s">
        <v>25</v>
      </c>
      <c r="Q930" s="2" t="str">
        <f t="shared" si="1"/>
        <v>H030060</v>
      </c>
    </row>
    <row r="931">
      <c r="A931" s="1" t="s">
        <v>4719</v>
      </c>
      <c r="B931" s="1" t="s">
        <v>4720</v>
      </c>
      <c r="C931" s="1" t="s">
        <v>4721</v>
      </c>
      <c r="D931" s="1" t="s">
        <v>4722</v>
      </c>
      <c r="E931" s="1">
        <v>4971.0</v>
      </c>
      <c r="F931" s="1" t="s">
        <v>498</v>
      </c>
      <c r="G931" s="1" t="s">
        <v>220</v>
      </c>
      <c r="H931" s="1" t="s">
        <v>221</v>
      </c>
      <c r="I931" s="1" t="s">
        <v>1112</v>
      </c>
      <c r="J931" s="1"/>
      <c r="K931" s="1" t="s">
        <v>23</v>
      </c>
      <c r="L931" s="1" t="s">
        <v>4723</v>
      </c>
      <c r="M931" s="1">
        <v>2.0</v>
      </c>
      <c r="N931" s="1">
        <v>1.0</v>
      </c>
      <c r="O931" s="1" t="s">
        <v>498</v>
      </c>
      <c r="P931" s="1" t="s">
        <v>25</v>
      </c>
      <c r="Q931" s="2" t="str">
        <f t="shared" si="1"/>
        <v>H030060</v>
      </c>
    </row>
    <row r="932">
      <c r="A932" s="1" t="s">
        <v>4724</v>
      </c>
      <c r="B932" s="1" t="s">
        <v>4725</v>
      </c>
      <c r="C932" s="1" t="s">
        <v>4726</v>
      </c>
      <c r="D932" s="1" t="s">
        <v>4727</v>
      </c>
      <c r="E932" s="1">
        <v>4372.0</v>
      </c>
      <c r="F932" s="1" t="s">
        <v>498</v>
      </c>
      <c r="G932" s="1" t="s">
        <v>167</v>
      </c>
      <c r="H932" s="1" t="s">
        <v>168</v>
      </c>
      <c r="I932" s="1" t="s">
        <v>1112</v>
      </c>
      <c r="J932" s="1"/>
      <c r="K932" s="1" t="s">
        <v>23</v>
      </c>
      <c r="L932" s="1" t="s">
        <v>4728</v>
      </c>
      <c r="M932" s="1">
        <v>2.0</v>
      </c>
      <c r="N932" s="1">
        <v>1.0</v>
      </c>
      <c r="O932" s="1" t="s">
        <v>498</v>
      </c>
      <c r="P932" s="1" t="s">
        <v>25</v>
      </c>
      <c r="Q932" s="2" t="str">
        <f t="shared" si="1"/>
        <v>H030060</v>
      </c>
    </row>
    <row r="933">
      <c r="A933" s="1" t="s">
        <v>4729</v>
      </c>
      <c r="B933" s="1" t="s">
        <v>4730</v>
      </c>
      <c r="C933" s="1" t="s">
        <v>4731</v>
      </c>
      <c r="D933" s="1" t="s">
        <v>4732</v>
      </c>
      <c r="E933" s="1">
        <v>4412.0</v>
      </c>
      <c r="F933" s="1" t="s">
        <v>498</v>
      </c>
      <c r="G933" s="1" t="s">
        <v>167</v>
      </c>
      <c r="H933" s="1" t="s">
        <v>168</v>
      </c>
      <c r="I933" s="1" t="s">
        <v>1112</v>
      </c>
      <c r="J933" s="1"/>
      <c r="K933" s="1" t="s">
        <v>23</v>
      </c>
      <c r="L933" s="1" t="s">
        <v>4733</v>
      </c>
      <c r="M933" s="1">
        <v>2.0</v>
      </c>
      <c r="N933" s="1">
        <v>1.0</v>
      </c>
      <c r="O933" s="1" t="s">
        <v>498</v>
      </c>
      <c r="P933" s="1" t="s">
        <v>25</v>
      </c>
      <c r="Q933" s="2" t="str">
        <f t="shared" si="1"/>
        <v>H030060</v>
      </c>
    </row>
    <row r="934">
      <c r="A934" s="1" t="s">
        <v>4734</v>
      </c>
      <c r="B934" s="1" t="s">
        <v>4735</v>
      </c>
      <c r="C934" s="1" t="s">
        <v>4736</v>
      </c>
      <c r="D934" s="1" t="s">
        <v>4737</v>
      </c>
      <c r="E934" s="1">
        <v>3623.0</v>
      </c>
      <c r="F934" s="1" t="s">
        <v>498</v>
      </c>
      <c r="G934" s="1" t="s">
        <v>167</v>
      </c>
      <c r="H934" s="1" t="s">
        <v>168</v>
      </c>
      <c r="I934" s="1" t="s">
        <v>1112</v>
      </c>
      <c r="J934" s="1"/>
      <c r="K934" s="1" t="s">
        <v>23</v>
      </c>
      <c r="L934" s="1" t="s">
        <v>4738</v>
      </c>
      <c r="M934" s="1">
        <v>2.0</v>
      </c>
      <c r="N934" s="1">
        <v>1.0</v>
      </c>
      <c r="O934" s="1" t="s">
        <v>498</v>
      </c>
      <c r="P934" s="1" t="s">
        <v>25</v>
      </c>
      <c r="Q934" s="2" t="str">
        <f t="shared" si="1"/>
        <v>H030060</v>
      </c>
    </row>
    <row r="935">
      <c r="A935" s="1" t="s">
        <v>4739</v>
      </c>
      <c r="B935" s="1" t="s">
        <v>4740</v>
      </c>
      <c r="C935" s="1" t="s">
        <v>4741</v>
      </c>
      <c r="D935" s="1" t="s">
        <v>4742</v>
      </c>
      <c r="E935" s="1">
        <v>174.0</v>
      </c>
      <c r="F935" s="1" t="s">
        <v>398</v>
      </c>
      <c r="G935" s="1" t="s">
        <v>232</v>
      </c>
      <c r="H935" s="1" t="s">
        <v>233</v>
      </c>
      <c r="I935" s="1" t="s">
        <v>1112</v>
      </c>
      <c r="J935" s="1"/>
      <c r="K935" s="1" t="s">
        <v>23</v>
      </c>
      <c r="L935" s="1" t="s">
        <v>4743</v>
      </c>
      <c r="M935" s="1">
        <v>1.0</v>
      </c>
      <c r="N935" s="1">
        <v>0.0</v>
      </c>
      <c r="O935" s="1" t="s">
        <v>398</v>
      </c>
      <c r="P935" s="1" t="s">
        <v>25</v>
      </c>
      <c r="Q935" s="2" t="str">
        <f t="shared" si="1"/>
        <v>H030790</v>
      </c>
    </row>
    <row r="936">
      <c r="A936" s="1" t="s">
        <v>4744</v>
      </c>
      <c r="B936" s="1" t="s">
        <v>4745</v>
      </c>
      <c r="C936" s="1" t="s">
        <v>4746</v>
      </c>
      <c r="D936" s="1" t="s">
        <v>4747</v>
      </c>
      <c r="E936" s="1">
        <v>5817.0</v>
      </c>
      <c r="F936" s="1" t="s">
        <v>398</v>
      </c>
      <c r="G936" s="1" t="s">
        <v>232</v>
      </c>
      <c r="H936" s="1" t="s">
        <v>233</v>
      </c>
      <c r="I936" s="1" t="s">
        <v>1112</v>
      </c>
      <c r="J936" s="1"/>
      <c r="K936" s="1" t="s">
        <v>23</v>
      </c>
      <c r="L936" s="1" t="s">
        <v>4748</v>
      </c>
      <c r="M936" s="1">
        <v>1.0</v>
      </c>
      <c r="N936" s="1">
        <v>1.0</v>
      </c>
      <c r="O936" s="1" t="s">
        <v>398</v>
      </c>
      <c r="P936" s="1" t="s">
        <v>25</v>
      </c>
      <c r="Q936" s="2" t="str">
        <f t="shared" si="1"/>
        <v>H030790</v>
      </c>
    </row>
    <row r="937">
      <c r="A937" s="1" t="s">
        <v>4749</v>
      </c>
      <c r="B937" s="1" t="s">
        <v>4750</v>
      </c>
      <c r="C937" s="1" t="s">
        <v>4751</v>
      </c>
      <c r="D937" s="1" t="s">
        <v>4752</v>
      </c>
      <c r="E937" s="1">
        <v>3269.0</v>
      </c>
      <c r="F937" s="1" t="s">
        <v>398</v>
      </c>
      <c r="G937" s="1" t="s">
        <v>232</v>
      </c>
      <c r="H937" s="1" t="s">
        <v>233</v>
      </c>
      <c r="I937" s="1" t="s">
        <v>1112</v>
      </c>
      <c r="J937" s="1"/>
      <c r="K937" s="1" t="s">
        <v>23</v>
      </c>
      <c r="L937" s="1" t="s">
        <v>4753</v>
      </c>
      <c r="M937" s="1">
        <v>1.0</v>
      </c>
      <c r="N937" s="1">
        <v>1.0</v>
      </c>
      <c r="O937" s="1" t="s">
        <v>398</v>
      </c>
      <c r="P937" s="1" t="s">
        <v>25</v>
      </c>
      <c r="Q937" s="2" t="str">
        <f t="shared" si="1"/>
        <v>H030790</v>
      </c>
    </row>
    <row r="938">
      <c r="A938" s="1" t="s">
        <v>4754</v>
      </c>
      <c r="B938" s="1" t="s">
        <v>4755</v>
      </c>
      <c r="C938" s="1" t="s">
        <v>4756</v>
      </c>
      <c r="D938" s="1" t="s">
        <v>4757</v>
      </c>
      <c r="E938" s="1">
        <v>4968.0</v>
      </c>
      <c r="F938" s="1" t="s">
        <v>398</v>
      </c>
      <c r="G938" s="1" t="s">
        <v>232</v>
      </c>
      <c r="H938" s="1" t="s">
        <v>233</v>
      </c>
      <c r="I938" s="1" t="s">
        <v>1112</v>
      </c>
      <c r="J938" s="1"/>
      <c r="K938" s="1" t="s">
        <v>23</v>
      </c>
      <c r="L938" s="1" t="s">
        <v>4758</v>
      </c>
      <c r="M938" s="1">
        <v>1.0</v>
      </c>
      <c r="N938" s="1">
        <v>1.0</v>
      </c>
      <c r="O938" s="1" t="s">
        <v>398</v>
      </c>
      <c r="P938" s="1" t="s">
        <v>25</v>
      </c>
      <c r="Q938" s="2" t="str">
        <f t="shared" si="1"/>
        <v>H030790</v>
      </c>
    </row>
    <row r="939">
      <c r="A939" s="1" t="s">
        <v>4759</v>
      </c>
      <c r="B939" s="1" t="s">
        <v>4760</v>
      </c>
      <c r="C939" s="1" t="s">
        <v>4761</v>
      </c>
      <c r="D939" s="1" t="s">
        <v>4762</v>
      </c>
      <c r="E939" s="1">
        <v>1587.0</v>
      </c>
      <c r="F939" s="1" t="s">
        <v>398</v>
      </c>
      <c r="G939" s="1" t="s">
        <v>155</v>
      </c>
      <c r="H939" s="1" t="s">
        <v>156</v>
      </c>
      <c r="I939" s="1" t="s">
        <v>1112</v>
      </c>
      <c r="J939" s="1"/>
      <c r="K939" s="1" t="s">
        <v>23</v>
      </c>
      <c r="L939" s="1" t="s">
        <v>4763</v>
      </c>
      <c r="M939" s="1">
        <v>1.0</v>
      </c>
      <c r="N939" s="1">
        <v>1.0</v>
      </c>
      <c r="O939" s="1" t="s">
        <v>398</v>
      </c>
      <c r="P939" s="1" t="s">
        <v>25</v>
      </c>
      <c r="Q939" s="2" t="str">
        <f t="shared" si="1"/>
        <v>H030790</v>
      </c>
    </row>
    <row r="940">
      <c r="A940" s="1" t="s">
        <v>4764</v>
      </c>
      <c r="B940" s="1" t="s">
        <v>4765</v>
      </c>
      <c r="C940" s="1" t="s">
        <v>4766</v>
      </c>
      <c r="D940" s="1" t="s">
        <v>4767</v>
      </c>
      <c r="E940" s="1">
        <v>4736.0</v>
      </c>
      <c r="F940" s="1" t="s">
        <v>398</v>
      </c>
      <c r="G940" s="1" t="s">
        <v>155</v>
      </c>
      <c r="H940" s="1" t="s">
        <v>156</v>
      </c>
      <c r="I940" s="1" t="s">
        <v>1112</v>
      </c>
      <c r="J940" s="1"/>
      <c r="K940" s="1" t="s">
        <v>23</v>
      </c>
      <c r="L940" s="1" t="s">
        <v>4768</v>
      </c>
      <c r="M940" s="1">
        <v>1.0</v>
      </c>
      <c r="N940" s="1">
        <v>1.0</v>
      </c>
      <c r="O940" s="1" t="s">
        <v>398</v>
      </c>
      <c r="P940" s="1" t="s">
        <v>25</v>
      </c>
      <c r="Q940" s="2" t="str">
        <f t="shared" si="1"/>
        <v>H030790</v>
      </c>
    </row>
    <row r="941">
      <c r="A941" s="1" t="s">
        <v>4769</v>
      </c>
      <c r="B941" s="1" t="s">
        <v>4770</v>
      </c>
      <c r="C941" s="1" t="s">
        <v>4771</v>
      </c>
      <c r="D941" s="1" t="s">
        <v>4772</v>
      </c>
      <c r="E941" s="1">
        <v>5794.0</v>
      </c>
      <c r="F941" s="1" t="s">
        <v>398</v>
      </c>
      <c r="G941" s="1" t="s">
        <v>179</v>
      </c>
      <c r="H941" s="1" t="s">
        <v>180</v>
      </c>
      <c r="I941" s="1" t="s">
        <v>1112</v>
      </c>
      <c r="J941" s="1"/>
      <c r="K941" s="1" t="s">
        <v>23</v>
      </c>
      <c r="L941" s="1" t="s">
        <v>4773</v>
      </c>
      <c r="M941" s="1">
        <v>1.0</v>
      </c>
      <c r="N941" s="1">
        <v>1.0</v>
      </c>
      <c r="O941" s="1" t="s">
        <v>398</v>
      </c>
      <c r="P941" s="1" t="s">
        <v>488</v>
      </c>
      <c r="Q941" s="2" t="str">
        <f t="shared" si="1"/>
        <v>H030790</v>
      </c>
    </row>
    <row r="942">
      <c r="A942" s="1" t="s">
        <v>4774</v>
      </c>
      <c r="B942" s="1" t="s">
        <v>4775</v>
      </c>
      <c r="C942" s="1" t="s">
        <v>4776</v>
      </c>
      <c r="D942" s="1" t="s">
        <v>4777</v>
      </c>
      <c r="E942" s="1">
        <v>2947.0</v>
      </c>
      <c r="F942" s="1" t="s">
        <v>398</v>
      </c>
      <c r="G942" s="1" t="s">
        <v>155</v>
      </c>
      <c r="H942" s="1" t="s">
        <v>156</v>
      </c>
      <c r="I942" s="1" t="s">
        <v>1112</v>
      </c>
      <c r="J942" s="1"/>
      <c r="K942" s="1" t="s">
        <v>23</v>
      </c>
      <c r="L942" s="1" t="s">
        <v>4778</v>
      </c>
      <c r="M942" s="1">
        <v>1.0</v>
      </c>
      <c r="N942" s="1">
        <v>1.0</v>
      </c>
      <c r="O942" s="1" t="s">
        <v>398</v>
      </c>
      <c r="P942" s="1" t="s">
        <v>25</v>
      </c>
      <c r="Q942" s="2" t="str">
        <f t="shared" si="1"/>
        <v>H030790</v>
      </c>
    </row>
    <row r="943">
      <c r="A943" s="1" t="s">
        <v>4779</v>
      </c>
      <c r="B943" s="1" t="s">
        <v>4780</v>
      </c>
      <c r="C943" s="1" t="s">
        <v>4781</v>
      </c>
      <c r="D943" s="1" t="s">
        <v>4782</v>
      </c>
      <c r="E943" s="1">
        <v>3111.0</v>
      </c>
      <c r="F943" s="1" t="s">
        <v>398</v>
      </c>
      <c r="G943" s="1" t="s">
        <v>155</v>
      </c>
      <c r="H943" s="1" t="s">
        <v>156</v>
      </c>
      <c r="I943" s="1" t="s">
        <v>1112</v>
      </c>
      <c r="J943" s="1"/>
      <c r="K943" s="1" t="s">
        <v>23</v>
      </c>
      <c r="L943" s="1" t="s">
        <v>4783</v>
      </c>
      <c r="M943" s="1">
        <v>1.0</v>
      </c>
      <c r="N943" s="1">
        <v>1.0</v>
      </c>
      <c r="O943" s="1" t="s">
        <v>398</v>
      </c>
      <c r="P943" s="1" t="s">
        <v>25</v>
      </c>
      <c r="Q943" s="2" t="str">
        <f t="shared" si="1"/>
        <v>H030790</v>
      </c>
    </row>
    <row r="944">
      <c r="A944" s="1" t="s">
        <v>4784</v>
      </c>
      <c r="B944" s="1" t="s">
        <v>4785</v>
      </c>
      <c r="C944" s="1" t="s">
        <v>4786</v>
      </c>
      <c r="D944" s="1" t="s">
        <v>4787</v>
      </c>
      <c r="E944" s="1">
        <v>5381.0</v>
      </c>
      <c r="F944" s="1" t="s">
        <v>351</v>
      </c>
      <c r="G944" s="1" t="s">
        <v>208</v>
      </c>
      <c r="H944" s="1" t="s">
        <v>209</v>
      </c>
      <c r="I944" s="1" t="s">
        <v>486</v>
      </c>
      <c r="J944" s="1"/>
      <c r="K944" s="1" t="s">
        <v>23</v>
      </c>
      <c r="L944" s="1" t="s">
        <v>4788</v>
      </c>
      <c r="M944" s="1">
        <v>3.0</v>
      </c>
      <c r="N944" s="1">
        <v>1.0</v>
      </c>
      <c r="O944" s="1" t="s">
        <v>351</v>
      </c>
      <c r="P944" s="1" t="s">
        <v>488</v>
      </c>
      <c r="Q944" s="2" t="str">
        <f t="shared" si="1"/>
        <v>H006525</v>
      </c>
    </row>
    <row r="945">
      <c r="A945" s="1" t="s">
        <v>4789</v>
      </c>
      <c r="B945" s="1" t="s">
        <v>4790</v>
      </c>
      <c r="C945" s="1" t="s">
        <v>4791</v>
      </c>
      <c r="D945" s="1" t="s">
        <v>4792</v>
      </c>
      <c r="E945" s="1">
        <v>3597.0</v>
      </c>
      <c r="F945" s="1" t="s">
        <v>351</v>
      </c>
      <c r="G945" s="1" t="s">
        <v>260</v>
      </c>
      <c r="H945" s="1" t="s">
        <v>261</v>
      </c>
      <c r="I945" s="1" t="s">
        <v>486</v>
      </c>
      <c r="J945" s="1"/>
      <c r="K945" s="1" t="s">
        <v>23</v>
      </c>
      <c r="L945" s="1" t="s">
        <v>4793</v>
      </c>
      <c r="M945" s="1">
        <v>3.0</v>
      </c>
      <c r="N945" s="1">
        <v>1.0</v>
      </c>
      <c r="O945" s="1" t="s">
        <v>351</v>
      </c>
      <c r="P945" s="1" t="s">
        <v>488</v>
      </c>
      <c r="Q945" s="2" t="str">
        <f t="shared" si="1"/>
        <v>H006525</v>
      </c>
    </row>
    <row r="946">
      <c r="A946" s="1" t="s">
        <v>4794</v>
      </c>
      <c r="B946" s="1" t="s">
        <v>4795</v>
      </c>
      <c r="C946" s="1" t="s">
        <v>4796</v>
      </c>
      <c r="D946" s="1" t="s">
        <v>4797</v>
      </c>
      <c r="E946" s="1">
        <v>2818.0</v>
      </c>
      <c r="F946" s="1" t="s">
        <v>351</v>
      </c>
      <c r="G946" s="1" t="s">
        <v>260</v>
      </c>
      <c r="H946" s="1" t="s">
        <v>261</v>
      </c>
      <c r="I946" s="1" t="s">
        <v>486</v>
      </c>
      <c r="J946" s="1"/>
      <c r="K946" s="1" t="s">
        <v>23</v>
      </c>
      <c r="L946" s="1" t="s">
        <v>4798</v>
      </c>
      <c r="M946" s="1">
        <v>3.0</v>
      </c>
      <c r="N946" s="1">
        <v>1.0</v>
      </c>
      <c r="O946" s="1" t="s">
        <v>351</v>
      </c>
      <c r="P946" s="1" t="s">
        <v>488</v>
      </c>
      <c r="Q946" s="2" t="str">
        <f t="shared" si="1"/>
        <v>H006525</v>
      </c>
    </row>
    <row r="947">
      <c r="A947" s="1" t="s">
        <v>4799</v>
      </c>
      <c r="B947" s="1" t="s">
        <v>4800</v>
      </c>
      <c r="C947" s="1" t="s">
        <v>4801</v>
      </c>
      <c r="D947" s="1" t="s">
        <v>4802</v>
      </c>
      <c r="E947" s="1">
        <v>5433.0</v>
      </c>
      <c r="F947" s="1" t="s">
        <v>351</v>
      </c>
      <c r="G947" s="1" t="s">
        <v>260</v>
      </c>
      <c r="H947" s="1" t="s">
        <v>261</v>
      </c>
      <c r="I947" s="1" t="s">
        <v>486</v>
      </c>
      <c r="J947" s="1"/>
      <c r="K947" s="1" t="s">
        <v>23</v>
      </c>
      <c r="L947" s="1" t="s">
        <v>4803</v>
      </c>
      <c r="M947" s="1">
        <v>3.0</v>
      </c>
      <c r="N947" s="1">
        <v>1.0</v>
      </c>
      <c r="O947" s="1" t="s">
        <v>351</v>
      </c>
      <c r="P947" s="1" t="s">
        <v>488</v>
      </c>
      <c r="Q947" s="2" t="str">
        <f t="shared" si="1"/>
        <v>H006525</v>
      </c>
    </row>
    <row r="948">
      <c r="A948" s="1" t="s">
        <v>4804</v>
      </c>
      <c r="B948" s="1" t="s">
        <v>4805</v>
      </c>
      <c r="C948" s="1" t="s">
        <v>4806</v>
      </c>
      <c r="D948" s="1" t="s">
        <v>4807</v>
      </c>
      <c r="E948" s="1">
        <v>4645.0</v>
      </c>
      <c r="F948" s="1" t="s">
        <v>351</v>
      </c>
      <c r="G948" s="1" t="s">
        <v>208</v>
      </c>
      <c r="H948" s="1" t="s">
        <v>209</v>
      </c>
      <c r="I948" s="1" t="s">
        <v>486</v>
      </c>
      <c r="J948" s="1"/>
      <c r="K948" s="1" t="s">
        <v>23</v>
      </c>
      <c r="L948" s="1" t="s">
        <v>4808</v>
      </c>
      <c r="M948" s="1">
        <v>3.0</v>
      </c>
      <c r="N948" s="1">
        <v>1.0</v>
      </c>
      <c r="O948" s="1" t="s">
        <v>351</v>
      </c>
      <c r="P948" s="1" t="s">
        <v>25</v>
      </c>
      <c r="Q948" s="2" t="str">
        <f t="shared" si="1"/>
        <v>H006525</v>
      </c>
    </row>
    <row r="949">
      <c r="A949" s="1" t="s">
        <v>4809</v>
      </c>
      <c r="B949" s="1" t="s">
        <v>4810</v>
      </c>
      <c r="C949" s="1" t="s">
        <v>4811</v>
      </c>
      <c r="D949" s="1" t="s">
        <v>4812</v>
      </c>
      <c r="E949" s="1">
        <v>2498.0</v>
      </c>
      <c r="F949" s="1" t="s">
        <v>351</v>
      </c>
      <c r="G949" s="1" t="s">
        <v>57</v>
      </c>
      <c r="H949" s="1" t="s">
        <v>58</v>
      </c>
      <c r="I949" s="1" t="s">
        <v>486</v>
      </c>
      <c r="J949" s="1"/>
      <c r="K949" s="1" t="s">
        <v>23</v>
      </c>
      <c r="L949" s="1" t="s">
        <v>4813</v>
      </c>
      <c r="M949" s="1">
        <v>3.0</v>
      </c>
      <c r="N949" s="1">
        <v>1.0</v>
      </c>
      <c r="O949" s="1" t="s">
        <v>351</v>
      </c>
      <c r="P949" s="1" t="s">
        <v>488</v>
      </c>
      <c r="Q949" s="2" t="str">
        <f t="shared" si="1"/>
        <v>H006525</v>
      </c>
    </row>
    <row r="950">
      <c r="A950" s="1" t="s">
        <v>4814</v>
      </c>
      <c r="B950" s="1" t="s">
        <v>4815</v>
      </c>
      <c r="C950" s="1" t="s">
        <v>4816</v>
      </c>
      <c r="D950" s="1" t="s">
        <v>4817</v>
      </c>
      <c r="E950" s="1">
        <v>234.0</v>
      </c>
      <c r="F950" s="1" t="s">
        <v>351</v>
      </c>
      <c r="G950" s="1" t="s">
        <v>57</v>
      </c>
      <c r="H950" s="1" t="s">
        <v>58</v>
      </c>
      <c r="I950" s="1" t="s">
        <v>486</v>
      </c>
      <c r="J950" s="1"/>
      <c r="K950" s="1" t="s">
        <v>23</v>
      </c>
      <c r="L950" s="1" t="s">
        <v>4818</v>
      </c>
      <c r="M950" s="1">
        <v>3.0</v>
      </c>
      <c r="N950" s="1">
        <v>0.0</v>
      </c>
      <c r="O950" s="1" t="s">
        <v>351</v>
      </c>
      <c r="P950" s="1" t="s">
        <v>25</v>
      </c>
      <c r="Q950" s="2" t="str">
        <f t="shared" si="1"/>
        <v>H006525</v>
      </c>
    </row>
    <row r="951">
      <c r="A951" s="1" t="s">
        <v>4819</v>
      </c>
      <c r="B951" s="1" t="s">
        <v>4820</v>
      </c>
      <c r="C951" s="1" t="s">
        <v>4821</v>
      </c>
      <c r="D951" s="1" t="s">
        <v>4822</v>
      </c>
      <c r="E951" s="1">
        <v>7753.0</v>
      </c>
      <c r="F951" s="1" t="s">
        <v>351</v>
      </c>
      <c r="G951" s="1" t="s">
        <v>260</v>
      </c>
      <c r="H951" s="1" t="s">
        <v>261</v>
      </c>
      <c r="I951" s="1" t="s">
        <v>486</v>
      </c>
      <c r="J951" s="1"/>
      <c r="K951" s="1" t="s">
        <v>23</v>
      </c>
      <c r="L951" s="1" t="s">
        <v>4823</v>
      </c>
      <c r="M951" s="1">
        <v>3.0</v>
      </c>
      <c r="N951" s="1">
        <v>1.0</v>
      </c>
      <c r="O951" s="1" t="s">
        <v>351</v>
      </c>
      <c r="P951" s="1" t="s">
        <v>488</v>
      </c>
      <c r="Q951" s="2" t="str">
        <f t="shared" si="1"/>
        <v>H006525</v>
      </c>
    </row>
    <row r="952">
      <c r="A952" s="1" t="s">
        <v>4824</v>
      </c>
      <c r="B952" s="1" t="s">
        <v>4825</v>
      </c>
      <c r="C952" s="1" t="s">
        <v>4826</v>
      </c>
      <c r="D952" s="1" t="s">
        <v>4827</v>
      </c>
      <c r="E952" s="1">
        <v>5420.0</v>
      </c>
      <c r="F952" s="1" t="s">
        <v>351</v>
      </c>
      <c r="G952" s="1" t="s">
        <v>57</v>
      </c>
      <c r="H952" s="1" t="s">
        <v>58</v>
      </c>
      <c r="I952" s="1" t="s">
        <v>486</v>
      </c>
      <c r="J952" s="1"/>
      <c r="K952" s="1" t="s">
        <v>23</v>
      </c>
      <c r="L952" s="1" t="s">
        <v>4828</v>
      </c>
      <c r="M952" s="1">
        <v>3.0</v>
      </c>
      <c r="N952" s="1">
        <v>1.0</v>
      </c>
      <c r="O952" s="1" t="s">
        <v>351</v>
      </c>
      <c r="P952" s="1" t="s">
        <v>25</v>
      </c>
      <c r="Q952" s="2" t="str">
        <f t="shared" si="1"/>
        <v>H006525</v>
      </c>
    </row>
    <row r="953">
      <c r="A953" s="1" t="s">
        <v>4829</v>
      </c>
      <c r="B953" s="1" t="s">
        <v>4830</v>
      </c>
      <c r="C953" s="1" t="s">
        <v>4831</v>
      </c>
      <c r="D953" s="1" t="s">
        <v>4832</v>
      </c>
      <c r="E953" s="1">
        <v>2554.0</v>
      </c>
      <c r="F953" s="1" t="s">
        <v>351</v>
      </c>
      <c r="G953" s="1" t="s">
        <v>57</v>
      </c>
      <c r="H953" s="1" t="s">
        <v>58</v>
      </c>
      <c r="I953" s="1" t="s">
        <v>486</v>
      </c>
      <c r="J953" s="1"/>
      <c r="K953" s="1" t="s">
        <v>23</v>
      </c>
      <c r="L953" s="1" t="s">
        <v>4833</v>
      </c>
      <c r="M953" s="1">
        <v>3.0</v>
      </c>
      <c r="N953" s="1">
        <v>1.0</v>
      </c>
      <c r="O953" s="1" t="s">
        <v>351</v>
      </c>
      <c r="P953" s="1" t="s">
        <v>488</v>
      </c>
      <c r="Q953" s="2" t="str">
        <f t="shared" si="1"/>
        <v>H006525</v>
      </c>
    </row>
    <row r="954">
      <c r="A954" s="1" t="s">
        <v>4834</v>
      </c>
      <c r="B954" s="1" t="s">
        <v>4835</v>
      </c>
      <c r="C954" s="1" t="s">
        <v>4836</v>
      </c>
      <c r="D954" s="1" t="s">
        <v>4837</v>
      </c>
      <c r="E954" s="1">
        <v>4706.0</v>
      </c>
      <c r="F954" s="1" t="s">
        <v>351</v>
      </c>
      <c r="G954" s="1" t="s">
        <v>260</v>
      </c>
      <c r="H954" s="1" t="s">
        <v>261</v>
      </c>
      <c r="I954" s="1" t="s">
        <v>486</v>
      </c>
      <c r="J954" s="1"/>
      <c r="K954" s="1" t="s">
        <v>23</v>
      </c>
      <c r="L954" s="1" t="s">
        <v>4838</v>
      </c>
      <c r="M954" s="1">
        <v>3.0</v>
      </c>
      <c r="N954" s="1">
        <v>1.0</v>
      </c>
      <c r="O954" s="1" t="s">
        <v>351</v>
      </c>
      <c r="P954" s="1" t="s">
        <v>25</v>
      </c>
      <c r="Q954" s="2" t="str">
        <f t="shared" si="1"/>
        <v>H006525</v>
      </c>
    </row>
    <row r="955">
      <c r="A955" s="1" t="s">
        <v>4839</v>
      </c>
      <c r="B955" s="1" t="s">
        <v>4840</v>
      </c>
      <c r="C955" s="1" t="s">
        <v>4841</v>
      </c>
      <c r="D955" s="1" t="s">
        <v>4842</v>
      </c>
      <c r="E955" s="1">
        <v>2375.0</v>
      </c>
      <c r="F955" s="1" t="s">
        <v>351</v>
      </c>
      <c r="G955" s="1" t="s">
        <v>57</v>
      </c>
      <c r="H955" s="1" t="s">
        <v>58</v>
      </c>
      <c r="I955" s="1" t="s">
        <v>486</v>
      </c>
      <c r="J955" s="1"/>
      <c r="K955" s="1" t="s">
        <v>23</v>
      </c>
      <c r="L955" s="1" t="s">
        <v>4843</v>
      </c>
      <c r="M955" s="1">
        <v>3.0</v>
      </c>
      <c r="N955" s="1">
        <v>1.0</v>
      </c>
      <c r="O955" s="1" t="s">
        <v>351</v>
      </c>
      <c r="P955" s="1" t="s">
        <v>488</v>
      </c>
      <c r="Q955" s="2" t="str">
        <f t="shared" si="1"/>
        <v>H006525</v>
      </c>
    </row>
    <row r="956">
      <c r="A956" s="1" t="s">
        <v>4844</v>
      </c>
      <c r="B956" s="1" t="s">
        <v>4845</v>
      </c>
      <c r="C956" s="1" t="s">
        <v>4846</v>
      </c>
      <c r="D956" s="1" t="s">
        <v>4847</v>
      </c>
      <c r="E956" s="1">
        <v>2649.0</v>
      </c>
      <c r="F956" s="1" t="s">
        <v>382</v>
      </c>
      <c r="G956" s="1" t="s">
        <v>474</v>
      </c>
      <c r="H956" s="1" t="s">
        <v>475</v>
      </c>
      <c r="I956" s="1" t="s">
        <v>486</v>
      </c>
      <c r="J956" s="1"/>
      <c r="K956" s="1" t="s">
        <v>23</v>
      </c>
      <c r="L956" s="1" t="s">
        <v>4848</v>
      </c>
      <c r="M956" s="1">
        <v>0.0</v>
      </c>
      <c r="N956" s="1">
        <v>1.0</v>
      </c>
      <c r="O956" s="1" t="s">
        <v>382</v>
      </c>
      <c r="P956" s="1" t="s">
        <v>25</v>
      </c>
      <c r="Q956" s="2" t="str">
        <f t="shared" si="1"/>
        <v>H006319</v>
      </c>
    </row>
    <row r="957">
      <c r="A957" s="1" t="s">
        <v>4849</v>
      </c>
      <c r="B957" s="1" t="s">
        <v>4850</v>
      </c>
      <c r="C957" s="1" t="s">
        <v>4851</v>
      </c>
      <c r="D957" s="1" t="s">
        <v>4852</v>
      </c>
      <c r="E957" s="1">
        <v>3971.0</v>
      </c>
      <c r="F957" s="1" t="s">
        <v>382</v>
      </c>
      <c r="G957" s="1" t="s">
        <v>191</v>
      </c>
      <c r="H957" s="1" t="s">
        <v>192</v>
      </c>
      <c r="I957" s="1" t="s">
        <v>486</v>
      </c>
      <c r="J957" s="1"/>
      <c r="K957" s="1" t="s">
        <v>23</v>
      </c>
      <c r="L957" s="1" t="s">
        <v>4853</v>
      </c>
      <c r="M957" s="1">
        <v>0.0</v>
      </c>
      <c r="N957" s="1">
        <v>1.0</v>
      </c>
      <c r="O957" s="1" t="s">
        <v>382</v>
      </c>
      <c r="P957" s="1" t="s">
        <v>488</v>
      </c>
      <c r="Q957" s="2" t="str">
        <f t="shared" si="1"/>
        <v>H006319</v>
      </c>
    </row>
    <row r="958">
      <c r="A958" s="1" t="s">
        <v>4854</v>
      </c>
      <c r="B958" s="1" t="s">
        <v>4855</v>
      </c>
      <c r="C958" s="1" t="s">
        <v>4856</v>
      </c>
      <c r="D958" s="1" t="s">
        <v>4857</v>
      </c>
      <c r="E958" s="1">
        <v>3170.0</v>
      </c>
      <c r="F958" s="1" t="s">
        <v>382</v>
      </c>
      <c r="G958" s="1" t="s">
        <v>474</v>
      </c>
      <c r="H958" s="1" t="s">
        <v>475</v>
      </c>
      <c r="I958" s="1" t="s">
        <v>486</v>
      </c>
      <c r="J958" s="1"/>
      <c r="K958" s="1" t="s">
        <v>23</v>
      </c>
      <c r="L958" s="1" t="s">
        <v>4858</v>
      </c>
      <c r="M958" s="1">
        <v>0.0</v>
      </c>
      <c r="N958" s="1">
        <v>1.0</v>
      </c>
      <c r="O958" s="1" t="s">
        <v>382</v>
      </c>
      <c r="P958" s="1" t="s">
        <v>25</v>
      </c>
      <c r="Q958" s="2" t="str">
        <f t="shared" si="1"/>
        <v>H006319</v>
      </c>
    </row>
    <row r="959">
      <c r="A959" s="1" t="s">
        <v>4859</v>
      </c>
      <c r="B959" s="1" t="s">
        <v>4860</v>
      </c>
      <c r="C959" s="1" t="s">
        <v>4861</v>
      </c>
      <c r="D959" s="1" t="s">
        <v>4862</v>
      </c>
      <c r="E959" s="1">
        <v>2541.0</v>
      </c>
      <c r="F959" s="1" t="s">
        <v>315</v>
      </c>
      <c r="G959" s="1">
        <v>841329.0</v>
      </c>
      <c r="H959" s="1" t="s">
        <v>1848</v>
      </c>
      <c r="I959" s="1" t="s">
        <v>1051</v>
      </c>
      <c r="J959" s="1"/>
      <c r="K959" s="1" t="s">
        <v>23</v>
      </c>
      <c r="L959" s="1" t="s">
        <v>4863</v>
      </c>
      <c r="M959" s="1">
        <v>2.0</v>
      </c>
      <c r="N959" s="1">
        <v>1.0</v>
      </c>
      <c r="O959" s="1" t="s">
        <v>315</v>
      </c>
      <c r="P959" s="1" t="s">
        <v>25</v>
      </c>
      <c r="Q959" s="2" t="str">
        <f t="shared" si="1"/>
        <v>H019591</v>
      </c>
    </row>
    <row r="960">
      <c r="A960" s="1" t="s">
        <v>4864</v>
      </c>
      <c r="B960" s="1" t="s">
        <v>4865</v>
      </c>
      <c r="C960" s="1" t="s">
        <v>4866</v>
      </c>
      <c r="D960" s="1" t="s">
        <v>4867</v>
      </c>
      <c r="E960" s="1">
        <v>6422.0</v>
      </c>
      <c r="F960" s="1" t="s">
        <v>315</v>
      </c>
      <c r="G960" s="1">
        <v>841329.0</v>
      </c>
      <c r="H960" s="1" t="s">
        <v>1848</v>
      </c>
      <c r="I960" s="1" t="s">
        <v>1051</v>
      </c>
      <c r="J960" s="1"/>
      <c r="K960" s="1" t="s">
        <v>23</v>
      </c>
      <c r="L960" s="1" t="s">
        <v>4868</v>
      </c>
      <c r="M960" s="1">
        <v>2.0</v>
      </c>
      <c r="N960" s="1">
        <v>1.0</v>
      </c>
      <c r="O960" s="1" t="s">
        <v>315</v>
      </c>
      <c r="P960" s="1" t="s">
        <v>25</v>
      </c>
      <c r="Q960" s="2" t="str">
        <f t="shared" si="1"/>
        <v>H019591</v>
      </c>
    </row>
    <row r="961">
      <c r="A961" s="1" t="s">
        <v>4869</v>
      </c>
      <c r="B961" s="1" t="s">
        <v>4870</v>
      </c>
      <c r="C961" s="1" t="s">
        <v>4871</v>
      </c>
      <c r="D961" s="1" t="s">
        <v>4872</v>
      </c>
      <c r="E961" s="1">
        <v>3407.0</v>
      </c>
      <c r="F961" s="1" t="s">
        <v>315</v>
      </c>
      <c r="G961" s="1">
        <v>841329.0</v>
      </c>
      <c r="H961" s="1" t="s">
        <v>1848</v>
      </c>
      <c r="I961" s="1" t="s">
        <v>1051</v>
      </c>
      <c r="J961" s="1"/>
      <c r="K961" s="1" t="s">
        <v>23</v>
      </c>
      <c r="L961" s="1" t="s">
        <v>4873</v>
      </c>
      <c r="M961" s="1">
        <v>2.0</v>
      </c>
      <c r="N961" s="1">
        <v>1.0</v>
      </c>
      <c r="O961" s="1" t="s">
        <v>315</v>
      </c>
      <c r="P961" s="1" t="s">
        <v>25</v>
      </c>
      <c r="Q961" s="2" t="str">
        <f t="shared" si="1"/>
        <v>H019591</v>
      </c>
    </row>
    <row r="962">
      <c r="A962" s="1" t="s">
        <v>4874</v>
      </c>
      <c r="B962" s="1" t="s">
        <v>4875</v>
      </c>
      <c r="C962" s="1" t="s">
        <v>4876</v>
      </c>
      <c r="D962" s="1" t="s">
        <v>4877</v>
      </c>
      <c r="E962" s="1">
        <v>3152.0</v>
      </c>
      <c r="F962" s="1" t="s">
        <v>315</v>
      </c>
      <c r="G962" s="1">
        <v>841329.0</v>
      </c>
      <c r="H962" s="1" t="s">
        <v>1848</v>
      </c>
      <c r="I962" s="1" t="s">
        <v>1051</v>
      </c>
      <c r="J962" s="1"/>
      <c r="K962" s="1" t="s">
        <v>23</v>
      </c>
      <c r="L962" s="1" t="s">
        <v>4878</v>
      </c>
      <c r="M962" s="1">
        <v>2.0</v>
      </c>
      <c r="N962" s="1">
        <v>1.0</v>
      </c>
      <c r="O962" s="1" t="s">
        <v>315</v>
      </c>
      <c r="P962" s="1" t="s">
        <v>25</v>
      </c>
      <c r="Q962" s="2" t="str">
        <f t="shared" si="1"/>
        <v>H019591</v>
      </c>
    </row>
    <row r="963">
      <c r="A963" s="1" t="s">
        <v>4879</v>
      </c>
      <c r="B963" s="1" t="s">
        <v>4880</v>
      </c>
      <c r="C963" s="1" t="s">
        <v>4881</v>
      </c>
      <c r="D963" s="1" t="s">
        <v>4882</v>
      </c>
      <c r="E963" s="1">
        <v>3082.0</v>
      </c>
      <c r="F963" s="1" t="s">
        <v>315</v>
      </c>
      <c r="G963" s="1">
        <v>841329.0</v>
      </c>
      <c r="H963" s="1" t="s">
        <v>1848</v>
      </c>
      <c r="I963" s="1" t="s">
        <v>1051</v>
      </c>
      <c r="J963" s="1"/>
      <c r="K963" s="1" t="s">
        <v>23</v>
      </c>
      <c r="L963" s="1" t="s">
        <v>4883</v>
      </c>
      <c r="M963" s="1">
        <v>2.0</v>
      </c>
      <c r="N963" s="1">
        <v>1.0</v>
      </c>
      <c r="O963" s="1" t="s">
        <v>315</v>
      </c>
      <c r="P963" s="1" t="s">
        <v>25</v>
      </c>
      <c r="Q963" s="2" t="str">
        <f t="shared" si="1"/>
        <v>H019591</v>
      </c>
    </row>
    <row r="964">
      <c r="A964" s="1" t="s">
        <v>4884</v>
      </c>
      <c r="B964" s="1" t="s">
        <v>4885</v>
      </c>
      <c r="C964" s="1" t="s">
        <v>4886</v>
      </c>
      <c r="D964" s="1" t="s">
        <v>4887</v>
      </c>
      <c r="E964" s="1">
        <v>3319.0</v>
      </c>
      <c r="F964" s="1" t="s">
        <v>315</v>
      </c>
      <c r="G964" s="1">
        <v>555127.0</v>
      </c>
      <c r="H964" s="1" t="s">
        <v>3047</v>
      </c>
      <c r="I964" s="1" t="s">
        <v>1051</v>
      </c>
      <c r="J964" s="1"/>
      <c r="K964" s="1" t="s">
        <v>23</v>
      </c>
      <c r="L964" s="1" t="s">
        <v>4888</v>
      </c>
      <c r="M964" s="1">
        <v>2.0</v>
      </c>
      <c r="N964" s="1">
        <v>1.0</v>
      </c>
      <c r="O964" s="1" t="s">
        <v>315</v>
      </c>
      <c r="P964" s="1" t="s">
        <v>25</v>
      </c>
      <c r="Q964" s="2" t="str">
        <f t="shared" si="1"/>
        <v>H019591</v>
      </c>
    </row>
    <row r="965">
      <c r="A965" s="1" t="s">
        <v>4889</v>
      </c>
      <c r="B965" s="1" t="s">
        <v>4890</v>
      </c>
      <c r="C965" s="1" t="s">
        <v>4891</v>
      </c>
      <c r="D965" s="1" t="s">
        <v>4892</v>
      </c>
      <c r="E965" s="1">
        <v>3752.0</v>
      </c>
      <c r="F965" s="1" t="s">
        <v>315</v>
      </c>
      <c r="G965" s="1">
        <v>555127.0</v>
      </c>
      <c r="H965" s="1" t="s">
        <v>3047</v>
      </c>
      <c r="I965" s="1" t="s">
        <v>1051</v>
      </c>
      <c r="J965" s="1"/>
      <c r="K965" s="1" t="s">
        <v>23</v>
      </c>
      <c r="L965" s="1" t="s">
        <v>4893</v>
      </c>
      <c r="M965" s="1">
        <v>2.0</v>
      </c>
      <c r="N965" s="1">
        <v>1.0</v>
      </c>
      <c r="O965" s="1" t="s">
        <v>315</v>
      </c>
      <c r="P965" s="1" t="s">
        <v>25</v>
      </c>
      <c r="Q965" s="2" t="str">
        <f t="shared" si="1"/>
        <v>H019591</v>
      </c>
    </row>
    <row r="966">
      <c r="A966" s="1" t="s">
        <v>4894</v>
      </c>
      <c r="B966" s="1" t="s">
        <v>4895</v>
      </c>
      <c r="C966" s="1" t="s">
        <v>4896</v>
      </c>
      <c r="D966" s="1" t="s">
        <v>4897</v>
      </c>
      <c r="E966" s="1">
        <v>3678.0</v>
      </c>
      <c r="F966" s="1" t="s">
        <v>315</v>
      </c>
      <c r="G966" s="1">
        <v>555127.0</v>
      </c>
      <c r="H966" s="1" t="s">
        <v>3047</v>
      </c>
      <c r="I966" s="1" t="s">
        <v>1051</v>
      </c>
      <c r="J966" s="1"/>
      <c r="K966" s="1" t="s">
        <v>23</v>
      </c>
      <c r="L966" s="1" t="s">
        <v>4898</v>
      </c>
      <c r="M966" s="1">
        <v>2.0</v>
      </c>
      <c r="N966" s="1">
        <v>1.0</v>
      </c>
      <c r="O966" s="1" t="s">
        <v>315</v>
      </c>
      <c r="P966" s="1" t="s">
        <v>25</v>
      </c>
      <c r="Q966" s="2" t="str">
        <f t="shared" si="1"/>
        <v>H019591</v>
      </c>
    </row>
    <row r="967">
      <c r="A967" s="1" t="s">
        <v>4899</v>
      </c>
      <c r="B967" s="1" t="s">
        <v>4900</v>
      </c>
      <c r="C967" s="1" t="s">
        <v>4901</v>
      </c>
      <c r="D967" s="1" t="s">
        <v>4902</v>
      </c>
      <c r="E967" s="1">
        <v>3376.0</v>
      </c>
      <c r="F967" s="1" t="s">
        <v>315</v>
      </c>
      <c r="G967" s="1">
        <v>555127.0</v>
      </c>
      <c r="H967" s="1" t="s">
        <v>3047</v>
      </c>
      <c r="I967" s="1" t="s">
        <v>1051</v>
      </c>
      <c r="J967" s="1"/>
      <c r="K967" s="1" t="s">
        <v>23</v>
      </c>
      <c r="L967" s="1" t="s">
        <v>4903</v>
      </c>
      <c r="M967" s="1">
        <v>2.0</v>
      </c>
      <c r="N967" s="1">
        <v>1.0</v>
      </c>
      <c r="O967" s="1" t="s">
        <v>315</v>
      </c>
      <c r="P967" s="1" t="s">
        <v>25</v>
      </c>
      <c r="Q967" s="2" t="str">
        <f t="shared" si="1"/>
        <v>H019591</v>
      </c>
    </row>
    <row r="968">
      <c r="A968" s="1" t="s">
        <v>4904</v>
      </c>
      <c r="B968" s="1" t="s">
        <v>4905</v>
      </c>
      <c r="C968" s="1" t="s">
        <v>4906</v>
      </c>
      <c r="D968" s="1" t="s">
        <v>4907</v>
      </c>
      <c r="E968" s="1">
        <v>2678.0</v>
      </c>
      <c r="F968" s="1" t="s">
        <v>315</v>
      </c>
      <c r="G968" s="1">
        <v>455939.0</v>
      </c>
      <c r="H968" s="1" t="s">
        <v>2746</v>
      </c>
      <c r="I968" s="1" t="s">
        <v>1051</v>
      </c>
      <c r="J968" s="1"/>
      <c r="K968" s="1" t="s">
        <v>23</v>
      </c>
      <c r="L968" s="1" t="s">
        <v>4908</v>
      </c>
      <c r="M968" s="1">
        <v>2.0</v>
      </c>
      <c r="N968" s="1">
        <v>1.0</v>
      </c>
      <c r="O968" s="1" t="s">
        <v>315</v>
      </c>
      <c r="P968" s="1" t="s">
        <v>25</v>
      </c>
      <c r="Q968" s="2" t="str">
        <f t="shared" si="1"/>
        <v>H019591</v>
      </c>
    </row>
    <row r="969">
      <c r="A969" s="1" t="s">
        <v>4909</v>
      </c>
      <c r="B969" s="1" t="s">
        <v>4910</v>
      </c>
      <c r="C969" s="1" t="s">
        <v>4911</v>
      </c>
      <c r="D969" s="1" t="s">
        <v>4912</v>
      </c>
      <c r="E969" s="1">
        <v>4159.0</v>
      </c>
      <c r="F969" s="1" t="s">
        <v>315</v>
      </c>
      <c r="G969" s="1">
        <v>455939.0</v>
      </c>
      <c r="H969" s="1" t="s">
        <v>2746</v>
      </c>
      <c r="I969" s="1" t="s">
        <v>1051</v>
      </c>
      <c r="J969" s="1"/>
      <c r="K969" s="1" t="s">
        <v>23</v>
      </c>
      <c r="L969" s="1" t="s">
        <v>4913</v>
      </c>
      <c r="M969" s="1">
        <v>2.0</v>
      </c>
      <c r="N969" s="1">
        <v>1.0</v>
      </c>
      <c r="O969" s="1" t="s">
        <v>315</v>
      </c>
      <c r="P969" s="1" t="s">
        <v>25</v>
      </c>
      <c r="Q969" s="2" t="str">
        <f t="shared" si="1"/>
        <v>H019591</v>
      </c>
    </row>
    <row r="970">
      <c r="A970" s="1" t="s">
        <v>4914</v>
      </c>
      <c r="B970" s="1" t="s">
        <v>4915</v>
      </c>
      <c r="C970" s="1" t="s">
        <v>4916</v>
      </c>
      <c r="D970" s="1" t="s">
        <v>4917</v>
      </c>
      <c r="E970" s="1">
        <v>3949.0</v>
      </c>
      <c r="F970" s="1" t="s">
        <v>315</v>
      </c>
      <c r="G970" s="1">
        <v>455939.0</v>
      </c>
      <c r="H970" s="1" t="s">
        <v>2746</v>
      </c>
      <c r="I970" s="1" t="s">
        <v>1051</v>
      </c>
      <c r="J970" s="1"/>
      <c r="K970" s="1" t="s">
        <v>23</v>
      </c>
      <c r="L970" s="1" t="s">
        <v>4918</v>
      </c>
      <c r="M970" s="1">
        <v>2.0</v>
      </c>
      <c r="N970" s="1">
        <v>1.0</v>
      </c>
      <c r="O970" s="1" t="s">
        <v>315</v>
      </c>
      <c r="P970" s="1" t="s">
        <v>25</v>
      </c>
      <c r="Q970" s="2" t="str">
        <f t="shared" si="1"/>
        <v>H019591</v>
      </c>
    </row>
    <row r="971">
      <c r="A971" s="1" t="s">
        <v>4919</v>
      </c>
      <c r="B971" s="1" t="s">
        <v>4920</v>
      </c>
      <c r="C971" s="1" t="s">
        <v>4921</v>
      </c>
      <c r="D971" s="1" t="s">
        <v>4922</v>
      </c>
      <c r="E971" s="1">
        <v>2619.0</v>
      </c>
      <c r="F971" s="1" t="s">
        <v>315</v>
      </c>
      <c r="G971" s="1">
        <v>455939.0</v>
      </c>
      <c r="H971" s="1" t="s">
        <v>2746</v>
      </c>
      <c r="I971" s="1" t="s">
        <v>1051</v>
      </c>
      <c r="J971" s="1"/>
      <c r="K971" s="1" t="s">
        <v>23</v>
      </c>
      <c r="L971" s="1" t="s">
        <v>4923</v>
      </c>
      <c r="M971" s="1">
        <v>2.0</v>
      </c>
      <c r="N971" s="1">
        <v>1.0</v>
      </c>
      <c r="O971" s="1" t="s">
        <v>315</v>
      </c>
      <c r="P971" s="1" t="s">
        <v>25</v>
      </c>
      <c r="Q971" s="2" t="str">
        <f t="shared" si="1"/>
        <v>H019591</v>
      </c>
    </row>
    <row r="972">
      <c r="A972" s="1" t="s">
        <v>4924</v>
      </c>
      <c r="B972" s="1" t="s">
        <v>4925</v>
      </c>
      <c r="C972" s="1" t="s">
        <v>4926</v>
      </c>
      <c r="D972" s="1" t="s">
        <v>4927</v>
      </c>
      <c r="E972" s="1">
        <v>2471.0</v>
      </c>
      <c r="F972" s="1" t="s">
        <v>382</v>
      </c>
      <c r="G972" s="1" t="s">
        <v>191</v>
      </c>
      <c r="H972" s="1" t="s">
        <v>192</v>
      </c>
      <c r="I972" s="1" t="s">
        <v>486</v>
      </c>
      <c r="J972" s="1"/>
      <c r="K972" s="1" t="s">
        <v>23</v>
      </c>
      <c r="L972" s="1" t="s">
        <v>4928</v>
      </c>
      <c r="M972" s="1">
        <v>0.0</v>
      </c>
      <c r="N972" s="1">
        <v>1.0</v>
      </c>
      <c r="O972" s="1" t="s">
        <v>382</v>
      </c>
      <c r="P972" s="1" t="s">
        <v>25</v>
      </c>
      <c r="Q972" s="2" t="str">
        <f t="shared" si="1"/>
        <v>H006319</v>
      </c>
    </row>
    <row r="973">
      <c r="A973" s="1" t="s">
        <v>4929</v>
      </c>
      <c r="B973" s="1" t="s">
        <v>4930</v>
      </c>
      <c r="C973" s="1" t="s">
        <v>4931</v>
      </c>
      <c r="D973" s="1" t="s">
        <v>4932</v>
      </c>
      <c r="E973" s="1">
        <v>2561.0</v>
      </c>
      <c r="F973" s="1" t="s">
        <v>382</v>
      </c>
      <c r="G973" s="1" t="s">
        <v>191</v>
      </c>
      <c r="H973" s="1" t="s">
        <v>192</v>
      </c>
      <c r="I973" s="1" t="s">
        <v>486</v>
      </c>
      <c r="J973" s="1"/>
      <c r="K973" s="1" t="s">
        <v>23</v>
      </c>
      <c r="L973" s="1" t="s">
        <v>4933</v>
      </c>
      <c r="M973" s="1">
        <v>0.0</v>
      </c>
      <c r="N973" s="1">
        <v>1.0</v>
      </c>
      <c r="O973" s="1" t="s">
        <v>382</v>
      </c>
      <c r="P973" s="1" t="s">
        <v>25</v>
      </c>
      <c r="Q973" s="2" t="str">
        <f t="shared" si="1"/>
        <v>H006319</v>
      </c>
    </row>
    <row r="974">
      <c r="A974" s="1" t="s">
        <v>4934</v>
      </c>
      <c r="B974" s="1" t="s">
        <v>4935</v>
      </c>
      <c r="C974" s="1" t="s">
        <v>4936</v>
      </c>
      <c r="D974" s="1" t="s">
        <v>4937</v>
      </c>
      <c r="E974" s="1">
        <v>4306.0</v>
      </c>
      <c r="F974" s="1" t="s">
        <v>382</v>
      </c>
      <c r="G974" s="1" t="s">
        <v>107</v>
      </c>
      <c r="H974" s="1" t="s">
        <v>108</v>
      </c>
      <c r="I974" s="1" t="s">
        <v>486</v>
      </c>
      <c r="J974" s="1"/>
      <c r="K974" s="1" t="s">
        <v>23</v>
      </c>
      <c r="L974" s="1" t="s">
        <v>4938</v>
      </c>
      <c r="M974" s="1">
        <v>0.0</v>
      </c>
      <c r="N974" s="1">
        <v>1.0</v>
      </c>
      <c r="O974" s="1" t="s">
        <v>382</v>
      </c>
      <c r="P974" s="1" t="s">
        <v>25</v>
      </c>
      <c r="Q974" s="2" t="str">
        <f t="shared" si="1"/>
        <v>H006319</v>
      </c>
    </row>
    <row r="975">
      <c r="A975" s="1" t="s">
        <v>4939</v>
      </c>
      <c r="B975" s="1" t="s">
        <v>4940</v>
      </c>
      <c r="C975" s="1" t="s">
        <v>4941</v>
      </c>
      <c r="D975" s="1" t="s">
        <v>4942</v>
      </c>
      <c r="E975" s="1">
        <v>4288.0</v>
      </c>
      <c r="F975" s="1" t="s">
        <v>382</v>
      </c>
      <c r="G975" s="1" t="s">
        <v>119</v>
      </c>
      <c r="H975" s="1" t="s">
        <v>120</v>
      </c>
      <c r="I975" s="1" t="s">
        <v>486</v>
      </c>
      <c r="J975" s="1"/>
      <c r="K975" s="1" t="s">
        <v>23</v>
      </c>
      <c r="L975" s="1" t="s">
        <v>4943</v>
      </c>
      <c r="M975" s="1">
        <v>0.0</v>
      </c>
      <c r="N975" s="1">
        <v>1.0</v>
      </c>
      <c r="O975" s="1" t="s">
        <v>382</v>
      </c>
      <c r="P975" s="1" t="s">
        <v>488</v>
      </c>
      <c r="Q975" s="2" t="str">
        <f t="shared" si="1"/>
        <v>H006319</v>
      </c>
    </row>
    <row r="976">
      <c r="A976" s="1" t="s">
        <v>4944</v>
      </c>
      <c r="B976" s="1" t="s">
        <v>4945</v>
      </c>
      <c r="C976" s="1" t="s">
        <v>4946</v>
      </c>
      <c r="D976" s="1" t="s">
        <v>4947</v>
      </c>
      <c r="E976" s="1">
        <v>3377.0</v>
      </c>
      <c r="F976" s="1" t="s">
        <v>382</v>
      </c>
      <c r="G976" s="1" t="s">
        <v>107</v>
      </c>
      <c r="H976" s="1" t="s">
        <v>108</v>
      </c>
      <c r="I976" s="1" t="s">
        <v>486</v>
      </c>
      <c r="J976" s="1"/>
      <c r="K976" s="1" t="s">
        <v>23</v>
      </c>
      <c r="L976" s="1" t="s">
        <v>4948</v>
      </c>
      <c r="M976" s="1">
        <v>0.0</v>
      </c>
      <c r="N976" s="1">
        <v>1.0</v>
      </c>
      <c r="O976" s="1" t="s">
        <v>382</v>
      </c>
      <c r="P976" s="1" t="s">
        <v>25</v>
      </c>
      <c r="Q976" s="2" t="str">
        <f t="shared" si="1"/>
        <v>H006319</v>
      </c>
    </row>
    <row r="977">
      <c r="A977" s="1" t="s">
        <v>4949</v>
      </c>
      <c r="B977" s="1" t="s">
        <v>4950</v>
      </c>
      <c r="C977" s="1" t="s">
        <v>4951</v>
      </c>
      <c r="D977" s="1" t="s">
        <v>4952</v>
      </c>
      <c r="E977" s="1">
        <v>5956.0</v>
      </c>
      <c r="F977" s="1" t="s">
        <v>288</v>
      </c>
      <c r="G977" s="1">
        <v>859767.0</v>
      </c>
      <c r="H977" s="1" t="s">
        <v>2565</v>
      </c>
      <c r="I977" s="1" t="s">
        <v>1051</v>
      </c>
      <c r="J977" s="1"/>
      <c r="K977" s="1" t="s">
        <v>23</v>
      </c>
      <c r="L977" s="1" t="s">
        <v>4953</v>
      </c>
      <c r="M977" s="1">
        <v>1.0</v>
      </c>
      <c r="N977" s="1">
        <v>1.0</v>
      </c>
      <c r="O977" s="1" t="s">
        <v>288</v>
      </c>
      <c r="P977" s="1" t="s">
        <v>25</v>
      </c>
      <c r="Q977" s="2" t="str">
        <f t="shared" si="1"/>
        <v>H019423</v>
      </c>
    </row>
    <row r="978">
      <c r="A978" s="1" t="s">
        <v>4954</v>
      </c>
      <c r="B978" s="1" t="s">
        <v>4955</v>
      </c>
      <c r="C978" s="1" t="s">
        <v>4956</v>
      </c>
      <c r="D978" s="1" t="s">
        <v>4957</v>
      </c>
      <c r="E978" s="1">
        <v>3963.0</v>
      </c>
      <c r="F978" s="1" t="s">
        <v>288</v>
      </c>
      <c r="G978" s="1">
        <v>859767.0</v>
      </c>
      <c r="H978" s="1" t="s">
        <v>2565</v>
      </c>
      <c r="I978" s="1" t="s">
        <v>1051</v>
      </c>
      <c r="J978" s="1"/>
      <c r="K978" s="1" t="s">
        <v>23</v>
      </c>
      <c r="L978" s="1" t="s">
        <v>4958</v>
      </c>
      <c r="M978" s="1">
        <v>1.0</v>
      </c>
      <c r="N978" s="1">
        <v>1.0</v>
      </c>
      <c r="O978" s="1" t="s">
        <v>288</v>
      </c>
      <c r="P978" s="1" t="s">
        <v>25</v>
      </c>
      <c r="Q978" s="2" t="str">
        <f t="shared" si="1"/>
        <v>H019423</v>
      </c>
    </row>
    <row r="979">
      <c r="A979" s="1" t="s">
        <v>4959</v>
      </c>
      <c r="B979" s="1" t="s">
        <v>4960</v>
      </c>
      <c r="C979" s="1" t="s">
        <v>4961</v>
      </c>
      <c r="D979" s="1" t="s">
        <v>4962</v>
      </c>
      <c r="E979" s="1">
        <v>3659.0</v>
      </c>
      <c r="F979" s="1" t="s">
        <v>288</v>
      </c>
      <c r="G979" s="1">
        <v>859767.0</v>
      </c>
      <c r="H979" s="1" t="s">
        <v>2565</v>
      </c>
      <c r="I979" s="1" t="s">
        <v>1051</v>
      </c>
      <c r="J979" s="1"/>
      <c r="K979" s="1" t="s">
        <v>23</v>
      </c>
      <c r="L979" s="1" t="s">
        <v>4963</v>
      </c>
      <c r="M979" s="1">
        <v>1.0</v>
      </c>
      <c r="N979" s="1">
        <v>1.0</v>
      </c>
      <c r="O979" s="1" t="s">
        <v>288</v>
      </c>
      <c r="P979" s="1" t="s">
        <v>25</v>
      </c>
      <c r="Q979" s="2" t="str">
        <f t="shared" si="1"/>
        <v>H019423</v>
      </c>
    </row>
    <row r="980">
      <c r="A980" s="1" t="s">
        <v>4964</v>
      </c>
      <c r="B980" s="1" t="s">
        <v>4965</v>
      </c>
      <c r="C980" s="1" t="s">
        <v>4966</v>
      </c>
      <c r="D980" s="1" t="s">
        <v>4967</v>
      </c>
      <c r="E980" s="1">
        <v>3889.0</v>
      </c>
      <c r="F980" s="1" t="s">
        <v>288</v>
      </c>
      <c r="G980" s="1">
        <v>859767.0</v>
      </c>
      <c r="H980" s="1" t="s">
        <v>2565</v>
      </c>
      <c r="I980" s="1" t="s">
        <v>1051</v>
      </c>
      <c r="J980" s="1"/>
      <c r="K980" s="1" t="s">
        <v>23</v>
      </c>
      <c r="L980" s="1" t="s">
        <v>4968</v>
      </c>
      <c r="M980" s="1">
        <v>1.0</v>
      </c>
      <c r="N980" s="1">
        <v>1.0</v>
      </c>
      <c r="O980" s="1" t="s">
        <v>288</v>
      </c>
      <c r="P980" s="1" t="s">
        <v>25</v>
      </c>
      <c r="Q980" s="2" t="str">
        <f t="shared" si="1"/>
        <v>H019423</v>
      </c>
    </row>
    <row r="981">
      <c r="A981" s="1" t="s">
        <v>4969</v>
      </c>
      <c r="B981" s="1" t="s">
        <v>4970</v>
      </c>
      <c r="C981" s="1" t="s">
        <v>4971</v>
      </c>
      <c r="D981" s="1" t="s">
        <v>4972</v>
      </c>
      <c r="E981" s="1">
        <v>2882.0</v>
      </c>
      <c r="F981" s="1" t="s">
        <v>288</v>
      </c>
      <c r="G981" s="1">
        <v>729375.0</v>
      </c>
      <c r="H981" s="1" t="s">
        <v>1050</v>
      </c>
      <c r="I981" s="1" t="s">
        <v>1051</v>
      </c>
      <c r="J981" s="1"/>
      <c r="K981" s="1" t="s">
        <v>23</v>
      </c>
      <c r="L981" s="1" t="s">
        <v>4973</v>
      </c>
      <c r="M981" s="1">
        <v>1.0</v>
      </c>
      <c r="N981" s="1">
        <v>1.0</v>
      </c>
      <c r="O981" s="1" t="s">
        <v>288</v>
      </c>
      <c r="P981" s="1" t="s">
        <v>25</v>
      </c>
      <c r="Q981" s="2" t="str">
        <f t="shared" si="1"/>
        <v>H019423</v>
      </c>
    </row>
    <row r="982">
      <c r="A982" s="1" t="s">
        <v>4974</v>
      </c>
      <c r="B982" s="1" t="s">
        <v>4975</v>
      </c>
      <c r="C982" s="1" t="s">
        <v>4976</v>
      </c>
      <c r="D982" s="1" t="s">
        <v>4977</v>
      </c>
      <c r="E982" s="1">
        <v>2564.0</v>
      </c>
      <c r="F982" s="1" t="s">
        <v>288</v>
      </c>
      <c r="G982" s="1">
        <v>729375.0</v>
      </c>
      <c r="H982" s="1" t="s">
        <v>1050</v>
      </c>
      <c r="I982" s="1" t="s">
        <v>1051</v>
      </c>
      <c r="J982" s="1"/>
      <c r="K982" s="1" t="s">
        <v>23</v>
      </c>
      <c r="L982" s="1" t="s">
        <v>4978</v>
      </c>
      <c r="M982" s="1">
        <v>1.0</v>
      </c>
      <c r="N982" s="1">
        <v>1.0</v>
      </c>
      <c r="O982" s="1" t="s">
        <v>288</v>
      </c>
      <c r="P982" s="1" t="s">
        <v>25</v>
      </c>
      <c r="Q982" s="2" t="str">
        <f t="shared" si="1"/>
        <v>H019423</v>
      </c>
    </row>
    <row r="983">
      <c r="A983" s="1" t="s">
        <v>4979</v>
      </c>
      <c r="B983" s="1" t="s">
        <v>4980</v>
      </c>
      <c r="C983" s="1" t="s">
        <v>4981</v>
      </c>
      <c r="D983" s="1" t="s">
        <v>4982</v>
      </c>
      <c r="E983" s="1">
        <v>2911.0</v>
      </c>
      <c r="F983" s="1" t="s">
        <v>288</v>
      </c>
      <c r="G983" s="1" t="s">
        <v>304</v>
      </c>
      <c r="H983" s="1" t="s">
        <v>272</v>
      </c>
      <c r="I983" s="1" t="s">
        <v>1051</v>
      </c>
      <c r="J983" s="1"/>
      <c r="K983" s="1" t="s">
        <v>23</v>
      </c>
      <c r="L983" s="1" t="s">
        <v>4983</v>
      </c>
      <c r="M983" s="1">
        <v>1.0</v>
      </c>
      <c r="N983" s="1">
        <v>1.0</v>
      </c>
      <c r="O983" s="1" t="s">
        <v>288</v>
      </c>
      <c r="P983" s="1" t="s">
        <v>488</v>
      </c>
      <c r="Q983" s="2" t="str">
        <f t="shared" si="1"/>
        <v>H019423</v>
      </c>
    </row>
    <row r="984">
      <c r="A984" s="1" t="s">
        <v>4984</v>
      </c>
      <c r="B984" s="1" t="s">
        <v>4985</v>
      </c>
      <c r="C984" s="1" t="s">
        <v>4986</v>
      </c>
      <c r="D984" s="1" t="s">
        <v>4987</v>
      </c>
      <c r="E984" s="1">
        <v>2417.0</v>
      </c>
      <c r="F984" s="1" t="s">
        <v>288</v>
      </c>
      <c r="G984" s="1">
        <v>729375.0</v>
      </c>
      <c r="H984" s="1" t="s">
        <v>1050</v>
      </c>
      <c r="I984" s="1" t="s">
        <v>1051</v>
      </c>
      <c r="J984" s="1"/>
      <c r="K984" s="1" t="s">
        <v>23</v>
      </c>
      <c r="L984" s="1" t="s">
        <v>4988</v>
      </c>
      <c r="M984" s="1">
        <v>1.0</v>
      </c>
      <c r="N984" s="1">
        <v>1.0</v>
      </c>
      <c r="O984" s="1" t="s">
        <v>288</v>
      </c>
      <c r="P984" s="1" t="s">
        <v>25</v>
      </c>
      <c r="Q984" s="2" t="str">
        <f t="shared" si="1"/>
        <v>H019423</v>
      </c>
    </row>
    <row r="985">
      <c r="A985" s="1" t="s">
        <v>4989</v>
      </c>
      <c r="B985" s="1" t="s">
        <v>4990</v>
      </c>
      <c r="C985" s="1" t="s">
        <v>4991</v>
      </c>
      <c r="D985" s="1" t="s">
        <v>4992</v>
      </c>
      <c r="E985" s="1">
        <v>1294.0</v>
      </c>
      <c r="F985" s="1" t="s">
        <v>288</v>
      </c>
      <c r="G985" s="1">
        <v>729375.0</v>
      </c>
      <c r="H985" s="1" t="s">
        <v>1050</v>
      </c>
      <c r="I985" s="1" t="s">
        <v>1051</v>
      </c>
      <c r="J985" s="1"/>
      <c r="K985" s="1" t="s">
        <v>23</v>
      </c>
      <c r="L985" s="1" t="s">
        <v>4993</v>
      </c>
      <c r="M985" s="1">
        <v>1.0</v>
      </c>
      <c r="N985" s="1">
        <v>1.0</v>
      </c>
      <c r="O985" s="1" t="s">
        <v>288</v>
      </c>
      <c r="P985" s="1" t="s">
        <v>25</v>
      </c>
      <c r="Q985" s="2" t="str">
        <f t="shared" si="1"/>
        <v>H019423</v>
      </c>
    </row>
    <row r="986">
      <c r="A986" s="1" t="s">
        <v>4994</v>
      </c>
      <c r="B986" s="1" t="s">
        <v>4995</v>
      </c>
      <c r="C986" s="1" t="s">
        <v>4996</v>
      </c>
      <c r="D986" s="1" t="s">
        <v>4997</v>
      </c>
      <c r="E986" s="1">
        <v>1516.0</v>
      </c>
      <c r="F986" s="1" t="s">
        <v>382</v>
      </c>
      <c r="G986" s="1" t="s">
        <v>119</v>
      </c>
      <c r="H986" s="1" t="s">
        <v>120</v>
      </c>
      <c r="I986" s="1" t="s">
        <v>486</v>
      </c>
      <c r="J986" s="1"/>
      <c r="K986" s="1" t="s">
        <v>23</v>
      </c>
      <c r="L986" s="1" t="s">
        <v>4998</v>
      </c>
      <c r="M986" s="1">
        <v>0.0</v>
      </c>
      <c r="N986" s="1">
        <v>1.0</v>
      </c>
      <c r="O986" s="1" t="s">
        <v>382</v>
      </c>
      <c r="P986" s="1" t="s">
        <v>25</v>
      </c>
      <c r="Q986" s="2" t="str">
        <f t="shared" si="1"/>
        <v>H006319</v>
      </c>
    </row>
    <row r="987">
      <c r="A987" s="1" t="s">
        <v>4999</v>
      </c>
      <c r="B987" s="1" t="s">
        <v>5000</v>
      </c>
      <c r="C987" s="1" t="s">
        <v>5001</v>
      </c>
      <c r="D987" s="1" t="s">
        <v>5002</v>
      </c>
      <c r="E987" s="1">
        <v>186.0</v>
      </c>
      <c r="F987" s="1" t="s">
        <v>382</v>
      </c>
      <c r="G987" s="1" t="s">
        <v>474</v>
      </c>
      <c r="H987" s="1" t="s">
        <v>475</v>
      </c>
      <c r="I987" s="1" t="s">
        <v>486</v>
      </c>
      <c r="J987" s="1"/>
      <c r="K987" s="1" t="s">
        <v>23</v>
      </c>
      <c r="L987" s="1" t="s">
        <v>5003</v>
      </c>
      <c r="M987" s="1">
        <v>0.0</v>
      </c>
      <c r="N987" s="1">
        <v>0.0</v>
      </c>
      <c r="O987" s="1" t="s">
        <v>382</v>
      </c>
      <c r="P987" s="1" t="s">
        <v>25</v>
      </c>
      <c r="Q987" s="2" t="str">
        <f t="shared" si="1"/>
        <v>H006319</v>
      </c>
    </row>
    <row r="988">
      <c r="A988" s="1" t="s">
        <v>5004</v>
      </c>
      <c r="B988" s="1" t="s">
        <v>5005</v>
      </c>
      <c r="C988" s="1" t="s">
        <v>5006</v>
      </c>
      <c r="D988" s="1" t="s">
        <v>5007</v>
      </c>
      <c r="E988" s="1">
        <v>6119.0</v>
      </c>
      <c r="F988" s="1" t="s">
        <v>382</v>
      </c>
      <c r="G988" s="1" t="s">
        <v>119</v>
      </c>
      <c r="H988" s="1" t="s">
        <v>120</v>
      </c>
      <c r="I988" s="1" t="s">
        <v>486</v>
      </c>
      <c r="J988" s="1"/>
      <c r="K988" s="1" t="s">
        <v>23</v>
      </c>
      <c r="L988" s="1" t="s">
        <v>5008</v>
      </c>
      <c r="M988" s="1">
        <v>0.0</v>
      </c>
      <c r="N988" s="1">
        <v>1.0</v>
      </c>
      <c r="O988" s="1" t="s">
        <v>382</v>
      </c>
      <c r="P988" s="1" t="s">
        <v>25</v>
      </c>
      <c r="Q988" s="2" t="str">
        <f t="shared" si="1"/>
        <v>H006319</v>
      </c>
    </row>
    <row r="989">
      <c r="A989" s="1" t="s">
        <v>5009</v>
      </c>
      <c r="B989" s="1" t="s">
        <v>5010</v>
      </c>
      <c r="C989" s="1" t="s">
        <v>5011</v>
      </c>
      <c r="D989" s="1" t="s">
        <v>5012</v>
      </c>
      <c r="E989" s="1">
        <v>3877.0</v>
      </c>
      <c r="F989" s="1" t="s">
        <v>288</v>
      </c>
      <c r="G989" s="1" t="s">
        <v>304</v>
      </c>
      <c r="H989" s="1" t="s">
        <v>272</v>
      </c>
      <c r="I989" s="1" t="s">
        <v>1051</v>
      </c>
      <c r="J989" s="1"/>
      <c r="K989" s="1" t="s">
        <v>23</v>
      </c>
      <c r="L989" s="1" t="s">
        <v>5013</v>
      </c>
      <c r="M989" s="1">
        <v>1.0</v>
      </c>
      <c r="N989" s="1">
        <v>1.0</v>
      </c>
      <c r="O989" s="1" t="s">
        <v>288</v>
      </c>
      <c r="P989" s="1" t="s">
        <v>25</v>
      </c>
      <c r="Q989" s="2" t="str">
        <f t="shared" si="1"/>
        <v>H019423</v>
      </c>
    </row>
    <row r="990">
      <c r="A990" s="1" t="s">
        <v>5014</v>
      </c>
      <c r="B990" s="1" t="s">
        <v>5015</v>
      </c>
      <c r="C990" s="1" t="s">
        <v>5016</v>
      </c>
      <c r="D990" s="1" t="s">
        <v>5017</v>
      </c>
      <c r="E990" s="1">
        <v>2450.0</v>
      </c>
      <c r="F990" s="1" t="s">
        <v>288</v>
      </c>
      <c r="G990" s="1" t="s">
        <v>304</v>
      </c>
      <c r="H990" s="1" t="s">
        <v>272</v>
      </c>
      <c r="I990" s="1" t="s">
        <v>1051</v>
      </c>
      <c r="J990" s="1"/>
      <c r="K990" s="1" t="s">
        <v>23</v>
      </c>
      <c r="L990" s="1" t="s">
        <v>5018</v>
      </c>
      <c r="M990" s="1">
        <v>1.0</v>
      </c>
      <c r="N990" s="1">
        <v>1.0</v>
      </c>
      <c r="O990" s="1" t="s">
        <v>288</v>
      </c>
      <c r="P990" s="1" t="s">
        <v>25</v>
      </c>
      <c r="Q990" s="2" t="str">
        <f t="shared" si="1"/>
        <v>H019423</v>
      </c>
    </row>
    <row r="991">
      <c r="A991" s="1" t="s">
        <v>5019</v>
      </c>
      <c r="B991" s="1" t="s">
        <v>5020</v>
      </c>
      <c r="C991" s="1" t="s">
        <v>5021</v>
      </c>
      <c r="D991" s="1" t="s">
        <v>5022</v>
      </c>
      <c r="E991" s="1">
        <v>4043.0</v>
      </c>
      <c r="F991" s="1" t="s">
        <v>288</v>
      </c>
      <c r="G991" s="1" t="s">
        <v>304</v>
      </c>
      <c r="H991" s="1" t="s">
        <v>272</v>
      </c>
      <c r="I991" s="1" t="s">
        <v>1051</v>
      </c>
      <c r="J991" s="1"/>
      <c r="K991" s="1" t="s">
        <v>23</v>
      </c>
      <c r="L991" s="1" t="s">
        <v>5023</v>
      </c>
      <c r="M991" s="1">
        <v>1.0</v>
      </c>
      <c r="N991" s="1">
        <v>1.0</v>
      </c>
      <c r="O991" s="1" t="s">
        <v>288</v>
      </c>
      <c r="P991" s="1" t="s">
        <v>25</v>
      </c>
      <c r="Q991" s="2" t="str">
        <f t="shared" si="1"/>
        <v>H019423</v>
      </c>
    </row>
    <row r="992">
      <c r="A992" s="1" t="s">
        <v>5024</v>
      </c>
      <c r="B992" s="1" t="s">
        <v>5025</v>
      </c>
      <c r="C992" s="1" t="s">
        <v>5026</v>
      </c>
      <c r="D992" s="1" t="s">
        <v>5027</v>
      </c>
      <c r="E992" s="1">
        <v>3082.0</v>
      </c>
      <c r="F992" s="1" t="s">
        <v>288</v>
      </c>
      <c r="G992" s="1" t="s">
        <v>304</v>
      </c>
      <c r="H992" s="1" t="s">
        <v>272</v>
      </c>
      <c r="I992" s="1" t="s">
        <v>1051</v>
      </c>
      <c r="J992" s="1"/>
      <c r="K992" s="1" t="s">
        <v>23</v>
      </c>
      <c r="L992" s="1" t="s">
        <v>5028</v>
      </c>
      <c r="M992" s="1">
        <v>1.0</v>
      </c>
      <c r="N992" s="1">
        <v>1.0</v>
      </c>
      <c r="O992" s="1" t="s">
        <v>288</v>
      </c>
      <c r="P992" s="1" t="s">
        <v>25</v>
      </c>
      <c r="Q992" s="2" t="str">
        <f t="shared" si="1"/>
        <v>H019423</v>
      </c>
    </row>
    <row r="993">
      <c r="A993" s="1" t="s">
        <v>5029</v>
      </c>
      <c r="B993" s="1" t="s">
        <v>5030</v>
      </c>
      <c r="C993" s="1" t="s">
        <v>5031</v>
      </c>
      <c r="D993" s="1" t="s">
        <v>5032</v>
      </c>
      <c r="E993" s="1">
        <v>2250.0</v>
      </c>
      <c r="F993" s="1" t="s">
        <v>288</v>
      </c>
      <c r="G993" s="1" t="s">
        <v>304</v>
      </c>
      <c r="H993" s="1" t="s">
        <v>272</v>
      </c>
      <c r="I993" s="1" t="s">
        <v>1051</v>
      </c>
      <c r="J993" s="1"/>
      <c r="K993" s="1" t="s">
        <v>23</v>
      </c>
      <c r="L993" s="1" t="s">
        <v>5033</v>
      </c>
      <c r="M993" s="1">
        <v>1.0</v>
      </c>
      <c r="N993" s="1">
        <v>1.0</v>
      </c>
      <c r="O993" s="1" t="s">
        <v>288</v>
      </c>
      <c r="P993" s="1" t="s">
        <v>25</v>
      </c>
      <c r="Q993" s="2" t="str">
        <f t="shared" si="1"/>
        <v>H019423</v>
      </c>
    </row>
    <row r="994">
      <c r="A994" s="1" t="s">
        <v>5034</v>
      </c>
      <c r="B994" s="1" t="s">
        <v>5035</v>
      </c>
      <c r="C994" s="1" t="s">
        <v>5036</v>
      </c>
      <c r="D994" s="1" t="s">
        <v>5037</v>
      </c>
      <c r="E994" s="1">
        <v>5606.0</v>
      </c>
      <c r="F994" s="1" t="s">
        <v>398</v>
      </c>
      <c r="G994" s="1" t="s">
        <v>179</v>
      </c>
      <c r="H994" s="1" t="s">
        <v>180</v>
      </c>
      <c r="I994" s="1" t="s">
        <v>1112</v>
      </c>
      <c r="J994" s="1"/>
      <c r="K994" s="1" t="s">
        <v>23</v>
      </c>
      <c r="L994" s="1" t="s">
        <v>5038</v>
      </c>
      <c r="M994" s="1">
        <v>1.0</v>
      </c>
      <c r="N994" s="1">
        <v>1.0</v>
      </c>
      <c r="O994" s="1" t="s">
        <v>398</v>
      </c>
      <c r="P994" s="1" t="s">
        <v>25</v>
      </c>
      <c r="Q994" s="2" t="str">
        <f t="shared" si="1"/>
        <v>H030790</v>
      </c>
    </row>
    <row r="995">
      <c r="A995" s="1" t="s">
        <v>5039</v>
      </c>
      <c r="B995" s="1" t="s">
        <v>5040</v>
      </c>
      <c r="C995" s="1" t="s">
        <v>5041</v>
      </c>
      <c r="D995" s="1" t="s">
        <v>5042</v>
      </c>
      <c r="E995" s="1">
        <v>5531.0</v>
      </c>
      <c r="F995" s="1" t="s">
        <v>398</v>
      </c>
      <c r="G995" s="1" t="s">
        <v>179</v>
      </c>
      <c r="H995" s="1" t="s">
        <v>180</v>
      </c>
      <c r="I995" s="1" t="s">
        <v>1112</v>
      </c>
      <c r="J995" s="1"/>
      <c r="K995" s="1" t="s">
        <v>23</v>
      </c>
      <c r="L995" s="1" t="s">
        <v>5043</v>
      </c>
      <c r="M995" s="1">
        <v>1.0</v>
      </c>
      <c r="N995" s="1">
        <v>1.0</v>
      </c>
      <c r="O995" s="1" t="s">
        <v>398</v>
      </c>
      <c r="P995" s="1" t="s">
        <v>25</v>
      </c>
      <c r="Q995" s="2" t="str">
        <f t="shared" si="1"/>
        <v>H030790</v>
      </c>
    </row>
    <row r="996">
      <c r="A996" s="1" t="s">
        <v>5044</v>
      </c>
      <c r="B996" s="1" t="s">
        <v>5045</v>
      </c>
      <c r="C996" s="1" t="s">
        <v>5046</v>
      </c>
      <c r="D996" s="1" t="s">
        <v>5047</v>
      </c>
      <c r="E996" s="1">
        <v>5513.0</v>
      </c>
      <c r="F996" s="1" t="s">
        <v>398</v>
      </c>
      <c r="G996" s="1" t="s">
        <v>179</v>
      </c>
      <c r="H996" s="1" t="s">
        <v>180</v>
      </c>
      <c r="I996" s="1" t="s">
        <v>1112</v>
      </c>
      <c r="J996" s="1"/>
      <c r="K996" s="1" t="s">
        <v>23</v>
      </c>
      <c r="L996" s="1" t="s">
        <v>5048</v>
      </c>
      <c r="M996" s="1">
        <v>1.0</v>
      </c>
      <c r="N996" s="1">
        <v>1.0</v>
      </c>
      <c r="O996" s="1" t="s">
        <v>398</v>
      </c>
      <c r="P996" s="1" t="s">
        <v>25</v>
      </c>
      <c r="Q996" s="2" t="str">
        <f t="shared" si="1"/>
        <v>H030790</v>
      </c>
    </row>
    <row r="997">
      <c r="A997" s="1" t="s">
        <v>5049</v>
      </c>
      <c r="B997" s="1" t="s">
        <v>5050</v>
      </c>
      <c r="C997" s="1" t="s">
        <v>5051</v>
      </c>
      <c r="D997" s="1" t="s">
        <v>5052</v>
      </c>
      <c r="E997" s="1">
        <v>5551.0</v>
      </c>
      <c r="F997" s="1" t="s">
        <v>398</v>
      </c>
      <c r="G997" s="1" t="s">
        <v>179</v>
      </c>
      <c r="H997" s="1" t="s">
        <v>180</v>
      </c>
      <c r="I997" s="1" t="s">
        <v>1112</v>
      </c>
      <c r="J997" s="1"/>
      <c r="K997" s="1" t="s">
        <v>23</v>
      </c>
      <c r="L997" s="1" t="s">
        <v>5053</v>
      </c>
      <c r="M997" s="1">
        <v>1.0</v>
      </c>
      <c r="N997" s="1">
        <v>1.0</v>
      </c>
      <c r="O997" s="1" t="s">
        <v>398</v>
      </c>
      <c r="P997" s="1" t="s">
        <v>25</v>
      </c>
      <c r="Q997" s="2" t="str">
        <f t="shared" si="1"/>
        <v>H030790</v>
      </c>
    </row>
    <row r="998">
      <c r="A998" s="1" t="s">
        <v>5054</v>
      </c>
      <c r="B998" s="1" t="s">
        <v>5055</v>
      </c>
      <c r="C998" s="1" t="s">
        <v>5056</v>
      </c>
      <c r="D998" s="1" t="s">
        <v>5057</v>
      </c>
      <c r="E998" s="1">
        <v>198.0</v>
      </c>
      <c r="F998" s="1" t="s">
        <v>315</v>
      </c>
      <c r="G998" s="1">
        <v>555127.0</v>
      </c>
      <c r="H998" s="1" t="s">
        <v>3047</v>
      </c>
      <c r="I998" s="1" t="s">
        <v>1051</v>
      </c>
      <c r="J998" s="1"/>
      <c r="K998" s="1" t="s">
        <v>23</v>
      </c>
      <c r="L998" s="1" t="s">
        <v>5058</v>
      </c>
      <c r="M998" s="1">
        <v>2.0</v>
      </c>
      <c r="N998" s="1">
        <v>0.0</v>
      </c>
      <c r="O998" s="1" t="s">
        <v>5059</v>
      </c>
      <c r="P998" s="1" t="s">
        <v>5059</v>
      </c>
      <c r="Q998" s="2" t="str">
        <f t="shared" si="1"/>
        <v>H019591</v>
      </c>
    </row>
    <row r="999">
      <c r="A999" s="1" t="s">
        <v>5060</v>
      </c>
      <c r="B999" s="1" t="s">
        <v>5061</v>
      </c>
      <c r="C999" s="1" t="s">
        <v>5062</v>
      </c>
      <c r="D999" s="1" t="s">
        <v>5063</v>
      </c>
      <c r="E999" s="1">
        <v>220.0</v>
      </c>
      <c r="F999" s="1" t="s">
        <v>315</v>
      </c>
      <c r="G999" s="1">
        <v>555127.0</v>
      </c>
      <c r="H999" s="1" t="s">
        <v>3047</v>
      </c>
      <c r="I999" s="1" t="s">
        <v>1051</v>
      </c>
      <c r="J999" s="1"/>
      <c r="K999" s="1" t="s">
        <v>23</v>
      </c>
      <c r="L999" s="1" t="s">
        <v>5064</v>
      </c>
      <c r="M999" s="1">
        <v>2.0</v>
      </c>
      <c r="N999" s="1">
        <v>0.0</v>
      </c>
      <c r="O999" s="1" t="s">
        <v>5059</v>
      </c>
      <c r="P999" s="1" t="s">
        <v>5059</v>
      </c>
      <c r="Q999" s="2" t="str">
        <f t="shared" si="1"/>
        <v>H019575</v>
      </c>
    </row>
    <row r="1000">
      <c r="A1000" s="1" t="s">
        <v>5065</v>
      </c>
      <c r="B1000" s="1" t="s">
        <v>5066</v>
      </c>
      <c r="C1000" s="1" t="s">
        <v>5067</v>
      </c>
      <c r="D1000" s="1" t="s">
        <v>5068</v>
      </c>
      <c r="E1000" s="1">
        <v>151.0</v>
      </c>
      <c r="F1000" s="1" t="s">
        <v>315</v>
      </c>
      <c r="G1000" s="1">
        <v>555127.0</v>
      </c>
      <c r="H1000" s="1" t="s">
        <v>3047</v>
      </c>
      <c r="I1000" s="1" t="s">
        <v>1051</v>
      </c>
      <c r="J1000" s="1"/>
      <c r="K1000" s="1" t="s">
        <v>23</v>
      </c>
      <c r="L1000" s="1" t="s">
        <v>5069</v>
      </c>
      <c r="M1000" s="1">
        <v>0.0</v>
      </c>
      <c r="N1000" s="1">
        <v>0.0</v>
      </c>
      <c r="O1000" s="1" t="s">
        <v>5059</v>
      </c>
      <c r="P1000" s="1" t="s">
        <v>5059</v>
      </c>
      <c r="Q1000" s="2" t="str">
        <f t="shared" si="1"/>
        <v>H019589</v>
      </c>
    </row>
    <row r="1001">
      <c r="A1001" s="1" t="s">
        <v>5070</v>
      </c>
      <c r="B1001" s="1" t="s">
        <v>5071</v>
      </c>
      <c r="C1001" s="1" t="s">
        <v>5072</v>
      </c>
      <c r="D1001" s="1" t="s">
        <v>5073</v>
      </c>
      <c r="E1001" s="1">
        <v>49.0</v>
      </c>
      <c r="F1001" s="1" t="s">
        <v>315</v>
      </c>
      <c r="G1001" s="1">
        <v>555127.0</v>
      </c>
      <c r="H1001" s="1" t="s">
        <v>3047</v>
      </c>
      <c r="I1001" s="1" t="s">
        <v>1051</v>
      </c>
      <c r="J1001" s="1"/>
      <c r="K1001" s="1" t="s">
        <v>23</v>
      </c>
      <c r="L1001" s="1" t="s">
        <v>5074</v>
      </c>
      <c r="M1001" s="1">
        <v>0.0</v>
      </c>
      <c r="N1001" s="1">
        <v>0.0</v>
      </c>
      <c r="O1001" s="1" t="s">
        <v>5059</v>
      </c>
      <c r="P1001" s="1" t="s">
        <v>5059</v>
      </c>
      <c r="Q1001" s="2" t="str">
        <f t="shared" si="1"/>
        <v>H019589</v>
      </c>
    </row>
    <row r="1002">
      <c r="A1002" s="1" t="s">
        <v>5075</v>
      </c>
      <c r="B1002" s="1" t="s">
        <v>5076</v>
      </c>
      <c r="C1002" s="1" t="s">
        <v>5077</v>
      </c>
      <c r="D1002" s="1" t="s">
        <v>5078</v>
      </c>
      <c r="E1002" s="1">
        <v>749.0</v>
      </c>
      <c r="F1002" s="1" t="s">
        <v>288</v>
      </c>
      <c r="G1002" s="1">
        <v>859767.0</v>
      </c>
      <c r="H1002" s="1" t="s">
        <v>2565</v>
      </c>
      <c r="I1002" s="1" t="s">
        <v>1051</v>
      </c>
      <c r="J1002" s="1"/>
      <c r="K1002" s="1" t="s">
        <v>23</v>
      </c>
      <c r="L1002" s="1" t="s">
        <v>5079</v>
      </c>
      <c r="M1002" s="1">
        <v>1.0</v>
      </c>
      <c r="N1002" s="1">
        <v>0.0</v>
      </c>
      <c r="O1002" s="1" t="s">
        <v>288</v>
      </c>
      <c r="P1002" s="1" t="s">
        <v>25</v>
      </c>
      <c r="Q1002" s="2" t="str">
        <f t="shared" si="1"/>
        <v>H019506</v>
      </c>
    </row>
    <row r="1003">
      <c r="A1003" s="1" t="s">
        <v>5080</v>
      </c>
      <c r="B1003" s="1" t="s">
        <v>5081</v>
      </c>
      <c r="C1003" s="1" t="s">
        <v>5082</v>
      </c>
      <c r="D1003" s="1" t="s">
        <v>5083</v>
      </c>
      <c r="E1003" s="1">
        <v>1810.0</v>
      </c>
      <c r="F1003" s="1" t="s">
        <v>288</v>
      </c>
      <c r="G1003" s="1" t="s">
        <v>304</v>
      </c>
      <c r="H1003" s="1" t="s">
        <v>272</v>
      </c>
      <c r="I1003" s="1" t="s">
        <v>1051</v>
      </c>
      <c r="J1003" s="1"/>
      <c r="K1003" s="1" t="s">
        <v>23</v>
      </c>
      <c r="L1003" s="1" t="s">
        <v>5084</v>
      </c>
      <c r="M1003" s="1">
        <v>1.0</v>
      </c>
      <c r="N1003" s="1">
        <v>1.0</v>
      </c>
      <c r="O1003" s="1" t="s">
        <v>288</v>
      </c>
      <c r="P1003" s="1" t="s">
        <v>488</v>
      </c>
      <c r="Q1003" s="2" t="str">
        <f t="shared" si="1"/>
        <v>H019423</v>
      </c>
    </row>
    <row r="1004">
      <c r="A1004" s="1" t="s">
        <v>5085</v>
      </c>
      <c r="B1004" s="1" t="s">
        <v>5086</v>
      </c>
      <c r="C1004" s="1" t="s">
        <v>5087</v>
      </c>
      <c r="D1004" s="1" t="s">
        <v>5088</v>
      </c>
      <c r="E1004" s="1">
        <v>3554.0</v>
      </c>
      <c r="F1004" s="1" t="s">
        <v>351</v>
      </c>
      <c r="G1004" s="1" t="s">
        <v>57</v>
      </c>
      <c r="H1004" s="1" t="s">
        <v>58</v>
      </c>
      <c r="I1004" s="1" t="s">
        <v>486</v>
      </c>
      <c r="J1004" s="1"/>
      <c r="K1004" s="1" t="s">
        <v>23</v>
      </c>
      <c r="L1004" s="1" t="s">
        <v>5089</v>
      </c>
      <c r="M1004" s="1">
        <v>1.0</v>
      </c>
      <c r="N1004" s="1">
        <v>1.0</v>
      </c>
      <c r="O1004" s="1" t="s">
        <v>351</v>
      </c>
      <c r="P1004" s="1" t="s">
        <v>488</v>
      </c>
      <c r="Q1004" s="2" t="str">
        <f t="shared" si="1"/>
        <v>H006689</v>
      </c>
    </row>
    <row r="1005">
      <c r="A1005" s="1" t="s">
        <v>5090</v>
      </c>
      <c r="B1005" s="1" t="s">
        <v>5091</v>
      </c>
      <c r="C1005" s="1" t="s">
        <v>5092</v>
      </c>
      <c r="D1005" s="1" t="s">
        <v>5093</v>
      </c>
      <c r="E1005" s="1">
        <v>3914.0</v>
      </c>
      <c r="F1005" s="1" t="s">
        <v>351</v>
      </c>
      <c r="G1005" s="1" t="s">
        <v>57</v>
      </c>
      <c r="H1005" s="1" t="s">
        <v>58</v>
      </c>
      <c r="I1005" s="1" t="s">
        <v>486</v>
      </c>
      <c r="J1005" s="1"/>
      <c r="K1005" s="1" t="s">
        <v>23</v>
      </c>
      <c r="L1005" s="1" t="s">
        <v>5094</v>
      </c>
      <c r="M1005" s="1">
        <v>1.0</v>
      </c>
      <c r="N1005" s="1">
        <v>1.0</v>
      </c>
      <c r="O1005" s="1" t="s">
        <v>351</v>
      </c>
      <c r="P1005" s="1" t="s">
        <v>488</v>
      </c>
      <c r="Q1005" s="2" t="str">
        <f t="shared" si="1"/>
        <v>H006689</v>
      </c>
    </row>
    <row r="1006">
      <c r="A1006" s="1" t="s">
        <v>5095</v>
      </c>
      <c r="B1006" s="1" t="s">
        <v>5096</v>
      </c>
      <c r="C1006" s="1" t="s">
        <v>5097</v>
      </c>
      <c r="D1006" s="1" t="s">
        <v>5098</v>
      </c>
      <c r="E1006" s="1">
        <v>4325.0</v>
      </c>
      <c r="F1006" s="1" t="s">
        <v>382</v>
      </c>
      <c r="G1006" s="1" t="s">
        <v>107</v>
      </c>
      <c r="H1006" s="1" t="s">
        <v>108</v>
      </c>
      <c r="I1006" s="1" t="s">
        <v>486</v>
      </c>
      <c r="J1006" s="1"/>
      <c r="K1006" s="1" t="s">
        <v>23</v>
      </c>
      <c r="L1006" s="1" t="s">
        <v>5099</v>
      </c>
      <c r="M1006" s="1">
        <v>0.0</v>
      </c>
      <c r="N1006" s="1">
        <v>1.0</v>
      </c>
      <c r="O1006" s="1" t="s">
        <v>382</v>
      </c>
      <c r="P1006" s="1" t="s">
        <v>488</v>
      </c>
      <c r="Q1006" s="2" t="str">
        <f t="shared" si="1"/>
        <v>H006863</v>
      </c>
    </row>
    <row r="1007">
      <c r="A1007" s="1" t="s">
        <v>5100</v>
      </c>
      <c r="B1007" s="1" t="s">
        <v>5101</v>
      </c>
      <c r="C1007" s="1" t="s">
        <v>5102</v>
      </c>
      <c r="D1007" s="1" t="s">
        <v>5103</v>
      </c>
      <c r="E1007" s="1">
        <v>3710.0</v>
      </c>
      <c r="F1007" s="1" t="s">
        <v>382</v>
      </c>
      <c r="G1007" s="1" t="s">
        <v>107</v>
      </c>
      <c r="H1007" s="1" t="s">
        <v>108</v>
      </c>
      <c r="I1007" s="1" t="s">
        <v>486</v>
      </c>
      <c r="J1007" s="1"/>
      <c r="K1007" s="1" t="s">
        <v>23</v>
      </c>
      <c r="L1007" s="1" t="s">
        <v>5104</v>
      </c>
      <c r="M1007" s="1">
        <v>0.0</v>
      </c>
      <c r="N1007" s="1">
        <v>1.0</v>
      </c>
      <c r="O1007" s="1" t="s">
        <v>382</v>
      </c>
      <c r="P1007" s="1" t="s">
        <v>488</v>
      </c>
      <c r="Q1007" s="2" t="str">
        <f t="shared" si="1"/>
        <v>H006863</v>
      </c>
    </row>
    <row r="1008">
      <c r="A1008" s="1" t="s">
        <v>5105</v>
      </c>
      <c r="B1008" s="1" t="s">
        <v>5106</v>
      </c>
      <c r="C1008" s="1" t="s">
        <v>5107</v>
      </c>
      <c r="D1008" s="1" t="s">
        <v>5108</v>
      </c>
      <c r="E1008" s="1">
        <v>2229.0</v>
      </c>
      <c r="F1008" s="1" t="s">
        <v>382</v>
      </c>
      <c r="G1008" s="1" t="s">
        <v>107</v>
      </c>
      <c r="H1008" s="1" t="s">
        <v>108</v>
      </c>
      <c r="I1008" s="1" t="s">
        <v>486</v>
      </c>
      <c r="J1008" s="1"/>
      <c r="K1008" s="1" t="s">
        <v>23</v>
      </c>
      <c r="L1008" s="1" t="s">
        <v>5109</v>
      </c>
      <c r="M1008" s="1">
        <v>0.0</v>
      </c>
      <c r="N1008" s="1">
        <v>1.0</v>
      </c>
      <c r="O1008" s="1" t="s">
        <v>382</v>
      </c>
      <c r="P1008" s="1" t="s">
        <v>488</v>
      </c>
      <c r="Q1008" s="2" t="str">
        <f t="shared" si="1"/>
        <v>H006863</v>
      </c>
    </row>
    <row r="1009">
      <c r="A1009" s="1" t="s">
        <v>5110</v>
      </c>
      <c r="B1009" s="1" t="s">
        <v>5111</v>
      </c>
      <c r="C1009" s="1" t="s">
        <v>5112</v>
      </c>
      <c r="D1009" s="1" t="s">
        <v>5113</v>
      </c>
      <c r="E1009" s="1">
        <v>3052.0</v>
      </c>
      <c r="F1009" s="1" t="s">
        <v>351</v>
      </c>
      <c r="G1009" s="1" t="s">
        <v>208</v>
      </c>
      <c r="H1009" s="1" t="s">
        <v>209</v>
      </c>
      <c r="I1009" s="1" t="s">
        <v>486</v>
      </c>
      <c r="J1009" s="1"/>
      <c r="K1009" s="1" t="s">
        <v>23</v>
      </c>
      <c r="L1009" s="1" t="s">
        <v>5114</v>
      </c>
      <c r="M1009" s="1">
        <v>1.0</v>
      </c>
      <c r="N1009" s="1">
        <v>1.0</v>
      </c>
      <c r="O1009" s="1" t="s">
        <v>351</v>
      </c>
      <c r="P1009" s="1" t="s">
        <v>488</v>
      </c>
      <c r="Q1009" s="2" t="str">
        <f t="shared" si="1"/>
        <v>H006689</v>
      </c>
    </row>
    <row r="1010">
      <c r="A1010" s="1" t="s">
        <v>5115</v>
      </c>
      <c r="B1010" s="1" t="s">
        <v>5116</v>
      </c>
      <c r="C1010" s="1" t="s">
        <v>5117</v>
      </c>
      <c r="D1010" s="1" t="s">
        <v>5118</v>
      </c>
      <c r="E1010" s="1">
        <v>6355.0</v>
      </c>
      <c r="F1010" s="1" t="s">
        <v>351</v>
      </c>
      <c r="G1010" s="1" t="s">
        <v>208</v>
      </c>
      <c r="H1010" s="1" t="s">
        <v>209</v>
      </c>
      <c r="I1010" s="1" t="s">
        <v>486</v>
      </c>
      <c r="J1010" s="1"/>
      <c r="K1010" s="1" t="s">
        <v>23</v>
      </c>
      <c r="L1010" s="1" t="s">
        <v>5119</v>
      </c>
      <c r="M1010" s="1">
        <v>1.0</v>
      </c>
      <c r="N1010" s="1">
        <v>1.0</v>
      </c>
      <c r="O1010" s="1" t="s">
        <v>351</v>
      </c>
      <c r="P1010" s="1" t="s">
        <v>488</v>
      </c>
      <c r="Q1010" s="2" t="str">
        <f t="shared" si="1"/>
        <v>H006689</v>
      </c>
    </row>
    <row r="1011">
      <c r="A1011" s="1" t="s">
        <v>5120</v>
      </c>
      <c r="B1011" s="1" t="s">
        <v>5121</v>
      </c>
      <c r="C1011" s="1" t="s">
        <v>5122</v>
      </c>
      <c r="D1011" s="1" t="s">
        <v>5123</v>
      </c>
      <c r="E1011" s="1">
        <v>3688.0</v>
      </c>
      <c r="F1011" s="1" t="s">
        <v>498</v>
      </c>
      <c r="G1011" s="1" t="s">
        <v>220</v>
      </c>
      <c r="H1011" s="1" t="s">
        <v>221</v>
      </c>
      <c r="I1011" s="1" t="s">
        <v>1112</v>
      </c>
      <c r="J1011" s="1"/>
      <c r="K1011" s="1" t="s">
        <v>23</v>
      </c>
      <c r="L1011" s="1" t="s">
        <v>5124</v>
      </c>
      <c r="M1011" s="1">
        <v>0.0</v>
      </c>
      <c r="N1011" s="1">
        <v>1.0</v>
      </c>
      <c r="O1011" s="1" t="s">
        <v>498</v>
      </c>
      <c r="P1011" s="1" t="s">
        <v>488</v>
      </c>
      <c r="Q1011" s="2" t="str">
        <f t="shared" si="1"/>
        <v>H030195</v>
      </c>
    </row>
    <row r="1012">
      <c r="A1012" s="1" t="s">
        <v>5125</v>
      </c>
      <c r="B1012" s="1" t="s">
        <v>5126</v>
      </c>
      <c r="C1012" s="1" t="s">
        <v>5127</v>
      </c>
      <c r="D1012" s="1" t="s">
        <v>5128</v>
      </c>
      <c r="E1012" s="1">
        <v>3565.0</v>
      </c>
      <c r="F1012" s="1" t="s">
        <v>382</v>
      </c>
      <c r="G1012" s="1" t="s">
        <v>191</v>
      </c>
      <c r="H1012" s="1" t="s">
        <v>192</v>
      </c>
      <c r="I1012" s="1" t="s">
        <v>486</v>
      </c>
      <c r="J1012" s="1"/>
      <c r="K1012" s="1" t="s">
        <v>23</v>
      </c>
      <c r="L1012" s="1" t="s">
        <v>5129</v>
      </c>
      <c r="M1012" s="1">
        <v>0.0</v>
      </c>
      <c r="N1012" s="1">
        <v>1.0</v>
      </c>
      <c r="O1012" s="1" t="s">
        <v>382</v>
      </c>
      <c r="P1012" s="1" t="s">
        <v>488</v>
      </c>
      <c r="Q1012" s="2" t="str">
        <f t="shared" si="1"/>
        <v>H006863</v>
      </c>
    </row>
    <row r="1013">
      <c r="A1013" s="1" t="s">
        <v>5130</v>
      </c>
      <c r="B1013" s="1" t="s">
        <v>5131</v>
      </c>
      <c r="C1013" s="1" t="s">
        <v>5132</v>
      </c>
      <c r="D1013" s="1" t="s">
        <v>5133</v>
      </c>
      <c r="E1013" s="1">
        <v>3785.0</v>
      </c>
      <c r="F1013" s="1" t="s">
        <v>498</v>
      </c>
      <c r="G1013" s="1">
        <v>896791.0</v>
      </c>
      <c r="H1013" s="1" t="s">
        <v>2124</v>
      </c>
      <c r="I1013" s="1" t="s">
        <v>1112</v>
      </c>
      <c r="J1013" s="1"/>
      <c r="K1013" s="1" t="s">
        <v>23</v>
      </c>
      <c r="L1013" s="1" t="s">
        <v>5134</v>
      </c>
      <c r="M1013" s="1">
        <v>0.0</v>
      </c>
      <c r="N1013" s="1">
        <v>1.0</v>
      </c>
      <c r="O1013" s="1" t="s">
        <v>498</v>
      </c>
      <c r="P1013" s="1" t="s">
        <v>488</v>
      </c>
      <c r="Q1013" s="2" t="str">
        <f t="shared" si="1"/>
        <v>H030195</v>
      </c>
    </row>
    <row r="1014">
      <c r="A1014" s="1" t="s">
        <v>5135</v>
      </c>
      <c r="B1014" s="1" t="s">
        <v>5136</v>
      </c>
      <c r="C1014" s="1" t="s">
        <v>5137</v>
      </c>
      <c r="D1014" s="1" t="s">
        <v>5138</v>
      </c>
      <c r="E1014" s="1">
        <v>5257.0</v>
      </c>
      <c r="F1014" s="1" t="s">
        <v>498</v>
      </c>
      <c r="G1014" s="1" t="s">
        <v>220</v>
      </c>
      <c r="H1014" s="1" t="s">
        <v>221</v>
      </c>
      <c r="I1014" s="1" t="s">
        <v>1112</v>
      </c>
      <c r="J1014" s="1"/>
      <c r="K1014" s="1" t="s">
        <v>23</v>
      </c>
      <c r="L1014" s="1" t="s">
        <v>5139</v>
      </c>
      <c r="M1014" s="1">
        <v>0.0</v>
      </c>
      <c r="N1014" s="1">
        <v>1.0</v>
      </c>
      <c r="O1014" s="1" t="s">
        <v>498</v>
      </c>
      <c r="P1014" s="1" t="s">
        <v>488</v>
      </c>
      <c r="Q1014" s="2" t="str">
        <f t="shared" si="1"/>
        <v>H030195</v>
      </c>
    </row>
    <row r="1015">
      <c r="A1015" s="1" t="s">
        <v>5140</v>
      </c>
      <c r="B1015" s="1" t="s">
        <v>5141</v>
      </c>
      <c r="C1015" s="1" t="s">
        <v>5142</v>
      </c>
      <c r="D1015" s="1" t="s">
        <v>5143</v>
      </c>
      <c r="E1015" s="1">
        <v>3089.0</v>
      </c>
      <c r="F1015" s="1" t="s">
        <v>382</v>
      </c>
      <c r="G1015" s="1" t="s">
        <v>191</v>
      </c>
      <c r="H1015" s="1" t="s">
        <v>192</v>
      </c>
      <c r="I1015" s="1" t="s">
        <v>486</v>
      </c>
      <c r="J1015" s="1"/>
      <c r="K1015" s="1" t="s">
        <v>23</v>
      </c>
      <c r="L1015" s="1" t="s">
        <v>5144</v>
      </c>
      <c r="M1015" s="1">
        <v>0.0</v>
      </c>
      <c r="N1015" s="1">
        <v>1.0</v>
      </c>
      <c r="O1015" s="1" t="s">
        <v>382</v>
      </c>
      <c r="P1015" s="1" t="s">
        <v>488</v>
      </c>
      <c r="Q1015" s="2" t="str">
        <f t="shared" si="1"/>
        <v>H006863</v>
      </c>
    </row>
    <row r="1016">
      <c r="A1016" s="1" t="s">
        <v>5145</v>
      </c>
      <c r="B1016" s="1" t="s">
        <v>5146</v>
      </c>
      <c r="C1016" s="1" t="s">
        <v>5147</v>
      </c>
      <c r="D1016" s="1" t="s">
        <v>5148</v>
      </c>
      <c r="E1016" s="1">
        <v>4493.0</v>
      </c>
      <c r="F1016" s="1" t="s">
        <v>498</v>
      </c>
      <c r="G1016" s="1" t="s">
        <v>132</v>
      </c>
      <c r="H1016" s="1" t="s">
        <v>133</v>
      </c>
      <c r="I1016" s="1" t="s">
        <v>1112</v>
      </c>
      <c r="J1016" s="1"/>
      <c r="K1016" s="1" t="s">
        <v>23</v>
      </c>
      <c r="L1016" s="1" t="s">
        <v>5149</v>
      </c>
      <c r="M1016" s="1">
        <v>0.0</v>
      </c>
      <c r="N1016" s="1">
        <v>1.0</v>
      </c>
      <c r="O1016" s="1" t="s">
        <v>498</v>
      </c>
      <c r="P1016" s="1" t="s">
        <v>488</v>
      </c>
      <c r="Q1016" s="2" t="str">
        <f t="shared" si="1"/>
        <v>H030195</v>
      </c>
    </row>
    <row r="1017">
      <c r="A1017" s="1" t="s">
        <v>5150</v>
      </c>
      <c r="B1017" s="1" t="s">
        <v>5151</v>
      </c>
      <c r="C1017" s="1" t="s">
        <v>5152</v>
      </c>
      <c r="D1017" s="1" t="s">
        <v>5153</v>
      </c>
      <c r="E1017" s="1">
        <v>6754.0</v>
      </c>
      <c r="F1017" s="1" t="s">
        <v>498</v>
      </c>
      <c r="G1017" s="1" t="s">
        <v>167</v>
      </c>
      <c r="H1017" s="1" t="s">
        <v>168</v>
      </c>
      <c r="I1017" s="1" t="s">
        <v>1112</v>
      </c>
      <c r="J1017" s="1"/>
      <c r="K1017" s="1" t="s">
        <v>23</v>
      </c>
      <c r="L1017" s="1" t="s">
        <v>5154</v>
      </c>
      <c r="M1017" s="1">
        <v>0.0</v>
      </c>
      <c r="N1017" s="1">
        <v>1.0</v>
      </c>
      <c r="O1017" s="1" t="s">
        <v>498</v>
      </c>
      <c r="P1017" s="1" t="s">
        <v>488</v>
      </c>
      <c r="Q1017" s="2" t="str">
        <f t="shared" si="1"/>
        <v>H030195</v>
      </c>
    </row>
    <row r="1018">
      <c r="A1018" s="1" t="s">
        <v>5155</v>
      </c>
      <c r="B1018" s="1" t="s">
        <v>5156</v>
      </c>
      <c r="C1018" s="1" t="s">
        <v>5157</v>
      </c>
      <c r="D1018" s="1" t="s">
        <v>5158</v>
      </c>
      <c r="E1018" s="1">
        <v>4785.0</v>
      </c>
      <c r="F1018" s="1" t="s">
        <v>498</v>
      </c>
      <c r="G1018" s="1" t="s">
        <v>132</v>
      </c>
      <c r="H1018" s="1" t="s">
        <v>133</v>
      </c>
      <c r="I1018" s="1" t="s">
        <v>1112</v>
      </c>
      <c r="J1018" s="1"/>
      <c r="K1018" s="1" t="s">
        <v>23</v>
      </c>
      <c r="L1018" s="1" t="s">
        <v>5159</v>
      </c>
      <c r="M1018" s="1">
        <v>0.0</v>
      </c>
      <c r="N1018" s="1">
        <v>1.0</v>
      </c>
      <c r="O1018" s="1" t="s">
        <v>498</v>
      </c>
      <c r="P1018" s="1" t="s">
        <v>488</v>
      </c>
      <c r="Q1018" s="2" t="str">
        <f t="shared" si="1"/>
        <v>H030195</v>
      </c>
    </row>
    <row r="1019">
      <c r="A1019" s="1" t="s">
        <v>5160</v>
      </c>
      <c r="B1019" s="1" t="s">
        <v>5161</v>
      </c>
      <c r="C1019" s="1" t="s">
        <v>5162</v>
      </c>
      <c r="D1019" s="1" t="s">
        <v>5163</v>
      </c>
      <c r="E1019" s="1">
        <v>4562.0</v>
      </c>
      <c r="F1019" s="1" t="s">
        <v>498</v>
      </c>
      <c r="G1019" s="1">
        <v>896791.0</v>
      </c>
      <c r="H1019" s="1" t="s">
        <v>2124</v>
      </c>
      <c r="I1019" s="1" t="s">
        <v>1112</v>
      </c>
      <c r="J1019" s="1"/>
      <c r="K1019" s="1" t="s">
        <v>23</v>
      </c>
      <c r="L1019" s="1" t="s">
        <v>5164</v>
      </c>
      <c r="M1019" s="1">
        <v>0.0</v>
      </c>
      <c r="N1019" s="1">
        <v>1.0</v>
      </c>
      <c r="O1019" s="1" t="s">
        <v>498</v>
      </c>
      <c r="P1019" s="1" t="s">
        <v>488</v>
      </c>
      <c r="Q1019" s="2" t="str">
        <f t="shared" si="1"/>
        <v>H030195</v>
      </c>
    </row>
    <row r="1020">
      <c r="A1020" s="1" t="s">
        <v>5165</v>
      </c>
      <c r="B1020" s="1" t="s">
        <v>5166</v>
      </c>
      <c r="C1020" s="1" t="s">
        <v>5167</v>
      </c>
      <c r="D1020" s="1" t="s">
        <v>5168</v>
      </c>
      <c r="E1020" s="1">
        <v>4381.0</v>
      </c>
      <c r="F1020" s="1" t="s">
        <v>498</v>
      </c>
      <c r="G1020" s="1" t="s">
        <v>167</v>
      </c>
      <c r="H1020" s="1" t="s">
        <v>168</v>
      </c>
      <c r="I1020" s="1" t="s">
        <v>1112</v>
      </c>
      <c r="J1020" s="1"/>
      <c r="K1020" s="1" t="s">
        <v>23</v>
      </c>
      <c r="L1020" s="1" t="s">
        <v>5169</v>
      </c>
      <c r="M1020" s="1">
        <v>0.0</v>
      </c>
      <c r="N1020" s="1">
        <v>1.0</v>
      </c>
      <c r="O1020" s="1" t="s">
        <v>498</v>
      </c>
      <c r="P1020" s="1" t="s">
        <v>488</v>
      </c>
      <c r="Q1020" s="2" t="str">
        <f t="shared" si="1"/>
        <v>H030195</v>
      </c>
    </row>
    <row r="1021">
      <c r="A1021" s="1" t="s">
        <v>5170</v>
      </c>
      <c r="B1021" s="1" t="s">
        <v>5171</v>
      </c>
      <c r="C1021" s="1" t="s">
        <v>5172</v>
      </c>
      <c r="D1021" s="1" t="s">
        <v>5173</v>
      </c>
      <c r="E1021" s="1">
        <v>109.0</v>
      </c>
      <c r="F1021" s="1" t="s">
        <v>498</v>
      </c>
      <c r="G1021" s="1" t="s">
        <v>167</v>
      </c>
      <c r="H1021" s="1" t="s">
        <v>168</v>
      </c>
      <c r="I1021" s="1" t="s">
        <v>1112</v>
      </c>
      <c r="J1021" s="1"/>
      <c r="K1021" s="1" t="s">
        <v>23</v>
      </c>
      <c r="L1021" s="1" t="s">
        <v>5174</v>
      </c>
      <c r="M1021" s="1">
        <v>0.0</v>
      </c>
      <c r="N1021" s="1">
        <v>0.0</v>
      </c>
      <c r="O1021" s="1" t="s">
        <v>498</v>
      </c>
      <c r="P1021" s="1" t="s">
        <v>25</v>
      </c>
      <c r="Q1021" s="2" t="str">
        <f t="shared" si="1"/>
        <v>H030195</v>
      </c>
    </row>
    <row r="1022">
      <c r="A1022" s="1" t="s">
        <v>5175</v>
      </c>
      <c r="B1022" s="1" t="s">
        <v>5176</v>
      </c>
      <c r="C1022" s="1" t="s">
        <v>5177</v>
      </c>
      <c r="D1022" s="1" t="s">
        <v>5178</v>
      </c>
      <c r="E1022" s="1">
        <v>3717.0</v>
      </c>
      <c r="F1022" s="1" t="s">
        <v>498</v>
      </c>
      <c r="G1022" s="1" t="s">
        <v>132</v>
      </c>
      <c r="H1022" s="1" t="s">
        <v>133</v>
      </c>
      <c r="I1022" s="1" t="s">
        <v>1112</v>
      </c>
      <c r="J1022" s="1"/>
      <c r="K1022" s="1" t="s">
        <v>23</v>
      </c>
      <c r="L1022" s="1" t="s">
        <v>5179</v>
      </c>
      <c r="M1022" s="1">
        <v>0.0</v>
      </c>
      <c r="N1022" s="1">
        <v>1.0</v>
      </c>
      <c r="O1022" s="1" t="s">
        <v>498</v>
      </c>
      <c r="P1022" s="1" t="s">
        <v>488</v>
      </c>
      <c r="Q1022" s="2" t="str">
        <f t="shared" si="1"/>
        <v>H030195</v>
      </c>
    </row>
    <row r="1023">
      <c r="A1023" s="1" t="s">
        <v>5180</v>
      </c>
      <c r="B1023" s="1" t="s">
        <v>5181</v>
      </c>
      <c r="C1023" s="1" t="s">
        <v>5182</v>
      </c>
      <c r="D1023" s="1" t="s">
        <v>5183</v>
      </c>
      <c r="E1023" s="1">
        <v>4477.0</v>
      </c>
      <c r="F1023" s="1" t="s">
        <v>398</v>
      </c>
      <c r="G1023" s="1" t="s">
        <v>155</v>
      </c>
      <c r="H1023" s="1" t="s">
        <v>156</v>
      </c>
      <c r="I1023" s="1" t="s">
        <v>1112</v>
      </c>
      <c r="J1023" s="1"/>
      <c r="K1023" s="1" t="s">
        <v>23</v>
      </c>
      <c r="L1023" s="1" t="s">
        <v>5184</v>
      </c>
      <c r="M1023" s="1">
        <v>3.0</v>
      </c>
      <c r="N1023" s="1">
        <v>1.0</v>
      </c>
      <c r="O1023" s="1" t="s">
        <v>398</v>
      </c>
      <c r="P1023" s="1" t="s">
        <v>488</v>
      </c>
      <c r="Q1023" s="2" t="str">
        <f t="shared" si="1"/>
        <v>H030373</v>
      </c>
    </row>
    <row r="1024">
      <c r="A1024" s="1" t="s">
        <v>5185</v>
      </c>
      <c r="B1024" s="1" t="s">
        <v>5186</v>
      </c>
      <c r="C1024" s="1" t="s">
        <v>5187</v>
      </c>
      <c r="D1024" s="1" t="s">
        <v>5188</v>
      </c>
      <c r="E1024" s="1">
        <v>4772.0</v>
      </c>
      <c r="F1024" s="1" t="s">
        <v>398</v>
      </c>
      <c r="G1024" s="1" t="s">
        <v>155</v>
      </c>
      <c r="H1024" s="1" t="s">
        <v>156</v>
      </c>
      <c r="I1024" s="1" t="s">
        <v>1112</v>
      </c>
      <c r="J1024" s="1"/>
      <c r="K1024" s="1" t="s">
        <v>23</v>
      </c>
      <c r="L1024" s="1" t="s">
        <v>5189</v>
      </c>
      <c r="M1024" s="1">
        <v>3.0</v>
      </c>
      <c r="N1024" s="1">
        <v>1.0</v>
      </c>
      <c r="O1024" s="1" t="s">
        <v>398</v>
      </c>
      <c r="P1024" s="1" t="s">
        <v>488</v>
      </c>
      <c r="Q1024" s="2" t="str">
        <f t="shared" si="1"/>
        <v>H030373</v>
      </c>
    </row>
    <row r="1025">
      <c r="A1025" s="1" t="s">
        <v>5190</v>
      </c>
      <c r="B1025" s="1" t="s">
        <v>5191</v>
      </c>
      <c r="C1025" s="1" t="s">
        <v>5192</v>
      </c>
      <c r="D1025" s="1" t="s">
        <v>5193</v>
      </c>
      <c r="E1025" s="1">
        <v>4779.0</v>
      </c>
      <c r="F1025" s="1" t="s">
        <v>351</v>
      </c>
      <c r="G1025" s="1" t="s">
        <v>260</v>
      </c>
      <c r="H1025" s="1" t="s">
        <v>261</v>
      </c>
      <c r="I1025" s="1" t="s">
        <v>486</v>
      </c>
      <c r="J1025" s="1"/>
      <c r="K1025" s="1" t="s">
        <v>23</v>
      </c>
      <c r="L1025" s="1" t="s">
        <v>5194</v>
      </c>
      <c r="M1025" s="1">
        <v>1.0</v>
      </c>
      <c r="N1025" s="1">
        <v>1.0</v>
      </c>
      <c r="O1025" s="1" t="s">
        <v>351</v>
      </c>
      <c r="P1025" s="1" t="s">
        <v>488</v>
      </c>
      <c r="Q1025" s="2" t="str">
        <f t="shared" si="1"/>
        <v>H006689</v>
      </c>
    </row>
    <row r="1026">
      <c r="A1026" s="1" t="s">
        <v>5195</v>
      </c>
      <c r="B1026" s="1" t="s">
        <v>5196</v>
      </c>
      <c r="C1026" s="1" t="s">
        <v>5197</v>
      </c>
      <c r="D1026" s="1" t="s">
        <v>5198</v>
      </c>
      <c r="E1026" s="1">
        <v>4581.0</v>
      </c>
      <c r="F1026" s="1" t="s">
        <v>351</v>
      </c>
      <c r="G1026" s="1" t="s">
        <v>260</v>
      </c>
      <c r="H1026" s="1" t="s">
        <v>261</v>
      </c>
      <c r="I1026" s="1" t="s">
        <v>486</v>
      </c>
      <c r="J1026" s="1"/>
      <c r="K1026" s="1" t="s">
        <v>23</v>
      </c>
      <c r="L1026" s="1" t="s">
        <v>5199</v>
      </c>
      <c r="M1026" s="1">
        <v>1.0</v>
      </c>
      <c r="N1026" s="1">
        <v>1.0</v>
      </c>
      <c r="O1026" s="1" t="s">
        <v>351</v>
      </c>
      <c r="P1026" s="1" t="s">
        <v>488</v>
      </c>
      <c r="Q1026" s="2" t="str">
        <f t="shared" si="1"/>
        <v>H006689</v>
      </c>
    </row>
    <row r="1027">
      <c r="A1027" s="1" t="s">
        <v>5200</v>
      </c>
      <c r="B1027" s="1" t="s">
        <v>5201</v>
      </c>
      <c r="C1027" s="1" t="s">
        <v>5202</v>
      </c>
      <c r="D1027" s="1" t="s">
        <v>5203</v>
      </c>
      <c r="E1027" s="1">
        <v>3381.0</v>
      </c>
      <c r="F1027" s="1" t="s">
        <v>382</v>
      </c>
      <c r="G1027" s="1" t="s">
        <v>119</v>
      </c>
      <c r="H1027" s="1" t="s">
        <v>120</v>
      </c>
      <c r="I1027" s="1" t="s">
        <v>486</v>
      </c>
      <c r="J1027" s="1"/>
      <c r="K1027" s="1" t="s">
        <v>23</v>
      </c>
      <c r="L1027" s="1" t="s">
        <v>5204</v>
      </c>
      <c r="M1027" s="1">
        <v>0.0</v>
      </c>
      <c r="N1027" s="1">
        <v>1.0</v>
      </c>
      <c r="O1027" s="1" t="s">
        <v>382</v>
      </c>
      <c r="P1027" s="1" t="s">
        <v>488</v>
      </c>
      <c r="Q1027" s="2" t="str">
        <f t="shared" si="1"/>
        <v>H006863</v>
      </c>
    </row>
    <row r="1028">
      <c r="A1028" s="1" t="s">
        <v>5205</v>
      </c>
      <c r="B1028" s="1" t="s">
        <v>5206</v>
      </c>
      <c r="C1028" s="1" t="s">
        <v>5207</v>
      </c>
      <c r="D1028" s="1" t="s">
        <v>5208</v>
      </c>
      <c r="E1028" s="1">
        <v>1984.0</v>
      </c>
      <c r="F1028" s="1" t="s">
        <v>382</v>
      </c>
      <c r="G1028" s="1" t="s">
        <v>119</v>
      </c>
      <c r="H1028" s="1" t="s">
        <v>120</v>
      </c>
      <c r="I1028" s="1" t="s">
        <v>486</v>
      </c>
      <c r="J1028" s="1"/>
      <c r="K1028" s="1" t="s">
        <v>23</v>
      </c>
      <c r="L1028" s="1" t="s">
        <v>5209</v>
      </c>
      <c r="M1028" s="1">
        <v>0.0</v>
      </c>
      <c r="N1028" s="1">
        <v>1.0</v>
      </c>
      <c r="O1028" s="1" t="s">
        <v>382</v>
      </c>
      <c r="P1028" s="1" t="s">
        <v>488</v>
      </c>
      <c r="Q1028" s="2" t="str">
        <f t="shared" si="1"/>
        <v>H006863</v>
      </c>
    </row>
    <row r="1029">
      <c r="A1029" s="1" t="s">
        <v>5210</v>
      </c>
      <c r="B1029" s="1" t="s">
        <v>5211</v>
      </c>
      <c r="C1029" s="1" t="s">
        <v>5212</v>
      </c>
      <c r="D1029" s="1" t="s">
        <v>5213</v>
      </c>
      <c r="E1029" s="1">
        <v>4891.0</v>
      </c>
      <c r="F1029" s="1" t="s">
        <v>398</v>
      </c>
      <c r="G1029" s="1" t="s">
        <v>179</v>
      </c>
      <c r="H1029" s="1" t="s">
        <v>180</v>
      </c>
      <c r="I1029" s="1" t="s">
        <v>1112</v>
      </c>
      <c r="J1029" s="1"/>
      <c r="K1029" s="1" t="s">
        <v>23</v>
      </c>
      <c r="L1029" s="1" t="s">
        <v>5214</v>
      </c>
      <c r="M1029" s="1">
        <v>3.0</v>
      </c>
      <c r="N1029" s="1">
        <v>1.0</v>
      </c>
      <c r="O1029" s="1" t="s">
        <v>398</v>
      </c>
      <c r="P1029" s="1" t="s">
        <v>488</v>
      </c>
      <c r="Q1029" s="2" t="str">
        <f t="shared" si="1"/>
        <v>H030373</v>
      </c>
    </row>
    <row r="1030">
      <c r="A1030" s="1" t="s">
        <v>5215</v>
      </c>
      <c r="B1030" s="1" t="s">
        <v>5216</v>
      </c>
      <c r="C1030" s="1" t="s">
        <v>5217</v>
      </c>
      <c r="D1030" s="1" t="s">
        <v>5218</v>
      </c>
      <c r="E1030" s="1">
        <v>3934.0</v>
      </c>
      <c r="F1030" s="1" t="s">
        <v>398</v>
      </c>
      <c r="G1030" s="1" t="s">
        <v>232</v>
      </c>
      <c r="H1030" s="1" t="s">
        <v>233</v>
      </c>
      <c r="I1030" s="1" t="s">
        <v>1112</v>
      </c>
      <c r="J1030" s="1"/>
      <c r="K1030" s="1" t="s">
        <v>23</v>
      </c>
      <c r="L1030" s="1" t="s">
        <v>5219</v>
      </c>
      <c r="M1030" s="1">
        <v>3.0</v>
      </c>
      <c r="N1030" s="1">
        <v>1.0</v>
      </c>
      <c r="O1030" s="1" t="s">
        <v>398</v>
      </c>
      <c r="P1030" s="1" t="s">
        <v>488</v>
      </c>
      <c r="Q1030" s="2" t="str">
        <f t="shared" si="1"/>
        <v>H030373</v>
      </c>
    </row>
    <row r="1031">
      <c r="A1031" s="1" t="s">
        <v>5220</v>
      </c>
      <c r="B1031" s="1" t="s">
        <v>5221</v>
      </c>
      <c r="C1031" s="1" t="s">
        <v>5222</v>
      </c>
      <c r="D1031" s="1" t="s">
        <v>5223</v>
      </c>
      <c r="E1031" s="1">
        <v>3637.0</v>
      </c>
      <c r="F1031" s="1" t="s">
        <v>398</v>
      </c>
      <c r="G1031" s="1" t="s">
        <v>155</v>
      </c>
      <c r="H1031" s="1" t="s">
        <v>156</v>
      </c>
      <c r="I1031" s="1" t="s">
        <v>1112</v>
      </c>
      <c r="J1031" s="1"/>
      <c r="K1031" s="1" t="s">
        <v>23</v>
      </c>
      <c r="L1031" s="1" t="s">
        <v>5224</v>
      </c>
      <c r="M1031" s="1">
        <v>3.0</v>
      </c>
      <c r="N1031" s="1">
        <v>1.0</v>
      </c>
      <c r="O1031" s="1" t="s">
        <v>398</v>
      </c>
      <c r="P1031" s="1" t="s">
        <v>488</v>
      </c>
      <c r="Q1031" s="2" t="str">
        <f t="shared" si="1"/>
        <v>H030373</v>
      </c>
    </row>
    <row r="1032">
      <c r="A1032" s="1" t="s">
        <v>5225</v>
      </c>
      <c r="B1032" s="1" t="s">
        <v>5226</v>
      </c>
      <c r="C1032" s="1" t="s">
        <v>5227</v>
      </c>
      <c r="D1032" s="1" t="s">
        <v>5228</v>
      </c>
      <c r="E1032" s="1">
        <v>3712.0</v>
      </c>
      <c r="F1032" s="1" t="s">
        <v>382</v>
      </c>
      <c r="G1032" s="1" t="s">
        <v>474</v>
      </c>
      <c r="H1032" s="1" t="s">
        <v>475</v>
      </c>
      <c r="I1032" s="1" t="s">
        <v>486</v>
      </c>
      <c r="J1032" s="1"/>
      <c r="K1032" s="1" t="s">
        <v>23</v>
      </c>
      <c r="L1032" s="1" t="s">
        <v>5229</v>
      </c>
      <c r="M1032" s="1">
        <v>0.0</v>
      </c>
      <c r="N1032" s="1">
        <v>1.0</v>
      </c>
      <c r="O1032" s="1" t="s">
        <v>382</v>
      </c>
      <c r="P1032" s="1" t="s">
        <v>488</v>
      </c>
      <c r="Q1032" s="2" t="str">
        <f t="shared" si="1"/>
        <v>H006863</v>
      </c>
    </row>
    <row r="1033">
      <c r="A1033" s="1" t="s">
        <v>5230</v>
      </c>
      <c r="B1033" s="1" t="s">
        <v>5231</v>
      </c>
      <c r="C1033" s="1" t="s">
        <v>5232</v>
      </c>
      <c r="D1033" s="1" t="s">
        <v>5233</v>
      </c>
      <c r="E1033" s="1">
        <v>2060.0</v>
      </c>
      <c r="F1033" s="1" t="s">
        <v>382</v>
      </c>
      <c r="G1033" s="1" t="s">
        <v>107</v>
      </c>
      <c r="H1033" s="1" t="s">
        <v>108</v>
      </c>
      <c r="I1033" s="1" t="s">
        <v>486</v>
      </c>
      <c r="J1033" s="1"/>
      <c r="K1033" s="1" t="s">
        <v>23</v>
      </c>
      <c r="L1033" s="1" t="s">
        <v>5234</v>
      </c>
      <c r="M1033" s="1">
        <v>0.0</v>
      </c>
      <c r="N1033" s="1">
        <v>1.0</v>
      </c>
      <c r="O1033" s="1" t="s">
        <v>382</v>
      </c>
      <c r="P1033" s="1" t="s">
        <v>488</v>
      </c>
      <c r="Q1033" s="2" t="str">
        <f t="shared" si="1"/>
        <v>H006863</v>
      </c>
    </row>
    <row r="1034">
      <c r="A1034" s="1" t="s">
        <v>5235</v>
      </c>
      <c r="B1034" s="1" t="s">
        <v>5236</v>
      </c>
      <c r="C1034" s="1" t="s">
        <v>5237</v>
      </c>
      <c r="D1034" s="1" t="s">
        <v>5238</v>
      </c>
      <c r="E1034" s="1">
        <v>2405.0</v>
      </c>
      <c r="F1034" s="1" t="s">
        <v>382</v>
      </c>
      <c r="G1034" s="1" t="s">
        <v>474</v>
      </c>
      <c r="H1034" s="1" t="s">
        <v>475</v>
      </c>
      <c r="I1034" s="1" t="s">
        <v>486</v>
      </c>
      <c r="J1034" s="1"/>
      <c r="K1034" s="1" t="s">
        <v>23</v>
      </c>
      <c r="L1034" s="1" t="s">
        <v>5239</v>
      </c>
      <c r="M1034" s="1">
        <v>0.0</v>
      </c>
      <c r="N1034" s="1">
        <v>1.0</v>
      </c>
      <c r="O1034" s="1" t="s">
        <v>382</v>
      </c>
      <c r="P1034" s="1" t="s">
        <v>488</v>
      </c>
      <c r="Q1034" s="2" t="str">
        <f t="shared" si="1"/>
        <v>H006863</v>
      </c>
    </row>
    <row r="1035">
      <c r="A1035" s="1" t="s">
        <v>5240</v>
      </c>
      <c r="B1035" s="1" t="s">
        <v>5241</v>
      </c>
      <c r="C1035" s="1" t="s">
        <v>5242</v>
      </c>
      <c r="D1035" s="1" t="s">
        <v>5243</v>
      </c>
      <c r="E1035" s="1">
        <v>3795.0</v>
      </c>
      <c r="F1035" s="1" t="s">
        <v>498</v>
      </c>
      <c r="G1035" s="1" t="s">
        <v>220</v>
      </c>
      <c r="H1035" s="1" t="s">
        <v>221</v>
      </c>
      <c r="I1035" s="1" t="s">
        <v>1112</v>
      </c>
      <c r="J1035" s="1"/>
      <c r="K1035" s="1" t="s">
        <v>23</v>
      </c>
      <c r="L1035" s="1" t="s">
        <v>5244</v>
      </c>
      <c r="M1035" s="1">
        <v>0.0</v>
      </c>
      <c r="N1035" s="1">
        <v>1.0</v>
      </c>
      <c r="O1035" s="1" t="s">
        <v>498</v>
      </c>
      <c r="P1035" s="1" t="s">
        <v>488</v>
      </c>
      <c r="Q1035" s="2" t="str">
        <f t="shared" si="1"/>
        <v>H030195</v>
      </c>
    </row>
    <row r="1036">
      <c r="A1036" s="1" t="s">
        <v>5245</v>
      </c>
      <c r="B1036" s="1" t="s">
        <v>5246</v>
      </c>
      <c r="C1036" s="1" t="s">
        <v>5247</v>
      </c>
      <c r="D1036" s="1" t="s">
        <v>5248</v>
      </c>
      <c r="E1036" s="1">
        <v>5451.0</v>
      </c>
      <c r="F1036" s="1" t="s">
        <v>498</v>
      </c>
      <c r="G1036" s="1" t="s">
        <v>220</v>
      </c>
      <c r="H1036" s="1" t="s">
        <v>221</v>
      </c>
      <c r="I1036" s="1" t="s">
        <v>1112</v>
      </c>
      <c r="J1036" s="1"/>
      <c r="K1036" s="1" t="s">
        <v>23</v>
      </c>
      <c r="L1036" s="1" t="s">
        <v>5249</v>
      </c>
      <c r="M1036" s="1">
        <v>0.0</v>
      </c>
      <c r="N1036" s="1">
        <v>1.0</v>
      </c>
      <c r="O1036" s="1" t="s">
        <v>498</v>
      </c>
      <c r="P1036" s="1" t="s">
        <v>488</v>
      </c>
      <c r="Q1036" s="2" t="str">
        <f t="shared" si="1"/>
        <v>H030195</v>
      </c>
    </row>
    <row r="1037">
      <c r="A1037" s="1" t="s">
        <v>5250</v>
      </c>
      <c r="B1037" s="1" t="s">
        <v>5251</v>
      </c>
      <c r="C1037" s="1" t="s">
        <v>5252</v>
      </c>
      <c r="D1037" s="1" t="s">
        <v>5253</v>
      </c>
      <c r="E1037" s="1">
        <v>3891.0</v>
      </c>
      <c r="F1037" s="1" t="s">
        <v>498</v>
      </c>
      <c r="G1037" s="1">
        <v>896791.0</v>
      </c>
      <c r="H1037" s="1" t="s">
        <v>2124</v>
      </c>
      <c r="I1037" s="1" t="s">
        <v>1112</v>
      </c>
      <c r="J1037" s="1"/>
      <c r="K1037" s="1" t="s">
        <v>23</v>
      </c>
      <c r="L1037" s="1" t="s">
        <v>5254</v>
      </c>
      <c r="M1037" s="1">
        <v>0.0</v>
      </c>
      <c r="N1037" s="1">
        <v>1.0</v>
      </c>
      <c r="O1037" s="1" t="s">
        <v>498</v>
      </c>
      <c r="P1037" s="1" t="s">
        <v>488</v>
      </c>
      <c r="Q1037" s="2" t="str">
        <f t="shared" si="1"/>
        <v>H030195</v>
      </c>
    </row>
    <row r="1038">
      <c r="A1038" s="1" t="s">
        <v>5255</v>
      </c>
      <c r="B1038" s="1" t="s">
        <v>5256</v>
      </c>
      <c r="C1038" s="1" t="s">
        <v>5257</v>
      </c>
      <c r="D1038" s="1" t="s">
        <v>5258</v>
      </c>
      <c r="E1038" s="1">
        <v>4177.0</v>
      </c>
      <c r="F1038" s="1" t="s">
        <v>382</v>
      </c>
      <c r="G1038" s="1" t="s">
        <v>474</v>
      </c>
      <c r="H1038" s="1" t="s">
        <v>475</v>
      </c>
      <c r="I1038" s="1" t="s">
        <v>486</v>
      </c>
      <c r="J1038" s="1"/>
      <c r="K1038" s="1" t="s">
        <v>23</v>
      </c>
      <c r="L1038" s="1" t="s">
        <v>5259</v>
      </c>
      <c r="M1038" s="1">
        <v>2.0</v>
      </c>
      <c r="N1038" s="1">
        <v>1.0</v>
      </c>
      <c r="O1038" s="1" t="s">
        <v>382</v>
      </c>
      <c r="P1038" s="1" t="s">
        <v>488</v>
      </c>
      <c r="Q1038" s="2" t="str">
        <f t="shared" si="1"/>
        <v>H006817</v>
      </c>
    </row>
    <row r="1039">
      <c r="A1039" s="1" t="s">
        <v>5260</v>
      </c>
      <c r="B1039" s="1" t="s">
        <v>5261</v>
      </c>
      <c r="C1039" s="1" t="s">
        <v>5262</v>
      </c>
      <c r="D1039" s="1" t="s">
        <v>5263</v>
      </c>
      <c r="E1039" s="1">
        <v>5017.0</v>
      </c>
      <c r="F1039" s="1" t="s">
        <v>382</v>
      </c>
      <c r="G1039" s="1" t="s">
        <v>474</v>
      </c>
      <c r="H1039" s="1" t="s">
        <v>475</v>
      </c>
      <c r="I1039" s="1" t="s">
        <v>486</v>
      </c>
      <c r="J1039" s="1"/>
      <c r="K1039" s="1" t="s">
        <v>23</v>
      </c>
      <c r="L1039" s="1" t="s">
        <v>5264</v>
      </c>
      <c r="M1039" s="1">
        <v>2.0</v>
      </c>
      <c r="N1039" s="1">
        <v>1.0</v>
      </c>
      <c r="O1039" s="1" t="s">
        <v>382</v>
      </c>
      <c r="P1039" s="1" t="s">
        <v>488</v>
      </c>
      <c r="Q1039" s="2" t="str">
        <f t="shared" si="1"/>
        <v>H006817</v>
      </c>
    </row>
    <row r="1040">
      <c r="A1040" s="1" t="s">
        <v>5265</v>
      </c>
      <c r="B1040" s="1" t="s">
        <v>5266</v>
      </c>
      <c r="C1040" s="1" t="s">
        <v>5267</v>
      </c>
      <c r="D1040" s="1" t="s">
        <v>5268</v>
      </c>
      <c r="E1040" s="1">
        <v>4377.0</v>
      </c>
      <c r="F1040" s="1" t="s">
        <v>498</v>
      </c>
      <c r="G1040" s="1" t="s">
        <v>132</v>
      </c>
      <c r="H1040" s="1" t="s">
        <v>133</v>
      </c>
      <c r="I1040" s="1" t="s">
        <v>1112</v>
      </c>
      <c r="J1040" s="1"/>
      <c r="K1040" s="1" t="s">
        <v>23</v>
      </c>
      <c r="L1040" s="1" t="s">
        <v>5269</v>
      </c>
      <c r="M1040" s="1">
        <v>0.0</v>
      </c>
      <c r="N1040" s="1">
        <v>1.0</v>
      </c>
      <c r="O1040" s="1" t="s">
        <v>498</v>
      </c>
      <c r="P1040" s="1" t="s">
        <v>488</v>
      </c>
      <c r="Q1040" s="2" t="str">
        <f t="shared" si="1"/>
        <v>H030195</v>
      </c>
    </row>
    <row r="1041">
      <c r="A1041" s="1" t="s">
        <v>5270</v>
      </c>
      <c r="B1041" s="1" t="s">
        <v>5271</v>
      </c>
      <c r="C1041" s="1" t="s">
        <v>5272</v>
      </c>
      <c r="D1041" s="1" t="s">
        <v>5273</v>
      </c>
      <c r="E1041" s="1">
        <v>4777.0</v>
      </c>
      <c r="F1041" s="1" t="s">
        <v>398</v>
      </c>
      <c r="G1041" s="1" t="s">
        <v>232</v>
      </c>
      <c r="H1041" s="1" t="s">
        <v>233</v>
      </c>
      <c r="I1041" s="1" t="s">
        <v>1112</v>
      </c>
      <c r="J1041" s="1"/>
      <c r="K1041" s="1" t="s">
        <v>23</v>
      </c>
      <c r="L1041" s="1" t="s">
        <v>5274</v>
      </c>
      <c r="M1041" s="1">
        <v>3.0</v>
      </c>
      <c r="N1041" s="1">
        <v>1.0</v>
      </c>
      <c r="O1041" s="1" t="s">
        <v>398</v>
      </c>
      <c r="P1041" s="1" t="s">
        <v>488</v>
      </c>
      <c r="Q1041" s="2" t="str">
        <f t="shared" si="1"/>
        <v>H030373</v>
      </c>
    </row>
    <row r="1042">
      <c r="A1042" s="1" t="s">
        <v>5275</v>
      </c>
      <c r="B1042" s="1" t="s">
        <v>5276</v>
      </c>
      <c r="C1042" s="1" t="s">
        <v>5277</v>
      </c>
      <c r="D1042" s="1" t="s">
        <v>5278</v>
      </c>
      <c r="E1042" s="1">
        <v>2899.0</v>
      </c>
      <c r="F1042" s="1" t="s">
        <v>398</v>
      </c>
      <c r="G1042" s="1" t="s">
        <v>155</v>
      </c>
      <c r="H1042" s="1" t="s">
        <v>156</v>
      </c>
      <c r="I1042" s="1" t="s">
        <v>1112</v>
      </c>
      <c r="J1042" s="1"/>
      <c r="K1042" s="1" t="s">
        <v>23</v>
      </c>
      <c r="L1042" s="1" t="s">
        <v>5279</v>
      </c>
      <c r="M1042" s="1">
        <v>3.0</v>
      </c>
      <c r="N1042" s="1">
        <v>1.0</v>
      </c>
      <c r="O1042" s="1" t="s">
        <v>398</v>
      </c>
      <c r="P1042" s="1" t="s">
        <v>488</v>
      </c>
      <c r="Q1042" s="2" t="str">
        <f t="shared" si="1"/>
        <v>H030373</v>
      </c>
    </row>
    <row r="1043">
      <c r="A1043" s="1" t="s">
        <v>5280</v>
      </c>
      <c r="B1043" s="1" t="s">
        <v>5281</v>
      </c>
      <c r="C1043" s="1" t="s">
        <v>5282</v>
      </c>
      <c r="D1043" s="1" t="s">
        <v>5283</v>
      </c>
      <c r="E1043" s="1">
        <v>6639.0</v>
      </c>
      <c r="F1043" s="1" t="s">
        <v>398</v>
      </c>
      <c r="G1043" s="1" t="s">
        <v>232</v>
      </c>
      <c r="H1043" s="1" t="s">
        <v>233</v>
      </c>
      <c r="I1043" s="1" t="s">
        <v>1112</v>
      </c>
      <c r="J1043" s="1"/>
      <c r="K1043" s="1" t="s">
        <v>23</v>
      </c>
      <c r="L1043" s="1" t="s">
        <v>5284</v>
      </c>
      <c r="M1043" s="1">
        <v>3.0</v>
      </c>
      <c r="N1043" s="1">
        <v>1.0</v>
      </c>
      <c r="O1043" s="1" t="s">
        <v>398</v>
      </c>
      <c r="P1043" s="1" t="s">
        <v>488</v>
      </c>
      <c r="Q1043" s="2" t="str">
        <f t="shared" si="1"/>
        <v>H030373</v>
      </c>
    </row>
    <row r="1044">
      <c r="A1044" s="1" t="s">
        <v>5285</v>
      </c>
      <c r="B1044" s="1" t="s">
        <v>5286</v>
      </c>
      <c r="C1044" s="1" t="s">
        <v>5287</v>
      </c>
      <c r="D1044" s="1" t="s">
        <v>5288</v>
      </c>
      <c r="E1044" s="1">
        <v>1985.0</v>
      </c>
      <c r="F1044" s="1" t="s">
        <v>398</v>
      </c>
      <c r="G1044" s="1" t="s">
        <v>155</v>
      </c>
      <c r="H1044" s="1" t="s">
        <v>156</v>
      </c>
      <c r="I1044" s="1" t="s">
        <v>1112</v>
      </c>
      <c r="J1044" s="1"/>
      <c r="K1044" s="1" t="s">
        <v>23</v>
      </c>
      <c r="L1044" s="1" t="s">
        <v>5289</v>
      </c>
      <c r="M1044" s="1">
        <v>3.0</v>
      </c>
      <c r="N1044" s="1">
        <v>1.0</v>
      </c>
      <c r="O1044" s="1" t="s">
        <v>398</v>
      </c>
      <c r="P1044" s="1" t="s">
        <v>488</v>
      </c>
      <c r="Q1044" s="2" t="str">
        <f t="shared" si="1"/>
        <v>H030373</v>
      </c>
    </row>
    <row r="1045">
      <c r="A1045" s="1" t="s">
        <v>5290</v>
      </c>
      <c r="B1045" s="1" t="s">
        <v>5291</v>
      </c>
      <c r="C1045" s="1" t="s">
        <v>5292</v>
      </c>
      <c r="D1045" s="1" t="s">
        <v>5293</v>
      </c>
      <c r="E1045" s="1">
        <v>3743.0</v>
      </c>
      <c r="F1045" s="1" t="s">
        <v>398</v>
      </c>
      <c r="G1045" s="1" t="s">
        <v>155</v>
      </c>
      <c r="H1045" s="1" t="s">
        <v>156</v>
      </c>
      <c r="I1045" s="1" t="s">
        <v>1112</v>
      </c>
      <c r="J1045" s="1"/>
      <c r="K1045" s="1" t="s">
        <v>23</v>
      </c>
      <c r="L1045" s="1" t="s">
        <v>5294</v>
      </c>
      <c r="M1045" s="1">
        <v>3.0</v>
      </c>
      <c r="N1045" s="1">
        <v>1.0</v>
      </c>
      <c r="O1045" s="1" t="s">
        <v>398</v>
      </c>
      <c r="P1045" s="1" t="s">
        <v>488</v>
      </c>
      <c r="Q1045" s="2" t="str">
        <f t="shared" si="1"/>
        <v>H030373</v>
      </c>
    </row>
    <row r="1046">
      <c r="A1046" s="1" t="s">
        <v>5295</v>
      </c>
      <c r="B1046" s="1" t="s">
        <v>5296</v>
      </c>
      <c r="C1046" s="1" t="s">
        <v>5297</v>
      </c>
      <c r="D1046" s="1" t="s">
        <v>5298</v>
      </c>
      <c r="E1046" s="1">
        <v>3975.0</v>
      </c>
      <c r="F1046" s="1" t="s">
        <v>398</v>
      </c>
      <c r="G1046" s="1" t="s">
        <v>155</v>
      </c>
      <c r="H1046" s="1" t="s">
        <v>156</v>
      </c>
      <c r="I1046" s="1" t="s">
        <v>1112</v>
      </c>
      <c r="J1046" s="1"/>
      <c r="K1046" s="1" t="s">
        <v>23</v>
      </c>
      <c r="L1046" s="1" t="s">
        <v>5299</v>
      </c>
      <c r="M1046" s="1">
        <v>3.0</v>
      </c>
      <c r="N1046" s="1">
        <v>1.0</v>
      </c>
      <c r="O1046" s="1" t="s">
        <v>398</v>
      </c>
      <c r="P1046" s="1" t="s">
        <v>488</v>
      </c>
      <c r="Q1046" s="2" t="str">
        <f t="shared" si="1"/>
        <v>H030373</v>
      </c>
    </row>
    <row r="1047">
      <c r="A1047" s="1" t="s">
        <v>5300</v>
      </c>
      <c r="B1047" s="1" t="s">
        <v>5301</v>
      </c>
      <c r="C1047" s="1" t="s">
        <v>5302</v>
      </c>
      <c r="D1047" s="1" t="s">
        <v>5303</v>
      </c>
      <c r="E1047" s="1">
        <v>5948.0</v>
      </c>
      <c r="F1047" s="1" t="s">
        <v>315</v>
      </c>
      <c r="G1047" s="1">
        <v>841329.0</v>
      </c>
      <c r="H1047" s="1" t="s">
        <v>1848</v>
      </c>
      <c r="I1047" s="1" t="s">
        <v>1051</v>
      </c>
      <c r="J1047" s="1"/>
      <c r="K1047" s="1" t="s">
        <v>23</v>
      </c>
      <c r="L1047" s="1" t="s">
        <v>5304</v>
      </c>
      <c r="M1047" s="1">
        <v>0.0</v>
      </c>
      <c r="N1047" s="1">
        <v>1.0</v>
      </c>
      <c r="O1047" s="1" t="s">
        <v>315</v>
      </c>
      <c r="P1047" s="1" t="s">
        <v>488</v>
      </c>
      <c r="Q1047" s="2" t="str">
        <f t="shared" si="1"/>
        <v>H004541</v>
      </c>
    </row>
    <row r="1048">
      <c r="A1048" s="1" t="s">
        <v>5305</v>
      </c>
      <c r="B1048" s="1" t="s">
        <v>5306</v>
      </c>
      <c r="C1048" s="1" t="s">
        <v>5307</v>
      </c>
      <c r="D1048" s="1" t="s">
        <v>5308</v>
      </c>
      <c r="E1048" s="1">
        <v>3571.0</v>
      </c>
      <c r="F1048" s="1" t="s">
        <v>315</v>
      </c>
      <c r="G1048" s="1">
        <v>841329.0</v>
      </c>
      <c r="H1048" s="1" t="s">
        <v>1848</v>
      </c>
      <c r="I1048" s="1" t="s">
        <v>1051</v>
      </c>
      <c r="J1048" s="1"/>
      <c r="K1048" s="1" t="s">
        <v>23</v>
      </c>
      <c r="L1048" s="1" t="s">
        <v>5309</v>
      </c>
      <c r="M1048" s="1">
        <v>0.0</v>
      </c>
      <c r="N1048" s="1">
        <v>1.0</v>
      </c>
      <c r="O1048" s="1" t="s">
        <v>315</v>
      </c>
      <c r="P1048" s="1" t="s">
        <v>488</v>
      </c>
      <c r="Q1048" s="2" t="str">
        <f t="shared" si="1"/>
        <v>H004541</v>
      </c>
    </row>
    <row r="1049">
      <c r="A1049" s="1" t="s">
        <v>5310</v>
      </c>
      <c r="B1049" s="1" t="s">
        <v>5311</v>
      </c>
      <c r="C1049" s="1" t="s">
        <v>5312</v>
      </c>
      <c r="D1049" s="1" t="s">
        <v>5313</v>
      </c>
      <c r="E1049" s="1">
        <v>2955.0</v>
      </c>
      <c r="F1049" s="1" t="s">
        <v>315</v>
      </c>
      <c r="G1049" s="1">
        <v>841329.0</v>
      </c>
      <c r="H1049" s="1" t="s">
        <v>1848</v>
      </c>
      <c r="I1049" s="1" t="s">
        <v>1051</v>
      </c>
      <c r="J1049" s="1"/>
      <c r="K1049" s="1" t="s">
        <v>23</v>
      </c>
      <c r="L1049" s="1" t="s">
        <v>5314</v>
      </c>
      <c r="M1049" s="1">
        <v>0.0</v>
      </c>
      <c r="N1049" s="1">
        <v>1.0</v>
      </c>
      <c r="O1049" s="1" t="s">
        <v>315</v>
      </c>
      <c r="P1049" s="1" t="s">
        <v>488</v>
      </c>
      <c r="Q1049" s="2" t="str">
        <f t="shared" si="1"/>
        <v>H004541</v>
      </c>
    </row>
    <row r="1050">
      <c r="A1050" s="1" t="s">
        <v>5315</v>
      </c>
      <c r="B1050" s="1" t="s">
        <v>5316</v>
      </c>
      <c r="C1050" s="1" t="s">
        <v>5317</v>
      </c>
      <c r="D1050" s="1" t="s">
        <v>5318</v>
      </c>
      <c r="E1050" s="1">
        <v>4895.0</v>
      </c>
      <c r="F1050" s="1" t="s">
        <v>315</v>
      </c>
      <c r="G1050" s="1">
        <v>841329.0</v>
      </c>
      <c r="H1050" s="1" t="s">
        <v>1848</v>
      </c>
      <c r="I1050" s="1" t="s">
        <v>1051</v>
      </c>
      <c r="J1050" s="1"/>
      <c r="K1050" s="1" t="s">
        <v>23</v>
      </c>
      <c r="L1050" s="1" t="s">
        <v>5319</v>
      </c>
      <c r="M1050" s="1">
        <v>0.0</v>
      </c>
      <c r="N1050" s="1">
        <v>1.0</v>
      </c>
      <c r="O1050" s="1" t="s">
        <v>315</v>
      </c>
      <c r="P1050" s="1" t="s">
        <v>488</v>
      </c>
      <c r="Q1050" s="2" t="str">
        <f t="shared" si="1"/>
        <v>H004541</v>
      </c>
    </row>
    <row r="1051">
      <c r="A1051" s="1" t="s">
        <v>5320</v>
      </c>
      <c r="B1051" s="1" t="s">
        <v>5321</v>
      </c>
      <c r="C1051" s="1" t="s">
        <v>5322</v>
      </c>
      <c r="D1051" s="1" t="s">
        <v>5323</v>
      </c>
      <c r="E1051" s="1">
        <v>3163.0</v>
      </c>
      <c r="F1051" s="1" t="s">
        <v>315</v>
      </c>
      <c r="G1051" s="1">
        <v>455939.0</v>
      </c>
      <c r="H1051" s="1" t="s">
        <v>2746</v>
      </c>
      <c r="I1051" s="1" t="s">
        <v>1051</v>
      </c>
      <c r="J1051" s="1"/>
      <c r="K1051" s="1" t="s">
        <v>23</v>
      </c>
      <c r="L1051" s="1" t="s">
        <v>5324</v>
      </c>
      <c r="M1051" s="1">
        <v>0.0</v>
      </c>
      <c r="N1051" s="1">
        <v>1.0</v>
      </c>
      <c r="O1051" s="1" t="s">
        <v>315</v>
      </c>
      <c r="P1051" s="1" t="s">
        <v>488</v>
      </c>
      <c r="Q1051" s="2" t="str">
        <f t="shared" si="1"/>
        <v>H004541</v>
      </c>
    </row>
    <row r="1052">
      <c r="A1052" s="1" t="s">
        <v>5325</v>
      </c>
      <c r="B1052" s="1" t="s">
        <v>5326</v>
      </c>
      <c r="C1052" s="1" t="s">
        <v>5327</v>
      </c>
      <c r="D1052" s="1" t="s">
        <v>5328</v>
      </c>
      <c r="E1052" s="1">
        <v>3346.0</v>
      </c>
      <c r="F1052" s="1" t="s">
        <v>315</v>
      </c>
      <c r="G1052" s="1">
        <v>455939.0</v>
      </c>
      <c r="H1052" s="1" t="s">
        <v>2746</v>
      </c>
      <c r="I1052" s="1" t="s">
        <v>1051</v>
      </c>
      <c r="J1052" s="1"/>
      <c r="K1052" s="1" t="s">
        <v>23</v>
      </c>
      <c r="L1052" s="1" t="s">
        <v>5329</v>
      </c>
      <c r="M1052" s="1">
        <v>0.0</v>
      </c>
      <c r="N1052" s="1">
        <v>1.0</v>
      </c>
      <c r="O1052" s="1" t="s">
        <v>315</v>
      </c>
      <c r="P1052" s="1" t="s">
        <v>488</v>
      </c>
      <c r="Q1052" s="2" t="str">
        <f t="shared" si="1"/>
        <v>H004541</v>
      </c>
    </row>
    <row r="1053">
      <c r="A1053" s="1" t="s">
        <v>5330</v>
      </c>
      <c r="B1053" s="1" t="s">
        <v>5331</v>
      </c>
      <c r="C1053" s="1" t="s">
        <v>5332</v>
      </c>
      <c r="D1053" s="1" t="s">
        <v>5333</v>
      </c>
      <c r="E1053" s="1">
        <v>2765.0</v>
      </c>
      <c r="F1053" s="1" t="s">
        <v>315</v>
      </c>
      <c r="G1053" s="1">
        <v>455939.0</v>
      </c>
      <c r="H1053" s="1" t="s">
        <v>2746</v>
      </c>
      <c r="I1053" s="1" t="s">
        <v>1051</v>
      </c>
      <c r="J1053" s="1"/>
      <c r="K1053" s="1" t="s">
        <v>23</v>
      </c>
      <c r="L1053" s="1" t="s">
        <v>5334</v>
      </c>
      <c r="M1053" s="1">
        <v>0.0</v>
      </c>
      <c r="N1053" s="1">
        <v>1.0</v>
      </c>
      <c r="O1053" s="1" t="s">
        <v>315</v>
      </c>
      <c r="P1053" s="1" t="s">
        <v>488</v>
      </c>
      <c r="Q1053" s="2" t="str">
        <f t="shared" si="1"/>
        <v>H004541</v>
      </c>
    </row>
    <row r="1054">
      <c r="A1054" s="1" t="s">
        <v>5335</v>
      </c>
      <c r="B1054" s="1" t="s">
        <v>5336</v>
      </c>
      <c r="C1054" s="1" t="s">
        <v>5337</v>
      </c>
      <c r="D1054" s="1" t="s">
        <v>5338</v>
      </c>
      <c r="E1054" s="1">
        <v>3341.0</v>
      </c>
      <c r="F1054" s="1" t="s">
        <v>315</v>
      </c>
      <c r="G1054" s="1">
        <v>455939.0</v>
      </c>
      <c r="H1054" s="1" t="s">
        <v>2746</v>
      </c>
      <c r="I1054" s="1" t="s">
        <v>1051</v>
      </c>
      <c r="J1054" s="1"/>
      <c r="K1054" s="1" t="s">
        <v>23</v>
      </c>
      <c r="L1054" s="1" t="s">
        <v>5339</v>
      </c>
      <c r="M1054" s="1">
        <v>0.0</v>
      </c>
      <c r="N1054" s="1">
        <v>1.0</v>
      </c>
      <c r="O1054" s="1" t="s">
        <v>315</v>
      </c>
      <c r="P1054" s="1" t="s">
        <v>488</v>
      </c>
      <c r="Q1054" s="2" t="str">
        <f t="shared" si="1"/>
        <v>H004541</v>
      </c>
    </row>
    <row r="1055">
      <c r="A1055" s="1" t="s">
        <v>5340</v>
      </c>
      <c r="B1055" s="1" t="s">
        <v>5341</v>
      </c>
      <c r="C1055" s="1" t="s">
        <v>5342</v>
      </c>
      <c r="D1055" s="1" t="s">
        <v>5343</v>
      </c>
      <c r="E1055" s="1">
        <v>5690.0</v>
      </c>
      <c r="F1055" s="1" t="s">
        <v>315</v>
      </c>
      <c r="G1055" s="1">
        <v>555127.0</v>
      </c>
      <c r="H1055" s="1" t="s">
        <v>3047</v>
      </c>
      <c r="I1055" s="1" t="s">
        <v>1051</v>
      </c>
      <c r="J1055" s="1"/>
      <c r="K1055" s="1" t="s">
        <v>23</v>
      </c>
      <c r="L1055" s="1" t="s">
        <v>5344</v>
      </c>
      <c r="M1055" s="1">
        <v>0.0</v>
      </c>
      <c r="N1055" s="1">
        <v>1.0</v>
      </c>
      <c r="O1055" s="1" t="s">
        <v>315</v>
      </c>
      <c r="P1055" s="1" t="s">
        <v>488</v>
      </c>
      <c r="Q1055" s="2" t="str">
        <f t="shared" si="1"/>
        <v>H004541</v>
      </c>
    </row>
    <row r="1056">
      <c r="A1056" s="1" t="s">
        <v>5345</v>
      </c>
      <c r="B1056" s="1" t="s">
        <v>5346</v>
      </c>
      <c r="C1056" s="1" t="s">
        <v>5347</v>
      </c>
      <c r="D1056" s="1" t="s">
        <v>5348</v>
      </c>
      <c r="E1056" s="1">
        <v>4035.0</v>
      </c>
      <c r="F1056" s="1" t="s">
        <v>351</v>
      </c>
      <c r="G1056" s="1" t="s">
        <v>208</v>
      </c>
      <c r="H1056" s="1" t="s">
        <v>209</v>
      </c>
      <c r="I1056" s="1" t="s">
        <v>486</v>
      </c>
      <c r="J1056" s="1"/>
      <c r="K1056" s="1" t="s">
        <v>23</v>
      </c>
      <c r="L1056" s="1" t="s">
        <v>5349</v>
      </c>
      <c r="M1056" s="1">
        <v>3.0</v>
      </c>
      <c r="N1056" s="1">
        <v>1.0</v>
      </c>
      <c r="O1056" s="1" t="s">
        <v>351</v>
      </c>
      <c r="P1056" s="1" t="s">
        <v>488</v>
      </c>
      <c r="Q1056" s="2" t="str">
        <f t="shared" si="1"/>
        <v>H006233</v>
      </c>
    </row>
    <row r="1057">
      <c r="A1057" s="1" t="s">
        <v>5350</v>
      </c>
      <c r="B1057" s="1" t="s">
        <v>5351</v>
      </c>
      <c r="C1057" s="1" t="s">
        <v>5352</v>
      </c>
      <c r="D1057" s="1" t="s">
        <v>5353</v>
      </c>
      <c r="E1057" s="1">
        <v>3570.0</v>
      </c>
      <c r="F1057" s="1" t="s">
        <v>351</v>
      </c>
      <c r="G1057" s="1" t="s">
        <v>208</v>
      </c>
      <c r="H1057" s="1" t="s">
        <v>209</v>
      </c>
      <c r="I1057" s="1" t="s">
        <v>486</v>
      </c>
      <c r="J1057" s="1"/>
      <c r="K1057" s="1" t="s">
        <v>23</v>
      </c>
      <c r="L1057" s="1" t="s">
        <v>5354</v>
      </c>
      <c r="M1057" s="1">
        <v>3.0</v>
      </c>
      <c r="N1057" s="1">
        <v>1.0</v>
      </c>
      <c r="O1057" s="1" t="s">
        <v>351</v>
      </c>
      <c r="P1057" s="1" t="s">
        <v>488</v>
      </c>
      <c r="Q1057" s="2" t="str">
        <f t="shared" si="1"/>
        <v>H006233</v>
      </c>
    </row>
    <row r="1058">
      <c r="A1058" s="1" t="s">
        <v>5355</v>
      </c>
      <c r="B1058" s="1" t="s">
        <v>5356</v>
      </c>
      <c r="C1058" s="1" t="s">
        <v>5357</v>
      </c>
      <c r="D1058" s="1" t="s">
        <v>5358</v>
      </c>
      <c r="E1058" s="1">
        <v>4601.0</v>
      </c>
      <c r="F1058" s="1" t="s">
        <v>498</v>
      </c>
      <c r="G1058" s="1" t="s">
        <v>167</v>
      </c>
      <c r="H1058" s="1" t="s">
        <v>168</v>
      </c>
      <c r="I1058" s="1" t="s">
        <v>1112</v>
      </c>
      <c r="J1058" s="1"/>
      <c r="K1058" s="1" t="s">
        <v>23</v>
      </c>
      <c r="L1058" s="1" t="s">
        <v>5359</v>
      </c>
      <c r="M1058" s="1">
        <v>0.0</v>
      </c>
      <c r="N1058" s="1">
        <v>1.0</v>
      </c>
      <c r="O1058" s="1" t="s">
        <v>498</v>
      </c>
      <c r="P1058" s="1" t="s">
        <v>488</v>
      </c>
      <c r="Q1058" s="2" t="str">
        <f t="shared" si="1"/>
        <v>H030195</v>
      </c>
    </row>
    <row r="1059">
      <c r="A1059" s="1" t="s">
        <v>5360</v>
      </c>
      <c r="B1059" s="1" t="s">
        <v>5361</v>
      </c>
      <c r="C1059" s="1" t="s">
        <v>5362</v>
      </c>
      <c r="D1059" s="1" t="s">
        <v>5363</v>
      </c>
      <c r="E1059" s="1">
        <v>3784.0</v>
      </c>
      <c r="F1059" s="1" t="s">
        <v>315</v>
      </c>
      <c r="G1059" s="1">
        <v>555127.0</v>
      </c>
      <c r="H1059" s="1" t="s">
        <v>3047</v>
      </c>
      <c r="I1059" s="1" t="s">
        <v>1051</v>
      </c>
      <c r="J1059" s="1"/>
      <c r="K1059" s="1" t="s">
        <v>23</v>
      </c>
      <c r="L1059" s="1" t="s">
        <v>5364</v>
      </c>
      <c r="M1059" s="1">
        <v>0.0</v>
      </c>
      <c r="N1059" s="1">
        <v>1.0</v>
      </c>
      <c r="O1059" s="1" t="s">
        <v>315</v>
      </c>
      <c r="P1059" s="1" t="s">
        <v>488</v>
      </c>
      <c r="Q1059" s="2" t="str">
        <f t="shared" si="1"/>
        <v>H004541</v>
      </c>
    </row>
    <row r="1060">
      <c r="A1060" s="1" t="s">
        <v>5365</v>
      </c>
      <c r="B1060" s="1" t="s">
        <v>5366</v>
      </c>
      <c r="C1060" s="1" t="s">
        <v>5367</v>
      </c>
      <c r="D1060" s="1" t="s">
        <v>5368</v>
      </c>
      <c r="E1060" s="1">
        <v>3323.0</v>
      </c>
      <c r="F1060" s="1" t="s">
        <v>315</v>
      </c>
      <c r="G1060" s="1">
        <v>555127.0</v>
      </c>
      <c r="H1060" s="1" t="s">
        <v>3047</v>
      </c>
      <c r="I1060" s="1" t="s">
        <v>1051</v>
      </c>
      <c r="J1060" s="1"/>
      <c r="K1060" s="1" t="s">
        <v>23</v>
      </c>
      <c r="L1060" s="1" t="s">
        <v>5369</v>
      </c>
      <c r="M1060" s="1">
        <v>0.0</v>
      </c>
      <c r="N1060" s="1">
        <v>1.0</v>
      </c>
      <c r="O1060" s="1" t="s">
        <v>315</v>
      </c>
      <c r="P1060" s="1" t="s">
        <v>488</v>
      </c>
      <c r="Q1060" s="2" t="str">
        <f t="shared" si="1"/>
        <v>H004541</v>
      </c>
    </row>
    <row r="1061">
      <c r="A1061" s="1" t="s">
        <v>5370</v>
      </c>
      <c r="B1061" s="1" t="s">
        <v>5371</v>
      </c>
      <c r="C1061" s="1" t="s">
        <v>5372</v>
      </c>
      <c r="D1061" s="1" t="s">
        <v>5373</v>
      </c>
      <c r="E1061" s="1">
        <v>3490.0</v>
      </c>
      <c r="F1061" s="1" t="s">
        <v>315</v>
      </c>
      <c r="G1061" s="1">
        <v>555127.0</v>
      </c>
      <c r="H1061" s="1" t="s">
        <v>3047</v>
      </c>
      <c r="I1061" s="1" t="s">
        <v>1051</v>
      </c>
      <c r="J1061" s="1"/>
      <c r="K1061" s="1" t="s">
        <v>23</v>
      </c>
      <c r="L1061" s="1" t="s">
        <v>5374</v>
      </c>
      <c r="M1061" s="1">
        <v>0.0</v>
      </c>
      <c r="N1061" s="1">
        <v>1.0</v>
      </c>
      <c r="O1061" s="1" t="s">
        <v>315</v>
      </c>
      <c r="P1061" s="1" t="s">
        <v>488</v>
      </c>
      <c r="Q1061" s="2" t="str">
        <f t="shared" si="1"/>
        <v>H004541</v>
      </c>
    </row>
    <row r="1062">
      <c r="A1062" s="1" t="s">
        <v>5375</v>
      </c>
      <c r="B1062" s="1" t="s">
        <v>5376</v>
      </c>
      <c r="C1062" s="1" t="s">
        <v>5377</v>
      </c>
      <c r="D1062" s="1" t="s">
        <v>5378</v>
      </c>
      <c r="E1062" s="1">
        <v>4179.0</v>
      </c>
      <c r="F1062" s="1" t="s">
        <v>315</v>
      </c>
      <c r="G1062" s="1">
        <v>555127.0</v>
      </c>
      <c r="H1062" s="1" t="s">
        <v>3047</v>
      </c>
      <c r="I1062" s="1" t="s">
        <v>1051</v>
      </c>
      <c r="J1062" s="1"/>
      <c r="K1062" s="1" t="s">
        <v>23</v>
      </c>
      <c r="L1062" s="1" t="s">
        <v>5379</v>
      </c>
      <c r="M1062" s="1">
        <v>0.0</v>
      </c>
      <c r="N1062" s="1">
        <v>1.0</v>
      </c>
      <c r="O1062" s="1" t="s">
        <v>315</v>
      </c>
      <c r="P1062" s="1" t="s">
        <v>488</v>
      </c>
      <c r="Q1062" s="2" t="str">
        <f t="shared" si="1"/>
        <v>H004541</v>
      </c>
    </row>
    <row r="1063">
      <c r="A1063" s="1" t="s">
        <v>5380</v>
      </c>
      <c r="B1063" s="1" t="s">
        <v>5381</v>
      </c>
      <c r="C1063" s="1" t="s">
        <v>5382</v>
      </c>
      <c r="D1063" s="1" t="s">
        <v>5383</v>
      </c>
      <c r="E1063" s="1">
        <v>4196.0</v>
      </c>
      <c r="F1063" s="1" t="s">
        <v>315</v>
      </c>
      <c r="G1063" s="1">
        <v>555127.0</v>
      </c>
      <c r="H1063" s="1" t="s">
        <v>3047</v>
      </c>
      <c r="I1063" s="1" t="s">
        <v>1051</v>
      </c>
      <c r="J1063" s="1"/>
      <c r="K1063" s="1" t="s">
        <v>23</v>
      </c>
      <c r="L1063" s="1" t="s">
        <v>5384</v>
      </c>
      <c r="M1063" s="1">
        <v>0.0</v>
      </c>
      <c r="N1063" s="1">
        <v>1.0</v>
      </c>
      <c r="O1063" s="1" t="s">
        <v>315</v>
      </c>
      <c r="P1063" s="1" t="s">
        <v>488</v>
      </c>
      <c r="Q1063" s="2" t="str">
        <f t="shared" si="1"/>
        <v>H004541</v>
      </c>
    </row>
    <row r="1064">
      <c r="A1064" s="1" t="s">
        <v>5385</v>
      </c>
      <c r="B1064" s="1" t="s">
        <v>5386</v>
      </c>
      <c r="C1064" s="1" t="s">
        <v>5387</v>
      </c>
      <c r="D1064" s="1" t="s">
        <v>5388</v>
      </c>
      <c r="E1064" s="1">
        <v>2591.0</v>
      </c>
      <c r="F1064" s="1" t="s">
        <v>351</v>
      </c>
      <c r="G1064" s="1" t="s">
        <v>57</v>
      </c>
      <c r="H1064" s="1" t="s">
        <v>58</v>
      </c>
      <c r="I1064" s="1" t="s">
        <v>486</v>
      </c>
      <c r="J1064" s="1"/>
      <c r="K1064" s="1" t="s">
        <v>23</v>
      </c>
      <c r="L1064" s="1" t="s">
        <v>5389</v>
      </c>
      <c r="M1064" s="1">
        <v>3.0</v>
      </c>
      <c r="N1064" s="1">
        <v>1.0</v>
      </c>
      <c r="O1064" s="1" t="s">
        <v>351</v>
      </c>
      <c r="P1064" s="1" t="s">
        <v>488</v>
      </c>
      <c r="Q1064" s="2" t="str">
        <f t="shared" si="1"/>
        <v>H006233</v>
      </c>
    </row>
    <row r="1065">
      <c r="A1065" s="1" t="s">
        <v>5390</v>
      </c>
      <c r="B1065" s="1" t="s">
        <v>5391</v>
      </c>
      <c r="C1065" s="1" t="s">
        <v>5392</v>
      </c>
      <c r="D1065" s="1" t="s">
        <v>5393</v>
      </c>
      <c r="E1065" s="1">
        <v>4279.0</v>
      </c>
      <c r="F1065" s="1" t="s">
        <v>351</v>
      </c>
      <c r="G1065" s="1" t="s">
        <v>57</v>
      </c>
      <c r="H1065" s="1" t="s">
        <v>58</v>
      </c>
      <c r="I1065" s="1" t="s">
        <v>486</v>
      </c>
      <c r="J1065" s="1"/>
      <c r="K1065" s="1" t="s">
        <v>23</v>
      </c>
      <c r="L1065" s="1" t="s">
        <v>5394</v>
      </c>
      <c r="M1065" s="1">
        <v>3.0</v>
      </c>
      <c r="N1065" s="1">
        <v>1.0</v>
      </c>
      <c r="O1065" s="1" t="s">
        <v>351</v>
      </c>
      <c r="P1065" s="1" t="s">
        <v>488</v>
      </c>
      <c r="Q1065" s="2" t="str">
        <f t="shared" si="1"/>
        <v>H006233</v>
      </c>
    </row>
    <row r="1066">
      <c r="A1066" s="1" t="s">
        <v>5395</v>
      </c>
      <c r="B1066" s="1" t="s">
        <v>5396</v>
      </c>
      <c r="C1066" s="1" t="s">
        <v>5397</v>
      </c>
      <c r="D1066" s="1" t="s">
        <v>5398</v>
      </c>
      <c r="E1066" s="1">
        <v>3606.0</v>
      </c>
      <c r="F1066" s="1" t="s">
        <v>351</v>
      </c>
      <c r="G1066" s="1" t="s">
        <v>57</v>
      </c>
      <c r="H1066" s="1" t="s">
        <v>58</v>
      </c>
      <c r="I1066" s="1" t="s">
        <v>486</v>
      </c>
      <c r="J1066" s="1"/>
      <c r="K1066" s="1" t="s">
        <v>23</v>
      </c>
      <c r="L1066" s="1" t="s">
        <v>5399</v>
      </c>
      <c r="M1066" s="1">
        <v>3.0</v>
      </c>
      <c r="N1066" s="1">
        <v>1.0</v>
      </c>
      <c r="O1066" s="1" t="s">
        <v>351</v>
      </c>
      <c r="P1066" s="1" t="s">
        <v>488</v>
      </c>
      <c r="Q1066" s="2" t="str">
        <f t="shared" si="1"/>
        <v>H006233</v>
      </c>
    </row>
    <row r="1067">
      <c r="A1067" s="1" t="s">
        <v>5400</v>
      </c>
      <c r="B1067" s="1" t="s">
        <v>5401</v>
      </c>
      <c r="C1067" s="1" t="s">
        <v>5402</v>
      </c>
      <c r="D1067" s="1" t="s">
        <v>5403</v>
      </c>
      <c r="E1067" s="1">
        <v>4697.0</v>
      </c>
      <c r="F1067" s="1" t="s">
        <v>288</v>
      </c>
      <c r="G1067" s="1">
        <v>859767.0</v>
      </c>
      <c r="H1067" s="1" t="s">
        <v>2565</v>
      </c>
      <c r="I1067" s="1" t="s">
        <v>1051</v>
      </c>
      <c r="J1067" s="1"/>
      <c r="K1067" s="1" t="s">
        <v>23</v>
      </c>
      <c r="L1067" s="1" t="s">
        <v>5404</v>
      </c>
      <c r="M1067" s="1">
        <v>2.0</v>
      </c>
      <c r="N1067" s="1">
        <v>1.0</v>
      </c>
      <c r="O1067" s="1" t="s">
        <v>288</v>
      </c>
      <c r="P1067" s="1" t="s">
        <v>488</v>
      </c>
      <c r="Q1067" s="2" t="str">
        <f t="shared" si="1"/>
        <v>H004579</v>
      </c>
    </row>
    <row r="1068">
      <c r="A1068" s="1" t="s">
        <v>5405</v>
      </c>
      <c r="B1068" s="1" t="s">
        <v>5406</v>
      </c>
      <c r="C1068" s="1" t="s">
        <v>5407</v>
      </c>
      <c r="D1068" s="1" t="s">
        <v>5408</v>
      </c>
      <c r="E1068" s="1">
        <v>4838.0</v>
      </c>
      <c r="F1068" s="1" t="s">
        <v>288</v>
      </c>
      <c r="G1068" s="1">
        <v>859767.0</v>
      </c>
      <c r="H1068" s="1" t="s">
        <v>2565</v>
      </c>
      <c r="I1068" s="1" t="s">
        <v>1051</v>
      </c>
      <c r="J1068" s="1"/>
      <c r="K1068" s="1" t="s">
        <v>23</v>
      </c>
      <c r="L1068" s="1" t="s">
        <v>5409</v>
      </c>
      <c r="M1068" s="1">
        <v>2.0</v>
      </c>
      <c r="N1068" s="1">
        <v>1.0</v>
      </c>
      <c r="O1068" s="1" t="s">
        <v>288</v>
      </c>
      <c r="P1068" s="1" t="s">
        <v>488</v>
      </c>
      <c r="Q1068" s="2" t="str">
        <f t="shared" si="1"/>
        <v>H004579</v>
      </c>
    </row>
    <row r="1069">
      <c r="A1069" s="1" t="s">
        <v>5410</v>
      </c>
      <c r="B1069" s="1" t="s">
        <v>5411</v>
      </c>
      <c r="C1069" s="1" t="s">
        <v>5412</v>
      </c>
      <c r="D1069" s="1" t="s">
        <v>5413</v>
      </c>
      <c r="E1069" s="1">
        <v>3497.0</v>
      </c>
      <c r="F1069" s="1" t="s">
        <v>288</v>
      </c>
      <c r="G1069" s="1">
        <v>859767.0</v>
      </c>
      <c r="H1069" s="1" t="s">
        <v>2565</v>
      </c>
      <c r="I1069" s="1" t="s">
        <v>1051</v>
      </c>
      <c r="J1069" s="1"/>
      <c r="K1069" s="1" t="s">
        <v>23</v>
      </c>
      <c r="L1069" s="1" t="s">
        <v>5414</v>
      </c>
      <c r="M1069" s="1">
        <v>2.0</v>
      </c>
      <c r="N1069" s="1">
        <v>1.0</v>
      </c>
      <c r="O1069" s="1" t="s">
        <v>288</v>
      </c>
      <c r="P1069" s="1" t="s">
        <v>488</v>
      </c>
      <c r="Q1069" s="2" t="str">
        <f t="shared" si="1"/>
        <v>H004579</v>
      </c>
    </row>
    <row r="1070">
      <c r="A1070" s="1" t="s">
        <v>5415</v>
      </c>
      <c r="B1070" s="1" t="s">
        <v>5416</v>
      </c>
      <c r="C1070" s="1" t="s">
        <v>5417</v>
      </c>
      <c r="D1070" s="1" t="s">
        <v>5418</v>
      </c>
      <c r="E1070" s="1">
        <v>5521.0</v>
      </c>
      <c r="F1070" s="1" t="s">
        <v>288</v>
      </c>
      <c r="G1070" s="1">
        <v>859767.0</v>
      </c>
      <c r="H1070" s="1" t="s">
        <v>2565</v>
      </c>
      <c r="I1070" s="1" t="s">
        <v>1051</v>
      </c>
      <c r="J1070" s="1"/>
      <c r="K1070" s="1" t="s">
        <v>23</v>
      </c>
      <c r="L1070" s="1" t="s">
        <v>5419</v>
      </c>
      <c r="M1070" s="1">
        <v>2.0</v>
      </c>
      <c r="N1070" s="1">
        <v>1.0</v>
      </c>
      <c r="O1070" s="1" t="s">
        <v>288</v>
      </c>
      <c r="P1070" s="1" t="s">
        <v>488</v>
      </c>
      <c r="Q1070" s="2" t="str">
        <f t="shared" si="1"/>
        <v>H004579</v>
      </c>
    </row>
    <row r="1071">
      <c r="A1071" s="1" t="s">
        <v>5420</v>
      </c>
      <c r="B1071" s="1" t="s">
        <v>5421</v>
      </c>
      <c r="C1071" s="1" t="s">
        <v>5422</v>
      </c>
      <c r="D1071" s="1" t="s">
        <v>5423</v>
      </c>
      <c r="E1071" s="1">
        <v>3819.0</v>
      </c>
      <c r="F1071" s="1" t="s">
        <v>288</v>
      </c>
      <c r="G1071" s="1">
        <v>729375.0</v>
      </c>
      <c r="H1071" s="1" t="s">
        <v>1050</v>
      </c>
      <c r="I1071" s="1" t="s">
        <v>1051</v>
      </c>
      <c r="J1071" s="1"/>
      <c r="K1071" s="1" t="s">
        <v>23</v>
      </c>
      <c r="L1071" s="1" t="s">
        <v>5424</v>
      </c>
      <c r="M1071" s="1">
        <v>2.0</v>
      </c>
      <c r="N1071" s="1">
        <v>1.0</v>
      </c>
      <c r="O1071" s="1" t="s">
        <v>288</v>
      </c>
      <c r="P1071" s="1" t="s">
        <v>488</v>
      </c>
      <c r="Q1071" s="2" t="str">
        <f t="shared" si="1"/>
        <v>H004579</v>
      </c>
    </row>
    <row r="1072">
      <c r="A1072" s="1" t="s">
        <v>5425</v>
      </c>
      <c r="B1072" s="1" t="s">
        <v>5426</v>
      </c>
      <c r="C1072" s="1" t="s">
        <v>5427</v>
      </c>
      <c r="D1072" s="1" t="s">
        <v>5428</v>
      </c>
      <c r="E1072" s="1">
        <v>4095.0</v>
      </c>
      <c r="F1072" s="1" t="s">
        <v>288</v>
      </c>
      <c r="G1072" s="1">
        <v>729375.0</v>
      </c>
      <c r="H1072" s="1" t="s">
        <v>1050</v>
      </c>
      <c r="I1072" s="1" t="s">
        <v>1051</v>
      </c>
      <c r="J1072" s="1"/>
      <c r="K1072" s="1" t="s">
        <v>23</v>
      </c>
      <c r="L1072" s="1" t="s">
        <v>5429</v>
      </c>
      <c r="M1072" s="1">
        <v>2.0</v>
      </c>
      <c r="N1072" s="1">
        <v>1.0</v>
      </c>
      <c r="O1072" s="1" t="s">
        <v>288</v>
      </c>
      <c r="P1072" s="1" t="s">
        <v>488</v>
      </c>
      <c r="Q1072" s="2" t="str">
        <f t="shared" si="1"/>
        <v>H004579</v>
      </c>
    </row>
    <row r="1073">
      <c r="A1073" s="1" t="s">
        <v>5430</v>
      </c>
      <c r="B1073" s="1" t="s">
        <v>5431</v>
      </c>
      <c r="C1073" s="1" t="s">
        <v>5432</v>
      </c>
      <c r="D1073" s="1" t="s">
        <v>5433</v>
      </c>
      <c r="E1073" s="1">
        <v>2675.0</v>
      </c>
      <c r="F1073" s="1" t="s">
        <v>288</v>
      </c>
      <c r="G1073" s="1">
        <v>729375.0</v>
      </c>
      <c r="H1073" s="1" t="s">
        <v>1050</v>
      </c>
      <c r="I1073" s="1" t="s">
        <v>1051</v>
      </c>
      <c r="J1073" s="1"/>
      <c r="K1073" s="1" t="s">
        <v>23</v>
      </c>
      <c r="L1073" s="1" t="s">
        <v>5434</v>
      </c>
      <c r="M1073" s="1">
        <v>2.0</v>
      </c>
      <c r="N1073" s="1">
        <v>1.0</v>
      </c>
      <c r="O1073" s="1" t="s">
        <v>288</v>
      </c>
      <c r="P1073" s="1" t="s">
        <v>488</v>
      </c>
      <c r="Q1073" s="2" t="str">
        <f t="shared" si="1"/>
        <v>H004579</v>
      </c>
    </row>
    <row r="1074">
      <c r="A1074" s="1" t="s">
        <v>5435</v>
      </c>
      <c r="B1074" s="1" t="s">
        <v>5436</v>
      </c>
      <c r="C1074" s="1" t="s">
        <v>5437</v>
      </c>
      <c r="D1074" s="1" t="s">
        <v>5438</v>
      </c>
      <c r="E1074" s="1">
        <v>3114.0</v>
      </c>
      <c r="F1074" s="1" t="s">
        <v>288</v>
      </c>
      <c r="G1074" s="1">
        <v>729375.0</v>
      </c>
      <c r="H1074" s="1" t="s">
        <v>1050</v>
      </c>
      <c r="I1074" s="1" t="s">
        <v>1051</v>
      </c>
      <c r="J1074" s="1"/>
      <c r="K1074" s="1" t="s">
        <v>23</v>
      </c>
      <c r="L1074" s="1" t="s">
        <v>5439</v>
      </c>
      <c r="M1074" s="1">
        <v>2.0</v>
      </c>
      <c r="N1074" s="1">
        <v>1.0</v>
      </c>
      <c r="O1074" s="1" t="s">
        <v>288</v>
      </c>
      <c r="P1074" s="1" t="s">
        <v>488</v>
      </c>
      <c r="Q1074" s="2" t="str">
        <f t="shared" si="1"/>
        <v>H004579</v>
      </c>
    </row>
    <row r="1075">
      <c r="A1075" s="1" t="s">
        <v>5440</v>
      </c>
      <c r="B1075" s="1" t="s">
        <v>5441</v>
      </c>
      <c r="C1075" s="1" t="s">
        <v>5442</v>
      </c>
      <c r="D1075" s="1" t="s">
        <v>5443</v>
      </c>
      <c r="E1075" s="1">
        <v>1973.0</v>
      </c>
      <c r="F1075" s="1" t="s">
        <v>288</v>
      </c>
      <c r="G1075" s="1">
        <v>729375.0</v>
      </c>
      <c r="H1075" s="1" t="s">
        <v>1050</v>
      </c>
      <c r="I1075" s="1" t="s">
        <v>1051</v>
      </c>
      <c r="J1075" s="1"/>
      <c r="K1075" s="1" t="s">
        <v>23</v>
      </c>
      <c r="L1075" s="1" t="s">
        <v>5444</v>
      </c>
      <c r="M1075" s="1">
        <v>2.0</v>
      </c>
      <c r="N1075" s="1">
        <v>1.0</v>
      </c>
      <c r="O1075" s="1" t="s">
        <v>288</v>
      </c>
      <c r="P1075" s="1" t="s">
        <v>488</v>
      </c>
      <c r="Q1075" s="2" t="str">
        <f t="shared" si="1"/>
        <v>H004579</v>
      </c>
    </row>
    <row r="1076">
      <c r="A1076" s="1" t="s">
        <v>5445</v>
      </c>
      <c r="B1076" s="1" t="s">
        <v>5446</v>
      </c>
      <c r="C1076" s="1" t="s">
        <v>5447</v>
      </c>
      <c r="D1076" s="1" t="s">
        <v>5448</v>
      </c>
      <c r="E1076" s="1">
        <v>4373.0</v>
      </c>
      <c r="F1076" s="1" t="s">
        <v>382</v>
      </c>
      <c r="G1076" s="1" t="s">
        <v>191</v>
      </c>
      <c r="H1076" s="1" t="s">
        <v>192</v>
      </c>
      <c r="I1076" s="1" t="s">
        <v>486</v>
      </c>
      <c r="J1076" s="1"/>
      <c r="K1076" s="1" t="s">
        <v>23</v>
      </c>
      <c r="L1076" s="1" t="s">
        <v>5449</v>
      </c>
      <c r="M1076" s="1">
        <v>2.0</v>
      </c>
      <c r="N1076" s="1">
        <v>1.0</v>
      </c>
      <c r="O1076" s="1" t="s">
        <v>382</v>
      </c>
      <c r="P1076" s="1" t="s">
        <v>488</v>
      </c>
      <c r="Q1076" s="2" t="str">
        <f t="shared" si="1"/>
        <v>H006817</v>
      </c>
    </row>
    <row r="1077">
      <c r="A1077" s="1" t="s">
        <v>5450</v>
      </c>
      <c r="B1077" s="1" t="s">
        <v>5451</v>
      </c>
      <c r="C1077" s="1" t="s">
        <v>5452</v>
      </c>
      <c r="D1077" s="1" t="s">
        <v>5453</v>
      </c>
      <c r="E1077" s="1">
        <v>2754.0</v>
      </c>
      <c r="F1077" s="1" t="s">
        <v>382</v>
      </c>
      <c r="G1077" s="1" t="s">
        <v>191</v>
      </c>
      <c r="H1077" s="1" t="s">
        <v>192</v>
      </c>
      <c r="I1077" s="1" t="s">
        <v>486</v>
      </c>
      <c r="J1077" s="1"/>
      <c r="K1077" s="1" t="s">
        <v>23</v>
      </c>
      <c r="L1077" s="1" t="s">
        <v>5454</v>
      </c>
      <c r="M1077" s="1">
        <v>2.0</v>
      </c>
      <c r="N1077" s="1">
        <v>1.0</v>
      </c>
      <c r="O1077" s="1" t="s">
        <v>382</v>
      </c>
      <c r="P1077" s="1" t="s">
        <v>488</v>
      </c>
      <c r="Q1077" s="2" t="str">
        <f t="shared" si="1"/>
        <v>H006817</v>
      </c>
    </row>
    <row r="1078">
      <c r="A1078" s="1" t="s">
        <v>5455</v>
      </c>
      <c r="B1078" s="1" t="s">
        <v>5456</v>
      </c>
      <c r="C1078" s="1" t="s">
        <v>5457</v>
      </c>
      <c r="D1078" s="1" t="s">
        <v>5458</v>
      </c>
      <c r="E1078" s="1">
        <v>3134.0</v>
      </c>
      <c r="F1078" s="1" t="s">
        <v>382</v>
      </c>
      <c r="G1078" s="1" t="s">
        <v>191</v>
      </c>
      <c r="H1078" s="1" t="s">
        <v>192</v>
      </c>
      <c r="I1078" s="1" t="s">
        <v>486</v>
      </c>
      <c r="J1078" s="1"/>
      <c r="K1078" s="1" t="s">
        <v>23</v>
      </c>
      <c r="L1078" s="1" t="s">
        <v>5459</v>
      </c>
      <c r="M1078" s="1">
        <v>2.0</v>
      </c>
      <c r="N1078" s="1">
        <v>1.0</v>
      </c>
      <c r="O1078" s="1" t="s">
        <v>382</v>
      </c>
      <c r="P1078" s="1" t="s">
        <v>488</v>
      </c>
      <c r="Q1078" s="2" t="str">
        <f t="shared" si="1"/>
        <v>H006817</v>
      </c>
    </row>
    <row r="1079">
      <c r="A1079" s="1" t="s">
        <v>5460</v>
      </c>
      <c r="B1079" s="1" t="s">
        <v>5461</v>
      </c>
      <c r="C1079" s="1" t="s">
        <v>5462</v>
      </c>
      <c r="D1079" s="1" t="s">
        <v>5463</v>
      </c>
      <c r="E1079" s="1">
        <v>3339.0</v>
      </c>
      <c r="F1079" s="1" t="s">
        <v>382</v>
      </c>
      <c r="G1079" s="1" t="s">
        <v>474</v>
      </c>
      <c r="H1079" s="1" t="s">
        <v>475</v>
      </c>
      <c r="I1079" s="1" t="s">
        <v>486</v>
      </c>
      <c r="J1079" s="1"/>
      <c r="K1079" s="1" t="s">
        <v>23</v>
      </c>
      <c r="L1079" s="1" t="s">
        <v>5464</v>
      </c>
      <c r="M1079" s="1">
        <v>2.0</v>
      </c>
      <c r="N1079" s="1">
        <v>1.0</v>
      </c>
      <c r="O1079" s="1" t="s">
        <v>382</v>
      </c>
      <c r="P1079" s="1" t="s">
        <v>488</v>
      </c>
      <c r="Q1079" s="2" t="str">
        <f t="shared" si="1"/>
        <v>H006817</v>
      </c>
    </row>
    <row r="1080">
      <c r="A1080" s="1" t="s">
        <v>5465</v>
      </c>
      <c r="B1080" s="1" t="s">
        <v>5466</v>
      </c>
      <c r="C1080" s="1" t="s">
        <v>5467</v>
      </c>
      <c r="D1080" s="1" t="s">
        <v>5468</v>
      </c>
      <c r="E1080" s="1">
        <v>3654.0</v>
      </c>
      <c r="F1080" s="1" t="s">
        <v>398</v>
      </c>
      <c r="G1080" s="1" t="s">
        <v>179</v>
      </c>
      <c r="H1080" s="1" t="s">
        <v>180</v>
      </c>
      <c r="I1080" s="1" t="s">
        <v>1112</v>
      </c>
      <c r="J1080" s="1"/>
      <c r="K1080" s="1" t="s">
        <v>23</v>
      </c>
      <c r="L1080" s="1" t="s">
        <v>5469</v>
      </c>
      <c r="M1080" s="1">
        <v>3.0</v>
      </c>
      <c r="N1080" s="1">
        <v>1.0</v>
      </c>
      <c r="O1080" s="1" t="s">
        <v>398</v>
      </c>
      <c r="P1080" s="1" t="s">
        <v>488</v>
      </c>
      <c r="Q1080" s="2" t="str">
        <f t="shared" si="1"/>
        <v>H030373</v>
      </c>
    </row>
    <row r="1081">
      <c r="A1081" s="1" t="s">
        <v>5470</v>
      </c>
      <c r="B1081" s="1" t="s">
        <v>5471</v>
      </c>
      <c r="C1081" s="1" t="s">
        <v>5472</v>
      </c>
      <c r="D1081" s="1" t="s">
        <v>5473</v>
      </c>
      <c r="E1081" s="1">
        <v>4619.0</v>
      </c>
      <c r="F1081" s="1" t="s">
        <v>398</v>
      </c>
      <c r="G1081" s="1" t="s">
        <v>179</v>
      </c>
      <c r="H1081" s="1" t="s">
        <v>180</v>
      </c>
      <c r="I1081" s="1" t="s">
        <v>1112</v>
      </c>
      <c r="J1081" s="1"/>
      <c r="K1081" s="1" t="s">
        <v>23</v>
      </c>
      <c r="L1081" s="1" t="s">
        <v>5474</v>
      </c>
      <c r="M1081" s="1">
        <v>3.0</v>
      </c>
      <c r="N1081" s="1">
        <v>1.0</v>
      </c>
      <c r="O1081" s="1" t="s">
        <v>398</v>
      </c>
      <c r="P1081" s="1" t="s">
        <v>488</v>
      </c>
      <c r="Q1081" s="2" t="str">
        <f t="shared" si="1"/>
        <v>H030373</v>
      </c>
    </row>
    <row r="1082">
      <c r="A1082" s="1" t="s">
        <v>5475</v>
      </c>
      <c r="B1082" s="1" t="s">
        <v>5476</v>
      </c>
      <c r="C1082" s="1" t="s">
        <v>5477</v>
      </c>
      <c r="D1082" s="1" t="s">
        <v>5478</v>
      </c>
      <c r="E1082" s="1">
        <v>7436.0</v>
      </c>
      <c r="F1082" s="1" t="s">
        <v>398</v>
      </c>
      <c r="G1082" s="1" t="s">
        <v>179</v>
      </c>
      <c r="H1082" s="1" t="s">
        <v>180</v>
      </c>
      <c r="I1082" s="1" t="s">
        <v>1112</v>
      </c>
      <c r="J1082" s="1"/>
      <c r="K1082" s="1" t="s">
        <v>23</v>
      </c>
      <c r="L1082" s="1" t="s">
        <v>5479</v>
      </c>
      <c r="M1082" s="1">
        <v>3.0</v>
      </c>
      <c r="N1082" s="1">
        <v>1.0</v>
      </c>
      <c r="O1082" s="1" t="s">
        <v>398</v>
      </c>
      <c r="P1082" s="1" t="s">
        <v>488</v>
      </c>
      <c r="Q1082" s="2" t="str">
        <f t="shared" si="1"/>
        <v>H030373</v>
      </c>
    </row>
    <row r="1083">
      <c r="A1083" s="1" t="s">
        <v>5480</v>
      </c>
      <c r="B1083" s="1" t="s">
        <v>5481</v>
      </c>
      <c r="C1083" s="1" t="s">
        <v>5482</v>
      </c>
      <c r="D1083" s="1" t="s">
        <v>5483</v>
      </c>
      <c r="E1083" s="1">
        <v>4893.0</v>
      </c>
      <c r="F1083" s="1" t="s">
        <v>382</v>
      </c>
      <c r="G1083" s="1" t="s">
        <v>107</v>
      </c>
      <c r="H1083" s="1" t="s">
        <v>108</v>
      </c>
      <c r="I1083" s="1" t="s">
        <v>486</v>
      </c>
      <c r="J1083" s="1"/>
      <c r="K1083" s="1" t="s">
        <v>23</v>
      </c>
      <c r="L1083" s="1" t="s">
        <v>5484</v>
      </c>
      <c r="M1083" s="1">
        <v>2.0</v>
      </c>
      <c r="N1083" s="1">
        <v>1.0</v>
      </c>
      <c r="O1083" s="1" t="s">
        <v>382</v>
      </c>
      <c r="P1083" s="1" t="s">
        <v>488</v>
      </c>
      <c r="Q1083" s="2" t="str">
        <f t="shared" si="1"/>
        <v>H006817</v>
      </c>
    </row>
    <row r="1084">
      <c r="A1084" s="1" t="s">
        <v>5485</v>
      </c>
      <c r="B1084" s="1" t="s">
        <v>5486</v>
      </c>
      <c r="C1084" s="1" t="s">
        <v>5487</v>
      </c>
      <c r="D1084" s="1" t="s">
        <v>5488</v>
      </c>
      <c r="E1084" s="1">
        <v>4215.0</v>
      </c>
      <c r="F1084" s="1" t="s">
        <v>382</v>
      </c>
      <c r="G1084" s="1" t="s">
        <v>107</v>
      </c>
      <c r="H1084" s="1" t="s">
        <v>108</v>
      </c>
      <c r="I1084" s="1" t="s">
        <v>486</v>
      </c>
      <c r="J1084" s="1"/>
      <c r="K1084" s="1" t="s">
        <v>23</v>
      </c>
      <c r="L1084" s="1" t="s">
        <v>5489</v>
      </c>
      <c r="M1084" s="1">
        <v>2.0</v>
      </c>
      <c r="N1084" s="1">
        <v>1.0</v>
      </c>
      <c r="O1084" s="1" t="s">
        <v>382</v>
      </c>
      <c r="P1084" s="1" t="s">
        <v>488</v>
      </c>
      <c r="Q1084" s="2" t="str">
        <f t="shared" si="1"/>
        <v>H006817</v>
      </c>
    </row>
    <row r="1085">
      <c r="A1085" s="1" t="s">
        <v>5490</v>
      </c>
      <c r="B1085" s="1" t="s">
        <v>5491</v>
      </c>
      <c r="C1085" s="1" t="s">
        <v>5492</v>
      </c>
      <c r="D1085" s="1" t="s">
        <v>5493</v>
      </c>
      <c r="E1085" s="1">
        <v>3556.0</v>
      </c>
      <c r="F1085" s="1" t="s">
        <v>382</v>
      </c>
      <c r="G1085" s="1" t="s">
        <v>107</v>
      </c>
      <c r="H1085" s="1" t="s">
        <v>108</v>
      </c>
      <c r="I1085" s="1" t="s">
        <v>486</v>
      </c>
      <c r="J1085" s="1"/>
      <c r="K1085" s="1" t="s">
        <v>23</v>
      </c>
      <c r="L1085" s="1" t="s">
        <v>5494</v>
      </c>
      <c r="M1085" s="1">
        <v>2.0</v>
      </c>
      <c r="N1085" s="1">
        <v>1.0</v>
      </c>
      <c r="O1085" s="1" t="s">
        <v>382</v>
      </c>
      <c r="P1085" s="1" t="s">
        <v>488</v>
      </c>
      <c r="Q1085" s="2" t="str">
        <f t="shared" si="1"/>
        <v>H006817</v>
      </c>
    </row>
    <row r="1086">
      <c r="A1086" s="1" t="s">
        <v>5495</v>
      </c>
      <c r="B1086" s="1" t="s">
        <v>5496</v>
      </c>
      <c r="C1086" s="1" t="s">
        <v>5497</v>
      </c>
      <c r="D1086" s="1" t="s">
        <v>5498</v>
      </c>
      <c r="E1086" s="1">
        <v>3775.0</v>
      </c>
      <c r="F1086" s="1" t="s">
        <v>351</v>
      </c>
      <c r="G1086" s="1" t="s">
        <v>260</v>
      </c>
      <c r="H1086" s="1" t="s">
        <v>261</v>
      </c>
      <c r="I1086" s="1" t="s">
        <v>486</v>
      </c>
      <c r="J1086" s="1"/>
      <c r="K1086" s="1" t="s">
        <v>23</v>
      </c>
      <c r="L1086" s="1" t="s">
        <v>5499</v>
      </c>
      <c r="M1086" s="1">
        <v>3.0</v>
      </c>
      <c r="N1086" s="1">
        <v>1.0</v>
      </c>
      <c r="O1086" s="1" t="s">
        <v>351</v>
      </c>
      <c r="P1086" s="1" t="s">
        <v>488</v>
      </c>
      <c r="Q1086" s="2" t="str">
        <f t="shared" si="1"/>
        <v>H006233</v>
      </c>
    </row>
    <row r="1087">
      <c r="A1087" s="1" t="s">
        <v>5500</v>
      </c>
      <c r="B1087" s="1" t="s">
        <v>5501</v>
      </c>
      <c r="C1087" s="1" t="s">
        <v>5502</v>
      </c>
      <c r="D1087" s="1" t="s">
        <v>5503</v>
      </c>
      <c r="E1087" s="1">
        <v>3508.0</v>
      </c>
      <c r="F1087" s="1" t="s">
        <v>351</v>
      </c>
      <c r="G1087" s="1" t="s">
        <v>260</v>
      </c>
      <c r="H1087" s="1" t="s">
        <v>261</v>
      </c>
      <c r="I1087" s="1" t="s">
        <v>486</v>
      </c>
      <c r="J1087" s="1"/>
      <c r="K1087" s="1" t="s">
        <v>23</v>
      </c>
      <c r="L1087" s="1" t="s">
        <v>5504</v>
      </c>
      <c r="M1087" s="1">
        <v>3.0</v>
      </c>
      <c r="N1087" s="1">
        <v>1.0</v>
      </c>
      <c r="O1087" s="1" t="s">
        <v>351</v>
      </c>
      <c r="P1087" s="1" t="s">
        <v>488</v>
      </c>
      <c r="Q1087" s="2" t="str">
        <f t="shared" si="1"/>
        <v>H006233</v>
      </c>
    </row>
    <row r="1088">
      <c r="A1088" s="1" t="s">
        <v>5505</v>
      </c>
      <c r="B1088" s="1" t="s">
        <v>5506</v>
      </c>
      <c r="C1088" s="1" t="s">
        <v>5507</v>
      </c>
      <c r="D1088" s="1" t="s">
        <v>5508</v>
      </c>
      <c r="E1088" s="1">
        <v>4636.0</v>
      </c>
      <c r="F1088" s="1" t="s">
        <v>351</v>
      </c>
      <c r="G1088" s="1" t="s">
        <v>260</v>
      </c>
      <c r="H1088" s="1" t="s">
        <v>261</v>
      </c>
      <c r="I1088" s="1" t="s">
        <v>486</v>
      </c>
      <c r="J1088" s="1"/>
      <c r="K1088" s="1" t="s">
        <v>23</v>
      </c>
      <c r="L1088" s="1" t="s">
        <v>5509</v>
      </c>
      <c r="M1088" s="1">
        <v>3.0</v>
      </c>
      <c r="N1088" s="1">
        <v>1.0</v>
      </c>
      <c r="O1088" s="1" t="s">
        <v>351</v>
      </c>
      <c r="P1088" s="1" t="s">
        <v>488</v>
      </c>
      <c r="Q1088" s="2" t="str">
        <f t="shared" si="1"/>
        <v>H006233</v>
      </c>
    </row>
    <row r="1089">
      <c r="A1089" s="1" t="s">
        <v>5510</v>
      </c>
      <c r="B1089" s="1" t="s">
        <v>5511</v>
      </c>
      <c r="C1089" s="1" t="s">
        <v>5512</v>
      </c>
      <c r="D1089" s="1" t="s">
        <v>5513</v>
      </c>
      <c r="E1089" s="1">
        <v>5548.0</v>
      </c>
      <c r="F1089" s="1" t="s">
        <v>288</v>
      </c>
      <c r="G1089" s="1" t="s">
        <v>304</v>
      </c>
      <c r="H1089" s="1" t="s">
        <v>272</v>
      </c>
      <c r="I1089" s="1" t="s">
        <v>1051</v>
      </c>
      <c r="J1089" s="1"/>
      <c r="K1089" s="1" t="s">
        <v>23</v>
      </c>
      <c r="L1089" s="1" t="s">
        <v>5514</v>
      </c>
      <c r="M1089" s="1">
        <v>2.0</v>
      </c>
      <c r="N1089" s="1">
        <v>1.0</v>
      </c>
      <c r="O1089" s="1" t="s">
        <v>288</v>
      </c>
      <c r="P1089" s="1" t="s">
        <v>488</v>
      </c>
      <c r="Q1089" s="2" t="str">
        <f t="shared" si="1"/>
        <v>H004579</v>
      </c>
    </row>
    <row r="1090">
      <c r="A1090" s="1" t="s">
        <v>5515</v>
      </c>
      <c r="B1090" s="1" t="s">
        <v>5516</v>
      </c>
      <c r="C1090" s="1" t="s">
        <v>5517</v>
      </c>
      <c r="D1090" s="1" t="s">
        <v>5518</v>
      </c>
      <c r="E1090" s="1">
        <v>4048.0</v>
      </c>
      <c r="F1090" s="1" t="s">
        <v>288</v>
      </c>
      <c r="G1090" s="1" t="s">
        <v>304</v>
      </c>
      <c r="H1090" s="1" t="s">
        <v>272</v>
      </c>
      <c r="I1090" s="1" t="s">
        <v>1051</v>
      </c>
      <c r="J1090" s="1"/>
      <c r="K1090" s="1" t="s">
        <v>23</v>
      </c>
      <c r="L1090" s="1" t="s">
        <v>5519</v>
      </c>
      <c r="M1090" s="1">
        <v>2.0</v>
      </c>
      <c r="N1090" s="1">
        <v>1.0</v>
      </c>
      <c r="O1090" s="1" t="s">
        <v>288</v>
      </c>
      <c r="P1090" s="1" t="s">
        <v>488</v>
      </c>
      <c r="Q1090" s="2" t="str">
        <f t="shared" si="1"/>
        <v>H004579</v>
      </c>
    </row>
    <row r="1091">
      <c r="A1091" s="1" t="s">
        <v>5520</v>
      </c>
      <c r="B1091" s="1" t="s">
        <v>5521</v>
      </c>
      <c r="C1091" s="1" t="s">
        <v>5522</v>
      </c>
      <c r="D1091" s="1" t="s">
        <v>5523</v>
      </c>
      <c r="E1091" s="1">
        <v>2876.0</v>
      </c>
      <c r="F1091" s="1" t="s">
        <v>288</v>
      </c>
      <c r="G1091" s="1" t="s">
        <v>304</v>
      </c>
      <c r="H1091" s="1" t="s">
        <v>272</v>
      </c>
      <c r="I1091" s="1" t="s">
        <v>1051</v>
      </c>
      <c r="J1091" s="1"/>
      <c r="K1091" s="1" t="s">
        <v>23</v>
      </c>
      <c r="L1091" s="1" t="s">
        <v>5524</v>
      </c>
      <c r="M1091" s="1">
        <v>2.0</v>
      </c>
      <c r="N1091" s="1">
        <v>1.0</v>
      </c>
      <c r="O1091" s="1" t="s">
        <v>288</v>
      </c>
      <c r="P1091" s="1" t="s">
        <v>488</v>
      </c>
      <c r="Q1091" s="2" t="str">
        <f t="shared" si="1"/>
        <v>H004579</v>
      </c>
    </row>
    <row r="1092">
      <c r="A1092" s="1" t="s">
        <v>5525</v>
      </c>
      <c r="B1092" s="1" t="s">
        <v>5526</v>
      </c>
      <c r="C1092" s="1" t="s">
        <v>5527</v>
      </c>
      <c r="D1092" s="1" t="s">
        <v>5528</v>
      </c>
      <c r="E1092" s="1">
        <v>2027.0</v>
      </c>
      <c r="F1092" s="1" t="s">
        <v>288</v>
      </c>
      <c r="G1092" s="1">
        <v>729375.0</v>
      </c>
      <c r="H1092" s="1" t="s">
        <v>1050</v>
      </c>
      <c r="I1092" s="1" t="s">
        <v>1051</v>
      </c>
      <c r="J1092" s="1"/>
      <c r="K1092" s="1" t="s">
        <v>23</v>
      </c>
      <c r="L1092" s="1" t="s">
        <v>5529</v>
      </c>
      <c r="M1092" s="1">
        <v>2.0</v>
      </c>
      <c r="N1092" s="1">
        <v>1.0</v>
      </c>
      <c r="O1092" s="1" t="s">
        <v>288</v>
      </c>
      <c r="P1092" s="1" t="s">
        <v>488</v>
      </c>
      <c r="Q1092" s="2" t="str">
        <f t="shared" si="1"/>
        <v>H004579</v>
      </c>
    </row>
    <row r="1093">
      <c r="A1093" s="1" t="s">
        <v>5530</v>
      </c>
      <c r="B1093" s="1" t="s">
        <v>5531</v>
      </c>
      <c r="C1093" s="1" t="s">
        <v>5532</v>
      </c>
      <c r="D1093" s="1" t="s">
        <v>5533</v>
      </c>
      <c r="E1093" s="1">
        <v>1550.0</v>
      </c>
      <c r="F1093" s="1" t="s">
        <v>288</v>
      </c>
      <c r="G1093" s="1">
        <v>729375.0</v>
      </c>
      <c r="H1093" s="1" t="s">
        <v>1050</v>
      </c>
      <c r="I1093" s="1" t="s">
        <v>1051</v>
      </c>
      <c r="J1093" s="1"/>
      <c r="K1093" s="1" t="s">
        <v>23</v>
      </c>
      <c r="L1093" s="1" t="s">
        <v>5534</v>
      </c>
      <c r="M1093" s="1">
        <v>2.0</v>
      </c>
      <c r="N1093" s="1">
        <v>1.0</v>
      </c>
      <c r="O1093" s="1" t="s">
        <v>288</v>
      </c>
      <c r="P1093" s="1" t="s">
        <v>488</v>
      </c>
      <c r="Q1093" s="2" t="str">
        <f t="shared" si="1"/>
        <v>H004579</v>
      </c>
    </row>
    <row r="1094">
      <c r="A1094" s="1" t="s">
        <v>5535</v>
      </c>
      <c r="B1094" s="1" t="s">
        <v>5536</v>
      </c>
      <c r="C1094" s="1" t="s">
        <v>5537</v>
      </c>
      <c r="D1094" s="1" t="s">
        <v>5538</v>
      </c>
      <c r="E1094" s="1">
        <v>5235.0</v>
      </c>
      <c r="F1094" s="1" t="s">
        <v>382</v>
      </c>
      <c r="G1094" s="1" t="s">
        <v>119</v>
      </c>
      <c r="H1094" s="1" t="s">
        <v>120</v>
      </c>
      <c r="I1094" s="1" t="s">
        <v>486</v>
      </c>
      <c r="J1094" s="1"/>
      <c r="K1094" s="1" t="s">
        <v>23</v>
      </c>
      <c r="L1094" s="1" t="s">
        <v>5539</v>
      </c>
      <c r="M1094" s="1">
        <v>2.0</v>
      </c>
      <c r="N1094" s="1">
        <v>1.0</v>
      </c>
      <c r="O1094" s="1" t="s">
        <v>382</v>
      </c>
      <c r="P1094" s="1" t="s">
        <v>488</v>
      </c>
      <c r="Q1094" s="2" t="str">
        <f t="shared" si="1"/>
        <v>H006817</v>
      </c>
    </row>
    <row r="1095">
      <c r="A1095" s="1" t="s">
        <v>5540</v>
      </c>
      <c r="B1095" s="1" t="s">
        <v>5541</v>
      </c>
      <c r="C1095" s="1" t="s">
        <v>5542</v>
      </c>
      <c r="D1095" s="1" t="s">
        <v>5543</v>
      </c>
      <c r="E1095" s="1">
        <v>3570.0</v>
      </c>
      <c r="F1095" s="1" t="s">
        <v>382</v>
      </c>
      <c r="G1095" s="1" t="s">
        <v>119</v>
      </c>
      <c r="H1095" s="1" t="s">
        <v>120</v>
      </c>
      <c r="I1095" s="1" t="s">
        <v>486</v>
      </c>
      <c r="J1095" s="1"/>
      <c r="K1095" s="1" t="s">
        <v>23</v>
      </c>
      <c r="L1095" s="1" t="s">
        <v>5544</v>
      </c>
      <c r="M1095" s="1">
        <v>2.0</v>
      </c>
      <c r="N1095" s="1">
        <v>1.0</v>
      </c>
      <c r="O1095" s="1" t="s">
        <v>382</v>
      </c>
      <c r="P1095" s="1" t="s">
        <v>488</v>
      </c>
      <c r="Q1095" s="2" t="str">
        <f t="shared" si="1"/>
        <v>H006817</v>
      </c>
    </row>
    <row r="1096">
      <c r="A1096" s="1" t="s">
        <v>5545</v>
      </c>
      <c r="B1096" s="1" t="s">
        <v>5546</v>
      </c>
      <c r="C1096" s="1" t="s">
        <v>5547</v>
      </c>
      <c r="D1096" s="1" t="s">
        <v>5548</v>
      </c>
      <c r="E1096" s="1">
        <v>2235.0</v>
      </c>
      <c r="F1096" s="1" t="s">
        <v>382</v>
      </c>
      <c r="G1096" s="1" t="s">
        <v>119</v>
      </c>
      <c r="H1096" s="1" t="s">
        <v>120</v>
      </c>
      <c r="I1096" s="1" t="s">
        <v>486</v>
      </c>
      <c r="J1096" s="1"/>
      <c r="K1096" s="1" t="s">
        <v>23</v>
      </c>
      <c r="L1096" s="1" t="s">
        <v>5549</v>
      </c>
      <c r="M1096" s="1">
        <v>2.0</v>
      </c>
      <c r="N1096" s="1">
        <v>1.0</v>
      </c>
      <c r="O1096" s="1" t="s">
        <v>382</v>
      </c>
      <c r="P1096" s="1" t="s">
        <v>488</v>
      </c>
      <c r="Q1096" s="2" t="str">
        <f t="shared" si="1"/>
        <v>H006817</v>
      </c>
    </row>
    <row r="1097">
      <c r="A1097" s="1" t="s">
        <v>5550</v>
      </c>
      <c r="B1097" s="1" t="s">
        <v>5551</v>
      </c>
      <c r="C1097" s="1" t="s">
        <v>5552</v>
      </c>
      <c r="D1097" s="1" t="s">
        <v>5553</v>
      </c>
      <c r="E1097" s="1">
        <v>6877.0</v>
      </c>
      <c r="F1097" s="1" t="s">
        <v>382</v>
      </c>
      <c r="G1097" s="1" t="s">
        <v>191</v>
      </c>
      <c r="H1097" s="1" t="s">
        <v>192</v>
      </c>
      <c r="I1097" s="1" t="s">
        <v>486</v>
      </c>
      <c r="J1097" s="1"/>
      <c r="K1097" s="1" t="s">
        <v>23</v>
      </c>
      <c r="L1097" s="1" t="s">
        <v>5554</v>
      </c>
      <c r="M1097" s="1">
        <v>0.0</v>
      </c>
      <c r="N1097" s="1">
        <v>1.0</v>
      </c>
      <c r="O1097" s="1" t="s">
        <v>382</v>
      </c>
      <c r="P1097" s="1" t="s">
        <v>488</v>
      </c>
      <c r="Q1097" s="2" t="str">
        <f t="shared" si="1"/>
        <v>H006742</v>
      </c>
    </row>
    <row r="1098">
      <c r="A1098" s="1" t="s">
        <v>5555</v>
      </c>
      <c r="B1098" s="1" t="s">
        <v>5556</v>
      </c>
      <c r="C1098" s="1" t="s">
        <v>5557</v>
      </c>
      <c r="D1098" s="1" t="s">
        <v>5558</v>
      </c>
      <c r="E1098" s="1">
        <v>4331.0</v>
      </c>
      <c r="F1098" s="1" t="s">
        <v>382</v>
      </c>
      <c r="G1098" s="1" t="s">
        <v>191</v>
      </c>
      <c r="H1098" s="1" t="s">
        <v>192</v>
      </c>
      <c r="I1098" s="1" t="s">
        <v>486</v>
      </c>
      <c r="J1098" s="1"/>
      <c r="K1098" s="1" t="s">
        <v>23</v>
      </c>
      <c r="L1098" s="1" t="s">
        <v>5559</v>
      </c>
      <c r="M1098" s="1">
        <v>0.0</v>
      </c>
      <c r="N1098" s="1">
        <v>1.0</v>
      </c>
      <c r="O1098" s="1" t="s">
        <v>382</v>
      </c>
      <c r="P1098" s="1" t="s">
        <v>488</v>
      </c>
      <c r="Q1098" s="2" t="str">
        <f t="shared" si="1"/>
        <v>H006742</v>
      </c>
    </row>
    <row r="1099">
      <c r="A1099" s="1" t="s">
        <v>5560</v>
      </c>
      <c r="B1099" s="1" t="s">
        <v>5561</v>
      </c>
      <c r="C1099" s="1" t="s">
        <v>5562</v>
      </c>
      <c r="D1099" s="1" t="s">
        <v>5563</v>
      </c>
      <c r="E1099" s="1">
        <v>1834.0</v>
      </c>
      <c r="F1099" s="1" t="s">
        <v>315</v>
      </c>
      <c r="G1099" s="1">
        <v>455939.0</v>
      </c>
      <c r="H1099" s="1" t="s">
        <v>2746</v>
      </c>
      <c r="I1099" s="1" t="s">
        <v>1051</v>
      </c>
      <c r="J1099" s="1"/>
      <c r="K1099" s="1" t="s">
        <v>23</v>
      </c>
      <c r="L1099" s="1" t="s">
        <v>5564</v>
      </c>
      <c r="M1099" s="1">
        <v>0.0</v>
      </c>
      <c r="N1099" s="1">
        <v>1.0</v>
      </c>
      <c r="O1099" s="1" t="s">
        <v>315</v>
      </c>
      <c r="P1099" s="1" t="s">
        <v>488</v>
      </c>
      <c r="Q1099" s="2" t="str">
        <f t="shared" si="1"/>
        <v>H004285</v>
      </c>
    </row>
    <row r="1100">
      <c r="A1100" s="1" t="s">
        <v>5565</v>
      </c>
      <c r="B1100" s="1" t="s">
        <v>5566</v>
      </c>
      <c r="C1100" s="1" t="s">
        <v>5567</v>
      </c>
      <c r="D1100" s="1" t="s">
        <v>5568</v>
      </c>
      <c r="E1100" s="1">
        <v>2857.0</v>
      </c>
      <c r="F1100" s="1" t="s">
        <v>315</v>
      </c>
      <c r="G1100" s="1">
        <v>455939.0</v>
      </c>
      <c r="H1100" s="1" t="s">
        <v>2746</v>
      </c>
      <c r="I1100" s="1" t="s">
        <v>1051</v>
      </c>
      <c r="J1100" s="1"/>
      <c r="K1100" s="1" t="s">
        <v>23</v>
      </c>
      <c r="L1100" s="1" t="s">
        <v>5569</v>
      </c>
      <c r="M1100" s="1">
        <v>0.0</v>
      </c>
      <c r="N1100" s="1">
        <v>1.0</v>
      </c>
      <c r="O1100" s="1" t="s">
        <v>315</v>
      </c>
      <c r="P1100" s="1" t="s">
        <v>488</v>
      </c>
      <c r="Q1100" s="2" t="str">
        <f t="shared" si="1"/>
        <v>H004285</v>
      </c>
    </row>
    <row r="1101">
      <c r="A1101" s="1" t="s">
        <v>5570</v>
      </c>
      <c r="B1101" s="1" t="s">
        <v>5571</v>
      </c>
      <c r="C1101" s="1" t="s">
        <v>5572</v>
      </c>
      <c r="D1101" s="1" t="s">
        <v>5573</v>
      </c>
      <c r="E1101" s="1">
        <v>47.0</v>
      </c>
      <c r="F1101" s="1" t="s">
        <v>315</v>
      </c>
      <c r="G1101" s="1">
        <v>455939.0</v>
      </c>
      <c r="H1101" s="1" t="s">
        <v>2746</v>
      </c>
      <c r="I1101" s="1" t="s">
        <v>1051</v>
      </c>
      <c r="J1101" s="1"/>
      <c r="K1101" s="1" t="s">
        <v>23</v>
      </c>
      <c r="L1101" s="1" t="s">
        <v>5574</v>
      </c>
      <c r="M1101" s="1">
        <v>0.0</v>
      </c>
      <c r="N1101" s="1">
        <v>0.0</v>
      </c>
      <c r="O1101" s="1" t="s">
        <v>315</v>
      </c>
      <c r="P1101" s="1" t="s">
        <v>25</v>
      </c>
      <c r="Q1101" s="2" t="str">
        <f t="shared" si="1"/>
        <v>H004285</v>
      </c>
    </row>
    <row r="1102">
      <c r="A1102" s="1" t="s">
        <v>5575</v>
      </c>
      <c r="B1102" s="1" t="s">
        <v>5576</v>
      </c>
      <c r="C1102" s="1" t="s">
        <v>5577</v>
      </c>
      <c r="D1102" s="1" t="s">
        <v>5578</v>
      </c>
      <c r="E1102" s="1">
        <v>4546.0</v>
      </c>
      <c r="F1102" s="1" t="s">
        <v>315</v>
      </c>
      <c r="G1102" s="1">
        <v>455939.0</v>
      </c>
      <c r="H1102" s="1" t="s">
        <v>2746</v>
      </c>
      <c r="I1102" s="1" t="s">
        <v>1051</v>
      </c>
      <c r="J1102" s="1"/>
      <c r="K1102" s="1" t="s">
        <v>23</v>
      </c>
      <c r="L1102" s="1" t="s">
        <v>5579</v>
      </c>
      <c r="M1102" s="1">
        <v>0.0</v>
      </c>
      <c r="N1102" s="1">
        <v>1.0</v>
      </c>
      <c r="O1102" s="1" t="s">
        <v>315</v>
      </c>
      <c r="P1102" s="1" t="s">
        <v>488</v>
      </c>
      <c r="Q1102" s="2" t="str">
        <f t="shared" si="1"/>
        <v>H004285</v>
      </c>
    </row>
    <row r="1103">
      <c r="A1103" s="1" t="s">
        <v>5580</v>
      </c>
      <c r="B1103" s="1" t="s">
        <v>5581</v>
      </c>
      <c r="C1103" s="1" t="s">
        <v>5582</v>
      </c>
      <c r="D1103" s="1" t="s">
        <v>5583</v>
      </c>
      <c r="E1103" s="1">
        <v>4407.0</v>
      </c>
      <c r="F1103" s="1" t="s">
        <v>315</v>
      </c>
      <c r="G1103" s="1">
        <v>455939.0</v>
      </c>
      <c r="H1103" s="1" t="s">
        <v>2746</v>
      </c>
      <c r="I1103" s="1" t="s">
        <v>1051</v>
      </c>
      <c r="J1103" s="1"/>
      <c r="K1103" s="1" t="s">
        <v>23</v>
      </c>
      <c r="L1103" s="1" t="s">
        <v>5584</v>
      </c>
      <c r="M1103" s="1">
        <v>0.0</v>
      </c>
      <c r="N1103" s="1">
        <v>1.0</v>
      </c>
      <c r="O1103" s="1" t="s">
        <v>315</v>
      </c>
      <c r="P1103" s="1" t="s">
        <v>488</v>
      </c>
      <c r="Q1103" s="2" t="str">
        <f t="shared" si="1"/>
        <v>H004285</v>
      </c>
    </row>
    <row r="1104">
      <c r="A1104" s="1" t="s">
        <v>5585</v>
      </c>
      <c r="B1104" s="1" t="s">
        <v>5586</v>
      </c>
      <c r="C1104" s="1" t="s">
        <v>5587</v>
      </c>
      <c r="D1104" s="1" t="s">
        <v>5588</v>
      </c>
      <c r="E1104" s="1">
        <v>2118.0</v>
      </c>
      <c r="F1104" s="1" t="s">
        <v>315</v>
      </c>
      <c r="G1104" s="1">
        <v>455939.0</v>
      </c>
      <c r="H1104" s="1" t="s">
        <v>2746</v>
      </c>
      <c r="I1104" s="1" t="s">
        <v>1051</v>
      </c>
      <c r="J1104" s="1"/>
      <c r="K1104" s="1" t="s">
        <v>23</v>
      </c>
      <c r="L1104" s="1" t="s">
        <v>5589</v>
      </c>
      <c r="M1104" s="1">
        <v>0.0</v>
      </c>
      <c r="N1104" s="1">
        <v>1.0</v>
      </c>
      <c r="O1104" s="1" t="s">
        <v>315</v>
      </c>
      <c r="P1104" s="1" t="s">
        <v>488</v>
      </c>
      <c r="Q1104" s="2" t="str">
        <f t="shared" si="1"/>
        <v>H004285</v>
      </c>
    </row>
    <row r="1105">
      <c r="A1105" s="1" t="s">
        <v>5590</v>
      </c>
      <c r="B1105" s="1" t="s">
        <v>5591</v>
      </c>
      <c r="C1105" s="1" t="s">
        <v>5592</v>
      </c>
      <c r="D1105" s="1" t="s">
        <v>5593</v>
      </c>
      <c r="E1105" s="1">
        <v>2308.0</v>
      </c>
      <c r="F1105" s="1" t="s">
        <v>315</v>
      </c>
      <c r="G1105" s="1">
        <v>455939.0</v>
      </c>
      <c r="H1105" s="1" t="s">
        <v>2746</v>
      </c>
      <c r="I1105" s="1" t="s">
        <v>1051</v>
      </c>
      <c r="J1105" s="1"/>
      <c r="K1105" s="1" t="s">
        <v>23</v>
      </c>
      <c r="L1105" s="1" t="s">
        <v>5594</v>
      </c>
      <c r="M1105" s="1">
        <v>0.0</v>
      </c>
      <c r="N1105" s="1">
        <v>1.0</v>
      </c>
      <c r="O1105" s="1" t="s">
        <v>315</v>
      </c>
      <c r="P1105" s="1" t="s">
        <v>488</v>
      </c>
      <c r="Q1105" s="2" t="str">
        <f t="shared" si="1"/>
        <v>H004285</v>
      </c>
    </row>
    <row r="1106">
      <c r="A1106" s="1" t="s">
        <v>5595</v>
      </c>
      <c r="B1106" s="1" t="s">
        <v>5596</v>
      </c>
      <c r="C1106" s="1" t="s">
        <v>5597</v>
      </c>
      <c r="D1106" s="1" t="s">
        <v>5598</v>
      </c>
      <c r="E1106" s="1">
        <v>3802.0</v>
      </c>
      <c r="F1106" s="1" t="s">
        <v>315</v>
      </c>
      <c r="G1106" s="1">
        <v>841329.0</v>
      </c>
      <c r="H1106" s="1" t="s">
        <v>1848</v>
      </c>
      <c r="I1106" s="1" t="s">
        <v>1051</v>
      </c>
      <c r="J1106" s="1"/>
      <c r="K1106" s="1" t="s">
        <v>23</v>
      </c>
      <c r="L1106" s="1" t="s">
        <v>5599</v>
      </c>
      <c r="M1106" s="1">
        <v>0.0</v>
      </c>
      <c r="N1106" s="1">
        <v>1.0</v>
      </c>
      <c r="O1106" s="1" t="s">
        <v>315</v>
      </c>
      <c r="P1106" s="1" t="s">
        <v>488</v>
      </c>
      <c r="Q1106" s="2" t="str">
        <f t="shared" si="1"/>
        <v>H004285</v>
      </c>
    </row>
    <row r="1107">
      <c r="A1107" s="1" t="s">
        <v>5600</v>
      </c>
      <c r="B1107" s="1" t="s">
        <v>5601</v>
      </c>
      <c r="C1107" s="1" t="s">
        <v>5602</v>
      </c>
      <c r="D1107" s="1" t="s">
        <v>5603</v>
      </c>
      <c r="E1107" s="1">
        <v>2590.0</v>
      </c>
      <c r="F1107" s="1" t="s">
        <v>315</v>
      </c>
      <c r="G1107" s="1">
        <v>455939.0</v>
      </c>
      <c r="H1107" s="1" t="s">
        <v>2746</v>
      </c>
      <c r="I1107" s="1" t="s">
        <v>1051</v>
      </c>
      <c r="J1107" s="1"/>
      <c r="K1107" s="1" t="s">
        <v>23</v>
      </c>
      <c r="L1107" s="1" t="s">
        <v>5604</v>
      </c>
      <c r="M1107" s="1">
        <v>0.0</v>
      </c>
      <c r="N1107" s="1">
        <v>1.0</v>
      </c>
      <c r="O1107" s="1" t="s">
        <v>315</v>
      </c>
      <c r="P1107" s="1" t="s">
        <v>488</v>
      </c>
      <c r="Q1107" s="2" t="str">
        <f t="shared" si="1"/>
        <v>H004285</v>
      </c>
    </row>
    <row r="1108">
      <c r="A1108" s="1" t="s">
        <v>5605</v>
      </c>
      <c r="B1108" s="1" t="s">
        <v>5606</v>
      </c>
      <c r="C1108" s="1" t="s">
        <v>5607</v>
      </c>
      <c r="D1108" s="1" t="s">
        <v>5608</v>
      </c>
      <c r="E1108" s="1">
        <v>111.0</v>
      </c>
      <c r="F1108" s="1" t="s">
        <v>315</v>
      </c>
      <c r="G1108" s="1">
        <v>841329.0</v>
      </c>
      <c r="H1108" s="1" t="s">
        <v>1848</v>
      </c>
      <c r="I1108" s="1" t="s">
        <v>1051</v>
      </c>
      <c r="J1108" s="1"/>
      <c r="K1108" s="1" t="s">
        <v>23</v>
      </c>
      <c r="L1108" s="1" t="s">
        <v>5609</v>
      </c>
      <c r="M1108" s="1">
        <v>0.0</v>
      </c>
      <c r="N1108" s="1">
        <v>0.0</v>
      </c>
      <c r="O1108" s="1" t="s">
        <v>315</v>
      </c>
      <c r="P1108" s="1" t="s">
        <v>25</v>
      </c>
      <c r="Q1108" s="2" t="str">
        <f t="shared" si="1"/>
        <v>H004285</v>
      </c>
    </row>
    <row r="1109">
      <c r="A1109" s="1" t="s">
        <v>5610</v>
      </c>
      <c r="B1109" s="1" t="s">
        <v>5611</v>
      </c>
      <c r="C1109" s="1" t="s">
        <v>5612</v>
      </c>
      <c r="D1109" s="1" t="s">
        <v>5613</v>
      </c>
      <c r="E1109" s="1">
        <v>3580.0</v>
      </c>
      <c r="F1109" s="1" t="s">
        <v>315</v>
      </c>
      <c r="G1109" s="1">
        <v>555127.0</v>
      </c>
      <c r="H1109" s="1" t="s">
        <v>3047</v>
      </c>
      <c r="I1109" s="1" t="s">
        <v>1051</v>
      </c>
      <c r="J1109" s="1"/>
      <c r="K1109" s="1" t="s">
        <v>23</v>
      </c>
      <c r="L1109" s="1" t="s">
        <v>5614</v>
      </c>
      <c r="M1109" s="1">
        <v>0.0</v>
      </c>
      <c r="N1109" s="1">
        <v>1.0</v>
      </c>
      <c r="O1109" s="1" t="s">
        <v>315</v>
      </c>
      <c r="P1109" s="1" t="s">
        <v>488</v>
      </c>
      <c r="Q1109" s="2" t="str">
        <f t="shared" si="1"/>
        <v>H004285</v>
      </c>
    </row>
    <row r="1110">
      <c r="A1110" s="1" t="s">
        <v>5615</v>
      </c>
      <c r="B1110" s="1" t="s">
        <v>5616</v>
      </c>
      <c r="C1110" s="1" t="s">
        <v>5617</v>
      </c>
      <c r="D1110" s="1" t="s">
        <v>5618</v>
      </c>
      <c r="E1110" s="1">
        <v>5273.0</v>
      </c>
      <c r="F1110" s="1" t="s">
        <v>315</v>
      </c>
      <c r="G1110" s="1">
        <v>555127.0</v>
      </c>
      <c r="H1110" s="1" t="s">
        <v>3047</v>
      </c>
      <c r="I1110" s="1" t="s">
        <v>1051</v>
      </c>
      <c r="J1110" s="1"/>
      <c r="K1110" s="1" t="s">
        <v>23</v>
      </c>
      <c r="L1110" s="1" t="s">
        <v>5619</v>
      </c>
      <c r="M1110" s="1">
        <v>0.0</v>
      </c>
      <c r="N1110" s="1">
        <v>1.0</v>
      </c>
      <c r="O1110" s="1" t="s">
        <v>315</v>
      </c>
      <c r="P1110" s="1" t="s">
        <v>488</v>
      </c>
      <c r="Q1110" s="2" t="str">
        <f t="shared" si="1"/>
        <v>H004285</v>
      </c>
    </row>
    <row r="1111">
      <c r="A1111" s="1" t="s">
        <v>5620</v>
      </c>
      <c r="B1111" s="1" t="s">
        <v>5621</v>
      </c>
      <c r="C1111" s="1" t="s">
        <v>5622</v>
      </c>
      <c r="D1111" s="1" t="s">
        <v>5623</v>
      </c>
      <c r="E1111" s="1">
        <v>3384.0</v>
      </c>
      <c r="F1111" s="1" t="s">
        <v>315</v>
      </c>
      <c r="G1111" s="1">
        <v>555127.0</v>
      </c>
      <c r="H1111" s="1" t="s">
        <v>3047</v>
      </c>
      <c r="I1111" s="1" t="s">
        <v>1051</v>
      </c>
      <c r="J1111" s="1"/>
      <c r="K1111" s="1" t="s">
        <v>23</v>
      </c>
      <c r="L1111" s="1" t="s">
        <v>5624</v>
      </c>
      <c r="M1111" s="1">
        <v>0.0</v>
      </c>
      <c r="N1111" s="1">
        <v>1.0</v>
      </c>
      <c r="O1111" s="1" t="s">
        <v>315</v>
      </c>
      <c r="P1111" s="1" t="s">
        <v>488</v>
      </c>
      <c r="Q1111" s="2" t="str">
        <f t="shared" si="1"/>
        <v>H004285</v>
      </c>
    </row>
    <row r="1112">
      <c r="A1112" s="1" t="s">
        <v>5625</v>
      </c>
      <c r="B1112" s="1" t="s">
        <v>5626</v>
      </c>
      <c r="C1112" s="1" t="s">
        <v>5627</v>
      </c>
      <c r="D1112" s="1" t="s">
        <v>5628</v>
      </c>
      <c r="E1112" s="1">
        <v>2643.0</v>
      </c>
      <c r="F1112" s="1" t="s">
        <v>498</v>
      </c>
      <c r="G1112" s="1">
        <v>896791.0</v>
      </c>
      <c r="H1112" s="1" t="s">
        <v>2124</v>
      </c>
      <c r="I1112" s="1" t="s">
        <v>1112</v>
      </c>
      <c r="J1112" s="1"/>
      <c r="K1112" s="1" t="s">
        <v>23</v>
      </c>
      <c r="L1112" s="1" t="s">
        <v>5629</v>
      </c>
      <c r="M1112" s="1">
        <v>3.0</v>
      </c>
      <c r="N1112" s="1">
        <v>1.0</v>
      </c>
      <c r="O1112" s="1" t="s">
        <v>498</v>
      </c>
      <c r="P1112" s="1" t="s">
        <v>488</v>
      </c>
      <c r="Q1112" s="2" t="str">
        <f t="shared" si="1"/>
        <v>H030774</v>
      </c>
    </row>
    <row r="1113">
      <c r="A1113" s="1" t="s">
        <v>5630</v>
      </c>
      <c r="B1113" s="1" t="s">
        <v>5631</v>
      </c>
      <c r="C1113" s="1" t="s">
        <v>5632</v>
      </c>
      <c r="D1113" s="1" t="s">
        <v>5633</v>
      </c>
      <c r="E1113" s="1">
        <v>5198.0</v>
      </c>
      <c r="F1113" s="1" t="s">
        <v>498</v>
      </c>
      <c r="G1113" s="1">
        <v>896791.0</v>
      </c>
      <c r="H1113" s="1" t="s">
        <v>2124</v>
      </c>
      <c r="I1113" s="1" t="s">
        <v>1112</v>
      </c>
      <c r="J1113" s="1"/>
      <c r="K1113" s="1" t="s">
        <v>23</v>
      </c>
      <c r="L1113" s="1" t="s">
        <v>5634</v>
      </c>
      <c r="M1113" s="1">
        <v>3.0</v>
      </c>
      <c r="N1113" s="1">
        <v>1.0</v>
      </c>
      <c r="O1113" s="1" t="s">
        <v>498</v>
      </c>
      <c r="P1113" s="1" t="s">
        <v>488</v>
      </c>
      <c r="Q1113" s="2" t="str">
        <f t="shared" si="1"/>
        <v>H030774</v>
      </c>
    </row>
    <row r="1114">
      <c r="A1114" s="1" t="s">
        <v>5635</v>
      </c>
      <c r="B1114" s="1" t="s">
        <v>5636</v>
      </c>
      <c r="C1114" s="1" t="s">
        <v>5637</v>
      </c>
      <c r="D1114" s="1" t="s">
        <v>5638</v>
      </c>
      <c r="E1114" s="1">
        <v>3206.0</v>
      </c>
      <c r="F1114" s="1" t="s">
        <v>498</v>
      </c>
      <c r="G1114" s="1" t="s">
        <v>132</v>
      </c>
      <c r="H1114" s="1" t="s">
        <v>133</v>
      </c>
      <c r="I1114" s="1" t="s">
        <v>1112</v>
      </c>
      <c r="J1114" s="1"/>
      <c r="K1114" s="1" t="s">
        <v>23</v>
      </c>
      <c r="L1114" s="1" t="s">
        <v>5639</v>
      </c>
      <c r="M1114" s="1">
        <v>3.0</v>
      </c>
      <c r="N1114" s="1">
        <v>1.0</v>
      </c>
      <c r="O1114" s="1" t="s">
        <v>498</v>
      </c>
      <c r="P1114" s="1" t="s">
        <v>488</v>
      </c>
      <c r="Q1114" s="2" t="str">
        <f t="shared" si="1"/>
        <v>H030774</v>
      </c>
    </row>
    <row r="1115">
      <c r="A1115" s="1" t="s">
        <v>5640</v>
      </c>
      <c r="B1115" s="1" t="s">
        <v>5641</v>
      </c>
      <c r="C1115" s="1" t="s">
        <v>5642</v>
      </c>
      <c r="D1115" s="1" t="s">
        <v>5643</v>
      </c>
      <c r="E1115" s="1">
        <v>4292.0</v>
      </c>
      <c r="F1115" s="1" t="s">
        <v>498</v>
      </c>
      <c r="G1115" s="1" t="s">
        <v>220</v>
      </c>
      <c r="H1115" s="1" t="s">
        <v>221</v>
      </c>
      <c r="I1115" s="1" t="s">
        <v>1112</v>
      </c>
      <c r="J1115" s="1"/>
      <c r="K1115" s="1" t="s">
        <v>23</v>
      </c>
      <c r="L1115" s="1" t="s">
        <v>5644</v>
      </c>
      <c r="M1115" s="1">
        <v>3.0</v>
      </c>
      <c r="N1115" s="1">
        <v>1.0</v>
      </c>
      <c r="O1115" s="1" t="s">
        <v>498</v>
      </c>
      <c r="P1115" s="1" t="s">
        <v>488</v>
      </c>
      <c r="Q1115" s="2" t="str">
        <f t="shared" si="1"/>
        <v>H030774</v>
      </c>
    </row>
    <row r="1116">
      <c r="A1116" s="1" t="s">
        <v>5645</v>
      </c>
      <c r="B1116" s="1" t="s">
        <v>5646</v>
      </c>
      <c r="C1116" s="1" t="s">
        <v>5647</v>
      </c>
      <c r="D1116" s="1" t="s">
        <v>5648</v>
      </c>
      <c r="E1116" s="1">
        <v>5147.0</v>
      </c>
      <c r="F1116" s="1" t="s">
        <v>498</v>
      </c>
      <c r="G1116" s="1" t="s">
        <v>220</v>
      </c>
      <c r="H1116" s="1" t="s">
        <v>221</v>
      </c>
      <c r="I1116" s="1" t="s">
        <v>1112</v>
      </c>
      <c r="J1116" s="1"/>
      <c r="K1116" s="1" t="s">
        <v>23</v>
      </c>
      <c r="L1116" s="1" t="s">
        <v>5649</v>
      </c>
      <c r="M1116" s="1">
        <v>3.0</v>
      </c>
      <c r="N1116" s="1">
        <v>1.0</v>
      </c>
      <c r="O1116" s="1" t="s">
        <v>498</v>
      </c>
      <c r="P1116" s="1" t="s">
        <v>488</v>
      </c>
      <c r="Q1116" s="2" t="str">
        <f t="shared" si="1"/>
        <v>H030774</v>
      </c>
    </row>
    <row r="1117">
      <c r="A1117" s="1" t="s">
        <v>5650</v>
      </c>
      <c r="B1117" s="1" t="s">
        <v>5651</v>
      </c>
      <c r="C1117" s="1" t="s">
        <v>5652</v>
      </c>
      <c r="D1117" s="1" t="s">
        <v>5653</v>
      </c>
      <c r="E1117" s="1">
        <v>3605.0</v>
      </c>
      <c r="F1117" s="1" t="s">
        <v>498</v>
      </c>
      <c r="G1117" s="1" t="s">
        <v>220</v>
      </c>
      <c r="H1117" s="1" t="s">
        <v>221</v>
      </c>
      <c r="I1117" s="1" t="s">
        <v>1112</v>
      </c>
      <c r="J1117" s="1"/>
      <c r="K1117" s="1" t="s">
        <v>23</v>
      </c>
      <c r="L1117" s="1" t="s">
        <v>5654</v>
      </c>
      <c r="M1117" s="1">
        <v>3.0</v>
      </c>
      <c r="N1117" s="1">
        <v>1.0</v>
      </c>
      <c r="O1117" s="1" t="s">
        <v>498</v>
      </c>
      <c r="P1117" s="1" t="s">
        <v>488</v>
      </c>
      <c r="Q1117" s="2" t="str">
        <f t="shared" si="1"/>
        <v>H030774</v>
      </c>
    </row>
    <row r="1118">
      <c r="A1118" s="1" t="s">
        <v>5655</v>
      </c>
      <c r="B1118" s="1" t="s">
        <v>5656</v>
      </c>
      <c r="C1118" s="1" t="s">
        <v>5657</v>
      </c>
      <c r="D1118" s="1" t="s">
        <v>5658</v>
      </c>
      <c r="E1118" s="1">
        <v>5945.0</v>
      </c>
      <c r="F1118" s="1" t="s">
        <v>498</v>
      </c>
      <c r="G1118" s="1" t="s">
        <v>220</v>
      </c>
      <c r="H1118" s="1" t="s">
        <v>221</v>
      </c>
      <c r="I1118" s="1" t="s">
        <v>1112</v>
      </c>
      <c r="J1118" s="1"/>
      <c r="K1118" s="1" t="s">
        <v>23</v>
      </c>
      <c r="L1118" s="1" t="s">
        <v>5659</v>
      </c>
      <c r="M1118" s="1">
        <v>3.0</v>
      </c>
      <c r="N1118" s="1">
        <v>1.0</v>
      </c>
      <c r="O1118" s="1" t="s">
        <v>498</v>
      </c>
      <c r="P1118" s="1" t="s">
        <v>488</v>
      </c>
      <c r="Q1118" s="2" t="str">
        <f t="shared" si="1"/>
        <v>H030774</v>
      </c>
    </row>
    <row r="1119">
      <c r="A1119" s="1" t="s">
        <v>5660</v>
      </c>
      <c r="B1119" s="1" t="s">
        <v>5661</v>
      </c>
      <c r="C1119" s="1" t="s">
        <v>5662</v>
      </c>
      <c r="D1119" s="1" t="s">
        <v>5663</v>
      </c>
      <c r="E1119" s="1">
        <v>4799.0</v>
      </c>
      <c r="F1119" s="1" t="s">
        <v>351</v>
      </c>
      <c r="G1119" s="1" t="s">
        <v>208</v>
      </c>
      <c r="H1119" s="1" t="s">
        <v>209</v>
      </c>
      <c r="I1119" s="1" t="s">
        <v>486</v>
      </c>
      <c r="J1119" s="1"/>
      <c r="K1119" s="1" t="s">
        <v>23</v>
      </c>
      <c r="L1119" s="1" t="s">
        <v>5664</v>
      </c>
      <c r="M1119" s="1">
        <v>0.0</v>
      </c>
      <c r="N1119" s="1">
        <v>1.0</v>
      </c>
      <c r="O1119" s="1" t="s">
        <v>351</v>
      </c>
      <c r="P1119" s="1" t="s">
        <v>488</v>
      </c>
      <c r="Q1119" s="2" t="str">
        <f t="shared" si="1"/>
        <v>H006626</v>
      </c>
    </row>
    <row r="1120">
      <c r="A1120" s="1" t="s">
        <v>5665</v>
      </c>
      <c r="B1120" s="1" t="s">
        <v>5666</v>
      </c>
      <c r="C1120" s="1" t="s">
        <v>5667</v>
      </c>
      <c r="D1120" s="1" t="s">
        <v>5668</v>
      </c>
      <c r="E1120" s="1">
        <v>3619.0</v>
      </c>
      <c r="F1120" s="1" t="s">
        <v>351</v>
      </c>
      <c r="G1120" s="1" t="s">
        <v>260</v>
      </c>
      <c r="H1120" s="1" t="s">
        <v>261</v>
      </c>
      <c r="I1120" s="1" t="s">
        <v>486</v>
      </c>
      <c r="J1120" s="1"/>
      <c r="K1120" s="1" t="s">
        <v>23</v>
      </c>
      <c r="L1120" s="1" t="s">
        <v>5669</v>
      </c>
      <c r="M1120" s="1">
        <v>0.0</v>
      </c>
      <c r="N1120" s="1">
        <v>1.0</v>
      </c>
      <c r="O1120" s="1" t="s">
        <v>351</v>
      </c>
      <c r="P1120" s="1" t="s">
        <v>488</v>
      </c>
      <c r="Q1120" s="2" t="str">
        <f t="shared" si="1"/>
        <v>H006626</v>
      </c>
    </row>
    <row r="1121">
      <c r="A1121" s="1" t="s">
        <v>5670</v>
      </c>
      <c r="B1121" s="1" t="s">
        <v>5671</v>
      </c>
      <c r="C1121" s="1" t="s">
        <v>5672</v>
      </c>
      <c r="D1121" s="1" t="s">
        <v>5673</v>
      </c>
      <c r="E1121" s="1">
        <v>4384.0</v>
      </c>
      <c r="F1121" s="1" t="s">
        <v>351</v>
      </c>
      <c r="G1121" s="1" t="s">
        <v>208</v>
      </c>
      <c r="H1121" s="1" t="s">
        <v>209</v>
      </c>
      <c r="I1121" s="1" t="s">
        <v>486</v>
      </c>
      <c r="J1121" s="1"/>
      <c r="K1121" s="1" t="s">
        <v>23</v>
      </c>
      <c r="L1121" s="1" t="s">
        <v>5674</v>
      </c>
      <c r="M1121" s="1">
        <v>0.0</v>
      </c>
      <c r="N1121" s="1">
        <v>1.0</v>
      </c>
      <c r="O1121" s="1" t="s">
        <v>351</v>
      </c>
      <c r="P1121" s="1" t="s">
        <v>488</v>
      </c>
      <c r="Q1121" s="2" t="str">
        <f t="shared" si="1"/>
        <v>H006626</v>
      </c>
    </row>
    <row r="1122">
      <c r="A1122" s="1" t="s">
        <v>5675</v>
      </c>
      <c r="B1122" s="1" t="s">
        <v>5676</v>
      </c>
      <c r="C1122" s="1" t="s">
        <v>5677</v>
      </c>
      <c r="D1122" s="1" t="s">
        <v>5678</v>
      </c>
      <c r="E1122" s="1">
        <v>2930.0</v>
      </c>
      <c r="F1122" s="1" t="s">
        <v>351</v>
      </c>
      <c r="G1122" s="1" t="s">
        <v>208</v>
      </c>
      <c r="H1122" s="1" t="s">
        <v>209</v>
      </c>
      <c r="I1122" s="1" t="s">
        <v>486</v>
      </c>
      <c r="J1122" s="1"/>
      <c r="K1122" s="1" t="s">
        <v>23</v>
      </c>
      <c r="L1122" s="1" t="s">
        <v>5679</v>
      </c>
      <c r="M1122" s="1">
        <v>0.0</v>
      </c>
      <c r="N1122" s="1">
        <v>1.0</v>
      </c>
      <c r="O1122" s="1" t="s">
        <v>351</v>
      </c>
      <c r="P1122" s="1" t="s">
        <v>488</v>
      </c>
      <c r="Q1122" s="2" t="str">
        <f t="shared" si="1"/>
        <v>H006626</v>
      </c>
    </row>
    <row r="1123">
      <c r="A1123" s="1" t="s">
        <v>5680</v>
      </c>
      <c r="B1123" s="1" t="s">
        <v>5681</v>
      </c>
      <c r="C1123" s="1" t="s">
        <v>5682</v>
      </c>
      <c r="D1123" s="1" t="s">
        <v>5683</v>
      </c>
      <c r="E1123" s="1">
        <v>4333.0</v>
      </c>
      <c r="F1123" s="1" t="s">
        <v>351</v>
      </c>
      <c r="G1123" s="1" t="s">
        <v>208</v>
      </c>
      <c r="H1123" s="1" t="s">
        <v>209</v>
      </c>
      <c r="I1123" s="1" t="s">
        <v>486</v>
      </c>
      <c r="J1123" s="1"/>
      <c r="K1123" s="1" t="s">
        <v>23</v>
      </c>
      <c r="L1123" s="1" t="s">
        <v>5684</v>
      </c>
      <c r="M1123" s="1">
        <v>0.0</v>
      </c>
      <c r="N1123" s="1">
        <v>1.0</v>
      </c>
      <c r="O1123" s="1" t="s">
        <v>351</v>
      </c>
      <c r="P1123" s="1" t="s">
        <v>488</v>
      </c>
      <c r="Q1123" s="2" t="str">
        <f t="shared" si="1"/>
        <v>H006626</v>
      </c>
    </row>
    <row r="1124">
      <c r="A1124" s="1" t="s">
        <v>5685</v>
      </c>
      <c r="B1124" s="1" t="s">
        <v>5686</v>
      </c>
      <c r="C1124" s="1" t="s">
        <v>5687</v>
      </c>
      <c r="D1124" s="1" t="s">
        <v>5688</v>
      </c>
      <c r="E1124" s="1">
        <v>4683.0</v>
      </c>
      <c r="F1124" s="1" t="s">
        <v>398</v>
      </c>
      <c r="G1124" s="1" t="s">
        <v>179</v>
      </c>
      <c r="H1124" s="1" t="s">
        <v>180</v>
      </c>
      <c r="I1124" s="1" t="s">
        <v>1112</v>
      </c>
      <c r="J1124" s="1"/>
      <c r="K1124" s="1" t="s">
        <v>23</v>
      </c>
      <c r="L1124" s="1" t="s">
        <v>5689</v>
      </c>
      <c r="M1124" s="1">
        <v>0.0</v>
      </c>
      <c r="N1124" s="1">
        <v>1.0</v>
      </c>
      <c r="O1124" s="1" t="s">
        <v>398</v>
      </c>
      <c r="P1124" s="1" t="s">
        <v>488</v>
      </c>
      <c r="Q1124" s="2" t="str">
        <f t="shared" si="1"/>
        <v>H030640</v>
      </c>
    </row>
    <row r="1125">
      <c r="A1125" s="1" t="s">
        <v>5690</v>
      </c>
      <c r="B1125" s="1" t="s">
        <v>5691</v>
      </c>
      <c r="C1125" s="1" t="s">
        <v>5692</v>
      </c>
      <c r="D1125" s="1" t="s">
        <v>5693</v>
      </c>
      <c r="E1125" s="1">
        <v>3736.0</v>
      </c>
      <c r="F1125" s="1" t="s">
        <v>398</v>
      </c>
      <c r="G1125" s="1" t="s">
        <v>179</v>
      </c>
      <c r="H1125" s="1" t="s">
        <v>180</v>
      </c>
      <c r="I1125" s="1" t="s">
        <v>1112</v>
      </c>
      <c r="J1125" s="1"/>
      <c r="K1125" s="1" t="s">
        <v>23</v>
      </c>
      <c r="L1125" s="1" t="s">
        <v>5694</v>
      </c>
      <c r="M1125" s="1">
        <v>0.0</v>
      </c>
      <c r="N1125" s="1">
        <v>1.0</v>
      </c>
      <c r="O1125" s="1" t="s">
        <v>398</v>
      </c>
      <c r="P1125" s="1" t="s">
        <v>488</v>
      </c>
      <c r="Q1125" s="2" t="str">
        <f t="shared" si="1"/>
        <v>H030640</v>
      </c>
    </row>
    <row r="1126">
      <c r="A1126" s="1" t="s">
        <v>5695</v>
      </c>
      <c r="B1126" s="1" t="s">
        <v>5696</v>
      </c>
      <c r="C1126" s="1" t="s">
        <v>5697</v>
      </c>
      <c r="D1126" s="1" t="s">
        <v>5698</v>
      </c>
      <c r="E1126" s="1">
        <v>6691.0</v>
      </c>
      <c r="F1126" s="1" t="s">
        <v>398</v>
      </c>
      <c r="G1126" s="1" t="s">
        <v>179</v>
      </c>
      <c r="H1126" s="1" t="s">
        <v>180</v>
      </c>
      <c r="I1126" s="1" t="s">
        <v>1112</v>
      </c>
      <c r="J1126" s="1"/>
      <c r="K1126" s="1" t="s">
        <v>23</v>
      </c>
      <c r="L1126" s="1" t="s">
        <v>5699</v>
      </c>
      <c r="M1126" s="1">
        <v>0.0</v>
      </c>
      <c r="N1126" s="1">
        <v>1.0</v>
      </c>
      <c r="O1126" s="1" t="s">
        <v>398</v>
      </c>
      <c r="P1126" s="1" t="s">
        <v>488</v>
      </c>
      <c r="Q1126" s="2" t="str">
        <f t="shared" si="1"/>
        <v>H030640</v>
      </c>
    </row>
    <row r="1127">
      <c r="A1127" s="1" t="s">
        <v>5700</v>
      </c>
      <c r="B1127" s="1" t="s">
        <v>5701</v>
      </c>
      <c r="C1127" s="1" t="s">
        <v>5702</v>
      </c>
      <c r="D1127" s="1" t="s">
        <v>5703</v>
      </c>
      <c r="E1127" s="1">
        <v>4334.0</v>
      </c>
      <c r="F1127" s="1" t="s">
        <v>498</v>
      </c>
      <c r="G1127" s="1" t="s">
        <v>132</v>
      </c>
      <c r="H1127" s="1" t="s">
        <v>133</v>
      </c>
      <c r="I1127" s="1" t="s">
        <v>1112</v>
      </c>
      <c r="J1127" s="1"/>
      <c r="K1127" s="1" t="s">
        <v>23</v>
      </c>
      <c r="L1127" s="1" t="s">
        <v>5704</v>
      </c>
      <c r="M1127" s="1">
        <v>3.0</v>
      </c>
      <c r="N1127" s="1">
        <v>1.0</v>
      </c>
      <c r="O1127" s="1" t="s">
        <v>498</v>
      </c>
      <c r="P1127" s="1" t="s">
        <v>488</v>
      </c>
      <c r="Q1127" s="2" t="str">
        <f t="shared" si="1"/>
        <v>H030774</v>
      </c>
    </row>
    <row r="1128">
      <c r="A1128" s="1" t="s">
        <v>5705</v>
      </c>
      <c r="B1128" s="1" t="s">
        <v>5706</v>
      </c>
      <c r="C1128" s="1" t="s">
        <v>5707</v>
      </c>
      <c r="D1128" s="1" t="s">
        <v>5708</v>
      </c>
      <c r="E1128" s="1">
        <v>3673.0</v>
      </c>
      <c r="F1128" s="1" t="s">
        <v>498</v>
      </c>
      <c r="G1128" s="1" t="s">
        <v>132</v>
      </c>
      <c r="H1128" s="1" t="s">
        <v>133</v>
      </c>
      <c r="I1128" s="1" t="s">
        <v>1112</v>
      </c>
      <c r="J1128" s="1"/>
      <c r="K1128" s="1" t="s">
        <v>23</v>
      </c>
      <c r="L1128" s="1" t="s">
        <v>5709</v>
      </c>
      <c r="M1128" s="1">
        <v>3.0</v>
      </c>
      <c r="N1128" s="1">
        <v>1.0</v>
      </c>
      <c r="O1128" s="1" t="s">
        <v>498</v>
      </c>
      <c r="P1128" s="1" t="s">
        <v>488</v>
      </c>
      <c r="Q1128" s="2" t="str">
        <f t="shared" si="1"/>
        <v>H030774</v>
      </c>
    </row>
    <row r="1129">
      <c r="A1129" s="1" t="s">
        <v>5710</v>
      </c>
      <c r="B1129" s="1" t="s">
        <v>5711</v>
      </c>
      <c r="C1129" s="1" t="s">
        <v>5712</v>
      </c>
      <c r="D1129" s="1" t="s">
        <v>5713</v>
      </c>
      <c r="E1129" s="1">
        <v>52.0</v>
      </c>
      <c r="F1129" s="1" t="s">
        <v>498</v>
      </c>
      <c r="G1129" s="1" t="s">
        <v>132</v>
      </c>
      <c r="H1129" s="1" t="s">
        <v>133</v>
      </c>
      <c r="I1129" s="1" t="s">
        <v>1112</v>
      </c>
      <c r="J1129" s="1"/>
      <c r="K1129" s="1" t="s">
        <v>23</v>
      </c>
      <c r="L1129" s="1" t="s">
        <v>5714</v>
      </c>
      <c r="M1129" s="1">
        <v>3.0</v>
      </c>
      <c r="N1129" s="1">
        <v>1.0</v>
      </c>
      <c r="O1129" s="1" t="s">
        <v>498</v>
      </c>
      <c r="P1129" s="1" t="s">
        <v>488</v>
      </c>
      <c r="Q1129" s="2" t="str">
        <f t="shared" si="1"/>
        <v>H030774</v>
      </c>
    </row>
    <row r="1130">
      <c r="A1130" s="1" t="s">
        <v>5715</v>
      </c>
      <c r="B1130" s="1" t="s">
        <v>5716</v>
      </c>
      <c r="C1130" s="1" t="s">
        <v>5717</v>
      </c>
      <c r="D1130" s="1" t="s">
        <v>5718</v>
      </c>
      <c r="E1130" s="1">
        <v>3407.0</v>
      </c>
      <c r="F1130" s="1" t="s">
        <v>498</v>
      </c>
      <c r="G1130" s="1" t="s">
        <v>220</v>
      </c>
      <c r="H1130" s="1" t="s">
        <v>221</v>
      </c>
      <c r="I1130" s="1" t="s">
        <v>1112</v>
      </c>
      <c r="J1130" s="1"/>
      <c r="K1130" s="1" t="s">
        <v>23</v>
      </c>
      <c r="L1130" s="1" t="s">
        <v>5719</v>
      </c>
      <c r="M1130" s="1">
        <v>3.0</v>
      </c>
      <c r="N1130" s="1">
        <v>1.0</v>
      </c>
      <c r="O1130" s="1" t="s">
        <v>498</v>
      </c>
      <c r="P1130" s="1" t="s">
        <v>488</v>
      </c>
      <c r="Q1130" s="2" t="str">
        <f t="shared" si="1"/>
        <v>H030774</v>
      </c>
    </row>
    <row r="1131">
      <c r="A1131" s="1" t="s">
        <v>5720</v>
      </c>
      <c r="B1131" s="1" t="s">
        <v>5721</v>
      </c>
      <c r="C1131" s="1" t="s">
        <v>5722</v>
      </c>
      <c r="D1131" s="1" t="s">
        <v>5723</v>
      </c>
      <c r="E1131" s="1">
        <v>3741.0</v>
      </c>
      <c r="F1131" s="1" t="s">
        <v>498</v>
      </c>
      <c r="G1131" s="1" t="s">
        <v>167</v>
      </c>
      <c r="H1131" s="1" t="s">
        <v>168</v>
      </c>
      <c r="I1131" s="1" t="s">
        <v>1112</v>
      </c>
      <c r="J1131" s="1"/>
      <c r="K1131" s="1" t="s">
        <v>23</v>
      </c>
      <c r="L1131" s="1" t="s">
        <v>5724</v>
      </c>
      <c r="M1131" s="1">
        <v>3.0</v>
      </c>
      <c r="N1131" s="1">
        <v>1.0</v>
      </c>
      <c r="O1131" s="1" t="s">
        <v>498</v>
      </c>
      <c r="P1131" s="1" t="s">
        <v>488</v>
      </c>
      <c r="Q1131" s="2" t="str">
        <f t="shared" si="1"/>
        <v>H030774</v>
      </c>
    </row>
    <row r="1132">
      <c r="A1132" s="1" t="s">
        <v>5725</v>
      </c>
      <c r="B1132" s="1" t="s">
        <v>5726</v>
      </c>
      <c r="C1132" s="1" t="s">
        <v>5727</v>
      </c>
      <c r="D1132" s="1" t="s">
        <v>5728</v>
      </c>
      <c r="E1132" s="1">
        <v>4259.0</v>
      </c>
      <c r="F1132" s="1" t="s">
        <v>498</v>
      </c>
      <c r="G1132" s="1" t="s">
        <v>167</v>
      </c>
      <c r="H1132" s="1" t="s">
        <v>168</v>
      </c>
      <c r="I1132" s="1" t="s">
        <v>1112</v>
      </c>
      <c r="J1132" s="1"/>
      <c r="K1132" s="1" t="s">
        <v>23</v>
      </c>
      <c r="L1132" s="1" t="s">
        <v>5729</v>
      </c>
      <c r="M1132" s="1">
        <v>3.0</v>
      </c>
      <c r="N1132" s="1">
        <v>1.0</v>
      </c>
      <c r="O1132" s="1" t="s">
        <v>498</v>
      </c>
      <c r="P1132" s="1" t="s">
        <v>488</v>
      </c>
      <c r="Q1132" s="2" t="str">
        <f t="shared" si="1"/>
        <v>H030774</v>
      </c>
    </row>
    <row r="1133">
      <c r="A1133" s="1" t="s">
        <v>5730</v>
      </c>
      <c r="B1133" s="1" t="s">
        <v>5731</v>
      </c>
      <c r="C1133" s="1" t="s">
        <v>5732</v>
      </c>
      <c r="D1133" s="1" t="s">
        <v>5733</v>
      </c>
      <c r="E1133" s="1">
        <v>3045.0</v>
      </c>
      <c r="F1133" s="1" t="s">
        <v>498</v>
      </c>
      <c r="G1133" s="1" t="s">
        <v>167</v>
      </c>
      <c r="H1133" s="1" t="s">
        <v>168</v>
      </c>
      <c r="I1133" s="1" t="s">
        <v>1112</v>
      </c>
      <c r="J1133" s="1"/>
      <c r="K1133" s="1" t="s">
        <v>23</v>
      </c>
      <c r="L1133" s="1" t="s">
        <v>5734</v>
      </c>
      <c r="M1133" s="1">
        <v>3.0</v>
      </c>
      <c r="N1133" s="1">
        <v>1.0</v>
      </c>
      <c r="O1133" s="1" t="s">
        <v>498</v>
      </c>
      <c r="P1133" s="1" t="s">
        <v>488</v>
      </c>
      <c r="Q1133" s="2" t="str">
        <f t="shared" si="1"/>
        <v>H030774</v>
      </c>
    </row>
    <row r="1134">
      <c r="A1134" s="1" t="s">
        <v>5735</v>
      </c>
      <c r="B1134" s="1" t="s">
        <v>5736</v>
      </c>
      <c r="C1134" s="1" t="s">
        <v>5737</v>
      </c>
      <c r="D1134" s="1" t="s">
        <v>5738</v>
      </c>
      <c r="E1134" s="1">
        <v>3146.0</v>
      </c>
      <c r="F1134" s="1" t="s">
        <v>498</v>
      </c>
      <c r="G1134" s="1">
        <v>896791.0</v>
      </c>
      <c r="H1134" s="1" t="s">
        <v>2124</v>
      </c>
      <c r="I1134" s="1" t="s">
        <v>1112</v>
      </c>
      <c r="J1134" s="1"/>
      <c r="K1134" s="1" t="s">
        <v>23</v>
      </c>
      <c r="L1134" s="1" t="s">
        <v>5739</v>
      </c>
      <c r="M1134" s="1">
        <v>3.0</v>
      </c>
      <c r="N1134" s="1">
        <v>1.0</v>
      </c>
      <c r="O1134" s="1" t="s">
        <v>498</v>
      </c>
      <c r="P1134" s="1" t="s">
        <v>488</v>
      </c>
      <c r="Q1134" s="2" t="str">
        <f t="shared" si="1"/>
        <v>H030774</v>
      </c>
    </row>
    <row r="1135">
      <c r="A1135" s="1" t="s">
        <v>5740</v>
      </c>
      <c r="B1135" s="1" t="s">
        <v>5741</v>
      </c>
      <c r="C1135" s="1" t="s">
        <v>5742</v>
      </c>
      <c r="D1135" s="1" t="s">
        <v>5743</v>
      </c>
      <c r="E1135" s="1">
        <v>3070.0</v>
      </c>
      <c r="F1135" s="1" t="s">
        <v>398</v>
      </c>
      <c r="G1135" s="1" t="s">
        <v>232</v>
      </c>
      <c r="H1135" s="1" t="s">
        <v>233</v>
      </c>
      <c r="I1135" s="1" t="s">
        <v>1112</v>
      </c>
      <c r="J1135" s="1"/>
      <c r="K1135" s="1" t="s">
        <v>23</v>
      </c>
      <c r="L1135" s="1" t="s">
        <v>5744</v>
      </c>
      <c r="M1135" s="1">
        <v>0.0</v>
      </c>
      <c r="N1135" s="1">
        <v>1.0</v>
      </c>
      <c r="O1135" s="1" t="s">
        <v>398</v>
      </c>
      <c r="P1135" s="1" t="s">
        <v>488</v>
      </c>
      <c r="Q1135" s="2" t="str">
        <f t="shared" si="1"/>
        <v>H030640</v>
      </c>
    </row>
    <row r="1136">
      <c r="A1136" s="1" t="s">
        <v>5745</v>
      </c>
      <c r="B1136" s="1" t="s">
        <v>5746</v>
      </c>
      <c r="C1136" s="1" t="s">
        <v>5747</v>
      </c>
      <c r="D1136" s="1" t="s">
        <v>5748</v>
      </c>
      <c r="E1136" s="1">
        <v>3357.0</v>
      </c>
      <c r="F1136" s="1" t="s">
        <v>398</v>
      </c>
      <c r="G1136" s="1" t="s">
        <v>232</v>
      </c>
      <c r="H1136" s="1" t="s">
        <v>233</v>
      </c>
      <c r="I1136" s="1" t="s">
        <v>1112</v>
      </c>
      <c r="J1136" s="1"/>
      <c r="K1136" s="1" t="s">
        <v>23</v>
      </c>
      <c r="L1136" s="1" t="s">
        <v>5749</v>
      </c>
      <c r="M1136" s="1">
        <v>0.0</v>
      </c>
      <c r="N1136" s="1">
        <v>1.0</v>
      </c>
      <c r="O1136" s="1" t="s">
        <v>398</v>
      </c>
      <c r="P1136" s="1" t="s">
        <v>488</v>
      </c>
      <c r="Q1136" s="2" t="str">
        <f t="shared" si="1"/>
        <v>H030640</v>
      </c>
    </row>
    <row r="1137">
      <c r="A1137" s="1" t="s">
        <v>5750</v>
      </c>
      <c r="B1137" s="1" t="s">
        <v>5751</v>
      </c>
      <c r="C1137" s="1" t="s">
        <v>5752</v>
      </c>
      <c r="D1137" s="1" t="s">
        <v>5753</v>
      </c>
      <c r="E1137" s="1">
        <v>3459.0</v>
      </c>
      <c r="F1137" s="1" t="s">
        <v>398</v>
      </c>
      <c r="G1137" s="1" t="s">
        <v>232</v>
      </c>
      <c r="H1137" s="1" t="s">
        <v>233</v>
      </c>
      <c r="I1137" s="1" t="s">
        <v>1112</v>
      </c>
      <c r="J1137" s="1"/>
      <c r="K1137" s="1" t="s">
        <v>23</v>
      </c>
      <c r="L1137" s="1" t="s">
        <v>5754</v>
      </c>
      <c r="M1137" s="1">
        <v>0.0</v>
      </c>
      <c r="N1137" s="1">
        <v>1.0</v>
      </c>
      <c r="O1137" s="1" t="s">
        <v>398</v>
      </c>
      <c r="P1137" s="1" t="s">
        <v>488</v>
      </c>
      <c r="Q1137" s="2" t="str">
        <f t="shared" si="1"/>
        <v>H030640</v>
      </c>
    </row>
    <row r="1138">
      <c r="A1138" s="1" t="s">
        <v>5755</v>
      </c>
      <c r="B1138" s="1" t="s">
        <v>5756</v>
      </c>
      <c r="C1138" s="1" t="s">
        <v>5757</v>
      </c>
      <c r="D1138" s="1" t="s">
        <v>5758</v>
      </c>
      <c r="E1138" s="1">
        <v>3838.0</v>
      </c>
      <c r="F1138" s="1" t="s">
        <v>398</v>
      </c>
      <c r="G1138" s="1" t="s">
        <v>155</v>
      </c>
      <c r="H1138" s="1" t="s">
        <v>156</v>
      </c>
      <c r="I1138" s="1" t="s">
        <v>1112</v>
      </c>
      <c r="J1138" s="1"/>
      <c r="K1138" s="1" t="s">
        <v>23</v>
      </c>
      <c r="L1138" s="1" t="s">
        <v>5759</v>
      </c>
      <c r="M1138" s="1">
        <v>0.0</v>
      </c>
      <c r="N1138" s="1">
        <v>1.0</v>
      </c>
      <c r="O1138" s="1" t="s">
        <v>398</v>
      </c>
      <c r="P1138" s="1" t="s">
        <v>488</v>
      </c>
      <c r="Q1138" s="2" t="str">
        <f t="shared" si="1"/>
        <v>H030640</v>
      </c>
    </row>
    <row r="1139">
      <c r="A1139" s="1" t="s">
        <v>5760</v>
      </c>
      <c r="B1139" s="1" t="s">
        <v>5761</v>
      </c>
      <c r="C1139" s="1" t="s">
        <v>5762</v>
      </c>
      <c r="D1139" s="1" t="s">
        <v>5763</v>
      </c>
      <c r="E1139" s="1">
        <v>3920.0</v>
      </c>
      <c r="F1139" s="1" t="s">
        <v>398</v>
      </c>
      <c r="G1139" s="1" t="s">
        <v>155</v>
      </c>
      <c r="H1139" s="1" t="s">
        <v>156</v>
      </c>
      <c r="I1139" s="1" t="s">
        <v>1112</v>
      </c>
      <c r="J1139" s="1"/>
      <c r="K1139" s="1" t="s">
        <v>23</v>
      </c>
      <c r="L1139" s="1" t="s">
        <v>5764</v>
      </c>
      <c r="M1139" s="1">
        <v>0.0</v>
      </c>
      <c r="N1139" s="1">
        <v>1.0</v>
      </c>
      <c r="O1139" s="1" t="s">
        <v>398</v>
      </c>
      <c r="P1139" s="1" t="s">
        <v>488</v>
      </c>
      <c r="Q1139" s="2" t="str">
        <f t="shared" si="1"/>
        <v>H030640</v>
      </c>
    </row>
    <row r="1140">
      <c r="A1140" s="1" t="s">
        <v>5765</v>
      </c>
      <c r="B1140" s="1" t="s">
        <v>5766</v>
      </c>
      <c r="C1140" s="1" t="s">
        <v>5767</v>
      </c>
      <c r="D1140" s="1" t="s">
        <v>5768</v>
      </c>
      <c r="E1140" s="1">
        <v>3340.0</v>
      </c>
      <c r="F1140" s="1" t="s">
        <v>398</v>
      </c>
      <c r="G1140" s="1" t="s">
        <v>155</v>
      </c>
      <c r="H1140" s="1" t="s">
        <v>156</v>
      </c>
      <c r="I1140" s="1" t="s">
        <v>1112</v>
      </c>
      <c r="J1140" s="1"/>
      <c r="K1140" s="1" t="s">
        <v>23</v>
      </c>
      <c r="L1140" s="1" t="s">
        <v>5769</v>
      </c>
      <c r="M1140" s="1">
        <v>0.0</v>
      </c>
      <c r="N1140" s="1">
        <v>1.0</v>
      </c>
      <c r="O1140" s="1" t="s">
        <v>398</v>
      </c>
      <c r="P1140" s="1" t="s">
        <v>488</v>
      </c>
      <c r="Q1140" s="2" t="str">
        <f t="shared" si="1"/>
        <v>H030640</v>
      </c>
    </row>
    <row r="1141">
      <c r="A1141" s="1" t="s">
        <v>5770</v>
      </c>
      <c r="B1141" s="1" t="s">
        <v>5771</v>
      </c>
      <c r="C1141" s="1" t="s">
        <v>5772</v>
      </c>
      <c r="D1141" s="1" t="s">
        <v>5773</v>
      </c>
      <c r="E1141" s="1">
        <v>2997.0</v>
      </c>
      <c r="F1141" s="1" t="s">
        <v>398</v>
      </c>
      <c r="G1141" s="1" t="s">
        <v>155</v>
      </c>
      <c r="H1141" s="1" t="s">
        <v>156</v>
      </c>
      <c r="I1141" s="1" t="s">
        <v>1112</v>
      </c>
      <c r="J1141" s="1"/>
      <c r="K1141" s="1" t="s">
        <v>23</v>
      </c>
      <c r="L1141" s="1" t="s">
        <v>5774</v>
      </c>
      <c r="M1141" s="1">
        <v>0.0</v>
      </c>
      <c r="N1141" s="1">
        <v>1.0</v>
      </c>
      <c r="O1141" s="1" t="s">
        <v>398</v>
      </c>
      <c r="P1141" s="1" t="s">
        <v>488</v>
      </c>
      <c r="Q1141" s="2" t="str">
        <f t="shared" si="1"/>
        <v>H030640</v>
      </c>
    </row>
    <row r="1142">
      <c r="A1142" s="1" t="s">
        <v>5775</v>
      </c>
      <c r="B1142" s="1" t="s">
        <v>5776</v>
      </c>
      <c r="C1142" s="1" t="s">
        <v>5777</v>
      </c>
      <c r="D1142" s="1" t="s">
        <v>5778</v>
      </c>
      <c r="E1142" s="1">
        <v>2389.0</v>
      </c>
      <c r="F1142" s="1" t="s">
        <v>398</v>
      </c>
      <c r="G1142" s="1" t="s">
        <v>155</v>
      </c>
      <c r="H1142" s="1" t="s">
        <v>156</v>
      </c>
      <c r="I1142" s="1" t="s">
        <v>1112</v>
      </c>
      <c r="J1142" s="1"/>
      <c r="K1142" s="1" t="s">
        <v>23</v>
      </c>
      <c r="L1142" s="1" t="s">
        <v>5779</v>
      </c>
      <c r="M1142" s="1">
        <v>0.0</v>
      </c>
      <c r="N1142" s="1">
        <v>1.0</v>
      </c>
      <c r="O1142" s="1" t="s">
        <v>398</v>
      </c>
      <c r="P1142" s="1" t="s">
        <v>488</v>
      </c>
      <c r="Q1142" s="2" t="str">
        <f t="shared" si="1"/>
        <v>H030640</v>
      </c>
    </row>
    <row r="1143">
      <c r="A1143" s="1" t="s">
        <v>5780</v>
      </c>
      <c r="B1143" s="1" t="s">
        <v>5781</v>
      </c>
      <c r="C1143" s="1" t="s">
        <v>5782</v>
      </c>
      <c r="D1143" s="1" t="s">
        <v>5783</v>
      </c>
      <c r="E1143" s="1">
        <v>3317.0</v>
      </c>
      <c r="F1143" s="1" t="s">
        <v>288</v>
      </c>
      <c r="G1143" s="1" t="s">
        <v>304</v>
      </c>
      <c r="H1143" s="1" t="s">
        <v>272</v>
      </c>
      <c r="I1143" s="1" t="s">
        <v>1051</v>
      </c>
      <c r="J1143" s="1"/>
      <c r="K1143" s="1" t="s">
        <v>23</v>
      </c>
      <c r="L1143" s="1" t="s">
        <v>5784</v>
      </c>
      <c r="M1143" s="1">
        <v>0.0</v>
      </c>
      <c r="N1143" s="1">
        <v>1.0</v>
      </c>
      <c r="O1143" s="1" t="s">
        <v>288</v>
      </c>
      <c r="P1143" s="1" t="s">
        <v>488</v>
      </c>
      <c r="Q1143" s="2" t="str">
        <f t="shared" si="1"/>
        <v>H004854</v>
      </c>
    </row>
    <row r="1144">
      <c r="A1144" s="1" t="s">
        <v>5785</v>
      </c>
      <c r="B1144" s="1" t="s">
        <v>5786</v>
      </c>
      <c r="C1144" s="1" t="s">
        <v>5787</v>
      </c>
      <c r="D1144" s="1" t="s">
        <v>5788</v>
      </c>
      <c r="E1144" s="1">
        <v>1724.0</v>
      </c>
      <c r="F1144" s="1" t="s">
        <v>288</v>
      </c>
      <c r="G1144" s="1" t="s">
        <v>304</v>
      </c>
      <c r="H1144" s="1" t="s">
        <v>272</v>
      </c>
      <c r="I1144" s="1" t="s">
        <v>1051</v>
      </c>
      <c r="J1144" s="1"/>
      <c r="K1144" s="1" t="s">
        <v>23</v>
      </c>
      <c r="L1144" s="1" t="s">
        <v>5789</v>
      </c>
      <c r="M1144" s="1">
        <v>0.0</v>
      </c>
      <c r="N1144" s="1">
        <v>1.0</v>
      </c>
      <c r="O1144" s="1" t="s">
        <v>288</v>
      </c>
      <c r="P1144" s="1" t="s">
        <v>488</v>
      </c>
      <c r="Q1144" s="2" t="str">
        <f t="shared" si="1"/>
        <v>H004854</v>
      </c>
    </row>
    <row r="1145">
      <c r="A1145" s="1" t="s">
        <v>5790</v>
      </c>
      <c r="B1145" s="1" t="s">
        <v>5791</v>
      </c>
      <c r="C1145" s="1" t="s">
        <v>5792</v>
      </c>
      <c r="D1145" s="1" t="s">
        <v>5793</v>
      </c>
      <c r="E1145" s="1">
        <v>2376.0</v>
      </c>
      <c r="F1145" s="1" t="s">
        <v>288</v>
      </c>
      <c r="G1145" s="1" t="s">
        <v>304</v>
      </c>
      <c r="H1145" s="1" t="s">
        <v>272</v>
      </c>
      <c r="I1145" s="1" t="s">
        <v>1051</v>
      </c>
      <c r="J1145" s="1"/>
      <c r="K1145" s="1" t="s">
        <v>23</v>
      </c>
      <c r="L1145" s="1" t="s">
        <v>5794</v>
      </c>
      <c r="M1145" s="1">
        <v>0.0</v>
      </c>
      <c r="N1145" s="1">
        <v>1.0</v>
      </c>
      <c r="O1145" s="1" t="s">
        <v>288</v>
      </c>
      <c r="P1145" s="1" t="s">
        <v>488</v>
      </c>
      <c r="Q1145" s="2" t="str">
        <f t="shared" si="1"/>
        <v>H004854</v>
      </c>
    </row>
    <row r="1146">
      <c r="A1146" s="1" t="s">
        <v>5795</v>
      </c>
      <c r="B1146" s="1" t="s">
        <v>5796</v>
      </c>
      <c r="C1146" s="1" t="s">
        <v>5797</v>
      </c>
      <c r="D1146" s="1" t="s">
        <v>5798</v>
      </c>
      <c r="E1146" s="1">
        <v>1788.0</v>
      </c>
      <c r="F1146" s="1" t="s">
        <v>288</v>
      </c>
      <c r="G1146" s="1">
        <v>729375.0</v>
      </c>
      <c r="H1146" s="1" t="s">
        <v>1050</v>
      </c>
      <c r="I1146" s="1" t="s">
        <v>1051</v>
      </c>
      <c r="J1146" s="1"/>
      <c r="K1146" s="1" t="s">
        <v>23</v>
      </c>
      <c r="L1146" s="1" t="s">
        <v>5799</v>
      </c>
      <c r="M1146" s="1">
        <v>0.0</v>
      </c>
      <c r="N1146" s="1">
        <v>1.0</v>
      </c>
      <c r="O1146" s="1" t="s">
        <v>288</v>
      </c>
      <c r="P1146" s="1" t="s">
        <v>488</v>
      </c>
      <c r="Q1146" s="2" t="str">
        <f t="shared" si="1"/>
        <v>H004854</v>
      </c>
    </row>
    <row r="1147">
      <c r="A1147" s="1" t="s">
        <v>5800</v>
      </c>
      <c r="B1147" s="1" t="s">
        <v>5801</v>
      </c>
      <c r="C1147" s="1" t="s">
        <v>5802</v>
      </c>
      <c r="D1147" s="1" t="s">
        <v>5803</v>
      </c>
      <c r="E1147" s="1">
        <v>1271.0</v>
      </c>
      <c r="F1147" s="1" t="s">
        <v>288</v>
      </c>
      <c r="G1147" s="1">
        <v>729375.0</v>
      </c>
      <c r="H1147" s="1" t="s">
        <v>1050</v>
      </c>
      <c r="I1147" s="1" t="s">
        <v>1051</v>
      </c>
      <c r="J1147" s="1"/>
      <c r="K1147" s="1" t="s">
        <v>23</v>
      </c>
      <c r="L1147" s="1" t="s">
        <v>5804</v>
      </c>
      <c r="M1147" s="1">
        <v>0.0</v>
      </c>
      <c r="N1147" s="1">
        <v>1.0</v>
      </c>
      <c r="O1147" s="1" t="s">
        <v>288</v>
      </c>
      <c r="P1147" s="1" t="s">
        <v>488</v>
      </c>
      <c r="Q1147" s="2" t="str">
        <f t="shared" si="1"/>
        <v>H004854</v>
      </c>
    </row>
    <row r="1148">
      <c r="A1148" s="1" t="s">
        <v>5805</v>
      </c>
      <c r="B1148" s="1" t="s">
        <v>5806</v>
      </c>
      <c r="C1148" s="1" t="s">
        <v>5807</v>
      </c>
      <c r="D1148" s="1" t="s">
        <v>5808</v>
      </c>
      <c r="E1148" s="1">
        <v>5243.0</v>
      </c>
      <c r="F1148" s="1" t="s">
        <v>351</v>
      </c>
      <c r="G1148" s="1" t="s">
        <v>260</v>
      </c>
      <c r="H1148" s="1" t="s">
        <v>261</v>
      </c>
      <c r="I1148" s="1" t="s">
        <v>486</v>
      </c>
      <c r="J1148" s="1"/>
      <c r="K1148" s="1" t="s">
        <v>23</v>
      </c>
      <c r="L1148" s="1" t="s">
        <v>5809</v>
      </c>
      <c r="M1148" s="1">
        <v>0.0</v>
      </c>
      <c r="N1148" s="1">
        <v>1.0</v>
      </c>
      <c r="O1148" s="1" t="s">
        <v>351</v>
      </c>
      <c r="P1148" s="1" t="s">
        <v>488</v>
      </c>
      <c r="Q1148" s="2" t="str">
        <f t="shared" si="1"/>
        <v>H006626</v>
      </c>
    </row>
    <row r="1149">
      <c r="A1149" s="1" t="s">
        <v>5810</v>
      </c>
      <c r="B1149" s="1" t="s">
        <v>5811</v>
      </c>
      <c r="C1149" s="1" t="s">
        <v>5812</v>
      </c>
      <c r="D1149" s="1" t="s">
        <v>5813</v>
      </c>
      <c r="E1149" s="1">
        <v>3342.0</v>
      </c>
      <c r="F1149" s="1" t="s">
        <v>351</v>
      </c>
      <c r="G1149" s="1" t="s">
        <v>260</v>
      </c>
      <c r="H1149" s="1" t="s">
        <v>261</v>
      </c>
      <c r="I1149" s="1" t="s">
        <v>486</v>
      </c>
      <c r="J1149" s="1"/>
      <c r="K1149" s="1" t="s">
        <v>23</v>
      </c>
      <c r="L1149" s="1" t="s">
        <v>5814</v>
      </c>
      <c r="M1149" s="1">
        <v>0.0</v>
      </c>
      <c r="N1149" s="1">
        <v>1.0</v>
      </c>
      <c r="O1149" s="1" t="s">
        <v>351</v>
      </c>
      <c r="P1149" s="1" t="s">
        <v>488</v>
      </c>
      <c r="Q1149" s="2" t="str">
        <f t="shared" si="1"/>
        <v>H006626</v>
      </c>
    </row>
    <row r="1150">
      <c r="A1150" s="1" t="s">
        <v>5815</v>
      </c>
      <c r="B1150" s="1" t="s">
        <v>5816</v>
      </c>
      <c r="C1150" s="1" t="s">
        <v>5817</v>
      </c>
      <c r="D1150" s="1" t="s">
        <v>5818</v>
      </c>
      <c r="E1150" s="1">
        <v>5993.0</v>
      </c>
      <c r="F1150" s="1" t="s">
        <v>351</v>
      </c>
      <c r="G1150" s="1" t="s">
        <v>260</v>
      </c>
      <c r="H1150" s="1" t="s">
        <v>261</v>
      </c>
      <c r="I1150" s="1" t="s">
        <v>486</v>
      </c>
      <c r="J1150" s="1"/>
      <c r="K1150" s="1" t="s">
        <v>23</v>
      </c>
      <c r="L1150" s="1" t="s">
        <v>5819</v>
      </c>
      <c r="M1150" s="1">
        <v>0.0</v>
      </c>
      <c r="N1150" s="1">
        <v>1.0</v>
      </c>
      <c r="O1150" s="1" t="s">
        <v>351</v>
      </c>
      <c r="P1150" s="1" t="s">
        <v>488</v>
      </c>
      <c r="Q1150" s="2" t="str">
        <f t="shared" si="1"/>
        <v>H006626</v>
      </c>
    </row>
    <row r="1151">
      <c r="A1151" s="1" t="s">
        <v>5820</v>
      </c>
      <c r="B1151" s="1" t="s">
        <v>5821</v>
      </c>
      <c r="C1151" s="1" t="s">
        <v>5822</v>
      </c>
      <c r="D1151" s="1" t="s">
        <v>5823</v>
      </c>
      <c r="E1151" s="1">
        <v>6209.0</v>
      </c>
      <c r="F1151" s="1" t="s">
        <v>351</v>
      </c>
      <c r="G1151" s="1" t="s">
        <v>260</v>
      </c>
      <c r="H1151" s="1" t="s">
        <v>261</v>
      </c>
      <c r="I1151" s="1" t="s">
        <v>486</v>
      </c>
      <c r="J1151" s="1"/>
      <c r="K1151" s="1" t="s">
        <v>23</v>
      </c>
      <c r="L1151" s="1" t="s">
        <v>5824</v>
      </c>
      <c r="M1151" s="1">
        <v>0.0</v>
      </c>
      <c r="N1151" s="1">
        <v>1.0</v>
      </c>
      <c r="O1151" s="1" t="s">
        <v>351</v>
      </c>
      <c r="P1151" s="1" t="s">
        <v>488</v>
      </c>
      <c r="Q1151" s="2" t="str">
        <f t="shared" si="1"/>
        <v>H006626</v>
      </c>
    </row>
    <row r="1152">
      <c r="A1152" s="1" t="s">
        <v>5825</v>
      </c>
      <c r="B1152" s="1" t="s">
        <v>5826</v>
      </c>
      <c r="C1152" s="1" t="s">
        <v>5827</v>
      </c>
      <c r="D1152" s="1" t="s">
        <v>5828</v>
      </c>
      <c r="E1152" s="1">
        <v>4411.0</v>
      </c>
      <c r="F1152" s="1" t="s">
        <v>351</v>
      </c>
      <c r="G1152" s="1" t="s">
        <v>260</v>
      </c>
      <c r="H1152" s="1" t="s">
        <v>261</v>
      </c>
      <c r="I1152" s="1" t="s">
        <v>486</v>
      </c>
      <c r="J1152" s="1"/>
      <c r="K1152" s="1" t="s">
        <v>23</v>
      </c>
      <c r="L1152" s="1" t="s">
        <v>5829</v>
      </c>
      <c r="M1152" s="1">
        <v>0.0</v>
      </c>
      <c r="N1152" s="1">
        <v>1.0</v>
      </c>
      <c r="O1152" s="1" t="s">
        <v>351</v>
      </c>
      <c r="P1152" s="1" t="s">
        <v>488</v>
      </c>
      <c r="Q1152" s="2" t="str">
        <f t="shared" si="1"/>
        <v>H006626</v>
      </c>
    </row>
    <row r="1153">
      <c r="A1153" s="1" t="s">
        <v>5830</v>
      </c>
      <c r="B1153" s="1" t="s">
        <v>5831</v>
      </c>
      <c r="C1153" s="1" t="s">
        <v>5832</v>
      </c>
      <c r="D1153" s="1" t="s">
        <v>5833</v>
      </c>
      <c r="E1153" s="1">
        <v>3473.0</v>
      </c>
      <c r="F1153" s="1" t="s">
        <v>351</v>
      </c>
      <c r="G1153" s="1" t="s">
        <v>57</v>
      </c>
      <c r="H1153" s="1" t="s">
        <v>58</v>
      </c>
      <c r="I1153" s="1" t="s">
        <v>486</v>
      </c>
      <c r="J1153" s="1"/>
      <c r="K1153" s="1" t="s">
        <v>23</v>
      </c>
      <c r="L1153" s="1" t="s">
        <v>5834</v>
      </c>
      <c r="M1153" s="1">
        <v>0.0</v>
      </c>
      <c r="N1153" s="1">
        <v>1.0</v>
      </c>
      <c r="O1153" s="1" t="s">
        <v>351</v>
      </c>
      <c r="P1153" s="1" t="s">
        <v>488</v>
      </c>
      <c r="Q1153" s="2" t="str">
        <f t="shared" si="1"/>
        <v>H006626</v>
      </c>
    </row>
    <row r="1154">
      <c r="A1154" s="1" t="s">
        <v>5835</v>
      </c>
      <c r="B1154" s="1" t="s">
        <v>5836</v>
      </c>
      <c r="C1154" s="1" t="s">
        <v>5837</v>
      </c>
      <c r="D1154" s="1" t="s">
        <v>5838</v>
      </c>
      <c r="E1154" s="1">
        <v>3770.0</v>
      </c>
      <c r="F1154" s="1" t="s">
        <v>351</v>
      </c>
      <c r="G1154" s="1" t="s">
        <v>57</v>
      </c>
      <c r="H1154" s="1" t="s">
        <v>58</v>
      </c>
      <c r="I1154" s="1" t="s">
        <v>486</v>
      </c>
      <c r="J1154" s="1"/>
      <c r="K1154" s="1" t="s">
        <v>23</v>
      </c>
      <c r="L1154" s="1" t="s">
        <v>5839</v>
      </c>
      <c r="M1154" s="1">
        <v>0.0</v>
      </c>
      <c r="N1154" s="1">
        <v>1.0</v>
      </c>
      <c r="O1154" s="1" t="s">
        <v>351</v>
      </c>
      <c r="P1154" s="1" t="s">
        <v>488</v>
      </c>
      <c r="Q1154" s="2" t="str">
        <f t="shared" si="1"/>
        <v>H006626</v>
      </c>
    </row>
    <row r="1155">
      <c r="A1155" s="1" t="s">
        <v>5840</v>
      </c>
      <c r="B1155" s="1" t="s">
        <v>5841</v>
      </c>
      <c r="C1155" s="1" t="s">
        <v>5842</v>
      </c>
      <c r="D1155" s="1" t="s">
        <v>5843</v>
      </c>
      <c r="E1155" s="1">
        <v>2933.0</v>
      </c>
      <c r="F1155" s="1" t="s">
        <v>351</v>
      </c>
      <c r="G1155" s="1" t="s">
        <v>57</v>
      </c>
      <c r="H1155" s="1" t="s">
        <v>58</v>
      </c>
      <c r="I1155" s="1" t="s">
        <v>486</v>
      </c>
      <c r="J1155" s="1"/>
      <c r="K1155" s="1" t="s">
        <v>23</v>
      </c>
      <c r="L1155" s="1" t="s">
        <v>5844</v>
      </c>
      <c r="M1155" s="1">
        <v>0.0</v>
      </c>
      <c r="N1155" s="1">
        <v>1.0</v>
      </c>
      <c r="O1155" s="1" t="s">
        <v>351</v>
      </c>
      <c r="P1155" s="1" t="s">
        <v>488</v>
      </c>
      <c r="Q1155" s="2" t="str">
        <f t="shared" si="1"/>
        <v>H006626</v>
      </c>
    </row>
    <row r="1156">
      <c r="A1156" s="1" t="s">
        <v>5845</v>
      </c>
      <c r="B1156" s="1" t="s">
        <v>5846</v>
      </c>
      <c r="C1156" s="1" t="s">
        <v>5847</v>
      </c>
      <c r="D1156" s="1" t="s">
        <v>5848</v>
      </c>
      <c r="E1156" s="1">
        <v>2995.0</v>
      </c>
      <c r="F1156" s="1" t="s">
        <v>382</v>
      </c>
      <c r="G1156" s="1" t="s">
        <v>191</v>
      </c>
      <c r="H1156" s="1" t="s">
        <v>192</v>
      </c>
      <c r="I1156" s="1" t="s">
        <v>486</v>
      </c>
      <c r="J1156" s="1"/>
      <c r="K1156" s="1" t="s">
        <v>23</v>
      </c>
      <c r="L1156" s="1" t="s">
        <v>5849</v>
      </c>
      <c r="M1156" s="1">
        <v>0.0</v>
      </c>
      <c r="N1156" s="1">
        <v>1.0</v>
      </c>
      <c r="O1156" s="1" t="s">
        <v>382</v>
      </c>
      <c r="P1156" s="1" t="s">
        <v>488</v>
      </c>
      <c r="Q1156" s="2" t="str">
        <f t="shared" si="1"/>
        <v>H006742</v>
      </c>
    </row>
    <row r="1157">
      <c r="A1157" s="1" t="s">
        <v>5850</v>
      </c>
      <c r="B1157" s="1" t="s">
        <v>5851</v>
      </c>
      <c r="C1157" s="1" t="s">
        <v>5852</v>
      </c>
      <c r="D1157" s="1" t="s">
        <v>5853</v>
      </c>
      <c r="E1157" s="1">
        <v>3084.0</v>
      </c>
      <c r="F1157" s="1" t="s">
        <v>351</v>
      </c>
      <c r="G1157" s="1" t="s">
        <v>57</v>
      </c>
      <c r="H1157" s="1" t="s">
        <v>58</v>
      </c>
      <c r="I1157" s="1" t="s">
        <v>486</v>
      </c>
      <c r="J1157" s="1"/>
      <c r="K1157" s="1" t="s">
        <v>23</v>
      </c>
      <c r="L1157" s="1" t="s">
        <v>5854</v>
      </c>
      <c r="M1157" s="1">
        <v>0.0</v>
      </c>
      <c r="N1157" s="1">
        <v>1.0</v>
      </c>
      <c r="O1157" s="1" t="s">
        <v>351</v>
      </c>
      <c r="P1157" s="1" t="s">
        <v>488</v>
      </c>
      <c r="Q1157" s="2" t="str">
        <f t="shared" si="1"/>
        <v>H006626</v>
      </c>
    </row>
    <row r="1158">
      <c r="A1158" s="1" t="s">
        <v>5855</v>
      </c>
      <c r="B1158" s="1" t="s">
        <v>5856</v>
      </c>
      <c r="C1158" s="1" t="s">
        <v>5857</v>
      </c>
      <c r="D1158" s="1" t="s">
        <v>5858</v>
      </c>
      <c r="E1158" s="1">
        <v>3966.0</v>
      </c>
      <c r="F1158" s="1" t="s">
        <v>382</v>
      </c>
      <c r="G1158" s="1" t="s">
        <v>107</v>
      </c>
      <c r="H1158" s="1" t="s">
        <v>108</v>
      </c>
      <c r="I1158" s="1" t="s">
        <v>486</v>
      </c>
      <c r="J1158" s="1"/>
      <c r="K1158" s="1" t="s">
        <v>23</v>
      </c>
      <c r="L1158" s="1" t="s">
        <v>5859</v>
      </c>
      <c r="M1158" s="1">
        <v>0.0</v>
      </c>
      <c r="N1158" s="1">
        <v>1.0</v>
      </c>
      <c r="O1158" s="1" t="s">
        <v>382</v>
      </c>
      <c r="P1158" s="1" t="s">
        <v>488</v>
      </c>
      <c r="Q1158" s="2" t="str">
        <f t="shared" si="1"/>
        <v>H006742</v>
      </c>
    </row>
    <row r="1159">
      <c r="A1159" s="1" t="s">
        <v>5860</v>
      </c>
      <c r="B1159" s="1" t="s">
        <v>5861</v>
      </c>
      <c r="C1159" s="1" t="s">
        <v>5862</v>
      </c>
      <c r="D1159" s="1" t="s">
        <v>5863</v>
      </c>
      <c r="E1159" s="1">
        <v>4799.0</v>
      </c>
      <c r="F1159" s="1" t="s">
        <v>382</v>
      </c>
      <c r="G1159" s="1" t="s">
        <v>107</v>
      </c>
      <c r="H1159" s="1" t="s">
        <v>108</v>
      </c>
      <c r="I1159" s="1" t="s">
        <v>486</v>
      </c>
      <c r="J1159" s="1"/>
      <c r="K1159" s="1" t="s">
        <v>23</v>
      </c>
      <c r="L1159" s="1" t="s">
        <v>5864</v>
      </c>
      <c r="M1159" s="1">
        <v>0.0</v>
      </c>
      <c r="N1159" s="1">
        <v>1.0</v>
      </c>
      <c r="O1159" s="1" t="s">
        <v>382</v>
      </c>
      <c r="P1159" s="1" t="s">
        <v>488</v>
      </c>
      <c r="Q1159" s="2" t="str">
        <f t="shared" si="1"/>
        <v>H006742</v>
      </c>
    </row>
    <row r="1160">
      <c r="A1160" s="1" t="s">
        <v>5865</v>
      </c>
      <c r="B1160" s="1" t="s">
        <v>5866</v>
      </c>
      <c r="C1160" s="1" t="s">
        <v>5867</v>
      </c>
      <c r="D1160" s="1" t="s">
        <v>5868</v>
      </c>
      <c r="E1160" s="1">
        <v>4763.0</v>
      </c>
      <c r="F1160" s="1" t="s">
        <v>382</v>
      </c>
      <c r="G1160" s="1" t="s">
        <v>107</v>
      </c>
      <c r="H1160" s="1" t="s">
        <v>108</v>
      </c>
      <c r="I1160" s="1" t="s">
        <v>486</v>
      </c>
      <c r="J1160" s="1"/>
      <c r="K1160" s="1" t="s">
        <v>23</v>
      </c>
      <c r="L1160" s="1" t="s">
        <v>5869</v>
      </c>
      <c r="M1160" s="1">
        <v>0.0</v>
      </c>
      <c r="N1160" s="1">
        <v>1.0</v>
      </c>
      <c r="O1160" s="1" t="s">
        <v>382</v>
      </c>
      <c r="P1160" s="1" t="s">
        <v>488</v>
      </c>
      <c r="Q1160" s="2" t="str">
        <f t="shared" si="1"/>
        <v>H006742</v>
      </c>
    </row>
    <row r="1161">
      <c r="A1161" s="1" t="s">
        <v>5870</v>
      </c>
      <c r="B1161" s="1" t="s">
        <v>5871</v>
      </c>
      <c r="C1161" s="1" t="s">
        <v>5872</v>
      </c>
      <c r="D1161" s="1" t="s">
        <v>5873</v>
      </c>
      <c r="E1161" s="1">
        <v>2689.0</v>
      </c>
      <c r="F1161" s="1" t="s">
        <v>382</v>
      </c>
      <c r="G1161" s="1" t="s">
        <v>119</v>
      </c>
      <c r="H1161" s="1" t="s">
        <v>120</v>
      </c>
      <c r="I1161" s="1" t="s">
        <v>486</v>
      </c>
      <c r="J1161" s="1"/>
      <c r="K1161" s="1" t="s">
        <v>23</v>
      </c>
      <c r="L1161" s="1" t="s">
        <v>5874</v>
      </c>
      <c r="M1161" s="1">
        <v>0.0</v>
      </c>
      <c r="N1161" s="1">
        <v>1.0</v>
      </c>
      <c r="O1161" s="1" t="s">
        <v>382</v>
      </c>
      <c r="P1161" s="1" t="s">
        <v>488</v>
      </c>
      <c r="Q1161" s="2" t="str">
        <f t="shared" si="1"/>
        <v>H006742</v>
      </c>
    </row>
    <row r="1162">
      <c r="A1162" s="1" t="s">
        <v>5875</v>
      </c>
      <c r="B1162" s="1" t="s">
        <v>5876</v>
      </c>
      <c r="C1162" s="1" t="s">
        <v>5877</v>
      </c>
      <c r="D1162" s="1" t="s">
        <v>5878</v>
      </c>
      <c r="E1162" s="1">
        <v>3375.0</v>
      </c>
      <c r="F1162" s="1" t="s">
        <v>382</v>
      </c>
      <c r="G1162" s="1" t="s">
        <v>119</v>
      </c>
      <c r="H1162" s="1" t="s">
        <v>120</v>
      </c>
      <c r="I1162" s="1" t="s">
        <v>486</v>
      </c>
      <c r="J1162" s="1"/>
      <c r="K1162" s="1" t="s">
        <v>23</v>
      </c>
      <c r="L1162" s="1" t="s">
        <v>5879</v>
      </c>
      <c r="M1162" s="1">
        <v>0.0</v>
      </c>
      <c r="N1162" s="1">
        <v>1.0</v>
      </c>
      <c r="O1162" s="1" t="s">
        <v>382</v>
      </c>
      <c r="P1162" s="1" t="s">
        <v>488</v>
      </c>
      <c r="Q1162" s="2" t="str">
        <f t="shared" si="1"/>
        <v>H006742</v>
      </c>
    </row>
    <row r="1163">
      <c r="A1163" s="1" t="s">
        <v>5880</v>
      </c>
      <c r="B1163" s="1" t="s">
        <v>5881</v>
      </c>
      <c r="C1163" s="1" t="s">
        <v>5882</v>
      </c>
      <c r="D1163" s="1" t="s">
        <v>5883</v>
      </c>
      <c r="E1163" s="1">
        <v>5460.0</v>
      </c>
      <c r="F1163" s="1" t="s">
        <v>382</v>
      </c>
      <c r="G1163" s="1" t="s">
        <v>119</v>
      </c>
      <c r="H1163" s="1" t="s">
        <v>120</v>
      </c>
      <c r="I1163" s="1" t="s">
        <v>486</v>
      </c>
      <c r="J1163" s="1"/>
      <c r="K1163" s="1" t="s">
        <v>23</v>
      </c>
      <c r="L1163" s="1" t="s">
        <v>5884</v>
      </c>
      <c r="M1163" s="1">
        <v>0.0</v>
      </c>
      <c r="N1163" s="1">
        <v>1.0</v>
      </c>
      <c r="O1163" s="1" t="s">
        <v>382</v>
      </c>
      <c r="P1163" s="1" t="s">
        <v>488</v>
      </c>
      <c r="Q1163" s="2" t="str">
        <f t="shared" si="1"/>
        <v>H006742</v>
      </c>
    </row>
    <row r="1164">
      <c r="A1164" s="1" t="s">
        <v>5885</v>
      </c>
      <c r="B1164" s="1" t="s">
        <v>5886</v>
      </c>
      <c r="C1164" s="1" t="s">
        <v>5887</v>
      </c>
      <c r="D1164" s="1" t="s">
        <v>5888</v>
      </c>
      <c r="E1164" s="1">
        <v>4045.0</v>
      </c>
      <c r="F1164" s="1" t="s">
        <v>382</v>
      </c>
      <c r="G1164" s="1" t="s">
        <v>474</v>
      </c>
      <c r="H1164" s="1" t="s">
        <v>475</v>
      </c>
      <c r="I1164" s="1" t="s">
        <v>486</v>
      </c>
      <c r="J1164" s="1"/>
      <c r="K1164" s="1" t="s">
        <v>23</v>
      </c>
      <c r="L1164" s="1" t="s">
        <v>5889</v>
      </c>
      <c r="M1164" s="1">
        <v>0.0</v>
      </c>
      <c r="N1164" s="1">
        <v>1.0</v>
      </c>
      <c r="O1164" s="1" t="s">
        <v>382</v>
      </c>
      <c r="P1164" s="1" t="s">
        <v>488</v>
      </c>
      <c r="Q1164" s="2" t="str">
        <f t="shared" si="1"/>
        <v>H006742</v>
      </c>
    </row>
    <row r="1165">
      <c r="A1165" s="1" t="s">
        <v>5890</v>
      </c>
      <c r="B1165" s="1" t="s">
        <v>5891</v>
      </c>
      <c r="C1165" s="1" t="s">
        <v>5892</v>
      </c>
      <c r="D1165" s="1" t="s">
        <v>5893</v>
      </c>
      <c r="E1165" s="1">
        <v>4324.0</v>
      </c>
      <c r="F1165" s="1" t="s">
        <v>382</v>
      </c>
      <c r="G1165" s="1" t="s">
        <v>474</v>
      </c>
      <c r="H1165" s="1" t="s">
        <v>475</v>
      </c>
      <c r="I1165" s="1" t="s">
        <v>486</v>
      </c>
      <c r="J1165" s="1"/>
      <c r="K1165" s="1" t="s">
        <v>23</v>
      </c>
      <c r="L1165" s="1" t="s">
        <v>5894</v>
      </c>
      <c r="M1165" s="1">
        <v>0.0</v>
      </c>
      <c r="N1165" s="1">
        <v>1.0</v>
      </c>
      <c r="O1165" s="1" t="s">
        <v>382</v>
      </c>
      <c r="P1165" s="1" t="s">
        <v>488</v>
      </c>
      <c r="Q1165" s="2" t="str">
        <f t="shared" si="1"/>
        <v>H006742</v>
      </c>
    </row>
    <row r="1166">
      <c r="A1166" s="1" t="s">
        <v>5895</v>
      </c>
      <c r="B1166" s="1" t="s">
        <v>5896</v>
      </c>
      <c r="C1166" s="1" t="s">
        <v>5897</v>
      </c>
      <c r="D1166" s="1" t="s">
        <v>5898</v>
      </c>
      <c r="E1166" s="1">
        <v>2895.0</v>
      </c>
      <c r="F1166" s="1" t="s">
        <v>382</v>
      </c>
      <c r="G1166" s="1" t="s">
        <v>474</v>
      </c>
      <c r="H1166" s="1" t="s">
        <v>475</v>
      </c>
      <c r="I1166" s="1" t="s">
        <v>486</v>
      </c>
      <c r="J1166" s="1"/>
      <c r="K1166" s="1" t="s">
        <v>23</v>
      </c>
      <c r="L1166" s="1" t="s">
        <v>5899</v>
      </c>
      <c r="M1166" s="1">
        <v>0.0</v>
      </c>
      <c r="N1166" s="1">
        <v>1.0</v>
      </c>
      <c r="O1166" s="1" t="s">
        <v>382</v>
      </c>
      <c r="P1166" s="1" t="s">
        <v>488</v>
      </c>
      <c r="Q1166" s="2" t="str">
        <f t="shared" si="1"/>
        <v>H006742</v>
      </c>
    </row>
    <row r="1167">
      <c r="A1167" s="1" t="s">
        <v>5900</v>
      </c>
      <c r="B1167" s="1" t="s">
        <v>5901</v>
      </c>
      <c r="C1167" s="1" t="s">
        <v>5902</v>
      </c>
      <c r="D1167" s="1" t="s">
        <v>5903</v>
      </c>
      <c r="E1167" s="1">
        <v>2023.0</v>
      </c>
      <c r="F1167" s="1" t="s">
        <v>382</v>
      </c>
      <c r="G1167" s="1" t="s">
        <v>474</v>
      </c>
      <c r="H1167" s="1" t="s">
        <v>475</v>
      </c>
      <c r="I1167" s="1" t="s">
        <v>486</v>
      </c>
      <c r="J1167" s="1"/>
      <c r="K1167" s="1" t="s">
        <v>23</v>
      </c>
      <c r="L1167" s="1" t="s">
        <v>5904</v>
      </c>
      <c r="M1167" s="1">
        <v>0.0</v>
      </c>
      <c r="N1167" s="1">
        <v>1.0</v>
      </c>
      <c r="O1167" s="1" t="s">
        <v>382</v>
      </c>
      <c r="P1167" s="1" t="s">
        <v>488</v>
      </c>
      <c r="Q1167" s="2" t="str">
        <f t="shared" si="1"/>
        <v>H006742</v>
      </c>
    </row>
    <row r="1168">
      <c r="A1168" s="1" t="s">
        <v>5905</v>
      </c>
      <c r="B1168" s="1" t="s">
        <v>5906</v>
      </c>
      <c r="C1168" s="1" t="s">
        <v>5907</v>
      </c>
      <c r="D1168" s="1" t="s">
        <v>5908</v>
      </c>
      <c r="E1168" s="1">
        <v>3644.0</v>
      </c>
      <c r="F1168" s="1" t="s">
        <v>288</v>
      </c>
      <c r="G1168" s="1">
        <v>859767.0</v>
      </c>
      <c r="H1168" s="1" t="s">
        <v>2565</v>
      </c>
      <c r="I1168" s="1" t="s">
        <v>1051</v>
      </c>
      <c r="J1168" s="1"/>
      <c r="K1168" s="1" t="s">
        <v>23</v>
      </c>
      <c r="L1168" s="1" t="s">
        <v>5909</v>
      </c>
      <c r="M1168" s="1">
        <v>0.0</v>
      </c>
      <c r="N1168" s="1">
        <v>1.0</v>
      </c>
      <c r="O1168" s="1" t="s">
        <v>288</v>
      </c>
      <c r="P1168" s="1" t="s">
        <v>488</v>
      </c>
      <c r="Q1168" s="2" t="str">
        <f t="shared" si="1"/>
        <v>H004854</v>
      </c>
    </row>
    <row r="1169">
      <c r="A1169" s="1" t="s">
        <v>5910</v>
      </c>
      <c r="B1169" s="1" t="s">
        <v>5911</v>
      </c>
      <c r="C1169" s="1" t="s">
        <v>5912</v>
      </c>
      <c r="D1169" s="1" t="s">
        <v>5913</v>
      </c>
      <c r="E1169" s="1">
        <v>4067.0</v>
      </c>
      <c r="F1169" s="1" t="s">
        <v>288</v>
      </c>
      <c r="G1169" s="1">
        <v>859767.0</v>
      </c>
      <c r="H1169" s="1" t="s">
        <v>2565</v>
      </c>
      <c r="I1169" s="1" t="s">
        <v>1051</v>
      </c>
      <c r="J1169" s="1"/>
      <c r="K1169" s="1" t="s">
        <v>23</v>
      </c>
      <c r="L1169" s="1" t="s">
        <v>5914</v>
      </c>
      <c r="M1169" s="1">
        <v>0.0</v>
      </c>
      <c r="N1169" s="1">
        <v>1.0</v>
      </c>
      <c r="O1169" s="1" t="s">
        <v>288</v>
      </c>
      <c r="P1169" s="1" t="s">
        <v>488</v>
      </c>
      <c r="Q1169" s="2" t="str">
        <f t="shared" si="1"/>
        <v>H004854</v>
      </c>
    </row>
    <row r="1170">
      <c r="A1170" s="1" t="s">
        <v>5915</v>
      </c>
      <c r="B1170" s="1" t="s">
        <v>5916</v>
      </c>
      <c r="C1170" s="1" t="s">
        <v>5917</v>
      </c>
      <c r="D1170" s="1" t="s">
        <v>5918</v>
      </c>
      <c r="E1170" s="1">
        <v>3883.0</v>
      </c>
      <c r="F1170" s="1" t="s">
        <v>288</v>
      </c>
      <c r="G1170" s="1">
        <v>859767.0</v>
      </c>
      <c r="H1170" s="1" t="s">
        <v>2565</v>
      </c>
      <c r="I1170" s="1" t="s">
        <v>1051</v>
      </c>
      <c r="J1170" s="1"/>
      <c r="K1170" s="1" t="s">
        <v>23</v>
      </c>
      <c r="L1170" s="1" t="s">
        <v>5919</v>
      </c>
      <c r="M1170" s="1">
        <v>0.0</v>
      </c>
      <c r="N1170" s="1">
        <v>1.0</v>
      </c>
      <c r="O1170" s="1" t="s">
        <v>288</v>
      </c>
      <c r="P1170" s="1" t="s">
        <v>488</v>
      </c>
      <c r="Q1170" s="2" t="str">
        <f t="shared" si="1"/>
        <v>H004854</v>
      </c>
    </row>
    <row r="1171">
      <c r="A1171" s="1" t="s">
        <v>5920</v>
      </c>
      <c r="B1171" s="1" t="s">
        <v>5921</v>
      </c>
      <c r="C1171" s="1" t="s">
        <v>5922</v>
      </c>
      <c r="D1171" s="1" t="s">
        <v>5923</v>
      </c>
      <c r="E1171" s="1">
        <v>4012.0</v>
      </c>
      <c r="F1171" s="1" t="s">
        <v>288</v>
      </c>
      <c r="G1171" s="1">
        <v>859767.0</v>
      </c>
      <c r="H1171" s="1" t="s">
        <v>2565</v>
      </c>
      <c r="I1171" s="1" t="s">
        <v>1051</v>
      </c>
      <c r="J1171" s="1"/>
      <c r="K1171" s="1" t="s">
        <v>23</v>
      </c>
      <c r="L1171" s="1" t="s">
        <v>5924</v>
      </c>
      <c r="M1171" s="1">
        <v>0.0</v>
      </c>
      <c r="N1171" s="1">
        <v>1.0</v>
      </c>
      <c r="O1171" s="1" t="s">
        <v>288</v>
      </c>
      <c r="P1171" s="1" t="s">
        <v>488</v>
      </c>
      <c r="Q1171" s="2" t="str">
        <f t="shared" si="1"/>
        <v>H004854</v>
      </c>
    </row>
    <row r="1172">
      <c r="A1172" s="1" t="s">
        <v>5925</v>
      </c>
      <c r="B1172" s="1" t="s">
        <v>5926</v>
      </c>
      <c r="C1172" s="1" t="s">
        <v>5927</v>
      </c>
      <c r="D1172" s="1" t="s">
        <v>5928</v>
      </c>
      <c r="E1172" s="1">
        <v>4056.0</v>
      </c>
      <c r="F1172" s="1" t="s">
        <v>288</v>
      </c>
      <c r="G1172" s="1">
        <v>859767.0</v>
      </c>
      <c r="H1172" s="1" t="s">
        <v>2565</v>
      </c>
      <c r="I1172" s="1" t="s">
        <v>1051</v>
      </c>
      <c r="J1172" s="1"/>
      <c r="K1172" s="1" t="s">
        <v>23</v>
      </c>
      <c r="L1172" s="1" t="s">
        <v>5929</v>
      </c>
      <c r="M1172" s="1">
        <v>0.0</v>
      </c>
      <c r="N1172" s="1">
        <v>1.0</v>
      </c>
      <c r="O1172" s="1" t="s">
        <v>288</v>
      </c>
      <c r="P1172" s="1" t="s">
        <v>488</v>
      </c>
      <c r="Q1172" s="2" t="str">
        <f t="shared" si="1"/>
        <v>H004854</v>
      </c>
    </row>
    <row r="1173">
      <c r="A1173" s="1" t="s">
        <v>5930</v>
      </c>
      <c r="B1173" s="1" t="s">
        <v>5931</v>
      </c>
      <c r="C1173" s="1" t="s">
        <v>5932</v>
      </c>
      <c r="D1173" s="1" t="s">
        <v>5933</v>
      </c>
      <c r="E1173" s="1">
        <v>2864.0</v>
      </c>
      <c r="F1173" s="1" t="s">
        <v>288</v>
      </c>
      <c r="G1173" s="1">
        <v>729375.0</v>
      </c>
      <c r="H1173" s="1" t="s">
        <v>1050</v>
      </c>
      <c r="I1173" s="1" t="s">
        <v>1051</v>
      </c>
      <c r="J1173" s="1"/>
      <c r="K1173" s="1" t="s">
        <v>23</v>
      </c>
      <c r="L1173" s="1" t="s">
        <v>5934</v>
      </c>
      <c r="M1173" s="1">
        <v>0.0</v>
      </c>
      <c r="N1173" s="1">
        <v>1.0</v>
      </c>
      <c r="O1173" s="1" t="s">
        <v>288</v>
      </c>
      <c r="P1173" s="1" t="s">
        <v>488</v>
      </c>
      <c r="Q1173" s="2" t="str">
        <f t="shared" si="1"/>
        <v>H004854</v>
      </c>
    </row>
    <row r="1174">
      <c r="A1174" s="1" t="s">
        <v>5935</v>
      </c>
      <c r="B1174" s="1" t="s">
        <v>5936</v>
      </c>
      <c r="C1174" s="1" t="s">
        <v>5937</v>
      </c>
      <c r="D1174" s="1" t="s">
        <v>5938</v>
      </c>
      <c r="E1174" s="1">
        <v>2887.0</v>
      </c>
      <c r="F1174" s="1" t="s">
        <v>288</v>
      </c>
      <c r="G1174" s="1">
        <v>729375.0</v>
      </c>
      <c r="H1174" s="1" t="s">
        <v>1050</v>
      </c>
      <c r="I1174" s="1" t="s">
        <v>1051</v>
      </c>
      <c r="J1174" s="1"/>
      <c r="K1174" s="1" t="s">
        <v>23</v>
      </c>
      <c r="L1174" s="1" t="s">
        <v>5939</v>
      </c>
      <c r="M1174" s="1">
        <v>0.0</v>
      </c>
      <c r="N1174" s="1">
        <v>1.0</v>
      </c>
      <c r="O1174" s="1" t="s">
        <v>288</v>
      </c>
      <c r="P1174" s="1" t="s">
        <v>488</v>
      </c>
      <c r="Q1174" s="2" t="str">
        <f t="shared" si="1"/>
        <v>H004854</v>
      </c>
    </row>
    <row r="1175">
      <c r="A1175" s="1" t="s">
        <v>5940</v>
      </c>
      <c r="B1175" s="1" t="s">
        <v>5941</v>
      </c>
      <c r="C1175" s="1" t="s">
        <v>5942</v>
      </c>
      <c r="D1175" s="1" t="s">
        <v>5943</v>
      </c>
      <c r="E1175" s="1">
        <v>4139.0</v>
      </c>
      <c r="F1175" s="1" t="s">
        <v>288</v>
      </c>
      <c r="G1175" s="1">
        <v>729375.0</v>
      </c>
      <c r="H1175" s="1" t="s">
        <v>1050</v>
      </c>
      <c r="I1175" s="1" t="s">
        <v>1051</v>
      </c>
      <c r="J1175" s="1"/>
      <c r="K1175" s="1" t="s">
        <v>23</v>
      </c>
      <c r="L1175" s="1" t="s">
        <v>5944</v>
      </c>
      <c r="M1175" s="1">
        <v>0.0</v>
      </c>
      <c r="N1175" s="1">
        <v>1.0</v>
      </c>
      <c r="O1175" s="1" t="s">
        <v>288</v>
      </c>
      <c r="P1175" s="1" t="s">
        <v>488</v>
      </c>
      <c r="Q1175" s="2" t="str">
        <f t="shared" si="1"/>
        <v>H004854</v>
      </c>
    </row>
    <row r="1176">
      <c r="A1176" s="1" t="s">
        <v>5945</v>
      </c>
      <c r="B1176" s="1" t="s">
        <v>5946</v>
      </c>
      <c r="C1176" s="1" t="s">
        <v>5947</v>
      </c>
      <c r="D1176" s="1" t="s">
        <v>5948</v>
      </c>
      <c r="E1176" s="1">
        <v>2791.0</v>
      </c>
      <c r="F1176" s="1" t="s">
        <v>288</v>
      </c>
      <c r="G1176" s="1">
        <v>729375.0</v>
      </c>
      <c r="H1176" s="1" t="s">
        <v>1050</v>
      </c>
      <c r="I1176" s="1" t="s">
        <v>1051</v>
      </c>
      <c r="J1176" s="1"/>
      <c r="K1176" s="1" t="s">
        <v>23</v>
      </c>
      <c r="L1176" s="1" t="s">
        <v>5949</v>
      </c>
      <c r="M1176" s="1">
        <v>0.0</v>
      </c>
      <c r="N1176" s="1">
        <v>1.0</v>
      </c>
      <c r="O1176" s="1" t="s">
        <v>288</v>
      </c>
      <c r="P1176" s="1" t="s">
        <v>488</v>
      </c>
      <c r="Q1176" s="2" t="str">
        <f t="shared" si="1"/>
        <v>H004854</v>
      </c>
    </row>
    <row r="1177">
      <c r="A1177" s="1" t="s">
        <v>5950</v>
      </c>
      <c r="B1177" s="1" t="s">
        <v>5951</v>
      </c>
      <c r="C1177" s="1" t="s">
        <v>5952</v>
      </c>
      <c r="D1177" s="1" t="s">
        <v>5953</v>
      </c>
      <c r="E1177" s="1">
        <v>2425.0</v>
      </c>
      <c r="F1177" s="1" t="s">
        <v>288</v>
      </c>
      <c r="G1177" s="1">
        <v>729375.0</v>
      </c>
      <c r="H1177" s="1" t="s">
        <v>1050</v>
      </c>
      <c r="I1177" s="1" t="s">
        <v>1051</v>
      </c>
      <c r="J1177" s="1"/>
      <c r="K1177" s="1" t="s">
        <v>23</v>
      </c>
      <c r="L1177" s="1" t="s">
        <v>5954</v>
      </c>
      <c r="M1177" s="1">
        <v>0.0</v>
      </c>
      <c r="N1177" s="1">
        <v>1.0</v>
      </c>
      <c r="O1177" s="1" t="s">
        <v>288</v>
      </c>
      <c r="P1177" s="1" t="s">
        <v>488</v>
      </c>
      <c r="Q1177" s="2" t="str">
        <f t="shared" si="1"/>
        <v>H004854</v>
      </c>
    </row>
    <row r="1178">
      <c r="A1178" s="1" t="s">
        <v>5955</v>
      </c>
      <c r="B1178" s="1" t="s">
        <v>5956</v>
      </c>
      <c r="C1178" s="1" t="s">
        <v>5957</v>
      </c>
      <c r="D1178" s="1" t="s">
        <v>5958</v>
      </c>
      <c r="E1178" s="1">
        <v>3507.0</v>
      </c>
      <c r="F1178" s="1" t="s">
        <v>315</v>
      </c>
      <c r="G1178" s="1">
        <v>555127.0</v>
      </c>
      <c r="H1178" s="1" t="s">
        <v>3047</v>
      </c>
      <c r="I1178" s="1" t="s">
        <v>1051</v>
      </c>
      <c r="J1178" s="1"/>
      <c r="K1178" s="1" t="s">
        <v>23</v>
      </c>
      <c r="L1178" s="1" t="s">
        <v>5959</v>
      </c>
      <c r="M1178" s="1">
        <v>2.0</v>
      </c>
      <c r="N1178" s="1">
        <v>1.0</v>
      </c>
      <c r="O1178" s="1" t="s">
        <v>315</v>
      </c>
      <c r="P1178" s="1" t="s">
        <v>488</v>
      </c>
      <c r="Q1178" s="2" t="str">
        <f t="shared" si="1"/>
        <v>H004137</v>
      </c>
    </row>
    <row r="1179">
      <c r="A1179" s="1" t="s">
        <v>5960</v>
      </c>
      <c r="B1179" s="1" t="s">
        <v>5961</v>
      </c>
      <c r="C1179" s="1" t="s">
        <v>5962</v>
      </c>
      <c r="D1179" s="1" t="s">
        <v>5963</v>
      </c>
      <c r="E1179" s="1">
        <v>4181.0</v>
      </c>
      <c r="F1179" s="1" t="s">
        <v>315</v>
      </c>
      <c r="G1179" s="1">
        <v>555127.0</v>
      </c>
      <c r="H1179" s="1" t="s">
        <v>3047</v>
      </c>
      <c r="I1179" s="1" t="s">
        <v>1051</v>
      </c>
      <c r="J1179" s="1"/>
      <c r="K1179" s="1" t="s">
        <v>23</v>
      </c>
      <c r="L1179" s="1" t="s">
        <v>5964</v>
      </c>
      <c r="M1179" s="1">
        <v>2.0</v>
      </c>
      <c r="N1179" s="1">
        <v>1.0</v>
      </c>
      <c r="O1179" s="1" t="s">
        <v>315</v>
      </c>
      <c r="P1179" s="1" t="s">
        <v>488</v>
      </c>
      <c r="Q1179" s="2" t="str">
        <f t="shared" si="1"/>
        <v>H004137</v>
      </c>
    </row>
    <row r="1180">
      <c r="A1180" s="1" t="s">
        <v>5965</v>
      </c>
      <c r="B1180" s="1" t="s">
        <v>5966</v>
      </c>
      <c r="C1180" s="1" t="s">
        <v>5967</v>
      </c>
      <c r="D1180" s="1" t="s">
        <v>5968</v>
      </c>
      <c r="E1180" s="1">
        <v>5349.0</v>
      </c>
      <c r="F1180" s="1" t="s">
        <v>315</v>
      </c>
      <c r="G1180" s="1">
        <v>841329.0</v>
      </c>
      <c r="H1180" s="1" t="s">
        <v>1848</v>
      </c>
      <c r="I1180" s="1" t="s">
        <v>1051</v>
      </c>
      <c r="J1180" s="1"/>
      <c r="K1180" s="1" t="s">
        <v>23</v>
      </c>
      <c r="L1180" s="1" t="s">
        <v>5969</v>
      </c>
      <c r="M1180" s="1">
        <v>2.0</v>
      </c>
      <c r="N1180" s="1">
        <v>1.0</v>
      </c>
      <c r="O1180" s="1" t="s">
        <v>315</v>
      </c>
      <c r="P1180" s="1" t="s">
        <v>488</v>
      </c>
      <c r="Q1180" s="2" t="str">
        <f t="shared" si="1"/>
        <v>H004137</v>
      </c>
    </row>
    <row r="1181">
      <c r="A1181" s="1" t="s">
        <v>5970</v>
      </c>
      <c r="B1181" s="1" t="s">
        <v>5971</v>
      </c>
      <c r="C1181" s="1" t="s">
        <v>5972</v>
      </c>
      <c r="D1181" s="1" t="s">
        <v>5973</v>
      </c>
      <c r="E1181" s="1">
        <v>3957.0</v>
      </c>
      <c r="F1181" s="1" t="s">
        <v>315</v>
      </c>
      <c r="G1181" s="1">
        <v>841329.0</v>
      </c>
      <c r="H1181" s="1" t="s">
        <v>1848</v>
      </c>
      <c r="I1181" s="1" t="s">
        <v>1051</v>
      </c>
      <c r="J1181" s="1"/>
      <c r="K1181" s="1" t="s">
        <v>23</v>
      </c>
      <c r="L1181" s="1" t="s">
        <v>5974</v>
      </c>
      <c r="M1181" s="1">
        <v>2.0</v>
      </c>
      <c r="N1181" s="1">
        <v>1.0</v>
      </c>
      <c r="O1181" s="1" t="s">
        <v>315</v>
      </c>
      <c r="P1181" s="1" t="s">
        <v>488</v>
      </c>
      <c r="Q1181" s="2" t="str">
        <f t="shared" si="1"/>
        <v>H004137</v>
      </c>
    </row>
    <row r="1182">
      <c r="A1182" s="1" t="s">
        <v>5975</v>
      </c>
      <c r="B1182" s="1" t="s">
        <v>5976</v>
      </c>
      <c r="C1182" s="1" t="s">
        <v>5977</v>
      </c>
      <c r="D1182" s="1" t="s">
        <v>5978</v>
      </c>
      <c r="E1182" s="1">
        <v>3159.0</v>
      </c>
      <c r="F1182" s="1" t="s">
        <v>315</v>
      </c>
      <c r="G1182" s="1">
        <v>841329.0</v>
      </c>
      <c r="H1182" s="1" t="s">
        <v>1848</v>
      </c>
      <c r="I1182" s="1" t="s">
        <v>1051</v>
      </c>
      <c r="J1182" s="1"/>
      <c r="K1182" s="1" t="s">
        <v>23</v>
      </c>
      <c r="L1182" s="1" t="s">
        <v>5979</v>
      </c>
      <c r="M1182" s="1">
        <v>2.0</v>
      </c>
      <c r="N1182" s="1">
        <v>1.0</v>
      </c>
      <c r="O1182" s="1" t="s">
        <v>315</v>
      </c>
      <c r="P1182" s="1" t="s">
        <v>488</v>
      </c>
      <c r="Q1182" s="2" t="str">
        <f t="shared" si="1"/>
        <v>H004137</v>
      </c>
    </row>
    <row r="1183">
      <c r="A1183" s="1" t="s">
        <v>5980</v>
      </c>
      <c r="B1183" s="1" t="s">
        <v>5981</v>
      </c>
      <c r="C1183" s="1" t="s">
        <v>5982</v>
      </c>
      <c r="D1183" s="1" t="s">
        <v>5983</v>
      </c>
      <c r="E1183" s="1">
        <v>4467.0</v>
      </c>
      <c r="F1183" s="1" t="s">
        <v>315</v>
      </c>
      <c r="G1183" s="1">
        <v>841329.0</v>
      </c>
      <c r="H1183" s="1" t="s">
        <v>1848</v>
      </c>
      <c r="I1183" s="1" t="s">
        <v>1051</v>
      </c>
      <c r="J1183" s="1"/>
      <c r="K1183" s="1" t="s">
        <v>23</v>
      </c>
      <c r="L1183" s="1" t="s">
        <v>5984</v>
      </c>
      <c r="M1183" s="1">
        <v>2.0</v>
      </c>
      <c r="N1183" s="1">
        <v>1.0</v>
      </c>
      <c r="O1183" s="1" t="s">
        <v>315</v>
      </c>
      <c r="P1183" s="1" t="s">
        <v>488</v>
      </c>
      <c r="Q1183" s="2" t="str">
        <f t="shared" si="1"/>
        <v>H004137</v>
      </c>
    </row>
    <row r="1184">
      <c r="A1184" s="1" t="s">
        <v>5985</v>
      </c>
      <c r="B1184" s="1" t="s">
        <v>5986</v>
      </c>
      <c r="C1184" s="1" t="s">
        <v>5987</v>
      </c>
      <c r="D1184" s="1" t="s">
        <v>5988</v>
      </c>
      <c r="E1184" s="1">
        <v>2608.0</v>
      </c>
      <c r="F1184" s="1" t="s">
        <v>382</v>
      </c>
      <c r="G1184" s="1" t="s">
        <v>107</v>
      </c>
      <c r="H1184" s="1" t="s">
        <v>108</v>
      </c>
      <c r="I1184" s="1" t="s">
        <v>486</v>
      </c>
      <c r="J1184" s="1"/>
      <c r="K1184" s="1" t="s">
        <v>23</v>
      </c>
      <c r="L1184" s="1" t="s">
        <v>5989</v>
      </c>
      <c r="M1184" s="1">
        <v>0.0</v>
      </c>
      <c r="N1184" s="1">
        <v>1.0</v>
      </c>
      <c r="O1184" s="1" t="s">
        <v>382</v>
      </c>
      <c r="P1184" s="1" t="s">
        <v>488</v>
      </c>
      <c r="Q1184" s="2" t="str">
        <f t="shared" si="1"/>
        <v>H006863</v>
      </c>
    </row>
    <row r="1185">
      <c r="A1185" s="1" t="s">
        <v>5990</v>
      </c>
      <c r="B1185" s="1" t="s">
        <v>5991</v>
      </c>
      <c r="C1185" s="1" t="s">
        <v>5992</v>
      </c>
      <c r="D1185" s="1" t="s">
        <v>5993</v>
      </c>
      <c r="E1185" s="1">
        <v>3660.0</v>
      </c>
      <c r="F1185" s="1" t="s">
        <v>351</v>
      </c>
      <c r="G1185" s="1" t="s">
        <v>208</v>
      </c>
      <c r="H1185" s="1" t="s">
        <v>209</v>
      </c>
      <c r="I1185" s="1" t="s">
        <v>486</v>
      </c>
      <c r="J1185" s="1"/>
      <c r="K1185" s="1" t="s">
        <v>23</v>
      </c>
      <c r="L1185" s="1" t="s">
        <v>5994</v>
      </c>
      <c r="M1185" s="1">
        <v>3.0</v>
      </c>
      <c r="N1185" s="1">
        <v>1.0</v>
      </c>
      <c r="O1185" s="1" t="s">
        <v>351</v>
      </c>
      <c r="P1185" s="1" t="s">
        <v>488</v>
      </c>
      <c r="Q1185" s="2" t="str">
        <f t="shared" si="1"/>
        <v>H006233</v>
      </c>
    </row>
    <row r="1186">
      <c r="A1186" s="1" t="s">
        <v>5995</v>
      </c>
      <c r="B1186" s="1" t="s">
        <v>5996</v>
      </c>
      <c r="C1186" s="1" t="s">
        <v>5997</v>
      </c>
      <c r="D1186" s="1" t="s">
        <v>5998</v>
      </c>
      <c r="E1186" s="1">
        <v>4708.0</v>
      </c>
      <c r="F1186" s="1" t="s">
        <v>351</v>
      </c>
      <c r="G1186" s="1" t="s">
        <v>208</v>
      </c>
      <c r="H1186" s="1" t="s">
        <v>209</v>
      </c>
      <c r="I1186" s="1" t="s">
        <v>486</v>
      </c>
      <c r="J1186" s="1"/>
      <c r="K1186" s="1" t="s">
        <v>23</v>
      </c>
      <c r="L1186" s="1" t="s">
        <v>5999</v>
      </c>
      <c r="M1186" s="1">
        <v>3.0</v>
      </c>
      <c r="N1186" s="1">
        <v>1.0</v>
      </c>
      <c r="O1186" s="1" t="s">
        <v>351</v>
      </c>
      <c r="P1186" s="1" t="s">
        <v>488</v>
      </c>
      <c r="Q1186" s="2" t="str">
        <f t="shared" si="1"/>
        <v>H006233</v>
      </c>
    </row>
    <row r="1187">
      <c r="A1187" s="1" t="s">
        <v>6000</v>
      </c>
      <c r="B1187" s="1" t="s">
        <v>6001</v>
      </c>
      <c r="C1187" s="1" t="s">
        <v>6002</v>
      </c>
      <c r="D1187" s="1" t="s">
        <v>6003</v>
      </c>
      <c r="E1187" s="1">
        <v>4151.0</v>
      </c>
      <c r="F1187" s="1" t="s">
        <v>351</v>
      </c>
      <c r="G1187" s="1" t="s">
        <v>208</v>
      </c>
      <c r="H1187" s="1" t="s">
        <v>209</v>
      </c>
      <c r="I1187" s="1" t="s">
        <v>486</v>
      </c>
      <c r="J1187" s="1"/>
      <c r="K1187" s="1" t="s">
        <v>23</v>
      </c>
      <c r="L1187" s="1" t="s">
        <v>6004</v>
      </c>
      <c r="M1187" s="1">
        <v>3.0</v>
      </c>
      <c r="N1187" s="1">
        <v>1.0</v>
      </c>
      <c r="O1187" s="1" t="s">
        <v>351</v>
      </c>
      <c r="P1187" s="1" t="s">
        <v>488</v>
      </c>
      <c r="Q1187" s="2" t="str">
        <f t="shared" si="1"/>
        <v>H006233</v>
      </c>
    </row>
    <row r="1188">
      <c r="A1188" s="1" t="s">
        <v>6005</v>
      </c>
      <c r="B1188" s="1" t="s">
        <v>6006</v>
      </c>
      <c r="C1188" s="1" t="s">
        <v>6007</v>
      </c>
      <c r="D1188" s="1" t="s">
        <v>6008</v>
      </c>
      <c r="E1188" s="1">
        <v>7088.0</v>
      </c>
      <c r="F1188" s="1" t="s">
        <v>288</v>
      </c>
      <c r="G1188" s="1">
        <v>859767.0</v>
      </c>
      <c r="H1188" s="1" t="s">
        <v>2565</v>
      </c>
      <c r="I1188" s="1" t="s">
        <v>1051</v>
      </c>
      <c r="J1188" s="1"/>
      <c r="K1188" s="1" t="s">
        <v>23</v>
      </c>
      <c r="L1188" s="1" t="s">
        <v>6009</v>
      </c>
      <c r="M1188" s="1">
        <v>3.0</v>
      </c>
      <c r="N1188" s="1">
        <v>1.0</v>
      </c>
      <c r="O1188" s="1" t="s">
        <v>288</v>
      </c>
      <c r="P1188" s="1" t="s">
        <v>488</v>
      </c>
      <c r="Q1188" s="2" t="str">
        <f t="shared" si="1"/>
        <v>H004344</v>
      </c>
    </row>
    <row r="1189">
      <c r="A1189" s="1" t="s">
        <v>6010</v>
      </c>
      <c r="B1189" s="1" t="s">
        <v>6011</v>
      </c>
      <c r="C1189" s="1" t="s">
        <v>6012</v>
      </c>
      <c r="D1189" s="1" t="s">
        <v>6013</v>
      </c>
      <c r="E1189" s="1">
        <v>4780.0</v>
      </c>
      <c r="F1189" s="1" t="s">
        <v>288</v>
      </c>
      <c r="G1189" s="1">
        <v>859767.0</v>
      </c>
      <c r="H1189" s="1" t="s">
        <v>2565</v>
      </c>
      <c r="I1189" s="1" t="s">
        <v>1051</v>
      </c>
      <c r="J1189" s="1"/>
      <c r="K1189" s="1" t="s">
        <v>23</v>
      </c>
      <c r="L1189" s="1" t="s">
        <v>6014</v>
      </c>
      <c r="M1189" s="1">
        <v>3.0</v>
      </c>
      <c r="N1189" s="1">
        <v>1.0</v>
      </c>
      <c r="O1189" s="1" t="s">
        <v>288</v>
      </c>
      <c r="P1189" s="1" t="s">
        <v>488</v>
      </c>
      <c r="Q1189" s="2" t="str">
        <f t="shared" si="1"/>
        <v>H004344</v>
      </c>
    </row>
    <row r="1190">
      <c r="A1190" s="1" t="s">
        <v>6015</v>
      </c>
      <c r="B1190" s="1" t="s">
        <v>6016</v>
      </c>
      <c r="C1190" s="1" t="s">
        <v>6017</v>
      </c>
      <c r="D1190" s="1" t="s">
        <v>6018</v>
      </c>
      <c r="E1190" s="1">
        <v>5652.0</v>
      </c>
      <c r="F1190" s="1" t="s">
        <v>288</v>
      </c>
      <c r="G1190" s="1">
        <v>859767.0</v>
      </c>
      <c r="H1190" s="1" t="s">
        <v>2565</v>
      </c>
      <c r="I1190" s="1" t="s">
        <v>1051</v>
      </c>
      <c r="J1190" s="1"/>
      <c r="K1190" s="1" t="s">
        <v>23</v>
      </c>
      <c r="L1190" s="1" t="s">
        <v>6019</v>
      </c>
      <c r="M1190" s="1">
        <v>3.0</v>
      </c>
      <c r="N1190" s="1">
        <v>1.0</v>
      </c>
      <c r="O1190" s="1" t="s">
        <v>288</v>
      </c>
      <c r="P1190" s="1" t="s">
        <v>488</v>
      </c>
      <c r="Q1190" s="2" t="str">
        <f t="shared" si="1"/>
        <v>H004344</v>
      </c>
    </row>
    <row r="1191">
      <c r="A1191" s="1" t="s">
        <v>6020</v>
      </c>
      <c r="B1191" s="1" t="s">
        <v>6021</v>
      </c>
      <c r="C1191" s="1" t="s">
        <v>6022</v>
      </c>
      <c r="D1191" s="1" t="s">
        <v>6023</v>
      </c>
      <c r="E1191" s="1">
        <v>3446.0</v>
      </c>
      <c r="F1191" s="1" t="s">
        <v>351</v>
      </c>
      <c r="G1191" s="1" t="s">
        <v>57</v>
      </c>
      <c r="H1191" s="1" t="s">
        <v>58</v>
      </c>
      <c r="I1191" s="1" t="s">
        <v>486</v>
      </c>
      <c r="J1191" s="1"/>
      <c r="K1191" s="1" t="s">
        <v>23</v>
      </c>
      <c r="L1191" s="1" t="s">
        <v>6024</v>
      </c>
      <c r="M1191" s="1">
        <v>3.0</v>
      </c>
      <c r="N1191" s="1">
        <v>1.0</v>
      </c>
      <c r="O1191" s="1" t="s">
        <v>351</v>
      </c>
      <c r="P1191" s="1" t="s">
        <v>488</v>
      </c>
      <c r="Q1191" s="2" t="str">
        <f t="shared" si="1"/>
        <v>H006233</v>
      </c>
    </row>
    <row r="1192">
      <c r="A1192" s="1" t="s">
        <v>6025</v>
      </c>
      <c r="B1192" s="1" t="s">
        <v>6026</v>
      </c>
      <c r="C1192" s="1" t="s">
        <v>6027</v>
      </c>
      <c r="D1192" s="1" t="s">
        <v>6028</v>
      </c>
      <c r="E1192" s="1">
        <v>3220.0</v>
      </c>
      <c r="F1192" s="1" t="s">
        <v>351</v>
      </c>
      <c r="G1192" s="1" t="s">
        <v>57</v>
      </c>
      <c r="H1192" s="1" t="s">
        <v>58</v>
      </c>
      <c r="I1192" s="1" t="s">
        <v>486</v>
      </c>
      <c r="J1192" s="1"/>
      <c r="K1192" s="1" t="s">
        <v>23</v>
      </c>
      <c r="L1192" s="1" t="s">
        <v>6029</v>
      </c>
      <c r="M1192" s="1">
        <v>3.0</v>
      </c>
      <c r="N1192" s="1">
        <v>1.0</v>
      </c>
      <c r="O1192" s="1" t="s">
        <v>351</v>
      </c>
      <c r="P1192" s="1" t="s">
        <v>488</v>
      </c>
      <c r="Q1192" s="2" t="str">
        <f t="shared" si="1"/>
        <v>H006233</v>
      </c>
    </row>
    <row r="1193">
      <c r="A1193" s="1" t="s">
        <v>6030</v>
      </c>
      <c r="B1193" s="1" t="s">
        <v>6031</v>
      </c>
      <c r="C1193" s="1" t="s">
        <v>6032</v>
      </c>
      <c r="D1193" s="1" t="s">
        <v>6033</v>
      </c>
      <c r="E1193" s="1">
        <v>3310.0</v>
      </c>
      <c r="F1193" s="1" t="s">
        <v>351</v>
      </c>
      <c r="G1193" s="1" t="s">
        <v>57</v>
      </c>
      <c r="H1193" s="1" t="s">
        <v>58</v>
      </c>
      <c r="I1193" s="1" t="s">
        <v>486</v>
      </c>
      <c r="J1193" s="1"/>
      <c r="K1193" s="1" t="s">
        <v>23</v>
      </c>
      <c r="L1193" s="1" t="s">
        <v>6034</v>
      </c>
      <c r="M1193" s="1">
        <v>3.0</v>
      </c>
      <c r="N1193" s="1">
        <v>1.0</v>
      </c>
      <c r="O1193" s="1" t="s">
        <v>351</v>
      </c>
      <c r="P1193" s="1" t="s">
        <v>488</v>
      </c>
      <c r="Q1193" s="2" t="str">
        <f t="shared" si="1"/>
        <v>H006233</v>
      </c>
    </row>
    <row r="1194">
      <c r="A1194" s="1" t="s">
        <v>6035</v>
      </c>
      <c r="B1194" s="1" t="s">
        <v>6036</v>
      </c>
      <c r="C1194" s="1" t="s">
        <v>6037</v>
      </c>
      <c r="D1194" s="1" t="s">
        <v>6038</v>
      </c>
      <c r="E1194" s="1">
        <v>4750.0</v>
      </c>
      <c r="F1194" s="1" t="s">
        <v>398</v>
      </c>
      <c r="G1194" s="1" t="s">
        <v>179</v>
      </c>
      <c r="H1194" s="1" t="s">
        <v>180</v>
      </c>
      <c r="I1194" s="1" t="s">
        <v>1112</v>
      </c>
      <c r="J1194" s="1"/>
      <c r="K1194" s="1" t="s">
        <v>23</v>
      </c>
      <c r="L1194" s="1" t="s">
        <v>6039</v>
      </c>
      <c r="M1194" s="1">
        <v>0.0</v>
      </c>
      <c r="N1194" s="1">
        <v>1.0</v>
      </c>
      <c r="O1194" s="1" t="s">
        <v>398</v>
      </c>
      <c r="P1194" s="1" t="s">
        <v>488</v>
      </c>
      <c r="Q1194" s="2" t="str">
        <f t="shared" si="1"/>
        <v>H030640</v>
      </c>
    </row>
    <row r="1195">
      <c r="A1195" s="1" t="s">
        <v>6040</v>
      </c>
      <c r="B1195" s="1" t="s">
        <v>6041</v>
      </c>
      <c r="C1195" s="1" t="s">
        <v>6042</v>
      </c>
      <c r="D1195" s="1" t="s">
        <v>6043</v>
      </c>
      <c r="E1195" s="1">
        <v>5462.0</v>
      </c>
      <c r="F1195" s="1" t="s">
        <v>398</v>
      </c>
      <c r="G1195" s="1" t="s">
        <v>232</v>
      </c>
      <c r="H1195" s="1" t="s">
        <v>233</v>
      </c>
      <c r="I1195" s="1" t="s">
        <v>1112</v>
      </c>
      <c r="J1195" s="1"/>
      <c r="K1195" s="1" t="s">
        <v>23</v>
      </c>
      <c r="L1195" s="1" t="s">
        <v>6044</v>
      </c>
      <c r="M1195" s="1">
        <v>0.0</v>
      </c>
      <c r="N1195" s="1">
        <v>1.0</v>
      </c>
      <c r="O1195" s="1" t="s">
        <v>398</v>
      </c>
      <c r="P1195" s="1" t="s">
        <v>488</v>
      </c>
      <c r="Q1195" s="2" t="str">
        <f t="shared" si="1"/>
        <v>H030640</v>
      </c>
    </row>
    <row r="1196">
      <c r="A1196" s="1" t="s">
        <v>6045</v>
      </c>
      <c r="B1196" s="1" t="s">
        <v>6046</v>
      </c>
      <c r="C1196" s="1" t="s">
        <v>6047</v>
      </c>
      <c r="D1196" s="1" t="s">
        <v>6048</v>
      </c>
      <c r="E1196" s="1">
        <v>5420.0</v>
      </c>
      <c r="F1196" s="1" t="s">
        <v>398</v>
      </c>
      <c r="G1196" s="1" t="s">
        <v>232</v>
      </c>
      <c r="H1196" s="1" t="s">
        <v>233</v>
      </c>
      <c r="I1196" s="1" t="s">
        <v>1112</v>
      </c>
      <c r="J1196" s="1"/>
      <c r="K1196" s="1" t="s">
        <v>23</v>
      </c>
      <c r="L1196" s="1" t="s">
        <v>6049</v>
      </c>
      <c r="M1196" s="1">
        <v>0.0</v>
      </c>
      <c r="N1196" s="1">
        <v>1.0</v>
      </c>
      <c r="O1196" s="1" t="s">
        <v>398</v>
      </c>
      <c r="P1196" s="1" t="s">
        <v>488</v>
      </c>
      <c r="Q1196" s="2" t="str">
        <f t="shared" si="1"/>
        <v>H030640</v>
      </c>
    </row>
    <row r="1197">
      <c r="A1197" s="1" t="s">
        <v>6050</v>
      </c>
      <c r="B1197" s="1" t="s">
        <v>6051</v>
      </c>
      <c r="C1197" s="1" t="s">
        <v>6052</v>
      </c>
      <c r="D1197" s="1" t="s">
        <v>6053</v>
      </c>
      <c r="E1197" s="1">
        <v>2015.0</v>
      </c>
      <c r="F1197" s="1" t="s">
        <v>382</v>
      </c>
      <c r="G1197" s="1" t="s">
        <v>191</v>
      </c>
      <c r="H1197" s="1" t="s">
        <v>192</v>
      </c>
      <c r="I1197" s="1" t="s">
        <v>486</v>
      </c>
      <c r="J1197" s="1"/>
      <c r="K1197" s="1" t="s">
        <v>23</v>
      </c>
      <c r="L1197" s="1" t="s">
        <v>6054</v>
      </c>
      <c r="M1197" s="1">
        <v>2.0</v>
      </c>
      <c r="N1197" s="1">
        <v>1.0</v>
      </c>
      <c r="O1197" s="1" t="s">
        <v>382</v>
      </c>
      <c r="P1197" s="1" t="s">
        <v>488</v>
      </c>
      <c r="Q1197" s="2" t="str">
        <f t="shared" si="1"/>
        <v>H006817</v>
      </c>
    </row>
    <row r="1198">
      <c r="A1198" s="1" t="s">
        <v>6055</v>
      </c>
      <c r="B1198" s="1" t="s">
        <v>6056</v>
      </c>
      <c r="C1198" s="1" t="s">
        <v>6057</v>
      </c>
      <c r="D1198" s="1" t="s">
        <v>6058</v>
      </c>
      <c r="E1198" s="1">
        <v>3527.0</v>
      </c>
      <c r="F1198" s="1" t="s">
        <v>382</v>
      </c>
      <c r="G1198" s="1" t="s">
        <v>191</v>
      </c>
      <c r="H1198" s="1" t="s">
        <v>192</v>
      </c>
      <c r="I1198" s="1" t="s">
        <v>486</v>
      </c>
      <c r="J1198" s="1"/>
      <c r="K1198" s="1" t="s">
        <v>23</v>
      </c>
      <c r="L1198" s="1" t="s">
        <v>6059</v>
      </c>
      <c r="M1198" s="1">
        <v>2.0</v>
      </c>
      <c r="N1198" s="1">
        <v>1.0</v>
      </c>
      <c r="O1198" s="1" t="s">
        <v>382</v>
      </c>
      <c r="P1198" s="1" t="s">
        <v>488</v>
      </c>
      <c r="Q1198" s="2" t="str">
        <f t="shared" si="1"/>
        <v>H006817</v>
      </c>
    </row>
    <row r="1199">
      <c r="A1199" s="1" t="s">
        <v>6060</v>
      </c>
      <c r="B1199" s="1" t="s">
        <v>6061</v>
      </c>
      <c r="C1199" s="1" t="s">
        <v>6062</v>
      </c>
      <c r="D1199" s="1" t="s">
        <v>6063</v>
      </c>
      <c r="E1199" s="1">
        <v>3235.0</v>
      </c>
      <c r="F1199" s="1" t="s">
        <v>382</v>
      </c>
      <c r="G1199" s="1" t="s">
        <v>191</v>
      </c>
      <c r="H1199" s="1" t="s">
        <v>192</v>
      </c>
      <c r="I1199" s="1" t="s">
        <v>486</v>
      </c>
      <c r="J1199" s="1"/>
      <c r="K1199" s="1" t="s">
        <v>23</v>
      </c>
      <c r="L1199" s="1" t="s">
        <v>6064</v>
      </c>
      <c r="M1199" s="1">
        <v>2.0</v>
      </c>
      <c r="N1199" s="1">
        <v>1.0</v>
      </c>
      <c r="O1199" s="1" t="s">
        <v>382</v>
      </c>
      <c r="P1199" s="1" t="s">
        <v>488</v>
      </c>
      <c r="Q1199" s="2" t="str">
        <f t="shared" si="1"/>
        <v>H006817</v>
      </c>
    </row>
    <row r="1200">
      <c r="A1200" s="1" t="s">
        <v>6065</v>
      </c>
      <c r="B1200" s="1" t="s">
        <v>6066</v>
      </c>
      <c r="C1200" s="1" t="s">
        <v>6067</v>
      </c>
      <c r="D1200" s="1" t="s">
        <v>6068</v>
      </c>
      <c r="E1200" s="1">
        <v>2768.0</v>
      </c>
      <c r="F1200" s="1" t="s">
        <v>315</v>
      </c>
      <c r="G1200" s="1">
        <v>455939.0</v>
      </c>
      <c r="H1200" s="1" t="s">
        <v>2746</v>
      </c>
      <c r="I1200" s="1" t="s">
        <v>1051</v>
      </c>
      <c r="J1200" s="1"/>
      <c r="K1200" s="1" t="s">
        <v>23</v>
      </c>
      <c r="L1200" s="1" t="s">
        <v>6069</v>
      </c>
      <c r="M1200" s="1">
        <v>2.0</v>
      </c>
      <c r="N1200" s="1">
        <v>1.0</v>
      </c>
      <c r="O1200" s="1" t="s">
        <v>315</v>
      </c>
      <c r="P1200" s="1" t="s">
        <v>488</v>
      </c>
      <c r="Q1200" s="2" t="str">
        <f t="shared" si="1"/>
        <v>H004137</v>
      </c>
    </row>
    <row r="1201">
      <c r="A1201" s="1" t="s">
        <v>6070</v>
      </c>
      <c r="B1201" s="1" t="s">
        <v>6071</v>
      </c>
      <c r="C1201" s="1" t="s">
        <v>6072</v>
      </c>
      <c r="D1201" s="1" t="s">
        <v>6073</v>
      </c>
      <c r="E1201" s="1">
        <v>4115.0</v>
      </c>
      <c r="F1201" s="1" t="s">
        <v>315</v>
      </c>
      <c r="G1201" s="1">
        <v>455939.0</v>
      </c>
      <c r="H1201" s="1" t="s">
        <v>2746</v>
      </c>
      <c r="I1201" s="1" t="s">
        <v>1051</v>
      </c>
      <c r="J1201" s="1"/>
      <c r="K1201" s="1" t="s">
        <v>23</v>
      </c>
      <c r="L1201" s="1" t="s">
        <v>6074</v>
      </c>
      <c r="M1201" s="1">
        <v>2.0</v>
      </c>
      <c r="N1201" s="1">
        <v>1.0</v>
      </c>
      <c r="O1201" s="1" t="s">
        <v>315</v>
      </c>
      <c r="P1201" s="1" t="s">
        <v>488</v>
      </c>
      <c r="Q1201" s="2" t="str">
        <f t="shared" si="1"/>
        <v>H004137</v>
      </c>
    </row>
    <row r="1202">
      <c r="A1202" s="1" t="s">
        <v>6075</v>
      </c>
      <c r="B1202" s="1" t="s">
        <v>6076</v>
      </c>
      <c r="C1202" s="1" t="s">
        <v>6077</v>
      </c>
      <c r="D1202" s="1" t="s">
        <v>6078</v>
      </c>
      <c r="E1202" s="1">
        <v>2543.0</v>
      </c>
      <c r="F1202" s="1" t="s">
        <v>315</v>
      </c>
      <c r="G1202" s="1">
        <v>455939.0</v>
      </c>
      <c r="H1202" s="1" t="s">
        <v>2746</v>
      </c>
      <c r="I1202" s="1" t="s">
        <v>1051</v>
      </c>
      <c r="J1202" s="1"/>
      <c r="K1202" s="1" t="s">
        <v>23</v>
      </c>
      <c r="L1202" s="1" t="s">
        <v>6079</v>
      </c>
      <c r="M1202" s="1">
        <v>2.0</v>
      </c>
      <c r="N1202" s="1">
        <v>1.0</v>
      </c>
      <c r="O1202" s="1" t="s">
        <v>315</v>
      </c>
      <c r="P1202" s="1" t="s">
        <v>488</v>
      </c>
      <c r="Q1202" s="2" t="str">
        <f t="shared" si="1"/>
        <v>H004137</v>
      </c>
    </row>
    <row r="1203">
      <c r="A1203" s="1" t="s">
        <v>6080</v>
      </c>
      <c r="B1203" s="1" t="s">
        <v>6081</v>
      </c>
      <c r="C1203" s="1" t="s">
        <v>6082</v>
      </c>
      <c r="D1203" s="1" t="s">
        <v>6083</v>
      </c>
      <c r="E1203" s="1">
        <v>2521.0</v>
      </c>
      <c r="F1203" s="1" t="s">
        <v>315</v>
      </c>
      <c r="G1203" s="1">
        <v>455939.0</v>
      </c>
      <c r="H1203" s="1" t="s">
        <v>2746</v>
      </c>
      <c r="I1203" s="1" t="s">
        <v>1051</v>
      </c>
      <c r="J1203" s="1"/>
      <c r="K1203" s="1" t="s">
        <v>23</v>
      </c>
      <c r="L1203" s="1" t="s">
        <v>6084</v>
      </c>
      <c r="M1203" s="1">
        <v>2.0</v>
      </c>
      <c r="N1203" s="1">
        <v>1.0</v>
      </c>
      <c r="O1203" s="1" t="s">
        <v>315</v>
      </c>
      <c r="P1203" s="1" t="s">
        <v>488</v>
      </c>
      <c r="Q1203" s="2" t="str">
        <f t="shared" si="1"/>
        <v>H004137</v>
      </c>
    </row>
    <row r="1204">
      <c r="A1204" s="1" t="s">
        <v>6085</v>
      </c>
      <c r="B1204" s="1" t="s">
        <v>6086</v>
      </c>
      <c r="C1204" s="1" t="s">
        <v>6087</v>
      </c>
      <c r="D1204" s="1" t="s">
        <v>6088</v>
      </c>
      <c r="E1204" s="1">
        <v>2773.0</v>
      </c>
      <c r="F1204" s="1" t="s">
        <v>315</v>
      </c>
      <c r="G1204" s="1">
        <v>455939.0</v>
      </c>
      <c r="H1204" s="1" t="s">
        <v>2746</v>
      </c>
      <c r="I1204" s="1" t="s">
        <v>1051</v>
      </c>
      <c r="J1204" s="1"/>
      <c r="K1204" s="1" t="s">
        <v>23</v>
      </c>
      <c r="L1204" s="1" t="s">
        <v>6089</v>
      </c>
      <c r="M1204" s="1">
        <v>2.0</v>
      </c>
      <c r="N1204" s="1">
        <v>1.0</v>
      </c>
      <c r="O1204" s="1" t="s">
        <v>315</v>
      </c>
      <c r="P1204" s="1" t="s">
        <v>488</v>
      </c>
      <c r="Q1204" s="2" t="str">
        <f t="shared" si="1"/>
        <v>H004137</v>
      </c>
    </row>
    <row r="1205">
      <c r="A1205" s="1" t="s">
        <v>6090</v>
      </c>
      <c r="B1205" s="1" t="s">
        <v>6091</v>
      </c>
      <c r="C1205" s="1" t="s">
        <v>6092</v>
      </c>
      <c r="D1205" s="1" t="s">
        <v>6093</v>
      </c>
      <c r="E1205" s="1">
        <v>2996.0</v>
      </c>
      <c r="F1205" s="1" t="s">
        <v>288</v>
      </c>
      <c r="G1205" s="1">
        <v>729375.0</v>
      </c>
      <c r="H1205" s="1" t="s">
        <v>1050</v>
      </c>
      <c r="I1205" s="1" t="s">
        <v>1051</v>
      </c>
      <c r="J1205" s="1"/>
      <c r="K1205" s="1" t="s">
        <v>23</v>
      </c>
      <c r="L1205" s="1" t="s">
        <v>6094</v>
      </c>
      <c r="M1205" s="1">
        <v>3.0</v>
      </c>
      <c r="N1205" s="1">
        <v>1.0</v>
      </c>
      <c r="O1205" s="1" t="s">
        <v>288</v>
      </c>
      <c r="P1205" s="1" t="s">
        <v>488</v>
      </c>
      <c r="Q1205" s="2" t="str">
        <f t="shared" si="1"/>
        <v>H004344</v>
      </c>
    </row>
    <row r="1206">
      <c r="A1206" s="1" t="s">
        <v>6095</v>
      </c>
      <c r="B1206" s="1" t="s">
        <v>6096</v>
      </c>
      <c r="C1206" s="1" t="s">
        <v>6097</v>
      </c>
      <c r="D1206" s="1" t="s">
        <v>6098</v>
      </c>
      <c r="E1206" s="1">
        <v>2135.0</v>
      </c>
      <c r="F1206" s="1" t="s">
        <v>288</v>
      </c>
      <c r="G1206" s="1">
        <v>729375.0</v>
      </c>
      <c r="H1206" s="1" t="s">
        <v>1050</v>
      </c>
      <c r="I1206" s="1" t="s">
        <v>1051</v>
      </c>
      <c r="J1206" s="1"/>
      <c r="K1206" s="1" t="s">
        <v>23</v>
      </c>
      <c r="L1206" s="1" t="s">
        <v>6099</v>
      </c>
      <c r="M1206" s="1">
        <v>3.0</v>
      </c>
      <c r="N1206" s="1">
        <v>1.0</v>
      </c>
      <c r="O1206" s="1" t="s">
        <v>288</v>
      </c>
      <c r="P1206" s="1" t="s">
        <v>488</v>
      </c>
      <c r="Q1206" s="2" t="str">
        <f t="shared" si="1"/>
        <v>H004344</v>
      </c>
    </row>
    <row r="1207">
      <c r="A1207" s="1" t="s">
        <v>6100</v>
      </c>
      <c r="B1207" s="1" t="s">
        <v>6101</v>
      </c>
      <c r="C1207" s="1" t="s">
        <v>6102</v>
      </c>
      <c r="D1207" s="1" t="s">
        <v>6103</v>
      </c>
      <c r="E1207" s="1">
        <v>1447.0</v>
      </c>
      <c r="F1207" s="1" t="s">
        <v>288</v>
      </c>
      <c r="G1207" s="1">
        <v>729375.0</v>
      </c>
      <c r="H1207" s="1" t="s">
        <v>1050</v>
      </c>
      <c r="I1207" s="1" t="s">
        <v>1051</v>
      </c>
      <c r="J1207" s="1"/>
      <c r="K1207" s="1" t="s">
        <v>23</v>
      </c>
      <c r="L1207" s="1" t="s">
        <v>6104</v>
      </c>
      <c r="M1207" s="1">
        <v>3.0</v>
      </c>
      <c r="N1207" s="1">
        <v>1.0</v>
      </c>
      <c r="O1207" s="1" t="s">
        <v>288</v>
      </c>
      <c r="P1207" s="1" t="s">
        <v>488</v>
      </c>
      <c r="Q1207" s="2" t="str">
        <f t="shared" si="1"/>
        <v>H004344</v>
      </c>
    </row>
    <row r="1208">
      <c r="A1208" s="1" t="s">
        <v>6105</v>
      </c>
      <c r="B1208" s="1" t="s">
        <v>6106</v>
      </c>
      <c r="C1208" s="1" t="s">
        <v>6107</v>
      </c>
      <c r="D1208" s="1" t="s">
        <v>6108</v>
      </c>
      <c r="E1208" s="1">
        <v>4111.0</v>
      </c>
      <c r="F1208" s="1" t="s">
        <v>382</v>
      </c>
      <c r="G1208" s="1" t="s">
        <v>119</v>
      </c>
      <c r="H1208" s="1" t="s">
        <v>120</v>
      </c>
      <c r="I1208" s="1" t="s">
        <v>486</v>
      </c>
      <c r="J1208" s="1"/>
      <c r="K1208" s="1" t="s">
        <v>23</v>
      </c>
      <c r="L1208" s="1" t="s">
        <v>6109</v>
      </c>
      <c r="M1208" s="1">
        <v>0.0</v>
      </c>
      <c r="N1208" s="1">
        <v>1.0</v>
      </c>
      <c r="O1208" s="1" t="s">
        <v>382</v>
      </c>
      <c r="P1208" s="1" t="s">
        <v>488</v>
      </c>
      <c r="Q1208" s="2" t="str">
        <f t="shared" si="1"/>
        <v>H006863</v>
      </c>
    </row>
    <row r="1209">
      <c r="A1209" s="1" t="s">
        <v>6110</v>
      </c>
      <c r="B1209" s="1" t="s">
        <v>6111</v>
      </c>
      <c r="C1209" s="1" t="s">
        <v>6112</v>
      </c>
      <c r="D1209" s="1" t="s">
        <v>6113</v>
      </c>
      <c r="E1209" s="1">
        <v>4311.0</v>
      </c>
      <c r="F1209" s="1" t="s">
        <v>382</v>
      </c>
      <c r="G1209" s="1" t="s">
        <v>119</v>
      </c>
      <c r="H1209" s="1" t="s">
        <v>120</v>
      </c>
      <c r="I1209" s="1" t="s">
        <v>486</v>
      </c>
      <c r="J1209" s="1"/>
      <c r="K1209" s="1" t="s">
        <v>23</v>
      </c>
      <c r="L1209" s="1" t="s">
        <v>6114</v>
      </c>
      <c r="M1209" s="1">
        <v>0.0</v>
      </c>
      <c r="N1209" s="1">
        <v>1.0</v>
      </c>
      <c r="O1209" s="1" t="s">
        <v>382</v>
      </c>
      <c r="P1209" s="1" t="s">
        <v>488</v>
      </c>
      <c r="Q1209" s="2" t="str">
        <f t="shared" si="1"/>
        <v>H006863</v>
      </c>
    </row>
    <row r="1210">
      <c r="A1210" s="1" t="s">
        <v>6115</v>
      </c>
      <c r="B1210" s="1" t="s">
        <v>6116</v>
      </c>
      <c r="C1210" s="1" t="s">
        <v>6117</v>
      </c>
      <c r="D1210" s="1" t="s">
        <v>6118</v>
      </c>
      <c r="E1210" s="1">
        <v>6793.0</v>
      </c>
      <c r="F1210" s="1" t="s">
        <v>315</v>
      </c>
      <c r="G1210" s="1">
        <v>841329.0</v>
      </c>
      <c r="H1210" s="1" t="s">
        <v>1848</v>
      </c>
      <c r="I1210" s="1" t="s">
        <v>1051</v>
      </c>
      <c r="J1210" s="1"/>
      <c r="K1210" s="1" t="s">
        <v>23</v>
      </c>
      <c r="L1210" s="1" t="s">
        <v>6119</v>
      </c>
      <c r="M1210" s="1">
        <v>2.0</v>
      </c>
      <c r="N1210" s="1">
        <v>1.0</v>
      </c>
      <c r="O1210" s="1" t="s">
        <v>315</v>
      </c>
      <c r="P1210" s="1" t="s">
        <v>488</v>
      </c>
      <c r="Q1210" s="2" t="str">
        <f t="shared" si="1"/>
        <v>H004137</v>
      </c>
    </row>
    <row r="1211">
      <c r="A1211" s="1" t="s">
        <v>6120</v>
      </c>
      <c r="B1211" s="1" t="s">
        <v>6121</v>
      </c>
      <c r="C1211" s="1" t="s">
        <v>6122</v>
      </c>
      <c r="D1211" s="1" t="s">
        <v>6123</v>
      </c>
      <c r="E1211" s="1">
        <v>4815.0</v>
      </c>
      <c r="F1211" s="1" t="s">
        <v>315</v>
      </c>
      <c r="G1211" s="1">
        <v>555127.0</v>
      </c>
      <c r="H1211" s="1" t="s">
        <v>3047</v>
      </c>
      <c r="I1211" s="1" t="s">
        <v>1051</v>
      </c>
      <c r="J1211" s="1"/>
      <c r="K1211" s="1" t="s">
        <v>23</v>
      </c>
      <c r="L1211" s="1" t="s">
        <v>6124</v>
      </c>
      <c r="M1211" s="1">
        <v>0.0</v>
      </c>
      <c r="N1211" s="1">
        <v>1.0</v>
      </c>
      <c r="O1211" s="1" t="s">
        <v>315</v>
      </c>
      <c r="P1211" s="1" t="s">
        <v>488</v>
      </c>
      <c r="Q1211" s="2" t="str">
        <f t="shared" si="1"/>
        <v>H004541</v>
      </c>
    </row>
    <row r="1212">
      <c r="A1212" s="1" t="s">
        <v>6125</v>
      </c>
      <c r="B1212" s="1" t="s">
        <v>6126</v>
      </c>
      <c r="C1212" s="1" t="s">
        <v>6127</v>
      </c>
      <c r="D1212" s="1" t="s">
        <v>6128</v>
      </c>
      <c r="E1212" s="1">
        <v>3104.0</v>
      </c>
      <c r="F1212" s="1" t="s">
        <v>288</v>
      </c>
      <c r="G1212" s="1">
        <v>859767.0</v>
      </c>
      <c r="H1212" s="1" t="s">
        <v>2565</v>
      </c>
      <c r="I1212" s="1" t="s">
        <v>1051</v>
      </c>
      <c r="J1212" s="1"/>
      <c r="K1212" s="1" t="s">
        <v>23</v>
      </c>
      <c r="L1212" s="1" t="s">
        <v>6129</v>
      </c>
      <c r="M1212" s="1">
        <v>3.0</v>
      </c>
      <c r="N1212" s="1">
        <v>1.0</v>
      </c>
      <c r="O1212" s="1" t="s">
        <v>288</v>
      </c>
      <c r="P1212" s="1" t="s">
        <v>488</v>
      </c>
      <c r="Q1212" s="2" t="str">
        <f t="shared" si="1"/>
        <v>H004344</v>
      </c>
    </row>
    <row r="1213">
      <c r="A1213" s="1" t="s">
        <v>6130</v>
      </c>
      <c r="B1213" s="1" t="s">
        <v>6131</v>
      </c>
      <c r="C1213" s="1" t="s">
        <v>6132</v>
      </c>
      <c r="D1213" s="1" t="s">
        <v>6133</v>
      </c>
      <c r="E1213" s="1">
        <v>3588.0</v>
      </c>
      <c r="F1213" s="1" t="s">
        <v>288</v>
      </c>
      <c r="G1213" s="1">
        <v>859767.0</v>
      </c>
      <c r="H1213" s="1" t="s">
        <v>2565</v>
      </c>
      <c r="I1213" s="1" t="s">
        <v>1051</v>
      </c>
      <c r="J1213" s="1"/>
      <c r="K1213" s="1" t="s">
        <v>23</v>
      </c>
      <c r="L1213" s="1" t="s">
        <v>6134</v>
      </c>
      <c r="M1213" s="1">
        <v>3.0</v>
      </c>
      <c r="N1213" s="1">
        <v>1.0</v>
      </c>
      <c r="O1213" s="1" t="s">
        <v>288</v>
      </c>
      <c r="P1213" s="1" t="s">
        <v>488</v>
      </c>
      <c r="Q1213" s="2" t="str">
        <f t="shared" si="1"/>
        <v>H004344</v>
      </c>
    </row>
    <row r="1214">
      <c r="A1214" s="1" t="s">
        <v>6135</v>
      </c>
      <c r="B1214" s="1" t="s">
        <v>6136</v>
      </c>
      <c r="C1214" s="1" t="s">
        <v>6137</v>
      </c>
      <c r="D1214" s="1" t="s">
        <v>6138</v>
      </c>
      <c r="E1214" s="1">
        <v>2856.0</v>
      </c>
      <c r="F1214" s="1" t="s">
        <v>315</v>
      </c>
      <c r="G1214" s="1">
        <v>455939.0</v>
      </c>
      <c r="H1214" s="1" t="s">
        <v>2746</v>
      </c>
      <c r="I1214" s="1" t="s">
        <v>1051</v>
      </c>
      <c r="J1214" s="1"/>
      <c r="K1214" s="1" t="s">
        <v>23</v>
      </c>
      <c r="L1214" s="1" t="s">
        <v>6139</v>
      </c>
      <c r="M1214" s="1">
        <v>2.0</v>
      </c>
      <c r="N1214" s="1">
        <v>1.0</v>
      </c>
      <c r="O1214" s="1" t="s">
        <v>315</v>
      </c>
      <c r="P1214" s="1" t="s">
        <v>488</v>
      </c>
      <c r="Q1214" s="2" t="str">
        <f t="shared" si="1"/>
        <v>H004137</v>
      </c>
    </row>
    <row r="1215">
      <c r="A1215" s="1" t="s">
        <v>6140</v>
      </c>
      <c r="B1215" s="1" t="s">
        <v>6141</v>
      </c>
      <c r="C1215" s="1" t="s">
        <v>6142</v>
      </c>
      <c r="D1215" s="1" t="s">
        <v>6143</v>
      </c>
      <c r="E1215" s="1">
        <v>3403.0</v>
      </c>
      <c r="F1215" s="1" t="s">
        <v>315</v>
      </c>
      <c r="G1215" s="1">
        <v>455939.0</v>
      </c>
      <c r="H1215" s="1" t="s">
        <v>2746</v>
      </c>
      <c r="I1215" s="1" t="s">
        <v>1051</v>
      </c>
      <c r="J1215" s="1"/>
      <c r="K1215" s="1" t="s">
        <v>23</v>
      </c>
      <c r="L1215" s="1" t="s">
        <v>6144</v>
      </c>
      <c r="M1215" s="1">
        <v>2.0</v>
      </c>
      <c r="N1215" s="1">
        <v>1.0</v>
      </c>
      <c r="O1215" s="1" t="s">
        <v>315</v>
      </c>
      <c r="P1215" s="1" t="s">
        <v>488</v>
      </c>
      <c r="Q1215" s="2" t="str">
        <f t="shared" si="1"/>
        <v>H004137</v>
      </c>
    </row>
    <row r="1216">
      <c r="A1216" s="1" t="s">
        <v>6145</v>
      </c>
      <c r="B1216" s="1" t="s">
        <v>6146</v>
      </c>
      <c r="C1216" s="1" t="s">
        <v>6147</v>
      </c>
      <c r="D1216" s="1" t="s">
        <v>6148</v>
      </c>
      <c r="E1216" s="1">
        <v>5823.0</v>
      </c>
      <c r="F1216" s="1" t="s">
        <v>288</v>
      </c>
      <c r="G1216" s="1">
        <v>859767.0</v>
      </c>
      <c r="H1216" s="1" t="s">
        <v>2565</v>
      </c>
      <c r="I1216" s="1" t="s">
        <v>1051</v>
      </c>
      <c r="J1216" s="1"/>
      <c r="K1216" s="1" t="s">
        <v>23</v>
      </c>
      <c r="L1216" s="1" t="s">
        <v>6149</v>
      </c>
      <c r="M1216" s="1">
        <v>3.0</v>
      </c>
      <c r="N1216" s="1">
        <v>1.0</v>
      </c>
      <c r="O1216" s="1" t="s">
        <v>288</v>
      </c>
      <c r="P1216" s="1" t="s">
        <v>488</v>
      </c>
      <c r="Q1216" s="2" t="str">
        <f t="shared" si="1"/>
        <v>H004344</v>
      </c>
    </row>
    <row r="1217">
      <c r="A1217" s="1" t="s">
        <v>6150</v>
      </c>
      <c r="B1217" s="1" t="s">
        <v>6151</v>
      </c>
      <c r="C1217" s="1" t="s">
        <v>6152</v>
      </c>
      <c r="D1217" s="1" t="s">
        <v>6153</v>
      </c>
      <c r="E1217" s="1">
        <v>4125.0</v>
      </c>
      <c r="F1217" s="1" t="s">
        <v>288</v>
      </c>
      <c r="G1217" s="1" t="s">
        <v>304</v>
      </c>
      <c r="H1217" s="1" t="s">
        <v>272</v>
      </c>
      <c r="I1217" s="1" t="s">
        <v>1051</v>
      </c>
      <c r="J1217" s="1"/>
      <c r="K1217" s="1" t="s">
        <v>23</v>
      </c>
      <c r="L1217" s="1" t="s">
        <v>6154</v>
      </c>
      <c r="M1217" s="1">
        <v>3.0</v>
      </c>
      <c r="N1217" s="1">
        <v>1.0</v>
      </c>
      <c r="O1217" s="1" t="s">
        <v>288</v>
      </c>
      <c r="P1217" s="1" t="s">
        <v>488</v>
      </c>
      <c r="Q1217" s="2" t="str">
        <f t="shared" si="1"/>
        <v>H004344</v>
      </c>
    </row>
    <row r="1218">
      <c r="A1218" s="1" t="s">
        <v>6155</v>
      </c>
      <c r="B1218" s="1" t="s">
        <v>6156</v>
      </c>
      <c r="C1218" s="1" t="s">
        <v>6157</v>
      </c>
      <c r="D1218" s="1" t="s">
        <v>6158</v>
      </c>
      <c r="E1218" s="1">
        <v>4199.0</v>
      </c>
      <c r="F1218" s="1" t="s">
        <v>288</v>
      </c>
      <c r="G1218" s="1" t="s">
        <v>304</v>
      </c>
      <c r="H1218" s="1" t="s">
        <v>272</v>
      </c>
      <c r="I1218" s="1" t="s">
        <v>1051</v>
      </c>
      <c r="J1218" s="1"/>
      <c r="K1218" s="1" t="s">
        <v>23</v>
      </c>
      <c r="L1218" s="1" t="s">
        <v>6159</v>
      </c>
      <c r="M1218" s="1">
        <v>3.0</v>
      </c>
      <c r="N1218" s="1">
        <v>1.0</v>
      </c>
      <c r="O1218" s="1" t="s">
        <v>288</v>
      </c>
      <c r="P1218" s="1" t="s">
        <v>488</v>
      </c>
      <c r="Q1218" s="2" t="str">
        <f t="shared" si="1"/>
        <v>H004344</v>
      </c>
    </row>
    <row r="1219">
      <c r="A1219" s="1" t="s">
        <v>6160</v>
      </c>
      <c r="B1219" s="1" t="s">
        <v>6161</v>
      </c>
      <c r="C1219" s="1" t="s">
        <v>6162</v>
      </c>
      <c r="D1219" s="1" t="s">
        <v>6163</v>
      </c>
      <c r="E1219" s="1">
        <v>3771.0</v>
      </c>
      <c r="F1219" s="1" t="s">
        <v>288</v>
      </c>
      <c r="G1219" s="1" t="s">
        <v>304</v>
      </c>
      <c r="H1219" s="1" t="s">
        <v>272</v>
      </c>
      <c r="I1219" s="1" t="s">
        <v>1051</v>
      </c>
      <c r="J1219" s="1"/>
      <c r="K1219" s="1" t="s">
        <v>23</v>
      </c>
      <c r="L1219" s="1" t="s">
        <v>6164</v>
      </c>
      <c r="M1219" s="1">
        <v>3.0</v>
      </c>
      <c r="N1219" s="1">
        <v>1.0</v>
      </c>
      <c r="O1219" s="1" t="s">
        <v>288</v>
      </c>
      <c r="P1219" s="1" t="s">
        <v>488</v>
      </c>
      <c r="Q1219" s="2" t="str">
        <f t="shared" si="1"/>
        <v>H004344</v>
      </c>
    </row>
    <row r="1220">
      <c r="A1220" s="1" t="s">
        <v>6165</v>
      </c>
      <c r="B1220" s="1" t="s">
        <v>6166</v>
      </c>
      <c r="C1220" s="1" t="s">
        <v>6167</v>
      </c>
      <c r="D1220" s="1" t="s">
        <v>6168</v>
      </c>
      <c r="E1220" s="1">
        <v>3921.0</v>
      </c>
      <c r="F1220" s="1" t="s">
        <v>315</v>
      </c>
      <c r="G1220" s="1">
        <v>841329.0</v>
      </c>
      <c r="H1220" s="1" t="s">
        <v>1848</v>
      </c>
      <c r="I1220" s="1" t="s">
        <v>1051</v>
      </c>
      <c r="J1220" s="1"/>
      <c r="K1220" s="1" t="s">
        <v>23</v>
      </c>
      <c r="L1220" s="1" t="s">
        <v>6169</v>
      </c>
      <c r="M1220" s="1">
        <v>3.0</v>
      </c>
      <c r="N1220" s="1">
        <v>1.0</v>
      </c>
      <c r="O1220" s="1" t="s">
        <v>315</v>
      </c>
      <c r="P1220" s="1" t="s">
        <v>488</v>
      </c>
      <c r="Q1220" s="2" t="str">
        <f t="shared" si="1"/>
        <v>H004407</v>
      </c>
    </row>
    <row r="1221">
      <c r="A1221" s="1" t="s">
        <v>6170</v>
      </c>
      <c r="B1221" s="1" t="s">
        <v>6171</v>
      </c>
      <c r="C1221" s="1" t="s">
        <v>6172</v>
      </c>
      <c r="D1221" s="1" t="s">
        <v>6173</v>
      </c>
      <c r="E1221" s="1">
        <v>4133.0</v>
      </c>
      <c r="F1221" s="1" t="s">
        <v>315</v>
      </c>
      <c r="G1221" s="1">
        <v>841329.0</v>
      </c>
      <c r="H1221" s="1" t="s">
        <v>1848</v>
      </c>
      <c r="I1221" s="1" t="s">
        <v>1051</v>
      </c>
      <c r="J1221" s="1"/>
      <c r="K1221" s="1" t="s">
        <v>23</v>
      </c>
      <c r="L1221" s="1" t="s">
        <v>6174</v>
      </c>
      <c r="M1221" s="1">
        <v>3.0</v>
      </c>
      <c r="N1221" s="1">
        <v>1.0</v>
      </c>
      <c r="O1221" s="1" t="s">
        <v>315</v>
      </c>
      <c r="P1221" s="1" t="s">
        <v>488</v>
      </c>
      <c r="Q1221" s="2" t="str">
        <f t="shared" si="1"/>
        <v>H004407</v>
      </c>
    </row>
    <row r="1222">
      <c r="A1222" s="1" t="s">
        <v>6175</v>
      </c>
      <c r="B1222" s="1" t="s">
        <v>6176</v>
      </c>
      <c r="C1222" s="1" t="s">
        <v>6177</v>
      </c>
      <c r="D1222" s="1" t="s">
        <v>6178</v>
      </c>
      <c r="E1222" s="1">
        <v>4071.0</v>
      </c>
      <c r="F1222" s="1" t="s">
        <v>315</v>
      </c>
      <c r="G1222" s="1">
        <v>841329.0</v>
      </c>
      <c r="H1222" s="1" t="s">
        <v>1848</v>
      </c>
      <c r="I1222" s="1" t="s">
        <v>1051</v>
      </c>
      <c r="J1222" s="1"/>
      <c r="K1222" s="1" t="s">
        <v>23</v>
      </c>
      <c r="L1222" s="1" t="s">
        <v>6179</v>
      </c>
      <c r="M1222" s="1">
        <v>3.0</v>
      </c>
      <c r="N1222" s="1">
        <v>1.0</v>
      </c>
      <c r="O1222" s="1" t="s">
        <v>315</v>
      </c>
      <c r="P1222" s="1" t="s">
        <v>488</v>
      </c>
      <c r="Q1222" s="2" t="str">
        <f t="shared" si="1"/>
        <v>H004407</v>
      </c>
    </row>
    <row r="1223">
      <c r="A1223" s="1" t="s">
        <v>6180</v>
      </c>
      <c r="B1223" s="1" t="s">
        <v>6181</v>
      </c>
      <c r="C1223" s="1" t="s">
        <v>6182</v>
      </c>
      <c r="D1223" s="1" t="s">
        <v>6183</v>
      </c>
      <c r="E1223" s="1">
        <v>3223.0</v>
      </c>
      <c r="F1223" s="1" t="s">
        <v>315</v>
      </c>
      <c r="G1223" s="1">
        <v>841329.0</v>
      </c>
      <c r="H1223" s="1" t="s">
        <v>1848</v>
      </c>
      <c r="I1223" s="1" t="s">
        <v>1051</v>
      </c>
      <c r="J1223" s="1"/>
      <c r="K1223" s="1" t="s">
        <v>23</v>
      </c>
      <c r="L1223" s="1" t="s">
        <v>6184</v>
      </c>
      <c r="M1223" s="1">
        <v>3.0</v>
      </c>
      <c r="N1223" s="1">
        <v>1.0</v>
      </c>
      <c r="O1223" s="1" t="s">
        <v>315</v>
      </c>
      <c r="P1223" s="1" t="s">
        <v>488</v>
      </c>
      <c r="Q1223" s="2" t="str">
        <f t="shared" si="1"/>
        <v>H004407</v>
      </c>
    </row>
    <row r="1224">
      <c r="A1224" s="1" t="s">
        <v>6185</v>
      </c>
      <c r="B1224" s="1" t="s">
        <v>6186</v>
      </c>
      <c r="C1224" s="1" t="s">
        <v>6187</v>
      </c>
      <c r="D1224" s="1" t="s">
        <v>6188</v>
      </c>
      <c r="E1224" s="1">
        <v>2930.0</v>
      </c>
      <c r="F1224" s="1" t="s">
        <v>315</v>
      </c>
      <c r="G1224" s="1">
        <v>841329.0</v>
      </c>
      <c r="H1224" s="1" t="s">
        <v>1848</v>
      </c>
      <c r="I1224" s="1" t="s">
        <v>1051</v>
      </c>
      <c r="J1224" s="1"/>
      <c r="K1224" s="1" t="s">
        <v>23</v>
      </c>
      <c r="L1224" s="1" t="s">
        <v>6189</v>
      </c>
      <c r="M1224" s="1">
        <v>3.0</v>
      </c>
      <c r="N1224" s="1">
        <v>1.0</v>
      </c>
      <c r="O1224" s="1" t="s">
        <v>315</v>
      </c>
      <c r="P1224" s="1" t="s">
        <v>488</v>
      </c>
      <c r="Q1224" s="2" t="str">
        <f t="shared" si="1"/>
        <v>H004407</v>
      </c>
    </row>
    <row r="1225">
      <c r="A1225" s="1" t="s">
        <v>6190</v>
      </c>
      <c r="B1225" s="1" t="s">
        <v>6191</v>
      </c>
      <c r="C1225" s="1" t="s">
        <v>6192</v>
      </c>
      <c r="D1225" s="1" t="s">
        <v>6193</v>
      </c>
      <c r="E1225" s="1">
        <v>3160.0</v>
      </c>
      <c r="F1225" s="1" t="s">
        <v>288</v>
      </c>
      <c r="G1225" s="1">
        <v>859767.0</v>
      </c>
      <c r="H1225" s="1" t="s">
        <v>2565</v>
      </c>
      <c r="I1225" s="1" t="s">
        <v>1051</v>
      </c>
      <c r="J1225" s="1"/>
      <c r="K1225" s="1" t="s">
        <v>23</v>
      </c>
      <c r="L1225" s="1" t="s">
        <v>6194</v>
      </c>
      <c r="M1225" s="1">
        <v>1.0</v>
      </c>
      <c r="N1225" s="1">
        <v>1.0</v>
      </c>
      <c r="O1225" s="1" t="s">
        <v>288</v>
      </c>
      <c r="P1225" s="1" t="s">
        <v>488</v>
      </c>
      <c r="Q1225" s="2" t="str">
        <f t="shared" si="1"/>
        <v>H004588</v>
      </c>
    </row>
    <row r="1226">
      <c r="A1226" s="1" t="s">
        <v>6195</v>
      </c>
      <c r="B1226" s="1" t="s">
        <v>6196</v>
      </c>
      <c r="C1226" s="1" t="s">
        <v>6197</v>
      </c>
      <c r="D1226" s="1" t="s">
        <v>6198</v>
      </c>
      <c r="E1226" s="1">
        <v>3192.0</v>
      </c>
      <c r="F1226" s="1" t="s">
        <v>288</v>
      </c>
      <c r="G1226" s="1">
        <v>859767.0</v>
      </c>
      <c r="H1226" s="1" t="s">
        <v>2565</v>
      </c>
      <c r="I1226" s="1" t="s">
        <v>1051</v>
      </c>
      <c r="J1226" s="1"/>
      <c r="K1226" s="1" t="s">
        <v>23</v>
      </c>
      <c r="L1226" s="1" t="s">
        <v>6199</v>
      </c>
      <c r="M1226" s="1">
        <v>1.0</v>
      </c>
      <c r="N1226" s="1">
        <v>1.0</v>
      </c>
      <c r="O1226" s="1" t="s">
        <v>288</v>
      </c>
      <c r="P1226" s="1" t="s">
        <v>488</v>
      </c>
      <c r="Q1226" s="2" t="str">
        <f t="shared" si="1"/>
        <v>H004588</v>
      </c>
    </row>
    <row r="1227">
      <c r="A1227" s="1" t="s">
        <v>6200</v>
      </c>
      <c r="B1227" s="1" t="s">
        <v>6201</v>
      </c>
      <c r="C1227" s="1" t="s">
        <v>6202</v>
      </c>
      <c r="D1227" s="1" t="s">
        <v>6203</v>
      </c>
      <c r="E1227" s="1">
        <v>3646.0</v>
      </c>
      <c r="F1227" s="1" t="s">
        <v>288</v>
      </c>
      <c r="G1227" s="1">
        <v>859767.0</v>
      </c>
      <c r="H1227" s="1" t="s">
        <v>2565</v>
      </c>
      <c r="I1227" s="1" t="s">
        <v>1051</v>
      </c>
      <c r="J1227" s="1"/>
      <c r="K1227" s="1" t="s">
        <v>23</v>
      </c>
      <c r="L1227" s="1" t="s">
        <v>6204</v>
      </c>
      <c r="M1227" s="1">
        <v>1.0</v>
      </c>
      <c r="N1227" s="1">
        <v>1.0</v>
      </c>
      <c r="O1227" s="1" t="s">
        <v>288</v>
      </c>
      <c r="P1227" s="1" t="s">
        <v>488</v>
      </c>
      <c r="Q1227" s="2" t="str">
        <f t="shared" si="1"/>
        <v>H004588</v>
      </c>
    </row>
    <row r="1228">
      <c r="A1228" s="1" t="s">
        <v>6205</v>
      </c>
      <c r="B1228" s="1" t="s">
        <v>6206</v>
      </c>
      <c r="C1228" s="1" t="s">
        <v>6207</v>
      </c>
      <c r="D1228" s="1" t="s">
        <v>6208</v>
      </c>
      <c r="E1228" s="1">
        <v>3354.0</v>
      </c>
      <c r="F1228" s="1" t="s">
        <v>288</v>
      </c>
      <c r="G1228" s="1">
        <v>859767.0</v>
      </c>
      <c r="H1228" s="1" t="s">
        <v>2565</v>
      </c>
      <c r="I1228" s="1" t="s">
        <v>1051</v>
      </c>
      <c r="J1228" s="1"/>
      <c r="K1228" s="1" t="s">
        <v>23</v>
      </c>
      <c r="L1228" s="1" t="s">
        <v>6209</v>
      </c>
      <c r="M1228" s="1">
        <v>1.0</v>
      </c>
      <c r="N1228" s="1">
        <v>1.0</v>
      </c>
      <c r="O1228" s="1" t="s">
        <v>288</v>
      </c>
      <c r="P1228" s="1" t="s">
        <v>488</v>
      </c>
      <c r="Q1228" s="2" t="str">
        <f t="shared" si="1"/>
        <v>H004588</v>
      </c>
    </row>
    <row r="1229">
      <c r="A1229" s="1" t="s">
        <v>6210</v>
      </c>
      <c r="B1229" s="1" t="s">
        <v>6211</v>
      </c>
      <c r="C1229" s="1" t="s">
        <v>6212</v>
      </c>
      <c r="D1229" s="1" t="s">
        <v>6213</v>
      </c>
      <c r="E1229" s="1">
        <v>4919.0</v>
      </c>
      <c r="F1229" s="1" t="s">
        <v>498</v>
      </c>
      <c r="G1229" s="1" t="s">
        <v>132</v>
      </c>
      <c r="H1229" s="1" t="s">
        <v>133</v>
      </c>
      <c r="I1229" s="1" t="s">
        <v>1112</v>
      </c>
      <c r="J1229" s="1"/>
      <c r="K1229" s="1" t="s">
        <v>23</v>
      </c>
      <c r="L1229" s="1" t="s">
        <v>6214</v>
      </c>
      <c r="M1229" s="1">
        <v>2.0</v>
      </c>
      <c r="N1229" s="1">
        <v>1.0</v>
      </c>
      <c r="O1229" s="1" t="s">
        <v>498</v>
      </c>
      <c r="P1229" s="1" t="s">
        <v>488</v>
      </c>
      <c r="Q1229" s="2" t="str">
        <f t="shared" si="1"/>
        <v>H030214</v>
      </c>
    </row>
    <row r="1230">
      <c r="A1230" s="1" t="s">
        <v>6215</v>
      </c>
      <c r="B1230" s="1" t="s">
        <v>6216</v>
      </c>
      <c r="C1230" s="1" t="s">
        <v>6217</v>
      </c>
      <c r="D1230" s="1" t="s">
        <v>6218</v>
      </c>
      <c r="E1230" s="1">
        <v>4252.0</v>
      </c>
      <c r="F1230" s="1" t="s">
        <v>498</v>
      </c>
      <c r="G1230" s="1" t="s">
        <v>132</v>
      </c>
      <c r="H1230" s="1" t="s">
        <v>133</v>
      </c>
      <c r="I1230" s="1" t="s">
        <v>1112</v>
      </c>
      <c r="J1230" s="1"/>
      <c r="K1230" s="1" t="s">
        <v>23</v>
      </c>
      <c r="L1230" s="1" t="s">
        <v>6219</v>
      </c>
      <c r="M1230" s="1">
        <v>2.0</v>
      </c>
      <c r="N1230" s="1">
        <v>1.0</v>
      </c>
      <c r="O1230" s="1" t="s">
        <v>498</v>
      </c>
      <c r="P1230" s="1" t="s">
        <v>488</v>
      </c>
      <c r="Q1230" s="2" t="str">
        <f t="shared" si="1"/>
        <v>H030214</v>
      </c>
    </row>
    <row r="1231">
      <c r="A1231" s="1" t="s">
        <v>6220</v>
      </c>
      <c r="B1231" s="1" t="s">
        <v>6221</v>
      </c>
      <c r="C1231" s="1" t="s">
        <v>6222</v>
      </c>
      <c r="D1231" s="1" t="s">
        <v>6223</v>
      </c>
      <c r="E1231" s="1">
        <v>6307.0</v>
      </c>
      <c r="F1231" s="1" t="s">
        <v>498</v>
      </c>
      <c r="G1231" s="1" t="s">
        <v>132</v>
      </c>
      <c r="H1231" s="1" t="s">
        <v>133</v>
      </c>
      <c r="I1231" s="1" t="s">
        <v>1112</v>
      </c>
      <c r="J1231" s="1"/>
      <c r="K1231" s="1" t="s">
        <v>23</v>
      </c>
      <c r="L1231" s="1" t="s">
        <v>6224</v>
      </c>
      <c r="M1231" s="1">
        <v>2.0</v>
      </c>
      <c r="N1231" s="1">
        <v>1.0</v>
      </c>
      <c r="O1231" s="1" t="s">
        <v>498</v>
      </c>
      <c r="P1231" s="1" t="s">
        <v>488</v>
      </c>
      <c r="Q1231" s="2" t="str">
        <f t="shared" si="1"/>
        <v>H030214</v>
      </c>
    </row>
    <row r="1232">
      <c r="A1232" s="1" t="s">
        <v>6225</v>
      </c>
      <c r="B1232" s="1" t="s">
        <v>6226</v>
      </c>
      <c r="C1232" s="1" t="s">
        <v>6227</v>
      </c>
      <c r="D1232" s="1" t="s">
        <v>6228</v>
      </c>
      <c r="E1232" s="1">
        <v>3609.0</v>
      </c>
      <c r="F1232" s="1" t="s">
        <v>498</v>
      </c>
      <c r="G1232" s="1" t="s">
        <v>132</v>
      </c>
      <c r="H1232" s="1" t="s">
        <v>133</v>
      </c>
      <c r="I1232" s="1" t="s">
        <v>1112</v>
      </c>
      <c r="J1232" s="1"/>
      <c r="K1232" s="1" t="s">
        <v>23</v>
      </c>
      <c r="L1232" s="1" t="s">
        <v>6229</v>
      </c>
      <c r="M1232" s="1">
        <v>2.0</v>
      </c>
      <c r="N1232" s="1">
        <v>1.0</v>
      </c>
      <c r="O1232" s="1" t="s">
        <v>498</v>
      </c>
      <c r="P1232" s="1" t="s">
        <v>488</v>
      </c>
      <c r="Q1232" s="2" t="str">
        <f t="shared" si="1"/>
        <v>H030214</v>
      </c>
    </row>
    <row r="1233">
      <c r="A1233" s="1" t="s">
        <v>6230</v>
      </c>
      <c r="B1233" s="1" t="s">
        <v>6231</v>
      </c>
      <c r="C1233" s="1" t="s">
        <v>6232</v>
      </c>
      <c r="D1233" s="1" t="s">
        <v>6233</v>
      </c>
      <c r="E1233" s="1">
        <v>2528.0</v>
      </c>
      <c r="F1233" s="1" t="s">
        <v>288</v>
      </c>
      <c r="G1233" s="1">
        <v>729375.0</v>
      </c>
      <c r="H1233" s="1" t="s">
        <v>1050</v>
      </c>
      <c r="I1233" s="1" t="s">
        <v>1051</v>
      </c>
      <c r="J1233" s="1"/>
      <c r="K1233" s="1" t="s">
        <v>23</v>
      </c>
      <c r="L1233" s="1" t="s">
        <v>6234</v>
      </c>
      <c r="M1233" s="1">
        <v>1.0</v>
      </c>
      <c r="N1233" s="1">
        <v>1.0</v>
      </c>
      <c r="O1233" s="1" t="s">
        <v>288</v>
      </c>
      <c r="P1233" s="1" t="s">
        <v>488</v>
      </c>
      <c r="Q1233" s="2" t="str">
        <f t="shared" si="1"/>
        <v>H004588</v>
      </c>
    </row>
    <row r="1234">
      <c r="A1234" s="1" t="s">
        <v>6235</v>
      </c>
      <c r="B1234" s="1" t="s">
        <v>6236</v>
      </c>
      <c r="C1234" s="1" t="s">
        <v>6237</v>
      </c>
      <c r="D1234" s="1" t="s">
        <v>6238</v>
      </c>
      <c r="E1234" s="1">
        <v>1739.0</v>
      </c>
      <c r="F1234" s="1" t="s">
        <v>288</v>
      </c>
      <c r="G1234" s="1">
        <v>729375.0</v>
      </c>
      <c r="H1234" s="1" t="s">
        <v>1050</v>
      </c>
      <c r="I1234" s="1" t="s">
        <v>1051</v>
      </c>
      <c r="J1234" s="1"/>
      <c r="K1234" s="1" t="s">
        <v>23</v>
      </c>
      <c r="L1234" s="1" t="s">
        <v>6239</v>
      </c>
      <c r="M1234" s="1">
        <v>1.0</v>
      </c>
      <c r="N1234" s="1">
        <v>1.0</v>
      </c>
      <c r="O1234" s="1" t="s">
        <v>288</v>
      </c>
      <c r="P1234" s="1" t="s">
        <v>488</v>
      </c>
      <c r="Q1234" s="2" t="str">
        <f t="shared" si="1"/>
        <v>H004588</v>
      </c>
    </row>
    <row r="1235">
      <c r="A1235" s="1" t="s">
        <v>6240</v>
      </c>
      <c r="B1235" s="1" t="s">
        <v>6241</v>
      </c>
      <c r="C1235" s="1" t="s">
        <v>6242</v>
      </c>
      <c r="D1235" s="1" t="s">
        <v>6243</v>
      </c>
      <c r="E1235" s="1">
        <v>1986.0</v>
      </c>
      <c r="F1235" s="1" t="s">
        <v>288</v>
      </c>
      <c r="G1235" s="1">
        <v>729375.0</v>
      </c>
      <c r="H1235" s="1" t="s">
        <v>1050</v>
      </c>
      <c r="I1235" s="1" t="s">
        <v>1051</v>
      </c>
      <c r="J1235" s="1"/>
      <c r="K1235" s="1" t="s">
        <v>23</v>
      </c>
      <c r="L1235" s="1" t="s">
        <v>6244</v>
      </c>
      <c r="M1235" s="1">
        <v>1.0</v>
      </c>
      <c r="N1235" s="1">
        <v>1.0</v>
      </c>
      <c r="O1235" s="1" t="s">
        <v>288</v>
      </c>
      <c r="P1235" s="1" t="s">
        <v>488</v>
      </c>
      <c r="Q1235" s="2" t="str">
        <f t="shared" si="1"/>
        <v>H004588</v>
      </c>
    </row>
    <row r="1236">
      <c r="A1236" s="1" t="s">
        <v>6245</v>
      </c>
      <c r="B1236" s="1" t="s">
        <v>6246</v>
      </c>
      <c r="C1236" s="1" t="s">
        <v>6247</v>
      </c>
      <c r="D1236" s="1" t="s">
        <v>6248</v>
      </c>
      <c r="E1236" s="1">
        <v>2138.0</v>
      </c>
      <c r="F1236" s="1" t="s">
        <v>288</v>
      </c>
      <c r="G1236" s="1">
        <v>729375.0</v>
      </c>
      <c r="H1236" s="1" t="s">
        <v>1050</v>
      </c>
      <c r="I1236" s="1" t="s">
        <v>1051</v>
      </c>
      <c r="J1236" s="1"/>
      <c r="K1236" s="1" t="s">
        <v>23</v>
      </c>
      <c r="L1236" s="1" t="s">
        <v>6249</v>
      </c>
      <c r="M1236" s="1">
        <v>1.0</v>
      </c>
      <c r="N1236" s="1">
        <v>1.0</v>
      </c>
      <c r="O1236" s="1" t="s">
        <v>288</v>
      </c>
      <c r="P1236" s="1" t="s">
        <v>488</v>
      </c>
      <c r="Q1236" s="2" t="str">
        <f t="shared" si="1"/>
        <v>H004588</v>
      </c>
    </row>
    <row r="1237">
      <c r="A1237" s="1" t="s">
        <v>6250</v>
      </c>
      <c r="B1237" s="1" t="s">
        <v>6251</v>
      </c>
      <c r="C1237" s="1" t="s">
        <v>6252</v>
      </c>
      <c r="D1237" s="1" t="s">
        <v>6253</v>
      </c>
      <c r="E1237" s="1">
        <v>6782.0</v>
      </c>
      <c r="F1237" s="1" t="s">
        <v>498</v>
      </c>
      <c r="G1237" s="1" t="s">
        <v>167</v>
      </c>
      <c r="H1237" s="1" t="s">
        <v>168</v>
      </c>
      <c r="I1237" s="1" t="s">
        <v>1112</v>
      </c>
      <c r="J1237" s="1"/>
      <c r="K1237" s="1" t="s">
        <v>23</v>
      </c>
      <c r="L1237" s="1" t="s">
        <v>6254</v>
      </c>
      <c r="M1237" s="1">
        <v>2.0</v>
      </c>
      <c r="N1237" s="1">
        <v>1.0</v>
      </c>
      <c r="O1237" s="1" t="s">
        <v>498</v>
      </c>
      <c r="P1237" s="1" t="s">
        <v>488</v>
      </c>
      <c r="Q1237" s="2" t="str">
        <f t="shared" si="1"/>
        <v>H030214</v>
      </c>
    </row>
    <row r="1238">
      <c r="A1238" s="1" t="s">
        <v>6255</v>
      </c>
      <c r="B1238" s="1" t="s">
        <v>6256</v>
      </c>
      <c r="C1238" s="1" t="s">
        <v>6257</v>
      </c>
      <c r="D1238" s="1" t="s">
        <v>6258</v>
      </c>
      <c r="E1238" s="1">
        <v>5265.0</v>
      </c>
      <c r="F1238" s="1" t="s">
        <v>498</v>
      </c>
      <c r="G1238" s="1" t="s">
        <v>167</v>
      </c>
      <c r="H1238" s="1" t="s">
        <v>168</v>
      </c>
      <c r="I1238" s="1" t="s">
        <v>1112</v>
      </c>
      <c r="J1238" s="1"/>
      <c r="K1238" s="1" t="s">
        <v>23</v>
      </c>
      <c r="L1238" s="1" t="s">
        <v>6259</v>
      </c>
      <c r="M1238" s="1">
        <v>2.0</v>
      </c>
      <c r="N1238" s="1">
        <v>1.0</v>
      </c>
      <c r="O1238" s="1" t="s">
        <v>498</v>
      </c>
      <c r="P1238" s="1" t="s">
        <v>488</v>
      </c>
      <c r="Q1238" s="2" t="str">
        <f t="shared" si="1"/>
        <v>H030214</v>
      </c>
    </row>
    <row r="1239">
      <c r="A1239" s="1" t="s">
        <v>6260</v>
      </c>
      <c r="B1239" s="1" t="s">
        <v>6261</v>
      </c>
      <c r="C1239" s="1" t="s">
        <v>6262</v>
      </c>
      <c r="D1239" s="1" t="s">
        <v>6263</v>
      </c>
      <c r="E1239" s="1">
        <v>3199.0</v>
      </c>
      <c r="F1239" s="1" t="s">
        <v>498</v>
      </c>
      <c r="G1239" s="1" t="s">
        <v>167</v>
      </c>
      <c r="H1239" s="1" t="s">
        <v>168</v>
      </c>
      <c r="I1239" s="1" t="s">
        <v>1112</v>
      </c>
      <c r="J1239" s="1"/>
      <c r="K1239" s="1" t="s">
        <v>23</v>
      </c>
      <c r="L1239" s="1" t="s">
        <v>6264</v>
      </c>
      <c r="M1239" s="1">
        <v>2.0</v>
      </c>
      <c r="N1239" s="1">
        <v>1.0</v>
      </c>
      <c r="O1239" s="1" t="s">
        <v>498</v>
      </c>
      <c r="P1239" s="1" t="s">
        <v>488</v>
      </c>
      <c r="Q1239" s="2" t="str">
        <f t="shared" si="1"/>
        <v>H030214</v>
      </c>
    </row>
    <row r="1240">
      <c r="A1240" s="1" t="s">
        <v>6265</v>
      </c>
      <c r="B1240" s="1" t="s">
        <v>6266</v>
      </c>
      <c r="C1240" s="1" t="s">
        <v>6267</v>
      </c>
      <c r="D1240" s="1" t="s">
        <v>6268</v>
      </c>
      <c r="E1240" s="1">
        <v>347.0</v>
      </c>
      <c r="F1240" s="1" t="s">
        <v>498</v>
      </c>
      <c r="G1240" s="1" t="s">
        <v>167</v>
      </c>
      <c r="H1240" s="1" t="s">
        <v>168</v>
      </c>
      <c r="I1240" s="1" t="s">
        <v>1112</v>
      </c>
      <c r="J1240" s="1"/>
      <c r="K1240" s="1" t="s">
        <v>23</v>
      </c>
      <c r="L1240" s="1" t="s">
        <v>6269</v>
      </c>
      <c r="M1240" s="1">
        <v>2.0</v>
      </c>
      <c r="N1240" s="1">
        <v>0.0</v>
      </c>
      <c r="O1240" s="1" t="s">
        <v>498</v>
      </c>
      <c r="P1240" s="1" t="s">
        <v>25</v>
      </c>
      <c r="Q1240" s="2" t="str">
        <f t="shared" si="1"/>
        <v>H030214</v>
      </c>
    </row>
    <row r="1241">
      <c r="A1241" s="1" t="s">
        <v>6270</v>
      </c>
      <c r="B1241" s="1" t="s">
        <v>6271</v>
      </c>
      <c r="C1241" s="1" t="s">
        <v>6272</v>
      </c>
      <c r="D1241" s="1" t="s">
        <v>6273</v>
      </c>
      <c r="E1241" s="1">
        <v>3085.0</v>
      </c>
      <c r="F1241" s="1" t="s">
        <v>398</v>
      </c>
      <c r="G1241" s="1" t="s">
        <v>155</v>
      </c>
      <c r="H1241" s="1" t="s">
        <v>156</v>
      </c>
      <c r="I1241" s="1" t="s">
        <v>1112</v>
      </c>
      <c r="J1241" s="1"/>
      <c r="K1241" s="1" t="s">
        <v>23</v>
      </c>
      <c r="L1241" s="1" t="s">
        <v>6274</v>
      </c>
      <c r="M1241" s="1">
        <v>0.0</v>
      </c>
      <c r="N1241" s="1">
        <v>1.0</v>
      </c>
      <c r="O1241" s="1" t="s">
        <v>398</v>
      </c>
      <c r="P1241" s="1" t="s">
        <v>488</v>
      </c>
      <c r="Q1241" s="2" t="str">
        <f t="shared" si="1"/>
        <v>H030200</v>
      </c>
    </row>
    <row r="1242">
      <c r="A1242" s="1" t="s">
        <v>6275</v>
      </c>
      <c r="B1242" s="1" t="s">
        <v>6276</v>
      </c>
      <c r="C1242" s="1" t="s">
        <v>6277</v>
      </c>
      <c r="D1242" s="1" t="s">
        <v>6278</v>
      </c>
      <c r="E1242" s="1">
        <v>45.0</v>
      </c>
      <c r="F1242" s="1" t="s">
        <v>398</v>
      </c>
      <c r="G1242" s="1" t="s">
        <v>232</v>
      </c>
      <c r="H1242" s="1" t="s">
        <v>233</v>
      </c>
      <c r="I1242" s="1" t="s">
        <v>1112</v>
      </c>
      <c r="J1242" s="1"/>
      <c r="K1242" s="1" t="s">
        <v>23</v>
      </c>
      <c r="L1242" s="1" t="s">
        <v>6279</v>
      </c>
      <c r="M1242" s="1">
        <v>0.0</v>
      </c>
      <c r="N1242" s="1">
        <v>0.0</v>
      </c>
      <c r="O1242" s="1" t="s">
        <v>398</v>
      </c>
      <c r="P1242" s="1" t="s">
        <v>25</v>
      </c>
      <c r="Q1242" s="2" t="str">
        <f t="shared" si="1"/>
        <v>H030200</v>
      </c>
    </row>
    <row r="1243">
      <c r="A1243" s="1" t="s">
        <v>6280</v>
      </c>
      <c r="B1243" s="1" t="s">
        <v>6281</v>
      </c>
      <c r="C1243" s="1" t="s">
        <v>6282</v>
      </c>
      <c r="D1243" s="1" t="s">
        <v>6283</v>
      </c>
      <c r="E1243" s="1">
        <v>4628.0</v>
      </c>
      <c r="F1243" s="1" t="s">
        <v>398</v>
      </c>
      <c r="G1243" s="1" t="s">
        <v>155</v>
      </c>
      <c r="H1243" s="1" t="s">
        <v>156</v>
      </c>
      <c r="I1243" s="1" t="s">
        <v>1112</v>
      </c>
      <c r="J1243" s="1"/>
      <c r="K1243" s="1" t="s">
        <v>23</v>
      </c>
      <c r="L1243" s="1" t="s">
        <v>6284</v>
      </c>
      <c r="M1243" s="1">
        <v>0.0</v>
      </c>
      <c r="N1243" s="1">
        <v>1.0</v>
      </c>
      <c r="O1243" s="1" t="s">
        <v>398</v>
      </c>
      <c r="P1243" s="1" t="s">
        <v>488</v>
      </c>
      <c r="Q1243" s="2" t="str">
        <f t="shared" si="1"/>
        <v>H030200</v>
      </c>
    </row>
    <row r="1244">
      <c r="A1244" s="1" t="s">
        <v>6285</v>
      </c>
      <c r="B1244" s="1" t="s">
        <v>6286</v>
      </c>
      <c r="C1244" s="1" t="s">
        <v>6287</v>
      </c>
      <c r="D1244" s="1" t="s">
        <v>6288</v>
      </c>
      <c r="E1244" s="1">
        <v>3575.0</v>
      </c>
      <c r="F1244" s="1" t="s">
        <v>398</v>
      </c>
      <c r="G1244" s="1" t="s">
        <v>155</v>
      </c>
      <c r="H1244" s="1" t="s">
        <v>156</v>
      </c>
      <c r="I1244" s="1" t="s">
        <v>1112</v>
      </c>
      <c r="J1244" s="1"/>
      <c r="K1244" s="1" t="s">
        <v>23</v>
      </c>
      <c r="L1244" s="1" t="s">
        <v>6289</v>
      </c>
      <c r="M1244" s="1">
        <v>0.0</v>
      </c>
      <c r="N1244" s="1">
        <v>1.0</v>
      </c>
      <c r="O1244" s="1" t="s">
        <v>398</v>
      </c>
      <c r="P1244" s="1" t="s">
        <v>488</v>
      </c>
      <c r="Q1244" s="2" t="str">
        <f t="shared" si="1"/>
        <v>H030200</v>
      </c>
    </row>
    <row r="1245">
      <c r="A1245" s="1" t="s">
        <v>6290</v>
      </c>
      <c r="B1245" s="1" t="s">
        <v>6291</v>
      </c>
      <c r="C1245" s="1" t="s">
        <v>6292</v>
      </c>
      <c r="D1245" s="1" t="s">
        <v>6293</v>
      </c>
      <c r="E1245" s="1">
        <v>4950.0</v>
      </c>
      <c r="F1245" s="1" t="s">
        <v>398</v>
      </c>
      <c r="G1245" s="1" t="s">
        <v>179</v>
      </c>
      <c r="H1245" s="1" t="s">
        <v>180</v>
      </c>
      <c r="I1245" s="1" t="s">
        <v>1112</v>
      </c>
      <c r="J1245" s="1"/>
      <c r="K1245" s="1" t="s">
        <v>23</v>
      </c>
      <c r="L1245" s="1" t="s">
        <v>6294</v>
      </c>
      <c r="M1245" s="1">
        <v>0.0</v>
      </c>
      <c r="N1245" s="1">
        <v>1.0</v>
      </c>
      <c r="O1245" s="1" t="s">
        <v>398</v>
      </c>
      <c r="P1245" s="1" t="s">
        <v>488</v>
      </c>
      <c r="Q1245" s="2" t="str">
        <f t="shared" si="1"/>
        <v>H030200</v>
      </c>
    </row>
    <row r="1246">
      <c r="A1246" s="1" t="s">
        <v>6295</v>
      </c>
      <c r="B1246" s="1" t="s">
        <v>6296</v>
      </c>
      <c r="C1246" s="1" t="s">
        <v>6297</v>
      </c>
      <c r="D1246" s="1" t="s">
        <v>6298</v>
      </c>
      <c r="E1246" s="1">
        <v>4859.0</v>
      </c>
      <c r="F1246" s="1" t="s">
        <v>398</v>
      </c>
      <c r="G1246" s="1" t="s">
        <v>179</v>
      </c>
      <c r="H1246" s="1" t="s">
        <v>180</v>
      </c>
      <c r="I1246" s="1" t="s">
        <v>1112</v>
      </c>
      <c r="J1246" s="1"/>
      <c r="K1246" s="1" t="s">
        <v>23</v>
      </c>
      <c r="L1246" s="1" t="s">
        <v>6299</v>
      </c>
      <c r="M1246" s="1">
        <v>0.0</v>
      </c>
      <c r="N1246" s="1">
        <v>1.0</v>
      </c>
      <c r="O1246" s="1" t="s">
        <v>398</v>
      </c>
      <c r="P1246" s="1" t="s">
        <v>488</v>
      </c>
      <c r="Q1246" s="2" t="str">
        <f t="shared" si="1"/>
        <v>H030200</v>
      </c>
    </row>
    <row r="1247">
      <c r="A1247" s="1" t="s">
        <v>6300</v>
      </c>
      <c r="B1247" s="1" t="s">
        <v>6301</v>
      </c>
      <c r="C1247" s="1" t="s">
        <v>6302</v>
      </c>
      <c r="D1247" s="1" t="s">
        <v>6303</v>
      </c>
      <c r="E1247" s="1">
        <v>7595.0</v>
      </c>
      <c r="F1247" s="1" t="s">
        <v>398</v>
      </c>
      <c r="G1247" s="1" t="s">
        <v>179</v>
      </c>
      <c r="H1247" s="1" t="s">
        <v>180</v>
      </c>
      <c r="I1247" s="1" t="s">
        <v>1112</v>
      </c>
      <c r="J1247" s="1"/>
      <c r="K1247" s="1" t="s">
        <v>23</v>
      </c>
      <c r="L1247" s="1" t="s">
        <v>6304</v>
      </c>
      <c r="M1247" s="1">
        <v>0.0</v>
      </c>
      <c r="N1247" s="1">
        <v>1.0</v>
      </c>
      <c r="O1247" s="1" t="s">
        <v>398</v>
      </c>
      <c r="P1247" s="1" t="s">
        <v>488</v>
      </c>
      <c r="Q1247" s="2" t="str">
        <f t="shared" si="1"/>
        <v>H030200</v>
      </c>
    </row>
    <row r="1248">
      <c r="A1248" s="1" t="s">
        <v>6305</v>
      </c>
      <c r="B1248" s="1" t="s">
        <v>6306</v>
      </c>
      <c r="C1248" s="1" t="s">
        <v>6307</v>
      </c>
      <c r="D1248" s="1" t="s">
        <v>6308</v>
      </c>
      <c r="E1248" s="1">
        <v>4986.0</v>
      </c>
      <c r="F1248" s="1" t="s">
        <v>398</v>
      </c>
      <c r="G1248" s="1" t="s">
        <v>179</v>
      </c>
      <c r="H1248" s="1" t="s">
        <v>180</v>
      </c>
      <c r="I1248" s="1" t="s">
        <v>1112</v>
      </c>
      <c r="J1248" s="1"/>
      <c r="K1248" s="1" t="s">
        <v>23</v>
      </c>
      <c r="L1248" s="1" t="s">
        <v>6309</v>
      </c>
      <c r="M1248" s="1">
        <v>0.0</v>
      </c>
      <c r="N1248" s="1">
        <v>1.0</v>
      </c>
      <c r="O1248" s="1" t="s">
        <v>398</v>
      </c>
      <c r="P1248" s="1" t="s">
        <v>488</v>
      </c>
      <c r="Q1248" s="2" t="str">
        <f t="shared" si="1"/>
        <v>H030200</v>
      </c>
    </row>
    <row r="1249">
      <c r="A1249" s="1" t="s">
        <v>6310</v>
      </c>
      <c r="B1249" s="1" t="s">
        <v>6311</v>
      </c>
      <c r="C1249" s="1" t="s">
        <v>6312</v>
      </c>
      <c r="D1249" s="1" t="s">
        <v>6313</v>
      </c>
      <c r="E1249" s="1">
        <v>3679.0</v>
      </c>
      <c r="F1249" s="1" t="s">
        <v>498</v>
      </c>
      <c r="G1249" s="1" t="s">
        <v>220</v>
      </c>
      <c r="H1249" s="1" t="s">
        <v>221</v>
      </c>
      <c r="I1249" s="1" t="s">
        <v>1112</v>
      </c>
      <c r="J1249" s="1"/>
      <c r="K1249" s="1" t="s">
        <v>23</v>
      </c>
      <c r="L1249" s="1" t="s">
        <v>6314</v>
      </c>
      <c r="M1249" s="1">
        <v>2.0</v>
      </c>
      <c r="N1249" s="1">
        <v>1.0</v>
      </c>
      <c r="O1249" s="1" t="s">
        <v>498</v>
      </c>
      <c r="P1249" s="1" t="s">
        <v>488</v>
      </c>
      <c r="Q1249" s="2" t="str">
        <f t="shared" si="1"/>
        <v>H030214</v>
      </c>
    </row>
    <row r="1250">
      <c r="A1250" s="1" t="s">
        <v>6315</v>
      </c>
      <c r="B1250" s="1" t="s">
        <v>6316</v>
      </c>
      <c r="C1250" s="1" t="s">
        <v>6317</v>
      </c>
      <c r="D1250" s="1" t="s">
        <v>6318</v>
      </c>
      <c r="E1250" s="1">
        <v>3376.0</v>
      </c>
      <c r="F1250" s="1" t="s">
        <v>498</v>
      </c>
      <c r="G1250" s="1" t="s">
        <v>220</v>
      </c>
      <c r="H1250" s="1" t="s">
        <v>221</v>
      </c>
      <c r="I1250" s="1" t="s">
        <v>1112</v>
      </c>
      <c r="J1250" s="1"/>
      <c r="K1250" s="1" t="s">
        <v>23</v>
      </c>
      <c r="L1250" s="1" t="s">
        <v>6319</v>
      </c>
      <c r="M1250" s="1">
        <v>2.0</v>
      </c>
      <c r="N1250" s="1">
        <v>1.0</v>
      </c>
      <c r="O1250" s="1" t="s">
        <v>498</v>
      </c>
      <c r="P1250" s="1" t="s">
        <v>488</v>
      </c>
      <c r="Q1250" s="2" t="str">
        <f t="shared" si="1"/>
        <v>H030214</v>
      </c>
    </row>
    <row r="1251">
      <c r="A1251" s="1" t="s">
        <v>6320</v>
      </c>
      <c r="B1251" s="1" t="s">
        <v>6321</v>
      </c>
      <c r="C1251" s="1" t="s">
        <v>6322</v>
      </c>
      <c r="D1251" s="1" t="s">
        <v>6323</v>
      </c>
      <c r="E1251" s="1">
        <v>5563.0</v>
      </c>
      <c r="F1251" s="1" t="s">
        <v>498</v>
      </c>
      <c r="G1251" s="1" t="s">
        <v>220</v>
      </c>
      <c r="H1251" s="1" t="s">
        <v>221</v>
      </c>
      <c r="I1251" s="1" t="s">
        <v>1112</v>
      </c>
      <c r="J1251" s="1"/>
      <c r="K1251" s="1" t="s">
        <v>23</v>
      </c>
      <c r="L1251" s="1" t="s">
        <v>6324</v>
      </c>
      <c r="M1251" s="1">
        <v>2.0</v>
      </c>
      <c r="N1251" s="1">
        <v>1.0</v>
      </c>
      <c r="O1251" s="1" t="s">
        <v>498</v>
      </c>
      <c r="P1251" s="1" t="s">
        <v>488</v>
      </c>
      <c r="Q1251" s="2" t="str">
        <f t="shared" si="1"/>
        <v>H030214</v>
      </c>
    </row>
    <row r="1252">
      <c r="A1252" s="1" t="s">
        <v>6325</v>
      </c>
      <c r="B1252" s="1" t="s">
        <v>6326</v>
      </c>
      <c r="C1252" s="1" t="s">
        <v>6327</v>
      </c>
      <c r="D1252" s="1" t="s">
        <v>6328</v>
      </c>
      <c r="E1252" s="1">
        <v>3502.0</v>
      </c>
      <c r="F1252" s="1" t="s">
        <v>498</v>
      </c>
      <c r="G1252" s="1">
        <v>896791.0</v>
      </c>
      <c r="H1252" s="1" t="s">
        <v>2124</v>
      </c>
      <c r="I1252" s="1" t="s">
        <v>1112</v>
      </c>
      <c r="J1252" s="1"/>
      <c r="K1252" s="1" t="s">
        <v>23</v>
      </c>
      <c r="L1252" s="1" t="s">
        <v>6329</v>
      </c>
      <c r="M1252" s="1">
        <v>2.0</v>
      </c>
      <c r="N1252" s="1">
        <v>1.0</v>
      </c>
      <c r="O1252" s="1" t="s">
        <v>498</v>
      </c>
      <c r="P1252" s="1" t="s">
        <v>488</v>
      </c>
      <c r="Q1252" s="2" t="str">
        <f t="shared" si="1"/>
        <v>H030214</v>
      </c>
    </row>
    <row r="1253">
      <c r="A1253" s="1" t="s">
        <v>6330</v>
      </c>
      <c r="B1253" s="1" t="s">
        <v>6331</v>
      </c>
      <c r="C1253" s="1" t="s">
        <v>6332</v>
      </c>
      <c r="D1253" s="1" t="s">
        <v>6333</v>
      </c>
      <c r="E1253" s="1">
        <v>3892.0</v>
      </c>
      <c r="F1253" s="1" t="s">
        <v>498</v>
      </c>
      <c r="G1253" s="1">
        <v>896791.0</v>
      </c>
      <c r="H1253" s="1" t="s">
        <v>2124</v>
      </c>
      <c r="I1253" s="1" t="s">
        <v>1112</v>
      </c>
      <c r="J1253" s="1"/>
      <c r="K1253" s="1" t="s">
        <v>23</v>
      </c>
      <c r="L1253" s="1" t="s">
        <v>6334</v>
      </c>
      <c r="M1253" s="1">
        <v>2.0</v>
      </c>
      <c r="N1253" s="1">
        <v>1.0</v>
      </c>
      <c r="O1253" s="1" t="s">
        <v>498</v>
      </c>
      <c r="P1253" s="1" t="s">
        <v>488</v>
      </c>
      <c r="Q1253" s="2" t="str">
        <f t="shared" si="1"/>
        <v>H030214</v>
      </c>
    </row>
    <row r="1254">
      <c r="A1254" s="1" t="s">
        <v>6335</v>
      </c>
      <c r="B1254" s="1" t="s">
        <v>6336</v>
      </c>
      <c r="C1254" s="1" t="s">
        <v>6337</v>
      </c>
      <c r="D1254" s="1" t="s">
        <v>6338</v>
      </c>
      <c r="E1254" s="1">
        <v>2834.0</v>
      </c>
      <c r="F1254" s="1" t="s">
        <v>498</v>
      </c>
      <c r="G1254" s="1">
        <v>896791.0</v>
      </c>
      <c r="H1254" s="1" t="s">
        <v>2124</v>
      </c>
      <c r="I1254" s="1" t="s">
        <v>1112</v>
      </c>
      <c r="J1254" s="1"/>
      <c r="K1254" s="1" t="s">
        <v>23</v>
      </c>
      <c r="L1254" s="1" t="s">
        <v>6339</v>
      </c>
      <c r="M1254" s="1">
        <v>2.0</v>
      </c>
      <c r="N1254" s="1">
        <v>1.0</v>
      </c>
      <c r="O1254" s="1" t="s">
        <v>498</v>
      </c>
      <c r="P1254" s="1" t="s">
        <v>488</v>
      </c>
      <c r="Q1254" s="2" t="str">
        <f t="shared" si="1"/>
        <v>H030214</v>
      </c>
    </row>
    <row r="1255">
      <c r="A1255" s="1" t="s">
        <v>6340</v>
      </c>
      <c r="B1255" s="1" t="s">
        <v>6341</v>
      </c>
      <c r="C1255" s="1" t="s">
        <v>6342</v>
      </c>
      <c r="D1255" s="1" t="s">
        <v>6343</v>
      </c>
      <c r="E1255" s="1">
        <v>2346.0</v>
      </c>
      <c r="F1255" s="1" t="s">
        <v>315</v>
      </c>
      <c r="G1255" s="1">
        <v>555127.0</v>
      </c>
      <c r="H1255" s="1" t="s">
        <v>3047</v>
      </c>
      <c r="I1255" s="1" t="s">
        <v>1051</v>
      </c>
      <c r="J1255" s="1"/>
      <c r="K1255" s="1" t="s">
        <v>23</v>
      </c>
      <c r="L1255" s="1" t="s">
        <v>6344</v>
      </c>
      <c r="M1255" s="1">
        <v>2.0</v>
      </c>
      <c r="N1255" s="1">
        <v>1.0</v>
      </c>
      <c r="O1255" s="1" t="s">
        <v>315</v>
      </c>
      <c r="P1255" s="1" t="s">
        <v>488</v>
      </c>
      <c r="Q1255" s="2" t="str">
        <f t="shared" si="1"/>
        <v>H030214</v>
      </c>
    </row>
    <row r="1256">
      <c r="A1256" s="1" t="s">
        <v>6345</v>
      </c>
      <c r="B1256" s="1" t="s">
        <v>6346</v>
      </c>
      <c r="C1256" s="1" t="s">
        <v>6347</v>
      </c>
      <c r="D1256" s="1" t="s">
        <v>6348</v>
      </c>
      <c r="E1256" s="1">
        <v>2620.0</v>
      </c>
      <c r="F1256" s="1" t="s">
        <v>315</v>
      </c>
      <c r="G1256" s="1">
        <v>841329.0</v>
      </c>
      <c r="H1256" s="1" t="s">
        <v>1848</v>
      </c>
      <c r="I1256" s="1" t="s">
        <v>1051</v>
      </c>
      <c r="J1256" s="1"/>
      <c r="K1256" s="1" t="s">
        <v>23</v>
      </c>
      <c r="L1256" s="1" t="s">
        <v>6349</v>
      </c>
      <c r="M1256" s="1">
        <v>3.0</v>
      </c>
      <c r="N1256" s="1">
        <v>1.0</v>
      </c>
      <c r="O1256" s="1" t="s">
        <v>315</v>
      </c>
      <c r="P1256" s="1" t="s">
        <v>488</v>
      </c>
      <c r="Q1256" s="2" t="str">
        <f t="shared" si="1"/>
        <v>H004407</v>
      </c>
    </row>
    <row r="1257">
      <c r="A1257" s="1" t="s">
        <v>6350</v>
      </c>
      <c r="B1257" s="1" t="s">
        <v>6351</v>
      </c>
      <c r="C1257" s="1" t="s">
        <v>6352</v>
      </c>
      <c r="D1257" s="1" t="s">
        <v>6353</v>
      </c>
      <c r="E1257" s="1">
        <v>4998.0</v>
      </c>
      <c r="F1257" s="1" t="s">
        <v>315</v>
      </c>
      <c r="G1257" s="1">
        <v>555127.0</v>
      </c>
      <c r="H1257" s="1" t="s">
        <v>3047</v>
      </c>
      <c r="I1257" s="1" t="s">
        <v>1051</v>
      </c>
      <c r="J1257" s="1"/>
      <c r="K1257" s="1" t="s">
        <v>23</v>
      </c>
      <c r="L1257" s="1" t="s">
        <v>6354</v>
      </c>
      <c r="M1257" s="1">
        <v>3.0</v>
      </c>
      <c r="N1257" s="1">
        <v>1.0</v>
      </c>
      <c r="O1257" s="1" t="s">
        <v>315</v>
      </c>
      <c r="P1257" s="1" t="s">
        <v>488</v>
      </c>
      <c r="Q1257" s="2" t="str">
        <f t="shared" si="1"/>
        <v>H004407</v>
      </c>
    </row>
    <row r="1258">
      <c r="A1258" s="1" t="s">
        <v>6355</v>
      </c>
      <c r="B1258" s="1" t="s">
        <v>6356</v>
      </c>
      <c r="C1258" s="1" t="s">
        <v>6357</v>
      </c>
      <c r="D1258" s="1" t="s">
        <v>6358</v>
      </c>
      <c r="E1258" s="1">
        <v>3300.0</v>
      </c>
      <c r="F1258" s="1" t="s">
        <v>315</v>
      </c>
      <c r="G1258" s="1">
        <v>555127.0</v>
      </c>
      <c r="H1258" s="1" t="s">
        <v>3047</v>
      </c>
      <c r="I1258" s="1" t="s">
        <v>1051</v>
      </c>
      <c r="J1258" s="1"/>
      <c r="K1258" s="1" t="s">
        <v>23</v>
      </c>
      <c r="L1258" s="1" t="s">
        <v>6359</v>
      </c>
      <c r="M1258" s="1">
        <v>3.0</v>
      </c>
      <c r="N1258" s="1">
        <v>1.0</v>
      </c>
      <c r="O1258" s="1" t="s">
        <v>315</v>
      </c>
      <c r="P1258" s="1" t="s">
        <v>488</v>
      </c>
      <c r="Q1258" s="2" t="str">
        <f t="shared" si="1"/>
        <v>H004407</v>
      </c>
    </row>
    <row r="1259">
      <c r="A1259" s="1" t="s">
        <v>6360</v>
      </c>
      <c r="B1259" s="1" t="s">
        <v>6361</v>
      </c>
      <c r="C1259" s="1" t="s">
        <v>6362</v>
      </c>
      <c r="D1259" s="1" t="s">
        <v>6363</v>
      </c>
      <c r="E1259" s="1">
        <v>4843.0</v>
      </c>
      <c r="F1259" s="1" t="s">
        <v>315</v>
      </c>
      <c r="G1259" s="1">
        <v>555127.0</v>
      </c>
      <c r="H1259" s="1" t="s">
        <v>3047</v>
      </c>
      <c r="I1259" s="1" t="s">
        <v>1051</v>
      </c>
      <c r="J1259" s="1"/>
      <c r="K1259" s="1" t="s">
        <v>23</v>
      </c>
      <c r="L1259" s="1" t="s">
        <v>6364</v>
      </c>
      <c r="M1259" s="1">
        <v>3.0</v>
      </c>
      <c r="N1259" s="1">
        <v>1.0</v>
      </c>
      <c r="O1259" s="1" t="s">
        <v>315</v>
      </c>
      <c r="P1259" s="1" t="s">
        <v>488</v>
      </c>
      <c r="Q1259" s="2" t="str">
        <f t="shared" si="1"/>
        <v>H004407</v>
      </c>
    </row>
    <row r="1260">
      <c r="A1260" s="1" t="s">
        <v>6365</v>
      </c>
      <c r="B1260" s="1" t="s">
        <v>6366</v>
      </c>
      <c r="C1260" s="1" t="s">
        <v>6367</v>
      </c>
      <c r="D1260" s="1" t="s">
        <v>6368</v>
      </c>
      <c r="E1260" s="1">
        <v>3822.0</v>
      </c>
      <c r="F1260" s="1" t="s">
        <v>315</v>
      </c>
      <c r="G1260" s="1">
        <v>555127.0</v>
      </c>
      <c r="H1260" s="1" t="s">
        <v>3047</v>
      </c>
      <c r="I1260" s="1" t="s">
        <v>1051</v>
      </c>
      <c r="J1260" s="1"/>
      <c r="K1260" s="1" t="s">
        <v>23</v>
      </c>
      <c r="L1260" s="1" t="s">
        <v>6369</v>
      </c>
      <c r="M1260" s="1">
        <v>3.0</v>
      </c>
      <c r="N1260" s="1">
        <v>1.0</v>
      </c>
      <c r="O1260" s="1" t="s">
        <v>315</v>
      </c>
      <c r="P1260" s="1" t="s">
        <v>488</v>
      </c>
      <c r="Q1260" s="2" t="str">
        <f t="shared" si="1"/>
        <v>H004407</v>
      </c>
    </row>
    <row r="1261">
      <c r="A1261" s="1" t="s">
        <v>6370</v>
      </c>
      <c r="B1261" s="1" t="s">
        <v>6371</v>
      </c>
      <c r="C1261" s="1" t="s">
        <v>6372</v>
      </c>
      <c r="D1261" s="1" t="s">
        <v>6373</v>
      </c>
      <c r="E1261" s="1">
        <v>4292.0</v>
      </c>
      <c r="F1261" s="1" t="s">
        <v>398</v>
      </c>
      <c r="G1261" s="1" t="s">
        <v>232</v>
      </c>
      <c r="H1261" s="1" t="s">
        <v>233</v>
      </c>
      <c r="I1261" s="1" t="s">
        <v>1112</v>
      </c>
      <c r="J1261" s="1"/>
      <c r="K1261" s="1" t="s">
        <v>23</v>
      </c>
      <c r="L1261" s="1" t="s">
        <v>6374</v>
      </c>
      <c r="M1261" s="1">
        <v>0.0</v>
      </c>
      <c r="N1261" s="1">
        <v>1.0</v>
      </c>
      <c r="O1261" s="1" t="s">
        <v>398</v>
      </c>
      <c r="P1261" s="1" t="s">
        <v>488</v>
      </c>
      <c r="Q1261" s="2" t="str">
        <f t="shared" si="1"/>
        <v>H030200</v>
      </c>
    </row>
    <row r="1262">
      <c r="A1262" s="1" t="s">
        <v>6375</v>
      </c>
      <c r="B1262" s="1" t="s">
        <v>6376</v>
      </c>
      <c r="C1262" s="1" t="s">
        <v>6377</v>
      </c>
      <c r="D1262" s="1" t="s">
        <v>6378</v>
      </c>
      <c r="E1262" s="1">
        <v>3983.0</v>
      </c>
      <c r="F1262" s="1" t="s">
        <v>398</v>
      </c>
      <c r="G1262" s="1" t="s">
        <v>232</v>
      </c>
      <c r="H1262" s="1" t="s">
        <v>233</v>
      </c>
      <c r="I1262" s="1" t="s">
        <v>1112</v>
      </c>
      <c r="J1262" s="1"/>
      <c r="K1262" s="1" t="s">
        <v>23</v>
      </c>
      <c r="L1262" s="1" t="s">
        <v>6379</v>
      </c>
      <c r="M1262" s="1">
        <v>0.0</v>
      </c>
      <c r="N1262" s="1">
        <v>1.0</v>
      </c>
      <c r="O1262" s="1" t="s">
        <v>398</v>
      </c>
      <c r="P1262" s="1" t="s">
        <v>488</v>
      </c>
      <c r="Q1262" s="2" t="str">
        <f t="shared" si="1"/>
        <v>H030200</v>
      </c>
    </row>
    <row r="1263">
      <c r="A1263" s="1" t="s">
        <v>6380</v>
      </c>
      <c r="B1263" s="1" t="s">
        <v>6381</v>
      </c>
      <c r="C1263" s="1" t="s">
        <v>6382</v>
      </c>
      <c r="D1263" s="1" t="s">
        <v>6383</v>
      </c>
      <c r="E1263" s="1">
        <v>4979.0</v>
      </c>
      <c r="F1263" s="1" t="s">
        <v>398</v>
      </c>
      <c r="G1263" s="1" t="s">
        <v>232</v>
      </c>
      <c r="H1263" s="1" t="s">
        <v>233</v>
      </c>
      <c r="I1263" s="1" t="s">
        <v>1112</v>
      </c>
      <c r="J1263" s="1"/>
      <c r="K1263" s="1" t="s">
        <v>23</v>
      </c>
      <c r="L1263" s="1" t="s">
        <v>6384</v>
      </c>
      <c r="M1263" s="1">
        <v>0.0</v>
      </c>
      <c r="N1263" s="1">
        <v>1.0</v>
      </c>
      <c r="O1263" s="1" t="s">
        <v>398</v>
      </c>
      <c r="P1263" s="1" t="s">
        <v>488</v>
      </c>
      <c r="Q1263" s="2" t="str">
        <f t="shared" si="1"/>
        <v>H030200</v>
      </c>
    </row>
    <row r="1264">
      <c r="A1264" s="1" t="s">
        <v>6385</v>
      </c>
      <c r="B1264" s="1" t="s">
        <v>6386</v>
      </c>
      <c r="C1264" s="1" t="s">
        <v>6387</v>
      </c>
      <c r="D1264" s="1" t="s">
        <v>6388</v>
      </c>
      <c r="E1264" s="1">
        <v>3778.0</v>
      </c>
      <c r="F1264" s="1" t="s">
        <v>398</v>
      </c>
      <c r="G1264" s="1" t="s">
        <v>232</v>
      </c>
      <c r="H1264" s="1" t="s">
        <v>233</v>
      </c>
      <c r="I1264" s="1" t="s">
        <v>1112</v>
      </c>
      <c r="J1264" s="1"/>
      <c r="K1264" s="1" t="s">
        <v>23</v>
      </c>
      <c r="L1264" s="1" t="s">
        <v>6389</v>
      </c>
      <c r="M1264" s="1">
        <v>0.0</v>
      </c>
      <c r="N1264" s="1">
        <v>1.0</v>
      </c>
      <c r="O1264" s="1" t="s">
        <v>398</v>
      </c>
      <c r="P1264" s="1" t="s">
        <v>488</v>
      </c>
      <c r="Q1264" s="2" t="str">
        <f t="shared" si="1"/>
        <v>H030200</v>
      </c>
    </row>
    <row r="1265">
      <c r="A1265" s="1" t="s">
        <v>6390</v>
      </c>
      <c r="B1265" s="1" t="s">
        <v>6391</v>
      </c>
      <c r="C1265" s="1" t="s">
        <v>6392</v>
      </c>
      <c r="D1265" s="1" t="s">
        <v>6393</v>
      </c>
      <c r="E1265" s="1">
        <v>4116.0</v>
      </c>
      <c r="F1265" s="1" t="s">
        <v>351</v>
      </c>
      <c r="G1265" s="1" t="s">
        <v>57</v>
      </c>
      <c r="H1265" s="1" t="s">
        <v>58</v>
      </c>
      <c r="I1265" s="1" t="s">
        <v>486</v>
      </c>
      <c r="J1265" s="1"/>
      <c r="K1265" s="1" t="s">
        <v>23</v>
      </c>
      <c r="L1265" s="1" t="s">
        <v>6394</v>
      </c>
      <c r="M1265" s="1">
        <v>0.0</v>
      </c>
      <c r="N1265" s="1">
        <v>1.0</v>
      </c>
      <c r="O1265" s="1" t="s">
        <v>351</v>
      </c>
      <c r="P1265" s="1" t="s">
        <v>488</v>
      </c>
      <c r="Q1265" s="2" t="str">
        <f t="shared" si="1"/>
        <v>H006706</v>
      </c>
    </row>
    <row r="1266">
      <c r="A1266" s="1" t="s">
        <v>6395</v>
      </c>
      <c r="B1266" s="1" t="s">
        <v>6396</v>
      </c>
      <c r="C1266" s="1" t="s">
        <v>6397</v>
      </c>
      <c r="D1266" s="1" t="s">
        <v>6398</v>
      </c>
      <c r="E1266" s="1">
        <v>3033.0</v>
      </c>
      <c r="F1266" s="1" t="s">
        <v>351</v>
      </c>
      <c r="G1266" s="1" t="s">
        <v>57</v>
      </c>
      <c r="H1266" s="1" t="s">
        <v>58</v>
      </c>
      <c r="I1266" s="1" t="s">
        <v>486</v>
      </c>
      <c r="J1266" s="1"/>
      <c r="K1266" s="1" t="s">
        <v>23</v>
      </c>
      <c r="L1266" s="1" t="s">
        <v>6399</v>
      </c>
      <c r="M1266" s="1">
        <v>0.0</v>
      </c>
      <c r="N1266" s="1">
        <v>1.0</v>
      </c>
      <c r="O1266" s="1" t="s">
        <v>351</v>
      </c>
      <c r="P1266" s="1" t="s">
        <v>488</v>
      </c>
      <c r="Q1266" s="2" t="str">
        <f t="shared" si="1"/>
        <v>H006706</v>
      </c>
    </row>
    <row r="1267">
      <c r="A1267" s="1" t="s">
        <v>6400</v>
      </c>
      <c r="B1267" s="1" t="s">
        <v>6401</v>
      </c>
      <c r="C1267" s="1" t="s">
        <v>6402</v>
      </c>
      <c r="D1267" s="1" t="s">
        <v>6403</v>
      </c>
      <c r="E1267" s="1">
        <v>3317.0</v>
      </c>
      <c r="F1267" s="1" t="s">
        <v>351</v>
      </c>
      <c r="G1267" s="1" t="s">
        <v>57</v>
      </c>
      <c r="H1267" s="1" t="s">
        <v>58</v>
      </c>
      <c r="I1267" s="1" t="s">
        <v>486</v>
      </c>
      <c r="J1267" s="1"/>
      <c r="K1267" s="1" t="s">
        <v>23</v>
      </c>
      <c r="L1267" s="1" t="s">
        <v>6404</v>
      </c>
      <c r="M1267" s="1">
        <v>0.0</v>
      </c>
      <c r="N1267" s="1">
        <v>1.0</v>
      </c>
      <c r="O1267" s="1" t="s">
        <v>351</v>
      </c>
      <c r="P1267" s="1" t="s">
        <v>488</v>
      </c>
      <c r="Q1267" s="2" t="str">
        <f t="shared" si="1"/>
        <v>H006706</v>
      </c>
    </row>
    <row r="1268">
      <c r="A1268" s="1" t="s">
        <v>6405</v>
      </c>
      <c r="B1268" s="1" t="s">
        <v>6406</v>
      </c>
      <c r="C1268" s="1" t="s">
        <v>6407</v>
      </c>
      <c r="D1268" s="1" t="s">
        <v>6408</v>
      </c>
      <c r="E1268" s="1">
        <v>3348.0</v>
      </c>
      <c r="F1268" s="1" t="s">
        <v>351</v>
      </c>
      <c r="G1268" s="1" t="s">
        <v>57</v>
      </c>
      <c r="H1268" s="1" t="s">
        <v>58</v>
      </c>
      <c r="I1268" s="1" t="s">
        <v>486</v>
      </c>
      <c r="J1268" s="1"/>
      <c r="K1268" s="1" t="s">
        <v>23</v>
      </c>
      <c r="L1268" s="1" t="s">
        <v>6409</v>
      </c>
      <c r="M1268" s="1">
        <v>0.0</v>
      </c>
      <c r="N1268" s="1">
        <v>1.0</v>
      </c>
      <c r="O1268" s="1" t="s">
        <v>351</v>
      </c>
      <c r="P1268" s="1" t="s">
        <v>488</v>
      </c>
      <c r="Q1268" s="2" t="str">
        <f t="shared" si="1"/>
        <v>H006706</v>
      </c>
    </row>
    <row r="1269">
      <c r="A1269" s="1" t="s">
        <v>6410</v>
      </c>
      <c r="B1269" s="1" t="s">
        <v>6411</v>
      </c>
      <c r="C1269" s="1" t="s">
        <v>6412</v>
      </c>
      <c r="D1269" s="1" t="s">
        <v>6413</v>
      </c>
      <c r="E1269" s="1">
        <v>2408.0</v>
      </c>
      <c r="F1269" s="1" t="s">
        <v>382</v>
      </c>
      <c r="G1269" s="1" t="s">
        <v>191</v>
      </c>
      <c r="H1269" s="1" t="s">
        <v>192</v>
      </c>
      <c r="I1269" s="1" t="s">
        <v>486</v>
      </c>
      <c r="J1269" s="1"/>
      <c r="K1269" s="1" t="s">
        <v>23</v>
      </c>
      <c r="L1269" s="1" t="s">
        <v>6414</v>
      </c>
      <c r="M1269" s="1">
        <v>3.0</v>
      </c>
      <c r="N1269" s="1">
        <v>1.0</v>
      </c>
      <c r="O1269" s="1" t="s">
        <v>382</v>
      </c>
      <c r="P1269" s="1" t="s">
        <v>488</v>
      </c>
      <c r="Q1269" s="2" t="str">
        <f t="shared" si="1"/>
        <v>H006422</v>
      </c>
    </row>
    <row r="1270">
      <c r="A1270" s="1" t="s">
        <v>6415</v>
      </c>
      <c r="B1270" s="1" t="s">
        <v>6416</v>
      </c>
      <c r="C1270" s="1" t="s">
        <v>6417</v>
      </c>
      <c r="D1270" s="1" t="s">
        <v>6418</v>
      </c>
      <c r="E1270" s="1">
        <v>2586.0</v>
      </c>
      <c r="F1270" s="1" t="s">
        <v>382</v>
      </c>
      <c r="G1270" s="1" t="s">
        <v>191</v>
      </c>
      <c r="H1270" s="1" t="s">
        <v>192</v>
      </c>
      <c r="I1270" s="1" t="s">
        <v>486</v>
      </c>
      <c r="J1270" s="1"/>
      <c r="K1270" s="1" t="s">
        <v>23</v>
      </c>
      <c r="L1270" s="1" t="s">
        <v>6419</v>
      </c>
      <c r="M1270" s="1">
        <v>3.0</v>
      </c>
      <c r="N1270" s="1">
        <v>1.0</v>
      </c>
      <c r="O1270" s="1" t="s">
        <v>382</v>
      </c>
      <c r="P1270" s="1" t="s">
        <v>488</v>
      </c>
      <c r="Q1270" s="2" t="str">
        <f t="shared" si="1"/>
        <v>H006422</v>
      </c>
    </row>
    <row r="1271">
      <c r="A1271" s="1" t="s">
        <v>6420</v>
      </c>
      <c r="B1271" s="1" t="s">
        <v>6421</v>
      </c>
      <c r="C1271" s="1" t="s">
        <v>6422</v>
      </c>
      <c r="D1271" s="1" t="s">
        <v>6423</v>
      </c>
      <c r="E1271" s="1">
        <v>3009.0</v>
      </c>
      <c r="F1271" s="1" t="s">
        <v>382</v>
      </c>
      <c r="G1271" s="1" t="s">
        <v>191</v>
      </c>
      <c r="H1271" s="1" t="s">
        <v>192</v>
      </c>
      <c r="I1271" s="1" t="s">
        <v>486</v>
      </c>
      <c r="J1271" s="1"/>
      <c r="K1271" s="1" t="s">
        <v>23</v>
      </c>
      <c r="L1271" s="1" t="s">
        <v>6424</v>
      </c>
      <c r="M1271" s="1">
        <v>3.0</v>
      </c>
      <c r="N1271" s="1">
        <v>1.0</v>
      </c>
      <c r="O1271" s="1" t="s">
        <v>382</v>
      </c>
      <c r="P1271" s="1" t="s">
        <v>488</v>
      </c>
      <c r="Q1271" s="2" t="str">
        <f t="shared" si="1"/>
        <v>H006422</v>
      </c>
    </row>
    <row r="1272">
      <c r="A1272" s="1" t="s">
        <v>6425</v>
      </c>
      <c r="B1272" s="1" t="s">
        <v>6426</v>
      </c>
      <c r="C1272" s="1" t="s">
        <v>6427</v>
      </c>
      <c r="D1272" s="1" t="s">
        <v>6428</v>
      </c>
      <c r="E1272" s="1">
        <v>4891.0</v>
      </c>
      <c r="F1272" s="1" t="s">
        <v>351</v>
      </c>
      <c r="G1272" s="1" t="s">
        <v>208</v>
      </c>
      <c r="H1272" s="1" t="s">
        <v>209</v>
      </c>
      <c r="I1272" s="1" t="s">
        <v>486</v>
      </c>
      <c r="J1272" s="1"/>
      <c r="K1272" s="1" t="s">
        <v>23</v>
      </c>
      <c r="L1272" s="1" t="s">
        <v>6429</v>
      </c>
      <c r="M1272" s="1">
        <v>0.0</v>
      </c>
      <c r="N1272" s="1">
        <v>1.0</v>
      </c>
      <c r="O1272" s="1" t="s">
        <v>351</v>
      </c>
      <c r="P1272" s="1" t="s">
        <v>488</v>
      </c>
      <c r="Q1272" s="2" t="str">
        <f t="shared" si="1"/>
        <v>H006706</v>
      </c>
    </row>
    <row r="1273">
      <c r="A1273" s="1" t="s">
        <v>6430</v>
      </c>
      <c r="B1273" s="1" t="s">
        <v>6431</v>
      </c>
      <c r="C1273" s="1" t="s">
        <v>6432</v>
      </c>
      <c r="D1273" s="1" t="s">
        <v>6433</v>
      </c>
      <c r="E1273" s="1">
        <v>4585.0</v>
      </c>
      <c r="F1273" s="1" t="s">
        <v>351</v>
      </c>
      <c r="G1273" s="1" t="s">
        <v>208</v>
      </c>
      <c r="H1273" s="1" t="s">
        <v>209</v>
      </c>
      <c r="I1273" s="1" t="s">
        <v>486</v>
      </c>
      <c r="J1273" s="1"/>
      <c r="K1273" s="1" t="s">
        <v>23</v>
      </c>
      <c r="L1273" s="1" t="s">
        <v>6434</v>
      </c>
      <c r="M1273" s="1">
        <v>0.0</v>
      </c>
      <c r="N1273" s="1">
        <v>1.0</v>
      </c>
      <c r="O1273" s="1" t="s">
        <v>351</v>
      </c>
      <c r="P1273" s="1" t="s">
        <v>488</v>
      </c>
      <c r="Q1273" s="2" t="str">
        <f t="shared" si="1"/>
        <v>H006706</v>
      </c>
    </row>
    <row r="1274">
      <c r="A1274" s="1" t="s">
        <v>6435</v>
      </c>
      <c r="B1274" s="1" t="s">
        <v>6436</v>
      </c>
      <c r="C1274" s="1" t="s">
        <v>6437</v>
      </c>
      <c r="D1274" s="1" t="s">
        <v>6438</v>
      </c>
      <c r="E1274" s="1">
        <v>4803.0</v>
      </c>
      <c r="F1274" s="1" t="s">
        <v>351</v>
      </c>
      <c r="G1274" s="1" t="s">
        <v>208</v>
      </c>
      <c r="H1274" s="1" t="s">
        <v>209</v>
      </c>
      <c r="I1274" s="1" t="s">
        <v>486</v>
      </c>
      <c r="J1274" s="1"/>
      <c r="K1274" s="1" t="s">
        <v>23</v>
      </c>
      <c r="L1274" s="1" t="s">
        <v>6439</v>
      </c>
      <c r="M1274" s="1">
        <v>0.0</v>
      </c>
      <c r="N1274" s="1">
        <v>1.0</v>
      </c>
      <c r="O1274" s="1" t="s">
        <v>351</v>
      </c>
      <c r="P1274" s="1" t="s">
        <v>488</v>
      </c>
      <c r="Q1274" s="2" t="str">
        <f t="shared" si="1"/>
        <v>H006706</v>
      </c>
    </row>
    <row r="1275">
      <c r="A1275" s="1" t="s">
        <v>6440</v>
      </c>
      <c r="B1275" s="1" t="s">
        <v>6441</v>
      </c>
      <c r="C1275" s="1" t="s">
        <v>6442</v>
      </c>
      <c r="D1275" s="1" t="s">
        <v>6443</v>
      </c>
      <c r="E1275" s="1">
        <v>3912.0</v>
      </c>
      <c r="F1275" s="1" t="s">
        <v>382</v>
      </c>
      <c r="G1275" s="1" t="s">
        <v>107</v>
      </c>
      <c r="H1275" s="1" t="s">
        <v>108</v>
      </c>
      <c r="I1275" s="1" t="s">
        <v>486</v>
      </c>
      <c r="J1275" s="1"/>
      <c r="K1275" s="1" t="s">
        <v>23</v>
      </c>
      <c r="L1275" s="1" t="s">
        <v>6444</v>
      </c>
      <c r="M1275" s="1">
        <v>3.0</v>
      </c>
      <c r="N1275" s="1">
        <v>1.0</v>
      </c>
      <c r="O1275" s="1" t="s">
        <v>382</v>
      </c>
      <c r="P1275" s="1" t="s">
        <v>488</v>
      </c>
      <c r="Q1275" s="2" t="str">
        <f t="shared" si="1"/>
        <v>H006422</v>
      </c>
    </row>
    <row r="1276">
      <c r="A1276" s="1" t="s">
        <v>6445</v>
      </c>
      <c r="B1276" s="1" t="s">
        <v>6446</v>
      </c>
      <c r="C1276" s="1" t="s">
        <v>6447</v>
      </c>
      <c r="D1276" s="1" t="s">
        <v>6448</v>
      </c>
      <c r="E1276" s="1">
        <v>3043.0</v>
      </c>
      <c r="F1276" s="1" t="s">
        <v>382</v>
      </c>
      <c r="G1276" s="1" t="s">
        <v>107</v>
      </c>
      <c r="H1276" s="1" t="s">
        <v>108</v>
      </c>
      <c r="I1276" s="1" t="s">
        <v>486</v>
      </c>
      <c r="J1276" s="1"/>
      <c r="K1276" s="1" t="s">
        <v>23</v>
      </c>
      <c r="L1276" s="1" t="s">
        <v>6449</v>
      </c>
      <c r="M1276" s="1">
        <v>3.0</v>
      </c>
      <c r="N1276" s="1">
        <v>1.0</v>
      </c>
      <c r="O1276" s="1" t="s">
        <v>382</v>
      </c>
      <c r="P1276" s="1" t="s">
        <v>488</v>
      </c>
      <c r="Q1276" s="2" t="str">
        <f t="shared" si="1"/>
        <v>H006422</v>
      </c>
    </row>
    <row r="1277">
      <c r="A1277" s="1" t="s">
        <v>6450</v>
      </c>
      <c r="B1277" s="1" t="s">
        <v>6451</v>
      </c>
      <c r="C1277" s="1" t="s">
        <v>6452</v>
      </c>
      <c r="D1277" s="1" t="s">
        <v>6453</v>
      </c>
      <c r="E1277" s="1">
        <v>3778.0</v>
      </c>
      <c r="F1277" s="1" t="s">
        <v>382</v>
      </c>
      <c r="G1277" s="1" t="s">
        <v>107</v>
      </c>
      <c r="H1277" s="1" t="s">
        <v>108</v>
      </c>
      <c r="I1277" s="1" t="s">
        <v>486</v>
      </c>
      <c r="J1277" s="1"/>
      <c r="K1277" s="1" t="s">
        <v>23</v>
      </c>
      <c r="L1277" s="1" t="s">
        <v>6454</v>
      </c>
      <c r="M1277" s="1">
        <v>3.0</v>
      </c>
      <c r="N1277" s="1">
        <v>1.0</v>
      </c>
      <c r="O1277" s="1" t="s">
        <v>382</v>
      </c>
      <c r="P1277" s="1" t="s">
        <v>488</v>
      </c>
      <c r="Q1277" s="2" t="str">
        <f t="shared" si="1"/>
        <v>H006422</v>
      </c>
    </row>
    <row r="1278">
      <c r="A1278" s="1" t="s">
        <v>6455</v>
      </c>
      <c r="B1278" s="1" t="s">
        <v>6456</v>
      </c>
      <c r="C1278" s="1" t="s">
        <v>6457</v>
      </c>
      <c r="D1278" s="1" t="s">
        <v>6458</v>
      </c>
      <c r="E1278" s="1">
        <v>3717.0</v>
      </c>
      <c r="F1278" s="1" t="s">
        <v>351</v>
      </c>
      <c r="G1278" s="1" t="s">
        <v>260</v>
      </c>
      <c r="H1278" s="1" t="s">
        <v>261</v>
      </c>
      <c r="I1278" s="1" t="s">
        <v>486</v>
      </c>
      <c r="J1278" s="1"/>
      <c r="K1278" s="1" t="s">
        <v>23</v>
      </c>
      <c r="L1278" s="1" t="s">
        <v>6459</v>
      </c>
      <c r="M1278" s="1">
        <v>0.0</v>
      </c>
      <c r="N1278" s="1">
        <v>1.0</v>
      </c>
      <c r="O1278" s="1" t="s">
        <v>351</v>
      </c>
      <c r="P1278" s="1" t="s">
        <v>488</v>
      </c>
      <c r="Q1278" s="2" t="str">
        <f t="shared" si="1"/>
        <v>H006706</v>
      </c>
    </row>
    <row r="1279">
      <c r="A1279" s="1" t="s">
        <v>6460</v>
      </c>
      <c r="B1279" s="1" t="s">
        <v>6461</v>
      </c>
      <c r="C1279" s="1" t="s">
        <v>6462</v>
      </c>
      <c r="D1279" s="1" t="s">
        <v>6463</v>
      </c>
      <c r="E1279" s="1">
        <v>6531.0</v>
      </c>
      <c r="F1279" s="1" t="s">
        <v>351</v>
      </c>
      <c r="G1279" s="1" t="s">
        <v>260</v>
      </c>
      <c r="H1279" s="1" t="s">
        <v>261</v>
      </c>
      <c r="I1279" s="1" t="s">
        <v>486</v>
      </c>
      <c r="J1279" s="1"/>
      <c r="K1279" s="1" t="s">
        <v>23</v>
      </c>
      <c r="L1279" s="1" t="s">
        <v>6464</v>
      </c>
      <c r="M1279" s="1">
        <v>0.0</v>
      </c>
      <c r="N1279" s="1">
        <v>1.0</v>
      </c>
      <c r="O1279" s="1" t="s">
        <v>351</v>
      </c>
      <c r="P1279" s="1" t="s">
        <v>488</v>
      </c>
      <c r="Q1279" s="2" t="str">
        <f t="shared" si="1"/>
        <v>H006706</v>
      </c>
    </row>
    <row r="1280">
      <c r="A1280" s="1" t="s">
        <v>6465</v>
      </c>
      <c r="B1280" s="1" t="s">
        <v>6466</v>
      </c>
      <c r="C1280" s="1" t="s">
        <v>6467</v>
      </c>
      <c r="D1280" s="1" t="s">
        <v>6468</v>
      </c>
      <c r="E1280" s="1">
        <v>8222.0</v>
      </c>
      <c r="F1280" s="1" t="s">
        <v>351</v>
      </c>
      <c r="G1280" s="1" t="s">
        <v>260</v>
      </c>
      <c r="H1280" s="1" t="s">
        <v>261</v>
      </c>
      <c r="I1280" s="1" t="s">
        <v>486</v>
      </c>
      <c r="J1280" s="1"/>
      <c r="K1280" s="1" t="s">
        <v>23</v>
      </c>
      <c r="L1280" s="1" t="s">
        <v>6469</v>
      </c>
      <c r="M1280" s="1">
        <v>0.0</v>
      </c>
      <c r="N1280" s="1">
        <v>1.0</v>
      </c>
      <c r="O1280" s="1" t="s">
        <v>351</v>
      </c>
      <c r="P1280" s="1" t="s">
        <v>488</v>
      </c>
      <c r="Q1280" s="2" t="str">
        <f t="shared" si="1"/>
        <v>H006706</v>
      </c>
    </row>
    <row r="1281">
      <c r="A1281" s="1" t="s">
        <v>6470</v>
      </c>
      <c r="B1281" s="1" t="s">
        <v>6471</v>
      </c>
      <c r="C1281" s="1" t="s">
        <v>6472</v>
      </c>
      <c r="D1281" s="1" t="s">
        <v>6473</v>
      </c>
      <c r="E1281" s="1">
        <v>3403.0</v>
      </c>
      <c r="F1281" s="1" t="s">
        <v>315</v>
      </c>
      <c r="G1281" s="1">
        <v>455939.0</v>
      </c>
      <c r="H1281" s="1" t="s">
        <v>2746</v>
      </c>
      <c r="I1281" s="1" t="s">
        <v>1051</v>
      </c>
      <c r="J1281" s="1"/>
      <c r="K1281" s="1" t="s">
        <v>23</v>
      </c>
      <c r="L1281" s="1" t="s">
        <v>6474</v>
      </c>
      <c r="M1281" s="1">
        <v>3.0</v>
      </c>
      <c r="N1281" s="1">
        <v>1.0</v>
      </c>
      <c r="O1281" s="1" t="s">
        <v>315</v>
      </c>
      <c r="P1281" s="1" t="s">
        <v>488</v>
      </c>
      <c r="Q1281" s="2" t="str">
        <f t="shared" si="1"/>
        <v>H004407</v>
      </c>
    </row>
    <row r="1282">
      <c r="A1282" s="1" t="s">
        <v>6475</v>
      </c>
      <c r="B1282" s="1" t="s">
        <v>6476</v>
      </c>
      <c r="C1282" s="1" t="s">
        <v>6477</v>
      </c>
      <c r="D1282" s="1" t="s">
        <v>6478</v>
      </c>
      <c r="E1282" s="1">
        <v>2626.0</v>
      </c>
      <c r="F1282" s="1" t="s">
        <v>315</v>
      </c>
      <c r="G1282" s="1">
        <v>455939.0</v>
      </c>
      <c r="H1282" s="1" t="s">
        <v>2746</v>
      </c>
      <c r="I1282" s="1" t="s">
        <v>1051</v>
      </c>
      <c r="J1282" s="1"/>
      <c r="K1282" s="1" t="s">
        <v>23</v>
      </c>
      <c r="L1282" s="1" t="s">
        <v>6479</v>
      </c>
      <c r="M1282" s="1">
        <v>3.0</v>
      </c>
      <c r="N1282" s="1">
        <v>1.0</v>
      </c>
      <c r="O1282" s="1" t="s">
        <v>315</v>
      </c>
      <c r="P1282" s="1" t="s">
        <v>488</v>
      </c>
      <c r="Q1282" s="2" t="str">
        <f t="shared" si="1"/>
        <v>H004407</v>
      </c>
    </row>
    <row r="1283">
      <c r="A1283" s="1" t="s">
        <v>6480</v>
      </c>
      <c r="B1283" s="1" t="s">
        <v>6481</v>
      </c>
      <c r="C1283" s="1" t="s">
        <v>6482</v>
      </c>
      <c r="D1283" s="1" t="s">
        <v>6483</v>
      </c>
      <c r="E1283" s="1">
        <v>4971.0</v>
      </c>
      <c r="F1283" s="1" t="s">
        <v>315</v>
      </c>
      <c r="G1283" s="1">
        <v>455939.0</v>
      </c>
      <c r="H1283" s="1" t="s">
        <v>2746</v>
      </c>
      <c r="I1283" s="1" t="s">
        <v>1051</v>
      </c>
      <c r="J1283" s="1"/>
      <c r="K1283" s="1" t="s">
        <v>23</v>
      </c>
      <c r="L1283" s="1" t="s">
        <v>6484</v>
      </c>
      <c r="M1283" s="1">
        <v>3.0</v>
      </c>
      <c r="N1283" s="1">
        <v>1.0</v>
      </c>
      <c r="O1283" s="1" t="s">
        <v>315</v>
      </c>
      <c r="P1283" s="1" t="s">
        <v>488</v>
      </c>
      <c r="Q1283" s="2" t="str">
        <f t="shared" si="1"/>
        <v>H004407</v>
      </c>
    </row>
    <row r="1284">
      <c r="A1284" s="1" t="s">
        <v>6485</v>
      </c>
      <c r="B1284" s="1" t="s">
        <v>6486</v>
      </c>
      <c r="C1284" s="1" t="s">
        <v>6487</v>
      </c>
      <c r="D1284" s="1" t="s">
        <v>6488</v>
      </c>
      <c r="E1284" s="1">
        <v>2452.0</v>
      </c>
      <c r="F1284" s="1" t="s">
        <v>315</v>
      </c>
      <c r="G1284" s="1">
        <v>455939.0</v>
      </c>
      <c r="H1284" s="1" t="s">
        <v>2746</v>
      </c>
      <c r="I1284" s="1" t="s">
        <v>1051</v>
      </c>
      <c r="J1284" s="1"/>
      <c r="K1284" s="1" t="s">
        <v>23</v>
      </c>
      <c r="L1284" s="1" t="s">
        <v>6489</v>
      </c>
      <c r="M1284" s="1">
        <v>3.0</v>
      </c>
      <c r="N1284" s="1">
        <v>1.0</v>
      </c>
      <c r="O1284" s="1" t="s">
        <v>315</v>
      </c>
      <c r="P1284" s="1" t="s">
        <v>488</v>
      </c>
      <c r="Q1284" s="2" t="str">
        <f t="shared" si="1"/>
        <v>H004407</v>
      </c>
    </row>
    <row r="1285">
      <c r="A1285" s="1" t="s">
        <v>6490</v>
      </c>
      <c r="B1285" s="1" t="s">
        <v>6491</v>
      </c>
      <c r="C1285" s="1" t="s">
        <v>6492</v>
      </c>
      <c r="D1285" s="1" t="s">
        <v>6493</v>
      </c>
      <c r="E1285" s="1">
        <v>2944.0</v>
      </c>
      <c r="F1285" s="1" t="s">
        <v>315</v>
      </c>
      <c r="G1285" s="1">
        <v>455939.0</v>
      </c>
      <c r="H1285" s="1" t="s">
        <v>2746</v>
      </c>
      <c r="I1285" s="1" t="s">
        <v>1051</v>
      </c>
      <c r="J1285" s="1"/>
      <c r="K1285" s="1" t="s">
        <v>23</v>
      </c>
      <c r="L1285" s="1" t="s">
        <v>6494</v>
      </c>
      <c r="M1285" s="1">
        <v>3.0</v>
      </c>
      <c r="N1285" s="1">
        <v>1.0</v>
      </c>
      <c r="O1285" s="1" t="s">
        <v>315</v>
      </c>
      <c r="P1285" s="1" t="s">
        <v>488</v>
      </c>
      <c r="Q1285" s="2" t="str">
        <f t="shared" si="1"/>
        <v>H004407</v>
      </c>
    </row>
    <row r="1286">
      <c r="A1286" s="1" t="s">
        <v>6495</v>
      </c>
      <c r="B1286" s="1" t="s">
        <v>6496</v>
      </c>
      <c r="C1286" s="1" t="s">
        <v>6497</v>
      </c>
      <c r="D1286" s="1" t="s">
        <v>6498</v>
      </c>
      <c r="E1286" s="1">
        <v>4028.0</v>
      </c>
      <c r="F1286" s="1" t="s">
        <v>288</v>
      </c>
      <c r="G1286" s="1" t="s">
        <v>304</v>
      </c>
      <c r="H1286" s="1" t="s">
        <v>272</v>
      </c>
      <c r="I1286" s="1" t="s">
        <v>1051</v>
      </c>
      <c r="J1286" s="1"/>
      <c r="K1286" s="1" t="s">
        <v>23</v>
      </c>
      <c r="L1286" s="1" t="s">
        <v>6499</v>
      </c>
      <c r="M1286" s="1">
        <v>1.0</v>
      </c>
      <c r="N1286" s="1">
        <v>1.0</v>
      </c>
      <c r="O1286" s="1" t="s">
        <v>288</v>
      </c>
      <c r="P1286" s="1" t="s">
        <v>488</v>
      </c>
      <c r="Q1286" s="2" t="str">
        <f t="shared" si="1"/>
        <v>H004588</v>
      </c>
    </row>
    <row r="1287">
      <c r="A1287" s="1" t="s">
        <v>6500</v>
      </c>
      <c r="B1287" s="1" t="s">
        <v>6501</v>
      </c>
      <c r="C1287" s="1" t="s">
        <v>6502</v>
      </c>
      <c r="D1287" s="1" t="s">
        <v>6503</v>
      </c>
      <c r="E1287" s="1">
        <v>3696.0</v>
      </c>
      <c r="F1287" s="1" t="s">
        <v>288</v>
      </c>
      <c r="G1287" s="1" t="s">
        <v>304</v>
      </c>
      <c r="H1287" s="1" t="s">
        <v>272</v>
      </c>
      <c r="I1287" s="1" t="s">
        <v>1051</v>
      </c>
      <c r="J1287" s="1"/>
      <c r="K1287" s="1" t="s">
        <v>23</v>
      </c>
      <c r="L1287" s="1" t="s">
        <v>6504</v>
      </c>
      <c r="M1287" s="1">
        <v>1.0</v>
      </c>
      <c r="N1287" s="1">
        <v>1.0</v>
      </c>
      <c r="O1287" s="1" t="s">
        <v>288</v>
      </c>
      <c r="P1287" s="1" t="s">
        <v>488</v>
      </c>
      <c r="Q1287" s="2" t="str">
        <f t="shared" si="1"/>
        <v>H004588</v>
      </c>
    </row>
    <row r="1288">
      <c r="A1288" s="1" t="s">
        <v>6505</v>
      </c>
      <c r="B1288" s="1" t="s">
        <v>6506</v>
      </c>
      <c r="C1288" s="1" t="s">
        <v>6507</v>
      </c>
      <c r="D1288" s="1" t="s">
        <v>6508</v>
      </c>
      <c r="E1288" s="1">
        <v>2519.0</v>
      </c>
      <c r="F1288" s="1" t="s">
        <v>288</v>
      </c>
      <c r="G1288" s="1" t="s">
        <v>304</v>
      </c>
      <c r="H1288" s="1" t="s">
        <v>272</v>
      </c>
      <c r="I1288" s="1" t="s">
        <v>1051</v>
      </c>
      <c r="J1288" s="1"/>
      <c r="K1288" s="1" t="s">
        <v>23</v>
      </c>
      <c r="L1288" s="1" t="s">
        <v>6509</v>
      </c>
      <c r="M1288" s="1">
        <v>1.0</v>
      </c>
      <c r="N1288" s="1">
        <v>1.0</v>
      </c>
      <c r="O1288" s="1" t="s">
        <v>288</v>
      </c>
      <c r="P1288" s="1" t="s">
        <v>488</v>
      </c>
      <c r="Q1288" s="2" t="str">
        <f t="shared" si="1"/>
        <v>H004588</v>
      </c>
    </row>
    <row r="1289">
      <c r="A1289" s="1" t="s">
        <v>6510</v>
      </c>
      <c r="B1289" s="1" t="s">
        <v>6511</v>
      </c>
      <c r="C1289" s="1" t="s">
        <v>6512</v>
      </c>
      <c r="D1289" s="1" t="s">
        <v>6513</v>
      </c>
      <c r="E1289" s="1">
        <v>2725.0</v>
      </c>
      <c r="F1289" s="1" t="s">
        <v>288</v>
      </c>
      <c r="G1289" s="1" t="s">
        <v>304</v>
      </c>
      <c r="H1289" s="1" t="s">
        <v>272</v>
      </c>
      <c r="I1289" s="1" t="s">
        <v>1051</v>
      </c>
      <c r="J1289" s="1"/>
      <c r="K1289" s="1" t="s">
        <v>23</v>
      </c>
      <c r="L1289" s="1" t="s">
        <v>6514</v>
      </c>
      <c r="M1289" s="1">
        <v>1.0</v>
      </c>
      <c r="N1289" s="1">
        <v>1.0</v>
      </c>
      <c r="O1289" s="1" t="s">
        <v>288</v>
      </c>
      <c r="P1289" s="1" t="s">
        <v>488</v>
      </c>
      <c r="Q1289" s="2" t="str">
        <f t="shared" si="1"/>
        <v>H004588</v>
      </c>
    </row>
    <row r="1290">
      <c r="A1290" s="1" t="s">
        <v>6515</v>
      </c>
      <c r="B1290" s="1" t="s">
        <v>6516</v>
      </c>
      <c r="C1290" s="1" t="s">
        <v>6517</v>
      </c>
      <c r="D1290" s="1" t="s">
        <v>6518</v>
      </c>
      <c r="E1290" s="1">
        <v>3289.0</v>
      </c>
      <c r="F1290" s="1" t="s">
        <v>382</v>
      </c>
      <c r="G1290" s="1" t="s">
        <v>119</v>
      </c>
      <c r="H1290" s="1" t="s">
        <v>120</v>
      </c>
      <c r="I1290" s="1" t="s">
        <v>486</v>
      </c>
      <c r="J1290" s="1"/>
      <c r="K1290" s="1" t="s">
        <v>23</v>
      </c>
      <c r="L1290" s="1" t="s">
        <v>6519</v>
      </c>
      <c r="M1290" s="1">
        <v>3.0</v>
      </c>
      <c r="N1290" s="1">
        <v>1.0</v>
      </c>
      <c r="O1290" s="1" t="s">
        <v>382</v>
      </c>
      <c r="P1290" s="1" t="s">
        <v>488</v>
      </c>
      <c r="Q1290" s="2" t="str">
        <f t="shared" si="1"/>
        <v>H006422</v>
      </c>
    </row>
    <row r="1291">
      <c r="A1291" s="1" t="s">
        <v>6520</v>
      </c>
      <c r="B1291" s="1" t="s">
        <v>6521</v>
      </c>
      <c r="C1291" s="1" t="s">
        <v>6522</v>
      </c>
      <c r="D1291" s="1" t="s">
        <v>6523</v>
      </c>
      <c r="E1291" s="1">
        <v>2563.0</v>
      </c>
      <c r="F1291" s="1" t="s">
        <v>382</v>
      </c>
      <c r="G1291" s="1" t="s">
        <v>119</v>
      </c>
      <c r="H1291" s="1" t="s">
        <v>120</v>
      </c>
      <c r="I1291" s="1" t="s">
        <v>486</v>
      </c>
      <c r="J1291" s="1"/>
      <c r="K1291" s="1" t="s">
        <v>23</v>
      </c>
      <c r="L1291" s="1" t="s">
        <v>6524</v>
      </c>
      <c r="M1291" s="1">
        <v>0.0</v>
      </c>
      <c r="N1291" s="1">
        <v>1.0</v>
      </c>
      <c r="O1291" s="1" t="s">
        <v>382</v>
      </c>
      <c r="P1291" s="1" t="s">
        <v>488</v>
      </c>
      <c r="Q1291" s="2" t="str">
        <f t="shared" si="1"/>
        <v>H006863</v>
      </c>
    </row>
    <row r="1292">
      <c r="A1292" s="1" t="s">
        <v>6525</v>
      </c>
      <c r="B1292" s="1" t="s">
        <v>6526</v>
      </c>
      <c r="C1292" s="1" t="s">
        <v>6527</v>
      </c>
      <c r="D1292" s="1" t="s">
        <v>6528</v>
      </c>
      <c r="E1292" s="1">
        <v>3730.0</v>
      </c>
      <c r="F1292" s="1" t="s">
        <v>382</v>
      </c>
      <c r="G1292" s="1" t="s">
        <v>119</v>
      </c>
      <c r="H1292" s="1" t="s">
        <v>120</v>
      </c>
      <c r="I1292" s="1" t="s">
        <v>486</v>
      </c>
      <c r="J1292" s="1"/>
      <c r="K1292" s="1" t="s">
        <v>23</v>
      </c>
      <c r="L1292" s="1" t="s">
        <v>6529</v>
      </c>
      <c r="M1292" s="1">
        <v>3.0</v>
      </c>
      <c r="N1292" s="1">
        <v>1.0</v>
      </c>
      <c r="O1292" s="1" t="s">
        <v>382</v>
      </c>
      <c r="P1292" s="1" t="s">
        <v>488</v>
      </c>
      <c r="Q1292" s="2" t="str">
        <f t="shared" si="1"/>
        <v>H006422</v>
      </c>
    </row>
    <row r="1293">
      <c r="A1293" s="1" t="s">
        <v>6530</v>
      </c>
      <c r="B1293" s="1" t="s">
        <v>6531</v>
      </c>
      <c r="C1293" s="1" t="s">
        <v>6532</v>
      </c>
      <c r="D1293" s="1" t="s">
        <v>6533</v>
      </c>
      <c r="E1293" s="1">
        <v>3137.0</v>
      </c>
      <c r="F1293" s="1" t="s">
        <v>382</v>
      </c>
      <c r="G1293" s="1" t="s">
        <v>474</v>
      </c>
      <c r="H1293" s="1" t="s">
        <v>475</v>
      </c>
      <c r="I1293" s="1" t="s">
        <v>486</v>
      </c>
      <c r="J1293" s="1"/>
      <c r="K1293" s="1" t="s">
        <v>23</v>
      </c>
      <c r="L1293" s="1" t="s">
        <v>6534</v>
      </c>
      <c r="M1293" s="1">
        <v>3.0</v>
      </c>
      <c r="N1293" s="1">
        <v>1.0</v>
      </c>
      <c r="O1293" s="1" t="s">
        <v>382</v>
      </c>
      <c r="P1293" s="1" t="s">
        <v>488</v>
      </c>
      <c r="Q1293" s="2" t="str">
        <f t="shared" si="1"/>
        <v>H006422</v>
      </c>
    </row>
    <row r="1294">
      <c r="A1294" s="1" t="s">
        <v>6535</v>
      </c>
      <c r="B1294" s="1" t="s">
        <v>6536</v>
      </c>
      <c r="C1294" s="1" t="s">
        <v>6537</v>
      </c>
      <c r="D1294" s="1" t="s">
        <v>6538</v>
      </c>
      <c r="E1294" s="1">
        <v>2522.0</v>
      </c>
      <c r="F1294" s="1" t="s">
        <v>382</v>
      </c>
      <c r="G1294" s="1" t="s">
        <v>474</v>
      </c>
      <c r="H1294" s="1" t="s">
        <v>475</v>
      </c>
      <c r="I1294" s="1" t="s">
        <v>486</v>
      </c>
      <c r="J1294" s="1"/>
      <c r="K1294" s="1" t="s">
        <v>23</v>
      </c>
      <c r="L1294" s="1" t="s">
        <v>6539</v>
      </c>
      <c r="M1294" s="1">
        <v>3.0</v>
      </c>
      <c r="N1294" s="1">
        <v>1.0</v>
      </c>
      <c r="O1294" s="1" t="s">
        <v>382</v>
      </c>
      <c r="P1294" s="1" t="s">
        <v>488</v>
      </c>
      <c r="Q1294" s="2" t="str">
        <f t="shared" si="1"/>
        <v>H006422</v>
      </c>
    </row>
    <row r="1295">
      <c r="A1295" s="1" t="s">
        <v>6540</v>
      </c>
      <c r="B1295" s="1" t="s">
        <v>6541</v>
      </c>
      <c r="C1295" s="1" t="s">
        <v>6542</v>
      </c>
      <c r="D1295" s="1" t="s">
        <v>6543</v>
      </c>
      <c r="E1295" s="1">
        <v>4535.0</v>
      </c>
      <c r="F1295" s="1" t="s">
        <v>351</v>
      </c>
      <c r="G1295" s="1" t="s">
        <v>208</v>
      </c>
      <c r="H1295" s="1" t="s">
        <v>209</v>
      </c>
      <c r="I1295" s="1" t="s">
        <v>486</v>
      </c>
      <c r="J1295" s="1"/>
      <c r="K1295" s="1" t="s">
        <v>23</v>
      </c>
      <c r="L1295" s="1" t="s">
        <v>6544</v>
      </c>
      <c r="M1295" s="1">
        <v>2.0</v>
      </c>
      <c r="N1295" s="1">
        <v>1.0</v>
      </c>
      <c r="O1295" s="1" t="s">
        <v>351</v>
      </c>
      <c r="P1295" s="1" t="s">
        <v>488</v>
      </c>
      <c r="Q1295" s="2" t="str">
        <f t="shared" si="1"/>
        <v>H006809</v>
      </c>
    </row>
    <row r="1296">
      <c r="A1296" s="1" t="s">
        <v>6545</v>
      </c>
      <c r="B1296" s="1" t="s">
        <v>6546</v>
      </c>
      <c r="C1296" s="1" t="s">
        <v>6547</v>
      </c>
      <c r="D1296" s="1" t="s">
        <v>6548</v>
      </c>
      <c r="E1296" s="1">
        <v>4773.0</v>
      </c>
      <c r="F1296" s="1" t="s">
        <v>351</v>
      </c>
      <c r="G1296" s="1" t="s">
        <v>208</v>
      </c>
      <c r="H1296" s="1" t="s">
        <v>209</v>
      </c>
      <c r="I1296" s="1" t="s">
        <v>486</v>
      </c>
      <c r="J1296" s="1"/>
      <c r="K1296" s="1" t="s">
        <v>23</v>
      </c>
      <c r="L1296" s="1" t="s">
        <v>6549</v>
      </c>
      <c r="M1296" s="1">
        <v>2.0</v>
      </c>
      <c r="N1296" s="1">
        <v>1.0</v>
      </c>
      <c r="O1296" s="1" t="s">
        <v>351</v>
      </c>
      <c r="P1296" s="1" t="s">
        <v>488</v>
      </c>
      <c r="Q1296" s="2" t="str">
        <f t="shared" si="1"/>
        <v>H006809</v>
      </c>
    </row>
    <row r="1297">
      <c r="A1297" s="1" t="s">
        <v>6550</v>
      </c>
      <c r="B1297" s="1" t="s">
        <v>6551</v>
      </c>
      <c r="C1297" s="1" t="s">
        <v>6552</v>
      </c>
      <c r="D1297" s="1" t="s">
        <v>6553</v>
      </c>
      <c r="E1297" s="1">
        <v>2712.0</v>
      </c>
      <c r="F1297" s="1" t="s">
        <v>315</v>
      </c>
      <c r="G1297" s="1">
        <v>841329.0</v>
      </c>
      <c r="H1297" s="1" t="s">
        <v>1848</v>
      </c>
      <c r="I1297" s="1" t="s">
        <v>1051</v>
      </c>
      <c r="J1297" s="1"/>
      <c r="K1297" s="1" t="s">
        <v>23</v>
      </c>
      <c r="L1297" s="1" t="s">
        <v>6554</v>
      </c>
      <c r="M1297" s="1">
        <v>1.0</v>
      </c>
      <c r="N1297" s="1">
        <v>1.0</v>
      </c>
      <c r="O1297" s="1" t="s">
        <v>315</v>
      </c>
      <c r="P1297" s="1" t="s">
        <v>488</v>
      </c>
      <c r="Q1297" s="2" t="str">
        <f t="shared" si="1"/>
        <v>H004042</v>
      </c>
    </row>
    <row r="1298">
      <c r="A1298" s="1" t="s">
        <v>6555</v>
      </c>
      <c r="B1298" s="1" t="s">
        <v>6556</v>
      </c>
      <c r="C1298" s="1" t="s">
        <v>6557</v>
      </c>
      <c r="D1298" s="1" t="s">
        <v>6558</v>
      </c>
      <c r="E1298" s="1">
        <v>3235.0</v>
      </c>
      <c r="F1298" s="1" t="s">
        <v>315</v>
      </c>
      <c r="G1298" s="1">
        <v>841329.0</v>
      </c>
      <c r="H1298" s="1" t="s">
        <v>1848</v>
      </c>
      <c r="I1298" s="1" t="s">
        <v>1051</v>
      </c>
      <c r="J1298" s="1"/>
      <c r="K1298" s="1" t="s">
        <v>23</v>
      </c>
      <c r="L1298" s="1" t="s">
        <v>6559</v>
      </c>
      <c r="M1298" s="1">
        <v>1.0</v>
      </c>
      <c r="N1298" s="1">
        <v>1.0</v>
      </c>
      <c r="O1298" s="1" t="s">
        <v>315</v>
      </c>
      <c r="P1298" s="1" t="s">
        <v>488</v>
      </c>
      <c r="Q1298" s="2" t="str">
        <f t="shared" si="1"/>
        <v>H004042</v>
      </c>
    </row>
    <row r="1299">
      <c r="A1299" s="1" t="s">
        <v>6560</v>
      </c>
      <c r="B1299" s="1" t="s">
        <v>6561</v>
      </c>
      <c r="C1299" s="1" t="s">
        <v>6562</v>
      </c>
      <c r="D1299" s="1" t="s">
        <v>6563</v>
      </c>
      <c r="E1299" s="1">
        <v>3840.0</v>
      </c>
      <c r="F1299" s="1" t="s">
        <v>315</v>
      </c>
      <c r="G1299" s="1">
        <v>841329.0</v>
      </c>
      <c r="H1299" s="1" t="s">
        <v>1848</v>
      </c>
      <c r="I1299" s="1" t="s">
        <v>1051</v>
      </c>
      <c r="J1299" s="1"/>
      <c r="K1299" s="1" t="s">
        <v>23</v>
      </c>
      <c r="L1299" s="1" t="s">
        <v>6564</v>
      </c>
      <c r="M1299" s="1">
        <v>1.0</v>
      </c>
      <c r="N1299" s="1">
        <v>1.0</v>
      </c>
      <c r="O1299" s="1" t="s">
        <v>315</v>
      </c>
      <c r="P1299" s="1" t="s">
        <v>488</v>
      </c>
      <c r="Q1299" s="2" t="str">
        <f t="shared" si="1"/>
        <v>H004042</v>
      </c>
    </row>
    <row r="1300">
      <c r="A1300" s="1" t="s">
        <v>6565</v>
      </c>
      <c r="B1300" s="1" t="s">
        <v>6566</v>
      </c>
      <c r="C1300" s="1" t="s">
        <v>6567</v>
      </c>
      <c r="D1300" s="1" t="s">
        <v>6568</v>
      </c>
      <c r="E1300" s="1">
        <v>3643.0</v>
      </c>
      <c r="F1300" s="1" t="s">
        <v>315</v>
      </c>
      <c r="G1300" s="1">
        <v>841329.0</v>
      </c>
      <c r="H1300" s="1" t="s">
        <v>1848</v>
      </c>
      <c r="I1300" s="1" t="s">
        <v>1051</v>
      </c>
      <c r="J1300" s="1"/>
      <c r="K1300" s="1" t="s">
        <v>23</v>
      </c>
      <c r="L1300" s="1" t="s">
        <v>6569</v>
      </c>
      <c r="M1300" s="1">
        <v>1.0</v>
      </c>
      <c r="N1300" s="1">
        <v>1.0</v>
      </c>
      <c r="O1300" s="1" t="s">
        <v>315</v>
      </c>
      <c r="P1300" s="1" t="s">
        <v>488</v>
      </c>
      <c r="Q1300" s="2" t="str">
        <f t="shared" si="1"/>
        <v>H004042</v>
      </c>
    </row>
    <row r="1301">
      <c r="A1301" s="1" t="s">
        <v>6570</v>
      </c>
      <c r="B1301" s="1" t="s">
        <v>6571</v>
      </c>
      <c r="C1301" s="1" t="s">
        <v>6572</v>
      </c>
      <c r="D1301" s="1" t="s">
        <v>6573</v>
      </c>
      <c r="E1301" s="1">
        <v>4430.0</v>
      </c>
      <c r="F1301" s="1" t="s">
        <v>315</v>
      </c>
      <c r="G1301" s="1">
        <v>555127.0</v>
      </c>
      <c r="H1301" s="1" t="s">
        <v>3047</v>
      </c>
      <c r="I1301" s="1" t="s">
        <v>1051</v>
      </c>
      <c r="J1301" s="1"/>
      <c r="K1301" s="1" t="s">
        <v>23</v>
      </c>
      <c r="L1301" s="1" t="s">
        <v>6574</v>
      </c>
      <c r="M1301" s="1">
        <v>1.0</v>
      </c>
      <c r="N1301" s="1">
        <v>1.0</v>
      </c>
      <c r="O1301" s="1" t="s">
        <v>315</v>
      </c>
      <c r="P1301" s="1" t="s">
        <v>488</v>
      </c>
      <c r="Q1301" s="2" t="str">
        <f t="shared" si="1"/>
        <v>H004042</v>
      </c>
    </row>
    <row r="1302">
      <c r="A1302" s="1" t="s">
        <v>6575</v>
      </c>
      <c r="B1302" s="1" t="s">
        <v>6576</v>
      </c>
      <c r="C1302" s="1" t="s">
        <v>6577</v>
      </c>
      <c r="D1302" s="1" t="s">
        <v>6578</v>
      </c>
      <c r="E1302" s="1">
        <v>4383.0</v>
      </c>
      <c r="F1302" s="1" t="s">
        <v>315</v>
      </c>
      <c r="G1302" s="1">
        <v>555127.0</v>
      </c>
      <c r="H1302" s="1" t="s">
        <v>3047</v>
      </c>
      <c r="I1302" s="1" t="s">
        <v>1051</v>
      </c>
      <c r="J1302" s="1"/>
      <c r="K1302" s="1" t="s">
        <v>23</v>
      </c>
      <c r="L1302" s="1" t="s">
        <v>6579</v>
      </c>
      <c r="M1302" s="1">
        <v>1.0</v>
      </c>
      <c r="N1302" s="1">
        <v>1.0</v>
      </c>
      <c r="O1302" s="1" t="s">
        <v>315</v>
      </c>
      <c r="P1302" s="1" t="s">
        <v>488</v>
      </c>
      <c r="Q1302" s="2" t="str">
        <f t="shared" si="1"/>
        <v>H004042</v>
      </c>
    </row>
    <row r="1303">
      <c r="A1303" s="1" t="s">
        <v>6580</v>
      </c>
      <c r="B1303" s="1" t="s">
        <v>6581</v>
      </c>
      <c r="C1303" s="1" t="s">
        <v>6582</v>
      </c>
      <c r="D1303" s="1" t="s">
        <v>6583</v>
      </c>
      <c r="E1303" s="1">
        <v>4177.0</v>
      </c>
      <c r="F1303" s="1" t="s">
        <v>315</v>
      </c>
      <c r="G1303" s="1">
        <v>555127.0</v>
      </c>
      <c r="H1303" s="1" t="s">
        <v>3047</v>
      </c>
      <c r="I1303" s="1" t="s">
        <v>1051</v>
      </c>
      <c r="J1303" s="1"/>
      <c r="K1303" s="1" t="s">
        <v>23</v>
      </c>
      <c r="L1303" s="1" t="s">
        <v>6584</v>
      </c>
      <c r="M1303" s="1">
        <v>1.0</v>
      </c>
      <c r="N1303" s="1">
        <v>1.0</v>
      </c>
      <c r="O1303" s="1" t="s">
        <v>315</v>
      </c>
      <c r="P1303" s="1" t="s">
        <v>488</v>
      </c>
      <c r="Q1303" s="2" t="str">
        <f t="shared" si="1"/>
        <v>H004042</v>
      </c>
    </row>
    <row r="1304">
      <c r="A1304" s="1" t="s">
        <v>6585</v>
      </c>
      <c r="B1304" s="1" t="s">
        <v>6586</v>
      </c>
      <c r="C1304" s="1" t="s">
        <v>6587</v>
      </c>
      <c r="D1304" s="1" t="s">
        <v>6588</v>
      </c>
      <c r="E1304" s="1">
        <v>4404.0</v>
      </c>
      <c r="F1304" s="1" t="s">
        <v>315</v>
      </c>
      <c r="G1304" s="1">
        <v>555127.0</v>
      </c>
      <c r="H1304" s="1" t="s">
        <v>3047</v>
      </c>
      <c r="I1304" s="1" t="s">
        <v>1051</v>
      </c>
      <c r="J1304" s="1"/>
      <c r="K1304" s="1" t="s">
        <v>23</v>
      </c>
      <c r="L1304" s="1" t="s">
        <v>6589</v>
      </c>
      <c r="M1304" s="1">
        <v>1.0</v>
      </c>
      <c r="N1304" s="1">
        <v>1.0</v>
      </c>
      <c r="O1304" s="1" t="s">
        <v>315</v>
      </c>
      <c r="P1304" s="1" t="s">
        <v>488</v>
      </c>
      <c r="Q1304" s="2" t="str">
        <f t="shared" si="1"/>
        <v>H004042</v>
      </c>
    </row>
    <row r="1305">
      <c r="A1305" s="1" t="s">
        <v>6590</v>
      </c>
      <c r="B1305" s="1" t="s">
        <v>6591</v>
      </c>
      <c r="C1305" s="1" t="s">
        <v>6592</v>
      </c>
      <c r="D1305" s="1" t="s">
        <v>6593</v>
      </c>
      <c r="E1305" s="1">
        <v>3814.0</v>
      </c>
      <c r="F1305" s="1" t="s">
        <v>315</v>
      </c>
      <c r="G1305" s="1">
        <v>455939.0</v>
      </c>
      <c r="H1305" s="1" t="s">
        <v>2746</v>
      </c>
      <c r="I1305" s="1" t="s">
        <v>1051</v>
      </c>
      <c r="J1305" s="1"/>
      <c r="K1305" s="1" t="s">
        <v>23</v>
      </c>
      <c r="L1305" s="1" t="s">
        <v>6594</v>
      </c>
      <c r="M1305" s="1">
        <v>1.0</v>
      </c>
      <c r="N1305" s="1">
        <v>1.0</v>
      </c>
      <c r="O1305" s="1" t="s">
        <v>315</v>
      </c>
      <c r="P1305" s="1" t="s">
        <v>488</v>
      </c>
      <c r="Q1305" s="2" t="str">
        <f t="shared" si="1"/>
        <v>H004042</v>
      </c>
    </row>
    <row r="1306">
      <c r="A1306" s="1" t="s">
        <v>6595</v>
      </c>
      <c r="B1306" s="1" t="s">
        <v>6596</v>
      </c>
      <c r="C1306" s="1" t="s">
        <v>6597</v>
      </c>
      <c r="D1306" s="1" t="s">
        <v>6598</v>
      </c>
      <c r="E1306" s="1">
        <v>3155.0</v>
      </c>
      <c r="F1306" s="1" t="s">
        <v>315</v>
      </c>
      <c r="G1306" s="1">
        <v>455939.0</v>
      </c>
      <c r="H1306" s="1" t="s">
        <v>2746</v>
      </c>
      <c r="I1306" s="1" t="s">
        <v>1051</v>
      </c>
      <c r="J1306" s="1"/>
      <c r="K1306" s="1" t="s">
        <v>23</v>
      </c>
      <c r="L1306" s="1" t="s">
        <v>6599</v>
      </c>
      <c r="M1306" s="1">
        <v>1.0</v>
      </c>
      <c r="N1306" s="1">
        <v>1.0</v>
      </c>
      <c r="O1306" s="1" t="s">
        <v>315</v>
      </c>
      <c r="P1306" s="1" t="s">
        <v>488</v>
      </c>
      <c r="Q1306" s="2" t="str">
        <f t="shared" si="1"/>
        <v>H004042</v>
      </c>
    </row>
    <row r="1307">
      <c r="A1307" s="1" t="s">
        <v>6600</v>
      </c>
      <c r="B1307" s="1" t="s">
        <v>6601</v>
      </c>
      <c r="C1307" s="1" t="s">
        <v>6602</v>
      </c>
      <c r="D1307" s="1" t="s">
        <v>6603</v>
      </c>
      <c r="E1307" s="1">
        <v>2962.0</v>
      </c>
      <c r="F1307" s="1" t="s">
        <v>315</v>
      </c>
      <c r="G1307" s="1">
        <v>455939.0</v>
      </c>
      <c r="H1307" s="1" t="s">
        <v>2746</v>
      </c>
      <c r="I1307" s="1" t="s">
        <v>1051</v>
      </c>
      <c r="J1307" s="1"/>
      <c r="K1307" s="1" t="s">
        <v>23</v>
      </c>
      <c r="L1307" s="1" t="s">
        <v>6604</v>
      </c>
      <c r="M1307" s="1">
        <v>1.0</v>
      </c>
      <c r="N1307" s="1">
        <v>1.0</v>
      </c>
      <c r="O1307" s="1" t="s">
        <v>315</v>
      </c>
      <c r="P1307" s="1" t="s">
        <v>488</v>
      </c>
      <c r="Q1307" s="2" t="str">
        <f t="shared" si="1"/>
        <v>H004042</v>
      </c>
    </row>
    <row r="1308">
      <c r="A1308" s="1" t="s">
        <v>6605</v>
      </c>
      <c r="B1308" s="1" t="s">
        <v>6606</v>
      </c>
      <c r="C1308" s="1" t="s">
        <v>6607</v>
      </c>
      <c r="D1308" s="1" t="s">
        <v>6608</v>
      </c>
      <c r="E1308" s="1">
        <v>2653.0</v>
      </c>
      <c r="F1308" s="1" t="s">
        <v>315</v>
      </c>
      <c r="G1308" s="1">
        <v>455939.0</v>
      </c>
      <c r="H1308" s="1" t="s">
        <v>2746</v>
      </c>
      <c r="I1308" s="1" t="s">
        <v>1051</v>
      </c>
      <c r="J1308" s="1"/>
      <c r="K1308" s="1" t="s">
        <v>23</v>
      </c>
      <c r="L1308" s="1" t="s">
        <v>6609</v>
      </c>
      <c r="M1308" s="1">
        <v>1.0</v>
      </c>
      <c r="N1308" s="1">
        <v>1.0</v>
      </c>
      <c r="O1308" s="1" t="s">
        <v>315</v>
      </c>
      <c r="P1308" s="1" t="s">
        <v>488</v>
      </c>
      <c r="Q1308" s="2" t="str">
        <f t="shared" si="1"/>
        <v>H004042</v>
      </c>
    </row>
    <row r="1309">
      <c r="A1309" s="1" t="s">
        <v>6610</v>
      </c>
      <c r="B1309" s="1" t="s">
        <v>6611</v>
      </c>
      <c r="C1309" s="1" t="s">
        <v>6612</v>
      </c>
      <c r="D1309" s="1" t="s">
        <v>6613</v>
      </c>
      <c r="E1309" s="1">
        <v>4429.0</v>
      </c>
      <c r="F1309" s="1" t="s">
        <v>288</v>
      </c>
      <c r="G1309" s="1">
        <v>859767.0</v>
      </c>
      <c r="H1309" s="1" t="s">
        <v>2565</v>
      </c>
      <c r="I1309" s="1" t="s">
        <v>1051</v>
      </c>
      <c r="J1309" s="1"/>
      <c r="K1309" s="1" t="s">
        <v>23</v>
      </c>
      <c r="L1309" s="1" t="s">
        <v>6614</v>
      </c>
      <c r="M1309" s="1">
        <v>0.0</v>
      </c>
      <c r="N1309" s="1">
        <v>1.0</v>
      </c>
      <c r="O1309" s="1" t="s">
        <v>288</v>
      </c>
      <c r="P1309" s="1" t="s">
        <v>488</v>
      </c>
      <c r="Q1309" s="2" t="str">
        <f t="shared" si="1"/>
        <v>H004001</v>
      </c>
    </row>
    <row r="1310">
      <c r="A1310" s="1" t="s">
        <v>6615</v>
      </c>
      <c r="B1310" s="1" t="s">
        <v>6616</v>
      </c>
      <c r="C1310" s="1" t="s">
        <v>6617</v>
      </c>
      <c r="D1310" s="1" t="s">
        <v>6618</v>
      </c>
      <c r="E1310" s="1">
        <v>4036.0</v>
      </c>
      <c r="F1310" s="1" t="s">
        <v>288</v>
      </c>
      <c r="G1310" s="1">
        <v>859767.0</v>
      </c>
      <c r="H1310" s="1" t="s">
        <v>2565</v>
      </c>
      <c r="I1310" s="1" t="s">
        <v>1051</v>
      </c>
      <c r="J1310" s="1"/>
      <c r="K1310" s="1" t="s">
        <v>23</v>
      </c>
      <c r="L1310" s="1" t="s">
        <v>6619</v>
      </c>
      <c r="M1310" s="1">
        <v>0.0</v>
      </c>
      <c r="N1310" s="1">
        <v>1.0</v>
      </c>
      <c r="O1310" s="1" t="s">
        <v>288</v>
      </c>
      <c r="P1310" s="1" t="s">
        <v>488</v>
      </c>
      <c r="Q1310" s="2" t="str">
        <f t="shared" si="1"/>
        <v>H004001</v>
      </c>
    </row>
    <row r="1311">
      <c r="A1311" s="1" t="s">
        <v>6620</v>
      </c>
      <c r="B1311" s="1" t="s">
        <v>6621</v>
      </c>
      <c r="C1311" s="1" t="s">
        <v>6622</v>
      </c>
      <c r="D1311" s="1" t="s">
        <v>6623</v>
      </c>
      <c r="E1311" s="1">
        <v>4277.0</v>
      </c>
      <c r="F1311" s="1" t="s">
        <v>288</v>
      </c>
      <c r="G1311" s="1">
        <v>859767.0</v>
      </c>
      <c r="H1311" s="1" t="s">
        <v>2565</v>
      </c>
      <c r="I1311" s="1" t="s">
        <v>1051</v>
      </c>
      <c r="J1311" s="1"/>
      <c r="K1311" s="1" t="s">
        <v>23</v>
      </c>
      <c r="L1311" s="1" t="s">
        <v>6624</v>
      </c>
      <c r="M1311" s="1">
        <v>0.0</v>
      </c>
      <c r="N1311" s="1">
        <v>1.0</v>
      </c>
      <c r="O1311" s="1" t="s">
        <v>288</v>
      </c>
      <c r="P1311" s="1" t="s">
        <v>488</v>
      </c>
      <c r="Q1311" s="2" t="str">
        <f t="shared" si="1"/>
        <v>H004001</v>
      </c>
    </row>
    <row r="1312">
      <c r="A1312" s="1" t="s">
        <v>6625</v>
      </c>
      <c r="B1312" s="1" t="s">
        <v>6626</v>
      </c>
      <c r="C1312" s="1" t="s">
        <v>6627</v>
      </c>
      <c r="D1312" s="1" t="s">
        <v>6628</v>
      </c>
      <c r="E1312" s="1">
        <v>3530.0</v>
      </c>
      <c r="F1312" s="1" t="s">
        <v>288</v>
      </c>
      <c r="G1312" s="1">
        <v>859767.0</v>
      </c>
      <c r="H1312" s="1" t="s">
        <v>2565</v>
      </c>
      <c r="I1312" s="1" t="s">
        <v>1051</v>
      </c>
      <c r="J1312" s="1"/>
      <c r="K1312" s="1" t="s">
        <v>23</v>
      </c>
      <c r="L1312" s="1" t="s">
        <v>6629</v>
      </c>
      <c r="M1312" s="1">
        <v>0.0</v>
      </c>
      <c r="N1312" s="1">
        <v>1.0</v>
      </c>
      <c r="O1312" s="1" t="s">
        <v>288</v>
      </c>
      <c r="P1312" s="1" t="s">
        <v>488</v>
      </c>
      <c r="Q1312" s="2" t="str">
        <f t="shared" si="1"/>
        <v>H004001</v>
      </c>
    </row>
    <row r="1313">
      <c r="A1313" s="1" t="s">
        <v>6630</v>
      </c>
      <c r="B1313" s="1" t="s">
        <v>6631</v>
      </c>
      <c r="C1313" s="1" t="s">
        <v>6632</v>
      </c>
      <c r="D1313" s="1" t="s">
        <v>6633</v>
      </c>
      <c r="E1313" s="1">
        <v>3337.0</v>
      </c>
      <c r="F1313" s="1" t="s">
        <v>351</v>
      </c>
      <c r="G1313" s="1" t="s">
        <v>208</v>
      </c>
      <c r="H1313" s="1" t="s">
        <v>209</v>
      </c>
      <c r="I1313" s="1" t="s">
        <v>486</v>
      </c>
      <c r="J1313" s="1"/>
      <c r="K1313" s="1" t="s">
        <v>23</v>
      </c>
      <c r="L1313" s="1" t="s">
        <v>6634</v>
      </c>
      <c r="M1313" s="1">
        <v>2.0</v>
      </c>
      <c r="N1313" s="1">
        <v>1.0</v>
      </c>
      <c r="O1313" s="1" t="s">
        <v>351</v>
      </c>
      <c r="P1313" s="1" t="s">
        <v>488</v>
      </c>
      <c r="Q1313" s="2" t="str">
        <f t="shared" si="1"/>
        <v>H006809</v>
      </c>
    </row>
    <row r="1314">
      <c r="A1314" s="1" t="s">
        <v>6635</v>
      </c>
      <c r="B1314" s="1" t="s">
        <v>6636</v>
      </c>
      <c r="C1314" s="1" t="s">
        <v>6637</v>
      </c>
      <c r="D1314" s="1" t="s">
        <v>6638</v>
      </c>
      <c r="E1314" s="1">
        <v>3146.0</v>
      </c>
      <c r="F1314" s="1" t="s">
        <v>498</v>
      </c>
      <c r="G1314" s="1" t="s">
        <v>220</v>
      </c>
      <c r="H1314" s="1" t="s">
        <v>221</v>
      </c>
      <c r="I1314" s="1" t="s">
        <v>1112</v>
      </c>
      <c r="J1314" s="1"/>
      <c r="K1314" s="1" t="s">
        <v>23</v>
      </c>
      <c r="L1314" s="1" t="s">
        <v>6639</v>
      </c>
      <c r="M1314" s="1">
        <v>0.0</v>
      </c>
      <c r="N1314" s="1">
        <v>1.0</v>
      </c>
      <c r="O1314" s="1" t="s">
        <v>498</v>
      </c>
      <c r="P1314" s="1" t="s">
        <v>488</v>
      </c>
      <c r="Q1314" s="2" t="str">
        <f t="shared" si="1"/>
        <v>H030515</v>
      </c>
    </row>
    <row r="1315">
      <c r="A1315" s="1" t="s">
        <v>6640</v>
      </c>
      <c r="B1315" s="1" t="s">
        <v>6641</v>
      </c>
      <c r="C1315" s="1" t="s">
        <v>6642</v>
      </c>
      <c r="D1315" s="1" t="s">
        <v>6643</v>
      </c>
      <c r="E1315" s="1">
        <v>3692.0</v>
      </c>
      <c r="F1315" s="1" t="s">
        <v>498</v>
      </c>
      <c r="G1315" s="1" t="s">
        <v>220</v>
      </c>
      <c r="H1315" s="1" t="s">
        <v>221</v>
      </c>
      <c r="I1315" s="1" t="s">
        <v>1112</v>
      </c>
      <c r="J1315" s="1"/>
      <c r="K1315" s="1" t="s">
        <v>23</v>
      </c>
      <c r="L1315" s="1" t="s">
        <v>6644</v>
      </c>
      <c r="M1315" s="1">
        <v>0.0</v>
      </c>
      <c r="N1315" s="1">
        <v>1.0</v>
      </c>
      <c r="O1315" s="1" t="s">
        <v>498</v>
      </c>
      <c r="P1315" s="1" t="s">
        <v>488</v>
      </c>
      <c r="Q1315" s="2" t="str">
        <f t="shared" si="1"/>
        <v>H030515</v>
      </c>
    </row>
    <row r="1316">
      <c r="A1316" s="1" t="s">
        <v>6645</v>
      </c>
      <c r="B1316" s="1" t="s">
        <v>6646</v>
      </c>
      <c r="C1316" s="1" t="s">
        <v>6647</v>
      </c>
      <c r="D1316" s="1" t="s">
        <v>6648</v>
      </c>
      <c r="E1316" s="1">
        <v>2648.0</v>
      </c>
      <c r="F1316" s="1" t="s">
        <v>498</v>
      </c>
      <c r="G1316" s="1" t="s">
        <v>220</v>
      </c>
      <c r="H1316" s="1" t="s">
        <v>221</v>
      </c>
      <c r="I1316" s="1" t="s">
        <v>1112</v>
      </c>
      <c r="J1316" s="1"/>
      <c r="K1316" s="1" t="s">
        <v>23</v>
      </c>
      <c r="L1316" s="1" t="s">
        <v>6649</v>
      </c>
      <c r="M1316" s="1">
        <v>0.0</v>
      </c>
      <c r="N1316" s="1">
        <v>1.0</v>
      </c>
      <c r="O1316" s="1" t="s">
        <v>498</v>
      </c>
      <c r="P1316" s="1" t="s">
        <v>488</v>
      </c>
      <c r="Q1316" s="2" t="str">
        <f t="shared" si="1"/>
        <v>H030515</v>
      </c>
    </row>
    <row r="1317">
      <c r="A1317" s="1" t="s">
        <v>6650</v>
      </c>
      <c r="B1317" s="1" t="s">
        <v>6651</v>
      </c>
      <c r="C1317" s="1" t="s">
        <v>6652</v>
      </c>
      <c r="D1317" s="1" t="s">
        <v>6653</v>
      </c>
      <c r="E1317" s="1">
        <v>3663.0</v>
      </c>
      <c r="F1317" s="1" t="s">
        <v>398</v>
      </c>
      <c r="G1317" s="1" t="s">
        <v>179</v>
      </c>
      <c r="H1317" s="1" t="s">
        <v>180</v>
      </c>
      <c r="I1317" s="1" t="s">
        <v>1112</v>
      </c>
      <c r="J1317" s="1"/>
      <c r="K1317" s="1" t="s">
        <v>23</v>
      </c>
      <c r="L1317" s="1" t="s">
        <v>6654</v>
      </c>
      <c r="M1317" s="1">
        <v>1.0</v>
      </c>
      <c r="N1317" s="1">
        <v>1.0</v>
      </c>
      <c r="O1317" s="1" t="s">
        <v>398</v>
      </c>
      <c r="P1317" s="1" t="s">
        <v>488</v>
      </c>
      <c r="Q1317" s="2" t="str">
        <f t="shared" si="1"/>
        <v>H030310</v>
      </c>
    </row>
    <row r="1318">
      <c r="A1318" s="1" t="s">
        <v>6655</v>
      </c>
      <c r="B1318" s="1" t="s">
        <v>6656</v>
      </c>
      <c r="C1318" s="1" t="s">
        <v>6657</v>
      </c>
      <c r="D1318" s="1" t="s">
        <v>6658</v>
      </c>
      <c r="E1318" s="1">
        <v>4957.0</v>
      </c>
      <c r="F1318" s="1" t="s">
        <v>398</v>
      </c>
      <c r="G1318" s="1" t="s">
        <v>179</v>
      </c>
      <c r="H1318" s="1" t="s">
        <v>180</v>
      </c>
      <c r="I1318" s="1" t="s">
        <v>1112</v>
      </c>
      <c r="J1318" s="1"/>
      <c r="K1318" s="1" t="s">
        <v>23</v>
      </c>
      <c r="L1318" s="1" t="s">
        <v>6659</v>
      </c>
      <c r="M1318" s="1">
        <v>1.0</v>
      </c>
      <c r="N1318" s="1">
        <v>1.0</v>
      </c>
      <c r="O1318" s="1" t="s">
        <v>398</v>
      </c>
      <c r="P1318" s="1" t="s">
        <v>488</v>
      </c>
      <c r="Q1318" s="2" t="str">
        <f t="shared" si="1"/>
        <v>H030310</v>
      </c>
    </row>
    <row r="1319">
      <c r="A1319" s="1" t="s">
        <v>6660</v>
      </c>
      <c r="B1319" s="1" t="s">
        <v>6661</v>
      </c>
      <c r="C1319" s="1" t="s">
        <v>6662</v>
      </c>
      <c r="D1319" s="1" t="s">
        <v>6663</v>
      </c>
      <c r="E1319" s="1">
        <v>2811.0</v>
      </c>
      <c r="F1319" s="1" t="s">
        <v>398</v>
      </c>
      <c r="G1319" s="1" t="s">
        <v>179</v>
      </c>
      <c r="H1319" s="1" t="s">
        <v>180</v>
      </c>
      <c r="I1319" s="1" t="s">
        <v>1112</v>
      </c>
      <c r="J1319" s="1"/>
      <c r="K1319" s="1" t="s">
        <v>23</v>
      </c>
      <c r="L1319" s="1" t="s">
        <v>6664</v>
      </c>
      <c r="M1319" s="1">
        <v>1.0</v>
      </c>
      <c r="N1319" s="1">
        <v>1.0</v>
      </c>
      <c r="O1319" s="1" t="s">
        <v>398</v>
      </c>
      <c r="P1319" s="1" t="s">
        <v>488</v>
      </c>
      <c r="Q1319" s="2" t="str">
        <f t="shared" si="1"/>
        <v>H030310</v>
      </c>
    </row>
    <row r="1320">
      <c r="A1320" s="1" t="s">
        <v>6665</v>
      </c>
      <c r="B1320" s="1" t="s">
        <v>6666</v>
      </c>
      <c r="C1320" s="1" t="s">
        <v>6667</v>
      </c>
      <c r="D1320" s="1" t="s">
        <v>6668</v>
      </c>
      <c r="E1320" s="1">
        <v>3201.0</v>
      </c>
      <c r="F1320" s="1" t="s">
        <v>498</v>
      </c>
      <c r="G1320" s="1">
        <v>896791.0</v>
      </c>
      <c r="H1320" s="1" t="s">
        <v>2124</v>
      </c>
      <c r="I1320" s="1" t="s">
        <v>1112</v>
      </c>
      <c r="J1320" s="1"/>
      <c r="K1320" s="1" t="s">
        <v>23</v>
      </c>
      <c r="L1320" s="1" t="s">
        <v>6669</v>
      </c>
      <c r="M1320" s="1">
        <v>0.0</v>
      </c>
      <c r="N1320" s="1">
        <v>1.0</v>
      </c>
      <c r="O1320" s="1" t="s">
        <v>498</v>
      </c>
      <c r="P1320" s="1" t="s">
        <v>488</v>
      </c>
      <c r="Q1320" s="2" t="str">
        <f t="shared" si="1"/>
        <v>H030515</v>
      </c>
    </row>
    <row r="1321">
      <c r="A1321" s="1" t="s">
        <v>6670</v>
      </c>
      <c r="B1321" s="1" t="s">
        <v>6671</v>
      </c>
      <c r="C1321" s="1" t="s">
        <v>6672</v>
      </c>
      <c r="D1321" s="1" t="s">
        <v>6673</v>
      </c>
      <c r="E1321" s="1">
        <v>4174.0</v>
      </c>
      <c r="F1321" s="1" t="s">
        <v>498</v>
      </c>
      <c r="G1321" s="1">
        <v>896791.0</v>
      </c>
      <c r="H1321" s="1" t="s">
        <v>2124</v>
      </c>
      <c r="I1321" s="1" t="s">
        <v>1112</v>
      </c>
      <c r="J1321" s="1"/>
      <c r="K1321" s="1" t="s">
        <v>23</v>
      </c>
      <c r="L1321" s="1" t="s">
        <v>6674</v>
      </c>
      <c r="M1321" s="1">
        <v>0.0</v>
      </c>
      <c r="N1321" s="1">
        <v>1.0</v>
      </c>
      <c r="O1321" s="1" t="s">
        <v>498</v>
      </c>
      <c r="P1321" s="1" t="s">
        <v>488</v>
      </c>
      <c r="Q1321" s="2" t="str">
        <f t="shared" si="1"/>
        <v>H030515</v>
      </c>
    </row>
    <row r="1322">
      <c r="A1322" s="1" t="s">
        <v>6675</v>
      </c>
      <c r="B1322" s="1" t="s">
        <v>6676</v>
      </c>
      <c r="C1322" s="1" t="s">
        <v>6677</v>
      </c>
      <c r="D1322" s="1" t="s">
        <v>6678</v>
      </c>
      <c r="E1322" s="1">
        <v>3564.0</v>
      </c>
      <c r="F1322" s="1" t="s">
        <v>498</v>
      </c>
      <c r="G1322" s="1">
        <v>896791.0</v>
      </c>
      <c r="H1322" s="1" t="s">
        <v>2124</v>
      </c>
      <c r="I1322" s="1" t="s">
        <v>1112</v>
      </c>
      <c r="J1322" s="1"/>
      <c r="K1322" s="1" t="s">
        <v>23</v>
      </c>
      <c r="L1322" s="1" t="s">
        <v>6679</v>
      </c>
      <c r="M1322" s="1">
        <v>0.0</v>
      </c>
      <c r="N1322" s="1">
        <v>1.0</v>
      </c>
      <c r="O1322" s="1" t="s">
        <v>498</v>
      </c>
      <c r="P1322" s="1" t="s">
        <v>488</v>
      </c>
      <c r="Q1322" s="2" t="str">
        <f t="shared" si="1"/>
        <v>H030515</v>
      </c>
    </row>
    <row r="1323">
      <c r="A1323" s="1" t="s">
        <v>6680</v>
      </c>
      <c r="B1323" s="1" t="s">
        <v>6681</v>
      </c>
      <c r="C1323" s="1" t="s">
        <v>6682</v>
      </c>
      <c r="D1323" s="1" t="s">
        <v>6683</v>
      </c>
      <c r="E1323" s="1">
        <v>4103.0</v>
      </c>
      <c r="F1323" s="1" t="s">
        <v>498</v>
      </c>
      <c r="G1323" s="1" t="s">
        <v>167</v>
      </c>
      <c r="H1323" s="1" t="s">
        <v>168</v>
      </c>
      <c r="I1323" s="1" t="s">
        <v>1112</v>
      </c>
      <c r="J1323" s="1"/>
      <c r="K1323" s="1" t="s">
        <v>23</v>
      </c>
      <c r="L1323" s="1" t="s">
        <v>6684</v>
      </c>
      <c r="M1323" s="1">
        <v>0.0</v>
      </c>
      <c r="N1323" s="1">
        <v>1.0</v>
      </c>
      <c r="O1323" s="1" t="s">
        <v>498</v>
      </c>
      <c r="P1323" s="1" t="s">
        <v>488</v>
      </c>
      <c r="Q1323" s="2" t="str">
        <f t="shared" si="1"/>
        <v>H030515</v>
      </c>
    </row>
    <row r="1324">
      <c r="A1324" s="1" t="s">
        <v>6685</v>
      </c>
      <c r="B1324" s="1" t="s">
        <v>6686</v>
      </c>
      <c r="C1324" s="1" t="s">
        <v>6687</v>
      </c>
      <c r="D1324" s="1" t="s">
        <v>6688</v>
      </c>
      <c r="E1324" s="1">
        <v>5900.0</v>
      </c>
      <c r="F1324" s="1" t="s">
        <v>498</v>
      </c>
      <c r="G1324" s="1" t="s">
        <v>167</v>
      </c>
      <c r="H1324" s="1" t="s">
        <v>168</v>
      </c>
      <c r="I1324" s="1" t="s">
        <v>1112</v>
      </c>
      <c r="J1324" s="1"/>
      <c r="K1324" s="1" t="s">
        <v>23</v>
      </c>
      <c r="L1324" s="1" t="s">
        <v>6689</v>
      </c>
      <c r="M1324" s="1">
        <v>0.0</v>
      </c>
      <c r="N1324" s="1">
        <v>1.0</v>
      </c>
      <c r="O1324" s="1" t="s">
        <v>498</v>
      </c>
      <c r="P1324" s="1" t="s">
        <v>488</v>
      </c>
      <c r="Q1324" s="2" t="str">
        <f t="shared" si="1"/>
        <v>H030515</v>
      </c>
    </row>
    <row r="1325">
      <c r="A1325" s="1" t="s">
        <v>6690</v>
      </c>
      <c r="B1325" s="1" t="s">
        <v>6691</v>
      </c>
      <c r="C1325" s="1" t="s">
        <v>6692</v>
      </c>
      <c r="D1325" s="1" t="s">
        <v>6693</v>
      </c>
      <c r="E1325" s="1">
        <v>3945.0</v>
      </c>
      <c r="F1325" s="1" t="s">
        <v>398</v>
      </c>
      <c r="G1325" s="1" t="s">
        <v>155</v>
      </c>
      <c r="H1325" s="1" t="s">
        <v>156</v>
      </c>
      <c r="I1325" s="1" t="s">
        <v>1112</v>
      </c>
      <c r="J1325" s="1"/>
      <c r="K1325" s="1" t="s">
        <v>23</v>
      </c>
      <c r="L1325" s="1" t="s">
        <v>6694</v>
      </c>
      <c r="M1325" s="1">
        <v>0.0</v>
      </c>
      <c r="N1325" s="1">
        <v>1.0</v>
      </c>
      <c r="O1325" s="1" t="s">
        <v>398</v>
      </c>
      <c r="P1325" s="1" t="s">
        <v>488</v>
      </c>
      <c r="Q1325" s="2" t="str">
        <f t="shared" si="1"/>
        <v>H030200</v>
      </c>
    </row>
    <row r="1326">
      <c r="A1326" s="1" t="s">
        <v>6695</v>
      </c>
      <c r="B1326" s="1" t="s">
        <v>6696</v>
      </c>
      <c r="C1326" s="1" t="s">
        <v>6697</v>
      </c>
      <c r="D1326" s="1" t="s">
        <v>6698</v>
      </c>
      <c r="E1326" s="1">
        <v>4852.0</v>
      </c>
      <c r="F1326" s="1" t="s">
        <v>398</v>
      </c>
      <c r="G1326" s="1" t="s">
        <v>155</v>
      </c>
      <c r="H1326" s="1" t="s">
        <v>156</v>
      </c>
      <c r="I1326" s="1" t="s">
        <v>1112</v>
      </c>
      <c r="J1326" s="1"/>
      <c r="K1326" s="1" t="s">
        <v>23</v>
      </c>
      <c r="L1326" s="1" t="s">
        <v>6699</v>
      </c>
      <c r="M1326" s="1">
        <v>0.0</v>
      </c>
      <c r="N1326" s="1">
        <v>1.0</v>
      </c>
      <c r="O1326" s="1" t="s">
        <v>398</v>
      </c>
      <c r="P1326" s="1" t="s">
        <v>488</v>
      </c>
      <c r="Q1326" s="2" t="str">
        <f t="shared" si="1"/>
        <v>H030200</v>
      </c>
    </row>
    <row r="1327">
      <c r="A1327" s="1" t="s">
        <v>6700</v>
      </c>
      <c r="B1327" s="1" t="s">
        <v>6701</v>
      </c>
      <c r="C1327" s="1" t="s">
        <v>6702</v>
      </c>
      <c r="D1327" s="1" t="s">
        <v>6703</v>
      </c>
      <c r="E1327" s="1">
        <v>1807.0</v>
      </c>
      <c r="F1327" s="1" t="s">
        <v>398</v>
      </c>
      <c r="G1327" s="1" t="s">
        <v>155</v>
      </c>
      <c r="H1327" s="1" t="s">
        <v>156</v>
      </c>
      <c r="I1327" s="1" t="s">
        <v>1112</v>
      </c>
      <c r="J1327" s="1"/>
      <c r="K1327" s="1" t="s">
        <v>23</v>
      </c>
      <c r="L1327" s="1" t="s">
        <v>6704</v>
      </c>
      <c r="M1327" s="1">
        <v>1.0</v>
      </c>
      <c r="N1327" s="1">
        <v>1.0</v>
      </c>
      <c r="O1327" s="1" t="s">
        <v>398</v>
      </c>
      <c r="P1327" s="1" t="s">
        <v>488</v>
      </c>
      <c r="Q1327" s="2" t="str">
        <f t="shared" si="1"/>
        <v>H030310</v>
      </c>
    </row>
    <row r="1328">
      <c r="A1328" s="1" t="s">
        <v>6705</v>
      </c>
      <c r="B1328" s="1" t="s">
        <v>6706</v>
      </c>
      <c r="C1328" s="1" t="s">
        <v>6707</v>
      </c>
      <c r="D1328" s="1" t="s">
        <v>6708</v>
      </c>
      <c r="E1328" s="1">
        <v>56.0</v>
      </c>
      <c r="F1328" s="1" t="s">
        <v>498</v>
      </c>
      <c r="G1328" s="1" t="s">
        <v>132</v>
      </c>
      <c r="H1328" s="1" t="s">
        <v>133</v>
      </c>
      <c r="I1328" s="1" t="s">
        <v>1112</v>
      </c>
      <c r="J1328" s="1"/>
      <c r="K1328" s="1" t="s">
        <v>23</v>
      </c>
      <c r="L1328" s="1" t="s">
        <v>6709</v>
      </c>
      <c r="M1328" s="1">
        <v>0.0</v>
      </c>
      <c r="N1328" s="1">
        <v>0.0</v>
      </c>
      <c r="O1328" s="1" t="s">
        <v>498</v>
      </c>
      <c r="P1328" s="1" t="s">
        <v>25</v>
      </c>
      <c r="Q1328" s="2" t="str">
        <f t="shared" si="1"/>
        <v>H030515</v>
      </c>
    </row>
    <row r="1329">
      <c r="A1329" s="1" t="s">
        <v>6710</v>
      </c>
      <c r="B1329" s="1" t="s">
        <v>6711</v>
      </c>
      <c r="C1329" s="1" t="s">
        <v>6712</v>
      </c>
      <c r="D1329" s="1" t="s">
        <v>6713</v>
      </c>
      <c r="E1329" s="1">
        <v>3347.0</v>
      </c>
      <c r="F1329" s="1" t="s">
        <v>398</v>
      </c>
      <c r="G1329" s="1" t="s">
        <v>155</v>
      </c>
      <c r="H1329" s="1" t="s">
        <v>156</v>
      </c>
      <c r="I1329" s="1" t="s">
        <v>1112</v>
      </c>
      <c r="J1329" s="1"/>
      <c r="K1329" s="1" t="s">
        <v>23</v>
      </c>
      <c r="L1329" s="1" t="s">
        <v>6714</v>
      </c>
      <c r="M1329" s="1">
        <v>0.0</v>
      </c>
      <c r="N1329" s="1">
        <v>1.0</v>
      </c>
      <c r="O1329" s="1" t="s">
        <v>398</v>
      </c>
      <c r="P1329" s="1" t="s">
        <v>488</v>
      </c>
      <c r="Q1329" s="2" t="str">
        <f t="shared" si="1"/>
        <v>H030200</v>
      </c>
    </row>
    <row r="1330">
      <c r="A1330" s="1" t="s">
        <v>6715</v>
      </c>
      <c r="B1330" s="1" t="s">
        <v>6716</v>
      </c>
      <c r="C1330" s="1" t="s">
        <v>6717</v>
      </c>
      <c r="D1330" s="1" t="s">
        <v>6718</v>
      </c>
      <c r="E1330" s="1">
        <v>3938.0</v>
      </c>
      <c r="F1330" s="1" t="s">
        <v>498</v>
      </c>
      <c r="G1330" s="1" t="s">
        <v>132</v>
      </c>
      <c r="H1330" s="1" t="s">
        <v>133</v>
      </c>
      <c r="I1330" s="1" t="s">
        <v>1112</v>
      </c>
      <c r="J1330" s="1"/>
      <c r="K1330" s="1" t="s">
        <v>23</v>
      </c>
      <c r="L1330" s="1" t="s">
        <v>6719</v>
      </c>
      <c r="M1330" s="1">
        <v>0.0</v>
      </c>
      <c r="N1330" s="1">
        <v>1.0</v>
      </c>
      <c r="O1330" s="1" t="s">
        <v>498</v>
      </c>
      <c r="P1330" s="1" t="s">
        <v>488</v>
      </c>
      <c r="Q1330" s="2" t="str">
        <f t="shared" si="1"/>
        <v>H030515</v>
      </c>
    </row>
    <row r="1331">
      <c r="A1331" s="1" t="s">
        <v>6720</v>
      </c>
      <c r="B1331" s="1" t="s">
        <v>6721</v>
      </c>
      <c r="C1331" s="1" t="s">
        <v>6722</v>
      </c>
      <c r="D1331" s="1" t="s">
        <v>6723</v>
      </c>
      <c r="E1331" s="1">
        <v>4018.0</v>
      </c>
      <c r="F1331" s="1" t="s">
        <v>498</v>
      </c>
      <c r="G1331" s="1" t="s">
        <v>132</v>
      </c>
      <c r="H1331" s="1" t="s">
        <v>133</v>
      </c>
      <c r="I1331" s="1" t="s">
        <v>1112</v>
      </c>
      <c r="J1331" s="1"/>
      <c r="K1331" s="1" t="s">
        <v>23</v>
      </c>
      <c r="L1331" s="1" t="s">
        <v>6724</v>
      </c>
      <c r="M1331" s="1">
        <v>0.0</v>
      </c>
      <c r="N1331" s="1">
        <v>1.0</v>
      </c>
      <c r="O1331" s="1" t="s">
        <v>498</v>
      </c>
      <c r="P1331" s="1" t="s">
        <v>488</v>
      </c>
      <c r="Q1331" s="2" t="str">
        <f t="shared" si="1"/>
        <v>H030515</v>
      </c>
    </row>
    <row r="1332">
      <c r="A1332" s="1" t="s">
        <v>6725</v>
      </c>
      <c r="B1332" s="1" t="s">
        <v>6726</v>
      </c>
      <c r="C1332" s="1" t="s">
        <v>6727</v>
      </c>
      <c r="D1332" s="1" t="s">
        <v>6728</v>
      </c>
      <c r="E1332" s="1">
        <v>4075.0</v>
      </c>
      <c r="F1332" s="1" t="s">
        <v>498</v>
      </c>
      <c r="G1332" s="1" t="s">
        <v>132</v>
      </c>
      <c r="H1332" s="1" t="s">
        <v>133</v>
      </c>
      <c r="I1332" s="1" t="s">
        <v>1112</v>
      </c>
      <c r="J1332" s="1"/>
      <c r="K1332" s="1" t="s">
        <v>23</v>
      </c>
      <c r="L1332" s="1" t="s">
        <v>6729</v>
      </c>
      <c r="M1332" s="1">
        <v>0.0</v>
      </c>
      <c r="N1332" s="1">
        <v>1.0</v>
      </c>
      <c r="O1332" s="1" t="s">
        <v>498</v>
      </c>
      <c r="P1332" s="1" t="s">
        <v>488</v>
      </c>
      <c r="Q1332" s="2" t="str">
        <f t="shared" si="1"/>
        <v>H030515</v>
      </c>
    </row>
    <row r="1333">
      <c r="A1333" s="1" t="s">
        <v>6730</v>
      </c>
      <c r="B1333" s="1" t="s">
        <v>6731</v>
      </c>
      <c r="C1333" s="1" t="s">
        <v>6732</v>
      </c>
      <c r="D1333" s="1" t="s">
        <v>6733</v>
      </c>
      <c r="E1333" s="1">
        <v>2862.0</v>
      </c>
      <c r="F1333" s="1" t="s">
        <v>398</v>
      </c>
      <c r="G1333" s="1" t="s">
        <v>232</v>
      </c>
      <c r="H1333" s="1" t="s">
        <v>233</v>
      </c>
      <c r="I1333" s="1" t="s">
        <v>1112</v>
      </c>
      <c r="J1333" s="1"/>
      <c r="K1333" s="1" t="s">
        <v>23</v>
      </c>
      <c r="L1333" s="1" t="s">
        <v>6734</v>
      </c>
      <c r="M1333" s="1">
        <v>1.0</v>
      </c>
      <c r="N1333" s="1">
        <v>1.0</v>
      </c>
      <c r="O1333" s="1" t="s">
        <v>398</v>
      </c>
      <c r="P1333" s="1" t="s">
        <v>488</v>
      </c>
      <c r="Q1333" s="2" t="str">
        <f t="shared" si="1"/>
        <v>H030310</v>
      </c>
    </row>
    <row r="1334">
      <c r="A1334" s="1" t="s">
        <v>6735</v>
      </c>
      <c r="B1334" s="1" t="s">
        <v>6736</v>
      </c>
      <c r="C1334" s="1" t="s">
        <v>6737</v>
      </c>
      <c r="D1334" s="1" t="s">
        <v>6738</v>
      </c>
      <c r="E1334" s="1">
        <v>4168.0</v>
      </c>
      <c r="F1334" s="1" t="s">
        <v>398</v>
      </c>
      <c r="G1334" s="1" t="s">
        <v>232</v>
      </c>
      <c r="H1334" s="1" t="s">
        <v>233</v>
      </c>
      <c r="I1334" s="1" t="s">
        <v>1112</v>
      </c>
      <c r="J1334" s="1"/>
      <c r="K1334" s="1" t="s">
        <v>23</v>
      </c>
      <c r="L1334" s="1" t="s">
        <v>6739</v>
      </c>
      <c r="M1334" s="1">
        <v>1.0</v>
      </c>
      <c r="N1334" s="1">
        <v>1.0</v>
      </c>
      <c r="O1334" s="1" t="s">
        <v>398</v>
      </c>
      <c r="P1334" s="1" t="s">
        <v>488</v>
      </c>
      <c r="Q1334" s="2" t="str">
        <f t="shared" si="1"/>
        <v>H030310</v>
      </c>
    </row>
    <row r="1335">
      <c r="A1335" s="1" t="s">
        <v>6740</v>
      </c>
      <c r="B1335" s="1" t="s">
        <v>6741</v>
      </c>
      <c r="C1335" s="1" t="s">
        <v>6742</v>
      </c>
      <c r="D1335" s="1" t="s">
        <v>6743</v>
      </c>
      <c r="E1335" s="1">
        <v>4762.0</v>
      </c>
      <c r="F1335" s="1" t="s">
        <v>398</v>
      </c>
      <c r="G1335" s="1" t="s">
        <v>232</v>
      </c>
      <c r="H1335" s="1" t="s">
        <v>233</v>
      </c>
      <c r="I1335" s="1" t="s">
        <v>1112</v>
      </c>
      <c r="J1335" s="1"/>
      <c r="K1335" s="1" t="s">
        <v>23</v>
      </c>
      <c r="L1335" s="1" t="s">
        <v>6744</v>
      </c>
      <c r="M1335" s="1">
        <v>1.0</v>
      </c>
      <c r="N1335" s="1">
        <v>1.0</v>
      </c>
      <c r="O1335" s="1" t="s">
        <v>398</v>
      </c>
      <c r="P1335" s="1" t="s">
        <v>488</v>
      </c>
      <c r="Q1335" s="2" t="str">
        <f t="shared" si="1"/>
        <v>H030310</v>
      </c>
    </row>
    <row r="1336">
      <c r="A1336" s="1" t="s">
        <v>6745</v>
      </c>
      <c r="B1336" s="1" t="s">
        <v>6746</v>
      </c>
      <c r="C1336" s="1" t="s">
        <v>6747</v>
      </c>
      <c r="D1336" s="1" t="s">
        <v>6748</v>
      </c>
      <c r="E1336" s="1">
        <v>3922.0</v>
      </c>
      <c r="F1336" s="1" t="s">
        <v>351</v>
      </c>
      <c r="G1336" s="1" t="s">
        <v>57</v>
      </c>
      <c r="H1336" s="1" t="s">
        <v>58</v>
      </c>
      <c r="I1336" s="1" t="s">
        <v>486</v>
      </c>
      <c r="J1336" s="1"/>
      <c r="K1336" s="1" t="s">
        <v>23</v>
      </c>
      <c r="L1336" s="1" t="s">
        <v>6749</v>
      </c>
      <c r="M1336" s="1">
        <v>2.0</v>
      </c>
      <c r="N1336" s="1">
        <v>1.0</v>
      </c>
      <c r="O1336" s="1" t="s">
        <v>351</v>
      </c>
      <c r="P1336" s="1" t="s">
        <v>488</v>
      </c>
      <c r="Q1336" s="2" t="str">
        <f t="shared" si="1"/>
        <v>H006809</v>
      </c>
    </row>
    <row r="1337">
      <c r="A1337" s="1" t="s">
        <v>6750</v>
      </c>
      <c r="B1337" s="1" t="s">
        <v>6751</v>
      </c>
      <c r="C1337" s="1" t="s">
        <v>6752</v>
      </c>
      <c r="D1337" s="1" t="s">
        <v>6753</v>
      </c>
      <c r="E1337" s="1">
        <v>4746.0</v>
      </c>
      <c r="F1337" s="1" t="s">
        <v>351</v>
      </c>
      <c r="G1337" s="1" t="s">
        <v>57</v>
      </c>
      <c r="H1337" s="1" t="s">
        <v>58</v>
      </c>
      <c r="I1337" s="1" t="s">
        <v>486</v>
      </c>
      <c r="J1337" s="1"/>
      <c r="K1337" s="1" t="s">
        <v>23</v>
      </c>
      <c r="L1337" s="1" t="s">
        <v>6754</v>
      </c>
      <c r="M1337" s="1">
        <v>2.0</v>
      </c>
      <c r="N1337" s="1">
        <v>1.0</v>
      </c>
      <c r="O1337" s="1" t="s">
        <v>351</v>
      </c>
      <c r="P1337" s="1" t="s">
        <v>488</v>
      </c>
      <c r="Q1337" s="2" t="str">
        <f t="shared" si="1"/>
        <v>H006809</v>
      </c>
    </row>
    <row r="1338">
      <c r="A1338" s="1" t="s">
        <v>6755</v>
      </c>
      <c r="B1338" s="1" t="s">
        <v>6756</v>
      </c>
      <c r="C1338" s="1" t="s">
        <v>6757</v>
      </c>
      <c r="D1338" s="1" t="s">
        <v>6758</v>
      </c>
      <c r="E1338" s="1">
        <v>3878.0</v>
      </c>
      <c r="F1338" s="1" t="s">
        <v>351</v>
      </c>
      <c r="G1338" s="1" t="s">
        <v>57</v>
      </c>
      <c r="H1338" s="1" t="s">
        <v>58</v>
      </c>
      <c r="I1338" s="1" t="s">
        <v>486</v>
      </c>
      <c r="J1338" s="1"/>
      <c r="K1338" s="1" t="s">
        <v>23</v>
      </c>
      <c r="L1338" s="1" t="s">
        <v>6759</v>
      </c>
      <c r="M1338" s="1">
        <v>2.0</v>
      </c>
      <c r="N1338" s="1">
        <v>1.0</v>
      </c>
      <c r="O1338" s="1" t="s">
        <v>351</v>
      </c>
      <c r="P1338" s="1" t="s">
        <v>488</v>
      </c>
      <c r="Q1338" s="2" t="str">
        <f t="shared" si="1"/>
        <v>H006809</v>
      </c>
    </row>
    <row r="1339">
      <c r="A1339" s="1" t="s">
        <v>6760</v>
      </c>
      <c r="B1339" s="1" t="s">
        <v>6761</v>
      </c>
      <c r="C1339" s="1" t="s">
        <v>6762</v>
      </c>
      <c r="D1339" s="1" t="s">
        <v>6763</v>
      </c>
      <c r="E1339" s="1">
        <v>3920.0</v>
      </c>
      <c r="F1339" s="1" t="s">
        <v>351</v>
      </c>
      <c r="G1339" s="1" t="s">
        <v>260</v>
      </c>
      <c r="H1339" s="1" t="s">
        <v>261</v>
      </c>
      <c r="I1339" s="1" t="s">
        <v>486</v>
      </c>
      <c r="J1339" s="1"/>
      <c r="K1339" s="1" t="s">
        <v>23</v>
      </c>
      <c r="L1339" s="1" t="s">
        <v>6764</v>
      </c>
      <c r="M1339" s="1">
        <v>2.0</v>
      </c>
      <c r="N1339" s="1">
        <v>1.0</v>
      </c>
      <c r="O1339" s="1" t="s">
        <v>351</v>
      </c>
      <c r="P1339" s="1" t="s">
        <v>488</v>
      </c>
      <c r="Q1339" s="2" t="str">
        <f t="shared" si="1"/>
        <v>H006809</v>
      </c>
    </row>
    <row r="1340">
      <c r="A1340" s="1" t="s">
        <v>6765</v>
      </c>
      <c r="B1340" s="1" t="s">
        <v>6766</v>
      </c>
      <c r="C1340" s="1" t="s">
        <v>6767</v>
      </c>
      <c r="D1340" s="1" t="s">
        <v>6768</v>
      </c>
      <c r="E1340" s="1">
        <v>3279.0</v>
      </c>
      <c r="F1340" s="1" t="s">
        <v>351</v>
      </c>
      <c r="G1340" s="1" t="s">
        <v>260</v>
      </c>
      <c r="H1340" s="1" t="s">
        <v>261</v>
      </c>
      <c r="I1340" s="1" t="s">
        <v>486</v>
      </c>
      <c r="J1340" s="1"/>
      <c r="K1340" s="1" t="s">
        <v>23</v>
      </c>
      <c r="L1340" s="1" t="s">
        <v>6769</v>
      </c>
      <c r="M1340" s="1">
        <v>2.0</v>
      </c>
      <c r="N1340" s="1">
        <v>1.0</v>
      </c>
      <c r="O1340" s="1" t="s">
        <v>351</v>
      </c>
      <c r="P1340" s="1" t="s">
        <v>488</v>
      </c>
      <c r="Q1340" s="2" t="str">
        <f t="shared" si="1"/>
        <v>H006809</v>
      </c>
    </row>
    <row r="1341">
      <c r="A1341" s="1" t="s">
        <v>6770</v>
      </c>
      <c r="B1341" s="1" t="s">
        <v>6771</v>
      </c>
      <c r="C1341" s="1" t="s">
        <v>6772</v>
      </c>
      <c r="D1341" s="1" t="s">
        <v>6773</v>
      </c>
      <c r="E1341" s="1">
        <v>4137.0</v>
      </c>
      <c r="F1341" s="1" t="s">
        <v>351</v>
      </c>
      <c r="G1341" s="1" t="s">
        <v>260</v>
      </c>
      <c r="H1341" s="1" t="s">
        <v>261</v>
      </c>
      <c r="I1341" s="1" t="s">
        <v>486</v>
      </c>
      <c r="J1341" s="1"/>
      <c r="K1341" s="1" t="s">
        <v>23</v>
      </c>
      <c r="L1341" s="1" t="s">
        <v>6774</v>
      </c>
      <c r="M1341" s="1">
        <v>2.0</v>
      </c>
      <c r="N1341" s="1">
        <v>1.0</v>
      </c>
      <c r="O1341" s="1" t="s">
        <v>351</v>
      </c>
      <c r="P1341" s="1" t="s">
        <v>488</v>
      </c>
      <c r="Q1341" s="2" t="str">
        <f t="shared" si="1"/>
        <v>H006809</v>
      </c>
    </row>
    <row r="1342">
      <c r="A1342" s="1" t="s">
        <v>6775</v>
      </c>
      <c r="B1342" s="1" t="s">
        <v>6776</v>
      </c>
      <c r="C1342" s="1" t="s">
        <v>6777</v>
      </c>
      <c r="D1342" s="1" t="s">
        <v>6778</v>
      </c>
      <c r="E1342" s="1">
        <v>6178.0</v>
      </c>
      <c r="F1342" s="1" t="s">
        <v>382</v>
      </c>
      <c r="G1342" s="1" t="s">
        <v>191</v>
      </c>
      <c r="H1342" s="1" t="s">
        <v>192</v>
      </c>
      <c r="I1342" s="1" t="s">
        <v>486</v>
      </c>
      <c r="J1342" s="1"/>
      <c r="K1342" s="1" t="s">
        <v>23</v>
      </c>
      <c r="L1342" s="1" t="s">
        <v>6779</v>
      </c>
      <c r="M1342" s="1">
        <v>1.0</v>
      </c>
      <c r="N1342" s="1">
        <v>1.0</v>
      </c>
      <c r="O1342" s="1" t="s">
        <v>382</v>
      </c>
      <c r="P1342" s="1" t="s">
        <v>488</v>
      </c>
      <c r="Q1342" s="2" t="str">
        <f t="shared" si="1"/>
        <v>H006033</v>
      </c>
    </row>
    <row r="1343">
      <c r="A1343" s="1" t="s">
        <v>6780</v>
      </c>
      <c r="B1343" s="1" t="s">
        <v>6781</v>
      </c>
      <c r="C1343" s="1" t="s">
        <v>6782</v>
      </c>
      <c r="D1343" s="1" t="s">
        <v>6783</v>
      </c>
      <c r="E1343" s="1">
        <v>3635.0</v>
      </c>
      <c r="F1343" s="1" t="s">
        <v>382</v>
      </c>
      <c r="G1343" s="1" t="s">
        <v>191</v>
      </c>
      <c r="H1343" s="1" t="s">
        <v>192</v>
      </c>
      <c r="I1343" s="1" t="s">
        <v>486</v>
      </c>
      <c r="J1343" s="1"/>
      <c r="K1343" s="1" t="s">
        <v>23</v>
      </c>
      <c r="L1343" s="1" t="s">
        <v>6784</v>
      </c>
      <c r="M1343" s="1">
        <v>1.0</v>
      </c>
      <c r="N1343" s="1">
        <v>1.0</v>
      </c>
      <c r="O1343" s="1" t="s">
        <v>382</v>
      </c>
      <c r="P1343" s="1" t="s">
        <v>488</v>
      </c>
      <c r="Q1343" s="2" t="str">
        <f t="shared" si="1"/>
        <v>H006033</v>
      </c>
    </row>
    <row r="1344">
      <c r="A1344" s="1" t="s">
        <v>6785</v>
      </c>
      <c r="B1344" s="1" t="s">
        <v>6786</v>
      </c>
      <c r="C1344" s="1" t="s">
        <v>6787</v>
      </c>
      <c r="D1344" s="1" t="s">
        <v>6788</v>
      </c>
      <c r="E1344" s="1">
        <v>3995.0</v>
      </c>
      <c r="F1344" s="1" t="s">
        <v>382</v>
      </c>
      <c r="G1344" s="1" t="s">
        <v>191</v>
      </c>
      <c r="H1344" s="1" t="s">
        <v>192</v>
      </c>
      <c r="I1344" s="1" t="s">
        <v>486</v>
      </c>
      <c r="J1344" s="1"/>
      <c r="K1344" s="1" t="s">
        <v>23</v>
      </c>
      <c r="L1344" s="1" t="s">
        <v>6789</v>
      </c>
      <c r="M1344" s="1">
        <v>1.0</v>
      </c>
      <c r="N1344" s="1">
        <v>1.0</v>
      </c>
      <c r="O1344" s="1" t="s">
        <v>382</v>
      </c>
      <c r="P1344" s="1" t="s">
        <v>488</v>
      </c>
      <c r="Q1344" s="2" t="str">
        <f t="shared" si="1"/>
        <v>H006033</v>
      </c>
    </row>
    <row r="1345">
      <c r="A1345" s="1" t="s">
        <v>6790</v>
      </c>
      <c r="B1345" s="1" t="s">
        <v>6791</v>
      </c>
      <c r="C1345" s="1" t="s">
        <v>6792</v>
      </c>
      <c r="D1345" s="1" t="s">
        <v>6793</v>
      </c>
      <c r="E1345" s="1">
        <v>3614.0</v>
      </c>
      <c r="F1345" s="1" t="s">
        <v>382</v>
      </c>
      <c r="G1345" s="1" t="s">
        <v>474</v>
      </c>
      <c r="H1345" s="1" t="s">
        <v>475</v>
      </c>
      <c r="I1345" s="1" t="s">
        <v>486</v>
      </c>
      <c r="J1345" s="1"/>
      <c r="K1345" s="1" t="s">
        <v>23</v>
      </c>
      <c r="L1345" s="1" t="s">
        <v>6794</v>
      </c>
      <c r="M1345" s="1">
        <v>1.0</v>
      </c>
      <c r="N1345" s="1">
        <v>1.0</v>
      </c>
      <c r="O1345" s="1" t="s">
        <v>382</v>
      </c>
      <c r="P1345" s="1" t="s">
        <v>488</v>
      </c>
      <c r="Q1345" s="2" t="str">
        <f t="shared" si="1"/>
        <v>H006033</v>
      </c>
    </row>
    <row r="1346">
      <c r="A1346" s="1" t="s">
        <v>6795</v>
      </c>
      <c r="B1346" s="1" t="s">
        <v>6796</v>
      </c>
      <c r="C1346" s="1" t="s">
        <v>6797</v>
      </c>
      <c r="D1346" s="1" t="s">
        <v>6798</v>
      </c>
      <c r="E1346" s="1">
        <v>3878.0</v>
      </c>
      <c r="F1346" s="1" t="s">
        <v>382</v>
      </c>
      <c r="G1346" s="1" t="s">
        <v>107</v>
      </c>
      <c r="H1346" s="1" t="s">
        <v>108</v>
      </c>
      <c r="I1346" s="1" t="s">
        <v>486</v>
      </c>
      <c r="J1346" s="1"/>
      <c r="K1346" s="1" t="s">
        <v>23</v>
      </c>
      <c r="L1346" s="1" t="s">
        <v>6799</v>
      </c>
      <c r="M1346" s="1">
        <v>3.0</v>
      </c>
      <c r="N1346" s="1">
        <v>1.0</v>
      </c>
      <c r="O1346" s="1" t="s">
        <v>382</v>
      </c>
      <c r="P1346" s="1" t="s">
        <v>488</v>
      </c>
      <c r="Q1346" s="2" t="str">
        <f t="shared" si="1"/>
        <v>H006422</v>
      </c>
    </row>
    <row r="1347">
      <c r="A1347" s="1" t="s">
        <v>6800</v>
      </c>
      <c r="B1347" s="1" t="s">
        <v>6801</v>
      </c>
      <c r="C1347" s="1" t="s">
        <v>6802</v>
      </c>
      <c r="D1347" s="1" t="s">
        <v>6803</v>
      </c>
      <c r="E1347" s="1">
        <v>4415.0</v>
      </c>
      <c r="F1347" s="1" t="s">
        <v>382</v>
      </c>
      <c r="G1347" s="1" t="s">
        <v>474</v>
      </c>
      <c r="H1347" s="1" t="s">
        <v>475</v>
      </c>
      <c r="I1347" s="1" t="s">
        <v>486</v>
      </c>
      <c r="J1347" s="1"/>
      <c r="K1347" s="1" t="s">
        <v>23</v>
      </c>
      <c r="L1347" s="1" t="s">
        <v>6804</v>
      </c>
      <c r="M1347" s="1">
        <v>1.0</v>
      </c>
      <c r="N1347" s="1">
        <v>1.0</v>
      </c>
      <c r="O1347" s="1" t="s">
        <v>382</v>
      </c>
      <c r="P1347" s="1" t="s">
        <v>488</v>
      </c>
      <c r="Q1347" s="2" t="str">
        <f t="shared" si="1"/>
        <v>H006033</v>
      </c>
    </row>
    <row r="1348">
      <c r="A1348" s="1" t="s">
        <v>6805</v>
      </c>
      <c r="B1348" s="1" t="s">
        <v>6806</v>
      </c>
      <c r="C1348" s="1" t="s">
        <v>6807</v>
      </c>
      <c r="D1348" s="1" t="s">
        <v>6808</v>
      </c>
      <c r="E1348" s="1">
        <v>3407.0</v>
      </c>
      <c r="F1348" s="1" t="s">
        <v>382</v>
      </c>
      <c r="G1348" s="1" t="s">
        <v>474</v>
      </c>
      <c r="H1348" s="1" t="s">
        <v>475</v>
      </c>
      <c r="I1348" s="1" t="s">
        <v>486</v>
      </c>
      <c r="J1348" s="1"/>
      <c r="K1348" s="1" t="s">
        <v>23</v>
      </c>
      <c r="L1348" s="1" t="s">
        <v>6809</v>
      </c>
      <c r="M1348" s="1">
        <v>1.0</v>
      </c>
      <c r="N1348" s="1">
        <v>1.0</v>
      </c>
      <c r="O1348" s="1" t="s">
        <v>382</v>
      </c>
      <c r="P1348" s="1" t="s">
        <v>488</v>
      </c>
      <c r="Q1348" s="2" t="str">
        <f t="shared" si="1"/>
        <v>H006033</v>
      </c>
    </row>
    <row r="1349">
      <c r="A1349" s="1" t="s">
        <v>6810</v>
      </c>
      <c r="B1349" s="1" t="s">
        <v>6811</v>
      </c>
      <c r="C1349" s="1" t="s">
        <v>6812</v>
      </c>
      <c r="D1349" s="1" t="s">
        <v>6813</v>
      </c>
      <c r="E1349" s="1">
        <v>3423.0</v>
      </c>
      <c r="F1349" s="1" t="s">
        <v>382</v>
      </c>
      <c r="G1349" s="1" t="s">
        <v>107</v>
      </c>
      <c r="H1349" s="1" t="s">
        <v>108</v>
      </c>
      <c r="I1349" s="1" t="s">
        <v>486</v>
      </c>
      <c r="J1349" s="1"/>
      <c r="K1349" s="1" t="s">
        <v>23</v>
      </c>
      <c r="L1349" s="1" t="s">
        <v>6814</v>
      </c>
      <c r="M1349" s="1">
        <v>1.0</v>
      </c>
      <c r="N1349" s="1">
        <v>1.0</v>
      </c>
      <c r="O1349" s="1" t="s">
        <v>382</v>
      </c>
      <c r="P1349" s="1" t="s">
        <v>488</v>
      </c>
      <c r="Q1349" s="2" t="str">
        <f t="shared" si="1"/>
        <v>H006033</v>
      </c>
    </row>
    <row r="1350">
      <c r="A1350" s="1" t="s">
        <v>6815</v>
      </c>
      <c r="B1350" s="1" t="s">
        <v>6816</v>
      </c>
      <c r="C1350" s="1" t="s">
        <v>6817</v>
      </c>
      <c r="D1350" s="1" t="s">
        <v>6818</v>
      </c>
      <c r="E1350" s="1">
        <v>2903.0</v>
      </c>
      <c r="F1350" s="1" t="s">
        <v>382</v>
      </c>
      <c r="G1350" s="1" t="s">
        <v>107</v>
      </c>
      <c r="H1350" s="1" t="s">
        <v>108</v>
      </c>
      <c r="I1350" s="1" t="s">
        <v>486</v>
      </c>
      <c r="J1350" s="1"/>
      <c r="K1350" s="1" t="s">
        <v>23</v>
      </c>
      <c r="L1350" s="1" t="s">
        <v>6819</v>
      </c>
      <c r="M1350" s="1">
        <v>3.0</v>
      </c>
      <c r="N1350" s="1">
        <v>1.0</v>
      </c>
      <c r="O1350" s="1" t="s">
        <v>382</v>
      </c>
      <c r="P1350" s="1" t="s">
        <v>488</v>
      </c>
      <c r="Q1350" s="2" t="str">
        <f t="shared" si="1"/>
        <v>H006422</v>
      </c>
    </row>
    <row r="1351">
      <c r="A1351" s="1" t="s">
        <v>6820</v>
      </c>
      <c r="B1351" s="1" t="s">
        <v>6821</v>
      </c>
      <c r="C1351" s="1" t="s">
        <v>6822</v>
      </c>
      <c r="D1351" s="1" t="s">
        <v>6823</v>
      </c>
      <c r="E1351" s="1">
        <v>2440.0</v>
      </c>
      <c r="F1351" s="1" t="s">
        <v>288</v>
      </c>
      <c r="G1351" s="1">
        <v>729375.0</v>
      </c>
      <c r="H1351" s="1" t="s">
        <v>1050</v>
      </c>
      <c r="I1351" s="1" t="s">
        <v>1051</v>
      </c>
      <c r="J1351" s="1"/>
      <c r="K1351" s="1" t="s">
        <v>23</v>
      </c>
      <c r="L1351" s="1" t="s">
        <v>6824</v>
      </c>
      <c r="M1351" s="1">
        <v>0.0</v>
      </c>
      <c r="N1351" s="1">
        <v>1.0</v>
      </c>
      <c r="O1351" s="1" t="s">
        <v>288</v>
      </c>
      <c r="P1351" s="1" t="s">
        <v>488</v>
      </c>
      <c r="Q1351" s="2" t="str">
        <f t="shared" si="1"/>
        <v>H004001</v>
      </c>
    </row>
    <row r="1352">
      <c r="A1352" s="1" t="s">
        <v>6825</v>
      </c>
      <c r="B1352" s="1" t="s">
        <v>6826</v>
      </c>
      <c r="C1352" s="1" t="s">
        <v>6827</v>
      </c>
      <c r="D1352" s="1" t="s">
        <v>6828</v>
      </c>
      <c r="E1352" s="1">
        <v>3439.0</v>
      </c>
      <c r="F1352" s="1" t="s">
        <v>382</v>
      </c>
      <c r="G1352" s="1" t="s">
        <v>107</v>
      </c>
      <c r="H1352" s="1" t="s">
        <v>108</v>
      </c>
      <c r="I1352" s="1" t="s">
        <v>486</v>
      </c>
      <c r="J1352" s="1"/>
      <c r="K1352" s="1" t="s">
        <v>23</v>
      </c>
      <c r="L1352" s="1" t="s">
        <v>6829</v>
      </c>
      <c r="M1352" s="1">
        <v>1.0</v>
      </c>
      <c r="N1352" s="1">
        <v>1.0</v>
      </c>
      <c r="O1352" s="1" t="s">
        <v>382</v>
      </c>
      <c r="P1352" s="1" t="s">
        <v>488</v>
      </c>
      <c r="Q1352" s="2" t="str">
        <f t="shared" si="1"/>
        <v>H006033</v>
      </c>
    </row>
    <row r="1353">
      <c r="A1353" s="1" t="s">
        <v>6830</v>
      </c>
      <c r="B1353" s="1" t="s">
        <v>6831</v>
      </c>
      <c r="C1353" s="1" t="s">
        <v>6832</v>
      </c>
      <c r="D1353" s="1" t="s">
        <v>6833</v>
      </c>
      <c r="E1353" s="1">
        <v>5037.0</v>
      </c>
      <c r="F1353" s="1" t="s">
        <v>288</v>
      </c>
      <c r="G1353" s="1">
        <v>859767.0</v>
      </c>
      <c r="H1353" s="1" t="s">
        <v>2565</v>
      </c>
      <c r="I1353" s="1" t="s">
        <v>1051</v>
      </c>
      <c r="J1353" s="1"/>
      <c r="K1353" s="1" t="s">
        <v>23</v>
      </c>
      <c r="L1353" s="1" t="s">
        <v>6834</v>
      </c>
      <c r="M1353" s="1">
        <v>0.0</v>
      </c>
      <c r="N1353" s="1">
        <v>1.0</v>
      </c>
      <c r="O1353" s="1" t="s">
        <v>288</v>
      </c>
      <c r="P1353" s="1" t="s">
        <v>488</v>
      </c>
      <c r="Q1353" s="2" t="str">
        <f t="shared" si="1"/>
        <v>H004001</v>
      </c>
    </row>
    <row r="1354">
      <c r="A1354" s="1" t="s">
        <v>6835</v>
      </c>
      <c r="B1354" s="1" t="s">
        <v>6836</v>
      </c>
      <c r="C1354" s="1" t="s">
        <v>6837</v>
      </c>
      <c r="D1354" s="1" t="s">
        <v>6838</v>
      </c>
      <c r="E1354" s="1">
        <v>3060.0</v>
      </c>
      <c r="F1354" s="1" t="s">
        <v>382</v>
      </c>
      <c r="G1354" s="1" t="s">
        <v>119</v>
      </c>
      <c r="H1354" s="1" t="s">
        <v>120</v>
      </c>
      <c r="I1354" s="1" t="s">
        <v>486</v>
      </c>
      <c r="J1354" s="1"/>
      <c r="K1354" s="1" t="s">
        <v>23</v>
      </c>
      <c r="L1354" s="1" t="s">
        <v>6839</v>
      </c>
      <c r="M1354" s="1">
        <v>1.0</v>
      </c>
      <c r="N1354" s="1">
        <v>1.0</v>
      </c>
      <c r="O1354" s="1" t="s">
        <v>382</v>
      </c>
      <c r="P1354" s="1" t="s">
        <v>488</v>
      </c>
      <c r="Q1354" s="2" t="str">
        <f t="shared" si="1"/>
        <v>H006033</v>
      </c>
    </row>
    <row r="1355">
      <c r="A1355" s="1" t="s">
        <v>6840</v>
      </c>
      <c r="B1355" s="1" t="s">
        <v>6841</v>
      </c>
      <c r="C1355" s="1" t="s">
        <v>6842</v>
      </c>
      <c r="D1355" s="1" t="s">
        <v>6843</v>
      </c>
      <c r="E1355" s="1">
        <v>4041.0</v>
      </c>
      <c r="F1355" s="1" t="s">
        <v>382</v>
      </c>
      <c r="G1355" s="1" t="s">
        <v>119</v>
      </c>
      <c r="H1355" s="1" t="s">
        <v>120</v>
      </c>
      <c r="I1355" s="1" t="s">
        <v>486</v>
      </c>
      <c r="J1355" s="1"/>
      <c r="K1355" s="1" t="s">
        <v>23</v>
      </c>
      <c r="L1355" s="1" t="s">
        <v>6844</v>
      </c>
      <c r="M1355" s="1">
        <v>1.0</v>
      </c>
      <c r="N1355" s="1">
        <v>1.0</v>
      </c>
      <c r="O1355" s="1" t="s">
        <v>382</v>
      </c>
      <c r="P1355" s="1" t="s">
        <v>488</v>
      </c>
      <c r="Q1355" s="2" t="str">
        <f t="shared" si="1"/>
        <v>H006033</v>
      </c>
    </row>
    <row r="1356">
      <c r="A1356" s="1" t="s">
        <v>6845</v>
      </c>
      <c r="B1356" s="1" t="s">
        <v>6846</v>
      </c>
      <c r="C1356" s="1" t="s">
        <v>6847</v>
      </c>
      <c r="D1356" s="1" t="s">
        <v>6848</v>
      </c>
      <c r="E1356" s="1">
        <v>3392.0</v>
      </c>
      <c r="F1356" s="1" t="s">
        <v>382</v>
      </c>
      <c r="G1356" s="1" t="s">
        <v>119</v>
      </c>
      <c r="H1356" s="1" t="s">
        <v>120</v>
      </c>
      <c r="I1356" s="1" t="s">
        <v>486</v>
      </c>
      <c r="J1356" s="1"/>
      <c r="K1356" s="1" t="s">
        <v>23</v>
      </c>
      <c r="L1356" s="1" t="s">
        <v>6849</v>
      </c>
      <c r="M1356" s="1">
        <v>1.0</v>
      </c>
      <c r="N1356" s="1">
        <v>1.0</v>
      </c>
      <c r="O1356" s="1" t="s">
        <v>382</v>
      </c>
      <c r="P1356" s="1" t="s">
        <v>488</v>
      </c>
      <c r="Q1356" s="2" t="str">
        <f t="shared" si="1"/>
        <v>H006033</v>
      </c>
    </row>
    <row r="1357">
      <c r="A1357" s="1" t="s">
        <v>6850</v>
      </c>
      <c r="B1357" s="1" t="s">
        <v>6851</v>
      </c>
      <c r="C1357" s="1" t="s">
        <v>6852</v>
      </c>
      <c r="D1357" s="1" t="s">
        <v>6853</v>
      </c>
      <c r="E1357" s="1">
        <v>3069.0</v>
      </c>
      <c r="F1357" s="1" t="s">
        <v>288</v>
      </c>
      <c r="G1357" s="1" t="s">
        <v>304</v>
      </c>
      <c r="H1357" s="1" t="s">
        <v>272</v>
      </c>
      <c r="I1357" s="1" t="s">
        <v>1051</v>
      </c>
      <c r="J1357" s="1"/>
      <c r="K1357" s="1" t="s">
        <v>23</v>
      </c>
      <c r="L1357" s="1" t="s">
        <v>6854</v>
      </c>
      <c r="M1357" s="1">
        <v>0.0</v>
      </c>
      <c r="N1357" s="1">
        <v>1.0</v>
      </c>
      <c r="O1357" s="1" t="s">
        <v>288</v>
      </c>
      <c r="P1357" s="1" t="s">
        <v>488</v>
      </c>
      <c r="Q1357" s="2" t="str">
        <f t="shared" si="1"/>
        <v>H004001</v>
      </c>
    </row>
    <row r="1358">
      <c r="A1358" s="1" t="s">
        <v>6855</v>
      </c>
      <c r="B1358" s="1" t="s">
        <v>6856</v>
      </c>
      <c r="C1358" s="1" t="s">
        <v>6857</v>
      </c>
      <c r="D1358" s="1" t="s">
        <v>6858</v>
      </c>
      <c r="E1358" s="1">
        <v>3524.0</v>
      </c>
      <c r="F1358" s="1" t="s">
        <v>288</v>
      </c>
      <c r="G1358" s="1" t="s">
        <v>304</v>
      </c>
      <c r="H1358" s="1" t="s">
        <v>272</v>
      </c>
      <c r="I1358" s="1" t="s">
        <v>1051</v>
      </c>
      <c r="J1358" s="1"/>
      <c r="K1358" s="1" t="s">
        <v>23</v>
      </c>
      <c r="L1358" s="1" t="s">
        <v>6859</v>
      </c>
      <c r="M1358" s="1">
        <v>0.0</v>
      </c>
      <c r="N1358" s="1">
        <v>1.0</v>
      </c>
      <c r="O1358" s="1" t="s">
        <v>288</v>
      </c>
      <c r="P1358" s="1" t="s">
        <v>488</v>
      </c>
      <c r="Q1358" s="2" t="str">
        <f t="shared" si="1"/>
        <v>H004001</v>
      </c>
    </row>
    <row r="1359">
      <c r="A1359" s="1" t="s">
        <v>6860</v>
      </c>
      <c r="B1359" s="1" t="s">
        <v>6861</v>
      </c>
      <c r="C1359" s="1" t="s">
        <v>6862</v>
      </c>
      <c r="D1359" s="1" t="s">
        <v>6863</v>
      </c>
      <c r="E1359" s="1">
        <v>2600.0</v>
      </c>
      <c r="F1359" s="1" t="s">
        <v>288</v>
      </c>
      <c r="G1359" s="1" t="s">
        <v>304</v>
      </c>
      <c r="H1359" s="1" t="s">
        <v>272</v>
      </c>
      <c r="I1359" s="1" t="s">
        <v>1051</v>
      </c>
      <c r="J1359" s="1"/>
      <c r="K1359" s="1" t="s">
        <v>23</v>
      </c>
      <c r="L1359" s="1" t="s">
        <v>6864</v>
      </c>
      <c r="M1359" s="1">
        <v>0.0</v>
      </c>
      <c r="N1359" s="1">
        <v>1.0</v>
      </c>
      <c r="O1359" s="1" t="s">
        <v>288</v>
      </c>
      <c r="P1359" s="1" t="s">
        <v>488</v>
      </c>
      <c r="Q1359" s="2" t="str">
        <f t="shared" si="1"/>
        <v>H004001</v>
      </c>
    </row>
    <row r="1360">
      <c r="A1360" s="1" t="s">
        <v>6865</v>
      </c>
      <c r="B1360" s="1" t="s">
        <v>6866</v>
      </c>
      <c r="C1360" s="1" t="s">
        <v>6867</v>
      </c>
      <c r="D1360" s="1" t="s">
        <v>6868</v>
      </c>
      <c r="E1360" s="1">
        <v>2231.0</v>
      </c>
      <c r="F1360" s="1" t="s">
        <v>288</v>
      </c>
      <c r="G1360" s="1" t="s">
        <v>304</v>
      </c>
      <c r="H1360" s="1" t="s">
        <v>272</v>
      </c>
      <c r="I1360" s="1" t="s">
        <v>1051</v>
      </c>
      <c r="J1360" s="1"/>
      <c r="K1360" s="1" t="s">
        <v>23</v>
      </c>
      <c r="L1360" s="1" t="s">
        <v>6869</v>
      </c>
      <c r="M1360" s="1">
        <v>0.0</v>
      </c>
      <c r="N1360" s="1">
        <v>1.0</v>
      </c>
      <c r="O1360" s="1" t="s">
        <v>288</v>
      </c>
      <c r="P1360" s="1" t="s">
        <v>488</v>
      </c>
      <c r="Q1360" s="2" t="str">
        <f t="shared" si="1"/>
        <v>H004001</v>
      </c>
    </row>
    <row r="1361">
      <c r="A1361" s="1" t="s">
        <v>6870</v>
      </c>
      <c r="B1361" s="1" t="s">
        <v>6871</v>
      </c>
      <c r="C1361" s="1" t="s">
        <v>6872</v>
      </c>
      <c r="D1361" s="1" t="s">
        <v>6873</v>
      </c>
      <c r="E1361" s="1">
        <v>3257.0</v>
      </c>
      <c r="F1361" s="1" t="s">
        <v>288</v>
      </c>
      <c r="G1361" s="1" t="s">
        <v>304</v>
      </c>
      <c r="H1361" s="1" t="s">
        <v>272</v>
      </c>
      <c r="I1361" s="1" t="s">
        <v>1051</v>
      </c>
      <c r="J1361" s="1"/>
      <c r="K1361" s="1" t="s">
        <v>23</v>
      </c>
      <c r="L1361" s="1" t="s">
        <v>6874</v>
      </c>
      <c r="M1361" s="1">
        <v>0.0</v>
      </c>
      <c r="N1361" s="1">
        <v>1.0</v>
      </c>
      <c r="O1361" s="1" t="s">
        <v>288</v>
      </c>
      <c r="P1361" s="1" t="s">
        <v>488</v>
      </c>
      <c r="Q1361" s="2" t="str">
        <f t="shared" si="1"/>
        <v>H004001</v>
      </c>
    </row>
    <row r="1362">
      <c r="A1362" s="1" t="s">
        <v>6875</v>
      </c>
      <c r="B1362" s="1" t="s">
        <v>6876</v>
      </c>
      <c r="C1362" s="1" t="s">
        <v>6877</v>
      </c>
      <c r="D1362" s="1" t="s">
        <v>6878</v>
      </c>
      <c r="E1362" s="1">
        <v>3497.0</v>
      </c>
      <c r="F1362" s="1" t="s">
        <v>288</v>
      </c>
      <c r="G1362" s="1">
        <v>729375.0</v>
      </c>
      <c r="H1362" s="1" t="s">
        <v>1050</v>
      </c>
      <c r="I1362" s="1" t="s">
        <v>1051</v>
      </c>
      <c r="J1362" s="1"/>
      <c r="K1362" s="1" t="s">
        <v>23</v>
      </c>
      <c r="L1362" s="1" t="s">
        <v>6879</v>
      </c>
      <c r="M1362" s="1">
        <v>0.0</v>
      </c>
      <c r="N1362" s="1">
        <v>1.0</v>
      </c>
      <c r="O1362" s="1" t="s">
        <v>288</v>
      </c>
      <c r="P1362" s="1" t="s">
        <v>488</v>
      </c>
      <c r="Q1362" s="2" t="str">
        <f t="shared" si="1"/>
        <v>H004001</v>
      </c>
    </row>
    <row r="1363">
      <c r="A1363" s="1" t="s">
        <v>6880</v>
      </c>
      <c r="B1363" s="1" t="s">
        <v>6881</v>
      </c>
      <c r="C1363" s="1" t="s">
        <v>6882</v>
      </c>
      <c r="D1363" s="1" t="s">
        <v>6883</v>
      </c>
      <c r="E1363" s="1">
        <v>3303.0</v>
      </c>
      <c r="F1363" s="1" t="s">
        <v>288</v>
      </c>
      <c r="G1363" s="1">
        <v>729375.0</v>
      </c>
      <c r="H1363" s="1" t="s">
        <v>1050</v>
      </c>
      <c r="I1363" s="1" t="s">
        <v>1051</v>
      </c>
      <c r="J1363" s="1"/>
      <c r="K1363" s="1" t="s">
        <v>23</v>
      </c>
      <c r="L1363" s="1" t="s">
        <v>6884</v>
      </c>
      <c r="M1363" s="1">
        <v>0.0</v>
      </c>
      <c r="N1363" s="1">
        <v>1.0</v>
      </c>
      <c r="O1363" s="1" t="s">
        <v>288</v>
      </c>
      <c r="P1363" s="1" t="s">
        <v>488</v>
      </c>
      <c r="Q1363" s="2" t="str">
        <f t="shared" si="1"/>
        <v>H004001</v>
      </c>
    </row>
    <row r="1364">
      <c r="A1364" s="1" t="s">
        <v>6885</v>
      </c>
      <c r="B1364" s="1" t="s">
        <v>6886</v>
      </c>
      <c r="C1364" s="1" t="s">
        <v>6887</v>
      </c>
      <c r="D1364" s="1" t="s">
        <v>6888</v>
      </c>
      <c r="E1364" s="1">
        <v>3211.0</v>
      </c>
      <c r="F1364" s="1" t="s">
        <v>288</v>
      </c>
      <c r="G1364" s="1">
        <v>729375.0</v>
      </c>
      <c r="H1364" s="1" t="s">
        <v>1050</v>
      </c>
      <c r="I1364" s="1" t="s">
        <v>1051</v>
      </c>
      <c r="J1364" s="1"/>
      <c r="K1364" s="1" t="s">
        <v>23</v>
      </c>
      <c r="L1364" s="1" t="s">
        <v>6889</v>
      </c>
      <c r="M1364" s="1">
        <v>0.0</v>
      </c>
      <c r="N1364" s="1">
        <v>1.0</v>
      </c>
      <c r="O1364" s="1" t="s">
        <v>288</v>
      </c>
      <c r="P1364" s="1" t="s">
        <v>488</v>
      </c>
      <c r="Q1364" s="2" t="str">
        <f t="shared" si="1"/>
        <v>H004001</v>
      </c>
    </row>
    <row r="1365">
      <c r="A1365" s="1" t="s">
        <v>6890</v>
      </c>
      <c r="B1365" s="1" t="s">
        <v>6891</v>
      </c>
      <c r="C1365" s="1" t="s">
        <v>6892</v>
      </c>
      <c r="D1365" s="1" t="s">
        <v>6893</v>
      </c>
      <c r="E1365" s="1">
        <v>4244.0</v>
      </c>
      <c r="F1365" s="1" t="s">
        <v>288</v>
      </c>
      <c r="G1365" s="1">
        <v>859767.0</v>
      </c>
      <c r="H1365" s="1" t="s">
        <v>2565</v>
      </c>
      <c r="I1365" s="1" t="s">
        <v>1051</v>
      </c>
      <c r="J1365" s="1"/>
      <c r="K1365" s="1" t="s">
        <v>23</v>
      </c>
      <c r="L1365" s="1" t="s">
        <v>6894</v>
      </c>
      <c r="M1365" s="1">
        <v>0.0</v>
      </c>
      <c r="N1365" s="1">
        <v>1.0</v>
      </c>
      <c r="O1365" s="1" t="s">
        <v>288</v>
      </c>
      <c r="P1365" s="1" t="s">
        <v>488</v>
      </c>
      <c r="Q1365" s="2" t="str">
        <f t="shared" si="1"/>
        <v>H004596</v>
      </c>
    </row>
    <row r="1366">
      <c r="A1366" s="1" t="s">
        <v>6895</v>
      </c>
      <c r="B1366" s="1" t="s">
        <v>6896</v>
      </c>
      <c r="C1366" s="1" t="s">
        <v>6897</v>
      </c>
      <c r="D1366" s="1" t="s">
        <v>6898</v>
      </c>
      <c r="E1366" s="1">
        <v>4138.0</v>
      </c>
      <c r="F1366" s="1" t="s">
        <v>288</v>
      </c>
      <c r="G1366" s="1">
        <v>859767.0</v>
      </c>
      <c r="H1366" s="1" t="s">
        <v>2565</v>
      </c>
      <c r="I1366" s="1" t="s">
        <v>1051</v>
      </c>
      <c r="J1366" s="1"/>
      <c r="K1366" s="1" t="s">
        <v>23</v>
      </c>
      <c r="L1366" s="1" t="s">
        <v>6899</v>
      </c>
      <c r="M1366" s="1">
        <v>0.0</v>
      </c>
      <c r="N1366" s="1">
        <v>1.0</v>
      </c>
      <c r="O1366" s="1" t="s">
        <v>288</v>
      </c>
      <c r="P1366" s="1" t="s">
        <v>488</v>
      </c>
      <c r="Q1366" s="2" t="str">
        <f t="shared" si="1"/>
        <v>H004596</v>
      </c>
    </row>
    <row r="1367">
      <c r="A1367" s="1" t="s">
        <v>6900</v>
      </c>
      <c r="B1367" s="1" t="s">
        <v>6901</v>
      </c>
      <c r="C1367" s="1" t="s">
        <v>6902</v>
      </c>
      <c r="D1367" s="1" t="s">
        <v>6903</v>
      </c>
      <c r="E1367" s="1">
        <v>3688.0</v>
      </c>
      <c r="F1367" s="1" t="s">
        <v>288</v>
      </c>
      <c r="G1367" s="1" t="s">
        <v>304</v>
      </c>
      <c r="H1367" s="1" t="s">
        <v>272</v>
      </c>
      <c r="I1367" s="1" t="s">
        <v>1051</v>
      </c>
      <c r="J1367" s="1"/>
      <c r="K1367" s="1" t="s">
        <v>23</v>
      </c>
      <c r="L1367" s="1" t="s">
        <v>6904</v>
      </c>
      <c r="M1367" s="1">
        <v>0.0</v>
      </c>
      <c r="N1367" s="1">
        <v>1.0</v>
      </c>
      <c r="O1367" s="1" t="s">
        <v>288</v>
      </c>
      <c r="P1367" s="1" t="s">
        <v>488</v>
      </c>
      <c r="Q1367" s="2" t="str">
        <f t="shared" si="1"/>
        <v>H004596</v>
      </c>
    </row>
    <row r="1368">
      <c r="A1368" s="1" t="s">
        <v>6905</v>
      </c>
      <c r="B1368" s="1" t="s">
        <v>6906</v>
      </c>
      <c r="C1368" s="1" t="s">
        <v>6907</v>
      </c>
      <c r="D1368" s="1" t="s">
        <v>6908</v>
      </c>
      <c r="E1368" s="1">
        <v>2829.0</v>
      </c>
      <c r="F1368" s="1" t="s">
        <v>288</v>
      </c>
      <c r="G1368" s="1" t="s">
        <v>304</v>
      </c>
      <c r="H1368" s="1" t="s">
        <v>272</v>
      </c>
      <c r="I1368" s="1" t="s">
        <v>1051</v>
      </c>
      <c r="J1368" s="1"/>
      <c r="K1368" s="1" t="s">
        <v>23</v>
      </c>
      <c r="L1368" s="1" t="s">
        <v>6909</v>
      </c>
      <c r="M1368" s="1">
        <v>0.0</v>
      </c>
      <c r="N1368" s="1">
        <v>1.0</v>
      </c>
      <c r="O1368" s="1" t="s">
        <v>288</v>
      </c>
      <c r="P1368" s="1" t="s">
        <v>488</v>
      </c>
      <c r="Q1368" s="2" t="str">
        <f t="shared" si="1"/>
        <v>H004596</v>
      </c>
    </row>
    <row r="1369">
      <c r="A1369" s="1" t="s">
        <v>6910</v>
      </c>
      <c r="B1369" s="1" t="s">
        <v>6911</v>
      </c>
      <c r="C1369" s="1" t="s">
        <v>6912</v>
      </c>
      <c r="D1369" s="1" t="s">
        <v>6913</v>
      </c>
      <c r="E1369" s="1">
        <v>4663.0</v>
      </c>
      <c r="F1369" s="1" t="s">
        <v>498</v>
      </c>
      <c r="G1369" s="1" t="s">
        <v>132</v>
      </c>
      <c r="H1369" s="1" t="s">
        <v>133</v>
      </c>
      <c r="I1369" s="1" t="s">
        <v>1112</v>
      </c>
      <c r="J1369" s="1"/>
      <c r="K1369" s="1" t="s">
        <v>23</v>
      </c>
      <c r="L1369" s="1" t="s">
        <v>6914</v>
      </c>
      <c r="M1369" s="1">
        <v>2.0</v>
      </c>
      <c r="N1369" s="1">
        <v>1.0</v>
      </c>
      <c r="O1369" s="1" t="s">
        <v>498</v>
      </c>
      <c r="P1369" s="1" t="s">
        <v>488</v>
      </c>
      <c r="Q1369" s="2" t="str">
        <f t="shared" si="1"/>
        <v>H030031</v>
      </c>
    </row>
    <row r="1370">
      <c r="A1370" s="1" t="s">
        <v>6915</v>
      </c>
      <c r="B1370" s="1" t="s">
        <v>6916</v>
      </c>
      <c r="C1370" s="1" t="s">
        <v>6917</v>
      </c>
      <c r="D1370" s="1" t="s">
        <v>6918</v>
      </c>
      <c r="E1370" s="1">
        <v>3361.0</v>
      </c>
      <c r="F1370" s="1" t="s">
        <v>498</v>
      </c>
      <c r="G1370" s="1" t="s">
        <v>132</v>
      </c>
      <c r="H1370" s="1" t="s">
        <v>133</v>
      </c>
      <c r="I1370" s="1" t="s">
        <v>1112</v>
      </c>
      <c r="J1370" s="1"/>
      <c r="K1370" s="1" t="s">
        <v>23</v>
      </c>
      <c r="L1370" s="1" t="s">
        <v>6919</v>
      </c>
      <c r="M1370" s="1">
        <v>2.0</v>
      </c>
      <c r="N1370" s="1">
        <v>1.0</v>
      </c>
      <c r="O1370" s="1" t="s">
        <v>498</v>
      </c>
      <c r="P1370" s="1" t="s">
        <v>488</v>
      </c>
      <c r="Q1370" s="2" t="str">
        <f t="shared" si="1"/>
        <v>H030031</v>
      </c>
    </row>
    <row r="1371">
      <c r="A1371" s="1" t="s">
        <v>6920</v>
      </c>
      <c r="B1371" s="1" t="s">
        <v>6921</v>
      </c>
      <c r="C1371" s="1" t="s">
        <v>6922</v>
      </c>
      <c r="D1371" s="1" t="s">
        <v>6923</v>
      </c>
      <c r="E1371" s="1">
        <v>2996.0</v>
      </c>
      <c r="F1371" s="1" t="s">
        <v>498</v>
      </c>
      <c r="G1371" s="1">
        <v>896791.0</v>
      </c>
      <c r="H1371" s="1" t="s">
        <v>2124</v>
      </c>
      <c r="I1371" s="1" t="s">
        <v>1112</v>
      </c>
      <c r="J1371" s="1"/>
      <c r="K1371" s="1" t="s">
        <v>23</v>
      </c>
      <c r="L1371" s="1" t="s">
        <v>6924</v>
      </c>
      <c r="M1371" s="1">
        <v>2.0</v>
      </c>
      <c r="N1371" s="1">
        <v>1.0</v>
      </c>
      <c r="O1371" s="1" t="s">
        <v>498</v>
      </c>
      <c r="P1371" s="1" t="s">
        <v>488</v>
      </c>
      <c r="Q1371" s="2" t="str">
        <f t="shared" si="1"/>
        <v>H030031</v>
      </c>
    </row>
    <row r="1372">
      <c r="A1372" s="1" t="s">
        <v>6925</v>
      </c>
      <c r="B1372" s="1" t="s">
        <v>6926</v>
      </c>
      <c r="C1372" s="1" t="s">
        <v>6927</v>
      </c>
      <c r="D1372" s="1" t="s">
        <v>6928</v>
      </c>
      <c r="E1372" s="1">
        <v>5376.0</v>
      </c>
      <c r="F1372" s="1" t="s">
        <v>498</v>
      </c>
      <c r="G1372" s="1">
        <v>896791.0</v>
      </c>
      <c r="H1372" s="1" t="s">
        <v>2124</v>
      </c>
      <c r="I1372" s="1" t="s">
        <v>1112</v>
      </c>
      <c r="J1372" s="1"/>
      <c r="K1372" s="1" t="s">
        <v>23</v>
      </c>
      <c r="L1372" s="1" t="s">
        <v>6929</v>
      </c>
      <c r="M1372" s="1">
        <v>2.0</v>
      </c>
      <c r="N1372" s="1">
        <v>1.0</v>
      </c>
      <c r="O1372" s="1" t="s">
        <v>498</v>
      </c>
      <c r="P1372" s="1" t="s">
        <v>488</v>
      </c>
      <c r="Q1372" s="2" t="str">
        <f t="shared" si="1"/>
        <v>H030031</v>
      </c>
    </row>
    <row r="1373">
      <c r="A1373" s="1" t="s">
        <v>6930</v>
      </c>
      <c r="B1373" s="1" t="s">
        <v>6931</v>
      </c>
      <c r="C1373" s="1" t="s">
        <v>6932</v>
      </c>
      <c r="D1373" s="1" t="s">
        <v>6933</v>
      </c>
      <c r="E1373" s="1">
        <v>3240.0</v>
      </c>
      <c r="F1373" s="1" t="s">
        <v>498</v>
      </c>
      <c r="G1373" s="1">
        <v>896791.0</v>
      </c>
      <c r="H1373" s="1" t="s">
        <v>2124</v>
      </c>
      <c r="I1373" s="1" t="s">
        <v>1112</v>
      </c>
      <c r="J1373" s="1"/>
      <c r="K1373" s="1" t="s">
        <v>23</v>
      </c>
      <c r="L1373" s="1" t="s">
        <v>6934</v>
      </c>
      <c r="M1373" s="1">
        <v>2.0</v>
      </c>
      <c r="N1373" s="1">
        <v>1.0</v>
      </c>
      <c r="O1373" s="1" t="s">
        <v>498</v>
      </c>
      <c r="P1373" s="1" t="s">
        <v>488</v>
      </c>
      <c r="Q1373" s="2" t="str">
        <f t="shared" si="1"/>
        <v>H030031</v>
      </c>
    </row>
    <row r="1374">
      <c r="A1374" s="1" t="s">
        <v>6935</v>
      </c>
      <c r="B1374" s="1" t="s">
        <v>6936</v>
      </c>
      <c r="C1374" s="1" t="s">
        <v>6937</v>
      </c>
      <c r="D1374" s="1" t="s">
        <v>6938</v>
      </c>
      <c r="E1374" s="1">
        <v>2566.0</v>
      </c>
      <c r="F1374" s="1" t="s">
        <v>498</v>
      </c>
      <c r="G1374" s="1" t="s">
        <v>132</v>
      </c>
      <c r="H1374" s="1" t="s">
        <v>133</v>
      </c>
      <c r="I1374" s="1" t="s">
        <v>1112</v>
      </c>
      <c r="J1374" s="1"/>
      <c r="K1374" s="1" t="s">
        <v>23</v>
      </c>
      <c r="L1374" s="1" t="s">
        <v>6939</v>
      </c>
      <c r="M1374" s="1">
        <v>2.0</v>
      </c>
      <c r="N1374" s="1">
        <v>1.0</v>
      </c>
      <c r="O1374" s="1" t="s">
        <v>498</v>
      </c>
      <c r="P1374" s="1" t="s">
        <v>488</v>
      </c>
      <c r="Q1374" s="2" t="str">
        <f t="shared" si="1"/>
        <v>H030031</v>
      </c>
    </row>
    <row r="1375">
      <c r="A1375" s="1" t="s">
        <v>6940</v>
      </c>
      <c r="B1375" s="1" t="s">
        <v>6941</v>
      </c>
      <c r="C1375" s="1" t="s">
        <v>6942</v>
      </c>
      <c r="D1375" s="1" t="s">
        <v>6943</v>
      </c>
      <c r="E1375" s="1">
        <v>4705.0</v>
      </c>
      <c r="F1375" s="1" t="s">
        <v>498</v>
      </c>
      <c r="G1375" s="1" t="s">
        <v>220</v>
      </c>
      <c r="H1375" s="1" t="s">
        <v>221</v>
      </c>
      <c r="I1375" s="1" t="s">
        <v>1112</v>
      </c>
      <c r="J1375" s="1"/>
      <c r="K1375" s="1" t="s">
        <v>23</v>
      </c>
      <c r="L1375" s="1" t="s">
        <v>6944</v>
      </c>
      <c r="M1375" s="1">
        <v>2.0</v>
      </c>
      <c r="N1375" s="1">
        <v>1.0</v>
      </c>
      <c r="O1375" s="1" t="s">
        <v>498</v>
      </c>
      <c r="P1375" s="1" t="s">
        <v>488</v>
      </c>
      <c r="Q1375" s="2" t="str">
        <f t="shared" si="1"/>
        <v>H030031</v>
      </c>
    </row>
    <row r="1376">
      <c r="A1376" s="1" t="s">
        <v>6945</v>
      </c>
      <c r="B1376" s="1" t="s">
        <v>6946</v>
      </c>
      <c r="C1376" s="1" t="s">
        <v>6947</v>
      </c>
      <c r="D1376" s="1" t="s">
        <v>6948</v>
      </c>
      <c r="E1376" s="1">
        <v>6457.0</v>
      </c>
      <c r="F1376" s="1" t="s">
        <v>398</v>
      </c>
      <c r="G1376" s="1" t="s">
        <v>179</v>
      </c>
      <c r="H1376" s="1" t="s">
        <v>180</v>
      </c>
      <c r="I1376" s="1" t="s">
        <v>1112</v>
      </c>
      <c r="J1376" s="1"/>
      <c r="K1376" s="1" t="s">
        <v>23</v>
      </c>
      <c r="L1376" s="1" t="s">
        <v>6949</v>
      </c>
      <c r="M1376" s="1">
        <v>1.0</v>
      </c>
      <c r="N1376" s="1">
        <v>1.0</v>
      </c>
      <c r="O1376" s="1" t="s">
        <v>398</v>
      </c>
      <c r="P1376" s="1" t="s">
        <v>488</v>
      </c>
      <c r="Q1376" s="2" t="str">
        <f t="shared" si="1"/>
        <v>H030310</v>
      </c>
    </row>
    <row r="1377">
      <c r="A1377" s="1" t="s">
        <v>6950</v>
      </c>
      <c r="B1377" s="1" t="s">
        <v>6951</v>
      </c>
      <c r="C1377" s="1" t="s">
        <v>6952</v>
      </c>
      <c r="D1377" s="1" t="s">
        <v>6953</v>
      </c>
      <c r="E1377" s="1">
        <v>9336.0</v>
      </c>
      <c r="F1377" s="1" t="s">
        <v>398</v>
      </c>
      <c r="G1377" s="1" t="s">
        <v>179</v>
      </c>
      <c r="H1377" s="1" t="s">
        <v>180</v>
      </c>
      <c r="I1377" s="1" t="s">
        <v>1112</v>
      </c>
      <c r="J1377" s="1"/>
      <c r="K1377" s="1" t="s">
        <v>23</v>
      </c>
      <c r="L1377" s="1" t="s">
        <v>6954</v>
      </c>
      <c r="M1377" s="1">
        <v>1.0</v>
      </c>
      <c r="N1377" s="1">
        <v>1.0</v>
      </c>
      <c r="O1377" s="1" t="s">
        <v>398</v>
      </c>
      <c r="P1377" s="1" t="s">
        <v>488</v>
      </c>
      <c r="Q1377" s="2" t="str">
        <f t="shared" si="1"/>
        <v>H030310</v>
      </c>
    </row>
    <row r="1378">
      <c r="A1378" s="1" t="s">
        <v>6955</v>
      </c>
      <c r="B1378" s="1" t="s">
        <v>6956</v>
      </c>
      <c r="C1378" s="1" t="s">
        <v>6957</v>
      </c>
      <c r="D1378" s="1" t="s">
        <v>6958</v>
      </c>
      <c r="E1378" s="1">
        <v>3774.0</v>
      </c>
      <c r="F1378" s="1" t="s">
        <v>288</v>
      </c>
      <c r="G1378" s="1">
        <v>729375.0</v>
      </c>
      <c r="H1378" s="1" t="s">
        <v>1050</v>
      </c>
      <c r="I1378" s="1" t="s">
        <v>1051</v>
      </c>
      <c r="J1378" s="1"/>
      <c r="K1378" s="1" t="s">
        <v>23</v>
      </c>
      <c r="L1378" s="1" t="s">
        <v>6959</v>
      </c>
      <c r="M1378" s="1">
        <v>0.0</v>
      </c>
      <c r="N1378" s="1">
        <v>1.0</v>
      </c>
      <c r="O1378" s="1" t="s">
        <v>288</v>
      </c>
      <c r="P1378" s="1" t="s">
        <v>488</v>
      </c>
      <c r="Q1378" s="2" t="str">
        <f t="shared" si="1"/>
        <v>H004596</v>
      </c>
    </row>
    <row r="1379">
      <c r="A1379" s="1" t="s">
        <v>6960</v>
      </c>
      <c r="B1379" s="1" t="s">
        <v>6961</v>
      </c>
      <c r="C1379" s="1" t="s">
        <v>6962</v>
      </c>
      <c r="D1379" s="1" t="s">
        <v>6963</v>
      </c>
      <c r="E1379" s="1">
        <v>4299.0</v>
      </c>
      <c r="F1379" s="1" t="s">
        <v>498</v>
      </c>
      <c r="G1379" s="1" t="s">
        <v>167</v>
      </c>
      <c r="H1379" s="1" t="s">
        <v>168</v>
      </c>
      <c r="I1379" s="1" t="s">
        <v>1112</v>
      </c>
      <c r="J1379" s="1"/>
      <c r="K1379" s="1" t="s">
        <v>23</v>
      </c>
      <c r="L1379" s="1" t="s">
        <v>6964</v>
      </c>
      <c r="M1379" s="1">
        <v>2.0</v>
      </c>
      <c r="N1379" s="1">
        <v>1.0</v>
      </c>
      <c r="O1379" s="1" t="s">
        <v>498</v>
      </c>
      <c r="P1379" s="1" t="s">
        <v>488</v>
      </c>
      <c r="Q1379" s="2" t="str">
        <f t="shared" si="1"/>
        <v>H030031</v>
      </c>
    </row>
    <row r="1380">
      <c r="A1380" s="1" t="s">
        <v>6965</v>
      </c>
      <c r="B1380" s="1" t="s">
        <v>6966</v>
      </c>
      <c r="C1380" s="1" t="s">
        <v>6967</v>
      </c>
      <c r="D1380" s="1" t="s">
        <v>6968</v>
      </c>
      <c r="E1380" s="1">
        <v>5610.0</v>
      </c>
      <c r="F1380" s="1" t="s">
        <v>498</v>
      </c>
      <c r="G1380" s="1" t="s">
        <v>220</v>
      </c>
      <c r="H1380" s="1" t="s">
        <v>221</v>
      </c>
      <c r="I1380" s="1" t="s">
        <v>1112</v>
      </c>
      <c r="J1380" s="1"/>
      <c r="K1380" s="1" t="s">
        <v>23</v>
      </c>
      <c r="L1380" s="1" t="s">
        <v>6969</v>
      </c>
      <c r="M1380" s="1">
        <v>2.0</v>
      </c>
      <c r="N1380" s="1">
        <v>1.0</v>
      </c>
      <c r="O1380" s="1" t="s">
        <v>498</v>
      </c>
      <c r="P1380" s="1" t="s">
        <v>488</v>
      </c>
      <c r="Q1380" s="2" t="str">
        <f t="shared" si="1"/>
        <v>H030031</v>
      </c>
    </row>
    <row r="1381">
      <c r="A1381" s="1" t="s">
        <v>6970</v>
      </c>
      <c r="B1381" s="1" t="s">
        <v>6971</v>
      </c>
      <c r="C1381" s="1" t="s">
        <v>6972</v>
      </c>
      <c r="D1381" s="1" t="s">
        <v>6973</v>
      </c>
      <c r="E1381" s="1">
        <v>4393.0</v>
      </c>
      <c r="F1381" s="1" t="s">
        <v>498</v>
      </c>
      <c r="G1381" s="1" t="s">
        <v>167</v>
      </c>
      <c r="H1381" s="1" t="s">
        <v>168</v>
      </c>
      <c r="I1381" s="1" t="s">
        <v>1112</v>
      </c>
      <c r="J1381" s="1"/>
      <c r="K1381" s="1" t="s">
        <v>23</v>
      </c>
      <c r="L1381" s="1" t="s">
        <v>6974</v>
      </c>
      <c r="M1381" s="1">
        <v>2.0</v>
      </c>
      <c r="N1381" s="1">
        <v>1.0</v>
      </c>
      <c r="O1381" s="1" t="s">
        <v>498</v>
      </c>
      <c r="P1381" s="1" t="s">
        <v>488</v>
      </c>
      <c r="Q1381" s="2" t="str">
        <f t="shared" si="1"/>
        <v>H030031</v>
      </c>
    </row>
    <row r="1382">
      <c r="A1382" s="1" t="s">
        <v>6975</v>
      </c>
      <c r="B1382" s="1" t="s">
        <v>6976</v>
      </c>
      <c r="C1382" s="1" t="s">
        <v>6977</v>
      </c>
      <c r="D1382" s="1" t="s">
        <v>6978</v>
      </c>
      <c r="E1382" s="1">
        <v>5515.0</v>
      </c>
      <c r="F1382" s="1" t="s">
        <v>498</v>
      </c>
      <c r="G1382" s="1" t="s">
        <v>132</v>
      </c>
      <c r="H1382" s="1" t="s">
        <v>133</v>
      </c>
      <c r="I1382" s="1" t="s">
        <v>1112</v>
      </c>
      <c r="J1382" s="1"/>
      <c r="K1382" s="1" t="s">
        <v>23</v>
      </c>
      <c r="L1382" s="1" t="s">
        <v>6979</v>
      </c>
      <c r="M1382" s="1">
        <v>2.0</v>
      </c>
      <c r="N1382" s="1">
        <v>1.0</v>
      </c>
      <c r="O1382" s="1" t="s">
        <v>498</v>
      </c>
      <c r="P1382" s="1" t="s">
        <v>488</v>
      </c>
      <c r="Q1382" s="2" t="str">
        <f t="shared" si="1"/>
        <v>H030031</v>
      </c>
    </row>
    <row r="1383">
      <c r="A1383" s="1" t="s">
        <v>6980</v>
      </c>
      <c r="B1383" s="1" t="s">
        <v>6981</v>
      </c>
      <c r="C1383" s="1" t="s">
        <v>6982</v>
      </c>
      <c r="D1383" s="1" t="s">
        <v>6983</v>
      </c>
      <c r="E1383" s="1">
        <v>3635.0</v>
      </c>
      <c r="F1383" s="1" t="s">
        <v>398</v>
      </c>
      <c r="G1383" s="1" t="s">
        <v>155</v>
      </c>
      <c r="H1383" s="1" t="s">
        <v>156</v>
      </c>
      <c r="I1383" s="1" t="s">
        <v>1112</v>
      </c>
      <c r="J1383" s="1"/>
      <c r="K1383" s="1" t="s">
        <v>23</v>
      </c>
      <c r="L1383" s="1" t="s">
        <v>6984</v>
      </c>
      <c r="M1383" s="1">
        <v>1.0</v>
      </c>
      <c r="N1383" s="1">
        <v>1.0</v>
      </c>
      <c r="O1383" s="1" t="s">
        <v>398</v>
      </c>
      <c r="P1383" s="1" t="s">
        <v>488</v>
      </c>
      <c r="Q1383" s="2" t="str">
        <f t="shared" si="1"/>
        <v>H030310</v>
      </c>
    </row>
    <row r="1384">
      <c r="A1384" s="1" t="s">
        <v>6985</v>
      </c>
      <c r="B1384" s="1" t="s">
        <v>6986</v>
      </c>
      <c r="C1384" s="1" t="s">
        <v>6987</v>
      </c>
      <c r="D1384" s="1" t="s">
        <v>6988</v>
      </c>
      <c r="E1384" s="1">
        <v>3082.0</v>
      </c>
      <c r="F1384" s="1" t="s">
        <v>398</v>
      </c>
      <c r="G1384" s="1" t="s">
        <v>155</v>
      </c>
      <c r="H1384" s="1" t="s">
        <v>156</v>
      </c>
      <c r="I1384" s="1" t="s">
        <v>1112</v>
      </c>
      <c r="J1384" s="1"/>
      <c r="K1384" s="1" t="s">
        <v>23</v>
      </c>
      <c r="L1384" s="1" t="s">
        <v>6989</v>
      </c>
      <c r="M1384" s="1">
        <v>1.0</v>
      </c>
      <c r="N1384" s="1">
        <v>1.0</v>
      </c>
      <c r="O1384" s="1" t="s">
        <v>398</v>
      </c>
      <c r="P1384" s="1" t="s">
        <v>488</v>
      </c>
      <c r="Q1384" s="2" t="str">
        <f t="shared" si="1"/>
        <v>H030310</v>
      </c>
    </row>
    <row r="1385">
      <c r="A1385" s="1" t="s">
        <v>6990</v>
      </c>
      <c r="B1385" s="1" t="s">
        <v>6991</v>
      </c>
      <c r="C1385" s="1" t="s">
        <v>6992</v>
      </c>
      <c r="D1385" s="1" t="s">
        <v>6993</v>
      </c>
      <c r="E1385" s="1">
        <v>1185.0</v>
      </c>
      <c r="F1385" s="1" t="s">
        <v>288</v>
      </c>
      <c r="G1385" s="1">
        <v>729375.0</v>
      </c>
      <c r="H1385" s="1" t="s">
        <v>1050</v>
      </c>
      <c r="I1385" s="1" t="s">
        <v>1051</v>
      </c>
      <c r="J1385" s="1"/>
      <c r="K1385" s="1" t="s">
        <v>23</v>
      </c>
      <c r="L1385" s="1" t="s">
        <v>6994</v>
      </c>
      <c r="M1385" s="1">
        <v>0.0</v>
      </c>
      <c r="N1385" s="1">
        <v>1.0</v>
      </c>
      <c r="O1385" s="1" t="s">
        <v>288</v>
      </c>
      <c r="P1385" s="1" t="s">
        <v>488</v>
      </c>
      <c r="Q1385" s="2" t="str">
        <f t="shared" si="1"/>
        <v>H004596</v>
      </c>
    </row>
    <row r="1386">
      <c r="A1386" s="1" t="s">
        <v>6995</v>
      </c>
      <c r="B1386" s="1" t="s">
        <v>6996</v>
      </c>
      <c r="C1386" s="1" t="s">
        <v>6997</v>
      </c>
      <c r="D1386" s="1" t="s">
        <v>6998</v>
      </c>
      <c r="E1386" s="1">
        <v>6068.0</v>
      </c>
      <c r="F1386" s="1" t="s">
        <v>351</v>
      </c>
      <c r="G1386" s="1" t="s">
        <v>208</v>
      </c>
      <c r="H1386" s="1" t="s">
        <v>209</v>
      </c>
      <c r="I1386" s="1" t="s">
        <v>486</v>
      </c>
      <c r="J1386" s="1"/>
      <c r="K1386" s="1" t="s">
        <v>23</v>
      </c>
      <c r="L1386" s="1" t="s">
        <v>6999</v>
      </c>
      <c r="M1386" s="1">
        <v>0.0</v>
      </c>
      <c r="N1386" s="1">
        <v>1.0</v>
      </c>
      <c r="O1386" s="1" t="s">
        <v>351</v>
      </c>
      <c r="P1386" s="1" t="s">
        <v>488</v>
      </c>
      <c r="Q1386" s="2" t="str">
        <f t="shared" si="1"/>
        <v>H006706</v>
      </c>
    </row>
    <row r="1387">
      <c r="A1387" s="1" t="s">
        <v>7000</v>
      </c>
      <c r="B1387" s="1" t="s">
        <v>7001</v>
      </c>
      <c r="C1387" s="1" t="s">
        <v>7002</v>
      </c>
      <c r="D1387" s="1" t="s">
        <v>7003</v>
      </c>
      <c r="E1387" s="1">
        <v>3992.0</v>
      </c>
      <c r="F1387" s="1" t="s">
        <v>351</v>
      </c>
      <c r="G1387" s="1" t="s">
        <v>208</v>
      </c>
      <c r="H1387" s="1" t="s">
        <v>209</v>
      </c>
      <c r="I1387" s="1" t="s">
        <v>486</v>
      </c>
      <c r="J1387" s="1"/>
      <c r="K1387" s="1" t="s">
        <v>23</v>
      </c>
      <c r="L1387" s="1" t="s">
        <v>7004</v>
      </c>
      <c r="M1387" s="1">
        <v>0.0</v>
      </c>
      <c r="N1387" s="1">
        <v>1.0</v>
      </c>
      <c r="O1387" s="1" t="s">
        <v>351</v>
      </c>
      <c r="P1387" s="1" t="s">
        <v>488</v>
      </c>
      <c r="Q1387" s="2" t="str">
        <f t="shared" si="1"/>
        <v>H006706</v>
      </c>
    </row>
    <row r="1388">
      <c r="A1388" s="1" t="s">
        <v>7005</v>
      </c>
      <c r="B1388" s="1" t="s">
        <v>7006</v>
      </c>
      <c r="C1388" s="1" t="s">
        <v>7007</v>
      </c>
      <c r="D1388" s="1" t="s">
        <v>7008</v>
      </c>
      <c r="E1388" s="1">
        <v>3024.0</v>
      </c>
      <c r="F1388" s="1" t="s">
        <v>498</v>
      </c>
      <c r="G1388" s="1" t="s">
        <v>220</v>
      </c>
      <c r="H1388" s="1" t="s">
        <v>221</v>
      </c>
      <c r="I1388" s="1" t="s">
        <v>1112</v>
      </c>
      <c r="J1388" s="1"/>
      <c r="K1388" s="1" t="s">
        <v>23</v>
      </c>
      <c r="L1388" s="1" t="s">
        <v>7009</v>
      </c>
      <c r="M1388" s="1">
        <v>2.0</v>
      </c>
      <c r="N1388" s="1">
        <v>1.0</v>
      </c>
      <c r="O1388" s="1" t="s">
        <v>498</v>
      </c>
      <c r="P1388" s="1" t="s">
        <v>488</v>
      </c>
      <c r="Q1388" s="2" t="str">
        <f t="shared" si="1"/>
        <v>H030031</v>
      </c>
    </row>
    <row r="1389">
      <c r="A1389" s="1" t="s">
        <v>7010</v>
      </c>
      <c r="B1389" s="1" t="s">
        <v>7011</v>
      </c>
      <c r="C1389" s="1" t="s">
        <v>7012</v>
      </c>
      <c r="D1389" s="1" t="s">
        <v>7013</v>
      </c>
      <c r="E1389" s="1">
        <v>4193.0</v>
      </c>
      <c r="F1389" s="1" t="s">
        <v>498</v>
      </c>
      <c r="G1389" s="1" t="s">
        <v>167</v>
      </c>
      <c r="H1389" s="1" t="s">
        <v>168</v>
      </c>
      <c r="I1389" s="1" t="s">
        <v>1112</v>
      </c>
      <c r="J1389" s="1"/>
      <c r="K1389" s="1" t="s">
        <v>23</v>
      </c>
      <c r="L1389" s="1" t="s">
        <v>7014</v>
      </c>
      <c r="M1389" s="1">
        <v>2.0</v>
      </c>
      <c r="N1389" s="1">
        <v>1.0</v>
      </c>
      <c r="O1389" s="1" t="s">
        <v>498</v>
      </c>
      <c r="P1389" s="1" t="s">
        <v>488</v>
      </c>
      <c r="Q1389" s="2" t="str">
        <f t="shared" si="1"/>
        <v>H030031</v>
      </c>
    </row>
    <row r="1390">
      <c r="A1390" s="1" t="s">
        <v>7015</v>
      </c>
      <c r="B1390" s="1" t="s">
        <v>7016</v>
      </c>
      <c r="C1390" s="1" t="s">
        <v>7017</v>
      </c>
      <c r="D1390" s="1" t="s">
        <v>7018</v>
      </c>
      <c r="E1390" s="1">
        <v>3340.0</v>
      </c>
      <c r="F1390" s="1" t="s">
        <v>382</v>
      </c>
      <c r="G1390" s="1" t="s">
        <v>107</v>
      </c>
      <c r="H1390" s="1" t="s">
        <v>108</v>
      </c>
      <c r="I1390" s="1" t="s">
        <v>486</v>
      </c>
      <c r="J1390" s="1"/>
      <c r="K1390" s="1" t="s">
        <v>23</v>
      </c>
      <c r="L1390" s="1" t="s">
        <v>7019</v>
      </c>
      <c r="M1390" s="1">
        <v>1.0</v>
      </c>
      <c r="N1390" s="1">
        <v>1.0</v>
      </c>
      <c r="O1390" s="1" t="s">
        <v>382</v>
      </c>
      <c r="P1390" s="1" t="s">
        <v>488</v>
      </c>
      <c r="Q1390" s="2" t="str">
        <f t="shared" si="1"/>
        <v>H006033</v>
      </c>
    </row>
    <row r="1391">
      <c r="A1391" s="1" t="s">
        <v>7020</v>
      </c>
      <c r="B1391" s="1" t="s">
        <v>7021</v>
      </c>
      <c r="C1391" s="1" t="s">
        <v>7022</v>
      </c>
      <c r="D1391" s="1" t="s">
        <v>7023</v>
      </c>
      <c r="E1391" s="1">
        <v>2000.0</v>
      </c>
      <c r="F1391" s="1" t="s">
        <v>498</v>
      </c>
      <c r="G1391" s="1">
        <v>896791.0</v>
      </c>
      <c r="H1391" s="1" t="s">
        <v>2124</v>
      </c>
      <c r="I1391" s="1" t="s">
        <v>1112</v>
      </c>
      <c r="J1391" s="1"/>
      <c r="K1391" s="1" t="s">
        <v>23</v>
      </c>
      <c r="L1391" s="1" t="s">
        <v>7024</v>
      </c>
      <c r="M1391" s="1">
        <v>2.0</v>
      </c>
      <c r="N1391" s="1">
        <v>1.0</v>
      </c>
      <c r="O1391" s="1" t="s">
        <v>498</v>
      </c>
      <c r="P1391" s="1" t="s">
        <v>488</v>
      </c>
      <c r="Q1391" s="2" t="str">
        <f t="shared" si="1"/>
        <v>H030031</v>
      </c>
    </row>
    <row r="1392">
      <c r="A1392" s="1" t="s">
        <v>7025</v>
      </c>
      <c r="B1392" s="1" t="s">
        <v>7026</v>
      </c>
      <c r="C1392" s="1" t="s">
        <v>7027</v>
      </c>
      <c r="D1392" s="1" t="s">
        <v>7028</v>
      </c>
      <c r="E1392" s="1">
        <v>2763.0</v>
      </c>
      <c r="F1392" s="1" t="s">
        <v>398</v>
      </c>
      <c r="G1392" s="1" t="s">
        <v>232</v>
      </c>
      <c r="H1392" s="1" t="s">
        <v>233</v>
      </c>
      <c r="I1392" s="1" t="s">
        <v>1112</v>
      </c>
      <c r="J1392" s="1"/>
      <c r="K1392" s="1" t="s">
        <v>23</v>
      </c>
      <c r="L1392" s="1" t="s">
        <v>7029</v>
      </c>
      <c r="M1392" s="1">
        <v>1.0</v>
      </c>
      <c r="N1392" s="1">
        <v>1.0</v>
      </c>
      <c r="O1392" s="1" t="s">
        <v>398</v>
      </c>
      <c r="P1392" s="1" t="s">
        <v>488</v>
      </c>
      <c r="Q1392" s="2" t="str">
        <f t="shared" si="1"/>
        <v>H030310</v>
      </c>
    </row>
    <row r="1393">
      <c r="A1393" s="1" t="s">
        <v>7030</v>
      </c>
      <c r="B1393" s="1" t="s">
        <v>7031</v>
      </c>
      <c r="C1393" s="1" t="s">
        <v>7032</v>
      </c>
      <c r="D1393" s="1" t="s">
        <v>7033</v>
      </c>
      <c r="E1393" s="1">
        <v>4081.0</v>
      </c>
      <c r="F1393" s="1" t="s">
        <v>398</v>
      </c>
      <c r="G1393" s="1" t="s">
        <v>232</v>
      </c>
      <c r="H1393" s="1" t="s">
        <v>233</v>
      </c>
      <c r="I1393" s="1" t="s">
        <v>1112</v>
      </c>
      <c r="J1393" s="1"/>
      <c r="K1393" s="1" t="s">
        <v>23</v>
      </c>
      <c r="L1393" s="1" t="s">
        <v>7034</v>
      </c>
      <c r="M1393" s="1">
        <v>1.0</v>
      </c>
      <c r="N1393" s="1">
        <v>1.0</v>
      </c>
      <c r="O1393" s="1" t="s">
        <v>398</v>
      </c>
      <c r="P1393" s="1" t="s">
        <v>488</v>
      </c>
      <c r="Q1393" s="2" t="str">
        <f t="shared" si="1"/>
        <v>H030310</v>
      </c>
    </row>
    <row r="1394">
      <c r="A1394" s="1" t="s">
        <v>7035</v>
      </c>
      <c r="B1394" s="1" t="s">
        <v>7036</v>
      </c>
      <c r="C1394" s="1" t="s">
        <v>7037</v>
      </c>
      <c r="D1394" s="1" t="s">
        <v>7038</v>
      </c>
      <c r="E1394" s="1">
        <v>5644.0</v>
      </c>
      <c r="F1394" s="1" t="s">
        <v>398</v>
      </c>
      <c r="G1394" s="1" t="s">
        <v>232</v>
      </c>
      <c r="H1394" s="1" t="s">
        <v>233</v>
      </c>
      <c r="I1394" s="1" t="s">
        <v>1112</v>
      </c>
      <c r="J1394" s="1"/>
      <c r="K1394" s="1" t="s">
        <v>23</v>
      </c>
      <c r="L1394" s="1" t="s">
        <v>7039</v>
      </c>
      <c r="M1394" s="1">
        <v>1.0</v>
      </c>
      <c r="N1394" s="1">
        <v>1.0</v>
      </c>
      <c r="O1394" s="1" t="s">
        <v>398</v>
      </c>
      <c r="P1394" s="1" t="s">
        <v>488</v>
      </c>
      <c r="Q1394" s="2" t="str">
        <f t="shared" si="1"/>
        <v>H030310</v>
      </c>
    </row>
    <row r="1395">
      <c r="A1395" s="1" t="s">
        <v>7040</v>
      </c>
      <c r="B1395" s="1" t="s">
        <v>7041</v>
      </c>
      <c r="C1395" s="1" t="s">
        <v>7042</v>
      </c>
      <c r="D1395" s="1" t="s">
        <v>7043</v>
      </c>
      <c r="E1395" s="1">
        <v>2642.0</v>
      </c>
      <c r="F1395" s="1" t="s">
        <v>288</v>
      </c>
      <c r="G1395" s="1" t="s">
        <v>304</v>
      </c>
      <c r="H1395" s="1" t="s">
        <v>272</v>
      </c>
      <c r="I1395" s="1" t="s">
        <v>1051</v>
      </c>
      <c r="J1395" s="1"/>
      <c r="K1395" s="1" t="s">
        <v>23</v>
      </c>
      <c r="L1395" s="1" t="s">
        <v>7044</v>
      </c>
      <c r="M1395" s="1">
        <v>1.0</v>
      </c>
      <c r="N1395" s="1">
        <v>1.0</v>
      </c>
      <c r="O1395" s="1" t="s">
        <v>288</v>
      </c>
      <c r="P1395" s="1" t="s">
        <v>488</v>
      </c>
      <c r="Q1395" s="2" t="str">
        <f t="shared" si="1"/>
        <v>H019506</v>
      </c>
    </row>
    <row r="1396">
      <c r="A1396" s="1" t="s">
        <v>7045</v>
      </c>
      <c r="B1396" s="1" t="s">
        <v>7046</v>
      </c>
      <c r="C1396" s="1" t="s">
        <v>7047</v>
      </c>
      <c r="D1396" s="1" t="s">
        <v>7048</v>
      </c>
      <c r="E1396" s="1">
        <v>3865.0</v>
      </c>
      <c r="F1396" s="1" t="s">
        <v>351</v>
      </c>
      <c r="G1396" s="1" t="s">
        <v>260</v>
      </c>
      <c r="H1396" s="1" t="s">
        <v>261</v>
      </c>
      <c r="I1396" s="1" t="s">
        <v>486</v>
      </c>
      <c r="J1396" s="1"/>
      <c r="K1396" s="1" t="s">
        <v>23</v>
      </c>
      <c r="L1396" s="1" t="s">
        <v>7049</v>
      </c>
      <c r="M1396" s="1">
        <v>0.0</v>
      </c>
      <c r="N1396" s="1">
        <v>1.0</v>
      </c>
      <c r="O1396" s="1" t="s">
        <v>351</v>
      </c>
      <c r="P1396" s="1" t="s">
        <v>488</v>
      </c>
      <c r="Q1396" s="2" t="str">
        <f t="shared" si="1"/>
        <v>H006706</v>
      </c>
    </row>
    <row r="1397">
      <c r="A1397" s="1" t="s">
        <v>7050</v>
      </c>
      <c r="B1397" s="1" t="s">
        <v>7051</v>
      </c>
      <c r="C1397" s="1" t="s">
        <v>7052</v>
      </c>
      <c r="D1397" s="1" t="s">
        <v>7053</v>
      </c>
      <c r="E1397" s="1">
        <v>3717.0</v>
      </c>
      <c r="F1397" s="1" t="s">
        <v>351</v>
      </c>
      <c r="G1397" s="1" t="s">
        <v>260</v>
      </c>
      <c r="H1397" s="1" t="s">
        <v>261</v>
      </c>
      <c r="I1397" s="1" t="s">
        <v>486</v>
      </c>
      <c r="J1397" s="1"/>
      <c r="K1397" s="1" t="s">
        <v>23</v>
      </c>
      <c r="L1397" s="1" t="s">
        <v>7054</v>
      </c>
      <c r="M1397" s="1">
        <v>0.0</v>
      </c>
      <c r="N1397" s="1">
        <v>1.0</v>
      </c>
      <c r="O1397" s="1" t="s">
        <v>351</v>
      </c>
      <c r="P1397" s="1" t="s">
        <v>488</v>
      </c>
      <c r="Q1397" s="2" t="str">
        <f t="shared" si="1"/>
        <v>H006706</v>
      </c>
    </row>
    <row r="1398">
      <c r="A1398" s="1" t="s">
        <v>7055</v>
      </c>
      <c r="B1398" s="1" t="s">
        <v>7056</v>
      </c>
      <c r="C1398" s="1" t="s">
        <v>7057</v>
      </c>
      <c r="D1398" s="1" t="s">
        <v>7058</v>
      </c>
      <c r="E1398" s="1">
        <v>5497.0</v>
      </c>
      <c r="F1398" s="1" t="s">
        <v>382</v>
      </c>
      <c r="G1398" s="1" t="s">
        <v>119</v>
      </c>
      <c r="H1398" s="1" t="s">
        <v>120</v>
      </c>
      <c r="I1398" s="1" t="s">
        <v>486</v>
      </c>
      <c r="J1398" s="1"/>
      <c r="K1398" s="1" t="s">
        <v>23</v>
      </c>
      <c r="L1398" s="1" t="s">
        <v>7059</v>
      </c>
      <c r="M1398" s="1">
        <v>1.0</v>
      </c>
      <c r="N1398" s="1">
        <v>1.0</v>
      </c>
      <c r="O1398" s="1" t="s">
        <v>382</v>
      </c>
      <c r="P1398" s="1" t="s">
        <v>488</v>
      </c>
      <c r="Q1398" s="2" t="str">
        <f t="shared" si="1"/>
        <v>H006033</v>
      </c>
    </row>
    <row r="1399">
      <c r="A1399" s="1" t="s">
        <v>7060</v>
      </c>
      <c r="B1399" s="1" t="s">
        <v>7061</v>
      </c>
      <c r="C1399" s="1" t="s">
        <v>7062</v>
      </c>
      <c r="D1399" s="1" t="s">
        <v>7063</v>
      </c>
      <c r="E1399" s="1">
        <v>2213.0</v>
      </c>
      <c r="F1399" s="1" t="s">
        <v>288</v>
      </c>
      <c r="G1399" s="1" t="s">
        <v>304</v>
      </c>
      <c r="H1399" s="1" t="s">
        <v>272</v>
      </c>
      <c r="I1399" s="1" t="s">
        <v>1051</v>
      </c>
      <c r="J1399" s="1"/>
      <c r="K1399" s="1" t="s">
        <v>23</v>
      </c>
      <c r="L1399" s="1" t="s">
        <v>7064</v>
      </c>
      <c r="M1399" s="1">
        <v>1.0</v>
      </c>
      <c r="N1399" s="1">
        <v>1.0</v>
      </c>
      <c r="O1399" s="1" t="s">
        <v>288</v>
      </c>
      <c r="P1399" s="1" t="s">
        <v>488</v>
      </c>
      <c r="Q1399" s="2" t="str">
        <f t="shared" si="1"/>
        <v>H019506</v>
      </c>
    </row>
    <row r="1400">
      <c r="A1400" s="1" t="s">
        <v>7065</v>
      </c>
      <c r="B1400" s="1" t="s">
        <v>7066</v>
      </c>
      <c r="C1400" s="1" t="s">
        <v>7067</v>
      </c>
      <c r="D1400" s="1" t="s">
        <v>7068</v>
      </c>
      <c r="E1400" s="1">
        <v>5091.0</v>
      </c>
      <c r="F1400" s="1" t="s">
        <v>288</v>
      </c>
      <c r="G1400" s="1">
        <v>859767.0</v>
      </c>
      <c r="H1400" s="1" t="s">
        <v>2565</v>
      </c>
      <c r="I1400" s="1" t="s">
        <v>1051</v>
      </c>
      <c r="J1400" s="1"/>
      <c r="K1400" s="1" t="s">
        <v>23</v>
      </c>
      <c r="L1400" s="1" t="s">
        <v>7069</v>
      </c>
      <c r="M1400" s="1">
        <v>1.0</v>
      </c>
      <c r="N1400" s="1">
        <v>1.0</v>
      </c>
      <c r="O1400" s="1" t="s">
        <v>288</v>
      </c>
      <c r="P1400" s="1" t="s">
        <v>488</v>
      </c>
      <c r="Q1400" s="2" t="str">
        <f t="shared" si="1"/>
        <v>H019506</v>
      </c>
    </row>
    <row r="1401">
      <c r="A1401" s="1" t="s">
        <v>7070</v>
      </c>
      <c r="B1401" s="1" t="s">
        <v>7071</v>
      </c>
      <c r="C1401" s="1" t="s">
        <v>7072</v>
      </c>
      <c r="D1401" s="1" t="s">
        <v>7073</v>
      </c>
      <c r="E1401" s="1">
        <v>3864.0</v>
      </c>
      <c r="F1401" s="1" t="s">
        <v>288</v>
      </c>
      <c r="G1401" s="1">
        <v>859767.0</v>
      </c>
      <c r="H1401" s="1" t="s">
        <v>2565</v>
      </c>
      <c r="I1401" s="1" t="s">
        <v>1051</v>
      </c>
      <c r="J1401" s="1"/>
      <c r="K1401" s="1" t="s">
        <v>23</v>
      </c>
      <c r="L1401" s="1" t="s">
        <v>7074</v>
      </c>
      <c r="M1401" s="1">
        <v>0.0</v>
      </c>
      <c r="N1401" s="1">
        <v>1.0</v>
      </c>
      <c r="O1401" s="1" t="s">
        <v>288</v>
      </c>
      <c r="P1401" s="1" t="s">
        <v>488</v>
      </c>
      <c r="Q1401" s="2" t="str">
        <f t="shared" si="1"/>
        <v>H004596</v>
      </c>
    </row>
    <row r="1402">
      <c r="A1402" s="1" t="s">
        <v>7075</v>
      </c>
      <c r="B1402" s="1" t="s">
        <v>7076</v>
      </c>
      <c r="C1402" s="1" t="s">
        <v>7077</v>
      </c>
      <c r="D1402" s="1" t="s">
        <v>7078</v>
      </c>
      <c r="E1402" s="1">
        <v>4391.0</v>
      </c>
      <c r="F1402" s="1" t="s">
        <v>288</v>
      </c>
      <c r="G1402" s="1">
        <v>859767.0</v>
      </c>
      <c r="H1402" s="1" t="s">
        <v>2565</v>
      </c>
      <c r="I1402" s="1" t="s">
        <v>1051</v>
      </c>
      <c r="J1402" s="1"/>
      <c r="K1402" s="1" t="s">
        <v>23</v>
      </c>
      <c r="L1402" s="1" t="s">
        <v>7079</v>
      </c>
      <c r="M1402" s="1">
        <v>0.0</v>
      </c>
      <c r="N1402" s="1">
        <v>1.0</v>
      </c>
      <c r="O1402" s="1" t="s">
        <v>288</v>
      </c>
      <c r="P1402" s="1" t="s">
        <v>488</v>
      </c>
      <c r="Q1402" s="2" t="str">
        <f t="shared" si="1"/>
        <v>H004596</v>
      </c>
    </row>
    <row r="1403">
      <c r="A1403" s="1" t="s">
        <v>7080</v>
      </c>
      <c r="B1403" s="1" t="s">
        <v>7081</v>
      </c>
      <c r="C1403" s="1" t="s">
        <v>7082</v>
      </c>
      <c r="D1403" s="1" t="s">
        <v>7083</v>
      </c>
      <c r="E1403" s="1">
        <v>2973.0</v>
      </c>
      <c r="F1403" s="1" t="s">
        <v>315</v>
      </c>
      <c r="G1403" s="1">
        <v>841329.0</v>
      </c>
      <c r="H1403" s="1" t="s">
        <v>1848</v>
      </c>
      <c r="I1403" s="1" t="s">
        <v>1051</v>
      </c>
      <c r="J1403" s="1"/>
      <c r="K1403" s="1" t="s">
        <v>23</v>
      </c>
      <c r="L1403" s="1" t="s">
        <v>7084</v>
      </c>
      <c r="M1403" s="1">
        <v>2.0</v>
      </c>
      <c r="N1403" s="1">
        <v>1.0</v>
      </c>
      <c r="O1403" s="1" t="s">
        <v>315</v>
      </c>
      <c r="P1403" s="1" t="s">
        <v>488</v>
      </c>
      <c r="Q1403" s="2" t="str">
        <f t="shared" si="1"/>
        <v>H004787</v>
      </c>
    </row>
    <row r="1404">
      <c r="A1404" s="1" t="s">
        <v>7085</v>
      </c>
      <c r="B1404" s="1" t="s">
        <v>7086</v>
      </c>
      <c r="C1404" s="1" t="s">
        <v>7087</v>
      </c>
      <c r="D1404" s="1" t="s">
        <v>7088</v>
      </c>
      <c r="E1404" s="1">
        <v>3273.0</v>
      </c>
      <c r="F1404" s="1" t="s">
        <v>315</v>
      </c>
      <c r="G1404" s="1">
        <v>841329.0</v>
      </c>
      <c r="H1404" s="1" t="s">
        <v>1848</v>
      </c>
      <c r="I1404" s="1" t="s">
        <v>1051</v>
      </c>
      <c r="J1404" s="1"/>
      <c r="K1404" s="1" t="s">
        <v>23</v>
      </c>
      <c r="L1404" s="1" t="s">
        <v>7089</v>
      </c>
      <c r="M1404" s="1">
        <v>2.0</v>
      </c>
      <c r="N1404" s="1">
        <v>1.0</v>
      </c>
      <c r="O1404" s="1" t="s">
        <v>315</v>
      </c>
      <c r="P1404" s="1" t="s">
        <v>488</v>
      </c>
      <c r="Q1404" s="2" t="str">
        <f t="shared" si="1"/>
        <v>H004787</v>
      </c>
    </row>
    <row r="1405">
      <c r="A1405" s="1" t="s">
        <v>7090</v>
      </c>
      <c r="B1405" s="1" t="s">
        <v>7091</v>
      </c>
      <c r="C1405" s="1" t="s">
        <v>7092</v>
      </c>
      <c r="D1405" s="1" t="s">
        <v>7093</v>
      </c>
      <c r="E1405" s="1">
        <v>4344.0</v>
      </c>
      <c r="F1405" s="1" t="s">
        <v>315</v>
      </c>
      <c r="G1405" s="1">
        <v>841329.0</v>
      </c>
      <c r="H1405" s="1" t="s">
        <v>1848</v>
      </c>
      <c r="I1405" s="1" t="s">
        <v>1051</v>
      </c>
      <c r="J1405" s="1"/>
      <c r="K1405" s="1" t="s">
        <v>23</v>
      </c>
      <c r="L1405" s="1" t="s">
        <v>7094</v>
      </c>
      <c r="M1405" s="1">
        <v>2.0</v>
      </c>
      <c r="N1405" s="1">
        <v>1.0</v>
      </c>
      <c r="O1405" s="1" t="s">
        <v>315</v>
      </c>
      <c r="P1405" s="1" t="s">
        <v>488</v>
      </c>
      <c r="Q1405" s="2" t="str">
        <f t="shared" si="1"/>
        <v>H004787</v>
      </c>
    </row>
    <row r="1406">
      <c r="A1406" s="1" t="s">
        <v>7095</v>
      </c>
      <c r="B1406" s="1" t="s">
        <v>7096</v>
      </c>
      <c r="C1406" s="1" t="s">
        <v>7097</v>
      </c>
      <c r="D1406" s="1" t="s">
        <v>7098</v>
      </c>
      <c r="E1406" s="1">
        <v>3703.0</v>
      </c>
      <c r="F1406" s="1" t="s">
        <v>315</v>
      </c>
      <c r="G1406" s="1">
        <v>841329.0</v>
      </c>
      <c r="H1406" s="1" t="s">
        <v>1848</v>
      </c>
      <c r="I1406" s="1" t="s">
        <v>1051</v>
      </c>
      <c r="J1406" s="1"/>
      <c r="K1406" s="1" t="s">
        <v>23</v>
      </c>
      <c r="L1406" s="1" t="s">
        <v>7099</v>
      </c>
      <c r="M1406" s="1">
        <v>2.0</v>
      </c>
      <c r="N1406" s="1">
        <v>1.0</v>
      </c>
      <c r="O1406" s="1" t="s">
        <v>315</v>
      </c>
      <c r="P1406" s="1" t="s">
        <v>488</v>
      </c>
      <c r="Q1406" s="2" t="str">
        <f t="shared" si="1"/>
        <v>H004787</v>
      </c>
    </row>
    <row r="1407">
      <c r="A1407" s="1" t="s">
        <v>7100</v>
      </c>
      <c r="B1407" s="1" t="s">
        <v>7101</v>
      </c>
      <c r="C1407" s="1" t="s">
        <v>7102</v>
      </c>
      <c r="D1407" s="1" t="s">
        <v>7103</v>
      </c>
      <c r="E1407" s="1">
        <v>3109.0</v>
      </c>
      <c r="F1407" s="1" t="s">
        <v>351</v>
      </c>
      <c r="G1407" s="1" t="s">
        <v>208</v>
      </c>
      <c r="H1407" s="1" t="s">
        <v>209</v>
      </c>
      <c r="I1407" s="1" t="s">
        <v>486</v>
      </c>
      <c r="J1407" s="1"/>
      <c r="K1407" s="1" t="s">
        <v>23</v>
      </c>
      <c r="L1407" s="1" t="s">
        <v>7104</v>
      </c>
      <c r="M1407" s="1">
        <v>2.0</v>
      </c>
      <c r="N1407" s="1">
        <v>1.0</v>
      </c>
      <c r="O1407" s="1" t="s">
        <v>351</v>
      </c>
      <c r="P1407" s="1" t="s">
        <v>488</v>
      </c>
      <c r="Q1407" s="2" t="str">
        <f t="shared" si="1"/>
        <v>H006029</v>
      </c>
    </row>
    <row r="1408">
      <c r="A1408" s="1" t="s">
        <v>7105</v>
      </c>
      <c r="B1408" s="1" t="s">
        <v>7106</v>
      </c>
      <c r="C1408" s="1" t="s">
        <v>7107</v>
      </c>
      <c r="D1408" s="1" t="s">
        <v>7108</v>
      </c>
      <c r="E1408" s="1">
        <v>5285.0</v>
      </c>
      <c r="F1408" s="1" t="s">
        <v>351</v>
      </c>
      <c r="G1408" s="1" t="s">
        <v>208</v>
      </c>
      <c r="H1408" s="1" t="s">
        <v>209</v>
      </c>
      <c r="I1408" s="1" t="s">
        <v>486</v>
      </c>
      <c r="J1408" s="1"/>
      <c r="K1408" s="1" t="s">
        <v>23</v>
      </c>
      <c r="L1408" s="1" t="s">
        <v>7109</v>
      </c>
      <c r="M1408" s="1">
        <v>2.0</v>
      </c>
      <c r="N1408" s="1">
        <v>1.0</v>
      </c>
      <c r="O1408" s="1" t="s">
        <v>351</v>
      </c>
      <c r="P1408" s="1" t="s">
        <v>488</v>
      </c>
      <c r="Q1408" s="2" t="str">
        <f t="shared" si="1"/>
        <v>H006029</v>
      </c>
    </row>
    <row r="1409">
      <c r="A1409" s="1" t="s">
        <v>7110</v>
      </c>
      <c r="B1409" s="1" t="s">
        <v>7111</v>
      </c>
      <c r="C1409" s="1" t="s">
        <v>7112</v>
      </c>
      <c r="D1409" s="1" t="s">
        <v>7113</v>
      </c>
      <c r="E1409" s="1">
        <v>4232.0</v>
      </c>
      <c r="F1409" s="1" t="s">
        <v>351</v>
      </c>
      <c r="G1409" s="1" t="s">
        <v>208</v>
      </c>
      <c r="H1409" s="1" t="s">
        <v>209</v>
      </c>
      <c r="I1409" s="1" t="s">
        <v>486</v>
      </c>
      <c r="J1409" s="1"/>
      <c r="K1409" s="1" t="s">
        <v>23</v>
      </c>
      <c r="L1409" s="1" t="s">
        <v>7114</v>
      </c>
      <c r="M1409" s="1">
        <v>2.0</v>
      </c>
      <c r="N1409" s="1">
        <v>1.0</v>
      </c>
      <c r="O1409" s="1" t="s">
        <v>351</v>
      </c>
      <c r="P1409" s="1" t="s">
        <v>488</v>
      </c>
      <c r="Q1409" s="2" t="str">
        <f t="shared" si="1"/>
        <v>H006029</v>
      </c>
    </row>
    <row r="1410">
      <c r="A1410" s="1" t="s">
        <v>7115</v>
      </c>
      <c r="B1410" s="1" t="s">
        <v>7116</v>
      </c>
      <c r="C1410" s="1" t="s">
        <v>7117</v>
      </c>
      <c r="D1410" s="1" t="s">
        <v>7118</v>
      </c>
      <c r="E1410" s="1">
        <v>3275.0</v>
      </c>
      <c r="F1410" s="1" t="s">
        <v>351</v>
      </c>
      <c r="G1410" s="1" t="s">
        <v>208</v>
      </c>
      <c r="H1410" s="1" t="s">
        <v>209</v>
      </c>
      <c r="I1410" s="1" t="s">
        <v>486</v>
      </c>
      <c r="J1410" s="1"/>
      <c r="K1410" s="1" t="s">
        <v>23</v>
      </c>
      <c r="L1410" s="1" t="s">
        <v>7119</v>
      </c>
      <c r="M1410" s="1">
        <v>2.0</v>
      </c>
      <c r="N1410" s="1">
        <v>1.0</v>
      </c>
      <c r="O1410" s="1" t="s">
        <v>351</v>
      </c>
      <c r="P1410" s="1" t="s">
        <v>488</v>
      </c>
      <c r="Q1410" s="2" t="str">
        <f t="shared" si="1"/>
        <v>H006029</v>
      </c>
    </row>
    <row r="1411">
      <c r="A1411" s="1" t="s">
        <v>7120</v>
      </c>
      <c r="B1411" s="1" t="s">
        <v>7121</v>
      </c>
      <c r="C1411" s="1" t="s">
        <v>7122</v>
      </c>
      <c r="D1411" s="1" t="s">
        <v>7123</v>
      </c>
      <c r="E1411" s="1">
        <v>3703.0</v>
      </c>
      <c r="F1411" s="1" t="s">
        <v>382</v>
      </c>
      <c r="G1411" s="1" t="s">
        <v>107</v>
      </c>
      <c r="H1411" s="1" t="s">
        <v>108</v>
      </c>
      <c r="I1411" s="1" t="s">
        <v>486</v>
      </c>
      <c r="J1411" s="1"/>
      <c r="K1411" s="1" t="s">
        <v>23</v>
      </c>
      <c r="L1411" s="1" t="s">
        <v>7124</v>
      </c>
      <c r="M1411" s="1">
        <v>1.0</v>
      </c>
      <c r="N1411" s="1">
        <v>1.0</v>
      </c>
      <c r="O1411" s="1" t="s">
        <v>382</v>
      </c>
      <c r="P1411" s="1" t="s">
        <v>488</v>
      </c>
      <c r="Q1411" s="2" t="str">
        <f t="shared" si="1"/>
        <v>H006417</v>
      </c>
    </row>
    <row r="1412">
      <c r="A1412" s="1" t="s">
        <v>7125</v>
      </c>
      <c r="B1412" s="1" t="s">
        <v>7126</v>
      </c>
      <c r="C1412" s="1" t="s">
        <v>7127</v>
      </c>
      <c r="D1412" s="1" t="s">
        <v>7128</v>
      </c>
      <c r="E1412" s="1">
        <v>203.0</v>
      </c>
      <c r="F1412" s="1" t="s">
        <v>382</v>
      </c>
      <c r="G1412" s="1" t="s">
        <v>107</v>
      </c>
      <c r="H1412" s="1" t="s">
        <v>108</v>
      </c>
      <c r="I1412" s="1" t="s">
        <v>486</v>
      </c>
      <c r="J1412" s="1"/>
      <c r="K1412" s="1" t="s">
        <v>23</v>
      </c>
      <c r="L1412" s="1" t="s">
        <v>7129</v>
      </c>
      <c r="M1412" s="1">
        <v>1.0</v>
      </c>
      <c r="N1412" s="1">
        <v>0.0</v>
      </c>
      <c r="O1412" s="1" t="s">
        <v>382</v>
      </c>
      <c r="P1412" s="1" t="s">
        <v>25</v>
      </c>
      <c r="Q1412" s="2" t="str">
        <f t="shared" si="1"/>
        <v>H006417</v>
      </c>
    </row>
    <row r="1413">
      <c r="A1413" s="1" t="s">
        <v>7130</v>
      </c>
      <c r="B1413" s="1" t="s">
        <v>7131</v>
      </c>
      <c r="C1413" s="1" t="s">
        <v>7132</v>
      </c>
      <c r="D1413" s="1" t="s">
        <v>7133</v>
      </c>
      <c r="E1413" s="1">
        <v>3595.0</v>
      </c>
      <c r="F1413" s="1" t="s">
        <v>382</v>
      </c>
      <c r="G1413" s="1" t="s">
        <v>107</v>
      </c>
      <c r="H1413" s="1" t="s">
        <v>108</v>
      </c>
      <c r="I1413" s="1" t="s">
        <v>486</v>
      </c>
      <c r="J1413" s="1"/>
      <c r="K1413" s="1" t="s">
        <v>23</v>
      </c>
      <c r="L1413" s="1" t="s">
        <v>7134</v>
      </c>
      <c r="M1413" s="1">
        <v>1.0</v>
      </c>
      <c r="N1413" s="1">
        <v>1.0</v>
      </c>
      <c r="O1413" s="1" t="s">
        <v>382</v>
      </c>
      <c r="P1413" s="1" t="s">
        <v>488</v>
      </c>
      <c r="Q1413" s="2" t="str">
        <f t="shared" si="1"/>
        <v>H006417</v>
      </c>
    </row>
    <row r="1414">
      <c r="A1414" s="1" t="s">
        <v>7135</v>
      </c>
      <c r="B1414" s="1" t="s">
        <v>7136</v>
      </c>
      <c r="C1414" s="1" t="s">
        <v>7137</v>
      </c>
      <c r="D1414" s="1" t="s">
        <v>7138</v>
      </c>
      <c r="E1414" s="1">
        <v>3625.0</v>
      </c>
      <c r="F1414" s="1" t="s">
        <v>351</v>
      </c>
      <c r="G1414" s="1" t="s">
        <v>208</v>
      </c>
      <c r="H1414" s="1" t="s">
        <v>209</v>
      </c>
      <c r="I1414" s="1" t="s">
        <v>486</v>
      </c>
      <c r="J1414" s="1"/>
      <c r="K1414" s="1" t="s">
        <v>23</v>
      </c>
      <c r="L1414" s="1" t="s">
        <v>7139</v>
      </c>
      <c r="M1414" s="1">
        <v>2.0</v>
      </c>
      <c r="N1414" s="1">
        <v>1.0</v>
      </c>
      <c r="O1414" s="1" t="s">
        <v>351</v>
      </c>
      <c r="P1414" s="1" t="s">
        <v>488</v>
      </c>
      <c r="Q1414" s="2" t="str">
        <f t="shared" si="1"/>
        <v>H006029</v>
      </c>
    </row>
    <row r="1415">
      <c r="A1415" s="1" t="s">
        <v>7140</v>
      </c>
      <c r="B1415" s="1" t="s">
        <v>7141</v>
      </c>
      <c r="C1415" s="1" t="s">
        <v>7142</v>
      </c>
      <c r="D1415" s="1" t="s">
        <v>7143</v>
      </c>
      <c r="E1415" s="1">
        <v>3127.0</v>
      </c>
      <c r="F1415" s="1" t="s">
        <v>351</v>
      </c>
      <c r="G1415" s="1" t="s">
        <v>57</v>
      </c>
      <c r="H1415" s="1" t="s">
        <v>58</v>
      </c>
      <c r="I1415" s="1" t="s">
        <v>486</v>
      </c>
      <c r="J1415" s="1"/>
      <c r="K1415" s="1" t="s">
        <v>23</v>
      </c>
      <c r="L1415" s="1" t="s">
        <v>7144</v>
      </c>
      <c r="M1415" s="1">
        <v>2.0</v>
      </c>
      <c r="N1415" s="1">
        <v>1.0</v>
      </c>
      <c r="O1415" s="1" t="s">
        <v>351</v>
      </c>
      <c r="P1415" s="1" t="s">
        <v>488</v>
      </c>
      <c r="Q1415" s="2" t="str">
        <f t="shared" si="1"/>
        <v>H006029</v>
      </c>
    </row>
    <row r="1416">
      <c r="A1416" s="1" t="s">
        <v>7145</v>
      </c>
      <c r="B1416" s="1" t="s">
        <v>7146</v>
      </c>
      <c r="C1416" s="1" t="s">
        <v>7147</v>
      </c>
      <c r="D1416" s="1" t="s">
        <v>7148</v>
      </c>
      <c r="E1416" s="1">
        <v>3167.0</v>
      </c>
      <c r="F1416" s="1" t="s">
        <v>351</v>
      </c>
      <c r="G1416" s="1" t="s">
        <v>57</v>
      </c>
      <c r="H1416" s="1" t="s">
        <v>58</v>
      </c>
      <c r="I1416" s="1" t="s">
        <v>486</v>
      </c>
      <c r="J1416" s="1"/>
      <c r="K1416" s="1" t="s">
        <v>23</v>
      </c>
      <c r="L1416" s="1" t="s">
        <v>7149</v>
      </c>
      <c r="M1416" s="1">
        <v>2.0</v>
      </c>
      <c r="N1416" s="1">
        <v>1.0</v>
      </c>
      <c r="O1416" s="1" t="s">
        <v>351</v>
      </c>
      <c r="P1416" s="1" t="s">
        <v>488</v>
      </c>
      <c r="Q1416" s="2" t="str">
        <f t="shared" si="1"/>
        <v>H006029</v>
      </c>
    </row>
    <row r="1417">
      <c r="A1417" s="1" t="s">
        <v>7150</v>
      </c>
      <c r="B1417" s="1" t="s">
        <v>7151</v>
      </c>
      <c r="C1417" s="1" t="s">
        <v>7152</v>
      </c>
      <c r="D1417" s="1" t="s">
        <v>7153</v>
      </c>
      <c r="E1417" s="1">
        <v>3124.0</v>
      </c>
      <c r="F1417" s="1" t="s">
        <v>351</v>
      </c>
      <c r="G1417" s="1" t="s">
        <v>57</v>
      </c>
      <c r="H1417" s="1" t="s">
        <v>58</v>
      </c>
      <c r="I1417" s="1" t="s">
        <v>486</v>
      </c>
      <c r="J1417" s="1"/>
      <c r="K1417" s="1" t="s">
        <v>23</v>
      </c>
      <c r="L1417" s="1" t="s">
        <v>7154</v>
      </c>
      <c r="M1417" s="1">
        <v>2.0</v>
      </c>
      <c r="N1417" s="1">
        <v>1.0</v>
      </c>
      <c r="O1417" s="1" t="s">
        <v>351</v>
      </c>
      <c r="P1417" s="1" t="s">
        <v>488</v>
      </c>
      <c r="Q1417" s="2" t="str">
        <f t="shared" si="1"/>
        <v>H006029</v>
      </c>
    </row>
    <row r="1418">
      <c r="A1418" s="1" t="s">
        <v>7155</v>
      </c>
      <c r="B1418" s="1" t="s">
        <v>7156</v>
      </c>
      <c r="C1418" s="1" t="s">
        <v>7157</v>
      </c>
      <c r="D1418" s="1" t="s">
        <v>7158</v>
      </c>
      <c r="E1418" s="1">
        <v>3291.0</v>
      </c>
      <c r="F1418" s="1" t="s">
        <v>398</v>
      </c>
      <c r="G1418" s="1" t="s">
        <v>232</v>
      </c>
      <c r="H1418" s="1" t="s">
        <v>233</v>
      </c>
      <c r="I1418" s="1" t="s">
        <v>1112</v>
      </c>
      <c r="J1418" s="1"/>
      <c r="K1418" s="1" t="s">
        <v>23</v>
      </c>
      <c r="L1418" s="1" t="s">
        <v>7159</v>
      </c>
      <c r="M1418" s="1">
        <v>0.0</v>
      </c>
      <c r="N1418" s="1">
        <v>1.0</v>
      </c>
      <c r="O1418" s="1" t="s">
        <v>398</v>
      </c>
      <c r="P1418" s="1" t="s">
        <v>488</v>
      </c>
      <c r="Q1418" s="2" t="str">
        <f t="shared" si="1"/>
        <v>H030351</v>
      </c>
    </row>
    <row r="1419">
      <c r="A1419" s="1" t="s">
        <v>7160</v>
      </c>
      <c r="B1419" s="1" t="s">
        <v>7161</v>
      </c>
      <c r="C1419" s="1" t="s">
        <v>7162</v>
      </c>
      <c r="D1419" s="1" t="s">
        <v>7163</v>
      </c>
      <c r="E1419" s="1">
        <v>4339.0</v>
      </c>
      <c r="F1419" s="1" t="s">
        <v>398</v>
      </c>
      <c r="G1419" s="1" t="s">
        <v>232</v>
      </c>
      <c r="H1419" s="1" t="s">
        <v>233</v>
      </c>
      <c r="I1419" s="1" t="s">
        <v>1112</v>
      </c>
      <c r="J1419" s="1"/>
      <c r="K1419" s="1" t="s">
        <v>23</v>
      </c>
      <c r="L1419" s="1" t="s">
        <v>7164</v>
      </c>
      <c r="M1419" s="1">
        <v>0.0</v>
      </c>
      <c r="N1419" s="1">
        <v>1.0</v>
      </c>
      <c r="O1419" s="1" t="s">
        <v>398</v>
      </c>
      <c r="P1419" s="1" t="s">
        <v>488</v>
      </c>
      <c r="Q1419" s="2" t="str">
        <f t="shared" si="1"/>
        <v>H030351</v>
      </c>
    </row>
    <row r="1420">
      <c r="A1420" s="1" t="s">
        <v>7165</v>
      </c>
      <c r="B1420" s="1" t="s">
        <v>7166</v>
      </c>
      <c r="C1420" s="1" t="s">
        <v>7167</v>
      </c>
      <c r="D1420" s="1" t="s">
        <v>7168</v>
      </c>
      <c r="E1420" s="1">
        <v>3237.0</v>
      </c>
      <c r="F1420" s="1" t="s">
        <v>398</v>
      </c>
      <c r="G1420" s="1" t="s">
        <v>232</v>
      </c>
      <c r="H1420" s="1" t="s">
        <v>233</v>
      </c>
      <c r="I1420" s="1" t="s">
        <v>1112</v>
      </c>
      <c r="J1420" s="1"/>
      <c r="K1420" s="1" t="s">
        <v>23</v>
      </c>
      <c r="L1420" s="1" t="s">
        <v>7169</v>
      </c>
      <c r="M1420" s="1">
        <v>0.0</v>
      </c>
      <c r="N1420" s="1">
        <v>1.0</v>
      </c>
      <c r="O1420" s="1" t="s">
        <v>398</v>
      </c>
      <c r="P1420" s="1" t="s">
        <v>488</v>
      </c>
      <c r="Q1420" s="2" t="str">
        <f t="shared" si="1"/>
        <v>H030351</v>
      </c>
    </row>
    <row r="1421">
      <c r="A1421" s="1" t="s">
        <v>7170</v>
      </c>
      <c r="B1421" s="1" t="s">
        <v>7171</v>
      </c>
      <c r="C1421" s="1" t="s">
        <v>7172</v>
      </c>
      <c r="D1421" s="1" t="s">
        <v>7173</v>
      </c>
      <c r="E1421" s="1">
        <v>3451.0</v>
      </c>
      <c r="F1421" s="1" t="s">
        <v>398</v>
      </c>
      <c r="G1421" s="1" t="s">
        <v>232</v>
      </c>
      <c r="H1421" s="1" t="s">
        <v>233</v>
      </c>
      <c r="I1421" s="1" t="s">
        <v>1112</v>
      </c>
      <c r="J1421" s="1"/>
      <c r="K1421" s="1" t="s">
        <v>23</v>
      </c>
      <c r="L1421" s="1" t="s">
        <v>7174</v>
      </c>
      <c r="M1421" s="1">
        <v>0.0</v>
      </c>
      <c r="N1421" s="1">
        <v>1.0</v>
      </c>
      <c r="O1421" s="1" t="s">
        <v>398</v>
      </c>
      <c r="P1421" s="1" t="s">
        <v>488</v>
      </c>
      <c r="Q1421" s="2" t="str">
        <f t="shared" si="1"/>
        <v>H030351</v>
      </c>
    </row>
    <row r="1422">
      <c r="A1422" s="1" t="s">
        <v>7175</v>
      </c>
      <c r="B1422" s="1" t="s">
        <v>7176</v>
      </c>
      <c r="C1422" s="1" t="s">
        <v>7177</v>
      </c>
      <c r="D1422" s="1" t="s">
        <v>7178</v>
      </c>
      <c r="E1422" s="1">
        <v>4998.0</v>
      </c>
      <c r="F1422" s="1" t="s">
        <v>398</v>
      </c>
      <c r="G1422" s="1" t="s">
        <v>179</v>
      </c>
      <c r="H1422" s="1" t="s">
        <v>180</v>
      </c>
      <c r="I1422" s="1" t="s">
        <v>1112</v>
      </c>
      <c r="J1422" s="1"/>
      <c r="K1422" s="1" t="s">
        <v>23</v>
      </c>
      <c r="L1422" s="1" t="s">
        <v>7179</v>
      </c>
      <c r="M1422" s="1">
        <v>0.0</v>
      </c>
      <c r="N1422" s="1">
        <v>1.0</v>
      </c>
      <c r="O1422" s="1" t="s">
        <v>398</v>
      </c>
      <c r="P1422" s="1" t="s">
        <v>488</v>
      </c>
      <c r="Q1422" s="2" t="str">
        <f t="shared" si="1"/>
        <v>H030351</v>
      </c>
    </row>
    <row r="1423">
      <c r="A1423" s="1" t="s">
        <v>7180</v>
      </c>
      <c r="B1423" s="1" t="s">
        <v>7181</v>
      </c>
      <c r="C1423" s="1" t="s">
        <v>7182</v>
      </c>
      <c r="D1423" s="1" t="s">
        <v>7183</v>
      </c>
      <c r="E1423" s="1">
        <v>5736.0</v>
      </c>
      <c r="F1423" s="1" t="s">
        <v>398</v>
      </c>
      <c r="G1423" s="1" t="s">
        <v>179</v>
      </c>
      <c r="H1423" s="1" t="s">
        <v>180</v>
      </c>
      <c r="I1423" s="1" t="s">
        <v>1112</v>
      </c>
      <c r="J1423" s="1"/>
      <c r="K1423" s="1" t="s">
        <v>23</v>
      </c>
      <c r="L1423" s="1" t="s">
        <v>7184</v>
      </c>
      <c r="M1423" s="1">
        <v>0.0</v>
      </c>
      <c r="N1423" s="1">
        <v>1.0</v>
      </c>
      <c r="O1423" s="1" t="s">
        <v>398</v>
      </c>
      <c r="P1423" s="1" t="s">
        <v>488</v>
      </c>
      <c r="Q1423" s="2" t="str">
        <f t="shared" si="1"/>
        <v>H030351</v>
      </c>
    </row>
    <row r="1424">
      <c r="A1424" s="1" t="s">
        <v>7185</v>
      </c>
      <c r="B1424" s="1" t="s">
        <v>7186</v>
      </c>
      <c r="C1424" s="1" t="s">
        <v>7187</v>
      </c>
      <c r="D1424" s="1" t="s">
        <v>7188</v>
      </c>
      <c r="E1424" s="1">
        <v>4278.0</v>
      </c>
      <c r="F1424" s="1" t="s">
        <v>398</v>
      </c>
      <c r="G1424" s="1" t="s">
        <v>179</v>
      </c>
      <c r="H1424" s="1" t="s">
        <v>180</v>
      </c>
      <c r="I1424" s="1" t="s">
        <v>1112</v>
      </c>
      <c r="J1424" s="1"/>
      <c r="K1424" s="1" t="s">
        <v>23</v>
      </c>
      <c r="L1424" s="1" t="s">
        <v>7189</v>
      </c>
      <c r="M1424" s="1">
        <v>0.0</v>
      </c>
      <c r="N1424" s="1">
        <v>1.0</v>
      </c>
      <c r="O1424" s="1" t="s">
        <v>398</v>
      </c>
      <c r="P1424" s="1" t="s">
        <v>488</v>
      </c>
      <c r="Q1424" s="2" t="str">
        <f t="shared" si="1"/>
        <v>H030351</v>
      </c>
    </row>
    <row r="1425">
      <c r="A1425" s="1" t="s">
        <v>7190</v>
      </c>
      <c r="B1425" s="1" t="s">
        <v>7191</v>
      </c>
      <c r="C1425" s="1" t="s">
        <v>7192</v>
      </c>
      <c r="D1425" s="1" t="s">
        <v>7193</v>
      </c>
      <c r="E1425" s="1">
        <v>5147.0</v>
      </c>
      <c r="F1425" s="1" t="s">
        <v>398</v>
      </c>
      <c r="G1425" s="1" t="s">
        <v>179</v>
      </c>
      <c r="H1425" s="1" t="s">
        <v>180</v>
      </c>
      <c r="I1425" s="1" t="s">
        <v>1112</v>
      </c>
      <c r="J1425" s="1"/>
      <c r="K1425" s="1" t="s">
        <v>23</v>
      </c>
      <c r="L1425" s="1" t="s">
        <v>7194</v>
      </c>
      <c r="M1425" s="1">
        <v>0.0</v>
      </c>
      <c r="N1425" s="1">
        <v>1.0</v>
      </c>
      <c r="O1425" s="1" t="s">
        <v>398</v>
      </c>
      <c r="P1425" s="1" t="s">
        <v>488</v>
      </c>
      <c r="Q1425" s="2" t="str">
        <f t="shared" si="1"/>
        <v>H030351</v>
      </c>
    </row>
    <row r="1426">
      <c r="A1426" s="1" t="s">
        <v>7195</v>
      </c>
      <c r="B1426" s="1" t="s">
        <v>7196</v>
      </c>
      <c r="C1426" s="1" t="s">
        <v>7197</v>
      </c>
      <c r="D1426" s="1" t="s">
        <v>7198</v>
      </c>
      <c r="E1426" s="1">
        <v>2654.0</v>
      </c>
      <c r="F1426" s="1" t="s">
        <v>382</v>
      </c>
      <c r="G1426" s="1" t="s">
        <v>191</v>
      </c>
      <c r="H1426" s="1" t="s">
        <v>192</v>
      </c>
      <c r="I1426" s="1" t="s">
        <v>486</v>
      </c>
      <c r="J1426" s="1"/>
      <c r="K1426" s="1" t="s">
        <v>23</v>
      </c>
      <c r="L1426" s="1" t="s">
        <v>7199</v>
      </c>
      <c r="M1426" s="1">
        <v>1.0</v>
      </c>
      <c r="N1426" s="1">
        <v>1.0</v>
      </c>
      <c r="O1426" s="1" t="s">
        <v>382</v>
      </c>
      <c r="P1426" s="1" t="s">
        <v>488</v>
      </c>
      <c r="Q1426" s="2" t="str">
        <f t="shared" si="1"/>
        <v>H006417</v>
      </c>
    </row>
    <row r="1427">
      <c r="A1427" s="1" t="s">
        <v>7200</v>
      </c>
      <c r="B1427" s="1" t="s">
        <v>7201</v>
      </c>
      <c r="C1427" s="1" t="s">
        <v>7202</v>
      </c>
      <c r="D1427" s="1" t="s">
        <v>7203</v>
      </c>
      <c r="E1427" s="1">
        <v>2407.0</v>
      </c>
      <c r="F1427" s="1" t="s">
        <v>382</v>
      </c>
      <c r="G1427" s="1" t="s">
        <v>191</v>
      </c>
      <c r="H1427" s="1" t="s">
        <v>192</v>
      </c>
      <c r="I1427" s="1" t="s">
        <v>486</v>
      </c>
      <c r="J1427" s="1"/>
      <c r="K1427" s="1" t="s">
        <v>23</v>
      </c>
      <c r="L1427" s="1" t="s">
        <v>7204</v>
      </c>
      <c r="M1427" s="1">
        <v>1.0</v>
      </c>
      <c r="N1427" s="1">
        <v>1.0</v>
      </c>
      <c r="O1427" s="1" t="s">
        <v>382</v>
      </c>
      <c r="P1427" s="1" t="s">
        <v>488</v>
      </c>
      <c r="Q1427" s="2" t="str">
        <f t="shared" si="1"/>
        <v>H006417</v>
      </c>
    </row>
    <row r="1428">
      <c r="A1428" s="1" t="s">
        <v>7205</v>
      </c>
      <c r="B1428" s="1" t="s">
        <v>7206</v>
      </c>
      <c r="C1428" s="1" t="s">
        <v>7207</v>
      </c>
      <c r="D1428" s="1" t="s">
        <v>7208</v>
      </c>
      <c r="E1428" s="1">
        <v>3369.0</v>
      </c>
      <c r="F1428" s="1" t="s">
        <v>382</v>
      </c>
      <c r="G1428" s="1" t="s">
        <v>191</v>
      </c>
      <c r="H1428" s="1" t="s">
        <v>192</v>
      </c>
      <c r="I1428" s="1" t="s">
        <v>486</v>
      </c>
      <c r="J1428" s="1"/>
      <c r="K1428" s="1" t="s">
        <v>23</v>
      </c>
      <c r="L1428" s="1" t="s">
        <v>7209</v>
      </c>
      <c r="M1428" s="1">
        <v>1.0</v>
      </c>
      <c r="N1428" s="1">
        <v>1.0</v>
      </c>
      <c r="O1428" s="1" t="s">
        <v>382</v>
      </c>
      <c r="P1428" s="1" t="s">
        <v>488</v>
      </c>
      <c r="Q1428" s="2" t="str">
        <f t="shared" si="1"/>
        <v>H006417</v>
      </c>
    </row>
    <row r="1429">
      <c r="A1429" s="1" t="s">
        <v>7210</v>
      </c>
      <c r="B1429" s="1" t="s">
        <v>7211</v>
      </c>
      <c r="C1429" s="1" t="s">
        <v>7212</v>
      </c>
      <c r="D1429" s="1" t="s">
        <v>7213</v>
      </c>
      <c r="E1429" s="1">
        <v>5753.0</v>
      </c>
      <c r="F1429" s="1" t="s">
        <v>498</v>
      </c>
      <c r="G1429" s="1" t="s">
        <v>167</v>
      </c>
      <c r="H1429" s="1" t="s">
        <v>168</v>
      </c>
      <c r="I1429" s="1" t="s">
        <v>1112</v>
      </c>
      <c r="J1429" s="1"/>
      <c r="K1429" s="1" t="s">
        <v>23</v>
      </c>
      <c r="L1429" s="1" t="s">
        <v>7214</v>
      </c>
      <c r="M1429" s="1">
        <v>2.0</v>
      </c>
      <c r="N1429" s="1">
        <v>1.0</v>
      </c>
      <c r="O1429" s="1" t="s">
        <v>498</v>
      </c>
      <c r="P1429" s="1" t="s">
        <v>488</v>
      </c>
      <c r="Q1429" s="2" t="str">
        <f t="shared" si="1"/>
        <v>H030031</v>
      </c>
    </row>
    <row r="1430">
      <c r="A1430" s="1" t="s">
        <v>7215</v>
      </c>
      <c r="B1430" s="1" t="s">
        <v>7216</v>
      </c>
      <c r="C1430" s="1" t="s">
        <v>7217</v>
      </c>
      <c r="D1430" s="1" t="s">
        <v>7218</v>
      </c>
      <c r="E1430" s="1">
        <v>3491.0</v>
      </c>
      <c r="F1430" s="1" t="s">
        <v>398</v>
      </c>
      <c r="G1430" s="1" t="s">
        <v>155</v>
      </c>
      <c r="H1430" s="1" t="s">
        <v>156</v>
      </c>
      <c r="I1430" s="1" t="s">
        <v>1112</v>
      </c>
      <c r="J1430" s="1"/>
      <c r="K1430" s="1" t="s">
        <v>23</v>
      </c>
      <c r="L1430" s="1" t="s">
        <v>7219</v>
      </c>
      <c r="M1430" s="1">
        <v>0.0</v>
      </c>
      <c r="N1430" s="1">
        <v>1.0</v>
      </c>
      <c r="O1430" s="1" t="s">
        <v>398</v>
      </c>
      <c r="P1430" s="1" t="s">
        <v>488</v>
      </c>
      <c r="Q1430" s="2" t="str">
        <f t="shared" si="1"/>
        <v>H030351</v>
      </c>
    </row>
    <row r="1431">
      <c r="A1431" s="1" t="s">
        <v>7220</v>
      </c>
      <c r="B1431" s="1" t="s">
        <v>7221</v>
      </c>
      <c r="C1431" s="1" t="s">
        <v>7222</v>
      </c>
      <c r="D1431" s="1" t="s">
        <v>7223</v>
      </c>
      <c r="E1431" s="1">
        <v>4938.0</v>
      </c>
      <c r="F1431" s="1" t="s">
        <v>398</v>
      </c>
      <c r="G1431" s="1" t="s">
        <v>155</v>
      </c>
      <c r="H1431" s="1" t="s">
        <v>156</v>
      </c>
      <c r="I1431" s="1" t="s">
        <v>1112</v>
      </c>
      <c r="J1431" s="1"/>
      <c r="K1431" s="1" t="s">
        <v>23</v>
      </c>
      <c r="L1431" s="1" t="s">
        <v>7224</v>
      </c>
      <c r="M1431" s="1">
        <v>0.0</v>
      </c>
      <c r="N1431" s="1">
        <v>1.0</v>
      </c>
      <c r="O1431" s="1" t="s">
        <v>398</v>
      </c>
      <c r="P1431" s="1" t="s">
        <v>488</v>
      </c>
      <c r="Q1431" s="2" t="str">
        <f t="shared" si="1"/>
        <v>H030351</v>
      </c>
    </row>
    <row r="1432">
      <c r="A1432" s="1" t="s">
        <v>7225</v>
      </c>
      <c r="B1432" s="1" t="s">
        <v>7226</v>
      </c>
      <c r="C1432" s="1" t="s">
        <v>7227</v>
      </c>
      <c r="D1432" s="1" t="s">
        <v>7228</v>
      </c>
      <c r="E1432" s="1">
        <v>3030.0</v>
      </c>
      <c r="F1432" s="1" t="s">
        <v>398</v>
      </c>
      <c r="G1432" s="1" t="s">
        <v>155</v>
      </c>
      <c r="H1432" s="1" t="s">
        <v>156</v>
      </c>
      <c r="I1432" s="1" t="s">
        <v>1112</v>
      </c>
      <c r="J1432" s="1"/>
      <c r="K1432" s="1" t="s">
        <v>23</v>
      </c>
      <c r="L1432" s="1" t="s">
        <v>7229</v>
      </c>
      <c r="M1432" s="1">
        <v>0.0</v>
      </c>
      <c r="N1432" s="1">
        <v>1.0</v>
      </c>
      <c r="O1432" s="1" t="s">
        <v>398</v>
      </c>
      <c r="P1432" s="1" t="s">
        <v>488</v>
      </c>
      <c r="Q1432" s="2" t="str">
        <f t="shared" si="1"/>
        <v>H030351</v>
      </c>
    </row>
    <row r="1433">
      <c r="A1433" s="1" t="s">
        <v>7230</v>
      </c>
      <c r="B1433" s="1" t="s">
        <v>7231</v>
      </c>
      <c r="C1433" s="1" t="s">
        <v>7232</v>
      </c>
      <c r="D1433" s="1" t="s">
        <v>7233</v>
      </c>
      <c r="E1433" s="1">
        <v>6945.0</v>
      </c>
      <c r="F1433" s="1" t="s">
        <v>398</v>
      </c>
      <c r="G1433" s="1" t="s">
        <v>179</v>
      </c>
      <c r="H1433" s="1" t="s">
        <v>180</v>
      </c>
      <c r="I1433" s="1" t="s">
        <v>1112</v>
      </c>
      <c r="J1433" s="1"/>
      <c r="K1433" s="1" t="s">
        <v>23</v>
      </c>
      <c r="L1433" s="1" t="s">
        <v>7234</v>
      </c>
      <c r="M1433" s="1">
        <v>0.0</v>
      </c>
      <c r="N1433" s="1">
        <v>1.0</v>
      </c>
      <c r="O1433" s="1" t="s">
        <v>398</v>
      </c>
      <c r="P1433" s="1" t="s">
        <v>488</v>
      </c>
      <c r="Q1433" s="2" t="str">
        <f t="shared" si="1"/>
        <v>H030351</v>
      </c>
    </row>
    <row r="1434">
      <c r="A1434" s="1" t="s">
        <v>7235</v>
      </c>
      <c r="B1434" s="1" t="s">
        <v>7236</v>
      </c>
      <c r="C1434" s="1" t="s">
        <v>7237</v>
      </c>
      <c r="D1434" s="1" t="s">
        <v>7238</v>
      </c>
      <c r="E1434" s="1">
        <v>3401.0</v>
      </c>
      <c r="F1434" s="1" t="s">
        <v>398</v>
      </c>
      <c r="G1434" s="1" t="s">
        <v>179</v>
      </c>
      <c r="H1434" s="1" t="s">
        <v>180</v>
      </c>
      <c r="I1434" s="1" t="s">
        <v>1112</v>
      </c>
      <c r="J1434" s="1"/>
      <c r="K1434" s="1" t="s">
        <v>23</v>
      </c>
      <c r="L1434" s="1" t="s">
        <v>7239</v>
      </c>
      <c r="M1434" s="1">
        <v>0.0</v>
      </c>
      <c r="N1434" s="1">
        <v>1.0</v>
      </c>
      <c r="O1434" s="1" t="s">
        <v>398</v>
      </c>
      <c r="P1434" s="1" t="s">
        <v>488</v>
      </c>
      <c r="Q1434" s="2" t="str">
        <f t="shared" si="1"/>
        <v>H030351</v>
      </c>
    </row>
    <row r="1435">
      <c r="A1435" s="1" t="s">
        <v>7240</v>
      </c>
      <c r="B1435" s="1" t="s">
        <v>7241</v>
      </c>
      <c r="C1435" s="1" t="s">
        <v>7242</v>
      </c>
      <c r="D1435" s="1" t="s">
        <v>7243</v>
      </c>
      <c r="E1435" s="1">
        <v>3742.0</v>
      </c>
      <c r="F1435" s="1" t="s">
        <v>398</v>
      </c>
      <c r="G1435" s="1" t="s">
        <v>155</v>
      </c>
      <c r="H1435" s="1" t="s">
        <v>156</v>
      </c>
      <c r="I1435" s="1" t="s">
        <v>1112</v>
      </c>
      <c r="J1435" s="1"/>
      <c r="K1435" s="1" t="s">
        <v>23</v>
      </c>
      <c r="L1435" s="1" t="s">
        <v>7244</v>
      </c>
      <c r="M1435" s="1">
        <v>0.0</v>
      </c>
      <c r="N1435" s="1">
        <v>1.0</v>
      </c>
      <c r="O1435" s="1" t="s">
        <v>398</v>
      </c>
      <c r="P1435" s="1" t="s">
        <v>488</v>
      </c>
      <c r="Q1435" s="2" t="str">
        <f t="shared" si="1"/>
        <v>H030351</v>
      </c>
    </row>
    <row r="1436">
      <c r="A1436" s="1" t="s">
        <v>7245</v>
      </c>
      <c r="B1436" s="1" t="s">
        <v>7246</v>
      </c>
      <c r="C1436" s="1" t="s">
        <v>7247</v>
      </c>
      <c r="D1436" s="1" t="s">
        <v>7248</v>
      </c>
      <c r="E1436" s="1">
        <v>3030.0</v>
      </c>
      <c r="F1436" s="1" t="s">
        <v>351</v>
      </c>
      <c r="G1436" s="1" t="s">
        <v>260</v>
      </c>
      <c r="H1436" s="1" t="s">
        <v>261</v>
      </c>
      <c r="I1436" s="1" t="s">
        <v>486</v>
      </c>
      <c r="J1436" s="1"/>
      <c r="K1436" s="1" t="s">
        <v>23</v>
      </c>
      <c r="L1436" s="1" t="s">
        <v>7249</v>
      </c>
      <c r="M1436" s="1">
        <v>2.0</v>
      </c>
      <c r="N1436" s="1">
        <v>1.0</v>
      </c>
      <c r="O1436" s="1" t="s">
        <v>351</v>
      </c>
      <c r="P1436" s="1" t="s">
        <v>488</v>
      </c>
      <c r="Q1436" s="2" t="str">
        <f t="shared" si="1"/>
        <v>H006029</v>
      </c>
    </row>
    <row r="1437">
      <c r="A1437" s="1" t="s">
        <v>7250</v>
      </c>
      <c r="B1437" s="1" t="s">
        <v>7251</v>
      </c>
      <c r="C1437" s="1" t="s">
        <v>7252</v>
      </c>
      <c r="D1437" s="1" t="s">
        <v>7253</v>
      </c>
      <c r="E1437" s="1">
        <v>3327.0</v>
      </c>
      <c r="F1437" s="1" t="s">
        <v>351</v>
      </c>
      <c r="G1437" s="1" t="s">
        <v>260</v>
      </c>
      <c r="H1437" s="1" t="s">
        <v>261</v>
      </c>
      <c r="I1437" s="1" t="s">
        <v>486</v>
      </c>
      <c r="J1437" s="1"/>
      <c r="K1437" s="1" t="s">
        <v>23</v>
      </c>
      <c r="L1437" s="1" t="s">
        <v>7254</v>
      </c>
      <c r="M1437" s="1">
        <v>2.0</v>
      </c>
      <c r="N1437" s="1">
        <v>1.0</v>
      </c>
      <c r="O1437" s="1" t="s">
        <v>351</v>
      </c>
      <c r="P1437" s="1" t="s">
        <v>488</v>
      </c>
      <c r="Q1437" s="2" t="str">
        <f t="shared" si="1"/>
        <v>H006029</v>
      </c>
    </row>
    <row r="1438">
      <c r="A1438" s="1" t="s">
        <v>7255</v>
      </c>
      <c r="B1438" s="1" t="s">
        <v>7256</v>
      </c>
      <c r="C1438" s="1" t="s">
        <v>7257</v>
      </c>
      <c r="D1438" s="1" t="s">
        <v>7258</v>
      </c>
      <c r="E1438" s="1">
        <v>3429.0</v>
      </c>
      <c r="F1438" s="1" t="s">
        <v>351</v>
      </c>
      <c r="G1438" s="1" t="s">
        <v>260</v>
      </c>
      <c r="H1438" s="1" t="s">
        <v>261</v>
      </c>
      <c r="I1438" s="1" t="s">
        <v>486</v>
      </c>
      <c r="J1438" s="1"/>
      <c r="K1438" s="1" t="s">
        <v>23</v>
      </c>
      <c r="L1438" s="1" t="s">
        <v>7259</v>
      </c>
      <c r="M1438" s="1">
        <v>2.0</v>
      </c>
      <c r="N1438" s="1">
        <v>1.0</v>
      </c>
      <c r="O1438" s="1" t="s">
        <v>351</v>
      </c>
      <c r="P1438" s="1" t="s">
        <v>488</v>
      </c>
      <c r="Q1438" s="2" t="str">
        <f t="shared" si="1"/>
        <v>H006029</v>
      </c>
    </row>
    <row r="1439">
      <c r="A1439" s="1" t="s">
        <v>7260</v>
      </c>
      <c r="B1439" s="1" t="s">
        <v>7261</v>
      </c>
      <c r="C1439" s="1" t="s">
        <v>7262</v>
      </c>
      <c r="D1439" s="1" t="s">
        <v>7263</v>
      </c>
      <c r="E1439" s="1">
        <v>4303.0</v>
      </c>
      <c r="F1439" s="1" t="s">
        <v>351</v>
      </c>
      <c r="G1439" s="1" t="s">
        <v>208</v>
      </c>
      <c r="H1439" s="1" t="s">
        <v>209</v>
      </c>
      <c r="I1439" s="1" t="s">
        <v>486</v>
      </c>
      <c r="J1439" s="1"/>
      <c r="K1439" s="1" t="s">
        <v>23</v>
      </c>
      <c r="L1439" s="1" t="s">
        <v>7264</v>
      </c>
      <c r="M1439" s="1">
        <v>2.0</v>
      </c>
      <c r="N1439" s="1">
        <v>1.0</v>
      </c>
      <c r="O1439" s="1" t="s">
        <v>351</v>
      </c>
      <c r="P1439" s="1" t="s">
        <v>488</v>
      </c>
      <c r="Q1439" s="2" t="str">
        <f t="shared" si="1"/>
        <v>H006029</v>
      </c>
    </row>
    <row r="1440">
      <c r="A1440" s="1" t="s">
        <v>7265</v>
      </c>
      <c r="B1440" s="1" t="s">
        <v>7266</v>
      </c>
      <c r="C1440" s="1" t="s">
        <v>7267</v>
      </c>
      <c r="D1440" s="1" t="s">
        <v>7268</v>
      </c>
      <c r="E1440" s="1">
        <v>2411.0</v>
      </c>
      <c r="F1440" s="1" t="s">
        <v>315</v>
      </c>
      <c r="G1440" s="1">
        <v>555127.0</v>
      </c>
      <c r="H1440" s="1" t="s">
        <v>3047</v>
      </c>
      <c r="I1440" s="1" t="s">
        <v>1051</v>
      </c>
      <c r="J1440" s="1"/>
      <c r="K1440" s="1" t="s">
        <v>23</v>
      </c>
      <c r="L1440" s="1" t="s">
        <v>7269</v>
      </c>
      <c r="M1440" s="1">
        <v>2.0</v>
      </c>
      <c r="N1440" s="1">
        <v>1.0</v>
      </c>
      <c r="O1440" s="1" t="s">
        <v>315</v>
      </c>
      <c r="P1440" s="1" t="s">
        <v>488</v>
      </c>
      <c r="Q1440" s="2" t="str">
        <f t="shared" si="1"/>
        <v>H004787</v>
      </c>
    </row>
    <row r="1441">
      <c r="A1441" s="1" t="s">
        <v>7270</v>
      </c>
      <c r="B1441" s="1" t="s">
        <v>7271</v>
      </c>
      <c r="C1441" s="1" t="s">
        <v>7272</v>
      </c>
      <c r="D1441" s="1" t="s">
        <v>7273</v>
      </c>
      <c r="E1441" s="1">
        <v>2723.0</v>
      </c>
      <c r="F1441" s="1" t="s">
        <v>315</v>
      </c>
      <c r="G1441" s="1">
        <v>555127.0</v>
      </c>
      <c r="H1441" s="1" t="s">
        <v>3047</v>
      </c>
      <c r="I1441" s="1" t="s">
        <v>1051</v>
      </c>
      <c r="J1441" s="1"/>
      <c r="K1441" s="1" t="s">
        <v>23</v>
      </c>
      <c r="L1441" s="1" t="s">
        <v>7274</v>
      </c>
      <c r="M1441" s="1">
        <v>2.0</v>
      </c>
      <c r="N1441" s="1">
        <v>1.0</v>
      </c>
      <c r="O1441" s="1" t="s">
        <v>315</v>
      </c>
      <c r="P1441" s="1" t="s">
        <v>488</v>
      </c>
      <c r="Q1441" s="2" t="str">
        <f t="shared" si="1"/>
        <v>H004787</v>
      </c>
    </row>
    <row r="1442">
      <c r="A1442" s="1" t="s">
        <v>7275</v>
      </c>
      <c r="B1442" s="1" t="s">
        <v>7276</v>
      </c>
      <c r="C1442" s="1" t="s">
        <v>7277</v>
      </c>
      <c r="D1442" s="1" t="s">
        <v>7278</v>
      </c>
      <c r="E1442" s="1">
        <v>3656.0</v>
      </c>
      <c r="F1442" s="1" t="s">
        <v>315</v>
      </c>
      <c r="G1442" s="1">
        <v>555127.0</v>
      </c>
      <c r="H1442" s="1" t="s">
        <v>3047</v>
      </c>
      <c r="I1442" s="1" t="s">
        <v>1051</v>
      </c>
      <c r="J1442" s="1"/>
      <c r="K1442" s="1" t="s">
        <v>23</v>
      </c>
      <c r="L1442" s="1" t="s">
        <v>7279</v>
      </c>
      <c r="M1442" s="1">
        <v>2.0</v>
      </c>
      <c r="N1442" s="1">
        <v>1.0</v>
      </c>
      <c r="O1442" s="1" t="s">
        <v>315</v>
      </c>
      <c r="P1442" s="1" t="s">
        <v>488</v>
      </c>
      <c r="Q1442" s="2" t="str">
        <f t="shared" si="1"/>
        <v>H004787</v>
      </c>
    </row>
    <row r="1443">
      <c r="A1443" s="1" t="s">
        <v>7280</v>
      </c>
      <c r="B1443" s="1" t="s">
        <v>7281</v>
      </c>
      <c r="C1443" s="1" t="s">
        <v>7282</v>
      </c>
      <c r="D1443" s="1" t="s">
        <v>7283</v>
      </c>
      <c r="E1443" s="1">
        <v>4086.0</v>
      </c>
      <c r="F1443" s="1" t="s">
        <v>315</v>
      </c>
      <c r="G1443" s="1">
        <v>555127.0</v>
      </c>
      <c r="H1443" s="1" t="s">
        <v>3047</v>
      </c>
      <c r="I1443" s="1" t="s">
        <v>1051</v>
      </c>
      <c r="J1443" s="1"/>
      <c r="K1443" s="1" t="s">
        <v>23</v>
      </c>
      <c r="L1443" s="1" t="s">
        <v>7284</v>
      </c>
      <c r="M1443" s="1">
        <v>2.0</v>
      </c>
      <c r="N1443" s="1">
        <v>1.0</v>
      </c>
      <c r="O1443" s="1" t="s">
        <v>315</v>
      </c>
      <c r="P1443" s="1" t="s">
        <v>488</v>
      </c>
      <c r="Q1443" s="2" t="str">
        <f t="shared" si="1"/>
        <v>H004787</v>
      </c>
    </row>
    <row r="1444">
      <c r="A1444" s="1" t="s">
        <v>7285</v>
      </c>
      <c r="B1444" s="1" t="s">
        <v>7286</v>
      </c>
      <c r="C1444" s="1" t="s">
        <v>7287</v>
      </c>
      <c r="D1444" s="1" t="s">
        <v>7288</v>
      </c>
      <c r="E1444" s="1">
        <v>4714.0</v>
      </c>
      <c r="F1444" s="1" t="s">
        <v>315</v>
      </c>
      <c r="G1444" s="1">
        <v>555127.0</v>
      </c>
      <c r="H1444" s="1" t="s">
        <v>3047</v>
      </c>
      <c r="I1444" s="1" t="s">
        <v>1051</v>
      </c>
      <c r="J1444" s="1"/>
      <c r="K1444" s="1" t="s">
        <v>23</v>
      </c>
      <c r="L1444" s="1" t="s">
        <v>7289</v>
      </c>
      <c r="M1444" s="1">
        <v>2.0</v>
      </c>
      <c r="N1444" s="1">
        <v>1.0</v>
      </c>
      <c r="O1444" s="1" t="s">
        <v>315</v>
      </c>
      <c r="P1444" s="1" t="s">
        <v>488</v>
      </c>
      <c r="Q1444" s="2" t="str">
        <f t="shared" si="1"/>
        <v>H004787</v>
      </c>
    </row>
    <row r="1445">
      <c r="A1445" s="1" t="s">
        <v>7290</v>
      </c>
      <c r="B1445" s="1" t="s">
        <v>7291</v>
      </c>
      <c r="C1445" s="1" t="s">
        <v>7292</v>
      </c>
      <c r="D1445" s="1" t="s">
        <v>7293</v>
      </c>
      <c r="E1445" s="1">
        <v>3451.0</v>
      </c>
      <c r="F1445" s="1" t="s">
        <v>315</v>
      </c>
      <c r="G1445" s="1">
        <v>555127.0</v>
      </c>
      <c r="H1445" s="1" t="s">
        <v>3047</v>
      </c>
      <c r="I1445" s="1" t="s">
        <v>1051</v>
      </c>
      <c r="J1445" s="1"/>
      <c r="K1445" s="1" t="s">
        <v>23</v>
      </c>
      <c r="L1445" s="1" t="s">
        <v>7294</v>
      </c>
      <c r="M1445" s="1">
        <v>2.0</v>
      </c>
      <c r="N1445" s="1">
        <v>1.0</v>
      </c>
      <c r="O1445" s="1" t="s">
        <v>315</v>
      </c>
      <c r="P1445" s="1" t="s">
        <v>488</v>
      </c>
      <c r="Q1445" s="2" t="str">
        <f t="shared" si="1"/>
        <v>H004787</v>
      </c>
    </row>
    <row r="1446">
      <c r="A1446" s="1" t="s">
        <v>7295</v>
      </c>
      <c r="B1446" s="1" t="s">
        <v>7296</v>
      </c>
      <c r="C1446" s="1" t="s">
        <v>7297</v>
      </c>
      <c r="D1446" s="1" t="s">
        <v>7298</v>
      </c>
      <c r="E1446" s="1">
        <v>1727.0</v>
      </c>
      <c r="F1446" s="1" t="s">
        <v>288</v>
      </c>
      <c r="G1446" s="1">
        <v>729375.0</v>
      </c>
      <c r="H1446" s="1" t="s">
        <v>1050</v>
      </c>
      <c r="I1446" s="1" t="s">
        <v>1051</v>
      </c>
      <c r="J1446" s="1"/>
      <c r="K1446" s="1" t="s">
        <v>23</v>
      </c>
      <c r="L1446" s="1" t="s">
        <v>7299</v>
      </c>
      <c r="M1446" s="1">
        <v>0.0</v>
      </c>
      <c r="N1446" s="1">
        <v>1.0</v>
      </c>
      <c r="O1446" s="1" t="s">
        <v>288</v>
      </c>
      <c r="P1446" s="1" t="s">
        <v>488</v>
      </c>
      <c r="Q1446" s="2" t="str">
        <f t="shared" si="1"/>
        <v>H004596</v>
      </c>
    </row>
    <row r="1447">
      <c r="A1447" s="1" t="s">
        <v>7300</v>
      </c>
      <c r="B1447" s="1" t="s">
        <v>7301</v>
      </c>
      <c r="C1447" s="1" t="s">
        <v>7302</v>
      </c>
      <c r="D1447" s="1" t="s">
        <v>7303</v>
      </c>
      <c r="E1447" s="1">
        <v>2387.0</v>
      </c>
      <c r="F1447" s="1" t="s">
        <v>288</v>
      </c>
      <c r="G1447" s="1">
        <v>729375.0</v>
      </c>
      <c r="H1447" s="1" t="s">
        <v>1050</v>
      </c>
      <c r="I1447" s="1" t="s">
        <v>1051</v>
      </c>
      <c r="J1447" s="1"/>
      <c r="K1447" s="1" t="s">
        <v>23</v>
      </c>
      <c r="L1447" s="1" t="s">
        <v>7304</v>
      </c>
      <c r="M1447" s="1">
        <v>0.0</v>
      </c>
      <c r="N1447" s="1">
        <v>1.0</v>
      </c>
      <c r="O1447" s="1" t="s">
        <v>288</v>
      </c>
      <c r="P1447" s="1" t="s">
        <v>488</v>
      </c>
      <c r="Q1447" s="2" t="str">
        <f t="shared" si="1"/>
        <v>H004596</v>
      </c>
    </row>
    <row r="1448">
      <c r="A1448" s="1" t="s">
        <v>7305</v>
      </c>
      <c r="B1448" s="1" t="s">
        <v>7306</v>
      </c>
      <c r="C1448" s="1" t="s">
        <v>7307</v>
      </c>
      <c r="D1448" s="1" t="s">
        <v>7308</v>
      </c>
      <c r="E1448" s="1">
        <v>98.0</v>
      </c>
      <c r="F1448" s="1" t="s">
        <v>288</v>
      </c>
      <c r="G1448" s="1">
        <v>729375.0</v>
      </c>
      <c r="H1448" s="1" t="s">
        <v>1050</v>
      </c>
      <c r="I1448" s="1" t="s">
        <v>1051</v>
      </c>
      <c r="J1448" s="1"/>
      <c r="K1448" s="1" t="s">
        <v>23</v>
      </c>
      <c r="L1448" s="1" t="s">
        <v>7309</v>
      </c>
      <c r="M1448" s="1">
        <v>0.0</v>
      </c>
      <c r="N1448" s="1">
        <v>0.0</v>
      </c>
      <c r="O1448" s="1" t="s">
        <v>288</v>
      </c>
      <c r="P1448" s="1" t="s">
        <v>25</v>
      </c>
      <c r="Q1448" s="2" t="str">
        <f t="shared" si="1"/>
        <v>H004596</v>
      </c>
    </row>
    <row r="1449">
      <c r="A1449" s="1" t="s">
        <v>7310</v>
      </c>
      <c r="B1449" s="1" t="s">
        <v>7311</v>
      </c>
      <c r="C1449" s="1" t="s">
        <v>7312</v>
      </c>
      <c r="D1449" s="1" t="s">
        <v>7313</v>
      </c>
      <c r="E1449" s="1">
        <v>4579.0</v>
      </c>
      <c r="F1449" s="1" t="s">
        <v>288</v>
      </c>
      <c r="G1449" s="1">
        <v>859767.0</v>
      </c>
      <c r="H1449" s="1" t="s">
        <v>2565</v>
      </c>
      <c r="I1449" s="1" t="s">
        <v>1051</v>
      </c>
      <c r="J1449" s="1"/>
      <c r="K1449" s="1" t="s">
        <v>23</v>
      </c>
      <c r="L1449" s="1" t="s">
        <v>7314</v>
      </c>
      <c r="M1449" s="1">
        <v>0.0</v>
      </c>
      <c r="N1449" s="1">
        <v>1.0</v>
      </c>
      <c r="O1449" s="1" t="s">
        <v>288</v>
      </c>
      <c r="P1449" s="1" t="s">
        <v>488</v>
      </c>
      <c r="Q1449" s="2" t="str">
        <f t="shared" si="1"/>
        <v>H004596</v>
      </c>
    </row>
    <row r="1450">
      <c r="A1450" s="1" t="s">
        <v>7315</v>
      </c>
      <c r="B1450" s="1" t="s">
        <v>7316</v>
      </c>
      <c r="C1450" s="1" t="s">
        <v>7317</v>
      </c>
      <c r="D1450" s="1" t="s">
        <v>7318</v>
      </c>
      <c r="E1450" s="1">
        <v>3266.0</v>
      </c>
      <c r="F1450" s="1" t="s">
        <v>382</v>
      </c>
      <c r="G1450" s="1" t="s">
        <v>119</v>
      </c>
      <c r="H1450" s="1" t="s">
        <v>120</v>
      </c>
      <c r="I1450" s="1" t="s">
        <v>486</v>
      </c>
      <c r="J1450" s="1"/>
      <c r="K1450" s="1" t="s">
        <v>23</v>
      </c>
      <c r="L1450" s="1" t="s">
        <v>7319</v>
      </c>
      <c r="M1450" s="1">
        <v>1.0</v>
      </c>
      <c r="N1450" s="1">
        <v>1.0</v>
      </c>
      <c r="O1450" s="1" t="s">
        <v>382</v>
      </c>
      <c r="P1450" s="1" t="s">
        <v>488</v>
      </c>
      <c r="Q1450" s="2" t="str">
        <f t="shared" si="1"/>
        <v>H006417</v>
      </c>
    </row>
    <row r="1451">
      <c r="A1451" s="1" t="s">
        <v>7320</v>
      </c>
      <c r="B1451" s="1" t="s">
        <v>7321</v>
      </c>
      <c r="C1451" s="1" t="s">
        <v>7322</v>
      </c>
      <c r="D1451" s="1" t="s">
        <v>7323</v>
      </c>
      <c r="E1451" s="1">
        <v>2123.0</v>
      </c>
      <c r="F1451" s="1" t="s">
        <v>382</v>
      </c>
      <c r="G1451" s="1" t="s">
        <v>119</v>
      </c>
      <c r="H1451" s="1" t="s">
        <v>120</v>
      </c>
      <c r="I1451" s="1" t="s">
        <v>486</v>
      </c>
      <c r="J1451" s="1"/>
      <c r="K1451" s="1" t="s">
        <v>23</v>
      </c>
      <c r="L1451" s="1" t="s">
        <v>7324</v>
      </c>
      <c r="M1451" s="1">
        <v>1.0</v>
      </c>
      <c r="N1451" s="1">
        <v>1.0</v>
      </c>
      <c r="O1451" s="1" t="s">
        <v>382</v>
      </c>
      <c r="P1451" s="1" t="s">
        <v>488</v>
      </c>
      <c r="Q1451" s="2" t="str">
        <f t="shared" si="1"/>
        <v>H006417</v>
      </c>
    </row>
    <row r="1452">
      <c r="A1452" s="1" t="s">
        <v>7325</v>
      </c>
      <c r="B1452" s="1" t="s">
        <v>7326</v>
      </c>
      <c r="C1452" s="1" t="s">
        <v>7327</v>
      </c>
      <c r="D1452" s="1" t="s">
        <v>7328</v>
      </c>
      <c r="E1452" s="1">
        <v>5006.0</v>
      </c>
      <c r="F1452" s="1" t="s">
        <v>382</v>
      </c>
      <c r="G1452" s="1" t="s">
        <v>474</v>
      </c>
      <c r="H1452" s="1" t="s">
        <v>475</v>
      </c>
      <c r="I1452" s="1" t="s">
        <v>486</v>
      </c>
      <c r="J1452" s="1"/>
      <c r="K1452" s="1" t="s">
        <v>23</v>
      </c>
      <c r="L1452" s="1" t="s">
        <v>7329</v>
      </c>
      <c r="M1452" s="1">
        <v>1.0</v>
      </c>
      <c r="N1452" s="1">
        <v>1.0</v>
      </c>
      <c r="O1452" s="1" t="s">
        <v>382</v>
      </c>
      <c r="P1452" s="1" t="s">
        <v>488</v>
      </c>
      <c r="Q1452" s="2" t="str">
        <f t="shared" si="1"/>
        <v>H006417</v>
      </c>
    </row>
    <row r="1453">
      <c r="A1453" s="1" t="s">
        <v>7330</v>
      </c>
      <c r="B1453" s="1" t="s">
        <v>7331</v>
      </c>
      <c r="C1453" s="1" t="s">
        <v>7332</v>
      </c>
      <c r="D1453" s="1" t="s">
        <v>7333</v>
      </c>
      <c r="E1453" s="1">
        <v>2393.0</v>
      </c>
      <c r="F1453" s="1" t="s">
        <v>382</v>
      </c>
      <c r="G1453" s="1" t="s">
        <v>474</v>
      </c>
      <c r="H1453" s="1" t="s">
        <v>475</v>
      </c>
      <c r="I1453" s="1" t="s">
        <v>486</v>
      </c>
      <c r="J1453" s="1"/>
      <c r="K1453" s="1" t="s">
        <v>23</v>
      </c>
      <c r="L1453" s="1" t="s">
        <v>7334</v>
      </c>
      <c r="M1453" s="1">
        <v>1.0</v>
      </c>
      <c r="N1453" s="1">
        <v>1.0</v>
      </c>
      <c r="O1453" s="1" t="s">
        <v>382</v>
      </c>
      <c r="P1453" s="1" t="s">
        <v>488</v>
      </c>
      <c r="Q1453" s="2" t="str">
        <f t="shared" si="1"/>
        <v>H006417</v>
      </c>
    </row>
    <row r="1454">
      <c r="A1454" s="1" t="s">
        <v>7335</v>
      </c>
      <c r="B1454" s="1" t="s">
        <v>7336</v>
      </c>
      <c r="C1454" s="1" t="s">
        <v>7337</v>
      </c>
      <c r="D1454" s="1" t="s">
        <v>7338</v>
      </c>
      <c r="E1454" s="1">
        <v>4017.0</v>
      </c>
      <c r="F1454" s="1" t="s">
        <v>382</v>
      </c>
      <c r="G1454" s="1" t="s">
        <v>474</v>
      </c>
      <c r="H1454" s="1" t="s">
        <v>475</v>
      </c>
      <c r="I1454" s="1" t="s">
        <v>486</v>
      </c>
      <c r="J1454" s="1"/>
      <c r="K1454" s="1" t="s">
        <v>23</v>
      </c>
      <c r="L1454" s="1" t="s">
        <v>7339</v>
      </c>
      <c r="M1454" s="1">
        <v>1.0</v>
      </c>
      <c r="N1454" s="1">
        <v>1.0</v>
      </c>
      <c r="O1454" s="1" t="s">
        <v>382</v>
      </c>
      <c r="P1454" s="1" t="s">
        <v>488</v>
      </c>
      <c r="Q1454" s="2" t="str">
        <f t="shared" si="1"/>
        <v>H006417</v>
      </c>
    </row>
    <row r="1455">
      <c r="A1455" s="1" t="s">
        <v>7340</v>
      </c>
      <c r="B1455" s="1" t="s">
        <v>7341</v>
      </c>
      <c r="C1455" s="1" t="s">
        <v>7342</v>
      </c>
      <c r="D1455" s="1" t="s">
        <v>7343</v>
      </c>
      <c r="E1455" s="1">
        <v>2924.0</v>
      </c>
      <c r="F1455" s="1" t="s">
        <v>382</v>
      </c>
      <c r="G1455" s="1" t="s">
        <v>474</v>
      </c>
      <c r="H1455" s="1" t="s">
        <v>475</v>
      </c>
      <c r="I1455" s="1" t="s">
        <v>486</v>
      </c>
      <c r="J1455" s="1"/>
      <c r="K1455" s="1" t="s">
        <v>23</v>
      </c>
      <c r="L1455" s="1" t="s">
        <v>7344</v>
      </c>
      <c r="M1455" s="1">
        <v>1.0</v>
      </c>
      <c r="N1455" s="1">
        <v>1.0</v>
      </c>
      <c r="O1455" s="1" t="s">
        <v>382</v>
      </c>
      <c r="P1455" s="1" t="s">
        <v>488</v>
      </c>
      <c r="Q1455" s="2" t="str">
        <f t="shared" si="1"/>
        <v>H006417</v>
      </c>
    </row>
    <row r="1456">
      <c r="A1456" s="1" t="s">
        <v>7345</v>
      </c>
      <c r="B1456" s="1" t="s">
        <v>7346</v>
      </c>
      <c r="C1456" s="1" t="s">
        <v>7347</v>
      </c>
      <c r="D1456" s="1" t="s">
        <v>7348</v>
      </c>
      <c r="E1456" s="1">
        <v>2412.0</v>
      </c>
      <c r="F1456" s="1" t="s">
        <v>288</v>
      </c>
      <c r="G1456" s="1" t="s">
        <v>304</v>
      </c>
      <c r="H1456" s="1" t="s">
        <v>272</v>
      </c>
      <c r="I1456" s="1" t="s">
        <v>1051</v>
      </c>
      <c r="J1456" s="1"/>
      <c r="K1456" s="1" t="s">
        <v>23</v>
      </c>
      <c r="L1456" s="1" t="s">
        <v>7349</v>
      </c>
      <c r="M1456" s="1">
        <v>0.0</v>
      </c>
      <c r="N1456" s="1">
        <v>1.0</v>
      </c>
      <c r="O1456" s="1" t="s">
        <v>288</v>
      </c>
      <c r="P1456" s="1" t="s">
        <v>488</v>
      </c>
      <c r="Q1456" s="2" t="str">
        <f t="shared" si="1"/>
        <v>H004596</v>
      </c>
    </row>
    <row r="1457">
      <c r="A1457" s="1" t="s">
        <v>7350</v>
      </c>
      <c r="B1457" s="1" t="s">
        <v>7351</v>
      </c>
      <c r="C1457" s="1" t="s">
        <v>7352</v>
      </c>
      <c r="D1457" s="1" t="s">
        <v>7353</v>
      </c>
      <c r="E1457" s="1">
        <v>3275.0</v>
      </c>
      <c r="F1457" s="1" t="s">
        <v>288</v>
      </c>
      <c r="G1457" s="1" t="s">
        <v>304</v>
      </c>
      <c r="H1457" s="1" t="s">
        <v>272</v>
      </c>
      <c r="I1457" s="1" t="s">
        <v>1051</v>
      </c>
      <c r="J1457" s="1"/>
      <c r="K1457" s="1" t="s">
        <v>23</v>
      </c>
      <c r="L1457" s="1" t="s">
        <v>7354</v>
      </c>
      <c r="M1457" s="1">
        <v>0.0</v>
      </c>
      <c r="N1457" s="1">
        <v>1.0</v>
      </c>
      <c r="O1457" s="1" t="s">
        <v>288</v>
      </c>
      <c r="P1457" s="1" t="s">
        <v>488</v>
      </c>
      <c r="Q1457" s="2" t="str">
        <f t="shared" si="1"/>
        <v>H004596</v>
      </c>
    </row>
    <row r="1458">
      <c r="A1458" s="1" t="s">
        <v>7355</v>
      </c>
      <c r="B1458" s="1" t="s">
        <v>7356</v>
      </c>
      <c r="C1458" s="1" t="s">
        <v>7357</v>
      </c>
      <c r="D1458" s="1" t="s">
        <v>7358</v>
      </c>
      <c r="E1458" s="1">
        <v>38.0</v>
      </c>
      <c r="F1458" s="1" t="s">
        <v>288</v>
      </c>
      <c r="G1458" s="1" t="s">
        <v>304</v>
      </c>
      <c r="H1458" s="1" t="s">
        <v>272</v>
      </c>
      <c r="I1458" s="1" t="s">
        <v>1051</v>
      </c>
      <c r="J1458" s="1"/>
      <c r="K1458" s="1" t="s">
        <v>23</v>
      </c>
      <c r="L1458" s="1" t="s">
        <v>7359</v>
      </c>
      <c r="M1458" s="1">
        <v>0.0</v>
      </c>
      <c r="N1458" s="1">
        <v>0.0</v>
      </c>
      <c r="O1458" s="1" t="s">
        <v>288</v>
      </c>
      <c r="P1458" s="1" t="s">
        <v>25</v>
      </c>
      <c r="Q1458" s="2" t="str">
        <f t="shared" si="1"/>
        <v>H004596</v>
      </c>
    </row>
    <row r="1459">
      <c r="A1459" s="1" t="s">
        <v>7360</v>
      </c>
      <c r="B1459" s="1" t="s">
        <v>7361</v>
      </c>
      <c r="C1459" s="1" t="s">
        <v>7362</v>
      </c>
      <c r="D1459" s="1" t="s">
        <v>7363</v>
      </c>
      <c r="E1459" s="1">
        <v>3560.0</v>
      </c>
      <c r="F1459" s="1" t="s">
        <v>315</v>
      </c>
      <c r="G1459" s="1">
        <v>455939.0</v>
      </c>
      <c r="H1459" s="1" t="s">
        <v>2746</v>
      </c>
      <c r="I1459" s="1" t="s">
        <v>1051</v>
      </c>
      <c r="J1459" s="1"/>
      <c r="K1459" s="1" t="s">
        <v>23</v>
      </c>
      <c r="L1459" s="1" t="s">
        <v>7364</v>
      </c>
      <c r="M1459" s="1">
        <v>2.0</v>
      </c>
      <c r="N1459" s="1">
        <v>1.0</v>
      </c>
      <c r="O1459" s="1" t="s">
        <v>315</v>
      </c>
      <c r="P1459" s="1" t="s">
        <v>488</v>
      </c>
      <c r="Q1459" s="2" t="str">
        <f t="shared" si="1"/>
        <v>H004787</v>
      </c>
    </row>
    <row r="1460">
      <c r="A1460" s="1" t="s">
        <v>7365</v>
      </c>
      <c r="B1460" s="1" t="s">
        <v>7366</v>
      </c>
      <c r="C1460" s="1" t="s">
        <v>7367</v>
      </c>
      <c r="D1460" s="1" t="s">
        <v>7368</v>
      </c>
      <c r="E1460" s="1">
        <v>3117.0</v>
      </c>
      <c r="F1460" s="1" t="s">
        <v>315</v>
      </c>
      <c r="G1460" s="1">
        <v>455939.0</v>
      </c>
      <c r="H1460" s="1" t="s">
        <v>2746</v>
      </c>
      <c r="I1460" s="1" t="s">
        <v>1051</v>
      </c>
      <c r="J1460" s="1"/>
      <c r="K1460" s="1" t="s">
        <v>23</v>
      </c>
      <c r="L1460" s="1" t="s">
        <v>7369</v>
      </c>
      <c r="M1460" s="1">
        <v>2.0</v>
      </c>
      <c r="N1460" s="1">
        <v>1.0</v>
      </c>
      <c r="O1460" s="1" t="s">
        <v>315</v>
      </c>
      <c r="P1460" s="1" t="s">
        <v>488</v>
      </c>
      <c r="Q1460" s="2" t="str">
        <f t="shared" si="1"/>
        <v>H004787</v>
      </c>
    </row>
    <row r="1461">
      <c r="A1461" s="1" t="s">
        <v>7370</v>
      </c>
      <c r="B1461" s="1" t="s">
        <v>7371</v>
      </c>
      <c r="C1461" s="1" t="s">
        <v>7372</v>
      </c>
      <c r="D1461" s="1" t="s">
        <v>7373</v>
      </c>
      <c r="E1461" s="1">
        <v>3827.0</v>
      </c>
      <c r="F1461" s="1" t="s">
        <v>315</v>
      </c>
      <c r="G1461" s="1">
        <v>455939.0</v>
      </c>
      <c r="H1461" s="1" t="s">
        <v>2746</v>
      </c>
      <c r="I1461" s="1" t="s">
        <v>1051</v>
      </c>
      <c r="J1461" s="1"/>
      <c r="K1461" s="1" t="s">
        <v>23</v>
      </c>
      <c r="L1461" s="1" t="s">
        <v>7374</v>
      </c>
      <c r="M1461" s="1">
        <v>2.0</v>
      </c>
      <c r="N1461" s="1">
        <v>1.0</v>
      </c>
      <c r="O1461" s="1" t="s">
        <v>315</v>
      </c>
      <c r="P1461" s="1" t="s">
        <v>488</v>
      </c>
      <c r="Q1461" s="2" t="str">
        <f t="shared" si="1"/>
        <v>H004787</v>
      </c>
    </row>
    <row r="1462">
      <c r="A1462" s="1" t="s">
        <v>7375</v>
      </c>
      <c r="B1462" s="1" t="s">
        <v>7376</v>
      </c>
      <c r="C1462" s="1" t="s">
        <v>7377</v>
      </c>
      <c r="D1462" s="1" t="s">
        <v>7378</v>
      </c>
      <c r="E1462" s="1">
        <v>2637.0</v>
      </c>
      <c r="F1462" s="1" t="s">
        <v>315</v>
      </c>
      <c r="G1462" s="1">
        <v>455939.0</v>
      </c>
      <c r="H1462" s="1" t="s">
        <v>2746</v>
      </c>
      <c r="I1462" s="1" t="s">
        <v>1051</v>
      </c>
      <c r="J1462" s="1"/>
      <c r="K1462" s="1" t="s">
        <v>23</v>
      </c>
      <c r="L1462" s="1" t="s">
        <v>7379</v>
      </c>
      <c r="M1462" s="1">
        <v>2.0</v>
      </c>
      <c r="N1462" s="1">
        <v>1.0</v>
      </c>
      <c r="O1462" s="1" t="s">
        <v>315</v>
      </c>
      <c r="P1462" s="1" t="s">
        <v>488</v>
      </c>
      <c r="Q1462" s="2" t="str">
        <f t="shared" si="1"/>
        <v>H004787</v>
      </c>
    </row>
    <row r="1463">
      <c r="A1463" s="1" t="s">
        <v>7380</v>
      </c>
      <c r="B1463" s="1" t="s">
        <v>7381</v>
      </c>
      <c r="C1463" s="1" t="s">
        <v>7382</v>
      </c>
      <c r="D1463" s="1" t="s">
        <v>7383</v>
      </c>
      <c r="E1463" s="1">
        <v>2321.0</v>
      </c>
      <c r="F1463" s="1" t="s">
        <v>315</v>
      </c>
      <c r="G1463" s="1">
        <v>455939.0</v>
      </c>
      <c r="H1463" s="1" t="s">
        <v>2746</v>
      </c>
      <c r="I1463" s="1" t="s">
        <v>1051</v>
      </c>
      <c r="J1463" s="1"/>
      <c r="K1463" s="1" t="s">
        <v>23</v>
      </c>
      <c r="L1463" s="1" t="s">
        <v>7384</v>
      </c>
      <c r="M1463" s="1">
        <v>2.0</v>
      </c>
      <c r="N1463" s="1">
        <v>1.0</v>
      </c>
      <c r="O1463" s="1" t="s">
        <v>315</v>
      </c>
      <c r="P1463" s="1" t="s">
        <v>488</v>
      </c>
      <c r="Q1463" s="2" t="str">
        <f t="shared" si="1"/>
        <v>H004787</v>
      </c>
    </row>
    <row r="1464">
      <c r="A1464" s="1" t="s">
        <v>7385</v>
      </c>
      <c r="B1464" s="1" t="s">
        <v>7386</v>
      </c>
      <c r="C1464" s="1" t="s">
        <v>7387</v>
      </c>
      <c r="D1464" s="1" t="s">
        <v>7388</v>
      </c>
      <c r="E1464" s="1">
        <v>2819.0</v>
      </c>
      <c r="F1464" s="1" t="s">
        <v>315</v>
      </c>
      <c r="G1464" s="1">
        <v>841329.0</v>
      </c>
      <c r="H1464" s="1" t="s">
        <v>1848</v>
      </c>
      <c r="I1464" s="1" t="s">
        <v>1051</v>
      </c>
      <c r="J1464" s="1"/>
      <c r="K1464" s="1" t="s">
        <v>23</v>
      </c>
      <c r="L1464" s="1" t="s">
        <v>7389</v>
      </c>
      <c r="M1464" s="1">
        <v>0.0</v>
      </c>
      <c r="N1464" s="1">
        <v>1.0</v>
      </c>
      <c r="O1464" s="1" t="s">
        <v>315</v>
      </c>
      <c r="P1464" s="1" t="s">
        <v>488</v>
      </c>
      <c r="Q1464" s="2" t="str">
        <f t="shared" si="1"/>
        <v>H004680</v>
      </c>
    </row>
    <row r="1465">
      <c r="A1465" s="1" t="s">
        <v>7390</v>
      </c>
      <c r="B1465" s="1" t="s">
        <v>7391</v>
      </c>
      <c r="C1465" s="1" t="s">
        <v>7392</v>
      </c>
      <c r="D1465" s="1" t="s">
        <v>7393</v>
      </c>
      <c r="E1465" s="1">
        <v>3497.0</v>
      </c>
      <c r="F1465" s="1" t="s">
        <v>315</v>
      </c>
      <c r="G1465" s="1">
        <v>841329.0</v>
      </c>
      <c r="H1465" s="1" t="s">
        <v>1848</v>
      </c>
      <c r="I1465" s="1" t="s">
        <v>1051</v>
      </c>
      <c r="J1465" s="1"/>
      <c r="K1465" s="1" t="s">
        <v>23</v>
      </c>
      <c r="L1465" s="1" t="s">
        <v>7394</v>
      </c>
      <c r="M1465" s="1">
        <v>0.0</v>
      </c>
      <c r="N1465" s="1">
        <v>1.0</v>
      </c>
      <c r="O1465" s="1" t="s">
        <v>315</v>
      </c>
      <c r="P1465" s="1" t="s">
        <v>488</v>
      </c>
      <c r="Q1465" s="2" t="str">
        <f t="shared" si="1"/>
        <v>H004680</v>
      </c>
    </row>
    <row r="1466">
      <c r="A1466" s="1" t="s">
        <v>7395</v>
      </c>
      <c r="B1466" s="1" t="s">
        <v>7396</v>
      </c>
      <c r="C1466" s="1" t="s">
        <v>7397</v>
      </c>
      <c r="D1466" s="1" t="s">
        <v>7398</v>
      </c>
      <c r="E1466" s="1">
        <v>4700.0</v>
      </c>
      <c r="F1466" s="1" t="s">
        <v>315</v>
      </c>
      <c r="G1466" s="1">
        <v>841329.0</v>
      </c>
      <c r="H1466" s="1" t="s">
        <v>1848</v>
      </c>
      <c r="I1466" s="1" t="s">
        <v>1051</v>
      </c>
      <c r="J1466" s="1"/>
      <c r="K1466" s="1" t="s">
        <v>23</v>
      </c>
      <c r="L1466" s="1" t="s">
        <v>7399</v>
      </c>
      <c r="M1466" s="1">
        <v>0.0</v>
      </c>
      <c r="N1466" s="1">
        <v>1.0</v>
      </c>
      <c r="O1466" s="1" t="s">
        <v>315</v>
      </c>
      <c r="P1466" s="1" t="s">
        <v>488</v>
      </c>
      <c r="Q1466" s="2" t="str">
        <f t="shared" si="1"/>
        <v>H004680</v>
      </c>
    </row>
    <row r="1467">
      <c r="A1467" s="1" t="s">
        <v>7400</v>
      </c>
      <c r="B1467" s="1" t="s">
        <v>7401</v>
      </c>
      <c r="C1467" s="1" t="s">
        <v>7402</v>
      </c>
      <c r="D1467" s="1" t="s">
        <v>7403</v>
      </c>
      <c r="E1467" s="1">
        <v>3110.0</v>
      </c>
      <c r="F1467" s="1" t="s">
        <v>315</v>
      </c>
      <c r="G1467" s="1">
        <v>555127.0</v>
      </c>
      <c r="H1467" s="1" t="s">
        <v>3047</v>
      </c>
      <c r="I1467" s="1" t="s">
        <v>1051</v>
      </c>
      <c r="J1467" s="1"/>
      <c r="K1467" s="1" t="s">
        <v>23</v>
      </c>
      <c r="L1467" s="1" t="s">
        <v>7404</v>
      </c>
      <c r="M1467" s="1">
        <v>0.0</v>
      </c>
      <c r="N1467" s="1">
        <v>1.0</v>
      </c>
      <c r="O1467" s="1" t="s">
        <v>315</v>
      </c>
      <c r="P1467" s="1" t="s">
        <v>488</v>
      </c>
      <c r="Q1467" s="2" t="str">
        <f t="shared" si="1"/>
        <v>H004680</v>
      </c>
    </row>
    <row r="1468">
      <c r="A1468" s="1" t="s">
        <v>7405</v>
      </c>
      <c r="B1468" s="1" t="s">
        <v>7406</v>
      </c>
      <c r="C1468" s="1" t="s">
        <v>7407</v>
      </c>
      <c r="D1468" s="1" t="s">
        <v>7408</v>
      </c>
      <c r="E1468" s="1">
        <v>2344.0</v>
      </c>
      <c r="F1468" s="1" t="s">
        <v>315</v>
      </c>
      <c r="G1468" s="1">
        <v>555127.0</v>
      </c>
      <c r="H1468" s="1" t="s">
        <v>3047</v>
      </c>
      <c r="I1468" s="1" t="s">
        <v>1051</v>
      </c>
      <c r="J1468" s="1"/>
      <c r="K1468" s="1" t="s">
        <v>23</v>
      </c>
      <c r="L1468" s="1" t="s">
        <v>7409</v>
      </c>
      <c r="M1468" s="1">
        <v>0.0</v>
      </c>
      <c r="N1468" s="1">
        <v>1.0</v>
      </c>
      <c r="O1468" s="1" t="s">
        <v>315</v>
      </c>
      <c r="P1468" s="1" t="s">
        <v>488</v>
      </c>
      <c r="Q1468" s="2" t="str">
        <f t="shared" si="1"/>
        <v>H004680</v>
      </c>
    </row>
    <row r="1469">
      <c r="A1469" s="1" t="s">
        <v>7410</v>
      </c>
      <c r="B1469" s="1" t="s">
        <v>7411</v>
      </c>
      <c r="C1469" s="1" t="s">
        <v>7412</v>
      </c>
      <c r="D1469" s="1" t="s">
        <v>7413</v>
      </c>
      <c r="E1469" s="1">
        <v>3507.0</v>
      </c>
      <c r="F1469" s="1" t="s">
        <v>315</v>
      </c>
      <c r="G1469" s="1">
        <v>555127.0</v>
      </c>
      <c r="H1469" s="1" t="s">
        <v>3047</v>
      </c>
      <c r="I1469" s="1" t="s">
        <v>1051</v>
      </c>
      <c r="J1469" s="1"/>
      <c r="K1469" s="1" t="s">
        <v>23</v>
      </c>
      <c r="L1469" s="1" t="s">
        <v>7414</v>
      </c>
      <c r="M1469" s="1">
        <v>0.0</v>
      </c>
      <c r="N1469" s="1">
        <v>1.0</v>
      </c>
      <c r="O1469" s="1" t="s">
        <v>315</v>
      </c>
      <c r="P1469" s="1" t="s">
        <v>488</v>
      </c>
      <c r="Q1469" s="2" t="str">
        <f t="shared" si="1"/>
        <v>H004680</v>
      </c>
    </row>
    <row r="1470">
      <c r="A1470" s="1" t="s">
        <v>7415</v>
      </c>
      <c r="B1470" s="1" t="s">
        <v>7416</v>
      </c>
      <c r="C1470" s="1" t="s">
        <v>7417</v>
      </c>
      <c r="D1470" s="1" t="s">
        <v>7418</v>
      </c>
      <c r="E1470" s="1">
        <v>5621.0</v>
      </c>
      <c r="F1470" s="1" t="s">
        <v>315</v>
      </c>
      <c r="G1470" s="1">
        <v>555127.0</v>
      </c>
      <c r="H1470" s="1" t="s">
        <v>3047</v>
      </c>
      <c r="I1470" s="1" t="s">
        <v>1051</v>
      </c>
      <c r="J1470" s="1"/>
      <c r="K1470" s="1" t="s">
        <v>23</v>
      </c>
      <c r="L1470" s="1" t="s">
        <v>7419</v>
      </c>
      <c r="M1470" s="1">
        <v>0.0</v>
      </c>
      <c r="N1470" s="1">
        <v>1.0</v>
      </c>
      <c r="O1470" s="1" t="s">
        <v>315</v>
      </c>
      <c r="P1470" s="1" t="s">
        <v>488</v>
      </c>
      <c r="Q1470" s="2" t="str">
        <f t="shared" si="1"/>
        <v>H004680</v>
      </c>
    </row>
    <row r="1471">
      <c r="A1471" s="1" t="s">
        <v>7420</v>
      </c>
      <c r="B1471" s="1" t="s">
        <v>7421</v>
      </c>
      <c r="C1471" s="1" t="s">
        <v>7422</v>
      </c>
      <c r="D1471" s="1" t="s">
        <v>7423</v>
      </c>
      <c r="E1471" s="1">
        <v>3686.0</v>
      </c>
      <c r="F1471" s="1" t="s">
        <v>315</v>
      </c>
      <c r="G1471" s="1">
        <v>455939.0</v>
      </c>
      <c r="H1471" s="1" t="s">
        <v>2746</v>
      </c>
      <c r="I1471" s="1" t="s">
        <v>1051</v>
      </c>
      <c r="J1471" s="1"/>
      <c r="K1471" s="1" t="s">
        <v>23</v>
      </c>
      <c r="L1471" s="1" t="s">
        <v>7424</v>
      </c>
      <c r="M1471" s="1">
        <v>0.0</v>
      </c>
      <c r="N1471" s="1">
        <v>1.0</v>
      </c>
      <c r="O1471" s="1" t="s">
        <v>315</v>
      </c>
      <c r="P1471" s="1" t="s">
        <v>488</v>
      </c>
      <c r="Q1471" s="2" t="str">
        <f t="shared" si="1"/>
        <v>H004680</v>
      </c>
    </row>
    <row r="1472">
      <c r="A1472" s="1" t="s">
        <v>7425</v>
      </c>
      <c r="B1472" s="1" t="s">
        <v>7426</v>
      </c>
      <c r="C1472" s="1" t="s">
        <v>7427</v>
      </c>
      <c r="D1472" s="1" t="s">
        <v>7428</v>
      </c>
      <c r="E1472" s="1">
        <v>3068.0</v>
      </c>
      <c r="F1472" s="1" t="s">
        <v>315</v>
      </c>
      <c r="G1472" s="1">
        <v>455939.0</v>
      </c>
      <c r="H1472" s="1" t="s">
        <v>2746</v>
      </c>
      <c r="I1472" s="1" t="s">
        <v>1051</v>
      </c>
      <c r="J1472" s="1"/>
      <c r="K1472" s="1" t="s">
        <v>23</v>
      </c>
      <c r="L1472" s="1" t="s">
        <v>7429</v>
      </c>
      <c r="M1472" s="1">
        <v>0.0</v>
      </c>
      <c r="N1472" s="1">
        <v>1.0</v>
      </c>
      <c r="O1472" s="1" t="s">
        <v>315</v>
      </c>
      <c r="P1472" s="1" t="s">
        <v>488</v>
      </c>
      <c r="Q1472" s="2" t="str">
        <f t="shared" si="1"/>
        <v>H004680</v>
      </c>
    </row>
    <row r="1473">
      <c r="A1473" s="1" t="s">
        <v>7430</v>
      </c>
      <c r="B1473" s="1" t="s">
        <v>7431</v>
      </c>
      <c r="C1473" s="1" t="s">
        <v>7432</v>
      </c>
      <c r="D1473" s="1" t="s">
        <v>7433</v>
      </c>
      <c r="E1473" s="1">
        <v>2987.0</v>
      </c>
      <c r="F1473" s="1" t="s">
        <v>315</v>
      </c>
      <c r="G1473" s="1">
        <v>455939.0</v>
      </c>
      <c r="H1473" s="1" t="s">
        <v>2746</v>
      </c>
      <c r="I1473" s="1" t="s">
        <v>1051</v>
      </c>
      <c r="J1473" s="1"/>
      <c r="K1473" s="1" t="s">
        <v>23</v>
      </c>
      <c r="L1473" s="1" t="s">
        <v>7434</v>
      </c>
      <c r="M1473" s="1">
        <v>0.0</v>
      </c>
      <c r="N1473" s="1">
        <v>1.0</v>
      </c>
      <c r="O1473" s="1" t="s">
        <v>315</v>
      </c>
      <c r="P1473" s="1" t="s">
        <v>488</v>
      </c>
      <c r="Q1473" s="2" t="str">
        <f t="shared" si="1"/>
        <v>H004680</v>
      </c>
    </row>
    <row r="1474">
      <c r="A1474" s="1" t="s">
        <v>7435</v>
      </c>
      <c r="B1474" s="1" t="s">
        <v>7436</v>
      </c>
      <c r="C1474" s="1" t="s">
        <v>7437</v>
      </c>
      <c r="D1474" s="1" t="s">
        <v>7438</v>
      </c>
      <c r="E1474" s="1">
        <v>5049.0</v>
      </c>
      <c r="F1474" s="1" t="s">
        <v>351</v>
      </c>
      <c r="G1474" s="1" t="s">
        <v>208</v>
      </c>
      <c r="H1474" s="1" t="s">
        <v>209</v>
      </c>
      <c r="I1474" s="1" t="s">
        <v>486</v>
      </c>
      <c r="J1474" s="1"/>
      <c r="K1474" s="1" t="s">
        <v>23</v>
      </c>
      <c r="L1474" s="1" t="s">
        <v>7439</v>
      </c>
      <c r="M1474" s="1">
        <v>0.0</v>
      </c>
      <c r="N1474" s="1">
        <v>1.0</v>
      </c>
      <c r="O1474" s="1" t="s">
        <v>351</v>
      </c>
      <c r="P1474" s="1" t="s">
        <v>488</v>
      </c>
      <c r="Q1474" s="2" t="str">
        <f t="shared" si="1"/>
        <v>H006631</v>
      </c>
    </row>
    <row r="1475">
      <c r="A1475" s="1" t="s">
        <v>7440</v>
      </c>
      <c r="B1475" s="1" t="s">
        <v>7441</v>
      </c>
      <c r="C1475" s="1" t="s">
        <v>7442</v>
      </c>
      <c r="D1475" s="1" t="s">
        <v>7443</v>
      </c>
      <c r="E1475" s="1">
        <v>3309.0</v>
      </c>
      <c r="F1475" s="1" t="s">
        <v>351</v>
      </c>
      <c r="G1475" s="1" t="s">
        <v>208</v>
      </c>
      <c r="H1475" s="1" t="s">
        <v>209</v>
      </c>
      <c r="I1475" s="1" t="s">
        <v>486</v>
      </c>
      <c r="J1475" s="1"/>
      <c r="K1475" s="1" t="s">
        <v>23</v>
      </c>
      <c r="L1475" s="1" t="s">
        <v>7444</v>
      </c>
      <c r="M1475" s="1">
        <v>0.0</v>
      </c>
      <c r="N1475" s="1">
        <v>1.0</v>
      </c>
      <c r="O1475" s="1" t="s">
        <v>351</v>
      </c>
      <c r="P1475" s="1" t="s">
        <v>488</v>
      </c>
      <c r="Q1475" s="2" t="str">
        <f t="shared" si="1"/>
        <v>H006631</v>
      </c>
    </row>
    <row r="1476">
      <c r="A1476" s="1" t="s">
        <v>7445</v>
      </c>
      <c r="B1476" s="1" t="s">
        <v>7446</v>
      </c>
      <c r="C1476" s="1" t="s">
        <v>7447</v>
      </c>
      <c r="D1476" s="1" t="s">
        <v>7448</v>
      </c>
      <c r="E1476" s="1">
        <v>3371.0</v>
      </c>
      <c r="F1476" s="1" t="s">
        <v>398</v>
      </c>
      <c r="G1476" s="1" t="s">
        <v>232</v>
      </c>
      <c r="H1476" s="1" t="s">
        <v>233</v>
      </c>
      <c r="I1476" s="1" t="s">
        <v>1112</v>
      </c>
      <c r="J1476" s="1"/>
      <c r="K1476" s="1" t="s">
        <v>23</v>
      </c>
      <c r="L1476" s="1" t="s">
        <v>7449</v>
      </c>
      <c r="M1476" s="1">
        <v>2.0</v>
      </c>
      <c r="N1476" s="1">
        <v>1.0</v>
      </c>
      <c r="O1476" s="1" t="s">
        <v>398</v>
      </c>
      <c r="P1476" s="1" t="s">
        <v>488</v>
      </c>
      <c r="Q1476" s="2" t="str">
        <f t="shared" si="1"/>
        <v>H030323</v>
      </c>
    </row>
    <row r="1477">
      <c r="A1477" s="1" t="s">
        <v>7450</v>
      </c>
      <c r="B1477" s="1" t="s">
        <v>7451</v>
      </c>
      <c r="C1477" s="1" t="s">
        <v>7452</v>
      </c>
      <c r="D1477" s="1" t="s">
        <v>7453</v>
      </c>
      <c r="E1477" s="1">
        <v>3499.0</v>
      </c>
      <c r="F1477" s="1" t="s">
        <v>398</v>
      </c>
      <c r="G1477" s="1" t="s">
        <v>232</v>
      </c>
      <c r="H1477" s="1" t="s">
        <v>233</v>
      </c>
      <c r="I1477" s="1" t="s">
        <v>1112</v>
      </c>
      <c r="J1477" s="1"/>
      <c r="K1477" s="1" t="s">
        <v>23</v>
      </c>
      <c r="L1477" s="1" t="s">
        <v>7454</v>
      </c>
      <c r="M1477" s="1">
        <v>2.0</v>
      </c>
      <c r="N1477" s="1">
        <v>1.0</v>
      </c>
      <c r="O1477" s="1" t="s">
        <v>398</v>
      </c>
      <c r="P1477" s="1" t="s">
        <v>488</v>
      </c>
      <c r="Q1477" s="2" t="str">
        <f t="shared" si="1"/>
        <v>H030323</v>
      </c>
    </row>
    <row r="1478">
      <c r="A1478" s="1" t="s">
        <v>7455</v>
      </c>
      <c r="B1478" s="1" t="s">
        <v>7456</v>
      </c>
      <c r="C1478" s="1" t="s">
        <v>7457</v>
      </c>
      <c r="D1478" s="1" t="s">
        <v>7458</v>
      </c>
      <c r="E1478" s="1">
        <v>6902.0</v>
      </c>
      <c r="F1478" s="1" t="s">
        <v>398</v>
      </c>
      <c r="G1478" s="1" t="s">
        <v>179</v>
      </c>
      <c r="H1478" s="1" t="s">
        <v>180</v>
      </c>
      <c r="I1478" s="1" t="s">
        <v>1112</v>
      </c>
      <c r="J1478" s="1"/>
      <c r="K1478" s="1" t="s">
        <v>23</v>
      </c>
      <c r="L1478" s="1" t="s">
        <v>7459</v>
      </c>
      <c r="M1478" s="1">
        <v>2.0</v>
      </c>
      <c r="N1478" s="1">
        <v>1.0</v>
      </c>
      <c r="O1478" s="1" t="s">
        <v>398</v>
      </c>
      <c r="P1478" s="1" t="s">
        <v>488</v>
      </c>
      <c r="Q1478" s="2" t="str">
        <f t="shared" si="1"/>
        <v>H030323</v>
      </c>
    </row>
    <row r="1479">
      <c r="A1479" s="1" t="s">
        <v>7460</v>
      </c>
      <c r="B1479" s="1" t="s">
        <v>7461</v>
      </c>
      <c r="C1479" s="1" t="s">
        <v>7462</v>
      </c>
      <c r="D1479" s="1" t="s">
        <v>7463</v>
      </c>
      <c r="E1479" s="1">
        <v>4957.0</v>
      </c>
      <c r="F1479" s="1" t="s">
        <v>398</v>
      </c>
      <c r="G1479" s="1" t="s">
        <v>179</v>
      </c>
      <c r="H1479" s="1" t="s">
        <v>180</v>
      </c>
      <c r="I1479" s="1" t="s">
        <v>1112</v>
      </c>
      <c r="J1479" s="1"/>
      <c r="K1479" s="1" t="s">
        <v>23</v>
      </c>
      <c r="L1479" s="1" t="s">
        <v>7464</v>
      </c>
      <c r="M1479" s="1">
        <v>2.0</v>
      </c>
      <c r="N1479" s="1">
        <v>1.0</v>
      </c>
      <c r="O1479" s="1" t="s">
        <v>398</v>
      </c>
      <c r="P1479" s="1" t="s">
        <v>488</v>
      </c>
      <c r="Q1479" s="2" t="str">
        <f t="shared" si="1"/>
        <v>H030323</v>
      </c>
    </row>
    <row r="1480">
      <c r="A1480" s="1" t="s">
        <v>7465</v>
      </c>
      <c r="B1480" s="1" t="s">
        <v>7466</v>
      </c>
      <c r="C1480" s="1" t="s">
        <v>7467</v>
      </c>
      <c r="D1480" s="1" t="s">
        <v>7468</v>
      </c>
      <c r="E1480" s="1">
        <v>3216.0</v>
      </c>
      <c r="F1480" s="1" t="s">
        <v>498</v>
      </c>
      <c r="G1480" s="1" t="s">
        <v>167</v>
      </c>
      <c r="H1480" s="1" t="s">
        <v>168</v>
      </c>
      <c r="I1480" s="1" t="s">
        <v>1112</v>
      </c>
      <c r="J1480" s="1"/>
      <c r="K1480" s="1" t="s">
        <v>23</v>
      </c>
      <c r="L1480" s="1" t="s">
        <v>7469</v>
      </c>
      <c r="M1480" s="1">
        <v>0.0</v>
      </c>
      <c r="N1480" s="1">
        <v>1.0</v>
      </c>
      <c r="O1480" s="1" t="s">
        <v>498</v>
      </c>
      <c r="P1480" s="1" t="s">
        <v>488</v>
      </c>
      <c r="Q1480" s="2" t="str">
        <f t="shared" si="1"/>
        <v>H030244</v>
      </c>
    </row>
    <row r="1481">
      <c r="A1481" s="1" t="s">
        <v>7470</v>
      </c>
      <c r="B1481" s="1" t="s">
        <v>7471</v>
      </c>
      <c r="C1481" s="1" t="s">
        <v>7472</v>
      </c>
      <c r="D1481" s="1" t="s">
        <v>7473</v>
      </c>
      <c r="E1481" s="1">
        <v>4529.0</v>
      </c>
      <c r="F1481" s="1" t="s">
        <v>498</v>
      </c>
      <c r="G1481" s="1" t="s">
        <v>167</v>
      </c>
      <c r="H1481" s="1" t="s">
        <v>168</v>
      </c>
      <c r="I1481" s="1" t="s">
        <v>1112</v>
      </c>
      <c r="J1481" s="1"/>
      <c r="K1481" s="1" t="s">
        <v>23</v>
      </c>
      <c r="L1481" s="1" t="s">
        <v>7474</v>
      </c>
      <c r="M1481" s="1">
        <v>0.0</v>
      </c>
      <c r="N1481" s="1">
        <v>1.0</v>
      </c>
      <c r="O1481" s="1" t="s">
        <v>498</v>
      </c>
      <c r="P1481" s="1" t="s">
        <v>488</v>
      </c>
      <c r="Q1481" s="2" t="str">
        <f t="shared" si="1"/>
        <v>H030244</v>
      </c>
    </row>
    <row r="1482">
      <c r="A1482" s="1" t="s">
        <v>7475</v>
      </c>
      <c r="B1482" s="1" t="s">
        <v>7476</v>
      </c>
      <c r="C1482" s="1" t="s">
        <v>7477</v>
      </c>
      <c r="D1482" s="1" t="s">
        <v>7478</v>
      </c>
      <c r="E1482" s="1">
        <v>2349.0</v>
      </c>
      <c r="F1482" s="1" t="s">
        <v>351</v>
      </c>
      <c r="G1482" s="1" t="s">
        <v>57</v>
      </c>
      <c r="H1482" s="1" t="s">
        <v>58</v>
      </c>
      <c r="I1482" s="1" t="s">
        <v>486</v>
      </c>
      <c r="J1482" s="1"/>
      <c r="K1482" s="1" t="s">
        <v>23</v>
      </c>
      <c r="L1482" s="1" t="s">
        <v>7479</v>
      </c>
      <c r="M1482" s="1">
        <v>0.0</v>
      </c>
      <c r="N1482" s="1">
        <v>1.0</v>
      </c>
      <c r="O1482" s="1" t="s">
        <v>351</v>
      </c>
      <c r="P1482" s="1" t="s">
        <v>488</v>
      </c>
      <c r="Q1482" s="2" t="str">
        <f t="shared" si="1"/>
        <v>H006631</v>
      </c>
    </row>
    <row r="1483">
      <c r="A1483" s="1" t="s">
        <v>7480</v>
      </c>
      <c r="B1483" s="1" t="s">
        <v>7481</v>
      </c>
      <c r="C1483" s="1" t="s">
        <v>7482</v>
      </c>
      <c r="D1483" s="1" t="s">
        <v>7483</v>
      </c>
      <c r="E1483" s="1">
        <v>4185.0</v>
      </c>
      <c r="F1483" s="1" t="s">
        <v>351</v>
      </c>
      <c r="G1483" s="1" t="s">
        <v>57</v>
      </c>
      <c r="H1483" s="1" t="s">
        <v>58</v>
      </c>
      <c r="I1483" s="1" t="s">
        <v>486</v>
      </c>
      <c r="J1483" s="1"/>
      <c r="K1483" s="1" t="s">
        <v>23</v>
      </c>
      <c r="L1483" s="1" t="s">
        <v>7484</v>
      </c>
      <c r="M1483" s="1">
        <v>0.0</v>
      </c>
      <c r="N1483" s="1">
        <v>1.0</v>
      </c>
      <c r="O1483" s="1" t="s">
        <v>351</v>
      </c>
      <c r="P1483" s="1" t="s">
        <v>488</v>
      </c>
      <c r="Q1483" s="2" t="str">
        <f t="shared" si="1"/>
        <v>H006631</v>
      </c>
    </row>
    <row r="1484">
      <c r="A1484" s="1" t="s">
        <v>7485</v>
      </c>
      <c r="B1484" s="1" t="s">
        <v>7486</v>
      </c>
      <c r="C1484" s="1" t="s">
        <v>7487</v>
      </c>
      <c r="D1484" s="1" t="s">
        <v>7488</v>
      </c>
      <c r="E1484" s="1">
        <v>3712.0</v>
      </c>
      <c r="F1484" s="1" t="s">
        <v>398</v>
      </c>
      <c r="G1484" s="1" t="s">
        <v>155</v>
      </c>
      <c r="H1484" s="1" t="s">
        <v>156</v>
      </c>
      <c r="I1484" s="1" t="s">
        <v>1112</v>
      </c>
      <c r="J1484" s="1"/>
      <c r="K1484" s="1" t="s">
        <v>23</v>
      </c>
      <c r="L1484" s="1" t="s">
        <v>7489</v>
      </c>
      <c r="M1484" s="1">
        <v>2.0</v>
      </c>
      <c r="N1484" s="1">
        <v>1.0</v>
      </c>
      <c r="O1484" s="1" t="s">
        <v>398</v>
      </c>
      <c r="P1484" s="1" t="s">
        <v>488</v>
      </c>
      <c r="Q1484" s="2" t="str">
        <f t="shared" si="1"/>
        <v>H030323</v>
      </c>
    </row>
    <row r="1485">
      <c r="A1485" s="1" t="s">
        <v>7490</v>
      </c>
      <c r="B1485" s="1" t="s">
        <v>7491</v>
      </c>
      <c r="C1485" s="1" t="s">
        <v>7492</v>
      </c>
      <c r="D1485" s="1" t="s">
        <v>7493</v>
      </c>
      <c r="E1485" s="1">
        <v>3163.0</v>
      </c>
      <c r="F1485" s="1" t="s">
        <v>398</v>
      </c>
      <c r="G1485" s="1" t="s">
        <v>155</v>
      </c>
      <c r="H1485" s="1" t="s">
        <v>156</v>
      </c>
      <c r="I1485" s="1" t="s">
        <v>1112</v>
      </c>
      <c r="J1485" s="1"/>
      <c r="K1485" s="1" t="s">
        <v>23</v>
      </c>
      <c r="L1485" s="1" t="s">
        <v>7494</v>
      </c>
      <c r="M1485" s="1">
        <v>2.0</v>
      </c>
      <c r="N1485" s="1">
        <v>1.0</v>
      </c>
      <c r="O1485" s="1" t="s">
        <v>398</v>
      </c>
      <c r="P1485" s="1" t="s">
        <v>488</v>
      </c>
      <c r="Q1485" s="2" t="str">
        <f t="shared" si="1"/>
        <v>H030323</v>
      </c>
    </row>
    <row r="1486">
      <c r="A1486" s="1" t="s">
        <v>7495</v>
      </c>
      <c r="B1486" s="1" t="s">
        <v>7496</v>
      </c>
      <c r="C1486" s="1" t="s">
        <v>7497</v>
      </c>
      <c r="D1486" s="1" t="s">
        <v>7498</v>
      </c>
      <c r="E1486" s="1">
        <v>6303.0</v>
      </c>
      <c r="F1486" s="1" t="s">
        <v>398</v>
      </c>
      <c r="G1486" s="1" t="s">
        <v>155</v>
      </c>
      <c r="H1486" s="1" t="s">
        <v>156</v>
      </c>
      <c r="I1486" s="1" t="s">
        <v>1112</v>
      </c>
      <c r="J1486" s="1"/>
      <c r="K1486" s="1" t="s">
        <v>23</v>
      </c>
      <c r="L1486" s="1" t="s">
        <v>7499</v>
      </c>
      <c r="M1486" s="1">
        <v>2.0</v>
      </c>
      <c r="N1486" s="1">
        <v>1.0</v>
      </c>
      <c r="O1486" s="1" t="s">
        <v>398</v>
      </c>
      <c r="P1486" s="1" t="s">
        <v>488</v>
      </c>
      <c r="Q1486" s="2" t="str">
        <f t="shared" si="1"/>
        <v>H030323</v>
      </c>
    </row>
    <row r="1487">
      <c r="A1487" s="1" t="s">
        <v>7500</v>
      </c>
      <c r="B1487" s="1" t="s">
        <v>7501</v>
      </c>
      <c r="C1487" s="1" t="s">
        <v>7502</v>
      </c>
      <c r="D1487" s="1" t="s">
        <v>7503</v>
      </c>
      <c r="E1487" s="1">
        <v>3837.0</v>
      </c>
      <c r="F1487" s="1" t="s">
        <v>398</v>
      </c>
      <c r="G1487" s="1" t="s">
        <v>155</v>
      </c>
      <c r="H1487" s="1" t="s">
        <v>156</v>
      </c>
      <c r="I1487" s="1" t="s">
        <v>1112</v>
      </c>
      <c r="J1487" s="1"/>
      <c r="K1487" s="1" t="s">
        <v>23</v>
      </c>
      <c r="L1487" s="1" t="s">
        <v>7504</v>
      </c>
      <c r="M1487" s="1">
        <v>2.0</v>
      </c>
      <c r="N1487" s="1">
        <v>1.0</v>
      </c>
      <c r="O1487" s="1" t="s">
        <v>398</v>
      </c>
      <c r="P1487" s="1" t="s">
        <v>488</v>
      </c>
      <c r="Q1487" s="2" t="str">
        <f t="shared" si="1"/>
        <v>H030323</v>
      </c>
    </row>
    <row r="1488">
      <c r="A1488" s="1" t="s">
        <v>7505</v>
      </c>
      <c r="B1488" s="1" t="s">
        <v>7506</v>
      </c>
      <c r="C1488" s="1" t="s">
        <v>7507</v>
      </c>
      <c r="D1488" s="1" t="s">
        <v>7508</v>
      </c>
      <c r="E1488" s="1">
        <v>4248.0</v>
      </c>
      <c r="F1488" s="1" t="s">
        <v>351</v>
      </c>
      <c r="G1488" s="1" t="s">
        <v>260</v>
      </c>
      <c r="H1488" s="1" t="s">
        <v>261</v>
      </c>
      <c r="I1488" s="1" t="s">
        <v>486</v>
      </c>
      <c r="J1488" s="1"/>
      <c r="K1488" s="1" t="s">
        <v>23</v>
      </c>
      <c r="L1488" s="1" t="s">
        <v>7509</v>
      </c>
      <c r="M1488" s="1">
        <v>0.0</v>
      </c>
      <c r="N1488" s="1">
        <v>1.0</v>
      </c>
      <c r="O1488" s="1" t="s">
        <v>351</v>
      </c>
      <c r="P1488" s="1" t="s">
        <v>488</v>
      </c>
      <c r="Q1488" s="2" t="str">
        <f t="shared" si="1"/>
        <v>H006631</v>
      </c>
    </row>
    <row r="1489">
      <c r="A1489" s="1" t="s">
        <v>7510</v>
      </c>
      <c r="B1489" s="1" t="s">
        <v>7511</v>
      </c>
      <c r="C1489" s="1" t="s">
        <v>7512</v>
      </c>
      <c r="D1489" s="1" t="s">
        <v>7513</v>
      </c>
      <c r="E1489" s="1">
        <v>3979.0</v>
      </c>
      <c r="F1489" s="1" t="s">
        <v>351</v>
      </c>
      <c r="G1489" s="1" t="s">
        <v>260</v>
      </c>
      <c r="H1489" s="1" t="s">
        <v>261</v>
      </c>
      <c r="I1489" s="1" t="s">
        <v>486</v>
      </c>
      <c r="J1489" s="1"/>
      <c r="K1489" s="1" t="s">
        <v>23</v>
      </c>
      <c r="L1489" s="1" t="s">
        <v>7514</v>
      </c>
      <c r="M1489" s="1">
        <v>0.0</v>
      </c>
      <c r="N1489" s="1">
        <v>1.0</v>
      </c>
      <c r="O1489" s="1" t="s">
        <v>351</v>
      </c>
      <c r="P1489" s="1" t="s">
        <v>488</v>
      </c>
      <c r="Q1489" s="2" t="str">
        <f t="shared" si="1"/>
        <v>H006631</v>
      </c>
    </row>
    <row r="1490">
      <c r="A1490" s="1" t="s">
        <v>7515</v>
      </c>
      <c r="B1490" s="1" t="s">
        <v>7516</v>
      </c>
      <c r="C1490" s="1" t="s">
        <v>7517</v>
      </c>
      <c r="D1490" s="1" t="s">
        <v>7518</v>
      </c>
      <c r="E1490" s="1">
        <v>4207.0</v>
      </c>
      <c r="F1490" s="1" t="s">
        <v>498</v>
      </c>
      <c r="G1490" s="1">
        <v>896791.0</v>
      </c>
      <c r="H1490" s="1" t="s">
        <v>2124</v>
      </c>
      <c r="I1490" s="1" t="s">
        <v>1112</v>
      </c>
      <c r="J1490" s="1"/>
      <c r="K1490" s="1" t="s">
        <v>23</v>
      </c>
      <c r="L1490" s="1" t="s">
        <v>7519</v>
      </c>
      <c r="M1490" s="1">
        <v>0.0</v>
      </c>
      <c r="N1490" s="1">
        <v>1.0</v>
      </c>
      <c r="O1490" s="1" t="s">
        <v>498</v>
      </c>
      <c r="P1490" s="1" t="s">
        <v>488</v>
      </c>
      <c r="Q1490" s="2" t="str">
        <f t="shared" si="1"/>
        <v>H030244</v>
      </c>
    </row>
    <row r="1491">
      <c r="A1491" s="1" t="s">
        <v>7520</v>
      </c>
      <c r="B1491" s="1" t="s">
        <v>7521</v>
      </c>
      <c r="C1491" s="1" t="s">
        <v>7522</v>
      </c>
      <c r="D1491" s="1" t="s">
        <v>7523</v>
      </c>
      <c r="E1491" s="1">
        <v>4297.0</v>
      </c>
      <c r="F1491" s="1" t="s">
        <v>498</v>
      </c>
      <c r="G1491" s="1">
        <v>896791.0</v>
      </c>
      <c r="H1491" s="1" t="s">
        <v>2124</v>
      </c>
      <c r="I1491" s="1" t="s">
        <v>1112</v>
      </c>
      <c r="J1491" s="1"/>
      <c r="K1491" s="1" t="s">
        <v>23</v>
      </c>
      <c r="L1491" s="1" t="s">
        <v>7524</v>
      </c>
      <c r="M1491" s="1">
        <v>0.0</v>
      </c>
      <c r="N1491" s="1">
        <v>1.0</v>
      </c>
      <c r="O1491" s="1" t="s">
        <v>498</v>
      </c>
      <c r="P1491" s="1" t="s">
        <v>488</v>
      </c>
      <c r="Q1491" s="2" t="str">
        <f t="shared" si="1"/>
        <v>H030244</v>
      </c>
    </row>
    <row r="1492">
      <c r="A1492" s="1" t="s">
        <v>7525</v>
      </c>
      <c r="B1492" s="1" t="s">
        <v>7526</v>
      </c>
      <c r="C1492" s="1" t="s">
        <v>7527</v>
      </c>
      <c r="D1492" s="1" t="s">
        <v>7528</v>
      </c>
      <c r="E1492" s="1">
        <v>3182.0</v>
      </c>
      <c r="F1492" s="1" t="s">
        <v>288</v>
      </c>
      <c r="G1492" s="1">
        <v>859767.0</v>
      </c>
      <c r="H1492" s="1" t="s">
        <v>2565</v>
      </c>
      <c r="I1492" s="1" t="s">
        <v>1051</v>
      </c>
      <c r="J1492" s="1"/>
      <c r="K1492" s="1" t="s">
        <v>23</v>
      </c>
      <c r="L1492" s="1" t="s">
        <v>7529</v>
      </c>
      <c r="M1492" s="1">
        <v>1.0</v>
      </c>
      <c r="N1492" s="1">
        <v>1.0</v>
      </c>
      <c r="O1492" s="1" t="s">
        <v>288</v>
      </c>
      <c r="P1492" s="1" t="s">
        <v>488</v>
      </c>
      <c r="Q1492" s="2" t="str">
        <f t="shared" si="1"/>
        <v>H004380</v>
      </c>
    </row>
    <row r="1493">
      <c r="A1493" s="1" t="s">
        <v>7530</v>
      </c>
      <c r="B1493" s="1" t="s">
        <v>7531</v>
      </c>
      <c r="C1493" s="1" t="s">
        <v>7532</v>
      </c>
      <c r="D1493" s="1" t="s">
        <v>7533</v>
      </c>
      <c r="E1493" s="1">
        <v>6981.0</v>
      </c>
      <c r="F1493" s="1" t="s">
        <v>288</v>
      </c>
      <c r="G1493" s="1">
        <v>859767.0</v>
      </c>
      <c r="H1493" s="1" t="s">
        <v>2565</v>
      </c>
      <c r="I1493" s="1" t="s">
        <v>1051</v>
      </c>
      <c r="J1493" s="1"/>
      <c r="K1493" s="1" t="s">
        <v>23</v>
      </c>
      <c r="L1493" s="1" t="s">
        <v>7534</v>
      </c>
      <c r="M1493" s="1">
        <v>1.0</v>
      </c>
      <c r="N1493" s="1">
        <v>1.0</v>
      </c>
      <c r="O1493" s="1" t="s">
        <v>288</v>
      </c>
      <c r="P1493" s="1" t="s">
        <v>488</v>
      </c>
      <c r="Q1493" s="2" t="str">
        <f t="shared" si="1"/>
        <v>H004380</v>
      </c>
    </row>
    <row r="1494">
      <c r="A1494" s="1" t="s">
        <v>7535</v>
      </c>
      <c r="B1494" s="1" t="s">
        <v>7536</v>
      </c>
      <c r="C1494" s="1" t="s">
        <v>7537</v>
      </c>
      <c r="D1494" s="1" t="s">
        <v>7538</v>
      </c>
      <c r="E1494" s="1">
        <v>3271.0</v>
      </c>
      <c r="F1494" s="1" t="s">
        <v>288</v>
      </c>
      <c r="G1494" s="1">
        <v>859767.0</v>
      </c>
      <c r="H1494" s="1" t="s">
        <v>2565</v>
      </c>
      <c r="I1494" s="1" t="s">
        <v>1051</v>
      </c>
      <c r="J1494" s="1"/>
      <c r="K1494" s="1" t="s">
        <v>23</v>
      </c>
      <c r="L1494" s="1" t="s">
        <v>7539</v>
      </c>
      <c r="M1494" s="1">
        <v>1.0</v>
      </c>
      <c r="N1494" s="1">
        <v>1.0</v>
      </c>
      <c r="O1494" s="1" t="s">
        <v>288</v>
      </c>
      <c r="P1494" s="1" t="s">
        <v>488</v>
      </c>
      <c r="Q1494" s="2" t="str">
        <f t="shared" si="1"/>
        <v>H004380</v>
      </c>
    </row>
    <row r="1495">
      <c r="A1495" s="1" t="s">
        <v>7540</v>
      </c>
      <c r="B1495" s="1" t="s">
        <v>7541</v>
      </c>
      <c r="C1495" s="1" t="s">
        <v>7542</v>
      </c>
      <c r="D1495" s="1" t="s">
        <v>7543</v>
      </c>
      <c r="E1495" s="1">
        <v>2898.0</v>
      </c>
      <c r="F1495" s="1" t="s">
        <v>288</v>
      </c>
      <c r="G1495" s="1">
        <v>729375.0</v>
      </c>
      <c r="H1495" s="1" t="s">
        <v>1050</v>
      </c>
      <c r="I1495" s="1" t="s">
        <v>1051</v>
      </c>
      <c r="J1495" s="1"/>
      <c r="K1495" s="1" t="s">
        <v>23</v>
      </c>
      <c r="L1495" s="1" t="s">
        <v>7544</v>
      </c>
      <c r="M1495" s="1">
        <v>1.0</v>
      </c>
      <c r="N1495" s="1">
        <v>1.0</v>
      </c>
      <c r="O1495" s="1" t="s">
        <v>288</v>
      </c>
      <c r="P1495" s="1" t="s">
        <v>488</v>
      </c>
      <c r="Q1495" s="2" t="str">
        <f t="shared" si="1"/>
        <v>H004380</v>
      </c>
    </row>
    <row r="1496">
      <c r="A1496" s="1" t="s">
        <v>7545</v>
      </c>
      <c r="B1496" s="1" t="s">
        <v>7546</v>
      </c>
      <c r="C1496" s="1" t="s">
        <v>7547</v>
      </c>
      <c r="D1496" s="1" t="s">
        <v>7548</v>
      </c>
      <c r="E1496" s="1">
        <v>1665.0</v>
      </c>
      <c r="F1496" s="1" t="s">
        <v>288</v>
      </c>
      <c r="G1496" s="1">
        <v>729375.0</v>
      </c>
      <c r="H1496" s="1" t="s">
        <v>1050</v>
      </c>
      <c r="I1496" s="1" t="s">
        <v>1051</v>
      </c>
      <c r="J1496" s="1"/>
      <c r="K1496" s="1" t="s">
        <v>23</v>
      </c>
      <c r="L1496" s="1" t="s">
        <v>7549</v>
      </c>
      <c r="M1496" s="1">
        <v>1.0</v>
      </c>
      <c r="N1496" s="1">
        <v>1.0</v>
      </c>
      <c r="O1496" s="1" t="s">
        <v>288</v>
      </c>
      <c r="P1496" s="1" t="s">
        <v>488</v>
      </c>
      <c r="Q1496" s="2" t="str">
        <f t="shared" si="1"/>
        <v>H004380</v>
      </c>
    </row>
    <row r="1497">
      <c r="A1497" s="1" t="s">
        <v>7550</v>
      </c>
      <c r="B1497" s="1" t="s">
        <v>7551</v>
      </c>
      <c r="C1497" s="1" t="s">
        <v>7552</v>
      </c>
      <c r="D1497" s="1" t="s">
        <v>7553</v>
      </c>
      <c r="E1497" s="1">
        <v>1274.0</v>
      </c>
      <c r="F1497" s="1" t="s">
        <v>288</v>
      </c>
      <c r="G1497" s="1">
        <v>729375.0</v>
      </c>
      <c r="H1497" s="1" t="s">
        <v>1050</v>
      </c>
      <c r="I1497" s="1" t="s">
        <v>1051</v>
      </c>
      <c r="J1497" s="1"/>
      <c r="K1497" s="1" t="s">
        <v>23</v>
      </c>
      <c r="L1497" s="1" t="s">
        <v>7554</v>
      </c>
      <c r="M1497" s="1">
        <v>1.0</v>
      </c>
      <c r="N1497" s="1">
        <v>1.0</v>
      </c>
      <c r="O1497" s="1" t="s">
        <v>288</v>
      </c>
      <c r="P1497" s="1" t="s">
        <v>488</v>
      </c>
      <c r="Q1497" s="2" t="str">
        <f t="shared" si="1"/>
        <v>H004380</v>
      </c>
    </row>
    <row r="1498">
      <c r="A1498" s="1" t="s">
        <v>7555</v>
      </c>
      <c r="B1498" s="1" t="s">
        <v>7556</v>
      </c>
      <c r="C1498" s="1" t="s">
        <v>7557</v>
      </c>
      <c r="D1498" s="1" t="s">
        <v>7558</v>
      </c>
      <c r="E1498" s="1">
        <v>3669.0</v>
      </c>
      <c r="F1498" s="1" t="s">
        <v>498</v>
      </c>
      <c r="G1498" s="1" t="s">
        <v>132</v>
      </c>
      <c r="H1498" s="1" t="s">
        <v>133</v>
      </c>
      <c r="I1498" s="1" t="s">
        <v>1112</v>
      </c>
      <c r="J1498" s="1"/>
      <c r="K1498" s="1" t="s">
        <v>23</v>
      </c>
      <c r="L1498" s="1" t="s">
        <v>7559</v>
      </c>
      <c r="M1498" s="1">
        <v>0.0</v>
      </c>
      <c r="N1498" s="1">
        <v>1.0</v>
      </c>
      <c r="O1498" s="1" t="s">
        <v>498</v>
      </c>
      <c r="P1498" s="1" t="s">
        <v>488</v>
      </c>
      <c r="Q1498" s="2" t="str">
        <f t="shared" si="1"/>
        <v>H030244</v>
      </c>
    </row>
    <row r="1499">
      <c r="A1499" s="1" t="s">
        <v>7560</v>
      </c>
      <c r="B1499" s="1" t="s">
        <v>7561</v>
      </c>
      <c r="C1499" s="1" t="s">
        <v>7562</v>
      </c>
      <c r="D1499" s="1" t="s">
        <v>7563</v>
      </c>
      <c r="E1499" s="1">
        <v>4277.0</v>
      </c>
      <c r="F1499" s="1" t="s">
        <v>498</v>
      </c>
      <c r="G1499" s="1" t="s">
        <v>220</v>
      </c>
      <c r="H1499" s="1" t="s">
        <v>221</v>
      </c>
      <c r="I1499" s="1" t="s">
        <v>1112</v>
      </c>
      <c r="J1499" s="1"/>
      <c r="K1499" s="1" t="s">
        <v>23</v>
      </c>
      <c r="L1499" s="1" t="s">
        <v>7564</v>
      </c>
      <c r="M1499" s="1">
        <v>0.0</v>
      </c>
      <c r="N1499" s="1">
        <v>1.0</v>
      </c>
      <c r="O1499" s="1" t="s">
        <v>498</v>
      </c>
      <c r="P1499" s="1" t="s">
        <v>488</v>
      </c>
      <c r="Q1499" s="2" t="str">
        <f t="shared" si="1"/>
        <v>H030244</v>
      </c>
    </row>
    <row r="1500">
      <c r="A1500" s="1" t="s">
        <v>7565</v>
      </c>
      <c r="B1500" s="1" t="s">
        <v>7566</v>
      </c>
      <c r="C1500" s="1" t="s">
        <v>7567</v>
      </c>
      <c r="D1500" s="1" t="s">
        <v>7568</v>
      </c>
      <c r="E1500" s="1">
        <v>6716.0</v>
      </c>
      <c r="F1500" s="1" t="s">
        <v>498</v>
      </c>
      <c r="G1500" s="1" t="s">
        <v>220</v>
      </c>
      <c r="H1500" s="1" t="s">
        <v>221</v>
      </c>
      <c r="I1500" s="1" t="s">
        <v>1112</v>
      </c>
      <c r="J1500" s="1"/>
      <c r="K1500" s="1" t="s">
        <v>23</v>
      </c>
      <c r="L1500" s="1" t="s">
        <v>7569</v>
      </c>
      <c r="M1500" s="1">
        <v>0.0</v>
      </c>
      <c r="N1500" s="1">
        <v>1.0</v>
      </c>
      <c r="O1500" s="1" t="s">
        <v>498</v>
      </c>
      <c r="P1500" s="1" t="s">
        <v>488</v>
      </c>
      <c r="Q1500" s="2" t="str">
        <f t="shared" si="1"/>
        <v>H030244</v>
      </c>
    </row>
    <row r="1501">
      <c r="A1501" s="1" t="s">
        <v>7570</v>
      </c>
      <c r="B1501" s="1" t="s">
        <v>7571</v>
      </c>
      <c r="C1501" s="1" t="s">
        <v>7572</v>
      </c>
      <c r="D1501" s="1" t="s">
        <v>7573</v>
      </c>
      <c r="E1501" s="1">
        <v>3738.0</v>
      </c>
      <c r="F1501" s="1" t="s">
        <v>382</v>
      </c>
      <c r="G1501" s="1" t="s">
        <v>474</v>
      </c>
      <c r="H1501" s="1" t="s">
        <v>475</v>
      </c>
      <c r="I1501" s="1" t="s">
        <v>486</v>
      </c>
      <c r="J1501" s="1"/>
      <c r="K1501" s="1" t="s">
        <v>23</v>
      </c>
      <c r="L1501" s="1" t="s">
        <v>7574</v>
      </c>
      <c r="M1501" s="1">
        <v>3.0</v>
      </c>
      <c r="N1501" s="1">
        <v>1.0</v>
      </c>
      <c r="O1501" s="1" t="s">
        <v>382</v>
      </c>
      <c r="P1501" s="1" t="s">
        <v>488</v>
      </c>
      <c r="Q1501" s="2" t="str">
        <f t="shared" si="1"/>
        <v>H006510</v>
      </c>
    </row>
    <row r="1502">
      <c r="A1502" s="1" t="s">
        <v>7575</v>
      </c>
      <c r="B1502" s="1" t="s">
        <v>7576</v>
      </c>
      <c r="C1502" s="1" t="s">
        <v>7577</v>
      </c>
      <c r="D1502" s="1" t="s">
        <v>7578</v>
      </c>
      <c r="E1502" s="1">
        <v>4487.0</v>
      </c>
      <c r="F1502" s="1" t="s">
        <v>382</v>
      </c>
      <c r="G1502" s="1" t="s">
        <v>474</v>
      </c>
      <c r="H1502" s="1" t="s">
        <v>475</v>
      </c>
      <c r="I1502" s="1" t="s">
        <v>486</v>
      </c>
      <c r="J1502" s="1"/>
      <c r="K1502" s="1" t="s">
        <v>23</v>
      </c>
      <c r="L1502" s="1" t="s">
        <v>7579</v>
      </c>
      <c r="M1502" s="1">
        <v>3.0</v>
      </c>
      <c r="N1502" s="1">
        <v>1.0</v>
      </c>
      <c r="O1502" s="1" t="s">
        <v>382</v>
      </c>
      <c r="P1502" s="1" t="s">
        <v>488</v>
      </c>
      <c r="Q1502" s="2" t="str">
        <f t="shared" si="1"/>
        <v>H006510</v>
      </c>
    </row>
    <row r="1503">
      <c r="A1503" s="1" t="s">
        <v>7580</v>
      </c>
      <c r="B1503" s="1" t="s">
        <v>7581</v>
      </c>
      <c r="C1503" s="1" t="s">
        <v>7582</v>
      </c>
      <c r="D1503" s="1" t="s">
        <v>7583</v>
      </c>
      <c r="E1503" s="1">
        <v>3738.0</v>
      </c>
      <c r="F1503" s="1" t="s">
        <v>498</v>
      </c>
      <c r="G1503" s="1" t="s">
        <v>132</v>
      </c>
      <c r="H1503" s="1" t="s">
        <v>133</v>
      </c>
      <c r="I1503" s="1" t="s">
        <v>1112</v>
      </c>
      <c r="J1503" s="1"/>
      <c r="K1503" s="1" t="s">
        <v>23</v>
      </c>
      <c r="L1503" s="1" t="s">
        <v>7584</v>
      </c>
      <c r="M1503" s="1">
        <v>0.0</v>
      </c>
      <c r="N1503" s="1">
        <v>1.0</v>
      </c>
      <c r="O1503" s="1" t="s">
        <v>498</v>
      </c>
      <c r="P1503" s="1" t="s">
        <v>488</v>
      </c>
      <c r="Q1503" s="2" t="str">
        <f t="shared" si="1"/>
        <v>H030244</v>
      </c>
    </row>
    <row r="1504">
      <c r="A1504" s="1" t="s">
        <v>7585</v>
      </c>
      <c r="B1504" s="1" t="s">
        <v>7586</v>
      </c>
      <c r="C1504" s="1" t="s">
        <v>7587</v>
      </c>
      <c r="D1504" s="1" t="s">
        <v>7588</v>
      </c>
      <c r="E1504" s="1">
        <v>3986.0</v>
      </c>
      <c r="F1504" s="1" t="s">
        <v>382</v>
      </c>
      <c r="G1504" s="1" t="s">
        <v>107</v>
      </c>
      <c r="H1504" s="1" t="s">
        <v>108</v>
      </c>
      <c r="I1504" s="1" t="s">
        <v>486</v>
      </c>
      <c r="J1504" s="1"/>
      <c r="K1504" s="1" t="s">
        <v>23</v>
      </c>
      <c r="L1504" s="1" t="s">
        <v>7589</v>
      </c>
      <c r="M1504" s="1">
        <v>3.0</v>
      </c>
      <c r="N1504" s="1">
        <v>1.0</v>
      </c>
      <c r="O1504" s="1" t="s">
        <v>382</v>
      </c>
      <c r="P1504" s="1" t="s">
        <v>488</v>
      </c>
      <c r="Q1504" s="2" t="str">
        <f t="shared" si="1"/>
        <v>H006510</v>
      </c>
    </row>
    <row r="1505">
      <c r="A1505" s="1" t="s">
        <v>7590</v>
      </c>
      <c r="B1505" s="1" t="s">
        <v>7591</v>
      </c>
      <c r="C1505" s="1" t="s">
        <v>7592</v>
      </c>
      <c r="D1505" s="1" t="s">
        <v>7593</v>
      </c>
      <c r="E1505" s="1">
        <v>3326.0</v>
      </c>
      <c r="F1505" s="1" t="s">
        <v>382</v>
      </c>
      <c r="G1505" s="1" t="s">
        <v>107</v>
      </c>
      <c r="H1505" s="1" t="s">
        <v>108</v>
      </c>
      <c r="I1505" s="1" t="s">
        <v>486</v>
      </c>
      <c r="J1505" s="1"/>
      <c r="K1505" s="1" t="s">
        <v>23</v>
      </c>
      <c r="L1505" s="1" t="s">
        <v>7594</v>
      </c>
      <c r="M1505" s="1">
        <v>3.0</v>
      </c>
      <c r="N1505" s="1">
        <v>1.0</v>
      </c>
      <c r="O1505" s="1" t="s">
        <v>382</v>
      </c>
      <c r="P1505" s="1" t="s">
        <v>488</v>
      </c>
      <c r="Q1505" s="2" t="str">
        <f t="shared" si="1"/>
        <v>H006510</v>
      </c>
    </row>
    <row r="1506">
      <c r="A1506" s="1" t="s">
        <v>7595</v>
      </c>
      <c r="B1506" s="1" t="s">
        <v>7596</v>
      </c>
      <c r="C1506" s="1" t="s">
        <v>7597</v>
      </c>
      <c r="D1506" s="1" t="s">
        <v>7598</v>
      </c>
      <c r="E1506" s="1">
        <v>2619.0</v>
      </c>
      <c r="F1506" s="1" t="s">
        <v>288</v>
      </c>
      <c r="G1506" s="1" t="s">
        <v>304</v>
      </c>
      <c r="H1506" s="1" t="s">
        <v>272</v>
      </c>
      <c r="I1506" s="1" t="s">
        <v>1051</v>
      </c>
      <c r="J1506" s="1"/>
      <c r="K1506" s="1" t="s">
        <v>23</v>
      </c>
      <c r="L1506" s="1" t="s">
        <v>7599</v>
      </c>
      <c r="M1506" s="1">
        <v>1.0</v>
      </c>
      <c r="N1506" s="1">
        <v>1.0</v>
      </c>
      <c r="O1506" s="1" t="s">
        <v>288</v>
      </c>
      <c r="P1506" s="1" t="s">
        <v>488</v>
      </c>
      <c r="Q1506" s="2" t="str">
        <f t="shared" si="1"/>
        <v>H004380</v>
      </c>
    </row>
    <row r="1507">
      <c r="A1507" s="1" t="s">
        <v>7600</v>
      </c>
      <c r="B1507" s="1" t="s">
        <v>7601</v>
      </c>
      <c r="C1507" s="1" t="s">
        <v>7602</v>
      </c>
      <c r="D1507" s="1" t="s">
        <v>7603</v>
      </c>
      <c r="E1507" s="1">
        <v>3182.0</v>
      </c>
      <c r="F1507" s="1" t="s">
        <v>288</v>
      </c>
      <c r="G1507" s="1" t="s">
        <v>304</v>
      </c>
      <c r="H1507" s="1" t="s">
        <v>272</v>
      </c>
      <c r="I1507" s="1" t="s">
        <v>1051</v>
      </c>
      <c r="J1507" s="1"/>
      <c r="K1507" s="1" t="s">
        <v>23</v>
      </c>
      <c r="L1507" s="1" t="s">
        <v>7604</v>
      </c>
      <c r="M1507" s="1">
        <v>1.0</v>
      </c>
      <c r="N1507" s="1">
        <v>1.0</v>
      </c>
      <c r="O1507" s="1" t="s">
        <v>288</v>
      </c>
      <c r="P1507" s="1" t="s">
        <v>488</v>
      </c>
      <c r="Q1507" s="2" t="str">
        <f t="shared" si="1"/>
        <v>H004380</v>
      </c>
    </row>
    <row r="1508">
      <c r="A1508" s="1" t="s">
        <v>7605</v>
      </c>
      <c r="B1508" s="1" t="s">
        <v>7606</v>
      </c>
      <c r="C1508" s="1" t="s">
        <v>7607</v>
      </c>
      <c r="D1508" s="1" t="s">
        <v>7608</v>
      </c>
      <c r="E1508" s="1">
        <v>4613.0</v>
      </c>
      <c r="F1508" s="1" t="s">
        <v>288</v>
      </c>
      <c r="G1508" s="1" t="s">
        <v>304</v>
      </c>
      <c r="H1508" s="1" t="s">
        <v>272</v>
      </c>
      <c r="I1508" s="1" t="s">
        <v>1051</v>
      </c>
      <c r="J1508" s="1"/>
      <c r="K1508" s="1" t="s">
        <v>23</v>
      </c>
      <c r="L1508" s="1" t="s">
        <v>7609</v>
      </c>
      <c r="M1508" s="1">
        <v>1.0</v>
      </c>
      <c r="N1508" s="1">
        <v>1.0</v>
      </c>
      <c r="O1508" s="1" t="s">
        <v>288</v>
      </c>
      <c r="P1508" s="1" t="s">
        <v>488</v>
      </c>
      <c r="Q1508" s="2" t="str">
        <f t="shared" si="1"/>
        <v>H004380</v>
      </c>
    </row>
    <row r="1509">
      <c r="A1509" s="1" t="s">
        <v>7610</v>
      </c>
      <c r="B1509" s="1" t="s">
        <v>7611</v>
      </c>
      <c r="C1509" s="1" t="s">
        <v>7612</v>
      </c>
      <c r="D1509" s="1" t="s">
        <v>7613</v>
      </c>
      <c r="E1509" s="1">
        <v>3809.0</v>
      </c>
      <c r="F1509" s="1" t="s">
        <v>382</v>
      </c>
      <c r="G1509" s="1" t="s">
        <v>119</v>
      </c>
      <c r="H1509" s="1" t="s">
        <v>120</v>
      </c>
      <c r="I1509" s="1" t="s">
        <v>486</v>
      </c>
      <c r="J1509" s="1"/>
      <c r="K1509" s="1" t="s">
        <v>23</v>
      </c>
      <c r="L1509" s="1" t="s">
        <v>7614</v>
      </c>
      <c r="M1509" s="1">
        <v>3.0</v>
      </c>
      <c r="N1509" s="1">
        <v>1.0</v>
      </c>
      <c r="O1509" s="1" t="s">
        <v>382</v>
      </c>
      <c r="P1509" s="1" t="s">
        <v>488</v>
      </c>
      <c r="Q1509" s="2" t="str">
        <f t="shared" si="1"/>
        <v>H006510</v>
      </c>
    </row>
    <row r="1510">
      <c r="A1510" s="1" t="s">
        <v>7615</v>
      </c>
      <c r="B1510" s="1" t="s">
        <v>7616</v>
      </c>
      <c r="C1510" s="1" t="s">
        <v>7617</v>
      </c>
      <c r="D1510" s="1" t="s">
        <v>7618</v>
      </c>
      <c r="E1510" s="1">
        <v>3518.0</v>
      </c>
      <c r="F1510" s="1" t="s">
        <v>382</v>
      </c>
      <c r="G1510" s="1" t="s">
        <v>119</v>
      </c>
      <c r="H1510" s="1" t="s">
        <v>120</v>
      </c>
      <c r="I1510" s="1" t="s">
        <v>486</v>
      </c>
      <c r="J1510" s="1"/>
      <c r="K1510" s="1" t="s">
        <v>23</v>
      </c>
      <c r="L1510" s="1" t="s">
        <v>7619</v>
      </c>
      <c r="M1510" s="1">
        <v>3.0</v>
      </c>
      <c r="N1510" s="1">
        <v>1.0</v>
      </c>
      <c r="O1510" s="1" t="s">
        <v>382</v>
      </c>
      <c r="P1510" s="1" t="s">
        <v>488</v>
      </c>
      <c r="Q1510" s="2" t="str">
        <f t="shared" si="1"/>
        <v>H006510</v>
      </c>
    </row>
    <row r="1511">
      <c r="A1511" s="1" t="s">
        <v>7620</v>
      </c>
      <c r="B1511" s="1" t="s">
        <v>7621</v>
      </c>
      <c r="C1511" s="1" t="s">
        <v>7622</v>
      </c>
      <c r="D1511" s="1" t="s">
        <v>7623</v>
      </c>
      <c r="E1511" s="1">
        <v>2610.0</v>
      </c>
      <c r="F1511" s="1" t="s">
        <v>382</v>
      </c>
      <c r="G1511" s="1" t="s">
        <v>191</v>
      </c>
      <c r="H1511" s="1" t="s">
        <v>192</v>
      </c>
      <c r="I1511" s="1" t="s">
        <v>486</v>
      </c>
      <c r="J1511" s="1"/>
      <c r="K1511" s="1" t="s">
        <v>23</v>
      </c>
      <c r="L1511" s="1" t="s">
        <v>7624</v>
      </c>
      <c r="M1511" s="1">
        <v>3.0</v>
      </c>
      <c r="N1511" s="1">
        <v>1.0</v>
      </c>
      <c r="O1511" s="1" t="s">
        <v>382</v>
      </c>
      <c r="P1511" s="1" t="s">
        <v>488</v>
      </c>
      <c r="Q1511" s="2" t="str">
        <f t="shared" si="1"/>
        <v>H006510</v>
      </c>
    </row>
    <row r="1512">
      <c r="A1512" s="1" t="s">
        <v>7625</v>
      </c>
      <c r="B1512" s="1" t="s">
        <v>7626</v>
      </c>
      <c r="C1512" s="1" t="s">
        <v>7627</v>
      </c>
      <c r="D1512" s="1" t="s">
        <v>7628</v>
      </c>
      <c r="E1512" s="1">
        <v>3114.0</v>
      </c>
      <c r="F1512" s="1" t="s">
        <v>382</v>
      </c>
      <c r="G1512" s="1" t="s">
        <v>191</v>
      </c>
      <c r="H1512" s="1" t="s">
        <v>192</v>
      </c>
      <c r="I1512" s="1" t="s">
        <v>486</v>
      </c>
      <c r="J1512" s="1"/>
      <c r="K1512" s="1" t="s">
        <v>23</v>
      </c>
      <c r="L1512" s="1" t="s">
        <v>7629</v>
      </c>
      <c r="M1512" s="1">
        <v>3.0</v>
      </c>
      <c r="N1512" s="1">
        <v>1.0</v>
      </c>
      <c r="O1512" s="1" t="s">
        <v>382</v>
      </c>
      <c r="P1512" s="1" t="s">
        <v>488</v>
      </c>
      <c r="Q1512" s="2" t="str">
        <f t="shared" si="1"/>
        <v>H006510</v>
      </c>
    </row>
    <row r="1513">
      <c r="A1513" s="1" t="s">
        <v>7630</v>
      </c>
      <c r="B1513" s="1" t="s">
        <v>7631</v>
      </c>
      <c r="C1513" s="1" t="s">
        <v>7632</v>
      </c>
      <c r="D1513" s="1" t="s">
        <v>7633</v>
      </c>
      <c r="E1513" s="1">
        <v>2175.0</v>
      </c>
      <c r="F1513" s="1" t="s">
        <v>382</v>
      </c>
      <c r="G1513" s="1" t="s">
        <v>191</v>
      </c>
      <c r="H1513" s="1" t="s">
        <v>192</v>
      </c>
      <c r="I1513" s="1" t="s">
        <v>486</v>
      </c>
      <c r="J1513" s="1"/>
      <c r="K1513" s="1" t="s">
        <v>23</v>
      </c>
      <c r="L1513" s="1" t="s">
        <v>7634</v>
      </c>
      <c r="M1513" s="1">
        <v>3.0</v>
      </c>
      <c r="N1513" s="1">
        <v>1.0</v>
      </c>
      <c r="O1513" s="1" t="s">
        <v>382</v>
      </c>
      <c r="P1513" s="1" t="s">
        <v>488</v>
      </c>
      <c r="Q1513" s="2" t="str">
        <f t="shared" si="1"/>
        <v>H006510</v>
      </c>
    </row>
    <row r="1514">
      <c r="A1514" s="1" t="s">
        <v>7635</v>
      </c>
      <c r="B1514" s="1" t="s">
        <v>7636</v>
      </c>
      <c r="C1514" s="1" t="s">
        <v>7637</v>
      </c>
      <c r="D1514" s="1" t="s">
        <v>7638</v>
      </c>
      <c r="E1514" s="1">
        <v>2864.0</v>
      </c>
      <c r="F1514" s="1" t="s">
        <v>382</v>
      </c>
      <c r="G1514" s="1" t="s">
        <v>191</v>
      </c>
      <c r="H1514" s="1" t="s">
        <v>192</v>
      </c>
      <c r="I1514" s="1" t="s">
        <v>486</v>
      </c>
      <c r="J1514" s="1"/>
      <c r="K1514" s="1" t="s">
        <v>23</v>
      </c>
      <c r="L1514" s="1" t="s">
        <v>7639</v>
      </c>
      <c r="M1514" s="1">
        <v>3.0</v>
      </c>
      <c r="N1514" s="1">
        <v>1.0</v>
      </c>
      <c r="O1514" s="1" t="s">
        <v>382</v>
      </c>
      <c r="P1514" s="1" t="s">
        <v>488</v>
      </c>
      <c r="Q1514" s="2" t="str">
        <f t="shared" si="1"/>
        <v>H006510</v>
      </c>
    </row>
    <row r="1515">
      <c r="A1515" s="1" t="s">
        <v>7640</v>
      </c>
      <c r="B1515" s="1" t="s">
        <v>7641</v>
      </c>
      <c r="C1515" s="1" t="s">
        <v>7642</v>
      </c>
      <c r="D1515" s="1" t="s">
        <v>7643</v>
      </c>
      <c r="E1515" s="1">
        <v>2566.0</v>
      </c>
      <c r="F1515" s="1" t="s">
        <v>351</v>
      </c>
      <c r="G1515" s="1" t="s">
        <v>208</v>
      </c>
      <c r="H1515" s="1" t="s">
        <v>209</v>
      </c>
      <c r="I1515" s="1" t="s">
        <v>486</v>
      </c>
      <c r="J1515" s="1"/>
      <c r="K1515" s="1" t="s">
        <v>23</v>
      </c>
      <c r="L1515" s="1" t="s">
        <v>7644</v>
      </c>
      <c r="M1515" s="1">
        <v>0.0</v>
      </c>
      <c r="N1515" s="1">
        <v>1.0</v>
      </c>
      <c r="O1515" s="1" t="s">
        <v>351</v>
      </c>
      <c r="P1515" s="1" t="s">
        <v>488</v>
      </c>
      <c r="Q1515" s="2" t="str">
        <f t="shared" si="1"/>
        <v>H006631</v>
      </c>
    </row>
    <row r="1516">
      <c r="A1516" s="1" t="s">
        <v>7645</v>
      </c>
      <c r="B1516" s="1" t="s">
        <v>7646</v>
      </c>
      <c r="C1516" s="1" t="s">
        <v>7647</v>
      </c>
      <c r="D1516" s="1" t="s">
        <v>7648</v>
      </c>
      <c r="E1516" s="1">
        <v>4220.0</v>
      </c>
      <c r="F1516" s="1" t="s">
        <v>351</v>
      </c>
      <c r="G1516" s="1" t="s">
        <v>208</v>
      </c>
      <c r="H1516" s="1" t="s">
        <v>209</v>
      </c>
      <c r="I1516" s="1" t="s">
        <v>486</v>
      </c>
      <c r="J1516" s="1"/>
      <c r="K1516" s="1" t="s">
        <v>23</v>
      </c>
      <c r="L1516" s="1" t="s">
        <v>7649</v>
      </c>
      <c r="M1516" s="1">
        <v>0.0</v>
      </c>
      <c r="N1516" s="1">
        <v>1.0</v>
      </c>
      <c r="O1516" s="1" t="s">
        <v>351</v>
      </c>
      <c r="P1516" s="1" t="s">
        <v>488</v>
      </c>
      <c r="Q1516" s="2" t="str">
        <f t="shared" si="1"/>
        <v>H006631</v>
      </c>
    </row>
    <row r="1517">
      <c r="A1517" s="1" t="s">
        <v>7650</v>
      </c>
      <c r="B1517" s="1" t="s">
        <v>7651</v>
      </c>
      <c r="C1517" s="1" t="s">
        <v>7652</v>
      </c>
      <c r="D1517" s="1" t="s">
        <v>7653</v>
      </c>
      <c r="E1517" s="1">
        <v>3556.0</v>
      </c>
      <c r="F1517" s="1" t="s">
        <v>351</v>
      </c>
      <c r="G1517" s="1" t="s">
        <v>208</v>
      </c>
      <c r="H1517" s="1" t="s">
        <v>209</v>
      </c>
      <c r="I1517" s="1" t="s">
        <v>486</v>
      </c>
      <c r="J1517" s="1"/>
      <c r="K1517" s="1" t="s">
        <v>23</v>
      </c>
      <c r="L1517" s="1" t="s">
        <v>7654</v>
      </c>
      <c r="M1517" s="1">
        <v>0.0</v>
      </c>
      <c r="N1517" s="1">
        <v>1.0</v>
      </c>
      <c r="O1517" s="1" t="s">
        <v>351</v>
      </c>
      <c r="P1517" s="1" t="s">
        <v>488</v>
      </c>
      <c r="Q1517" s="2" t="str">
        <f t="shared" si="1"/>
        <v>H006631</v>
      </c>
    </row>
    <row r="1518">
      <c r="A1518" s="1" t="s">
        <v>7655</v>
      </c>
      <c r="B1518" s="1" t="s">
        <v>7656</v>
      </c>
      <c r="C1518" s="1" t="s">
        <v>7657</v>
      </c>
      <c r="D1518" s="1" t="s">
        <v>7658</v>
      </c>
      <c r="E1518" s="1">
        <v>3806.0</v>
      </c>
      <c r="F1518" s="1" t="s">
        <v>351</v>
      </c>
      <c r="G1518" s="1" t="s">
        <v>57</v>
      </c>
      <c r="H1518" s="1" t="s">
        <v>58</v>
      </c>
      <c r="I1518" s="1" t="s">
        <v>486</v>
      </c>
      <c r="J1518" s="1"/>
      <c r="K1518" s="1" t="s">
        <v>23</v>
      </c>
      <c r="L1518" s="1" t="s">
        <v>7659</v>
      </c>
      <c r="M1518" s="1">
        <v>0.0</v>
      </c>
      <c r="N1518" s="1">
        <v>1.0</v>
      </c>
      <c r="O1518" s="1" t="s">
        <v>351</v>
      </c>
      <c r="P1518" s="1" t="s">
        <v>488</v>
      </c>
      <c r="Q1518" s="2" t="str">
        <f t="shared" si="1"/>
        <v>H006631</v>
      </c>
    </row>
    <row r="1519">
      <c r="A1519" s="1" t="s">
        <v>7660</v>
      </c>
      <c r="B1519" s="1" t="s">
        <v>7661</v>
      </c>
      <c r="C1519" s="1" t="s">
        <v>7662</v>
      </c>
      <c r="D1519" s="1" t="s">
        <v>7663</v>
      </c>
      <c r="E1519" s="1">
        <v>3444.0</v>
      </c>
      <c r="F1519" s="1" t="s">
        <v>351</v>
      </c>
      <c r="G1519" s="1" t="s">
        <v>57</v>
      </c>
      <c r="H1519" s="1" t="s">
        <v>58</v>
      </c>
      <c r="I1519" s="1" t="s">
        <v>486</v>
      </c>
      <c r="J1519" s="1"/>
      <c r="K1519" s="1" t="s">
        <v>23</v>
      </c>
      <c r="L1519" s="1" t="s">
        <v>7664</v>
      </c>
      <c r="M1519" s="1">
        <v>0.0</v>
      </c>
      <c r="N1519" s="1">
        <v>1.0</v>
      </c>
      <c r="O1519" s="1" t="s">
        <v>351</v>
      </c>
      <c r="P1519" s="1" t="s">
        <v>488</v>
      </c>
      <c r="Q1519" s="2" t="str">
        <f t="shared" si="1"/>
        <v>H006631</v>
      </c>
    </row>
    <row r="1520">
      <c r="A1520" s="1" t="s">
        <v>7665</v>
      </c>
      <c r="B1520" s="1" t="s">
        <v>7666</v>
      </c>
      <c r="C1520" s="1" t="s">
        <v>7667</v>
      </c>
      <c r="D1520" s="1" t="s">
        <v>7668</v>
      </c>
      <c r="E1520" s="1">
        <v>2637.0</v>
      </c>
      <c r="F1520" s="1" t="s">
        <v>351</v>
      </c>
      <c r="G1520" s="1" t="s">
        <v>57</v>
      </c>
      <c r="H1520" s="1" t="s">
        <v>58</v>
      </c>
      <c r="I1520" s="1" t="s">
        <v>486</v>
      </c>
      <c r="J1520" s="1"/>
      <c r="K1520" s="1" t="s">
        <v>23</v>
      </c>
      <c r="L1520" s="1" t="s">
        <v>7669</v>
      </c>
      <c r="M1520" s="1">
        <v>0.0</v>
      </c>
      <c r="N1520" s="1">
        <v>1.0</v>
      </c>
      <c r="O1520" s="1" t="s">
        <v>351</v>
      </c>
      <c r="P1520" s="1" t="s">
        <v>488</v>
      </c>
      <c r="Q1520" s="2" t="str">
        <f t="shared" si="1"/>
        <v>H006631</v>
      </c>
    </row>
    <row r="1521">
      <c r="A1521" s="1" t="s">
        <v>7670</v>
      </c>
      <c r="B1521" s="1" t="s">
        <v>7671</v>
      </c>
      <c r="C1521" s="1" t="s">
        <v>7672</v>
      </c>
      <c r="D1521" s="1" t="s">
        <v>7673</v>
      </c>
      <c r="E1521" s="1">
        <v>3995.0</v>
      </c>
      <c r="F1521" s="1" t="s">
        <v>382</v>
      </c>
      <c r="G1521" s="1" t="s">
        <v>119</v>
      </c>
      <c r="H1521" s="1" t="s">
        <v>120</v>
      </c>
      <c r="I1521" s="1" t="s">
        <v>486</v>
      </c>
      <c r="J1521" s="1"/>
      <c r="K1521" s="1" t="s">
        <v>23</v>
      </c>
      <c r="L1521" s="1" t="s">
        <v>7674</v>
      </c>
      <c r="M1521" s="1">
        <v>3.0</v>
      </c>
      <c r="N1521" s="1">
        <v>1.0</v>
      </c>
      <c r="O1521" s="1" t="s">
        <v>382</v>
      </c>
      <c r="P1521" s="1" t="s">
        <v>488</v>
      </c>
      <c r="Q1521" s="2" t="str">
        <f t="shared" si="1"/>
        <v>H006510</v>
      </c>
    </row>
    <row r="1522">
      <c r="A1522" s="1" t="s">
        <v>7675</v>
      </c>
      <c r="B1522" s="1" t="s">
        <v>7676</v>
      </c>
      <c r="C1522" s="1" t="s">
        <v>7677</v>
      </c>
      <c r="D1522" s="1" t="s">
        <v>7678</v>
      </c>
      <c r="E1522" s="1">
        <v>3465.0</v>
      </c>
      <c r="F1522" s="1" t="s">
        <v>382</v>
      </c>
      <c r="G1522" s="1" t="s">
        <v>119</v>
      </c>
      <c r="H1522" s="1" t="s">
        <v>120</v>
      </c>
      <c r="I1522" s="1" t="s">
        <v>486</v>
      </c>
      <c r="J1522" s="1"/>
      <c r="K1522" s="1" t="s">
        <v>23</v>
      </c>
      <c r="L1522" s="1" t="s">
        <v>7679</v>
      </c>
      <c r="M1522" s="1">
        <v>3.0</v>
      </c>
      <c r="N1522" s="1">
        <v>1.0</v>
      </c>
      <c r="O1522" s="1" t="s">
        <v>382</v>
      </c>
      <c r="P1522" s="1" t="s">
        <v>488</v>
      </c>
      <c r="Q1522" s="2" t="str">
        <f t="shared" si="1"/>
        <v>H006510</v>
      </c>
    </row>
    <row r="1523">
      <c r="A1523" s="1" t="s">
        <v>7680</v>
      </c>
      <c r="B1523" s="1" t="s">
        <v>7681</v>
      </c>
      <c r="C1523" s="1" t="s">
        <v>7682</v>
      </c>
      <c r="D1523" s="1" t="s">
        <v>7683</v>
      </c>
      <c r="E1523" s="1">
        <v>2051.0</v>
      </c>
      <c r="F1523" s="1" t="s">
        <v>382</v>
      </c>
      <c r="G1523" s="1" t="s">
        <v>119</v>
      </c>
      <c r="H1523" s="1" t="s">
        <v>120</v>
      </c>
      <c r="I1523" s="1" t="s">
        <v>486</v>
      </c>
      <c r="J1523" s="1"/>
      <c r="K1523" s="1" t="s">
        <v>23</v>
      </c>
      <c r="L1523" s="1" t="s">
        <v>7684</v>
      </c>
      <c r="M1523" s="1">
        <v>3.0</v>
      </c>
      <c r="N1523" s="1">
        <v>1.0</v>
      </c>
      <c r="O1523" s="1" t="s">
        <v>382</v>
      </c>
      <c r="P1523" s="1" t="s">
        <v>488</v>
      </c>
      <c r="Q1523" s="2" t="str">
        <f t="shared" si="1"/>
        <v>H006510</v>
      </c>
    </row>
    <row r="1524">
      <c r="A1524" s="1" t="s">
        <v>7685</v>
      </c>
      <c r="B1524" s="1" t="s">
        <v>7686</v>
      </c>
      <c r="C1524" s="1" t="s">
        <v>7687</v>
      </c>
      <c r="D1524" s="1" t="s">
        <v>7688</v>
      </c>
      <c r="E1524" s="1">
        <v>21.0</v>
      </c>
      <c r="F1524" s="1" t="s">
        <v>351</v>
      </c>
      <c r="G1524" s="1" t="s">
        <v>260</v>
      </c>
      <c r="H1524" s="1" t="s">
        <v>261</v>
      </c>
      <c r="I1524" s="1" t="s">
        <v>486</v>
      </c>
      <c r="J1524" s="1"/>
      <c r="K1524" s="1" t="s">
        <v>23</v>
      </c>
      <c r="L1524" s="1" t="s">
        <v>7689</v>
      </c>
      <c r="M1524" s="1">
        <v>0.0</v>
      </c>
      <c r="N1524" s="1">
        <v>0.0</v>
      </c>
      <c r="O1524" s="1" t="s">
        <v>351</v>
      </c>
      <c r="P1524" s="1" t="s">
        <v>25</v>
      </c>
      <c r="Q1524" s="2" t="str">
        <f t="shared" si="1"/>
        <v>H006631</v>
      </c>
    </row>
    <row r="1525">
      <c r="A1525" s="1" t="s">
        <v>7690</v>
      </c>
      <c r="B1525" s="1" t="s">
        <v>7691</v>
      </c>
      <c r="C1525" s="1" t="s">
        <v>7692</v>
      </c>
      <c r="D1525" s="1" t="s">
        <v>7693</v>
      </c>
      <c r="E1525" s="1">
        <v>5622.0</v>
      </c>
      <c r="F1525" s="1" t="s">
        <v>351</v>
      </c>
      <c r="G1525" s="1" t="s">
        <v>260</v>
      </c>
      <c r="H1525" s="1" t="s">
        <v>261</v>
      </c>
      <c r="I1525" s="1" t="s">
        <v>486</v>
      </c>
      <c r="J1525" s="1"/>
      <c r="K1525" s="1" t="s">
        <v>23</v>
      </c>
      <c r="L1525" s="1" t="s">
        <v>7694</v>
      </c>
      <c r="M1525" s="1">
        <v>0.0</v>
      </c>
      <c r="N1525" s="1">
        <v>1.0</v>
      </c>
      <c r="O1525" s="1" t="s">
        <v>351</v>
      </c>
      <c r="P1525" s="1" t="s">
        <v>488</v>
      </c>
      <c r="Q1525" s="2" t="str">
        <f t="shared" si="1"/>
        <v>H006631</v>
      </c>
    </row>
    <row r="1526">
      <c r="A1526" s="1" t="s">
        <v>7695</v>
      </c>
      <c r="B1526" s="1" t="s">
        <v>7696</v>
      </c>
      <c r="C1526" s="1" t="s">
        <v>7697</v>
      </c>
      <c r="D1526" s="1" t="s">
        <v>7698</v>
      </c>
      <c r="E1526" s="1">
        <v>3898.0</v>
      </c>
      <c r="F1526" s="1" t="s">
        <v>351</v>
      </c>
      <c r="G1526" s="1" t="s">
        <v>260</v>
      </c>
      <c r="H1526" s="1" t="s">
        <v>261</v>
      </c>
      <c r="I1526" s="1" t="s">
        <v>486</v>
      </c>
      <c r="J1526" s="1"/>
      <c r="K1526" s="1" t="s">
        <v>23</v>
      </c>
      <c r="L1526" s="1" t="s">
        <v>7699</v>
      </c>
      <c r="M1526" s="1">
        <v>0.0</v>
      </c>
      <c r="N1526" s="1">
        <v>1.0</v>
      </c>
      <c r="O1526" s="1" t="s">
        <v>351</v>
      </c>
      <c r="P1526" s="1" t="s">
        <v>488</v>
      </c>
      <c r="Q1526" s="2" t="str">
        <f t="shared" si="1"/>
        <v>H006631</v>
      </c>
    </row>
    <row r="1527">
      <c r="A1527" s="1" t="s">
        <v>7700</v>
      </c>
      <c r="B1527" s="1" t="s">
        <v>7701</v>
      </c>
      <c r="C1527" s="1" t="s">
        <v>7702</v>
      </c>
      <c r="D1527" s="1" t="s">
        <v>7703</v>
      </c>
      <c r="E1527" s="1">
        <v>4146.0</v>
      </c>
      <c r="F1527" s="1" t="s">
        <v>315</v>
      </c>
      <c r="G1527" s="1">
        <v>841329.0</v>
      </c>
      <c r="H1527" s="1" t="s">
        <v>1848</v>
      </c>
      <c r="I1527" s="1" t="s">
        <v>1051</v>
      </c>
      <c r="J1527" s="1"/>
      <c r="K1527" s="1" t="s">
        <v>23</v>
      </c>
      <c r="L1527" s="1" t="s">
        <v>7704</v>
      </c>
      <c r="M1527" s="1">
        <v>1.0</v>
      </c>
      <c r="N1527" s="1">
        <v>1.0</v>
      </c>
      <c r="O1527" s="1" t="s">
        <v>315</v>
      </c>
      <c r="P1527" s="1" t="s">
        <v>488</v>
      </c>
      <c r="Q1527" s="2" t="str">
        <f t="shared" si="1"/>
        <v>H004042</v>
      </c>
    </row>
    <row r="1528">
      <c r="A1528" s="1" t="s">
        <v>7705</v>
      </c>
      <c r="B1528" s="1" t="s">
        <v>7706</v>
      </c>
      <c r="C1528" s="1" t="s">
        <v>7707</v>
      </c>
      <c r="D1528" s="1" t="s">
        <v>7708</v>
      </c>
      <c r="E1528" s="1">
        <v>3266.0</v>
      </c>
      <c r="F1528" s="1" t="s">
        <v>315</v>
      </c>
      <c r="G1528" s="1">
        <v>841329.0</v>
      </c>
      <c r="H1528" s="1" t="s">
        <v>1848</v>
      </c>
      <c r="I1528" s="1" t="s">
        <v>1051</v>
      </c>
      <c r="J1528" s="1"/>
      <c r="K1528" s="1" t="s">
        <v>23</v>
      </c>
      <c r="L1528" s="1" t="s">
        <v>7709</v>
      </c>
      <c r="M1528" s="1">
        <v>0.0</v>
      </c>
      <c r="N1528" s="1">
        <v>1.0</v>
      </c>
      <c r="O1528" s="1" t="s">
        <v>315</v>
      </c>
      <c r="P1528" s="1" t="s">
        <v>488</v>
      </c>
      <c r="Q1528" s="2" t="str">
        <f t="shared" si="1"/>
        <v>H004680</v>
      </c>
    </row>
    <row r="1529">
      <c r="A1529" s="1" t="s">
        <v>7710</v>
      </c>
      <c r="B1529" s="1" t="s">
        <v>7711</v>
      </c>
      <c r="C1529" s="1" t="s">
        <v>7712</v>
      </c>
      <c r="D1529" s="1" t="s">
        <v>7713</v>
      </c>
      <c r="E1529" s="1">
        <v>3676.0</v>
      </c>
      <c r="F1529" s="1" t="s">
        <v>315</v>
      </c>
      <c r="G1529" s="1">
        <v>841329.0</v>
      </c>
      <c r="H1529" s="1" t="s">
        <v>1848</v>
      </c>
      <c r="I1529" s="1" t="s">
        <v>1051</v>
      </c>
      <c r="J1529" s="1"/>
      <c r="K1529" s="1" t="s">
        <v>23</v>
      </c>
      <c r="L1529" s="1" t="s">
        <v>7714</v>
      </c>
      <c r="M1529" s="1">
        <v>0.0</v>
      </c>
      <c r="N1529" s="1">
        <v>1.0</v>
      </c>
      <c r="O1529" s="1" t="s">
        <v>315</v>
      </c>
      <c r="P1529" s="1" t="s">
        <v>488</v>
      </c>
      <c r="Q1529" s="2" t="str">
        <f t="shared" si="1"/>
        <v>H004680</v>
      </c>
    </row>
    <row r="1530">
      <c r="A1530" s="1" t="s">
        <v>7715</v>
      </c>
      <c r="B1530" s="1" t="s">
        <v>7716</v>
      </c>
      <c r="C1530" s="1" t="s">
        <v>7717</v>
      </c>
      <c r="D1530" s="1" t="s">
        <v>7718</v>
      </c>
      <c r="E1530" s="1">
        <v>4286.0</v>
      </c>
      <c r="F1530" s="1" t="s">
        <v>315</v>
      </c>
      <c r="G1530" s="1">
        <v>841329.0</v>
      </c>
      <c r="H1530" s="1" t="s">
        <v>1848</v>
      </c>
      <c r="I1530" s="1" t="s">
        <v>1051</v>
      </c>
      <c r="J1530" s="1"/>
      <c r="K1530" s="1" t="s">
        <v>23</v>
      </c>
      <c r="L1530" s="1" t="s">
        <v>7719</v>
      </c>
      <c r="M1530" s="1">
        <v>0.0</v>
      </c>
      <c r="N1530" s="1">
        <v>1.0</v>
      </c>
      <c r="O1530" s="1" t="s">
        <v>315</v>
      </c>
      <c r="P1530" s="1" t="s">
        <v>488</v>
      </c>
      <c r="Q1530" s="2" t="str">
        <f t="shared" si="1"/>
        <v>H004680</v>
      </c>
    </row>
    <row r="1531">
      <c r="A1531" s="1" t="s">
        <v>7720</v>
      </c>
      <c r="B1531" s="1" t="s">
        <v>7721</v>
      </c>
      <c r="C1531" s="1" t="s">
        <v>7722</v>
      </c>
      <c r="D1531" s="1" t="s">
        <v>7723</v>
      </c>
      <c r="E1531" s="1">
        <v>5736.0</v>
      </c>
      <c r="F1531" s="1" t="s">
        <v>288</v>
      </c>
      <c r="G1531" s="1" t="s">
        <v>304</v>
      </c>
      <c r="H1531" s="1" t="s">
        <v>272</v>
      </c>
      <c r="I1531" s="1" t="s">
        <v>1051</v>
      </c>
      <c r="J1531" s="1"/>
      <c r="K1531" s="1" t="s">
        <v>23</v>
      </c>
      <c r="L1531" s="1" t="s">
        <v>7724</v>
      </c>
      <c r="M1531" s="1">
        <v>1.0</v>
      </c>
      <c r="N1531" s="1">
        <v>1.0</v>
      </c>
      <c r="O1531" s="1" t="s">
        <v>288</v>
      </c>
      <c r="P1531" s="1" t="s">
        <v>488</v>
      </c>
      <c r="Q1531" s="2" t="str">
        <f t="shared" si="1"/>
        <v>H004380</v>
      </c>
    </row>
    <row r="1532">
      <c r="A1532" s="1" t="s">
        <v>7725</v>
      </c>
      <c r="B1532" s="1" t="s">
        <v>7726</v>
      </c>
      <c r="C1532" s="1" t="s">
        <v>7727</v>
      </c>
      <c r="D1532" s="1" t="s">
        <v>7728</v>
      </c>
      <c r="E1532" s="1">
        <v>4943.0</v>
      </c>
      <c r="F1532" s="1" t="s">
        <v>498</v>
      </c>
      <c r="G1532" s="1">
        <v>896791.0</v>
      </c>
      <c r="H1532" s="1" t="s">
        <v>2124</v>
      </c>
      <c r="I1532" s="1" t="s">
        <v>1112</v>
      </c>
      <c r="J1532" s="1"/>
      <c r="K1532" s="1" t="s">
        <v>23</v>
      </c>
      <c r="L1532" s="1" t="s">
        <v>7729</v>
      </c>
      <c r="M1532" s="1">
        <v>0.0</v>
      </c>
      <c r="N1532" s="1">
        <v>1.0</v>
      </c>
      <c r="O1532" s="1" t="s">
        <v>498</v>
      </c>
      <c r="P1532" s="1" t="s">
        <v>488</v>
      </c>
      <c r="Q1532" s="2" t="str">
        <f t="shared" si="1"/>
        <v>H030244</v>
      </c>
    </row>
    <row r="1533">
      <c r="A1533" s="1" t="s">
        <v>7730</v>
      </c>
      <c r="B1533" s="1" t="s">
        <v>7731</v>
      </c>
      <c r="C1533" s="1" t="s">
        <v>7732</v>
      </c>
      <c r="D1533" s="1" t="s">
        <v>7733</v>
      </c>
      <c r="E1533" s="1">
        <v>3628.0</v>
      </c>
      <c r="F1533" s="1" t="s">
        <v>498</v>
      </c>
      <c r="G1533" s="1" t="s">
        <v>132</v>
      </c>
      <c r="H1533" s="1" t="s">
        <v>133</v>
      </c>
      <c r="I1533" s="1" t="s">
        <v>1112</v>
      </c>
      <c r="J1533" s="1"/>
      <c r="K1533" s="1" t="s">
        <v>23</v>
      </c>
      <c r="L1533" s="1" t="s">
        <v>7734</v>
      </c>
      <c r="M1533" s="1">
        <v>0.0</v>
      </c>
      <c r="N1533" s="1">
        <v>1.0</v>
      </c>
      <c r="O1533" s="1" t="s">
        <v>498</v>
      </c>
      <c r="P1533" s="1" t="s">
        <v>488</v>
      </c>
      <c r="Q1533" s="2" t="str">
        <f t="shared" si="1"/>
        <v>H030244</v>
      </c>
    </row>
    <row r="1534">
      <c r="A1534" s="1" t="s">
        <v>7735</v>
      </c>
      <c r="B1534" s="1" t="s">
        <v>7736</v>
      </c>
      <c r="C1534" s="1" t="s">
        <v>7737</v>
      </c>
      <c r="D1534" s="1" t="s">
        <v>7738</v>
      </c>
      <c r="E1534" s="1">
        <v>5528.0</v>
      </c>
      <c r="F1534" s="1" t="s">
        <v>288</v>
      </c>
      <c r="G1534" s="1">
        <v>859767.0</v>
      </c>
      <c r="H1534" s="1" t="s">
        <v>2565</v>
      </c>
      <c r="I1534" s="1" t="s">
        <v>1051</v>
      </c>
      <c r="J1534" s="1"/>
      <c r="K1534" s="1" t="s">
        <v>23</v>
      </c>
      <c r="L1534" s="1" t="s">
        <v>7739</v>
      </c>
      <c r="M1534" s="1">
        <v>1.0</v>
      </c>
      <c r="N1534" s="1">
        <v>1.0</v>
      </c>
      <c r="O1534" s="1" t="s">
        <v>288</v>
      </c>
      <c r="P1534" s="1" t="s">
        <v>488</v>
      </c>
      <c r="Q1534" s="2" t="str">
        <f t="shared" si="1"/>
        <v>H004380</v>
      </c>
    </row>
    <row r="1535">
      <c r="A1535" s="1" t="s">
        <v>7740</v>
      </c>
      <c r="B1535" s="1" t="s">
        <v>7741</v>
      </c>
      <c r="C1535" s="1" t="s">
        <v>7742</v>
      </c>
      <c r="D1535" s="1" t="s">
        <v>7743</v>
      </c>
      <c r="E1535" s="1">
        <v>3520.0</v>
      </c>
      <c r="F1535" s="1" t="s">
        <v>288</v>
      </c>
      <c r="G1535" s="1">
        <v>859767.0</v>
      </c>
      <c r="H1535" s="1" t="s">
        <v>2565</v>
      </c>
      <c r="I1535" s="1" t="s">
        <v>1051</v>
      </c>
      <c r="J1535" s="1"/>
      <c r="K1535" s="1" t="s">
        <v>23</v>
      </c>
      <c r="L1535" s="1" t="s">
        <v>7744</v>
      </c>
      <c r="M1535" s="1">
        <v>1.0</v>
      </c>
      <c r="N1535" s="1">
        <v>1.0</v>
      </c>
      <c r="O1535" s="1" t="s">
        <v>288</v>
      </c>
      <c r="P1535" s="1" t="s">
        <v>488</v>
      </c>
      <c r="Q1535" s="2" t="str">
        <f t="shared" si="1"/>
        <v>H004380</v>
      </c>
    </row>
    <row r="1536">
      <c r="A1536" s="1" t="s">
        <v>7745</v>
      </c>
      <c r="B1536" s="1" t="s">
        <v>7746</v>
      </c>
      <c r="C1536" s="1" t="s">
        <v>7747</v>
      </c>
      <c r="D1536" s="1" t="s">
        <v>7748</v>
      </c>
      <c r="E1536" s="1">
        <v>4752.0</v>
      </c>
      <c r="F1536" s="1" t="s">
        <v>315</v>
      </c>
      <c r="G1536" s="1">
        <v>455939.0</v>
      </c>
      <c r="H1536" s="1" t="s">
        <v>2746</v>
      </c>
      <c r="I1536" s="1" t="s">
        <v>1051</v>
      </c>
      <c r="J1536" s="1"/>
      <c r="K1536" s="1" t="s">
        <v>23</v>
      </c>
      <c r="L1536" s="1" t="s">
        <v>7749</v>
      </c>
      <c r="M1536" s="1">
        <v>0.0</v>
      </c>
      <c r="N1536" s="1">
        <v>1.0</v>
      </c>
      <c r="O1536" s="1" t="s">
        <v>315</v>
      </c>
      <c r="P1536" s="1" t="s">
        <v>488</v>
      </c>
      <c r="Q1536" s="2" t="str">
        <f t="shared" si="1"/>
        <v>H004680</v>
      </c>
    </row>
    <row r="1537">
      <c r="A1537" s="1" t="s">
        <v>7750</v>
      </c>
      <c r="B1537" s="1" t="s">
        <v>7751</v>
      </c>
      <c r="C1537" s="1" t="s">
        <v>7752</v>
      </c>
      <c r="D1537" s="1" t="s">
        <v>7753</v>
      </c>
      <c r="E1537" s="1">
        <v>2783.0</v>
      </c>
      <c r="F1537" s="1" t="s">
        <v>315</v>
      </c>
      <c r="G1537" s="1">
        <v>455939.0</v>
      </c>
      <c r="H1537" s="1" t="s">
        <v>2746</v>
      </c>
      <c r="I1537" s="1" t="s">
        <v>1051</v>
      </c>
      <c r="J1537" s="1"/>
      <c r="K1537" s="1" t="s">
        <v>23</v>
      </c>
      <c r="L1537" s="1" t="s">
        <v>7754</v>
      </c>
      <c r="M1537" s="1">
        <v>0.0</v>
      </c>
      <c r="N1537" s="1">
        <v>1.0</v>
      </c>
      <c r="O1537" s="1" t="s">
        <v>315</v>
      </c>
      <c r="P1537" s="1" t="s">
        <v>488</v>
      </c>
      <c r="Q1537" s="2" t="str">
        <f t="shared" si="1"/>
        <v>H004680</v>
      </c>
    </row>
    <row r="1538">
      <c r="A1538" s="1" t="s">
        <v>7755</v>
      </c>
      <c r="B1538" s="1" t="s">
        <v>7756</v>
      </c>
      <c r="C1538" s="1" t="s">
        <v>7757</v>
      </c>
      <c r="D1538" s="1" t="s">
        <v>7758</v>
      </c>
      <c r="E1538" s="1">
        <v>1623.0</v>
      </c>
      <c r="F1538" s="1" t="s">
        <v>288</v>
      </c>
      <c r="G1538" s="1">
        <v>729375.0</v>
      </c>
      <c r="H1538" s="1" t="s">
        <v>1050</v>
      </c>
      <c r="I1538" s="1" t="s">
        <v>1051</v>
      </c>
      <c r="J1538" s="1"/>
      <c r="K1538" s="1" t="s">
        <v>23</v>
      </c>
      <c r="L1538" s="1" t="s">
        <v>7759</v>
      </c>
      <c r="M1538" s="1">
        <v>1.0</v>
      </c>
      <c r="N1538" s="1">
        <v>1.0</v>
      </c>
      <c r="O1538" s="1" t="s">
        <v>288</v>
      </c>
      <c r="P1538" s="1" t="s">
        <v>488</v>
      </c>
      <c r="Q1538" s="2" t="str">
        <f t="shared" si="1"/>
        <v>H004380</v>
      </c>
    </row>
    <row r="1539">
      <c r="A1539" s="1" t="s">
        <v>7760</v>
      </c>
      <c r="B1539" s="1" t="s">
        <v>7761</v>
      </c>
      <c r="C1539" s="1" t="s">
        <v>7762</v>
      </c>
      <c r="D1539" s="1" t="s">
        <v>7763</v>
      </c>
      <c r="E1539" s="1">
        <v>5164.0</v>
      </c>
      <c r="F1539" s="1" t="s">
        <v>498</v>
      </c>
      <c r="G1539" s="1">
        <v>896791.0</v>
      </c>
      <c r="H1539" s="1" t="s">
        <v>2124</v>
      </c>
      <c r="I1539" s="1" t="s">
        <v>1112</v>
      </c>
      <c r="J1539" s="1"/>
      <c r="K1539" s="1" t="s">
        <v>23</v>
      </c>
      <c r="L1539" s="1" t="s">
        <v>7764</v>
      </c>
      <c r="M1539" s="1">
        <v>0.0</v>
      </c>
      <c r="N1539" s="1">
        <v>1.0</v>
      </c>
      <c r="O1539" s="1" t="s">
        <v>498</v>
      </c>
      <c r="P1539" s="1" t="s">
        <v>488</v>
      </c>
      <c r="Q1539" s="2" t="str">
        <f t="shared" si="1"/>
        <v>H030244</v>
      </c>
    </row>
    <row r="1540">
      <c r="A1540" s="1" t="s">
        <v>7765</v>
      </c>
      <c r="B1540" s="1" t="s">
        <v>7766</v>
      </c>
      <c r="C1540" s="1" t="s">
        <v>7767</v>
      </c>
      <c r="D1540" s="1" t="s">
        <v>7768</v>
      </c>
      <c r="E1540" s="1">
        <v>308.0</v>
      </c>
      <c r="F1540" s="1" t="s">
        <v>498</v>
      </c>
      <c r="G1540" s="1" t="s">
        <v>167</v>
      </c>
      <c r="H1540" s="1" t="s">
        <v>168</v>
      </c>
      <c r="I1540" s="1" t="s">
        <v>1112</v>
      </c>
      <c r="J1540" s="1"/>
      <c r="K1540" s="1" t="s">
        <v>23</v>
      </c>
      <c r="L1540" s="1" t="s">
        <v>7769</v>
      </c>
      <c r="M1540" s="1">
        <v>0.0</v>
      </c>
      <c r="N1540" s="1">
        <v>0.0</v>
      </c>
      <c r="O1540" s="1" t="s">
        <v>5059</v>
      </c>
      <c r="P1540" s="1" t="s">
        <v>5059</v>
      </c>
      <c r="Q1540" s="2" t="str">
        <f t="shared" si="1"/>
        <v>H030244</v>
      </c>
    </row>
    <row r="1541">
      <c r="A1541" s="1" t="s">
        <v>7770</v>
      </c>
      <c r="B1541" s="1" t="s">
        <v>7771</v>
      </c>
      <c r="C1541" s="1" t="s">
        <v>7772</v>
      </c>
      <c r="D1541" s="1" t="s">
        <v>7773</v>
      </c>
      <c r="E1541" s="1">
        <v>4010.0</v>
      </c>
      <c r="F1541" s="1" t="s">
        <v>498</v>
      </c>
      <c r="G1541" s="1">
        <v>896791.0</v>
      </c>
      <c r="H1541" s="1" t="s">
        <v>2124</v>
      </c>
      <c r="I1541" s="1" t="s">
        <v>1112</v>
      </c>
      <c r="J1541" s="1"/>
      <c r="K1541" s="1" t="s">
        <v>23</v>
      </c>
      <c r="L1541" s="1" t="s">
        <v>7774</v>
      </c>
      <c r="M1541" s="1">
        <v>0.0</v>
      </c>
      <c r="N1541" s="1">
        <v>1.0</v>
      </c>
      <c r="O1541" s="1" t="s">
        <v>498</v>
      </c>
      <c r="P1541" s="1" t="s">
        <v>488</v>
      </c>
      <c r="Q1541" s="2" t="str">
        <f t="shared" si="1"/>
        <v>H030244</v>
      </c>
    </row>
    <row r="1542">
      <c r="A1542" s="1" t="s">
        <v>7775</v>
      </c>
      <c r="B1542" s="1" t="s">
        <v>7776</v>
      </c>
      <c r="C1542" s="1" t="s">
        <v>7777</v>
      </c>
      <c r="D1542" s="1" t="s">
        <v>7778</v>
      </c>
      <c r="E1542" s="1">
        <v>4565.0</v>
      </c>
      <c r="F1542" s="1" t="s">
        <v>398</v>
      </c>
      <c r="G1542" s="1" t="s">
        <v>155</v>
      </c>
      <c r="H1542" s="1" t="s">
        <v>156</v>
      </c>
      <c r="I1542" s="1" t="s">
        <v>1112</v>
      </c>
      <c r="J1542" s="1"/>
      <c r="K1542" s="1" t="s">
        <v>23</v>
      </c>
      <c r="L1542" s="1" t="s">
        <v>7779</v>
      </c>
      <c r="M1542" s="1">
        <v>2.0</v>
      </c>
      <c r="N1542" s="1">
        <v>1.0</v>
      </c>
      <c r="O1542" s="1" t="s">
        <v>398</v>
      </c>
      <c r="P1542" s="1" t="s">
        <v>488</v>
      </c>
      <c r="Q1542" s="2" t="str">
        <f t="shared" si="1"/>
        <v>H030323</v>
      </c>
    </row>
    <row r="1543">
      <c r="A1543" s="1" t="s">
        <v>7780</v>
      </c>
      <c r="B1543" s="1" t="s">
        <v>7781</v>
      </c>
      <c r="C1543" s="1" t="s">
        <v>7782</v>
      </c>
      <c r="D1543" s="1" t="s">
        <v>7783</v>
      </c>
      <c r="E1543" s="1">
        <v>4523.0</v>
      </c>
      <c r="F1543" s="1" t="s">
        <v>398</v>
      </c>
      <c r="G1543" s="1" t="s">
        <v>232</v>
      </c>
      <c r="H1543" s="1" t="s">
        <v>233</v>
      </c>
      <c r="I1543" s="1" t="s">
        <v>1112</v>
      </c>
      <c r="J1543" s="1"/>
      <c r="K1543" s="1" t="s">
        <v>23</v>
      </c>
      <c r="L1543" s="1" t="s">
        <v>7784</v>
      </c>
      <c r="M1543" s="1">
        <v>2.0</v>
      </c>
      <c r="N1543" s="1">
        <v>1.0</v>
      </c>
      <c r="O1543" s="1" t="s">
        <v>398</v>
      </c>
      <c r="P1543" s="1" t="s">
        <v>488</v>
      </c>
      <c r="Q1543" s="2" t="str">
        <f t="shared" si="1"/>
        <v>H030323</v>
      </c>
    </row>
    <row r="1544">
      <c r="A1544" s="1" t="s">
        <v>7785</v>
      </c>
      <c r="B1544" s="1" t="s">
        <v>7786</v>
      </c>
      <c r="C1544" s="1" t="s">
        <v>7787</v>
      </c>
      <c r="D1544" s="1" t="s">
        <v>7788</v>
      </c>
      <c r="E1544" s="1">
        <v>4719.0</v>
      </c>
      <c r="F1544" s="1" t="s">
        <v>398</v>
      </c>
      <c r="G1544" s="1" t="s">
        <v>232</v>
      </c>
      <c r="H1544" s="1" t="s">
        <v>233</v>
      </c>
      <c r="I1544" s="1" t="s">
        <v>1112</v>
      </c>
      <c r="J1544" s="1"/>
      <c r="K1544" s="1" t="s">
        <v>23</v>
      </c>
      <c r="L1544" s="1" t="s">
        <v>7789</v>
      </c>
      <c r="M1544" s="1">
        <v>2.0</v>
      </c>
      <c r="N1544" s="1">
        <v>1.0</v>
      </c>
      <c r="O1544" s="1" t="s">
        <v>398</v>
      </c>
      <c r="P1544" s="1" t="s">
        <v>488</v>
      </c>
      <c r="Q1544" s="2" t="str">
        <f t="shared" si="1"/>
        <v>H030323</v>
      </c>
    </row>
    <row r="1545">
      <c r="A1545" s="1" t="s">
        <v>7790</v>
      </c>
      <c r="B1545" s="1" t="s">
        <v>7791</v>
      </c>
      <c r="C1545" s="1" t="s">
        <v>7792</v>
      </c>
      <c r="D1545" s="1" t="s">
        <v>7793</v>
      </c>
      <c r="E1545" s="1">
        <v>54.0</v>
      </c>
      <c r="F1545" s="1" t="s">
        <v>398</v>
      </c>
      <c r="G1545" s="1" t="s">
        <v>232</v>
      </c>
      <c r="H1545" s="1" t="s">
        <v>233</v>
      </c>
      <c r="I1545" s="1" t="s">
        <v>1112</v>
      </c>
      <c r="J1545" s="1"/>
      <c r="K1545" s="1" t="s">
        <v>23</v>
      </c>
      <c r="L1545" s="1" t="s">
        <v>7794</v>
      </c>
      <c r="M1545" s="1">
        <v>2.0</v>
      </c>
      <c r="N1545" s="1">
        <v>0.0</v>
      </c>
      <c r="O1545" s="1" t="s">
        <v>398</v>
      </c>
      <c r="P1545" s="1" t="s">
        <v>25</v>
      </c>
      <c r="Q1545" s="2" t="str">
        <f t="shared" si="1"/>
        <v>H030323</v>
      </c>
    </row>
    <row r="1546">
      <c r="A1546" s="1" t="s">
        <v>7795</v>
      </c>
      <c r="B1546" s="1" t="s">
        <v>7796</v>
      </c>
      <c r="C1546" s="1" t="s">
        <v>7797</v>
      </c>
      <c r="D1546" s="1" t="s">
        <v>7798</v>
      </c>
      <c r="E1546" s="1">
        <v>4669.0</v>
      </c>
      <c r="F1546" s="1" t="s">
        <v>498</v>
      </c>
      <c r="G1546" s="1" t="s">
        <v>220</v>
      </c>
      <c r="H1546" s="1" t="s">
        <v>221</v>
      </c>
      <c r="I1546" s="1" t="s">
        <v>1112</v>
      </c>
      <c r="J1546" s="1"/>
      <c r="K1546" s="1" t="s">
        <v>23</v>
      </c>
      <c r="L1546" s="1" t="s">
        <v>7799</v>
      </c>
      <c r="M1546" s="1">
        <v>0.0</v>
      </c>
      <c r="N1546" s="1">
        <v>1.0</v>
      </c>
      <c r="O1546" s="1" t="s">
        <v>498</v>
      </c>
      <c r="P1546" s="1" t="s">
        <v>488</v>
      </c>
      <c r="Q1546" s="2" t="str">
        <f t="shared" si="1"/>
        <v>H030244</v>
      </c>
    </row>
    <row r="1547">
      <c r="A1547" s="1" t="s">
        <v>7800</v>
      </c>
      <c r="B1547" s="1" t="s">
        <v>7801</v>
      </c>
      <c r="C1547" s="1" t="s">
        <v>7802</v>
      </c>
      <c r="D1547" s="1" t="s">
        <v>7803</v>
      </c>
      <c r="E1547" s="1">
        <v>5997.0</v>
      </c>
      <c r="F1547" s="1" t="s">
        <v>498</v>
      </c>
      <c r="G1547" s="1" t="s">
        <v>167</v>
      </c>
      <c r="H1547" s="1" t="s">
        <v>168</v>
      </c>
      <c r="I1547" s="1" t="s">
        <v>1112</v>
      </c>
      <c r="J1547" s="1"/>
      <c r="K1547" s="1" t="s">
        <v>23</v>
      </c>
      <c r="L1547" s="1" t="s">
        <v>7804</v>
      </c>
      <c r="M1547" s="1">
        <v>0.0</v>
      </c>
      <c r="N1547" s="1">
        <v>1.0</v>
      </c>
      <c r="O1547" s="1" t="s">
        <v>498</v>
      </c>
      <c r="P1547" s="1" t="s">
        <v>488</v>
      </c>
      <c r="Q1547" s="2" t="str">
        <f t="shared" si="1"/>
        <v>H030244</v>
      </c>
    </row>
    <row r="1548">
      <c r="A1548" s="1" t="s">
        <v>7805</v>
      </c>
      <c r="B1548" s="1" t="s">
        <v>7806</v>
      </c>
      <c r="C1548" s="1" t="s">
        <v>7807</v>
      </c>
      <c r="D1548" s="1" t="s">
        <v>7808</v>
      </c>
      <c r="E1548" s="1">
        <v>9071.0</v>
      </c>
      <c r="F1548" s="1" t="s">
        <v>398</v>
      </c>
      <c r="G1548" s="1" t="s">
        <v>179</v>
      </c>
      <c r="H1548" s="1" t="s">
        <v>180</v>
      </c>
      <c r="I1548" s="1" t="s">
        <v>1112</v>
      </c>
      <c r="J1548" s="1"/>
      <c r="K1548" s="1" t="s">
        <v>23</v>
      </c>
      <c r="L1548" s="1" t="s">
        <v>7809</v>
      </c>
      <c r="M1548" s="1">
        <v>2.0</v>
      </c>
      <c r="N1548" s="1">
        <v>1.0</v>
      </c>
      <c r="O1548" s="1" t="s">
        <v>398</v>
      </c>
      <c r="P1548" s="1" t="s">
        <v>488</v>
      </c>
      <c r="Q1548" s="2" t="str">
        <f t="shared" si="1"/>
        <v>H030323</v>
      </c>
    </row>
    <row r="1549">
      <c r="A1549" s="1" t="s">
        <v>7810</v>
      </c>
      <c r="B1549" s="1" t="s">
        <v>7811</v>
      </c>
      <c r="C1549" s="1" t="s">
        <v>7812</v>
      </c>
      <c r="D1549" s="1" t="s">
        <v>7813</v>
      </c>
      <c r="E1549" s="1">
        <v>5383.0</v>
      </c>
      <c r="F1549" s="1" t="s">
        <v>398</v>
      </c>
      <c r="G1549" s="1" t="s">
        <v>179</v>
      </c>
      <c r="H1549" s="1" t="s">
        <v>180</v>
      </c>
      <c r="I1549" s="1" t="s">
        <v>1112</v>
      </c>
      <c r="J1549" s="1"/>
      <c r="K1549" s="1" t="s">
        <v>23</v>
      </c>
      <c r="L1549" s="1" t="s">
        <v>7814</v>
      </c>
      <c r="M1549" s="1">
        <v>2.0</v>
      </c>
      <c r="N1549" s="1">
        <v>1.0</v>
      </c>
      <c r="O1549" s="1" t="s">
        <v>398</v>
      </c>
      <c r="P1549" s="1" t="s">
        <v>488</v>
      </c>
      <c r="Q1549" s="2" t="str">
        <f t="shared" si="1"/>
        <v>H030323</v>
      </c>
    </row>
    <row r="1550">
      <c r="A1550" s="1" t="s">
        <v>7815</v>
      </c>
      <c r="B1550" s="1" t="s">
        <v>7816</v>
      </c>
      <c r="C1550" s="1" t="s">
        <v>7817</v>
      </c>
      <c r="D1550" s="1" t="s">
        <v>7818</v>
      </c>
      <c r="E1550" s="1">
        <v>3751.0</v>
      </c>
      <c r="F1550" s="1" t="s">
        <v>351</v>
      </c>
      <c r="G1550" s="1" t="s">
        <v>208</v>
      </c>
      <c r="H1550" s="1" t="s">
        <v>209</v>
      </c>
      <c r="I1550" s="1" t="s">
        <v>486</v>
      </c>
      <c r="J1550" s="1"/>
      <c r="K1550" s="1" t="s">
        <v>23</v>
      </c>
      <c r="L1550" s="1" t="s">
        <v>7819</v>
      </c>
      <c r="M1550" s="1">
        <v>2.0</v>
      </c>
      <c r="N1550" s="1">
        <v>1.0</v>
      </c>
      <c r="O1550" s="1" t="s">
        <v>351</v>
      </c>
      <c r="P1550" s="1" t="s">
        <v>488</v>
      </c>
      <c r="Q1550" s="2" t="str">
        <f t="shared" si="1"/>
        <v>H006029</v>
      </c>
    </row>
    <row r="1551">
      <c r="A1551" s="1" t="s">
        <v>7820</v>
      </c>
      <c r="B1551" s="1" t="s">
        <v>7821</v>
      </c>
      <c r="C1551" s="1" t="s">
        <v>7822</v>
      </c>
      <c r="D1551" s="1" t="s">
        <v>7823</v>
      </c>
      <c r="E1551" s="1">
        <v>3287.0</v>
      </c>
      <c r="F1551" s="1" t="s">
        <v>382</v>
      </c>
      <c r="G1551" s="1" t="s">
        <v>107</v>
      </c>
      <c r="H1551" s="1" t="s">
        <v>108</v>
      </c>
      <c r="I1551" s="1" t="s">
        <v>486</v>
      </c>
      <c r="J1551" s="1"/>
      <c r="K1551" s="1" t="s">
        <v>23</v>
      </c>
      <c r="L1551" s="1" t="s">
        <v>7824</v>
      </c>
      <c r="M1551" s="1">
        <v>3.0</v>
      </c>
      <c r="N1551" s="1">
        <v>1.0</v>
      </c>
      <c r="O1551" s="1" t="s">
        <v>382</v>
      </c>
      <c r="P1551" s="1" t="s">
        <v>488</v>
      </c>
      <c r="Q1551" s="2" t="str">
        <f t="shared" si="1"/>
        <v>H006510</v>
      </c>
    </row>
    <row r="1552">
      <c r="A1552" s="1" t="s">
        <v>7825</v>
      </c>
      <c r="B1552" s="1" t="s">
        <v>7826</v>
      </c>
      <c r="C1552" s="1" t="s">
        <v>7827</v>
      </c>
      <c r="D1552" s="1" t="s">
        <v>7828</v>
      </c>
      <c r="E1552" s="1">
        <v>3148.0</v>
      </c>
      <c r="F1552" s="1" t="s">
        <v>315</v>
      </c>
      <c r="G1552" s="1">
        <v>841329.0</v>
      </c>
      <c r="H1552" s="1" t="s">
        <v>1848</v>
      </c>
      <c r="I1552" s="1" t="s">
        <v>1051</v>
      </c>
      <c r="J1552" s="1"/>
      <c r="K1552" s="1" t="s">
        <v>23</v>
      </c>
      <c r="L1552" s="1" t="s">
        <v>7829</v>
      </c>
      <c r="M1552" s="1">
        <v>1.0</v>
      </c>
      <c r="N1552" s="1">
        <v>1.0</v>
      </c>
      <c r="O1552" s="1" t="s">
        <v>315</v>
      </c>
      <c r="P1552" s="1" t="s">
        <v>488</v>
      </c>
      <c r="Q1552" s="2" t="str">
        <f t="shared" si="1"/>
        <v>H004132</v>
      </c>
    </row>
    <row r="1553">
      <c r="A1553" s="1" t="s">
        <v>7830</v>
      </c>
      <c r="B1553" s="1" t="s">
        <v>7831</v>
      </c>
      <c r="C1553" s="1" t="s">
        <v>7832</v>
      </c>
      <c r="D1553" s="1" t="s">
        <v>7833</v>
      </c>
      <c r="E1553" s="1">
        <v>4002.0</v>
      </c>
      <c r="F1553" s="1" t="s">
        <v>315</v>
      </c>
      <c r="G1553" s="1">
        <v>841329.0</v>
      </c>
      <c r="H1553" s="1" t="s">
        <v>1848</v>
      </c>
      <c r="I1553" s="1" t="s">
        <v>1051</v>
      </c>
      <c r="J1553" s="1"/>
      <c r="K1553" s="1" t="s">
        <v>23</v>
      </c>
      <c r="L1553" s="1" t="s">
        <v>7834</v>
      </c>
      <c r="M1553" s="1">
        <v>1.0</v>
      </c>
      <c r="N1553" s="1">
        <v>1.0</v>
      </c>
      <c r="O1553" s="1" t="s">
        <v>315</v>
      </c>
      <c r="P1553" s="1" t="s">
        <v>488</v>
      </c>
      <c r="Q1553" s="2" t="str">
        <f t="shared" si="1"/>
        <v>H004132</v>
      </c>
    </row>
    <row r="1554">
      <c r="A1554" s="1" t="s">
        <v>7835</v>
      </c>
      <c r="B1554" s="1" t="s">
        <v>7836</v>
      </c>
      <c r="C1554" s="1" t="s">
        <v>7837</v>
      </c>
      <c r="D1554" s="1" t="s">
        <v>7838</v>
      </c>
      <c r="E1554" s="1">
        <v>3454.0</v>
      </c>
      <c r="F1554" s="1" t="s">
        <v>315</v>
      </c>
      <c r="G1554" s="1">
        <v>841329.0</v>
      </c>
      <c r="H1554" s="1" t="s">
        <v>1848</v>
      </c>
      <c r="I1554" s="1" t="s">
        <v>1051</v>
      </c>
      <c r="J1554" s="1"/>
      <c r="K1554" s="1" t="s">
        <v>23</v>
      </c>
      <c r="L1554" s="1" t="s">
        <v>7839</v>
      </c>
      <c r="M1554" s="1">
        <v>1.0</v>
      </c>
      <c r="N1554" s="1">
        <v>1.0</v>
      </c>
      <c r="O1554" s="1" t="s">
        <v>315</v>
      </c>
      <c r="P1554" s="1" t="s">
        <v>488</v>
      </c>
      <c r="Q1554" s="2" t="str">
        <f t="shared" si="1"/>
        <v>H004132</v>
      </c>
    </row>
    <row r="1555">
      <c r="A1555" s="1" t="s">
        <v>7840</v>
      </c>
      <c r="B1555" s="1" t="s">
        <v>7841</v>
      </c>
      <c r="C1555" s="1" t="s">
        <v>7842</v>
      </c>
      <c r="D1555" s="1" t="s">
        <v>7843</v>
      </c>
      <c r="E1555" s="1">
        <v>3575.0</v>
      </c>
      <c r="F1555" s="1" t="s">
        <v>315</v>
      </c>
      <c r="G1555" s="1">
        <v>841329.0</v>
      </c>
      <c r="H1555" s="1" t="s">
        <v>1848</v>
      </c>
      <c r="I1555" s="1" t="s">
        <v>1051</v>
      </c>
      <c r="J1555" s="1"/>
      <c r="K1555" s="1" t="s">
        <v>23</v>
      </c>
      <c r="L1555" s="1" t="s">
        <v>7844</v>
      </c>
      <c r="M1555" s="1">
        <v>1.0</v>
      </c>
      <c r="N1555" s="1">
        <v>1.0</v>
      </c>
      <c r="O1555" s="1" t="s">
        <v>315</v>
      </c>
      <c r="P1555" s="1" t="s">
        <v>488</v>
      </c>
      <c r="Q1555" s="2" t="str">
        <f t="shared" si="1"/>
        <v>H004132</v>
      </c>
    </row>
    <row r="1556">
      <c r="A1556" s="1" t="s">
        <v>7845</v>
      </c>
      <c r="B1556" s="1" t="s">
        <v>7846</v>
      </c>
      <c r="C1556" s="1" t="s">
        <v>7847</v>
      </c>
      <c r="D1556" s="1" t="s">
        <v>7848</v>
      </c>
      <c r="E1556" s="1">
        <v>84.0</v>
      </c>
      <c r="F1556" s="1" t="s">
        <v>315</v>
      </c>
      <c r="G1556" s="1">
        <v>841329.0</v>
      </c>
      <c r="H1556" s="1" t="s">
        <v>1848</v>
      </c>
      <c r="I1556" s="1" t="s">
        <v>1051</v>
      </c>
      <c r="J1556" s="1"/>
      <c r="K1556" s="1" t="s">
        <v>23</v>
      </c>
      <c r="L1556" s="1" t="s">
        <v>7849</v>
      </c>
      <c r="M1556" s="1">
        <v>1.0</v>
      </c>
      <c r="N1556" s="1">
        <v>0.0</v>
      </c>
      <c r="O1556" s="1" t="s">
        <v>315</v>
      </c>
      <c r="P1556" s="1" t="s">
        <v>25</v>
      </c>
      <c r="Q1556" s="2" t="str">
        <f t="shared" si="1"/>
        <v>H004132</v>
      </c>
    </row>
    <row r="1557">
      <c r="A1557" s="1" t="s">
        <v>7850</v>
      </c>
      <c r="B1557" s="1" t="s">
        <v>7851</v>
      </c>
      <c r="C1557" s="1" t="s">
        <v>7852</v>
      </c>
      <c r="D1557" s="1" t="s">
        <v>7853</v>
      </c>
      <c r="E1557" s="1">
        <v>3723.0</v>
      </c>
      <c r="F1557" s="1" t="s">
        <v>288</v>
      </c>
      <c r="G1557" s="1">
        <v>859767.0</v>
      </c>
      <c r="H1557" s="1" t="s">
        <v>2565</v>
      </c>
      <c r="I1557" s="1" t="s">
        <v>1051</v>
      </c>
      <c r="J1557" s="1"/>
      <c r="K1557" s="1" t="s">
        <v>23</v>
      </c>
      <c r="L1557" s="1" t="s">
        <v>7854</v>
      </c>
      <c r="M1557" s="1">
        <v>2.0</v>
      </c>
      <c r="N1557" s="1">
        <v>1.0</v>
      </c>
      <c r="O1557" s="1" t="s">
        <v>288</v>
      </c>
      <c r="P1557" s="1" t="s">
        <v>488</v>
      </c>
      <c r="Q1557" s="2" t="str">
        <f t="shared" si="1"/>
        <v>H004306</v>
      </c>
    </row>
    <row r="1558">
      <c r="A1558" s="1" t="s">
        <v>7855</v>
      </c>
      <c r="B1558" s="1" t="s">
        <v>7856</v>
      </c>
      <c r="C1558" s="1" t="s">
        <v>7857</v>
      </c>
      <c r="D1558" s="1" t="s">
        <v>7858</v>
      </c>
      <c r="E1558" s="1">
        <v>3972.0</v>
      </c>
      <c r="F1558" s="1" t="s">
        <v>288</v>
      </c>
      <c r="G1558" s="1">
        <v>859767.0</v>
      </c>
      <c r="H1558" s="1" t="s">
        <v>2565</v>
      </c>
      <c r="I1558" s="1" t="s">
        <v>1051</v>
      </c>
      <c r="J1558" s="1"/>
      <c r="K1558" s="1" t="s">
        <v>23</v>
      </c>
      <c r="L1558" s="1" t="s">
        <v>7859</v>
      </c>
      <c r="M1558" s="1">
        <v>2.0</v>
      </c>
      <c r="N1558" s="1">
        <v>1.0</v>
      </c>
      <c r="O1558" s="1" t="s">
        <v>288</v>
      </c>
      <c r="P1558" s="1" t="s">
        <v>488</v>
      </c>
      <c r="Q1558" s="2" t="str">
        <f t="shared" si="1"/>
        <v>H004306</v>
      </c>
    </row>
    <row r="1559">
      <c r="A1559" s="1" t="s">
        <v>7860</v>
      </c>
      <c r="B1559" s="1" t="s">
        <v>7861</v>
      </c>
      <c r="C1559" s="1" t="s">
        <v>7862</v>
      </c>
      <c r="D1559" s="1" t="s">
        <v>7863</v>
      </c>
      <c r="E1559" s="1">
        <v>4416.0</v>
      </c>
      <c r="F1559" s="1" t="s">
        <v>288</v>
      </c>
      <c r="G1559" s="1">
        <v>859767.0</v>
      </c>
      <c r="H1559" s="1" t="s">
        <v>2565</v>
      </c>
      <c r="I1559" s="1" t="s">
        <v>1051</v>
      </c>
      <c r="J1559" s="1"/>
      <c r="K1559" s="1" t="s">
        <v>23</v>
      </c>
      <c r="L1559" s="1" t="s">
        <v>7864</v>
      </c>
      <c r="M1559" s="1">
        <v>2.0</v>
      </c>
      <c r="N1559" s="1">
        <v>1.0</v>
      </c>
      <c r="O1559" s="1" t="s">
        <v>288</v>
      </c>
      <c r="P1559" s="1" t="s">
        <v>488</v>
      </c>
      <c r="Q1559" s="2" t="str">
        <f t="shared" si="1"/>
        <v>H004306</v>
      </c>
    </row>
    <row r="1560">
      <c r="A1560" s="1" t="s">
        <v>7865</v>
      </c>
      <c r="B1560" s="1" t="s">
        <v>7866</v>
      </c>
      <c r="C1560" s="1" t="s">
        <v>7867</v>
      </c>
      <c r="D1560" s="1" t="s">
        <v>7868</v>
      </c>
      <c r="E1560" s="1">
        <v>2856.0</v>
      </c>
      <c r="F1560" s="1" t="s">
        <v>288</v>
      </c>
      <c r="G1560" s="1">
        <v>859767.0</v>
      </c>
      <c r="H1560" s="1" t="s">
        <v>2565</v>
      </c>
      <c r="I1560" s="1" t="s">
        <v>1051</v>
      </c>
      <c r="J1560" s="1"/>
      <c r="K1560" s="1" t="s">
        <v>23</v>
      </c>
      <c r="L1560" s="1" t="s">
        <v>7869</v>
      </c>
      <c r="M1560" s="1">
        <v>2.0</v>
      </c>
      <c r="N1560" s="1">
        <v>1.0</v>
      </c>
      <c r="O1560" s="1" t="s">
        <v>288</v>
      </c>
      <c r="P1560" s="1" t="s">
        <v>488</v>
      </c>
      <c r="Q1560" s="2" t="str">
        <f t="shared" si="1"/>
        <v>H004306</v>
      </c>
    </row>
    <row r="1561">
      <c r="A1561" s="1" t="s">
        <v>7870</v>
      </c>
      <c r="B1561" s="1" t="s">
        <v>7871</v>
      </c>
      <c r="C1561" s="1" t="s">
        <v>7872</v>
      </c>
      <c r="D1561" s="1" t="s">
        <v>7873</v>
      </c>
      <c r="E1561" s="1">
        <v>3135.0</v>
      </c>
      <c r="F1561" s="1" t="s">
        <v>351</v>
      </c>
      <c r="G1561" s="1" t="s">
        <v>260</v>
      </c>
      <c r="H1561" s="1" t="s">
        <v>261</v>
      </c>
      <c r="I1561" s="1" t="s">
        <v>486</v>
      </c>
      <c r="J1561" s="1"/>
      <c r="K1561" s="1" t="s">
        <v>23</v>
      </c>
      <c r="L1561" s="1" t="s">
        <v>7874</v>
      </c>
      <c r="M1561" s="1">
        <v>0.0</v>
      </c>
      <c r="N1561" s="1">
        <v>1.0</v>
      </c>
      <c r="O1561" s="1" t="s">
        <v>351</v>
      </c>
      <c r="P1561" s="1" t="s">
        <v>488</v>
      </c>
      <c r="Q1561" s="2" t="str">
        <f t="shared" si="1"/>
        <v>H006213</v>
      </c>
    </row>
    <row r="1562">
      <c r="A1562" s="1" t="s">
        <v>7875</v>
      </c>
      <c r="B1562" s="1" t="s">
        <v>7876</v>
      </c>
      <c r="C1562" s="1" t="s">
        <v>7877</v>
      </c>
      <c r="D1562" s="1" t="s">
        <v>7878</v>
      </c>
      <c r="E1562" s="1">
        <v>3214.0</v>
      </c>
      <c r="F1562" s="1" t="s">
        <v>351</v>
      </c>
      <c r="G1562" s="1" t="s">
        <v>208</v>
      </c>
      <c r="H1562" s="1" t="s">
        <v>209</v>
      </c>
      <c r="I1562" s="1" t="s">
        <v>486</v>
      </c>
      <c r="J1562" s="1"/>
      <c r="K1562" s="1" t="s">
        <v>23</v>
      </c>
      <c r="L1562" s="1" t="s">
        <v>7879</v>
      </c>
      <c r="M1562" s="1">
        <v>0.0</v>
      </c>
      <c r="N1562" s="1">
        <v>1.0</v>
      </c>
      <c r="O1562" s="1" t="s">
        <v>351</v>
      </c>
      <c r="P1562" s="1" t="s">
        <v>488</v>
      </c>
      <c r="Q1562" s="2" t="str">
        <f t="shared" si="1"/>
        <v>H006213</v>
      </c>
    </row>
    <row r="1563">
      <c r="A1563" s="1" t="s">
        <v>7880</v>
      </c>
      <c r="B1563" s="1" t="s">
        <v>7881</v>
      </c>
      <c r="C1563" s="1" t="s">
        <v>7882</v>
      </c>
      <c r="D1563" s="1" t="s">
        <v>7883</v>
      </c>
      <c r="E1563" s="1">
        <v>4318.0</v>
      </c>
      <c r="F1563" s="1" t="s">
        <v>351</v>
      </c>
      <c r="G1563" s="1" t="s">
        <v>208</v>
      </c>
      <c r="H1563" s="1" t="s">
        <v>209</v>
      </c>
      <c r="I1563" s="1" t="s">
        <v>486</v>
      </c>
      <c r="J1563" s="1"/>
      <c r="K1563" s="1" t="s">
        <v>23</v>
      </c>
      <c r="L1563" s="1" t="s">
        <v>7884</v>
      </c>
      <c r="M1563" s="1">
        <v>0.0</v>
      </c>
      <c r="N1563" s="1">
        <v>1.0</v>
      </c>
      <c r="O1563" s="1" t="s">
        <v>351</v>
      </c>
      <c r="P1563" s="1" t="s">
        <v>488</v>
      </c>
      <c r="Q1563" s="2" t="str">
        <f t="shared" si="1"/>
        <v>H006213</v>
      </c>
    </row>
    <row r="1564">
      <c r="A1564" s="1" t="s">
        <v>7885</v>
      </c>
      <c r="B1564" s="1" t="s">
        <v>7886</v>
      </c>
      <c r="C1564" s="1" t="s">
        <v>7887</v>
      </c>
      <c r="D1564" s="1" t="s">
        <v>7888</v>
      </c>
      <c r="E1564" s="1">
        <v>5129.0</v>
      </c>
      <c r="F1564" s="1" t="s">
        <v>351</v>
      </c>
      <c r="G1564" s="1" t="s">
        <v>208</v>
      </c>
      <c r="H1564" s="1" t="s">
        <v>209</v>
      </c>
      <c r="I1564" s="1" t="s">
        <v>486</v>
      </c>
      <c r="J1564" s="1"/>
      <c r="K1564" s="1" t="s">
        <v>23</v>
      </c>
      <c r="L1564" s="1" t="s">
        <v>7889</v>
      </c>
      <c r="M1564" s="1">
        <v>0.0</v>
      </c>
      <c r="N1564" s="1">
        <v>1.0</v>
      </c>
      <c r="O1564" s="1" t="s">
        <v>351</v>
      </c>
      <c r="P1564" s="1" t="s">
        <v>488</v>
      </c>
      <c r="Q1564" s="2" t="str">
        <f t="shared" si="1"/>
        <v>H006213</v>
      </c>
    </row>
    <row r="1565">
      <c r="A1565" s="1" t="s">
        <v>7890</v>
      </c>
      <c r="B1565" s="1" t="s">
        <v>7891</v>
      </c>
      <c r="C1565" s="1" t="s">
        <v>7892</v>
      </c>
      <c r="D1565" s="1" t="s">
        <v>7893</v>
      </c>
      <c r="E1565" s="1">
        <v>3789.0</v>
      </c>
      <c r="F1565" s="1" t="s">
        <v>498</v>
      </c>
      <c r="G1565" s="1" t="s">
        <v>132</v>
      </c>
      <c r="H1565" s="1" t="s">
        <v>133</v>
      </c>
      <c r="I1565" s="1" t="s">
        <v>1112</v>
      </c>
      <c r="J1565" s="1"/>
      <c r="K1565" s="1" t="s">
        <v>23</v>
      </c>
      <c r="L1565" s="1" t="s">
        <v>7894</v>
      </c>
      <c r="M1565" s="1">
        <v>3.0</v>
      </c>
      <c r="N1565" s="1">
        <v>1.0</v>
      </c>
      <c r="O1565" s="1" t="s">
        <v>498</v>
      </c>
      <c r="P1565" s="1" t="s">
        <v>488</v>
      </c>
      <c r="Q1565" s="2" t="str">
        <f t="shared" si="1"/>
        <v>H030470</v>
      </c>
    </row>
    <row r="1566">
      <c r="A1566" s="1" t="s">
        <v>7895</v>
      </c>
      <c r="B1566" s="1" t="s">
        <v>7896</v>
      </c>
      <c r="C1566" s="1" t="s">
        <v>7897</v>
      </c>
      <c r="D1566" s="1" t="s">
        <v>7898</v>
      </c>
      <c r="E1566" s="1">
        <v>2905.0</v>
      </c>
      <c r="F1566" s="1" t="s">
        <v>498</v>
      </c>
      <c r="G1566" s="1">
        <v>896791.0</v>
      </c>
      <c r="H1566" s="1" t="s">
        <v>2124</v>
      </c>
      <c r="I1566" s="1" t="s">
        <v>1112</v>
      </c>
      <c r="J1566" s="1"/>
      <c r="K1566" s="1" t="s">
        <v>23</v>
      </c>
      <c r="L1566" s="1" t="s">
        <v>7899</v>
      </c>
      <c r="M1566" s="1">
        <v>3.0</v>
      </c>
      <c r="N1566" s="1">
        <v>1.0</v>
      </c>
      <c r="O1566" s="1" t="s">
        <v>498</v>
      </c>
      <c r="P1566" s="1" t="s">
        <v>488</v>
      </c>
      <c r="Q1566" s="2" t="str">
        <f t="shared" si="1"/>
        <v>H030470</v>
      </c>
    </row>
    <row r="1567">
      <c r="A1567" s="1" t="s">
        <v>7900</v>
      </c>
      <c r="B1567" s="1" t="s">
        <v>7901</v>
      </c>
      <c r="C1567" s="1" t="s">
        <v>7902</v>
      </c>
      <c r="D1567" s="1" t="s">
        <v>7903</v>
      </c>
      <c r="E1567" s="1">
        <v>3183.0</v>
      </c>
      <c r="F1567" s="1" t="s">
        <v>498</v>
      </c>
      <c r="G1567" s="1" t="s">
        <v>132</v>
      </c>
      <c r="H1567" s="1" t="s">
        <v>133</v>
      </c>
      <c r="I1567" s="1" t="s">
        <v>1112</v>
      </c>
      <c r="J1567" s="1"/>
      <c r="K1567" s="1" t="s">
        <v>23</v>
      </c>
      <c r="L1567" s="1" t="s">
        <v>7904</v>
      </c>
      <c r="M1567" s="1">
        <v>3.0</v>
      </c>
      <c r="N1567" s="1">
        <v>1.0</v>
      </c>
      <c r="O1567" s="1" t="s">
        <v>498</v>
      </c>
      <c r="P1567" s="1" t="s">
        <v>488</v>
      </c>
      <c r="Q1567" s="2" t="str">
        <f t="shared" si="1"/>
        <v>H030470</v>
      </c>
    </row>
    <row r="1568">
      <c r="A1568" s="1" t="s">
        <v>7905</v>
      </c>
      <c r="B1568" s="1" t="s">
        <v>7906</v>
      </c>
      <c r="C1568" s="1" t="s">
        <v>7907</v>
      </c>
      <c r="D1568" s="1" t="s">
        <v>7908</v>
      </c>
      <c r="E1568" s="1">
        <v>5307.0</v>
      </c>
      <c r="F1568" s="1" t="s">
        <v>398</v>
      </c>
      <c r="G1568" s="1" t="s">
        <v>155</v>
      </c>
      <c r="H1568" s="1" t="s">
        <v>156</v>
      </c>
      <c r="I1568" s="1" t="s">
        <v>1112</v>
      </c>
      <c r="J1568" s="1"/>
      <c r="K1568" s="1" t="s">
        <v>23</v>
      </c>
      <c r="L1568" s="1" t="s">
        <v>7909</v>
      </c>
      <c r="M1568" s="1">
        <v>2.0</v>
      </c>
      <c r="N1568" s="1">
        <v>1.0</v>
      </c>
      <c r="O1568" s="1" t="s">
        <v>398</v>
      </c>
      <c r="P1568" s="1" t="s">
        <v>488</v>
      </c>
      <c r="Q1568" s="2" t="str">
        <f t="shared" si="1"/>
        <v>H030396</v>
      </c>
    </row>
    <row r="1569">
      <c r="A1569" s="1" t="s">
        <v>7910</v>
      </c>
      <c r="B1569" s="1" t="s">
        <v>7911</v>
      </c>
      <c r="C1569" s="1" t="s">
        <v>7912</v>
      </c>
      <c r="D1569" s="1" t="s">
        <v>7913</v>
      </c>
      <c r="E1569" s="1">
        <v>4057.0</v>
      </c>
      <c r="F1569" s="1" t="s">
        <v>398</v>
      </c>
      <c r="G1569" s="1" t="s">
        <v>155</v>
      </c>
      <c r="H1569" s="1" t="s">
        <v>156</v>
      </c>
      <c r="I1569" s="1" t="s">
        <v>1112</v>
      </c>
      <c r="J1569" s="1"/>
      <c r="K1569" s="1" t="s">
        <v>23</v>
      </c>
      <c r="L1569" s="1" t="s">
        <v>7914</v>
      </c>
      <c r="M1569" s="1">
        <v>2.0</v>
      </c>
      <c r="N1569" s="1">
        <v>1.0</v>
      </c>
      <c r="O1569" s="1" t="s">
        <v>398</v>
      </c>
      <c r="P1569" s="1" t="s">
        <v>488</v>
      </c>
      <c r="Q1569" s="2" t="str">
        <f t="shared" si="1"/>
        <v>H030396</v>
      </c>
    </row>
    <row r="1570">
      <c r="A1570" s="1" t="s">
        <v>7915</v>
      </c>
      <c r="B1570" s="1" t="s">
        <v>7916</v>
      </c>
      <c r="C1570" s="1" t="s">
        <v>7917</v>
      </c>
      <c r="D1570" s="1" t="s">
        <v>7918</v>
      </c>
      <c r="E1570" s="1">
        <v>6317.0</v>
      </c>
      <c r="F1570" s="1" t="s">
        <v>398</v>
      </c>
      <c r="G1570" s="1" t="s">
        <v>155</v>
      </c>
      <c r="H1570" s="1" t="s">
        <v>156</v>
      </c>
      <c r="I1570" s="1" t="s">
        <v>1112</v>
      </c>
      <c r="J1570" s="1"/>
      <c r="K1570" s="1" t="s">
        <v>23</v>
      </c>
      <c r="L1570" s="1" t="s">
        <v>7919</v>
      </c>
      <c r="M1570" s="1">
        <v>2.0</v>
      </c>
      <c r="N1570" s="1">
        <v>1.0</v>
      </c>
      <c r="O1570" s="1" t="s">
        <v>398</v>
      </c>
      <c r="P1570" s="1" t="s">
        <v>488</v>
      </c>
      <c r="Q1570" s="2" t="str">
        <f t="shared" si="1"/>
        <v>H030396</v>
      </c>
    </row>
    <row r="1571">
      <c r="A1571" s="1" t="s">
        <v>7920</v>
      </c>
      <c r="B1571" s="1" t="s">
        <v>7921</v>
      </c>
      <c r="C1571" s="1" t="s">
        <v>7922</v>
      </c>
      <c r="D1571" s="1" t="s">
        <v>7923</v>
      </c>
      <c r="E1571" s="1">
        <v>4962.0</v>
      </c>
      <c r="F1571" s="1" t="s">
        <v>351</v>
      </c>
      <c r="G1571" s="1" t="s">
        <v>57</v>
      </c>
      <c r="H1571" s="1" t="s">
        <v>58</v>
      </c>
      <c r="I1571" s="1" t="s">
        <v>486</v>
      </c>
      <c r="J1571" s="1"/>
      <c r="K1571" s="1" t="s">
        <v>23</v>
      </c>
      <c r="L1571" s="1" t="s">
        <v>7924</v>
      </c>
      <c r="M1571" s="1">
        <v>0.0</v>
      </c>
      <c r="N1571" s="1">
        <v>1.0</v>
      </c>
      <c r="O1571" s="1" t="s">
        <v>351</v>
      </c>
      <c r="P1571" s="1" t="s">
        <v>488</v>
      </c>
      <c r="Q1571" s="2" t="str">
        <f t="shared" si="1"/>
        <v>H006213</v>
      </c>
    </row>
    <row r="1572">
      <c r="A1572" s="1" t="s">
        <v>7925</v>
      </c>
      <c r="B1572" s="1" t="s">
        <v>7926</v>
      </c>
      <c r="C1572" s="1" t="s">
        <v>7927</v>
      </c>
      <c r="D1572" s="1" t="s">
        <v>7928</v>
      </c>
      <c r="E1572" s="1">
        <v>2879.0</v>
      </c>
      <c r="F1572" s="1" t="s">
        <v>351</v>
      </c>
      <c r="G1572" s="1" t="s">
        <v>57</v>
      </c>
      <c r="H1572" s="1" t="s">
        <v>58</v>
      </c>
      <c r="I1572" s="1" t="s">
        <v>486</v>
      </c>
      <c r="J1572" s="1"/>
      <c r="K1572" s="1" t="s">
        <v>23</v>
      </c>
      <c r="L1572" s="1" t="s">
        <v>7929</v>
      </c>
      <c r="M1572" s="1">
        <v>0.0</v>
      </c>
      <c r="N1572" s="1">
        <v>1.0</v>
      </c>
      <c r="O1572" s="1" t="s">
        <v>351</v>
      </c>
      <c r="P1572" s="1" t="s">
        <v>488</v>
      </c>
      <c r="Q1572" s="2" t="str">
        <f t="shared" si="1"/>
        <v>H006213</v>
      </c>
    </row>
    <row r="1573">
      <c r="A1573" s="1" t="s">
        <v>7930</v>
      </c>
      <c r="B1573" s="1" t="s">
        <v>7931</v>
      </c>
      <c r="C1573" s="1" t="s">
        <v>7932</v>
      </c>
      <c r="D1573" s="1" t="s">
        <v>7933</v>
      </c>
      <c r="E1573" s="1">
        <v>3371.0</v>
      </c>
      <c r="F1573" s="1" t="s">
        <v>351</v>
      </c>
      <c r="G1573" s="1" t="s">
        <v>57</v>
      </c>
      <c r="H1573" s="1" t="s">
        <v>58</v>
      </c>
      <c r="I1573" s="1" t="s">
        <v>486</v>
      </c>
      <c r="J1573" s="1"/>
      <c r="K1573" s="1" t="s">
        <v>23</v>
      </c>
      <c r="L1573" s="1" t="s">
        <v>7934</v>
      </c>
      <c r="M1573" s="1">
        <v>0.0</v>
      </c>
      <c r="N1573" s="1">
        <v>1.0</v>
      </c>
      <c r="O1573" s="1" t="s">
        <v>351</v>
      </c>
      <c r="P1573" s="1" t="s">
        <v>488</v>
      </c>
      <c r="Q1573" s="2" t="str">
        <f t="shared" si="1"/>
        <v>H006213</v>
      </c>
    </row>
    <row r="1574">
      <c r="A1574" s="1" t="s">
        <v>7935</v>
      </c>
      <c r="B1574" s="1" t="s">
        <v>7936</v>
      </c>
      <c r="C1574" s="1" t="s">
        <v>7937</v>
      </c>
      <c r="D1574" s="1" t="s">
        <v>7938</v>
      </c>
      <c r="E1574" s="1">
        <v>4395.0</v>
      </c>
      <c r="F1574" s="1" t="s">
        <v>351</v>
      </c>
      <c r="G1574" s="1" t="s">
        <v>57</v>
      </c>
      <c r="H1574" s="1" t="s">
        <v>58</v>
      </c>
      <c r="I1574" s="1" t="s">
        <v>486</v>
      </c>
      <c r="J1574" s="1"/>
      <c r="K1574" s="1" t="s">
        <v>23</v>
      </c>
      <c r="L1574" s="1" t="s">
        <v>7939</v>
      </c>
      <c r="M1574" s="1">
        <v>0.0</v>
      </c>
      <c r="N1574" s="1">
        <v>1.0</v>
      </c>
      <c r="O1574" s="1" t="s">
        <v>351</v>
      </c>
      <c r="P1574" s="1" t="s">
        <v>488</v>
      </c>
      <c r="Q1574" s="2" t="str">
        <f t="shared" si="1"/>
        <v>H006213</v>
      </c>
    </row>
    <row r="1575">
      <c r="A1575" s="1" t="s">
        <v>7940</v>
      </c>
      <c r="B1575" s="1" t="s">
        <v>7941</v>
      </c>
      <c r="C1575" s="1" t="s">
        <v>7942</v>
      </c>
      <c r="D1575" s="1" t="s">
        <v>7943</v>
      </c>
      <c r="E1575" s="1">
        <v>4681.0</v>
      </c>
      <c r="F1575" s="1" t="s">
        <v>498</v>
      </c>
      <c r="G1575" s="1" t="s">
        <v>220</v>
      </c>
      <c r="H1575" s="1" t="s">
        <v>221</v>
      </c>
      <c r="I1575" s="1" t="s">
        <v>1112</v>
      </c>
      <c r="J1575" s="1"/>
      <c r="K1575" s="1" t="s">
        <v>23</v>
      </c>
      <c r="L1575" s="1" t="s">
        <v>7944</v>
      </c>
      <c r="M1575" s="1">
        <v>3.0</v>
      </c>
      <c r="N1575" s="1">
        <v>1.0</v>
      </c>
      <c r="O1575" s="1" t="s">
        <v>498</v>
      </c>
      <c r="P1575" s="1" t="s">
        <v>488</v>
      </c>
      <c r="Q1575" s="2" t="str">
        <f t="shared" si="1"/>
        <v>H030470</v>
      </c>
    </row>
    <row r="1576">
      <c r="A1576" s="1" t="s">
        <v>7945</v>
      </c>
      <c r="B1576" s="1" t="s">
        <v>7946</v>
      </c>
      <c r="C1576" s="1" t="s">
        <v>7947</v>
      </c>
      <c r="D1576" s="1" t="s">
        <v>7948</v>
      </c>
      <c r="E1576" s="1">
        <v>3512.0</v>
      </c>
      <c r="F1576" s="1" t="s">
        <v>498</v>
      </c>
      <c r="G1576" s="1" t="s">
        <v>220</v>
      </c>
      <c r="H1576" s="1" t="s">
        <v>221</v>
      </c>
      <c r="I1576" s="1" t="s">
        <v>1112</v>
      </c>
      <c r="J1576" s="1"/>
      <c r="K1576" s="1" t="s">
        <v>23</v>
      </c>
      <c r="L1576" s="1" t="s">
        <v>7949</v>
      </c>
      <c r="M1576" s="1">
        <v>3.0</v>
      </c>
      <c r="N1576" s="1">
        <v>1.0</v>
      </c>
      <c r="O1576" s="1" t="s">
        <v>498</v>
      </c>
      <c r="P1576" s="1" t="s">
        <v>488</v>
      </c>
      <c r="Q1576" s="2" t="str">
        <f t="shared" si="1"/>
        <v>H030470</v>
      </c>
    </row>
    <row r="1577">
      <c r="A1577" s="1" t="s">
        <v>7950</v>
      </c>
      <c r="B1577" s="1" t="s">
        <v>7951</v>
      </c>
      <c r="C1577" s="1" t="s">
        <v>7952</v>
      </c>
      <c r="D1577" s="1" t="s">
        <v>7953</v>
      </c>
      <c r="E1577" s="1">
        <v>4902.0</v>
      </c>
      <c r="F1577" s="1" t="s">
        <v>498</v>
      </c>
      <c r="G1577" s="1">
        <v>896791.0</v>
      </c>
      <c r="H1577" s="1" t="s">
        <v>2124</v>
      </c>
      <c r="I1577" s="1" t="s">
        <v>1112</v>
      </c>
      <c r="J1577" s="1"/>
      <c r="K1577" s="1" t="s">
        <v>23</v>
      </c>
      <c r="L1577" s="1" t="s">
        <v>7954</v>
      </c>
      <c r="M1577" s="1">
        <v>3.0</v>
      </c>
      <c r="N1577" s="1">
        <v>1.0</v>
      </c>
      <c r="O1577" s="1" t="s">
        <v>498</v>
      </c>
      <c r="P1577" s="1" t="s">
        <v>488</v>
      </c>
      <c r="Q1577" s="2" t="str">
        <f t="shared" si="1"/>
        <v>H030470</v>
      </c>
    </row>
    <row r="1578">
      <c r="A1578" s="1" t="s">
        <v>7955</v>
      </c>
      <c r="B1578" s="1" t="s">
        <v>7956</v>
      </c>
      <c r="C1578" s="1" t="s">
        <v>7957</v>
      </c>
      <c r="D1578" s="1" t="s">
        <v>7958</v>
      </c>
      <c r="E1578" s="1">
        <v>4692.0</v>
      </c>
      <c r="F1578" s="1" t="s">
        <v>498</v>
      </c>
      <c r="G1578" s="1">
        <v>896791.0</v>
      </c>
      <c r="H1578" s="1" t="s">
        <v>2124</v>
      </c>
      <c r="I1578" s="1" t="s">
        <v>1112</v>
      </c>
      <c r="J1578" s="1"/>
      <c r="K1578" s="1" t="s">
        <v>23</v>
      </c>
      <c r="L1578" s="1" t="s">
        <v>7959</v>
      </c>
      <c r="M1578" s="1">
        <v>3.0</v>
      </c>
      <c r="N1578" s="1">
        <v>1.0</v>
      </c>
      <c r="O1578" s="1" t="s">
        <v>498</v>
      </c>
      <c r="P1578" s="1" t="s">
        <v>488</v>
      </c>
      <c r="Q1578" s="2" t="str">
        <f t="shared" si="1"/>
        <v>H030470</v>
      </c>
    </row>
    <row r="1579">
      <c r="A1579" s="1" t="s">
        <v>7960</v>
      </c>
      <c r="B1579" s="1" t="s">
        <v>7961</v>
      </c>
      <c r="C1579" s="1" t="s">
        <v>7962</v>
      </c>
      <c r="D1579" s="1" t="s">
        <v>7963</v>
      </c>
      <c r="E1579" s="1">
        <v>3220.0</v>
      </c>
      <c r="F1579" s="1" t="s">
        <v>382</v>
      </c>
      <c r="G1579" s="1" t="s">
        <v>107</v>
      </c>
      <c r="H1579" s="1" t="s">
        <v>108</v>
      </c>
      <c r="I1579" s="1" t="s">
        <v>486</v>
      </c>
      <c r="J1579" s="1"/>
      <c r="K1579" s="1" t="s">
        <v>23</v>
      </c>
      <c r="L1579" s="1" t="s">
        <v>7964</v>
      </c>
      <c r="M1579" s="1">
        <v>0.0</v>
      </c>
      <c r="N1579" s="1">
        <v>1.0</v>
      </c>
      <c r="O1579" s="1" t="s">
        <v>382</v>
      </c>
      <c r="P1579" s="1" t="s">
        <v>488</v>
      </c>
      <c r="Q1579" s="2" t="str">
        <f t="shared" si="1"/>
        <v>H006068</v>
      </c>
    </row>
    <row r="1580">
      <c r="A1580" s="1" t="s">
        <v>7965</v>
      </c>
      <c r="B1580" s="1" t="s">
        <v>7966</v>
      </c>
      <c r="C1580" s="1" t="s">
        <v>7967</v>
      </c>
      <c r="D1580" s="1" t="s">
        <v>7968</v>
      </c>
      <c r="E1580" s="1">
        <v>2802.0</v>
      </c>
      <c r="F1580" s="1" t="s">
        <v>382</v>
      </c>
      <c r="G1580" s="1" t="s">
        <v>107</v>
      </c>
      <c r="H1580" s="1" t="s">
        <v>108</v>
      </c>
      <c r="I1580" s="1" t="s">
        <v>486</v>
      </c>
      <c r="J1580" s="1"/>
      <c r="K1580" s="1" t="s">
        <v>23</v>
      </c>
      <c r="L1580" s="1" t="s">
        <v>7969</v>
      </c>
      <c r="M1580" s="1">
        <v>0.0</v>
      </c>
      <c r="N1580" s="1">
        <v>1.0</v>
      </c>
      <c r="O1580" s="1" t="s">
        <v>382</v>
      </c>
      <c r="P1580" s="1" t="s">
        <v>488</v>
      </c>
      <c r="Q1580" s="2" t="str">
        <f t="shared" si="1"/>
        <v>H006068</v>
      </c>
    </row>
    <row r="1581">
      <c r="A1581" s="1" t="s">
        <v>7970</v>
      </c>
      <c r="B1581" s="1" t="s">
        <v>7971</v>
      </c>
      <c r="C1581" s="1" t="s">
        <v>7972</v>
      </c>
      <c r="D1581" s="1" t="s">
        <v>7973</v>
      </c>
      <c r="E1581" s="1">
        <v>3797.0</v>
      </c>
      <c r="F1581" s="1" t="s">
        <v>351</v>
      </c>
      <c r="G1581" s="1" t="s">
        <v>260</v>
      </c>
      <c r="H1581" s="1" t="s">
        <v>261</v>
      </c>
      <c r="I1581" s="1" t="s">
        <v>486</v>
      </c>
      <c r="J1581" s="1"/>
      <c r="K1581" s="1" t="s">
        <v>23</v>
      </c>
      <c r="L1581" s="1" t="s">
        <v>7974</v>
      </c>
      <c r="M1581" s="1">
        <v>0.0</v>
      </c>
      <c r="N1581" s="1">
        <v>1.0</v>
      </c>
      <c r="O1581" s="1" t="s">
        <v>351</v>
      </c>
      <c r="P1581" s="1" t="s">
        <v>488</v>
      </c>
      <c r="Q1581" s="2" t="str">
        <f t="shared" si="1"/>
        <v>H006213</v>
      </c>
    </row>
    <row r="1582">
      <c r="A1582" s="1" t="s">
        <v>7975</v>
      </c>
      <c r="B1582" s="1" t="s">
        <v>7976</v>
      </c>
      <c r="C1582" s="1" t="s">
        <v>7977</v>
      </c>
      <c r="D1582" s="1" t="s">
        <v>7978</v>
      </c>
      <c r="E1582" s="1">
        <v>5081.0</v>
      </c>
      <c r="F1582" s="1" t="s">
        <v>351</v>
      </c>
      <c r="G1582" s="1" t="s">
        <v>260</v>
      </c>
      <c r="H1582" s="1" t="s">
        <v>261</v>
      </c>
      <c r="I1582" s="1" t="s">
        <v>486</v>
      </c>
      <c r="J1582" s="1"/>
      <c r="K1582" s="1" t="s">
        <v>23</v>
      </c>
      <c r="L1582" s="1" t="s">
        <v>7979</v>
      </c>
      <c r="M1582" s="1">
        <v>0.0</v>
      </c>
      <c r="N1582" s="1">
        <v>1.0</v>
      </c>
      <c r="O1582" s="1" t="s">
        <v>351</v>
      </c>
      <c r="P1582" s="1" t="s">
        <v>488</v>
      </c>
      <c r="Q1582" s="2" t="str">
        <f t="shared" si="1"/>
        <v>H006213</v>
      </c>
    </row>
    <row r="1583">
      <c r="A1583" s="1" t="s">
        <v>7980</v>
      </c>
      <c r="B1583" s="1" t="s">
        <v>7981</v>
      </c>
      <c r="C1583" s="1" t="s">
        <v>7982</v>
      </c>
      <c r="D1583" s="1" t="s">
        <v>7983</v>
      </c>
      <c r="E1583" s="1">
        <v>2413.0</v>
      </c>
      <c r="F1583" s="1" t="s">
        <v>382</v>
      </c>
      <c r="G1583" s="1" t="s">
        <v>107</v>
      </c>
      <c r="H1583" s="1" t="s">
        <v>108</v>
      </c>
      <c r="I1583" s="1" t="s">
        <v>486</v>
      </c>
      <c r="J1583" s="1"/>
      <c r="K1583" s="1" t="s">
        <v>23</v>
      </c>
      <c r="L1583" s="1" t="s">
        <v>7984</v>
      </c>
      <c r="M1583" s="1">
        <v>0.0</v>
      </c>
      <c r="N1583" s="1">
        <v>1.0</v>
      </c>
      <c r="O1583" s="1" t="s">
        <v>382</v>
      </c>
      <c r="P1583" s="1" t="s">
        <v>488</v>
      </c>
      <c r="Q1583" s="2" t="str">
        <f t="shared" si="1"/>
        <v>H006068</v>
      </c>
    </row>
    <row r="1584">
      <c r="A1584" s="1" t="s">
        <v>7985</v>
      </c>
      <c r="B1584" s="1" t="s">
        <v>7986</v>
      </c>
      <c r="C1584" s="1" t="s">
        <v>7987</v>
      </c>
      <c r="D1584" s="1" t="s">
        <v>7988</v>
      </c>
      <c r="E1584" s="1">
        <v>3437.0</v>
      </c>
      <c r="F1584" s="1" t="s">
        <v>382</v>
      </c>
      <c r="G1584" s="1" t="s">
        <v>107</v>
      </c>
      <c r="H1584" s="1" t="s">
        <v>108</v>
      </c>
      <c r="I1584" s="1" t="s">
        <v>486</v>
      </c>
      <c r="J1584" s="1"/>
      <c r="K1584" s="1" t="s">
        <v>23</v>
      </c>
      <c r="L1584" s="1" t="s">
        <v>7989</v>
      </c>
      <c r="M1584" s="1">
        <v>0.0</v>
      </c>
      <c r="N1584" s="1">
        <v>1.0</v>
      </c>
      <c r="O1584" s="1" t="s">
        <v>382</v>
      </c>
      <c r="P1584" s="1" t="s">
        <v>488</v>
      </c>
      <c r="Q1584" s="2" t="str">
        <f t="shared" si="1"/>
        <v>H006068</v>
      </c>
    </row>
    <row r="1585">
      <c r="A1585" s="1" t="s">
        <v>7990</v>
      </c>
      <c r="B1585" s="1" t="s">
        <v>7991</v>
      </c>
      <c r="C1585" s="1" t="s">
        <v>7992</v>
      </c>
      <c r="D1585" s="1" t="s">
        <v>7993</v>
      </c>
      <c r="E1585" s="1">
        <v>4530.0</v>
      </c>
      <c r="F1585" s="1" t="s">
        <v>351</v>
      </c>
      <c r="G1585" s="1" t="s">
        <v>260</v>
      </c>
      <c r="H1585" s="1" t="s">
        <v>261</v>
      </c>
      <c r="I1585" s="1" t="s">
        <v>486</v>
      </c>
      <c r="J1585" s="1"/>
      <c r="K1585" s="1" t="s">
        <v>23</v>
      </c>
      <c r="L1585" s="1" t="s">
        <v>7994</v>
      </c>
      <c r="M1585" s="1">
        <v>0.0</v>
      </c>
      <c r="N1585" s="1">
        <v>1.0</v>
      </c>
      <c r="O1585" s="1" t="s">
        <v>351</v>
      </c>
      <c r="P1585" s="1" t="s">
        <v>488</v>
      </c>
      <c r="Q1585" s="2" t="str">
        <f t="shared" si="1"/>
        <v>H006213</v>
      </c>
    </row>
    <row r="1586">
      <c r="A1586" s="1" t="s">
        <v>7995</v>
      </c>
      <c r="B1586" s="1" t="s">
        <v>7996</v>
      </c>
      <c r="C1586" s="1" t="s">
        <v>7997</v>
      </c>
      <c r="D1586" s="1" t="s">
        <v>7998</v>
      </c>
      <c r="E1586" s="1">
        <v>4280.0</v>
      </c>
      <c r="F1586" s="1" t="s">
        <v>351</v>
      </c>
      <c r="G1586" s="1" t="s">
        <v>260</v>
      </c>
      <c r="H1586" s="1" t="s">
        <v>261</v>
      </c>
      <c r="I1586" s="1" t="s">
        <v>486</v>
      </c>
      <c r="J1586" s="1"/>
      <c r="K1586" s="1" t="s">
        <v>23</v>
      </c>
      <c r="L1586" s="1" t="s">
        <v>7999</v>
      </c>
      <c r="M1586" s="1">
        <v>0.0</v>
      </c>
      <c r="N1586" s="1">
        <v>1.0</v>
      </c>
      <c r="O1586" s="1" t="s">
        <v>351</v>
      </c>
      <c r="P1586" s="1" t="s">
        <v>488</v>
      </c>
      <c r="Q1586" s="2" t="str">
        <f t="shared" si="1"/>
        <v>H006213</v>
      </c>
    </row>
    <row r="1587">
      <c r="A1587" s="1" t="s">
        <v>8000</v>
      </c>
      <c r="B1587" s="1" t="s">
        <v>8001</v>
      </c>
      <c r="C1587" s="1" t="s">
        <v>8002</v>
      </c>
      <c r="D1587" s="1" t="s">
        <v>8003</v>
      </c>
      <c r="E1587" s="1">
        <v>5127.0</v>
      </c>
      <c r="F1587" s="1" t="s">
        <v>315</v>
      </c>
      <c r="G1587" s="1">
        <v>555127.0</v>
      </c>
      <c r="H1587" s="1" t="s">
        <v>3047</v>
      </c>
      <c r="I1587" s="1" t="s">
        <v>1051</v>
      </c>
      <c r="J1587" s="1"/>
      <c r="K1587" s="1" t="s">
        <v>23</v>
      </c>
      <c r="L1587" s="1" t="s">
        <v>8004</v>
      </c>
      <c r="M1587" s="1">
        <v>1.0</v>
      </c>
      <c r="N1587" s="1">
        <v>1.0</v>
      </c>
      <c r="O1587" s="1" t="s">
        <v>315</v>
      </c>
      <c r="P1587" s="1" t="s">
        <v>488</v>
      </c>
      <c r="Q1587" s="2" t="str">
        <f t="shared" si="1"/>
        <v>H004132</v>
      </c>
    </row>
    <row r="1588">
      <c r="A1588" s="1" t="s">
        <v>8005</v>
      </c>
      <c r="B1588" s="1" t="s">
        <v>8006</v>
      </c>
      <c r="C1588" s="1" t="s">
        <v>8007</v>
      </c>
      <c r="D1588" s="1" t="s">
        <v>8008</v>
      </c>
      <c r="E1588" s="1">
        <v>3830.0</v>
      </c>
      <c r="F1588" s="1" t="s">
        <v>315</v>
      </c>
      <c r="G1588" s="1">
        <v>555127.0</v>
      </c>
      <c r="H1588" s="1" t="s">
        <v>3047</v>
      </c>
      <c r="I1588" s="1" t="s">
        <v>1051</v>
      </c>
      <c r="J1588" s="1"/>
      <c r="K1588" s="1" t="s">
        <v>23</v>
      </c>
      <c r="L1588" s="1" t="s">
        <v>8009</v>
      </c>
      <c r="M1588" s="1">
        <v>1.0</v>
      </c>
      <c r="N1588" s="1">
        <v>1.0</v>
      </c>
      <c r="O1588" s="1" t="s">
        <v>315</v>
      </c>
      <c r="P1588" s="1" t="s">
        <v>488</v>
      </c>
      <c r="Q1588" s="2" t="str">
        <f t="shared" si="1"/>
        <v>H004132</v>
      </c>
    </row>
    <row r="1589">
      <c r="A1589" s="1" t="s">
        <v>8010</v>
      </c>
      <c r="B1589" s="1" t="s">
        <v>8011</v>
      </c>
      <c r="C1589" s="1" t="s">
        <v>8012</v>
      </c>
      <c r="D1589" s="1" t="s">
        <v>8013</v>
      </c>
      <c r="E1589" s="1">
        <v>2562.0</v>
      </c>
      <c r="F1589" s="1" t="s">
        <v>315</v>
      </c>
      <c r="G1589" s="1">
        <v>555127.0</v>
      </c>
      <c r="H1589" s="1" t="s">
        <v>3047</v>
      </c>
      <c r="I1589" s="1" t="s">
        <v>1051</v>
      </c>
      <c r="J1589" s="1"/>
      <c r="K1589" s="1" t="s">
        <v>23</v>
      </c>
      <c r="L1589" s="1" t="s">
        <v>8014</v>
      </c>
      <c r="M1589" s="1">
        <v>1.0</v>
      </c>
      <c r="N1589" s="1">
        <v>1.0</v>
      </c>
      <c r="O1589" s="1" t="s">
        <v>315</v>
      </c>
      <c r="P1589" s="1" t="s">
        <v>488</v>
      </c>
      <c r="Q1589" s="2" t="str">
        <f t="shared" si="1"/>
        <v>H004132</v>
      </c>
    </row>
    <row r="1590">
      <c r="A1590" s="1" t="s">
        <v>8015</v>
      </c>
      <c r="B1590" s="1" t="s">
        <v>8016</v>
      </c>
      <c r="C1590" s="1" t="s">
        <v>8017</v>
      </c>
      <c r="D1590" s="1" t="s">
        <v>8018</v>
      </c>
      <c r="E1590" s="1">
        <v>2689.0</v>
      </c>
      <c r="F1590" s="1" t="s">
        <v>315</v>
      </c>
      <c r="G1590" s="1">
        <v>555127.0</v>
      </c>
      <c r="H1590" s="1" t="s">
        <v>3047</v>
      </c>
      <c r="I1590" s="1" t="s">
        <v>1051</v>
      </c>
      <c r="J1590" s="1"/>
      <c r="K1590" s="1" t="s">
        <v>23</v>
      </c>
      <c r="L1590" s="1" t="s">
        <v>8019</v>
      </c>
      <c r="M1590" s="1">
        <v>1.0</v>
      </c>
      <c r="N1590" s="1">
        <v>1.0</v>
      </c>
      <c r="O1590" s="1" t="s">
        <v>315</v>
      </c>
      <c r="P1590" s="1" t="s">
        <v>488</v>
      </c>
      <c r="Q1590" s="2" t="str">
        <f t="shared" si="1"/>
        <v>H004132</v>
      </c>
    </row>
    <row r="1591">
      <c r="A1591" s="1" t="s">
        <v>8020</v>
      </c>
      <c r="B1591" s="1" t="s">
        <v>8021</v>
      </c>
      <c r="C1591" s="1" t="s">
        <v>8022</v>
      </c>
      <c r="D1591" s="1" t="s">
        <v>8023</v>
      </c>
      <c r="E1591" s="1">
        <v>3861.0</v>
      </c>
      <c r="F1591" s="1" t="s">
        <v>315</v>
      </c>
      <c r="G1591" s="1">
        <v>555127.0</v>
      </c>
      <c r="H1591" s="1" t="s">
        <v>3047</v>
      </c>
      <c r="I1591" s="1" t="s">
        <v>1051</v>
      </c>
      <c r="J1591" s="1"/>
      <c r="K1591" s="1" t="s">
        <v>23</v>
      </c>
      <c r="L1591" s="1" t="s">
        <v>8024</v>
      </c>
      <c r="M1591" s="1">
        <v>1.0</v>
      </c>
      <c r="N1591" s="1">
        <v>1.0</v>
      </c>
      <c r="O1591" s="1" t="s">
        <v>315</v>
      </c>
      <c r="P1591" s="1" t="s">
        <v>488</v>
      </c>
      <c r="Q1591" s="2" t="str">
        <f t="shared" si="1"/>
        <v>H004132</v>
      </c>
    </row>
    <row r="1592">
      <c r="A1592" s="1" t="s">
        <v>8025</v>
      </c>
      <c r="B1592" s="1" t="s">
        <v>8026</v>
      </c>
      <c r="C1592" s="1" t="s">
        <v>8027</v>
      </c>
      <c r="D1592" s="1" t="s">
        <v>8028</v>
      </c>
      <c r="E1592" s="1">
        <v>3019.0</v>
      </c>
      <c r="F1592" s="1" t="s">
        <v>315</v>
      </c>
      <c r="G1592" s="1">
        <v>455939.0</v>
      </c>
      <c r="H1592" s="1" t="s">
        <v>2746</v>
      </c>
      <c r="I1592" s="1" t="s">
        <v>1051</v>
      </c>
      <c r="J1592" s="1"/>
      <c r="K1592" s="1" t="s">
        <v>23</v>
      </c>
      <c r="L1592" s="1" t="s">
        <v>8029</v>
      </c>
      <c r="M1592" s="1">
        <v>1.0</v>
      </c>
      <c r="N1592" s="1">
        <v>1.0</v>
      </c>
      <c r="O1592" s="1" t="s">
        <v>315</v>
      </c>
      <c r="P1592" s="1" t="s">
        <v>488</v>
      </c>
      <c r="Q1592" s="2" t="str">
        <f t="shared" si="1"/>
        <v>H004132</v>
      </c>
    </row>
    <row r="1593">
      <c r="A1593" s="1" t="s">
        <v>8030</v>
      </c>
      <c r="B1593" s="1" t="s">
        <v>8031</v>
      </c>
      <c r="C1593" s="1" t="s">
        <v>8032</v>
      </c>
      <c r="D1593" s="1" t="s">
        <v>8033</v>
      </c>
      <c r="E1593" s="1">
        <v>2549.0</v>
      </c>
      <c r="F1593" s="1" t="s">
        <v>315</v>
      </c>
      <c r="G1593" s="1">
        <v>455939.0</v>
      </c>
      <c r="H1593" s="1" t="s">
        <v>2746</v>
      </c>
      <c r="I1593" s="1" t="s">
        <v>1051</v>
      </c>
      <c r="J1593" s="1"/>
      <c r="K1593" s="1" t="s">
        <v>23</v>
      </c>
      <c r="L1593" s="1" t="s">
        <v>8034</v>
      </c>
      <c r="M1593" s="1">
        <v>1.0</v>
      </c>
      <c r="N1593" s="1">
        <v>1.0</v>
      </c>
      <c r="O1593" s="1" t="s">
        <v>315</v>
      </c>
      <c r="P1593" s="1" t="s">
        <v>488</v>
      </c>
      <c r="Q1593" s="2" t="str">
        <f t="shared" si="1"/>
        <v>H004132</v>
      </c>
    </row>
    <row r="1594">
      <c r="A1594" s="1" t="s">
        <v>8035</v>
      </c>
      <c r="B1594" s="1" t="s">
        <v>8036</v>
      </c>
      <c r="C1594" s="1" t="s">
        <v>8037</v>
      </c>
      <c r="D1594" s="1" t="s">
        <v>8038</v>
      </c>
      <c r="E1594" s="1">
        <v>2609.0</v>
      </c>
      <c r="F1594" s="1" t="s">
        <v>315</v>
      </c>
      <c r="G1594" s="1">
        <v>455939.0</v>
      </c>
      <c r="H1594" s="1" t="s">
        <v>2746</v>
      </c>
      <c r="I1594" s="1" t="s">
        <v>1051</v>
      </c>
      <c r="J1594" s="1"/>
      <c r="K1594" s="1" t="s">
        <v>23</v>
      </c>
      <c r="L1594" s="1" t="s">
        <v>8039</v>
      </c>
      <c r="M1594" s="1">
        <v>1.0</v>
      </c>
      <c r="N1594" s="1">
        <v>1.0</v>
      </c>
      <c r="O1594" s="1" t="s">
        <v>315</v>
      </c>
      <c r="P1594" s="1" t="s">
        <v>488</v>
      </c>
      <c r="Q1594" s="2" t="str">
        <f t="shared" si="1"/>
        <v>H004132</v>
      </c>
    </row>
    <row r="1595">
      <c r="A1595" s="1" t="s">
        <v>8040</v>
      </c>
      <c r="B1595" s="1" t="s">
        <v>8041</v>
      </c>
      <c r="C1595" s="1" t="s">
        <v>8042</v>
      </c>
      <c r="D1595" s="1" t="s">
        <v>8043</v>
      </c>
      <c r="E1595" s="1">
        <v>1283.0</v>
      </c>
      <c r="F1595" s="1" t="s">
        <v>315</v>
      </c>
      <c r="G1595" s="1">
        <v>455939.0</v>
      </c>
      <c r="H1595" s="1" t="s">
        <v>2746</v>
      </c>
      <c r="I1595" s="1" t="s">
        <v>1051</v>
      </c>
      <c r="J1595" s="1"/>
      <c r="K1595" s="1" t="s">
        <v>23</v>
      </c>
      <c r="L1595" s="1" t="s">
        <v>8044</v>
      </c>
      <c r="M1595" s="1">
        <v>1.0</v>
      </c>
      <c r="N1595" s="1">
        <v>1.0</v>
      </c>
      <c r="O1595" s="1" t="s">
        <v>315</v>
      </c>
      <c r="P1595" s="1" t="s">
        <v>488</v>
      </c>
      <c r="Q1595" s="2" t="str">
        <f t="shared" si="1"/>
        <v>H004132</v>
      </c>
    </row>
    <row r="1596">
      <c r="A1596" s="1" t="s">
        <v>8045</v>
      </c>
      <c r="B1596" s="1" t="s">
        <v>8046</v>
      </c>
      <c r="C1596" s="1" t="s">
        <v>8047</v>
      </c>
      <c r="D1596" s="1" t="s">
        <v>8048</v>
      </c>
      <c r="E1596" s="1">
        <v>3596.0</v>
      </c>
      <c r="F1596" s="1" t="s">
        <v>498</v>
      </c>
      <c r="G1596" s="1" t="s">
        <v>167</v>
      </c>
      <c r="H1596" s="1" t="s">
        <v>168</v>
      </c>
      <c r="I1596" s="1" t="s">
        <v>1112</v>
      </c>
      <c r="J1596" s="1"/>
      <c r="K1596" s="1" t="s">
        <v>23</v>
      </c>
      <c r="L1596" s="1" t="s">
        <v>8049</v>
      </c>
      <c r="M1596" s="1">
        <v>3.0</v>
      </c>
      <c r="N1596" s="1">
        <v>1.0</v>
      </c>
      <c r="O1596" s="1" t="s">
        <v>498</v>
      </c>
      <c r="P1596" s="1" t="s">
        <v>488</v>
      </c>
      <c r="Q1596" s="2" t="str">
        <f t="shared" si="1"/>
        <v>H030470</v>
      </c>
    </row>
    <row r="1597">
      <c r="A1597" s="1" t="s">
        <v>8050</v>
      </c>
      <c r="B1597" s="1" t="s">
        <v>8051</v>
      </c>
      <c r="C1597" s="1" t="s">
        <v>8052</v>
      </c>
      <c r="D1597" s="1" t="s">
        <v>8053</v>
      </c>
      <c r="E1597" s="1">
        <v>4834.0</v>
      </c>
      <c r="F1597" s="1" t="s">
        <v>498</v>
      </c>
      <c r="G1597" s="1" t="s">
        <v>167</v>
      </c>
      <c r="H1597" s="1" t="s">
        <v>168</v>
      </c>
      <c r="I1597" s="1" t="s">
        <v>1112</v>
      </c>
      <c r="J1597" s="1"/>
      <c r="K1597" s="1" t="s">
        <v>23</v>
      </c>
      <c r="L1597" s="1" t="s">
        <v>8054</v>
      </c>
      <c r="M1597" s="1">
        <v>3.0</v>
      </c>
      <c r="N1597" s="1">
        <v>1.0</v>
      </c>
      <c r="O1597" s="1" t="s">
        <v>498</v>
      </c>
      <c r="P1597" s="1" t="s">
        <v>488</v>
      </c>
      <c r="Q1597" s="2" t="str">
        <f t="shared" si="1"/>
        <v>H030470</v>
      </c>
    </row>
    <row r="1598">
      <c r="A1598" s="1" t="s">
        <v>8055</v>
      </c>
      <c r="B1598" s="1" t="s">
        <v>8056</v>
      </c>
      <c r="C1598" s="1" t="s">
        <v>8057</v>
      </c>
      <c r="D1598" s="1" t="s">
        <v>8058</v>
      </c>
      <c r="E1598" s="1">
        <v>3948.0</v>
      </c>
      <c r="F1598" s="1" t="s">
        <v>398</v>
      </c>
      <c r="G1598" s="1" t="s">
        <v>179</v>
      </c>
      <c r="H1598" s="1" t="s">
        <v>180</v>
      </c>
      <c r="I1598" s="1" t="s">
        <v>1112</v>
      </c>
      <c r="J1598" s="1"/>
      <c r="K1598" s="1" t="s">
        <v>23</v>
      </c>
      <c r="L1598" s="1" t="s">
        <v>8059</v>
      </c>
      <c r="M1598" s="1">
        <v>2.0</v>
      </c>
      <c r="N1598" s="1">
        <v>1.0</v>
      </c>
      <c r="O1598" s="1" t="s">
        <v>398</v>
      </c>
      <c r="P1598" s="1" t="s">
        <v>488</v>
      </c>
      <c r="Q1598" s="2" t="str">
        <f t="shared" si="1"/>
        <v>H030396</v>
      </c>
    </row>
    <row r="1599">
      <c r="A1599" s="1" t="s">
        <v>8060</v>
      </c>
      <c r="B1599" s="1" t="s">
        <v>8061</v>
      </c>
      <c r="C1599" s="1" t="s">
        <v>8062</v>
      </c>
      <c r="D1599" s="1" t="s">
        <v>8063</v>
      </c>
      <c r="E1599" s="1">
        <v>4598.0</v>
      </c>
      <c r="F1599" s="1" t="s">
        <v>398</v>
      </c>
      <c r="G1599" s="1" t="s">
        <v>232</v>
      </c>
      <c r="H1599" s="1" t="s">
        <v>233</v>
      </c>
      <c r="I1599" s="1" t="s">
        <v>1112</v>
      </c>
      <c r="J1599" s="1"/>
      <c r="K1599" s="1" t="s">
        <v>23</v>
      </c>
      <c r="L1599" s="1" t="s">
        <v>8064</v>
      </c>
      <c r="M1599" s="1">
        <v>2.0</v>
      </c>
      <c r="N1599" s="1">
        <v>1.0</v>
      </c>
      <c r="O1599" s="1" t="s">
        <v>398</v>
      </c>
      <c r="P1599" s="1" t="s">
        <v>488</v>
      </c>
      <c r="Q1599" s="2" t="str">
        <f t="shared" si="1"/>
        <v>H030396</v>
      </c>
    </row>
    <row r="1600">
      <c r="A1600" s="1" t="s">
        <v>8065</v>
      </c>
      <c r="B1600" s="1" t="s">
        <v>8066</v>
      </c>
      <c r="C1600" s="1" t="s">
        <v>8067</v>
      </c>
      <c r="D1600" s="1" t="s">
        <v>8068</v>
      </c>
      <c r="E1600" s="1">
        <v>2564.0</v>
      </c>
      <c r="F1600" s="1" t="s">
        <v>398</v>
      </c>
      <c r="G1600" s="1" t="s">
        <v>155</v>
      </c>
      <c r="H1600" s="1" t="s">
        <v>156</v>
      </c>
      <c r="I1600" s="1" t="s">
        <v>1112</v>
      </c>
      <c r="J1600" s="1"/>
      <c r="K1600" s="1" t="s">
        <v>23</v>
      </c>
      <c r="L1600" s="1" t="s">
        <v>8069</v>
      </c>
      <c r="M1600" s="1">
        <v>2.0</v>
      </c>
      <c r="N1600" s="1">
        <v>1.0</v>
      </c>
      <c r="O1600" s="1" t="s">
        <v>398</v>
      </c>
      <c r="P1600" s="1" t="s">
        <v>488</v>
      </c>
      <c r="Q1600" s="2" t="str">
        <f t="shared" si="1"/>
        <v>H030396</v>
      </c>
    </row>
    <row r="1601">
      <c r="A1601" s="1" t="s">
        <v>8070</v>
      </c>
      <c r="B1601" s="1" t="s">
        <v>8071</v>
      </c>
      <c r="C1601" s="1" t="s">
        <v>8072</v>
      </c>
      <c r="D1601" s="1" t="s">
        <v>8073</v>
      </c>
      <c r="E1601" s="1">
        <v>5447.0</v>
      </c>
      <c r="F1601" s="1" t="s">
        <v>398</v>
      </c>
      <c r="G1601" s="1" t="s">
        <v>232</v>
      </c>
      <c r="H1601" s="1" t="s">
        <v>233</v>
      </c>
      <c r="I1601" s="1" t="s">
        <v>1112</v>
      </c>
      <c r="J1601" s="1"/>
      <c r="K1601" s="1" t="s">
        <v>23</v>
      </c>
      <c r="L1601" s="1" t="s">
        <v>8074</v>
      </c>
      <c r="M1601" s="1">
        <v>2.0</v>
      </c>
      <c r="N1601" s="1">
        <v>1.0</v>
      </c>
      <c r="O1601" s="1" t="s">
        <v>398</v>
      </c>
      <c r="P1601" s="1" t="s">
        <v>488</v>
      </c>
      <c r="Q1601" s="2" t="str">
        <f t="shared" si="1"/>
        <v>H030396</v>
      </c>
    </row>
    <row r="1602">
      <c r="A1602" s="1" t="s">
        <v>8075</v>
      </c>
      <c r="B1602" s="1" t="s">
        <v>8076</v>
      </c>
      <c r="C1602" s="1" t="s">
        <v>8077</v>
      </c>
      <c r="D1602" s="1" t="s">
        <v>8078</v>
      </c>
      <c r="E1602" s="1">
        <v>3336.0</v>
      </c>
      <c r="F1602" s="1" t="s">
        <v>398</v>
      </c>
      <c r="G1602" s="1" t="s">
        <v>232</v>
      </c>
      <c r="H1602" s="1" t="s">
        <v>233</v>
      </c>
      <c r="I1602" s="1" t="s">
        <v>1112</v>
      </c>
      <c r="J1602" s="1"/>
      <c r="K1602" s="1" t="s">
        <v>23</v>
      </c>
      <c r="L1602" s="1" t="s">
        <v>8079</v>
      </c>
      <c r="M1602" s="1">
        <v>2.0</v>
      </c>
      <c r="N1602" s="1">
        <v>1.0</v>
      </c>
      <c r="O1602" s="1" t="s">
        <v>398</v>
      </c>
      <c r="P1602" s="1" t="s">
        <v>488</v>
      </c>
      <c r="Q1602" s="2" t="str">
        <f t="shared" si="1"/>
        <v>H030396</v>
      </c>
    </row>
    <row r="1603">
      <c r="A1603" s="1" t="s">
        <v>8080</v>
      </c>
      <c r="B1603" s="1" t="s">
        <v>8081</v>
      </c>
      <c r="C1603" s="1" t="s">
        <v>8082</v>
      </c>
      <c r="D1603" s="1" t="s">
        <v>8083</v>
      </c>
      <c r="E1603" s="1">
        <v>13326.0</v>
      </c>
      <c r="F1603" s="1" t="s">
        <v>398</v>
      </c>
      <c r="G1603" s="1" t="s">
        <v>179</v>
      </c>
      <c r="H1603" s="1" t="s">
        <v>180</v>
      </c>
      <c r="I1603" s="1" t="s">
        <v>1112</v>
      </c>
      <c r="J1603" s="1"/>
      <c r="K1603" s="1" t="s">
        <v>23</v>
      </c>
      <c r="L1603" s="1" t="s">
        <v>8084</v>
      </c>
      <c r="M1603" s="1">
        <v>2.0</v>
      </c>
      <c r="N1603" s="1">
        <v>1.0</v>
      </c>
      <c r="O1603" s="1" t="s">
        <v>398</v>
      </c>
      <c r="P1603" s="1" t="s">
        <v>488</v>
      </c>
      <c r="Q1603" s="2" t="str">
        <f t="shared" si="1"/>
        <v>H030396</v>
      </c>
    </row>
    <row r="1604">
      <c r="A1604" s="1" t="s">
        <v>8085</v>
      </c>
      <c r="B1604" s="1" t="s">
        <v>8086</v>
      </c>
      <c r="C1604" s="1" t="s">
        <v>8087</v>
      </c>
      <c r="D1604" s="1" t="s">
        <v>8088</v>
      </c>
      <c r="E1604" s="1">
        <v>3843.0</v>
      </c>
      <c r="F1604" s="1" t="s">
        <v>382</v>
      </c>
      <c r="G1604" s="1" t="s">
        <v>191</v>
      </c>
      <c r="H1604" s="1" t="s">
        <v>192</v>
      </c>
      <c r="I1604" s="1" t="s">
        <v>486</v>
      </c>
      <c r="J1604" s="1"/>
      <c r="K1604" s="1" t="s">
        <v>23</v>
      </c>
      <c r="L1604" s="1" t="s">
        <v>8089</v>
      </c>
      <c r="M1604" s="1">
        <v>0.0</v>
      </c>
      <c r="N1604" s="1">
        <v>1.0</v>
      </c>
      <c r="O1604" s="1" t="s">
        <v>382</v>
      </c>
      <c r="P1604" s="1" t="s">
        <v>488</v>
      </c>
      <c r="Q1604" s="2" t="str">
        <f t="shared" si="1"/>
        <v>H006068</v>
      </c>
    </row>
    <row r="1605">
      <c r="A1605" s="1" t="s">
        <v>8090</v>
      </c>
      <c r="B1605" s="1" t="s">
        <v>8091</v>
      </c>
      <c r="C1605" s="1" t="s">
        <v>8092</v>
      </c>
      <c r="D1605" s="1" t="s">
        <v>8093</v>
      </c>
      <c r="E1605" s="1">
        <v>3088.0</v>
      </c>
      <c r="F1605" s="1" t="s">
        <v>382</v>
      </c>
      <c r="G1605" s="1" t="s">
        <v>191</v>
      </c>
      <c r="H1605" s="1" t="s">
        <v>192</v>
      </c>
      <c r="I1605" s="1" t="s">
        <v>486</v>
      </c>
      <c r="J1605" s="1"/>
      <c r="K1605" s="1" t="s">
        <v>23</v>
      </c>
      <c r="L1605" s="1" t="s">
        <v>8094</v>
      </c>
      <c r="M1605" s="1">
        <v>0.0</v>
      </c>
      <c r="N1605" s="1">
        <v>1.0</v>
      </c>
      <c r="O1605" s="1" t="s">
        <v>382</v>
      </c>
      <c r="P1605" s="1" t="s">
        <v>488</v>
      </c>
      <c r="Q1605" s="2" t="str">
        <f t="shared" si="1"/>
        <v>H006068</v>
      </c>
    </row>
    <row r="1606">
      <c r="A1606" s="1" t="s">
        <v>8095</v>
      </c>
      <c r="B1606" s="1" t="s">
        <v>8096</v>
      </c>
      <c r="C1606" s="1" t="s">
        <v>8097</v>
      </c>
      <c r="D1606" s="1" t="s">
        <v>8098</v>
      </c>
      <c r="E1606" s="1">
        <v>2382.0</v>
      </c>
      <c r="F1606" s="1" t="s">
        <v>382</v>
      </c>
      <c r="G1606" s="1" t="s">
        <v>191</v>
      </c>
      <c r="H1606" s="1" t="s">
        <v>192</v>
      </c>
      <c r="I1606" s="1" t="s">
        <v>486</v>
      </c>
      <c r="J1606" s="1"/>
      <c r="K1606" s="1" t="s">
        <v>23</v>
      </c>
      <c r="L1606" s="1" t="s">
        <v>8099</v>
      </c>
      <c r="M1606" s="1">
        <v>0.0</v>
      </c>
      <c r="N1606" s="1">
        <v>1.0</v>
      </c>
      <c r="O1606" s="1" t="s">
        <v>382</v>
      </c>
      <c r="P1606" s="1" t="s">
        <v>488</v>
      </c>
      <c r="Q1606" s="2" t="str">
        <f t="shared" si="1"/>
        <v>H006068</v>
      </c>
    </row>
    <row r="1607">
      <c r="A1607" s="1" t="s">
        <v>8100</v>
      </c>
      <c r="B1607" s="1" t="s">
        <v>8101</v>
      </c>
      <c r="C1607" s="1" t="s">
        <v>8102</v>
      </c>
      <c r="D1607" s="1" t="s">
        <v>8103</v>
      </c>
      <c r="E1607" s="1">
        <v>3393.0</v>
      </c>
      <c r="F1607" s="1" t="s">
        <v>382</v>
      </c>
      <c r="G1607" s="1" t="s">
        <v>191</v>
      </c>
      <c r="H1607" s="1" t="s">
        <v>192</v>
      </c>
      <c r="I1607" s="1" t="s">
        <v>486</v>
      </c>
      <c r="J1607" s="1"/>
      <c r="K1607" s="1" t="s">
        <v>23</v>
      </c>
      <c r="L1607" s="1" t="s">
        <v>8104</v>
      </c>
      <c r="M1607" s="1">
        <v>0.0</v>
      </c>
      <c r="N1607" s="1">
        <v>1.0</v>
      </c>
      <c r="O1607" s="1" t="s">
        <v>382</v>
      </c>
      <c r="P1607" s="1" t="s">
        <v>488</v>
      </c>
      <c r="Q1607" s="2" t="str">
        <f t="shared" si="1"/>
        <v>H006068</v>
      </c>
    </row>
    <row r="1608">
      <c r="A1608" s="1" t="s">
        <v>8105</v>
      </c>
      <c r="B1608" s="1" t="s">
        <v>8106</v>
      </c>
      <c r="C1608" s="1" t="s">
        <v>8107</v>
      </c>
      <c r="D1608" s="1" t="s">
        <v>8108</v>
      </c>
      <c r="E1608" s="1">
        <v>2861.0</v>
      </c>
      <c r="F1608" s="1" t="s">
        <v>288</v>
      </c>
      <c r="G1608" s="1">
        <v>729375.0</v>
      </c>
      <c r="H1608" s="1" t="s">
        <v>1050</v>
      </c>
      <c r="I1608" s="1" t="s">
        <v>1051</v>
      </c>
      <c r="J1608" s="1"/>
      <c r="K1608" s="1" t="s">
        <v>23</v>
      </c>
      <c r="L1608" s="1" t="s">
        <v>8109</v>
      </c>
      <c r="M1608" s="1">
        <v>2.0</v>
      </c>
      <c r="N1608" s="1">
        <v>1.0</v>
      </c>
      <c r="O1608" s="1" t="s">
        <v>288</v>
      </c>
      <c r="P1608" s="1" t="s">
        <v>488</v>
      </c>
      <c r="Q1608" s="2" t="str">
        <f t="shared" si="1"/>
        <v>H004306</v>
      </c>
    </row>
    <row r="1609">
      <c r="A1609" s="1" t="s">
        <v>8110</v>
      </c>
      <c r="B1609" s="1" t="s">
        <v>8111</v>
      </c>
      <c r="C1609" s="1" t="s">
        <v>8112</v>
      </c>
      <c r="D1609" s="1" t="s">
        <v>8113</v>
      </c>
      <c r="E1609" s="1">
        <v>1738.0</v>
      </c>
      <c r="F1609" s="1" t="s">
        <v>288</v>
      </c>
      <c r="G1609" s="1">
        <v>729375.0</v>
      </c>
      <c r="H1609" s="1" t="s">
        <v>1050</v>
      </c>
      <c r="I1609" s="1" t="s">
        <v>1051</v>
      </c>
      <c r="J1609" s="1"/>
      <c r="K1609" s="1" t="s">
        <v>23</v>
      </c>
      <c r="L1609" s="1" t="s">
        <v>8114</v>
      </c>
      <c r="M1609" s="1">
        <v>2.0</v>
      </c>
      <c r="N1609" s="1">
        <v>1.0</v>
      </c>
      <c r="O1609" s="1" t="s">
        <v>288</v>
      </c>
      <c r="P1609" s="1" t="s">
        <v>488</v>
      </c>
      <c r="Q1609" s="2" t="str">
        <f t="shared" si="1"/>
        <v>H004306</v>
      </c>
    </row>
    <row r="1610">
      <c r="A1610" s="1" t="s">
        <v>8115</v>
      </c>
      <c r="B1610" s="1" t="s">
        <v>8116</v>
      </c>
      <c r="C1610" s="1" t="s">
        <v>8117</v>
      </c>
      <c r="D1610" s="1" t="s">
        <v>8118</v>
      </c>
      <c r="E1610" s="1">
        <v>2484.0</v>
      </c>
      <c r="F1610" s="1" t="s">
        <v>288</v>
      </c>
      <c r="G1610" s="1">
        <v>729375.0</v>
      </c>
      <c r="H1610" s="1" t="s">
        <v>1050</v>
      </c>
      <c r="I1610" s="1" t="s">
        <v>1051</v>
      </c>
      <c r="J1610" s="1"/>
      <c r="K1610" s="1" t="s">
        <v>23</v>
      </c>
      <c r="L1610" s="1" t="s">
        <v>8119</v>
      </c>
      <c r="M1610" s="1">
        <v>2.0</v>
      </c>
      <c r="N1610" s="1">
        <v>1.0</v>
      </c>
      <c r="O1610" s="1" t="s">
        <v>288</v>
      </c>
      <c r="P1610" s="1" t="s">
        <v>488</v>
      </c>
      <c r="Q1610" s="2" t="str">
        <f t="shared" si="1"/>
        <v>H004306</v>
      </c>
    </row>
    <row r="1611">
      <c r="A1611" s="1" t="s">
        <v>8120</v>
      </c>
      <c r="B1611" s="1" t="s">
        <v>8121</v>
      </c>
      <c r="C1611" s="1" t="s">
        <v>8122</v>
      </c>
      <c r="D1611" s="1" t="s">
        <v>8123</v>
      </c>
      <c r="E1611" s="1">
        <v>1772.0</v>
      </c>
      <c r="F1611" s="1" t="s">
        <v>288</v>
      </c>
      <c r="G1611" s="1">
        <v>729375.0</v>
      </c>
      <c r="H1611" s="1" t="s">
        <v>1050</v>
      </c>
      <c r="I1611" s="1" t="s">
        <v>1051</v>
      </c>
      <c r="J1611" s="1"/>
      <c r="K1611" s="1" t="s">
        <v>23</v>
      </c>
      <c r="L1611" s="1" t="s">
        <v>8124</v>
      </c>
      <c r="M1611" s="1">
        <v>2.0</v>
      </c>
      <c r="N1611" s="1">
        <v>1.0</v>
      </c>
      <c r="O1611" s="1" t="s">
        <v>288</v>
      </c>
      <c r="P1611" s="1" t="s">
        <v>488</v>
      </c>
      <c r="Q1611" s="2" t="str">
        <f t="shared" si="1"/>
        <v>H004306</v>
      </c>
    </row>
    <row r="1612">
      <c r="A1612" s="1" t="s">
        <v>8125</v>
      </c>
      <c r="B1612" s="1" t="s">
        <v>8126</v>
      </c>
      <c r="C1612" s="1" t="s">
        <v>8127</v>
      </c>
      <c r="D1612" s="1" t="s">
        <v>8128</v>
      </c>
      <c r="E1612" s="1">
        <v>3069.0</v>
      </c>
      <c r="F1612" s="1" t="s">
        <v>382</v>
      </c>
      <c r="G1612" s="1" t="s">
        <v>119</v>
      </c>
      <c r="H1612" s="1" t="s">
        <v>120</v>
      </c>
      <c r="I1612" s="1" t="s">
        <v>486</v>
      </c>
      <c r="J1612" s="1"/>
      <c r="K1612" s="1" t="s">
        <v>23</v>
      </c>
      <c r="L1612" s="1" t="s">
        <v>8129</v>
      </c>
      <c r="M1612" s="1">
        <v>0.0</v>
      </c>
      <c r="N1612" s="1">
        <v>1.0</v>
      </c>
      <c r="O1612" s="1" t="s">
        <v>382</v>
      </c>
      <c r="P1612" s="1" t="s">
        <v>488</v>
      </c>
      <c r="Q1612" s="2" t="str">
        <f t="shared" si="1"/>
        <v>H006068</v>
      </c>
    </row>
    <row r="1613">
      <c r="A1613" s="1" t="s">
        <v>8130</v>
      </c>
      <c r="B1613" s="1" t="s">
        <v>8131</v>
      </c>
      <c r="C1613" s="1" t="s">
        <v>8132</v>
      </c>
      <c r="D1613" s="1" t="s">
        <v>8133</v>
      </c>
      <c r="E1613" s="1">
        <v>3479.0</v>
      </c>
      <c r="F1613" s="1" t="s">
        <v>382</v>
      </c>
      <c r="G1613" s="1" t="s">
        <v>119</v>
      </c>
      <c r="H1613" s="1" t="s">
        <v>120</v>
      </c>
      <c r="I1613" s="1" t="s">
        <v>486</v>
      </c>
      <c r="J1613" s="1"/>
      <c r="K1613" s="1" t="s">
        <v>23</v>
      </c>
      <c r="L1613" s="1" t="s">
        <v>8134</v>
      </c>
      <c r="M1613" s="1">
        <v>0.0</v>
      </c>
      <c r="N1613" s="1">
        <v>1.0</v>
      </c>
      <c r="O1613" s="1" t="s">
        <v>382</v>
      </c>
      <c r="P1613" s="1" t="s">
        <v>488</v>
      </c>
      <c r="Q1613" s="2" t="str">
        <f t="shared" si="1"/>
        <v>H006068</v>
      </c>
    </row>
    <row r="1614">
      <c r="A1614" s="1" t="s">
        <v>8135</v>
      </c>
      <c r="B1614" s="1" t="s">
        <v>8136</v>
      </c>
      <c r="C1614" s="1" t="s">
        <v>8137</v>
      </c>
      <c r="D1614" s="1" t="s">
        <v>8138</v>
      </c>
      <c r="E1614" s="1">
        <v>3385.0</v>
      </c>
      <c r="F1614" s="1" t="s">
        <v>382</v>
      </c>
      <c r="G1614" s="1" t="s">
        <v>119</v>
      </c>
      <c r="H1614" s="1" t="s">
        <v>120</v>
      </c>
      <c r="I1614" s="1" t="s">
        <v>486</v>
      </c>
      <c r="J1614" s="1"/>
      <c r="K1614" s="1" t="s">
        <v>23</v>
      </c>
      <c r="L1614" s="1" t="s">
        <v>8139</v>
      </c>
      <c r="M1614" s="1">
        <v>0.0</v>
      </c>
      <c r="N1614" s="1">
        <v>1.0</v>
      </c>
      <c r="O1614" s="1" t="s">
        <v>382</v>
      </c>
      <c r="P1614" s="1" t="s">
        <v>488</v>
      </c>
      <c r="Q1614" s="2" t="str">
        <f t="shared" si="1"/>
        <v>H006068</v>
      </c>
    </row>
    <row r="1615">
      <c r="A1615" s="1" t="s">
        <v>8140</v>
      </c>
      <c r="B1615" s="1" t="s">
        <v>8141</v>
      </c>
      <c r="C1615" s="1" t="s">
        <v>8142</v>
      </c>
      <c r="D1615" s="1" t="s">
        <v>8143</v>
      </c>
      <c r="E1615" s="1">
        <v>3844.0</v>
      </c>
      <c r="F1615" s="1" t="s">
        <v>382</v>
      </c>
      <c r="G1615" s="1" t="s">
        <v>474</v>
      </c>
      <c r="H1615" s="1" t="s">
        <v>475</v>
      </c>
      <c r="I1615" s="1" t="s">
        <v>486</v>
      </c>
      <c r="J1615" s="1"/>
      <c r="K1615" s="1" t="s">
        <v>23</v>
      </c>
      <c r="L1615" s="1" t="s">
        <v>8144</v>
      </c>
      <c r="M1615" s="1">
        <v>0.0</v>
      </c>
      <c r="N1615" s="1">
        <v>1.0</v>
      </c>
      <c r="O1615" s="1" t="s">
        <v>382</v>
      </c>
      <c r="P1615" s="1" t="s">
        <v>488</v>
      </c>
      <c r="Q1615" s="2" t="str">
        <f t="shared" si="1"/>
        <v>H006068</v>
      </c>
    </row>
    <row r="1616">
      <c r="A1616" s="1" t="s">
        <v>8145</v>
      </c>
      <c r="B1616" s="1" t="s">
        <v>8146</v>
      </c>
      <c r="C1616" s="1" t="s">
        <v>8147</v>
      </c>
      <c r="D1616" s="1" t="s">
        <v>8148</v>
      </c>
      <c r="E1616" s="1">
        <v>2903.0</v>
      </c>
      <c r="F1616" s="1" t="s">
        <v>382</v>
      </c>
      <c r="G1616" s="1" t="s">
        <v>474</v>
      </c>
      <c r="H1616" s="1" t="s">
        <v>475</v>
      </c>
      <c r="I1616" s="1" t="s">
        <v>486</v>
      </c>
      <c r="J1616" s="1"/>
      <c r="K1616" s="1" t="s">
        <v>23</v>
      </c>
      <c r="L1616" s="1" t="s">
        <v>8149</v>
      </c>
      <c r="M1616" s="1">
        <v>0.0</v>
      </c>
      <c r="N1616" s="1">
        <v>1.0</v>
      </c>
      <c r="O1616" s="1" t="s">
        <v>382</v>
      </c>
      <c r="P1616" s="1" t="s">
        <v>488</v>
      </c>
      <c r="Q1616" s="2" t="str">
        <f t="shared" si="1"/>
        <v>H006068</v>
      </c>
    </row>
    <row r="1617">
      <c r="A1617" s="1" t="s">
        <v>8150</v>
      </c>
      <c r="B1617" s="1" t="s">
        <v>8151</v>
      </c>
      <c r="C1617" s="1" t="s">
        <v>8152</v>
      </c>
      <c r="D1617" s="1" t="s">
        <v>8153</v>
      </c>
      <c r="E1617" s="1">
        <v>4421.0</v>
      </c>
      <c r="F1617" s="1" t="s">
        <v>382</v>
      </c>
      <c r="G1617" s="1" t="s">
        <v>474</v>
      </c>
      <c r="H1617" s="1" t="s">
        <v>475</v>
      </c>
      <c r="I1617" s="1" t="s">
        <v>486</v>
      </c>
      <c r="J1617" s="1"/>
      <c r="K1617" s="1" t="s">
        <v>23</v>
      </c>
      <c r="L1617" s="1" t="s">
        <v>8154</v>
      </c>
      <c r="M1617" s="1">
        <v>0.0</v>
      </c>
      <c r="N1617" s="1">
        <v>1.0</v>
      </c>
      <c r="O1617" s="1" t="s">
        <v>382</v>
      </c>
      <c r="P1617" s="1" t="s">
        <v>488</v>
      </c>
      <c r="Q1617" s="2" t="str">
        <f t="shared" si="1"/>
        <v>H006068</v>
      </c>
    </row>
    <row r="1618">
      <c r="A1618" s="1" t="s">
        <v>8155</v>
      </c>
      <c r="B1618" s="1" t="s">
        <v>8156</v>
      </c>
      <c r="C1618" s="1" t="s">
        <v>8157</v>
      </c>
      <c r="D1618" s="1" t="s">
        <v>8158</v>
      </c>
      <c r="E1618" s="1">
        <v>2128.0</v>
      </c>
      <c r="F1618" s="1" t="s">
        <v>288</v>
      </c>
      <c r="G1618" s="1" t="s">
        <v>304</v>
      </c>
      <c r="H1618" s="1" t="s">
        <v>272</v>
      </c>
      <c r="I1618" s="1" t="s">
        <v>1051</v>
      </c>
      <c r="J1618" s="1"/>
      <c r="K1618" s="1" t="s">
        <v>23</v>
      </c>
      <c r="L1618" s="1" t="s">
        <v>8159</v>
      </c>
      <c r="M1618" s="1">
        <v>2.0</v>
      </c>
      <c r="N1618" s="1">
        <v>1.0</v>
      </c>
      <c r="O1618" s="1" t="s">
        <v>288</v>
      </c>
      <c r="P1618" s="1" t="s">
        <v>488</v>
      </c>
      <c r="Q1618" s="2" t="str">
        <f t="shared" si="1"/>
        <v>H004306</v>
      </c>
    </row>
    <row r="1619">
      <c r="A1619" s="1" t="s">
        <v>8160</v>
      </c>
      <c r="B1619" s="1" t="s">
        <v>8161</v>
      </c>
      <c r="C1619" s="1" t="s">
        <v>8162</v>
      </c>
      <c r="D1619" s="1" t="s">
        <v>8163</v>
      </c>
      <c r="E1619" s="1">
        <v>2723.0</v>
      </c>
      <c r="F1619" s="1" t="s">
        <v>288</v>
      </c>
      <c r="G1619" s="1" t="s">
        <v>304</v>
      </c>
      <c r="H1619" s="1" t="s">
        <v>272</v>
      </c>
      <c r="I1619" s="1" t="s">
        <v>1051</v>
      </c>
      <c r="J1619" s="1"/>
      <c r="K1619" s="1" t="s">
        <v>23</v>
      </c>
      <c r="L1619" s="1" t="s">
        <v>8164</v>
      </c>
      <c r="M1619" s="1">
        <v>2.0</v>
      </c>
      <c r="N1619" s="1">
        <v>1.0</v>
      </c>
      <c r="O1619" s="1" t="s">
        <v>288</v>
      </c>
      <c r="P1619" s="1" t="s">
        <v>488</v>
      </c>
      <c r="Q1619" s="2" t="str">
        <f t="shared" si="1"/>
        <v>H004306</v>
      </c>
    </row>
    <row r="1620">
      <c r="A1620" s="1" t="s">
        <v>8165</v>
      </c>
      <c r="B1620" s="1" t="s">
        <v>8166</v>
      </c>
      <c r="C1620" s="1" t="s">
        <v>8167</v>
      </c>
      <c r="D1620" s="1" t="s">
        <v>8168</v>
      </c>
      <c r="E1620" s="1">
        <v>3286.0</v>
      </c>
      <c r="F1620" s="1" t="s">
        <v>288</v>
      </c>
      <c r="G1620" s="1" t="s">
        <v>304</v>
      </c>
      <c r="H1620" s="1" t="s">
        <v>272</v>
      </c>
      <c r="I1620" s="1" t="s">
        <v>1051</v>
      </c>
      <c r="J1620" s="1"/>
      <c r="K1620" s="1" t="s">
        <v>23</v>
      </c>
      <c r="L1620" s="1" t="s">
        <v>8169</v>
      </c>
      <c r="M1620" s="1">
        <v>2.0</v>
      </c>
      <c r="N1620" s="1">
        <v>1.0</v>
      </c>
      <c r="O1620" s="1" t="s">
        <v>288</v>
      </c>
      <c r="P1620" s="1" t="s">
        <v>488</v>
      </c>
      <c r="Q1620" s="2" t="str">
        <f t="shared" si="1"/>
        <v>H004306</v>
      </c>
    </row>
    <row r="1621">
      <c r="A1621" s="1" t="s">
        <v>8170</v>
      </c>
      <c r="B1621" s="1" t="s">
        <v>8171</v>
      </c>
      <c r="C1621" s="1" t="s">
        <v>8172</v>
      </c>
      <c r="D1621" s="1" t="s">
        <v>8173</v>
      </c>
      <c r="E1621" s="1">
        <v>2422.0</v>
      </c>
      <c r="F1621" s="1" t="s">
        <v>288</v>
      </c>
      <c r="G1621" s="1" t="s">
        <v>304</v>
      </c>
      <c r="H1621" s="1" t="s">
        <v>272</v>
      </c>
      <c r="I1621" s="1" t="s">
        <v>1051</v>
      </c>
      <c r="J1621" s="1"/>
      <c r="K1621" s="1" t="s">
        <v>23</v>
      </c>
      <c r="L1621" s="1" t="s">
        <v>8174</v>
      </c>
      <c r="M1621" s="1">
        <v>2.0</v>
      </c>
      <c r="N1621" s="1">
        <v>1.0</v>
      </c>
      <c r="O1621" s="1" t="s">
        <v>288</v>
      </c>
      <c r="P1621" s="1" t="s">
        <v>488</v>
      </c>
      <c r="Q1621" s="2" t="str">
        <f t="shared" si="1"/>
        <v>H004306</v>
      </c>
    </row>
    <row r="1622">
      <c r="A1622" s="1" t="s">
        <v>8175</v>
      </c>
      <c r="B1622" s="1" t="s">
        <v>8176</v>
      </c>
      <c r="C1622" s="1" t="s">
        <v>8177</v>
      </c>
      <c r="D1622" s="1" t="s">
        <v>8178</v>
      </c>
      <c r="E1622" s="1">
        <v>69.0</v>
      </c>
      <c r="F1622" s="1" t="s">
        <v>288</v>
      </c>
      <c r="G1622" s="1">
        <v>729375.0</v>
      </c>
      <c r="H1622" s="1" t="s">
        <v>1050</v>
      </c>
      <c r="I1622" s="1" t="s">
        <v>1051</v>
      </c>
      <c r="J1622" s="1"/>
      <c r="K1622" s="1" t="s">
        <v>23</v>
      </c>
      <c r="L1622" s="1" t="s">
        <v>8179</v>
      </c>
      <c r="M1622" s="1">
        <v>1.0</v>
      </c>
      <c r="N1622" s="1">
        <v>0.0</v>
      </c>
      <c r="O1622" s="1" t="s">
        <v>288</v>
      </c>
      <c r="P1622" s="1" t="s">
        <v>25</v>
      </c>
      <c r="Q1622" s="2" t="str">
        <f t="shared" si="1"/>
        <v>H004380</v>
      </c>
    </row>
    <row r="1623">
      <c r="A1623" s="1" t="s">
        <v>8180</v>
      </c>
      <c r="B1623" s="1" t="s">
        <v>8181</v>
      </c>
      <c r="C1623" s="1" t="s">
        <v>8182</v>
      </c>
      <c r="D1623" s="1" t="s">
        <v>8183</v>
      </c>
      <c r="E1623" s="1">
        <v>3725.0</v>
      </c>
      <c r="F1623" s="1" t="s">
        <v>315</v>
      </c>
      <c r="G1623" s="1">
        <v>555127.0</v>
      </c>
      <c r="H1623" s="1" t="s">
        <v>3047</v>
      </c>
      <c r="I1623" s="1" t="s">
        <v>1051</v>
      </c>
      <c r="J1623" s="1"/>
      <c r="K1623" s="1" t="s">
        <v>23</v>
      </c>
      <c r="L1623" s="1" t="s">
        <v>8184</v>
      </c>
      <c r="M1623" s="1">
        <v>2.0</v>
      </c>
      <c r="N1623" s="1">
        <v>1.0</v>
      </c>
      <c r="O1623" s="1" t="s">
        <v>315</v>
      </c>
      <c r="P1623" s="1" t="s">
        <v>488</v>
      </c>
      <c r="Q1623" s="2" t="str">
        <f t="shared" si="1"/>
        <v>H004137</v>
      </c>
    </row>
    <row r="1624">
      <c r="A1624" s="1" t="s">
        <v>8185</v>
      </c>
      <c r="B1624" s="1" t="s">
        <v>8186</v>
      </c>
      <c r="C1624" s="1" t="s">
        <v>8187</v>
      </c>
      <c r="D1624" s="1" t="s">
        <v>8188</v>
      </c>
      <c r="E1624" s="1">
        <v>3988.0</v>
      </c>
      <c r="F1624" s="1" t="s">
        <v>288</v>
      </c>
      <c r="G1624" s="1" t="s">
        <v>304</v>
      </c>
      <c r="H1624" s="1" t="s">
        <v>272</v>
      </c>
      <c r="I1624" s="1" t="s">
        <v>1051</v>
      </c>
      <c r="J1624" s="1"/>
      <c r="K1624" s="1" t="s">
        <v>23</v>
      </c>
      <c r="L1624" s="1" t="s">
        <v>8189</v>
      </c>
      <c r="M1624" s="1">
        <v>2.0</v>
      </c>
      <c r="N1624" s="1">
        <v>1.0</v>
      </c>
      <c r="O1624" s="1" t="s">
        <v>288</v>
      </c>
      <c r="P1624" s="1" t="s">
        <v>488</v>
      </c>
      <c r="Q1624" s="2" t="str">
        <f t="shared" si="1"/>
        <v>H004306</v>
      </c>
    </row>
    <row r="1625">
      <c r="A1625" s="1" t="s">
        <v>8190</v>
      </c>
      <c r="B1625" s="1" t="s">
        <v>8191</v>
      </c>
      <c r="C1625" s="1" t="s">
        <v>8192</v>
      </c>
      <c r="D1625" s="1" t="s">
        <v>8193</v>
      </c>
      <c r="E1625" s="1">
        <v>2275.0</v>
      </c>
      <c r="F1625" s="1" t="s">
        <v>288</v>
      </c>
      <c r="G1625" s="1">
        <v>729375.0</v>
      </c>
      <c r="H1625" s="1" t="s">
        <v>1050</v>
      </c>
      <c r="I1625" s="1" t="s">
        <v>1051</v>
      </c>
      <c r="J1625" s="1"/>
      <c r="K1625" s="1" t="s">
        <v>23</v>
      </c>
      <c r="L1625" s="1" t="s">
        <v>8194</v>
      </c>
      <c r="M1625" s="1">
        <v>2.0</v>
      </c>
      <c r="N1625" s="1">
        <v>1.0</v>
      </c>
      <c r="O1625" s="1" t="s">
        <v>288</v>
      </c>
      <c r="P1625" s="1" t="s">
        <v>488</v>
      </c>
      <c r="Q1625" s="2" t="str">
        <f t="shared" si="1"/>
        <v>H004306</v>
      </c>
    </row>
    <row r="1626">
      <c r="A1626" s="1" t="s">
        <v>8195</v>
      </c>
      <c r="B1626" s="1" t="s">
        <v>8196</v>
      </c>
      <c r="C1626" s="1" t="s">
        <v>8197</v>
      </c>
      <c r="D1626" s="1" t="s">
        <v>8198</v>
      </c>
      <c r="E1626" s="1">
        <v>3453.0</v>
      </c>
      <c r="F1626" s="1" t="s">
        <v>498</v>
      </c>
      <c r="G1626" s="1" t="s">
        <v>132</v>
      </c>
      <c r="H1626" s="1" t="s">
        <v>133</v>
      </c>
      <c r="I1626" s="1" t="s">
        <v>1112</v>
      </c>
      <c r="J1626" s="1"/>
      <c r="K1626" s="1" t="s">
        <v>23</v>
      </c>
      <c r="L1626" s="1" t="s">
        <v>8199</v>
      </c>
      <c r="M1626" s="1">
        <v>3.0</v>
      </c>
      <c r="N1626" s="1">
        <v>1.0</v>
      </c>
      <c r="O1626" s="1" t="s">
        <v>498</v>
      </c>
      <c r="P1626" s="1" t="s">
        <v>488</v>
      </c>
      <c r="Q1626" s="2" t="str">
        <f t="shared" si="1"/>
        <v>H030370</v>
      </c>
    </row>
    <row r="1627">
      <c r="A1627" s="1" t="s">
        <v>8200</v>
      </c>
      <c r="B1627" s="1" t="s">
        <v>8201</v>
      </c>
      <c r="C1627" s="1" t="s">
        <v>8202</v>
      </c>
      <c r="D1627" s="1" t="s">
        <v>8203</v>
      </c>
      <c r="E1627" s="1">
        <v>3171.0</v>
      </c>
      <c r="F1627" s="1" t="s">
        <v>498</v>
      </c>
      <c r="G1627" s="1" t="s">
        <v>132</v>
      </c>
      <c r="H1627" s="1" t="s">
        <v>133</v>
      </c>
      <c r="I1627" s="1" t="s">
        <v>1112</v>
      </c>
      <c r="J1627" s="1"/>
      <c r="K1627" s="1" t="s">
        <v>23</v>
      </c>
      <c r="L1627" s="1" t="s">
        <v>8204</v>
      </c>
      <c r="M1627" s="1">
        <v>3.0</v>
      </c>
      <c r="N1627" s="1">
        <v>1.0</v>
      </c>
      <c r="O1627" s="1" t="s">
        <v>498</v>
      </c>
      <c r="P1627" s="1" t="s">
        <v>488</v>
      </c>
      <c r="Q1627" s="2" t="str">
        <f t="shared" si="1"/>
        <v>H030370</v>
      </c>
    </row>
    <row r="1628">
      <c r="A1628" s="1" t="s">
        <v>8205</v>
      </c>
      <c r="B1628" s="1" t="s">
        <v>8206</v>
      </c>
      <c r="C1628" s="1" t="s">
        <v>8207</v>
      </c>
      <c r="D1628" s="1" t="s">
        <v>8208</v>
      </c>
      <c r="E1628" s="1">
        <v>4239.0</v>
      </c>
      <c r="F1628" s="1" t="s">
        <v>498</v>
      </c>
      <c r="G1628" s="1">
        <v>896791.0</v>
      </c>
      <c r="H1628" s="1" t="s">
        <v>2124</v>
      </c>
      <c r="I1628" s="1" t="s">
        <v>1112</v>
      </c>
      <c r="J1628" s="1"/>
      <c r="K1628" s="1" t="s">
        <v>23</v>
      </c>
      <c r="L1628" s="1" t="s">
        <v>8209</v>
      </c>
      <c r="M1628" s="1">
        <v>3.0</v>
      </c>
      <c r="N1628" s="1">
        <v>1.0</v>
      </c>
      <c r="O1628" s="1" t="s">
        <v>498</v>
      </c>
      <c r="P1628" s="1" t="s">
        <v>488</v>
      </c>
      <c r="Q1628" s="2" t="str">
        <f t="shared" si="1"/>
        <v>H030370</v>
      </c>
    </row>
    <row r="1629">
      <c r="A1629" s="1" t="s">
        <v>8210</v>
      </c>
      <c r="B1629" s="1" t="s">
        <v>8211</v>
      </c>
      <c r="C1629" s="1" t="s">
        <v>8212</v>
      </c>
      <c r="D1629" s="1" t="s">
        <v>8213</v>
      </c>
      <c r="E1629" s="1">
        <v>4271.0</v>
      </c>
      <c r="F1629" s="1" t="s">
        <v>498</v>
      </c>
      <c r="G1629" s="1" t="s">
        <v>220</v>
      </c>
      <c r="H1629" s="1" t="s">
        <v>221</v>
      </c>
      <c r="I1629" s="1" t="s">
        <v>1112</v>
      </c>
      <c r="J1629" s="1"/>
      <c r="K1629" s="1" t="s">
        <v>23</v>
      </c>
      <c r="L1629" s="1" t="s">
        <v>8214</v>
      </c>
      <c r="M1629" s="1">
        <v>3.0</v>
      </c>
      <c r="N1629" s="1">
        <v>1.0</v>
      </c>
      <c r="O1629" s="1" t="s">
        <v>498</v>
      </c>
      <c r="P1629" s="1" t="s">
        <v>488</v>
      </c>
      <c r="Q1629" s="2" t="str">
        <f t="shared" si="1"/>
        <v>H030370</v>
      </c>
    </row>
    <row r="1630">
      <c r="A1630" s="1" t="s">
        <v>8215</v>
      </c>
      <c r="B1630" s="1" t="s">
        <v>8216</v>
      </c>
      <c r="C1630" s="1" t="s">
        <v>8217</v>
      </c>
      <c r="D1630" s="1" t="s">
        <v>8218</v>
      </c>
      <c r="E1630" s="1">
        <v>3866.0</v>
      </c>
      <c r="F1630" s="1" t="s">
        <v>498</v>
      </c>
      <c r="G1630" s="1" t="s">
        <v>167</v>
      </c>
      <c r="H1630" s="1" t="s">
        <v>168</v>
      </c>
      <c r="I1630" s="1" t="s">
        <v>1112</v>
      </c>
      <c r="J1630" s="1"/>
      <c r="K1630" s="1" t="s">
        <v>23</v>
      </c>
      <c r="L1630" s="1" t="s">
        <v>8219</v>
      </c>
      <c r="M1630" s="1">
        <v>3.0</v>
      </c>
      <c r="N1630" s="1">
        <v>1.0</v>
      </c>
      <c r="O1630" s="1" t="s">
        <v>498</v>
      </c>
      <c r="P1630" s="1" t="s">
        <v>488</v>
      </c>
      <c r="Q1630" s="2" t="str">
        <f t="shared" si="1"/>
        <v>H030370</v>
      </c>
    </row>
    <row r="1631">
      <c r="A1631" s="1" t="s">
        <v>8220</v>
      </c>
      <c r="B1631" s="1" t="s">
        <v>8221</v>
      </c>
      <c r="C1631" s="1" t="s">
        <v>8222</v>
      </c>
      <c r="D1631" s="1" t="s">
        <v>8223</v>
      </c>
      <c r="E1631" s="1">
        <v>2574.0</v>
      </c>
      <c r="F1631" s="1" t="s">
        <v>351</v>
      </c>
      <c r="G1631" s="1" t="s">
        <v>208</v>
      </c>
      <c r="H1631" s="1" t="s">
        <v>209</v>
      </c>
      <c r="I1631" s="1" t="s">
        <v>486</v>
      </c>
      <c r="J1631" s="1"/>
      <c r="K1631" s="1" t="s">
        <v>23</v>
      </c>
      <c r="L1631" s="1" t="s">
        <v>8224</v>
      </c>
      <c r="M1631" s="1">
        <v>2.0</v>
      </c>
      <c r="N1631" s="1">
        <v>1.0</v>
      </c>
      <c r="O1631" s="1" t="s">
        <v>351</v>
      </c>
      <c r="P1631" s="1" t="s">
        <v>488</v>
      </c>
      <c r="Q1631" s="2" t="str">
        <f t="shared" si="1"/>
        <v>H006029</v>
      </c>
    </row>
    <row r="1632">
      <c r="A1632" s="1" t="s">
        <v>8225</v>
      </c>
      <c r="B1632" s="1" t="s">
        <v>8226</v>
      </c>
      <c r="C1632" s="1" t="s">
        <v>8227</v>
      </c>
      <c r="D1632" s="1" t="s">
        <v>8228</v>
      </c>
      <c r="E1632" s="1">
        <v>3398.0</v>
      </c>
      <c r="F1632" s="1" t="s">
        <v>351</v>
      </c>
      <c r="G1632" s="1" t="s">
        <v>208</v>
      </c>
      <c r="H1632" s="1" t="s">
        <v>209</v>
      </c>
      <c r="I1632" s="1" t="s">
        <v>486</v>
      </c>
      <c r="J1632" s="1"/>
      <c r="K1632" s="1" t="s">
        <v>23</v>
      </c>
      <c r="L1632" s="1" t="s">
        <v>8229</v>
      </c>
      <c r="M1632" s="1">
        <v>2.0</v>
      </c>
      <c r="N1632" s="1">
        <v>1.0</v>
      </c>
      <c r="O1632" s="1" t="s">
        <v>351</v>
      </c>
      <c r="P1632" s="1" t="s">
        <v>488</v>
      </c>
      <c r="Q1632" s="2" t="str">
        <f t="shared" si="1"/>
        <v>H006029</v>
      </c>
    </row>
    <row r="1633">
      <c r="A1633" s="1" t="s">
        <v>8230</v>
      </c>
      <c r="B1633" s="1" t="s">
        <v>8231</v>
      </c>
      <c r="C1633" s="1" t="s">
        <v>8232</v>
      </c>
      <c r="D1633" s="1" t="s">
        <v>8233</v>
      </c>
      <c r="E1633" s="1">
        <v>4530.0</v>
      </c>
      <c r="F1633" s="1" t="s">
        <v>288</v>
      </c>
      <c r="G1633" s="1">
        <v>859767.0</v>
      </c>
      <c r="H1633" s="1" t="s">
        <v>2565</v>
      </c>
      <c r="I1633" s="1" t="s">
        <v>1051</v>
      </c>
      <c r="J1633" s="1"/>
      <c r="K1633" s="1" t="s">
        <v>23</v>
      </c>
      <c r="L1633" s="1" t="s">
        <v>8234</v>
      </c>
      <c r="M1633" s="1">
        <v>2.0</v>
      </c>
      <c r="N1633" s="1">
        <v>1.0</v>
      </c>
      <c r="O1633" s="1" t="s">
        <v>288</v>
      </c>
      <c r="P1633" s="1" t="s">
        <v>488</v>
      </c>
      <c r="Q1633" s="2" t="str">
        <f t="shared" si="1"/>
        <v>H004306</v>
      </c>
    </row>
    <row r="1634">
      <c r="A1634" s="1" t="s">
        <v>8235</v>
      </c>
      <c r="B1634" s="1" t="s">
        <v>8236</v>
      </c>
      <c r="C1634" s="1" t="s">
        <v>8237</v>
      </c>
      <c r="D1634" s="1" t="s">
        <v>8238</v>
      </c>
      <c r="E1634" s="1">
        <v>6420.0</v>
      </c>
      <c r="F1634" s="1" t="s">
        <v>498</v>
      </c>
      <c r="G1634" s="1">
        <v>896791.0</v>
      </c>
      <c r="H1634" s="1" t="s">
        <v>2124</v>
      </c>
      <c r="I1634" s="1" t="s">
        <v>1112</v>
      </c>
      <c r="J1634" s="1"/>
      <c r="K1634" s="1" t="s">
        <v>23</v>
      </c>
      <c r="L1634" s="1" t="s">
        <v>8239</v>
      </c>
      <c r="M1634" s="1">
        <v>3.0</v>
      </c>
      <c r="N1634" s="1">
        <v>1.0</v>
      </c>
      <c r="O1634" s="1" t="s">
        <v>498</v>
      </c>
      <c r="P1634" s="1" t="s">
        <v>488</v>
      </c>
      <c r="Q1634" s="2" t="str">
        <f t="shared" si="1"/>
        <v>H030470</v>
      </c>
    </row>
    <row r="1635">
      <c r="A1635" s="1" t="s">
        <v>8240</v>
      </c>
      <c r="B1635" s="1" t="s">
        <v>8241</v>
      </c>
      <c r="C1635" s="1" t="s">
        <v>8242</v>
      </c>
      <c r="D1635" s="1" t="s">
        <v>8243</v>
      </c>
      <c r="E1635" s="1">
        <v>4383.0</v>
      </c>
      <c r="F1635" s="1" t="s">
        <v>498</v>
      </c>
      <c r="G1635" s="1">
        <v>896791.0</v>
      </c>
      <c r="H1635" s="1" t="s">
        <v>2124</v>
      </c>
      <c r="I1635" s="1" t="s">
        <v>1112</v>
      </c>
      <c r="J1635" s="1"/>
      <c r="K1635" s="1" t="s">
        <v>23</v>
      </c>
      <c r="L1635" s="1" t="s">
        <v>8244</v>
      </c>
      <c r="M1635" s="1">
        <v>3.0</v>
      </c>
      <c r="N1635" s="1">
        <v>1.0</v>
      </c>
      <c r="O1635" s="1" t="s">
        <v>498</v>
      </c>
      <c r="P1635" s="1" t="s">
        <v>488</v>
      </c>
      <c r="Q1635" s="2" t="str">
        <f t="shared" si="1"/>
        <v>H030470</v>
      </c>
    </row>
    <row r="1636">
      <c r="A1636" s="1" t="s">
        <v>8245</v>
      </c>
      <c r="B1636" s="1" t="s">
        <v>8246</v>
      </c>
      <c r="C1636" s="1" t="s">
        <v>8247</v>
      </c>
      <c r="D1636" s="1" t="s">
        <v>8248</v>
      </c>
      <c r="E1636" s="1">
        <v>4435.0</v>
      </c>
      <c r="F1636" s="1" t="s">
        <v>498</v>
      </c>
      <c r="G1636" s="1">
        <v>896791.0</v>
      </c>
      <c r="H1636" s="1" t="s">
        <v>2124</v>
      </c>
      <c r="I1636" s="1" t="s">
        <v>1112</v>
      </c>
      <c r="J1636" s="1"/>
      <c r="K1636" s="1" t="s">
        <v>23</v>
      </c>
      <c r="L1636" s="1" t="s">
        <v>8249</v>
      </c>
      <c r="M1636" s="1">
        <v>3.0</v>
      </c>
      <c r="N1636" s="1">
        <v>1.0</v>
      </c>
      <c r="O1636" s="1" t="s">
        <v>498</v>
      </c>
      <c r="P1636" s="1" t="s">
        <v>488</v>
      </c>
      <c r="Q1636" s="2" t="str">
        <f t="shared" si="1"/>
        <v>H030470</v>
      </c>
    </row>
    <row r="1637">
      <c r="A1637" s="1" t="s">
        <v>8250</v>
      </c>
      <c r="B1637" s="1" t="s">
        <v>8251</v>
      </c>
      <c r="C1637" s="1" t="s">
        <v>8252</v>
      </c>
      <c r="D1637" s="1" t="s">
        <v>8253</v>
      </c>
      <c r="E1637" s="1">
        <v>4018.0</v>
      </c>
      <c r="F1637" s="1" t="s">
        <v>398</v>
      </c>
      <c r="G1637" s="1" t="s">
        <v>179</v>
      </c>
      <c r="H1637" s="1" t="s">
        <v>180</v>
      </c>
      <c r="I1637" s="1" t="s">
        <v>1112</v>
      </c>
      <c r="J1637" s="1"/>
      <c r="K1637" s="1" t="s">
        <v>23</v>
      </c>
      <c r="L1637" s="1" t="s">
        <v>8254</v>
      </c>
      <c r="M1637" s="1">
        <v>0.0</v>
      </c>
      <c r="N1637" s="1">
        <v>1.0</v>
      </c>
      <c r="O1637" s="1" t="s">
        <v>398</v>
      </c>
      <c r="P1637" s="1" t="s">
        <v>488</v>
      </c>
      <c r="Q1637" s="2" t="str">
        <f t="shared" si="1"/>
        <v>H030747</v>
      </c>
    </row>
    <row r="1638">
      <c r="A1638" s="1" t="s">
        <v>8255</v>
      </c>
      <c r="B1638" s="1" t="s">
        <v>8256</v>
      </c>
      <c r="C1638" s="1" t="s">
        <v>8257</v>
      </c>
      <c r="D1638" s="1" t="s">
        <v>8258</v>
      </c>
      <c r="E1638" s="1">
        <v>5505.0</v>
      </c>
      <c r="F1638" s="1" t="s">
        <v>398</v>
      </c>
      <c r="G1638" s="1" t="s">
        <v>179</v>
      </c>
      <c r="H1638" s="1" t="s">
        <v>180</v>
      </c>
      <c r="I1638" s="1" t="s">
        <v>1112</v>
      </c>
      <c r="J1638" s="1"/>
      <c r="K1638" s="1" t="s">
        <v>23</v>
      </c>
      <c r="L1638" s="1" t="s">
        <v>8259</v>
      </c>
      <c r="M1638" s="1">
        <v>0.0</v>
      </c>
      <c r="N1638" s="1">
        <v>1.0</v>
      </c>
      <c r="O1638" s="1" t="s">
        <v>398</v>
      </c>
      <c r="P1638" s="1" t="s">
        <v>488</v>
      </c>
      <c r="Q1638" s="2" t="str">
        <f t="shared" si="1"/>
        <v>H030747</v>
      </c>
    </row>
    <row r="1639">
      <c r="A1639" s="1" t="s">
        <v>8260</v>
      </c>
      <c r="B1639" s="1" t="s">
        <v>8261</v>
      </c>
      <c r="C1639" s="1" t="s">
        <v>8262</v>
      </c>
      <c r="D1639" s="1" t="s">
        <v>8263</v>
      </c>
      <c r="E1639" s="1">
        <v>4462.0</v>
      </c>
      <c r="F1639" s="1" t="s">
        <v>398</v>
      </c>
      <c r="G1639" s="1" t="s">
        <v>179</v>
      </c>
      <c r="H1639" s="1" t="s">
        <v>180</v>
      </c>
      <c r="I1639" s="1" t="s">
        <v>1112</v>
      </c>
      <c r="J1639" s="1"/>
      <c r="K1639" s="1" t="s">
        <v>23</v>
      </c>
      <c r="L1639" s="1" t="s">
        <v>8264</v>
      </c>
      <c r="M1639" s="1">
        <v>0.0</v>
      </c>
      <c r="N1639" s="1">
        <v>1.0</v>
      </c>
      <c r="O1639" s="1" t="s">
        <v>398</v>
      </c>
      <c r="P1639" s="1" t="s">
        <v>488</v>
      </c>
      <c r="Q1639" s="2" t="str">
        <f t="shared" si="1"/>
        <v>H030747</v>
      </c>
    </row>
    <row r="1640">
      <c r="A1640" s="1" t="s">
        <v>8265</v>
      </c>
      <c r="B1640" s="1" t="s">
        <v>8266</v>
      </c>
      <c r="C1640" s="1" t="s">
        <v>8267</v>
      </c>
      <c r="D1640" s="1" t="s">
        <v>8268</v>
      </c>
      <c r="E1640" s="1">
        <v>6456.0</v>
      </c>
      <c r="F1640" s="1" t="s">
        <v>398</v>
      </c>
      <c r="G1640" s="1" t="s">
        <v>179</v>
      </c>
      <c r="H1640" s="1" t="s">
        <v>180</v>
      </c>
      <c r="I1640" s="1" t="s">
        <v>1112</v>
      </c>
      <c r="J1640" s="1"/>
      <c r="K1640" s="1" t="s">
        <v>23</v>
      </c>
      <c r="L1640" s="1" t="s">
        <v>8269</v>
      </c>
      <c r="M1640" s="1">
        <v>0.0</v>
      </c>
      <c r="N1640" s="1">
        <v>1.0</v>
      </c>
      <c r="O1640" s="1" t="s">
        <v>398</v>
      </c>
      <c r="P1640" s="1" t="s">
        <v>488</v>
      </c>
      <c r="Q1640" s="2" t="str">
        <f t="shared" si="1"/>
        <v>H030747</v>
      </c>
    </row>
    <row r="1641">
      <c r="A1641" s="1" t="s">
        <v>8270</v>
      </c>
      <c r="B1641" s="1" t="s">
        <v>8271</v>
      </c>
      <c r="C1641" s="1" t="s">
        <v>8272</v>
      </c>
      <c r="D1641" s="1" t="s">
        <v>8273</v>
      </c>
      <c r="E1641" s="1">
        <v>4058.0</v>
      </c>
      <c r="F1641" s="1" t="s">
        <v>398</v>
      </c>
      <c r="G1641" s="1" t="s">
        <v>232</v>
      </c>
      <c r="H1641" s="1" t="s">
        <v>233</v>
      </c>
      <c r="I1641" s="1" t="s">
        <v>1112</v>
      </c>
      <c r="J1641" s="1"/>
      <c r="K1641" s="1" t="s">
        <v>23</v>
      </c>
      <c r="L1641" s="1" t="s">
        <v>8274</v>
      </c>
      <c r="M1641" s="1">
        <v>2.0</v>
      </c>
      <c r="N1641" s="1">
        <v>1.0</v>
      </c>
      <c r="O1641" s="1" t="s">
        <v>398</v>
      </c>
      <c r="P1641" s="1" t="s">
        <v>488</v>
      </c>
      <c r="Q1641" s="2" t="str">
        <f t="shared" si="1"/>
        <v>H030396</v>
      </c>
    </row>
    <row r="1642">
      <c r="A1642" s="1" t="s">
        <v>8275</v>
      </c>
      <c r="B1642" s="1" t="s">
        <v>8276</v>
      </c>
      <c r="C1642" s="1" t="s">
        <v>8277</v>
      </c>
      <c r="D1642" s="1" t="s">
        <v>8278</v>
      </c>
      <c r="E1642" s="1">
        <v>4054.0</v>
      </c>
      <c r="F1642" s="1" t="s">
        <v>398</v>
      </c>
      <c r="G1642" s="1" t="s">
        <v>232</v>
      </c>
      <c r="H1642" s="1" t="s">
        <v>233</v>
      </c>
      <c r="I1642" s="1" t="s">
        <v>1112</v>
      </c>
      <c r="J1642" s="1"/>
      <c r="K1642" s="1" t="s">
        <v>23</v>
      </c>
      <c r="L1642" s="1" t="s">
        <v>8279</v>
      </c>
      <c r="M1642" s="1">
        <v>2.0</v>
      </c>
      <c r="N1642" s="1">
        <v>1.0</v>
      </c>
      <c r="O1642" s="1" t="s">
        <v>398</v>
      </c>
      <c r="P1642" s="1" t="s">
        <v>488</v>
      </c>
      <c r="Q1642" s="2" t="str">
        <f t="shared" si="1"/>
        <v>H030396</v>
      </c>
    </row>
    <row r="1643">
      <c r="A1643" s="1" t="s">
        <v>8280</v>
      </c>
      <c r="B1643" s="1" t="s">
        <v>8281</v>
      </c>
      <c r="C1643" s="1" t="s">
        <v>8282</v>
      </c>
      <c r="D1643" s="1" t="s">
        <v>8283</v>
      </c>
      <c r="E1643" s="1">
        <v>4760.0</v>
      </c>
      <c r="F1643" s="1" t="s">
        <v>398</v>
      </c>
      <c r="G1643" s="1" t="s">
        <v>232</v>
      </c>
      <c r="H1643" s="1" t="s">
        <v>233</v>
      </c>
      <c r="I1643" s="1" t="s">
        <v>1112</v>
      </c>
      <c r="J1643" s="1"/>
      <c r="K1643" s="1" t="s">
        <v>23</v>
      </c>
      <c r="L1643" s="1" t="s">
        <v>8284</v>
      </c>
      <c r="M1643" s="1">
        <v>2.0</v>
      </c>
      <c r="N1643" s="1">
        <v>1.0</v>
      </c>
      <c r="O1643" s="1" t="s">
        <v>398</v>
      </c>
      <c r="P1643" s="1" t="s">
        <v>488</v>
      </c>
      <c r="Q1643" s="2" t="str">
        <f t="shared" si="1"/>
        <v>H030396</v>
      </c>
    </row>
    <row r="1644">
      <c r="A1644" s="1" t="s">
        <v>8285</v>
      </c>
      <c r="B1644" s="1" t="s">
        <v>8286</v>
      </c>
      <c r="C1644" s="1" t="s">
        <v>8287</v>
      </c>
      <c r="D1644" s="1" t="s">
        <v>8288</v>
      </c>
      <c r="E1644" s="1">
        <v>7944.0</v>
      </c>
      <c r="F1644" s="1" t="s">
        <v>498</v>
      </c>
      <c r="G1644" s="1" t="s">
        <v>132</v>
      </c>
      <c r="H1644" s="1" t="s">
        <v>133</v>
      </c>
      <c r="I1644" s="1" t="s">
        <v>1112</v>
      </c>
      <c r="J1644" s="1"/>
      <c r="K1644" s="1" t="s">
        <v>23</v>
      </c>
      <c r="L1644" s="1" t="s">
        <v>8289</v>
      </c>
      <c r="M1644" s="1">
        <v>3.0</v>
      </c>
      <c r="N1644" s="1">
        <v>1.0</v>
      </c>
      <c r="O1644" s="1" t="s">
        <v>498</v>
      </c>
      <c r="P1644" s="1" t="s">
        <v>488</v>
      </c>
      <c r="Q1644" s="2" t="str">
        <f t="shared" si="1"/>
        <v>H030370</v>
      </c>
    </row>
    <row r="1645">
      <c r="A1645" s="1" t="s">
        <v>8290</v>
      </c>
      <c r="B1645" s="1" t="s">
        <v>8291</v>
      </c>
      <c r="C1645" s="1" t="s">
        <v>8292</v>
      </c>
      <c r="D1645" s="1" t="s">
        <v>8293</v>
      </c>
      <c r="E1645" s="1">
        <v>4035.0</v>
      </c>
      <c r="F1645" s="1" t="s">
        <v>498</v>
      </c>
      <c r="G1645" s="1" t="s">
        <v>220</v>
      </c>
      <c r="H1645" s="1" t="s">
        <v>221</v>
      </c>
      <c r="I1645" s="1" t="s">
        <v>1112</v>
      </c>
      <c r="J1645" s="1"/>
      <c r="K1645" s="1" t="s">
        <v>23</v>
      </c>
      <c r="L1645" s="1" t="s">
        <v>8294</v>
      </c>
      <c r="M1645" s="1">
        <v>3.0</v>
      </c>
      <c r="N1645" s="1">
        <v>1.0</v>
      </c>
      <c r="O1645" s="1" t="s">
        <v>498</v>
      </c>
      <c r="P1645" s="1" t="s">
        <v>488</v>
      </c>
      <c r="Q1645" s="2" t="str">
        <f t="shared" si="1"/>
        <v>H030370</v>
      </c>
    </row>
    <row r="1646">
      <c r="A1646" s="1" t="s">
        <v>8295</v>
      </c>
      <c r="B1646" s="1" t="s">
        <v>8296</v>
      </c>
      <c r="C1646" s="1" t="s">
        <v>8297</v>
      </c>
      <c r="D1646" s="1" t="s">
        <v>8298</v>
      </c>
      <c r="E1646" s="1">
        <v>3889.0</v>
      </c>
      <c r="F1646" s="1" t="s">
        <v>498</v>
      </c>
      <c r="G1646" s="1" t="s">
        <v>220</v>
      </c>
      <c r="H1646" s="1" t="s">
        <v>221</v>
      </c>
      <c r="I1646" s="1" t="s">
        <v>1112</v>
      </c>
      <c r="J1646" s="1"/>
      <c r="K1646" s="1" t="s">
        <v>23</v>
      </c>
      <c r="L1646" s="1" t="s">
        <v>8299</v>
      </c>
      <c r="M1646" s="1">
        <v>3.0</v>
      </c>
      <c r="N1646" s="1">
        <v>1.0</v>
      </c>
      <c r="O1646" s="1" t="s">
        <v>498</v>
      </c>
      <c r="P1646" s="1" t="s">
        <v>488</v>
      </c>
      <c r="Q1646" s="2" t="str">
        <f t="shared" si="1"/>
        <v>H030370</v>
      </c>
    </row>
    <row r="1647">
      <c r="A1647" s="1" t="s">
        <v>8300</v>
      </c>
      <c r="B1647" s="1" t="s">
        <v>8301</v>
      </c>
      <c r="C1647" s="1" t="s">
        <v>8302</v>
      </c>
      <c r="D1647" s="1" t="s">
        <v>8303</v>
      </c>
      <c r="E1647" s="1">
        <v>4152.0</v>
      </c>
      <c r="F1647" s="1" t="s">
        <v>498</v>
      </c>
      <c r="G1647" s="1" t="s">
        <v>220</v>
      </c>
      <c r="H1647" s="1" t="s">
        <v>221</v>
      </c>
      <c r="I1647" s="1" t="s">
        <v>1112</v>
      </c>
      <c r="J1647" s="1"/>
      <c r="K1647" s="1" t="s">
        <v>23</v>
      </c>
      <c r="L1647" s="1" t="s">
        <v>8304</v>
      </c>
      <c r="M1647" s="1">
        <v>3.0</v>
      </c>
      <c r="N1647" s="1">
        <v>1.0</v>
      </c>
      <c r="O1647" s="1" t="s">
        <v>498</v>
      </c>
      <c r="P1647" s="1" t="s">
        <v>488</v>
      </c>
      <c r="Q1647" s="2" t="str">
        <f t="shared" si="1"/>
        <v>H030370</v>
      </c>
    </row>
    <row r="1648">
      <c r="A1648" s="1" t="s">
        <v>8305</v>
      </c>
      <c r="B1648" s="1" t="s">
        <v>8306</v>
      </c>
      <c r="C1648" s="1" t="s">
        <v>8307</v>
      </c>
      <c r="D1648" s="1" t="s">
        <v>8308</v>
      </c>
      <c r="E1648" s="1">
        <v>3899.0</v>
      </c>
      <c r="F1648" s="1" t="s">
        <v>498</v>
      </c>
      <c r="G1648" s="1" t="s">
        <v>132</v>
      </c>
      <c r="H1648" s="1" t="s">
        <v>133</v>
      </c>
      <c r="I1648" s="1" t="s">
        <v>1112</v>
      </c>
      <c r="J1648" s="1"/>
      <c r="K1648" s="1" t="s">
        <v>23</v>
      </c>
      <c r="L1648" s="1" t="s">
        <v>8309</v>
      </c>
      <c r="M1648" s="1">
        <v>3.0</v>
      </c>
      <c r="N1648" s="1">
        <v>1.0</v>
      </c>
      <c r="O1648" s="1" t="s">
        <v>498</v>
      </c>
      <c r="P1648" s="1" t="s">
        <v>488</v>
      </c>
      <c r="Q1648" s="2" t="str">
        <f t="shared" si="1"/>
        <v>H030370</v>
      </c>
    </row>
    <row r="1649">
      <c r="A1649" s="1" t="s">
        <v>8310</v>
      </c>
      <c r="B1649" s="1" t="s">
        <v>8311</v>
      </c>
      <c r="C1649" s="1" t="s">
        <v>8312</v>
      </c>
      <c r="D1649" s="1" t="s">
        <v>8313</v>
      </c>
      <c r="E1649" s="1">
        <v>3564.0</v>
      </c>
      <c r="F1649" s="1" t="s">
        <v>498</v>
      </c>
      <c r="G1649" s="1" t="s">
        <v>220</v>
      </c>
      <c r="H1649" s="1" t="s">
        <v>221</v>
      </c>
      <c r="I1649" s="1" t="s">
        <v>1112</v>
      </c>
      <c r="J1649" s="1"/>
      <c r="K1649" s="1" t="s">
        <v>23</v>
      </c>
      <c r="L1649" s="1" t="s">
        <v>8314</v>
      </c>
      <c r="M1649" s="1">
        <v>3.0</v>
      </c>
      <c r="N1649" s="1">
        <v>1.0</v>
      </c>
      <c r="O1649" s="1" t="s">
        <v>498</v>
      </c>
      <c r="P1649" s="1" t="s">
        <v>488</v>
      </c>
      <c r="Q1649" s="2" t="str">
        <f t="shared" si="1"/>
        <v>H030370</v>
      </c>
    </row>
    <row r="1650">
      <c r="A1650" s="1" t="s">
        <v>8315</v>
      </c>
      <c r="B1650" s="1" t="s">
        <v>8316</v>
      </c>
      <c r="C1650" s="1" t="s">
        <v>8317</v>
      </c>
      <c r="D1650" s="1" t="s">
        <v>8318</v>
      </c>
      <c r="E1650" s="1">
        <v>3131.0</v>
      </c>
      <c r="F1650" s="1" t="s">
        <v>498</v>
      </c>
      <c r="G1650" s="1" t="s">
        <v>167</v>
      </c>
      <c r="H1650" s="1" t="s">
        <v>168</v>
      </c>
      <c r="I1650" s="1" t="s">
        <v>1112</v>
      </c>
      <c r="J1650" s="1"/>
      <c r="K1650" s="1" t="s">
        <v>23</v>
      </c>
      <c r="L1650" s="1" t="s">
        <v>8319</v>
      </c>
      <c r="M1650" s="1">
        <v>3.0</v>
      </c>
      <c r="N1650" s="1">
        <v>1.0</v>
      </c>
      <c r="O1650" s="1" t="s">
        <v>498</v>
      </c>
      <c r="P1650" s="1" t="s">
        <v>488</v>
      </c>
      <c r="Q1650" s="2" t="str">
        <f t="shared" si="1"/>
        <v>H030370</v>
      </c>
    </row>
    <row r="1651">
      <c r="A1651" s="1" t="s">
        <v>8320</v>
      </c>
      <c r="B1651" s="1" t="s">
        <v>8321</v>
      </c>
      <c r="C1651" s="1" t="s">
        <v>8322</v>
      </c>
      <c r="D1651" s="1" t="s">
        <v>8323</v>
      </c>
      <c r="E1651" s="1">
        <v>4043.0</v>
      </c>
      <c r="F1651" s="1" t="s">
        <v>498</v>
      </c>
      <c r="G1651" s="1" t="s">
        <v>167</v>
      </c>
      <c r="H1651" s="1" t="s">
        <v>168</v>
      </c>
      <c r="I1651" s="1" t="s">
        <v>1112</v>
      </c>
      <c r="J1651" s="1"/>
      <c r="K1651" s="1" t="s">
        <v>23</v>
      </c>
      <c r="L1651" s="1" t="s">
        <v>8324</v>
      </c>
      <c r="M1651" s="1">
        <v>3.0</v>
      </c>
      <c r="N1651" s="1">
        <v>1.0</v>
      </c>
      <c r="O1651" s="1" t="s">
        <v>498</v>
      </c>
      <c r="P1651" s="1" t="s">
        <v>488</v>
      </c>
      <c r="Q1651" s="2" t="str">
        <f t="shared" si="1"/>
        <v>H030370</v>
      </c>
    </row>
    <row r="1652">
      <c r="A1652" s="1" t="s">
        <v>8325</v>
      </c>
      <c r="B1652" s="1" t="s">
        <v>8326</v>
      </c>
      <c r="C1652" s="1" t="s">
        <v>8327</v>
      </c>
      <c r="D1652" s="1" t="s">
        <v>8328</v>
      </c>
      <c r="E1652" s="1">
        <v>3040.0</v>
      </c>
      <c r="F1652" s="1" t="s">
        <v>498</v>
      </c>
      <c r="G1652" s="1" t="s">
        <v>167</v>
      </c>
      <c r="H1652" s="1" t="s">
        <v>168</v>
      </c>
      <c r="I1652" s="1" t="s">
        <v>1112</v>
      </c>
      <c r="J1652" s="1"/>
      <c r="K1652" s="1" t="s">
        <v>23</v>
      </c>
      <c r="L1652" s="1" t="s">
        <v>8329</v>
      </c>
      <c r="M1652" s="1">
        <v>3.0</v>
      </c>
      <c r="N1652" s="1">
        <v>1.0</v>
      </c>
      <c r="O1652" s="1" t="s">
        <v>498</v>
      </c>
      <c r="P1652" s="1" t="s">
        <v>488</v>
      </c>
      <c r="Q1652" s="2" t="str">
        <f t="shared" si="1"/>
        <v>H030370</v>
      </c>
    </row>
    <row r="1653">
      <c r="A1653" s="1" t="s">
        <v>8330</v>
      </c>
      <c r="B1653" s="1" t="s">
        <v>8331</v>
      </c>
      <c r="C1653" s="1" t="s">
        <v>8332</v>
      </c>
      <c r="D1653" s="1" t="s">
        <v>8333</v>
      </c>
      <c r="E1653" s="1">
        <v>2100.0</v>
      </c>
      <c r="F1653" s="1" t="s">
        <v>315</v>
      </c>
      <c r="G1653" s="1">
        <v>841329.0</v>
      </c>
      <c r="H1653" s="1" t="s">
        <v>1848</v>
      </c>
      <c r="I1653" s="1" t="s">
        <v>1051</v>
      </c>
      <c r="J1653" s="1"/>
      <c r="K1653" s="1" t="s">
        <v>23</v>
      </c>
      <c r="L1653" s="1" t="s">
        <v>8334</v>
      </c>
      <c r="M1653" s="1">
        <v>1.0</v>
      </c>
      <c r="N1653" s="1">
        <v>1.0</v>
      </c>
      <c r="O1653" s="1" t="s">
        <v>315</v>
      </c>
      <c r="P1653" s="1" t="s">
        <v>488</v>
      </c>
      <c r="Q1653" s="2" t="str">
        <f t="shared" si="1"/>
        <v>H004042</v>
      </c>
    </row>
    <row r="1654">
      <c r="A1654" s="1" t="s">
        <v>8335</v>
      </c>
      <c r="B1654" s="1" t="s">
        <v>8336</v>
      </c>
      <c r="C1654" s="1" t="s">
        <v>8337</v>
      </c>
      <c r="D1654" s="1" t="s">
        <v>8338</v>
      </c>
      <c r="E1654" s="1">
        <v>3113.0</v>
      </c>
      <c r="F1654" s="1" t="s">
        <v>398</v>
      </c>
      <c r="G1654" s="1" t="s">
        <v>155</v>
      </c>
      <c r="H1654" s="1" t="s">
        <v>156</v>
      </c>
      <c r="I1654" s="1" t="s">
        <v>1112</v>
      </c>
      <c r="J1654" s="1"/>
      <c r="K1654" s="1" t="s">
        <v>23</v>
      </c>
      <c r="L1654" s="1" t="s">
        <v>8339</v>
      </c>
      <c r="M1654" s="1">
        <v>2.0</v>
      </c>
      <c r="N1654" s="1">
        <v>1.0</v>
      </c>
      <c r="O1654" s="1" t="s">
        <v>398</v>
      </c>
      <c r="P1654" s="1" t="s">
        <v>488</v>
      </c>
      <c r="Q1654" s="2" t="str">
        <f t="shared" si="1"/>
        <v>H030396</v>
      </c>
    </row>
    <row r="1655">
      <c r="A1655" s="1" t="s">
        <v>8340</v>
      </c>
      <c r="B1655" s="1" t="s">
        <v>8341</v>
      </c>
      <c r="C1655" s="1" t="s">
        <v>8342</v>
      </c>
      <c r="D1655" s="1" t="s">
        <v>8343</v>
      </c>
      <c r="E1655" s="1">
        <v>4457.0</v>
      </c>
      <c r="F1655" s="1" t="s">
        <v>398</v>
      </c>
      <c r="G1655" s="1" t="s">
        <v>155</v>
      </c>
      <c r="H1655" s="1" t="s">
        <v>156</v>
      </c>
      <c r="I1655" s="1" t="s">
        <v>1112</v>
      </c>
      <c r="J1655" s="1"/>
      <c r="K1655" s="1" t="s">
        <v>23</v>
      </c>
      <c r="L1655" s="1" t="s">
        <v>8344</v>
      </c>
      <c r="M1655" s="1">
        <v>2.0</v>
      </c>
      <c r="N1655" s="1">
        <v>1.0</v>
      </c>
      <c r="O1655" s="1" t="s">
        <v>398</v>
      </c>
      <c r="P1655" s="1" t="s">
        <v>488</v>
      </c>
      <c r="Q1655" s="2" t="str">
        <f t="shared" si="1"/>
        <v>H030396</v>
      </c>
    </row>
    <row r="1656">
      <c r="A1656" s="1" t="s">
        <v>8345</v>
      </c>
      <c r="B1656" s="1" t="s">
        <v>8346</v>
      </c>
      <c r="C1656" s="1" t="s">
        <v>8347</v>
      </c>
      <c r="D1656" s="1" t="s">
        <v>8348</v>
      </c>
      <c r="E1656" s="1">
        <v>2466.0</v>
      </c>
      <c r="F1656" s="1" t="s">
        <v>382</v>
      </c>
      <c r="G1656" s="1" t="s">
        <v>474</v>
      </c>
      <c r="H1656" s="1" t="s">
        <v>475</v>
      </c>
      <c r="I1656" s="1" t="s">
        <v>486</v>
      </c>
      <c r="J1656" s="1"/>
      <c r="K1656" s="1" t="s">
        <v>23</v>
      </c>
      <c r="L1656" s="1" t="s">
        <v>8349</v>
      </c>
      <c r="M1656" s="1">
        <v>0.0</v>
      </c>
      <c r="N1656" s="1">
        <v>1.0</v>
      </c>
      <c r="O1656" s="1" t="s">
        <v>382</v>
      </c>
      <c r="P1656" s="1" t="s">
        <v>488</v>
      </c>
      <c r="Q1656" s="2" t="str">
        <f t="shared" si="1"/>
        <v>H006068</v>
      </c>
    </row>
    <row r="1657">
      <c r="A1657" s="1" t="s">
        <v>8350</v>
      </c>
      <c r="B1657" s="1" t="s">
        <v>8351</v>
      </c>
      <c r="C1657" s="1" t="s">
        <v>8352</v>
      </c>
      <c r="D1657" s="1" t="s">
        <v>8353</v>
      </c>
      <c r="E1657" s="1">
        <v>4809.0</v>
      </c>
      <c r="F1657" s="1" t="s">
        <v>351</v>
      </c>
      <c r="G1657" s="1" t="s">
        <v>260</v>
      </c>
      <c r="H1657" s="1" t="s">
        <v>261</v>
      </c>
      <c r="I1657" s="1" t="s">
        <v>486</v>
      </c>
      <c r="J1657" s="1"/>
      <c r="K1657" s="1" t="s">
        <v>23</v>
      </c>
      <c r="L1657" s="1" t="s">
        <v>8354</v>
      </c>
      <c r="M1657" s="1">
        <v>0.0</v>
      </c>
      <c r="N1657" s="1">
        <v>1.0</v>
      </c>
      <c r="O1657" s="1" t="s">
        <v>351</v>
      </c>
      <c r="P1657" s="1" t="s">
        <v>488</v>
      </c>
      <c r="Q1657" s="2" t="str">
        <f t="shared" si="1"/>
        <v>H006213</v>
      </c>
    </row>
    <row r="1658">
      <c r="A1658" s="1" t="s">
        <v>8355</v>
      </c>
      <c r="B1658" s="1" t="s">
        <v>8356</v>
      </c>
      <c r="C1658" s="1" t="s">
        <v>8357</v>
      </c>
      <c r="D1658" s="1" t="s">
        <v>8358</v>
      </c>
      <c r="E1658" s="1">
        <v>2315.0</v>
      </c>
      <c r="F1658" s="1" t="s">
        <v>351</v>
      </c>
      <c r="G1658" s="1" t="s">
        <v>57</v>
      </c>
      <c r="H1658" s="1" t="s">
        <v>58</v>
      </c>
      <c r="I1658" s="1" t="s">
        <v>486</v>
      </c>
      <c r="J1658" s="1"/>
      <c r="K1658" s="1" t="s">
        <v>23</v>
      </c>
      <c r="L1658" s="1" t="s">
        <v>8359</v>
      </c>
      <c r="M1658" s="1">
        <v>0.0</v>
      </c>
      <c r="N1658" s="1">
        <v>1.0</v>
      </c>
      <c r="O1658" s="1" t="s">
        <v>351</v>
      </c>
      <c r="P1658" s="1" t="s">
        <v>488</v>
      </c>
      <c r="Q1658" s="2" t="str">
        <f t="shared" si="1"/>
        <v>H006213</v>
      </c>
    </row>
    <row r="1659">
      <c r="A1659" s="1" t="s">
        <v>8360</v>
      </c>
      <c r="B1659" s="1" t="s">
        <v>8361</v>
      </c>
      <c r="C1659" s="1" t="s">
        <v>8362</v>
      </c>
      <c r="D1659" s="1" t="s">
        <v>8363</v>
      </c>
      <c r="E1659" s="1">
        <v>2535.0</v>
      </c>
      <c r="F1659" s="1" t="s">
        <v>351</v>
      </c>
      <c r="G1659" s="1" t="s">
        <v>57</v>
      </c>
      <c r="H1659" s="1" t="s">
        <v>58</v>
      </c>
      <c r="I1659" s="1" t="s">
        <v>486</v>
      </c>
      <c r="J1659" s="1"/>
      <c r="K1659" s="1" t="s">
        <v>23</v>
      </c>
      <c r="L1659" s="1" t="s">
        <v>8364</v>
      </c>
      <c r="M1659" s="1">
        <v>0.0</v>
      </c>
      <c r="N1659" s="1">
        <v>1.0</v>
      </c>
      <c r="O1659" s="1" t="s">
        <v>351</v>
      </c>
      <c r="P1659" s="1" t="s">
        <v>488</v>
      </c>
      <c r="Q1659" s="2" t="str">
        <f t="shared" si="1"/>
        <v>H006213</v>
      </c>
    </row>
    <row r="1660">
      <c r="A1660" s="1" t="s">
        <v>8365</v>
      </c>
      <c r="B1660" s="1" t="s">
        <v>8366</v>
      </c>
      <c r="C1660" s="1" t="s">
        <v>8367</v>
      </c>
      <c r="D1660" s="1" t="s">
        <v>8368</v>
      </c>
      <c r="E1660" s="1">
        <v>3687.0</v>
      </c>
      <c r="F1660" s="1" t="s">
        <v>382</v>
      </c>
      <c r="G1660" s="1" t="s">
        <v>107</v>
      </c>
      <c r="H1660" s="1" t="s">
        <v>108</v>
      </c>
      <c r="I1660" s="1" t="s">
        <v>486</v>
      </c>
      <c r="J1660" s="1"/>
      <c r="K1660" s="1" t="s">
        <v>23</v>
      </c>
      <c r="L1660" s="1" t="s">
        <v>8369</v>
      </c>
      <c r="M1660" s="1">
        <v>0.0</v>
      </c>
      <c r="N1660" s="1">
        <v>1.0</v>
      </c>
      <c r="O1660" s="1" t="s">
        <v>382</v>
      </c>
      <c r="P1660" s="1" t="s">
        <v>488</v>
      </c>
      <c r="Q1660" s="2" t="str">
        <f t="shared" si="1"/>
        <v>H006863</v>
      </c>
    </row>
    <row r="1661">
      <c r="A1661" s="1" t="s">
        <v>8370</v>
      </c>
      <c r="B1661" s="1" t="s">
        <v>8371</v>
      </c>
      <c r="C1661" s="1" t="s">
        <v>8372</v>
      </c>
      <c r="D1661" s="1" t="s">
        <v>8373</v>
      </c>
      <c r="E1661" s="1">
        <v>2298.0</v>
      </c>
      <c r="F1661" s="1" t="s">
        <v>382</v>
      </c>
      <c r="G1661" s="1" t="s">
        <v>119</v>
      </c>
      <c r="H1661" s="1" t="s">
        <v>120</v>
      </c>
      <c r="I1661" s="1" t="s">
        <v>486</v>
      </c>
      <c r="J1661" s="1"/>
      <c r="K1661" s="1" t="s">
        <v>23</v>
      </c>
      <c r="L1661" s="1" t="s">
        <v>8374</v>
      </c>
      <c r="M1661" s="1">
        <v>3.0</v>
      </c>
      <c r="N1661" s="1">
        <v>1.0</v>
      </c>
      <c r="O1661" s="1" t="s">
        <v>382</v>
      </c>
      <c r="P1661" s="1" t="s">
        <v>488</v>
      </c>
      <c r="Q1661" s="2" t="str">
        <f t="shared" si="1"/>
        <v>H006510</v>
      </c>
    </row>
    <row r="1662">
      <c r="A1662" s="1" t="s">
        <v>8375</v>
      </c>
      <c r="B1662" s="1" t="s">
        <v>8376</v>
      </c>
      <c r="C1662" s="1" t="s">
        <v>8377</v>
      </c>
      <c r="D1662" s="1" t="s">
        <v>8378</v>
      </c>
      <c r="E1662" s="1">
        <v>108.0</v>
      </c>
      <c r="F1662" s="1" t="s">
        <v>315</v>
      </c>
      <c r="G1662" s="1">
        <v>841329.0</v>
      </c>
      <c r="H1662" s="1" t="s">
        <v>1848</v>
      </c>
      <c r="I1662" s="1" t="s">
        <v>1051</v>
      </c>
      <c r="J1662" s="1"/>
      <c r="K1662" s="1" t="s">
        <v>23</v>
      </c>
      <c r="L1662" s="1" t="s">
        <v>8379</v>
      </c>
      <c r="M1662" s="1">
        <v>1.0</v>
      </c>
      <c r="N1662" s="1">
        <v>0.0</v>
      </c>
      <c r="O1662" s="1" t="s">
        <v>315</v>
      </c>
      <c r="P1662" s="1" t="s">
        <v>25</v>
      </c>
      <c r="Q1662" s="2" t="str">
        <f t="shared" si="1"/>
        <v>H004042</v>
      </c>
    </row>
    <row r="1663">
      <c r="A1663" s="1" t="s">
        <v>8380</v>
      </c>
      <c r="B1663" s="1" t="s">
        <v>8381</v>
      </c>
      <c r="C1663" s="1" t="s">
        <v>8382</v>
      </c>
      <c r="D1663" s="1" t="s">
        <v>8383</v>
      </c>
      <c r="E1663" s="1">
        <v>5311.0</v>
      </c>
      <c r="F1663" s="1" t="s">
        <v>288</v>
      </c>
      <c r="G1663" s="1">
        <v>859767.0</v>
      </c>
      <c r="H1663" s="1" t="s">
        <v>2565</v>
      </c>
      <c r="I1663" s="1" t="s">
        <v>1051</v>
      </c>
      <c r="J1663" s="1"/>
      <c r="K1663" s="1" t="s">
        <v>23</v>
      </c>
      <c r="L1663" s="1" t="s">
        <v>8384</v>
      </c>
      <c r="M1663" s="1">
        <v>1.0</v>
      </c>
      <c r="N1663" s="1">
        <v>1.0</v>
      </c>
      <c r="O1663" s="1" t="s">
        <v>288</v>
      </c>
      <c r="P1663" s="1" t="s">
        <v>488</v>
      </c>
      <c r="Q1663" s="2" t="str">
        <f t="shared" si="1"/>
        <v>H004588</v>
      </c>
    </row>
    <row r="1664">
      <c r="A1664" s="1" t="s">
        <v>8385</v>
      </c>
      <c r="B1664" s="1" t="s">
        <v>8386</v>
      </c>
      <c r="C1664" s="1" t="s">
        <v>8387</v>
      </c>
      <c r="D1664" s="1" t="s">
        <v>8388</v>
      </c>
      <c r="E1664" s="1">
        <v>4217.0</v>
      </c>
      <c r="F1664" s="1" t="s">
        <v>351</v>
      </c>
      <c r="G1664" s="1" t="s">
        <v>208</v>
      </c>
      <c r="H1664" s="1" t="s">
        <v>209</v>
      </c>
      <c r="I1664" s="1" t="s">
        <v>486</v>
      </c>
      <c r="J1664" s="1"/>
      <c r="K1664" s="1" t="s">
        <v>23</v>
      </c>
      <c r="L1664" s="1" t="s">
        <v>8389</v>
      </c>
      <c r="M1664" s="1">
        <v>1.0</v>
      </c>
      <c r="N1664" s="1">
        <v>1.0</v>
      </c>
      <c r="O1664" s="1" t="s">
        <v>351</v>
      </c>
      <c r="P1664" s="1" t="s">
        <v>488</v>
      </c>
      <c r="Q1664" s="2" t="str">
        <f t="shared" si="1"/>
        <v>H006689</v>
      </c>
    </row>
    <row r="1665">
      <c r="A1665" s="1" t="s">
        <v>8390</v>
      </c>
      <c r="B1665" s="1" t="s">
        <v>8391</v>
      </c>
      <c r="C1665" s="1" t="s">
        <v>8392</v>
      </c>
      <c r="D1665" s="1" t="s">
        <v>8393</v>
      </c>
      <c r="E1665" s="1">
        <v>5707.0</v>
      </c>
      <c r="F1665" s="1" t="s">
        <v>351</v>
      </c>
      <c r="G1665" s="1" t="s">
        <v>208</v>
      </c>
      <c r="H1665" s="1" t="s">
        <v>209</v>
      </c>
      <c r="I1665" s="1" t="s">
        <v>486</v>
      </c>
      <c r="J1665" s="1"/>
      <c r="K1665" s="1" t="s">
        <v>23</v>
      </c>
      <c r="L1665" s="1" t="s">
        <v>8394</v>
      </c>
      <c r="M1665" s="1">
        <v>1.0</v>
      </c>
      <c r="N1665" s="1">
        <v>1.0</v>
      </c>
      <c r="O1665" s="1" t="s">
        <v>351</v>
      </c>
      <c r="P1665" s="1" t="s">
        <v>488</v>
      </c>
      <c r="Q1665" s="2" t="str">
        <f t="shared" si="1"/>
        <v>H006689</v>
      </c>
    </row>
    <row r="1666">
      <c r="A1666" s="1" t="s">
        <v>8395</v>
      </c>
      <c r="B1666" s="1" t="s">
        <v>8396</v>
      </c>
      <c r="C1666" s="1" t="s">
        <v>8397</v>
      </c>
      <c r="D1666" s="1" t="s">
        <v>8398</v>
      </c>
      <c r="E1666" s="1">
        <v>5090.0</v>
      </c>
      <c r="F1666" s="1" t="s">
        <v>351</v>
      </c>
      <c r="G1666" s="1" t="s">
        <v>260</v>
      </c>
      <c r="H1666" s="1" t="s">
        <v>261</v>
      </c>
      <c r="I1666" s="1" t="s">
        <v>486</v>
      </c>
      <c r="J1666" s="1"/>
      <c r="K1666" s="1" t="s">
        <v>23</v>
      </c>
      <c r="L1666" s="1" t="s">
        <v>8399</v>
      </c>
      <c r="M1666" s="1">
        <v>1.0</v>
      </c>
      <c r="N1666" s="1">
        <v>1.0</v>
      </c>
      <c r="O1666" s="1" t="s">
        <v>351</v>
      </c>
      <c r="P1666" s="1" t="s">
        <v>488</v>
      </c>
      <c r="Q1666" s="2" t="str">
        <f t="shared" si="1"/>
        <v>H006689</v>
      </c>
    </row>
    <row r="1667">
      <c r="A1667" s="1" t="s">
        <v>8400</v>
      </c>
      <c r="B1667" s="1" t="s">
        <v>8401</v>
      </c>
      <c r="C1667" s="1" t="s">
        <v>8402</v>
      </c>
      <c r="D1667" s="1" t="s">
        <v>8403</v>
      </c>
      <c r="E1667" s="1">
        <v>5576.0</v>
      </c>
      <c r="F1667" s="1" t="s">
        <v>351</v>
      </c>
      <c r="G1667" s="1" t="s">
        <v>260</v>
      </c>
      <c r="H1667" s="1" t="s">
        <v>261</v>
      </c>
      <c r="I1667" s="1" t="s">
        <v>486</v>
      </c>
      <c r="J1667" s="1"/>
      <c r="K1667" s="1" t="s">
        <v>23</v>
      </c>
      <c r="L1667" s="1" t="s">
        <v>8404</v>
      </c>
      <c r="M1667" s="1">
        <v>1.0</v>
      </c>
      <c r="N1667" s="1">
        <v>1.0</v>
      </c>
      <c r="O1667" s="1" t="s">
        <v>351</v>
      </c>
      <c r="P1667" s="1" t="s">
        <v>488</v>
      </c>
      <c r="Q1667" s="2" t="str">
        <f t="shared" si="1"/>
        <v>H006689</v>
      </c>
    </row>
    <row r="1668">
      <c r="A1668" s="1" t="s">
        <v>8405</v>
      </c>
      <c r="B1668" s="1" t="s">
        <v>8406</v>
      </c>
      <c r="C1668" s="1" t="s">
        <v>8407</v>
      </c>
      <c r="D1668" s="1" t="s">
        <v>8408</v>
      </c>
      <c r="E1668" s="1">
        <v>4215.0</v>
      </c>
      <c r="F1668" s="1" t="s">
        <v>398</v>
      </c>
      <c r="G1668" s="1" t="s">
        <v>232</v>
      </c>
      <c r="H1668" s="1" t="s">
        <v>233</v>
      </c>
      <c r="I1668" s="1" t="s">
        <v>1112</v>
      </c>
      <c r="J1668" s="1"/>
      <c r="K1668" s="1" t="s">
        <v>23</v>
      </c>
      <c r="L1668" s="1" t="s">
        <v>8409</v>
      </c>
      <c r="M1668" s="1">
        <v>0.0</v>
      </c>
      <c r="N1668" s="1">
        <v>1.0</v>
      </c>
      <c r="O1668" s="1" t="s">
        <v>398</v>
      </c>
      <c r="P1668" s="1" t="s">
        <v>488</v>
      </c>
      <c r="Q1668" s="2" t="str">
        <f t="shared" si="1"/>
        <v>H030747</v>
      </c>
    </row>
    <row r="1669">
      <c r="A1669" s="1" t="s">
        <v>8410</v>
      </c>
      <c r="B1669" s="1" t="s">
        <v>8411</v>
      </c>
      <c r="C1669" s="1" t="s">
        <v>8412</v>
      </c>
      <c r="D1669" s="1" t="s">
        <v>8413</v>
      </c>
      <c r="E1669" s="1">
        <v>3425.0</v>
      </c>
      <c r="F1669" s="1" t="s">
        <v>398</v>
      </c>
      <c r="G1669" s="1" t="s">
        <v>232</v>
      </c>
      <c r="H1669" s="1" t="s">
        <v>233</v>
      </c>
      <c r="I1669" s="1" t="s">
        <v>1112</v>
      </c>
      <c r="J1669" s="1"/>
      <c r="K1669" s="1" t="s">
        <v>23</v>
      </c>
      <c r="L1669" s="1" t="s">
        <v>8414</v>
      </c>
      <c r="M1669" s="1">
        <v>0.0</v>
      </c>
      <c r="N1669" s="1">
        <v>1.0</v>
      </c>
      <c r="O1669" s="1" t="s">
        <v>398</v>
      </c>
      <c r="P1669" s="1" t="s">
        <v>488</v>
      </c>
      <c r="Q1669" s="2" t="str">
        <f t="shared" si="1"/>
        <v>H030747</v>
      </c>
    </row>
    <row r="1670">
      <c r="A1670" s="1" t="s">
        <v>8415</v>
      </c>
      <c r="B1670" s="1" t="s">
        <v>8416</v>
      </c>
      <c r="C1670" s="1" t="s">
        <v>8417</v>
      </c>
      <c r="D1670" s="1" t="s">
        <v>8418</v>
      </c>
      <c r="E1670" s="1">
        <v>4003.0</v>
      </c>
      <c r="F1670" s="1" t="s">
        <v>398</v>
      </c>
      <c r="G1670" s="1" t="s">
        <v>232</v>
      </c>
      <c r="H1670" s="1" t="s">
        <v>233</v>
      </c>
      <c r="I1670" s="1" t="s">
        <v>1112</v>
      </c>
      <c r="J1670" s="1"/>
      <c r="K1670" s="1" t="s">
        <v>23</v>
      </c>
      <c r="L1670" s="1" t="s">
        <v>8419</v>
      </c>
      <c r="M1670" s="1">
        <v>0.0</v>
      </c>
      <c r="N1670" s="1">
        <v>1.0</v>
      </c>
      <c r="O1670" s="1" t="s">
        <v>398</v>
      </c>
      <c r="P1670" s="1" t="s">
        <v>488</v>
      </c>
      <c r="Q1670" s="2" t="str">
        <f t="shared" si="1"/>
        <v>H030747</v>
      </c>
    </row>
    <row r="1671">
      <c r="A1671" s="1" t="s">
        <v>8420</v>
      </c>
      <c r="B1671" s="1" t="s">
        <v>8421</v>
      </c>
      <c r="C1671" s="1" t="s">
        <v>8422</v>
      </c>
      <c r="D1671" s="1" t="s">
        <v>8423</v>
      </c>
      <c r="E1671" s="1">
        <v>3045.0</v>
      </c>
      <c r="F1671" s="1" t="s">
        <v>351</v>
      </c>
      <c r="G1671" s="1" t="s">
        <v>57</v>
      </c>
      <c r="H1671" s="1" t="s">
        <v>58</v>
      </c>
      <c r="I1671" s="1" t="s">
        <v>486</v>
      </c>
      <c r="J1671" s="1"/>
      <c r="K1671" s="1" t="s">
        <v>23</v>
      </c>
      <c r="L1671" s="1" t="s">
        <v>8424</v>
      </c>
      <c r="M1671" s="1">
        <v>1.0</v>
      </c>
      <c r="N1671" s="1">
        <v>1.0</v>
      </c>
      <c r="O1671" s="1" t="s">
        <v>351</v>
      </c>
      <c r="P1671" s="1" t="s">
        <v>488</v>
      </c>
      <c r="Q1671" s="2" t="str">
        <f t="shared" si="1"/>
        <v>H006689</v>
      </c>
    </row>
    <row r="1672">
      <c r="A1672" s="1" t="s">
        <v>8425</v>
      </c>
      <c r="B1672" s="1" t="s">
        <v>8426</v>
      </c>
      <c r="C1672" s="1" t="s">
        <v>8427</v>
      </c>
      <c r="D1672" s="1" t="s">
        <v>8428</v>
      </c>
      <c r="E1672" s="1">
        <v>3108.0</v>
      </c>
      <c r="F1672" s="1" t="s">
        <v>351</v>
      </c>
      <c r="G1672" s="1" t="s">
        <v>57</v>
      </c>
      <c r="H1672" s="1" t="s">
        <v>58</v>
      </c>
      <c r="I1672" s="1" t="s">
        <v>486</v>
      </c>
      <c r="J1672" s="1"/>
      <c r="K1672" s="1" t="s">
        <v>23</v>
      </c>
      <c r="L1672" s="1" t="s">
        <v>8429</v>
      </c>
      <c r="M1672" s="1">
        <v>1.0</v>
      </c>
      <c r="N1672" s="1">
        <v>1.0</v>
      </c>
      <c r="O1672" s="1" t="s">
        <v>351</v>
      </c>
      <c r="P1672" s="1" t="s">
        <v>488</v>
      </c>
      <c r="Q1672" s="2" t="str">
        <f t="shared" si="1"/>
        <v>H006689</v>
      </c>
    </row>
    <row r="1673">
      <c r="A1673" s="1" t="s">
        <v>8430</v>
      </c>
      <c r="B1673" s="1" t="s">
        <v>8431</v>
      </c>
      <c r="C1673" s="1" t="s">
        <v>8432</v>
      </c>
      <c r="D1673" s="1" t="s">
        <v>8433</v>
      </c>
      <c r="E1673" s="1">
        <v>3880.0</v>
      </c>
      <c r="F1673" s="1" t="s">
        <v>351</v>
      </c>
      <c r="G1673" s="1" t="s">
        <v>57</v>
      </c>
      <c r="H1673" s="1" t="s">
        <v>58</v>
      </c>
      <c r="I1673" s="1" t="s">
        <v>486</v>
      </c>
      <c r="J1673" s="1"/>
      <c r="K1673" s="1" t="s">
        <v>23</v>
      </c>
      <c r="L1673" s="1" t="s">
        <v>8434</v>
      </c>
      <c r="M1673" s="1">
        <v>1.0</v>
      </c>
      <c r="N1673" s="1">
        <v>1.0</v>
      </c>
      <c r="O1673" s="1" t="s">
        <v>351</v>
      </c>
      <c r="P1673" s="1" t="s">
        <v>488</v>
      </c>
      <c r="Q1673" s="2" t="str">
        <f t="shared" si="1"/>
        <v>H006689</v>
      </c>
    </row>
    <row r="1674">
      <c r="A1674" s="1" t="s">
        <v>8435</v>
      </c>
      <c r="B1674" s="1" t="s">
        <v>8436</v>
      </c>
      <c r="C1674" s="1" t="s">
        <v>8437</v>
      </c>
      <c r="D1674" s="1" t="s">
        <v>8438</v>
      </c>
      <c r="E1674" s="1">
        <v>4614.0</v>
      </c>
      <c r="F1674" s="1" t="s">
        <v>398</v>
      </c>
      <c r="G1674" s="1" t="s">
        <v>179</v>
      </c>
      <c r="H1674" s="1" t="s">
        <v>180</v>
      </c>
      <c r="I1674" s="1" t="s">
        <v>1112</v>
      </c>
      <c r="J1674" s="1"/>
      <c r="K1674" s="1" t="s">
        <v>23</v>
      </c>
      <c r="L1674" s="1" t="s">
        <v>8439</v>
      </c>
      <c r="M1674" s="1">
        <v>0.0</v>
      </c>
      <c r="N1674" s="1">
        <v>1.0</v>
      </c>
      <c r="O1674" s="1" t="s">
        <v>398</v>
      </c>
      <c r="P1674" s="1" t="s">
        <v>488</v>
      </c>
      <c r="Q1674" s="2" t="str">
        <f t="shared" si="1"/>
        <v>H030747</v>
      </c>
    </row>
    <row r="1675">
      <c r="A1675" s="1" t="s">
        <v>8440</v>
      </c>
      <c r="B1675" s="1" t="s">
        <v>8441</v>
      </c>
      <c r="C1675" s="1" t="s">
        <v>8442</v>
      </c>
      <c r="D1675" s="1" t="s">
        <v>8443</v>
      </c>
      <c r="E1675" s="1">
        <v>3869.0</v>
      </c>
      <c r="F1675" s="1" t="s">
        <v>398</v>
      </c>
      <c r="G1675" s="1" t="s">
        <v>179</v>
      </c>
      <c r="H1675" s="1" t="s">
        <v>180</v>
      </c>
      <c r="I1675" s="1" t="s">
        <v>1112</v>
      </c>
      <c r="J1675" s="1"/>
      <c r="K1675" s="1" t="s">
        <v>23</v>
      </c>
      <c r="L1675" s="1" t="s">
        <v>8444</v>
      </c>
      <c r="M1675" s="1">
        <v>0.0</v>
      </c>
      <c r="N1675" s="1">
        <v>1.0</v>
      </c>
      <c r="O1675" s="1" t="s">
        <v>398</v>
      </c>
      <c r="P1675" s="1" t="s">
        <v>488</v>
      </c>
      <c r="Q1675" s="2" t="str">
        <f t="shared" si="1"/>
        <v>H030747</v>
      </c>
    </row>
    <row r="1676">
      <c r="A1676" s="1" t="s">
        <v>8445</v>
      </c>
      <c r="B1676" s="1" t="s">
        <v>8446</v>
      </c>
      <c r="C1676" s="1" t="s">
        <v>8447</v>
      </c>
      <c r="D1676" s="1" t="s">
        <v>8448</v>
      </c>
      <c r="E1676" s="1">
        <v>4356.0</v>
      </c>
      <c r="F1676" s="1" t="s">
        <v>398</v>
      </c>
      <c r="G1676" s="1" t="s">
        <v>179</v>
      </c>
      <c r="H1676" s="1" t="s">
        <v>180</v>
      </c>
      <c r="I1676" s="1" t="s">
        <v>1112</v>
      </c>
      <c r="J1676" s="1"/>
      <c r="K1676" s="1" t="s">
        <v>23</v>
      </c>
      <c r="L1676" s="1" t="s">
        <v>8449</v>
      </c>
      <c r="M1676" s="1">
        <v>0.0</v>
      </c>
      <c r="N1676" s="1">
        <v>1.0</v>
      </c>
      <c r="O1676" s="1" t="s">
        <v>398</v>
      </c>
      <c r="P1676" s="1" t="s">
        <v>488</v>
      </c>
      <c r="Q1676" s="2" t="str">
        <f t="shared" si="1"/>
        <v>H030747</v>
      </c>
    </row>
    <row r="1677">
      <c r="A1677" s="1" t="s">
        <v>8450</v>
      </c>
      <c r="B1677" s="1" t="s">
        <v>8451</v>
      </c>
      <c r="C1677" s="1" t="s">
        <v>8452</v>
      </c>
      <c r="D1677" s="1" t="s">
        <v>8453</v>
      </c>
      <c r="E1677" s="1">
        <v>2406.0</v>
      </c>
      <c r="F1677" s="1" t="s">
        <v>398</v>
      </c>
      <c r="G1677" s="1" t="s">
        <v>155</v>
      </c>
      <c r="H1677" s="1" t="s">
        <v>156</v>
      </c>
      <c r="I1677" s="1" t="s">
        <v>1112</v>
      </c>
      <c r="J1677" s="1"/>
      <c r="K1677" s="1" t="s">
        <v>23</v>
      </c>
      <c r="L1677" s="1" t="s">
        <v>8454</v>
      </c>
      <c r="M1677" s="1">
        <v>0.0</v>
      </c>
      <c r="N1677" s="1">
        <v>1.0</v>
      </c>
      <c r="O1677" s="1" t="s">
        <v>398</v>
      </c>
      <c r="P1677" s="1" t="s">
        <v>488</v>
      </c>
      <c r="Q1677" s="2" t="str">
        <f t="shared" si="1"/>
        <v>H030747</v>
      </c>
    </row>
    <row r="1678">
      <c r="A1678" s="1" t="s">
        <v>8455</v>
      </c>
      <c r="B1678" s="1" t="s">
        <v>8456</v>
      </c>
      <c r="C1678" s="1" t="s">
        <v>8457</v>
      </c>
      <c r="D1678" s="1" t="s">
        <v>8458</v>
      </c>
      <c r="E1678" s="1">
        <v>3394.0</v>
      </c>
      <c r="F1678" s="1" t="s">
        <v>398</v>
      </c>
      <c r="G1678" s="1" t="s">
        <v>155</v>
      </c>
      <c r="H1678" s="1" t="s">
        <v>156</v>
      </c>
      <c r="I1678" s="1" t="s">
        <v>1112</v>
      </c>
      <c r="J1678" s="1"/>
      <c r="K1678" s="1" t="s">
        <v>23</v>
      </c>
      <c r="L1678" s="1" t="s">
        <v>8459</v>
      </c>
      <c r="M1678" s="1">
        <v>0.0</v>
      </c>
      <c r="N1678" s="1">
        <v>1.0</v>
      </c>
      <c r="O1678" s="1" t="s">
        <v>398</v>
      </c>
      <c r="P1678" s="1" t="s">
        <v>488</v>
      </c>
      <c r="Q1678" s="2" t="str">
        <f t="shared" si="1"/>
        <v>H030747</v>
      </c>
    </row>
    <row r="1679">
      <c r="A1679" s="1" t="s">
        <v>8460</v>
      </c>
      <c r="B1679" s="1" t="s">
        <v>8461</v>
      </c>
      <c r="C1679" s="1" t="s">
        <v>8462</v>
      </c>
      <c r="D1679" s="1" t="s">
        <v>8463</v>
      </c>
      <c r="E1679" s="1">
        <v>5950.0</v>
      </c>
      <c r="F1679" s="1" t="s">
        <v>398</v>
      </c>
      <c r="G1679" s="1" t="s">
        <v>155</v>
      </c>
      <c r="H1679" s="1" t="s">
        <v>156</v>
      </c>
      <c r="I1679" s="1" t="s">
        <v>1112</v>
      </c>
      <c r="J1679" s="1"/>
      <c r="K1679" s="1" t="s">
        <v>23</v>
      </c>
      <c r="L1679" s="1" t="s">
        <v>8464</v>
      </c>
      <c r="M1679" s="1">
        <v>0.0</v>
      </c>
      <c r="N1679" s="1">
        <v>1.0</v>
      </c>
      <c r="O1679" s="1" t="s">
        <v>398</v>
      </c>
      <c r="P1679" s="1" t="s">
        <v>488</v>
      </c>
      <c r="Q1679" s="2" t="str">
        <f t="shared" si="1"/>
        <v>H030747</v>
      </c>
    </row>
    <row r="1680">
      <c r="A1680" s="1" t="s">
        <v>8465</v>
      </c>
      <c r="B1680" s="1" t="s">
        <v>8466</v>
      </c>
      <c r="C1680" s="1" t="s">
        <v>8467</v>
      </c>
      <c r="D1680" s="1" t="s">
        <v>8468</v>
      </c>
      <c r="E1680" s="1">
        <v>262.0</v>
      </c>
      <c r="F1680" s="1" t="s">
        <v>382</v>
      </c>
      <c r="G1680" s="1" t="s">
        <v>474</v>
      </c>
      <c r="H1680" s="1" t="s">
        <v>475</v>
      </c>
      <c r="I1680" s="1" t="s">
        <v>486</v>
      </c>
      <c r="J1680" s="1"/>
      <c r="K1680" s="1" t="s">
        <v>23</v>
      </c>
      <c r="L1680" s="1" t="s">
        <v>8469</v>
      </c>
      <c r="M1680" s="1">
        <v>1.0</v>
      </c>
      <c r="N1680" s="1">
        <v>0.0</v>
      </c>
      <c r="O1680" s="1" t="s">
        <v>382</v>
      </c>
      <c r="P1680" s="1" t="s">
        <v>25</v>
      </c>
      <c r="Q1680" s="2" t="str">
        <f t="shared" si="1"/>
        <v>H006417</v>
      </c>
    </row>
    <row r="1681">
      <c r="A1681" s="1" t="s">
        <v>8470</v>
      </c>
      <c r="B1681" s="1" t="s">
        <v>8471</v>
      </c>
      <c r="C1681" s="1" t="s">
        <v>8472</v>
      </c>
      <c r="D1681" s="1" t="s">
        <v>8473</v>
      </c>
      <c r="E1681" s="1">
        <v>525.0</v>
      </c>
      <c r="F1681" s="1" t="s">
        <v>382</v>
      </c>
      <c r="G1681" s="1" t="s">
        <v>474</v>
      </c>
      <c r="H1681" s="1" t="s">
        <v>475</v>
      </c>
      <c r="I1681" s="1" t="s">
        <v>486</v>
      </c>
      <c r="J1681" s="1"/>
      <c r="K1681" s="1" t="s">
        <v>23</v>
      </c>
      <c r="L1681" s="1" t="s">
        <v>8474</v>
      </c>
      <c r="M1681" s="1">
        <v>1.0</v>
      </c>
      <c r="N1681" s="1">
        <v>0.0</v>
      </c>
      <c r="O1681" s="1" t="s">
        <v>382</v>
      </c>
      <c r="P1681" s="1" t="s">
        <v>25</v>
      </c>
      <c r="Q1681" s="2" t="str">
        <f t="shared" si="1"/>
        <v>H006417</v>
      </c>
    </row>
    <row r="1682">
      <c r="A1682" s="1" t="s">
        <v>8475</v>
      </c>
      <c r="B1682" s="1" t="s">
        <v>8476</v>
      </c>
      <c r="C1682" s="1" t="s">
        <v>8477</v>
      </c>
      <c r="D1682" s="1" t="s">
        <v>8478</v>
      </c>
      <c r="E1682" s="1">
        <v>4501.0</v>
      </c>
      <c r="F1682" s="1" t="s">
        <v>498</v>
      </c>
      <c r="G1682" s="1" t="s">
        <v>220</v>
      </c>
      <c r="H1682" s="1" t="s">
        <v>221</v>
      </c>
      <c r="I1682" s="1" t="s">
        <v>1112</v>
      </c>
      <c r="J1682" s="1"/>
      <c r="K1682" s="1" t="s">
        <v>23</v>
      </c>
      <c r="L1682" s="1" t="s">
        <v>8479</v>
      </c>
      <c r="M1682" s="1">
        <v>0.0</v>
      </c>
      <c r="N1682" s="1">
        <v>1.0</v>
      </c>
      <c r="O1682" s="1" t="s">
        <v>498</v>
      </c>
      <c r="P1682" s="1" t="s">
        <v>488</v>
      </c>
      <c r="Q1682" s="2" t="str">
        <f t="shared" si="1"/>
        <v>H030837</v>
      </c>
    </row>
    <row r="1683">
      <c r="A1683" s="1" t="s">
        <v>8480</v>
      </c>
      <c r="B1683" s="1" t="s">
        <v>8481</v>
      </c>
      <c r="C1683" s="1" t="s">
        <v>8482</v>
      </c>
      <c r="D1683" s="1" t="s">
        <v>8483</v>
      </c>
      <c r="E1683" s="1">
        <v>3256.0</v>
      </c>
      <c r="F1683" s="1" t="s">
        <v>498</v>
      </c>
      <c r="G1683" s="1" t="s">
        <v>220</v>
      </c>
      <c r="H1683" s="1" t="s">
        <v>221</v>
      </c>
      <c r="I1683" s="1" t="s">
        <v>1112</v>
      </c>
      <c r="J1683" s="1"/>
      <c r="K1683" s="1" t="s">
        <v>23</v>
      </c>
      <c r="L1683" s="1" t="s">
        <v>8484</v>
      </c>
      <c r="M1683" s="1">
        <v>0.0</v>
      </c>
      <c r="N1683" s="1">
        <v>1.0</v>
      </c>
      <c r="O1683" s="1" t="s">
        <v>498</v>
      </c>
      <c r="P1683" s="1" t="s">
        <v>488</v>
      </c>
      <c r="Q1683" s="2" t="str">
        <f t="shared" si="1"/>
        <v>H030837</v>
      </c>
    </row>
    <row r="1684">
      <c r="A1684" s="1" t="s">
        <v>8485</v>
      </c>
      <c r="B1684" s="1" t="s">
        <v>8486</v>
      </c>
      <c r="C1684" s="1" t="s">
        <v>8487</v>
      </c>
      <c r="D1684" s="1" t="s">
        <v>8488</v>
      </c>
      <c r="E1684" s="1">
        <v>5533.0</v>
      </c>
      <c r="F1684" s="1" t="s">
        <v>498</v>
      </c>
      <c r="G1684" s="1" t="s">
        <v>167</v>
      </c>
      <c r="H1684" s="1" t="s">
        <v>168</v>
      </c>
      <c r="I1684" s="1" t="s">
        <v>1112</v>
      </c>
      <c r="J1684" s="1"/>
      <c r="K1684" s="1" t="s">
        <v>23</v>
      </c>
      <c r="L1684" s="1" t="s">
        <v>8489</v>
      </c>
      <c r="M1684" s="1">
        <v>0.0</v>
      </c>
      <c r="N1684" s="1">
        <v>1.0</v>
      </c>
      <c r="O1684" s="1" t="s">
        <v>498</v>
      </c>
      <c r="P1684" s="1" t="s">
        <v>488</v>
      </c>
      <c r="Q1684" s="2" t="str">
        <f t="shared" si="1"/>
        <v>H030837</v>
      </c>
    </row>
    <row r="1685">
      <c r="A1685" s="1" t="s">
        <v>8490</v>
      </c>
      <c r="B1685" s="1" t="s">
        <v>8491</v>
      </c>
      <c r="C1685" s="1" t="s">
        <v>8492</v>
      </c>
      <c r="D1685" s="1" t="s">
        <v>8493</v>
      </c>
      <c r="E1685" s="1">
        <v>4737.0</v>
      </c>
      <c r="F1685" s="1" t="s">
        <v>288</v>
      </c>
      <c r="G1685" s="1">
        <v>859767.0</v>
      </c>
      <c r="H1685" s="1" t="s">
        <v>2565</v>
      </c>
      <c r="I1685" s="1" t="s">
        <v>1051</v>
      </c>
      <c r="J1685" s="1"/>
      <c r="K1685" s="1" t="s">
        <v>23</v>
      </c>
      <c r="L1685" s="1" t="s">
        <v>8494</v>
      </c>
      <c r="M1685" s="1">
        <v>3.0</v>
      </c>
      <c r="N1685" s="1">
        <v>1.0</v>
      </c>
      <c r="O1685" s="1" t="s">
        <v>288</v>
      </c>
      <c r="P1685" s="1" t="s">
        <v>488</v>
      </c>
      <c r="Q1685" s="2" t="str">
        <f t="shared" si="1"/>
        <v>H004344</v>
      </c>
    </row>
    <row r="1686">
      <c r="A1686" s="1" t="s">
        <v>8495</v>
      </c>
      <c r="B1686" s="1" t="s">
        <v>8496</v>
      </c>
      <c r="C1686" s="1" t="s">
        <v>8497</v>
      </c>
      <c r="D1686" s="1" t="s">
        <v>8498</v>
      </c>
      <c r="E1686" s="1">
        <v>4308.0</v>
      </c>
      <c r="F1686" s="1" t="s">
        <v>288</v>
      </c>
      <c r="G1686" s="1">
        <v>859767.0</v>
      </c>
      <c r="H1686" s="1" t="s">
        <v>2565</v>
      </c>
      <c r="I1686" s="1" t="s">
        <v>1051</v>
      </c>
      <c r="J1686" s="1"/>
      <c r="K1686" s="1" t="s">
        <v>23</v>
      </c>
      <c r="L1686" s="1" t="s">
        <v>8499</v>
      </c>
      <c r="M1686" s="1">
        <v>1.0</v>
      </c>
      <c r="N1686" s="1">
        <v>1.0</v>
      </c>
      <c r="O1686" s="1" t="s">
        <v>288</v>
      </c>
      <c r="P1686" s="1" t="s">
        <v>488</v>
      </c>
      <c r="Q1686" s="2" t="str">
        <f t="shared" si="1"/>
        <v>H004588</v>
      </c>
    </row>
    <row r="1687">
      <c r="A1687" s="1" t="s">
        <v>8500</v>
      </c>
      <c r="B1687" s="1" t="s">
        <v>8501</v>
      </c>
      <c r="C1687" s="1" t="s">
        <v>8502</v>
      </c>
      <c r="D1687" s="1" t="s">
        <v>8503</v>
      </c>
      <c r="E1687" s="1">
        <v>3020.0</v>
      </c>
      <c r="F1687" s="1" t="s">
        <v>288</v>
      </c>
      <c r="G1687" s="1">
        <v>859767.0</v>
      </c>
      <c r="H1687" s="1" t="s">
        <v>2565</v>
      </c>
      <c r="I1687" s="1" t="s">
        <v>1051</v>
      </c>
      <c r="J1687" s="1"/>
      <c r="K1687" s="1" t="s">
        <v>23</v>
      </c>
      <c r="L1687" s="1" t="s">
        <v>8504</v>
      </c>
      <c r="M1687" s="1">
        <v>1.0</v>
      </c>
      <c r="N1687" s="1">
        <v>1.0</v>
      </c>
      <c r="O1687" s="1" t="s">
        <v>288</v>
      </c>
      <c r="P1687" s="1" t="s">
        <v>488</v>
      </c>
      <c r="Q1687" s="2" t="str">
        <f t="shared" si="1"/>
        <v>H004588</v>
      </c>
    </row>
    <row r="1688">
      <c r="A1688" s="1" t="s">
        <v>8505</v>
      </c>
      <c r="B1688" s="1" t="s">
        <v>8506</v>
      </c>
      <c r="C1688" s="1" t="s">
        <v>8507</v>
      </c>
      <c r="D1688" s="1" t="s">
        <v>8508</v>
      </c>
      <c r="E1688" s="1">
        <v>3329.0</v>
      </c>
      <c r="F1688" s="1" t="s">
        <v>315</v>
      </c>
      <c r="G1688" s="1">
        <v>555127.0</v>
      </c>
      <c r="H1688" s="1" t="s">
        <v>3047</v>
      </c>
      <c r="I1688" s="1" t="s">
        <v>1051</v>
      </c>
      <c r="J1688" s="1"/>
      <c r="K1688" s="1" t="s">
        <v>23</v>
      </c>
      <c r="L1688" s="1" t="s">
        <v>8509</v>
      </c>
      <c r="M1688" s="1">
        <v>0.0</v>
      </c>
      <c r="N1688" s="1">
        <v>1.0</v>
      </c>
      <c r="O1688" s="1" t="s">
        <v>315</v>
      </c>
      <c r="P1688" s="1" t="s">
        <v>488</v>
      </c>
      <c r="Q1688" s="2" t="str">
        <f t="shared" si="1"/>
        <v>H019227</v>
      </c>
    </row>
    <row r="1689">
      <c r="A1689" s="1" t="s">
        <v>8510</v>
      </c>
      <c r="B1689" s="1" t="s">
        <v>8511</v>
      </c>
      <c r="C1689" s="1" t="s">
        <v>8512</v>
      </c>
      <c r="D1689" s="1" t="s">
        <v>8513</v>
      </c>
      <c r="E1689" s="1">
        <v>2657.0</v>
      </c>
      <c r="F1689" s="1" t="s">
        <v>315</v>
      </c>
      <c r="G1689" s="1">
        <v>555127.0</v>
      </c>
      <c r="H1689" s="1" t="s">
        <v>3047</v>
      </c>
      <c r="I1689" s="1" t="s">
        <v>1051</v>
      </c>
      <c r="J1689" s="1"/>
      <c r="K1689" s="1" t="s">
        <v>23</v>
      </c>
      <c r="L1689" s="1" t="s">
        <v>8514</v>
      </c>
      <c r="M1689" s="1">
        <v>0.0</v>
      </c>
      <c r="N1689" s="1">
        <v>1.0</v>
      </c>
      <c r="O1689" s="1" t="s">
        <v>315</v>
      </c>
      <c r="P1689" s="1" t="s">
        <v>488</v>
      </c>
      <c r="Q1689" s="2" t="str">
        <f t="shared" si="1"/>
        <v>H019227</v>
      </c>
    </row>
    <row r="1690">
      <c r="A1690" s="1" t="s">
        <v>8515</v>
      </c>
      <c r="B1690" s="1" t="s">
        <v>8516</v>
      </c>
      <c r="C1690" s="1" t="s">
        <v>8517</v>
      </c>
      <c r="D1690" s="1" t="s">
        <v>8518</v>
      </c>
      <c r="E1690" s="1">
        <v>3275.0</v>
      </c>
      <c r="F1690" s="1" t="s">
        <v>288</v>
      </c>
      <c r="G1690" s="1">
        <v>729375.0</v>
      </c>
      <c r="H1690" s="1" t="s">
        <v>1050</v>
      </c>
      <c r="I1690" s="1" t="s">
        <v>1051</v>
      </c>
      <c r="J1690" s="1"/>
      <c r="K1690" s="1" t="s">
        <v>23</v>
      </c>
      <c r="L1690" s="1" t="s">
        <v>8519</v>
      </c>
      <c r="M1690" s="1">
        <v>2.0</v>
      </c>
      <c r="N1690" s="1">
        <v>1.0</v>
      </c>
      <c r="O1690" s="1" t="s">
        <v>288</v>
      </c>
      <c r="P1690" s="1" t="s">
        <v>488</v>
      </c>
      <c r="Q1690" s="2" t="str">
        <f t="shared" si="1"/>
        <v>H004579</v>
      </c>
    </row>
    <row r="1691">
      <c r="A1691" s="1" t="s">
        <v>8520</v>
      </c>
      <c r="B1691" s="1" t="s">
        <v>8521</v>
      </c>
      <c r="C1691" s="1" t="s">
        <v>8522</v>
      </c>
      <c r="D1691" s="1" t="s">
        <v>8523</v>
      </c>
      <c r="E1691" s="1">
        <v>5692.0</v>
      </c>
      <c r="F1691" s="1" t="s">
        <v>351</v>
      </c>
      <c r="G1691" s="1" t="s">
        <v>208</v>
      </c>
      <c r="H1691" s="1" t="s">
        <v>209</v>
      </c>
      <c r="I1691" s="1" t="s">
        <v>486</v>
      </c>
      <c r="J1691" s="1"/>
      <c r="K1691" s="1" t="s">
        <v>23</v>
      </c>
      <c r="L1691" s="1" t="s">
        <v>8524</v>
      </c>
      <c r="M1691" s="1">
        <v>2.0</v>
      </c>
      <c r="N1691" s="1">
        <v>1.0</v>
      </c>
      <c r="O1691" s="1" t="s">
        <v>351</v>
      </c>
      <c r="P1691" s="1" t="s">
        <v>488</v>
      </c>
      <c r="Q1691" s="2" t="str">
        <f t="shared" si="1"/>
        <v>H006809</v>
      </c>
    </row>
    <row r="1692">
      <c r="A1692" s="1" t="s">
        <v>8525</v>
      </c>
      <c r="B1692" s="1" t="s">
        <v>8526</v>
      </c>
      <c r="C1692" s="1" t="s">
        <v>8527</v>
      </c>
      <c r="D1692" s="1" t="s">
        <v>8528</v>
      </c>
      <c r="E1692" s="1">
        <v>8253.0</v>
      </c>
      <c r="F1692" s="1" t="s">
        <v>351</v>
      </c>
      <c r="G1692" s="1" t="s">
        <v>208</v>
      </c>
      <c r="H1692" s="1" t="s">
        <v>209</v>
      </c>
      <c r="I1692" s="1" t="s">
        <v>486</v>
      </c>
      <c r="J1692" s="1"/>
      <c r="K1692" s="1" t="s">
        <v>23</v>
      </c>
      <c r="L1692" s="1" t="s">
        <v>8529</v>
      </c>
      <c r="M1692" s="1">
        <v>2.0</v>
      </c>
      <c r="N1692" s="1">
        <v>1.0</v>
      </c>
      <c r="O1692" s="1" t="s">
        <v>351</v>
      </c>
      <c r="P1692" s="1" t="s">
        <v>488</v>
      </c>
      <c r="Q1692" s="2" t="str">
        <f t="shared" si="1"/>
        <v>H006809</v>
      </c>
    </row>
    <row r="1693">
      <c r="A1693" s="1" t="s">
        <v>8530</v>
      </c>
      <c r="B1693" s="1" t="s">
        <v>8531</v>
      </c>
      <c r="C1693" s="1" t="s">
        <v>8532</v>
      </c>
      <c r="D1693" s="1" t="s">
        <v>8533</v>
      </c>
      <c r="E1693" s="1">
        <v>5843.0</v>
      </c>
      <c r="F1693" s="1" t="s">
        <v>351</v>
      </c>
      <c r="G1693" s="1" t="s">
        <v>260</v>
      </c>
      <c r="H1693" s="1" t="s">
        <v>261</v>
      </c>
      <c r="I1693" s="1" t="s">
        <v>486</v>
      </c>
      <c r="J1693" s="1"/>
      <c r="K1693" s="1" t="s">
        <v>23</v>
      </c>
      <c r="L1693" s="1" t="s">
        <v>8534</v>
      </c>
      <c r="M1693" s="1">
        <v>2.0</v>
      </c>
      <c r="N1693" s="1">
        <v>1.0</v>
      </c>
      <c r="O1693" s="1" t="s">
        <v>351</v>
      </c>
      <c r="P1693" s="1" t="s">
        <v>488</v>
      </c>
      <c r="Q1693" s="2" t="str">
        <f t="shared" si="1"/>
        <v>H006809</v>
      </c>
    </row>
    <row r="1694">
      <c r="A1694" s="1" t="s">
        <v>8535</v>
      </c>
      <c r="B1694" s="1" t="s">
        <v>8536</v>
      </c>
      <c r="C1694" s="1" t="s">
        <v>8537</v>
      </c>
      <c r="D1694" s="1" t="s">
        <v>8538</v>
      </c>
      <c r="E1694" s="1">
        <v>3134.0</v>
      </c>
      <c r="F1694" s="1" t="s">
        <v>351</v>
      </c>
      <c r="G1694" s="1" t="s">
        <v>260</v>
      </c>
      <c r="H1694" s="1" t="s">
        <v>261</v>
      </c>
      <c r="I1694" s="1" t="s">
        <v>486</v>
      </c>
      <c r="J1694" s="1"/>
      <c r="K1694" s="1" t="s">
        <v>23</v>
      </c>
      <c r="L1694" s="1" t="s">
        <v>8539</v>
      </c>
      <c r="M1694" s="1">
        <v>2.0</v>
      </c>
      <c r="N1694" s="1">
        <v>1.0</v>
      </c>
      <c r="O1694" s="1" t="s">
        <v>351</v>
      </c>
      <c r="P1694" s="1" t="s">
        <v>488</v>
      </c>
      <c r="Q1694" s="2" t="str">
        <f t="shared" si="1"/>
        <v>H006809</v>
      </c>
    </row>
    <row r="1695">
      <c r="A1695" s="1" t="s">
        <v>8540</v>
      </c>
      <c r="B1695" s="1" t="s">
        <v>8541</v>
      </c>
      <c r="C1695" s="1" t="s">
        <v>8542</v>
      </c>
      <c r="D1695" s="1" t="s">
        <v>8543</v>
      </c>
      <c r="E1695" s="1">
        <v>4942.0</v>
      </c>
      <c r="F1695" s="1" t="s">
        <v>398</v>
      </c>
      <c r="G1695" s="1" t="s">
        <v>155</v>
      </c>
      <c r="H1695" s="1" t="s">
        <v>156</v>
      </c>
      <c r="I1695" s="1" t="s">
        <v>1112</v>
      </c>
      <c r="J1695" s="1"/>
      <c r="K1695" s="1" t="s">
        <v>23</v>
      </c>
      <c r="L1695" s="1" t="s">
        <v>8544</v>
      </c>
      <c r="M1695" s="1">
        <v>0.0</v>
      </c>
      <c r="N1695" s="1">
        <v>1.0</v>
      </c>
      <c r="O1695" s="1" t="s">
        <v>398</v>
      </c>
      <c r="P1695" s="1" t="s">
        <v>488</v>
      </c>
      <c r="Q1695" s="2" t="str">
        <f t="shared" si="1"/>
        <v>H030747</v>
      </c>
    </row>
    <row r="1696">
      <c r="A1696" s="1" t="s">
        <v>8545</v>
      </c>
      <c r="B1696" s="1" t="s">
        <v>8546</v>
      </c>
      <c r="C1696" s="1" t="s">
        <v>8547</v>
      </c>
      <c r="D1696" s="1" t="s">
        <v>8548</v>
      </c>
      <c r="E1696" s="1">
        <v>2947.0</v>
      </c>
      <c r="F1696" s="1" t="s">
        <v>398</v>
      </c>
      <c r="G1696" s="1" t="s">
        <v>155</v>
      </c>
      <c r="H1696" s="1" t="s">
        <v>156</v>
      </c>
      <c r="I1696" s="1" t="s">
        <v>1112</v>
      </c>
      <c r="J1696" s="1"/>
      <c r="K1696" s="1" t="s">
        <v>23</v>
      </c>
      <c r="L1696" s="1" t="s">
        <v>8549</v>
      </c>
      <c r="M1696" s="1">
        <v>1.0</v>
      </c>
      <c r="N1696" s="1">
        <v>1.0</v>
      </c>
      <c r="O1696" s="1" t="s">
        <v>398</v>
      </c>
      <c r="P1696" s="1" t="s">
        <v>488</v>
      </c>
      <c r="Q1696" s="2" t="str">
        <f t="shared" si="1"/>
        <v>H030832</v>
      </c>
    </row>
    <row r="1697">
      <c r="A1697" s="1" t="s">
        <v>8550</v>
      </c>
      <c r="B1697" s="1" t="s">
        <v>8551</v>
      </c>
      <c r="C1697" s="1" t="s">
        <v>8552</v>
      </c>
      <c r="D1697" s="1" t="s">
        <v>8553</v>
      </c>
      <c r="E1697" s="1">
        <v>3789.0</v>
      </c>
      <c r="F1697" s="1" t="s">
        <v>398</v>
      </c>
      <c r="G1697" s="1" t="s">
        <v>155</v>
      </c>
      <c r="H1697" s="1" t="s">
        <v>156</v>
      </c>
      <c r="I1697" s="1" t="s">
        <v>1112</v>
      </c>
      <c r="J1697" s="1"/>
      <c r="K1697" s="1" t="s">
        <v>23</v>
      </c>
      <c r="L1697" s="1" t="s">
        <v>8554</v>
      </c>
      <c r="M1697" s="1">
        <v>1.0</v>
      </c>
      <c r="N1697" s="1">
        <v>1.0</v>
      </c>
      <c r="O1697" s="1" t="s">
        <v>398</v>
      </c>
      <c r="P1697" s="1" t="s">
        <v>488</v>
      </c>
      <c r="Q1697" s="2" t="str">
        <f t="shared" si="1"/>
        <v>H030832</v>
      </c>
    </row>
    <row r="1698">
      <c r="A1698" s="1" t="s">
        <v>8555</v>
      </c>
      <c r="B1698" s="1" t="s">
        <v>8556</v>
      </c>
      <c r="C1698" s="1" t="s">
        <v>8557</v>
      </c>
      <c r="D1698" s="1" t="s">
        <v>8558</v>
      </c>
      <c r="E1698" s="1">
        <v>3313.0</v>
      </c>
      <c r="F1698" s="1" t="s">
        <v>398</v>
      </c>
      <c r="G1698" s="1" t="s">
        <v>155</v>
      </c>
      <c r="H1698" s="1" t="s">
        <v>156</v>
      </c>
      <c r="I1698" s="1" t="s">
        <v>1112</v>
      </c>
      <c r="J1698" s="1"/>
      <c r="K1698" s="1" t="s">
        <v>23</v>
      </c>
      <c r="L1698" s="1" t="s">
        <v>8559</v>
      </c>
      <c r="M1698" s="1">
        <v>1.0</v>
      </c>
      <c r="N1698" s="1">
        <v>1.0</v>
      </c>
      <c r="O1698" s="1" t="s">
        <v>398</v>
      </c>
      <c r="P1698" s="1" t="s">
        <v>488</v>
      </c>
      <c r="Q1698" s="2" t="str">
        <f t="shared" si="1"/>
        <v>H030832</v>
      </c>
    </row>
    <row r="1699">
      <c r="A1699" s="1" t="s">
        <v>8560</v>
      </c>
      <c r="B1699" s="1" t="s">
        <v>8561</v>
      </c>
      <c r="C1699" s="1" t="s">
        <v>8562</v>
      </c>
      <c r="D1699" s="1" t="s">
        <v>8563</v>
      </c>
      <c r="E1699" s="1">
        <v>3659.0</v>
      </c>
      <c r="F1699" s="1" t="s">
        <v>498</v>
      </c>
      <c r="G1699" s="1" t="s">
        <v>167</v>
      </c>
      <c r="H1699" s="1" t="s">
        <v>168</v>
      </c>
      <c r="I1699" s="1" t="s">
        <v>1112</v>
      </c>
      <c r="J1699" s="1"/>
      <c r="K1699" s="1" t="s">
        <v>23</v>
      </c>
      <c r="L1699" s="1" t="s">
        <v>8564</v>
      </c>
      <c r="M1699" s="1">
        <v>0.0</v>
      </c>
      <c r="N1699" s="1">
        <v>1.0</v>
      </c>
      <c r="O1699" s="1" t="s">
        <v>498</v>
      </c>
      <c r="P1699" s="1" t="s">
        <v>488</v>
      </c>
      <c r="Q1699" s="2" t="str">
        <f t="shared" si="1"/>
        <v>H030837</v>
      </c>
    </row>
    <row r="1700">
      <c r="A1700" s="1" t="s">
        <v>8565</v>
      </c>
      <c r="B1700" s="1" t="s">
        <v>8566</v>
      </c>
      <c r="C1700" s="1" t="s">
        <v>8567</v>
      </c>
      <c r="D1700" s="1" t="s">
        <v>8568</v>
      </c>
      <c r="E1700" s="1">
        <v>3262.0</v>
      </c>
      <c r="F1700" s="1" t="s">
        <v>498</v>
      </c>
      <c r="G1700" s="1">
        <v>896791.0</v>
      </c>
      <c r="H1700" s="1" t="s">
        <v>2124</v>
      </c>
      <c r="I1700" s="1" t="s">
        <v>1112</v>
      </c>
      <c r="J1700" s="1"/>
      <c r="K1700" s="1" t="s">
        <v>23</v>
      </c>
      <c r="L1700" s="1" t="s">
        <v>8569</v>
      </c>
      <c r="M1700" s="1">
        <v>0.0</v>
      </c>
      <c r="N1700" s="1">
        <v>1.0</v>
      </c>
      <c r="O1700" s="1" t="s">
        <v>498</v>
      </c>
      <c r="P1700" s="1" t="s">
        <v>488</v>
      </c>
      <c r="Q1700" s="2" t="str">
        <f t="shared" si="1"/>
        <v>H030837</v>
      </c>
    </row>
    <row r="1701">
      <c r="A1701" s="1" t="s">
        <v>8570</v>
      </c>
      <c r="B1701" s="1" t="s">
        <v>8571</v>
      </c>
      <c r="C1701" s="1" t="s">
        <v>8572</v>
      </c>
      <c r="D1701" s="1" t="s">
        <v>8573</v>
      </c>
      <c r="E1701" s="1">
        <v>3970.0</v>
      </c>
      <c r="F1701" s="1" t="s">
        <v>498</v>
      </c>
      <c r="G1701" s="1" t="s">
        <v>220</v>
      </c>
      <c r="H1701" s="1" t="s">
        <v>221</v>
      </c>
      <c r="I1701" s="1" t="s">
        <v>1112</v>
      </c>
      <c r="J1701" s="1"/>
      <c r="K1701" s="1" t="s">
        <v>23</v>
      </c>
      <c r="L1701" s="1" t="s">
        <v>8574</v>
      </c>
      <c r="M1701" s="1">
        <v>0.0</v>
      </c>
      <c r="N1701" s="1">
        <v>1.0</v>
      </c>
      <c r="O1701" s="1" t="s">
        <v>498</v>
      </c>
      <c r="P1701" s="1" t="s">
        <v>488</v>
      </c>
      <c r="Q1701" s="2" t="str">
        <f t="shared" si="1"/>
        <v>H030837</v>
      </c>
    </row>
    <row r="1702">
      <c r="A1702" s="1" t="s">
        <v>8575</v>
      </c>
      <c r="B1702" s="1" t="s">
        <v>8576</v>
      </c>
      <c r="C1702" s="1" t="s">
        <v>8577</v>
      </c>
      <c r="D1702" s="1" t="s">
        <v>8578</v>
      </c>
      <c r="E1702" s="1">
        <v>3835.0</v>
      </c>
      <c r="F1702" s="1" t="s">
        <v>498</v>
      </c>
      <c r="G1702" s="1" t="s">
        <v>167</v>
      </c>
      <c r="H1702" s="1" t="s">
        <v>168</v>
      </c>
      <c r="I1702" s="1" t="s">
        <v>1112</v>
      </c>
      <c r="J1702" s="1"/>
      <c r="K1702" s="1" t="s">
        <v>23</v>
      </c>
      <c r="L1702" s="1" t="s">
        <v>8579</v>
      </c>
      <c r="M1702" s="1">
        <v>0.0</v>
      </c>
      <c r="N1702" s="1">
        <v>1.0</v>
      </c>
      <c r="O1702" s="1" t="s">
        <v>498</v>
      </c>
      <c r="P1702" s="1" t="s">
        <v>488</v>
      </c>
      <c r="Q1702" s="2" t="str">
        <f t="shared" si="1"/>
        <v>H030837</v>
      </c>
    </row>
    <row r="1703">
      <c r="A1703" s="1" t="s">
        <v>8580</v>
      </c>
      <c r="B1703" s="1" t="s">
        <v>8581</v>
      </c>
      <c r="C1703" s="1" t="s">
        <v>8582</v>
      </c>
      <c r="D1703" s="1" t="s">
        <v>8583</v>
      </c>
      <c r="E1703" s="1">
        <v>5886.0</v>
      </c>
      <c r="F1703" s="1" t="s">
        <v>498</v>
      </c>
      <c r="G1703" s="1" t="s">
        <v>220</v>
      </c>
      <c r="H1703" s="1" t="s">
        <v>221</v>
      </c>
      <c r="I1703" s="1" t="s">
        <v>1112</v>
      </c>
      <c r="J1703" s="1"/>
      <c r="K1703" s="1" t="s">
        <v>23</v>
      </c>
      <c r="L1703" s="1" t="s">
        <v>8584</v>
      </c>
      <c r="M1703" s="1">
        <v>0.0</v>
      </c>
      <c r="N1703" s="1">
        <v>1.0</v>
      </c>
      <c r="O1703" s="1" t="s">
        <v>498</v>
      </c>
      <c r="P1703" s="1" t="s">
        <v>488</v>
      </c>
      <c r="Q1703" s="2" t="str">
        <f t="shared" si="1"/>
        <v>H030837</v>
      </c>
    </row>
    <row r="1704">
      <c r="A1704" s="1" t="s">
        <v>8585</v>
      </c>
      <c r="B1704" s="1" t="s">
        <v>8586</v>
      </c>
      <c r="C1704" s="1" t="s">
        <v>8587</v>
      </c>
      <c r="D1704" s="1" t="s">
        <v>8588</v>
      </c>
      <c r="E1704" s="1">
        <v>3167.0</v>
      </c>
      <c r="F1704" s="1" t="s">
        <v>498</v>
      </c>
      <c r="G1704" s="1" t="s">
        <v>132</v>
      </c>
      <c r="H1704" s="1" t="s">
        <v>133</v>
      </c>
      <c r="I1704" s="1" t="s">
        <v>1112</v>
      </c>
      <c r="J1704" s="1"/>
      <c r="K1704" s="1" t="s">
        <v>23</v>
      </c>
      <c r="L1704" s="1" t="s">
        <v>8589</v>
      </c>
      <c r="M1704" s="1">
        <v>0.0</v>
      </c>
      <c r="N1704" s="1">
        <v>1.0</v>
      </c>
      <c r="O1704" s="1" t="s">
        <v>498</v>
      </c>
      <c r="P1704" s="1" t="s">
        <v>488</v>
      </c>
      <c r="Q1704" s="2" t="str">
        <f t="shared" si="1"/>
        <v>H030837</v>
      </c>
    </row>
    <row r="1705">
      <c r="A1705" s="1" t="s">
        <v>8590</v>
      </c>
      <c r="B1705" s="1" t="s">
        <v>8591</v>
      </c>
      <c r="C1705" s="1" t="s">
        <v>8592</v>
      </c>
      <c r="D1705" s="1" t="s">
        <v>8593</v>
      </c>
      <c r="E1705" s="1">
        <v>3265.0</v>
      </c>
      <c r="F1705" s="1" t="s">
        <v>498</v>
      </c>
      <c r="G1705" s="1" t="s">
        <v>132</v>
      </c>
      <c r="H1705" s="1" t="s">
        <v>133</v>
      </c>
      <c r="I1705" s="1" t="s">
        <v>1112</v>
      </c>
      <c r="J1705" s="1"/>
      <c r="K1705" s="1" t="s">
        <v>23</v>
      </c>
      <c r="L1705" s="1" t="s">
        <v>8594</v>
      </c>
      <c r="M1705" s="1">
        <v>0.0</v>
      </c>
      <c r="N1705" s="1">
        <v>1.0</v>
      </c>
      <c r="O1705" s="1" t="s">
        <v>498</v>
      </c>
      <c r="P1705" s="1" t="s">
        <v>488</v>
      </c>
      <c r="Q1705" s="2" t="str">
        <f t="shared" si="1"/>
        <v>H030837</v>
      </c>
    </row>
    <row r="1706">
      <c r="A1706" s="1" t="s">
        <v>8595</v>
      </c>
      <c r="B1706" s="1" t="s">
        <v>8596</v>
      </c>
      <c r="C1706" s="1" t="s">
        <v>8597</v>
      </c>
      <c r="D1706" s="1" t="s">
        <v>8598</v>
      </c>
      <c r="E1706" s="1">
        <v>6106.0</v>
      </c>
      <c r="F1706" s="1" t="s">
        <v>498</v>
      </c>
      <c r="G1706" s="1">
        <v>896791.0</v>
      </c>
      <c r="H1706" s="1" t="s">
        <v>2124</v>
      </c>
      <c r="I1706" s="1" t="s">
        <v>1112</v>
      </c>
      <c r="J1706" s="1"/>
      <c r="K1706" s="1" t="s">
        <v>23</v>
      </c>
      <c r="L1706" s="1" t="s">
        <v>8599</v>
      </c>
      <c r="M1706" s="1">
        <v>0.0</v>
      </c>
      <c r="N1706" s="1">
        <v>1.0</v>
      </c>
      <c r="O1706" s="1" t="s">
        <v>498</v>
      </c>
      <c r="P1706" s="1" t="s">
        <v>488</v>
      </c>
      <c r="Q1706" s="2" t="str">
        <f t="shared" si="1"/>
        <v>H030837</v>
      </c>
    </row>
    <row r="1707">
      <c r="A1707" s="1" t="s">
        <v>8600</v>
      </c>
      <c r="B1707" s="1" t="s">
        <v>8601</v>
      </c>
      <c r="C1707" s="1" t="s">
        <v>8602</v>
      </c>
      <c r="D1707" s="1" t="s">
        <v>8603</v>
      </c>
      <c r="E1707" s="1">
        <v>4446.0</v>
      </c>
      <c r="F1707" s="1" t="s">
        <v>398</v>
      </c>
      <c r="G1707" s="1" t="s">
        <v>232</v>
      </c>
      <c r="H1707" s="1" t="s">
        <v>233</v>
      </c>
      <c r="I1707" s="1" t="s">
        <v>1112</v>
      </c>
      <c r="J1707" s="1"/>
      <c r="K1707" s="1" t="s">
        <v>23</v>
      </c>
      <c r="L1707" s="1" t="s">
        <v>8604</v>
      </c>
      <c r="M1707" s="1">
        <v>1.0</v>
      </c>
      <c r="N1707" s="1">
        <v>1.0</v>
      </c>
      <c r="O1707" s="1" t="s">
        <v>398</v>
      </c>
      <c r="P1707" s="1" t="s">
        <v>488</v>
      </c>
      <c r="Q1707" s="2" t="str">
        <f t="shared" si="1"/>
        <v>H030832</v>
      </c>
    </row>
    <row r="1708">
      <c r="A1708" s="1" t="s">
        <v>8605</v>
      </c>
      <c r="B1708" s="1" t="s">
        <v>8606</v>
      </c>
      <c r="C1708" s="1" t="s">
        <v>8607</v>
      </c>
      <c r="D1708" s="1" t="s">
        <v>8608</v>
      </c>
      <c r="E1708" s="1">
        <v>6541.0</v>
      </c>
      <c r="F1708" s="1" t="s">
        <v>398</v>
      </c>
      <c r="G1708" s="1" t="s">
        <v>232</v>
      </c>
      <c r="H1708" s="1" t="s">
        <v>233</v>
      </c>
      <c r="I1708" s="1" t="s">
        <v>1112</v>
      </c>
      <c r="J1708" s="1"/>
      <c r="K1708" s="1" t="s">
        <v>23</v>
      </c>
      <c r="L1708" s="1" t="s">
        <v>8609</v>
      </c>
      <c r="M1708" s="1">
        <v>1.0</v>
      </c>
      <c r="N1708" s="1">
        <v>1.0</v>
      </c>
      <c r="O1708" s="1" t="s">
        <v>398</v>
      </c>
      <c r="P1708" s="1" t="s">
        <v>488</v>
      </c>
      <c r="Q1708" s="2" t="str">
        <f t="shared" si="1"/>
        <v>H030832</v>
      </c>
    </row>
    <row r="1709">
      <c r="A1709" s="1" t="s">
        <v>8610</v>
      </c>
      <c r="B1709" s="1" t="s">
        <v>8611</v>
      </c>
      <c r="C1709" s="1" t="s">
        <v>8612</v>
      </c>
      <c r="D1709" s="1" t="s">
        <v>8613</v>
      </c>
      <c r="E1709" s="1">
        <v>3983.0</v>
      </c>
      <c r="F1709" s="1" t="s">
        <v>398</v>
      </c>
      <c r="G1709" s="1" t="s">
        <v>232</v>
      </c>
      <c r="H1709" s="1" t="s">
        <v>233</v>
      </c>
      <c r="I1709" s="1" t="s">
        <v>1112</v>
      </c>
      <c r="J1709" s="1"/>
      <c r="K1709" s="1" t="s">
        <v>23</v>
      </c>
      <c r="L1709" s="1" t="s">
        <v>8614</v>
      </c>
      <c r="M1709" s="1">
        <v>1.0</v>
      </c>
      <c r="N1709" s="1">
        <v>1.0</v>
      </c>
      <c r="O1709" s="1" t="s">
        <v>398</v>
      </c>
      <c r="P1709" s="1" t="s">
        <v>488</v>
      </c>
      <c r="Q1709" s="2" t="str">
        <f t="shared" si="1"/>
        <v>H030832</v>
      </c>
    </row>
    <row r="1710">
      <c r="A1710" s="1" t="s">
        <v>8615</v>
      </c>
      <c r="B1710" s="1" t="s">
        <v>8616</v>
      </c>
      <c r="C1710" s="1" t="s">
        <v>8617</v>
      </c>
      <c r="D1710" s="1" t="s">
        <v>8618</v>
      </c>
      <c r="E1710" s="1">
        <v>3988.0</v>
      </c>
      <c r="F1710" s="1" t="s">
        <v>398</v>
      </c>
      <c r="G1710" s="1" t="s">
        <v>179</v>
      </c>
      <c r="H1710" s="1" t="s">
        <v>180</v>
      </c>
      <c r="I1710" s="1" t="s">
        <v>1112</v>
      </c>
      <c r="J1710" s="1"/>
      <c r="K1710" s="1" t="s">
        <v>23</v>
      </c>
      <c r="L1710" s="1" t="s">
        <v>8619</v>
      </c>
      <c r="M1710" s="1">
        <v>1.0</v>
      </c>
      <c r="N1710" s="1">
        <v>1.0</v>
      </c>
      <c r="O1710" s="1" t="s">
        <v>398</v>
      </c>
      <c r="P1710" s="1" t="s">
        <v>488</v>
      </c>
      <c r="Q1710" s="2" t="str">
        <f t="shared" si="1"/>
        <v>H030832</v>
      </c>
    </row>
    <row r="1711">
      <c r="A1711" s="1" t="s">
        <v>8620</v>
      </c>
      <c r="B1711" s="1" t="s">
        <v>8621</v>
      </c>
      <c r="C1711" s="1" t="s">
        <v>8622</v>
      </c>
      <c r="D1711" s="1" t="s">
        <v>8623</v>
      </c>
      <c r="E1711" s="1">
        <v>54.0</v>
      </c>
      <c r="F1711" s="1" t="s">
        <v>398</v>
      </c>
      <c r="G1711" s="1" t="s">
        <v>179</v>
      </c>
      <c r="H1711" s="1" t="s">
        <v>180</v>
      </c>
      <c r="I1711" s="1" t="s">
        <v>1112</v>
      </c>
      <c r="J1711" s="1"/>
      <c r="K1711" s="1" t="s">
        <v>23</v>
      </c>
      <c r="L1711" s="1" t="s">
        <v>8624</v>
      </c>
      <c r="M1711" s="1">
        <v>0.0</v>
      </c>
      <c r="N1711" s="1">
        <v>0.0</v>
      </c>
      <c r="O1711" s="1" t="s">
        <v>398</v>
      </c>
      <c r="P1711" s="1" t="s">
        <v>25</v>
      </c>
      <c r="Q1711" s="2" t="str">
        <f t="shared" si="1"/>
        <v>H030747</v>
      </c>
    </row>
    <row r="1712">
      <c r="A1712" s="1" t="s">
        <v>8625</v>
      </c>
      <c r="B1712" s="1" t="s">
        <v>8626</v>
      </c>
      <c r="C1712" s="1" t="s">
        <v>8627</v>
      </c>
      <c r="D1712" s="1" t="s">
        <v>8628</v>
      </c>
      <c r="E1712" s="1">
        <v>3596.0</v>
      </c>
      <c r="F1712" s="1" t="s">
        <v>398</v>
      </c>
      <c r="G1712" s="1" t="s">
        <v>179</v>
      </c>
      <c r="H1712" s="1" t="s">
        <v>180</v>
      </c>
      <c r="I1712" s="1" t="s">
        <v>1112</v>
      </c>
      <c r="J1712" s="1"/>
      <c r="K1712" s="1" t="s">
        <v>23</v>
      </c>
      <c r="L1712" s="1" t="s">
        <v>8629</v>
      </c>
      <c r="M1712" s="1">
        <v>1.0</v>
      </c>
      <c r="N1712" s="1">
        <v>1.0</v>
      </c>
      <c r="O1712" s="1" t="s">
        <v>398</v>
      </c>
      <c r="P1712" s="1" t="s">
        <v>488</v>
      </c>
      <c r="Q1712" s="2" t="str">
        <f t="shared" si="1"/>
        <v>H030832</v>
      </c>
    </row>
    <row r="1713">
      <c r="A1713" s="1" t="s">
        <v>8630</v>
      </c>
      <c r="B1713" s="1" t="s">
        <v>8631</v>
      </c>
      <c r="C1713" s="1" t="s">
        <v>8632</v>
      </c>
      <c r="D1713" s="1" t="s">
        <v>8633</v>
      </c>
      <c r="E1713" s="1">
        <v>3418.0</v>
      </c>
      <c r="F1713" s="1" t="s">
        <v>498</v>
      </c>
      <c r="G1713" s="1">
        <v>896791.0</v>
      </c>
      <c r="H1713" s="1" t="s">
        <v>2124</v>
      </c>
      <c r="I1713" s="1" t="s">
        <v>1112</v>
      </c>
      <c r="J1713" s="1"/>
      <c r="K1713" s="1" t="s">
        <v>23</v>
      </c>
      <c r="L1713" s="1" t="s">
        <v>8634</v>
      </c>
      <c r="M1713" s="1">
        <v>0.0</v>
      </c>
      <c r="N1713" s="1">
        <v>1.0</v>
      </c>
      <c r="O1713" s="1" t="s">
        <v>498</v>
      </c>
      <c r="P1713" s="1" t="s">
        <v>488</v>
      </c>
      <c r="Q1713" s="2" t="str">
        <f t="shared" si="1"/>
        <v>H030837</v>
      </c>
    </row>
    <row r="1714">
      <c r="A1714" s="1" t="s">
        <v>8635</v>
      </c>
      <c r="B1714" s="1" t="s">
        <v>8636</v>
      </c>
      <c r="C1714" s="1" t="s">
        <v>8637</v>
      </c>
      <c r="D1714" s="1" t="s">
        <v>8638</v>
      </c>
      <c r="E1714" s="1">
        <v>4196.0</v>
      </c>
      <c r="F1714" s="1" t="s">
        <v>498</v>
      </c>
      <c r="G1714" s="1">
        <v>896791.0</v>
      </c>
      <c r="H1714" s="1" t="s">
        <v>2124</v>
      </c>
      <c r="I1714" s="1" t="s">
        <v>1112</v>
      </c>
      <c r="J1714" s="1"/>
      <c r="K1714" s="1" t="s">
        <v>23</v>
      </c>
      <c r="L1714" s="1" t="s">
        <v>8639</v>
      </c>
      <c r="M1714" s="1">
        <v>0.0</v>
      </c>
      <c r="N1714" s="1">
        <v>1.0</v>
      </c>
      <c r="O1714" s="1" t="s">
        <v>498</v>
      </c>
      <c r="P1714" s="1" t="s">
        <v>488</v>
      </c>
      <c r="Q1714" s="2" t="str">
        <f t="shared" si="1"/>
        <v>H030837</v>
      </c>
    </row>
    <row r="1715">
      <c r="A1715" s="1" t="s">
        <v>8640</v>
      </c>
      <c r="B1715" s="1" t="s">
        <v>8641</v>
      </c>
      <c r="C1715" s="1" t="s">
        <v>8642</v>
      </c>
      <c r="D1715" s="1" t="s">
        <v>8643</v>
      </c>
      <c r="E1715" s="1">
        <v>2815.0</v>
      </c>
      <c r="F1715" s="1" t="s">
        <v>498</v>
      </c>
      <c r="G1715" s="1" t="s">
        <v>132</v>
      </c>
      <c r="H1715" s="1" t="s">
        <v>133</v>
      </c>
      <c r="I1715" s="1" t="s">
        <v>1112</v>
      </c>
      <c r="J1715" s="1"/>
      <c r="K1715" s="1" t="s">
        <v>23</v>
      </c>
      <c r="L1715" s="1" t="s">
        <v>8644</v>
      </c>
      <c r="M1715" s="1">
        <v>0.0</v>
      </c>
      <c r="N1715" s="1">
        <v>1.0</v>
      </c>
      <c r="O1715" s="1" t="s">
        <v>498</v>
      </c>
      <c r="P1715" s="1" t="s">
        <v>488</v>
      </c>
      <c r="Q1715" s="2" t="str">
        <f t="shared" si="1"/>
        <v>H030837</v>
      </c>
    </row>
    <row r="1716">
      <c r="A1716" s="1" t="s">
        <v>8645</v>
      </c>
      <c r="B1716" s="1" t="s">
        <v>8646</v>
      </c>
      <c r="C1716" s="1" t="s">
        <v>8647</v>
      </c>
      <c r="D1716" s="1" t="s">
        <v>8648</v>
      </c>
      <c r="E1716" s="1">
        <v>5239.0</v>
      </c>
      <c r="F1716" s="1" t="s">
        <v>498</v>
      </c>
      <c r="G1716" s="1" t="s">
        <v>132</v>
      </c>
      <c r="H1716" s="1" t="s">
        <v>133</v>
      </c>
      <c r="I1716" s="1" t="s">
        <v>1112</v>
      </c>
      <c r="J1716" s="1"/>
      <c r="K1716" s="1" t="s">
        <v>23</v>
      </c>
      <c r="L1716" s="1" t="s">
        <v>8649</v>
      </c>
      <c r="M1716" s="1">
        <v>0.0</v>
      </c>
      <c r="N1716" s="1">
        <v>1.0</v>
      </c>
      <c r="O1716" s="1" t="s">
        <v>498</v>
      </c>
      <c r="P1716" s="1" t="s">
        <v>488</v>
      </c>
      <c r="Q1716" s="2" t="str">
        <f t="shared" si="1"/>
        <v>H030837</v>
      </c>
    </row>
    <row r="1717">
      <c r="A1717" s="1" t="s">
        <v>8650</v>
      </c>
      <c r="B1717" s="1" t="s">
        <v>8651</v>
      </c>
      <c r="C1717" s="1" t="s">
        <v>8652</v>
      </c>
      <c r="D1717" s="1" t="s">
        <v>8653</v>
      </c>
      <c r="E1717" s="1">
        <v>2159.0</v>
      </c>
      <c r="F1717" s="1" t="s">
        <v>288</v>
      </c>
      <c r="G1717" s="1" t="s">
        <v>304</v>
      </c>
      <c r="H1717" s="1" t="s">
        <v>272</v>
      </c>
      <c r="I1717" s="1" t="s">
        <v>1051</v>
      </c>
      <c r="J1717" s="1"/>
      <c r="K1717" s="1" t="s">
        <v>23</v>
      </c>
      <c r="L1717" s="1" t="s">
        <v>8654</v>
      </c>
      <c r="M1717" s="1">
        <v>0.0</v>
      </c>
      <c r="N1717" s="1">
        <v>1.0</v>
      </c>
      <c r="O1717" s="1" t="s">
        <v>288</v>
      </c>
      <c r="P1717" s="1" t="s">
        <v>488</v>
      </c>
      <c r="Q1717" s="2" t="str">
        <f t="shared" si="1"/>
        <v>H019196</v>
      </c>
    </row>
    <row r="1718">
      <c r="A1718" s="1" t="s">
        <v>8655</v>
      </c>
      <c r="B1718" s="1" t="s">
        <v>8656</v>
      </c>
      <c r="C1718" s="1" t="s">
        <v>8657</v>
      </c>
      <c r="D1718" s="1" t="s">
        <v>8658</v>
      </c>
      <c r="E1718" s="1">
        <v>2519.0</v>
      </c>
      <c r="F1718" s="1" t="s">
        <v>288</v>
      </c>
      <c r="G1718" s="1" t="s">
        <v>304</v>
      </c>
      <c r="H1718" s="1" t="s">
        <v>272</v>
      </c>
      <c r="I1718" s="1" t="s">
        <v>1051</v>
      </c>
      <c r="J1718" s="1"/>
      <c r="K1718" s="1" t="s">
        <v>23</v>
      </c>
      <c r="L1718" s="1" t="s">
        <v>8659</v>
      </c>
      <c r="M1718" s="1">
        <v>1.0</v>
      </c>
      <c r="N1718" s="1">
        <v>1.0</v>
      </c>
      <c r="O1718" s="1" t="s">
        <v>288</v>
      </c>
      <c r="P1718" s="1" t="s">
        <v>488</v>
      </c>
      <c r="Q1718" s="2" t="str">
        <f t="shared" si="1"/>
        <v>H019559</v>
      </c>
    </row>
    <row r="1719">
      <c r="A1719" s="1" t="s">
        <v>8660</v>
      </c>
      <c r="B1719" s="1" t="s">
        <v>8661</v>
      </c>
      <c r="C1719" s="1" t="s">
        <v>8662</v>
      </c>
      <c r="D1719" s="1" t="s">
        <v>8663</v>
      </c>
      <c r="E1719" s="1">
        <v>2592.0</v>
      </c>
      <c r="F1719" s="1" t="s">
        <v>315</v>
      </c>
      <c r="G1719" s="1">
        <v>555127.0</v>
      </c>
      <c r="H1719" s="1" t="s">
        <v>3047</v>
      </c>
      <c r="I1719" s="1" t="s">
        <v>1051</v>
      </c>
      <c r="J1719" s="1"/>
      <c r="K1719" s="1" t="s">
        <v>23</v>
      </c>
      <c r="L1719" s="1" t="s">
        <v>8664</v>
      </c>
      <c r="M1719" s="1">
        <v>2.0</v>
      </c>
      <c r="N1719" s="1">
        <v>1.0</v>
      </c>
      <c r="O1719" s="1" t="s">
        <v>315</v>
      </c>
      <c r="P1719" s="1" t="s">
        <v>488</v>
      </c>
      <c r="Q1719" s="2" t="str">
        <f t="shared" si="1"/>
        <v>H019591</v>
      </c>
    </row>
    <row r="1720">
      <c r="A1720" s="1" t="s">
        <v>8665</v>
      </c>
      <c r="B1720" s="1" t="s">
        <v>8666</v>
      </c>
      <c r="C1720" s="1" t="s">
        <v>8667</v>
      </c>
      <c r="D1720" s="1" t="s">
        <v>8668</v>
      </c>
      <c r="E1720" s="1">
        <v>4532.0</v>
      </c>
      <c r="F1720" s="1" t="s">
        <v>382</v>
      </c>
      <c r="G1720" s="1" t="s">
        <v>191</v>
      </c>
      <c r="H1720" s="1" t="s">
        <v>192</v>
      </c>
      <c r="I1720" s="1" t="s">
        <v>486</v>
      </c>
      <c r="J1720" s="1"/>
      <c r="K1720" s="1" t="s">
        <v>23</v>
      </c>
      <c r="L1720" s="1" t="s">
        <v>8669</v>
      </c>
      <c r="M1720" s="1">
        <v>0.0</v>
      </c>
      <c r="N1720" s="1">
        <v>1.0</v>
      </c>
      <c r="O1720" s="1" t="s">
        <v>382</v>
      </c>
      <c r="P1720" s="1" t="s">
        <v>488</v>
      </c>
      <c r="Q1720" s="2" t="str">
        <f t="shared" si="1"/>
        <v>H006657</v>
      </c>
    </row>
    <row r="1721">
      <c r="A1721" s="1" t="s">
        <v>8670</v>
      </c>
      <c r="B1721" s="1" t="s">
        <v>8671</v>
      </c>
      <c r="C1721" s="1" t="s">
        <v>8672</v>
      </c>
      <c r="D1721" s="1" t="s">
        <v>8673</v>
      </c>
      <c r="E1721" s="1">
        <v>2349.0</v>
      </c>
      <c r="F1721" s="1" t="s">
        <v>351</v>
      </c>
      <c r="G1721" s="1" t="s">
        <v>57</v>
      </c>
      <c r="H1721" s="1" t="s">
        <v>58</v>
      </c>
      <c r="I1721" s="1" t="s">
        <v>486</v>
      </c>
      <c r="J1721" s="1"/>
      <c r="K1721" s="1" t="s">
        <v>23</v>
      </c>
      <c r="L1721" s="1" t="s">
        <v>8674</v>
      </c>
      <c r="M1721" s="1">
        <v>0.0</v>
      </c>
      <c r="N1721" s="1">
        <v>1.0</v>
      </c>
      <c r="O1721" s="1" t="s">
        <v>351</v>
      </c>
      <c r="P1721" s="1" t="s">
        <v>488</v>
      </c>
      <c r="Q1721" s="2" t="str">
        <f t="shared" si="1"/>
        <v>H006567</v>
      </c>
    </row>
    <row r="1722">
      <c r="A1722" s="1" t="s">
        <v>8675</v>
      </c>
      <c r="B1722" s="1" t="s">
        <v>8676</v>
      </c>
      <c r="C1722" s="1" t="s">
        <v>8677</v>
      </c>
      <c r="D1722" s="1" t="s">
        <v>8678</v>
      </c>
      <c r="E1722" s="1">
        <v>4302.0</v>
      </c>
      <c r="F1722" s="1" t="s">
        <v>398</v>
      </c>
      <c r="G1722" s="1" t="s">
        <v>232</v>
      </c>
      <c r="H1722" s="1" t="s">
        <v>233</v>
      </c>
      <c r="I1722" s="1" t="s">
        <v>1112</v>
      </c>
      <c r="J1722" s="1"/>
      <c r="K1722" s="1" t="s">
        <v>23</v>
      </c>
      <c r="L1722" s="1" t="s">
        <v>8679</v>
      </c>
      <c r="M1722" s="1">
        <v>1.0</v>
      </c>
      <c r="N1722" s="1">
        <v>1.0</v>
      </c>
      <c r="O1722" s="1" t="s">
        <v>398</v>
      </c>
      <c r="P1722" s="1" t="s">
        <v>488</v>
      </c>
      <c r="Q1722" s="2" t="str">
        <f t="shared" si="1"/>
        <v>H030832</v>
      </c>
    </row>
    <row r="1723">
      <c r="A1723" s="1" t="s">
        <v>8680</v>
      </c>
      <c r="B1723" s="1" t="s">
        <v>8681</v>
      </c>
      <c r="C1723" s="1" t="s">
        <v>8682</v>
      </c>
      <c r="D1723" s="1" t="s">
        <v>8683</v>
      </c>
      <c r="E1723" s="1">
        <v>3744.0</v>
      </c>
      <c r="F1723" s="1" t="s">
        <v>398</v>
      </c>
      <c r="G1723" s="1" t="s">
        <v>232</v>
      </c>
      <c r="H1723" s="1" t="s">
        <v>233</v>
      </c>
      <c r="I1723" s="1" t="s">
        <v>1112</v>
      </c>
      <c r="J1723" s="1"/>
      <c r="K1723" s="1" t="s">
        <v>23</v>
      </c>
      <c r="L1723" s="1" t="s">
        <v>8684</v>
      </c>
      <c r="M1723" s="1">
        <v>1.0</v>
      </c>
      <c r="N1723" s="1">
        <v>1.0</v>
      </c>
      <c r="O1723" s="1" t="s">
        <v>398</v>
      </c>
      <c r="P1723" s="1" t="s">
        <v>488</v>
      </c>
      <c r="Q1723" s="2" t="str">
        <f t="shared" si="1"/>
        <v>H030832</v>
      </c>
    </row>
    <row r="1724">
      <c r="A1724" s="1" t="s">
        <v>8685</v>
      </c>
      <c r="B1724" s="1" t="s">
        <v>8686</v>
      </c>
      <c r="C1724" s="1" t="s">
        <v>8687</v>
      </c>
      <c r="D1724" s="1" t="s">
        <v>8688</v>
      </c>
      <c r="E1724" s="1">
        <v>124.0</v>
      </c>
      <c r="F1724" s="1" t="s">
        <v>382</v>
      </c>
      <c r="G1724" s="1" t="s">
        <v>474</v>
      </c>
      <c r="H1724" s="1" t="s">
        <v>475</v>
      </c>
      <c r="I1724" s="1" t="s">
        <v>486</v>
      </c>
      <c r="J1724" s="1"/>
      <c r="K1724" s="1" t="s">
        <v>23</v>
      </c>
      <c r="L1724" s="1" t="s">
        <v>8689</v>
      </c>
      <c r="M1724" s="1">
        <v>3.0</v>
      </c>
      <c r="N1724" s="1">
        <v>0.0</v>
      </c>
      <c r="O1724" s="1" t="s">
        <v>382</v>
      </c>
      <c r="P1724" s="1" t="s">
        <v>25</v>
      </c>
      <c r="Q1724" s="2" t="str">
        <f t="shared" si="1"/>
        <v>H006248</v>
      </c>
    </row>
    <row r="1725">
      <c r="A1725" s="1" t="s">
        <v>8690</v>
      </c>
      <c r="B1725" s="1" t="s">
        <v>8691</v>
      </c>
      <c r="C1725" s="1" t="s">
        <v>8692</v>
      </c>
      <c r="D1725" s="1" t="s">
        <v>8693</v>
      </c>
      <c r="E1725" s="1">
        <v>3051.0</v>
      </c>
      <c r="F1725" s="1" t="s">
        <v>382</v>
      </c>
      <c r="G1725" s="1" t="s">
        <v>107</v>
      </c>
      <c r="H1725" s="1" t="s">
        <v>108</v>
      </c>
      <c r="I1725" s="1" t="s">
        <v>486</v>
      </c>
      <c r="J1725" s="1"/>
      <c r="K1725" s="1" t="s">
        <v>23</v>
      </c>
      <c r="L1725" s="1" t="s">
        <v>8694</v>
      </c>
      <c r="M1725" s="1">
        <v>3.0</v>
      </c>
      <c r="N1725" s="1">
        <v>1.0</v>
      </c>
      <c r="O1725" s="1" t="s">
        <v>382</v>
      </c>
      <c r="P1725" s="1" t="s">
        <v>488</v>
      </c>
      <c r="Q1725" s="2" t="str">
        <f t="shared" si="1"/>
        <v>H006248</v>
      </c>
    </row>
    <row r="1726">
      <c r="A1726" s="1" t="s">
        <v>8695</v>
      </c>
      <c r="B1726" s="1" t="s">
        <v>8696</v>
      </c>
      <c r="C1726" s="1" t="s">
        <v>8697</v>
      </c>
      <c r="D1726" s="1" t="s">
        <v>8698</v>
      </c>
      <c r="E1726" s="1">
        <v>3084.0</v>
      </c>
      <c r="F1726" s="1" t="s">
        <v>382</v>
      </c>
      <c r="G1726" s="1" t="s">
        <v>107</v>
      </c>
      <c r="H1726" s="1" t="s">
        <v>108</v>
      </c>
      <c r="I1726" s="1" t="s">
        <v>486</v>
      </c>
      <c r="J1726" s="1"/>
      <c r="K1726" s="1" t="s">
        <v>23</v>
      </c>
      <c r="L1726" s="1" t="s">
        <v>8699</v>
      </c>
      <c r="M1726" s="1">
        <v>3.0</v>
      </c>
      <c r="N1726" s="1">
        <v>1.0</v>
      </c>
      <c r="O1726" s="1" t="s">
        <v>382</v>
      </c>
      <c r="P1726" s="1" t="s">
        <v>488</v>
      </c>
      <c r="Q1726" s="2" t="str">
        <f t="shared" si="1"/>
        <v>H006248</v>
      </c>
    </row>
    <row r="1727">
      <c r="A1727" s="1" t="s">
        <v>8700</v>
      </c>
      <c r="B1727" s="1" t="s">
        <v>8701</v>
      </c>
      <c r="C1727" s="1" t="s">
        <v>8702</v>
      </c>
      <c r="D1727" s="1" t="s">
        <v>8703</v>
      </c>
      <c r="E1727" s="1">
        <v>2348.0</v>
      </c>
      <c r="F1727" s="1" t="s">
        <v>398</v>
      </c>
      <c r="G1727" s="1" t="s">
        <v>155</v>
      </c>
      <c r="H1727" s="1" t="s">
        <v>156</v>
      </c>
      <c r="I1727" s="1" t="s">
        <v>1112</v>
      </c>
      <c r="J1727" s="1"/>
      <c r="K1727" s="1" t="s">
        <v>23</v>
      </c>
      <c r="L1727" s="1" t="s">
        <v>8704</v>
      </c>
      <c r="M1727" s="1">
        <v>1.0</v>
      </c>
      <c r="N1727" s="1">
        <v>1.0</v>
      </c>
      <c r="O1727" s="1" t="s">
        <v>398</v>
      </c>
      <c r="P1727" s="1" t="s">
        <v>488</v>
      </c>
      <c r="Q1727" s="2" t="str">
        <f t="shared" si="1"/>
        <v>H030832</v>
      </c>
    </row>
    <row r="1728">
      <c r="A1728" s="1" t="s">
        <v>8705</v>
      </c>
      <c r="B1728" s="1" t="s">
        <v>8706</v>
      </c>
      <c r="C1728" s="1" t="s">
        <v>8707</v>
      </c>
      <c r="D1728" s="1" t="s">
        <v>8708</v>
      </c>
      <c r="E1728" s="1">
        <v>4155.0</v>
      </c>
      <c r="F1728" s="1" t="s">
        <v>398</v>
      </c>
      <c r="G1728" s="1" t="s">
        <v>155</v>
      </c>
      <c r="H1728" s="1" t="s">
        <v>156</v>
      </c>
      <c r="I1728" s="1" t="s">
        <v>1112</v>
      </c>
      <c r="J1728" s="1"/>
      <c r="K1728" s="1" t="s">
        <v>23</v>
      </c>
      <c r="L1728" s="1" t="s">
        <v>8709</v>
      </c>
      <c r="M1728" s="1">
        <v>1.0</v>
      </c>
      <c r="N1728" s="1">
        <v>1.0</v>
      </c>
      <c r="O1728" s="1" t="s">
        <v>398</v>
      </c>
      <c r="P1728" s="1" t="s">
        <v>488</v>
      </c>
      <c r="Q1728" s="2" t="str">
        <f t="shared" si="1"/>
        <v>H030832</v>
      </c>
    </row>
    <row r="1729">
      <c r="A1729" s="1" t="s">
        <v>8710</v>
      </c>
      <c r="B1729" s="1" t="s">
        <v>8711</v>
      </c>
      <c r="C1729" s="1" t="s">
        <v>8712</v>
      </c>
      <c r="D1729" s="1" t="s">
        <v>8713</v>
      </c>
      <c r="E1729" s="1">
        <v>6120.0</v>
      </c>
      <c r="F1729" s="1" t="s">
        <v>398</v>
      </c>
      <c r="G1729" s="1" t="s">
        <v>179</v>
      </c>
      <c r="H1729" s="1" t="s">
        <v>180</v>
      </c>
      <c r="I1729" s="1" t="s">
        <v>1112</v>
      </c>
      <c r="J1729" s="1"/>
      <c r="K1729" s="1" t="s">
        <v>23</v>
      </c>
      <c r="L1729" s="1" t="s">
        <v>8714</v>
      </c>
      <c r="M1729" s="1">
        <v>1.0</v>
      </c>
      <c r="N1729" s="1">
        <v>1.0</v>
      </c>
      <c r="O1729" s="1" t="s">
        <v>398</v>
      </c>
      <c r="P1729" s="1" t="s">
        <v>488</v>
      </c>
      <c r="Q1729" s="2" t="str">
        <f t="shared" si="1"/>
        <v>H030832</v>
      </c>
    </row>
    <row r="1730">
      <c r="A1730" s="1" t="s">
        <v>8715</v>
      </c>
      <c r="B1730" s="1" t="s">
        <v>8716</v>
      </c>
      <c r="C1730" s="1" t="s">
        <v>8717</v>
      </c>
      <c r="D1730" s="1" t="s">
        <v>8718</v>
      </c>
      <c r="E1730" s="1">
        <v>7120.0</v>
      </c>
      <c r="F1730" s="1" t="s">
        <v>398</v>
      </c>
      <c r="G1730" s="1" t="s">
        <v>179</v>
      </c>
      <c r="H1730" s="1" t="s">
        <v>180</v>
      </c>
      <c r="I1730" s="1" t="s">
        <v>1112</v>
      </c>
      <c r="J1730" s="1"/>
      <c r="K1730" s="1" t="s">
        <v>23</v>
      </c>
      <c r="L1730" s="1" t="s">
        <v>8719</v>
      </c>
      <c r="M1730" s="1">
        <v>1.0</v>
      </c>
      <c r="N1730" s="1">
        <v>1.0</v>
      </c>
      <c r="O1730" s="1" t="s">
        <v>398</v>
      </c>
      <c r="P1730" s="1" t="s">
        <v>488</v>
      </c>
      <c r="Q1730" s="2" t="str">
        <f t="shared" si="1"/>
        <v>H030832</v>
      </c>
    </row>
    <row r="1731">
      <c r="A1731" s="1" t="s">
        <v>8720</v>
      </c>
      <c r="B1731" s="1" t="s">
        <v>8721</v>
      </c>
      <c r="C1731" s="1" t="s">
        <v>8722</v>
      </c>
      <c r="D1731" s="1" t="s">
        <v>8723</v>
      </c>
      <c r="E1731" s="1">
        <v>2055.0</v>
      </c>
      <c r="F1731" s="1" t="s">
        <v>315</v>
      </c>
      <c r="G1731" s="1">
        <v>841329.0</v>
      </c>
      <c r="H1731" s="1" t="s">
        <v>1848</v>
      </c>
      <c r="I1731" s="1" t="s">
        <v>1051</v>
      </c>
      <c r="J1731" s="1"/>
      <c r="K1731" s="1" t="s">
        <v>23</v>
      </c>
      <c r="L1731" s="1" t="s">
        <v>8724</v>
      </c>
      <c r="M1731" s="1">
        <v>1.0</v>
      </c>
      <c r="N1731" s="1">
        <v>1.0</v>
      </c>
      <c r="O1731" s="1" t="s">
        <v>315</v>
      </c>
      <c r="P1731" s="1" t="s">
        <v>488</v>
      </c>
      <c r="Q1731" s="2" t="str">
        <f t="shared" si="1"/>
        <v>H019499</v>
      </c>
    </row>
    <row r="1732">
      <c r="A1732" s="1" t="s">
        <v>8725</v>
      </c>
      <c r="B1732" s="1" t="s">
        <v>8726</v>
      </c>
      <c r="C1732" s="1" t="s">
        <v>8727</v>
      </c>
      <c r="D1732" s="1" t="s">
        <v>8728</v>
      </c>
      <c r="E1732" s="1">
        <v>4666.0</v>
      </c>
      <c r="F1732" s="1" t="s">
        <v>288</v>
      </c>
      <c r="G1732" s="1">
        <v>859767.0</v>
      </c>
      <c r="H1732" s="1" t="s">
        <v>2565</v>
      </c>
      <c r="I1732" s="1" t="s">
        <v>1051</v>
      </c>
      <c r="J1732" s="1"/>
      <c r="K1732" s="1" t="s">
        <v>23</v>
      </c>
      <c r="L1732" s="1" t="s">
        <v>8729</v>
      </c>
      <c r="M1732" s="1">
        <v>0.0</v>
      </c>
      <c r="N1732" s="1">
        <v>1.0</v>
      </c>
      <c r="O1732" s="1" t="s">
        <v>288</v>
      </c>
      <c r="P1732" s="1" t="s">
        <v>488</v>
      </c>
      <c r="Q1732" s="2" t="str">
        <f t="shared" si="1"/>
        <v>H004001</v>
      </c>
    </row>
    <row r="1733">
      <c r="A1733" s="1" t="s">
        <v>8730</v>
      </c>
      <c r="B1733" s="1" t="s">
        <v>8731</v>
      </c>
      <c r="C1733" s="1" t="s">
        <v>8732</v>
      </c>
      <c r="D1733" s="1" t="s">
        <v>8733</v>
      </c>
      <c r="E1733" s="1">
        <v>2191.0</v>
      </c>
      <c r="F1733" s="1" t="s">
        <v>351</v>
      </c>
      <c r="G1733" s="1" t="s">
        <v>57</v>
      </c>
      <c r="H1733" s="1" t="s">
        <v>58</v>
      </c>
      <c r="I1733" s="1" t="s">
        <v>486</v>
      </c>
      <c r="J1733" s="1"/>
      <c r="K1733" s="1" t="s">
        <v>23</v>
      </c>
      <c r="L1733" s="1" t="s">
        <v>8734</v>
      </c>
      <c r="M1733" s="1">
        <v>2.0</v>
      </c>
      <c r="N1733" s="1">
        <v>1.0</v>
      </c>
      <c r="O1733" s="1" t="s">
        <v>351</v>
      </c>
      <c r="P1733" s="1" t="s">
        <v>488</v>
      </c>
      <c r="Q1733" s="2" t="str">
        <f t="shared" si="1"/>
        <v>H030415</v>
      </c>
    </row>
    <row r="1734">
      <c r="A1734" s="1" t="s">
        <v>8735</v>
      </c>
      <c r="B1734" s="1" t="s">
        <v>8736</v>
      </c>
      <c r="C1734" s="1" t="s">
        <v>8737</v>
      </c>
      <c r="D1734" s="1" t="s">
        <v>8738</v>
      </c>
      <c r="E1734" s="1">
        <v>3667.0</v>
      </c>
      <c r="F1734" s="1" t="s">
        <v>351</v>
      </c>
      <c r="G1734" s="1" t="s">
        <v>208</v>
      </c>
      <c r="H1734" s="1" t="s">
        <v>209</v>
      </c>
      <c r="I1734" s="1" t="s">
        <v>486</v>
      </c>
      <c r="J1734" s="1"/>
      <c r="K1734" s="1" t="s">
        <v>23</v>
      </c>
      <c r="L1734" s="1" t="s">
        <v>8739</v>
      </c>
      <c r="M1734" s="1">
        <v>2.0</v>
      </c>
      <c r="N1734" s="1">
        <v>1.0</v>
      </c>
      <c r="O1734" s="1" t="s">
        <v>351</v>
      </c>
      <c r="P1734" s="1" t="s">
        <v>488</v>
      </c>
      <c r="Q1734" s="2" t="str">
        <f t="shared" si="1"/>
        <v>H030415</v>
      </c>
    </row>
    <row r="1735">
      <c r="A1735" s="1" t="s">
        <v>8740</v>
      </c>
      <c r="B1735" s="1" t="s">
        <v>8741</v>
      </c>
      <c r="C1735" s="1" t="s">
        <v>8742</v>
      </c>
      <c r="D1735" s="1" t="s">
        <v>8743</v>
      </c>
      <c r="E1735" s="1">
        <v>4558.0</v>
      </c>
      <c r="F1735" s="1" t="s">
        <v>315</v>
      </c>
      <c r="G1735" s="1">
        <v>555127.0</v>
      </c>
      <c r="H1735" s="1" t="s">
        <v>3047</v>
      </c>
      <c r="I1735" s="1" t="s">
        <v>1051</v>
      </c>
      <c r="J1735" s="1"/>
      <c r="K1735" s="1" t="s">
        <v>23</v>
      </c>
      <c r="L1735" s="1" t="s">
        <v>8744</v>
      </c>
      <c r="M1735" s="1">
        <v>0.0</v>
      </c>
      <c r="N1735" s="1">
        <v>1.0</v>
      </c>
      <c r="O1735" s="1" t="s">
        <v>315</v>
      </c>
      <c r="P1735" s="1" t="s">
        <v>488</v>
      </c>
      <c r="Q1735" s="2" t="str">
        <f t="shared" si="1"/>
        <v>H019447</v>
      </c>
    </row>
    <row r="1736">
      <c r="A1736" s="1" t="s">
        <v>8745</v>
      </c>
      <c r="B1736" s="1" t="s">
        <v>8746</v>
      </c>
      <c r="C1736" s="1" t="s">
        <v>8747</v>
      </c>
      <c r="D1736" s="1" t="s">
        <v>8748</v>
      </c>
      <c r="E1736" s="1">
        <v>50.0</v>
      </c>
      <c r="F1736" s="1" t="s">
        <v>398</v>
      </c>
      <c r="G1736" s="1" t="s">
        <v>232</v>
      </c>
      <c r="H1736" s="1" t="s">
        <v>233</v>
      </c>
      <c r="I1736" s="1" t="s">
        <v>1112</v>
      </c>
      <c r="J1736" s="1"/>
      <c r="K1736" s="1" t="s">
        <v>23</v>
      </c>
      <c r="L1736" s="1" t="s">
        <v>8749</v>
      </c>
      <c r="M1736" s="1">
        <v>3.0</v>
      </c>
      <c r="N1736" s="1">
        <v>0.0</v>
      </c>
      <c r="O1736" s="1" t="s">
        <v>398</v>
      </c>
      <c r="P1736" s="1" t="s">
        <v>25</v>
      </c>
      <c r="Q1736" s="2" t="str">
        <f t="shared" si="1"/>
        <v>H030821</v>
      </c>
    </row>
    <row r="1737">
      <c r="A1737" s="1" t="s">
        <v>8750</v>
      </c>
      <c r="B1737" s="1" t="s">
        <v>8751</v>
      </c>
      <c r="C1737" s="1" t="s">
        <v>8752</v>
      </c>
      <c r="D1737" s="1" t="s">
        <v>8753</v>
      </c>
      <c r="E1737" s="1">
        <v>25.0</v>
      </c>
      <c r="F1737" s="1" t="s">
        <v>398</v>
      </c>
      <c r="G1737" s="1" t="s">
        <v>155</v>
      </c>
      <c r="H1737" s="1" t="s">
        <v>156</v>
      </c>
      <c r="I1737" s="1" t="s">
        <v>1112</v>
      </c>
      <c r="J1737" s="1"/>
      <c r="K1737" s="1" t="s">
        <v>23</v>
      </c>
      <c r="L1737" s="1" t="s">
        <v>8754</v>
      </c>
      <c r="M1737" s="1">
        <v>2.0</v>
      </c>
      <c r="N1737" s="1">
        <v>0.0</v>
      </c>
      <c r="O1737" s="1" t="s">
        <v>398</v>
      </c>
      <c r="P1737" s="1" t="s">
        <v>25</v>
      </c>
      <c r="Q1737" s="2" t="str">
        <f t="shared" si="1"/>
        <v>H030748</v>
      </c>
    </row>
    <row r="1738">
      <c r="A1738" s="1" t="s">
        <v>8755</v>
      </c>
      <c r="B1738" s="1" t="s">
        <v>8756</v>
      </c>
      <c r="C1738" s="1" t="s">
        <v>8757</v>
      </c>
      <c r="D1738" s="1" t="s">
        <v>8758</v>
      </c>
      <c r="E1738" s="1">
        <v>3229.0</v>
      </c>
      <c r="F1738" s="1" t="s">
        <v>382</v>
      </c>
      <c r="G1738" s="1" t="s">
        <v>107</v>
      </c>
      <c r="H1738" s="1" t="s">
        <v>108</v>
      </c>
      <c r="I1738" s="1" t="s">
        <v>486</v>
      </c>
      <c r="J1738" s="1"/>
      <c r="K1738" s="1" t="s">
        <v>23</v>
      </c>
      <c r="L1738" s="1" t="s">
        <v>8759</v>
      </c>
      <c r="M1738" s="1">
        <v>3.0</v>
      </c>
      <c r="N1738" s="1">
        <v>1.0</v>
      </c>
      <c r="O1738" s="1" t="s">
        <v>382</v>
      </c>
      <c r="P1738" s="1" t="s">
        <v>488</v>
      </c>
      <c r="Q1738" s="2" t="str">
        <f t="shared" si="1"/>
        <v>H006405</v>
      </c>
    </row>
    <row r="1739">
      <c r="A1739" s="1" t="s">
        <v>8760</v>
      </c>
      <c r="B1739" s="1" t="s">
        <v>8761</v>
      </c>
      <c r="C1739" s="1" t="s">
        <v>8762</v>
      </c>
      <c r="D1739" s="1" t="s">
        <v>8763</v>
      </c>
      <c r="E1739" s="1">
        <v>3408.0</v>
      </c>
      <c r="F1739" s="1" t="s">
        <v>382</v>
      </c>
      <c r="G1739" s="1" t="s">
        <v>191</v>
      </c>
      <c r="H1739" s="1" t="s">
        <v>192</v>
      </c>
      <c r="I1739" s="1" t="s">
        <v>486</v>
      </c>
      <c r="J1739" s="1"/>
      <c r="K1739" s="1" t="s">
        <v>23</v>
      </c>
      <c r="L1739" s="1" t="s">
        <v>8764</v>
      </c>
      <c r="M1739" s="1">
        <v>3.0</v>
      </c>
      <c r="N1739" s="1">
        <v>1.0</v>
      </c>
      <c r="O1739" s="1" t="s">
        <v>382</v>
      </c>
      <c r="P1739" s="1" t="s">
        <v>488</v>
      </c>
      <c r="Q1739" s="2" t="str">
        <f t="shared" si="1"/>
        <v>H006405</v>
      </c>
    </row>
    <row r="1740">
      <c r="A1740" s="1" t="s">
        <v>8765</v>
      </c>
      <c r="B1740" s="1" t="s">
        <v>8766</v>
      </c>
      <c r="C1740" s="1" t="s">
        <v>8767</v>
      </c>
      <c r="D1740" s="1" t="s">
        <v>8768</v>
      </c>
      <c r="E1740" s="1">
        <v>3049.0</v>
      </c>
      <c r="F1740" s="1" t="s">
        <v>498</v>
      </c>
      <c r="G1740" s="1" t="s">
        <v>167</v>
      </c>
      <c r="H1740" s="1" t="s">
        <v>168</v>
      </c>
      <c r="I1740" s="1" t="s">
        <v>1112</v>
      </c>
      <c r="J1740" s="1"/>
      <c r="K1740" s="1" t="s">
        <v>23</v>
      </c>
      <c r="L1740" s="1" t="s">
        <v>8769</v>
      </c>
      <c r="M1740" s="1">
        <v>0.0</v>
      </c>
      <c r="N1740" s="1">
        <v>1.0</v>
      </c>
      <c r="O1740" s="1" t="s">
        <v>498</v>
      </c>
      <c r="P1740" s="1" t="s">
        <v>488</v>
      </c>
      <c r="Q1740" s="2" t="str">
        <f t="shared" si="1"/>
        <v>H030515</v>
      </c>
    </row>
    <row r="1741">
      <c r="A1741" s="1" t="s">
        <v>8770</v>
      </c>
      <c r="B1741" s="1" t="s">
        <v>8771</v>
      </c>
      <c r="C1741" s="1" t="s">
        <v>8772</v>
      </c>
      <c r="D1741" s="1" t="s">
        <v>8773</v>
      </c>
      <c r="E1741" s="1">
        <v>3991.0</v>
      </c>
      <c r="F1741" s="1" t="s">
        <v>498</v>
      </c>
      <c r="G1741" s="1">
        <v>896791.0</v>
      </c>
      <c r="H1741" s="1" t="s">
        <v>2124</v>
      </c>
      <c r="I1741" s="1" t="s">
        <v>1112</v>
      </c>
      <c r="J1741" s="1"/>
      <c r="K1741" s="1" t="s">
        <v>23</v>
      </c>
      <c r="L1741" s="1" t="s">
        <v>8774</v>
      </c>
      <c r="M1741" s="1">
        <v>3.0</v>
      </c>
      <c r="N1741" s="1">
        <v>1.0</v>
      </c>
      <c r="O1741" s="1" t="s">
        <v>498</v>
      </c>
      <c r="P1741" s="1" t="s">
        <v>488</v>
      </c>
      <c r="Q1741" s="2" t="str">
        <f t="shared" si="1"/>
        <v>H030470</v>
      </c>
    </row>
    <row r="1742">
      <c r="A1742" s="1" t="s">
        <v>8775</v>
      </c>
      <c r="B1742" s="1" t="s">
        <v>8776</v>
      </c>
      <c r="C1742" s="1" t="s">
        <v>8777</v>
      </c>
      <c r="D1742" s="1" t="s">
        <v>8778</v>
      </c>
      <c r="E1742" s="1">
        <v>6372.0</v>
      </c>
      <c r="F1742" s="1" t="s">
        <v>498</v>
      </c>
      <c r="G1742" s="1" t="s">
        <v>167</v>
      </c>
      <c r="H1742" s="1" t="s">
        <v>168</v>
      </c>
      <c r="I1742" s="1" t="s">
        <v>1112</v>
      </c>
      <c r="J1742" s="1"/>
      <c r="K1742" s="1" t="s">
        <v>23</v>
      </c>
      <c r="L1742" s="1" t="s">
        <v>8779</v>
      </c>
      <c r="M1742" s="1">
        <v>0.0</v>
      </c>
      <c r="N1742" s="1">
        <v>1.0</v>
      </c>
      <c r="O1742" s="1" t="s">
        <v>498</v>
      </c>
      <c r="P1742" s="1" t="s">
        <v>488</v>
      </c>
      <c r="Q1742" s="2" t="str">
        <f t="shared" si="1"/>
        <v>H030515</v>
      </c>
    </row>
    <row r="1743">
      <c r="A1743" s="1" t="s">
        <v>8780</v>
      </c>
      <c r="B1743" s="1" t="s">
        <v>8781</v>
      </c>
      <c r="C1743" s="1" t="s">
        <v>8782</v>
      </c>
      <c r="D1743" s="1" t="s">
        <v>8783</v>
      </c>
      <c r="E1743" s="1">
        <v>5809.0</v>
      </c>
      <c r="F1743" s="1" t="s">
        <v>351</v>
      </c>
      <c r="G1743" s="1" t="s">
        <v>208</v>
      </c>
      <c r="H1743" s="1" t="s">
        <v>209</v>
      </c>
      <c r="I1743" s="1" t="s">
        <v>486</v>
      </c>
      <c r="J1743" s="1"/>
      <c r="K1743" s="1" t="s">
        <v>23</v>
      </c>
      <c r="L1743" s="1" t="s">
        <v>8784</v>
      </c>
      <c r="M1743" s="1">
        <v>0.0</v>
      </c>
      <c r="N1743" s="1">
        <v>1.0</v>
      </c>
      <c r="O1743" s="1" t="s">
        <v>351</v>
      </c>
      <c r="P1743" s="1" t="s">
        <v>488</v>
      </c>
      <c r="Q1743" s="2" t="str">
        <f t="shared" si="1"/>
        <v>H030546</v>
      </c>
    </row>
    <row r="1744">
      <c r="A1744" s="1" t="s">
        <v>8785</v>
      </c>
      <c r="B1744" s="1" t="s">
        <v>8786</v>
      </c>
      <c r="C1744" s="1" t="s">
        <v>8787</v>
      </c>
      <c r="D1744" s="1" t="s">
        <v>8788</v>
      </c>
      <c r="E1744" s="1">
        <v>4150.0</v>
      </c>
      <c r="F1744" s="1" t="s">
        <v>351</v>
      </c>
      <c r="G1744" s="1" t="s">
        <v>208</v>
      </c>
      <c r="H1744" s="1" t="s">
        <v>209</v>
      </c>
      <c r="I1744" s="1" t="s">
        <v>486</v>
      </c>
      <c r="J1744" s="1"/>
      <c r="K1744" s="1" t="s">
        <v>23</v>
      </c>
      <c r="L1744" s="1" t="s">
        <v>8789</v>
      </c>
      <c r="M1744" s="1">
        <v>0.0</v>
      </c>
      <c r="N1744" s="1">
        <v>1.0</v>
      </c>
      <c r="O1744" s="1" t="s">
        <v>351</v>
      </c>
      <c r="P1744" s="1" t="s">
        <v>488</v>
      </c>
      <c r="Q1744" s="2" t="str">
        <f t="shared" si="1"/>
        <v>H030546</v>
      </c>
    </row>
    <row r="1745">
      <c r="A1745" s="1" t="s">
        <v>8790</v>
      </c>
      <c r="B1745" s="1" t="s">
        <v>8791</v>
      </c>
      <c r="C1745" s="1" t="s">
        <v>8792</v>
      </c>
      <c r="D1745" s="1" t="s">
        <v>8793</v>
      </c>
      <c r="E1745" s="1">
        <v>2299.0</v>
      </c>
      <c r="F1745" s="1" t="s">
        <v>315</v>
      </c>
      <c r="G1745" s="1">
        <v>841329.0</v>
      </c>
      <c r="H1745" s="1" t="s">
        <v>1848</v>
      </c>
      <c r="I1745" s="1" t="s">
        <v>1051</v>
      </c>
      <c r="J1745" s="1"/>
      <c r="K1745" s="1" t="s">
        <v>23</v>
      </c>
      <c r="L1745" s="1" t="s">
        <v>8794</v>
      </c>
      <c r="M1745" s="1">
        <v>1.0</v>
      </c>
      <c r="N1745" s="1">
        <v>1.0</v>
      </c>
      <c r="O1745" s="1" t="s">
        <v>315</v>
      </c>
      <c r="P1745" s="1" t="s">
        <v>488</v>
      </c>
      <c r="Q1745" s="2" t="str">
        <f t="shared" si="1"/>
        <v>H004132</v>
      </c>
    </row>
    <row r="1746">
      <c r="A1746" s="1" t="s">
        <v>8795</v>
      </c>
      <c r="B1746" s="1" t="s">
        <v>8796</v>
      </c>
      <c r="C1746" s="1" t="s">
        <v>8797</v>
      </c>
      <c r="D1746" s="1" t="s">
        <v>8798</v>
      </c>
      <c r="E1746" s="1">
        <v>2704.0</v>
      </c>
      <c r="F1746" s="1" t="s">
        <v>351</v>
      </c>
      <c r="G1746" s="1" t="s">
        <v>208</v>
      </c>
      <c r="H1746" s="1" t="s">
        <v>209</v>
      </c>
      <c r="I1746" s="1" t="s">
        <v>486</v>
      </c>
      <c r="J1746" s="1"/>
      <c r="K1746" s="1" t="s">
        <v>23</v>
      </c>
      <c r="L1746" s="1" t="s">
        <v>8799</v>
      </c>
      <c r="M1746" s="1">
        <v>0.0</v>
      </c>
      <c r="N1746" s="1">
        <v>1.0</v>
      </c>
      <c r="O1746" s="1" t="s">
        <v>351</v>
      </c>
      <c r="P1746" s="1" t="s">
        <v>488</v>
      </c>
      <c r="Q1746" s="2" t="str">
        <f t="shared" si="1"/>
        <v>H030433</v>
      </c>
    </row>
    <row r="1747">
      <c r="A1747" s="1" t="s">
        <v>8800</v>
      </c>
      <c r="B1747" s="1" t="s">
        <v>8801</v>
      </c>
      <c r="C1747" s="1" t="s">
        <v>8802</v>
      </c>
      <c r="D1747" s="1" t="s">
        <v>8803</v>
      </c>
      <c r="E1747" s="1">
        <v>3692.0</v>
      </c>
      <c r="F1747" s="1" t="s">
        <v>398</v>
      </c>
      <c r="G1747" s="1" t="s">
        <v>232</v>
      </c>
      <c r="H1747" s="1" t="s">
        <v>233</v>
      </c>
      <c r="I1747" s="1" t="s">
        <v>1112</v>
      </c>
      <c r="J1747" s="1"/>
      <c r="K1747" s="1" t="s">
        <v>23</v>
      </c>
      <c r="L1747" s="1" t="s">
        <v>8804</v>
      </c>
      <c r="M1747" s="1">
        <v>1.0</v>
      </c>
      <c r="N1747" s="1">
        <v>1.0</v>
      </c>
      <c r="O1747" s="1" t="s">
        <v>398</v>
      </c>
      <c r="P1747" s="1" t="s">
        <v>488</v>
      </c>
      <c r="Q1747" s="2" t="str">
        <f t="shared" si="1"/>
        <v>H030310</v>
      </c>
    </row>
    <row r="1748">
      <c r="A1748" s="1" t="s">
        <v>8805</v>
      </c>
      <c r="B1748" s="1" t="s">
        <v>8806</v>
      </c>
      <c r="C1748" s="1" t="s">
        <v>8807</v>
      </c>
      <c r="D1748" s="1" t="s">
        <v>8808</v>
      </c>
      <c r="E1748" s="1">
        <v>3241.0</v>
      </c>
      <c r="F1748" s="1" t="s">
        <v>288</v>
      </c>
      <c r="G1748" s="1">
        <v>859767.0</v>
      </c>
      <c r="H1748" s="1" t="s">
        <v>2565</v>
      </c>
      <c r="I1748" s="1" t="s">
        <v>1051</v>
      </c>
      <c r="J1748" s="1"/>
      <c r="K1748" s="1" t="s">
        <v>23</v>
      </c>
      <c r="L1748" s="1" t="s">
        <v>8809</v>
      </c>
      <c r="M1748" s="1">
        <v>2.0</v>
      </c>
      <c r="N1748" s="1">
        <v>1.0</v>
      </c>
      <c r="O1748" s="1" t="s">
        <v>288</v>
      </c>
      <c r="P1748" s="1" t="s">
        <v>488</v>
      </c>
      <c r="Q1748" s="2" t="str">
        <f t="shared" si="1"/>
        <v>H019611</v>
      </c>
    </row>
    <row r="1749">
      <c r="A1749" s="1" t="s">
        <v>8810</v>
      </c>
      <c r="B1749" s="1" t="s">
        <v>8811</v>
      </c>
      <c r="C1749" s="1" t="s">
        <v>8812</v>
      </c>
      <c r="D1749" s="1" t="s">
        <v>8813</v>
      </c>
      <c r="E1749" s="1">
        <v>2179.0</v>
      </c>
      <c r="F1749" s="1" t="s">
        <v>351</v>
      </c>
      <c r="G1749" s="1" t="s">
        <v>57</v>
      </c>
      <c r="H1749" s="1" t="s">
        <v>58</v>
      </c>
      <c r="I1749" s="1" t="s">
        <v>486</v>
      </c>
      <c r="J1749" s="1"/>
      <c r="K1749" s="1" t="s">
        <v>23</v>
      </c>
      <c r="L1749" s="1" t="s">
        <v>8814</v>
      </c>
      <c r="M1749" s="1">
        <v>0.0</v>
      </c>
      <c r="N1749" s="1">
        <v>1.0</v>
      </c>
      <c r="O1749" s="1" t="s">
        <v>351</v>
      </c>
      <c r="P1749" s="1" t="s">
        <v>488</v>
      </c>
      <c r="Q1749" s="2" t="str">
        <f t="shared" si="1"/>
        <v>H030670</v>
      </c>
    </row>
    <row r="1750">
      <c r="A1750" s="1" t="s">
        <v>8815</v>
      </c>
      <c r="B1750" s="1" t="s">
        <v>8816</v>
      </c>
      <c r="C1750" s="1" t="s">
        <v>8817</v>
      </c>
      <c r="D1750" s="1" t="s">
        <v>8818</v>
      </c>
      <c r="E1750" s="1">
        <v>1597.0</v>
      </c>
      <c r="F1750" s="1" t="s">
        <v>351</v>
      </c>
      <c r="G1750" s="1" t="s">
        <v>57</v>
      </c>
      <c r="H1750" s="1" t="s">
        <v>58</v>
      </c>
      <c r="I1750" s="1" t="s">
        <v>486</v>
      </c>
      <c r="J1750" s="1"/>
      <c r="K1750" s="1" t="s">
        <v>23</v>
      </c>
      <c r="L1750" s="1" t="s">
        <v>8819</v>
      </c>
      <c r="M1750" s="1">
        <v>1.0</v>
      </c>
      <c r="N1750" s="1">
        <v>1.0</v>
      </c>
      <c r="O1750" s="1" t="s">
        <v>351</v>
      </c>
      <c r="P1750" s="1" t="s">
        <v>488</v>
      </c>
      <c r="Q1750" s="2" t="str">
        <f t="shared" si="1"/>
        <v>H030106</v>
      </c>
    </row>
    <row r="1751">
      <c r="A1751" s="1" t="s">
        <v>8820</v>
      </c>
      <c r="B1751" s="1" t="s">
        <v>8821</v>
      </c>
      <c r="C1751" s="1" t="s">
        <v>8822</v>
      </c>
      <c r="D1751" s="1" t="s">
        <v>8823</v>
      </c>
      <c r="E1751" s="1">
        <v>14.0</v>
      </c>
      <c r="F1751" s="1" t="s">
        <v>351</v>
      </c>
      <c r="G1751" s="1" t="s">
        <v>260</v>
      </c>
      <c r="H1751" s="1" t="s">
        <v>261</v>
      </c>
      <c r="I1751" s="1" t="s">
        <v>486</v>
      </c>
      <c r="J1751" s="1"/>
      <c r="K1751" s="1" t="s">
        <v>23</v>
      </c>
      <c r="L1751" s="1" t="s">
        <v>8824</v>
      </c>
      <c r="M1751" s="1">
        <v>3.0</v>
      </c>
      <c r="N1751" s="1">
        <v>0.0</v>
      </c>
      <c r="O1751" s="1" t="s">
        <v>351</v>
      </c>
      <c r="P1751" s="1" t="s">
        <v>25</v>
      </c>
      <c r="Q1751" s="2" t="str">
        <f t="shared" si="1"/>
        <v>H030255</v>
      </c>
    </row>
    <row r="1752">
      <c r="A1752" s="1" t="s">
        <v>8825</v>
      </c>
      <c r="B1752" s="1" t="s">
        <v>8826</v>
      </c>
      <c r="C1752" s="1" t="s">
        <v>8827</v>
      </c>
      <c r="D1752" s="1" t="s">
        <v>8828</v>
      </c>
      <c r="E1752" s="1">
        <v>2964.0</v>
      </c>
      <c r="F1752" s="1" t="s">
        <v>351</v>
      </c>
      <c r="G1752" s="1" t="s">
        <v>260</v>
      </c>
      <c r="H1752" s="1" t="s">
        <v>261</v>
      </c>
      <c r="I1752" s="1" t="s">
        <v>486</v>
      </c>
      <c r="J1752" s="1"/>
      <c r="K1752" s="1" t="s">
        <v>23</v>
      </c>
      <c r="L1752" s="1" t="s">
        <v>8829</v>
      </c>
      <c r="M1752" s="1">
        <v>0.0</v>
      </c>
      <c r="N1752" s="1">
        <v>1.0</v>
      </c>
      <c r="O1752" s="1" t="s">
        <v>351</v>
      </c>
      <c r="P1752" s="1" t="s">
        <v>488</v>
      </c>
      <c r="Q1752" s="2" t="str">
        <f t="shared" si="1"/>
        <v>H030670</v>
      </c>
    </row>
    <row r="1753">
      <c r="A1753" s="1" t="s">
        <v>8830</v>
      </c>
      <c r="B1753" s="1" t="s">
        <v>8831</v>
      </c>
      <c r="C1753" s="1" t="s">
        <v>8832</v>
      </c>
      <c r="D1753" s="1" t="s">
        <v>8833</v>
      </c>
      <c r="E1753" s="1">
        <v>2525.0</v>
      </c>
      <c r="F1753" s="1" t="s">
        <v>382</v>
      </c>
      <c r="G1753" s="1" t="s">
        <v>474</v>
      </c>
      <c r="H1753" s="1" t="s">
        <v>475</v>
      </c>
      <c r="I1753" s="1" t="s">
        <v>486</v>
      </c>
      <c r="J1753" s="1"/>
      <c r="K1753" s="1" t="s">
        <v>23</v>
      </c>
      <c r="L1753" s="1" t="s">
        <v>8834</v>
      </c>
      <c r="M1753" s="1">
        <v>0.0</v>
      </c>
      <c r="N1753" s="1">
        <v>1.0</v>
      </c>
      <c r="O1753" s="1" t="s">
        <v>382</v>
      </c>
      <c r="P1753" s="1" t="s">
        <v>488</v>
      </c>
      <c r="Q1753" s="2" t="str">
        <f t="shared" si="1"/>
        <v>H030264</v>
      </c>
    </row>
    <row r="1754">
      <c r="A1754" s="1" t="s">
        <v>8835</v>
      </c>
      <c r="B1754" s="1" t="s">
        <v>8836</v>
      </c>
      <c r="C1754" s="1" t="s">
        <v>8837</v>
      </c>
      <c r="D1754" s="1" t="s">
        <v>8838</v>
      </c>
      <c r="E1754" s="1">
        <v>3557.0</v>
      </c>
      <c r="F1754" s="1" t="s">
        <v>288</v>
      </c>
      <c r="G1754" s="1" t="s">
        <v>304</v>
      </c>
      <c r="H1754" s="1" t="s">
        <v>272</v>
      </c>
      <c r="I1754" s="1" t="s">
        <v>1051</v>
      </c>
      <c r="J1754" s="1"/>
      <c r="K1754" s="1" t="s">
        <v>23</v>
      </c>
      <c r="L1754" s="1" t="s">
        <v>8839</v>
      </c>
      <c r="M1754" s="1">
        <v>2.0</v>
      </c>
      <c r="N1754" s="1">
        <v>1.0</v>
      </c>
      <c r="O1754" s="1" t="s">
        <v>288</v>
      </c>
      <c r="P1754" s="1" t="s">
        <v>488</v>
      </c>
      <c r="Q1754" s="2" t="str">
        <f t="shared" si="1"/>
        <v>H019611</v>
      </c>
    </row>
    <row r="1755">
      <c r="A1755" s="1" t="s">
        <v>8840</v>
      </c>
      <c r="B1755" s="1" t="s">
        <v>8841</v>
      </c>
      <c r="C1755" s="1" t="s">
        <v>8842</v>
      </c>
      <c r="D1755" s="1" t="s">
        <v>8843</v>
      </c>
      <c r="E1755" s="1">
        <v>2034.0</v>
      </c>
      <c r="F1755" s="1" t="s">
        <v>351</v>
      </c>
      <c r="G1755" s="1" t="s">
        <v>57</v>
      </c>
      <c r="H1755" s="1" t="s">
        <v>58</v>
      </c>
      <c r="I1755" s="1" t="s">
        <v>486</v>
      </c>
      <c r="J1755" s="1"/>
      <c r="K1755" s="1" t="s">
        <v>23</v>
      </c>
      <c r="L1755" s="1" t="s">
        <v>8844</v>
      </c>
      <c r="M1755" s="1">
        <v>0.0</v>
      </c>
      <c r="N1755" s="1">
        <v>1.0</v>
      </c>
      <c r="O1755" s="1" t="s">
        <v>351</v>
      </c>
      <c r="P1755" s="1" t="s">
        <v>488</v>
      </c>
      <c r="Q1755" s="2" t="str">
        <f t="shared" si="1"/>
        <v>H030670</v>
      </c>
    </row>
    <row r="1756">
      <c r="A1756" s="1" t="s">
        <v>8845</v>
      </c>
      <c r="B1756" s="1" t="s">
        <v>8846</v>
      </c>
      <c r="C1756" s="1" t="s">
        <v>8847</v>
      </c>
      <c r="D1756" s="1" t="s">
        <v>8848</v>
      </c>
      <c r="E1756" s="1">
        <v>3890.0</v>
      </c>
      <c r="F1756" s="1" t="s">
        <v>351</v>
      </c>
      <c r="G1756" s="1" t="s">
        <v>260</v>
      </c>
      <c r="H1756" s="1" t="s">
        <v>261</v>
      </c>
      <c r="I1756" s="1" t="s">
        <v>486</v>
      </c>
      <c r="J1756" s="1"/>
      <c r="K1756" s="1" t="s">
        <v>23</v>
      </c>
      <c r="L1756" s="1" t="s">
        <v>8849</v>
      </c>
      <c r="M1756" s="1">
        <v>0.0</v>
      </c>
      <c r="N1756" s="1">
        <v>1.0</v>
      </c>
      <c r="O1756" s="1" t="s">
        <v>351</v>
      </c>
      <c r="P1756" s="1" t="s">
        <v>488</v>
      </c>
      <c r="Q1756" s="2" t="str">
        <f t="shared" si="1"/>
        <v>H030670</v>
      </c>
    </row>
    <row r="1757">
      <c r="A1757" s="1" t="s">
        <v>8850</v>
      </c>
      <c r="B1757" s="1" t="s">
        <v>8851</v>
      </c>
      <c r="C1757" s="1" t="s">
        <v>8852</v>
      </c>
      <c r="D1757" s="1" t="s">
        <v>8853</v>
      </c>
      <c r="E1757" s="1">
        <v>4608.0</v>
      </c>
      <c r="F1757" s="1" t="s">
        <v>382</v>
      </c>
      <c r="G1757" s="1" t="s">
        <v>119</v>
      </c>
      <c r="H1757" s="1" t="s">
        <v>120</v>
      </c>
      <c r="I1757" s="1" t="s">
        <v>486</v>
      </c>
      <c r="J1757" s="1"/>
      <c r="K1757" s="1" t="s">
        <v>23</v>
      </c>
      <c r="L1757" s="1" t="s">
        <v>8854</v>
      </c>
      <c r="M1757" s="1">
        <v>3.0</v>
      </c>
      <c r="N1757" s="1">
        <v>1.0</v>
      </c>
      <c r="O1757" s="1" t="s">
        <v>382</v>
      </c>
      <c r="P1757" s="1" t="s">
        <v>488</v>
      </c>
      <c r="Q1757" s="2" t="str">
        <f t="shared" si="1"/>
        <v>H030507</v>
      </c>
    </row>
    <row r="1758">
      <c r="A1758" s="1" t="s">
        <v>8855</v>
      </c>
      <c r="B1758" s="1" t="s">
        <v>8856</v>
      </c>
      <c r="C1758" s="1" t="s">
        <v>8857</v>
      </c>
      <c r="D1758" s="1" t="s">
        <v>8858</v>
      </c>
      <c r="E1758" s="1">
        <v>155.0</v>
      </c>
      <c r="F1758" s="1" t="s">
        <v>288</v>
      </c>
      <c r="G1758" s="1" t="s">
        <v>304</v>
      </c>
      <c r="H1758" s="1" t="s">
        <v>272</v>
      </c>
      <c r="I1758" s="1" t="s">
        <v>1051</v>
      </c>
      <c r="J1758" s="1"/>
      <c r="K1758" s="1" t="s">
        <v>23</v>
      </c>
      <c r="L1758" s="1" t="s">
        <v>8859</v>
      </c>
      <c r="M1758" s="1">
        <v>1.0</v>
      </c>
      <c r="N1758" s="1">
        <v>0.0</v>
      </c>
      <c r="O1758" s="1" t="s">
        <v>288</v>
      </c>
      <c r="P1758" s="1" t="s">
        <v>25</v>
      </c>
      <c r="Q1758" s="2" t="str">
        <f t="shared" si="1"/>
        <v>H019506</v>
      </c>
    </row>
    <row r="1759">
      <c r="A1759" s="1" t="s">
        <v>8860</v>
      </c>
      <c r="B1759" s="1" t="s">
        <v>8861</v>
      </c>
      <c r="C1759" s="1" t="s">
        <v>8862</v>
      </c>
      <c r="D1759" s="1" t="s">
        <v>8863</v>
      </c>
      <c r="E1759" s="1">
        <v>5727.0</v>
      </c>
      <c r="F1759" s="1" t="s">
        <v>382</v>
      </c>
      <c r="G1759" s="1" t="s">
        <v>107</v>
      </c>
      <c r="H1759" s="1" t="s">
        <v>108</v>
      </c>
      <c r="I1759" s="1" t="s">
        <v>486</v>
      </c>
      <c r="J1759" s="1"/>
      <c r="K1759" s="1" t="s">
        <v>23</v>
      </c>
      <c r="L1759" s="1" t="s">
        <v>8864</v>
      </c>
      <c r="M1759" s="1">
        <v>1.0</v>
      </c>
      <c r="N1759" s="1">
        <v>1.0</v>
      </c>
      <c r="O1759" s="1" t="s">
        <v>382</v>
      </c>
      <c r="P1759" s="1" t="s">
        <v>488</v>
      </c>
      <c r="Q1759" s="2" t="str">
        <f t="shared" si="1"/>
        <v>H030375</v>
      </c>
    </row>
    <row r="1760">
      <c r="A1760" s="1" t="s">
        <v>8865</v>
      </c>
      <c r="B1760" s="1" t="s">
        <v>8866</v>
      </c>
      <c r="C1760" s="1" t="s">
        <v>8867</v>
      </c>
      <c r="D1760" s="1" t="s">
        <v>8868</v>
      </c>
      <c r="E1760" s="1">
        <v>3489.0</v>
      </c>
      <c r="F1760" s="1" t="s">
        <v>351</v>
      </c>
      <c r="G1760" s="1" t="s">
        <v>260</v>
      </c>
      <c r="H1760" s="1" t="s">
        <v>261</v>
      </c>
      <c r="I1760" s="1" t="s">
        <v>486</v>
      </c>
      <c r="J1760" s="1"/>
      <c r="K1760" s="1" t="s">
        <v>23</v>
      </c>
      <c r="L1760" s="1" t="s">
        <v>8869</v>
      </c>
      <c r="M1760" s="1">
        <v>0.0</v>
      </c>
      <c r="N1760" s="1">
        <v>1.0</v>
      </c>
      <c r="O1760" s="1" t="s">
        <v>351</v>
      </c>
      <c r="P1760" s="1" t="s">
        <v>488</v>
      </c>
      <c r="Q1760" s="2" t="str">
        <f t="shared" si="1"/>
        <v>H030670</v>
      </c>
    </row>
    <row r="1761">
      <c r="A1761" s="1" t="s">
        <v>8870</v>
      </c>
      <c r="B1761" s="1" t="s">
        <v>8871</v>
      </c>
      <c r="C1761" s="1" t="s">
        <v>8872</v>
      </c>
      <c r="D1761" s="1" t="s">
        <v>8873</v>
      </c>
      <c r="E1761" s="1">
        <v>3615.0</v>
      </c>
      <c r="F1761" s="1" t="s">
        <v>398</v>
      </c>
      <c r="G1761" s="1" t="s">
        <v>155</v>
      </c>
      <c r="H1761" s="1" t="s">
        <v>156</v>
      </c>
      <c r="I1761" s="1" t="s">
        <v>1112</v>
      </c>
      <c r="J1761" s="1"/>
      <c r="K1761" s="1" t="s">
        <v>23</v>
      </c>
      <c r="L1761" s="1" t="s">
        <v>8874</v>
      </c>
      <c r="M1761" s="1">
        <v>0.0</v>
      </c>
      <c r="N1761" s="1">
        <v>1.0</v>
      </c>
      <c r="O1761" s="1" t="s">
        <v>398</v>
      </c>
      <c r="P1761" s="1" t="s">
        <v>488</v>
      </c>
      <c r="Q1761" s="2" t="str">
        <f t="shared" si="1"/>
        <v>H030792</v>
      </c>
    </row>
    <row r="1762">
      <c r="Q1762" s="2" t="str">
        <f t="shared" si="1"/>
        <v/>
      </c>
    </row>
    <row r="1763">
      <c r="Q1763" s="2" t="str">
        <f t="shared" si="1"/>
        <v/>
      </c>
    </row>
    <row r="1764">
      <c r="Q1764" s="2" t="str">
        <f t="shared" si="1"/>
        <v/>
      </c>
    </row>
    <row r="1765">
      <c r="Q1765" s="2" t="str">
        <f t="shared" si="1"/>
        <v/>
      </c>
    </row>
    <row r="1766">
      <c r="Q1766" s="2" t="str">
        <f t="shared" si="1"/>
        <v/>
      </c>
    </row>
    <row r="1767">
      <c r="Q1767" s="2" t="str">
        <f t="shared" si="1"/>
        <v/>
      </c>
    </row>
    <row r="1768">
      <c r="Q1768" s="2" t="str">
        <f t="shared" si="1"/>
        <v/>
      </c>
    </row>
    <row r="1769">
      <c r="Q1769" s="2" t="str">
        <f t="shared" si="1"/>
        <v/>
      </c>
    </row>
    <row r="1770">
      <c r="Q1770" s="2" t="str">
        <f t="shared" si="1"/>
        <v/>
      </c>
    </row>
    <row r="1771">
      <c r="Q1771" s="2" t="str">
        <f t="shared" si="1"/>
        <v/>
      </c>
    </row>
    <row r="1772">
      <c r="Q1772" s="2" t="str">
        <f t="shared" si="1"/>
        <v/>
      </c>
    </row>
    <row r="1773">
      <c r="Q1773" s="2" t="str">
        <f t="shared" si="1"/>
        <v/>
      </c>
    </row>
    <row r="1774">
      <c r="Q1774" s="2" t="str">
        <f t="shared" si="1"/>
        <v/>
      </c>
    </row>
    <row r="1775">
      <c r="Q1775" s="2" t="str">
        <f t="shared" si="1"/>
        <v/>
      </c>
    </row>
    <row r="1776">
      <c r="Q1776" s="2" t="str">
        <f t="shared" si="1"/>
        <v/>
      </c>
    </row>
    <row r="1777">
      <c r="Q1777" s="2" t="str">
        <f t="shared" si="1"/>
        <v/>
      </c>
    </row>
    <row r="1778">
      <c r="Q1778" s="2" t="str">
        <f t="shared" si="1"/>
        <v/>
      </c>
    </row>
    <row r="1779">
      <c r="Q1779" s="2" t="str">
        <f t="shared" si="1"/>
        <v/>
      </c>
    </row>
    <row r="1780">
      <c r="Q1780" s="2" t="str">
        <f t="shared" si="1"/>
        <v/>
      </c>
    </row>
    <row r="1781">
      <c r="Q1781" s="2" t="str">
        <f t="shared" si="1"/>
        <v/>
      </c>
    </row>
    <row r="1782">
      <c r="Q1782" s="2" t="str">
        <f t="shared" si="1"/>
        <v/>
      </c>
    </row>
    <row r="1783">
      <c r="Q1783" s="2" t="str">
        <f t="shared" si="1"/>
        <v/>
      </c>
    </row>
    <row r="1784">
      <c r="Q1784" s="2" t="str">
        <f t="shared" si="1"/>
        <v/>
      </c>
    </row>
    <row r="1785">
      <c r="Q1785" s="2" t="str">
        <f t="shared" si="1"/>
        <v/>
      </c>
    </row>
    <row r="1786">
      <c r="Q1786" s="2" t="str">
        <f t="shared" si="1"/>
        <v/>
      </c>
    </row>
    <row r="1787">
      <c r="Q1787" s="2" t="str">
        <f t="shared" si="1"/>
        <v/>
      </c>
    </row>
    <row r="1788">
      <c r="Q1788" s="2" t="str">
        <f t="shared" si="1"/>
        <v/>
      </c>
    </row>
    <row r="1789">
      <c r="Q1789" s="2" t="str">
        <f t="shared" si="1"/>
        <v/>
      </c>
    </row>
    <row r="1790">
      <c r="Q1790" s="2" t="str">
        <f t="shared" si="1"/>
        <v/>
      </c>
    </row>
    <row r="1791">
      <c r="Q1791" s="2" t="str">
        <f t="shared" si="1"/>
        <v/>
      </c>
    </row>
    <row r="1792">
      <c r="Q1792" s="2" t="str">
        <f t="shared" si="1"/>
        <v/>
      </c>
    </row>
    <row r="1793">
      <c r="Q1793" s="2" t="str">
        <f t="shared" si="1"/>
        <v/>
      </c>
    </row>
    <row r="1794">
      <c r="Q1794" s="2" t="str">
        <f t="shared" si="1"/>
        <v/>
      </c>
    </row>
    <row r="1795">
      <c r="Q1795" s="2" t="str">
        <f t="shared" si="1"/>
        <v/>
      </c>
    </row>
    <row r="1796">
      <c r="Q1796" s="2" t="str">
        <f t="shared" si="1"/>
        <v/>
      </c>
    </row>
    <row r="1797">
      <c r="Q1797" s="2" t="str">
        <f t="shared" si="1"/>
        <v/>
      </c>
    </row>
    <row r="1798">
      <c r="Q1798" s="2" t="str">
        <f t="shared" si="1"/>
        <v/>
      </c>
    </row>
    <row r="1799">
      <c r="Q1799" s="2" t="str">
        <f t="shared" si="1"/>
        <v/>
      </c>
    </row>
    <row r="1800">
      <c r="Q1800" s="2" t="str">
        <f t="shared" si="1"/>
        <v/>
      </c>
    </row>
    <row r="1801">
      <c r="Q1801" s="2" t="str">
        <f t="shared" si="1"/>
        <v/>
      </c>
    </row>
    <row r="1802">
      <c r="Q1802" s="2" t="str">
        <f t="shared" si="1"/>
        <v/>
      </c>
    </row>
    <row r="1803">
      <c r="Q1803" s="2" t="str">
        <f t="shared" si="1"/>
        <v/>
      </c>
    </row>
    <row r="1804">
      <c r="Q1804" s="2" t="str">
        <f t="shared" si="1"/>
        <v/>
      </c>
    </row>
    <row r="1805">
      <c r="Q1805" s="2" t="str">
        <f t="shared" si="1"/>
        <v/>
      </c>
    </row>
    <row r="1806">
      <c r="Q1806" s="2" t="str">
        <f t="shared" si="1"/>
        <v/>
      </c>
    </row>
    <row r="1807">
      <c r="Q1807" s="2" t="str">
        <f t="shared" si="1"/>
        <v/>
      </c>
    </row>
    <row r="1808">
      <c r="Q1808" s="2" t="str">
        <f t="shared" si="1"/>
        <v/>
      </c>
    </row>
    <row r="1809">
      <c r="Q1809" s="2" t="str">
        <f t="shared" si="1"/>
        <v/>
      </c>
    </row>
    <row r="1810">
      <c r="Q1810" s="2" t="str">
        <f t="shared" si="1"/>
        <v/>
      </c>
    </row>
    <row r="1811">
      <c r="Q1811" s="2" t="str">
        <f t="shared" si="1"/>
        <v/>
      </c>
    </row>
    <row r="1812">
      <c r="Q1812" s="2" t="str">
        <f t="shared" si="1"/>
        <v/>
      </c>
    </row>
    <row r="1813">
      <c r="Q1813" s="2" t="str">
        <f t="shared" si="1"/>
        <v/>
      </c>
    </row>
    <row r="1814">
      <c r="Q1814" s="2" t="str">
        <f t="shared" si="1"/>
        <v/>
      </c>
    </row>
    <row r="1815">
      <c r="Q1815" s="2" t="str">
        <f t="shared" si="1"/>
        <v/>
      </c>
    </row>
    <row r="1816">
      <c r="Q1816" s="2" t="str">
        <f t="shared" si="1"/>
        <v/>
      </c>
    </row>
    <row r="1817">
      <c r="Q1817" s="2" t="str">
        <f t="shared" si="1"/>
        <v/>
      </c>
    </row>
    <row r="1818">
      <c r="Q1818" s="2" t="str">
        <f t="shared" si="1"/>
        <v/>
      </c>
    </row>
    <row r="1819">
      <c r="Q1819" s="2" t="str">
        <f t="shared" si="1"/>
        <v/>
      </c>
    </row>
    <row r="1820">
      <c r="Q1820" s="2" t="str">
        <f t="shared" si="1"/>
        <v/>
      </c>
    </row>
    <row r="1821">
      <c r="Q1821" s="2" t="str">
        <f t="shared" si="1"/>
        <v/>
      </c>
    </row>
    <row r="1822">
      <c r="Q1822" s="2" t="str">
        <f t="shared" si="1"/>
        <v/>
      </c>
    </row>
    <row r="1823">
      <c r="Q1823" s="2" t="str">
        <f t="shared" si="1"/>
        <v/>
      </c>
    </row>
    <row r="1824">
      <c r="Q1824" s="2" t="str">
        <f t="shared" si="1"/>
        <v/>
      </c>
    </row>
    <row r="1825">
      <c r="Q1825" s="2" t="str">
        <f t="shared" si="1"/>
        <v/>
      </c>
    </row>
    <row r="1826">
      <c r="Q1826" s="2" t="str">
        <f t="shared" si="1"/>
        <v/>
      </c>
    </row>
    <row r="1827">
      <c r="Q1827" s="2" t="str">
        <f t="shared" si="1"/>
        <v/>
      </c>
    </row>
    <row r="1828">
      <c r="Q1828" s="2" t="str">
        <f t="shared" si="1"/>
        <v/>
      </c>
    </row>
    <row r="1829">
      <c r="Q1829" s="2" t="str">
        <f t="shared" si="1"/>
        <v/>
      </c>
    </row>
    <row r="1830">
      <c r="Q1830" s="2" t="str">
        <f t="shared" si="1"/>
        <v/>
      </c>
    </row>
    <row r="1831">
      <c r="Q1831" s="2" t="str">
        <f t="shared" si="1"/>
        <v/>
      </c>
    </row>
    <row r="1832">
      <c r="Q1832" s="2" t="str">
        <f t="shared" si="1"/>
        <v/>
      </c>
    </row>
    <row r="1833">
      <c r="Q1833" s="2" t="str">
        <f t="shared" si="1"/>
        <v/>
      </c>
    </row>
    <row r="1834">
      <c r="Q1834" s="2" t="str">
        <f t="shared" si="1"/>
        <v/>
      </c>
    </row>
    <row r="1835">
      <c r="Q1835" s="2" t="str">
        <f t="shared" si="1"/>
        <v/>
      </c>
    </row>
    <row r="1836">
      <c r="Q1836" s="2" t="str">
        <f t="shared" si="1"/>
        <v/>
      </c>
    </row>
    <row r="1837">
      <c r="Q1837" s="2" t="str">
        <f t="shared" si="1"/>
        <v/>
      </c>
    </row>
    <row r="1838">
      <c r="Q1838" s="2" t="str">
        <f t="shared" si="1"/>
        <v/>
      </c>
    </row>
    <row r="1839">
      <c r="Q1839" s="2" t="str">
        <f t="shared" si="1"/>
        <v/>
      </c>
    </row>
    <row r="1840">
      <c r="Q1840" s="2" t="str">
        <f t="shared" si="1"/>
        <v/>
      </c>
    </row>
    <row r="1841">
      <c r="Q1841" s="2" t="str">
        <f t="shared" si="1"/>
        <v/>
      </c>
    </row>
    <row r="1842">
      <c r="Q1842" s="2" t="str">
        <f t="shared" si="1"/>
        <v/>
      </c>
    </row>
    <row r="1843">
      <c r="Q1843" s="2" t="str">
        <f t="shared" si="1"/>
        <v/>
      </c>
    </row>
    <row r="1844">
      <c r="Q1844" s="2" t="str">
        <f t="shared" si="1"/>
        <v/>
      </c>
    </row>
    <row r="1845">
      <c r="Q1845" s="2" t="str">
        <f t="shared" si="1"/>
        <v/>
      </c>
    </row>
    <row r="1846">
      <c r="Q1846" s="2" t="str">
        <f t="shared" si="1"/>
        <v/>
      </c>
    </row>
    <row r="1847">
      <c r="Q1847" s="2" t="str">
        <f t="shared" si="1"/>
        <v/>
      </c>
    </row>
    <row r="1848">
      <c r="Q1848" s="2" t="str">
        <f t="shared" si="1"/>
        <v/>
      </c>
    </row>
    <row r="1849">
      <c r="Q1849" s="2" t="str">
        <f t="shared" si="1"/>
        <v/>
      </c>
    </row>
    <row r="1850">
      <c r="Q1850" s="2" t="str">
        <f t="shared" si="1"/>
        <v/>
      </c>
    </row>
    <row r="1851">
      <c r="Q1851" s="2" t="str">
        <f t="shared" si="1"/>
        <v/>
      </c>
    </row>
    <row r="1852">
      <c r="Q1852" s="2" t="str">
        <f t="shared" si="1"/>
        <v/>
      </c>
    </row>
    <row r="1853">
      <c r="Q1853" s="2" t="str">
        <f t="shared" si="1"/>
        <v/>
      </c>
    </row>
    <row r="1854">
      <c r="Q1854" s="2" t="str">
        <f t="shared" si="1"/>
        <v/>
      </c>
    </row>
    <row r="1855">
      <c r="Q1855" s="2" t="str">
        <f t="shared" si="1"/>
        <v/>
      </c>
    </row>
    <row r="1856">
      <c r="Q1856" s="2" t="str">
        <f t="shared" si="1"/>
        <v/>
      </c>
    </row>
    <row r="1857">
      <c r="Q1857" s="2" t="str">
        <f t="shared" si="1"/>
        <v/>
      </c>
    </row>
    <row r="1858">
      <c r="Q1858" s="2" t="str">
        <f t="shared" si="1"/>
        <v/>
      </c>
    </row>
    <row r="1859">
      <c r="Q1859" s="2" t="str">
        <f t="shared" si="1"/>
        <v/>
      </c>
    </row>
    <row r="1860">
      <c r="Q1860" s="2" t="str">
        <f t="shared" si="1"/>
        <v/>
      </c>
    </row>
    <row r="1861">
      <c r="Q1861" s="2" t="str">
        <f t="shared" si="1"/>
        <v/>
      </c>
    </row>
    <row r="1862">
      <c r="Q1862" s="2" t="str">
        <f t="shared" si="1"/>
        <v/>
      </c>
    </row>
    <row r="1863">
      <c r="Q1863" s="2" t="str">
        <f t="shared" si="1"/>
        <v/>
      </c>
    </row>
    <row r="1864">
      <c r="Q1864" s="2" t="str">
        <f t="shared" si="1"/>
        <v/>
      </c>
    </row>
    <row r="1865">
      <c r="Q1865" s="2" t="str">
        <f t="shared" si="1"/>
        <v/>
      </c>
    </row>
    <row r="1866">
      <c r="Q1866" s="2" t="str">
        <f t="shared" si="1"/>
        <v/>
      </c>
    </row>
    <row r="1867">
      <c r="Q1867" s="2" t="str">
        <f t="shared" si="1"/>
        <v/>
      </c>
    </row>
    <row r="1868">
      <c r="Q1868" s="2" t="str">
        <f t="shared" si="1"/>
        <v/>
      </c>
    </row>
    <row r="1869">
      <c r="Q1869" s="2" t="str">
        <f t="shared" si="1"/>
        <v/>
      </c>
    </row>
    <row r="1870">
      <c r="Q1870" s="2" t="str">
        <f t="shared" si="1"/>
        <v/>
      </c>
    </row>
    <row r="1871">
      <c r="Q1871" s="2" t="str">
        <f t="shared" si="1"/>
        <v/>
      </c>
    </row>
    <row r="1872">
      <c r="Q1872" s="2" t="str">
        <f t="shared" si="1"/>
        <v/>
      </c>
    </row>
    <row r="1873">
      <c r="Q1873" s="2" t="str">
        <f t="shared" si="1"/>
        <v/>
      </c>
    </row>
    <row r="1874">
      <c r="Q1874" s="2" t="str">
        <f t="shared" si="1"/>
        <v/>
      </c>
    </row>
    <row r="1875">
      <c r="Q1875" s="2" t="str">
        <f t="shared" si="1"/>
        <v/>
      </c>
    </row>
    <row r="1876">
      <c r="Q1876" s="2" t="str">
        <f t="shared" si="1"/>
        <v/>
      </c>
    </row>
    <row r="1877">
      <c r="Q1877" s="2" t="str">
        <f t="shared" si="1"/>
        <v/>
      </c>
    </row>
    <row r="1878">
      <c r="Q1878" s="2" t="str">
        <f t="shared" si="1"/>
        <v/>
      </c>
    </row>
    <row r="1879">
      <c r="Q1879" s="2" t="str">
        <f t="shared" si="1"/>
        <v/>
      </c>
    </row>
    <row r="1880">
      <c r="Q1880" s="2" t="str">
        <f t="shared" si="1"/>
        <v/>
      </c>
    </row>
    <row r="1881">
      <c r="Q1881" s="2" t="str">
        <f t="shared" si="1"/>
        <v/>
      </c>
    </row>
    <row r="1882">
      <c r="Q1882" s="2" t="str">
        <f t="shared" si="1"/>
        <v/>
      </c>
    </row>
    <row r="1883">
      <c r="Q1883" s="2" t="str">
        <f t="shared" si="1"/>
        <v/>
      </c>
    </row>
    <row r="1884">
      <c r="Q1884" s="2" t="str">
        <f t="shared" si="1"/>
        <v/>
      </c>
    </row>
    <row r="1885">
      <c r="Q1885" s="2" t="str">
        <f t="shared" si="1"/>
        <v/>
      </c>
    </row>
    <row r="1886">
      <c r="Q1886" s="2" t="str">
        <f t="shared" si="1"/>
        <v/>
      </c>
    </row>
    <row r="1887">
      <c r="Q1887" s="2" t="str">
        <f t="shared" si="1"/>
        <v/>
      </c>
    </row>
    <row r="1888">
      <c r="Q1888" s="2" t="str">
        <f t="shared" si="1"/>
        <v/>
      </c>
    </row>
    <row r="1889">
      <c r="Q1889" s="2" t="str">
        <f t="shared" si="1"/>
        <v/>
      </c>
    </row>
    <row r="1890">
      <c r="Q1890" s="2" t="str">
        <f t="shared" si="1"/>
        <v/>
      </c>
    </row>
    <row r="1891">
      <c r="Q1891" s="2" t="str">
        <f t="shared" si="1"/>
        <v/>
      </c>
    </row>
    <row r="1892">
      <c r="Q1892" s="2" t="str">
        <f t="shared" si="1"/>
        <v/>
      </c>
    </row>
    <row r="1893">
      <c r="Q1893" s="2" t="str">
        <f t="shared" si="1"/>
        <v/>
      </c>
    </row>
    <row r="1894">
      <c r="Q1894" s="2" t="str">
        <f t="shared" si="1"/>
        <v/>
      </c>
    </row>
    <row r="1895">
      <c r="Q1895" s="2" t="str">
        <f t="shared" si="1"/>
        <v/>
      </c>
    </row>
    <row r="1896">
      <c r="Q1896" s="2" t="str">
        <f t="shared" si="1"/>
        <v/>
      </c>
    </row>
    <row r="1897">
      <c r="Q1897" s="2" t="str">
        <f t="shared" si="1"/>
        <v/>
      </c>
    </row>
    <row r="1898">
      <c r="Q1898" s="2" t="str">
        <f t="shared" si="1"/>
        <v/>
      </c>
    </row>
    <row r="1899">
      <c r="Q1899" s="2" t="str">
        <f t="shared" si="1"/>
        <v/>
      </c>
    </row>
    <row r="1900">
      <c r="Q1900" s="2" t="str">
        <f t="shared" si="1"/>
        <v/>
      </c>
    </row>
    <row r="1901">
      <c r="Q1901" s="2" t="str">
        <f t="shared" si="1"/>
        <v/>
      </c>
    </row>
    <row r="1902">
      <c r="Q1902" s="2" t="str">
        <f t="shared" si="1"/>
        <v/>
      </c>
    </row>
    <row r="1903">
      <c r="Q1903" s="2" t="str">
        <f t="shared" si="1"/>
        <v/>
      </c>
    </row>
    <row r="1904">
      <c r="Q1904" s="2" t="str">
        <f t="shared" si="1"/>
        <v/>
      </c>
    </row>
    <row r="1905">
      <c r="Q1905" s="2" t="str">
        <f t="shared" si="1"/>
        <v/>
      </c>
    </row>
    <row r="1906">
      <c r="Q1906" s="2" t="str">
        <f t="shared" si="1"/>
        <v/>
      </c>
    </row>
    <row r="1907">
      <c r="Q1907" s="2" t="str">
        <f t="shared" si="1"/>
        <v/>
      </c>
    </row>
    <row r="1908">
      <c r="Q1908" s="2" t="str">
        <f t="shared" si="1"/>
        <v/>
      </c>
    </row>
    <row r="1909">
      <c r="Q1909" s="2" t="str">
        <f t="shared" si="1"/>
        <v/>
      </c>
    </row>
    <row r="1910">
      <c r="Q1910" s="2" t="str">
        <f t="shared" si="1"/>
        <v/>
      </c>
    </row>
    <row r="1911">
      <c r="Q1911" s="2" t="str">
        <f t="shared" si="1"/>
        <v/>
      </c>
    </row>
    <row r="1912">
      <c r="Q1912" s="2" t="str">
        <f t="shared" si="1"/>
        <v/>
      </c>
    </row>
    <row r="1913">
      <c r="Q1913" s="2" t="str">
        <f t="shared" si="1"/>
        <v/>
      </c>
    </row>
    <row r="1914">
      <c r="Q1914" s="2" t="str">
        <f t="shared" si="1"/>
        <v/>
      </c>
    </row>
    <row r="1915">
      <c r="Q1915" s="2" t="str">
        <f t="shared" si="1"/>
        <v/>
      </c>
    </row>
    <row r="1916">
      <c r="Q1916" s="2" t="str">
        <f t="shared" si="1"/>
        <v/>
      </c>
    </row>
    <row r="1917">
      <c r="Q1917" s="2" t="str">
        <f t="shared" si="1"/>
        <v/>
      </c>
    </row>
    <row r="1918">
      <c r="Q1918" s="2" t="str">
        <f t="shared" si="1"/>
        <v/>
      </c>
    </row>
    <row r="1919">
      <c r="Q1919" s="2" t="str">
        <f t="shared" si="1"/>
        <v/>
      </c>
    </row>
    <row r="1920">
      <c r="Q1920" s="2" t="str">
        <f t="shared" si="1"/>
        <v/>
      </c>
    </row>
    <row r="1921">
      <c r="Q1921" s="2" t="str">
        <f t="shared" si="1"/>
        <v/>
      </c>
    </row>
    <row r="1922">
      <c r="Q1922" s="2" t="str">
        <f t="shared" si="1"/>
        <v/>
      </c>
    </row>
    <row r="1923">
      <c r="Q1923" s="2" t="str">
        <f t="shared" si="1"/>
        <v/>
      </c>
    </row>
    <row r="1924">
      <c r="Q1924" s="2" t="str">
        <f t="shared" si="1"/>
        <v/>
      </c>
    </row>
    <row r="1925">
      <c r="Q1925" s="2" t="str">
        <f t="shared" si="1"/>
        <v/>
      </c>
    </row>
    <row r="1926">
      <c r="Q1926" s="2" t="str">
        <f t="shared" si="1"/>
        <v/>
      </c>
    </row>
    <row r="1927">
      <c r="Q1927" s="2" t="str">
        <f t="shared" si="1"/>
        <v/>
      </c>
    </row>
    <row r="1928">
      <c r="Q1928" s="2" t="str">
        <f t="shared" si="1"/>
        <v/>
      </c>
    </row>
    <row r="1929">
      <c r="Q1929" s="2" t="str">
        <f t="shared" si="1"/>
        <v/>
      </c>
    </row>
    <row r="1930">
      <c r="Q1930" s="2" t="str">
        <f t="shared" si="1"/>
        <v/>
      </c>
    </row>
    <row r="1931">
      <c r="Q1931" s="2" t="str">
        <f t="shared" si="1"/>
        <v/>
      </c>
    </row>
    <row r="1932">
      <c r="Q1932" s="2" t="str">
        <f t="shared" si="1"/>
        <v/>
      </c>
    </row>
    <row r="1933">
      <c r="Q1933" s="2" t="str">
        <f t="shared" si="1"/>
        <v/>
      </c>
    </row>
    <row r="1934">
      <c r="Q1934" s="2" t="str">
        <f t="shared" si="1"/>
        <v/>
      </c>
    </row>
    <row r="1935">
      <c r="Q1935" s="2" t="str">
        <f t="shared" si="1"/>
        <v/>
      </c>
    </row>
    <row r="1936">
      <c r="Q1936" s="2" t="str">
        <f t="shared" si="1"/>
        <v/>
      </c>
    </row>
    <row r="1937">
      <c r="Q1937" s="2" t="str">
        <f t="shared" si="1"/>
        <v/>
      </c>
    </row>
    <row r="1938">
      <c r="Q1938" s="2" t="str">
        <f t="shared" si="1"/>
        <v/>
      </c>
    </row>
    <row r="1939">
      <c r="Q1939" s="2" t="str">
        <f t="shared" si="1"/>
        <v/>
      </c>
    </row>
    <row r="1940">
      <c r="Q1940" s="2" t="str">
        <f t="shared" si="1"/>
        <v/>
      </c>
    </row>
    <row r="1941">
      <c r="Q1941" s="2" t="str">
        <f t="shared" si="1"/>
        <v/>
      </c>
    </row>
    <row r="1942">
      <c r="Q1942" s="2" t="str">
        <f t="shared" si="1"/>
        <v/>
      </c>
    </row>
    <row r="1943">
      <c r="Q1943" s="2" t="str">
        <f t="shared" si="1"/>
        <v/>
      </c>
    </row>
    <row r="1944">
      <c r="Q1944" s="2" t="str">
        <f t="shared" si="1"/>
        <v/>
      </c>
    </row>
    <row r="1945">
      <c r="Q1945" s="2" t="str">
        <f t="shared" si="1"/>
        <v/>
      </c>
    </row>
    <row r="1946">
      <c r="Q1946" s="2" t="str">
        <f t="shared" si="1"/>
        <v/>
      </c>
    </row>
    <row r="1947">
      <c r="Q1947" s="2" t="str">
        <f t="shared" si="1"/>
        <v/>
      </c>
    </row>
    <row r="1948">
      <c r="Q1948" s="2" t="str">
        <f t="shared" si="1"/>
        <v/>
      </c>
    </row>
    <row r="1949">
      <c r="Q1949" s="2" t="str">
        <f t="shared" si="1"/>
        <v/>
      </c>
    </row>
    <row r="1950">
      <c r="Q1950" s="2" t="str">
        <f t="shared" si="1"/>
        <v/>
      </c>
    </row>
    <row r="1951">
      <c r="Q1951" s="2" t="str">
        <f t="shared" si="1"/>
        <v/>
      </c>
    </row>
    <row r="1952">
      <c r="Q1952" s="2" t="str">
        <f t="shared" si="1"/>
        <v/>
      </c>
    </row>
    <row r="1953">
      <c r="Q1953" s="2" t="str">
        <f t="shared" si="1"/>
        <v/>
      </c>
    </row>
    <row r="1954">
      <c r="Q1954" s="2" t="str">
        <f t="shared" si="1"/>
        <v/>
      </c>
    </row>
    <row r="1955">
      <c r="Q1955" s="2" t="str">
        <f t="shared" si="1"/>
        <v/>
      </c>
    </row>
    <row r="1956">
      <c r="Q1956" s="2" t="str">
        <f t="shared" si="1"/>
        <v/>
      </c>
    </row>
    <row r="1957">
      <c r="Q1957" s="2" t="str">
        <f t="shared" si="1"/>
        <v/>
      </c>
    </row>
    <row r="1958">
      <c r="Q1958" s="2" t="str">
        <f t="shared" si="1"/>
        <v/>
      </c>
    </row>
    <row r="1959">
      <c r="Q1959" s="2" t="str">
        <f t="shared" si="1"/>
        <v/>
      </c>
    </row>
    <row r="1960">
      <c r="Q1960" s="2" t="str">
        <f t="shared" si="1"/>
        <v/>
      </c>
    </row>
    <row r="1961">
      <c r="Q1961" s="2" t="str">
        <f t="shared" si="1"/>
        <v/>
      </c>
    </row>
    <row r="1962">
      <c r="Q1962" s="2" t="str">
        <f t="shared" si="1"/>
        <v/>
      </c>
    </row>
    <row r="1963">
      <c r="Q1963" s="2" t="str">
        <f t="shared" si="1"/>
        <v/>
      </c>
    </row>
    <row r="1964">
      <c r="Q1964" s="2" t="str">
        <f t="shared" si="1"/>
        <v/>
      </c>
    </row>
    <row r="1965">
      <c r="Q1965" s="2" t="str">
        <f t="shared" si="1"/>
        <v/>
      </c>
    </row>
    <row r="1966">
      <c r="Q1966" s="2" t="str">
        <f t="shared" si="1"/>
        <v/>
      </c>
    </row>
    <row r="1967">
      <c r="Q1967" s="2" t="str">
        <f t="shared" si="1"/>
        <v/>
      </c>
    </row>
    <row r="1968">
      <c r="Q1968" s="2" t="str">
        <f t="shared" si="1"/>
        <v/>
      </c>
    </row>
    <row r="1969">
      <c r="Q1969" s="2" t="str">
        <f t="shared" si="1"/>
        <v/>
      </c>
    </row>
    <row r="1970">
      <c r="Q1970" s="2" t="str">
        <f t="shared" si="1"/>
        <v/>
      </c>
    </row>
    <row r="1971">
      <c r="Q1971" s="2" t="str">
        <f t="shared" si="1"/>
        <v/>
      </c>
    </row>
    <row r="1972">
      <c r="Q1972" s="2" t="str">
        <f t="shared" si="1"/>
        <v/>
      </c>
    </row>
    <row r="1973">
      <c r="Q1973" s="2" t="str">
        <f t="shared" si="1"/>
        <v/>
      </c>
    </row>
    <row r="1974">
      <c r="Q1974" s="2" t="str">
        <f t="shared" si="1"/>
        <v/>
      </c>
    </row>
    <row r="1975">
      <c r="Q1975" s="2" t="str">
        <f t="shared" si="1"/>
        <v/>
      </c>
    </row>
    <row r="1976">
      <c r="Q1976" s="2" t="str">
        <f t="shared" si="1"/>
        <v/>
      </c>
    </row>
    <row r="1977">
      <c r="Q1977" s="2" t="str">
        <f t="shared" si="1"/>
        <v/>
      </c>
    </row>
    <row r="1978">
      <c r="Q1978" s="2" t="str">
        <f t="shared" si="1"/>
        <v/>
      </c>
    </row>
    <row r="1979">
      <c r="Q1979" s="2" t="str">
        <f t="shared" si="1"/>
        <v/>
      </c>
    </row>
    <row r="1980">
      <c r="Q1980" s="2" t="str">
        <f t="shared" si="1"/>
        <v/>
      </c>
    </row>
    <row r="1981">
      <c r="Q1981" s="2" t="str">
        <f t="shared" si="1"/>
        <v/>
      </c>
    </row>
    <row r="1982">
      <c r="Q1982" s="2" t="str">
        <f t="shared" si="1"/>
        <v/>
      </c>
    </row>
    <row r="1983">
      <c r="Q1983" s="2" t="str">
        <f t="shared" si="1"/>
        <v/>
      </c>
    </row>
    <row r="1984">
      <c r="Q1984" s="2" t="str">
        <f t="shared" si="1"/>
        <v/>
      </c>
    </row>
    <row r="1985">
      <c r="Q1985" s="2" t="str">
        <f t="shared" si="1"/>
        <v/>
      </c>
    </row>
    <row r="1986">
      <c r="Q1986" s="2" t="str">
        <f t="shared" si="1"/>
        <v/>
      </c>
    </row>
    <row r="1987">
      <c r="Q1987" s="2" t="str">
        <f t="shared" si="1"/>
        <v/>
      </c>
    </row>
    <row r="1988">
      <c r="Q1988" s="2" t="str">
        <f t="shared" si="1"/>
        <v/>
      </c>
    </row>
    <row r="1989">
      <c r="Q1989" s="2" t="str">
        <f t="shared" si="1"/>
        <v/>
      </c>
    </row>
    <row r="1990">
      <c r="Q1990" s="2" t="str">
        <f t="shared" si="1"/>
        <v/>
      </c>
    </row>
    <row r="1991">
      <c r="Q1991" s="2" t="str">
        <f t="shared" si="1"/>
        <v/>
      </c>
    </row>
    <row r="1992">
      <c r="Q1992" s="2" t="str">
        <f t="shared" si="1"/>
        <v/>
      </c>
    </row>
    <row r="1993">
      <c r="Q1993" s="2" t="str">
        <f t="shared" si="1"/>
        <v/>
      </c>
    </row>
    <row r="1994">
      <c r="Q1994" s="2" t="str">
        <f t="shared" si="1"/>
        <v/>
      </c>
    </row>
    <row r="1995">
      <c r="Q1995" s="2" t="str">
        <f t="shared" si="1"/>
        <v/>
      </c>
    </row>
    <row r="1996">
      <c r="Q1996" s="2" t="str">
        <f t="shared" si="1"/>
        <v/>
      </c>
    </row>
    <row r="1997">
      <c r="Q1997" s="2" t="str">
        <f t="shared" si="1"/>
        <v/>
      </c>
    </row>
    <row r="1998">
      <c r="Q1998" s="2" t="str">
        <f t="shared" si="1"/>
        <v/>
      </c>
    </row>
    <row r="1999">
      <c r="Q1999" s="2" t="str">
        <f t="shared" si="1"/>
        <v/>
      </c>
    </row>
    <row r="2000">
      <c r="Q2000" s="2" t="str">
        <f t="shared" si="1"/>
        <v/>
      </c>
    </row>
    <row r="2001">
      <c r="Q2001" s="2" t="str">
        <f t="shared" si="1"/>
        <v/>
      </c>
    </row>
    <row r="2002">
      <c r="Q2002" s="2" t="str">
        <f t="shared" si="1"/>
        <v/>
      </c>
    </row>
    <row r="2003">
      <c r="Q2003" s="2" t="str">
        <f t="shared" si="1"/>
        <v/>
      </c>
    </row>
    <row r="2004">
      <c r="Q2004" s="2" t="str">
        <f t="shared" si="1"/>
        <v/>
      </c>
    </row>
    <row r="2005">
      <c r="Q2005" s="2" t="str">
        <f t="shared" si="1"/>
        <v/>
      </c>
    </row>
    <row r="2006">
      <c r="Q2006" s="2" t="str">
        <f t="shared" si="1"/>
        <v/>
      </c>
    </row>
    <row r="2007">
      <c r="Q2007" s="2" t="str">
        <f t="shared" si="1"/>
        <v/>
      </c>
    </row>
    <row r="2008">
      <c r="Q2008" s="2" t="str">
        <f t="shared" si="1"/>
        <v/>
      </c>
    </row>
    <row r="2009">
      <c r="Q2009" s="2" t="str">
        <f t="shared" si="1"/>
        <v/>
      </c>
    </row>
    <row r="2010">
      <c r="Q2010" s="2" t="str">
        <f t="shared" si="1"/>
        <v/>
      </c>
    </row>
    <row r="2011">
      <c r="Q2011" s="2" t="str">
        <f t="shared" si="1"/>
        <v/>
      </c>
    </row>
    <row r="2012">
      <c r="Q2012" s="2" t="str">
        <f t="shared" si="1"/>
        <v/>
      </c>
    </row>
    <row r="2013">
      <c r="Q2013" s="2" t="str">
        <f t="shared" si="1"/>
        <v/>
      </c>
    </row>
    <row r="2014">
      <c r="Q2014" s="2" t="str">
        <f t="shared" si="1"/>
        <v/>
      </c>
    </row>
    <row r="2015">
      <c r="Q2015" s="2" t="str">
        <f t="shared" si="1"/>
        <v/>
      </c>
    </row>
    <row r="2016">
      <c r="Q2016" s="2" t="str">
        <f t="shared" si="1"/>
        <v/>
      </c>
    </row>
    <row r="2017">
      <c r="Q2017" s="2" t="str">
        <f t="shared" si="1"/>
        <v/>
      </c>
    </row>
    <row r="2018">
      <c r="Q2018" s="2" t="str">
        <f t="shared" si="1"/>
        <v/>
      </c>
    </row>
    <row r="2019">
      <c r="Q2019" s="2" t="str">
        <f t="shared" si="1"/>
        <v/>
      </c>
    </row>
    <row r="2020">
      <c r="Q2020" s="2" t="str">
        <f t="shared" si="1"/>
        <v/>
      </c>
    </row>
    <row r="2021">
      <c r="Q2021" s="2" t="str">
        <f t="shared" si="1"/>
        <v/>
      </c>
    </row>
    <row r="2022">
      <c r="Q2022" s="2" t="str">
        <f t="shared" si="1"/>
        <v/>
      </c>
    </row>
    <row r="2023">
      <c r="Q2023" s="2" t="str">
        <f t="shared" si="1"/>
        <v/>
      </c>
    </row>
    <row r="2024">
      <c r="Q2024" s="2" t="str">
        <f t="shared" si="1"/>
        <v/>
      </c>
    </row>
    <row r="2025">
      <c r="Q2025" s="2" t="str">
        <f t="shared" si="1"/>
        <v/>
      </c>
    </row>
    <row r="2026">
      <c r="Q2026" s="2" t="str">
        <f t="shared" si="1"/>
        <v/>
      </c>
    </row>
    <row r="2027">
      <c r="Q2027" s="2" t="str">
        <f t="shared" si="1"/>
        <v/>
      </c>
    </row>
    <row r="2028">
      <c r="Q2028" s="2" t="str">
        <f t="shared" si="1"/>
        <v/>
      </c>
    </row>
    <row r="2029">
      <c r="Q2029" s="2" t="str">
        <f t="shared" si="1"/>
        <v/>
      </c>
    </row>
    <row r="2030">
      <c r="Q2030" s="2" t="str">
        <f t="shared" si="1"/>
        <v/>
      </c>
    </row>
    <row r="2031">
      <c r="Q2031" s="2" t="str">
        <f t="shared" si="1"/>
        <v/>
      </c>
    </row>
    <row r="2032">
      <c r="Q2032" s="2" t="str">
        <f t="shared" si="1"/>
        <v/>
      </c>
    </row>
    <row r="2033">
      <c r="Q2033" s="2" t="str">
        <f t="shared" si="1"/>
        <v/>
      </c>
    </row>
    <row r="2034">
      <c r="Q2034" s="2" t="str">
        <f t="shared" si="1"/>
        <v/>
      </c>
    </row>
    <row r="2035">
      <c r="Q2035" s="2" t="str">
        <f t="shared" si="1"/>
        <v/>
      </c>
    </row>
    <row r="2036">
      <c r="Q2036" s="2" t="str">
        <f t="shared" si="1"/>
        <v/>
      </c>
    </row>
    <row r="2037">
      <c r="Q2037" s="2" t="str">
        <f t="shared" si="1"/>
        <v/>
      </c>
    </row>
    <row r="2038">
      <c r="Q2038" s="2" t="str">
        <f t="shared" si="1"/>
        <v/>
      </c>
    </row>
    <row r="2039">
      <c r="Q2039" s="2" t="str">
        <f t="shared" si="1"/>
        <v/>
      </c>
    </row>
    <row r="2040">
      <c r="Q2040" s="2" t="str">
        <f t="shared" si="1"/>
        <v/>
      </c>
    </row>
    <row r="2041">
      <c r="Q2041" s="2" t="str">
        <f t="shared" si="1"/>
        <v/>
      </c>
    </row>
    <row r="2042">
      <c r="Q2042" s="2" t="str">
        <f t="shared" si="1"/>
        <v/>
      </c>
    </row>
    <row r="2043">
      <c r="Q2043" s="2" t="str">
        <f t="shared" si="1"/>
        <v/>
      </c>
    </row>
    <row r="2044">
      <c r="Q2044" s="2" t="str">
        <f t="shared" si="1"/>
        <v/>
      </c>
    </row>
    <row r="2045">
      <c r="Q2045" s="2" t="str">
        <f t="shared" si="1"/>
        <v/>
      </c>
    </row>
    <row r="2046">
      <c r="Q2046" s="2" t="str">
        <f t="shared" si="1"/>
        <v/>
      </c>
    </row>
    <row r="2047">
      <c r="Q2047" s="2" t="str">
        <f t="shared" si="1"/>
        <v/>
      </c>
    </row>
    <row r="2048">
      <c r="Q2048" s="2" t="str">
        <f t="shared" si="1"/>
        <v/>
      </c>
    </row>
    <row r="2049">
      <c r="Q2049" s="2" t="str">
        <f t="shared" si="1"/>
        <v/>
      </c>
    </row>
    <row r="2050">
      <c r="Q2050" s="2" t="str">
        <f t="shared" si="1"/>
        <v/>
      </c>
    </row>
    <row r="2051">
      <c r="Q2051" s="2" t="str">
        <f t="shared" si="1"/>
        <v/>
      </c>
    </row>
    <row r="2052">
      <c r="Q2052" s="2" t="str">
        <f t="shared" si="1"/>
        <v/>
      </c>
    </row>
    <row r="2053">
      <c r="Q2053" s="2" t="str">
        <f t="shared" si="1"/>
        <v/>
      </c>
    </row>
    <row r="2054">
      <c r="Q2054" s="2" t="str">
        <f t="shared" si="1"/>
        <v/>
      </c>
    </row>
    <row r="2055">
      <c r="Q2055" s="2" t="str">
        <f t="shared" si="1"/>
        <v/>
      </c>
    </row>
    <row r="2056">
      <c r="Q2056" s="2" t="str">
        <f t="shared" si="1"/>
        <v/>
      </c>
    </row>
    <row r="2057">
      <c r="Q2057" s="2" t="str">
        <f t="shared" si="1"/>
        <v/>
      </c>
    </row>
    <row r="2058">
      <c r="Q2058" s="2" t="str">
        <f t="shared" si="1"/>
        <v/>
      </c>
    </row>
    <row r="2059">
      <c r="Q2059" s="2" t="str">
        <f t="shared" si="1"/>
        <v/>
      </c>
    </row>
    <row r="2060">
      <c r="Q2060" s="2" t="str">
        <f t="shared" si="1"/>
        <v/>
      </c>
    </row>
    <row r="2061">
      <c r="Q2061" s="2" t="str">
        <f t="shared" si="1"/>
        <v/>
      </c>
    </row>
    <row r="2062">
      <c r="Q2062" s="2" t="str">
        <f t="shared" si="1"/>
        <v/>
      </c>
    </row>
    <row r="2063">
      <c r="Q2063" s="2" t="str">
        <f t="shared" si="1"/>
        <v/>
      </c>
    </row>
    <row r="2064">
      <c r="Q2064" s="2" t="str">
        <f t="shared" si="1"/>
        <v/>
      </c>
    </row>
    <row r="2065">
      <c r="Q2065" s="2" t="str">
        <f t="shared" si="1"/>
        <v/>
      </c>
    </row>
    <row r="2066">
      <c r="Q2066" s="2" t="str">
        <f t="shared" si="1"/>
        <v/>
      </c>
    </row>
    <row r="2067">
      <c r="Q2067" s="2" t="str">
        <f t="shared" si="1"/>
        <v/>
      </c>
    </row>
    <row r="2068">
      <c r="Q2068" s="2" t="str">
        <f t="shared" si="1"/>
        <v/>
      </c>
    </row>
    <row r="2069">
      <c r="Q2069" s="2" t="str">
        <f t="shared" si="1"/>
        <v/>
      </c>
    </row>
    <row r="2070">
      <c r="Q2070" s="2" t="str">
        <f t="shared" si="1"/>
        <v/>
      </c>
    </row>
    <row r="2071">
      <c r="Q2071" s="2" t="str">
        <f t="shared" si="1"/>
        <v/>
      </c>
    </row>
    <row r="2072">
      <c r="Q2072" s="2" t="str">
        <f t="shared" si="1"/>
        <v/>
      </c>
    </row>
    <row r="2073">
      <c r="Q2073" s="2" t="str">
        <f t="shared" si="1"/>
        <v/>
      </c>
    </row>
    <row r="2074">
      <c r="Q2074" s="2" t="str">
        <f t="shared" si="1"/>
        <v/>
      </c>
    </row>
    <row r="2075">
      <c r="Q2075" s="2" t="str">
        <f t="shared" si="1"/>
        <v/>
      </c>
    </row>
    <row r="2076">
      <c r="Q2076" s="2" t="str">
        <f t="shared" si="1"/>
        <v/>
      </c>
    </row>
    <row r="2077">
      <c r="Q2077" s="2" t="str">
        <f t="shared" si="1"/>
        <v/>
      </c>
    </row>
    <row r="2078">
      <c r="Q2078" s="2" t="str">
        <f t="shared" si="1"/>
        <v/>
      </c>
    </row>
    <row r="2079">
      <c r="Q2079" s="2" t="str">
        <f t="shared" si="1"/>
        <v/>
      </c>
    </row>
    <row r="2080">
      <c r="Q2080" s="2" t="str">
        <f t="shared" si="1"/>
        <v/>
      </c>
    </row>
    <row r="2081">
      <c r="Q2081" s="2" t="str">
        <f t="shared" si="1"/>
        <v/>
      </c>
    </row>
    <row r="2082">
      <c r="Q2082" s="2" t="str">
        <f t="shared" si="1"/>
        <v/>
      </c>
    </row>
    <row r="2083">
      <c r="Q2083" s="2" t="str">
        <f t="shared" si="1"/>
        <v/>
      </c>
    </row>
    <row r="2084">
      <c r="Q2084" s="2" t="str">
        <f t="shared" si="1"/>
        <v/>
      </c>
    </row>
    <row r="2085">
      <c r="Q2085" s="2" t="str">
        <f t="shared" si="1"/>
        <v/>
      </c>
    </row>
    <row r="2086">
      <c r="Q2086" s="2" t="str">
        <f t="shared" si="1"/>
        <v/>
      </c>
    </row>
    <row r="2087">
      <c r="Q2087" s="2" t="str">
        <f t="shared" si="1"/>
        <v/>
      </c>
    </row>
    <row r="2088">
      <c r="Q2088" s="2" t="str">
        <f t="shared" si="1"/>
        <v/>
      </c>
    </row>
    <row r="2089">
      <c r="Q2089" s="2" t="str">
        <f t="shared" si="1"/>
        <v/>
      </c>
    </row>
    <row r="2090">
      <c r="Q2090" s="2" t="str">
        <f t="shared" si="1"/>
        <v/>
      </c>
    </row>
    <row r="2091">
      <c r="Q2091" s="2" t="str">
        <f t="shared" si="1"/>
        <v/>
      </c>
    </row>
    <row r="2092">
      <c r="Q2092" s="2" t="str">
        <f t="shared" si="1"/>
        <v/>
      </c>
    </row>
    <row r="2093">
      <c r="Q2093" s="2" t="str">
        <f t="shared" si="1"/>
        <v/>
      </c>
    </row>
    <row r="2094">
      <c r="Q2094" s="2" t="str">
        <f t="shared" si="1"/>
        <v/>
      </c>
    </row>
    <row r="2095">
      <c r="Q2095" s="2" t="str">
        <f t="shared" si="1"/>
        <v/>
      </c>
    </row>
    <row r="2096">
      <c r="Q2096" s="2" t="str">
        <f t="shared" si="1"/>
        <v/>
      </c>
    </row>
    <row r="2097">
      <c r="Q2097" s="2" t="str">
        <f t="shared" si="1"/>
        <v/>
      </c>
    </row>
    <row r="2098">
      <c r="Q2098" s="2" t="str">
        <f t="shared" si="1"/>
        <v/>
      </c>
    </row>
    <row r="2099">
      <c r="Q2099" s="2" t="str">
        <f t="shared" si="1"/>
        <v/>
      </c>
    </row>
    <row r="2100">
      <c r="Q2100" s="2" t="str">
        <f t="shared" si="1"/>
        <v/>
      </c>
    </row>
    <row r="2101">
      <c r="Q2101" s="2" t="str">
        <f t="shared" si="1"/>
        <v/>
      </c>
    </row>
    <row r="2102">
      <c r="Q2102" s="2" t="str">
        <f t="shared" si="1"/>
        <v/>
      </c>
    </row>
    <row r="2103">
      <c r="Q2103" s="2" t="str">
        <f t="shared" si="1"/>
        <v/>
      </c>
    </row>
    <row r="2104">
      <c r="Q2104" s="2" t="str">
        <f t="shared" si="1"/>
        <v/>
      </c>
    </row>
    <row r="2105">
      <c r="Q2105" s="2" t="str">
        <f t="shared" si="1"/>
        <v/>
      </c>
    </row>
    <row r="2106">
      <c r="Q2106" s="2" t="str">
        <f t="shared" si="1"/>
        <v/>
      </c>
    </row>
    <row r="2107">
      <c r="Q2107" s="2" t="str">
        <f t="shared" si="1"/>
        <v/>
      </c>
    </row>
    <row r="2108">
      <c r="Q2108" s="2" t="str">
        <f t="shared" si="1"/>
        <v/>
      </c>
    </row>
    <row r="2109">
      <c r="Q2109" s="2" t="str">
        <f t="shared" si="1"/>
        <v/>
      </c>
    </row>
    <row r="2110">
      <c r="Q2110" s="2" t="str">
        <f t="shared" si="1"/>
        <v/>
      </c>
    </row>
    <row r="2111">
      <c r="Q2111" s="2" t="str">
        <f t="shared" si="1"/>
        <v/>
      </c>
    </row>
    <row r="2112">
      <c r="Q2112" s="2" t="str">
        <f t="shared" si="1"/>
        <v/>
      </c>
    </row>
    <row r="2113">
      <c r="Q2113" s="2" t="str">
        <f t="shared" si="1"/>
        <v/>
      </c>
    </row>
    <row r="2114">
      <c r="Q2114" s="2" t="str">
        <f t="shared" si="1"/>
        <v/>
      </c>
    </row>
    <row r="2115">
      <c r="Q2115" s="2" t="str">
        <f t="shared" si="1"/>
        <v/>
      </c>
    </row>
    <row r="2116">
      <c r="Q2116" s="2" t="str">
        <f t="shared" si="1"/>
        <v/>
      </c>
    </row>
    <row r="2117">
      <c r="Q2117" s="2" t="str">
        <f t="shared" si="1"/>
        <v/>
      </c>
    </row>
    <row r="2118">
      <c r="Q2118" s="2" t="str">
        <f t="shared" si="1"/>
        <v/>
      </c>
    </row>
    <row r="2119">
      <c r="Q2119" s="2" t="str">
        <f t="shared" si="1"/>
        <v/>
      </c>
    </row>
    <row r="2120">
      <c r="Q2120" s="2" t="str">
        <f t="shared" si="1"/>
        <v/>
      </c>
    </row>
    <row r="2121">
      <c r="Q2121" s="2" t="str">
        <f t="shared" si="1"/>
        <v/>
      </c>
    </row>
    <row r="2122">
      <c r="Q2122" s="2" t="str">
        <f t="shared" si="1"/>
        <v/>
      </c>
    </row>
    <row r="2123">
      <c r="Q2123" s="2" t="str">
        <f t="shared" si="1"/>
        <v/>
      </c>
    </row>
    <row r="2124">
      <c r="Q2124" s="2" t="str">
        <f t="shared" si="1"/>
        <v/>
      </c>
    </row>
    <row r="2125">
      <c r="Q2125" s="2" t="str">
        <f t="shared" si="1"/>
        <v/>
      </c>
    </row>
    <row r="2126">
      <c r="Q2126" s="2" t="str">
        <f t="shared" si="1"/>
        <v/>
      </c>
    </row>
    <row r="2127">
      <c r="Q2127" s="2" t="str">
        <f t="shared" si="1"/>
        <v/>
      </c>
    </row>
    <row r="2128">
      <c r="Q2128" s="2" t="str">
        <f t="shared" si="1"/>
        <v/>
      </c>
    </row>
    <row r="2129">
      <c r="Q2129" s="2" t="str">
        <f t="shared" si="1"/>
        <v/>
      </c>
    </row>
    <row r="2130">
      <c r="Q2130" s="2" t="str">
        <f t="shared" si="1"/>
        <v/>
      </c>
    </row>
    <row r="2131">
      <c r="Q2131" s="2" t="str">
        <f t="shared" si="1"/>
        <v/>
      </c>
    </row>
    <row r="2132">
      <c r="Q2132" s="2" t="str">
        <f t="shared" si="1"/>
        <v/>
      </c>
    </row>
    <row r="2133">
      <c r="Q2133" s="2" t="str">
        <f t="shared" si="1"/>
        <v/>
      </c>
    </row>
    <row r="2134">
      <c r="Q2134" s="2" t="str">
        <f t="shared" si="1"/>
        <v/>
      </c>
    </row>
    <row r="2135">
      <c r="Q2135" s="2" t="str">
        <f t="shared" si="1"/>
        <v/>
      </c>
    </row>
    <row r="2136">
      <c r="Q2136" s="2" t="str">
        <f t="shared" si="1"/>
        <v/>
      </c>
    </row>
    <row r="2137">
      <c r="Q2137" s="2" t="str">
        <f t="shared" si="1"/>
        <v/>
      </c>
    </row>
    <row r="2138">
      <c r="Q2138" s="2" t="str">
        <f t="shared" si="1"/>
        <v/>
      </c>
    </row>
    <row r="2139">
      <c r="Q2139" s="2" t="str">
        <f t="shared" si="1"/>
        <v/>
      </c>
    </row>
    <row r="2140">
      <c r="Q2140" s="2" t="str">
        <f t="shared" si="1"/>
        <v/>
      </c>
    </row>
    <row r="2141">
      <c r="Q2141" s="2" t="str">
        <f t="shared" si="1"/>
        <v/>
      </c>
    </row>
    <row r="2142">
      <c r="Q2142" s="2" t="str">
        <f t="shared" si="1"/>
        <v/>
      </c>
    </row>
    <row r="2143">
      <c r="Q2143" s="2" t="str">
        <f t="shared" si="1"/>
        <v/>
      </c>
    </row>
    <row r="2144">
      <c r="Q2144" s="2" t="str">
        <f t="shared" si="1"/>
        <v/>
      </c>
    </row>
    <row r="2145">
      <c r="Q2145" s="2" t="str">
        <f t="shared" si="1"/>
        <v/>
      </c>
    </row>
    <row r="2146">
      <c r="Q2146" s="2" t="str">
        <f t="shared" si="1"/>
        <v/>
      </c>
    </row>
    <row r="2147">
      <c r="Q2147" s="2" t="str">
        <f t="shared" si="1"/>
        <v/>
      </c>
    </row>
    <row r="2148">
      <c r="Q2148" s="2" t="str">
        <f t="shared" si="1"/>
        <v/>
      </c>
    </row>
    <row r="2149">
      <c r="Q2149" s="2" t="str">
        <f t="shared" si="1"/>
        <v/>
      </c>
    </row>
    <row r="2150">
      <c r="Q2150" s="2" t="str">
        <f t="shared" si="1"/>
        <v/>
      </c>
    </row>
    <row r="2151">
      <c r="Q2151" s="2" t="str">
        <f t="shared" si="1"/>
        <v/>
      </c>
    </row>
    <row r="2152">
      <c r="Q2152" s="2" t="str">
        <f t="shared" si="1"/>
        <v/>
      </c>
    </row>
    <row r="2153">
      <c r="Q2153" s="2" t="str">
        <f t="shared" si="1"/>
        <v/>
      </c>
    </row>
    <row r="2154">
      <c r="Q2154" s="2" t="str">
        <f t="shared" si="1"/>
        <v/>
      </c>
    </row>
    <row r="2155">
      <c r="Q2155" s="2" t="str">
        <f t="shared" si="1"/>
        <v/>
      </c>
    </row>
    <row r="2156">
      <c r="Q2156" s="2" t="str">
        <f t="shared" si="1"/>
        <v/>
      </c>
    </row>
    <row r="2157">
      <c r="Q2157" s="2" t="str">
        <f t="shared" si="1"/>
        <v/>
      </c>
    </row>
    <row r="2158">
      <c r="Q2158" s="2" t="str">
        <f t="shared" si="1"/>
        <v/>
      </c>
    </row>
    <row r="2159">
      <c r="Q2159" s="2" t="str">
        <f t="shared" si="1"/>
        <v/>
      </c>
    </row>
    <row r="2160">
      <c r="Q2160" s="2" t="str">
        <f t="shared" si="1"/>
        <v/>
      </c>
    </row>
    <row r="2161">
      <c r="Q2161" s="2" t="str">
        <f t="shared" si="1"/>
        <v/>
      </c>
    </row>
    <row r="2162">
      <c r="Q2162" s="2" t="str">
        <f t="shared" si="1"/>
        <v/>
      </c>
    </row>
    <row r="2163">
      <c r="Q2163" s="2" t="str">
        <f t="shared" si="1"/>
        <v/>
      </c>
    </row>
    <row r="2164">
      <c r="Q2164" s="2" t="str">
        <f t="shared" si="1"/>
        <v/>
      </c>
    </row>
    <row r="2165">
      <c r="Q2165" s="2" t="str">
        <f t="shared" si="1"/>
        <v/>
      </c>
    </row>
    <row r="2166">
      <c r="Q2166" s="2" t="str">
        <f t="shared" si="1"/>
        <v/>
      </c>
    </row>
    <row r="2167">
      <c r="Q2167" s="2" t="str">
        <f t="shared" si="1"/>
        <v/>
      </c>
    </row>
    <row r="2168">
      <c r="Q2168" s="2" t="str">
        <f t="shared" si="1"/>
        <v/>
      </c>
    </row>
    <row r="2169">
      <c r="Q2169" s="2" t="str">
        <f t="shared" si="1"/>
        <v/>
      </c>
    </row>
    <row r="2170">
      <c r="Q2170" s="2" t="str">
        <f t="shared" si="1"/>
        <v/>
      </c>
    </row>
    <row r="2171">
      <c r="Q2171" s="2" t="str">
        <f t="shared" si="1"/>
        <v/>
      </c>
    </row>
    <row r="2172">
      <c r="Q2172" s="2" t="str">
        <f t="shared" si="1"/>
        <v/>
      </c>
    </row>
    <row r="2173">
      <c r="Q2173" s="2" t="str">
        <f t="shared" si="1"/>
        <v/>
      </c>
    </row>
    <row r="2174">
      <c r="Q2174" s="2" t="str">
        <f t="shared" si="1"/>
        <v/>
      </c>
    </row>
    <row r="2175">
      <c r="Q2175" s="2" t="str">
        <f t="shared" si="1"/>
        <v/>
      </c>
    </row>
    <row r="2176">
      <c r="Q2176" s="2" t="str">
        <f t="shared" si="1"/>
        <v/>
      </c>
    </row>
    <row r="2177">
      <c r="Q2177" s="2" t="str">
        <f t="shared" si="1"/>
        <v/>
      </c>
    </row>
    <row r="2178">
      <c r="Q2178" s="2" t="str">
        <f t="shared" si="1"/>
        <v/>
      </c>
    </row>
    <row r="2179">
      <c r="Q2179" s="2" t="str">
        <f t="shared" si="1"/>
        <v/>
      </c>
    </row>
    <row r="2180">
      <c r="Q2180" s="2" t="str">
        <f t="shared" si="1"/>
        <v/>
      </c>
    </row>
    <row r="2181">
      <c r="Q2181" s="2" t="str">
        <f t="shared" si="1"/>
        <v/>
      </c>
    </row>
    <row r="2182">
      <c r="Q2182" s="2" t="str">
        <f t="shared" si="1"/>
        <v/>
      </c>
    </row>
    <row r="2183">
      <c r="Q2183" s="2" t="str">
        <f t="shared" si="1"/>
        <v/>
      </c>
    </row>
    <row r="2184">
      <c r="Q2184" s="2" t="str">
        <f t="shared" si="1"/>
        <v/>
      </c>
    </row>
    <row r="2185">
      <c r="Q2185" s="2" t="str">
        <f t="shared" si="1"/>
        <v/>
      </c>
    </row>
    <row r="2186">
      <c r="Q2186" s="2" t="str">
        <f t="shared" si="1"/>
        <v/>
      </c>
    </row>
    <row r="2187">
      <c r="Q2187" s="2" t="str">
        <f t="shared" si="1"/>
        <v/>
      </c>
    </row>
    <row r="2188">
      <c r="Q2188" s="2" t="str">
        <f t="shared" si="1"/>
        <v/>
      </c>
    </row>
    <row r="2189">
      <c r="Q2189" s="2" t="str">
        <f t="shared" si="1"/>
        <v/>
      </c>
    </row>
    <row r="2190">
      <c r="Q2190" s="2" t="str">
        <f t="shared" si="1"/>
        <v/>
      </c>
    </row>
    <row r="2191">
      <c r="Q2191" s="2" t="str">
        <f t="shared" si="1"/>
        <v/>
      </c>
    </row>
    <row r="2192">
      <c r="Q2192" s="2" t="str">
        <f t="shared" si="1"/>
        <v/>
      </c>
    </row>
    <row r="2193">
      <c r="Q2193" s="2" t="str">
        <f t="shared" si="1"/>
        <v/>
      </c>
    </row>
    <row r="2194">
      <c r="Q2194" s="2" t="str">
        <f t="shared" si="1"/>
        <v/>
      </c>
    </row>
    <row r="2195">
      <c r="Q2195" s="2" t="str">
        <f t="shared" si="1"/>
        <v/>
      </c>
    </row>
    <row r="2196">
      <c r="Q2196" s="2" t="str">
        <f t="shared" si="1"/>
        <v/>
      </c>
    </row>
    <row r="2197">
      <c r="Q2197" s="2" t="str">
        <f t="shared" si="1"/>
        <v/>
      </c>
    </row>
    <row r="2198">
      <c r="Q2198" s="2" t="str">
        <f t="shared" si="1"/>
        <v/>
      </c>
    </row>
    <row r="2199">
      <c r="Q2199" s="2" t="str">
        <f t="shared" si="1"/>
        <v/>
      </c>
    </row>
    <row r="2200">
      <c r="Q2200" s="2" t="str">
        <f t="shared" si="1"/>
        <v/>
      </c>
    </row>
    <row r="2201">
      <c r="Q2201" s="2" t="str">
        <f t="shared" si="1"/>
        <v/>
      </c>
    </row>
    <row r="2202">
      <c r="Q2202" s="2" t="str">
        <f t="shared" si="1"/>
        <v/>
      </c>
    </row>
    <row r="2203">
      <c r="Q2203" s="2" t="str">
        <f t="shared" si="1"/>
        <v/>
      </c>
    </row>
    <row r="2204">
      <c r="Q2204" s="2" t="str">
        <f t="shared" si="1"/>
        <v/>
      </c>
    </row>
    <row r="2205">
      <c r="Q2205" s="2" t="str">
        <f t="shared" si="1"/>
        <v/>
      </c>
    </row>
    <row r="2206">
      <c r="Q2206" s="2" t="str">
        <f t="shared" si="1"/>
        <v/>
      </c>
    </row>
    <row r="2207">
      <c r="Q2207" s="2" t="str">
        <f t="shared" si="1"/>
        <v/>
      </c>
    </row>
    <row r="2208">
      <c r="Q2208" s="2" t="str">
        <f t="shared" si="1"/>
        <v/>
      </c>
    </row>
    <row r="2209">
      <c r="Q2209" s="2" t="str">
        <f t="shared" si="1"/>
        <v/>
      </c>
    </row>
    <row r="2210">
      <c r="Q2210" s="2" t="str">
        <f t="shared" si="1"/>
        <v/>
      </c>
    </row>
    <row r="2211">
      <c r="Q2211" s="2" t="str">
        <f t="shared" si="1"/>
        <v/>
      </c>
    </row>
    <row r="2212">
      <c r="Q2212" s="2" t="str">
        <f t="shared" si="1"/>
        <v/>
      </c>
    </row>
    <row r="2213">
      <c r="Q2213" s="2" t="str">
        <f t="shared" si="1"/>
        <v/>
      </c>
    </row>
    <row r="2214">
      <c r="Q2214" s="2" t="str">
        <f t="shared" si="1"/>
        <v/>
      </c>
    </row>
    <row r="2215">
      <c r="Q2215" s="2" t="str">
        <f t="shared" si="1"/>
        <v/>
      </c>
    </row>
    <row r="2216">
      <c r="Q2216" s="2" t="str">
        <f t="shared" si="1"/>
        <v/>
      </c>
    </row>
    <row r="2217">
      <c r="Q2217" s="2" t="str">
        <f t="shared" si="1"/>
        <v/>
      </c>
    </row>
    <row r="2218">
      <c r="Q2218" s="2" t="str">
        <f t="shared" si="1"/>
        <v/>
      </c>
    </row>
    <row r="2219">
      <c r="Q2219" s="2" t="str">
        <f t="shared" si="1"/>
        <v/>
      </c>
    </row>
    <row r="2220">
      <c r="Q2220" s="2" t="str">
        <f t="shared" si="1"/>
        <v/>
      </c>
    </row>
    <row r="2221">
      <c r="Q2221" s="2" t="str">
        <f t="shared" si="1"/>
        <v/>
      </c>
    </row>
    <row r="2222">
      <c r="Q2222" s="2" t="str">
        <f t="shared" si="1"/>
        <v/>
      </c>
    </row>
    <row r="2223">
      <c r="Q2223" s="2" t="str">
        <f t="shared" si="1"/>
        <v/>
      </c>
    </row>
    <row r="2224">
      <c r="Q2224" s="2" t="str">
        <f t="shared" si="1"/>
        <v/>
      </c>
    </row>
    <row r="2225">
      <c r="Q2225" s="2" t="str">
        <f t="shared" si="1"/>
        <v/>
      </c>
    </row>
    <row r="2226">
      <c r="Q2226" s="2" t="str">
        <f t="shared" si="1"/>
        <v/>
      </c>
    </row>
    <row r="2227">
      <c r="Q2227" s="2" t="str">
        <f t="shared" si="1"/>
        <v/>
      </c>
    </row>
    <row r="2228">
      <c r="Q2228" s="2" t="str">
        <f t="shared" si="1"/>
        <v/>
      </c>
    </row>
    <row r="2229">
      <c r="Q2229" s="2" t="str">
        <f t="shared" si="1"/>
        <v/>
      </c>
    </row>
    <row r="2230">
      <c r="Q2230" s="2" t="str">
        <f t="shared" si="1"/>
        <v/>
      </c>
    </row>
    <row r="2231">
      <c r="Q2231" s="2" t="str">
        <f t="shared" si="1"/>
        <v/>
      </c>
    </row>
    <row r="2232">
      <c r="Q2232" s="2" t="str">
        <f t="shared" si="1"/>
        <v/>
      </c>
    </row>
    <row r="2233">
      <c r="Q2233" s="2" t="str">
        <f t="shared" si="1"/>
        <v/>
      </c>
    </row>
    <row r="2234">
      <c r="Q2234" s="2" t="str">
        <f t="shared" si="1"/>
        <v/>
      </c>
    </row>
    <row r="2235">
      <c r="Q2235" s="2" t="str">
        <f t="shared" si="1"/>
        <v/>
      </c>
    </row>
    <row r="2236">
      <c r="Q2236" s="2" t="str">
        <f t="shared" si="1"/>
        <v/>
      </c>
    </row>
    <row r="2237">
      <c r="Q2237" s="2" t="str">
        <f t="shared" si="1"/>
        <v/>
      </c>
    </row>
    <row r="2238">
      <c r="Q2238" s="2" t="str">
        <f t="shared" si="1"/>
        <v/>
      </c>
    </row>
    <row r="2239">
      <c r="Q2239" s="2" t="str">
        <f t="shared" si="1"/>
        <v/>
      </c>
    </row>
    <row r="2240">
      <c r="Q2240" s="2" t="str">
        <f t="shared" si="1"/>
        <v/>
      </c>
    </row>
    <row r="2241">
      <c r="Q2241" s="2" t="str">
        <f t="shared" si="1"/>
        <v/>
      </c>
    </row>
    <row r="2242">
      <c r="Q2242" s="2" t="str">
        <f t="shared" si="1"/>
        <v/>
      </c>
    </row>
    <row r="2243">
      <c r="Q2243" s="2" t="str">
        <f t="shared" si="1"/>
        <v/>
      </c>
    </row>
    <row r="2244">
      <c r="Q2244" s="2" t="str">
        <f t="shared" si="1"/>
        <v/>
      </c>
    </row>
    <row r="2245">
      <c r="Q2245" s="2" t="str">
        <f t="shared" si="1"/>
        <v/>
      </c>
    </row>
    <row r="2246">
      <c r="Q2246" s="2" t="str">
        <f t="shared" si="1"/>
        <v/>
      </c>
    </row>
    <row r="2247">
      <c r="Q2247" s="2" t="str">
        <f t="shared" si="1"/>
        <v/>
      </c>
    </row>
    <row r="2248">
      <c r="Q2248" s="2" t="str">
        <f t="shared" si="1"/>
        <v/>
      </c>
    </row>
    <row r="2249">
      <c r="Q2249" s="2" t="str">
        <f t="shared" si="1"/>
        <v/>
      </c>
    </row>
    <row r="2250">
      <c r="Q2250" s="2" t="str">
        <f t="shared" si="1"/>
        <v/>
      </c>
    </row>
    <row r="2251">
      <c r="Q2251" s="2" t="str">
        <f t="shared" si="1"/>
        <v/>
      </c>
    </row>
    <row r="2252">
      <c r="Q2252" s="2" t="str">
        <f t="shared" si="1"/>
        <v/>
      </c>
    </row>
    <row r="2253">
      <c r="Q2253" s="2" t="str">
        <f t="shared" si="1"/>
        <v/>
      </c>
    </row>
    <row r="2254">
      <c r="Q2254" s="2" t="str">
        <f t="shared" si="1"/>
        <v/>
      </c>
    </row>
    <row r="2255">
      <c r="Q2255" s="2" t="str">
        <f t="shared" si="1"/>
        <v/>
      </c>
    </row>
    <row r="2256">
      <c r="Q2256" s="2" t="str">
        <f t="shared" si="1"/>
        <v/>
      </c>
    </row>
    <row r="2257">
      <c r="Q2257" s="2" t="str">
        <f t="shared" si="1"/>
        <v/>
      </c>
    </row>
    <row r="2258">
      <c r="Q2258" s="2" t="str">
        <f t="shared" si="1"/>
        <v/>
      </c>
    </row>
    <row r="2259">
      <c r="Q2259" s="2" t="str">
        <f t="shared" si="1"/>
        <v/>
      </c>
    </row>
    <row r="2260">
      <c r="Q2260" s="2" t="str">
        <f t="shared" si="1"/>
        <v/>
      </c>
    </row>
    <row r="2261">
      <c r="Q2261" s="2" t="str">
        <f t="shared" si="1"/>
        <v/>
      </c>
    </row>
    <row r="2262">
      <c r="Q2262" s="2" t="str">
        <f t="shared" si="1"/>
        <v/>
      </c>
    </row>
    <row r="2263">
      <c r="Q2263" s="2" t="str">
        <f t="shared" si="1"/>
        <v/>
      </c>
    </row>
    <row r="2264">
      <c r="Q2264" s="2" t="str">
        <f t="shared" si="1"/>
        <v/>
      </c>
    </row>
    <row r="2265">
      <c r="Q2265" s="2" t="str">
        <f t="shared" si="1"/>
        <v/>
      </c>
    </row>
    <row r="2266">
      <c r="Q2266" s="2" t="str">
        <f t="shared" si="1"/>
        <v/>
      </c>
    </row>
    <row r="2267">
      <c r="Q2267" s="2" t="str">
        <f t="shared" si="1"/>
        <v/>
      </c>
    </row>
    <row r="2268">
      <c r="Q2268" s="2" t="str">
        <f t="shared" si="1"/>
        <v/>
      </c>
    </row>
    <row r="2269">
      <c r="Q2269" s="2" t="str">
        <f t="shared" si="1"/>
        <v/>
      </c>
    </row>
    <row r="2270">
      <c r="Q2270" s="2" t="str">
        <f t="shared" si="1"/>
        <v/>
      </c>
    </row>
    <row r="2271">
      <c r="Q2271" s="2" t="str">
        <f t="shared" si="1"/>
        <v/>
      </c>
    </row>
    <row r="2272">
      <c r="Q2272" s="2" t="str">
        <f t="shared" si="1"/>
        <v/>
      </c>
    </row>
    <row r="2273">
      <c r="Q2273" s="2" t="str">
        <f t="shared" si="1"/>
        <v/>
      </c>
    </row>
    <row r="2274">
      <c r="Q2274" s="2" t="str">
        <f t="shared" si="1"/>
        <v/>
      </c>
    </row>
    <row r="2275">
      <c r="Q2275" s="2" t="str">
        <f t="shared" si="1"/>
        <v/>
      </c>
    </row>
    <row r="2276">
      <c r="Q2276" s="2" t="str">
        <f t="shared" si="1"/>
        <v/>
      </c>
    </row>
    <row r="2277">
      <c r="Q2277" s="2" t="str">
        <f t="shared" si="1"/>
        <v/>
      </c>
    </row>
    <row r="2278">
      <c r="Q2278" s="2" t="str">
        <f t="shared" si="1"/>
        <v/>
      </c>
    </row>
    <row r="2279">
      <c r="Q2279" s="2" t="str">
        <f t="shared" si="1"/>
        <v/>
      </c>
    </row>
    <row r="2280">
      <c r="Q2280" s="2" t="str">
        <f t="shared" si="1"/>
        <v/>
      </c>
    </row>
    <row r="2281">
      <c r="Q2281" s="2" t="str">
        <f t="shared" si="1"/>
        <v/>
      </c>
    </row>
    <row r="2282">
      <c r="Q2282" s="2" t="str">
        <f t="shared" si="1"/>
        <v/>
      </c>
    </row>
    <row r="2283">
      <c r="Q2283" s="2" t="str">
        <f t="shared" si="1"/>
        <v/>
      </c>
    </row>
    <row r="2284">
      <c r="Q2284" s="2" t="str">
        <f t="shared" si="1"/>
        <v/>
      </c>
    </row>
    <row r="2285">
      <c r="Q2285" s="2" t="str">
        <f t="shared" si="1"/>
        <v/>
      </c>
    </row>
    <row r="2286">
      <c r="Q2286" s="2" t="str">
        <f t="shared" si="1"/>
        <v/>
      </c>
    </row>
    <row r="2287">
      <c r="Q2287" s="2" t="str">
        <f t="shared" si="1"/>
        <v/>
      </c>
    </row>
    <row r="2288">
      <c r="Q2288" s="2" t="str">
        <f t="shared" si="1"/>
        <v/>
      </c>
    </row>
    <row r="2289">
      <c r="Q2289" s="2" t="str">
        <f t="shared" si="1"/>
        <v/>
      </c>
    </row>
    <row r="2290">
      <c r="Q2290" s="2" t="str">
        <f t="shared" si="1"/>
        <v/>
      </c>
    </row>
    <row r="2291">
      <c r="Q2291" s="2" t="str">
        <f t="shared" si="1"/>
        <v/>
      </c>
    </row>
    <row r="2292">
      <c r="Q2292" s="2" t="str">
        <f t="shared" si="1"/>
        <v/>
      </c>
    </row>
    <row r="2293">
      <c r="Q2293" s="2" t="str">
        <f t="shared" si="1"/>
        <v/>
      </c>
    </row>
    <row r="2294">
      <c r="Q2294" s="2" t="str">
        <f t="shared" si="1"/>
        <v/>
      </c>
    </row>
    <row r="2295">
      <c r="Q2295" s="2" t="str">
        <f t="shared" si="1"/>
        <v/>
      </c>
    </row>
    <row r="2296">
      <c r="Q2296" s="2" t="str">
        <f t="shared" si="1"/>
        <v/>
      </c>
    </row>
    <row r="2297">
      <c r="Q2297" s="2" t="str">
        <f t="shared" si="1"/>
        <v/>
      </c>
    </row>
    <row r="2298">
      <c r="Q2298" s="2" t="str">
        <f t="shared" si="1"/>
        <v/>
      </c>
    </row>
    <row r="2299">
      <c r="Q2299" s="2" t="str">
        <f t="shared" si="1"/>
        <v/>
      </c>
    </row>
    <row r="2300">
      <c r="Q2300" s="2" t="str">
        <f t="shared" si="1"/>
        <v/>
      </c>
    </row>
    <row r="2301">
      <c r="Q2301" s="2" t="str">
        <f t="shared" si="1"/>
        <v/>
      </c>
    </row>
    <row r="2302">
      <c r="Q2302" s="2" t="str">
        <f t="shared" si="1"/>
        <v/>
      </c>
    </row>
    <row r="2303">
      <c r="Q2303" s="2" t="str">
        <f t="shared" si="1"/>
        <v/>
      </c>
    </row>
    <row r="2304">
      <c r="Q2304" s="2" t="str">
        <f t="shared" si="1"/>
        <v/>
      </c>
    </row>
    <row r="2305">
      <c r="Q2305" s="2" t="str">
        <f t="shared" si="1"/>
        <v/>
      </c>
    </row>
    <row r="2306">
      <c r="Q2306" s="2" t="str">
        <f t="shared" si="1"/>
        <v/>
      </c>
    </row>
    <row r="2307">
      <c r="Q2307" s="2" t="str">
        <f t="shared" si="1"/>
        <v/>
      </c>
    </row>
    <row r="2308">
      <c r="Q2308" s="2" t="str">
        <f t="shared" si="1"/>
        <v/>
      </c>
    </row>
    <row r="2309">
      <c r="Q2309" s="2" t="str">
        <f t="shared" si="1"/>
        <v/>
      </c>
    </row>
    <row r="2310">
      <c r="Q2310" s="2" t="str">
        <f t="shared" si="1"/>
        <v/>
      </c>
    </row>
    <row r="2311">
      <c r="Q2311" s="2" t="str">
        <f t="shared" si="1"/>
        <v/>
      </c>
    </row>
    <row r="2312">
      <c r="Q2312" s="2" t="str">
        <f t="shared" si="1"/>
        <v/>
      </c>
    </row>
    <row r="2313">
      <c r="Q2313" s="2" t="str">
        <f t="shared" si="1"/>
        <v/>
      </c>
    </row>
    <row r="2314">
      <c r="Q2314" s="2" t="str">
        <f t="shared" si="1"/>
        <v/>
      </c>
    </row>
    <row r="2315">
      <c r="Q2315" s="2" t="str">
        <f t="shared" si="1"/>
        <v/>
      </c>
    </row>
    <row r="2316">
      <c r="Q2316" s="2" t="str">
        <f t="shared" si="1"/>
        <v/>
      </c>
    </row>
    <row r="2317">
      <c r="Q2317" s="2" t="str">
        <f t="shared" si="1"/>
        <v/>
      </c>
    </row>
    <row r="2318">
      <c r="Q2318" s="2" t="str">
        <f t="shared" si="1"/>
        <v/>
      </c>
    </row>
    <row r="2319">
      <c r="Q2319" s="2" t="str">
        <f t="shared" si="1"/>
        <v/>
      </c>
    </row>
    <row r="2320">
      <c r="Q2320" s="2" t="str">
        <f t="shared" si="1"/>
        <v/>
      </c>
    </row>
    <row r="2321">
      <c r="Q2321" s="2" t="str">
        <f t="shared" si="1"/>
        <v/>
      </c>
    </row>
    <row r="2322">
      <c r="Q2322" s="2" t="str">
        <f t="shared" si="1"/>
        <v/>
      </c>
    </row>
    <row r="2323">
      <c r="Q2323" s="2" t="str">
        <f t="shared" si="1"/>
        <v/>
      </c>
    </row>
    <row r="2324">
      <c r="Q2324" s="2" t="str">
        <f t="shared" si="1"/>
        <v/>
      </c>
    </row>
    <row r="2325">
      <c r="Q2325" s="2" t="str">
        <f t="shared" si="1"/>
        <v/>
      </c>
    </row>
    <row r="2326">
      <c r="Q2326" s="2" t="str">
        <f t="shared" si="1"/>
        <v/>
      </c>
    </row>
    <row r="2327">
      <c r="Q2327" s="2" t="str">
        <f t="shared" si="1"/>
        <v/>
      </c>
    </row>
    <row r="2328">
      <c r="Q2328" s="2" t="str">
        <f t="shared" si="1"/>
        <v/>
      </c>
    </row>
    <row r="2329">
      <c r="Q2329" s="2" t="str">
        <f t="shared" si="1"/>
        <v/>
      </c>
    </row>
    <row r="2330">
      <c r="Q2330" s="2" t="str">
        <f t="shared" si="1"/>
        <v/>
      </c>
    </row>
    <row r="2331">
      <c r="Q2331" s="2" t="str">
        <f t="shared" si="1"/>
        <v/>
      </c>
    </row>
    <row r="2332">
      <c r="Q2332" s="2" t="str">
        <f t="shared" si="1"/>
        <v/>
      </c>
    </row>
    <row r="2333">
      <c r="Q2333" s="2" t="str">
        <f t="shared" si="1"/>
        <v/>
      </c>
    </row>
    <row r="2334">
      <c r="Q2334" s="2" t="str">
        <f t="shared" si="1"/>
        <v/>
      </c>
    </row>
    <row r="2335">
      <c r="Q2335" s="2" t="str">
        <f t="shared" si="1"/>
        <v/>
      </c>
    </row>
    <row r="2336">
      <c r="Q2336" s="2" t="str">
        <f t="shared" si="1"/>
        <v/>
      </c>
    </row>
    <row r="2337">
      <c r="Q2337" s="2" t="str">
        <f t="shared" si="1"/>
        <v/>
      </c>
    </row>
    <row r="2338">
      <c r="Q2338" s="2" t="str">
        <f t="shared" si="1"/>
        <v/>
      </c>
    </row>
    <row r="2339">
      <c r="Q2339" s="2" t="str">
        <f t="shared" si="1"/>
        <v/>
      </c>
    </row>
    <row r="2340">
      <c r="Q2340" s="2" t="str">
        <f t="shared" si="1"/>
        <v/>
      </c>
    </row>
    <row r="2341">
      <c r="Q2341" s="2" t="str">
        <f t="shared" si="1"/>
        <v/>
      </c>
    </row>
    <row r="2342">
      <c r="Q2342" s="2" t="str">
        <f t="shared" si="1"/>
        <v/>
      </c>
    </row>
    <row r="2343">
      <c r="Q2343" s="2" t="str">
        <f t="shared" si="1"/>
        <v/>
      </c>
    </row>
    <row r="2344">
      <c r="Q2344" s="2" t="str">
        <f t="shared" si="1"/>
        <v/>
      </c>
    </row>
    <row r="2345">
      <c r="Q2345" s="2" t="str">
        <f t="shared" si="1"/>
        <v/>
      </c>
    </row>
    <row r="2346">
      <c r="Q2346" s="2" t="str">
        <f t="shared" si="1"/>
        <v/>
      </c>
    </row>
    <row r="2347">
      <c r="Q2347" s="2" t="str">
        <f t="shared" si="1"/>
        <v/>
      </c>
    </row>
    <row r="2348">
      <c r="Q2348" s="2" t="str">
        <f t="shared" si="1"/>
        <v/>
      </c>
    </row>
    <row r="2349">
      <c r="Q2349" s="2" t="str">
        <f t="shared" si="1"/>
        <v/>
      </c>
    </row>
    <row r="2350">
      <c r="Q2350" s="2" t="str">
        <f t="shared" si="1"/>
        <v/>
      </c>
    </row>
    <row r="2351">
      <c r="Q2351" s="2" t="str">
        <f t="shared" si="1"/>
        <v/>
      </c>
    </row>
    <row r="2352">
      <c r="Q2352" s="2" t="str">
        <f t="shared" si="1"/>
        <v/>
      </c>
    </row>
    <row r="2353">
      <c r="Q2353" s="2" t="str">
        <f t="shared" si="1"/>
        <v/>
      </c>
    </row>
    <row r="2354">
      <c r="Q2354" s="2" t="str">
        <f t="shared" si="1"/>
        <v/>
      </c>
    </row>
    <row r="2355">
      <c r="Q2355" s="2" t="str">
        <f t="shared" si="1"/>
        <v/>
      </c>
    </row>
    <row r="2356">
      <c r="Q2356" s="2" t="str">
        <f t="shared" si="1"/>
        <v/>
      </c>
    </row>
    <row r="2357">
      <c r="Q2357" s="2" t="str">
        <f t="shared" si="1"/>
        <v/>
      </c>
    </row>
    <row r="2358">
      <c r="Q2358" s="2" t="str">
        <f t="shared" si="1"/>
        <v/>
      </c>
    </row>
    <row r="2359">
      <c r="Q2359" s="2" t="str">
        <f t="shared" si="1"/>
        <v/>
      </c>
    </row>
    <row r="2360">
      <c r="Q2360" s="2" t="str">
        <f t="shared" si="1"/>
        <v/>
      </c>
    </row>
    <row r="2361">
      <c r="Q2361" s="2" t="str">
        <f t="shared" si="1"/>
        <v/>
      </c>
    </row>
    <row r="2362">
      <c r="Q2362" s="2" t="str">
        <f t="shared" si="1"/>
        <v/>
      </c>
    </row>
    <row r="2363">
      <c r="Q2363" s="2" t="str">
        <f t="shared" si="1"/>
        <v/>
      </c>
    </row>
    <row r="2364">
      <c r="Q2364" s="2" t="str">
        <f t="shared" si="1"/>
        <v/>
      </c>
    </row>
    <row r="2365">
      <c r="Q2365" s="2" t="str">
        <f t="shared" si="1"/>
        <v/>
      </c>
    </row>
    <row r="2366">
      <c r="Q2366" s="2" t="str">
        <f t="shared" si="1"/>
        <v/>
      </c>
    </row>
    <row r="2367">
      <c r="Q2367" s="2" t="str">
        <f t="shared" si="1"/>
        <v/>
      </c>
    </row>
    <row r="2368">
      <c r="Q2368" s="2" t="str">
        <f t="shared" si="1"/>
        <v/>
      </c>
    </row>
    <row r="2369">
      <c r="Q2369" s="2" t="str">
        <f t="shared" si="1"/>
        <v/>
      </c>
    </row>
    <row r="2370">
      <c r="Q2370" s="2" t="str">
        <f t="shared" si="1"/>
        <v/>
      </c>
    </row>
    <row r="2371">
      <c r="Q2371" s="2" t="str">
        <f t="shared" si="1"/>
        <v/>
      </c>
    </row>
    <row r="2372">
      <c r="Q2372" s="2" t="str">
        <f t="shared" si="1"/>
        <v/>
      </c>
    </row>
    <row r="2373">
      <c r="Q2373" s="2" t="str">
        <f t="shared" si="1"/>
        <v/>
      </c>
    </row>
    <row r="2374">
      <c r="Q2374" s="2" t="str">
        <f t="shared" si="1"/>
        <v/>
      </c>
    </row>
    <row r="2375">
      <c r="Q2375" s="2" t="str">
        <f t="shared" si="1"/>
        <v/>
      </c>
    </row>
    <row r="2376">
      <c r="Q2376" s="2" t="str">
        <f t="shared" si="1"/>
        <v/>
      </c>
    </row>
    <row r="2377">
      <c r="Q2377" s="2" t="str">
        <f t="shared" si="1"/>
        <v/>
      </c>
    </row>
    <row r="2378">
      <c r="Q2378" s="2" t="str">
        <f t="shared" si="1"/>
        <v/>
      </c>
    </row>
    <row r="2379">
      <c r="Q2379" s="2" t="str">
        <f t="shared" si="1"/>
        <v/>
      </c>
    </row>
    <row r="2380">
      <c r="Q2380" s="2" t="str">
        <f t="shared" si="1"/>
        <v/>
      </c>
    </row>
    <row r="2381">
      <c r="Q2381" s="2" t="str">
        <f t="shared" si="1"/>
        <v/>
      </c>
    </row>
    <row r="2382">
      <c r="Q2382" s="2" t="str">
        <f t="shared" si="1"/>
        <v/>
      </c>
    </row>
    <row r="2383">
      <c r="Q2383" s="2" t="str">
        <f t="shared" si="1"/>
        <v/>
      </c>
    </row>
    <row r="2384">
      <c r="Q2384" s="2" t="str">
        <f t="shared" si="1"/>
        <v/>
      </c>
    </row>
    <row r="2385">
      <c r="Q2385" s="2" t="str">
        <f t="shared" si="1"/>
        <v/>
      </c>
    </row>
    <row r="2386">
      <c r="Q2386" s="2" t="str">
        <f t="shared" si="1"/>
        <v/>
      </c>
    </row>
    <row r="2387">
      <c r="Q2387" s="2" t="str">
        <f t="shared" si="1"/>
        <v/>
      </c>
    </row>
    <row r="2388">
      <c r="Q2388" s="2" t="str">
        <f t="shared" si="1"/>
        <v/>
      </c>
    </row>
    <row r="2389">
      <c r="Q2389" s="2" t="str">
        <f t="shared" si="1"/>
        <v/>
      </c>
    </row>
    <row r="2390">
      <c r="Q2390" s="2" t="str">
        <f t="shared" si="1"/>
        <v/>
      </c>
    </row>
    <row r="2391">
      <c r="Q2391" s="2" t="str">
        <f t="shared" si="1"/>
        <v/>
      </c>
    </row>
    <row r="2392">
      <c r="Q2392" s="2" t="str">
        <f t="shared" si="1"/>
        <v/>
      </c>
    </row>
    <row r="2393">
      <c r="Q2393" s="2" t="str">
        <f t="shared" si="1"/>
        <v/>
      </c>
    </row>
    <row r="2394">
      <c r="Q2394" s="2" t="str">
        <f t="shared" si="1"/>
        <v/>
      </c>
    </row>
    <row r="2395">
      <c r="Q2395" s="2" t="str">
        <f t="shared" si="1"/>
        <v/>
      </c>
    </row>
    <row r="2396">
      <c r="Q2396" s="2" t="str">
        <f t="shared" si="1"/>
        <v/>
      </c>
    </row>
    <row r="2397">
      <c r="Q2397" s="2" t="str">
        <f t="shared" si="1"/>
        <v/>
      </c>
    </row>
    <row r="2398">
      <c r="Q2398" s="2" t="str">
        <f t="shared" si="1"/>
        <v/>
      </c>
    </row>
    <row r="2399">
      <c r="Q2399" s="2" t="str">
        <f t="shared" si="1"/>
        <v/>
      </c>
    </row>
    <row r="2400">
      <c r="Q2400" s="2" t="str">
        <f t="shared" si="1"/>
        <v/>
      </c>
    </row>
    <row r="2401">
      <c r="Q2401" s="2" t="str">
        <f t="shared" si="1"/>
        <v/>
      </c>
    </row>
    <row r="2402">
      <c r="Q2402" s="2" t="str">
        <f t="shared" si="1"/>
        <v/>
      </c>
    </row>
    <row r="2403">
      <c r="Q2403" s="2" t="str">
        <f t="shared" si="1"/>
        <v/>
      </c>
    </row>
    <row r="2404">
      <c r="Q2404" s="2" t="str">
        <f t="shared" si="1"/>
        <v/>
      </c>
    </row>
    <row r="2405">
      <c r="Q2405" s="2" t="str">
        <f t="shared" si="1"/>
        <v/>
      </c>
    </row>
    <row r="2406">
      <c r="Q2406" s="2" t="str">
        <f t="shared" si="1"/>
        <v/>
      </c>
    </row>
    <row r="2407">
      <c r="Q2407" s="2" t="str">
        <f t="shared" si="1"/>
        <v/>
      </c>
    </row>
    <row r="2408">
      <c r="Q2408" s="2" t="str">
        <f t="shared" si="1"/>
        <v/>
      </c>
    </row>
    <row r="2409">
      <c r="Q2409" s="2" t="str">
        <f t="shared" si="1"/>
        <v/>
      </c>
    </row>
    <row r="2410">
      <c r="Q2410" s="2" t="str">
        <f t="shared" si="1"/>
        <v/>
      </c>
    </row>
    <row r="2411">
      <c r="Q2411" s="2" t="str">
        <f t="shared" si="1"/>
        <v/>
      </c>
    </row>
    <row r="2412">
      <c r="Q2412" s="2" t="str">
        <f t="shared" si="1"/>
        <v/>
      </c>
    </row>
    <row r="2413">
      <c r="Q2413" s="2" t="str">
        <f t="shared" si="1"/>
        <v/>
      </c>
    </row>
    <row r="2414">
      <c r="Q2414" s="2" t="str">
        <f t="shared" si="1"/>
        <v/>
      </c>
    </row>
    <row r="2415">
      <c r="Q2415" s="2" t="str">
        <f t="shared" si="1"/>
        <v/>
      </c>
    </row>
    <row r="2416">
      <c r="Q2416" s="2" t="str">
        <f t="shared" si="1"/>
        <v/>
      </c>
    </row>
    <row r="2417">
      <c r="Q2417" s="2" t="str">
        <f t="shared" si="1"/>
        <v/>
      </c>
    </row>
    <row r="2418">
      <c r="Q2418" s="2" t="str">
        <f t="shared" si="1"/>
        <v/>
      </c>
    </row>
    <row r="2419">
      <c r="Q2419" s="2" t="str">
        <f t="shared" si="1"/>
        <v/>
      </c>
    </row>
    <row r="2420">
      <c r="Q2420" s="2" t="str">
        <f t="shared" si="1"/>
        <v/>
      </c>
    </row>
    <row r="2421">
      <c r="Q2421" s="2" t="str">
        <f t="shared" si="1"/>
        <v/>
      </c>
    </row>
    <row r="2422">
      <c r="Q2422" s="2" t="str">
        <f t="shared" si="1"/>
        <v/>
      </c>
    </row>
    <row r="2423">
      <c r="Q2423" s="2" t="str">
        <f t="shared" si="1"/>
        <v/>
      </c>
    </row>
    <row r="2424">
      <c r="Q2424" s="2" t="str">
        <f t="shared" si="1"/>
        <v/>
      </c>
    </row>
    <row r="2425">
      <c r="Q2425" s="2" t="str">
        <f t="shared" si="1"/>
        <v/>
      </c>
    </row>
    <row r="2426">
      <c r="Q2426" s="2" t="str">
        <f t="shared" si="1"/>
        <v/>
      </c>
    </row>
    <row r="2427">
      <c r="Q2427" s="2" t="str">
        <f t="shared" si="1"/>
        <v/>
      </c>
    </row>
    <row r="2428">
      <c r="Q2428" s="2" t="str">
        <f t="shared" si="1"/>
        <v/>
      </c>
    </row>
    <row r="2429">
      <c r="Q2429" s="2" t="str">
        <f t="shared" si="1"/>
        <v/>
      </c>
    </row>
    <row r="2430">
      <c r="Q2430" s="2" t="str">
        <f t="shared" si="1"/>
        <v/>
      </c>
    </row>
    <row r="2431">
      <c r="Q2431" s="2" t="str">
        <f t="shared" si="1"/>
        <v/>
      </c>
    </row>
    <row r="2432">
      <c r="Q2432" s="2" t="str">
        <f t="shared" si="1"/>
        <v/>
      </c>
    </row>
    <row r="2433">
      <c r="Q2433" s="2" t="str">
        <f t="shared" si="1"/>
        <v/>
      </c>
    </row>
    <row r="2434">
      <c r="Q2434" s="2" t="str">
        <f t="shared" si="1"/>
        <v/>
      </c>
    </row>
    <row r="2435">
      <c r="Q2435" s="2" t="str">
        <f t="shared" si="1"/>
        <v/>
      </c>
    </row>
    <row r="2436">
      <c r="Q2436" s="2" t="str">
        <f t="shared" si="1"/>
        <v/>
      </c>
    </row>
    <row r="2437">
      <c r="Q2437" s="2" t="str">
        <f t="shared" si="1"/>
        <v/>
      </c>
    </row>
    <row r="2438">
      <c r="Q2438" s="2" t="str">
        <f t="shared" si="1"/>
        <v/>
      </c>
    </row>
    <row r="2439">
      <c r="Q2439" s="2" t="str">
        <f t="shared" si="1"/>
        <v/>
      </c>
    </row>
    <row r="2440">
      <c r="Q2440" s="2" t="str">
        <f t="shared" si="1"/>
        <v/>
      </c>
    </row>
    <row r="2441">
      <c r="Q2441" s="2" t="str">
        <f t="shared" si="1"/>
        <v/>
      </c>
    </row>
    <row r="2442">
      <c r="Q2442" s="2" t="str">
        <f t="shared" si="1"/>
        <v/>
      </c>
    </row>
    <row r="2443">
      <c r="Q2443" s="2" t="str">
        <f t="shared" si="1"/>
        <v/>
      </c>
    </row>
    <row r="2444">
      <c r="Q2444" s="2" t="str">
        <f t="shared" si="1"/>
        <v/>
      </c>
    </row>
    <row r="2445">
      <c r="Q2445" s="2" t="str">
        <f t="shared" si="1"/>
        <v/>
      </c>
    </row>
    <row r="2446">
      <c r="Q2446" s="2" t="str">
        <f t="shared" si="1"/>
        <v/>
      </c>
    </row>
    <row r="2447">
      <c r="Q2447" s="2" t="str">
        <f t="shared" si="1"/>
        <v/>
      </c>
    </row>
    <row r="2448">
      <c r="Q2448" s="2" t="str">
        <f t="shared" si="1"/>
        <v/>
      </c>
    </row>
    <row r="2449">
      <c r="Q2449" s="2" t="str">
        <f t="shared" si="1"/>
        <v/>
      </c>
    </row>
    <row r="2450">
      <c r="Q2450" s="2" t="str">
        <f t="shared" si="1"/>
        <v/>
      </c>
    </row>
    <row r="2451">
      <c r="Q2451" s="2" t="str">
        <f t="shared" si="1"/>
        <v/>
      </c>
    </row>
    <row r="2452">
      <c r="Q2452" s="2" t="str">
        <f t="shared" si="1"/>
        <v/>
      </c>
    </row>
    <row r="2453">
      <c r="Q2453" s="2" t="str">
        <f t="shared" si="1"/>
        <v/>
      </c>
    </row>
    <row r="2454">
      <c r="Q2454" s="2" t="str">
        <f t="shared" si="1"/>
        <v/>
      </c>
    </row>
    <row r="2455">
      <c r="Q2455" s="2" t="str">
        <f t="shared" si="1"/>
        <v/>
      </c>
    </row>
    <row r="2456">
      <c r="Q2456" s="2" t="str">
        <f t="shared" si="1"/>
        <v/>
      </c>
    </row>
    <row r="2457">
      <c r="Q2457" s="2" t="str">
        <f t="shared" si="1"/>
        <v/>
      </c>
    </row>
    <row r="2458">
      <c r="Q2458" s="2" t="str">
        <f t="shared" si="1"/>
        <v/>
      </c>
    </row>
    <row r="2459">
      <c r="Q2459" s="2" t="str">
        <f t="shared" si="1"/>
        <v/>
      </c>
    </row>
    <row r="2460">
      <c r="Q2460" s="2" t="str">
        <f t="shared" si="1"/>
        <v/>
      </c>
    </row>
    <row r="2461">
      <c r="Q2461" s="2" t="str">
        <f t="shared" si="1"/>
        <v/>
      </c>
    </row>
    <row r="2462">
      <c r="Q2462" s="2" t="str">
        <f t="shared" si="1"/>
        <v/>
      </c>
    </row>
    <row r="2463">
      <c r="Q2463" s="2" t="str">
        <f t="shared" si="1"/>
        <v/>
      </c>
    </row>
    <row r="2464">
      <c r="Q2464" s="2" t="str">
        <f t="shared" si="1"/>
        <v/>
      </c>
    </row>
    <row r="2465">
      <c r="Q2465" s="2" t="str">
        <f t="shared" si="1"/>
        <v/>
      </c>
    </row>
    <row r="2466">
      <c r="Q2466" s="2" t="str">
        <f t="shared" si="1"/>
        <v/>
      </c>
    </row>
    <row r="2467">
      <c r="Q2467" s="2" t="str">
        <f t="shared" si="1"/>
        <v/>
      </c>
    </row>
    <row r="2468">
      <c r="Q2468" s="2" t="str">
        <f t="shared" si="1"/>
        <v/>
      </c>
    </row>
    <row r="2469">
      <c r="Q2469" s="2" t="str">
        <f t="shared" si="1"/>
        <v/>
      </c>
    </row>
    <row r="2470">
      <c r="Q2470" s="2" t="str">
        <f t="shared" si="1"/>
        <v/>
      </c>
    </row>
    <row r="2471">
      <c r="Q2471" s="2" t="str">
        <f t="shared" si="1"/>
        <v/>
      </c>
    </row>
    <row r="2472">
      <c r="Q2472" s="2" t="str">
        <f t="shared" si="1"/>
        <v/>
      </c>
    </row>
    <row r="2473">
      <c r="Q2473" s="2" t="str">
        <f t="shared" si="1"/>
        <v/>
      </c>
    </row>
    <row r="2474">
      <c r="Q2474" s="2" t="str">
        <f t="shared" si="1"/>
        <v/>
      </c>
    </row>
    <row r="2475">
      <c r="Q2475" s="2" t="str">
        <f t="shared" si="1"/>
        <v/>
      </c>
    </row>
    <row r="2476">
      <c r="Q2476" s="2" t="str">
        <f t="shared" si="1"/>
        <v/>
      </c>
    </row>
    <row r="2477">
      <c r="Q2477" s="2" t="str">
        <f t="shared" si="1"/>
        <v/>
      </c>
    </row>
    <row r="2478">
      <c r="Q2478" s="2" t="str">
        <f t="shared" si="1"/>
        <v/>
      </c>
    </row>
    <row r="2479">
      <c r="Q2479" s="2" t="str">
        <f t="shared" si="1"/>
        <v/>
      </c>
    </row>
    <row r="2480">
      <c r="Q2480" s="2" t="str">
        <f t="shared" si="1"/>
        <v/>
      </c>
    </row>
    <row r="2481">
      <c r="Q2481" s="2" t="str">
        <f t="shared" si="1"/>
        <v/>
      </c>
    </row>
    <row r="2482">
      <c r="Q2482" s="2" t="str">
        <f t="shared" si="1"/>
        <v/>
      </c>
    </row>
    <row r="2483">
      <c r="Q2483" s="2" t="str">
        <f t="shared" si="1"/>
        <v/>
      </c>
    </row>
    <row r="2484">
      <c r="Q2484" s="2" t="str">
        <f t="shared" si="1"/>
        <v/>
      </c>
    </row>
    <row r="2485">
      <c r="Q2485" s="2" t="str">
        <f t="shared" si="1"/>
        <v/>
      </c>
    </row>
    <row r="2486">
      <c r="Q2486" s="2" t="str">
        <f t="shared" si="1"/>
        <v/>
      </c>
    </row>
    <row r="2487">
      <c r="Q2487" s="2" t="str">
        <f t="shared" si="1"/>
        <v/>
      </c>
    </row>
    <row r="2488">
      <c r="Q2488" s="2" t="str">
        <f t="shared" si="1"/>
        <v/>
      </c>
    </row>
    <row r="2489">
      <c r="Q2489" s="2" t="str">
        <f t="shared" si="1"/>
        <v/>
      </c>
    </row>
    <row r="2490">
      <c r="Q2490" s="2" t="str">
        <f t="shared" si="1"/>
        <v/>
      </c>
    </row>
    <row r="2491">
      <c r="Q2491" s="2" t="str">
        <f t="shared" si="1"/>
        <v/>
      </c>
    </row>
    <row r="2492">
      <c r="Q2492" s="2" t="str">
        <f t="shared" si="1"/>
        <v/>
      </c>
    </row>
    <row r="2493">
      <c r="Q2493" s="2" t="str">
        <f t="shared" si="1"/>
        <v/>
      </c>
    </row>
    <row r="2494">
      <c r="Q2494" s="2" t="str">
        <f t="shared" si="1"/>
        <v/>
      </c>
    </row>
    <row r="2495">
      <c r="Q2495" s="2" t="str">
        <f t="shared" si="1"/>
        <v/>
      </c>
    </row>
    <row r="2496">
      <c r="Q2496" s="2" t="str">
        <f t="shared" si="1"/>
        <v/>
      </c>
    </row>
    <row r="2497">
      <c r="Q2497" s="2" t="str">
        <f t="shared" si="1"/>
        <v/>
      </c>
    </row>
    <row r="2498">
      <c r="Q2498" s="2" t="str">
        <f t="shared" si="1"/>
        <v/>
      </c>
    </row>
    <row r="2499">
      <c r="Q2499" s="2" t="str">
        <f t="shared" si="1"/>
        <v/>
      </c>
    </row>
    <row r="2500">
      <c r="Q2500" s="2" t="str">
        <f t="shared" si="1"/>
        <v/>
      </c>
    </row>
    <row r="2501">
      <c r="Q2501" s="2" t="str">
        <f t="shared" si="1"/>
        <v/>
      </c>
    </row>
    <row r="2502">
      <c r="Q2502" s="2" t="str">
        <f t="shared" si="1"/>
        <v/>
      </c>
    </row>
    <row r="2503">
      <c r="Q2503" s="2" t="str">
        <f t="shared" si="1"/>
        <v/>
      </c>
    </row>
    <row r="2504">
      <c r="Q2504" s="2" t="str">
        <f t="shared" si="1"/>
        <v/>
      </c>
    </row>
    <row r="2505">
      <c r="Q2505" s="2" t="str">
        <f t="shared" si="1"/>
        <v/>
      </c>
    </row>
    <row r="2506">
      <c r="Q2506" s="2" t="str">
        <f t="shared" si="1"/>
        <v/>
      </c>
    </row>
    <row r="2507">
      <c r="Q2507" s="2" t="str">
        <f t="shared" si="1"/>
        <v/>
      </c>
    </row>
    <row r="2508">
      <c r="Q2508" s="2" t="str">
        <f t="shared" si="1"/>
        <v/>
      </c>
    </row>
    <row r="2509">
      <c r="Q2509" s="2" t="str">
        <f t="shared" si="1"/>
        <v/>
      </c>
    </row>
    <row r="2510">
      <c r="Q2510" s="2" t="str">
        <f t="shared" si="1"/>
        <v/>
      </c>
    </row>
    <row r="2511">
      <c r="Q2511" s="2" t="str">
        <f t="shared" si="1"/>
        <v/>
      </c>
    </row>
    <row r="2512">
      <c r="Q2512" s="2" t="str">
        <f t="shared" si="1"/>
        <v/>
      </c>
    </row>
    <row r="2513">
      <c r="Q2513" s="2" t="str">
        <f t="shared" si="1"/>
        <v/>
      </c>
    </row>
    <row r="2514">
      <c r="Q2514" s="2" t="str">
        <f t="shared" si="1"/>
        <v/>
      </c>
    </row>
    <row r="2515">
      <c r="Q2515" s="2" t="str">
        <f t="shared" si="1"/>
        <v/>
      </c>
    </row>
    <row r="2516">
      <c r="Q2516" s="2" t="str">
        <f t="shared" si="1"/>
        <v/>
      </c>
    </row>
    <row r="2517">
      <c r="Q2517" s="2" t="str">
        <f t="shared" si="1"/>
        <v/>
      </c>
    </row>
    <row r="2518">
      <c r="Q2518" s="2" t="str">
        <f t="shared" si="1"/>
        <v/>
      </c>
    </row>
    <row r="2519">
      <c r="Q2519" s="2" t="str">
        <f t="shared" si="1"/>
        <v/>
      </c>
    </row>
    <row r="2520">
      <c r="Q2520" s="2" t="str">
        <f t="shared" si="1"/>
        <v/>
      </c>
    </row>
    <row r="2521">
      <c r="Q2521" s="2" t="str">
        <f t="shared" si="1"/>
        <v/>
      </c>
    </row>
    <row r="2522">
      <c r="Q2522" s="2" t="str">
        <f t="shared" si="1"/>
        <v/>
      </c>
    </row>
    <row r="2523">
      <c r="Q2523" s="2" t="str">
        <f t="shared" si="1"/>
        <v/>
      </c>
    </row>
    <row r="2524">
      <c r="Q2524" s="2" t="str">
        <f t="shared" si="1"/>
        <v/>
      </c>
    </row>
    <row r="2525">
      <c r="Q2525" s="2" t="str">
        <f t="shared" si="1"/>
        <v/>
      </c>
    </row>
    <row r="2526">
      <c r="Q2526" s="2" t="str">
        <f t="shared" si="1"/>
        <v/>
      </c>
    </row>
    <row r="2527">
      <c r="Q2527" s="2" t="str">
        <f t="shared" si="1"/>
        <v/>
      </c>
    </row>
    <row r="2528">
      <c r="Q2528" s="2" t="str">
        <f t="shared" si="1"/>
        <v/>
      </c>
    </row>
    <row r="2529">
      <c r="Q2529" s="2" t="str">
        <f t="shared" si="1"/>
        <v/>
      </c>
    </row>
    <row r="2530">
      <c r="Q2530" s="2" t="str">
        <f t="shared" si="1"/>
        <v/>
      </c>
    </row>
    <row r="2531">
      <c r="Q2531" s="2" t="str">
        <f t="shared" si="1"/>
        <v/>
      </c>
    </row>
    <row r="2532">
      <c r="Q2532" s="2" t="str">
        <f t="shared" si="1"/>
        <v/>
      </c>
    </row>
    <row r="2533">
      <c r="Q2533" s="2" t="str">
        <f t="shared" si="1"/>
        <v/>
      </c>
    </row>
    <row r="2534">
      <c r="Q2534" s="2" t="str">
        <f t="shared" si="1"/>
        <v/>
      </c>
    </row>
    <row r="2535">
      <c r="Q2535" s="2" t="str">
        <f t="shared" si="1"/>
        <v/>
      </c>
    </row>
    <row r="2536">
      <c r="Q2536" s="2" t="str">
        <f t="shared" si="1"/>
        <v/>
      </c>
    </row>
    <row r="2537">
      <c r="Q2537" s="2" t="str">
        <f t="shared" si="1"/>
        <v/>
      </c>
    </row>
    <row r="2538">
      <c r="Q2538" s="2" t="str">
        <f t="shared" si="1"/>
        <v/>
      </c>
    </row>
    <row r="2539">
      <c r="Q2539" s="2" t="str">
        <f t="shared" si="1"/>
        <v/>
      </c>
    </row>
    <row r="2540">
      <c r="Q2540" s="2" t="str">
        <f t="shared" si="1"/>
        <v/>
      </c>
    </row>
    <row r="2541">
      <c r="Q2541" s="2" t="str">
        <f t="shared" si="1"/>
        <v/>
      </c>
    </row>
    <row r="2542">
      <c r="Q2542" s="2" t="str">
        <f t="shared" si="1"/>
        <v/>
      </c>
    </row>
    <row r="2543">
      <c r="Q2543" s="2" t="str">
        <f t="shared" si="1"/>
        <v/>
      </c>
    </row>
    <row r="2544">
      <c r="Q2544" s="2" t="str">
        <f t="shared" si="1"/>
        <v/>
      </c>
    </row>
    <row r="2545">
      <c r="Q2545" s="2" t="str">
        <f t="shared" si="1"/>
        <v/>
      </c>
    </row>
    <row r="2546">
      <c r="Q2546" s="2" t="str">
        <f t="shared" si="1"/>
        <v/>
      </c>
    </row>
    <row r="2547">
      <c r="Q2547" s="2" t="str">
        <f t="shared" si="1"/>
        <v/>
      </c>
    </row>
    <row r="2548">
      <c r="Q2548" s="2" t="str">
        <f t="shared" si="1"/>
        <v/>
      </c>
    </row>
    <row r="2549">
      <c r="Q2549" s="2" t="str">
        <f t="shared" si="1"/>
        <v/>
      </c>
    </row>
    <row r="2550">
      <c r="Q2550" s="2" t="str">
        <f t="shared" si="1"/>
        <v/>
      </c>
    </row>
    <row r="2551">
      <c r="Q2551" s="2" t="str">
        <f t="shared" si="1"/>
        <v/>
      </c>
    </row>
    <row r="2552">
      <c r="Q2552" s="2" t="str">
        <f t="shared" si="1"/>
        <v/>
      </c>
    </row>
    <row r="2553">
      <c r="Q2553" s="2" t="str">
        <f t="shared" si="1"/>
        <v/>
      </c>
    </row>
    <row r="2554">
      <c r="Q2554" s="2" t="str">
        <f t="shared" si="1"/>
        <v/>
      </c>
    </row>
    <row r="2555">
      <c r="Q2555" s="2" t="str">
        <f t="shared" si="1"/>
        <v/>
      </c>
    </row>
    <row r="2556">
      <c r="Q2556" s="2" t="str">
        <f t="shared" si="1"/>
        <v/>
      </c>
    </row>
    <row r="2557">
      <c r="Q2557" s="2" t="str">
        <f t="shared" si="1"/>
        <v/>
      </c>
    </row>
    <row r="2558">
      <c r="Q2558" s="2" t="str">
        <f t="shared" si="1"/>
        <v/>
      </c>
    </row>
    <row r="2559">
      <c r="Q2559" s="2" t="str">
        <f t="shared" si="1"/>
        <v/>
      </c>
    </row>
    <row r="2560">
      <c r="Q2560" s="2" t="str">
        <f t="shared" si="1"/>
        <v/>
      </c>
    </row>
    <row r="2561">
      <c r="Q2561" s="2" t="str">
        <f t="shared" si="1"/>
        <v/>
      </c>
    </row>
    <row r="2562">
      <c r="Q2562" s="2" t="str">
        <f t="shared" si="1"/>
        <v/>
      </c>
    </row>
    <row r="2563">
      <c r="Q2563" s="2" t="str">
        <f t="shared" si="1"/>
        <v/>
      </c>
    </row>
    <row r="2564">
      <c r="Q2564" s="2" t="str">
        <f t="shared" si="1"/>
        <v/>
      </c>
    </row>
    <row r="2565">
      <c r="Q2565" s="2" t="str">
        <f t="shared" si="1"/>
        <v/>
      </c>
    </row>
    <row r="2566">
      <c r="Q2566" s="2" t="str">
        <f t="shared" si="1"/>
        <v/>
      </c>
    </row>
    <row r="2567">
      <c r="Q2567" s="2" t="str">
        <f t="shared" si="1"/>
        <v/>
      </c>
    </row>
    <row r="2568">
      <c r="Q2568" s="2" t="str">
        <f t="shared" si="1"/>
        <v/>
      </c>
    </row>
    <row r="2569">
      <c r="Q2569" s="2" t="str">
        <f t="shared" si="1"/>
        <v/>
      </c>
    </row>
    <row r="2570">
      <c r="Q2570" s="2" t="str">
        <f t="shared" si="1"/>
        <v/>
      </c>
    </row>
    <row r="2571">
      <c r="Q2571" s="2" t="str">
        <f t="shared" si="1"/>
        <v/>
      </c>
    </row>
    <row r="2572">
      <c r="Q2572" s="2" t="str">
        <f t="shared" si="1"/>
        <v/>
      </c>
    </row>
    <row r="2573">
      <c r="Q2573" s="2" t="str">
        <f t="shared" si="1"/>
        <v/>
      </c>
    </row>
    <row r="2574">
      <c r="Q2574" s="2" t="str">
        <f t="shared" si="1"/>
        <v/>
      </c>
    </row>
    <row r="2575">
      <c r="Q2575" s="2" t="str">
        <f t="shared" si="1"/>
        <v/>
      </c>
    </row>
    <row r="2576">
      <c r="Q2576" s="2" t="str">
        <f t="shared" si="1"/>
        <v/>
      </c>
    </row>
    <row r="2577">
      <c r="Q2577" s="2" t="str">
        <f t="shared" si="1"/>
        <v/>
      </c>
    </row>
    <row r="2578">
      <c r="Q2578" s="2" t="str">
        <f t="shared" si="1"/>
        <v/>
      </c>
    </row>
    <row r="2579">
      <c r="Q2579" s="2" t="str">
        <f t="shared" si="1"/>
        <v/>
      </c>
    </row>
    <row r="2580">
      <c r="Q2580" s="2" t="str">
        <f t="shared" si="1"/>
        <v/>
      </c>
    </row>
    <row r="2581">
      <c r="Q2581" s="2" t="str">
        <f t="shared" si="1"/>
        <v/>
      </c>
    </row>
    <row r="2582">
      <c r="Q2582" s="2" t="str">
        <f t="shared" si="1"/>
        <v/>
      </c>
    </row>
    <row r="2583">
      <c r="Q2583" s="2" t="str">
        <f t="shared" si="1"/>
        <v/>
      </c>
    </row>
    <row r="2584">
      <c r="Q2584" s="2" t="str">
        <f t="shared" si="1"/>
        <v/>
      </c>
    </row>
    <row r="2585">
      <c r="Q2585" s="2" t="str">
        <f t="shared" si="1"/>
        <v/>
      </c>
    </row>
    <row r="2586">
      <c r="Q2586" s="2" t="str">
        <f t="shared" si="1"/>
        <v/>
      </c>
    </row>
    <row r="2587">
      <c r="Q2587" s="2" t="str">
        <f t="shared" si="1"/>
        <v/>
      </c>
    </row>
    <row r="2588">
      <c r="Q2588" s="2" t="str">
        <f t="shared" si="1"/>
        <v/>
      </c>
    </row>
    <row r="2589">
      <c r="Q2589" s="2" t="str">
        <f t="shared" si="1"/>
        <v/>
      </c>
    </row>
    <row r="2590">
      <c r="Q2590" s="2" t="str">
        <f t="shared" si="1"/>
        <v/>
      </c>
    </row>
    <row r="2591">
      <c r="Q2591" s="2" t="str">
        <f t="shared" si="1"/>
        <v/>
      </c>
    </row>
    <row r="2592">
      <c r="Q2592" s="2" t="str">
        <f t="shared" si="1"/>
        <v/>
      </c>
    </row>
    <row r="2593">
      <c r="Q2593" s="2" t="str">
        <f t="shared" si="1"/>
        <v/>
      </c>
    </row>
    <row r="2594">
      <c r="Q2594" s="2" t="str">
        <f t="shared" si="1"/>
        <v/>
      </c>
    </row>
    <row r="2595">
      <c r="Q2595" s="2" t="str">
        <f t="shared" si="1"/>
        <v/>
      </c>
    </row>
    <row r="2596">
      <c r="Q2596" s="2" t="str">
        <f t="shared" si="1"/>
        <v/>
      </c>
    </row>
    <row r="2597">
      <c r="Q2597" s="2" t="str">
        <f t="shared" si="1"/>
        <v/>
      </c>
    </row>
    <row r="2598">
      <c r="Q2598" s="2" t="str">
        <f t="shared" si="1"/>
        <v/>
      </c>
    </row>
    <row r="2599">
      <c r="Q2599" s="2" t="str">
        <f t="shared" si="1"/>
        <v/>
      </c>
    </row>
    <row r="2600">
      <c r="Q2600" s="2" t="str">
        <f t="shared" si="1"/>
        <v/>
      </c>
    </row>
    <row r="2601">
      <c r="Q2601" s="2" t="str">
        <f t="shared" si="1"/>
        <v/>
      </c>
    </row>
    <row r="2602">
      <c r="Q2602" s="2" t="str">
        <f t="shared" si="1"/>
        <v/>
      </c>
    </row>
    <row r="2603">
      <c r="Q2603" s="2" t="str">
        <f t="shared" si="1"/>
        <v/>
      </c>
    </row>
    <row r="2604">
      <c r="Q2604" s="2" t="str">
        <f t="shared" si="1"/>
        <v/>
      </c>
    </row>
    <row r="2605">
      <c r="Q2605" s="2" t="str">
        <f t="shared" si="1"/>
        <v/>
      </c>
    </row>
    <row r="2606">
      <c r="Q2606" s="2" t="str">
        <f t="shared" si="1"/>
        <v/>
      </c>
    </row>
    <row r="2607">
      <c r="Q2607" s="2" t="str">
        <f t="shared" si="1"/>
        <v/>
      </c>
    </row>
    <row r="2608">
      <c r="Q2608" s="2" t="str">
        <f t="shared" si="1"/>
        <v/>
      </c>
    </row>
    <row r="2609">
      <c r="Q2609" s="2" t="str">
        <f t="shared" si="1"/>
        <v/>
      </c>
    </row>
    <row r="2610">
      <c r="Q2610" s="2" t="str">
        <f t="shared" si="1"/>
        <v/>
      </c>
    </row>
    <row r="2611">
      <c r="Q2611" s="2" t="str">
        <f t="shared" si="1"/>
        <v/>
      </c>
    </row>
    <row r="2612">
      <c r="Q2612" s="2" t="str">
        <f t="shared" si="1"/>
        <v/>
      </c>
    </row>
    <row r="2613">
      <c r="Q2613" s="2" t="str">
        <f t="shared" si="1"/>
        <v/>
      </c>
    </row>
    <row r="2614">
      <c r="Q2614" s="2" t="str">
        <f t="shared" si="1"/>
        <v/>
      </c>
    </row>
    <row r="2615">
      <c r="Q2615" s="2" t="str">
        <f t="shared" si="1"/>
        <v/>
      </c>
    </row>
    <row r="2616">
      <c r="Q2616" s="2" t="str">
        <f t="shared" si="1"/>
        <v/>
      </c>
    </row>
    <row r="2617">
      <c r="Q2617" s="2" t="str">
        <f t="shared" si="1"/>
        <v/>
      </c>
    </row>
    <row r="2618">
      <c r="Q2618" s="2" t="str">
        <f t="shared" si="1"/>
        <v/>
      </c>
    </row>
    <row r="2619">
      <c r="Q2619" s="2" t="str">
        <f t="shared" si="1"/>
        <v/>
      </c>
    </row>
    <row r="2620">
      <c r="Q2620" s="2" t="str">
        <f t="shared" si="1"/>
        <v/>
      </c>
    </row>
    <row r="2621">
      <c r="Q2621" s="2" t="str">
        <f t="shared" si="1"/>
        <v/>
      </c>
    </row>
    <row r="2622">
      <c r="Q2622" s="2" t="str">
        <f t="shared" si="1"/>
        <v/>
      </c>
    </row>
    <row r="2623">
      <c r="Q2623" s="2" t="str">
        <f t="shared" si="1"/>
        <v/>
      </c>
    </row>
    <row r="2624">
      <c r="Q2624" s="2" t="str">
        <f t="shared" si="1"/>
        <v/>
      </c>
    </row>
    <row r="2625">
      <c r="Q2625" s="2" t="str">
        <f t="shared" si="1"/>
        <v/>
      </c>
    </row>
    <row r="2626">
      <c r="Q2626" s="2" t="str">
        <f t="shared" si="1"/>
        <v/>
      </c>
    </row>
    <row r="2627">
      <c r="Q2627" s="2" t="str">
        <f t="shared" si="1"/>
        <v/>
      </c>
    </row>
    <row r="2628">
      <c r="Q2628" s="2" t="str">
        <f t="shared" si="1"/>
        <v/>
      </c>
    </row>
    <row r="2629">
      <c r="Q2629" s="2" t="str">
        <f t="shared" si="1"/>
        <v/>
      </c>
    </row>
    <row r="2630">
      <c r="Q2630" s="2" t="str">
        <f t="shared" si="1"/>
        <v/>
      </c>
    </row>
    <row r="2631">
      <c r="Q2631" s="2" t="str">
        <f t="shared" si="1"/>
        <v/>
      </c>
    </row>
    <row r="2632">
      <c r="Q2632" s="2" t="str">
        <f t="shared" si="1"/>
        <v/>
      </c>
    </row>
    <row r="2633">
      <c r="Q2633" s="2" t="str">
        <f t="shared" si="1"/>
        <v/>
      </c>
    </row>
    <row r="2634">
      <c r="Q2634" s="2" t="str">
        <f t="shared" si="1"/>
        <v/>
      </c>
    </row>
    <row r="2635">
      <c r="Q2635" s="2" t="str">
        <f t="shared" si="1"/>
        <v/>
      </c>
    </row>
    <row r="2636">
      <c r="Q2636" s="2" t="str">
        <f t="shared" si="1"/>
        <v/>
      </c>
    </row>
    <row r="2637">
      <c r="Q2637" s="2" t="str">
        <f t="shared" si="1"/>
        <v/>
      </c>
    </row>
    <row r="2638">
      <c r="Q2638" s="2" t="str">
        <f t="shared" si="1"/>
        <v/>
      </c>
    </row>
    <row r="2639">
      <c r="Q2639" s="2" t="str">
        <f t="shared" si="1"/>
        <v/>
      </c>
    </row>
    <row r="2640">
      <c r="Q2640" s="2" t="str">
        <f t="shared" si="1"/>
        <v/>
      </c>
    </row>
    <row r="2641">
      <c r="Q2641" s="2" t="str">
        <f t="shared" si="1"/>
        <v/>
      </c>
    </row>
    <row r="2642">
      <c r="Q2642" s="2" t="str">
        <f t="shared" si="1"/>
        <v/>
      </c>
    </row>
    <row r="2643">
      <c r="Q2643" s="2" t="str">
        <f t="shared" si="1"/>
        <v/>
      </c>
    </row>
    <row r="2644">
      <c r="Q2644" s="2" t="str">
        <f t="shared" si="1"/>
        <v/>
      </c>
    </row>
    <row r="2645">
      <c r="Q2645" s="2" t="str">
        <f t="shared" si="1"/>
        <v/>
      </c>
    </row>
    <row r="2646">
      <c r="Q2646" s="2" t="str">
        <f t="shared" si="1"/>
        <v/>
      </c>
    </row>
    <row r="2647">
      <c r="Q2647" s="2" t="str">
        <f t="shared" si="1"/>
        <v/>
      </c>
    </row>
    <row r="2648">
      <c r="Q2648" s="2" t="str">
        <f t="shared" si="1"/>
        <v/>
      </c>
    </row>
    <row r="2649">
      <c r="Q2649" s="2" t="str">
        <f t="shared" si="1"/>
        <v/>
      </c>
    </row>
    <row r="2650">
      <c r="Q2650" s="2" t="str">
        <f t="shared" si="1"/>
        <v/>
      </c>
    </row>
    <row r="2651">
      <c r="Q2651" s="2" t="str">
        <f t="shared" si="1"/>
        <v/>
      </c>
    </row>
    <row r="2652">
      <c r="Q2652" s="2" t="str">
        <f t="shared" si="1"/>
        <v/>
      </c>
    </row>
    <row r="2653">
      <c r="Q2653" s="2" t="str">
        <f t="shared" si="1"/>
        <v/>
      </c>
    </row>
    <row r="2654">
      <c r="Q2654" s="2" t="str">
        <f t="shared" si="1"/>
        <v/>
      </c>
    </row>
    <row r="2655">
      <c r="Q2655" s="2" t="str">
        <f t="shared" si="1"/>
        <v/>
      </c>
    </row>
    <row r="2656">
      <c r="Q2656" s="2" t="str">
        <f t="shared" si="1"/>
        <v/>
      </c>
    </row>
    <row r="2657">
      <c r="Q2657" s="2" t="str">
        <f t="shared" si="1"/>
        <v/>
      </c>
    </row>
    <row r="2658">
      <c r="Q2658" s="2" t="str">
        <f t="shared" si="1"/>
        <v/>
      </c>
    </row>
    <row r="2659">
      <c r="Q2659" s="2" t="str">
        <f t="shared" si="1"/>
        <v/>
      </c>
    </row>
    <row r="2660">
      <c r="Q2660" s="2" t="str">
        <f t="shared" si="1"/>
        <v/>
      </c>
    </row>
    <row r="2661">
      <c r="Q2661" s="2" t="str">
        <f t="shared" si="1"/>
        <v/>
      </c>
    </row>
    <row r="2662">
      <c r="Q2662" s="2" t="str">
        <f t="shared" si="1"/>
        <v/>
      </c>
    </row>
    <row r="2663">
      <c r="Q2663" s="2" t="str">
        <f t="shared" si="1"/>
        <v/>
      </c>
    </row>
    <row r="2664">
      <c r="Q2664" s="2" t="str">
        <f t="shared" si="1"/>
        <v/>
      </c>
    </row>
    <row r="2665">
      <c r="Q2665" s="2" t="str">
        <f t="shared" si="1"/>
        <v/>
      </c>
    </row>
    <row r="2666">
      <c r="Q2666" s="2" t="str">
        <f t="shared" si="1"/>
        <v/>
      </c>
    </row>
    <row r="2667">
      <c r="Q2667" s="2" t="str">
        <f t="shared" si="1"/>
        <v/>
      </c>
    </row>
    <row r="2668">
      <c r="Q2668" s="2" t="str">
        <f t="shared" si="1"/>
        <v/>
      </c>
    </row>
    <row r="2669">
      <c r="Q2669" s="2" t="str">
        <f t="shared" si="1"/>
        <v/>
      </c>
    </row>
    <row r="2670">
      <c r="Q2670" s="2" t="str">
        <f t="shared" si="1"/>
        <v/>
      </c>
    </row>
    <row r="2671">
      <c r="Q2671" s="2" t="str">
        <f t="shared" si="1"/>
        <v/>
      </c>
    </row>
    <row r="2672">
      <c r="Q2672" s="2" t="str">
        <f t="shared" si="1"/>
        <v/>
      </c>
    </row>
    <row r="2673">
      <c r="Q2673" s="2" t="str">
        <f t="shared" si="1"/>
        <v/>
      </c>
    </row>
    <row r="2674">
      <c r="Q2674" s="2" t="str">
        <f t="shared" si="1"/>
        <v/>
      </c>
    </row>
    <row r="2675">
      <c r="Q2675" s="2" t="str">
        <f t="shared" si="1"/>
        <v/>
      </c>
    </row>
    <row r="2676">
      <c r="Q2676" s="2" t="str">
        <f t="shared" si="1"/>
        <v/>
      </c>
    </row>
    <row r="2677">
      <c r="Q2677" s="2" t="str">
        <f t="shared" si="1"/>
        <v/>
      </c>
    </row>
    <row r="2678">
      <c r="Q2678" s="2" t="str">
        <f t="shared" si="1"/>
        <v/>
      </c>
    </row>
    <row r="2679">
      <c r="Q2679" s="2" t="str">
        <f t="shared" si="1"/>
        <v/>
      </c>
    </row>
    <row r="2680">
      <c r="Q2680" s="2" t="str">
        <f t="shared" si="1"/>
        <v/>
      </c>
    </row>
    <row r="2681">
      <c r="Q2681" s="2" t="str">
        <f t="shared" si="1"/>
        <v/>
      </c>
    </row>
    <row r="2682">
      <c r="Q2682" s="2" t="str">
        <f t="shared" si="1"/>
        <v/>
      </c>
    </row>
    <row r="2683">
      <c r="Q2683" s="2" t="str">
        <f t="shared" si="1"/>
        <v/>
      </c>
    </row>
    <row r="2684">
      <c r="Q2684" s="2" t="str">
        <f t="shared" si="1"/>
        <v/>
      </c>
    </row>
    <row r="2685">
      <c r="Q2685" s="2" t="str">
        <f t="shared" si="1"/>
        <v/>
      </c>
    </row>
    <row r="2686">
      <c r="Q2686" s="2" t="str">
        <f t="shared" si="1"/>
        <v/>
      </c>
    </row>
    <row r="2687">
      <c r="Q2687" s="2" t="str">
        <f t="shared" si="1"/>
        <v/>
      </c>
    </row>
    <row r="2688">
      <c r="Q2688" s="2" t="str">
        <f t="shared" si="1"/>
        <v/>
      </c>
    </row>
    <row r="2689">
      <c r="Q2689" s="2" t="str">
        <f t="shared" si="1"/>
        <v/>
      </c>
    </row>
    <row r="2690">
      <c r="Q2690" s="2" t="str">
        <f t="shared" si="1"/>
        <v/>
      </c>
    </row>
    <row r="2691">
      <c r="Q2691" s="2" t="str">
        <f t="shared" si="1"/>
        <v/>
      </c>
    </row>
    <row r="2692">
      <c r="Q2692" s="2" t="str">
        <f t="shared" si="1"/>
        <v/>
      </c>
    </row>
    <row r="2693">
      <c r="Q2693" s="2" t="str">
        <f t="shared" si="1"/>
        <v/>
      </c>
    </row>
    <row r="2694">
      <c r="Q2694" s="2" t="str">
        <f t="shared" si="1"/>
        <v/>
      </c>
    </row>
    <row r="2695">
      <c r="Q2695" s="2" t="str">
        <f t="shared" si="1"/>
        <v/>
      </c>
    </row>
    <row r="2696">
      <c r="Q2696" s="2" t="str">
        <f t="shared" si="1"/>
        <v/>
      </c>
    </row>
    <row r="2697">
      <c r="Q2697" s="2" t="str">
        <f t="shared" si="1"/>
        <v/>
      </c>
    </row>
    <row r="2698">
      <c r="Q2698" s="2" t="str">
        <f t="shared" si="1"/>
        <v/>
      </c>
    </row>
    <row r="2699">
      <c r="Q2699" s="2" t="str">
        <f t="shared" si="1"/>
        <v/>
      </c>
    </row>
    <row r="2700">
      <c r="Q2700" s="2" t="str">
        <f t="shared" si="1"/>
        <v/>
      </c>
    </row>
    <row r="2701">
      <c r="Q2701" s="2" t="str">
        <f t="shared" si="1"/>
        <v/>
      </c>
    </row>
    <row r="2702">
      <c r="Q2702" s="2" t="str">
        <f t="shared" si="1"/>
        <v/>
      </c>
    </row>
    <row r="2703">
      <c r="Q2703" s="2" t="str">
        <f t="shared" si="1"/>
        <v/>
      </c>
    </row>
    <row r="2704">
      <c r="Q2704" s="2" t="str">
        <f t="shared" si="1"/>
        <v/>
      </c>
    </row>
    <row r="2705">
      <c r="Q2705" s="2" t="str">
        <f t="shared" si="1"/>
        <v/>
      </c>
    </row>
    <row r="2706">
      <c r="Q2706" s="2" t="str">
        <f t="shared" si="1"/>
        <v/>
      </c>
    </row>
    <row r="2707">
      <c r="Q2707" s="2" t="str">
        <f t="shared" si="1"/>
        <v/>
      </c>
    </row>
    <row r="2708">
      <c r="Q2708" s="2" t="str">
        <f t="shared" si="1"/>
        <v/>
      </c>
    </row>
    <row r="2709">
      <c r="Q2709" s="2" t="str">
        <f t="shared" si="1"/>
        <v/>
      </c>
    </row>
    <row r="2710">
      <c r="Q2710" s="2" t="str">
        <f t="shared" si="1"/>
        <v/>
      </c>
    </row>
    <row r="2711">
      <c r="Q2711" s="2" t="str">
        <f t="shared" si="1"/>
        <v/>
      </c>
    </row>
    <row r="2712">
      <c r="Q2712" s="2" t="str">
        <f t="shared" si="1"/>
        <v/>
      </c>
    </row>
    <row r="2713">
      <c r="Q2713" s="2" t="str">
        <f t="shared" si="1"/>
        <v/>
      </c>
    </row>
    <row r="2714">
      <c r="Q2714" s="2" t="str">
        <f t="shared" si="1"/>
        <v/>
      </c>
    </row>
    <row r="2715">
      <c r="Q2715" s="2" t="str">
        <f t="shared" si="1"/>
        <v/>
      </c>
    </row>
    <row r="2716">
      <c r="Q2716" s="2" t="str">
        <f t="shared" si="1"/>
        <v/>
      </c>
    </row>
    <row r="2717">
      <c r="Q2717" s="2" t="str">
        <f t="shared" si="1"/>
        <v/>
      </c>
    </row>
    <row r="2718">
      <c r="Q2718" s="2" t="str">
        <f t="shared" si="1"/>
        <v/>
      </c>
    </row>
    <row r="2719">
      <c r="Q2719" s="2" t="str">
        <f t="shared" si="1"/>
        <v/>
      </c>
    </row>
    <row r="2720">
      <c r="Q2720" s="2" t="str">
        <f t="shared" si="1"/>
        <v/>
      </c>
    </row>
    <row r="2721">
      <c r="Q2721" s="2" t="str">
        <f t="shared" si="1"/>
        <v/>
      </c>
    </row>
    <row r="2722">
      <c r="Q2722" s="2" t="str">
        <f t="shared" si="1"/>
        <v/>
      </c>
    </row>
    <row r="2723">
      <c r="Q2723" s="2" t="str">
        <f t="shared" si="1"/>
        <v/>
      </c>
    </row>
    <row r="2724">
      <c r="Q2724" s="2" t="str">
        <f t="shared" si="1"/>
        <v/>
      </c>
    </row>
    <row r="2725">
      <c r="Q2725" s="2" t="str">
        <f t="shared" si="1"/>
        <v/>
      </c>
    </row>
    <row r="2726">
      <c r="Q2726" s="2" t="str">
        <f t="shared" si="1"/>
        <v/>
      </c>
    </row>
    <row r="2727">
      <c r="Q2727" s="2" t="str">
        <f t="shared" si="1"/>
        <v/>
      </c>
    </row>
    <row r="2728">
      <c r="Q2728" s="2" t="str">
        <f t="shared" si="1"/>
        <v/>
      </c>
    </row>
    <row r="2729">
      <c r="Q2729" s="2" t="str">
        <f t="shared" si="1"/>
        <v/>
      </c>
    </row>
    <row r="2730">
      <c r="Q2730" s="2" t="str">
        <f t="shared" si="1"/>
        <v/>
      </c>
    </row>
    <row r="2731">
      <c r="Q2731" s="2" t="str">
        <f t="shared" si="1"/>
        <v/>
      </c>
    </row>
    <row r="2732">
      <c r="Q2732" s="2" t="str">
        <f t="shared" si="1"/>
        <v/>
      </c>
    </row>
    <row r="2733">
      <c r="Q2733" s="2" t="str">
        <f t="shared" si="1"/>
        <v/>
      </c>
    </row>
    <row r="2734">
      <c r="Q2734" s="2" t="str">
        <f t="shared" si="1"/>
        <v/>
      </c>
    </row>
    <row r="2735">
      <c r="Q2735" s="2" t="str">
        <f t="shared" si="1"/>
        <v/>
      </c>
    </row>
    <row r="2736">
      <c r="Q2736" s="2" t="str">
        <f t="shared" si="1"/>
        <v/>
      </c>
    </row>
    <row r="2737">
      <c r="Q2737" s="2" t="str">
        <f t="shared" si="1"/>
        <v/>
      </c>
    </row>
    <row r="2738">
      <c r="Q2738" s="2" t="str">
        <f t="shared" si="1"/>
        <v/>
      </c>
    </row>
    <row r="2739">
      <c r="Q2739" s="2" t="str">
        <f t="shared" si="1"/>
        <v/>
      </c>
    </row>
    <row r="2740">
      <c r="Q2740" s="2" t="str">
        <f t="shared" si="1"/>
        <v/>
      </c>
    </row>
    <row r="2741">
      <c r="Q2741" s="2" t="str">
        <f t="shared" si="1"/>
        <v/>
      </c>
    </row>
    <row r="2742">
      <c r="Q2742" s="2" t="str">
        <f t="shared" si="1"/>
        <v/>
      </c>
    </row>
    <row r="2743">
      <c r="Q2743" s="2" t="str">
        <f t="shared" si="1"/>
        <v/>
      </c>
    </row>
    <row r="2744">
      <c r="Q2744" s="2" t="str">
        <f t="shared" si="1"/>
        <v/>
      </c>
    </row>
    <row r="2745">
      <c r="Q2745" s="2" t="str">
        <f t="shared" si="1"/>
        <v/>
      </c>
    </row>
    <row r="2746">
      <c r="Q2746" s="2" t="str">
        <f t="shared" si="1"/>
        <v/>
      </c>
    </row>
    <row r="2747">
      <c r="Q2747" s="2" t="str">
        <f t="shared" si="1"/>
        <v/>
      </c>
    </row>
    <row r="2748">
      <c r="Q2748" s="2" t="str">
        <f t="shared" si="1"/>
        <v/>
      </c>
    </row>
    <row r="2749">
      <c r="Q2749" s="2" t="str">
        <f t="shared" si="1"/>
        <v/>
      </c>
    </row>
    <row r="2750">
      <c r="Q2750" s="2" t="str">
        <f t="shared" si="1"/>
        <v/>
      </c>
    </row>
    <row r="2751">
      <c r="Q2751" s="2" t="str">
        <f t="shared" si="1"/>
        <v/>
      </c>
    </row>
    <row r="2752">
      <c r="Q2752" s="2" t="str">
        <f t="shared" si="1"/>
        <v/>
      </c>
    </row>
    <row r="2753">
      <c r="Q2753" s="2" t="str">
        <f t="shared" si="1"/>
        <v/>
      </c>
    </row>
    <row r="2754">
      <c r="Q2754" s="2" t="str">
        <f t="shared" si="1"/>
        <v/>
      </c>
    </row>
    <row r="2755">
      <c r="Q2755" s="2" t="str">
        <f t="shared" si="1"/>
        <v/>
      </c>
    </row>
    <row r="2756">
      <c r="Q2756" s="2" t="str">
        <f t="shared" si="1"/>
        <v/>
      </c>
    </row>
    <row r="2757">
      <c r="Q2757" s="2" t="str">
        <f t="shared" si="1"/>
        <v/>
      </c>
    </row>
    <row r="2758">
      <c r="Q2758" s="2" t="str">
        <f t="shared" si="1"/>
        <v/>
      </c>
    </row>
    <row r="2759">
      <c r="Q2759" s="2" t="str">
        <f t="shared" si="1"/>
        <v/>
      </c>
    </row>
    <row r="2760">
      <c r="Q2760" s="2" t="str">
        <f t="shared" si="1"/>
        <v/>
      </c>
    </row>
    <row r="2761">
      <c r="Q2761" s="2" t="str">
        <f t="shared" si="1"/>
        <v/>
      </c>
    </row>
    <row r="2762">
      <c r="Q2762" s="2" t="str">
        <f t="shared" si="1"/>
        <v/>
      </c>
    </row>
    <row r="2763">
      <c r="Q2763" s="2" t="str">
        <f t="shared" si="1"/>
        <v/>
      </c>
    </row>
    <row r="2764">
      <c r="Q2764" s="2" t="str">
        <f t="shared" si="1"/>
        <v/>
      </c>
    </row>
    <row r="2765">
      <c r="Q2765" s="2" t="str">
        <f t="shared" si="1"/>
        <v/>
      </c>
    </row>
    <row r="2766">
      <c r="Q2766" s="2" t="str">
        <f t="shared" si="1"/>
        <v/>
      </c>
    </row>
    <row r="2767">
      <c r="Q2767" s="2" t="str">
        <f t="shared" si="1"/>
        <v/>
      </c>
    </row>
    <row r="2768">
      <c r="Q2768" s="2" t="str">
        <f t="shared" si="1"/>
        <v/>
      </c>
    </row>
    <row r="2769">
      <c r="Q2769" s="2" t="str">
        <f t="shared" si="1"/>
        <v/>
      </c>
    </row>
    <row r="2770">
      <c r="Q2770" s="2" t="str">
        <f t="shared" si="1"/>
        <v/>
      </c>
    </row>
    <row r="2771">
      <c r="Q2771" s="2" t="str">
        <f t="shared" si="1"/>
        <v/>
      </c>
    </row>
    <row r="2772">
      <c r="Q2772" s="2" t="str">
        <f t="shared" si="1"/>
        <v/>
      </c>
    </row>
    <row r="2773">
      <c r="Q2773" s="2" t="str">
        <f t="shared" si="1"/>
        <v/>
      </c>
    </row>
    <row r="2774">
      <c r="Q2774" s="2" t="str">
        <f t="shared" si="1"/>
        <v/>
      </c>
    </row>
    <row r="2775">
      <c r="Q2775" s="2" t="str">
        <f t="shared" si="1"/>
        <v/>
      </c>
    </row>
    <row r="2776">
      <c r="Q2776" s="2" t="str">
        <f t="shared" si="1"/>
        <v/>
      </c>
    </row>
    <row r="2777">
      <c r="Q2777" s="2" t="str">
        <f t="shared" si="1"/>
        <v/>
      </c>
    </row>
    <row r="2778">
      <c r="Q2778" s="2" t="str">
        <f t="shared" si="1"/>
        <v/>
      </c>
    </row>
    <row r="2779">
      <c r="Q2779" s="2" t="str">
        <f t="shared" si="1"/>
        <v/>
      </c>
    </row>
    <row r="2780">
      <c r="Q2780" s="2" t="str">
        <f t="shared" si="1"/>
        <v/>
      </c>
    </row>
    <row r="2781">
      <c r="Q2781" s="2" t="str">
        <f t="shared" si="1"/>
        <v/>
      </c>
    </row>
    <row r="2782">
      <c r="Q2782" s="2" t="str">
        <f t="shared" si="1"/>
        <v/>
      </c>
    </row>
    <row r="2783">
      <c r="Q2783" s="2" t="str">
        <f t="shared" si="1"/>
        <v/>
      </c>
    </row>
    <row r="2784">
      <c r="Q2784" s="2" t="str">
        <f t="shared" si="1"/>
        <v/>
      </c>
    </row>
    <row r="2785">
      <c r="Q2785" s="2" t="str">
        <f t="shared" si="1"/>
        <v/>
      </c>
    </row>
    <row r="2786">
      <c r="Q2786" s="2" t="str">
        <f t="shared" si="1"/>
        <v/>
      </c>
    </row>
    <row r="2787">
      <c r="Q2787" s="2" t="str">
        <f t="shared" si="1"/>
        <v/>
      </c>
    </row>
    <row r="2788">
      <c r="Q2788" s="2" t="str">
        <f t="shared" si="1"/>
        <v/>
      </c>
    </row>
    <row r="2789">
      <c r="Q2789" s="2" t="str">
        <f t="shared" si="1"/>
        <v/>
      </c>
    </row>
    <row r="2790">
      <c r="Q2790" s="2" t="str">
        <f t="shared" si="1"/>
        <v/>
      </c>
    </row>
    <row r="2791">
      <c r="Q2791" s="2" t="str">
        <f t="shared" si="1"/>
        <v/>
      </c>
    </row>
    <row r="2792">
      <c r="Q2792" s="2" t="str">
        <f t="shared" si="1"/>
        <v/>
      </c>
    </row>
    <row r="2793">
      <c r="Q2793" s="2" t="str">
        <f t="shared" si="1"/>
        <v/>
      </c>
    </row>
    <row r="2794">
      <c r="Q2794" s="2" t="str">
        <f t="shared" si="1"/>
        <v/>
      </c>
    </row>
    <row r="2795">
      <c r="Q2795" s="2" t="str">
        <f t="shared" si="1"/>
        <v/>
      </c>
    </row>
    <row r="2796">
      <c r="Q2796" s="2" t="str">
        <f t="shared" si="1"/>
        <v/>
      </c>
    </row>
    <row r="2797">
      <c r="Q2797" s="2" t="str">
        <f t="shared" si="1"/>
        <v/>
      </c>
    </row>
    <row r="2798">
      <c r="Q2798" s="2" t="str">
        <f t="shared" si="1"/>
        <v/>
      </c>
    </row>
    <row r="2799">
      <c r="Q2799" s="2" t="str">
        <f t="shared" si="1"/>
        <v/>
      </c>
    </row>
    <row r="2800">
      <c r="Q2800" s="2" t="str">
        <f t="shared" si="1"/>
        <v/>
      </c>
    </row>
    <row r="2801">
      <c r="Q2801" s="2" t="str">
        <f t="shared" si="1"/>
        <v/>
      </c>
    </row>
    <row r="2802">
      <c r="Q2802" s="2" t="str">
        <f t="shared" si="1"/>
        <v/>
      </c>
    </row>
    <row r="2803">
      <c r="Q2803" s="2" t="str">
        <f t="shared" si="1"/>
        <v/>
      </c>
    </row>
    <row r="2804">
      <c r="Q2804" s="2" t="str">
        <f t="shared" si="1"/>
        <v/>
      </c>
    </row>
    <row r="2805">
      <c r="Q2805" s="2" t="str">
        <f t="shared" si="1"/>
        <v/>
      </c>
    </row>
    <row r="2806">
      <c r="Q2806" s="2" t="str">
        <f t="shared" si="1"/>
        <v/>
      </c>
    </row>
    <row r="2807">
      <c r="Q2807" s="2" t="str">
        <f t="shared" si="1"/>
        <v/>
      </c>
    </row>
    <row r="2808">
      <c r="Q2808" s="2" t="str">
        <f t="shared" si="1"/>
        <v/>
      </c>
    </row>
    <row r="2809">
      <c r="Q2809" s="2" t="str">
        <f t="shared" si="1"/>
        <v/>
      </c>
    </row>
    <row r="2810">
      <c r="Q2810" s="2" t="str">
        <f t="shared" si="1"/>
        <v/>
      </c>
    </row>
    <row r="2811">
      <c r="Q2811" s="2" t="str">
        <f t="shared" si="1"/>
        <v/>
      </c>
    </row>
    <row r="2812">
      <c r="Q2812" s="2" t="str">
        <f t="shared" si="1"/>
        <v/>
      </c>
    </row>
    <row r="2813">
      <c r="Q2813" s="2" t="str">
        <f t="shared" si="1"/>
        <v/>
      </c>
    </row>
    <row r="2814">
      <c r="Q2814" s="2" t="str">
        <f t="shared" si="1"/>
        <v/>
      </c>
    </row>
    <row r="2815">
      <c r="Q2815" s="2" t="str">
        <f t="shared" si="1"/>
        <v/>
      </c>
    </row>
    <row r="2816">
      <c r="Q2816" s="2" t="str">
        <f t="shared" si="1"/>
        <v/>
      </c>
    </row>
    <row r="2817">
      <c r="Q2817" s="2" t="str">
        <f t="shared" si="1"/>
        <v/>
      </c>
    </row>
    <row r="2818">
      <c r="Q2818" s="2" t="str">
        <f t="shared" si="1"/>
        <v/>
      </c>
    </row>
    <row r="2819">
      <c r="Q2819" s="2" t="str">
        <f t="shared" si="1"/>
        <v/>
      </c>
    </row>
    <row r="2820">
      <c r="Q2820" s="2" t="str">
        <f t="shared" si="1"/>
        <v/>
      </c>
    </row>
    <row r="2821">
      <c r="Q2821" s="2" t="str">
        <f t="shared" si="1"/>
        <v/>
      </c>
    </row>
    <row r="2822">
      <c r="Q2822" s="2" t="str">
        <f t="shared" si="1"/>
        <v/>
      </c>
    </row>
    <row r="2823">
      <c r="Q2823" s="2" t="str">
        <f t="shared" si="1"/>
        <v/>
      </c>
    </row>
    <row r="2824">
      <c r="Q2824" s="2" t="str">
        <f t="shared" si="1"/>
        <v/>
      </c>
    </row>
    <row r="2825">
      <c r="Q2825" s="2" t="str">
        <f t="shared" si="1"/>
        <v/>
      </c>
    </row>
    <row r="2826">
      <c r="Q2826" s="2" t="str">
        <f t="shared" si="1"/>
        <v/>
      </c>
    </row>
    <row r="2827">
      <c r="Q2827" s="2" t="str">
        <f t="shared" si="1"/>
        <v/>
      </c>
    </row>
    <row r="2828">
      <c r="Q2828" s="2" t="str">
        <f t="shared" si="1"/>
        <v/>
      </c>
    </row>
    <row r="2829">
      <c r="Q2829" s="2" t="str">
        <f t="shared" si="1"/>
        <v/>
      </c>
    </row>
    <row r="2830">
      <c r="Q2830" s="2" t="str">
        <f t="shared" si="1"/>
        <v/>
      </c>
    </row>
    <row r="2831">
      <c r="Q2831" s="2" t="str">
        <f t="shared" si="1"/>
        <v/>
      </c>
    </row>
    <row r="2832">
      <c r="Q2832" s="2" t="str">
        <f t="shared" si="1"/>
        <v/>
      </c>
    </row>
    <row r="2833">
      <c r="Q2833" s="2" t="str">
        <f t="shared" si="1"/>
        <v/>
      </c>
    </row>
    <row r="2834">
      <c r="Q2834" s="2" t="str">
        <f t="shared" si="1"/>
        <v/>
      </c>
    </row>
    <row r="2835">
      <c r="Q2835" s="2" t="str">
        <f t="shared" si="1"/>
        <v/>
      </c>
    </row>
    <row r="2836">
      <c r="Q2836" s="2" t="str">
        <f t="shared" si="1"/>
        <v/>
      </c>
    </row>
    <row r="2837">
      <c r="Q2837" s="2" t="str">
        <f t="shared" si="1"/>
        <v/>
      </c>
    </row>
    <row r="2838">
      <c r="Q2838" s="2" t="str">
        <f t="shared" si="1"/>
        <v/>
      </c>
    </row>
    <row r="2839">
      <c r="Q2839" s="2" t="str">
        <f t="shared" si="1"/>
        <v/>
      </c>
    </row>
    <row r="2840">
      <c r="Q2840" s="2" t="str">
        <f t="shared" si="1"/>
        <v/>
      </c>
    </row>
    <row r="2841">
      <c r="Q2841" s="2" t="str">
        <f t="shared" si="1"/>
        <v/>
      </c>
    </row>
    <row r="2842">
      <c r="Q2842" s="2" t="str">
        <f t="shared" si="1"/>
        <v/>
      </c>
    </row>
    <row r="2843">
      <c r="Q2843" s="2" t="str">
        <f t="shared" si="1"/>
        <v/>
      </c>
    </row>
    <row r="2844">
      <c r="Q2844" s="2" t="str">
        <f t="shared" si="1"/>
        <v/>
      </c>
    </row>
    <row r="2845">
      <c r="Q2845" s="2" t="str">
        <f t="shared" si="1"/>
        <v/>
      </c>
    </row>
    <row r="2846">
      <c r="Q2846" s="2" t="str">
        <f t="shared" si="1"/>
        <v/>
      </c>
    </row>
    <row r="2847">
      <c r="Q2847" s="2" t="str">
        <f t="shared" si="1"/>
        <v/>
      </c>
    </row>
    <row r="2848">
      <c r="Q2848" s="2" t="str">
        <f t="shared" si="1"/>
        <v/>
      </c>
    </row>
    <row r="2849">
      <c r="Q2849" s="2" t="str">
        <f t="shared" si="1"/>
        <v/>
      </c>
    </row>
    <row r="2850">
      <c r="Q2850" s="2" t="str">
        <f t="shared" si="1"/>
        <v/>
      </c>
    </row>
    <row r="2851">
      <c r="Q2851" s="2" t="str">
        <f t="shared" si="1"/>
        <v/>
      </c>
    </row>
    <row r="2852">
      <c r="Q2852" s="2" t="str">
        <f t="shared" si="1"/>
        <v/>
      </c>
    </row>
    <row r="2853">
      <c r="Q2853" s="2" t="str">
        <f t="shared" si="1"/>
        <v/>
      </c>
    </row>
    <row r="2854">
      <c r="Q2854" s="2" t="str">
        <f t="shared" si="1"/>
        <v/>
      </c>
    </row>
    <row r="2855">
      <c r="Q2855" s="2" t="str">
        <f t="shared" si="1"/>
        <v/>
      </c>
    </row>
    <row r="2856">
      <c r="Q2856" s="2" t="str">
        <f t="shared" si="1"/>
        <v/>
      </c>
    </row>
    <row r="2857">
      <c r="Q2857" s="2" t="str">
        <f t="shared" si="1"/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3" width="23.13"/>
  </cols>
  <sheetData>
    <row r="1">
      <c r="A1" s="2" t="str">
        <f>IFERROR(__xludf.DUMMYFUNCTION("IMPORTRANGE(""https://docs.google.com/spreadsheets/d/1BWcUWV5RhuYjhkz2Gmwj8nSDrlzdBDqlC055FELAcO0/edit?gid=1682311788#gid=1682311788"", ""data!A:J"")"),"SubmissionDate")</f>
        <v>SubmissionDate</v>
      </c>
      <c r="B1" s="2" t="str">
        <f>IFERROR(__xludf.DUMMYFUNCTION("""COMPUTED_VALUE"""),"starttime")</f>
        <v>starttime</v>
      </c>
      <c r="C1" s="2" t="str">
        <f>IFERROR(__xludf.DUMMYFUNCTION("""COMPUTED_VALUE"""),"endtime")</f>
        <v>endtime</v>
      </c>
      <c r="D1" s="2" t="str">
        <f>IFERROR(__xludf.DUMMYFUNCTION("""COMPUTED_VALUE"""),"caseid")</f>
        <v>caseid</v>
      </c>
      <c r="E1" s="2" t="str">
        <f>IFERROR(__xludf.DUMMYFUNCTION("""COMPUTED_VALUE"""),"fo_id")</f>
        <v>fo_id</v>
      </c>
      <c r="F1" s="2" t="str">
        <f>IFERROR(__xludf.DUMMYFUNCTION("""COMPUTED_VALUE"""),"fo_name")</f>
        <v>fo_name</v>
      </c>
      <c r="G1" s="2" t="str">
        <f>IFERROR(__xludf.DUMMYFUNCTION("""COMPUTED_VALUE"""),"fc_id")</f>
        <v>fc_id</v>
      </c>
      <c r="H1" s="2" t="str">
        <f>IFERROR(__xludf.DUMMYFUNCTION("""COMPUTED_VALUE"""),"fc_name")</f>
        <v>fc_name</v>
      </c>
      <c r="I1" s="2" t="str">
        <f>IFERROR(__xludf.DUMMYFUNCTION("""COMPUTED_VALUE"""),"formdef_id")</f>
        <v>formdef_id</v>
      </c>
      <c r="J1" s="2" t="str">
        <f>IFERROR(__xludf.DUMMYFUNCTION("""COMPUTED_VALUE"""),"KEY")</f>
        <v>KEY</v>
      </c>
    </row>
    <row r="2">
      <c r="A2" s="2" t="str">
        <f>IFERROR(__xludf.DUMMYFUNCTION("""COMPUTED_VALUE"""),"2025-08-26T09:58:56.319Z")</f>
        <v>2025-08-26T09:58:56.319Z</v>
      </c>
      <c r="B2" s="2" t="str">
        <f>IFERROR(__xludf.DUMMYFUNCTION("""COMPUTED_VALUE"""),"2025-08-26T10:52:24.380+08")</f>
        <v>2025-08-26T10:52:24.380+08</v>
      </c>
      <c r="C2" s="2" t="str">
        <f>IFERROR(__xludf.DUMMYFUNCTION("""COMPUTED_VALUE"""),"2025-08-26T11:05:32.574+08")</f>
        <v>2025-08-26T11:05:32.574+08</v>
      </c>
      <c r="D2" s="2" t="str">
        <f>IFERROR(__xludf.DUMMYFUNCTION("""COMPUTED_VALUE"""),"H019505030")</f>
        <v>H019505030</v>
      </c>
      <c r="E2" s="2">
        <f>IFERROR(__xludf.DUMMYFUNCTION("""COMPUTED_VALUE"""),729375.0)</f>
        <v>729375</v>
      </c>
      <c r="F2" s="2" t="str">
        <f>IFERROR(__xludf.DUMMYFUNCTION("""COMPUTED_VALUE"""),"Janet Serafica")</f>
        <v>Janet Serafica</v>
      </c>
      <c r="G2" s="2"/>
      <c r="H2" s="2"/>
      <c r="I2" s="2" t="str">
        <f>IFERROR(__xludf.DUMMYFUNCTION("""COMPUTED_VALUE"""),"ICM_Business_linked_launch")</f>
        <v>ICM_Business_linked_launch</v>
      </c>
      <c r="J2" s="2" t="str">
        <f>IFERROR(__xludf.DUMMYFUNCTION("""COMPUTED_VALUE"""),"uuid:7059b204-34b6-4769-a2c3-17ad4a9f91bc")</f>
        <v>uuid:7059b204-34b6-4769-a2c3-17ad4a9f91bc</v>
      </c>
    </row>
    <row r="3">
      <c r="A3" s="2" t="str">
        <f>IFERROR(__xludf.DUMMYFUNCTION("""COMPUTED_VALUE"""),"2025-08-26T09:58:57.308Z")</f>
        <v>2025-08-26T09:58:57.308Z</v>
      </c>
      <c r="B3" s="2" t="str">
        <f>IFERROR(__xludf.DUMMYFUNCTION("""COMPUTED_VALUE"""),"2025-08-26T11:55:19.232+08")</f>
        <v>2025-08-26T11:55:19.232+08</v>
      </c>
      <c r="C3" s="2" t="str">
        <f>IFERROR(__xludf.DUMMYFUNCTION("""COMPUTED_VALUE"""),"2025-08-26T12:05:20.601+08")</f>
        <v>2025-08-26T12:05:20.601+08</v>
      </c>
      <c r="D3" s="2" t="str">
        <f>IFERROR(__xludf.DUMMYFUNCTION("""COMPUTED_VALUE"""),"H019505016")</f>
        <v>H019505016</v>
      </c>
      <c r="E3" s="2">
        <f>IFERROR(__xludf.DUMMYFUNCTION("""COMPUTED_VALUE"""),729375.0)</f>
        <v>729375</v>
      </c>
      <c r="F3" s="2" t="str">
        <f>IFERROR(__xludf.DUMMYFUNCTION("""COMPUTED_VALUE"""),"Janet Serafica")</f>
        <v>Janet Serafica</v>
      </c>
      <c r="G3" s="2"/>
      <c r="H3" s="2"/>
      <c r="I3" s="2" t="str">
        <f>IFERROR(__xludf.DUMMYFUNCTION("""COMPUTED_VALUE"""),"ICM_Business_linked_launch")</f>
        <v>ICM_Business_linked_launch</v>
      </c>
      <c r="J3" s="2" t="str">
        <f>IFERROR(__xludf.DUMMYFUNCTION("""COMPUTED_VALUE"""),"uuid:57cf2ec6-f20d-4530-9d2f-746f98586b13")</f>
        <v>uuid:57cf2ec6-f20d-4530-9d2f-746f98586b13</v>
      </c>
    </row>
    <row r="4">
      <c r="A4" s="2" t="str">
        <f>IFERROR(__xludf.DUMMYFUNCTION("""COMPUTED_VALUE"""),"2025-08-26T09:58:58.034Z")</f>
        <v>2025-08-26T09:58:58.034Z</v>
      </c>
      <c r="B4" s="2" t="str">
        <f>IFERROR(__xludf.DUMMYFUNCTION("""COMPUTED_VALUE"""),"2025-08-26T16:21:40.440+08")</f>
        <v>2025-08-26T16:21:40.440+08</v>
      </c>
      <c r="C4" s="2" t="str">
        <f>IFERROR(__xludf.DUMMYFUNCTION("""COMPUTED_VALUE"""),"2025-08-26T16:31:25.202+08")</f>
        <v>2025-08-26T16:31:25.202+08</v>
      </c>
      <c r="D4" s="2" t="str">
        <f>IFERROR(__xludf.DUMMYFUNCTION("""COMPUTED_VALUE"""),"H019505029")</f>
        <v>H019505029</v>
      </c>
      <c r="E4" s="2">
        <f>IFERROR(__xludf.DUMMYFUNCTION("""COMPUTED_VALUE"""),729375.0)</f>
        <v>729375</v>
      </c>
      <c r="F4" s="2" t="str">
        <f>IFERROR(__xludf.DUMMYFUNCTION("""COMPUTED_VALUE"""),"Janet Serafica")</f>
        <v>Janet Serafica</v>
      </c>
      <c r="G4" s="2"/>
      <c r="H4" s="2"/>
      <c r="I4" s="2" t="str">
        <f>IFERROR(__xludf.DUMMYFUNCTION("""COMPUTED_VALUE"""),"ICM_Business_linked_launch")</f>
        <v>ICM_Business_linked_launch</v>
      </c>
      <c r="J4" s="2" t="str">
        <f>IFERROR(__xludf.DUMMYFUNCTION("""COMPUTED_VALUE"""),"uuid:5decea22-c084-4bf9-9319-015509b24494")</f>
        <v>uuid:5decea22-c084-4bf9-9319-015509b24494</v>
      </c>
    </row>
    <row r="5">
      <c r="A5" s="2" t="str">
        <f>IFERROR(__xludf.DUMMYFUNCTION("""COMPUTED_VALUE"""),"2025-08-26T11:08:04.174Z")</f>
        <v>2025-08-26T11:08:04.174Z</v>
      </c>
      <c r="B5" s="2" t="str">
        <f>IFERROR(__xludf.DUMMYFUNCTION("""COMPUTED_VALUE"""),"2025-08-26T12:59:09.953+08")</f>
        <v>2025-08-26T12:59:09.953+08</v>
      </c>
      <c r="C5" s="2" t="str">
        <f>IFERROR(__xludf.DUMMYFUNCTION("""COMPUTED_VALUE"""),"2025-08-26T13:11:38.183+08")</f>
        <v>2025-08-26T13:11:38.183+08</v>
      </c>
      <c r="D5" s="2" t="str">
        <f>IFERROR(__xludf.DUMMYFUNCTION("""COMPUTED_VALUE"""),"H019505033")</f>
        <v>H019505033</v>
      </c>
      <c r="E5" s="2" t="str">
        <f>IFERROR(__xludf.DUMMYFUNCTION("""COMPUTED_VALUE"""),"S2671943")</f>
        <v>S2671943</v>
      </c>
      <c r="F5" s="2" t="str">
        <f>IFERROR(__xludf.DUMMYFUNCTION("""COMPUTED_VALUE"""),"Marvin Mondia")</f>
        <v>Marvin Mondia</v>
      </c>
      <c r="G5" s="2"/>
      <c r="H5" s="2"/>
      <c r="I5" s="2" t="str">
        <f>IFERROR(__xludf.DUMMYFUNCTION("""COMPUTED_VALUE"""),"ICM_Business_linked_launch")</f>
        <v>ICM_Business_linked_launch</v>
      </c>
      <c r="J5" s="2" t="str">
        <f>IFERROR(__xludf.DUMMYFUNCTION("""COMPUTED_VALUE"""),"uuid:9f9a5195-c558-440c-9327-c0068b23f1d1")</f>
        <v>uuid:9f9a5195-c558-440c-9327-c0068b23f1d1</v>
      </c>
    </row>
    <row r="6">
      <c r="A6" s="2" t="str">
        <f>IFERROR(__xludf.DUMMYFUNCTION("""COMPUTED_VALUE"""),"2025-08-26T11:08:05.164Z")</f>
        <v>2025-08-26T11:08:05.164Z</v>
      </c>
      <c r="B6" s="2" t="str">
        <f>IFERROR(__xludf.DUMMYFUNCTION("""COMPUTED_VALUE"""),"2025-08-26T16:54:07.888+08")</f>
        <v>2025-08-26T16:54:07.888+08</v>
      </c>
      <c r="C6" s="2" t="str">
        <f>IFERROR(__xludf.DUMMYFUNCTION("""COMPUTED_VALUE"""),"2025-08-26T17:05:16.217+08")</f>
        <v>2025-08-26T17:05:16.217+08</v>
      </c>
      <c r="D6" s="2" t="str">
        <f>IFERROR(__xludf.DUMMYFUNCTION("""COMPUTED_VALUE"""),"H019505025")</f>
        <v>H019505025</v>
      </c>
      <c r="E6" s="2" t="str">
        <f>IFERROR(__xludf.DUMMYFUNCTION("""COMPUTED_VALUE"""),"S2671943")</f>
        <v>S2671943</v>
      </c>
      <c r="F6" s="2" t="str">
        <f>IFERROR(__xludf.DUMMYFUNCTION("""COMPUTED_VALUE"""),"Marvin Mondia")</f>
        <v>Marvin Mondia</v>
      </c>
      <c r="G6" s="2"/>
      <c r="H6" s="2"/>
      <c r="I6" s="2" t="str">
        <f>IFERROR(__xludf.DUMMYFUNCTION("""COMPUTED_VALUE"""),"ICM_Business_linked_launch")</f>
        <v>ICM_Business_linked_launch</v>
      </c>
      <c r="J6" s="2" t="str">
        <f>IFERROR(__xludf.DUMMYFUNCTION("""COMPUTED_VALUE"""),"uuid:2990674e-e623-4d26-8415-d801b24c16ee")</f>
        <v>uuid:2990674e-e623-4d26-8415-d801b24c16ee</v>
      </c>
    </row>
    <row r="7">
      <c r="A7" s="2" t="str">
        <f>IFERROR(__xludf.DUMMYFUNCTION("""COMPUTED_VALUE"""),"2025-08-26T11:22:53.167Z")</f>
        <v>2025-08-26T11:22:53.167Z</v>
      </c>
      <c r="B7" s="2" t="str">
        <f>IFERROR(__xludf.DUMMYFUNCTION("""COMPUTED_VALUE"""),"2025-08-26T10:29:55.627+08")</f>
        <v>2025-08-26T10:29:55.627+08</v>
      </c>
      <c r="C7" s="2" t="str">
        <f>IFERROR(__xludf.DUMMYFUNCTION("""COMPUTED_VALUE"""),"2025-08-26T10:36:51.866+08")</f>
        <v>2025-08-26T10:36:51.866+08</v>
      </c>
      <c r="D7" s="2" t="str">
        <f>IFERROR(__xludf.DUMMYFUNCTION("""COMPUTED_VALUE"""),"H019575018")</f>
        <v>H019575018</v>
      </c>
      <c r="E7" s="2">
        <f>IFERROR(__xludf.DUMMYFUNCTION("""COMPUTED_VALUE"""),555127.0)</f>
        <v>555127</v>
      </c>
      <c r="F7" s="2" t="str">
        <f>IFERROR(__xludf.DUMMYFUNCTION("""COMPUTED_VALUE"""),"Mary May")</f>
        <v>Mary May</v>
      </c>
      <c r="G7" s="2"/>
      <c r="H7" s="2"/>
      <c r="I7" s="2" t="str">
        <f>IFERROR(__xludf.DUMMYFUNCTION("""COMPUTED_VALUE"""),"ICM_Business_linked_launch")</f>
        <v>ICM_Business_linked_launch</v>
      </c>
      <c r="J7" s="2" t="str">
        <f>IFERROR(__xludf.DUMMYFUNCTION("""COMPUTED_VALUE"""),"uuid:dd243afd-6c89-4924-875f-bd0756b9765e")</f>
        <v>uuid:dd243afd-6c89-4924-875f-bd0756b9765e</v>
      </c>
    </row>
    <row r="8">
      <c r="A8" s="2" t="str">
        <f>IFERROR(__xludf.DUMMYFUNCTION("""COMPUTED_VALUE"""),"2025-08-26T11:22:54.335Z")</f>
        <v>2025-08-26T11:22:54.335Z</v>
      </c>
      <c r="B8" s="2" t="str">
        <f>IFERROR(__xludf.DUMMYFUNCTION("""COMPUTED_VALUE"""),"2025-08-26T13:04:07.705+08")</f>
        <v>2025-08-26T13:04:07.705+08</v>
      </c>
      <c r="C8" s="2" t="str">
        <f>IFERROR(__xludf.DUMMYFUNCTION("""COMPUTED_VALUE"""),"2025-08-26T13:08:22.483+08")</f>
        <v>2025-08-26T13:08:22.483+08</v>
      </c>
      <c r="D8" s="2" t="str">
        <f>IFERROR(__xludf.DUMMYFUNCTION("""COMPUTED_VALUE"""),"H019575021")</f>
        <v>H019575021</v>
      </c>
      <c r="E8" s="2">
        <f>IFERROR(__xludf.DUMMYFUNCTION("""COMPUTED_VALUE"""),555127.0)</f>
        <v>555127</v>
      </c>
      <c r="F8" s="2" t="str">
        <f>IFERROR(__xludf.DUMMYFUNCTION("""COMPUTED_VALUE"""),"Mary May")</f>
        <v>Mary May</v>
      </c>
      <c r="G8" s="2"/>
      <c r="H8" s="2"/>
      <c r="I8" s="2" t="str">
        <f>IFERROR(__xludf.DUMMYFUNCTION("""COMPUTED_VALUE"""),"ICM_Business_linked_launch")</f>
        <v>ICM_Business_linked_launch</v>
      </c>
      <c r="J8" s="2" t="str">
        <f>IFERROR(__xludf.DUMMYFUNCTION("""COMPUTED_VALUE"""),"uuid:239a3c32-0934-4eb5-81ed-4e590c3f2149")</f>
        <v>uuid:239a3c32-0934-4eb5-81ed-4e590c3f2149</v>
      </c>
    </row>
    <row r="9">
      <c r="A9" s="2" t="str">
        <f>IFERROR(__xludf.DUMMYFUNCTION("""COMPUTED_VALUE"""),"2025-08-26T11:22:53.502Z")</f>
        <v>2025-08-26T11:22:53.502Z</v>
      </c>
      <c r="B9" s="2" t="str">
        <f>IFERROR(__xludf.DUMMYFUNCTION("""COMPUTED_VALUE"""),"2025-08-26T11:40:36.865+08")</f>
        <v>2025-08-26T11:40:36.865+08</v>
      </c>
      <c r="C9" s="2" t="str">
        <f>IFERROR(__xludf.DUMMYFUNCTION("""COMPUTED_VALUE"""),"2025-08-26T11:44:30.838+08")</f>
        <v>2025-08-26T11:44:30.838+08</v>
      </c>
      <c r="D9" s="2" t="str">
        <f>IFERROR(__xludf.DUMMYFUNCTION("""COMPUTED_VALUE"""),"H019575031")</f>
        <v>H019575031</v>
      </c>
      <c r="E9" s="2">
        <f>IFERROR(__xludf.DUMMYFUNCTION("""COMPUTED_VALUE"""),555127.0)</f>
        <v>555127</v>
      </c>
      <c r="F9" s="2" t="str">
        <f>IFERROR(__xludf.DUMMYFUNCTION("""COMPUTED_VALUE"""),"Mary May")</f>
        <v>Mary May</v>
      </c>
      <c r="G9" s="2"/>
      <c r="H9" s="2"/>
      <c r="I9" s="2" t="str">
        <f>IFERROR(__xludf.DUMMYFUNCTION("""COMPUTED_VALUE"""),"ICM_Business_linked_launch")</f>
        <v>ICM_Business_linked_launch</v>
      </c>
      <c r="J9" s="2" t="str">
        <f>IFERROR(__xludf.DUMMYFUNCTION("""COMPUTED_VALUE"""),"uuid:66575612-96a3-49d6-867d-9a54e43cd23a")</f>
        <v>uuid:66575612-96a3-49d6-867d-9a54e43cd23a</v>
      </c>
    </row>
    <row r="10">
      <c r="A10" s="2" t="str">
        <f>IFERROR(__xludf.DUMMYFUNCTION("""COMPUTED_VALUE"""),"2025-08-26T11:22:54.972Z")</f>
        <v>2025-08-26T11:22:54.972Z</v>
      </c>
      <c r="B10" s="2" t="str">
        <f>IFERROR(__xludf.DUMMYFUNCTION("""COMPUTED_VALUE"""),"2025-08-26T15:25:28.565+08")</f>
        <v>2025-08-26T15:25:28.565+08</v>
      </c>
      <c r="C10" s="2" t="str">
        <f>IFERROR(__xludf.DUMMYFUNCTION("""COMPUTED_VALUE"""),"2025-08-26T17:59:33.431+08")</f>
        <v>2025-08-26T17:59:33.431+08</v>
      </c>
      <c r="D10" s="2" t="str">
        <f>IFERROR(__xludf.DUMMYFUNCTION("""COMPUTED_VALUE"""),"H019575027")</f>
        <v>H019575027</v>
      </c>
      <c r="E10" s="2">
        <f>IFERROR(__xludf.DUMMYFUNCTION("""COMPUTED_VALUE"""),555127.0)</f>
        <v>555127</v>
      </c>
      <c r="F10" s="2" t="str">
        <f>IFERROR(__xludf.DUMMYFUNCTION("""COMPUTED_VALUE"""),"Mary May")</f>
        <v>Mary May</v>
      </c>
      <c r="G10" s="2"/>
      <c r="H10" s="2"/>
      <c r="I10" s="2" t="str">
        <f>IFERROR(__xludf.DUMMYFUNCTION("""COMPUTED_VALUE"""),"ICM_Business_linked_launch")</f>
        <v>ICM_Business_linked_launch</v>
      </c>
      <c r="J10" s="2" t="str">
        <f>IFERROR(__xludf.DUMMYFUNCTION("""COMPUTED_VALUE"""),"uuid:4681dcc7-7951-4b32-adf0-e9e7106c4a99")</f>
        <v>uuid:4681dcc7-7951-4b32-adf0-e9e7106c4a99</v>
      </c>
    </row>
    <row r="11">
      <c r="A11" s="2" t="str">
        <f>IFERROR(__xludf.DUMMYFUNCTION("""COMPUTED_VALUE"""),"2025-08-26T11:24:06.589Z")</f>
        <v>2025-08-26T11:24:06.589Z</v>
      </c>
      <c r="B11" s="2" t="str">
        <f>IFERROR(__xludf.DUMMYFUNCTION("""COMPUTED_VALUE"""),"2025-08-26T11:52:20.016+08")</f>
        <v>2025-08-26T11:52:20.016+08</v>
      </c>
      <c r="C11" s="2" t="str">
        <f>IFERROR(__xludf.DUMMYFUNCTION("""COMPUTED_VALUE"""),"2025-08-26T12:11:44.487+08")</f>
        <v>2025-08-26T12:11:44.487+08</v>
      </c>
      <c r="D11" s="2" t="str">
        <f>IFERROR(__xludf.DUMMYFUNCTION("""COMPUTED_VALUE"""),"H019505017")</f>
        <v>H019505017</v>
      </c>
      <c r="E11" s="2">
        <f>IFERROR(__xludf.DUMMYFUNCTION("""COMPUTED_VALUE"""),859767.0)</f>
        <v>859767</v>
      </c>
      <c r="F11" s="2" t="str">
        <f>IFERROR(__xludf.DUMMYFUNCTION("""COMPUTED_VALUE"""),"Ramie De Pedro Jr.")</f>
        <v>Ramie De Pedro Jr.</v>
      </c>
      <c r="G11" s="2"/>
      <c r="H11" s="2"/>
      <c r="I11" s="2" t="str">
        <f>IFERROR(__xludf.DUMMYFUNCTION("""COMPUTED_VALUE"""),"ICM_Business_linked_launch")</f>
        <v>ICM_Business_linked_launch</v>
      </c>
      <c r="J11" s="2" t="str">
        <f>IFERROR(__xludf.DUMMYFUNCTION("""COMPUTED_VALUE"""),"uuid:f1517d9c-d2fd-4989-93cd-1ae6fc7172eb")</f>
        <v>uuid:f1517d9c-d2fd-4989-93cd-1ae6fc7172eb</v>
      </c>
    </row>
    <row r="12">
      <c r="A12" s="2" t="str">
        <f>IFERROR(__xludf.DUMMYFUNCTION("""COMPUTED_VALUE"""),"2025-08-26T11:24:07.776Z")</f>
        <v>2025-08-26T11:24:07.776Z</v>
      </c>
      <c r="B12" s="2" t="str">
        <f>IFERROR(__xludf.DUMMYFUNCTION("""COMPUTED_VALUE"""),"2025-08-26T14:34:11.802+08")</f>
        <v>2025-08-26T14:34:11.802+08</v>
      </c>
      <c r="C12" s="2" t="str">
        <f>IFERROR(__xludf.DUMMYFUNCTION("""COMPUTED_VALUE"""),"2025-08-26T17:59:38.649+08")</f>
        <v>2025-08-26T17:59:38.649+08</v>
      </c>
      <c r="D12" s="2" t="str">
        <f>IFERROR(__xludf.DUMMYFUNCTION("""COMPUTED_VALUE"""),"H019505018")</f>
        <v>H019505018</v>
      </c>
      <c r="E12" s="2">
        <f>IFERROR(__xludf.DUMMYFUNCTION("""COMPUTED_VALUE"""),859767.0)</f>
        <v>859767</v>
      </c>
      <c r="F12" s="2" t="str">
        <f>IFERROR(__xludf.DUMMYFUNCTION("""COMPUTED_VALUE"""),"Ramie De Pedro Jr.")</f>
        <v>Ramie De Pedro Jr.</v>
      </c>
      <c r="G12" s="2"/>
      <c r="H12" s="2"/>
      <c r="I12" s="2" t="str">
        <f>IFERROR(__xludf.DUMMYFUNCTION("""COMPUTED_VALUE"""),"ICM_Business_linked_launch")</f>
        <v>ICM_Business_linked_launch</v>
      </c>
      <c r="J12" s="2" t="str">
        <f>IFERROR(__xludf.DUMMYFUNCTION("""COMPUTED_VALUE"""),"uuid:22532a47-a5ea-44a6-a292-7ecfd3327cf3")</f>
        <v>uuid:22532a47-a5ea-44a6-a292-7ecfd3327cf3</v>
      </c>
    </row>
    <row r="13">
      <c r="A13" s="2" t="str">
        <f>IFERROR(__xludf.DUMMYFUNCTION("""COMPUTED_VALUE"""),"2025-08-26T11:24:08.080Z")</f>
        <v>2025-08-26T11:24:08.080Z</v>
      </c>
      <c r="B13" s="2" t="str">
        <f>IFERROR(__xludf.DUMMYFUNCTION("""COMPUTED_VALUE"""),"2025-08-26T17:10:18.517+08")</f>
        <v>2025-08-26T17:10:18.517+08</v>
      </c>
      <c r="C13" s="2" t="str">
        <f>IFERROR(__xludf.DUMMYFUNCTION("""COMPUTED_VALUE"""),"2025-08-26T17:20:09.891+08")</f>
        <v>2025-08-26T17:20:09.891+08</v>
      </c>
      <c r="D13" s="2" t="str">
        <f>IFERROR(__xludf.DUMMYFUNCTION("""COMPUTED_VALUE"""),"H019505019")</f>
        <v>H019505019</v>
      </c>
      <c r="E13" s="2">
        <f>IFERROR(__xludf.DUMMYFUNCTION("""COMPUTED_VALUE"""),859767.0)</f>
        <v>859767</v>
      </c>
      <c r="F13" s="2" t="str">
        <f>IFERROR(__xludf.DUMMYFUNCTION("""COMPUTED_VALUE"""),"Ramie De Pedro Jr.")</f>
        <v>Ramie De Pedro Jr.</v>
      </c>
      <c r="G13" s="2"/>
      <c r="H13" s="2"/>
      <c r="I13" s="2" t="str">
        <f>IFERROR(__xludf.DUMMYFUNCTION("""COMPUTED_VALUE"""),"ICM_Business_linked_launch")</f>
        <v>ICM_Business_linked_launch</v>
      </c>
      <c r="J13" s="2" t="str">
        <f>IFERROR(__xludf.DUMMYFUNCTION("""COMPUTED_VALUE"""),"uuid:2c644a95-0dde-4648-b712-266faa83dbb5")</f>
        <v>uuid:2c644a95-0dde-4648-b712-266faa83dbb5</v>
      </c>
    </row>
    <row r="14">
      <c r="A14" s="2" t="str">
        <f>IFERROR(__xludf.DUMMYFUNCTION("""COMPUTED_VALUE"""),"2025-08-26T11:26:41.842Z")</f>
        <v>2025-08-26T11:26:41.842Z</v>
      </c>
      <c r="B14" s="2" t="str">
        <f>IFERROR(__xludf.DUMMYFUNCTION("""COMPUTED_VALUE"""),"2025-08-26T10:09:28.711+08")</f>
        <v>2025-08-26T10:09:28.711+08</v>
      </c>
      <c r="C14" s="2" t="str">
        <f>IFERROR(__xludf.DUMMYFUNCTION("""COMPUTED_VALUE"""),"2025-08-26T10:26:28.988+08")</f>
        <v>2025-08-26T10:26:28.988+08</v>
      </c>
      <c r="D14" s="2" t="str">
        <f>IFERROR(__xludf.DUMMYFUNCTION("""COMPUTED_VALUE"""),"H030255019")</f>
        <v>H030255019</v>
      </c>
      <c r="E14" s="2" t="str">
        <f>IFERROR(__xludf.DUMMYFUNCTION("""COMPUTED_VALUE"""),"N7814260")</f>
        <v>N7814260</v>
      </c>
      <c r="F14" s="2" t="str">
        <f>IFERROR(__xludf.DUMMYFUNCTION("""COMPUTED_VALUE"""),"Jemma Marie Tillo")</f>
        <v>Jemma Marie Tillo</v>
      </c>
      <c r="G14" s="2"/>
      <c r="H14" s="2"/>
      <c r="I14" s="2" t="str">
        <f>IFERROR(__xludf.DUMMYFUNCTION("""COMPUTED_VALUE"""),"ICM_Business_linked_launch")</f>
        <v>ICM_Business_linked_launch</v>
      </c>
      <c r="J14" s="2" t="str">
        <f>IFERROR(__xludf.DUMMYFUNCTION("""COMPUTED_VALUE"""),"uuid:eb6a79c8-e530-4d04-a682-c75b42de494e")</f>
        <v>uuid:eb6a79c8-e530-4d04-a682-c75b42de494e</v>
      </c>
    </row>
    <row r="15">
      <c r="A15" s="2" t="str">
        <f>IFERROR(__xludf.DUMMYFUNCTION("""COMPUTED_VALUE"""),"2025-08-26T11:26:42.385Z")</f>
        <v>2025-08-26T11:26:42.385Z</v>
      </c>
      <c r="B15" s="2" t="str">
        <f>IFERROR(__xludf.DUMMYFUNCTION("""COMPUTED_VALUE"""),"2025-08-26T11:38:33.634+08")</f>
        <v>2025-08-26T11:38:33.634+08</v>
      </c>
      <c r="C15" s="2" t="str">
        <f>IFERROR(__xludf.DUMMYFUNCTION("""COMPUTED_VALUE"""),"2025-08-26T12:08:26.330+08")</f>
        <v>2025-08-26T12:08:26.330+08</v>
      </c>
      <c r="D15" s="2" t="str">
        <f>IFERROR(__xludf.DUMMYFUNCTION("""COMPUTED_VALUE"""),"H030255017")</f>
        <v>H030255017</v>
      </c>
      <c r="E15" s="2" t="str">
        <f>IFERROR(__xludf.DUMMYFUNCTION("""COMPUTED_VALUE"""),"N7814260")</f>
        <v>N7814260</v>
      </c>
      <c r="F15" s="2" t="str">
        <f>IFERROR(__xludf.DUMMYFUNCTION("""COMPUTED_VALUE"""),"Jemma Marie Tillo")</f>
        <v>Jemma Marie Tillo</v>
      </c>
      <c r="G15" s="2"/>
      <c r="H15" s="2"/>
      <c r="I15" s="2" t="str">
        <f>IFERROR(__xludf.DUMMYFUNCTION("""COMPUTED_VALUE"""),"ICM_Business_linked_launch")</f>
        <v>ICM_Business_linked_launch</v>
      </c>
      <c r="J15" s="2" t="str">
        <f>IFERROR(__xludf.DUMMYFUNCTION("""COMPUTED_VALUE"""),"uuid:f4db21e1-0307-448c-83d4-e949b217ca6c")</f>
        <v>uuid:f4db21e1-0307-448c-83d4-e949b217ca6c</v>
      </c>
    </row>
    <row r="16">
      <c r="A16" s="2" t="str">
        <f>IFERROR(__xludf.DUMMYFUNCTION("""COMPUTED_VALUE"""),"2025-08-26T11:26:42.739Z")</f>
        <v>2025-08-26T11:26:42.739Z</v>
      </c>
      <c r="B16" s="2" t="str">
        <f>IFERROR(__xludf.DUMMYFUNCTION("""COMPUTED_VALUE"""),"2025-08-26T13:34:44.343+08")</f>
        <v>2025-08-26T13:34:44.343+08</v>
      </c>
      <c r="C16" s="2" t="str">
        <f>IFERROR(__xludf.DUMMYFUNCTION("""COMPUTED_VALUE"""),"2025-08-26T13:50:26.407+08")</f>
        <v>2025-08-26T13:50:26.407+08</v>
      </c>
      <c r="D16" s="2" t="str">
        <f>IFERROR(__xludf.DUMMYFUNCTION("""COMPUTED_VALUE"""),"H030255022")</f>
        <v>H030255022</v>
      </c>
      <c r="E16" s="2" t="str">
        <f>IFERROR(__xludf.DUMMYFUNCTION("""COMPUTED_VALUE"""),"N7814260")</f>
        <v>N7814260</v>
      </c>
      <c r="F16" s="2" t="str">
        <f>IFERROR(__xludf.DUMMYFUNCTION("""COMPUTED_VALUE"""),"Jemma Marie Tillo")</f>
        <v>Jemma Marie Tillo</v>
      </c>
      <c r="G16" s="2"/>
      <c r="H16" s="2"/>
      <c r="I16" s="2" t="str">
        <f>IFERROR(__xludf.DUMMYFUNCTION("""COMPUTED_VALUE"""),"ICM_Business_linked_launch")</f>
        <v>ICM_Business_linked_launch</v>
      </c>
      <c r="J16" s="2" t="str">
        <f>IFERROR(__xludf.DUMMYFUNCTION("""COMPUTED_VALUE"""),"uuid:67446a00-7119-4f87-8d9b-c8f8ff139d99")</f>
        <v>uuid:67446a00-7119-4f87-8d9b-c8f8ff139d99</v>
      </c>
    </row>
    <row r="17">
      <c r="A17" s="2" t="str">
        <f>IFERROR(__xludf.DUMMYFUNCTION("""COMPUTED_VALUE"""),"2025-08-26T11:36:13.802Z")</f>
        <v>2025-08-26T11:36:13.802Z</v>
      </c>
      <c r="B17" s="2" t="str">
        <f>IFERROR(__xludf.DUMMYFUNCTION("""COMPUTED_VALUE"""),"2025-08-26T13:28:31.339+08")</f>
        <v>2025-08-26T13:28:31.339+08</v>
      </c>
      <c r="C17" s="2" t="str">
        <f>IFERROR(__xludf.DUMMYFUNCTION("""COMPUTED_VALUE"""),"2025-08-26T14:03:22.477+08")</f>
        <v>2025-08-26T14:03:22.477+08</v>
      </c>
      <c r="D17" s="2" t="str">
        <f>IFERROR(__xludf.DUMMYFUNCTION("""COMPUTED_VALUE"""),"H019575019")</f>
        <v>H019575019</v>
      </c>
      <c r="E17" s="2">
        <f>IFERROR(__xludf.DUMMYFUNCTION("""COMPUTED_VALUE"""),841329.0)</f>
        <v>841329</v>
      </c>
      <c r="F17" s="2" t="str">
        <f>IFERROR(__xludf.DUMMYFUNCTION("""COMPUTED_VALUE"""),"Aila Eli")</f>
        <v>Aila Eli</v>
      </c>
      <c r="G17" s="2"/>
      <c r="H17" s="2"/>
      <c r="I17" s="2" t="str">
        <f>IFERROR(__xludf.DUMMYFUNCTION("""COMPUTED_VALUE"""),"ICM_Business_linked_launch")</f>
        <v>ICM_Business_linked_launch</v>
      </c>
      <c r="J17" s="2" t="str">
        <f>IFERROR(__xludf.DUMMYFUNCTION("""COMPUTED_VALUE"""),"uuid:87156853-9874-418a-9e26-5fc0cca2d8ab")</f>
        <v>uuid:87156853-9874-418a-9e26-5fc0cca2d8ab</v>
      </c>
    </row>
    <row r="18">
      <c r="A18" s="2" t="str">
        <f>IFERROR(__xludf.DUMMYFUNCTION("""COMPUTED_VALUE"""),"2025-08-26T11:36:15.082Z")</f>
        <v>2025-08-26T11:36:15.082Z</v>
      </c>
      <c r="B18" s="2" t="str">
        <f>IFERROR(__xludf.DUMMYFUNCTION("""COMPUTED_VALUE"""),"2025-08-26T15:22:33.841+08")</f>
        <v>2025-08-26T15:22:33.841+08</v>
      </c>
      <c r="C18" s="2" t="str">
        <f>IFERROR(__xludf.DUMMYFUNCTION("""COMPUTED_VALUE"""),"2025-08-26T15:28:49.232+08")</f>
        <v>2025-08-26T15:28:49.232+08</v>
      </c>
      <c r="D18" s="2" t="str">
        <f>IFERROR(__xludf.DUMMYFUNCTION("""COMPUTED_VALUE"""),"H019575025")</f>
        <v>H019575025</v>
      </c>
      <c r="E18" s="2">
        <f>IFERROR(__xludf.DUMMYFUNCTION("""COMPUTED_VALUE"""),841329.0)</f>
        <v>841329</v>
      </c>
      <c r="F18" s="2" t="str">
        <f>IFERROR(__xludf.DUMMYFUNCTION("""COMPUTED_VALUE"""),"Aila Eli")</f>
        <v>Aila Eli</v>
      </c>
      <c r="G18" s="2"/>
      <c r="H18" s="2"/>
      <c r="I18" s="2" t="str">
        <f>IFERROR(__xludf.DUMMYFUNCTION("""COMPUTED_VALUE"""),"ICM_Business_linked_launch")</f>
        <v>ICM_Business_linked_launch</v>
      </c>
      <c r="J18" s="2" t="str">
        <f>IFERROR(__xludf.DUMMYFUNCTION("""COMPUTED_VALUE"""),"uuid:bfe6f363-de10-43ba-970f-486be2be7803")</f>
        <v>uuid:bfe6f363-de10-43ba-970f-486be2be7803</v>
      </c>
    </row>
    <row r="19">
      <c r="A19" s="2" t="str">
        <f>IFERROR(__xludf.DUMMYFUNCTION("""COMPUTED_VALUE"""),"2025-08-26T11:36:14.724Z")</f>
        <v>2025-08-26T11:36:14.724Z</v>
      </c>
      <c r="B19" s="2" t="str">
        <f>IFERROR(__xludf.DUMMYFUNCTION("""COMPUTED_VALUE"""),"2025-08-26T10:55:42.938+08")</f>
        <v>2025-08-26T10:55:42.938+08</v>
      </c>
      <c r="C19" s="2" t="str">
        <f>IFERROR(__xludf.DUMMYFUNCTION("""COMPUTED_VALUE"""),"2025-08-26T14:04:13.411+08")</f>
        <v>2025-08-26T14:04:13.411+08</v>
      </c>
      <c r="D19" s="2" t="str">
        <f>IFERROR(__xludf.DUMMYFUNCTION("""COMPUTED_VALUE"""),"H019575016")</f>
        <v>H019575016</v>
      </c>
      <c r="E19" s="2">
        <f>IFERROR(__xludf.DUMMYFUNCTION("""COMPUTED_VALUE"""),841329.0)</f>
        <v>841329</v>
      </c>
      <c r="F19" s="2" t="str">
        <f>IFERROR(__xludf.DUMMYFUNCTION("""COMPUTED_VALUE"""),"Aila Eli")</f>
        <v>Aila Eli</v>
      </c>
      <c r="G19" s="2"/>
      <c r="H19" s="2"/>
      <c r="I19" s="2" t="str">
        <f>IFERROR(__xludf.DUMMYFUNCTION("""COMPUTED_VALUE"""),"ICM_Business_linked_launch")</f>
        <v>ICM_Business_linked_launch</v>
      </c>
      <c r="J19" s="2" t="str">
        <f>IFERROR(__xludf.DUMMYFUNCTION("""COMPUTED_VALUE"""),"uuid:cda8c8a9-2172-4579-a577-370452d69df7")</f>
        <v>uuid:cda8c8a9-2172-4579-a577-370452d69df7</v>
      </c>
    </row>
    <row r="20">
      <c r="A20" s="2" t="str">
        <f>IFERROR(__xludf.DUMMYFUNCTION("""COMPUTED_VALUE"""),"2025-08-26T11:38:31.380Z")</f>
        <v>2025-08-26T11:38:31.380Z</v>
      </c>
      <c r="B20" s="2" t="str">
        <f>IFERROR(__xludf.DUMMYFUNCTION("""COMPUTED_VALUE"""),"2025-08-26T09:57:29.173+08")</f>
        <v>2025-08-26T09:57:29.173+08</v>
      </c>
      <c r="C20" s="2" t="str">
        <f>IFERROR(__xludf.DUMMYFUNCTION("""COMPUTED_VALUE"""),"2025-08-26T10:00:38.591+08")</f>
        <v>2025-08-26T10:00:38.591+08</v>
      </c>
      <c r="D20" s="2" t="str">
        <f>IFERROR(__xludf.DUMMYFUNCTION("""COMPUTED_VALUE"""),"H030375033")</f>
        <v>H030375033</v>
      </c>
      <c r="E20" s="2" t="str">
        <f>IFERROR(__xludf.DUMMYFUNCTION("""COMPUTED_VALUE"""),"L2057896")</f>
        <v>L2057896</v>
      </c>
      <c r="F20" s="2" t="str">
        <f>IFERROR(__xludf.DUMMYFUNCTION("""COMPUTED_VALUE"""),"Franz Reoben Posadas Geneblaza")</f>
        <v>Franz Reoben Posadas Geneblaza</v>
      </c>
      <c r="G20" s="2"/>
      <c r="H20" s="2"/>
      <c r="I20" s="2" t="str">
        <f>IFERROR(__xludf.DUMMYFUNCTION("""COMPUTED_VALUE"""),"ICM_Business_linked_launch")</f>
        <v>ICM_Business_linked_launch</v>
      </c>
      <c r="J20" s="2" t="str">
        <f>IFERROR(__xludf.DUMMYFUNCTION("""COMPUTED_VALUE"""),"uuid:b6d00463-c473-4027-82ad-885fbc4208ea")</f>
        <v>uuid:b6d00463-c473-4027-82ad-885fbc4208ea</v>
      </c>
    </row>
    <row r="21">
      <c r="A21" s="2" t="str">
        <f>IFERROR(__xludf.DUMMYFUNCTION("""COMPUTED_VALUE"""),"2025-08-26T11:38:32.131Z")</f>
        <v>2025-08-26T11:38:32.131Z</v>
      </c>
      <c r="B21" s="2" t="str">
        <f>IFERROR(__xludf.DUMMYFUNCTION("""COMPUTED_VALUE"""),"2025-08-26T11:14:23.061+08")</f>
        <v>2025-08-26T11:14:23.061+08</v>
      </c>
      <c r="C21" s="2" t="str">
        <f>IFERROR(__xludf.DUMMYFUNCTION("""COMPUTED_VALUE"""),"2025-08-26T12:17:41.823+08")</f>
        <v>2025-08-26T12:17:41.823+08</v>
      </c>
      <c r="D21" s="2" t="str">
        <f>IFERROR(__xludf.DUMMYFUNCTION("""COMPUTED_VALUE"""),"H030375035")</f>
        <v>H030375035</v>
      </c>
      <c r="E21" s="2" t="str">
        <f>IFERROR(__xludf.DUMMYFUNCTION("""COMPUTED_VALUE"""),"L2057896")</f>
        <v>L2057896</v>
      </c>
      <c r="F21" s="2" t="str">
        <f>IFERROR(__xludf.DUMMYFUNCTION("""COMPUTED_VALUE"""),"Franz Reoben Posadas Geneblaza")</f>
        <v>Franz Reoben Posadas Geneblaza</v>
      </c>
      <c r="G21" s="2"/>
      <c r="H21" s="2"/>
      <c r="I21" s="2" t="str">
        <f>IFERROR(__xludf.DUMMYFUNCTION("""COMPUTED_VALUE"""),"ICM_Business_linked_launch")</f>
        <v>ICM_Business_linked_launch</v>
      </c>
      <c r="J21" s="2" t="str">
        <f>IFERROR(__xludf.DUMMYFUNCTION("""COMPUTED_VALUE"""),"uuid:e5d50cdb-1fe3-4e13-b81e-2c48644ba268")</f>
        <v>uuid:e5d50cdb-1fe3-4e13-b81e-2c48644ba268</v>
      </c>
    </row>
    <row r="22">
      <c r="A22" s="2" t="str">
        <f>IFERROR(__xludf.DUMMYFUNCTION("""COMPUTED_VALUE"""),"2025-08-26T11:38:32.927Z")</f>
        <v>2025-08-26T11:38:32.927Z</v>
      </c>
      <c r="B22" s="2" t="str">
        <f>IFERROR(__xludf.DUMMYFUNCTION("""COMPUTED_VALUE"""),"2025-08-26T15:04:51.582+08")</f>
        <v>2025-08-26T15:04:51.582+08</v>
      </c>
      <c r="C22" s="2" t="str">
        <f>IFERROR(__xludf.DUMMYFUNCTION("""COMPUTED_VALUE"""),"2025-08-26T15:09:34.552+08")</f>
        <v>2025-08-26T15:09:34.552+08</v>
      </c>
      <c r="D22" s="2" t="str">
        <f>IFERROR(__xludf.DUMMYFUNCTION("""COMPUTED_VALUE"""),"H030375028")</f>
        <v>H030375028</v>
      </c>
      <c r="E22" s="2" t="str">
        <f>IFERROR(__xludf.DUMMYFUNCTION("""COMPUTED_VALUE"""),"L2057896")</f>
        <v>L2057896</v>
      </c>
      <c r="F22" s="2" t="str">
        <f>IFERROR(__xludf.DUMMYFUNCTION("""COMPUTED_VALUE"""),"Franz Reoben Posadas Geneblaza")</f>
        <v>Franz Reoben Posadas Geneblaza</v>
      </c>
      <c r="G22" s="2"/>
      <c r="H22" s="2"/>
      <c r="I22" s="2" t="str">
        <f>IFERROR(__xludf.DUMMYFUNCTION("""COMPUTED_VALUE"""),"ICM_Business_linked_launch")</f>
        <v>ICM_Business_linked_launch</v>
      </c>
      <c r="J22" s="2" t="str">
        <f>IFERROR(__xludf.DUMMYFUNCTION("""COMPUTED_VALUE"""),"uuid:d7b0b15c-55a8-4563-ae80-f7fdfb44ac72")</f>
        <v>uuid:d7b0b15c-55a8-4563-ae80-f7fdfb44ac72</v>
      </c>
    </row>
    <row r="23">
      <c r="A23" s="2" t="str">
        <f>IFERROR(__xludf.DUMMYFUNCTION("""COMPUTED_VALUE"""),"2025-08-26T11:39:06.948Z")</f>
        <v>2025-08-26T11:39:06.948Z</v>
      </c>
      <c r="B23" s="2" t="str">
        <f>IFERROR(__xludf.DUMMYFUNCTION("""COMPUTED_VALUE"""),"2025-08-26T09:49:09.290+08")</f>
        <v>2025-08-26T09:49:09.290+08</v>
      </c>
      <c r="C23" s="2" t="str">
        <f>IFERROR(__xludf.DUMMYFUNCTION("""COMPUTED_VALUE"""),"2025-08-26T10:01:10.612+08")</f>
        <v>2025-08-26T10:01:10.612+08</v>
      </c>
      <c r="D23" s="2" t="str">
        <f>IFERROR(__xludf.DUMMYFUNCTION("""COMPUTED_VALUE"""),"H030821025")</f>
        <v>H030821025</v>
      </c>
      <c r="E23" s="2" t="str">
        <f>IFERROR(__xludf.DUMMYFUNCTION("""COMPUTED_VALUE"""),"H2846135")</f>
        <v>H2846135</v>
      </c>
      <c r="F23" s="2" t="str">
        <f>IFERROR(__xludf.DUMMYFUNCTION("""COMPUTED_VALUE"""),"Annalou Empanado Encontro")</f>
        <v>Annalou Empanado Encontro</v>
      </c>
      <c r="G23" s="2"/>
      <c r="H23" s="2"/>
      <c r="I23" s="2" t="str">
        <f>IFERROR(__xludf.DUMMYFUNCTION("""COMPUTED_VALUE"""),"ICM_Business_linked_launch")</f>
        <v>ICM_Business_linked_launch</v>
      </c>
      <c r="J23" s="2" t="str">
        <f>IFERROR(__xludf.DUMMYFUNCTION("""COMPUTED_VALUE"""),"uuid:18dac40d-2062-4a13-8237-01ed5e962a1e")</f>
        <v>uuid:18dac40d-2062-4a13-8237-01ed5e962a1e</v>
      </c>
    </row>
    <row r="24">
      <c r="A24" s="2" t="str">
        <f>IFERROR(__xludf.DUMMYFUNCTION("""COMPUTED_VALUE"""),"2025-08-26T11:39:07.355Z")</f>
        <v>2025-08-26T11:39:07.355Z</v>
      </c>
      <c r="B24" s="2" t="str">
        <f>IFERROR(__xludf.DUMMYFUNCTION("""COMPUTED_VALUE"""),"2025-08-26T11:24:53.168+08")</f>
        <v>2025-08-26T11:24:53.168+08</v>
      </c>
      <c r="C24" s="2" t="str">
        <f>IFERROR(__xludf.DUMMYFUNCTION("""COMPUTED_VALUE"""),"2025-08-26T12:01:50.712+08")</f>
        <v>2025-08-26T12:01:50.712+08</v>
      </c>
      <c r="D24" s="2" t="str">
        <f>IFERROR(__xludf.DUMMYFUNCTION("""COMPUTED_VALUE"""),"H030821019")</f>
        <v>H030821019</v>
      </c>
      <c r="E24" s="2" t="str">
        <f>IFERROR(__xludf.DUMMYFUNCTION("""COMPUTED_VALUE"""),"H2846135")</f>
        <v>H2846135</v>
      </c>
      <c r="F24" s="2" t="str">
        <f>IFERROR(__xludf.DUMMYFUNCTION("""COMPUTED_VALUE"""),"Annalou Empanado Encontro")</f>
        <v>Annalou Empanado Encontro</v>
      </c>
      <c r="G24" s="2"/>
      <c r="H24" s="2"/>
      <c r="I24" s="2" t="str">
        <f>IFERROR(__xludf.DUMMYFUNCTION("""COMPUTED_VALUE"""),"ICM_Business_linked_launch")</f>
        <v>ICM_Business_linked_launch</v>
      </c>
      <c r="J24" s="2" t="str">
        <f>IFERROR(__xludf.DUMMYFUNCTION("""COMPUTED_VALUE"""),"uuid:83344ab7-ebaa-4be4-853e-b0695afe8f0e")</f>
        <v>uuid:83344ab7-ebaa-4be4-853e-b0695afe8f0e</v>
      </c>
    </row>
    <row r="25">
      <c r="A25" s="2" t="str">
        <f>IFERROR(__xludf.DUMMYFUNCTION("""COMPUTED_VALUE"""),"2025-08-26T11:39:08.212Z")</f>
        <v>2025-08-26T11:39:08.212Z</v>
      </c>
      <c r="B25" s="2" t="str">
        <f>IFERROR(__xludf.DUMMYFUNCTION("""COMPUTED_VALUE"""),"2025-08-26T13:26:23.950+08")</f>
        <v>2025-08-26T13:26:23.950+08</v>
      </c>
      <c r="C25" s="2" t="str">
        <f>IFERROR(__xludf.DUMMYFUNCTION("""COMPUTED_VALUE"""),"2025-08-26T13:28:36.232+08")</f>
        <v>2025-08-26T13:28:36.232+08</v>
      </c>
      <c r="D25" s="2" t="str">
        <f>IFERROR(__xludf.DUMMYFUNCTION("""COMPUTED_VALUE"""),"H030821016")</f>
        <v>H030821016</v>
      </c>
      <c r="E25" s="2" t="str">
        <f>IFERROR(__xludf.DUMMYFUNCTION("""COMPUTED_VALUE"""),"H2846135")</f>
        <v>H2846135</v>
      </c>
      <c r="F25" s="2" t="str">
        <f>IFERROR(__xludf.DUMMYFUNCTION("""COMPUTED_VALUE"""),"Annalou Empanado Encontro")</f>
        <v>Annalou Empanado Encontro</v>
      </c>
      <c r="G25" s="2"/>
      <c r="H25" s="2"/>
      <c r="I25" s="2" t="str">
        <f>IFERROR(__xludf.DUMMYFUNCTION("""COMPUTED_VALUE"""),"ICM_Business_linked_launch")</f>
        <v>ICM_Business_linked_launch</v>
      </c>
      <c r="J25" s="2" t="str">
        <f>IFERROR(__xludf.DUMMYFUNCTION("""COMPUTED_VALUE"""),"uuid:cfc9a302-50ed-460c-af5e-9a47082e1f1e")</f>
        <v>uuid:cfc9a302-50ed-460c-af5e-9a47082e1f1e</v>
      </c>
    </row>
    <row r="26">
      <c r="A26" s="2" t="str">
        <f>IFERROR(__xludf.DUMMYFUNCTION("""COMPUTED_VALUE"""),"2025-08-26T11:39:08.570Z")</f>
        <v>2025-08-26T11:39:08.570Z</v>
      </c>
      <c r="B26" s="2" t="str">
        <f>IFERROR(__xludf.DUMMYFUNCTION("""COMPUTED_VALUE"""),"2025-08-26T15:23:32.156+08")</f>
        <v>2025-08-26T15:23:32.156+08</v>
      </c>
      <c r="C26" s="2" t="str">
        <f>IFERROR(__xludf.DUMMYFUNCTION("""COMPUTED_VALUE"""),"2025-08-26T15:36:22.880+08")</f>
        <v>2025-08-26T15:36:22.880+08</v>
      </c>
      <c r="D26" s="2" t="str">
        <f>IFERROR(__xludf.DUMMYFUNCTION("""COMPUTED_VALUE"""),"H030821032")</f>
        <v>H030821032</v>
      </c>
      <c r="E26" s="2" t="str">
        <f>IFERROR(__xludf.DUMMYFUNCTION("""COMPUTED_VALUE"""),"H2846135")</f>
        <v>H2846135</v>
      </c>
      <c r="F26" s="2" t="str">
        <f>IFERROR(__xludf.DUMMYFUNCTION("""COMPUTED_VALUE"""),"Annalou Empanado Encontro")</f>
        <v>Annalou Empanado Encontro</v>
      </c>
      <c r="G26" s="2"/>
      <c r="H26" s="2"/>
      <c r="I26" s="2" t="str">
        <f>IFERROR(__xludf.DUMMYFUNCTION("""COMPUTED_VALUE"""),"ICM_Business_linked_launch")</f>
        <v>ICM_Business_linked_launch</v>
      </c>
      <c r="J26" s="2" t="str">
        <f>IFERROR(__xludf.DUMMYFUNCTION("""COMPUTED_VALUE"""),"uuid:5837ac91-6429-4130-9b4a-004ab2448c80")</f>
        <v>uuid:5837ac91-6429-4130-9b4a-004ab2448c80</v>
      </c>
    </row>
    <row r="27">
      <c r="A27" s="2" t="str">
        <f>IFERROR(__xludf.DUMMYFUNCTION("""COMPUTED_VALUE"""),"2025-08-26T11:41:29.956Z")</f>
        <v>2025-08-26T11:41:29.956Z</v>
      </c>
      <c r="B27" s="2" t="str">
        <f>IFERROR(__xludf.DUMMYFUNCTION("""COMPUTED_VALUE"""),"2025-08-26T11:20:59.633+08")</f>
        <v>2025-08-26T11:20:59.633+08</v>
      </c>
      <c r="C27" s="2" t="str">
        <f>IFERROR(__xludf.DUMMYFUNCTION("""COMPUTED_VALUE"""),"2025-08-26T11:39:12.947+08")</f>
        <v>2025-08-26T11:39:12.947+08</v>
      </c>
      <c r="D27" s="2" t="str">
        <f>IFERROR(__xludf.DUMMYFUNCTION("""COMPUTED_VALUE"""),"H030821027")</f>
        <v>H030821027</v>
      </c>
      <c r="E27" s="2" t="str">
        <f>IFERROR(__xludf.DUMMYFUNCTION("""COMPUTED_VALUE"""),"G5472901")</f>
        <v>G5472901</v>
      </c>
      <c r="F27" s="2" t="str">
        <f>IFERROR(__xludf.DUMMYFUNCTION("""COMPUTED_VALUE"""),"Wellyn Grace Alaban Parcia")</f>
        <v>Wellyn Grace Alaban Parcia</v>
      </c>
      <c r="G27" s="2"/>
      <c r="H27" s="2"/>
      <c r="I27" s="2" t="str">
        <f>IFERROR(__xludf.DUMMYFUNCTION("""COMPUTED_VALUE"""),"ICM_Business_linked_launch")</f>
        <v>ICM_Business_linked_launch</v>
      </c>
      <c r="J27" s="2" t="str">
        <f>IFERROR(__xludf.DUMMYFUNCTION("""COMPUTED_VALUE"""),"uuid:c4dcb4cc-dab5-424a-af3f-e9c6f516b737")</f>
        <v>uuid:c4dcb4cc-dab5-424a-af3f-e9c6f516b737</v>
      </c>
    </row>
    <row r="28">
      <c r="A28" s="2" t="str">
        <f>IFERROR(__xludf.DUMMYFUNCTION("""COMPUTED_VALUE"""),"2025-08-26T11:41:37.146Z")</f>
        <v>2025-08-26T11:41:37.146Z</v>
      </c>
      <c r="B28" s="2" t="str">
        <f>IFERROR(__xludf.DUMMYFUNCTION("""COMPUTED_VALUE"""),"2025-08-26T13:52:33.759+08")</f>
        <v>2025-08-26T13:52:33.759+08</v>
      </c>
      <c r="C28" s="2" t="str">
        <f>IFERROR(__xludf.DUMMYFUNCTION("""COMPUTED_VALUE"""),"2025-08-26T14:08:16.507+08")</f>
        <v>2025-08-26T14:08:16.507+08</v>
      </c>
      <c r="D28" s="2" t="str">
        <f>IFERROR(__xludf.DUMMYFUNCTION("""COMPUTED_VALUE"""),"H030821021")</f>
        <v>H030821021</v>
      </c>
      <c r="E28" s="2" t="str">
        <f>IFERROR(__xludf.DUMMYFUNCTION("""COMPUTED_VALUE"""),"G5472901")</f>
        <v>G5472901</v>
      </c>
      <c r="F28" s="2" t="str">
        <f>IFERROR(__xludf.DUMMYFUNCTION("""COMPUTED_VALUE"""),"Wellyn Grace Alaban Parcia")</f>
        <v>Wellyn Grace Alaban Parcia</v>
      </c>
      <c r="G28" s="2"/>
      <c r="H28" s="2"/>
      <c r="I28" s="2" t="str">
        <f>IFERROR(__xludf.DUMMYFUNCTION("""COMPUTED_VALUE"""),"ICM_Business_linked_launch")</f>
        <v>ICM_Business_linked_launch</v>
      </c>
      <c r="J28" s="2" t="str">
        <f>IFERROR(__xludf.DUMMYFUNCTION("""COMPUTED_VALUE"""),"uuid:92f9d972-bd18-48f8-9f0f-e11a9dbe2c77")</f>
        <v>uuid:92f9d972-bd18-48f8-9f0f-e11a9dbe2c77</v>
      </c>
    </row>
    <row r="29">
      <c r="A29" s="2" t="str">
        <f>IFERROR(__xludf.DUMMYFUNCTION("""COMPUTED_VALUE"""),"2025-08-26T11:41:40.275Z")</f>
        <v>2025-08-26T11:41:40.275Z</v>
      </c>
      <c r="B29" s="2" t="str">
        <f>IFERROR(__xludf.DUMMYFUNCTION("""COMPUTED_VALUE"""),"2025-08-26T16:36:10.397+08")</f>
        <v>2025-08-26T16:36:10.397+08</v>
      </c>
      <c r="C29" s="2" t="str">
        <f>IFERROR(__xludf.DUMMYFUNCTION("""COMPUTED_VALUE"""),"2025-08-26T17:00:35.458+08")</f>
        <v>2025-08-26T17:00:35.458+08</v>
      </c>
      <c r="D29" s="2" t="str">
        <f>IFERROR(__xludf.DUMMYFUNCTION("""COMPUTED_VALUE"""),"H030821018")</f>
        <v>H030821018</v>
      </c>
      <c r="E29" s="2" t="str">
        <f>IFERROR(__xludf.DUMMYFUNCTION("""COMPUTED_VALUE"""),"G5472901")</f>
        <v>G5472901</v>
      </c>
      <c r="F29" s="2" t="str">
        <f>IFERROR(__xludf.DUMMYFUNCTION("""COMPUTED_VALUE"""),"Wellyn Grace Alaban Parcia")</f>
        <v>Wellyn Grace Alaban Parcia</v>
      </c>
      <c r="G29" s="2"/>
      <c r="H29" s="2"/>
      <c r="I29" s="2" t="str">
        <f>IFERROR(__xludf.DUMMYFUNCTION("""COMPUTED_VALUE"""),"ICM_Business_linked_launch")</f>
        <v>ICM_Business_linked_launch</v>
      </c>
      <c r="J29" s="2" t="str">
        <f>IFERROR(__xludf.DUMMYFUNCTION("""COMPUTED_VALUE"""),"uuid:7b9f2ce5-a328-4056-9512-12bd9307781b")</f>
        <v>uuid:7b9f2ce5-a328-4056-9512-12bd9307781b</v>
      </c>
    </row>
    <row r="30">
      <c r="A30" s="2" t="str">
        <f>IFERROR(__xludf.DUMMYFUNCTION("""COMPUTED_VALUE"""),"2025-08-26T11:49:54.490Z")</f>
        <v>2025-08-26T11:49:54.490Z</v>
      </c>
      <c r="B30" s="2" t="str">
        <f>IFERROR(__xludf.DUMMYFUNCTION("""COMPUTED_VALUE"""),"2025-08-26T10:19:23.345+08")</f>
        <v>2025-08-26T10:19:23.345+08</v>
      </c>
      <c r="C30" s="2" t="str">
        <f>IFERROR(__xludf.DUMMYFUNCTION("""COMPUTED_VALUE"""),"2025-08-26T10:26:10.243+08")</f>
        <v>2025-08-26T10:26:10.243+08</v>
      </c>
      <c r="D30" s="2" t="str">
        <f>IFERROR(__xludf.DUMMYFUNCTION("""COMPUTED_VALUE"""),"H019575020")</f>
        <v>H019575020</v>
      </c>
      <c r="E30" s="2">
        <f>IFERROR(__xludf.DUMMYFUNCTION("""COMPUTED_VALUE"""),455939.0)</f>
        <v>455939</v>
      </c>
      <c r="F30" s="2" t="str">
        <f>IFERROR(__xludf.DUMMYFUNCTION("""COMPUTED_VALUE"""),"Mary Jean Villaflor")</f>
        <v>Mary Jean Villaflor</v>
      </c>
      <c r="G30" s="2"/>
      <c r="H30" s="2"/>
      <c r="I30" s="2" t="str">
        <f>IFERROR(__xludf.DUMMYFUNCTION("""COMPUTED_VALUE"""),"ICM_Business_linked_launch")</f>
        <v>ICM_Business_linked_launch</v>
      </c>
      <c r="J30" s="2" t="str">
        <f>IFERROR(__xludf.DUMMYFUNCTION("""COMPUTED_VALUE"""),"uuid:9f9fd260-e89e-4361-ad71-be0779c7129e")</f>
        <v>uuid:9f9fd260-e89e-4361-ad71-be0779c7129e</v>
      </c>
    </row>
    <row r="31">
      <c r="A31" s="2" t="str">
        <f>IFERROR(__xludf.DUMMYFUNCTION("""COMPUTED_VALUE"""),"2025-08-26T11:49:58.312Z")</f>
        <v>2025-08-26T11:49:58.312Z</v>
      </c>
      <c r="B31" s="2" t="str">
        <f>IFERROR(__xludf.DUMMYFUNCTION("""COMPUTED_VALUE"""),"2025-08-26T11:26:13.043+08")</f>
        <v>2025-08-26T11:26:13.043+08</v>
      </c>
      <c r="C31" s="2" t="str">
        <f>IFERROR(__xludf.DUMMYFUNCTION("""COMPUTED_VALUE"""),"2025-08-26T11:29:09.895+08")</f>
        <v>2025-08-26T11:29:09.895+08</v>
      </c>
      <c r="D31" s="2" t="str">
        <f>IFERROR(__xludf.DUMMYFUNCTION("""COMPUTED_VALUE"""),"H019575026")</f>
        <v>H019575026</v>
      </c>
      <c r="E31" s="2">
        <f>IFERROR(__xludf.DUMMYFUNCTION("""COMPUTED_VALUE"""),455939.0)</f>
        <v>455939</v>
      </c>
      <c r="F31" s="2" t="str">
        <f>IFERROR(__xludf.DUMMYFUNCTION("""COMPUTED_VALUE"""),"Mary Jean Villaflor")</f>
        <v>Mary Jean Villaflor</v>
      </c>
      <c r="G31" s="2"/>
      <c r="H31" s="2"/>
      <c r="I31" s="2" t="str">
        <f>IFERROR(__xludf.DUMMYFUNCTION("""COMPUTED_VALUE"""),"ICM_Business_linked_launch")</f>
        <v>ICM_Business_linked_launch</v>
      </c>
      <c r="J31" s="2" t="str">
        <f>IFERROR(__xludf.DUMMYFUNCTION("""COMPUTED_VALUE"""),"uuid:47abae0a-440c-4022-9c2c-926676b6183a")</f>
        <v>uuid:47abae0a-440c-4022-9c2c-926676b6183a</v>
      </c>
    </row>
    <row r="32">
      <c r="A32" s="2" t="str">
        <f>IFERROR(__xludf.DUMMYFUNCTION("""COMPUTED_VALUE"""),"2025-08-26T11:50:00.138Z")</f>
        <v>2025-08-26T11:50:00.138Z</v>
      </c>
      <c r="B32" s="2" t="str">
        <f>IFERROR(__xludf.DUMMYFUNCTION("""COMPUTED_VALUE"""),"2025-08-26T12:45:48.774+08")</f>
        <v>2025-08-26T12:45:48.774+08</v>
      </c>
      <c r="C32" s="2" t="str">
        <f>IFERROR(__xludf.DUMMYFUNCTION("""COMPUTED_VALUE"""),"2025-08-26T12:47:38.108+08")</f>
        <v>2025-08-26T12:47:38.108+08</v>
      </c>
      <c r="D32" s="2" t="str">
        <f>IFERROR(__xludf.DUMMYFUNCTION("""COMPUTED_VALUE"""),"H019575034")</f>
        <v>H019575034</v>
      </c>
      <c r="E32" s="2">
        <f>IFERROR(__xludf.DUMMYFUNCTION("""COMPUTED_VALUE"""),455939.0)</f>
        <v>455939</v>
      </c>
      <c r="F32" s="2" t="str">
        <f>IFERROR(__xludf.DUMMYFUNCTION("""COMPUTED_VALUE"""),"Mary Jean Villaflor")</f>
        <v>Mary Jean Villaflor</v>
      </c>
      <c r="G32" s="2"/>
      <c r="H32" s="2"/>
      <c r="I32" s="2" t="str">
        <f>IFERROR(__xludf.DUMMYFUNCTION("""COMPUTED_VALUE"""),"ICM_Business_linked_launch")</f>
        <v>ICM_Business_linked_launch</v>
      </c>
      <c r="J32" s="2" t="str">
        <f>IFERROR(__xludf.DUMMYFUNCTION("""COMPUTED_VALUE"""),"uuid:a4e09192-dd3c-4161-ac65-49e9e2127f7f")</f>
        <v>uuid:a4e09192-dd3c-4161-ac65-49e9e2127f7f</v>
      </c>
    </row>
    <row r="33">
      <c r="A33" s="2" t="str">
        <f>IFERROR(__xludf.DUMMYFUNCTION("""COMPUTED_VALUE"""),"2025-08-26T11:50:01.252Z")</f>
        <v>2025-08-26T11:50:01.252Z</v>
      </c>
      <c r="B33" s="2" t="str">
        <f>IFERROR(__xludf.DUMMYFUNCTION("""COMPUTED_VALUE"""),"2025-08-26T13:31:17.426+08")</f>
        <v>2025-08-26T13:31:17.426+08</v>
      </c>
      <c r="C33" s="2" t="str">
        <f>IFERROR(__xludf.DUMMYFUNCTION("""COMPUTED_VALUE"""),"2025-08-26T13:33:48.061+08")</f>
        <v>2025-08-26T13:33:48.061+08</v>
      </c>
      <c r="D33" s="2" t="str">
        <f>IFERROR(__xludf.DUMMYFUNCTION("""COMPUTED_VALUE"""),"H019575029")</f>
        <v>H019575029</v>
      </c>
      <c r="E33" s="2">
        <f>IFERROR(__xludf.DUMMYFUNCTION("""COMPUTED_VALUE"""),455939.0)</f>
        <v>455939</v>
      </c>
      <c r="F33" s="2" t="str">
        <f>IFERROR(__xludf.DUMMYFUNCTION("""COMPUTED_VALUE"""),"Mary Jean Villaflor")</f>
        <v>Mary Jean Villaflor</v>
      </c>
      <c r="G33" s="2"/>
      <c r="H33" s="2"/>
      <c r="I33" s="2" t="str">
        <f>IFERROR(__xludf.DUMMYFUNCTION("""COMPUTED_VALUE"""),"ICM_Business_linked_launch")</f>
        <v>ICM_Business_linked_launch</v>
      </c>
      <c r="J33" s="2" t="str">
        <f>IFERROR(__xludf.DUMMYFUNCTION("""COMPUTED_VALUE"""),"uuid:d23c8dc1-bffd-4786-965a-f00b7e1c7ab4")</f>
        <v>uuid:d23c8dc1-bffd-4786-965a-f00b7e1c7ab4</v>
      </c>
    </row>
    <row r="34">
      <c r="A34" s="2" t="str">
        <f>IFERROR(__xludf.DUMMYFUNCTION("""COMPUTED_VALUE"""),"2025-08-26T12:02:09.451Z")</f>
        <v>2025-08-26T12:02:09.451Z</v>
      </c>
      <c r="B34" s="2" t="str">
        <f>IFERROR(__xludf.DUMMYFUNCTION("""COMPUTED_VALUE"""),"2025-08-26T09:32:27.694+08")</f>
        <v>2025-08-26T09:32:27.694+08</v>
      </c>
      <c r="C34" s="2" t="str">
        <f>IFERROR(__xludf.DUMMYFUNCTION("""COMPUTED_VALUE"""),"2025-08-26T10:09:40.043+08")</f>
        <v>2025-08-26T10:09:40.043+08</v>
      </c>
      <c r="D34" s="2" t="str">
        <f>IFERROR(__xludf.DUMMYFUNCTION("""COMPUTED_VALUE"""),"H030255021")</f>
        <v>H030255021</v>
      </c>
      <c r="E34" s="2" t="str">
        <f>IFERROR(__xludf.DUMMYFUNCTION("""COMPUTED_VALUE"""),"O3925718")</f>
        <v>O3925718</v>
      </c>
      <c r="F34" s="2" t="str">
        <f>IFERROR(__xludf.DUMMYFUNCTION("""COMPUTED_VALUE"""),"Adrian Montecastro Ferrer")</f>
        <v>Adrian Montecastro Ferrer</v>
      </c>
      <c r="G34" s="2"/>
      <c r="H34" s="2"/>
      <c r="I34" s="2" t="str">
        <f>IFERROR(__xludf.DUMMYFUNCTION("""COMPUTED_VALUE"""),"ICM_Business_linked_launch")</f>
        <v>ICM_Business_linked_launch</v>
      </c>
      <c r="J34" s="2" t="str">
        <f>IFERROR(__xludf.DUMMYFUNCTION("""COMPUTED_VALUE"""),"uuid:18225db4-4995-4d2e-b8b7-cad4180a1d31")</f>
        <v>uuid:18225db4-4995-4d2e-b8b7-cad4180a1d31</v>
      </c>
    </row>
    <row r="35">
      <c r="A35" s="2" t="str">
        <f>IFERROR(__xludf.DUMMYFUNCTION("""COMPUTED_VALUE"""),"2025-08-26T12:02:09.825Z")</f>
        <v>2025-08-26T12:02:09.825Z</v>
      </c>
      <c r="B35" s="2" t="str">
        <f>IFERROR(__xludf.DUMMYFUNCTION("""COMPUTED_VALUE"""),"2025-08-26T11:48:17.985+08")</f>
        <v>2025-08-26T11:48:17.985+08</v>
      </c>
      <c r="C35" s="2" t="str">
        <f>IFERROR(__xludf.DUMMYFUNCTION("""COMPUTED_VALUE"""),"2025-08-26T12:01:20.586+08")</f>
        <v>2025-08-26T12:01:20.586+08</v>
      </c>
      <c r="D35" s="2" t="str">
        <f>IFERROR(__xludf.DUMMYFUNCTION("""COMPUTED_VALUE"""),"H030255020")</f>
        <v>H030255020</v>
      </c>
      <c r="E35" s="2" t="str">
        <f>IFERROR(__xludf.DUMMYFUNCTION("""COMPUTED_VALUE"""),"O3925718")</f>
        <v>O3925718</v>
      </c>
      <c r="F35" s="2" t="str">
        <f>IFERROR(__xludf.DUMMYFUNCTION("""COMPUTED_VALUE"""),"Adrian Montecastro Ferrer")</f>
        <v>Adrian Montecastro Ferrer</v>
      </c>
      <c r="G35" s="2"/>
      <c r="H35" s="2"/>
      <c r="I35" s="2" t="str">
        <f>IFERROR(__xludf.DUMMYFUNCTION("""COMPUTED_VALUE"""),"ICM_Business_linked_launch")</f>
        <v>ICM_Business_linked_launch</v>
      </c>
      <c r="J35" s="2" t="str">
        <f>IFERROR(__xludf.DUMMYFUNCTION("""COMPUTED_VALUE"""),"uuid:b24de469-d1f0-4079-8dd6-86801dec2bc6")</f>
        <v>uuid:b24de469-d1f0-4079-8dd6-86801dec2bc6</v>
      </c>
    </row>
    <row r="36">
      <c r="A36" s="2" t="str">
        <f>IFERROR(__xludf.DUMMYFUNCTION("""COMPUTED_VALUE"""),"2025-08-26T12:02:12.452Z")</f>
        <v>2025-08-26T12:02:12.452Z</v>
      </c>
      <c r="B36" s="2" t="str">
        <f>IFERROR(__xludf.DUMMYFUNCTION("""COMPUTED_VALUE"""),"2025-08-26T13:42:04.730+08")</f>
        <v>2025-08-26T13:42:04.730+08</v>
      </c>
      <c r="C36" s="2" t="str">
        <f>IFERROR(__xludf.DUMMYFUNCTION("""COMPUTED_VALUE"""),"2025-08-26T13:51:31.185+08")</f>
        <v>2025-08-26T13:51:31.185+08</v>
      </c>
      <c r="D36" s="2" t="str">
        <f>IFERROR(__xludf.DUMMYFUNCTION("""COMPUTED_VALUE"""),"H030255024")</f>
        <v>H030255024</v>
      </c>
      <c r="E36" s="2" t="str">
        <f>IFERROR(__xludf.DUMMYFUNCTION("""COMPUTED_VALUE"""),"O3925718")</f>
        <v>O3925718</v>
      </c>
      <c r="F36" s="2" t="str">
        <f>IFERROR(__xludf.DUMMYFUNCTION("""COMPUTED_VALUE"""),"Adrian Montecastro Ferrer")</f>
        <v>Adrian Montecastro Ferrer</v>
      </c>
      <c r="G36" s="2"/>
      <c r="H36" s="2"/>
      <c r="I36" s="2" t="str">
        <f>IFERROR(__xludf.DUMMYFUNCTION("""COMPUTED_VALUE"""),"ICM_Business_linked_launch")</f>
        <v>ICM_Business_linked_launch</v>
      </c>
      <c r="J36" s="2" t="str">
        <f>IFERROR(__xludf.DUMMYFUNCTION("""COMPUTED_VALUE"""),"uuid:152be913-9052-476f-a86a-e7ba27155512")</f>
        <v>uuid:152be913-9052-476f-a86a-e7ba27155512</v>
      </c>
    </row>
    <row r="37">
      <c r="A37" s="2" t="str">
        <f>IFERROR(__xludf.DUMMYFUNCTION("""COMPUTED_VALUE"""),"2025-08-26T12:09:12.644Z")</f>
        <v>2025-08-26T12:09:12.644Z</v>
      </c>
      <c r="B37" s="2" t="str">
        <f>IFERROR(__xludf.DUMMYFUNCTION("""COMPUTED_VALUE"""),"2025-08-26T10:10:04.674+08")</f>
        <v>2025-08-26T10:10:04.674+08</v>
      </c>
      <c r="C37" s="2" t="str">
        <f>IFERROR(__xludf.DUMMYFUNCTION("""COMPUTED_VALUE"""),"2025-08-26T10:23:24.055+08")</f>
        <v>2025-08-26T10:23:24.055+08</v>
      </c>
      <c r="D37" s="2" t="str">
        <f>IFERROR(__xludf.DUMMYFUNCTION("""COMPUTED_VALUE"""),"H030375034")</f>
        <v>H030375034</v>
      </c>
      <c r="E37" s="2" t="str">
        <f>IFERROR(__xludf.DUMMYFUNCTION("""COMPUTED_VALUE"""),"J4315980")</f>
        <v>J4315980</v>
      </c>
      <c r="F37" s="2" t="str">
        <f>IFERROR(__xludf.DUMMYFUNCTION("""COMPUTED_VALUE"""),"Trixie Marie Jardeleza Saber")</f>
        <v>Trixie Marie Jardeleza Saber</v>
      </c>
      <c r="G37" s="2"/>
      <c r="H37" s="2"/>
      <c r="I37" s="2" t="str">
        <f>IFERROR(__xludf.DUMMYFUNCTION("""COMPUTED_VALUE"""),"ICM_Business_linked_launch")</f>
        <v>ICM_Business_linked_launch</v>
      </c>
      <c r="J37" s="2" t="str">
        <f>IFERROR(__xludf.DUMMYFUNCTION("""COMPUTED_VALUE"""),"uuid:1bddb882-b6ae-4754-815a-ce68e40e1951")</f>
        <v>uuid:1bddb882-b6ae-4754-815a-ce68e40e1951</v>
      </c>
    </row>
    <row r="38">
      <c r="A38" s="2" t="str">
        <f>IFERROR(__xludf.DUMMYFUNCTION("""COMPUTED_VALUE"""),"2025-08-26T12:09:13.568Z")</f>
        <v>2025-08-26T12:09:13.568Z</v>
      </c>
      <c r="B38" s="2" t="str">
        <f>IFERROR(__xludf.DUMMYFUNCTION("""COMPUTED_VALUE"""),"2025-08-26T14:10:06.478+08")</f>
        <v>2025-08-26T14:10:06.478+08</v>
      </c>
      <c r="C38" s="2" t="str">
        <f>IFERROR(__xludf.DUMMYFUNCTION("""COMPUTED_VALUE"""),"2025-08-26T14:15:34.522+08")</f>
        <v>2025-08-26T14:15:34.522+08</v>
      </c>
      <c r="D38" s="2" t="str">
        <f>IFERROR(__xludf.DUMMYFUNCTION("""COMPUTED_VALUE"""),"H030375021")</f>
        <v>H030375021</v>
      </c>
      <c r="E38" s="2" t="str">
        <f>IFERROR(__xludf.DUMMYFUNCTION("""COMPUTED_VALUE"""),"J4315980")</f>
        <v>J4315980</v>
      </c>
      <c r="F38" s="2" t="str">
        <f>IFERROR(__xludf.DUMMYFUNCTION("""COMPUTED_VALUE"""),"Trixie Marie Jardeleza Saber")</f>
        <v>Trixie Marie Jardeleza Saber</v>
      </c>
      <c r="G38" s="2"/>
      <c r="H38" s="2"/>
      <c r="I38" s="2" t="str">
        <f>IFERROR(__xludf.DUMMYFUNCTION("""COMPUTED_VALUE"""),"ICM_Business_linked_launch")</f>
        <v>ICM_Business_linked_launch</v>
      </c>
      <c r="J38" s="2" t="str">
        <f>IFERROR(__xludf.DUMMYFUNCTION("""COMPUTED_VALUE"""),"uuid:0146e22c-f1eb-4cc0-b9bc-4b69cec3fb7e")</f>
        <v>uuid:0146e22c-f1eb-4cc0-b9bc-4b69cec3fb7e</v>
      </c>
    </row>
    <row r="39">
      <c r="A39" s="2" t="str">
        <f>IFERROR(__xludf.DUMMYFUNCTION("""COMPUTED_VALUE"""),"2025-08-26T12:09:14.299Z")</f>
        <v>2025-08-26T12:09:14.299Z</v>
      </c>
      <c r="B39" s="2" t="str">
        <f>IFERROR(__xludf.DUMMYFUNCTION("""COMPUTED_VALUE"""),"2025-08-26T12:12:15.220+08")</f>
        <v>2025-08-26T12:12:15.220+08</v>
      </c>
      <c r="C39" s="2" t="str">
        <f>IFERROR(__xludf.DUMMYFUNCTION("""COMPUTED_VALUE"""),"2025-08-26T12:17:18.156+08")</f>
        <v>2025-08-26T12:17:18.156+08</v>
      </c>
      <c r="D39" s="2" t="str">
        <f>IFERROR(__xludf.DUMMYFUNCTION("""COMPUTED_VALUE"""),"H030375022")</f>
        <v>H030375022</v>
      </c>
      <c r="E39" s="2" t="str">
        <f>IFERROR(__xludf.DUMMYFUNCTION("""COMPUTED_VALUE"""),"J4315980")</f>
        <v>J4315980</v>
      </c>
      <c r="F39" s="2" t="str">
        <f>IFERROR(__xludf.DUMMYFUNCTION("""COMPUTED_VALUE"""),"Trixie Marie Jardeleza Saber")</f>
        <v>Trixie Marie Jardeleza Saber</v>
      </c>
      <c r="G39" s="2"/>
      <c r="H39" s="2"/>
      <c r="I39" s="2" t="str">
        <f>IFERROR(__xludf.DUMMYFUNCTION("""COMPUTED_VALUE"""),"ICM_Business_linked_launch")</f>
        <v>ICM_Business_linked_launch</v>
      </c>
      <c r="J39" s="2" t="str">
        <f>IFERROR(__xludf.DUMMYFUNCTION("""COMPUTED_VALUE"""),"uuid:4baa8b33-e4af-4ad9-a4a4-acd24f53ea94")</f>
        <v>uuid:4baa8b33-e4af-4ad9-a4a4-acd24f53ea94</v>
      </c>
    </row>
    <row r="40">
      <c r="A40" s="2" t="str">
        <f>IFERROR(__xludf.DUMMYFUNCTION("""COMPUTED_VALUE"""),"2025-10-02T08:53:11.477Z")</f>
        <v>2025-10-02T08:53:11.477Z</v>
      </c>
      <c r="B40" s="2" t="str">
        <f>IFERROR(__xludf.DUMMYFUNCTION("""COMPUTED_VALUE"""),"2025-10-02T09:05:57.819+08")</f>
        <v>2025-10-02T09:05:57.819+08</v>
      </c>
      <c r="C40" s="2" t="str">
        <f>IFERROR(__xludf.DUMMYFUNCTION("""COMPUTED_VALUE"""),"2025-10-02T09:19:46.386+08")</f>
        <v>2025-10-02T09:19:46.386+08</v>
      </c>
      <c r="D40" s="2" t="str">
        <f>IFERROR(__xludf.DUMMYFUNCTION("""COMPUTED_VALUE"""),"H030375027")</f>
        <v>H030375027</v>
      </c>
      <c r="E40" s="2" t="str">
        <f>IFERROR(__xludf.DUMMYFUNCTION("""COMPUTED_VALUE"""),"J4315980")</f>
        <v>J4315980</v>
      </c>
      <c r="F40" s="2" t="str">
        <f>IFERROR(__xludf.DUMMYFUNCTION("""COMPUTED_VALUE"""),"Trixie Marie Jardeleza Saber")</f>
        <v>Trixie Marie Jardeleza Saber</v>
      </c>
      <c r="G40" s="2"/>
      <c r="H40" s="2"/>
      <c r="I40" s="2" t="str">
        <f>IFERROR(__xludf.DUMMYFUNCTION("""COMPUTED_VALUE"""),"ICM_Business_linked_launch")</f>
        <v>ICM_Business_linked_launch</v>
      </c>
      <c r="J40" s="2" t="str">
        <f>IFERROR(__xludf.DUMMYFUNCTION("""COMPUTED_VALUE"""),"uuid:65a45523-8ec3-4b39-82c9-1066e5ae1c6f")</f>
        <v>uuid:65a45523-8ec3-4b39-82c9-1066e5ae1c6f</v>
      </c>
    </row>
    <row r="41">
      <c r="A41" s="2" t="str">
        <f>IFERROR(__xludf.DUMMYFUNCTION("""COMPUTED_VALUE"""),"2025-08-26T12:25:22.598Z")</f>
        <v>2025-08-26T12:25:22.598Z</v>
      </c>
      <c r="B41" s="2" t="str">
        <f>IFERROR(__xludf.DUMMYFUNCTION("""COMPUTED_VALUE"""),"2025-08-26T10:03:05.546+08")</f>
        <v>2025-08-26T10:03:05.546+08</v>
      </c>
      <c r="C41" s="2" t="str">
        <f>IFERROR(__xludf.DUMMYFUNCTION("""COMPUTED_VALUE"""),"2025-08-26T10:21:29.344+08")</f>
        <v>2025-08-26T10:21:29.344+08</v>
      </c>
      <c r="D41" s="2" t="str">
        <f>IFERROR(__xludf.DUMMYFUNCTION("""COMPUTED_VALUE"""),"H030375019")</f>
        <v>H030375019</v>
      </c>
      <c r="E41" s="2" t="str">
        <f>IFERROR(__xludf.DUMMYFUNCTION("""COMPUTED_VALUE"""),"K8623174")</f>
        <v>K8623174</v>
      </c>
      <c r="F41" s="2" t="str">
        <f>IFERROR(__xludf.DUMMYFUNCTION("""COMPUTED_VALUE"""),"Marielle Kaye Ignacio Alonzo")</f>
        <v>Marielle Kaye Ignacio Alonzo</v>
      </c>
      <c r="G41" s="2"/>
      <c r="H41" s="2"/>
      <c r="I41" s="2" t="str">
        <f>IFERROR(__xludf.DUMMYFUNCTION("""COMPUTED_VALUE"""),"ICM_Business_linked_launch")</f>
        <v>ICM_Business_linked_launch</v>
      </c>
      <c r="J41" s="2" t="str">
        <f>IFERROR(__xludf.DUMMYFUNCTION("""COMPUTED_VALUE"""),"uuid:0a1b3a88-28e5-4b5d-9acc-e001a3fc13a2")</f>
        <v>uuid:0a1b3a88-28e5-4b5d-9acc-e001a3fc13a2</v>
      </c>
    </row>
    <row r="42">
      <c r="A42" s="2" t="str">
        <f>IFERROR(__xludf.DUMMYFUNCTION("""COMPUTED_VALUE"""),"2025-08-26T12:25:22.897Z")</f>
        <v>2025-08-26T12:25:22.897Z</v>
      </c>
      <c r="B42" s="2" t="str">
        <f>IFERROR(__xludf.DUMMYFUNCTION("""COMPUTED_VALUE"""),"2025-08-26T16:40:49.437+08")</f>
        <v>2025-08-26T16:40:49.437+08</v>
      </c>
      <c r="C42" s="2" t="str">
        <f>IFERROR(__xludf.DUMMYFUNCTION("""COMPUTED_VALUE"""),"2025-08-26T16:48:34.089+08")</f>
        <v>2025-08-26T16:48:34.089+08</v>
      </c>
      <c r="D42" s="2" t="str">
        <f>IFERROR(__xludf.DUMMYFUNCTION("""COMPUTED_VALUE"""),"H030375024")</f>
        <v>H030375024</v>
      </c>
      <c r="E42" s="2" t="str">
        <f>IFERROR(__xludf.DUMMYFUNCTION("""COMPUTED_VALUE"""),"K8623174")</f>
        <v>K8623174</v>
      </c>
      <c r="F42" s="2" t="str">
        <f>IFERROR(__xludf.DUMMYFUNCTION("""COMPUTED_VALUE"""),"Marielle Kaye Ignacio Alonzo")</f>
        <v>Marielle Kaye Ignacio Alonzo</v>
      </c>
      <c r="G42" s="2"/>
      <c r="H42" s="2"/>
      <c r="I42" s="2" t="str">
        <f>IFERROR(__xludf.DUMMYFUNCTION("""COMPUTED_VALUE"""),"ICM_Business_linked_launch")</f>
        <v>ICM_Business_linked_launch</v>
      </c>
      <c r="J42" s="2" t="str">
        <f>IFERROR(__xludf.DUMMYFUNCTION("""COMPUTED_VALUE"""),"uuid:26d18738-f259-43f7-b470-136d4f3b8900")</f>
        <v>uuid:26d18738-f259-43f7-b470-136d4f3b8900</v>
      </c>
    </row>
    <row r="43">
      <c r="A43" s="2" t="str">
        <f>IFERROR(__xludf.DUMMYFUNCTION("""COMPUTED_VALUE"""),"2025-08-26T12:25:24.135Z")</f>
        <v>2025-08-26T12:25:24.135Z</v>
      </c>
      <c r="B43" s="2" t="str">
        <f>IFERROR(__xludf.DUMMYFUNCTION("""COMPUTED_VALUE"""),"2025-08-26T15:09:09.831+08")</f>
        <v>2025-08-26T15:09:09.831+08</v>
      </c>
      <c r="C43" s="2" t="str">
        <f>IFERROR(__xludf.DUMMYFUNCTION("""COMPUTED_VALUE"""),"2025-08-26T15:50:22.741+08")</f>
        <v>2025-08-26T15:50:22.741+08</v>
      </c>
      <c r="D43" s="2" t="str">
        <f>IFERROR(__xludf.DUMMYFUNCTION("""COMPUTED_VALUE"""),"H030375029")</f>
        <v>H030375029</v>
      </c>
      <c r="E43" s="2" t="str">
        <f>IFERROR(__xludf.DUMMYFUNCTION("""COMPUTED_VALUE"""),"K8623174")</f>
        <v>K8623174</v>
      </c>
      <c r="F43" s="2" t="str">
        <f>IFERROR(__xludf.DUMMYFUNCTION("""COMPUTED_VALUE"""),"Marielle Kaye Ignacio Alonzo")</f>
        <v>Marielle Kaye Ignacio Alonzo</v>
      </c>
      <c r="G43" s="2"/>
      <c r="H43" s="2"/>
      <c r="I43" s="2" t="str">
        <f>IFERROR(__xludf.DUMMYFUNCTION("""COMPUTED_VALUE"""),"ICM_Business_linked_launch")</f>
        <v>ICM_Business_linked_launch</v>
      </c>
      <c r="J43" s="2" t="str">
        <f>IFERROR(__xludf.DUMMYFUNCTION("""COMPUTED_VALUE"""),"uuid:5e4b5d7f-d529-452f-8887-7786404da094")</f>
        <v>uuid:5e4b5d7f-d529-452f-8887-7786404da094</v>
      </c>
    </row>
    <row r="44">
      <c r="A44" s="2" t="str">
        <f>IFERROR(__xludf.DUMMYFUNCTION("""COMPUTED_VALUE"""),"2025-08-26T12:25:24.658Z")</f>
        <v>2025-08-26T12:25:24.658Z</v>
      </c>
      <c r="B44" s="2" t="str">
        <f>IFERROR(__xludf.DUMMYFUNCTION("""COMPUTED_VALUE"""),"2025-08-26T11:02:22.627+08")</f>
        <v>2025-08-26T11:02:22.627+08</v>
      </c>
      <c r="C44" s="2" t="str">
        <f>IFERROR(__xludf.DUMMYFUNCTION("""COMPUTED_VALUE"""),"2025-08-26T11:53:07.327+08")</f>
        <v>2025-08-26T11:53:07.327+08</v>
      </c>
      <c r="D44" s="2" t="str">
        <f>IFERROR(__xludf.DUMMYFUNCTION("""COMPUTED_VALUE"""),"H030375020")</f>
        <v>H030375020</v>
      </c>
      <c r="E44" s="2" t="str">
        <f>IFERROR(__xludf.DUMMYFUNCTION("""COMPUTED_VALUE"""),"K8623174")</f>
        <v>K8623174</v>
      </c>
      <c r="F44" s="2" t="str">
        <f>IFERROR(__xludf.DUMMYFUNCTION("""COMPUTED_VALUE"""),"Marielle Kaye Ignacio Alonzo")</f>
        <v>Marielle Kaye Ignacio Alonzo</v>
      </c>
      <c r="G44" s="2"/>
      <c r="H44" s="2"/>
      <c r="I44" s="2" t="str">
        <f>IFERROR(__xludf.DUMMYFUNCTION("""COMPUTED_VALUE"""),"ICM_Business_linked_launch")</f>
        <v>ICM_Business_linked_launch</v>
      </c>
      <c r="J44" s="2" t="str">
        <f>IFERROR(__xludf.DUMMYFUNCTION("""COMPUTED_VALUE"""),"uuid:b248944d-2684-4179-bf12-13bbbc1ee107")</f>
        <v>uuid:b248944d-2684-4179-bf12-13bbbc1ee107</v>
      </c>
    </row>
    <row r="45">
      <c r="A45" s="2" t="str">
        <f>IFERROR(__xludf.DUMMYFUNCTION("""COMPUTED_VALUE"""),"2025-08-26T12:49:19.871Z")</f>
        <v>2025-08-26T12:49:19.871Z</v>
      </c>
      <c r="B45" s="2" t="str">
        <f>IFERROR(__xludf.DUMMYFUNCTION("""COMPUTED_VALUE"""),"2025-08-26T13:35:32.177+08")</f>
        <v>2025-08-26T13:35:32.177+08</v>
      </c>
      <c r="C45" s="2" t="str">
        <f>IFERROR(__xludf.DUMMYFUNCTION("""COMPUTED_VALUE"""),"2025-08-26T14:36:54.605+08")</f>
        <v>2025-08-26T14:36:54.605+08</v>
      </c>
      <c r="D45" s="2" t="str">
        <f>IFERROR(__xludf.DUMMYFUNCTION("""COMPUTED_VALUE"""),"H030821029")</f>
        <v>H030821029</v>
      </c>
      <c r="E45" s="2" t="str">
        <f>IFERROR(__xludf.DUMMYFUNCTION("""COMPUTED_VALUE"""),"F3051749")</f>
        <v>F3051749</v>
      </c>
      <c r="F45" s="2" t="str">
        <f>IFERROR(__xludf.DUMMYFUNCTION("""COMPUTED_VALUE"""),"Elenita Gicos De La Pe�a")</f>
        <v>Elenita Gicos De La Pe�a</v>
      </c>
      <c r="G45" s="2"/>
      <c r="H45" s="2"/>
      <c r="I45" s="2" t="str">
        <f>IFERROR(__xludf.DUMMYFUNCTION("""COMPUTED_VALUE"""),"ICM_Business_linked_launch")</f>
        <v>ICM_Business_linked_launch</v>
      </c>
      <c r="J45" s="2" t="str">
        <f>IFERROR(__xludf.DUMMYFUNCTION("""COMPUTED_VALUE"""),"uuid:b399b6a6-e323-4d5a-bc12-50690f138bc6")</f>
        <v>uuid:b399b6a6-e323-4d5a-bc12-50690f138bc6</v>
      </c>
    </row>
    <row r="46">
      <c r="A46" s="2" t="str">
        <f>IFERROR(__xludf.DUMMYFUNCTION("""COMPUTED_VALUE"""),"2025-08-26T12:49:43.803Z")</f>
        <v>2025-08-26T12:49:43.803Z</v>
      </c>
      <c r="B46" s="2" t="str">
        <f>IFERROR(__xludf.DUMMYFUNCTION("""COMPUTED_VALUE"""),"2025-08-26T10:04:28.727+08")</f>
        <v>2025-08-26T10:04:28.727+08</v>
      </c>
      <c r="C46" s="2" t="str">
        <f>IFERROR(__xludf.DUMMYFUNCTION("""COMPUTED_VALUE"""),"2025-08-26T10:10:19.823+08")</f>
        <v>2025-08-26T10:10:19.823+08</v>
      </c>
      <c r="D46" s="2" t="str">
        <f>IFERROR(__xludf.DUMMYFUNCTION("""COMPUTED_VALUE"""),"H030375018")</f>
        <v>H030375018</v>
      </c>
      <c r="E46" s="2" t="str">
        <f>IFERROR(__xludf.DUMMYFUNCTION("""COMPUTED_VALUE"""),"M6491032")</f>
        <v>M6491032</v>
      </c>
      <c r="F46" s="2" t="str">
        <f>IFERROR(__xludf.DUMMYFUNCTION("""COMPUTED_VALUE"""),"Rosevil Tayo Desamparado")</f>
        <v>Rosevil Tayo Desamparado</v>
      </c>
      <c r="G46" s="2"/>
      <c r="H46" s="2"/>
      <c r="I46" s="2" t="str">
        <f>IFERROR(__xludf.DUMMYFUNCTION("""COMPUTED_VALUE"""),"ICM_Business_linked_launch")</f>
        <v>ICM_Business_linked_launch</v>
      </c>
      <c r="J46" s="2" t="str">
        <f>IFERROR(__xludf.DUMMYFUNCTION("""COMPUTED_VALUE"""),"uuid:7b9193cf-3282-44eb-92a7-80a30b1de9e3")</f>
        <v>uuid:7b9193cf-3282-44eb-92a7-80a30b1de9e3</v>
      </c>
    </row>
    <row r="47">
      <c r="A47" s="2" t="str">
        <f>IFERROR(__xludf.DUMMYFUNCTION("""COMPUTED_VALUE"""),"2025-08-26T12:49:45.093Z")</f>
        <v>2025-08-26T12:49:45.093Z</v>
      </c>
      <c r="B47" s="2" t="str">
        <f>IFERROR(__xludf.DUMMYFUNCTION("""COMPUTED_VALUE"""),"2025-08-26T14:52:47.337+08")</f>
        <v>2025-08-26T14:52:47.337+08</v>
      </c>
      <c r="C47" s="2" t="str">
        <f>IFERROR(__xludf.DUMMYFUNCTION("""COMPUTED_VALUE"""),"2025-08-26T14:59:17.742+08")</f>
        <v>2025-08-26T14:59:17.742+08</v>
      </c>
      <c r="D47" s="2" t="str">
        <f>IFERROR(__xludf.DUMMYFUNCTION("""COMPUTED_VALUE"""),"H030375031")</f>
        <v>H030375031</v>
      </c>
      <c r="E47" s="2" t="str">
        <f>IFERROR(__xludf.DUMMYFUNCTION("""COMPUTED_VALUE"""),"M6491032")</f>
        <v>M6491032</v>
      </c>
      <c r="F47" s="2" t="str">
        <f>IFERROR(__xludf.DUMMYFUNCTION("""COMPUTED_VALUE"""),"Rosevil Tayo Desamparado")</f>
        <v>Rosevil Tayo Desamparado</v>
      </c>
      <c r="G47" s="2"/>
      <c r="H47" s="2"/>
      <c r="I47" s="2" t="str">
        <f>IFERROR(__xludf.DUMMYFUNCTION("""COMPUTED_VALUE"""),"ICM_Business_linked_launch")</f>
        <v>ICM_Business_linked_launch</v>
      </c>
      <c r="J47" s="2" t="str">
        <f>IFERROR(__xludf.DUMMYFUNCTION("""COMPUTED_VALUE"""),"uuid:592d6d2a-950e-45f7-a5cf-ef908c5ec746")</f>
        <v>uuid:592d6d2a-950e-45f7-a5cf-ef908c5ec746</v>
      </c>
    </row>
    <row r="48">
      <c r="A48" s="2" t="str">
        <f>IFERROR(__xludf.DUMMYFUNCTION("""COMPUTED_VALUE"""),"2025-08-26T12:49:44.568Z")</f>
        <v>2025-08-26T12:49:44.568Z</v>
      </c>
      <c r="B48" s="2" t="str">
        <f>IFERROR(__xludf.DUMMYFUNCTION("""COMPUTED_VALUE"""),"2025-08-26T11:33:31.577+08")</f>
        <v>2025-08-26T11:33:31.577+08</v>
      </c>
      <c r="C48" s="2" t="str">
        <f>IFERROR(__xludf.DUMMYFUNCTION("""COMPUTED_VALUE"""),"2025-08-26T11:38:02.021+08")</f>
        <v>2025-08-26T11:38:02.021+08</v>
      </c>
      <c r="D48" s="2" t="str">
        <f>IFERROR(__xludf.DUMMYFUNCTION("""COMPUTED_VALUE"""),"H030375016")</f>
        <v>H030375016</v>
      </c>
      <c r="E48" s="2" t="str">
        <f>IFERROR(__xludf.DUMMYFUNCTION("""COMPUTED_VALUE"""),"M6491032")</f>
        <v>M6491032</v>
      </c>
      <c r="F48" s="2" t="str">
        <f>IFERROR(__xludf.DUMMYFUNCTION("""COMPUTED_VALUE"""),"Rosevil Tayo Desamparado")</f>
        <v>Rosevil Tayo Desamparado</v>
      </c>
      <c r="G48" s="2"/>
      <c r="H48" s="2"/>
      <c r="I48" s="2" t="str">
        <f>IFERROR(__xludf.DUMMYFUNCTION("""COMPUTED_VALUE"""),"ICM_Business_linked_launch")</f>
        <v>ICM_Business_linked_launch</v>
      </c>
      <c r="J48" s="2" t="str">
        <f>IFERROR(__xludf.DUMMYFUNCTION("""COMPUTED_VALUE"""),"uuid:d012648e-0669-475c-bae6-ff652ca6b2a9")</f>
        <v>uuid:d012648e-0669-475c-bae6-ff652ca6b2a9</v>
      </c>
    </row>
    <row r="49">
      <c r="A49" s="2" t="str">
        <f>IFERROR(__xludf.DUMMYFUNCTION("""COMPUTED_VALUE"""),"2025-08-26T13:04:08.652Z")</f>
        <v>2025-08-26T13:04:08.652Z</v>
      </c>
      <c r="B49" s="2" t="str">
        <f>IFERROR(__xludf.DUMMYFUNCTION("""COMPUTED_VALUE"""),"2025-08-26T10:21:29.556+08")</f>
        <v>2025-08-26T10:21:29.556+08</v>
      </c>
      <c r="C49" s="2" t="str">
        <f>IFERROR(__xludf.DUMMYFUNCTION("""COMPUTED_VALUE"""),"2025-08-26T10:38:04.051+08")</f>
        <v>2025-08-26T10:38:04.051+08</v>
      </c>
      <c r="D49" s="2" t="str">
        <f>IFERROR(__xludf.DUMMYFUNCTION("""COMPUTED_VALUE"""),"H030255025")</f>
        <v>H030255025</v>
      </c>
      <c r="E49" s="2" t="str">
        <f>IFERROR(__xludf.DUMMYFUNCTION("""COMPUTED_VALUE"""),"P1068432")</f>
        <v>P1068432</v>
      </c>
      <c r="F49" s="2" t="str">
        <f>IFERROR(__xludf.DUMMYFUNCTION("""COMPUTED_VALUE"""),"Mark Daniel Balagao Benson")</f>
        <v>Mark Daniel Balagao Benson</v>
      </c>
      <c r="G49" s="2"/>
      <c r="H49" s="2"/>
      <c r="I49" s="2" t="str">
        <f>IFERROR(__xludf.DUMMYFUNCTION("""COMPUTED_VALUE"""),"ICM_Business_linked_launch")</f>
        <v>ICM_Business_linked_launch</v>
      </c>
      <c r="J49" s="2" t="str">
        <f>IFERROR(__xludf.DUMMYFUNCTION("""COMPUTED_VALUE"""),"uuid:1dae5236-be96-4d0c-91e6-6a4d7aa489b3")</f>
        <v>uuid:1dae5236-be96-4d0c-91e6-6a4d7aa489b3</v>
      </c>
    </row>
    <row r="50">
      <c r="A50" s="2" t="str">
        <f>IFERROR(__xludf.DUMMYFUNCTION("""COMPUTED_VALUE"""),"2025-08-26T13:04:09.529Z")</f>
        <v>2025-08-26T13:04:09.529Z</v>
      </c>
      <c r="B50" s="2" t="str">
        <f>IFERROR(__xludf.DUMMYFUNCTION("""COMPUTED_VALUE"""),"2025-08-26T12:06:07.372+08")</f>
        <v>2025-08-26T12:06:07.372+08</v>
      </c>
      <c r="C50" s="2" t="str">
        <f>IFERROR(__xludf.DUMMYFUNCTION("""COMPUTED_VALUE"""),"2025-08-26T12:32:47.046+08")</f>
        <v>2025-08-26T12:32:47.046+08</v>
      </c>
      <c r="D50" s="2" t="str">
        <f>IFERROR(__xludf.DUMMYFUNCTION("""COMPUTED_VALUE"""),"H030255023")</f>
        <v>H030255023</v>
      </c>
      <c r="E50" s="2" t="str">
        <f>IFERROR(__xludf.DUMMYFUNCTION("""COMPUTED_VALUE"""),"P1068432")</f>
        <v>P1068432</v>
      </c>
      <c r="F50" s="2" t="str">
        <f>IFERROR(__xludf.DUMMYFUNCTION("""COMPUTED_VALUE"""),"Mark Daniel Balagao Benson")</f>
        <v>Mark Daniel Balagao Benson</v>
      </c>
      <c r="G50" s="2"/>
      <c r="H50" s="2"/>
      <c r="I50" s="2" t="str">
        <f>IFERROR(__xludf.DUMMYFUNCTION("""COMPUTED_VALUE"""),"ICM_Business_linked_launch")</f>
        <v>ICM_Business_linked_launch</v>
      </c>
      <c r="J50" s="2" t="str">
        <f>IFERROR(__xludf.DUMMYFUNCTION("""COMPUTED_VALUE"""),"uuid:e2e58bec-2b69-4e9b-b5ed-f2a84ab04824")</f>
        <v>uuid:e2e58bec-2b69-4e9b-b5ed-f2a84ab04824</v>
      </c>
    </row>
    <row r="51">
      <c r="A51" s="2" t="str">
        <f>IFERROR(__xludf.DUMMYFUNCTION("""COMPUTED_VALUE"""),"2025-08-26T13:04:10.506Z")</f>
        <v>2025-08-26T13:04:10.506Z</v>
      </c>
      <c r="B51" s="2" t="str">
        <f>IFERROR(__xludf.DUMMYFUNCTION("""COMPUTED_VALUE"""),"2025-08-26T14:48:36.559+08")</f>
        <v>2025-08-26T14:48:36.559+08</v>
      </c>
      <c r="C51" s="2" t="str">
        <f>IFERROR(__xludf.DUMMYFUNCTION("""COMPUTED_VALUE"""),"2025-08-26T15:03:16.960+08")</f>
        <v>2025-08-26T15:03:16.960+08</v>
      </c>
      <c r="D51" s="2" t="str">
        <f>IFERROR(__xludf.DUMMYFUNCTION("""COMPUTED_VALUE"""),"H030255018")</f>
        <v>H030255018</v>
      </c>
      <c r="E51" s="2" t="str">
        <f>IFERROR(__xludf.DUMMYFUNCTION("""COMPUTED_VALUE"""),"P1068432")</f>
        <v>P1068432</v>
      </c>
      <c r="F51" s="2" t="str">
        <f>IFERROR(__xludf.DUMMYFUNCTION("""COMPUTED_VALUE"""),"Mark Daniel Balagao Benson")</f>
        <v>Mark Daniel Balagao Benson</v>
      </c>
      <c r="G51" s="2"/>
      <c r="H51" s="2"/>
      <c r="I51" s="2" t="str">
        <f>IFERROR(__xludf.DUMMYFUNCTION("""COMPUTED_VALUE"""),"ICM_Business_linked_launch")</f>
        <v>ICM_Business_linked_launch</v>
      </c>
      <c r="J51" s="2" t="str">
        <f>IFERROR(__xludf.DUMMYFUNCTION("""COMPUTED_VALUE"""),"uuid:4dfa82ba-4f10-4441-82e0-57aa98d33b47")</f>
        <v>uuid:4dfa82ba-4f10-4441-82e0-57aa98d33b47</v>
      </c>
    </row>
    <row r="52">
      <c r="A52" s="2" t="str">
        <f>IFERROR(__xludf.DUMMYFUNCTION("""COMPUTED_VALUE"""),"2025-08-27T09:25:16.894Z")</f>
        <v>2025-08-27T09:25:16.894Z</v>
      </c>
      <c r="B52" s="2" t="str">
        <f>IFERROR(__xludf.DUMMYFUNCTION("""COMPUTED_VALUE"""),"2025-08-27T11:24:50.408+08")</f>
        <v>2025-08-27T11:24:50.408+08</v>
      </c>
      <c r="C52" s="2" t="str">
        <f>IFERROR(__xludf.DUMMYFUNCTION("""COMPUTED_VALUE"""),"2025-08-27T11:34:41.554+08")</f>
        <v>2025-08-27T11:34:41.554+08</v>
      </c>
      <c r="D52" s="2" t="str">
        <f>IFERROR(__xludf.DUMMYFUNCTION("""COMPUTED_VALUE"""),"H030829032")</f>
        <v>H030829032</v>
      </c>
      <c r="E52" s="2" t="str">
        <f>IFERROR(__xludf.DUMMYFUNCTION("""COMPUTED_VALUE"""),"J4315980")</f>
        <v>J4315980</v>
      </c>
      <c r="F52" s="2" t="str">
        <f>IFERROR(__xludf.DUMMYFUNCTION("""COMPUTED_VALUE"""),"Trixie Marie Jardeleza Saber")</f>
        <v>Trixie Marie Jardeleza Saber</v>
      </c>
      <c r="G52" s="2"/>
      <c r="H52" s="2"/>
      <c r="I52" s="2" t="str">
        <f>IFERROR(__xludf.DUMMYFUNCTION("""COMPUTED_VALUE"""),"ICM_Business_linked_launch")</f>
        <v>ICM_Business_linked_launch</v>
      </c>
      <c r="J52" s="2" t="str">
        <f>IFERROR(__xludf.DUMMYFUNCTION("""COMPUTED_VALUE"""),"uuid:90fc9d18-0476-4ba4-9f6c-793a650d3059")</f>
        <v>uuid:90fc9d18-0476-4ba4-9f6c-793a650d3059</v>
      </c>
    </row>
    <row r="53">
      <c r="A53" s="2" t="str">
        <f>IFERROR(__xludf.DUMMYFUNCTION("""COMPUTED_VALUE"""),"2025-08-27T10:17:50.463Z")</f>
        <v>2025-08-27T10:17:50.463Z</v>
      </c>
      <c r="B53" s="2" t="str">
        <f>IFERROR(__xludf.DUMMYFUNCTION("""COMPUTED_VALUE"""),"2025-08-27T10:33:00.087+08")</f>
        <v>2025-08-27T10:33:00.087+08</v>
      </c>
      <c r="C53" s="2" t="str">
        <f>IFERROR(__xludf.DUMMYFUNCTION("""COMPUTED_VALUE"""),"2025-08-27T12:43:36.980+08")</f>
        <v>2025-08-27T12:43:36.980+08</v>
      </c>
      <c r="D53" s="2" t="str">
        <f>IFERROR(__xludf.DUMMYFUNCTION("""COMPUTED_VALUE"""),"H019559024")</f>
        <v>H019559024</v>
      </c>
      <c r="E53" s="2">
        <f>IFERROR(__xludf.DUMMYFUNCTION("""COMPUTED_VALUE"""),859767.0)</f>
        <v>859767</v>
      </c>
      <c r="F53" s="2" t="str">
        <f>IFERROR(__xludf.DUMMYFUNCTION("""COMPUTED_VALUE"""),"Ramie De Pedro Jr.")</f>
        <v>Ramie De Pedro Jr.</v>
      </c>
      <c r="G53" s="2"/>
      <c r="H53" s="2"/>
      <c r="I53" s="2" t="str">
        <f>IFERROR(__xludf.DUMMYFUNCTION("""COMPUTED_VALUE"""),"ICM_Business_linked_launch")</f>
        <v>ICM_Business_linked_launch</v>
      </c>
      <c r="J53" s="2" t="str">
        <f>IFERROR(__xludf.DUMMYFUNCTION("""COMPUTED_VALUE"""),"uuid:4028e4b5-c74d-4af2-95cc-d8f8b6b87da6")</f>
        <v>uuid:4028e4b5-c74d-4af2-95cc-d8f8b6b87da6</v>
      </c>
    </row>
    <row r="54">
      <c r="A54" s="2" t="str">
        <f>IFERROR(__xludf.DUMMYFUNCTION("""COMPUTED_VALUE"""),"2025-08-27T10:17:52.033Z")</f>
        <v>2025-08-27T10:17:52.033Z</v>
      </c>
      <c r="B54" s="2" t="str">
        <f>IFERROR(__xludf.DUMMYFUNCTION("""COMPUTED_VALUE"""),"2025-08-27T14:31:53.082+08")</f>
        <v>2025-08-27T14:31:53.082+08</v>
      </c>
      <c r="C54" s="2" t="str">
        <f>IFERROR(__xludf.DUMMYFUNCTION("""COMPUTED_VALUE"""),"2025-08-27T14:34:35.015+08")</f>
        <v>2025-08-27T14:34:35.015+08</v>
      </c>
      <c r="D54" s="2" t="str">
        <f>IFERROR(__xludf.DUMMYFUNCTION("""COMPUTED_VALUE"""),"H019559025")</f>
        <v>H019559025</v>
      </c>
      <c r="E54" s="2">
        <f>IFERROR(__xludf.DUMMYFUNCTION("""COMPUTED_VALUE"""),859767.0)</f>
        <v>859767</v>
      </c>
      <c r="F54" s="2" t="str">
        <f>IFERROR(__xludf.DUMMYFUNCTION("""COMPUTED_VALUE"""),"Ramie De Pedro Jr.")</f>
        <v>Ramie De Pedro Jr.</v>
      </c>
      <c r="G54" s="2"/>
      <c r="H54" s="2"/>
      <c r="I54" s="2" t="str">
        <f>IFERROR(__xludf.DUMMYFUNCTION("""COMPUTED_VALUE"""),"ICM_Business_linked_launch")</f>
        <v>ICM_Business_linked_launch</v>
      </c>
      <c r="J54" s="2" t="str">
        <f>IFERROR(__xludf.DUMMYFUNCTION("""COMPUTED_VALUE"""),"uuid:eb329bbd-57de-4e26-8174-30bb7925612f")</f>
        <v>uuid:eb329bbd-57de-4e26-8174-30bb7925612f</v>
      </c>
    </row>
    <row r="55">
      <c r="A55" s="2" t="str">
        <f>IFERROR(__xludf.DUMMYFUNCTION("""COMPUTED_VALUE"""),"2025-08-27T10:17:53.178Z")</f>
        <v>2025-08-27T10:17:53.178Z</v>
      </c>
      <c r="B55" s="2" t="str">
        <f>IFERROR(__xludf.DUMMYFUNCTION("""COMPUTED_VALUE"""),"2025-08-27T16:26:52.421+08")</f>
        <v>2025-08-27T16:26:52.421+08</v>
      </c>
      <c r="C55" s="2" t="str">
        <f>IFERROR(__xludf.DUMMYFUNCTION("""COMPUTED_VALUE"""),"2025-08-27T17:54:56.552+08")</f>
        <v>2025-08-27T17:54:56.552+08</v>
      </c>
      <c r="D55" s="2" t="str">
        <f>IFERROR(__xludf.DUMMYFUNCTION("""COMPUTED_VALUE"""),"H019559002")</f>
        <v>H019559002</v>
      </c>
      <c r="E55" s="2">
        <f>IFERROR(__xludf.DUMMYFUNCTION("""COMPUTED_VALUE"""),859767.0)</f>
        <v>859767</v>
      </c>
      <c r="F55" s="2" t="str">
        <f>IFERROR(__xludf.DUMMYFUNCTION("""COMPUTED_VALUE"""),"Ramie De Pedro Jr.")</f>
        <v>Ramie De Pedro Jr.</v>
      </c>
      <c r="G55" s="2"/>
      <c r="H55" s="2"/>
      <c r="I55" s="2" t="str">
        <f>IFERROR(__xludf.DUMMYFUNCTION("""COMPUTED_VALUE"""),"ICM_Business_linked_launch")</f>
        <v>ICM_Business_linked_launch</v>
      </c>
      <c r="J55" s="2" t="str">
        <f>IFERROR(__xludf.DUMMYFUNCTION("""COMPUTED_VALUE"""),"uuid:4fd9c694-4826-4a7f-bc52-ebebf6342e56")</f>
        <v>uuid:4fd9c694-4826-4a7f-bc52-ebebf6342e56</v>
      </c>
    </row>
    <row r="56">
      <c r="A56" s="2" t="str">
        <f>IFERROR(__xludf.DUMMYFUNCTION("""COMPUTED_VALUE"""),"2025-08-27T10:17:53.877Z")</f>
        <v>2025-08-27T10:17:53.877Z</v>
      </c>
      <c r="B56" s="2" t="str">
        <f>IFERROR(__xludf.DUMMYFUNCTION("""COMPUTED_VALUE"""),"2025-08-27T12:11:13.896+08")</f>
        <v>2025-08-27T12:11:13.896+08</v>
      </c>
      <c r="C56" s="2" t="str">
        <f>IFERROR(__xludf.DUMMYFUNCTION("""COMPUTED_VALUE"""),"2025-08-27T12:29:51.392+08")</f>
        <v>2025-08-27T12:29:51.392+08</v>
      </c>
      <c r="D56" s="2" t="str">
        <f>IFERROR(__xludf.DUMMYFUNCTION("""COMPUTED_VALUE"""),"H019559029")</f>
        <v>H019559029</v>
      </c>
      <c r="E56" s="2">
        <f>IFERROR(__xludf.DUMMYFUNCTION("""COMPUTED_VALUE"""),859767.0)</f>
        <v>859767</v>
      </c>
      <c r="F56" s="2" t="str">
        <f>IFERROR(__xludf.DUMMYFUNCTION("""COMPUTED_VALUE"""),"Ramie De Pedro Jr.")</f>
        <v>Ramie De Pedro Jr.</v>
      </c>
      <c r="G56" s="2"/>
      <c r="H56" s="2"/>
      <c r="I56" s="2" t="str">
        <f>IFERROR(__xludf.DUMMYFUNCTION("""COMPUTED_VALUE"""),"ICM_Business_linked_launch")</f>
        <v>ICM_Business_linked_launch</v>
      </c>
      <c r="J56" s="2" t="str">
        <f>IFERROR(__xludf.DUMMYFUNCTION("""COMPUTED_VALUE"""),"uuid:30f4a196-2de4-470a-ab83-9768fdc075ee")</f>
        <v>uuid:30f4a196-2de4-470a-ab83-9768fdc075ee</v>
      </c>
    </row>
    <row r="57">
      <c r="A57" s="2" t="str">
        <f>IFERROR(__xludf.DUMMYFUNCTION("""COMPUTED_VALUE"""),"2025-08-27T10:27:19.674Z")</f>
        <v>2025-08-27T10:27:19.674Z</v>
      </c>
      <c r="B57" s="2" t="str">
        <f>IFERROR(__xludf.DUMMYFUNCTION("""COMPUTED_VALUE"""),"2025-08-27T07:52:59.569+08")</f>
        <v>2025-08-27T07:52:59.569+08</v>
      </c>
      <c r="C57" s="2" t="str">
        <f>IFERROR(__xludf.DUMMYFUNCTION("""COMPUTED_VALUE"""),"2025-08-27T08:13:43.629+08")</f>
        <v>2025-08-27T08:13:43.629+08</v>
      </c>
      <c r="D57" s="2" t="str">
        <f>IFERROR(__xludf.DUMMYFUNCTION("""COMPUTED_VALUE"""),"H030255030")</f>
        <v>H030255030</v>
      </c>
      <c r="E57" s="2" t="str">
        <f>IFERROR(__xludf.DUMMYFUNCTION("""COMPUTED_VALUE"""),"O3925718")</f>
        <v>O3925718</v>
      </c>
      <c r="F57" s="2" t="str">
        <f>IFERROR(__xludf.DUMMYFUNCTION("""COMPUTED_VALUE"""),"Adrian Montecastro Ferrer")</f>
        <v>Adrian Montecastro Ferrer</v>
      </c>
      <c r="G57" s="2"/>
      <c r="H57" s="2"/>
      <c r="I57" s="2" t="str">
        <f>IFERROR(__xludf.DUMMYFUNCTION("""COMPUTED_VALUE"""),"ICM_Business_linked_launch")</f>
        <v>ICM_Business_linked_launch</v>
      </c>
      <c r="J57" s="2" t="str">
        <f>IFERROR(__xludf.DUMMYFUNCTION("""COMPUTED_VALUE"""),"uuid:428b0707-9da1-448b-89cd-b0f59d6d7157")</f>
        <v>uuid:428b0707-9da1-448b-89cd-b0f59d6d7157</v>
      </c>
    </row>
    <row r="58">
      <c r="A58" s="2" t="str">
        <f>IFERROR(__xludf.DUMMYFUNCTION("""COMPUTED_VALUE"""),"2025-08-27T10:49:41.043Z")</f>
        <v>2025-08-27T10:49:41.043Z</v>
      </c>
      <c r="B58" s="2" t="str">
        <f>IFERROR(__xludf.DUMMYFUNCTION("""COMPUTED_VALUE"""),"2025-08-27T09:37:28.261+08")</f>
        <v>2025-08-27T09:37:28.261+08</v>
      </c>
      <c r="C58" s="2" t="str">
        <f>IFERROR(__xludf.DUMMYFUNCTION("""COMPUTED_VALUE"""),"2025-08-27T09:40:21.651+08")</f>
        <v>2025-08-27T09:40:21.651+08</v>
      </c>
      <c r="D58" s="2" t="str">
        <f>IFERROR(__xludf.DUMMYFUNCTION("""COMPUTED_VALUE"""),"H019728021")</f>
        <v>H019728021</v>
      </c>
      <c r="E58" s="2">
        <f>IFERROR(__xludf.DUMMYFUNCTION("""COMPUTED_VALUE"""),841329.0)</f>
        <v>841329</v>
      </c>
      <c r="F58" s="2" t="str">
        <f>IFERROR(__xludf.DUMMYFUNCTION("""COMPUTED_VALUE"""),"Aila Eli")</f>
        <v>Aila Eli</v>
      </c>
      <c r="G58" s="2"/>
      <c r="H58" s="2"/>
      <c r="I58" s="2" t="str">
        <f>IFERROR(__xludf.DUMMYFUNCTION("""COMPUTED_VALUE"""),"ICM_Business_linked_launch")</f>
        <v>ICM_Business_linked_launch</v>
      </c>
      <c r="J58" s="2" t="str">
        <f>IFERROR(__xludf.DUMMYFUNCTION("""COMPUTED_VALUE"""),"uuid:c243d349-d5df-45e6-8b67-89219c8c1aca")</f>
        <v>uuid:c243d349-d5df-45e6-8b67-89219c8c1aca</v>
      </c>
    </row>
    <row r="59">
      <c r="A59" s="2" t="str">
        <f>IFERROR(__xludf.DUMMYFUNCTION("""COMPUTED_VALUE"""),"2025-08-27T10:49:41.867Z")</f>
        <v>2025-08-27T10:49:41.867Z</v>
      </c>
      <c r="B59" s="2" t="str">
        <f>IFERROR(__xludf.DUMMYFUNCTION("""COMPUTED_VALUE"""),"2025-08-27T11:51:38.554+08")</f>
        <v>2025-08-27T11:51:38.554+08</v>
      </c>
      <c r="C59" s="2" t="str">
        <f>IFERROR(__xludf.DUMMYFUNCTION("""COMPUTED_VALUE"""),"2025-08-27T12:03:14.502+08")</f>
        <v>2025-08-27T12:03:14.502+08</v>
      </c>
      <c r="D59" s="2" t="str">
        <f>IFERROR(__xludf.DUMMYFUNCTION("""COMPUTED_VALUE"""),"H019728020")</f>
        <v>H019728020</v>
      </c>
      <c r="E59" s="2">
        <f>IFERROR(__xludf.DUMMYFUNCTION("""COMPUTED_VALUE"""),841329.0)</f>
        <v>841329</v>
      </c>
      <c r="F59" s="2" t="str">
        <f>IFERROR(__xludf.DUMMYFUNCTION("""COMPUTED_VALUE"""),"Aila Eli")</f>
        <v>Aila Eli</v>
      </c>
      <c r="G59" s="2"/>
      <c r="H59" s="2"/>
      <c r="I59" s="2" t="str">
        <f>IFERROR(__xludf.DUMMYFUNCTION("""COMPUTED_VALUE"""),"ICM_Business_linked_launch")</f>
        <v>ICM_Business_linked_launch</v>
      </c>
      <c r="J59" s="2" t="str">
        <f>IFERROR(__xludf.DUMMYFUNCTION("""COMPUTED_VALUE"""),"uuid:20e89d5d-672b-4276-8b57-b7aaf8c03aaf")</f>
        <v>uuid:20e89d5d-672b-4276-8b57-b7aaf8c03aaf</v>
      </c>
    </row>
    <row r="60">
      <c r="A60" s="2" t="str">
        <f>IFERROR(__xludf.DUMMYFUNCTION("""COMPUTED_VALUE"""),"2025-08-27T10:49:41.527Z")</f>
        <v>2025-08-27T10:49:41.527Z</v>
      </c>
      <c r="B60" s="2" t="str">
        <f>IFERROR(__xludf.DUMMYFUNCTION("""COMPUTED_VALUE"""),"2025-08-27T10:39:21.507+08")</f>
        <v>2025-08-27T10:39:21.507+08</v>
      </c>
      <c r="C60" s="2" t="str">
        <f>IFERROR(__xludf.DUMMYFUNCTION("""COMPUTED_VALUE"""),"2025-08-27T10:57:33.818+08")</f>
        <v>2025-08-27T10:57:33.818+08</v>
      </c>
      <c r="D60" s="2" t="str">
        <f>IFERROR(__xludf.DUMMYFUNCTION("""COMPUTED_VALUE"""),"H019728018")</f>
        <v>H019728018</v>
      </c>
      <c r="E60" s="2">
        <f>IFERROR(__xludf.DUMMYFUNCTION("""COMPUTED_VALUE"""),841329.0)</f>
        <v>841329</v>
      </c>
      <c r="F60" s="2" t="str">
        <f>IFERROR(__xludf.DUMMYFUNCTION("""COMPUTED_VALUE"""),"Aila Eli")</f>
        <v>Aila Eli</v>
      </c>
      <c r="G60" s="2"/>
      <c r="H60" s="2"/>
      <c r="I60" s="2" t="str">
        <f>IFERROR(__xludf.DUMMYFUNCTION("""COMPUTED_VALUE"""),"ICM_Business_linked_launch")</f>
        <v>ICM_Business_linked_launch</v>
      </c>
      <c r="J60" s="2" t="str">
        <f>IFERROR(__xludf.DUMMYFUNCTION("""COMPUTED_VALUE"""),"uuid:51d8c4df-bdce-444e-9ccc-b0b06e5c9a6e")</f>
        <v>uuid:51d8c4df-bdce-444e-9ccc-b0b06e5c9a6e</v>
      </c>
    </row>
    <row r="61">
      <c r="A61" s="2" t="str">
        <f>IFERROR(__xludf.DUMMYFUNCTION("""COMPUTED_VALUE"""),"2025-08-27T10:49:43.153Z")</f>
        <v>2025-08-27T10:49:43.153Z</v>
      </c>
      <c r="B61" s="2" t="str">
        <f>IFERROR(__xludf.DUMMYFUNCTION("""COMPUTED_VALUE"""),"2025-08-27T14:42:51.246+08")</f>
        <v>2025-08-27T14:42:51.246+08</v>
      </c>
      <c r="C61" s="2" t="str">
        <f>IFERROR(__xludf.DUMMYFUNCTION("""COMPUTED_VALUE"""),"2025-08-27T14:56:22.389+08")</f>
        <v>2025-08-27T14:56:22.389+08</v>
      </c>
      <c r="D61" s="2" t="str">
        <f>IFERROR(__xludf.DUMMYFUNCTION("""COMPUTED_VALUE"""),"H019728032")</f>
        <v>H019728032</v>
      </c>
      <c r="E61" s="2">
        <f>IFERROR(__xludf.DUMMYFUNCTION("""COMPUTED_VALUE"""),841329.0)</f>
        <v>841329</v>
      </c>
      <c r="F61" s="2" t="str">
        <f>IFERROR(__xludf.DUMMYFUNCTION("""COMPUTED_VALUE"""),"Aila Eli")</f>
        <v>Aila Eli</v>
      </c>
      <c r="G61" s="2"/>
      <c r="H61" s="2"/>
      <c r="I61" s="2" t="str">
        <f>IFERROR(__xludf.DUMMYFUNCTION("""COMPUTED_VALUE"""),"ICM_Business_linked_launch")</f>
        <v>ICM_Business_linked_launch</v>
      </c>
      <c r="J61" s="2" t="str">
        <f>IFERROR(__xludf.DUMMYFUNCTION("""COMPUTED_VALUE"""),"uuid:ee0f1d48-ca82-48f1-960d-d2bf161af011")</f>
        <v>uuid:ee0f1d48-ca82-48f1-960d-d2bf161af011</v>
      </c>
    </row>
    <row r="62">
      <c r="A62" s="2" t="str">
        <f>IFERROR(__xludf.DUMMYFUNCTION("""COMPUTED_VALUE"""),"2025-08-27T10:49:42.814Z")</f>
        <v>2025-08-27T10:49:42.814Z</v>
      </c>
      <c r="B62" s="2" t="str">
        <f>IFERROR(__xludf.DUMMYFUNCTION("""COMPUTED_VALUE"""),"2025-08-27T13:02:42.574+08")</f>
        <v>2025-08-27T13:02:42.574+08</v>
      </c>
      <c r="C62" s="2" t="str">
        <f>IFERROR(__xludf.DUMMYFUNCTION("""COMPUTED_VALUE"""),"2025-08-27T13:08:03.991+08")</f>
        <v>2025-08-27T13:08:03.991+08</v>
      </c>
      <c r="D62" s="2" t="str">
        <f>IFERROR(__xludf.DUMMYFUNCTION("""COMPUTED_VALUE"""),"H019728027")</f>
        <v>H019728027</v>
      </c>
      <c r="E62" s="2">
        <f>IFERROR(__xludf.DUMMYFUNCTION("""COMPUTED_VALUE"""),841329.0)</f>
        <v>841329</v>
      </c>
      <c r="F62" s="2" t="str">
        <f>IFERROR(__xludf.DUMMYFUNCTION("""COMPUTED_VALUE"""),"Aila Eli")</f>
        <v>Aila Eli</v>
      </c>
      <c r="G62" s="2"/>
      <c r="H62" s="2"/>
      <c r="I62" s="2" t="str">
        <f>IFERROR(__xludf.DUMMYFUNCTION("""COMPUTED_VALUE"""),"ICM_Business_linked_launch")</f>
        <v>ICM_Business_linked_launch</v>
      </c>
      <c r="J62" s="2" t="str">
        <f>IFERROR(__xludf.DUMMYFUNCTION("""COMPUTED_VALUE"""),"uuid:fd4fecbe-6f97-47e1-b3f0-fc6aef754c99")</f>
        <v>uuid:fd4fecbe-6f97-47e1-b3f0-fc6aef754c99</v>
      </c>
    </row>
    <row r="63">
      <c r="A63" s="2" t="str">
        <f>IFERROR(__xludf.DUMMYFUNCTION("""COMPUTED_VALUE"""),"2025-08-27T10:52:08.346Z")</f>
        <v>2025-08-27T10:52:08.346Z</v>
      </c>
      <c r="B63" s="2" t="str">
        <f>IFERROR(__xludf.DUMMYFUNCTION("""COMPUTED_VALUE"""),"2025-08-27T09:47:00.475+08")</f>
        <v>2025-08-27T09:47:00.475+08</v>
      </c>
      <c r="C63" s="2" t="str">
        <f>IFERROR(__xludf.DUMMYFUNCTION("""COMPUTED_VALUE"""),"2025-08-27T09:51:54.756+08")</f>
        <v>2025-08-27T09:51:54.756+08</v>
      </c>
      <c r="D63" s="2" t="str">
        <f>IFERROR(__xludf.DUMMYFUNCTION("""COMPUTED_VALUE"""),"H019728031")</f>
        <v>H019728031</v>
      </c>
      <c r="E63" s="2">
        <f>IFERROR(__xludf.DUMMYFUNCTION("""COMPUTED_VALUE"""),455939.0)</f>
        <v>455939</v>
      </c>
      <c r="F63" s="2" t="str">
        <f>IFERROR(__xludf.DUMMYFUNCTION("""COMPUTED_VALUE"""),"Mary Jean Villaflor (duplicate name received from ICM_follow_up_launch on August 26, 2025 11:49 UTC+00:00; submission key: uuid:58eb9512-174e-4e57-ac68-bdc54e35ccff)")</f>
        <v>Mary Jean Villaflor (duplicate name received from ICM_follow_up_launch on August 26, 2025 11:49 UTC+00:00; submission key: uuid:58eb9512-174e-4e57-ac68-bdc54e35ccff)</v>
      </c>
      <c r="G63" s="2"/>
      <c r="H63" s="2"/>
      <c r="I63" s="2" t="str">
        <f>IFERROR(__xludf.DUMMYFUNCTION("""COMPUTED_VALUE"""),"ICM_Business_linked_launch")</f>
        <v>ICM_Business_linked_launch</v>
      </c>
      <c r="J63" s="2" t="str">
        <f>IFERROR(__xludf.DUMMYFUNCTION("""COMPUTED_VALUE"""),"uuid:9905dfeb-bab5-4378-85d9-c088e557f562")</f>
        <v>uuid:9905dfeb-bab5-4378-85d9-c088e557f562</v>
      </c>
    </row>
    <row r="64">
      <c r="A64" s="2" t="str">
        <f>IFERROR(__xludf.DUMMYFUNCTION("""COMPUTED_VALUE"""),"2025-08-27T10:52:09.176Z")</f>
        <v>2025-08-27T10:52:09.176Z</v>
      </c>
      <c r="B64" s="2" t="str">
        <f>IFERROR(__xludf.DUMMYFUNCTION("""COMPUTED_VALUE"""),"2025-08-27T10:32:53.992+08")</f>
        <v>2025-08-27T10:32:53.992+08</v>
      </c>
      <c r="C64" s="2" t="str">
        <f>IFERROR(__xludf.DUMMYFUNCTION("""COMPUTED_VALUE"""),"2025-08-27T10:40:24.186+08")</f>
        <v>2025-08-27T10:40:24.186+08</v>
      </c>
      <c r="D64" s="2" t="str">
        <f>IFERROR(__xludf.DUMMYFUNCTION("""COMPUTED_VALUE"""),"H019728035")</f>
        <v>H019728035</v>
      </c>
      <c r="E64" s="2">
        <f>IFERROR(__xludf.DUMMYFUNCTION("""COMPUTED_VALUE"""),455939.0)</f>
        <v>455939</v>
      </c>
      <c r="F64" s="2" t="str">
        <f>IFERROR(__xludf.DUMMYFUNCTION("""COMPUTED_VALUE"""),"Mary Jean Villaflor (duplicate name received from ICM_follow_up_launch on August 26, 2025 11:49 UTC+00:00; submission key: uuid:58eb9512-174e-4e57-ac68-bdc54e35ccff)")</f>
        <v>Mary Jean Villaflor (duplicate name received from ICM_follow_up_launch on August 26, 2025 11:49 UTC+00:00; submission key: uuid:58eb9512-174e-4e57-ac68-bdc54e35ccff)</v>
      </c>
      <c r="G64" s="2"/>
      <c r="H64" s="2"/>
      <c r="I64" s="2" t="str">
        <f>IFERROR(__xludf.DUMMYFUNCTION("""COMPUTED_VALUE"""),"ICM_Business_linked_launch")</f>
        <v>ICM_Business_linked_launch</v>
      </c>
      <c r="J64" s="2" t="str">
        <f>IFERROR(__xludf.DUMMYFUNCTION("""COMPUTED_VALUE"""),"uuid:31c86801-6ffe-4b92-a714-55ae7a000686")</f>
        <v>uuid:31c86801-6ffe-4b92-a714-55ae7a000686</v>
      </c>
    </row>
    <row r="65">
      <c r="A65" s="2" t="str">
        <f>IFERROR(__xludf.DUMMYFUNCTION("""COMPUTED_VALUE"""),"2025-08-27T10:52:09.829Z")</f>
        <v>2025-08-27T10:52:09.829Z</v>
      </c>
      <c r="B65" s="2" t="str">
        <f>IFERROR(__xludf.DUMMYFUNCTION("""COMPUTED_VALUE"""),"2025-08-27T11:18:40.082+08")</f>
        <v>2025-08-27T11:18:40.082+08</v>
      </c>
      <c r="C65" s="2" t="str">
        <f>IFERROR(__xludf.DUMMYFUNCTION("""COMPUTED_VALUE"""),"2025-08-27T11:25:15.575+08")</f>
        <v>2025-08-27T11:25:15.575+08</v>
      </c>
      <c r="D65" s="2" t="str">
        <f>IFERROR(__xludf.DUMMYFUNCTION("""COMPUTED_VALUE"""),"H019728034")</f>
        <v>H019728034</v>
      </c>
      <c r="E65" s="2">
        <f>IFERROR(__xludf.DUMMYFUNCTION("""COMPUTED_VALUE"""),455939.0)</f>
        <v>455939</v>
      </c>
      <c r="F65" s="2" t="str">
        <f>IFERROR(__xludf.DUMMYFUNCTION("""COMPUTED_VALUE"""),"Mary Jean Villaflor (duplicate name received from ICM_follow_up_launch on August 26, 2025 11:49 UTC+00:00; submission key: uuid:58eb9512-174e-4e57-ac68-bdc54e35ccff)")</f>
        <v>Mary Jean Villaflor (duplicate name received from ICM_follow_up_launch on August 26, 2025 11:49 UTC+00:00; submission key: uuid:58eb9512-174e-4e57-ac68-bdc54e35ccff)</v>
      </c>
      <c r="G65" s="2"/>
      <c r="H65" s="2"/>
      <c r="I65" s="2" t="str">
        <f>IFERROR(__xludf.DUMMYFUNCTION("""COMPUTED_VALUE"""),"ICM_Business_linked_launch")</f>
        <v>ICM_Business_linked_launch</v>
      </c>
      <c r="J65" s="2" t="str">
        <f>IFERROR(__xludf.DUMMYFUNCTION("""COMPUTED_VALUE"""),"uuid:ddcf4ff6-a85d-4a2b-a824-827f7b7dcab4")</f>
        <v>uuid:ddcf4ff6-a85d-4a2b-a824-827f7b7dcab4</v>
      </c>
    </row>
    <row r="66">
      <c r="A66" s="2" t="str">
        <f>IFERROR(__xludf.DUMMYFUNCTION("""COMPUTED_VALUE"""),"2025-08-27T10:52:10.625Z")</f>
        <v>2025-08-27T10:52:10.625Z</v>
      </c>
      <c r="B66" s="2" t="str">
        <f>IFERROR(__xludf.DUMMYFUNCTION("""COMPUTED_VALUE"""),"2025-08-27T12:09:36.309+08")</f>
        <v>2025-08-27T12:09:36.309+08</v>
      </c>
      <c r="C66" s="2" t="str">
        <f>IFERROR(__xludf.DUMMYFUNCTION("""COMPUTED_VALUE"""),"2025-08-27T12:12:58.847+08")</f>
        <v>2025-08-27T12:12:58.847+08</v>
      </c>
      <c r="D66" s="2" t="str">
        <f>IFERROR(__xludf.DUMMYFUNCTION("""COMPUTED_VALUE"""),"H019728023")</f>
        <v>H019728023</v>
      </c>
      <c r="E66" s="2">
        <f>IFERROR(__xludf.DUMMYFUNCTION("""COMPUTED_VALUE"""),455939.0)</f>
        <v>455939</v>
      </c>
      <c r="F66" s="2" t="str">
        <f>IFERROR(__xludf.DUMMYFUNCTION("""COMPUTED_VALUE"""),"Mary Jean Villaflor (duplicate name received from ICM_follow_up_launch on August 26, 2025 11:49 UTC+00:00; submission key: uuid:58eb9512-174e-4e57-ac68-bdc54e35ccff)")</f>
        <v>Mary Jean Villaflor (duplicate name received from ICM_follow_up_launch on August 26, 2025 11:49 UTC+00:00; submission key: uuid:58eb9512-174e-4e57-ac68-bdc54e35ccff)</v>
      </c>
      <c r="G66" s="2"/>
      <c r="H66" s="2"/>
      <c r="I66" s="2" t="str">
        <f>IFERROR(__xludf.DUMMYFUNCTION("""COMPUTED_VALUE"""),"ICM_Business_linked_launch")</f>
        <v>ICM_Business_linked_launch</v>
      </c>
      <c r="J66" s="2" t="str">
        <f>IFERROR(__xludf.DUMMYFUNCTION("""COMPUTED_VALUE"""),"uuid:24f04f73-3f56-47f9-9b02-808a9cacf17c")</f>
        <v>uuid:24f04f73-3f56-47f9-9b02-808a9cacf17c</v>
      </c>
    </row>
    <row r="67">
      <c r="A67" s="2" t="str">
        <f>IFERROR(__xludf.DUMMYFUNCTION("""COMPUTED_VALUE"""),"2025-08-27T11:05:43.393Z")</f>
        <v>2025-08-27T11:05:43.393Z</v>
      </c>
      <c r="B67" s="2" t="str">
        <f>IFERROR(__xludf.DUMMYFUNCTION("""COMPUTED_VALUE"""),"2025-08-27T09:40:38.478+08")</f>
        <v>2025-08-27T09:40:38.478+08</v>
      </c>
      <c r="C67" s="2" t="str">
        <f>IFERROR(__xludf.DUMMYFUNCTION("""COMPUTED_VALUE"""),"2025-08-27T09:48:29.931+08")</f>
        <v>2025-08-27T09:48:29.931+08</v>
      </c>
      <c r="D67" s="2" t="str">
        <f>IFERROR(__xludf.DUMMYFUNCTION("""COMPUTED_VALUE"""),"H030829028")</f>
        <v>H030829028</v>
      </c>
      <c r="E67" s="2" t="str">
        <f>IFERROR(__xludf.DUMMYFUNCTION("""COMPUTED_VALUE"""),"L2057896")</f>
        <v>L2057896</v>
      </c>
      <c r="F67" s="2" t="str">
        <f>IFERROR(__xludf.DUMMYFUNCTION("""COMPUTED_VALUE"""),"Franz Reoben Posadas Geneblaza")</f>
        <v>Franz Reoben Posadas Geneblaza</v>
      </c>
      <c r="G67" s="2"/>
      <c r="H67" s="2"/>
      <c r="I67" s="2" t="str">
        <f>IFERROR(__xludf.DUMMYFUNCTION("""COMPUTED_VALUE"""),"ICM_Business_linked_launch")</f>
        <v>ICM_Business_linked_launch</v>
      </c>
      <c r="J67" s="2" t="str">
        <f>IFERROR(__xludf.DUMMYFUNCTION("""COMPUTED_VALUE"""),"uuid:712d68a3-523a-4ef0-9b87-09ffdca919c6")</f>
        <v>uuid:712d68a3-523a-4ef0-9b87-09ffdca919c6</v>
      </c>
    </row>
    <row r="68">
      <c r="A68" s="2" t="str">
        <f>IFERROR(__xludf.DUMMYFUNCTION("""COMPUTED_VALUE"""),"2025-08-27T11:05:44.238Z")</f>
        <v>2025-08-27T11:05:44.238Z</v>
      </c>
      <c r="B68" s="2" t="str">
        <f>IFERROR(__xludf.DUMMYFUNCTION("""COMPUTED_VALUE"""),"2025-08-27T11:08:17.423+08")</f>
        <v>2025-08-27T11:08:17.423+08</v>
      </c>
      <c r="C68" s="2" t="str">
        <f>IFERROR(__xludf.DUMMYFUNCTION("""COMPUTED_VALUE"""),"2025-08-27T11:26:47.704+08")</f>
        <v>2025-08-27T11:26:47.704+08</v>
      </c>
      <c r="D68" s="2" t="str">
        <f>IFERROR(__xludf.DUMMYFUNCTION("""COMPUTED_VALUE"""),"H030829034")</f>
        <v>H030829034</v>
      </c>
      <c r="E68" s="2" t="str">
        <f>IFERROR(__xludf.DUMMYFUNCTION("""COMPUTED_VALUE"""),"L2057896")</f>
        <v>L2057896</v>
      </c>
      <c r="F68" s="2" t="str">
        <f>IFERROR(__xludf.DUMMYFUNCTION("""COMPUTED_VALUE"""),"Franz Reoben Posadas Geneblaza")</f>
        <v>Franz Reoben Posadas Geneblaza</v>
      </c>
      <c r="G68" s="2"/>
      <c r="H68" s="2"/>
      <c r="I68" s="2" t="str">
        <f>IFERROR(__xludf.DUMMYFUNCTION("""COMPUTED_VALUE"""),"ICM_Business_linked_launch")</f>
        <v>ICM_Business_linked_launch</v>
      </c>
      <c r="J68" s="2" t="str">
        <f>IFERROR(__xludf.DUMMYFUNCTION("""COMPUTED_VALUE"""),"uuid:3303fa39-f454-43ae-a864-4d0845b049bc")</f>
        <v>uuid:3303fa39-f454-43ae-a864-4d0845b049bc</v>
      </c>
    </row>
    <row r="69">
      <c r="A69" s="2" t="str">
        <f>IFERROR(__xludf.DUMMYFUNCTION("""COMPUTED_VALUE"""),"2025-08-27T11:05:44.884Z")</f>
        <v>2025-08-27T11:05:44.884Z</v>
      </c>
      <c r="B69" s="2" t="str">
        <f>IFERROR(__xludf.DUMMYFUNCTION("""COMPUTED_VALUE"""),"2025-08-27T13:00:01.506+08")</f>
        <v>2025-08-27T13:00:01.506+08</v>
      </c>
      <c r="C69" s="2" t="str">
        <f>IFERROR(__xludf.DUMMYFUNCTION("""COMPUTED_VALUE"""),"2025-08-27T13:15:43.366+08")</f>
        <v>2025-08-27T13:15:43.366+08</v>
      </c>
      <c r="D69" s="2" t="str">
        <f>IFERROR(__xludf.DUMMYFUNCTION("""COMPUTED_VALUE"""),"H030829020")</f>
        <v>H030829020</v>
      </c>
      <c r="E69" s="2" t="str">
        <f>IFERROR(__xludf.DUMMYFUNCTION("""COMPUTED_VALUE"""),"L2057896")</f>
        <v>L2057896</v>
      </c>
      <c r="F69" s="2" t="str">
        <f>IFERROR(__xludf.DUMMYFUNCTION("""COMPUTED_VALUE"""),"Franz Reoben Posadas Geneblaza")</f>
        <v>Franz Reoben Posadas Geneblaza</v>
      </c>
      <c r="G69" s="2"/>
      <c r="H69" s="2"/>
      <c r="I69" s="2" t="str">
        <f>IFERROR(__xludf.DUMMYFUNCTION("""COMPUTED_VALUE"""),"ICM_Business_linked_launch")</f>
        <v>ICM_Business_linked_launch</v>
      </c>
      <c r="J69" s="2" t="str">
        <f>IFERROR(__xludf.DUMMYFUNCTION("""COMPUTED_VALUE"""),"uuid:f24e6c72-2783-4ae3-b731-137503b96b13")</f>
        <v>uuid:f24e6c72-2783-4ae3-b731-137503b96b13</v>
      </c>
    </row>
    <row r="70">
      <c r="A70" s="2" t="str">
        <f>IFERROR(__xludf.DUMMYFUNCTION("""COMPUTED_VALUE"""),"2025-08-27T11:11:45.033Z")</f>
        <v>2025-08-27T11:11:45.033Z</v>
      </c>
      <c r="B70" s="2" t="str">
        <f>IFERROR(__xludf.DUMMYFUNCTION("""COMPUTED_VALUE"""),"2025-08-27T09:25:24.257+08")</f>
        <v>2025-08-27T09:25:24.257+08</v>
      </c>
      <c r="C70" s="2" t="str">
        <f>IFERROR(__xludf.DUMMYFUNCTION("""COMPUTED_VALUE"""),"2025-08-27T09:29:01.834+08")</f>
        <v>2025-08-27T09:29:01.834+08</v>
      </c>
      <c r="D70" s="2" t="str">
        <f>IFERROR(__xludf.DUMMYFUNCTION("""COMPUTED_VALUE"""),"H019728024")</f>
        <v>H019728024</v>
      </c>
      <c r="E70" s="2">
        <f>IFERROR(__xludf.DUMMYFUNCTION("""COMPUTED_VALUE"""),555127.0)</f>
        <v>555127</v>
      </c>
      <c r="F70" s="2" t="str">
        <f>IFERROR(__xludf.DUMMYFUNCTION("""COMPUTED_VALUE"""),"Mary May")</f>
        <v>Mary May</v>
      </c>
      <c r="G70" s="2"/>
      <c r="H70" s="2"/>
      <c r="I70" s="2" t="str">
        <f>IFERROR(__xludf.DUMMYFUNCTION("""COMPUTED_VALUE"""),"ICM_Business_linked_launch")</f>
        <v>ICM_Business_linked_launch</v>
      </c>
      <c r="J70" s="2" t="str">
        <f>IFERROR(__xludf.DUMMYFUNCTION("""COMPUTED_VALUE"""),"uuid:0af5ff16-528c-4e17-ad50-4f9bc4643dc9")</f>
        <v>uuid:0af5ff16-528c-4e17-ad50-4f9bc4643dc9</v>
      </c>
    </row>
    <row r="71">
      <c r="A71" s="2" t="str">
        <f>IFERROR(__xludf.DUMMYFUNCTION("""COMPUTED_VALUE"""),"2025-08-27T11:11:45.686Z")</f>
        <v>2025-08-27T11:11:45.686Z</v>
      </c>
      <c r="B71" s="2" t="str">
        <f>IFERROR(__xludf.DUMMYFUNCTION("""COMPUTED_VALUE"""),"2025-08-27T11:18:28.510+08")</f>
        <v>2025-08-27T11:18:28.510+08</v>
      </c>
      <c r="C71" s="2" t="str">
        <f>IFERROR(__xludf.DUMMYFUNCTION("""COMPUTED_VALUE"""),"2025-08-27T11:23:27.934+08")</f>
        <v>2025-08-27T11:23:27.934+08</v>
      </c>
      <c r="D71" s="2" t="str">
        <f>IFERROR(__xludf.DUMMYFUNCTION("""COMPUTED_VALUE"""),"H019728030")</f>
        <v>H019728030</v>
      </c>
      <c r="E71" s="2">
        <f>IFERROR(__xludf.DUMMYFUNCTION("""COMPUTED_VALUE"""),555127.0)</f>
        <v>555127</v>
      </c>
      <c r="F71" s="2" t="str">
        <f>IFERROR(__xludf.DUMMYFUNCTION("""COMPUTED_VALUE"""),"Mary May")</f>
        <v>Mary May</v>
      </c>
      <c r="G71" s="2"/>
      <c r="H71" s="2"/>
      <c r="I71" s="2" t="str">
        <f>IFERROR(__xludf.DUMMYFUNCTION("""COMPUTED_VALUE"""),"ICM_Business_linked_launch")</f>
        <v>ICM_Business_linked_launch</v>
      </c>
      <c r="J71" s="2" t="str">
        <f>IFERROR(__xludf.DUMMYFUNCTION("""COMPUTED_VALUE"""),"uuid:070c9208-f26c-4823-83d1-85b1782d5734")</f>
        <v>uuid:070c9208-f26c-4823-83d1-85b1782d5734</v>
      </c>
    </row>
    <row r="72">
      <c r="A72" s="2" t="str">
        <f>IFERROR(__xludf.DUMMYFUNCTION("""COMPUTED_VALUE"""),"2025-08-27T11:11:46.070Z")</f>
        <v>2025-08-27T11:11:46.070Z</v>
      </c>
      <c r="B72" s="2" t="str">
        <f>IFERROR(__xludf.DUMMYFUNCTION("""COMPUTED_VALUE"""),"2025-08-27T17:23:36.132+08")</f>
        <v>2025-08-27T17:23:36.132+08</v>
      </c>
      <c r="C72" s="2" t="str">
        <f>IFERROR(__xludf.DUMMYFUNCTION("""COMPUTED_VALUE"""),"2025-08-27T19:09:40.385+08")</f>
        <v>2025-08-27T19:09:40.385+08</v>
      </c>
      <c r="D72" s="2" t="str">
        <f>IFERROR(__xludf.DUMMYFUNCTION("""COMPUTED_VALUE"""),"H019728029")</f>
        <v>H019728029</v>
      </c>
      <c r="E72" s="2">
        <f>IFERROR(__xludf.DUMMYFUNCTION("""COMPUTED_VALUE"""),555127.0)</f>
        <v>555127</v>
      </c>
      <c r="F72" s="2" t="str">
        <f>IFERROR(__xludf.DUMMYFUNCTION("""COMPUTED_VALUE"""),"Mary May")</f>
        <v>Mary May</v>
      </c>
      <c r="G72" s="2"/>
      <c r="H72" s="2"/>
      <c r="I72" s="2" t="str">
        <f>IFERROR(__xludf.DUMMYFUNCTION("""COMPUTED_VALUE"""),"ICM_Business_linked_launch")</f>
        <v>ICM_Business_linked_launch</v>
      </c>
      <c r="J72" s="2" t="str">
        <f>IFERROR(__xludf.DUMMYFUNCTION("""COMPUTED_VALUE"""),"uuid:e6001f53-fb15-43c4-b826-9c1e5901ddee")</f>
        <v>uuid:e6001f53-fb15-43c4-b826-9c1e5901ddee</v>
      </c>
    </row>
    <row r="73">
      <c r="A73" s="2" t="str">
        <f>IFERROR(__xludf.DUMMYFUNCTION("""COMPUTED_VALUE"""),"2025-08-27T11:12:39.928Z")</f>
        <v>2025-08-27T11:12:39.928Z</v>
      </c>
      <c r="B73" s="2" t="str">
        <f>IFERROR(__xludf.DUMMYFUNCTION("""COMPUTED_VALUE"""),"2025-08-27T10:32:32.847+08")</f>
        <v>2025-08-27T10:32:32.847+08</v>
      </c>
      <c r="C73" s="2" t="str">
        <f>IFERROR(__xludf.DUMMYFUNCTION("""COMPUTED_VALUE"""),"2025-08-27T10:43:21.733+08")</f>
        <v>2025-08-27T10:43:21.733+08</v>
      </c>
      <c r="D73" s="2" t="str">
        <f>IFERROR(__xludf.DUMMYFUNCTION("""COMPUTED_VALUE"""),"H019505020")</f>
        <v>H019505020</v>
      </c>
      <c r="E73" s="2">
        <f>IFERROR(__xludf.DUMMYFUNCTION("""COMPUTED_VALUE"""),729375.0)</f>
        <v>729375</v>
      </c>
      <c r="F73" s="2" t="str">
        <f>IFERROR(__xludf.DUMMYFUNCTION("""COMPUTED_VALUE"""),"Janet Serafica")</f>
        <v>Janet Serafica</v>
      </c>
      <c r="G73" s="2"/>
      <c r="H73" s="2"/>
      <c r="I73" s="2" t="str">
        <f>IFERROR(__xludf.DUMMYFUNCTION("""COMPUTED_VALUE"""),"ICM_Business_linked_launch")</f>
        <v>ICM_Business_linked_launch</v>
      </c>
      <c r="J73" s="2" t="str">
        <f>IFERROR(__xludf.DUMMYFUNCTION("""COMPUTED_VALUE"""),"uuid:2c24db37-f035-4ae9-8b37-9538abc48bd7")</f>
        <v>uuid:2c24db37-f035-4ae9-8b37-9538abc48bd7</v>
      </c>
    </row>
    <row r="74">
      <c r="A74" s="2" t="str">
        <f>IFERROR(__xludf.DUMMYFUNCTION("""COMPUTED_VALUE"""),"2025-08-27T11:12:40.691Z")</f>
        <v>2025-08-27T11:12:40.691Z</v>
      </c>
      <c r="B74" s="2" t="str">
        <f>IFERROR(__xludf.DUMMYFUNCTION("""COMPUTED_VALUE"""),"2025-08-27T11:33:07.599+08")</f>
        <v>2025-08-27T11:33:07.599+08</v>
      </c>
      <c r="C74" s="2" t="str">
        <f>IFERROR(__xludf.DUMMYFUNCTION("""COMPUTED_VALUE"""),"2025-08-27T11:39:30.098+08")</f>
        <v>2025-08-27T11:39:30.098+08</v>
      </c>
      <c r="D74" s="2" t="str">
        <f>IFERROR(__xludf.DUMMYFUNCTION("""COMPUTED_VALUE"""),"H019505032")</f>
        <v>H019505032</v>
      </c>
      <c r="E74" s="2">
        <f>IFERROR(__xludf.DUMMYFUNCTION("""COMPUTED_VALUE"""),729375.0)</f>
        <v>729375</v>
      </c>
      <c r="F74" s="2" t="str">
        <f>IFERROR(__xludf.DUMMYFUNCTION("""COMPUTED_VALUE"""),"Janet Serafica")</f>
        <v>Janet Serafica</v>
      </c>
      <c r="G74" s="2"/>
      <c r="H74" s="2"/>
      <c r="I74" s="2" t="str">
        <f>IFERROR(__xludf.DUMMYFUNCTION("""COMPUTED_VALUE"""),"ICM_Business_linked_launch")</f>
        <v>ICM_Business_linked_launch</v>
      </c>
      <c r="J74" s="2" t="str">
        <f>IFERROR(__xludf.DUMMYFUNCTION("""COMPUTED_VALUE"""),"uuid:99d95dce-77f5-4ef0-96cb-a159e14c7e45")</f>
        <v>uuid:99d95dce-77f5-4ef0-96cb-a159e14c7e45</v>
      </c>
    </row>
    <row r="75">
      <c r="A75" s="2" t="str">
        <f>IFERROR(__xludf.DUMMYFUNCTION("""COMPUTED_VALUE"""),"2025-08-27T11:12:41.286Z")</f>
        <v>2025-08-27T11:12:41.286Z</v>
      </c>
      <c r="B75" s="2" t="str">
        <f>IFERROR(__xludf.DUMMYFUNCTION("""COMPUTED_VALUE"""),"2025-08-27T16:06:44.949+08")</f>
        <v>2025-08-27T16:06:44.949+08</v>
      </c>
      <c r="C75" s="2" t="str">
        <f>IFERROR(__xludf.DUMMYFUNCTION("""COMPUTED_VALUE"""),"2025-08-27T16:10:09.452+08")</f>
        <v>2025-08-27T16:10:09.452+08</v>
      </c>
      <c r="D75" s="2" t="str">
        <f>IFERROR(__xludf.DUMMYFUNCTION("""COMPUTED_VALUE"""),"H019559017")</f>
        <v>H019559017</v>
      </c>
      <c r="E75" s="2">
        <f>IFERROR(__xludf.DUMMYFUNCTION("""COMPUTED_VALUE"""),729375.0)</f>
        <v>729375</v>
      </c>
      <c r="F75" s="2" t="str">
        <f>IFERROR(__xludf.DUMMYFUNCTION("""COMPUTED_VALUE"""),"Janet Serafica")</f>
        <v>Janet Serafica</v>
      </c>
      <c r="G75" s="2"/>
      <c r="H75" s="2"/>
      <c r="I75" s="2" t="str">
        <f>IFERROR(__xludf.DUMMYFUNCTION("""COMPUTED_VALUE"""),"ICM_Business_linked_launch")</f>
        <v>ICM_Business_linked_launch</v>
      </c>
      <c r="J75" s="2" t="str">
        <f>IFERROR(__xludf.DUMMYFUNCTION("""COMPUTED_VALUE"""),"uuid:eab895c2-9c77-4841-a152-30bfcddc0fe0")</f>
        <v>uuid:eab895c2-9c77-4841-a152-30bfcddc0fe0</v>
      </c>
    </row>
    <row r="76">
      <c r="A76" s="2" t="str">
        <f>IFERROR(__xludf.DUMMYFUNCTION("""COMPUTED_VALUE"""),"2025-08-27T11:40:50.103Z")</f>
        <v>2025-08-27T11:40:50.103Z</v>
      </c>
      <c r="B76" s="2" t="str">
        <f>IFERROR(__xludf.DUMMYFUNCTION("""COMPUTED_VALUE"""),"2025-08-27T11:10:21.836+08")</f>
        <v>2025-08-27T11:10:21.836+08</v>
      </c>
      <c r="C76" s="2" t="str">
        <f>IFERROR(__xludf.DUMMYFUNCTION("""COMPUTED_VALUE"""),"2025-08-27T11:11:05.811+08")</f>
        <v>2025-08-27T11:11:05.811+08</v>
      </c>
      <c r="D76" s="2" t="str">
        <f>IFERROR(__xludf.DUMMYFUNCTION("""COMPUTED_VALUE"""),"H030821028")</f>
        <v>H030821028</v>
      </c>
      <c r="E76" s="2" t="str">
        <f>IFERROR(__xludf.DUMMYFUNCTION("""COMPUTED_VALUE"""),"H2846135")</f>
        <v>H2846135</v>
      </c>
      <c r="F76" s="2" t="str">
        <f>IFERROR(__xludf.DUMMYFUNCTION("""COMPUTED_VALUE"""),"Annalou Empanado Encontro")</f>
        <v>Annalou Empanado Encontro</v>
      </c>
      <c r="G76" s="2"/>
      <c r="H76" s="2"/>
      <c r="I76" s="2" t="str">
        <f>IFERROR(__xludf.DUMMYFUNCTION("""COMPUTED_VALUE"""),"ICM_Business_linked_launch")</f>
        <v>ICM_Business_linked_launch</v>
      </c>
      <c r="J76" s="2" t="str">
        <f>IFERROR(__xludf.DUMMYFUNCTION("""COMPUTED_VALUE"""),"uuid:3f44c224-fe08-40a8-9ac2-36f1e9814c45")</f>
        <v>uuid:3f44c224-fe08-40a8-9ac2-36f1e9814c45</v>
      </c>
    </row>
    <row r="77">
      <c r="A77" s="2" t="str">
        <f>IFERROR(__xludf.DUMMYFUNCTION("""COMPUTED_VALUE"""),"2025-08-27T11:40:51.984Z")</f>
        <v>2025-08-27T11:40:51.984Z</v>
      </c>
      <c r="B77" s="2" t="str">
        <f>IFERROR(__xludf.DUMMYFUNCTION("""COMPUTED_VALUE"""),"2025-08-27T15:44:05.486+08")</f>
        <v>2025-08-27T15:44:05.486+08</v>
      </c>
      <c r="C77" s="2" t="str">
        <f>IFERROR(__xludf.DUMMYFUNCTION("""COMPUTED_VALUE"""),"2025-08-27T15:50:37.529+08")</f>
        <v>2025-08-27T15:50:37.529+08</v>
      </c>
      <c r="D77" s="2" t="str">
        <f>IFERROR(__xludf.DUMMYFUNCTION("""COMPUTED_VALUE"""),"H030821023")</f>
        <v>H030821023</v>
      </c>
      <c r="E77" s="2" t="str">
        <f>IFERROR(__xludf.DUMMYFUNCTION("""COMPUTED_VALUE"""),"H2846135")</f>
        <v>H2846135</v>
      </c>
      <c r="F77" s="2" t="str">
        <f>IFERROR(__xludf.DUMMYFUNCTION("""COMPUTED_VALUE"""),"Annalou Empanado Encontro")</f>
        <v>Annalou Empanado Encontro</v>
      </c>
      <c r="G77" s="2"/>
      <c r="H77" s="2"/>
      <c r="I77" s="2" t="str">
        <f>IFERROR(__xludf.DUMMYFUNCTION("""COMPUTED_VALUE"""),"ICM_Business_linked_launch")</f>
        <v>ICM_Business_linked_launch</v>
      </c>
      <c r="J77" s="2" t="str">
        <f>IFERROR(__xludf.DUMMYFUNCTION("""COMPUTED_VALUE"""),"uuid:5ce3c221-046f-46af-a0fd-ad7ed5cc59d9")</f>
        <v>uuid:5ce3c221-046f-46af-a0fd-ad7ed5cc59d9</v>
      </c>
    </row>
    <row r="78">
      <c r="A78" s="2" t="str">
        <f>IFERROR(__xludf.DUMMYFUNCTION("""COMPUTED_VALUE"""),"2025-08-27T11:40:52.823Z")</f>
        <v>2025-08-27T11:40:52.823Z</v>
      </c>
      <c r="B78" s="2" t="str">
        <f>IFERROR(__xludf.DUMMYFUNCTION("""COMPUTED_VALUE"""),"2025-08-27T12:31:55.805+08")</f>
        <v>2025-08-27T12:31:55.805+08</v>
      </c>
      <c r="C78" s="2" t="str">
        <f>IFERROR(__xludf.DUMMYFUNCTION("""COMPUTED_VALUE"""),"2025-08-27T12:42:02.380+08")</f>
        <v>2025-08-27T12:42:02.380+08</v>
      </c>
      <c r="D78" s="2" t="str">
        <f>IFERROR(__xludf.DUMMYFUNCTION("""COMPUTED_VALUE"""),"H030821017")</f>
        <v>H030821017</v>
      </c>
      <c r="E78" s="2" t="str">
        <f>IFERROR(__xludf.DUMMYFUNCTION("""COMPUTED_VALUE"""),"H2846135")</f>
        <v>H2846135</v>
      </c>
      <c r="F78" s="2" t="str">
        <f>IFERROR(__xludf.DUMMYFUNCTION("""COMPUTED_VALUE"""),"Annalou Empanado Encontro")</f>
        <v>Annalou Empanado Encontro</v>
      </c>
      <c r="G78" s="2"/>
      <c r="H78" s="2"/>
      <c r="I78" s="2" t="str">
        <f>IFERROR(__xludf.DUMMYFUNCTION("""COMPUTED_VALUE"""),"ICM_Business_linked_launch")</f>
        <v>ICM_Business_linked_launch</v>
      </c>
      <c r="J78" s="2" t="str">
        <f>IFERROR(__xludf.DUMMYFUNCTION("""COMPUTED_VALUE"""),"uuid:7696b681-5444-49f0-8087-8d306bac56ef")</f>
        <v>uuid:7696b681-5444-49f0-8087-8d306bac56ef</v>
      </c>
    </row>
    <row r="79">
      <c r="A79" s="2" t="str">
        <f>IFERROR(__xludf.DUMMYFUNCTION("""COMPUTED_VALUE"""),"2025-08-27T11:40:53.573Z")</f>
        <v>2025-08-27T11:40:53.573Z</v>
      </c>
      <c r="B79" s="2" t="str">
        <f>IFERROR(__xludf.DUMMYFUNCTION("""COMPUTED_VALUE"""),"2025-08-27T09:46:25.150+08")</f>
        <v>2025-08-27T09:46:25.150+08</v>
      </c>
      <c r="C79" s="2" t="str">
        <f>IFERROR(__xludf.DUMMYFUNCTION("""COMPUTED_VALUE"""),"2025-08-27T09:58:21.064+08")</f>
        <v>2025-08-27T09:58:21.064+08</v>
      </c>
      <c r="D79" s="2" t="str">
        <f>IFERROR(__xludf.DUMMYFUNCTION("""COMPUTED_VALUE"""),"H030821034")</f>
        <v>H030821034</v>
      </c>
      <c r="E79" s="2" t="str">
        <f>IFERROR(__xludf.DUMMYFUNCTION("""COMPUTED_VALUE"""),"H2846135")</f>
        <v>H2846135</v>
      </c>
      <c r="F79" s="2" t="str">
        <f>IFERROR(__xludf.DUMMYFUNCTION("""COMPUTED_VALUE"""),"Annalou Empanado Encontro")</f>
        <v>Annalou Empanado Encontro</v>
      </c>
      <c r="G79" s="2"/>
      <c r="H79" s="2"/>
      <c r="I79" s="2" t="str">
        <f>IFERROR(__xludf.DUMMYFUNCTION("""COMPUTED_VALUE"""),"ICM_Business_linked_launch")</f>
        <v>ICM_Business_linked_launch</v>
      </c>
      <c r="J79" s="2" t="str">
        <f>IFERROR(__xludf.DUMMYFUNCTION("""COMPUTED_VALUE"""),"uuid:65cbf368-55b4-4e5b-b0ec-2909ec9005f8")</f>
        <v>uuid:65cbf368-55b4-4e5b-b0ec-2909ec9005f8</v>
      </c>
    </row>
    <row r="80">
      <c r="A80" s="2" t="str">
        <f>IFERROR(__xludf.DUMMYFUNCTION("""COMPUTED_VALUE"""),"2025-08-27T11:49:13.529Z")</f>
        <v>2025-08-27T11:49:13.529Z</v>
      </c>
      <c r="B80" s="2" t="str">
        <f>IFERROR(__xludf.DUMMYFUNCTION("""COMPUTED_VALUE"""),"2025-08-27T11:56:27.189+08")</f>
        <v>2025-08-27T11:56:27.189+08</v>
      </c>
      <c r="C80" s="2" t="str">
        <f>IFERROR(__xludf.DUMMYFUNCTION("""COMPUTED_VALUE"""),"2025-08-27T12:07:02.360+08")</f>
        <v>2025-08-27T12:07:02.360+08</v>
      </c>
      <c r="D80" s="2" t="str">
        <f>IFERROR(__xludf.DUMMYFUNCTION("""COMPUTED_VALUE"""),"H019505026")</f>
        <v>H019505026</v>
      </c>
      <c r="E80" s="2" t="str">
        <f>IFERROR(__xludf.DUMMYFUNCTION("""COMPUTED_VALUE"""),"S2671943")</f>
        <v>S2671943</v>
      </c>
      <c r="F80" s="2" t="str">
        <f>IFERROR(__xludf.DUMMYFUNCTION("""COMPUTED_VALUE"""),"Marvin Mondia")</f>
        <v>Marvin Mondia</v>
      </c>
      <c r="G80" s="2"/>
      <c r="H80" s="2"/>
      <c r="I80" s="2" t="str">
        <f>IFERROR(__xludf.DUMMYFUNCTION("""COMPUTED_VALUE"""),"ICM_Business_linked_launch")</f>
        <v>ICM_Business_linked_launch</v>
      </c>
      <c r="J80" s="2" t="str">
        <f>IFERROR(__xludf.DUMMYFUNCTION("""COMPUTED_VALUE"""),"uuid:71486a5e-f8df-4675-a43a-9705b0f04eaa")</f>
        <v>uuid:71486a5e-f8df-4675-a43a-9705b0f04eaa</v>
      </c>
    </row>
    <row r="81">
      <c r="A81" s="2" t="str">
        <f>IFERROR(__xludf.DUMMYFUNCTION("""COMPUTED_VALUE"""),"2025-08-27T11:49:14.782Z")</f>
        <v>2025-08-27T11:49:14.782Z</v>
      </c>
      <c r="B81" s="2" t="str">
        <f>IFERROR(__xludf.DUMMYFUNCTION("""COMPUTED_VALUE"""),"2025-08-27T09:00:43.923+08")</f>
        <v>2025-08-27T09:00:43.923+08</v>
      </c>
      <c r="C81" s="2" t="str">
        <f>IFERROR(__xludf.DUMMYFUNCTION("""COMPUTED_VALUE"""),"2025-08-27T19:44:29.903+08")</f>
        <v>2025-08-27T19:44:29.903+08</v>
      </c>
      <c r="D81" s="2" t="str">
        <f>IFERROR(__xludf.DUMMYFUNCTION("""COMPUTED_VALUE"""),"H019505011")</f>
        <v>H019505011</v>
      </c>
      <c r="E81" s="2" t="str">
        <f>IFERROR(__xludf.DUMMYFUNCTION("""COMPUTED_VALUE"""),"S2671943")</f>
        <v>S2671943</v>
      </c>
      <c r="F81" s="2" t="str">
        <f>IFERROR(__xludf.DUMMYFUNCTION("""COMPUTED_VALUE"""),"Marvin Mondia")</f>
        <v>Marvin Mondia</v>
      </c>
      <c r="G81" s="2"/>
      <c r="H81" s="2"/>
      <c r="I81" s="2" t="str">
        <f>IFERROR(__xludf.DUMMYFUNCTION("""COMPUTED_VALUE"""),"ICM_Business_linked_launch")</f>
        <v>ICM_Business_linked_launch</v>
      </c>
      <c r="J81" s="2" t="str">
        <f>IFERROR(__xludf.DUMMYFUNCTION("""COMPUTED_VALUE"""),"uuid:2779d2bd-17b7-461c-9e21-f64da02f92bf")</f>
        <v>uuid:2779d2bd-17b7-461c-9e21-f64da02f92bf</v>
      </c>
    </row>
    <row r="82">
      <c r="A82" s="2" t="str">
        <f>IFERROR(__xludf.DUMMYFUNCTION("""COMPUTED_VALUE"""),"2025-08-27T11:49:15.361Z")</f>
        <v>2025-08-27T11:49:15.361Z</v>
      </c>
      <c r="B82" s="2" t="str">
        <f>IFERROR(__xludf.DUMMYFUNCTION("""COMPUTED_VALUE"""),"2025-08-27T14:18:52.117+08")</f>
        <v>2025-08-27T14:18:52.117+08</v>
      </c>
      <c r="C82" s="2" t="str">
        <f>IFERROR(__xludf.DUMMYFUNCTION("""COMPUTED_VALUE"""),"2025-08-27T19:46:42.525+08")</f>
        <v>2025-08-27T19:46:42.525+08</v>
      </c>
      <c r="D82" s="2" t="str">
        <f>IFERROR(__xludf.DUMMYFUNCTION("""COMPUTED_VALUE"""),"H019505027")</f>
        <v>H019505027</v>
      </c>
      <c r="E82" s="2" t="str">
        <f>IFERROR(__xludf.DUMMYFUNCTION("""COMPUTED_VALUE"""),"S2671943")</f>
        <v>S2671943</v>
      </c>
      <c r="F82" s="2" t="str">
        <f>IFERROR(__xludf.DUMMYFUNCTION("""COMPUTED_VALUE"""),"Marvin Mondia")</f>
        <v>Marvin Mondia</v>
      </c>
      <c r="G82" s="2"/>
      <c r="H82" s="2"/>
      <c r="I82" s="2" t="str">
        <f>IFERROR(__xludf.DUMMYFUNCTION("""COMPUTED_VALUE"""),"ICM_Business_linked_launch")</f>
        <v>ICM_Business_linked_launch</v>
      </c>
      <c r="J82" s="2" t="str">
        <f>IFERROR(__xludf.DUMMYFUNCTION("""COMPUTED_VALUE"""),"uuid:df9fba11-e86c-4fef-b0f7-f941f6c6a916")</f>
        <v>uuid:df9fba11-e86c-4fef-b0f7-f941f6c6a916</v>
      </c>
    </row>
    <row r="83">
      <c r="A83" s="2" t="str">
        <f>IFERROR(__xludf.DUMMYFUNCTION("""COMPUTED_VALUE"""),"2025-08-27T11:52:51.415Z")</f>
        <v>2025-08-27T11:52:51.415Z</v>
      </c>
      <c r="B83" s="2" t="str">
        <f>IFERROR(__xludf.DUMMYFUNCTION("""COMPUTED_VALUE"""),"2025-08-27T13:59:35.751+08")</f>
        <v>2025-08-27T13:59:35.751+08</v>
      </c>
      <c r="C83" s="2" t="str">
        <f>IFERROR(__xludf.DUMMYFUNCTION("""COMPUTED_VALUE"""),"2025-08-27T15:14:32.790+08")</f>
        <v>2025-08-27T15:14:32.790+08</v>
      </c>
      <c r="D83" s="2" t="str">
        <f>IFERROR(__xludf.DUMMYFUNCTION("""COMPUTED_VALUE"""),"H030829024")</f>
        <v>H030829024</v>
      </c>
      <c r="E83" s="2" t="str">
        <f>IFERROR(__xludf.DUMMYFUNCTION("""COMPUTED_VALUE"""),"K8623174")</f>
        <v>K8623174</v>
      </c>
      <c r="F83" s="2" t="str">
        <f>IFERROR(__xludf.DUMMYFUNCTION("""COMPUTED_VALUE"""),"Marielle Kaye Ignacio Alonzo")</f>
        <v>Marielle Kaye Ignacio Alonzo</v>
      </c>
      <c r="G83" s="2"/>
      <c r="H83" s="2"/>
      <c r="I83" s="2" t="str">
        <f>IFERROR(__xludf.DUMMYFUNCTION("""COMPUTED_VALUE"""),"ICM_Business_linked_launch")</f>
        <v>ICM_Business_linked_launch</v>
      </c>
      <c r="J83" s="2" t="str">
        <f>IFERROR(__xludf.DUMMYFUNCTION("""COMPUTED_VALUE"""),"uuid:25517313-b38b-4f64-a2fc-1ef79f9e7a1a")</f>
        <v>uuid:25517313-b38b-4f64-a2fc-1ef79f9e7a1a</v>
      </c>
    </row>
    <row r="84">
      <c r="A84" s="2" t="str">
        <f>IFERROR(__xludf.DUMMYFUNCTION("""COMPUTED_VALUE"""),"2025-08-27T11:52:50.901Z")</f>
        <v>2025-08-27T11:52:50.901Z</v>
      </c>
      <c r="B84" s="2" t="str">
        <f>IFERROR(__xludf.DUMMYFUNCTION("""COMPUTED_VALUE"""),"2025-08-27T10:54:27.174+08")</f>
        <v>2025-08-27T10:54:27.174+08</v>
      </c>
      <c r="C84" s="2" t="str">
        <f>IFERROR(__xludf.DUMMYFUNCTION("""COMPUTED_VALUE"""),"2025-08-27T12:14:22.558+08")</f>
        <v>2025-08-27T12:14:22.558+08</v>
      </c>
      <c r="D84" s="2" t="str">
        <f>IFERROR(__xludf.DUMMYFUNCTION("""COMPUTED_VALUE"""),"H030829019")</f>
        <v>H030829019</v>
      </c>
      <c r="E84" s="2" t="str">
        <f>IFERROR(__xludf.DUMMYFUNCTION("""COMPUTED_VALUE"""),"K8623174")</f>
        <v>K8623174</v>
      </c>
      <c r="F84" s="2" t="str">
        <f>IFERROR(__xludf.DUMMYFUNCTION("""COMPUTED_VALUE"""),"Marielle Kaye Ignacio Alonzo")</f>
        <v>Marielle Kaye Ignacio Alonzo</v>
      </c>
      <c r="G84" s="2"/>
      <c r="H84" s="2"/>
      <c r="I84" s="2" t="str">
        <f>IFERROR(__xludf.DUMMYFUNCTION("""COMPUTED_VALUE"""),"ICM_Business_linked_launch")</f>
        <v>ICM_Business_linked_launch</v>
      </c>
      <c r="J84" s="2" t="str">
        <f>IFERROR(__xludf.DUMMYFUNCTION("""COMPUTED_VALUE"""),"uuid:59c0ef60-dc31-43fd-a62a-09f80d51be3e")</f>
        <v>uuid:59c0ef60-dc31-43fd-a62a-09f80d51be3e</v>
      </c>
    </row>
    <row r="85">
      <c r="A85" s="2" t="str">
        <f>IFERROR(__xludf.DUMMYFUNCTION("""COMPUTED_VALUE"""),"2025-08-27T11:52:51.774Z")</f>
        <v>2025-08-27T11:52:51.774Z</v>
      </c>
      <c r="B85" s="2" t="str">
        <f>IFERROR(__xludf.DUMMYFUNCTION("""COMPUTED_VALUE"""),"2025-08-27T09:39:11.009+08")</f>
        <v>2025-08-27T09:39:11.009+08</v>
      </c>
      <c r="C85" s="2" t="str">
        <f>IFERROR(__xludf.DUMMYFUNCTION("""COMPUTED_VALUE"""),"2025-08-27T19:52:38.685+08")</f>
        <v>2025-08-27T19:52:38.685+08</v>
      </c>
      <c r="D85" s="2" t="str">
        <f>IFERROR(__xludf.DUMMYFUNCTION("""COMPUTED_VALUE"""),"H030829025")</f>
        <v>H030829025</v>
      </c>
      <c r="E85" s="2" t="str">
        <f>IFERROR(__xludf.DUMMYFUNCTION("""COMPUTED_VALUE"""),"K8623174")</f>
        <v>K8623174</v>
      </c>
      <c r="F85" s="2" t="str">
        <f>IFERROR(__xludf.DUMMYFUNCTION("""COMPUTED_VALUE"""),"Marielle Kaye Ignacio Alonzo")</f>
        <v>Marielle Kaye Ignacio Alonzo</v>
      </c>
      <c r="G85" s="2"/>
      <c r="H85" s="2"/>
      <c r="I85" s="2" t="str">
        <f>IFERROR(__xludf.DUMMYFUNCTION("""COMPUTED_VALUE"""),"ICM_Business_linked_launch")</f>
        <v>ICM_Business_linked_launch</v>
      </c>
      <c r="J85" s="2" t="str">
        <f>IFERROR(__xludf.DUMMYFUNCTION("""COMPUTED_VALUE"""),"uuid:3a0567ce-bad2-4c65-b6df-768bb9f2c7cd")</f>
        <v>uuid:3a0567ce-bad2-4c65-b6df-768bb9f2c7cd</v>
      </c>
    </row>
    <row r="86">
      <c r="A86" s="2" t="str">
        <f>IFERROR(__xludf.DUMMYFUNCTION("""COMPUTED_VALUE"""),"2025-08-27T11:54:09.736Z")</f>
        <v>2025-08-27T11:54:09.736Z</v>
      </c>
      <c r="B86" s="2" t="str">
        <f>IFERROR(__xludf.DUMMYFUNCTION("""COMPUTED_VALUE"""),"2025-08-27T10:18:29.156+08")</f>
        <v>2025-08-27T10:18:29.156+08</v>
      </c>
      <c r="C86" s="2" t="str">
        <f>IFERROR(__xludf.DUMMYFUNCTION("""COMPUTED_VALUE"""),"2025-08-27T10:32:54.161+08")</f>
        <v>2025-08-27T10:32:54.161+08</v>
      </c>
      <c r="D86" s="2" t="str">
        <f>IFERROR(__xludf.DUMMYFUNCTION("""COMPUTED_VALUE"""),"H030748032")</f>
        <v>H030748032</v>
      </c>
      <c r="E86" s="2" t="str">
        <f>IFERROR(__xludf.DUMMYFUNCTION("""COMPUTED_VALUE"""),"G5472901")</f>
        <v>G5472901</v>
      </c>
      <c r="F86" s="2" t="str">
        <f>IFERROR(__xludf.DUMMYFUNCTION("""COMPUTED_VALUE"""),"Wellyn Grace Alaban Parcia")</f>
        <v>Wellyn Grace Alaban Parcia</v>
      </c>
      <c r="G86" s="2"/>
      <c r="H86" s="2"/>
      <c r="I86" s="2" t="str">
        <f>IFERROR(__xludf.DUMMYFUNCTION("""COMPUTED_VALUE"""),"ICM_Business_linked_launch")</f>
        <v>ICM_Business_linked_launch</v>
      </c>
      <c r="J86" s="2" t="str">
        <f>IFERROR(__xludf.DUMMYFUNCTION("""COMPUTED_VALUE"""),"uuid:96e0f0e4-2b6b-4a01-aa1d-a349fd43133f")</f>
        <v>uuid:96e0f0e4-2b6b-4a01-aa1d-a349fd43133f</v>
      </c>
    </row>
    <row r="87">
      <c r="A87" s="2" t="str">
        <f>IFERROR(__xludf.DUMMYFUNCTION("""COMPUTED_VALUE"""),"2025-08-27T11:54:10.044Z")</f>
        <v>2025-08-27T11:54:10.044Z</v>
      </c>
      <c r="B87" s="2" t="str">
        <f>IFERROR(__xludf.DUMMYFUNCTION("""COMPUTED_VALUE"""),"2025-08-27T13:59:30.793+08")</f>
        <v>2025-08-27T13:59:30.793+08</v>
      </c>
      <c r="C87" s="2" t="str">
        <f>IFERROR(__xludf.DUMMYFUNCTION("""COMPUTED_VALUE"""),"2025-08-27T14:15:15.727+08")</f>
        <v>2025-08-27T14:15:15.727+08</v>
      </c>
      <c r="D87" s="2" t="str">
        <f>IFERROR(__xludf.DUMMYFUNCTION("""COMPUTED_VALUE"""),"H030748022")</f>
        <v>H030748022</v>
      </c>
      <c r="E87" s="2" t="str">
        <f>IFERROR(__xludf.DUMMYFUNCTION("""COMPUTED_VALUE"""),"G5472901")</f>
        <v>G5472901</v>
      </c>
      <c r="F87" s="2" t="str">
        <f>IFERROR(__xludf.DUMMYFUNCTION("""COMPUTED_VALUE"""),"Wellyn Grace Alaban Parcia")</f>
        <v>Wellyn Grace Alaban Parcia</v>
      </c>
      <c r="G87" s="2"/>
      <c r="H87" s="2"/>
      <c r="I87" s="2" t="str">
        <f>IFERROR(__xludf.DUMMYFUNCTION("""COMPUTED_VALUE"""),"ICM_Business_linked_launch")</f>
        <v>ICM_Business_linked_launch</v>
      </c>
      <c r="J87" s="2" t="str">
        <f>IFERROR(__xludf.DUMMYFUNCTION("""COMPUTED_VALUE"""),"uuid:d27bf0cc-fed0-42de-bfc4-03fe6ecc6327")</f>
        <v>uuid:d27bf0cc-fed0-42de-bfc4-03fe6ecc6327</v>
      </c>
    </row>
    <row r="88">
      <c r="A88" s="2" t="str">
        <f>IFERROR(__xludf.DUMMYFUNCTION("""COMPUTED_VALUE"""),"2025-08-27T11:54:10.749Z")</f>
        <v>2025-08-27T11:54:10.749Z</v>
      </c>
      <c r="B88" s="2" t="str">
        <f>IFERROR(__xludf.DUMMYFUNCTION("""COMPUTED_VALUE"""),"2025-08-27T14:15:46.948+08")</f>
        <v>2025-08-27T14:15:46.948+08</v>
      </c>
      <c r="C88" s="2" t="str">
        <f>IFERROR(__xludf.DUMMYFUNCTION("""COMPUTED_VALUE"""),"2025-08-27T14:31:44.927+08")</f>
        <v>2025-08-27T14:31:44.927+08</v>
      </c>
      <c r="D88" s="2" t="str">
        <f>IFERROR(__xludf.DUMMYFUNCTION("""COMPUTED_VALUE"""),"H030748028")</f>
        <v>H030748028</v>
      </c>
      <c r="E88" s="2" t="str">
        <f>IFERROR(__xludf.DUMMYFUNCTION("""COMPUTED_VALUE"""),"G5472901")</f>
        <v>G5472901</v>
      </c>
      <c r="F88" s="2" t="str">
        <f>IFERROR(__xludf.DUMMYFUNCTION("""COMPUTED_VALUE"""),"Wellyn Grace Alaban Parcia")</f>
        <v>Wellyn Grace Alaban Parcia</v>
      </c>
      <c r="G88" s="2"/>
      <c r="H88" s="2"/>
      <c r="I88" s="2" t="str">
        <f>IFERROR(__xludf.DUMMYFUNCTION("""COMPUTED_VALUE"""),"ICM_Business_linked_launch")</f>
        <v>ICM_Business_linked_launch</v>
      </c>
      <c r="J88" s="2" t="str">
        <f>IFERROR(__xludf.DUMMYFUNCTION("""COMPUTED_VALUE"""),"uuid:4d785bbe-b06b-4072-9add-ce097bc464b4")</f>
        <v>uuid:4d785bbe-b06b-4072-9add-ce097bc464b4</v>
      </c>
    </row>
    <row r="89">
      <c r="A89" s="2" t="str">
        <f>IFERROR(__xludf.DUMMYFUNCTION("""COMPUTED_VALUE"""),"2025-08-27T11:54:11.074Z")</f>
        <v>2025-08-27T11:54:11.074Z</v>
      </c>
      <c r="B89" s="2" t="str">
        <f>IFERROR(__xludf.DUMMYFUNCTION("""COMPUTED_VALUE"""),"2025-08-27T18:32:09.415+08")</f>
        <v>2025-08-27T18:32:09.415+08</v>
      </c>
      <c r="C89" s="2" t="str">
        <f>IFERROR(__xludf.DUMMYFUNCTION("""COMPUTED_VALUE"""),"2025-08-27T18:36:08.871+08")</f>
        <v>2025-08-27T18:36:08.871+08</v>
      </c>
      <c r="D89" s="2" t="str">
        <f>IFERROR(__xludf.DUMMYFUNCTION("""COMPUTED_VALUE"""),"H030748014")</f>
        <v>H030748014</v>
      </c>
      <c r="E89" s="2" t="str">
        <f>IFERROR(__xludf.DUMMYFUNCTION("""COMPUTED_VALUE"""),"G5472901")</f>
        <v>G5472901</v>
      </c>
      <c r="F89" s="2" t="str">
        <f>IFERROR(__xludf.DUMMYFUNCTION("""COMPUTED_VALUE"""),"Wellyn Grace Alaban Parcia")</f>
        <v>Wellyn Grace Alaban Parcia</v>
      </c>
      <c r="G89" s="2"/>
      <c r="H89" s="2"/>
      <c r="I89" s="2" t="str">
        <f>IFERROR(__xludf.DUMMYFUNCTION("""COMPUTED_VALUE"""),"ICM_Business_linked_launch")</f>
        <v>ICM_Business_linked_launch</v>
      </c>
      <c r="J89" s="2" t="str">
        <f>IFERROR(__xludf.DUMMYFUNCTION("""COMPUTED_VALUE"""),"uuid:69a320bc-07ee-443e-9ba9-2776ac2a4bd7")</f>
        <v>uuid:69a320bc-07ee-443e-9ba9-2776ac2a4bd7</v>
      </c>
    </row>
    <row r="90">
      <c r="A90" s="2" t="str">
        <f>IFERROR(__xludf.DUMMYFUNCTION("""COMPUTED_VALUE"""),"2025-08-27T11:57:35.143Z")</f>
        <v>2025-08-27T11:57:35.143Z</v>
      </c>
      <c r="B90" s="2" t="str">
        <f>IFERROR(__xludf.DUMMYFUNCTION("""COMPUTED_VALUE"""),"2025-08-27T11:10:49.509+08")</f>
        <v>2025-08-27T11:10:49.509+08</v>
      </c>
      <c r="C90" s="2" t="str">
        <f>IFERROR(__xludf.DUMMYFUNCTION("""COMPUTED_VALUE"""),"2025-08-27T11:17:17.247+08")</f>
        <v>2025-08-27T11:17:17.247+08</v>
      </c>
      <c r="D90" s="2" t="str">
        <f>IFERROR(__xludf.DUMMYFUNCTION("""COMPUTED_VALUE"""),"H030748033")</f>
        <v>H030748033</v>
      </c>
      <c r="E90" s="2" t="str">
        <f>IFERROR(__xludf.DUMMYFUNCTION("""COMPUTED_VALUE"""),"F3051749")</f>
        <v>F3051749</v>
      </c>
      <c r="F90" s="2" t="str">
        <f>IFERROR(__xludf.DUMMYFUNCTION("""COMPUTED_VALUE"""),"Elenita Gicos De La Pe�a")</f>
        <v>Elenita Gicos De La Pe�a</v>
      </c>
      <c r="G90" s="2"/>
      <c r="H90" s="2"/>
      <c r="I90" s="2" t="str">
        <f>IFERROR(__xludf.DUMMYFUNCTION("""COMPUTED_VALUE"""),"ICM_Business_linked_launch")</f>
        <v>ICM_Business_linked_launch</v>
      </c>
      <c r="J90" s="2" t="str">
        <f>IFERROR(__xludf.DUMMYFUNCTION("""COMPUTED_VALUE"""),"uuid:b620fa97-2730-4105-a484-3e3359e076a0")</f>
        <v>uuid:b620fa97-2730-4105-a484-3e3359e076a0</v>
      </c>
    </row>
    <row r="91">
      <c r="A91" s="2" t="str">
        <f>IFERROR(__xludf.DUMMYFUNCTION("""COMPUTED_VALUE"""),"2025-08-27T11:57:36.416Z")</f>
        <v>2025-08-27T11:57:36.416Z</v>
      </c>
      <c r="B91" s="2" t="str">
        <f>IFERROR(__xludf.DUMMYFUNCTION("""COMPUTED_VALUE"""),"2025-08-27T17:18:50.688+08")</f>
        <v>2025-08-27T17:18:50.688+08</v>
      </c>
      <c r="C91" s="2" t="str">
        <f>IFERROR(__xludf.DUMMYFUNCTION("""COMPUTED_VALUE"""),"2025-08-27T17:37:47.431+08")</f>
        <v>2025-08-27T17:37:47.431+08</v>
      </c>
      <c r="D91" s="2" t="str">
        <f>IFERROR(__xludf.DUMMYFUNCTION("""COMPUTED_VALUE"""),"H030748019")</f>
        <v>H030748019</v>
      </c>
      <c r="E91" s="2" t="str">
        <f>IFERROR(__xludf.DUMMYFUNCTION("""COMPUTED_VALUE"""),"F3051749")</f>
        <v>F3051749</v>
      </c>
      <c r="F91" s="2" t="str">
        <f>IFERROR(__xludf.DUMMYFUNCTION("""COMPUTED_VALUE"""),"Elenita Gicos De La Pe�a")</f>
        <v>Elenita Gicos De La Pe�a</v>
      </c>
      <c r="G91" s="2"/>
      <c r="H91" s="2"/>
      <c r="I91" s="2" t="str">
        <f>IFERROR(__xludf.DUMMYFUNCTION("""COMPUTED_VALUE"""),"ICM_Business_linked_launch")</f>
        <v>ICM_Business_linked_launch</v>
      </c>
      <c r="J91" s="2" t="str">
        <f>IFERROR(__xludf.DUMMYFUNCTION("""COMPUTED_VALUE"""),"uuid:5dae5242-4fa7-4b8b-8fa6-ed939c149dda")</f>
        <v>uuid:5dae5242-4fa7-4b8b-8fa6-ed939c149dda</v>
      </c>
    </row>
    <row r="92">
      <c r="A92" s="2" t="str">
        <f>IFERROR(__xludf.DUMMYFUNCTION("""COMPUTED_VALUE"""),"2025-08-27T11:57:36.134Z")</f>
        <v>2025-08-27T11:57:36.134Z</v>
      </c>
      <c r="B92" s="2" t="str">
        <f>IFERROR(__xludf.DUMMYFUNCTION("""COMPUTED_VALUE"""),"2025-08-27T13:31:02.062+08")</f>
        <v>2025-08-27T13:31:02.062+08</v>
      </c>
      <c r="C92" s="2" t="str">
        <f>IFERROR(__xludf.DUMMYFUNCTION("""COMPUTED_VALUE"""),"2025-08-27T13:44:57.542+08")</f>
        <v>2025-08-27T13:44:57.542+08</v>
      </c>
      <c r="D92" s="2" t="str">
        <f>IFERROR(__xludf.DUMMYFUNCTION("""COMPUTED_VALUE"""),"H030748018")</f>
        <v>H030748018</v>
      </c>
      <c r="E92" s="2" t="str">
        <f>IFERROR(__xludf.DUMMYFUNCTION("""COMPUTED_VALUE"""),"F3051749")</f>
        <v>F3051749</v>
      </c>
      <c r="F92" s="2" t="str">
        <f>IFERROR(__xludf.DUMMYFUNCTION("""COMPUTED_VALUE"""),"Elenita Gicos De La Pe�a")</f>
        <v>Elenita Gicos De La Pe�a</v>
      </c>
      <c r="G92" s="2"/>
      <c r="H92" s="2"/>
      <c r="I92" s="2" t="str">
        <f>IFERROR(__xludf.DUMMYFUNCTION("""COMPUTED_VALUE"""),"ICM_Business_linked_launch")</f>
        <v>ICM_Business_linked_launch</v>
      </c>
      <c r="J92" s="2" t="str">
        <f>IFERROR(__xludf.DUMMYFUNCTION("""COMPUTED_VALUE"""),"uuid:635b53c1-e6f3-4fa9-be63-744c0a6b9268")</f>
        <v>uuid:635b53c1-e6f3-4fa9-be63-744c0a6b9268</v>
      </c>
    </row>
    <row r="93">
      <c r="A93" s="2" t="str">
        <f>IFERROR(__xludf.DUMMYFUNCTION("""COMPUTED_VALUE"""),"2025-08-27T12:10:28.767Z")</f>
        <v>2025-08-27T12:10:28.767Z</v>
      </c>
      <c r="B93" s="2" t="str">
        <f>IFERROR(__xludf.DUMMYFUNCTION("""COMPUTED_VALUE"""),"2025-08-27T11:49:41.565+08")</f>
        <v>2025-08-27T11:49:41.565+08</v>
      </c>
      <c r="C93" s="2" t="str">
        <f>IFERROR(__xludf.DUMMYFUNCTION("""COMPUTED_VALUE"""),"2025-08-27T12:02:53.047+08")</f>
        <v>2025-08-27T12:02:53.047+08</v>
      </c>
      <c r="D93" s="2" t="str">
        <f>IFERROR(__xludf.DUMMYFUNCTION("""COMPUTED_VALUE"""),"H030636013")</f>
        <v>H030636013</v>
      </c>
      <c r="E93" s="2">
        <f>IFERROR(__xludf.DUMMYFUNCTION("""COMPUTED_VALUE"""),896791.0)</f>
        <v>896791</v>
      </c>
      <c r="F93" s="2" t="str">
        <f>IFERROR(__xludf.DUMMYFUNCTION("""COMPUTED_VALUE"""),"Roland A. Bandiola jr")</f>
        <v>Roland A. Bandiola jr</v>
      </c>
      <c r="G93" s="2"/>
      <c r="H93" s="2"/>
      <c r="I93" s="2" t="str">
        <f>IFERROR(__xludf.DUMMYFUNCTION("""COMPUTED_VALUE"""),"ICM_Business_linked_launch")</f>
        <v>ICM_Business_linked_launch</v>
      </c>
      <c r="J93" s="2" t="str">
        <f>IFERROR(__xludf.DUMMYFUNCTION("""COMPUTED_VALUE"""),"uuid:f49097d3-552f-4968-87b2-7f08a2000634")</f>
        <v>uuid:f49097d3-552f-4968-87b2-7f08a2000634</v>
      </c>
    </row>
    <row r="94">
      <c r="A94" s="2" t="str">
        <f>IFERROR(__xludf.DUMMYFUNCTION("""COMPUTED_VALUE"""),"2025-08-27T12:10:29.881Z")</f>
        <v>2025-08-27T12:10:29.881Z</v>
      </c>
      <c r="B94" s="2" t="str">
        <f>IFERROR(__xludf.DUMMYFUNCTION("""COMPUTED_VALUE"""),"2025-08-27T14:15:04.055+08")</f>
        <v>2025-08-27T14:15:04.055+08</v>
      </c>
      <c r="C94" s="2" t="str">
        <f>IFERROR(__xludf.DUMMYFUNCTION("""COMPUTED_VALUE"""),"2025-08-27T14:32:08.048+08")</f>
        <v>2025-08-27T14:32:08.048+08</v>
      </c>
      <c r="D94" s="2" t="str">
        <f>IFERROR(__xludf.DUMMYFUNCTION("""COMPUTED_VALUE"""),"H030636032")</f>
        <v>H030636032</v>
      </c>
      <c r="E94" s="2">
        <f>IFERROR(__xludf.DUMMYFUNCTION("""COMPUTED_VALUE"""),896791.0)</f>
        <v>896791</v>
      </c>
      <c r="F94" s="2" t="str">
        <f>IFERROR(__xludf.DUMMYFUNCTION("""COMPUTED_VALUE"""),"Roland A. Bandiola jr")</f>
        <v>Roland A. Bandiola jr</v>
      </c>
      <c r="G94" s="2"/>
      <c r="H94" s="2"/>
      <c r="I94" s="2" t="str">
        <f>IFERROR(__xludf.DUMMYFUNCTION("""COMPUTED_VALUE"""),"ICM_Business_linked_launch")</f>
        <v>ICM_Business_linked_launch</v>
      </c>
      <c r="J94" s="2" t="str">
        <f>IFERROR(__xludf.DUMMYFUNCTION("""COMPUTED_VALUE"""),"uuid:48820cfc-b4bf-4d5f-acec-bc7d93e700fd")</f>
        <v>uuid:48820cfc-b4bf-4d5f-acec-bc7d93e700fd</v>
      </c>
    </row>
    <row r="95">
      <c r="A95" s="2" t="str">
        <f>IFERROR(__xludf.DUMMYFUNCTION("""COMPUTED_VALUE"""),"2025-08-27T12:10:30.736Z")</f>
        <v>2025-08-27T12:10:30.736Z</v>
      </c>
      <c r="B95" s="2" t="str">
        <f>IFERROR(__xludf.DUMMYFUNCTION("""COMPUTED_VALUE"""),"2025-08-27T17:09:41.661+08")</f>
        <v>2025-08-27T17:09:41.661+08</v>
      </c>
      <c r="C95" s="2" t="str">
        <f>IFERROR(__xludf.DUMMYFUNCTION("""COMPUTED_VALUE"""),"2025-08-27T17:14:38.703+08")</f>
        <v>2025-08-27T17:14:38.703+08</v>
      </c>
      <c r="D95" s="2" t="str">
        <f>IFERROR(__xludf.DUMMYFUNCTION("""COMPUTED_VALUE"""),"H030636029")</f>
        <v>H030636029</v>
      </c>
      <c r="E95" s="2">
        <f>IFERROR(__xludf.DUMMYFUNCTION("""COMPUTED_VALUE"""),896791.0)</f>
        <v>896791</v>
      </c>
      <c r="F95" s="2" t="str">
        <f>IFERROR(__xludf.DUMMYFUNCTION("""COMPUTED_VALUE"""),"Roland A. Bandiola jr")</f>
        <v>Roland A. Bandiola jr</v>
      </c>
      <c r="G95" s="2"/>
      <c r="H95" s="2"/>
      <c r="I95" s="2" t="str">
        <f>IFERROR(__xludf.DUMMYFUNCTION("""COMPUTED_VALUE"""),"ICM_Business_linked_launch")</f>
        <v>ICM_Business_linked_launch</v>
      </c>
      <c r="J95" s="2" t="str">
        <f>IFERROR(__xludf.DUMMYFUNCTION("""COMPUTED_VALUE"""),"uuid:a88899f2-c2e8-444b-bebc-4e6eaa31c8cb")</f>
        <v>uuid:a88899f2-c2e8-444b-bebc-4e6eaa31c8cb</v>
      </c>
    </row>
    <row r="96">
      <c r="A96" s="2" t="str">
        <f>IFERROR(__xludf.DUMMYFUNCTION("""COMPUTED_VALUE"""),"2025-08-27T12:14:15.784Z")</f>
        <v>2025-08-27T12:14:15.784Z</v>
      </c>
      <c r="B96" s="2" t="str">
        <f>IFERROR(__xludf.DUMMYFUNCTION("""COMPUTED_VALUE"""),"2025-08-27T11:50:26.529+08")</f>
        <v>2025-08-27T11:50:26.529+08</v>
      </c>
      <c r="C96" s="2" t="str">
        <f>IFERROR(__xludf.DUMMYFUNCTION("""COMPUTED_VALUE"""),"2025-08-27T12:07:04.296+08")</f>
        <v>2025-08-27T12:07:04.296+08</v>
      </c>
      <c r="D96" s="2" t="str">
        <f>IFERROR(__xludf.DUMMYFUNCTION("""COMPUTED_VALUE"""),"H030636020")</f>
        <v>H030636020</v>
      </c>
      <c r="E96" s="2" t="str">
        <f>IFERROR(__xludf.DUMMYFUNCTION("""COMPUTED_VALUE"""),"B8193462")</f>
        <v>B8193462</v>
      </c>
      <c r="F96" s="2" t="str">
        <f>IFERROR(__xludf.DUMMYFUNCTION("""COMPUTED_VALUE"""),"Mark Lorens Mendoza Gilongo")</f>
        <v>Mark Lorens Mendoza Gilongo</v>
      </c>
      <c r="G96" s="2"/>
      <c r="H96" s="2"/>
      <c r="I96" s="2" t="str">
        <f>IFERROR(__xludf.DUMMYFUNCTION("""COMPUTED_VALUE"""),"ICM_Business_linked_launch")</f>
        <v>ICM_Business_linked_launch</v>
      </c>
      <c r="J96" s="2" t="str">
        <f>IFERROR(__xludf.DUMMYFUNCTION("""COMPUTED_VALUE"""),"uuid:a5c7f558-bb6b-479d-99a9-b4253a379071")</f>
        <v>uuid:a5c7f558-bb6b-479d-99a9-b4253a379071</v>
      </c>
    </row>
    <row r="97">
      <c r="A97" s="2" t="str">
        <f>IFERROR(__xludf.DUMMYFUNCTION("""COMPUTED_VALUE"""),"2025-08-27T12:14:39.046Z")</f>
        <v>2025-08-27T12:14:39.046Z</v>
      </c>
      <c r="B97" s="2" t="str">
        <f>IFERROR(__xludf.DUMMYFUNCTION("""COMPUTED_VALUE"""),"2025-08-27T09:42:13.580+08")</f>
        <v>2025-08-27T09:42:13.580+08</v>
      </c>
      <c r="C97" s="2" t="str">
        <f>IFERROR(__xludf.DUMMYFUNCTION("""COMPUTED_VALUE"""),"2025-08-27T09:47:30.597+08")</f>
        <v>2025-08-27T09:47:30.597+08</v>
      </c>
      <c r="D97" s="2" t="str">
        <f>IFERROR(__xludf.DUMMYFUNCTION("""COMPUTED_VALUE"""),"H030829035")</f>
        <v>H030829035</v>
      </c>
      <c r="E97" s="2" t="str">
        <f>IFERROR(__xludf.DUMMYFUNCTION("""COMPUTED_VALUE"""),"M6491032")</f>
        <v>M6491032</v>
      </c>
      <c r="F97" s="2" t="str">
        <f>IFERROR(__xludf.DUMMYFUNCTION("""COMPUTED_VALUE"""),"Rosevil Tayo Desamparado")</f>
        <v>Rosevil Tayo Desamparado</v>
      </c>
      <c r="G97" s="2"/>
      <c r="H97" s="2"/>
      <c r="I97" s="2" t="str">
        <f>IFERROR(__xludf.DUMMYFUNCTION("""COMPUTED_VALUE"""),"ICM_Business_linked_launch")</f>
        <v>ICM_Business_linked_launch</v>
      </c>
      <c r="J97" s="2" t="str">
        <f>IFERROR(__xludf.DUMMYFUNCTION("""COMPUTED_VALUE"""),"uuid:e08b91ca-0a36-4074-aa97-ca1f7f703c5b")</f>
        <v>uuid:e08b91ca-0a36-4074-aa97-ca1f7f703c5b</v>
      </c>
    </row>
    <row r="98">
      <c r="A98" s="2" t="str">
        <f>IFERROR(__xludf.DUMMYFUNCTION("""COMPUTED_VALUE"""),"2025-08-27T12:14:39.688Z")</f>
        <v>2025-08-27T12:14:39.688Z</v>
      </c>
      <c r="B98" s="2" t="str">
        <f>IFERROR(__xludf.DUMMYFUNCTION("""COMPUTED_VALUE"""),"2025-08-27T11:18:28.656+08")</f>
        <v>2025-08-27T11:18:28.656+08</v>
      </c>
      <c r="C98" s="2" t="str">
        <f>IFERROR(__xludf.DUMMYFUNCTION("""COMPUTED_VALUE"""),"2025-08-27T11:21:44.472+08")</f>
        <v>2025-08-27T11:21:44.472+08</v>
      </c>
      <c r="D98" s="2" t="str">
        <f>IFERROR(__xludf.DUMMYFUNCTION("""COMPUTED_VALUE"""),"H030829023")</f>
        <v>H030829023</v>
      </c>
      <c r="E98" s="2" t="str">
        <f>IFERROR(__xludf.DUMMYFUNCTION("""COMPUTED_VALUE"""),"M6491032")</f>
        <v>M6491032</v>
      </c>
      <c r="F98" s="2" t="str">
        <f>IFERROR(__xludf.DUMMYFUNCTION("""COMPUTED_VALUE"""),"Rosevil Tayo Desamparado")</f>
        <v>Rosevil Tayo Desamparado</v>
      </c>
      <c r="G98" s="2"/>
      <c r="H98" s="2"/>
      <c r="I98" s="2" t="str">
        <f>IFERROR(__xludf.DUMMYFUNCTION("""COMPUTED_VALUE"""),"ICM_Business_linked_launch")</f>
        <v>ICM_Business_linked_launch</v>
      </c>
      <c r="J98" s="2" t="str">
        <f>IFERROR(__xludf.DUMMYFUNCTION("""COMPUTED_VALUE"""),"uuid:9dce2524-7031-4526-a9f4-c2ac88a768f2")</f>
        <v>uuid:9dce2524-7031-4526-a9f4-c2ac88a768f2</v>
      </c>
    </row>
    <row r="99">
      <c r="A99" s="2" t="str">
        <f>IFERROR(__xludf.DUMMYFUNCTION("""COMPUTED_VALUE"""),"2025-08-27T12:14:40.529Z")</f>
        <v>2025-08-27T12:14:40.529Z</v>
      </c>
      <c r="B99" s="2" t="str">
        <f>IFERROR(__xludf.DUMMYFUNCTION("""COMPUTED_VALUE"""),"2025-08-27T13:07:39.358+08")</f>
        <v>2025-08-27T13:07:39.358+08</v>
      </c>
      <c r="C99" s="2" t="str">
        <f>IFERROR(__xludf.DUMMYFUNCTION("""COMPUTED_VALUE"""),"2025-08-27T13:25:27.085+08")</f>
        <v>2025-08-27T13:25:27.085+08</v>
      </c>
      <c r="D99" s="2" t="str">
        <f>IFERROR(__xludf.DUMMYFUNCTION("""COMPUTED_VALUE"""),"H030829022")</f>
        <v>H030829022</v>
      </c>
      <c r="E99" s="2" t="str">
        <f>IFERROR(__xludf.DUMMYFUNCTION("""COMPUTED_VALUE"""),"M6491032")</f>
        <v>M6491032</v>
      </c>
      <c r="F99" s="2" t="str">
        <f>IFERROR(__xludf.DUMMYFUNCTION("""COMPUTED_VALUE"""),"Rosevil Tayo Desamparado")</f>
        <v>Rosevil Tayo Desamparado</v>
      </c>
      <c r="G99" s="2"/>
      <c r="H99" s="2"/>
      <c r="I99" s="2" t="str">
        <f>IFERROR(__xludf.DUMMYFUNCTION("""COMPUTED_VALUE"""),"ICM_Business_linked_launch")</f>
        <v>ICM_Business_linked_launch</v>
      </c>
      <c r="J99" s="2" t="str">
        <f>IFERROR(__xludf.DUMMYFUNCTION("""COMPUTED_VALUE"""),"uuid:2062d9cf-f3f2-4798-be8b-f77cdcd00115")</f>
        <v>uuid:2062d9cf-f3f2-4798-be8b-f77cdcd00115</v>
      </c>
    </row>
    <row r="100">
      <c r="A100" s="2" t="str">
        <f>IFERROR(__xludf.DUMMYFUNCTION("""COMPUTED_VALUE"""),"2025-08-27T12:14:46.426Z")</f>
        <v>2025-08-27T12:14:46.426Z</v>
      </c>
      <c r="B100" s="2" t="str">
        <f>IFERROR(__xludf.DUMMYFUNCTION("""COMPUTED_VALUE"""),"2025-08-27T13:34:48.952+08")</f>
        <v>2025-08-27T13:34:48.952+08</v>
      </c>
      <c r="C100" s="2" t="str">
        <f>IFERROR(__xludf.DUMMYFUNCTION("""COMPUTED_VALUE"""),"2025-08-27T14:27:31.521+08")</f>
        <v>2025-08-27T14:27:31.521+08</v>
      </c>
      <c r="D100" s="2" t="str">
        <f>IFERROR(__xludf.DUMMYFUNCTION("""COMPUTED_VALUE"""),"H030636007")</f>
        <v>H030636007</v>
      </c>
      <c r="E100" s="2" t="str">
        <f>IFERROR(__xludf.DUMMYFUNCTION("""COMPUTED_VALUE"""),"B8193462")</f>
        <v>B8193462</v>
      </c>
      <c r="F100" s="2" t="str">
        <f>IFERROR(__xludf.DUMMYFUNCTION("""COMPUTED_VALUE"""),"Mark Lorens Mendoza Gilongo")</f>
        <v>Mark Lorens Mendoza Gilongo</v>
      </c>
      <c r="G100" s="2"/>
      <c r="H100" s="2"/>
      <c r="I100" s="2" t="str">
        <f>IFERROR(__xludf.DUMMYFUNCTION("""COMPUTED_VALUE"""),"ICM_Business_linked_launch")</f>
        <v>ICM_Business_linked_launch</v>
      </c>
      <c r="J100" s="2" t="str">
        <f>IFERROR(__xludf.DUMMYFUNCTION("""COMPUTED_VALUE"""),"uuid:a248110e-73eb-4302-9760-53226256f733")</f>
        <v>uuid:a248110e-73eb-4302-9760-53226256f733</v>
      </c>
    </row>
    <row r="101">
      <c r="A101" s="2" t="str">
        <f>IFERROR(__xludf.DUMMYFUNCTION("""COMPUTED_VALUE"""),"2025-08-27T12:15:06.930Z")</f>
        <v>2025-08-27T12:15:06.930Z</v>
      </c>
      <c r="B101" s="2" t="str">
        <f>IFERROR(__xludf.DUMMYFUNCTION("""COMPUTED_VALUE"""),"2025-08-27T16:29:09.610+08")</f>
        <v>2025-08-27T16:29:09.610+08</v>
      </c>
      <c r="C101" s="2" t="str">
        <f>IFERROR(__xludf.DUMMYFUNCTION("""COMPUTED_VALUE"""),"2025-08-27T17:19:05.515+08")</f>
        <v>2025-08-27T17:19:05.515+08</v>
      </c>
      <c r="D101" s="2" t="str">
        <f>IFERROR(__xludf.DUMMYFUNCTION("""COMPUTED_VALUE"""),"H030636001")</f>
        <v>H030636001</v>
      </c>
      <c r="E101" s="2" t="str">
        <f>IFERROR(__xludf.DUMMYFUNCTION("""COMPUTED_VALUE"""),"B8193462")</f>
        <v>B8193462</v>
      </c>
      <c r="F101" s="2" t="str">
        <f>IFERROR(__xludf.DUMMYFUNCTION("""COMPUTED_VALUE"""),"Mark Lorens Mendoza Gilongo")</f>
        <v>Mark Lorens Mendoza Gilongo</v>
      </c>
      <c r="G101" s="2"/>
      <c r="H101" s="2"/>
      <c r="I101" s="2" t="str">
        <f>IFERROR(__xludf.DUMMYFUNCTION("""COMPUTED_VALUE"""),"ICM_Business_linked_launch")</f>
        <v>ICM_Business_linked_launch</v>
      </c>
      <c r="J101" s="2" t="str">
        <f>IFERROR(__xludf.DUMMYFUNCTION("""COMPUTED_VALUE"""),"uuid:cb34cdb5-6182-41bb-b56f-e7fde573b181")</f>
        <v>uuid:cb34cdb5-6182-41bb-b56f-e7fde573b181</v>
      </c>
    </row>
    <row r="102">
      <c r="A102" s="2" t="str">
        <f>IFERROR(__xludf.DUMMYFUNCTION("""COMPUTED_VALUE"""),"2025-08-27T12:18:53.243Z")</f>
        <v>2025-08-27T12:18:53.243Z</v>
      </c>
      <c r="B102" s="2" t="str">
        <f>IFERROR(__xludf.DUMMYFUNCTION("""COMPUTED_VALUE"""),"2025-08-27T11:07:00.274+08")</f>
        <v>2025-08-27T11:07:00.274+08</v>
      </c>
      <c r="C102" s="2" t="str">
        <f>IFERROR(__xludf.DUMMYFUNCTION("""COMPUTED_VALUE"""),"2025-08-27T12:26:09.371+08")</f>
        <v>2025-08-27T12:26:09.371+08</v>
      </c>
      <c r="D102" s="2" t="str">
        <f>IFERROR(__xludf.DUMMYFUNCTION("""COMPUTED_VALUE"""),"H030636025")</f>
        <v>H030636025</v>
      </c>
      <c r="E102" s="2" t="str">
        <f>IFERROR(__xludf.DUMMYFUNCTION("""COMPUTED_VALUE"""),"C7502931")</f>
        <v>C7502931</v>
      </c>
      <c r="F102" s="2" t="str">
        <f>IFERROR(__xludf.DUMMYFUNCTION("""COMPUTED_VALUE"""),"Jenny Lou Toles Estacio")</f>
        <v>Jenny Lou Toles Estacio</v>
      </c>
      <c r="G102" s="2"/>
      <c r="H102" s="2"/>
      <c r="I102" s="2" t="str">
        <f>IFERROR(__xludf.DUMMYFUNCTION("""COMPUTED_VALUE"""),"ICM_Business_linked_launch")</f>
        <v>ICM_Business_linked_launch</v>
      </c>
      <c r="J102" s="2" t="str">
        <f>IFERROR(__xludf.DUMMYFUNCTION("""COMPUTED_VALUE"""),"uuid:e22b791d-3b33-4ebb-bb23-daa77eb25146")</f>
        <v>uuid:e22b791d-3b33-4ebb-bb23-daa77eb25146</v>
      </c>
    </row>
    <row r="103">
      <c r="A103" s="2" t="str">
        <f>IFERROR(__xludf.DUMMYFUNCTION("""COMPUTED_VALUE"""),"2025-08-27T12:18:55.572Z")</f>
        <v>2025-08-27T12:18:55.572Z</v>
      </c>
      <c r="B103" s="2" t="str">
        <f>IFERROR(__xludf.DUMMYFUNCTION("""COMPUTED_VALUE"""),"2025-08-27T17:10:06.965+08")</f>
        <v>2025-08-27T17:10:06.965+08</v>
      </c>
      <c r="C103" s="2" t="str">
        <f>IFERROR(__xludf.DUMMYFUNCTION("""COMPUTED_VALUE"""),"2025-08-27T20:14:07.983+08")</f>
        <v>2025-08-27T20:14:07.983+08</v>
      </c>
      <c r="D103" s="2" t="str">
        <f>IFERROR(__xludf.DUMMYFUNCTION("""COMPUTED_VALUE"""),"H030636019")</f>
        <v>H030636019</v>
      </c>
      <c r="E103" s="2" t="str">
        <f>IFERROR(__xludf.DUMMYFUNCTION("""COMPUTED_VALUE"""),"C7502931")</f>
        <v>C7502931</v>
      </c>
      <c r="F103" s="2" t="str">
        <f>IFERROR(__xludf.DUMMYFUNCTION("""COMPUTED_VALUE"""),"Jenny Lou Toles Estacio")</f>
        <v>Jenny Lou Toles Estacio</v>
      </c>
      <c r="G103" s="2"/>
      <c r="H103" s="2"/>
      <c r="I103" s="2" t="str">
        <f>IFERROR(__xludf.DUMMYFUNCTION("""COMPUTED_VALUE"""),"ICM_Business_linked_launch")</f>
        <v>ICM_Business_linked_launch</v>
      </c>
      <c r="J103" s="2" t="str">
        <f>IFERROR(__xludf.DUMMYFUNCTION("""COMPUTED_VALUE"""),"uuid:239dd867-e629-4932-aec4-aac465c9a3a5")</f>
        <v>uuid:239dd867-e629-4932-aec4-aac465c9a3a5</v>
      </c>
    </row>
    <row r="104">
      <c r="A104" s="2" t="str">
        <f>IFERROR(__xludf.DUMMYFUNCTION("""COMPUTED_VALUE"""),"2025-08-27T12:18:55.883Z")</f>
        <v>2025-08-27T12:18:55.883Z</v>
      </c>
      <c r="B104" s="2" t="str">
        <f>IFERROR(__xludf.DUMMYFUNCTION("""COMPUTED_VALUE"""),"2025-08-27T14:04:13.384+08")</f>
        <v>2025-08-27T14:04:13.384+08</v>
      </c>
      <c r="C104" s="2" t="str">
        <f>IFERROR(__xludf.DUMMYFUNCTION("""COMPUTED_VALUE"""),"2025-08-27T20:15:25.114+08")</f>
        <v>2025-08-27T20:15:25.114+08</v>
      </c>
      <c r="D104" s="2" t="str">
        <f>IFERROR(__xludf.DUMMYFUNCTION("""COMPUTED_VALUE"""),"H030636017")</f>
        <v>H030636017</v>
      </c>
      <c r="E104" s="2" t="str">
        <f>IFERROR(__xludf.DUMMYFUNCTION("""COMPUTED_VALUE"""),"C7502931")</f>
        <v>C7502931</v>
      </c>
      <c r="F104" s="2" t="str">
        <f>IFERROR(__xludf.DUMMYFUNCTION("""COMPUTED_VALUE"""),"Jenny Lou Toles Estacio")</f>
        <v>Jenny Lou Toles Estacio</v>
      </c>
      <c r="G104" s="2"/>
      <c r="H104" s="2"/>
      <c r="I104" s="2" t="str">
        <f>IFERROR(__xludf.DUMMYFUNCTION("""COMPUTED_VALUE"""),"ICM_Business_linked_launch")</f>
        <v>ICM_Business_linked_launch</v>
      </c>
      <c r="J104" s="2" t="str">
        <f>IFERROR(__xludf.DUMMYFUNCTION("""COMPUTED_VALUE"""),"uuid:f336cc6a-57bf-411d-8b86-fe36b4d93a94")</f>
        <v>uuid:f336cc6a-57bf-411d-8b86-fe36b4d93a94</v>
      </c>
    </row>
    <row r="105">
      <c r="A105" s="2" t="str">
        <f>IFERROR(__xludf.DUMMYFUNCTION("""COMPUTED_VALUE"""),"2025-09-30T11:57:12.326Z")</f>
        <v>2025-09-30T11:57:12.326Z</v>
      </c>
      <c r="B105" s="2" t="str">
        <f>IFERROR(__xludf.DUMMYFUNCTION("""COMPUTED_VALUE"""),"2025-09-30T19:23:52.781+08")</f>
        <v>2025-09-30T19:23:52.781+08</v>
      </c>
      <c r="C105" s="2" t="str">
        <f>IFERROR(__xludf.DUMMYFUNCTION("""COMPUTED_VALUE"""),"2025-09-30T19:56:36.801+08")</f>
        <v>2025-09-30T19:56:36.801+08</v>
      </c>
      <c r="D105" s="2" t="str">
        <f>IFERROR(__xludf.DUMMYFUNCTION("""COMPUTED_VALUE"""),"H030829014")</f>
        <v>H030829014</v>
      </c>
      <c r="E105" s="2" t="str">
        <f>IFERROR(__xludf.DUMMYFUNCTION("""COMPUTED_VALUE"""),"L2057896")</f>
        <v>L2057896</v>
      </c>
      <c r="F105" s="2" t="str">
        <f>IFERROR(__xludf.DUMMYFUNCTION("""COMPUTED_VALUE"""),"Franz Reoben Posadas Geneblaza")</f>
        <v>Franz Reoben Posadas Geneblaza</v>
      </c>
      <c r="G105" s="2"/>
      <c r="H105" s="2"/>
      <c r="I105" s="2" t="str">
        <f>IFERROR(__xludf.DUMMYFUNCTION("""COMPUTED_VALUE"""),"ICM_Business_linked_launch")</f>
        <v>ICM_Business_linked_launch</v>
      </c>
      <c r="J105" s="2" t="str">
        <f>IFERROR(__xludf.DUMMYFUNCTION("""COMPUTED_VALUE"""),"uuid:4217aed4-4a36-483a-94f9-f26ca44e8494")</f>
        <v>uuid:4217aed4-4a36-483a-94f9-f26ca44e8494</v>
      </c>
    </row>
    <row r="106">
      <c r="A106" s="2" t="str">
        <f>IFERROR(__xludf.DUMMYFUNCTION("""COMPUTED_VALUE"""),"2025-08-31T13:05:03.485Z")</f>
        <v>2025-08-31T13:05:03.485Z</v>
      </c>
      <c r="B106" s="2" t="str">
        <f>IFERROR(__xludf.DUMMYFUNCTION("""COMPUTED_VALUE"""),"2025-08-31T16:50:23.154+08")</f>
        <v>2025-08-31T16:50:23.154+08</v>
      </c>
      <c r="C106" s="2" t="str">
        <f>IFERROR(__xludf.DUMMYFUNCTION("""COMPUTED_VALUE"""),"2025-08-31T16:56:11.746+08")</f>
        <v>2025-08-31T16:56:11.746+08</v>
      </c>
      <c r="D106" s="2" t="str">
        <f>IFERROR(__xludf.DUMMYFUNCTION("""COMPUTED_VALUE"""),"H030829033")</f>
        <v>H030829033</v>
      </c>
      <c r="E106" s="2" t="str">
        <f>IFERROR(__xludf.DUMMYFUNCTION("""COMPUTED_VALUE"""),"J4315980")</f>
        <v>J4315980</v>
      </c>
      <c r="F106" s="2" t="str">
        <f>IFERROR(__xludf.DUMMYFUNCTION("""COMPUTED_VALUE"""),"Trixie Marie Jardeleza Saber")</f>
        <v>Trixie Marie Jardeleza Saber</v>
      </c>
      <c r="G106" s="2"/>
      <c r="H106" s="2"/>
      <c r="I106" s="2" t="str">
        <f>IFERROR(__xludf.DUMMYFUNCTION("""COMPUTED_VALUE"""),"ICM_Business_linked_launch")</f>
        <v>ICM_Business_linked_launch</v>
      </c>
      <c r="J106" s="2" t="str">
        <f>IFERROR(__xludf.DUMMYFUNCTION("""COMPUTED_VALUE"""),"uuid:1dbf1774-8ae2-4040-a3d9-cf891e16960f")</f>
        <v>uuid:1dbf1774-8ae2-4040-a3d9-cf891e16960f</v>
      </c>
    </row>
    <row r="107">
      <c r="A107" s="2" t="str">
        <f>IFERROR(__xludf.DUMMYFUNCTION("""COMPUTED_VALUE"""),"2025-09-30T12:30:20.810Z")</f>
        <v>2025-09-30T12:30:20.810Z</v>
      </c>
      <c r="B107" s="2" t="str">
        <f>IFERROR(__xludf.DUMMYFUNCTION("""COMPUTED_VALUE"""),"2025-09-30T16:12:10.732+08")</f>
        <v>2025-09-30T16:12:10.732+08</v>
      </c>
      <c r="C107" s="2" t="str">
        <f>IFERROR(__xludf.DUMMYFUNCTION("""COMPUTED_VALUE"""),"2025-09-30T20:30:02.728+08")</f>
        <v>2025-09-30T20:30:02.728+08</v>
      </c>
      <c r="D107" s="2" t="str">
        <f>IFERROR(__xludf.DUMMYFUNCTION("""COMPUTED_VALUE"""),"H030829016")</f>
        <v>H030829016</v>
      </c>
      <c r="E107" s="2" t="str">
        <f>IFERROR(__xludf.DUMMYFUNCTION("""COMPUTED_VALUE"""),"M6491032")</f>
        <v>M6491032</v>
      </c>
      <c r="F107" s="2" t="str">
        <f>IFERROR(__xludf.DUMMYFUNCTION("""COMPUTED_VALUE"""),"Rosevil Tayo Desamparado")</f>
        <v>Rosevil Tayo Desamparado</v>
      </c>
      <c r="G107" s="2"/>
      <c r="H107" s="2"/>
      <c r="I107" s="2" t="str">
        <f>IFERROR(__xludf.DUMMYFUNCTION("""COMPUTED_VALUE"""),"ICM_Business_linked_launch")</f>
        <v>ICM_Business_linked_launch</v>
      </c>
      <c r="J107" s="2" t="str">
        <f>IFERROR(__xludf.DUMMYFUNCTION("""COMPUTED_VALUE"""),"uuid:c6b522e5-3989-4908-b9f7-150ce0c7dab7")</f>
        <v>uuid:c6b522e5-3989-4908-b9f7-150ce0c7dab7</v>
      </c>
    </row>
    <row r="108">
      <c r="A108" s="2" t="str">
        <f>IFERROR(__xludf.DUMMYFUNCTION("""COMPUTED_VALUE"""),"2025-08-28T10:03:53.429Z")</f>
        <v>2025-08-28T10:03:53.429Z</v>
      </c>
      <c r="B108" s="2" t="str">
        <f>IFERROR(__xludf.DUMMYFUNCTION("""COMPUTED_VALUE"""),"2025-08-28T16:39:43.626+08")</f>
        <v>2025-08-28T16:39:43.626+08</v>
      </c>
      <c r="C108" s="2" t="str">
        <f>IFERROR(__xludf.DUMMYFUNCTION("""COMPUTED_VALUE"""),"2025-08-28T18:02:59.030+08")</f>
        <v>2025-08-28T18:02:59.030+08</v>
      </c>
      <c r="D108" s="2" t="str">
        <f>IFERROR(__xludf.DUMMYFUNCTION("""COMPUTED_VALUE"""),"H019820022")</f>
        <v>H019820022</v>
      </c>
      <c r="E108" s="2">
        <f>IFERROR(__xludf.DUMMYFUNCTION("""COMPUTED_VALUE"""),555127.0)</f>
        <v>555127</v>
      </c>
      <c r="F108" s="2" t="str">
        <f>IFERROR(__xludf.DUMMYFUNCTION("""COMPUTED_VALUE"""),"Mary May")</f>
        <v>Mary May</v>
      </c>
      <c r="G108" s="2"/>
      <c r="H108" s="2"/>
      <c r="I108" s="2" t="str">
        <f>IFERROR(__xludf.DUMMYFUNCTION("""COMPUTED_VALUE"""),"ICM_Business_linked_launch")</f>
        <v>ICM_Business_linked_launch</v>
      </c>
      <c r="J108" s="2" t="str">
        <f>IFERROR(__xludf.DUMMYFUNCTION("""COMPUTED_VALUE"""),"uuid:bbb8c553-f2ca-4641-b1df-79348fc5ab5e")</f>
        <v>uuid:bbb8c553-f2ca-4641-b1df-79348fc5ab5e</v>
      </c>
    </row>
    <row r="109">
      <c r="A109" s="2" t="str">
        <f>IFERROR(__xludf.DUMMYFUNCTION("""COMPUTED_VALUE"""),"2025-08-28T10:03:52.751Z")</f>
        <v>2025-08-28T10:03:52.751Z</v>
      </c>
      <c r="B109" s="2" t="str">
        <f>IFERROR(__xludf.DUMMYFUNCTION("""COMPUTED_VALUE"""),"2025-08-28T15:10:46.482+08")</f>
        <v>2025-08-28T15:10:46.482+08</v>
      </c>
      <c r="C109" s="2" t="str">
        <f>IFERROR(__xludf.DUMMYFUNCTION("""COMPUTED_VALUE"""),"2025-08-28T16:10:20.237+08")</f>
        <v>2025-08-28T16:10:20.237+08</v>
      </c>
      <c r="D109" s="2" t="str">
        <f>IFERROR(__xludf.DUMMYFUNCTION("""COMPUTED_VALUE"""),"H019820031")</f>
        <v>H019820031</v>
      </c>
      <c r="E109" s="2">
        <f>IFERROR(__xludf.DUMMYFUNCTION("""COMPUTED_VALUE"""),555127.0)</f>
        <v>555127</v>
      </c>
      <c r="F109" s="2" t="str">
        <f>IFERROR(__xludf.DUMMYFUNCTION("""COMPUTED_VALUE"""),"Mary May")</f>
        <v>Mary May</v>
      </c>
      <c r="G109" s="2"/>
      <c r="H109" s="2"/>
      <c r="I109" s="2" t="str">
        <f>IFERROR(__xludf.DUMMYFUNCTION("""COMPUTED_VALUE"""),"ICM_Business_linked_launch")</f>
        <v>ICM_Business_linked_launch</v>
      </c>
      <c r="J109" s="2" t="str">
        <f>IFERROR(__xludf.DUMMYFUNCTION("""COMPUTED_VALUE"""),"uuid:def99461-343a-4e21-988a-76683a5a4bcb")</f>
        <v>uuid:def99461-343a-4e21-988a-76683a5a4bcb</v>
      </c>
    </row>
    <row r="110">
      <c r="A110" s="2" t="str">
        <f>IFERROR(__xludf.DUMMYFUNCTION("""COMPUTED_VALUE"""),"2025-08-28T10:03:53.995Z")</f>
        <v>2025-08-28T10:03:53.995Z</v>
      </c>
      <c r="B110" s="2" t="str">
        <f>IFERROR(__xludf.DUMMYFUNCTION("""COMPUTED_VALUE"""),"2025-08-28T14:02:20.566+08")</f>
        <v>2025-08-28T14:02:20.566+08</v>
      </c>
      <c r="C110" s="2" t="str">
        <f>IFERROR(__xludf.DUMMYFUNCTION("""COMPUTED_VALUE"""),"2025-08-28T14:08:59.693+08")</f>
        <v>2025-08-28T14:08:59.693+08</v>
      </c>
      <c r="D110" s="2" t="str">
        <f>IFERROR(__xludf.DUMMYFUNCTION("""COMPUTED_VALUE"""),"H019820032")</f>
        <v>H019820032</v>
      </c>
      <c r="E110" s="2">
        <f>IFERROR(__xludf.DUMMYFUNCTION("""COMPUTED_VALUE"""),555127.0)</f>
        <v>555127</v>
      </c>
      <c r="F110" s="2" t="str">
        <f>IFERROR(__xludf.DUMMYFUNCTION("""COMPUTED_VALUE"""),"Mary May")</f>
        <v>Mary May</v>
      </c>
      <c r="G110" s="2"/>
      <c r="H110" s="2"/>
      <c r="I110" s="2" t="str">
        <f>IFERROR(__xludf.DUMMYFUNCTION("""COMPUTED_VALUE"""),"ICM_Business_linked_launch")</f>
        <v>ICM_Business_linked_launch</v>
      </c>
      <c r="J110" s="2" t="str">
        <f>IFERROR(__xludf.DUMMYFUNCTION("""COMPUTED_VALUE"""),"uuid:99b2b7d6-3771-4d03-95c0-3f4e68b32faa")</f>
        <v>uuid:99b2b7d6-3771-4d03-95c0-3f4e68b32faa</v>
      </c>
    </row>
    <row r="111">
      <c r="A111" s="2" t="str">
        <f>IFERROR(__xludf.DUMMYFUNCTION("""COMPUTED_VALUE"""),"2025-08-28T10:25:24.080Z")</f>
        <v>2025-08-28T10:25:24.080Z</v>
      </c>
      <c r="B111" s="2" t="str">
        <f>IFERROR(__xludf.DUMMYFUNCTION("""COMPUTED_VALUE"""),"2025-08-28T13:55:42.919+08")</f>
        <v>2025-08-28T13:55:42.919+08</v>
      </c>
      <c r="C111" s="2" t="str">
        <f>IFERROR(__xludf.DUMMYFUNCTION("""COMPUTED_VALUE"""),"2025-08-28T14:00:50.898+08")</f>
        <v>2025-08-28T14:00:50.898+08</v>
      </c>
      <c r="D111" s="2" t="str">
        <f>IFERROR(__xludf.DUMMYFUNCTION("""COMPUTED_VALUE"""),"H030415019")</f>
        <v>H030415019</v>
      </c>
      <c r="E111" s="2" t="str">
        <f>IFERROR(__xludf.DUMMYFUNCTION("""COMPUTED_VALUE"""),"O3925718")</f>
        <v>O3925718</v>
      </c>
      <c r="F111" s="2" t="str">
        <f>IFERROR(__xludf.DUMMYFUNCTION("""COMPUTED_VALUE"""),"Adrian Montecastro Ferrer")</f>
        <v>Adrian Montecastro Ferrer</v>
      </c>
      <c r="G111" s="2"/>
      <c r="H111" s="2"/>
      <c r="I111" s="2" t="str">
        <f>IFERROR(__xludf.DUMMYFUNCTION("""COMPUTED_VALUE"""),"ICM_Business_linked_launch")</f>
        <v>ICM_Business_linked_launch</v>
      </c>
      <c r="J111" s="2" t="str">
        <f>IFERROR(__xludf.DUMMYFUNCTION("""COMPUTED_VALUE"""),"uuid:e4cd8a59-7ad7-4e6a-9953-94e8bbbf0c1f")</f>
        <v>uuid:e4cd8a59-7ad7-4e6a-9953-94e8bbbf0c1f</v>
      </c>
    </row>
    <row r="112">
      <c r="A112" s="2" t="str">
        <f>IFERROR(__xludf.DUMMYFUNCTION("""COMPUTED_VALUE"""),"2025-08-28T10:25:24.986Z")</f>
        <v>2025-08-28T10:25:24.986Z</v>
      </c>
      <c r="B112" s="2" t="str">
        <f>IFERROR(__xludf.DUMMYFUNCTION("""COMPUTED_VALUE"""),"2025-08-28T12:29:09.394+08")</f>
        <v>2025-08-28T12:29:09.394+08</v>
      </c>
      <c r="C112" s="2" t="str">
        <f>IFERROR(__xludf.DUMMYFUNCTION("""COMPUTED_VALUE"""),"2025-08-28T12:39:58.597+08")</f>
        <v>2025-08-28T12:39:58.597+08</v>
      </c>
      <c r="D112" s="2" t="str">
        <f>IFERROR(__xludf.DUMMYFUNCTION("""COMPUTED_VALUE"""),"H030415022")</f>
        <v>H030415022</v>
      </c>
      <c r="E112" s="2" t="str">
        <f>IFERROR(__xludf.DUMMYFUNCTION("""COMPUTED_VALUE"""),"O3925718")</f>
        <v>O3925718</v>
      </c>
      <c r="F112" s="2" t="str">
        <f>IFERROR(__xludf.DUMMYFUNCTION("""COMPUTED_VALUE"""),"Adrian Montecastro Ferrer")</f>
        <v>Adrian Montecastro Ferrer</v>
      </c>
      <c r="G112" s="2"/>
      <c r="H112" s="2"/>
      <c r="I112" s="2" t="str">
        <f>IFERROR(__xludf.DUMMYFUNCTION("""COMPUTED_VALUE"""),"ICM_Business_linked_launch")</f>
        <v>ICM_Business_linked_launch</v>
      </c>
      <c r="J112" s="2" t="str">
        <f>IFERROR(__xludf.DUMMYFUNCTION("""COMPUTED_VALUE"""),"uuid:33031466-3075-460a-b1d2-1976005be602")</f>
        <v>uuid:33031466-3075-460a-b1d2-1976005be602</v>
      </c>
    </row>
    <row r="113">
      <c r="A113" s="2" t="str">
        <f>IFERROR(__xludf.DUMMYFUNCTION("""COMPUTED_VALUE"""),"2025-08-28T10:25:24.639Z")</f>
        <v>2025-08-28T10:25:24.639Z</v>
      </c>
      <c r="B113" s="2" t="str">
        <f>IFERROR(__xludf.DUMMYFUNCTION("""COMPUTED_VALUE"""),"2025-08-28T15:17:58.764+08")</f>
        <v>2025-08-28T15:17:58.764+08</v>
      </c>
      <c r="C113" s="2" t="str">
        <f>IFERROR(__xludf.DUMMYFUNCTION("""COMPUTED_VALUE"""),"2025-08-28T15:31:40.193+08")</f>
        <v>2025-08-28T15:31:40.193+08</v>
      </c>
      <c r="D113" s="2" t="str">
        <f>IFERROR(__xludf.DUMMYFUNCTION("""COMPUTED_VALUE"""),"H030415023")</f>
        <v>H030415023</v>
      </c>
      <c r="E113" s="2" t="str">
        <f>IFERROR(__xludf.DUMMYFUNCTION("""COMPUTED_VALUE"""),"O3925718")</f>
        <v>O3925718</v>
      </c>
      <c r="F113" s="2" t="str">
        <f>IFERROR(__xludf.DUMMYFUNCTION("""COMPUTED_VALUE"""),"Adrian Montecastro Ferrer")</f>
        <v>Adrian Montecastro Ferrer</v>
      </c>
      <c r="G113" s="2"/>
      <c r="H113" s="2"/>
      <c r="I113" s="2" t="str">
        <f>IFERROR(__xludf.DUMMYFUNCTION("""COMPUTED_VALUE"""),"ICM_Business_linked_launch")</f>
        <v>ICM_Business_linked_launch</v>
      </c>
      <c r="J113" s="2" t="str">
        <f>IFERROR(__xludf.DUMMYFUNCTION("""COMPUTED_VALUE"""),"uuid:3cc5d01e-14f3-4125-b155-0ecdcd3ad194")</f>
        <v>uuid:3cc5d01e-14f3-4125-b155-0ecdcd3ad194</v>
      </c>
    </row>
    <row r="114">
      <c r="A114" s="2" t="str">
        <f>IFERROR(__xludf.DUMMYFUNCTION("""COMPUTED_VALUE"""),"2025-08-28T10:42:18.465Z")</f>
        <v>2025-08-28T10:42:18.465Z</v>
      </c>
      <c r="B114" s="2" t="str">
        <f>IFERROR(__xludf.DUMMYFUNCTION("""COMPUTED_VALUE"""),"2025-08-28T10:24:19.413+08")</f>
        <v>2025-08-28T10:24:19.413+08</v>
      </c>
      <c r="C114" s="2" t="str">
        <f>IFERROR(__xludf.DUMMYFUNCTION("""COMPUTED_VALUE"""),"2025-08-28T10:32:36.410+08")</f>
        <v>2025-08-28T10:32:36.410+08</v>
      </c>
      <c r="D114" s="2" t="str">
        <f>IFERROR(__xludf.DUMMYFUNCTION("""COMPUTED_VALUE"""),"H019820026")</f>
        <v>H019820026</v>
      </c>
      <c r="E114" s="2">
        <f>IFERROR(__xludf.DUMMYFUNCTION("""COMPUTED_VALUE"""),841329.0)</f>
        <v>841329</v>
      </c>
      <c r="F114" s="2" t="str">
        <f>IFERROR(__xludf.DUMMYFUNCTION("""COMPUTED_VALUE"""),"Aila Eli")</f>
        <v>Aila Eli</v>
      </c>
      <c r="G114" s="2"/>
      <c r="H114" s="2"/>
      <c r="I114" s="2" t="str">
        <f>IFERROR(__xludf.DUMMYFUNCTION("""COMPUTED_VALUE"""),"ICM_Business_linked_launch")</f>
        <v>ICM_Business_linked_launch</v>
      </c>
      <c r="J114" s="2" t="str">
        <f>IFERROR(__xludf.DUMMYFUNCTION("""COMPUTED_VALUE"""),"uuid:239a2105-6222-4268-815e-fbf06e38ec94")</f>
        <v>uuid:239a2105-6222-4268-815e-fbf06e38ec94</v>
      </c>
    </row>
    <row r="115">
      <c r="A115" s="2" t="str">
        <f>IFERROR(__xludf.DUMMYFUNCTION("""COMPUTED_VALUE"""),"2025-08-28T10:42:19.200Z")</f>
        <v>2025-08-28T10:42:19.200Z</v>
      </c>
      <c r="B115" s="2" t="str">
        <f>IFERROR(__xludf.DUMMYFUNCTION("""COMPUTED_VALUE"""),"2025-08-28T09:59:50.260+08")</f>
        <v>2025-08-28T09:59:50.260+08</v>
      </c>
      <c r="C115" s="2" t="str">
        <f>IFERROR(__xludf.DUMMYFUNCTION("""COMPUTED_VALUE"""),"2025-08-28T10:05:29.169+08")</f>
        <v>2025-08-28T10:05:29.169+08</v>
      </c>
      <c r="D115" s="2" t="str">
        <f>IFERROR(__xludf.DUMMYFUNCTION("""COMPUTED_VALUE"""),"H019559030")</f>
        <v>H019559030</v>
      </c>
      <c r="E115" s="2">
        <f>IFERROR(__xludf.DUMMYFUNCTION("""COMPUTED_VALUE"""),729375.0)</f>
        <v>729375</v>
      </c>
      <c r="F115" s="2" t="str">
        <f>IFERROR(__xludf.DUMMYFUNCTION("""COMPUTED_VALUE"""),"Janet Serafica")</f>
        <v>Janet Serafica</v>
      </c>
      <c r="G115" s="2"/>
      <c r="H115" s="2"/>
      <c r="I115" s="2" t="str">
        <f>IFERROR(__xludf.DUMMYFUNCTION("""COMPUTED_VALUE"""),"ICM_Business_linked_launch")</f>
        <v>ICM_Business_linked_launch</v>
      </c>
      <c r="J115" s="2" t="str">
        <f>IFERROR(__xludf.DUMMYFUNCTION("""COMPUTED_VALUE"""),"uuid:36bd0f59-3881-40da-aaf2-c9369cfc9d65")</f>
        <v>uuid:36bd0f59-3881-40da-aaf2-c9369cfc9d65</v>
      </c>
    </row>
    <row r="116">
      <c r="A116" s="2" t="str">
        <f>IFERROR(__xludf.DUMMYFUNCTION("""COMPUTED_VALUE"""),"2025-08-28T10:42:20.159Z")</f>
        <v>2025-08-28T10:42:20.159Z</v>
      </c>
      <c r="B116" s="2" t="str">
        <f>IFERROR(__xludf.DUMMYFUNCTION("""COMPUTED_VALUE"""),"2025-08-28T14:42:38.396+08")</f>
        <v>2025-08-28T14:42:38.396+08</v>
      </c>
      <c r="C116" s="2" t="str">
        <f>IFERROR(__xludf.DUMMYFUNCTION("""COMPUTED_VALUE"""),"2025-08-28T14:50:51.655+08")</f>
        <v>2025-08-28T14:50:51.655+08</v>
      </c>
      <c r="D116" s="2" t="str">
        <f>IFERROR(__xludf.DUMMYFUNCTION("""COMPUTED_VALUE"""),"H019559023")</f>
        <v>H019559023</v>
      </c>
      <c r="E116" s="2">
        <f>IFERROR(__xludf.DUMMYFUNCTION("""COMPUTED_VALUE"""),729375.0)</f>
        <v>729375</v>
      </c>
      <c r="F116" s="2" t="str">
        <f>IFERROR(__xludf.DUMMYFUNCTION("""COMPUTED_VALUE"""),"Janet Serafica")</f>
        <v>Janet Serafica</v>
      </c>
      <c r="G116" s="2"/>
      <c r="H116" s="2"/>
      <c r="I116" s="2" t="str">
        <f>IFERROR(__xludf.DUMMYFUNCTION("""COMPUTED_VALUE"""),"ICM_Business_linked_launch")</f>
        <v>ICM_Business_linked_launch</v>
      </c>
      <c r="J116" s="2" t="str">
        <f>IFERROR(__xludf.DUMMYFUNCTION("""COMPUTED_VALUE"""),"uuid:7a735e21-c687-483d-9ffd-39560e597bc3")</f>
        <v>uuid:7a735e21-c687-483d-9ffd-39560e597bc3</v>
      </c>
    </row>
    <row r="117">
      <c r="A117" s="2" t="str">
        <f>IFERROR(__xludf.DUMMYFUNCTION("""COMPUTED_VALUE"""),"2025-08-28T10:42:19.830Z")</f>
        <v>2025-08-28T10:42:19.830Z</v>
      </c>
      <c r="B117" s="2" t="str">
        <f>IFERROR(__xludf.DUMMYFUNCTION("""COMPUTED_VALUE"""),"2025-08-28T12:06:05.977+08")</f>
        <v>2025-08-28T12:06:05.977+08</v>
      </c>
      <c r="C117" s="2" t="str">
        <f>IFERROR(__xludf.DUMMYFUNCTION("""COMPUTED_VALUE"""),"2025-08-28T12:34:13.342+08")</f>
        <v>2025-08-28T12:34:13.342+08</v>
      </c>
      <c r="D117" s="2" t="str">
        <f>IFERROR(__xludf.DUMMYFUNCTION("""COMPUTED_VALUE"""),"H019820020")</f>
        <v>H019820020</v>
      </c>
      <c r="E117" s="2">
        <f>IFERROR(__xludf.DUMMYFUNCTION("""COMPUTED_VALUE"""),841329.0)</f>
        <v>841329</v>
      </c>
      <c r="F117" s="2" t="str">
        <f>IFERROR(__xludf.DUMMYFUNCTION("""COMPUTED_VALUE"""),"Aila Eli")</f>
        <v>Aila Eli</v>
      </c>
      <c r="G117" s="2"/>
      <c r="H117" s="2"/>
      <c r="I117" s="2" t="str">
        <f>IFERROR(__xludf.DUMMYFUNCTION("""COMPUTED_VALUE"""),"ICM_Business_linked_launch")</f>
        <v>ICM_Business_linked_launch</v>
      </c>
      <c r="J117" s="2" t="str">
        <f>IFERROR(__xludf.DUMMYFUNCTION("""COMPUTED_VALUE"""),"uuid:a70bda0c-38f7-48d6-b69e-0ccf59cae7f1")</f>
        <v>uuid:a70bda0c-38f7-48d6-b69e-0ccf59cae7f1</v>
      </c>
    </row>
    <row r="118">
      <c r="A118" s="2" t="str">
        <f>IFERROR(__xludf.DUMMYFUNCTION("""COMPUTED_VALUE"""),"2025-08-28T10:42:20.804Z")</f>
        <v>2025-08-28T10:42:20.804Z</v>
      </c>
      <c r="B118" s="2" t="str">
        <f>IFERROR(__xludf.DUMMYFUNCTION("""COMPUTED_VALUE"""),"2025-08-28T14:12:25.141+08")</f>
        <v>2025-08-28T14:12:25.141+08</v>
      </c>
      <c r="C118" s="2" t="str">
        <f>IFERROR(__xludf.DUMMYFUNCTION("""COMPUTED_VALUE"""),"2025-08-28T17:45:51.128+08")</f>
        <v>2025-08-28T17:45:51.128+08</v>
      </c>
      <c r="D118" s="2" t="str">
        <f>IFERROR(__xludf.DUMMYFUNCTION("""COMPUTED_VALUE"""),"H019820019")</f>
        <v>H019820019</v>
      </c>
      <c r="E118" s="2">
        <f>IFERROR(__xludf.DUMMYFUNCTION("""COMPUTED_VALUE"""),841329.0)</f>
        <v>841329</v>
      </c>
      <c r="F118" s="2" t="str">
        <f>IFERROR(__xludf.DUMMYFUNCTION("""COMPUTED_VALUE"""),"Aila Eli")</f>
        <v>Aila Eli</v>
      </c>
      <c r="G118" s="2"/>
      <c r="H118" s="2"/>
      <c r="I118" s="2" t="str">
        <f>IFERROR(__xludf.DUMMYFUNCTION("""COMPUTED_VALUE"""),"ICM_Business_linked_launch")</f>
        <v>ICM_Business_linked_launch</v>
      </c>
      <c r="J118" s="2" t="str">
        <f>IFERROR(__xludf.DUMMYFUNCTION("""COMPUTED_VALUE"""),"uuid:d9a42632-35ab-40ac-bc2b-82c3b8917352")</f>
        <v>uuid:d9a42632-35ab-40ac-bc2b-82c3b8917352</v>
      </c>
    </row>
    <row r="119">
      <c r="A119" s="2" t="str">
        <f>IFERROR(__xludf.DUMMYFUNCTION("""COMPUTED_VALUE"""),"2025-08-28T11:05:31.107Z")</f>
        <v>2025-08-28T11:05:31.107Z</v>
      </c>
      <c r="B119" s="2" t="str">
        <f>IFERROR(__xludf.DUMMYFUNCTION("""COMPUTED_VALUE"""),"2025-08-28T11:39:34.303+08")</f>
        <v>2025-08-28T11:39:34.303+08</v>
      </c>
      <c r="C119" s="2" t="str">
        <f>IFERROR(__xludf.DUMMYFUNCTION("""COMPUTED_VALUE"""),"2025-08-28T12:15:43.321+08")</f>
        <v>2025-08-28T12:15:43.321+08</v>
      </c>
      <c r="D119" s="2" t="str">
        <f>IFERROR(__xludf.DUMMYFUNCTION("""COMPUTED_VALUE"""),"H030415018")</f>
        <v>H030415018</v>
      </c>
      <c r="E119" s="2" t="str">
        <f>IFERROR(__xludf.DUMMYFUNCTION("""COMPUTED_VALUE"""),"N7814260")</f>
        <v>N7814260</v>
      </c>
      <c r="F119" s="2" t="str">
        <f>IFERROR(__xludf.DUMMYFUNCTION("""COMPUTED_VALUE"""),"Jemma Marie Tillo")</f>
        <v>Jemma Marie Tillo</v>
      </c>
      <c r="G119" s="2"/>
      <c r="H119" s="2"/>
      <c r="I119" s="2" t="str">
        <f>IFERROR(__xludf.DUMMYFUNCTION("""COMPUTED_VALUE"""),"ICM_Business_linked_launch")</f>
        <v>ICM_Business_linked_launch</v>
      </c>
      <c r="J119" s="2" t="str">
        <f>IFERROR(__xludf.DUMMYFUNCTION("""COMPUTED_VALUE"""),"uuid:d8f6f42f-5174-40d0-8aa1-72746c691f9a")</f>
        <v>uuid:d8f6f42f-5174-40d0-8aa1-72746c691f9a</v>
      </c>
    </row>
    <row r="120">
      <c r="A120" s="2" t="str">
        <f>IFERROR(__xludf.DUMMYFUNCTION("""COMPUTED_VALUE"""),"2025-08-28T11:05:34.512Z")</f>
        <v>2025-08-28T11:05:34.512Z</v>
      </c>
      <c r="B120" s="2" t="str">
        <f>IFERROR(__xludf.DUMMYFUNCTION("""COMPUTED_VALUE"""),"2025-08-28T14:47:48.117+08")</f>
        <v>2025-08-28T14:47:48.117+08</v>
      </c>
      <c r="C120" s="2" t="str">
        <f>IFERROR(__xludf.DUMMYFUNCTION("""COMPUTED_VALUE"""),"2025-08-28T14:53:08.072+08")</f>
        <v>2025-08-28T14:53:08.072+08</v>
      </c>
      <c r="D120" s="2" t="str">
        <f>IFERROR(__xludf.DUMMYFUNCTION("""COMPUTED_VALUE"""),"H030415020")</f>
        <v>H030415020</v>
      </c>
      <c r="E120" s="2" t="str">
        <f>IFERROR(__xludf.DUMMYFUNCTION("""COMPUTED_VALUE"""),"N7814260")</f>
        <v>N7814260</v>
      </c>
      <c r="F120" s="2" t="str">
        <f>IFERROR(__xludf.DUMMYFUNCTION("""COMPUTED_VALUE"""),"Jemma Marie Tillo")</f>
        <v>Jemma Marie Tillo</v>
      </c>
      <c r="G120" s="2"/>
      <c r="H120" s="2"/>
      <c r="I120" s="2" t="str">
        <f>IFERROR(__xludf.DUMMYFUNCTION("""COMPUTED_VALUE"""),"ICM_Business_linked_launch")</f>
        <v>ICM_Business_linked_launch</v>
      </c>
      <c r="J120" s="2" t="str">
        <f>IFERROR(__xludf.DUMMYFUNCTION("""COMPUTED_VALUE"""),"uuid:87ef1601-7e13-4a05-8cde-0bb91f02f28e")</f>
        <v>uuid:87ef1601-7e13-4a05-8cde-0bb91f02f28e</v>
      </c>
    </row>
    <row r="121">
      <c r="A121" s="2" t="str">
        <f>IFERROR(__xludf.DUMMYFUNCTION("""COMPUTED_VALUE"""),"2025-08-28T11:05:34.907Z")</f>
        <v>2025-08-28T11:05:34.907Z</v>
      </c>
      <c r="B121" s="2" t="str">
        <f>IFERROR(__xludf.DUMMYFUNCTION("""COMPUTED_VALUE"""),"2025-08-28T16:29:03.015+08")</f>
        <v>2025-08-28T16:29:03.015+08</v>
      </c>
      <c r="C121" s="2" t="str">
        <f>IFERROR(__xludf.DUMMYFUNCTION("""COMPUTED_VALUE"""),"2025-08-28T16:34:37.616+08")</f>
        <v>2025-08-28T16:34:37.616+08</v>
      </c>
      <c r="D121" s="2" t="str">
        <f>IFERROR(__xludf.DUMMYFUNCTION("""COMPUTED_VALUE"""),"H030415007")</f>
        <v>H030415007</v>
      </c>
      <c r="E121" s="2" t="str">
        <f>IFERROR(__xludf.DUMMYFUNCTION("""COMPUTED_VALUE"""),"N7814260")</f>
        <v>N7814260</v>
      </c>
      <c r="F121" s="2" t="str">
        <f>IFERROR(__xludf.DUMMYFUNCTION("""COMPUTED_VALUE"""),"Jemma Marie Tillo")</f>
        <v>Jemma Marie Tillo</v>
      </c>
      <c r="G121" s="2"/>
      <c r="H121" s="2"/>
      <c r="I121" s="2" t="str">
        <f>IFERROR(__xludf.DUMMYFUNCTION("""COMPUTED_VALUE"""),"ICM_Business_linked_launch")</f>
        <v>ICM_Business_linked_launch</v>
      </c>
      <c r="J121" s="2" t="str">
        <f>IFERROR(__xludf.DUMMYFUNCTION("""COMPUTED_VALUE"""),"uuid:f0cfb886-5c9d-4fe2-88f1-418b49d37667")</f>
        <v>uuid:f0cfb886-5c9d-4fe2-88f1-418b49d37667</v>
      </c>
    </row>
    <row r="122">
      <c r="A122" s="2" t="str">
        <f>IFERROR(__xludf.DUMMYFUNCTION("""COMPUTED_VALUE"""),"2025-08-28T11:07:42.258Z")</f>
        <v>2025-08-28T11:07:42.258Z</v>
      </c>
      <c r="B122" s="2" t="str">
        <f>IFERROR(__xludf.DUMMYFUNCTION("""COMPUTED_VALUE"""),"2025-08-28T09:53:55.943+08")</f>
        <v>2025-08-28T09:53:55.943+08</v>
      </c>
      <c r="C122" s="2" t="str">
        <f>IFERROR(__xludf.DUMMYFUNCTION("""COMPUTED_VALUE"""),"2025-08-28T09:58:50.477+08")</f>
        <v>2025-08-28T09:58:50.477+08</v>
      </c>
      <c r="D122" s="2" t="str">
        <f>IFERROR(__xludf.DUMMYFUNCTION("""COMPUTED_VALUE"""),"H019820023")</f>
        <v>H019820023</v>
      </c>
      <c r="E122" s="2">
        <f>IFERROR(__xludf.DUMMYFUNCTION("""COMPUTED_VALUE"""),455939.0)</f>
        <v>455939</v>
      </c>
      <c r="F122" s="2" t="str">
        <f>IFERROR(__xludf.DUMMYFUNCTION("""COMPUTED_VALUE"""),"Mary Jean Villaflor (duplicate name received from ICM_follow_up_launch on August 26, 2025 11:49 UTC+00:00; submission key: uuid:58eb9512-174e-4e57-ac68-bdc54e35ccff)")</f>
        <v>Mary Jean Villaflor (duplicate name received from ICM_follow_up_launch on August 26, 2025 11:49 UTC+00:00; submission key: uuid:58eb9512-174e-4e57-ac68-bdc54e35ccff)</v>
      </c>
      <c r="G122" s="2"/>
      <c r="H122" s="2"/>
      <c r="I122" s="2" t="str">
        <f>IFERROR(__xludf.DUMMYFUNCTION("""COMPUTED_VALUE"""),"ICM_Business_linked_launch")</f>
        <v>ICM_Business_linked_launch</v>
      </c>
      <c r="J122" s="2" t="str">
        <f>IFERROR(__xludf.DUMMYFUNCTION("""COMPUTED_VALUE"""),"uuid:38d82392-e77a-4e4e-85e1-7bc66f6ef6f9")</f>
        <v>uuid:38d82392-e77a-4e4e-85e1-7bc66f6ef6f9</v>
      </c>
    </row>
    <row r="123">
      <c r="A123" s="2" t="str">
        <f>IFERROR(__xludf.DUMMYFUNCTION("""COMPUTED_VALUE"""),"2025-08-28T11:07:43.186Z")</f>
        <v>2025-08-28T11:07:43.186Z</v>
      </c>
      <c r="B123" s="2" t="str">
        <f>IFERROR(__xludf.DUMMYFUNCTION("""COMPUTED_VALUE"""),"2025-08-28T11:01:30.279+08")</f>
        <v>2025-08-28T11:01:30.279+08</v>
      </c>
      <c r="C123" s="2" t="str">
        <f>IFERROR(__xludf.DUMMYFUNCTION("""COMPUTED_VALUE"""),"2025-08-28T11:04:56.038+08")</f>
        <v>2025-08-28T11:04:56.038+08</v>
      </c>
      <c r="D123" s="2" t="str">
        <f>IFERROR(__xludf.DUMMYFUNCTION("""COMPUTED_VALUE"""),"H019820029")</f>
        <v>H019820029</v>
      </c>
      <c r="E123" s="2">
        <f>IFERROR(__xludf.DUMMYFUNCTION("""COMPUTED_VALUE"""),455939.0)</f>
        <v>455939</v>
      </c>
      <c r="F123" s="2" t="str">
        <f>IFERROR(__xludf.DUMMYFUNCTION("""COMPUTED_VALUE"""),"Mary Jean Villaflor (duplicate name received from ICM_follow_up_launch on August 26, 2025 11:49 UTC+00:00; submission key: uuid:58eb9512-174e-4e57-ac68-bdc54e35ccff)")</f>
        <v>Mary Jean Villaflor (duplicate name received from ICM_follow_up_launch on August 26, 2025 11:49 UTC+00:00; submission key: uuid:58eb9512-174e-4e57-ac68-bdc54e35ccff)</v>
      </c>
      <c r="G123" s="2"/>
      <c r="H123" s="2"/>
      <c r="I123" s="2" t="str">
        <f>IFERROR(__xludf.DUMMYFUNCTION("""COMPUTED_VALUE"""),"ICM_Business_linked_launch")</f>
        <v>ICM_Business_linked_launch</v>
      </c>
      <c r="J123" s="2" t="str">
        <f>IFERROR(__xludf.DUMMYFUNCTION("""COMPUTED_VALUE"""),"uuid:909a78b4-9291-4350-8d39-5731da6f490e")</f>
        <v>uuid:909a78b4-9291-4350-8d39-5731da6f490e</v>
      </c>
    </row>
    <row r="124">
      <c r="A124" s="2" t="str">
        <f>IFERROR(__xludf.DUMMYFUNCTION("""COMPUTED_VALUE"""),"2025-08-28T11:07:43.921Z")</f>
        <v>2025-08-28T11:07:43.921Z</v>
      </c>
      <c r="B124" s="2" t="str">
        <f>IFERROR(__xludf.DUMMYFUNCTION("""COMPUTED_VALUE"""),"2025-08-28T12:13:19.064+08")</f>
        <v>2025-08-28T12:13:19.064+08</v>
      </c>
      <c r="C124" s="2" t="str">
        <f>IFERROR(__xludf.DUMMYFUNCTION("""COMPUTED_VALUE"""),"2025-08-28T12:17:43.133+08")</f>
        <v>2025-08-28T12:17:43.133+08</v>
      </c>
      <c r="D124" s="2" t="str">
        <f>IFERROR(__xludf.DUMMYFUNCTION("""COMPUTED_VALUE"""),"H019820027")</f>
        <v>H019820027</v>
      </c>
      <c r="E124" s="2">
        <f>IFERROR(__xludf.DUMMYFUNCTION("""COMPUTED_VALUE"""),455939.0)</f>
        <v>455939</v>
      </c>
      <c r="F124" s="2" t="str">
        <f>IFERROR(__xludf.DUMMYFUNCTION("""COMPUTED_VALUE"""),"Mary Jean Villaflor (duplicate name received from ICM_follow_up_launch on August 26, 2025 11:49 UTC+00:00; submission key: uuid:58eb9512-174e-4e57-ac68-bdc54e35ccff)")</f>
        <v>Mary Jean Villaflor (duplicate name received from ICM_follow_up_launch on August 26, 2025 11:49 UTC+00:00; submission key: uuid:58eb9512-174e-4e57-ac68-bdc54e35ccff)</v>
      </c>
      <c r="G124" s="2"/>
      <c r="H124" s="2"/>
      <c r="I124" s="2" t="str">
        <f>IFERROR(__xludf.DUMMYFUNCTION("""COMPUTED_VALUE"""),"ICM_Business_linked_launch")</f>
        <v>ICM_Business_linked_launch</v>
      </c>
      <c r="J124" s="2" t="str">
        <f>IFERROR(__xludf.DUMMYFUNCTION("""COMPUTED_VALUE"""),"uuid:1c9774e9-a629-464d-afd6-d7e758346e95")</f>
        <v>uuid:1c9774e9-a629-464d-afd6-d7e758346e95</v>
      </c>
    </row>
    <row r="125">
      <c r="A125" s="2" t="str">
        <f>IFERROR(__xludf.DUMMYFUNCTION("""COMPUTED_VALUE"""),"2025-08-28T11:07:44.655Z")</f>
        <v>2025-08-28T11:07:44.655Z</v>
      </c>
      <c r="B125" s="2" t="str">
        <f>IFERROR(__xludf.DUMMYFUNCTION("""COMPUTED_VALUE"""),"2025-08-28T14:51:46.389+08")</f>
        <v>2025-08-28T14:51:46.389+08</v>
      </c>
      <c r="C125" s="2" t="str">
        <f>IFERROR(__xludf.DUMMYFUNCTION("""COMPUTED_VALUE"""),"2025-08-28T14:54:32.032+08")</f>
        <v>2025-08-28T14:54:32.032+08</v>
      </c>
      <c r="D125" s="2" t="str">
        <f>IFERROR(__xludf.DUMMYFUNCTION("""COMPUTED_VALUE"""),"H019820033")</f>
        <v>H019820033</v>
      </c>
      <c r="E125" s="2">
        <f>IFERROR(__xludf.DUMMYFUNCTION("""COMPUTED_VALUE"""),455939.0)</f>
        <v>455939</v>
      </c>
      <c r="F125" s="2" t="str">
        <f>IFERROR(__xludf.DUMMYFUNCTION("""COMPUTED_VALUE"""),"Mary Jean Villaflor (duplicate name received from ICM_follow_up_launch on August 26, 2025 11:49 UTC+00:00; submission key: uuid:58eb9512-174e-4e57-ac68-bdc54e35ccff)")</f>
        <v>Mary Jean Villaflor (duplicate name received from ICM_follow_up_launch on August 26, 2025 11:49 UTC+00:00; submission key: uuid:58eb9512-174e-4e57-ac68-bdc54e35ccff)</v>
      </c>
      <c r="G125" s="2"/>
      <c r="H125" s="2"/>
      <c r="I125" s="2" t="str">
        <f>IFERROR(__xludf.DUMMYFUNCTION("""COMPUTED_VALUE"""),"ICM_Business_linked_launch")</f>
        <v>ICM_Business_linked_launch</v>
      </c>
      <c r="J125" s="2" t="str">
        <f>IFERROR(__xludf.DUMMYFUNCTION("""COMPUTED_VALUE"""),"uuid:1b59138f-a122-4d82-af95-894a27eb92c9")</f>
        <v>uuid:1b59138f-a122-4d82-af95-894a27eb92c9</v>
      </c>
    </row>
    <row r="126">
      <c r="A126" s="2" t="str">
        <f>IFERROR(__xludf.DUMMYFUNCTION("""COMPUTED_VALUE"""),"2025-08-28T11:17:26.951Z")</f>
        <v>2025-08-28T11:17:26.951Z</v>
      </c>
      <c r="B126" s="2" t="str">
        <f>IFERROR(__xludf.DUMMYFUNCTION("""COMPUTED_VALUE"""),"2025-08-28T17:02:20.795+08")</f>
        <v>2025-08-28T17:02:20.795+08</v>
      </c>
      <c r="C126" s="2" t="str">
        <f>IFERROR(__xludf.DUMMYFUNCTION("""COMPUTED_VALUE"""),"2025-08-28T17:14:45.014+08")</f>
        <v>2025-08-28T17:14:45.014+08</v>
      </c>
      <c r="D126" s="2" t="str">
        <f>IFERROR(__xludf.DUMMYFUNCTION("""COMPUTED_VALUE"""),"H030015033")</f>
        <v>H030015033</v>
      </c>
      <c r="E126" s="2" t="str">
        <f>IFERROR(__xludf.DUMMYFUNCTION("""COMPUTED_VALUE"""),"H2846135")</f>
        <v>H2846135</v>
      </c>
      <c r="F126" s="2" t="str">
        <f>IFERROR(__xludf.DUMMYFUNCTION("""COMPUTED_VALUE"""),"Annalou Empanado Encontro")</f>
        <v>Annalou Empanado Encontro</v>
      </c>
      <c r="G126" s="2"/>
      <c r="H126" s="2"/>
      <c r="I126" s="2" t="str">
        <f>IFERROR(__xludf.DUMMYFUNCTION("""COMPUTED_VALUE"""),"ICM_Business_linked_launch")</f>
        <v>ICM_Business_linked_launch</v>
      </c>
      <c r="J126" s="2" t="str">
        <f>IFERROR(__xludf.DUMMYFUNCTION("""COMPUTED_VALUE"""),"uuid:72587f6e-00f9-44b2-acf4-a2047d29307a")</f>
        <v>uuid:72587f6e-00f9-44b2-acf4-a2047d29307a</v>
      </c>
    </row>
    <row r="127">
      <c r="A127" s="2" t="str">
        <f>IFERROR(__xludf.DUMMYFUNCTION("""COMPUTED_VALUE"""),"2025-08-28T11:17:27.361Z")</f>
        <v>2025-08-28T11:17:27.361Z</v>
      </c>
      <c r="B127" s="2" t="str">
        <f>IFERROR(__xludf.DUMMYFUNCTION("""COMPUTED_VALUE"""),"2025-08-28T13:02:19.752+08")</f>
        <v>2025-08-28T13:02:19.752+08</v>
      </c>
      <c r="C127" s="2" t="str">
        <f>IFERROR(__xludf.DUMMYFUNCTION("""COMPUTED_VALUE"""),"2025-08-28T13:37:27.699+08")</f>
        <v>2025-08-28T13:37:27.699+08</v>
      </c>
      <c r="D127" s="2" t="str">
        <f>IFERROR(__xludf.DUMMYFUNCTION("""COMPUTED_VALUE"""),"H030015021")</f>
        <v>H030015021</v>
      </c>
      <c r="E127" s="2" t="str">
        <f>IFERROR(__xludf.DUMMYFUNCTION("""COMPUTED_VALUE"""),"H2846135")</f>
        <v>H2846135</v>
      </c>
      <c r="F127" s="2" t="str">
        <f>IFERROR(__xludf.DUMMYFUNCTION("""COMPUTED_VALUE"""),"Annalou Empanado Encontro")</f>
        <v>Annalou Empanado Encontro</v>
      </c>
      <c r="G127" s="2"/>
      <c r="H127" s="2"/>
      <c r="I127" s="2" t="str">
        <f>IFERROR(__xludf.DUMMYFUNCTION("""COMPUTED_VALUE"""),"ICM_Business_linked_launch")</f>
        <v>ICM_Business_linked_launch</v>
      </c>
      <c r="J127" s="2" t="str">
        <f>IFERROR(__xludf.DUMMYFUNCTION("""COMPUTED_VALUE"""),"uuid:9777ec15-37f9-4d3b-aa5e-a976ec270074")</f>
        <v>uuid:9777ec15-37f9-4d3b-aa5e-a976ec270074</v>
      </c>
    </row>
    <row r="128">
      <c r="A128" s="2" t="str">
        <f>IFERROR(__xludf.DUMMYFUNCTION("""COMPUTED_VALUE"""),"2025-08-28T11:17:27.740Z")</f>
        <v>2025-08-28T11:17:27.740Z</v>
      </c>
      <c r="B128" s="2" t="str">
        <f>IFERROR(__xludf.DUMMYFUNCTION("""COMPUTED_VALUE"""),"2025-08-28T15:04:28.134+08")</f>
        <v>2025-08-28T15:04:28.134+08</v>
      </c>
      <c r="C128" s="2" t="str">
        <f>IFERROR(__xludf.DUMMYFUNCTION("""COMPUTED_VALUE"""),"2025-08-28T15:08:33.741+08")</f>
        <v>2025-08-28T15:08:33.741+08</v>
      </c>
      <c r="D128" s="2" t="str">
        <f>IFERROR(__xludf.DUMMYFUNCTION("""COMPUTED_VALUE"""),"H030015026")</f>
        <v>H030015026</v>
      </c>
      <c r="E128" s="2" t="str">
        <f>IFERROR(__xludf.DUMMYFUNCTION("""COMPUTED_VALUE"""),"H2846135")</f>
        <v>H2846135</v>
      </c>
      <c r="F128" s="2" t="str">
        <f>IFERROR(__xludf.DUMMYFUNCTION("""COMPUTED_VALUE"""),"Annalou Empanado Encontro")</f>
        <v>Annalou Empanado Encontro</v>
      </c>
      <c r="G128" s="2"/>
      <c r="H128" s="2"/>
      <c r="I128" s="2" t="str">
        <f>IFERROR(__xludf.DUMMYFUNCTION("""COMPUTED_VALUE"""),"ICM_Business_linked_launch")</f>
        <v>ICM_Business_linked_launch</v>
      </c>
      <c r="J128" s="2" t="str">
        <f>IFERROR(__xludf.DUMMYFUNCTION("""COMPUTED_VALUE"""),"uuid:d48ea316-4704-4d48-8298-dd14dd5ba419")</f>
        <v>uuid:d48ea316-4704-4d48-8298-dd14dd5ba419</v>
      </c>
    </row>
    <row r="129">
      <c r="A129" s="2" t="str">
        <f>IFERROR(__xludf.DUMMYFUNCTION("""COMPUTED_VALUE"""),"2025-08-28T11:18:42.592Z")</f>
        <v>2025-08-28T11:18:42.592Z</v>
      </c>
      <c r="B129" s="2" t="str">
        <f>IFERROR(__xludf.DUMMYFUNCTION("""COMPUTED_VALUE"""),"2025-08-28T11:30:09.313+08")</f>
        <v>2025-08-28T11:30:09.313+08</v>
      </c>
      <c r="C129" s="2" t="str">
        <f>IFERROR(__xludf.DUMMYFUNCTION("""COMPUTED_VALUE"""),"2025-08-28T12:15:04.966+08")</f>
        <v>2025-08-28T12:15:04.966+08</v>
      </c>
      <c r="D129" s="2" t="str">
        <f>IFERROR(__xludf.DUMMYFUNCTION("""COMPUTED_VALUE"""),"H030636028")</f>
        <v>H030636028</v>
      </c>
      <c r="E129" s="2" t="str">
        <f>IFERROR(__xludf.DUMMYFUNCTION("""COMPUTED_VALUE"""),"D1284067")</f>
        <v>D1284067</v>
      </c>
      <c r="F129" s="2" t="str">
        <f>IFERROR(__xludf.DUMMYFUNCTION("""COMPUTED_VALUE"""),"Mariel Del Rio")</f>
        <v>Mariel Del Rio</v>
      </c>
      <c r="G129" s="2"/>
      <c r="H129" s="2"/>
      <c r="I129" s="2" t="str">
        <f>IFERROR(__xludf.DUMMYFUNCTION("""COMPUTED_VALUE"""),"ICM_Business_linked_launch")</f>
        <v>ICM_Business_linked_launch</v>
      </c>
      <c r="J129" s="2" t="str">
        <f>IFERROR(__xludf.DUMMYFUNCTION("""COMPUTED_VALUE"""),"uuid:3ea04414-30af-405e-98ef-0d3fd8016245")</f>
        <v>uuid:3ea04414-30af-405e-98ef-0d3fd8016245</v>
      </c>
    </row>
    <row r="130">
      <c r="A130" s="2" t="str">
        <f>IFERROR(__xludf.DUMMYFUNCTION("""COMPUTED_VALUE"""),"2025-08-28T11:18:46.045Z")</f>
        <v>2025-08-28T11:18:46.045Z</v>
      </c>
      <c r="B130" s="2" t="str">
        <f>IFERROR(__xludf.DUMMYFUNCTION("""COMPUTED_VALUE"""),"2025-08-28T13:26:13.117+08")</f>
        <v>2025-08-28T13:26:13.117+08</v>
      </c>
      <c r="C130" s="2" t="str">
        <f>IFERROR(__xludf.DUMMYFUNCTION("""COMPUTED_VALUE"""),"2025-08-28T14:08:55.463+08")</f>
        <v>2025-08-28T14:08:55.463+08</v>
      </c>
      <c r="D130" s="2" t="str">
        <f>IFERROR(__xludf.DUMMYFUNCTION("""COMPUTED_VALUE"""),"H030636022")</f>
        <v>H030636022</v>
      </c>
      <c r="E130" s="2" t="str">
        <f>IFERROR(__xludf.DUMMYFUNCTION("""COMPUTED_VALUE"""),"D1284067")</f>
        <v>D1284067</v>
      </c>
      <c r="F130" s="2" t="str">
        <f>IFERROR(__xludf.DUMMYFUNCTION("""COMPUTED_VALUE"""),"Mariel Del Rio")</f>
        <v>Mariel Del Rio</v>
      </c>
      <c r="G130" s="2"/>
      <c r="H130" s="2"/>
      <c r="I130" s="2" t="str">
        <f>IFERROR(__xludf.DUMMYFUNCTION("""COMPUTED_VALUE"""),"ICM_Business_linked_launch")</f>
        <v>ICM_Business_linked_launch</v>
      </c>
      <c r="J130" s="2" t="str">
        <f>IFERROR(__xludf.DUMMYFUNCTION("""COMPUTED_VALUE"""),"uuid:1ff7c910-2219-4557-a890-5934d51279fb")</f>
        <v>uuid:1ff7c910-2219-4557-a890-5934d51279fb</v>
      </c>
    </row>
    <row r="131">
      <c r="A131" s="2" t="str">
        <f>IFERROR(__xludf.DUMMYFUNCTION("""COMPUTED_VALUE"""),"2025-08-28T11:18:51.857Z")</f>
        <v>2025-08-28T11:18:51.857Z</v>
      </c>
      <c r="B131" s="2" t="str">
        <f>IFERROR(__xludf.DUMMYFUNCTION("""COMPUTED_VALUE"""),"2025-08-28T16:53:15.027+08")</f>
        <v>2025-08-28T16:53:15.027+08</v>
      </c>
      <c r="C131" s="2" t="str">
        <f>IFERROR(__xludf.DUMMYFUNCTION("""COMPUTED_VALUE"""),"2025-08-28T17:04:23.413+08")</f>
        <v>2025-08-28T17:04:23.413+08</v>
      </c>
      <c r="D131" s="2" t="str">
        <f>IFERROR(__xludf.DUMMYFUNCTION("""COMPUTED_VALUE"""),"H030636031")</f>
        <v>H030636031</v>
      </c>
      <c r="E131" s="2" t="str">
        <f>IFERROR(__xludf.DUMMYFUNCTION("""COMPUTED_VALUE"""),"D1284067")</f>
        <v>D1284067</v>
      </c>
      <c r="F131" s="2" t="str">
        <f>IFERROR(__xludf.DUMMYFUNCTION("""COMPUTED_VALUE"""),"Mariel Del Rio")</f>
        <v>Mariel Del Rio</v>
      </c>
      <c r="G131" s="2"/>
      <c r="H131" s="2"/>
      <c r="I131" s="2" t="str">
        <f>IFERROR(__xludf.DUMMYFUNCTION("""COMPUTED_VALUE"""),"ICM_Business_linked_launch")</f>
        <v>ICM_Business_linked_launch</v>
      </c>
      <c r="J131" s="2" t="str">
        <f>IFERROR(__xludf.DUMMYFUNCTION("""COMPUTED_VALUE"""),"uuid:080bfc43-289e-42b0-a039-81a16ebd763e")</f>
        <v>uuid:080bfc43-289e-42b0-a039-81a16ebd763e</v>
      </c>
    </row>
    <row r="132">
      <c r="A132" s="2" t="str">
        <f>IFERROR(__xludf.DUMMYFUNCTION("""COMPUTED_VALUE"""),"2025-08-28T11:19:21.021Z")</f>
        <v>2025-08-28T11:19:21.021Z</v>
      </c>
      <c r="B132" s="2" t="str">
        <f>IFERROR(__xludf.DUMMYFUNCTION("""COMPUTED_VALUE"""),"2025-08-28T10:41:44.730+08")</f>
        <v>2025-08-28T10:41:44.730+08</v>
      </c>
      <c r="C132" s="2" t="str">
        <f>IFERROR(__xludf.DUMMYFUNCTION("""COMPUTED_VALUE"""),"2025-08-28T11:08:30.042+08")</f>
        <v>2025-08-28T11:08:30.042+08</v>
      </c>
      <c r="D132" s="2" t="str">
        <f>IFERROR(__xludf.DUMMYFUNCTION("""COMPUTED_VALUE"""),"H030015024")</f>
        <v>H030015024</v>
      </c>
      <c r="E132" s="2" t="str">
        <f>IFERROR(__xludf.DUMMYFUNCTION("""COMPUTED_VALUE"""),"F3051749")</f>
        <v>F3051749</v>
      </c>
      <c r="F132" s="2" t="str">
        <f>IFERROR(__xludf.DUMMYFUNCTION("""COMPUTED_VALUE"""),"Elenita Gicos De La Pe�a")</f>
        <v>Elenita Gicos De La Pe�a</v>
      </c>
      <c r="G132" s="2"/>
      <c r="H132" s="2"/>
      <c r="I132" s="2" t="str">
        <f>IFERROR(__xludf.DUMMYFUNCTION("""COMPUTED_VALUE"""),"ICM_Business_linked_launch")</f>
        <v>ICM_Business_linked_launch</v>
      </c>
      <c r="J132" s="2" t="str">
        <f>IFERROR(__xludf.DUMMYFUNCTION("""COMPUTED_VALUE"""),"uuid:35fe776f-2287-4be0-909c-d52924015470")</f>
        <v>uuid:35fe776f-2287-4be0-909c-d52924015470</v>
      </c>
    </row>
    <row r="133">
      <c r="A133" s="2" t="str">
        <f>IFERROR(__xludf.DUMMYFUNCTION("""COMPUTED_VALUE"""),"2025-08-28T11:19:20.887Z")</f>
        <v>2025-08-28T11:19:20.887Z</v>
      </c>
      <c r="B133" s="2" t="str">
        <f>IFERROR(__xludf.DUMMYFUNCTION("""COMPUTED_VALUE"""),"2025-08-28T10:16:52.203+08")</f>
        <v>2025-08-28T10:16:52.203+08</v>
      </c>
      <c r="C133" s="2" t="str">
        <f>IFERROR(__xludf.DUMMYFUNCTION("""COMPUTED_VALUE"""),"2025-08-28T10:24:00.604+08")</f>
        <v>2025-08-28T10:24:00.604+08</v>
      </c>
      <c r="D133" s="2" t="str">
        <f>IFERROR(__xludf.DUMMYFUNCTION("""COMPUTED_VALUE"""),"H030748026")</f>
        <v>H030748026</v>
      </c>
      <c r="E133" s="2" t="str">
        <f>IFERROR(__xludf.DUMMYFUNCTION("""COMPUTED_VALUE"""),"G5472901")</f>
        <v>G5472901</v>
      </c>
      <c r="F133" s="2" t="str">
        <f>IFERROR(__xludf.DUMMYFUNCTION("""COMPUTED_VALUE"""),"Wellyn Grace Alaban Parcia")</f>
        <v>Wellyn Grace Alaban Parcia</v>
      </c>
      <c r="G133" s="2"/>
      <c r="H133" s="2"/>
      <c r="I133" s="2" t="str">
        <f>IFERROR(__xludf.DUMMYFUNCTION("""COMPUTED_VALUE"""),"ICM_Business_linked_launch")</f>
        <v>ICM_Business_linked_launch</v>
      </c>
      <c r="J133" s="2" t="str">
        <f>IFERROR(__xludf.DUMMYFUNCTION("""COMPUTED_VALUE"""),"uuid:6ad7564c-8e47-4ac9-a2c0-d1ac5dbc76ca")</f>
        <v>uuid:6ad7564c-8e47-4ac9-a2c0-d1ac5dbc76ca</v>
      </c>
    </row>
    <row r="134">
      <c r="A134" s="2" t="str">
        <f>IFERROR(__xludf.DUMMYFUNCTION("""COMPUTED_VALUE"""),"2025-08-28T11:19:22.487Z")</f>
        <v>2025-08-28T11:19:22.487Z</v>
      </c>
      <c r="B134" s="2" t="str">
        <f>IFERROR(__xludf.DUMMYFUNCTION("""COMPUTED_VALUE"""),"2025-08-28T15:20:09.189+08")</f>
        <v>2025-08-28T15:20:09.189+08</v>
      </c>
      <c r="C134" s="2" t="str">
        <f>IFERROR(__xludf.DUMMYFUNCTION("""COMPUTED_VALUE"""),"2025-08-28T15:54:01.513+08")</f>
        <v>2025-08-28T15:54:01.513+08</v>
      </c>
      <c r="D134" s="2" t="str">
        <f>IFERROR(__xludf.DUMMYFUNCTION("""COMPUTED_VALUE"""),"H030015034")</f>
        <v>H030015034</v>
      </c>
      <c r="E134" s="2" t="str">
        <f>IFERROR(__xludf.DUMMYFUNCTION("""COMPUTED_VALUE"""),"F3051749")</f>
        <v>F3051749</v>
      </c>
      <c r="F134" s="2" t="str">
        <f>IFERROR(__xludf.DUMMYFUNCTION("""COMPUTED_VALUE"""),"Elenita Gicos De La Pe�a")</f>
        <v>Elenita Gicos De La Pe�a</v>
      </c>
      <c r="G134" s="2"/>
      <c r="H134" s="2"/>
      <c r="I134" s="2" t="str">
        <f>IFERROR(__xludf.DUMMYFUNCTION("""COMPUTED_VALUE"""),"ICM_Business_linked_launch")</f>
        <v>ICM_Business_linked_launch</v>
      </c>
      <c r="J134" s="2" t="str">
        <f>IFERROR(__xludf.DUMMYFUNCTION("""COMPUTED_VALUE"""),"uuid:b46e9ead-b9a3-4f0d-85f2-f4a54bccb4bb")</f>
        <v>uuid:b46e9ead-b9a3-4f0d-85f2-f4a54bccb4bb</v>
      </c>
    </row>
    <row r="135">
      <c r="A135" s="2" t="str">
        <f>IFERROR(__xludf.DUMMYFUNCTION("""COMPUTED_VALUE"""),"2025-08-28T11:19:21.767Z")</f>
        <v>2025-08-28T11:19:21.767Z</v>
      </c>
      <c r="B135" s="2" t="str">
        <f>IFERROR(__xludf.DUMMYFUNCTION("""COMPUTED_VALUE"""),"2025-08-28T12:58:53.701+08")</f>
        <v>2025-08-28T12:58:53.701+08</v>
      </c>
      <c r="C135" s="2" t="str">
        <f>IFERROR(__xludf.DUMMYFUNCTION("""COMPUTED_VALUE"""),"2025-08-28T13:13:20.708+08")</f>
        <v>2025-08-28T13:13:20.708+08</v>
      </c>
      <c r="D135" s="2" t="str">
        <f>IFERROR(__xludf.DUMMYFUNCTION("""COMPUTED_VALUE"""),"H030015018")</f>
        <v>H030015018</v>
      </c>
      <c r="E135" s="2" t="str">
        <f>IFERROR(__xludf.DUMMYFUNCTION("""COMPUTED_VALUE"""),"F3051749")</f>
        <v>F3051749</v>
      </c>
      <c r="F135" s="2" t="str">
        <f>IFERROR(__xludf.DUMMYFUNCTION("""COMPUTED_VALUE"""),"Elenita Gicos De La Pe�a")</f>
        <v>Elenita Gicos De La Pe�a</v>
      </c>
      <c r="G135" s="2"/>
      <c r="H135" s="2"/>
      <c r="I135" s="2" t="str">
        <f>IFERROR(__xludf.DUMMYFUNCTION("""COMPUTED_VALUE"""),"ICM_Business_linked_launch")</f>
        <v>ICM_Business_linked_launch</v>
      </c>
      <c r="J135" s="2" t="str">
        <f>IFERROR(__xludf.DUMMYFUNCTION("""COMPUTED_VALUE"""),"uuid:e1187181-d178-43de-bef7-2b6bf8df7a88")</f>
        <v>uuid:e1187181-d178-43de-bef7-2b6bf8df7a88</v>
      </c>
    </row>
    <row r="136">
      <c r="A136" s="2" t="str">
        <f>IFERROR(__xludf.DUMMYFUNCTION("""COMPUTED_VALUE"""),"2025-08-28T11:19:21.889Z")</f>
        <v>2025-08-28T11:19:21.889Z</v>
      </c>
      <c r="B136" s="2" t="str">
        <f>IFERROR(__xludf.DUMMYFUNCTION("""COMPUTED_VALUE"""),"2025-08-28T11:32:59.199+08")</f>
        <v>2025-08-28T11:32:59.199+08</v>
      </c>
      <c r="C136" s="2" t="str">
        <f>IFERROR(__xludf.DUMMYFUNCTION("""COMPUTED_VALUE"""),"2025-08-28T11:38:12.517+08")</f>
        <v>2025-08-28T11:38:12.517+08</v>
      </c>
      <c r="D136" s="2" t="str">
        <f>IFERROR(__xludf.DUMMYFUNCTION("""COMPUTED_VALUE"""),"H030748024")</f>
        <v>H030748024</v>
      </c>
      <c r="E136" s="2" t="str">
        <f>IFERROR(__xludf.DUMMYFUNCTION("""COMPUTED_VALUE"""),"G5472901")</f>
        <v>G5472901</v>
      </c>
      <c r="F136" s="2" t="str">
        <f>IFERROR(__xludf.DUMMYFUNCTION("""COMPUTED_VALUE"""),"Wellyn Grace Alaban Parcia")</f>
        <v>Wellyn Grace Alaban Parcia</v>
      </c>
      <c r="G136" s="2"/>
      <c r="H136" s="2"/>
      <c r="I136" s="2" t="str">
        <f>IFERROR(__xludf.DUMMYFUNCTION("""COMPUTED_VALUE"""),"ICM_Business_linked_launch")</f>
        <v>ICM_Business_linked_launch</v>
      </c>
      <c r="J136" s="2" t="str">
        <f>IFERROR(__xludf.DUMMYFUNCTION("""COMPUTED_VALUE"""),"uuid:eb137820-ba77-4dfb-a2a2-237470320800")</f>
        <v>uuid:eb137820-ba77-4dfb-a2a2-237470320800</v>
      </c>
    </row>
    <row r="137">
      <c r="A137" s="2" t="str">
        <f>IFERROR(__xludf.DUMMYFUNCTION("""COMPUTED_VALUE"""),"2025-08-28T11:19:22.878Z")</f>
        <v>2025-08-28T11:19:22.878Z</v>
      </c>
      <c r="B137" s="2" t="str">
        <f>IFERROR(__xludf.DUMMYFUNCTION("""COMPUTED_VALUE"""),"2025-08-28T13:53:42.068+08")</f>
        <v>2025-08-28T13:53:42.068+08</v>
      </c>
      <c r="C137" s="2" t="str">
        <f>IFERROR(__xludf.DUMMYFUNCTION("""COMPUTED_VALUE"""),"2025-08-28T13:59:23.501+08")</f>
        <v>2025-08-28T13:59:23.501+08</v>
      </c>
      <c r="D137" s="2" t="str">
        <f>IFERROR(__xludf.DUMMYFUNCTION("""COMPUTED_VALUE"""),"H030748027")</f>
        <v>H030748027</v>
      </c>
      <c r="E137" s="2" t="str">
        <f>IFERROR(__xludf.DUMMYFUNCTION("""COMPUTED_VALUE"""),"G5472901")</f>
        <v>G5472901</v>
      </c>
      <c r="F137" s="2" t="str">
        <f>IFERROR(__xludf.DUMMYFUNCTION("""COMPUTED_VALUE"""),"Wellyn Grace Alaban Parcia")</f>
        <v>Wellyn Grace Alaban Parcia</v>
      </c>
      <c r="G137" s="2"/>
      <c r="H137" s="2"/>
      <c r="I137" s="2" t="str">
        <f>IFERROR(__xludf.DUMMYFUNCTION("""COMPUTED_VALUE"""),"ICM_Business_linked_launch")</f>
        <v>ICM_Business_linked_launch</v>
      </c>
      <c r="J137" s="2" t="str">
        <f>IFERROR(__xludf.DUMMYFUNCTION("""COMPUTED_VALUE"""),"uuid:4676980b-cb0a-418a-aac7-0d5d92756a16")</f>
        <v>uuid:4676980b-cb0a-418a-aac7-0d5d92756a16</v>
      </c>
    </row>
    <row r="138">
      <c r="A138" s="2" t="str">
        <f>IFERROR(__xludf.DUMMYFUNCTION("""COMPUTED_VALUE"""),"2025-08-28T11:19:23.242Z")</f>
        <v>2025-08-28T11:19:23.242Z</v>
      </c>
      <c r="B138" s="2" t="str">
        <f>IFERROR(__xludf.DUMMYFUNCTION("""COMPUTED_VALUE"""),"2025-08-28T17:01:09.910+08")</f>
        <v>2025-08-28T17:01:09.910+08</v>
      </c>
      <c r="C138" s="2" t="str">
        <f>IFERROR(__xludf.DUMMYFUNCTION("""COMPUTED_VALUE"""),"2025-08-28T17:06:40.503+08")</f>
        <v>2025-08-28T17:06:40.503+08</v>
      </c>
      <c r="D138" s="2" t="str">
        <f>IFERROR(__xludf.DUMMYFUNCTION("""COMPUTED_VALUE"""),"H030015027")</f>
        <v>H030015027</v>
      </c>
      <c r="E138" s="2" t="str">
        <f>IFERROR(__xludf.DUMMYFUNCTION("""COMPUTED_VALUE"""),"F3051749")</f>
        <v>F3051749</v>
      </c>
      <c r="F138" s="2" t="str">
        <f>IFERROR(__xludf.DUMMYFUNCTION("""COMPUTED_VALUE"""),"Elenita Gicos De La Pe�a")</f>
        <v>Elenita Gicos De La Pe�a</v>
      </c>
      <c r="G138" s="2"/>
      <c r="H138" s="2"/>
      <c r="I138" s="2" t="str">
        <f>IFERROR(__xludf.DUMMYFUNCTION("""COMPUTED_VALUE"""),"ICM_Business_linked_launch")</f>
        <v>ICM_Business_linked_launch</v>
      </c>
      <c r="J138" s="2" t="str">
        <f>IFERROR(__xludf.DUMMYFUNCTION("""COMPUTED_VALUE"""),"uuid:942fd302-7685-4adb-bc65-42f288886082")</f>
        <v>uuid:942fd302-7685-4adb-bc65-42f288886082</v>
      </c>
    </row>
    <row r="139">
      <c r="A139" s="2" t="str">
        <f>IFERROR(__xludf.DUMMYFUNCTION("""COMPUTED_VALUE"""),"2025-08-28T11:19:23.661Z")</f>
        <v>2025-08-28T11:19:23.661Z</v>
      </c>
      <c r="B139" s="2" t="str">
        <f>IFERROR(__xludf.DUMMYFUNCTION("""COMPUTED_VALUE"""),"2025-08-28T15:10:02.884+08")</f>
        <v>2025-08-28T15:10:02.884+08</v>
      </c>
      <c r="C139" s="2" t="str">
        <f>IFERROR(__xludf.DUMMYFUNCTION("""COMPUTED_VALUE"""),"2025-08-28T15:27:10.902+08")</f>
        <v>2025-08-28T15:27:10.902+08</v>
      </c>
      <c r="D139" s="2" t="str">
        <f>IFERROR(__xludf.DUMMYFUNCTION("""COMPUTED_VALUE"""),"H030748034")</f>
        <v>H030748034</v>
      </c>
      <c r="E139" s="2" t="str">
        <f>IFERROR(__xludf.DUMMYFUNCTION("""COMPUTED_VALUE"""),"G5472901")</f>
        <v>G5472901</v>
      </c>
      <c r="F139" s="2" t="str">
        <f>IFERROR(__xludf.DUMMYFUNCTION("""COMPUTED_VALUE"""),"Wellyn Grace Alaban Parcia")</f>
        <v>Wellyn Grace Alaban Parcia</v>
      </c>
      <c r="G139" s="2"/>
      <c r="H139" s="2"/>
      <c r="I139" s="2" t="str">
        <f>IFERROR(__xludf.DUMMYFUNCTION("""COMPUTED_VALUE"""),"ICM_Business_linked_launch")</f>
        <v>ICM_Business_linked_launch</v>
      </c>
      <c r="J139" s="2" t="str">
        <f>IFERROR(__xludf.DUMMYFUNCTION("""COMPUTED_VALUE"""),"uuid:41a57a7d-f070-430f-82da-52b428af684c")</f>
        <v>uuid:41a57a7d-f070-430f-82da-52b428af684c</v>
      </c>
    </row>
    <row r="140">
      <c r="A140" s="2" t="str">
        <f>IFERROR(__xludf.DUMMYFUNCTION("""COMPUTED_VALUE"""),"2025-08-28T11:19:32.752Z")</f>
        <v>2025-08-28T11:19:32.752Z</v>
      </c>
      <c r="B140" s="2" t="str">
        <f>IFERROR(__xludf.DUMMYFUNCTION("""COMPUTED_VALUE"""),"2025-08-28T11:33:36.034+08")</f>
        <v>2025-08-28T11:33:36.034+08</v>
      </c>
      <c r="C140" s="2" t="str">
        <f>IFERROR(__xludf.DUMMYFUNCTION("""COMPUTED_VALUE"""),"2025-08-28T11:45:35.213+08")</f>
        <v>2025-08-28T11:45:35.213+08</v>
      </c>
      <c r="D140" s="2" t="str">
        <f>IFERROR(__xludf.DUMMYFUNCTION("""COMPUTED_VALUE"""),"H030636023")</f>
        <v>H030636023</v>
      </c>
      <c r="E140" s="2">
        <f>IFERROR(__xludf.DUMMYFUNCTION("""COMPUTED_VALUE"""),896791.0)</f>
        <v>896791</v>
      </c>
      <c r="F140" s="2" t="str">
        <f>IFERROR(__xludf.DUMMYFUNCTION("""COMPUTED_VALUE"""),"Roland A. Bandiola jr")</f>
        <v>Roland A. Bandiola jr</v>
      </c>
      <c r="G140" s="2"/>
      <c r="H140" s="2"/>
      <c r="I140" s="2" t="str">
        <f>IFERROR(__xludf.DUMMYFUNCTION("""COMPUTED_VALUE"""),"ICM_Business_linked_launch")</f>
        <v>ICM_Business_linked_launch</v>
      </c>
      <c r="J140" s="2" t="str">
        <f>IFERROR(__xludf.DUMMYFUNCTION("""COMPUTED_VALUE"""),"uuid:d6e8a155-eb64-4e78-9a59-310d91d204ab")</f>
        <v>uuid:d6e8a155-eb64-4e78-9a59-310d91d204ab</v>
      </c>
    </row>
    <row r="141">
      <c r="A141" s="2" t="str">
        <f>IFERROR(__xludf.DUMMYFUNCTION("""COMPUTED_VALUE"""),"2025-08-28T11:19:33.989Z")</f>
        <v>2025-08-28T11:19:33.989Z</v>
      </c>
      <c r="B141" s="2" t="str">
        <f>IFERROR(__xludf.DUMMYFUNCTION("""COMPUTED_VALUE"""),"2025-08-28T13:59:49.204+08")</f>
        <v>2025-08-28T13:59:49.204+08</v>
      </c>
      <c r="C141" s="2" t="str">
        <f>IFERROR(__xludf.DUMMYFUNCTION("""COMPUTED_VALUE"""),"2025-08-28T14:11:11.904+08")</f>
        <v>2025-08-28T14:11:11.904+08</v>
      </c>
      <c r="D141" s="2" t="str">
        <f>IFERROR(__xludf.DUMMYFUNCTION("""COMPUTED_VALUE"""),"H030636030")</f>
        <v>H030636030</v>
      </c>
      <c r="E141" s="2">
        <f>IFERROR(__xludf.DUMMYFUNCTION("""COMPUTED_VALUE"""),896791.0)</f>
        <v>896791</v>
      </c>
      <c r="F141" s="2" t="str">
        <f>IFERROR(__xludf.DUMMYFUNCTION("""COMPUTED_VALUE"""),"Roland A. Bandiola jr")</f>
        <v>Roland A. Bandiola jr</v>
      </c>
      <c r="G141" s="2"/>
      <c r="H141" s="2"/>
      <c r="I141" s="2" t="str">
        <f>IFERROR(__xludf.DUMMYFUNCTION("""COMPUTED_VALUE"""),"ICM_Business_linked_launch")</f>
        <v>ICM_Business_linked_launch</v>
      </c>
      <c r="J141" s="2" t="str">
        <f>IFERROR(__xludf.DUMMYFUNCTION("""COMPUTED_VALUE"""),"uuid:e6f67ab8-c1ee-42ee-9ac2-b7a119023e0e")</f>
        <v>uuid:e6f67ab8-c1ee-42ee-9ac2-b7a119023e0e</v>
      </c>
    </row>
    <row r="142">
      <c r="A142" s="2" t="str">
        <f>IFERROR(__xludf.DUMMYFUNCTION("""COMPUTED_VALUE"""),"2025-08-28T11:19:34.974Z")</f>
        <v>2025-08-28T11:19:34.974Z</v>
      </c>
      <c r="B142" s="2" t="str">
        <f>IFERROR(__xludf.DUMMYFUNCTION("""COMPUTED_VALUE"""),"2025-08-28T16:40:53.328+08")</f>
        <v>2025-08-28T16:40:53.328+08</v>
      </c>
      <c r="C142" s="2" t="str">
        <f>IFERROR(__xludf.DUMMYFUNCTION("""COMPUTED_VALUE"""),"2025-08-28T16:49:29.123+08")</f>
        <v>2025-08-28T16:49:29.123+08</v>
      </c>
      <c r="D142" s="2" t="str">
        <f>IFERROR(__xludf.DUMMYFUNCTION("""COMPUTED_VALUE"""),"H030636016")</f>
        <v>H030636016</v>
      </c>
      <c r="E142" s="2">
        <f>IFERROR(__xludf.DUMMYFUNCTION("""COMPUTED_VALUE"""),896791.0)</f>
        <v>896791</v>
      </c>
      <c r="F142" s="2" t="str">
        <f>IFERROR(__xludf.DUMMYFUNCTION("""COMPUTED_VALUE"""),"Roland A. Bandiola jr")</f>
        <v>Roland A. Bandiola jr</v>
      </c>
      <c r="G142" s="2"/>
      <c r="H142" s="2"/>
      <c r="I142" s="2" t="str">
        <f>IFERROR(__xludf.DUMMYFUNCTION("""COMPUTED_VALUE"""),"ICM_Business_linked_launch")</f>
        <v>ICM_Business_linked_launch</v>
      </c>
      <c r="J142" s="2" t="str">
        <f>IFERROR(__xludf.DUMMYFUNCTION("""COMPUTED_VALUE"""),"uuid:59a853d9-c9fe-4e53-aec1-1c338e0482cb")</f>
        <v>uuid:59a853d9-c9fe-4e53-aec1-1c338e0482cb</v>
      </c>
    </row>
    <row r="143">
      <c r="A143" s="2" t="str">
        <f>IFERROR(__xludf.DUMMYFUNCTION("""COMPUTED_VALUE"""),"2025-08-28T11:23:32.549Z")</f>
        <v>2025-08-28T11:23:32.549Z</v>
      </c>
      <c r="B143" s="2" t="str">
        <f>IFERROR(__xludf.DUMMYFUNCTION("""COMPUTED_VALUE"""),"2025-08-28T11:05:18.505+08")</f>
        <v>2025-08-28T11:05:18.505+08</v>
      </c>
      <c r="C143" s="2" t="str">
        <f>IFERROR(__xludf.DUMMYFUNCTION("""COMPUTED_VALUE"""),"2025-08-28T11:27:28.536+08")</f>
        <v>2025-08-28T11:27:28.536+08</v>
      </c>
      <c r="D143" s="2" t="str">
        <f>IFERROR(__xludf.DUMMYFUNCTION("""COMPUTED_VALUE"""),"H030514031")</f>
        <v>H030514031</v>
      </c>
      <c r="E143" s="2" t="str">
        <f>IFERROR(__xludf.DUMMYFUNCTION("""COMPUTED_VALUE"""),"B8193462")</f>
        <v>B8193462</v>
      </c>
      <c r="F143" s="2" t="str">
        <f>IFERROR(__xludf.DUMMYFUNCTION("""COMPUTED_VALUE"""),"Mark Lorens Mendoza Gilongo")</f>
        <v>Mark Lorens Mendoza Gilongo</v>
      </c>
      <c r="G143" s="2"/>
      <c r="H143" s="2"/>
      <c r="I143" s="2" t="str">
        <f>IFERROR(__xludf.DUMMYFUNCTION("""COMPUTED_VALUE"""),"ICM_Business_linked_launch")</f>
        <v>ICM_Business_linked_launch</v>
      </c>
      <c r="J143" s="2" t="str">
        <f>IFERROR(__xludf.DUMMYFUNCTION("""COMPUTED_VALUE"""),"uuid:6169d2c0-9b43-436e-a9ef-8e0831acb918")</f>
        <v>uuid:6169d2c0-9b43-436e-a9ef-8e0831acb918</v>
      </c>
    </row>
    <row r="144">
      <c r="A144" s="2" t="str">
        <f>IFERROR(__xludf.DUMMYFUNCTION("""COMPUTED_VALUE"""),"2025-08-28T11:23:39.468Z")</f>
        <v>2025-08-28T11:23:39.468Z</v>
      </c>
      <c r="B144" s="2" t="str">
        <f>IFERROR(__xludf.DUMMYFUNCTION("""COMPUTED_VALUE"""),"2025-08-28T12:42:01.016+08")</f>
        <v>2025-08-28T12:42:01.016+08</v>
      </c>
      <c r="C144" s="2" t="str">
        <f>IFERROR(__xludf.DUMMYFUNCTION("""COMPUTED_VALUE"""),"2025-08-28T13:41:49.301+08")</f>
        <v>2025-08-28T13:41:49.301+08</v>
      </c>
      <c r="D144" s="2" t="str">
        <f>IFERROR(__xludf.DUMMYFUNCTION("""COMPUTED_VALUE"""),"H030514026")</f>
        <v>H030514026</v>
      </c>
      <c r="E144" s="2" t="str">
        <f>IFERROR(__xludf.DUMMYFUNCTION("""COMPUTED_VALUE"""),"B8193462")</f>
        <v>B8193462</v>
      </c>
      <c r="F144" s="2" t="str">
        <f>IFERROR(__xludf.DUMMYFUNCTION("""COMPUTED_VALUE"""),"Mark Lorens Mendoza Gilongo")</f>
        <v>Mark Lorens Mendoza Gilongo</v>
      </c>
      <c r="G144" s="2"/>
      <c r="H144" s="2"/>
      <c r="I144" s="2" t="str">
        <f>IFERROR(__xludf.DUMMYFUNCTION("""COMPUTED_VALUE"""),"ICM_Business_linked_launch")</f>
        <v>ICM_Business_linked_launch</v>
      </c>
      <c r="J144" s="2" t="str">
        <f>IFERROR(__xludf.DUMMYFUNCTION("""COMPUTED_VALUE"""),"uuid:0f3c956d-994e-48a0-a359-634875c6d900")</f>
        <v>uuid:0f3c956d-994e-48a0-a359-634875c6d900</v>
      </c>
    </row>
    <row r="145">
      <c r="A145" s="2" t="str">
        <f>IFERROR(__xludf.DUMMYFUNCTION("""COMPUTED_VALUE"""),"2025-08-28T11:23:43.782Z")</f>
        <v>2025-08-28T11:23:43.782Z</v>
      </c>
      <c r="B145" s="2" t="str">
        <f>IFERROR(__xludf.DUMMYFUNCTION("""COMPUTED_VALUE"""),"2025-08-28T14:55:19.237+08")</f>
        <v>2025-08-28T14:55:19.237+08</v>
      </c>
      <c r="C145" s="2" t="str">
        <f>IFERROR(__xludf.DUMMYFUNCTION("""COMPUTED_VALUE"""),"2025-08-28T15:17:37.458+08")</f>
        <v>2025-08-28T15:17:37.458+08</v>
      </c>
      <c r="D145" s="2" t="str">
        <f>IFERROR(__xludf.DUMMYFUNCTION("""COMPUTED_VALUE"""),"H030514024")</f>
        <v>H030514024</v>
      </c>
      <c r="E145" s="2" t="str">
        <f>IFERROR(__xludf.DUMMYFUNCTION("""COMPUTED_VALUE"""),"B8193462")</f>
        <v>B8193462</v>
      </c>
      <c r="F145" s="2" t="str">
        <f>IFERROR(__xludf.DUMMYFUNCTION("""COMPUTED_VALUE"""),"Mark Lorens Mendoza Gilongo")</f>
        <v>Mark Lorens Mendoza Gilongo</v>
      </c>
      <c r="G145" s="2"/>
      <c r="H145" s="2"/>
      <c r="I145" s="2" t="str">
        <f>IFERROR(__xludf.DUMMYFUNCTION("""COMPUTED_VALUE"""),"ICM_Business_linked_launch")</f>
        <v>ICM_Business_linked_launch</v>
      </c>
      <c r="J145" s="2" t="str">
        <f>IFERROR(__xludf.DUMMYFUNCTION("""COMPUTED_VALUE"""),"uuid:6399103c-8319-4c3e-8b47-64aab73eb265")</f>
        <v>uuid:6399103c-8319-4c3e-8b47-64aab73eb265</v>
      </c>
    </row>
    <row r="146">
      <c r="A146" s="2" t="str">
        <f>IFERROR(__xludf.DUMMYFUNCTION("""COMPUTED_VALUE"""),"2025-08-28T11:39:15.474Z")</f>
        <v>2025-08-28T11:39:15.474Z</v>
      </c>
      <c r="B146" s="2" t="str">
        <f>IFERROR(__xludf.DUMMYFUNCTION("""COMPUTED_VALUE"""),"2025-08-28T10:12:53.653+08")</f>
        <v>2025-08-28T10:12:53.653+08</v>
      </c>
      <c r="C146" s="2" t="str">
        <f>IFERROR(__xludf.DUMMYFUNCTION("""COMPUTED_VALUE"""),"2025-08-28T10:20:55.406+08")</f>
        <v>2025-08-28T10:20:55.406+08</v>
      </c>
      <c r="D146" s="2" t="str">
        <f>IFERROR(__xludf.DUMMYFUNCTION("""COMPUTED_VALUE"""),"H030415031")</f>
        <v>H030415031</v>
      </c>
      <c r="E146" s="2" t="str">
        <f>IFERROR(__xludf.DUMMYFUNCTION("""COMPUTED_VALUE"""),"P1068432")</f>
        <v>P1068432</v>
      </c>
      <c r="F146" s="2" t="str">
        <f>IFERROR(__xludf.DUMMYFUNCTION("""COMPUTED_VALUE"""),"Mark Daniel Balagao Benson")</f>
        <v>Mark Daniel Balagao Benson</v>
      </c>
      <c r="G146" s="2"/>
      <c r="H146" s="2"/>
      <c r="I146" s="2" t="str">
        <f>IFERROR(__xludf.DUMMYFUNCTION("""COMPUTED_VALUE"""),"ICM_Business_linked_launch")</f>
        <v>ICM_Business_linked_launch</v>
      </c>
      <c r="J146" s="2" t="str">
        <f>IFERROR(__xludf.DUMMYFUNCTION("""COMPUTED_VALUE"""),"uuid:b3a7319f-ccf9-46aa-a951-c6a6556c5e3f")</f>
        <v>uuid:b3a7319f-ccf9-46aa-a951-c6a6556c5e3f</v>
      </c>
    </row>
    <row r="147">
      <c r="A147" s="2" t="str">
        <f>IFERROR(__xludf.DUMMYFUNCTION("""COMPUTED_VALUE"""),"2025-08-28T11:39:17.020Z")</f>
        <v>2025-08-28T11:39:17.020Z</v>
      </c>
      <c r="B147" s="2" t="str">
        <f>IFERROR(__xludf.DUMMYFUNCTION("""COMPUTED_VALUE"""),"2025-08-28T12:00:14.235+08")</f>
        <v>2025-08-28T12:00:14.235+08</v>
      </c>
      <c r="C147" s="2" t="str">
        <f>IFERROR(__xludf.DUMMYFUNCTION("""COMPUTED_VALUE"""),"2025-08-28T12:10:50.195+08")</f>
        <v>2025-08-28T12:10:50.195+08</v>
      </c>
      <c r="D147" s="2" t="str">
        <f>IFERROR(__xludf.DUMMYFUNCTION("""COMPUTED_VALUE"""),"H030415030")</f>
        <v>H030415030</v>
      </c>
      <c r="E147" s="2" t="str">
        <f>IFERROR(__xludf.DUMMYFUNCTION("""COMPUTED_VALUE"""),"P1068432")</f>
        <v>P1068432</v>
      </c>
      <c r="F147" s="2" t="str">
        <f>IFERROR(__xludf.DUMMYFUNCTION("""COMPUTED_VALUE"""),"Mark Daniel Balagao Benson")</f>
        <v>Mark Daniel Balagao Benson</v>
      </c>
      <c r="G147" s="2"/>
      <c r="H147" s="2"/>
      <c r="I147" s="2" t="str">
        <f>IFERROR(__xludf.DUMMYFUNCTION("""COMPUTED_VALUE"""),"ICM_Business_linked_launch")</f>
        <v>ICM_Business_linked_launch</v>
      </c>
      <c r="J147" s="2" t="str">
        <f>IFERROR(__xludf.DUMMYFUNCTION("""COMPUTED_VALUE"""),"uuid:565893d4-43b5-44cd-8a31-077d9155eaa8")</f>
        <v>uuid:565893d4-43b5-44cd-8a31-077d9155eaa8</v>
      </c>
    </row>
    <row r="148">
      <c r="A148" s="2" t="str">
        <f>IFERROR(__xludf.DUMMYFUNCTION("""COMPUTED_VALUE"""),"2025-08-28T11:39:17.917Z")</f>
        <v>2025-08-28T11:39:17.917Z</v>
      </c>
      <c r="B148" s="2" t="str">
        <f>IFERROR(__xludf.DUMMYFUNCTION("""COMPUTED_VALUE"""),"2025-08-28T14:12:33.432+08")</f>
        <v>2025-08-28T14:12:33.432+08</v>
      </c>
      <c r="C148" s="2" t="str">
        <f>IFERROR(__xludf.DUMMYFUNCTION("""COMPUTED_VALUE"""),"2025-08-28T14:22:53.953+08")</f>
        <v>2025-08-28T14:22:53.953+08</v>
      </c>
      <c r="D148" s="2" t="str">
        <f>IFERROR(__xludf.DUMMYFUNCTION("""COMPUTED_VALUE"""),"H030415033")</f>
        <v>H030415033</v>
      </c>
      <c r="E148" s="2" t="str">
        <f>IFERROR(__xludf.DUMMYFUNCTION("""COMPUTED_VALUE"""),"P1068432")</f>
        <v>P1068432</v>
      </c>
      <c r="F148" s="2" t="str">
        <f>IFERROR(__xludf.DUMMYFUNCTION("""COMPUTED_VALUE"""),"Mark Daniel Balagao Benson")</f>
        <v>Mark Daniel Balagao Benson</v>
      </c>
      <c r="G148" s="2"/>
      <c r="H148" s="2"/>
      <c r="I148" s="2" t="str">
        <f>IFERROR(__xludf.DUMMYFUNCTION("""COMPUTED_VALUE"""),"ICM_Business_linked_launch")</f>
        <v>ICM_Business_linked_launch</v>
      </c>
      <c r="J148" s="2" t="str">
        <f>IFERROR(__xludf.DUMMYFUNCTION("""COMPUTED_VALUE"""),"uuid:39b5e8cd-3e24-4dfb-bc83-3fb0fa7fa3d8")</f>
        <v>uuid:39b5e8cd-3e24-4dfb-bc83-3fb0fa7fa3d8</v>
      </c>
    </row>
    <row r="149">
      <c r="A149" s="2" t="str">
        <f>IFERROR(__xludf.DUMMYFUNCTION("""COMPUTED_VALUE"""),"2025-08-28T11:51:09.922Z")</f>
        <v>2025-08-28T11:51:09.922Z</v>
      </c>
      <c r="B149" s="2" t="str">
        <f>IFERROR(__xludf.DUMMYFUNCTION("""COMPUTED_VALUE"""),"2025-08-28T10:50:22.289+08")</f>
        <v>2025-08-28T10:50:22.289+08</v>
      </c>
      <c r="C149" s="2" t="str">
        <f>IFERROR(__xludf.DUMMYFUNCTION("""COMPUTED_VALUE"""),"2025-08-28T10:56:02.517+08")</f>
        <v>2025-08-28T10:56:02.517+08</v>
      </c>
      <c r="D149" s="2" t="str">
        <f>IFERROR(__xludf.DUMMYFUNCTION("""COMPUTED_VALUE"""),"H019559021")</f>
        <v>H019559021</v>
      </c>
      <c r="E149" s="2" t="str">
        <f>IFERROR(__xludf.DUMMYFUNCTION("""COMPUTED_VALUE"""),"S2671943")</f>
        <v>S2671943</v>
      </c>
      <c r="F149" s="2" t="str">
        <f>IFERROR(__xludf.DUMMYFUNCTION("""COMPUTED_VALUE"""),"Marvin Mondia")</f>
        <v>Marvin Mondia</v>
      </c>
      <c r="G149" s="2"/>
      <c r="H149" s="2"/>
      <c r="I149" s="2" t="str">
        <f>IFERROR(__xludf.DUMMYFUNCTION("""COMPUTED_VALUE"""),"ICM_Business_linked_launch")</f>
        <v>ICM_Business_linked_launch</v>
      </c>
      <c r="J149" s="2" t="str">
        <f>IFERROR(__xludf.DUMMYFUNCTION("""COMPUTED_VALUE"""),"uuid:ea74c61d-9e35-4bf1-b4b3-e21eb160429d")</f>
        <v>uuid:ea74c61d-9e35-4bf1-b4b3-e21eb160429d</v>
      </c>
    </row>
    <row r="150">
      <c r="A150" s="2" t="str">
        <f>IFERROR(__xludf.DUMMYFUNCTION("""COMPUTED_VALUE"""),"2025-08-28T11:53:53.687Z")</f>
        <v>2025-08-28T11:53:53.687Z</v>
      </c>
      <c r="B150" s="2" t="str">
        <f>IFERROR(__xludf.DUMMYFUNCTION("""COMPUTED_VALUE"""),"2025-08-28T12:44:44.251+08")</f>
        <v>2025-08-28T12:44:44.251+08</v>
      </c>
      <c r="C150" s="2" t="str">
        <f>IFERROR(__xludf.DUMMYFUNCTION("""COMPUTED_VALUE"""),"2025-08-28T12:50:06.018+08")</f>
        <v>2025-08-28T12:50:06.018+08</v>
      </c>
      <c r="D150" s="2" t="str">
        <f>IFERROR(__xludf.DUMMYFUNCTION("""COMPUTED_VALUE"""),"H019559018")</f>
        <v>H019559018</v>
      </c>
      <c r="E150" s="2" t="str">
        <f>IFERROR(__xludf.DUMMYFUNCTION("""COMPUTED_VALUE"""),"S2671943")</f>
        <v>S2671943</v>
      </c>
      <c r="F150" s="2" t="str">
        <f>IFERROR(__xludf.DUMMYFUNCTION("""COMPUTED_VALUE"""),"Marvin Mondia")</f>
        <v>Marvin Mondia</v>
      </c>
      <c r="G150" s="2"/>
      <c r="H150" s="2"/>
      <c r="I150" s="2" t="str">
        <f>IFERROR(__xludf.DUMMYFUNCTION("""COMPUTED_VALUE"""),"ICM_Business_linked_launch")</f>
        <v>ICM_Business_linked_launch</v>
      </c>
      <c r="J150" s="2" t="str">
        <f>IFERROR(__xludf.DUMMYFUNCTION("""COMPUTED_VALUE"""),"uuid:9e159a62-fd6f-46f6-99ba-962a2e2de8fd")</f>
        <v>uuid:9e159a62-fd6f-46f6-99ba-962a2e2de8fd</v>
      </c>
    </row>
    <row r="151">
      <c r="A151" s="2" t="str">
        <f>IFERROR(__xludf.DUMMYFUNCTION("""COMPUTED_VALUE"""),"2025-08-28T12:07:11.543Z")</f>
        <v>2025-08-28T12:07:11.543Z</v>
      </c>
      <c r="B151" s="2" t="str">
        <f>IFERROR(__xludf.DUMMYFUNCTION("""COMPUTED_VALUE"""),"2025-08-28T10:44:22.516+08")</f>
        <v>2025-08-28T10:44:22.516+08</v>
      </c>
      <c r="C151" s="2" t="str">
        <f>IFERROR(__xludf.DUMMYFUNCTION("""COMPUTED_VALUE"""),"2025-08-28T11:05:22.671+08")</f>
        <v>2025-08-28T11:05:22.671+08</v>
      </c>
      <c r="D151" s="2" t="str">
        <f>IFERROR(__xludf.DUMMYFUNCTION("""COMPUTED_VALUE"""),"H030514027")</f>
        <v>H030514027</v>
      </c>
      <c r="E151" s="2" t="str">
        <f>IFERROR(__xludf.DUMMYFUNCTION("""COMPUTED_VALUE"""),"C7502931")</f>
        <v>C7502931</v>
      </c>
      <c r="F151" s="2" t="str">
        <f>IFERROR(__xludf.DUMMYFUNCTION("""COMPUTED_VALUE"""),"Jenny Lou Toles Estacio")</f>
        <v>Jenny Lou Toles Estacio</v>
      </c>
      <c r="G151" s="2"/>
      <c r="H151" s="2"/>
      <c r="I151" s="2" t="str">
        <f>IFERROR(__xludf.DUMMYFUNCTION("""COMPUTED_VALUE"""),"ICM_Business_linked_launch")</f>
        <v>ICM_Business_linked_launch</v>
      </c>
      <c r="J151" s="2" t="str">
        <f>IFERROR(__xludf.DUMMYFUNCTION("""COMPUTED_VALUE"""),"uuid:bb490b2f-ff34-4fbb-a078-58d4445661aa")</f>
        <v>uuid:bb490b2f-ff34-4fbb-a078-58d4445661aa</v>
      </c>
    </row>
    <row r="152">
      <c r="A152" s="2" t="str">
        <f>IFERROR(__xludf.DUMMYFUNCTION("""COMPUTED_VALUE"""),"2025-08-28T12:07:16.376Z")</f>
        <v>2025-08-28T12:07:16.376Z</v>
      </c>
      <c r="B152" s="2" t="str">
        <f>IFERROR(__xludf.DUMMYFUNCTION("""COMPUTED_VALUE"""),"2025-08-28T13:56:07.278+08")</f>
        <v>2025-08-28T13:56:07.278+08</v>
      </c>
      <c r="C152" s="2" t="str">
        <f>IFERROR(__xludf.DUMMYFUNCTION("""COMPUTED_VALUE"""),"2025-08-28T19:59:12.408+08")</f>
        <v>2025-08-28T19:59:12.408+08</v>
      </c>
      <c r="D152" s="2" t="str">
        <f>IFERROR(__xludf.DUMMYFUNCTION("""COMPUTED_VALUE"""),"H030514018")</f>
        <v>H030514018</v>
      </c>
      <c r="E152" s="2" t="str">
        <f>IFERROR(__xludf.DUMMYFUNCTION("""COMPUTED_VALUE"""),"C7502931")</f>
        <v>C7502931</v>
      </c>
      <c r="F152" s="2" t="str">
        <f>IFERROR(__xludf.DUMMYFUNCTION("""COMPUTED_VALUE"""),"Jenny Lou Toles Estacio")</f>
        <v>Jenny Lou Toles Estacio</v>
      </c>
      <c r="G152" s="2"/>
      <c r="H152" s="2"/>
      <c r="I152" s="2" t="str">
        <f>IFERROR(__xludf.DUMMYFUNCTION("""COMPUTED_VALUE"""),"ICM_Business_linked_launch")</f>
        <v>ICM_Business_linked_launch</v>
      </c>
      <c r="J152" s="2" t="str">
        <f>IFERROR(__xludf.DUMMYFUNCTION("""COMPUTED_VALUE"""),"uuid:ba1a1a09-8e99-4365-a05d-99e39ccefed1")</f>
        <v>uuid:ba1a1a09-8e99-4365-a05d-99e39ccefed1</v>
      </c>
    </row>
    <row r="153">
      <c r="A153" s="2" t="str">
        <f>IFERROR(__xludf.DUMMYFUNCTION("""COMPUTED_VALUE"""),"2025-08-28T12:07:17.162Z")</f>
        <v>2025-08-28T12:07:17.162Z</v>
      </c>
      <c r="B153" s="2" t="str">
        <f>IFERROR(__xludf.DUMMYFUNCTION("""COMPUTED_VALUE"""),"2025-08-28T12:28:19.919+08")</f>
        <v>2025-08-28T12:28:19.919+08</v>
      </c>
      <c r="C153" s="2" t="str">
        <f>IFERROR(__xludf.DUMMYFUNCTION("""COMPUTED_VALUE"""),"2025-08-28T20:02:54.665+08")</f>
        <v>2025-08-28T20:02:54.665+08</v>
      </c>
      <c r="D153" s="2" t="str">
        <f>IFERROR(__xludf.DUMMYFUNCTION("""COMPUTED_VALUE"""),"H030514021")</f>
        <v>H030514021</v>
      </c>
      <c r="E153" s="2" t="str">
        <f>IFERROR(__xludf.DUMMYFUNCTION("""COMPUTED_VALUE"""),"C7502931")</f>
        <v>C7502931</v>
      </c>
      <c r="F153" s="2" t="str">
        <f>IFERROR(__xludf.DUMMYFUNCTION("""COMPUTED_VALUE"""),"Jenny Lou Toles Estacio")</f>
        <v>Jenny Lou Toles Estacio</v>
      </c>
      <c r="G153" s="2"/>
      <c r="H153" s="2"/>
      <c r="I153" s="2" t="str">
        <f>IFERROR(__xludf.DUMMYFUNCTION("""COMPUTED_VALUE"""),"ICM_Business_linked_launch")</f>
        <v>ICM_Business_linked_launch</v>
      </c>
      <c r="J153" s="2" t="str">
        <f>IFERROR(__xludf.DUMMYFUNCTION("""COMPUTED_VALUE"""),"uuid:34c927e5-cedb-4221-904d-1dae4f379a4f")</f>
        <v>uuid:34c927e5-cedb-4221-904d-1dae4f379a4f</v>
      </c>
    </row>
    <row r="154">
      <c r="A154" s="2" t="str">
        <f>IFERROR(__xludf.DUMMYFUNCTION("""COMPUTED_VALUE"""),"2025-09-29T10:31:22.714Z")</f>
        <v>2025-09-29T10:31:22.714Z</v>
      </c>
      <c r="B154" s="2" t="str">
        <f>IFERROR(__xludf.DUMMYFUNCTION("""COMPUTED_VALUE"""),"2025-09-29T13:38:00.370+08")</f>
        <v>2025-09-29T13:38:00.370+08</v>
      </c>
      <c r="C154" s="2" t="str">
        <f>IFERROR(__xludf.DUMMYFUNCTION("""COMPUTED_VALUE"""),"2025-09-29T13:46:15.083+08")</f>
        <v>2025-09-29T13:46:15.083+08</v>
      </c>
      <c r="D154" s="2" t="str">
        <f>IFERROR(__xludf.DUMMYFUNCTION("""COMPUTED_VALUE"""),"H030415034")</f>
        <v>H030415034</v>
      </c>
      <c r="E154" s="2" t="str">
        <f>IFERROR(__xludf.DUMMYFUNCTION("""COMPUTED_VALUE"""),"N7814260")</f>
        <v>N7814260</v>
      </c>
      <c r="F154" s="2" t="str">
        <f>IFERROR(__xludf.DUMMYFUNCTION("""COMPUTED_VALUE"""),"Jemma Marie Tillo")</f>
        <v>Jemma Marie Tillo</v>
      </c>
      <c r="G154" s="2"/>
      <c r="H154" s="2"/>
      <c r="I154" s="2" t="str">
        <f>IFERROR(__xludf.DUMMYFUNCTION("""COMPUTED_VALUE"""),"ICM_Business_linked_launch")</f>
        <v>ICM_Business_linked_launch</v>
      </c>
      <c r="J154" s="2" t="str">
        <f>IFERROR(__xludf.DUMMYFUNCTION("""COMPUTED_VALUE"""),"uuid:708e5d47-f6d8-4654-89a2-126bf468a3c4")</f>
        <v>uuid:708e5d47-f6d8-4654-89a2-126bf468a3c4</v>
      </c>
    </row>
    <row r="155">
      <c r="A155" s="2" t="str">
        <f>IFERROR(__xludf.DUMMYFUNCTION("""COMPUTED_VALUE"""),"2025-08-28T13:17:46.256Z")</f>
        <v>2025-08-28T13:17:46.256Z</v>
      </c>
      <c r="B155" s="2" t="str">
        <f>IFERROR(__xludf.DUMMYFUNCTION("""COMPUTED_VALUE"""),"2025-08-28T21:16:41.712+08")</f>
        <v>2025-08-28T21:16:41.712+08</v>
      </c>
      <c r="C155" s="2" t="str">
        <f>IFERROR(__xludf.DUMMYFUNCTION("""COMPUTED_VALUE"""),"2025-08-28T21:17:16.418+08")</f>
        <v>2025-08-28T21:17:16.418+08</v>
      </c>
      <c r="D155" s="2" t="str">
        <f>IFERROR(__xludf.DUMMYFUNCTION("""COMPUTED_VALUE"""),"H030415028")</f>
        <v>H030415028</v>
      </c>
      <c r="E155" s="2" t="str">
        <f>IFERROR(__xludf.DUMMYFUNCTION("""COMPUTED_VALUE"""),"O3925718")</f>
        <v>O3925718</v>
      </c>
      <c r="F155" s="2" t="str">
        <f>IFERROR(__xludf.DUMMYFUNCTION("""COMPUTED_VALUE"""),"Adrian Montecastro Ferrer")</f>
        <v>Adrian Montecastro Ferrer</v>
      </c>
      <c r="G155" s="2"/>
      <c r="H155" s="2"/>
      <c r="I155" s="2" t="str">
        <f>IFERROR(__xludf.DUMMYFUNCTION("""COMPUTED_VALUE"""),"ICM_Business_linked_launch")</f>
        <v>ICM_Business_linked_launch</v>
      </c>
      <c r="J155" s="2" t="str">
        <f>IFERROR(__xludf.DUMMYFUNCTION("""COMPUTED_VALUE"""),"uuid:96ce4131-fcf8-484e-a82a-0e64495cd915")</f>
        <v>uuid:96ce4131-fcf8-484e-a82a-0e64495cd915</v>
      </c>
    </row>
    <row r="156">
      <c r="A156" s="2" t="str">
        <f>IFERROR(__xludf.DUMMYFUNCTION("""COMPUTED_VALUE"""),"2025-08-29T10:10:57.627Z")</f>
        <v>2025-08-29T10:10:57.627Z</v>
      </c>
      <c r="B156" s="2" t="str">
        <f>IFERROR(__xludf.DUMMYFUNCTION("""COMPUTED_VALUE"""),"2025-08-29T09:20:20.233+08")</f>
        <v>2025-08-29T09:20:20.233+08</v>
      </c>
      <c r="C156" s="2" t="str">
        <f>IFERROR(__xludf.DUMMYFUNCTION("""COMPUTED_VALUE"""),"2025-08-29T09:23:15.421+08")</f>
        <v>2025-08-29T09:23:15.421+08</v>
      </c>
      <c r="D156" s="2" t="str">
        <f>IFERROR(__xludf.DUMMYFUNCTION("""COMPUTED_VALUE"""),"H030106032")</f>
        <v>H030106032</v>
      </c>
      <c r="E156" s="2" t="str">
        <f>IFERROR(__xludf.DUMMYFUNCTION("""COMPUTED_VALUE"""),"N7814260")</f>
        <v>N7814260</v>
      </c>
      <c r="F156" s="2" t="str">
        <f>IFERROR(__xludf.DUMMYFUNCTION("""COMPUTED_VALUE"""),"Jemma Marie Tillo")</f>
        <v>Jemma Marie Tillo</v>
      </c>
      <c r="G156" s="2"/>
      <c r="H156" s="2"/>
      <c r="I156" s="2" t="str">
        <f>IFERROR(__xludf.DUMMYFUNCTION("""COMPUTED_VALUE"""),"ICM_Business_linked_launch")</f>
        <v>ICM_Business_linked_launch</v>
      </c>
      <c r="J156" s="2" t="str">
        <f>IFERROR(__xludf.DUMMYFUNCTION("""COMPUTED_VALUE"""),"uuid:6889f583-659d-424d-8318-2cbfae03b637")</f>
        <v>uuid:6889f583-659d-424d-8318-2cbfae03b637</v>
      </c>
    </row>
    <row r="157">
      <c r="A157" s="2" t="str">
        <f>IFERROR(__xludf.DUMMYFUNCTION("""COMPUTED_VALUE"""),"2025-08-29T10:10:58.114Z")</f>
        <v>2025-08-29T10:10:58.114Z</v>
      </c>
      <c r="B157" s="2" t="str">
        <f>IFERROR(__xludf.DUMMYFUNCTION("""COMPUTED_VALUE"""),"2025-08-29T10:39:32.228+08")</f>
        <v>2025-08-29T10:39:32.228+08</v>
      </c>
      <c r="C157" s="2" t="str">
        <f>IFERROR(__xludf.DUMMYFUNCTION("""COMPUTED_VALUE"""),"2025-08-29T10:42:40.082+08")</f>
        <v>2025-08-29T10:42:40.082+08</v>
      </c>
      <c r="D157" s="2" t="str">
        <f>IFERROR(__xludf.DUMMYFUNCTION("""COMPUTED_VALUE"""),"H030106033")</f>
        <v>H030106033</v>
      </c>
      <c r="E157" s="2" t="str">
        <f>IFERROR(__xludf.DUMMYFUNCTION("""COMPUTED_VALUE"""),"N7814260")</f>
        <v>N7814260</v>
      </c>
      <c r="F157" s="2" t="str">
        <f>IFERROR(__xludf.DUMMYFUNCTION("""COMPUTED_VALUE"""),"Jemma Marie Tillo")</f>
        <v>Jemma Marie Tillo</v>
      </c>
      <c r="G157" s="2"/>
      <c r="H157" s="2"/>
      <c r="I157" s="2" t="str">
        <f>IFERROR(__xludf.DUMMYFUNCTION("""COMPUTED_VALUE"""),"ICM_Business_linked_launch")</f>
        <v>ICM_Business_linked_launch</v>
      </c>
      <c r="J157" s="2" t="str">
        <f>IFERROR(__xludf.DUMMYFUNCTION("""COMPUTED_VALUE"""),"uuid:deeefd5e-c518-46b6-9690-e45099751a4d")</f>
        <v>uuid:deeefd5e-c518-46b6-9690-e45099751a4d</v>
      </c>
    </row>
    <row r="158">
      <c r="A158" s="2" t="str">
        <f>IFERROR(__xludf.DUMMYFUNCTION("""COMPUTED_VALUE"""),"2025-08-29T10:10:59.256Z")</f>
        <v>2025-08-29T10:10:59.256Z</v>
      </c>
      <c r="B158" s="2" t="str">
        <f>IFERROR(__xludf.DUMMYFUNCTION("""COMPUTED_VALUE"""),"2025-08-29T14:18:59.818+08")</f>
        <v>2025-08-29T14:18:59.818+08</v>
      </c>
      <c r="C158" s="2" t="str">
        <f>IFERROR(__xludf.DUMMYFUNCTION("""COMPUTED_VALUE"""),"2025-08-29T14:41:01.639+08")</f>
        <v>2025-08-29T14:41:01.639+08</v>
      </c>
      <c r="D158" s="2" t="str">
        <f>IFERROR(__xludf.DUMMYFUNCTION("""COMPUTED_VALUE"""),"H030106026")</f>
        <v>H030106026</v>
      </c>
      <c r="E158" s="2" t="str">
        <f>IFERROR(__xludf.DUMMYFUNCTION("""COMPUTED_VALUE"""),"N7814260")</f>
        <v>N7814260</v>
      </c>
      <c r="F158" s="2" t="str">
        <f>IFERROR(__xludf.DUMMYFUNCTION("""COMPUTED_VALUE"""),"Jemma Marie Tillo")</f>
        <v>Jemma Marie Tillo</v>
      </c>
      <c r="G158" s="2"/>
      <c r="H158" s="2"/>
      <c r="I158" s="2" t="str">
        <f>IFERROR(__xludf.DUMMYFUNCTION("""COMPUTED_VALUE"""),"ICM_Business_linked_launch")</f>
        <v>ICM_Business_linked_launch</v>
      </c>
      <c r="J158" s="2" t="str">
        <f>IFERROR(__xludf.DUMMYFUNCTION("""COMPUTED_VALUE"""),"uuid:081771e4-8fc7-4150-ab7e-36cc6ac3b763")</f>
        <v>uuid:081771e4-8fc7-4150-ab7e-36cc6ac3b763</v>
      </c>
    </row>
    <row r="159">
      <c r="A159" s="2" t="str">
        <f>IFERROR(__xludf.DUMMYFUNCTION("""COMPUTED_VALUE"""),"2025-08-29T10:10:58.611Z")</f>
        <v>2025-08-29T10:10:58.611Z</v>
      </c>
      <c r="B159" s="2" t="str">
        <f>IFERROR(__xludf.DUMMYFUNCTION("""COMPUTED_VALUE"""),"2025-08-29T12:12:43.646+08")</f>
        <v>2025-08-29T12:12:43.646+08</v>
      </c>
      <c r="C159" s="2" t="str">
        <f>IFERROR(__xludf.DUMMYFUNCTION("""COMPUTED_VALUE"""),"2025-08-29T12:27:01.450+08")</f>
        <v>2025-08-29T12:27:01.450+08</v>
      </c>
      <c r="D159" s="2" t="str">
        <f>IFERROR(__xludf.DUMMYFUNCTION("""COMPUTED_VALUE"""),"H030106031")</f>
        <v>H030106031</v>
      </c>
      <c r="E159" s="2" t="str">
        <f>IFERROR(__xludf.DUMMYFUNCTION("""COMPUTED_VALUE"""),"N7814260")</f>
        <v>N7814260</v>
      </c>
      <c r="F159" s="2" t="str">
        <f>IFERROR(__xludf.DUMMYFUNCTION("""COMPUTED_VALUE"""),"Jemma Marie Tillo")</f>
        <v>Jemma Marie Tillo</v>
      </c>
      <c r="G159" s="2"/>
      <c r="H159" s="2"/>
      <c r="I159" s="2" t="str">
        <f>IFERROR(__xludf.DUMMYFUNCTION("""COMPUTED_VALUE"""),"ICM_Business_linked_launch")</f>
        <v>ICM_Business_linked_launch</v>
      </c>
      <c r="J159" s="2" t="str">
        <f>IFERROR(__xludf.DUMMYFUNCTION("""COMPUTED_VALUE"""),"uuid:371fdda1-eeaa-422d-8b34-cec2a92359c3")</f>
        <v>uuid:371fdda1-eeaa-422d-8b34-cec2a92359c3</v>
      </c>
    </row>
    <row r="160">
      <c r="A160" s="2" t="str">
        <f>IFERROR(__xludf.DUMMYFUNCTION("""COMPUTED_VALUE"""),"2025-08-29T10:32:06.341Z")</f>
        <v>2025-08-29T10:32:06.341Z</v>
      </c>
      <c r="B160" s="2" t="str">
        <f>IFERROR(__xludf.DUMMYFUNCTION("""COMPUTED_VALUE"""),"2025-08-29T09:16:49.166+08")</f>
        <v>2025-08-29T09:16:49.166+08</v>
      </c>
      <c r="C160" s="2" t="str">
        <f>IFERROR(__xludf.DUMMYFUNCTION("""COMPUTED_VALUE"""),"2025-08-29T09:24:57.734+08")</f>
        <v>2025-08-29T09:24:57.734+08</v>
      </c>
      <c r="D160" s="2" t="str">
        <f>IFERROR(__xludf.DUMMYFUNCTION("""COMPUTED_VALUE"""),"H030106019")</f>
        <v>H030106019</v>
      </c>
      <c r="E160" s="2" t="str">
        <f>IFERROR(__xludf.DUMMYFUNCTION("""COMPUTED_VALUE"""),"O3925718")</f>
        <v>O3925718</v>
      </c>
      <c r="F160" s="2" t="str">
        <f>IFERROR(__xludf.DUMMYFUNCTION("""COMPUTED_VALUE"""),"Adrian Montecastro Ferrer")</f>
        <v>Adrian Montecastro Ferrer</v>
      </c>
      <c r="G160" s="2"/>
      <c r="H160" s="2"/>
      <c r="I160" s="2" t="str">
        <f>IFERROR(__xludf.DUMMYFUNCTION("""COMPUTED_VALUE"""),"ICM_Business_linked_launch")</f>
        <v>ICM_Business_linked_launch</v>
      </c>
      <c r="J160" s="2" t="str">
        <f>IFERROR(__xludf.DUMMYFUNCTION("""COMPUTED_VALUE"""),"uuid:b1d93183-8a68-4716-b1da-e9c244c74100")</f>
        <v>uuid:b1d93183-8a68-4716-b1da-e9c244c74100</v>
      </c>
    </row>
    <row r="161">
      <c r="A161" s="2" t="str">
        <f>IFERROR(__xludf.DUMMYFUNCTION("""COMPUTED_VALUE"""),"2025-10-05T08:25:37.127Z")</f>
        <v>2025-10-05T08:25:37.127Z</v>
      </c>
      <c r="B161" s="2" t="str">
        <f>IFERROR(__xludf.DUMMYFUNCTION("""COMPUTED_VALUE"""),"2025-10-05T09:23:37.048+08")</f>
        <v>2025-10-05T09:23:37.048+08</v>
      </c>
      <c r="C161" s="2" t="str">
        <f>IFERROR(__xludf.DUMMYFUNCTION("""COMPUTED_VALUE"""),"2025-10-05T09:28:59.243+08")</f>
        <v>2025-10-05T09:28:59.243+08</v>
      </c>
      <c r="D161" s="2" t="str">
        <f>IFERROR(__xludf.DUMMYFUNCTION("""COMPUTED_VALUE"""),"H030106018")</f>
        <v>H030106018</v>
      </c>
      <c r="E161" s="2" t="str">
        <f>IFERROR(__xludf.DUMMYFUNCTION("""COMPUTED_VALUE"""),"O3925718")</f>
        <v>O3925718</v>
      </c>
      <c r="F161" s="2" t="str">
        <f>IFERROR(__xludf.DUMMYFUNCTION("""COMPUTED_VALUE"""),"Adrian Montecastro Ferrer")</f>
        <v>Adrian Montecastro Ferrer</v>
      </c>
      <c r="G161" s="2"/>
      <c r="H161" s="2"/>
      <c r="I161" s="2" t="str">
        <f>IFERROR(__xludf.DUMMYFUNCTION("""COMPUTED_VALUE"""),"ICM_Business_linked_launch")</f>
        <v>ICM_Business_linked_launch</v>
      </c>
      <c r="J161" s="2" t="str">
        <f>IFERROR(__xludf.DUMMYFUNCTION("""COMPUTED_VALUE"""),"uuid:36622834-8f4b-40dc-95de-f21f949ff1cf")</f>
        <v>uuid:36622834-8f4b-40dc-95de-f21f949ff1cf</v>
      </c>
    </row>
    <row r="162">
      <c r="A162" s="2" t="str">
        <f>IFERROR(__xludf.DUMMYFUNCTION("""COMPUTED_VALUE"""),"2025-08-29T10:32:09.286Z")</f>
        <v>2025-08-29T10:32:09.286Z</v>
      </c>
      <c r="B162" s="2" t="str">
        <f>IFERROR(__xludf.DUMMYFUNCTION("""COMPUTED_VALUE"""),"2025-08-29T12:10:02.657+08")</f>
        <v>2025-08-29T12:10:02.657+08</v>
      </c>
      <c r="C162" s="2" t="str">
        <f>IFERROR(__xludf.DUMMYFUNCTION("""COMPUTED_VALUE"""),"2025-08-29T12:22:23.250+08")</f>
        <v>2025-08-29T12:22:23.250+08</v>
      </c>
      <c r="D162" s="2" t="str">
        <f>IFERROR(__xludf.DUMMYFUNCTION("""COMPUTED_VALUE"""),"H030106030")</f>
        <v>H030106030</v>
      </c>
      <c r="E162" s="2" t="str">
        <f>IFERROR(__xludf.DUMMYFUNCTION("""COMPUTED_VALUE"""),"O3925718")</f>
        <v>O3925718</v>
      </c>
      <c r="F162" s="2" t="str">
        <f>IFERROR(__xludf.DUMMYFUNCTION("""COMPUTED_VALUE"""),"Adrian Montecastro Ferrer")</f>
        <v>Adrian Montecastro Ferrer</v>
      </c>
      <c r="G162" s="2"/>
      <c r="H162" s="2"/>
      <c r="I162" s="2" t="str">
        <f>IFERROR(__xludf.DUMMYFUNCTION("""COMPUTED_VALUE"""),"ICM_Business_linked_launch")</f>
        <v>ICM_Business_linked_launch</v>
      </c>
      <c r="J162" s="2" t="str">
        <f>IFERROR(__xludf.DUMMYFUNCTION("""COMPUTED_VALUE"""),"uuid:6e9b4d1c-3e1f-4be9-aa36-02d9cb1516fd")</f>
        <v>uuid:6e9b4d1c-3e1f-4be9-aa36-02d9cb1516fd</v>
      </c>
    </row>
    <row r="163">
      <c r="A163" s="2" t="str">
        <f>IFERROR(__xludf.DUMMYFUNCTION("""COMPUTED_VALUE"""),"2025-08-29T10:32:09.655Z")</f>
        <v>2025-08-29T10:32:09.655Z</v>
      </c>
      <c r="B163" s="2" t="str">
        <f>IFERROR(__xludf.DUMMYFUNCTION("""COMPUTED_VALUE"""),"2025-08-29T10:38:46.493+08")</f>
        <v>2025-08-29T10:38:46.493+08</v>
      </c>
      <c r="C163" s="2" t="str">
        <f>IFERROR(__xludf.DUMMYFUNCTION("""COMPUTED_VALUE"""),"2025-08-29T10:56:55.740+08")</f>
        <v>2025-08-29T10:56:55.740+08</v>
      </c>
      <c r="D163" s="2" t="str">
        <f>IFERROR(__xludf.DUMMYFUNCTION("""COMPUTED_VALUE"""),"H030106017")</f>
        <v>H030106017</v>
      </c>
      <c r="E163" s="2" t="str">
        <f>IFERROR(__xludf.DUMMYFUNCTION("""COMPUTED_VALUE"""),"O3925718")</f>
        <v>O3925718</v>
      </c>
      <c r="F163" s="2" t="str">
        <f>IFERROR(__xludf.DUMMYFUNCTION("""COMPUTED_VALUE"""),"Adrian Montecastro Ferrer")</f>
        <v>Adrian Montecastro Ferrer</v>
      </c>
      <c r="G163" s="2"/>
      <c r="H163" s="2"/>
      <c r="I163" s="2" t="str">
        <f>IFERROR(__xludf.DUMMYFUNCTION("""COMPUTED_VALUE"""),"ICM_Business_linked_launch")</f>
        <v>ICM_Business_linked_launch</v>
      </c>
      <c r="J163" s="2" t="str">
        <f>IFERROR(__xludf.DUMMYFUNCTION("""COMPUTED_VALUE"""),"uuid:c44a1cf7-197b-44c8-9836-127f50144556")</f>
        <v>uuid:c44a1cf7-197b-44c8-9836-127f50144556</v>
      </c>
    </row>
    <row r="164">
      <c r="A164" s="2" t="str">
        <f>IFERROR(__xludf.DUMMYFUNCTION("""COMPUTED_VALUE"""),"2025-08-29T11:06:58.540Z")</f>
        <v>2025-08-29T11:06:58.540Z</v>
      </c>
      <c r="B164" s="2" t="str">
        <f>IFERROR(__xludf.DUMMYFUNCTION("""COMPUTED_VALUE"""),"2025-08-29T09:17:48.370+08")</f>
        <v>2025-08-29T09:17:48.370+08</v>
      </c>
      <c r="C164" s="2" t="str">
        <f>IFERROR(__xludf.DUMMYFUNCTION("""COMPUTED_VALUE"""),"2025-08-29T09:29:05.268+08")</f>
        <v>2025-08-29T09:29:05.268+08</v>
      </c>
      <c r="D164" s="2" t="str">
        <f>IFERROR(__xludf.DUMMYFUNCTION("""COMPUTED_VALUE"""),"H030106035")</f>
        <v>H030106035</v>
      </c>
      <c r="E164" s="2" t="str">
        <f>IFERROR(__xludf.DUMMYFUNCTION("""COMPUTED_VALUE"""),"P1068432")</f>
        <v>P1068432</v>
      </c>
      <c r="F164" s="2" t="str">
        <f>IFERROR(__xludf.DUMMYFUNCTION("""COMPUTED_VALUE"""),"Mark Daniel Balagao Benson")</f>
        <v>Mark Daniel Balagao Benson</v>
      </c>
      <c r="G164" s="2"/>
      <c r="H164" s="2"/>
      <c r="I164" s="2" t="str">
        <f>IFERROR(__xludf.DUMMYFUNCTION("""COMPUTED_VALUE"""),"ICM_Business_linked_launch")</f>
        <v>ICM_Business_linked_launch</v>
      </c>
      <c r="J164" s="2" t="str">
        <f>IFERROR(__xludf.DUMMYFUNCTION("""COMPUTED_VALUE"""),"uuid:a4cd13a5-e15f-447e-a13c-3feef8f2e28b")</f>
        <v>uuid:a4cd13a5-e15f-447e-a13c-3feef8f2e28b</v>
      </c>
    </row>
    <row r="165">
      <c r="A165" s="2" t="str">
        <f>IFERROR(__xludf.DUMMYFUNCTION("""COMPUTED_VALUE"""),"2025-08-29T11:06:59.988Z")</f>
        <v>2025-08-29T11:06:59.988Z</v>
      </c>
      <c r="B165" s="2" t="str">
        <f>IFERROR(__xludf.DUMMYFUNCTION("""COMPUTED_VALUE"""),"2025-08-29T11:15:57.488+08")</f>
        <v>2025-08-29T11:15:57.488+08</v>
      </c>
      <c r="C165" s="2" t="str">
        <f>IFERROR(__xludf.DUMMYFUNCTION("""COMPUTED_VALUE"""),"2025-08-29T11:29:44.641+08")</f>
        <v>2025-08-29T11:29:44.641+08</v>
      </c>
      <c r="D165" s="2" t="str">
        <f>IFERROR(__xludf.DUMMYFUNCTION("""COMPUTED_VALUE"""),"H030106028")</f>
        <v>H030106028</v>
      </c>
      <c r="E165" s="2" t="str">
        <f>IFERROR(__xludf.DUMMYFUNCTION("""COMPUTED_VALUE"""),"P1068432")</f>
        <v>P1068432</v>
      </c>
      <c r="F165" s="2" t="str">
        <f>IFERROR(__xludf.DUMMYFUNCTION("""COMPUTED_VALUE"""),"Mark Daniel Balagao Benson")</f>
        <v>Mark Daniel Balagao Benson</v>
      </c>
      <c r="G165" s="2"/>
      <c r="H165" s="2"/>
      <c r="I165" s="2" t="str">
        <f>IFERROR(__xludf.DUMMYFUNCTION("""COMPUTED_VALUE"""),"ICM_Business_linked_launch")</f>
        <v>ICM_Business_linked_launch</v>
      </c>
      <c r="J165" s="2" t="str">
        <f>IFERROR(__xludf.DUMMYFUNCTION("""COMPUTED_VALUE"""),"uuid:efbfdadb-dcf7-4662-97ef-bb60d77c2dc1")</f>
        <v>uuid:efbfdadb-dcf7-4662-97ef-bb60d77c2dc1</v>
      </c>
    </row>
    <row r="166">
      <c r="A166" s="2" t="str">
        <f>IFERROR(__xludf.DUMMYFUNCTION("""COMPUTED_VALUE"""),"2025-08-29T11:07:02.163Z")</f>
        <v>2025-08-29T11:07:02.163Z</v>
      </c>
      <c r="B166" s="2" t="str">
        <f>IFERROR(__xludf.DUMMYFUNCTION("""COMPUTED_VALUE"""),"2025-08-29T14:57:42.847+08")</f>
        <v>2025-08-29T14:57:42.847+08</v>
      </c>
      <c r="C166" s="2" t="str">
        <f>IFERROR(__xludf.DUMMYFUNCTION("""COMPUTED_VALUE"""),"2025-08-29T15:05:19.589+08")</f>
        <v>2025-08-29T15:05:19.589+08</v>
      </c>
      <c r="D166" s="2" t="str">
        <f>IFERROR(__xludf.DUMMYFUNCTION("""COMPUTED_VALUE"""),"H030106023")</f>
        <v>H030106023</v>
      </c>
      <c r="E166" s="2" t="str">
        <f>IFERROR(__xludf.DUMMYFUNCTION("""COMPUTED_VALUE"""),"P1068432")</f>
        <v>P1068432</v>
      </c>
      <c r="F166" s="2" t="str">
        <f>IFERROR(__xludf.DUMMYFUNCTION("""COMPUTED_VALUE"""),"Mark Daniel Balagao Benson")</f>
        <v>Mark Daniel Balagao Benson</v>
      </c>
      <c r="G166" s="2"/>
      <c r="H166" s="2"/>
      <c r="I166" s="2" t="str">
        <f>IFERROR(__xludf.DUMMYFUNCTION("""COMPUTED_VALUE"""),"ICM_Business_linked_launch")</f>
        <v>ICM_Business_linked_launch</v>
      </c>
      <c r="J166" s="2" t="str">
        <f>IFERROR(__xludf.DUMMYFUNCTION("""COMPUTED_VALUE"""),"uuid:caf72329-fa4d-4593-bbf5-3c2c6735ac7f")</f>
        <v>uuid:caf72329-fa4d-4593-bbf5-3c2c6735ac7f</v>
      </c>
    </row>
    <row r="167">
      <c r="A167" s="2" t="str">
        <f>IFERROR(__xludf.DUMMYFUNCTION("""COMPUTED_VALUE"""),"2025-08-29T11:33:07.594Z")</f>
        <v>2025-08-29T11:33:07.594Z</v>
      </c>
      <c r="B167" s="2" t="str">
        <f>IFERROR(__xludf.DUMMYFUNCTION("""COMPUTED_VALUE"""),"2025-08-29T09:40:36.349+08")</f>
        <v>2025-08-29T09:40:36.349+08</v>
      </c>
      <c r="C167" s="2" t="str">
        <f>IFERROR(__xludf.DUMMYFUNCTION("""COMPUTED_VALUE"""),"2025-08-29T09:50:02.614+08")</f>
        <v>2025-08-29T09:50:02.614+08</v>
      </c>
      <c r="D167" s="2" t="str">
        <f>IFERROR(__xludf.DUMMYFUNCTION("""COMPUTED_VALUE"""),"H030015017")</f>
        <v>H030015017</v>
      </c>
      <c r="E167" s="2" t="str">
        <f>IFERROR(__xludf.DUMMYFUNCTION("""COMPUTED_VALUE"""),"H2846135")</f>
        <v>H2846135</v>
      </c>
      <c r="F167" s="2" t="str">
        <f>IFERROR(__xludf.DUMMYFUNCTION("""COMPUTED_VALUE"""),"Annalou Empanado Encontro")</f>
        <v>Annalou Empanado Encontro</v>
      </c>
      <c r="G167" s="2"/>
      <c r="H167" s="2"/>
      <c r="I167" s="2" t="str">
        <f>IFERROR(__xludf.DUMMYFUNCTION("""COMPUTED_VALUE"""),"ICM_Business_linked_launch")</f>
        <v>ICM_Business_linked_launch</v>
      </c>
      <c r="J167" s="2" t="str">
        <f>IFERROR(__xludf.DUMMYFUNCTION("""COMPUTED_VALUE"""),"uuid:0f004d7d-2baf-4251-a24b-ea01664f725b")</f>
        <v>uuid:0f004d7d-2baf-4251-a24b-ea01664f725b</v>
      </c>
    </row>
    <row r="168">
      <c r="A168" s="2" t="str">
        <f>IFERROR(__xludf.DUMMYFUNCTION("""COMPUTED_VALUE"""),"2025-08-29T11:33:08.934Z")</f>
        <v>2025-08-29T11:33:08.934Z</v>
      </c>
      <c r="B168" s="2" t="str">
        <f>IFERROR(__xludf.DUMMYFUNCTION("""COMPUTED_VALUE"""),"2025-08-29T13:37:06.537+08")</f>
        <v>2025-08-29T13:37:06.537+08</v>
      </c>
      <c r="C168" s="2" t="str">
        <f>IFERROR(__xludf.DUMMYFUNCTION("""COMPUTED_VALUE"""),"2025-08-29T13:47:16.970+08")</f>
        <v>2025-08-29T13:47:16.970+08</v>
      </c>
      <c r="D168" s="2" t="str">
        <f>IFERROR(__xludf.DUMMYFUNCTION("""COMPUTED_VALUE"""),"H030015020")</f>
        <v>H030015020</v>
      </c>
      <c r="E168" s="2" t="str">
        <f>IFERROR(__xludf.DUMMYFUNCTION("""COMPUTED_VALUE"""),"H2846135")</f>
        <v>H2846135</v>
      </c>
      <c r="F168" s="2" t="str">
        <f>IFERROR(__xludf.DUMMYFUNCTION("""COMPUTED_VALUE"""),"Annalou Empanado Encontro")</f>
        <v>Annalou Empanado Encontro</v>
      </c>
      <c r="G168" s="2"/>
      <c r="H168" s="2"/>
      <c r="I168" s="2" t="str">
        <f>IFERROR(__xludf.DUMMYFUNCTION("""COMPUTED_VALUE"""),"ICM_Business_linked_launch")</f>
        <v>ICM_Business_linked_launch</v>
      </c>
      <c r="J168" s="2" t="str">
        <f>IFERROR(__xludf.DUMMYFUNCTION("""COMPUTED_VALUE"""),"uuid:9dcaa59e-a6de-4b12-9600-a4396acd88c9")</f>
        <v>uuid:9dcaa59e-a6de-4b12-9600-a4396acd88c9</v>
      </c>
    </row>
    <row r="169">
      <c r="A169" s="2" t="str">
        <f>IFERROR(__xludf.DUMMYFUNCTION("""COMPUTED_VALUE"""),"2025-08-29T11:35:22.461Z")</f>
        <v>2025-08-29T11:35:22.461Z</v>
      </c>
      <c r="B169" s="2" t="str">
        <f>IFERROR(__xludf.DUMMYFUNCTION("""COMPUTED_VALUE"""),"2025-08-29T10:20:54.132+08")</f>
        <v>2025-08-29T10:20:54.132+08</v>
      </c>
      <c r="C169" s="2" t="str">
        <f>IFERROR(__xludf.DUMMYFUNCTION("""COMPUTED_VALUE"""),"2025-08-29T10:46:57.945+08")</f>
        <v>2025-08-29T10:46:57.945+08</v>
      </c>
      <c r="D169" s="2" t="str">
        <f>IFERROR(__xludf.DUMMYFUNCTION("""COMPUTED_VALUE"""),"H030270032")</f>
        <v>H030270032</v>
      </c>
      <c r="E169" s="2">
        <f>IFERROR(__xludf.DUMMYFUNCTION("""COMPUTED_VALUE"""),896791.0)</f>
        <v>896791</v>
      </c>
      <c r="F169" s="2" t="str">
        <f>IFERROR(__xludf.DUMMYFUNCTION("""COMPUTED_VALUE"""),"Roland A. Bandiola jr")</f>
        <v>Roland A. Bandiola jr</v>
      </c>
      <c r="G169" s="2"/>
      <c r="H169" s="2"/>
      <c r="I169" s="2" t="str">
        <f>IFERROR(__xludf.DUMMYFUNCTION("""COMPUTED_VALUE"""),"ICM_Business_linked_launch")</f>
        <v>ICM_Business_linked_launch</v>
      </c>
      <c r="J169" s="2" t="str">
        <f>IFERROR(__xludf.DUMMYFUNCTION("""COMPUTED_VALUE"""),"uuid:ad6c6f03-a916-46c3-9994-afb46edca386")</f>
        <v>uuid:ad6c6f03-a916-46c3-9994-afb46edca386</v>
      </c>
    </row>
    <row r="170">
      <c r="A170" s="2" t="str">
        <f>IFERROR(__xludf.DUMMYFUNCTION("""COMPUTED_VALUE"""),"2025-08-29T11:35:25.124Z")</f>
        <v>2025-08-29T11:35:25.124Z</v>
      </c>
      <c r="B170" s="2" t="str">
        <f>IFERROR(__xludf.DUMMYFUNCTION("""COMPUTED_VALUE"""),"2025-08-29T11:53:30.944+08")</f>
        <v>2025-08-29T11:53:30.944+08</v>
      </c>
      <c r="C170" s="2" t="str">
        <f>IFERROR(__xludf.DUMMYFUNCTION("""COMPUTED_VALUE"""),"2025-08-29T12:00:55.097+08")</f>
        <v>2025-08-29T12:00:55.097+08</v>
      </c>
      <c r="D170" s="2" t="str">
        <f>IFERROR(__xludf.DUMMYFUNCTION("""COMPUTED_VALUE"""),"H030270004")</f>
        <v>H030270004</v>
      </c>
      <c r="E170" s="2">
        <f>IFERROR(__xludf.DUMMYFUNCTION("""COMPUTED_VALUE"""),896791.0)</f>
        <v>896791</v>
      </c>
      <c r="F170" s="2" t="str">
        <f>IFERROR(__xludf.DUMMYFUNCTION("""COMPUTED_VALUE"""),"Roland A. Bandiola jr")</f>
        <v>Roland A. Bandiola jr</v>
      </c>
      <c r="G170" s="2"/>
      <c r="H170" s="2"/>
      <c r="I170" s="2" t="str">
        <f>IFERROR(__xludf.DUMMYFUNCTION("""COMPUTED_VALUE"""),"ICM_Business_linked_launch")</f>
        <v>ICM_Business_linked_launch</v>
      </c>
      <c r="J170" s="2" t="str">
        <f>IFERROR(__xludf.DUMMYFUNCTION("""COMPUTED_VALUE"""),"uuid:fa9dd8a9-3f40-45ed-b8b9-2df236b6c175")</f>
        <v>uuid:fa9dd8a9-3f40-45ed-b8b9-2df236b6c175</v>
      </c>
    </row>
    <row r="171">
      <c r="A171" s="2" t="str">
        <f>IFERROR(__xludf.DUMMYFUNCTION("""COMPUTED_VALUE"""),"2025-08-29T11:35:27.319Z")</f>
        <v>2025-08-29T11:35:27.319Z</v>
      </c>
      <c r="B171" s="2" t="str">
        <f>IFERROR(__xludf.DUMMYFUNCTION("""COMPUTED_VALUE"""),"2025-08-29T13:59:51.992+08")</f>
        <v>2025-08-29T13:59:51.992+08</v>
      </c>
      <c r="C171" s="2" t="str">
        <f>IFERROR(__xludf.DUMMYFUNCTION("""COMPUTED_VALUE"""),"2025-08-29T14:09:32.282+08")</f>
        <v>2025-08-29T14:09:32.282+08</v>
      </c>
      <c r="D171" s="2" t="str">
        <f>IFERROR(__xludf.DUMMYFUNCTION("""COMPUTED_VALUE"""),"H030270017")</f>
        <v>H030270017</v>
      </c>
      <c r="E171" s="2">
        <f>IFERROR(__xludf.DUMMYFUNCTION("""COMPUTED_VALUE"""),896791.0)</f>
        <v>896791</v>
      </c>
      <c r="F171" s="2" t="str">
        <f>IFERROR(__xludf.DUMMYFUNCTION("""COMPUTED_VALUE"""),"Roland A. Bandiola jr")</f>
        <v>Roland A. Bandiola jr</v>
      </c>
      <c r="G171" s="2"/>
      <c r="H171" s="2"/>
      <c r="I171" s="2" t="str">
        <f>IFERROR(__xludf.DUMMYFUNCTION("""COMPUTED_VALUE"""),"ICM_Business_linked_launch")</f>
        <v>ICM_Business_linked_launch</v>
      </c>
      <c r="J171" s="2" t="str">
        <f>IFERROR(__xludf.DUMMYFUNCTION("""COMPUTED_VALUE"""),"uuid:6f218a03-465a-4a46-b0c4-760ee63e915f")</f>
        <v>uuid:6f218a03-465a-4a46-b0c4-760ee63e915f</v>
      </c>
    </row>
    <row r="172">
      <c r="A172" s="2" t="str">
        <f>IFERROR(__xludf.DUMMYFUNCTION("""COMPUTED_VALUE"""),"2025-08-29T11:41:04.768Z")</f>
        <v>2025-08-29T11:41:04.768Z</v>
      </c>
      <c r="B172" s="2" t="str">
        <f>IFERROR(__xludf.DUMMYFUNCTION("""COMPUTED_VALUE"""),"2025-08-29T09:59:34.263+08")</f>
        <v>2025-08-29T09:59:34.263+08</v>
      </c>
      <c r="C172" s="2" t="str">
        <f>IFERROR(__xludf.DUMMYFUNCTION("""COMPUTED_VALUE"""),"2025-08-29T11:03:29.337+08")</f>
        <v>2025-08-29T11:03:29.337+08</v>
      </c>
      <c r="D172" s="2" t="str">
        <f>IFERROR(__xludf.DUMMYFUNCTION("""COMPUTED_VALUE"""),"H030514017")</f>
        <v>H030514017</v>
      </c>
      <c r="E172" s="2" t="str">
        <f>IFERROR(__xludf.DUMMYFUNCTION("""COMPUTED_VALUE"""),"B8193462")</f>
        <v>B8193462</v>
      </c>
      <c r="F172" s="2" t="str">
        <f>IFERROR(__xludf.DUMMYFUNCTION("""COMPUTED_VALUE"""),"Mark Lorens Mendoza Gilongo")</f>
        <v>Mark Lorens Mendoza Gilongo</v>
      </c>
      <c r="G172" s="2"/>
      <c r="H172" s="2"/>
      <c r="I172" s="2" t="str">
        <f>IFERROR(__xludf.DUMMYFUNCTION("""COMPUTED_VALUE"""),"ICM_Business_linked_launch")</f>
        <v>ICM_Business_linked_launch</v>
      </c>
      <c r="J172" s="2" t="str">
        <f>IFERROR(__xludf.DUMMYFUNCTION("""COMPUTED_VALUE"""),"uuid:42b7c116-1f95-4177-9f70-56087eb01148")</f>
        <v>uuid:42b7c116-1f95-4177-9f70-56087eb01148</v>
      </c>
    </row>
    <row r="173">
      <c r="A173" s="2" t="str">
        <f>IFERROR(__xludf.DUMMYFUNCTION("""COMPUTED_VALUE"""),"2025-08-29T11:41:07.454Z")</f>
        <v>2025-08-29T11:41:07.454Z</v>
      </c>
      <c r="B173" s="2" t="str">
        <f>IFERROR(__xludf.DUMMYFUNCTION("""COMPUTED_VALUE"""),"2025-08-29T15:01:26.153+08")</f>
        <v>2025-08-29T15:01:26.153+08</v>
      </c>
      <c r="C173" s="2" t="str">
        <f>IFERROR(__xludf.DUMMYFUNCTION("""COMPUTED_VALUE"""),"2025-08-29T19:35:33.866+08")</f>
        <v>2025-08-29T19:35:33.866+08</v>
      </c>
      <c r="D173" s="2" t="str">
        <f>IFERROR(__xludf.DUMMYFUNCTION("""COMPUTED_VALUE"""),"H030514019")</f>
        <v>H030514019</v>
      </c>
      <c r="E173" s="2" t="str">
        <f>IFERROR(__xludf.DUMMYFUNCTION("""COMPUTED_VALUE"""),"B8193462")</f>
        <v>B8193462</v>
      </c>
      <c r="F173" s="2" t="str">
        <f>IFERROR(__xludf.DUMMYFUNCTION("""COMPUTED_VALUE"""),"Mark Lorens Mendoza Gilongo")</f>
        <v>Mark Lorens Mendoza Gilongo</v>
      </c>
      <c r="G173" s="2"/>
      <c r="H173" s="2"/>
      <c r="I173" s="2" t="str">
        <f>IFERROR(__xludf.DUMMYFUNCTION("""COMPUTED_VALUE"""),"ICM_Business_linked_launch")</f>
        <v>ICM_Business_linked_launch</v>
      </c>
      <c r="J173" s="2" t="str">
        <f>IFERROR(__xludf.DUMMYFUNCTION("""COMPUTED_VALUE"""),"uuid:6642199f-3a50-4c14-8291-c8a70ad819ac")</f>
        <v>uuid:6642199f-3a50-4c14-8291-c8a70ad819ac</v>
      </c>
    </row>
    <row r="174">
      <c r="A174" s="2" t="str">
        <f>IFERROR(__xludf.DUMMYFUNCTION("""COMPUTED_VALUE"""),"2025-08-29T11:41:06.932Z")</f>
        <v>2025-08-29T11:41:06.932Z</v>
      </c>
      <c r="B174" s="2" t="str">
        <f>IFERROR(__xludf.DUMMYFUNCTION("""COMPUTED_VALUE"""),"2025-08-29T12:32:38.687+08")</f>
        <v>2025-08-29T12:32:38.687+08</v>
      </c>
      <c r="C174" s="2" t="str">
        <f>IFERROR(__xludf.DUMMYFUNCTION("""COMPUTED_VALUE"""),"2025-08-29T13:29:22.156+08")</f>
        <v>2025-08-29T13:29:22.156+08</v>
      </c>
      <c r="D174" s="2" t="str">
        <f>IFERROR(__xludf.DUMMYFUNCTION("""COMPUTED_VALUE"""),"H030514025")</f>
        <v>H030514025</v>
      </c>
      <c r="E174" s="2" t="str">
        <f>IFERROR(__xludf.DUMMYFUNCTION("""COMPUTED_VALUE"""),"B8193462")</f>
        <v>B8193462</v>
      </c>
      <c r="F174" s="2" t="str">
        <f>IFERROR(__xludf.DUMMYFUNCTION("""COMPUTED_VALUE"""),"Mark Lorens Mendoza Gilongo")</f>
        <v>Mark Lorens Mendoza Gilongo</v>
      </c>
      <c r="G174" s="2"/>
      <c r="H174" s="2"/>
      <c r="I174" s="2" t="str">
        <f>IFERROR(__xludf.DUMMYFUNCTION("""COMPUTED_VALUE"""),"ICM_Business_linked_launch")</f>
        <v>ICM_Business_linked_launch</v>
      </c>
      <c r="J174" s="2" t="str">
        <f>IFERROR(__xludf.DUMMYFUNCTION("""COMPUTED_VALUE"""),"uuid:a180ab19-ad30-4249-9c93-9501a0bd13a0")</f>
        <v>uuid:a180ab19-ad30-4249-9c93-9501a0bd13a0</v>
      </c>
    </row>
    <row r="175">
      <c r="A175" s="2" t="str">
        <f>IFERROR(__xludf.DUMMYFUNCTION("""COMPUTED_VALUE"""),"2025-08-29T11:41:38.461Z")</f>
        <v>2025-08-29T11:41:38.461Z</v>
      </c>
      <c r="B175" s="2" t="str">
        <f>IFERROR(__xludf.DUMMYFUNCTION("""COMPUTED_VALUE"""),"2025-08-29T09:40:42.166+08")</f>
        <v>2025-08-29T09:40:42.166+08</v>
      </c>
      <c r="C175" s="2" t="str">
        <f>IFERROR(__xludf.DUMMYFUNCTION("""COMPUTED_VALUE"""),"2025-08-29T10:03:15.053+08")</f>
        <v>2025-08-29T10:03:15.053+08</v>
      </c>
      <c r="D175" s="2" t="str">
        <f>IFERROR(__xludf.DUMMYFUNCTION("""COMPUTED_VALUE"""),"H030270033")</f>
        <v>H030270033</v>
      </c>
      <c r="E175" s="2" t="str">
        <f>IFERROR(__xludf.DUMMYFUNCTION("""COMPUTED_VALUE"""),"D1284067")</f>
        <v>D1284067</v>
      </c>
      <c r="F175" s="2" t="str">
        <f>IFERROR(__xludf.DUMMYFUNCTION("""COMPUTED_VALUE"""),"Mariel Del Rio")</f>
        <v>Mariel Del Rio</v>
      </c>
      <c r="G175" s="2"/>
      <c r="H175" s="2"/>
      <c r="I175" s="2" t="str">
        <f>IFERROR(__xludf.DUMMYFUNCTION("""COMPUTED_VALUE"""),"ICM_Business_linked_launch")</f>
        <v>ICM_Business_linked_launch</v>
      </c>
      <c r="J175" s="2" t="str">
        <f>IFERROR(__xludf.DUMMYFUNCTION("""COMPUTED_VALUE"""),"uuid:ab96caa5-6599-4066-a67a-bd5a97283a7f")</f>
        <v>uuid:ab96caa5-6599-4066-a67a-bd5a97283a7f</v>
      </c>
    </row>
    <row r="176">
      <c r="A176" s="2" t="str">
        <f>IFERROR(__xludf.DUMMYFUNCTION("""COMPUTED_VALUE"""),"2025-08-29T11:41:46.011Z")</f>
        <v>2025-08-29T11:41:46.011Z</v>
      </c>
      <c r="B176" s="2" t="str">
        <f>IFERROR(__xludf.DUMMYFUNCTION("""COMPUTED_VALUE"""),"2025-08-29T12:24:57.124+08")</f>
        <v>2025-08-29T12:24:57.124+08</v>
      </c>
      <c r="C176" s="2" t="str">
        <f>IFERROR(__xludf.DUMMYFUNCTION("""COMPUTED_VALUE"""),"2025-08-29T14:22:36.424+08")</f>
        <v>2025-08-29T14:22:36.424+08</v>
      </c>
      <c r="D176" s="2" t="str">
        <f>IFERROR(__xludf.DUMMYFUNCTION("""COMPUTED_VALUE"""),"H030270019")</f>
        <v>H030270019</v>
      </c>
      <c r="E176" s="2" t="str">
        <f>IFERROR(__xludf.DUMMYFUNCTION("""COMPUTED_VALUE"""),"D1284067")</f>
        <v>D1284067</v>
      </c>
      <c r="F176" s="2" t="str">
        <f>IFERROR(__xludf.DUMMYFUNCTION("""COMPUTED_VALUE"""),"Mariel Del Rio")</f>
        <v>Mariel Del Rio</v>
      </c>
      <c r="G176" s="2"/>
      <c r="H176" s="2"/>
      <c r="I176" s="2" t="str">
        <f>IFERROR(__xludf.DUMMYFUNCTION("""COMPUTED_VALUE"""),"ICM_Business_linked_launch")</f>
        <v>ICM_Business_linked_launch</v>
      </c>
      <c r="J176" s="2" t="str">
        <f>IFERROR(__xludf.DUMMYFUNCTION("""COMPUTED_VALUE"""),"uuid:d87c1b6c-7641-42b3-8cc2-47fa9ca1e99f")</f>
        <v>uuid:d87c1b6c-7641-42b3-8cc2-47fa9ca1e99f</v>
      </c>
    </row>
    <row r="177">
      <c r="A177" s="2" t="str">
        <f>IFERROR(__xludf.DUMMYFUNCTION("""COMPUTED_VALUE"""),"2025-08-29T11:41:47.573Z")</f>
        <v>2025-08-29T11:41:47.573Z</v>
      </c>
      <c r="B177" s="2" t="str">
        <f>IFERROR(__xludf.DUMMYFUNCTION("""COMPUTED_VALUE"""),"2025-08-29T15:33:10.249+08")</f>
        <v>2025-08-29T15:33:10.249+08</v>
      </c>
      <c r="C177" s="2" t="str">
        <f>IFERROR(__xludf.DUMMYFUNCTION("""COMPUTED_VALUE"""),"2025-08-29T15:56:25.526+08")</f>
        <v>2025-08-29T15:56:25.526+08</v>
      </c>
      <c r="D177" s="2" t="str">
        <f>IFERROR(__xludf.DUMMYFUNCTION("""COMPUTED_VALUE"""),"H030270021")</f>
        <v>H030270021</v>
      </c>
      <c r="E177" s="2" t="str">
        <f>IFERROR(__xludf.DUMMYFUNCTION("""COMPUTED_VALUE"""),"D1284067")</f>
        <v>D1284067</v>
      </c>
      <c r="F177" s="2" t="str">
        <f>IFERROR(__xludf.DUMMYFUNCTION("""COMPUTED_VALUE"""),"Mariel Del Rio")</f>
        <v>Mariel Del Rio</v>
      </c>
      <c r="G177" s="2"/>
      <c r="H177" s="2"/>
      <c r="I177" s="2" t="str">
        <f>IFERROR(__xludf.DUMMYFUNCTION("""COMPUTED_VALUE"""),"ICM_Business_linked_launch")</f>
        <v>ICM_Business_linked_launch</v>
      </c>
      <c r="J177" s="2" t="str">
        <f>IFERROR(__xludf.DUMMYFUNCTION("""COMPUTED_VALUE"""),"uuid:6bd46752-f415-4525-ad80-ffc24f260ab6")</f>
        <v>uuid:6bd46752-f415-4525-ad80-ffc24f260ab6</v>
      </c>
    </row>
    <row r="178">
      <c r="A178" s="2" t="str">
        <f>IFERROR(__xludf.DUMMYFUNCTION("""COMPUTED_VALUE"""),"2025-08-29T11:58:55.969Z")</f>
        <v>2025-08-29T11:58:55.969Z</v>
      </c>
      <c r="B178" s="2" t="str">
        <f>IFERROR(__xludf.DUMMYFUNCTION("""COMPUTED_VALUE"""),"2025-08-29T15:22:26.676+08")</f>
        <v>2025-08-29T15:22:26.676+08</v>
      </c>
      <c r="C178" s="2" t="str">
        <f>IFERROR(__xludf.DUMMYFUNCTION("""COMPUTED_VALUE"""),"2025-08-29T19:53:28.266+08")</f>
        <v>2025-08-29T19:53:28.266+08</v>
      </c>
      <c r="D178" s="2" t="str">
        <f>IFERROR(__xludf.DUMMYFUNCTION("""COMPUTED_VALUE"""),"H030514035")</f>
        <v>H030514035</v>
      </c>
      <c r="E178" s="2" t="str">
        <f>IFERROR(__xludf.DUMMYFUNCTION("""COMPUTED_VALUE"""),"C7502931")</f>
        <v>C7502931</v>
      </c>
      <c r="F178" s="2" t="str">
        <f>IFERROR(__xludf.DUMMYFUNCTION("""COMPUTED_VALUE"""),"Jenny Lou Toles Estacio")</f>
        <v>Jenny Lou Toles Estacio</v>
      </c>
      <c r="G178" s="2"/>
      <c r="H178" s="2"/>
      <c r="I178" s="2" t="str">
        <f>IFERROR(__xludf.DUMMYFUNCTION("""COMPUTED_VALUE"""),"ICM_Business_linked_launch")</f>
        <v>ICM_Business_linked_launch</v>
      </c>
      <c r="J178" s="2" t="str">
        <f>IFERROR(__xludf.DUMMYFUNCTION("""COMPUTED_VALUE"""),"uuid:b5eaf9b7-ea2f-4c2c-bdfc-ed0c9ec6482f")</f>
        <v>uuid:b5eaf9b7-ea2f-4c2c-bdfc-ed0c9ec6482f</v>
      </c>
    </row>
    <row r="179">
      <c r="A179" s="2" t="str">
        <f>IFERROR(__xludf.DUMMYFUNCTION("""COMPUTED_VALUE"""),"2025-08-29T11:59:42.880Z")</f>
        <v>2025-08-29T11:59:42.880Z</v>
      </c>
      <c r="B179" s="2" t="str">
        <f>IFERROR(__xludf.DUMMYFUNCTION("""COMPUTED_VALUE"""),"2025-08-29T11:02:12.186+08")</f>
        <v>2025-08-29T11:02:12.186+08</v>
      </c>
      <c r="C179" s="2" t="str">
        <f>IFERROR(__xludf.DUMMYFUNCTION("""COMPUTED_VALUE"""),"2025-08-29T19:57:39.888+08")</f>
        <v>2025-08-29T19:57:39.888+08</v>
      </c>
      <c r="D179" s="2" t="str">
        <f>IFERROR(__xludf.DUMMYFUNCTION("""COMPUTED_VALUE"""),"H030514022")</f>
        <v>H030514022</v>
      </c>
      <c r="E179" s="2" t="str">
        <f>IFERROR(__xludf.DUMMYFUNCTION("""COMPUTED_VALUE"""),"C7502931")</f>
        <v>C7502931</v>
      </c>
      <c r="F179" s="2" t="str">
        <f>IFERROR(__xludf.DUMMYFUNCTION("""COMPUTED_VALUE"""),"Jenny Lou Toles Estacio")</f>
        <v>Jenny Lou Toles Estacio</v>
      </c>
      <c r="G179" s="2"/>
      <c r="H179" s="2"/>
      <c r="I179" s="2" t="str">
        <f>IFERROR(__xludf.DUMMYFUNCTION("""COMPUTED_VALUE"""),"ICM_Business_linked_launch")</f>
        <v>ICM_Business_linked_launch</v>
      </c>
      <c r="J179" s="2" t="str">
        <f>IFERROR(__xludf.DUMMYFUNCTION("""COMPUTED_VALUE"""),"uuid:ce5d0048-9790-48b6-9ad6-5d2a81524f13")</f>
        <v>uuid:ce5d0048-9790-48b6-9ad6-5d2a81524f13</v>
      </c>
    </row>
    <row r="180">
      <c r="A180" s="2" t="str">
        <f>IFERROR(__xludf.DUMMYFUNCTION("""COMPUTED_VALUE"""),"2025-08-29T11:59:44.296Z")</f>
        <v>2025-08-29T11:59:44.296Z</v>
      </c>
      <c r="B180" s="2" t="str">
        <f>IFERROR(__xludf.DUMMYFUNCTION("""COMPUTED_VALUE"""),"2025-08-29T12:56:59.930+08")</f>
        <v>2025-08-29T12:56:59.930+08</v>
      </c>
      <c r="C180" s="2" t="str">
        <f>IFERROR(__xludf.DUMMYFUNCTION("""COMPUTED_VALUE"""),"2025-08-29T19:58:17.875+08")</f>
        <v>2025-08-29T19:58:17.875+08</v>
      </c>
      <c r="D180" s="2" t="str">
        <f>IFERROR(__xludf.DUMMYFUNCTION("""COMPUTED_VALUE"""),"H030514009")</f>
        <v>H030514009</v>
      </c>
      <c r="E180" s="2" t="str">
        <f>IFERROR(__xludf.DUMMYFUNCTION("""COMPUTED_VALUE"""),"C7502931")</f>
        <v>C7502931</v>
      </c>
      <c r="F180" s="2" t="str">
        <f>IFERROR(__xludf.DUMMYFUNCTION("""COMPUTED_VALUE"""),"Jenny Lou Toles Estacio")</f>
        <v>Jenny Lou Toles Estacio</v>
      </c>
      <c r="G180" s="2"/>
      <c r="H180" s="2"/>
      <c r="I180" s="2" t="str">
        <f>IFERROR(__xludf.DUMMYFUNCTION("""COMPUTED_VALUE"""),"ICM_Business_linked_launch")</f>
        <v>ICM_Business_linked_launch</v>
      </c>
      <c r="J180" s="2" t="str">
        <f>IFERROR(__xludf.DUMMYFUNCTION("""COMPUTED_VALUE"""),"uuid:b6e72f84-b013-4bd5-ab3c-3accd802c91d")</f>
        <v>uuid:b6e72f84-b013-4bd5-ab3c-3accd802c91d</v>
      </c>
    </row>
    <row r="181">
      <c r="A181" s="2" t="str">
        <f>IFERROR(__xludf.DUMMYFUNCTION("""COMPUTED_VALUE"""),"2025-08-29T12:04:50.782Z")</f>
        <v>2025-08-29T12:04:50.782Z</v>
      </c>
      <c r="B181" s="2" t="str">
        <f>IFERROR(__xludf.DUMMYFUNCTION("""COMPUTED_VALUE"""),"2025-08-29T13:37:06.259+08")</f>
        <v>2025-08-29T13:37:06.259+08</v>
      </c>
      <c r="C181" s="2" t="str">
        <f>IFERROR(__xludf.DUMMYFUNCTION("""COMPUTED_VALUE"""),"2025-08-29T13:52:33.160+08")</f>
        <v>2025-08-29T13:52:33.160+08</v>
      </c>
      <c r="D181" s="2" t="str">
        <f>IFERROR(__xludf.DUMMYFUNCTION("""COMPUTED_VALUE"""),"H030507029")</f>
        <v>H030507029</v>
      </c>
      <c r="E181" s="2" t="str">
        <f>IFERROR(__xludf.DUMMYFUNCTION("""COMPUTED_VALUE"""),"L2057896")</f>
        <v>L2057896</v>
      </c>
      <c r="F181" s="2" t="str">
        <f>IFERROR(__xludf.DUMMYFUNCTION("""COMPUTED_VALUE"""),"Franz Reoben Posadas Geneblaza")</f>
        <v>Franz Reoben Posadas Geneblaza</v>
      </c>
      <c r="G181" s="2"/>
      <c r="H181" s="2"/>
      <c r="I181" s="2" t="str">
        <f>IFERROR(__xludf.DUMMYFUNCTION("""COMPUTED_VALUE"""),"ICM_Business_linked_launch")</f>
        <v>ICM_Business_linked_launch</v>
      </c>
      <c r="J181" s="2" t="str">
        <f>IFERROR(__xludf.DUMMYFUNCTION("""COMPUTED_VALUE"""),"uuid:b4483f0c-9e79-4ee7-8a3a-97f0cde18489")</f>
        <v>uuid:b4483f0c-9e79-4ee7-8a3a-97f0cde18489</v>
      </c>
    </row>
    <row r="182">
      <c r="A182" s="2" t="str">
        <f>IFERROR(__xludf.DUMMYFUNCTION("""COMPUTED_VALUE"""),"2025-08-29T12:04:52.044Z")</f>
        <v>2025-08-29T12:04:52.044Z</v>
      </c>
      <c r="B182" s="2" t="str">
        <f>IFERROR(__xludf.DUMMYFUNCTION("""COMPUTED_VALUE"""),"2025-08-29T15:44:56.650+08")</f>
        <v>2025-08-29T15:44:56.650+08</v>
      </c>
      <c r="C182" s="2" t="str">
        <f>IFERROR(__xludf.DUMMYFUNCTION("""COMPUTED_VALUE"""),"2025-08-29T16:01:59.683+08")</f>
        <v>2025-08-29T16:01:59.683+08</v>
      </c>
      <c r="D182" s="2" t="str">
        <f>IFERROR(__xludf.DUMMYFUNCTION("""COMPUTED_VALUE"""),"H030507031")</f>
        <v>H030507031</v>
      </c>
      <c r="E182" s="2" t="str">
        <f>IFERROR(__xludf.DUMMYFUNCTION("""COMPUTED_VALUE"""),"L2057896")</f>
        <v>L2057896</v>
      </c>
      <c r="F182" s="2" t="str">
        <f>IFERROR(__xludf.DUMMYFUNCTION("""COMPUTED_VALUE"""),"Franz Reoben Posadas Geneblaza")</f>
        <v>Franz Reoben Posadas Geneblaza</v>
      </c>
      <c r="G182" s="2"/>
      <c r="H182" s="2"/>
      <c r="I182" s="2" t="str">
        <f>IFERROR(__xludf.DUMMYFUNCTION("""COMPUTED_VALUE"""),"ICM_Business_linked_launch")</f>
        <v>ICM_Business_linked_launch</v>
      </c>
      <c r="J182" s="2" t="str">
        <f>IFERROR(__xludf.DUMMYFUNCTION("""COMPUTED_VALUE"""),"uuid:fbd094a8-3715-4e50-a4a0-9100928cb9f4")</f>
        <v>uuid:fbd094a8-3715-4e50-a4a0-9100928cb9f4</v>
      </c>
    </row>
    <row r="183">
      <c r="A183" s="2" t="str">
        <f>IFERROR(__xludf.DUMMYFUNCTION("""COMPUTED_VALUE"""),"2025-08-29T12:04:53.420Z")</f>
        <v>2025-08-29T12:04:53.420Z</v>
      </c>
      <c r="B183" s="2" t="str">
        <f>IFERROR(__xludf.DUMMYFUNCTION("""COMPUTED_VALUE"""),"2025-08-29T17:07:30.794+08")</f>
        <v>2025-08-29T17:07:30.794+08</v>
      </c>
      <c r="C183" s="2" t="str">
        <f>IFERROR(__xludf.DUMMYFUNCTION("""COMPUTED_VALUE"""),"2025-08-29T17:26:44.764+08")</f>
        <v>2025-08-29T17:26:44.764+08</v>
      </c>
      <c r="D183" s="2" t="str">
        <f>IFERROR(__xludf.DUMMYFUNCTION("""COMPUTED_VALUE"""),"H030507028")</f>
        <v>H030507028</v>
      </c>
      <c r="E183" s="2" t="str">
        <f>IFERROR(__xludf.DUMMYFUNCTION("""COMPUTED_VALUE"""),"L2057896")</f>
        <v>L2057896</v>
      </c>
      <c r="F183" s="2" t="str">
        <f>IFERROR(__xludf.DUMMYFUNCTION("""COMPUTED_VALUE"""),"Franz Reoben Posadas Geneblaza")</f>
        <v>Franz Reoben Posadas Geneblaza</v>
      </c>
      <c r="G183" s="2"/>
      <c r="H183" s="2"/>
      <c r="I183" s="2" t="str">
        <f>IFERROR(__xludf.DUMMYFUNCTION("""COMPUTED_VALUE"""),"ICM_Business_linked_launch")</f>
        <v>ICM_Business_linked_launch</v>
      </c>
      <c r="J183" s="2" t="str">
        <f>IFERROR(__xludf.DUMMYFUNCTION("""COMPUTED_VALUE"""),"uuid:d2c823b2-6850-4276-88d3-1a3abd9316ae")</f>
        <v>uuid:d2c823b2-6850-4276-88d3-1a3abd9316ae</v>
      </c>
    </row>
    <row r="184">
      <c r="A184" s="2" t="str">
        <f>IFERROR(__xludf.DUMMYFUNCTION("""COMPUTED_VALUE"""),"2025-08-29T13:13:12.213Z")</f>
        <v>2025-08-29T13:13:12.213Z</v>
      </c>
      <c r="B184" s="2" t="str">
        <f>IFERROR(__xludf.DUMMYFUNCTION("""COMPUTED_VALUE"""),"2025-08-29T14:36:48.142+08")</f>
        <v>2025-08-29T14:36:48.142+08</v>
      </c>
      <c r="C184" s="2" t="str">
        <f>IFERROR(__xludf.DUMMYFUNCTION("""COMPUTED_VALUE"""),"2025-08-29T14:51:30.160+08")</f>
        <v>2025-08-29T14:51:30.160+08</v>
      </c>
      <c r="D184" s="2" t="str">
        <f>IFERROR(__xludf.DUMMYFUNCTION("""COMPUTED_VALUE"""),"H030507035")</f>
        <v>H030507035</v>
      </c>
      <c r="E184" s="2" t="str">
        <f>IFERROR(__xludf.DUMMYFUNCTION("""COMPUTED_VALUE"""),"K8623174")</f>
        <v>K8623174</v>
      </c>
      <c r="F184" s="2" t="str">
        <f>IFERROR(__xludf.DUMMYFUNCTION("""COMPUTED_VALUE"""),"Marielle Kaye Ignacio Alonzo")</f>
        <v>Marielle Kaye Ignacio Alonzo</v>
      </c>
      <c r="G184" s="2"/>
      <c r="H184" s="2"/>
      <c r="I184" s="2" t="str">
        <f>IFERROR(__xludf.DUMMYFUNCTION("""COMPUTED_VALUE"""),"ICM_Business_linked_launch")</f>
        <v>ICM_Business_linked_launch</v>
      </c>
      <c r="J184" s="2" t="str">
        <f>IFERROR(__xludf.DUMMYFUNCTION("""COMPUTED_VALUE"""),"uuid:580c28ae-19f0-41d8-a6db-0d5419f9e217")</f>
        <v>uuid:580c28ae-19f0-41d8-a6db-0d5419f9e217</v>
      </c>
    </row>
    <row r="185">
      <c r="A185" s="2" t="str">
        <f>IFERROR(__xludf.DUMMYFUNCTION("""COMPUTED_VALUE"""),"2025-08-29T13:13:11.675Z")</f>
        <v>2025-08-29T13:13:11.675Z</v>
      </c>
      <c r="B185" s="2" t="str">
        <f>IFERROR(__xludf.DUMMYFUNCTION("""COMPUTED_VALUE"""),"2025-08-29T10:58:16.071+08")</f>
        <v>2025-08-29T10:58:16.071+08</v>
      </c>
      <c r="C185" s="2" t="str">
        <f>IFERROR(__xludf.DUMMYFUNCTION("""COMPUTED_VALUE"""),"2025-08-29T12:49:24.302+08")</f>
        <v>2025-08-29T12:49:24.302+08</v>
      </c>
      <c r="D185" s="2" t="str">
        <f>IFERROR(__xludf.DUMMYFUNCTION("""COMPUTED_VALUE"""),"H030507022")</f>
        <v>H030507022</v>
      </c>
      <c r="E185" s="2" t="str">
        <f>IFERROR(__xludf.DUMMYFUNCTION("""COMPUTED_VALUE"""),"K8623174")</f>
        <v>K8623174</v>
      </c>
      <c r="F185" s="2" t="str">
        <f>IFERROR(__xludf.DUMMYFUNCTION("""COMPUTED_VALUE"""),"Marielle Kaye Ignacio Alonzo")</f>
        <v>Marielle Kaye Ignacio Alonzo</v>
      </c>
      <c r="G185" s="2"/>
      <c r="H185" s="2"/>
      <c r="I185" s="2" t="str">
        <f>IFERROR(__xludf.DUMMYFUNCTION("""COMPUTED_VALUE"""),"ICM_Business_linked_launch")</f>
        <v>ICM_Business_linked_launch</v>
      </c>
      <c r="J185" s="2" t="str">
        <f>IFERROR(__xludf.DUMMYFUNCTION("""COMPUTED_VALUE"""),"uuid:c65f86bc-85da-4c57-b845-7fd7f45bcf88")</f>
        <v>uuid:c65f86bc-85da-4c57-b845-7fd7f45bcf88</v>
      </c>
    </row>
    <row r="186">
      <c r="A186" s="2" t="str">
        <f>IFERROR(__xludf.DUMMYFUNCTION("""COMPUTED_VALUE"""),"2025-08-29T13:13:12.771Z")</f>
        <v>2025-08-29T13:13:12.771Z</v>
      </c>
      <c r="B186" s="2" t="str">
        <f>IFERROR(__xludf.DUMMYFUNCTION("""COMPUTED_VALUE"""),"2025-08-29T13:24:09.427+08")</f>
        <v>2025-08-29T13:24:09.427+08</v>
      </c>
      <c r="C186" s="2" t="str">
        <f>IFERROR(__xludf.DUMMYFUNCTION("""COMPUTED_VALUE"""),"2025-08-29T15:12:56.302+08")</f>
        <v>2025-08-29T15:12:56.302+08</v>
      </c>
      <c r="D186" s="2" t="str">
        <f>IFERROR(__xludf.DUMMYFUNCTION("""COMPUTED_VALUE"""),"H030507027")</f>
        <v>H030507027</v>
      </c>
      <c r="E186" s="2" t="str">
        <f>IFERROR(__xludf.DUMMYFUNCTION("""COMPUTED_VALUE"""),"K8623174")</f>
        <v>K8623174</v>
      </c>
      <c r="F186" s="2" t="str">
        <f>IFERROR(__xludf.DUMMYFUNCTION("""COMPUTED_VALUE"""),"Marielle Kaye Ignacio Alonzo")</f>
        <v>Marielle Kaye Ignacio Alonzo</v>
      </c>
      <c r="G186" s="2"/>
      <c r="H186" s="2"/>
      <c r="I186" s="2" t="str">
        <f>IFERROR(__xludf.DUMMYFUNCTION("""COMPUTED_VALUE"""),"ICM_Business_linked_launch")</f>
        <v>ICM_Business_linked_launch</v>
      </c>
      <c r="J186" s="2" t="str">
        <f>IFERROR(__xludf.DUMMYFUNCTION("""COMPUTED_VALUE"""),"uuid:37e7b8f9-dec3-47bb-9e13-64556d465507")</f>
        <v>uuid:37e7b8f9-dec3-47bb-9e13-64556d465507</v>
      </c>
    </row>
    <row r="187">
      <c r="A187" s="2" t="str">
        <f>IFERROR(__xludf.DUMMYFUNCTION("""COMPUTED_VALUE"""),"2025-08-29T13:13:13.074Z")</f>
        <v>2025-08-29T13:13:13.074Z</v>
      </c>
      <c r="B187" s="2" t="str">
        <f>IFERROR(__xludf.DUMMYFUNCTION("""COMPUTED_VALUE"""),"2025-08-29T16:16:01.999+08")</f>
        <v>2025-08-29T16:16:01.999+08</v>
      </c>
      <c r="C187" s="2" t="str">
        <f>IFERROR(__xludf.DUMMYFUNCTION("""COMPUTED_VALUE"""),"2025-08-29T16:43:14.179+08")</f>
        <v>2025-08-29T16:43:14.179+08</v>
      </c>
      <c r="D187" s="2" t="str">
        <f>IFERROR(__xludf.DUMMYFUNCTION("""COMPUTED_VALUE"""),"H030507030")</f>
        <v>H030507030</v>
      </c>
      <c r="E187" s="2" t="str">
        <f>IFERROR(__xludf.DUMMYFUNCTION("""COMPUTED_VALUE"""),"K8623174")</f>
        <v>K8623174</v>
      </c>
      <c r="F187" s="2" t="str">
        <f>IFERROR(__xludf.DUMMYFUNCTION("""COMPUTED_VALUE"""),"Marielle Kaye Ignacio Alonzo")</f>
        <v>Marielle Kaye Ignacio Alonzo</v>
      </c>
      <c r="G187" s="2"/>
      <c r="H187" s="2"/>
      <c r="I187" s="2" t="str">
        <f>IFERROR(__xludf.DUMMYFUNCTION("""COMPUTED_VALUE"""),"ICM_Business_linked_launch")</f>
        <v>ICM_Business_linked_launch</v>
      </c>
      <c r="J187" s="2" t="str">
        <f>IFERROR(__xludf.DUMMYFUNCTION("""COMPUTED_VALUE"""),"uuid:8b09cff9-fc54-403c-a676-2b292fbbcb44")</f>
        <v>uuid:8b09cff9-fc54-403c-a676-2b292fbbcb44</v>
      </c>
    </row>
    <row r="188">
      <c r="A188" s="2" t="str">
        <f>IFERROR(__xludf.DUMMYFUNCTION("""COMPUTED_VALUE"""),"2025-08-29T13:19:39.601Z")</f>
        <v>2025-08-29T13:19:39.601Z</v>
      </c>
      <c r="B188" s="2" t="str">
        <f>IFERROR(__xludf.DUMMYFUNCTION("""COMPUTED_VALUE"""),"2025-08-29T16:23:59.772+08")</f>
        <v>2025-08-29T16:23:59.772+08</v>
      </c>
      <c r="C188" s="2" t="str">
        <f>IFERROR(__xludf.DUMMYFUNCTION("""COMPUTED_VALUE"""),"2025-08-29T16:30:00.520+08")</f>
        <v>2025-08-29T16:30:00.520+08</v>
      </c>
      <c r="D188" s="2" t="str">
        <f>IFERROR(__xludf.DUMMYFUNCTION("""COMPUTED_VALUE"""),"H030507034")</f>
        <v>H030507034</v>
      </c>
      <c r="E188" s="2" t="str">
        <f>IFERROR(__xludf.DUMMYFUNCTION("""COMPUTED_VALUE"""),"J4315980")</f>
        <v>J4315980</v>
      </c>
      <c r="F188" s="2" t="str">
        <f>IFERROR(__xludf.DUMMYFUNCTION("""COMPUTED_VALUE"""),"Trixie Marie Jardeleza Saber")</f>
        <v>Trixie Marie Jardeleza Saber</v>
      </c>
      <c r="G188" s="2"/>
      <c r="H188" s="2"/>
      <c r="I188" s="2" t="str">
        <f>IFERROR(__xludf.DUMMYFUNCTION("""COMPUTED_VALUE"""),"ICM_Business_linked_launch")</f>
        <v>ICM_Business_linked_launch</v>
      </c>
      <c r="J188" s="2" t="str">
        <f>IFERROR(__xludf.DUMMYFUNCTION("""COMPUTED_VALUE"""),"uuid:4298f30d-c0ed-4bc6-a872-87360b082415")</f>
        <v>uuid:4298f30d-c0ed-4bc6-a872-87360b082415</v>
      </c>
    </row>
    <row r="189">
      <c r="A189" s="2" t="str">
        <f>IFERROR(__xludf.DUMMYFUNCTION("""COMPUTED_VALUE"""),"2025-08-29T13:19:40.027Z")</f>
        <v>2025-08-29T13:19:40.027Z</v>
      </c>
      <c r="B189" s="2" t="str">
        <f>IFERROR(__xludf.DUMMYFUNCTION("""COMPUTED_VALUE"""),"2025-08-29T11:45:34.823+08")</f>
        <v>2025-08-29T11:45:34.823+08</v>
      </c>
      <c r="C189" s="2" t="str">
        <f>IFERROR(__xludf.DUMMYFUNCTION("""COMPUTED_VALUE"""),"2025-08-29T12:33:13.668+08")</f>
        <v>2025-08-29T12:33:13.668+08</v>
      </c>
      <c r="D189" s="2" t="str">
        <f>IFERROR(__xludf.DUMMYFUNCTION("""COMPUTED_VALUE"""),"H030507032")</f>
        <v>H030507032</v>
      </c>
      <c r="E189" s="2" t="str">
        <f>IFERROR(__xludf.DUMMYFUNCTION("""COMPUTED_VALUE"""),"J4315980")</f>
        <v>J4315980</v>
      </c>
      <c r="F189" s="2" t="str">
        <f>IFERROR(__xludf.DUMMYFUNCTION("""COMPUTED_VALUE"""),"Trixie Marie Jardeleza Saber")</f>
        <v>Trixie Marie Jardeleza Saber</v>
      </c>
      <c r="G189" s="2"/>
      <c r="H189" s="2"/>
      <c r="I189" s="2" t="str">
        <f>IFERROR(__xludf.DUMMYFUNCTION("""COMPUTED_VALUE"""),"ICM_Business_linked_launch")</f>
        <v>ICM_Business_linked_launch</v>
      </c>
      <c r="J189" s="2" t="str">
        <f>IFERROR(__xludf.DUMMYFUNCTION("""COMPUTED_VALUE"""),"uuid:6cc46c37-7103-4a12-90cb-a627ac33e5ae")</f>
        <v>uuid:6cc46c37-7103-4a12-90cb-a627ac33e5ae</v>
      </c>
    </row>
    <row r="190">
      <c r="A190" s="2" t="str">
        <f>IFERROR(__xludf.DUMMYFUNCTION("""COMPUTED_VALUE"""),"2025-08-29T13:28:42.860Z")</f>
        <v>2025-08-29T13:28:42.860Z</v>
      </c>
      <c r="B190" s="2" t="str">
        <f>IFERROR(__xludf.DUMMYFUNCTION("""COMPUTED_VALUE"""),"2025-08-29T10:22:49.297+08")</f>
        <v>2025-08-29T10:22:49.297+08</v>
      </c>
      <c r="C190" s="2" t="str">
        <f>IFERROR(__xludf.DUMMYFUNCTION("""COMPUTED_VALUE"""),"2025-08-29T10:35:22.307+08")</f>
        <v>2025-08-29T10:35:22.307+08</v>
      </c>
      <c r="D190" s="2" t="str">
        <f>IFERROR(__xludf.DUMMYFUNCTION("""COMPUTED_VALUE"""),"H030507017")</f>
        <v>H030507017</v>
      </c>
      <c r="E190" s="2" t="str">
        <f>IFERROR(__xludf.DUMMYFUNCTION("""COMPUTED_VALUE"""),"M6491032")</f>
        <v>M6491032</v>
      </c>
      <c r="F190" s="2" t="str">
        <f>IFERROR(__xludf.DUMMYFUNCTION("""COMPUTED_VALUE"""),"Rosevil Tayo Desamparado")</f>
        <v>Rosevil Tayo Desamparado</v>
      </c>
      <c r="G190" s="2"/>
      <c r="H190" s="2"/>
      <c r="I190" s="2" t="str">
        <f>IFERROR(__xludf.DUMMYFUNCTION("""COMPUTED_VALUE"""),"ICM_Business_linked_launch")</f>
        <v>ICM_Business_linked_launch</v>
      </c>
      <c r="J190" s="2" t="str">
        <f>IFERROR(__xludf.DUMMYFUNCTION("""COMPUTED_VALUE"""),"uuid:4e6045cb-189b-4ab6-8e38-3017c8295336")</f>
        <v>uuid:4e6045cb-189b-4ab6-8e38-3017c8295336</v>
      </c>
    </row>
    <row r="191">
      <c r="A191" s="2" t="str">
        <f>IFERROR(__xludf.DUMMYFUNCTION("""COMPUTED_VALUE"""),"2025-08-29T13:28:43.753Z")</f>
        <v>2025-08-29T13:28:43.753Z</v>
      </c>
      <c r="B191" s="2" t="str">
        <f>IFERROR(__xludf.DUMMYFUNCTION("""COMPUTED_VALUE"""),"2025-08-29T11:32:53.913+08")</f>
        <v>2025-08-29T11:32:53.913+08</v>
      </c>
      <c r="C191" s="2" t="str">
        <f>IFERROR(__xludf.DUMMYFUNCTION("""COMPUTED_VALUE"""),"2025-08-29T11:42:09.919+08")</f>
        <v>2025-08-29T11:42:09.919+08</v>
      </c>
      <c r="D191" s="2" t="str">
        <f>IFERROR(__xludf.DUMMYFUNCTION("""COMPUTED_VALUE"""),"H030507018")</f>
        <v>H030507018</v>
      </c>
      <c r="E191" s="2" t="str">
        <f>IFERROR(__xludf.DUMMYFUNCTION("""COMPUTED_VALUE"""),"M6491032")</f>
        <v>M6491032</v>
      </c>
      <c r="F191" s="2" t="str">
        <f>IFERROR(__xludf.DUMMYFUNCTION("""COMPUTED_VALUE"""),"Rosevil Tayo Desamparado")</f>
        <v>Rosevil Tayo Desamparado</v>
      </c>
      <c r="G191" s="2"/>
      <c r="H191" s="2"/>
      <c r="I191" s="2" t="str">
        <f>IFERROR(__xludf.DUMMYFUNCTION("""COMPUTED_VALUE"""),"ICM_Business_linked_launch")</f>
        <v>ICM_Business_linked_launch</v>
      </c>
      <c r="J191" s="2" t="str">
        <f>IFERROR(__xludf.DUMMYFUNCTION("""COMPUTED_VALUE"""),"uuid:1bc957d5-0a68-46d8-933f-c6ec6f8ad9b8")</f>
        <v>uuid:1bc957d5-0a68-46d8-933f-c6ec6f8ad9b8</v>
      </c>
    </row>
    <row r="192">
      <c r="A192" s="2" t="str">
        <f>IFERROR(__xludf.DUMMYFUNCTION("""COMPUTED_VALUE"""),"2025-08-29T13:28:45.373Z")</f>
        <v>2025-08-29T13:28:45.373Z</v>
      </c>
      <c r="B192" s="2" t="str">
        <f>IFERROR(__xludf.DUMMYFUNCTION("""COMPUTED_VALUE"""),"2025-08-29T14:12:26.705+08")</f>
        <v>2025-08-29T14:12:26.705+08</v>
      </c>
      <c r="C192" s="2" t="str">
        <f>IFERROR(__xludf.DUMMYFUNCTION("""COMPUTED_VALUE"""),"2025-08-29T20:30:44.397+08")</f>
        <v>2025-08-29T20:30:44.397+08</v>
      </c>
      <c r="D192" s="2" t="str">
        <f>IFERROR(__xludf.DUMMYFUNCTION("""COMPUTED_VALUE"""),"H030507023")</f>
        <v>H030507023</v>
      </c>
      <c r="E192" s="2" t="str">
        <f>IFERROR(__xludf.DUMMYFUNCTION("""COMPUTED_VALUE"""),"M6491032")</f>
        <v>M6491032</v>
      </c>
      <c r="F192" s="2" t="str">
        <f>IFERROR(__xludf.DUMMYFUNCTION("""COMPUTED_VALUE"""),"Rosevil Tayo Desamparado")</f>
        <v>Rosevil Tayo Desamparado</v>
      </c>
      <c r="G192" s="2"/>
      <c r="H192" s="2"/>
      <c r="I192" s="2" t="str">
        <f>IFERROR(__xludf.DUMMYFUNCTION("""COMPUTED_VALUE"""),"ICM_Business_linked_launch")</f>
        <v>ICM_Business_linked_launch</v>
      </c>
      <c r="J192" s="2" t="str">
        <f>IFERROR(__xludf.DUMMYFUNCTION("""COMPUTED_VALUE"""),"uuid:7ecc63d3-5e69-4aa5-81cb-e84df61ce24b")</f>
        <v>uuid:7ecc63d3-5e69-4aa5-81cb-e84df61ce24b</v>
      </c>
    </row>
    <row r="193">
      <c r="A193" s="2" t="str">
        <f>IFERROR(__xludf.DUMMYFUNCTION("""COMPUTED_VALUE"""),"2025-08-29T13:28:44.897Z")</f>
        <v>2025-08-29T13:28:44.897Z</v>
      </c>
      <c r="B193" s="2" t="str">
        <f>IFERROR(__xludf.DUMMYFUNCTION("""COMPUTED_VALUE"""),"2025-08-29T15:22:30.232+08")</f>
        <v>2025-08-29T15:22:30.232+08</v>
      </c>
      <c r="C193" s="2" t="str">
        <f>IFERROR(__xludf.DUMMYFUNCTION("""COMPUTED_VALUE"""),"2025-08-29T20:29:51.042+08")</f>
        <v>2025-08-29T20:29:51.042+08</v>
      </c>
      <c r="D193" s="2" t="str">
        <f>IFERROR(__xludf.DUMMYFUNCTION("""COMPUTED_VALUE"""),"H030507024")</f>
        <v>H030507024</v>
      </c>
      <c r="E193" s="2" t="str">
        <f>IFERROR(__xludf.DUMMYFUNCTION("""COMPUTED_VALUE"""),"M6491032")</f>
        <v>M6491032</v>
      </c>
      <c r="F193" s="2" t="str">
        <f>IFERROR(__xludf.DUMMYFUNCTION("""COMPUTED_VALUE"""),"Rosevil Tayo Desamparado")</f>
        <v>Rosevil Tayo Desamparado</v>
      </c>
      <c r="G193" s="2"/>
      <c r="H193" s="2"/>
      <c r="I193" s="2" t="str">
        <f>IFERROR(__xludf.DUMMYFUNCTION("""COMPUTED_VALUE"""),"ICM_Business_linked_launch")</f>
        <v>ICM_Business_linked_launch</v>
      </c>
      <c r="J193" s="2" t="str">
        <f>IFERROR(__xludf.DUMMYFUNCTION("""COMPUTED_VALUE"""),"uuid:8e3728e5-d10f-4f72-97f2-3eaf57fd1eaf")</f>
        <v>uuid:8e3728e5-d10f-4f72-97f2-3eaf57fd1eaf</v>
      </c>
    </row>
    <row r="194">
      <c r="A194" s="2" t="str">
        <f>IFERROR(__xludf.DUMMYFUNCTION("""COMPUTED_VALUE"""),"2025-08-30T09:52:44.362Z")</f>
        <v>2025-08-30T09:52:44.362Z</v>
      </c>
      <c r="B194" s="2" t="str">
        <f>IFERROR(__xludf.DUMMYFUNCTION("""COMPUTED_VALUE"""),"2025-08-30T08:59:22.751+08")</f>
        <v>2025-08-30T08:59:22.751+08</v>
      </c>
      <c r="C194" s="2" t="str">
        <f>IFERROR(__xludf.DUMMYFUNCTION("""COMPUTED_VALUE"""),"2025-08-30T10:41:56.369+08")</f>
        <v>2025-08-30T10:41:56.369+08</v>
      </c>
      <c r="D194" s="2" t="str">
        <f>IFERROR(__xludf.DUMMYFUNCTION("""COMPUTED_VALUE"""),"H019820025")</f>
        <v>H019820025</v>
      </c>
      <c r="E194" s="2">
        <f>IFERROR(__xludf.DUMMYFUNCTION("""COMPUTED_VALUE"""),555127.0)</f>
        <v>555127</v>
      </c>
      <c r="F194" s="2" t="str">
        <f>IFERROR(__xludf.DUMMYFUNCTION("""COMPUTED_VALUE"""),"Mary May")</f>
        <v>Mary May</v>
      </c>
      <c r="G194" s="2"/>
      <c r="H194" s="2"/>
      <c r="I194" s="2" t="str">
        <f>IFERROR(__xludf.DUMMYFUNCTION("""COMPUTED_VALUE"""),"ICM_Business_linked_launch")</f>
        <v>ICM_Business_linked_launch</v>
      </c>
      <c r="J194" s="2" t="str">
        <f>IFERROR(__xludf.DUMMYFUNCTION("""COMPUTED_VALUE"""),"uuid:3c5ee4cb-074d-4cb1-b65a-9a16b5d04c3f")</f>
        <v>uuid:3c5ee4cb-074d-4cb1-b65a-9a16b5d04c3f</v>
      </c>
    </row>
    <row r="195">
      <c r="A195" s="2" t="str">
        <f>IFERROR(__xludf.DUMMYFUNCTION("""COMPUTED_VALUE"""),"2025-08-30T11:20:14.001Z")</f>
        <v>2025-08-30T11:20:14.001Z</v>
      </c>
      <c r="B195" s="2" t="str">
        <f>IFERROR(__xludf.DUMMYFUNCTION("""COMPUTED_VALUE"""),"2025-08-30T10:42:00.142+08")</f>
        <v>2025-08-30T10:42:00.142+08</v>
      </c>
      <c r="C195" s="2" t="str">
        <f>IFERROR(__xludf.DUMMYFUNCTION("""COMPUTED_VALUE"""),"2025-08-30T10:51:58.623+08")</f>
        <v>2025-08-30T10:51:58.623+08</v>
      </c>
      <c r="D195" s="2" t="str">
        <f>IFERROR(__xludf.DUMMYFUNCTION("""COMPUTED_VALUE"""),"H030270023")</f>
        <v>H030270023</v>
      </c>
      <c r="E195" s="2" t="str">
        <f>IFERROR(__xludf.DUMMYFUNCTION("""COMPUTED_VALUE"""),"D1284067")</f>
        <v>D1284067</v>
      </c>
      <c r="F195" s="2" t="str">
        <f>IFERROR(__xludf.DUMMYFUNCTION("""COMPUTED_VALUE"""),"Mariel Del Rio")</f>
        <v>Mariel Del Rio</v>
      </c>
      <c r="G195" s="2"/>
      <c r="H195" s="2"/>
      <c r="I195" s="2" t="str">
        <f>IFERROR(__xludf.DUMMYFUNCTION("""COMPUTED_VALUE"""),"ICM_Business_linked_launch")</f>
        <v>ICM_Business_linked_launch</v>
      </c>
      <c r="J195" s="2" t="str">
        <f>IFERROR(__xludf.DUMMYFUNCTION("""COMPUTED_VALUE"""),"uuid:7b1b01c2-1c6a-48d1-ab0d-51c0f44afb66")</f>
        <v>uuid:7b1b01c2-1c6a-48d1-ab0d-51c0f44afb66</v>
      </c>
    </row>
    <row r="196">
      <c r="A196" s="2" t="str">
        <f>IFERROR(__xludf.DUMMYFUNCTION("""COMPUTED_VALUE"""),"2025-08-30T11:20:16.803Z")</f>
        <v>2025-08-30T11:20:16.803Z</v>
      </c>
      <c r="B196" s="2" t="str">
        <f>IFERROR(__xludf.DUMMYFUNCTION("""COMPUTED_VALUE"""),"2025-08-30T12:34:18.568+08")</f>
        <v>2025-08-30T12:34:18.568+08</v>
      </c>
      <c r="C196" s="2" t="str">
        <f>IFERROR(__xludf.DUMMYFUNCTION("""COMPUTED_VALUE"""),"2025-08-30T12:48:16.884+08")</f>
        <v>2025-08-30T12:48:16.884+08</v>
      </c>
      <c r="D196" s="2" t="str">
        <f>IFERROR(__xludf.DUMMYFUNCTION("""COMPUTED_VALUE"""),"H030270025")</f>
        <v>H030270025</v>
      </c>
      <c r="E196" s="2" t="str">
        <f>IFERROR(__xludf.DUMMYFUNCTION("""COMPUTED_VALUE"""),"D1284067")</f>
        <v>D1284067</v>
      </c>
      <c r="F196" s="2" t="str">
        <f>IFERROR(__xludf.DUMMYFUNCTION("""COMPUTED_VALUE"""),"Mariel Del Rio")</f>
        <v>Mariel Del Rio</v>
      </c>
      <c r="G196" s="2"/>
      <c r="H196" s="2"/>
      <c r="I196" s="2" t="str">
        <f>IFERROR(__xludf.DUMMYFUNCTION("""COMPUTED_VALUE"""),"ICM_Business_linked_launch")</f>
        <v>ICM_Business_linked_launch</v>
      </c>
      <c r="J196" s="2" t="str">
        <f>IFERROR(__xludf.DUMMYFUNCTION("""COMPUTED_VALUE"""),"uuid:837ffb4b-ce09-4f93-a76b-c65a8532bd9f")</f>
        <v>uuid:837ffb4b-ce09-4f93-a76b-c65a8532bd9f</v>
      </c>
    </row>
    <row r="197">
      <c r="A197" s="2" t="str">
        <f>IFERROR(__xludf.DUMMYFUNCTION("""COMPUTED_VALUE"""),"2025-08-30T11:20:17.873Z")</f>
        <v>2025-08-30T11:20:17.873Z</v>
      </c>
      <c r="B197" s="2" t="str">
        <f>IFERROR(__xludf.DUMMYFUNCTION("""COMPUTED_VALUE"""),"2025-08-30T13:34:03.261+08")</f>
        <v>2025-08-30T13:34:03.261+08</v>
      </c>
      <c r="C197" s="2" t="str">
        <f>IFERROR(__xludf.DUMMYFUNCTION("""COMPUTED_VALUE"""),"2025-08-30T13:46:11.288+08")</f>
        <v>2025-08-30T13:46:11.288+08</v>
      </c>
      <c r="D197" s="2" t="str">
        <f>IFERROR(__xludf.DUMMYFUNCTION("""COMPUTED_VALUE"""),"H030270029")</f>
        <v>H030270029</v>
      </c>
      <c r="E197" s="2" t="str">
        <f>IFERROR(__xludf.DUMMYFUNCTION("""COMPUTED_VALUE"""),"D1284067")</f>
        <v>D1284067</v>
      </c>
      <c r="F197" s="2" t="str">
        <f>IFERROR(__xludf.DUMMYFUNCTION("""COMPUTED_VALUE"""),"Mariel Del Rio")</f>
        <v>Mariel Del Rio</v>
      </c>
      <c r="G197" s="2"/>
      <c r="H197" s="2"/>
      <c r="I197" s="2" t="str">
        <f>IFERROR(__xludf.DUMMYFUNCTION("""COMPUTED_VALUE"""),"ICM_Business_linked_launch")</f>
        <v>ICM_Business_linked_launch</v>
      </c>
      <c r="J197" s="2" t="str">
        <f>IFERROR(__xludf.DUMMYFUNCTION("""COMPUTED_VALUE"""),"uuid:6d23b79a-55c3-4102-82c0-841cf7617d37")</f>
        <v>uuid:6d23b79a-55c3-4102-82c0-841cf7617d37</v>
      </c>
    </row>
    <row r="198">
      <c r="A198" s="2" t="str">
        <f>IFERROR(__xludf.DUMMYFUNCTION("""COMPUTED_VALUE"""),"2025-08-30T11:20:24.486Z")</f>
        <v>2025-08-30T11:20:24.486Z</v>
      </c>
      <c r="B198" s="2" t="str">
        <f>IFERROR(__xludf.DUMMYFUNCTION("""COMPUTED_VALUE"""),"2025-08-30T11:21:01.707+08")</f>
        <v>2025-08-30T11:21:01.707+08</v>
      </c>
      <c r="C198" s="2" t="str">
        <f>IFERROR(__xludf.DUMMYFUNCTION("""COMPUTED_VALUE"""),"2025-08-30T11:35:07.177+08")</f>
        <v>2025-08-30T11:35:07.177+08</v>
      </c>
      <c r="D198" s="2" t="str">
        <f>IFERROR(__xludf.DUMMYFUNCTION("""COMPUTED_VALUE"""),"H030332021")</f>
        <v>H030332021</v>
      </c>
      <c r="E198" s="2">
        <f>IFERROR(__xludf.DUMMYFUNCTION("""COMPUTED_VALUE"""),896791.0)</f>
        <v>896791</v>
      </c>
      <c r="F198" s="2" t="str">
        <f>IFERROR(__xludf.DUMMYFUNCTION("""COMPUTED_VALUE"""),"Roland A. Bandiola jr")</f>
        <v>Roland A. Bandiola jr</v>
      </c>
      <c r="G198" s="2"/>
      <c r="H198" s="2"/>
      <c r="I198" s="2" t="str">
        <f>IFERROR(__xludf.DUMMYFUNCTION("""COMPUTED_VALUE"""),"ICM_Business_linked_launch")</f>
        <v>ICM_Business_linked_launch</v>
      </c>
      <c r="J198" s="2" t="str">
        <f>IFERROR(__xludf.DUMMYFUNCTION("""COMPUTED_VALUE"""),"uuid:73a3ed4f-cf0b-46bc-b6ec-65b0aced6942")</f>
        <v>uuid:73a3ed4f-cf0b-46bc-b6ec-65b0aced6942</v>
      </c>
    </row>
    <row r="199">
      <c r="A199" s="2" t="str">
        <f>IFERROR(__xludf.DUMMYFUNCTION("""COMPUTED_VALUE"""),"2025-08-30T11:20:43.776Z")</f>
        <v>2025-08-30T11:20:43.776Z</v>
      </c>
      <c r="B199" s="2" t="str">
        <f>IFERROR(__xludf.DUMMYFUNCTION("""COMPUTED_VALUE"""),"2025-08-30T13:03:16.524+08")</f>
        <v>2025-08-30T13:03:16.524+08</v>
      </c>
      <c r="C199" s="2" t="str">
        <f>IFERROR(__xludf.DUMMYFUNCTION("""COMPUTED_VALUE"""),"2025-08-30T13:06:20.536+08")</f>
        <v>2025-08-30T13:06:20.536+08</v>
      </c>
      <c r="D199" s="2" t="str">
        <f>IFERROR(__xludf.DUMMYFUNCTION("""COMPUTED_VALUE"""),"H030332024")</f>
        <v>H030332024</v>
      </c>
      <c r="E199" s="2">
        <f>IFERROR(__xludf.DUMMYFUNCTION("""COMPUTED_VALUE"""),896791.0)</f>
        <v>896791</v>
      </c>
      <c r="F199" s="2" t="str">
        <f>IFERROR(__xludf.DUMMYFUNCTION("""COMPUTED_VALUE"""),"Roland A. Bandiola jr")</f>
        <v>Roland A. Bandiola jr</v>
      </c>
      <c r="G199" s="2"/>
      <c r="H199" s="2"/>
      <c r="I199" s="2" t="str">
        <f>IFERROR(__xludf.DUMMYFUNCTION("""COMPUTED_VALUE"""),"ICM_Business_linked_launch")</f>
        <v>ICM_Business_linked_launch</v>
      </c>
      <c r="J199" s="2" t="str">
        <f>IFERROR(__xludf.DUMMYFUNCTION("""COMPUTED_VALUE"""),"uuid:d344f1de-843e-4707-9d90-97389981125c")</f>
        <v>uuid:d344f1de-843e-4707-9d90-97389981125c</v>
      </c>
    </row>
    <row r="200">
      <c r="A200" s="2" t="str">
        <f>IFERROR(__xludf.DUMMYFUNCTION("""COMPUTED_VALUE"""),"2025-08-30T11:20:51.962Z")</f>
        <v>2025-08-30T11:20:51.962Z</v>
      </c>
      <c r="B200" s="2" t="str">
        <f>IFERROR(__xludf.DUMMYFUNCTION("""COMPUTED_VALUE"""),"2025-08-30T15:08:22.324+08")</f>
        <v>2025-08-30T15:08:22.324+08</v>
      </c>
      <c r="C200" s="2" t="str">
        <f>IFERROR(__xludf.DUMMYFUNCTION("""COMPUTED_VALUE"""),"2025-08-30T15:16:09.243+08")</f>
        <v>2025-08-30T15:16:09.243+08</v>
      </c>
      <c r="D200" s="2" t="str">
        <f>IFERROR(__xludf.DUMMYFUNCTION("""COMPUTED_VALUE"""),"H030332032")</f>
        <v>H030332032</v>
      </c>
      <c r="E200" s="2">
        <f>IFERROR(__xludf.DUMMYFUNCTION("""COMPUTED_VALUE"""),896791.0)</f>
        <v>896791</v>
      </c>
      <c r="F200" s="2" t="str">
        <f>IFERROR(__xludf.DUMMYFUNCTION("""COMPUTED_VALUE"""),"Roland A. Bandiola jr")</f>
        <v>Roland A. Bandiola jr</v>
      </c>
      <c r="G200" s="2"/>
      <c r="H200" s="2"/>
      <c r="I200" s="2" t="str">
        <f>IFERROR(__xludf.DUMMYFUNCTION("""COMPUTED_VALUE"""),"ICM_Business_linked_launch")</f>
        <v>ICM_Business_linked_launch</v>
      </c>
      <c r="J200" s="2" t="str">
        <f>IFERROR(__xludf.DUMMYFUNCTION("""COMPUTED_VALUE"""),"uuid:bd59c0c5-421f-42aa-ac76-8c72204f1512")</f>
        <v>uuid:bd59c0c5-421f-42aa-ac76-8c72204f1512</v>
      </c>
    </row>
    <row r="201">
      <c r="A201" s="2" t="str">
        <f>IFERROR(__xludf.DUMMYFUNCTION("""COMPUTED_VALUE"""),"2025-08-30T11:24:35.751Z")</f>
        <v>2025-08-30T11:24:35.751Z</v>
      </c>
      <c r="B201" s="2" t="str">
        <f>IFERROR(__xludf.DUMMYFUNCTION("""COMPUTED_VALUE"""),"2025-08-30T10:55:00.345+08")</f>
        <v>2025-08-30T10:55:00.345+08</v>
      </c>
      <c r="C201" s="2" t="str">
        <f>IFERROR(__xludf.DUMMYFUNCTION("""COMPUTED_VALUE"""),"2025-08-30T11:06:43.710+08")</f>
        <v>2025-08-30T11:06:43.710+08</v>
      </c>
      <c r="D201" s="2" t="str">
        <f>IFERROR(__xludf.DUMMYFUNCTION("""COMPUTED_VALUE"""),"H030270008")</f>
        <v>H030270008</v>
      </c>
      <c r="E201" s="2" t="str">
        <f>IFERROR(__xludf.DUMMYFUNCTION("""COMPUTED_VALUE"""),"B8193462")</f>
        <v>B8193462</v>
      </c>
      <c r="F201" s="2" t="str">
        <f>IFERROR(__xludf.DUMMYFUNCTION("""COMPUTED_VALUE"""),"Mark Lorens Mendoza Gilongo")</f>
        <v>Mark Lorens Mendoza Gilongo</v>
      </c>
      <c r="G201" s="2"/>
      <c r="H201" s="2"/>
      <c r="I201" s="2" t="str">
        <f>IFERROR(__xludf.DUMMYFUNCTION("""COMPUTED_VALUE"""),"ICM_Business_linked_launch")</f>
        <v>ICM_Business_linked_launch</v>
      </c>
      <c r="J201" s="2" t="str">
        <f>IFERROR(__xludf.DUMMYFUNCTION("""COMPUTED_VALUE"""),"uuid:5dbce4c4-188f-4775-8dad-70d699e8ef28")</f>
        <v>uuid:5dbce4c4-188f-4775-8dad-70d699e8ef28</v>
      </c>
    </row>
    <row r="202">
      <c r="A202" s="2" t="str">
        <f>IFERROR(__xludf.DUMMYFUNCTION("""COMPUTED_VALUE"""),"2025-08-30T11:24:38.033Z")</f>
        <v>2025-08-30T11:24:38.033Z</v>
      </c>
      <c r="B202" s="2" t="str">
        <f>IFERROR(__xludf.DUMMYFUNCTION("""COMPUTED_VALUE"""),"2025-08-30T14:17:52.421+08")</f>
        <v>2025-08-30T14:17:52.421+08</v>
      </c>
      <c r="C202" s="2" t="str">
        <f>IFERROR(__xludf.DUMMYFUNCTION("""COMPUTED_VALUE"""),"2025-08-30T14:34:34.988+08")</f>
        <v>2025-08-30T14:34:34.988+08</v>
      </c>
      <c r="D202" s="2" t="str">
        <f>IFERROR(__xludf.DUMMYFUNCTION("""COMPUTED_VALUE"""),"H030270034")</f>
        <v>H030270034</v>
      </c>
      <c r="E202" s="2" t="str">
        <f>IFERROR(__xludf.DUMMYFUNCTION("""COMPUTED_VALUE"""),"B8193462")</f>
        <v>B8193462</v>
      </c>
      <c r="F202" s="2" t="str">
        <f>IFERROR(__xludf.DUMMYFUNCTION("""COMPUTED_VALUE"""),"Mark Lorens Mendoza Gilongo")</f>
        <v>Mark Lorens Mendoza Gilongo</v>
      </c>
      <c r="G202" s="2"/>
      <c r="H202" s="2"/>
      <c r="I202" s="2" t="str">
        <f>IFERROR(__xludf.DUMMYFUNCTION("""COMPUTED_VALUE"""),"ICM_Business_linked_launch")</f>
        <v>ICM_Business_linked_launch</v>
      </c>
      <c r="J202" s="2" t="str">
        <f>IFERROR(__xludf.DUMMYFUNCTION("""COMPUTED_VALUE"""),"uuid:b5c5ef0c-61bb-4b2d-895c-581f1bddaa23")</f>
        <v>uuid:b5c5ef0c-61bb-4b2d-895c-581f1bddaa23</v>
      </c>
    </row>
    <row r="203">
      <c r="A203" s="2" t="str">
        <f>IFERROR(__xludf.DUMMYFUNCTION("""COMPUTED_VALUE"""),"2025-08-30T11:24:39.600Z")</f>
        <v>2025-08-30T11:24:39.600Z</v>
      </c>
      <c r="B203" s="2" t="str">
        <f>IFERROR(__xludf.DUMMYFUNCTION("""COMPUTED_VALUE"""),"2025-08-30T15:46:01.469+08")</f>
        <v>2025-08-30T15:46:01.469+08</v>
      </c>
      <c r="C203" s="2" t="str">
        <f>IFERROR(__xludf.DUMMYFUNCTION("""COMPUTED_VALUE"""),"2025-08-30T16:03:01.988+08")</f>
        <v>2025-08-30T16:03:01.988+08</v>
      </c>
      <c r="D203" s="2" t="str">
        <f>IFERROR(__xludf.DUMMYFUNCTION("""COMPUTED_VALUE"""),"H030270006")</f>
        <v>H030270006</v>
      </c>
      <c r="E203" s="2" t="str">
        <f>IFERROR(__xludf.DUMMYFUNCTION("""COMPUTED_VALUE"""),"B8193462")</f>
        <v>B8193462</v>
      </c>
      <c r="F203" s="2" t="str">
        <f>IFERROR(__xludf.DUMMYFUNCTION("""COMPUTED_VALUE"""),"Mark Lorens Mendoza Gilongo")</f>
        <v>Mark Lorens Mendoza Gilongo</v>
      </c>
      <c r="G203" s="2"/>
      <c r="H203" s="2"/>
      <c r="I203" s="2" t="str">
        <f>IFERROR(__xludf.DUMMYFUNCTION("""COMPUTED_VALUE"""),"ICM_Business_linked_launch")</f>
        <v>ICM_Business_linked_launch</v>
      </c>
      <c r="J203" s="2" t="str">
        <f>IFERROR(__xludf.DUMMYFUNCTION("""COMPUTED_VALUE"""),"uuid:613211f1-9322-41fe-b886-bfb0f5727951")</f>
        <v>uuid:613211f1-9322-41fe-b886-bfb0f5727951</v>
      </c>
    </row>
    <row r="204">
      <c r="A204" s="2" t="str">
        <f>IFERROR(__xludf.DUMMYFUNCTION("""COMPUTED_VALUE"""),"2025-08-30T11:24:40.757Z")</f>
        <v>2025-08-30T11:24:40.757Z</v>
      </c>
      <c r="B204" s="2" t="str">
        <f>IFERROR(__xludf.DUMMYFUNCTION("""COMPUTED_VALUE"""),"2025-08-30T13:01:57.333+08")</f>
        <v>2025-08-30T13:01:57.333+08</v>
      </c>
      <c r="C204" s="2" t="str">
        <f>IFERROR(__xludf.DUMMYFUNCTION("""COMPUTED_VALUE"""),"2025-08-30T13:28:21.698+08")</f>
        <v>2025-08-30T13:28:21.698+08</v>
      </c>
      <c r="D204" s="2" t="str">
        <f>IFERROR(__xludf.DUMMYFUNCTION("""COMPUTED_VALUE"""),"H030270027")</f>
        <v>H030270027</v>
      </c>
      <c r="E204" s="2" t="str">
        <f>IFERROR(__xludf.DUMMYFUNCTION("""COMPUTED_VALUE"""),"B8193462")</f>
        <v>B8193462</v>
      </c>
      <c r="F204" s="2" t="str">
        <f>IFERROR(__xludf.DUMMYFUNCTION("""COMPUTED_VALUE"""),"Mark Lorens Mendoza Gilongo")</f>
        <v>Mark Lorens Mendoza Gilongo</v>
      </c>
      <c r="G204" s="2"/>
      <c r="H204" s="2"/>
      <c r="I204" s="2" t="str">
        <f>IFERROR(__xludf.DUMMYFUNCTION("""COMPUTED_VALUE"""),"ICM_Business_linked_launch")</f>
        <v>ICM_Business_linked_launch</v>
      </c>
      <c r="J204" s="2" t="str">
        <f>IFERROR(__xludf.DUMMYFUNCTION("""COMPUTED_VALUE"""),"uuid:2611339a-c549-4739-afe4-482d884924c7")</f>
        <v>uuid:2611339a-c549-4739-afe4-482d884924c7</v>
      </c>
    </row>
    <row r="205">
      <c r="A205" s="2" t="str">
        <f>IFERROR(__xludf.DUMMYFUNCTION("""COMPUTED_VALUE"""),"2025-08-30T11:24:43.126Z")</f>
        <v>2025-08-30T11:24:43.126Z</v>
      </c>
      <c r="B205" s="2" t="str">
        <f>IFERROR(__xludf.DUMMYFUNCTION("""COMPUTED_VALUE"""),"2025-08-30T12:17:12.862+08")</f>
        <v>2025-08-30T12:17:12.862+08</v>
      </c>
      <c r="C205" s="2" t="str">
        <f>IFERROR(__xludf.DUMMYFUNCTION("""COMPUTED_VALUE"""),"2025-08-30T19:18:44.017+08")</f>
        <v>2025-08-30T19:18:44.017+08</v>
      </c>
      <c r="D205" s="2" t="str">
        <f>IFERROR(__xludf.DUMMYFUNCTION("""COMPUTED_VALUE"""),"H030332018")</f>
        <v>H030332018</v>
      </c>
      <c r="E205" s="2" t="str">
        <f>IFERROR(__xludf.DUMMYFUNCTION("""COMPUTED_VALUE"""),"C7502931")</f>
        <v>C7502931</v>
      </c>
      <c r="F205" s="2" t="str">
        <f>IFERROR(__xludf.DUMMYFUNCTION("""COMPUTED_VALUE"""),"Jenny Lou Toles Estacio")</f>
        <v>Jenny Lou Toles Estacio</v>
      </c>
      <c r="G205" s="2"/>
      <c r="H205" s="2"/>
      <c r="I205" s="2" t="str">
        <f>IFERROR(__xludf.DUMMYFUNCTION("""COMPUTED_VALUE"""),"ICM_Business_linked_launch")</f>
        <v>ICM_Business_linked_launch</v>
      </c>
      <c r="J205" s="2" t="str">
        <f>IFERROR(__xludf.DUMMYFUNCTION("""COMPUTED_VALUE"""),"uuid:5933ba12-8349-4748-b173-40e6b0e49be0")</f>
        <v>uuid:5933ba12-8349-4748-b173-40e6b0e49be0</v>
      </c>
    </row>
    <row r="206">
      <c r="A206" s="2" t="str">
        <f>IFERROR(__xludf.DUMMYFUNCTION("""COMPUTED_VALUE"""),"2025-08-30T11:24:42.673Z")</f>
        <v>2025-08-30T11:24:42.673Z</v>
      </c>
      <c r="B206" s="2" t="str">
        <f>IFERROR(__xludf.DUMMYFUNCTION("""COMPUTED_VALUE"""),"2025-08-30T14:04:35.580+08")</f>
        <v>2025-08-30T14:04:35.580+08</v>
      </c>
      <c r="C206" s="2" t="str">
        <f>IFERROR(__xludf.DUMMYFUNCTION("""COMPUTED_VALUE"""),"2025-08-30T19:17:18.884+08")</f>
        <v>2025-08-30T19:17:18.884+08</v>
      </c>
      <c r="D206" s="2" t="str">
        <f>IFERROR(__xludf.DUMMYFUNCTION("""COMPUTED_VALUE"""),"H030332026")</f>
        <v>H030332026</v>
      </c>
      <c r="E206" s="2" t="str">
        <f>IFERROR(__xludf.DUMMYFUNCTION("""COMPUTED_VALUE"""),"C7502931")</f>
        <v>C7502931</v>
      </c>
      <c r="F206" s="2" t="str">
        <f>IFERROR(__xludf.DUMMYFUNCTION("""COMPUTED_VALUE"""),"Jenny Lou Toles Estacio")</f>
        <v>Jenny Lou Toles Estacio</v>
      </c>
      <c r="G206" s="2"/>
      <c r="H206" s="2"/>
      <c r="I206" s="2" t="str">
        <f>IFERROR(__xludf.DUMMYFUNCTION("""COMPUTED_VALUE"""),"ICM_Business_linked_launch")</f>
        <v>ICM_Business_linked_launch</v>
      </c>
      <c r="J206" s="2" t="str">
        <f>IFERROR(__xludf.DUMMYFUNCTION("""COMPUTED_VALUE"""),"uuid:fb06ff08-772f-4727-8e52-74f3c2906075")</f>
        <v>uuid:fb06ff08-772f-4727-8e52-74f3c2906075</v>
      </c>
    </row>
    <row r="207">
      <c r="A207" s="2" t="str">
        <f>IFERROR(__xludf.DUMMYFUNCTION("""COMPUTED_VALUE"""),"2025-08-30T11:24:43.652Z")</f>
        <v>2025-08-30T11:24:43.652Z</v>
      </c>
      <c r="B207" s="2" t="str">
        <f>IFERROR(__xludf.DUMMYFUNCTION("""COMPUTED_VALUE"""),"2025-08-30T10:22:05.513+08")</f>
        <v>2025-08-30T10:22:05.513+08</v>
      </c>
      <c r="C207" s="2" t="str">
        <f>IFERROR(__xludf.DUMMYFUNCTION("""COMPUTED_VALUE"""),"2025-08-30T19:20:10.659+08")</f>
        <v>2025-08-30T19:20:10.659+08</v>
      </c>
      <c r="D207" s="2" t="str">
        <f>IFERROR(__xludf.DUMMYFUNCTION("""COMPUTED_VALUE"""),"H030332022")</f>
        <v>H030332022</v>
      </c>
      <c r="E207" s="2" t="str">
        <f>IFERROR(__xludf.DUMMYFUNCTION("""COMPUTED_VALUE"""),"C7502931")</f>
        <v>C7502931</v>
      </c>
      <c r="F207" s="2" t="str">
        <f>IFERROR(__xludf.DUMMYFUNCTION("""COMPUTED_VALUE"""),"Jenny Lou Toles Estacio")</f>
        <v>Jenny Lou Toles Estacio</v>
      </c>
      <c r="G207" s="2"/>
      <c r="H207" s="2"/>
      <c r="I207" s="2" t="str">
        <f>IFERROR(__xludf.DUMMYFUNCTION("""COMPUTED_VALUE"""),"ICM_Business_linked_launch")</f>
        <v>ICM_Business_linked_launch</v>
      </c>
      <c r="J207" s="2" t="str">
        <f>IFERROR(__xludf.DUMMYFUNCTION("""COMPUTED_VALUE"""),"uuid:69575a61-9b24-43fc-aba2-2a988a3cdee2")</f>
        <v>uuid:69575a61-9b24-43fc-aba2-2a988a3cdee2</v>
      </c>
    </row>
    <row r="208">
      <c r="A208" s="2" t="str">
        <f>IFERROR(__xludf.DUMMYFUNCTION("""COMPUTED_VALUE"""),"2025-08-31T13:05:05.801Z")</f>
        <v>2025-08-31T13:05:05.801Z</v>
      </c>
      <c r="B208" s="2" t="str">
        <f>IFERROR(__xludf.DUMMYFUNCTION("""COMPUTED_VALUE"""),"2025-08-31T13:33:19.936+08")</f>
        <v>2025-08-31T13:33:19.936+08</v>
      </c>
      <c r="C208" s="2" t="str">
        <f>IFERROR(__xludf.DUMMYFUNCTION("""COMPUTED_VALUE"""),"2025-08-31T13:51:23.527+08")</f>
        <v>2025-08-31T13:51:23.527+08</v>
      </c>
      <c r="D208" s="2" t="str">
        <f>IFERROR(__xludf.DUMMYFUNCTION("""COMPUTED_VALUE"""),"H030507016")</f>
        <v>H030507016</v>
      </c>
      <c r="E208" s="2" t="str">
        <f>IFERROR(__xludf.DUMMYFUNCTION("""COMPUTED_VALUE"""),"J4315980")</f>
        <v>J4315980</v>
      </c>
      <c r="F208" s="2" t="str">
        <f>IFERROR(__xludf.DUMMYFUNCTION("""COMPUTED_VALUE"""),"Trixie Marie Jardeleza Saber")</f>
        <v>Trixie Marie Jardeleza Saber</v>
      </c>
      <c r="G208" s="2"/>
      <c r="H208" s="2"/>
      <c r="I208" s="2" t="str">
        <f>IFERROR(__xludf.DUMMYFUNCTION("""COMPUTED_VALUE"""),"ICM_Business_linked_launch")</f>
        <v>ICM_Business_linked_launch</v>
      </c>
      <c r="J208" s="2" t="str">
        <f>IFERROR(__xludf.DUMMYFUNCTION("""COMPUTED_VALUE"""),"uuid:af5e4857-5046-436e-a315-ddfd37502a18")</f>
        <v>uuid:af5e4857-5046-436e-a315-ddfd37502a18</v>
      </c>
    </row>
    <row r="209">
      <c r="A209" s="2" t="str">
        <f>IFERROR(__xludf.DUMMYFUNCTION("""COMPUTED_VALUE"""),"2025-09-01T10:36:54.362Z")</f>
        <v>2025-09-01T10:36:54.362Z</v>
      </c>
      <c r="B209" s="2" t="str">
        <f>IFERROR(__xludf.DUMMYFUNCTION("""COMPUTED_VALUE"""),"2025-09-01T11:20:04.442+08")</f>
        <v>2025-09-01T11:20:04.442+08</v>
      </c>
      <c r="C209" s="2" t="str">
        <f>IFERROR(__xludf.DUMMYFUNCTION("""COMPUTED_VALUE"""),"2025-09-01T18:31:27.859+08")</f>
        <v>2025-09-01T18:31:27.859+08</v>
      </c>
      <c r="D209" s="2" t="str">
        <f>IFERROR(__xludf.DUMMYFUNCTION("""COMPUTED_VALUE"""),"H030535022")</f>
        <v>H030535022</v>
      </c>
      <c r="E209" s="2" t="str">
        <f>IFERROR(__xludf.DUMMYFUNCTION("""COMPUTED_VALUE"""),"C7502931")</f>
        <v>C7502931</v>
      </c>
      <c r="F209" s="2" t="str">
        <f>IFERROR(__xludf.DUMMYFUNCTION("""COMPUTED_VALUE"""),"Jenny Lou Toles Estacio")</f>
        <v>Jenny Lou Toles Estacio</v>
      </c>
      <c r="G209" s="2"/>
      <c r="H209" s="2"/>
      <c r="I209" s="2" t="str">
        <f>IFERROR(__xludf.DUMMYFUNCTION("""COMPUTED_VALUE"""),"ICM_Business_linked_launch")</f>
        <v>ICM_Business_linked_launch</v>
      </c>
      <c r="J209" s="2" t="str">
        <f>IFERROR(__xludf.DUMMYFUNCTION("""COMPUTED_VALUE"""),"uuid:0ac83ce9-3790-4a1f-a38e-85abbc607112")</f>
        <v>uuid:0ac83ce9-3790-4a1f-a38e-85abbc607112</v>
      </c>
    </row>
    <row r="210">
      <c r="A210" s="2" t="str">
        <f>IFERROR(__xludf.DUMMYFUNCTION("""COMPUTED_VALUE"""),"2025-09-01T10:40:41.813Z")</f>
        <v>2025-09-01T10:40:41.813Z</v>
      </c>
      <c r="B210" s="2" t="str">
        <f>IFERROR(__xludf.DUMMYFUNCTION("""COMPUTED_VALUE"""),"2025-09-01T10:32:45.272+08")</f>
        <v>2025-09-01T10:32:45.272+08</v>
      </c>
      <c r="C210" s="2" t="str">
        <f>IFERROR(__xludf.DUMMYFUNCTION("""COMPUTED_VALUE"""),"2025-09-01T10:39:09.361+08")</f>
        <v>2025-09-01T10:39:09.361+08</v>
      </c>
      <c r="D210" s="2" t="str">
        <f>IFERROR(__xludf.DUMMYFUNCTION("""COMPUTED_VALUE"""),"H030332028")</f>
        <v>H030332028</v>
      </c>
      <c r="E210" s="2" t="str">
        <f>IFERROR(__xludf.DUMMYFUNCTION("""COMPUTED_VALUE"""),"D1284067")</f>
        <v>D1284067</v>
      </c>
      <c r="F210" s="2" t="str">
        <f>IFERROR(__xludf.DUMMYFUNCTION("""COMPUTED_VALUE"""),"Mariel Del Rio")</f>
        <v>Mariel Del Rio</v>
      </c>
      <c r="G210" s="2"/>
      <c r="H210" s="2"/>
      <c r="I210" s="2" t="str">
        <f>IFERROR(__xludf.DUMMYFUNCTION("""COMPUTED_VALUE"""),"ICM_Business_linked_launch")</f>
        <v>ICM_Business_linked_launch</v>
      </c>
      <c r="J210" s="2" t="str">
        <f>IFERROR(__xludf.DUMMYFUNCTION("""COMPUTED_VALUE"""),"uuid:a22ac2ff-830b-4f69-85af-fc580e3507c0")</f>
        <v>uuid:a22ac2ff-830b-4f69-85af-fc580e3507c0</v>
      </c>
    </row>
    <row r="211">
      <c r="A211" s="2" t="str">
        <f>IFERROR(__xludf.DUMMYFUNCTION("""COMPUTED_VALUE"""),"2025-09-01T10:40:45.998Z")</f>
        <v>2025-09-01T10:40:45.998Z</v>
      </c>
      <c r="B211" s="2" t="str">
        <f>IFERROR(__xludf.DUMMYFUNCTION("""COMPUTED_VALUE"""),"2025-09-01T12:08:53.778+08")</f>
        <v>2025-09-01T12:08:53.778+08</v>
      </c>
      <c r="C211" s="2" t="str">
        <f>IFERROR(__xludf.DUMMYFUNCTION("""COMPUTED_VALUE"""),"2025-09-01T12:13:43.396+08")</f>
        <v>2025-09-01T12:13:43.396+08</v>
      </c>
      <c r="D211" s="2" t="str">
        <f>IFERROR(__xludf.DUMMYFUNCTION("""COMPUTED_VALUE"""),"H030332030")</f>
        <v>H030332030</v>
      </c>
      <c r="E211" s="2" t="str">
        <f>IFERROR(__xludf.DUMMYFUNCTION("""COMPUTED_VALUE"""),"D1284067")</f>
        <v>D1284067</v>
      </c>
      <c r="F211" s="2" t="str">
        <f>IFERROR(__xludf.DUMMYFUNCTION("""COMPUTED_VALUE"""),"Mariel Del Rio")</f>
        <v>Mariel Del Rio</v>
      </c>
      <c r="G211" s="2"/>
      <c r="H211" s="2"/>
      <c r="I211" s="2" t="str">
        <f>IFERROR(__xludf.DUMMYFUNCTION("""COMPUTED_VALUE"""),"ICM_Business_linked_launch")</f>
        <v>ICM_Business_linked_launch</v>
      </c>
      <c r="J211" s="2" t="str">
        <f>IFERROR(__xludf.DUMMYFUNCTION("""COMPUTED_VALUE"""),"uuid:63920148-2f81-4001-9ee5-700fb9225353")</f>
        <v>uuid:63920148-2f81-4001-9ee5-700fb9225353</v>
      </c>
    </row>
    <row r="212">
      <c r="A212" s="2" t="str">
        <f>IFERROR(__xludf.DUMMYFUNCTION("""COMPUTED_VALUE"""),"2025-09-01T10:40:47.549Z")</f>
        <v>2025-09-01T10:40:47.549Z</v>
      </c>
      <c r="B212" s="2" t="str">
        <f>IFERROR(__xludf.DUMMYFUNCTION("""COMPUTED_VALUE"""),"2025-09-01T13:07:22.115+08")</f>
        <v>2025-09-01T13:07:22.115+08</v>
      </c>
      <c r="C212" s="2" t="str">
        <f>IFERROR(__xludf.DUMMYFUNCTION("""COMPUTED_VALUE"""),"2025-09-01T13:14:17.568+08")</f>
        <v>2025-09-01T13:14:17.568+08</v>
      </c>
      <c r="D212" s="2" t="str">
        <f>IFERROR(__xludf.DUMMYFUNCTION("""COMPUTED_VALUE"""),"H030332033")</f>
        <v>H030332033</v>
      </c>
      <c r="E212" s="2" t="str">
        <f>IFERROR(__xludf.DUMMYFUNCTION("""COMPUTED_VALUE"""),"D1284067")</f>
        <v>D1284067</v>
      </c>
      <c r="F212" s="2" t="str">
        <f>IFERROR(__xludf.DUMMYFUNCTION("""COMPUTED_VALUE"""),"Mariel Del Rio")</f>
        <v>Mariel Del Rio</v>
      </c>
      <c r="G212" s="2"/>
      <c r="H212" s="2"/>
      <c r="I212" s="2" t="str">
        <f>IFERROR(__xludf.DUMMYFUNCTION("""COMPUTED_VALUE"""),"ICM_Business_linked_launch")</f>
        <v>ICM_Business_linked_launch</v>
      </c>
      <c r="J212" s="2" t="str">
        <f>IFERROR(__xludf.DUMMYFUNCTION("""COMPUTED_VALUE"""),"uuid:dcb96adf-8585-4c0d-8d41-68cd9b53f682")</f>
        <v>uuid:dcb96adf-8585-4c0d-8d41-68cd9b53f682</v>
      </c>
    </row>
    <row r="213">
      <c r="A213" s="2" t="str">
        <f>IFERROR(__xludf.DUMMYFUNCTION("""COMPUTED_VALUE"""),"2025-09-01T10:40:49.911Z")</f>
        <v>2025-09-01T10:40:49.911Z</v>
      </c>
      <c r="B213" s="2" t="str">
        <f>IFERROR(__xludf.DUMMYFUNCTION("""COMPUTED_VALUE"""),"2025-09-01T16:35:13.751+08")</f>
        <v>2025-09-01T16:35:13.751+08</v>
      </c>
      <c r="C213" s="2" t="str">
        <f>IFERROR(__xludf.DUMMYFUNCTION("""COMPUTED_VALUE"""),"2025-09-01T16:44:13.774+08")</f>
        <v>2025-09-01T16:44:13.774+08</v>
      </c>
      <c r="D213" s="2" t="str">
        <f>IFERROR(__xludf.DUMMYFUNCTION("""COMPUTED_VALUE"""),"H030332027")</f>
        <v>H030332027</v>
      </c>
      <c r="E213" s="2" t="str">
        <f>IFERROR(__xludf.DUMMYFUNCTION("""COMPUTED_VALUE"""),"D1284067")</f>
        <v>D1284067</v>
      </c>
      <c r="F213" s="2" t="str">
        <f>IFERROR(__xludf.DUMMYFUNCTION("""COMPUTED_VALUE"""),"Mariel Del Rio")</f>
        <v>Mariel Del Rio</v>
      </c>
      <c r="G213" s="2"/>
      <c r="H213" s="2"/>
      <c r="I213" s="2" t="str">
        <f>IFERROR(__xludf.DUMMYFUNCTION("""COMPUTED_VALUE"""),"ICM_Business_linked_launch")</f>
        <v>ICM_Business_linked_launch</v>
      </c>
      <c r="J213" s="2" t="str">
        <f>IFERROR(__xludf.DUMMYFUNCTION("""COMPUTED_VALUE"""),"uuid:08622a1b-99ab-44ac-9361-107bd930a5b8")</f>
        <v>uuid:08622a1b-99ab-44ac-9361-107bd930a5b8</v>
      </c>
    </row>
    <row r="214">
      <c r="A214" s="2" t="str">
        <f>IFERROR(__xludf.DUMMYFUNCTION("""COMPUTED_VALUE"""),"2025-09-01T10:40:53.197Z")</f>
        <v>2025-09-01T10:40:53.197Z</v>
      </c>
      <c r="B214" s="2" t="str">
        <f>IFERROR(__xludf.DUMMYFUNCTION("""COMPUTED_VALUE"""),"2025-09-01T10:31:10.243+08")</f>
        <v>2025-09-01T10:31:10.243+08</v>
      </c>
      <c r="C214" s="2" t="str">
        <f>IFERROR(__xludf.DUMMYFUNCTION("""COMPUTED_VALUE"""),"2025-09-01T10:59:05.799+08")</f>
        <v>2025-09-01T10:59:05.799+08</v>
      </c>
      <c r="D214" s="2" t="str">
        <f>IFERROR(__xludf.DUMMYFUNCTION("""COMPUTED_VALUE"""),"H030332035")</f>
        <v>H030332035</v>
      </c>
      <c r="E214" s="2" t="str">
        <f>IFERROR(__xludf.DUMMYFUNCTION("""COMPUTED_VALUE"""),"B8193462")</f>
        <v>B8193462</v>
      </c>
      <c r="F214" s="2" t="str">
        <f>IFERROR(__xludf.DUMMYFUNCTION("""COMPUTED_VALUE"""),"Mark Lorens Mendoza Gilongo")</f>
        <v>Mark Lorens Mendoza Gilongo</v>
      </c>
      <c r="G214" s="2"/>
      <c r="H214" s="2"/>
      <c r="I214" s="2" t="str">
        <f>IFERROR(__xludf.DUMMYFUNCTION("""COMPUTED_VALUE"""),"ICM_Business_linked_launch")</f>
        <v>ICM_Business_linked_launch</v>
      </c>
      <c r="J214" s="2" t="str">
        <f>IFERROR(__xludf.DUMMYFUNCTION("""COMPUTED_VALUE"""),"uuid:1027f799-e567-480a-90ac-752e171251b8")</f>
        <v>uuid:1027f799-e567-480a-90ac-752e171251b8</v>
      </c>
    </row>
    <row r="215">
      <c r="A215" s="2" t="str">
        <f>IFERROR(__xludf.DUMMYFUNCTION("""COMPUTED_VALUE"""),"2025-09-01T10:40:54.962Z")</f>
        <v>2025-09-01T10:40:54.962Z</v>
      </c>
      <c r="B215" s="2" t="str">
        <f>IFERROR(__xludf.DUMMYFUNCTION("""COMPUTED_VALUE"""),"2025-09-01T12:12:04.460+08")</f>
        <v>2025-09-01T12:12:04.460+08</v>
      </c>
      <c r="C215" s="2" t="str">
        <f>IFERROR(__xludf.DUMMYFUNCTION("""COMPUTED_VALUE"""),"2025-09-01T12:40:53.347+08")</f>
        <v>2025-09-01T12:40:53.347+08</v>
      </c>
      <c r="D215" s="2" t="str">
        <f>IFERROR(__xludf.DUMMYFUNCTION("""COMPUTED_VALUE"""),"H030332031")</f>
        <v>H030332031</v>
      </c>
      <c r="E215" s="2" t="str">
        <f>IFERROR(__xludf.DUMMYFUNCTION("""COMPUTED_VALUE"""),"B8193462")</f>
        <v>B8193462</v>
      </c>
      <c r="F215" s="2" t="str">
        <f>IFERROR(__xludf.DUMMYFUNCTION("""COMPUTED_VALUE"""),"Mark Lorens Mendoza Gilongo")</f>
        <v>Mark Lorens Mendoza Gilongo</v>
      </c>
      <c r="G215" s="2"/>
      <c r="H215" s="2"/>
      <c r="I215" s="2" t="str">
        <f>IFERROR(__xludf.DUMMYFUNCTION("""COMPUTED_VALUE"""),"ICM_Business_linked_launch")</f>
        <v>ICM_Business_linked_launch</v>
      </c>
      <c r="J215" s="2" t="str">
        <f>IFERROR(__xludf.DUMMYFUNCTION("""COMPUTED_VALUE"""),"uuid:9efb69d2-8995-49ad-b780-4cfb4bffe9aa")</f>
        <v>uuid:9efb69d2-8995-49ad-b780-4cfb4bffe9aa</v>
      </c>
    </row>
    <row r="216">
      <c r="A216" s="2" t="str">
        <f>IFERROR(__xludf.DUMMYFUNCTION("""COMPUTED_VALUE"""),"2025-09-01T10:40:55.613Z")</f>
        <v>2025-09-01T10:40:55.613Z</v>
      </c>
      <c r="B216" s="2" t="str">
        <f>IFERROR(__xludf.DUMMYFUNCTION("""COMPUTED_VALUE"""),"2025-09-01T13:41:54.603+08")</f>
        <v>2025-09-01T13:41:54.603+08</v>
      </c>
      <c r="C216" s="2" t="str">
        <f>IFERROR(__xludf.DUMMYFUNCTION("""COMPUTED_VALUE"""),"2025-09-01T14:15:32.902+08")</f>
        <v>2025-09-01T14:15:32.902+08</v>
      </c>
      <c r="D216" s="2" t="str">
        <f>IFERROR(__xludf.DUMMYFUNCTION("""COMPUTED_VALUE"""),"H030332029")</f>
        <v>H030332029</v>
      </c>
      <c r="E216" s="2" t="str">
        <f>IFERROR(__xludf.DUMMYFUNCTION("""COMPUTED_VALUE"""),"B8193462")</f>
        <v>B8193462</v>
      </c>
      <c r="F216" s="2" t="str">
        <f>IFERROR(__xludf.DUMMYFUNCTION("""COMPUTED_VALUE"""),"Mark Lorens Mendoza Gilongo")</f>
        <v>Mark Lorens Mendoza Gilongo</v>
      </c>
      <c r="G216" s="2"/>
      <c r="H216" s="2"/>
      <c r="I216" s="2" t="str">
        <f>IFERROR(__xludf.DUMMYFUNCTION("""COMPUTED_VALUE"""),"ICM_Business_linked_launch")</f>
        <v>ICM_Business_linked_launch</v>
      </c>
      <c r="J216" s="2" t="str">
        <f>IFERROR(__xludf.DUMMYFUNCTION("""COMPUTED_VALUE"""),"uuid:38bd1b65-7733-4746-8fee-ff8ac51da9f0")</f>
        <v>uuid:38bd1b65-7733-4746-8fee-ff8ac51da9f0</v>
      </c>
    </row>
    <row r="217">
      <c r="A217" s="2" t="str">
        <f>IFERROR(__xludf.DUMMYFUNCTION("""COMPUTED_VALUE"""),"2025-09-01T10:42:08.762Z")</f>
        <v>2025-09-01T10:42:08.762Z</v>
      </c>
      <c r="B217" s="2" t="str">
        <f>IFERROR(__xludf.DUMMYFUNCTION("""COMPUTED_VALUE"""),"2025-09-01T11:54:46.801+08")</f>
        <v>2025-09-01T11:54:46.801+08</v>
      </c>
      <c r="C217" s="2" t="str">
        <f>IFERROR(__xludf.DUMMYFUNCTION("""COMPUTED_VALUE"""),"2025-09-01T12:12:43.094+08")</f>
        <v>2025-09-01T12:12:43.094+08</v>
      </c>
      <c r="D217" s="2" t="str">
        <f>IFERROR(__xludf.DUMMYFUNCTION("""COMPUTED_VALUE"""),"H030647019")</f>
        <v>H030647019</v>
      </c>
      <c r="E217" s="2" t="str">
        <f>IFERROR(__xludf.DUMMYFUNCTION("""COMPUTED_VALUE"""),"F3051749")</f>
        <v>F3051749</v>
      </c>
      <c r="F217" s="2" t="str">
        <f>IFERROR(__xludf.DUMMYFUNCTION("""COMPUTED_VALUE"""),"Elenita Gicos De La Pe�a")</f>
        <v>Elenita Gicos De La Pe�a</v>
      </c>
      <c r="G217" s="2"/>
      <c r="H217" s="2"/>
      <c r="I217" s="2" t="str">
        <f>IFERROR(__xludf.DUMMYFUNCTION("""COMPUTED_VALUE"""),"ICM_Business_linked_launch")</f>
        <v>ICM_Business_linked_launch</v>
      </c>
      <c r="J217" s="2" t="str">
        <f>IFERROR(__xludf.DUMMYFUNCTION("""COMPUTED_VALUE"""),"uuid:48bb3cba-64e7-45a5-a741-740e0a0f2dd6")</f>
        <v>uuid:48bb3cba-64e7-45a5-a741-740e0a0f2dd6</v>
      </c>
    </row>
    <row r="218">
      <c r="A218" s="2" t="str">
        <f>IFERROR(__xludf.DUMMYFUNCTION("""COMPUTED_VALUE"""),"2025-09-01T10:42:10.345Z")</f>
        <v>2025-09-01T10:42:10.345Z</v>
      </c>
      <c r="B218" s="2" t="str">
        <f>IFERROR(__xludf.DUMMYFUNCTION("""COMPUTED_VALUE"""),"2025-09-01T15:37:31.660+08")</f>
        <v>2025-09-01T15:37:31.660+08</v>
      </c>
      <c r="C218" s="2" t="str">
        <f>IFERROR(__xludf.DUMMYFUNCTION("""COMPUTED_VALUE"""),"2025-09-01T15:48:23.856+08")</f>
        <v>2025-09-01T15:48:23.856+08</v>
      </c>
      <c r="D218" s="2" t="str">
        <f>IFERROR(__xludf.DUMMYFUNCTION("""COMPUTED_VALUE"""),"H030647022")</f>
        <v>H030647022</v>
      </c>
      <c r="E218" s="2" t="str">
        <f>IFERROR(__xludf.DUMMYFUNCTION("""COMPUTED_VALUE"""),"F3051749")</f>
        <v>F3051749</v>
      </c>
      <c r="F218" s="2" t="str">
        <f>IFERROR(__xludf.DUMMYFUNCTION("""COMPUTED_VALUE"""),"Elenita Gicos De La Pe�a")</f>
        <v>Elenita Gicos De La Pe�a</v>
      </c>
      <c r="G218" s="2"/>
      <c r="H218" s="2"/>
      <c r="I218" s="2" t="str">
        <f>IFERROR(__xludf.DUMMYFUNCTION("""COMPUTED_VALUE"""),"ICM_Business_linked_launch")</f>
        <v>ICM_Business_linked_launch</v>
      </c>
      <c r="J218" s="2" t="str">
        <f>IFERROR(__xludf.DUMMYFUNCTION("""COMPUTED_VALUE"""),"uuid:2f556cde-45c2-4300-adce-a70c3361bcc8")</f>
        <v>uuid:2f556cde-45c2-4300-adce-a70c3361bcc8</v>
      </c>
    </row>
    <row r="219">
      <c r="A219" s="2" t="str">
        <f>IFERROR(__xludf.DUMMYFUNCTION("""COMPUTED_VALUE"""),"2025-09-01T10:42:09.910Z")</f>
        <v>2025-09-01T10:42:09.910Z</v>
      </c>
      <c r="B219" s="2" t="str">
        <f>IFERROR(__xludf.DUMMYFUNCTION("""COMPUTED_VALUE"""),"2025-09-01T14:04:17.096+08")</f>
        <v>2025-09-01T14:04:17.096+08</v>
      </c>
      <c r="C219" s="2" t="str">
        <f>IFERROR(__xludf.DUMMYFUNCTION("""COMPUTED_VALUE"""),"2025-09-01T14:13:44.166+08")</f>
        <v>2025-09-01T14:13:44.166+08</v>
      </c>
      <c r="D219" s="2" t="str">
        <f>IFERROR(__xludf.DUMMYFUNCTION("""COMPUTED_VALUE"""),"H030647020")</f>
        <v>H030647020</v>
      </c>
      <c r="E219" s="2" t="str">
        <f>IFERROR(__xludf.DUMMYFUNCTION("""COMPUTED_VALUE"""),"F3051749")</f>
        <v>F3051749</v>
      </c>
      <c r="F219" s="2" t="str">
        <f>IFERROR(__xludf.DUMMYFUNCTION("""COMPUTED_VALUE"""),"Elenita Gicos De La Pe�a")</f>
        <v>Elenita Gicos De La Pe�a</v>
      </c>
      <c r="G219" s="2"/>
      <c r="H219" s="2"/>
      <c r="I219" s="2" t="str">
        <f>IFERROR(__xludf.DUMMYFUNCTION("""COMPUTED_VALUE"""),"ICM_Business_linked_launch")</f>
        <v>ICM_Business_linked_launch</v>
      </c>
      <c r="J219" s="2" t="str">
        <f>IFERROR(__xludf.DUMMYFUNCTION("""COMPUTED_VALUE"""),"uuid:d3e54406-66e5-49d7-993e-fa8eb8c60538")</f>
        <v>uuid:d3e54406-66e5-49d7-993e-fa8eb8c60538</v>
      </c>
    </row>
    <row r="220">
      <c r="A220" s="2" t="str">
        <f>IFERROR(__xludf.DUMMYFUNCTION("""COMPUTED_VALUE"""),"2025-09-01T10:42:11.518Z")</f>
        <v>2025-09-01T10:42:11.518Z</v>
      </c>
      <c r="B220" s="2" t="str">
        <f>IFERROR(__xludf.DUMMYFUNCTION("""COMPUTED_VALUE"""),"2025-09-01T16:31:46.829+08")</f>
        <v>2025-09-01T16:31:46.829+08</v>
      </c>
      <c r="C220" s="2" t="str">
        <f>IFERROR(__xludf.DUMMYFUNCTION("""COMPUTED_VALUE"""),"2025-09-01T17:58:19.913+08")</f>
        <v>2025-09-01T17:58:19.913+08</v>
      </c>
      <c r="D220" s="2" t="str">
        <f>IFERROR(__xludf.DUMMYFUNCTION("""COMPUTED_VALUE"""),"H030647024")</f>
        <v>H030647024</v>
      </c>
      <c r="E220" s="2" t="str">
        <f>IFERROR(__xludf.DUMMYFUNCTION("""COMPUTED_VALUE"""),"F3051749")</f>
        <v>F3051749</v>
      </c>
      <c r="F220" s="2" t="str">
        <f>IFERROR(__xludf.DUMMYFUNCTION("""COMPUTED_VALUE"""),"Elenita Gicos De La Pe�a")</f>
        <v>Elenita Gicos De La Pe�a</v>
      </c>
      <c r="G220" s="2"/>
      <c r="H220" s="2"/>
      <c r="I220" s="2" t="str">
        <f>IFERROR(__xludf.DUMMYFUNCTION("""COMPUTED_VALUE"""),"ICM_Business_linked_launch")</f>
        <v>ICM_Business_linked_launch</v>
      </c>
      <c r="J220" s="2" t="str">
        <f>IFERROR(__xludf.DUMMYFUNCTION("""COMPUTED_VALUE"""),"uuid:5422cfab-0c5f-4b09-b6f3-6466ecde2188")</f>
        <v>uuid:5422cfab-0c5f-4b09-b6f3-6466ecde2188</v>
      </c>
    </row>
    <row r="221">
      <c r="A221" s="2" t="str">
        <f>IFERROR(__xludf.DUMMYFUNCTION("""COMPUTED_VALUE"""),"2025-09-01T10:44:44.551Z")</f>
        <v>2025-09-01T10:44:44.551Z</v>
      </c>
      <c r="B221" s="2" t="str">
        <f>IFERROR(__xludf.DUMMYFUNCTION("""COMPUTED_VALUE"""),"2025-09-01T11:50:30.688+08")</f>
        <v>2025-09-01T11:50:30.688+08</v>
      </c>
      <c r="C221" s="2" t="str">
        <f>IFERROR(__xludf.DUMMYFUNCTION("""COMPUTED_VALUE"""),"2025-09-01T11:59:53.483+08")</f>
        <v>2025-09-01T11:59:53.483+08</v>
      </c>
      <c r="D221" s="2" t="str">
        <f>IFERROR(__xludf.DUMMYFUNCTION("""COMPUTED_VALUE"""),"H030535020")</f>
        <v>H030535020</v>
      </c>
      <c r="E221" s="2">
        <f>IFERROR(__xludf.DUMMYFUNCTION("""COMPUTED_VALUE"""),896791.0)</f>
        <v>896791</v>
      </c>
      <c r="F221" s="2" t="str">
        <f>IFERROR(__xludf.DUMMYFUNCTION("""COMPUTED_VALUE"""),"Roland A. Bandiola jr")</f>
        <v>Roland A. Bandiola jr</v>
      </c>
      <c r="G221" s="2"/>
      <c r="H221" s="2"/>
      <c r="I221" s="2" t="str">
        <f>IFERROR(__xludf.DUMMYFUNCTION("""COMPUTED_VALUE"""),"ICM_Business_linked_launch")</f>
        <v>ICM_Business_linked_launch</v>
      </c>
      <c r="J221" s="2" t="str">
        <f>IFERROR(__xludf.DUMMYFUNCTION("""COMPUTED_VALUE"""),"uuid:616a3785-c439-4f69-aaf0-67fe29378c2d")</f>
        <v>uuid:616a3785-c439-4f69-aaf0-67fe29378c2d</v>
      </c>
    </row>
    <row r="222">
      <c r="A222" s="2" t="str">
        <f>IFERROR(__xludf.DUMMYFUNCTION("""COMPUTED_VALUE"""),"2025-09-01T10:44:47.148Z")</f>
        <v>2025-09-01T10:44:47.148Z</v>
      </c>
      <c r="B222" s="2" t="str">
        <f>IFERROR(__xludf.DUMMYFUNCTION("""COMPUTED_VALUE"""),"2025-09-01T13:35:12.679+08")</f>
        <v>2025-09-01T13:35:12.679+08</v>
      </c>
      <c r="C222" s="2" t="str">
        <f>IFERROR(__xludf.DUMMYFUNCTION("""COMPUTED_VALUE"""),"2025-09-01T13:41:20.898+08")</f>
        <v>2025-09-01T13:41:20.898+08</v>
      </c>
      <c r="D222" s="2" t="str">
        <f>IFERROR(__xludf.DUMMYFUNCTION("""COMPUTED_VALUE"""),"H030535019")</f>
        <v>H030535019</v>
      </c>
      <c r="E222" s="2">
        <f>IFERROR(__xludf.DUMMYFUNCTION("""COMPUTED_VALUE"""),896791.0)</f>
        <v>896791</v>
      </c>
      <c r="F222" s="2" t="str">
        <f>IFERROR(__xludf.DUMMYFUNCTION("""COMPUTED_VALUE"""),"Roland A. Bandiola jr")</f>
        <v>Roland A. Bandiola jr</v>
      </c>
      <c r="G222" s="2"/>
      <c r="H222" s="2"/>
      <c r="I222" s="2" t="str">
        <f>IFERROR(__xludf.DUMMYFUNCTION("""COMPUTED_VALUE"""),"ICM_Business_linked_launch")</f>
        <v>ICM_Business_linked_launch</v>
      </c>
      <c r="J222" s="2" t="str">
        <f>IFERROR(__xludf.DUMMYFUNCTION("""COMPUTED_VALUE"""),"uuid:1aebd7e1-72da-4c77-8a94-a3a4896189e9")</f>
        <v>uuid:1aebd7e1-72da-4c77-8a94-a3a4896189e9</v>
      </c>
    </row>
    <row r="223">
      <c r="A223" s="2" t="str">
        <f>IFERROR(__xludf.DUMMYFUNCTION("""COMPUTED_VALUE"""),"2025-09-01T11:22:33.813Z")</f>
        <v>2025-09-01T11:22:33.813Z</v>
      </c>
      <c r="B223" s="2" t="str">
        <f>IFERROR(__xludf.DUMMYFUNCTION("""COMPUTED_VALUE"""),"2025-09-01T17:08:01.406+08")</f>
        <v>2025-09-01T17:08:01.406+08</v>
      </c>
      <c r="C223" s="2" t="str">
        <f>IFERROR(__xludf.DUMMYFUNCTION("""COMPUTED_VALUE"""),"2025-09-01T17:15:55.944+08")</f>
        <v>2025-09-01T17:15:55.944+08</v>
      </c>
      <c r="D223" s="2" t="str">
        <f>IFERROR(__xludf.DUMMYFUNCTION("""COMPUTED_VALUE"""),"H019575022")</f>
        <v>H019575022</v>
      </c>
      <c r="E223" s="2">
        <f>IFERROR(__xludf.DUMMYFUNCTION("""COMPUTED_VALUE"""),841329.0)</f>
        <v>841329</v>
      </c>
      <c r="F223" s="2" t="str">
        <f>IFERROR(__xludf.DUMMYFUNCTION("""COMPUTED_VALUE"""),"Aila Eli")</f>
        <v>Aila Eli</v>
      </c>
      <c r="G223" s="2"/>
      <c r="H223" s="2"/>
      <c r="I223" s="2" t="str">
        <f>IFERROR(__xludf.DUMMYFUNCTION("""COMPUTED_VALUE"""),"ICM_Business_linked_launch")</f>
        <v>ICM_Business_linked_launch</v>
      </c>
      <c r="J223" s="2" t="str">
        <f>IFERROR(__xludf.DUMMYFUNCTION("""COMPUTED_VALUE"""),"uuid:6365a5a4-5f6d-4e3a-8d6f-84381afaa1bf")</f>
        <v>uuid:6365a5a4-5f6d-4e3a-8d6f-84381afaa1bf</v>
      </c>
    </row>
    <row r="224">
      <c r="A224" s="2" t="str">
        <f>IFERROR(__xludf.DUMMYFUNCTION("""COMPUTED_VALUE"""),"2025-09-02T10:03:30.430Z")</f>
        <v>2025-09-02T10:03:30.430Z</v>
      </c>
      <c r="B224" s="2" t="str">
        <f>IFERROR(__xludf.DUMMYFUNCTION("""COMPUTED_VALUE"""),"2025-09-02T14:48:41.834+08")</f>
        <v>2025-09-02T14:48:41.834+08</v>
      </c>
      <c r="C224" s="2" t="str">
        <f>IFERROR(__xludf.DUMMYFUNCTION("""COMPUTED_VALUE"""),"2025-09-02T14:53:25.842+08")</f>
        <v>2025-09-02T14:53:25.842+08</v>
      </c>
      <c r="D224" s="2" t="str">
        <f>IFERROR(__xludf.DUMMYFUNCTION("""COMPUTED_VALUE"""),"H019412017")</f>
        <v>H019412017</v>
      </c>
      <c r="E224" s="2">
        <f>IFERROR(__xludf.DUMMYFUNCTION("""COMPUTED_VALUE"""),859767.0)</f>
        <v>859767</v>
      </c>
      <c r="F224" s="2" t="str">
        <f>IFERROR(__xludf.DUMMYFUNCTION("""COMPUTED_VALUE"""),"Ramie De Pedro Jr._2")</f>
        <v>Ramie De Pedro Jr._2</v>
      </c>
      <c r="G224" s="2"/>
      <c r="H224" s="2"/>
      <c r="I224" s="2" t="str">
        <f>IFERROR(__xludf.DUMMYFUNCTION("""COMPUTED_VALUE"""),"ICM_Business_linked_launch")</f>
        <v>ICM_Business_linked_launch</v>
      </c>
      <c r="J224" s="2" t="str">
        <f>IFERROR(__xludf.DUMMYFUNCTION("""COMPUTED_VALUE"""),"uuid:31938399-613e-4c82-8f8a-5a46470bec92")</f>
        <v>uuid:31938399-613e-4c82-8f8a-5a46470bec92</v>
      </c>
    </row>
    <row r="225">
      <c r="A225" s="2" t="str">
        <f>IFERROR(__xludf.DUMMYFUNCTION("""COMPUTED_VALUE"""),"2025-09-02T10:03:29.925Z")</f>
        <v>2025-09-02T10:03:29.925Z</v>
      </c>
      <c r="B225" s="2" t="str">
        <f>IFERROR(__xludf.DUMMYFUNCTION("""COMPUTED_VALUE"""),"2025-09-02T10:36:49.629+08")</f>
        <v>2025-09-02T10:36:49.629+08</v>
      </c>
      <c r="C225" s="2" t="str">
        <f>IFERROR(__xludf.DUMMYFUNCTION("""COMPUTED_VALUE"""),"2025-09-02T10:47:03.572+08")</f>
        <v>2025-09-02T10:47:03.572+08</v>
      </c>
      <c r="D225" s="2" t="str">
        <f>IFERROR(__xludf.DUMMYFUNCTION("""COMPUTED_VALUE"""),"H019412020")</f>
        <v>H019412020</v>
      </c>
      <c r="E225" s="2">
        <f>IFERROR(__xludf.DUMMYFUNCTION("""COMPUTED_VALUE"""),859767.0)</f>
        <v>859767</v>
      </c>
      <c r="F225" s="2" t="str">
        <f>IFERROR(__xludf.DUMMYFUNCTION("""COMPUTED_VALUE"""),"Ramie De Pedro Jr._2")</f>
        <v>Ramie De Pedro Jr._2</v>
      </c>
      <c r="G225" s="2"/>
      <c r="H225" s="2"/>
      <c r="I225" s="2" t="str">
        <f>IFERROR(__xludf.DUMMYFUNCTION("""COMPUTED_VALUE"""),"ICM_Business_linked_launch")</f>
        <v>ICM_Business_linked_launch</v>
      </c>
      <c r="J225" s="2" t="str">
        <f>IFERROR(__xludf.DUMMYFUNCTION("""COMPUTED_VALUE"""),"uuid:7a0ef0a4-9cc3-46d3-81ea-d90d15ddda32")</f>
        <v>uuid:7a0ef0a4-9cc3-46d3-81ea-d90d15ddda32</v>
      </c>
    </row>
    <row r="226">
      <c r="A226" s="2" t="str">
        <f>IFERROR(__xludf.DUMMYFUNCTION("""COMPUTED_VALUE"""),"2025-09-02T10:03:32.214Z")</f>
        <v>2025-09-02T10:03:32.214Z</v>
      </c>
      <c r="B226" s="2" t="str">
        <f>IFERROR(__xludf.DUMMYFUNCTION("""COMPUTED_VALUE"""),"2025-09-02T12:29:38.438+08")</f>
        <v>2025-09-02T12:29:38.438+08</v>
      </c>
      <c r="C226" s="2" t="str">
        <f>IFERROR(__xludf.DUMMYFUNCTION("""COMPUTED_VALUE"""),"2025-09-02T12:45:37.694+08")</f>
        <v>2025-09-02T12:45:37.694+08</v>
      </c>
      <c r="D226" s="2" t="str">
        <f>IFERROR(__xludf.DUMMYFUNCTION("""COMPUTED_VALUE"""),"H019412019")</f>
        <v>H019412019</v>
      </c>
      <c r="E226" s="2">
        <f>IFERROR(__xludf.DUMMYFUNCTION("""COMPUTED_VALUE"""),859767.0)</f>
        <v>859767</v>
      </c>
      <c r="F226" s="2" t="str">
        <f>IFERROR(__xludf.DUMMYFUNCTION("""COMPUTED_VALUE"""),"Ramie De Pedro Jr._2")</f>
        <v>Ramie De Pedro Jr._2</v>
      </c>
      <c r="G226" s="2"/>
      <c r="H226" s="2"/>
      <c r="I226" s="2" t="str">
        <f>IFERROR(__xludf.DUMMYFUNCTION("""COMPUTED_VALUE"""),"ICM_Business_linked_launch")</f>
        <v>ICM_Business_linked_launch</v>
      </c>
      <c r="J226" s="2" t="str">
        <f>IFERROR(__xludf.DUMMYFUNCTION("""COMPUTED_VALUE"""),"uuid:03d92a9f-d9aa-4cec-b40d-5816e1d3d09f")</f>
        <v>uuid:03d92a9f-d9aa-4cec-b40d-5816e1d3d09f</v>
      </c>
    </row>
    <row r="227">
      <c r="A227" s="2" t="str">
        <f>IFERROR(__xludf.DUMMYFUNCTION("""COMPUTED_VALUE"""),"2025-09-02T10:03:31.703Z")</f>
        <v>2025-09-02T10:03:31.703Z</v>
      </c>
      <c r="B227" s="2" t="str">
        <f>IFERROR(__xludf.DUMMYFUNCTION("""COMPUTED_VALUE"""),"2025-09-02T14:58:26.996+08")</f>
        <v>2025-09-02T14:58:26.996+08</v>
      </c>
      <c r="C227" s="2" t="str">
        <f>IFERROR(__xludf.DUMMYFUNCTION("""COMPUTED_VALUE"""),"2025-09-02T15:01:43.627+08")</f>
        <v>2025-09-02T15:01:43.627+08</v>
      </c>
      <c r="D227" s="2" t="str">
        <f>IFERROR(__xludf.DUMMYFUNCTION("""COMPUTED_VALUE"""),"H019412018")</f>
        <v>H019412018</v>
      </c>
      <c r="E227" s="2">
        <f>IFERROR(__xludf.DUMMYFUNCTION("""COMPUTED_VALUE"""),859767.0)</f>
        <v>859767</v>
      </c>
      <c r="F227" s="2" t="str">
        <f>IFERROR(__xludf.DUMMYFUNCTION("""COMPUTED_VALUE"""),"Ramie De Pedro Jr._2")</f>
        <v>Ramie De Pedro Jr._2</v>
      </c>
      <c r="G227" s="2"/>
      <c r="H227" s="2"/>
      <c r="I227" s="2" t="str">
        <f>IFERROR(__xludf.DUMMYFUNCTION("""COMPUTED_VALUE"""),"ICM_Business_linked_launch")</f>
        <v>ICM_Business_linked_launch</v>
      </c>
      <c r="J227" s="2" t="str">
        <f>IFERROR(__xludf.DUMMYFUNCTION("""COMPUTED_VALUE"""),"uuid:d59f99d4-8180-4bd2-a6fb-ec56fc5527de")</f>
        <v>uuid:d59f99d4-8180-4bd2-a6fb-ec56fc5527de</v>
      </c>
    </row>
    <row r="228">
      <c r="A228" s="2" t="str">
        <f>IFERROR(__xludf.DUMMYFUNCTION("""COMPUTED_VALUE"""),"2025-09-02T10:03:32.675Z")</f>
        <v>2025-09-02T10:03:32.675Z</v>
      </c>
      <c r="B228" s="2" t="str">
        <f>IFERROR(__xludf.DUMMYFUNCTION("""COMPUTED_VALUE"""),"2025-09-02T16:09:53.931+08")</f>
        <v>2025-09-02T16:09:53.931+08</v>
      </c>
      <c r="C228" s="2" t="str">
        <f>IFERROR(__xludf.DUMMYFUNCTION("""COMPUTED_VALUE"""),"2025-09-02T16:15:19.282+08")</f>
        <v>2025-09-02T16:15:19.282+08</v>
      </c>
      <c r="D228" s="2" t="str">
        <f>IFERROR(__xludf.DUMMYFUNCTION("""COMPUTED_VALUE"""),"H019412016")</f>
        <v>H019412016</v>
      </c>
      <c r="E228" s="2">
        <f>IFERROR(__xludf.DUMMYFUNCTION("""COMPUTED_VALUE"""),859767.0)</f>
        <v>859767</v>
      </c>
      <c r="F228" s="2" t="str">
        <f>IFERROR(__xludf.DUMMYFUNCTION("""COMPUTED_VALUE"""),"Ramie De Pedro Jr._2")</f>
        <v>Ramie De Pedro Jr._2</v>
      </c>
      <c r="G228" s="2"/>
      <c r="H228" s="2"/>
      <c r="I228" s="2" t="str">
        <f>IFERROR(__xludf.DUMMYFUNCTION("""COMPUTED_VALUE"""),"ICM_Business_linked_launch")</f>
        <v>ICM_Business_linked_launch</v>
      </c>
      <c r="J228" s="2" t="str">
        <f>IFERROR(__xludf.DUMMYFUNCTION("""COMPUTED_VALUE"""),"uuid:c44c51c1-7792-4763-9e0d-8682243f8ae4")</f>
        <v>uuid:c44c51c1-7792-4763-9e0d-8682243f8ae4</v>
      </c>
    </row>
    <row r="229">
      <c r="A229" s="2" t="str">
        <f>IFERROR(__xludf.DUMMYFUNCTION("""COMPUTED_VALUE"""),"2025-09-02T10:16:39.898Z")</f>
        <v>2025-09-02T10:16:39.898Z</v>
      </c>
      <c r="B229" s="2" t="str">
        <f>IFERROR(__xludf.DUMMYFUNCTION("""COMPUTED_VALUE"""),"2025-09-02T09:28:19.891+08")</f>
        <v>2025-09-02T09:28:19.891+08</v>
      </c>
      <c r="C229" s="2" t="str">
        <f>IFERROR(__xludf.DUMMYFUNCTION("""COMPUTED_VALUE"""),"2025-09-02T09:34:22.711+08")</f>
        <v>2025-09-02T09:34:22.711+08</v>
      </c>
      <c r="D229" s="2" t="str">
        <f>IFERROR(__xludf.DUMMYFUNCTION("""COMPUTED_VALUE"""),"H030535026")</f>
        <v>H030535026</v>
      </c>
      <c r="E229" s="2" t="str">
        <f>IFERROR(__xludf.DUMMYFUNCTION("""COMPUTED_VALUE"""),"C7502931")</f>
        <v>C7502931</v>
      </c>
      <c r="F229" s="2" t="str">
        <f>IFERROR(__xludf.DUMMYFUNCTION("""COMPUTED_VALUE"""),"Jenny Lou Toles Estacio")</f>
        <v>Jenny Lou Toles Estacio</v>
      </c>
      <c r="G229" s="2"/>
      <c r="H229" s="2"/>
      <c r="I229" s="2" t="str">
        <f>IFERROR(__xludf.DUMMYFUNCTION("""COMPUTED_VALUE"""),"ICM_Business_linked_launch")</f>
        <v>ICM_Business_linked_launch</v>
      </c>
      <c r="J229" s="2" t="str">
        <f>IFERROR(__xludf.DUMMYFUNCTION("""COMPUTED_VALUE"""),"uuid:433dcf32-2bb8-460b-abb4-3ccbc3009bb3")</f>
        <v>uuid:433dcf32-2bb8-460b-abb4-3ccbc3009bb3</v>
      </c>
    </row>
    <row r="230">
      <c r="A230" s="2" t="str">
        <f>IFERROR(__xludf.DUMMYFUNCTION("""COMPUTED_VALUE"""),"2025-09-02T10:16:42.230Z")</f>
        <v>2025-09-02T10:16:42.230Z</v>
      </c>
      <c r="B230" s="2" t="str">
        <f>IFERROR(__xludf.DUMMYFUNCTION("""COMPUTED_VALUE"""),"2025-09-02T10:38:34.511+08")</f>
        <v>2025-09-02T10:38:34.511+08</v>
      </c>
      <c r="C230" s="2" t="str">
        <f>IFERROR(__xludf.DUMMYFUNCTION("""COMPUTED_VALUE"""),"2025-09-02T14:09:55.054+08")</f>
        <v>2025-09-02T14:09:55.054+08</v>
      </c>
      <c r="D230" s="2" t="str">
        <f>IFERROR(__xludf.DUMMYFUNCTION("""COMPUTED_VALUE"""),"H030535027")</f>
        <v>H030535027</v>
      </c>
      <c r="E230" s="2" t="str">
        <f>IFERROR(__xludf.DUMMYFUNCTION("""COMPUTED_VALUE"""),"C7502931")</f>
        <v>C7502931</v>
      </c>
      <c r="F230" s="2" t="str">
        <f>IFERROR(__xludf.DUMMYFUNCTION("""COMPUTED_VALUE"""),"Jenny Lou Toles Estacio")</f>
        <v>Jenny Lou Toles Estacio</v>
      </c>
      <c r="G230" s="2"/>
      <c r="H230" s="2"/>
      <c r="I230" s="2" t="str">
        <f>IFERROR(__xludf.DUMMYFUNCTION("""COMPUTED_VALUE"""),"ICM_Business_linked_launch")</f>
        <v>ICM_Business_linked_launch</v>
      </c>
      <c r="J230" s="2" t="str">
        <f>IFERROR(__xludf.DUMMYFUNCTION("""COMPUTED_VALUE"""),"uuid:d77d44e9-7678-4631-9819-61b48fc63bc6")</f>
        <v>uuid:d77d44e9-7678-4631-9819-61b48fc63bc6</v>
      </c>
    </row>
    <row r="231">
      <c r="A231" s="2" t="str">
        <f>IFERROR(__xludf.DUMMYFUNCTION("""COMPUTED_VALUE"""),"2025-09-02T10:16:43.049Z")</f>
        <v>2025-09-02T10:16:43.049Z</v>
      </c>
      <c r="B231" s="2" t="str">
        <f>IFERROR(__xludf.DUMMYFUNCTION("""COMPUTED_VALUE"""),"2025-09-02T11:50:36.088+08")</f>
        <v>2025-09-02T11:50:36.088+08</v>
      </c>
      <c r="C231" s="2" t="str">
        <f>IFERROR(__xludf.DUMMYFUNCTION("""COMPUTED_VALUE"""),"2025-09-02T18:14:46.903+08")</f>
        <v>2025-09-02T18:14:46.903+08</v>
      </c>
      <c r="D231" s="2" t="str">
        <f>IFERROR(__xludf.DUMMYFUNCTION("""COMPUTED_VALUE"""),"H030535035")</f>
        <v>H030535035</v>
      </c>
      <c r="E231" s="2" t="str">
        <f>IFERROR(__xludf.DUMMYFUNCTION("""COMPUTED_VALUE"""),"C7502931")</f>
        <v>C7502931</v>
      </c>
      <c r="F231" s="2" t="str">
        <f>IFERROR(__xludf.DUMMYFUNCTION("""COMPUTED_VALUE"""),"Jenny Lou Toles Estacio")</f>
        <v>Jenny Lou Toles Estacio</v>
      </c>
      <c r="G231" s="2"/>
      <c r="H231" s="2"/>
      <c r="I231" s="2" t="str">
        <f>IFERROR(__xludf.DUMMYFUNCTION("""COMPUTED_VALUE"""),"ICM_Business_linked_launch")</f>
        <v>ICM_Business_linked_launch</v>
      </c>
      <c r="J231" s="2" t="str">
        <f>IFERROR(__xludf.DUMMYFUNCTION("""COMPUTED_VALUE"""),"uuid:5d33c0dc-cc77-40e8-90dc-458fe2985689")</f>
        <v>uuid:5d33c0dc-cc77-40e8-90dc-458fe2985689</v>
      </c>
    </row>
    <row r="232">
      <c r="A232" s="2" t="str">
        <f>IFERROR(__xludf.DUMMYFUNCTION("""COMPUTED_VALUE"""),"2025-09-02T10:38:04.964Z")</f>
        <v>2025-09-02T10:38:04.964Z</v>
      </c>
      <c r="B232" s="2" t="str">
        <f>IFERROR(__xludf.DUMMYFUNCTION("""COMPUTED_VALUE"""),"2025-09-02T11:50:21.786+08")</f>
        <v>2025-09-02T11:50:21.786+08</v>
      </c>
      <c r="C232" s="2" t="str">
        <f>IFERROR(__xludf.DUMMYFUNCTION("""COMPUTED_VALUE"""),"2025-09-02T12:32:10.619+08")</f>
        <v>2025-09-02T12:32:10.619+08</v>
      </c>
      <c r="D232" s="2" t="str">
        <f>IFERROR(__xludf.DUMMYFUNCTION("""COMPUTED_VALUE"""),"H030517024")</f>
        <v>H030517024</v>
      </c>
      <c r="E232" s="2" t="str">
        <f>IFERROR(__xludf.DUMMYFUNCTION("""COMPUTED_VALUE"""),"B8193462")</f>
        <v>B8193462</v>
      </c>
      <c r="F232" s="2" t="str">
        <f>IFERROR(__xludf.DUMMYFUNCTION("""COMPUTED_VALUE"""),"Mark Lorens Mendoza Gilongo")</f>
        <v>Mark Lorens Mendoza Gilongo</v>
      </c>
      <c r="G232" s="2"/>
      <c r="H232" s="2"/>
      <c r="I232" s="2" t="str">
        <f>IFERROR(__xludf.DUMMYFUNCTION("""COMPUTED_VALUE"""),"ICM_Business_linked_launch")</f>
        <v>ICM_Business_linked_launch</v>
      </c>
      <c r="J232" s="2" t="str">
        <f>IFERROR(__xludf.DUMMYFUNCTION("""COMPUTED_VALUE"""),"uuid:273dcdf4-c8f1-470b-8a4b-3b7db5f86144")</f>
        <v>uuid:273dcdf4-c8f1-470b-8a4b-3b7db5f86144</v>
      </c>
    </row>
    <row r="233">
      <c r="A233" s="2" t="str">
        <f>IFERROR(__xludf.DUMMYFUNCTION("""COMPUTED_VALUE"""),"2025-09-02T10:38:07.597Z")</f>
        <v>2025-09-02T10:38:07.597Z</v>
      </c>
      <c r="B233" s="2" t="str">
        <f>IFERROR(__xludf.DUMMYFUNCTION("""COMPUTED_VALUE"""),"2025-09-02T15:09:27.106+08")</f>
        <v>2025-09-02T15:09:27.106+08</v>
      </c>
      <c r="C233" s="2" t="str">
        <f>IFERROR(__xludf.DUMMYFUNCTION("""COMPUTED_VALUE"""),"2025-09-02T16:52:41.001+08")</f>
        <v>2025-09-02T16:52:41.001+08</v>
      </c>
      <c r="D233" s="2" t="str">
        <f>IFERROR(__xludf.DUMMYFUNCTION("""COMPUTED_VALUE"""),"H030517031")</f>
        <v>H030517031</v>
      </c>
      <c r="E233" s="2" t="str">
        <f>IFERROR(__xludf.DUMMYFUNCTION("""COMPUTED_VALUE"""),"B8193462")</f>
        <v>B8193462</v>
      </c>
      <c r="F233" s="2" t="str">
        <f>IFERROR(__xludf.DUMMYFUNCTION("""COMPUTED_VALUE"""),"Mark Lorens Mendoza Gilongo")</f>
        <v>Mark Lorens Mendoza Gilongo</v>
      </c>
      <c r="G233" s="2"/>
      <c r="H233" s="2"/>
      <c r="I233" s="2" t="str">
        <f>IFERROR(__xludf.DUMMYFUNCTION("""COMPUTED_VALUE"""),"ICM_Business_linked_launch")</f>
        <v>ICM_Business_linked_launch</v>
      </c>
      <c r="J233" s="2" t="str">
        <f>IFERROR(__xludf.DUMMYFUNCTION("""COMPUTED_VALUE"""),"uuid:b676ef07-25f2-4af7-93b1-0c9739041622")</f>
        <v>uuid:b676ef07-25f2-4af7-93b1-0c9739041622</v>
      </c>
    </row>
    <row r="234">
      <c r="A234" s="2" t="str">
        <f>IFERROR(__xludf.DUMMYFUNCTION("""COMPUTED_VALUE"""),"2025-09-02T10:38:29.364Z")</f>
        <v>2025-09-02T10:38:29.364Z</v>
      </c>
      <c r="B234" s="2" t="str">
        <f>IFERROR(__xludf.DUMMYFUNCTION("""COMPUTED_VALUE"""),"2025-09-02T10:22:07.646+08")</f>
        <v>2025-09-02T10:22:07.646+08</v>
      </c>
      <c r="C234" s="2" t="str">
        <f>IFERROR(__xludf.DUMMYFUNCTION("""COMPUTED_VALUE"""),"2025-09-02T11:23:01.537+08")</f>
        <v>2025-09-02T11:23:01.537+08</v>
      </c>
      <c r="D234" s="2" t="str">
        <f>IFERROR(__xludf.DUMMYFUNCTION("""COMPUTED_VALUE"""),"H030647028")</f>
        <v>H030647028</v>
      </c>
      <c r="E234" s="2" t="str">
        <f>IFERROR(__xludf.DUMMYFUNCTION("""COMPUTED_VALUE"""),"F3051749")</f>
        <v>F3051749</v>
      </c>
      <c r="F234" s="2" t="str">
        <f>IFERROR(__xludf.DUMMYFUNCTION("""COMPUTED_VALUE"""),"Elenita Gicos De La Pe�a")</f>
        <v>Elenita Gicos De La Pe�a</v>
      </c>
      <c r="G234" s="2"/>
      <c r="H234" s="2"/>
      <c r="I234" s="2" t="str">
        <f>IFERROR(__xludf.DUMMYFUNCTION("""COMPUTED_VALUE"""),"ICM_Business_linked_launch")</f>
        <v>ICM_Business_linked_launch</v>
      </c>
      <c r="J234" s="2" t="str">
        <f>IFERROR(__xludf.DUMMYFUNCTION("""COMPUTED_VALUE"""),"uuid:99676616-b74f-4917-8371-77de26941d4b")</f>
        <v>uuid:99676616-b74f-4917-8371-77de26941d4b</v>
      </c>
    </row>
    <row r="235">
      <c r="A235" s="2" t="str">
        <f>IFERROR(__xludf.DUMMYFUNCTION("""COMPUTED_VALUE"""),"2025-09-02T10:38:30.395Z")</f>
        <v>2025-09-02T10:38:30.395Z</v>
      </c>
      <c r="B235" s="2" t="str">
        <f>IFERROR(__xludf.DUMMYFUNCTION("""COMPUTED_VALUE"""),"2025-09-02T12:58:39.925+08")</f>
        <v>2025-09-02T12:58:39.925+08</v>
      </c>
      <c r="C235" s="2" t="str">
        <f>IFERROR(__xludf.DUMMYFUNCTION("""COMPUTED_VALUE"""),"2025-09-02T13:33:28.420+08")</f>
        <v>2025-09-02T13:33:28.420+08</v>
      </c>
      <c r="D235" s="2" t="str">
        <f>IFERROR(__xludf.DUMMYFUNCTION("""COMPUTED_VALUE"""),"H030647025")</f>
        <v>H030647025</v>
      </c>
      <c r="E235" s="2" t="str">
        <f>IFERROR(__xludf.DUMMYFUNCTION("""COMPUTED_VALUE"""),"F3051749")</f>
        <v>F3051749</v>
      </c>
      <c r="F235" s="2" t="str">
        <f>IFERROR(__xludf.DUMMYFUNCTION("""COMPUTED_VALUE"""),"Elenita Gicos De La Pe�a")</f>
        <v>Elenita Gicos De La Pe�a</v>
      </c>
      <c r="G235" s="2"/>
      <c r="H235" s="2"/>
      <c r="I235" s="2" t="str">
        <f>IFERROR(__xludf.DUMMYFUNCTION("""COMPUTED_VALUE"""),"ICM_Business_linked_launch")</f>
        <v>ICM_Business_linked_launch</v>
      </c>
      <c r="J235" s="2" t="str">
        <f>IFERROR(__xludf.DUMMYFUNCTION("""COMPUTED_VALUE"""),"uuid:2657348c-03a5-4644-8afe-265e023b501b")</f>
        <v>uuid:2657348c-03a5-4644-8afe-265e023b501b</v>
      </c>
    </row>
    <row r="236">
      <c r="A236" s="2" t="str">
        <f>IFERROR(__xludf.DUMMYFUNCTION("""COMPUTED_VALUE"""),"2025-09-02T10:38:31.377Z")</f>
        <v>2025-09-02T10:38:31.377Z</v>
      </c>
      <c r="B236" s="2" t="str">
        <f>IFERROR(__xludf.DUMMYFUNCTION("""COMPUTED_VALUE"""),"2025-09-02T16:42:35.688+08")</f>
        <v>2025-09-02T16:42:35.688+08</v>
      </c>
      <c r="C236" s="2" t="str">
        <f>IFERROR(__xludf.DUMMYFUNCTION("""COMPUTED_VALUE"""),"2025-09-02T16:48:21.607+08")</f>
        <v>2025-09-02T16:48:21.607+08</v>
      </c>
      <c r="D236" s="2" t="str">
        <f>IFERROR(__xludf.DUMMYFUNCTION("""COMPUTED_VALUE"""),"H030647033")</f>
        <v>H030647033</v>
      </c>
      <c r="E236" s="2" t="str">
        <f>IFERROR(__xludf.DUMMYFUNCTION("""COMPUTED_VALUE"""),"F3051749")</f>
        <v>F3051749</v>
      </c>
      <c r="F236" s="2" t="str">
        <f>IFERROR(__xludf.DUMMYFUNCTION("""COMPUTED_VALUE"""),"Elenita Gicos De La Pe�a")</f>
        <v>Elenita Gicos De La Pe�a</v>
      </c>
      <c r="G236" s="2"/>
      <c r="H236" s="2"/>
      <c r="I236" s="2" t="str">
        <f>IFERROR(__xludf.DUMMYFUNCTION("""COMPUTED_VALUE"""),"ICM_Business_linked_launch")</f>
        <v>ICM_Business_linked_launch</v>
      </c>
      <c r="J236" s="2" t="str">
        <f>IFERROR(__xludf.DUMMYFUNCTION("""COMPUTED_VALUE"""),"uuid:d427010f-015a-430a-8902-49cd2045ab97")</f>
        <v>uuid:d427010f-015a-430a-8902-49cd2045ab97</v>
      </c>
    </row>
    <row r="237">
      <c r="A237" s="2" t="str">
        <f>IFERROR(__xludf.DUMMYFUNCTION("""COMPUTED_VALUE"""),"2025-09-02T10:38:41.857Z")</f>
        <v>2025-09-02T10:38:41.857Z</v>
      </c>
      <c r="B237" s="2" t="str">
        <f>IFERROR(__xludf.DUMMYFUNCTION("""COMPUTED_VALUE"""),"2025-09-02T10:07:48.882+08")</f>
        <v>2025-09-02T10:07:48.882+08</v>
      </c>
      <c r="C237" s="2" t="str">
        <f>IFERROR(__xludf.DUMMYFUNCTION("""COMPUTED_VALUE"""),"2025-09-02T10:18:12.003+08")</f>
        <v>2025-09-02T10:18:12.003+08</v>
      </c>
      <c r="D237" s="2" t="str">
        <f>IFERROR(__xludf.DUMMYFUNCTION("""COMPUTED_VALUE"""),"H030647026")</f>
        <v>H030647026</v>
      </c>
      <c r="E237" s="2" t="str">
        <f>IFERROR(__xludf.DUMMYFUNCTION("""COMPUTED_VALUE"""),"G5472901")</f>
        <v>G5472901</v>
      </c>
      <c r="F237" s="2" t="str">
        <f>IFERROR(__xludf.DUMMYFUNCTION("""COMPUTED_VALUE"""),"Wellyn Grace Alaban Parcia")</f>
        <v>Wellyn Grace Alaban Parcia</v>
      </c>
      <c r="G237" s="2"/>
      <c r="H237" s="2"/>
      <c r="I237" s="2" t="str">
        <f>IFERROR(__xludf.DUMMYFUNCTION("""COMPUTED_VALUE"""),"ICM_Business_linked_launch")</f>
        <v>ICM_Business_linked_launch</v>
      </c>
      <c r="J237" s="2" t="str">
        <f>IFERROR(__xludf.DUMMYFUNCTION("""COMPUTED_VALUE"""),"uuid:fa4ae0ba-dd2e-4228-800f-b4a44588aca7")</f>
        <v>uuid:fa4ae0ba-dd2e-4228-800f-b4a44588aca7</v>
      </c>
    </row>
    <row r="238">
      <c r="A238" s="2" t="str">
        <f>IFERROR(__xludf.DUMMYFUNCTION("""COMPUTED_VALUE"""),"2025-09-02T10:38:43.160Z")</f>
        <v>2025-09-02T10:38:43.160Z</v>
      </c>
      <c r="B238" s="2" t="str">
        <f>IFERROR(__xludf.DUMMYFUNCTION("""COMPUTED_VALUE"""),"2025-09-02T11:56:09.636+08")</f>
        <v>2025-09-02T11:56:09.636+08</v>
      </c>
      <c r="C238" s="2" t="str">
        <f>IFERROR(__xludf.DUMMYFUNCTION("""COMPUTED_VALUE"""),"2025-09-02T12:47:36.293+08")</f>
        <v>2025-09-02T12:47:36.293+08</v>
      </c>
      <c r="D238" s="2" t="str">
        <f>IFERROR(__xludf.DUMMYFUNCTION("""COMPUTED_VALUE"""),"H030647027")</f>
        <v>H030647027</v>
      </c>
      <c r="E238" s="2" t="str">
        <f>IFERROR(__xludf.DUMMYFUNCTION("""COMPUTED_VALUE"""),"G5472901")</f>
        <v>G5472901</v>
      </c>
      <c r="F238" s="2" t="str">
        <f>IFERROR(__xludf.DUMMYFUNCTION("""COMPUTED_VALUE"""),"Wellyn Grace Alaban Parcia")</f>
        <v>Wellyn Grace Alaban Parcia</v>
      </c>
      <c r="G238" s="2"/>
      <c r="H238" s="2"/>
      <c r="I238" s="2" t="str">
        <f>IFERROR(__xludf.DUMMYFUNCTION("""COMPUTED_VALUE"""),"ICM_Business_linked_launch")</f>
        <v>ICM_Business_linked_launch</v>
      </c>
      <c r="J238" s="2" t="str">
        <f>IFERROR(__xludf.DUMMYFUNCTION("""COMPUTED_VALUE"""),"uuid:cb0b0c2e-a55a-4fe8-acb6-e7635b54b083")</f>
        <v>uuid:cb0b0c2e-a55a-4fe8-acb6-e7635b54b083</v>
      </c>
    </row>
    <row r="239">
      <c r="A239" s="2" t="str">
        <f>IFERROR(__xludf.DUMMYFUNCTION("""COMPUTED_VALUE"""),"2025-09-02T10:38:43.642Z")</f>
        <v>2025-09-02T10:38:43.642Z</v>
      </c>
      <c r="B239" s="2" t="str">
        <f>IFERROR(__xludf.DUMMYFUNCTION("""COMPUTED_VALUE"""),"2025-09-02T15:03:14.821+08")</f>
        <v>2025-09-02T15:03:14.821+08</v>
      </c>
      <c r="C239" s="2" t="str">
        <f>IFERROR(__xludf.DUMMYFUNCTION("""COMPUTED_VALUE"""),"2025-09-02T15:07:56.614+08")</f>
        <v>2025-09-02T15:07:56.614+08</v>
      </c>
      <c r="D239" s="2" t="str">
        <f>IFERROR(__xludf.DUMMYFUNCTION("""COMPUTED_VALUE"""),"H030647023")</f>
        <v>H030647023</v>
      </c>
      <c r="E239" s="2" t="str">
        <f>IFERROR(__xludf.DUMMYFUNCTION("""COMPUTED_VALUE"""),"G5472901")</f>
        <v>G5472901</v>
      </c>
      <c r="F239" s="2" t="str">
        <f>IFERROR(__xludf.DUMMYFUNCTION("""COMPUTED_VALUE"""),"Wellyn Grace Alaban Parcia")</f>
        <v>Wellyn Grace Alaban Parcia</v>
      </c>
      <c r="G239" s="2"/>
      <c r="H239" s="2"/>
      <c r="I239" s="2" t="str">
        <f>IFERROR(__xludf.DUMMYFUNCTION("""COMPUTED_VALUE"""),"ICM_Business_linked_launch")</f>
        <v>ICM_Business_linked_launch</v>
      </c>
      <c r="J239" s="2" t="str">
        <f>IFERROR(__xludf.DUMMYFUNCTION("""COMPUTED_VALUE"""),"uuid:10929a59-fcb5-4506-a53f-8e458934f84b")</f>
        <v>uuid:10929a59-fcb5-4506-a53f-8e458934f84b</v>
      </c>
    </row>
    <row r="240">
      <c r="A240" s="2" t="str">
        <f>IFERROR(__xludf.DUMMYFUNCTION("""COMPUTED_VALUE"""),"2025-09-02T10:38:44.952Z")</f>
        <v>2025-09-02T10:38:44.952Z</v>
      </c>
      <c r="B240" s="2" t="str">
        <f>IFERROR(__xludf.DUMMYFUNCTION("""COMPUTED_VALUE"""),"2025-09-02T17:40:38.836+08")</f>
        <v>2025-09-02T17:40:38.836+08</v>
      </c>
      <c r="C240" s="2" t="str">
        <f>IFERROR(__xludf.DUMMYFUNCTION("""COMPUTED_VALUE"""),"2025-09-02T17:48:29.464+08")</f>
        <v>2025-09-02T17:48:29.464+08</v>
      </c>
      <c r="D240" s="2" t="str">
        <f>IFERROR(__xludf.DUMMYFUNCTION("""COMPUTED_VALUE"""),"H030647021")</f>
        <v>H030647021</v>
      </c>
      <c r="E240" s="2" t="str">
        <f>IFERROR(__xludf.DUMMYFUNCTION("""COMPUTED_VALUE"""),"G5472901")</f>
        <v>G5472901</v>
      </c>
      <c r="F240" s="2" t="str">
        <f>IFERROR(__xludf.DUMMYFUNCTION("""COMPUTED_VALUE"""),"Wellyn Grace Alaban Parcia")</f>
        <v>Wellyn Grace Alaban Parcia</v>
      </c>
      <c r="G240" s="2"/>
      <c r="H240" s="2"/>
      <c r="I240" s="2" t="str">
        <f>IFERROR(__xludf.DUMMYFUNCTION("""COMPUTED_VALUE"""),"ICM_Business_linked_launch")</f>
        <v>ICM_Business_linked_launch</v>
      </c>
      <c r="J240" s="2" t="str">
        <f>IFERROR(__xludf.DUMMYFUNCTION("""COMPUTED_VALUE"""),"uuid:b0567528-3c2f-4a3c-9474-adce737b270a")</f>
        <v>uuid:b0567528-3c2f-4a3c-9474-adce737b270a</v>
      </c>
    </row>
    <row r="241">
      <c r="A241" s="2" t="str">
        <f>IFERROR(__xludf.DUMMYFUNCTION("""COMPUTED_VALUE"""),"2025-09-02T10:39:10.221Z")</f>
        <v>2025-09-02T10:39:10.221Z</v>
      </c>
      <c r="B241" s="2" t="str">
        <f>IFERROR(__xludf.DUMMYFUNCTION("""COMPUTED_VALUE"""),"2025-09-02T12:10:03.460+08")</f>
        <v>2025-09-02T12:10:03.460+08</v>
      </c>
      <c r="C241" s="2" t="str">
        <f>IFERROR(__xludf.DUMMYFUNCTION("""COMPUTED_VALUE"""),"2025-09-02T12:22:50.443+08")</f>
        <v>2025-09-02T12:22:50.443+08</v>
      </c>
      <c r="D241" s="2" t="str">
        <f>IFERROR(__xludf.DUMMYFUNCTION("""COMPUTED_VALUE"""),"H030517027")</f>
        <v>H030517027</v>
      </c>
      <c r="E241" s="2" t="str">
        <f>IFERROR(__xludf.DUMMYFUNCTION("""COMPUTED_VALUE"""),"D1284067")</f>
        <v>D1284067</v>
      </c>
      <c r="F241" s="2" t="str">
        <f>IFERROR(__xludf.DUMMYFUNCTION("""COMPUTED_VALUE"""),"Mariel Del Rio")</f>
        <v>Mariel Del Rio</v>
      </c>
      <c r="G241" s="2"/>
      <c r="H241" s="2"/>
      <c r="I241" s="2" t="str">
        <f>IFERROR(__xludf.DUMMYFUNCTION("""COMPUTED_VALUE"""),"ICM_Business_linked_launch")</f>
        <v>ICM_Business_linked_launch</v>
      </c>
      <c r="J241" s="2" t="str">
        <f>IFERROR(__xludf.DUMMYFUNCTION("""COMPUTED_VALUE"""),"uuid:4205a00c-2eb1-4579-b4a1-4c462d85d1ba")</f>
        <v>uuid:4205a00c-2eb1-4579-b4a1-4c462d85d1ba</v>
      </c>
    </row>
    <row r="242">
      <c r="A242" s="2" t="str">
        <f>IFERROR(__xludf.DUMMYFUNCTION("""COMPUTED_VALUE"""),"2025-09-02T10:39:12.901Z")</f>
        <v>2025-09-02T10:39:12.901Z</v>
      </c>
      <c r="B242" s="2" t="str">
        <f>IFERROR(__xludf.DUMMYFUNCTION("""COMPUTED_VALUE"""),"2025-09-02T14:16:27.726+08")</f>
        <v>2025-09-02T14:16:27.726+08</v>
      </c>
      <c r="C242" s="2" t="str">
        <f>IFERROR(__xludf.DUMMYFUNCTION("""COMPUTED_VALUE"""),"2025-09-02T16:49:35.137+08")</f>
        <v>2025-09-02T16:49:35.137+08</v>
      </c>
      <c r="D242" s="2" t="str">
        <f>IFERROR(__xludf.DUMMYFUNCTION("""COMPUTED_VALUE"""),"H030517034")</f>
        <v>H030517034</v>
      </c>
      <c r="E242" s="2" t="str">
        <f>IFERROR(__xludf.DUMMYFUNCTION("""COMPUTED_VALUE"""),"D1284067")</f>
        <v>D1284067</v>
      </c>
      <c r="F242" s="2" t="str">
        <f>IFERROR(__xludf.DUMMYFUNCTION("""COMPUTED_VALUE"""),"Mariel Del Rio")</f>
        <v>Mariel Del Rio</v>
      </c>
      <c r="G242" s="2"/>
      <c r="H242" s="2"/>
      <c r="I242" s="2" t="str">
        <f>IFERROR(__xludf.DUMMYFUNCTION("""COMPUTED_VALUE"""),"ICM_Business_linked_launch")</f>
        <v>ICM_Business_linked_launch</v>
      </c>
      <c r="J242" s="2" t="str">
        <f>IFERROR(__xludf.DUMMYFUNCTION("""COMPUTED_VALUE"""),"uuid:b4ee7117-5edd-4802-acb0-dbecdc77ab5b")</f>
        <v>uuid:b4ee7117-5edd-4802-acb0-dbecdc77ab5b</v>
      </c>
    </row>
    <row r="243">
      <c r="A243" s="2" t="str">
        <f>IFERROR(__xludf.DUMMYFUNCTION("""COMPUTED_VALUE"""),"2025-09-02T10:41:55.615Z")</f>
        <v>2025-09-02T10:41:55.615Z</v>
      </c>
      <c r="B243" s="2" t="str">
        <f>IFERROR(__xludf.DUMMYFUNCTION("""COMPUTED_VALUE"""),"2025-09-02T10:46:44.983+08")</f>
        <v>2025-09-02T10:46:44.983+08</v>
      </c>
      <c r="C243" s="2" t="str">
        <f>IFERROR(__xludf.DUMMYFUNCTION("""COMPUTED_VALUE"""),"2025-09-02T10:53:00.747+08")</f>
        <v>2025-09-02T10:53:00.747+08</v>
      </c>
      <c r="D243" s="2" t="str">
        <f>IFERROR(__xludf.DUMMYFUNCTION("""COMPUTED_VALUE"""),"H030535080")</f>
        <v>H030535080</v>
      </c>
      <c r="E243" s="2">
        <f>IFERROR(__xludf.DUMMYFUNCTION("""COMPUTED_VALUE"""),896791.0)</f>
        <v>896791</v>
      </c>
      <c r="F243" s="2" t="str">
        <f>IFERROR(__xludf.DUMMYFUNCTION("""COMPUTED_VALUE"""),"Roland A. Bandiola jr_2")</f>
        <v>Roland A. Bandiola jr_2</v>
      </c>
      <c r="G243" s="2"/>
      <c r="H243" s="2"/>
      <c r="I243" s="2" t="str">
        <f>IFERROR(__xludf.DUMMYFUNCTION("""COMPUTED_VALUE"""),"ICM_Business_linked_launch")</f>
        <v>ICM_Business_linked_launch</v>
      </c>
      <c r="J243" s="2" t="str">
        <f>IFERROR(__xludf.DUMMYFUNCTION("""COMPUTED_VALUE"""),"uuid:8717b0b2-ac8a-4d3c-b4f8-c2a766255c1c")</f>
        <v>uuid:8717b0b2-ac8a-4d3c-b4f8-c2a766255c1c</v>
      </c>
    </row>
    <row r="244">
      <c r="A244" s="2" t="str">
        <f>IFERROR(__xludf.DUMMYFUNCTION("""COMPUTED_VALUE"""),"2025-09-02T10:41:57.509Z")</f>
        <v>2025-09-02T10:41:57.509Z</v>
      </c>
      <c r="B244" s="2" t="str">
        <f>IFERROR(__xludf.DUMMYFUNCTION("""COMPUTED_VALUE"""),"2025-09-02T12:18:14.359+08")</f>
        <v>2025-09-02T12:18:14.359+08</v>
      </c>
      <c r="C244" s="2" t="str">
        <f>IFERROR(__xludf.DUMMYFUNCTION("""COMPUTED_VALUE"""),"2025-09-02T12:22:00.042+08")</f>
        <v>2025-09-02T12:22:00.042+08</v>
      </c>
      <c r="D244" s="2" t="str">
        <f>IFERROR(__xludf.DUMMYFUNCTION("""COMPUTED_VALUE"""),"H030535031")</f>
        <v>H030535031</v>
      </c>
      <c r="E244" s="2">
        <f>IFERROR(__xludf.DUMMYFUNCTION("""COMPUTED_VALUE"""),896791.0)</f>
        <v>896791</v>
      </c>
      <c r="F244" s="2" t="str">
        <f>IFERROR(__xludf.DUMMYFUNCTION("""COMPUTED_VALUE"""),"Roland A. Bandiola jr_2")</f>
        <v>Roland A. Bandiola jr_2</v>
      </c>
      <c r="G244" s="2"/>
      <c r="H244" s="2"/>
      <c r="I244" s="2" t="str">
        <f>IFERROR(__xludf.DUMMYFUNCTION("""COMPUTED_VALUE"""),"ICM_Business_linked_launch")</f>
        <v>ICM_Business_linked_launch</v>
      </c>
      <c r="J244" s="2" t="str">
        <f>IFERROR(__xludf.DUMMYFUNCTION("""COMPUTED_VALUE"""),"uuid:404402b5-dcaa-4f77-8076-9d9d57ead882")</f>
        <v>uuid:404402b5-dcaa-4f77-8076-9d9d57ead882</v>
      </c>
    </row>
    <row r="245">
      <c r="A245" s="2" t="str">
        <f>IFERROR(__xludf.DUMMYFUNCTION("""COMPUTED_VALUE"""),"2025-09-02T11:04:44.751Z")</f>
        <v>2025-09-02T11:04:44.751Z</v>
      </c>
      <c r="B245" s="2" t="str">
        <f>IFERROR(__xludf.DUMMYFUNCTION("""COMPUTED_VALUE"""),"2025-09-02T10:17:54.060+08")</f>
        <v>2025-09-02T10:17:54.060+08</v>
      </c>
      <c r="C245" s="2" t="str">
        <f>IFERROR(__xludf.DUMMYFUNCTION("""COMPUTED_VALUE"""),"2025-09-02T10:21:49.706+08")</f>
        <v>2025-09-02T10:21:49.706+08</v>
      </c>
      <c r="D245" s="2" t="str">
        <f>IFERROR(__xludf.DUMMYFUNCTION("""COMPUTED_VALUE"""),"H019412031")</f>
        <v>H019412031</v>
      </c>
      <c r="E245" s="2">
        <f>IFERROR(__xludf.DUMMYFUNCTION("""COMPUTED_VALUE"""),729375.0)</f>
        <v>729375</v>
      </c>
      <c r="F245" s="2" t="str">
        <f>IFERROR(__xludf.DUMMYFUNCTION("""COMPUTED_VALUE"""),"Janet Serafica_2")</f>
        <v>Janet Serafica_2</v>
      </c>
      <c r="G245" s="2"/>
      <c r="H245" s="2"/>
      <c r="I245" s="2" t="str">
        <f>IFERROR(__xludf.DUMMYFUNCTION("""COMPUTED_VALUE"""),"ICM_Business_linked_launch")</f>
        <v>ICM_Business_linked_launch</v>
      </c>
      <c r="J245" s="2" t="str">
        <f>IFERROR(__xludf.DUMMYFUNCTION("""COMPUTED_VALUE"""),"uuid:65f83001-390e-4ade-b55a-2afb3fe353ca")</f>
        <v>uuid:65f83001-390e-4ade-b55a-2afb3fe353ca</v>
      </c>
    </row>
    <row r="246">
      <c r="A246" s="2" t="str">
        <f>IFERROR(__xludf.DUMMYFUNCTION("""COMPUTED_VALUE"""),"2025-09-02T11:04:46.123Z")</f>
        <v>2025-09-02T11:04:46.123Z</v>
      </c>
      <c r="B246" s="2" t="str">
        <f>IFERROR(__xludf.DUMMYFUNCTION("""COMPUTED_VALUE"""),"2025-09-02T11:01:14.689+08")</f>
        <v>2025-09-02T11:01:14.689+08</v>
      </c>
      <c r="C246" s="2" t="str">
        <f>IFERROR(__xludf.DUMMYFUNCTION("""COMPUTED_VALUE"""),"2025-09-02T11:04:31.179+08")</f>
        <v>2025-09-02T11:04:31.179+08</v>
      </c>
      <c r="D246" s="2" t="str">
        <f>IFERROR(__xludf.DUMMYFUNCTION("""COMPUTED_VALUE"""),"H019412030")</f>
        <v>H019412030</v>
      </c>
      <c r="E246" s="2">
        <f>IFERROR(__xludf.DUMMYFUNCTION("""COMPUTED_VALUE"""),729375.0)</f>
        <v>729375</v>
      </c>
      <c r="F246" s="2" t="str">
        <f>IFERROR(__xludf.DUMMYFUNCTION("""COMPUTED_VALUE"""),"Janet Serafica_2")</f>
        <v>Janet Serafica_2</v>
      </c>
      <c r="G246" s="2"/>
      <c r="H246" s="2"/>
      <c r="I246" s="2" t="str">
        <f>IFERROR(__xludf.DUMMYFUNCTION("""COMPUTED_VALUE"""),"ICM_Business_linked_launch")</f>
        <v>ICM_Business_linked_launch</v>
      </c>
      <c r="J246" s="2" t="str">
        <f>IFERROR(__xludf.DUMMYFUNCTION("""COMPUTED_VALUE"""),"uuid:f68c01b2-1d54-4c66-aded-f79a4eb0afcc")</f>
        <v>uuid:f68c01b2-1d54-4c66-aded-f79a4eb0afcc</v>
      </c>
    </row>
    <row r="247">
      <c r="A247" s="2" t="str">
        <f>IFERROR(__xludf.DUMMYFUNCTION("""COMPUTED_VALUE"""),"2025-09-02T11:04:47.392Z")</f>
        <v>2025-09-02T11:04:47.392Z</v>
      </c>
      <c r="B247" s="2" t="str">
        <f>IFERROR(__xludf.DUMMYFUNCTION("""COMPUTED_VALUE"""),"2025-09-02T12:01:30.364+08")</f>
        <v>2025-09-02T12:01:30.364+08</v>
      </c>
      <c r="C247" s="2" t="str">
        <f>IFERROR(__xludf.DUMMYFUNCTION("""COMPUTED_VALUE"""),"2025-09-02T12:03:28.305+08")</f>
        <v>2025-09-02T12:03:28.305+08</v>
      </c>
      <c r="D247" s="2" t="str">
        <f>IFERROR(__xludf.DUMMYFUNCTION("""COMPUTED_VALUE"""),"H019412035")</f>
        <v>H019412035</v>
      </c>
      <c r="E247" s="2">
        <f>IFERROR(__xludf.DUMMYFUNCTION("""COMPUTED_VALUE"""),729375.0)</f>
        <v>729375</v>
      </c>
      <c r="F247" s="2" t="str">
        <f>IFERROR(__xludf.DUMMYFUNCTION("""COMPUTED_VALUE"""),"Janet Serafica_2")</f>
        <v>Janet Serafica_2</v>
      </c>
      <c r="G247" s="2"/>
      <c r="H247" s="2"/>
      <c r="I247" s="2" t="str">
        <f>IFERROR(__xludf.DUMMYFUNCTION("""COMPUTED_VALUE"""),"ICM_Business_linked_launch")</f>
        <v>ICM_Business_linked_launch</v>
      </c>
      <c r="J247" s="2" t="str">
        <f>IFERROR(__xludf.DUMMYFUNCTION("""COMPUTED_VALUE"""),"uuid:04c06d48-f01d-4bad-813e-7b89b29d8248")</f>
        <v>uuid:04c06d48-f01d-4bad-813e-7b89b29d8248</v>
      </c>
    </row>
    <row r="248">
      <c r="A248" s="2" t="str">
        <f>IFERROR(__xludf.DUMMYFUNCTION("""COMPUTED_VALUE"""),"2025-09-02T11:35:40.789Z")</f>
        <v>2025-09-02T11:35:40.789Z</v>
      </c>
      <c r="B248" s="2" t="str">
        <f>IFERROR(__xludf.DUMMYFUNCTION("""COMPUTED_VALUE"""),"2025-09-02T10:52:25.646+08")</f>
        <v>2025-09-02T10:52:25.646+08</v>
      </c>
      <c r="C248" s="2" t="str">
        <f>IFERROR(__xludf.DUMMYFUNCTION("""COMPUTED_VALUE"""),"2025-09-02T11:02:29.908+08")</f>
        <v>2025-09-02T11:02:29.908+08</v>
      </c>
      <c r="D248" s="2" t="str">
        <f>IFERROR(__xludf.DUMMYFUNCTION("""COMPUTED_VALUE"""),"H019412023")</f>
        <v>H019412023</v>
      </c>
      <c r="E248" s="2" t="str">
        <f>IFERROR(__xludf.DUMMYFUNCTION("""COMPUTED_VALUE"""),"S2671943")</f>
        <v>S2671943</v>
      </c>
      <c r="F248" s="2" t="str">
        <f>IFERROR(__xludf.DUMMYFUNCTION("""COMPUTED_VALUE"""),"Marvin Mondia")</f>
        <v>Marvin Mondia</v>
      </c>
      <c r="G248" s="2"/>
      <c r="H248" s="2"/>
      <c r="I248" s="2" t="str">
        <f>IFERROR(__xludf.DUMMYFUNCTION("""COMPUTED_VALUE"""),"ICM_Business_linked_launch")</f>
        <v>ICM_Business_linked_launch</v>
      </c>
      <c r="J248" s="2" t="str">
        <f>IFERROR(__xludf.DUMMYFUNCTION("""COMPUTED_VALUE"""),"uuid:093ca3b1-70cf-4643-8c53-da2d6c94d850")</f>
        <v>uuid:093ca3b1-70cf-4643-8c53-da2d6c94d850</v>
      </c>
    </row>
    <row r="249">
      <c r="A249" s="2" t="str">
        <f>IFERROR(__xludf.DUMMYFUNCTION("""COMPUTED_VALUE"""),"2025-09-02T11:35:42.365Z")</f>
        <v>2025-09-02T11:35:42.365Z</v>
      </c>
      <c r="B249" s="2" t="str">
        <f>IFERROR(__xludf.DUMMYFUNCTION("""COMPUTED_VALUE"""),"2025-09-02T12:11:40.444+08")</f>
        <v>2025-09-02T12:11:40.444+08</v>
      </c>
      <c r="C249" s="2" t="str">
        <f>IFERROR(__xludf.DUMMYFUNCTION("""COMPUTED_VALUE"""),"2025-09-02T12:17:04.641+08")</f>
        <v>2025-09-02T12:17:04.641+08</v>
      </c>
      <c r="D249" s="2" t="str">
        <f>IFERROR(__xludf.DUMMYFUNCTION("""COMPUTED_VALUE"""),"H019412026")</f>
        <v>H019412026</v>
      </c>
      <c r="E249" s="2" t="str">
        <f>IFERROR(__xludf.DUMMYFUNCTION("""COMPUTED_VALUE"""),"S2671943")</f>
        <v>S2671943</v>
      </c>
      <c r="F249" s="2" t="str">
        <f>IFERROR(__xludf.DUMMYFUNCTION("""COMPUTED_VALUE"""),"Marvin Mondia")</f>
        <v>Marvin Mondia</v>
      </c>
      <c r="G249" s="2"/>
      <c r="H249" s="2"/>
      <c r="I249" s="2" t="str">
        <f>IFERROR(__xludf.DUMMYFUNCTION("""COMPUTED_VALUE"""),"ICM_Business_linked_launch")</f>
        <v>ICM_Business_linked_launch</v>
      </c>
      <c r="J249" s="2" t="str">
        <f>IFERROR(__xludf.DUMMYFUNCTION("""COMPUTED_VALUE"""),"uuid:e5ca3937-36b0-4789-beed-b73e02503d4e")</f>
        <v>uuid:e5ca3937-36b0-4789-beed-b73e02503d4e</v>
      </c>
    </row>
    <row r="250">
      <c r="A250" s="2" t="str">
        <f>IFERROR(__xludf.DUMMYFUNCTION("""COMPUTED_VALUE"""),"2025-09-02T11:58:38.172Z")</f>
        <v>2025-09-02T11:58:38.172Z</v>
      </c>
      <c r="B250" s="2" t="str">
        <f>IFERROR(__xludf.DUMMYFUNCTION("""COMPUTED_VALUE"""),"2025-09-02T11:34:31.971+08")</f>
        <v>2025-09-02T11:34:31.971+08</v>
      </c>
      <c r="C250" s="2" t="str">
        <f>IFERROR(__xludf.DUMMYFUNCTION("""COMPUTED_VALUE"""),"2025-09-02T11:51:23.566+08")</f>
        <v>2025-09-02T11:51:23.566+08</v>
      </c>
      <c r="D250" s="2" t="str">
        <f>IFERROR(__xludf.DUMMYFUNCTION("""COMPUTED_VALUE"""),"H030634017")</f>
        <v>H030634017</v>
      </c>
      <c r="E250" s="2" t="str">
        <f>IFERROR(__xludf.DUMMYFUNCTION("""COMPUTED_VALUE"""),"J4315980")</f>
        <v>J4315980</v>
      </c>
      <c r="F250" s="2" t="str">
        <f>IFERROR(__xludf.DUMMYFUNCTION("""COMPUTED_VALUE"""),"Trixie Marie Jardeleza Saber")</f>
        <v>Trixie Marie Jardeleza Saber</v>
      </c>
      <c r="G250" s="2"/>
      <c r="H250" s="2"/>
      <c r="I250" s="2" t="str">
        <f>IFERROR(__xludf.DUMMYFUNCTION("""COMPUTED_VALUE"""),"ICM_Business_linked_launch")</f>
        <v>ICM_Business_linked_launch</v>
      </c>
      <c r="J250" s="2" t="str">
        <f>IFERROR(__xludf.DUMMYFUNCTION("""COMPUTED_VALUE"""),"uuid:1b3bd1aa-9040-460a-9e5a-7f5cb383b9bc")</f>
        <v>uuid:1b3bd1aa-9040-460a-9e5a-7f5cb383b9bc</v>
      </c>
    </row>
    <row r="251">
      <c r="A251" s="2" t="str">
        <f>IFERROR(__xludf.DUMMYFUNCTION("""COMPUTED_VALUE"""),"2025-09-02T11:58:37.640Z")</f>
        <v>2025-09-02T11:58:37.640Z</v>
      </c>
      <c r="B251" s="2" t="str">
        <f>IFERROR(__xludf.DUMMYFUNCTION("""COMPUTED_VALUE"""),"2025-09-02T13:57:40.268+08")</f>
        <v>2025-09-02T13:57:40.268+08</v>
      </c>
      <c r="C251" s="2" t="str">
        <f>IFERROR(__xludf.DUMMYFUNCTION("""COMPUTED_VALUE"""),"2025-09-02T14:11:28.471+08")</f>
        <v>2025-09-02T14:11:28.471+08</v>
      </c>
      <c r="D251" s="2" t="str">
        <f>IFERROR(__xludf.DUMMYFUNCTION("""COMPUTED_VALUE"""),"H030634021")</f>
        <v>H030634021</v>
      </c>
      <c r="E251" s="2" t="str">
        <f>IFERROR(__xludf.DUMMYFUNCTION("""COMPUTED_VALUE"""),"J4315980")</f>
        <v>J4315980</v>
      </c>
      <c r="F251" s="2" t="str">
        <f>IFERROR(__xludf.DUMMYFUNCTION("""COMPUTED_VALUE"""),"Trixie Marie Jardeleza Saber")</f>
        <v>Trixie Marie Jardeleza Saber</v>
      </c>
      <c r="G251" s="2"/>
      <c r="H251" s="2"/>
      <c r="I251" s="2" t="str">
        <f>IFERROR(__xludf.DUMMYFUNCTION("""COMPUTED_VALUE"""),"ICM_Business_linked_launch")</f>
        <v>ICM_Business_linked_launch</v>
      </c>
      <c r="J251" s="2" t="str">
        <f>IFERROR(__xludf.DUMMYFUNCTION("""COMPUTED_VALUE"""),"uuid:2cd1aff7-9b21-4646-815b-04514c955812")</f>
        <v>uuid:2cd1aff7-9b21-4646-815b-04514c955812</v>
      </c>
    </row>
    <row r="252">
      <c r="A252" s="2" t="str">
        <f>IFERROR(__xludf.DUMMYFUNCTION("""COMPUTED_VALUE"""),"2025-09-02T11:58:38.726Z")</f>
        <v>2025-09-02T11:58:38.726Z</v>
      </c>
      <c r="B252" s="2" t="str">
        <f>IFERROR(__xludf.DUMMYFUNCTION("""COMPUTED_VALUE"""),"2025-09-02T10:21:47.843+08")</f>
        <v>2025-09-02T10:21:47.843+08</v>
      </c>
      <c r="C252" s="2" t="str">
        <f>IFERROR(__xludf.DUMMYFUNCTION("""COMPUTED_VALUE"""),"2025-09-02T10:29:28.432+08")</f>
        <v>2025-09-02T10:29:28.432+08</v>
      </c>
      <c r="D252" s="2" t="str">
        <f>IFERROR(__xludf.DUMMYFUNCTION("""COMPUTED_VALUE"""),"H030634022")</f>
        <v>H030634022</v>
      </c>
      <c r="E252" s="2" t="str">
        <f>IFERROR(__xludf.DUMMYFUNCTION("""COMPUTED_VALUE"""),"J4315980")</f>
        <v>J4315980</v>
      </c>
      <c r="F252" s="2" t="str">
        <f>IFERROR(__xludf.DUMMYFUNCTION("""COMPUTED_VALUE"""),"Trixie Marie Jardeleza Saber")</f>
        <v>Trixie Marie Jardeleza Saber</v>
      </c>
      <c r="G252" s="2"/>
      <c r="H252" s="2"/>
      <c r="I252" s="2" t="str">
        <f>IFERROR(__xludf.DUMMYFUNCTION("""COMPUTED_VALUE"""),"ICM_Business_linked_launch")</f>
        <v>ICM_Business_linked_launch</v>
      </c>
      <c r="J252" s="2" t="str">
        <f>IFERROR(__xludf.DUMMYFUNCTION("""COMPUTED_VALUE"""),"uuid:f16d5359-8ca7-4dc0-a886-b772c61c6af1")</f>
        <v>uuid:f16d5359-8ca7-4dc0-a886-b772c61c6af1</v>
      </c>
    </row>
    <row r="253">
      <c r="A253" s="2" t="str">
        <f>IFERROR(__xludf.DUMMYFUNCTION("""COMPUTED_VALUE"""),"2025-09-02T12:26:04.556Z")</f>
        <v>2025-09-02T12:26:04.556Z</v>
      </c>
      <c r="B253" s="2" t="str">
        <f>IFERROR(__xludf.DUMMYFUNCTION("""COMPUTED_VALUE"""),"2025-09-02T11:09:50.874+08")</f>
        <v>2025-09-02T11:09:50.874+08</v>
      </c>
      <c r="C253" s="2" t="str">
        <f>IFERROR(__xludf.DUMMYFUNCTION("""COMPUTED_VALUE"""),"2025-09-02T11:17:52.954+08")</f>
        <v>2025-09-02T11:17:52.954+08</v>
      </c>
      <c r="D253" s="2" t="str">
        <f>IFERROR(__xludf.DUMMYFUNCTION("""COMPUTED_VALUE"""),"H030634033")</f>
        <v>H030634033</v>
      </c>
      <c r="E253" s="2" t="str">
        <f>IFERROR(__xludf.DUMMYFUNCTION("""COMPUTED_VALUE"""),"L2057896")</f>
        <v>L2057896</v>
      </c>
      <c r="F253" s="2" t="str">
        <f>IFERROR(__xludf.DUMMYFUNCTION("""COMPUTED_VALUE"""),"Franz Reoben Posadas Geneblaza")</f>
        <v>Franz Reoben Posadas Geneblaza</v>
      </c>
      <c r="G253" s="2"/>
      <c r="H253" s="2"/>
      <c r="I253" s="2" t="str">
        <f>IFERROR(__xludf.DUMMYFUNCTION("""COMPUTED_VALUE"""),"ICM_Business_linked_launch")</f>
        <v>ICM_Business_linked_launch</v>
      </c>
      <c r="J253" s="2" t="str">
        <f>IFERROR(__xludf.DUMMYFUNCTION("""COMPUTED_VALUE"""),"uuid:abe20faa-1a8a-440b-93d9-70d467f1e09f")</f>
        <v>uuid:abe20faa-1a8a-440b-93d9-70d467f1e09f</v>
      </c>
    </row>
    <row r="254">
      <c r="A254" s="2" t="str">
        <f>IFERROR(__xludf.DUMMYFUNCTION("""COMPUTED_VALUE"""),"2025-09-02T12:26:05.928Z")</f>
        <v>2025-09-02T12:26:05.928Z</v>
      </c>
      <c r="B254" s="2" t="str">
        <f>IFERROR(__xludf.DUMMYFUNCTION("""COMPUTED_VALUE"""),"2025-09-02T13:31:13.611+08")</f>
        <v>2025-09-02T13:31:13.611+08</v>
      </c>
      <c r="C254" s="2" t="str">
        <f>IFERROR(__xludf.DUMMYFUNCTION("""COMPUTED_VALUE"""),"2025-09-02T13:46:20.077+08")</f>
        <v>2025-09-02T13:46:20.077+08</v>
      </c>
      <c r="D254" s="2" t="str">
        <f>IFERROR(__xludf.DUMMYFUNCTION("""COMPUTED_VALUE"""),"H030634024")</f>
        <v>H030634024</v>
      </c>
      <c r="E254" s="2" t="str">
        <f>IFERROR(__xludf.DUMMYFUNCTION("""COMPUTED_VALUE"""),"L2057896")</f>
        <v>L2057896</v>
      </c>
      <c r="F254" s="2" t="str">
        <f>IFERROR(__xludf.DUMMYFUNCTION("""COMPUTED_VALUE"""),"Franz Reoben Posadas Geneblaza")</f>
        <v>Franz Reoben Posadas Geneblaza</v>
      </c>
      <c r="G254" s="2"/>
      <c r="H254" s="2"/>
      <c r="I254" s="2" t="str">
        <f>IFERROR(__xludf.DUMMYFUNCTION("""COMPUTED_VALUE"""),"ICM_Business_linked_launch")</f>
        <v>ICM_Business_linked_launch</v>
      </c>
      <c r="J254" s="2" t="str">
        <f>IFERROR(__xludf.DUMMYFUNCTION("""COMPUTED_VALUE"""),"uuid:3404d892-7a46-4ec9-92e2-fc454df92031")</f>
        <v>uuid:3404d892-7a46-4ec9-92e2-fc454df92031</v>
      </c>
    </row>
    <row r="255">
      <c r="A255" s="2" t="str">
        <f>IFERROR(__xludf.DUMMYFUNCTION("""COMPUTED_VALUE"""),"2025-09-02T12:26:07.832Z")</f>
        <v>2025-09-02T12:26:07.832Z</v>
      </c>
      <c r="B255" s="2" t="str">
        <f>IFERROR(__xludf.DUMMYFUNCTION("""COMPUTED_VALUE"""),"2025-09-02T14:39:36.905+08")</f>
        <v>2025-09-02T14:39:36.905+08</v>
      </c>
      <c r="C255" s="2" t="str">
        <f>IFERROR(__xludf.DUMMYFUNCTION("""COMPUTED_VALUE"""),"2025-09-02T14:55:09.645+08")</f>
        <v>2025-09-02T14:55:09.645+08</v>
      </c>
      <c r="D255" s="2" t="str">
        <f>IFERROR(__xludf.DUMMYFUNCTION("""COMPUTED_VALUE"""),"H030634032")</f>
        <v>H030634032</v>
      </c>
      <c r="E255" s="2" t="str">
        <f>IFERROR(__xludf.DUMMYFUNCTION("""COMPUTED_VALUE"""),"L2057896")</f>
        <v>L2057896</v>
      </c>
      <c r="F255" s="2" t="str">
        <f>IFERROR(__xludf.DUMMYFUNCTION("""COMPUTED_VALUE"""),"Franz Reoben Posadas Geneblaza")</f>
        <v>Franz Reoben Posadas Geneblaza</v>
      </c>
      <c r="G255" s="2"/>
      <c r="H255" s="2"/>
      <c r="I255" s="2" t="str">
        <f>IFERROR(__xludf.DUMMYFUNCTION("""COMPUTED_VALUE"""),"ICM_Business_linked_launch")</f>
        <v>ICM_Business_linked_launch</v>
      </c>
      <c r="J255" s="2" t="str">
        <f>IFERROR(__xludf.DUMMYFUNCTION("""COMPUTED_VALUE"""),"uuid:140cefd0-1d9f-46d7-8a8c-58c803fc0915")</f>
        <v>uuid:140cefd0-1d9f-46d7-8a8c-58c803fc0915</v>
      </c>
    </row>
    <row r="256">
      <c r="A256" s="2" t="str">
        <f>IFERROR(__xludf.DUMMYFUNCTION("""COMPUTED_VALUE"""),"2025-09-02T12:38:43.199Z")</f>
        <v>2025-09-02T12:38:43.199Z</v>
      </c>
      <c r="B256" s="2" t="str">
        <f>IFERROR(__xludf.DUMMYFUNCTION("""COMPUTED_VALUE"""),"2025-09-02T10:06:55.338+08")</f>
        <v>2025-09-02T10:06:55.338+08</v>
      </c>
      <c r="C256" s="2" t="str">
        <f>IFERROR(__xludf.DUMMYFUNCTION("""COMPUTED_VALUE"""),"2025-09-02T10:12:51.289+08")</f>
        <v>2025-09-02T10:12:51.289+08</v>
      </c>
      <c r="D256" s="2" t="str">
        <f>IFERROR(__xludf.DUMMYFUNCTION("""COMPUTED_VALUE"""),"H030634006")</f>
        <v>H030634006</v>
      </c>
      <c r="E256" s="2" t="str">
        <f>IFERROR(__xludf.DUMMYFUNCTION("""COMPUTED_VALUE"""),"M6491032")</f>
        <v>M6491032</v>
      </c>
      <c r="F256" s="2" t="str">
        <f>IFERROR(__xludf.DUMMYFUNCTION("""COMPUTED_VALUE"""),"Rosevil Tayo Desamparado")</f>
        <v>Rosevil Tayo Desamparado</v>
      </c>
      <c r="G256" s="2"/>
      <c r="H256" s="2"/>
      <c r="I256" s="2" t="str">
        <f>IFERROR(__xludf.DUMMYFUNCTION("""COMPUTED_VALUE"""),"ICM_Business_linked_launch")</f>
        <v>ICM_Business_linked_launch</v>
      </c>
      <c r="J256" s="2" t="str">
        <f>IFERROR(__xludf.DUMMYFUNCTION("""COMPUTED_VALUE"""),"uuid:931e528d-d7a5-48e7-8201-c5f9e5d71014")</f>
        <v>uuid:931e528d-d7a5-48e7-8201-c5f9e5d71014</v>
      </c>
    </row>
    <row r="257">
      <c r="A257" s="2" t="str">
        <f>IFERROR(__xludf.DUMMYFUNCTION("""COMPUTED_VALUE"""),"2025-09-02T12:38:44.446Z")</f>
        <v>2025-09-02T12:38:44.446Z</v>
      </c>
      <c r="B257" s="2" t="str">
        <f>IFERROR(__xludf.DUMMYFUNCTION("""COMPUTED_VALUE"""),"2025-09-02T14:32:19.186+08")</f>
        <v>2025-09-02T14:32:19.186+08</v>
      </c>
      <c r="C257" s="2" t="str">
        <f>IFERROR(__xludf.DUMMYFUNCTION("""COMPUTED_VALUE"""),"2025-09-02T20:34:04.705+08")</f>
        <v>2025-09-02T20:34:04.705+08</v>
      </c>
      <c r="D257" s="2" t="str">
        <f>IFERROR(__xludf.DUMMYFUNCTION("""COMPUTED_VALUE"""),"H030634025")</f>
        <v>H030634025</v>
      </c>
      <c r="E257" s="2" t="str">
        <f>IFERROR(__xludf.DUMMYFUNCTION("""COMPUTED_VALUE"""),"M6491032")</f>
        <v>M6491032</v>
      </c>
      <c r="F257" s="2" t="str">
        <f>IFERROR(__xludf.DUMMYFUNCTION("""COMPUTED_VALUE"""),"Rosevil Tayo Desamparado")</f>
        <v>Rosevil Tayo Desamparado</v>
      </c>
      <c r="G257" s="2"/>
      <c r="H257" s="2"/>
      <c r="I257" s="2" t="str">
        <f>IFERROR(__xludf.DUMMYFUNCTION("""COMPUTED_VALUE"""),"ICM_Business_linked_launch")</f>
        <v>ICM_Business_linked_launch</v>
      </c>
      <c r="J257" s="2" t="str">
        <f>IFERROR(__xludf.DUMMYFUNCTION("""COMPUTED_VALUE"""),"uuid:04a22b6f-56b3-47cc-b639-958c2d806f47")</f>
        <v>uuid:04a22b6f-56b3-47cc-b639-958c2d806f47</v>
      </c>
    </row>
    <row r="258">
      <c r="A258" s="2" t="str">
        <f>IFERROR(__xludf.DUMMYFUNCTION("""COMPUTED_VALUE"""),"2025-09-02T12:38:45.578Z")</f>
        <v>2025-09-02T12:38:45.578Z</v>
      </c>
      <c r="B258" s="2" t="str">
        <f>IFERROR(__xludf.DUMMYFUNCTION("""COMPUTED_VALUE"""),"2025-09-02T12:48:20.985+08")</f>
        <v>2025-09-02T12:48:20.985+08</v>
      </c>
      <c r="C258" s="2" t="str">
        <f>IFERROR(__xludf.DUMMYFUNCTION("""COMPUTED_VALUE"""),"2025-09-02T20:35:20.394+08")</f>
        <v>2025-09-02T20:35:20.394+08</v>
      </c>
      <c r="D258" s="2" t="str">
        <f>IFERROR(__xludf.DUMMYFUNCTION("""COMPUTED_VALUE"""),"H030634016")</f>
        <v>H030634016</v>
      </c>
      <c r="E258" s="2" t="str">
        <f>IFERROR(__xludf.DUMMYFUNCTION("""COMPUTED_VALUE"""),"M6491032")</f>
        <v>M6491032</v>
      </c>
      <c r="F258" s="2" t="str">
        <f>IFERROR(__xludf.DUMMYFUNCTION("""COMPUTED_VALUE"""),"Rosevil Tayo Desamparado")</f>
        <v>Rosevil Tayo Desamparado</v>
      </c>
      <c r="G258" s="2"/>
      <c r="H258" s="2"/>
      <c r="I258" s="2" t="str">
        <f>IFERROR(__xludf.DUMMYFUNCTION("""COMPUTED_VALUE"""),"ICM_Business_linked_launch")</f>
        <v>ICM_Business_linked_launch</v>
      </c>
      <c r="J258" s="2" t="str">
        <f>IFERROR(__xludf.DUMMYFUNCTION("""COMPUTED_VALUE"""),"uuid:0083623f-e8ab-43c7-83a8-403f33794de3")</f>
        <v>uuid:0083623f-e8ab-43c7-83a8-403f33794de3</v>
      </c>
    </row>
    <row r="259">
      <c r="A259" s="2" t="str">
        <f>IFERROR(__xludf.DUMMYFUNCTION("""COMPUTED_VALUE"""),"2025-09-02T12:50:03.882Z")</f>
        <v>2025-09-02T12:50:03.882Z</v>
      </c>
      <c r="B259" s="2" t="str">
        <f>IFERROR(__xludf.DUMMYFUNCTION("""COMPUTED_VALUE"""),"2025-09-02T11:22:47.051+08")</f>
        <v>2025-09-02T11:22:47.051+08</v>
      </c>
      <c r="C259" s="2" t="str">
        <f>IFERROR(__xludf.DUMMYFUNCTION("""COMPUTED_VALUE"""),"2025-09-02T11:39:05.951+08")</f>
        <v>2025-09-02T11:39:05.951+08</v>
      </c>
      <c r="D259" s="2" t="str">
        <f>IFERROR(__xludf.DUMMYFUNCTION("""COMPUTED_VALUE"""),"H030634031")</f>
        <v>H030634031</v>
      </c>
      <c r="E259" s="2" t="str">
        <f>IFERROR(__xludf.DUMMYFUNCTION("""COMPUTED_VALUE"""),"K8623174")</f>
        <v>K8623174</v>
      </c>
      <c r="F259" s="2" t="str">
        <f>IFERROR(__xludf.DUMMYFUNCTION("""COMPUTED_VALUE"""),"Marielle Kaye Ignacio Alonzo")</f>
        <v>Marielle Kaye Ignacio Alonzo</v>
      </c>
      <c r="G259" s="2"/>
      <c r="H259" s="2"/>
      <c r="I259" s="2" t="str">
        <f>IFERROR(__xludf.DUMMYFUNCTION("""COMPUTED_VALUE"""),"ICM_Business_linked_launch")</f>
        <v>ICM_Business_linked_launch</v>
      </c>
      <c r="J259" s="2" t="str">
        <f>IFERROR(__xludf.DUMMYFUNCTION("""COMPUTED_VALUE"""),"uuid:037fa20e-6358-46fc-b0fb-c9b8e5f0a39e")</f>
        <v>uuid:037fa20e-6358-46fc-b0fb-c9b8e5f0a39e</v>
      </c>
    </row>
    <row r="260">
      <c r="A260" s="2" t="str">
        <f>IFERROR(__xludf.DUMMYFUNCTION("""COMPUTED_VALUE"""),"2025-09-02T12:50:04.536Z")</f>
        <v>2025-09-02T12:50:04.536Z</v>
      </c>
      <c r="B260" s="2" t="str">
        <f>IFERROR(__xludf.DUMMYFUNCTION("""COMPUTED_VALUE"""),"2025-09-02T09:35:04.573+08")</f>
        <v>2025-09-02T09:35:04.573+08</v>
      </c>
      <c r="C260" s="2" t="str">
        <f>IFERROR(__xludf.DUMMYFUNCTION("""COMPUTED_VALUE"""),"2025-09-02T13:37:13.287+08")</f>
        <v>2025-09-02T13:37:13.287+08</v>
      </c>
      <c r="D260" s="2" t="str">
        <f>IFERROR(__xludf.DUMMYFUNCTION("""COMPUTED_VALUE"""),"H030634035")</f>
        <v>H030634035</v>
      </c>
      <c r="E260" s="2" t="str">
        <f>IFERROR(__xludf.DUMMYFUNCTION("""COMPUTED_VALUE"""),"K8623174")</f>
        <v>K8623174</v>
      </c>
      <c r="F260" s="2" t="str">
        <f>IFERROR(__xludf.DUMMYFUNCTION("""COMPUTED_VALUE"""),"Marielle Kaye Ignacio Alonzo")</f>
        <v>Marielle Kaye Ignacio Alonzo</v>
      </c>
      <c r="G260" s="2"/>
      <c r="H260" s="2"/>
      <c r="I260" s="2" t="str">
        <f>IFERROR(__xludf.DUMMYFUNCTION("""COMPUTED_VALUE"""),"ICM_Business_linked_launch")</f>
        <v>ICM_Business_linked_launch</v>
      </c>
      <c r="J260" s="2" t="str">
        <f>IFERROR(__xludf.DUMMYFUNCTION("""COMPUTED_VALUE"""),"uuid:22a8366d-8b3c-4b70-bfe5-6aa147b385f2")</f>
        <v>uuid:22a8366d-8b3c-4b70-bfe5-6aa147b385f2</v>
      </c>
    </row>
    <row r="261">
      <c r="A261" s="2" t="str">
        <f>IFERROR(__xludf.DUMMYFUNCTION("""COMPUTED_VALUE"""),"2025-09-02T12:50:05.543Z")</f>
        <v>2025-09-02T12:50:05.543Z</v>
      </c>
      <c r="B261" s="2" t="str">
        <f>IFERROR(__xludf.DUMMYFUNCTION("""COMPUTED_VALUE"""),"2025-09-02T10:30:25.349+08")</f>
        <v>2025-09-02T10:30:25.349+08</v>
      </c>
      <c r="C261" s="2" t="str">
        <f>IFERROR(__xludf.DUMMYFUNCTION("""COMPUTED_VALUE"""),"2025-09-02T13:53:35.316+08")</f>
        <v>2025-09-02T13:53:35.316+08</v>
      </c>
      <c r="D261" s="2" t="str">
        <f>IFERROR(__xludf.DUMMYFUNCTION("""COMPUTED_VALUE"""),"H030634026")</f>
        <v>H030634026</v>
      </c>
      <c r="E261" s="2" t="str">
        <f>IFERROR(__xludf.DUMMYFUNCTION("""COMPUTED_VALUE"""),"K8623174")</f>
        <v>K8623174</v>
      </c>
      <c r="F261" s="2" t="str">
        <f>IFERROR(__xludf.DUMMYFUNCTION("""COMPUTED_VALUE"""),"Marielle Kaye Ignacio Alonzo")</f>
        <v>Marielle Kaye Ignacio Alonzo</v>
      </c>
      <c r="G261" s="2"/>
      <c r="H261" s="2"/>
      <c r="I261" s="2" t="str">
        <f>IFERROR(__xludf.DUMMYFUNCTION("""COMPUTED_VALUE"""),"ICM_Business_linked_launch")</f>
        <v>ICM_Business_linked_launch</v>
      </c>
      <c r="J261" s="2" t="str">
        <f>IFERROR(__xludf.DUMMYFUNCTION("""COMPUTED_VALUE"""),"uuid:2dc391c2-6050-4a2e-8598-b9b6bcd68c51")</f>
        <v>uuid:2dc391c2-6050-4a2e-8598-b9b6bcd68c51</v>
      </c>
    </row>
    <row r="262">
      <c r="A262" s="2" t="str">
        <f>IFERROR(__xludf.DUMMYFUNCTION("""COMPUTED_VALUE"""),"2025-09-03T11:03:08.558Z")</f>
        <v>2025-09-03T11:03:08.558Z</v>
      </c>
      <c r="B262" s="2" t="str">
        <f>IFERROR(__xludf.DUMMYFUNCTION("""COMPUTED_VALUE"""),"2025-09-03T10:21:35.573+08")</f>
        <v>2025-09-03T10:21:35.573+08</v>
      </c>
      <c r="C262" s="2" t="str">
        <f>IFERROR(__xludf.DUMMYFUNCTION("""COMPUTED_VALUE"""),"2025-09-03T10:27:06.227+08")</f>
        <v>2025-09-03T10:27:06.227+08</v>
      </c>
      <c r="D262" s="2" t="str">
        <f>IFERROR(__xludf.DUMMYFUNCTION("""COMPUTED_VALUE"""),"H019277027")</f>
        <v>H019277027</v>
      </c>
      <c r="E262" s="2">
        <f>IFERROR(__xludf.DUMMYFUNCTION("""COMPUTED_VALUE"""),841329.0)</f>
        <v>841329</v>
      </c>
      <c r="F262" s="2" t="str">
        <f>IFERROR(__xludf.DUMMYFUNCTION("""COMPUTED_VALUE"""),"Aila Eli_2")</f>
        <v>Aila Eli_2</v>
      </c>
      <c r="G262" s="2"/>
      <c r="H262" s="2"/>
      <c r="I262" s="2" t="str">
        <f>IFERROR(__xludf.DUMMYFUNCTION("""COMPUTED_VALUE"""),"ICM_Business_linked_launch")</f>
        <v>ICM_Business_linked_launch</v>
      </c>
      <c r="J262" s="2" t="str">
        <f>IFERROR(__xludf.DUMMYFUNCTION("""COMPUTED_VALUE"""),"uuid:d75828c3-d074-4b0d-9e15-52ae4b72cbf4")</f>
        <v>uuid:d75828c3-d074-4b0d-9e15-52ae4b72cbf4</v>
      </c>
    </row>
    <row r="263">
      <c r="A263" s="2" t="str">
        <f>IFERROR(__xludf.DUMMYFUNCTION("""COMPUTED_VALUE"""),"2025-09-03T11:03:15.153Z")</f>
        <v>2025-09-03T11:03:15.153Z</v>
      </c>
      <c r="B263" s="2" t="str">
        <f>IFERROR(__xludf.DUMMYFUNCTION("""COMPUTED_VALUE"""),"2025-09-03T13:55:59.713+08")</f>
        <v>2025-09-03T13:55:59.713+08</v>
      </c>
      <c r="C263" s="2" t="str">
        <f>IFERROR(__xludf.DUMMYFUNCTION("""COMPUTED_VALUE"""),"2025-09-03T14:04:30.858+08")</f>
        <v>2025-09-03T14:04:30.858+08</v>
      </c>
      <c r="D263" s="2" t="str">
        <f>IFERROR(__xludf.DUMMYFUNCTION("""COMPUTED_VALUE"""),"H019277029")</f>
        <v>H019277029</v>
      </c>
      <c r="E263" s="2">
        <f>IFERROR(__xludf.DUMMYFUNCTION("""COMPUTED_VALUE"""),841329.0)</f>
        <v>841329</v>
      </c>
      <c r="F263" s="2" t="str">
        <f>IFERROR(__xludf.DUMMYFUNCTION("""COMPUTED_VALUE"""),"Aila Eli_2")</f>
        <v>Aila Eli_2</v>
      </c>
      <c r="G263" s="2"/>
      <c r="H263" s="2"/>
      <c r="I263" s="2" t="str">
        <f>IFERROR(__xludf.DUMMYFUNCTION("""COMPUTED_VALUE"""),"ICM_Business_linked_launch")</f>
        <v>ICM_Business_linked_launch</v>
      </c>
      <c r="J263" s="2" t="str">
        <f>IFERROR(__xludf.DUMMYFUNCTION("""COMPUTED_VALUE"""),"uuid:f95c9158-39c9-473a-9309-8f7585713f36")</f>
        <v>uuid:f95c9158-39c9-473a-9309-8f7585713f36</v>
      </c>
    </row>
    <row r="264">
      <c r="A264" s="2" t="str">
        <f>IFERROR(__xludf.DUMMYFUNCTION("""COMPUTED_VALUE"""),"2025-09-03T11:03:17.029Z")</f>
        <v>2025-09-03T11:03:17.029Z</v>
      </c>
      <c r="B264" s="2" t="str">
        <f>IFERROR(__xludf.DUMMYFUNCTION("""COMPUTED_VALUE"""),"2025-09-03T15:33:57.841+08")</f>
        <v>2025-09-03T15:33:57.841+08</v>
      </c>
      <c r="C264" s="2" t="str">
        <f>IFERROR(__xludf.DUMMYFUNCTION("""COMPUTED_VALUE"""),"2025-09-03T15:46:46.239+08")</f>
        <v>2025-09-03T15:46:46.239+08</v>
      </c>
      <c r="D264" s="2" t="str">
        <f>IFERROR(__xludf.DUMMYFUNCTION("""COMPUTED_VALUE"""),"H019277021")</f>
        <v>H019277021</v>
      </c>
      <c r="E264" s="2">
        <f>IFERROR(__xludf.DUMMYFUNCTION("""COMPUTED_VALUE"""),841329.0)</f>
        <v>841329</v>
      </c>
      <c r="F264" s="2" t="str">
        <f>IFERROR(__xludf.DUMMYFUNCTION("""COMPUTED_VALUE"""),"Aila Eli_2")</f>
        <v>Aila Eli_2</v>
      </c>
      <c r="G264" s="2"/>
      <c r="H264" s="2"/>
      <c r="I264" s="2" t="str">
        <f>IFERROR(__xludf.DUMMYFUNCTION("""COMPUTED_VALUE"""),"ICM_Business_linked_launch")</f>
        <v>ICM_Business_linked_launch</v>
      </c>
      <c r="J264" s="2" t="str">
        <f>IFERROR(__xludf.DUMMYFUNCTION("""COMPUTED_VALUE"""),"uuid:1a2c2b69-dacd-4933-8f52-74e486dea2ed")</f>
        <v>uuid:1a2c2b69-dacd-4933-8f52-74e486dea2ed</v>
      </c>
    </row>
    <row r="265">
      <c r="A265" s="2" t="str">
        <f>IFERROR(__xludf.DUMMYFUNCTION("""COMPUTED_VALUE"""),"2025-09-03T11:15:08.107Z")</f>
        <v>2025-09-03T11:15:08.107Z</v>
      </c>
      <c r="B265" s="2" t="str">
        <f>IFERROR(__xludf.DUMMYFUNCTION("""COMPUTED_VALUE"""),"2025-09-03T12:52:07.379+08")</f>
        <v>2025-09-03T12:52:07.379+08</v>
      </c>
      <c r="C265" s="2" t="str">
        <f>IFERROR(__xludf.DUMMYFUNCTION("""COMPUTED_VALUE"""),"2025-09-03T19:10:36.926+08")</f>
        <v>2025-09-03T19:10:36.926+08</v>
      </c>
      <c r="D265" s="2" t="str">
        <f>IFERROR(__xludf.DUMMYFUNCTION("""COMPUTED_VALUE"""),"H030327035")</f>
        <v>H030327035</v>
      </c>
      <c r="E265" s="2" t="str">
        <f>IFERROR(__xludf.DUMMYFUNCTION("""COMPUTED_VALUE"""),"C7502931")</f>
        <v>C7502931</v>
      </c>
      <c r="F265" s="2" t="str">
        <f>IFERROR(__xludf.DUMMYFUNCTION("""COMPUTED_VALUE"""),"Jenny Lou Toles Estacio")</f>
        <v>Jenny Lou Toles Estacio</v>
      </c>
      <c r="G265" s="2"/>
      <c r="H265" s="2"/>
      <c r="I265" s="2" t="str">
        <f>IFERROR(__xludf.DUMMYFUNCTION("""COMPUTED_VALUE"""),"ICM_Business_linked_launch")</f>
        <v>ICM_Business_linked_launch</v>
      </c>
      <c r="J265" s="2" t="str">
        <f>IFERROR(__xludf.DUMMYFUNCTION("""COMPUTED_VALUE"""),"uuid:5f7b9972-dcb9-4614-b8d3-301684eb1fca")</f>
        <v>uuid:5f7b9972-dcb9-4614-b8d3-301684eb1fca</v>
      </c>
    </row>
    <row r="266">
      <c r="A266" s="2" t="str">
        <f>IFERROR(__xludf.DUMMYFUNCTION("""COMPUTED_VALUE"""),"2025-09-03T11:15:09.398Z")</f>
        <v>2025-09-03T11:15:09.398Z</v>
      </c>
      <c r="B266" s="2" t="str">
        <f>IFERROR(__xludf.DUMMYFUNCTION("""COMPUTED_VALUE"""),"2025-09-03T13:54:22.772+08")</f>
        <v>2025-09-03T13:54:22.772+08</v>
      </c>
      <c r="C266" s="2" t="str">
        <f>IFERROR(__xludf.DUMMYFUNCTION("""COMPUTED_VALUE"""),"2025-09-03T19:13:17.710+08")</f>
        <v>2025-09-03T19:13:17.710+08</v>
      </c>
      <c r="D266" s="2" t="str">
        <f>IFERROR(__xludf.DUMMYFUNCTION("""COMPUTED_VALUE"""),"H030327025")</f>
        <v>H030327025</v>
      </c>
      <c r="E266" s="2" t="str">
        <f>IFERROR(__xludf.DUMMYFUNCTION("""COMPUTED_VALUE"""),"C7502931")</f>
        <v>C7502931</v>
      </c>
      <c r="F266" s="2" t="str">
        <f>IFERROR(__xludf.DUMMYFUNCTION("""COMPUTED_VALUE"""),"Jenny Lou Toles Estacio")</f>
        <v>Jenny Lou Toles Estacio</v>
      </c>
      <c r="G266" s="2"/>
      <c r="H266" s="2"/>
      <c r="I266" s="2" t="str">
        <f>IFERROR(__xludf.DUMMYFUNCTION("""COMPUTED_VALUE"""),"ICM_Business_linked_launch")</f>
        <v>ICM_Business_linked_launch</v>
      </c>
      <c r="J266" s="2" t="str">
        <f>IFERROR(__xludf.DUMMYFUNCTION("""COMPUTED_VALUE"""),"uuid:1936038a-421d-4c86-b3fe-f19f1a8f1a6b")</f>
        <v>uuid:1936038a-421d-4c86-b3fe-f19f1a8f1a6b</v>
      </c>
    </row>
    <row r="267">
      <c r="A267" s="2" t="str">
        <f>IFERROR(__xludf.DUMMYFUNCTION("""COMPUTED_VALUE"""),"2025-09-03T11:15:08.705Z")</f>
        <v>2025-09-03T11:15:08.705Z</v>
      </c>
      <c r="B267" s="2" t="str">
        <f>IFERROR(__xludf.DUMMYFUNCTION("""COMPUTED_VALUE"""),"2025-09-03T11:15:55.118+08")</f>
        <v>2025-09-03T11:15:55.118+08</v>
      </c>
      <c r="C267" s="2" t="str">
        <f>IFERROR(__xludf.DUMMYFUNCTION("""COMPUTED_VALUE"""),"2025-09-03T19:10:59.706+08")</f>
        <v>2025-09-03T19:10:59.706+08</v>
      </c>
      <c r="D267" s="2" t="str">
        <f>IFERROR(__xludf.DUMMYFUNCTION("""COMPUTED_VALUE"""),"H030327032")</f>
        <v>H030327032</v>
      </c>
      <c r="E267" s="2" t="str">
        <f>IFERROR(__xludf.DUMMYFUNCTION("""COMPUTED_VALUE"""),"C7502931")</f>
        <v>C7502931</v>
      </c>
      <c r="F267" s="2" t="str">
        <f>IFERROR(__xludf.DUMMYFUNCTION("""COMPUTED_VALUE"""),"Jenny Lou Toles Estacio")</f>
        <v>Jenny Lou Toles Estacio</v>
      </c>
      <c r="G267" s="2"/>
      <c r="H267" s="2"/>
      <c r="I267" s="2" t="str">
        <f>IFERROR(__xludf.DUMMYFUNCTION("""COMPUTED_VALUE"""),"ICM_Business_linked_launch")</f>
        <v>ICM_Business_linked_launch</v>
      </c>
      <c r="J267" s="2" t="str">
        <f>IFERROR(__xludf.DUMMYFUNCTION("""COMPUTED_VALUE"""),"uuid:227e23b4-36a3-432b-ab31-866808e64774")</f>
        <v>uuid:227e23b4-36a3-432b-ab31-866808e64774</v>
      </c>
    </row>
    <row r="268">
      <c r="A268" s="2" t="str">
        <f>IFERROR(__xludf.DUMMYFUNCTION("""COMPUTED_VALUE"""),"2025-09-03T11:15:10.836Z")</f>
        <v>2025-09-03T11:15:10.836Z</v>
      </c>
      <c r="B268" s="2" t="str">
        <f>IFERROR(__xludf.DUMMYFUNCTION("""COMPUTED_VALUE"""),"2025-09-03T10:22:10.357+08")</f>
        <v>2025-09-03T10:22:10.357+08</v>
      </c>
      <c r="C268" s="2" t="str">
        <f>IFERROR(__xludf.DUMMYFUNCTION("""COMPUTED_VALUE"""),"2025-09-03T19:14:47.500+08")</f>
        <v>2025-09-03T19:14:47.500+08</v>
      </c>
      <c r="D268" s="2" t="str">
        <f>IFERROR(__xludf.DUMMYFUNCTION("""COMPUTED_VALUE"""),"H030327027")</f>
        <v>H030327027</v>
      </c>
      <c r="E268" s="2" t="str">
        <f>IFERROR(__xludf.DUMMYFUNCTION("""COMPUTED_VALUE"""),"C7502931")</f>
        <v>C7502931</v>
      </c>
      <c r="F268" s="2" t="str">
        <f>IFERROR(__xludf.DUMMYFUNCTION("""COMPUTED_VALUE"""),"Jenny Lou Toles Estacio")</f>
        <v>Jenny Lou Toles Estacio</v>
      </c>
      <c r="G268" s="2"/>
      <c r="H268" s="2"/>
      <c r="I268" s="2" t="str">
        <f>IFERROR(__xludf.DUMMYFUNCTION("""COMPUTED_VALUE"""),"ICM_Business_linked_launch")</f>
        <v>ICM_Business_linked_launch</v>
      </c>
      <c r="J268" s="2" t="str">
        <f>IFERROR(__xludf.DUMMYFUNCTION("""COMPUTED_VALUE"""),"uuid:4e191357-fc5a-4715-ae1b-811df441d89d")</f>
        <v>uuid:4e191357-fc5a-4715-ae1b-811df441d89d</v>
      </c>
    </row>
    <row r="269">
      <c r="A269" s="2" t="str">
        <f>IFERROR(__xludf.DUMMYFUNCTION("""COMPUTED_VALUE"""),"2025-09-03T11:17:38.640Z")</f>
        <v>2025-09-03T11:17:38.640Z</v>
      </c>
      <c r="B269" s="2" t="str">
        <f>IFERROR(__xludf.DUMMYFUNCTION("""COMPUTED_VALUE"""),"2025-09-03T10:33:17.744+08")</f>
        <v>2025-09-03T10:33:17.744+08</v>
      </c>
      <c r="C269" s="2" t="str">
        <f>IFERROR(__xludf.DUMMYFUNCTION("""COMPUTED_VALUE"""),"2025-09-03T10:37:11.011+08")</f>
        <v>2025-09-03T10:37:11.011+08</v>
      </c>
      <c r="D269" s="2" t="str">
        <f>IFERROR(__xludf.DUMMYFUNCTION("""COMPUTED_VALUE"""),"H019277026")</f>
        <v>H019277026</v>
      </c>
      <c r="E269" s="2">
        <f>IFERROR(__xludf.DUMMYFUNCTION("""COMPUTED_VALUE"""),555127.0)</f>
        <v>555127</v>
      </c>
      <c r="F269" s="2" t="str">
        <f>IFERROR(__xludf.DUMMYFUNCTION("""COMPUTED_VALUE"""),"Mary May_2")</f>
        <v>Mary May_2</v>
      </c>
      <c r="G269" s="2"/>
      <c r="H269" s="2"/>
      <c r="I269" s="2" t="str">
        <f>IFERROR(__xludf.DUMMYFUNCTION("""COMPUTED_VALUE"""),"ICM_Business_linked_launch")</f>
        <v>ICM_Business_linked_launch</v>
      </c>
      <c r="J269" s="2" t="str">
        <f>IFERROR(__xludf.DUMMYFUNCTION("""COMPUTED_VALUE"""),"uuid:4c824692-f107-4ad9-a843-13728929378f")</f>
        <v>uuid:4c824692-f107-4ad9-a843-13728929378f</v>
      </c>
    </row>
    <row r="270">
      <c r="A270" s="2" t="str">
        <f>IFERROR(__xludf.DUMMYFUNCTION("""COMPUTED_VALUE"""),"2025-09-03T11:17:41.609Z")</f>
        <v>2025-09-03T11:17:41.609Z</v>
      </c>
      <c r="B270" s="2" t="str">
        <f>IFERROR(__xludf.DUMMYFUNCTION("""COMPUTED_VALUE"""),"2025-09-03T11:41:21.361+08")</f>
        <v>2025-09-03T11:41:21.361+08</v>
      </c>
      <c r="C270" s="2" t="str">
        <f>IFERROR(__xludf.DUMMYFUNCTION("""COMPUTED_VALUE"""),"2025-09-03T11:46:30.049+08")</f>
        <v>2025-09-03T11:46:30.049+08</v>
      </c>
      <c r="D270" s="2" t="str">
        <f>IFERROR(__xludf.DUMMYFUNCTION("""COMPUTED_VALUE"""),"H019277023")</f>
        <v>H019277023</v>
      </c>
      <c r="E270" s="2">
        <f>IFERROR(__xludf.DUMMYFUNCTION("""COMPUTED_VALUE"""),555127.0)</f>
        <v>555127</v>
      </c>
      <c r="F270" s="2" t="str">
        <f>IFERROR(__xludf.DUMMYFUNCTION("""COMPUTED_VALUE"""),"Mary May_2")</f>
        <v>Mary May_2</v>
      </c>
      <c r="G270" s="2"/>
      <c r="H270" s="2"/>
      <c r="I270" s="2" t="str">
        <f>IFERROR(__xludf.DUMMYFUNCTION("""COMPUTED_VALUE"""),"ICM_Business_linked_launch")</f>
        <v>ICM_Business_linked_launch</v>
      </c>
      <c r="J270" s="2" t="str">
        <f>IFERROR(__xludf.DUMMYFUNCTION("""COMPUTED_VALUE"""),"uuid:3ea574a2-5365-437e-84fc-6157e5ad194b")</f>
        <v>uuid:3ea574a2-5365-437e-84fc-6157e5ad194b</v>
      </c>
    </row>
    <row r="271">
      <c r="A271" s="2" t="str">
        <f>IFERROR(__xludf.DUMMYFUNCTION("""COMPUTED_VALUE"""),"2025-09-03T11:17:42.908Z")</f>
        <v>2025-09-03T11:17:42.908Z</v>
      </c>
      <c r="B271" s="2" t="str">
        <f>IFERROR(__xludf.DUMMYFUNCTION("""COMPUTED_VALUE"""),"2025-09-03T13:39:25.166+08")</f>
        <v>2025-09-03T13:39:25.166+08</v>
      </c>
      <c r="C271" s="2" t="str">
        <f>IFERROR(__xludf.DUMMYFUNCTION("""COMPUTED_VALUE"""),"2025-09-03T17:18:11.580+08")</f>
        <v>2025-09-03T17:18:11.580+08</v>
      </c>
      <c r="D271" s="2" t="str">
        <f>IFERROR(__xludf.DUMMYFUNCTION("""COMPUTED_VALUE"""),"H019277030")</f>
        <v>H019277030</v>
      </c>
      <c r="E271" s="2">
        <f>IFERROR(__xludf.DUMMYFUNCTION("""COMPUTED_VALUE"""),555127.0)</f>
        <v>555127</v>
      </c>
      <c r="F271" s="2" t="str">
        <f>IFERROR(__xludf.DUMMYFUNCTION("""COMPUTED_VALUE"""),"Mary May_2")</f>
        <v>Mary May_2</v>
      </c>
      <c r="G271" s="2"/>
      <c r="H271" s="2"/>
      <c r="I271" s="2" t="str">
        <f>IFERROR(__xludf.DUMMYFUNCTION("""COMPUTED_VALUE"""),"ICM_Business_linked_launch")</f>
        <v>ICM_Business_linked_launch</v>
      </c>
      <c r="J271" s="2" t="str">
        <f>IFERROR(__xludf.DUMMYFUNCTION("""COMPUTED_VALUE"""),"uuid:ca61aac3-646f-4a30-9e86-3ccc3e4c793b")</f>
        <v>uuid:ca61aac3-646f-4a30-9e86-3ccc3e4c793b</v>
      </c>
    </row>
    <row r="272">
      <c r="A272" s="2" t="str">
        <f>IFERROR(__xludf.DUMMYFUNCTION("""COMPUTED_VALUE"""),"2025-09-03T11:17:44.252Z")</f>
        <v>2025-09-03T11:17:44.252Z</v>
      </c>
      <c r="B272" s="2" t="str">
        <f>IFERROR(__xludf.DUMMYFUNCTION("""COMPUTED_VALUE"""),"2025-09-03T14:50:42.933+08")</f>
        <v>2025-09-03T14:50:42.933+08</v>
      </c>
      <c r="C272" s="2" t="str">
        <f>IFERROR(__xludf.DUMMYFUNCTION("""COMPUTED_VALUE"""),"2025-09-03T14:56:43.768+08")</f>
        <v>2025-09-03T14:56:43.768+08</v>
      </c>
      <c r="D272" s="2" t="str">
        <f>IFERROR(__xludf.DUMMYFUNCTION("""COMPUTED_VALUE"""),"H019277031")</f>
        <v>H019277031</v>
      </c>
      <c r="E272" s="2">
        <f>IFERROR(__xludf.DUMMYFUNCTION("""COMPUTED_VALUE"""),555127.0)</f>
        <v>555127</v>
      </c>
      <c r="F272" s="2" t="str">
        <f>IFERROR(__xludf.DUMMYFUNCTION("""COMPUTED_VALUE"""),"Mary May_2")</f>
        <v>Mary May_2</v>
      </c>
      <c r="G272" s="2"/>
      <c r="H272" s="2"/>
      <c r="I272" s="2" t="str">
        <f>IFERROR(__xludf.DUMMYFUNCTION("""COMPUTED_VALUE"""),"ICM_Business_linked_launch")</f>
        <v>ICM_Business_linked_launch</v>
      </c>
      <c r="J272" s="2" t="str">
        <f>IFERROR(__xludf.DUMMYFUNCTION("""COMPUTED_VALUE"""),"uuid:76239f52-3fb7-470f-8fd8-4f41ab333bcc")</f>
        <v>uuid:76239f52-3fb7-470f-8fd8-4f41ab333bcc</v>
      </c>
    </row>
    <row r="273">
      <c r="A273" s="2" t="str">
        <f>IFERROR(__xludf.DUMMYFUNCTION("""COMPUTED_VALUE"""),"2025-09-03T11:25:31.253Z")</f>
        <v>2025-09-03T11:25:31.253Z</v>
      </c>
      <c r="B273" s="2" t="str">
        <f>IFERROR(__xludf.DUMMYFUNCTION("""COMPUTED_VALUE"""),"2025-09-03T10:23:19.843+08")</f>
        <v>2025-09-03T10:23:19.843+08</v>
      </c>
      <c r="C273" s="2" t="str">
        <f>IFERROR(__xludf.DUMMYFUNCTION("""COMPUTED_VALUE"""),"2025-09-03T10:39:55.191+08")</f>
        <v>2025-09-03T10:39:55.191+08</v>
      </c>
      <c r="D273" s="2" t="str">
        <f>IFERROR(__xludf.DUMMYFUNCTION("""COMPUTED_VALUE"""),"H030327033")</f>
        <v>H030327033</v>
      </c>
      <c r="E273" s="2">
        <f>IFERROR(__xludf.DUMMYFUNCTION("""COMPUTED_VALUE"""),896791.0)</f>
        <v>896791</v>
      </c>
      <c r="F273" s="2" t="str">
        <f>IFERROR(__xludf.DUMMYFUNCTION("""COMPUTED_VALUE"""),"Roland A. Bandiola jr_2")</f>
        <v>Roland A. Bandiola jr_2</v>
      </c>
      <c r="G273" s="2"/>
      <c r="H273" s="2"/>
      <c r="I273" s="2" t="str">
        <f>IFERROR(__xludf.DUMMYFUNCTION("""COMPUTED_VALUE"""),"ICM_Business_linked_launch")</f>
        <v>ICM_Business_linked_launch</v>
      </c>
      <c r="J273" s="2" t="str">
        <f>IFERROR(__xludf.DUMMYFUNCTION("""COMPUTED_VALUE"""),"uuid:aec31509-0ab3-4d20-bc32-54961e8a25eb")</f>
        <v>uuid:aec31509-0ab3-4d20-bc32-54961e8a25eb</v>
      </c>
    </row>
    <row r="274">
      <c r="A274" s="2" t="str">
        <f>IFERROR(__xludf.DUMMYFUNCTION("""COMPUTED_VALUE"""),"2025-09-03T11:25:36.649Z")</f>
        <v>2025-09-03T11:25:36.649Z</v>
      </c>
      <c r="B274" s="2" t="str">
        <f>IFERROR(__xludf.DUMMYFUNCTION("""COMPUTED_VALUE"""),"2025-09-03T11:48:18.237+08")</f>
        <v>2025-09-03T11:48:18.237+08</v>
      </c>
      <c r="C274" s="2" t="str">
        <f>IFERROR(__xludf.DUMMYFUNCTION("""COMPUTED_VALUE"""),"2025-09-03T11:58:22.830+08")</f>
        <v>2025-09-03T11:58:22.830+08</v>
      </c>
      <c r="D274" s="2" t="str">
        <f>IFERROR(__xludf.DUMMYFUNCTION("""COMPUTED_VALUE"""),"H030327019")</f>
        <v>H030327019</v>
      </c>
      <c r="E274" s="2">
        <f>IFERROR(__xludf.DUMMYFUNCTION("""COMPUTED_VALUE"""),896791.0)</f>
        <v>896791</v>
      </c>
      <c r="F274" s="2" t="str">
        <f>IFERROR(__xludf.DUMMYFUNCTION("""COMPUTED_VALUE"""),"Roland A. Bandiola jr_2")</f>
        <v>Roland A. Bandiola jr_2</v>
      </c>
      <c r="G274" s="2"/>
      <c r="H274" s="2"/>
      <c r="I274" s="2" t="str">
        <f>IFERROR(__xludf.DUMMYFUNCTION("""COMPUTED_VALUE"""),"ICM_Business_linked_launch")</f>
        <v>ICM_Business_linked_launch</v>
      </c>
      <c r="J274" s="2" t="str">
        <f>IFERROR(__xludf.DUMMYFUNCTION("""COMPUTED_VALUE"""),"uuid:323fafc6-892b-4f95-bc3c-9c4d685f8311")</f>
        <v>uuid:323fafc6-892b-4f95-bc3c-9c4d685f8311</v>
      </c>
    </row>
    <row r="275">
      <c r="A275" s="2" t="str">
        <f>IFERROR(__xludf.DUMMYFUNCTION("""COMPUTED_VALUE"""),"2025-09-03T11:25:37.739Z")</f>
        <v>2025-09-03T11:25:37.739Z</v>
      </c>
      <c r="B275" s="2" t="str">
        <f>IFERROR(__xludf.DUMMYFUNCTION("""COMPUTED_VALUE"""),"2025-09-03T12:26:05.995+08")</f>
        <v>2025-09-03T12:26:05.995+08</v>
      </c>
      <c r="C275" s="2" t="str">
        <f>IFERROR(__xludf.DUMMYFUNCTION("""COMPUTED_VALUE"""),"2025-09-03T12:34:18.992+08")</f>
        <v>2025-09-03T12:34:18.992+08</v>
      </c>
      <c r="D275" s="2" t="str">
        <f>IFERROR(__xludf.DUMMYFUNCTION("""COMPUTED_VALUE"""),"H030327024")</f>
        <v>H030327024</v>
      </c>
      <c r="E275" s="2">
        <f>IFERROR(__xludf.DUMMYFUNCTION("""COMPUTED_VALUE"""),896791.0)</f>
        <v>896791</v>
      </c>
      <c r="F275" s="2" t="str">
        <f>IFERROR(__xludf.DUMMYFUNCTION("""COMPUTED_VALUE"""),"Roland A. Bandiola jr_2")</f>
        <v>Roland A. Bandiola jr_2</v>
      </c>
      <c r="G275" s="2"/>
      <c r="H275" s="2"/>
      <c r="I275" s="2" t="str">
        <f>IFERROR(__xludf.DUMMYFUNCTION("""COMPUTED_VALUE"""),"ICM_Business_linked_launch")</f>
        <v>ICM_Business_linked_launch</v>
      </c>
      <c r="J275" s="2" t="str">
        <f>IFERROR(__xludf.DUMMYFUNCTION("""COMPUTED_VALUE"""),"uuid:480e16ce-a304-4fb2-85e9-843285ee6bbd")</f>
        <v>uuid:480e16ce-a304-4fb2-85e9-843285ee6bbd</v>
      </c>
    </row>
    <row r="276">
      <c r="A276" s="2" t="str">
        <f>IFERROR(__xludf.DUMMYFUNCTION("""COMPUTED_VALUE"""),"2025-09-03T11:25:38.904Z")</f>
        <v>2025-09-03T11:25:38.904Z</v>
      </c>
      <c r="B276" s="2" t="str">
        <f>IFERROR(__xludf.DUMMYFUNCTION("""COMPUTED_VALUE"""),"2025-09-03T14:08:09.056+08")</f>
        <v>2025-09-03T14:08:09.056+08</v>
      </c>
      <c r="C276" s="2" t="str">
        <f>IFERROR(__xludf.DUMMYFUNCTION("""COMPUTED_VALUE"""),"2025-09-03T14:22:55.418+08")</f>
        <v>2025-09-03T14:22:55.418+08</v>
      </c>
      <c r="D276" s="2" t="str">
        <f>IFERROR(__xludf.DUMMYFUNCTION("""COMPUTED_VALUE"""),"H030327028")</f>
        <v>H030327028</v>
      </c>
      <c r="E276" s="2">
        <f>IFERROR(__xludf.DUMMYFUNCTION("""COMPUTED_VALUE"""),896791.0)</f>
        <v>896791</v>
      </c>
      <c r="F276" s="2" t="str">
        <f>IFERROR(__xludf.DUMMYFUNCTION("""COMPUTED_VALUE"""),"Roland A. Bandiola jr_2")</f>
        <v>Roland A. Bandiola jr_2</v>
      </c>
      <c r="G276" s="2"/>
      <c r="H276" s="2"/>
      <c r="I276" s="2" t="str">
        <f>IFERROR(__xludf.DUMMYFUNCTION("""COMPUTED_VALUE"""),"ICM_Business_linked_launch")</f>
        <v>ICM_Business_linked_launch</v>
      </c>
      <c r="J276" s="2" t="str">
        <f>IFERROR(__xludf.DUMMYFUNCTION("""COMPUTED_VALUE"""),"uuid:dd0a6feb-535c-42ed-b884-c562961fbd29")</f>
        <v>uuid:dd0a6feb-535c-42ed-b884-c562961fbd29</v>
      </c>
    </row>
    <row r="277">
      <c r="A277" s="2" t="str">
        <f>IFERROR(__xludf.DUMMYFUNCTION("""COMPUTED_VALUE"""),"2025-09-03T11:44:34.489Z")</f>
        <v>2025-09-03T11:44:34.489Z</v>
      </c>
      <c r="B277" s="2" t="str">
        <f>IFERROR(__xludf.DUMMYFUNCTION("""COMPUTED_VALUE"""),"2025-09-03T15:43:11.990+08")</f>
        <v>2025-09-03T15:43:11.990+08</v>
      </c>
      <c r="C277" s="2" t="str">
        <f>IFERROR(__xludf.DUMMYFUNCTION("""COMPUTED_VALUE"""),"2025-09-03T15:59:08.465+08")</f>
        <v>2025-09-03T15:59:08.465+08</v>
      </c>
      <c r="D277" s="2" t="str">
        <f>IFERROR(__xludf.DUMMYFUNCTION("""COMPUTED_VALUE"""),"H030517030")</f>
        <v>H030517030</v>
      </c>
      <c r="E277" s="2" t="str">
        <f>IFERROR(__xludf.DUMMYFUNCTION("""COMPUTED_VALUE"""),"D1284067")</f>
        <v>D1284067</v>
      </c>
      <c r="F277" s="2" t="str">
        <f>IFERROR(__xludf.DUMMYFUNCTION("""COMPUTED_VALUE"""),"Mariel Del Rio")</f>
        <v>Mariel Del Rio</v>
      </c>
      <c r="G277" s="2"/>
      <c r="H277" s="2"/>
      <c r="I277" s="2" t="str">
        <f>IFERROR(__xludf.DUMMYFUNCTION("""COMPUTED_VALUE"""),"ICM_Business_linked_launch")</f>
        <v>ICM_Business_linked_launch</v>
      </c>
      <c r="J277" s="2" t="str">
        <f>IFERROR(__xludf.DUMMYFUNCTION("""COMPUTED_VALUE"""),"uuid:fd353a57-fdc4-439e-9c85-579e83e26f67")</f>
        <v>uuid:fd353a57-fdc4-439e-9c85-579e83e26f67</v>
      </c>
    </row>
    <row r="278">
      <c r="A278" s="2" t="str">
        <f>IFERROR(__xludf.DUMMYFUNCTION("""COMPUTED_VALUE"""),"2025-09-03T11:44:45.958Z")</f>
        <v>2025-09-03T11:44:45.958Z</v>
      </c>
      <c r="B278" s="2" t="str">
        <f>IFERROR(__xludf.DUMMYFUNCTION("""COMPUTED_VALUE"""),"2025-09-03T18:52:38.639+08")</f>
        <v>2025-09-03T18:52:38.639+08</v>
      </c>
      <c r="C278" s="2" t="str">
        <f>IFERROR(__xludf.DUMMYFUNCTION("""COMPUTED_VALUE"""),"2025-09-03T19:04:35.645+08")</f>
        <v>2025-09-03T19:04:35.645+08</v>
      </c>
      <c r="D278" s="2" t="str">
        <f>IFERROR(__xludf.DUMMYFUNCTION("""COMPUTED_VALUE"""),"H030517016")</f>
        <v>H030517016</v>
      </c>
      <c r="E278" s="2" t="str">
        <f>IFERROR(__xludf.DUMMYFUNCTION("""COMPUTED_VALUE"""),"D1284067")</f>
        <v>D1284067</v>
      </c>
      <c r="F278" s="2" t="str">
        <f>IFERROR(__xludf.DUMMYFUNCTION("""COMPUTED_VALUE"""),"Mariel Del Rio")</f>
        <v>Mariel Del Rio</v>
      </c>
      <c r="G278" s="2"/>
      <c r="H278" s="2"/>
      <c r="I278" s="2" t="str">
        <f>IFERROR(__xludf.DUMMYFUNCTION("""COMPUTED_VALUE"""),"ICM_Business_linked_launch")</f>
        <v>ICM_Business_linked_launch</v>
      </c>
      <c r="J278" s="2" t="str">
        <f>IFERROR(__xludf.DUMMYFUNCTION("""COMPUTED_VALUE"""),"uuid:4f54bfd6-5336-4166-9e04-ea7670e195d3")</f>
        <v>uuid:4f54bfd6-5336-4166-9e04-ea7670e195d3</v>
      </c>
    </row>
    <row r="279">
      <c r="A279" s="2" t="str">
        <f>IFERROR(__xludf.DUMMYFUNCTION("""COMPUTED_VALUE"""),"2025-09-03T11:44:58.789Z")</f>
        <v>2025-09-03T11:44:58.789Z</v>
      </c>
      <c r="B279" s="2" t="str">
        <f>IFERROR(__xludf.DUMMYFUNCTION("""COMPUTED_VALUE"""),"2025-09-03T11:09:30.687+08")</f>
        <v>2025-09-03T11:09:30.687+08</v>
      </c>
      <c r="C279" s="2" t="str">
        <f>IFERROR(__xludf.DUMMYFUNCTION("""COMPUTED_VALUE"""),"2025-09-03T11:23:37.866+08")</f>
        <v>2025-09-03T11:23:37.866+08</v>
      </c>
      <c r="D279" s="2" t="str">
        <f>IFERROR(__xludf.DUMMYFUNCTION("""COMPUTED_VALUE"""),"H030517017")</f>
        <v>H030517017</v>
      </c>
      <c r="E279" s="2" t="str">
        <f>IFERROR(__xludf.DUMMYFUNCTION("""COMPUTED_VALUE"""),"D1284067")</f>
        <v>D1284067</v>
      </c>
      <c r="F279" s="2" t="str">
        <f>IFERROR(__xludf.DUMMYFUNCTION("""COMPUTED_VALUE"""),"Mariel Del Rio")</f>
        <v>Mariel Del Rio</v>
      </c>
      <c r="G279" s="2"/>
      <c r="H279" s="2"/>
      <c r="I279" s="2" t="str">
        <f>IFERROR(__xludf.DUMMYFUNCTION("""COMPUTED_VALUE"""),"ICM_Business_linked_launch")</f>
        <v>ICM_Business_linked_launch</v>
      </c>
      <c r="J279" s="2" t="str">
        <f>IFERROR(__xludf.DUMMYFUNCTION("""COMPUTED_VALUE"""),"uuid:f385eaa1-ba5f-4ca6-aa61-5e974e3318e7")</f>
        <v>uuid:f385eaa1-ba5f-4ca6-aa61-5e974e3318e7</v>
      </c>
    </row>
    <row r="280">
      <c r="A280" s="2" t="str">
        <f>IFERROR(__xludf.DUMMYFUNCTION("""COMPUTED_VALUE"""),"2025-09-03T11:45:05.683Z")</f>
        <v>2025-09-03T11:45:05.683Z</v>
      </c>
      <c r="B280" s="2" t="str">
        <f>IFERROR(__xludf.DUMMYFUNCTION("""COMPUTED_VALUE"""),"2025-09-03T11:43:47.420+08")</f>
        <v>2025-09-03T11:43:47.420+08</v>
      </c>
      <c r="C280" s="2" t="str">
        <f>IFERROR(__xludf.DUMMYFUNCTION("""COMPUTED_VALUE"""),"2025-09-03T11:59:14.095+08")</f>
        <v>2025-09-03T11:59:14.095+08</v>
      </c>
      <c r="D280" s="2" t="str">
        <f>IFERROR(__xludf.DUMMYFUNCTION("""COMPUTED_VALUE"""),"H030517020")</f>
        <v>H030517020</v>
      </c>
      <c r="E280" s="2" t="str">
        <f>IFERROR(__xludf.DUMMYFUNCTION("""COMPUTED_VALUE"""),"D1284067")</f>
        <v>D1284067</v>
      </c>
      <c r="F280" s="2" t="str">
        <f>IFERROR(__xludf.DUMMYFUNCTION("""COMPUTED_VALUE"""),"Mariel Del Rio")</f>
        <v>Mariel Del Rio</v>
      </c>
      <c r="G280" s="2"/>
      <c r="H280" s="2"/>
      <c r="I280" s="2" t="str">
        <f>IFERROR(__xludf.DUMMYFUNCTION("""COMPUTED_VALUE"""),"ICM_Business_linked_launch")</f>
        <v>ICM_Business_linked_launch</v>
      </c>
      <c r="J280" s="2" t="str">
        <f>IFERROR(__xludf.DUMMYFUNCTION("""COMPUTED_VALUE"""),"uuid:7738d7e1-3a51-4dc1-ab60-4fc634cdb656")</f>
        <v>uuid:7738d7e1-3a51-4dc1-ab60-4fc634cdb656</v>
      </c>
    </row>
    <row r="281">
      <c r="A281" s="2" t="str">
        <f>IFERROR(__xludf.DUMMYFUNCTION("""COMPUTED_VALUE"""),"2025-09-03T11:46:14.012Z")</f>
        <v>2025-09-03T11:46:14.012Z</v>
      </c>
      <c r="B281" s="2" t="str">
        <f>IFERROR(__xludf.DUMMYFUNCTION("""COMPUTED_VALUE"""),"2025-09-03T10:26:25.103+08")</f>
        <v>2025-09-03T10:26:25.103+08</v>
      </c>
      <c r="C281" s="2" t="str">
        <f>IFERROR(__xludf.DUMMYFUNCTION("""COMPUTED_VALUE"""),"2025-09-03T10:30:14.329+08")</f>
        <v>2025-09-03T10:30:14.329+08</v>
      </c>
      <c r="D281" s="2" t="str">
        <f>IFERROR(__xludf.DUMMYFUNCTION("""COMPUTED_VALUE"""),"H019277022")</f>
        <v>H019277022</v>
      </c>
      <c r="E281" s="2">
        <f>IFERROR(__xludf.DUMMYFUNCTION("""COMPUTED_VALUE"""),455939.0)</f>
        <v>455939</v>
      </c>
      <c r="F281" s="2" t="str">
        <f>IFERROR(__xludf.DUMMYFUNCTION("""COMPUTED_VALUE"""),"Mary Jean Villaflor_2")</f>
        <v>Mary Jean Villaflor_2</v>
      </c>
      <c r="G281" s="2"/>
      <c r="H281" s="2"/>
      <c r="I281" s="2" t="str">
        <f>IFERROR(__xludf.DUMMYFUNCTION("""COMPUTED_VALUE"""),"ICM_Business_linked_launch")</f>
        <v>ICM_Business_linked_launch</v>
      </c>
      <c r="J281" s="2" t="str">
        <f>IFERROR(__xludf.DUMMYFUNCTION("""COMPUTED_VALUE"""),"uuid:f3863580-ae51-4a5a-ae7d-e67dc64609d9")</f>
        <v>uuid:f3863580-ae51-4a5a-ae7d-e67dc64609d9</v>
      </c>
    </row>
    <row r="282">
      <c r="A282" s="2" t="str">
        <f>IFERROR(__xludf.DUMMYFUNCTION("""COMPUTED_VALUE"""),"2025-09-03T11:46:15.351Z")</f>
        <v>2025-09-03T11:46:15.351Z</v>
      </c>
      <c r="B282" s="2" t="str">
        <f>IFERROR(__xludf.DUMMYFUNCTION("""COMPUTED_VALUE"""),"2025-09-03T13:19:32.326+08")</f>
        <v>2025-09-03T13:19:32.326+08</v>
      </c>
      <c r="C282" s="2" t="str">
        <f>IFERROR(__xludf.DUMMYFUNCTION("""COMPUTED_VALUE"""),"2025-09-03T13:22:25.659+08")</f>
        <v>2025-09-03T13:22:25.659+08</v>
      </c>
      <c r="D282" s="2" t="str">
        <f>IFERROR(__xludf.DUMMYFUNCTION("""COMPUTED_VALUE"""),"H019277016")</f>
        <v>H019277016</v>
      </c>
      <c r="E282" s="2">
        <f>IFERROR(__xludf.DUMMYFUNCTION("""COMPUTED_VALUE"""),455939.0)</f>
        <v>455939</v>
      </c>
      <c r="F282" s="2" t="str">
        <f>IFERROR(__xludf.DUMMYFUNCTION("""COMPUTED_VALUE"""),"Mary Jean Villaflor_2")</f>
        <v>Mary Jean Villaflor_2</v>
      </c>
      <c r="G282" s="2"/>
      <c r="H282" s="2"/>
      <c r="I282" s="2" t="str">
        <f>IFERROR(__xludf.DUMMYFUNCTION("""COMPUTED_VALUE"""),"ICM_Business_linked_launch")</f>
        <v>ICM_Business_linked_launch</v>
      </c>
      <c r="J282" s="2" t="str">
        <f>IFERROR(__xludf.DUMMYFUNCTION("""COMPUTED_VALUE"""),"uuid:9e83e08e-65e5-4467-b9f6-b8ab621d5dd5")</f>
        <v>uuid:9e83e08e-65e5-4467-b9f6-b8ab621d5dd5</v>
      </c>
    </row>
    <row r="283">
      <c r="A283" s="2" t="str">
        <f>IFERROR(__xludf.DUMMYFUNCTION("""COMPUTED_VALUE"""),"2025-09-03T11:46:16.603Z")</f>
        <v>2025-09-03T11:46:16.603Z</v>
      </c>
      <c r="B283" s="2" t="str">
        <f>IFERROR(__xludf.DUMMYFUNCTION("""COMPUTED_VALUE"""),"2025-09-03T11:02:59.971+08")</f>
        <v>2025-09-03T11:02:59.971+08</v>
      </c>
      <c r="C283" s="2" t="str">
        <f>IFERROR(__xludf.DUMMYFUNCTION("""COMPUTED_VALUE"""),"2025-09-03T11:14:48.384+08")</f>
        <v>2025-09-03T11:14:48.384+08</v>
      </c>
      <c r="D283" s="2" t="str">
        <f>IFERROR(__xludf.DUMMYFUNCTION("""COMPUTED_VALUE"""),"H030517023")</f>
        <v>H030517023</v>
      </c>
      <c r="E283" s="2" t="str">
        <f>IFERROR(__xludf.DUMMYFUNCTION("""COMPUTED_VALUE"""),"B8193462")</f>
        <v>B8193462</v>
      </c>
      <c r="F283" s="2" t="str">
        <f>IFERROR(__xludf.DUMMYFUNCTION("""COMPUTED_VALUE"""),"Mark Lorens Mendoza Gilongo")</f>
        <v>Mark Lorens Mendoza Gilongo</v>
      </c>
      <c r="G283" s="2"/>
      <c r="H283" s="2"/>
      <c r="I283" s="2" t="str">
        <f>IFERROR(__xludf.DUMMYFUNCTION("""COMPUTED_VALUE"""),"ICM_Business_linked_launch")</f>
        <v>ICM_Business_linked_launch</v>
      </c>
      <c r="J283" s="2" t="str">
        <f>IFERROR(__xludf.DUMMYFUNCTION("""COMPUTED_VALUE"""),"uuid:76fdb512-b17a-4655-bdae-feefb36dfaa4")</f>
        <v>uuid:76fdb512-b17a-4655-bdae-feefb36dfaa4</v>
      </c>
    </row>
    <row r="284">
      <c r="A284" s="2" t="str">
        <f>IFERROR(__xludf.DUMMYFUNCTION("""COMPUTED_VALUE"""),"2025-09-03T11:46:16.580Z")</f>
        <v>2025-09-03T11:46:16.580Z</v>
      </c>
      <c r="B284" s="2" t="str">
        <f>IFERROR(__xludf.DUMMYFUNCTION("""COMPUTED_VALUE"""),"2025-09-03T14:13:56.592+08")</f>
        <v>2025-09-03T14:13:56.592+08</v>
      </c>
      <c r="C284" s="2" t="str">
        <f>IFERROR(__xludf.DUMMYFUNCTION("""COMPUTED_VALUE"""),"2025-09-03T14:16:20.879+08")</f>
        <v>2025-09-03T14:16:20.879+08</v>
      </c>
      <c r="D284" s="2" t="str">
        <f>IFERROR(__xludf.DUMMYFUNCTION("""COMPUTED_VALUE"""),"H019277018")</f>
        <v>H019277018</v>
      </c>
      <c r="E284" s="2">
        <f>IFERROR(__xludf.DUMMYFUNCTION("""COMPUTED_VALUE"""),455939.0)</f>
        <v>455939</v>
      </c>
      <c r="F284" s="2" t="str">
        <f>IFERROR(__xludf.DUMMYFUNCTION("""COMPUTED_VALUE"""),"Mary Jean Villaflor_2")</f>
        <v>Mary Jean Villaflor_2</v>
      </c>
      <c r="G284" s="2"/>
      <c r="H284" s="2"/>
      <c r="I284" s="2" t="str">
        <f>IFERROR(__xludf.DUMMYFUNCTION("""COMPUTED_VALUE"""),"ICM_Business_linked_launch")</f>
        <v>ICM_Business_linked_launch</v>
      </c>
      <c r="J284" s="2" t="str">
        <f>IFERROR(__xludf.DUMMYFUNCTION("""COMPUTED_VALUE"""),"uuid:c8799ea6-0cc1-4524-a0aa-05dc4fa1b181")</f>
        <v>uuid:c8799ea6-0cc1-4524-a0aa-05dc4fa1b181</v>
      </c>
    </row>
    <row r="285">
      <c r="A285" s="2" t="str">
        <f>IFERROR(__xludf.DUMMYFUNCTION("""COMPUTED_VALUE"""),"2025-09-03T11:46:18.935Z")</f>
        <v>2025-09-03T11:46:18.935Z</v>
      </c>
      <c r="B285" s="2" t="str">
        <f>IFERROR(__xludf.DUMMYFUNCTION("""COMPUTED_VALUE"""),"2025-09-03T12:14:38.824+08")</f>
        <v>2025-09-03T12:14:38.824+08</v>
      </c>
      <c r="C285" s="2" t="str">
        <f>IFERROR(__xludf.DUMMYFUNCTION("""COMPUTED_VALUE"""),"2025-09-03T12:46:02.839+08")</f>
        <v>2025-09-03T12:46:02.839+08</v>
      </c>
      <c r="D285" s="2" t="str">
        <f>IFERROR(__xludf.DUMMYFUNCTION("""COMPUTED_VALUE"""),"H030517018")</f>
        <v>H030517018</v>
      </c>
      <c r="E285" s="2" t="str">
        <f>IFERROR(__xludf.DUMMYFUNCTION("""COMPUTED_VALUE"""),"B8193462")</f>
        <v>B8193462</v>
      </c>
      <c r="F285" s="2" t="str">
        <f>IFERROR(__xludf.DUMMYFUNCTION("""COMPUTED_VALUE"""),"Mark Lorens Mendoza Gilongo")</f>
        <v>Mark Lorens Mendoza Gilongo</v>
      </c>
      <c r="G285" s="2"/>
      <c r="H285" s="2"/>
      <c r="I285" s="2" t="str">
        <f>IFERROR(__xludf.DUMMYFUNCTION("""COMPUTED_VALUE"""),"ICM_Business_linked_launch")</f>
        <v>ICM_Business_linked_launch</v>
      </c>
      <c r="J285" s="2" t="str">
        <f>IFERROR(__xludf.DUMMYFUNCTION("""COMPUTED_VALUE"""),"uuid:532cfa36-0370-4777-9571-709cc42d69d8")</f>
        <v>uuid:532cfa36-0370-4777-9571-709cc42d69d8</v>
      </c>
    </row>
    <row r="286">
      <c r="A286" s="2" t="str">
        <f>IFERROR(__xludf.DUMMYFUNCTION("""COMPUTED_VALUE"""),"2025-09-03T11:46:25.048Z")</f>
        <v>2025-09-03T11:46:25.048Z</v>
      </c>
      <c r="B286" s="2" t="str">
        <f>IFERROR(__xludf.DUMMYFUNCTION("""COMPUTED_VALUE"""),"2025-09-03T17:57:03.185+08")</f>
        <v>2025-09-03T17:57:03.185+08</v>
      </c>
      <c r="C286" s="2" t="str">
        <f>IFERROR(__xludf.DUMMYFUNCTION("""COMPUTED_VALUE"""),"2025-09-03T18:20:24.443+08")</f>
        <v>2025-09-03T18:20:24.443+08</v>
      </c>
      <c r="D286" s="2" t="str">
        <f>IFERROR(__xludf.DUMMYFUNCTION("""COMPUTED_VALUE"""),"H030517033")</f>
        <v>H030517033</v>
      </c>
      <c r="E286" s="2" t="str">
        <f>IFERROR(__xludf.DUMMYFUNCTION("""COMPUTED_VALUE"""),"B8193462")</f>
        <v>B8193462</v>
      </c>
      <c r="F286" s="2" t="str">
        <f>IFERROR(__xludf.DUMMYFUNCTION("""COMPUTED_VALUE"""),"Mark Lorens Mendoza Gilongo")</f>
        <v>Mark Lorens Mendoza Gilongo</v>
      </c>
      <c r="G286" s="2"/>
      <c r="H286" s="2"/>
      <c r="I286" s="2" t="str">
        <f>IFERROR(__xludf.DUMMYFUNCTION("""COMPUTED_VALUE"""),"ICM_Business_linked_launch")</f>
        <v>ICM_Business_linked_launch</v>
      </c>
      <c r="J286" s="2" t="str">
        <f>IFERROR(__xludf.DUMMYFUNCTION("""COMPUTED_VALUE"""),"uuid:1c5e665d-e423-4f84-85d3-8ee1de0fa8ec")</f>
        <v>uuid:1c5e665d-e423-4f84-85d3-8ee1de0fa8ec</v>
      </c>
    </row>
    <row r="287">
      <c r="A287" s="2" t="str">
        <f>IFERROR(__xludf.DUMMYFUNCTION("""COMPUTED_VALUE"""),"2025-09-03T11:46:25.743Z")</f>
        <v>2025-09-03T11:46:25.743Z</v>
      </c>
      <c r="B287" s="2" t="str">
        <f>IFERROR(__xludf.DUMMYFUNCTION("""COMPUTED_VALUE"""),"2025-09-03T16:21:45.545+08")</f>
        <v>2025-09-03T16:21:45.545+08</v>
      </c>
      <c r="C287" s="2" t="str">
        <f>IFERROR(__xludf.DUMMYFUNCTION("""COMPUTED_VALUE"""),"2025-09-03T17:28:16.973+08")</f>
        <v>2025-09-03T17:28:16.973+08</v>
      </c>
      <c r="D287" s="2" t="str">
        <f>IFERROR(__xludf.DUMMYFUNCTION("""COMPUTED_VALUE"""),"H030517022")</f>
        <v>H030517022</v>
      </c>
      <c r="E287" s="2" t="str">
        <f>IFERROR(__xludf.DUMMYFUNCTION("""COMPUTED_VALUE"""),"B8193462")</f>
        <v>B8193462</v>
      </c>
      <c r="F287" s="2" t="str">
        <f>IFERROR(__xludf.DUMMYFUNCTION("""COMPUTED_VALUE"""),"Mark Lorens Mendoza Gilongo")</f>
        <v>Mark Lorens Mendoza Gilongo</v>
      </c>
      <c r="G287" s="2"/>
      <c r="H287" s="2"/>
      <c r="I287" s="2" t="str">
        <f>IFERROR(__xludf.DUMMYFUNCTION("""COMPUTED_VALUE"""),"ICM_Business_linked_launch")</f>
        <v>ICM_Business_linked_launch</v>
      </c>
      <c r="J287" s="2" t="str">
        <f>IFERROR(__xludf.DUMMYFUNCTION("""COMPUTED_VALUE"""),"uuid:9db98b32-fe38-4dc3-8344-5e6f407baf6a")</f>
        <v>uuid:9db98b32-fe38-4dc3-8344-5e6f407baf6a</v>
      </c>
    </row>
    <row r="288">
      <c r="A288" s="2" t="str">
        <f>IFERROR(__xludf.DUMMYFUNCTION("""COMPUTED_VALUE"""),"2025-09-03T11:55:34.819Z")</f>
        <v>2025-09-03T11:55:34.819Z</v>
      </c>
      <c r="B288" s="2" t="str">
        <f>IFERROR(__xludf.DUMMYFUNCTION("""COMPUTED_VALUE"""),"2025-09-03T12:53:17.825+08")</f>
        <v>2025-09-03T12:53:17.825+08</v>
      </c>
      <c r="C288" s="2" t="str">
        <f>IFERROR(__xludf.DUMMYFUNCTION("""COMPUTED_VALUE"""),"2025-09-03T12:55:22.298+08")</f>
        <v>2025-09-03T12:55:22.298+08</v>
      </c>
      <c r="D288" s="2" t="str">
        <f>IFERROR(__xludf.DUMMYFUNCTION("""COMPUTED_VALUE"""),"H019500020")</f>
        <v>H019500020</v>
      </c>
      <c r="E288" s="2">
        <f>IFERROR(__xludf.DUMMYFUNCTION("""COMPUTED_VALUE"""),859767.0)</f>
        <v>859767</v>
      </c>
      <c r="F288" s="2" t="str">
        <f>IFERROR(__xludf.DUMMYFUNCTION("""COMPUTED_VALUE"""),"Ramie De Pedro Jr._2")</f>
        <v>Ramie De Pedro Jr._2</v>
      </c>
      <c r="G288" s="2"/>
      <c r="H288" s="2"/>
      <c r="I288" s="2" t="str">
        <f>IFERROR(__xludf.DUMMYFUNCTION("""COMPUTED_VALUE"""),"ICM_Business_linked_launch")</f>
        <v>ICM_Business_linked_launch</v>
      </c>
      <c r="J288" s="2" t="str">
        <f>IFERROR(__xludf.DUMMYFUNCTION("""COMPUTED_VALUE"""),"uuid:fa2a43f7-6e23-47b0-ac92-ed8ad2581d8e")</f>
        <v>uuid:fa2a43f7-6e23-47b0-ac92-ed8ad2581d8e</v>
      </c>
    </row>
    <row r="289">
      <c r="A289" s="2" t="str">
        <f>IFERROR(__xludf.DUMMYFUNCTION("""COMPUTED_VALUE"""),"2025-09-03T11:55:37.031Z")</f>
        <v>2025-09-03T11:55:37.031Z</v>
      </c>
      <c r="B289" s="2" t="str">
        <f>IFERROR(__xludf.DUMMYFUNCTION("""COMPUTED_VALUE"""),"2025-09-03T11:32:17.517+08")</f>
        <v>2025-09-03T11:32:17.517+08</v>
      </c>
      <c r="C289" s="2" t="str">
        <f>IFERROR(__xludf.DUMMYFUNCTION("""COMPUTED_VALUE"""),"2025-09-03T11:41:32.953+08")</f>
        <v>2025-09-03T11:41:32.953+08</v>
      </c>
      <c r="D289" s="2" t="str">
        <f>IFERROR(__xludf.DUMMYFUNCTION("""COMPUTED_VALUE"""),"H019500017")</f>
        <v>H019500017</v>
      </c>
      <c r="E289" s="2">
        <f>IFERROR(__xludf.DUMMYFUNCTION("""COMPUTED_VALUE"""),859767.0)</f>
        <v>859767</v>
      </c>
      <c r="F289" s="2" t="str">
        <f>IFERROR(__xludf.DUMMYFUNCTION("""COMPUTED_VALUE"""),"Ramie De Pedro Jr._2")</f>
        <v>Ramie De Pedro Jr._2</v>
      </c>
      <c r="G289" s="2"/>
      <c r="H289" s="2"/>
      <c r="I289" s="2" t="str">
        <f>IFERROR(__xludf.DUMMYFUNCTION("""COMPUTED_VALUE"""),"ICM_Business_linked_launch")</f>
        <v>ICM_Business_linked_launch</v>
      </c>
      <c r="J289" s="2" t="str">
        <f>IFERROR(__xludf.DUMMYFUNCTION("""COMPUTED_VALUE"""),"uuid:d03ded64-e8c1-42e6-b7bb-e34d4829774f")</f>
        <v>uuid:d03ded64-e8c1-42e6-b7bb-e34d4829774f</v>
      </c>
    </row>
    <row r="290">
      <c r="A290" s="2" t="str">
        <f>IFERROR(__xludf.DUMMYFUNCTION("""COMPUTED_VALUE"""),"2025-09-03T11:55:38.092Z")</f>
        <v>2025-09-03T11:55:38.092Z</v>
      </c>
      <c r="B290" s="2" t="str">
        <f>IFERROR(__xludf.DUMMYFUNCTION("""COMPUTED_VALUE"""),"2025-09-03T13:43:38.928+08")</f>
        <v>2025-09-03T13:43:38.928+08</v>
      </c>
      <c r="C290" s="2" t="str">
        <f>IFERROR(__xludf.DUMMYFUNCTION("""COMPUTED_VALUE"""),"2025-09-03T14:13:40.598+08")</f>
        <v>2025-09-03T14:13:40.598+08</v>
      </c>
      <c r="D290" s="2" t="str">
        <f>IFERROR(__xludf.DUMMYFUNCTION("""COMPUTED_VALUE"""),"H019500021")</f>
        <v>H019500021</v>
      </c>
      <c r="E290" s="2">
        <f>IFERROR(__xludf.DUMMYFUNCTION("""COMPUTED_VALUE"""),859767.0)</f>
        <v>859767</v>
      </c>
      <c r="F290" s="2" t="str">
        <f>IFERROR(__xludf.DUMMYFUNCTION("""COMPUTED_VALUE"""),"Ramie De Pedro Jr._2")</f>
        <v>Ramie De Pedro Jr._2</v>
      </c>
      <c r="G290" s="2"/>
      <c r="H290" s="2"/>
      <c r="I290" s="2" t="str">
        <f>IFERROR(__xludf.DUMMYFUNCTION("""COMPUTED_VALUE"""),"ICM_Business_linked_launch")</f>
        <v>ICM_Business_linked_launch</v>
      </c>
      <c r="J290" s="2" t="str">
        <f>IFERROR(__xludf.DUMMYFUNCTION("""COMPUTED_VALUE"""),"uuid:e2da01ce-319e-478a-9d90-fd4b10fea0bb")</f>
        <v>uuid:e2da01ce-319e-478a-9d90-fd4b10fea0bb</v>
      </c>
    </row>
    <row r="291">
      <c r="A291" s="2" t="str">
        <f>IFERROR(__xludf.DUMMYFUNCTION("""COMPUTED_VALUE"""),"2025-09-03T11:55:39.421Z")</f>
        <v>2025-09-03T11:55:39.421Z</v>
      </c>
      <c r="B291" s="2" t="str">
        <f>IFERROR(__xludf.DUMMYFUNCTION("""COMPUTED_VALUE"""),"2025-09-03T16:08:12.916+08")</f>
        <v>2025-09-03T16:08:12.916+08</v>
      </c>
      <c r="C291" s="2" t="str">
        <f>IFERROR(__xludf.DUMMYFUNCTION("""COMPUTED_VALUE"""),"2025-09-03T16:21:19.439+08")</f>
        <v>2025-09-03T16:21:19.439+08</v>
      </c>
      <c r="D291" s="2" t="str">
        <f>IFERROR(__xludf.DUMMYFUNCTION("""COMPUTED_VALUE"""),"H019500022")</f>
        <v>H019500022</v>
      </c>
      <c r="E291" s="2">
        <f>IFERROR(__xludf.DUMMYFUNCTION("""COMPUTED_VALUE"""),859767.0)</f>
        <v>859767</v>
      </c>
      <c r="F291" s="2" t="str">
        <f>IFERROR(__xludf.DUMMYFUNCTION("""COMPUTED_VALUE"""),"Ramie De Pedro Jr._2")</f>
        <v>Ramie De Pedro Jr._2</v>
      </c>
      <c r="G291" s="2"/>
      <c r="H291" s="2"/>
      <c r="I291" s="2" t="str">
        <f>IFERROR(__xludf.DUMMYFUNCTION("""COMPUTED_VALUE"""),"ICM_Business_linked_launch")</f>
        <v>ICM_Business_linked_launch</v>
      </c>
      <c r="J291" s="2" t="str">
        <f>IFERROR(__xludf.DUMMYFUNCTION("""COMPUTED_VALUE"""),"uuid:bfbf5092-1882-427d-a897-84e896e340bc")</f>
        <v>uuid:bfbf5092-1882-427d-a897-84e896e340bc</v>
      </c>
    </row>
    <row r="292">
      <c r="A292" s="2" t="str">
        <f>IFERROR(__xludf.DUMMYFUNCTION("""COMPUTED_VALUE"""),"2025-09-03T12:17:04.010Z")</f>
        <v>2025-09-03T12:17:04.010Z</v>
      </c>
      <c r="B292" s="2" t="str">
        <f>IFERROR(__xludf.DUMMYFUNCTION("""COMPUTED_VALUE"""),"2025-09-03T11:35:47.112+08")</f>
        <v>2025-09-03T11:35:47.112+08</v>
      </c>
      <c r="C292" s="2" t="str">
        <f>IFERROR(__xludf.DUMMYFUNCTION("""COMPUTED_VALUE"""),"2025-09-03T11:52:41.243+08")</f>
        <v>2025-09-03T11:52:41.243+08</v>
      </c>
      <c r="D292" s="2" t="str">
        <f>IFERROR(__xludf.DUMMYFUNCTION("""COMPUTED_VALUE"""),"H019500028")</f>
        <v>H019500028</v>
      </c>
      <c r="E292" s="2" t="str">
        <f>IFERROR(__xludf.DUMMYFUNCTION("""COMPUTED_VALUE"""),"S2671943")</f>
        <v>S2671943</v>
      </c>
      <c r="F292" s="2" t="str">
        <f>IFERROR(__xludf.DUMMYFUNCTION("""COMPUTED_VALUE"""),"Marvin Mondia")</f>
        <v>Marvin Mondia</v>
      </c>
      <c r="G292" s="2"/>
      <c r="H292" s="2"/>
      <c r="I292" s="2" t="str">
        <f>IFERROR(__xludf.DUMMYFUNCTION("""COMPUTED_VALUE"""),"ICM_Business_linked_launch")</f>
        <v>ICM_Business_linked_launch</v>
      </c>
      <c r="J292" s="2" t="str">
        <f>IFERROR(__xludf.DUMMYFUNCTION("""COMPUTED_VALUE"""),"uuid:e9438943-71f1-4c03-b6f4-9e793c739437")</f>
        <v>uuid:e9438943-71f1-4c03-b6f4-9e793c739437</v>
      </c>
    </row>
    <row r="293">
      <c r="A293" s="2" t="str">
        <f>IFERROR(__xludf.DUMMYFUNCTION("""COMPUTED_VALUE"""),"2025-09-03T12:17:04.596Z")</f>
        <v>2025-09-03T12:17:04.596Z</v>
      </c>
      <c r="B293" s="2" t="str">
        <f>IFERROR(__xludf.DUMMYFUNCTION("""COMPUTED_VALUE"""),"2025-09-03T13:01:13.326+08")</f>
        <v>2025-09-03T13:01:13.326+08</v>
      </c>
      <c r="C293" s="2" t="str">
        <f>IFERROR(__xludf.DUMMYFUNCTION("""COMPUTED_VALUE"""),"2025-09-03T13:11:50.038+08")</f>
        <v>2025-09-03T13:11:50.038+08</v>
      </c>
      <c r="D293" s="2" t="str">
        <f>IFERROR(__xludf.DUMMYFUNCTION("""COMPUTED_VALUE"""),"H019500027")</f>
        <v>H019500027</v>
      </c>
      <c r="E293" s="2" t="str">
        <f>IFERROR(__xludf.DUMMYFUNCTION("""COMPUTED_VALUE"""),"S2671943")</f>
        <v>S2671943</v>
      </c>
      <c r="F293" s="2" t="str">
        <f>IFERROR(__xludf.DUMMYFUNCTION("""COMPUTED_VALUE"""),"Marvin Mondia")</f>
        <v>Marvin Mondia</v>
      </c>
      <c r="G293" s="2"/>
      <c r="H293" s="2"/>
      <c r="I293" s="2" t="str">
        <f>IFERROR(__xludf.DUMMYFUNCTION("""COMPUTED_VALUE"""),"ICM_Business_linked_launch")</f>
        <v>ICM_Business_linked_launch</v>
      </c>
      <c r="J293" s="2" t="str">
        <f>IFERROR(__xludf.DUMMYFUNCTION("""COMPUTED_VALUE"""),"uuid:cbccd0be-2c55-484b-bc0f-d7eb1ab34775")</f>
        <v>uuid:cbccd0be-2c55-484b-bc0f-d7eb1ab34775</v>
      </c>
    </row>
    <row r="294">
      <c r="A294" s="2" t="str">
        <f>IFERROR(__xludf.DUMMYFUNCTION("""COMPUTED_VALUE"""),"2025-09-03T12:17:05.925Z")</f>
        <v>2025-09-03T12:17:05.925Z</v>
      </c>
      <c r="B294" s="2" t="str">
        <f>IFERROR(__xludf.DUMMYFUNCTION("""COMPUTED_VALUE"""),"2025-09-03T14:57:06.828+08")</f>
        <v>2025-09-03T14:57:06.828+08</v>
      </c>
      <c r="C294" s="2" t="str">
        <f>IFERROR(__xludf.DUMMYFUNCTION("""COMPUTED_VALUE"""),"2025-09-03T15:07:55.042+08")</f>
        <v>2025-09-03T15:07:55.042+08</v>
      </c>
      <c r="D294" s="2" t="str">
        <f>IFERROR(__xludf.DUMMYFUNCTION("""COMPUTED_VALUE"""),"H019500034")</f>
        <v>H019500034</v>
      </c>
      <c r="E294" s="2" t="str">
        <f>IFERROR(__xludf.DUMMYFUNCTION("""COMPUTED_VALUE"""),"S2671943")</f>
        <v>S2671943</v>
      </c>
      <c r="F294" s="2" t="str">
        <f>IFERROR(__xludf.DUMMYFUNCTION("""COMPUTED_VALUE"""),"Marvin Mondia")</f>
        <v>Marvin Mondia</v>
      </c>
      <c r="G294" s="2"/>
      <c r="H294" s="2"/>
      <c r="I294" s="2" t="str">
        <f>IFERROR(__xludf.DUMMYFUNCTION("""COMPUTED_VALUE"""),"ICM_Business_linked_launch")</f>
        <v>ICM_Business_linked_launch</v>
      </c>
      <c r="J294" s="2" t="str">
        <f>IFERROR(__xludf.DUMMYFUNCTION("""COMPUTED_VALUE"""),"uuid:7c9be838-9f87-44c6-862e-89fde5fb93e4")</f>
        <v>uuid:7c9be838-9f87-44c6-862e-89fde5fb93e4</v>
      </c>
    </row>
    <row r="295">
      <c r="A295" s="2" t="str">
        <f>IFERROR(__xludf.DUMMYFUNCTION("""COMPUTED_VALUE"""),"2025-09-03T12:17:07.208Z")</f>
        <v>2025-09-03T12:17:07.208Z</v>
      </c>
      <c r="B295" s="2" t="str">
        <f>IFERROR(__xludf.DUMMYFUNCTION("""COMPUTED_VALUE"""),"2025-09-03T16:09:06.834+08")</f>
        <v>2025-09-03T16:09:06.834+08</v>
      </c>
      <c r="C295" s="2" t="str">
        <f>IFERROR(__xludf.DUMMYFUNCTION("""COMPUTED_VALUE"""),"2025-09-03T16:19:12.009+08")</f>
        <v>2025-09-03T16:19:12.009+08</v>
      </c>
      <c r="D295" s="2" t="str">
        <f>IFERROR(__xludf.DUMMYFUNCTION("""COMPUTED_VALUE"""),"H019500026")</f>
        <v>H019500026</v>
      </c>
      <c r="E295" s="2" t="str">
        <f>IFERROR(__xludf.DUMMYFUNCTION("""COMPUTED_VALUE"""),"S2671943")</f>
        <v>S2671943</v>
      </c>
      <c r="F295" s="2" t="str">
        <f>IFERROR(__xludf.DUMMYFUNCTION("""COMPUTED_VALUE"""),"Marvin Mondia")</f>
        <v>Marvin Mondia</v>
      </c>
      <c r="G295" s="2"/>
      <c r="H295" s="2"/>
      <c r="I295" s="2" t="str">
        <f>IFERROR(__xludf.DUMMYFUNCTION("""COMPUTED_VALUE"""),"ICM_Business_linked_launch")</f>
        <v>ICM_Business_linked_launch</v>
      </c>
      <c r="J295" s="2" t="str">
        <f>IFERROR(__xludf.DUMMYFUNCTION("""COMPUTED_VALUE"""),"uuid:9defb866-ead4-4bbd-8d95-5f0653df6b1f")</f>
        <v>uuid:9defb866-ead4-4bbd-8d95-5f0653df6b1f</v>
      </c>
    </row>
    <row r="296">
      <c r="A296" s="2" t="str">
        <f>IFERROR(__xludf.DUMMYFUNCTION("""COMPUTED_VALUE"""),"2025-09-03T12:17:24.063Z")</f>
        <v>2025-09-03T12:17:24.063Z</v>
      </c>
      <c r="B296" s="2" t="str">
        <f>IFERROR(__xludf.DUMMYFUNCTION("""COMPUTED_VALUE"""),"2025-09-03T08:21:50.042+08")</f>
        <v>2025-09-03T08:21:50.042+08</v>
      </c>
      <c r="C296" s="2" t="str">
        <f>IFERROR(__xludf.DUMMYFUNCTION("""COMPUTED_VALUE"""),"2025-09-03T08:35:46.603+08")</f>
        <v>2025-09-03T08:35:46.603+08</v>
      </c>
      <c r="D296" s="2" t="str">
        <f>IFERROR(__xludf.DUMMYFUNCTION("""COMPUTED_VALUE"""),"H030076018")</f>
        <v>H030076018</v>
      </c>
      <c r="E296" s="2" t="str">
        <f>IFERROR(__xludf.DUMMYFUNCTION("""COMPUTED_VALUE"""),"L2057896")</f>
        <v>L2057896</v>
      </c>
      <c r="F296" s="2" t="str">
        <f>IFERROR(__xludf.DUMMYFUNCTION("""COMPUTED_VALUE"""),"Franz Reoben Posadas Geneblaza")</f>
        <v>Franz Reoben Posadas Geneblaza</v>
      </c>
      <c r="G296" s="2"/>
      <c r="H296" s="2"/>
      <c r="I296" s="2" t="str">
        <f>IFERROR(__xludf.DUMMYFUNCTION("""COMPUTED_VALUE"""),"ICM_Business_linked_launch")</f>
        <v>ICM_Business_linked_launch</v>
      </c>
      <c r="J296" s="2" t="str">
        <f>IFERROR(__xludf.DUMMYFUNCTION("""COMPUTED_VALUE"""),"uuid:9d2fe646-cb75-4c99-b19d-b9d49aca3d10")</f>
        <v>uuid:9d2fe646-cb75-4c99-b19d-b9d49aca3d10</v>
      </c>
    </row>
    <row r="297">
      <c r="A297" s="2" t="str">
        <f>IFERROR(__xludf.DUMMYFUNCTION("""COMPUTED_VALUE"""),"2025-09-03T12:17:25.494Z")</f>
        <v>2025-09-03T12:17:25.494Z</v>
      </c>
      <c r="B297" s="2" t="str">
        <f>IFERROR(__xludf.DUMMYFUNCTION("""COMPUTED_VALUE"""),"2025-09-03T09:07:32.189+08")</f>
        <v>2025-09-03T09:07:32.189+08</v>
      </c>
      <c r="C297" s="2" t="str">
        <f>IFERROR(__xludf.DUMMYFUNCTION("""COMPUTED_VALUE"""),"2025-09-03T09:44:21.933+08")</f>
        <v>2025-09-03T09:44:21.933+08</v>
      </c>
      <c r="D297" s="2" t="str">
        <f>IFERROR(__xludf.DUMMYFUNCTION("""COMPUTED_VALUE"""),"H030076033")</f>
        <v>H030076033</v>
      </c>
      <c r="E297" s="2" t="str">
        <f>IFERROR(__xludf.DUMMYFUNCTION("""COMPUTED_VALUE"""),"L2057896")</f>
        <v>L2057896</v>
      </c>
      <c r="F297" s="2" t="str">
        <f>IFERROR(__xludf.DUMMYFUNCTION("""COMPUTED_VALUE"""),"Franz Reoben Posadas Geneblaza")</f>
        <v>Franz Reoben Posadas Geneblaza</v>
      </c>
      <c r="G297" s="2"/>
      <c r="H297" s="2"/>
      <c r="I297" s="2" t="str">
        <f>IFERROR(__xludf.DUMMYFUNCTION("""COMPUTED_VALUE"""),"ICM_Business_linked_launch")</f>
        <v>ICM_Business_linked_launch</v>
      </c>
      <c r="J297" s="2" t="str">
        <f>IFERROR(__xludf.DUMMYFUNCTION("""COMPUTED_VALUE"""),"uuid:2addab08-c8e5-4b67-98d6-893e622ffbe0")</f>
        <v>uuid:2addab08-c8e5-4b67-98d6-893e622ffbe0</v>
      </c>
    </row>
    <row r="298">
      <c r="A298" s="2" t="str">
        <f>IFERROR(__xludf.DUMMYFUNCTION("""COMPUTED_VALUE"""),"2025-09-03T12:17:26.793Z")</f>
        <v>2025-09-03T12:17:26.793Z</v>
      </c>
      <c r="B298" s="2" t="str">
        <f>IFERROR(__xludf.DUMMYFUNCTION("""COMPUTED_VALUE"""),"2025-09-03T13:44:19.315+08")</f>
        <v>2025-09-03T13:44:19.315+08</v>
      </c>
      <c r="C298" s="2" t="str">
        <f>IFERROR(__xludf.DUMMYFUNCTION("""COMPUTED_VALUE"""),"2025-09-03T14:36:58.644+08")</f>
        <v>2025-09-03T14:36:58.644+08</v>
      </c>
      <c r="D298" s="2" t="str">
        <f>IFERROR(__xludf.DUMMYFUNCTION("""COMPUTED_VALUE"""),"H030076016")</f>
        <v>H030076016</v>
      </c>
      <c r="E298" s="2" t="str">
        <f>IFERROR(__xludf.DUMMYFUNCTION("""COMPUTED_VALUE"""),"L2057896")</f>
        <v>L2057896</v>
      </c>
      <c r="F298" s="2" t="str">
        <f>IFERROR(__xludf.DUMMYFUNCTION("""COMPUTED_VALUE"""),"Franz Reoben Posadas Geneblaza")</f>
        <v>Franz Reoben Posadas Geneblaza</v>
      </c>
      <c r="G298" s="2"/>
      <c r="H298" s="2"/>
      <c r="I298" s="2" t="str">
        <f>IFERROR(__xludf.DUMMYFUNCTION("""COMPUTED_VALUE"""),"ICM_Business_linked_launch")</f>
        <v>ICM_Business_linked_launch</v>
      </c>
      <c r="J298" s="2" t="str">
        <f>IFERROR(__xludf.DUMMYFUNCTION("""COMPUTED_VALUE"""),"uuid:b6420d5a-e1d3-4311-a927-841acd202140")</f>
        <v>uuid:b6420d5a-e1d3-4311-a927-841acd202140</v>
      </c>
    </row>
    <row r="299">
      <c r="A299" s="2" t="str">
        <f>IFERROR(__xludf.DUMMYFUNCTION("""COMPUTED_VALUE"""),"2025-09-03T12:19:58.437Z")</f>
        <v>2025-09-03T12:19:58.437Z</v>
      </c>
      <c r="B299" s="2" t="str">
        <f>IFERROR(__xludf.DUMMYFUNCTION("""COMPUTED_VALUE"""),"2025-09-03T09:42:29.550+08")</f>
        <v>2025-09-03T09:42:29.550+08</v>
      </c>
      <c r="C299" s="2" t="str">
        <f>IFERROR(__xludf.DUMMYFUNCTION("""COMPUTED_VALUE"""),"2025-09-03T12:58:06.373+08")</f>
        <v>2025-09-03T12:58:06.373+08</v>
      </c>
      <c r="D299" s="2" t="str">
        <f>IFERROR(__xludf.DUMMYFUNCTION("""COMPUTED_VALUE"""),"H030076004")</f>
        <v>H030076004</v>
      </c>
      <c r="E299" s="2" t="str">
        <f>IFERROR(__xludf.DUMMYFUNCTION("""COMPUTED_VALUE"""),"M6491032")</f>
        <v>M6491032</v>
      </c>
      <c r="F299" s="2" t="str">
        <f>IFERROR(__xludf.DUMMYFUNCTION("""COMPUTED_VALUE"""),"Rosevil Tayo Desamparado")</f>
        <v>Rosevil Tayo Desamparado</v>
      </c>
      <c r="G299" s="2"/>
      <c r="H299" s="2"/>
      <c r="I299" s="2" t="str">
        <f>IFERROR(__xludf.DUMMYFUNCTION("""COMPUTED_VALUE"""),"ICM_Business_linked_launch")</f>
        <v>ICM_Business_linked_launch</v>
      </c>
      <c r="J299" s="2" t="str">
        <f>IFERROR(__xludf.DUMMYFUNCTION("""COMPUTED_VALUE"""),"uuid:d1bf32c0-5456-4037-a0f2-7026085f3f17")</f>
        <v>uuid:d1bf32c0-5456-4037-a0f2-7026085f3f17</v>
      </c>
    </row>
    <row r="300">
      <c r="A300" s="2" t="str">
        <f>IFERROR(__xludf.DUMMYFUNCTION("""COMPUTED_VALUE"""),"2025-09-03T12:20:12.479Z")</f>
        <v>2025-09-03T12:20:12.479Z</v>
      </c>
      <c r="B300" s="2" t="str">
        <f>IFERROR(__xludf.DUMMYFUNCTION("""COMPUTED_VALUE"""),"2025-09-03T11:29:31.844+08")</f>
        <v>2025-09-03T11:29:31.844+08</v>
      </c>
      <c r="C300" s="2" t="str">
        <f>IFERROR(__xludf.DUMMYFUNCTION("""COMPUTED_VALUE"""),"2025-09-03T12:59:07.655+08")</f>
        <v>2025-09-03T12:59:07.655+08</v>
      </c>
      <c r="D300" s="2" t="str">
        <f>IFERROR(__xludf.DUMMYFUNCTION("""COMPUTED_VALUE"""),"H030076019")</f>
        <v>H030076019</v>
      </c>
      <c r="E300" s="2" t="str">
        <f>IFERROR(__xludf.DUMMYFUNCTION("""COMPUTED_VALUE"""),"M6491032")</f>
        <v>M6491032</v>
      </c>
      <c r="F300" s="2" t="str">
        <f>IFERROR(__xludf.DUMMYFUNCTION("""COMPUTED_VALUE"""),"Rosevil Tayo Desamparado")</f>
        <v>Rosevil Tayo Desamparado</v>
      </c>
      <c r="G300" s="2"/>
      <c r="H300" s="2"/>
      <c r="I300" s="2" t="str">
        <f>IFERROR(__xludf.DUMMYFUNCTION("""COMPUTED_VALUE"""),"ICM_Business_linked_launch")</f>
        <v>ICM_Business_linked_launch</v>
      </c>
      <c r="J300" s="2" t="str">
        <f>IFERROR(__xludf.DUMMYFUNCTION("""COMPUTED_VALUE"""),"uuid:00612811-9524-42d3-8efc-45cf43ebc1fc")</f>
        <v>uuid:00612811-9524-42d3-8efc-45cf43ebc1fc</v>
      </c>
    </row>
    <row r="301">
      <c r="A301" s="2" t="str">
        <f>IFERROR(__xludf.DUMMYFUNCTION("""COMPUTED_VALUE"""),"2025-09-03T12:20:14.645Z")</f>
        <v>2025-09-03T12:20:14.645Z</v>
      </c>
      <c r="B301" s="2" t="str">
        <f>IFERROR(__xludf.DUMMYFUNCTION("""COMPUTED_VALUE"""),"2025-09-03T08:31:44.572+08")</f>
        <v>2025-09-03T08:31:44.572+08</v>
      </c>
      <c r="C301" s="2" t="str">
        <f>IFERROR(__xludf.DUMMYFUNCTION("""COMPUTED_VALUE"""),"2025-09-03T13:06:57.413+08")</f>
        <v>2025-09-03T13:06:57.413+08</v>
      </c>
      <c r="D301" s="2" t="str">
        <f>IFERROR(__xludf.DUMMYFUNCTION("""COMPUTED_VALUE"""),"H030076020")</f>
        <v>H030076020</v>
      </c>
      <c r="E301" s="2" t="str">
        <f>IFERROR(__xludf.DUMMYFUNCTION("""COMPUTED_VALUE"""),"M6491032")</f>
        <v>M6491032</v>
      </c>
      <c r="F301" s="2" t="str">
        <f>IFERROR(__xludf.DUMMYFUNCTION("""COMPUTED_VALUE"""),"Rosevil Tayo Desamparado")</f>
        <v>Rosevil Tayo Desamparado</v>
      </c>
      <c r="G301" s="2"/>
      <c r="H301" s="2"/>
      <c r="I301" s="2" t="str">
        <f>IFERROR(__xludf.DUMMYFUNCTION("""COMPUTED_VALUE"""),"ICM_Business_linked_launch")</f>
        <v>ICM_Business_linked_launch</v>
      </c>
      <c r="J301" s="2" t="str">
        <f>IFERROR(__xludf.DUMMYFUNCTION("""COMPUTED_VALUE"""),"uuid:014f3fb5-bf88-4532-ac42-972ffb1d4770")</f>
        <v>uuid:014f3fb5-bf88-4532-ac42-972ffb1d4770</v>
      </c>
    </row>
    <row r="302">
      <c r="A302" s="2" t="str">
        <f>IFERROR(__xludf.DUMMYFUNCTION("""COMPUTED_VALUE"""),"2025-09-03T12:23:11.025Z")</f>
        <v>2025-09-03T12:23:11.025Z</v>
      </c>
      <c r="B302" s="2" t="str">
        <f>IFERROR(__xludf.DUMMYFUNCTION("""COMPUTED_VALUE"""),"2025-09-03T08:39:56.704+08")</f>
        <v>2025-09-03T08:39:56.704+08</v>
      </c>
      <c r="C302" s="2" t="str">
        <f>IFERROR(__xludf.DUMMYFUNCTION("""COMPUTED_VALUE"""),"2025-09-03T09:19:03.785+08")</f>
        <v>2025-09-03T09:19:03.785+08</v>
      </c>
      <c r="D302" s="2" t="str">
        <f>IFERROR(__xludf.DUMMYFUNCTION("""COMPUTED_VALUE"""),"H030076021")</f>
        <v>H030076021</v>
      </c>
      <c r="E302" s="2" t="str">
        <f>IFERROR(__xludf.DUMMYFUNCTION("""COMPUTED_VALUE"""),"K8623174")</f>
        <v>K8623174</v>
      </c>
      <c r="F302" s="2" t="str">
        <f>IFERROR(__xludf.DUMMYFUNCTION("""COMPUTED_VALUE"""),"Marielle Kaye Ignacio Alonzo")</f>
        <v>Marielle Kaye Ignacio Alonzo</v>
      </c>
      <c r="G302" s="2"/>
      <c r="H302" s="2"/>
      <c r="I302" s="2" t="str">
        <f>IFERROR(__xludf.DUMMYFUNCTION("""COMPUTED_VALUE"""),"ICM_Business_linked_launch")</f>
        <v>ICM_Business_linked_launch</v>
      </c>
      <c r="J302" s="2" t="str">
        <f>IFERROR(__xludf.DUMMYFUNCTION("""COMPUTED_VALUE"""),"uuid:ff5344f5-f612-4373-aecf-4a9d2eeeb281")</f>
        <v>uuid:ff5344f5-f612-4373-aecf-4a9d2eeeb281</v>
      </c>
    </row>
    <row r="303">
      <c r="A303" s="2" t="str">
        <f>IFERROR(__xludf.DUMMYFUNCTION("""COMPUTED_VALUE"""),"2025-09-03T12:23:12.922Z")</f>
        <v>2025-09-03T12:23:12.922Z</v>
      </c>
      <c r="B303" s="2" t="str">
        <f>IFERROR(__xludf.DUMMYFUNCTION("""COMPUTED_VALUE"""),"2025-09-03T10:28:14.928+08")</f>
        <v>2025-09-03T10:28:14.928+08</v>
      </c>
      <c r="C303" s="2" t="str">
        <f>IFERROR(__xludf.DUMMYFUNCTION("""COMPUTED_VALUE"""),"2025-09-03T12:33:46.355+08")</f>
        <v>2025-09-03T12:33:46.355+08</v>
      </c>
      <c r="D303" s="2" t="str">
        <f>IFERROR(__xludf.DUMMYFUNCTION("""COMPUTED_VALUE"""),"H030076030")</f>
        <v>H030076030</v>
      </c>
      <c r="E303" s="2" t="str">
        <f>IFERROR(__xludf.DUMMYFUNCTION("""COMPUTED_VALUE"""),"K8623174")</f>
        <v>K8623174</v>
      </c>
      <c r="F303" s="2" t="str">
        <f>IFERROR(__xludf.DUMMYFUNCTION("""COMPUTED_VALUE"""),"Marielle Kaye Ignacio Alonzo")</f>
        <v>Marielle Kaye Ignacio Alonzo</v>
      </c>
      <c r="G303" s="2"/>
      <c r="H303" s="2"/>
      <c r="I303" s="2" t="str">
        <f>IFERROR(__xludf.DUMMYFUNCTION("""COMPUTED_VALUE"""),"ICM_Business_linked_launch")</f>
        <v>ICM_Business_linked_launch</v>
      </c>
      <c r="J303" s="2" t="str">
        <f>IFERROR(__xludf.DUMMYFUNCTION("""COMPUTED_VALUE"""),"uuid:2e32ffe3-b6df-45fa-a117-897d17c676ae")</f>
        <v>uuid:2e32ffe3-b6df-45fa-a117-897d17c676ae</v>
      </c>
    </row>
    <row r="304">
      <c r="A304" s="2" t="str">
        <f>IFERROR(__xludf.DUMMYFUNCTION("""COMPUTED_VALUE"""),"2025-09-03T12:23:13.998Z")</f>
        <v>2025-09-03T12:23:13.998Z</v>
      </c>
      <c r="B304" s="2" t="str">
        <f>IFERROR(__xludf.DUMMYFUNCTION("""COMPUTED_VALUE"""),"2025-09-03T13:15:41.149+08")</f>
        <v>2025-09-03T13:15:41.149+08</v>
      </c>
      <c r="C304" s="2" t="str">
        <f>IFERROR(__xludf.DUMMYFUNCTION("""COMPUTED_VALUE"""),"2025-09-03T13:20:51.125+08")</f>
        <v>2025-09-03T13:20:51.125+08</v>
      </c>
      <c r="D304" s="2" t="str">
        <f>IFERROR(__xludf.DUMMYFUNCTION("""COMPUTED_VALUE"""),"H030076028")</f>
        <v>H030076028</v>
      </c>
      <c r="E304" s="2" t="str">
        <f>IFERROR(__xludf.DUMMYFUNCTION("""COMPUTED_VALUE"""),"K8623174")</f>
        <v>K8623174</v>
      </c>
      <c r="F304" s="2" t="str">
        <f>IFERROR(__xludf.DUMMYFUNCTION("""COMPUTED_VALUE"""),"Marielle Kaye Ignacio Alonzo")</f>
        <v>Marielle Kaye Ignacio Alonzo</v>
      </c>
      <c r="G304" s="2"/>
      <c r="H304" s="2"/>
      <c r="I304" s="2" t="str">
        <f>IFERROR(__xludf.DUMMYFUNCTION("""COMPUTED_VALUE"""),"ICM_Business_linked_launch")</f>
        <v>ICM_Business_linked_launch</v>
      </c>
      <c r="J304" s="2" t="str">
        <f>IFERROR(__xludf.DUMMYFUNCTION("""COMPUTED_VALUE"""),"uuid:70570288-0cdb-4b37-ad60-e8c425dc6800")</f>
        <v>uuid:70570288-0cdb-4b37-ad60-e8c425dc6800</v>
      </c>
    </row>
    <row r="305">
      <c r="A305" s="2" t="str">
        <f>IFERROR(__xludf.DUMMYFUNCTION("""COMPUTED_VALUE"""),"2025-09-03T12:40:18.328Z")</f>
        <v>2025-09-03T12:40:18.328Z</v>
      </c>
      <c r="B305" s="2" t="str">
        <f>IFERROR(__xludf.DUMMYFUNCTION("""COMPUTED_VALUE"""),"2025-09-03T09:32:16.622+08")</f>
        <v>2025-09-03T09:32:16.622+08</v>
      </c>
      <c r="C305" s="2" t="str">
        <f>IFERROR(__xludf.DUMMYFUNCTION("""COMPUTED_VALUE"""),"2025-09-03T09:36:00.576+08")</f>
        <v>2025-09-03T09:36:00.576+08</v>
      </c>
      <c r="D305" s="2" t="str">
        <f>IFERROR(__xludf.DUMMYFUNCTION("""COMPUTED_VALUE"""),"H030076034")</f>
        <v>H030076034</v>
      </c>
      <c r="E305" s="2" t="str">
        <f>IFERROR(__xludf.DUMMYFUNCTION("""COMPUTED_VALUE"""),"J4315980")</f>
        <v>J4315980</v>
      </c>
      <c r="F305" s="2" t="str">
        <f>IFERROR(__xludf.DUMMYFUNCTION("""COMPUTED_VALUE"""),"Trixie Marie Jardeleza Saber")</f>
        <v>Trixie Marie Jardeleza Saber</v>
      </c>
      <c r="G305" s="2"/>
      <c r="H305" s="2"/>
      <c r="I305" s="2" t="str">
        <f>IFERROR(__xludf.DUMMYFUNCTION("""COMPUTED_VALUE"""),"ICM_Business_linked_launch")</f>
        <v>ICM_Business_linked_launch</v>
      </c>
      <c r="J305" s="2" t="str">
        <f>IFERROR(__xludf.DUMMYFUNCTION("""COMPUTED_VALUE"""),"uuid:647fbbfa-a3be-4b01-9c49-8d02cfb66fb2")</f>
        <v>uuid:647fbbfa-a3be-4b01-9c49-8d02cfb66fb2</v>
      </c>
    </row>
    <row r="306">
      <c r="A306" s="2" t="str">
        <f>IFERROR(__xludf.DUMMYFUNCTION("""COMPUTED_VALUE"""),"2025-09-03T12:40:20.845Z")</f>
        <v>2025-09-03T12:40:20.845Z</v>
      </c>
      <c r="B306" s="2" t="str">
        <f>IFERROR(__xludf.DUMMYFUNCTION("""COMPUTED_VALUE"""),"2025-09-03T09:54:32.790+08")</f>
        <v>2025-09-03T09:54:32.790+08</v>
      </c>
      <c r="C306" s="2" t="str">
        <f>IFERROR(__xludf.DUMMYFUNCTION("""COMPUTED_VALUE"""),"2025-09-03T10:00:08.943+08")</f>
        <v>2025-09-03T10:00:08.943+08</v>
      </c>
      <c r="D306" s="2" t="str">
        <f>IFERROR(__xludf.DUMMYFUNCTION("""COMPUTED_VALUE"""),"H030076031")</f>
        <v>H030076031</v>
      </c>
      <c r="E306" s="2" t="str">
        <f>IFERROR(__xludf.DUMMYFUNCTION("""COMPUTED_VALUE"""),"J4315980")</f>
        <v>J4315980</v>
      </c>
      <c r="F306" s="2" t="str">
        <f>IFERROR(__xludf.DUMMYFUNCTION("""COMPUTED_VALUE"""),"Trixie Marie Jardeleza Saber")</f>
        <v>Trixie Marie Jardeleza Saber</v>
      </c>
      <c r="G306" s="2"/>
      <c r="H306" s="2"/>
      <c r="I306" s="2" t="str">
        <f>IFERROR(__xludf.DUMMYFUNCTION("""COMPUTED_VALUE"""),"ICM_Business_linked_launch")</f>
        <v>ICM_Business_linked_launch</v>
      </c>
      <c r="J306" s="2" t="str">
        <f>IFERROR(__xludf.DUMMYFUNCTION("""COMPUTED_VALUE"""),"uuid:e25a4cb8-cee5-43ba-b303-2fd168ef5ea9")</f>
        <v>uuid:e25a4cb8-cee5-43ba-b303-2fd168ef5ea9</v>
      </c>
    </row>
    <row r="307">
      <c r="A307" s="2" t="str">
        <f>IFERROR(__xludf.DUMMYFUNCTION("""COMPUTED_VALUE"""),"2025-09-03T12:40:24.411Z")</f>
        <v>2025-09-03T12:40:24.411Z</v>
      </c>
      <c r="B307" s="2" t="str">
        <f>IFERROR(__xludf.DUMMYFUNCTION("""COMPUTED_VALUE"""),"2025-09-03T13:47:59.938+08")</f>
        <v>2025-09-03T13:47:59.938+08</v>
      </c>
      <c r="C307" s="2" t="str">
        <f>IFERROR(__xludf.DUMMYFUNCTION("""COMPUTED_VALUE"""),"2025-09-03T13:52:57.749+08")</f>
        <v>2025-09-03T13:52:57.749+08</v>
      </c>
      <c r="D307" s="2" t="str">
        <f>IFERROR(__xludf.DUMMYFUNCTION("""COMPUTED_VALUE"""),"H030076026")</f>
        <v>H030076026</v>
      </c>
      <c r="E307" s="2" t="str">
        <f>IFERROR(__xludf.DUMMYFUNCTION("""COMPUTED_VALUE"""),"J4315980")</f>
        <v>J4315980</v>
      </c>
      <c r="F307" s="2" t="str">
        <f>IFERROR(__xludf.DUMMYFUNCTION("""COMPUTED_VALUE"""),"Trixie Marie Jardeleza Saber")</f>
        <v>Trixie Marie Jardeleza Saber</v>
      </c>
      <c r="G307" s="2"/>
      <c r="H307" s="2"/>
      <c r="I307" s="2" t="str">
        <f>IFERROR(__xludf.DUMMYFUNCTION("""COMPUTED_VALUE"""),"ICM_Business_linked_launch")</f>
        <v>ICM_Business_linked_launch</v>
      </c>
      <c r="J307" s="2" t="str">
        <f>IFERROR(__xludf.DUMMYFUNCTION("""COMPUTED_VALUE"""),"uuid:6a1d584a-feaa-45a2-a175-864e4b1f3615")</f>
        <v>uuid:6a1d584a-feaa-45a2-a175-864e4b1f3615</v>
      </c>
    </row>
    <row r="308">
      <c r="A308" s="2" t="str">
        <f>IFERROR(__xludf.DUMMYFUNCTION("""COMPUTED_VALUE"""),"2025-09-03T13:03:31.245Z")</f>
        <v>2025-09-03T13:03:31.245Z</v>
      </c>
      <c r="B308" s="2" t="str">
        <f>IFERROR(__xludf.DUMMYFUNCTION("""COMPUTED_VALUE"""),"2025-09-03T10:59:43.036+08")</f>
        <v>2025-09-03T10:59:43.036+08</v>
      </c>
      <c r="C308" s="2" t="str">
        <f>IFERROR(__xludf.DUMMYFUNCTION("""COMPUTED_VALUE"""),"2025-09-03T11:03:29.709+08")</f>
        <v>2025-09-03T11:03:29.709+08</v>
      </c>
      <c r="D308" s="2" t="str">
        <f>IFERROR(__xludf.DUMMYFUNCTION("""COMPUTED_VALUE"""),"H019500018")</f>
        <v>H019500018</v>
      </c>
      <c r="E308" s="2">
        <f>IFERROR(__xludf.DUMMYFUNCTION("""COMPUTED_VALUE"""),729375.0)</f>
        <v>729375</v>
      </c>
      <c r="F308" s="2" t="str">
        <f>IFERROR(__xludf.DUMMYFUNCTION("""COMPUTED_VALUE"""),"Janet Serafica_2")</f>
        <v>Janet Serafica_2</v>
      </c>
      <c r="G308" s="2"/>
      <c r="H308" s="2"/>
      <c r="I308" s="2" t="str">
        <f>IFERROR(__xludf.DUMMYFUNCTION("""COMPUTED_VALUE"""),"ICM_Business_linked_launch")</f>
        <v>ICM_Business_linked_launch</v>
      </c>
      <c r="J308" s="2" t="str">
        <f>IFERROR(__xludf.DUMMYFUNCTION("""COMPUTED_VALUE"""),"uuid:6641c9f1-85b8-44aa-b8fd-29528cc582cd")</f>
        <v>uuid:6641c9f1-85b8-44aa-b8fd-29528cc582cd</v>
      </c>
    </row>
    <row r="309">
      <c r="A309" s="2" t="str">
        <f>IFERROR(__xludf.DUMMYFUNCTION("""COMPUTED_VALUE"""),"2025-09-03T13:03:32.644Z")</f>
        <v>2025-09-03T13:03:32.644Z</v>
      </c>
      <c r="B309" s="2" t="str">
        <f>IFERROR(__xludf.DUMMYFUNCTION("""COMPUTED_VALUE"""),"2025-09-03T11:56:56.468+08")</f>
        <v>2025-09-03T11:56:56.468+08</v>
      </c>
      <c r="C309" s="2" t="str">
        <f>IFERROR(__xludf.DUMMYFUNCTION("""COMPUTED_VALUE"""),"2025-09-03T12:05:04.469+08")</f>
        <v>2025-09-03T12:05:04.469+08</v>
      </c>
      <c r="D309" s="2" t="str">
        <f>IFERROR(__xludf.DUMMYFUNCTION("""COMPUTED_VALUE"""),"H019500023")</f>
        <v>H019500023</v>
      </c>
      <c r="E309" s="2">
        <f>IFERROR(__xludf.DUMMYFUNCTION("""COMPUTED_VALUE"""),729375.0)</f>
        <v>729375</v>
      </c>
      <c r="F309" s="2" t="str">
        <f>IFERROR(__xludf.DUMMYFUNCTION("""COMPUTED_VALUE"""),"Janet Serafica_2")</f>
        <v>Janet Serafica_2</v>
      </c>
      <c r="G309" s="2"/>
      <c r="H309" s="2"/>
      <c r="I309" s="2" t="str">
        <f>IFERROR(__xludf.DUMMYFUNCTION("""COMPUTED_VALUE"""),"ICM_Business_linked_launch")</f>
        <v>ICM_Business_linked_launch</v>
      </c>
      <c r="J309" s="2" t="str">
        <f>IFERROR(__xludf.DUMMYFUNCTION("""COMPUTED_VALUE"""),"uuid:f8ace212-581b-4fa9-9a5c-fa3585c82d9e")</f>
        <v>uuid:f8ace212-581b-4fa9-9a5c-fa3585c82d9e</v>
      </c>
    </row>
    <row r="310">
      <c r="A310" s="2" t="str">
        <f>IFERROR(__xludf.DUMMYFUNCTION("""COMPUTED_VALUE"""),"2025-09-03T13:03:34.162Z")</f>
        <v>2025-09-03T13:03:34.162Z</v>
      </c>
      <c r="B310" s="2" t="str">
        <f>IFERROR(__xludf.DUMMYFUNCTION("""COMPUTED_VALUE"""),"2025-09-03T12:57:31.286+08")</f>
        <v>2025-09-03T12:57:31.286+08</v>
      </c>
      <c r="C310" s="2" t="str">
        <f>IFERROR(__xludf.DUMMYFUNCTION("""COMPUTED_VALUE"""),"2025-09-03T13:02:28.637+08")</f>
        <v>2025-09-03T13:02:28.637+08</v>
      </c>
      <c r="D310" s="2" t="str">
        <f>IFERROR(__xludf.DUMMYFUNCTION("""COMPUTED_VALUE"""),"H019500025")</f>
        <v>H019500025</v>
      </c>
      <c r="E310" s="2">
        <f>IFERROR(__xludf.DUMMYFUNCTION("""COMPUTED_VALUE"""),729375.0)</f>
        <v>729375</v>
      </c>
      <c r="F310" s="2" t="str">
        <f>IFERROR(__xludf.DUMMYFUNCTION("""COMPUTED_VALUE"""),"Janet Serafica_2")</f>
        <v>Janet Serafica_2</v>
      </c>
      <c r="G310" s="2"/>
      <c r="H310" s="2"/>
      <c r="I310" s="2" t="str">
        <f>IFERROR(__xludf.DUMMYFUNCTION("""COMPUTED_VALUE"""),"ICM_Business_linked_launch")</f>
        <v>ICM_Business_linked_launch</v>
      </c>
      <c r="J310" s="2" t="str">
        <f>IFERROR(__xludf.DUMMYFUNCTION("""COMPUTED_VALUE"""),"uuid:34f3d179-542b-4786-a1cf-1df568eeaec4")</f>
        <v>uuid:34f3d179-542b-4786-a1cf-1df568eeaec4</v>
      </c>
    </row>
    <row r="311">
      <c r="A311" s="2" t="str">
        <f>IFERROR(__xludf.DUMMYFUNCTION("""COMPUTED_VALUE"""),"2025-09-04T10:42:06.429Z")</f>
        <v>2025-09-04T10:42:06.429Z</v>
      </c>
      <c r="B311" s="2" t="str">
        <f>IFERROR(__xludf.DUMMYFUNCTION("""COMPUTED_VALUE"""),"2025-09-04T13:16:43.202+08")</f>
        <v>2025-09-04T13:16:43.202+08</v>
      </c>
      <c r="C311" s="2" t="str">
        <f>IFERROR(__xludf.DUMMYFUNCTION("""COMPUTED_VALUE"""),"2025-09-04T18:24:56.762+08")</f>
        <v>2025-09-04T18:24:56.762+08</v>
      </c>
      <c r="D311" s="2" t="str">
        <f>IFERROR(__xludf.DUMMYFUNCTION("""COMPUTED_VALUE"""),"H030327017")</f>
        <v>H030327017</v>
      </c>
      <c r="E311" s="2" t="str">
        <f>IFERROR(__xludf.DUMMYFUNCTION("""COMPUTED_VALUE"""),"C7502931")</f>
        <v>C7502931</v>
      </c>
      <c r="F311" s="2" t="str">
        <f>IFERROR(__xludf.DUMMYFUNCTION("""COMPUTED_VALUE"""),"Jenny Lou Toles Estacio")</f>
        <v>Jenny Lou Toles Estacio</v>
      </c>
      <c r="G311" s="2"/>
      <c r="H311" s="2"/>
      <c r="I311" s="2" t="str">
        <f>IFERROR(__xludf.DUMMYFUNCTION("""COMPUTED_VALUE"""),"ICM_Business_linked_launch")</f>
        <v>ICM_Business_linked_launch</v>
      </c>
      <c r="J311" s="2" t="str">
        <f>IFERROR(__xludf.DUMMYFUNCTION("""COMPUTED_VALUE"""),"uuid:0821085b-e09b-4ae8-8bbd-776a4926d802")</f>
        <v>uuid:0821085b-e09b-4ae8-8bbd-776a4926d802</v>
      </c>
    </row>
    <row r="312">
      <c r="A312" s="2" t="str">
        <f>IFERROR(__xludf.DUMMYFUNCTION("""COMPUTED_VALUE"""),"2025-09-04T10:42:11.141Z")</f>
        <v>2025-09-04T10:42:11.141Z</v>
      </c>
      <c r="B312" s="2" t="str">
        <f>IFERROR(__xludf.DUMMYFUNCTION("""COMPUTED_VALUE"""),"2025-09-04T10:33:00.052+08")</f>
        <v>2025-09-04T10:33:00.052+08</v>
      </c>
      <c r="C312" s="2" t="str">
        <f>IFERROR(__xludf.DUMMYFUNCTION("""COMPUTED_VALUE"""),"2025-09-04T18:35:16.520+08")</f>
        <v>2025-09-04T18:35:16.520+08</v>
      </c>
      <c r="D312" s="2" t="str">
        <f>IFERROR(__xludf.DUMMYFUNCTION("""COMPUTED_VALUE"""),"H030327021")</f>
        <v>H030327021</v>
      </c>
      <c r="E312" s="2" t="str">
        <f>IFERROR(__xludf.DUMMYFUNCTION("""COMPUTED_VALUE"""),"C7502931")</f>
        <v>C7502931</v>
      </c>
      <c r="F312" s="2" t="str">
        <f>IFERROR(__xludf.DUMMYFUNCTION("""COMPUTED_VALUE"""),"Jenny Lou Toles Estacio")</f>
        <v>Jenny Lou Toles Estacio</v>
      </c>
      <c r="G312" s="2"/>
      <c r="H312" s="2"/>
      <c r="I312" s="2" t="str">
        <f>IFERROR(__xludf.DUMMYFUNCTION("""COMPUTED_VALUE"""),"ICM_Business_linked_launch")</f>
        <v>ICM_Business_linked_launch</v>
      </c>
      <c r="J312" s="2" t="str">
        <f>IFERROR(__xludf.DUMMYFUNCTION("""COMPUTED_VALUE"""),"uuid:1613df9d-883e-4f3f-bf0f-4b8b99c615cf")</f>
        <v>uuid:1613df9d-883e-4f3f-bf0f-4b8b99c615cf</v>
      </c>
    </row>
    <row r="313">
      <c r="A313" s="2" t="str">
        <f>IFERROR(__xludf.DUMMYFUNCTION("""COMPUTED_VALUE"""),"2025-09-04T10:42:13.764Z")</f>
        <v>2025-09-04T10:42:13.764Z</v>
      </c>
      <c r="B313" s="2" t="str">
        <f>IFERROR(__xludf.DUMMYFUNCTION("""COMPUTED_VALUE"""),"2025-09-04T11:54:25.718+08")</f>
        <v>2025-09-04T11:54:25.718+08</v>
      </c>
      <c r="C313" s="2" t="str">
        <f>IFERROR(__xludf.DUMMYFUNCTION("""COMPUTED_VALUE"""),"2025-09-04T18:37:15.558+08")</f>
        <v>2025-09-04T18:37:15.558+08</v>
      </c>
      <c r="D313" s="2" t="str">
        <f>IFERROR(__xludf.DUMMYFUNCTION("""COMPUTED_VALUE"""),"H030327016")</f>
        <v>H030327016</v>
      </c>
      <c r="E313" s="2" t="str">
        <f>IFERROR(__xludf.DUMMYFUNCTION("""COMPUTED_VALUE"""),"C7502931")</f>
        <v>C7502931</v>
      </c>
      <c r="F313" s="2" t="str">
        <f>IFERROR(__xludf.DUMMYFUNCTION("""COMPUTED_VALUE"""),"Jenny Lou Toles Estacio")</f>
        <v>Jenny Lou Toles Estacio</v>
      </c>
      <c r="G313" s="2"/>
      <c r="H313" s="2"/>
      <c r="I313" s="2" t="str">
        <f>IFERROR(__xludf.DUMMYFUNCTION("""COMPUTED_VALUE"""),"ICM_Business_linked_launch")</f>
        <v>ICM_Business_linked_launch</v>
      </c>
      <c r="J313" s="2" t="str">
        <f>IFERROR(__xludf.DUMMYFUNCTION("""COMPUTED_VALUE"""),"uuid:fbdd4706-42e3-4c77-9ce3-d0be28c0aa3b")</f>
        <v>uuid:fbdd4706-42e3-4c77-9ce3-d0be28c0aa3b</v>
      </c>
    </row>
    <row r="314">
      <c r="A314" s="2" t="str">
        <f>IFERROR(__xludf.DUMMYFUNCTION("""COMPUTED_VALUE"""),"2025-09-04T10:45:29.904Z")</f>
        <v>2025-09-04T10:45:29.904Z</v>
      </c>
      <c r="B314" s="2" t="str">
        <f>IFERROR(__xludf.DUMMYFUNCTION("""COMPUTED_VALUE"""),"2025-09-04T15:37:23.991+08")</f>
        <v>2025-09-04T15:37:23.991+08</v>
      </c>
      <c r="C314" s="2" t="str">
        <f>IFERROR(__xludf.DUMMYFUNCTION("""COMPUTED_VALUE"""),"2025-09-04T18:43:16.216+08")</f>
        <v>2025-09-04T18:43:16.216+08</v>
      </c>
      <c r="D314" s="2" t="str">
        <f>IFERROR(__xludf.DUMMYFUNCTION("""COMPUTED_VALUE"""),"H030566030")</f>
        <v>H030566030</v>
      </c>
      <c r="E314" s="2" t="str">
        <f>IFERROR(__xludf.DUMMYFUNCTION("""COMPUTED_VALUE"""),"B8193462")</f>
        <v>B8193462</v>
      </c>
      <c r="F314" s="2" t="str">
        <f>IFERROR(__xludf.DUMMYFUNCTION("""COMPUTED_VALUE"""),"Mark Lorens Mendoza Gilongo")</f>
        <v>Mark Lorens Mendoza Gilongo</v>
      </c>
      <c r="G314" s="2"/>
      <c r="H314" s="2"/>
      <c r="I314" s="2" t="str">
        <f>IFERROR(__xludf.DUMMYFUNCTION("""COMPUTED_VALUE"""),"ICM_Business_linked_launch")</f>
        <v>ICM_Business_linked_launch</v>
      </c>
      <c r="J314" s="2" t="str">
        <f>IFERROR(__xludf.DUMMYFUNCTION("""COMPUTED_VALUE"""),"uuid:72d2d518-17e1-46ff-b095-fbebde01b35c")</f>
        <v>uuid:72d2d518-17e1-46ff-b095-fbebde01b35c</v>
      </c>
    </row>
    <row r="315">
      <c r="A315" s="2" t="str">
        <f>IFERROR(__xludf.DUMMYFUNCTION("""COMPUTED_VALUE"""),"2025-09-04T10:45:31.460Z")</f>
        <v>2025-09-04T10:45:31.460Z</v>
      </c>
      <c r="B315" s="2" t="str">
        <f>IFERROR(__xludf.DUMMYFUNCTION("""COMPUTED_VALUE"""),"2025-09-04T13:12:04.425+08")</f>
        <v>2025-09-04T13:12:04.425+08</v>
      </c>
      <c r="C315" s="2" t="str">
        <f>IFERROR(__xludf.DUMMYFUNCTION("""COMPUTED_VALUE"""),"2025-09-04T13:40:08.219+08")</f>
        <v>2025-09-04T13:40:08.219+08</v>
      </c>
      <c r="D315" s="2" t="str">
        <f>IFERROR(__xludf.DUMMYFUNCTION("""COMPUTED_VALUE"""),"H030566023")</f>
        <v>H030566023</v>
      </c>
      <c r="E315" s="2" t="str">
        <f>IFERROR(__xludf.DUMMYFUNCTION("""COMPUTED_VALUE"""),"B8193462")</f>
        <v>B8193462</v>
      </c>
      <c r="F315" s="2" t="str">
        <f>IFERROR(__xludf.DUMMYFUNCTION("""COMPUTED_VALUE"""),"Mark Lorens Mendoza Gilongo")</f>
        <v>Mark Lorens Mendoza Gilongo</v>
      </c>
      <c r="G315" s="2"/>
      <c r="H315" s="2"/>
      <c r="I315" s="2" t="str">
        <f>IFERROR(__xludf.DUMMYFUNCTION("""COMPUTED_VALUE"""),"ICM_Business_linked_launch")</f>
        <v>ICM_Business_linked_launch</v>
      </c>
      <c r="J315" s="2" t="str">
        <f>IFERROR(__xludf.DUMMYFUNCTION("""COMPUTED_VALUE"""),"uuid:4146ea4d-a515-438f-a3f9-06c80d030d2f")</f>
        <v>uuid:4146ea4d-a515-438f-a3f9-06c80d030d2f</v>
      </c>
    </row>
    <row r="316">
      <c r="A316" s="2" t="str">
        <f>IFERROR(__xludf.DUMMYFUNCTION("""COMPUTED_VALUE"""),"2025-09-04T10:45:30.844Z")</f>
        <v>2025-09-04T10:45:30.844Z</v>
      </c>
      <c r="B316" s="2" t="str">
        <f>IFERROR(__xludf.DUMMYFUNCTION("""COMPUTED_VALUE"""),"2025-09-04T11:16:45.074+08")</f>
        <v>2025-09-04T11:16:45.074+08</v>
      </c>
      <c r="C316" s="2" t="str">
        <f>IFERROR(__xludf.DUMMYFUNCTION("""COMPUTED_VALUE"""),"2025-09-04T11:55:55.015+08")</f>
        <v>2025-09-04T11:55:55.015+08</v>
      </c>
      <c r="D316" s="2" t="str">
        <f>IFERROR(__xludf.DUMMYFUNCTION("""COMPUTED_VALUE"""),"H030566017")</f>
        <v>H030566017</v>
      </c>
      <c r="E316" s="2" t="str">
        <f>IFERROR(__xludf.DUMMYFUNCTION("""COMPUTED_VALUE"""),"B8193462")</f>
        <v>B8193462</v>
      </c>
      <c r="F316" s="2" t="str">
        <f>IFERROR(__xludf.DUMMYFUNCTION("""COMPUTED_VALUE"""),"Mark Lorens Mendoza Gilongo")</f>
        <v>Mark Lorens Mendoza Gilongo</v>
      </c>
      <c r="G316" s="2"/>
      <c r="H316" s="2"/>
      <c r="I316" s="2" t="str">
        <f>IFERROR(__xludf.DUMMYFUNCTION("""COMPUTED_VALUE"""),"ICM_Business_linked_launch")</f>
        <v>ICM_Business_linked_launch</v>
      </c>
      <c r="J316" s="2" t="str">
        <f>IFERROR(__xludf.DUMMYFUNCTION("""COMPUTED_VALUE"""),"uuid:d1f1ffa2-8a5b-4e6b-839f-a87130f9c5fb")</f>
        <v>uuid:d1f1ffa2-8a5b-4e6b-839f-a87130f9c5fb</v>
      </c>
    </row>
    <row r="317">
      <c r="A317" s="2" t="str">
        <f>IFERROR(__xludf.DUMMYFUNCTION("""COMPUTED_VALUE"""),"2025-09-04T10:56:41.757Z")</f>
        <v>2025-09-04T10:56:41.757Z</v>
      </c>
      <c r="B317" s="2" t="str">
        <f>IFERROR(__xludf.DUMMYFUNCTION("""COMPUTED_VALUE"""),"2025-09-04T10:18:22.561+08")</f>
        <v>2025-09-04T10:18:22.561+08</v>
      </c>
      <c r="C317" s="2" t="str">
        <f>IFERROR(__xludf.DUMMYFUNCTION("""COMPUTED_VALUE"""),"2025-09-04T10:38:50.181+08")</f>
        <v>2025-09-04T10:38:50.181+08</v>
      </c>
      <c r="D317" s="2" t="str">
        <f>IFERROR(__xludf.DUMMYFUNCTION("""COMPUTED_VALUE"""),"H030566018")</f>
        <v>H030566018</v>
      </c>
      <c r="E317" s="2" t="str">
        <f>IFERROR(__xludf.DUMMYFUNCTION("""COMPUTED_VALUE"""),"D1284067")</f>
        <v>D1284067</v>
      </c>
      <c r="F317" s="2" t="str">
        <f>IFERROR(__xludf.DUMMYFUNCTION("""COMPUTED_VALUE"""),"Mariel Del Rio")</f>
        <v>Mariel Del Rio</v>
      </c>
      <c r="G317" s="2"/>
      <c r="H317" s="2"/>
      <c r="I317" s="2" t="str">
        <f>IFERROR(__xludf.DUMMYFUNCTION("""COMPUTED_VALUE"""),"ICM_Business_linked_launch")</f>
        <v>ICM_Business_linked_launch</v>
      </c>
      <c r="J317" s="2" t="str">
        <f>IFERROR(__xludf.DUMMYFUNCTION("""COMPUTED_VALUE"""),"uuid:33a254e2-e85f-4c47-be37-0e58d8f817af")</f>
        <v>uuid:33a254e2-e85f-4c47-be37-0e58d8f817af</v>
      </c>
    </row>
    <row r="318">
      <c r="A318" s="2" t="str">
        <f>IFERROR(__xludf.DUMMYFUNCTION("""COMPUTED_VALUE"""),"2025-09-04T10:56:43.133Z")</f>
        <v>2025-09-04T10:56:43.133Z</v>
      </c>
      <c r="B318" s="2" t="str">
        <f>IFERROR(__xludf.DUMMYFUNCTION("""COMPUTED_VALUE"""),"2025-09-04T12:34:33.029+08")</f>
        <v>2025-09-04T12:34:33.029+08</v>
      </c>
      <c r="C318" s="2" t="str">
        <f>IFERROR(__xludf.DUMMYFUNCTION("""COMPUTED_VALUE"""),"2025-09-04T12:41:17.365+08")</f>
        <v>2025-09-04T12:41:17.365+08</v>
      </c>
      <c r="D318" s="2" t="str">
        <f>IFERROR(__xludf.DUMMYFUNCTION("""COMPUTED_VALUE"""),"H030566035")</f>
        <v>H030566035</v>
      </c>
      <c r="E318" s="2" t="str">
        <f>IFERROR(__xludf.DUMMYFUNCTION("""COMPUTED_VALUE"""),"D1284067")</f>
        <v>D1284067</v>
      </c>
      <c r="F318" s="2" t="str">
        <f>IFERROR(__xludf.DUMMYFUNCTION("""COMPUTED_VALUE"""),"Mariel Del Rio")</f>
        <v>Mariel Del Rio</v>
      </c>
      <c r="G318" s="2"/>
      <c r="H318" s="2"/>
      <c r="I318" s="2" t="str">
        <f>IFERROR(__xludf.DUMMYFUNCTION("""COMPUTED_VALUE"""),"ICM_Business_linked_launch")</f>
        <v>ICM_Business_linked_launch</v>
      </c>
      <c r="J318" s="2" t="str">
        <f>IFERROR(__xludf.DUMMYFUNCTION("""COMPUTED_VALUE"""),"uuid:f5f3692a-3ba3-411b-a69f-e0f6535273cf")</f>
        <v>uuid:f5f3692a-3ba3-411b-a69f-e0f6535273cf</v>
      </c>
    </row>
    <row r="319">
      <c r="A319" s="2" t="str">
        <f>IFERROR(__xludf.DUMMYFUNCTION("""COMPUTED_VALUE"""),"2025-09-04T10:56:44.709Z")</f>
        <v>2025-09-04T10:56:44.709Z</v>
      </c>
      <c r="B319" s="2" t="str">
        <f>IFERROR(__xludf.DUMMYFUNCTION("""COMPUTED_VALUE"""),"2025-09-04T15:48:45.148+08")</f>
        <v>2025-09-04T15:48:45.148+08</v>
      </c>
      <c r="C319" s="2" t="str">
        <f>IFERROR(__xludf.DUMMYFUNCTION("""COMPUTED_VALUE"""),"2025-09-04T18:08:52.368+08")</f>
        <v>2025-09-04T18:08:52.368+08</v>
      </c>
      <c r="D319" s="2" t="str">
        <f>IFERROR(__xludf.DUMMYFUNCTION("""COMPUTED_VALUE"""),"H030566031")</f>
        <v>H030566031</v>
      </c>
      <c r="E319" s="2" t="str">
        <f>IFERROR(__xludf.DUMMYFUNCTION("""COMPUTED_VALUE"""),"D1284067")</f>
        <v>D1284067</v>
      </c>
      <c r="F319" s="2" t="str">
        <f>IFERROR(__xludf.DUMMYFUNCTION("""COMPUTED_VALUE"""),"Mariel Del Rio")</f>
        <v>Mariel Del Rio</v>
      </c>
      <c r="G319" s="2"/>
      <c r="H319" s="2"/>
      <c r="I319" s="2" t="str">
        <f>IFERROR(__xludf.DUMMYFUNCTION("""COMPUTED_VALUE"""),"ICM_Business_linked_launch")</f>
        <v>ICM_Business_linked_launch</v>
      </c>
      <c r="J319" s="2" t="str">
        <f>IFERROR(__xludf.DUMMYFUNCTION("""COMPUTED_VALUE"""),"uuid:306b96cf-d0af-44d6-b4b6-ea21f657ed16")</f>
        <v>uuid:306b96cf-d0af-44d6-b4b6-ea21f657ed16</v>
      </c>
    </row>
    <row r="320">
      <c r="A320" s="2" t="str">
        <f>IFERROR(__xludf.DUMMYFUNCTION("""COMPUTED_VALUE"""),"2025-09-04T11:16:05.823Z")</f>
        <v>2025-09-04T11:16:05.823Z</v>
      </c>
      <c r="B320" s="2" t="str">
        <f>IFERROR(__xludf.DUMMYFUNCTION("""COMPUTED_VALUE"""),"2025-09-04T12:13:46.076+08")</f>
        <v>2025-09-04T12:13:46.076+08</v>
      </c>
      <c r="C320" s="2" t="str">
        <f>IFERROR(__xludf.DUMMYFUNCTION("""COMPUTED_VALUE"""),"2025-09-04T12:17:19.077+08")</f>
        <v>2025-09-04T12:17:19.077+08</v>
      </c>
      <c r="D320" s="2" t="str">
        <f>IFERROR(__xludf.DUMMYFUNCTION("""COMPUTED_VALUE"""),"H006183021")</f>
        <v>H006183021</v>
      </c>
      <c r="E320" s="2" t="str">
        <f>IFERROR(__xludf.DUMMYFUNCTION("""COMPUTED_VALUE"""),"O3925718")</f>
        <v>O3925718</v>
      </c>
      <c r="F320" s="2" t="str">
        <f>IFERROR(__xludf.DUMMYFUNCTION("""COMPUTED_VALUE"""),"Adrian Montecastro Ferrer")</f>
        <v>Adrian Montecastro Ferrer</v>
      </c>
      <c r="G320" s="2"/>
      <c r="H320" s="2"/>
      <c r="I320" s="2" t="str">
        <f>IFERROR(__xludf.DUMMYFUNCTION("""COMPUTED_VALUE"""),"ICM_Business_linked_launch")</f>
        <v>ICM_Business_linked_launch</v>
      </c>
      <c r="J320" s="2" t="str">
        <f>IFERROR(__xludf.DUMMYFUNCTION("""COMPUTED_VALUE"""),"uuid:ffbb6e57-74ba-4868-9a81-4fe3c4e99ddb")</f>
        <v>uuid:ffbb6e57-74ba-4868-9a81-4fe3c4e99ddb</v>
      </c>
    </row>
    <row r="321">
      <c r="A321" s="2" t="str">
        <f>IFERROR(__xludf.DUMMYFUNCTION("""COMPUTED_VALUE"""),"2025-09-04T11:16:06.694Z")</f>
        <v>2025-09-04T11:16:06.694Z</v>
      </c>
      <c r="B321" s="2" t="str">
        <f>IFERROR(__xludf.DUMMYFUNCTION("""COMPUTED_VALUE"""),"2025-09-04T13:43:56.292+08")</f>
        <v>2025-09-04T13:43:56.292+08</v>
      </c>
      <c r="C321" s="2" t="str">
        <f>IFERROR(__xludf.DUMMYFUNCTION("""COMPUTED_VALUE"""),"2025-09-04T15:48:28.203+08")</f>
        <v>2025-09-04T15:48:28.203+08</v>
      </c>
      <c r="D321" s="2" t="str">
        <f>IFERROR(__xludf.DUMMYFUNCTION("""COMPUTED_VALUE"""),"H006183016")</f>
        <v>H006183016</v>
      </c>
      <c r="E321" s="2" t="str">
        <f>IFERROR(__xludf.DUMMYFUNCTION("""COMPUTED_VALUE"""),"O3925718")</f>
        <v>O3925718</v>
      </c>
      <c r="F321" s="2" t="str">
        <f>IFERROR(__xludf.DUMMYFUNCTION("""COMPUTED_VALUE"""),"Adrian Montecastro Ferrer")</f>
        <v>Adrian Montecastro Ferrer</v>
      </c>
      <c r="G321" s="2"/>
      <c r="H321" s="2"/>
      <c r="I321" s="2" t="str">
        <f>IFERROR(__xludf.DUMMYFUNCTION("""COMPUTED_VALUE"""),"ICM_Business_linked_launch")</f>
        <v>ICM_Business_linked_launch</v>
      </c>
      <c r="J321" s="2" t="str">
        <f>IFERROR(__xludf.DUMMYFUNCTION("""COMPUTED_VALUE"""),"uuid:357cfda7-bca0-4b2a-83d5-676d7fc0d16f")</f>
        <v>uuid:357cfda7-bca0-4b2a-83d5-676d7fc0d16f</v>
      </c>
    </row>
    <row r="322">
      <c r="A322" s="2" t="str">
        <f>IFERROR(__xludf.DUMMYFUNCTION("""COMPUTED_VALUE"""),"2025-09-04T11:17:35.956Z")</f>
        <v>2025-09-04T11:17:35.956Z</v>
      </c>
      <c r="B322" s="2" t="str">
        <f>IFERROR(__xludf.DUMMYFUNCTION("""COMPUTED_VALUE"""),"2025-09-04T11:55:25.714+08")</f>
        <v>2025-09-04T11:55:25.714+08</v>
      </c>
      <c r="C322" s="2" t="str">
        <f>IFERROR(__xludf.DUMMYFUNCTION("""COMPUTED_VALUE"""),"2025-09-04T12:06:48.876+08")</f>
        <v>2025-09-04T12:06:48.876+08</v>
      </c>
      <c r="D322" s="2" t="str">
        <f>IFERROR(__xludf.DUMMYFUNCTION("""COMPUTED_VALUE"""),"H030327022")</f>
        <v>H030327022</v>
      </c>
      <c r="E322" s="2">
        <f>IFERROR(__xludf.DUMMYFUNCTION("""COMPUTED_VALUE"""),896791.0)</f>
        <v>896791</v>
      </c>
      <c r="F322" s="2" t="str">
        <f>IFERROR(__xludf.DUMMYFUNCTION("""COMPUTED_VALUE"""),"Roland A. Bandiola jr_2")</f>
        <v>Roland A. Bandiola jr_2</v>
      </c>
      <c r="G322" s="2"/>
      <c r="H322" s="2"/>
      <c r="I322" s="2" t="str">
        <f>IFERROR(__xludf.DUMMYFUNCTION("""COMPUTED_VALUE"""),"ICM_Business_linked_launch")</f>
        <v>ICM_Business_linked_launch</v>
      </c>
      <c r="J322" s="2" t="str">
        <f>IFERROR(__xludf.DUMMYFUNCTION("""COMPUTED_VALUE"""),"uuid:b2362775-ec63-40bc-b3b4-d64ad1b19251")</f>
        <v>uuid:b2362775-ec63-40bc-b3b4-d64ad1b19251</v>
      </c>
    </row>
    <row r="323">
      <c r="A323" s="2" t="str">
        <f>IFERROR(__xludf.DUMMYFUNCTION("""COMPUTED_VALUE"""),"2025-09-04T11:17:38.057Z")</f>
        <v>2025-09-04T11:17:38.057Z</v>
      </c>
      <c r="B323" s="2" t="str">
        <f>IFERROR(__xludf.DUMMYFUNCTION("""COMPUTED_VALUE"""),"2025-09-04T14:00:32.322+08")</f>
        <v>2025-09-04T14:00:32.322+08</v>
      </c>
      <c r="C323" s="2" t="str">
        <f>IFERROR(__xludf.DUMMYFUNCTION("""COMPUTED_VALUE"""),"2025-09-04T14:18:47.639+08")</f>
        <v>2025-09-04T14:18:47.639+08</v>
      </c>
      <c r="D323" s="2" t="str">
        <f>IFERROR(__xludf.DUMMYFUNCTION("""COMPUTED_VALUE"""),"H030327020")</f>
        <v>H030327020</v>
      </c>
      <c r="E323" s="2">
        <f>IFERROR(__xludf.DUMMYFUNCTION("""COMPUTED_VALUE"""),896791.0)</f>
        <v>896791</v>
      </c>
      <c r="F323" s="2" t="str">
        <f>IFERROR(__xludf.DUMMYFUNCTION("""COMPUTED_VALUE"""),"Roland A. Bandiola jr_2")</f>
        <v>Roland A. Bandiola jr_2</v>
      </c>
      <c r="G323" s="2"/>
      <c r="H323" s="2"/>
      <c r="I323" s="2" t="str">
        <f>IFERROR(__xludf.DUMMYFUNCTION("""COMPUTED_VALUE"""),"ICM_Business_linked_launch")</f>
        <v>ICM_Business_linked_launch</v>
      </c>
      <c r="J323" s="2" t="str">
        <f>IFERROR(__xludf.DUMMYFUNCTION("""COMPUTED_VALUE"""),"uuid:d8a5384e-c324-4434-99e5-8e6df1e13177")</f>
        <v>uuid:d8a5384e-c324-4434-99e5-8e6df1e13177</v>
      </c>
    </row>
    <row r="324">
      <c r="A324" s="2" t="str">
        <f>IFERROR(__xludf.DUMMYFUNCTION("""COMPUTED_VALUE"""),"2025-09-04T11:17:42.922Z")</f>
        <v>2025-09-04T11:17:42.922Z</v>
      </c>
      <c r="B324" s="2" t="str">
        <f>IFERROR(__xludf.DUMMYFUNCTION("""COMPUTED_VALUE"""),"2025-09-04T16:10:07.855+08")</f>
        <v>2025-09-04T16:10:07.855+08</v>
      </c>
      <c r="C324" s="2" t="str">
        <f>IFERROR(__xludf.DUMMYFUNCTION("""COMPUTED_VALUE"""),"2025-09-04T16:22:57.672+08")</f>
        <v>2025-09-04T16:22:57.672+08</v>
      </c>
      <c r="D324" s="2" t="str">
        <f>IFERROR(__xludf.DUMMYFUNCTION("""COMPUTED_VALUE"""),"H030327023")</f>
        <v>H030327023</v>
      </c>
      <c r="E324" s="2">
        <f>IFERROR(__xludf.DUMMYFUNCTION("""COMPUTED_VALUE"""),896791.0)</f>
        <v>896791</v>
      </c>
      <c r="F324" s="2" t="str">
        <f>IFERROR(__xludf.DUMMYFUNCTION("""COMPUTED_VALUE"""),"Roland A. Bandiola jr_2")</f>
        <v>Roland A. Bandiola jr_2</v>
      </c>
      <c r="G324" s="2"/>
      <c r="H324" s="2"/>
      <c r="I324" s="2" t="str">
        <f>IFERROR(__xludf.DUMMYFUNCTION("""COMPUTED_VALUE"""),"ICM_Business_linked_launch")</f>
        <v>ICM_Business_linked_launch</v>
      </c>
      <c r="J324" s="2" t="str">
        <f>IFERROR(__xludf.DUMMYFUNCTION("""COMPUTED_VALUE"""),"uuid:c30c026d-ede4-4db3-9860-502cb2526aa8")</f>
        <v>uuid:c30c026d-ede4-4db3-9860-502cb2526aa8</v>
      </c>
    </row>
    <row r="325">
      <c r="A325" s="2" t="str">
        <f>IFERROR(__xludf.DUMMYFUNCTION("""COMPUTED_VALUE"""),"2025-09-04T11:18:32.116Z")</f>
        <v>2025-09-04T11:18:32.116Z</v>
      </c>
      <c r="B325" s="2" t="str">
        <f>IFERROR(__xludf.DUMMYFUNCTION("""COMPUTED_VALUE"""),"2025-09-04T12:51:01.548+08")</f>
        <v>2025-09-04T12:51:01.548+08</v>
      </c>
      <c r="C325" s="2" t="str">
        <f>IFERROR(__xludf.DUMMYFUNCTION("""COMPUTED_VALUE"""),"2025-09-04T12:54:22.016+08")</f>
        <v>2025-09-04T12:54:22.016+08</v>
      </c>
      <c r="D325" s="2" t="str">
        <f>IFERROR(__xludf.DUMMYFUNCTION("""COMPUTED_VALUE"""),"H019838026")</f>
        <v>H019838026</v>
      </c>
      <c r="E325" s="2">
        <f>IFERROR(__xludf.DUMMYFUNCTION("""COMPUTED_VALUE"""),555127.0)</f>
        <v>555127</v>
      </c>
      <c r="F325" s="2" t="str">
        <f>IFERROR(__xludf.DUMMYFUNCTION("""COMPUTED_VALUE"""),"Mary May_2")</f>
        <v>Mary May_2</v>
      </c>
      <c r="G325" s="2"/>
      <c r="H325" s="2"/>
      <c r="I325" s="2" t="str">
        <f>IFERROR(__xludf.DUMMYFUNCTION("""COMPUTED_VALUE"""),"ICM_Business_linked_launch")</f>
        <v>ICM_Business_linked_launch</v>
      </c>
      <c r="J325" s="2" t="str">
        <f>IFERROR(__xludf.DUMMYFUNCTION("""COMPUTED_VALUE"""),"uuid:946c89ca-477f-4ed0-b936-66c30cebceab")</f>
        <v>uuid:946c89ca-477f-4ed0-b936-66c30cebceab</v>
      </c>
    </row>
    <row r="326">
      <c r="A326" s="2" t="str">
        <f>IFERROR(__xludf.DUMMYFUNCTION("""COMPUTED_VALUE"""),"2025-09-04T11:18:32.790Z")</f>
        <v>2025-09-04T11:18:32.790Z</v>
      </c>
      <c r="B326" s="2" t="str">
        <f>IFERROR(__xludf.DUMMYFUNCTION("""COMPUTED_VALUE"""),"2025-09-04T09:41:55.409+08")</f>
        <v>2025-09-04T09:41:55.409+08</v>
      </c>
      <c r="C326" s="2" t="str">
        <f>IFERROR(__xludf.DUMMYFUNCTION("""COMPUTED_VALUE"""),"2025-09-04T09:46:28.190+08")</f>
        <v>2025-09-04T09:46:28.190+08</v>
      </c>
      <c r="D326" s="2" t="str">
        <f>IFERROR(__xludf.DUMMYFUNCTION("""COMPUTED_VALUE"""),"H019838024")</f>
        <v>H019838024</v>
      </c>
      <c r="E326" s="2">
        <f>IFERROR(__xludf.DUMMYFUNCTION("""COMPUTED_VALUE"""),555127.0)</f>
        <v>555127</v>
      </c>
      <c r="F326" s="2" t="str">
        <f>IFERROR(__xludf.DUMMYFUNCTION("""COMPUTED_VALUE"""),"Mary May_2")</f>
        <v>Mary May_2</v>
      </c>
      <c r="G326" s="2"/>
      <c r="H326" s="2"/>
      <c r="I326" s="2" t="str">
        <f>IFERROR(__xludf.DUMMYFUNCTION("""COMPUTED_VALUE"""),"ICM_Business_linked_launch")</f>
        <v>ICM_Business_linked_launch</v>
      </c>
      <c r="J326" s="2" t="str">
        <f>IFERROR(__xludf.DUMMYFUNCTION("""COMPUTED_VALUE"""),"uuid:02451778-4d8c-46d0-a6b5-7863bcca1c8e")</f>
        <v>uuid:02451778-4d8c-46d0-a6b5-7863bcca1c8e</v>
      </c>
    </row>
    <row r="327">
      <c r="A327" s="2" t="str">
        <f>IFERROR(__xludf.DUMMYFUNCTION("""COMPUTED_VALUE"""),"2025-09-04T11:18:33.309Z")</f>
        <v>2025-09-04T11:18:33.309Z</v>
      </c>
      <c r="B327" s="2" t="str">
        <f>IFERROR(__xludf.DUMMYFUNCTION("""COMPUTED_VALUE"""),"2025-09-04T10:22:57.439+08")</f>
        <v>2025-09-04T10:22:57.439+08</v>
      </c>
      <c r="C327" s="2" t="str">
        <f>IFERROR(__xludf.DUMMYFUNCTION("""COMPUTED_VALUE"""),"2025-09-04T10:29:01.213+08")</f>
        <v>2025-09-04T10:29:01.213+08</v>
      </c>
      <c r="D327" s="2" t="str">
        <f>IFERROR(__xludf.DUMMYFUNCTION("""COMPUTED_VALUE"""),"H019838016")</f>
        <v>H019838016</v>
      </c>
      <c r="E327" s="2">
        <f>IFERROR(__xludf.DUMMYFUNCTION("""COMPUTED_VALUE"""),555127.0)</f>
        <v>555127</v>
      </c>
      <c r="F327" s="2" t="str">
        <f>IFERROR(__xludf.DUMMYFUNCTION("""COMPUTED_VALUE"""),"Mary May_2")</f>
        <v>Mary May_2</v>
      </c>
      <c r="G327" s="2"/>
      <c r="H327" s="2"/>
      <c r="I327" s="2" t="str">
        <f>IFERROR(__xludf.DUMMYFUNCTION("""COMPUTED_VALUE"""),"ICM_Business_linked_launch")</f>
        <v>ICM_Business_linked_launch</v>
      </c>
      <c r="J327" s="2" t="str">
        <f>IFERROR(__xludf.DUMMYFUNCTION("""COMPUTED_VALUE"""),"uuid:de90fd6d-61fd-4f0a-aba1-b41051459d79")</f>
        <v>uuid:de90fd6d-61fd-4f0a-aba1-b41051459d79</v>
      </c>
    </row>
    <row r="328">
      <c r="A328" s="2" t="str">
        <f>IFERROR(__xludf.DUMMYFUNCTION("""COMPUTED_VALUE"""),"2025-09-28T07:10:55.247Z")</f>
        <v>2025-09-28T07:10:55.247Z</v>
      </c>
      <c r="B328" s="2" t="str">
        <f>IFERROR(__xludf.DUMMYFUNCTION("""COMPUTED_VALUE"""),"2025-09-28T08:33:25.539+08")</f>
        <v>2025-09-28T08:33:25.539+08</v>
      </c>
      <c r="C328" s="2" t="str">
        <f>IFERROR(__xludf.DUMMYFUNCTION("""COMPUTED_VALUE"""),"2025-09-28T08:39:12.316+08")</f>
        <v>2025-09-28T08:39:12.316+08</v>
      </c>
      <c r="D328" s="2" t="str">
        <f>IFERROR(__xludf.DUMMYFUNCTION("""COMPUTED_VALUE"""),"H019838031")</f>
        <v>H019838031</v>
      </c>
      <c r="E328" s="2">
        <f>IFERROR(__xludf.DUMMYFUNCTION("""COMPUTED_VALUE"""),841329.0)</f>
        <v>841329</v>
      </c>
      <c r="F328" s="2" t="str">
        <f>IFERROR(__xludf.DUMMYFUNCTION("""COMPUTED_VALUE"""),"Aila Eli_2")</f>
        <v>Aila Eli_2</v>
      </c>
      <c r="G328" s="2"/>
      <c r="H328" s="2"/>
      <c r="I328" s="2" t="str">
        <f>IFERROR(__xludf.DUMMYFUNCTION("""COMPUTED_VALUE"""),"ICM_Business_linked_launch")</f>
        <v>ICM_Business_linked_launch</v>
      </c>
      <c r="J328" s="2" t="str">
        <f>IFERROR(__xludf.DUMMYFUNCTION("""COMPUTED_VALUE"""),"uuid:ba5d02cd-2ece-496e-8265-4400d76caa3c")</f>
        <v>uuid:ba5d02cd-2ece-496e-8265-4400d76caa3c</v>
      </c>
    </row>
    <row r="329">
      <c r="A329" s="2" t="str">
        <f>IFERROR(__xludf.DUMMYFUNCTION("""COMPUTED_VALUE"""),"2025-09-04T11:18:33.990Z")</f>
        <v>2025-09-04T11:18:33.990Z</v>
      </c>
      <c r="B329" s="2" t="str">
        <f>IFERROR(__xludf.DUMMYFUNCTION("""COMPUTED_VALUE"""),"2025-09-04T11:50:46.145+08")</f>
        <v>2025-09-04T11:50:46.145+08</v>
      </c>
      <c r="C329" s="2" t="str">
        <f>IFERROR(__xludf.DUMMYFUNCTION("""COMPUTED_VALUE"""),"2025-09-04T12:00:07.788+08")</f>
        <v>2025-09-04T12:00:07.788+08</v>
      </c>
      <c r="D329" s="2" t="str">
        <f>IFERROR(__xludf.DUMMYFUNCTION("""COMPUTED_VALUE"""),"H019838029")</f>
        <v>H019838029</v>
      </c>
      <c r="E329" s="2">
        <f>IFERROR(__xludf.DUMMYFUNCTION("""COMPUTED_VALUE"""),555127.0)</f>
        <v>555127</v>
      </c>
      <c r="F329" s="2" t="str">
        <f>IFERROR(__xludf.DUMMYFUNCTION("""COMPUTED_VALUE"""),"Mary May_2")</f>
        <v>Mary May_2</v>
      </c>
      <c r="G329" s="2"/>
      <c r="H329" s="2"/>
      <c r="I329" s="2" t="str">
        <f>IFERROR(__xludf.DUMMYFUNCTION("""COMPUTED_VALUE"""),"ICM_Business_linked_launch")</f>
        <v>ICM_Business_linked_launch</v>
      </c>
      <c r="J329" s="2" t="str">
        <f>IFERROR(__xludf.DUMMYFUNCTION("""COMPUTED_VALUE"""),"uuid:1e32cf01-d75c-421d-a630-a49520bfe242")</f>
        <v>uuid:1e32cf01-d75c-421d-a630-a49520bfe242</v>
      </c>
    </row>
    <row r="330">
      <c r="A330" s="2" t="str">
        <f>IFERROR(__xludf.DUMMYFUNCTION("""COMPUTED_VALUE"""),"2025-09-04T11:18:34.942Z")</f>
        <v>2025-09-04T11:18:34.942Z</v>
      </c>
      <c r="B330" s="2" t="str">
        <f>IFERROR(__xludf.DUMMYFUNCTION("""COMPUTED_VALUE"""),"2025-09-04T13:54:33.772+08")</f>
        <v>2025-09-04T13:54:33.772+08</v>
      </c>
      <c r="C330" s="2" t="str">
        <f>IFERROR(__xludf.DUMMYFUNCTION("""COMPUTED_VALUE"""),"2025-09-04T14:00:55.398+08")</f>
        <v>2025-09-04T14:00:55.398+08</v>
      </c>
      <c r="D330" s="2" t="str">
        <f>IFERROR(__xludf.DUMMYFUNCTION("""COMPUTED_VALUE"""),"H019838022")</f>
        <v>H019838022</v>
      </c>
      <c r="E330" s="2">
        <f>IFERROR(__xludf.DUMMYFUNCTION("""COMPUTED_VALUE"""),841329.0)</f>
        <v>841329</v>
      </c>
      <c r="F330" s="2" t="str">
        <f>IFERROR(__xludf.DUMMYFUNCTION("""COMPUTED_VALUE"""),"Aila Eli_2")</f>
        <v>Aila Eli_2</v>
      </c>
      <c r="G330" s="2"/>
      <c r="H330" s="2"/>
      <c r="I330" s="2" t="str">
        <f>IFERROR(__xludf.DUMMYFUNCTION("""COMPUTED_VALUE"""),"ICM_Business_linked_launch")</f>
        <v>ICM_Business_linked_launch</v>
      </c>
      <c r="J330" s="2" t="str">
        <f>IFERROR(__xludf.DUMMYFUNCTION("""COMPUTED_VALUE"""),"uuid:75602c66-a2e4-4361-b592-3bfd3e49479e")</f>
        <v>uuid:75602c66-a2e4-4361-b592-3bfd3e49479e</v>
      </c>
    </row>
    <row r="331">
      <c r="A331" s="2" t="str">
        <f>IFERROR(__xludf.DUMMYFUNCTION("""COMPUTED_VALUE"""),"2025-09-04T11:18:36.009Z")</f>
        <v>2025-09-04T11:18:36.009Z</v>
      </c>
      <c r="B331" s="2" t="str">
        <f>IFERROR(__xludf.DUMMYFUNCTION("""COMPUTED_VALUE"""),"2025-09-04T15:04:11.927+08")</f>
        <v>2025-09-04T15:04:11.927+08</v>
      </c>
      <c r="C331" s="2" t="str">
        <f>IFERROR(__xludf.DUMMYFUNCTION("""COMPUTED_VALUE"""),"2025-09-04T15:14:53.907+08")</f>
        <v>2025-09-04T15:14:53.907+08</v>
      </c>
      <c r="D331" s="2" t="str">
        <f>IFERROR(__xludf.DUMMYFUNCTION("""COMPUTED_VALUE"""),"H019838020")</f>
        <v>H019838020</v>
      </c>
      <c r="E331" s="2">
        <f>IFERROR(__xludf.DUMMYFUNCTION("""COMPUTED_VALUE"""),841329.0)</f>
        <v>841329</v>
      </c>
      <c r="F331" s="2" t="str">
        <f>IFERROR(__xludf.DUMMYFUNCTION("""COMPUTED_VALUE"""),"Aila Eli_2")</f>
        <v>Aila Eli_2</v>
      </c>
      <c r="G331" s="2"/>
      <c r="H331" s="2"/>
      <c r="I331" s="2" t="str">
        <f>IFERROR(__xludf.DUMMYFUNCTION("""COMPUTED_VALUE"""),"ICM_Business_linked_launch")</f>
        <v>ICM_Business_linked_launch</v>
      </c>
      <c r="J331" s="2" t="str">
        <f>IFERROR(__xludf.DUMMYFUNCTION("""COMPUTED_VALUE"""),"uuid:37049546-400b-4bac-9c30-4e3fa7a98a25")</f>
        <v>uuid:37049546-400b-4bac-9c30-4e3fa7a98a25</v>
      </c>
    </row>
    <row r="332">
      <c r="A332" s="2" t="str">
        <f>IFERROR(__xludf.DUMMYFUNCTION("""COMPUTED_VALUE"""),"2025-09-04T11:18:37.093Z")</f>
        <v>2025-09-04T11:18:37.093Z</v>
      </c>
      <c r="B332" s="2" t="str">
        <f>IFERROR(__xludf.DUMMYFUNCTION("""COMPUTED_VALUE"""),"2025-09-04T10:36:24.159+08")</f>
        <v>2025-09-04T10:36:24.159+08</v>
      </c>
      <c r="C332" s="2" t="str">
        <f>IFERROR(__xludf.DUMMYFUNCTION("""COMPUTED_VALUE"""),"2025-09-04T15:47:20.358+08")</f>
        <v>2025-09-04T15:47:20.358+08</v>
      </c>
      <c r="D332" s="2" t="str">
        <f>IFERROR(__xludf.DUMMYFUNCTION("""COMPUTED_VALUE"""),"H019838025")</f>
        <v>H019838025</v>
      </c>
      <c r="E332" s="2">
        <f>IFERROR(__xludf.DUMMYFUNCTION("""COMPUTED_VALUE"""),841329.0)</f>
        <v>841329</v>
      </c>
      <c r="F332" s="2" t="str">
        <f>IFERROR(__xludf.DUMMYFUNCTION("""COMPUTED_VALUE"""),"Aila Eli_2")</f>
        <v>Aila Eli_2</v>
      </c>
      <c r="G332" s="2"/>
      <c r="H332" s="2"/>
      <c r="I332" s="2" t="str">
        <f>IFERROR(__xludf.DUMMYFUNCTION("""COMPUTED_VALUE"""),"ICM_Business_linked_launch")</f>
        <v>ICM_Business_linked_launch</v>
      </c>
      <c r="J332" s="2" t="str">
        <f>IFERROR(__xludf.DUMMYFUNCTION("""COMPUTED_VALUE"""),"uuid:1cf2fde3-b5bb-4735-b262-b9acd7d4accc")</f>
        <v>uuid:1cf2fde3-b5bb-4735-b262-b9acd7d4accc</v>
      </c>
    </row>
    <row r="333">
      <c r="A333" s="2" t="str">
        <f>IFERROR(__xludf.DUMMYFUNCTION("""COMPUTED_VALUE"""),"2025-09-04T11:18:38.107Z")</f>
        <v>2025-09-04T11:18:38.107Z</v>
      </c>
      <c r="B333" s="2" t="str">
        <f>IFERROR(__xludf.DUMMYFUNCTION("""COMPUTED_VALUE"""),"2025-09-04T11:55:35.681+08")</f>
        <v>2025-09-04T11:55:35.681+08</v>
      </c>
      <c r="C333" s="2" t="str">
        <f>IFERROR(__xludf.DUMMYFUNCTION("""COMPUTED_VALUE"""),"2025-09-04T15:56:50.214+08")</f>
        <v>2025-09-04T15:56:50.214+08</v>
      </c>
      <c r="D333" s="2" t="str">
        <f>IFERROR(__xludf.DUMMYFUNCTION("""COMPUTED_VALUE"""),"H019838030")</f>
        <v>H019838030</v>
      </c>
      <c r="E333" s="2">
        <f>IFERROR(__xludf.DUMMYFUNCTION("""COMPUTED_VALUE"""),841329.0)</f>
        <v>841329</v>
      </c>
      <c r="F333" s="2" t="str">
        <f>IFERROR(__xludf.DUMMYFUNCTION("""COMPUTED_VALUE"""),"Aila Eli_2")</f>
        <v>Aila Eli_2</v>
      </c>
      <c r="G333" s="2"/>
      <c r="H333" s="2"/>
      <c r="I333" s="2" t="str">
        <f>IFERROR(__xludf.DUMMYFUNCTION("""COMPUTED_VALUE"""),"ICM_Business_linked_launch")</f>
        <v>ICM_Business_linked_launch</v>
      </c>
      <c r="J333" s="2" t="str">
        <f>IFERROR(__xludf.DUMMYFUNCTION("""COMPUTED_VALUE"""),"uuid:8489352e-5e6c-40f2-bdaf-9c1dc95eb6d2")</f>
        <v>uuid:8489352e-5e6c-40f2-bdaf-9c1dc95eb6d2</v>
      </c>
    </row>
    <row r="334">
      <c r="A334" s="2" t="str">
        <f>IFERROR(__xludf.DUMMYFUNCTION("""COMPUTED_VALUE"""),"2025-09-04T11:30:37.562Z")</f>
        <v>2025-09-04T11:30:37.562Z</v>
      </c>
      <c r="B334" s="2" t="str">
        <f>IFERROR(__xludf.DUMMYFUNCTION("""COMPUTED_VALUE"""),"2025-09-04T12:27:26.750+08")</f>
        <v>2025-09-04T12:27:26.750+08</v>
      </c>
      <c r="C334" s="2" t="str">
        <f>IFERROR(__xludf.DUMMYFUNCTION("""COMPUTED_VALUE"""),"2025-09-04T12:55:52.575+08")</f>
        <v>2025-09-04T12:55:52.575+08</v>
      </c>
      <c r="D334" s="2" t="str">
        <f>IFERROR(__xludf.DUMMYFUNCTION("""COMPUTED_VALUE"""),"H006183018")</f>
        <v>H006183018</v>
      </c>
      <c r="E334" s="2" t="str">
        <f>IFERROR(__xludf.DUMMYFUNCTION("""COMPUTED_VALUE"""),"P1068432")</f>
        <v>P1068432</v>
      </c>
      <c r="F334" s="2" t="str">
        <f>IFERROR(__xludf.DUMMYFUNCTION("""COMPUTED_VALUE"""),"Mark Daniel Balagao Benson")</f>
        <v>Mark Daniel Balagao Benson</v>
      </c>
      <c r="G334" s="2"/>
      <c r="H334" s="2"/>
      <c r="I334" s="2" t="str">
        <f>IFERROR(__xludf.DUMMYFUNCTION("""COMPUTED_VALUE"""),"ICM_Business_linked_launch")</f>
        <v>ICM_Business_linked_launch</v>
      </c>
      <c r="J334" s="2" t="str">
        <f>IFERROR(__xludf.DUMMYFUNCTION("""COMPUTED_VALUE"""),"uuid:99e6958a-6eae-42ef-8ac3-a2890223efc3")</f>
        <v>uuid:99e6958a-6eae-42ef-8ac3-a2890223efc3</v>
      </c>
    </row>
    <row r="335">
      <c r="A335" s="2" t="str">
        <f>IFERROR(__xludf.DUMMYFUNCTION("""COMPUTED_VALUE"""),"2025-09-04T11:30:39.036Z")</f>
        <v>2025-09-04T11:30:39.036Z</v>
      </c>
      <c r="B335" s="2" t="str">
        <f>IFERROR(__xludf.DUMMYFUNCTION("""COMPUTED_VALUE"""),"2025-09-04T14:12:15.582+08")</f>
        <v>2025-09-04T14:12:15.582+08</v>
      </c>
      <c r="C335" s="2" t="str">
        <f>IFERROR(__xludf.DUMMYFUNCTION("""COMPUTED_VALUE"""),"2025-09-04T15:12:14.259+08")</f>
        <v>2025-09-04T15:12:14.259+08</v>
      </c>
      <c r="D335" s="2" t="str">
        <f>IFERROR(__xludf.DUMMYFUNCTION("""COMPUTED_VALUE"""),"H006183025")</f>
        <v>H006183025</v>
      </c>
      <c r="E335" s="2" t="str">
        <f>IFERROR(__xludf.DUMMYFUNCTION("""COMPUTED_VALUE"""),"P1068432")</f>
        <v>P1068432</v>
      </c>
      <c r="F335" s="2" t="str">
        <f>IFERROR(__xludf.DUMMYFUNCTION("""COMPUTED_VALUE"""),"Mark Daniel Balagao Benson")</f>
        <v>Mark Daniel Balagao Benson</v>
      </c>
      <c r="G335" s="2"/>
      <c r="H335" s="2"/>
      <c r="I335" s="2" t="str">
        <f>IFERROR(__xludf.DUMMYFUNCTION("""COMPUTED_VALUE"""),"ICM_Business_linked_launch")</f>
        <v>ICM_Business_linked_launch</v>
      </c>
      <c r="J335" s="2" t="str">
        <f>IFERROR(__xludf.DUMMYFUNCTION("""COMPUTED_VALUE"""),"uuid:5c0fbab9-e2b9-457e-837f-6420952d5f56")</f>
        <v>uuid:5c0fbab9-e2b9-457e-837f-6420952d5f56</v>
      </c>
    </row>
    <row r="336">
      <c r="A336" s="2" t="str">
        <f>IFERROR(__xludf.DUMMYFUNCTION("""COMPUTED_VALUE"""),"2025-09-04T11:34:14.573Z")</f>
        <v>2025-09-04T11:34:14.573Z</v>
      </c>
      <c r="B336" s="2" t="str">
        <f>IFERROR(__xludf.DUMMYFUNCTION("""COMPUTED_VALUE"""),"2025-09-04T11:34:03.443+08")</f>
        <v>2025-09-04T11:34:03.443+08</v>
      </c>
      <c r="C336" s="2" t="str">
        <f>IFERROR(__xludf.DUMMYFUNCTION("""COMPUTED_VALUE"""),"2025-09-04T11:36:56.095+08")</f>
        <v>2025-09-04T11:36:56.095+08</v>
      </c>
      <c r="D336" s="2" t="str">
        <f>IFERROR(__xludf.DUMMYFUNCTION("""COMPUTED_VALUE"""),"H006183022")</f>
        <v>H006183022</v>
      </c>
      <c r="E336" s="2" t="str">
        <f>IFERROR(__xludf.DUMMYFUNCTION("""COMPUTED_VALUE"""),"N7814260")</f>
        <v>N7814260</v>
      </c>
      <c r="F336" s="2" t="str">
        <f>IFERROR(__xludf.DUMMYFUNCTION("""COMPUTED_VALUE"""),"Jemma Marie Tillo")</f>
        <v>Jemma Marie Tillo</v>
      </c>
      <c r="G336" s="2"/>
      <c r="H336" s="2"/>
      <c r="I336" s="2" t="str">
        <f>IFERROR(__xludf.DUMMYFUNCTION("""COMPUTED_VALUE"""),"ICM_Business_linked_launch")</f>
        <v>ICM_Business_linked_launch</v>
      </c>
      <c r="J336" s="2" t="str">
        <f>IFERROR(__xludf.DUMMYFUNCTION("""COMPUTED_VALUE"""),"uuid:4341cda9-08c7-4811-85c0-b2613ba3ff36")</f>
        <v>uuid:4341cda9-08c7-4811-85c0-b2613ba3ff36</v>
      </c>
    </row>
    <row r="337">
      <c r="A337" s="2" t="str">
        <f>IFERROR(__xludf.DUMMYFUNCTION("""COMPUTED_VALUE"""),"2025-09-04T11:34:16.468Z")</f>
        <v>2025-09-04T11:34:16.468Z</v>
      </c>
      <c r="B337" s="2" t="str">
        <f>IFERROR(__xludf.DUMMYFUNCTION("""COMPUTED_VALUE"""),"2025-09-04T12:50:44.648+08")</f>
        <v>2025-09-04T12:50:44.648+08</v>
      </c>
      <c r="C337" s="2" t="str">
        <f>IFERROR(__xludf.DUMMYFUNCTION("""COMPUTED_VALUE"""),"2025-09-04T19:24:53.534+08")</f>
        <v>2025-09-04T19:24:53.534+08</v>
      </c>
      <c r="D337" s="2" t="str">
        <f>IFERROR(__xludf.DUMMYFUNCTION("""COMPUTED_VALUE"""),"H006183028")</f>
        <v>H006183028</v>
      </c>
      <c r="E337" s="2" t="str">
        <f>IFERROR(__xludf.DUMMYFUNCTION("""COMPUTED_VALUE"""),"N7814260")</f>
        <v>N7814260</v>
      </c>
      <c r="F337" s="2" t="str">
        <f>IFERROR(__xludf.DUMMYFUNCTION("""COMPUTED_VALUE"""),"Jemma Marie Tillo")</f>
        <v>Jemma Marie Tillo</v>
      </c>
      <c r="G337" s="2"/>
      <c r="H337" s="2"/>
      <c r="I337" s="2" t="str">
        <f>IFERROR(__xludf.DUMMYFUNCTION("""COMPUTED_VALUE"""),"ICM_Business_linked_launch")</f>
        <v>ICM_Business_linked_launch</v>
      </c>
      <c r="J337" s="2" t="str">
        <f>IFERROR(__xludf.DUMMYFUNCTION("""COMPUTED_VALUE"""),"uuid:1840b785-c95a-494a-b6c9-822c35dd12c6")</f>
        <v>uuid:1840b785-c95a-494a-b6c9-822c35dd12c6</v>
      </c>
    </row>
    <row r="338">
      <c r="A338" s="2" t="str">
        <f>IFERROR(__xludf.DUMMYFUNCTION("""COMPUTED_VALUE"""),"2025-09-04T11:34:15.661Z")</f>
        <v>2025-09-04T11:34:15.661Z</v>
      </c>
      <c r="B338" s="2" t="str">
        <f>IFERROR(__xludf.DUMMYFUNCTION("""COMPUTED_VALUE"""),"2025-09-04T15:01:23.694+08")</f>
        <v>2025-09-04T15:01:23.694+08</v>
      </c>
      <c r="C338" s="2" t="str">
        <f>IFERROR(__xludf.DUMMYFUNCTION("""COMPUTED_VALUE"""),"2025-09-04T19:23:25.553+08")</f>
        <v>2025-09-04T19:23:25.553+08</v>
      </c>
      <c r="D338" s="2" t="str">
        <f>IFERROR(__xludf.DUMMYFUNCTION("""COMPUTED_VALUE"""),"H006183024")</f>
        <v>H006183024</v>
      </c>
      <c r="E338" s="2" t="str">
        <f>IFERROR(__xludf.DUMMYFUNCTION("""COMPUTED_VALUE"""),"N7814260")</f>
        <v>N7814260</v>
      </c>
      <c r="F338" s="2" t="str">
        <f>IFERROR(__xludf.DUMMYFUNCTION("""COMPUTED_VALUE"""),"Jemma Marie Tillo")</f>
        <v>Jemma Marie Tillo</v>
      </c>
      <c r="G338" s="2"/>
      <c r="H338" s="2"/>
      <c r="I338" s="2" t="str">
        <f>IFERROR(__xludf.DUMMYFUNCTION("""COMPUTED_VALUE"""),"ICM_Business_linked_launch")</f>
        <v>ICM_Business_linked_launch</v>
      </c>
      <c r="J338" s="2" t="str">
        <f>IFERROR(__xludf.DUMMYFUNCTION("""COMPUTED_VALUE"""),"uuid:2e1d617e-1316-41e0-9fd5-267a6335dcc9")</f>
        <v>uuid:2e1d617e-1316-41e0-9fd5-267a6335dcc9</v>
      </c>
    </row>
    <row r="339">
      <c r="A339" s="2" t="str">
        <f>IFERROR(__xludf.DUMMYFUNCTION("""COMPUTED_VALUE"""),"2025-09-04T11:36:01.803Z")</f>
        <v>2025-09-04T11:36:01.803Z</v>
      </c>
      <c r="B339" s="2" t="str">
        <f>IFERROR(__xludf.DUMMYFUNCTION("""COMPUTED_VALUE"""),"2025-09-04T11:44:19.755+08")</f>
        <v>2025-09-04T11:44:19.755+08</v>
      </c>
      <c r="C339" s="2" t="str">
        <f>IFERROR(__xludf.DUMMYFUNCTION("""COMPUTED_VALUE"""),"2025-09-04T12:35:58.465+08")</f>
        <v>2025-09-04T12:35:58.465+08</v>
      </c>
      <c r="D339" s="2" t="str">
        <f>IFERROR(__xludf.DUMMYFUNCTION("""COMPUTED_VALUE"""),"H006734032")</f>
        <v>H006734032</v>
      </c>
      <c r="E339" s="2" t="str">
        <f>IFERROR(__xludf.DUMMYFUNCTION("""COMPUTED_VALUE"""),"L2057896")</f>
        <v>L2057896</v>
      </c>
      <c r="F339" s="2" t="str">
        <f>IFERROR(__xludf.DUMMYFUNCTION("""COMPUTED_VALUE"""),"Franz Reoben Posadas Geneblaza")</f>
        <v>Franz Reoben Posadas Geneblaza</v>
      </c>
      <c r="G339" s="2"/>
      <c r="H339" s="2"/>
      <c r="I339" s="2" t="str">
        <f>IFERROR(__xludf.DUMMYFUNCTION("""COMPUTED_VALUE"""),"ICM_Business_linked_launch")</f>
        <v>ICM_Business_linked_launch</v>
      </c>
      <c r="J339" s="2" t="str">
        <f>IFERROR(__xludf.DUMMYFUNCTION("""COMPUTED_VALUE"""),"uuid:b6799d13-2b46-474c-8992-506418544405")</f>
        <v>uuid:b6799d13-2b46-474c-8992-506418544405</v>
      </c>
    </row>
    <row r="340">
      <c r="A340" s="2" t="str">
        <f>IFERROR(__xludf.DUMMYFUNCTION("""COMPUTED_VALUE"""),"2025-09-04T11:36:05.625Z")</f>
        <v>2025-09-04T11:36:05.625Z</v>
      </c>
      <c r="B340" s="2" t="str">
        <f>IFERROR(__xludf.DUMMYFUNCTION("""COMPUTED_VALUE"""),"2025-09-04T13:50:26.776+08")</f>
        <v>2025-09-04T13:50:26.776+08</v>
      </c>
      <c r="C340" s="2" t="str">
        <f>IFERROR(__xludf.DUMMYFUNCTION("""COMPUTED_VALUE"""),"2025-09-04T14:23:47.600+08")</f>
        <v>2025-09-04T14:23:47.600+08</v>
      </c>
      <c r="D340" s="2" t="str">
        <f>IFERROR(__xludf.DUMMYFUNCTION("""COMPUTED_VALUE"""),"H006734028")</f>
        <v>H006734028</v>
      </c>
      <c r="E340" s="2" t="str">
        <f>IFERROR(__xludf.DUMMYFUNCTION("""COMPUTED_VALUE"""),"L2057896")</f>
        <v>L2057896</v>
      </c>
      <c r="F340" s="2" t="str">
        <f>IFERROR(__xludf.DUMMYFUNCTION("""COMPUTED_VALUE"""),"Franz Reoben Posadas Geneblaza")</f>
        <v>Franz Reoben Posadas Geneblaza</v>
      </c>
      <c r="G340" s="2"/>
      <c r="H340" s="2"/>
      <c r="I340" s="2" t="str">
        <f>IFERROR(__xludf.DUMMYFUNCTION("""COMPUTED_VALUE"""),"ICM_Business_linked_launch")</f>
        <v>ICM_Business_linked_launch</v>
      </c>
      <c r="J340" s="2" t="str">
        <f>IFERROR(__xludf.DUMMYFUNCTION("""COMPUTED_VALUE"""),"uuid:76bdcc95-9f54-49bf-921a-7d85c265264a")</f>
        <v>uuid:76bdcc95-9f54-49bf-921a-7d85c265264a</v>
      </c>
    </row>
    <row r="341">
      <c r="A341" s="2" t="str">
        <f>IFERROR(__xludf.DUMMYFUNCTION("""COMPUTED_VALUE"""),"2025-09-04T11:36:08.108Z")</f>
        <v>2025-09-04T11:36:08.108Z</v>
      </c>
      <c r="B341" s="2" t="str">
        <f>IFERROR(__xludf.DUMMYFUNCTION("""COMPUTED_VALUE"""),"2025-09-04T15:09:43.928+08")</f>
        <v>2025-09-04T15:09:43.928+08</v>
      </c>
      <c r="C341" s="2" t="str">
        <f>IFERROR(__xludf.DUMMYFUNCTION("""COMPUTED_VALUE"""),"2025-09-04T15:27:47.467+08")</f>
        <v>2025-09-04T15:27:47.467+08</v>
      </c>
      <c r="D341" s="2" t="str">
        <f>IFERROR(__xludf.DUMMYFUNCTION("""COMPUTED_VALUE"""),"H006734017")</f>
        <v>H006734017</v>
      </c>
      <c r="E341" s="2" t="str">
        <f>IFERROR(__xludf.DUMMYFUNCTION("""COMPUTED_VALUE"""),"L2057896")</f>
        <v>L2057896</v>
      </c>
      <c r="F341" s="2" t="str">
        <f>IFERROR(__xludf.DUMMYFUNCTION("""COMPUTED_VALUE"""),"Franz Reoben Posadas Geneblaza")</f>
        <v>Franz Reoben Posadas Geneblaza</v>
      </c>
      <c r="G341" s="2"/>
      <c r="H341" s="2"/>
      <c r="I341" s="2" t="str">
        <f>IFERROR(__xludf.DUMMYFUNCTION("""COMPUTED_VALUE"""),"ICM_Business_linked_launch")</f>
        <v>ICM_Business_linked_launch</v>
      </c>
      <c r="J341" s="2" t="str">
        <f>IFERROR(__xludf.DUMMYFUNCTION("""COMPUTED_VALUE"""),"uuid:98f331bb-ce56-40af-bd3e-28beb58e098a")</f>
        <v>uuid:98f331bb-ce56-40af-bd3e-28beb58e098a</v>
      </c>
    </row>
    <row r="342">
      <c r="A342" s="2" t="str">
        <f>IFERROR(__xludf.DUMMYFUNCTION("""COMPUTED_VALUE"""),"2025-09-04T11:36:09.750Z")</f>
        <v>2025-09-04T11:36:09.750Z</v>
      </c>
      <c r="B342" s="2" t="str">
        <f>IFERROR(__xludf.DUMMYFUNCTION("""COMPUTED_VALUE"""),"2025-09-04T16:07:37.030+08")</f>
        <v>2025-09-04T16:07:37.030+08</v>
      </c>
      <c r="C342" s="2" t="str">
        <f>IFERROR(__xludf.DUMMYFUNCTION("""COMPUTED_VALUE"""),"2025-09-04T16:34:22.209+08")</f>
        <v>2025-09-04T16:34:22.209+08</v>
      </c>
      <c r="D342" s="2" t="str">
        <f>IFERROR(__xludf.DUMMYFUNCTION("""COMPUTED_VALUE"""),"H006734033")</f>
        <v>H006734033</v>
      </c>
      <c r="E342" s="2" t="str">
        <f>IFERROR(__xludf.DUMMYFUNCTION("""COMPUTED_VALUE"""),"L2057896")</f>
        <v>L2057896</v>
      </c>
      <c r="F342" s="2" t="str">
        <f>IFERROR(__xludf.DUMMYFUNCTION("""COMPUTED_VALUE"""),"Franz Reoben Posadas Geneblaza")</f>
        <v>Franz Reoben Posadas Geneblaza</v>
      </c>
      <c r="G342" s="2"/>
      <c r="H342" s="2"/>
      <c r="I342" s="2" t="str">
        <f>IFERROR(__xludf.DUMMYFUNCTION("""COMPUTED_VALUE"""),"ICM_Business_linked_launch")</f>
        <v>ICM_Business_linked_launch</v>
      </c>
      <c r="J342" s="2" t="str">
        <f>IFERROR(__xludf.DUMMYFUNCTION("""COMPUTED_VALUE"""),"uuid:352426ee-abbd-4ed6-87d3-c16d186718a5")</f>
        <v>uuid:352426ee-abbd-4ed6-87d3-c16d186718a5</v>
      </c>
    </row>
    <row r="343">
      <c r="A343" s="2" t="str">
        <f>IFERROR(__xludf.DUMMYFUNCTION("""COMPUTED_VALUE"""),"2025-09-04T11:49:59.760Z")</f>
        <v>2025-09-04T11:49:59.760Z</v>
      </c>
      <c r="B343" s="2" t="str">
        <f>IFERROR(__xludf.DUMMYFUNCTION("""COMPUTED_VALUE"""),"2025-09-04T11:48:08.753+08")</f>
        <v>2025-09-04T11:48:08.753+08</v>
      </c>
      <c r="C343" s="2" t="str">
        <f>IFERROR(__xludf.DUMMYFUNCTION("""COMPUTED_VALUE"""),"2025-09-04T16:12:19.579+08")</f>
        <v>2025-09-04T16:12:19.579+08</v>
      </c>
      <c r="D343" s="2" t="str">
        <f>IFERROR(__xludf.DUMMYFUNCTION("""COMPUTED_VALUE"""),"H006734025")</f>
        <v>H006734025</v>
      </c>
      <c r="E343" s="2" t="str">
        <f>IFERROR(__xludf.DUMMYFUNCTION("""COMPUTED_VALUE"""),"M6491032")</f>
        <v>M6491032</v>
      </c>
      <c r="F343" s="2" t="str">
        <f>IFERROR(__xludf.DUMMYFUNCTION("""COMPUTED_VALUE"""),"Rosevil Tayo Desamparado")</f>
        <v>Rosevil Tayo Desamparado</v>
      </c>
      <c r="G343" s="2"/>
      <c r="H343" s="2"/>
      <c r="I343" s="2" t="str">
        <f>IFERROR(__xludf.DUMMYFUNCTION("""COMPUTED_VALUE"""),"ICM_Business_linked_launch")</f>
        <v>ICM_Business_linked_launch</v>
      </c>
      <c r="J343" s="2" t="str">
        <f>IFERROR(__xludf.DUMMYFUNCTION("""COMPUTED_VALUE"""),"uuid:076a939e-de23-4a68-8e05-683f90a39b7a")</f>
        <v>uuid:076a939e-de23-4a68-8e05-683f90a39b7a</v>
      </c>
    </row>
    <row r="344">
      <c r="A344" s="2" t="str">
        <f>IFERROR(__xludf.DUMMYFUNCTION("""COMPUTED_VALUE"""),"2025-09-04T11:50:01.531Z")</f>
        <v>2025-09-04T11:50:01.531Z</v>
      </c>
      <c r="B344" s="2" t="str">
        <f>IFERROR(__xludf.DUMMYFUNCTION("""COMPUTED_VALUE"""),"2025-09-04T13:59:03.987+08")</f>
        <v>2025-09-04T13:59:03.987+08</v>
      </c>
      <c r="C344" s="2" t="str">
        <f>IFERROR(__xludf.DUMMYFUNCTION("""COMPUTED_VALUE"""),"2025-09-04T16:13:21.177+08")</f>
        <v>2025-09-04T16:13:21.177+08</v>
      </c>
      <c r="D344" s="2" t="str">
        <f>IFERROR(__xludf.DUMMYFUNCTION("""COMPUTED_VALUE"""),"H006734022")</f>
        <v>H006734022</v>
      </c>
      <c r="E344" s="2" t="str">
        <f>IFERROR(__xludf.DUMMYFUNCTION("""COMPUTED_VALUE"""),"M6491032")</f>
        <v>M6491032</v>
      </c>
      <c r="F344" s="2" t="str">
        <f>IFERROR(__xludf.DUMMYFUNCTION("""COMPUTED_VALUE"""),"Rosevil Tayo Desamparado")</f>
        <v>Rosevil Tayo Desamparado</v>
      </c>
      <c r="G344" s="2"/>
      <c r="H344" s="2"/>
      <c r="I344" s="2" t="str">
        <f>IFERROR(__xludf.DUMMYFUNCTION("""COMPUTED_VALUE"""),"ICM_Business_linked_launch")</f>
        <v>ICM_Business_linked_launch</v>
      </c>
      <c r="J344" s="2" t="str">
        <f>IFERROR(__xludf.DUMMYFUNCTION("""COMPUTED_VALUE"""),"uuid:03fff664-8b20-4594-9e80-2d77a8bece07")</f>
        <v>uuid:03fff664-8b20-4594-9e80-2d77a8bece07</v>
      </c>
    </row>
    <row r="345">
      <c r="A345" s="2" t="str">
        <f>IFERROR(__xludf.DUMMYFUNCTION("""COMPUTED_VALUE"""),"2025-09-04T11:50:03.494Z")</f>
        <v>2025-09-04T11:50:03.494Z</v>
      </c>
      <c r="B345" s="2" t="str">
        <f>IFERROR(__xludf.DUMMYFUNCTION("""COMPUTED_VALUE"""),"2025-09-04T15:20:01.172+08")</f>
        <v>2025-09-04T15:20:01.172+08</v>
      </c>
      <c r="C345" s="2" t="str">
        <f>IFERROR(__xludf.DUMMYFUNCTION("""COMPUTED_VALUE"""),"2025-09-04T16:19:22.160+08")</f>
        <v>2025-09-04T16:19:22.160+08</v>
      </c>
      <c r="D345" s="2" t="str">
        <f>IFERROR(__xludf.DUMMYFUNCTION("""COMPUTED_VALUE"""),"H006734018")</f>
        <v>H006734018</v>
      </c>
      <c r="E345" s="2" t="str">
        <f>IFERROR(__xludf.DUMMYFUNCTION("""COMPUTED_VALUE"""),"M6491032")</f>
        <v>M6491032</v>
      </c>
      <c r="F345" s="2" t="str">
        <f>IFERROR(__xludf.DUMMYFUNCTION("""COMPUTED_VALUE"""),"Rosevil Tayo Desamparado")</f>
        <v>Rosevil Tayo Desamparado</v>
      </c>
      <c r="G345" s="2"/>
      <c r="H345" s="2"/>
      <c r="I345" s="2" t="str">
        <f>IFERROR(__xludf.DUMMYFUNCTION("""COMPUTED_VALUE"""),"ICM_Business_linked_launch")</f>
        <v>ICM_Business_linked_launch</v>
      </c>
      <c r="J345" s="2" t="str">
        <f>IFERROR(__xludf.DUMMYFUNCTION("""COMPUTED_VALUE"""),"uuid:65a03478-8d6f-4cbe-a664-a30eb491988d")</f>
        <v>uuid:65a03478-8d6f-4cbe-a664-a30eb491988d</v>
      </c>
    </row>
    <row r="346">
      <c r="A346" s="2" t="str">
        <f>IFERROR(__xludf.DUMMYFUNCTION("""COMPUTED_VALUE"""),"2025-09-04T11:50:04.675Z")</f>
        <v>2025-09-04T11:50:04.675Z</v>
      </c>
      <c r="B346" s="2" t="str">
        <f>IFERROR(__xludf.DUMMYFUNCTION("""COMPUTED_VALUE"""),"2025-09-04T16:13:34.389+08")</f>
        <v>2025-09-04T16:13:34.389+08</v>
      </c>
      <c r="C346" s="2" t="str">
        <f>IFERROR(__xludf.DUMMYFUNCTION("""COMPUTED_VALUE"""),"2025-09-04T19:21:28.515+08")</f>
        <v>2025-09-04T19:21:28.515+08</v>
      </c>
      <c r="D346" s="2" t="str">
        <f>IFERROR(__xludf.DUMMYFUNCTION("""COMPUTED_VALUE"""),"H006734027")</f>
        <v>H006734027</v>
      </c>
      <c r="E346" s="2" t="str">
        <f>IFERROR(__xludf.DUMMYFUNCTION("""COMPUTED_VALUE"""),"M6491032")</f>
        <v>M6491032</v>
      </c>
      <c r="F346" s="2" t="str">
        <f>IFERROR(__xludf.DUMMYFUNCTION("""COMPUTED_VALUE"""),"Rosevil Tayo Desamparado")</f>
        <v>Rosevil Tayo Desamparado</v>
      </c>
      <c r="G346" s="2"/>
      <c r="H346" s="2"/>
      <c r="I346" s="2" t="str">
        <f>IFERROR(__xludf.DUMMYFUNCTION("""COMPUTED_VALUE"""),"ICM_Business_linked_launch")</f>
        <v>ICM_Business_linked_launch</v>
      </c>
      <c r="J346" s="2" t="str">
        <f>IFERROR(__xludf.DUMMYFUNCTION("""COMPUTED_VALUE"""),"uuid:b4ce7194-d8d5-4ae6-9c89-9f0c877f7a6c")</f>
        <v>uuid:b4ce7194-d8d5-4ae6-9c89-9f0c877f7a6c</v>
      </c>
    </row>
    <row r="347">
      <c r="A347" s="2" t="str">
        <f>IFERROR(__xludf.DUMMYFUNCTION("""COMPUTED_VALUE"""),"2025-09-04T11:51:26.330Z")</f>
        <v>2025-09-04T11:51:26.330Z</v>
      </c>
      <c r="B347" s="2" t="str">
        <f>IFERROR(__xludf.DUMMYFUNCTION("""COMPUTED_VALUE"""),"2025-09-04T09:59:52.700+08")</f>
        <v>2025-09-04T09:59:52.700+08</v>
      </c>
      <c r="C347" s="2" t="str">
        <f>IFERROR(__xludf.DUMMYFUNCTION("""COMPUTED_VALUE"""),"2025-09-04T10:06:20.539+08")</f>
        <v>2025-09-04T10:06:20.539+08</v>
      </c>
      <c r="D347" s="2" t="str">
        <f>IFERROR(__xludf.DUMMYFUNCTION("""COMPUTED_VALUE"""),"H019838027")</f>
        <v>H019838027</v>
      </c>
      <c r="E347" s="2">
        <f>IFERROR(__xludf.DUMMYFUNCTION("""COMPUTED_VALUE"""),455939.0)</f>
        <v>455939</v>
      </c>
      <c r="F347" s="2" t="str">
        <f>IFERROR(__xludf.DUMMYFUNCTION("""COMPUTED_VALUE"""),"Mary Jean Villaflor_2")</f>
        <v>Mary Jean Villaflor_2</v>
      </c>
      <c r="G347" s="2"/>
      <c r="H347" s="2"/>
      <c r="I347" s="2" t="str">
        <f>IFERROR(__xludf.DUMMYFUNCTION("""COMPUTED_VALUE"""),"ICM_Business_linked_launch")</f>
        <v>ICM_Business_linked_launch</v>
      </c>
      <c r="J347" s="2" t="str">
        <f>IFERROR(__xludf.DUMMYFUNCTION("""COMPUTED_VALUE"""),"uuid:43b15d35-82bf-4485-a02d-9fc35c4203de")</f>
        <v>uuid:43b15d35-82bf-4485-a02d-9fc35c4203de</v>
      </c>
    </row>
    <row r="348">
      <c r="A348" s="2" t="str">
        <f>IFERROR(__xludf.DUMMYFUNCTION("""COMPUTED_VALUE"""),"2025-09-04T11:51:27.509Z")</f>
        <v>2025-09-04T11:51:27.509Z</v>
      </c>
      <c r="B348" s="2" t="str">
        <f>IFERROR(__xludf.DUMMYFUNCTION("""COMPUTED_VALUE"""),"2025-09-04T11:26:59.261+08")</f>
        <v>2025-09-04T11:26:59.261+08</v>
      </c>
      <c r="C348" s="2" t="str">
        <f>IFERROR(__xludf.DUMMYFUNCTION("""COMPUTED_VALUE"""),"2025-09-04T11:32:26.856+08")</f>
        <v>2025-09-04T11:32:26.856+08</v>
      </c>
      <c r="D348" s="2" t="str">
        <f>IFERROR(__xludf.DUMMYFUNCTION("""COMPUTED_VALUE"""),"H019838013")</f>
        <v>H019838013</v>
      </c>
      <c r="E348" s="2">
        <f>IFERROR(__xludf.DUMMYFUNCTION("""COMPUTED_VALUE"""),455939.0)</f>
        <v>455939</v>
      </c>
      <c r="F348" s="2" t="str">
        <f>IFERROR(__xludf.DUMMYFUNCTION("""COMPUTED_VALUE"""),"Mary Jean Villaflor_2")</f>
        <v>Mary Jean Villaflor_2</v>
      </c>
      <c r="G348" s="2"/>
      <c r="H348" s="2"/>
      <c r="I348" s="2" t="str">
        <f>IFERROR(__xludf.DUMMYFUNCTION("""COMPUTED_VALUE"""),"ICM_Business_linked_launch")</f>
        <v>ICM_Business_linked_launch</v>
      </c>
      <c r="J348" s="2" t="str">
        <f>IFERROR(__xludf.DUMMYFUNCTION("""COMPUTED_VALUE"""),"uuid:49a5e889-8a9f-4bdb-8def-3aa7ab9a5dd4")</f>
        <v>uuid:49a5e889-8a9f-4bdb-8def-3aa7ab9a5dd4</v>
      </c>
    </row>
    <row r="349">
      <c r="A349" s="2" t="str">
        <f>IFERROR(__xludf.DUMMYFUNCTION("""COMPUTED_VALUE"""),"2025-09-04T11:51:29.480Z")</f>
        <v>2025-09-04T11:51:29.480Z</v>
      </c>
      <c r="B349" s="2" t="str">
        <f>IFERROR(__xludf.DUMMYFUNCTION("""COMPUTED_VALUE"""),"2025-09-04T16:23:07.742+08")</f>
        <v>2025-09-04T16:23:07.742+08</v>
      </c>
      <c r="C349" s="2" t="str">
        <f>IFERROR(__xludf.DUMMYFUNCTION("""COMPUTED_VALUE"""),"2025-09-04T16:28:23.938+08")</f>
        <v>2025-09-04T16:28:23.938+08</v>
      </c>
      <c r="D349" s="2" t="str">
        <f>IFERROR(__xludf.DUMMYFUNCTION("""COMPUTED_VALUE"""),"H019838017")</f>
        <v>H019838017</v>
      </c>
      <c r="E349" s="2">
        <f>IFERROR(__xludf.DUMMYFUNCTION("""COMPUTED_VALUE"""),455939.0)</f>
        <v>455939</v>
      </c>
      <c r="F349" s="2" t="str">
        <f>IFERROR(__xludf.DUMMYFUNCTION("""COMPUTED_VALUE"""),"Mary Jean Villaflor_2")</f>
        <v>Mary Jean Villaflor_2</v>
      </c>
      <c r="G349" s="2"/>
      <c r="H349" s="2"/>
      <c r="I349" s="2" t="str">
        <f>IFERROR(__xludf.DUMMYFUNCTION("""COMPUTED_VALUE"""),"ICM_Business_linked_launch")</f>
        <v>ICM_Business_linked_launch</v>
      </c>
      <c r="J349" s="2" t="str">
        <f>IFERROR(__xludf.DUMMYFUNCTION("""COMPUTED_VALUE"""),"uuid:10a98052-19ea-4d92-a36e-cfffffc46997")</f>
        <v>uuid:10a98052-19ea-4d92-a36e-cfffffc46997</v>
      </c>
    </row>
    <row r="350">
      <c r="A350" s="2" t="str">
        <f>IFERROR(__xludf.DUMMYFUNCTION("""COMPUTED_VALUE"""),"2025-09-04T12:13:29.858Z")</f>
        <v>2025-09-04T12:13:29.858Z</v>
      </c>
      <c r="B350" s="2" t="str">
        <f>IFERROR(__xludf.DUMMYFUNCTION("""COMPUTED_VALUE"""),"2025-09-04T13:48:20.468+08")</f>
        <v>2025-09-04T13:48:20.468+08</v>
      </c>
      <c r="C350" s="2" t="str">
        <f>IFERROR(__xludf.DUMMYFUNCTION("""COMPUTED_VALUE"""),"2025-09-04T14:20:38.880+08")</f>
        <v>2025-09-04T14:20:38.880+08</v>
      </c>
      <c r="D350" s="2" t="str">
        <f>IFERROR(__xludf.DUMMYFUNCTION("""COMPUTED_VALUE"""),"H006734030")</f>
        <v>H006734030</v>
      </c>
      <c r="E350" s="2" t="str">
        <f>IFERROR(__xludf.DUMMYFUNCTION("""COMPUTED_VALUE"""),"K8623174")</f>
        <v>K8623174</v>
      </c>
      <c r="F350" s="2" t="str">
        <f>IFERROR(__xludf.DUMMYFUNCTION("""COMPUTED_VALUE"""),"Marielle Kaye Ignacio Alonzo")</f>
        <v>Marielle Kaye Ignacio Alonzo</v>
      </c>
      <c r="G350" s="2"/>
      <c r="H350" s="2"/>
      <c r="I350" s="2" t="str">
        <f>IFERROR(__xludf.DUMMYFUNCTION("""COMPUTED_VALUE"""),"ICM_Business_linked_launch")</f>
        <v>ICM_Business_linked_launch</v>
      </c>
      <c r="J350" s="2" t="str">
        <f>IFERROR(__xludf.DUMMYFUNCTION("""COMPUTED_VALUE"""),"uuid:ee66ae61-acc7-4593-89c4-f3f93149cb89")</f>
        <v>uuid:ee66ae61-acc7-4593-89c4-f3f93149cb89</v>
      </c>
    </row>
    <row r="351">
      <c r="A351" s="2" t="str">
        <f>IFERROR(__xludf.DUMMYFUNCTION("""COMPUTED_VALUE"""),"2025-09-04T12:13:31.090Z")</f>
        <v>2025-09-04T12:13:31.090Z</v>
      </c>
      <c r="B351" s="2" t="str">
        <f>IFERROR(__xludf.DUMMYFUNCTION("""COMPUTED_VALUE"""),"2025-09-04T11:41:43.350+08")</f>
        <v>2025-09-04T11:41:43.350+08</v>
      </c>
      <c r="C351" s="2" t="str">
        <f>IFERROR(__xludf.DUMMYFUNCTION("""COMPUTED_VALUE"""),"2025-09-04T12:09:38.522+08")</f>
        <v>2025-09-04T12:09:38.522+08</v>
      </c>
      <c r="D351" s="2" t="str">
        <f>IFERROR(__xludf.DUMMYFUNCTION("""COMPUTED_VALUE"""),"H006734034")</f>
        <v>H006734034</v>
      </c>
      <c r="E351" s="2" t="str">
        <f>IFERROR(__xludf.DUMMYFUNCTION("""COMPUTED_VALUE"""),"K8623174")</f>
        <v>K8623174</v>
      </c>
      <c r="F351" s="2" t="str">
        <f>IFERROR(__xludf.DUMMYFUNCTION("""COMPUTED_VALUE"""),"Marielle Kaye Ignacio Alonzo")</f>
        <v>Marielle Kaye Ignacio Alonzo</v>
      </c>
      <c r="G351" s="2"/>
      <c r="H351" s="2"/>
      <c r="I351" s="2" t="str">
        <f>IFERROR(__xludf.DUMMYFUNCTION("""COMPUTED_VALUE"""),"ICM_Business_linked_launch")</f>
        <v>ICM_Business_linked_launch</v>
      </c>
      <c r="J351" s="2" t="str">
        <f>IFERROR(__xludf.DUMMYFUNCTION("""COMPUTED_VALUE"""),"uuid:993d8865-ec19-4fc2-98e3-dadb3c5ee504")</f>
        <v>uuid:993d8865-ec19-4fc2-98e3-dadb3c5ee504</v>
      </c>
    </row>
    <row r="352">
      <c r="A352" s="2" t="str">
        <f>IFERROR(__xludf.DUMMYFUNCTION("""COMPUTED_VALUE"""),"2025-09-04T12:13:31.494Z")</f>
        <v>2025-09-04T12:13:31.494Z</v>
      </c>
      <c r="B352" s="2" t="str">
        <f>IFERROR(__xludf.DUMMYFUNCTION("""COMPUTED_VALUE"""),"2025-09-04T15:23:22.207+08")</f>
        <v>2025-09-04T15:23:22.207+08</v>
      </c>
      <c r="C352" s="2" t="str">
        <f>IFERROR(__xludf.DUMMYFUNCTION("""COMPUTED_VALUE"""),"2025-09-04T15:36:23.174+08")</f>
        <v>2025-09-04T15:36:23.174+08</v>
      </c>
      <c r="D352" s="2" t="str">
        <f>IFERROR(__xludf.DUMMYFUNCTION("""COMPUTED_VALUE"""),"H006734029")</f>
        <v>H006734029</v>
      </c>
      <c r="E352" s="2" t="str">
        <f>IFERROR(__xludf.DUMMYFUNCTION("""COMPUTED_VALUE"""),"K8623174")</f>
        <v>K8623174</v>
      </c>
      <c r="F352" s="2" t="str">
        <f>IFERROR(__xludf.DUMMYFUNCTION("""COMPUTED_VALUE"""),"Marielle Kaye Ignacio Alonzo")</f>
        <v>Marielle Kaye Ignacio Alonzo</v>
      </c>
      <c r="G352" s="2"/>
      <c r="H352" s="2"/>
      <c r="I352" s="2" t="str">
        <f>IFERROR(__xludf.DUMMYFUNCTION("""COMPUTED_VALUE"""),"ICM_Business_linked_launch")</f>
        <v>ICM_Business_linked_launch</v>
      </c>
      <c r="J352" s="2" t="str">
        <f>IFERROR(__xludf.DUMMYFUNCTION("""COMPUTED_VALUE"""),"uuid:fb496896-8181-4eeb-bf9f-65d876fba932")</f>
        <v>uuid:fb496896-8181-4eeb-bf9f-65d876fba932</v>
      </c>
    </row>
    <row r="353">
      <c r="A353" s="2" t="str">
        <f>IFERROR(__xludf.DUMMYFUNCTION("""COMPUTED_VALUE"""),"2025-09-04T12:13:31.922Z")</f>
        <v>2025-09-04T12:13:31.922Z</v>
      </c>
      <c r="B353" s="2" t="str">
        <f>IFERROR(__xludf.DUMMYFUNCTION("""COMPUTED_VALUE"""),"2025-09-04T16:41:03.458+08")</f>
        <v>2025-09-04T16:41:03.458+08</v>
      </c>
      <c r="C353" s="2" t="str">
        <f>IFERROR(__xludf.DUMMYFUNCTION("""COMPUTED_VALUE"""),"2025-09-04T16:58:58.572+08")</f>
        <v>2025-09-04T16:58:58.572+08</v>
      </c>
      <c r="D353" s="2" t="str">
        <f>IFERROR(__xludf.DUMMYFUNCTION("""COMPUTED_VALUE"""),"H006734023")</f>
        <v>H006734023</v>
      </c>
      <c r="E353" s="2" t="str">
        <f>IFERROR(__xludf.DUMMYFUNCTION("""COMPUTED_VALUE"""),"K8623174")</f>
        <v>K8623174</v>
      </c>
      <c r="F353" s="2" t="str">
        <f>IFERROR(__xludf.DUMMYFUNCTION("""COMPUTED_VALUE"""),"Marielle Kaye Ignacio Alonzo")</f>
        <v>Marielle Kaye Ignacio Alonzo</v>
      </c>
      <c r="G353" s="2"/>
      <c r="H353" s="2"/>
      <c r="I353" s="2" t="str">
        <f>IFERROR(__xludf.DUMMYFUNCTION("""COMPUTED_VALUE"""),"ICM_Business_linked_launch")</f>
        <v>ICM_Business_linked_launch</v>
      </c>
      <c r="J353" s="2" t="str">
        <f>IFERROR(__xludf.DUMMYFUNCTION("""COMPUTED_VALUE"""),"uuid:9a51e5a5-e72f-42c2-ad1f-35929e4dc9d1")</f>
        <v>uuid:9a51e5a5-e72f-42c2-ad1f-35929e4dc9d1</v>
      </c>
    </row>
    <row r="354">
      <c r="A354" s="2" t="str">
        <f>IFERROR(__xludf.DUMMYFUNCTION("""COMPUTED_VALUE"""),"2025-09-05T10:57:08.687Z")</f>
        <v>2025-09-05T10:57:08.687Z</v>
      </c>
      <c r="B354" s="2" t="str">
        <f>IFERROR(__xludf.DUMMYFUNCTION("""COMPUTED_VALUE"""),"2025-09-05T10:36:23.568+08")</f>
        <v>2025-09-05T10:36:23.568+08</v>
      </c>
      <c r="C354" s="2" t="str">
        <f>IFERROR(__xludf.DUMMYFUNCTION("""COMPUTED_VALUE"""),"2025-09-05T10:53:24.107+08")</f>
        <v>2025-09-05T10:53:24.107+08</v>
      </c>
      <c r="D354" s="2" t="str">
        <f>IFERROR(__xludf.DUMMYFUNCTION("""COMPUTED_VALUE"""),"H030566021")</f>
        <v>H030566021</v>
      </c>
      <c r="E354" s="2" t="str">
        <f>IFERROR(__xludf.DUMMYFUNCTION("""COMPUTED_VALUE"""),"B8193462")</f>
        <v>B8193462</v>
      </c>
      <c r="F354" s="2" t="str">
        <f>IFERROR(__xludf.DUMMYFUNCTION("""COMPUTED_VALUE"""),"Mark Lorens Mendoza Gilongo")</f>
        <v>Mark Lorens Mendoza Gilongo</v>
      </c>
      <c r="G354" s="2"/>
      <c r="H354" s="2"/>
      <c r="I354" s="2" t="str">
        <f>IFERROR(__xludf.DUMMYFUNCTION("""COMPUTED_VALUE"""),"ICM_Business_linked_launch")</f>
        <v>ICM_Business_linked_launch</v>
      </c>
      <c r="J354" s="2" t="str">
        <f>IFERROR(__xludf.DUMMYFUNCTION("""COMPUTED_VALUE"""),"uuid:d3657c66-47c3-40c6-ac4a-db0228ace748")</f>
        <v>uuid:d3657c66-47c3-40c6-ac4a-db0228ace748</v>
      </c>
    </row>
    <row r="355">
      <c r="A355" s="2" t="str">
        <f>IFERROR(__xludf.DUMMYFUNCTION("""COMPUTED_VALUE"""),"2025-09-05T10:57:11.231Z")</f>
        <v>2025-09-05T10:57:11.231Z</v>
      </c>
      <c r="B355" s="2" t="str">
        <f>IFERROR(__xludf.DUMMYFUNCTION("""COMPUTED_VALUE"""),"2025-09-05T11:45:43.441+08")</f>
        <v>2025-09-05T11:45:43.441+08</v>
      </c>
      <c r="C355" s="2" t="str">
        <f>IFERROR(__xludf.DUMMYFUNCTION("""COMPUTED_VALUE"""),"2025-09-05T11:57:04.419+08")</f>
        <v>2025-09-05T11:57:04.419+08</v>
      </c>
      <c r="D355" s="2" t="str">
        <f>IFERROR(__xludf.DUMMYFUNCTION("""COMPUTED_VALUE"""),"H030566034")</f>
        <v>H030566034</v>
      </c>
      <c r="E355" s="2" t="str">
        <f>IFERROR(__xludf.DUMMYFUNCTION("""COMPUTED_VALUE"""),"B8193462")</f>
        <v>B8193462</v>
      </c>
      <c r="F355" s="2" t="str">
        <f>IFERROR(__xludf.DUMMYFUNCTION("""COMPUTED_VALUE"""),"Mark Lorens Mendoza Gilongo")</f>
        <v>Mark Lorens Mendoza Gilongo</v>
      </c>
      <c r="G355" s="2"/>
      <c r="H355" s="2"/>
      <c r="I355" s="2" t="str">
        <f>IFERROR(__xludf.DUMMYFUNCTION("""COMPUTED_VALUE"""),"ICM_Business_linked_launch")</f>
        <v>ICM_Business_linked_launch</v>
      </c>
      <c r="J355" s="2" t="str">
        <f>IFERROR(__xludf.DUMMYFUNCTION("""COMPUTED_VALUE"""),"uuid:ce8d6dd8-0410-4f00-b454-19687aa56192")</f>
        <v>uuid:ce8d6dd8-0410-4f00-b454-19687aa56192</v>
      </c>
    </row>
    <row r="356">
      <c r="A356" s="2" t="str">
        <f>IFERROR(__xludf.DUMMYFUNCTION("""COMPUTED_VALUE"""),"2025-09-05T10:57:14.031Z")</f>
        <v>2025-09-05T10:57:14.031Z</v>
      </c>
      <c r="B356" s="2" t="str">
        <f>IFERROR(__xludf.DUMMYFUNCTION("""COMPUTED_VALUE"""),"2025-09-05T13:15:15.015+08")</f>
        <v>2025-09-05T13:15:15.015+08</v>
      </c>
      <c r="C356" s="2" t="str">
        <f>IFERROR(__xludf.DUMMYFUNCTION("""COMPUTED_VALUE"""),"2025-09-05T13:49:41.545+08")</f>
        <v>2025-09-05T13:49:41.545+08</v>
      </c>
      <c r="D356" s="2" t="str">
        <f>IFERROR(__xludf.DUMMYFUNCTION("""COMPUTED_VALUE"""),"H030566020")</f>
        <v>H030566020</v>
      </c>
      <c r="E356" s="2" t="str">
        <f>IFERROR(__xludf.DUMMYFUNCTION("""COMPUTED_VALUE"""),"B8193462")</f>
        <v>B8193462</v>
      </c>
      <c r="F356" s="2" t="str">
        <f>IFERROR(__xludf.DUMMYFUNCTION("""COMPUTED_VALUE"""),"Mark Lorens Mendoza Gilongo")</f>
        <v>Mark Lorens Mendoza Gilongo</v>
      </c>
      <c r="G356" s="2"/>
      <c r="H356" s="2"/>
      <c r="I356" s="2" t="str">
        <f>IFERROR(__xludf.DUMMYFUNCTION("""COMPUTED_VALUE"""),"ICM_Business_linked_launch")</f>
        <v>ICM_Business_linked_launch</v>
      </c>
      <c r="J356" s="2" t="str">
        <f>IFERROR(__xludf.DUMMYFUNCTION("""COMPUTED_VALUE"""),"uuid:bb6f2acd-b74f-49ff-8827-9d81cd707846")</f>
        <v>uuid:bb6f2acd-b74f-49ff-8827-9d81cd707846</v>
      </c>
    </row>
    <row r="357">
      <c r="A357" s="2" t="str">
        <f>IFERROR(__xludf.DUMMYFUNCTION("""COMPUTED_VALUE"""),"2025-09-05T10:57:27.943Z")</f>
        <v>2025-09-05T10:57:27.943Z</v>
      </c>
      <c r="B357" s="2" t="str">
        <f>IFERROR(__xludf.DUMMYFUNCTION("""COMPUTED_VALUE"""),"2025-09-05T11:01:40.154+08")</f>
        <v>2025-09-05T11:01:40.154+08</v>
      </c>
      <c r="C357" s="2" t="str">
        <f>IFERROR(__xludf.DUMMYFUNCTION("""COMPUTED_VALUE"""),"2025-09-05T11:14:20.342+08")</f>
        <v>2025-09-05T11:14:20.342+08</v>
      </c>
      <c r="D357" s="2" t="str">
        <f>IFERROR(__xludf.DUMMYFUNCTION("""COMPUTED_VALUE"""),"H030764023")</f>
        <v>H030764023</v>
      </c>
      <c r="E357" s="2">
        <f>IFERROR(__xludf.DUMMYFUNCTION("""COMPUTED_VALUE"""),896791.0)</f>
        <v>896791</v>
      </c>
      <c r="F357" s="2" t="str">
        <f>IFERROR(__xludf.DUMMYFUNCTION("""COMPUTED_VALUE"""),"Roland A. Bandiola jr_2")</f>
        <v>Roland A. Bandiola jr_2</v>
      </c>
      <c r="G357" s="2"/>
      <c r="H357" s="2"/>
      <c r="I357" s="2" t="str">
        <f>IFERROR(__xludf.DUMMYFUNCTION("""COMPUTED_VALUE"""),"ICM_Business_linked_launch")</f>
        <v>ICM_Business_linked_launch</v>
      </c>
      <c r="J357" s="2" t="str">
        <f>IFERROR(__xludf.DUMMYFUNCTION("""COMPUTED_VALUE"""),"uuid:9e230fa6-f8c3-446f-acf2-c7dcc7dc5f27")</f>
        <v>uuid:9e230fa6-f8c3-446f-acf2-c7dcc7dc5f27</v>
      </c>
    </row>
    <row r="358">
      <c r="A358" s="2" t="str">
        <f>IFERROR(__xludf.DUMMYFUNCTION("""COMPUTED_VALUE"""),"2025-09-05T10:57:32.281Z")</f>
        <v>2025-09-05T10:57:32.281Z</v>
      </c>
      <c r="B358" s="2" t="str">
        <f>IFERROR(__xludf.DUMMYFUNCTION("""COMPUTED_VALUE"""),"2025-09-05T15:18:57.705+08")</f>
        <v>2025-09-05T15:18:57.705+08</v>
      </c>
      <c r="C358" s="2" t="str">
        <f>IFERROR(__xludf.DUMMYFUNCTION("""COMPUTED_VALUE"""),"2025-09-05T15:22:39.626+08")</f>
        <v>2025-09-05T15:22:39.626+08</v>
      </c>
      <c r="D358" s="2" t="str">
        <f>IFERROR(__xludf.DUMMYFUNCTION("""COMPUTED_VALUE"""),"H030764033")</f>
        <v>H030764033</v>
      </c>
      <c r="E358" s="2">
        <f>IFERROR(__xludf.DUMMYFUNCTION("""COMPUTED_VALUE"""),896791.0)</f>
        <v>896791</v>
      </c>
      <c r="F358" s="2" t="str">
        <f>IFERROR(__xludf.DUMMYFUNCTION("""COMPUTED_VALUE"""),"Roland A. Bandiola jr_2")</f>
        <v>Roland A. Bandiola jr_2</v>
      </c>
      <c r="G358" s="2"/>
      <c r="H358" s="2"/>
      <c r="I358" s="2" t="str">
        <f>IFERROR(__xludf.DUMMYFUNCTION("""COMPUTED_VALUE"""),"ICM_Business_linked_launch")</f>
        <v>ICM_Business_linked_launch</v>
      </c>
      <c r="J358" s="2" t="str">
        <f>IFERROR(__xludf.DUMMYFUNCTION("""COMPUTED_VALUE"""),"uuid:d6a0c39a-06e5-48b6-8fb1-99e4ed25d09b")</f>
        <v>uuid:d6a0c39a-06e5-48b6-8fb1-99e4ed25d09b</v>
      </c>
    </row>
    <row r="359">
      <c r="A359" s="2" t="str">
        <f>IFERROR(__xludf.DUMMYFUNCTION("""COMPUTED_VALUE"""),"2025-09-05T10:57:35.186Z")</f>
        <v>2025-09-05T10:57:35.186Z</v>
      </c>
      <c r="B359" s="2" t="str">
        <f>IFERROR(__xludf.DUMMYFUNCTION("""COMPUTED_VALUE"""),"2025-09-05T16:54:59.834+08")</f>
        <v>2025-09-05T16:54:59.834+08</v>
      </c>
      <c r="C359" s="2" t="str">
        <f>IFERROR(__xludf.DUMMYFUNCTION("""COMPUTED_VALUE"""),"2025-09-05T17:00:43.922+08")</f>
        <v>2025-09-05T17:00:43.922+08</v>
      </c>
      <c r="D359" s="2" t="str">
        <f>IFERROR(__xludf.DUMMYFUNCTION("""COMPUTED_VALUE"""),"H030764028")</f>
        <v>H030764028</v>
      </c>
      <c r="E359" s="2">
        <f>IFERROR(__xludf.DUMMYFUNCTION("""COMPUTED_VALUE"""),896791.0)</f>
        <v>896791</v>
      </c>
      <c r="F359" s="2" t="str">
        <f>IFERROR(__xludf.DUMMYFUNCTION("""COMPUTED_VALUE"""),"Roland A. Bandiola jr_2")</f>
        <v>Roland A. Bandiola jr_2</v>
      </c>
      <c r="G359" s="2"/>
      <c r="H359" s="2"/>
      <c r="I359" s="2" t="str">
        <f>IFERROR(__xludf.DUMMYFUNCTION("""COMPUTED_VALUE"""),"ICM_Business_linked_launch")</f>
        <v>ICM_Business_linked_launch</v>
      </c>
      <c r="J359" s="2" t="str">
        <f>IFERROR(__xludf.DUMMYFUNCTION("""COMPUTED_VALUE"""),"uuid:4bb53eba-5575-4c0f-b592-b2b88a13a473")</f>
        <v>uuid:4bb53eba-5575-4c0f-b592-b2b88a13a473</v>
      </c>
    </row>
    <row r="360">
      <c r="A360" s="2" t="str">
        <f>IFERROR(__xludf.DUMMYFUNCTION("""COMPUTED_VALUE"""),"2025-09-05T10:57:36.602Z")</f>
        <v>2025-09-05T10:57:36.602Z</v>
      </c>
      <c r="B360" s="2" t="str">
        <f>IFERROR(__xludf.DUMMYFUNCTION("""COMPUTED_VALUE"""),"2025-09-05T13:13:40.634+08")</f>
        <v>2025-09-05T13:13:40.634+08</v>
      </c>
      <c r="C360" s="2" t="str">
        <f>IFERROR(__xludf.DUMMYFUNCTION("""COMPUTED_VALUE"""),"2025-09-05T17:56:01.113+08")</f>
        <v>2025-09-05T17:56:01.113+08</v>
      </c>
      <c r="D360" s="2" t="str">
        <f>IFERROR(__xludf.DUMMYFUNCTION("""COMPUTED_VALUE"""),"H030764022")</f>
        <v>H030764022</v>
      </c>
      <c r="E360" s="2">
        <f>IFERROR(__xludf.DUMMYFUNCTION("""COMPUTED_VALUE"""),896791.0)</f>
        <v>896791</v>
      </c>
      <c r="F360" s="2" t="str">
        <f>IFERROR(__xludf.DUMMYFUNCTION("""COMPUTED_VALUE"""),"Roland A. Bandiola jr_2")</f>
        <v>Roland A. Bandiola jr_2</v>
      </c>
      <c r="G360" s="2"/>
      <c r="H360" s="2"/>
      <c r="I360" s="2" t="str">
        <f>IFERROR(__xludf.DUMMYFUNCTION("""COMPUTED_VALUE"""),"ICM_Business_linked_launch")</f>
        <v>ICM_Business_linked_launch</v>
      </c>
      <c r="J360" s="2" t="str">
        <f>IFERROR(__xludf.DUMMYFUNCTION("""COMPUTED_VALUE"""),"uuid:aa0d2ef0-92be-4902-9abd-9e3e92b3d026")</f>
        <v>uuid:aa0d2ef0-92be-4902-9abd-9e3e92b3d026</v>
      </c>
    </row>
    <row r="361">
      <c r="A361" s="2" t="str">
        <f>IFERROR(__xludf.DUMMYFUNCTION("""COMPUTED_VALUE"""),"2025-09-05T11:02:32.006Z")</f>
        <v>2025-09-05T11:02:32.006Z</v>
      </c>
      <c r="B361" s="2" t="str">
        <f>IFERROR(__xludf.DUMMYFUNCTION("""COMPUTED_VALUE"""),"2025-09-05T10:59:05.246+08")</f>
        <v>2025-09-05T10:59:05.246+08</v>
      </c>
      <c r="C361" s="2" t="str">
        <f>IFERROR(__xludf.DUMMYFUNCTION("""COMPUTED_VALUE"""),"2025-09-05T11:11:15.881+08")</f>
        <v>2025-09-05T11:11:15.881+08</v>
      </c>
      <c r="D361" s="2" t="str">
        <f>IFERROR(__xludf.DUMMYFUNCTION("""COMPUTED_VALUE"""),"H019499031")</f>
        <v>H019499031</v>
      </c>
      <c r="E361" s="2">
        <f>IFERROR(__xludf.DUMMYFUNCTION("""COMPUTED_VALUE"""),841329.0)</f>
        <v>841329</v>
      </c>
      <c r="F361" s="2" t="str">
        <f>IFERROR(__xludf.DUMMYFUNCTION("""COMPUTED_VALUE"""),"Aila Eli_2")</f>
        <v>Aila Eli_2</v>
      </c>
      <c r="G361" s="2"/>
      <c r="H361" s="2"/>
      <c r="I361" s="2" t="str">
        <f>IFERROR(__xludf.DUMMYFUNCTION("""COMPUTED_VALUE"""),"ICM_Business_linked_launch")</f>
        <v>ICM_Business_linked_launch</v>
      </c>
      <c r="J361" s="2" t="str">
        <f>IFERROR(__xludf.DUMMYFUNCTION("""COMPUTED_VALUE"""),"uuid:418049ca-a16e-49ea-af7a-eeaba6ec199e")</f>
        <v>uuid:418049ca-a16e-49ea-af7a-eeaba6ec199e</v>
      </c>
    </row>
    <row r="362">
      <c r="A362" s="2" t="str">
        <f>IFERROR(__xludf.DUMMYFUNCTION("""COMPUTED_VALUE"""),"2025-09-05T11:02:35.060Z")</f>
        <v>2025-09-05T11:02:35.060Z</v>
      </c>
      <c r="B362" s="2" t="str">
        <f>IFERROR(__xludf.DUMMYFUNCTION("""COMPUTED_VALUE"""),"2025-09-05T12:36:50.981+08")</f>
        <v>2025-09-05T12:36:50.981+08</v>
      </c>
      <c r="C362" s="2" t="str">
        <f>IFERROR(__xludf.DUMMYFUNCTION("""COMPUTED_VALUE"""),"2025-09-05T12:43:57.444+08")</f>
        <v>2025-09-05T12:43:57.444+08</v>
      </c>
      <c r="D362" s="2" t="str">
        <f>IFERROR(__xludf.DUMMYFUNCTION("""COMPUTED_VALUE"""),"H019499012")</f>
        <v>H019499012</v>
      </c>
      <c r="E362" s="2">
        <f>IFERROR(__xludf.DUMMYFUNCTION("""COMPUTED_VALUE"""),841329.0)</f>
        <v>841329</v>
      </c>
      <c r="F362" s="2" t="str">
        <f>IFERROR(__xludf.DUMMYFUNCTION("""COMPUTED_VALUE"""),"Aila Eli_2")</f>
        <v>Aila Eli_2</v>
      </c>
      <c r="G362" s="2"/>
      <c r="H362" s="2"/>
      <c r="I362" s="2" t="str">
        <f>IFERROR(__xludf.DUMMYFUNCTION("""COMPUTED_VALUE"""),"ICM_Business_linked_launch")</f>
        <v>ICM_Business_linked_launch</v>
      </c>
      <c r="J362" s="2" t="str">
        <f>IFERROR(__xludf.DUMMYFUNCTION("""COMPUTED_VALUE"""),"uuid:bdb8d739-fece-4911-bae6-e3c639e294c6")</f>
        <v>uuid:bdb8d739-fece-4911-bae6-e3c639e294c6</v>
      </c>
    </row>
    <row r="363">
      <c r="A363" s="2" t="str">
        <f>IFERROR(__xludf.DUMMYFUNCTION("""COMPUTED_VALUE"""),"2025-09-05T11:02:36.301Z")</f>
        <v>2025-09-05T11:02:36.301Z</v>
      </c>
      <c r="B363" s="2" t="str">
        <f>IFERROR(__xludf.DUMMYFUNCTION("""COMPUTED_VALUE"""),"2025-09-05T13:48:48.676+08")</f>
        <v>2025-09-05T13:48:48.676+08</v>
      </c>
      <c r="C363" s="2" t="str">
        <f>IFERROR(__xludf.DUMMYFUNCTION("""COMPUTED_VALUE"""),"2025-09-05T13:52:27.357+08")</f>
        <v>2025-09-05T13:52:27.357+08</v>
      </c>
      <c r="D363" s="2" t="str">
        <f>IFERROR(__xludf.DUMMYFUNCTION("""COMPUTED_VALUE"""),"H019499032")</f>
        <v>H019499032</v>
      </c>
      <c r="E363" s="2">
        <f>IFERROR(__xludf.DUMMYFUNCTION("""COMPUTED_VALUE"""),841329.0)</f>
        <v>841329</v>
      </c>
      <c r="F363" s="2" t="str">
        <f>IFERROR(__xludf.DUMMYFUNCTION("""COMPUTED_VALUE"""),"Aila Eli_2")</f>
        <v>Aila Eli_2</v>
      </c>
      <c r="G363" s="2"/>
      <c r="H363" s="2"/>
      <c r="I363" s="2" t="str">
        <f>IFERROR(__xludf.DUMMYFUNCTION("""COMPUTED_VALUE"""),"ICM_Business_linked_launch")</f>
        <v>ICM_Business_linked_launch</v>
      </c>
      <c r="J363" s="2" t="str">
        <f>IFERROR(__xludf.DUMMYFUNCTION("""COMPUTED_VALUE"""),"uuid:2f56d7ea-0646-4d6b-ba12-42d49efa5579")</f>
        <v>uuid:2f56d7ea-0646-4d6b-ba12-42d49efa5579</v>
      </c>
    </row>
    <row r="364">
      <c r="A364" s="2" t="str">
        <f>IFERROR(__xludf.DUMMYFUNCTION("""COMPUTED_VALUE"""),"2025-09-05T11:02:37.763Z")</f>
        <v>2025-09-05T11:02:37.763Z</v>
      </c>
      <c r="B364" s="2" t="str">
        <f>IFERROR(__xludf.DUMMYFUNCTION("""COMPUTED_VALUE"""),"2025-09-05T15:53:03.523+08")</f>
        <v>2025-09-05T15:53:03.523+08</v>
      </c>
      <c r="C364" s="2" t="str">
        <f>IFERROR(__xludf.DUMMYFUNCTION("""COMPUTED_VALUE"""),"2025-09-05T15:55:43.319+08")</f>
        <v>2025-09-05T15:55:43.319+08</v>
      </c>
      <c r="D364" s="2" t="str">
        <f>IFERROR(__xludf.DUMMYFUNCTION("""COMPUTED_VALUE"""),"H019499033")</f>
        <v>H019499033</v>
      </c>
      <c r="E364" s="2">
        <f>IFERROR(__xludf.DUMMYFUNCTION("""COMPUTED_VALUE"""),841329.0)</f>
        <v>841329</v>
      </c>
      <c r="F364" s="2" t="str">
        <f>IFERROR(__xludf.DUMMYFUNCTION("""COMPUTED_VALUE"""),"Aila Eli_2")</f>
        <v>Aila Eli_2</v>
      </c>
      <c r="G364" s="2"/>
      <c r="H364" s="2"/>
      <c r="I364" s="2" t="str">
        <f>IFERROR(__xludf.DUMMYFUNCTION("""COMPUTED_VALUE"""),"ICM_Business_linked_launch")</f>
        <v>ICM_Business_linked_launch</v>
      </c>
      <c r="J364" s="2" t="str">
        <f>IFERROR(__xludf.DUMMYFUNCTION("""COMPUTED_VALUE"""),"uuid:322b30cd-c7e0-40f8-b87b-e35aad9dcbd1")</f>
        <v>uuid:322b30cd-c7e0-40f8-b87b-e35aad9dcbd1</v>
      </c>
    </row>
    <row r="365">
      <c r="A365" s="2" t="str">
        <f>IFERROR(__xludf.DUMMYFUNCTION("""COMPUTED_VALUE"""),"2025-09-05T11:10:37.719Z")</f>
        <v>2025-09-05T11:10:37.719Z</v>
      </c>
      <c r="B365" s="2" t="str">
        <f>IFERROR(__xludf.DUMMYFUNCTION("""COMPUTED_VALUE"""),"2025-09-05T09:55:55.837+08")</f>
        <v>2025-09-05T09:55:55.837+08</v>
      </c>
      <c r="C365" s="2" t="str">
        <f>IFERROR(__xludf.DUMMYFUNCTION("""COMPUTED_VALUE"""),"2025-09-05T10:01:26.136+08")</f>
        <v>2025-09-05T10:01:26.136+08</v>
      </c>
      <c r="D365" s="2" t="str">
        <f>IFERROR(__xludf.DUMMYFUNCTION("""COMPUTED_VALUE"""),"H006183029")</f>
        <v>H006183029</v>
      </c>
      <c r="E365" s="2" t="str">
        <f>IFERROR(__xludf.DUMMYFUNCTION("""COMPUTED_VALUE"""),"O3925718")</f>
        <v>O3925718</v>
      </c>
      <c r="F365" s="2" t="str">
        <f>IFERROR(__xludf.DUMMYFUNCTION("""COMPUTED_VALUE"""),"Adrian Montecastro Ferrer")</f>
        <v>Adrian Montecastro Ferrer</v>
      </c>
      <c r="G365" s="2"/>
      <c r="H365" s="2"/>
      <c r="I365" s="2" t="str">
        <f>IFERROR(__xludf.DUMMYFUNCTION("""COMPUTED_VALUE"""),"ICM_Business_linked_launch")</f>
        <v>ICM_Business_linked_launch</v>
      </c>
      <c r="J365" s="2" t="str">
        <f>IFERROR(__xludf.DUMMYFUNCTION("""COMPUTED_VALUE"""),"uuid:5db15132-05c7-4d32-a5c9-08b5f61963e8")</f>
        <v>uuid:5db15132-05c7-4d32-a5c9-08b5f61963e8</v>
      </c>
    </row>
    <row r="366">
      <c r="A366" s="2" t="str">
        <f>IFERROR(__xludf.DUMMYFUNCTION("""COMPUTED_VALUE"""),"2025-09-05T11:10:38.448Z")</f>
        <v>2025-09-05T11:10:38.448Z</v>
      </c>
      <c r="B366" s="2" t="str">
        <f>IFERROR(__xludf.DUMMYFUNCTION("""COMPUTED_VALUE"""),"2025-09-05T11:25:34.800+08")</f>
        <v>2025-09-05T11:25:34.800+08</v>
      </c>
      <c r="C366" s="2" t="str">
        <f>IFERROR(__xludf.DUMMYFUNCTION("""COMPUTED_VALUE"""),"2025-09-05T11:38:33.452+08")</f>
        <v>2025-09-05T11:38:33.452+08</v>
      </c>
      <c r="D366" s="2" t="str">
        <f>IFERROR(__xludf.DUMMYFUNCTION("""COMPUTED_VALUE"""),"H006183027")</f>
        <v>H006183027</v>
      </c>
      <c r="E366" s="2" t="str">
        <f>IFERROR(__xludf.DUMMYFUNCTION("""COMPUTED_VALUE"""),"O3925718")</f>
        <v>O3925718</v>
      </c>
      <c r="F366" s="2" t="str">
        <f>IFERROR(__xludf.DUMMYFUNCTION("""COMPUTED_VALUE"""),"Adrian Montecastro Ferrer")</f>
        <v>Adrian Montecastro Ferrer</v>
      </c>
      <c r="G366" s="2"/>
      <c r="H366" s="2"/>
      <c r="I366" s="2" t="str">
        <f>IFERROR(__xludf.DUMMYFUNCTION("""COMPUTED_VALUE"""),"ICM_Business_linked_launch")</f>
        <v>ICM_Business_linked_launch</v>
      </c>
      <c r="J366" s="2" t="str">
        <f>IFERROR(__xludf.DUMMYFUNCTION("""COMPUTED_VALUE"""),"uuid:ca7e5dd0-c645-4cac-848f-c37460622fbd")</f>
        <v>uuid:ca7e5dd0-c645-4cac-848f-c37460622fbd</v>
      </c>
    </row>
    <row r="367">
      <c r="A367" s="2" t="str">
        <f>IFERROR(__xludf.DUMMYFUNCTION("""COMPUTED_VALUE"""),"2025-09-05T11:10:40.816Z")</f>
        <v>2025-09-05T11:10:40.816Z</v>
      </c>
      <c r="B367" s="2" t="str">
        <f>IFERROR(__xludf.DUMMYFUNCTION("""COMPUTED_VALUE"""),"2025-09-05T13:48:08.425+08")</f>
        <v>2025-09-05T13:48:08.425+08</v>
      </c>
      <c r="C367" s="2" t="str">
        <f>IFERROR(__xludf.DUMMYFUNCTION("""COMPUTED_VALUE"""),"2025-09-05T13:58:58.554+08")</f>
        <v>2025-09-05T13:58:58.554+08</v>
      </c>
      <c r="D367" s="2" t="str">
        <f>IFERROR(__xludf.DUMMYFUNCTION("""COMPUTED_VALUE"""),"H006183035")</f>
        <v>H006183035</v>
      </c>
      <c r="E367" s="2" t="str">
        <f>IFERROR(__xludf.DUMMYFUNCTION("""COMPUTED_VALUE"""),"O3925718")</f>
        <v>O3925718</v>
      </c>
      <c r="F367" s="2" t="str">
        <f>IFERROR(__xludf.DUMMYFUNCTION("""COMPUTED_VALUE"""),"Adrian Montecastro Ferrer")</f>
        <v>Adrian Montecastro Ferrer</v>
      </c>
      <c r="G367" s="2"/>
      <c r="H367" s="2"/>
      <c r="I367" s="2" t="str">
        <f>IFERROR(__xludf.DUMMYFUNCTION("""COMPUTED_VALUE"""),"ICM_Business_linked_launch")</f>
        <v>ICM_Business_linked_launch</v>
      </c>
      <c r="J367" s="2" t="str">
        <f>IFERROR(__xludf.DUMMYFUNCTION("""COMPUTED_VALUE"""),"uuid:d8feef92-bc15-4d52-a958-c3dc004998b1")</f>
        <v>uuid:d8feef92-bc15-4d52-a958-c3dc004998b1</v>
      </c>
    </row>
    <row r="368">
      <c r="A368" s="2" t="str">
        <f>IFERROR(__xludf.DUMMYFUNCTION("""COMPUTED_VALUE"""),"2025-09-05T11:13:04.189Z")</f>
        <v>2025-09-05T11:13:04.189Z</v>
      </c>
      <c r="B368" s="2" t="str">
        <f>IFERROR(__xludf.DUMMYFUNCTION("""COMPUTED_VALUE"""),"2025-09-05T11:51:10.182+08")</f>
        <v>2025-09-05T11:51:10.182+08</v>
      </c>
      <c r="C368" s="2" t="str">
        <f>IFERROR(__xludf.DUMMYFUNCTION("""COMPUTED_VALUE"""),"2025-09-05T11:53:54.387+08")</f>
        <v>2025-09-05T11:53:54.387+08</v>
      </c>
      <c r="D368" s="2" t="str">
        <f>IFERROR(__xludf.DUMMYFUNCTION("""COMPUTED_VALUE"""),"H019499021")</f>
        <v>H019499021</v>
      </c>
      <c r="E368" s="2">
        <f>IFERROR(__xludf.DUMMYFUNCTION("""COMPUTED_VALUE"""),455939.0)</f>
        <v>455939</v>
      </c>
      <c r="F368" s="2" t="str">
        <f>IFERROR(__xludf.DUMMYFUNCTION("""COMPUTED_VALUE"""),"Mary Jean Villaflor_2")</f>
        <v>Mary Jean Villaflor_2</v>
      </c>
      <c r="G368" s="2"/>
      <c r="H368" s="2"/>
      <c r="I368" s="2" t="str">
        <f>IFERROR(__xludf.DUMMYFUNCTION("""COMPUTED_VALUE"""),"ICM_Business_linked_launch")</f>
        <v>ICM_Business_linked_launch</v>
      </c>
      <c r="J368" s="2" t="str">
        <f>IFERROR(__xludf.DUMMYFUNCTION("""COMPUTED_VALUE"""),"uuid:b84dbf0e-b2c4-449a-b1fe-e6b37b1f461c")</f>
        <v>uuid:b84dbf0e-b2c4-449a-b1fe-e6b37b1f461c</v>
      </c>
    </row>
    <row r="369">
      <c r="A369" s="2" t="str">
        <f>IFERROR(__xludf.DUMMYFUNCTION("""COMPUTED_VALUE"""),"2025-09-05T11:13:08.499Z")</f>
        <v>2025-09-05T11:13:08.499Z</v>
      </c>
      <c r="B369" s="2" t="str">
        <f>IFERROR(__xludf.DUMMYFUNCTION("""COMPUTED_VALUE"""),"2025-09-05T12:34:28.914+08")</f>
        <v>2025-09-05T12:34:28.914+08</v>
      </c>
      <c r="C369" s="2" t="str">
        <f>IFERROR(__xludf.DUMMYFUNCTION("""COMPUTED_VALUE"""),"2025-09-05T12:41:14.944+08")</f>
        <v>2025-09-05T12:41:14.944+08</v>
      </c>
      <c r="D369" s="2" t="str">
        <f>IFERROR(__xludf.DUMMYFUNCTION("""COMPUTED_VALUE"""),"H019499020")</f>
        <v>H019499020</v>
      </c>
      <c r="E369" s="2">
        <f>IFERROR(__xludf.DUMMYFUNCTION("""COMPUTED_VALUE"""),455939.0)</f>
        <v>455939</v>
      </c>
      <c r="F369" s="2" t="str">
        <f>IFERROR(__xludf.DUMMYFUNCTION("""COMPUTED_VALUE"""),"Mary Jean Villaflor_2")</f>
        <v>Mary Jean Villaflor_2</v>
      </c>
      <c r="G369" s="2"/>
      <c r="H369" s="2"/>
      <c r="I369" s="2" t="str">
        <f>IFERROR(__xludf.DUMMYFUNCTION("""COMPUTED_VALUE"""),"ICM_Business_linked_launch")</f>
        <v>ICM_Business_linked_launch</v>
      </c>
      <c r="J369" s="2" t="str">
        <f>IFERROR(__xludf.DUMMYFUNCTION("""COMPUTED_VALUE"""),"uuid:fecd3436-0bbb-4e26-8b4d-382a4d060386")</f>
        <v>uuid:fecd3436-0bbb-4e26-8b4d-382a4d060386</v>
      </c>
    </row>
    <row r="370">
      <c r="A370" s="2" t="str">
        <f>IFERROR(__xludf.DUMMYFUNCTION("""COMPUTED_VALUE"""),"2025-09-05T11:13:11.626Z")</f>
        <v>2025-09-05T11:13:11.626Z</v>
      </c>
      <c r="B370" s="2" t="str">
        <f>IFERROR(__xludf.DUMMYFUNCTION("""COMPUTED_VALUE"""),"2025-09-05T13:35:11.170+08")</f>
        <v>2025-09-05T13:35:11.170+08</v>
      </c>
      <c r="C370" s="2" t="str">
        <f>IFERROR(__xludf.DUMMYFUNCTION("""COMPUTED_VALUE"""),"2025-09-05T13:41:41.386+08")</f>
        <v>2025-09-05T13:41:41.386+08</v>
      </c>
      <c r="D370" s="2" t="str">
        <f>IFERROR(__xludf.DUMMYFUNCTION("""COMPUTED_VALUE"""),"H019499018")</f>
        <v>H019499018</v>
      </c>
      <c r="E370" s="2">
        <f>IFERROR(__xludf.DUMMYFUNCTION("""COMPUTED_VALUE"""),455939.0)</f>
        <v>455939</v>
      </c>
      <c r="F370" s="2" t="str">
        <f>IFERROR(__xludf.DUMMYFUNCTION("""COMPUTED_VALUE"""),"Mary Jean Villaflor_2")</f>
        <v>Mary Jean Villaflor_2</v>
      </c>
      <c r="G370" s="2"/>
      <c r="H370" s="2"/>
      <c r="I370" s="2" t="str">
        <f>IFERROR(__xludf.DUMMYFUNCTION("""COMPUTED_VALUE"""),"ICM_Business_linked_launch")</f>
        <v>ICM_Business_linked_launch</v>
      </c>
      <c r="J370" s="2" t="str">
        <f>IFERROR(__xludf.DUMMYFUNCTION("""COMPUTED_VALUE"""),"uuid:d1899d3a-fd27-4614-b1ef-e141943d2878")</f>
        <v>uuid:d1899d3a-fd27-4614-b1ef-e141943d2878</v>
      </c>
    </row>
    <row r="371">
      <c r="A371" s="2" t="str">
        <f>IFERROR(__xludf.DUMMYFUNCTION("""COMPUTED_VALUE"""),"2025-09-05T11:13:14.543Z")</f>
        <v>2025-09-05T11:13:14.543Z</v>
      </c>
      <c r="B371" s="2" t="str">
        <f>IFERROR(__xludf.DUMMYFUNCTION("""COMPUTED_VALUE"""),"2025-09-05T14:31:26.159+08")</f>
        <v>2025-09-05T14:31:26.159+08</v>
      </c>
      <c r="C371" s="2" t="str">
        <f>IFERROR(__xludf.DUMMYFUNCTION("""COMPUTED_VALUE"""),"2025-09-05T14:32:39.362+08")</f>
        <v>2025-09-05T14:32:39.362+08</v>
      </c>
      <c r="D371" s="2" t="str">
        <f>IFERROR(__xludf.DUMMYFUNCTION("""COMPUTED_VALUE"""),"H019499022")</f>
        <v>H019499022</v>
      </c>
      <c r="E371" s="2">
        <f>IFERROR(__xludf.DUMMYFUNCTION("""COMPUTED_VALUE"""),455939.0)</f>
        <v>455939</v>
      </c>
      <c r="F371" s="2" t="str">
        <f>IFERROR(__xludf.DUMMYFUNCTION("""COMPUTED_VALUE"""),"Mary Jean Villaflor_2")</f>
        <v>Mary Jean Villaflor_2</v>
      </c>
      <c r="G371" s="2"/>
      <c r="H371" s="2"/>
      <c r="I371" s="2" t="str">
        <f>IFERROR(__xludf.DUMMYFUNCTION("""COMPUTED_VALUE"""),"ICM_Business_linked_launch")</f>
        <v>ICM_Business_linked_launch</v>
      </c>
      <c r="J371" s="2" t="str">
        <f>IFERROR(__xludf.DUMMYFUNCTION("""COMPUTED_VALUE"""),"uuid:cacd6fbc-3dc3-43a9-a4ad-20d6c79bf46c")</f>
        <v>uuid:cacd6fbc-3dc3-43a9-a4ad-20d6c79bf46c</v>
      </c>
    </row>
    <row r="372">
      <c r="A372" s="2" t="str">
        <f>IFERROR(__xludf.DUMMYFUNCTION("""COMPUTED_VALUE"""),"2025-09-05T11:17:27.197Z")</f>
        <v>2025-09-05T11:17:27.197Z</v>
      </c>
      <c r="B372" s="2" t="str">
        <f>IFERROR(__xludf.DUMMYFUNCTION("""COMPUTED_VALUE"""),"2025-09-05T12:28:06.138+08")</f>
        <v>2025-09-05T12:28:06.138+08</v>
      </c>
      <c r="C372" s="2" t="str">
        <f>IFERROR(__xludf.DUMMYFUNCTION("""COMPUTED_VALUE"""),"2025-09-05T12:43:02.926+08")</f>
        <v>2025-09-05T12:43:02.926+08</v>
      </c>
      <c r="D372" s="2" t="str">
        <f>IFERROR(__xludf.DUMMYFUNCTION("""COMPUTED_VALUE"""),"H030764018")</f>
        <v>H030764018</v>
      </c>
      <c r="E372" s="2" t="str">
        <f>IFERROR(__xludf.DUMMYFUNCTION("""COMPUTED_VALUE"""),"C7502931")</f>
        <v>C7502931</v>
      </c>
      <c r="F372" s="2" t="str">
        <f>IFERROR(__xludf.DUMMYFUNCTION("""COMPUTED_VALUE"""),"Jenny Lou Toles Estacio")</f>
        <v>Jenny Lou Toles Estacio</v>
      </c>
      <c r="G372" s="2"/>
      <c r="H372" s="2"/>
      <c r="I372" s="2" t="str">
        <f>IFERROR(__xludf.DUMMYFUNCTION("""COMPUTED_VALUE"""),"ICM_Business_linked_launch")</f>
        <v>ICM_Business_linked_launch</v>
      </c>
      <c r="J372" s="2" t="str">
        <f>IFERROR(__xludf.DUMMYFUNCTION("""COMPUTED_VALUE"""),"uuid:0ec851d7-05c9-4fbd-a20c-6d9e4edd130d")</f>
        <v>uuid:0ec851d7-05c9-4fbd-a20c-6d9e4edd130d</v>
      </c>
    </row>
    <row r="373">
      <c r="A373" s="2" t="str">
        <f>IFERROR(__xludf.DUMMYFUNCTION("""COMPUTED_VALUE"""),"2025-09-05T11:17:42.382Z")</f>
        <v>2025-09-05T11:17:42.382Z</v>
      </c>
      <c r="B373" s="2" t="str">
        <f>IFERROR(__xludf.DUMMYFUNCTION("""COMPUTED_VALUE"""),"2025-09-05T15:16:27.701+08")</f>
        <v>2025-09-05T15:16:27.701+08</v>
      </c>
      <c r="C373" s="2" t="str">
        <f>IFERROR(__xludf.DUMMYFUNCTION("""COMPUTED_VALUE"""),"2025-09-05T18:00:20.502+08")</f>
        <v>2025-09-05T18:00:20.502+08</v>
      </c>
      <c r="D373" s="2" t="str">
        <f>IFERROR(__xludf.DUMMYFUNCTION("""COMPUTED_VALUE"""),"H030764025")</f>
        <v>H030764025</v>
      </c>
      <c r="E373" s="2" t="str">
        <f>IFERROR(__xludf.DUMMYFUNCTION("""COMPUTED_VALUE"""),"C7502931")</f>
        <v>C7502931</v>
      </c>
      <c r="F373" s="2" t="str">
        <f>IFERROR(__xludf.DUMMYFUNCTION("""COMPUTED_VALUE"""),"Jenny Lou Toles Estacio")</f>
        <v>Jenny Lou Toles Estacio</v>
      </c>
      <c r="G373" s="2"/>
      <c r="H373" s="2"/>
      <c r="I373" s="2" t="str">
        <f>IFERROR(__xludf.DUMMYFUNCTION("""COMPUTED_VALUE"""),"ICM_Business_linked_launch")</f>
        <v>ICM_Business_linked_launch</v>
      </c>
      <c r="J373" s="2" t="str">
        <f>IFERROR(__xludf.DUMMYFUNCTION("""COMPUTED_VALUE"""),"uuid:a0a19597-225a-44d6-9287-ac070ba1ffe0")</f>
        <v>uuid:a0a19597-225a-44d6-9287-ac070ba1ffe0</v>
      </c>
    </row>
    <row r="374">
      <c r="A374" s="2" t="str">
        <f>IFERROR(__xludf.DUMMYFUNCTION("""COMPUTED_VALUE"""),"2025-09-05T11:17:44.637Z")</f>
        <v>2025-09-05T11:17:44.637Z</v>
      </c>
      <c r="B374" s="2" t="str">
        <f>IFERROR(__xludf.DUMMYFUNCTION("""COMPUTED_VALUE"""),"2025-09-05T11:02:55.851+08")</f>
        <v>2025-09-05T11:02:55.851+08</v>
      </c>
      <c r="C374" s="2" t="str">
        <f>IFERROR(__xludf.DUMMYFUNCTION("""COMPUTED_VALUE"""),"2025-09-05T19:15:38.324+08")</f>
        <v>2025-09-05T19:15:38.324+08</v>
      </c>
      <c r="D374" s="2" t="str">
        <f>IFERROR(__xludf.DUMMYFUNCTION("""COMPUTED_VALUE"""),"H030764024")</f>
        <v>H030764024</v>
      </c>
      <c r="E374" s="2" t="str">
        <f>IFERROR(__xludf.DUMMYFUNCTION("""COMPUTED_VALUE"""),"C7502931")</f>
        <v>C7502931</v>
      </c>
      <c r="F374" s="2" t="str">
        <f>IFERROR(__xludf.DUMMYFUNCTION("""COMPUTED_VALUE"""),"Jenny Lou Toles Estacio")</f>
        <v>Jenny Lou Toles Estacio</v>
      </c>
      <c r="G374" s="2"/>
      <c r="H374" s="2"/>
      <c r="I374" s="2" t="str">
        <f>IFERROR(__xludf.DUMMYFUNCTION("""COMPUTED_VALUE"""),"ICM_Business_linked_launch")</f>
        <v>ICM_Business_linked_launch</v>
      </c>
      <c r="J374" s="2" t="str">
        <f>IFERROR(__xludf.DUMMYFUNCTION("""COMPUTED_VALUE"""),"uuid:c623e8b1-c89e-496e-98cf-e282a7bbd8bb")</f>
        <v>uuid:c623e8b1-c89e-496e-98cf-e282a7bbd8bb</v>
      </c>
    </row>
    <row r="375">
      <c r="A375" s="2" t="str">
        <f>IFERROR(__xludf.DUMMYFUNCTION("""COMPUTED_VALUE"""),"2025-09-05T11:17:45.548Z")</f>
        <v>2025-09-05T11:17:45.548Z</v>
      </c>
      <c r="B375" s="2" t="str">
        <f>IFERROR(__xludf.DUMMYFUNCTION("""COMPUTED_VALUE"""),"2025-09-05T16:28:41.863+08")</f>
        <v>2025-09-05T16:28:41.863+08</v>
      </c>
      <c r="C375" s="2" t="str">
        <f>IFERROR(__xludf.DUMMYFUNCTION("""COMPUTED_VALUE"""),"2025-09-05T19:16:06.198+08")</f>
        <v>2025-09-05T19:16:06.198+08</v>
      </c>
      <c r="D375" s="2" t="str">
        <f>IFERROR(__xludf.DUMMYFUNCTION("""COMPUTED_VALUE"""),"H030764026")</f>
        <v>H030764026</v>
      </c>
      <c r="E375" s="2" t="str">
        <f>IFERROR(__xludf.DUMMYFUNCTION("""COMPUTED_VALUE"""),"C7502931")</f>
        <v>C7502931</v>
      </c>
      <c r="F375" s="2" t="str">
        <f>IFERROR(__xludf.DUMMYFUNCTION("""COMPUTED_VALUE"""),"Jenny Lou Toles Estacio")</f>
        <v>Jenny Lou Toles Estacio</v>
      </c>
      <c r="G375" s="2"/>
      <c r="H375" s="2"/>
      <c r="I375" s="2" t="str">
        <f>IFERROR(__xludf.DUMMYFUNCTION("""COMPUTED_VALUE"""),"ICM_Business_linked_launch")</f>
        <v>ICM_Business_linked_launch</v>
      </c>
      <c r="J375" s="2" t="str">
        <f>IFERROR(__xludf.DUMMYFUNCTION("""COMPUTED_VALUE"""),"uuid:6519c9a0-bc65-4a6f-9e91-0559276be6ff")</f>
        <v>uuid:6519c9a0-bc65-4a6f-9e91-0559276be6ff</v>
      </c>
    </row>
    <row r="376">
      <c r="A376" s="2" t="str">
        <f>IFERROR(__xludf.DUMMYFUNCTION("""COMPUTED_VALUE"""),"2025-09-05T11:19:40.834Z")</f>
        <v>2025-09-05T11:19:40.834Z</v>
      </c>
      <c r="B376" s="2" t="str">
        <f>IFERROR(__xludf.DUMMYFUNCTION("""COMPUTED_VALUE"""),"2025-09-05T08:50:14.686+08")</f>
        <v>2025-09-05T08:50:14.686+08</v>
      </c>
      <c r="C376" s="2" t="str">
        <f>IFERROR(__xludf.DUMMYFUNCTION("""COMPUTED_VALUE"""),"2025-09-05T08:55:21.286+08")</f>
        <v>2025-09-05T08:55:21.286+08</v>
      </c>
      <c r="D376" s="2" t="str">
        <f>IFERROR(__xludf.DUMMYFUNCTION("""COMPUTED_VALUE"""),"H006734020")</f>
        <v>H006734020</v>
      </c>
      <c r="E376" s="2" t="str">
        <f>IFERROR(__xludf.DUMMYFUNCTION("""COMPUTED_VALUE"""),"J4315980")</f>
        <v>J4315980</v>
      </c>
      <c r="F376" s="2" t="str">
        <f>IFERROR(__xludf.DUMMYFUNCTION("""COMPUTED_VALUE"""),"Trixie Marie Jardeleza Saber")</f>
        <v>Trixie Marie Jardeleza Saber</v>
      </c>
      <c r="G376" s="2"/>
      <c r="H376" s="2"/>
      <c r="I376" s="2" t="str">
        <f>IFERROR(__xludf.DUMMYFUNCTION("""COMPUTED_VALUE"""),"ICM_Business_linked_launch")</f>
        <v>ICM_Business_linked_launch</v>
      </c>
      <c r="J376" s="2" t="str">
        <f>IFERROR(__xludf.DUMMYFUNCTION("""COMPUTED_VALUE"""),"uuid:6f6c8b3f-59d2-46d5-819a-2aa639bc5eec")</f>
        <v>uuid:6f6c8b3f-59d2-46d5-819a-2aa639bc5eec</v>
      </c>
    </row>
    <row r="377">
      <c r="A377" s="2" t="str">
        <f>IFERROR(__xludf.DUMMYFUNCTION("""COMPUTED_VALUE"""),"2025-09-05T11:19:42.870Z")</f>
        <v>2025-09-05T11:19:42.870Z</v>
      </c>
      <c r="B377" s="2" t="str">
        <f>IFERROR(__xludf.DUMMYFUNCTION("""COMPUTED_VALUE"""),"2025-09-05T10:07:54.606+08")</f>
        <v>2025-09-05T10:07:54.606+08</v>
      </c>
      <c r="C377" s="2" t="str">
        <f>IFERROR(__xludf.DUMMYFUNCTION("""COMPUTED_VALUE"""),"2025-09-05T10:14:27.905+08")</f>
        <v>2025-09-05T10:14:27.905+08</v>
      </c>
      <c r="D377" s="2" t="str">
        <f>IFERROR(__xludf.DUMMYFUNCTION("""COMPUTED_VALUE"""),"H006734026")</f>
        <v>H006734026</v>
      </c>
      <c r="E377" s="2" t="str">
        <f>IFERROR(__xludf.DUMMYFUNCTION("""COMPUTED_VALUE"""),"J4315980")</f>
        <v>J4315980</v>
      </c>
      <c r="F377" s="2" t="str">
        <f>IFERROR(__xludf.DUMMYFUNCTION("""COMPUTED_VALUE"""),"Trixie Marie Jardeleza Saber")</f>
        <v>Trixie Marie Jardeleza Saber</v>
      </c>
      <c r="G377" s="2"/>
      <c r="H377" s="2"/>
      <c r="I377" s="2" t="str">
        <f>IFERROR(__xludf.DUMMYFUNCTION("""COMPUTED_VALUE"""),"ICM_Business_linked_launch")</f>
        <v>ICM_Business_linked_launch</v>
      </c>
      <c r="J377" s="2" t="str">
        <f>IFERROR(__xludf.DUMMYFUNCTION("""COMPUTED_VALUE"""),"uuid:13aaddff-c9bc-4249-8f55-d44246a2cd06")</f>
        <v>uuid:13aaddff-c9bc-4249-8f55-d44246a2cd06</v>
      </c>
    </row>
    <row r="378">
      <c r="A378" s="2" t="str">
        <f>IFERROR(__xludf.DUMMYFUNCTION("""COMPUTED_VALUE"""),"2025-09-05T11:19:45.187Z")</f>
        <v>2025-09-05T11:19:45.187Z</v>
      </c>
      <c r="B378" s="2" t="str">
        <f>IFERROR(__xludf.DUMMYFUNCTION("""COMPUTED_VALUE"""),"2025-09-05T11:18:17.919+08")</f>
        <v>2025-09-05T11:18:17.919+08</v>
      </c>
      <c r="C378" s="2" t="str">
        <f>IFERROR(__xludf.DUMMYFUNCTION("""COMPUTED_VALUE"""),"2025-09-05T11:25:16.373+08")</f>
        <v>2025-09-05T11:25:16.373+08</v>
      </c>
      <c r="D378" s="2" t="str">
        <f>IFERROR(__xludf.DUMMYFUNCTION("""COMPUTED_VALUE"""),"H006734024")</f>
        <v>H006734024</v>
      </c>
      <c r="E378" s="2" t="str">
        <f>IFERROR(__xludf.DUMMYFUNCTION("""COMPUTED_VALUE"""),"J4315980")</f>
        <v>J4315980</v>
      </c>
      <c r="F378" s="2" t="str">
        <f>IFERROR(__xludf.DUMMYFUNCTION("""COMPUTED_VALUE"""),"Trixie Marie Jardeleza Saber")</f>
        <v>Trixie Marie Jardeleza Saber</v>
      </c>
      <c r="G378" s="2"/>
      <c r="H378" s="2"/>
      <c r="I378" s="2" t="str">
        <f>IFERROR(__xludf.DUMMYFUNCTION("""COMPUTED_VALUE"""),"ICM_Business_linked_launch")</f>
        <v>ICM_Business_linked_launch</v>
      </c>
      <c r="J378" s="2" t="str">
        <f>IFERROR(__xludf.DUMMYFUNCTION("""COMPUTED_VALUE"""),"uuid:69c6b9c8-5ea7-4e4c-94a8-9124a48732ee")</f>
        <v>uuid:69c6b9c8-5ea7-4e4c-94a8-9124a48732ee</v>
      </c>
    </row>
    <row r="379">
      <c r="A379" s="2" t="str">
        <f>IFERROR(__xludf.DUMMYFUNCTION("""COMPUTED_VALUE"""),"2025-09-05T11:20:25.857Z")</f>
        <v>2025-09-05T11:20:25.857Z</v>
      </c>
      <c r="B379" s="2" t="str">
        <f>IFERROR(__xludf.DUMMYFUNCTION("""COMPUTED_VALUE"""),"2025-09-05T10:41:03.753+08")</f>
        <v>2025-09-05T10:41:03.753+08</v>
      </c>
      <c r="C379" s="2" t="str">
        <f>IFERROR(__xludf.DUMMYFUNCTION("""COMPUTED_VALUE"""),"2025-09-05T10:47:18.918+08")</f>
        <v>2025-09-05T10:47:18.918+08</v>
      </c>
      <c r="D379" s="2" t="str">
        <f>IFERROR(__xludf.DUMMYFUNCTION("""COMPUTED_VALUE"""),"H030160028")</f>
        <v>H030160028</v>
      </c>
      <c r="E379" s="2" t="str">
        <f>IFERROR(__xludf.DUMMYFUNCTION("""COMPUTED_VALUE"""),"G5472901")</f>
        <v>G5472901</v>
      </c>
      <c r="F379" s="2" t="str">
        <f>IFERROR(__xludf.DUMMYFUNCTION("""COMPUTED_VALUE"""),"Wellyn Grace Alaban Parcia")</f>
        <v>Wellyn Grace Alaban Parcia</v>
      </c>
      <c r="G379" s="2"/>
      <c r="H379" s="2"/>
      <c r="I379" s="2" t="str">
        <f>IFERROR(__xludf.DUMMYFUNCTION("""COMPUTED_VALUE"""),"ICM_Business_linked_launch")</f>
        <v>ICM_Business_linked_launch</v>
      </c>
      <c r="J379" s="2" t="str">
        <f>IFERROR(__xludf.DUMMYFUNCTION("""COMPUTED_VALUE"""),"uuid:5932b81c-72ab-4e16-965c-c2e26b5c5b9f")</f>
        <v>uuid:5932b81c-72ab-4e16-965c-c2e26b5c5b9f</v>
      </c>
    </row>
    <row r="380">
      <c r="A380" s="2" t="str">
        <f>IFERROR(__xludf.DUMMYFUNCTION("""COMPUTED_VALUE"""),"2025-09-05T11:20:27.695Z")</f>
        <v>2025-09-05T11:20:27.695Z</v>
      </c>
      <c r="B380" s="2" t="str">
        <f>IFERROR(__xludf.DUMMYFUNCTION("""COMPUTED_VALUE"""),"2025-09-05T12:09:51.683+08")</f>
        <v>2025-09-05T12:09:51.683+08</v>
      </c>
      <c r="C380" s="2" t="str">
        <f>IFERROR(__xludf.DUMMYFUNCTION("""COMPUTED_VALUE"""),"2025-09-05T12:14:21.023+08")</f>
        <v>2025-09-05T12:14:21.023+08</v>
      </c>
      <c r="D380" s="2" t="str">
        <f>IFERROR(__xludf.DUMMYFUNCTION("""COMPUTED_VALUE"""),"H030160017")</f>
        <v>H030160017</v>
      </c>
      <c r="E380" s="2" t="str">
        <f>IFERROR(__xludf.DUMMYFUNCTION("""COMPUTED_VALUE"""),"G5472901")</f>
        <v>G5472901</v>
      </c>
      <c r="F380" s="2" t="str">
        <f>IFERROR(__xludf.DUMMYFUNCTION("""COMPUTED_VALUE"""),"Wellyn Grace Alaban Parcia")</f>
        <v>Wellyn Grace Alaban Parcia</v>
      </c>
      <c r="G380" s="2"/>
      <c r="H380" s="2"/>
      <c r="I380" s="2" t="str">
        <f>IFERROR(__xludf.DUMMYFUNCTION("""COMPUTED_VALUE"""),"ICM_Business_linked_launch")</f>
        <v>ICM_Business_linked_launch</v>
      </c>
      <c r="J380" s="2" t="str">
        <f>IFERROR(__xludf.DUMMYFUNCTION("""COMPUTED_VALUE"""),"uuid:93f5626c-dd4d-4d44-bcf9-da3182d72dc5")</f>
        <v>uuid:93f5626c-dd4d-4d44-bcf9-da3182d72dc5</v>
      </c>
    </row>
    <row r="381">
      <c r="A381" s="2" t="str">
        <f>IFERROR(__xludf.DUMMYFUNCTION("""COMPUTED_VALUE"""),"2025-09-05T11:20:34.565Z")</f>
        <v>2025-09-05T11:20:34.565Z</v>
      </c>
      <c r="B381" s="2" t="str">
        <f>IFERROR(__xludf.DUMMYFUNCTION("""COMPUTED_VALUE"""),"2025-09-05T14:25:25.240+08")</f>
        <v>2025-09-05T14:25:25.240+08</v>
      </c>
      <c r="C381" s="2" t="str">
        <f>IFERROR(__xludf.DUMMYFUNCTION("""COMPUTED_VALUE"""),"2025-09-05T14:32:42.172+08")</f>
        <v>2025-09-05T14:32:42.172+08</v>
      </c>
      <c r="D381" s="2" t="str">
        <f>IFERROR(__xludf.DUMMYFUNCTION("""COMPUTED_VALUE"""),"H030160023")</f>
        <v>H030160023</v>
      </c>
      <c r="E381" s="2" t="str">
        <f>IFERROR(__xludf.DUMMYFUNCTION("""COMPUTED_VALUE"""),"G5472901")</f>
        <v>G5472901</v>
      </c>
      <c r="F381" s="2" t="str">
        <f>IFERROR(__xludf.DUMMYFUNCTION("""COMPUTED_VALUE"""),"Wellyn Grace Alaban Parcia")</f>
        <v>Wellyn Grace Alaban Parcia</v>
      </c>
      <c r="G381" s="2"/>
      <c r="H381" s="2"/>
      <c r="I381" s="2" t="str">
        <f>IFERROR(__xludf.DUMMYFUNCTION("""COMPUTED_VALUE"""),"ICM_Business_linked_launch")</f>
        <v>ICM_Business_linked_launch</v>
      </c>
      <c r="J381" s="2" t="str">
        <f>IFERROR(__xludf.DUMMYFUNCTION("""COMPUTED_VALUE"""),"uuid:e2ea944c-0be4-402c-9e87-c01f6171cfc3")</f>
        <v>uuid:e2ea944c-0be4-402c-9e87-c01f6171cfc3</v>
      </c>
    </row>
    <row r="382">
      <c r="A382" s="2" t="str">
        <f>IFERROR(__xludf.DUMMYFUNCTION("""COMPUTED_VALUE"""),"2025-09-05T11:20:38.581Z")</f>
        <v>2025-09-05T11:20:38.581Z</v>
      </c>
      <c r="B382" s="2" t="str">
        <f>IFERROR(__xludf.DUMMYFUNCTION("""COMPUTED_VALUE"""),"2025-09-05T10:02:21.024+08")</f>
        <v>2025-09-05T10:02:21.024+08</v>
      </c>
      <c r="C382" s="2" t="str">
        <f>IFERROR(__xludf.DUMMYFUNCTION("""COMPUTED_VALUE"""),"2025-09-05T10:08:20.906+08")</f>
        <v>2025-09-05T10:08:20.906+08</v>
      </c>
      <c r="D382" s="2" t="str">
        <f>IFERROR(__xludf.DUMMYFUNCTION("""COMPUTED_VALUE"""),"H006183034")</f>
        <v>H006183034</v>
      </c>
      <c r="E382" s="2" t="str">
        <f>IFERROR(__xludf.DUMMYFUNCTION("""COMPUTED_VALUE"""),"P1068432")</f>
        <v>P1068432</v>
      </c>
      <c r="F382" s="2" t="str">
        <f>IFERROR(__xludf.DUMMYFUNCTION("""COMPUTED_VALUE"""),"Mark Daniel Balagao Benson")</f>
        <v>Mark Daniel Balagao Benson</v>
      </c>
      <c r="G382" s="2"/>
      <c r="H382" s="2"/>
      <c r="I382" s="2" t="str">
        <f>IFERROR(__xludf.DUMMYFUNCTION("""COMPUTED_VALUE"""),"ICM_Business_linked_launch")</f>
        <v>ICM_Business_linked_launch</v>
      </c>
      <c r="J382" s="2" t="str">
        <f>IFERROR(__xludf.DUMMYFUNCTION("""COMPUTED_VALUE"""),"uuid:526b30f3-3697-40c3-87ae-a2b9ab1e27ac")</f>
        <v>uuid:526b30f3-3697-40c3-87ae-a2b9ab1e27ac</v>
      </c>
    </row>
    <row r="383">
      <c r="A383" s="2" t="str">
        <f>IFERROR(__xludf.DUMMYFUNCTION("""COMPUTED_VALUE"""),"2025-09-05T11:20:43.938Z")</f>
        <v>2025-09-05T11:20:43.938Z</v>
      </c>
      <c r="B383" s="2" t="str">
        <f>IFERROR(__xludf.DUMMYFUNCTION("""COMPUTED_VALUE"""),"2025-09-05T11:06:54.662+08")</f>
        <v>2025-09-05T11:06:54.662+08</v>
      </c>
      <c r="C383" s="2" t="str">
        <f>IFERROR(__xludf.DUMMYFUNCTION("""COMPUTED_VALUE"""),"2025-09-05T11:19:51.911+08")</f>
        <v>2025-09-05T11:19:51.911+08</v>
      </c>
      <c r="D383" s="2" t="str">
        <f>IFERROR(__xludf.DUMMYFUNCTION("""COMPUTED_VALUE"""),"H006183031")</f>
        <v>H006183031</v>
      </c>
      <c r="E383" s="2" t="str">
        <f>IFERROR(__xludf.DUMMYFUNCTION("""COMPUTED_VALUE"""),"P1068432")</f>
        <v>P1068432</v>
      </c>
      <c r="F383" s="2" t="str">
        <f>IFERROR(__xludf.DUMMYFUNCTION("""COMPUTED_VALUE"""),"Mark Daniel Balagao Benson")</f>
        <v>Mark Daniel Balagao Benson</v>
      </c>
      <c r="G383" s="2"/>
      <c r="H383" s="2"/>
      <c r="I383" s="2" t="str">
        <f>IFERROR(__xludf.DUMMYFUNCTION("""COMPUTED_VALUE"""),"ICM_Business_linked_launch")</f>
        <v>ICM_Business_linked_launch</v>
      </c>
      <c r="J383" s="2" t="str">
        <f>IFERROR(__xludf.DUMMYFUNCTION("""COMPUTED_VALUE"""),"uuid:88429f04-1151-4b7e-94d8-18c89579fd44")</f>
        <v>uuid:88429f04-1151-4b7e-94d8-18c89579fd44</v>
      </c>
    </row>
    <row r="384">
      <c r="A384" s="2" t="str">
        <f>IFERROR(__xludf.DUMMYFUNCTION("""COMPUTED_VALUE"""),"2025-09-05T11:20:46.946Z")</f>
        <v>2025-09-05T11:20:46.946Z</v>
      </c>
      <c r="B384" s="2" t="str">
        <f>IFERROR(__xludf.DUMMYFUNCTION("""COMPUTED_VALUE"""),"2025-09-05T10:05:04.123+08")</f>
        <v>2025-09-05T10:05:04.123+08</v>
      </c>
      <c r="C384" s="2" t="str">
        <f>IFERROR(__xludf.DUMMYFUNCTION("""COMPUTED_VALUE"""),"2025-09-05T10:27:47.728+08")</f>
        <v>2025-09-05T10:27:47.728+08</v>
      </c>
      <c r="D384" s="2" t="str">
        <f>IFERROR(__xludf.DUMMYFUNCTION("""COMPUTED_VALUE"""),"H030566028")</f>
        <v>H030566028</v>
      </c>
      <c r="E384" s="2" t="str">
        <f>IFERROR(__xludf.DUMMYFUNCTION("""COMPUTED_VALUE"""),"D1284067")</f>
        <v>D1284067</v>
      </c>
      <c r="F384" s="2" t="str">
        <f>IFERROR(__xludf.DUMMYFUNCTION("""COMPUTED_VALUE"""),"Mariel Del Rio")</f>
        <v>Mariel Del Rio</v>
      </c>
      <c r="G384" s="2"/>
      <c r="H384" s="2"/>
      <c r="I384" s="2" t="str">
        <f>IFERROR(__xludf.DUMMYFUNCTION("""COMPUTED_VALUE"""),"ICM_Business_linked_launch")</f>
        <v>ICM_Business_linked_launch</v>
      </c>
      <c r="J384" s="2" t="str">
        <f>IFERROR(__xludf.DUMMYFUNCTION("""COMPUTED_VALUE"""),"uuid:6e58e0a1-2acf-4c59-ae51-10e846843e00")</f>
        <v>uuid:6e58e0a1-2acf-4c59-ae51-10e846843e00</v>
      </c>
    </row>
    <row r="385">
      <c r="A385" s="2" t="str">
        <f>IFERROR(__xludf.DUMMYFUNCTION("""COMPUTED_VALUE"""),"2025-09-05T11:20:49.094Z")</f>
        <v>2025-09-05T11:20:49.094Z</v>
      </c>
      <c r="B385" s="2" t="str">
        <f>IFERROR(__xludf.DUMMYFUNCTION("""COMPUTED_VALUE"""),"2025-09-05T12:22:56.694+08")</f>
        <v>2025-09-05T12:22:56.694+08</v>
      </c>
      <c r="C385" s="2" t="str">
        <f>IFERROR(__xludf.DUMMYFUNCTION("""COMPUTED_VALUE"""),"2025-09-05T12:55:07.506+08")</f>
        <v>2025-09-05T12:55:07.506+08</v>
      </c>
      <c r="D385" s="2" t="str">
        <f>IFERROR(__xludf.DUMMYFUNCTION("""COMPUTED_VALUE"""),"H006183026")</f>
        <v>H006183026</v>
      </c>
      <c r="E385" s="2" t="str">
        <f>IFERROR(__xludf.DUMMYFUNCTION("""COMPUTED_VALUE"""),"P1068432")</f>
        <v>P1068432</v>
      </c>
      <c r="F385" s="2" t="str">
        <f>IFERROR(__xludf.DUMMYFUNCTION("""COMPUTED_VALUE"""),"Mark Daniel Balagao Benson")</f>
        <v>Mark Daniel Balagao Benson</v>
      </c>
      <c r="G385" s="2"/>
      <c r="H385" s="2"/>
      <c r="I385" s="2" t="str">
        <f>IFERROR(__xludf.DUMMYFUNCTION("""COMPUTED_VALUE"""),"ICM_Business_linked_launch")</f>
        <v>ICM_Business_linked_launch</v>
      </c>
      <c r="J385" s="2" t="str">
        <f>IFERROR(__xludf.DUMMYFUNCTION("""COMPUTED_VALUE"""),"uuid:91f538cd-37a0-425b-934f-18b8109a1a8c")</f>
        <v>uuid:91f538cd-37a0-425b-934f-18b8109a1a8c</v>
      </c>
    </row>
    <row r="386">
      <c r="A386" s="2" t="str">
        <f>IFERROR(__xludf.DUMMYFUNCTION("""COMPUTED_VALUE"""),"2025-09-05T11:21:05.146Z")</f>
        <v>2025-09-05T11:21:05.146Z</v>
      </c>
      <c r="B386" s="2" t="str">
        <f>IFERROR(__xludf.DUMMYFUNCTION("""COMPUTED_VALUE"""),"2025-09-05T13:46:15.153+08")</f>
        <v>2025-09-05T13:46:15.153+08</v>
      </c>
      <c r="C386" s="2" t="str">
        <f>IFERROR(__xludf.DUMMYFUNCTION("""COMPUTED_VALUE"""),"2025-09-05T14:04:25.934+08")</f>
        <v>2025-09-05T14:04:25.934+08</v>
      </c>
      <c r="D386" s="2" t="str">
        <f>IFERROR(__xludf.DUMMYFUNCTION("""COMPUTED_VALUE"""),"H030566019")</f>
        <v>H030566019</v>
      </c>
      <c r="E386" s="2" t="str">
        <f>IFERROR(__xludf.DUMMYFUNCTION("""COMPUTED_VALUE"""),"D1284067")</f>
        <v>D1284067</v>
      </c>
      <c r="F386" s="2" t="str">
        <f>IFERROR(__xludf.DUMMYFUNCTION("""COMPUTED_VALUE"""),"Mariel Del Rio")</f>
        <v>Mariel Del Rio</v>
      </c>
      <c r="G386" s="2"/>
      <c r="H386" s="2"/>
      <c r="I386" s="2" t="str">
        <f>IFERROR(__xludf.DUMMYFUNCTION("""COMPUTED_VALUE"""),"ICM_Business_linked_launch")</f>
        <v>ICM_Business_linked_launch</v>
      </c>
      <c r="J386" s="2" t="str">
        <f>IFERROR(__xludf.DUMMYFUNCTION("""COMPUTED_VALUE"""),"uuid:b104629f-e9ca-4d9c-b48b-9cbb3768f474")</f>
        <v>uuid:b104629f-e9ca-4d9c-b48b-9cbb3768f474</v>
      </c>
    </row>
    <row r="387">
      <c r="A387" s="2" t="str">
        <f>IFERROR(__xludf.DUMMYFUNCTION("""COMPUTED_VALUE"""),"2025-09-05T11:21:42.553Z")</f>
        <v>2025-09-05T11:21:42.553Z</v>
      </c>
      <c r="B387" s="2" t="str">
        <f>IFERROR(__xludf.DUMMYFUNCTION("""COMPUTED_VALUE"""),"2025-09-05T10:19:09.976+08")</f>
        <v>2025-09-05T10:19:09.976+08</v>
      </c>
      <c r="C387" s="2" t="str">
        <f>IFERROR(__xludf.DUMMYFUNCTION("""COMPUTED_VALUE"""),"2025-09-05T10:25:47.202+08")</f>
        <v>2025-09-05T10:25:47.202+08</v>
      </c>
      <c r="D387" s="2" t="str">
        <f>IFERROR(__xludf.DUMMYFUNCTION("""COMPUTED_VALUE"""),"H030160029")</f>
        <v>H030160029</v>
      </c>
      <c r="E387" s="2" t="str">
        <f>IFERROR(__xludf.DUMMYFUNCTION("""COMPUTED_VALUE"""),"H2846135")</f>
        <v>H2846135</v>
      </c>
      <c r="F387" s="2" t="str">
        <f>IFERROR(__xludf.DUMMYFUNCTION("""COMPUTED_VALUE"""),"Annalou Empanado Encontro")</f>
        <v>Annalou Empanado Encontro</v>
      </c>
      <c r="G387" s="2"/>
      <c r="H387" s="2"/>
      <c r="I387" s="2" t="str">
        <f>IFERROR(__xludf.DUMMYFUNCTION("""COMPUTED_VALUE"""),"ICM_Business_linked_launch")</f>
        <v>ICM_Business_linked_launch</v>
      </c>
      <c r="J387" s="2" t="str">
        <f>IFERROR(__xludf.DUMMYFUNCTION("""COMPUTED_VALUE"""),"uuid:e04bf002-419f-4b6e-80b9-5efffd4d5edf")</f>
        <v>uuid:e04bf002-419f-4b6e-80b9-5efffd4d5edf</v>
      </c>
    </row>
    <row r="388">
      <c r="A388" s="2" t="str">
        <f>IFERROR(__xludf.DUMMYFUNCTION("""COMPUTED_VALUE"""),"2025-09-05T11:21:44.252Z")</f>
        <v>2025-09-05T11:21:44.252Z</v>
      </c>
      <c r="B388" s="2" t="str">
        <f>IFERROR(__xludf.DUMMYFUNCTION("""COMPUTED_VALUE"""),"2025-09-05T11:51:21.215+08")</f>
        <v>2025-09-05T11:51:21.215+08</v>
      </c>
      <c r="C388" s="2" t="str">
        <f>IFERROR(__xludf.DUMMYFUNCTION("""COMPUTED_VALUE"""),"2025-09-05T11:55:17.948+08")</f>
        <v>2025-09-05T11:55:17.948+08</v>
      </c>
      <c r="D388" s="2" t="str">
        <f>IFERROR(__xludf.DUMMYFUNCTION("""COMPUTED_VALUE"""),"H030160021")</f>
        <v>H030160021</v>
      </c>
      <c r="E388" s="2" t="str">
        <f>IFERROR(__xludf.DUMMYFUNCTION("""COMPUTED_VALUE"""),"H2846135")</f>
        <v>H2846135</v>
      </c>
      <c r="F388" s="2" t="str">
        <f>IFERROR(__xludf.DUMMYFUNCTION("""COMPUTED_VALUE"""),"Annalou Empanado Encontro")</f>
        <v>Annalou Empanado Encontro</v>
      </c>
      <c r="G388" s="2"/>
      <c r="H388" s="2"/>
      <c r="I388" s="2" t="str">
        <f>IFERROR(__xludf.DUMMYFUNCTION("""COMPUTED_VALUE"""),"ICM_Business_linked_launch")</f>
        <v>ICM_Business_linked_launch</v>
      </c>
      <c r="J388" s="2" t="str">
        <f>IFERROR(__xludf.DUMMYFUNCTION("""COMPUTED_VALUE"""),"uuid:7c26c4ac-f629-4203-b2a8-4e639f8c7e89")</f>
        <v>uuid:7c26c4ac-f629-4203-b2a8-4e639f8c7e89</v>
      </c>
    </row>
    <row r="389">
      <c r="A389" s="2" t="str">
        <f>IFERROR(__xludf.DUMMYFUNCTION("""COMPUTED_VALUE"""),"2025-09-05T11:21:45.117Z")</f>
        <v>2025-09-05T11:21:45.117Z</v>
      </c>
      <c r="B389" s="2" t="str">
        <f>IFERROR(__xludf.DUMMYFUNCTION("""COMPUTED_VALUE"""),"2025-09-05T14:03:43.489+08")</f>
        <v>2025-09-05T14:03:43.489+08</v>
      </c>
      <c r="C389" s="2" t="str">
        <f>IFERROR(__xludf.DUMMYFUNCTION("""COMPUTED_VALUE"""),"2025-09-05T14:12:08.074+08")</f>
        <v>2025-09-05T14:12:08.074+08</v>
      </c>
      <c r="D389" s="2" t="str">
        <f>IFERROR(__xludf.DUMMYFUNCTION("""COMPUTED_VALUE"""),"H030160026")</f>
        <v>H030160026</v>
      </c>
      <c r="E389" s="2" t="str">
        <f>IFERROR(__xludf.DUMMYFUNCTION("""COMPUTED_VALUE"""),"H2846135")</f>
        <v>H2846135</v>
      </c>
      <c r="F389" s="2" t="str">
        <f>IFERROR(__xludf.DUMMYFUNCTION("""COMPUTED_VALUE"""),"Annalou Empanado Encontro")</f>
        <v>Annalou Empanado Encontro</v>
      </c>
      <c r="G389" s="2"/>
      <c r="H389" s="2"/>
      <c r="I389" s="2" t="str">
        <f>IFERROR(__xludf.DUMMYFUNCTION("""COMPUTED_VALUE"""),"ICM_Business_linked_launch")</f>
        <v>ICM_Business_linked_launch</v>
      </c>
      <c r="J389" s="2" t="str">
        <f>IFERROR(__xludf.DUMMYFUNCTION("""COMPUTED_VALUE"""),"uuid:c96afdca-e3e6-421b-a46d-240bed676de3")</f>
        <v>uuid:c96afdca-e3e6-421b-a46d-240bed676de3</v>
      </c>
    </row>
    <row r="390">
      <c r="A390" s="2" t="str">
        <f>IFERROR(__xludf.DUMMYFUNCTION("""COMPUTED_VALUE"""),"2025-09-05T11:21:58.533Z")</f>
        <v>2025-09-05T11:21:58.533Z</v>
      </c>
      <c r="B390" s="2" t="str">
        <f>IFERROR(__xludf.DUMMYFUNCTION("""COMPUTED_VALUE"""),"2025-09-05T10:25:36.209+08")</f>
        <v>2025-09-05T10:25:36.209+08</v>
      </c>
      <c r="C390" s="2" t="str">
        <f>IFERROR(__xludf.DUMMYFUNCTION("""COMPUTED_VALUE"""),"2025-09-05T10:30:23.647+08")</f>
        <v>2025-09-05T10:30:23.647+08</v>
      </c>
      <c r="D390" s="2" t="str">
        <f>IFERROR(__xludf.DUMMYFUNCTION("""COMPUTED_VALUE"""),"H030160016")</f>
        <v>H030160016</v>
      </c>
      <c r="E390" s="2" t="str">
        <f>IFERROR(__xludf.DUMMYFUNCTION("""COMPUTED_VALUE"""),"F3051749")</f>
        <v>F3051749</v>
      </c>
      <c r="F390" s="2" t="str">
        <f>IFERROR(__xludf.DUMMYFUNCTION("""COMPUTED_VALUE"""),"Elenita Gicos De La Pe�a")</f>
        <v>Elenita Gicos De La Pe�a</v>
      </c>
      <c r="G390" s="2"/>
      <c r="H390" s="2"/>
      <c r="I390" s="2" t="str">
        <f>IFERROR(__xludf.DUMMYFUNCTION("""COMPUTED_VALUE"""),"ICM_Business_linked_launch")</f>
        <v>ICM_Business_linked_launch</v>
      </c>
      <c r="J390" s="2" t="str">
        <f>IFERROR(__xludf.DUMMYFUNCTION("""COMPUTED_VALUE"""),"uuid:535fd3e9-8f92-4e77-b5e8-9fbfe1517739")</f>
        <v>uuid:535fd3e9-8f92-4e77-b5e8-9fbfe1517739</v>
      </c>
    </row>
    <row r="391">
      <c r="A391" s="2" t="str">
        <f>IFERROR(__xludf.DUMMYFUNCTION("""COMPUTED_VALUE"""),"2025-09-05T11:24:22.671Z")</f>
        <v>2025-09-05T11:24:22.671Z</v>
      </c>
      <c r="B391" s="2" t="str">
        <f>IFERROR(__xludf.DUMMYFUNCTION("""COMPUTED_VALUE"""),"2025-09-05T11:43:16.237+08")</f>
        <v>2025-09-05T11:43:16.237+08</v>
      </c>
      <c r="C391" s="2" t="str">
        <f>IFERROR(__xludf.DUMMYFUNCTION("""COMPUTED_VALUE"""),"2025-09-05T11:45:05.544+08")</f>
        <v>2025-09-05T11:45:05.544+08</v>
      </c>
      <c r="D391" s="2" t="str">
        <f>IFERROR(__xludf.DUMMYFUNCTION("""COMPUTED_VALUE"""),"H019499028")</f>
        <v>H019499028</v>
      </c>
      <c r="E391" s="2">
        <f>IFERROR(__xludf.DUMMYFUNCTION("""COMPUTED_VALUE"""),555127.0)</f>
        <v>555127</v>
      </c>
      <c r="F391" s="2" t="str">
        <f>IFERROR(__xludf.DUMMYFUNCTION("""COMPUTED_VALUE"""),"Mary May_2")</f>
        <v>Mary May_2</v>
      </c>
      <c r="G391" s="2"/>
      <c r="H391" s="2"/>
      <c r="I391" s="2" t="str">
        <f>IFERROR(__xludf.DUMMYFUNCTION("""COMPUTED_VALUE"""),"ICM_Business_linked_launch")</f>
        <v>ICM_Business_linked_launch</v>
      </c>
      <c r="J391" s="2" t="str">
        <f>IFERROR(__xludf.DUMMYFUNCTION("""COMPUTED_VALUE"""),"uuid:79a63bf5-b278-4ca3-b37c-e42dea3b6332")</f>
        <v>uuid:79a63bf5-b278-4ca3-b37c-e42dea3b6332</v>
      </c>
    </row>
    <row r="392">
      <c r="A392" s="2" t="str">
        <f>IFERROR(__xludf.DUMMYFUNCTION("""COMPUTED_VALUE"""),"2025-09-05T11:24:24.221Z")</f>
        <v>2025-09-05T11:24:24.221Z</v>
      </c>
      <c r="B392" s="2" t="str">
        <f>IFERROR(__xludf.DUMMYFUNCTION("""COMPUTED_VALUE"""),"2025-09-05T14:49:10.114+08")</f>
        <v>2025-09-05T14:49:10.114+08</v>
      </c>
      <c r="C392" s="2" t="str">
        <f>IFERROR(__xludf.DUMMYFUNCTION("""COMPUTED_VALUE"""),"2025-09-05T15:02:52.937+08")</f>
        <v>2025-09-05T15:02:52.937+08</v>
      </c>
      <c r="D392" s="2" t="str">
        <f>IFERROR(__xludf.DUMMYFUNCTION("""COMPUTED_VALUE"""),"H019499017")</f>
        <v>H019499017</v>
      </c>
      <c r="E392" s="2">
        <f>IFERROR(__xludf.DUMMYFUNCTION("""COMPUTED_VALUE"""),555127.0)</f>
        <v>555127</v>
      </c>
      <c r="F392" s="2" t="str">
        <f>IFERROR(__xludf.DUMMYFUNCTION("""COMPUTED_VALUE"""),"Mary May_2")</f>
        <v>Mary May_2</v>
      </c>
      <c r="G392" s="2"/>
      <c r="H392" s="2"/>
      <c r="I392" s="2" t="str">
        <f>IFERROR(__xludf.DUMMYFUNCTION("""COMPUTED_VALUE"""),"ICM_Business_linked_launch")</f>
        <v>ICM_Business_linked_launch</v>
      </c>
      <c r="J392" s="2" t="str">
        <f>IFERROR(__xludf.DUMMYFUNCTION("""COMPUTED_VALUE"""),"uuid:bc3bd41b-6891-46c9-b85a-a68ce44f619d")</f>
        <v>uuid:bc3bd41b-6891-46c9-b85a-a68ce44f619d</v>
      </c>
    </row>
    <row r="393">
      <c r="A393" s="2" t="str">
        <f>IFERROR(__xludf.DUMMYFUNCTION("""COMPUTED_VALUE"""),"2025-09-05T11:24:24.896Z")</f>
        <v>2025-09-05T11:24:24.896Z</v>
      </c>
      <c r="B393" s="2" t="str">
        <f>IFERROR(__xludf.DUMMYFUNCTION("""COMPUTED_VALUE"""),"2025-09-05T10:26:52.897+08")</f>
        <v>2025-09-05T10:26:52.897+08</v>
      </c>
      <c r="C393" s="2" t="str">
        <f>IFERROR(__xludf.DUMMYFUNCTION("""COMPUTED_VALUE"""),"2025-09-05T18:32:32.470+08")</f>
        <v>2025-09-05T18:32:32.470+08</v>
      </c>
      <c r="D393" s="2" t="str">
        <f>IFERROR(__xludf.DUMMYFUNCTION("""COMPUTED_VALUE"""),"H019499025")</f>
        <v>H019499025</v>
      </c>
      <c r="E393" s="2">
        <f>IFERROR(__xludf.DUMMYFUNCTION("""COMPUTED_VALUE"""),555127.0)</f>
        <v>555127</v>
      </c>
      <c r="F393" s="2" t="str">
        <f>IFERROR(__xludf.DUMMYFUNCTION("""COMPUTED_VALUE"""),"Mary May_2")</f>
        <v>Mary May_2</v>
      </c>
      <c r="G393" s="2"/>
      <c r="H393" s="2"/>
      <c r="I393" s="2" t="str">
        <f>IFERROR(__xludf.DUMMYFUNCTION("""COMPUTED_VALUE"""),"ICM_Business_linked_launch")</f>
        <v>ICM_Business_linked_launch</v>
      </c>
      <c r="J393" s="2" t="str">
        <f>IFERROR(__xludf.DUMMYFUNCTION("""COMPUTED_VALUE"""),"uuid:dfb7371f-5fcd-40d2-b55b-e63a328c1e5b")</f>
        <v>uuid:dfb7371f-5fcd-40d2-b55b-e63a328c1e5b</v>
      </c>
    </row>
    <row r="394">
      <c r="A394" s="2" t="str">
        <f>IFERROR(__xludf.DUMMYFUNCTION("""COMPUTED_VALUE"""),"2025-09-05T11:24:26.246Z")</f>
        <v>2025-09-05T11:24:26.246Z</v>
      </c>
      <c r="B394" s="2" t="str">
        <f>IFERROR(__xludf.DUMMYFUNCTION("""COMPUTED_VALUE"""),"2025-09-05T13:36:37.007+08")</f>
        <v>2025-09-05T13:36:37.007+08</v>
      </c>
      <c r="C394" s="2" t="str">
        <f>IFERROR(__xludf.DUMMYFUNCTION("""COMPUTED_VALUE"""),"2025-09-05T13:48:53.527+08")</f>
        <v>2025-09-05T13:48:53.527+08</v>
      </c>
      <c r="D394" s="2" t="str">
        <f>IFERROR(__xludf.DUMMYFUNCTION("""COMPUTED_VALUE"""),"H019499019")</f>
        <v>H019499019</v>
      </c>
      <c r="E394" s="2">
        <f>IFERROR(__xludf.DUMMYFUNCTION("""COMPUTED_VALUE"""),555127.0)</f>
        <v>555127</v>
      </c>
      <c r="F394" s="2" t="str">
        <f>IFERROR(__xludf.DUMMYFUNCTION("""COMPUTED_VALUE"""),"Mary May_2")</f>
        <v>Mary May_2</v>
      </c>
      <c r="G394" s="2"/>
      <c r="H394" s="2"/>
      <c r="I394" s="2" t="str">
        <f>IFERROR(__xludf.DUMMYFUNCTION("""COMPUTED_VALUE"""),"ICM_Business_linked_launch")</f>
        <v>ICM_Business_linked_launch</v>
      </c>
      <c r="J394" s="2" t="str">
        <f>IFERROR(__xludf.DUMMYFUNCTION("""COMPUTED_VALUE"""),"uuid:ef2cadde-6b8f-4b51-b28a-7a2a3e62f75d")</f>
        <v>uuid:ef2cadde-6b8f-4b51-b28a-7a2a3e62f75d</v>
      </c>
    </row>
    <row r="395">
      <c r="A395" s="2" t="str">
        <f>IFERROR(__xludf.DUMMYFUNCTION("""COMPUTED_VALUE"""),"2025-09-05T11:24:53.297Z")</f>
        <v>2025-09-05T11:24:53.297Z</v>
      </c>
      <c r="B395" s="2" t="str">
        <f>IFERROR(__xludf.DUMMYFUNCTION("""COMPUTED_VALUE"""),"2025-09-05T12:27:03.442+08")</f>
        <v>2025-09-05T12:27:03.442+08</v>
      </c>
      <c r="C395" s="2" t="str">
        <f>IFERROR(__xludf.DUMMYFUNCTION("""COMPUTED_VALUE"""),"2025-09-05T12:35:19.435+08")</f>
        <v>2025-09-05T12:35:19.435+08</v>
      </c>
      <c r="D395" s="2" t="str">
        <f>IFERROR(__xludf.DUMMYFUNCTION("""COMPUTED_VALUE"""),"H030160033")</f>
        <v>H030160033</v>
      </c>
      <c r="E395" s="2" t="str">
        <f>IFERROR(__xludf.DUMMYFUNCTION("""COMPUTED_VALUE"""),"F3051749")</f>
        <v>F3051749</v>
      </c>
      <c r="F395" s="2" t="str">
        <f>IFERROR(__xludf.DUMMYFUNCTION("""COMPUTED_VALUE"""),"Elenita Gicos De La Pe�a")</f>
        <v>Elenita Gicos De La Pe�a</v>
      </c>
      <c r="G395" s="2"/>
      <c r="H395" s="2"/>
      <c r="I395" s="2" t="str">
        <f>IFERROR(__xludf.DUMMYFUNCTION("""COMPUTED_VALUE"""),"ICM_Business_linked_launch")</f>
        <v>ICM_Business_linked_launch</v>
      </c>
      <c r="J395" s="2" t="str">
        <f>IFERROR(__xludf.DUMMYFUNCTION("""COMPUTED_VALUE"""),"uuid:b1265925-9138-49b9-8304-23a4be8889f7")</f>
        <v>uuid:b1265925-9138-49b9-8304-23a4be8889f7</v>
      </c>
    </row>
    <row r="396">
      <c r="A396" s="2" t="str">
        <f>IFERROR(__xludf.DUMMYFUNCTION("""COMPUTED_VALUE"""),"2025-09-05T11:24:57.038Z")</f>
        <v>2025-09-05T11:24:57.038Z</v>
      </c>
      <c r="B396" s="2" t="str">
        <f>IFERROR(__xludf.DUMMYFUNCTION("""COMPUTED_VALUE"""),"2025-09-05T14:43:30.052+08")</f>
        <v>2025-09-05T14:43:30.052+08</v>
      </c>
      <c r="C396" s="2" t="str">
        <f>IFERROR(__xludf.DUMMYFUNCTION("""COMPUTED_VALUE"""),"2025-09-05T14:52:33.803+08")</f>
        <v>2025-09-05T14:52:33.803+08</v>
      </c>
      <c r="D396" s="2" t="str">
        <f>IFERROR(__xludf.DUMMYFUNCTION("""COMPUTED_VALUE"""),"H030160025")</f>
        <v>H030160025</v>
      </c>
      <c r="E396" s="2" t="str">
        <f>IFERROR(__xludf.DUMMYFUNCTION("""COMPUTED_VALUE"""),"F3051749")</f>
        <v>F3051749</v>
      </c>
      <c r="F396" s="2" t="str">
        <f>IFERROR(__xludf.DUMMYFUNCTION("""COMPUTED_VALUE"""),"Elenita Gicos De La Pe�a")</f>
        <v>Elenita Gicos De La Pe�a</v>
      </c>
      <c r="G396" s="2"/>
      <c r="H396" s="2"/>
      <c r="I396" s="2" t="str">
        <f>IFERROR(__xludf.DUMMYFUNCTION("""COMPUTED_VALUE"""),"ICM_Business_linked_launch")</f>
        <v>ICM_Business_linked_launch</v>
      </c>
      <c r="J396" s="2" t="str">
        <f>IFERROR(__xludf.DUMMYFUNCTION("""COMPUTED_VALUE"""),"uuid:4296f594-3713-4dd9-89e9-6d72b4be9c0d")</f>
        <v>uuid:4296f594-3713-4dd9-89e9-6d72b4be9c0d</v>
      </c>
    </row>
    <row r="397">
      <c r="A397" s="2" t="str">
        <f>IFERROR(__xludf.DUMMYFUNCTION("""COMPUTED_VALUE"""),"2025-09-05T11:24:57.940Z")</f>
        <v>2025-09-05T11:24:57.940Z</v>
      </c>
      <c r="B397" s="2" t="str">
        <f>IFERROR(__xludf.DUMMYFUNCTION("""COMPUTED_VALUE"""),"2025-09-05T16:34:22.583+08")</f>
        <v>2025-09-05T16:34:22.583+08</v>
      </c>
      <c r="C397" s="2" t="str">
        <f>IFERROR(__xludf.DUMMYFUNCTION("""COMPUTED_VALUE"""),"2025-09-05T16:41:28.445+08")</f>
        <v>2025-09-05T16:41:28.445+08</v>
      </c>
      <c r="D397" s="2" t="str">
        <f>IFERROR(__xludf.DUMMYFUNCTION("""COMPUTED_VALUE"""),"H030160035")</f>
        <v>H030160035</v>
      </c>
      <c r="E397" s="2" t="str">
        <f>IFERROR(__xludf.DUMMYFUNCTION("""COMPUTED_VALUE"""),"F3051749")</f>
        <v>F3051749</v>
      </c>
      <c r="F397" s="2" t="str">
        <f>IFERROR(__xludf.DUMMYFUNCTION("""COMPUTED_VALUE"""),"Elenita Gicos De La Pe�a")</f>
        <v>Elenita Gicos De La Pe�a</v>
      </c>
      <c r="G397" s="2"/>
      <c r="H397" s="2"/>
      <c r="I397" s="2" t="str">
        <f>IFERROR(__xludf.DUMMYFUNCTION("""COMPUTED_VALUE"""),"ICM_Business_linked_launch")</f>
        <v>ICM_Business_linked_launch</v>
      </c>
      <c r="J397" s="2" t="str">
        <f>IFERROR(__xludf.DUMMYFUNCTION("""COMPUTED_VALUE"""),"uuid:757c8b03-61e7-4b07-9530-58edc959a58d")</f>
        <v>uuid:757c8b03-61e7-4b07-9530-58edc959a58d</v>
      </c>
    </row>
    <row r="398">
      <c r="A398" s="2" t="str">
        <f>IFERROR(__xludf.DUMMYFUNCTION("""COMPUTED_VALUE"""),"2025-09-05T12:11:43.354Z")</f>
        <v>2025-09-05T12:11:43.354Z</v>
      </c>
      <c r="B398" s="2" t="str">
        <f>IFERROR(__xludf.DUMMYFUNCTION("""COMPUTED_VALUE"""),"2025-09-05T12:19:19.219+08")</f>
        <v>2025-09-05T12:19:19.219+08</v>
      </c>
      <c r="C398" s="2" t="str">
        <f>IFERROR(__xludf.DUMMYFUNCTION("""COMPUTED_VALUE"""),"2025-09-05T12:24:51.971+08")</f>
        <v>2025-09-05T12:24:51.971+08</v>
      </c>
      <c r="D398" s="2" t="str">
        <f>IFERROR(__xludf.DUMMYFUNCTION("""COMPUTED_VALUE"""),"H019611034")</f>
        <v>H019611034</v>
      </c>
      <c r="E398" s="2">
        <f>IFERROR(__xludf.DUMMYFUNCTION("""COMPUTED_VALUE"""),859767.0)</f>
        <v>859767</v>
      </c>
      <c r="F398" s="2" t="str">
        <f>IFERROR(__xludf.DUMMYFUNCTION("""COMPUTED_VALUE"""),"Ramie De Pedro Jr._2")</f>
        <v>Ramie De Pedro Jr._2</v>
      </c>
      <c r="G398" s="2"/>
      <c r="H398" s="2"/>
      <c r="I398" s="2" t="str">
        <f>IFERROR(__xludf.DUMMYFUNCTION("""COMPUTED_VALUE"""),"ICM_Business_linked_launch")</f>
        <v>ICM_Business_linked_launch</v>
      </c>
      <c r="J398" s="2" t="str">
        <f>IFERROR(__xludf.DUMMYFUNCTION("""COMPUTED_VALUE"""),"uuid:7fd175f2-ea82-4c2d-ae3d-fc31242f9d6d")</f>
        <v>uuid:7fd175f2-ea82-4c2d-ae3d-fc31242f9d6d</v>
      </c>
    </row>
    <row r="399">
      <c r="A399" s="2" t="str">
        <f>IFERROR(__xludf.DUMMYFUNCTION("""COMPUTED_VALUE"""),"2025-09-05T12:12:02.825Z")</f>
        <v>2025-09-05T12:12:02.825Z</v>
      </c>
      <c r="B399" s="2" t="str">
        <f>IFERROR(__xludf.DUMMYFUNCTION("""COMPUTED_VALUE"""),"2025-09-05T14:21:51.162+08")</f>
        <v>2025-09-05T14:21:51.162+08</v>
      </c>
      <c r="C399" s="2" t="str">
        <f>IFERROR(__xludf.DUMMYFUNCTION("""COMPUTED_VALUE"""),"2025-09-05T14:32:54.201+08")</f>
        <v>2025-09-05T14:32:54.201+08</v>
      </c>
      <c r="D399" s="2" t="str">
        <f>IFERROR(__xludf.DUMMYFUNCTION("""COMPUTED_VALUE"""),"H019611004")</f>
        <v>H019611004</v>
      </c>
      <c r="E399" s="2">
        <f>IFERROR(__xludf.DUMMYFUNCTION("""COMPUTED_VALUE"""),859767.0)</f>
        <v>859767</v>
      </c>
      <c r="F399" s="2" t="str">
        <f>IFERROR(__xludf.DUMMYFUNCTION("""COMPUTED_VALUE"""),"Ramie De Pedro Jr._2")</f>
        <v>Ramie De Pedro Jr._2</v>
      </c>
      <c r="G399" s="2"/>
      <c r="H399" s="2"/>
      <c r="I399" s="2" t="str">
        <f>IFERROR(__xludf.DUMMYFUNCTION("""COMPUTED_VALUE"""),"ICM_Business_linked_launch")</f>
        <v>ICM_Business_linked_launch</v>
      </c>
      <c r="J399" s="2" t="str">
        <f>IFERROR(__xludf.DUMMYFUNCTION("""COMPUTED_VALUE"""),"uuid:a0cbf7f7-d02c-43b9-87dd-4009257c3d21")</f>
        <v>uuid:a0cbf7f7-d02c-43b9-87dd-4009257c3d21</v>
      </c>
    </row>
    <row r="400">
      <c r="A400" s="2" t="str">
        <f>IFERROR(__xludf.DUMMYFUNCTION("""COMPUTED_VALUE"""),"2025-09-05T12:12:08.729Z")</f>
        <v>2025-09-05T12:12:08.729Z</v>
      </c>
      <c r="B400" s="2" t="str">
        <f>IFERROR(__xludf.DUMMYFUNCTION("""COMPUTED_VALUE"""),"2025-09-05T10:57:12.913+08")</f>
        <v>2025-09-05T10:57:12.913+08</v>
      </c>
      <c r="C400" s="2" t="str">
        <f>IFERROR(__xludf.DUMMYFUNCTION("""COMPUTED_VALUE"""),"2025-09-05T11:11:28.358+08")</f>
        <v>2025-09-05T11:11:28.358+08</v>
      </c>
      <c r="D400" s="2" t="str">
        <f>IFERROR(__xludf.DUMMYFUNCTION("""COMPUTED_VALUE"""),"H019611027")</f>
        <v>H019611027</v>
      </c>
      <c r="E400" s="2">
        <f>IFERROR(__xludf.DUMMYFUNCTION("""COMPUTED_VALUE"""),859767.0)</f>
        <v>859767</v>
      </c>
      <c r="F400" s="2" t="str">
        <f>IFERROR(__xludf.DUMMYFUNCTION("""COMPUTED_VALUE"""),"Ramie De Pedro Jr._2")</f>
        <v>Ramie De Pedro Jr._2</v>
      </c>
      <c r="G400" s="2"/>
      <c r="H400" s="2"/>
      <c r="I400" s="2" t="str">
        <f>IFERROR(__xludf.DUMMYFUNCTION("""COMPUTED_VALUE"""),"ICM_Business_linked_launch")</f>
        <v>ICM_Business_linked_launch</v>
      </c>
      <c r="J400" s="2" t="str">
        <f>IFERROR(__xludf.DUMMYFUNCTION("""COMPUTED_VALUE"""),"uuid:6198926b-e7a3-4372-83ce-1e81e677ed3f")</f>
        <v>uuid:6198926b-e7a3-4372-83ce-1e81e677ed3f</v>
      </c>
    </row>
    <row r="401">
      <c r="A401" s="2" t="str">
        <f>IFERROR(__xludf.DUMMYFUNCTION("""COMPUTED_VALUE"""),"2025-09-05T12:45:34.615Z")</f>
        <v>2025-09-05T12:45:34.615Z</v>
      </c>
      <c r="B401" s="2" t="str">
        <f>IFERROR(__xludf.DUMMYFUNCTION("""COMPUTED_VALUE"""),"2025-09-05T10:33:53.340+08")</f>
        <v>2025-09-05T10:33:53.340+08</v>
      </c>
      <c r="C401" s="2" t="str">
        <f>IFERROR(__xludf.DUMMYFUNCTION("""COMPUTED_VALUE"""),"2025-09-05T10:40:03.761+08")</f>
        <v>2025-09-05T10:40:03.761+08</v>
      </c>
      <c r="D401" s="2" t="str">
        <f>IFERROR(__xludf.DUMMYFUNCTION("""COMPUTED_VALUE"""),"H019611029")</f>
        <v>H019611029</v>
      </c>
      <c r="E401" s="2">
        <f>IFERROR(__xludf.DUMMYFUNCTION("""COMPUTED_VALUE"""),729375.0)</f>
        <v>729375</v>
      </c>
      <c r="F401" s="2" t="str">
        <f>IFERROR(__xludf.DUMMYFUNCTION("""COMPUTED_VALUE"""),"Janet Serafica_2")</f>
        <v>Janet Serafica_2</v>
      </c>
      <c r="G401" s="2"/>
      <c r="H401" s="2"/>
      <c r="I401" s="2" t="str">
        <f>IFERROR(__xludf.DUMMYFUNCTION("""COMPUTED_VALUE"""),"ICM_Business_linked_launch")</f>
        <v>ICM_Business_linked_launch</v>
      </c>
      <c r="J401" s="2" t="str">
        <f>IFERROR(__xludf.DUMMYFUNCTION("""COMPUTED_VALUE"""),"uuid:d6b2c67e-7ea8-4f2b-8cd2-f58a22ccda65")</f>
        <v>uuid:d6b2c67e-7ea8-4f2b-8cd2-f58a22ccda65</v>
      </c>
    </row>
    <row r="402">
      <c r="A402" s="2" t="str">
        <f>IFERROR(__xludf.DUMMYFUNCTION("""COMPUTED_VALUE"""),"2025-09-05T12:45:35.878Z")</f>
        <v>2025-09-05T12:45:35.878Z</v>
      </c>
      <c r="B402" s="2" t="str">
        <f>IFERROR(__xludf.DUMMYFUNCTION("""COMPUTED_VALUE"""),"2025-09-05T13:54:14.119+08")</f>
        <v>2025-09-05T13:54:14.119+08</v>
      </c>
      <c r="C402" s="2" t="str">
        <f>IFERROR(__xludf.DUMMYFUNCTION("""COMPUTED_VALUE"""),"2025-09-05T14:01:35.142+08")</f>
        <v>2025-09-05T14:01:35.142+08</v>
      </c>
      <c r="D402" s="2" t="str">
        <f>IFERROR(__xludf.DUMMYFUNCTION("""COMPUTED_VALUE"""),"H019611025")</f>
        <v>H019611025</v>
      </c>
      <c r="E402" s="2">
        <f>IFERROR(__xludf.DUMMYFUNCTION("""COMPUTED_VALUE"""),729375.0)</f>
        <v>729375</v>
      </c>
      <c r="F402" s="2" t="str">
        <f>IFERROR(__xludf.DUMMYFUNCTION("""COMPUTED_VALUE"""),"Janet Serafica_2")</f>
        <v>Janet Serafica_2</v>
      </c>
      <c r="G402" s="2"/>
      <c r="H402" s="2"/>
      <c r="I402" s="2" t="str">
        <f>IFERROR(__xludf.DUMMYFUNCTION("""COMPUTED_VALUE"""),"ICM_Business_linked_launch")</f>
        <v>ICM_Business_linked_launch</v>
      </c>
      <c r="J402" s="2" t="str">
        <f>IFERROR(__xludf.DUMMYFUNCTION("""COMPUTED_VALUE"""),"uuid:624afcb0-737e-49a6-be7c-e6fe34d1513d")</f>
        <v>uuid:624afcb0-737e-49a6-be7c-e6fe34d1513d</v>
      </c>
    </row>
    <row r="403">
      <c r="A403" s="2" t="str">
        <f>IFERROR(__xludf.DUMMYFUNCTION("""COMPUTED_VALUE"""),"2025-09-05T12:45:37.258Z")</f>
        <v>2025-09-05T12:45:37.258Z</v>
      </c>
      <c r="B403" s="2" t="str">
        <f>IFERROR(__xludf.DUMMYFUNCTION("""COMPUTED_VALUE"""),"2025-09-05T15:02:42.777+08")</f>
        <v>2025-09-05T15:02:42.777+08</v>
      </c>
      <c r="C403" s="2" t="str">
        <f>IFERROR(__xludf.DUMMYFUNCTION("""COMPUTED_VALUE"""),"2025-09-05T15:08:33.096+08")</f>
        <v>2025-09-05T15:08:33.096+08</v>
      </c>
      <c r="D403" s="2" t="str">
        <f>IFERROR(__xludf.DUMMYFUNCTION("""COMPUTED_VALUE"""),"H019611024")</f>
        <v>H019611024</v>
      </c>
      <c r="E403" s="2">
        <f>IFERROR(__xludf.DUMMYFUNCTION("""COMPUTED_VALUE"""),729375.0)</f>
        <v>729375</v>
      </c>
      <c r="F403" s="2" t="str">
        <f>IFERROR(__xludf.DUMMYFUNCTION("""COMPUTED_VALUE"""),"Janet Serafica_2")</f>
        <v>Janet Serafica_2</v>
      </c>
      <c r="G403" s="2"/>
      <c r="H403" s="2"/>
      <c r="I403" s="2" t="str">
        <f>IFERROR(__xludf.DUMMYFUNCTION("""COMPUTED_VALUE"""),"ICM_Business_linked_launch")</f>
        <v>ICM_Business_linked_launch</v>
      </c>
      <c r="J403" s="2" t="str">
        <f>IFERROR(__xludf.DUMMYFUNCTION("""COMPUTED_VALUE"""),"uuid:904e9e65-6d73-4140-b6dd-c05c70a26701")</f>
        <v>uuid:904e9e65-6d73-4140-b6dd-c05c70a26701</v>
      </c>
    </row>
    <row r="404">
      <c r="A404" s="2" t="str">
        <f>IFERROR(__xludf.DUMMYFUNCTION("""COMPUTED_VALUE"""),"2025-09-05T12:45:38.461Z")</f>
        <v>2025-09-05T12:45:38.461Z</v>
      </c>
      <c r="B404" s="2" t="str">
        <f>IFERROR(__xludf.DUMMYFUNCTION("""COMPUTED_VALUE"""),"2025-09-05T16:41:57.572+08")</f>
        <v>2025-09-05T16:41:57.572+08</v>
      </c>
      <c r="C404" s="2" t="str">
        <f>IFERROR(__xludf.DUMMYFUNCTION("""COMPUTED_VALUE"""),"2025-09-05T16:49:22.551+08")</f>
        <v>2025-09-05T16:49:22.551+08</v>
      </c>
      <c r="D404" s="2" t="str">
        <f>IFERROR(__xludf.DUMMYFUNCTION("""COMPUTED_VALUE"""),"H019611028")</f>
        <v>H019611028</v>
      </c>
      <c r="E404" s="2">
        <f>IFERROR(__xludf.DUMMYFUNCTION("""COMPUTED_VALUE"""),729375.0)</f>
        <v>729375</v>
      </c>
      <c r="F404" s="2" t="str">
        <f>IFERROR(__xludf.DUMMYFUNCTION("""COMPUTED_VALUE"""),"Janet Serafica_2")</f>
        <v>Janet Serafica_2</v>
      </c>
      <c r="G404" s="2"/>
      <c r="H404" s="2"/>
      <c r="I404" s="2" t="str">
        <f>IFERROR(__xludf.DUMMYFUNCTION("""COMPUTED_VALUE"""),"ICM_Business_linked_launch")</f>
        <v>ICM_Business_linked_launch</v>
      </c>
      <c r="J404" s="2" t="str">
        <f>IFERROR(__xludf.DUMMYFUNCTION("""COMPUTED_VALUE"""),"uuid:aade2356-56d9-4a88-b72a-175f20bdd415")</f>
        <v>uuid:aade2356-56d9-4a88-b72a-175f20bdd415</v>
      </c>
    </row>
    <row r="405">
      <c r="A405" s="2" t="str">
        <f>IFERROR(__xludf.DUMMYFUNCTION("""COMPUTED_VALUE"""),"2025-09-05T13:31:27.413Z")</f>
        <v>2025-09-05T13:31:27.413Z</v>
      </c>
      <c r="B405" s="2" t="str">
        <f>IFERROR(__xludf.DUMMYFUNCTION("""COMPUTED_VALUE"""),"2025-09-05T10:53:58.952+08")</f>
        <v>2025-09-05T10:53:58.952+08</v>
      </c>
      <c r="C405" s="2" t="str">
        <f>IFERROR(__xludf.DUMMYFUNCTION("""COMPUTED_VALUE"""),"2025-09-05T11:01:09.890+08")</f>
        <v>2025-09-05T11:01:09.890+08</v>
      </c>
      <c r="D405" s="2" t="str">
        <f>IFERROR(__xludf.DUMMYFUNCTION("""COMPUTED_VALUE"""),"H019611018")</f>
        <v>H019611018</v>
      </c>
      <c r="E405" s="2" t="str">
        <f>IFERROR(__xludf.DUMMYFUNCTION("""COMPUTED_VALUE"""),"S2671943")</f>
        <v>S2671943</v>
      </c>
      <c r="F405" s="2" t="str">
        <f>IFERROR(__xludf.DUMMYFUNCTION("""COMPUTED_VALUE"""),"Marvin Mondia")</f>
        <v>Marvin Mondia</v>
      </c>
      <c r="G405" s="2"/>
      <c r="H405" s="2"/>
      <c r="I405" s="2" t="str">
        <f>IFERROR(__xludf.DUMMYFUNCTION("""COMPUTED_VALUE"""),"ICM_Business_linked_launch")</f>
        <v>ICM_Business_linked_launch</v>
      </c>
      <c r="J405" s="2" t="str">
        <f>IFERROR(__xludf.DUMMYFUNCTION("""COMPUTED_VALUE"""),"uuid:935941ce-37ea-4b69-b562-df3002cb74af")</f>
        <v>uuid:935941ce-37ea-4b69-b562-df3002cb74af</v>
      </c>
    </row>
    <row r="406">
      <c r="A406" s="2" t="str">
        <f>IFERROR(__xludf.DUMMYFUNCTION("""COMPUTED_VALUE"""),"2025-09-05T13:31:30.836Z")</f>
        <v>2025-09-05T13:31:30.836Z</v>
      </c>
      <c r="B406" s="2" t="str">
        <f>IFERROR(__xludf.DUMMYFUNCTION("""COMPUTED_VALUE"""),"2025-09-05T15:45:50.247+08")</f>
        <v>2025-09-05T15:45:50.247+08</v>
      </c>
      <c r="C406" s="2" t="str">
        <f>IFERROR(__xludf.DUMMYFUNCTION("""COMPUTED_VALUE"""),"2025-09-05T15:51:44.728+08")</f>
        <v>2025-09-05T15:51:44.728+08</v>
      </c>
      <c r="D406" s="2" t="str">
        <f>IFERROR(__xludf.DUMMYFUNCTION("""COMPUTED_VALUE"""),"H019611031")</f>
        <v>H019611031</v>
      </c>
      <c r="E406" s="2" t="str">
        <f>IFERROR(__xludf.DUMMYFUNCTION("""COMPUTED_VALUE"""),"S2671943")</f>
        <v>S2671943</v>
      </c>
      <c r="F406" s="2" t="str">
        <f>IFERROR(__xludf.DUMMYFUNCTION("""COMPUTED_VALUE"""),"Marvin Mondia")</f>
        <v>Marvin Mondia</v>
      </c>
      <c r="G406" s="2"/>
      <c r="H406" s="2"/>
      <c r="I406" s="2" t="str">
        <f>IFERROR(__xludf.DUMMYFUNCTION("""COMPUTED_VALUE"""),"ICM_Business_linked_launch")</f>
        <v>ICM_Business_linked_launch</v>
      </c>
      <c r="J406" s="2" t="str">
        <f>IFERROR(__xludf.DUMMYFUNCTION("""COMPUTED_VALUE"""),"uuid:a3f3ba7e-6a81-46ab-8e18-8ae8764332fd")</f>
        <v>uuid:a3f3ba7e-6a81-46ab-8e18-8ae8764332fd</v>
      </c>
    </row>
    <row r="407">
      <c r="A407" s="2" t="str">
        <f>IFERROR(__xludf.DUMMYFUNCTION("""COMPUTED_VALUE"""),"2025-09-05T13:31:32.373Z")</f>
        <v>2025-09-05T13:31:32.373Z</v>
      </c>
      <c r="B407" s="2" t="str">
        <f>IFERROR(__xludf.DUMMYFUNCTION("""COMPUTED_VALUE"""),"2025-09-05T16:54:40.074+08")</f>
        <v>2025-09-05T16:54:40.074+08</v>
      </c>
      <c r="C407" s="2" t="str">
        <f>IFERROR(__xludf.DUMMYFUNCTION("""COMPUTED_VALUE"""),"2025-09-05T21:17:08.349+08")</f>
        <v>2025-09-05T21:17:08.349+08</v>
      </c>
      <c r="D407" s="2" t="str">
        <f>IFERROR(__xludf.DUMMYFUNCTION("""COMPUTED_VALUE"""),"H019611032")</f>
        <v>H019611032</v>
      </c>
      <c r="E407" s="2" t="str">
        <f>IFERROR(__xludf.DUMMYFUNCTION("""COMPUTED_VALUE"""),"S2671943")</f>
        <v>S2671943</v>
      </c>
      <c r="F407" s="2" t="str">
        <f>IFERROR(__xludf.DUMMYFUNCTION("""COMPUTED_VALUE"""),"Marvin Mondia")</f>
        <v>Marvin Mondia</v>
      </c>
      <c r="G407" s="2"/>
      <c r="H407" s="2"/>
      <c r="I407" s="2" t="str">
        <f>IFERROR(__xludf.DUMMYFUNCTION("""COMPUTED_VALUE"""),"ICM_Business_linked_launch")</f>
        <v>ICM_Business_linked_launch</v>
      </c>
      <c r="J407" s="2" t="str">
        <f>IFERROR(__xludf.DUMMYFUNCTION("""COMPUTED_VALUE"""),"uuid:6e6e577d-e695-4b55-b504-408d03588b4a")</f>
        <v>uuid:6e6e577d-e695-4b55-b504-408d03588b4a</v>
      </c>
    </row>
    <row r="408">
      <c r="A408" s="2" t="str">
        <f>IFERROR(__xludf.DUMMYFUNCTION("""COMPUTED_VALUE"""),"2025-09-05T13:31:33.037Z")</f>
        <v>2025-09-05T13:31:33.037Z</v>
      </c>
      <c r="B408" s="2" t="str">
        <f>IFERROR(__xludf.DUMMYFUNCTION("""COMPUTED_VALUE"""),"2025-09-05T13:28:18.972+08")</f>
        <v>2025-09-05T13:28:18.972+08</v>
      </c>
      <c r="C408" s="2" t="str">
        <f>IFERROR(__xludf.DUMMYFUNCTION("""COMPUTED_VALUE"""),"2025-09-05T21:29:43.272+08")</f>
        <v>2025-09-05T21:29:43.272+08</v>
      </c>
      <c r="D408" s="2" t="str">
        <f>IFERROR(__xludf.DUMMYFUNCTION("""COMPUTED_VALUE"""),"H019611020")</f>
        <v>H019611020</v>
      </c>
      <c r="E408" s="2" t="str">
        <f>IFERROR(__xludf.DUMMYFUNCTION("""COMPUTED_VALUE"""),"S2671943")</f>
        <v>S2671943</v>
      </c>
      <c r="F408" s="2" t="str">
        <f>IFERROR(__xludf.DUMMYFUNCTION("""COMPUTED_VALUE"""),"Marvin Mondia")</f>
        <v>Marvin Mondia</v>
      </c>
      <c r="G408" s="2"/>
      <c r="H408" s="2"/>
      <c r="I408" s="2" t="str">
        <f>IFERROR(__xludf.DUMMYFUNCTION("""COMPUTED_VALUE"""),"ICM_Business_linked_launch")</f>
        <v>ICM_Business_linked_launch</v>
      </c>
      <c r="J408" s="2" t="str">
        <f>IFERROR(__xludf.DUMMYFUNCTION("""COMPUTED_VALUE"""),"uuid:09f57bef-32e0-401f-b35d-51295fb7c237")</f>
        <v>uuid:09f57bef-32e0-401f-b35d-51295fb7c237</v>
      </c>
    </row>
    <row r="409">
      <c r="A409" s="2" t="str">
        <f>IFERROR(__xludf.DUMMYFUNCTION("""COMPUTED_VALUE"""),"2025-09-06T09:28:15.789Z")</f>
        <v>2025-09-06T09:28:15.789Z</v>
      </c>
      <c r="B409" s="2" t="str">
        <f>IFERROR(__xludf.DUMMYFUNCTION("""COMPUTED_VALUE"""),"2025-09-06T09:50:03.611+08")</f>
        <v>2025-09-06T09:50:03.611+08</v>
      </c>
      <c r="C409" s="2" t="str">
        <f>IFERROR(__xludf.DUMMYFUNCTION("""COMPUTED_VALUE"""),"2025-09-06T09:55:15.544+08")</f>
        <v>2025-09-06T09:55:15.544+08</v>
      </c>
      <c r="D409" s="2" t="str">
        <f>IFERROR(__xludf.DUMMYFUNCTION("""COMPUTED_VALUE"""),"H030764020")</f>
        <v>H030764020</v>
      </c>
      <c r="E409" s="2">
        <f>IFERROR(__xludf.DUMMYFUNCTION("""COMPUTED_VALUE"""),896791.0)</f>
        <v>896791</v>
      </c>
      <c r="F409" s="2" t="str">
        <f>IFERROR(__xludf.DUMMYFUNCTION("""COMPUTED_VALUE"""),"Roland A. Bandiola jr_2")</f>
        <v>Roland A. Bandiola jr_2</v>
      </c>
      <c r="G409" s="2"/>
      <c r="H409" s="2"/>
      <c r="I409" s="2" t="str">
        <f>IFERROR(__xludf.DUMMYFUNCTION("""COMPUTED_VALUE"""),"ICM_Business_linked_launch")</f>
        <v>ICM_Business_linked_launch</v>
      </c>
      <c r="J409" s="2" t="str">
        <f>IFERROR(__xludf.DUMMYFUNCTION("""COMPUTED_VALUE"""),"uuid:51101da7-53a6-46a3-aae4-35c096ad46be")</f>
        <v>uuid:51101da7-53a6-46a3-aae4-35c096ad46be</v>
      </c>
    </row>
    <row r="410">
      <c r="A410" s="2" t="str">
        <f>IFERROR(__xludf.DUMMYFUNCTION("""COMPUTED_VALUE"""),"2025-09-06T09:28:19.070Z")</f>
        <v>2025-09-06T09:28:19.070Z</v>
      </c>
      <c r="B410" s="2" t="str">
        <f>IFERROR(__xludf.DUMMYFUNCTION("""COMPUTED_VALUE"""),"2025-09-06T12:25:22.168+08")</f>
        <v>2025-09-06T12:25:22.168+08</v>
      </c>
      <c r="C410" s="2" t="str">
        <f>IFERROR(__xludf.DUMMYFUNCTION("""COMPUTED_VALUE"""),"2025-09-06T16:57:54.460+08")</f>
        <v>2025-09-06T16:57:54.460+08</v>
      </c>
      <c r="D410" s="2" t="str">
        <f>IFERROR(__xludf.DUMMYFUNCTION("""COMPUTED_VALUE"""),"H030764031")</f>
        <v>H030764031</v>
      </c>
      <c r="E410" s="2">
        <f>IFERROR(__xludf.DUMMYFUNCTION("""COMPUTED_VALUE"""),896791.0)</f>
        <v>896791</v>
      </c>
      <c r="F410" s="2" t="str">
        <f>IFERROR(__xludf.DUMMYFUNCTION("""COMPUTED_VALUE"""),"Roland A. Bandiola jr_2")</f>
        <v>Roland A. Bandiola jr_2</v>
      </c>
      <c r="G410" s="2"/>
      <c r="H410" s="2"/>
      <c r="I410" s="2" t="str">
        <f>IFERROR(__xludf.DUMMYFUNCTION("""COMPUTED_VALUE"""),"ICM_Business_linked_launch")</f>
        <v>ICM_Business_linked_launch</v>
      </c>
      <c r="J410" s="2" t="str">
        <f>IFERROR(__xludf.DUMMYFUNCTION("""COMPUTED_VALUE"""),"uuid:b3c2b777-84a6-4e6f-b397-45217a6701d3")</f>
        <v>uuid:b3c2b777-84a6-4e6f-b397-45217a6701d3</v>
      </c>
    </row>
    <row r="411">
      <c r="A411" s="2" t="str">
        <f>IFERROR(__xludf.DUMMYFUNCTION("""COMPUTED_VALUE"""),"2025-09-06T09:28:19.776Z")</f>
        <v>2025-09-06T09:28:19.776Z</v>
      </c>
      <c r="B411" s="2" t="str">
        <f>IFERROR(__xludf.DUMMYFUNCTION("""COMPUTED_VALUE"""),"2025-09-06T14:17:13.713+08")</f>
        <v>2025-09-06T14:17:13.713+08</v>
      </c>
      <c r="C411" s="2" t="str">
        <f>IFERROR(__xludf.DUMMYFUNCTION("""COMPUTED_VALUE"""),"2025-09-06T17:11:30.043+08")</f>
        <v>2025-09-06T17:11:30.043+08</v>
      </c>
      <c r="D411" s="2" t="str">
        <f>IFERROR(__xludf.DUMMYFUNCTION("""COMPUTED_VALUE"""),"H030764032")</f>
        <v>H030764032</v>
      </c>
      <c r="E411" s="2">
        <f>IFERROR(__xludf.DUMMYFUNCTION("""COMPUTED_VALUE"""),896791.0)</f>
        <v>896791</v>
      </c>
      <c r="F411" s="2" t="str">
        <f>IFERROR(__xludf.DUMMYFUNCTION("""COMPUTED_VALUE"""),"Roland A. Bandiola jr_2")</f>
        <v>Roland A. Bandiola jr_2</v>
      </c>
      <c r="G411" s="2"/>
      <c r="H411" s="2"/>
      <c r="I411" s="2" t="str">
        <f>IFERROR(__xludf.DUMMYFUNCTION("""COMPUTED_VALUE"""),"ICM_Business_linked_launch")</f>
        <v>ICM_Business_linked_launch</v>
      </c>
      <c r="J411" s="2" t="str">
        <f>IFERROR(__xludf.DUMMYFUNCTION("""COMPUTED_VALUE"""),"uuid:8cf8fb08-cdb5-419d-9200-8bb7f679eeca")</f>
        <v>uuid:8cf8fb08-cdb5-419d-9200-8bb7f679eeca</v>
      </c>
    </row>
    <row r="412">
      <c r="A412" s="2" t="str">
        <f>IFERROR(__xludf.DUMMYFUNCTION("""COMPUTED_VALUE"""),"2025-09-06T10:09:30.819Z")</f>
        <v>2025-09-06T10:09:30.819Z</v>
      </c>
      <c r="B412" s="2" t="str">
        <f>IFERROR(__xludf.DUMMYFUNCTION("""COMPUTED_VALUE"""),"2025-09-06T10:35:30.339+08")</f>
        <v>2025-09-06T10:35:30.339+08</v>
      </c>
      <c r="C412" s="2" t="str">
        <f>IFERROR(__xludf.DUMMYFUNCTION("""COMPUTED_VALUE"""),"2025-09-06T10:42:08.113+08")</f>
        <v>2025-09-06T10:42:08.113+08</v>
      </c>
      <c r="D412" s="2" t="str">
        <f>IFERROR(__xludf.DUMMYFUNCTION("""COMPUTED_VALUE"""),"H019838019")</f>
        <v>H019838019</v>
      </c>
      <c r="E412" s="2">
        <f>IFERROR(__xludf.DUMMYFUNCTION("""COMPUTED_VALUE"""),841329.0)</f>
        <v>841329</v>
      </c>
      <c r="F412" s="2" t="str">
        <f>IFERROR(__xludf.DUMMYFUNCTION("""COMPUTED_VALUE"""),"Aila Eli_2")</f>
        <v>Aila Eli_2</v>
      </c>
      <c r="G412" s="2"/>
      <c r="H412" s="2"/>
      <c r="I412" s="2" t="str">
        <f>IFERROR(__xludf.DUMMYFUNCTION("""COMPUTED_VALUE"""),"ICM_Business_linked_launch")</f>
        <v>ICM_Business_linked_launch</v>
      </c>
      <c r="J412" s="2" t="str">
        <f>IFERROR(__xludf.DUMMYFUNCTION("""COMPUTED_VALUE"""),"uuid:217a0418-a900-4dce-a660-69c626ad6fc7")</f>
        <v>uuid:217a0418-a900-4dce-a660-69c626ad6fc7</v>
      </c>
    </row>
    <row r="413">
      <c r="A413" s="2" t="str">
        <f>IFERROR(__xludf.DUMMYFUNCTION("""COMPUTED_VALUE"""),"2025-09-06T10:09:32.255Z")</f>
        <v>2025-09-06T10:09:32.255Z</v>
      </c>
      <c r="B413" s="2" t="str">
        <f>IFERROR(__xludf.DUMMYFUNCTION("""COMPUTED_VALUE"""),"2025-09-06T14:19:48.790+08")</f>
        <v>2025-09-06T14:19:48.790+08</v>
      </c>
      <c r="C413" s="2" t="str">
        <f>IFERROR(__xludf.DUMMYFUNCTION("""COMPUTED_VALUE"""),"2025-09-06T14:23:27.573+08")</f>
        <v>2025-09-06T14:23:27.573+08</v>
      </c>
      <c r="D413" s="2" t="str">
        <f>IFERROR(__xludf.DUMMYFUNCTION("""COMPUTED_VALUE"""),"H019499009")</f>
        <v>H019499009</v>
      </c>
      <c r="E413" s="2">
        <f>IFERROR(__xludf.DUMMYFUNCTION("""COMPUTED_VALUE"""),841329.0)</f>
        <v>841329</v>
      </c>
      <c r="F413" s="2" t="str">
        <f>IFERROR(__xludf.DUMMYFUNCTION("""COMPUTED_VALUE"""),"Aila Eli_2")</f>
        <v>Aila Eli_2</v>
      </c>
      <c r="G413" s="2"/>
      <c r="H413" s="2"/>
      <c r="I413" s="2" t="str">
        <f>IFERROR(__xludf.DUMMYFUNCTION("""COMPUTED_VALUE"""),"ICM_Business_linked_launch")</f>
        <v>ICM_Business_linked_launch</v>
      </c>
      <c r="J413" s="2" t="str">
        <f>IFERROR(__xludf.DUMMYFUNCTION("""COMPUTED_VALUE"""),"uuid:8a18d721-92b1-43e6-8a6b-2f799751a2d9")</f>
        <v>uuid:8a18d721-92b1-43e6-8a6b-2f799751a2d9</v>
      </c>
    </row>
    <row r="414">
      <c r="A414" s="2" t="str">
        <f>IFERROR(__xludf.DUMMYFUNCTION("""COMPUTED_VALUE"""),"2025-09-06T10:30:01.695Z")</f>
        <v>2025-09-06T10:30:01.695Z</v>
      </c>
      <c r="B414" s="2" t="str">
        <f>IFERROR(__xludf.DUMMYFUNCTION("""COMPUTED_VALUE"""),"2025-09-06T10:21:31.908+08")</f>
        <v>2025-09-06T10:21:31.908+08</v>
      </c>
      <c r="C414" s="2" t="str">
        <f>IFERROR(__xludf.DUMMYFUNCTION("""COMPUTED_VALUE"""),"2025-09-06T10:27:24.654+08")</f>
        <v>2025-09-06T10:27:24.654+08</v>
      </c>
      <c r="D414" s="2" t="str">
        <f>IFERROR(__xludf.DUMMYFUNCTION("""COMPUTED_VALUE"""),"H006525018")</f>
        <v>H006525018</v>
      </c>
      <c r="E414" s="2" t="str">
        <f>IFERROR(__xludf.DUMMYFUNCTION("""COMPUTED_VALUE"""),"N7814260")</f>
        <v>N7814260</v>
      </c>
      <c r="F414" s="2" t="str">
        <f>IFERROR(__xludf.DUMMYFUNCTION("""COMPUTED_VALUE"""),"Jemma Marie Tillo")</f>
        <v>Jemma Marie Tillo</v>
      </c>
      <c r="G414" s="2"/>
      <c r="H414" s="2"/>
      <c r="I414" s="2" t="str">
        <f>IFERROR(__xludf.DUMMYFUNCTION("""COMPUTED_VALUE"""),"ICM_Business_linked_launch")</f>
        <v>ICM_Business_linked_launch</v>
      </c>
      <c r="J414" s="2" t="str">
        <f>IFERROR(__xludf.DUMMYFUNCTION("""COMPUTED_VALUE"""),"uuid:9b1f0001-2938-4605-9ad9-170f569bc8f7")</f>
        <v>uuid:9b1f0001-2938-4605-9ad9-170f569bc8f7</v>
      </c>
    </row>
    <row r="415">
      <c r="A415" s="2" t="str">
        <f>IFERROR(__xludf.DUMMYFUNCTION("""COMPUTED_VALUE"""),"2025-09-06T10:30:25.695Z")</f>
        <v>2025-09-06T10:30:25.695Z</v>
      </c>
      <c r="B415" s="2" t="str">
        <f>IFERROR(__xludf.DUMMYFUNCTION("""COMPUTED_VALUE"""),"2025-09-06T12:52:37.447+08")</f>
        <v>2025-09-06T12:52:37.447+08</v>
      </c>
      <c r="C415" s="2" t="str">
        <f>IFERROR(__xludf.DUMMYFUNCTION("""COMPUTED_VALUE"""),"2025-09-06T18:20:41.299+08")</f>
        <v>2025-09-06T18:20:41.299+08</v>
      </c>
      <c r="D415" s="2" t="str">
        <f>IFERROR(__xludf.DUMMYFUNCTION("""COMPUTED_VALUE"""),"H006525028")</f>
        <v>H006525028</v>
      </c>
      <c r="E415" s="2" t="str">
        <f>IFERROR(__xludf.DUMMYFUNCTION("""COMPUTED_VALUE"""),"N7814260")</f>
        <v>N7814260</v>
      </c>
      <c r="F415" s="2" t="str">
        <f>IFERROR(__xludf.DUMMYFUNCTION("""COMPUTED_VALUE"""),"Jemma Marie Tillo")</f>
        <v>Jemma Marie Tillo</v>
      </c>
      <c r="G415" s="2"/>
      <c r="H415" s="2"/>
      <c r="I415" s="2" t="str">
        <f>IFERROR(__xludf.DUMMYFUNCTION("""COMPUTED_VALUE"""),"ICM_Business_linked_launch")</f>
        <v>ICM_Business_linked_launch</v>
      </c>
      <c r="J415" s="2" t="str">
        <f>IFERROR(__xludf.DUMMYFUNCTION("""COMPUTED_VALUE"""),"uuid:4940d3ca-5aa1-4ab2-b42a-93b082617528")</f>
        <v>uuid:4940d3ca-5aa1-4ab2-b42a-93b082617528</v>
      </c>
    </row>
    <row r="416">
      <c r="A416" s="2" t="str">
        <f>IFERROR(__xludf.DUMMYFUNCTION("""COMPUTED_VALUE"""),"2025-09-06T10:30:26.227Z")</f>
        <v>2025-09-06T10:30:26.227Z</v>
      </c>
      <c r="B416" s="2" t="str">
        <f>IFERROR(__xludf.DUMMYFUNCTION("""COMPUTED_VALUE"""),"2025-09-06T11:14:10.015+08")</f>
        <v>2025-09-06T11:14:10.015+08</v>
      </c>
      <c r="C416" s="2" t="str">
        <f>IFERROR(__xludf.DUMMYFUNCTION("""COMPUTED_VALUE"""),"2025-09-06T18:21:51.448+08")</f>
        <v>2025-09-06T18:21:51.448+08</v>
      </c>
      <c r="D416" s="2" t="str">
        <f>IFERROR(__xludf.DUMMYFUNCTION("""COMPUTED_VALUE"""),"H006525023")</f>
        <v>H006525023</v>
      </c>
      <c r="E416" s="2" t="str">
        <f>IFERROR(__xludf.DUMMYFUNCTION("""COMPUTED_VALUE"""),"N7814260")</f>
        <v>N7814260</v>
      </c>
      <c r="F416" s="2" t="str">
        <f>IFERROR(__xludf.DUMMYFUNCTION("""COMPUTED_VALUE"""),"Jemma Marie Tillo")</f>
        <v>Jemma Marie Tillo</v>
      </c>
      <c r="G416" s="2"/>
      <c r="H416" s="2"/>
      <c r="I416" s="2" t="str">
        <f>IFERROR(__xludf.DUMMYFUNCTION("""COMPUTED_VALUE"""),"ICM_Business_linked_launch")</f>
        <v>ICM_Business_linked_launch</v>
      </c>
      <c r="J416" s="2" t="str">
        <f>IFERROR(__xludf.DUMMYFUNCTION("""COMPUTED_VALUE"""),"uuid:480a3fcd-d0b3-428f-b675-9d3c3a02bcdb")</f>
        <v>uuid:480a3fcd-d0b3-428f-b675-9d3c3a02bcdb</v>
      </c>
    </row>
    <row r="417">
      <c r="A417" s="2" t="str">
        <f>IFERROR(__xludf.DUMMYFUNCTION("""COMPUTED_VALUE"""),"2025-09-06T11:11:05.801Z")</f>
        <v>2025-09-06T11:11:05.801Z</v>
      </c>
      <c r="B417" s="2" t="str">
        <f>IFERROR(__xludf.DUMMYFUNCTION("""COMPUTED_VALUE"""),"2025-09-06T12:03:24.648+08")</f>
        <v>2025-09-06T12:03:24.648+08</v>
      </c>
      <c r="C417" s="2" t="str">
        <f>IFERROR(__xludf.DUMMYFUNCTION("""COMPUTED_VALUE"""),"2025-09-06T12:10:41.100+08")</f>
        <v>2025-09-06T12:10:41.100+08</v>
      </c>
      <c r="D417" s="2" t="str">
        <f>IFERROR(__xludf.DUMMYFUNCTION("""COMPUTED_VALUE"""),"H019838021")</f>
        <v>H019838021</v>
      </c>
      <c r="E417" s="2">
        <f>IFERROR(__xludf.DUMMYFUNCTION("""COMPUTED_VALUE"""),555127.0)</f>
        <v>555127</v>
      </c>
      <c r="F417" s="2" t="str">
        <f>IFERROR(__xludf.DUMMYFUNCTION("""COMPUTED_VALUE"""),"Mary May_2")</f>
        <v>Mary May_2</v>
      </c>
      <c r="G417" s="2"/>
      <c r="H417" s="2"/>
      <c r="I417" s="2" t="str">
        <f>IFERROR(__xludf.DUMMYFUNCTION("""COMPUTED_VALUE"""),"ICM_Business_linked_launch")</f>
        <v>ICM_Business_linked_launch</v>
      </c>
      <c r="J417" s="2" t="str">
        <f>IFERROR(__xludf.DUMMYFUNCTION("""COMPUTED_VALUE"""),"uuid:05a14e1b-1626-4b3b-800b-3106acd4c939")</f>
        <v>uuid:05a14e1b-1626-4b3b-800b-3106acd4c939</v>
      </c>
    </row>
    <row r="418">
      <c r="A418" s="2" t="str">
        <f>IFERROR(__xludf.DUMMYFUNCTION("""COMPUTED_VALUE"""),"2025-09-06T11:13:10.494Z")</f>
        <v>2025-09-06T11:13:10.494Z</v>
      </c>
      <c r="B418" s="2" t="str">
        <f>IFERROR(__xludf.DUMMYFUNCTION("""COMPUTED_VALUE"""),"2025-09-06T10:29:07.133+08")</f>
        <v>2025-09-06T10:29:07.133+08</v>
      </c>
      <c r="C418" s="2" t="str">
        <f>IFERROR(__xludf.DUMMYFUNCTION("""COMPUTED_VALUE"""),"2025-09-06T10:38:04.407+08")</f>
        <v>2025-09-06T10:38:04.407+08</v>
      </c>
      <c r="D418" s="2" t="str">
        <f>IFERROR(__xludf.DUMMYFUNCTION("""COMPUTED_VALUE"""),"H019838018")</f>
        <v>H019838018</v>
      </c>
      <c r="E418" s="2">
        <f>IFERROR(__xludf.DUMMYFUNCTION("""COMPUTED_VALUE"""),455939.0)</f>
        <v>455939</v>
      </c>
      <c r="F418" s="2" t="str">
        <f>IFERROR(__xludf.DUMMYFUNCTION("""COMPUTED_VALUE"""),"Mary Jean Villaflor_2")</f>
        <v>Mary Jean Villaflor_2</v>
      </c>
      <c r="G418" s="2"/>
      <c r="H418" s="2"/>
      <c r="I418" s="2" t="str">
        <f>IFERROR(__xludf.DUMMYFUNCTION("""COMPUTED_VALUE"""),"ICM_Business_linked_launch")</f>
        <v>ICM_Business_linked_launch</v>
      </c>
      <c r="J418" s="2" t="str">
        <f>IFERROR(__xludf.DUMMYFUNCTION("""COMPUTED_VALUE"""),"uuid:e3df8ffe-243c-4def-b623-4fd36e121071")</f>
        <v>uuid:e3df8ffe-243c-4def-b623-4fd36e121071</v>
      </c>
    </row>
    <row r="419">
      <c r="A419" s="2" t="str">
        <f>IFERROR(__xludf.DUMMYFUNCTION("""COMPUTED_VALUE"""),"2025-09-06T11:13:11.862Z")</f>
        <v>2025-09-06T11:13:11.862Z</v>
      </c>
      <c r="B419" s="2" t="str">
        <f>IFERROR(__xludf.DUMMYFUNCTION("""COMPUTED_VALUE"""),"2025-09-06T14:58:14.685+08")</f>
        <v>2025-09-06T14:58:14.685+08</v>
      </c>
      <c r="C419" s="2" t="str">
        <f>IFERROR(__xludf.DUMMYFUNCTION("""COMPUTED_VALUE"""),"2025-09-06T15:07:32.459+08")</f>
        <v>2025-09-06T15:07:32.459+08</v>
      </c>
      <c r="D419" s="2" t="str">
        <f>IFERROR(__xludf.DUMMYFUNCTION("""COMPUTED_VALUE"""),"H019499016")</f>
        <v>H019499016</v>
      </c>
      <c r="E419" s="2">
        <f>IFERROR(__xludf.DUMMYFUNCTION("""COMPUTED_VALUE"""),455939.0)</f>
        <v>455939</v>
      </c>
      <c r="F419" s="2" t="str">
        <f>IFERROR(__xludf.DUMMYFUNCTION("""COMPUTED_VALUE"""),"Mary Jean Villaflor_2")</f>
        <v>Mary Jean Villaflor_2</v>
      </c>
      <c r="G419" s="2"/>
      <c r="H419" s="2"/>
      <c r="I419" s="2" t="str">
        <f>IFERROR(__xludf.DUMMYFUNCTION("""COMPUTED_VALUE"""),"ICM_Business_linked_launch")</f>
        <v>ICM_Business_linked_launch</v>
      </c>
      <c r="J419" s="2" t="str">
        <f>IFERROR(__xludf.DUMMYFUNCTION("""COMPUTED_VALUE"""),"uuid:331cf60a-af6c-4f0d-a2f4-3c7939519794")</f>
        <v>uuid:331cf60a-af6c-4f0d-a2f4-3c7939519794</v>
      </c>
    </row>
    <row r="420">
      <c r="A420" s="2" t="str">
        <f>IFERROR(__xludf.DUMMYFUNCTION("""COMPUTED_VALUE"""),"2025-09-06T11:39:46.909Z")</f>
        <v>2025-09-06T11:39:46.909Z</v>
      </c>
      <c r="B420" s="2" t="str">
        <f>IFERROR(__xludf.DUMMYFUNCTION("""COMPUTED_VALUE"""),"2025-09-06T09:51:36.280+08")</f>
        <v>2025-09-06T09:51:36.280+08</v>
      </c>
      <c r="C420" s="2" t="str">
        <f>IFERROR(__xludf.DUMMYFUNCTION("""COMPUTED_VALUE"""),"2025-09-06T10:14:58.364+08")</f>
        <v>2025-09-06T10:14:58.364+08</v>
      </c>
      <c r="D420" s="2" t="str">
        <f>IFERROR(__xludf.DUMMYFUNCTION("""COMPUTED_VALUE"""),"H006248031")</f>
        <v>H006248031</v>
      </c>
      <c r="E420" s="2" t="str">
        <f>IFERROR(__xludf.DUMMYFUNCTION("""COMPUTED_VALUE"""),"L2057896")</f>
        <v>L2057896</v>
      </c>
      <c r="F420" s="2" t="str">
        <f>IFERROR(__xludf.DUMMYFUNCTION("""COMPUTED_VALUE"""),"Franz Reoben Posadas Geneblaza")</f>
        <v>Franz Reoben Posadas Geneblaza</v>
      </c>
      <c r="G420" s="2"/>
      <c r="H420" s="2"/>
      <c r="I420" s="2" t="str">
        <f>IFERROR(__xludf.DUMMYFUNCTION("""COMPUTED_VALUE"""),"ICM_Business_linked_launch")</f>
        <v>ICM_Business_linked_launch</v>
      </c>
      <c r="J420" s="2" t="str">
        <f>IFERROR(__xludf.DUMMYFUNCTION("""COMPUTED_VALUE"""),"uuid:70f182b0-ecd2-49a7-aa3c-1f32c3949872")</f>
        <v>uuid:70f182b0-ecd2-49a7-aa3c-1f32c3949872</v>
      </c>
    </row>
    <row r="421">
      <c r="A421" s="2" t="str">
        <f>IFERROR(__xludf.DUMMYFUNCTION("""COMPUTED_VALUE"""),"2025-09-06T11:39:48.837Z")</f>
        <v>2025-09-06T11:39:48.837Z</v>
      </c>
      <c r="B421" s="2" t="str">
        <f>IFERROR(__xludf.DUMMYFUNCTION("""COMPUTED_VALUE"""),"2025-09-06T11:02:16.634+08")</f>
        <v>2025-09-06T11:02:16.634+08</v>
      </c>
      <c r="C421" s="2" t="str">
        <f>IFERROR(__xludf.DUMMYFUNCTION("""COMPUTED_VALUE"""),"2025-09-06T11:19:27.802+08")</f>
        <v>2025-09-06T11:19:27.802+08</v>
      </c>
      <c r="D421" s="2" t="str">
        <f>IFERROR(__xludf.DUMMYFUNCTION("""COMPUTED_VALUE"""),"H006248020")</f>
        <v>H006248020</v>
      </c>
      <c r="E421" s="2" t="str">
        <f>IFERROR(__xludf.DUMMYFUNCTION("""COMPUTED_VALUE"""),"L2057896")</f>
        <v>L2057896</v>
      </c>
      <c r="F421" s="2" t="str">
        <f>IFERROR(__xludf.DUMMYFUNCTION("""COMPUTED_VALUE"""),"Franz Reoben Posadas Geneblaza")</f>
        <v>Franz Reoben Posadas Geneblaza</v>
      </c>
      <c r="G421" s="2"/>
      <c r="H421" s="2"/>
      <c r="I421" s="2" t="str">
        <f>IFERROR(__xludf.DUMMYFUNCTION("""COMPUTED_VALUE"""),"ICM_Business_linked_launch")</f>
        <v>ICM_Business_linked_launch</v>
      </c>
      <c r="J421" s="2" t="str">
        <f>IFERROR(__xludf.DUMMYFUNCTION("""COMPUTED_VALUE"""),"uuid:42c5a3ca-6edf-43ad-a3fc-6310dfcbfc1f")</f>
        <v>uuid:42c5a3ca-6edf-43ad-a3fc-6310dfcbfc1f</v>
      </c>
    </row>
    <row r="422">
      <c r="A422" s="2" t="str">
        <f>IFERROR(__xludf.DUMMYFUNCTION("""COMPUTED_VALUE"""),"2025-09-06T11:39:49.879Z")</f>
        <v>2025-09-06T11:39:49.879Z</v>
      </c>
      <c r="B422" s="2" t="str">
        <f>IFERROR(__xludf.DUMMYFUNCTION("""COMPUTED_VALUE"""),"2025-09-06T14:10:07.349+08")</f>
        <v>2025-09-06T14:10:07.349+08</v>
      </c>
      <c r="C422" s="2" t="str">
        <f>IFERROR(__xludf.DUMMYFUNCTION("""COMPUTED_VALUE"""),"2025-09-06T14:23:48.266+08")</f>
        <v>2025-09-06T14:23:48.266+08</v>
      </c>
      <c r="D422" s="2" t="str">
        <f>IFERROR(__xludf.DUMMYFUNCTION("""COMPUTED_VALUE"""),"H006248017")</f>
        <v>H006248017</v>
      </c>
      <c r="E422" s="2" t="str">
        <f>IFERROR(__xludf.DUMMYFUNCTION("""COMPUTED_VALUE"""),"L2057896")</f>
        <v>L2057896</v>
      </c>
      <c r="F422" s="2" t="str">
        <f>IFERROR(__xludf.DUMMYFUNCTION("""COMPUTED_VALUE"""),"Franz Reoben Posadas Geneblaza")</f>
        <v>Franz Reoben Posadas Geneblaza</v>
      </c>
      <c r="G422" s="2"/>
      <c r="H422" s="2"/>
      <c r="I422" s="2" t="str">
        <f>IFERROR(__xludf.DUMMYFUNCTION("""COMPUTED_VALUE"""),"ICM_Business_linked_launch")</f>
        <v>ICM_Business_linked_launch</v>
      </c>
      <c r="J422" s="2" t="str">
        <f>IFERROR(__xludf.DUMMYFUNCTION("""COMPUTED_VALUE"""),"uuid:ca60bf82-1c46-409f-a884-7509b088288e")</f>
        <v>uuid:ca60bf82-1c46-409f-a884-7509b088288e</v>
      </c>
    </row>
    <row r="423">
      <c r="A423" s="2" t="str">
        <f>IFERROR(__xludf.DUMMYFUNCTION("""COMPUTED_VALUE"""),"2025-09-06T11:41:56.541Z")</f>
        <v>2025-09-06T11:41:56.541Z</v>
      </c>
      <c r="B423" s="2" t="str">
        <f>IFERROR(__xludf.DUMMYFUNCTION("""COMPUTED_VALUE"""),"2025-09-06T11:09:52.855+08")</f>
        <v>2025-09-06T11:09:52.855+08</v>
      </c>
      <c r="C423" s="2" t="str">
        <f>IFERROR(__xludf.DUMMYFUNCTION("""COMPUTED_VALUE"""),"2025-09-06T11:18:12.408+08")</f>
        <v>2025-09-06T11:18:12.408+08</v>
      </c>
      <c r="D423" s="2" t="str">
        <f>IFERROR(__xludf.DUMMYFUNCTION("""COMPUTED_VALUE"""),"H006248029")</f>
        <v>H006248029</v>
      </c>
      <c r="E423" s="2" t="str">
        <f>IFERROR(__xludf.DUMMYFUNCTION("""COMPUTED_VALUE"""),"J4315980")</f>
        <v>J4315980</v>
      </c>
      <c r="F423" s="2" t="str">
        <f>IFERROR(__xludf.DUMMYFUNCTION("""COMPUTED_VALUE"""),"Trixie Marie Jardeleza Saber")</f>
        <v>Trixie Marie Jardeleza Saber</v>
      </c>
      <c r="G423" s="2"/>
      <c r="H423" s="2"/>
      <c r="I423" s="2" t="str">
        <f>IFERROR(__xludf.DUMMYFUNCTION("""COMPUTED_VALUE"""),"ICM_Business_linked_launch")</f>
        <v>ICM_Business_linked_launch</v>
      </c>
      <c r="J423" s="2" t="str">
        <f>IFERROR(__xludf.DUMMYFUNCTION("""COMPUTED_VALUE"""),"uuid:591a4d02-7c29-4a57-9ff4-7cc9e41d2880")</f>
        <v>uuid:591a4d02-7c29-4a57-9ff4-7cc9e41d2880</v>
      </c>
    </row>
    <row r="424">
      <c r="A424" s="2" t="str">
        <f>IFERROR(__xludf.DUMMYFUNCTION("""COMPUTED_VALUE"""),"2025-09-06T11:41:59.511Z")</f>
        <v>2025-09-06T11:41:59.511Z</v>
      </c>
      <c r="B424" s="2" t="str">
        <f>IFERROR(__xludf.DUMMYFUNCTION("""COMPUTED_VALUE"""),"2025-09-06T13:20:15.980+08")</f>
        <v>2025-09-06T13:20:15.980+08</v>
      </c>
      <c r="C424" s="2" t="str">
        <f>IFERROR(__xludf.DUMMYFUNCTION("""COMPUTED_VALUE"""),"2025-09-06T13:29:16.997+08")</f>
        <v>2025-09-06T13:29:16.997+08</v>
      </c>
      <c r="D424" s="2" t="str">
        <f>IFERROR(__xludf.DUMMYFUNCTION("""COMPUTED_VALUE"""),"H006248026")</f>
        <v>H006248026</v>
      </c>
      <c r="E424" s="2" t="str">
        <f>IFERROR(__xludf.DUMMYFUNCTION("""COMPUTED_VALUE"""),"J4315980")</f>
        <v>J4315980</v>
      </c>
      <c r="F424" s="2" t="str">
        <f>IFERROR(__xludf.DUMMYFUNCTION("""COMPUTED_VALUE"""),"Trixie Marie Jardeleza Saber")</f>
        <v>Trixie Marie Jardeleza Saber</v>
      </c>
      <c r="G424" s="2"/>
      <c r="H424" s="2"/>
      <c r="I424" s="2" t="str">
        <f>IFERROR(__xludf.DUMMYFUNCTION("""COMPUTED_VALUE"""),"ICM_Business_linked_launch")</f>
        <v>ICM_Business_linked_launch</v>
      </c>
      <c r="J424" s="2" t="str">
        <f>IFERROR(__xludf.DUMMYFUNCTION("""COMPUTED_VALUE"""),"uuid:b3dd0f62-af41-40f3-999d-818898dcdf9a")</f>
        <v>uuid:b3dd0f62-af41-40f3-999d-818898dcdf9a</v>
      </c>
    </row>
    <row r="425">
      <c r="A425" s="2" t="str">
        <f>IFERROR(__xludf.DUMMYFUNCTION("""COMPUTED_VALUE"""),"2025-09-06T11:43:46.528Z")</f>
        <v>2025-09-06T11:43:46.528Z</v>
      </c>
      <c r="B425" s="2" t="str">
        <f>IFERROR(__xludf.DUMMYFUNCTION("""COMPUTED_VALUE"""),"2025-09-06T12:08:59.610+08")</f>
        <v>2025-09-06T12:08:59.610+08</v>
      </c>
      <c r="C425" s="2" t="str">
        <f>IFERROR(__xludf.DUMMYFUNCTION("""COMPUTED_VALUE"""),"2025-09-06T12:13:51.122+08")</f>
        <v>2025-09-06T12:13:51.122+08</v>
      </c>
      <c r="D425" s="2" t="str">
        <f>IFERROR(__xludf.DUMMYFUNCTION("""COMPUTED_VALUE"""),"H030160031")</f>
        <v>H030160031</v>
      </c>
      <c r="E425" s="2" t="str">
        <f>IFERROR(__xludf.DUMMYFUNCTION("""COMPUTED_VALUE"""),"H2846135")</f>
        <v>H2846135</v>
      </c>
      <c r="F425" s="2" t="str">
        <f>IFERROR(__xludf.DUMMYFUNCTION("""COMPUTED_VALUE"""),"Annalou Empanado Encontro")</f>
        <v>Annalou Empanado Encontro</v>
      </c>
      <c r="G425" s="2"/>
      <c r="H425" s="2"/>
      <c r="I425" s="2" t="str">
        <f>IFERROR(__xludf.DUMMYFUNCTION("""COMPUTED_VALUE"""),"ICM_Business_linked_launch")</f>
        <v>ICM_Business_linked_launch</v>
      </c>
      <c r="J425" s="2" t="str">
        <f>IFERROR(__xludf.DUMMYFUNCTION("""COMPUTED_VALUE"""),"uuid:ce56313d-8cfb-489c-87c5-450d3934335e")</f>
        <v>uuid:ce56313d-8cfb-489c-87c5-450d3934335e</v>
      </c>
    </row>
    <row r="426">
      <c r="A426" s="2" t="str">
        <f>IFERROR(__xludf.DUMMYFUNCTION("""COMPUTED_VALUE"""),"2025-09-06T11:43:49.478Z")</f>
        <v>2025-09-06T11:43:49.478Z</v>
      </c>
      <c r="B426" s="2" t="str">
        <f>IFERROR(__xludf.DUMMYFUNCTION("""COMPUTED_VALUE"""),"2025-09-06T10:17:21.907+08")</f>
        <v>2025-09-06T10:17:21.907+08</v>
      </c>
      <c r="C426" s="2" t="str">
        <f>IFERROR(__xludf.DUMMYFUNCTION("""COMPUTED_VALUE"""),"2025-09-06T10:25:17.466+08")</f>
        <v>2025-09-06T10:25:17.466+08</v>
      </c>
      <c r="D426" s="2" t="str">
        <f>IFERROR(__xludf.DUMMYFUNCTION("""COMPUTED_VALUE"""),"H030160024")</f>
        <v>H030160024</v>
      </c>
      <c r="E426" s="2" t="str">
        <f>IFERROR(__xludf.DUMMYFUNCTION("""COMPUTED_VALUE"""),"H2846135")</f>
        <v>H2846135</v>
      </c>
      <c r="F426" s="2" t="str">
        <f>IFERROR(__xludf.DUMMYFUNCTION("""COMPUTED_VALUE"""),"Annalou Empanado Encontro")</f>
        <v>Annalou Empanado Encontro</v>
      </c>
      <c r="G426" s="2"/>
      <c r="H426" s="2"/>
      <c r="I426" s="2" t="str">
        <f>IFERROR(__xludf.DUMMYFUNCTION("""COMPUTED_VALUE"""),"ICM_Business_linked_launch")</f>
        <v>ICM_Business_linked_launch</v>
      </c>
      <c r="J426" s="2" t="str">
        <f>IFERROR(__xludf.DUMMYFUNCTION("""COMPUTED_VALUE"""),"uuid:b54849f1-1b25-4ae9-ac86-185d82ed2e7c")</f>
        <v>uuid:b54849f1-1b25-4ae9-ac86-185d82ed2e7c</v>
      </c>
    </row>
    <row r="427">
      <c r="A427" s="2" t="str">
        <f>IFERROR(__xludf.DUMMYFUNCTION("""COMPUTED_VALUE"""),"2025-09-06T11:43:51.368Z")</f>
        <v>2025-09-06T11:43:51.368Z</v>
      </c>
      <c r="B427" s="2" t="str">
        <f>IFERROR(__xludf.DUMMYFUNCTION("""COMPUTED_VALUE"""),"2025-09-06T13:27:57.903+08")</f>
        <v>2025-09-06T13:27:57.903+08</v>
      </c>
      <c r="C427" s="2" t="str">
        <f>IFERROR(__xludf.DUMMYFUNCTION("""COMPUTED_VALUE"""),"2025-09-06T13:38:47.390+08")</f>
        <v>2025-09-06T13:38:47.390+08</v>
      </c>
      <c r="D427" s="2" t="str">
        <f>IFERROR(__xludf.DUMMYFUNCTION("""COMPUTED_VALUE"""),"H030160027")</f>
        <v>H030160027</v>
      </c>
      <c r="E427" s="2" t="str">
        <f>IFERROR(__xludf.DUMMYFUNCTION("""COMPUTED_VALUE"""),"H2846135")</f>
        <v>H2846135</v>
      </c>
      <c r="F427" s="2" t="str">
        <f>IFERROR(__xludf.DUMMYFUNCTION("""COMPUTED_VALUE"""),"Annalou Empanado Encontro")</f>
        <v>Annalou Empanado Encontro</v>
      </c>
      <c r="G427" s="2"/>
      <c r="H427" s="2"/>
      <c r="I427" s="2" t="str">
        <f>IFERROR(__xludf.DUMMYFUNCTION("""COMPUTED_VALUE"""),"ICM_Business_linked_launch")</f>
        <v>ICM_Business_linked_launch</v>
      </c>
      <c r="J427" s="2" t="str">
        <f>IFERROR(__xludf.DUMMYFUNCTION("""COMPUTED_VALUE"""),"uuid:462d369c-6d5b-4440-89f4-30fa53ab82b4")</f>
        <v>uuid:462d369c-6d5b-4440-89f4-30fa53ab82b4</v>
      </c>
    </row>
    <row r="428">
      <c r="A428" s="2" t="str">
        <f>IFERROR(__xludf.DUMMYFUNCTION("""COMPUTED_VALUE"""),"2025-09-06T11:46:44.977Z")</f>
        <v>2025-09-06T11:46:44.977Z</v>
      </c>
      <c r="B428" s="2" t="str">
        <f>IFERROR(__xludf.DUMMYFUNCTION("""COMPUTED_VALUE"""),"2025-09-06T18:29:22.583+08")</f>
        <v>2025-09-06T18:29:22.583+08</v>
      </c>
      <c r="C428" s="2" t="str">
        <f>IFERROR(__xludf.DUMMYFUNCTION("""COMPUTED_VALUE"""),"2025-09-06T18:33:56.063+08")</f>
        <v>2025-09-06T18:33:56.063+08</v>
      </c>
      <c r="D428" s="2" t="str">
        <f>IFERROR(__xludf.DUMMYFUNCTION("""COMPUTED_VALUE"""),"H030647018")</f>
        <v>H030647018</v>
      </c>
      <c r="E428" s="2" t="str">
        <f>IFERROR(__xludf.DUMMYFUNCTION("""COMPUTED_VALUE"""),"F3051749")</f>
        <v>F3051749</v>
      </c>
      <c r="F428" s="2" t="str">
        <f>IFERROR(__xludf.DUMMYFUNCTION("""COMPUTED_VALUE"""),"Elenita Gicos De La Pe�a")</f>
        <v>Elenita Gicos De La Pe�a</v>
      </c>
      <c r="G428" s="2"/>
      <c r="H428" s="2"/>
      <c r="I428" s="2" t="str">
        <f>IFERROR(__xludf.DUMMYFUNCTION("""COMPUTED_VALUE"""),"ICM_Business_linked_launch")</f>
        <v>ICM_Business_linked_launch</v>
      </c>
      <c r="J428" s="2" t="str">
        <f>IFERROR(__xludf.DUMMYFUNCTION("""COMPUTED_VALUE"""),"uuid:dd4f8f5d-3b38-4ff2-a506-7c813dead164")</f>
        <v>uuid:dd4f8f5d-3b38-4ff2-a506-7c813dead164</v>
      </c>
    </row>
    <row r="429">
      <c r="A429" s="2" t="str">
        <f>IFERROR(__xludf.DUMMYFUNCTION("""COMPUTED_VALUE"""),"2025-09-06T11:54:58.628Z")</f>
        <v>2025-09-06T11:54:58.628Z</v>
      </c>
      <c r="B429" s="2" t="str">
        <f>IFERROR(__xludf.DUMMYFUNCTION("""COMPUTED_VALUE"""),"2025-09-06T11:51:35.851+08")</f>
        <v>2025-09-06T11:51:35.851+08</v>
      </c>
      <c r="C429" s="2" t="str">
        <f>IFERROR(__xludf.DUMMYFUNCTION("""COMPUTED_VALUE"""),"2025-09-06T17:36:11.710+08")</f>
        <v>2025-09-06T17:36:11.710+08</v>
      </c>
      <c r="D429" s="2" t="str">
        <f>IFERROR(__xludf.DUMMYFUNCTION("""COMPUTED_VALUE"""),"H030764017")</f>
        <v>H030764017</v>
      </c>
      <c r="E429" s="2" t="str">
        <f>IFERROR(__xludf.DUMMYFUNCTION("""COMPUTED_VALUE"""),"C7502931")</f>
        <v>C7502931</v>
      </c>
      <c r="F429" s="2" t="str">
        <f>IFERROR(__xludf.DUMMYFUNCTION("""COMPUTED_VALUE"""),"Jenny Lou Toles Estacio")</f>
        <v>Jenny Lou Toles Estacio</v>
      </c>
      <c r="G429" s="2"/>
      <c r="H429" s="2"/>
      <c r="I429" s="2" t="str">
        <f>IFERROR(__xludf.DUMMYFUNCTION("""COMPUTED_VALUE"""),"ICM_Business_linked_launch")</f>
        <v>ICM_Business_linked_launch</v>
      </c>
      <c r="J429" s="2" t="str">
        <f>IFERROR(__xludf.DUMMYFUNCTION("""COMPUTED_VALUE"""),"uuid:6fd775ee-7e0c-4200-a237-c3bd3c7854f3")</f>
        <v>uuid:6fd775ee-7e0c-4200-a237-c3bd3c7854f3</v>
      </c>
    </row>
    <row r="430">
      <c r="A430" s="2" t="str">
        <f>IFERROR(__xludf.DUMMYFUNCTION("""COMPUTED_VALUE"""),"2025-09-06T11:54:59.443Z")</f>
        <v>2025-09-06T11:54:59.443Z</v>
      </c>
      <c r="B430" s="2" t="str">
        <f>IFERROR(__xludf.DUMMYFUNCTION("""COMPUTED_VALUE"""),"2025-09-06T09:48:27.941+08")</f>
        <v>2025-09-06T09:48:27.941+08</v>
      </c>
      <c r="C430" s="2" t="str">
        <f>IFERROR(__xludf.DUMMYFUNCTION("""COMPUTED_VALUE"""),"2025-09-06T19:54:36.217+08")</f>
        <v>2025-09-06T19:54:36.217+08</v>
      </c>
      <c r="D430" s="2" t="str">
        <f>IFERROR(__xludf.DUMMYFUNCTION("""COMPUTED_VALUE"""),"H030764021")</f>
        <v>H030764021</v>
      </c>
      <c r="E430" s="2" t="str">
        <f>IFERROR(__xludf.DUMMYFUNCTION("""COMPUTED_VALUE"""),"C7502931")</f>
        <v>C7502931</v>
      </c>
      <c r="F430" s="2" t="str">
        <f>IFERROR(__xludf.DUMMYFUNCTION("""COMPUTED_VALUE"""),"Jenny Lou Toles Estacio")</f>
        <v>Jenny Lou Toles Estacio</v>
      </c>
      <c r="G430" s="2"/>
      <c r="H430" s="2"/>
      <c r="I430" s="2" t="str">
        <f>IFERROR(__xludf.DUMMYFUNCTION("""COMPUTED_VALUE"""),"ICM_Business_linked_launch")</f>
        <v>ICM_Business_linked_launch</v>
      </c>
      <c r="J430" s="2" t="str">
        <f>IFERROR(__xludf.DUMMYFUNCTION("""COMPUTED_VALUE"""),"uuid:cf3621a1-7cda-4cc0-b1d3-28c91236dde4")</f>
        <v>uuid:cf3621a1-7cda-4cc0-b1d3-28c91236dde4</v>
      </c>
    </row>
    <row r="431">
      <c r="A431" s="2" t="str">
        <f>IFERROR(__xludf.DUMMYFUNCTION("""COMPUTED_VALUE"""),"2025-09-06T11:55:00.912Z")</f>
        <v>2025-09-06T11:55:00.912Z</v>
      </c>
      <c r="B431" s="2" t="str">
        <f>IFERROR(__xludf.DUMMYFUNCTION("""COMPUTED_VALUE"""),"2025-09-06T12:55:10.155+08")</f>
        <v>2025-09-06T12:55:10.155+08</v>
      </c>
      <c r="C431" s="2" t="str">
        <f>IFERROR(__xludf.DUMMYFUNCTION("""COMPUTED_VALUE"""),"2025-09-06T16:57:38.845+08")</f>
        <v>2025-09-06T16:57:38.845+08</v>
      </c>
      <c r="D431" s="2" t="str">
        <f>IFERROR(__xludf.DUMMYFUNCTION("""COMPUTED_VALUE"""),"H030764035")</f>
        <v>H030764035</v>
      </c>
      <c r="E431" s="2" t="str">
        <f>IFERROR(__xludf.DUMMYFUNCTION("""COMPUTED_VALUE"""),"C7502931")</f>
        <v>C7502931</v>
      </c>
      <c r="F431" s="2" t="str">
        <f>IFERROR(__xludf.DUMMYFUNCTION("""COMPUTED_VALUE"""),"Jenny Lou Toles Estacio")</f>
        <v>Jenny Lou Toles Estacio</v>
      </c>
      <c r="G431" s="2"/>
      <c r="H431" s="2"/>
      <c r="I431" s="2" t="str">
        <f>IFERROR(__xludf.DUMMYFUNCTION("""COMPUTED_VALUE"""),"ICM_Business_linked_launch")</f>
        <v>ICM_Business_linked_launch</v>
      </c>
      <c r="J431" s="2" t="str">
        <f>IFERROR(__xludf.DUMMYFUNCTION("""COMPUTED_VALUE"""),"uuid:5e166e03-14bf-492c-b9e6-302665608773")</f>
        <v>uuid:5e166e03-14bf-492c-b9e6-302665608773</v>
      </c>
    </row>
    <row r="432">
      <c r="A432" s="2" t="str">
        <f>IFERROR(__xludf.DUMMYFUNCTION("""COMPUTED_VALUE"""),"2025-09-06T12:03:39.119Z")</f>
        <v>2025-09-06T12:03:39.119Z</v>
      </c>
      <c r="B432" s="2" t="str">
        <f>IFERROR(__xludf.DUMMYFUNCTION("""COMPUTED_VALUE"""),"2025-09-06T09:54:32.278+08")</f>
        <v>2025-09-06T09:54:32.278+08</v>
      </c>
      <c r="C432" s="2" t="str">
        <f>IFERROR(__xludf.DUMMYFUNCTION("""COMPUTED_VALUE"""),"2025-09-06T10:06:23.247+08")</f>
        <v>2025-09-06T10:06:23.247+08</v>
      </c>
      <c r="D432" s="2" t="str">
        <f>IFERROR(__xludf.DUMMYFUNCTION("""COMPUTED_VALUE"""),"H006248030")</f>
        <v>H006248030</v>
      </c>
      <c r="E432" s="2" t="str">
        <f>IFERROR(__xludf.DUMMYFUNCTION("""COMPUTED_VALUE"""),"M6491032")</f>
        <v>M6491032</v>
      </c>
      <c r="F432" s="2" t="str">
        <f>IFERROR(__xludf.DUMMYFUNCTION("""COMPUTED_VALUE"""),"Rosevil Tayo Desamparado")</f>
        <v>Rosevil Tayo Desamparado</v>
      </c>
      <c r="G432" s="2"/>
      <c r="H432" s="2"/>
      <c r="I432" s="2" t="str">
        <f>IFERROR(__xludf.DUMMYFUNCTION("""COMPUTED_VALUE"""),"ICM_Business_linked_launch")</f>
        <v>ICM_Business_linked_launch</v>
      </c>
      <c r="J432" s="2" t="str">
        <f>IFERROR(__xludf.DUMMYFUNCTION("""COMPUTED_VALUE"""),"uuid:e9b485cf-3dc3-4e81-8b5f-3d988b865677")</f>
        <v>uuid:e9b485cf-3dc3-4e81-8b5f-3d988b865677</v>
      </c>
    </row>
    <row r="433">
      <c r="A433" s="2" t="str">
        <f>IFERROR(__xludf.DUMMYFUNCTION("""COMPUTED_VALUE"""),"2025-09-06T12:03:39.604Z")</f>
        <v>2025-09-06T12:03:39.604Z</v>
      </c>
      <c r="B433" s="2" t="str">
        <f>IFERROR(__xludf.DUMMYFUNCTION("""COMPUTED_VALUE"""),"2025-09-06T11:12:18.923+08")</f>
        <v>2025-09-06T11:12:18.923+08</v>
      </c>
      <c r="C433" s="2" t="str">
        <f>IFERROR(__xludf.DUMMYFUNCTION("""COMPUTED_VALUE"""),"2025-09-06T11:48:04.267+08")</f>
        <v>2025-09-06T11:48:04.267+08</v>
      </c>
      <c r="D433" s="2" t="str">
        <f>IFERROR(__xludf.DUMMYFUNCTION("""COMPUTED_VALUE"""),"H006248007")</f>
        <v>H006248007</v>
      </c>
      <c r="E433" s="2" t="str">
        <f>IFERROR(__xludf.DUMMYFUNCTION("""COMPUTED_VALUE"""),"M6491032")</f>
        <v>M6491032</v>
      </c>
      <c r="F433" s="2" t="str">
        <f>IFERROR(__xludf.DUMMYFUNCTION("""COMPUTED_VALUE"""),"Rosevil Tayo Desamparado")</f>
        <v>Rosevil Tayo Desamparado</v>
      </c>
      <c r="G433" s="2"/>
      <c r="H433" s="2"/>
      <c r="I433" s="2" t="str">
        <f>IFERROR(__xludf.DUMMYFUNCTION("""COMPUTED_VALUE"""),"ICM_Business_linked_launch")</f>
        <v>ICM_Business_linked_launch</v>
      </c>
      <c r="J433" s="2" t="str">
        <f>IFERROR(__xludf.DUMMYFUNCTION("""COMPUTED_VALUE"""),"uuid:4be95a6f-89ac-4704-9f3b-0cf4e8e28131")</f>
        <v>uuid:4be95a6f-89ac-4704-9f3b-0cf4e8e28131</v>
      </c>
    </row>
    <row r="434">
      <c r="A434" s="2" t="str">
        <f>IFERROR(__xludf.DUMMYFUNCTION("""COMPUTED_VALUE"""),"2025-09-06T15:51:09.136Z")</f>
        <v>2025-09-06T15:51:09.136Z</v>
      </c>
      <c r="B434" s="2" t="str">
        <f>IFERROR(__xludf.DUMMYFUNCTION("""COMPUTED_VALUE"""),"2025-09-06T11:10:16.248+08")</f>
        <v>2025-09-06T11:10:16.248+08</v>
      </c>
      <c r="C434" s="2" t="str">
        <f>IFERROR(__xludf.DUMMYFUNCTION("""COMPUTED_VALUE"""),"2025-09-06T23:41:30.634+08")</f>
        <v>2025-09-06T23:41:30.634+08</v>
      </c>
      <c r="D434" s="2" t="str">
        <f>IFERROR(__xludf.DUMMYFUNCTION("""COMPUTED_VALUE"""),"H006248019")</f>
        <v>H006248019</v>
      </c>
      <c r="E434" s="2" t="str">
        <f>IFERROR(__xludf.DUMMYFUNCTION("""COMPUTED_VALUE"""),"K8623174")</f>
        <v>K8623174</v>
      </c>
      <c r="F434" s="2" t="str">
        <f>IFERROR(__xludf.DUMMYFUNCTION("""COMPUTED_VALUE"""),"Marielle Kaye Ignacio Alonzo")</f>
        <v>Marielle Kaye Ignacio Alonzo</v>
      </c>
      <c r="G434" s="2"/>
      <c r="H434" s="2"/>
      <c r="I434" s="2" t="str">
        <f>IFERROR(__xludf.DUMMYFUNCTION("""COMPUTED_VALUE"""),"ICM_Business_linked_launch")</f>
        <v>ICM_Business_linked_launch</v>
      </c>
      <c r="J434" s="2" t="str">
        <f>IFERROR(__xludf.DUMMYFUNCTION("""COMPUTED_VALUE"""),"uuid:fc1ff09b-9705-4f4e-9cfa-7b029b7340ca")</f>
        <v>uuid:fc1ff09b-9705-4f4e-9cfa-7b029b7340ca</v>
      </c>
    </row>
    <row r="435">
      <c r="A435" s="2" t="str">
        <f>IFERROR(__xludf.DUMMYFUNCTION("""COMPUTED_VALUE"""),"2025-09-06T15:51:09.667Z")</f>
        <v>2025-09-06T15:51:09.667Z</v>
      </c>
      <c r="B435" s="2" t="str">
        <f>IFERROR(__xludf.DUMMYFUNCTION("""COMPUTED_VALUE"""),"2025-09-06T09:54:43.018+08")</f>
        <v>2025-09-06T09:54:43.018+08</v>
      </c>
      <c r="C435" s="2" t="str">
        <f>IFERROR(__xludf.DUMMYFUNCTION("""COMPUTED_VALUE"""),"2025-09-06T13:56:29.632+08")</f>
        <v>2025-09-06T13:56:29.632+08</v>
      </c>
      <c r="D435" s="2" t="str">
        <f>IFERROR(__xludf.DUMMYFUNCTION("""COMPUTED_VALUE"""),"H006248028")</f>
        <v>H006248028</v>
      </c>
      <c r="E435" s="2" t="str">
        <f>IFERROR(__xludf.DUMMYFUNCTION("""COMPUTED_VALUE"""),"K8623174")</f>
        <v>K8623174</v>
      </c>
      <c r="F435" s="2" t="str">
        <f>IFERROR(__xludf.DUMMYFUNCTION("""COMPUTED_VALUE"""),"Marielle Kaye Ignacio Alonzo")</f>
        <v>Marielle Kaye Ignacio Alonzo</v>
      </c>
      <c r="G435" s="2"/>
      <c r="H435" s="2"/>
      <c r="I435" s="2" t="str">
        <f>IFERROR(__xludf.DUMMYFUNCTION("""COMPUTED_VALUE"""),"ICM_Business_linked_launch")</f>
        <v>ICM_Business_linked_launch</v>
      </c>
      <c r="J435" s="2" t="str">
        <f>IFERROR(__xludf.DUMMYFUNCTION("""COMPUTED_VALUE"""),"uuid:46a9fe7d-16a4-4228-91cb-8012291dc4ef")</f>
        <v>uuid:46a9fe7d-16a4-4228-91cb-8012291dc4ef</v>
      </c>
    </row>
    <row r="436">
      <c r="A436" s="2" t="str">
        <f>IFERROR(__xludf.DUMMYFUNCTION("""COMPUTED_VALUE"""),"2025-09-07T11:13:39.075Z")</f>
        <v>2025-09-07T11:13:39.075Z</v>
      </c>
      <c r="B436" s="2" t="str">
        <f>IFERROR(__xludf.DUMMYFUNCTION("""COMPUTED_VALUE"""),"2025-09-07T16:02:57.198+08")</f>
        <v>2025-09-07T16:02:57.198+08</v>
      </c>
      <c r="C436" s="2" t="str">
        <f>IFERROR(__xludf.DUMMYFUNCTION("""COMPUTED_VALUE"""),"2025-09-07T16:08:48.627+08")</f>
        <v>2025-09-07T16:08:48.627+08</v>
      </c>
      <c r="D436" s="2" t="str">
        <f>IFERROR(__xludf.DUMMYFUNCTION("""COMPUTED_VALUE"""),"H030160019")</f>
        <v>H030160019</v>
      </c>
      <c r="E436" s="2" t="str">
        <f>IFERROR(__xludf.DUMMYFUNCTION("""COMPUTED_VALUE"""),"H2846135")</f>
        <v>H2846135</v>
      </c>
      <c r="F436" s="2" t="str">
        <f>IFERROR(__xludf.DUMMYFUNCTION("""COMPUTED_VALUE"""),"Annalou Empanado Encontro")</f>
        <v>Annalou Empanado Encontro</v>
      </c>
      <c r="G436" s="2"/>
      <c r="H436" s="2"/>
      <c r="I436" s="2" t="str">
        <f>IFERROR(__xludf.DUMMYFUNCTION("""COMPUTED_VALUE"""),"ICM_Business_linked_launch")</f>
        <v>ICM_Business_linked_launch</v>
      </c>
      <c r="J436" s="2" t="str">
        <f>IFERROR(__xludf.DUMMYFUNCTION("""COMPUTED_VALUE"""),"uuid:85dd4f28-7670-4049-b35a-b70f0ea3f8c1")</f>
        <v>uuid:85dd4f28-7670-4049-b35a-b70f0ea3f8c1</v>
      </c>
    </row>
    <row r="437">
      <c r="A437" s="2" t="str">
        <f>IFERROR(__xludf.DUMMYFUNCTION("""COMPUTED_VALUE"""),"2025-09-07T11:14:33.976Z")</f>
        <v>2025-09-07T11:14:33.976Z</v>
      </c>
      <c r="B437" s="2" t="str">
        <f>IFERROR(__xludf.DUMMYFUNCTION("""COMPUTED_VALUE"""),"2025-09-07T11:36:50.987+08")</f>
        <v>2025-09-07T11:36:50.987+08</v>
      </c>
      <c r="C437" s="2" t="str">
        <f>IFERROR(__xludf.DUMMYFUNCTION("""COMPUTED_VALUE"""),"2025-09-07T19:12:53.363+08")</f>
        <v>2025-09-07T19:12:53.363+08</v>
      </c>
      <c r="D437" s="2" t="str">
        <f>IFERROR(__xludf.DUMMYFUNCTION("""COMPUTED_VALUE"""),"H030535017")</f>
        <v>H030535017</v>
      </c>
      <c r="E437" s="2" t="str">
        <f>IFERROR(__xludf.DUMMYFUNCTION("""COMPUTED_VALUE"""),"C7502931")</f>
        <v>C7502931</v>
      </c>
      <c r="F437" s="2" t="str">
        <f>IFERROR(__xludf.DUMMYFUNCTION("""COMPUTED_VALUE"""),"Jenny Lou Toles Estacio")</f>
        <v>Jenny Lou Toles Estacio</v>
      </c>
      <c r="G437" s="2"/>
      <c r="H437" s="2"/>
      <c r="I437" s="2" t="str">
        <f>IFERROR(__xludf.DUMMYFUNCTION("""COMPUTED_VALUE"""),"ICM_Business_linked_launch")</f>
        <v>ICM_Business_linked_launch</v>
      </c>
      <c r="J437" s="2" t="str">
        <f>IFERROR(__xludf.DUMMYFUNCTION("""COMPUTED_VALUE"""),"uuid:c6c6b0a2-0f6a-47c9-b262-8c826a495e4d")</f>
        <v>uuid:c6c6b0a2-0f6a-47c9-b262-8c826a495e4d</v>
      </c>
    </row>
    <row r="438">
      <c r="A438" s="2" t="str">
        <f>IFERROR(__xludf.DUMMYFUNCTION("""COMPUTED_VALUE"""),"2025-09-07T11:14:35.433Z")</f>
        <v>2025-09-07T11:14:35.433Z</v>
      </c>
      <c r="B438" s="2" t="str">
        <f>IFERROR(__xludf.DUMMYFUNCTION("""COMPUTED_VALUE"""),"2025-09-07T13:14:45.118+08")</f>
        <v>2025-09-07T13:14:45.118+08</v>
      </c>
      <c r="C438" s="2" t="str">
        <f>IFERROR(__xludf.DUMMYFUNCTION("""COMPUTED_VALUE"""),"2025-09-07T15:20:05.758+08")</f>
        <v>2025-09-07T15:20:05.758+08</v>
      </c>
      <c r="D438" s="2" t="str">
        <f>IFERROR(__xludf.DUMMYFUNCTION("""COMPUTED_VALUE"""),"H030535016")</f>
        <v>H030535016</v>
      </c>
      <c r="E438" s="2">
        <f>IFERROR(__xludf.DUMMYFUNCTION("""COMPUTED_VALUE"""),896791.0)</f>
        <v>896791</v>
      </c>
      <c r="F438" s="2" t="str">
        <f>IFERROR(__xludf.DUMMYFUNCTION("""COMPUTED_VALUE"""),"Roland A. Bandiola jr_2")</f>
        <v>Roland A. Bandiola jr_2</v>
      </c>
      <c r="G438" s="2"/>
      <c r="H438" s="2"/>
      <c r="I438" s="2" t="str">
        <f>IFERROR(__xludf.DUMMYFUNCTION("""COMPUTED_VALUE"""),"ICM_Business_linked_launch")</f>
        <v>ICM_Business_linked_launch</v>
      </c>
      <c r="J438" s="2" t="str">
        <f>IFERROR(__xludf.DUMMYFUNCTION("""COMPUTED_VALUE"""),"uuid:9419b954-9c16-41e1-8958-843d30eec9b4")</f>
        <v>uuid:9419b954-9c16-41e1-8958-843d30eec9b4</v>
      </c>
    </row>
    <row r="439">
      <c r="A439" s="2" t="str">
        <f>IFERROR(__xludf.DUMMYFUNCTION("""COMPUTED_VALUE"""),"2025-09-07T11:14:36.364Z")</f>
        <v>2025-09-07T11:14:36.364Z</v>
      </c>
      <c r="B439" s="2" t="str">
        <f>IFERROR(__xludf.DUMMYFUNCTION("""COMPUTED_VALUE"""),"2025-09-07T11:10:19.079+08")</f>
        <v>2025-09-07T11:10:19.079+08</v>
      </c>
      <c r="C439" s="2" t="str">
        <f>IFERROR(__xludf.DUMMYFUNCTION("""COMPUTED_VALUE"""),"2025-09-07T15:30:12.688+08")</f>
        <v>2025-09-07T15:30:12.688+08</v>
      </c>
      <c r="D439" s="2" t="str">
        <f>IFERROR(__xludf.DUMMYFUNCTION("""COMPUTED_VALUE"""),"H030535024")</f>
        <v>H030535024</v>
      </c>
      <c r="E439" s="2">
        <f>IFERROR(__xludf.DUMMYFUNCTION("""COMPUTED_VALUE"""),896791.0)</f>
        <v>896791</v>
      </c>
      <c r="F439" s="2" t="str">
        <f>IFERROR(__xludf.DUMMYFUNCTION("""COMPUTED_VALUE"""),"Roland A. Bandiola jr_2")</f>
        <v>Roland A. Bandiola jr_2</v>
      </c>
      <c r="G439" s="2"/>
      <c r="H439" s="2"/>
      <c r="I439" s="2" t="str">
        <f>IFERROR(__xludf.DUMMYFUNCTION("""COMPUTED_VALUE"""),"ICM_Business_linked_launch")</f>
        <v>ICM_Business_linked_launch</v>
      </c>
      <c r="J439" s="2" t="str">
        <f>IFERROR(__xludf.DUMMYFUNCTION("""COMPUTED_VALUE"""),"uuid:bbb2db2d-71c9-4112-88c6-61bc29db1ff1")</f>
        <v>uuid:bbb2db2d-71c9-4112-88c6-61bc29db1ff1</v>
      </c>
    </row>
    <row r="440">
      <c r="A440" s="2" t="str">
        <f>IFERROR(__xludf.DUMMYFUNCTION("""COMPUTED_VALUE"""),"2025-09-07T11:14:58.467Z")</f>
        <v>2025-09-07T11:14:58.467Z</v>
      </c>
      <c r="B440" s="2" t="str">
        <f>IFERROR(__xludf.DUMMYFUNCTION("""COMPUTED_VALUE"""),"2025-09-07T12:37:30.173+08")</f>
        <v>2025-09-07T12:37:30.173+08</v>
      </c>
      <c r="C440" s="2" t="str">
        <f>IFERROR(__xludf.DUMMYFUNCTION("""COMPUTED_VALUE"""),"2025-09-07T19:13:33.109+08")</f>
        <v>2025-09-07T19:13:33.109+08</v>
      </c>
      <c r="D440" s="2" t="str">
        <f>IFERROR(__xludf.DUMMYFUNCTION("""COMPUTED_VALUE"""),"H030535018")</f>
        <v>H030535018</v>
      </c>
      <c r="E440" s="2" t="str">
        <f>IFERROR(__xludf.DUMMYFUNCTION("""COMPUTED_VALUE"""),"C7502931")</f>
        <v>C7502931</v>
      </c>
      <c r="F440" s="2" t="str">
        <f>IFERROR(__xludf.DUMMYFUNCTION("""COMPUTED_VALUE"""),"Jenny Lou Toles Estacio")</f>
        <v>Jenny Lou Toles Estacio</v>
      </c>
      <c r="G440" s="2"/>
      <c r="H440" s="2"/>
      <c r="I440" s="2" t="str">
        <f>IFERROR(__xludf.DUMMYFUNCTION("""COMPUTED_VALUE"""),"ICM_Business_linked_launch")</f>
        <v>ICM_Business_linked_launch</v>
      </c>
      <c r="J440" s="2" t="str">
        <f>IFERROR(__xludf.DUMMYFUNCTION("""COMPUTED_VALUE"""),"uuid:ce986f7e-8604-499e-8cb8-bdeb36de37b7")</f>
        <v>uuid:ce986f7e-8604-499e-8cb8-bdeb36de37b7</v>
      </c>
    </row>
    <row r="441">
      <c r="A441" s="2" t="str">
        <f>IFERROR(__xludf.DUMMYFUNCTION("""COMPUTED_VALUE"""),"2025-09-07T12:49:25.406Z")</f>
        <v>2025-09-07T12:49:25.406Z</v>
      </c>
      <c r="B441" s="2" t="str">
        <f>IFERROR(__xludf.DUMMYFUNCTION("""COMPUTED_VALUE"""),"2025-09-07T16:12:32.937+08")</f>
        <v>2025-09-07T16:12:32.937+08</v>
      </c>
      <c r="C441" s="2" t="str">
        <f>IFERROR(__xludf.DUMMYFUNCTION("""COMPUTED_VALUE"""),"2025-09-07T20:49:14.452+08")</f>
        <v>2025-09-07T20:49:14.452+08</v>
      </c>
      <c r="D441" s="2" t="str">
        <f>IFERROR(__xludf.DUMMYFUNCTION("""COMPUTED_VALUE"""),"H030327018")</f>
        <v>H030327018</v>
      </c>
      <c r="E441" s="2" t="str">
        <f>IFERROR(__xludf.DUMMYFUNCTION("""COMPUTED_VALUE"""),"C7502931")</f>
        <v>C7502931</v>
      </c>
      <c r="F441" s="2" t="str">
        <f>IFERROR(__xludf.DUMMYFUNCTION("""COMPUTED_VALUE"""),"Jenny Lou Toles Estacio")</f>
        <v>Jenny Lou Toles Estacio</v>
      </c>
      <c r="G441" s="2"/>
      <c r="H441" s="2"/>
      <c r="I441" s="2" t="str">
        <f>IFERROR(__xludf.DUMMYFUNCTION("""COMPUTED_VALUE"""),"ICM_Business_linked_launch")</f>
        <v>ICM_Business_linked_launch</v>
      </c>
      <c r="J441" s="2" t="str">
        <f>IFERROR(__xludf.DUMMYFUNCTION("""COMPUTED_VALUE"""),"uuid:1f60c390-904e-4fd3-b79d-c0fe0485b688")</f>
        <v>uuid:1f60c390-904e-4fd3-b79d-c0fe0485b688</v>
      </c>
    </row>
    <row r="442">
      <c r="A442" s="2" t="str">
        <f>IFERROR(__xludf.DUMMYFUNCTION("""COMPUTED_VALUE"""),"2025-09-08T11:23:59.489Z")</f>
        <v>2025-09-08T11:23:59.489Z</v>
      </c>
      <c r="B442" s="2" t="str">
        <f>IFERROR(__xludf.DUMMYFUNCTION("""COMPUTED_VALUE"""),"2025-09-08T09:26:24.438+08")</f>
        <v>2025-09-08T09:26:24.438+08</v>
      </c>
      <c r="C442" s="2" t="str">
        <f>IFERROR(__xludf.DUMMYFUNCTION("""COMPUTED_VALUE"""),"2025-09-08T09:30:05.715+08")</f>
        <v>2025-09-08T09:30:05.715+08</v>
      </c>
      <c r="D442" s="2" t="str">
        <f>IFERROR(__xludf.DUMMYFUNCTION("""COMPUTED_VALUE"""),"H006405028")</f>
        <v>H006405028</v>
      </c>
      <c r="E442" s="2" t="str">
        <f>IFERROR(__xludf.DUMMYFUNCTION("""COMPUTED_VALUE"""),"L2057896")</f>
        <v>L2057896</v>
      </c>
      <c r="F442" s="2" t="str">
        <f>IFERROR(__xludf.DUMMYFUNCTION("""COMPUTED_VALUE"""),"Franz Reoben Posadas Geneblaza")</f>
        <v>Franz Reoben Posadas Geneblaza</v>
      </c>
      <c r="G442" s="2"/>
      <c r="H442" s="2"/>
      <c r="I442" s="2" t="str">
        <f>IFERROR(__xludf.DUMMYFUNCTION("""COMPUTED_VALUE"""),"ICM_Business_linked_launch")</f>
        <v>ICM_Business_linked_launch</v>
      </c>
      <c r="J442" s="2" t="str">
        <f>IFERROR(__xludf.DUMMYFUNCTION("""COMPUTED_VALUE"""),"uuid:65b66507-6db5-4233-b336-0cb2fc146d17")</f>
        <v>uuid:65b66507-6db5-4233-b336-0cb2fc146d17</v>
      </c>
    </row>
    <row r="443">
      <c r="A443" s="2" t="str">
        <f>IFERROR(__xludf.DUMMYFUNCTION("""COMPUTED_VALUE"""),"2025-09-08T11:24:01.302Z")</f>
        <v>2025-09-08T11:24:01.302Z</v>
      </c>
      <c r="B443" s="2" t="str">
        <f>IFERROR(__xludf.DUMMYFUNCTION("""COMPUTED_VALUE"""),"2025-09-08T11:12:22.065+08")</f>
        <v>2025-09-08T11:12:22.065+08</v>
      </c>
      <c r="C443" s="2" t="str">
        <f>IFERROR(__xludf.DUMMYFUNCTION("""COMPUTED_VALUE"""),"2025-09-08T11:34:09.743+08")</f>
        <v>2025-09-08T11:34:09.743+08</v>
      </c>
      <c r="D443" s="2" t="str">
        <f>IFERROR(__xludf.DUMMYFUNCTION("""COMPUTED_VALUE"""),"H006405023")</f>
        <v>H006405023</v>
      </c>
      <c r="E443" s="2" t="str">
        <f>IFERROR(__xludf.DUMMYFUNCTION("""COMPUTED_VALUE"""),"L2057896")</f>
        <v>L2057896</v>
      </c>
      <c r="F443" s="2" t="str">
        <f>IFERROR(__xludf.DUMMYFUNCTION("""COMPUTED_VALUE"""),"Franz Reoben Posadas Geneblaza")</f>
        <v>Franz Reoben Posadas Geneblaza</v>
      </c>
      <c r="G443" s="2"/>
      <c r="H443" s="2"/>
      <c r="I443" s="2" t="str">
        <f>IFERROR(__xludf.DUMMYFUNCTION("""COMPUTED_VALUE"""),"ICM_Business_linked_launch")</f>
        <v>ICM_Business_linked_launch</v>
      </c>
      <c r="J443" s="2" t="str">
        <f>IFERROR(__xludf.DUMMYFUNCTION("""COMPUTED_VALUE"""),"uuid:494c2488-bc95-48a1-a809-5b577284cfb5")</f>
        <v>uuid:494c2488-bc95-48a1-a809-5b577284cfb5</v>
      </c>
    </row>
    <row r="444">
      <c r="A444" s="2" t="str">
        <f>IFERROR(__xludf.DUMMYFUNCTION("""COMPUTED_VALUE"""),"2025-09-08T11:24:03.153Z")</f>
        <v>2025-09-08T11:24:03.153Z</v>
      </c>
      <c r="B444" s="2" t="str">
        <f>IFERROR(__xludf.DUMMYFUNCTION("""COMPUTED_VALUE"""),"2025-09-08T14:18:51.917+08")</f>
        <v>2025-09-08T14:18:51.917+08</v>
      </c>
      <c r="C444" s="2" t="str">
        <f>IFERROR(__xludf.DUMMYFUNCTION("""COMPUTED_VALUE"""),"2025-09-08T15:04:34.551+08")</f>
        <v>2025-09-08T15:04:34.551+08</v>
      </c>
      <c r="D444" s="2" t="str">
        <f>IFERROR(__xludf.DUMMYFUNCTION("""COMPUTED_VALUE"""),"H006405020")</f>
        <v>H006405020</v>
      </c>
      <c r="E444" s="2" t="str">
        <f>IFERROR(__xludf.DUMMYFUNCTION("""COMPUTED_VALUE"""),"L2057896")</f>
        <v>L2057896</v>
      </c>
      <c r="F444" s="2" t="str">
        <f>IFERROR(__xludf.DUMMYFUNCTION("""COMPUTED_VALUE"""),"Franz Reoben Posadas Geneblaza")</f>
        <v>Franz Reoben Posadas Geneblaza</v>
      </c>
      <c r="G444" s="2"/>
      <c r="H444" s="2"/>
      <c r="I444" s="2" t="str">
        <f>IFERROR(__xludf.DUMMYFUNCTION("""COMPUTED_VALUE"""),"ICM_Business_linked_launch")</f>
        <v>ICM_Business_linked_launch</v>
      </c>
      <c r="J444" s="2" t="str">
        <f>IFERROR(__xludf.DUMMYFUNCTION("""COMPUTED_VALUE"""),"uuid:f4c7622f-55a9-45a1-9df3-7a7598dba62a")</f>
        <v>uuid:f4c7622f-55a9-45a1-9df3-7a7598dba62a</v>
      </c>
    </row>
    <row r="445">
      <c r="A445" s="2" t="str">
        <f>IFERROR(__xludf.DUMMYFUNCTION("""COMPUTED_VALUE"""),"2025-09-08T11:24:30.520Z")</f>
        <v>2025-09-08T11:24:30.520Z</v>
      </c>
      <c r="B445" s="2" t="str">
        <f>IFERROR(__xludf.DUMMYFUNCTION("""COMPUTED_VALUE"""),"2025-09-08T09:48:21.909+08")</f>
        <v>2025-09-08T09:48:21.909+08</v>
      </c>
      <c r="C445" s="2" t="str">
        <f>IFERROR(__xludf.DUMMYFUNCTION("""COMPUTED_VALUE"""),"2025-09-08T09:54:25.704+08")</f>
        <v>2025-09-08T09:54:25.704+08</v>
      </c>
      <c r="D445" s="2" t="str">
        <f>IFERROR(__xludf.DUMMYFUNCTION("""COMPUTED_VALUE"""),"H006405019")</f>
        <v>H006405019</v>
      </c>
      <c r="E445" s="2" t="str">
        <f>IFERROR(__xludf.DUMMYFUNCTION("""COMPUTED_VALUE"""),"J4315980")</f>
        <v>J4315980</v>
      </c>
      <c r="F445" s="2" t="str">
        <f>IFERROR(__xludf.DUMMYFUNCTION("""COMPUTED_VALUE"""),"Trixie Marie Jardeleza Saber")</f>
        <v>Trixie Marie Jardeleza Saber</v>
      </c>
      <c r="G445" s="2"/>
      <c r="H445" s="2"/>
      <c r="I445" s="2" t="str">
        <f>IFERROR(__xludf.DUMMYFUNCTION("""COMPUTED_VALUE"""),"ICM_Business_linked_launch")</f>
        <v>ICM_Business_linked_launch</v>
      </c>
      <c r="J445" s="2" t="str">
        <f>IFERROR(__xludf.DUMMYFUNCTION("""COMPUTED_VALUE"""),"uuid:4a768e74-a1d2-4cbd-896c-ec9312366ebe")</f>
        <v>uuid:4a768e74-a1d2-4cbd-896c-ec9312366ebe</v>
      </c>
    </row>
    <row r="446">
      <c r="A446" s="2" t="str">
        <f>IFERROR(__xludf.DUMMYFUNCTION("""COMPUTED_VALUE"""),"2025-09-08T11:24:32.646Z")</f>
        <v>2025-09-08T11:24:32.646Z</v>
      </c>
      <c r="B446" s="2" t="str">
        <f>IFERROR(__xludf.DUMMYFUNCTION("""COMPUTED_VALUE"""),"2025-09-08T11:30:28.255+08")</f>
        <v>2025-09-08T11:30:28.255+08</v>
      </c>
      <c r="C446" s="2" t="str">
        <f>IFERROR(__xludf.DUMMYFUNCTION("""COMPUTED_VALUE"""),"2025-09-08T12:54:52.505+08")</f>
        <v>2025-09-08T12:54:52.505+08</v>
      </c>
      <c r="D446" s="2" t="str">
        <f>IFERROR(__xludf.DUMMYFUNCTION("""COMPUTED_VALUE"""),"H006405016")</f>
        <v>H006405016</v>
      </c>
      <c r="E446" s="2" t="str">
        <f>IFERROR(__xludf.DUMMYFUNCTION("""COMPUTED_VALUE"""),"J4315980")</f>
        <v>J4315980</v>
      </c>
      <c r="F446" s="2" t="str">
        <f>IFERROR(__xludf.DUMMYFUNCTION("""COMPUTED_VALUE"""),"Trixie Marie Jardeleza Saber")</f>
        <v>Trixie Marie Jardeleza Saber</v>
      </c>
      <c r="G446" s="2"/>
      <c r="H446" s="2"/>
      <c r="I446" s="2" t="str">
        <f>IFERROR(__xludf.DUMMYFUNCTION("""COMPUTED_VALUE"""),"ICM_Business_linked_launch")</f>
        <v>ICM_Business_linked_launch</v>
      </c>
      <c r="J446" s="2" t="str">
        <f>IFERROR(__xludf.DUMMYFUNCTION("""COMPUTED_VALUE"""),"uuid:ddae15e7-799e-4f53-a6cf-61f1075ce064")</f>
        <v>uuid:ddae15e7-799e-4f53-a6cf-61f1075ce064</v>
      </c>
    </row>
    <row r="447">
      <c r="A447" s="2" t="str">
        <f>IFERROR(__xludf.DUMMYFUNCTION("""COMPUTED_VALUE"""),"2025-09-08T11:25:34.311Z")</f>
        <v>2025-09-08T11:25:34.311Z</v>
      </c>
      <c r="B447" s="2" t="str">
        <f>IFERROR(__xludf.DUMMYFUNCTION("""COMPUTED_VALUE"""),"2025-09-08T11:54:18.450+08")</f>
        <v>2025-09-08T11:54:18.450+08</v>
      </c>
      <c r="C447" s="2" t="str">
        <f>IFERROR(__xludf.DUMMYFUNCTION("""COMPUTED_VALUE"""),"2025-09-08T12:30:12.719+08")</f>
        <v>2025-09-08T12:30:12.719+08</v>
      </c>
      <c r="D447" s="2" t="str">
        <f>IFERROR(__xludf.DUMMYFUNCTION("""COMPUTED_VALUE"""),"H006405025")</f>
        <v>H006405025</v>
      </c>
      <c r="E447" s="2" t="str">
        <f>IFERROR(__xludf.DUMMYFUNCTION("""COMPUTED_VALUE"""),"M6491032")</f>
        <v>M6491032</v>
      </c>
      <c r="F447" s="2" t="str">
        <f>IFERROR(__xludf.DUMMYFUNCTION("""COMPUTED_VALUE"""),"Rosevil Tayo Desamparado")</f>
        <v>Rosevil Tayo Desamparado</v>
      </c>
      <c r="G447" s="2"/>
      <c r="H447" s="2"/>
      <c r="I447" s="2" t="str">
        <f>IFERROR(__xludf.DUMMYFUNCTION("""COMPUTED_VALUE"""),"ICM_Business_linked_launch")</f>
        <v>ICM_Business_linked_launch</v>
      </c>
      <c r="J447" s="2" t="str">
        <f>IFERROR(__xludf.DUMMYFUNCTION("""COMPUTED_VALUE"""),"uuid:d81e95d5-41e0-4532-b2c7-8b3613b3fe43")</f>
        <v>uuid:d81e95d5-41e0-4532-b2c7-8b3613b3fe43</v>
      </c>
    </row>
    <row r="448">
      <c r="A448" s="2" t="str">
        <f>IFERROR(__xludf.DUMMYFUNCTION("""COMPUTED_VALUE"""),"2025-09-08T11:25:34.963Z")</f>
        <v>2025-09-08T11:25:34.963Z</v>
      </c>
      <c r="B448" s="2" t="str">
        <f>IFERROR(__xludf.DUMMYFUNCTION("""COMPUTED_VALUE"""),"2025-09-08T13:35:48.841+08")</f>
        <v>2025-09-08T13:35:48.841+08</v>
      </c>
      <c r="C448" s="2" t="str">
        <f>IFERROR(__xludf.DUMMYFUNCTION("""COMPUTED_VALUE"""),"2025-09-08T14:28:08.139+08")</f>
        <v>2025-09-08T14:28:08.139+08</v>
      </c>
      <c r="D448" s="2" t="str">
        <f>IFERROR(__xludf.DUMMYFUNCTION("""COMPUTED_VALUE"""),"H006405018")</f>
        <v>H006405018</v>
      </c>
      <c r="E448" s="2" t="str">
        <f>IFERROR(__xludf.DUMMYFUNCTION("""COMPUTED_VALUE"""),"M6491032")</f>
        <v>M6491032</v>
      </c>
      <c r="F448" s="2" t="str">
        <f>IFERROR(__xludf.DUMMYFUNCTION("""COMPUTED_VALUE"""),"Rosevil Tayo Desamparado")</f>
        <v>Rosevil Tayo Desamparado</v>
      </c>
      <c r="G448" s="2"/>
      <c r="H448" s="2"/>
      <c r="I448" s="2" t="str">
        <f>IFERROR(__xludf.DUMMYFUNCTION("""COMPUTED_VALUE"""),"ICM_Business_linked_launch")</f>
        <v>ICM_Business_linked_launch</v>
      </c>
      <c r="J448" s="2" t="str">
        <f>IFERROR(__xludf.DUMMYFUNCTION("""COMPUTED_VALUE"""),"uuid:7ed4726e-c114-43e7-ad45-d0911db843dd")</f>
        <v>uuid:7ed4726e-c114-43e7-ad45-d0911db843dd</v>
      </c>
    </row>
    <row r="449">
      <c r="A449" s="2" t="str">
        <f>IFERROR(__xludf.DUMMYFUNCTION("""COMPUTED_VALUE"""),"2025-09-08T11:25:35.540Z")</f>
        <v>2025-09-08T11:25:35.540Z</v>
      </c>
      <c r="B449" s="2" t="str">
        <f>IFERROR(__xludf.DUMMYFUNCTION("""COMPUTED_VALUE"""),"2025-09-08T16:10:43.505+08")</f>
        <v>2025-09-08T16:10:43.505+08</v>
      </c>
      <c r="C449" s="2" t="str">
        <f>IFERROR(__xludf.DUMMYFUNCTION("""COMPUTED_VALUE"""),"2025-09-08T16:30:26.907+08")</f>
        <v>2025-09-08T16:30:26.907+08</v>
      </c>
      <c r="D449" s="2" t="str">
        <f>IFERROR(__xludf.DUMMYFUNCTION("""COMPUTED_VALUE"""),"H006405035")</f>
        <v>H006405035</v>
      </c>
      <c r="E449" s="2" t="str">
        <f>IFERROR(__xludf.DUMMYFUNCTION("""COMPUTED_VALUE"""),"M6491032")</f>
        <v>M6491032</v>
      </c>
      <c r="F449" s="2" t="str">
        <f>IFERROR(__xludf.DUMMYFUNCTION("""COMPUTED_VALUE"""),"Rosevil Tayo Desamparado")</f>
        <v>Rosevil Tayo Desamparado</v>
      </c>
      <c r="G449" s="2"/>
      <c r="H449" s="2"/>
      <c r="I449" s="2" t="str">
        <f>IFERROR(__xludf.DUMMYFUNCTION("""COMPUTED_VALUE"""),"ICM_Business_linked_launch")</f>
        <v>ICM_Business_linked_launch</v>
      </c>
      <c r="J449" s="2" t="str">
        <f>IFERROR(__xludf.DUMMYFUNCTION("""COMPUTED_VALUE"""),"uuid:515849df-7faf-40d8-907d-9ea76ab6508a")</f>
        <v>uuid:515849df-7faf-40d8-907d-9ea76ab6508a</v>
      </c>
    </row>
    <row r="450">
      <c r="A450" s="2" t="str">
        <f>IFERROR(__xludf.DUMMYFUNCTION("""COMPUTED_VALUE"""),"2025-09-08T11:30:52.748Z")</f>
        <v>2025-09-08T11:30:52.748Z</v>
      </c>
      <c r="B450" s="2" t="str">
        <f>IFERROR(__xludf.DUMMYFUNCTION("""COMPUTED_VALUE"""),"2025-09-08T10:59:17.179+08")</f>
        <v>2025-09-08T10:59:17.179+08</v>
      </c>
      <c r="C450" s="2" t="str">
        <f>IFERROR(__xludf.DUMMYFUNCTION("""COMPUTED_VALUE"""),"2025-09-08T11:27:08.691+08")</f>
        <v>2025-09-08T11:27:08.691+08</v>
      </c>
      <c r="D450" s="2" t="str">
        <f>IFERROR(__xludf.DUMMYFUNCTION("""COMPUTED_VALUE"""),"H006405021")</f>
        <v>H006405021</v>
      </c>
      <c r="E450" s="2" t="str">
        <f>IFERROR(__xludf.DUMMYFUNCTION("""COMPUTED_VALUE"""),"K8623174")</f>
        <v>K8623174</v>
      </c>
      <c r="F450" s="2" t="str">
        <f>IFERROR(__xludf.DUMMYFUNCTION("""COMPUTED_VALUE"""),"Marielle Kaye Ignacio Alonzo")</f>
        <v>Marielle Kaye Ignacio Alonzo</v>
      </c>
      <c r="G450" s="2"/>
      <c r="H450" s="2"/>
      <c r="I450" s="2" t="str">
        <f>IFERROR(__xludf.DUMMYFUNCTION("""COMPUTED_VALUE"""),"ICM_Business_linked_launch")</f>
        <v>ICM_Business_linked_launch</v>
      </c>
      <c r="J450" s="2" t="str">
        <f>IFERROR(__xludf.DUMMYFUNCTION("""COMPUTED_VALUE"""),"uuid:e5b8c0a7-2845-4eb0-bfd8-012da7875d95")</f>
        <v>uuid:e5b8c0a7-2845-4eb0-bfd8-012da7875d95</v>
      </c>
    </row>
    <row r="451">
      <c r="A451" s="2" t="str">
        <f>IFERROR(__xludf.DUMMYFUNCTION("""COMPUTED_VALUE"""),"2025-09-08T11:30:56.382Z")</f>
        <v>2025-09-08T11:30:56.382Z</v>
      </c>
      <c r="B451" s="2" t="str">
        <f>IFERROR(__xludf.DUMMYFUNCTION("""COMPUTED_VALUE"""),"2025-09-08T09:37:20.907+08")</f>
        <v>2025-09-08T09:37:20.907+08</v>
      </c>
      <c r="C451" s="2" t="str">
        <f>IFERROR(__xludf.DUMMYFUNCTION("""COMPUTED_VALUE"""),"2025-09-08T09:56:59.160+08")</f>
        <v>2025-09-08T09:56:59.160+08</v>
      </c>
      <c r="D451" s="2" t="str">
        <f>IFERROR(__xludf.DUMMYFUNCTION("""COMPUTED_VALUE"""),"H006405032")</f>
        <v>H006405032</v>
      </c>
      <c r="E451" s="2" t="str">
        <f>IFERROR(__xludf.DUMMYFUNCTION("""COMPUTED_VALUE"""),"K8623174")</f>
        <v>K8623174</v>
      </c>
      <c r="F451" s="2" t="str">
        <f>IFERROR(__xludf.DUMMYFUNCTION("""COMPUTED_VALUE"""),"Marielle Kaye Ignacio Alonzo")</f>
        <v>Marielle Kaye Ignacio Alonzo</v>
      </c>
      <c r="G451" s="2"/>
      <c r="H451" s="2"/>
      <c r="I451" s="2" t="str">
        <f>IFERROR(__xludf.DUMMYFUNCTION("""COMPUTED_VALUE"""),"ICM_Business_linked_launch")</f>
        <v>ICM_Business_linked_launch</v>
      </c>
      <c r="J451" s="2" t="str">
        <f>IFERROR(__xludf.DUMMYFUNCTION("""COMPUTED_VALUE"""),"uuid:b88cfa98-062a-4a37-96ec-edab82420615")</f>
        <v>uuid:b88cfa98-062a-4a37-96ec-edab82420615</v>
      </c>
    </row>
    <row r="452">
      <c r="A452" s="2" t="str">
        <f>IFERROR(__xludf.DUMMYFUNCTION("""COMPUTED_VALUE"""),"2025-09-08T11:31:50.574Z")</f>
        <v>2025-09-08T11:31:50.574Z</v>
      </c>
      <c r="B452" s="2" t="str">
        <f>IFERROR(__xludf.DUMMYFUNCTION("""COMPUTED_VALUE"""),"2025-09-08T14:13:28.217+08")</f>
        <v>2025-09-08T14:13:28.217+08</v>
      </c>
      <c r="C452" s="2" t="str">
        <f>IFERROR(__xludf.DUMMYFUNCTION("""COMPUTED_VALUE"""),"2025-09-08T16:09:19.964+08")</f>
        <v>2025-09-08T16:09:19.964+08</v>
      </c>
      <c r="D452" s="2" t="str">
        <f>IFERROR(__xludf.DUMMYFUNCTION("""COMPUTED_VALUE"""),"H030566022")</f>
        <v>H030566022</v>
      </c>
      <c r="E452" s="2" t="str">
        <f>IFERROR(__xludf.DUMMYFUNCTION("""COMPUTED_VALUE"""),"D1284067")</f>
        <v>D1284067</v>
      </c>
      <c r="F452" s="2" t="str">
        <f>IFERROR(__xludf.DUMMYFUNCTION("""COMPUTED_VALUE"""),"Mariel Del Rio")</f>
        <v>Mariel Del Rio</v>
      </c>
      <c r="G452" s="2"/>
      <c r="H452" s="2"/>
      <c r="I452" s="2" t="str">
        <f>IFERROR(__xludf.DUMMYFUNCTION("""COMPUTED_VALUE"""),"ICM_Business_linked_launch")</f>
        <v>ICM_Business_linked_launch</v>
      </c>
      <c r="J452" s="2" t="str">
        <f>IFERROR(__xludf.DUMMYFUNCTION("""COMPUTED_VALUE"""),"uuid:8bd9573f-f6d7-49ab-a0b2-436c9c2ccb34")</f>
        <v>uuid:8bd9573f-f6d7-49ab-a0b2-436c9c2ccb34</v>
      </c>
    </row>
    <row r="453">
      <c r="A453" s="2" t="str">
        <f>IFERROR(__xludf.DUMMYFUNCTION("""COMPUTED_VALUE"""),"2025-09-08T12:15:56.911Z")</f>
        <v>2025-09-08T12:15:56.911Z</v>
      </c>
      <c r="B453" s="2" t="str">
        <f>IFERROR(__xludf.DUMMYFUNCTION("""COMPUTED_VALUE"""),"2025-09-08T16:34:36.901+08")</f>
        <v>2025-09-08T16:34:36.901+08</v>
      </c>
      <c r="C453" s="2" t="str">
        <f>IFERROR(__xludf.DUMMYFUNCTION("""COMPUTED_VALUE"""),"2025-09-08T16:41:23.783+08")</f>
        <v>2025-09-08T16:41:23.783+08</v>
      </c>
      <c r="D453" s="2" t="str">
        <f>IFERROR(__xludf.DUMMYFUNCTION("""COMPUTED_VALUE"""),"H019506028")</f>
        <v>H019506028</v>
      </c>
      <c r="E453" s="2">
        <f>IFERROR(__xludf.DUMMYFUNCTION("""COMPUTED_VALUE"""),859767.0)</f>
        <v>859767</v>
      </c>
      <c r="F453" s="2" t="str">
        <f>IFERROR(__xludf.DUMMYFUNCTION("""COMPUTED_VALUE"""),"Ramie De Pedro Jr._2")</f>
        <v>Ramie De Pedro Jr._2</v>
      </c>
      <c r="G453" s="2"/>
      <c r="H453" s="2"/>
      <c r="I453" s="2" t="str">
        <f>IFERROR(__xludf.DUMMYFUNCTION("""COMPUTED_VALUE"""),"ICM_Business_linked_launch")</f>
        <v>ICM_Business_linked_launch</v>
      </c>
      <c r="J453" s="2" t="str">
        <f>IFERROR(__xludf.DUMMYFUNCTION("""COMPUTED_VALUE"""),"uuid:0f6799e4-8c2a-4110-a30d-5ace8186c7cb")</f>
        <v>uuid:0f6799e4-8c2a-4110-a30d-5ace8186c7cb</v>
      </c>
    </row>
    <row r="454">
      <c r="A454" s="2" t="str">
        <f>IFERROR(__xludf.DUMMYFUNCTION("""COMPUTED_VALUE"""),"2025-09-08T12:15:57.455Z")</f>
        <v>2025-09-08T12:15:57.455Z</v>
      </c>
      <c r="B454" s="2" t="str">
        <f>IFERROR(__xludf.DUMMYFUNCTION("""COMPUTED_VALUE"""),"2025-09-08T11:38:55.775+08")</f>
        <v>2025-09-08T11:38:55.775+08</v>
      </c>
      <c r="C454" s="2" t="str">
        <f>IFERROR(__xludf.DUMMYFUNCTION("""COMPUTED_VALUE"""),"2025-09-08T20:08:39.083+08")</f>
        <v>2025-09-08T20:08:39.083+08</v>
      </c>
      <c r="D454" s="2" t="str">
        <f>IFERROR(__xludf.DUMMYFUNCTION("""COMPUTED_VALUE"""),"H019506032")</f>
        <v>H019506032</v>
      </c>
      <c r="E454" s="2">
        <f>IFERROR(__xludf.DUMMYFUNCTION("""COMPUTED_VALUE"""),859767.0)</f>
        <v>859767</v>
      </c>
      <c r="F454" s="2" t="str">
        <f>IFERROR(__xludf.DUMMYFUNCTION("""COMPUTED_VALUE"""),"Ramie De Pedro Jr._2")</f>
        <v>Ramie De Pedro Jr._2</v>
      </c>
      <c r="G454" s="2"/>
      <c r="H454" s="2"/>
      <c r="I454" s="2" t="str">
        <f>IFERROR(__xludf.DUMMYFUNCTION("""COMPUTED_VALUE"""),"ICM_Business_linked_launch")</f>
        <v>ICM_Business_linked_launch</v>
      </c>
      <c r="J454" s="2" t="str">
        <f>IFERROR(__xludf.DUMMYFUNCTION("""COMPUTED_VALUE"""),"uuid:46940c23-d9c4-4121-86dd-dfce86d2cdd4")</f>
        <v>uuid:46940c23-d9c4-4121-86dd-dfce86d2cdd4</v>
      </c>
    </row>
    <row r="455">
      <c r="A455" s="2" t="str">
        <f>IFERROR(__xludf.DUMMYFUNCTION("""COMPUTED_VALUE"""),"2025-09-08T12:15:58.062Z")</f>
        <v>2025-09-08T12:15:58.062Z</v>
      </c>
      <c r="B455" s="2" t="str">
        <f>IFERROR(__xludf.DUMMYFUNCTION("""COMPUTED_VALUE"""),"2025-09-08T14:31:44.308+08")</f>
        <v>2025-09-08T14:31:44.308+08</v>
      </c>
      <c r="C455" s="2" t="str">
        <f>IFERROR(__xludf.DUMMYFUNCTION("""COMPUTED_VALUE"""),"2025-09-08T14:42:53.304+08")</f>
        <v>2025-09-08T14:42:53.304+08</v>
      </c>
      <c r="D455" s="2" t="str">
        <f>IFERROR(__xludf.DUMMYFUNCTION("""COMPUTED_VALUE"""),"H019506026")</f>
        <v>H019506026</v>
      </c>
      <c r="E455" s="2">
        <f>IFERROR(__xludf.DUMMYFUNCTION("""COMPUTED_VALUE"""),859767.0)</f>
        <v>859767</v>
      </c>
      <c r="F455" s="2" t="str">
        <f>IFERROR(__xludf.DUMMYFUNCTION("""COMPUTED_VALUE"""),"Ramie De Pedro Jr._2")</f>
        <v>Ramie De Pedro Jr._2</v>
      </c>
      <c r="G455" s="2"/>
      <c r="H455" s="2"/>
      <c r="I455" s="2" t="str">
        <f>IFERROR(__xludf.DUMMYFUNCTION("""COMPUTED_VALUE"""),"ICM_Business_linked_launch")</f>
        <v>ICM_Business_linked_launch</v>
      </c>
      <c r="J455" s="2" t="str">
        <f>IFERROR(__xludf.DUMMYFUNCTION("""COMPUTED_VALUE"""),"uuid:a92a5f2f-4f5d-4803-b68d-d82adc886a0e")</f>
        <v>uuid:a92a5f2f-4f5d-4803-b68d-d82adc886a0e</v>
      </c>
    </row>
    <row r="456">
      <c r="A456" s="2" t="str">
        <f>IFERROR(__xludf.DUMMYFUNCTION("""COMPUTED_VALUE"""),"2025-09-08T12:54:45.023Z")</f>
        <v>2025-09-08T12:54:45.023Z</v>
      </c>
      <c r="B456" s="2" t="str">
        <f>IFERROR(__xludf.DUMMYFUNCTION("""COMPUTED_VALUE"""),"2025-09-08T11:15:33.340+08")</f>
        <v>2025-09-08T11:15:33.340+08</v>
      </c>
      <c r="C456" s="2" t="str">
        <f>IFERROR(__xludf.DUMMYFUNCTION("""COMPUTED_VALUE"""),"2025-09-08T11:20:33.388+08")</f>
        <v>2025-09-08T11:20:33.388+08</v>
      </c>
      <c r="D456" s="2" t="str">
        <f>IFERROR(__xludf.DUMMYFUNCTION("""COMPUTED_VALUE"""),"H019506017")</f>
        <v>H019506017</v>
      </c>
      <c r="E456" s="2">
        <f>IFERROR(__xludf.DUMMYFUNCTION("""COMPUTED_VALUE"""),729375.0)</f>
        <v>729375</v>
      </c>
      <c r="F456" s="2" t="str">
        <f>IFERROR(__xludf.DUMMYFUNCTION("""COMPUTED_VALUE"""),"Janet Serafica_2")</f>
        <v>Janet Serafica_2</v>
      </c>
      <c r="G456" s="2"/>
      <c r="H456" s="2"/>
      <c r="I456" s="2" t="str">
        <f>IFERROR(__xludf.DUMMYFUNCTION("""COMPUTED_VALUE"""),"ICM_Business_linked_launch")</f>
        <v>ICM_Business_linked_launch</v>
      </c>
      <c r="J456" s="2" t="str">
        <f>IFERROR(__xludf.DUMMYFUNCTION("""COMPUTED_VALUE"""),"uuid:ce1bd288-5f29-453e-80e7-eebe6ef1f108")</f>
        <v>uuid:ce1bd288-5f29-453e-80e7-eebe6ef1f108</v>
      </c>
    </row>
    <row r="457">
      <c r="A457" s="2" t="str">
        <f>IFERROR(__xludf.DUMMYFUNCTION("""COMPUTED_VALUE"""),"2025-09-08T12:54:46.572Z")</f>
        <v>2025-09-08T12:54:46.572Z</v>
      </c>
      <c r="B457" s="2" t="str">
        <f>IFERROR(__xludf.DUMMYFUNCTION("""COMPUTED_VALUE"""),"2025-09-08T13:54:03.555+08")</f>
        <v>2025-09-08T13:54:03.555+08</v>
      </c>
      <c r="C457" s="2" t="str">
        <f>IFERROR(__xludf.DUMMYFUNCTION("""COMPUTED_VALUE"""),"2025-09-08T13:59:38.929+08")</f>
        <v>2025-09-08T13:59:38.929+08</v>
      </c>
      <c r="D457" s="2" t="str">
        <f>IFERROR(__xludf.DUMMYFUNCTION("""COMPUTED_VALUE"""),"H019506020")</f>
        <v>H019506020</v>
      </c>
      <c r="E457" s="2">
        <f>IFERROR(__xludf.DUMMYFUNCTION("""COMPUTED_VALUE"""),729375.0)</f>
        <v>729375</v>
      </c>
      <c r="F457" s="2" t="str">
        <f>IFERROR(__xludf.DUMMYFUNCTION("""COMPUTED_VALUE"""),"Janet Serafica_2")</f>
        <v>Janet Serafica_2</v>
      </c>
      <c r="G457" s="2"/>
      <c r="H457" s="2"/>
      <c r="I457" s="2" t="str">
        <f>IFERROR(__xludf.DUMMYFUNCTION("""COMPUTED_VALUE"""),"ICM_Business_linked_launch")</f>
        <v>ICM_Business_linked_launch</v>
      </c>
      <c r="J457" s="2" t="str">
        <f>IFERROR(__xludf.DUMMYFUNCTION("""COMPUTED_VALUE"""),"uuid:1aeb74ab-4869-4c40-85e3-80503853b3ac")</f>
        <v>uuid:1aeb74ab-4869-4c40-85e3-80503853b3ac</v>
      </c>
    </row>
    <row r="458">
      <c r="A458" s="2" t="str">
        <f>IFERROR(__xludf.DUMMYFUNCTION("""COMPUTED_VALUE"""),"2025-09-08T12:54:48.172Z")</f>
        <v>2025-09-08T12:54:48.172Z</v>
      </c>
      <c r="B458" s="2" t="str">
        <f>IFERROR(__xludf.DUMMYFUNCTION("""COMPUTED_VALUE"""),"2025-09-08T15:01:21.356+08")</f>
        <v>2025-09-08T15:01:21.356+08</v>
      </c>
      <c r="C458" s="2" t="str">
        <f>IFERROR(__xludf.DUMMYFUNCTION("""COMPUTED_VALUE"""),"2025-09-08T15:04:27.287+08")</f>
        <v>2025-09-08T15:04:27.287+08</v>
      </c>
      <c r="D458" s="2" t="str">
        <f>IFERROR(__xludf.DUMMYFUNCTION("""COMPUTED_VALUE"""),"H019506035")</f>
        <v>H019506035</v>
      </c>
      <c r="E458" s="2">
        <f>IFERROR(__xludf.DUMMYFUNCTION("""COMPUTED_VALUE"""),729375.0)</f>
        <v>729375</v>
      </c>
      <c r="F458" s="2" t="str">
        <f>IFERROR(__xludf.DUMMYFUNCTION("""COMPUTED_VALUE"""),"Janet Serafica_2")</f>
        <v>Janet Serafica_2</v>
      </c>
      <c r="G458" s="2"/>
      <c r="H458" s="2"/>
      <c r="I458" s="2" t="str">
        <f>IFERROR(__xludf.DUMMYFUNCTION("""COMPUTED_VALUE"""),"ICM_Business_linked_launch")</f>
        <v>ICM_Business_linked_launch</v>
      </c>
      <c r="J458" s="2" t="str">
        <f>IFERROR(__xludf.DUMMYFUNCTION("""COMPUTED_VALUE"""),"uuid:a97df404-fa5f-4446-aa3e-96d80ac05325")</f>
        <v>uuid:a97df404-fa5f-4446-aa3e-96d80ac05325</v>
      </c>
    </row>
    <row r="459">
      <c r="A459" s="2" t="str">
        <f>IFERROR(__xludf.DUMMYFUNCTION("""COMPUTED_VALUE"""),"2025-09-08T13:53:59.145Z")</f>
        <v>2025-09-08T13:53:59.145Z</v>
      </c>
      <c r="B459" s="2" t="str">
        <f>IFERROR(__xludf.DUMMYFUNCTION("""COMPUTED_VALUE"""),"2025-09-08T11:28:44.770+08")</f>
        <v>2025-09-08T11:28:44.770+08</v>
      </c>
      <c r="C459" s="2" t="str">
        <f>IFERROR(__xludf.DUMMYFUNCTION("""COMPUTED_VALUE"""),"2025-09-08T11:30:45.825+08")</f>
        <v>2025-09-08T11:30:45.825+08</v>
      </c>
      <c r="D459" s="2" t="str">
        <f>IFERROR(__xludf.DUMMYFUNCTION("""COMPUTED_VALUE"""),"H019506016")</f>
        <v>H019506016</v>
      </c>
      <c r="E459" s="2" t="str">
        <f>IFERROR(__xludf.DUMMYFUNCTION("""COMPUTED_VALUE"""),"S2671943")</f>
        <v>S2671943</v>
      </c>
      <c r="F459" s="2" t="str">
        <f>IFERROR(__xludf.DUMMYFUNCTION("""COMPUTED_VALUE"""),"Marvin Mondia")</f>
        <v>Marvin Mondia</v>
      </c>
      <c r="G459" s="2"/>
      <c r="H459" s="2"/>
      <c r="I459" s="2" t="str">
        <f>IFERROR(__xludf.DUMMYFUNCTION("""COMPUTED_VALUE"""),"ICM_Business_linked_launch")</f>
        <v>ICM_Business_linked_launch</v>
      </c>
      <c r="J459" s="2" t="str">
        <f>IFERROR(__xludf.DUMMYFUNCTION("""COMPUTED_VALUE"""),"uuid:85e092de-8345-4680-94fe-1a3f898bc1b2")</f>
        <v>uuid:85e092de-8345-4680-94fe-1a3f898bc1b2</v>
      </c>
    </row>
    <row r="460">
      <c r="A460" s="2" t="str">
        <f>IFERROR(__xludf.DUMMYFUNCTION("""COMPUTED_VALUE"""),"2025-09-08T13:56:00.627Z")</f>
        <v>2025-09-08T13:56:00.627Z</v>
      </c>
      <c r="B460" s="2" t="str">
        <f>IFERROR(__xludf.DUMMYFUNCTION("""COMPUTED_VALUE"""),"2025-09-08T14:09:55.769+08")</f>
        <v>2025-09-08T14:09:55.769+08</v>
      </c>
      <c r="C460" s="2" t="str">
        <f>IFERROR(__xludf.DUMMYFUNCTION("""COMPUTED_VALUE"""),"2025-09-08T21:55:23.664+08")</f>
        <v>2025-09-08T21:55:23.664+08</v>
      </c>
      <c r="D460" s="2" t="str">
        <f>IFERROR(__xludf.DUMMYFUNCTION("""COMPUTED_VALUE"""),"H019506025")</f>
        <v>H019506025</v>
      </c>
      <c r="E460" s="2" t="str">
        <f>IFERROR(__xludf.DUMMYFUNCTION("""COMPUTED_VALUE"""),"S2671943")</f>
        <v>S2671943</v>
      </c>
      <c r="F460" s="2" t="str">
        <f>IFERROR(__xludf.DUMMYFUNCTION("""COMPUTED_VALUE"""),"Marvin Mondia")</f>
        <v>Marvin Mondia</v>
      </c>
      <c r="G460" s="2"/>
      <c r="H460" s="2"/>
      <c r="I460" s="2" t="str">
        <f>IFERROR(__xludf.DUMMYFUNCTION("""COMPUTED_VALUE"""),"ICM_Business_linked_launch")</f>
        <v>ICM_Business_linked_launch</v>
      </c>
      <c r="J460" s="2" t="str">
        <f>IFERROR(__xludf.DUMMYFUNCTION("""COMPUTED_VALUE"""),"uuid:f39b884b-e582-4874-8ac7-ecf3f283b166")</f>
        <v>uuid:f39b884b-e582-4874-8ac7-ecf3f283b166</v>
      </c>
    </row>
    <row r="461">
      <c r="A461" s="2" t="str">
        <f>IFERROR(__xludf.DUMMYFUNCTION("""COMPUTED_VALUE"""),"2025-09-09T10:38:44.268Z")</f>
        <v>2025-09-09T10:38:44.268Z</v>
      </c>
      <c r="B461" s="2" t="str">
        <f>IFERROR(__xludf.DUMMYFUNCTION("""COMPUTED_VALUE"""),"2025-09-09T09:40:29.513+08")</f>
        <v>2025-09-09T09:40:29.513+08</v>
      </c>
      <c r="C461" s="2" t="str">
        <f>IFERROR(__xludf.DUMMYFUNCTION("""COMPUTED_VALUE"""),"2025-09-09T18:31:21.187+08")</f>
        <v>2025-09-09T18:31:21.187+08</v>
      </c>
      <c r="D461" s="2" t="str">
        <f>IFERROR(__xludf.DUMMYFUNCTION("""COMPUTED_VALUE"""),"H030060032")</f>
        <v>H030060032</v>
      </c>
      <c r="E461" s="2">
        <f>IFERROR(__xludf.DUMMYFUNCTION("""COMPUTED_VALUE"""),896791.0)</f>
        <v>896791</v>
      </c>
      <c r="F461" s="2" t="str">
        <f>IFERROR(__xludf.DUMMYFUNCTION("""COMPUTED_VALUE"""),"Roland A. Bandiola jr_2")</f>
        <v>Roland A. Bandiola jr_2</v>
      </c>
      <c r="G461" s="2"/>
      <c r="H461" s="2"/>
      <c r="I461" s="2" t="str">
        <f>IFERROR(__xludf.DUMMYFUNCTION("""COMPUTED_VALUE"""),"ICM_Business_linked_launch")</f>
        <v>ICM_Business_linked_launch</v>
      </c>
      <c r="J461" s="2" t="str">
        <f>IFERROR(__xludf.DUMMYFUNCTION("""COMPUTED_VALUE"""),"uuid:22857eba-dae3-4017-a223-ca16212dbe1d")</f>
        <v>uuid:22857eba-dae3-4017-a223-ca16212dbe1d</v>
      </c>
    </row>
    <row r="462">
      <c r="A462" s="2" t="str">
        <f>IFERROR(__xludf.DUMMYFUNCTION("""COMPUTED_VALUE"""),"2025-09-09T10:38:43.505Z")</f>
        <v>2025-09-09T10:38:43.505Z</v>
      </c>
      <c r="B462" s="2" t="str">
        <f>IFERROR(__xludf.DUMMYFUNCTION("""COMPUTED_VALUE"""),"2025-09-09T15:25:50.756+08")</f>
        <v>2025-09-09T15:25:50.756+08</v>
      </c>
      <c r="C462" s="2" t="str">
        <f>IFERROR(__xludf.DUMMYFUNCTION("""COMPUTED_VALUE"""),"2025-09-09T18:27:30.133+08")</f>
        <v>2025-09-09T18:27:30.133+08</v>
      </c>
      <c r="D462" s="2" t="str">
        <f>IFERROR(__xludf.DUMMYFUNCTION("""COMPUTED_VALUE"""),"H030060023")</f>
        <v>H030060023</v>
      </c>
      <c r="E462" s="2">
        <f>IFERROR(__xludf.DUMMYFUNCTION("""COMPUTED_VALUE"""),896791.0)</f>
        <v>896791</v>
      </c>
      <c r="F462" s="2" t="str">
        <f>IFERROR(__xludf.DUMMYFUNCTION("""COMPUTED_VALUE"""),"Roland A. Bandiola jr_2")</f>
        <v>Roland A. Bandiola jr_2</v>
      </c>
      <c r="G462" s="2"/>
      <c r="H462" s="2"/>
      <c r="I462" s="2" t="str">
        <f>IFERROR(__xludf.DUMMYFUNCTION("""COMPUTED_VALUE"""),"ICM_Business_linked_launch")</f>
        <v>ICM_Business_linked_launch</v>
      </c>
      <c r="J462" s="2" t="str">
        <f>IFERROR(__xludf.DUMMYFUNCTION("""COMPUTED_VALUE"""),"uuid:53da4d34-1cd1-4242-a8e4-e227fca02685")</f>
        <v>uuid:53da4d34-1cd1-4242-a8e4-e227fca02685</v>
      </c>
    </row>
    <row r="463">
      <c r="A463" s="2" t="str">
        <f>IFERROR(__xludf.DUMMYFUNCTION("""COMPUTED_VALUE"""),"2025-09-09T10:38:45.035Z")</f>
        <v>2025-09-09T10:38:45.035Z</v>
      </c>
      <c r="B463" s="2" t="str">
        <f>IFERROR(__xludf.DUMMYFUNCTION("""COMPUTED_VALUE"""),"2025-09-09T11:09:33.642+08")</f>
        <v>2025-09-09T11:09:33.642+08</v>
      </c>
      <c r="C463" s="2" t="str">
        <f>IFERROR(__xludf.DUMMYFUNCTION("""COMPUTED_VALUE"""),"2025-09-09T18:33:03.140+08")</f>
        <v>2025-09-09T18:33:03.140+08</v>
      </c>
      <c r="D463" s="2" t="str">
        <f>IFERROR(__xludf.DUMMYFUNCTION("""COMPUTED_VALUE"""),"H030060030")</f>
        <v>H030060030</v>
      </c>
      <c r="E463" s="2">
        <f>IFERROR(__xludf.DUMMYFUNCTION("""COMPUTED_VALUE"""),896791.0)</f>
        <v>896791</v>
      </c>
      <c r="F463" s="2" t="str">
        <f>IFERROR(__xludf.DUMMYFUNCTION("""COMPUTED_VALUE"""),"Roland A. Bandiola jr_2")</f>
        <v>Roland A. Bandiola jr_2</v>
      </c>
      <c r="G463" s="2"/>
      <c r="H463" s="2"/>
      <c r="I463" s="2" t="str">
        <f>IFERROR(__xludf.DUMMYFUNCTION("""COMPUTED_VALUE"""),"ICM_Business_linked_launch")</f>
        <v>ICM_Business_linked_launch</v>
      </c>
      <c r="J463" s="2" t="str">
        <f>IFERROR(__xludf.DUMMYFUNCTION("""COMPUTED_VALUE"""),"uuid:cf69c114-350e-4f6d-b0b4-45b9b5910b6b")</f>
        <v>uuid:cf69c114-350e-4f6d-b0b4-45b9b5910b6b</v>
      </c>
    </row>
    <row r="464">
      <c r="A464" s="2" t="str">
        <f>IFERROR(__xludf.DUMMYFUNCTION("""COMPUTED_VALUE"""),"2025-09-09T10:38:45.689Z")</f>
        <v>2025-09-09T10:38:45.689Z</v>
      </c>
      <c r="B464" s="2" t="str">
        <f>IFERROR(__xludf.DUMMYFUNCTION("""COMPUTED_VALUE"""),"2025-09-09T12:19:47.201+08")</f>
        <v>2025-09-09T12:19:47.201+08</v>
      </c>
      <c r="C464" s="2" t="str">
        <f>IFERROR(__xludf.DUMMYFUNCTION("""COMPUTED_VALUE"""),"2025-09-09T18:36:51.951+08")</f>
        <v>2025-09-09T18:36:51.951+08</v>
      </c>
      <c r="D464" s="2" t="str">
        <f>IFERROR(__xludf.DUMMYFUNCTION("""COMPUTED_VALUE"""),"H030060016")</f>
        <v>H030060016</v>
      </c>
      <c r="E464" s="2">
        <f>IFERROR(__xludf.DUMMYFUNCTION("""COMPUTED_VALUE"""),896791.0)</f>
        <v>896791</v>
      </c>
      <c r="F464" s="2" t="str">
        <f>IFERROR(__xludf.DUMMYFUNCTION("""COMPUTED_VALUE"""),"Roland A. Bandiola jr_2")</f>
        <v>Roland A. Bandiola jr_2</v>
      </c>
      <c r="G464" s="2"/>
      <c r="H464" s="2"/>
      <c r="I464" s="2" t="str">
        <f>IFERROR(__xludf.DUMMYFUNCTION("""COMPUTED_VALUE"""),"ICM_Business_linked_launch")</f>
        <v>ICM_Business_linked_launch</v>
      </c>
      <c r="J464" s="2" t="str">
        <f>IFERROR(__xludf.DUMMYFUNCTION("""COMPUTED_VALUE"""),"uuid:c6e0e329-3144-4a6f-bceb-b837dd5ac954")</f>
        <v>uuid:c6e0e329-3144-4a6f-bceb-b837dd5ac954</v>
      </c>
    </row>
    <row r="465">
      <c r="A465" s="2" t="str">
        <f>IFERROR(__xludf.DUMMYFUNCTION("""COMPUTED_VALUE"""),"2025-09-09T10:46:22.636Z")</f>
        <v>2025-09-09T10:46:22.636Z</v>
      </c>
      <c r="B465" s="2" t="str">
        <f>IFERROR(__xludf.DUMMYFUNCTION("""COMPUTED_VALUE"""),"2025-09-09T16:35:08.686+08")</f>
        <v>2025-09-09T16:35:08.686+08</v>
      </c>
      <c r="C465" s="2" t="str">
        <f>IFERROR(__xludf.DUMMYFUNCTION("""COMPUTED_VALUE"""),"2025-09-09T18:33:12.574+08")</f>
        <v>2025-09-09T18:33:12.574+08</v>
      </c>
      <c r="D465" s="2" t="str">
        <f>IFERROR(__xludf.DUMMYFUNCTION("""COMPUTED_VALUE"""),"H030060018")</f>
        <v>H030060018</v>
      </c>
      <c r="E465" s="2" t="str">
        <f>IFERROR(__xludf.DUMMYFUNCTION("""COMPUTED_VALUE"""),"C7502931")</f>
        <v>C7502931</v>
      </c>
      <c r="F465" s="2" t="str">
        <f>IFERROR(__xludf.DUMMYFUNCTION("""COMPUTED_VALUE"""),"Jenny Lou Toles Estacio")</f>
        <v>Jenny Lou Toles Estacio</v>
      </c>
      <c r="G465" s="2"/>
      <c r="H465" s="2"/>
      <c r="I465" s="2" t="str">
        <f>IFERROR(__xludf.DUMMYFUNCTION("""COMPUTED_VALUE"""),"ICM_Business_linked_launch")</f>
        <v>ICM_Business_linked_launch</v>
      </c>
      <c r="J465" s="2" t="str">
        <f>IFERROR(__xludf.DUMMYFUNCTION("""COMPUTED_VALUE"""),"uuid:08198066-130d-48ad-83b2-17ca9400f761")</f>
        <v>uuid:08198066-130d-48ad-83b2-17ca9400f761</v>
      </c>
    </row>
    <row r="466">
      <c r="A466" s="2" t="str">
        <f>IFERROR(__xludf.DUMMYFUNCTION("""COMPUTED_VALUE"""),"2025-09-09T10:46:25.855Z")</f>
        <v>2025-09-09T10:46:25.855Z</v>
      </c>
      <c r="B466" s="2" t="str">
        <f>IFERROR(__xludf.DUMMYFUNCTION("""COMPUTED_VALUE"""),"2025-09-09T10:29:50.106+08")</f>
        <v>2025-09-09T10:29:50.106+08</v>
      </c>
      <c r="C466" s="2" t="str">
        <f>IFERROR(__xludf.DUMMYFUNCTION("""COMPUTED_VALUE"""),"2025-09-09T18:43:04.433+08")</f>
        <v>2025-09-09T18:43:04.433+08</v>
      </c>
      <c r="D466" s="2" t="str">
        <f>IFERROR(__xludf.DUMMYFUNCTION("""COMPUTED_VALUE"""),"H030060017")</f>
        <v>H030060017</v>
      </c>
      <c r="E466" s="2" t="str">
        <f>IFERROR(__xludf.DUMMYFUNCTION("""COMPUTED_VALUE"""),"C7502931")</f>
        <v>C7502931</v>
      </c>
      <c r="F466" s="2" t="str">
        <f>IFERROR(__xludf.DUMMYFUNCTION("""COMPUTED_VALUE"""),"Jenny Lou Toles Estacio")</f>
        <v>Jenny Lou Toles Estacio</v>
      </c>
      <c r="G466" s="2"/>
      <c r="H466" s="2"/>
      <c r="I466" s="2" t="str">
        <f>IFERROR(__xludf.DUMMYFUNCTION("""COMPUTED_VALUE"""),"ICM_Business_linked_launch")</f>
        <v>ICM_Business_linked_launch</v>
      </c>
      <c r="J466" s="2" t="str">
        <f>IFERROR(__xludf.DUMMYFUNCTION("""COMPUTED_VALUE"""),"uuid:319c98fe-c951-4c4c-b1b3-0bd8d137e26c")</f>
        <v>uuid:319c98fe-c951-4c4c-b1b3-0bd8d137e26c</v>
      </c>
    </row>
    <row r="467">
      <c r="A467" s="2" t="str">
        <f>IFERROR(__xludf.DUMMYFUNCTION("""COMPUTED_VALUE"""),"2025-09-09T10:46:31.810Z")</f>
        <v>2025-09-09T10:46:31.810Z</v>
      </c>
      <c r="B467" s="2" t="str">
        <f>IFERROR(__xludf.DUMMYFUNCTION("""COMPUTED_VALUE"""),"2025-09-09T16:19:23.501+08")</f>
        <v>2025-09-09T16:19:23.501+08</v>
      </c>
      <c r="C467" s="2" t="str">
        <f>IFERROR(__xludf.DUMMYFUNCTION("""COMPUTED_VALUE"""),"2025-09-09T18:45:02.212+08")</f>
        <v>2025-09-09T18:45:02.212+08</v>
      </c>
      <c r="D467" s="2" t="str">
        <f>IFERROR(__xludf.DUMMYFUNCTION("""COMPUTED_VALUE"""),"H030060034")</f>
        <v>H030060034</v>
      </c>
      <c r="E467" s="2" t="str">
        <f>IFERROR(__xludf.DUMMYFUNCTION("""COMPUTED_VALUE"""),"C7502931")</f>
        <v>C7502931</v>
      </c>
      <c r="F467" s="2" t="str">
        <f>IFERROR(__xludf.DUMMYFUNCTION("""COMPUTED_VALUE"""),"Jenny Lou Toles Estacio")</f>
        <v>Jenny Lou Toles Estacio</v>
      </c>
      <c r="G467" s="2"/>
      <c r="H467" s="2"/>
      <c r="I467" s="2" t="str">
        <f>IFERROR(__xludf.DUMMYFUNCTION("""COMPUTED_VALUE"""),"ICM_Business_linked_launch")</f>
        <v>ICM_Business_linked_launch</v>
      </c>
      <c r="J467" s="2" t="str">
        <f>IFERROR(__xludf.DUMMYFUNCTION("""COMPUTED_VALUE"""),"uuid:ca3ca1a9-ad76-4f71-a36b-b9f80a1517f7")</f>
        <v>uuid:ca3ca1a9-ad76-4f71-a36b-b9f80a1517f7</v>
      </c>
    </row>
    <row r="468">
      <c r="A468" s="2" t="str">
        <f>IFERROR(__xludf.DUMMYFUNCTION("""COMPUTED_VALUE"""),"2025-09-09T10:51:11.852Z")</f>
        <v>2025-09-09T10:51:11.852Z</v>
      </c>
      <c r="B468" s="2" t="str">
        <f>IFERROR(__xludf.DUMMYFUNCTION("""COMPUTED_VALUE"""),"2025-09-09T09:04:27.491+08")</f>
        <v>2025-09-09T09:04:27.491+08</v>
      </c>
      <c r="C468" s="2" t="str">
        <f>IFERROR(__xludf.DUMMYFUNCTION("""COMPUTED_VALUE"""),"2025-09-09T09:55:34.176+08")</f>
        <v>2025-09-09T09:55:34.176+08</v>
      </c>
      <c r="D468" s="2" t="str">
        <f>IFERROR(__xludf.DUMMYFUNCTION("""COMPUTED_VALUE"""),"H030517028")</f>
        <v>H030517028</v>
      </c>
      <c r="E468" s="2" t="str">
        <f>IFERROR(__xludf.DUMMYFUNCTION("""COMPUTED_VALUE"""),"B8193462")</f>
        <v>B8193462</v>
      </c>
      <c r="F468" s="2" t="str">
        <f>IFERROR(__xludf.DUMMYFUNCTION("""COMPUTED_VALUE"""),"Mark Lorens Mendoza Gilongo")</f>
        <v>Mark Lorens Mendoza Gilongo</v>
      </c>
      <c r="G468" s="2"/>
      <c r="H468" s="2"/>
      <c r="I468" s="2" t="str">
        <f>IFERROR(__xludf.DUMMYFUNCTION("""COMPUTED_VALUE"""),"ICM_Business_linked_launch")</f>
        <v>ICM_Business_linked_launch</v>
      </c>
      <c r="J468" s="2" t="str">
        <f>IFERROR(__xludf.DUMMYFUNCTION("""COMPUTED_VALUE"""),"uuid:78fc866a-6515-471e-bb65-daa06e72800c")</f>
        <v>uuid:78fc866a-6515-471e-bb65-daa06e72800c</v>
      </c>
    </row>
    <row r="469">
      <c r="A469" s="2" t="str">
        <f>IFERROR(__xludf.DUMMYFUNCTION("""COMPUTED_VALUE"""),"2025-09-09T10:51:13.024Z")</f>
        <v>2025-09-09T10:51:13.024Z</v>
      </c>
      <c r="B469" s="2" t="str">
        <f>IFERROR(__xludf.DUMMYFUNCTION("""COMPUTED_VALUE"""),"2025-09-09T13:01:11.496+08")</f>
        <v>2025-09-09T13:01:11.496+08</v>
      </c>
      <c r="C469" s="2" t="str">
        <f>IFERROR(__xludf.DUMMYFUNCTION("""COMPUTED_VALUE"""),"2025-09-09T13:29:13.056+08")</f>
        <v>2025-09-09T13:29:13.056+08</v>
      </c>
      <c r="D469" s="2" t="str">
        <f>IFERROR(__xludf.DUMMYFUNCTION("""COMPUTED_VALUE"""),"H030060031")</f>
        <v>H030060031</v>
      </c>
      <c r="E469" s="2" t="str">
        <f>IFERROR(__xludf.DUMMYFUNCTION("""COMPUTED_VALUE"""),"B8193462")</f>
        <v>B8193462</v>
      </c>
      <c r="F469" s="2" t="str">
        <f>IFERROR(__xludf.DUMMYFUNCTION("""COMPUTED_VALUE"""),"Mark Lorens Mendoza Gilongo")</f>
        <v>Mark Lorens Mendoza Gilongo</v>
      </c>
      <c r="G469" s="2"/>
      <c r="H469" s="2"/>
      <c r="I469" s="2" t="str">
        <f>IFERROR(__xludf.DUMMYFUNCTION("""COMPUTED_VALUE"""),"ICM_Business_linked_launch")</f>
        <v>ICM_Business_linked_launch</v>
      </c>
      <c r="J469" s="2" t="str">
        <f>IFERROR(__xludf.DUMMYFUNCTION("""COMPUTED_VALUE"""),"uuid:2c3eb503-7b5b-4aa2-af97-0fb3fe43b1e6")</f>
        <v>uuid:2c3eb503-7b5b-4aa2-af97-0fb3fe43b1e6</v>
      </c>
    </row>
    <row r="470">
      <c r="A470" s="2" t="str">
        <f>IFERROR(__xludf.DUMMYFUNCTION("""COMPUTED_VALUE"""),"2025-09-09T10:51:18.435Z")</f>
        <v>2025-09-09T10:51:18.435Z</v>
      </c>
      <c r="B470" s="2" t="str">
        <f>IFERROR(__xludf.DUMMYFUNCTION("""COMPUTED_VALUE"""),"2025-09-09T17:14:06.862+08")</f>
        <v>2025-09-09T17:14:06.862+08</v>
      </c>
      <c r="C470" s="2" t="str">
        <f>IFERROR(__xludf.DUMMYFUNCTION("""COMPUTED_VALUE"""),"2025-09-09T18:11:02.670+08")</f>
        <v>2025-09-09T18:11:02.670+08</v>
      </c>
      <c r="D470" s="2" t="str">
        <f>IFERROR(__xludf.DUMMYFUNCTION("""COMPUTED_VALUE"""),"H030060035")</f>
        <v>H030060035</v>
      </c>
      <c r="E470" s="2" t="str">
        <f>IFERROR(__xludf.DUMMYFUNCTION("""COMPUTED_VALUE"""),"B8193462")</f>
        <v>B8193462</v>
      </c>
      <c r="F470" s="2" t="str">
        <f>IFERROR(__xludf.DUMMYFUNCTION("""COMPUTED_VALUE"""),"Mark Lorens Mendoza Gilongo")</f>
        <v>Mark Lorens Mendoza Gilongo</v>
      </c>
      <c r="G470" s="2"/>
      <c r="H470" s="2"/>
      <c r="I470" s="2" t="str">
        <f>IFERROR(__xludf.DUMMYFUNCTION("""COMPUTED_VALUE"""),"ICM_Business_linked_launch")</f>
        <v>ICM_Business_linked_launch</v>
      </c>
      <c r="J470" s="2" t="str">
        <f>IFERROR(__xludf.DUMMYFUNCTION("""COMPUTED_VALUE"""),"uuid:650086f3-e4db-4033-a6cb-a9afa751a2d1")</f>
        <v>uuid:650086f3-e4db-4033-a6cb-a9afa751a2d1</v>
      </c>
    </row>
    <row r="471">
      <c r="A471" s="2" t="str">
        <f>IFERROR(__xludf.DUMMYFUNCTION("""COMPUTED_VALUE"""),"2025-09-09T10:51:21.351Z")</f>
        <v>2025-09-09T10:51:21.351Z</v>
      </c>
      <c r="B471" s="2" t="str">
        <f>IFERROR(__xludf.DUMMYFUNCTION("""COMPUTED_VALUE"""),"2025-09-09T14:54:58.681+08")</f>
        <v>2025-09-09T14:54:58.681+08</v>
      </c>
      <c r="C471" s="2" t="str">
        <f>IFERROR(__xludf.DUMMYFUNCTION("""COMPUTED_VALUE"""),"2025-09-09T18:27:40.788+08")</f>
        <v>2025-09-09T18:27:40.788+08</v>
      </c>
      <c r="D471" s="2" t="str">
        <f>IFERROR(__xludf.DUMMYFUNCTION("""COMPUTED_VALUE"""),"H030060026")</f>
        <v>H030060026</v>
      </c>
      <c r="E471" s="2" t="str">
        <f>IFERROR(__xludf.DUMMYFUNCTION("""COMPUTED_VALUE"""),"B8193462")</f>
        <v>B8193462</v>
      </c>
      <c r="F471" s="2" t="str">
        <f>IFERROR(__xludf.DUMMYFUNCTION("""COMPUTED_VALUE"""),"Mark Lorens Mendoza Gilongo")</f>
        <v>Mark Lorens Mendoza Gilongo</v>
      </c>
      <c r="G471" s="2"/>
      <c r="H471" s="2"/>
      <c r="I471" s="2" t="str">
        <f>IFERROR(__xludf.DUMMYFUNCTION("""COMPUTED_VALUE"""),"ICM_Business_linked_launch")</f>
        <v>ICM_Business_linked_launch</v>
      </c>
      <c r="J471" s="2" t="str">
        <f>IFERROR(__xludf.DUMMYFUNCTION("""COMPUTED_VALUE"""),"uuid:7f252c08-0074-49ee-af58-21e14b8424be")</f>
        <v>uuid:7f252c08-0074-49ee-af58-21e14b8424be</v>
      </c>
    </row>
    <row r="472">
      <c r="A472" s="2" t="str">
        <f>IFERROR(__xludf.DUMMYFUNCTION("""COMPUTED_VALUE"""),"2025-09-09T10:52:13.223Z")</f>
        <v>2025-09-09T10:52:13.223Z</v>
      </c>
      <c r="B472" s="2" t="str">
        <f>IFERROR(__xludf.DUMMYFUNCTION("""COMPUTED_VALUE"""),"2025-09-09T10:09:10.794+08")</f>
        <v>2025-09-09T10:09:10.794+08</v>
      </c>
      <c r="C472" s="2" t="str">
        <f>IFERROR(__xludf.DUMMYFUNCTION("""COMPUTED_VALUE"""),"2025-09-09T10:15:40.496+08")</f>
        <v>2025-09-09T10:15:40.496+08</v>
      </c>
      <c r="D472" s="2" t="str">
        <f>IFERROR(__xludf.DUMMYFUNCTION("""COMPUTED_VALUE"""),"H030060029")</f>
        <v>H030060029</v>
      </c>
      <c r="E472" s="2" t="str">
        <f>IFERROR(__xludf.DUMMYFUNCTION("""COMPUTED_VALUE"""),"D1284067")</f>
        <v>D1284067</v>
      </c>
      <c r="F472" s="2" t="str">
        <f>IFERROR(__xludf.DUMMYFUNCTION("""COMPUTED_VALUE"""),"Mariel Del Rio")</f>
        <v>Mariel Del Rio</v>
      </c>
      <c r="G472" s="2"/>
      <c r="H472" s="2"/>
      <c r="I472" s="2" t="str">
        <f>IFERROR(__xludf.DUMMYFUNCTION("""COMPUTED_VALUE"""),"ICM_Business_linked_launch")</f>
        <v>ICM_Business_linked_launch</v>
      </c>
      <c r="J472" s="2" t="str">
        <f>IFERROR(__xludf.DUMMYFUNCTION("""COMPUTED_VALUE"""),"uuid:40f1f8ff-1013-422f-9cc9-d3a31b997fc6")</f>
        <v>uuid:40f1f8ff-1013-422f-9cc9-d3a31b997fc6</v>
      </c>
    </row>
    <row r="473">
      <c r="A473" s="2" t="str">
        <f>IFERROR(__xludf.DUMMYFUNCTION("""COMPUTED_VALUE"""),"2025-09-09T10:52:28.214Z")</f>
        <v>2025-09-09T10:52:28.214Z</v>
      </c>
      <c r="B473" s="2" t="str">
        <f>IFERROR(__xludf.DUMMYFUNCTION("""COMPUTED_VALUE"""),"2025-09-09T11:38:32.517+08")</f>
        <v>2025-09-09T11:38:32.517+08</v>
      </c>
      <c r="C473" s="2" t="str">
        <f>IFERROR(__xludf.DUMMYFUNCTION("""COMPUTED_VALUE"""),"2025-09-09T13:36:55.677+08")</f>
        <v>2025-09-09T13:36:55.677+08</v>
      </c>
      <c r="D473" s="2" t="str">
        <f>IFERROR(__xludf.DUMMYFUNCTION("""COMPUTED_VALUE"""),"H030060024")</f>
        <v>H030060024</v>
      </c>
      <c r="E473" s="2" t="str">
        <f>IFERROR(__xludf.DUMMYFUNCTION("""COMPUTED_VALUE"""),"D1284067")</f>
        <v>D1284067</v>
      </c>
      <c r="F473" s="2" t="str">
        <f>IFERROR(__xludf.DUMMYFUNCTION("""COMPUTED_VALUE"""),"Mariel Del Rio")</f>
        <v>Mariel Del Rio</v>
      </c>
      <c r="G473" s="2"/>
      <c r="H473" s="2"/>
      <c r="I473" s="2" t="str">
        <f>IFERROR(__xludf.DUMMYFUNCTION("""COMPUTED_VALUE"""),"ICM_Business_linked_launch")</f>
        <v>ICM_Business_linked_launch</v>
      </c>
      <c r="J473" s="2" t="str">
        <f>IFERROR(__xludf.DUMMYFUNCTION("""COMPUTED_VALUE"""),"uuid:7abb563f-938b-4891-83f4-4a6e055ed814")</f>
        <v>uuid:7abb563f-938b-4891-83f4-4a6e055ed814</v>
      </c>
    </row>
    <row r="474">
      <c r="A474" s="2" t="str">
        <f>IFERROR(__xludf.DUMMYFUNCTION("""COMPUTED_VALUE"""),"2025-09-09T10:52:37.037Z")</f>
        <v>2025-09-09T10:52:37.037Z</v>
      </c>
      <c r="B474" s="2" t="str">
        <f>IFERROR(__xludf.DUMMYFUNCTION("""COMPUTED_VALUE"""),"2025-09-09T15:17:02.075+08")</f>
        <v>2025-09-09T15:17:02.075+08</v>
      </c>
      <c r="C474" s="2" t="str">
        <f>IFERROR(__xludf.DUMMYFUNCTION("""COMPUTED_VALUE"""),"2025-09-09T18:40:02.548+08")</f>
        <v>2025-09-09T18:40:02.548+08</v>
      </c>
      <c r="D474" s="2" t="str">
        <f>IFERROR(__xludf.DUMMYFUNCTION("""COMPUTED_VALUE"""),"H030060019")</f>
        <v>H030060019</v>
      </c>
      <c r="E474" s="2" t="str">
        <f>IFERROR(__xludf.DUMMYFUNCTION("""COMPUTED_VALUE"""),"D1284067")</f>
        <v>D1284067</v>
      </c>
      <c r="F474" s="2" t="str">
        <f>IFERROR(__xludf.DUMMYFUNCTION("""COMPUTED_VALUE"""),"Mariel Del Rio")</f>
        <v>Mariel Del Rio</v>
      </c>
      <c r="G474" s="2"/>
      <c r="H474" s="2"/>
      <c r="I474" s="2" t="str">
        <f>IFERROR(__xludf.DUMMYFUNCTION("""COMPUTED_VALUE"""),"ICM_Business_linked_launch")</f>
        <v>ICM_Business_linked_launch</v>
      </c>
      <c r="J474" s="2" t="str">
        <f>IFERROR(__xludf.DUMMYFUNCTION("""COMPUTED_VALUE"""),"uuid:8d86c425-bd3a-4782-9746-afb9a139c207")</f>
        <v>uuid:8d86c425-bd3a-4782-9746-afb9a139c207</v>
      </c>
    </row>
    <row r="475">
      <c r="A475" s="2" t="str">
        <f>IFERROR(__xludf.DUMMYFUNCTION("""COMPUTED_VALUE"""),"2025-09-09T10:54:34.789Z")</f>
        <v>2025-09-09T10:54:34.789Z</v>
      </c>
      <c r="B475" s="2" t="str">
        <f>IFERROR(__xludf.DUMMYFUNCTION("""COMPUTED_VALUE"""),"2025-09-09T12:04:08.792+08")</f>
        <v>2025-09-09T12:04:08.792+08</v>
      </c>
      <c r="C475" s="2" t="str">
        <f>IFERROR(__xludf.DUMMYFUNCTION("""COMPUTED_VALUE"""),"2025-09-09T12:14:03.603+08")</f>
        <v>2025-09-09T12:14:03.603+08</v>
      </c>
      <c r="D475" s="2" t="str">
        <f>IFERROR(__xludf.DUMMYFUNCTION("""COMPUTED_VALUE"""),"H030790020")</f>
        <v>H030790020</v>
      </c>
      <c r="E475" s="2" t="str">
        <f>IFERROR(__xludf.DUMMYFUNCTION("""COMPUTED_VALUE"""),"G5472901")</f>
        <v>G5472901</v>
      </c>
      <c r="F475" s="2" t="str">
        <f>IFERROR(__xludf.DUMMYFUNCTION("""COMPUTED_VALUE"""),"Wellyn Grace Alaban Parcia")</f>
        <v>Wellyn Grace Alaban Parcia</v>
      </c>
      <c r="G475" s="2"/>
      <c r="H475" s="2"/>
      <c r="I475" s="2" t="str">
        <f>IFERROR(__xludf.DUMMYFUNCTION("""COMPUTED_VALUE"""),"ICM_Business_linked_launch")</f>
        <v>ICM_Business_linked_launch</v>
      </c>
      <c r="J475" s="2" t="str">
        <f>IFERROR(__xludf.DUMMYFUNCTION("""COMPUTED_VALUE"""),"uuid:81103a15-69a1-431e-93ed-b50b1b91e32f")</f>
        <v>uuid:81103a15-69a1-431e-93ed-b50b1b91e32f</v>
      </c>
    </row>
    <row r="476">
      <c r="A476" s="2" t="str">
        <f>IFERROR(__xludf.DUMMYFUNCTION("""COMPUTED_VALUE"""),"2025-09-09T10:54:35.988Z")</f>
        <v>2025-09-09T10:54:35.988Z</v>
      </c>
      <c r="B476" s="2" t="str">
        <f>IFERROR(__xludf.DUMMYFUNCTION("""COMPUTED_VALUE"""),"2025-09-09T14:58:22.775+08")</f>
        <v>2025-09-09T14:58:22.775+08</v>
      </c>
      <c r="C476" s="2" t="str">
        <f>IFERROR(__xludf.DUMMYFUNCTION("""COMPUTED_VALUE"""),"2025-09-09T15:07:44.140+08")</f>
        <v>2025-09-09T15:07:44.140+08</v>
      </c>
      <c r="D476" s="2" t="str">
        <f>IFERROR(__xludf.DUMMYFUNCTION("""COMPUTED_VALUE"""),"H030790026")</f>
        <v>H030790026</v>
      </c>
      <c r="E476" s="2" t="str">
        <f>IFERROR(__xludf.DUMMYFUNCTION("""COMPUTED_VALUE"""),"G5472901")</f>
        <v>G5472901</v>
      </c>
      <c r="F476" s="2" t="str">
        <f>IFERROR(__xludf.DUMMYFUNCTION("""COMPUTED_VALUE"""),"Wellyn Grace Alaban Parcia")</f>
        <v>Wellyn Grace Alaban Parcia</v>
      </c>
      <c r="G476" s="2"/>
      <c r="H476" s="2"/>
      <c r="I476" s="2" t="str">
        <f>IFERROR(__xludf.DUMMYFUNCTION("""COMPUTED_VALUE"""),"ICM_Business_linked_launch")</f>
        <v>ICM_Business_linked_launch</v>
      </c>
      <c r="J476" s="2" t="str">
        <f>IFERROR(__xludf.DUMMYFUNCTION("""COMPUTED_VALUE"""),"uuid:5966c0ab-d433-4486-bbe9-a03389813231")</f>
        <v>uuid:5966c0ab-d433-4486-bbe9-a03389813231</v>
      </c>
    </row>
    <row r="477">
      <c r="A477" s="2" t="str">
        <f>IFERROR(__xludf.DUMMYFUNCTION("""COMPUTED_VALUE"""),"2025-09-09T10:54:37.069Z")</f>
        <v>2025-09-09T10:54:37.069Z</v>
      </c>
      <c r="B477" s="2" t="str">
        <f>IFERROR(__xludf.DUMMYFUNCTION("""COMPUTED_VALUE"""),"2025-09-09T15:47:29.152+08")</f>
        <v>2025-09-09T15:47:29.152+08</v>
      </c>
      <c r="C477" s="2" t="str">
        <f>IFERROR(__xludf.DUMMYFUNCTION("""COMPUTED_VALUE"""),"2025-09-09T16:08:47.776+08")</f>
        <v>2025-09-09T16:08:47.776+08</v>
      </c>
      <c r="D477" s="2" t="str">
        <f>IFERROR(__xludf.DUMMYFUNCTION("""COMPUTED_VALUE"""),"H030790028")</f>
        <v>H030790028</v>
      </c>
      <c r="E477" s="2" t="str">
        <f>IFERROR(__xludf.DUMMYFUNCTION("""COMPUTED_VALUE"""),"H2846135")</f>
        <v>H2846135</v>
      </c>
      <c r="F477" s="2" t="str">
        <f>IFERROR(__xludf.DUMMYFUNCTION("""COMPUTED_VALUE"""),"Annalou Empanado Encontro")</f>
        <v>Annalou Empanado Encontro</v>
      </c>
      <c r="G477" s="2"/>
      <c r="H477" s="2"/>
      <c r="I477" s="2" t="str">
        <f>IFERROR(__xludf.DUMMYFUNCTION("""COMPUTED_VALUE"""),"ICM_Business_linked_launch")</f>
        <v>ICM_Business_linked_launch</v>
      </c>
      <c r="J477" s="2" t="str">
        <f>IFERROR(__xludf.DUMMYFUNCTION("""COMPUTED_VALUE"""),"uuid:75f9e91a-f8fe-4600-8d02-dcbb7c96f6ec")</f>
        <v>uuid:75f9e91a-f8fe-4600-8d02-dcbb7c96f6ec</v>
      </c>
    </row>
    <row r="478">
      <c r="A478" s="2" t="str">
        <f>IFERROR(__xludf.DUMMYFUNCTION("""COMPUTED_VALUE"""),"2025-09-09T10:54:38.968Z")</f>
        <v>2025-09-09T10:54:38.968Z</v>
      </c>
      <c r="B478" s="2" t="str">
        <f>IFERROR(__xludf.DUMMYFUNCTION("""COMPUTED_VALUE"""),"2025-09-09T10:14:41.538+08")</f>
        <v>2025-09-09T10:14:41.538+08</v>
      </c>
      <c r="C478" s="2" t="str">
        <f>IFERROR(__xludf.DUMMYFUNCTION("""COMPUTED_VALUE"""),"2025-09-09T10:35:53.532+08")</f>
        <v>2025-09-09T10:35:53.532+08</v>
      </c>
      <c r="D478" s="2" t="str">
        <f>IFERROR(__xludf.DUMMYFUNCTION("""COMPUTED_VALUE"""),"H030790007")</f>
        <v>H030790007</v>
      </c>
      <c r="E478" s="2" t="str">
        <f>IFERROR(__xludf.DUMMYFUNCTION("""COMPUTED_VALUE"""),"G5472901")</f>
        <v>G5472901</v>
      </c>
      <c r="F478" s="2" t="str">
        <f>IFERROR(__xludf.DUMMYFUNCTION("""COMPUTED_VALUE"""),"Wellyn Grace Alaban Parcia")</f>
        <v>Wellyn Grace Alaban Parcia</v>
      </c>
      <c r="G478" s="2"/>
      <c r="H478" s="2"/>
      <c r="I478" s="2" t="str">
        <f>IFERROR(__xludf.DUMMYFUNCTION("""COMPUTED_VALUE"""),"ICM_Business_linked_launch")</f>
        <v>ICM_Business_linked_launch</v>
      </c>
      <c r="J478" s="2" t="str">
        <f>IFERROR(__xludf.DUMMYFUNCTION("""COMPUTED_VALUE"""),"uuid:536cd195-539d-4854-affd-11e19800310e")</f>
        <v>uuid:536cd195-539d-4854-affd-11e19800310e</v>
      </c>
    </row>
    <row r="479">
      <c r="A479" s="2" t="str">
        <f>IFERROR(__xludf.DUMMYFUNCTION("""COMPUTED_VALUE"""),"2025-09-09T10:55:00.599Z")</f>
        <v>2025-09-09T10:55:00.599Z</v>
      </c>
      <c r="B479" s="2" t="str">
        <f>IFERROR(__xludf.DUMMYFUNCTION("""COMPUTED_VALUE"""),"2025-09-09T10:00:49.396+08")</f>
        <v>2025-09-09T10:00:49.396+08</v>
      </c>
      <c r="C479" s="2" t="str">
        <f>IFERROR(__xludf.DUMMYFUNCTION("""COMPUTED_VALUE"""),"2025-09-09T10:11:42.074+08")</f>
        <v>2025-09-09T10:11:42.074+08</v>
      </c>
      <c r="D479" s="2" t="str">
        <f>IFERROR(__xludf.DUMMYFUNCTION("""COMPUTED_VALUE"""),"H030790017")</f>
        <v>H030790017</v>
      </c>
      <c r="E479" s="2" t="str">
        <f>IFERROR(__xludf.DUMMYFUNCTION("""COMPUTED_VALUE"""),"H2846135")</f>
        <v>H2846135</v>
      </c>
      <c r="F479" s="2" t="str">
        <f>IFERROR(__xludf.DUMMYFUNCTION("""COMPUTED_VALUE"""),"Annalou Empanado Encontro")</f>
        <v>Annalou Empanado Encontro</v>
      </c>
      <c r="G479" s="2"/>
      <c r="H479" s="2"/>
      <c r="I479" s="2" t="str">
        <f>IFERROR(__xludf.DUMMYFUNCTION("""COMPUTED_VALUE"""),"ICM_Business_linked_launch")</f>
        <v>ICM_Business_linked_launch</v>
      </c>
      <c r="J479" s="2" t="str">
        <f>IFERROR(__xludf.DUMMYFUNCTION("""COMPUTED_VALUE"""),"uuid:2dac856f-9d3e-44ba-9a97-cde7be37067f")</f>
        <v>uuid:2dac856f-9d3e-44ba-9a97-cde7be37067f</v>
      </c>
    </row>
    <row r="480">
      <c r="A480" s="2" t="str">
        <f>IFERROR(__xludf.DUMMYFUNCTION("""COMPUTED_VALUE"""),"2025-09-09T10:55:02.989Z")</f>
        <v>2025-09-09T10:55:02.989Z</v>
      </c>
      <c r="B480" s="2" t="str">
        <f>IFERROR(__xludf.DUMMYFUNCTION("""COMPUTED_VALUE"""),"2025-09-09T11:36:08.235+08")</f>
        <v>2025-09-09T11:36:08.235+08</v>
      </c>
      <c r="C480" s="2" t="str">
        <f>IFERROR(__xludf.DUMMYFUNCTION("""COMPUTED_VALUE"""),"2025-09-09T11:43:19.664+08")</f>
        <v>2025-09-09T11:43:19.664+08</v>
      </c>
      <c r="D480" s="2" t="str">
        <f>IFERROR(__xludf.DUMMYFUNCTION("""COMPUTED_VALUE"""),"H030790018")</f>
        <v>H030790018</v>
      </c>
      <c r="E480" s="2" t="str">
        <f>IFERROR(__xludf.DUMMYFUNCTION("""COMPUTED_VALUE"""),"H2846135")</f>
        <v>H2846135</v>
      </c>
      <c r="F480" s="2" t="str">
        <f>IFERROR(__xludf.DUMMYFUNCTION("""COMPUTED_VALUE"""),"Annalou Empanado Encontro")</f>
        <v>Annalou Empanado Encontro</v>
      </c>
      <c r="G480" s="2"/>
      <c r="H480" s="2"/>
      <c r="I480" s="2" t="str">
        <f>IFERROR(__xludf.DUMMYFUNCTION("""COMPUTED_VALUE"""),"ICM_Business_linked_launch")</f>
        <v>ICM_Business_linked_launch</v>
      </c>
      <c r="J480" s="2" t="str">
        <f>IFERROR(__xludf.DUMMYFUNCTION("""COMPUTED_VALUE"""),"uuid:66e7b8f9-591f-4189-b6eb-7db584c0da2c")</f>
        <v>uuid:66e7b8f9-591f-4189-b6eb-7db584c0da2c</v>
      </c>
    </row>
    <row r="481">
      <c r="A481" s="2" t="str">
        <f>IFERROR(__xludf.DUMMYFUNCTION("""COMPUTED_VALUE"""),"2025-09-09T10:55:04.549Z")</f>
        <v>2025-09-09T10:55:04.549Z</v>
      </c>
      <c r="B481" s="2" t="str">
        <f>IFERROR(__xludf.DUMMYFUNCTION("""COMPUTED_VALUE"""),"2025-09-09T12:45:37.714+08")</f>
        <v>2025-09-09T12:45:37.714+08</v>
      </c>
      <c r="C481" s="2" t="str">
        <f>IFERROR(__xludf.DUMMYFUNCTION("""COMPUTED_VALUE"""),"2025-09-09T13:00:21.151+08")</f>
        <v>2025-09-09T13:00:21.151+08</v>
      </c>
      <c r="D481" s="2" t="str">
        <f>IFERROR(__xludf.DUMMYFUNCTION("""COMPUTED_VALUE"""),"H030790031")</f>
        <v>H030790031</v>
      </c>
      <c r="E481" s="2" t="str">
        <f>IFERROR(__xludf.DUMMYFUNCTION("""COMPUTED_VALUE"""),"H2846135")</f>
        <v>H2846135</v>
      </c>
      <c r="F481" s="2" t="str">
        <f>IFERROR(__xludf.DUMMYFUNCTION("""COMPUTED_VALUE"""),"Annalou Empanado Encontro")</f>
        <v>Annalou Empanado Encontro</v>
      </c>
      <c r="G481" s="2"/>
      <c r="H481" s="2"/>
      <c r="I481" s="2" t="str">
        <f>IFERROR(__xludf.DUMMYFUNCTION("""COMPUTED_VALUE"""),"ICM_Business_linked_launch")</f>
        <v>ICM_Business_linked_launch</v>
      </c>
      <c r="J481" s="2" t="str">
        <f>IFERROR(__xludf.DUMMYFUNCTION("""COMPUTED_VALUE"""),"uuid:7dda8819-6569-43fa-b32c-e78e7f6a5aea")</f>
        <v>uuid:7dda8819-6569-43fa-b32c-e78e7f6a5aea</v>
      </c>
    </row>
    <row r="482">
      <c r="A482" s="2" t="str">
        <f>IFERROR(__xludf.DUMMYFUNCTION("""COMPUTED_VALUE"""),"2025-09-25T10:54:24.347Z")</f>
        <v>2025-09-25T10:54:24.347Z</v>
      </c>
      <c r="B482" s="2" t="str">
        <f>IFERROR(__xludf.DUMMYFUNCTION("""COMPUTED_VALUE"""),"2025-09-25T07:20:16.550+08")</f>
        <v>2025-09-25T07:20:16.550+08</v>
      </c>
      <c r="C482" s="2" t="str">
        <f>IFERROR(__xludf.DUMMYFUNCTION("""COMPUTED_VALUE"""),"2025-09-25T15:41:57.791+08")</f>
        <v>2025-09-25T15:41:57.791+08</v>
      </c>
      <c r="D482" s="2" t="str">
        <f>IFERROR(__xludf.DUMMYFUNCTION("""COMPUTED_VALUE"""),"H006525029")</f>
        <v>H006525029</v>
      </c>
      <c r="E482" s="2" t="str">
        <f>IFERROR(__xludf.DUMMYFUNCTION("""COMPUTED_VALUE"""),"N7814260")</f>
        <v>N7814260</v>
      </c>
      <c r="F482" s="2" t="str">
        <f>IFERROR(__xludf.DUMMYFUNCTION("""COMPUTED_VALUE"""),"Jemma Marie Tillo")</f>
        <v>Jemma Marie Tillo</v>
      </c>
      <c r="G482" s="2"/>
      <c r="H482" s="2"/>
      <c r="I482" s="2" t="str">
        <f>IFERROR(__xludf.DUMMYFUNCTION("""COMPUTED_VALUE"""),"ICM_Business_linked_launch")</f>
        <v>ICM_Business_linked_launch</v>
      </c>
      <c r="J482" s="2" t="str">
        <f>IFERROR(__xludf.DUMMYFUNCTION("""COMPUTED_VALUE"""),"uuid:2298929f-a5bf-42a2-82a3-f789ef0d8294")</f>
        <v>uuid:2298929f-a5bf-42a2-82a3-f789ef0d8294</v>
      </c>
    </row>
    <row r="483">
      <c r="A483" s="2" t="str">
        <f>IFERROR(__xludf.DUMMYFUNCTION("""COMPUTED_VALUE"""),"2025-09-09T11:10:41.744Z")</f>
        <v>2025-09-09T11:10:41.744Z</v>
      </c>
      <c r="B483" s="2" t="str">
        <f>IFERROR(__xludf.DUMMYFUNCTION("""COMPUTED_VALUE"""),"2025-09-09T14:58:11.465+08")</f>
        <v>2025-09-09T14:58:11.465+08</v>
      </c>
      <c r="C483" s="2" t="str">
        <f>IFERROR(__xludf.DUMMYFUNCTION("""COMPUTED_VALUE"""),"2025-09-09T15:04:17.744+08")</f>
        <v>2025-09-09T15:04:17.744+08</v>
      </c>
      <c r="D483" s="2" t="str">
        <f>IFERROR(__xludf.DUMMYFUNCTION("""COMPUTED_VALUE"""),"H006525033")</f>
        <v>H006525033</v>
      </c>
      <c r="E483" s="2" t="str">
        <f>IFERROR(__xludf.DUMMYFUNCTION("""COMPUTED_VALUE"""),"O3925718")</f>
        <v>O3925718</v>
      </c>
      <c r="F483" s="2" t="str">
        <f>IFERROR(__xludf.DUMMYFUNCTION("""COMPUTED_VALUE"""),"Adrian Montecastro Ferrer")</f>
        <v>Adrian Montecastro Ferrer</v>
      </c>
      <c r="G483" s="2"/>
      <c r="H483" s="2"/>
      <c r="I483" s="2" t="str">
        <f>IFERROR(__xludf.DUMMYFUNCTION("""COMPUTED_VALUE"""),"ICM_Business_linked_launch")</f>
        <v>ICM_Business_linked_launch</v>
      </c>
      <c r="J483" s="2" t="str">
        <f>IFERROR(__xludf.DUMMYFUNCTION("""COMPUTED_VALUE"""),"uuid:9fbdbd9d-f169-4908-943f-5643280ae167")</f>
        <v>uuid:9fbdbd9d-f169-4908-943f-5643280ae167</v>
      </c>
    </row>
    <row r="484">
      <c r="A484" s="2" t="str">
        <f>IFERROR(__xludf.DUMMYFUNCTION("""COMPUTED_VALUE"""),"2025-09-09T11:11:41.341Z")</f>
        <v>2025-09-09T11:11:41.341Z</v>
      </c>
      <c r="B484" s="2" t="str">
        <f>IFERROR(__xludf.DUMMYFUNCTION("""COMPUTED_VALUE"""),"2025-09-09T09:45:10.448+08")</f>
        <v>2025-09-09T09:45:10.448+08</v>
      </c>
      <c r="C484" s="2" t="str">
        <f>IFERROR(__xludf.DUMMYFUNCTION("""COMPUTED_VALUE"""),"2025-09-09T09:59:50.161+08")</f>
        <v>2025-09-09T09:59:50.161+08</v>
      </c>
      <c r="D484" s="2" t="str">
        <f>IFERROR(__xludf.DUMMYFUNCTION("""COMPUTED_VALUE"""),"H006525035")</f>
        <v>H006525035</v>
      </c>
      <c r="E484" s="2" t="str">
        <f>IFERROR(__xludf.DUMMYFUNCTION("""COMPUTED_VALUE"""),"P1068432")</f>
        <v>P1068432</v>
      </c>
      <c r="F484" s="2" t="str">
        <f>IFERROR(__xludf.DUMMYFUNCTION("""COMPUTED_VALUE"""),"Mark Daniel Balagao Benson")</f>
        <v>Mark Daniel Balagao Benson</v>
      </c>
      <c r="G484" s="2"/>
      <c r="H484" s="2"/>
      <c r="I484" s="2" t="str">
        <f>IFERROR(__xludf.DUMMYFUNCTION("""COMPUTED_VALUE"""),"ICM_Business_linked_launch")</f>
        <v>ICM_Business_linked_launch</v>
      </c>
      <c r="J484" s="2" t="str">
        <f>IFERROR(__xludf.DUMMYFUNCTION("""COMPUTED_VALUE"""),"uuid:77701c3a-deb5-4b42-aab9-8d094d770f0c")</f>
        <v>uuid:77701c3a-deb5-4b42-aab9-8d094d770f0c</v>
      </c>
    </row>
    <row r="485">
      <c r="A485" s="2" t="str">
        <f>IFERROR(__xludf.DUMMYFUNCTION("""COMPUTED_VALUE"""),"2025-09-09T11:22:50.824Z")</f>
        <v>2025-09-09T11:22:50.824Z</v>
      </c>
      <c r="B485" s="2" t="str">
        <f>IFERROR(__xludf.DUMMYFUNCTION("""COMPUTED_VALUE"""),"2025-09-09T11:42:40.182+08")</f>
        <v>2025-09-09T11:42:40.182+08</v>
      </c>
      <c r="C485" s="2" t="str">
        <f>IFERROR(__xludf.DUMMYFUNCTION("""COMPUTED_VALUE"""),"2025-09-09T11:51:22.540+08")</f>
        <v>2025-09-09T11:51:22.540+08</v>
      </c>
      <c r="D485" s="2" t="str">
        <f>IFERROR(__xludf.DUMMYFUNCTION("""COMPUTED_VALUE"""),"H019591016")</f>
        <v>H019591016</v>
      </c>
      <c r="E485" s="2">
        <f>IFERROR(__xludf.DUMMYFUNCTION("""COMPUTED_VALUE"""),841329.0)</f>
        <v>841329</v>
      </c>
      <c r="F485" s="2" t="str">
        <f>IFERROR(__xludf.DUMMYFUNCTION("""COMPUTED_VALUE"""),"Aila Eli_2")</f>
        <v>Aila Eli_2</v>
      </c>
      <c r="G485" s="2"/>
      <c r="H485" s="2"/>
      <c r="I485" s="2" t="str">
        <f>IFERROR(__xludf.DUMMYFUNCTION("""COMPUTED_VALUE"""),"ICM_Business_linked_launch")</f>
        <v>ICM_Business_linked_launch</v>
      </c>
      <c r="J485" s="2" t="str">
        <f>IFERROR(__xludf.DUMMYFUNCTION("""COMPUTED_VALUE"""),"uuid:9d0ae1a7-46a4-46ec-b1cf-49c4ae36bf1a")</f>
        <v>uuid:9d0ae1a7-46a4-46ec-b1cf-49c4ae36bf1a</v>
      </c>
    </row>
    <row r="486">
      <c r="A486" s="2" t="str">
        <f>IFERROR(__xludf.DUMMYFUNCTION("""COMPUTED_VALUE"""),"2025-09-09T11:22:52.771Z")</f>
        <v>2025-09-09T11:22:52.771Z</v>
      </c>
      <c r="B486" s="2" t="str">
        <f>IFERROR(__xludf.DUMMYFUNCTION("""COMPUTED_VALUE"""),"2025-09-09T10:52:00.877+08")</f>
        <v>2025-09-09T10:52:00.877+08</v>
      </c>
      <c r="C486" s="2" t="str">
        <f>IFERROR(__xludf.DUMMYFUNCTION("""COMPUTED_VALUE"""),"2025-09-09T12:18:30.863+08")</f>
        <v>2025-09-09T12:18:30.863+08</v>
      </c>
      <c r="D486" s="2" t="str">
        <f>IFERROR(__xludf.DUMMYFUNCTION("""COMPUTED_VALUE"""),"H019591001")</f>
        <v>H019591001</v>
      </c>
      <c r="E486" s="2">
        <f>IFERROR(__xludf.DUMMYFUNCTION("""COMPUTED_VALUE"""),841329.0)</f>
        <v>841329</v>
      </c>
      <c r="F486" s="2" t="str">
        <f>IFERROR(__xludf.DUMMYFUNCTION("""COMPUTED_VALUE"""),"Aila Eli_2")</f>
        <v>Aila Eli_2</v>
      </c>
      <c r="G486" s="2"/>
      <c r="H486" s="2"/>
      <c r="I486" s="2" t="str">
        <f>IFERROR(__xludf.DUMMYFUNCTION("""COMPUTED_VALUE"""),"ICM_Business_linked_launch")</f>
        <v>ICM_Business_linked_launch</v>
      </c>
      <c r="J486" s="2" t="str">
        <f>IFERROR(__xludf.DUMMYFUNCTION("""COMPUTED_VALUE"""),"uuid:ecfacd3a-5788-4bab-bcb8-37355f04ad06")</f>
        <v>uuid:ecfacd3a-5788-4bab-bcb8-37355f04ad06</v>
      </c>
    </row>
    <row r="487">
      <c r="A487" s="2" t="str">
        <f>IFERROR(__xludf.DUMMYFUNCTION("""COMPUTED_VALUE"""),"2025-09-09T11:22:54.445Z")</f>
        <v>2025-09-09T11:22:54.445Z</v>
      </c>
      <c r="B487" s="2" t="str">
        <f>IFERROR(__xludf.DUMMYFUNCTION("""COMPUTED_VALUE"""),"2025-09-09T13:26:18.920+08")</f>
        <v>2025-09-09T13:26:18.920+08</v>
      </c>
      <c r="C487" s="2" t="str">
        <f>IFERROR(__xludf.DUMMYFUNCTION("""COMPUTED_VALUE"""),"2025-09-09T13:30:38.791+08")</f>
        <v>2025-09-09T13:30:38.791+08</v>
      </c>
      <c r="D487" s="2" t="str">
        <f>IFERROR(__xludf.DUMMYFUNCTION("""COMPUTED_VALUE"""),"H019591020")</f>
        <v>H019591020</v>
      </c>
      <c r="E487" s="2">
        <f>IFERROR(__xludf.DUMMYFUNCTION("""COMPUTED_VALUE"""),841329.0)</f>
        <v>841329</v>
      </c>
      <c r="F487" s="2" t="str">
        <f>IFERROR(__xludf.DUMMYFUNCTION("""COMPUTED_VALUE"""),"Aila Eli_2")</f>
        <v>Aila Eli_2</v>
      </c>
      <c r="G487" s="2"/>
      <c r="H487" s="2"/>
      <c r="I487" s="2" t="str">
        <f>IFERROR(__xludf.DUMMYFUNCTION("""COMPUTED_VALUE"""),"ICM_Business_linked_launch")</f>
        <v>ICM_Business_linked_launch</v>
      </c>
      <c r="J487" s="2" t="str">
        <f>IFERROR(__xludf.DUMMYFUNCTION("""COMPUTED_VALUE"""),"uuid:9e0891ef-d7fe-49f8-a49c-00bf8ca3ccae")</f>
        <v>uuid:9e0891ef-d7fe-49f8-a49c-00bf8ca3ccae</v>
      </c>
    </row>
    <row r="488">
      <c r="A488" s="2" t="str">
        <f>IFERROR(__xludf.DUMMYFUNCTION("""COMPUTED_VALUE"""),"2025-09-09T11:22:55.098Z")</f>
        <v>2025-09-09T11:22:55.098Z</v>
      </c>
      <c r="B488" s="2" t="str">
        <f>IFERROR(__xludf.DUMMYFUNCTION("""COMPUTED_VALUE"""),"2025-09-09T15:28:35.389+08")</f>
        <v>2025-09-09T15:28:35.389+08</v>
      </c>
      <c r="C488" s="2" t="str">
        <f>IFERROR(__xludf.DUMMYFUNCTION("""COMPUTED_VALUE"""),"2025-09-09T15:42:22.457+08")</f>
        <v>2025-09-09T15:42:22.457+08</v>
      </c>
      <c r="D488" s="2" t="str">
        <f>IFERROR(__xludf.DUMMYFUNCTION("""COMPUTED_VALUE"""),"H019591019")</f>
        <v>H019591019</v>
      </c>
      <c r="E488" s="2">
        <f>IFERROR(__xludf.DUMMYFUNCTION("""COMPUTED_VALUE"""),841329.0)</f>
        <v>841329</v>
      </c>
      <c r="F488" s="2" t="str">
        <f>IFERROR(__xludf.DUMMYFUNCTION("""COMPUTED_VALUE"""),"Aila Eli_2")</f>
        <v>Aila Eli_2</v>
      </c>
      <c r="G488" s="2"/>
      <c r="H488" s="2"/>
      <c r="I488" s="2" t="str">
        <f>IFERROR(__xludf.DUMMYFUNCTION("""COMPUTED_VALUE"""),"ICM_Business_linked_launch")</f>
        <v>ICM_Business_linked_launch</v>
      </c>
      <c r="J488" s="2" t="str">
        <f>IFERROR(__xludf.DUMMYFUNCTION("""COMPUTED_VALUE"""),"uuid:0046fac3-3904-4d03-aca2-4e626d687f0b")</f>
        <v>uuid:0046fac3-3904-4d03-aca2-4e626d687f0b</v>
      </c>
    </row>
    <row r="489">
      <c r="A489" s="2" t="str">
        <f>IFERROR(__xludf.DUMMYFUNCTION("""COMPUTED_VALUE"""),"2025-09-09T11:22:55.797Z")</f>
        <v>2025-09-09T11:22:55.797Z</v>
      </c>
      <c r="B489" s="2" t="str">
        <f>IFERROR(__xludf.DUMMYFUNCTION("""COMPUTED_VALUE"""),"2025-09-09T14:27:00.792+08")</f>
        <v>2025-09-09T14:27:00.792+08</v>
      </c>
      <c r="C489" s="2" t="str">
        <f>IFERROR(__xludf.DUMMYFUNCTION("""COMPUTED_VALUE"""),"2025-09-09T16:37:15.763+08")</f>
        <v>2025-09-09T16:37:15.763+08</v>
      </c>
      <c r="D489" s="2" t="str">
        <f>IFERROR(__xludf.DUMMYFUNCTION("""COMPUTED_VALUE"""),"H019591027")</f>
        <v>H019591027</v>
      </c>
      <c r="E489" s="2">
        <f>IFERROR(__xludf.DUMMYFUNCTION("""COMPUTED_VALUE"""),841329.0)</f>
        <v>841329</v>
      </c>
      <c r="F489" s="2" t="str">
        <f>IFERROR(__xludf.DUMMYFUNCTION("""COMPUTED_VALUE"""),"Aila Eli_2")</f>
        <v>Aila Eli_2</v>
      </c>
      <c r="G489" s="2"/>
      <c r="H489" s="2"/>
      <c r="I489" s="2" t="str">
        <f>IFERROR(__xludf.DUMMYFUNCTION("""COMPUTED_VALUE"""),"ICM_Business_linked_launch")</f>
        <v>ICM_Business_linked_launch</v>
      </c>
      <c r="J489" s="2" t="str">
        <f>IFERROR(__xludf.DUMMYFUNCTION("""COMPUTED_VALUE"""),"uuid:f6e8ad8b-6b3c-468c-91ad-d05c96a536f2")</f>
        <v>uuid:f6e8ad8b-6b3c-468c-91ad-d05c96a536f2</v>
      </c>
    </row>
    <row r="490">
      <c r="A490" s="2" t="str">
        <f>IFERROR(__xludf.DUMMYFUNCTION("""COMPUTED_VALUE"""),"2025-09-09T11:25:34.945Z")</f>
        <v>2025-09-09T11:25:34.945Z</v>
      </c>
      <c r="B490" s="2" t="str">
        <f>IFERROR(__xludf.DUMMYFUNCTION("""COMPUTED_VALUE"""),"2025-09-09T10:16:47.303+08")</f>
        <v>2025-09-09T10:16:47.303+08</v>
      </c>
      <c r="C490" s="2" t="str">
        <f>IFERROR(__xludf.DUMMYFUNCTION("""COMPUTED_VALUE"""),"2025-09-09T10:20:40.894+08")</f>
        <v>2025-09-09T10:20:40.894+08</v>
      </c>
      <c r="D490" s="2" t="str">
        <f>IFERROR(__xludf.DUMMYFUNCTION("""COMPUTED_VALUE"""),"H019591033")</f>
        <v>H019591033</v>
      </c>
      <c r="E490" s="2">
        <f>IFERROR(__xludf.DUMMYFUNCTION("""COMPUTED_VALUE"""),555127.0)</f>
        <v>555127</v>
      </c>
      <c r="F490" s="2" t="str">
        <f>IFERROR(__xludf.DUMMYFUNCTION("""COMPUTED_VALUE"""),"Mary May_2")</f>
        <v>Mary May_2</v>
      </c>
      <c r="G490" s="2"/>
      <c r="H490" s="2"/>
      <c r="I490" s="2" t="str">
        <f>IFERROR(__xludf.DUMMYFUNCTION("""COMPUTED_VALUE"""),"ICM_Business_linked_launch")</f>
        <v>ICM_Business_linked_launch</v>
      </c>
      <c r="J490" s="2" t="str">
        <f>IFERROR(__xludf.DUMMYFUNCTION("""COMPUTED_VALUE"""),"uuid:d2fb84eb-4fac-4d51-8b95-4cabd40f4196")</f>
        <v>uuid:d2fb84eb-4fac-4d51-8b95-4cabd40f4196</v>
      </c>
    </row>
    <row r="491">
      <c r="A491" s="2" t="str">
        <f>IFERROR(__xludf.DUMMYFUNCTION("""COMPUTED_VALUE"""),"2025-09-09T11:25:35.652Z")</f>
        <v>2025-09-09T11:25:35.652Z</v>
      </c>
      <c r="B491" s="2" t="str">
        <f>IFERROR(__xludf.DUMMYFUNCTION("""COMPUTED_VALUE"""),"2025-09-09T11:20:34.695+08")</f>
        <v>2025-09-09T11:20:34.695+08</v>
      </c>
      <c r="C491" s="2" t="str">
        <f>IFERROR(__xludf.DUMMYFUNCTION("""COMPUTED_VALUE"""),"2025-09-09T11:23:27.644+08")</f>
        <v>2025-09-09T11:23:27.644+08</v>
      </c>
      <c r="D491" s="2" t="str">
        <f>IFERROR(__xludf.DUMMYFUNCTION("""COMPUTED_VALUE"""),"H019591025")</f>
        <v>H019591025</v>
      </c>
      <c r="E491" s="2">
        <f>IFERROR(__xludf.DUMMYFUNCTION("""COMPUTED_VALUE"""),555127.0)</f>
        <v>555127</v>
      </c>
      <c r="F491" s="2" t="str">
        <f>IFERROR(__xludf.DUMMYFUNCTION("""COMPUTED_VALUE"""),"Mary May_2")</f>
        <v>Mary May_2</v>
      </c>
      <c r="G491" s="2"/>
      <c r="H491" s="2"/>
      <c r="I491" s="2" t="str">
        <f>IFERROR(__xludf.DUMMYFUNCTION("""COMPUTED_VALUE"""),"ICM_Business_linked_launch")</f>
        <v>ICM_Business_linked_launch</v>
      </c>
      <c r="J491" s="2" t="str">
        <f>IFERROR(__xludf.DUMMYFUNCTION("""COMPUTED_VALUE"""),"uuid:488fa1da-611b-4397-a341-955d798d2171")</f>
        <v>uuid:488fa1da-611b-4397-a341-955d798d2171</v>
      </c>
    </row>
    <row r="492">
      <c r="A492" s="2" t="str">
        <f>IFERROR(__xludf.DUMMYFUNCTION("""COMPUTED_VALUE"""),"2025-09-09T11:25:36.345Z")</f>
        <v>2025-09-09T11:25:36.345Z</v>
      </c>
      <c r="B492" s="2" t="str">
        <f>IFERROR(__xludf.DUMMYFUNCTION("""COMPUTED_VALUE"""),"2025-09-09T13:31:11.478+08")</f>
        <v>2025-09-09T13:31:11.478+08</v>
      </c>
      <c r="C492" s="2" t="str">
        <f>IFERROR(__xludf.DUMMYFUNCTION("""COMPUTED_VALUE"""),"2025-09-09T13:35:08.422+08")</f>
        <v>2025-09-09T13:35:08.422+08</v>
      </c>
      <c r="D492" s="2" t="str">
        <f>IFERROR(__xludf.DUMMYFUNCTION("""COMPUTED_VALUE"""),"H019591026")</f>
        <v>H019591026</v>
      </c>
      <c r="E492" s="2">
        <f>IFERROR(__xludf.DUMMYFUNCTION("""COMPUTED_VALUE"""),555127.0)</f>
        <v>555127</v>
      </c>
      <c r="F492" s="2" t="str">
        <f>IFERROR(__xludf.DUMMYFUNCTION("""COMPUTED_VALUE"""),"Mary May_2")</f>
        <v>Mary May_2</v>
      </c>
      <c r="G492" s="2"/>
      <c r="H492" s="2"/>
      <c r="I492" s="2" t="str">
        <f>IFERROR(__xludf.DUMMYFUNCTION("""COMPUTED_VALUE"""),"ICM_Business_linked_launch")</f>
        <v>ICM_Business_linked_launch</v>
      </c>
      <c r="J492" s="2" t="str">
        <f>IFERROR(__xludf.DUMMYFUNCTION("""COMPUTED_VALUE"""),"uuid:b5e426f1-128b-427b-8dfe-9e4e7f5dfe6b")</f>
        <v>uuid:b5e426f1-128b-427b-8dfe-9e4e7f5dfe6b</v>
      </c>
    </row>
    <row r="493">
      <c r="A493" s="2" t="str">
        <f>IFERROR(__xludf.DUMMYFUNCTION("""COMPUTED_VALUE"""),"2025-09-09T11:25:36.929Z")</f>
        <v>2025-09-09T11:25:36.929Z</v>
      </c>
      <c r="B493" s="2" t="str">
        <f>IFERROR(__xludf.DUMMYFUNCTION("""COMPUTED_VALUE"""),"2025-09-09T14:37:19.114+08")</f>
        <v>2025-09-09T14:37:19.114+08</v>
      </c>
      <c r="C493" s="2" t="str">
        <f>IFERROR(__xludf.DUMMYFUNCTION("""COMPUTED_VALUE"""),"2025-09-09T14:56:05.612+08")</f>
        <v>2025-09-09T14:56:05.612+08</v>
      </c>
      <c r="D493" s="2" t="str">
        <f>IFERROR(__xludf.DUMMYFUNCTION("""COMPUTED_VALUE"""),"H019591022")</f>
        <v>H019591022</v>
      </c>
      <c r="E493" s="2">
        <f>IFERROR(__xludf.DUMMYFUNCTION("""COMPUTED_VALUE"""),555127.0)</f>
        <v>555127</v>
      </c>
      <c r="F493" s="2" t="str">
        <f>IFERROR(__xludf.DUMMYFUNCTION("""COMPUTED_VALUE"""),"Mary May_2")</f>
        <v>Mary May_2</v>
      </c>
      <c r="G493" s="2"/>
      <c r="H493" s="2"/>
      <c r="I493" s="2" t="str">
        <f>IFERROR(__xludf.DUMMYFUNCTION("""COMPUTED_VALUE"""),"ICM_Business_linked_launch")</f>
        <v>ICM_Business_linked_launch</v>
      </c>
      <c r="J493" s="2" t="str">
        <f>IFERROR(__xludf.DUMMYFUNCTION("""COMPUTED_VALUE"""),"uuid:04c8cbe2-9c14-4848-818a-b32fdb2ec3fa")</f>
        <v>uuid:04c8cbe2-9c14-4848-818a-b32fdb2ec3fa</v>
      </c>
    </row>
    <row r="494">
      <c r="A494" s="2" t="str">
        <f>IFERROR(__xludf.DUMMYFUNCTION("""COMPUTED_VALUE"""),"2025-09-09T11:26:03.451Z")</f>
        <v>2025-09-09T11:26:03.451Z</v>
      </c>
      <c r="B494" s="2" t="str">
        <f>IFERROR(__xludf.DUMMYFUNCTION("""COMPUTED_VALUE"""),"2025-09-09T09:53:54.896+08")</f>
        <v>2025-09-09T09:53:54.896+08</v>
      </c>
      <c r="C494" s="2" t="str">
        <f>IFERROR(__xludf.DUMMYFUNCTION("""COMPUTED_VALUE"""),"2025-09-09T09:57:40.910+08")</f>
        <v>2025-09-09T09:57:40.910+08</v>
      </c>
      <c r="D494" s="2" t="str">
        <f>IFERROR(__xludf.DUMMYFUNCTION("""COMPUTED_VALUE"""),"H019591029")</f>
        <v>H019591029</v>
      </c>
      <c r="E494" s="2">
        <f>IFERROR(__xludf.DUMMYFUNCTION("""COMPUTED_VALUE"""),455939.0)</f>
        <v>455939</v>
      </c>
      <c r="F494" s="2" t="str">
        <f>IFERROR(__xludf.DUMMYFUNCTION("""COMPUTED_VALUE"""),"Mary Jean Villaflor_2")</f>
        <v>Mary Jean Villaflor_2</v>
      </c>
      <c r="G494" s="2"/>
      <c r="H494" s="2"/>
      <c r="I494" s="2" t="str">
        <f>IFERROR(__xludf.DUMMYFUNCTION("""COMPUTED_VALUE"""),"ICM_Business_linked_launch")</f>
        <v>ICM_Business_linked_launch</v>
      </c>
      <c r="J494" s="2" t="str">
        <f>IFERROR(__xludf.DUMMYFUNCTION("""COMPUTED_VALUE"""),"uuid:8a795934-8899-4d52-8ae9-0e301dae0c95")</f>
        <v>uuid:8a795934-8899-4d52-8ae9-0e301dae0c95</v>
      </c>
    </row>
    <row r="495">
      <c r="A495" s="2" t="str">
        <f>IFERROR(__xludf.DUMMYFUNCTION("""COMPUTED_VALUE"""),"2025-09-09T11:26:05.220Z")</f>
        <v>2025-09-09T11:26:05.220Z</v>
      </c>
      <c r="B495" s="2" t="str">
        <f>IFERROR(__xludf.DUMMYFUNCTION("""COMPUTED_VALUE"""),"2025-09-09T11:16:43.150+08")</f>
        <v>2025-09-09T11:16:43.150+08</v>
      </c>
      <c r="C495" s="2" t="str">
        <f>IFERROR(__xludf.DUMMYFUNCTION("""COMPUTED_VALUE"""),"2025-09-09T11:20:05.495+08")</f>
        <v>2025-09-09T11:20:05.495+08</v>
      </c>
      <c r="D495" s="2" t="str">
        <f>IFERROR(__xludf.DUMMYFUNCTION("""COMPUTED_VALUE"""),"H019591030")</f>
        <v>H019591030</v>
      </c>
      <c r="E495" s="2">
        <f>IFERROR(__xludf.DUMMYFUNCTION("""COMPUTED_VALUE"""),455939.0)</f>
        <v>455939</v>
      </c>
      <c r="F495" s="2" t="str">
        <f>IFERROR(__xludf.DUMMYFUNCTION("""COMPUTED_VALUE"""),"Mary Jean Villaflor_2")</f>
        <v>Mary Jean Villaflor_2</v>
      </c>
      <c r="G495" s="2"/>
      <c r="H495" s="2"/>
      <c r="I495" s="2" t="str">
        <f>IFERROR(__xludf.DUMMYFUNCTION("""COMPUTED_VALUE"""),"ICM_Business_linked_launch")</f>
        <v>ICM_Business_linked_launch</v>
      </c>
      <c r="J495" s="2" t="str">
        <f>IFERROR(__xludf.DUMMYFUNCTION("""COMPUTED_VALUE"""),"uuid:45b4f2b1-00ae-4c4b-92ce-931c3a287aab")</f>
        <v>uuid:45b4f2b1-00ae-4c4b-92ce-931c3a287aab</v>
      </c>
    </row>
    <row r="496">
      <c r="A496" s="2" t="str">
        <f>IFERROR(__xludf.DUMMYFUNCTION("""COMPUTED_VALUE"""),"2025-09-09T11:26:08.453Z")</f>
        <v>2025-09-09T11:26:08.453Z</v>
      </c>
      <c r="B496" s="2" t="str">
        <f>IFERROR(__xludf.DUMMYFUNCTION("""COMPUTED_VALUE"""),"2025-09-09T13:27:40.277+08")</f>
        <v>2025-09-09T13:27:40.277+08</v>
      </c>
      <c r="C496" s="2" t="str">
        <f>IFERROR(__xludf.DUMMYFUNCTION("""COMPUTED_VALUE"""),"2025-09-09T13:31:20.461+08")</f>
        <v>2025-09-09T13:31:20.461+08</v>
      </c>
      <c r="D496" s="2" t="str">
        <f>IFERROR(__xludf.DUMMYFUNCTION("""COMPUTED_VALUE"""),"H019591028")</f>
        <v>H019591028</v>
      </c>
      <c r="E496" s="2">
        <f>IFERROR(__xludf.DUMMYFUNCTION("""COMPUTED_VALUE"""),455939.0)</f>
        <v>455939</v>
      </c>
      <c r="F496" s="2" t="str">
        <f>IFERROR(__xludf.DUMMYFUNCTION("""COMPUTED_VALUE"""),"Mary Jean Villaflor_2")</f>
        <v>Mary Jean Villaflor_2</v>
      </c>
      <c r="G496" s="2"/>
      <c r="H496" s="2"/>
      <c r="I496" s="2" t="str">
        <f>IFERROR(__xludf.DUMMYFUNCTION("""COMPUTED_VALUE"""),"ICM_Business_linked_launch")</f>
        <v>ICM_Business_linked_launch</v>
      </c>
      <c r="J496" s="2" t="str">
        <f>IFERROR(__xludf.DUMMYFUNCTION("""COMPUTED_VALUE"""),"uuid:01b06496-f3d2-433a-acef-4a2bf8e7f6e3")</f>
        <v>uuid:01b06496-f3d2-433a-acef-4a2bf8e7f6e3</v>
      </c>
    </row>
    <row r="497">
      <c r="A497" s="2" t="str">
        <f>IFERROR(__xludf.DUMMYFUNCTION("""COMPUTED_VALUE"""),"2025-09-09T11:26:10.209Z")</f>
        <v>2025-09-09T11:26:10.209Z</v>
      </c>
      <c r="B497" s="2" t="str">
        <f>IFERROR(__xludf.DUMMYFUNCTION("""COMPUTED_VALUE"""),"2025-09-09T14:19:52.427+08")</f>
        <v>2025-09-09T14:19:52.427+08</v>
      </c>
      <c r="C497" s="2" t="str">
        <f>IFERROR(__xludf.DUMMYFUNCTION("""COMPUTED_VALUE"""),"2025-09-09T14:23:47.432+08")</f>
        <v>2025-09-09T14:23:47.432+08</v>
      </c>
      <c r="D497" s="2" t="str">
        <f>IFERROR(__xludf.DUMMYFUNCTION("""COMPUTED_VALUE"""),"H019591031")</f>
        <v>H019591031</v>
      </c>
      <c r="E497" s="2">
        <f>IFERROR(__xludf.DUMMYFUNCTION("""COMPUTED_VALUE"""),455939.0)</f>
        <v>455939</v>
      </c>
      <c r="F497" s="2" t="str">
        <f>IFERROR(__xludf.DUMMYFUNCTION("""COMPUTED_VALUE"""),"Mary Jean Villaflor_2")</f>
        <v>Mary Jean Villaflor_2</v>
      </c>
      <c r="G497" s="2"/>
      <c r="H497" s="2"/>
      <c r="I497" s="2" t="str">
        <f>IFERROR(__xludf.DUMMYFUNCTION("""COMPUTED_VALUE"""),"ICM_Business_linked_launch")</f>
        <v>ICM_Business_linked_launch</v>
      </c>
      <c r="J497" s="2" t="str">
        <f>IFERROR(__xludf.DUMMYFUNCTION("""COMPUTED_VALUE"""),"uuid:70c6ad95-4242-477d-9c1d-c8a632a1178f")</f>
        <v>uuid:70c6ad95-4242-477d-9c1d-c8a632a1178f</v>
      </c>
    </row>
    <row r="498">
      <c r="A498" s="2" t="str">
        <f>IFERROR(__xludf.DUMMYFUNCTION("""COMPUTED_VALUE"""),"2025-09-09T12:05:05.984Z")</f>
        <v>2025-09-09T12:05:05.984Z</v>
      </c>
      <c r="B498" s="2" t="str">
        <f>IFERROR(__xludf.DUMMYFUNCTION("""COMPUTED_VALUE"""),"2025-09-09T16:01:33.667+08")</f>
        <v>2025-09-09T16:01:33.667+08</v>
      </c>
      <c r="C498" s="2" t="str">
        <f>IFERROR(__xludf.DUMMYFUNCTION("""COMPUTED_VALUE"""),"2025-09-09T20:02:36.600+08")</f>
        <v>2025-09-09T20:02:36.600+08</v>
      </c>
      <c r="D498" s="2" t="str">
        <f>IFERROR(__xludf.DUMMYFUNCTION("""COMPUTED_VALUE"""),"H019423016")</f>
        <v>H019423016</v>
      </c>
      <c r="E498" s="2">
        <f>IFERROR(__xludf.DUMMYFUNCTION("""COMPUTED_VALUE"""),859767.0)</f>
        <v>859767</v>
      </c>
      <c r="F498" s="2" t="str">
        <f>IFERROR(__xludf.DUMMYFUNCTION("""COMPUTED_VALUE"""),"Ramie De Pedro Jr._2")</f>
        <v>Ramie De Pedro Jr._2</v>
      </c>
      <c r="G498" s="2"/>
      <c r="H498" s="2"/>
      <c r="I498" s="2" t="str">
        <f>IFERROR(__xludf.DUMMYFUNCTION("""COMPUTED_VALUE"""),"ICM_Business_linked_launch")</f>
        <v>ICM_Business_linked_launch</v>
      </c>
      <c r="J498" s="2" t="str">
        <f>IFERROR(__xludf.DUMMYFUNCTION("""COMPUTED_VALUE"""),"uuid:b33f0cd5-24e7-4c29-be9b-e48aa9aeebf4")</f>
        <v>uuid:b33f0cd5-24e7-4c29-be9b-e48aa9aeebf4</v>
      </c>
    </row>
    <row r="499">
      <c r="A499" s="2" t="str">
        <f>IFERROR(__xludf.DUMMYFUNCTION("""COMPUTED_VALUE"""),"2025-09-09T12:05:06.638Z")</f>
        <v>2025-09-09T12:05:06.638Z</v>
      </c>
      <c r="B499" s="2" t="str">
        <f>IFERROR(__xludf.DUMMYFUNCTION("""COMPUTED_VALUE"""),"2025-09-09T14:36:36.047+08")</f>
        <v>2025-09-09T14:36:36.047+08</v>
      </c>
      <c r="C499" s="2" t="str">
        <f>IFERROR(__xludf.DUMMYFUNCTION("""COMPUTED_VALUE"""),"2025-09-09T20:03:29.479+08")</f>
        <v>2025-09-09T20:03:29.479+08</v>
      </c>
      <c r="D499" s="2" t="str">
        <f>IFERROR(__xludf.DUMMYFUNCTION("""COMPUTED_VALUE"""),"H019423020")</f>
        <v>H019423020</v>
      </c>
      <c r="E499" s="2">
        <f>IFERROR(__xludf.DUMMYFUNCTION("""COMPUTED_VALUE"""),859767.0)</f>
        <v>859767</v>
      </c>
      <c r="F499" s="2" t="str">
        <f>IFERROR(__xludf.DUMMYFUNCTION("""COMPUTED_VALUE"""),"Ramie De Pedro Jr._2")</f>
        <v>Ramie De Pedro Jr._2</v>
      </c>
      <c r="G499" s="2"/>
      <c r="H499" s="2"/>
      <c r="I499" s="2" t="str">
        <f>IFERROR(__xludf.DUMMYFUNCTION("""COMPUTED_VALUE"""),"ICM_Business_linked_launch")</f>
        <v>ICM_Business_linked_launch</v>
      </c>
      <c r="J499" s="2" t="str">
        <f>IFERROR(__xludf.DUMMYFUNCTION("""COMPUTED_VALUE"""),"uuid:6565d60c-03bd-49f4-a088-71c3f6a1ff3e")</f>
        <v>uuid:6565d60c-03bd-49f4-a088-71c3f6a1ff3e</v>
      </c>
    </row>
    <row r="500">
      <c r="A500" s="2" t="str">
        <f>IFERROR(__xludf.DUMMYFUNCTION("""COMPUTED_VALUE"""),"2025-09-09T12:05:07.235Z")</f>
        <v>2025-09-09T12:05:07.235Z</v>
      </c>
      <c r="B500" s="2" t="str">
        <f>IFERROR(__xludf.DUMMYFUNCTION("""COMPUTED_VALUE"""),"2025-09-09T10:58:41.723+08")</f>
        <v>2025-09-09T10:58:41.723+08</v>
      </c>
      <c r="C500" s="2" t="str">
        <f>IFERROR(__xludf.DUMMYFUNCTION("""COMPUTED_VALUE"""),"2025-09-09T11:09:51.324+08")</f>
        <v>2025-09-09T11:09:51.324+08</v>
      </c>
      <c r="D500" s="2" t="str">
        <f>IFERROR(__xludf.DUMMYFUNCTION("""COMPUTED_VALUE"""),"H019423027")</f>
        <v>H019423027</v>
      </c>
      <c r="E500" s="2">
        <f>IFERROR(__xludf.DUMMYFUNCTION("""COMPUTED_VALUE"""),859767.0)</f>
        <v>859767</v>
      </c>
      <c r="F500" s="2" t="str">
        <f>IFERROR(__xludf.DUMMYFUNCTION("""COMPUTED_VALUE"""),"Ramie De Pedro Jr._2")</f>
        <v>Ramie De Pedro Jr._2</v>
      </c>
      <c r="G500" s="2"/>
      <c r="H500" s="2"/>
      <c r="I500" s="2" t="str">
        <f>IFERROR(__xludf.DUMMYFUNCTION("""COMPUTED_VALUE"""),"ICM_Business_linked_launch")</f>
        <v>ICM_Business_linked_launch</v>
      </c>
      <c r="J500" s="2" t="str">
        <f>IFERROR(__xludf.DUMMYFUNCTION("""COMPUTED_VALUE"""),"uuid:70be20f8-64e3-41da-96b0-52578601c0e7")</f>
        <v>uuid:70be20f8-64e3-41da-96b0-52578601c0e7</v>
      </c>
    </row>
    <row r="501">
      <c r="A501" s="2" t="str">
        <f>IFERROR(__xludf.DUMMYFUNCTION("""COMPUTED_VALUE"""),"2025-09-09T12:05:07.861Z")</f>
        <v>2025-09-09T12:05:07.861Z</v>
      </c>
      <c r="B501" s="2" t="str">
        <f>IFERROR(__xludf.DUMMYFUNCTION("""COMPUTED_VALUE"""),"2025-09-09T12:17:24.940+08")</f>
        <v>2025-09-09T12:17:24.940+08</v>
      </c>
      <c r="C501" s="2" t="str">
        <f>IFERROR(__xludf.DUMMYFUNCTION("""COMPUTED_VALUE"""),"2025-09-09T12:26:10.653+08")</f>
        <v>2025-09-09T12:26:10.653+08</v>
      </c>
      <c r="D501" s="2" t="str">
        <f>IFERROR(__xludf.DUMMYFUNCTION("""COMPUTED_VALUE"""),"H019423029")</f>
        <v>H019423029</v>
      </c>
      <c r="E501" s="2">
        <f>IFERROR(__xludf.DUMMYFUNCTION("""COMPUTED_VALUE"""),859767.0)</f>
        <v>859767</v>
      </c>
      <c r="F501" s="2" t="str">
        <f>IFERROR(__xludf.DUMMYFUNCTION("""COMPUTED_VALUE"""),"Ramie De Pedro Jr._2")</f>
        <v>Ramie De Pedro Jr._2</v>
      </c>
      <c r="G501" s="2"/>
      <c r="H501" s="2"/>
      <c r="I501" s="2" t="str">
        <f>IFERROR(__xludf.DUMMYFUNCTION("""COMPUTED_VALUE"""),"ICM_Business_linked_launch")</f>
        <v>ICM_Business_linked_launch</v>
      </c>
      <c r="J501" s="2" t="str">
        <f>IFERROR(__xludf.DUMMYFUNCTION("""COMPUTED_VALUE"""),"uuid:daddc611-8f1f-4c1f-9659-e7805a5e305e")</f>
        <v>uuid:daddc611-8f1f-4c1f-9659-e7805a5e305e</v>
      </c>
    </row>
    <row r="502">
      <c r="A502" s="2" t="str">
        <f>IFERROR(__xludf.DUMMYFUNCTION("""COMPUTED_VALUE"""),"2025-09-09T12:05:50.533Z")</f>
        <v>2025-09-09T12:05:50.533Z</v>
      </c>
      <c r="B502" s="2" t="str">
        <f>IFERROR(__xludf.DUMMYFUNCTION("""COMPUTED_VALUE"""),"2025-09-09T10:17:02.978+08")</f>
        <v>2025-09-09T10:17:02.978+08</v>
      </c>
      <c r="C502" s="2" t="str">
        <f>IFERROR(__xludf.DUMMYFUNCTION("""COMPUTED_VALUE"""),"2025-09-09T10:21:16.305+08")</f>
        <v>2025-09-09T10:21:16.305+08</v>
      </c>
      <c r="D502" s="2" t="str">
        <f>IFERROR(__xludf.DUMMYFUNCTION("""COMPUTED_VALUE"""),"H019423024")</f>
        <v>H019423024</v>
      </c>
      <c r="E502" s="2">
        <f>IFERROR(__xludf.DUMMYFUNCTION("""COMPUTED_VALUE"""),729375.0)</f>
        <v>729375</v>
      </c>
      <c r="F502" s="2" t="str">
        <f>IFERROR(__xludf.DUMMYFUNCTION("""COMPUTED_VALUE"""),"Janet Serafica_2")</f>
        <v>Janet Serafica_2</v>
      </c>
      <c r="G502" s="2"/>
      <c r="H502" s="2"/>
      <c r="I502" s="2" t="str">
        <f>IFERROR(__xludf.DUMMYFUNCTION("""COMPUTED_VALUE"""),"ICM_Business_linked_launch")</f>
        <v>ICM_Business_linked_launch</v>
      </c>
      <c r="J502" s="2" t="str">
        <f>IFERROR(__xludf.DUMMYFUNCTION("""COMPUTED_VALUE"""),"uuid:ee68d752-8a5e-403f-bbca-a1cb57370bf4")</f>
        <v>uuid:ee68d752-8a5e-403f-bbca-a1cb57370bf4</v>
      </c>
    </row>
    <row r="503">
      <c r="A503" s="2" t="str">
        <f>IFERROR(__xludf.DUMMYFUNCTION("""COMPUTED_VALUE"""),"2025-09-09T12:05:52.013Z")</f>
        <v>2025-09-09T12:05:52.013Z</v>
      </c>
      <c r="B503" s="2" t="str">
        <f>IFERROR(__xludf.DUMMYFUNCTION("""COMPUTED_VALUE"""),"2025-09-09T11:43:27.260+08")</f>
        <v>2025-09-09T11:43:27.260+08</v>
      </c>
      <c r="C503" s="2" t="str">
        <f>IFERROR(__xludf.DUMMYFUNCTION("""COMPUTED_VALUE"""),"2025-09-09T11:46:54.743+08")</f>
        <v>2025-09-09T11:46:54.743+08</v>
      </c>
      <c r="D503" s="2" t="str">
        <f>IFERROR(__xludf.DUMMYFUNCTION("""COMPUTED_VALUE"""),"H019423026")</f>
        <v>H019423026</v>
      </c>
      <c r="E503" s="2">
        <f>IFERROR(__xludf.DUMMYFUNCTION("""COMPUTED_VALUE"""),729375.0)</f>
        <v>729375</v>
      </c>
      <c r="F503" s="2" t="str">
        <f>IFERROR(__xludf.DUMMYFUNCTION("""COMPUTED_VALUE"""),"Janet Serafica_2")</f>
        <v>Janet Serafica_2</v>
      </c>
      <c r="G503" s="2"/>
      <c r="H503" s="2"/>
      <c r="I503" s="2" t="str">
        <f>IFERROR(__xludf.DUMMYFUNCTION("""COMPUTED_VALUE"""),"ICM_Business_linked_launch")</f>
        <v>ICM_Business_linked_launch</v>
      </c>
      <c r="J503" s="2" t="str">
        <f>IFERROR(__xludf.DUMMYFUNCTION("""COMPUTED_VALUE"""),"uuid:1d34e313-eb26-4249-b89a-b7367b9b0c3e")</f>
        <v>uuid:1d34e313-eb26-4249-b89a-b7367b9b0c3e</v>
      </c>
    </row>
    <row r="504">
      <c r="A504" s="2" t="str">
        <f>IFERROR(__xludf.DUMMYFUNCTION("""COMPUTED_VALUE"""),"2025-09-09T12:05:54.088Z")</f>
        <v>2025-09-09T12:05:54.088Z</v>
      </c>
      <c r="B504" s="2" t="str">
        <f>IFERROR(__xludf.DUMMYFUNCTION("""COMPUTED_VALUE"""),"2025-09-09T15:07:50.228+08")</f>
        <v>2025-09-09T15:07:50.228+08</v>
      </c>
      <c r="C504" s="2" t="str">
        <f>IFERROR(__xludf.DUMMYFUNCTION("""COMPUTED_VALUE"""),"2025-09-09T15:13:13.312+08")</f>
        <v>2025-09-09T15:13:13.312+08</v>
      </c>
      <c r="D504" s="2" t="str">
        <f>IFERROR(__xludf.DUMMYFUNCTION("""COMPUTED_VALUE"""),"H019423018")</f>
        <v>H019423018</v>
      </c>
      <c r="E504" s="2">
        <f>IFERROR(__xludf.DUMMYFUNCTION("""COMPUTED_VALUE"""),729375.0)</f>
        <v>729375</v>
      </c>
      <c r="F504" s="2" t="str">
        <f>IFERROR(__xludf.DUMMYFUNCTION("""COMPUTED_VALUE"""),"Janet Serafica_2")</f>
        <v>Janet Serafica_2</v>
      </c>
      <c r="G504" s="2"/>
      <c r="H504" s="2"/>
      <c r="I504" s="2" t="str">
        <f>IFERROR(__xludf.DUMMYFUNCTION("""COMPUTED_VALUE"""),"ICM_Business_linked_launch")</f>
        <v>ICM_Business_linked_launch</v>
      </c>
      <c r="J504" s="2" t="str">
        <f>IFERROR(__xludf.DUMMYFUNCTION("""COMPUTED_VALUE"""),"uuid:a8d5792c-588d-4a98-b935-424739b8063a")</f>
        <v>uuid:a8d5792c-588d-4a98-b935-424739b8063a</v>
      </c>
    </row>
    <row r="505">
      <c r="A505" s="2" t="str">
        <f>IFERROR(__xludf.DUMMYFUNCTION("""COMPUTED_VALUE"""),"2025-09-09T12:05:55.696Z")</f>
        <v>2025-09-09T12:05:55.696Z</v>
      </c>
      <c r="B505" s="2" t="str">
        <f>IFERROR(__xludf.DUMMYFUNCTION("""COMPUTED_VALUE"""),"2025-09-09T15:36:02.890+08")</f>
        <v>2025-09-09T15:36:02.890+08</v>
      </c>
      <c r="C505" s="2" t="str">
        <f>IFERROR(__xludf.DUMMYFUNCTION("""COMPUTED_VALUE"""),"2025-09-09T15:38:43.841+08")</f>
        <v>2025-09-09T15:38:43.841+08</v>
      </c>
      <c r="D505" s="2" t="str">
        <f>IFERROR(__xludf.DUMMYFUNCTION("""COMPUTED_VALUE"""),"H019423023")</f>
        <v>H019423023</v>
      </c>
      <c r="E505" s="2">
        <f>IFERROR(__xludf.DUMMYFUNCTION("""COMPUTED_VALUE"""),729375.0)</f>
        <v>729375</v>
      </c>
      <c r="F505" s="2" t="str">
        <f>IFERROR(__xludf.DUMMYFUNCTION("""COMPUTED_VALUE"""),"Janet Serafica_2")</f>
        <v>Janet Serafica_2</v>
      </c>
      <c r="G505" s="2"/>
      <c r="H505" s="2"/>
      <c r="I505" s="2" t="str">
        <f>IFERROR(__xludf.DUMMYFUNCTION("""COMPUTED_VALUE"""),"ICM_Business_linked_launch")</f>
        <v>ICM_Business_linked_launch</v>
      </c>
      <c r="J505" s="2" t="str">
        <f>IFERROR(__xludf.DUMMYFUNCTION("""COMPUTED_VALUE"""),"uuid:555b7d0f-add9-4775-8850-bdc0a1974b4e")</f>
        <v>uuid:555b7d0f-add9-4775-8850-bdc0a1974b4e</v>
      </c>
    </row>
    <row r="506">
      <c r="A506" s="2" t="str">
        <f>IFERROR(__xludf.DUMMYFUNCTION("""COMPUTED_VALUE"""),"2025-09-09T12:34:10.265Z")</f>
        <v>2025-09-09T12:34:10.265Z</v>
      </c>
      <c r="B506" s="2" t="str">
        <f>IFERROR(__xludf.DUMMYFUNCTION("""COMPUTED_VALUE"""),"2025-09-09T10:26:02.831+08")</f>
        <v>2025-09-09T10:26:02.831+08</v>
      </c>
      <c r="C506" s="2" t="str">
        <f>IFERROR(__xludf.DUMMYFUNCTION("""COMPUTED_VALUE"""),"2025-09-09T10:36:33.814+08")</f>
        <v>2025-09-09T10:36:33.814+08</v>
      </c>
      <c r="D506" s="2" t="str">
        <f>IFERROR(__xludf.DUMMYFUNCTION("""COMPUTED_VALUE"""),"H019423002")</f>
        <v>H019423002</v>
      </c>
      <c r="E506" s="2" t="str">
        <f>IFERROR(__xludf.DUMMYFUNCTION("""COMPUTED_VALUE"""),"S2671943")</f>
        <v>S2671943</v>
      </c>
      <c r="F506" s="2" t="str">
        <f>IFERROR(__xludf.DUMMYFUNCTION("""COMPUTED_VALUE"""),"Marvin Mondia")</f>
        <v>Marvin Mondia</v>
      </c>
      <c r="G506" s="2"/>
      <c r="H506" s="2"/>
      <c r="I506" s="2" t="str">
        <f>IFERROR(__xludf.DUMMYFUNCTION("""COMPUTED_VALUE"""),"ICM_Business_linked_launch")</f>
        <v>ICM_Business_linked_launch</v>
      </c>
      <c r="J506" s="2" t="str">
        <f>IFERROR(__xludf.DUMMYFUNCTION("""COMPUTED_VALUE"""),"uuid:16ceaaa4-5f09-4276-a3de-108a01ecbb08")</f>
        <v>uuid:16ceaaa4-5f09-4276-a3de-108a01ecbb08</v>
      </c>
    </row>
    <row r="507">
      <c r="A507" s="2" t="str">
        <f>IFERROR(__xludf.DUMMYFUNCTION("""COMPUTED_VALUE"""),"2025-09-09T12:34:11.851Z")</f>
        <v>2025-09-09T12:34:11.851Z</v>
      </c>
      <c r="B507" s="2" t="str">
        <f>IFERROR(__xludf.DUMMYFUNCTION("""COMPUTED_VALUE"""),"2025-09-09T11:33:57.763+08")</f>
        <v>2025-09-09T11:33:57.763+08</v>
      </c>
      <c r="C507" s="2" t="str">
        <f>IFERROR(__xludf.DUMMYFUNCTION("""COMPUTED_VALUE"""),"2025-09-09T11:36:08.898+08")</f>
        <v>2025-09-09T11:36:08.898+08</v>
      </c>
      <c r="D507" s="2" t="str">
        <f>IFERROR(__xludf.DUMMYFUNCTION("""COMPUTED_VALUE"""),"H019423019")</f>
        <v>H019423019</v>
      </c>
      <c r="E507" s="2" t="str">
        <f>IFERROR(__xludf.DUMMYFUNCTION("""COMPUTED_VALUE"""),"S2671943")</f>
        <v>S2671943</v>
      </c>
      <c r="F507" s="2" t="str">
        <f>IFERROR(__xludf.DUMMYFUNCTION("""COMPUTED_VALUE"""),"Marvin Mondia")</f>
        <v>Marvin Mondia</v>
      </c>
      <c r="G507" s="2"/>
      <c r="H507" s="2"/>
      <c r="I507" s="2" t="str">
        <f>IFERROR(__xludf.DUMMYFUNCTION("""COMPUTED_VALUE"""),"ICM_Business_linked_launch")</f>
        <v>ICM_Business_linked_launch</v>
      </c>
      <c r="J507" s="2" t="str">
        <f>IFERROR(__xludf.DUMMYFUNCTION("""COMPUTED_VALUE"""),"uuid:e5df9cd7-55e5-4270-af9e-1ae577ee026c")</f>
        <v>uuid:e5df9cd7-55e5-4270-af9e-1ae577ee026c</v>
      </c>
    </row>
    <row r="508">
      <c r="A508" s="2" t="str">
        <f>IFERROR(__xludf.DUMMYFUNCTION("""COMPUTED_VALUE"""),"2025-09-09T12:34:13.289Z")</f>
        <v>2025-09-09T12:34:13.289Z</v>
      </c>
      <c r="B508" s="2" t="str">
        <f>IFERROR(__xludf.DUMMYFUNCTION("""COMPUTED_VALUE"""),"2025-09-09T14:53:45.368+08")</f>
        <v>2025-09-09T14:53:45.368+08</v>
      </c>
      <c r="C508" s="2" t="str">
        <f>IFERROR(__xludf.DUMMYFUNCTION("""COMPUTED_VALUE"""),"2025-09-09T14:55:20.728+08")</f>
        <v>2025-09-09T14:55:20.728+08</v>
      </c>
      <c r="D508" s="2" t="str">
        <f>IFERROR(__xludf.DUMMYFUNCTION("""COMPUTED_VALUE"""),"H019423028")</f>
        <v>H019423028</v>
      </c>
      <c r="E508" s="2" t="str">
        <f>IFERROR(__xludf.DUMMYFUNCTION("""COMPUTED_VALUE"""),"S2671943")</f>
        <v>S2671943</v>
      </c>
      <c r="F508" s="2" t="str">
        <f>IFERROR(__xludf.DUMMYFUNCTION("""COMPUTED_VALUE"""),"Marvin Mondia")</f>
        <v>Marvin Mondia</v>
      </c>
      <c r="G508" s="2"/>
      <c r="H508" s="2"/>
      <c r="I508" s="2" t="str">
        <f>IFERROR(__xludf.DUMMYFUNCTION("""COMPUTED_VALUE"""),"ICM_Business_linked_launch")</f>
        <v>ICM_Business_linked_launch</v>
      </c>
      <c r="J508" s="2" t="str">
        <f>IFERROR(__xludf.DUMMYFUNCTION("""COMPUTED_VALUE"""),"uuid:5d9a00c5-9406-4c41-aa35-fe1a812783ea")</f>
        <v>uuid:5d9a00c5-9406-4c41-aa35-fe1a812783ea</v>
      </c>
    </row>
    <row r="509">
      <c r="A509" s="2" t="str">
        <f>IFERROR(__xludf.DUMMYFUNCTION("""COMPUTED_VALUE"""),"2025-09-09T12:34:15.072Z")</f>
        <v>2025-09-09T12:34:15.072Z</v>
      </c>
      <c r="B509" s="2" t="str">
        <f>IFERROR(__xludf.DUMMYFUNCTION("""COMPUTED_VALUE"""),"2025-09-09T16:00:40.699+08")</f>
        <v>2025-09-09T16:00:40.699+08</v>
      </c>
      <c r="C509" s="2" t="str">
        <f>IFERROR(__xludf.DUMMYFUNCTION("""COMPUTED_VALUE"""),"2025-09-09T16:07:25.767+08")</f>
        <v>2025-09-09T16:07:25.767+08</v>
      </c>
      <c r="D509" s="2" t="str">
        <f>IFERROR(__xludf.DUMMYFUNCTION("""COMPUTED_VALUE"""),"H019423031")</f>
        <v>H019423031</v>
      </c>
      <c r="E509" s="2" t="str">
        <f>IFERROR(__xludf.DUMMYFUNCTION("""COMPUTED_VALUE"""),"S2671943")</f>
        <v>S2671943</v>
      </c>
      <c r="F509" s="2" t="str">
        <f>IFERROR(__xludf.DUMMYFUNCTION("""COMPUTED_VALUE"""),"Marvin Mondia")</f>
        <v>Marvin Mondia</v>
      </c>
      <c r="G509" s="2"/>
      <c r="H509" s="2"/>
      <c r="I509" s="2" t="str">
        <f>IFERROR(__xludf.DUMMYFUNCTION("""COMPUTED_VALUE"""),"ICM_Business_linked_launch")</f>
        <v>ICM_Business_linked_launch</v>
      </c>
      <c r="J509" s="2" t="str">
        <f>IFERROR(__xludf.DUMMYFUNCTION("""COMPUTED_VALUE"""),"uuid:da478b04-1156-41aa-80d4-d1a4626a6b31")</f>
        <v>uuid:da478b04-1156-41aa-80d4-d1a4626a6b31</v>
      </c>
    </row>
    <row r="510">
      <c r="A510" s="2" t="str">
        <f>IFERROR(__xludf.DUMMYFUNCTION("""COMPUTED_VALUE"""),"2025-09-09T12:34:16.285Z")</f>
        <v>2025-09-09T12:34:16.285Z</v>
      </c>
      <c r="B510" s="2" t="str">
        <f>IFERROR(__xludf.DUMMYFUNCTION("""COMPUTED_VALUE"""),"2025-09-09T17:17:47.645+08")</f>
        <v>2025-09-09T17:17:47.645+08</v>
      </c>
      <c r="C510" s="2" t="str">
        <f>IFERROR(__xludf.DUMMYFUNCTION("""COMPUTED_VALUE"""),"2025-09-09T17:27:39.452+08")</f>
        <v>2025-09-09T17:27:39.452+08</v>
      </c>
      <c r="D510" s="2" t="str">
        <f>IFERROR(__xludf.DUMMYFUNCTION("""COMPUTED_VALUE"""),"H019423017")</f>
        <v>H019423017</v>
      </c>
      <c r="E510" s="2" t="str">
        <f>IFERROR(__xludf.DUMMYFUNCTION("""COMPUTED_VALUE"""),"S2671943")</f>
        <v>S2671943</v>
      </c>
      <c r="F510" s="2" t="str">
        <f>IFERROR(__xludf.DUMMYFUNCTION("""COMPUTED_VALUE"""),"Marvin Mondia")</f>
        <v>Marvin Mondia</v>
      </c>
      <c r="G510" s="2"/>
      <c r="H510" s="2"/>
      <c r="I510" s="2" t="str">
        <f>IFERROR(__xludf.DUMMYFUNCTION("""COMPUTED_VALUE"""),"ICM_Business_linked_launch")</f>
        <v>ICM_Business_linked_launch</v>
      </c>
      <c r="J510" s="2" t="str">
        <f>IFERROR(__xludf.DUMMYFUNCTION("""COMPUTED_VALUE"""),"uuid:edc798ed-65d2-4cc9-8d46-43fb0573c475")</f>
        <v>uuid:edc798ed-65d2-4cc9-8d46-43fb0573c475</v>
      </c>
    </row>
    <row r="511">
      <c r="A511" s="2" t="str">
        <f>IFERROR(__xludf.DUMMYFUNCTION("""COMPUTED_VALUE"""),"2025-09-09T12:41:18.045Z")</f>
        <v>2025-09-09T12:41:18.045Z</v>
      </c>
      <c r="B511" s="2" t="str">
        <f>IFERROR(__xludf.DUMMYFUNCTION("""COMPUTED_VALUE"""),"2025-09-09T10:11:42.706+08")</f>
        <v>2025-09-09T10:11:42.706+08</v>
      </c>
      <c r="C511" s="2" t="str">
        <f>IFERROR(__xludf.DUMMYFUNCTION("""COMPUTED_VALUE"""),"2025-09-09T10:36:56.020+08")</f>
        <v>2025-09-09T10:36:56.020+08</v>
      </c>
      <c r="D511" s="2" t="str">
        <f>IFERROR(__xludf.DUMMYFUNCTION("""COMPUTED_VALUE"""),"H030790023")</f>
        <v>H030790023</v>
      </c>
      <c r="E511" s="2" t="str">
        <f>IFERROR(__xludf.DUMMYFUNCTION("""COMPUTED_VALUE"""),"F3051749")</f>
        <v>F3051749</v>
      </c>
      <c r="F511" s="2" t="str">
        <f>IFERROR(__xludf.DUMMYFUNCTION("""COMPUTED_VALUE"""),"Elenita Gicos De La Pe�a")</f>
        <v>Elenita Gicos De La Pe�a</v>
      </c>
      <c r="G511" s="2"/>
      <c r="H511" s="2"/>
      <c r="I511" s="2" t="str">
        <f>IFERROR(__xludf.DUMMYFUNCTION("""COMPUTED_VALUE"""),"ICM_Business_linked_launch")</f>
        <v>ICM_Business_linked_launch</v>
      </c>
      <c r="J511" s="2" t="str">
        <f>IFERROR(__xludf.DUMMYFUNCTION("""COMPUTED_VALUE"""),"uuid:70fe9030-c026-4167-a120-faf1a4239500")</f>
        <v>uuid:70fe9030-c026-4167-a120-faf1a4239500</v>
      </c>
    </row>
    <row r="512">
      <c r="A512" s="2" t="str">
        <f>IFERROR(__xludf.DUMMYFUNCTION("""COMPUTED_VALUE"""),"2025-09-09T12:41:19.037Z")</f>
        <v>2025-09-09T12:41:19.037Z</v>
      </c>
      <c r="B512" s="2" t="str">
        <f>IFERROR(__xludf.DUMMYFUNCTION("""COMPUTED_VALUE"""),"2025-09-09T12:50:23.476+08")</f>
        <v>2025-09-09T12:50:23.476+08</v>
      </c>
      <c r="C512" s="2" t="str">
        <f>IFERROR(__xludf.DUMMYFUNCTION("""COMPUTED_VALUE"""),"2025-09-09T13:04:25.016+08")</f>
        <v>2025-09-09T13:04:25.016+08</v>
      </c>
      <c r="D512" s="2" t="str">
        <f>IFERROR(__xludf.DUMMYFUNCTION("""COMPUTED_VALUE"""),"H030790035")</f>
        <v>H030790035</v>
      </c>
      <c r="E512" s="2" t="str">
        <f>IFERROR(__xludf.DUMMYFUNCTION("""COMPUTED_VALUE"""),"F3051749")</f>
        <v>F3051749</v>
      </c>
      <c r="F512" s="2" t="str">
        <f>IFERROR(__xludf.DUMMYFUNCTION("""COMPUTED_VALUE"""),"Elenita Gicos De La Pe�a")</f>
        <v>Elenita Gicos De La Pe�a</v>
      </c>
      <c r="G512" s="2"/>
      <c r="H512" s="2"/>
      <c r="I512" s="2" t="str">
        <f>IFERROR(__xludf.DUMMYFUNCTION("""COMPUTED_VALUE"""),"ICM_Business_linked_launch")</f>
        <v>ICM_Business_linked_launch</v>
      </c>
      <c r="J512" s="2" t="str">
        <f>IFERROR(__xludf.DUMMYFUNCTION("""COMPUTED_VALUE"""),"uuid:9023ce16-4095-4934-bd5b-e92f2c4ec524")</f>
        <v>uuid:9023ce16-4095-4934-bd5b-e92f2c4ec524</v>
      </c>
    </row>
    <row r="513">
      <c r="A513" s="2" t="str">
        <f>IFERROR(__xludf.DUMMYFUNCTION("""COMPUTED_VALUE"""),"2025-09-09T12:41:21.096Z")</f>
        <v>2025-09-09T12:41:21.096Z</v>
      </c>
      <c r="B513" s="2" t="str">
        <f>IFERROR(__xludf.DUMMYFUNCTION("""COMPUTED_VALUE"""),"2025-09-09T15:02:08.636+08")</f>
        <v>2025-09-09T15:02:08.636+08</v>
      </c>
      <c r="C513" s="2" t="str">
        <f>IFERROR(__xludf.DUMMYFUNCTION("""COMPUTED_VALUE"""),"2025-09-09T15:16:52.526+08")</f>
        <v>2025-09-09T15:16:52.526+08</v>
      </c>
      <c r="D513" s="2" t="str">
        <f>IFERROR(__xludf.DUMMYFUNCTION("""COMPUTED_VALUE"""),"H030790027")</f>
        <v>H030790027</v>
      </c>
      <c r="E513" s="2" t="str">
        <f>IFERROR(__xludf.DUMMYFUNCTION("""COMPUTED_VALUE"""),"F3051749")</f>
        <v>F3051749</v>
      </c>
      <c r="F513" s="2" t="str">
        <f>IFERROR(__xludf.DUMMYFUNCTION("""COMPUTED_VALUE"""),"Elenita Gicos De La Pe�a")</f>
        <v>Elenita Gicos De La Pe�a</v>
      </c>
      <c r="G513" s="2"/>
      <c r="H513" s="2"/>
      <c r="I513" s="2" t="str">
        <f>IFERROR(__xludf.DUMMYFUNCTION("""COMPUTED_VALUE"""),"ICM_Business_linked_launch")</f>
        <v>ICM_Business_linked_launch</v>
      </c>
      <c r="J513" s="2" t="str">
        <f>IFERROR(__xludf.DUMMYFUNCTION("""COMPUTED_VALUE"""),"uuid:60ced4bb-ba25-4051-a6b9-5c9a22a5b43d")</f>
        <v>uuid:60ced4bb-ba25-4051-a6b9-5c9a22a5b43d</v>
      </c>
    </row>
    <row r="514">
      <c r="A514" s="2" t="str">
        <f>IFERROR(__xludf.DUMMYFUNCTION("""COMPUTED_VALUE"""),"2025-09-09T12:41:22.943Z")</f>
        <v>2025-09-09T12:41:22.943Z</v>
      </c>
      <c r="B514" s="2" t="str">
        <f>IFERROR(__xludf.DUMMYFUNCTION("""COMPUTED_VALUE"""),"2025-09-09T17:07:40.635+08")</f>
        <v>2025-09-09T17:07:40.635+08</v>
      </c>
      <c r="C514" s="2" t="str">
        <f>IFERROR(__xludf.DUMMYFUNCTION("""COMPUTED_VALUE"""),"2025-09-09T17:25:22.308+08")</f>
        <v>2025-09-09T17:25:22.308+08</v>
      </c>
      <c r="D514" s="2" t="str">
        <f>IFERROR(__xludf.DUMMYFUNCTION("""COMPUTED_VALUE"""),"H030790022")</f>
        <v>H030790022</v>
      </c>
      <c r="E514" s="2" t="str">
        <f>IFERROR(__xludf.DUMMYFUNCTION("""COMPUTED_VALUE"""),"F3051749")</f>
        <v>F3051749</v>
      </c>
      <c r="F514" s="2" t="str">
        <f>IFERROR(__xludf.DUMMYFUNCTION("""COMPUTED_VALUE"""),"Elenita Gicos De La Pe�a")</f>
        <v>Elenita Gicos De La Pe�a</v>
      </c>
      <c r="G514" s="2"/>
      <c r="H514" s="2"/>
      <c r="I514" s="2" t="str">
        <f>IFERROR(__xludf.DUMMYFUNCTION("""COMPUTED_VALUE"""),"ICM_Business_linked_launch")</f>
        <v>ICM_Business_linked_launch</v>
      </c>
      <c r="J514" s="2" t="str">
        <f>IFERROR(__xludf.DUMMYFUNCTION("""COMPUTED_VALUE"""),"uuid:9a3119fb-cde3-4db2-85cd-08bfdc00a06b")</f>
        <v>uuid:9a3119fb-cde3-4db2-85cd-08bfdc00a06b</v>
      </c>
    </row>
    <row r="515">
      <c r="A515" s="2" t="str">
        <f>IFERROR(__xludf.DUMMYFUNCTION("""COMPUTED_VALUE"""),"2025-09-10T10:13:40.321Z")</f>
        <v>2025-09-10T10:13:40.321Z</v>
      </c>
      <c r="B515" s="2" t="str">
        <f>IFERROR(__xludf.DUMMYFUNCTION("""COMPUTED_VALUE"""),"2025-09-10T12:54:17.068+08")</f>
        <v>2025-09-10T12:54:17.068+08</v>
      </c>
      <c r="C515" s="2" t="str">
        <f>IFERROR(__xludf.DUMMYFUNCTION("""COMPUTED_VALUE"""),"2025-09-10T12:57:32.262+08")</f>
        <v>2025-09-10T12:57:32.262+08</v>
      </c>
      <c r="D515" s="2" t="str">
        <f>IFERROR(__xludf.DUMMYFUNCTION("""COMPUTED_VALUE"""),"H006689023")</f>
        <v>H006689023</v>
      </c>
      <c r="E515" s="2" t="str">
        <f>IFERROR(__xludf.DUMMYFUNCTION("""COMPUTED_VALUE"""),"O3925718")</f>
        <v>O3925718</v>
      </c>
      <c r="F515" s="2" t="str">
        <f>IFERROR(__xludf.DUMMYFUNCTION("""COMPUTED_VALUE"""),"Adrian Montecastro Ferrer")</f>
        <v>Adrian Montecastro Ferrer</v>
      </c>
      <c r="G515" s="2"/>
      <c r="H515" s="2"/>
      <c r="I515" s="2" t="str">
        <f>IFERROR(__xludf.DUMMYFUNCTION("""COMPUTED_VALUE"""),"ICM_Business_linked_launch")</f>
        <v>ICM_Business_linked_launch</v>
      </c>
      <c r="J515" s="2" t="str">
        <f>IFERROR(__xludf.DUMMYFUNCTION("""COMPUTED_VALUE"""),"uuid:44431288-97ea-4c8a-acb3-51e5ab073b57")</f>
        <v>uuid:44431288-97ea-4c8a-acb3-51e5ab073b57</v>
      </c>
    </row>
    <row r="516">
      <c r="A516" s="2" t="str">
        <f>IFERROR(__xludf.DUMMYFUNCTION("""COMPUTED_VALUE"""),"2025-09-10T10:13:41.654Z")</f>
        <v>2025-09-10T10:13:41.654Z</v>
      </c>
      <c r="B516" s="2" t="str">
        <f>IFERROR(__xludf.DUMMYFUNCTION("""COMPUTED_VALUE"""),"2025-09-10T14:17:16.110+08")</f>
        <v>2025-09-10T14:17:16.110+08</v>
      </c>
      <c r="C516" s="2" t="str">
        <f>IFERROR(__xludf.DUMMYFUNCTION("""COMPUTED_VALUE"""),"2025-09-10T14:36:02.736+08")</f>
        <v>2025-09-10T14:36:02.736+08</v>
      </c>
      <c r="D516" s="2" t="str">
        <f>IFERROR(__xludf.DUMMYFUNCTION("""COMPUTED_VALUE"""),"H006689025")</f>
        <v>H006689025</v>
      </c>
      <c r="E516" s="2" t="str">
        <f>IFERROR(__xludf.DUMMYFUNCTION("""COMPUTED_VALUE"""),"O3925718")</f>
        <v>O3925718</v>
      </c>
      <c r="F516" s="2" t="str">
        <f>IFERROR(__xludf.DUMMYFUNCTION("""COMPUTED_VALUE"""),"Adrian Montecastro Ferrer")</f>
        <v>Adrian Montecastro Ferrer</v>
      </c>
      <c r="G516" s="2"/>
      <c r="H516" s="2"/>
      <c r="I516" s="2" t="str">
        <f>IFERROR(__xludf.DUMMYFUNCTION("""COMPUTED_VALUE"""),"ICM_Business_linked_launch")</f>
        <v>ICM_Business_linked_launch</v>
      </c>
      <c r="J516" s="2" t="str">
        <f>IFERROR(__xludf.DUMMYFUNCTION("""COMPUTED_VALUE"""),"uuid:4bc2a55e-c794-449b-8d63-0b29b7d7dfc8")</f>
        <v>uuid:4bc2a55e-c794-449b-8d63-0b29b7d7dfc8</v>
      </c>
    </row>
    <row r="517">
      <c r="A517" s="2" t="str">
        <f>IFERROR(__xludf.DUMMYFUNCTION("""COMPUTED_VALUE"""),"2025-09-10T10:44:34.999Z")</f>
        <v>2025-09-10T10:44:34.999Z</v>
      </c>
      <c r="B517" s="2" t="str">
        <f>IFERROR(__xludf.DUMMYFUNCTION("""COMPUTED_VALUE"""),"2025-09-10T12:39:45.740+08")</f>
        <v>2025-09-10T12:39:45.740+08</v>
      </c>
      <c r="C517" s="2" t="str">
        <f>IFERROR(__xludf.DUMMYFUNCTION("""COMPUTED_VALUE"""),"2025-09-10T12:56:21.503+08")</f>
        <v>2025-09-10T12:56:21.503+08</v>
      </c>
      <c r="D517" s="2" t="str">
        <f>IFERROR(__xludf.DUMMYFUNCTION("""COMPUTED_VALUE"""),"H006689029")</f>
        <v>H006689029</v>
      </c>
      <c r="E517" s="2" t="str">
        <f>IFERROR(__xludf.DUMMYFUNCTION("""COMPUTED_VALUE"""),"N7814260")</f>
        <v>N7814260</v>
      </c>
      <c r="F517" s="2" t="str">
        <f>IFERROR(__xludf.DUMMYFUNCTION("""COMPUTED_VALUE"""),"Jemma Marie Tillo")</f>
        <v>Jemma Marie Tillo</v>
      </c>
      <c r="G517" s="2"/>
      <c r="H517" s="2"/>
      <c r="I517" s="2" t="str">
        <f>IFERROR(__xludf.DUMMYFUNCTION("""COMPUTED_VALUE"""),"ICM_Business_linked_launch")</f>
        <v>ICM_Business_linked_launch</v>
      </c>
      <c r="J517" s="2" t="str">
        <f>IFERROR(__xludf.DUMMYFUNCTION("""COMPUTED_VALUE"""),"uuid:756c163e-a960-4ec3-bf0d-88cc55d3dd4f")</f>
        <v>uuid:756c163e-a960-4ec3-bf0d-88cc55d3dd4f</v>
      </c>
    </row>
    <row r="518">
      <c r="A518" s="2" t="str">
        <f>IFERROR(__xludf.DUMMYFUNCTION("""COMPUTED_VALUE"""),"2025-09-10T10:44:37.816Z")</f>
        <v>2025-09-10T10:44:37.816Z</v>
      </c>
      <c r="B518" s="2" t="str">
        <f>IFERROR(__xludf.DUMMYFUNCTION("""COMPUTED_VALUE"""),"2025-09-10T14:56:09.294+08")</f>
        <v>2025-09-10T14:56:09.294+08</v>
      </c>
      <c r="C518" s="2" t="str">
        <f>IFERROR(__xludf.DUMMYFUNCTION("""COMPUTED_VALUE"""),"2025-09-10T16:27:02.393+08")</f>
        <v>2025-09-10T16:27:02.393+08</v>
      </c>
      <c r="D518" s="2" t="str">
        <f>IFERROR(__xludf.DUMMYFUNCTION("""COMPUTED_VALUE"""),"H006689030")</f>
        <v>H006689030</v>
      </c>
      <c r="E518" s="2" t="str">
        <f>IFERROR(__xludf.DUMMYFUNCTION("""COMPUTED_VALUE"""),"N7814260")</f>
        <v>N7814260</v>
      </c>
      <c r="F518" s="2" t="str">
        <f>IFERROR(__xludf.DUMMYFUNCTION("""COMPUTED_VALUE"""),"Jemma Marie Tillo")</f>
        <v>Jemma Marie Tillo</v>
      </c>
      <c r="G518" s="2"/>
      <c r="H518" s="2"/>
      <c r="I518" s="2" t="str">
        <f>IFERROR(__xludf.DUMMYFUNCTION("""COMPUTED_VALUE"""),"ICM_Business_linked_launch")</f>
        <v>ICM_Business_linked_launch</v>
      </c>
      <c r="J518" s="2" t="str">
        <f>IFERROR(__xludf.DUMMYFUNCTION("""COMPUTED_VALUE"""),"uuid:edf26d54-9eff-44a7-8880-ab0028e0f4d4")</f>
        <v>uuid:edf26d54-9eff-44a7-8880-ab0028e0f4d4</v>
      </c>
    </row>
    <row r="519">
      <c r="A519" s="2" t="str">
        <f>IFERROR(__xludf.DUMMYFUNCTION("""COMPUTED_VALUE"""),"2025-09-10T11:03:42.435Z")</f>
        <v>2025-09-10T11:03:42.435Z</v>
      </c>
      <c r="B519" s="2" t="str">
        <f>IFERROR(__xludf.DUMMYFUNCTION("""COMPUTED_VALUE"""),"2025-09-10T13:52:55.069+08")</f>
        <v>2025-09-10T13:52:55.069+08</v>
      </c>
      <c r="C519" s="2" t="str">
        <f>IFERROR(__xludf.DUMMYFUNCTION("""COMPUTED_VALUE"""),"2025-09-10T14:03:04.416+08")</f>
        <v>2025-09-10T14:03:04.416+08</v>
      </c>
      <c r="D519" s="2" t="str">
        <f>IFERROR(__xludf.DUMMYFUNCTION("""COMPUTED_VALUE"""),"H030373026")</f>
        <v>H030373026</v>
      </c>
      <c r="E519" s="2" t="str">
        <f>IFERROR(__xludf.DUMMYFUNCTION("""COMPUTED_VALUE"""),"H2846135")</f>
        <v>H2846135</v>
      </c>
      <c r="F519" s="2" t="str">
        <f>IFERROR(__xludf.DUMMYFUNCTION("""COMPUTED_VALUE"""),"Annalou Empanado Encontro")</f>
        <v>Annalou Empanado Encontro</v>
      </c>
      <c r="G519" s="2"/>
      <c r="H519" s="2"/>
      <c r="I519" s="2" t="str">
        <f>IFERROR(__xludf.DUMMYFUNCTION("""COMPUTED_VALUE"""),"ICM_Business_linked_launch")</f>
        <v>ICM_Business_linked_launch</v>
      </c>
      <c r="J519" s="2" t="str">
        <f>IFERROR(__xludf.DUMMYFUNCTION("""COMPUTED_VALUE"""),"uuid:50d71853-313b-4d3e-84b0-93678ea33d84")</f>
        <v>uuid:50d71853-313b-4d3e-84b0-93678ea33d84</v>
      </c>
    </row>
    <row r="520">
      <c r="A520" s="2" t="str">
        <f>IFERROR(__xludf.DUMMYFUNCTION("""COMPUTED_VALUE"""),"2025-09-10T11:03:50.181Z")</f>
        <v>2025-09-10T11:03:50.181Z</v>
      </c>
      <c r="B520" s="2" t="str">
        <f>IFERROR(__xludf.DUMMYFUNCTION("""COMPUTED_VALUE"""),"2025-09-10T12:18:49.963+08")</f>
        <v>2025-09-10T12:18:49.963+08</v>
      </c>
      <c r="C520" s="2" t="str">
        <f>IFERROR(__xludf.DUMMYFUNCTION("""COMPUTED_VALUE"""),"2025-09-10T12:30:56.692+08")</f>
        <v>2025-09-10T12:30:56.692+08</v>
      </c>
      <c r="D520" s="2" t="str">
        <f>IFERROR(__xludf.DUMMYFUNCTION("""COMPUTED_VALUE"""),"H030373023")</f>
        <v>H030373023</v>
      </c>
      <c r="E520" s="2" t="str">
        <f>IFERROR(__xludf.DUMMYFUNCTION("""COMPUTED_VALUE"""),"H2846135")</f>
        <v>H2846135</v>
      </c>
      <c r="F520" s="2" t="str">
        <f>IFERROR(__xludf.DUMMYFUNCTION("""COMPUTED_VALUE"""),"Annalou Empanado Encontro")</f>
        <v>Annalou Empanado Encontro</v>
      </c>
      <c r="G520" s="2"/>
      <c r="H520" s="2"/>
      <c r="I520" s="2" t="str">
        <f>IFERROR(__xludf.DUMMYFUNCTION("""COMPUTED_VALUE"""),"ICM_Business_linked_launch")</f>
        <v>ICM_Business_linked_launch</v>
      </c>
      <c r="J520" s="2" t="str">
        <f>IFERROR(__xludf.DUMMYFUNCTION("""COMPUTED_VALUE"""),"uuid:7ca96eda-f775-42f0-b6d2-144ed6b8d7a0")</f>
        <v>uuid:7ca96eda-f775-42f0-b6d2-144ed6b8d7a0</v>
      </c>
    </row>
    <row r="521">
      <c r="A521" s="2" t="str">
        <f>IFERROR(__xludf.DUMMYFUNCTION("""COMPUTED_VALUE"""),"2025-09-10T11:05:17.529Z")</f>
        <v>2025-09-10T11:05:17.529Z</v>
      </c>
      <c r="B521" s="2" t="str">
        <f>IFERROR(__xludf.DUMMYFUNCTION("""COMPUTED_VALUE"""),"2025-09-10T13:24:16.572+08")</f>
        <v>2025-09-10T13:24:16.572+08</v>
      </c>
      <c r="C521" s="2" t="str">
        <f>IFERROR(__xludf.DUMMYFUNCTION("""COMPUTED_VALUE"""),"2025-09-10T13:47:03.997+08")</f>
        <v>2025-09-10T13:47:03.997+08</v>
      </c>
      <c r="D521" s="2" t="str">
        <f>IFERROR(__xludf.DUMMYFUNCTION("""COMPUTED_VALUE"""),"H006689024")</f>
        <v>H006689024</v>
      </c>
      <c r="E521" s="2" t="str">
        <f>IFERROR(__xludf.DUMMYFUNCTION("""COMPUTED_VALUE"""),"P1068432")</f>
        <v>P1068432</v>
      </c>
      <c r="F521" s="2" t="str">
        <f>IFERROR(__xludf.DUMMYFUNCTION("""COMPUTED_VALUE"""),"Mark Daniel Balagao Benson")</f>
        <v>Mark Daniel Balagao Benson</v>
      </c>
      <c r="G521" s="2"/>
      <c r="H521" s="2"/>
      <c r="I521" s="2" t="str">
        <f>IFERROR(__xludf.DUMMYFUNCTION("""COMPUTED_VALUE"""),"ICM_Business_linked_launch")</f>
        <v>ICM_Business_linked_launch</v>
      </c>
      <c r="J521" s="2" t="str">
        <f>IFERROR(__xludf.DUMMYFUNCTION("""COMPUTED_VALUE"""),"uuid:b5015e85-bfed-4b60-a0e7-1b25aa84a041")</f>
        <v>uuid:b5015e85-bfed-4b60-a0e7-1b25aa84a041</v>
      </c>
    </row>
    <row r="522">
      <c r="A522" s="2" t="str">
        <f>IFERROR(__xludf.DUMMYFUNCTION("""COMPUTED_VALUE"""),"2025-09-10T11:05:22.126Z")</f>
        <v>2025-09-10T11:05:22.126Z</v>
      </c>
      <c r="B522" s="2" t="str">
        <f>IFERROR(__xludf.DUMMYFUNCTION("""COMPUTED_VALUE"""),"2025-09-10T15:09:43.036+08")</f>
        <v>2025-09-10T15:09:43.036+08</v>
      </c>
      <c r="C522" s="2" t="str">
        <f>IFERROR(__xludf.DUMMYFUNCTION("""COMPUTED_VALUE"""),"2025-09-10T15:47:13.985+08")</f>
        <v>2025-09-10T15:47:13.985+08</v>
      </c>
      <c r="D522" s="2" t="str">
        <f>IFERROR(__xludf.DUMMYFUNCTION("""COMPUTED_VALUE"""),"H006689033")</f>
        <v>H006689033</v>
      </c>
      <c r="E522" s="2" t="str">
        <f>IFERROR(__xludf.DUMMYFUNCTION("""COMPUTED_VALUE"""),"P1068432")</f>
        <v>P1068432</v>
      </c>
      <c r="F522" s="2" t="str">
        <f>IFERROR(__xludf.DUMMYFUNCTION("""COMPUTED_VALUE"""),"Mark Daniel Balagao Benson")</f>
        <v>Mark Daniel Balagao Benson</v>
      </c>
      <c r="G522" s="2"/>
      <c r="H522" s="2"/>
      <c r="I522" s="2" t="str">
        <f>IFERROR(__xludf.DUMMYFUNCTION("""COMPUTED_VALUE"""),"ICM_Business_linked_launch")</f>
        <v>ICM_Business_linked_launch</v>
      </c>
      <c r="J522" s="2" t="str">
        <f>IFERROR(__xludf.DUMMYFUNCTION("""COMPUTED_VALUE"""),"uuid:ae2d4b49-e67d-478f-9d48-5c11ea37fcea")</f>
        <v>uuid:ae2d4b49-e67d-478f-9d48-5c11ea37fcea</v>
      </c>
    </row>
    <row r="523">
      <c r="A523" s="2" t="str">
        <f>IFERROR(__xludf.DUMMYFUNCTION("""COMPUTED_VALUE"""),"2025-09-10T11:15:22.631Z")</f>
        <v>2025-09-10T11:15:22.631Z</v>
      </c>
      <c r="B523" s="2" t="str">
        <f>IFERROR(__xludf.DUMMYFUNCTION("""COMPUTED_VALUE"""),"2025-09-10T12:22:28.564+08")</f>
        <v>2025-09-10T12:22:28.564+08</v>
      </c>
      <c r="C523" s="2" t="str">
        <f>IFERROR(__xludf.DUMMYFUNCTION("""COMPUTED_VALUE"""),"2025-09-10T12:30:24.251+08")</f>
        <v>2025-09-10T12:30:24.251+08</v>
      </c>
      <c r="D523" s="2" t="str">
        <f>IFERROR(__xludf.DUMMYFUNCTION("""COMPUTED_VALUE"""),"H030373031")</f>
        <v>H030373031</v>
      </c>
      <c r="E523" s="2" t="str">
        <f>IFERROR(__xludf.DUMMYFUNCTION("""COMPUTED_VALUE"""),"F3051749")</f>
        <v>F3051749</v>
      </c>
      <c r="F523" s="2" t="str">
        <f>IFERROR(__xludf.DUMMYFUNCTION("""COMPUTED_VALUE"""),"Elenita Gicos De La Pe�a")</f>
        <v>Elenita Gicos De La Pe�a</v>
      </c>
      <c r="G523" s="2"/>
      <c r="H523" s="2"/>
      <c r="I523" s="2" t="str">
        <f>IFERROR(__xludf.DUMMYFUNCTION("""COMPUTED_VALUE"""),"ICM_Business_linked_launch")</f>
        <v>ICM_Business_linked_launch</v>
      </c>
      <c r="J523" s="2" t="str">
        <f>IFERROR(__xludf.DUMMYFUNCTION("""COMPUTED_VALUE"""),"uuid:5e9dfa67-4200-46a9-9306-e740c2bbe331")</f>
        <v>uuid:5e9dfa67-4200-46a9-9306-e740c2bbe331</v>
      </c>
    </row>
    <row r="524">
      <c r="A524" s="2" t="str">
        <f>IFERROR(__xludf.DUMMYFUNCTION("""COMPUTED_VALUE"""),"2025-09-10T11:23:09.494Z")</f>
        <v>2025-09-10T11:23:09.494Z</v>
      </c>
      <c r="B524" s="2" t="str">
        <f>IFERROR(__xludf.DUMMYFUNCTION("""COMPUTED_VALUE"""),"2025-09-10T12:08:12.595+08")</f>
        <v>2025-09-10T12:08:12.595+08</v>
      </c>
      <c r="C524" s="2" t="str">
        <f>IFERROR(__xludf.DUMMYFUNCTION("""COMPUTED_VALUE"""),"2025-09-10T12:35:17.870+08")</f>
        <v>2025-09-10T12:35:17.870+08</v>
      </c>
      <c r="D524" s="2" t="str">
        <f>IFERROR(__xludf.DUMMYFUNCTION("""COMPUTED_VALUE"""),"H030373016")</f>
        <v>H030373016</v>
      </c>
      <c r="E524" s="2" t="str">
        <f>IFERROR(__xludf.DUMMYFUNCTION("""COMPUTED_VALUE"""),"G5472901")</f>
        <v>G5472901</v>
      </c>
      <c r="F524" s="2" t="str">
        <f>IFERROR(__xludf.DUMMYFUNCTION("""COMPUTED_VALUE"""),"Wellyn Grace Alaban Parcia")</f>
        <v>Wellyn Grace Alaban Parcia</v>
      </c>
      <c r="G524" s="2"/>
      <c r="H524" s="2"/>
      <c r="I524" s="2" t="str">
        <f>IFERROR(__xludf.DUMMYFUNCTION("""COMPUTED_VALUE"""),"ICM_Business_linked_launch")</f>
        <v>ICM_Business_linked_launch</v>
      </c>
      <c r="J524" s="2" t="str">
        <f>IFERROR(__xludf.DUMMYFUNCTION("""COMPUTED_VALUE"""),"uuid:919deae1-23b4-4821-b526-723423e92779")</f>
        <v>uuid:919deae1-23b4-4821-b526-723423e92779</v>
      </c>
    </row>
    <row r="525">
      <c r="A525" s="2" t="str">
        <f>IFERROR(__xludf.DUMMYFUNCTION("""COMPUTED_VALUE"""),"2025-09-11T10:04:22.509Z")</f>
        <v>2025-09-11T10:04:22.509Z</v>
      </c>
      <c r="B525" s="2" t="str">
        <f>IFERROR(__xludf.DUMMYFUNCTION("""COMPUTED_VALUE"""),"2025-09-11T10:43:10.830+08")</f>
        <v>2025-09-11T10:43:10.830+08</v>
      </c>
      <c r="C525" s="2" t="str">
        <f>IFERROR(__xludf.DUMMYFUNCTION("""COMPUTED_VALUE"""),"2025-09-11T11:04:02.925+08")</f>
        <v>2025-09-11T11:04:02.925+08</v>
      </c>
      <c r="D525" s="2" t="str">
        <f>IFERROR(__xludf.DUMMYFUNCTION("""COMPUTED_VALUE"""),"H030373028")</f>
        <v>H030373028</v>
      </c>
      <c r="E525" s="2" t="str">
        <f>IFERROR(__xludf.DUMMYFUNCTION("""COMPUTED_VALUE"""),"G5472901")</f>
        <v>G5472901</v>
      </c>
      <c r="F525" s="2" t="str">
        <f>IFERROR(__xludf.DUMMYFUNCTION("""COMPUTED_VALUE"""),"Wellyn Grace Alaban Parcia")</f>
        <v>Wellyn Grace Alaban Parcia</v>
      </c>
      <c r="G525" s="2"/>
      <c r="H525" s="2"/>
      <c r="I525" s="2" t="str">
        <f>IFERROR(__xludf.DUMMYFUNCTION("""COMPUTED_VALUE"""),"ICM_Business_linked_launch")</f>
        <v>ICM_Business_linked_launch</v>
      </c>
      <c r="J525" s="2" t="str">
        <f>IFERROR(__xludf.DUMMYFUNCTION("""COMPUTED_VALUE"""),"uuid:09db65a4-472e-4856-bb5b-cd0fe7bf200b")</f>
        <v>uuid:09db65a4-472e-4856-bb5b-cd0fe7bf200b</v>
      </c>
    </row>
    <row r="526">
      <c r="A526" s="2" t="str">
        <f>IFERROR(__xludf.DUMMYFUNCTION("""COMPUTED_VALUE"""),"2025-09-11T10:04:23.604Z")</f>
        <v>2025-09-11T10:04:23.604Z</v>
      </c>
      <c r="B526" s="2" t="str">
        <f>IFERROR(__xludf.DUMMYFUNCTION("""COMPUTED_VALUE"""),"2025-09-11T13:11:11.417+08")</f>
        <v>2025-09-11T13:11:11.417+08</v>
      </c>
      <c r="C526" s="2" t="str">
        <f>IFERROR(__xludf.DUMMYFUNCTION("""COMPUTED_VALUE"""),"2025-09-11T13:27:41.280+08")</f>
        <v>2025-09-11T13:27:41.280+08</v>
      </c>
      <c r="D526" s="2" t="str">
        <f>IFERROR(__xludf.DUMMYFUNCTION("""COMPUTED_VALUE"""),"H030373030")</f>
        <v>H030373030</v>
      </c>
      <c r="E526" s="2" t="str">
        <f>IFERROR(__xludf.DUMMYFUNCTION("""COMPUTED_VALUE"""),"G5472901")</f>
        <v>G5472901</v>
      </c>
      <c r="F526" s="2" t="str">
        <f>IFERROR(__xludf.DUMMYFUNCTION("""COMPUTED_VALUE"""),"Wellyn Grace Alaban Parcia")</f>
        <v>Wellyn Grace Alaban Parcia</v>
      </c>
      <c r="G526" s="2"/>
      <c r="H526" s="2"/>
      <c r="I526" s="2" t="str">
        <f>IFERROR(__xludf.DUMMYFUNCTION("""COMPUTED_VALUE"""),"ICM_Business_linked_launch")</f>
        <v>ICM_Business_linked_launch</v>
      </c>
      <c r="J526" s="2" t="str">
        <f>IFERROR(__xludf.DUMMYFUNCTION("""COMPUTED_VALUE"""),"uuid:dd1c460d-356c-4838-b3ae-86c1e7bc6340")</f>
        <v>uuid:dd1c460d-356c-4838-b3ae-86c1e7bc6340</v>
      </c>
    </row>
    <row r="527">
      <c r="A527" s="2" t="str">
        <f>IFERROR(__xludf.DUMMYFUNCTION("""COMPUTED_VALUE"""),"2025-09-11T10:07:43.790Z")</f>
        <v>2025-09-11T10:07:43.790Z</v>
      </c>
      <c r="B527" s="2" t="str">
        <f>IFERROR(__xludf.DUMMYFUNCTION("""COMPUTED_VALUE"""),"2025-09-11T13:40:52.125+08")</f>
        <v>2025-09-11T13:40:52.125+08</v>
      </c>
      <c r="C527" s="2" t="str">
        <f>IFERROR(__xludf.DUMMYFUNCTION("""COMPUTED_VALUE"""),"2025-09-11T13:56:45.336+08")</f>
        <v>2025-09-11T13:56:45.336+08</v>
      </c>
      <c r="D527" s="2" t="str">
        <f>IFERROR(__xludf.DUMMYFUNCTION("""COMPUTED_VALUE"""),"H030373017")</f>
        <v>H030373017</v>
      </c>
      <c r="E527" s="2" t="str">
        <f>IFERROR(__xludf.DUMMYFUNCTION("""COMPUTED_VALUE"""),"H2846135")</f>
        <v>H2846135</v>
      </c>
      <c r="F527" s="2" t="str">
        <f>IFERROR(__xludf.DUMMYFUNCTION("""COMPUTED_VALUE"""),"Annalou Empanado Encontro")</f>
        <v>Annalou Empanado Encontro</v>
      </c>
      <c r="G527" s="2"/>
      <c r="H527" s="2"/>
      <c r="I527" s="2" t="str">
        <f>IFERROR(__xludf.DUMMYFUNCTION("""COMPUTED_VALUE"""),"ICM_Business_linked_launch")</f>
        <v>ICM_Business_linked_launch</v>
      </c>
      <c r="J527" s="2" t="str">
        <f>IFERROR(__xludf.DUMMYFUNCTION("""COMPUTED_VALUE"""),"uuid:21f39472-6b12-42d6-8f93-fcf508d1ff89")</f>
        <v>uuid:21f39472-6b12-42d6-8f93-fcf508d1ff89</v>
      </c>
    </row>
    <row r="528">
      <c r="A528" s="2" t="str">
        <f>IFERROR(__xludf.DUMMYFUNCTION("""COMPUTED_VALUE"""),"2025-09-11T10:07:45.056Z")</f>
        <v>2025-09-11T10:07:45.056Z</v>
      </c>
      <c r="B528" s="2" t="str">
        <f>IFERROR(__xludf.DUMMYFUNCTION("""COMPUTED_VALUE"""),"2025-09-11T12:28:37.133+08")</f>
        <v>2025-09-11T12:28:37.133+08</v>
      </c>
      <c r="C528" s="2" t="str">
        <f>IFERROR(__xludf.DUMMYFUNCTION("""COMPUTED_VALUE"""),"2025-09-11T12:38:31.584+08")</f>
        <v>2025-09-11T12:38:31.584+08</v>
      </c>
      <c r="D528" s="2" t="str">
        <f>IFERROR(__xludf.DUMMYFUNCTION("""COMPUTED_VALUE"""),"H030373021")</f>
        <v>H030373021</v>
      </c>
      <c r="E528" s="2" t="str">
        <f>IFERROR(__xludf.DUMMYFUNCTION("""COMPUTED_VALUE"""),"H2846135")</f>
        <v>H2846135</v>
      </c>
      <c r="F528" s="2" t="str">
        <f>IFERROR(__xludf.DUMMYFUNCTION("""COMPUTED_VALUE"""),"Annalou Empanado Encontro")</f>
        <v>Annalou Empanado Encontro</v>
      </c>
      <c r="G528" s="2"/>
      <c r="H528" s="2"/>
      <c r="I528" s="2" t="str">
        <f>IFERROR(__xludf.DUMMYFUNCTION("""COMPUTED_VALUE"""),"ICM_Business_linked_launch")</f>
        <v>ICM_Business_linked_launch</v>
      </c>
      <c r="J528" s="2" t="str">
        <f>IFERROR(__xludf.DUMMYFUNCTION("""COMPUTED_VALUE"""),"uuid:0cab1ba6-a555-402c-b795-746d1676fb93")</f>
        <v>uuid:0cab1ba6-a555-402c-b795-746d1676fb93</v>
      </c>
    </row>
    <row r="529">
      <c r="A529" s="2" t="str">
        <f>IFERROR(__xludf.DUMMYFUNCTION("""COMPUTED_VALUE"""),"2025-09-11T10:07:48.191Z")</f>
        <v>2025-09-11T10:07:48.191Z</v>
      </c>
      <c r="B529" s="2" t="str">
        <f>IFERROR(__xludf.DUMMYFUNCTION("""COMPUTED_VALUE"""),"2025-09-11T10:34:37.047+08")</f>
        <v>2025-09-11T10:34:37.047+08</v>
      </c>
      <c r="C529" s="2" t="str">
        <f>IFERROR(__xludf.DUMMYFUNCTION("""COMPUTED_VALUE"""),"2025-09-11T10:47:47.221+08")</f>
        <v>2025-09-11T10:47:47.221+08</v>
      </c>
      <c r="D529" s="2" t="str">
        <f>IFERROR(__xludf.DUMMYFUNCTION("""COMPUTED_VALUE"""),"H030373034")</f>
        <v>H030373034</v>
      </c>
      <c r="E529" s="2" t="str">
        <f>IFERROR(__xludf.DUMMYFUNCTION("""COMPUTED_VALUE"""),"H2846135")</f>
        <v>H2846135</v>
      </c>
      <c r="F529" s="2" t="str">
        <f>IFERROR(__xludf.DUMMYFUNCTION("""COMPUTED_VALUE"""),"Annalou Empanado Encontro")</f>
        <v>Annalou Empanado Encontro</v>
      </c>
      <c r="G529" s="2"/>
      <c r="H529" s="2"/>
      <c r="I529" s="2" t="str">
        <f>IFERROR(__xludf.DUMMYFUNCTION("""COMPUTED_VALUE"""),"ICM_Business_linked_launch")</f>
        <v>ICM_Business_linked_launch</v>
      </c>
      <c r="J529" s="2" t="str">
        <f>IFERROR(__xludf.DUMMYFUNCTION("""COMPUTED_VALUE"""),"uuid:f098be3b-11ba-425e-b1dc-4a5595c2c82a")</f>
        <v>uuid:f098be3b-11ba-425e-b1dc-4a5595c2c82a</v>
      </c>
    </row>
    <row r="530">
      <c r="A530" s="2" t="str">
        <f>IFERROR(__xludf.DUMMYFUNCTION("""COMPUTED_VALUE"""),"2025-09-11T10:21:49.687Z")</f>
        <v>2025-09-11T10:21:49.687Z</v>
      </c>
      <c r="B530" s="2" t="str">
        <f>IFERROR(__xludf.DUMMYFUNCTION("""COMPUTED_VALUE"""),"2025-09-11T11:13:34.743+08")</f>
        <v>2025-09-11T11:13:34.743+08</v>
      </c>
      <c r="C530" s="2" t="str">
        <f>IFERROR(__xludf.DUMMYFUNCTION("""COMPUTED_VALUE"""),"2025-09-11T11:17:35.288+08")</f>
        <v>2025-09-11T11:17:35.288+08</v>
      </c>
      <c r="D530" s="2" t="str">
        <f>IFERROR(__xludf.DUMMYFUNCTION("""COMPUTED_VALUE"""),"H006233032")</f>
        <v>H006233032</v>
      </c>
      <c r="E530" s="2" t="str">
        <f>IFERROR(__xludf.DUMMYFUNCTION("""COMPUTED_VALUE"""),"N7814260")</f>
        <v>N7814260</v>
      </c>
      <c r="F530" s="2" t="str">
        <f>IFERROR(__xludf.DUMMYFUNCTION("""COMPUTED_VALUE"""),"Jemma Marie Tillo")</f>
        <v>Jemma Marie Tillo</v>
      </c>
      <c r="G530" s="2"/>
      <c r="H530" s="2"/>
      <c r="I530" s="2" t="str">
        <f>IFERROR(__xludf.DUMMYFUNCTION("""COMPUTED_VALUE"""),"ICM_Business_linked_launch")</f>
        <v>ICM_Business_linked_launch</v>
      </c>
      <c r="J530" s="2" t="str">
        <f>IFERROR(__xludf.DUMMYFUNCTION("""COMPUTED_VALUE"""),"uuid:042c9ee3-6fef-4b6d-addc-d37864e37a35")</f>
        <v>uuid:042c9ee3-6fef-4b6d-addc-d37864e37a35</v>
      </c>
    </row>
    <row r="531">
      <c r="A531" s="2" t="str">
        <f>IFERROR(__xludf.DUMMYFUNCTION("""COMPUTED_VALUE"""),"2025-09-11T10:21:51.923Z")</f>
        <v>2025-09-11T10:21:51.923Z</v>
      </c>
      <c r="B531" s="2" t="str">
        <f>IFERROR(__xludf.DUMMYFUNCTION("""COMPUTED_VALUE"""),"2025-09-11T09:43:22.555+08")</f>
        <v>2025-09-11T09:43:22.555+08</v>
      </c>
      <c r="C531" s="2" t="str">
        <f>IFERROR(__xludf.DUMMYFUNCTION("""COMPUTED_VALUE"""),"2025-09-11T15:45:43.492+08")</f>
        <v>2025-09-11T15:45:43.492+08</v>
      </c>
      <c r="D531" s="2" t="str">
        <f>IFERROR(__xludf.DUMMYFUNCTION("""COMPUTED_VALUE"""),"H006233024")</f>
        <v>H006233024</v>
      </c>
      <c r="E531" s="2" t="str">
        <f>IFERROR(__xludf.DUMMYFUNCTION("""COMPUTED_VALUE"""),"N7814260")</f>
        <v>N7814260</v>
      </c>
      <c r="F531" s="2" t="str">
        <f>IFERROR(__xludf.DUMMYFUNCTION("""COMPUTED_VALUE"""),"Jemma Marie Tillo")</f>
        <v>Jemma Marie Tillo</v>
      </c>
      <c r="G531" s="2"/>
      <c r="H531" s="2"/>
      <c r="I531" s="2" t="str">
        <f>IFERROR(__xludf.DUMMYFUNCTION("""COMPUTED_VALUE"""),"ICM_Business_linked_launch")</f>
        <v>ICM_Business_linked_launch</v>
      </c>
      <c r="J531" s="2" t="str">
        <f>IFERROR(__xludf.DUMMYFUNCTION("""COMPUTED_VALUE"""),"uuid:6f44615a-77a1-4b72-a1e5-c6574bec69a7")</f>
        <v>uuid:6f44615a-77a1-4b72-a1e5-c6574bec69a7</v>
      </c>
    </row>
    <row r="532">
      <c r="A532" s="2" t="str">
        <f>IFERROR(__xludf.DUMMYFUNCTION("""COMPUTED_VALUE"""),"2025-09-11T10:58:23.372Z")</f>
        <v>2025-09-11T10:58:23.372Z</v>
      </c>
      <c r="B532" s="2" t="str">
        <f>IFERROR(__xludf.DUMMYFUNCTION("""COMPUTED_VALUE"""),"2025-09-11T10:50:40.129+08")</f>
        <v>2025-09-11T10:50:40.129+08</v>
      </c>
      <c r="C532" s="2" t="str">
        <f>IFERROR(__xludf.DUMMYFUNCTION("""COMPUTED_VALUE"""),"2025-09-11T11:00:48.755+08")</f>
        <v>2025-09-11T11:00:48.755+08</v>
      </c>
      <c r="D532" s="2" t="str">
        <f>IFERROR(__xludf.DUMMYFUNCTION("""COMPUTED_VALUE"""),"H006233080")</f>
        <v>H006233080</v>
      </c>
      <c r="E532" s="2" t="str">
        <f>IFERROR(__xludf.DUMMYFUNCTION("""COMPUTED_VALUE"""),"O3925718")</f>
        <v>O3925718</v>
      </c>
      <c r="F532" s="2" t="str">
        <f>IFERROR(__xludf.DUMMYFUNCTION("""COMPUTED_VALUE"""),"Adrian Montecastro Ferrer")</f>
        <v>Adrian Montecastro Ferrer</v>
      </c>
      <c r="G532" s="2"/>
      <c r="H532" s="2"/>
      <c r="I532" s="2" t="str">
        <f>IFERROR(__xludf.DUMMYFUNCTION("""COMPUTED_VALUE"""),"ICM_Business_linked_launch")</f>
        <v>ICM_Business_linked_launch</v>
      </c>
      <c r="J532" s="2" t="str">
        <f>IFERROR(__xludf.DUMMYFUNCTION("""COMPUTED_VALUE"""),"uuid:34d01f45-bc5e-4f01-8a4c-f0ddaf10eb62")</f>
        <v>uuid:34d01f45-bc5e-4f01-8a4c-f0ddaf10eb62</v>
      </c>
    </row>
    <row r="533">
      <c r="A533" s="2" t="str">
        <f>IFERROR(__xludf.DUMMYFUNCTION("""COMPUTED_VALUE"""),"2025-09-11T10:58:31.432Z")</f>
        <v>2025-09-11T10:58:31.432Z</v>
      </c>
      <c r="B533" s="2" t="str">
        <f>IFERROR(__xludf.DUMMYFUNCTION("""COMPUTED_VALUE"""),"2025-09-11T13:37:53.900+08")</f>
        <v>2025-09-11T13:37:53.900+08</v>
      </c>
      <c r="C533" s="2" t="str">
        <f>IFERROR(__xludf.DUMMYFUNCTION("""COMPUTED_VALUE"""),"2025-09-11T14:10:51.365+08")</f>
        <v>2025-09-11T14:10:51.365+08</v>
      </c>
      <c r="D533" s="2" t="str">
        <f>IFERROR(__xludf.DUMMYFUNCTION("""COMPUTED_VALUE"""),"H006233016")</f>
        <v>H006233016</v>
      </c>
      <c r="E533" s="2" t="str">
        <f>IFERROR(__xludf.DUMMYFUNCTION("""COMPUTED_VALUE"""),"O3925718")</f>
        <v>O3925718</v>
      </c>
      <c r="F533" s="2" t="str">
        <f>IFERROR(__xludf.DUMMYFUNCTION("""COMPUTED_VALUE"""),"Adrian Montecastro Ferrer")</f>
        <v>Adrian Montecastro Ferrer</v>
      </c>
      <c r="G533" s="2"/>
      <c r="H533" s="2"/>
      <c r="I533" s="2" t="str">
        <f>IFERROR(__xludf.DUMMYFUNCTION("""COMPUTED_VALUE"""),"ICM_Business_linked_launch")</f>
        <v>ICM_Business_linked_launch</v>
      </c>
      <c r="J533" s="2" t="str">
        <f>IFERROR(__xludf.DUMMYFUNCTION("""COMPUTED_VALUE"""),"uuid:77aaa292-d60c-4e58-971a-248389ff336d")</f>
        <v>uuid:77aaa292-d60c-4e58-971a-248389ff336d</v>
      </c>
    </row>
    <row r="534">
      <c r="A534" s="2" t="str">
        <f>IFERROR(__xludf.DUMMYFUNCTION("""COMPUTED_VALUE"""),"2025-09-11T10:58:42.573Z")</f>
        <v>2025-09-11T10:58:42.573Z</v>
      </c>
      <c r="B534" s="2" t="str">
        <f>IFERROR(__xludf.DUMMYFUNCTION("""COMPUTED_VALUE"""),"2025-09-11T08:59:47.697+08")</f>
        <v>2025-09-11T08:59:47.697+08</v>
      </c>
      <c r="C534" s="2" t="str">
        <f>IFERROR(__xludf.DUMMYFUNCTION("""COMPUTED_VALUE"""),"2025-09-11T09:14:39.490+08")</f>
        <v>2025-09-11T09:14:39.490+08</v>
      </c>
      <c r="D534" s="2" t="str">
        <f>IFERROR(__xludf.DUMMYFUNCTION("""COMPUTED_VALUE"""),"H006233082")</f>
        <v>H006233082</v>
      </c>
      <c r="E534" s="2" t="str">
        <f>IFERROR(__xludf.DUMMYFUNCTION("""COMPUTED_VALUE"""),"O3925718")</f>
        <v>O3925718</v>
      </c>
      <c r="F534" s="2" t="str">
        <f>IFERROR(__xludf.DUMMYFUNCTION("""COMPUTED_VALUE"""),"Adrian Montecastro Ferrer")</f>
        <v>Adrian Montecastro Ferrer</v>
      </c>
      <c r="G534" s="2"/>
      <c r="H534" s="2"/>
      <c r="I534" s="2" t="str">
        <f>IFERROR(__xludf.DUMMYFUNCTION("""COMPUTED_VALUE"""),"ICM_Business_linked_launch")</f>
        <v>ICM_Business_linked_launch</v>
      </c>
      <c r="J534" s="2" t="str">
        <f>IFERROR(__xludf.DUMMYFUNCTION("""COMPUTED_VALUE"""),"uuid:4adb61eb-0a06-43e1-8697-6f6ab3f529ab")</f>
        <v>uuid:4adb61eb-0a06-43e1-8697-6f6ab3f529ab</v>
      </c>
    </row>
    <row r="535">
      <c r="A535" s="2" t="str">
        <f>IFERROR(__xludf.DUMMYFUNCTION("""COMPUTED_VALUE"""),"2025-09-11T10:59:55.810Z")</f>
        <v>2025-09-11T10:59:55.810Z</v>
      </c>
      <c r="B535" s="2" t="str">
        <f>IFERROR(__xludf.DUMMYFUNCTION("""COMPUTED_VALUE"""),"2025-09-11T14:38:45.833+08")</f>
        <v>2025-09-11T14:38:45.833+08</v>
      </c>
      <c r="C535" s="2" t="str">
        <f>IFERROR(__xludf.DUMMYFUNCTION("""COMPUTED_VALUE"""),"2025-09-11T15:42:04.003+08")</f>
        <v>2025-09-11T15:42:04.003+08</v>
      </c>
      <c r="D535" s="2" t="str">
        <f>IFERROR(__xludf.DUMMYFUNCTION("""COMPUTED_VALUE"""),"H004579023")</f>
        <v>H004579023</v>
      </c>
      <c r="E535" s="2">
        <f>IFERROR(__xludf.DUMMYFUNCTION("""COMPUTED_VALUE"""),859767.0)</f>
        <v>859767</v>
      </c>
      <c r="F535" s="2" t="str">
        <f>IFERROR(__xludf.DUMMYFUNCTION("""COMPUTED_VALUE"""),"Ramie De Pedro Jr._2")</f>
        <v>Ramie De Pedro Jr._2</v>
      </c>
      <c r="G535" s="2"/>
      <c r="H535" s="2"/>
      <c r="I535" s="2" t="str">
        <f>IFERROR(__xludf.DUMMYFUNCTION("""COMPUTED_VALUE"""),"ICM_Business_linked_launch")</f>
        <v>ICM_Business_linked_launch</v>
      </c>
      <c r="J535" s="2" t="str">
        <f>IFERROR(__xludf.DUMMYFUNCTION("""COMPUTED_VALUE"""),"uuid:e53007aa-aa5f-4de2-9a75-e8791e826ded")</f>
        <v>uuid:e53007aa-aa5f-4de2-9a75-e8791e826ded</v>
      </c>
    </row>
    <row r="536">
      <c r="A536" s="2" t="str">
        <f>IFERROR(__xludf.DUMMYFUNCTION("""COMPUTED_VALUE"""),"2025-09-11T10:59:56.556Z")</f>
        <v>2025-09-11T10:59:56.556Z</v>
      </c>
      <c r="B536" s="2" t="str">
        <f>IFERROR(__xludf.DUMMYFUNCTION("""COMPUTED_VALUE"""),"2025-09-11T12:48:28.182+08")</f>
        <v>2025-09-11T12:48:28.182+08</v>
      </c>
      <c r="C536" s="2" t="str">
        <f>IFERROR(__xludf.DUMMYFUNCTION("""COMPUTED_VALUE"""),"2025-09-11T15:42:41.426+08")</f>
        <v>2025-09-11T15:42:41.426+08</v>
      </c>
      <c r="D536" s="2" t="str">
        <f>IFERROR(__xludf.DUMMYFUNCTION("""COMPUTED_VALUE"""),"H004579018")</f>
        <v>H004579018</v>
      </c>
      <c r="E536" s="2">
        <f>IFERROR(__xludf.DUMMYFUNCTION("""COMPUTED_VALUE"""),859767.0)</f>
        <v>859767</v>
      </c>
      <c r="F536" s="2" t="str">
        <f>IFERROR(__xludf.DUMMYFUNCTION("""COMPUTED_VALUE"""),"Ramie De Pedro Jr._2")</f>
        <v>Ramie De Pedro Jr._2</v>
      </c>
      <c r="G536" s="2"/>
      <c r="H536" s="2"/>
      <c r="I536" s="2" t="str">
        <f>IFERROR(__xludf.DUMMYFUNCTION("""COMPUTED_VALUE"""),"ICM_Business_linked_launch")</f>
        <v>ICM_Business_linked_launch</v>
      </c>
      <c r="J536" s="2" t="str">
        <f>IFERROR(__xludf.DUMMYFUNCTION("""COMPUTED_VALUE"""),"uuid:864d742c-aeb7-4929-9b38-cd7cb0bfe0b5")</f>
        <v>uuid:864d742c-aeb7-4929-9b38-cd7cb0bfe0b5</v>
      </c>
    </row>
    <row r="537">
      <c r="A537" s="2" t="str">
        <f>IFERROR(__xludf.DUMMYFUNCTION("""COMPUTED_VALUE"""),"2025-09-11T10:59:58.491Z")</f>
        <v>2025-09-11T10:59:58.491Z</v>
      </c>
      <c r="B537" s="2" t="str">
        <f>IFERROR(__xludf.DUMMYFUNCTION("""COMPUTED_VALUE"""),"2025-09-11T16:27:05.922+08")</f>
        <v>2025-09-11T16:27:05.922+08</v>
      </c>
      <c r="C537" s="2" t="str">
        <f>IFERROR(__xludf.DUMMYFUNCTION("""COMPUTED_VALUE"""),"2025-09-11T18:57:26.418+08")</f>
        <v>2025-09-11T18:57:26.418+08</v>
      </c>
      <c r="D537" s="2" t="str">
        <f>IFERROR(__xludf.DUMMYFUNCTION("""COMPUTED_VALUE"""),"H004579032")</f>
        <v>H004579032</v>
      </c>
      <c r="E537" s="2">
        <f>IFERROR(__xludf.DUMMYFUNCTION("""COMPUTED_VALUE"""),859767.0)</f>
        <v>859767</v>
      </c>
      <c r="F537" s="2" t="str">
        <f>IFERROR(__xludf.DUMMYFUNCTION("""COMPUTED_VALUE"""),"Ramie De Pedro Jr._2")</f>
        <v>Ramie De Pedro Jr._2</v>
      </c>
      <c r="G537" s="2"/>
      <c r="H537" s="2"/>
      <c r="I537" s="2" t="str">
        <f>IFERROR(__xludf.DUMMYFUNCTION("""COMPUTED_VALUE"""),"ICM_Business_linked_launch")</f>
        <v>ICM_Business_linked_launch</v>
      </c>
      <c r="J537" s="2" t="str">
        <f>IFERROR(__xludf.DUMMYFUNCTION("""COMPUTED_VALUE"""),"uuid:1d22e25a-6a00-413e-a676-a71fcb9f154c")</f>
        <v>uuid:1d22e25a-6a00-413e-a676-a71fcb9f154c</v>
      </c>
    </row>
    <row r="538">
      <c r="A538" s="2" t="str">
        <f>IFERROR(__xludf.DUMMYFUNCTION("""COMPUTED_VALUE"""),"2025-09-11T10:59:59.438Z")</f>
        <v>2025-09-11T10:59:59.438Z</v>
      </c>
      <c r="B538" s="2" t="str">
        <f>IFERROR(__xludf.DUMMYFUNCTION("""COMPUTED_VALUE"""),"2025-09-11T10:55:05.736+08")</f>
        <v>2025-09-11T10:55:05.736+08</v>
      </c>
      <c r="C538" s="2" t="str">
        <f>IFERROR(__xludf.DUMMYFUNCTION("""COMPUTED_VALUE"""),"2025-09-11T11:00:30.889+08")</f>
        <v>2025-09-11T11:00:30.889+08</v>
      </c>
      <c r="D538" s="2" t="str">
        <f>IFERROR(__xludf.DUMMYFUNCTION("""COMPUTED_VALUE"""),"H004579031")</f>
        <v>H004579031</v>
      </c>
      <c r="E538" s="2">
        <f>IFERROR(__xludf.DUMMYFUNCTION("""COMPUTED_VALUE"""),859767.0)</f>
        <v>859767</v>
      </c>
      <c r="F538" s="2" t="str">
        <f>IFERROR(__xludf.DUMMYFUNCTION("""COMPUTED_VALUE"""),"Ramie De Pedro Jr._2")</f>
        <v>Ramie De Pedro Jr._2</v>
      </c>
      <c r="G538" s="2"/>
      <c r="H538" s="2"/>
      <c r="I538" s="2" t="str">
        <f>IFERROR(__xludf.DUMMYFUNCTION("""COMPUTED_VALUE"""),"ICM_Business_linked_launch")</f>
        <v>ICM_Business_linked_launch</v>
      </c>
      <c r="J538" s="2" t="str">
        <f>IFERROR(__xludf.DUMMYFUNCTION("""COMPUTED_VALUE"""),"uuid:fcf9d3ac-996f-4fd0-93c2-874bb4b80859")</f>
        <v>uuid:fcf9d3ac-996f-4fd0-93c2-874bb4b80859</v>
      </c>
    </row>
    <row r="539">
      <c r="A539" s="2" t="str">
        <f>IFERROR(__xludf.DUMMYFUNCTION("""COMPUTED_VALUE"""),"2025-09-11T11:01:09.848Z")</f>
        <v>2025-09-11T11:01:09.848Z</v>
      </c>
      <c r="B539" s="2" t="str">
        <f>IFERROR(__xludf.DUMMYFUNCTION("""COMPUTED_VALUE"""),"2025-09-11T10:43:14.465+08")</f>
        <v>2025-09-11T10:43:14.465+08</v>
      </c>
      <c r="C539" s="2" t="str">
        <f>IFERROR(__xludf.DUMMYFUNCTION("""COMPUTED_VALUE"""),"2025-09-11T10:49:50.187+08")</f>
        <v>2025-09-11T10:49:50.187+08</v>
      </c>
      <c r="D539" s="2" t="str">
        <f>IFERROR(__xludf.DUMMYFUNCTION("""COMPUTED_VALUE"""),"H004579019")</f>
        <v>H004579019</v>
      </c>
      <c r="E539" s="2">
        <f>IFERROR(__xludf.DUMMYFUNCTION("""COMPUTED_VALUE"""),729375.0)</f>
        <v>729375</v>
      </c>
      <c r="F539" s="2" t="str">
        <f>IFERROR(__xludf.DUMMYFUNCTION("""COMPUTED_VALUE"""),"Janet Serafica_2")</f>
        <v>Janet Serafica_2</v>
      </c>
      <c r="G539" s="2"/>
      <c r="H539" s="2"/>
      <c r="I539" s="2" t="str">
        <f>IFERROR(__xludf.DUMMYFUNCTION("""COMPUTED_VALUE"""),"ICM_Business_linked_launch")</f>
        <v>ICM_Business_linked_launch</v>
      </c>
      <c r="J539" s="2" t="str">
        <f>IFERROR(__xludf.DUMMYFUNCTION("""COMPUTED_VALUE"""),"uuid:a8a1a1db-efa4-4e93-b515-ea3443250319")</f>
        <v>uuid:a8a1a1db-efa4-4e93-b515-ea3443250319</v>
      </c>
    </row>
    <row r="540">
      <c r="A540" s="2" t="str">
        <f>IFERROR(__xludf.DUMMYFUNCTION("""COMPUTED_VALUE"""),"2025-09-11T11:01:12.079Z")</f>
        <v>2025-09-11T11:01:12.079Z</v>
      </c>
      <c r="B540" s="2" t="str">
        <f>IFERROR(__xludf.DUMMYFUNCTION("""COMPUTED_VALUE"""),"2025-09-11T12:04:54.324+08")</f>
        <v>2025-09-11T12:04:54.324+08</v>
      </c>
      <c r="C540" s="2" t="str">
        <f>IFERROR(__xludf.DUMMYFUNCTION("""COMPUTED_VALUE"""),"2025-09-11T12:17:21.159+08")</f>
        <v>2025-09-11T12:17:21.159+08</v>
      </c>
      <c r="D540" s="2" t="str">
        <f>IFERROR(__xludf.DUMMYFUNCTION("""COMPUTED_VALUE"""),"H004579017")</f>
        <v>H004579017</v>
      </c>
      <c r="E540" s="2">
        <f>IFERROR(__xludf.DUMMYFUNCTION("""COMPUTED_VALUE"""),729375.0)</f>
        <v>729375</v>
      </c>
      <c r="F540" s="2" t="str">
        <f>IFERROR(__xludf.DUMMYFUNCTION("""COMPUTED_VALUE"""),"Janet Serafica_2")</f>
        <v>Janet Serafica_2</v>
      </c>
      <c r="G540" s="2"/>
      <c r="H540" s="2"/>
      <c r="I540" s="2" t="str">
        <f>IFERROR(__xludf.DUMMYFUNCTION("""COMPUTED_VALUE"""),"ICM_Business_linked_launch")</f>
        <v>ICM_Business_linked_launch</v>
      </c>
      <c r="J540" s="2" t="str">
        <f>IFERROR(__xludf.DUMMYFUNCTION("""COMPUTED_VALUE"""),"uuid:f243b0bb-308c-43c6-b11d-2f19c510558d")</f>
        <v>uuid:f243b0bb-308c-43c6-b11d-2f19c510558d</v>
      </c>
    </row>
    <row r="541">
      <c r="A541" s="2" t="str">
        <f>IFERROR(__xludf.DUMMYFUNCTION("""COMPUTED_VALUE"""),"2025-09-11T11:08:24.606Z")</f>
        <v>2025-09-11T11:08:24.606Z</v>
      </c>
      <c r="B541" s="2" t="str">
        <f>IFERROR(__xludf.DUMMYFUNCTION("""COMPUTED_VALUE"""),"2025-09-11T09:49:20.246+08")</f>
        <v>2025-09-11T09:49:20.246+08</v>
      </c>
      <c r="C541" s="2" t="str">
        <f>IFERROR(__xludf.DUMMYFUNCTION("""COMPUTED_VALUE"""),"2025-09-11T10:15:41.178+08")</f>
        <v>2025-09-11T10:15:41.178+08</v>
      </c>
      <c r="D541" s="2" t="str">
        <f>IFERROR(__xludf.DUMMYFUNCTION("""COMPUTED_VALUE"""),"H006817028")</f>
        <v>H006817028</v>
      </c>
      <c r="E541" s="2" t="str">
        <f>IFERROR(__xludf.DUMMYFUNCTION("""COMPUTED_VALUE"""),"L2057896")</f>
        <v>L2057896</v>
      </c>
      <c r="F541" s="2" t="str">
        <f>IFERROR(__xludf.DUMMYFUNCTION("""COMPUTED_VALUE"""),"Franz Reoben Posadas Geneblaza")</f>
        <v>Franz Reoben Posadas Geneblaza</v>
      </c>
      <c r="G541" s="2"/>
      <c r="H541" s="2"/>
      <c r="I541" s="2" t="str">
        <f>IFERROR(__xludf.DUMMYFUNCTION("""COMPUTED_VALUE"""),"ICM_Business_linked_launch")</f>
        <v>ICM_Business_linked_launch</v>
      </c>
      <c r="J541" s="2" t="str">
        <f>IFERROR(__xludf.DUMMYFUNCTION("""COMPUTED_VALUE"""),"uuid:838b8089-22bb-4bad-b513-51f010e45e2b")</f>
        <v>uuid:838b8089-22bb-4bad-b513-51f010e45e2b</v>
      </c>
    </row>
    <row r="542">
      <c r="A542" s="2" t="str">
        <f>IFERROR(__xludf.DUMMYFUNCTION("""COMPUTED_VALUE"""),"2025-09-11T11:08:26.409Z")</f>
        <v>2025-09-11T11:08:26.409Z</v>
      </c>
      <c r="B542" s="2" t="str">
        <f>IFERROR(__xludf.DUMMYFUNCTION("""COMPUTED_VALUE"""),"2025-09-11T11:59:36.346+08")</f>
        <v>2025-09-11T11:59:36.346+08</v>
      </c>
      <c r="C542" s="2" t="str">
        <f>IFERROR(__xludf.DUMMYFUNCTION("""COMPUTED_VALUE"""),"2025-09-11T12:08:57.303+08")</f>
        <v>2025-09-11T12:08:57.303+08</v>
      </c>
      <c r="D542" s="2" t="str">
        <f>IFERROR(__xludf.DUMMYFUNCTION("""COMPUTED_VALUE"""),"H006817004")</f>
        <v>H006817004</v>
      </c>
      <c r="E542" s="2" t="str">
        <f>IFERROR(__xludf.DUMMYFUNCTION("""COMPUTED_VALUE"""),"L2057896")</f>
        <v>L2057896</v>
      </c>
      <c r="F542" s="2" t="str">
        <f>IFERROR(__xludf.DUMMYFUNCTION("""COMPUTED_VALUE"""),"Franz Reoben Posadas Geneblaza")</f>
        <v>Franz Reoben Posadas Geneblaza</v>
      </c>
      <c r="G542" s="2"/>
      <c r="H542" s="2"/>
      <c r="I542" s="2" t="str">
        <f>IFERROR(__xludf.DUMMYFUNCTION("""COMPUTED_VALUE"""),"ICM_Business_linked_launch")</f>
        <v>ICM_Business_linked_launch</v>
      </c>
      <c r="J542" s="2" t="str">
        <f>IFERROR(__xludf.DUMMYFUNCTION("""COMPUTED_VALUE"""),"uuid:35f9415c-ec4b-415e-8d54-c2c163918543")</f>
        <v>uuid:35f9415c-ec4b-415e-8d54-c2c163918543</v>
      </c>
    </row>
    <row r="543">
      <c r="A543" s="2" t="str">
        <f>IFERROR(__xludf.DUMMYFUNCTION("""COMPUTED_VALUE"""),"2025-09-11T11:08:27.886Z")</f>
        <v>2025-09-11T11:08:27.886Z</v>
      </c>
      <c r="B543" s="2" t="str">
        <f>IFERROR(__xludf.DUMMYFUNCTION("""COMPUTED_VALUE"""),"2025-09-11T13:03:39.650+08")</f>
        <v>2025-09-11T13:03:39.650+08</v>
      </c>
      <c r="C543" s="2" t="str">
        <f>IFERROR(__xludf.DUMMYFUNCTION("""COMPUTED_VALUE"""),"2025-09-11T13:22:46.812+08")</f>
        <v>2025-09-11T13:22:46.812+08</v>
      </c>
      <c r="D543" s="2" t="str">
        <f>IFERROR(__xludf.DUMMYFUNCTION("""COMPUTED_VALUE"""),"H006817016")</f>
        <v>H006817016</v>
      </c>
      <c r="E543" s="2" t="str">
        <f>IFERROR(__xludf.DUMMYFUNCTION("""COMPUTED_VALUE"""),"L2057896")</f>
        <v>L2057896</v>
      </c>
      <c r="F543" s="2" t="str">
        <f>IFERROR(__xludf.DUMMYFUNCTION("""COMPUTED_VALUE"""),"Franz Reoben Posadas Geneblaza")</f>
        <v>Franz Reoben Posadas Geneblaza</v>
      </c>
      <c r="G543" s="2"/>
      <c r="H543" s="2"/>
      <c r="I543" s="2" t="str">
        <f>IFERROR(__xludf.DUMMYFUNCTION("""COMPUTED_VALUE"""),"ICM_Business_linked_launch")</f>
        <v>ICM_Business_linked_launch</v>
      </c>
      <c r="J543" s="2" t="str">
        <f>IFERROR(__xludf.DUMMYFUNCTION("""COMPUTED_VALUE"""),"uuid:37df4718-6860-4da5-aa47-a36eda5cb0c6")</f>
        <v>uuid:37df4718-6860-4da5-aa47-a36eda5cb0c6</v>
      </c>
    </row>
    <row r="544">
      <c r="A544" s="2" t="str">
        <f>IFERROR(__xludf.DUMMYFUNCTION("""COMPUTED_VALUE"""),"2025-09-11T11:10:08.564Z")</f>
        <v>2025-09-11T11:10:08.564Z</v>
      </c>
      <c r="B544" s="2" t="str">
        <f>IFERROR(__xludf.DUMMYFUNCTION("""COMPUTED_VALUE"""),"2025-09-11T14:41:29.302+08")</f>
        <v>2025-09-11T14:41:29.302+08</v>
      </c>
      <c r="C544" s="2" t="str">
        <f>IFERROR(__xludf.DUMMYFUNCTION("""COMPUTED_VALUE"""),"2025-09-11T15:14:03.932+08")</f>
        <v>2025-09-11T15:14:03.932+08</v>
      </c>
      <c r="D544" s="2" t="str">
        <f>IFERROR(__xludf.DUMMYFUNCTION("""COMPUTED_VALUE"""),"H006817030")</f>
        <v>H006817030</v>
      </c>
      <c r="E544" s="2" t="str">
        <f>IFERROR(__xludf.DUMMYFUNCTION("""COMPUTED_VALUE"""),"J4315980")</f>
        <v>J4315980</v>
      </c>
      <c r="F544" s="2" t="str">
        <f>IFERROR(__xludf.DUMMYFUNCTION("""COMPUTED_VALUE"""),"Trixie Marie Jardeleza Saber")</f>
        <v>Trixie Marie Jardeleza Saber</v>
      </c>
      <c r="G544" s="2"/>
      <c r="H544" s="2"/>
      <c r="I544" s="2" t="str">
        <f>IFERROR(__xludf.DUMMYFUNCTION("""COMPUTED_VALUE"""),"ICM_Business_linked_launch")</f>
        <v>ICM_Business_linked_launch</v>
      </c>
      <c r="J544" s="2" t="str">
        <f>IFERROR(__xludf.DUMMYFUNCTION("""COMPUTED_VALUE"""),"uuid:a60eb30a-9f9a-4524-b5bf-1719e3f98552")</f>
        <v>uuid:a60eb30a-9f9a-4524-b5bf-1719e3f98552</v>
      </c>
    </row>
    <row r="545">
      <c r="A545" s="2" t="str">
        <f>IFERROR(__xludf.DUMMYFUNCTION("""COMPUTED_VALUE"""),"2025-09-11T11:12:42.277Z")</f>
        <v>2025-09-11T11:12:42.277Z</v>
      </c>
      <c r="B545" s="2" t="str">
        <f>IFERROR(__xludf.DUMMYFUNCTION("""COMPUTED_VALUE"""),"2025-09-11T10:20:58.353+08")</f>
        <v>2025-09-11T10:20:58.353+08</v>
      </c>
      <c r="C545" s="2" t="str">
        <f>IFERROR(__xludf.DUMMYFUNCTION("""COMPUTED_VALUE"""),"2025-09-11T10:30:54.363+08")</f>
        <v>2025-09-11T10:30:54.363+08</v>
      </c>
      <c r="D545" s="2" t="str">
        <f>IFERROR(__xludf.DUMMYFUNCTION("""COMPUTED_VALUE"""),"H030373025")</f>
        <v>H030373025</v>
      </c>
      <c r="E545" s="2" t="str">
        <f>IFERROR(__xludf.DUMMYFUNCTION("""COMPUTED_VALUE"""),"F3051749")</f>
        <v>F3051749</v>
      </c>
      <c r="F545" s="2" t="str">
        <f>IFERROR(__xludf.DUMMYFUNCTION("""COMPUTED_VALUE"""),"Elenita Gicos De La Pe�a")</f>
        <v>Elenita Gicos De La Pe�a</v>
      </c>
      <c r="G545" s="2"/>
      <c r="H545" s="2"/>
      <c r="I545" s="2" t="str">
        <f>IFERROR(__xludf.DUMMYFUNCTION("""COMPUTED_VALUE"""),"ICM_Business_linked_launch")</f>
        <v>ICM_Business_linked_launch</v>
      </c>
      <c r="J545" s="2" t="str">
        <f>IFERROR(__xludf.DUMMYFUNCTION("""COMPUTED_VALUE"""),"uuid:930d41c2-9c97-4392-a761-65bb4fb427fc")</f>
        <v>uuid:930d41c2-9c97-4392-a761-65bb4fb427fc</v>
      </c>
    </row>
    <row r="546">
      <c r="A546" s="2" t="str">
        <f>IFERROR(__xludf.DUMMYFUNCTION("""COMPUTED_VALUE"""),"2025-09-11T11:12:43.334Z")</f>
        <v>2025-09-11T11:12:43.334Z</v>
      </c>
      <c r="B546" s="2" t="str">
        <f>IFERROR(__xludf.DUMMYFUNCTION("""COMPUTED_VALUE"""),"2025-09-11T13:05:05.033+08")</f>
        <v>2025-09-11T13:05:05.033+08</v>
      </c>
      <c r="C546" s="2" t="str">
        <f>IFERROR(__xludf.DUMMYFUNCTION("""COMPUTED_VALUE"""),"2025-09-11T13:26:03.091+08")</f>
        <v>2025-09-11T13:26:03.091+08</v>
      </c>
      <c r="D546" s="2" t="str">
        <f>IFERROR(__xludf.DUMMYFUNCTION("""COMPUTED_VALUE"""),"H030373015")</f>
        <v>H030373015</v>
      </c>
      <c r="E546" s="2" t="str">
        <f>IFERROR(__xludf.DUMMYFUNCTION("""COMPUTED_VALUE"""),"F3051749")</f>
        <v>F3051749</v>
      </c>
      <c r="F546" s="2" t="str">
        <f>IFERROR(__xludf.DUMMYFUNCTION("""COMPUTED_VALUE"""),"Elenita Gicos De La Pe�a")</f>
        <v>Elenita Gicos De La Pe�a</v>
      </c>
      <c r="G546" s="2"/>
      <c r="H546" s="2"/>
      <c r="I546" s="2" t="str">
        <f>IFERROR(__xludf.DUMMYFUNCTION("""COMPUTED_VALUE"""),"ICM_Business_linked_launch")</f>
        <v>ICM_Business_linked_launch</v>
      </c>
      <c r="J546" s="2" t="str">
        <f>IFERROR(__xludf.DUMMYFUNCTION("""COMPUTED_VALUE"""),"uuid:b8b2f108-26a0-430e-8951-0546ddf5ee22")</f>
        <v>uuid:b8b2f108-26a0-430e-8951-0546ddf5ee22</v>
      </c>
    </row>
    <row r="547">
      <c r="A547" s="2" t="str">
        <f>IFERROR(__xludf.DUMMYFUNCTION("""COMPUTED_VALUE"""),"2025-09-11T11:12:44.251Z")</f>
        <v>2025-09-11T11:12:44.251Z</v>
      </c>
      <c r="B547" s="2" t="str">
        <f>IFERROR(__xludf.DUMMYFUNCTION("""COMPUTED_VALUE"""),"2025-09-11T15:40:42.755+08")</f>
        <v>2025-09-11T15:40:42.755+08</v>
      </c>
      <c r="C547" s="2" t="str">
        <f>IFERROR(__xludf.DUMMYFUNCTION("""COMPUTED_VALUE"""),"2025-09-11T15:44:27.831+08")</f>
        <v>2025-09-11T15:44:27.831+08</v>
      </c>
      <c r="D547" s="2" t="str">
        <f>IFERROR(__xludf.DUMMYFUNCTION("""COMPUTED_VALUE"""),"H030373035")</f>
        <v>H030373035</v>
      </c>
      <c r="E547" s="2" t="str">
        <f>IFERROR(__xludf.DUMMYFUNCTION("""COMPUTED_VALUE"""),"F3051749")</f>
        <v>F3051749</v>
      </c>
      <c r="F547" s="2" t="str">
        <f>IFERROR(__xludf.DUMMYFUNCTION("""COMPUTED_VALUE"""),"Elenita Gicos De La Pe�a")</f>
        <v>Elenita Gicos De La Pe�a</v>
      </c>
      <c r="G547" s="2"/>
      <c r="H547" s="2"/>
      <c r="I547" s="2" t="str">
        <f>IFERROR(__xludf.DUMMYFUNCTION("""COMPUTED_VALUE"""),"ICM_Business_linked_launch")</f>
        <v>ICM_Business_linked_launch</v>
      </c>
      <c r="J547" s="2" t="str">
        <f>IFERROR(__xludf.DUMMYFUNCTION("""COMPUTED_VALUE"""),"uuid:51efae3a-2852-44c3-b0d3-9b1f15364d32")</f>
        <v>uuid:51efae3a-2852-44c3-b0d3-9b1f15364d32</v>
      </c>
    </row>
    <row r="548">
      <c r="A548" s="2" t="str">
        <f>IFERROR(__xludf.DUMMYFUNCTION("""COMPUTED_VALUE"""),"2025-09-11T11:17:07.426Z")</f>
        <v>2025-09-11T11:17:07.426Z</v>
      </c>
      <c r="B548" s="2" t="str">
        <f>IFERROR(__xludf.DUMMYFUNCTION("""COMPUTED_VALUE"""),"2025-09-11T09:57:45.927+08")</f>
        <v>2025-09-11T09:57:45.927+08</v>
      </c>
      <c r="C548" s="2" t="str">
        <f>IFERROR(__xludf.DUMMYFUNCTION("""COMPUTED_VALUE"""),"2025-09-11T10:00:49.658+08")</f>
        <v>2025-09-11T10:00:49.658+08</v>
      </c>
      <c r="D548" s="2" t="str">
        <f>IFERROR(__xludf.DUMMYFUNCTION("""COMPUTED_VALUE"""),"H006817027")</f>
        <v>H006817027</v>
      </c>
      <c r="E548" s="2" t="str">
        <f>IFERROR(__xludf.DUMMYFUNCTION("""COMPUTED_VALUE"""),"M6491032")</f>
        <v>M6491032</v>
      </c>
      <c r="F548" s="2" t="str">
        <f>IFERROR(__xludf.DUMMYFUNCTION("""COMPUTED_VALUE"""),"Rosevil Tayo Desamparado")</f>
        <v>Rosevil Tayo Desamparado</v>
      </c>
      <c r="G548" s="2"/>
      <c r="H548" s="2"/>
      <c r="I548" s="2" t="str">
        <f>IFERROR(__xludf.DUMMYFUNCTION("""COMPUTED_VALUE"""),"ICM_Business_linked_launch")</f>
        <v>ICM_Business_linked_launch</v>
      </c>
      <c r="J548" s="2" t="str">
        <f>IFERROR(__xludf.DUMMYFUNCTION("""COMPUTED_VALUE"""),"uuid:88d93610-b6f5-4df1-9fdb-100da8649bc5")</f>
        <v>uuid:88d93610-b6f5-4df1-9fdb-100da8649bc5</v>
      </c>
    </row>
    <row r="549">
      <c r="A549" s="2" t="str">
        <f>IFERROR(__xludf.DUMMYFUNCTION("""COMPUTED_VALUE"""),"2025-09-11T11:17:11.833Z")</f>
        <v>2025-09-11T11:17:11.833Z</v>
      </c>
      <c r="B549" s="2" t="str">
        <f>IFERROR(__xludf.DUMMYFUNCTION("""COMPUTED_VALUE"""),"2025-09-11T12:38:18.936+08")</f>
        <v>2025-09-11T12:38:18.936+08</v>
      </c>
      <c r="C549" s="2" t="str">
        <f>IFERROR(__xludf.DUMMYFUNCTION("""COMPUTED_VALUE"""),"2025-09-11T13:02:02.184+08")</f>
        <v>2025-09-11T13:02:02.184+08</v>
      </c>
      <c r="D549" s="2" t="str">
        <f>IFERROR(__xludf.DUMMYFUNCTION("""COMPUTED_VALUE"""),"H006817020")</f>
        <v>H006817020</v>
      </c>
      <c r="E549" s="2" t="str">
        <f>IFERROR(__xludf.DUMMYFUNCTION("""COMPUTED_VALUE"""),"M6491032")</f>
        <v>M6491032</v>
      </c>
      <c r="F549" s="2" t="str">
        <f>IFERROR(__xludf.DUMMYFUNCTION("""COMPUTED_VALUE"""),"Rosevil Tayo Desamparado")</f>
        <v>Rosevil Tayo Desamparado</v>
      </c>
      <c r="G549" s="2"/>
      <c r="H549" s="2"/>
      <c r="I549" s="2" t="str">
        <f>IFERROR(__xludf.DUMMYFUNCTION("""COMPUTED_VALUE"""),"ICM_Business_linked_launch")</f>
        <v>ICM_Business_linked_launch</v>
      </c>
      <c r="J549" s="2" t="str">
        <f>IFERROR(__xludf.DUMMYFUNCTION("""COMPUTED_VALUE"""),"uuid:97b6d80c-e07d-4acb-9517-48bb116fa45e")</f>
        <v>uuid:97b6d80c-e07d-4acb-9517-48bb116fa45e</v>
      </c>
    </row>
    <row r="550">
      <c r="A550" s="2" t="str">
        <f>IFERROR(__xludf.DUMMYFUNCTION("""COMPUTED_VALUE"""),"2025-09-11T11:17:12.644Z")</f>
        <v>2025-09-11T11:17:12.644Z</v>
      </c>
      <c r="B550" s="2" t="str">
        <f>IFERROR(__xludf.DUMMYFUNCTION("""COMPUTED_VALUE"""),"2025-09-11T14:46:22.207+08")</f>
        <v>2025-09-11T14:46:22.207+08</v>
      </c>
      <c r="C550" s="2" t="str">
        <f>IFERROR(__xludf.DUMMYFUNCTION("""COMPUTED_VALUE"""),"2025-09-11T15:13:20.027+08")</f>
        <v>2025-09-11T15:13:20.027+08</v>
      </c>
      <c r="D550" s="2" t="str">
        <f>IFERROR(__xludf.DUMMYFUNCTION("""COMPUTED_VALUE"""),"H006817029")</f>
        <v>H006817029</v>
      </c>
      <c r="E550" s="2" t="str">
        <f>IFERROR(__xludf.DUMMYFUNCTION("""COMPUTED_VALUE"""),"M6491032")</f>
        <v>M6491032</v>
      </c>
      <c r="F550" s="2" t="str">
        <f>IFERROR(__xludf.DUMMYFUNCTION("""COMPUTED_VALUE"""),"Rosevil Tayo Desamparado")</f>
        <v>Rosevil Tayo Desamparado</v>
      </c>
      <c r="G550" s="2"/>
      <c r="H550" s="2"/>
      <c r="I550" s="2" t="str">
        <f>IFERROR(__xludf.DUMMYFUNCTION("""COMPUTED_VALUE"""),"ICM_Business_linked_launch")</f>
        <v>ICM_Business_linked_launch</v>
      </c>
      <c r="J550" s="2" t="str">
        <f>IFERROR(__xludf.DUMMYFUNCTION("""COMPUTED_VALUE"""),"uuid:98f860a5-7c7f-4f4c-b0ba-cfa248454766")</f>
        <v>uuid:98f860a5-7c7f-4f4c-b0ba-cfa248454766</v>
      </c>
    </row>
    <row r="551">
      <c r="A551" s="2" t="str">
        <f>IFERROR(__xludf.DUMMYFUNCTION("""COMPUTED_VALUE"""),"2025-09-11T11:23:03.065Z")</f>
        <v>2025-09-11T11:23:03.065Z</v>
      </c>
      <c r="B551" s="2" t="str">
        <f>IFERROR(__xludf.DUMMYFUNCTION("""COMPUTED_VALUE"""),"2025-09-11T09:44:43.324+08")</f>
        <v>2025-09-11T09:44:43.324+08</v>
      </c>
      <c r="C551" s="2" t="str">
        <f>IFERROR(__xludf.DUMMYFUNCTION("""COMPUTED_VALUE"""),"2025-09-11T09:55:18.237+08")</f>
        <v>2025-09-11T09:55:18.237+08</v>
      </c>
      <c r="D551" s="2" t="str">
        <f>IFERROR(__xludf.DUMMYFUNCTION("""COMPUTED_VALUE"""),"H006233023")</f>
        <v>H006233023</v>
      </c>
      <c r="E551" s="2" t="str">
        <f>IFERROR(__xludf.DUMMYFUNCTION("""COMPUTED_VALUE"""),"P1068432")</f>
        <v>P1068432</v>
      </c>
      <c r="F551" s="2" t="str">
        <f>IFERROR(__xludf.DUMMYFUNCTION("""COMPUTED_VALUE"""),"Mark Daniel Balagao Benson")</f>
        <v>Mark Daniel Balagao Benson</v>
      </c>
      <c r="G551" s="2"/>
      <c r="H551" s="2"/>
      <c r="I551" s="2" t="str">
        <f>IFERROR(__xludf.DUMMYFUNCTION("""COMPUTED_VALUE"""),"ICM_Business_linked_launch")</f>
        <v>ICM_Business_linked_launch</v>
      </c>
      <c r="J551" s="2" t="str">
        <f>IFERROR(__xludf.DUMMYFUNCTION("""COMPUTED_VALUE"""),"uuid:95750d54-ac26-4784-8cbc-7e6e3935e377")</f>
        <v>uuid:95750d54-ac26-4784-8cbc-7e6e3935e377</v>
      </c>
    </row>
    <row r="552">
      <c r="A552" s="2" t="str">
        <f>IFERROR(__xludf.DUMMYFUNCTION("""COMPUTED_VALUE"""),"2025-09-11T11:23:06.953Z")</f>
        <v>2025-09-11T11:23:06.953Z</v>
      </c>
      <c r="B552" s="2" t="str">
        <f>IFERROR(__xludf.DUMMYFUNCTION("""COMPUTED_VALUE"""),"2025-09-11T10:56:23.447+08")</f>
        <v>2025-09-11T10:56:23.447+08</v>
      </c>
      <c r="C552" s="2" t="str">
        <f>IFERROR(__xludf.DUMMYFUNCTION("""COMPUTED_VALUE"""),"2025-09-11T11:13:55.298+08")</f>
        <v>2025-09-11T11:13:55.298+08</v>
      </c>
      <c r="D552" s="2" t="str">
        <f>IFERROR(__xludf.DUMMYFUNCTION("""COMPUTED_VALUE"""),"H006233026")</f>
        <v>H006233026</v>
      </c>
      <c r="E552" s="2" t="str">
        <f>IFERROR(__xludf.DUMMYFUNCTION("""COMPUTED_VALUE"""),"P1068432")</f>
        <v>P1068432</v>
      </c>
      <c r="F552" s="2" t="str">
        <f>IFERROR(__xludf.DUMMYFUNCTION("""COMPUTED_VALUE"""),"Mark Daniel Balagao Benson")</f>
        <v>Mark Daniel Balagao Benson</v>
      </c>
      <c r="G552" s="2"/>
      <c r="H552" s="2"/>
      <c r="I552" s="2" t="str">
        <f>IFERROR(__xludf.DUMMYFUNCTION("""COMPUTED_VALUE"""),"ICM_Business_linked_launch")</f>
        <v>ICM_Business_linked_launch</v>
      </c>
      <c r="J552" s="2" t="str">
        <f>IFERROR(__xludf.DUMMYFUNCTION("""COMPUTED_VALUE"""),"uuid:427b21da-33d5-4372-94ee-5a758aeae24e")</f>
        <v>uuid:427b21da-33d5-4372-94ee-5a758aeae24e</v>
      </c>
    </row>
    <row r="553">
      <c r="A553" s="2" t="str">
        <f>IFERROR(__xludf.DUMMYFUNCTION("""COMPUTED_VALUE"""),"2025-09-11T11:23:09.866Z")</f>
        <v>2025-09-11T11:23:09.866Z</v>
      </c>
      <c r="B553" s="2" t="str">
        <f>IFERROR(__xludf.DUMMYFUNCTION("""COMPUTED_VALUE"""),"2025-09-11T12:32:36.553+08")</f>
        <v>2025-09-11T12:32:36.553+08</v>
      </c>
      <c r="C553" s="2" t="str">
        <f>IFERROR(__xludf.DUMMYFUNCTION("""COMPUTED_VALUE"""),"2025-09-11T15:23:51.848+08")</f>
        <v>2025-09-11T15:23:51.848+08</v>
      </c>
      <c r="D553" s="2" t="str">
        <f>IFERROR(__xludf.DUMMYFUNCTION("""COMPUTED_VALUE"""),"H006233027")</f>
        <v>H006233027</v>
      </c>
      <c r="E553" s="2" t="str">
        <f>IFERROR(__xludf.DUMMYFUNCTION("""COMPUTED_VALUE"""),"P1068432")</f>
        <v>P1068432</v>
      </c>
      <c r="F553" s="2" t="str">
        <f>IFERROR(__xludf.DUMMYFUNCTION("""COMPUTED_VALUE"""),"Mark Daniel Balagao Benson")</f>
        <v>Mark Daniel Balagao Benson</v>
      </c>
      <c r="G553" s="2"/>
      <c r="H553" s="2"/>
      <c r="I553" s="2" t="str">
        <f>IFERROR(__xludf.DUMMYFUNCTION("""COMPUTED_VALUE"""),"ICM_Business_linked_launch")</f>
        <v>ICM_Business_linked_launch</v>
      </c>
      <c r="J553" s="2" t="str">
        <f>IFERROR(__xludf.DUMMYFUNCTION("""COMPUTED_VALUE"""),"uuid:5a62ac22-82af-433c-b966-5e4f951b5ef5")</f>
        <v>uuid:5a62ac22-82af-433c-b966-5e4f951b5ef5</v>
      </c>
    </row>
    <row r="554">
      <c r="A554" s="2" t="str">
        <f>IFERROR(__xludf.DUMMYFUNCTION("""COMPUTED_VALUE"""),"2025-09-11T12:12:30.078Z")</f>
        <v>2025-09-11T12:12:30.078Z</v>
      </c>
      <c r="B554" s="2" t="str">
        <f>IFERROR(__xludf.DUMMYFUNCTION("""COMPUTED_VALUE"""),"2025-09-11T11:13:13.270+08")</f>
        <v>2025-09-11T11:13:13.270+08</v>
      </c>
      <c r="C554" s="2" t="str">
        <f>IFERROR(__xludf.DUMMYFUNCTION("""COMPUTED_VALUE"""),"2025-09-11T11:21:34.759+08")</f>
        <v>2025-09-11T11:21:34.759+08</v>
      </c>
      <c r="D554" s="2" t="str">
        <f>IFERROR(__xludf.DUMMYFUNCTION("""COMPUTED_VALUE"""),"H004579030")</f>
        <v>H004579030</v>
      </c>
      <c r="E554" s="2" t="str">
        <f>IFERROR(__xludf.DUMMYFUNCTION("""COMPUTED_VALUE"""),"S2671943")</f>
        <v>S2671943</v>
      </c>
      <c r="F554" s="2" t="str">
        <f>IFERROR(__xludf.DUMMYFUNCTION("""COMPUTED_VALUE"""),"Marvin Mondia")</f>
        <v>Marvin Mondia</v>
      </c>
      <c r="G554" s="2"/>
      <c r="H554" s="2"/>
      <c r="I554" s="2" t="str">
        <f>IFERROR(__xludf.DUMMYFUNCTION("""COMPUTED_VALUE"""),"ICM_Business_linked_launch")</f>
        <v>ICM_Business_linked_launch</v>
      </c>
      <c r="J554" s="2" t="str">
        <f>IFERROR(__xludf.DUMMYFUNCTION("""COMPUTED_VALUE"""),"uuid:9c2ecdba-a293-4d10-bb73-60c7acafa4c1")</f>
        <v>uuid:9c2ecdba-a293-4d10-bb73-60c7acafa4c1</v>
      </c>
    </row>
    <row r="555">
      <c r="A555" s="2" t="str">
        <f>IFERROR(__xludf.DUMMYFUNCTION("""COMPUTED_VALUE"""),"2025-09-11T12:12:32.359Z")</f>
        <v>2025-09-11T12:12:32.359Z</v>
      </c>
      <c r="B555" s="2" t="str">
        <f>IFERROR(__xludf.DUMMYFUNCTION("""COMPUTED_VALUE"""),"2025-09-11T12:45:06.041+08")</f>
        <v>2025-09-11T12:45:06.041+08</v>
      </c>
      <c r="C555" s="2" t="str">
        <f>IFERROR(__xludf.DUMMYFUNCTION("""COMPUTED_VALUE"""),"2025-09-11T12:50:14.278+08")</f>
        <v>2025-09-11T12:50:14.278+08</v>
      </c>
      <c r="D555" s="2" t="str">
        <f>IFERROR(__xludf.DUMMYFUNCTION("""COMPUTED_VALUE"""),"H004579020")</f>
        <v>H004579020</v>
      </c>
      <c r="E555" s="2" t="str">
        <f>IFERROR(__xludf.DUMMYFUNCTION("""COMPUTED_VALUE"""),"S2671943")</f>
        <v>S2671943</v>
      </c>
      <c r="F555" s="2" t="str">
        <f>IFERROR(__xludf.DUMMYFUNCTION("""COMPUTED_VALUE"""),"Marvin Mondia")</f>
        <v>Marvin Mondia</v>
      </c>
      <c r="G555" s="2"/>
      <c r="H555" s="2"/>
      <c r="I555" s="2" t="str">
        <f>IFERROR(__xludf.DUMMYFUNCTION("""COMPUTED_VALUE"""),"ICM_Business_linked_launch")</f>
        <v>ICM_Business_linked_launch</v>
      </c>
      <c r="J555" s="2" t="str">
        <f>IFERROR(__xludf.DUMMYFUNCTION("""COMPUTED_VALUE"""),"uuid:ca5b9a4e-ea71-4442-8411-04c612e7355a")</f>
        <v>uuid:ca5b9a4e-ea71-4442-8411-04c612e7355a</v>
      </c>
    </row>
    <row r="556">
      <c r="A556" s="2" t="str">
        <f>IFERROR(__xludf.DUMMYFUNCTION("""COMPUTED_VALUE"""),"2025-09-11T12:12:34.525Z")</f>
        <v>2025-09-11T12:12:34.525Z</v>
      </c>
      <c r="B556" s="2" t="str">
        <f>IFERROR(__xludf.DUMMYFUNCTION("""COMPUTED_VALUE"""),"2025-09-11T14:33:15.163+08")</f>
        <v>2025-09-11T14:33:15.163+08</v>
      </c>
      <c r="C556" s="2" t="str">
        <f>IFERROR(__xludf.DUMMYFUNCTION("""COMPUTED_VALUE"""),"2025-09-11T14:37:25.893+08")</f>
        <v>2025-09-11T14:37:25.893+08</v>
      </c>
      <c r="D556" s="2" t="str">
        <f>IFERROR(__xludf.DUMMYFUNCTION("""COMPUTED_VALUE"""),"H004579026")</f>
        <v>H004579026</v>
      </c>
      <c r="E556" s="2" t="str">
        <f>IFERROR(__xludf.DUMMYFUNCTION("""COMPUTED_VALUE"""),"S2671943")</f>
        <v>S2671943</v>
      </c>
      <c r="F556" s="2" t="str">
        <f>IFERROR(__xludf.DUMMYFUNCTION("""COMPUTED_VALUE"""),"Marvin Mondia")</f>
        <v>Marvin Mondia</v>
      </c>
      <c r="G556" s="2"/>
      <c r="H556" s="2"/>
      <c r="I556" s="2" t="str">
        <f>IFERROR(__xludf.DUMMYFUNCTION("""COMPUTED_VALUE"""),"ICM_Business_linked_launch")</f>
        <v>ICM_Business_linked_launch</v>
      </c>
      <c r="J556" s="2" t="str">
        <f>IFERROR(__xludf.DUMMYFUNCTION("""COMPUTED_VALUE"""),"uuid:7c8fef8c-3786-448e-9503-4797d2b050ee")</f>
        <v>uuid:7c8fef8c-3786-448e-9503-4797d2b050ee</v>
      </c>
    </row>
    <row r="557">
      <c r="A557" s="2" t="str">
        <f>IFERROR(__xludf.DUMMYFUNCTION("""COMPUTED_VALUE"""),"2025-09-11T12:14:24.537Z")</f>
        <v>2025-09-11T12:14:24.537Z</v>
      </c>
      <c r="B557" s="2" t="str">
        <f>IFERROR(__xludf.DUMMYFUNCTION("""COMPUTED_VALUE"""),"2025-09-11T16:44:59.805+08")</f>
        <v>2025-09-11T16:44:59.805+08</v>
      </c>
      <c r="C557" s="2" t="str">
        <f>IFERROR(__xludf.DUMMYFUNCTION("""COMPUTED_VALUE"""),"2025-09-11T16:56:02.656+08")</f>
        <v>2025-09-11T16:56:02.656+08</v>
      </c>
      <c r="D557" s="2" t="str">
        <f>IFERROR(__xludf.DUMMYFUNCTION("""COMPUTED_VALUE"""),"H006817033")</f>
        <v>H006817033</v>
      </c>
      <c r="E557" s="2" t="str">
        <f>IFERROR(__xludf.DUMMYFUNCTION("""COMPUTED_VALUE"""),"K8623174")</f>
        <v>K8623174</v>
      </c>
      <c r="F557" s="2" t="str">
        <f>IFERROR(__xludf.DUMMYFUNCTION("""COMPUTED_VALUE"""),"Marielle Kaye Ignacio Alonzo")</f>
        <v>Marielle Kaye Ignacio Alonzo</v>
      </c>
      <c r="G557" s="2"/>
      <c r="H557" s="2"/>
      <c r="I557" s="2" t="str">
        <f>IFERROR(__xludf.DUMMYFUNCTION("""COMPUTED_VALUE"""),"ICM_Business_linked_launch")</f>
        <v>ICM_Business_linked_launch</v>
      </c>
      <c r="J557" s="2" t="str">
        <f>IFERROR(__xludf.DUMMYFUNCTION("""COMPUTED_VALUE"""),"uuid:9291f43b-1fb9-4ced-8e7e-5b1e4b2ef8c5")</f>
        <v>uuid:9291f43b-1fb9-4ced-8e7e-5b1e4b2ef8c5</v>
      </c>
    </row>
    <row r="558">
      <c r="A558" s="2" t="str">
        <f>IFERROR(__xludf.DUMMYFUNCTION("""COMPUTED_VALUE"""),"2025-09-11T12:14:25.272Z")</f>
        <v>2025-09-11T12:14:25.272Z</v>
      </c>
      <c r="B558" s="2" t="str">
        <f>IFERROR(__xludf.DUMMYFUNCTION("""COMPUTED_VALUE"""),"2025-09-11T12:58:38.297+08")</f>
        <v>2025-09-11T12:58:38.297+08</v>
      </c>
      <c r="C558" s="2" t="str">
        <f>IFERROR(__xludf.DUMMYFUNCTION("""COMPUTED_VALUE"""),"2025-09-11T13:15:17.127+08")</f>
        <v>2025-09-11T13:15:17.127+08</v>
      </c>
      <c r="D558" s="2" t="str">
        <f>IFERROR(__xludf.DUMMYFUNCTION("""COMPUTED_VALUE"""),"H006817019")</f>
        <v>H006817019</v>
      </c>
      <c r="E558" s="2" t="str">
        <f>IFERROR(__xludf.DUMMYFUNCTION("""COMPUTED_VALUE"""),"K8623174")</f>
        <v>K8623174</v>
      </c>
      <c r="F558" s="2" t="str">
        <f>IFERROR(__xludf.DUMMYFUNCTION("""COMPUTED_VALUE"""),"Marielle Kaye Ignacio Alonzo")</f>
        <v>Marielle Kaye Ignacio Alonzo</v>
      </c>
      <c r="G558" s="2"/>
      <c r="H558" s="2"/>
      <c r="I558" s="2" t="str">
        <f>IFERROR(__xludf.DUMMYFUNCTION("""COMPUTED_VALUE"""),"ICM_Business_linked_launch")</f>
        <v>ICM_Business_linked_launch</v>
      </c>
      <c r="J558" s="2" t="str">
        <f>IFERROR(__xludf.DUMMYFUNCTION("""COMPUTED_VALUE"""),"uuid:ce801d7d-7887-4131-9b6c-fe71429aea2c")</f>
        <v>uuid:ce801d7d-7887-4131-9b6c-fe71429aea2c</v>
      </c>
    </row>
    <row r="559">
      <c r="A559" s="2" t="str">
        <f>IFERROR(__xludf.DUMMYFUNCTION("""COMPUTED_VALUE"""),"2025-09-11T12:14:26.473Z")</f>
        <v>2025-09-11T12:14:26.473Z</v>
      </c>
      <c r="B559" s="2" t="str">
        <f>IFERROR(__xludf.DUMMYFUNCTION("""COMPUTED_VALUE"""),"2025-09-11T15:18:16.132+08")</f>
        <v>2025-09-11T15:18:16.132+08</v>
      </c>
      <c r="C559" s="2" t="str">
        <f>IFERROR(__xludf.DUMMYFUNCTION("""COMPUTED_VALUE"""),"2025-09-11T15:28:45.406+08")</f>
        <v>2025-09-11T15:28:45.406+08</v>
      </c>
      <c r="D559" s="2" t="str">
        <f>IFERROR(__xludf.DUMMYFUNCTION("""COMPUTED_VALUE"""),"H006817032")</f>
        <v>H006817032</v>
      </c>
      <c r="E559" s="2" t="str">
        <f>IFERROR(__xludf.DUMMYFUNCTION("""COMPUTED_VALUE"""),"K8623174")</f>
        <v>K8623174</v>
      </c>
      <c r="F559" s="2" t="str">
        <f>IFERROR(__xludf.DUMMYFUNCTION("""COMPUTED_VALUE"""),"Marielle Kaye Ignacio Alonzo")</f>
        <v>Marielle Kaye Ignacio Alonzo</v>
      </c>
      <c r="G559" s="2"/>
      <c r="H559" s="2"/>
      <c r="I559" s="2" t="str">
        <f>IFERROR(__xludf.DUMMYFUNCTION("""COMPUTED_VALUE"""),"ICM_Business_linked_launch")</f>
        <v>ICM_Business_linked_launch</v>
      </c>
      <c r="J559" s="2" t="str">
        <f>IFERROR(__xludf.DUMMYFUNCTION("""COMPUTED_VALUE"""),"uuid:50942ad7-aba4-46c1-843d-dba519201dbb")</f>
        <v>uuid:50942ad7-aba4-46c1-843d-dba519201dbb</v>
      </c>
    </row>
    <row r="560">
      <c r="A560" s="2" t="str">
        <f>IFERROR(__xludf.DUMMYFUNCTION("""COMPUTED_VALUE"""),"2025-09-12T10:23:27.444Z")</f>
        <v>2025-09-12T10:23:27.444Z</v>
      </c>
      <c r="B560" s="2" t="str">
        <f>IFERROR(__xludf.DUMMYFUNCTION("""COMPUTED_VALUE"""),"2025-09-12T10:06:21.900+08")</f>
        <v>2025-09-12T10:06:21.900+08</v>
      </c>
      <c r="C560" s="2" t="str">
        <f>IFERROR(__xludf.DUMMYFUNCTION("""COMPUTED_VALUE"""),"2025-09-12T11:34:47.587+08")</f>
        <v>2025-09-12T11:34:47.587+08</v>
      </c>
      <c r="D560" s="2" t="str">
        <f>IFERROR(__xludf.DUMMYFUNCTION("""COMPUTED_VALUE"""),"H030774029")</f>
        <v>H030774029</v>
      </c>
      <c r="E560" s="2">
        <f>IFERROR(__xludf.DUMMYFUNCTION("""COMPUTED_VALUE"""),896791.0)</f>
        <v>896791</v>
      </c>
      <c r="F560" s="2" t="str">
        <f>IFERROR(__xludf.DUMMYFUNCTION("""COMPUTED_VALUE"""),"Roland A. Bandiola jr_2")</f>
        <v>Roland A. Bandiola jr_2</v>
      </c>
      <c r="G560" s="2"/>
      <c r="H560" s="2"/>
      <c r="I560" s="2" t="str">
        <f>IFERROR(__xludf.DUMMYFUNCTION("""COMPUTED_VALUE"""),"ICM_Business_linked_launch")</f>
        <v>ICM_Business_linked_launch</v>
      </c>
      <c r="J560" s="2" t="str">
        <f>IFERROR(__xludf.DUMMYFUNCTION("""COMPUTED_VALUE"""),"uuid:6f35a6fb-8bf4-465e-8a56-2be376d18ef7")</f>
        <v>uuid:6f35a6fb-8bf4-465e-8a56-2be376d18ef7</v>
      </c>
    </row>
    <row r="561">
      <c r="A561" s="2" t="str">
        <f>IFERROR(__xludf.DUMMYFUNCTION("""COMPUTED_VALUE"""),"2025-09-12T10:23:31.118Z")</f>
        <v>2025-09-12T10:23:31.118Z</v>
      </c>
      <c r="B561" s="2" t="str">
        <f>IFERROR(__xludf.DUMMYFUNCTION("""COMPUTED_VALUE"""),"2025-09-12T13:01:58.882+08")</f>
        <v>2025-09-12T13:01:58.882+08</v>
      </c>
      <c r="C561" s="2" t="str">
        <f>IFERROR(__xludf.DUMMYFUNCTION("""COMPUTED_VALUE"""),"2025-09-12T15:32:30.844+08")</f>
        <v>2025-09-12T15:32:30.844+08</v>
      </c>
      <c r="D561" s="2" t="str">
        <f>IFERROR(__xludf.DUMMYFUNCTION("""COMPUTED_VALUE"""),"H030774025")</f>
        <v>H030774025</v>
      </c>
      <c r="E561" s="2">
        <f>IFERROR(__xludf.DUMMYFUNCTION("""COMPUTED_VALUE"""),896791.0)</f>
        <v>896791</v>
      </c>
      <c r="F561" s="2" t="str">
        <f>IFERROR(__xludf.DUMMYFUNCTION("""COMPUTED_VALUE"""),"Roland A. Bandiola jr_2")</f>
        <v>Roland A. Bandiola jr_2</v>
      </c>
      <c r="G561" s="2"/>
      <c r="H561" s="2"/>
      <c r="I561" s="2" t="str">
        <f>IFERROR(__xludf.DUMMYFUNCTION("""COMPUTED_VALUE"""),"ICM_Business_linked_launch")</f>
        <v>ICM_Business_linked_launch</v>
      </c>
      <c r="J561" s="2" t="str">
        <f>IFERROR(__xludf.DUMMYFUNCTION("""COMPUTED_VALUE"""),"uuid:c35cb217-5ddc-47dd-81ea-38b9ee67f3f9")</f>
        <v>uuid:c35cb217-5ddc-47dd-81ea-38b9ee67f3f9</v>
      </c>
    </row>
    <row r="562">
      <c r="A562" s="2" t="str">
        <f>IFERROR(__xludf.DUMMYFUNCTION("""COMPUTED_VALUE"""),"2025-09-12T10:25:01.490Z")</f>
        <v>2025-09-12T10:25:01.490Z</v>
      </c>
      <c r="B562" s="2" t="str">
        <f>IFERROR(__xludf.DUMMYFUNCTION("""COMPUTED_VALUE"""),"2025-09-12T10:46:09.073+08")</f>
        <v>2025-09-12T10:46:09.073+08</v>
      </c>
      <c r="C562" s="2" t="str">
        <f>IFERROR(__xludf.DUMMYFUNCTION("""COMPUTED_VALUE"""),"2025-09-12T15:38:55.298+08")</f>
        <v>2025-09-12T15:38:55.298+08</v>
      </c>
      <c r="D562" s="2" t="str">
        <f>IFERROR(__xludf.DUMMYFUNCTION("""COMPUTED_VALUE"""),"H030774022")</f>
        <v>H030774022</v>
      </c>
      <c r="E562" s="2" t="str">
        <f>IFERROR(__xludf.DUMMYFUNCTION("""COMPUTED_VALUE"""),"B8193462")</f>
        <v>B8193462</v>
      </c>
      <c r="F562" s="2" t="str">
        <f>IFERROR(__xludf.DUMMYFUNCTION("""COMPUTED_VALUE"""),"Mark Lorens Mendoza Gilongo")</f>
        <v>Mark Lorens Mendoza Gilongo</v>
      </c>
      <c r="G562" s="2"/>
      <c r="H562" s="2"/>
      <c r="I562" s="2" t="str">
        <f>IFERROR(__xludf.DUMMYFUNCTION("""COMPUTED_VALUE"""),"ICM_Business_linked_launch")</f>
        <v>ICM_Business_linked_launch</v>
      </c>
      <c r="J562" s="2" t="str">
        <f>IFERROR(__xludf.DUMMYFUNCTION("""COMPUTED_VALUE"""),"uuid:27f01493-1f19-4739-bd71-5d41dd0aedb5")</f>
        <v>uuid:27f01493-1f19-4739-bd71-5d41dd0aedb5</v>
      </c>
    </row>
    <row r="563">
      <c r="A563" s="2" t="str">
        <f>IFERROR(__xludf.DUMMYFUNCTION("""COMPUTED_VALUE"""),"2025-09-12T10:25:02.489Z")</f>
        <v>2025-09-12T10:25:02.489Z</v>
      </c>
      <c r="B563" s="2" t="str">
        <f>IFERROR(__xludf.DUMMYFUNCTION("""COMPUTED_VALUE"""),"2025-09-12T12:35:19.554+08")</f>
        <v>2025-09-12T12:35:19.554+08</v>
      </c>
      <c r="C563" s="2" t="str">
        <f>IFERROR(__xludf.DUMMYFUNCTION("""COMPUTED_VALUE"""),"2025-09-12T17:44:01.096+08")</f>
        <v>2025-09-12T17:44:01.096+08</v>
      </c>
      <c r="D563" s="2" t="str">
        <f>IFERROR(__xludf.DUMMYFUNCTION("""COMPUTED_VALUE"""),"H030774023")</f>
        <v>H030774023</v>
      </c>
      <c r="E563" s="2" t="str">
        <f>IFERROR(__xludf.DUMMYFUNCTION("""COMPUTED_VALUE"""),"B8193462")</f>
        <v>B8193462</v>
      </c>
      <c r="F563" s="2" t="str">
        <f>IFERROR(__xludf.DUMMYFUNCTION("""COMPUTED_VALUE"""),"Mark Lorens Mendoza Gilongo")</f>
        <v>Mark Lorens Mendoza Gilongo</v>
      </c>
      <c r="G563" s="2"/>
      <c r="H563" s="2"/>
      <c r="I563" s="2" t="str">
        <f>IFERROR(__xludf.DUMMYFUNCTION("""COMPUTED_VALUE"""),"ICM_Business_linked_launch")</f>
        <v>ICM_Business_linked_launch</v>
      </c>
      <c r="J563" s="2" t="str">
        <f>IFERROR(__xludf.DUMMYFUNCTION("""COMPUTED_VALUE"""),"uuid:abf2f9f5-1492-4bdf-9f77-412e97881dde")</f>
        <v>uuid:abf2f9f5-1492-4bdf-9f77-412e97881dde</v>
      </c>
    </row>
    <row r="564">
      <c r="A564" s="2" t="str">
        <f>IFERROR(__xludf.DUMMYFUNCTION("""COMPUTED_VALUE"""),"2025-09-12T10:41:04.468Z")</f>
        <v>2025-09-12T10:41:04.468Z</v>
      </c>
      <c r="B564" s="2" t="str">
        <f>IFERROR(__xludf.DUMMYFUNCTION("""COMPUTED_VALUE"""),"2025-09-12T10:35:32.961+08")</f>
        <v>2025-09-12T10:35:32.961+08</v>
      </c>
      <c r="C564" s="2" t="str">
        <f>IFERROR(__xludf.DUMMYFUNCTION("""COMPUTED_VALUE"""),"2025-09-12T15:49:19.530+08")</f>
        <v>2025-09-12T15:49:19.530+08</v>
      </c>
      <c r="D564" s="2" t="str">
        <f>IFERROR(__xludf.DUMMYFUNCTION("""COMPUTED_VALUE"""),"H030774027")</f>
        <v>H030774027</v>
      </c>
      <c r="E564" s="2" t="str">
        <f>IFERROR(__xludf.DUMMYFUNCTION("""COMPUTED_VALUE"""),"C7502931")</f>
        <v>C7502931</v>
      </c>
      <c r="F564" s="2" t="str">
        <f>IFERROR(__xludf.DUMMYFUNCTION("""COMPUTED_VALUE"""),"Jenny Lou Toles Estacio")</f>
        <v>Jenny Lou Toles Estacio</v>
      </c>
      <c r="G564" s="2"/>
      <c r="H564" s="2"/>
      <c r="I564" s="2" t="str">
        <f>IFERROR(__xludf.DUMMYFUNCTION("""COMPUTED_VALUE"""),"ICM_Business_linked_launch")</f>
        <v>ICM_Business_linked_launch</v>
      </c>
      <c r="J564" s="2" t="str">
        <f>IFERROR(__xludf.DUMMYFUNCTION("""COMPUTED_VALUE"""),"uuid:97460db6-8d8c-4102-b4c6-617b68da3de4")</f>
        <v>uuid:97460db6-8d8c-4102-b4c6-617b68da3de4</v>
      </c>
    </row>
    <row r="565">
      <c r="A565" s="2" t="str">
        <f>IFERROR(__xludf.DUMMYFUNCTION("""COMPUTED_VALUE"""),"2025-09-12T10:41:05.494Z")</f>
        <v>2025-09-12T10:41:05.494Z</v>
      </c>
      <c r="B565" s="2" t="str">
        <f>IFERROR(__xludf.DUMMYFUNCTION("""COMPUTED_VALUE"""),"2025-09-12T12:22:02.144+08")</f>
        <v>2025-09-12T12:22:02.144+08</v>
      </c>
      <c r="C565" s="2" t="str">
        <f>IFERROR(__xludf.DUMMYFUNCTION("""COMPUTED_VALUE"""),"2025-09-12T15:50:13.168+08")</f>
        <v>2025-09-12T15:50:13.168+08</v>
      </c>
      <c r="D565" s="2" t="str">
        <f>IFERROR(__xludf.DUMMYFUNCTION("""COMPUTED_VALUE"""),"H030774024")</f>
        <v>H030774024</v>
      </c>
      <c r="E565" s="2" t="str">
        <f>IFERROR(__xludf.DUMMYFUNCTION("""COMPUTED_VALUE"""),"C7502931")</f>
        <v>C7502931</v>
      </c>
      <c r="F565" s="2" t="str">
        <f>IFERROR(__xludf.DUMMYFUNCTION("""COMPUTED_VALUE"""),"Jenny Lou Toles Estacio")</f>
        <v>Jenny Lou Toles Estacio</v>
      </c>
      <c r="G565" s="2"/>
      <c r="H565" s="2"/>
      <c r="I565" s="2" t="str">
        <f>IFERROR(__xludf.DUMMYFUNCTION("""COMPUTED_VALUE"""),"ICM_Business_linked_launch")</f>
        <v>ICM_Business_linked_launch</v>
      </c>
      <c r="J565" s="2" t="str">
        <f>IFERROR(__xludf.DUMMYFUNCTION("""COMPUTED_VALUE"""),"uuid:cf1b6d2e-d7eb-41f5-aa6e-197772bcc4e3")</f>
        <v>uuid:cf1b6d2e-d7eb-41f5-aa6e-197772bcc4e3</v>
      </c>
    </row>
    <row r="566">
      <c r="A566" s="2" t="str">
        <f>IFERROR(__xludf.DUMMYFUNCTION("""COMPUTED_VALUE"""),"2025-09-12T10:41:24.698Z")</f>
        <v>2025-09-12T10:41:24.698Z</v>
      </c>
      <c r="B566" s="2" t="str">
        <f>IFERROR(__xludf.DUMMYFUNCTION("""COMPUTED_VALUE"""),"2025-09-12T10:23:22.946+08")</f>
        <v>2025-09-12T10:23:22.946+08</v>
      </c>
      <c r="C566" s="2" t="str">
        <f>IFERROR(__xludf.DUMMYFUNCTION("""COMPUTED_VALUE"""),"2025-09-12T15:42:57.061+08")</f>
        <v>2025-09-12T15:42:57.061+08</v>
      </c>
      <c r="D566" s="2" t="str">
        <f>IFERROR(__xludf.DUMMYFUNCTION("""COMPUTED_VALUE"""),"H030774028")</f>
        <v>H030774028</v>
      </c>
      <c r="E566" s="2" t="str">
        <f>IFERROR(__xludf.DUMMYFUNCTION("""COMPUTED_VALUE"""),"D1284067")</f>
        <v>D1284067</v>
      </c>
      <c r="F566" s="2" t="str">
        <f>IFERROR(__xludf.DUMMYFUNCTION("""COMPUTED_VALUE"""),"Mariel Del Rio")</f>
        <v>Mariel Del Rio</v>
      </c>
      <c r="G566" s="2"/>
      <c r="H566" s="2"/>
      <c r="I566" s="2" t="str">
        <f>IFERROR(__xludf.DUMMYFUNCTION("""COMPUTED_VALUE"""),"ICM_Business_linked_launch")</f>
        <v>ICM_Business_linked_launch</v>
      </c>
      <c r="J566" s="2" t="str">
        <f>IFERROR(__xludf.DUMMYFUNCTION("""COMPUTED_VALUE"""),"uuid:f0557656-1a6a-4c4e-8ed0-0949cb570013")</f>
        <v>uuid:f0557656-1a6a-4c4e-8ed0-0949cb570013</v>
      </c>
    </row>
    <row r="567">
      <c r="A567" s="2" t="str">
        <f>IFERROR(__xludf.DUMMYFUNCTION("""COMPUTED_VALUE"""),"2025-09-12T10:41:25.761Z")</f>
        <v>2025-09-12T10:41:25.761Z</v>
      </c>
      <c r="B567" s="2" t="str">
        <f>IFERROR(__xludf.DUMMYFUNCTION("""COMPUTED_VALUE"""),"2025-09-12T12:27:11.540+08")</f>
        <v>2025-09-12T12:27:11.540+08</v>
      </c>
      <c r="C567" s="2" t="str">
        <f>IFERROR(__xludf.DUMMYFUNCTION("""COMPUTED_VALUE"""),"2025-09-12T15:56:22.959+08")</f>
        <v>2025-09-12T15:56:22.959+08</v>
      </c>
      <c r="D567" s="2" t="str">
        <f>IFERROR(__xludf.DUMMYFUNCTION("""COMPUTED_VALUE"""),"H030774031")</f>
        <v>H030774031</v>
      </c>
      <c r="E567" s="2" t="str">
        <f>IFERROR(__xludf.DUMMYFUNCTION("""COMPUTED_VALUE"""),"D1284067")</f>
        <v>D1284067</v>
      </c>
      <c r="F567" s="2" t="str">
        <f>IFERROR(__xludf.DUMMYFUNCTION("""COMPUTED_VALUE"""),"Mariel Del Rio")</f>
        <v>Mariel Del Rio</v>
      </c>
      <c r="G567" s="2"/>
      <c r="H567" s="2"/>
      <c r="I567" s="2" t="str">
        <f>IFERROR(__xludf.DUMMYFUNCTION("""COMPUTED_VALUE"""),"ICM_Business_linked_launch")</f>
        <v>ICM_Business_linked_launch</v>
      </c>
      <c r="J567" s="2" t="str">
        <f>IFERROR(__xludf.DUMMYFUNCTION("""COMPUTED_VALUE"""),"uuid:424d3866-a3d5-404e-9a11-9d247342ab81")</f>
        <v>uuid:424d3866-a3d5-404e-9a11-9d247342ab81</v>
      </c>
    </row>
    <row r="568">
      <c r="A568" s="2" t="str">
        <f>IFERROR(__xludf.DUMMYFUNCTION("""COMPUTED_VALUE"""),"2025-09-13T09:11:00.549Z")</f>
        <v>2025-09-13T09:11:00.549Z</v>
      </c>
      <c r="B568" s="2" t="str">
        <f>IFERROR(__xludf.DUMMYFUNCTION("""COMPUTED_VALUE"""),"2025-09-13T10:13:04.407+08")</f>
        <v>2025-09-13T10:13:04.407+08</v>
      </c>
      <c r="C568" s="2" t="str">
        <f>IFERROR(__xludf.DUMMYFUNCTION("""COMPUTED_VALUE"""),"2025-09-13T10:16:33.801+08")</f>
        <v>2025-09-13T10:16:33.801+08</v>
      </c>
      <c r="D568" s="2" t="str">
        <f>IFERROR(__xludf.DUMMYFUNCTION("""COMPUTED_VALUE"""),"H004137025")</f>
        <v>H004137025</v>
      </c>
      <c r="E568" s="2">
        <f>IFERROR(__xludf.DUMMYFUNCTION("""COMPUTED_VALUE"""),555127.0)</f>
        <v>555127</v>
      </c>
      <c r="F568" s="2" t="str">
        <f>IFERROR(__xludf.DUMMYFUNCTION("""COMPUTED_VALUE"""),"Mary May_2")</f>
        <v>Mary May_2</v>
      </c>
      <c r="G568" s="2"/>
      <c r="H568" s="2"/>
      <c r="I568" s="2" t="str">
        <f>IFERROR(__xludf.DUMMYFUNCTION("""COMPUTED_VALUE"""),"ICM_Business_linked_launch")</f>
        <v>ICM_Business_linked_launch</v>
      </c>
      <c r="J568" s="2" t="str">
        <f>IFERROR(__xludf.DUMMYFUNCTION("""COMPUTED_VALUE"""),"uuid:6c759e35-6742-403a-8ea7-a106f2f704a1")</f>
        <v>uuid:6c759e35-6742-403a-8ea7-a106f2f704a1</v>
      </c>
    </row>
    <row r="569">
      <c r="A569" s="2" t="str">
        <f>IFERROR(__xludf.DUMMYFUNCTION("""COMPUTED_VALUE"""),"2025-09-13T09:11:04.110Z")</f>
        <v>2025-09-13T09:11:04.110Z</v>
      </c>
      <c r="B569" s="2" t="str">
        <f>IFERROR(__xludf.DUMMYFUNCTION("""COMPUTED_VALUE"""),"2025-09-13T13:37:28.109+08")</f>
        <v>2025-09-13T13:37:28.109+08</v>
      </c>
      <c r="C569" s="2" t="str">
        <f>IFERROR(__xludf.DUMMYFUNCTION("""COMPUTED_VALUE"""),"2025-09-13T13:45:10.926+08")</f>
        <v>2025-09-13T13:45:10.926+08</v>
      </c>
      <c r="D569" s="2" t="str">
        <f>IFERROR(__xludf.DUMMYFUNCTION("""COMPUTED_VALUE"""),"H004137082")</f>
        <v>H004137082</v>
      </c>
      <c r="E569" s="2">
        <f>IFERROR(__xludf.DUMMYFUNCTION("""COMPUTED_VALUE"""),555127.0)</f>
        <v>555127</v>
      </c>
      <c r="F569" s="2" t="str">
        <f>IFERROR(__xludf.DUMMYFUNCTION("""COMPUTED_VALUE"""),"Mary May_2")</f>
        <v>Mary May_2</v>
      </c>
      <c r="G569" s="2"/>
      <c r="H569" s="2"/>
      <c r="I569" s="2" t="str">
        <f>IFERROR(__xludf.DUMMYFUNCTION("""COMPUTED_VALUE"""),"ICM_Business_linked_launch")</f>
        <v>ICM_Business_linked_launch</v>
      </c>
      <c r="J569" s="2" t="str">
        <f>IFERROR(__xludf.DUMMYFUNCTION("""COMPUTED_VALUE"""),"uuid:0b89f9f2-dc19-43dd-a361-cf7cf0305a87")</f>
        <v>uuid:0b89f9f2-dc19-43dd-a361-cf7cf0305a87</v>
      </c>
    </row>
    <row r="570">
      <c r="A570" s="2" t="str">
        <f>IFERROR(__xludf.DUMMYFUNCTION("""COMPUTED_VALUE"""),"2025-09-13T09:28:29.561Z")</f>
        <v>2025-09-13T09:28:29.561Z</v>
      </c>
      <c r="B570" s="2" t="str">
        <f>IFERROR(__xludf.DUMMYFUNCTION("""COMPUTED_VALUE"""),"2025-09-13T10:38:46.928+08")</f>
        <v>2025-09-13T10:38:46.928+08</v>
      </c>
      <c r="C570" s="2" t="str">
        <f>IFERROR(__xludf.DUMMYFUNCTION("""COMPUTED_VALUE"""),"2025-09-13T10:44:15.636+08")</f>
        <v>2025-09-13T10:44:15.636+08</v>
      </c>
      <c r="D570" s="2" t="str">
        <f>IFERROR(__xludf.DUMMYFUNCTION("""COMPUTED_VALUE"""),"H004137081")</f>
        <v>H004137081</v>
      </c>
      <c r="E570" s="2">
        <f>IFERROR(__xludf.DUMMYFUNCTION("""COMPUTED_VALUE"""),841329.0)</f>
        <v>841329</v>
      </c>
      <c r="F570" s="2" t="str">
        <f>IFERROR(__xludf.DUMMYFUNCTION("""COMPUTED_VALUE"""),"Aila Eli_2")</f>
        <v>Aila Eli_2</v>
      </c>
      <c r="G570" s="2"/>
      <c r="H570" s="2"/>
      <c r="I570" s="2" t="str">
        <f>IFERROR(__xludf.DUMMYFUNCTION("""COMPUTED_VALUE"""),"ICM_Business_linked_launch")</f>
        <v>ICM_Business_linked_launch</v>
      </c>
      <c r="J570" s="2" t="str">
        <f>IFERROR(__xludf.DUMMYFUNCTION("""COMPUTED_VALUE"""),"uuid:a6995d55-e2e7-40f0-ab75-340f84f421fa")</f>
        <v>uuid:a6995d55-e2e7-40f0-ab75-340f84f421fa</v>
      </c>
    </row>
    <row r="571">
      <c r="A571" s="2" t="str">
        <f>IFERROR(__xludf.DUMMYFUNCTION("""COMPUTED_VALUE"""),"2025-09-14T06:47:37.470Z")</f>
        <v>2025-09-14T06:47:37.470Z</v>
      </c>
      <c r="B571" s="2" t="str">
        <f>IFERROR(__xludf.DUMMYFUNCTION("""COMPUTED_VALUE"""),"2025-09-14T10:04:08.706+08")</f>
        <v>2025-09-14T10:04:08.706+08</v>
      </c>
      <c r="C571" s="2" t="str">
        <f>IFERROR(__xludf.DUMMYFUNCTION("""COMPUTED_VALUE"""),"2025-09-14T10:13:03.696+08")</f>
        <v>2025-09-14T10:13:03.696+08</v>
      </c>
      <c r="D571" s="2" t="str">
        <f>IFERROR(__xludf.DUMMYFUNCTION("""COMPUTED_VALUE"""),"H004137080")</f>
        <v>H004137080</v>
      </c>
      <c r="E571" s="2">
        <f>IFERROR(__xludf.DUMMYFUNCTION("""COMPUTED_VALUE"""),841329.0)</f>
        <v>841329</v>
      </c>
      <c r="F571" s="2" t="str">
        <f>IFERROR(__xludf.DUMMYFUNCTION("""COMPUTED_VALUE"""),"Aila Eli_2")</f>
        <v>Aila Eli_2</v>
      </c>
      <c r="G571" s="2"/>
      <c r="H571" s="2"/>
      <c r="I571" s="2" t="str">
        <f>IFERROR(__xludf.DUMMYFUNCTION("""COMPUTED_VALUE"""),"ICM_Business_linked_launch")</f>
        <v>ICM_Business_linked_launch</v>
      </c>
      <c r="J571" s="2" t="str">
        <f>IFERROR(__xludf.DUMMYFUNCTION("""COMPUTED_VALUE"""),"uuid:47f8016c-7f34-48b3-b268-87dda5c278a4")</f>
        <v>uuid:47f8016c-7f34-48b3-b268-87dda5c278a4</v>
      </c>
    </row>
    <row r="572">
      <c r="A572" s="2" t="str">
        <f>IFERROR(__xludf.DUMMYFUNCTION("""COMPUTED_VALUE"""),"2025-09-13T09:28:32.013Z")</f>
        <v>2025-09-13T09:28:32.013Z</v>
      </c>
      <c r="B572" s="2" t="str">
        <f>IFERROR(__xludf.DUMMYFUNCTION("""COMPUTED_VALUE"""),"2025-09-13T13:39:50.836+08")</f>
        <v>2025-09-13T13:39:50.836+08</v>
      </c>
      <c r="C572" s="2" t="str">
        <f>IFERROR(__xludf.DUMMYFUNCTION("""COMPUTED_VALUE"""),"2025-09-13T13:46:59.438+08")</f>
        <v>2025-09-13T13:46:59.438+08</v>
      </c>
      <c r="D572" s="2" t="str">
        <f>IFERROR(__xludf.DUMMYFUNCTION("""COMPUTED_VALUE"""),"H004137001")</f>
        <v>H004137001</v>
      </c>
      <c r="E572" s="2">
        <f>IFERROR(__xludf.DUMMYFUNCTION("""COMPUTED_VALUE"""),841329.0)</f>
        <v>841329</v>
      </c>
      <c r="F572" s="2" t="str">
        <f>IFERROR(__xludf.DUMMYFUNCTION("""COMPUTED_VALUE"""),"Aila Eli_2")</f>
        <v>Aila Eli_2</v>
      </c>
      <c r="G572" s="2"/>
      <c r="H572" s="2"/>
      <c r="I572" s="2" t="str">
        <f>IFERROR(__xludf.DUMMYFUNCTION("""COMPUTED_VALUE"""),"ICM_Business_linked_launch")</f>
        <v>ICM_Business_linked_launch</v>
      </c>
      <c r="J572" s="2" t="str">
        <f>IFERROR(__xludf.DUMMYFUNCTION("""COMPUTED_VALUE"""),"uuid:de6175c3-9075-4cc6-89c3-b708fbc409e5")</f>
        <v>uuid:de6175c3-9075-4cc6-89c3-b708fbc409e5</v>
      </c>
    </row>
    <row r="573">
      <c r="A573" s="2" t="str">
        <f>IFERROR(__xludf.DUMMYFUNCTION("""COMPUTED_VALUE"""),"2025-09-13T10:08:34.068Z")</f>
        <v>2025-09-13T10:08:34.068Z</v>
      </c>
      <c r="B573" s="2" t="str">
        <f>IFERROR(__xludf.DUMMYFUNCTION("""COMPUTED_VALUE"""),"2025-09-13T09:53:02.081+08")</f>
        <v>2025-09-13T09:53:02.081+08</v>
      </c>
      <c r="C573" s="2" t="str">
        <f>IFERROR(__xludf.DUMMYFUNCTION("""COMPUTED_VALUE"""),"2025-09-13T18:07:43.051+08")</f>
        <v>2025-09-13T18:07:43.051+08</v>
      </c>
      <c r="D573" s="2" t="str">
        <f>IFERROR(__xludf.DUMMYFUNCTION("""COMPUTED_VALUE"""),"H030774019")</f>
        <v>H030774019</v>
      </c>
      <c r="E573" s="2">
        <f>IFERROR(__xludf.DUMMYFUNCTION("""COMPUTED_VALUE"""),896791.0)</f>
        <v>896791</v>
      </c>
      <c r="F573" s="2" t="str">
        <f>IFERROR(__xludf.DUMMYFUNCTION("""COMPUTED_VALUE"""),"Roland A. Bandiola jr_2")</f>
        <v>Roland A. Bandiola jr_2</v>
      </c>
      <c r="G573" s="2"/>
      <c r="H573" s="2"/>
      <c r="I573" s="2" t="str">
        <f>IFERROR(__xludf.DUMMYFUNCTION("""COMPUTED_VALUE"""),"ICM_Business_linked_launch")</f>
        <v>ICM_Business_linked_launch</v>
      </c>
      <c r="J573" s="2" t="str">
        <f>IFERROR(__xludf.DUMMYFUNCTION("""COMPUTED_VALUE"""),"uuid:b2effc52-b36e-4086-9251-1995bdc6b669")</f>
        <v>uuid:b2effc52-b36e-4086-9251-1995bdc6b669</v>
      </c>
    </row>
    <row r="574">
      <c r="A574" s="2" t="str">
        <f>IFERROR(__xludf.DUMMYFUNCTION("""COMPUTED_VALUE"""),"2025-09-13T10:10:10.774Z")</f>
        <v>2025-09-13T10:10:10.774Z</v>
      </c>
      <c r="B574" s="2" t="str">
        <f>IFERROR(__xludf.DUMMYFUNCTION("""COMPUTED_VALUE"""),"2025-09-13T10:34:14.473+08")</f>
        <v>2025-09-13T10:34:14.473+08</v>
      </c>
      <c r="C574" s="2" t="str">
        <f>IFERROR(__xludf.DUMMYFUNCTION("""COMPUTED_VALUE"""),"2025-09-13T10:44:12.952+08")</f>
        <v>2025-09-13T10:44:12.952+08</v>
      </c>
      <c r="D574" s="2" t="str">
        <f>IFERROR(__xludf.DUMMYFUNCTION("""COMPUTED_VALUE"""),"H006233022")</f>
        <v>H006233022</v>
      </c>
      <c r="E574" s="2" t="str">
        <f>IFERROR(__xludf.DUMMYFUNCTION("""COMPUTED_VALUE"""),"N7814260")</f>
        <v>N7814260</v>
      </c>
      <c r="F574" s="2" t="str">
        <f>IFERROR(__xludf.DUMMYFUNCTION("""COMPUTED_VALUE"""),"Jemma Marie Tillo")</f>
        <v>Jemma Marie Tillo</v>
      </c>
      <c r="G574" s="2"/>
      <c r="H574" s="2"/>
      <c r="I574" s="2" t="str">
        <f>IFERROR(__xludf.DUMMYFUNCTION("""COMPUTED_VALUE"""),"ICM_Business_linked_launch")</f>
        <v>ICM_Business_linked_launch</v>
      </c>
      <c r="J574" s="2" t="str">
        <f>IFERROR(__xludf.DUMMYFUNCTION("""COMPUTED_VALUE"""),"uuid:d6416d72-75b1-4c19-baae-4d62454aebc8")</f>
        <v>uuid:d6416d72-75b1-4c19-baae-4d62454aebc8</v>
      </c>
    </row>
    <row r="575">
      <c r="A575" s="2" t="str">
        <f>IFERROR(__xludf.DUMMYFUNCTION("""COMPUTED_VALUE"""),"2025-09-13T10:10:11.608Z")</f>
        <v>2025-09-13T10:10:11.608Z</v>
      </c>
      <c r="B575" s="2" t="str">
        <f>IFERROR(__xludf.DUMMYFUNCTION("""COMPUTED_VALUE"""),"2025-09-13T12:25:17.887+08")</f>
        <v>2025-09-13T12:25:17.887+08</v>
      </c>
      <c r="C575" s="2" t="str">
        <f>IFERROR(__xludf.DUMMYFUNCTION("""COMPUTED_VALUE"""),"2025-09-13T12:43:30.297+08")</f>
        <v>2025-09-13T12:43:30.297+08</v>
      </c>
      <c r="D575" s="2" t="str">
        <f>IFERROR(__xludf.DUMMYFUNCTION("""COMPUTED_VALUE"""),"H006233033")</f>
        <v>H006233033</v>
      </c>
      <c r="E575" s="2" t="str">
        <f>IFERROR(__xludf.DUMMYFUNCTION("""COMPUTED_VALUE"""),"N7814260")</f>
        <v>N7814260</v>
      </c>
      <c r="F575" s="2" t="str">
        <f>IFERROR(__xludf.DUMMYFUNCTION("""COMPUTED_VALUE"""),"Jemma Marie Tillo")</f>
        <v>Jemma Marie Tillo</v>
      </c>
      <c r="G575" s="2"/>
      <c r="H575" s="2"/>
      <c r="I575" s="2" t="str">
        <f>IFERROR(__xludf.DUMMYFUNCTION("""COMPUTED_VALUE"""),"ICM_Business_linked_launch")</f>
        <v>ICM_Business_linked_launch</v>
      </c>
      <c r="J575" s="2" t="str">
        <f>IFERROR(__xludf.DUMMYFUNCTION("""COMPUTED_VALUE"""),"uuid:ade69731-ebf5-4f31-89f8-7632db45b374")</f>
        <v>uuid:ade69731-ebf5-4f31-89f8-7632db45b374</v>
      </c>
    </row>
    <row r="576">
      <c r="A576" s="2" t="str">
        <f>IFERROR(__xludf.DUMMYFUNCTION("""COMPUTED_VALUE"""),"2025-09-13T10:10:12.536Z")</f>
        <v>2025-09-13T10:10:12.536Z</v>
      </c>
      <c r="B576" s="2" t="str">
        <f>IFERROR(__xludf.DUMMYFUNCTION("""COMPUTED_VALUE"""),"2025-09-13T08:32:40.158+08")</f>
        <v>2025-09-13T08:32:40.158+08</v>
      </c>
      <c r="C576" s="2" t="str">
        <f>IFERROR(__xludf.DUMMYFUNCTION("""COMPUTED_VALUE"""),"2025-09-13T17:09:58.557+08")</f>
        <v>2025-09-13T17:09:58.557+08</v>
      </c>
      <c r="D576" s="2" t="str">
        <f>IFERROR(__xludf.DUMMYFUNCTION("""COMPUTED_VALUE"""),"H006233020")</f>
        <v>H006233020</v>
      </c>
      <c r="E576" s="2" t="str">
        <f>IFERROR(__xludf.DUMMYFUNCTION("""COMPUTED_VALUE"""),"N7814260")</f>
        <v>N7814260</v>
      </c>
      <c r="F576" s="2" t="str">
        <f>IFERROR(__xludf.DUMMYFUNCTION("""COMPUTED_VALUE"""),"Jemma Marie Tillo")</f>
        <v>Jemma Marie Tillo</v>
      </c>
      <c r="G576" s="2"/>
      <c r="H576" s="2"/>
      <c r="I576" s="2" t="str">
        <f>IFERROR(__xludf.DUMMYFUNCTION("""COMPUTED_VALUE"""),"ICM_Business_linked_launch")</f>
        <v>ICM_Business_linked_launch</v>
      </c>
      <c r="J576" s="2" t="str">
        <f>IFERROR(__xludf.DUMMYFUNCTION("""COMPUTED_VALUE"""),"uuid:9139b16b-dddf-4ee2-b34a-d069613fb35b")</f>
        <v>uuid:9139b16b-dddf-4ee2-b34a-d069613fb35b</v>
      </c>
    </row>
    <row r="577">
      <c r="A577" s="2" t="str">
        <f>IFERROR(__xludf.DUMMYFUNCTION("""COMPUTED_VALUE"""),"2025-09-13T10:21:55.040Z")</f>
        <v>2025-09-13T10:21:55.040Z</v>
      </c>
      <c r="B577" s="2" t="str">
        <f>IFERROR(__xludf.DUMMYFUNCTION("""COMPUTED_VALUE"""),"2025-09-13T13:58:10.410+08")</f>
        <v>2025-09-13T13:58:10.410+08</v>
      </c>
      <c r="C577" s="2" t="str">
        <f>IFERROR(__xludf.DUMMYFUNCTION("""COMPUTED_VALUE"""),"2025-09-13T18:21:37.765+08")</f>
        <v>2025-09-13T18:21:37.765+08</v>
      </c>
      <c r="D577" s="2" t="str">
        <f>IFERROR(__xludf.DUMMYFUNCTION("""COMPUTED_VALUE"""),"H004344030")</f>
        <v>H004344030</v>
      </c>
      <c r="E577" s="2">
        <f>IFERROR(__xludf.DUMMYFUNCTION("""COMPUTED_VALUE"""),859767.0)</f>
        <v>859767</v>
      </c>
      <c r="F577" s="2" t="str">
        <f>IFERROR(__xludf.DUMMYFUNCTION("""COMPUTED_VALUE"""),"Ramie De Pedro Jr._2")</f>
        <v>Ramie De Pedro Jr._2</v>
      </c>
      <c r="G577" s="2"/>
      <c r="H577" s="2"/>
      <c r="I577" s="2" t="str">
        <f>IFERROR(__xludf.DUMMYFUNCTION("""COMPUTED_VALUE"""),"ICM_Business_linked_launch")</f>
        <v>ICM_Business_linked_launch</v>
      </c>
      <c r="J577" s="2" t="str">
        <f>IFERROR(__xludf.DUMMYFUNCTION("""COMPUTED_VALUE"""),"uuid:f0932d7d-9f5f-4d2c-be59-7f23881fc84e")</f>
        <v>uuid:f0932d7d-9f5f-4d2c-be59-7f23881fc84e</v>
      </c>
    </row>
    <row r="578">
      <c r="A578" s="2" t="str">
        <f>IFERROR(__xludf.DUMMYFUNCTION("""COMPUTED_VALUE"""),"2025-09-13T10:21:55.720Z")</f>
        <v>2025-09-13T10:21:55.720Z</v>
      </c>
      <c r="B578" s="2" t="str">
        <f>IFERROR(__xludf.DUMMYFUNCTION("""COMPUTED_VALUE"""),"2025-09-13T11:57:37.176+08")</f>
        <v>2025-09-13T11:57:37.176+08</v>
      </c>
      <c r="C578" s="2" t="str">
        <f>IFERROR(__xludf.DUMMYFUNCTION("""COMPUTED_VALUE"""),"2025-09-13T12:09:24.961+08")</f>
        <v>2025-09-13T12:09:24.961+08</v>
      </c>
      <c r="D578" s="2" t="str">
        <f>IFERROR(__xludf.DUMMYFUNCTION("""COMPUTED_VALUE"""),"H004344019")</f>
        <v>H004344019</v>
      </c>
      <c r="E578" s="2">
        <f>IFERROR(__xludf.DUMMYFUNCTION("""COMPUTED_VALUE"""),859767.0)</f>
        <v>859767</v>
      </c>
      <c r="F578" s="2" t="str">
        <f>IFERROR(__xludf.DUMMYFUNCTION("""COMPUTED_VALUE"""),"Ramie De Pedro Jr._2")</f>
        <v>Ramie De Pedro Jr._2</v>
      </c>
      <c r="G578" s="2"/>
      <c r="H578" s="2"/>
      <c r="I578" s="2" t="str">
        <f>IFERROR(__xludf.DUMMYFUNCTION("""COMPUTED_VALUE"""),"ICM_Business_linked_launch")</f>
        <v>ICM_Business_linked_launch</v>
      </c>
      <c r="J578" s="2" t="str">
        <f>IFERROR(__xludf.DUMMYFUNCTION("""COMPUTED_VALUE"""),"uuid:dd763990-cc71-4134-897b-bde923e0f776")</f>
        <v>uuid:dd763990-cc71-4134-897b-bde923e0f776</v>
      </c>
    </row>
    <row r="579">
      <c r="A579" s="2" t="str">
        <f>IFERROR(__xludf.DUMMYFUNCTION("""COMPUTED_VALUE"""),"2025-09-13T10:21:56.526Z")</f>
        <v>2025-09-13T10:21:56.526Z</v>
      </c>
      <c r="B579" s="2" t="str">
        <f>IFERROR(__xludf.DUMMYFUNCTION("""COMPUTED_VALUE"""),"2025-09-13T15:53:56.557+08")</f>
        <v>2025-09-13T15:53:56.557+08</v>
      </c>
      <c r="C579" s="2" t="str">
        <f>IFERROR(__xludf.DUMMYFUNCTION("""COMPUTED_VALUE"""),"2025-09-13T16:07:53.475+08")</f>
        <v>2025-09-13T16:07:53.475+08</v>
      </c>
      <c r="D579" s="2" t="str">
        <f>IFERROR(__xludf.DUMMYFUNCTION("""COMPUTED_VALUE"""),"H004344020")</f>
        <v>H004344020</v>
      </c>
      <c r="E579" s="2">
        <f>IFERROR(__xludf.DUMMYFUNCTION("""COMPUTED_VALUE"""),859767.0)</f>
        <v>859767</v>
      </c>
      <c r="F579" s="2" t="str">
        <f>IFERROR(__xludf.DUMMYFUNCTION("""COMPUTED_VALUE"""),"Ramie De Pedro Jr._2")</f>
        <v>Ramie De Pedro Jr._2</v>
      </c>
      <c r="G579" s="2"/>
      <c r="H579" s="2"/>
      <c r="I579" s="2" t="str">
        <f>IFERROR(__xludf.DUMMYFUNCTION("""COMPUTED_VALUE"""),"ICM_Business_linked_launch")</f>
        <v>ICM_Business_linked_launch</v>
      </c>
      <c r="J579" s="2" t="str">
        <f>IFERROR(__xludf.DUMMYFUNCTION("""COMPUTED_VALUE"""),"uuid:13b2ce94-a3cb-47d7-9e81-538ede162800")</f>
        <v>uuid:13b2ce94-a3cb-47d7-9e81-538ede162800</v>
      </c>
    </row>
    <row r="580">
      <c r="A580" s="2" t="str">
        <f>IFERROR(__xludf.DUMMYFUNCTION("""COMPUTED_VALUE"""),"2025-09-13T10:22:03.411Z")</f>
        <v>2025-09-13T10:22:03.411Z</v>
      </c>
      <c r="B580" s="2" t="str">
        <f>IFERROR(__xludf.DUMMYFUNCTION("""COMPUTED_VALUE"""),"2025-09-13T08:38:36.804+08")</f>
        <v>2025-09-13T08:38:36.804+08</v>
      </c>
      <c r="C580" s="2" t="str">
        <f>IFERROR(__xludf.DUMMYFUNCTION("""COMPUTED_VALUE"""),"2025-09-13T08:54:13.060+08")</f>
        <v>2025-09-13T08:54:13.060+08</v>
      </c>
      <c r="D580" s="2" t="str">
        <f>IFERROR(__xludf.DUMMYFUNCTION("""COMPUTED_VALUE"""),"H006233031")</f>
        <v>H006233031</v>
      </c>
      <c r="E580" s="2" t="str">
        <f>IFERROR(__xludf.DUMMYFUNCTION("""COMPUTED_VALUE"""),"O3925718")</f>
        <v>O3925718</v>
      </c>
      <c r="F580" s="2" t="str">
        <f>IFERROR(__xludf.DUMMYFUNCTION("""COMPUTED_VALUE"""),"Adrian Montecastro Ferrer")</f>
        <v>Adrian Montecastro Ferrer</v>
      </c>
      <c r="G580" s="2"/>
      <c r="H580" s="2"/>
      <c r="I580" s="2" t="str">
        <f>IFERROR(__xludf.DUMMYFUNCTION("""COMPUTED_VALUE"""),"ICM_Business_linked_launch")</f>
        <v>ICM_Business_linked_launch</v>
      </c>
      <c r="J580" s="2" t="str">
        <f>IFERROR(__xludf.DUMMYFUNCTION("""COMPUTED_VALUE"""),"uuid:f1871f58-3f3a-4309-b00a-f7c4580fd280")</f>
        <v>uuid:f1871f58-3f3a-4309-b00a-f7c4580fd280</v>
      </c>
    </row>
    <row r="581">
      <c r="A581" s="2" t="str">
        <f>IFERROR(__xludf.DUMMYFUNCTION("""COMPUTED_VALUE"""),"2025-09-13T10:22:07.325Z")</f>
        <v>2025-09-13T10:22:07.325Z</v>
      </c>
      <c r="B581" s="2" t="str">
        <f>IFERROR(__xludf.DUMMYFUNCTION("""COMPUTED_VALUE"""),"2025-09-13T11:16:21.839+08")</f>
        <v>2025-09-13T11:16:21.839+08</v>
      </c>
      <c r="C581" s="2" t="str">
        <f>IFERROR(__xludf.DUMMYFUNCTION("""COMPUTED_VALUE"""),"2025-09-13T11:39:05.608+08")</f>
        <v>2025-09-13T11:39:05.608+08</v>
      </c>
      <c r="D581" s="2" t="str">
        <f>IFERROR(__xludf.DUMMYFUNCTION("""COMPUTED_VALUE"""),"H006233035")</f>
        <v>H006233035</v>
      </c>
      <c r="E581" s="2" t="str">
        <f>IFERROR(__xludf.DUMMYFUNCTION("""COMPUTED_VALUE"""),"O3925718")</f>
        <v>O3925718</v>
      </c>
      <c r="F581" s="2" t="str">
        <f>IFERROR(__xludf.DUMMYFUNCTION("""COMPUTED_VALUE"""),"Adrian Montecastro Ferrer")</f>
        <v>Adrian Montecastro Ferrer</v>
      </c>
      <c r="G581" s="2"/>
      <c r="H581" s="2"/>
      <c r="I581" s="2" t="str">
        <f>IFERROR(__xludf.DUMMYFUNCTION("""COMPUTED_VALUE"""),"ICM_Business_linked_launch")</f>
        <v>ICM_Business_linked_launch</v>
      </c>
      <c r="J581" s="2" t="str">
        <f>IFERROR(__xludf.DUMMYFUNCTION("""COMPUTED_VALUE"""),"uuid:0110526f-e179-4e78-9122-dddc976edc24")</f>
        <v>uuid:0110526f-e179-4e78-9122-dddc976edc24</v>
      </c>
    </row>
    <row r="582">
      <c r="A582" s="2" t="str">
        <f>IFERROR(__xludf.DUMMYFUNCTION("""COMPUTED_VALUE"""),"2025-09-13T10:22:08.039Z")</f>
        <v>2025-09-13T10:22:08.039Z</v>
      </c>
      <c r="B582" s="2" t="str">
        <f>IFERROR(__xludf.DUMMYFUNCTION("""COMPUTED_VALUE"""),"2025-09-13T10:04:57.724+08")</f>
        <v>2025-09-13T10:04:57.724+08</v>
      </c>
      <c r="C582" s="2" t="str">
        <f>IFERROR(__xludf.DUMMYFUNCTION("""COMPUTED_VALUE"""),"2025-09-13T10:13:16.183+08")</f>
        <v>2025-09-13T10:13:16.183+08</v>
      </c>
      <c r="D582" s="2" t="str">
        <f>IFERROR(__xludf.DUMMYFUNCTION("""COMPUTED_VALUE"""),"H006233081")</f>
        <v>H006233081</v>
      </c>
      <c r="E582" s="2" t="str">
        <f>IFERROR(__xludf.DUMMYFUNCTION("""COMPUTED_VALUE"""),"O3925718")</f>
        <v>O3925718</v>
      </c>
      <c r="F582" s="2" t="str">
        <f>IFERROR(__xludf.DUMMYFUNCTION("""COMPUTED_VALUE"""),"Adrian Montecastro Ferrer")</f>
        <v>Adrian Montecastro Ferrer</v>
      </c>
      <c r="G582" s="2"/>
      <c r="H582" s="2"/>
      <c r="I582" s="2" t="str">
        <f>IFERROR(__xludf.DUMMYFUNCTION("""COMPUTED_VALUE"""),"ICM_Business_linked_launch")</f>
        <v>ICM_Business_linked_launch</v>
      </c>
      <c r="J582" s="2" t="str">
        <f>IFERROR(__xludf.DUMMYFUNCTION("""COMPUTED_VALUE"""),"uuid:2e1247e9-bdb5-4b45-b2c0-79200a53e292")</f>
        <v>uuid:2e1247e9-bdb5-4b45-b2c0-79200a53e292</v>
      </c>
    </row>
    <row r="583">
      <c r="A583" s="2" t="str">
        <f>IFERROR(__xludf.DUMMYFUNCTION("""COMPUTED_VALUE"""),"2025-09-13T10:29:19.489Z")</f>
        <v>2025-09-13T10:29:19.489Z</v>
      </c>
      <c r="B583" s="2" t="str">
        <f>IFERROR(__xludf.DUMMYFUNCTION("""COMPUTED_VALUE"""),"2025-09-13T08:51:55.241+08")</f>
        <v>2025-09-13T08:51:55.241+08</v>
      </c>
      <c r="C583" s="2" t="str">
        <f>IFERROR(__xludf.DUMMYFUNCTION("""COMPUTED_VALUE"""),"2025-09-13T08:54:32.896+08")</f>
        <v>2025-09-13T08:54:32.896+08</v>
      </c>
      <c r="D583" s="2" t="str">
        <f>IFERROR(__xludf.DUMMYFUNCTION("""COMPUTED_VALUE"""),"H006817005")</f>
        <v>H006817005</v>
      </c>
      <c r="E583" s="2" t="str">
        <f>IFERROR(__xludf.DUMMYFUNCTION("""COMPUTED_VALUE"""),"J4315980")</f>
        <v>J4315980</v>
      </c>
      <c r="F583" s="2" t="str">
        <f>IFERROR(__xludf.DUMMYFUNCTION("""COMPUTED_VALUE"""),"Trixie Marie Jardeleza Saber")</f>
        <v>Trixie Marie Jardeleza Saber</v>
      </c>
      <c r="G583" s="2"/>
      <c r="H583" s="2"/>
      <c r="I583" s="2" t="str">
        <f>IFERROR(__xludf.DUMMYFUNCTION("""COMPUTED_VALUE"""),"ICM_Business_linked_launch")</f>
        <v>ICM_Business_linked_launch</v>
      </c>
      <c r="J583" s="2" t="str">
        <f>IFERROR(__xludf.DUMMYFUNCTION("""COMPUTED_VALUE"""),"uuid:518a5f73-7b43-48f6-8e89-258c6405e44c")</f>
        <v>uuid:518a5f73-7b43-48f6-8e89-258c6405e44c</v>
      </c>
    </row>
    <row r="584">
      <c r="A584" s="2" t="str">
        <f>IFERROR(__xludf.DUMMYFUNCTION("""COMPUTED_VALUE"""),"2025-09-13T10:29:37.094Z")</f>
        <v>2025-09-13T10:29:37.094Z</v>
      </c>
      <c r="B584" s="2" t="str">
        <f>IFERROR(__xludf.DUMMYFUNCTION("""COMPUTED_VALUE"""),"2025-09-13T09:09:08.626+08")</f>
        <v>2025-09-13T09:09:08.626+08</v>
      </c>
      <c r="C584" s="2" t="str">
        <f>IFERROR(__xludf.DUMMYFUNCTION("""COMPUTED_VALUE"""),"2025-09-13T09:23:01.076+08")</f>
        <v>2025-09-13T09:23:01.076+08</v>
      </c>
      <c r="D584" s="2" t="str">
        <f>IFERROR(__xludf.DUMMYFUNCTION("""COMPUTED_VALUE"""),"H006817034")</f>
        <v>H006817034</v>
      </c>
      <c r="E584" s="2" t="str">
        <f>IFERROR(__xludf.DUMMYFUNCTION("""COMPUTED_VALUE"""),"J4315980")</f>
        <v>J4315980</v>
      </c>
      <c r="F584" s="2" t="str">
        <f>IFERROR(__xludf.DUMMYFUNCTION("""COMPUTED_VALUE"""),"Trixie Marie Jardeleza Saber")</f>
        <v>Trixie Marie Jardeleza Saber</v>
      </c>
      <c r="G584" s="2"/>
      <c r="H584" s="2"/>
      <c r="I584" s="2" t="str">
        <f>IFERROR(__xludf.DUMMYFUNCTION("""COMPUTED_VALUE"""),"ICM_Business_linked_launch")</f>
        <v>ICM_Business_linked_launch</v>
      </c>
      <c r="J584" s="2" t="str">
        <f>IFERROR(__xludf.DUMMYFUNCTION("""COMPUTED_VALUE"""),"uuid:bb3a62e8-1b22-4638-9a11-f12f1e7b9157")</f>
        <v>uuid:bb3a62e8-1b22-4638-9a11-f12f1e7b9157</v>
      </c>
    </row>
    <row r="585">
      <c r="A585" s="2" t="str">
        <f>IFERROR(__xludf.DUMMYFUNCTION("""COMPUTED_VALUE"""),"2025-09-13T10:40:00.496Z")</f>
        <v>2025-09-13T10:40:00.496Z</v>
      </c>
      <c r="B585" s="2" t="str">
        <f>IFERROR(__xludf.DUMMYFUNCTION("""COMPUTED_VALUE"""),"2025-09-13T11:53:47.280+08")</f>
        <v>2025-09-13T11:53:47.280+08</v>
      </c>
      <c r="C585" s="2" t="str">
        <f>IFERROR(__xludf.DUMMYFUNCTION("""COMPUTED_VALUE"""),"2025-09-13T14:02:46.131+08")</f>
        <v>2025-09-13T14:02:46.131+08</v>
      </c>
      <c r="D585" s="2" t="str">
        <f>IFERROR(__xludf.DUMMYFUNCTION("""COMPUTED_VALUE"""),"H030774035")</f>
        <v>H030774035</v>
      </c>
      <c r="E585" s="2" t="str">
        <f>IFERROR(__xludf.DUMMYFUNCTION("""COMPUTED_VALUE"""),"B8193462")</f>
        <v>B8193462</v>
      </c>
      <c r="F585" s="2" t="str">
        <f>IFERROR(__xludf.DUMMYFUNCTION("""COMPUTED_VALUE"""),"Mark Lorens Mendoza Gilongo")</f>
        <v>Mark Lorens Mendoza Gilongo</v>
      </c>
      <c r="G585" s="2"/>
      <c r="H585" s="2"/>
      <c r="I585" s="2" t="str">
        <f>IFERROR(__xludf.DUMMYFUNCTION("""COMPUTED_VALUE"""),"ICM_Business_linked_launch")</f>
        <v>ICM_Business_linked_launch</v>
      </c>
      <c r="J585" s="2" t="str">
        <f>IFERROR(__xludf.DUMMYFUNCTION("""COMPUTED_VALUE"""),"uuid:a41792b0-b685-418c-a708-be035c777b76")</f>
        <v>uuid:a41792b0-b685-418c-a708-be035c777b76</v>
      </c>
    </row>
    <row r="586">
      <c r="A586" s="2" t="str">
        <f>IFERROR(__xludf.DUMMYFUNCTION("""COMPUTED_VALUE"""),"2025-09-13T10:54:52.649Z")</f>
        <v>2025-09-13T10:54:52.649Z</v>
      </c>
      <c r="B586" s="2" t="str">
        <f>IFERROR(__xludf.DUMMYFUNCTION("""COMPUTED_VALUE"""),"2025-09-13T10:09:53.705+08")</f>
        <v>2025-09-13T10:09:53.705+08</v>
      </c>
      <c r="C586" s="2" t="str">
        <f>IFERROR(__xludf.DUMMYFUNCTION("""COMPUTED_VALUE"""),"2025-09-13T18:54:37.438+08")</f>
        <v>2025-09-13T18:54:37.438+08</v>
      </c>
      <c r="D586" s="2" t="str">
        <f>IFERROR(__xludf.DUMMYFUNCTION("""COMPUTED_VALUE"""),"H030774034")</f>
        <v>H030774034</v>
      </c>
      <c r="E586" s="2" t="str">
        <f>IFERROR(__xludf.DUMMYFUNCTION("""COMPUTED_VALUE"""),"C7502931")</f>
        <v>C7502931</v>
      </c>
      <c r="F586" s="2" t="str">
        <f>IFERROR(__xludf.DUMMYFUNCTION("""COMPUTED_VALUE"""),"Jenny Lou Toles Estacio")</f>
        <v>Jenny Lou Toles Estacio</v>
      </c>
      <c r="G586" s="2"/>
      <c r="H586" s="2"/>
      <c r="I586" s="2" t="str">
        <f>IFERROR(__xludf.DUMMYFUNCTION("""COMPUTED_VALUE"""),"ICM_Business_linked_launch")</f>
        <v>ICM_Business_linked_launch</v>
      </c>
      <c r="J586" s="2" t="str">
        <f>IFERROR(__xludf.DUMMYFUNCTION("""COMPUTED_VALUE"""),"uuid:ef1b0e14-0753-426e-bfbf-1c78954e379b")</f>
        <v>uuid:ef1b0e14-0753-426e-bfbf-1c78954e379b</v>
      </c>
    </row>
    <row r="587">
      <c r="A587" s="2" t="str">
        <f>IFERROR(__xludf.DUMMYFUNCTION("""COMPUTED_VALUE"""),"2025-09-13T10:57:45.556Z")</f>
        <v>2025-09-13T10:57:45.556Z</v>
      </c>
      <c r="B587" s="2" t="str">
        <f>IFERROR(__xludf.DUMMYFUNCTION("""COMPUTED_VALUE"""),"2025-09-13T09:41:32.189+08")</f>
        <v>2025-09-13T09:41:32.189+08</v>
      </c>
      <c r="C587" s="2" t="str">
        <f>IFERROR(__xludf.DUMMYFUNCTION("""COMPUTED_VALUE"""),"2025-09-13T10:40:33.731+08")</f>
        <v>2025-09-13T10:40:33.731+08</v>
      </c>
      <c r="D587" s="2" t="str">
        <f>IFERROR(__xludf.DUMMYFUNCTION("""COMPUTED_VALUE"""),"H030774016")</f>
        <v>H030774016</v>
      </c>
      <c r="E587" s="2" t="str">
        <f>IFERROR(__xludf.DUMMYFUNCTION("""COMPUTED_VALUE"""),"D1284067")</f>
        <v>D1284067</v>
      </c>
      <c r="F587" s="2" t="str">
        <f>IFERROR(__xludf.DUMMYFUNCTION("""COMPUTED_VALUE"""),"Mariel Del Rio")</f>
        <v>Mariel Del Rio</v>
      </c>
      <c r="G587" s="2"/>
      <c r="H587" s="2"/>
      <c r="I587" s="2" t="str">
        <f>IFERROR(__xludf.DUMMYFUNCTION("""COMPUTED_VALUE"""),"ICM_Business_linked_launch")</f>
        <v>ICM_Business_linked_launch</v>
      </c>
      <c r="J587" s="2" t="str">
        <f>IFERROR(__xludf.DUMMYFUNCTION("""COMPUTED_VALUE"""),"uuid:5a004056-849e-4bf9-a802-4bbdd7cb411e")</f>
        <v>uuid:5a004056-849e-4bf9-a802-4bbdd7cb411e</v>
      </c>
    </row>
    <row r="588">
      <c r="A588" s="2" t="str">
        <f>IFERROR(__xludf.DUMMYFUNCTION("""COMPUTED_VALUE"""),"2025-09-13T11:48:33.115Z")</f>
        <v>2025-09-13T11:48:33.115Z</v>
      </c>
      <c r="B588" s="2" t="str">
        <f>IFERROR(__xludf.DUMMYFUNCTION("""COMPUTED_VALUE"""),"2025-09-13T08:30:06.401+08")</f>
        <v>2025-09-13T08:30:06.401+08</v>
      </c>
      <c r="C588" s="2" t="str">
        <f>IFERROR(__xludf.DUMMYFUNCTION("""COMPUTED_VALUE"""),"2025-09-13T08:54:58.902+08")</f>
        <v>2025-09-13T08:54:58.902+08</v>
      </c>
      <c r="D588" s="2" t="str">
        <f>IFERROR(__xludf.DUMMYFUNCTION("""COMPUTED_VALUE"""),"H006817035")</f>
        <v>H006817035</v>
      </c>
      <c r="E588" s="2" t="str">
        <f>IFERROR(__xludf.DUMMYFUNCTION("""COMPUTED_VALUE"""),"L2057896")</f>
        <v>L2057896</v>
      </c>
      <c r="F588" s="2" t="str">
        <f>IFERROR(__xludf.DUMMYFUNCTION("""COMPUTED_VALUE"""),"Franz Reoben Posadas Geneblaza")</f>
        <v>Franz Reoben Posadas Geneblaza</v>
      </c>
      <c r="G588" s="2"/>
      <c r="H588" s="2"/>
      <c r="I588" s="2" t="str">
        <f>IFERROR(__xludf.DUMMYFUNCTION("""COMPUTED_VALUE"""),"ICM_Business_linked_launch")</f>
        <v>ICM_Business_linked_launch</v>
      </c>
      <c r="J588" s="2" t="str">
        <f>IFERROR(__xludf.DUMMYFUNCTION("""COMPUTED_VALUE"""),"uuid:ec29e69e-6415-45cb-acca-6f1ba5734d45")</f>
        <v>uuid:ec29e69e-6415-45cb-acca-6f1ba5734d45</v>
      </c>
    </row>
    <row r="589">
      <c r="A589" s="2" t="str">
        <f>IFERROR(__xludf.DUMMYFUNCTION("""COMPUTED_VALUE"""),"2025-09-13T11:48:35.495Z")</f>
        <v>2025-09-13T11:48:35.495Z</v>
      </c>
      <c r="B589" s="2" t="str">
        <f>IFERROR(__xludf.DUMMYFUNCTION("""COMPUTED_VALUE"""),"2025-09-13T10:06:04.498+08")</f>
        <v>2025-09-13T10:06:04.498+08</v>
      </c>
      <c r="C589" s="2" t="str">
        <f>IFERROR(__xludf.DUMMYFUNCTION("""COMPUTED_VALUE"""),"2025-09-13T10:19:31.223+08")</f>
        <v>2025-09-13T10:19:31.223+08</v>
      </c>
      <c r="D589" s="2" t="str">
        <f>IFERROR(__xludf.DUMMYFUNCTION("""COMPUTED_VALUE"""),"H006817022")</f>
        <v>H006817022</v>
      </c>
      <c r="E589" s="2" t="str">
        <f>IFERROR(__xludf.DUMMYFUNCTION("""COMPUTED_VALUE"""),"L2057896")</f>
        <v>L2057896</v>
      </c>
      <c r="F589" s="2" t="str">
        <f>IFERROR(__xludf.DUMMYFUNCTION("""COMPUTED_VALUE"""),"Franz Reoben Posadas Geneblaza")</f>
        <v>Franz Reoben Posadas Geneblaza</v>
      </c>
      <c r="G589" s="2"/>
      <c r="H589" s="2"/>
      <c r="I589" s="2" t="str">
        <f>IFERROR(__xludf.DUMMYFUNCTION("""COMPUTED_VALUE"""),"ICM_Business_linked_launch")</f>
        <v>ICM_Business_linked_launch</v>
      </c>
      <c r="J589" s="2" t="str">
        <f>IFERROR(__xludf.DUMMYFUNCTION("""COMPUTED_VALUE"""),"uuid:2ad27516-edb4-48ab-a448-2c1fcf75188f")</f>
        <v>uuid:2ad27516-edb4-48ab-a448-2c1fcf75188f</v>
      </c>
    </row>
    <row r="590">
      <c r="A590" s="2" t="str">
        <f>IFERROR(__xludf.DUMMYFUNCTION("""COMPUTED_VALUE"""),"2025-09-13T11:52:55.815Z")</f>
        <v>2025-09-13T11:52:55.815Z</v>
      </c>
      <c r="B590" s="2" t="str">
        <f>IFERROR(__xludf.DUMMYFUNCTION("""COMPUTED_VALUE"""),"2025-09-13T09:53:38.819+08")</f>
        <v>2025-09-13T09:53:38.819+08</v>
      </c>
      <c r="C590" s="2" t="str">
        <f>IFERROR(__xludf.DUMMYFUNCTION("""COMPUTED_VALUE"""),"2025-09-13T10:00:10.296+08")</f>
        <v>2025-09-13T10:00:10.296+08</v>
      </c>
      <c r="D590" s="2" t="str">
        <f>IFERROR(__xludf.DUMMYFUNCTION("""COMPUTED_VALUE"""),"H004137020")</f>
        <v>H004137020</v>
      </c>
      <c r="E590" s="2">
        <f>IFERROR(__xludf.DUMMYFUNCTION("""COMPUTED_VALUE"""),455939.0)</f>
        <v>455939</v>
      </c>
      <c r="F590" s="2" t="str">
        <f>IFERROR(__xludf.DUMMYFUNCTION("""COMPUTED_VALUE"""),"Mary Jean Villaflor_2")</f>
        <v>Mary Jean Villaflor_2</v>
      </c>
      <c r="G590" s="2"/>
      <c r="H590" s="2"/>
      <c r="I590" s="2" t="str">
        <f>IFERROR(__xludf.DUMMYFUNCTION("""COMPUTED_VALUE"""),"ICM_Business_linked_launch")</f>
        <v>ICM_Business_linked_launch</v>
      </c>
      <c r="J590" s="2" t="str">
        <f>IFERROR(__xludf.DUMMYFUNCTION("""COMPUTED_VALUE"""),"uuid:a7e93f92-2b16-4915-98dc-939a4a3648f3")</f>
        <v>uuid:a7e93f92-2b16-4915-98dc-939a4a3648f3</v>
      </c>
    </row>
    <row r="591">
      <c r="A591" s="2" t="str">
        <f>IFERROR(__xludf.DUMMYFUNCTION("""COMPUTED_VALUE"""),"2025-09-13T11:52:58.718Z")</f>
        <v>2025-09-13T11:52:58.718Z</v>
      </c>
      <c r="B591" s="2" t="str">
        <f>IFERROR(__xludf.DUMMYFUNCTION("""COMPUTED_VALUE"""),"2025-09-13T12:20:39.091+08")</f>
        <v>2025-09-13T12:20:39.091+08</v>
      </c>
      <c r="C591" s="2" t="str">
        <f>IFERROR(__xludf.DUMMYFUNCTION("""COMPUTED_VALUE"""),"2025-09-13T12:24:11.910+08")</f>
        <v>2025-09-13T12:24:11.910+08</v>
      </c>
      <c r="D591" s="2" t="str">
        <f>IFERROR(__xludf.DUMMYFUNCTION("""COMPUTED_VALUE"""),"H004137016")</f>
        <v>H004137016</v>
      </c>
      <c r="E591" s="2">
        <f>IFERROR(__xludf.DUMMYFUNCTION("""COMPUTED_VALUE"""),455939.0)</f>
        <v>455939</v>
      </c>
      <c r="F591" s="2" t="str">
        <f>IFERROR(__xludf.DUMMYFUNCTION("""COMPUTED_VALUE"""),"Mary Jean Villaflor_2")</f>
        <v>Mary Jean Villaflor_2</v>
      </c>
      <c r="G591" s="2"/>
      <c r="H591" s="2"/>
      <c r="I591" s="2" t="str">
        <f>IFERROR(__xludf.DUMMYFUNCTION("""COMPUTED_VALUE"""),"ICM_Business_linked_launch")</f>
        <v>ICM_Business_linked_launch</v>
      </c>
      <c r="J591" s="2" t="str">
        <f>IFERROR(__xludf.DUMMYFUNCTION("""COMPUTED_VALUE"""),"uuid:20276646-fc6c-4139-9976-fd2826ac47e1")</f>
        <v>uuid:20276646-fc6c-4139-9976-fd2826ac47e1</v>
      </c>
    </row>
    <row r="592">
      <c r="A592" s="2" t="str">
        <f>IFERROR(__xludf.DUMMYFUNCTION("""COMPUTED_VALUE"""),"2025-09-13T11:53:01.111Z")</f>
        <v>2025-09-13T11:53:01.111Z</v>
      </c>
      <c r="B592" s="2" t="str">
        <f>IFERROR(__xludf.DUMMYFUNCTION("""COMPUTED_VALUE"""),"2025-09-13T11:02:34.678+08")</f>
        <v>2025-09-13T11:02:34.678+08</v>
      </c>
      <c r="C592" s="2" t="str">
        <f>IFERROR(__xludf.DUMMYFUNCTION("""COMPUTED_VALUE"""),"2025-09-13T19:46:00.449+08")</f>
        <v>2025-09-13T19:46:00.449+08</v>
      </c>
      <c r="D592" s="2" t="str">
        <f>IFERROR(__xludf.DUMMYFUNCTION("""COMPUTED_VALUE"""),"H004137021")</f>
        <v>H004137021</v>
      </c>
      <c r="E592" s="2">
        <f>IFERROR(__xludf.DUMMYFUNCTION("""COMPUTED_VALUE"""),455939.0)</f>
        <v>455939</v>
      </c>
      <c r="F592" s="2" t="str">
        <f>IFERROR(__xludf.DUMMYFUNCTION("""COMPUTED_VALUE"""),"Mary Jean Villaflor_2")</f>
        <v>Mary Jean Villaflor_2</v>
      </c>
      <c r="G592" s="2"/>
      <c r="H592" s="2"/>
      <c r="I592" s="2" t="str">
        <f>IFERROR(__xludf.DUMMYFUNCTION("""COMPUTED_VALUE"""),"ICM_Business_linked_launch")</f>
        <v>ICM_Business_linked_launch</v>
      </c>
      <c r="J592" s="2" t="str">
        <f>IFERROR(__xludf.DUMMYFUNCTION("""COMPUTED_VALUE"""),"uuid:a4f597b1-c2ae-4031-b33c-9051bb7dc9fa")</f>
        <v>uuid:a4f597b1-c2ae-4031-b33c-9051bb7dc9fa</v>
      </c>
    </row>
    <row r="593">
      <c r="A593" s="2" t="str">
        <f>IFERROR(__xludf.DUMMYFUNCTION("""COMPUTED_VALUE"""),"2025-09-13T11:53:01.788Z")</f>
        <v>2025-09-13T11:53:01.788Z</v>
      </c>
      <c r="B593" s="2" t="str">
        <f>IFERROR(__xludf.DUMMYFUNCTION("""COMPUTED_VALUE"""),"2025-09-13T13:14:40.406+08")</f>
        <v>2025-09-13T13:14:40.406+08</v>
      </c>
      <c r="C593" s="2" t="str">
        <f>IFERROR(__xludf.DUMMYFUNCTION("""COMPUTED_VALUE"""),"2025-09-13T19:46:16.241+08")</f>
        <v>2025-09-13T19:46:16.241+08</v>
      </c>
      <c r="D593" s="2" t="str">
        <f>IFERROR(__xludf.DUMMYFUNCTION("""COMPUTED_VALUE"""),"H004137018")</f>
        <v>H004137018</v>
      </c>
      <c r="E593" s="2">
        <f>IFERROR(__xludf.DUMMYFUNCTION("""COMPUTED_VALUE"""),455939.0)</f>
        <v>455939</v>
      </c>
      <c r="F593" s="2" t="str">
        <f>IFERROR(__xludf.DUMMYFUNCTION("""COMPUTED_VALUE"""),"Mary Jean Villaflor_2")</f>
        <v>Mary Jean Villaflor_2</v>
      </c>
      <c r="G593" s="2"/>
      <c r="H593" s="2"/>
      <c r="I593" s="2" t="str">
        <f>IFERROR(__xludf.DUMMYFUNCTION("""COMPUTED_VALUE"""),"ICM_Business_linked_launch")</f>
        <v>ICM_Business_linked_launch</v>
      </c>
      <c r="J593" s="2" t="str">
        <f>IFERROR(__xludf.DUMMYFUNCTION("""COMPUTED_VALUE"""),"uuid:b676f1fc-05ea-4853-b627-2f849418417b")</f>
        <v>uuid:b676f1fc-05ea-4853-b627-2f849418417b</v>
      </c>
    </row>
    <row r="594">
      <c r="A594" s="2" t="str">
        <f>IFERROR(__xludf.DUMMYFUNCTION("""COMPUTED_VALUE"""),"2025-09-13T12:26:23.497Z")</f>
        <v>2025-09-13T12:26:23.497Z</v>
      </c>
      <c r="B594" s="2" t="str">
        <f>IFERROR(__xludf.DUMMYFUNCTION("""COMPUTED_VALUE"""),"2025-09-13T10:54:54.294+08")</f>
        <v>2025-09-13T10:54:54.294+08</v>
      </c>
      <c r="C594" s="2" t="str">
        <f>IFERROR(__xludf.DUMMYFUNCTION("""COMPUTED_VALUE"""),"2025-09-13T11:05:00.526+08")</f>
        <v>2025-09-13T11:05:00.526+08</v>
      </c>
      <c r="D594" s="2" t="str">
        <f>IFERROR(__xludf.DUMMYFUNCTION("""COMPUTED_VALUE"""),"H004344033")</f>
        <v>H004344033</v>
      </c>
      <c r="E594" s="2">
        <f>IFERROR(__xludf.DUMMYFUNCTION("""COMPUTED_VALUE"""),729375.0)</f>
        <v>729375</v>
      </c>
      <c r="F594" s="2" t="str">
        <f>IFERROR(__xludf.DUMMYFUNCTION("""COMPUTED_VALUE"""),"Janet Serafica_2")</f>
        <v>Janet Serafica_2</v>
      </c>
      <c r="G594" s="2"/>
      <c r="H594" s="2"/>
      <c r="I594" s="2" t="str">
        <f>IFERROR(__xludf.DUMMYFUNCTION("""COMPUTED_VALUE"""),"ICM_Business_linked_launch")</f>
        <v>ICM_Business_linked_launch</v>
      </c>
      <c r="J594" s="2" t="str">
        <f>IFERROR(__xludf.DUMMYFUNCTION("""COMPUTED_VALUE"""),"uuid:56eee990-f204-4d6e-bd69-c9607f025cf8")</f>
        <v>uuid:56eee990-f204-4d6e-bd69-c9607f025cf8</v>
      </c>
    </row>
    <row r="595">
      <c r="A595" s="2" t="str">
        <f>IFERROR(__xludf.DUMMYFUNCTION("""COMPUTED_VALUE"""),"2025-09-13T12:26:27.242Z")</f>
        <v>2025-09-13T12:26:27.242Z</v>
      </c>
      <c r="B595" s="2" t="str">
        <f>IFERROR(__xludf.DUMMYFUNCTION("""COMPUTED_VALUE"""),"2025-09-13T14:12:48.809+08")</f>
        <v>2025-09-13T14:12:48.809+08</v>
      </c>
      <c r="C595" s="2" t="str">
        <f>IFERROR(__xludf.DUMMYFUNCTION("""COMPUTED_VALUE"""),"2025-09-13T14:20:46.817+08")</f>
        <v>2025-09-13T14:20:46.817+08</v>
      </c>
      <c r="D595" s="2" t="str">
        <f>IFERROR(__xludf.DUMMYFUNCTION("""COMPUTED_VALUE"""),"H004344034")</f>
        <v>H004344034</v>
      </c>
      <c r="E595" s="2">
        <f>IFERROR(__xludf.DUMMYFUNCTION("""COMPUTED_VALUE"""),729375.0)</f>
        <v>729375</v>
      </c>
      <c r="F595" s="2" t="str">
        <f>IFERROR(__xludf.DUMMYFUNCTION("""COMPUTED_VALUE"""),"Janet Serafica_2")</f>
        <v>Janet Serafica_2</v>
      </c>
      <c r="G595" s="2"/>
      <c r="H595" s="2"/>
      <c r="I595" s="2" t="str">
        <f>IFERROR(__xludf.DUMMYFUNCTION("""COMPUTED_VALUE"""),"ICM_Business_linked_launch")</f>
        <v>ICM_Business_linked_launch</v>
      </c>
      <c r="J595" s="2" t="str">
        <f>IFERROR(__xludf.DUMMYFUNCTION("""COMPUTED_VALUE"""),"uuid:fde5cd36-b13a-44c5-9223-bf133e914f40")</f>
        <v>uuid:fde5cd36-b13a-44c5-9223-bf133e914f40</v>
      </c>
    </row>
    <row r="596">
      <c r="A596" s="2" t="str">
        <f>IFERROR(__xludf.DUMMYFUNCTION("""COMPUTED_VALUE"""),"2025-09-13T12:26:30.054Z")</f>
        <v>2025-09-13T12:26:30.054Z</v>
      </c>
      <c r="B596" s="2" t="str">
        <f>IFERROR(__xludf.DUMMYFUNCTION("""COMPUTED_VALUE"""),"2025-09-13T16:18:56.438+08")</f>
        <v>2025-09-13T16:18:56.438+08</v>
      </c>
      <c r="C596" s="2" t="str">
        <f>IFERROR(__xludf.DUMMYFUNCTION("""COMPUTED_VALUE"""),"2025-09-13T16:24:12.230+08")</f>
        <v>2025-09-13T16:24:12.230+08</v>
      </c>
      <c r="D596" s="2" t="str">
        <f>IFERROR(__xludf.DUMMYFUNCTION("""COMPUTED_VALUE"""),"H004344026")</f>
        <v>H004344026</v>
      </c>
      <c r="E596" s="2">
        <f>IFERROR(__xludf.DUMMYFUNCTION("""COMPUTED_VALUE"""),729375.0)</f>
        <v>729375</v>
      </c>
      <c r="F596" s="2" t="str">
        <f>IFERROR(__xludf.DUMMYFUNCTION("""COMPUTED_VALUE"""),"Janet Serafica_2")</f>
        <v>Janet Serafica_2</v>
      </c>
      <c r="G596" s="2"/>
      <c r="H596" s="2"/>
      <c r="I596" s="2" t="str">
        <f>IFERROR(__xludf.DUMMYFUNCTION("""COMPUTED_VALUE"""),"ICM_Business_linked_launch")</f>
        <v>ICM_Business_linked_launch</v>
      </c>
      <c r="J596" s="2" t="str">
        <f>IFERROR(__xludf.DUMMYFUNCTION("""COMPUTED_VALUE"""),"uuid:12692354-bb53-468b-b4a4-bef7bcd88cea")</f>
        <v>uuid:12692354-bb53-468b-b4a4-bef7bcd88cea</v>
      </c>
    </row>
    <row r="597">
      <c r="A597" s="2" t="str">
        <f>IFERROR(__xludf.DUMMYFUNCTION("""COMPUTED_VALUE"""),"2025-09-14T06:47:36.493Z")</f>
        <v>2025-09-14T06:47:36.493Z</v>
      </c>
      <c r="B597" s="2" t="str">
        <f>IFERROR(__xludf.DUMMYFUNCTION("""COMPUTED_VALUE"""),"2025-09-14T09:52:14.607+08")</f>
        <v>2025-09-14T09:52:14.607+08</v>
      </c>
      <c r="C597" s="2" t="str">
        <f>IFERROR(__xludf.DUMMYFUNCTION("""COMPUTED_VALUE"""),"2025-09-14T10:00:44.162+08")</f>
        <v>2025-09-14T10:00:44.162+08</v>
      </c>
      <c r="D597" s="2" t="str">
        <f>IFERROR(__xludf.DUMMYFUNCTION("""COMPUTED_VALUE"""),"H004137024")</f>
        <v>H004137024</v>
      </c>
      <c r="E597" s="2">
        <f>IFERROR(__xludf.DUMMYFUNCTION("""COMPUTED_VALUE"""),841329.0)</f>
        <v>841329</v>
      </c>
      <c r="F597" s="2" t="str">
        <f>IFERROR(__xludf.DUMMYFUNCTION("""COMPUTED_VALUE"""),"Aila Eli_2")</f>
        <v>Aila Eli_2</v>
      </c>
      <c r="G597" s="2"/>
      <c r="H597" s="2"/>
      <c r="I597" s="2" t="str">
        <f>IFERROR(__xludf.DUMMYFUNCTION("""COMPUTED_VALUE"""),"ICM_Business_linked_launch")</f>
        <v>ICM_Business_linked_launch</v>
      </c>
      <c r="J597" s="2" t="str">
        <f>IFERROR(__xludf.DUMMYFUNCTION("""COMPUTED_VALUE"""),"uuid:089aa169-44bb-4fa6-a552-0d3668e16bba")</f>
        <v>uuid:089aa169-44bb-4fa6-a552-0d3668e16bba</v>
      </c>
    </row>
    <row r="598">
      <c r="A598" s="2" t="str">
        <f>IFERROR(__xludf.DUMMYFUNCTION("""COMPUTED_VALUE"""),"2025-09-14T06:47:42.344Z")</f>
        <v>2025-09-14T06:47:42.344Z</v>
      </c>
      <c r="B598" s="2" t="str">
        <f>IFERROR(__xludf.DUMMYFUNCTION("""COMPUTED_VALUE"""),"2025-09-14T11:57:29.705+08")</f>
        <v>2025-09-14T11:57:29.705+08</v>
      </c>
      <c r="C598" s="2" t="str">
        <f>IFERROR(__xludf.DUMMYFUNCTION("""COMPUTED_VALUE"""),"2025-09-14T12:00:17.176+08")</f>
        <v>2025-09-14T12:00:17.176+08</v>
      </c>
      <c r="D598" s="2" t="str">
        <f>IFERROR(__xludf.DUMMYFUNCTION("""COMPUTED_VALUE"""),"H004137030")</f>
        <v>H004137030</v>
      </c>
      <c r="E598" s="2">
        <f>IFERROR(__xludf.DUMMYFUNCTION("""COMPUTED_VALUE"""),841329.0)</f>
        <v>841329</v>
      </c>
      <c r="F598" s="2" t="str">
        <f>IFERROR(__xludf.DUMMYFUNCTION("""COMPUTED_VALUE"""),"Aila Eli_2")</f>
        <v>Aila Eli_2</v>
      </c>
      <c r="G598" s="2"/>
      <c r="H598" s="2"/>
      <c r="I598" s="2" t="str">
        <f>IFERROR(__xludf.DUMMYFUNCTION("""COMPUTED_VALUE"""),"ICM_Business_linked_launch")</f>
        <v>ICM_Business_linked_launch</v>
      </c>
      <c r="J598" s="2" t="str">
        <f>IFERROR(__xludf.DUMMYFUNCTION("""COMPUTED_VALUE"""),"uuid:02e94be6-79ee-4898-8e55-fe359ed761dc")</f>
        <v>uuid:02e94be6-79ee-4898-8e55-fe359ed761dc</v>
      </c>
    </row>
    <row r="599">
      <c r="A599" s="2" t="str">
        <f>IFERROR(__xludf.DUMMYFUNCTION("""COMPUTED_VALUE"""),"2025-09-14T21:11:49.964Z")</f>
        <v>2025-09-14T21:11:49.964Z</v>
      </c>
      <c r="B599" s="2" t="str">
        <f>IFERROR(__xludf.DUMMYFUNCTION("""COMPUTED_VALUE"""),"2025-09-14T08:57:54.004+08")</f>
        <v>2025-09-14T08:57:54.004+08</v>
      </c>
      <c r="C599" s="2" t="str">
        <f>IFERROR(__xludf.DUMMYFUNCTION("""COMPUTED_VALUE"""),"2025-09-14T09:04:35.036+08")</f>
        <v>2025-09-14T09:04:35.036+08</v>
      </c>
      <c r="D599" s="2" t="str">
        <f>IFERROR(__xludf.DUMMYFUNCTION("""COMPUTED_VALUE"""),"H004137028")</f>
        <v>H004137028</v>
      </c>
      <c r="E599" s="2">
        <f>IFERROR(__xludf.DUMMYFUNCTION("""COMPUTED_VALUE"""),455939.0)</f>
        <v>455939</v>
      </c>
      <c r="F599" s="2" t="str">
        <f>IFERROR(__xludf.DUMMYFUNCTION("""COMPUTED_VALUE"""),"Mary Jean Villaflor_2")</f>
        <v>Mary Jean Villaflor_2</v>
      </c>
      <c r="G599" s="2"/>
      <c r="H599" s="2"/>
      <c r="I599" s="2" t="str">
        <f>IFERROR(__xludf.DUMMYFUNCTION("""COMPUTED_VALUE"""),"ICM_Business_linked_launch")</f>
        <v>ICM_Business_linked_launch</v>
      </c>
      <c r="J599" s="2" t="str">
        <f>IFERROR(__xludf.DUMMYFUNCTION("""COMPUTED_VALUE"""),"uuid:3efb935d-071c-4d81-9bc3-8db412525a27")</f>
        <v>uuid:3efb935d-071c-4d81-9bc3-8db412525a27</v>
      </c>
    </row>
    <row r="600">
      <c r="A600" s="2" t="str">
        <f>IFERROR(__xludf.DUMMYFUNCTION("""COMPUTED_VALUE"""),"2025-09-14T21:11:51.665Z")</f>
        <v>2025-09-14T21:11:51.665Z</v>
      </c>
      <c r="B600" s="2" t="str">
        <f>IFERROR(__xludf.DUMMYFUNCTION("""COMPUTED_VALUE"""),"2025-09-14T10:03:33.744+08")</f>
        <v>2025-09-14T10:03:33.744+08</v>
      </c>
      <c r="C600" s="2" t="str">
        <f>IFERROR(__xludf.DUMMYFUNCTION("""COMPUTED_VALUE"""),"2025-09-14T10:07:01.331+08")</f>
        <v>2025-09-14T10:07:01.331+08</v>
      </c>
      <c r="D600" s="2" t="str">
        <f>IFERROR(__xludf.DUMMYFUNCTION("""COMPUTED_VALUE"""),"H004137029")</f>
        <v>H004137029</v>
      </c>
      <c r="E600" s="2">
        <f>IFERROR(__xludf.DUMMYFUNCTION("""COMPUTED_VALUE"""),455939.0)</f>
        <v>455939</v>
      </c>
      <c r="F600" s="2" t="str">
        <f>IFERROR(__xludf.DUMMYFUNCTION("""COMPUTED_VALUE"""),"Mary Jean Villaflor_2")</f>
        <v>Mary Jean Villaflor_2</v>
      </c>
      <c r="G600" s="2"/>
      <c r="H600" s="2"/>
      <c r="I600" s="2" t="str">
        <f>IFERROR(__xludf.DUMMYFUNCTION("""COMPUTED_VALUE"""),"ICM_Business_linked_launch")</f>
        <v>ICM_Business_linked_launch</v>
      </c>
      <c r="J600" s="2" t="str">
        <f>IFERROR(__xludf.DUMMYFUNCTION("""COMPUTED_VALUE"""),"uuid:5e554e1e-181c-4e31-bc34-f4a5c3761b9a")</f>
        <v>uuid:5e554e1e-181c-4e31-bc34-f4a5c3761b9a</v>
      </c>
    </row>
    <row r="601">
      <c r="A601" s="2" t="str">
        <f>IFERROR(__xludf.DUMMYFUNCTION("""COMPUTED_VALUE"""),"2025-09-14T22:19:23.435Z")</f>
        <v>2025-09-14T22:19:23.435Z</v>
      </c>
      <c r="B601" s="2" t="str">
        <f>IFERROR(__xludf.DUMMYFUNCTION("""COMPUTED_VALUE"""),"2025-09-13T12:39:47.845+08")</f>
        <v>2025-09-13T12:39:47.845+08</v>
      </c>
      <c r="C601" s="2" t="str">
        <f>IFERROR(__xludf.DUMMYFUNCTION("""COMPUTED_VALUE"""),"2025-09-13T12:44:59.172+08")</f>
        <v>2025-09-13T12:44:59.172+08</v>
      </c>
      <c r="D601" s="2" t="str">
        <f>IFERROR(__xludf.DUMMYFUNCTION("""COMPUTED_VALUE"""),"H004344016")</f>
        <v>H004344016</v>
      </c>
      <c r="E601" s="2" t="str">
        <f>IFERROR(__xludf.DUMMYFUNCTION("""COMPUTED_VALUE"""),"S2671943")</f>
        <v>S2671943</v>
      </c>
      <c r="F601" s="2" t="str">
        <f>IFERROR(__xludf.DUMMYFUNCTION("""COMPUTED_VALUE"""),"Marvin Mondia")</f>
        <v>Marvin Mondia</v>
      </c>
      <c r="G601" s="2"/>
      <c r="H601" s="2"/>
      <c r="I601" s="2" t="str">
        <f>IFERROR(__xludf.DUMMYFUNCTION("""COMPUTED_VALUE"""),"ICM_Business_linked_launch")</f>
        <v>ICM_Business_linked_launch</v>
      </c>
      <c r="J601" s="2" t="str">
        <f>IFERROR(__xludf.DUMMYFUNCTION("""COMPUTED_VALUE"""),"uuid:76f1b0e9-e05e-4878-94cd-d05b24631bb6")</f>
        <v>uuid:76f1b0e9-e05e-4878-94cd-d05b24631bb6</v>
      </c>
    </row>
    <row r="602">
      <c r="A602" s="2" t="str">
        <f>IFERROR(__xludf.DUMMYFUNCTION("""COMPUTED_VALUE"""),"2025-09-14T22:19:25.387Z")</f>
        <v>2025-09-14T22:19:25.387Z</v>
      </c>
      <c r="B602" s="2" t="str">
        <f>IFERROR(__xludf.DUMMYFUNCTION("""COMPUTED_VALUE"""),"2025-09-13T14:45:57.126+08")</f>
        <v>2025-09-13T14:45:57.126+08</v>
      </c>
      <c r="C602" s="2" t="str">
        <f>IFERROR(__xludf.DUMMYFUNCTION("""COMPUTED_VALUE"""),"2025-09-13T14:50:43.326+08")</f>
        <v>2025-09-13T14:50:43.326+08</v>
      </c>
      <c r="D602" s="2" t="str">
        <f>IFERROR(__xludf.DUMMYFUNCTION("""COMPUTED_VALUE"""),"H004344035")</f>
        <v>H004344035</v>
      </c>
      <c r="E602" s="2" t="str">
        <f>IFERROR(__xludf.DUMMYFUNCTION("""COMPUTED_VALUE"""),"S2671943")</f>
        <v>S2671943</v>
      </c>
      <c r="F602" s="2" t="str">
        <f>IFERROR(__xludf.DUMMYFUNCTION("""COMPUTED_VALUE"""),"Marvin Mondia")</f>
        <v>Marvin Mondia</v>
      </c>
      <c r="G602" s="2"/>
      <c r="H602" s="2"/>
      <c r="I602" s="2" t="str">
        <f>IFERROR(__xludf.DUMMYFUNCTION("""COMPUTED_VALUE"""),"ICM_Business_linked_launch")</f>
        <v>ICM_Business_linked_launch</v>
      </c>
      <c r="J602" s="2" t="str">
        <f>IFERROR(__xludf.DUMMYFUNCTION("""COMPUTED_VALUE"""),"uuid:66b85b0e-3820-4299-a2b6-03f9212ebf93")</f>
        <v>uuid:66b85b0e-3820-4299-a2b6-03f9212ebf93</v>
      </c>
    </row>
    <row r="603">
      <c r="A603" s="2" t="str">
        <f>IFERROR(__xludf.DUMMYFUNCTION("""COMPUTED_VALUE"""),"2025-09-14T22:19:28.215Z")</f>
        <v>2025-09-14T22:19:28.215Z</v>
      </c>
      <c r="B603" s="2" t="str">
        <f>IFERROR(__xludf.DUMMYFUNCTION("""COMPUTED_VALUE"""),"2025-09-13T16:39:16.216+08")</f>
        <v>2025-09-13T16:39:16.216+08</v>
      </c>
      <c r="C603" s="2" t="str">
        <f>IFERROR(__xludf.DUMMYFUNCTION("""COMPUTED_VALUE"""),"2025-09-13T16:44:24.847+08")</f>
        <v>2025-09-13T16:44:24.847+08</v>
      </c>
      <c r="D603" s="2" t="str">
        <f>IFERROR(__xludf.DUMMYFUNCTION("""COMPUTED_VALUE"""),"H004344032")</f>
        <v>H004344032</v>
      </c>
      <c r="E603" s="2" t="str">
        <f>IFERROR(__xludf.DUMMYFUNCTION("""COMPUTED_VALUE"""),"S2671943")</f>
        <v>S2671943</v>
      </c>
      <c r="F603" s="2" t="str">
        <f>IFERROR(__xludf.DUMMYFUNCTION("""COMPUTED_VALUE"""),"Marvin Mondia")</f>
        <v>Marvin Mondia</v>
      </c>
      <c r="G603" s="2"/>
      <c r="H603" s="2"/>
      <c r="I603" s="2" t="str">
        <f>IFERROR(__xludf.DUMMYFUNCTION("""COMPUTED_VALUE"""),"ICM_Business_linked_launch")</f>
        <v>ICM_Business_linked_launch</v>
      </c>
      <c r="J603" s="2" t="str">
        <f>IFERROR(__xludf.DUMMYFUNCTION("""COMPUTED_VALUE"""),"uuid:93ec5e96-77dd-4458-874b-c219aa5c5c06")</f>
        <v>uuid:93ec5e96-77dd-4458-874b-c219aa5c5c06</v>
      </c>
    </row>
    <row r="604">
      <c r="A604" s="2" t="str">
        <f>IFERROR(__xludf.DUMMYFUNCTION("""COMPUTED_VALUE"""),"2025-09-15T09:51:03.725Z")</f>
        <v>2025-09-15T09:51:03.725Z</v>
      </c>
      <c r="B604" s="2" t="str">
        <f>IFERROR(__xludf.DUMMYFUNCTION("""COMPUTED_VALUE"""),"2025-09-15T10:32:59.315+08")</f>
        <v>2025-09-15T10:32:59.315+08</v>
      </c>
      <c r="C604" s="2" t="str">
        <f>IFERROR(__xludf.DUMMYFUNCTION("""COMPUTED_VALUE"""),"2025-09-15T10:40:34.356+08")</f>
        <v>2025-09-15T10:40:34.356+08</v>
      </c>
      <c r="D604" s="2" t="str">
        <f>IFERROR(__xludf.DUMMYFUNCTION("""COMPUTED_VALUE"""),"H004407019")</f>
        <v>H004407019</v>
      </c>
      <c r="E604" s="2">
        <f>IFERROR(__xludf.DUMMYFUNCTION("""COMPUTED_VALUE"""),841329.0)</f>
        <v>841329</v>
      </c>
      <c r="F604" s="2" t="str">
        <f>IFERROR(__xludf.DUMMYFUNCTION("""COMPUTED_VALUE"""),"Aila Eli_2")</f>
        <v>Aila Eli_2</v>
      </c>
      <c r="G604" s="2"/>
      <c r="H604" s="2"/>
      <c r="I604" s="2" t="str">
        <f>IFERROR(__xludf.DUMMYFUNCTION("""COMPUTED_VALUE"""),"ICM_Business_linked_launch")</f>
        <v>ICM_Business_linked_launch</v>
      </c>
      <c r="J604" s="2" t="str">
        <f>IFERROR(__xludf.DUMMYFUNCTION("""COMPUTED_VALUE"""),"uuid:024cdbc1-a05c-4568-bdb7-1bbd8028558b")</f>
        <v>uuid:024cdbc1-a05c-4568-bdb7-1bbd8028558b</v>
      </c>
    </row>
    <row r="605">
      <c r="A605" s="2" t="str">
        <f>IFERROR(__xludf.DUMMYFUNCTION("""COMPUTED_VALUE"""),"2025-09-15T09:51:05.298Z")</f>
        <v>2025-09-15T09:51:05.298Z</v>
      </c>
      <c r="B605" s="2" t="str">
        <f>IFERROR(__xludf.DUMMYFUNCTION("""COMPUTED_VALUE"""),"2025-09-15T12:01:07.258+08")</f>
        <v>2025-09-15T12:01:07.258+08</v>
      </c>
      <c r="C605" s="2" t="str">
        <f>IFERROR(__xludf.DUMMYFUNCTION("""COMPUTED_VALUE"""),"2025-09-15T12:04:50.123+08")</f>
        <v>2025-09-15T12:04:50.123+08</v>
      </c>
      <c r="D605" s="2" t="str">
        <f>IFERROR(__xludf.DUMMYFUNCTION("""COMPUTED_VALUE"""),"H004407018")</f>
        <v>H004407018</v>
      </c>
      <c r="E605" s="2">
        <f>IFERROR(__xludf.DUMMYFUNCTION("""COMPUTED_VALUE"""),841329.0)</f>
        <v>841329</v>
      </c>
      <c r="F605" s="2" t="str">
        <f>IFERROR(__xludf.DUMMYFUNCTION("""COMPUTED_VALUE"""),"Aila Eli_2")</f>
        <v>Aila Eli_2</v>
      </c>
      <c r="G605" s="2"/>
      <c r="H605" s="2"/>
      <c r="I605" s="2" t="str">
        <f>IFERROR(__xludf.DUMMYFUNCTION("""COMPUTED_VALUE"""),"ICM_Business_linked_launch")</f>
        <v>ICM_Business_linked_launch</v>
      </c>
      <c r="J605" s="2" t="str">
        <f>IFERROR(__xludf.DUMMYFUNCTION("""COMPUTED_VALUE"""),"uuid:fb655696-ecb4-4ecf-9d31-dcf6272735b7")</f>
        <v>uuid:fb655696-ecb4-4ecf-9d31-dcf6272735b7</v>
      </c>
    </row>
    <row r="606">
      <c r="A606" s="2" t="str">
        <f>IFERROR(__xludf.DUMMYFUNCTION("""COMPUTED_VALUE"""),"2025-09-15T09:51:06.747Z")</f>
        <v>2025-09-15T09:51:06.747Z</v>
      </c>
      <c r="B606" s="2" t="str">
        <f>IFERROR(__xludf.DUMMYFUNCTION("""COMPUTED_VALUE"""),"2025-09-15T13:24:03.724+08")</f>
        <v>2025-09-15T13:24:03.724+08</v>
      </c>
      <c r="C606" s="2" t="str">
        <f>IFERROR(__xludf.DUMMYFUNCTION("""COMPUTED_VALUE"""),"2025-09-15T13:31:38.422+08")</f>
        <v>2025-09-15T13:31:38.422+08</v>
      </c>
      <c r="D606" s="2" t="str">
        <f>IFERROR(__xludf.DUMMYFUNCTION("""COMPUTED_VALUE"""),"H004407023")</f>
        <v>H004407023</v>
      </c>
      <c r="E606" s="2">
        <f>IFERROR(__xludf.DUMMYFUNCTION("""COMPUTED_VALUE"""),841329.0)</f>
        <v>841329</v>
      </c>
      <c r="F606" s="2" t="str">
        <f>IFERROR(__xludf.DUMMYFUNCTION("""COMPUTED_VALUE"""),"Aila Eli_2")</f>
        <v>Aila Eli_2</v>
      </c>
      <c r="G606" s="2"/>
      <c r="H606" s="2"/>
      <c r="I606" s="2" t="str">
        <f>IFERROR(__xludf.DUMMYFUNCTION("""COMPUTED_VALUE"""),"ICM_Business_linked_launch")</f>
        <v>ICM_Business_linked_launch</v>
      </c>
      <c r="J606" s="2" t="str">
        <f>IFERROR(__xludf.DUMMYFUNCTION("""COMPUTED_VALUE"""),"uuid:80fa6464-6d85-4aaa-807c-fed78d8e9eff")</f>
        <v>uuid:80fa6464-6d85-4aaa-807c-fed78d8e9eff</v>
      </c>
    </row>
    <row r="607">
      <c r="A607" s="2" t="str">
        <f>IFERROR(__xludf.DUMMYFUNCTION("""COMPUTED_VALUE"""),"2025-09-15T09:51:08.063Z")</f>
        <v>2025-09-15T09:51:08.063Z</v>
      </c>
      <c r="B607" s="2" t="str">
        <f>IFERROR(__xludf.DUMMYFUNCTION("""COMPUTED_VALUE"""),"2025-09-15T14:40:19.044+08")</f>
        <v>2025-09-15T14:40:19.044+08</v>
      </c>
      <c r="C607" s="2" t="str">
        <f>IFERROR(__xludf.DUMMYFUNCTION("""COMPUTED_VALUE"""),"2025-09-15T14:44:03.418+08")</f>
        <v>2025-09-15T14:44:03.418+08</v>
      </c>
      <c r="D607" s="2" t="str">
        <f>IFERROR(__xludf.DUMMYFUNCTION("""COMPUTED_VALUE"""),"H004407020")</f>
        <v>H004407020</v>
      </c>
      <c r="E607" s="2">
        <f>IFERROR(__xludf.DUMMYFUNCTION("""COMPUTED_VALUE"""),841329.0)</f>
        <v>841329</v>
      </c>
      <c r="F607" s="2" t="str">
        <f>IFERROR(__xludf.DUMMYFUNCTION("""COMPUTED_VALUE"""),"Aila Eli_2")</f>
        <v>Aila Eli_2</v>
      </c>
      <c r="G607" s="2"/>
      <c r="H607" s="2"/>
      <c r="I607" s="2" t="str">
        <f>IFERROR(__xludf.DUMMYFUNCTION("""COMPUTED_VALUE"""),"ICM_Business_linked_launch")</f>
        <v>ICM_Business_linked_launch</v>
      </c>
      <c r="J607" s="2" t="str">
        <f>IFERROR(__xludf.DUMMYFUNCTION("""COMPUTED_VALUE"""),"uuid:c83abd9a-6fd1-4b61-9a01-e3cebcfdad22")</f>
        <v>uuid:c83abd9a-6fd1-4b61-9a01-e3cebcfdad22</v>
      </c>
    </row>
    <row r="608">
      <c r="A608" s="2" t="str">
        <f>IFERROR(__xludf.DUMMYFUNCTION("""COMPUTED_VALUE"""),"2025-09-15T10:14:25.254Z")</f>
        <v>2025-09-15T10:14:25.254Z</v>
      </c>
      <c r="B608" s="2" t="str">
        <f>IFERROR(__xludf.DUMMYFUNCTION("""COMPUTED_VALUE"""),"2025-09-15T10:04:50.911+08")</f>
        <v>2025-09-15T10:04:50.911+08</v>
      </c>
      <c r="C608" s="2" t="str">
        <f>IFERROR(__xludf.DUMMYFUNCTION("""COMPUTED_VALUE"""),"2025-09-15T10:19:08.872+08")</f>
        <v>2025-09-15T10:19:08.872+08</v>
      </c>
      <c r="D608" s="2" t="str">
        <f>IFERROR(__xludf.DUMMYFUNCTION("""COMPUTED_VALUE"""),"H004588016")</f>
        <v>H004588016</v>
      </c>
      <c r="E608" s="2">
        <f>IFERROR(__xludf.DUMMYFUNCTION("""COMPUTED_VALUE"""),859767.0)</f>
        <v>859767</v>
      </c>
      <c r="F608" s="2" t="str">
        <f>IFERROR(__xludf.DUMMYFUNCTION("""COMPUTED_VALUE"""),"Ramie De Pedro Jr._2")</f>
        <v>Ramie De Pedro Jr._2</v>
      </c>
      <c r="G608" s="2"/>
      <c r="H608" s="2"/>
      <c r="I608" s="2" t="str">
        <f>IFERROR(__xludf.DUMMYFUNCTION("""COMPUTED_VALUE"""),"ICM_Business_linked_launch")</f>
        <v>ICM_Business_linked_launch</v>
      </c>
      <c r="J608" s="2" t="str">
        <f>IFERROR(__xludf.DUMMYFUNCTION("""COMPUTED_VALUE"""),"uuid:6aed0ffa-46c4-48c6-a99c-2e2a5baad88f")</f>
        <v>uuid:6aed0ffa-46c4-48c6-a99c-2e2a5baad88f</v>
      </c>
    </row>
    <row r="609">
      <c r="A609" s="2" t="str">
        <f>IFERROR(__xludf.DUMMYFUNCTION("""COMPUTED_VALUE"""),"2025-09-15T10:14:26.003Z")</f>
        <v>2025-09-15T10:14:26.003Z</v>
      </c>
      <c r="B609" s="2" t="str">
        <f>IFERROR(__xludf.DUMMYFUNCTION("""COMPUTED_VALUE"""),"2025-09-15T15:09:01.880+08")</f>
        <v>2025-09-15T15:09:01.880+08</v>
      </c>
      <c r="C609" s="2" t="str">
        <f>IFERROR(__xludf.DUMMYFUNCTION("""COMPUTED_VALUE"""),"2025-09-15T15:12:38.342+08")</f>
        <v>2025-09-15T15:12:38.342+08</v>
      </c>
      <c r="D609" s="2" t="str">
        <f>IFERROR(__xludf.DUMMYFUNCTION("""COMPUTED_VALUE"""),"H004588027")</f>
        <v>H004588027</v>
      </c>
      <c r="E609" s="2">
        <f>IFERROR(__xludf.DUMMYFUNCTION("""COMPUTED_VALUE"""),859767.0)</f>
        <v>859767</v>
      </c>
      <c r="F609" s="2" t="str">
        <f>IFERROR(__xludf.DUMMYFUNCTION("""COMPUTED_VALUE"""),"Ramie De Pedro Jr._2")</f>
        <v>Ramie De Pedro Jr._2</v>
      </c>
      <c r="G609" s="2"/>
      <c r="H609" s="2"/>
      <c r="I609" s="2" t="str">
        <f>IFERROR(__xludf.DUMMYFUNCTION("""COMPUTED_VALUE"""),"ICM_Business_linked_launch")</f>
        <v>ICM_Business_linked_launch</v>
      </c>
      <c r="J609" s="2" t="str">
        <f>IFERROR(__xludf.DUMMYFUNCTION("""COMPUTED_VALUE"""),"uuid:cf31b6d0-cc5d-4c75-bc33-f23c63095b2a")</f>
        <v>uuid:cf31b6d0-cc5d-4c75-bc33-f23c63095b2a</v>
      </c>
    </row>
    <row r="610">
      <c r="A610" s="2" t="str">
        <f>IFERROR(__xludf.DUMMYFUNCTION("""COMPUTED_VALUE"""),"2025-09-15T10:14:27.389Z")</f>
        <v>2025-09-15T10:14:27.389Z</v>
      </c>
      <c r="B610" s="2" t="str">
        <f>IFERROR(__xludf.DUMMYFUNCTION("""COMPUTED_VALUE"""),"2025-09-15T16:18:37.042+08")</f>
        <v>2025-09-15T16:18:37.042+08</v>
      </c>
      <c r="C610" s="2" t="str">
        <f>IFERROR(__xludf.DUMMYFUNCTION("""COMPUTED_VALUE"""),"2025-09-15T16:23:14.520+08")</f>
        <v>2025-09-15T16:23:14.520+08</v>
      </c>
      <c r="D610" s="2" t="str">
        <f>IFERROR(__xludf.DUMMYFUNCTION("""COMPUTED_VALUE"""),"H004588028")</f>
        <v>H004588028</v>
      </c>
      <c r="E610" s="2">
        <f>IFERROR(__xludf.DUMMYFUNCTION("""COMPUTED_VALUE"""),859767.0)</f>
        <v>859767</v>
      </c>
      <c r="F610" s="2" t="str">
        <f>IFERROR(__xludf.DUMMYFUNCTION("""COMPUTED_VALUE"""),"Ramie De Pedro Jr._2")</f>
        <v>Ramie De Pedro Jr._2</v>
      </c>
      <c r="G610" s="2"/>
      <c r="H610" s="2"/>
      <c r="I610" s="2" t="str">
        <f>IFERROR(__xludf.DUMMYFUNCTION("""COMPUTED_VALUE"""),"ICM_Business_linked_launch")</f>
        <v>ICM_Business_linked_launch</v>
      </c>
      <c r="J610" s="2" t="str">
        <f>IFERROR(__xludf.DUMMYFUNCTION("""COMPUTED_VALUE"""),"uuid:06d6415b-05a7-4139-8f4e-d1cbdc47e193")</f>
        <v>uuid:06d6415b-05a7-4139-8f4e-d1cbdc47e193</v>
      </c>
    </row>
    <row r="611">
      <c r="A611" s="2" t="str">
        <f>IFERROR(__xludf.DUMMYFUNCTION("""COMPUTED_VALUE"""),"2025-09-15T10:14:26.706Z")</f>
        <v>2025-09-15T10:14:26.706Z</v>
      </c>
      <c r="B611" s="2" t="str">
        <f>IFERROR(__xludf.DUMMYFUNCTION("""COMPUTED_VALUE"""),"2025-09-15T11:24:35.575+08")</f>
        <v>2025-09-15T11:24:35.575+08</v>
      </c>
      <c r="C611" s="2" t="str">
        <f>IFERROR(__xludf.DUMMYFUNCTION("""COMPUTED_VALUE"""),"2025-09-15T11:37:15.355+08")</f>
        <v>2025-09-15T11:37:15.355+08</v>
      </c>
      <c r="D611" s="2" t="str">
        <f>IFERROR(__xludf.DUMMYFUNCTION("""COMPUTED_VALUE"""),"H004588022")</f>
        <v>H004588022</v>
      </c>
      <c r="E611" s="2">
        <f>IFERROR(__xludf.DUMMYFUNCTION("""COMPUTED_VALUE"""),859767.0)</f>
        <v>859767</v>
      </c>
      <c r="F611" s="2" t="str">
        <f>IFERROR(__xludf.DUMMYFUNCTION("""COMPUTED_VALUE"""),"Ramie De Pedro Jr._2")</f>
        <v>Ramie De Pedro Jr._2</v>
      </c>
      <c r="G611" s="2"/>
      <c r="H611" s="2"/>
      <c r="I611" s="2" t="str">
        <f>IFERROR(__xludf.DUMMYFUNCTION("""COMPUTED_VALUE"""),"ICM_Business_linked_launch")</f>
        <v>ICM_Business_linked_launch</v>
      </c>
      <c r="J611" s="2" t="str">
        <f>IFERROR(__xludf.DUMMYFUNCTION("""COMPUTED_VALUE"""),"uuid:199a721d-0e02-4406-99a1-3e2fbfd62330")</f>
        <v>uuid:199a721d-0e02-4406-99a1-3e2fbfd62330</v>
      </c>
    </row>
    <row r="612">
      <c r="A612" s="2" t="str">
        <f>IFERROR(__xludf.DUMMYFUNCTION("""COMPUTED_VALUE"""),"2025-09-15T10:20:45.192Z")</f>
        <v>2025-09-15T10:20:45.192Z</v>
      </c>
      <c r="B612" s="2" t="str">
        <f>IFERROR(__xludf.DUMMYFUNCTION("""COMPUTED_VALUE"""),"2025-09-15T11:23:54.026+08")</f>
        <v>2025-09-15T11:23:54.026+08</v>
      </c>
      <c r="C612" s="2" t="str">
        <f>IFERROR(__xludf.DUMMYFUNCTION("""COMPUTED_VALUE"""),"2025-09-15T11:32:16.038+08")</f>
        <v>2025-09-15T11:32:16.038+08</v>
      </c>
      <c r="D612" s="2" t="str">
        <f>IFERROR(__xludf.DUMMYFUNCTION("""COMPUTED_VALUE"""),"H030214003")</f>
        <v>H030214003</v>
      </c>
      <c r="E612" s="2" t="str">
        <f>IFERROR(__xludf.DUMMYFUNCTION("""COMPUTED_VALUE"""),"C7502931")</f>
        <v>C7502931</v>
      </c>
      <c r="F612" s="2" t="str">
        <f>IFERROR(__xludf.DUMMYFUNCTION("""COMPUTED_VALUE"""),"Jenny Lou Toles Estacio")</f>
        <v>Jenny Lou Toles Estacio</v>
      </c>
      <c r="G612" s="2"/>
      <c r="H612" s="2"/>
      <c r="I612" s="2" t="str">
        <f>IFERROR(__xludf.DUMMYFUNCTION("""COMPUTED_VALUE"""),"ICM_Business_linked_launch")</f>
        <v>ICM_Business_linked_launch</v>
      </c>
      <c r="J612" s="2" t="str">
        <f>IFERROR(__xludf.DUMMYFUNCTION("""COMPUTED_VALUE"""),"uuid:feae003b-0198-4225-a27e-67b272155316")</f>
        <v>uuid:feae003b-0198-4225-a27e-67b272155316</v>
      </c>
    </row>
    <row r="613">
      <c r="A613" s="2" t="str">
        <f>IFERROR(__xludf.DUMMYFUNCTION("""COMPUTED_VALUE"""),"2025-09-15T10:20:49.541Z")</f>
        <v>2025-09-15T10:20:49.541Z</v>
      </c>
      <c r="B613" s="2" t="str">
        <f>IFERROR(__xludf.DUMMYFUNCTION("""COMPUTED_VALUE"""),"2025-09-15T12:46:32.439+08")</f>
        <v>2025-09-15T12:46:32.439+08</v>
      </c>
      <c r="C613" s="2" t="str">
        <f>IFERROR(__xludf.DUMMYFUNCTION("""COMPUTED_VALUE"""),"2025-09-15T17:13:10.124+08")</f>
        <v>2025-09-15T17:13:10.124+08</v>
      </c>
      <c r="D613" s="2" t="str">
        <f>IFERROR(__xludf.DUMMYFUNCTION("""COMPUTED_VALUE"""),"H030214029")</f>
        <v>H030214029</v>
      </c>
      <c r="E613" s="2" t="str">
        <f>IFERROR(__xludf.DUMMYFUNCTION("""COMPUTED_VALUE"""),"C7502931")</f>
        <v>C7502931</v>
      </c>
      <c r="F613" s="2" t="str">
        <f>IFERROR(__xludf.DUMMYFUNCTION("""COMPUTED_VALUE"""),"Jenny Lou Toles Estacio")</f>
        <v>Jenny Lou Toles Estacio</v>
      </c>
      <c r="G613" s="2"/>
      <c r="H613" s="2"/>
      <c r="I613" s="2" t="str">
        <f>IFERROR(__xludf.DUMMYFUNCTION("""COMPUTED_VALUE"""),"ICM_Business_linked_launch")</f>
        <v>ICM_Business_linked_launch</v>
      </c>
      <c r="J613" s="2" t="str">
        <f>IFERROR(__xludf.DUMMYFUNCTION("""COMPUTED_VALUE"""),"uuid:1f4aa6ff-7eb1-4ed9-bf8d-7bc20464b156")</f>
        <v>uuid:1f4aa6ff-7eb1-4ed9-bf8d-7bc20464b156</v>
      </c>
    </row>
    <row r="614">
      <c r="A614" s="2" t="str">
        <f>IFERROR(__xludf.DUMMYFUNCTION("""COMPUTED_VALUE"""),"2025-09-15T10:20:50.338Z")</f>
        <v>2025-09-15T10:20:50.338Z</v>
      </c>
      <c r="B614" s="2" t="str">
        <f>IFERROR(__xludf.DUMMYFUNCTION("""COMPUTED_VALUE"""),"2025-09-15T14:06:15.957+08")</f>
        <v>2025-09-15T14:06:15.957+08</v>
      </c>
      <c r="C614" s="2" t="str">
        <f>IFERROR(__xludf.DUMMYFUNCTION("""COMPUTED_VALUE"""),"2025-09-15T17:41:56.578+08")</f>
        <v>2025-09-15T17:41:56.578+08</v>
      </c>
      <c r="D614" s="2" t="str">
        <f>IFERROR(__xludf.DUMMYFUNCTION("""COMPUTED_VALUE"""),"H030214032")</f>
        <v>H030214032</v>
      </c>
      <c r="E614" s="2" t="str">
        <f>IFERROR(__xludf.DUMMYFUNCTION("""COMPUTED_VALUE"""),"C7502931")</f>
        <v>C7502931</v>
      </c>
      <c r="F614" s="2" t="str">
        <f>IFERROR(__xludf.DUMMYFUNCTION("""COMPUTED_VALUE"""),"Jenny Lou Toles Estacio")</f>
        <v>Jenny Lou Toles Estacio</v>
      </c>
      <c r="G614" s="2"/>
      <c r="H614" s="2"/>
      <c r="I614" s="2" t="str">
        <f>IFERROR(__xludf.DUMMYFUNCTION("""COMPUTED_VALUE"""),"ICM_Business_linked_launch")</f>
        <v>ICM_Business_linked_launch</v>
      </c>
      <c r="J614" s="2" t="str">
        <f>IFERROR(__xludf.DUMMYFUNCTION("""COMPUTED_VALUE"""),"uuid:6360f981-d8ec-4025-b32e-8c5dd63d94ec")</f>
        <v>uuid:6360f981-d8ec-4025-b32e-8c5dd63d94ec</v>
      </c>
    </row>
    <row r="615">
      <c r="A615" s="2" t="str">
        <f>IFERROR(__xludf.DUMMYFUNCTION("""COMPUTED_VALUE"""),"2025-09-15T10:32:17.007Z")</f>
        <v>2025-09-15T10:32:17.007Z</v>
      </c>
      <c r="B615" s="2" t="str">
        <f>IFERROR(__xludf.DUMMYFUNCTION("""COMPUTED_VALUE"""),"2025-09-15T09:57:37.658+08")</f>
        <v>2025-09-15T09:57:37.658+08</v>
      </c>
      <c r="C615" s="2" t="str">
        <f>IFERROR(__xludf.DUMMYFUNCTION("""COMPUTED_VALUE"""),"2025-09-15T10:07:24.285+08")</f>
        <v>2025-09-15T10:07:24.285+08</v>
      </c>
      <c r="D615" s="2" t="str">
        <f>IFERROR(__xludf.DUMMYFUNCTION("""COMPUTED_VALUE"""),"H004588017")</f>
        <v>H004588017</v>
      </c>
      <c r="E615" s="2">
        <f>IFERROR(__xludf.DUMMYFUNCTION("""COMPUTED_VALUE"""),729375.0)</f>
        <v>729375</v>
      </c>
      <c r="F615" s="2" t="str">
        <f>IFERROR(__xludf.DUMMYFUNCTION("""COMPUTED_VALUE"""),"Janet Serafica_2")</f>
        <v>Janet Serafica_2</v>
      </c>
      <c r="G615" s="2"/>
      <c r="H615" s="2"/>
      <c r="I615" s="2" t="str">
        <f>IFERROR(__xludf.DUMMYFUNCTION("""COMPUTED_VALUE"""),"ICM_Business_linked_launch")</f>
        <v>ICM_Business_linked_launch</v>
      </c>
      <c r="J615" s="2" t="str">
        <f>IFERROR(__xludf.DUMMYFUNCTION("""COMPUTED_VALUE"""),"uuid:03312edc-8369-415a-aba9-33244aa74cc0")</f>
        <v>uuid:03312edc-8369-415a-aba9-33244aa74cc0</v>
      </c>
    </row>
    <row r="616">
      <c r="A616" s="2" t="str">
        <f>IFERROR(__xludf.DUMMYFUNCTION("""COMPUTED_VALUE"""),"2025-09-15T10:32:30.968Z")</f>
        <v>2025-09-15T10:32:30.968Z</v>
      </c>
      <c r="B616" s="2" t="str">
        <f>IFERROR(__xludf.DUMMYFUNCTION("""COMPUTED_VALUE"""),"2025-09-15T11:17:02.995+08")</f>
        <v>2025-09-15T11:17:02.995+08</v>
      </c>
      <c r="C616" s="2" t="str">
        <f>IFERROR(__xludf.DUMMYFUNCTION("""COMPUTED_VALUE"""),"2025-09-15T11:20:58.243+08")</f>
        <v>2025-09-15T11:20:58.243+08</v>
      </c>
      <c r="D616" s="2" t="str">
        <f>IFERROR(__xludf.DUMMYFUNCTION("""COMPUTED_VALUE"""),"H004588034")</f>
        <v>H004588034</v>
      </c>
      <c r="E616" s="2">
        <f>IFERROR(__xludf.DUMMYFUNCTION("""COMPUTED_VALUE"""),729375.0)</f>
        <v>729375</v>
      </c>
      <c r="F616" s="2" t="str">
        <f>IFERROR(__xludf.DUMMYFUNCTION("""COMPUTED_VALUE"""),"Janet Serafica_2")</f>
        <v>Janet Serafica_2</v>
      </c>
      <c r="G616" s="2"/>
      <c r="H616" s="2"/>
      <c r="I616" s="2" t="str">
        <f>IFERROR(__xludf.DUMMYFUNCTION("""COMPUTED_VALUE"""),"ICM_Business_linked_launch")</f>
        <v>ICM_Business_linked_launch</v>
      </c>
      <c r="J616" s="2" t="str">
        <f>IFERROR(__xludf.DUMMYFUNCTION("""COMPUTED_VALUE"""),"uuid:81e2139f-4565-4156-a443-ef8649fb8d82")</f>
        <v>uuid:81e2139f-4565-4156-a443-ef8649fb8d82</v>
      </c>
    </row>
    <row r="617">
      <c r="A617" s="2" t="str">
        <f>IFERROR(__xludf.DUMMYFUNCTION("""COMPUTED_VALUE"""),"2025-09-15T10:32:33.808Z")</f>
        <v>2025-09-15T10:32:33.808Z</v>
      </c>
      <c r="B617" s="2" t="str">
        <f>IFERROR(__xludf.DUMMYFUNCTION("""COMPUTED_VALUE"""),"2025-09-15T14:50:10.763+08")</f>
        <v>2025-09-15T14:50:10.763+08</v>
      </c>
      <c r="C617" s="2" t="str">
        <f>IFERROR(__xludf.DUMMYFUNCTION("""COMPUTED_VALUE"""),"2025-09-15T14:52:22.296+08")</f>
        <v>2025-09-15T14:52:22.296+08</v>
      </c>
      <c r="D617" s="2" t="str">
        <f>IFERROR(__xludf.DUMMYFUNCTION("""COMPUTED_VALUE"""),"H004588024")</f>
        <v>H004588024</v>
      </c>
      <c r="E617" s="2">
        <f>IFERROR(__xludf.DUMMYFUNCTION("""COMPUTED_VALUE"""),729375.0)</f>
        <v>729375</v>
      </c>
      <c r="F617" s="2" t="str">
        <f>IFERROR(__xludf.DUMMYFUNCTION("""COMPUTED_VALUE"""),"Janet Serafica_2")</f>
        <v>Janet Serafica_2</v>
      </c>
      <c r="G617" s="2"/>
      <c r="H617" s="2"/>
      <c r="I617" s="2" t="str">
        <f>IFERROR(__xludf.DUMMYFUNCTION("""COMPUTED_VALUE"""),"ICM_Business_linked_launch")</f>
        <v>ICM_Business_linked_launch</v>
      </c>
      <c r="J617" s="2" t="str">
        <f>IFERROR(__xludf.DUMMYFUNCTION("""COMPUTED_VALUE"""),"uuid:83c583d8-ed33-466d-9f3e-b6651527c428")</f>
        <v>uuid:83c583d8-ed33-466d-9f3e-b6651527c428</v>
      </c>
    </row>
    <row r="618">
      <c r="A618" s="2" t="str">
        <f>IFERROR(__xludf.DUMMYFUNCTION("""COMPUTED_VALUE"""),"2025-09-15T10:32:37.512Z")</f>
        <v>2025-09-15T10:32:37.512Z</v>
      </c>
      <c r="B618" s="2" t="str">
        <f>IFERROR(__xludf.DUMMYFUNCTION("""COMPUTED_VALUE"""),"2025-09-15T15:54:59.392+08")</f>
        <v>2025-09-15T15:54:59.392+08</v>
      </c>
      <c r="C618" s="2" t="str">
        <f>IFERROR(__xludf.DUMMYFUNCTION("""COMPUTED_VALUE"""),"2025-09-15T15:57:22.649+08")</f>
        <v>2025-09-15T15:57:22.649+08</v>
      </c>
      <c r="D618" s="2" t="str">
        <f>IFERROR(__xludf.DUMMYFUNCTION("""COMPUTED_VALUE"""),"H004588029")</f>
        <v>H004588029</v>
      </c>
      <c r="E618" s="2">
        <f>IFERROR(__xludf.DUMMYFUNCTION("""COMPUTED_VALUE"""),729375.0)</f>
        <v>729375</v>
      </c>
      <c r="F618" s="2" t="str">
        <f>IFERROR(__xludf.DUMMYFUNCTION("""COMPUTED_VALUE"""),"Janet Serafica_2")</f>
        <v>Janet Serafica_2</v>
      </c>
      <c r="G618" s="2"/>
      <c r="H618" s="2"/>
      <c r="I618" s="2" t="str">
        <f>IFERROR(__xludf.DUMMYFUNCTION("""COMPUTED_VALUE"""),"ICM_Business_linked_launch")</f>
        <v>ICM_Business_linked_launch</v>
      </c>
      <c r="J618" s="2" t="str">
        <f>IFERROR(__xludf.DUMMYFUNCTION("""COMPUTED_VALUE"""),"uuid:d421cc07-8d47-4bea-843f-79da916d7a64")</f>
        <v>uuid:d421cc07-8d47-4bea-843f-79da916d7a64</v>
      </c>
    </row>
    <row r="619">
      <c r="A619" s="2" t="str">
        <f>IFERROR(__xludf.DUMMYFUNCTION("""COMPUTED_VALUE"""),"2025-09-15T10:44:58.041Z")</f>
        <v>2025-09-15T10:44:58.041Z</v>
      </c>
      <c r="B619" s="2" t="str">
        <f>IFERROR(__xludf.DUMMYFUNCTION("""COMPUTED_VALUE"""),"2025-09-15T11:45:30.968+08")</f>
        <v>2025-09-15T11:45:30.968+08</v>
      </c>
      <c r="C619" s="2" t="str">
        <f>IFERROR(__xludf.DUMMYFUNCTION("""COMPUTED_VALUE"""),"2025-09-15T11:49:03.377+08")</f>
        <v>2025-09-15T11:49:03.377+08</v>
      </c>
      <c r="D619" s="2" t="str">
        <f>IFERROR(__xludf.DUMMYFUNCTION("""COMPUTED_VALUE"""),"H030214033")</f>
        <v>H030214033</v>
      </c>
      <c r="E619" s="2" t="str">
        <f>IFERROR(__xludf.DUMMYFUNCTION("""COMPUTED_VALUE"""),"D1284067")</f>
        <v>D1284067</v>
      </c>
      <c r="F619" s="2" t="str">
        <f>IFERROR(__xludf.DUMMYFUNCTION("""COMPUTED_VALUE"""),"Mariel Del Rio")</f>
        <v>Mariel Del Rio</v>
      </c>
      <c r="G619" s="2"/>
      <c r="H619" s="2"/>
      <c r="I619" s="2" t="str">
        <f>IFERROR(__xludf.DUMMYFUNCTION("""COMPUTED_VALUE"""),"ICM_Business_linked_launch")</f>
        <v>ICM_Business_linked_launch</v>
      </c>
      <c r="J619" s="2" t="str">
        <f>IFERROR(__xludf.DUMMYFUNCTION("""COMPUTED_VALUE"""),"uuid:5b6a8175-beaf-4d3d-a98a-ebb7a8d997b6")</f>
        <v>uuid:5b6a8175-beaf-4d3d-a98a-ebb7a8d997b6</v>
      </c>
    </row>
    <row r="620">
      <c r="A620" s="2" t="str">
        <f>IFERROR(__xludf.DUMMYFUNCTION("""COMPUTED_VALUE"""),"2025-09-15T10:45:02.564Z")</f>
        <v>2025-09-15T10:45:02.564Z</v>
      </c>
      <c r="B620" s="2" t="str">
        <f>IFERROR(__xludf.DUMMYFUNCTION("""COMPUTED_VALUE"""),"2025-09-15T13:23:09.720+08")</f>
        <v>2025-09-15T13:23:09.720+08</v>
      </c>
      <c r="C620" s="2" t="str">
        <f>IFERROR(__xludf.DUMMYFUNCTION("""COMPUTED_VALUE"""),"2025-09-15T17:12:55.499+08")</f>
        <v>2025-09-15T17:12:55.499+08</v>
      </c>
      <c r="D620" s="2" t="str">
        <f>IFERROR(__xludf.DUMMYFUNCTION("""COMPUTED_VALUE"""),"H030214016")</f>
        <v>H030214016</v>
      </c>
      <c r="E620" s="2" t="str">
        <f>IFERROR(__xludf.DUMMYFUNCTION("""COMPUTED_VALUE"""),"D1284067")</f>
        <v>D1284067</v>
      </c>
      <c r="F620" s="2" t="str">
        <f>IFERROR(__xludf.DUMMYFUNCTION("""COMPUTED_VALUE"""),"Mariel Del Rio")</f>
        <v>Mariel Del Rio</v>
      </c>
      <c r="G620" s="2"/>
      <c r="H620" s="2"/>
      <c r="I620" s="2" t="str">
        <f>IFERROR(__xludf.DUMMYFUNCTION("""COMPUTED_VALUE"""),"ICM_Business_linked_launch")</f>
        <v>ICM_Business_linked_launch</v>
      </c>
      <c r="J620" s="2" t="str">
        <f>IFERROR(__xludf.DUMMYFUNCTION("""COMPUTED_VALUE"""),"uuid:d1dc5810-b6cd-4699-820d-30b8c1b03525")</f>
        <v>uuid:d1dc5810-b6cd-4699-820d-30b8c1b03525</v>
      </c>
    </row>
    <row r="621">
      <c r="A621" s="2" t="str">
        <f>IFERROR(__xludf.DUMMYFUNCTION("""COMPUTED_VALUE"""),"2025-09-15T10:56:39.492Z")</f>
        <v>2025-09-15T10:56:39.492Z</v>
      </c>
      <c r="B621" s="2" t="str">
        <f>IFERROR(__xludf.DUMMYFUNCTION("""COMPUTED_VALUE"""),"2025-09-15T13:07:49.955+08")</f>
        <v>2025-09-15T13:07:49.955+08</v>
      </c>
      <c r="C621" s="2" t="str">
        <f>IFERROR(__xludf.DUMMYFUNCTION("""COMPUTED_VALUE"""),"2025-09-15T15:28:55.670+08")</f>
        <v>2025-09-15T15:28:55.670+08</v>
      </c>
      <c r="D621" s="2" t="str">
        <f>IFERROR(__xludf.DUMMYFUNCTION("""COMPUTED_VALUE"""),"H030214019")</f>
        <v>H030214019</v>
      </c>
      <c r="E621" s="2" t="str">
        <f>IFERROR(__xludf.DUMMYFUNCTION("""COMPUTED_VALUE"""),"B8193462")</f>
        <v>B8193462</v>
      </c>
      <c r="F621" s="2" t="str">
        <f>IFERROR(__xludf.DUMMYFUNCTION("""COMPUTED_VALUE"""),"Mark Lorens Mendoza Gilongo")</f>
        <v>Mark Lorens Mendoza Gilongo</v>
      </c>
      <c r="G621" s="2"/>
      <c r="H621" s="2"/>
      <c r="I621" s="2" t="str">
        <f>IFERROR(__xludf.DUMMYFUNCTION("""COMPUTED_VALUE"""),"ICM_Business_linked_launch")</f>
        <v>ICM_Business_linked_launch</v>
      </c>
      <c r="J621" s="2" t="str">
        <f>IFERROR(__xludf.DUMMYFUNCTION("""COMPUTED_VALUE"""),"uuid:de3d3250-3ea4-40db-8662-7682e2895e76")</f>
        <v>uuid:de3d3250-3ea4-40db-8662-7682e2895e76</v>
      </c>
    </row>
    <row r="622">
      <c r="A622" s="2" t="str">
        <f>IFERROR(__xludf.DUMMYFUNCTION("""COMPUTED_VALUE"""),"2025-09-15T10:56:40.362Z")</f>
        <v>2025-09-15T10:56:40.362Z</v>
      </c>
      <c r="B622" s="2" t="str">
        <f>IFERROR(__xludf.DUMMYFUNCTION("""COMPUTED_VALUE"""),"2025-09-15T11:25:47.056+08")</f>
        <v>2025-09-15T11:25:47.056+08</v>
      </c>
      <c r="C622" s="2" t="str">
        <f>IFERROR(__xludf.DUMMYFUNCTION("""COMPUTED_VALUE"""),"2025-09-15T16:54:27.389+08")</f>
        <v>2025-09-15T16:54:27.389+08</v>
      </c>
      <c r="D622" s="2" t="str">
        <f>IFERROR(__xludf.DUMMYFUNCTION("""COMPUTED_VALUE"""),"H030214025")</f>
        <v>H030214025</v>
      </c>
      <c r="E622" s="2" t="str">
        <f>IFERROR(__xludf.DUMMYFUNCTION("""COMPUTED_VALUE"""),"B8193462")</f>
        <v>B8193462</v>
      </c>
      <c r="F622" s="2" t="str">
        <f>IFERROR(__xludf.DUMMYFUNCTION("""COMPUTED_VALUE"""),"Mark Lorens Mendoza Gilongo")</f>
        <v>Mark Lorens Mendoza Gilongo</v>
      </c>
      <c r="G622" s="2"/>
      <c r="H622" s="2"/>
      <c r="I622" s="2" t="str">
        <f>IFERROR(__xludf.DUMMYFUNCTION("""COMPUTED_VALUE"""),"ICM_Business_linked_launch")</f>
        <v>ICM_Business_linked_launch</v>
      </c>
      <c r="J622" s="2" t="str">
        <f>IFERROR(__xludf.DUMMYFUNCTION("""COMPUTED_VALUE"""),"uuid:a293707e-0144-42b9-adb5-07d3634ef788")</f>
        <v>uuid:a293707e-0144-42b9-adb5-07d3634ef788</v>
      </c>
    </row>
    <row r="623">
      <c r="A623" s="2" t="str">
        <f>IFERROR(__xludf.DUMMYFUNCTION("""COMPUTED_VALUE"""),"2025-09-15T10:56:45.398Z")</f>
        <v>2025-09-15T10:56:45.398Z</v>
      </c>
      <c r="B623" s="2" t="str">
        <f>IFERROR(__xludf.DUMMYFUNCTION("""COMPUTED_VALUE"""),"2025-09-15T10:57:00.572+08")</f>
        <v>2025-09-15T10:57:00.572+08</v>
      </c>
      <c r="C623" s="2" t="str">
        <f>IFERROR(__xludf.DUMMYFUNCTION("""COMPUTED_VALUE"""),"2025-09-15T11:06:18.669+08")</f>
        <v>2025-09-15T11:06:18.669+08</v>
      </c>
      <c r="D623" s="2" t="str">
        <f>IFERROR(__xludf.DUMMYFUNCTION("""COMPUTED_VALUE"""),"H030214024")</f>
        <v>H030214024</v>
      </c>
      <c r="E623" s="2">
        <f>IFERROR(__xludf.DUMMYFUNCTION("""COMPUTED_VALUE"""),896791.0)</f>
        <v>896791</v>
      </c>
      <c r="F623" s="2" t="str">
        <f>IFERROR(__xludf.DUMMYFUNCTION("""COMPUTED_VALUE"""),"Roland A. Bandiola jr_2")</f>
        <v>Roland A. Bandiola jr_2</v>
      </c>
      <c r="G623" s="2"/>
      <c r="H623" s="2"/>
      <c r="I623" s="2" t="str">
        <f>IFERROR(__xludf.DUMMYFUNCTION("""COMPUTED_VALUE"""),"ICM_Business_linked_launch")</f>
        <v>ICM_Business_linked_launch</v>
      </c>
      <c r="J623" s="2" t="str">
        <f>IFERROR(__xludf.DUMMYFUNCTION("""COMPUTED_VALUE"""),"uuid:9495e270-ffc2-4bd4-ab18-78608c04eba8")</f>
        <v>uuid:9495e270-ffc2-4bd4-ab18-78608c04eba8</v>
      </c>
    </row>
    <row r="624">
      <c r="A624" s="2" t="str">
        <f>IFERROR(__xludf.DUMMYFUNCTION("""COMPUTED_VALUE"""),"2025-09-15T10:56:47.776Z")</f>
        <v>2025-09-15T10:56:47.776Z</v>
      </c>
      <c r="B624" s="2" t="str">
        <f>IFERROR(__xludf.DUMMYFUNCTION("""COMPUTED_VALUE"""),"2025-09-15T12:46:15.394+08")</f>
        <v>2025-09-15T12:46:15.394+08</v>
      </c>
      <c r="C624" s="2" t="str">
        <f>IFERROR(__xludf.DUMMYFUNCTION("""COMPUTED_VALUE"""),"2025-09-15T12:51:43.200+08")</f>
        <v>2025-09-15T12:51:43.200+08</v>
      </c>
      <c r="D624" s="2" t="str">
        <f>IFERROR(__xludf.DUMMYFUNCTION("""COMPUTED_VALUE"""),"H030214027")</f>
        <v>H030214027</v>
      </c>
      <c r="E624" s="2">
        <f>IFERROR(__xludf.DUMMYFUNCTION("""COMPUTED_VALUE"""),896791.0)</f>
        <v>896791</v>
      </c>
      <c r="F624" s="2" t="str">
        <f>IFERROR(__xludf.DUMMYFUNCTION("""COMPUTED_VALUE"""),"Roland A. Bandiola jr_2")</f>
        <v>Roland A. Bandiola jr_2</v>
      </c>
      <c r="G624" s="2"/>
      <c r="H624" s="2"/>
      <c r="I624" s="2" t="str">
        <f>IFERROR(__xludf.DUMMYFUNCTION("""COMPUTED_VALUE"""),"ICM_Business_linked_launch")</f>
        <v>ICM_Business_linked_launch</v>
      </c>
      <c r="J624" s="2" t="str">
        <f>IFERROR(__xludf.DUMMYFUNCTION("""COMPUTED_VALUE"""),"uuid:ddcca1de-bab4-4ead-b365-c9624b283213")</f>
        <v>uuid:ddcca1de-bab4-4ead-b365-c9624b283213</v>
      </c>
    </row>
    <row r="625">
      <c r="A625" s="2" t="str">
        <f>IFERROR(__xludf.DUMMYFUNCTION("""COMPUTED_VALUE"""),"2025-09-15T11:05:02.252Z")</f>
        <v>2025-09-15T11:05:02.252Z</v>
      </c>
      <c r="B625" s="2" t="str">
        <f>IFERROR(__xludf.DUMMYFUNCTION("""COMPUTED_VALUE"""),"2025-09-15T11:04:00.748+08")</f>
        <v>2025-09-15T11:04:00.748+08</v>
      </c>
      <c r="C625" s="2" t="str">
        <f>IFERROR(__xludf.DUMMYFUNCTION("""COMPUTED_VALUE"""),"2025-09-15T11:08:22.526+08")</f>
        <v>2025-09-15T11:08:22.526+08</v>
      </c>
      <c r="D625" s="2" t="str">
        <f>IFERROR(__xludf.DUMMYFUNCTION("""COMPUTED_VALUE"""),"H004407032")</f>
        <v>H004407032</v>
      </c>
      <c r="E625" s="2">
        <f>IFERROR(__xludf.DUMMYFUNCTION("""COMPUTED_VALUE"""),555127.0)</f>
        <v>555127</v>
      </c>
      <c r="F625" s="2" t="str">
        <f>IFERROR(__xludf.DUMMYFUNCTION("""COMPUTED_VALUE"""),"Mary May_2")</f>
        <v>Mary May_2</v>
      </c>
      <c r="G625" s="2"/>
      <c r="H625" s="2"/>
      <c r="I625" s="2" t="str">
        <f>IFERROR(__xludf.DUMMYFUNCTION("""COMPUTED_VALUE"""),"ICM_Business_linked_launch")</f>
        <v>ICM_Business_linked_launch</v>
      </c>
      <c r="J625" s="2" t="str">
        <f>IFERROR(__xludf.DUMMYFUNCTION("""COMPUTED_VALUE"""),"uuid:74fd62b5-da32-4947-9952-212d6e5588cd")</f>
        <v>uuid:74fd62b5-da32-4947-9952-212d6e5588cd</v>
      </c>
    </row>
    <row r="626">
      <c r="A626" s="2" t="str">
        <f>IFERROR(__xludf.DUMMYFUNCTION("""COMPUTED_VALUE"""),"2025-09-15T11:06:39.038Z")</f>
        <v>2025-09-15T11:06:39.038Z</v>
      </c>
      <c r="B626" s="2" t="str">
        <f>IFERROR(__xludf.DUMMYFUNCTION("""COMPUTED_VALUE"""),"2025-09-15T14:30:12.306+08")</f>
        <v>2025-09-15T14:30:12.306+08</v>
      </c>
      <c r="C626" s="2" t="str">
        <f>IFERROR(__xludf.DUMMYFUNCTION("""COMPUTED_VALUE"""),"2025-09-15T17:52:36.395+08")</f>
        <v>2025-09-15T17:52:36.395+08</v>
      </c>
      <c r="D626" s="2" t="str">
        <f>IFERROR(__xludf.DUMMYFUNCTION("""COMPUTED_VALUE"""),"H004407034")</f>
        <v>H004407034</v>
      </c>
      <c r="E626" s="2">
        <f>IFERROR(__xludf.DUMMYFUNCTION("""COMPUTED_VALUE"""),555127.0)</f>
        <v>555127</v>
      </c>
      <c r="F626" s="2" t="str">
        <f>IFERROR(__xludf.DUMMYFUNCTION("""COMPUTED_VALUE"""),"Mary May_2")</f>
        <v>Mary May_2</v>
      </c>
      <c r="G626" s="2"/>
      <c r="H626" s="2"/>
      <c r="I626" s="2" t="str">
        <f>IFERROR(__xludf.DUMMYFUNCTION("""COMPUTED_VALUE"""),"ICM_Business_linked_launch")</f>
        <v>ICM_Business_linked_launch</v>
      </c>
      <c r="J626" s="2" t="str">
        <f>IFERROR(__xludf.DUMMYFUNCTION("""COMPUTED_VALUE"""),"uuid:dfad3a7a-3b7f-4706-9e2c-535d215473ef")</f>
        <v>uuid:dfad3a7a-3b7f-4706-9e2c-535d215473ef</v>
      </c>
    </row>
    <row r="627">
      <c r="A627" s="2" t="str">
        <f>IFERROR(__xludf.DUMMYFUNCTION("""COMPUTED_VALUE"""),"2025-09-15T11:06:46.516Z")</f>
        <v>2025-09-15T11:06:46.516Z</v>
      </c>
      <c r="B627" s="2" t="str">
        <f>IFERROR(__xludf.DUMMYFUNCTION("""COMPUTED_VALUE"""),"2025-09-15T12:23:18.208+08")</f>
        <v>2025-09-15T12:23:18.208+08</v>
      </c>
      <c r="C627" s="2" t="str">
        <f>IFERROR(__xludf.DUMMYFUNCTION("""COMPUTED_VALUE"""),"2025-09-15T12:34:34.589+08")</f>
        <v>2025-09-15T12:34:34.589+08</v>
      </c>
      <c r="D627" s="2" t="str">
        <f>IFERROR(__xludf.DUMMYFUNCTION("""COMPUTED_VALUE"""),"H004407033")</f>
        <v>H004407033</v>
      </c>
      <c r="E627" s="2">
        <f>IFERROR(__xludf.DUMMYFUNCTION("""COMPUTED_VALUE"""),555127.0)</f>
        <v>555127</v>
      </c>
      <c r="F627" s="2" t="str">
        <f>IFERROR(__xludf.DUMMYFUNCTION("""COMPUTED_VALUE"""),"Mary May_2")</f>
        <v>Mary May_2</v>
      </c>
      <c r="G627" s="2"/>
      <c r="H627" s="2"/>
      <c r="I627" s="2" t="str">
        <f>IFERROR(__xludf.DUMMYFUNCTION("""COMPUTED_VALUE"""),"ICM_Business_linked_launch")</f>
        <v>ICM_Business_linked_launch</v>
      </c>
      <c r="J627" s="2" t="str">
        <f>IFERROR(__xludf.DUMMYFUNCTION("""COMPUTED_VALUE"""),"uuid:c712b885-a174-469d-ab3a-66de61d08f84")</f>
        <v>uuid:c712b885-a174-469d-ab3a-66de61d08f84</v>
      </c>
    </row>
    <row r="628">
      <c r="A628" s="2" t="str">
        <f>IFERROR(__xludf.DUMMYFUNCTION("""COMPUTED_VALUE"""),"2025-09-15T11:06:56.549Z")</f>
        <v>2025-09-15T11:06:56.549Z</v>
      </c>
      <c r="B628" s="2" t="str">
        <f>IFERROR(__xludf.DUMMYFUNCTION("""COMPUTED_VALUE"""),"2025-09-15T16:15:33.703+08")</f>
        <v>2025-09-15T16:15:33.703+08</v>
      </c>
      <c r="C628" s="2" t="str">
        <f>IFERROR(__xludf.DUMMYFUNCTION("""COMPUTED_VALUE"""),"2025-09-15T16:20:39.059+08")</f>
        <v>2025-09-15T16:20:39.059+08</v>
      </c>
      <c r="D628" s="2" t="str">
        <f>IFERROR(__xludf.DUMMYFUNCTION("""COMPUTED_VALUE"""),"H004407031")</f>
        <v>H004407031</v>
      </c>
      <c r="E628" s="2">
        <f>IFERROR(__xludf.DUMMYFUNCTION("""COMPUTED_VALUE"""),555127.0)</f>
        <v>555127</v>
      </c>
      <c r="F628" s="2" t="str">
        <f>IFERROR(__xludf.DUMMYFUNCTION("""COMPUTED_VALUE"""),"Mary May_2")</f>
        <v>Mary May_2</v>
      </c>
      <c r="G628" s="2"/>
      <c r="H628" s="2"/>
      <c r="I628" s="2" t="str">
        <f>IFERROR(__xludf.DUMMYFUNCTION("""COMPUTED_VALUE"""),"ICM_Business_linked_launch")</f>
        <v>ICM_Business_linked_launch</v>
      </c>
      <c r="J628" s="2" t="str">
        <f>IFERROR(__xludf.DUMMYFUNCTION("""COMPUTED_VALUE"""),"uuid:8288c7d8-c494-4081-bdb6-4867748e110c")</f>
        <v>uuid:8288c7d8-c494-4081-bdb6-4867748e110c</v>
      </c>
    </row>
    <row r="629">
      <c r="A629" s="2" t="str">
        <f>IFERROR(__xludf.DUMMYFUNCTION("""COMPUTED_VALUE"""),"2025-09-15T11:13:04.616Z")</f>
        <v>2025-09-15T11:13:04.616Z</v>
      </c>
      <c r="B629" s="2" t="str">
        <f>IFERROR(__xludf.DUMMYFUNCTION("""COMPUTED_VALUE"""),"2025-09-15T10:16:58.556+08")</f>
        <v>2025-09-15T10:16:58.556+08</v>
      </c>
      <c r="C629" s="2" t="str">
        <f>IFERROR(__xludf.DUMMYFUNCTION("""COMPUTED_VALUE"""),"2025-09-15T10:27:51.723+08")</f>
        <v>2025-09-15T10:27:51.723+08</v>
      </c>
      <c r="D629" s="2" t="str">
        <f>IFERROR(__xludf.DUMMYFUNCTION("""COMPUTED_VALUE"""),"H006422030")</f>
        <v>H006422030</v>
      </c>
      <c r="E629" s="2" t="str">
        <f>IFERROR(__xludf.DUMMYFUNCTION("""COMPUTED_VALUE"""),"L2057896")</f>
        <v>L2057896</v>
      </c>
      <c r="F629" s="2" t="str">
        <f>IFERROR(__xludf.DUMMYFUNCTION("""COMPUTED_VALUE"""),"Franz Reoben Posadas Geneblaza")</f>
        <v>Franz Reoben Posadas Geneblaza</v>
      </c>
      <c r="G629" s="2"/>
      <c r="H629" s="2"/>
      <c r="I629" s="2" t="str">
        <f>IFERROR(__xludf.DUMMYFUNCTION("""COMPUTED_VALUE"""),"ICM_Business_linked_launch")</f>
        <v>ICM_Business_linked_launch</v>
      </c>
      <c r="J629" s="2" t="str">
        <f>IFERROR(__xludf.DUMMYFUNCTION("""COMPUTED_VALUE"""),"uuid:d5e963c8-9f2e-4184-a1ec-b8ab09eaa0bb")</f>
        <v>uuid:d5e963c8-9f2e-4184-a1ec-b8ab09eaa0bb</v>
      </c>
    </row>
    <row r="630">
      <c r="A630" s="2" t="str">
        <f>IFERROR(__xludf.DUMMYFUNCTION("""COMPUTED_VALUE"""),"2025-09-15T11:13:09.707Z")</f>
        <v>2025-09-15T11:13:09.707Z</v>
      </c>
      <c r="B630" s="2" t="str">
        <f>IFERROR(__xludf.DUMMYFUNCTION("""COMPUTED_VALUE"""),"2025-09-15T11:12:01.722+08")</f>
        <v>2025-09-15T11:12:01.722+08</v>
      </c>
      <c r="C630" s="2" t="str">
        <f>IFERROR(__xludf.DUMMYFUNCTION("""COMPUTED_VALUE"""),"2025-09-15T11:23:14.281+08")</f>
        <v>2025-09-15T11:23:14.281+08</v>
      </c>
      <c r="D630" s="2" t="str">
        <f>IFERROR(__xludf.DUMMYFUNCTION("""COMPUTED_VALUE"""),"H006422033")</f>
        <v>H006422033</v>
      </c>
      <c r="E630" s="2" t="str">
        <f>IFERROR(__xludf.DUMMYFUNCTION("""COMPUTED_VALUE"""),"L2057896")</f>
        <v>L2057896</v>
      </c>
      <c r="F630" s="2" t="str">
        <f>IFERROR(__xludf.DUMMYFUNCTION("""COMPUTED_VALUE"""),"Franz Reoben Posadas Geneblaza")</f>
        <v>Franz Reoben Posadas Geneblaza</v>
      </c>
      <c r="G630" s="2"/>
      <c r="H630" s="2"/>
      <c r="I630" s="2" t="str">
        <f>IFERROR(__xludf.DUMMYFUNCTION("""COMPUTED_VALUE"""),"ICM_Business_linked_launch")</f>
        <v>ICM_Business_linked_launch</v>
      </c>
      <c r="J630" s="2" t="str">
        <f>IFERROR(__xludf.DUMMYFUNCTION("""COMPUTED_VALUE"""),"uuid:db63f8a8-891c-416b-8bb9-a01cda534b80")</f>
        <v>uuid:db63f8a8-891c-416b-8bb9-a01cda534b80</v>
      </c>
    </row>
    <row r="631">
      <c r="A631" s="2" t="str">
        <f>IFERROR(__xludf.DUMMYFUNCTION("""COMPUTED_VALUE"""),"2025-09-15T11:13:14.062Z")</f>
        <v>2025-09-15T11:13:14.062Z</v>
      </c>
      <c r="B631" s="2" t="str">
        <f>IFERROR(__xludf.DUMMYFUNCTION("""COMPUTED_VALUE"""),"2025-09-15T13:22:38.078+08")</f>
        <v>2025-09-15T13:22:38.078+08</v>
      </c>
      <c r="C631" s="2" t="str">
        <f>IFERROR(__xludf.DUMMYFUNCTION("""COMPUTED_VALUE"""),"2025-09-15T13:55:20.347+08")</f>
        <v>2025-09-15T13:55:20.347+08</v>
      </c>
      <c r="D631" s="2" t="str">
        <f>IFERROR(__xludf.DUMMYFUNCTION("""COMPUTED_VALUE"""),"H006422082")</f>
        <v>H006422082</v>
      </c>
      <c r="E631" s="2" t="str">
        <f>IFERROR(__xludf.DUMMYFUNCTION("""COMPUTED_VALUE"""),"L2057896")</f>
        <v>L2057896</v>
      </c>
      <c r="F631" s="2" t="str">
        <f>IFERROR(__xludf.DUMMYFUNCTION("""COMPUTED_VALUE"""),"Franz Reoben Posadas Geneblaza")</f>
        <v>Franz Reoben Posadas Geneblaza</v>
      </c>
      <c r="G631" s="2"/>
      <c r="H631" s="2"/>
      <c r="I631" s="2" t="str">
        <f>IFERROR(__xludf.DUMMYFUNCTION("""COMPUTED_VALUE"""),"ICM_Business_linked_launch")</f>
        <v>ICM_Business_linked_launch</v>
      </c>
      <c r="J631" s="2" t="str">
        <f>IFERROR(__xludf.DUMMYFUNCTION("""COMPUTED_VALUE"""),"uuid:8ddbc9d2-c383-4428-beaf-73274d8852b7")</f>
        <v>uuid:8ddbc9d2-c383-4428-beaf-73274d8852b7</v>
      </c>
    </row>
    <row r="632">
      <c r="A632" s="2" t="str">
        <f>IFERROR(__xludf.DUMMYFUNCTION("""COMPUTED_VALUE"""),"2025-09-15T11:14:32.597Z")</f>
        <v>2025-09-15T11:14:32.597Z</v>
      </c>
      <c r="B632" s="2" t="str">
        <f>IFERROR(__xludf.DUMMYFUNCTION("""COMPUTED_VALUE"""),"2025-09-15T10:19:10.965+08")</f>
        <v>2025-09-15T10:19:10.965+08</v>
      </c>
      <c r="C632" s="2" t="str">
        <f>IFERROR(__xludf.DUMMYFUNCTION("""COMPUTED_VALUE"""),"2025-09-15T10:27:12.001+08")</f>
        <v>2025-09-15T10:27:12.001+08</v>
      </c>
      <c r="D632" s="2" t="str">
        <f>IFERROR(__xludf.DUMMYFUNCTION("""COMPUTED_VALUE"""),"H006422020")</f>
        <v>H006422020</v>
      </c>
      <c r="E632" s="2" t="str">
        <f>IFERROR(__xludf.DUMMYFUNCTION("""COMPUTED_VALUE"""),"M6491032")</f>
        <v>M6491032</v>
      </c>
      <c r="F632" s="2" t="str">
        <f>IFERROR(__xludf.DUMMYFUNCTION("""COMPUTED_VALUE"""),"Rosevil Tayo Desamparado")</f>
        <v>Rosevil Tayo Desamparado</v>
      </c>
      <c r="G632" s="2"/>
      <c r="H632" s="2"/>
      <c r="I632" s="2" t="str">
        <f>IFERROR(__xludf.DUMMYFUNCTION("""COMPUTED_VALUE"""),"ICM_Business_linked_launch")</f>
        <v>ICM_Business_linked_launch</v>
      </c>
      <c r="J632" s="2" t="str">
        <f>IFERROR(__xludf.DUMMYFUNCTION("""COMPUTED_VALUE"""),"uuid:08c5df28-21c3-4204-b913-b87605faf21b")</f>
        <v>uuid:08c5df28-21c3-4204-b913-b87605faf21b</v>
      </c>
    </row>
    <row r="633">
      <c r="A633" s="2" t="str">
        <f>IFERROR(__xludf.DUMMYFUNCTION("""COMPUTED_VALUE"""),"2025-09-15T11:14:34.888Z")</f>
        <v>2025-09-15T11:14:34.888Z</v>
      </c>
      <c r="B633" s="2" t="str">
        <f>IFERROR(__xludf.DUMMYFUNCTION("""COMPUTED_VALUE"""),"2025-09-15T11:18:45.188+08")</f>
        <v>2025-09-15T11:18:45.188+08</v>
      </c>
      <c r="C633" s="2" t="str">
        <f>IFERROR(__xludf.DUMMYFUNCTION("""COMPUTED_VALUE"""),"2025-09-15T13:13:30.372+08")</f>
        <v>2025-09-15T13:13:30.372+08</v>
      </c>
      <c r="D633" s="2" t="str">
        <f>IFERROR(__xludf.DUMMYFUNCTION("""COMPUTED_VALUE"""),"H006422016")</f>
        <v>H006422016</v>
      </c>
      <c r="E633" s="2" t="str">
        <f>IFERROR(__xludf.DUMMYFUNCTION("""COMPUTED_VALUE"""),"M6491032")</f>
        <v>M6491032</v>
      </c>
      <c r="F633" s="2" t="str">
        <f>IFERROR(__xludf.DUMMYFUNCTION("""COMPUTED_VALUE"""),"Rosevil Tayo Desamparado")</f>
        <v>Rosevil Tayo Desamparado</v>
      </c>
      <c r="G633" s="2"/>
      <c r="H633" s="2"/>
      <c r="I633" s="2" t="str">
        <f>IFERROR(__xludf.DUMMYFUNCTION("""COMPUTED_VALUE"""),"ICM_Business_linked_launch")</f>
        <v>ICM_Business_linked_launch</v>
      </c>
      <c r="J633" s="2" t="str">
        <f>IFERROR(__xludf.DUMMYFUNCTION("""COMPUTED_VALUE"""),"uuid:5ee7688f-bc3f-4b0e-8be6-c359b7fce260")</f>
        <v>uuid:5ee7688f-bc3f-4b0e-8be6-c359b7fce260</v>
      </c>
    </row>
    <row r="634">
      <c r="A634" s="2" t="str">
        <f>IFERROR(__xludf.DUMMYFUNCTION("""COMPUTED_VALUE"""),"2025-09-15T11:14:36.587Z")</f>
        <v>2025-09-15T11:14:36.587Z</v>
      </c>
      <c r="B634" s="2" t="str">
        <f>IFERROR(__xludf.DUMMYFUNCTION("""COMPUTED_VALUE"""),"2025-09-15T14:16:33.505+08")</f>
        <v>2025-09-15T14:16:33.505+08</v>
      </c>
      <c r="C634" s="2" t="str">
        <f>IFERROR(__xludf.DUMMYFUNCTION("""COMPUTED_VALUE"""),"2025-09-15T19:14:01.877+08")</f>
        <v>2025-09-15T19:14:01.877+08</v>
      </c>
      <c r="D634" s="2" t="str">
        <f>IFERROR(__xludf.DUMMYFUNCTION("""COMPUTED_VALUE"""),"H006422024")</f>
        <v>H006422024</v>
      </c>
      <c r="E634" s="2" t="str">
        <f>IFERROR(__xludf.DUMMYFUNCTION("""COMPUTED_VALUE"""),"M6491032")</f>
        <v>M6491032</v>
      </c>
      <c r="F634" s="2" t="str">
        <f>IFERROR(__xludf.DUMMYFUNCTION("""COMPUTED_VALUE"""),"Rosevil Tayo Desamparado")</f>
        <v>Rosevil Tayo Desamparado</v>
      </c>
      <c r="G634" s="2"/>
      <c r="H634" s="2"/>
      <c r="I634" s="2" t="str">
        <f>IFERROR(__xludf.DUMMYFUNCTION("""COMPUTED_VALUE"""),"ICM_Business_linked_launch")</f>
        <v>ICM_Business_linked_launch</v>
      </c>
      <c r="J634" s="2" t="str">
        <f>IFERROR(__xludf.DUMMYFUNCTION("""COMPUTED_VALUE"""),"uuid:67a717d6-5444-46be-9571-e97938fdadba")</f>
        <v>uuid:67a717d6-5444-46be-9571-e97938fdadba</v>
      </c>
    </row>
    <row r="635">
      <c r="A635" s="2" t="str">
        <f>IFERROR(__xludf.DUMMYFUNCTION("""COMPUTED_VALUE"""),"2025-09-15T11:17:50.492Z")</f>
        <v>2025-09-15T11:17:50.492Z</v>
      </c>
      <c r="B635" s="2" t="str">
        <f>IFERROR(__xludf.DUMMYFUNCTION("""COMPUTED_VALUE"""),"2025-09-15T10:24:36.878+08")</f>
        <v>2025-09-15T10:24:36.878+08</v>
      </c>
      <c r="C635" s="2" t="str">
        <f>IFERROR(__xludf.DUMMYFUNCTION("""COMPUTED_VALUE"""),"2025-09-15T10:30:07.687+08")</f>
        <v>2025-09-15T10:30:07.687+08</v>
      </c>
      <c r="D635" s="2" t="str">
        <f>IFERROR(__xludf.DUMMYFUNCTION("""COMPUTED_VALUE"""),"H004407026")</f>
        <v>H004407026</v>
      </c>
      <c r="E635" s="2">
        <f>IFERROR(__xludf.DUMMYFUNCTION("""COMPUTED_VALUE"""),455939.0)</f>
        <v>455939</v>
      </c>
      <c r="F635" s="2" t="str">
        <f>IFERROR(__xludf.DUMMYFUNCTION("""COMPUTED_VALUE"""),"Mary Jean Villaflor_2")</f>
        <v>Mary Jean Villaflor_2</v>
      </c>
      <c r="G635" s="2"/>
      <c r="H635" s="2"/>
      <c r="I635" s="2" t="str">
        <f>IFERROR(__xludf.DUMMYFUNCTION("""COMPUTED_VALUE"""),"ICM_Business_linked_launch")</f>
        <v>ICM_Business_linked_launch</v>
      </c>
      <c r="J635" s="2" t="str">
        <f>IFERROR(__xludf.DUMMYFUNCTION("""COMPUTED_VALUE"""),"uuid:320774b6-8641-4811-9c00-2b09b3757caa")</f>
        <v>uuid:320774b6-8641-4811-9c00-2b09b3757caa</v>
      </c>
    </row>
    <row r="636">
      <c r="A636" s="2" t="str">
        <f>IFERROR(__xludf.DUMMYFUNCTION("""COMPUTED_VALUE"""),"2025-09-15T11:17:53.626Z")</f>
        <v>2025-09-15T11:17:53.626Z</v>
      </c>
      <c r="B636" s="2" t="str">
        <f>IFERROR(__xludf.DUMMYFUNCTION("""COMPUTED_VALUE"""),"2025-09-15T13:32:22.357+08")</f>
        <v>2025-09-15T13:32:22.357+08</v>
      </c>
      <c r="C636" s="2" t="str">
        <f>IFERROR(__xludf.DUMMYFUNCTION("""COMPUTED_VALUE"""),"2025-09-15T13:38:16.823+08")</f>
        <v>2025-09-15T13:38:16.823+08</v>
      </c>
      <c r="D636" s="2" t="str">
        <f>IFERROR(__xludf.DUMMYFUNCTION("""COMPUTED_VALUE"""),"H004407028")</f>
        <v>H004407028</v>
      </c>
      <c r="E636" s="2">
        <f>IFERROR(__xludf.DUMMYFUNCTION("""COMPUTED_VALUE"""),455939.0)</f>
        <v>455939</v>
      </c>
      <c r="F636" s="2" t="str">
        <f>IFERROR(__xludf.DUMMYFUNCTION("""COMPUTED_VALUE"""),"Mary Jean Villaflor_2")</f>
        <v>Mary Jean Villaflor_2</v>
      </c>
      <c r="G636" s="2"/>
      <c r="H636" s="2"/>
      <c r="I636" s="2" t="str">
        <f>IFERROR(__xludf.DUMMYFUNCTION("""COMPUTED_VALUE"""),"ICM_Business_linked_launch")</f>
        <v>ICM_Business_linked_launch</v>
      </c>
      <c r="J636" s="2" t="str">
        <f>IFERROR(__xludf.DUMMYFUNCTION("""COMPUTED_VALUE"""),"uuid:a9b146a1-0f33-4795-ae7c-0e42690b8537")</f>
        <v>uuid:a9b146a1-0f33-4795-ae7c-0e42690b8537</v>
      </c>
    </row>
    <row r="637">
      <c r="A637" s="2" t="str">
        <f>IFERROR(__xludf.DUMMYFUNCTION("""COMPUTED_VALUE"""),"2025-09-15T11:17:55.740Z")</f>
        <v>2025-09-15T11:17:55.740Z</v>
      </c>
      <c r="B637" s="2" t="str">
        <f>IFERROR(__xludf.DUMMYFUNCTION("""COMPUTED_VALUE"""),"2025-09-15T14:30:57.507+08")</f>
        <v>2025-09-15T14:30:57.507+08</v>
      </c>
      <c r="C637" s="2" t="str">
        <f>IFERROR(__xludf.DUMMYFUNCTION("""COMPUTED_VALUE"""),"2025-09-15T14:36:59.358+08")</f>
        <v>2025-09-15T14:36:59.358+08</v>
      </c>
      <c r="D637" s="2" t="str">
        <f>IFERROR(__xludf.DUMMYFUNCTION("""COMPUTED_VALUE"""),"H004407025")</f>
        <v>H004407025</v>
      </c>
      <c r="E637" s="2">
        <f>IFERROR(__xludf.DUMMYFUNCTION("""COMPUTED_VALUE"""),455939.0)</f>
        <v>455939</v>
      </c>
      <c r="F637" s="2" t="str">
        <f>IFERROR(__xludf.DUMMYFUNCTION("""COMPUTED_VALUE"""),"Mary Jean Villaflor_2")</f>
        <v>Mary Jean Villaflor_2</v>
      </c>
      <c r="G637" s="2"/>
      <c r="H637" s="2"/>
      <c r="I637" s="2" t="str">
        <f>IFERROR(__xludf.DUMMYFUNCTION("""COMPUTED_VALUE"""),"ICM_Business_linked_launch")</f>
        <v>ICM_Business_linked_launch</v>
      </c>
      <c r="J637" s="2" t="str">
        <f>IFERROR(__xludf.DUMMYFUNCTION("""COMPUTED_VALUE"""),"uuid:6bc08b64-cac0-4c3d-8156-447010788be2")</f>
        <v>uuid:6bc08b64-cac0-4c3d-8156-447010788be2</v>
      </c>
    </row>
    <row r="638">
      <c r="A638" s="2" t="str">
        <f>IFERROR(__xludf.DUMMYFUNCTION("""COMPUTED_VALUE"""),"2025-09-15T11:18:23.426Z")</f>
        <v>2025-09-15T11:18:23.426Z</v>
      </c>
      <c r="B638" s="2" t="str">
        <f>IFERROR(__xludf.DUMMYFUNCTION("""COMPUTED_VALUE"""),"2025-09-15T11:36:24.073+08")</f>
        <v>2025-09-15T11:36:24.073+08</v>
      </c>
      <c r="C638" s="2" t="str">
        <f>IFERROR(__xludf.DUMMYFUNCTION("""COMPUTED_VALUE"""),"2025-09-15T19:12:17.018+08")</f>
        <v>2025-09-15T19:12:17.018+08</v>
      </c>
      <c r="D638" s="2" t="str">
        <f>IFERROR(__xludf.DUMMYFUNCTION("""COMPUTED_VALUE"""),"H004407024")</f>
        <v>H004407024</v>
      </c>
      <c r="E638" s="2">
        <f>IFERROR(__xludf.DUMMYFUNCTION("""COMPUTED_VALUE"""),455939.0)</f>
        <v>455939</v>
      </c>
      <c r="F638" s="2" t="str">
        <f>IFERROR(__xludf.DUMMYFUNCTION("""COMPUTED_VALUE"""),"Mary Jean Villaflor_2")</f>
        <v>Mary Jean Villaflor_2</v>
      </c>
      <c r="G638" s="2"/>
      <c r="H638" s="2"/>
      <c r="I638" s="2" t="str">
        <f>IFERROR(__xludf.DUMMYFUNCTION("""COMPUTED_VALUE"""),"ICM_Business_linked_launch")</f>
        <v>ICM_Business_linked_launch</v>
      </c>
      <c r="J638" s="2" t="str">
        <f>IFERROR(__xludf.DUMMYFUNCTION("""COMPUTED_VALUE"""),"uuid:b9b05bdd-bfad-4a85-a297-4aea14f569f9")</f>
        <v>uuid:b9b05bdd-bfad-4a85-a297-4aea14f569f9</v>
      </c>
    </row>
    <row r="639">
      <c r="A639" s="2" t="str">
        <f>IFERROR(__xludf.DUMMYFUNCTION("""COMPUTED_VALUE"""),"2025-09-15T11:27:53.480Z")</f>
        <v>2025-09-15T11:27:53.480Z</v>
      </c>
      <c r="B639" s="2" t="str">
        <f>IFERROR(__xludf.DUMMYFUNCTION("""COMPUTED_VALUE"""),"2025-09-15T10:23:48.535+08")</f>
        <v>2025-09-15T10:23:48.535+08</v>
      </c>
      <c r="C639" s="2" t="str">
        <f>IFERROR(__xludf.DUMMYFUNCTION("""COMPUTED_VALUE"""),"2025-09-15T10:29:09.709+08")</f>
        <v>2025-09-15T10:29:09.709+08</v>
      </c>
      <c r="D639" s="2" t="str">
        <f>IFERROR(__xludf.DUMMYFUNCTION("""COMPUTED_VALUE"""),"H004588018")</f>
        <v>H004588018</v>
      </c>
      <c r="E639" s="2" t="str">
        <f>IFERROR(__xludf.DUMMYFUNCTION("""COMPUTED_VALUE"""),"S2671943")</f>
        <v>S2671943</v>
      </c>
      <c r="F639" s="2" t="str">
        <f>IFERROR(__xludf.DUMMYFUNCTION("""COMPUTED_VALUE"""),"Marvin Mondia")</f>
        <v>Marvin Mondia</v>
      </c>
      <c r="G639" s="2"/>
      <c r="H639" s="2"/>
      <c r="I639" s="2" t="str">
        <f>IFERROR(__xludf.DUMMYFUNCTION("""COMPUTED_VALUE"""),"ICM_Business_linked_launch")</f>
        <v>ICM_Business_linked_launch</v>
      </c>
      <c r="J639" s="2" t="str">
        <f>IFERROR(__xludf.DUMMYFUNCTION("""COMPUTED_VALUE"""),"uuid:6a7db4bb-d454-4ed4-b6ad-2be7e6dc7f39")</f>
        <v>uuid:6a7db4bb-d454-4ed4-b6ad-2be7e6dc7f39</v>
      </c>
    </row>
    <row r="640">
      <c r="A640" s="2" t="str">
        <f>IFERROR(__xludf.DUMMYFUNCTION("""COMPUTED_VALUE"""),"2025-09-15T11:27:55.606Z")</f>
        <v>2025-09-15T11:27:55.606Z</v>
      </c>
      <c r="B640" s="2" t="str">
        <f>IFERROR(__xludf.DUMMYFUNCTION("""COMPUTED_VALUE"""),"2025-09-15T12:14:17.904+08")</f>
        <v>2025-09-15T12:14:17.904+08</v>
      </c>
      <c r="C640" s="2" t="str">
        <f>IFERROR(__xludf.DUMMYFUNCTION("""COMPUTED_VALUE"""),"2025-09-15T12:21:33.486+08")</f>
        <v>2025-09-15T12:21:33.486+08</v>
      </c>
      <c r="D640" s="2" t="str">
        <f>IFERROR(__xludf.DUMMYFUNCTION("""COMPUTED_VALUE"""),"H004588033")</f>
        <v>H004588033</v>
      </c>
      <c r="E640" s="2" t="str">
        <f>IFERROR(__xludf.DUMMYFUNCTION("""COMPUTED_VALUE"""),"S2671943")</f>
        <v>S2671943</v>
      </c>
      <c r="F640" s="2" t="str">
        <f>IFERROR(__xludf.DUMMYFUNCTION("""COMPUTED_VALUE"""),"Marvin Mondia")</f>
        <v>Marvin Mondia</v>
      </c>
      <c r="G640" s="2"/>
      <c r="H640" s="2"/>
      <c r="I640" s="2" t="str">
        <f>IFERROR(__xludf.DUMMYFUNCTION("""COMPUTED_VALUE"""),"ICM_Business_linked_launch")</f>
        <v>ICM_Business_linked_launch</v>
      </c>
      <c r="J640" s="2" t="str">
        <f>IFERROR(__xludf.DUMMYFUNCTION("""COMPUTED_VALUE"""),"uuid:f2e59223-ec55-4b7d-aa48-4c57ea256089")</f>
        <v>uuid:f2e59223-ec55-4b7d-aa48-4c57ea256089</v>
      </c>
    </row>
    <row r="641">
      <c r="A641" s="2" t="str">
        <f>IFERROR(__xludf.DUMMYFUNCTION("""COMPUTED_VALUE"""),"2025-09-15T11:27:58.632Z")</f>
        <v>2025-09-15T11:27:58.632Z</v>
      </c>
      <c r="B641" s="2" t="str">
        <f>IFERROR(__xludf.DUMMYFUNCTION("""COMPUTED_VALUE"""),"2025-09-15T15:52:33.853+08")</f>
        <v>2025-09-15T15:52:33.853+08</v>
      </c>
      <c r="C641" s="2" t="str">
        <f>IFERROR(__xludf.DUMMYFUNCTION("""COMPUTED_VALUE"""),"2025-09-15T15:56:33.448+08")</f>
        <v>2025-09-15T15:56:33.448+08</v>
      </c>
      <c r="D641" s="2" t="str">
        <f>IFERROR(__xludf.DUMMYFUNCTION("""COMPUTED_VALUE"""),"H004588023")</f>
        <v>H004588023</v>
      </c>
      <c r="E641" s="2" t="str">
        <f>IFERROR(__xludf.DUMMYFUNCTION("""COMPUTED_VALUE"""),"S2671943")</f>
        <v>S2671943</v>
      </c>
      <c r="F641" s="2" t="str">
        <f>IFERROR(__xludf.DUMMYFUNCTION("""COMPUTED_VALUE"""),"Marvin Mondia")</f>
        <v>Marvin Mondia</v>
      </c>
      <c r="G641" s="2"/>
      <c r="H641" s="2"/>
      <c r="I641" s="2" t="str">
        <f>IFERROR(__xludf.DUMMYFUNCTION("""COMPUTED_VALUE"""),"ICM_Business_linked_launch")</f>
        <v>ICM_Business_linked_launch</v>
      </c>
      <c r="J641" s="2" t="str">
        <f>IFERROR(__xludf.DUMMYFUNCTION("""COMPUTED_VALUE"""),"uuid:8142f5a8-44e2-4f9c-8990-e96bcbd9c857")</f>
        <v>uuid:8142f5a8-44e2-4f9c-8990-e96bcbd9c857</v>
      </c>
    </row>
    <row r="642">
      <c r="A642" s="2" t="str">
        <f>IFERROR(__xludf.DUMMYFUNCTION("""COMPUTED_VALUE"""),"2025-09-15T11:50:07.737Z")</f>
        <v>2025-09-15T11:50:07.737Z</v>
      </c>
      <c r="B642" s="2" t="str">
        <f>IFERROR(__xludf.DUMMYFUNCTION("""COMPUTED_VALUE"""),"2025-09-15T10:17:25.303+08")</f>
        <v>2025-09-15T10:17:25.303+08</v>
      </c>
      <c r="C642" s="2" t="str">
        <f>IFERROR(__xludf.DUMMYFUNCTION("""COMPUTED_VALUE"""),"2025-09-15T10:33:00.851+08")</f>
        <v>2025-09-15T10:33:00.851+08</v>
      </c>
      <c r="D642" s="2" t="str">
        <f>IFERROR(__xludf.DUMMYFUNCTION("""COMPUTED_VALUE"""),"H006422001")</f>
        <v>H006422001</v>
      </c>
      <c r="E642" s="2" t="str">
        <f>IFERROR(__xludf.DUMMYFUNCTION("""COMPUTED_VALUE"""),"K8623174")</f>
        <v>K8623174</v>
      </c>
      <c r="F642" s="2" t="str">
        <f>IFERROR(__xludf.DUMMYFUNCTION("""COMPUTED_VALUE"""),"Marielle Kaye Ignacio Alonzo")</f>
        <v>Marielle Kaye Ignacio Alonzo</v>
      </c>
      <c r="G642" s="2"/>
      <c r="H642" s="2"/>
      <c r="I642" s="2" t="str">
        <f>IFERROR(__xludf.DUMMYFUNCTION("""COMPUTED_VALUE"""),"ICM_Business_linked_launch")</f>
        <v>ICM_Business_linked_launch</v>
      </c>
      <c r="J642" s="2" t="str">
        <f>IFERROR(__xludf.DUMMYFUNCTION("""COMPUTED_VALUE"""),"uuid:b205ea5c-a35f-4b43-8033-ccd69dce783a")</f>
        <v>uuid:b205ea5c-a35f-4b43-8033-ccd69dce783a</v>
      </c>
    </row>
    <row r="643">
      <c r="A643" s="2" t="str">
        <f>IFERROR(__xludf.DUMMYFUNCTION("""COMPUTED_VALUE"""),"2025-09-15T11:50:10.742Z")</f>
        <v>2025-09-15T11:50:10.742Z</v>
      </c>
      <c r="B643" s="2" t="str">
        <f>IFERROR(__xludf.DUMMYFUNCTION("""COMPUTED_VALUE"""),"2025-09-15T11:28:38.187+08")</f>
        <v>2025-09-15T11:28:38.187+08</v>
      </c>
      <c r="C643" s="2" t="str">
        <f>IFERROR(__xludf.DUMMYFUNCTION("""COMPUTED_VALUE"""),"2025-09-15T12:03:29.719+08")</f>
        <v>2025-09-15T12:03:29.719+08</v>
      </c>
      <c r="D643" s="2" t="str">
        <f>IFERROR(__xludf.DUMMYFUNCTION("""COMPUTED_VALUE"""),"H006422022")</f>
        <v>H006422022</v>
      </c>
      <c r="E643" s="2" t="str">
        <f>IFERROR(__xludf.DUMMYFUNCTION("""COMPUTED_VALUE"""),"K8623174")</f>
        <v>K8623174</v>
      </c>
      <c r="F643" s="2" t="str">
        <f>IFERROR(__xludf.DUMMYFUNCTION("""COMPUTED_VALUE"""),"Marielle Kaye Ignacio Alonzo")</f>
        <v>Marielle Kaye Ignacio Alonzo</v>
      </c>
      <c r="G643" s="2"/>
      <c r="H643" s="2"/>
      <c r="I643" s="2" t="str">
        <f>IFERROR(__xludf.DUMMYFUNCTION("""COMPUTED_VALUE"""),"ICM_Business_linked_launch")</f>
        <v>ICM_Business_linked_launch</v>
      </c>
      <c r="J643" s="2" t="str">
        <f>IFERROR(__xludf.DUMMYFUNCTION("""COMPUTED_VALUE"""),"uuid:ef5d113f-0440-4c25-9fa8-3a21a20b5415")</f>
        <v>uuid:ef5d113f-0440-4c25-9fa8-3a21a20b5415</v>
      </c>
    </row>
    <row r="644">
      <c r="A644" s="2" t="str">
        <f>IFERROR(__xludf.DUMMYFUNCTION("""COMPUTED_VALUE"""),"2025-09-15T12:07:04.532Z")</f>
        <v>2025-09-15T12:07:04.532Z</v>
      </c>
      <c r="B644" s="2" t="str">
        <f>IFERROR(__xludf.DUMMYFUNCTION("""COMPUTED_VALUE"""),"2025-09-15T10:04:46.135+08")</f>
        <v>2025-09-15T10:04:46.135+08</v>
      </c>
      <c r="C644" s="2" t="str">
        <f>IFERROR(__xludf.DUMMYFUNCTION("""COMPUTED_VALUE"""),"2025-09-15T10:19:20.206+08")</f>
        <v>2025-09-15T10:19:20.206+08</v>
      </c>
      <c r="D644" s="2" t="str">
        <f>IFERROR(__xludf.DUMMYFUNCTION("""COMPUTED_VALUE"""),"H006422018")</f>
        <v>H006422018</v>
      </c>
      <c r="E644" s="2" t="str">
        <f>IFERROR(__xludf.DUMMYFUNCTION("""COMPUTED_VALUE"""),"J4315980")</f>
        <v>J4315980</v>
      </c>
      <c r="F644" s="2" t="str">
        <f>IFERROR(__xludf.DUMMYFUNCTION("""COMPUTED_VALUE"""),"Trixie Marie Jardeleza Saber")</f>
        <v>Trixie Marie Jardeleza Saber</v>
      </c>
      <c r="G644" s="2"/>
      <c r="H644" s="2"/>
      <c r="I644" s="2" t="str">
        <f>IFERROR(__xludf.DUMMYFUNCTION("""COMPUTED_VALUE"""),"ICM_Business_linked_launch")</f>
        <v>ICM_Business_linked_launch</v>
      </c>
      <c r="J644" s="2" t="str">
        <f>IFERROR(__xludf.DUMMYFUNCTION("""COMPUTED_VALUE"""),"uuid:baf868e7-b75e-4e2a-b194-d7e7349b4745")</f>
        <v>uuid:baf868e7-b75e-4e2a-b194-d7e7349b4745</v>
      </c>
    </row>
    <row r="645">
      <c r="A645" s="2" t="str">
        <f>IFERROR(__xludf.DUMMYFUNCTION("""COMPUTED_VALUE"""),"2025-09-15T12:07:06.427Z")</f>
        <v>2025-09-15T12:07:06.427Z</v>
      </c>
      <c r="B645" s="2" t="str">
        <f>IFERROR(__xludf.DUMMYFUNCTION("""COMPUTED_VALUE"""),"2025-09-15T11:07:38.101+08")</f>
        <v>2025-09-15T11:07:38.101+08</v>
      </c>
      <c r="C645" s="2" t="str">
        <f>IFERROR(__xludf.DUMMYFUNCTION("""COMPUTED_VALUE"""),"2025-09-15T11:12:16.538+08")</f>
        <v>2025-09-15T11:12:16.538+08</v>
      </c>
      <c r="D645" s="2" t="str">
        <f>IFERROR(__xludf.DUMMYFUNCTION("""COMPUTED_VALUE"""),"H006422021")</f>
        <v>H006422021</v>
      </c>
      <c r="E645" s="2" t="str">
        <f>IFERROR(__xludf.DUMMYFUNCTION("""COMPUTED_VALUE"""),"J4315980")</f>
        <v>J4315980</v>
      </c>
      <c r="F645" s="2" t="str">
        <f>IFERROR(__xludf.DUMMYFUNCTION("""COMPUTED_VALUE"""),"Trixie Marie Jardeleza Saber")</f>
        <v>Trixie Marie Jardeleza Saber</v>
      </c>
      <c r="G645" s="2"/>
      <c r="H645" s="2"/>
      <c r="I645" s="2" t="str">
        <f>IFERROR(__xludf.DUMMYFUNCTION("""COMPUTED_VALUE"""),"ICM_Business_linked_launch")</f>
        <v>ICM_Business_linked_launch</v>
      </c>
      <c r="J645" s="2" t="str">
        <f>IFERROR(__xludf.DUMMYFUNCTION("""COMPUTED_VALUE"""),"uuid:897a75f4-450a-471a-9e3f-4eb67e4d3b03")</f>
        <v>uuid:897a75f4-450a-471a-9e3f-4eb67e4d3b03</v>
      </c>
    </row>
    <row r="646">
      <c r="A646" s="2" t="str">
        <f>IFERROR(__xludf.DUMMYFUNCTION("""COMPUTED_VALUE"""),"2025-09-16T04:58:52.620Z")</f>
        <v>2025-09-16T04:58:52.620Z</v>
      </c>
      <c r="B646" s="2" t="str">
        <f>IFERROR(__xludf.DUMMYFUNCTION("""COMPUTED_VALUE"""),"2025-09-16T09:58:00.803+08")</f>
        <v>2025-09-16T09:58:00.803+08</v>
      </c>
      <c r="C646" s="2" t="str">
        <f>IFERROR(__xludf.DUMMYFUNCTION("""COMPUTED_VALUE"""),"2025-09-16T10:07:41.389+08")</f>
        <v>2025-09-16T10:07:41.389+08</v>
      </c>
      <c r="D646" s="2" t="str">
        <f>IFERROR(__xludf.DUMMYFUNCTION("""COMPUTED_VALUE"""),"H006809021")</f>
        <v>H006809021</v>
      </c>
      <c r="E646" s="2" t="str">
        <f>IFERROR(__xludf.DUMMYFUNCTION("""COMPUTED_VALUE"""),"N7814260")</f>
        <v>N7814260</v>
      </c>
      <c r="F646" s="2" t="str">
        <f>IFERROR(__xludf.DUMMYFUNCTION("""COMPUTED_VALUE"""),"Jemma Marie Tillo")</f>
        <v>Jemma Marie Tillo</v>
      </c>
      <c r="G646" s="2"/>
      <c r="H646" s="2"/>
      <c r="I646" s="2" t="str">
        <f>IFERROR(__xludf.DUMMYFUNCTION("""COMPUTED_VALUE"""),"ICM_Business_linked_launch")</f>
        <v>ICM_Business_linked_launch</v>
      </c>
      <c r="J646" s="2" t="str">
        <f>IFERROR(__xludf.DUMMYFUNCTION("""COMPUTED_VALUE"""),"uuid:ffca805a-e0ef-4f92-9c20-577a45f12b01")</f>
        <v>uuid:ffca805a-e0ef-4f92-9c20-577a45f12b01</v>
      </c>
    </row>
    <row r="647">
      <c r="A647" s="2" t="str">
        <f>IFERROR(__xludf.DUMMYFUNCTION("""COMPUTED_VALUE"""),"2025-09-16T04:58:54.052Z")</f>
        <v>2025-09-16T04:58:54.052Z</v>
      </c>
      <c r="B647" s="2" t="str">
        <f>IFERROR(__xludf.DUMMYFUNCTION("""COMPUTED_VALUE"""),"2025-09-16T11:37:38.997+08")</f>
        <v>2025-09-16T11:37:38.997+08</v>
      </c>
      <c r="C647" s="2" t="str">
        <f>IFERROR(__xludf.DUMMYFUNCTION("""COMPUTED_VALUE"""),"2025-09-16T11:42:35.128+08")</f>
        <v>2025-09-16T11:42:35.128+08</v>
      </c>
      <c r="D647" s="2" t="str">
        <f>IFERROR(__xludf.DUMMYFUNCTION("""COMPUTED_VALUE"""),"H006809086")</f>
        <v>H006809086</v>
      </c>
      <c r="E647" s="2" t="str">
        <f>IFERROR(__xludf.DUMMYFUNCTION("""COMPUTED_VALUE"""),"N7814260")</f>
        <v>N7814260</v>
      </c>
      <c r="F647" s="2" t="str">
        <f>IFERROR(__xludf.DUMMYFUNCTION("""COMPUTED_VALUE"""),"Jemma Marie Tillo")</f>
        <v>Jemma Marie Tillo</v>
      </c>
      <c r="G647" s="2"/>
      <c r="H647" s="2"/>
      <c r="I647" s="2" t="str">
        <f>IFERROR(__xludf.DUMMYFUNCTION("""COMPUTED_VALUE"""),"ICM_Business_linked_launch")</f>
        <v>ICM_Business_linked_launch</v>
      </c>
      <c r="J647" s="2" t="str">
        <f>IFERROR(__xludf.DUMMYFUNCTION("""COMPUTED_VALUE"""),"uuid:fcd08760-a51e-4639-a8e8-96be6a17df6d")</f>
        <v>uuid:fcd08760-a51e-4639-a8e8-96be6a17df6d</v>
      </c>
    </row>
    <row r="648">
      <c r="A648" s="2" t="str">
        <f>IFERROR(__xludf.DUMMYFUNCTION("""COMPUTED_VALUE"""),"2025-09-16T09:39:58.471Z")</f>
        <v>2025-09-16T09:39:58.471Z</v>
      </c>
      <c r="B648" s="2" t="str">
        <f>IFERROR(__xludf.DUMMYFUNCTION("""COMPUTED_VALUE"""),"2025-09-16T10:35:49.685+08")</f>
        <v>2025-09-16T10:35:49.685+08</v>
      </c>
      <c r="C648" s="2" t="str">
        <f>IFERROR(__xludf.DUMMYFUNCTION("""COMPUTED_VALUE"""),"2025-09-16T10:58:06.355+08")</f>
        <v>2025-09-16T10:58:06.355+08</v>
      </c>
      <c r="D648" s="2" t="str">
        <f>IFERROR(__xludf.DUMMYFUNCTION("""COMPUTED_VALUE"""),"H004042029")</f>
        <v>H004042029</v>
      </c>
      <c r="E648" s="2">
        <f>IFERROR(__xludf.DUMMYFUNCTION("""COMPUTED_VALUE"""),841329.0)</f>
        <v>841329</v>
      </c>
      <c r="F648" s="2" t="str">
        <f>IFERROR(__xludf.DUMMYFUNCTION("""COMPUTED_VALUE"""),"Aila Eli_2")</f>
        <v>Aila Eli_2</v>
      </c>
      <c r="G648" s="2"/>
      <c r="H648" s="2"/>
      <c r="I648" s="2" t="str">
        <f>IFERROR(__xludf.DUMMYFUNCTION("""COMPUTED_VALUE"""),"ICM_Business_linked_launch")</f>
        <v>ICM_Business_linked_launch</v>
      </c>
      <c r="J648" s="2" t="str">
        <f>IFERROR(__xludf.DUMMYFUNCTION("""COMPUTED_VALUE"""),"uuid:c7eaa751-169a-4e34-a3df-0d83687373b9")</f>
        <v>uuid:c7eaa751-169a-4e34-a3df-0d83687373b9</v>
      </c>
    </row>
    <row r="649">
      <c r="A649" s="2" t="str">
        <f>IFERROR(__xludf.DUMMYFUNCTION("""COMPUTED_VALUE"""),"2025-09-16T09:39:59.978Z")</f>
        <v>2025-09-16T09:39:59.978Z</v>
      </c>
      <c r="B649" s="2" t="str">
        <f>IFERROR(__xludf.DUMMYFUNCTION("""COMPUTED_VALUE"""),"2025-09-16T12:02:04.818+08")</f>
        <v>2025-09-16T12:02:04.818+08</v>
      </c>
      <c r="C649" s="2" t="str">
        <f>IFERROR(__xludf.DUMMYFUNCTION("""COMPUTED_VALUE"""),"2025-09-16T12:09:19.960+08")</f>
        <v>2025-09-16T12:09:19.960+08</v>
      </c>
      <c r="D649" s="2" t="str">
        <f>IFERROR(__xludf.DUMMYFUNCTION("""COMPUTED_VALUE"""),"H004042032")</f>
        <v>H004042032</v>
      </c>
      <c r="E649" s="2">
        <f>IFERROR(__xludf.DUMMYFUNCTION("""COMPUTED_VALUE"""),841329.0)</f>
        <v>841329</v>
      </c>
      <c r="F649" s="2" t="str">
        <f>IFERROR(__xludf.DUMMYFUNCTION("""COMPUTED_VALUE"""),"Aila Eli_2")</f>
        <v>Aila Eli_2</v>
      </c>
      <c r="G649" s="2"/>
      <c r="H649" s="2"/>
      <c r="I649" s="2" t="str">
        <f>IFERROR(__xludf.DUMMYFUNCTION("""COMPUTED_VALUE"""),"ICM_Business_linked_launch")</f>
        <v>ICM_Business_linked_launch</v>
      </c>
      <c r="J649" s="2" t="str">
        <f>IFERROR(__xludf.DUMMYFUNCTION("""COMPUTED_VALUE"""),"uuid:a9b864cc-bfab-444d-a40d-4d9caf003f0f")</f>
        <v>uuid:a9b864cc-bfab-444d-a40d-4d9caf003f0f</v>
      </c>
    </row>
    <row r="650">
      <c r="A650" s="2" t="str">
        <f>IFERROR(__xludf.DUMMYFUNCTION("""COMPUTED_VALUE"""),"2025-09-16T09:40:01.682Z")</f>
        <v>2025-09-16T09:40:01.682Z</v>
      </c>
      <c r="B650" s="2" t="str">
        <f>IFERROR(__xludf.DUMMYFUNCTION("""COMPUTED_VALUE"""),"2025-09-16T14:26:56.706+08")</f>
        <v>2025-09-16T14:26:56.706+08</v>
      </c>
      <c r="C650" s="2" t="str">
        <f>IFERROR(__xludf.DUMMYFUNCTION("""COMPUTED_VALUE"""),"2025-09-16T14:34:55.966+08")</f>
        <v>2025-09-16T14:34:55.966+08</v>
      </c>
      <c r="D650" s="2" t="str">
        <f>IFERROR(__xludf.DUMMYFUNCTION("""COMPUTED_VALUE"""),"H004042030")</f>
        <v>H004042030</v>
      </c>
      <c r="E650" s="2">
        <f>IFERROR(__xludf.DUMMYFUNCTION("""COMPUTED_VALUE"""),841329.0)</f>
        <v>841329</v>
      </c>
      <c r="F650" s="2" t="str">
        <f>IFERROR(__xludf.DUMMYFUNCTION("""COMPUTED_VALUE"""),"Aila Eli_2")</f>
        <v>Aila Eli_2</v>
      </c>
      <c r="G650" s="2"/>
      <c r="H650" s="2"/>
      <c r="I650" s="2" t="str">
        <f>IFERROR(__xludf.DUMMYFUNCTION("""COMPUTED_VALUE"""),"ICM_Business_linked_launch")</f>
        <v>ICM_Business_linked_launch</v>
      </c>
      <c r="J650" s="2" t="str">
        <f>IFERROR(__xludf.DUMMYFUNCTION("""COMPUTED_VALUE"""),"uuid:3aef059c-5ec2-4496-879b-ea87be89f9d7")</f>
        <v>uuid:3aef059c-5ec2-4496-879b-ea87be89f9d7</v>
      </c>
    </row>
    <row r="651">
      <c r="A651" s="2" t="str">
        <f>IFERROR(__xludf.DUMMYFUNCTION("""COMPUTED_VALUE"""),"2025-09-16T09:40:02.436Z")</f>
        <v>2025-09-16T09:40:02.436Z</v>
      </c>
      <c r="B651" s="2" t="str">
        <f>IFERROR(__xludf.DUMMYFUNCTION("""COMPUTED_VALUE"""),"2025-09-16T15:52:48.818+08")</f>
        <v>2025-09-16T15:52:48.818+08</v>
      </c>
      <c r="C651" s="2" t="str">
        <f>IFERROR(__xludf.DUMMYFUNCTION("""COMPUTED_VALUE"""),"2025-09-16T16:01:33.065+08")</f>
        <v>2025-09-16T16:01:33.065+08</v>
      </c>
      <c r="D651" s="2" t="str">
        <f>IFERROR(__xludf.DUMMYFUNCTION("""COMPUTED_VALUE"""),"H004042024")</f>
        <v>H004042024</v>
      </c>
      <c r="E651" s="2">
        <f>IFERROR(__xludf.DUMMYFUNCTION("""COMPUTED_VALUE"""),841329.0)</f>
        <v>841329</v>
      </c>
      <c r="F651" s="2" t="str">
        <f>IFERROR(__xludf.DUMMYFUNCTION("""COMPUTED_VALUE"""),"Aila Eli_2")</f>
        <v>Aila Eli_2</v>
      </c>
      <c r="G651" s="2"/>
      <c r="H651" s="2"/>
      <c r="I651" s="2" t="str">
        <f>IFERROR(__xludf.DUMMYFUNCTION("""COMPUTED_VALUE"""),"ICM_Business_linked_launch")</f>
        <v>ICM_Business_linked_launch</v>
      </c>
      <c r="J651" s="2" t="str">
        <f>IFERROR(__xludf.DUMMYFUNCTION("""COMPUTED_VALUE"""),"uuid:8eb4fc99-9531-4b24-93b0-99423d0e354c")</f>
        <v>uuid:8eb4fc99-9531-4b24-93b0-99423d0e354c</v>
      </c>
    </row>
    <row r="652">
      <c r="A652" s="2" t="str">
        <f>IFERROR(__xludf.DUMMYFUNCTION("""COMPUTED_VALUE"""),"2025-09-16T09:50:13.730Z")</f>
        <v>2025-09-16T09:50:13.730Z</v>
      </c>
      <c r="B652" s="2" t="str">
        <f>IFERROR(__xludf.DUMMYFUNCTION("""COMPUTED_VALUE"""),"2025-09-16T16:02:20.638+08")</f>
        <v>2025-09-16T16:02:20.638+08</v>
      </c>
      <c r="C652" s="2" t="str">
        <f>IFERROR(__xludf.DUMMYFUNCTION("""COMPUTED_VALUE"""),"2025-09-16T17:30:00.502+08")</f>
        <v>2025-09-16T17:30:00.502+08</v>
      </c>
      <c r="D652" s="2" t="str">
        <f>IFERROR(__xludf.DUMMYFUNCTION("""COMPUTED_VALUE"""),"H004042080")</f>
        <v>H004042080</v>
      </c>
      <c r="E652" s="2">
        <f>IFERROR(__xludf.DUMMYFUNCTION("""COMPUTED_VALUE"""),555127.0)</f>
        <v>555127</v>
      </c>
      <c r="F652" s="2" t="str">
        <f>IFERROR(__xludf.DUMMYFUNCTION("""COMPUTED_VALUE"""),"Mary May_2")</f>
        <v>Mary May_2</v>
      </c>
      <c r="G652" s="2"/>
      <c r="H652" s="2"/>
      <c r="I652" s="2" t="str">
        <f>IFERROR(__xludf.DUMMYFUNCTION("""COMPUTED_VALUE"""),"ICM_Business_linked_launch")</f>
        <v>ICM_Business_linked_launch</v>
      </c>
      <c r="J652" s="2" t="str">
        <f>IFERROR(__xludf.DUMMYFUNCTION("""COMPUTED_VALUE"""),"uuid:51dfab83-5850-4388-b0b0-81d39ef6c462")</f>
        <v>uuid:51dfab83-5850-4388-b0b0-81d39ef6c462</v>
      </c>
    </row>
    <row r="653">
      <c r="A653" s="2" t="str">
        <f>IFERROR(__xludf.DUMMYFUNCTION("""COMPUTED_VALUE"""),"2025-09-16T09:50:15.174Z")</f>
        <v>2025-09-16T09:50:15.174Z</v>
      </c>
      <c r="B653" s="2" t="str">
        <f>IFERROR(__xludf.DUMMYFUNCTION("""COMPUTED_VALUE"""),"2025-09-16T11:02:50.874+08")</f>
        <v>2025-09-16T11:02:50.874+08</v>
      </c>
      <c r="C653" s="2" t="str">
        <f>IFERROR(__xludf.DUMMYFUNCTION("""COMPUTED_VALUE"""),"2025-09-16T17:35:07.144+08")</f>
        <v>2025-09-16T17:35:07.144+08</v>
      </c>
      <c r="D653" s="2" t="str">
        <f>IFERROR(__xludf.DUMMYFUNCTION("""COMPUTED_VALUE"""),"H004042027")</f>
        <v>H004042027</v>
      </c>
      <c r="E653" s="2">
        <f>IFERROR(__xludf.DUMMYFUNCTION("""COMPUTED_VALUE"""),555127.0)</f>
        <v>555127</v>
      </c>
      <c r="F653" s="2" t="str">
        <f>IFERROR(__xludf.DUMMYFUNCTION("""COMPUTED_VALUE"""),"Mary May_2")</f>
        <v>Mary May_2</v>
      </c>
      <c r="G653" s="2"/>
      <c r="H653" s="2"/>
      <c r="I653" s="2" t="str">
        <f>IFERROR(__xludf.DUMMYFUNCTION("""COMPUTED_VALUE"""),"ICM_Business_linked_launch")</f>
        <v>ICM_Business_linked_launch</v>
      </c>
      <c r="J653" s="2" t="str">
        <f>IFERROR(__xludf.DUMMYFUNCTION("""COMPUTED_VALUE"""),"uuid:8d0a57ac-006c-4fb7-b86c-4320459191eb")</f>
        <v>uuid:8d0a57ac-006c-4fb7-b86c-4320459191eb</v>
      </c>
    </row>
    <row r="654">
      <c r="A654" s="2" t="str">
        <f>IFERROR(__xludf.DUMMYFUNCTION("""COMPUTED_VALUE"""),"2025-09-16T09:50:16.994Z")</f>
        <v>2025-09-16T09:50:16.994Z</v>
      </c>
      <c r="B654" s="2" t="str">
        <f>IFERROR(__xludf.DUMMYFUNCTION("""COMPUTED_VALUE"""),"2025-09-16T12:33:39.920+08")</f>
        <v>2025-09-16T12:33:39.920+08</v>
      </c>
      <c r="C654" s="2" t="str">
        <f>IFERROR(__xludf.DUMMYFUNCTION("""COMPUTED_VALUE"""),"2025-09-16T12:44:10.791+08")</f>
        <v>2025-09-16T12:44:10.791+08</v>
      </c>
      <c r="D654" s="2" t="str">
        <f>IFERROR(__xludf.DUMMYFUNCTION("""COMPUTED_VALUE"""),"H004042081")</f>
        <v>H004042081</v>
      </c>
      <c r="E654" s="2">
        <f>IFERROR(__xludf.DUMMYFUNCTION("""COMPUTED_VALUE"""),555127.0)</f>
        <v>555127</v>
      </c>
      <c r="F654" s="2" t="str">
        <f>IFERROR(__xludf.DUMMYFUNCTION("""COMPUTED_VALUE"""),"Mary May_2")</f>
        <v>Mary May_2</v>
      </c>
      <c r="G654" s="2"/>
      <c r="H654" s="2"/>
      <c r="I654" s="2" t="str">
        <f>IFERROR(__xludf.DUMMYFUNCTION("""COMPUTED_VALUE"""),"ICM_Business_linked_launch")</f>
        <v>ICM_Business_linked_launch</v>
      </c>
      <c r="J654" s="2" t="str">
        <f>IFERROR(__xludf.DUMMYFUNCTION("""COMPUTED_VALUE"""),"uuid:e6de4683-50f8-4437-82d9-5f40d3f8428b")</f>
        <v>uuid:e6de4683-50f8-4437-82d9-5f40d3f8428b</v>
      </c>
    </row>
    <row r="655">
      <c r="A655" s="2" t="str">
        <f>IFERROR(__xludf.DUMMYFUNCTION("""COMPUTED_VALUE"""),"2025-09-16T09:50:18.030Z")</f>
        <v>2025-09-16T09:50:18.030Z</v>
      </c>
      <c r="B655" s="2" t="str">
        <f>IFERROR(__xludf.DUMMYFUNCTION("""COMPUTED_VALUE"""),"2025-09-16T14:14:27.825+08")</f>
        <v>2025-09-16T14:14:27.825+08</v>
      </c>
      <c r="C655" s="2" t="str">
        <f>IFERROR(__xludf.DUMMYFUNCTION("""COMPUTED_VALUE"""),"2025-09-16T14:23:11.367+08")</f>
        <v>2025-09-16T14:23:11.367+08</v>
      </c>
      <c r="D655" s="2" t="str">
        <f>IFERROR(__xludf.DUMMYFUNCTION("""COMPUTED_VALUE"""),"H004042021")</f>
        <v>H004042021</v>
      </c>
      <c r="E655" s="2">
        <f>IFERROR(__xludf.DUMMYFUNCTION("""COMPUTED_VALUE"""),555127.0)</f>
        <v>555127</v>
      </c>
      <c r="F655" s="2" t="str">
        <f>IFERROR(__xludf.DUMMYFUNCTION("""COMPUTED_VALUE"""),"Mary May_2")</f>
        <v>Mary May_2</v>
      </c>
      <c r="G655" s="2"/>
      <c r="H655" s="2"/>
      <c r="I655" s="2" t="str">
        <f>IFERROR(__xludf.DUMMYFUNCTION("""COMPUTED_VALUE"""),"ICM_Business_linked_launch")</f>
        <v>ICM_Business_linked_launch</v>
      </c>
      <c r="J655" s="2" t="str">
        <f>IFERROR(__xludf.DUMMYFUNCTION("""COMPUTED_VALUE"""),"uuid:da6c6aba-f862-4b84-90ec-3549baaf6fc0")</f>
        <v>uuid:da6c6aba-f862-4b84-90ec-3549baaf6fc0</v>
      </c>
    </row>
    <row r="656">
      <c r="A656" s="2" t="str">
        <f>IFERROR(__xludf.DUMMYFUNCTION("""COMPUTED_VALUE"""),"2025-09-16T09:54:05.023Z")</f>
        <v>2025-09-16T09:54:05.023Z</v>
      </c>
      <c r="B656" s="2" t="str">
        <f>IFERROR(__xludf.DUMMYFUNCTION("""COMPUTED_VALUE"""),"2025-09-16T10:47:29.884+08")</f>
        <v>2025-09-16T10:47:29.884+08</v>
      </c>
      <c r="C656" s="2" t="str">
        <f>IFERROR(__xludf.DUMMYFUNCTION("""COMPUTED_VALUE"""),"2025-09-16T10:51:29.587+08")</f>
        <v>2025-09-16T10:51:29.587+08</v>
      </c>
      <c r="D656" s="2" t="str">
        <f>IFERROR(__xludf.DUMMYFUNCTION("""COMPUTED_VALUE"""),"H004042020")</f>
        <v>H004042020</v>
      </c>
      <c r="E656" s="2">
        <f>IFERROR(__xludf.DUMMYFUNCTION("""COMPUTED_VALUE"""),455939.0)</f>
        <v>455939</v>
      </c>
      <c r="F656" s="2" t="str">
        <f>IFERROR(__xludf.DUMMYFUNCTION("""COMPUTED_VALUE"""),"Mary Jean Villaflor_2")</f>
        <v>Mary Jean Villaflor_2</v>
      </c>
      <c r="G656" s="2"/>
      <c r="H656" s="2"/>
      <c r="I656" s="2" t="str">
        <f>IFERROR(__xludf.DUMMYFUNCTION("""COMPUTED_VALUE"""),"ICM_Business_linked_launch")</f>
        <v>ICM_Business_linked_launch</v>
      </c>
      <c r="J656" s="2" t="str">
        <f>IFERROR(__xludf.DUMMYFUNCTION("""COMPUTED_VALUE"""),"uuid:9b26da66-6992-4eb7-a93d-e1f8cb7ba0a6")</f>
        <v>uuid:9b26da66-6992-4eb7-a93d-e1f8cb7ba0a6</v>
      </c>
    </row>
    <row r="657">
      <c r="A657" s="2" t="str">
        <f>IFERROR(__xludf.DUMMYFUNCTION("""COMPUTED_VALUE"""),"2025-09-16T09:54:06.683Z")</f>
        <v>2025-09-16T09:54:06.683Z</v>
      </c>
      <c r="B657" s="2" t="str">
        <f>IFERROR(__xludf.DUMMYFUNCTION("""COMPUTED_VALUE"""),"2025-09-16T12:56:58.870+08")</f>
        <v>2025-09-16T12:56:58.870+08</v>
      </c>
      <c r="C657" s="2" t="str">
        <f>IFERROR(__xludf.DUMMYFUNCTION("""COMPUTED_VALUE"""),"2025-09-16T12:59:55.752+08")</f>
        <v>2025-09-16T12:59:55.752+08</v>
      </c>
      <c r="D657" s="2" t="str">
        <f>IFERROR(__xludf.DUMMYFUNCTION("""COMPUTED_VALUE"""),"H004042025")</f>
        <v>H004042025</v>
      </c>
      <c r="E657" s="2">
        <f>IFERROR(__xludf.DUMMYFUNCTION("""COMPUTED_VALUE"""),455939.0)</f>
        <v>455939</v>
      </c>
      <c r="F657" s="2" t="str">
        <f>IFERROR(__xludf.DUMMYFUNCTION("""COMPUTED_VALUE"""),"Mary Jean Villaflor_2")</f>
        <v>Mary Jean Villaflor_2</v>
      </c>
      <c r="G657" s="2"/>
      <c r="H657" s="2"/>
      <c r="I657" s="2" t="str">
        <f>IFERROR(__xludf.DUMMYFUNCTION("""COMPUTED_VALUE"""),"ICM_Business_linked_launch")</f>
        <v>ICM_Business_linked_launch</v>
      </c>
      <c r="J657" s="2" t="str">
        <f>IFERROR(__xludf.DUMMYFUNCTION("""COMPUTED_VALUE"""),"uuid:120cd22f-db15-4dbd-bae9-6acee99f0d63")</f>
        <v>uuid:120cd22f-db15-4dbd-bae9-6acee99f0d63</v>
      </c>
    </row>
    <row r="658">
      <c r="A658" s="2" t="str">
        <f>IFERROR(__xludf.DUMMYFUNCTION("""COMPUTED_VALUE"""),"2025-09-16T09:54:08.490Z")</f>
        <v>2025-09-16T09:54:08.490Z</v>
      </c>
      <c r="B658" s="2" t="str">
        <f>IFERROR(__xludf.DUMMYFUNCTION("""COMPUTED_VALUE"""),"2025-09-16T14:06:28.320+08")</f>
        <v>2025-09-16T14:06:28.320+08</v>
      </c>
      <c r="C658" s="2" t="str">
        <f>IFERROR(__xludf.DUMMYFUNCTION("""COMPUTED_VALUE"""),"2025-09-16T14:12:41.277+08")</f>
        <v>2025-09-16T14:12:41.277+08</v>
      </c>
      <c r="D658" s="2" t="str">
        <f>IFERROR(__xludf.DUMMYFUNCTION("""COMPUTED_VALUE"""),"H004042015")</f>
        <v>H004042015</v>
      </c>
      <c r="E658" s="2">
        <f>IFERROR(__xludf.DUMMYFUNCTION("""COMPUTED_VALUE"""),455939.0)</f>
        <v>455939</v>
      </c>
      <c r="F658" s="2" t="str">
        <f>IFERROR(__xludf.DUMMYFUNCTION("""COMPUTED_VALUE"""),"Mary Jean Villaflor_2")</f>
        <v>Mary Jean Villaflor_2</v>
      </c>
      <c r="G658" s="2"/>
      <c r="H658" s="2"/>
      <c r="I658" s="2" t="str">
        <f>IFERROR(__xludf.DUMMYFUNCTION("""COMPUTED_VALUE"""),"ICM_Business_linked_launch")</f>
        <v>ICM_Business_linked_launch</v>
      </c>
      <c r="J658" s="2" t="str">
        <f>IFERROR(__xludf.DUMMYFUNCTION("""COMPUTED_VALUE"""),"uuid:bfa0db1a-ac00-464d-b471-606ab01b395b")</f>
        <v>uuid:bfa0db1a-ac00-464d-b471-606ab01b395b</v>
      </c>
    </row>
    <row r="659">
      <c r="A659" s="2" t="str">
        <f>IFERROR(__xludf.DUMMYFUNCTION("""COMPUTED_VALUE"""),"2025-09-16T09:54:09.171Z")</f>
        <v>2025-09-16T09:54:09.171Z</v>
      </c>
      <c r="B659" s="2" t="str">
        <f>IFERROR(__xludf.DUMMYFUNCTION("""COMPUTED_VALUE"""),"2025-09-16T11:40:54.683+08")</f>
        <v>2025-09-16T11:40:54.683+08</v>
      </c>
      <c r="C659" s="2" t="str">
        <f>IFERROR(__xludf.DUMMYFUNCTION("""COMPUTED_VALUE"""),"2025-09-16T17:47:25.823+08")</f>
        <v>2025-09-16T17:47:25.823+08</v>
      </c>
      <c r="D659" s="2" t="str">
        <f>IFERROR(__xludf.DUMMYFUNCTION("""COMPUTED_VALUE"""),"H004042019")</f>
        <v>H004042019</v>
      </c>
      <c r="E659" s="2">
        <f>IFERROR(__xludf.DUMMYFUNCTION("""COMPUTED_VALUE"""),455939.0)</f>
        <v>455939</v>
      </c>
      <c r="F659" s="2" t="str">
        <f>IFERROR(__xludf.DUMMYFUNCTION("""COMPUTED_VALUE"""),"Mary Jean Villaflor_2")</f>
        <v>Mary Jean Villaflor_2</v>
      </c>
      <c r="G659" s="2"/>
      <c r="H659" s="2"/>
      <c r="I659" s="2" t="str">
        <f>IFERROR(__xludf.DUMMYFUNCTION("""COMPUTED_VALUE"""),"ICM_Business_linked_launch")</f>
        <v>ICM_Business_linked_launch</v>
      </c>
      <c r="J659" s="2" t="str">
        <f>IFERROR(__xludf.DUMMYFUNCTION("""COMPUTED_VALUE"""),"uuid:856bbd1b-769c-4505-bf76-ffb1aa98f23e")</f>
        <v>uuid:856bbd1b-769c-4505-bf76-ffb1aa98f23e</v>
      </c>
    </row>
    <row r="660">
      <c r="A660" s="2" t="str">
        <f>IFERROR(__xludf.DUMMYFUNCTION("""COMPUTED_VALUE"""),"2025-09-16T10:27:14.101Z")</f>
        <v>2025-09-16T10:27:14.101Z</v>
      </c>
      <c r="B660" s="2" t="str">
        <f>IFERROR(__xludf.DUMMYFUNCTION("""COMPUTED_VALUE"""),"2025-09-16T14:02:00.449+08")</f>
        <v>2025-09-16T14:02:00.449+08</v>
      </c>
      <c r="C660" s="2" t="str">
        <f>IFERROR(__xludf.DUMMYFUNCTION("""COMPUTED_VALUE"""),"2025-09-16T14:06:58.542+08")</f>
        <v>2025-09-16T14:06:58.542+08</v>
      </c>
      <c r="D660" s="2" t="str">
        <f>IFERROR(__xludf.DUMMYFUNCTION("""COMPUTED_VALUE"""),"H006809087")</f>
        <v>H006809087</v>
      </c>
      <c r="E660" s="2" t="str">
        <f>IFERROR(__xludf.DUMMYFUNCTION("""COMPUTED_VALUE"""),"N7814260")</f>
        <v>N7814260</v>
      </c>
      <c r="F660" s="2" t="str">
        <f>IFERROR(__xludf.DUMMYFUNCTION("""COMPUTED_VALUE"""),"Jemma Marie Tillo")</f>
        <v>Jemma Marie Tillo</v>
      </c>
      <c r="G660" s="2"/>
      <c r="H660" s="2"/>
      <c r="I660" s="2" t="str">
        <f>IFERROR(__xludf.DUMMYFUNCTION("""COMPUTED_VALUE"""),"ICM_Business_linked_launch")</f>
        <v>ICM_Business_linked_launch</v>
      </c>
      <c r="J660" s="2" t="str">
        <f>IFERROR(__xludf.DUMMYFUNCTION("""COMPUTED_VALUE"""),"uuid:0c792d9d-4435-4bb8-a3fa-0a1b54539c48")</f>
        <v>uuid:0c792d9d-4435-4bb8-a3fa-0a1b54539c48</v>
      </c>
    </row>
    <row r="661">
      <c r="A661" s="2" t="str">
        <f>IFERROR(__xludf.DUMMYFUNCTION("""COMPUTED_VALUE"""),"2025-09-16T10:43:36.742Z")</f>
        <v>2025-09-16T10:43:36.742Z</v>
      </c>
      <c r="B661" s="2" t="str">
        <f>IFERROR(__xludf.DUMMYFUNCTION("""COMPUTED_VALUE"""),"2025-09-16T10:17:04.945+08")</f>
        <v>2025-09-16T10:17:04.945+08</v>
      </c>
      <c r="C661" s="2" t="str">
        <f>IFERROR(__xludf.DUMMYFUNCTION("""COMPUTED_VALUE"""),"2025-09-16T10:32:01.460+08")</f>
        <v>2025-09-16T10:32:01.460+08</v>
      </c>
      <c r="D661" s="2" t="str">
        <f>IFERROR(__xludf.DUMMYFUNCTION("""COMPUTED_VALUE"""),"H030310033")</f>
        <v>H030310033</v>
      </c>
      <c r="E661" s="2" t="str">
        <f>IFERROR(__xludf.DUMMYFUNCTION("""COMPUTED_VALUE"""),"F3051749")</f>
        <v>F3051749</v>
      </c>
      <c r="F661" s="2" t="str">
        <f>IFERROR(__xludf.DUMMYFUNCTION("""COMPUTED_VALUE"""),"Elenita Gicos De La Pe�a")</f>
        <v>Elenita Gicos De La Pe�a</v>
      </c>
      <c r="G661" s="2"/>
      <c r="H661" s="2"/>
      <c r="I661" s="2" t="str">
        <f>IFERROR(__xludf.DUMMYFUNCTION("""COMPUTED_VALUE"""),"ICM_Business_linked_launch")</f>
        <v>ICM_Business_linked_launch</v>
      </c>
      <c r="J661" s="2" t="str">
        <f>IFERROR(__xludf.DUMMYFUNCTION("""COMPUTED_VALUE"""),"uuid:8bb5389f-2f41-4ff5-98ae-a28ad50e9447")</f>
        <v>uuid:8bb5389f-2f41-4ff5-98ae-a28ad50e9447</v>
      </c>
    </row>
    <row r="662">
      <c r="A662" s="2" t="str">
        <f>IFERROR(__xludf.DUMMYFUNCTION("""COMPUTED_VALUE"""),"2025-09-16T10:43:45.423Z")</f>
        <v>2025-09-16T10:43:45.423Z</v>
      </c>
      <c r="B662" s="2" t="str">
        <f>IFERROR(__xludf.DUMMYFUNCTION("""COMPUTED_VALUE"""),"2025-09-16T12:05:09.898+08")</f>
        <v>2025-09-16T12:05:09.898+08</v>
      </c>
      <c r="C662" s="2" t="str">
        <f>IFERROR(__xludf.DUMMYFUNCTION("""COMPUTED_VALUE"""),"2025-09-16T12:15:27.832+08")</f>
        <v>2025-09-16T12:15:27.832+08</v>
      </c>
      <c r="D662" s="2" t="str">
        <f>IFERROR(__xludf.DUMMYFUNCTION("""COMPUTED_VALUE"""),"H030310025")</f>
        <v>H030310025</v>
      </c>
      <c r="E662" s="2" t="str">
        <f>IFERROR(__xludf.DUMMYFUNCTION("""COMPUTED_VALUE"""),"F3051749")</f>
        <v>F3051749</v>
      </c>
      <c r="F662" s="2" t="str">
        <f>IFERROR(__xludf.DUMMYFUNCTION("""COMPUTED_VALUE"""),"Elenita Gicos De La Pe�a")</f>
        <v>Elenita Gicos De La Pe�a</v>
      </c>
      <c r="G662" s="2"/>
      <c r="H662" s="2"/>
      <c r="I662" s="2" t="str">
        <f>IFERROR(__xludf.DUMMYFUNCTION("""COMPUTED_VALUE"""),"ICM_Business_linked_launch")</f>
        <v>ICM_Business_linked_launch</v>
      </c>
      <c r="J662" s="2" t="str">
        <f>IFERROR(__xludf.DUMMYFUNCTION("""COMPUTED_VALUE"""),"uuid:49809772-5e8d-4e7c-9ec8-0bf4691d3345")</f>
        <v>uuid:49809772-5e8d-4e7c-9ec8-0bf4691d3345</v>
      </c>
    </row>
    <row r="663">
      <c r="A663" s="2" t="str">
        <f>IFERROR(__xludf.DUMMYFUNCTION("""COMPUTED_VALUE"""),"2025-09-16T10:43:52.349Z")</f>
        <v>2025-09-16T10:43:52.349Z</v>
      </c>
      <c r="B663" s="2" t="str">
        <f>IFERROR(__xludf.DUMMYFUNCTION("""COMPUTED_VALUE"""),"2025-09-16T13:55:10.610+08")</f>
        <v>2025-09-16T13:55:10.610+08</v>
      </c>
      <c r="C663" s="2" t="str">
        <f>IFERROR(__xludf.DUMMYFUNCTION("""COMPUTED_VALUE"""),"2025-09-16T14:26:38.733+08")</f>
        <v>2025-09-16T14:26:38.733+08</v>
      </c>
      <c r="D663" s="2" t="str">
        <f>IFERROR(__xludf.DUMMYFUNCTION("""COMPUTED_VALUE"""),"H030310021")</f>
        <v>H030310021</v>
      </c>
      <c r="E663" s="2" t="str">
        <f>IFERROR(__xludf.DUMMYFUNCTION("""COMPUTED_VALUE"""),"F3051749")</f>
        <v>F3051749</v>
      </c>
      <c r="F663" s="2" t="str">
        <f>IFERROR(__xludf.DUMMYFUNCTION("""COMPUTED_VALUE"""),"Elenita Gicos De La Pe�a")</f>
        <v>Elenita Gicos De La Pe�a</v>
      </c>
      <c r="G663" s="2"/>
      <c r="H663" s="2"/>
      <c r="I663" s="2" t="str">
        <f>IFERROR(__xludf.DUMMYFUNCTION("""COMPUTED_VALUE"""),"ICM_Business_linked_launch")</f>
        <v>ICM_Business_linked_launch</v>
      </c>
      <c r="J663" s="2" t="str">
        <f>IFERROR(__xludf.DUMMYFUNCTION("""COMPUTED_VALUE"""),"uuid:11dcd95e-e691-41bf-99db-19bcbc0f31d8")</f>
        <v>uuid:11dcd95e-e691-41bf-99db-19bcbc0f31d8</v>
      </c>
    </row>
    <row r="664">
      <c r="A664" s="2" t="str">
        <f>IFERROR(__xludf.DUMMYFUNCTION("""COMPUTED_VALUE"""),"2025-09-16T10:55:41.099Z")</f>
        <v>2025-09-16T10:55:41.099Z</v>
      </c>
      <c r="B664" s="2" t="str">
        <f>IFERROR(__xludf.DUMMYFUNCTION("""COMPUTED_VALUE"""),"2025-09-16T10:31:06.241+08")</f>
        <v>2025-09-16T10:31:06.241+08</v>
      </c>
      <c r="C664" s="2" t="str">
        <f>IFERROR(__xludf.DUMMYFUNCTION("""COMPUTED_VALUE"""),"2025-09-16T11:01:43.620+08")</f>
        <v>2025-09-16T11:01:43.620+08</v>
      </c>
      <c r="D664" s="2" t="str">
        <f>IFERROR(__xludf.DUMMYFUNCTION("""COMPUTED_VALUE"""),"H030310032")</f>
        <v>H030310032</v>
      </c>
      <c r="E664" s="2" t="str">
        <f>IFERROR(__xludf.DUMMYFUNCTION("""COMPUTED_VALUE"""),"G5472901")</f>
        <v>G5472901</v>
      </c>
      <c r="F664" s="2" t="str">
        <f>IFERROR(__xludf.DUMMYFUNCTION("""COMPUTED_VALUE"""),"Wellyn Grace Alaban Parcia")</f>
        <v>Wellyn Grace Alaban Parcia</v>
      </c>
      <c r="G664" s="2"/>
      <c r="H664" s="2"/>
      <c r="I664" s="2" t="str">
        <f>IFERROR(__xludf.DUMMYFUNCTION("""COMPUTED_VALUE"""),"ICM_Business_linked_launch")</f>
        <v>ICM_Business_linked_launch</v>
      </c>
      <c r="J664" s="2" t="str">
        <f>IFERROR(__xludf.DUMMYFUNCTION("""COMPUTED_VALUE"""),"uuid:fa94948b-615e-4a62-9fd7-8f77bc22d975")</f>
        <v>uuid:fa94948b-615e-4a62-9fd7-8f77bc22d975</v>
      </c>
    </row>
    <row r="665">
      <c r="A665" s="2" t="str">
        <f>IFERROR(__xludf.DUMMYFUNCTION("""COMPUTED_VALUE"""),"2025-09-16T10:55:43.619Z")</f>
        <v>2025-09-16T10:55:43.619Z</v>
      </c>
      <c r="B665" s="2" t="str">
        <f>IFERROR(__xludf.DUMMYFUNCTION("""COMPUTED_VALUE"""),"2025-09-16T12:55:53.154+08")</f>
        <v>2025-09-16T12:55:53.154+08</v>
      </c>
      <c r="C665" s="2" t="str">
        <f>IFERROR(__xludf.DUMMYFUNCTION("""COMPUTED_VALUE"""),"2025-09-16T13:06:59.706+08")</f>
        <v>2025-09-16T13:06:59.706+08</v>
      </c>
      <c r="D665" s="2" t="str">
        <f>IFERROR(__xludf.DUMMYFUNCTION("""COMPUTED_VALUE"""),"H030310028")</f>
        <v>H030310028</v>
      </c>
      <c r="E665" s="2" t="str">
        <f>IFERROR(__xludf.DUMMYFUNCTION("""COMPUTED_VALUE"""),"G5472901")</f>
        <v>G5472901</v>
      </c>
      <c r="F665" s="2" t="str">
        <f>IFERROR(__xludf.DUMMYFUNCTION("""COMPUTED_VALUE"""),"Wellyn Grace Alaban Parcia")</f>
        <v>Wellyn Grace Alaban Parcia</v>
      </c>
      <c r="G665" s="2"/>
      <c r="H665" s="2"/>
      <c r="I665" s="2" t="str">
        <f>IFERROR(__xludf.DUMMYFUNCTION("""COMPUTED_VALUE"""),"ICM_Business_linked_launch")</f>
        <v>ICM_Business_linked_launch</v>
      </c>
      <c r="J665" s="2" t="str">
        <f>IFERROR(__xludf.DUMMYFUNCTION("""COMPUTED_VALUE"""),"uuid:0f8e3709-e119-44b1-a456-4aeecfa35d14")</f>
        <v>uuid:0f8e3709-e119-44b1-a456-4aeecfa35d14</v>
      </c>
    </row>
    <row r="666">
      <c r="A666" s="2" t="str">
        <f>IFERROR(__xludf.DUMMYFUNCTION("""COMPUTED_VALUE"""),"2025-09-16T10:55:50.853Z")</f>
        <v>2025-09-16T10:55:50.853Z</v>
      </c>
      <c r="B666" s="2" t="str">
        <f>IFERROR(__xludf.DUMMYFUNCTION("""COMPUTED_VALUE"""),"2025-09-16T14:04:49.992+08")</f>
        <v>2025-09-16T14:04:49.992+08</v>
      </c>
      <c r="C666" s="2" t="str">
        <f>IFERROR(__xludf.DUMMYFUNCTION("""COMPUTED_VALUE"""),"2025-09-16T14:12:26.575+08")</f>
        <v>2025-09-16T14:12:26.575+08</v>
      </c>
      <c r="D666" s="2" t="str">
        <f>IFERROR(__xludf.DUMMYFUNCTION("""COMPUTED_VALUE"""),"H030310022")</f>
        <v>H030310022</v>
      </c>
      <c r="E666" s="2" t="str">
        <f>IFERROR(__xludf.DUMMYFUNCTION("""COMPUTED_VALUE"""),"G5472901")</f>
        <v>G5472901</v>
      </c>
      <c r="F666" s="2" t="str">
        <f>IFERROR(__xludf.DUMMYFUNCTION("""COMPUTED_VALUE"""),"Wellyn Grace Alaban Parcia")</f>
        <v>Wellyn Grace Alaban Parcia</v>
      </c>
      <c r="G666" s="2"/>
      <c r="H666" s="2"/>
      <c r="I666" s="2" t="str">
        <f>IFERROR(__xludf.DUMMYFUNCTION("""COMPUTED_VALUE"""),"ICM_Business_linked_launch")</f>
        <v>ICM_Business_linked_launch</v>
      </c>
      <c r="J666" s="2" t="str">
        <f>IFERROR(__xludf.DUMMYFUNCTION("""COMPUTED_VALUE"""),"uuid:2fec3c1e-0d7d-4c02-b869-78bf12cdf7ab")</f>
        <v>uuid:2fec3c1e-0d7d-4c02-b869-78bf12cdf7ab</v>
      </c>
    </row>
    <row r="667">
      <c r="A667" s="2" t="str">
        <f>IFERROR(__xludf.DUMMYFUNCTION("""COMPUTED_VALUE"""),"2025-09-16T11:06:55.762Z")</f>
        <v>2025-09-16T11:06:55.762Z</v>
      </c>
      <c r="B667" s="2" t="str">
        <f>IFERROR(__xludf.DUMMYFUNCTION("""COMPUTED_VALUE"""),"2025-09-16T09:30:57.611+08")</f>
        <v>2025-09-16T09:30:57.611+08</v>
      </c>
      <c r="C667" s="2" t="str">
        <f>IFERROR(__xludf.DUMMYFUNCTION("""COMPUTED_VALUE"""),"2025-09-16T09:42:22.372+08")</f>
        <v>2025-09-16T09:42:22.372+08</v>
      </c>
      <c r="D667" s="2" t="str">
        <f>IFERROR(__xludf.DUMMYFUNCTION("""COMPUTED_VALUE"""),"H006809016")</f>
        <v>H006809016</v>
      </c>
      <c r="E667" s="2" t="str">
        <f>IFERROR(__xludf.DUMMYFUNCTION("""COMPUTED_VALUE"""),"O3925718")</f>
        <v>O3925718</v>
      </c>
      <c r="F667" s="2" t="str">
        <f>IFERROR(__xludf.DUMMYFUNCTION("""COMPUTED_VALUE"""),"Adrian Montecastro Ferrer")</f>
        <v>Adrian Montecastro Ferrer</v>
      </c>
      <c r="G667" s="2"/>
      <c r="H667" s="2"/>
      <c r="I667" s="2" t="str">
        <f>IFERROR(__xludf.DUMMYFUNCTION("""COMPUTED_VALUE"""),"ICM_Business_linked_launch")</f>
        <v>ICM_Business_linked_launch</v>
      </c>
      <c r="J667" s="2" t="str">
        <f>IFERROR(__xludf.DUMMYFUNCTION("""COMPUTED_VALUE"""),"uuid:f6a38c3a-debf-4d7c-89a5-1a0fdd9820af")</f>
        <v>uuid:f6a38c3a-debf-4d7c-89a5-1a0fdd9820af</v>
      </c>
    </row>
    <row r="668">
      <c r="A668" s="2" t="str">
        <f>IFERROR(__xludf.DUMMYFUNCTION("""COMPUTED_VALUE"""),"2025-09-16T11:07:02.898Z")</f>
        <v>2025-09-16T11:07:02.898Z</v>
      </c>
      <c r="B668" s="2" t="str">
        <f>IFERROR(__xludf.DUMMYFUNCTION("""COMPUTED_VALUE"""),"2025-09-16T14:25:55.079+08")</f>
        <v>2025-09-16T14:25:55.079+08</v>
      </c>
      <c r="C668" s="2" t="str">
        <f>IFERROR(__xludf.DUMMYFUNCTION("""COMPUTED_VALUE"""),"2025-09-16T14:38:50.767+08")</f>
        <v>2025-09-16T14:38:50.767+08</v>
      </c>
      <c r="D668" s="2" t="str">
        <f>IFERROR(__xludf.DUMMYFUNCTION("""COMPUTED_VALUE"""),"H006809022")</f>
        <v>H006809022</v>
      </c>
      <c r="E668" s="2" t="str">
        <f>IFERROR(__xludf.DUMMYFUNCTION("""COMPUTED_VALUE"""),"O3925718")</f>
        <v>O3925718</v>
      </c>
      <c r="F668" s="2" t="str">
        <f>IFERROR(__xludf.DUMMYFUNCTION("""COMPUTED_VALUE"""),"Adrian Montecastro Ferrer")</f>
        <v>Adrian Montecastro Ferrer</v>
      </c>
      <c r="G668" s="2"/>
      <c r="H668" s="2"/>
      <c r="I668" s="2" t="str">
        <f>IFERROR(__xludf.DUMMYFUNCTION("""COMPUTED_VALUE"""),"ICM_Business_linked_launch")</f>
        <v>ICM_Business_linked_launch</v>
      </c>
      <c r="J668" s="2" t="str">
        <f>IFERROR(__xludf.DUMMYFUNCTION("""COMPUTED_VALUE"""),"uuid:e91ddb5a-608c-46c9-b6dd-075a32d27c1c")</f>
        <v>uuid:e91ddb5a-608c-46c9-b6dd-075a32d27c1c</v>
      </c>
    </row>
    <row r="669">
      <c r="A669" s="2" t="str">
        <f>IFERROR(__xludf.DUMMYFUNCTION("""COMPUTED_VALUE"""),"2025-09-16T11:07:04.166Z")</f>
        <v>2025-09-16T11:07:04.166Z</v>
      </c>
      <c r="B669" s="2" t="str">
        <f>IFERROR(__xludf.DUMMYFUNCTION("""COMPUTED_VALUE"""),"2025-09-16T11:10:01.175+08")</f>
        <v>2025-09-16T11:10:01.175+08</v>
      </c>
      <c r="C669" s="2" t="str">
        <f>IFERROR(__xludf.DUMMYFUNCTION("""COMPUTED_VALUE"""),"2025-09-16T11:36:10.441+08")</f>
        <v>2025-09-16T11:36:10.441+08</v>
      </c>
      <c r="D669" s="2" t="str">
        <f>IFERROR(__xludf.DUMMYFUNCTION("""COMPUTED_VALUE"""),"H006809027")</f>
        <v>H006809027</v>
      </c>
      <c r="E669" s="2" t="str">
        <f>IFERROR(__xludf.DUMMYFUNCTION("""COMPUTED_VALUE"""),"O3925718")</f>
        <v>O3925718</v>
      </c>
      <c r="F669" s="2" t="str">
        <f>IFERROR(__xludf.DUMMYFUNCTION("""COMPUTED_VALUE"""),"Adrian Montecastro Ferrer")</f>
        <v>Adrian Montecastro Ferrer</v>
      </c>
      <c r="G669" s="2"/>
      <c r="H669" s="2"/>
      <c r="I669" s="2" t="str">
        <f>IFERROR(__xludf.DUMMYFUNCTION("""COMPUTED_VALUE"""),"ICM_Business_linked_launch")</f>
        <v>ICM_Business_linked_launch</v>
      </c>
      <c r="J669" s="2" t="str">
        <f>IFERROR(__xludf.DUMMYFUNCTION("""COMPUTED_VALUE"""),"uuid:f5a86068-a6d5-4bb2-a71d-7f80bccc2915")</f>
        <v>uuid:f5a86068-a6d5-4bb2-a71d-7f80bccc2915</v>
      </c>
    </row>
    <row r="670">
      <c r="A670" s="2" t="str">
        <f>IFERROR(__xludf.DUMMYFUNCTION("""COMPUTED_VALUE"""),"2025-09-16T11:19:49.914Z")</f>
        <v>2025-09-16T11:19:49.914Z</v>
      </c>
      <c r="B670" s="2" t="str">
        <f>IFERROR(__xludf.DUMMYFUNCTION("""COMPUTED_VALUE"""),"2025-09-16T09:34:33.970+08")</f>
        <v>2025-09-16T09:34:33.970+08</v>
      </c>
      <c r="C670" s="2" t="str">
        <f>IFERROR(__xludf.DUMMYFUNCTION("""COMPUTED_VALUE"""),"2025-09-16T09:48:30.028+08")</f>
        <v>2025-09-16T09:48:30.028+08</v>
      </c>
      <c r="D670" s="2" t="str">
        <f>IFERROR(__xludf.DUMMYFUNCTION("""COMPUTED_VALUE"""),"H006809035")</f>
        <v>H006809035</v>
      </c>
      <c r="E670" s="2" t="str">
        <f>IFERROR(__xludf.DUMMYFUNCTION("""COMPUTED_VALUE"""),"P1068432")</f>
        <v>P1068432</v>
      </c>
      <c r="F670" s="2" t="str">
        <f>IFERROR(__xludf.DUMMYFUNCTION("""COMPUTED_VALUE"""),"Mark Daniel Balagao Benson")</f>
        <v>Mark Daniel Balagao Benson</v>
      </c>
      <c r="G670" s="2"/>
      <c r="H670" s="2"/>
      <c r="I670" s="2" t="str">
        <f>IFERROR(__xludf.DUMMYFUNCTION("""COMPUTED_VALUE"""),"ICM_Business_linked_launch")</f>
        <v>ICM_Business_linked_launch</v>
      </c>
      <c r="J670" s="2" t="str">
        <f>IFERROR(__xludf.DUMMYFUNCTION("""COMPUTED_VALUE"""),"uuid:d7c4b853-292a-4ef5-9cb0-73eaed1ce1ae")</f>
        <v>uuid:d7c4b853-292a-4ef5-9cb0-73eaed1ce1ae</v>
      </c>
    </row>
    <row r="671">
      <c r="A671" s="2" t="str">
        <f>IFERROR(__xludf.DUMMYFUNCTION("""COMPUTED_VALUE"""),"2025-09-16T11:19:52.943Z")</f>
        <v>2025-09-16T11:19:52.943Z</v>
      </c>
      <c r="B671" s="2" t="str">
        <f>IFERROR(__xludf.DUMMYFUNCTION("""COMPUTED_VALUE"""),"2025-09-16T10:43:45.230+08")</f>
        <v>2025-09-16T10:43:45.230+08</v>
      </c>
      <c r="C671" s="2" t="str">
        <f>IFERROR(__xludf.DUMMYFUNCTION("""COMPUTED_VALUE"""),"2025-09-16T12:02:13.957+08")</f>
        <v>2025-09-16T12:02:13.957+08</v>
      </c>
      <c r="D671" s="2" t="str">
        <f>IFERROR(__xludf.DUMMYFUNCTION("""COMPUTED_VALUE"""),"H006809002")</f>
        <v>H006809002</v>
      </c>
      <c r="E671" s="2" t="str">
        <f>IFERROR(__xludf.DUMMYFUNCTION("""COMPUTED_VALUE"""),"P1068432")</f>
        <v>P1068432</v>
      </c>
      <c r="F671" s="2" t="str">
        <f>IFERROR(__xludf.DUMMYFUNCTION("""COMPUTED_VALUE"""),"Mark Daniel Balagao Benson")</f>
        <v>Mark Daniel Balagao Benson</v>
      </c>
      <c r="G671" s="2"/>
      <c r="H671" s="2"/>
      <c r="I671" s="2" t="str">
        <f>IFERROR(__xludf.DUMMYFUNCTION("""COMPUTED_VALUE"""),"ICM_Business_linked_launch")</f>
        <v>ICM_Business_linked_launch</v>
      </c>
      <c r="J671" s="2" t="str">
        <f>IFERROR(__xludf.DUMMYFUNCTION("""COMPUTED_VALUE"""),"uuid:9d9e450b-ce71-4d34-be0d-129de0830444")</f>
        <v>uuid:9d9e450b-ce71-4d34-be0d-129de0830444</v>
      </c>
    </row>
    <row r="672">
      <c r="A672" s="2" t="str">
        <f>IFERROR(__xludf.DUMMYFUNCTION("""COMPUTED_VALUE"""),"2025-09-16T11:19:56.772Z")</f>
        <v>2025-09-16T11:19:56.772Z</v>
      </c>
      <c r="B672" s="2" t="str">
        <f>IFERROR(__xludf.DUMMYFUNCTION("""COMPUTED_VALUE"""),"2025-09-16T14:33:18.096+08")</f>
        <v>2025-09-16T14:33:18.096+08</v>
      </c>
      <c r="C672" s="2" t="str">
        <f>IFERROR(__xludf.DUMMYFUNCTION("""COMPUTED_VALUE"""),"2025-09-16T15:12:01.329+08")</f>
        <v>2025-09-16T15:12:01.329+08</v>
      </c>
      <c r="D672" s="2" t="str">
        <f>IFERROR(__xludf.DUMMYFUNCTION("""COMPUTED_VALUE"""),"H006809023")</f>
        <v>H006809023</v>
      </c>
      <c r="E672" s="2" t="str">
        <f>IFERROR(__xludf.DUMMYFUNCTION("""COMPUTED_VALUE"""),"P1068432")</f>
        <v>P1068432</v>
      </c>
      <c r="F672" s="2" t="str">
        <f>IFERROR(__xludf.DUMMYFUNCTION("""COMPUTED_VALUE"""),"Mark Daniel Balagao Benson")</f>
        <v>Mark Daniel Balagao Benson</v>
      </c>
      <c r="G672" s="2"/>
      <c r="H672" s="2"/>
      <c r="I672" s="2" t="str">
        <f>IFERROR(__xludf.DUMMYFUNCTION("""COMPUTED_VALUE"""),"ICM_Business_linked_launch")</f>
        <v>ICM_Business_linked_launch</v>
      </c>
      <c r="J672" s="2" t="str">
        <f>IFERROR(__xludf.DUMMYFUNCTION("""COMPUTED_VALUE"""),"uuid:de1c9f2c-057a-4a17-964b-c048c40c6fde")</f>
        <v>uuid:de1c9f2c-057a-4a17-964b-c048c40c6fde</v>
      </c>
    </row>
    <row r="673">
      <c r="A673" s="2" t="str">
        <f>IFERROR(__xludf.DUMMYFUNCTION("""COMPUTED_VALUE"""),"2025-09-16T11:32:33.188Z")</f>
        <v>2025-09-16T11:32:33.188Z</v>
      </c>
      <c r="B673" s="2" t="str">
        <f>IFERROR(__xludf.DUMMYFUNCTION("""COMPUTED_VALUE"""),"2025-09-16T10:31:59.969+08")</f>
        <v>2025-09-16T10:31:59.969+08</v>
      </c>
      <c r="C673" s="2" t="str">
        <f>IFERROR(__xludf.DUMMYFUNCTION("""COMPUTED_VALUE"""),"2025-09-16T10:46:26.560+08")</f>
        <v>2025-09-16T10:46:26.560+08</v>
      </c>
      <c r="D673" s="2" t="str">
        <f>IFERROR(__xludf.DUMMYFUNCTION("""COMPUTED_VALUE"""),"H006033017")</f>
        <v>H006033017</v>
      </c>
      <c r="E673" s="2" t="str">
        <f>IFERROR(__xludf.DUMMYFUNCTION("""COMPUTED_VALUE"""),"L2057896")</f>
        <v>L2057896</v>
      </c>
      <c r="F673" s="2" t="str">
        <f>IFERROR(__xludf.DUMMYFUNCTION("""COMPUTED_VALUE"""),"Franz Reoben Posadas Geneblaza")</f>
        <v>Franz Reoben Posadas Geneblaza</v>
      </c>
      <c r="G673" s="2"/>
      <c r="H673" s="2"/>
      <c r="I673" s="2" t="str">
        <f>IFERROR(__xludf.DUMMYFUNCTION("""COMPUTED_VALUE"""),"ICM_Business_linked_launch")</f>
        <v>ICM_Business_linked_launch</v>
      </c>
      <c r="J673" s="2" t="str">
        <f>IFERROR(__xludf.DUMMYFUNCTION("""COMPUTED_VALUE"""),"uuid:7b9a615b-1071-47f2-be94-98183b7703ad")</f>
        <v>uuid:7b9a615b-1071-47f2-be94-98183b7703ad</v>
      </c>
    </row>
    <row r="674">
      <c r="A674" s="2" t="str">
        <f>IFERROR(__xludf.DUMMYFUNCTION("""COMPUTED_VALUE"""),"2025-09-16T11:32:35.673Z")</f>
        <v>2025-09-16T11:32:35.673Z</v>
      </c>
      <c r="B674" s="2" t="str">
        <f>IFERROR(__xludf.DUMMYFUNCTION("""COMPUTED_VALUE"""),"2025-09-16T11:50:43.844+08")</f>
        <v>2025-09-16T11:50:43.844+08</v>
      </c>
      <c r="C674" s="2" t="str">
        <f>IFERROR(__xludf.DUMMYFUNCTION("""COMPUTED_VALUE"""),"2025-09-16T12:16:34.788+08")</f>
        <v>2025-09-16T12:16:34.788+08</v>
      </c>
      <c r="D674" s="2" t="str">
        <f>IFERROR(__xludf.DUMMYFUNCTION("""COMPUTED_VALUE"""),"H006033023")</f>
        <v>H006033023</v>
      </c>
      <c r="E674" s="2" t="str">
        <f>IFERROR(__xludf.DUMMYFUNCTION("""COMPUTED_VALUE"""),"L2057896")</f>
        <v>L2057896</v>
      </c>
      <c r="F674" s="2" t="str">
        <f>IFERROR(__xludf.DUMMYFUNCTION("""COMPUTED_VALUE"""),"Franz Reoben Posadas Geneblaza")</f>
        <v>Franz Reoben Posadas Geneblaza</v>
      </c>
      <c r="G674" s="2"/>
      <c r="H674" s="2"/>
      <c r="I674" s="2" t="str">
        <f>IFERROR(__xludf.DUMMYFUNCTION("""COMPUTED_VALUE"""),"ICM_Business_linked_launch")</f>
        <v>ICM_Business_linked_launch</v>
      </c>
      <c r="J674" s="2" t="str">
        <f>IFERROR(__xludf.DUMMYFUNCTION("""COMPUTED_VALUE"""),"uuid:74e921a7-6ce1-4b38-9bd0-bce3aa3f2bd7")</f>
        <v>uuid:74e921a7-6ce1-4b38-9bd0-bce3aa3f2bd7</v>
      </c>
    </row>
    <row r="675">
      <c r="A675" s="2" t="str">
        <f>IFERROR(__xludf.DUMMYFUNCTION("""COMPUTED_VALUE"""),"2025-09-16T11:32:44.241Z")</f>
        <v>2025-09-16T11:32:44.241Z</v>
      </c>
      <c r="B675" s="2" t="str">
        <f>IFERROR(__xludf.DUMMYFUNCTION("""COMPUTED_VALUE"""),"2025-09-16T11:21:50.622+08")</f>
        <v>2025-09-16T11:21:50.622+08</v>
      </c>
      <c r="C675" s="2" t="str">
        <f>IFERROR(__xludf.DUMMYFUNCTION("""COMPUTED_VALUE"""),"2025-09-16T11:32:22.784+08")</f>
        <v>2025-09-16T11:32:22.784+08</v>
      </c>
      <c r="D675" s="2" t="str">
        <f>IFERROR(__xludf.DUMMYFUNCTION("""COMPUTED_VALUE"""),"H006033027")</f>
        <v>H006033027</v>
      </c>
      <c r="E675" s="2" t="str">
        <f>IFERROR(__xludf.DUMMYFUNCTION("""COMPUTED_VALUE"""),"J4315980")</f>
        <v>J4315980</v>
      </c>
      <c r="F675" s="2" t="str">
        <f>IFERROR(__xludf.DUMMYFUNCTION("""COMPUTED_VALUE"""),"Trixie Marie Jardeleza Saber")</f>
        <v>Trixie Marie Jardeleza Saber</v>
      </c>
      <c r="G675" s="2"/>
      <c r="H675" s="2"/>
      <c r="I675" s="2" t="str">
        <f>IFERROR(__xludf.DUMMYFUNCTION("""COMPUTED_VALUE"""),"ICM_Business_linked_launch")</f>
        <v>ICM_Business_linked_launch</v>
      </c>
      <c r="J675" s="2" t="str">
        <f>IFERROR(__xludf.DUMMYFUNCTION("""COMPUTED_VALUE"""),"uuid:00017277-15a9-4633-8c4b-e74f5df643ef")</f>
        <v>uuid:00017277-15a9-4633-8c4b-e74f5df643ef</v>
      </c>
    </row>
    <row r="676">
      <c r="A676" s="2" t="str">
        <f>IFERROR(__xludf.DUMMYFUNCTION("""COMPUTED_VALUE"""),"2025-09-16T11:32:53.201Z")</f>
        <v>2025-09-16T11:32:53.201Z</v>
      </c>
      <c r="B676" s="2" t="str">
        <f>IFERROR(__xludf.DUMMYFUNCTION("""COMPUTED_VALUE"""),"2025-09-16T09:43:34.470+08")</f>
        <v>2025-09-16T09:43:34.470+08</v>
      </c>
      <c r="C676" s="2" t="str">
        <f>IFERROR(__xludf.DUMMYFUNCTION("""COMPUTED_VALUE"""),"2025-09-16T09:59:17.789+08")</f>
        <v>2025-09-16T09:59:17.789+08</v>
      </c>
      <c r="D676" s="2" t="str">
        <f>IFERROR(__xludf.DUMMYFUNCTION("""COMPUTED_VALUE"""),"H006033032")</f>
        <v>H006033032</v>
      </c>
      <c r="E676" s="2" t="str">
        <f>IFERROR(__xludf.DUMMYFUNCTION("""COMPUTED_VALUE"""),"J4315980")</f>
        <v>J4315980</v>
      </c>
      <c r="F676" s="2" t="str">
        <f>IFERROR(__xludf.DUMMYFUNCTION("""COMPUTED_VALUE"""),"Trixie Marie Jardeleza Saber")</f>
        <v>Trixie Marie Jardeleza Saber</v>
      </c>
      <c r="G676" s="2"/>
      <c r="H676" s="2"/>
      <c r="I676" s="2" t="str">
        <f>IFERROR(__xludf.DUMMYFUNCTION("""COMPUTED_VALUE"""),"ICM_Business_linked_launch")</f>
        <v>ICM_Business_linked_launch</v>
      </c>
      <c r="J676" s="2" t="str">
        <f>IFERROR(__xludf.DUMMYFUNCTION("""COMPUTED_VALUE"""),"uuid:4250eb89-5448-4291-9815-72c410de6ca2")</f>
        <v>uuid:4250eb89-5448-4291-9815-72c410de6ca2</v>
      </c>
    </row>
    <row r="677">
      <c r="A677" s="2" t="str">
        <f>IFERROR(__xludf.DUMMYFUNCTION("""COMPUTED_VALUE"""),"2025-09-16T11:36:08.202Z")</f>
        <v>2025-09-16T11:36:08.202Z</v>
      </c>
      <c r="B677" s="2" t="str">
        <f>IFERROR(__xludf.DUMMYFUNCTION("""COMPUTED_VALUE"""),"2025-09-16T11:05:07.866+08")</f>
        <v>2025-09-16T11:05:07.866+08</v>
      </c>
      <c r="C677" s="2" t="str">
        <f>IFERROR(__xludf.DUMMYFUNCTION("""COMPUTED_VALUE"""),"2025-09-16T15:30:59.949+08")</f>
        <v>2025-09-16T15:30:59.949+08</v>
      </c>
      <c r="D677" s="2" t="str">
        <f>IFERROR(__xludf.DUMMYFUNCTION("""COMPUTED_VALUE"""),"H006033026")</f>
        <v>H006033026</v>
      </c>
      <c r="E677" s="2" t="str">
        <f>IFERROR(__xludf.DUMMYFUNCTION("""COMPUTED_VALUE"""),"M6491032")</f>
        <v>M6491032</v>
      </c>
      <c r="F677" s="2" t="str">
        <f>IFERROR(__xludf.DUMMYFUNCTION("""COMPUTED_VALUE"""),"Rosevil Tayo Desamparado")</f>
        <v>Rosevil Tayo Desamparado</v>
      </c>
      <c r="G677" s="2"/>
      <c r="H677" s="2"/>
      <c r="I677" s="2" t="str">
        <f>IFERROR(__xludf.DUMMYFUNCTION("""COMPUTED_VALUE"""),"ICM_Business_linked_launch")</f>
        <v>ICM_Business_linked_launch</v>
      </c>
      <c r="J677" s="2" t="str">
        <f>IFERROR(__xludf.DUMMYFUNCTION("""COMPUTED_VALUE"""),"uuid:93c6824c-1160-45d9-80bd-cc570b29f886")</f>
        <v>uuid:93c6824c-1160-45d9-80bd-cc570b29f886</v>
      </c>
    </row>
    <row r="678">
      <c r="A678" s="2" t="str">
        <f>IFERROR(__xludf.DUMMYFUNCTION("""COMPUTED_VALUE"""),"2025-09-16T11:36:40.095Z")</f>
        <v>2025-09-16T11:36:40.095Z</v>
      </c>
      <c r="B678" s="2" t="str">
        <f>IFERROR(__xludf.DUMMYFUNCTION("""COMPUTED_VALUE"""),"2025-09-16T09:36:24.118+08")</f>
        <v>2025-09-16T09:36:24.118+08</v>
      </c>
      <c r="C678" s="2" t="str">
        <f>IFERROR(__xludf.DUMMYFUNCTION("""COMPUTED_VALUE"""),"2025-09-16T19:34:57.532+08")</f>
        <v>2025-09-16T19:34:57.532+08</v>
      </c>
      <c r="D678" s="2" t="str">
        <f>IFERROR(__xludf.DUMMYFUNCTION("""COMPUTED_VALUE"""),"H006033034")</f>
        <v>H006033034</v>
      </c>
      <c r="E678" s="2" t="str">
        <f>IFERROR(__xludf.DUMMYFUNCTION("""COMPUTED_VALUE"""),"M6491032")</f>
        <v>M6491032</v>
      </c>
      <c r="F678" s="2" t="str">
        <f>IFERROR(__xludf.DUMMYFUNCTION("""COMPUTED_VALUE"""),"Rosevil Tayo Desamparado")</f>
        <v>Rosevil Tayo Desamparado</v>
      </c>
      <c r="G678" s="2"/>
      <c r="H678" s="2"/>
      <c r="I678" s="2" t="str">
        <f>IFERROR(__xludf.DUMMYFUNCTION("""COMPUTED_VALUE"""),"ICM_Business_linked_launch")</f>
        <v>ICM_Business_linked_launch</v>
      </c>
      <c r="J678" s="2" t="str">
        <f>IFERROR(__xludf.DUMMYFUNCTION("""COMPUTED_VALUE"""),"uuid:50bba07a-5f97-48c3-b32c-a0017b6f51e5")</f>
        <v>uuid:50bba07a-5f97-48c3-b32c-a0017b6f51e5</v>
      </c>
    </row>
    <row r="679">
      <c r="A679" s="2" t="str">
        <f>IFERROR(__xludf.DUMMYFUNCTION("""COMPUTED_VALUE"""),"2025-09-16T11:42:07.100Z")</f>
        <v>2025-09-16T11:42:07.100Z</v>
      </c>
      <c r="B679" s="2" t="str">
        <f>IFERROR(__xludf.DUMMYFUNCTION("""COMPUTED_VALUE"""),"2025-09-16T11:00:09.356+08")</f>
        <v>2025-09-16T11:00:09.356+08</v>
      </c>
      <c r="C679" s="2" t="str">
        <f>IFERROR(__xludf.DUMMYFUNCTION("""COMPUTED_VALUE"""),"2025-09-16T11:16:37.136+08")</f>
        <v>2025-09-16T11:16:37.136+08</v>
      </c>
      <c r="D679" s="2" t="str">
        <f>IFERROR(__xludf.DUMMYFUNCTION("""COMPUTED_VALUE"""),"H006033024")</f>
        <v>H006033024</v>
      </c>
      <c r="E679" s="2" t="str">
        <f>IFERROR(__xludf.DUMMYFUNCTION("""COMPUTED_VALUE"""),"K8623174")</f>
        <v>K8623174</v>
      </c>
      <c r="F679" s="2" t="str">
        <f>IFERROR(__xludf.DUMMYFUNCTION("""COMPUTED_VALUE"""),"Marielle Kaye Ignacio Alonzo")</f>
        <v>Marielle Kaye Ignacio Alonzo</v>
      </c>
      <c r="G679" s="2"/>
      <c r="H679" s="2"/>
      <c r="I679" s="2" t="str">
        <f>IFERROR(__xludf.DUMMYFUNCTION("""COMPUTED_VALUE"""),"ICM_Business_linked_launch")</f>
        <v>ICM_Business_linked_launch</v>
      </c>
      <c r="J679" s="2" t="str">
        <f>IFERROR(__xludf.DUMMYFUNCTION("""COMPUTED_VALUE"""),"uuid:d9e35ea4-4ad1-469b-954e-3f30720d3f56")</f>
        <v>uuid:d9e35ea4-4ad1-469b-954e-3f30720d3f56</v>
      </c>
    </row>
    <row r="680">
      <c r="A680" s="2" t="str">
        <f>IFERROR(__xludf.DUMMYFUNCTION("""COMPUTED_VALUE"""),"2025-09-16T11:42:08.210Z")</f>
        <v>2025-09-16T11:42:08.210Z</v>
      </c>
      <c r="B680" s="2" t="str">
        <f>IFERROR(__xludf.DUMMYFUNCTION("""COMPUTED_VALUE"""),"2025-09-16T12:31:19.149+08")</f>
        <v>2025-09-16T12:31:19.149+08</v>
      </c>
      <c r="C680" s="2" t="str">
        <f>IFERROR(__xludf.DUMMYFUNCTION("""COMPUTED_VALUE"""),"2025-09-16T12:48:26.841+08")</f>
        <v>2025-09-16T12:48:26.841+08</v>
      </c>
      <c r="D680" s="2" t="str">
        <f>IFERROR(__xludf.DUMMYFUNCTION("""COMPUTED_VALUE"""),"H006033025")</f>
        <v>H006033025</v>
      </c>
      <c r="E680" s="2" t="str">
        <f>IFERROR(__xludf.DUMMYFUNCTION("""COMPUTED_VALUE"""),"K8623174")</f>
        <v>K8623174</v>
      </c>
      <c r="F680" s="2" t="str">
        <f>IFERROR(__xludf.DUMMYFUNCTION("""COMPUTED_VALUE"""),"Marielle Kaye Ignacio Alonzo")</f>
        <v>Marielle Kaye Ignacio Alonzo</v>
      </c>
      <c r="G680" s="2"/>
      <c r="H680" s="2"/>
      <c r="I680" s="2" t="str">
        <f>IFERROR(__xludf.DUMMYFUNCTION("""COMPUTED_VALUE"""),"ICM_Business_linked_launch")</f>
        <v>ICM_Business_linked_launch</v>
      </c>
      <c r="J680" s="2" t="str">
        <f>IFERROR(__xludf.DUMMYFUNCTION("""COMPUTED_VALUE"""),"uuid:8e8d991c-39b8-42d9-9a1f-0b7713469af7")</f>
        <v>uuid:8e8d991c-39b8-42d9-9a1f-0b7713469af7</v>
      </c>
    </row>
    <row r="681">
      <c r="A681" s="2" t="str">
        <f>IFERROR(__xludf.DUMMYFUNCTION("""COMPUTED_VALUE"""),"2025-09-16T11:42:09.074Z")</f>
        <v>2025-09-16T11:42:09.074Z</v>
      </c>
      <c r="B681" s="2" t="str">
        <f>IFERROR(__xludf.DUMMYFUNCTION("""COMPUTED_VALUE"""),"2025-09-16T09:51:15.567+08")</f>
        <v>2025-09-16T09:51:15.567+08</v>
      </c>
      <c r="C681" s="2" t="str">
        <f>IFERROR(__xludf.DUMMYFUNCTION("""COMPUTED_VALUE"""),"2025-09-16T13:36:31.604+08")</f>
        <v>2025-09-16T13:36:31.604+08</v>
      </c>
      <c r="D681" s="2" t="str">
        <f>IFERROR(__xludf.DUMMYFUNCTION("""COMPUTED_VALUE"""),"H006033031")</f>
        <v>H006033031</v>
      </c>
      <c r="E681" s="2" t="str">
        <f>IFERROR(__xludf.DUMMYFUNCTION("""COMPUTED_VALUE"""),"K8623174")</f>
        <v>K8623174</v>
      </c>
      <c r="F681" s="2" t="str">
        <f>IFERROR(__xludf.DUMMYFUNCTION("""COMPUTED_VALUE"""),"Marielle Kaye Ignacio Alonzo")</f>
        <v>Marielle Kaye Ignacio Alonzo</v>
      </c>
      <c r="G681" s="2"/>
      <c r="H681" s="2"/>
      <c r="I681" s="2" t="str">
        <f>IFERROR(__xludf.DUMMYFUNCTION("""COMPUTED_VALUE"""),"ICM_Business_linked_launch")</f>
        <v>ICM_Business_linked_launch</v>
      </c>
      <c r="J681" s="2" t="str">
        <f>IFERROR(__xludf.DUMMYFUNCTION("""COMPUTED_VALUE"""),"uuid:68f27d45-29a3-49cd-b926-b2adb6ed9d0d")</f>
        <v>uuid:68f27d45-29a3-49cd-b926-b2adb6ed9d0d</v>
      </c>
    </row>
    <row r="682">
      <c r="A682" s="2" t="str">
        <f>IFERROR(__xludf.DUMMYFUNCTION("""COMPUTED_VALUE"""),"2025-09-17T10:20:43.070Z")</f>
        <v>2025-09-17T10:20:43.070Z</v>
      </c>
      <c r="B682" s="2" t="str">
        <f>IFERROR(__xludf.DUMMYFUNCTION("""COMPUTED_VALUE"""),"2025-09-17T12:21:31.210+08")</f>
        <v>2025-09-17T12:21:31.210+08</v>
      </c>
      <c r="C682" s="2" t="str">
        <f>IFERROR(__xludf.DUMMYFUNCTION("""COMPUTED_VALUE"""),"2025-09-17T16:17:55.759+08")</f>
        <v>2025-09-17T16:17:55.759+08</v>
      </c>
      <c r="D682" s="2" t="str">
        <f>IFERROR(__xludf.DUMMYFUNCTION("""COMPUTED_VALUE"""),"H030031027")</f>
        <v>H030031027</v>
      </c>
      <c r="E682" s="2" t="str">
        <f>IFERROR(__xludf.DUMMYFUNCTION("""COMPUTED_VALUE"""),"C7502931")</f>
        <v>C7502931</v>
      </c>
      <c r="F682" s="2" t="str">
        <f>IFERROR(__xludf.DUMMYFUNCTION("""COMPUTED_VALUE"""),"Jenny Lou Toles Estacio")</f>
        <v>Jenny Lou Toles Estacio</v>
      </c>
      <c r="G682" s="2"/>
      <c r="H682" s="2"/>
      <c r="I682" s="2" t="str">
        <f>IFERROR(__xludf.DUMMYFUNCTION("""COMPUTED_VALUE"""),"ICM_Business_linked_launch")</f>
        <v>ICM_Business_linked_launch</v>
      </c>
      <c r="J682" s="2" t="str">
        <f>IFERROR(__xludf.DUMMYFUNCTION("""COMPUTED_VALUE"""),"uuid:8716ddd2-cfdd-4fb3-bb8a-0c2116644d7a")</f>
        <v>uuid:8716ddd2-cfdd-4fb3-bb8a-0c2116644d7a</v>
      </c>
    </row>
    <row r="683">
      <c r="A683" s="2" t="str">
        <f>IFERROR(__xludf.DUMMYFUNCTION("""COMPUTED_VALUE"""),"2025-09-17T10:22:12.757Z")</f>
        <v>2025-09-17T10:22:12.757Z</v>
      </c>
      <c r="B683" s="2" t="str">
        <f>IFERROR(__xludf.DUMMYFUNCTION("""COMPUTED_VALUE"""),"2025-09-17T12:05:20.545+08")</f>
        <v>2025-09-17T12:05:20.545+08</v>
      </c>
      <c r="C683" s="2" t="str">
        <f>IFERROR(__xludf.DUMMYFUNCTION("""COMPUTED_VALUE"""),"2025-09-17T12:08:36.052+08")</f>
        <v>2025-09-17T12:08:36.052+08</v>
      </c>
      <c r="D683" s="2" t="str">
        <f>IFERROR(__xludf.DUMMYFUNCTION("""COMPUTED_VALUE"""),"H030031018")</f>
        <v>H030031018</v>
      </c>
      <c r="E683" s="2">
        <f>IFERROR(__xludf.DUMMYFUNCTION("""COMPUTED_VALUE"""),896791.0)</f>
        <v>896791</v>
      </c>
      <c r="F683" s="2" t="str">
        <f>IFERROR(__xludf.DUMMYFUNCTION("""COMPUTED_VALUE"""),"Roland A. Bandiola jr_2")</f>
        <v>Roland A. Bandiola jr_2</v>
      </c>
      <c r="G683" s="2"/>
      <c r="H683" s="2"/>
      <c r="I683" s="2" t="str">
        <f>IFERROR(__xludf.DUMMYFUNCTION("""COMPUTED_VALUE"""),"ICM_Business_linked_launch")</f>
        <v>ICM_Business_linked_launch</v>
      </c>
      <c r="J683" s="2" t="str">
        <f>IFERROR(__xludf.DUMMYFUNCTION("""COMPUTED_VALUE"""),"uuid:15ec55b6-1116-4c09-aee6-d2b3fd2f4156")</f>
        <v>uuid:15ec55b6-1116-4c09-aee6-d2b3fd2f4156</v>
      </c>
    </row>
    <row r="684">
      <c r="A684" s="2" t="str">
        <f>IFERROR(__xludf.DUMMYFUNCTION("""COMPUTED_VALUE"""),"2025-09-17T10:24:29.726Z")</f>
        <v>2025-09-17T10:24:29.726Z</v>
      </c>
      <c r="B684" s="2" t="str">
        <f>IFERROR(__xludf.DUMMYFUNCTION("""COMPUTED_VALUE"""),"2025-09-17T14:02:17.917+08")</f>
        <v>2025-09-17T14:02:17.917+08</v>
      </c>
      <c r="C684" s="2" t="str">
        <f>IFERROR(__xludf.DUMMYFUNCTION("""COMPUTED_VALUE"""),"2025-09-17T14:12:18.454+08")</f>
        <v>2025-09-17T14:12:18.454+08</v>
      </c>
      <c r="D684" s="2" t="str">
        <f>IFERROR(__xludf.DUMMYFUNCTION("""COMPUTED_VALUE"""),"H030310020")</f>
        <v>H030310020</v>
      </c>
      <c r="E684" s="2" t="str">
        <f>IFERROR(__xludf.DUMMYFUNCTION("""COMPUTED_VALUE"""),"F3051749")</f>
        <v>F3051749</v>
      </c>
      <c r="F684" s="2" t="str">
        <f>IFERROR(__xludf.DUMMYFUNCTION("""COMPUTED_VALUE"""),"Elenita Gicos De La Pe�a")</f>
        <v>Elenita Gicos De La Pe�a</v>
      </c>
      <c r="G684" s="2"/>
      <c r="H684" s="2"/>
      <c r="I684" s="2" t="str">
        <f>IFERROR(__xludf.DUMMYFUNCTION("""COMPUTED_VALUE"""),"ICM_Business_linked_launch")</f>
        <v>ICM_Business_linked_launch</v>
      </c>
      <c r="J684" s="2" t="str">
        <f>IFERROR(__xludf.DUMMYFUNCTION("""COMPUTED_VALUE"""),"uuid:1543fd41-fa95-4edd-adc0-d91f19c1b7dc")</f>
        <v>uuid:1543fd41-fa95-4edd-adc0-d91f19c1b7dc</v>
      </c>
    </row>
    <row r="685">
      <c r="A685" s="2" t="str">
        <f>IFERROR(__xludf.DUMMYFUNCTION("""COMPUTED_VALUE"""),"2025-09-17T10:25:53.358Z")</f>
        <v>2025-09-17T10:25:53.358Z</v>
      </c>
      <c r="B685" s="2" t="str">
        <f>IFERROR(__xludf.DUMMYFUNCTION("""COMPUTED_VALUE"""),"2025-09-17T12:12:59.570+08")</f>
        <v>2025-09-17T12:12:59.570+08</v>
      </c>
      <c r="C685" s="2" t="str">
        <f>IFERROR(__xludf.DUMMYFUNCTION("""COMPUTED_VALUE"""),"2025-09-17T13:07:21.238+08")</f>
        <v>2025-09-17T13:07:21.238+08</v>
      </c>
      <c r="D685" s="2" t="str">
        <f>IFERROR(__xludf.DUMMYFUNCTION("""COMPUTED_VALUE"""),"H030031024")</f>
        <v>H030031024</v>
      </c>
      <c r="E685" s="2" t="str">
        <f>IFERROR(__xludf.DUMMYFUNCTION("""COMPUTED_VALUE"""),"D1284067")</f>
        <v>D1284067</v>
      </c>
      <c r="F685" s="2" t="str">
        <f>IFERROR(__xludf.DUMMYFUNCTION("""COMPUTED_VALUE"""),"Mariel Del Rio")</f>
        <v>Mariel Del Rio</v>
      </c>
      <c r="G685" s="2"/>
      <c r="H685" s="2"/>
      <c r="I685" s="2" t="str">
        <f>IFERROR(__xludf.DUMMYFUNCTION("""COMPUTED_VALUE"""),"ICM_Business_linked_launch")</f>
        <v>ICM_Business_linked_launch</v>
      </c>
      <c r="J685" s="2" t="str">
        <f>IFERROR(__xludf.DUMMYFUNCTION("""COMPUTED_VALUE"""),"uuid:3ac3dff6-8287-4666-8c60-01a46e0c8455")</f>
        <v>uuid:3ac3dff6-8287-4666-8c60-01a46e0c8455</v>
      </c>
    </row>
    <row r="686">
      <c r="A686" s="2" t="str">
        <f>IFERROR(__xludf.DUMMYFUNCTION("""COMPUTED_VALUE"""),"2025-09-17T10:27:27.771Z")</f>
        <v>2025-09-17T10:27:27.771Z</v>
      </c>
      <c r="B686" s="2" t="str">
        <f>IFERROR(__xludf.DUMMYFUNCTION("""COMPUTED_VALUE"""),"2025-09-17T12:13:18.646+08")</f>
        <v>2025-09-17T12:13:18.646+08</v>
      </c>
      <c r="C686" s="2" t="str">
        <f>IFERROR(__xludf.DUMMYFUNCTION("""COMPUTED_VALUE"""),"2025-09-17T12:38:31.121+08")</f>
        <v>2025-09-17T12:38:31.121+08</v>
      </c>
      <c r="D686" s="2" t="str">
        <f>IFERROR(__xludf.DUMMYFUNCTION("""COMPUTED_VALUE"""),"H030310034")</f>
        <v>H030310034</v>
      </c>
      <c r="E686" s="2" t="str">
        <f>IFERROR(__xludf.DUMMYFUNCTION("""COMPUTED_VALUE"""),"H2846135")</f>
        <v>H2846135</v>
      </c>
      <c r="F686" s="2" t="str">
        <f>IFERROR(__xludf.DUMMYFUNCTION("""COMPUTED_VALUE"""),"Annalou Empanado Encontro")</f>
        <v>Annalou Empanado Encontro</v>
      </c>
      <c r="G686" s="2"/>
      <c r="H686" s="2"/>
      <c r="I686" s="2" t="str">
        <f>IFERROR(__xludf.DUMMYFUNCTION("""COMPUTED_VALUE"""),"ICM_Business_linked_launch")</f>
        <v>ICM_Business_linked_launch</v>
      </c>
      <c r="J686" s="2" t="str">
        <f>IFERROR(__xludf.DUMMYFUNCTION("""COMPUTED_VALUE"""),"uuid:0f8eb0ee-3936-4358-a089-603399e3594b")</f>
        <v>uuid:0f8eb0ee-3936-4358-a089-603399e3594b</v>
      </c>
    </row>
    <row r="687">
      <c r="A687" s="2" t="str">
        <f>IFERROR(__xludf.DUMMYFUNCTION("""COMPUTED_VALUE"""),"2025-09-17T10:27:28.726Z")</f>
        <v>2025-09-17T10:27:28.726Z</v>
      </c>
      <c r="B687" s="2" t="str">
        <f>IFERROR(__xludf.DUMMYFUNCTION("""COMPUTED_VALUE"""),"2025-09-17T08:58:36.725+08")</f>
        <v>2025-09-17T08:58:36.725+08</v>
      </c>
      <c r="C687" s="2" t="str">
        <f>IFERROR(__xludf.DUMMYFUNCTION("""COMPUTED_VALUE"""),"2025-09-17T09:39:38.489+08")</f>
        <v>2025-09-17T09:39:38.489+08</v>
      </c>
      <c r="D687" s="2" t="str">
        <f>IFERROR(__xludf.DUMMYFUNCTION("""COMPUTED_VALUE"""),"H030310023")</f>
        <v>H030310023</v>
      </c>
      <c r="E687" s="2" t="str">
        <f>IFERROR(__xludf.DUMMYFUNCTION("""COMPUTED_VALUE"""),"H2846135")</f>
        <v>H2846135</v>
      </c>
      <c r="F687" s="2" t="str">
        <f>IFERROR(__xludf.DUMMYFUNCTION("""COMPUTED_VALUE"""),"Annalou Empanado Encontro")</f>
        <v>Annalou Empanado Encontro</v>
      </c>
      <c r="G687" s="2"/>
      <c r="H687" s="2"/>
      <c r="I687" s="2" t="str">
        <f>IFERROR(__xludf.DUMMYFUNCTION("""COMPUTED_VALUE"""),"ICM_Business_linked_launch")</f>
        <v>ICM_Business_linked_launch</v>
      </c>
      <c r="J687" s="2" t="str">
        <f>IFERROR(__xludf.DUMMYFUNCTION("""COMPUTED_VALUE"""),"uuid:82f4f19a-8312-4f49-918b-bc5457a5af4d")</f>
        <v>uuid:82f4f19a-8312-4f49-918b-bc5457a5af4d</v>
      </c>
    </row>
    <row r="688">
      <c r="A688" s="2" t="str">
        <f>IFERROR(__xludf.DUMMYFUNCTION("""COMPUTED_VALUE"""),"2025-09-17T10:27:29.440Z")</f>
        <v>2025-09-17T10:27:29.440Z</v>
      </c>
      <c r="B688" s="2" t="str">
        <f>IFERROR(__xludf.DUMMYFUNCTION("""COMPUTED_VALUE"""),"2025-09-17T10:45:04.608+08")</f>
        <v>2025-09-17T10:45:04.608+08</v>
      </c>
      <c r="C688" s="2" t="str">
        <f>IFERROR(__xludf.DUMMYFUNCTION("""COMPUTED_VALUE"""),"2025-09-17T11:08:15.083+08")</f>
        <v>2025-09-17T11:08:15.083+08</v>
      </c>
      <c r="D688" s="2" t="str">
        <f>IFERROR(__xludf.DUMMYFUNCTION("""COMPUTED_VALUE"""),"H030310035")</f>
        <v>H030310035</v>
      </c>
      <c r="E688" s="2" t="str">
        <f>IFERROR(__xludf.DUMMYFUNCTION("""COMPUTED_VALUE"""),"H2846135")</f>
        <v>H2846135</v>
      </c>
      <c r="F688" s="2" t="str">
        <f>IFERROR(__xludf.DUMMYFUNCTION("""COMPUTED_VALUE"""),"Annalou Empanado Encontro")</f>
        <v>Annalou Empanado Encontro</v>
      </c>
      <c r="G688" s="2"/>
      <c r="H688" s="2"/>
      <c r="I688" s="2" t="str">
        <f>IFERROR(__xludf.DUMMYFUNCTION("""COMPUTED_VALUE"""),"ICM_Business_linked_launch")</f>
        <v>ICM_Business_linked_launch</v>
      </c>
      <c r="J688" s="2" t="str">
        <f>IFERROR(__xludf.DUMMYFUNCTION("""COMPUTED_VALUE"""),"uuid:9744bc16-b8ae-4cb6-97f0-25da588acbf5")</f>
        <v>uuid:9744bc16-b8ae-4cb6-97f0-25da588acbf5</v>
      </c>
    </row>
    <row r="689">
      <c r="A689" s="2" t="str">
        <f>IFERROR(__xludf.DUMMYFUNCTION("""COMPUTED_VALUE"""),"2025-09-17T10:28:15.371Z")</f>
        <v>2025-09-17T10:28:15.371Z</v>
      </c>
      <c r="B689" s="2" t="str">
        <f>IFERROR(__xludf.DUMMYFUNCTION("""COMPUTED_VALUE"""),"2025-09-17T11:08:45.478+08")</f>
        <v>2025-09-17T11:08:45.478+08</v>
      </c>
      <c r="C689" s="2" t="str">
        <f>IFERROR(__xludf.DUMMYFUNCTION("""COMPUTED_VALUE"""),"2025-09-17T11:15:26.892+08")</f>
        <v>2025-09-17T11:15:26.892+08</v>
      </c>
      <c r="D689" s="2" t="str">
        <f>IFERROR(__xludf.DUMMYFUNCTION("""COMPUTED_VALUE"""),"H006033030")</f>
        <v>H006033030</v>
      </c>
      <c r="E689" s="2" t="str">
        <f>IFERROR(__xludf.DUMMYFUNCTION("""COMPUTED_VALUE"""),"J4315980")</f>
        <v>J4315980</v>
      </c>
      <c r="F689" s="2" t="str">
        <f>IFERROR(__xludf.DUMMYFUNCTION("""COMPUTED_VALUE"""),"Trixie Marie Jardeleza Saber")</f>
        <v>Trixie Marie Jardeleza Saber</v>
      </c>
      <c r="G689" s="2"/>
      <c r="H689" s="2"/>
      <c r="I689" s="2" t="str">
        <f>IFERROR(__xludf.DUMMYFUNCTION("""COMPUTED_VALUE"""),"ICM_Business_linked_launch")</f>
        <v>ICM_Business_linked_launch</v>
      </c>
      <c r="J689" s="2" t="str">
        <f>IFERROR(__xludf.DUMMYFUNCTION("""COMPUTED_VALUE"""),"uuid:cf130e2d-63c4-4b8d-84e2-fc6e66f9c50e")</f>
        <v>uuid:cf130e2d-63c4-4b8d-84e2-fc6e66f9c50e</v>
      </c>
    </row>
    <row r="690">
      <c r="A690" s="2" t="str">
        <f>IFERROR(__xludf.DUMMYFUNCTION("""COMPUTED_VALUE"""),"2025-09-17T10:47:07.844Z")</f>
        <v>2025-09-17T10:47:07.844Z</v>
      </c>
      <c r="B690" s="2" t="str">
        <f>IFERROR(__xludf.DUMMYFUNCTION("""COMPUTED_VALUE"""),"2025-09-17T12:00:20.662+08")</f>
        <v>2025-09-17T12:00:20.662+08</v>
      </c>
      <c r="C690" s="2" t="str">
        <f>IFERROR(__xludf.DUMMYFUNCTION("""COMPUTED_VALUE"""),"2025-09-17T15:31:10.826+08")</f>
        <v>2025-09-17T15:31:10.826+08</v>
      </c>
      <c r="D690" s="2" t="str">
        <f>IFERROR(__xludf.DUMMYFUNCTION("""COMPUTED_VALUE"""),"H030031035")</f>
        <v>H030031035</v>
      </c>
      <c r="E690" s="2" t="str">
        <f>IFERROR(__xludf.DUMMYFUNCTION("""COMPUTED_VALUE"""),"B8193462")</f>
        <v>B8193462</v>
      </c>
      <c r="F690" s="2" t="str">
        <f>IFERROR(__xludf.DUMMYFUNCTION("""COMPUTED_VALUE"""),"Mark Lorens Mendoza Gilongo")</f>
        <v>Mark Lorens Mendoza Gilongo</v>
      </c>
      <c r="G690" s="2"/>
      <c r="H690" s="2"/>
      <c r="I690" s="2" t="str">
        <f>IFERROR(__xludf.DUMMYFUNCTION("""COMPUTED_VALUE"""),"ICM_Business_linked_launch")</f>
        <v>ICM_Business_linked_launch</v>
      </c>
      <c r="J690" s="2" t="str">
        <f>IFERROR(__xludf.DUMMYFUNCTION("""COMPUTED_VALUE"""),"uuid:a15eac7f-ed51-4dd5-bc3e-0c2f81a557f6")</f>
        <v>uuid:a15eac7f-ed51-4dd5-bc3e-0c2f81a557f6</v>
      </c>
    </row>
    <row r="691">
      <c r="A691" s="2" t="str">
        <f>IFERROR(__xludf.DUMMYFUNCTION("""COMPUTED_VALUE"""),"2025-09-17T10:47:11.726Z")</f>
        <v>2025-09-17T10:47:11.726Z</v>
      </c>
      <c r="B691" s="2" t="str">
        <f>IFERROR(__xludf.DUMMYFUNCTION("""COMPUTED_VALUE"""),"2025-09-17T12:40:54.755+08")</f>
        <v>2025-09-17T12:40:54.755+08</v>
      </c>
      <c r="C691" s="2" t="str">
        <f>IFERROR(__xludf.DUMMYFUNCTION("""COMPUTED_VALUE"""),"2025-09-17T18:46:53.324+08")</f>
        <v>2025-09-17T18:46:53.324+08</v>
      </c>
      <c r="D691" s="2" t="str">
        <f>IFERROR(__xludf.DUMMYFUNCTION("""COMPUTED_VALUE"""),"H006033029")</f>
        <v>H006033029</v>
      </c>
      <c r="E691" s="2" t="str">
        <f>IFERROR(__xludf.DUMMYFUNCTION("""COMPUTED_VALUE"""),"M6491032")</f>
        <v>M6491032</v>
      </c>
      <c r="F691" s="2" t="str">
        <f>IFERROR(__xludf.DUMMYFUNCTION("""COMPUTED_VALUE"""),"Rosevil Tayo Desamparado")</f>
        <v>Rosevil Tayo Desamparado</v>
      </c>
      <c r="G691" s="2"/>
      <c r="H691" s="2"/>
      <c r="I691" s="2" t="str">
        <f>IFERROR(__xludf.DUMMYFUNCTION("""COMPUTED_VALUE"""),"ICM_Business_linked_launch")</f>
        <v>ICM_Business_linked_launch</v>
      </c>
      <c r="J691" s="2" t="str">
        <f>IFERROR(__xludf.DUMMYFUNCTION("""COMPUTED_VALUE"""),"uuid:5903cfb7-511c-4f4f-b2c7-390596196abb")</f>
        <v>uuid:5903cfb7-511c-4f4f-b2c7-390596196abb</v>
      </c>
    </row>
    <row r="692">
      <c r="A692" s="2" t="str">
        <f>IFERROR(__xludf.DUMMYFUNCTION("""COMPUTED_VALUE"""),"2025-09-17T10:49:37.457Z")</f>
        <v>2025-09-17T10:49:37.457Z</v>
      </c>
      <c r="B692" s="2" t="str">
        <f>IFERROR(__xludf.DUMMYFUNCTION("""COMPUTED_VALUE"""),"2025-09-17T11:09:59.899+08")</f>
        <v>2025-09-17T11:09:59.899+08</v>
      </c>
      <c r="C692" s="2" t="str">
        <f>IFERROR(__xludf.DUMMYFUNCTION("""COMPUTED_VALUE"""),"2025-09-17T11:14:56.939+08")</f>
        <v>2025-09-17T11:14:56.939+08</v>
      </c>
      <c r="D692" s="2" t="str">
        <f>IFERROR(__xludf.DUMMYFUNCTION("""COMPUTED_VALUE"""),"H030310024")</f>
        <v>H030310024</v>
      </c>
      <c r="E692" s="2" t="str">
        <f>IFERROR(__xludf.DUMMYFUNCTION("""COMPUTED_VALUE"""),"G5472901")</f>
        <v>G5472901</v>
      </c>
      <c r="F692" s="2" t="str">
        <f>IFERROR(__xludf.DUMMYFUNCTION("""COMPUTED_VALUE"""),"Wellyn Grace Alaban Parcia")</f>
        <v>Wellyn Grace Alaban Parcia</v>
      </c>
      <c r="G692" s="2"/>
      <c r="H692" s="2"/>
      <c r="I692" s="2" t="str">
        <f>IFERROR(__xludf.DUMMYFUNCTION("""COMPUTED_VALUE"""),"ICM_Business_linked_launch")</f>
        <v>ICM_Business_linked_launch</v>
      </c>
      <c r="J692" s="2" t="str">
        <f>IFERROR(__xludf.DUMMYFUNCTION("""COMPUTED_VALUE"""),"uuid:6bab1449-bf4f-426d-8abd-80840b718108")</f>
        <v>uuid:6bab1449-bf4f-426d-8abd-80840b718108</v>
      </c>
    </row>
    <row r="693">
      <c r="A693" s="2" t="str">
        <f>IFERROR(__xludf.DUMMYFUNCTION("""COMPUTED_VALUE"""),"2025-09-17T10:49:39.409Z")</f>
        <v>2025-09-17T10:49:39.409Z</v>
      </c>
      <c r="B693" s="2" t="str">
        <f>IFERROR(__xludf.DUMMYFUNCTION("""COMPUTED_VALUE"""),"2025-09-17T14:10:26.189+08")</f>
        <v>2025-09-17T14:10:26.189+08</v>
      </c>
      <c r="C693" s="2" t="str">
        <f>IFERROR(__xludf.DUMMYFUNCTION("""COMPUTED_VALUE"""),"2025-09-17T14:14:14.727+08")</f>
        <v>2025-09-17T14:14:14.727+08</v>
      </c>
      <c r="D693" s="2" t="str">
        <f>IFERROR(__xludf.DUMMYFUNCTION("""COMPUTED_VALUE"""),"H030310026")</f>
        <v>H030310026</v>
      </c>
      <c r="E693" s="2" t="str">
        <f>IFERROR(__xludf.DUMMYFUNCTION("""COMPUTED_VALUE"""),"G5472901")</f>
        <v>G5472901</v>
      </c>
      <c r="F693" s="2" t="str">
        <f>IFERROR(__xludf.DUMMYFUNCTION("""COMPUTED_VALUE"""),"Wellyn Grace Alaban Parcia")</f>
        <v>Wellyn Grace Alaban Parcia</v>
      </c>
      <c r="G693" s="2"/>
      <c r="H693" s="2"/>
      <c r="I693" s="2" t="str">
        <f>IFERROR(__xludf.DUMMYFUNCTION("""COMPUTED_VALUE"""),"ICM_Business_linked_launch")</f>
        <v>ICM_Business_linked_launch</v>
      </c>
      <c r="J693" s="2" t="str">
        <f>IFERROR(__xludf.DUMMYFUNCTION("""COMPUTED_VALUE"""),"uuid:ce54c9d4-439f-4f61-8d8d-20710f2bbe07")</f>
        <v>uuid:ce54c9d4-439f-4f61-8d8d-20710f2bbe07</v>
      </c>
    </row>
    <row r="694">
      <c r="A694" s="2" t="str">
        <f>IFERROR(__xludf.DUMMYFUNCTION("""COMPUTED_VALUE"""),"2025-09-17T10:49:40.342Z")</f>
        <v>2025-09-17T10:49:40.342Z</v>
      </c>
      <c r="B694" s="2" t="str">
        <f>IFERROR(__xludf.DUMMYFUNCTION("""COMPUTED_VALUE"""),"2025-09-17T12:42:08.383+08")</f>
        <v>2025-09-17T12:42:08.383+08</v>
      </c>
      <c r="C694" s="2" t="str">
        <f>IFERROR(__xludf.DUMMYFUNCTION("""COMPUTED_VALUE"""),"2025-09-17T13:09:05.777+08")</f>
        <v>2025-09-17T13:09:05.777+08</v>
      </c>
      <c r="D694" s="2" t="str">
        <f>IFERROR(__xludf.DUMMYFUNCTION("""COMPUTED_VALUE"""),"H030310017")</f>
        <v>H030310017</v>
      </c>
      <c r="E694" s="2" t="str">
        <f>IFERROR(__xludf.DUMMYFUNCTION("""COMPUTED_VALUE"""),"G5472901")</f>
        <v>G5472901</v>
      </c>
      <c r="F694" s="2" t="str">
        <f>IFERROR(__xludf.DUMMYFUNCTION("""COMPUTED_VALUE"""),"Wellyn Grace Alaban Parcia")</f>
        <v>Wellyn Grace Alaban Parcia</v>
      </c>
      <c r="G694" s="2"/>
      <c r="H694" s="2"/>
      <c r="I694" s="2" t="str">
        <f>IFERROR(__xludf.DUMMYFUNCTION("""COMPUTED_VALUE"""),"ICM_Business_linked_launch")</f>
        <v>ICM_Business_linked_launch</v>
      </c>
      <c r="J694" s="2" t="str">
        <f>IFERROR(__xludf.DUMMYFUNCTION("""COMPUTED_VALUE"""),"uuid:160aaeff-bf38-4d59-ac7d-44d4f76e9265")</f>
        <v>uuid:160aaeff-bf38-4d59-ac7d-44d4f76e9265</v>
      </c>
    </row>
    <row r="695">
      <c r="A695" s="2" t="str">
        <f>IFERROR(__xludf.DUMMYFUNCTION("""COMPUTED_VALUE"""),"2025-09-17T11:04:22.876Z")</f>
        <v>2025-09-17T11:04:22.876Z</v>
      </c>
      <c r="B695" s="2" t="str">
        <f>IFERROR(__xludf.DUMMYFUNCTION("""COMPUTED_VALUE"""),"2025-09-17T11:02:11.746+08")</f>
        <v>2025-09-17T11:02:11.746+08</v>
      </c>
      <c r="C695" s="2" t="str">
        <f>IFERROR(__xludf.DUMMYFUNCTION("""COMPUTED_VALUE"""),"2025-09-17T11:27:22.127+08")</f>
        <v>2025-09-17T11:27:22.127+08</v>
      </c>
      <c r="D695" s="2" t="str">
        <f>IFERROR(__xludf.DUMMYFUNCTION("""COMPUTED_VALUE"""),"H006033028")</f>
        <v>H006033028</v>
      </c>
      <c r="E695" s="2" t="str">
        <f>IFERROR(__xludf.DUMMYFUNCTION("""COMPUTED_VALUE"""),"L2057896")</f>
        <v>L2057896</v>
      </c>
      <c r="F695" s="2" t="str">
        <f>IFERROR(__xludf.DUMMYFUNCTION("""COMPUTED_VALUE"""),"Franz Reoben Posadas Geneblaza")</f>
        <v>Franz Reoben Posadas Geneblaza</v>
      </c>
      <c r="G695" s="2"/>
      <c r="H695" s="2"/>
      <c r="I695" s="2" t="str">
        <f>IFERROR(__xludf.DUMMYFUNCTION("""COMPUTED_VALUE"""),"ICM_Business_linked_launch")</f>
        <v>ICM_Business_linked_launch</v>
      </c>
      <c r="J695" s="2" t="str">
        <f>IFERROR(__xludf.DUMMYFUNCTION("""COMPUTED_VALUE"""),"uuid:0c7156b1-e1fc-499e-983d-89f99b8b3135")</f>
        <v>uuid:0c7156b1-e1fc-499e-983d-89f99b8b3135</v>
      </c>
    </row>
    <row r="696">
      <c r="A696" s="2" t="str">
        <f>IFERROR(__xludf.DUMMYFUNCTION("""COMPUTED_VALUE"""),"2025-09-17T11:11:09.870Z")</f>
        <v>2025-09-17T11:11:09.870Z</v>
      </c>
      <c r="B696" s="2" t="str">
        <f>IFERROR(__xludf.DUMMYFUNCTION("""COMPUTED_VALUE"""),"2025-09-17T12:06:21.584+08")</f>
        <v>2025-09-17T12:06:21.584+08</v>
      </c>
      <c r="C696" s="2" t="str">
        <f>IFERROR(__xludf.DUMMYFUNCTION("""COMPUTED_VALUE"""),"2025-09-17T12:39:21.835+08")</f>
        <v>2025-09-17T12:39:21.835+08</v>
      </c>
      <c r="D696" s="2" t="str">
        <f>IFERROR(__xludf.DUMMYFUNCTION("""COMPUTED_VALUE"""),"H006033021")</f>
        <v>H006033021</v>
      </c>
      <c r="E696" s="2" t="str">
        <f>IFERROR(__xludf.DUMMYFUNCTION("""COMPUTED_VALUE"""),"K8623174")</f>
        <v>K8623174</v>
      </c>
      <c r="F696" s="2" t="str">
        <f>IFERROR(__xludf.DUMMYFUNCTION("""COMPUTED_VALUE"""),"Marielle Kaye Ignacio Alonzo")</f>
        <v>Marielle Kaye Ignacio Alonzo</v>
      </c>
      <c r="G696" s="2"/>
      <c r="H696" s="2"/>
      <c r="I696" s="2" t="str">
        <f>IFERROR(__xludf.DUMMYFUNCTION("""COMPUTED_VALUE"""),"ICM_Business_linked_launch")</f>
        <v>ICM_Business_linked_launch</v>
      </c>
      <c r="J696" s="2" t="str">
        <f>IFERROR(__xludf.DUMMYFUNCTION("""COMPUTED_VALUE"""),"uuid:72cd7f4d-37a5-4ff4-ae36-31de01f7e989")</f>
        <v>uuid:72cd7f4d-37a5-4ff4-ae36-31de01f7e989</v>
      </c>
    </row>
    <row r="697">
      <c r="A697" s="2" t="str">
        <f>IFERROR(__xludf.DUMMYFUNCTION("""COMPUTED_VALUE"""),"2025-09-18T09:16:57.177Z")</f>
        <v>2025-09-18T09:16:57.177Z</v>
      </c>
      <c r="B697" s="2" t="str">
        <f>IFERROR(__xludf.DUMMYFUNCTION("""COMPUTED_VALUE"""),"2025-09-18T10:31:31.477+08")</f>
        <v>2025-09-18T10:31:31.477+08</v>
      </c>
      <c r="C697" s="2" t="str">
        <f>IFERROR(__xludf.DUMMYFUNCTION("""COMPUTED_VALUE"""),"2025-09-18T10:34:55.472+08")</f>
        <v>2025-09-18T10:34:55.472+08</v>
      </c>
      <c r="D697" s="2" t="str">
        <f>IFERROR(__xludf.DUMMYFUNCTION("""COMPUTED_VALUE"""),"H004787023")</f>
        <v>H004787023</v>
      </c>
      <c r="E697" s="2">
        <f>IFERROR(__xludf.DUMMYFUNCTION("""COMPUTED_VALUE"""),841329.0)</f>
        <v>841329</v>
      </c>
      <c r="F697" s="2" t="str">
        <f>IFERROR(__xludf.DUMMYFUNCTION("""COMPUTED_VALUE"""),"Aila Eli_2")</f>
        <v>Aila Eli_2</v>
      </c>
      <c r="G697" s="2"/>
      <c r="H697" s="2"/>
      <c r="I697" s="2" t="str">
        <f>IFERROR(__xludf.DUMMYFUNCTION("""COMPUTED_VALUE"""),"ICM_Business_linked_launch")</f>
        <v>ICM_Business_linked_launch</v>
      </c>
      <c r="J697" s="2" t="str">
        <f>IFERROR(__xludf.DUMMYFUNCTION("""COMPUTED_VALUE"""),"uuid:96e4406e-edb4-4af3-b634-c5ca278a1174")</f>
        <v>uuid:96e4406e-edb4-4af3-b634-c5ca278a1174</v>
      </c>
    </row>
    <row r="698">
      <c r="A698" s="2" t="str">
        <f>IFERROR(__xludf.DUMMYFUNCTION("""COMPUTED_VALUE"""),"2025-09-18T09:16:59.193Z")</f>
        <v>2025-09-18T09:16:59.193Z</v>
      </c>
      <c r="B698" s="2" t="str">
        <f>IFERROR(__xludf.DUMMYFUNCTION("""COMPUTED_VALUE"""),"2025-09-18T11:48:14.864+08")</f>
        <v>2025-09-18T11:48:14.864+08</v>
      </c>
      <c r="C698" s="2" t="str">
        <f>IFERROR(__xludf.DUMMYFUNCTION("""COMPUTED_VALUE"""),"2025-09-18T11:51:50.576+08")</f>
        <v>2025-09-18T11:51:50.576+08</v>
      </c>
      <c r="D698" s="2" t="str">
        <f>IFERROR(__xludf.DUMMYFUNCTION("""COMPUTED_VALUE"""),"H004787032")</f>
        <v>H004787032</v>
      </c>
      <c r="E698" s="2">
        <f>IFERROR(__xludf.DUMMYFUNCTION("""COMPUTED_VALUE"""),841329.0)</f>
        <v>841329</v>
      </c>
      <c r="F698" s="2" t="str">
        <f>IFERROR(__xludf.DUMMYFUNCTION("""COMPUTED_VALUE"""),"Aila Eli_2")</f>
        <v>Aila Eli_2</v>
      </c>
      <c r="G698" s="2"/>
      <c r="H698" s="2"/>
      <c r="I698" s="2" t="str">
        <f>IFERROR(__xludf.DUMMYFUNCTION("""COMPUTED_VALUE"""),"ICM_Business_linked_launch")</f>
        <v>ICM_Business_linked_launch</v>
      </c>
      <c r="J698" s="2" t="str">
        <f>IFERROR(__xludf.DUMMYFUNCTION("""COMPUTED_VALUE"""),"uuid:a247b219-f5b6-488c-b78d-f3ee868623b5")</f>
        <v>uuid:a247b219-f5b6-488c-b78d-f3ee868623b5</v>
      </c>
    </row>
    <row r="699">
      <c r="A699" s="2" t="str">
        <f>IFERROR(__xludf.DUMMYFUNCTION("""COMPUTED_VALUE"""),"2025-09-18T09:17:01.131Z")</f>
        <v>2025-09-18T09:17:01.131Z</v>
      </c>
      <c r="B699" s="2" t="str">
        <f>IFERROR(__xludf.DUMMYFUNCTION("""COMPUTED_VALUE"""),"2025-09-18T13:07:45.178+08")</f>
        <v>2025-09-18T13:07:45.178+08</v>
      </c>
      <c r="C699" s="2" t="str">
        <f>IFERROR(__xludf.DUMMYFUNCTION("""COMPUTED_VALUE"""),"2025-09-18T13:15:02.379+08")</f>
        <v>2025-09-18T13:15:02.379+08</v>
      </c>
      <c r="D699" s="2" t="str">
        <f>IFERROR(__xludf.DUMMYFUNCTION("""COMPUTED_VALUE"""),"H004787029")</f>
        <v>H004787029</v>
      </c>
      <c r="E699" s="2">
        <f>IFERROR(__xludf.DUMMYFUNCTION("""COMPUTED_VALUE"""),841329.0)</f>
        <v>841329</v>
      </c>
      <c r="F699" s="2" t="str">
        <f>IFERROR(__xludf.DUMMYFUNCTION("""COMPUTED_VALUE"""),"Aila Eli_2")</f>
        <v>Aila Eli_2</v>
      </c>
      <c r="G699" s="2"/>
      <c r="H699" s="2"/>
      <c r="I699" s="2" t="str">
        <f>IFERROR(__xludf.DUMMYFUNCTION("""COMPUTED_VALUE"""),"ICM_Business_linked_launch")</f>
        <v>ICM_Business_linked_launch</v>
      </c>
      <c r="J699" s="2" t="str">
        <f>IFERROR(__xludf.DUMMYFUNCTION("""COMPUTED_VALUE"""),"uuid:38cdbef9-2ad3-4473-af91-00013560d984")</f>
        <v>uuid:38cdbef9-2ad3-4473-af91-00013560d984</v>
      </c>
    </row>
    <row r="700">
      <c r="A700" s="2" t="str">
        <f>IFERROR(__xludf.DUMMYFUNCTION("""COMPUTED_VALUE"""),"2025-09-18T09:17:02.940Z")</f>
        <v>2025-09-18T09:17:02.940Z</v>
      </c>
      <c r="B700" s="2" t="str">
        <f>IFERROR(__xludf.DUMMYFUNCTION("""COMPUTED_VALUE"""),"2025-09-18T14:43:27.828+08")</f>
        <v>2025-09-18T14:43:27.828+08</v>
      </c>
      <c r="C700" s="2" t="str">
        <f>IFERROR(__xludf.DUMMYFUNCTION("""COMPUTED_VALUE"""),"2025-09-18T14:46:33.058+08")</f>
        <v>2025-09-18T14:46:33.058+08</v>
      </c>
      <c r="D700" s="2" t="str">
        <f>IFERROR(__xludf.DUMMYFUNCTION("""COMPUTED_VALUE"""),"H004787022")</f>
        <v>H004787022</v>
      </c>
      <c r="E700" s="2">
        <f>IFERROR(__xludf.DUMMYFUNCTION("""COMPUTED_VALUE"""),841329.0)</f>
        <v>841329</v>
      </c>
      <c r="F700" s="2" t="str">
        <f>IFERROR(__xludf.DUMMYFUNCTION("""COMPUTED_VALUE"""),"Aila Eli_2")</f>
        <v>Aila Eli_2</v>
      </c>
      <c r="G700" s="2"/>
      <c r="H700" s="2"/>
      <c r="I700" s="2" t="str">
        <f>IFERROR(__xludf.DUMMYFUNCTION("""COMPUTED_VALUE"""),"ICM_Business_linked_launch")</f>
        <v>ICM_Business_linked_launch</v>
      </c>
      <c r="J700" s="2" t="str">
        <f>IFERROR(__xludf.DUMMYFUNCTION("""COMPUTED_VALUE"""),"uuid:7c91bb89-00eb-4821-a40e-bd879d466c91")</f>
        <v>uuid:7c91bb89-00eb-4821-a40e-bd879d466c91</v>
      </c>
    </row>
    <row r="701">
      <c r="A701" s="2" t="str">
        <f>IFERROR(__xludf.DUMMYFUNCTION("""COMPUTED_VALUE"""),"2025-09-18T10:33:04.351Z")</f>
        <v>2025-09-18T10:33:04.351Z</v>
      </c>
      <c r="B701" s="2" t="str">
        <f>IFERROR(__xludf.DUMMYFUNCTION("""COMPUTED_VALUE"""),"2025-09-18T10:17:22.976+08")</f>
        <v>2025-09-18T10:17:22.976+08</v>
      </c>
      <c r="C701" s="2" t="str">
        <f>IFERROR(__xludf.DUMMYFUNCTION("""COMPUTED_VALUE"""),"2025-09-18T10:25:40.933+08")</f>
        <v>2025-09-18T10:25:40.933+08</v>
      </c>
      <c r="D701" s="2" t="str">
        <f>IFERROR(__xludf.DUMMYFUNCTION("""COMPUTED_VALUE"""),"H006029028")</f>
        <v>H006029028</v>
      </c>
      <c r="E701" s="2" t="str">
        <f>IFERROR(__xludf.DUMMYFUNCTION("""COMPUTED_VALUE"""),"N7814260")</f>
        <v>N7814260</v>
      </c>
      <c r="F701" s="2" t="str">
        <f>IFERROR(__xludf.DUMMYFUNCTION("""COMPUTED_VALUE"""),"Jemma Marie Tillo")</f>
        <v>Jemma Marie Tillo</v>
      </c>
      <c r="G701" s="2"/>
      <c r="H701" s="2"/>
      <c r="I701" s="2" t="str">
        <f>IFERROR(__xludf.DUMMYFUNCTION("""COMPUTED_VALUE"""),"ICM_Business_linked_launch")</f>
        <v>ICM_Business_linked_launch</v>
      </c>
      <c r="J701" s="2" t="str">
        <f>IFERROR(__xludf.DUMMYFUNCTION("""COMPUTED_VALUE"""),"uuid:485d9876-14fb-47e9-8d12-55783d260380")</f>
        <v>uuid:485d9876-14fb-47e9-8d12-55783d260380</v>
      </c>
    </row>
    <row r="702">
      <c r="A702" s="2" t="str">
        <f>IFERROR(__xludf.DUMMYFUNCTION("""COMPUTED_VALUE"""),"2025-09-18T10:33:06.229Z")</f>
        <v>2025-09-18T10:33:06.229Z</v>
      </c>
      <c r="B702" s="2" t="str">
        <f>IFERROR(__xludf.DUMMYFUNCTION("""COMPUTED_VALUE"""),"2025-09-18T13:57:22.593+08")</f>
        <v>2025-09-18T13:57:22.593+08</v>
      </c>
      <c r="C702" s="2" t="str">
        <f>IFERROR(__xludf.DUMMYFUNCTION("""COMPUTED_VALUE"""),"2025-09-18T14:01:52.236+08")</f>
        <v>2025-09-18T14:01:52.236+08</v>
      </c>
      <c r="D702" s="2" t="str">
        <f>IFERROR(__xludf.DUMMYFUNCTION("""COMPUTED_VALUE"""),"H006029016")</f>
        <v>H006029016</v>
      </c>
      <c r="E702" s="2" t="str">
        <f>IFERROR(__xludf.DUMMYFUNCTION("""COMPUTED_VALUE"""),"N7814260")</f>
        <v>N7814260</v>
      </c>
      <c r="F702" s="2" t="str">
        <f>IFERROR(__xludf.DUMMYFUNCTION("""COMPUTED_VALUE"""),"Jemma Marie Tillo")</f>
        <v>Jemma Marie Tillo</v>
      </c>
      <c r="G702" s="2"/>
      <c r="H702" s="2"/>
      <c r="I702" s="2" t="str">
        <f>IFERROR(__xludf.DUMMYFUNCTION("""COMPUTED_VALUE"""),"ICM_Business_linked_launch")</f>
        <v>ICM_Business_linked_launch</v>
      </c>
      <c r="J702" s="2" t="str">
        <f>IFERROR(__xludf.DUMMYFUNCTION("""COMPUTED_VALUE"""),"uuid:3dfa21ea-e6b4-4c52-a8a1-295beac1da84")</f>
        <v>uuid:3dfa21ea-e6b4-4c52-a8a1-295beac1da84</v>
      </c>
    </row>
    <row r="703">
      <c r="A703" s="2" t="str">
        <f>IFERROR(__xludf.DUMMYFUNCTION("""COMPUTED_VALUE"""),"2025-09-18T10:33:11.278Z")</f>
        <v>2025-09-18T10:33:11.278Z</v>
      </c>
      <c r="B703" s="2" t="str">
        <f>IFERROR(__xludf.DUMMYFUNCTION("""COMPUTED_VALUE"""),"2025-09-18T09:54:16.238+08")</f>
        <v>2025-09-18T09:54:16.238+08</v>
      </c>
      <c r="C703" s="2" t="str">
        <f>IFERROR(__xludf.DUMMYFUNCTION("""COMPUTED_VALUE"""),"2025-09-18T10:03:57.650+08")</f>
        <v>2025-09-18T10:03:57.650+08</v>
      </c>
      <c r="D703" s="2" t="str">
        <f>IFERROR(__xludf.DUMMYFUNCTION("""COMPUTED_VALUE"""),"H006417022")</f>
        <v>H006417022</v>
      </c>
      <c r="E703" s="2" t="str">
        <f>IFERROR(__xludf.DUMMYFUNCTION("""COMPUTED_VALUE"""),"M6491032")</f>
        <v>M6491032</v>
      </c>
      <c r="F703" s="2" t="str">
        <f>IFERROR(__xludf.DUMMYFUNCTION("""COMPUTED_VALUE"""),"Rosevil Tayo Desamparado")</f>
        <v>Rosevil Tayo Desamparado</v>
      </c>
      <c r="G703" s="2"/>
      <c r="H703" s="2"/>
      <c r="I703" s="2" t="str">
        <f>IFERROR(__xludf.DUMMYFUNCTION("""COMPUTED_VALUE"""),"ICM_Business_linked_launch")</f>
        <v>ICM_Business_linked_launch</v>
      </c>
      <c r="J703" s="2" t="str">
        <f>IFERROR(__xludf.DUMMYFUNCTION("""COMPUTED_VALUE"""),"uuid:2286993e-c620-46c8-bc9e-9414195ecf69")</f>
        <v>uuid:2286993e-c620-46c8-bc9e-9414195ecf69</v>
      </c>
    </row>
    <row r="704">
      <c r="A704" s="2" t="str">
        <f>IFERROR(__xludf.DUMMYFUNCTION("""COMPUTED_VALUE"""),"2025-09-18T10:33:35.236Z")</f>
        <v>2025-09-18T10:33:35.236Z</v>
      </c>
      <c r="B704" s="2" t="str">
        <f>IFERROR(__xludf.DUMMYFUNCTION("""COMPUTED_VALUE"""),"2025-09-18T11:09:31.230+08")</f>
        <v>2025-09-18T11:09:31.230+08</v>
      </c>
      <c r="C704" s="2" t="str">
        <f>IFERROR(__xludf.DUMMYFUNCTION("""COMPUTED_VALUE"""),"2025-09-18T15:36:13.256+08")</f>
        <v>2025-09-18T15:36:13.256+08</v>
      </c>
      <c r="D704" s="2" t="str">
        <f>IFERROR(__xludf.DUMMYFUNCTION("""COMPUTED_VALUE"""),"H006417024")</f>
        <v>H006417024</v>
      </c>
      <c r="E704" s="2" t="str">
        <f>IFERROR(__xludf.DUMMYFUNCTION("""COMPUTED_VALUE"""),"M6491032")</f>
        <v>M6491032</v>
      </c>
      <c r="F704" s="2" t="str">
        <f>IFERROR(__xludf.DUMMYFUNCTION("""COMPUTED_VALUE"""),"Rosevil Tayo Desamparado")</f>
        <v>Rosevil Tayo Desamparado</v>
      </c>
      <c r="G704" s="2"/>
      <c r="H704" s="2"/>
      <c r="I704" s="2" t="str">
        <f>IFERROR(__xludf.DUMMYFUNCTION("""COMPUTED_VALUE"""),"ICM_Business_linked_launch")</f>
        <v>ICM_Business_linked_launch</v>
      </c>
      <c r="J704" s="2" t="str">
        <f>IFERROR(__xludf.DUMMYFUNCTION("""COMPUTED_VALUE"""),"uuid:4ac5cc94-c829-4f07-9720-a63a103763b0")</f>
        <v>uuid:4ac5cc94-c829-4f07-9720-a63a103763b0</v>
      </c>
    </row>
    <row r="705">
      <c r="A705" s="2" t="str">
        <f>IFERROR(__xludf.DUMMYFUNCTION("""COMPUTED_VALUE"""),"2025-09-18T10:43:42.717Z")</f>
        <v>2025-09-18T10:43:42.717Z</v>
      </c>
      <c r="B705" s="2" t="str">
        <f>IFERROR(__xludf.DUMMYFUNCTION("""COMPUTED_VALUE"""),"2025-09-18T10:27:50.906+08")</f>
        <v>2025-09-18T10:27:50.906+08</v>
      </c>
      <c r="C705" s="2" t="str">
        <f>IFERROR(__xludf.DUMMYFUNCTION("""COMPUTED_VALUE"""),"2025-09-18T10:35:24.064+08")</f>
        <v>2025-09-18T10:35:24.064+08</v>
      </c>
      <c r="D705" s="2" t="str">
        <f>IFERROR(__xludf.DUMMYFUNCTION("""COMPUTED_VALUE"""),"H006029022")</f>
        <v>H006029022</v>
      </c>
      <c r="E705" s="2" t="str">
        <f>IFERROR(__xludf.DUMMYFUNCTION("""COMPUTED_VALUE"""),"O3925718")</f>
        <v>O3925718</v>
      </c>
      <c r="F705" s="2" t="str">
        <f>IFERROR(__xludf.DUMMYFUNCTION("""COMPUTED_VALUE"""),"Adrian Montecastro Ferrer")</f>
        <v>Adrian Montecastro Ferrer</v>
      </c>
      <c r="G705" s="2"/>
      <c r="H705" s="2"/>
      <c r="I705" s="2" t="str">
        <f>IFERROR(__xludf.DUMMYFUNCTION("""COMPUTED_VALUE"""),"ICM_Business_linked_launch")</f>
        <v>ICM_Business_linked_launch</v>
      </c>
      <c r="J705" s="2" t="str">
        <f>IFERROR(__xludf.DUMMYFUNCTION("""COMPUTED_VALUE"""),"uuid:0f482d8e-6dbf-4260-af41-e7709fa4732a")</f>
        <v>uuid:0f482d8e-6dbf-4260-af41-e7709fa4732a</v>
      </c>
    </row>
    <row r="706">
      <c r="A706" s="2" t="str">
        <f>IFERROR(__xludf.DUMMYFUNCTION("""COMPUTED_VALUE"""),"2025-09-18T10:43:57.125Z")</f>
        <v>2025-09-18T10:43:57.125Z</v>
      </c>
      <c r="B706" s="2" t="str">
        <f>IFERROR(__xludf.DUMMYFUNCTION("""COMPUTED_VALUE"""),"2025-09-18T13:59:48.810+08")</f>
        <v>2025-09-18T13:59:48.810+08</v>
      </c>
      <c r="C706" s="2" t="str">
        <f>IFERROR(__xludf.DUMMYFUNCTION("""COMPUTED_VALUE"""),"2025-09-18T14:18:27.312+08")</f>
        <v>2025-09-18T14:18:27.312+08</v>
      </c>
      <c r="D706" s="2" t="str">
        <f>IFERROR(__xludf.DUMMYFUNCTION("""COMPUTED_VALUE"""),"H006029035")</f>
        <v>H006029035</v>
      </c>
      <c r="E706" s="2" t="str">
        <f>IFERROR(__xludf.DUMMYFUNCTION("""COMPUTED_VALUE"""),"O3925718")</f>
        <v>O3925718</v>
      </c>
      <c r="F706" s="2" t="str">
        <f>IFERROR(__xludf.DUMMYFUNCTION("""COMPUTED_VALUE"""),"Adrian Montecastro Ferrer")</f>
        <v>Adrian Montecastro Ferrer</v>
      </c>
      <c r="G706" s="2"/>
      <c r="H706" s="2"/>
      <c r="I706" s="2" t="str">
        <f>IFERROR(__xludf.DUMMYFUNCTION("""COMPUTED_VALUE"""),"ICM_Business_linked_launch")</f>
        <v>ICM_Business_linked_launch</v>
      </c>
      <c r="J706" s="2" t="str">
        <f>IFERROR(__xludf.DUMMYFUNCTION("""COMPUTED_VALUE"""),"uuid:fd4723ea-aa1f-41ff-b5ed-acb9f80a5699")</f>
        <v>uuid:fd4723ea-aa1f-41ff-b5ed-acb9f80a5699</v>
      </c>
    </row>
    <row r="707">
      <c r="A707" s="2" t="str">
        <f>IFERROR(__xludf.DUMMYFUNCTION("""COMPUTED_VALUE"""),"2025-09-18T10:44:01.212Z")</f>
        <v>2025-09-18T10:44:01.212Z</v>
      </c>
      <c r="B707" s="2" t="str">
        <f>IFERROR(__xludf.DUMMYFUNCTION("""COMPUTED_VALUE"""),"2025-09-18T11:36:47.125+08")</f>
        <v>2025-09-18T11:36:47.125+08</v>
      </c>
      <c r="C707" s="2" t="str">
        <f>IFERROR(__xludf.DUMMYFUNCTION("""COMPUTED_VALUE"""),"2025-09-18T11:47:54.256+08")</f>
        <v>2025-09-18T11:47:54.256+08</v>
      </c>
      <c r="D707" s="2" t="str">
        <f>IFERROR(__xludf.DUMMYFUNCTION("""COMPUTED_VALUE"""),"H006029024")</f>
        <v>H006029024</v>
      </c>
      <c r="E707" s="2" t="str">
        <f>IFERROR(__xludf.DUMMYFUNCTION("""COMPUTED_VALUE"""),"O3925718")</f>
        <v>O3925718</v>
      </c>
      <c r="F707" s="2" t="str">
        <f>IFERROR(__xludf.DUMMYFUNCTION("""COMPUTED_VALUE"""),"Adrian Montecastro Ferrer")</f>
        <v>Adrian Montecastro Ferrer</v>
      </c>
      <c r="G707" s="2"/>
      <c r="H707" s="2"/>
      <c r="I707" s="2" t="str">
        <f>IFERROR(__xludf.DUMMYFUNCTION("""COMPUTED_VALUE"""),"ICM_Business_linked_launch")</f>
        <v>ICM_Business_linked_launch</v>
      </c>
      <c r="J707" s="2" t="str">
        <f>IFERROR(__xludf.DUMMYFUNCTION("""COMPUTED_VALUE"""),"uuid:963b267c-fe5b-436a-8cfc-dbe1c5e2703d")</f>
        <v>uuid:963b267c-fe5b-436a-8cfc-dbe1c5e2703d</v>
      </c>
    </row>
    <row r="708">
      <c r="A708" s="2" t="str">
        <f>IFERROR(__xludf.DUMMYFUNCTION("""COMPUTED_VALUE"""),"2025-09-18T10:47:08.164Z")</f>
        <v>2025-09-18T10:47:08.164Z</v>
      </c>
      <c r="B708" s="2" t="str">
        <f>IFERROR(__xludf.DUMMYFUNCTION("""COMPUTED_VALUE"""),"2025-09-18T16:08:48.317+08")</f>
        <v>2025-09-18T16:08:48.317+08</v>
      </c>
      <c r="C708" s="2" t="str">
        <f>IFERROR(__xludf.DUMMYFUNCTION("""COMPUTED_VALUE"""),"2025-09-18T16:56:57.164+08")</f>
        <v>2025-09-18T16:56:57.164+08</v>
      </c>
      <c r="D708" s="2" t="str">
        <f>IFERROR(__xludf.DUMMYFUNCTION("""COMPUTED_VALUE"""),"H030031021")</f>
        <v>H030031021</v>
      </c>
      <c r="E708" s="2" t="str">
        <f>IFERROR(__xludf.DUMMYFUNCTION("""COMPUTED_VALUE"""),"C7502931")</f>
        <v>C7502931</v>
      </c>
      <c r="F708" s="2" t="str">
        <f>IFERROR(__xludf.DUMMYFUNCTION("""COMPUTED_VALUE"""),"Jenny Lou Toles Estacio")</f>
        <v>Jenny Lou Toles Estacio</v>
      </c>
      <c r="G708" s="2"/>
      <c r="H708" s="2"/>
      <c r="I708" s="2" t="str">
        <f>IFERROR(__xludf.DUMMYFUNCTION("""COMPUTED_VALUE"""),"ICM_Business_linked_launch")</f>
        <v>ICM_Business_linked_launch</v>
      </c>
      <c r="J708" s="2" t="str">
        <f>IFERROR(__xludf.DUMMYFUNCTION("""COMPUTED_VALUE"""),"uuid:b7277d91-e6eb-48d9-b661-bd1def2ea109")</f>
        <v>uuid:b7277d91-e6eb-48d9-b661-bd1def2ea109</v>
      </c>
    </row>
    <row r="709">
      <c r="A709" s="2" t="str">
        <f>IFERROR(__xludf.DUMMYFUNCTION("""COMPUTED_VALUE"""),"2025-09-18T10:47:10.489Z")</f>
        <v>2025-09-18T10:47:10.489Z</v>
      </c>
      <c r="B709" s="2" t="str">
        <f>IFERROR(__xludf.DUMMYFUNCTION("""COMPUTED_VALUE"""),"2025-09-18T12:31:36.265+08")</f>
        <v>2025-09-18T12:31:36.265+08</v>
      </c>
      <c r="C709" s="2" t="str">
        <f>IFERROR(__xludf.DUMMYFUNCTION("""COMPUTED_VALUE"""),"2025-09-18T16:59:30.881+08")</f>
        <v>2025-09-18T16:59:30.881+08</v>
      </c>
      <c r="D709" s="2" t="str">
        <f>IFERROR(__xludf.DUMMYFUNCTION("""COMPUTED_VALUE"""),"H030031020")</f>
        <v>H030031020</v>
      </c>
      <c r="E709" s="2" t="str">
        <f>IFERROR(__xludf.DUMMYFUNCTION("""COMPUTED_VALUE"""),"C7502931")</f>
        <v>C7502931</v>
      </c>
      <c r="F709" s="2" t="str">
        <f>IFERROR(__xludf.DUMMYFUNCTION("""COMPUTED_VALUE"""),"Jenny Lou Toles Estacio")</f>
        <v>Jenny Lou Toles Estacio</v>
      </c>
      <c r="G709" s="2"/>
      <c r="H709" s="2"/>
      <c r="I709" s="2" t="str">
        <f>IFERROR(__xludf.DUMMYFUNCTION("""COMPUTED_VALUE"""),"ICM_Business_linked_launch")</f>
        <v>ICM_Business_linked_launch</v>
      </c>
      <c r="J709" s="2" t="str">
        <f>IFERROR(__xludf.DUMMYFUNCTION("""COMPUTED_VALUE"""),"uuid:5572652d-8355-42f1-84dd-29e1f201b8c2")</f>
        <v>uuid:5572652d-8355-42f1-84dd-29e1f201b8c2</v>
      </c>
    </row>
    <row r="710">
      <c r="A710" s="2" t="str">
        <f>IFERROR(__xludf.DUMMYFUNCTION("""COMPUTED_VALUE"""),"2025-09-18T10:47:09.580Z")</f>
        <v>2025-09-18T10:47:09.580Z</v>
      </c>
      <c r="B710" s="2" t="str">
        <f>IFERROR(__xludf.DUMMYFUNCTION("""COMPUTED_VALUE"""),"2025-09-18T09:57:30.401+08")</f>
        <v>2025-09-18T09:57:30.401+08</v>
      </c>
      <c r="C710" s="2" t="str">
        <f>IFERROR(__xludf.DUMMYFUNCTION("""COMPUTED_VALUE"""),"2025-09-18T16:58:35.772+08")</f>
        <v>2025-09-18T16:58:35.772+08</v>
      </c>
      <c r="D710" s="2" t="str">
        <f>IFERROR(__xludf.DUMMYFUNCTION("""COMPUTED_VALUE"""),"H030031002")</f>
        <v>H030031002</v>
      </c>
      <c r="E710" s="2" t="str">
        <f>IFERROR(__xludf.DUMMYFUNCTION("""COMPUTED_VALUE"""),"C7502931")</f>
        <v>C7502931</v>
      </c>
      <c r="F710" s="2" t="str">
        <f>IFERROR(__xludf.DUMMYFUNCTION("""COMPUTED_VALUE"""),"Jenny Lou Toles Estacio")</f>
        <v>Jenny Lou Toles Estacio</v>
      </c>
      <c r="G710" s="2"/>
      <c r="H710" s="2"/>
      <c r="I710" s="2" t="str">
        <f>IFERROR(__xludf.DUMMYFUNCTION("""COMPUTED_VALUE"""),"ICM_Business_linked_launch")</f>
        <v>ICM_Business_linked_launch</v>
      </c>
      <c r="J710" s="2" t="str">
        <f>IFERROR(__xludf.DUMMYFUNCTION("""COMPUTED_VALUE"""),"uuid:c260bf4a-7b25-4695-ba54-97a0f8c3468c")</f>
        <v>uuid:c260bf4a-7b25-4695-ba54-97a0f8c3468c</v>
      </c>
    </row>
    <row r="711">
      <c r="A711" s="2" t="str">
        <f>IFERROR(__xludf.DUMMYFUNCTION("""COMPUTED_VALUE"""),"2025-09-18T10:47:31.631Z")</f>
        <v>2025-09-18T10:47:31.631Z</v>
      </c>
      <c r="B711" s="2" t="str">
        <f>IFERROR(__xludf.DUMMYFUNCTION("""COMPUTED_VALUE"""),"2025-09-18T10:23:01.205+08")</f>
        <v>2025-09-18T10:23:01.205+08</v>
      </c>
      <c r="C711" s="2" t="str">
        <f>IFERROR(__xludf.DUMMYFUNCTION("""COMPUTED_VALUE"""),"2025-09-18T10:38:59.593+08")</f>
        <v>2025-09-18T10:38:59.593+08</v>
      </c>
      <c r="D711" s="2" t="str">
        <f>IFERROR(__xludf.DUMMYFUNCTION("""COMPUTED_VALUE"""),"H006417019")</f>
        <v>H006417019</v>
      </c>
      <c r="E711" s="2" t="str">
        <f>IFERROR(__xludf.DUMMYFUNCTION("""COMPUTED_VALUE"""),"L2057896")</f>
        <v>L2057896</v>
      </c>
      <c r="F711" s="2" t="str">
        <f>IFERROR(__xludf.DUMMYFUNCTION("""COMPUTED_VALUE"""),"Franz Reoben Posadas Geneblaza")</f>
        <v>Franz Reoben Posadas Geneblaza</v>
      </c>
      <c r="G711" s="2"/>
      <c r="H711" s="2"/>
      <c r="I711" s="2" t="str">
        <f>IFERROR(__xludf.DUMMYFUNCTION("""COMPUTED_VALUE"""),"ICM_Business_linked_launch")</f>
        <v>ICM_Business_linked_launch</v>
      </c>
      <c r="J711" s="2" t="str">
        <f>IFERROR(__xludf.DUMMYFUNCTION("""COMPUTED_VALUE"""),"uuid:fc5fcb3b-e0dc-4d6d-88d3-d395cd017ab8")</f>
        <v>uuid:fc5fcb3b-e0dc-4d6d-88d3-d395cd017ab8</v>
      </c>
    </row>
    <row r="712">
      <c r="A712" s="2" t="str">
        <f>IFERROR(__xludf.DUMMYFUNCTION("""COMPUTED_VALUE"""),"2025-09-18T10:47:37.542Z")</f>
        <v>2025-09-18T10:47:37.542Z</v>
      </c>
      <c r="B712" s="2" t="str">
        <f>IFERROR(__xludf.DUMMYFUNCTION("""COMPUTED_VALUE"""),"2025-09-18T12:35:34.670+08")</f>
        <v>2025-09-18T12:35:34.670+08</v>
      </c>
      <c r="C712" s="2" t="str">
        <f>IFERROR(__xludf.DUMMYFUNCTION("""COMPUTED_VALUE"""),"2025-09-18T12:42:44.460+08")</f>
        <v>2025-09-18T12:42:44.460+08</v>
      </c>
      <c r="D712" s="2" t="str">
        <f>IFERROR(__xludf.DUMMYFUNCTION("""COMPUTED_VALUE"""),"H006417034")</f>
        <v>H006417034</v>
      </c>
      <c r="E712" s="2" t="str">
        <f>IFERROR(__xludf.DUMMYFUNCTION("""COMPUTED_VALUE"""),"L2057896")</f>
        <v>L2057896</v>
      </c>
      <c r="F712" s="2" t="str">
        <f>IFERROR(__xludf.DUMMYFUNCTION("""COMPUTED_VALUE"""),"Franz Reoben Posadas Geneblaza")</f>
        <v>Franz Reoben Posadas Geneblaza</v>
      </c>
      <c r="G712" s="2"/>
      <c r="H712" s="2"/>
      <c r="I712" s="2" t="str">
        <f>IFERROR(__xludf.DUMMYFUNCTION("""COMPUTED_VALUE"""),"ICM_Business_linked_launch")</f>
        <v>ICM_Business_linked_launch</v>
      </c>
      <c r="J712" s="2" t="str">
        <f>IFERROR(__xludf.DUMMYFUNCTION("""COMPUTED_VALUE"""),"uuid:ba36fc04-b008-44f2-9bbb-44ea9f449797")</f>
        <v>uuid:ba36fc04-b008-44f2-9bbb-44ea9f449797</v>
      </c>
    </row>
    <row r="713">
      <c r="A713" s="2" t="str">
        <f>IFERROR(__xludf.DUMMYFUNCTION("""COMPUTED_VALUE"""),"2025-09-18T10:47:40.302Z")</f>
        <v>2025-09-18T10:47:40.302Z</v>
      </c>
      <c r="B713" s="2" t="str">
        <f>IFERROR(__xludf.DUMMYFUNCTION("""COMPUTED_VALUE"""),"2025-09-18T13:55:01.245+08")</f>
        <v>2025-09-18T13:55:01.245+08</v>
      </c>
      <c r="C713" s="2" t="str">
        <f>IFERROR(__xludf.DUMMYFUNCTION("""COMPUTED_VALUE"""),"2025-09-18T14:03:08.658+08")</f>
        <v>2025-09-18T14:03:08.658+08</v>
      </c>
      <c r="D713" s="2" t="str">
        <f>IFERROR(__xludf.DUMMYFUNCTION("""COMPUTED_VALUE"""),"H006417029")</f>
        <v>H006417029</v>
      </c>
      <c r="E713" s="2" t="str">
        <f>IFERROR(__xludf.DUMMYFUNCTION("""COMPUTED_VALUE"""),"L2057896")</f>
        <v>L2057896</v>
      </c>
      <c r="F713" s="2" t="str">
        <f>IFERROR(__xludf.DUMMYFUNCTION("""COMPUTED_VALUE"""),"Franz Reoben Posadas Geneblaza")</f>
        <v>Franz Reoben Posadas Geneblaza</v>
      </c>
      <c r="G713" s="2"/>
      <c r="H713" s="2"/>
      <c r="I713" s="2" t="str">
        <f>IFERROR(__xludf.DUMMYFUNCTION("""COMPUTED_VALUE"""),"ICM_Business_linked_launch")</f>
        <v>ICM_Business_linked_launch</v>
      </c>
      <c r="J713" s="2" t="str">
        <f>IFERROR(__xludf.DUMMYFUNCTION("""COMPUTED_VALUE"""),"uuid:2a77b72f-3988-4797-b5c0-67ccaa7008c7")</f>
        <v>uuid:2a77b72f-3988-4797-b5c0-67ccaa7008c7</v>
      </c>
    </row>
    <row r="714">
      <c r="A714" s="2" t="str">
        <f>IFERROR(__xludf.DUMMYFUNCTION("""COMPUTED_VALUE"""),"2025-09-18T10:49:01.729Z")</f>
        <v>2025-09-18T10:49:01.729Z</v>
      </c>
      <c r="B714" s="2" t="str">
        <f>IFERROR(__xludf.DUMMYFUNCTION("""COMPUTED_VALUE"""),"2025-09-18T15:33:42.390+08")</f>
        <v>2025-09-18T15:33:42.390+08</v>
      </c>
      <c r="C714" s="2" t="str">
        <f>IFERROR(__xludf.DUMMYFUNCTION("""COMPUTED_VALUE"""),"2025-09-18T16:55:57.980+08")</f>
        <v>2025-09-18T16:55:57.980+08</v>
      </c>
      <c r="D714" s="2" t="str">
        <f>IFERROR(__xludf.DUMMYFUNCTION("""COMPUTED_VALUE"""),"H030031019")</f>
        <v>H030031019</v>
      </c>
      <c r="E714" s="2" t="str">
        <f>IFERROR(__xludf.DUMMYFUNCTION("""COMPUTED_VALUE"""),"D1284067")</f>
        <v>D1284067</v>
      </c>
      <c r="F714" s="2" t="str">
        <f>IFERROR(__xludf.DUMMYFUNCTION("""COMPUTED_VALUE"""),"Mariel Del Rio")</f>
        <v>Mariel Del Rio</v>
      </c>
      <c r="G714" s="2"/>
      <c r="H714" s="2"/>
      <c r="I714" s="2" t="str">
        <f>IFERROR(__xludf.DUMMYFUNCTION("""COMPUTED_VALUE"""),"ICM_Business_linked_launch")</f>
        <v>ICM_Business_linked_launch</v>
      </c>
      <c r="J714" s="2" t="str">
        <f>IFERROR(__xludf.DUMMYFUNCTION("""COMPUTED_VALUE"""),"uuid:0dce67bb-9242-44f7-9a36-a49b4b86878d")</f>
        <v>uuid:0dce67bb-9242-44f7-9a36-a49b4b86878d</v>
      </c>
    </row>
    <row r="715">
      <c r="A715" s="2" t="str">
        <f>IFERROR(__xludf.DUMMYFUNCTION("""COMPUTED_VALUE"""),"2025-09-18T10:49:02.715Z")</f>
        <v>2025-09-18T10:49:02.715Z</v>
      </c>
      <c r="B715" s="2" t="str">
        <f>IFERROR(__xludf.DUMMYFUNCTION("""COMPUTED_VALUE"""),"2025-09-18T10:08:25.010+08")</f>
        <v>2025-09-18T10:08:25.010+08</v>
      </c>
      <c r="C715" s="2" t="str">
        <f>IFERROR(__xludf.DUMMYFUNCTION("""COMPUTED_VALUE"""),"2025-09-18T17:07:25.542+08")</f>
        <v>2025-09-18T17:07:25.542+08</v>
      </c>
      <c r="D715" s="2" t="str">
        <f>IFERROR(__xludf.DUMMYFUNCTION("""COMPUTED_VALUE"""),"H030031026")</f>
        <v>H030031026</v>
      </c>
      <c r="E715" s="2" t="str">
        <f>IFERROR(__xludf.DUMMYFUNCTION("""COMPUTED_VALUE"""),"D1284067")</f>
        <v>D1284067</v>
      </c>
      <c r="F715" s="2" t="str">
        <f>IFERROR(__xludf.DUMMYFUNCTION("""COMPUTED_VALUE"""),"Mariel Del Rio")</f>
        <v>Mariel Del Rio</v>
      </c>
      <c r="G715" s="2"/>
      <c r="H715" s="2"/>
      <c r="I715" s="2" t="str">
        <f>IFERROR(__xludf.DUMMYFUNCTION("""COMPUTED_VALUE"""),"ICM_Business_linked_launch")</f>
        <v>ICM_Business_linked_launch</v>
      </c>
      <c r="J715" s="2" t="str">
        <f>IFERROR(__xludf.DUMMYFUNCTION("""COMPUTED_VALUE"""),"uuid:ca19e407-5a1f-4c76-b455-6b6f0d2cb83a")</f>
        <v>uuid:ca19e407-5a1f-4c76-b455-6b6f0d2cb83a</v>
      </c>
    </row>
    <row r="716">
      <c r="A716" s="2" t="str">
        <f>IFERROR(__xludf.DUMMYFUNCTION("""COMPUTED_VALUE"""),"2025-09-18T10:49:03.881Z")</f>
        <v>2025-09-18T10:49:03.881Z</v>
      </c>
      <c r="B716" s="2" t="str">
        <f>IFERROR(__xludf.DUMMYFUNCTION("""COMPUTED_VALUE"""),"2025-09-18T11:57:13.021+08")</f>
        <v>2025-09-18T11:57:13.021+08</v>
      </c>
      <c r="C716" s="2" t="str">
        <f>IFERROR(__xludf.DUMMYFUNCTION("""COMPUTED_VALUE"""),"2025-09-18T17:16:27.117+08")</f>
        <v>2025-09-18T17:16:27.117+08</v>
      </c>
      <c r="D716" s="2" t="str">
        <f>IFERROR(__xludf.DUMMYFUNCTION("""COMPUTED_VALUE"""),"H030031025")</f>
        <v>H030031025</v>
      </c>
      <c r="E716" s="2" t="str">
        <f>IFERROR(__xludf.DUMMYFUNCTION("""COMPUTED_VALUE"""),"D1284067")</f>
        <v>D1284067</v>
      </c>
      <c r="F716" s="2" t="str">
        <f>IFERROR(__xludf.DUMMYFUNCTION("""COMPUTED_VALUE"""),"Mariel Del Rio")</f>
        <v>Mariel Del Rio</v>
      </c>
      <c r="G716" s="2"/>
      <c r="H716" s="2"/>
      <c r="I716" s="2" t="str">
        <f>IFERROR(__xludf.DUMMYFUNCTION("""COMPUTED_VALUE"""),"ICM_Business_linked_launch")</f>
        <v>ICM_Business_linked_launch</v>
      </c>
      <c r="J716" s="2" t="str">
        <f>IFERROR(__xludf.DUMMYFUNCTION("""COMPUTED_VALUE"""),"uuid:0d7b6fba-5562-409c-8d37-a29578470907")</f>
        <v>uuid:0d7b6fba-5562-409c-8d37-a29578470907</v>
      </c>
    </row>
    <row r="717">
      <c r="A717" s="2" t="str">
        <f>IFERROR(__xludf.DUMMYFUNCTION("""COMPUTED_VALUE"""),"2025-09-18T10:49:07.700Z")</f>
        <v>2025-09-18T10:49:07.700Z</v>
      </c>
      <c r="B717" s="2" t="str">
        <f>IFERROR(__xludf.DUMMYFUNCTION("""COMPUTED_VALUE"""),"2025-09-18T12:42:06.139+08")</f>
        <v>2025-09-18T12:42:06.139+08</v>
      </c>
      <c r="C717" s="2" t="str">
        <f>IFERROR(__xludf.DUMMYFUNCTION("""COMPUTED_VALUE"""),"2025-09-18T12:53:07.749+08")</f>
        <v>2025-09-18T12:53:07.749+08</v>
      </c>
      <c r="D717" s="2" t="str">
        <f>IFERROR(__xludf.DUMMYFUNCTION("""COMPUTED_VALUE"""),"H030031013")</f>
        <v>H030031013</v>
      </c>
      <c r="E717" s="2">
        <f>IFERROR(__xludf.DUMMYFUNCTION("""COMPUTED_VALUE"""),896791.0)</f>
        <v>896791</v>
      </c>
      <c r="F717" s="2" t="str">
        <f>IFERROR(__xludf.DUMMYFUNCTION("""COMPUTED_VALUE"""),"Roland A. Bandiola jr_2")</f>
        <v>Roland A. Bandiola jr_2</v>
      </c>
      <c r="G717" s="2"/>
      <c r="H717" s="2"/>
      <c r="I717" s="2" t="str">
        <f>IFERROR(__xludf.DUMMYFUNCTION("""COMPUTED_VALUE"""),"ICM_Business_linked_launch")</f>
        <v>ICM_Business_linked_launch</v>
      </c>
      <c r="J717" s="2" t="str">
        <f>IFERROR(__xludf.DUMMYFUNCTION("""COMPUTED_VALUE"""),"uuid:ca73f22c-b557-42e4-b831-d41091e17416")</f>
        <v>uuid:ca73f22c-b557-42e4-b831-d41091e17416</v>
      </c>
    </row>
    <row r="718">
      <c r="A718" s="2" t="str">
        <f>IFERROR(__xludf.DUMMYFUNCTION("""COMPUTED_VALUE"""),"2025-09-18T10:49:08.794Z")</f>
        <v>2025-09-18T10:49:08.794Z</v>
      </c>
      <c r="B718" s="2" t="str">
        <f>IFERROR(__xludf.DUMMYFUNCTION("""COMPUTED_VALUE"""),"2025-09-18T10:32:04.492+08")</f>
        <v>2025-09-18T10:32:04.492+08</v>
      </c>
      <c r="C718" s="2" t="str">
        <f>IFERROR(__xludf.DUMMYFUNCTION("""COMPUTED_VALUE"""),"2025-09-18T15:21:32.392+08")</f>
        <v>2025-09-18T15:21:32.392+08</v>
      </c>
      <c r="D718" s="2" t="str">
        <f>IFERROR(__xludf.DUMMYFUNCTION("""COMPUTED_VALUE"""),"H030031031")</f>
        <v>H030031031</v>
      </c>
      <c r="E718" s="2">
        <f>IFERROR(__xludf.DUMMYFUNCTION("""COMPUTED_VALUE"""),896791.0)</f>
        <v>896791</v>
      </c>
      <c r="F718" s="2" t="str">
        <f>IFERROR(__xludf.DUMMYFUNCTION("""COMPUTED_VALUE"""),"Roland A. Bandiola jr_2")</f>
        <v>Roland A. Bandiola jr_2</v>
      </c>
      <c r="G718" s="2"/>
      <c r="H718" s="2"/>
      <c r="I718" s="2" t="str">
        <f>IFERROR(__xludf.DUMMYFUNCTION("""COMPUTED_VALUE"""),"ICM_Business_linked_launch")</f>
        <v>ICM_Business_linked_launch</v>
      </c>
      <c r="J718" s="2" t="str">
        <f>IFERROR(__xludf.DUMMYFUNCTION("""COMPUTED_VALUE"""),"uuid:0002a060-c927-4458-8126-fda6d7a073e0")</f>
        <v>uuid:0002a060-c927-4458-8126-fda6d7a073e0</v>
      </c>
    </row>
    <row r="719">
      <c r="A719" s="2" t="str">
        <f>IFERROR(__xludf.DUMMYFUNCTION("""COMPUTED_VALUE"""),"2025-09-18T10:49:09.627Z")</f>
        <v>2025-09-18T10:49:09.627Z</v>
      </c>
      <c r="B719" s="2" t="str">
        <f>IFERROR(__xludf.DUMMYFUNCTION("""COMPUTED_VALUE"""),"2025-09-18T11:25:24.097+08")</f>
        <v>2025-09-18T11:25:24.097+08</v>
      </c>
      <c r="C719" s="2" t="str">
        <f>IFERROR(__xludf.DUMMYFUNCTION("""COMPUTED_VALUE"""),"2025-09-18T15:22:02.509+08")</f>
        <v>2025-09-18T15:22:02.509+08</v>
      </c>
      <c r="D719" s="2" t="str">
        <f>IFERROR(__xludf.DUMMYFUNCTION("""COMPUTED_VALUE"""),"H030031028")</f>
        <v>H030031028</v>
      </c>
      <c r="E719" s="2">
        <f>IFERROR(__xludf.DUMMYFUNCTION("""COMPUTED_VALUE"""),896791.0)</f>
        <v>896791</v>
      </c>
      <c r="F719" s="2" t="str">
        <f>IFERROR(__xludf.DUMMYFUNCTION("""COMPUTED_VALUE"""),"Roland A. Bandiola jr_2")</f>
        <v>Roland A. Bandiola jr_2</v>
      </c>
      <c r="G719" s="2"/>
      <c r="H719" s="2"/>
      <c r="I719" s="2" t="str">
        <f>IFERROR(__xludf.DUMMYFUNCTION("""COMPUTED_VALUE"""),"ICM_Business_linked_launch")</f>
        <v>ICM_Business_linked_launch</v>
      </c>
      <c r="J719" s="2" t="str">
        <f>IFERROR(__xludf.DUMMYFUNCTION("""COMPUTED_VALUE"""),"uuid:400d1cce-f267-4878-bbc4-ed2326e02ace")</f>
        <v>uuid:400d1cce-f267-4878-bbc4-ed2326e02ace</v>
      </c>
    </row>
    <row r="720">
      <c r="A720" s="2" t="str">
        <f>IFERROR(__xludf.DUMMYFUNCTION("""COMPUTED_VALUE"""),"2025-09-18T10:54:19.561Z")</f>
        <v>2025-09-18T10:54:19.561Z</v>
      </c>
      <c r="B720" s="2" t="str">
        <f>IFERROR(__xludf.DUMMYFUNCTION("""COMPUTED_VALUE"""),"2025-09-18T10:19:35.972+08")</f>
        <v>2025-09-18T10:19:35.972+08</v>
      </c>
      <c r="C720" s="2" t="str">
        <f>IFERROR(__xludf.DUMMYFUNCTION("""COMPUTED_VALUE"""),"2025-09-18T18:49:29.598+08")</f>
        <v>2025-09-18T18:49:29.598+08</v>
      </c>
      <c r="D720" s="2" t="str">
        <f>IFERROR(__xludf.DUMMYFUNCTION("""COMPUTED_VALUE"""),"H030031023")</f>
        <v>H030031023</v>
      </c>
      <c r="E720" s="2" t="str">
        <f>IFERROR(__xludf.DUMMYFUNCTION("""COMPUTED_VALUE"""),"B8193462")</f>
        <v>B8193462</v>
      </c>
      <c r="F720" s="2" t="str">
        <f>IFERROR(__xludf.DUMMYFUNCTION("""COMPUTED_VALUE"""),"Mark Lorens Mendoza Gilongo")</f>
        <v>Mark Lorens Mendoza Gilongo</v>
      </c>
      <c r="G720" s="2"/>
      <c r="H720" s="2"/>
      <c r="I720" s="2" t="str">
        <f>IFERROR(__xludf.DUMMYFUNCTION("""COMPUTED_VALUE"""),"ICM_Business_linked_launch")</f>
        <v>ICM_Business_linked_launch</v>
      </c>
      <c r="J720" s="2" t="str">
        <f>IFERROR(__xludf.DUMMYFUNCTION("""COMPUTED_VALUE"""),"uuid:743f62cc-9130-4ad5-b977-c5ac817fb39a")</f>
        <v>uuid:743f62cc-9130-4ad5-b977-c5ac817fb39a</v>
      </c>
    </row>
    <row r="721">
      <c r="A721" s="2" t="str">
        <f>IFERROR(__xludf.DUMMYFUNCTION("""COMPUTED_VALUE"""),"2025-09-18T10:54:20.536Z")</f>
        <v>2025-09-18T10:54:20.536Z</v>
      </c>
      <c r="B721" s="2" t="str">
        <f>IFERROR(__xludf.DUMMYFUNCTION("""COMPUTED_VALUE"""),"2025-09-18T14:29:26.872+08")</f>
        <v>2025-09-18T14:29:26.872+08</v>
      </c>
      <c r="C721" s="2" t="str">
        <f>IFERROR(__xludf.DUMMYFUNCTION("""COMPUTED_VALUE"""),"2025-09-18T18:53:34.090+08")</f>
        <v>2025-09-18T18:53:34.090+08</v>
      </c>
      <c r="D721" s="2" t="str">
        <f>IFERROR(__xludf.DUMMYFUNCTION("""COMPUTED_VALUE"""),"H030031017")</f>
        <v>H030031017</v>
      </c>
      <c r="E721" s="2" t="str">
        <f>IFERROR(__xludf.DUMMYFUNCTION("""COMPUTED_VALUE"""),"B8193462")</f>
        <v>B8193462</v>
      </c>
      <c r="F721" s="2" t="str">
        <f>IFERROR(__xludf.DUMMYFUNCTION("""COMPUTED_VALUE"""),"Mark Lorens Mendoza Gilongo")</f>
        <v>Mark Lorens Mendoza Gilongo</v>
      </c>
      <c r="G721" s="2"/>
      <c r="H721" s="2"/>
      <c r="I721" s="2" t="str">
        <f>IFERROR(__xludf.DUMMYFUNCTION("""COMPUTED_VALUE"""),"ICM_Business_linked_launch")</f>
        <v>ICM_Business_linked_launch</v>
      </c>
      <c r="J721" s="2" t="str">
        <f>IFERROR(__xludf.DUMMYFUNCTION("""COMPUTED_VALUE"""),"uuid:c0141a02-f1aa-49f7-a3f7-c43e09d766e1")</f>
        <v>uuid:c0141a02-f1aa-49f7-a3f7-c43e09d766e1</v>
      </c>
    </row>
    <row r="722">
      <c r="A722" s="2" t="str">
        <f>IFERROR(__xludf.DUMMYFUNCTION("""COMPUTED_VALUE"""),"2025-09-18T10:57:49.423Z")</f>
        <v>2025-09-18T10:57:49.423Z</v>
      </c>
      <c r="B722" s="2" t="str">
        <f>IFERROR(__xludf.DUMMYFUNCTION("""COMPUTED_VALUE"""),"2025-09-18T10:22:45.791+08")</f>
        <v>2025-09-18T10:22:45.791+08</v>
      </c>
      <c r="C722" s="2" t="str">
        <f>IFERROR(__xludf.DUMMYFUNCTION("""COMPUTED_VALUE"""),"2025-09-18T10:41:33.602+08")</f>
        <v>2025-09-18T10:41:33.602+08</v>
      </c>
      <c r="D722" s="2" t="str">
        <f>IFERROR(__xludf.DUMMYFUNCTION("""COMPUTED_VALUE"""),"H006029025")</f>
        <v>H006029025</v>
      </c>
      <c r="E722" s="2" t="str">
        <f>IFERROR(__xludf.DUMMYFUNCTION("""COMPUTED_VALUE"""),"P1068432")</f>
        <v>P1068432</v>
      </c>
      <c r="F722" s="2" t="str">
        <f>IFERROR(__xludf.DUMMYFUNCTION("""COMPUTED_VALUE"""),"Mark Daniel Balagao Benson")</f>
        <v>Mark Daniel Balagao Benson</v>
      </c>
      <c r="G722" s="2"/>
      <c r="H722" s="2"/>
      <c r="I722" s="2" t="str">
        <f>IFERROR(__xludf.DUMMYFUNCTION("""COMPUTED_VALUE"""),"ICM_Business_linked_launch")</f>
        <v>ICM_Business_linked_launch</v>
      </c>
      <c r="J722" s="2" t="str">
        <f>IFERROR(__xludf.DUMMYFUNCTION("""COMPUTED_VALUE"""),"uuid:67926ade-873e-40d5-b3c1-c04ecdc5424b")</f>
        <v>uuid:67926ade-873e-40d5-b3c1-c04ecdc5424b</v>
      </c>
    </row>
    <row r="723">
      <c r="A723" s="2" t="str">
        <f>IFERROR(__xludf.DUMMYFUNCTION("""COMPUTED_VALUE"""),"2025-09-18T10:57:52.698Z")</f>
        <v>2025-09-18T10:57:52.698Z</v>
      </c>
      <c r="B723" s="2" t="str">
        <f>IFERROR(__xludf.DUMMYFUNCTION("""COMPUTED_VALUE"""),"2025-09-18T11:38:59.545+08")</f>
        <v>2025-09-18T11:38:59.545+08</v>
      </c>
      <c r="C723" s="2" t="str">
        <f>IFERROR(__xludf.DUMMYFUNCTION("""COMPUTED_VALUE"""),"2025-09-18T12:12:24.393+08")</f>
        <v>2025-09-18T12:12:24.393+08</v>
      </c>
      <c r="D723" s="2" t="str">
        <f>IFERROR(__xludf.DUMMYFUNCTION("""COMPUTED_VALUE"""),"H006029015")</f>
        <v>H006029015</v>
      </c>
      <c r="E723" s="2" t="str">
        <f>IFERROR(__xludf.DUMMYFUNCTION("""COMPUTED_VALUE"""),"P1068432")</f>
        <v>P1068432</v>
      </c>
      <c r="F723" s="2" t="str">
        <f>IFERROR(__xludf.DUMMYFUNCTION("""COMPUTED_VALUE"""),"Mark Daniel Balagao Benson")</f>
        <v>Mark Daniel Balagao Benson</v>
      </c>
      <c r="G723" s="2"/>
      <c r="H723" s="2"/>
      <c r="I723" s="2" t="str">
        <f>IFERROR(__xludf.DUMMYFUNCTION("""COMPUTED_VALUE"""),"ICM_Business_linked_launch")</f>
        <v>ICM_Business_linked_launch</v>
      </c>
      <c r="J723" s="2" t="str">
        <f>IFERROR(__xludf.DUMMYFUNCTION("""COMPUTED_VALUE"""),"uuid:47c5e516-1b41-4ba9-925b-d1714668046a")</f>
        <v>uuid:47c5e516-1b41-4ba9-925b-d1714668046a</v>
      </c>
    </row>
    <row r="724">
      <c r="A724" s="2" t="str">
        <f>IFERROR(__xludf.DUMMYFUNCTION("""COMPUTED_VALUE"""),"2025-09-18T10:57:56.659Z")</f>
        <v>2025-09-18T10:57:56.659Z</v>
      </c>
      <c r="B724" s="2" t="str">
        <f>IFERROR(__xludf.DUMMYFUNCTION("""COMPUTED_VALUE"""),"2025-09-18T14:25:42.571+08")</f>
        <v>2025-09-18T14:25:42.571+08</v>
      </c>
      <c r="C724" s="2" t="str">
        <f>IFERROR(__xludf.DUMMYFUNCTION("""COMPUTED_VALUE"""),"2025-09-18T15:24:34.042+08")</f>
        <v>2025-09-18T15:24:34.042+08</v>
      </c>
      <c r="D724" s="2" t="str">
        <f>IFERROR(__xludf.DUMMYFUNCTION("""COMPUTED_VALUE"""),"H006029018")</f>
        <v>H006029018</v>
      </c>
      <c r="E724" s="2" t="str">
        <f>IFERROR(__xludf.DUMMYFUNCTION("""COMPUTED_VALUE"""),"P1068432")</f>
        <v>P1068432</v>
      </c>
      <c r="F724" s="2" t="str">
        <f>IFERROR(__xludf.DUMMYFUNCTION("""COMPUTED_VALUE"""),"Mark Daniel Balagao Benson")</f>
        <v>Mark Daniel Balagao Benson</v>
      </c>
      <c r="G724" s="2"/>
      <c r="H724" s="2"/>
      <c r="I724" s="2" t="str">
        <f>IFERROR(__xludf.DUMMYFUNCTION("""COMPUTED_VALUE"""),"ICM_Business_linked_launch")</f>
        <v>ICM_Business_linked_launch</v>
      </c>
      <c r="J724" s="2" t="str">
        <f>IFERROR(__xludf.DUMMYFUNCTION("""COMPUTED_VALUE"""),"uuid:528ff307-7cbd-4861-9732-37c0e4bf8c13")</f>
        <v>uuid:528ff307-7cbd-4861-9732-37c0e4bf8c13</v>
      </c>
    </row>
    <row r="725">
      <c r="A725" s="2" t="str">
        <f>IFERROR(__xludf.DUMMYFUNCTION("""COMPUTED_VALUE"""),"2025-09-18T11:21:55.552Z")</f>
        <v>2025-09-18T11:21:55.552Z</v>
      </c>
      <c r="B725" s="2" t="str">
        <f>IFERROR(__xludf.DUMMYFUNCTION("""COMPUTED_VALUE"""),"2025-09-18T10:23:02.545+08")</f>
        <v>2025-09-18T10:23:02.545+08</v>
      </c>
      <c r="C725" s="2" t="str">
        <f>IFERROR(__xludf.DUMMYFUNCTION("""COMPUTED_VALUE"""),"2025-09-18T10:36:31.924+08")</f>
        <v>2025-09-18T10:36:31.924+08</v>
      </c>
      <c r="D725" s="2" t="str">
        <f>IFERROR(__xludf.DUMMYFUNCTION("""COMPUTED_VALUE"""),"H004787031")</f>
        <v>H004787031</v>
      </c>
      <c r="E725" s="2">
        <f>IFERROR(__xludf.DUMMYFUNCTION("""COMPUTED_VALUE"""),555127.0)</f>
        <v>555127</v>
      </c>
      <c r="F725" s="2" t="str">
        <f>IFERROR(__xludf.DUMMYFUNCTION("""COMPUTED_VALUE"""),"Mary May_2")</f>
        <v>Mary May_2</v>
      </c>
      <c r="G725" s="2"/>
      <c r="H725" s="2"/>
      <c r="I725" s="2" t="str">
        <f>IFERROR(__xludf.DUMMYFUNCTION("""COMPUTED_VALUE"""),"ICM_Business_linked_launch")</f>
        <v>ICM_Business_linked_launch</v>
      </c>
      <c r="J725" s="2" t="str">
        <f>IFERROR(__xludf.DUMMYFUNCTION("""COMPUTED_VALUE"""),"uuid:9e85e8cd-4a97-4ff7-bb6f-afc00c27d817")</f>
        <v>uuid:9e85e8cd-4a97-4ff7-bb6f-afc00c27d817</v>
      </c>
    </row>
    <row r="726">
      <c r="A726" s="2" t="str">
        <f>IFERROR(__xludf.DUMMYFUNCTION("""COMPUTED_VALUE"""),"2025-09-18T11:21:56.495Z")</f>
        <v>2025-09-18T11:21:56.495Z</v>
      </c>
      <c r="B726" s="2" t="str">
        <f>IFERROR(__xludf.DUMMYFUNCTION("""COMPUTED_VALUE"""),"2025-09-18T16:44:30.416+08")</f>
        <v>2025-09-18T16:44:30.416+08</v>
      </c>
      <c r="C726" s="2" t="str">
        <f>IFERROR(__xludf.DUMMYFUNCTION("""COMPUTED_VALUE"""),"2025-09-18T16:47:29.850+08")</f>
        <v>2025-09-18T16:47:29.850+08</v>
      </c>
      <c r="D726" s="2" t="str">
        <f>IFERROR(__xludf.DUMMYFUNCTION("""COMPUTED_VALUE"""),"H004787028")</f>
        <v>H004787028</v>
      </c>
      <c r="E726" s="2">
        <f>IFERROR(__xludf.DUMMYFUNCTION("""COMPUTED_VALUE"""),555127.0)</f>
        <v>555127</v>
      </c>
      <c r="F726" s="2" t="str">
        <f>IFERROR(__xludf.DUMMYFUNCTION("""COMPUTED_VALUE"""),"Mary May_2")</f>
        <v>Mary May_2</v>
      </c>
      <c r="G726" s="2"/>
      <c r="H726" s="2"/>
      <c r="I726" s="2" t="str">
        <f>IFERROR(__xludf.DUMMYFUNCTION("""COMPUTED_VALUE"""),"ICM_Business_linked_launch")</f>
        <v>ICM_Business_linked_launch</v>
      </c>
      <c r="J726" s="2" t="str">
        <f>IFERROR(__xludf.DUMMYFUNCTION("""COMPUTED_VALUE"""),"uuid:a6fa7e17-e281-4f9d-98b7-41a672ef90d1")</f>
        <v>uuid:a6fa7e17-e281-4f9d-98b7-41a672ef90d1</v>
      </c>
    </row>
    <row r="727">
      <c r="A727" s="2" t="str">
        <f>IFERROR(__xludf.DUMMYFUNCTION("""COMPUTED_VALUE"""),"2025-09-18T11:21:57.437Z")</f>
        <v>2025-09-18T11:21:57.437Z</v>
      </c>
      <c r="B727" s="2" t="str">
        <f>IFERROR(__xludf.DUMMYFUNCTION("""COMPUTED_VALUE"""),"2025-09-18T11:39:15.345+08")</f>
        <v>2025-09-18T11:39:15.345+08</v>
      </c>
      <c r="C727" s="2" t="str">
        <f>IFERROR(__xludf.DUMMYFUNCTION("""COMPUTED_VALUE"""),"2025-09-18T11:45:09.080+08")</f>
        <v>2025-09-18T11:45:09.080+08</v>
      </c>
      <c r="D727" s="2" t="str">
        <f>IFERROR(__xludf.DUMMYFUNCTION("""COMPUTED_VALUE"""),"H004787034")</f>
        <v>H004787034</v>
      </c>
      <c r="E727" s="2">
        <f>IFERROR(__xludf.DUMMYFUNCTION("""COMPUTED_VALUE"""),555127.0)</f>
        <v>555127</v>
      </c>
      <c r="F727" s="2" t="str">
        <f>IFERROR(__xludf.DUMMYFUNCTION("""COMPUTED_VALUE"""),"Mary May_2")</f>
        <v>Mary May_2</v>
      </c>
      <c r="G727" s="2"/>
      <c r="H727" s="2"/>
      <c r="I727" s="2" t="str">
        <f>IFERROR(__xludf.DUMMYFUNCTION("""COMPUTED_VALUE"""),"ICM_Business_linked_launch")</f>
        <v>ICM_Business_linked_launch</v>
      </c>
      <c r="J727" s="2" t="str">
        <f>IFERROR(__xludf.DUMMYFUNCTION("""COMPUTED_VALUE"""),"uuid:31823db6-d9d1-4cfa-a2b2-9e58a37da146")</f>
        <v>uuid:31823db6-d9d1-4cfa-a2b2-9e58a37da146</v>
      </c>
    </row>
    <row r="728">
      <c r="A728" s="2" t="str">
        <f>IFERROR(__xludf.DUMMYFUNCTION("""COMPUTED_VALUE"""),"2025-09-18T11:21:58.295Z")</f>
        <v>2025-09-18T11:21:58.295Z</v>
      </c>
      <c r="B728" s="2" t="str">
        <f>IFERROR(__xludf.DUMMYFUNCTION("""COMPUTED_VALUE"""),"2025-09-18T13:59:26.297+08")</f>
        <v>2025-09-18T13:59:26.297+08</v>
      </c>
      <c r="C728" s="2" t="str">
        <f>IFERROR(__xludf.DUMMYFUNCTION("""COMPUTED_VALUE"""),"2025-09-18T14:02:14.843+08")</f>
        <v>2025-09-18T14:02:14.843+08</v>
      </c>
      <c r="D728" s="2" t="str">
        <f>IFERROR(__xludf.DUMMYFUNCTION("""COMPUTED_VALUE"""),"H004787035")</f>
        <v>H004787035</v>
      </c>
      <c r="E728" s="2">
        <f>IFERROR(__xludf.DUMMYFUNCTION("""COMPUTED_VALUE"""),555127.0)</f>
        <v>555127</v>
      </c>
      <c r="F728" s="2" t="str">
        <f>IFERROR(__xludf.DUMMYFUNCTION("""COMPUTED_VALUE"""),"Mary May_2")</f>
        <v>Mary May_2</v>
      </c>
      <c r="G728" s="2"/>
      <c r="H728" s="2"/>
      <c r="I728" s="2" t="str">
        <f>IFERROR(__xludf.DUMMYFUNCTION("""COMPUTED_VALUE"""),"ICM_Business_linked_launch")</f>
        <v>ICM_Business_linked_launch</v>
      </c>
      <c r="J728" s="2" t="str">
        <f>IFERROR(__xludf.DUMMYFUNCTION("""COMPUTED_VALUE"""),"uuid:872efc78-3791-48db-b1fd-2bb4fa005df9")</f>
        <v>uuid:872efc78-3791-48db-b1fd-2bb4fa005df9</v>
      </c>
    </row>
    <row r="729">
      <c r="A729" s="2" t="str">
        <f>IFERROR(__xludf.DUMMYFUNCTION("""COMPUTED_VALUE"""),"2025-09-18T11:21:59.250Z")</f>
        <v>2025-09-18T11:21:59.250Z</v>
      </c>
      <c r="B729" s="2" t="str">
        <f>IFERROR(__xludf.DUMMYFUNCTION("""COMPUTED_VALUE"""),"2025-09-18T15:34:49.490+08")</f>
        <v>2025-09-18T15:34:49.490+08</v>
      </c>
      <c r="C729" s="2" t="str">
        <f>IFERROR(__xludf.DUMMYFUNCTION("""COMPUTED_VALUE"""),"2025-09-18T15:38:44.041+08")</f>
        <v>2025-09-18T15:38:44.041+08</v>
      </c>
      <c r="D729" s="2" t="str">
        <f>IFERROR(__xludf.DUMMYFUNCTION("""COMPUTED_VALUE"""),"H004787016")</f>
        <v>H004787016</v>
      </c>
      <c r="E729" s="2">
        <f>IFERROR(__xludf.DUMMYFUNCTION("""COMPUTED_VALUE"""),555127.0)</f>
        <v>555127</v>
      </c>
      <c r="F729" s="2" t="str">
        <f>IFERROR(__xludf.DUMMYFUNCTION("""COMPUTED_VALUE"""),"Mary May_2")</f>
        <v>Mary May_2</v>
      </c>
      <c r="G729" s="2"/>
      <c r="H729" s="2"/>
      <c r="I729" s="2" t="str">
        <f>IFERROR(__xludf.DUMMYFUNCTION("""COMPUTED_VALUE"""),"ICM_Business_linked_launch")</f>
        <v>ICM_Business_linked_launch</v>
      </c>
      <c r="J729" s="2" t="str">
        <f>IFERROR(__xludf.DUMMYFUNCTION("""COMPUTED_VALUE"""),"uuid:3544b873-b3c5-45e2-a43b-e8b63d575965")</f>
        <v>uuid:3544b873-b3c5-45e2-a43b-e8b63d575965</v>
      </c>
    </row>
    <row r="730">
      <c r="A730" s="2" t="str">
        <f>IFERROR(__xludf.DUMMYFUNCTION("""COMPUTED_VALUE"""),"2025-09-18T11:29:12.233Z")</f>
        <v>2025-09-18T11:29:12.233Z</v>
      </c>
      <c r="B730" s="2" t="str">
        <f>IFERROR(__xludf.DUMMYFUNCTION("""COMPUTED_VALUE"""),"2025-09-18T11:24:19.360+08")</f>
        <v>2025-09-18T11:24:19.360+08</v>
      </c>
      <c r="C730" s="2" t="str">
        <f>IFERROR(__xludf.DUMMYFUNCTION("""COMPUTED_VALUE"""),"2025-09-18T11:40:17.818+08")</f>
        <v>2025-09-18T11:40:17.818+08</v>
      </c>
      <c r="D730" s="2" t="str">
        <f>IFERROR(__xludf.DUMMYFUNCTION("""COMPUTED_VALUE"""),"H006417025")</f>
        <v>H006417025</v>
      </c>
      <c r="E730" s="2" t="str">
        <f>IFERROR(__xludf.DUMMYFUNCTION("""COMPUTED_VALUE"""),"K8623174")</f>
        <v>K8623174</v>
      </c>
      <c r="F730" s="2" t="str">
        <f>IFERROR(__xludf.DUMMYFUNCTION("""COMPUTED_VALUE"""),"Marielle Kaye Ignacio Alonzo")</f>
        <v>Marielle Kaye Ignacio Alonzo</v>
      </c>
      <c r="G730" s="2"/>
      <c r="H730" s="2"/>
      <c r="I730" s="2" t="str">
        <f>IFERROR(__xludf.DUMMYFUNCTION("""COMPUTED_VALUE"""),"ICM_Business_linked_launch")</f>
        <v>ICM_Business_linked_launch</v>
      </c>
      <c r="J730" s="2" t="str">
        <f>IFERROR(__xludf.DUMMYFUNCTION("""COMPUTED_VALUE"""),"uuid:2ae8f918-1ea4-4751-9363-7dcac0d8a3ba")</f>
        <v>uuid:2ae8f918-1ea4-4751-9363-7dcac0d8a3ba</v>
      </c>
    </row>
    <row r="731">
      <c r="A731" s="2" t="str">
        <f>IFERROR(__xludf.DUMMYFUNCTION("""COMPUTED_VALUE"""),"2025-09-18T11:29:16.828Z")</f>
        <v>2025-09-18T11:29:16.828Z</v>
      </c>
      <c r="B731" s="2" t="str">
        <f>IFERROR(__xludf.DUMMYFUNCTION("""COMPUTED_VALUE"""),"2025-09-18T10:06:29.027+08")</f>
        <v>2025-09-18T10:06:29.027+08</v>
      </c>
      <c r="C731" s="2" t="str">
        <f>IFERROR(__xludf.DUMMYFUNCTION("""COMPUTED_VALUE"""),"2025-09-18T10:10:14.682+08")</f>
        <v>2025-09-18T10:10:14.682+08</v>
      </c>
      <c r="D731" s="2" t="str">
        <f>IFERROR(__xludf.DUMMYFUNCTION("""COMPUTED_VALUE"""),"H006417018")</f>
        <v>H006417018</v>
      </c>
      <c r="E731" s="2" t="str">
        <f>IFERROR(__xludf.DUMMYFUNCTION("""COMPUTED_VALUE"""),"K8623174")</f>
        <v>K8623174</v>
      </c>
      <c r="F731" s="2" t="str">
        <f>IFERROR(__xludf.DUMMYFUNCTION("""COMPUTED_VALUE"""),"Marielle Kaye Ignacio Alonzo")</f>
        <v>Marielle Kaye Ignacio Alonzo</v>
      </c>
      <c r="G731" s="2"/>
      <c r="H731" s="2"/>
      <c r="I731" s="2" t="str">
        <f>IFERROR(__xludf.DUMMYFUNCTION("""COMPUTED_VALUE"""),"ICM_Business_linked_launch")</f>
        <v>ICM_Business_linked_launch</v>
      </c>
      <c r="J731" s="2" t="str">
        <f>IFERROR(__xludf.DUMMYFUNCTION("""COMPUTED_VALUE"""),"uuid:962979e1-1d17-415f-9ba5-e1d8a3e33bfa")</f>
        <v>uuid:962979e1-1d17-415f-9ba5-e1d8a3e33bfa</v>
      </c>
    </row>
    <row r="732">
      <c r="A732" s="2" t="str">
        <f>IFERROR(__xludf.DUMMYFUNCTION("""COMPUTED_VALUE"""),"2025-09-18T11:33:08.257Z")</f>
        <v>2025-09-18T11:33:08.257Z</v>
      </c>
      <c r="B732" s="2" t="str">
        <f>IFERROR(__xludf.DUMMYFUNCTION("""COMPUTED_VALUE"""),"2025-09-18T10:08:45.938+08")</f>
        <v>2025-09-18T10:08:45.938+08</v>
      </c>
      <c r="C732" s="2" t="str">
        <f>IFERROR(__xludf.DUMMYFUNCTION("""COMPUTED_VALUE"""),"2025-09-18T10:15:17.415+08")</f>
        <v>2025-09-18T10:15:17.415+08</v>
      </c>
      <c r="D732" s="2" t="str">
        <f>IFERROR(__xludf.DUMMYFUNCTION("""COMPUTED_VALUE"""),"H006417017")</f>
        <v>H006417017</v>
      </c>
      <c r="E732" s="2" t="str">
        <f>IFERROR(__xludf.DUMMYFUNCTION("""COMPUTED_VALUE"""),"J4315980")</f>
        <v>J4315980</v>
      </c>
      <c r="F732" s="2" t="str">
        <f>IFERROR(__xludf.DUMMYFUNCTION("""COMPUTED_VALUE"""),"Trixie Marie Jardeleza Saber")</f>
        <v>Trixie Marie Jardeleza Saber</v>
      </c>
      <c r="G732" s="2"/>
      <c r="H732" s="2"/>
      <c r="I732" s="2" t="str">
        <f>IFERROR(__xludf.DUMMYFUNCTION("""COMPUTED_VALUE"""),"ICM_Business_linked_launch")</f>
        <v>ICM_Business_linked_launch</v>
      </c>
      <c r="J732" s="2" t="str">
        <f>IFERROR(__xludf.DUMMYFUNCTION("""COMPUTED_VALUE"""),"uuid:2de94979-4ee9-4bd3-b6ab-08fdb0d24a72")</f>
        <v>uuid:2de94979-4ee9-4bd3-b6ab-08fdb0d24a72</v>
      </c>
    </row>
    <row r="733">
      <c r="A733" s="2" t="str">
        <f>IFERROR(__xludf.DUMMYFUNCTION("""COMPUTED_VALUE"""),"2025-09-18T11:33:12.515Z")</f>
        <v>2025-09-18T11:33:12.515Z</v>
      </c>
      <c r="B733" s="2" t="str">
        <f>IFERROR(__xludf.DUMMYFUNCTION("""COMPUTED_VALUE"""),"2025-09-18T13:44:23.290+08")</f>
        <v>2025-09-18T13:44:23.290+08</v>
      </c>
      <c r="C733" s="2" t="str">
        <f>IFERROR(__xludf.DUMMYFUNCTION("""COMPUTED_VALUE"""),"2025-09-18T13:49:17.300+08")</f>
        <v>2025-09-18T13:49:17.300+08</v>
      </c>
      <c r="D733" s="2" t="str">
        <f>IFERROR(__xludf.DUMMYFUNCTION("""COMPUTED_VALUE"""),"H006417032")</f>
        <v>H006417032</v>
      </c>
      <c r="E733" s="2" t="str">
        <f>IFERROR(__xludf.DUMMYFUNCTION("""COMPUTED_VALUE"""),"J4315980")</f>
        <v>J4315980</v>
      </c>
      <c r="F733" s="2" t="str">
        <f>IFERROR(__xludf.DUMMYFUNCTION("""COMPUTED_VALUE"""),"Trixie Marie Jardeleza Saber")</f>
        <v>Trixie Marie Jardeleza Saber</v>
      </c>
      <c r="G733" s="2"/>
      <c r="H733" s="2"/>
      <c r="I733" s="2" t="str">
        <f>IFERROR(__xludf.DUMMYFUNCTION("""COMPUTED_VALUE"""),"ICM_Business_linked_launch")</f>
        <v>ICM_Business_linked_launch</v>
      </c>
      <c r="J733" s="2" t="str">
        <f>IFERROR(__xludf.DUMMYFUNCTION("""COMPUTED_VALUE"""),"uuid:68e9fc0c-ca16-4f35-9c2d-b4864b97c17d")</f>
        <v>uuid:68e9fc0c-ca16-4f35-9c2d-b4864b97c17d</v>
      </c>
    </row>
    <row r="734">
      <c r="A734" s="2" t="str">
        <f>IFERROR(__xludf.DUMMYFUNCTION("""COMPUTED_VALUE"""),"2025-09-18T11:59:49.010Z")</f>
        <v>2025-09-18T11:59:49.010Z</v>
      </c>
      <c r="B734" s="2" t="str">
        <f>IFERROR(__xludf.DUMMYFUNCTION("""COMPUTED_VALUE"""),"2025-09-18T10:38:43.644+08")</f>
        <v>2025-09-18T10:38:43.644+08</v>
      </c>
      <c r="C734" s="2" t="str">
        <f>IFERROR(__xludf.DUMMYFUNCTION("""COMPUTED_VALUE"""),"2025-09-18T10:44:00.289+08")</f>
        <v>2025-09-18T10:44:00.289+08</v>
      </c>
      <c r="D734" s="2" t="str">
        <f>IFERROR(__xludf.DUMMYFUNCTION("""COMPUTED_VALUE"""),"H004787027")</f>
        <v>H004787027</v>
      </c>
      <c r="E734" s="2">
        <f>IFERROR(__xludf.DUMMYFUNCTION("""COMPUTED_VALUE"""),455939.0)</f>
        <v>455939</v>
      </c>
      <c r="F734" s="2" t="str">
        <f>IFERROR(__xludf.DUMMYFUNCTION("""COMPUTED_VALUE"""),"Mary Jean Villaflor_2")</f>
        <v>Mary Jean Villaflor_2</v>
      </c>
      <c r="G734" s="2"/>
      <c r="H734" s="2"/>
      <c r="I734" s="2" t="str">
        <f>IFERROR(__xludf.DUMMYFUNCTION("""COMPUTED_VALUE"""),"ICM_Business_linked_launch")</f>
        <v>ICM_Business_linked_launch</v>
      </c>
      <c r="J734" s="2" t="str">
        <f>IFERROR(__xludf.DUMMYFUNCTION("""COMPUTED_VALUE"""),"uuid:fac37fdd-9ea5-476d-9861-f1e3df795685")</f>
        <v>uuid:fac37fdd-9ea5-476d-9861-f1e3df795685</v>
      </c>
    </row>
    <row r="735">
      <c r="A735" s="2" t="str">
        <f>IFERROR(__xludf.DUMMYFUNCTION("""COMPUTED_VALUE"""),"2025-09-18T11:59:51.758Z")</f>
        <v>2025-09-18T11:59:51.758Z</v>
      </c>
      <c r="B735" s="2" t="str">
        <f>IFERROR(__xludf.DUMMYFUNCTION("""COMPUTED_VALUE"""),"2025-09-18T11:48:40.347+08")</f>
        <v>2025-09-18T11:48:40.347+08</v>
      </c>
      <c r="C735" s="2" t="str">
        <f>IFERROR(__xludf.DUMMYFUNCTION("""COMPUTED_VALUE"""),"2025-09-18T11:53:50.787+08")</f>
        <v>2025-09-18T11:53:50.787+08</v>
      </c>
      <c r="D735" s="2" t="str">
        <f>IFERROR(__xludf.DUMMYFUNCTION("""COMPUTED_VALUE"""),"H004787024")</f>
        <v>H004787024</v>
      </c>
      <c r="E735" s="2">
        <f>IFERROR(__xludf.DUMMYFUNCTION("""COMPUTED_VALUE"""),455939.0)</f>
        <v>455939</v>
      </c>
      <c r="F735" s="2" t="str">
        <f>IFERROR(__xludf.DUMMYFUNCTION("""COMPUTED_VALUE"""),"Mary Jean Villaflor_2")</f>
        <v>Mary Jean Villaflor_2</v>
      </c>
      <c r="G735" s="2"/>
      <c r="H735" s="2"/>
      <c r="I735" s="2" t="str">
        <f>IFERROR(__xludf.DUMMYFUNCTION("""COMPUTED_VALUE"""),"ICM_Business_linked_launch")</f>
        <v>ICM_Business_linked_launch</v>
      </c>
      <c r="J735" s="2" t="str">
        <f>IFERROR(__xludf.DUMMYFUNCTION("""COMPUTED_VALUE"""),"uuid:1f45e440-46c7-4127-95a0-0f864e1051d0")</f>
        <v>uuid:1f45e440-46c7-4127-95a0-0f864e1051d0</v>
      </c>
    </row>
    <row r="736">
      <c r="A736" s="2" t="str">
        <f>IFERROR(__xludf.DUMMYFUNCTION("""COMPUTED_VALUE"""),"2025-09-18T11:59:54.279Z")</f>
        <v>2025-09-18T11:59:54.279Z</v>
      </c>
      <c r="B736" s="2" t="str">
        <f>IFERROR(__xludf.DUMMYFUNCTION("""COMPUTED_VALUE"""),"2025-09-18T13:20:13.022+08")</f>
        <v>2025-09-18T13:20:13.022+08</v>
      </c>
      <c r="C736" s="2" t="str">
        <f>IFERROR(__xludf.DUMMYFUNCTION("""COMPUTED_VALUE"""),"2025-09-18T13:24:54.515+08")</f>
        <v>2025-09-18T13:24:54.515+08</v>
      </c>
      <c r="D736" s="2" t="str">
        <f>IFERROR(__xludf.DUMMYFUNCTION("""COMPUTED_VALUE"""),"H004787030")</f>
        <v>H004787030</v>
      </c>
      <c r="E736" s="2">
        <f>IFERROR(__xludf.DUMMYFUNCTION("""COMPUTED_VALUE"""),455939.0)</f>
        <v>455939</v>
      </c>
      <c r="F736" s="2" t="str">
        <f>IFERROR(__xludf.DUMMYFUNCTION("""COMPUTED_VALUE"""),"Mary Jean Villaflor_2")</f>
        <v>Mary Jean Villaflor_2</v>
      </c>
      <c r="G736" s="2"/>
      <c r="H736" s="2"/>
      <c r="I736" s="2" t="str">
        <f>IFERROR(__xludf.DUMMYFUNCTION("""COMPUTED_VALUE"""),"ICM_Business_linked_launch")</f>
        <v>ICM_Business_linked_launch</v>
      </c>
      <c r="J736" s="2" t="str">
        <f>IFERROR(__xludf.DUMMYFUNCTION("""COMPUTED_VALUE"""),"uuid:ec9fd86e-624f-4260-9b70-0e2a1afa33ac")</f>
        <v>uuid:ec9fd86e-624f-4260-9b70-0e2a1afa33ac</v>
      </c>
    </row>
    <row r="737">
      <c r="A737" s="2" t="str">
        <f>IFERROR(__xludf.DUMMYFUNCTION("""COMPUTED_VALUE"""),"2025-09-18T11:59:57.038Z")</f>
        <v>2025-09-18T11:59:57.038Z</v>
      </c>
      <c r="B737" s="2" t="str">
        <f>IFERROR(__xludf.DUMMYFUNCTION("""COMPUTED_VALUE"""),"2025-09-18T14:15:55.524+08")</f>
        <v>2025-09-18T14:15:55.524+08</v>
      </c>
      <c r="C737" s="2" t="str">
        <f>IFERROR(__xludf.DUMMYFUNCTION("""COMPUTED_VALUE"""),"2025-09-18T14:19:18.280+08")</f>
        <v>2025-09-18T14:19:18.280+08</v>
      </c>
      <c r="D737" s="2" t="str">
        <f>IFERROR(__xludf.DUMMYFUNCTION("""COMPUTED_VALUE"""),"H004787033")</f>
        <v>H004787033</v>
      </c>
      <c r="E737" s="2">
        <f>IFERROR(__xludf.DUMMYFUNCTION("""COMPUTED_VALUE"""),455939.0)</f>
        <v>455939</v>
      </c>
      <c r="F737" s="2" t="str">
        <f>IFERROR(__xludf.DUMMYFUNCTION("""COMPUTED_VALUE"""),"Mary Jean Villaflor_2")</f>
        <v>Mary Jean Villaflor_2</v>
      </c>
      <c r="G737" s="2"/>
      <c r="H737" s="2"/>
      <c r="I737" s="2" t="str">
        <f>IFERROR(__xludf.DUMMYFUNCTION("""COMPUTED_VALUE"""),"ICM_Business_linked_launch")</f>
        <v>ICM_Business_linked_launch</v>
      </c>
      <c r="J737" s="2" t="str">
        <f>IFERROR(__xludf.DUMMYFUNCTION("""COMPUTED_VALUE"""),"uuid:d1c3a790-08ba-483b-9954-2d1169255d90")</f>
        <v>uuid:d1c3a790-08ba-483b-9954-2d1169255d90</v>
      </c>
    </row>
    <row r="738">
      <c r="A738" s="2" t="str">
        <f>IFERROR(__xludf.DUMMYFUNCTION("""COMPUTED_VALUE"""),"2025-09-18T11:59:59.334Z")</f>
        <v>2025-09-18T11:59:59.334Z</v>
      </c>
      <c r="B738" s="2" t="str">
        <f>IFERROR(__xludf.DUMMYFUNCTION("""COMPUTED_VALUE"""),"2025-09-18T15:17:01.342+08")</f>
        <v>2025-09-18T15:17:01.342+08</v>
      </c>
      <c r="C738" s="2" t="str">
        <f>IFERROR(__xludf.DUMMYFUNCTION("""COMPUTED_VALUE"""),"2025-09-18T15:20:08.940+08")</f>
        <v>2025-09-18T15:20:08.940+08</v>
      </c>
      <c r="D738" s="2" t="str">
        <f>IFERROR(__xludf.DUMMYFUNCTION("""COMPUTED_VALUE"""),"H004787007")</f>
        <v>H004787007</v>
      </c>
      <c r="E738" s="2">
        <f>IFERROR(__xludf.DUMMYFUNCTION("""COMPUTED_VALUE"""),455939.0)</f>
        <v>455939</v>
      </c>
      <c r="F738" s="2" t="str">
        <f>IFERROR(__xludf.DUMMYFUNCTION("""COMPUTED_VALUE"""),"Mary Jean Villaflor_2")</f>
        <v>Mary Jean Villaflor_2</v>
      </c>
      <c r="G738" s="2"/>
      <c r="H738" s="2"/>
      <c r="I738" s="2" t="str">
        <f>IFERROR(__xludf.DUMMYFUNCTION("""COMPUTED_VALUE"""),"ICM_Business_linked_launch")</f>
        <v>ICM_Business_linked_launch</v>
      </c>
      <c r="J738" s="2" t="str">
        <f>IFERROR(__xludf.DUMMYFUNCTION("""COMPUTED_VALUE"""),"uuid:7b06af97-faa4-4d8a-9b23-03147709141e")</f>
        <v>uuid:7b06af97-faa4-4d8a-9b23-03147709141e</v>
      </c>
    </row>
    <row r="739">
      <c r="A739" s="2" t="str">
        <f>IFERROR(__xludf.DUMMYFUNCTION("""COMPUTED_VALUE"""),"2025-09-19T10:48:51.939Z")</f>
        <v>2025-09-19T10:48:51.939Z</v>
      </c>
      <c r="B739" s="2" t="str">
        <f>IFERROR(__xludf.DUMMYFUNCTION("""COMPUTED_VALUE"""),"2025-09-19T11:14:45.806+08")</f>
        <v>2025-09-19T11:14:45.806+08</v>
      </c>
      <c r="C739" s="2" t="str">
        <f>IFERROR(__xludf.DUMMYFUNCTION("""COMPUTED_VALUE"""),"2025-09-19T11:31:55.661+08")</f>
        <v>2025-09-19T11:31:55.661+08</v>
      </c>
      <c r="D739" s="2" t="str">
        <f>IFERROR(__xludf.DUMMYFUNCTION("""COMPUTED_VALUE"""),"H030323028")</f>
        <v>H030323028</v>
      </c>
      <c r="E739" s="2" t="str">
        <f>IFERROR(__xludf.DUMMYFUNCTION("""COMPUTED_VALUE"""),"G5472901")</f>
        <v>G5472901</v>
      </c>
      <c r="F739" s="2" t="str">
        <f>IFERROR(__xludf.DUMMYFUNCTION("""COMPUTED_VALUE"""),"Wellyn Grace Alaban Parcia")</f>
        <v>Wellyn Grace Alaban Parcia</v>
      </c>
      <c r="G739" s="2"/>
      <c r="H739" s="2"/>
      <c r="I739" s="2" t="str">
        <f>IFERROR(__xludf.DUMMYFUNCTION("""COMPUTED_VALUE"""),"ICM_Business_linked_launch")</f>
        <v>ICM_Business_linked_launch</v>
      </c>
      <c r="J739" s="2" t="str">
        <f>IFERROR(__xludf.DUMMYFUNCTION("""COMPUTED_VALUE"""),"uuid:1f37fd83-6373-40b4-becc-4d39c79b614c")</f>
        <v>uuid:1f37fd83-6373-40b4-becc-4d39c79b614c</v>
      </c>
    </row>
    <row r="740">
      <c r="A740" s="2" t="str">
        <f>IFERROR(__xludf.DUMMYFUNCTION("""COMPUTED_VALUE"""),"2025-09-19T10:48:54.204Z")</f>
        <v>2025-09-19T10:48:54.204Z</v>
      </c>
      <c r="B740" s="2" t="str">
        <f>IFERROR(__xludf.DUMMYFUNCTION("""COMPUTED_VALUE"""),"2025-09-19T13:28:06.274+08")</f>
        <v>2025-09-19T13:28:06.274+08</v>
      </c>
      <c r="C740" s="2" t="str">
        <f>IFERROR(__xludf.DUMMYFUNCTION("""COMPUTED_VALUE"""),"2025-09-19T13:47:44.804+08")</f>
        <v>2025-09-19T13:47:44.804+08</v>
      </c>
      <c r="D740" s="2" t="str">
        <f>IFERROR(__xludf.DUMMYFUNCTION("""COMPUTED_VALUE"""),"H030323019")</f>
        <v>H030323019</v>
      </c>
      <c r="E740" s="2" t="str">
        <f>IFERROR(__xludf.DUMMYFUNCTION("""COMPUTED_VALUE"""),"G5472901")</f>
        <v>G5472901</v>
      </c>
      <c r="F740" s="2" t="str">
        <f>IFERROR(__xludf.DUMMYFUNCTION("""COMPUTED_VALUE"""),"Wellyn Grace Alaban Parcia")</f>
        <v>Wellyn Grace Alaban Parcia</v>
      </c>
      <c r="G740" s="2"/>
      <c r="H740" s="2"/>
      <c r="I740" s="2" t="str">
        <f>IFERROR(__xludf.DUMMYFUNCTION("""COMPUTED_VALUE"""),"ICM_Business_linked_launch")</f>
        <v>ICM_Business_linked_launch</v>
      </c>
      <c r="J740" s="2" t="str">
        <f>IFERROR(__xludf.DUMMYFUNCTION("""COMPUTED_VALUE"""),"uuid:0cf48a36-1bab-4177-83f5-50ff3131b9c1")</f>
        <v>uuid:0cf48a36-1bab-4177-83f5-50ff3131b9c1</v>
      </c>
    </row>
    <row r="741">
      <c r="A741" s="2" t="str">
        <f>IFERROR(__xludf.DUMMYFUNCTION("""COMPUTED_VALUE"""),"2025-09-19T10:49:20.612Z")</f>
        <v>2025-09-19T10:49:20.612Z</v>
      </c>
      <c r="B741" s="2" t="str">
        <f>IFERROR(__xludf.DUMMYFUNCTION("""COMPUTED_VALUE"""),"2025-09-19T12:02:21.443+08")</f>
        <v>2025-09-19T12:02:21.443+08</v>
      </c>
      <c r="C741" s="2" t="str">
        <f>IFERROR(__xludf.DUMMYFUNCTION("""COMPUTED_VALUE"""),"2025-09-19T12:07:36.994+08")</f>
        <v>2025-09-19T12:07:36.994+08</v>
      </c>
      <c r="D741" s="2" t="str">
        <f>IFERROR(__xludf.DUMMYFUNCTION("""COMPUTED_VALUE"""),"H030323027")</f>
        <v>H030323027</v>
      </c>
      <c r="E741" s="2" t="str">
        <f>IFERROR(__xludf.DUMMYFUNCTION("""COMPUTED_VALUE"""),"F3051749")</f>
        <v>F3051749</v>
      </c>
      <c r="F741" s="2" t="str">
        <f>IFERROR(__xludf.DUMMYFUNCTION("""COMPUTED_VALUE"""),"Elenita Gicos De La Pe�a")</f>
        <v>Elenita Gicos De La Pe�a</v>
      </c>
      <c r="G741" s="2"/>
      <c r="H741" s="2"/>
      <c r="I741" s="2" t="str">
        <f>IFERROR(__xludf.DUMMYFUNCTION("""COMPUTED_VALUE"""),"ICM_Business_linked_launch")</f>
        <v>ICM_Business_linked_launch</v>
      </c>
      <c r="J741" s="2" t="str">
        <f>IFERROR(__xludf.DUMMYFUNCTION("""COMPUTED_VALUE"""),"uuid:e52aabf5-7350-410e-8aaa-3ceb8ee21312")</f>
        <v>uuid:e52aabf5-7350-410e-8aaa-3ceb8ee21312</v>
      </c>
    </row>
    <row r="742">
      <c r="A742" s="2" t="str">
        <f>IFERROR(__xludf.DUMMYFUNCTION("""COMPUTED_VALUE"""),"2025-09-19T10:49:23.182Z")</f>
        <v>2025-09-19T10:49:23.182Z</v>
      </c>
      <c r="B742" s="2" t="str">
        <f>IFERROR(__xludf.DUMMYFUNCTION("""COMPUTED_VALUE"""),"2025-09-19T13:50:01.327+08")</f>
        <v>2025-09-19T13:50:01.327+08</v>
      </c>
      <c r="C742" s="2" t="str">
        <f>IFERROR(__xludf.DUMMYFUNCTION("""COMPUTED_VALUE"""),"2025-09-19T13:54:33.277+08")</f>
        <v>2025-09-19T13:54:33.277+08</v>
      </c>
      <c r="D742" s="2" t="str">
        <f>IFERROR(__xludf.DUMMYFUNCTION("""COMPUTED_VALUE"""),"H030323023")</f>
        <v>H030323023</v>
      </c>
      <c r="E742" s="2" t="str">
        <f>IFERROR(__xludf.DUMMYFUNCTION("""COMPUTED_VALUE"""),"F3051749")</f>
        <v>F3051749</v>
      </c>
      <c r="F742" s="2" t="str">
        <f>IFERROR(__xludf.DUMMYFUNCTION("""COMPUTED_VALUE"""),"Elenita Gicos De La Pe�a")</f>
        <v>Elenita Gicos De La Pe�a</v>
      </c>
      <c r="G742" s="2"/>
      <c r="H742" s="2"/>
      <c r="I742" s="2" t="str">
        <f>IFERROR(__xludf.DUMMYFUNCTION("""COMPUTED_VALUE"""),"ICM_Business_linked_launch")</f>
        <v>ICM_Business_linked_launch</v>
      </c>
      <c r="J742" s="2" t="str">
        <f>IFERROR(__xludf.DUMMYFUNCTION("""COMPUTED_VALUE"""),"uuid:30d1a550-938f-42fc-8ebd-dd5196fb5f92")</f>
        <v>uuid:30d1a550-938f-42fc-8ebd-dd5196fb5f92</v>
      </c>
    </row>
    <row r="743">
      <c r="A743" s="2" t="str">
        <f>IFERROR(__xludf.DUMMYFUNCTION("""COMPUTED_VALUE"""),"2025-09-19T10:54:52.637Z")</f>
        <v>2025-09-19T10:54:52.637Z</v>
      </c>
      <c r="B743" s="2" t="str">
        <f>IFERROR(__xludf.DUMMYFUNCTION("""COMPUTED_VALUE"""),"2025-09-19T11:35:12.025+08")</f>
        <v>2025-09-19T11:35:12.025+08</v>
      </c>
      <c r="C743" s="2" t="str">
        <f>IFERROR(__xludf.DUMMYFUNCTION("""COMPUTED_VALUE"""),"2025-09-19T11:48:55.031+08")</f>
        <v>2025-09-19T11:48:55.031+08</v>
      </c>
      <c r="D743" s="2" t="str">
        <f>IFERROR(__xludf.DUMMYFUNCTION("""COMPUTED_VALUE"""),"H030323018")</f>
        <v>H030323018</v>
      </c>
      <c r="E743" s="2" t="str">
        <f>IFERROR(__xludf.DUMMYFUNCTION("""COMPUTED_VALUE"""),"H2846135")</f>
        <v>H2846135</v>
      </c>
      <c r="F743" s="2" t="str">
        <f>IFERROR(__xludf.DUMMYFUNCTION("""COMPUTED_VALUE"""),"Annalou Empanado Encontro")</f>
        <v>Annalou Empanado Encontro</v>
      </c>
      <c r="G743" s="2"/>
      <c r="H743" s="2"/>
      <c r="I743" s="2" t="str">
        <f>IFERROR(__xludf.DUMMYFUNCTION("""COMPUTED_VALUE"""),"ICM_Business_linked_launch")</f>
        <v>ICM_Business_linked_launch</v>
      </c>
      <c r="J743" s="2" t="str">
        <f>IFERROR(__xludf.DUMMYFUNCTION("""COMPUTED_VALUE"""),"uuid:01c68b29-d3fe-43bf-be3d-6574a4232a1d")</f>
        <v>uuid:01c68b29-d3fe-43bf-be3d-6574a4232a1d</v>
      </c>
    </row>
    <row r="744">
      <c r="A744" s="2" t="str">
        <f>IFERROR(__xludf.DUMMYFUNCTION("""COMPUTED_VALUE"""),"2025-09-19T10:54:57.161Z")</f>
        <v>2025-09-19T10:54:57.161Z</v>
      </c>
      <c r="B744" s="2" t="str">
        <f>IFERROR(__xludf.DUMMYFUNCTION("""COMPUTED_VALUE"""),"2025-09-19T14:07:57.339+08")</f>
        <v>2025-09-19T14:07:57.339+08</v>
      </c>
      <c r="C744" s="2" t="str">
        <f>IFERROR(__xludf.DUMMYFUNCTION("""COMPUTED_VALUE"""),"2025-09-19T14:13:30.689+08")</f>
        <v>2025-09-19T14:13:30.689+08</v>
      </c>
      <c r="D744" s="2" t="str">
        <f>IFERROR(__xludf.DUMMYFUNCTION("""COMPUTED_VALUE"""),"H030323030")</f>
        <v>H030323030</v>
      </c>
      <c r="E744" s="2" t="str">
        <f>IFERROR(__xludf.DUMMYFUNCTION("""COMPUTED_VALUE"""),"H2846135")</f>
        <v>H2846135</v>
      </c>
      <c r="F744" s="2" t="str">
        <f>IFERROR(__xludf.DUMMYFUNCTION("""COMPUTED_VALUE"""),"Annalou Empanado Encontro")</f>
        <v>Annalou Empanado Encontro</v>
      </c>
      <c r="G744" s="2"/>
      <c r="H744" s="2"/>
      <c r="I744" s="2" t="str">
        <f>IFERROR(__xludf.DUMMYFUNCTION("""COMPUTED_VALUE"""),"ICM_Business_linked_launch")</f>
        <v>ICM_Business_linked_launch</v>
      </c>
      <c r="J744" s="2" t="str">
        <f>IFERROR(__xludf.DUMMYFUNCTION("""COMPUTED_VALUE"""),"uuid:1bf69c21-ebd4-4ba6-96c6-e9a772c61c0a")</f>
        <v>uuid:1bf69c21-ebd4-4ba6-96c6-e9a772c61c0a</v>
      </c>
    </row>
    <row r="745">
      <c r="A745" s="2" t="str">
        <f>IFERROR(__xludf.DUMMYFUNCTION("""COMPUTED_VALUE"""),"2025-09-19T11:01:18.245Z")</f>
        <v>2025-09-19T11:01:18.245Z</v>
      </c>
      <c r="B745" s="2" t="str">
        <f>IFERROR(__xludf.DUMMYFUNCTION("""COMPUTED_VALUE"""),"2025-09-19T11:28:52.970+08")</f>
        <v>2025-09-19T11:28:52.970+08</v>
      </c>
      <c r="C745" s="2" t="str">
        <f>IFERROR(__xludf.DUMMYFUNCTION("""COMPUTED_VALUE"""),"2025-09-19T11:40:38.079+08")</f>
        <v>2025-09-19T11:40:38.079+08</v>
      </c>
      <c r="D745" s="2" t="str">
        <f>IFERROR(__xludf.DUMMYFUNCTION("""COMPUTED_VALUE"""),"H004380024")</f>
        <v>H004380024</v>
      </c>
      <c r="E745" s="2">
        <f>IFERROR(__xludf.DUMMYFUNCTION("""COMPUTED_VALUE"""),859767.0)</f>
        <v>859767</v>
      </c>
      <c r="F745" s="2" t="str">
        <f>IFERROR(__xludf.DUMMYFUNCTION("""COMPUTED_VALUE"""),"Ramie De Pedro Jr._2")</f>
        <v>Ramie De Pedro Jr._2</v>
      </c>
      <c r="G745" s="2"/>
      <c r="H745" s="2"/>
      <c r="I745" s="2" t="str">
        <f>IFERROR(__xludf.DUMMYFUNCTION("""COMPUTED_VALUE"""),"ICM_Business_linked_launch")</f>
        <v>ICM_Business_linked_launch</v>
      </c>
      <c r="J745" s="2" t="str">
        <f>IFERROR(__xludf.DUMMYFUNCTION("""COMPUTED_VALUE"""),"uuid:c71c1418-fb38-4df4-9c3f-e2e8f83674b3")</f>
        <v>uuid:c71c1418-fb38-4df4-9c3f-e2e8f83674b3</v>
      </c>
    </row>
    <row r="746">
      <c r="A746" s="2" t="str">
        <f>IFERROR(__xludf.DUMMYFUNCTION("""COMPUTED_VALUE"""),"2025-09-19T11:01:19.426Z")</f>
        <v>2025-09-19T11:01:19.426Z</v>
      </c>
      <c r="B746" s="2" t="str">
        <f>IFERROR(__xludf.DUMMYFUNCTION("""COMPUTED_VALUE"""),"2025-09-19T12:39:38.873+08")</f>
        <v>2025-09-19T12:39:38.873+08</v>
      </c>
      <c r="C746" s="2" t="str">
        <f>IFERROR(__xludf.DUMMYFUNCTION("""COMPUTED_VALUE"""),"2025-09-19T12:45:43.167+08")</f>
        <v>2025-09-19T12:45:43.167+08</v>
      </c>
      <c r="D746" s="2" t="str">
        <f>IFERROR(__xludf.DUMMYFUNCTION("""COMPUTED_VALUE"""),"H004380022")</f>
        <v>H004380022</v>
      </c>
      <c r="E746" s="2">
        <f>IFERROR(__xludf.DUMMYFUNCTION("""COMPUTED_VALUE"""),859767.0)</f>
        <v>859767</v>
      </c>
      <c r="F746" s="2" t="str">
        <f>IFERROR(__xludf.DUMMYFUNCTION("""COMPUTED_VALUE"""),"Ramie De Pedro Jr._2")</f>
        <v>Ramie De Pedro Jr._2</v>
      </c>
      <c r="G746" s="2"/>
      <c r="H746" s="2"/>
      <c r="I746" s="2" t="str">
        <f>IFERROR(__xludf.DUMMYFUNCTION("""COMPUTED_VALUE"""),"ICM_Business_linked_launch")</f>
        <v>ICM_Business_linked_launch</v>
      </c>
      <c r="J746" s="2" t="str">
        <f>IFERROR(__xludf.DUMMYFUNCTION("""COMPUTED_VALUE"""),"uuid:9e941182-76fc-4475-8d03-20127b53e8b1")</f>
        <v>uuid:9e941182-76fc-4475-8d03-20127b53e8b1</v>
      </c>
    </row>
    <row r="747">
      <c r="A747" s="2" t="str">
        <f>IFERROR(__xludf.DUMMYFUNCTION("""COMPUTED_VALUE"""),"2025-09-19T11:01:20.722Z")</f>
        <v>2025-09-19T11:01:20.722Z</v>
      </c>
      <c r="B747" s="2" t="str">
        <f>IFERROR(__xludf.DUMMYFUNCTION("""COMPUTED_VALUE"""),"2025-09-19T14:35:05.016+08")</f>
        <v>2025-09-19T14:35:05.016+08</v>
      </c>
      <c r="C747" s="2" t="str">
        <f>IFERROR(__xludf.DUMMYFUNCTION("""COMPUTED_VALUE"""),"2025-09-19T14:52:55.695+08")</f>
        <v>2025-09-19T14:52:55.695+08</v>
      </c>
      <c r="D747" s="2" t="str">
        <f>IFERROR(__xludf.DUMMYFUNCTION("""COMPUTED_VALUE"""),"H004380031")</f>
        <v>H004380031</v>
      </c>
      <c r="E747" s="2">
        <f>IFERROR(__xludf.DUMMYFUNCTION("""COMPUTED_VALUE"""),859767.0)</f>
        <v>859767</v>
      </c>
      <c r="F747" s="2" t="str">
        <f>IFERROR(__xludf.DUMMYFUNCTION("""COMPUTED_VALUE"""),"Ramie De Pedro Jr._2")</f>
        <v>Ramie De Pedro Jr._2</v>
      </c>
      <c r="G747" s="2"/>
      <c r="H747" s="2"/>
      <c r="I747" s="2" t="str">
        <f>IFERROR(__xludf.DUMMYFUNCTION("""COMPUTED_VALUE"""),"ICM_Business_linked_launch")</f>
        <v>ICM_Business_linked_launch</v>
      </c>
      <c r="J747" s="2" t="str">
        <f>IFERROR(__xludf.DUMMYFUNCTION("""COMPUTED_VALUE"""),"uuid:08595456-4e35-47a6-a44d-0464a443a351")</f>
        <v>uuid:08595456-4e35-47a6-a44d-0464a443a351</v>
      </c>
    </row>
    <row r="748">
      <c r="A748" s="2" t="str">
        <f>IFERROR(__xludf.DUMMYFUNCTION("""COMPUTED_VALUE"""),"2025-09-19T11:02:11.935Z")</f>
        <v>2025-09-19T11:02:11.935Z</v>
      </c>
      <c r="B748" s="2" t="str">
        <f>IFERROR(__xludf.DUMMYFUNCTION("""COMPUTED_VALUE"""),"2025-09-19T10:21:56.453+08")</f>
        <v>2025-09-19T10:21:56.453+08</v>
      </c>
      <c r="C748" s="2" t="str">
        <f>IFERROR(__xludf.DUMMYFUNCTION("""COMPUTED_VALUE"""),"2025-09-19T10:33:59.120+08")</f>
        <v>2025-09-19T10:33:59.120+08</v>
      </c>
      <c r="D748" s="2" t="str">
        <f>IFERROR(__xludf.DUMMYFUNCTION("""COMPUTED_VALUE"""),"H004380028")</f>
        <v>H004380028</v>
      </c>
      <c r="E748" s="2">
        <f>IFERROR(__xludf.DUMMYFUNCTION("""COMPUTED_VALUE"""),729375.0)</f>
        <v>729375</v>
      </c>
      <c r="F748" s="2" t="str">
        <f>IFERROR(__xludf.DUMMYFUNCTION("""COMPUTED_VALUE"""),"Janet Serafica_2")</f>
        <v>Janet Serafica_2</v>
      </c>
      <c r="G748" s="2"/>
      <c r="H748" s="2"/>
      <c r="I748" s="2" t="str">
        <f>IFERROR(__xludf.DUMMYFUNCTION("""COMPUTED_VALUE"""),"ICM_Business_linked_launch")</f>
        <v>ICM_Business_linked_launch</v>
      </c>
      <c r="J748" s="2" t="str">
        <f>IFERROR(__xludf.DUMMYFUNCTION("""COMPUTED_VALUE"""),"uuid:b2badf19-624e-4d2b-aacd-073d63878c8d")</f>
        <v>uuid:b2badf19-624e-4d2b-aacd-073d63878c8d</v>
      </c>
    </row>
    <row r="749">
      <c r="A749" s="2" t="str">
        <f>IFERROR(__xludf.DUMMYFUNCTION("""COMPUTED_VALUE"""),"2025-09-19T11:02:14.099Z")</f>
        <v>2025-09-19T11:02:14.099Z</v>
      </c>
      <c r="B749" s="2" t="str">
        <f>IFERROR(__xludf.DUMMYFUNCTION("""COMPUTED_VALUE"""),"2025-09-19T11:14:06.410+08")</f>
        <v>2025-09-19T11:14:06.410+08</v>
      </c>
      <c r="C749" s="2" t="str">
        <f>IFERROR(__xludf.DUMMYFUNCTION("""COMPUTED_VALUE"""),"2025-09-19T11:22:17.956+08")</f>
        <v>2025-09-19T11:22:17.956+08</v>
      </c>
      <c r="D749" s="2" t="str">
        <f>IFERROR(__xludf.DUMMYFUNCTION("""COMPUTED_VALUE"""),"H004380027")</f>
        <v>H004380027</v>
      </c>
      <c r="E749" s="2">
        <f>IFERROR(__xludf.DUMMYFUNCTION("""COMPUTED_VALUE"""),729375.0)</f>
        <v>729375</v>
      </c>
      <c r="F749" s="2" t="str">
        <f>IFERROR(__xludf.DUMMYFUNCTION("""COMPUTED_VALUE"""),"Janet Serafica_2")</f>
        <v>Janet Serafica_2</v>
      </c>
      <c r="G749" s="2"/>
      <c r="H749" s="2"/>
      <c r="I749" s="2" t="str">
        <f>IFERROR(__xludf.DUMMYFUNCTION("""COMPUTED_VALUE"""),"ICM_Business_linked_launch")</f>
        <v>ICM_Business_linked_launch</v>
      </c>
      <c r="J749" s="2" t="str">
        <f>IFERROR(__xludf.DUMMYFUNCTION("""COMPUTED_VALUE"""),"uuid:9bda0fac-4228-4497-a882-6e7a34ba3f0d")</f>
        <v>uuid:9bda0fac-4228-4497-a882-6e7a34ba3f0d</v>
      </c>
    </row>
    <row r="750">
      <c r="A750" s="2" t="str">
        <f>IFERROR(__xludf.DUMMYFUNCTION("""COMPUTED_VALUE"""),"2025-09-19T11:02:16.263Z")</f>
        <v>2025-09-19T11:02:16.263Z</v>
      </c>
      <c r="B750" s="2" t="str">
        <f>IFERROR(__xludf.DUMMYFUNCTION("""COMPUTED_VALUE"""),"2025-09-19T13:51:45.654+08")</f>
        <v>2025-09-19T13:51:45.654+08</v>
      </c>
      <c r="C750" s="2" t="str">
        <f>IFERROR(__xludf.DUMMYFUNCTION("""COMPUTED_VALUE"""),"2025-09-19T14:02:37.447+08")</f>
        <v>2025-09-19T14:02:37.447+08</v>
      </c>
      <c r="D750" s="2" t="str">
        <f>IFERROR(__xludf.DUMMYFUNCTION("""COMPUTED_VALUE"""),"H004380023")</f>
        <v>H004380023</v>
      </c>
      <c r="E750" s="2">
        <f>IFERROR(__xludf.DUMMYFUNCTION("""COMPUTED_VALUE"""),729375.0)</f>
        <v>729375</v>
      </c>
      <c r="F750" s="2" t="str">
        <f>IFERROR(__xludf.DUMMYFUNCTION("""COMPUTED_VALUE"""),"Janet Serafica_2")</f>
        <v>Janet Serafica_2</v>
      </c>
      <c r="G750" s="2"/>
      <c r="H750" s="2"/>
      <c r="I750" s="2" t="str">
        <f>IFERROR(__xludf.DUMMYFUNCTION("""COMPUTED_VALUE"""),"ICM_Business_linked_launch")</f>
        <v>ICM_Business_linked_launch</v>
      </c>
      <c r="J750" s="2" t="str">
        <f>IFERROR(__xludf.DUMMYFUNCTION("""COMPUTED_VALUE"""),"uuid:41cb814b-c73d-4ac9-9382-63e1d6910c1d")</f>
        <v>uuid:41cb814b-c73d-4ac9-9382-63e1d6910c1d</v>
      </c>
    </row>
    <row r="751">
      <c r="A751" s="2" t="str">
        <f>IFERROR(__xludf.DUMMYFUNCTION("""COMPUTED_VALUE"""),"2025-09-19T11:21:51.115Z")</f>
        <v>2025-09-19T11:21:51.115Z</v>
      </c>
      <c r="B751" s="2" t="str">
        <f>IFERROR(__xludf.DUMMYFUNCTION("""COMPUTED_VALUE"""),"2025-09-19T13:57:57.536+08")</f>
        <v>2025-09-19T13:57:57.536+08</v>
      </c>
      <c r="C751" s="2" t="str">
        <f>IFERROR(__xludf.DUMMYFUNCTION("""COMPUTED_VALUE"""),"2025-09-19T14:07:33.216+08")</f>
        <v>2025-09-19T14:07:33.216+08</v>
      </c>
      <c r="D751" s="2" t="str">
        <f>IFERROR(__xludf.DUMMYFUNCTION("""COMPUTED_VALUE"""),"H006510017")</f>
        <v>H006510017</v>
      </c>
      <c r="E751" s="2" t="str">
        <f>IFERROR(__xludf.DUMMYFUNCTION("""COMPUTED_VALUE"""),"J4315980")</f>
        <v>J4315980</v>
      </c>
      <c r="F751" s="2" t="str">
        <f>IFERROR(__xludf.DUMMYFUNCTION("""COMPUTED_VALUE"""),"Trixie Marie Jardeleza Saber")</f>
        <v>Trixie Marie Jardeleza Saber</v>
      </c>
      <c r="G751" s="2"/>
      <c r="H751" s="2"/>
      <c r="I751" s="2" t="str">
        <f>IFERROR(__xludf.DUMMYFUNCTION("""COMPUTED_VALUE"""),"ICM_Business_linked_launch")</f>
        <v>ICM_Business_linked_launch</v>
      </c>
      <c r="J751" s="2" t="str">
        <f>IFERROR(__xludf.DUMMYFUNCTION("""COMPUTED_VALUE"""),"uuid:64407993-2b2b-4bdc-ac2e-6c77b2bb341a")</f>
        <v>uuid:64407993-2b2b-4bdc-ac2e-6c77b2bb341a</v>
      </c>
    </row>
    <row r="752">
      <c r="A752" s="2" t="str">
        <f>IFERROR(__xludf.DUMMYFUNCTION("""COMPUTED_VALUE"""),"2025-09-19T11:21:54.494Z")</f>
        <v>2025-09-19T11:21:54.494Z</v>
      </c>
      <c r="B752" s="2" t="str">
        <f>IFERROR(__xludf.DUMMYFUNCTION("""COMPUTED_VALUE"""),"2025-09-19T15:24:11.060+08")</f>
        <v>2025-09-19T15:24:11.060+08</v>
      </c>
      <c r="C752" s="2" t="str">
        <f>IFERROR(__xludf.DUMMYFUNCTION("""COMPUTED_VALUE"""),"2025-09-19T15:31:16.696+08")</f>
        <v>2025-09-19T15:31:16.696+08</v>
      </c>
      <c r="D752" s="2" t="str">
        <f>IFERROR(__xludf.DUMMYFUNCTION("""COMPUTED_VALUE"""),"H006510034")</f>
        <v>H006510034</v>
      </c>
      <c r="E752" s="2" t="str">
        <f>IFERROR(__xludf.DUMMYFUNCTION("""COMPUTED_VALUE"""),"J4315980")</f>
        <v>J4315980</v>
      </c>
      <c r="F752" s="2" t="str">
        <f>IFERROR(__xludf.DUMMYFUNCTION("""COMPUTED_VALUE"""),"Trixie Marie Jardeleza Saber")</f>
        <v>Trixie Marie Jardeleza Saber</v>
      </c>
      <c r="G752" s="2"/>
      <c r="H752" s="2"/>
      <c r="I752" s="2" t="str">
        <f>IFERROR(__xludf.DUMMYFUNCTION("""COMPUTED_VALUE"""),"ICM_Business_linked_launch")</f>
        <v>ICM_Business_linked_launch</v>
      </c>
      <c r="J752" s="2" t="str">
        <f>IFERROR(__xludf.DUMMYFUNCTION("""COMPUTED_VALUE"""),"uuid:330103dc-d60f-4328-8894-740aa15f1e9c")</f>
        <v>uuid:330103dc-d60f-4328-8894-740aa15f1e9c</v>
      </c>
    </row>
    <row r="753">
      <c r="A753" s="2" t="str">
        <f>IFERROR(__xludf.DUMMYFUNCTION("""COMPUTED_VALUE"""),"2025-09-19T11:27:26.073Z")</f>
        <v>2025-09-19T11:27:26.073Z</v>
      </c>
      <c r="B753" s="2" t="str">
        <f>IFERROR(__xludf.DUMMYFUNCTION("""COMPUTED_VALUE"""),"2025-09-19T14:00:12.318+08")</f>
        <v>2025-09-19T14:00:12.318+08</v>
      </c>
      <c r="C753" s="2" t="str">
        <f>IFERROR(__xludf.DUMMYFUNCTION("""COMPUTED_VALUE"""),"2025-09-19T14:04:01.957+08")</f>
        <v>2025-09-19T14:04:01.957+08</v>
      </c>
      <c r="D753" s="2" t="str">
        <f>IFERROR(__xludf.DUMMYFUNCTION("""COMPUTED_VALUE"""),"H006510018")</f>
        <v>H006510018</v>
      </c>
      <c r="E753" s="2" t="str">
        <f>IFERROR(__xludf.DUMMYFUNCTION("""COMPUTED_VALUE"""),"M6491032")</f>
        <v>M6491032</v>
      </c>
      <c r="F753" s="2" t="str">
        <f>IFERROR(__xludf.DUMMYFUNCTION("""COMPUTED_VALUE"""),"Rosevil Tayo Desamparado")</f>
        <v>Rosevil Tayo Desamparado</v>
      </c>
      <c r="G753" s="2"/>
      <c r="H753" s="2"/>
      <c r="I753" s="2" t="str">
        <f>IFERROR(__xludf.DUMMYFUNCTION("""COMPUTED_VALUE"""),"ICM_Business_linked_launch")</f>
        <v>ICM_Business_linked_launch</v>
      </c>
      <c r="J753" s="2" t="str">
        <f>IFERROR(__xludf.DUMMYFUNCTION("""COMPUTED_VALUE"""),"uuid:8ae5cbf0-3799-4a53-b03f-f2ac87ad2537")</f>
        <v>uuid:8ae5cbf0-3799-4a53-b03f-f2ac87ad2537</v>
      </c>
    </row>
    <row r="754">
      <c r="A754" s="2" t="str">
        <f>IFERROR(__xludf.DUMMYFUNCTION("""COMPUTED_VALUE"""),"2025-09-19T11:27:33.462Z")</f>
        <v>2025-09-19T11:27:33.462Z</v>
      </c>
      <c r="B754" s="2" t="str">
        <f>IFERROR(__xludf.DUMMYFUNCTION("""COMPUTED_VALUE"""),"2025-09-19T15:06:57.792+08")</f>
        <v>2025-09-19T15:06:57.792+08</v>
      </c>
      <c r="C754" s="2" t="str">
        <f>IFERROR(__xludf.DUMMYFUNCTION("""COMPUTED_VALUE"""),"2025-09-19T19:26:11.655+08")</f>
        <v>2025-09-19T19:26:11.655+08</v>
      </c>
      <c r="D754" s="2" t="str">
        <f>IFERROR(__xludf.DUMMYFUNCTION("""COMPUTED_VALUE"""),"H006510022")</f>
        <v>H006510022</v>
      </c>
      <c r="E754" s="2" t="str">
        <f>IFERROR(__xludf.DUMMYFUNCTION("""COMPUTED_VALUE"""),"M6491032")</f>
        <v>M6491032</v>
      </c>
      <c r="F754" s="2" t="str">
        <f>IFERROR(__xludf.DUMMYFUNCTION("""COMPUTED_VALUE"""),"Rosevil Tayo Desamparado")</f>
        <v>Rosevil Tayo Desamparado</v>
      </c>
      <c r="G754" s="2"/>
      <c r="H754" s="2"/>
      <c r="I754" s="2" t="str">
        <f>IFERROR(__xludf.DUMMYFUNCTION("""COMPUTED_VALUE"""),"ICM_Business_linked_launch")</f>
        <v>ICM_Business_linked_launch</v>
      </c>
      <c r="J754" s="2" t="str">
        <f>IFERROR(__xludf.DUMMYFUNCTION("""COMPUTED_VALUE"""),"uuid:9b6445a0-9529-4fa4-aeee-e2d9c397a3f1")</f>
        <v>uuid:9b6445a0-9529-4fa4-aeee-e2d9c397a3f1</v>
      </c>
    </row>
    <row r="755">
      <c r="A755" s="2" t="str">
        <f>IFERROR(__xludf.DUMMYFUNCTION("""COMPUTED_VALUE"""),"2025-09-19T11:46:24.936Z")</f>
        <v>2025-09-19T11:46:24.936Z</v>
      </c>
      <c r="B755" s="2" t="str">
        <f>IFERROR(__xludf.DUMMYFUNCTION("""COMPUTED_VALUE"""),"2025-09-19T10:49:41.500+08")</f>
        <v>2025-09-19T10:49:41.500+08</v>
      </c>
      <c r="C755" s="2" t="str">
        <f>IFERROR(__xludf.DUMMYFUNCTION("""COMPUTED_VALUE"""),"2025-09-19T10:56:25.604+08")</f>
        <v>2025-09-19T10:56:25.604+08</v>
      </c>
      <c r="D755" s="2" t="str">
        <f>IFERROR(__xludf.DUMMYFUNCTION("""COMPUTED_VALUE"""),"H004380025")</f>
        <v>H004380025</v>
      </c>
      <c r="E755" s="2" t="str">
        <f>IFERROR(__xludf.DUMMYFUNCTION("""COMPUTED_VALUE"""),"S2671943")</f>
        <v>S2671943</v>
      </c>
      <c r="F755" s="2" t="str">
        <f>IFERROR(__xludf.DUMMYFUNCTION("""COMPUTED_VALUE"""),"Marvin Mondia")</f>
        <v>Marvin Mondia</v>
      </c>
      <c r="G755" s="2"/>
      <c r="H755" s="2"/>
      <c r="I755" s="2" t="str">
        <f>IFERROR(__xludf.DUMMYFUNCTION("""COMPUTED_VALUE"""),"ICM_Business_linked_launch")</f>
        <v>ICM_Business_linked_launch</v>
      </c>
      <c r="J755" s="2" t="str">
        <f>IFERROR(__xludf.DUMMYFUNCTION("""COMPUTED_VALUE"""),"uuid:634f5c20-b9b4-4ffc-a58c-b9e702ac732d")</f>
        <v>uuid:634f5c20-b9b4-4ffc-a58c-b9e702ac732d</v>
      </c>
    </row>
    <row r="756">
      <c r="A756" s="2" t="str">
        <f>IFERROR(__xludf.DUMMYFUNCTION("""COMPUTED_VALUE"""),"2025-09-19T11:46:27.156Z")</f>
        <v>2025-09-19T11:46:27.156Z</v>
      </c>
      <c r="B756" s="2" t="str">
        <f>IFERROR(__xludf.DUMMYFUNCTION("""COMPUTED_VALUE"""),"2025-09-19T11:51:23.734+08")</f>
        <v>2025-09-19T11:51:23.734+08</v>
      </c>
      <c r="C756" s="2" t="str">
        <f>IFERROR(__xludf.DUMMYFUNCTION("""COMPUTED_VALUE"""),"2025-09-19T11:54:28.608+08")</f>
        <v>2025-09-19T11:54:28.608+08</v>
      </c>
      <c r="D756" s="2" t="str">
        <f>IFERROR(__xludf.DUMMYFUNCTION("""COMPUTED_VALUE"""),"H004380009")</f>
        <v>H004380009</v>
      </c>
      <c r="E756" s="2" t="str">
        <f>IFERROR(__xludf.DUMMYFUNCTION("""COMPUTED_VALUE"""),"S2671943")</f>
        <v>S2671943</v>
      </c>
      <c r="F756" s="2" t="str">
        <f>IFERROR(__xludf.DUMMYFUNCTION("""COMPUTED_VALUE"""),"Marvin Mondia")</f>
        <v>Marvin Mondia</v>
      </c>
      <c r="G756" s="2"/>
      <c r="H756" s="2"/>
      <c r="I756" s="2" t="str">
        <f>IFERROR(__xludf.DUMMYFUNCTION("""COMPUTED_VALUE"""),"ICM_Business_linked_launch")</f>
        <v>ICM_Business_linked_launch</v>
      </c>
      <c r="J756" s="2" t="str">
        <f>IFERROR(__xludf.DUMMYFUNCTION("""COMPUTED_VALUE"""),"uuid:2f6747d9-6d84-42b6-9c8e-92b3956eec1a")</f>
        <v>uuid:2f6747d9-6d84-42b6-9c8e-92b3956eec1a</v>
      </c>
    </row>
    <row r="757">
      <c r="A757" s="2" t="str">
        <f>IFERROR(__xludf.DUMMYFUNCTION("""COMPUTED_VALUE"""),"2025-09-19T11:46:29.201Z")</f>
        <v>2025-09-19T11:46:29.201Z</v>
      </c>
      <c r="B757" s="2" t="str">
        <f>IFERROR(__xludf.DUMMYFUNCTION("""COMPUTED_VALUE"""),"2025-09-19T13:49:21.553+08")</f>
        <v>2025-09-19T13:49:21.553+08</v>
      </c>
      <c r="C757" s="2" t="str">
        <f>IFERROR(__xludf.DUMMYFUNCTION("""COMPUTED_VALUE"""),"2025-09-19T13:54:44.459+08")</f>
        <v>2025-09-19T13:54:44.459+08</v>
      </c>
      <c r="D757" s="2" t="str">
        <f>IFERROR(__xludf.DUMMYFUNCTION("""COMPUTED_VALUE"""),"H004380033")</f>
        <v>H004380033</v>
      </c>
      <c r="E757" s="2" t="str">
        <f>IFERROR(__xludf.DUMMYFUNCTION("""COMPUTED_VALUE"""),"S2671943")</f>
        <v>S2671943</v>
      </c>
      <c r="F757" s="2" t="str">
        <f>IFERROR(__xludf.DUMMYFUNCTION("""COMPUTED_VALUE"""),"Marvin Mondia")</f>
        <v>Marvin Mondia</v>
      </c>
      <c r="G757" s="2"/>
      <c r="H757" s="2"/>
      <c r="I757" s="2" t="str">
        <f>IFERROR(__xludf.DUMMYFUNCTION("""COMPUTED_VALUE"""),"ICM_Business_linked_launch")</f>
        <v>ICM_Business_linked_launch</v>
      </c>
      <c r="J757" s="2" t="str">
        <f>IFERROR(__xludf.DUMMYFUNCTION("""COMPUTED_VALUE"""),"uuid:0d21d7d5-7aee-4be4-8427-61c0cc6e0fbd")</f>
        <v>uuid:0d21d7d5-7aee-4be4-8427-61c0cc6e0fbd</v>
      </c>
    </row>
    <row r="758">
      <c r="A758" s="2" t="str">
        <f>IFERROR(__xludf.DUMMYFUNCTION("""COMPUTED_VALUE"""),"2025-09-19T12:06:41.553Z")</f>
        <v>2025-09-19T12:06:41.553Z</v>
      </c>
      <c r="B758" s="2" t="str">
        <f>IFERROR(__xludf.DUMMYFUNCTION("""COMPUTED_VALUE"""),"2025-09-19T13:53:25.661+08")</f>
        <v>2025-09-19T13:53:25.661+08</v>
      </c>
      <c r="C758" s="2" t="str">
        <f>IFERROR(__xludf.DUMMYFUNCTION("""COMPUTED_VALUE"""),"2025-09-19T14:04:40.292+08")</f>
        <v>2025-09-19T14:04:40.292+08</v>
      </c>
      <c r="D758" s="2" t="str">
        <f>IFERROR(__xludf.DUMMYFUNCTION("""COMPUTED_VALUE"""),"H006510020")</f>
        <v>H006510020</v>
      </c>
      <c r="E758" s="2" t="str">
        <f>IFERROR(__xludf.DUMMYFUNCTION("""COMPUTED_VALUE"""),"K8623174")</f>
        <v>K8623174</v>
      </c>
      <c r="F758" s="2" t="str">
        <f>IFERROR(__xludf.DUMMYFUNCTION("""COMPUTED_VALUE"""),"Marielle Kaye Ignacio Alonzo")</f>
        <v>Marielle Kaye Ignacio Alonzo</v>
      </c>
      <c r="G758" s="2"/>
      <c r="H758" s="2"/>
      <c r="I758" s="2" t="str">
        <f>IFERROR(__xludf.DUMMYFUNCTION("""COMPUTED_VALUE"""),"ICM_Business_linked_launch")</f>
        <v>ICM_Business_linked_launch</v>
      </c>
      <c r="J758" s="2" t="str">
        <f>IFERROR(__xludf.DUMMYFUNCTION("""COMPUTED_VALUE"""),"uuid:f98d7f6a-1272-4a18-9e46-99e889e5e7a9")</f>
        <v>uuid:f98d7f6a-1272-4a18-9e46-99e889e5e7a9</v>
      </c>
    </row>
    <row r="759">
      <c r="A759" s="2" t="str">
        <f>IFERROR(__xludf.DUMMYFUNCTION("""COMPUTED_VALUE"""),"2025-09-19T12:06:42.593Z")</f>
        <v>2025-09-19T12:06:42.593Z</v>
      </c>
      <c r="B759" s="2" t="str">
        <f>IFERROR(__xludf.DUMMYFUNCTION("""COMPUTED_VALUE"""),"2025-09-19T15:10:43.160+08")</f>
        <v>2025-09-19T15:10:43.160+08</v>
      </c>
      <c r="C759" s="2" t="str">
        <f>IFERROR(__xludf.DUMMYFUNCTION("""COMPUTED_VALUE"""),"2025-09-19T15:19:22.748+08")</f>
        <v>2025-09-19T15:19:22.748+08</v>
      </c>
      <c r="D759" s="2" t="str">
        <f>IFERROR(__xludf.DUMMYFUNCTION("""COMPUTED_VALUE"""),"H006510023")</f>
        <v>H006510023</v>
      </c>
      <c r="E759" s="2" t="str">
        <f>IFERROR(__xludf.DUMMYFUNCTION("""COMPUTED_VALUE"""),"K8623174")</f>
        <v>K8623174</v>
      </c>
      <c r="F759" s="2" t="str">
        <f>IFERROR(__xludf.DUMMYFUNCTION("""COMPUTED_VALUE"""),"Marielle Kaye Ignacio Alonzo")</f>
        <v>Marielle Kaye Ignacio Alonzo</v>
      </c>
      <c r="G759" s="2"/>
      <c r="H759" s="2"/>
      <c r="I759" s="2" t="str">
        <f>IFERROR(__xludf.DUMMYFUNCTION("""COMPUTED_VALUE"""),"ICM_Business_linked_launch")</f>
        <v>ICM_Business_linked_launch</v>
      </c>
      <c r="J759" s="2" t="str">
        <f>IFERROR(__xludf.DUMMYFUNCTION("""COMPUTED_VALUE"""),"uuid:a0e220f8-ce8e-40ef-84c3-689e727e405d")</f>
        <v>uuid:a0e220f8-ce8e-40ef-84c3-689e727e405d</v>
      </c>
    </row>
    <row r="760">
      <c r="A760" s="2" t="str">
        <f>IFERROR(__xludf.DUMMYFUNCTION("""COMPUTED_VALUE"""),"2025-09-19T12:13:46.597Z")</f>
        <v>2025-09-19T12:13:46.597Z</v>
      </c>
      <c r="B760" s="2" t="str">
        <f>IFERROR(__xludf.DUMMYFUNCTION("""COMPUTED_VALUE"""),"2025-09-19T13:38:14.153+08")</f>
        <v>2025-09-19T13:38:14.153+08</v>
      </c>
      <c r="C760" s="2" t="str">
        <f>IFERROR(__xludf.DUMMYFUNCTION("""COMPUTED_VALUE"""),"2025-09-19T13:48:39.260+08")</f>
        <v>2025-09-19T13:48:39.260+08</v>
      </c>
      <c r="D760" s="2" t="str">
        <f>IFERROR(__xludf.DUMMYFUNCTION("""COMPUTED_VALUE"""),"H006510019")</f>
        <v>H006510019</v>
      </c>
      <c r="E760" s="2" t="str">
        <f>IFERROR(__xludf.DUMMYFUNCTION("""COMPUTED_VALUE"""),"L2057896")</f>
        <v>L2057896</v>
      </c>
      <c r="F760" s="2" t="str">
        <f>IFERROR(__xludf.DUMMYFUNCTION("""COMPUTED_VALUE"""),"Franz Reoben Posadas Geneblaza")</f>
        <v>Franz Reoben Posadas Geneblaza</v>
      </c>
      <c r="G760" s="2"/>
      <c r="H760" s="2"/>
      <c r="I760" s="2" t="str">
        <f>IFERROR(__xludf.DUMMYFUNCTION("""COMPUTED_VALUE"""),"ICM_Business_linked_launch")</f>
        <v>ICM_Business_linked_launch</v>
      </c>
      <c r="J760" s="2" t="str">
        <f>IFERROR(__xludf.DUMMYFUNCTION("""COMPUTED_VALUE"""),"uuid:fb3dc340-6dff-4851-8d04-64abad2dd31a")</f>
        <v>uuid:fb3dc340-6dff-4851-8d04-64abad2dd31a</v>
      </c>
    </row>
    <row r="761">
      <c r="A761" s="2" t="str">
        <f>IFERROR(__xludf.DUMMYFUNCTION("""COMPUTED_VALUE"""),"2025-09-19T12:13:50.515Z")</f>
        <v>2025-09-19T12:13:50.515Z</v>
      </c>
      <c r="B761" s="2" t="str">
        <f>IFERROR(__xludf.DUMMYFUNCTION("""COMPUTED_VALUE"""),"2025-09-19T14:42:31.861+08")</f>
        <v>2025-09-19T14:42:31.861+08</v>
      </c>
      <c r="C761" s="2" t="str">
        <f>IFERROR(__xludf.DUMMYFUNCTION("""COMPUTED_VALUE"""),"2025-09-19T15:02:58.125+08")</f>
        <v>2025-09-19T15:02:58.125+08</v>
      </c>
      <c r="D761" s="2" t="str">
        <f>IFERROR(__xludf.DUMMYFUNCTION("""COMPUTED_VALUE"""),"H006510021")</f>
        <v>H006510021</v>
      </c>
      <c r="E761" s="2" t="str">
        <f>IFERROR(__xludf.DUMMYFUNCTION("""COMPUTED_VALUE"""),"L2057896")</f>
        <v>L2057896</v>
      </c>
      <c r="F761" s="2" t="str">
        <f>IFERROR(__xludf.DUMMYFUNCTION("""COMPUTED_VALUE"""),"Franz Reoben Posadas Geneblaza")</f>
        <v>Franz Reoben Posadas Geneblaza</v>
      </c>
      <c r="G761" s="2"/>
      <c r="H761" s="2"/>
      <c r="I761" s="2" t="str">
        <f>IFERROR(__xludf.DUMMYFUNCTION("""COMPUTED_VALUE"""),"ICM_Business_linked_launch")</f>
        <v>ICM_Business_linked_launch</v>
      </c>
      <c r="J761" s="2" t="str">
        <f>IFERROR(__xludf.DUMMYFUNCTION("""COMPUTED_VALUE"""),"uuid:64680b47-1f6d-4f91-bea5-c86656bf2ee2")</f>
        <v>uuid:64680b47-1f6d-4f91-bea5-c86656bf2ee2</v>
      </c>
    </row>
    <row r="762">
      <c r="A762" s="2" t="str">
        <f>IFERROR(__xludf.DUMMYFUNCTION("""COMPUTED_VALUE"""),"2025-09-20T05:15:03.430Z")</f>
        <v>2025-09-20T05:15:03.430Z</v>
      </c>
      <c r="B762" s="2" t="str">
        <f>IFERROR(__xludf.DUMMYFUNCTION("""COMPUTED_VALUE"""),"2025-09-20T10:33:49.795+08")</f>
        <v>2025-09-20T10:33:49.795+08</v>
      </c>
      <c r="C762" s="2" t="str">
        <f>IFERROR(__xludf.DUMMYFUNCTION("""COMPUTED_VALUE"""),"2025-09-20T10:36:23.782+08")</f>
        <v>2025-09-20T10:36:23.782+08</v>
      </c>
      <c r="D762" s="2" t="str">
        <f>IFERROR(__xludf.DUMMYFUNCTION("""COMPUTED_VALUE"""),"H006417033")</f>
        <v>H006417033</v>
      </c>
      <c r="E762" s="2" t="str">
        <f>IFERROR(__xludf.DUMMYFUNCTION("""COMPUTED_VALUE"""),"J4315980")</f>
        <v>J4315980</v>
      </c>
      <c r="F762" s="2" t="str">
        <f>IFERROR(__xludf.DUMMYFUNCTION("""COMPUTED_VALUE"""),"Trixie Marie Jardeleza Saber")</f>
        <v>Trixie Marie Jardeleza Saber</v>
      </c>
      <c r="G762" s="2"/>
      <c r="H762" s="2"/>
      <c r="I762" s="2" t="str">
        <f>IFERROR(__xludf.DUMMYFUNCTION("""COMPUTED_VALUE"""),"ICM_Business_linked_launch")</f>
        <v>ICM_Business_linked_launch</v>
      </c>
      <c r="J762" s="2" t="str">
        <f>IFERROR(__xludf.DUMMYFUNCTION("""COMPUTED_VALUE"""),"uuid:ccbc9005-84ed-430a-90b9-5d4817421036")</f>
        <v>uuid:ccbc9005-84ed-430a-90b9-5d4817421036</v>
      </c>
    </row>
    <row r="763">
      <c r="A763" s="2" t="str">
        <f>IFERROR(__xludf.DUMMYFUNCTION("""COMPUTED_VALUE"""),"2025-09-20T05:15:04.199Z")</f>
        <v>2025-09-20T05:15:04.199Z</v>
      </c>
      <c r="B763" s="2" t="str">
        <f>IFERROR(__xludf.DUMMYFUNCTION("""COMPUTED_VALUE"""),"2025-09-20T08:26:49.926+08")</f>
        <v>2025-09-20T08:26:49.926+08</v>
      </c>
      <c r="C763" s="2" t="str">
        <f>IFERROR(__xludf.DUMMYFUNCTION("""COMPUTED_VALUE"""),"2025-09-20T08:31:18.928+08")</f>
        <v>2025-09-20T08:31:18.928+08</v>
      </c>
      <c r="D763" s="2" t="str">
        <f>IFERROR(__xludf.DUMMYFUNCTION("""COMPUTED_VALUE"""),"H006417035")</f>
        <v>H006417035</v>
      </c>
      <c r="E763" s="2" t="str">
        <f>IFERROR(__xludf.DUMMYFUNCTION("""COMPUTED_VALUE"""),"J4315980")</f>
        <v>J4315980</v>
      </c>
      <c r="F763" s="2" t="str">
        <f>IFERROR(__xludf.DUMMYFUNCTION("""COMPUTED_VALUE"""),"Trixie Marie Jardeleza Saber")</f>
        <v>Trixie Marie Jardeleza Saber</v>
      </c>
      <c r="G763" s="2"/>
      <c r="H763" s="2"/>
      <c r="I763" s="2" t="str">
        <f>IFERROR(__xludf.DUMMYFUNCTION("""COMPUTED_VALUE"""),"ICM_Business_linked_launch")</f>
        <v>ICM_Business_linked_launch</v>
      </c>
      <c r="J763" s="2" t="str">
        <f>IFERROR(__xludf.DUMMYFUNCTION("""COMPUTED_VALUE"""),"uuid:777c7560-c410-4989-8fc7-c35bf809fdf4")</f>
        <v>uuid:777c7560-c410-4989-8fc7-c35bf809fdf4</v>
      </c>
    </row>
    <row r="764">
      <c r="A764" s="2" t="str">
        <f>IFERROR(__xludf.DUMMYFUNCTION("""COMPUTED_VALUE"""),"2025-09-20T06:20:21.740Z")</f>
        <v>2025-09-20T06:20:21.740Z</v>
      </c>
      <c r="B764" s="2" t="str">
        <f>IFERROR(__xludf.DUMMYFUNCTION("""COMPUTED_VALUE"""),"2025-09-20T08:14:13.147+08")</f>
        <v>2025-09-20T08:14:13.147+08</v>
      </c>
      <c r="C764" s="2" t="str">
        <f>IFERROR(__xludf.DUMMYFUNCTION("""COMPUTED_VALUE"""),"2025-09-20T08:30:27.465+08")</f>
        <v>2025-09-20T08:30:27.465+08</v>
      </c>
      <c r="D764" s="2" t="str">
        <f>IFERROR(__xludf.DUMMYFUNCTION("""COMPUTED_VALUE"""),"H006510032")</f>
        <v>H006510032</v>
      </c>
      <c r="E764" s="2" t="str">
        <f>IFERROR(__xludf.DUMMYFUNCTION("""COMPUTED_VALUE"""),"L2057896")</f>
        <v>L2057896</v>
      </c>
      <c r="F764" s="2" t="str">
        <f>IFERROR(__xludf.DUMMYFUNCTION("""COMPUTED_VALUE"""),"Franz Reoben Posadas Geneblaza")</f>
        <v>Franz Reoben Posadas Geneblaza</v>
      </c>
      <c r="G764" s="2"/>
      <c r="H764" s="2"/>
      <c r="I764" s="2" t="str">
        <f>IFERROR(__xludf.DUMMYFUNCTION("""COMPUTED_VALUE"""),"ICM_Business_linked_launch")</f>
        <v>ICM_Business_linked_launch</v>
      </c>
      <c r="J764" s="2" t="str">
        <f>IFERROR(__xludf.DUMMYFUNCTION("""COMPUTED_VALUE"""),"uuid:f2b3e1a6-e0e6-41d6-ad9a-700e001eefbb")</f>
        <v>uuid:f2b3e1a6-e0e6-41d6-ad9a-700e001eefbb</v>
      </c>
    </row>
    <row r="765">
      <c r="A765" s="2" t="str">
        <f>IFERROR(__xludf.DUMMYFUNCTION("""COMPUTED_VALUE"""),"2025-09-20T06:20:23.741Z")</f>
        <v>2025-09-20T06:20:23.741Z</v>
      </c>
      <c r="B765" s="2" t="str">
        <f>IFERROR(__xludf.DUMMYFUNCTION("""COMPUTED_VALUE"""),"2025-09-20T09:33:04.758+08")</f>
        <v>2025-09-20T09:33:04.758+08</v>
      </c>
      <c r="C765" s="2" t="str">
        <f>IFERROR(__xludf.DUMMYFUNCTION("""COMPUTED_VALUE"""),"2025-09-20T09:57:15.462+08")</f>
        <v>2025-09-20T09:57:15.462+08</v>
      </c>
      <c r="D765" s="2" t="str">
        <f>IFERROR(__xludf.DUMMYFUNCTION("""COMPUTED_VALUE"""),"H006510031")</f>
        <v>H006510031</v>
      </c>
      <c r="E765" s="2" t="str">
        <f>IFERROR(__xludf.DUMMYFUNCTION("""COMPUTED_VALUE"""),"L2057896")</f>
        <v>L2057896</v>
      </c>
      <c r="F765" s="2" t="str">
        <f>IFERROR(__xludf.DUMMYFUNCTION("""COMPUTED_VALUE"""),"Franz Reoben Posadas Geneblaza")</f>
        <v>Franz Reoben Posadas Geneblaza</v>
      </c>
      <c r="G765" s="2"/>
      <c r="H765" s="2"/>
      <c r="I765" s="2" t="str">
        <f>IFERROR(__xludf.DUMMYFUNCTION("""COMPUTED_VALUE"""),"ICM_Business_linked_launch")</f>
        <v>ICM_Business_linked_launch</v>
      </c>
      <c r="J765" s="2" t="str">
        <f>IFERROR(__xludf.DUMMYFUNCTION("""COMPUTED_VALUE"""),"uuid:569c9557-c0a6-45e2-b2ec-1e6e9f439953")</f>
        <v>uuid:569c9557-c0a6-45e2-b2ec-1e6e9f439953</v>
      </c>
    </row>
    <row r="766">
      <c r="A766" s="2" t="str">
        <f>IFERROR(__xludf.DUMMYFUNCTION("""COMPUTED_VALUE"""),"2025-09-20T06:21:50.035Z")</f>
        <v>2025-09-20T06:21:50.035Z</v>
      </c>
      <c r="B766" s="2" t="str">
        <f>IFERROR(__xludf.DUMMYFUNCTION("""COMPUTED_VALUE"""),"2025-09-20T08:24:53.373+08")</f>
        <v>2025-09-20T08:24:53.373+08</v>
      </c>
      <c r="C766" s="2" t="str">
        <f>IFERROR(__xludf.DUMMYFUNCTION("""COMPUTED_VALUE"""),"2025-09-20T08:49:04.448+08")</f>
        <v>2025-09-20T08:49:04.448+08</v>
      </c>
      <c r="D766" s="2" t="str">
        <f>IFERROR(__xludf.DUMMYFUNCTION("""COMPUTED_VALUE"""),"H006422017")</f>
        <v>H006422017</v>
      </c>
      <c r="E766" s="2" t="str">
        <f>IFERROR(__xludf.DUMMYFUNCTION("""COMPUTED_VALUE"""),"M6491032")</f>
        <v>M6491032</v>
      </c>
      <c r="F766" s="2" t="str">
        <f>IFERROR(__xludf.DUMMYFUNCTION("""COMPUTED_VALUE"""),"Rosevil Tayo Desamparado")</f>
        <v>Rosevil Tayo Desamparado</v>
      </c>
      <c r="G766" s="2"/>
      <c r="H766" s="2"/>
      <c r="I766" s="2" t="str">
        <f>IFERROR(__xludf.DUMMYFUNCTION("""COMPUTED_VALUE"""),"ICM_Business_linked_launch")</f>
        <v>ICM_Business_linked_launch</v>
      </c>
      <c r="J766" s="2" t="str">
        <f>IFERROR(__xludf.DUMMYFUNCTION("""COMPUTED_VALUE"""),"uuid:d64c6868-3d80-4b1f-bab5-f702f8c1aab2")</f>
        <v>uuid:d64c6868-3d80-4b1f-bab5-f702f8c1aab2</v>
      </c>
    </row>
    <row r="767">
      <c r="A767" s="2" t="str">
        <f>IFERROR(__xludf.DUMMYFUNCTION("""COMPUTED_VALUE"""),"2025-09-20T06:22:10.921Z")</f>
        <v>2025-09-20T06:22:10.921Z</v>
      </c>
      <c r="B767" s="2" t="str">
        <f>IFERROR(__xludf.DUMMYFUNCTION("""COMPUTED_VALUE"""),"2025-09-20T09:43:34.187+08")</f>
        <v>2025-09-20T09:43:34.187+08</v>
      </c>
      <c r="C767" s="2" t="str">
        <f>IFERROR(__xludf.DUMMYFUNCTION("""COMPUTED_VALUE"""),"2025-09-20T10:08:50.361+08")</f>
        <v>2025-09-20T10:08:50.361+08</v>
      </c>
      <c r="D767" s="2" t="str">
        <f>IFERROR(__xludf.DUMMYFUNCTION("""COMPUTED_VALUE"""),"H006422080")</f>
        <v>H006422080</v>
      </c>
      <c r="E767" s="2" t="str">
        <f>IFERROR(__xludf.DUMMYFUNCTION("""COMPUTED_VALUE"""),"M6491032")</f>
        <v>M6491032</v>
      </c>
      <c r="F767" s="2" t="str">
        <f>IFERROR(__xludf.DUMMYFUNCTION("""COMPUTED_VALUE"""),"Rosevil Tayo Desamparado")</f>
        <v>Rosevil Tayo Desamparado</v>
      </c>
      <c r="G767" s="2"/>
      <c r="H767" s="2"/>
      <c r="I767" s="2" t="str">
        <f>IFERROR(__xludf.DUMMYFUNCTION("""COMPUTED_VALUE"""),"ICM_Business_linked_launch")</f>
        <v>ICM_Business_linked_launch</v>
      </c>
      <c r="J767" s="2" t="str">
        <f>IFERROR(__xludf.DUMMYFUNCTION("""COMPUTED_VALUE"""),"uuid:4f0cc4e9-0850-4467-9888-408dde1b8eb1")</f>
        <v>uuid:4f0cc4e9-0850-4467-9888-408dde1b8eb1</v>
      </c>
    </row>
    <row r="768">
      <c r="A768" s="2" t="str">
        <f>IFERROR(__xludf.DUMMYFUNCTION("""COMPUTED_VALUE"""),"2025-09-20T06:24:02.711Z")</f>
        <v>2025-09-20T06:24:02.711Z</v>
      </c>
      <c r="B768" s="2" t="str">
        <f>IFERROR(__xludf.DUMMYFUNCTION("""COMPUTED_VALUE"""),"2025-09-20T08:31:36.784+08")</f>
        <v>2025-09-20T08:31:36.784+08</v>
      </c>
      <c r="C768" s="2" t="str">
        <f>IFERROR(__xludf.DUMMYFUNCTION("""COMPUTED_VALUE"""),"2025-09-20T08:42:51.946+08")</f>
        <v>2025-09-20T08:42:51.946+08</v>
      </c>
      <c r="D768" s="2" t="str">
        <f>IFERROR(__xludf.DUMMYFUNCTION("""COMPUTED_VALUE"""),"H006510035")</f>
        <v>H006510035</v>
      </c>
      <c r="E768" s="2" t="str">
        <f>IFERROR(__xludf.DUMMYFUNCTION("""COMPUTED_VALUE"""),"K8623174")</f>
        <v>K8623174</v>
      </c>
      <c r="F768" s="2" t="str">
        <f>IFERROR(__xludf.DUMMYFUNCTION("""COMPUTED_VALUE"""),"Marielle Kaye Ignacio Alonzo")</f>
        <v>Marielle Kaye Ignacio Alonzo</v>
      </c>
      <c r="G768" s="2"/>
      <c r="H768" s="2"/>
      <c r="I768" s="2" t="str">
        <f>IFERROR(__xludf.DUMMYFUNCTION("""COMPUTED_VALUE"""),"ICM_Business_linked_launch")</f>
        <v>ICM_Business_linked_launch</v>
      </c>
      <c r="J768" s="2" t="str">
        <f>IFERROR(__xludf.DUMMYFUNCTION("""COMPUTED_VALUE"""),"uuid:3038f97e-d4ae-4f74-81d1-99fdb1eff0c0")</f>
        <v>uuid:3038f97e-d4ae-4f74-81d1-99fdb1eff0c0</v>
      </c>
    </row>
    <row r="769">
      <c r="A769" s="2" t="str">
        <f>IFERROR(__xludf.DUMMYFUNCTION("""COMPUTED_VALUE"""),"2025-09-20T06:24:20.858Z")</f>
        <v>2025-09-20T06:24:20.858Z</v>
      </c>
      <c r="B769" s="2" t="str">
        <f>IFERROR(__xludf.DUMMYFUNCTION("""COMPUTED_VALUE"""),"2025-09-20T11:53:19.551+08")</f>
        <v>2025-09-20T11:53:19.551+08</v>
      </c>
      <c r="C769" s="2" t="str">
        <f>IFERROR(__xludf.DUMMYFUNCTION("""COMPUTED_VALUE"""),"2025-09-20T12:13:30.542+08")</f>
        <v>2025-09-20T12:13:30.542+08</v>
      </c>
      <c r="D769" s="2" t="str">
        <f>IFERROR(__xludf.DUMMYFUNCTION("""COMPUTED_VALUE"""),"H006510024")</f>
        <v>H006510024</v>
      </c>
      <c r="E769" s="2" t="str">
        <f>IFERROR(__xludf.DUMMYFUNCTION("""COMPUTED_VALUE"""),"K8623174")</f>
        <v>K8623174</v>
      </c>
      <c r="F769" s="2" t="str">
        <f>IFERROR(__xludf.DUMMYFUNCTION("""COMPUTED_VALUE"""),"Marielle Kaye Ignacio Alonzo")</f>
        <v>Marielle Kaye Ignacio Alonzo</v>
      </c>
      <c r="G769" s="2"/>
      <c r="H769" s="2"/>
      <c r="I769" s="2" t="str">
        <f>IFERROR(__xludf.DUMMYFUNCTION("""COMPUTED_VALUE"""),"ICM_Business_linked_launch")</f>
        <v>ICM_Business_linked_launch</v>
      </c>
      <c r="J769" s="2" t="str">
        <f>IFERROR(__xludf.DUMMYFUNCTION("""COMPUTED_VALUE"""),"uuid:c8a4f97a-edec-4b90-99e6-f88d58f22448")</f>
        <v>uuid:c8a4f97a-edec-4b90-99e6-f88d58f22448</v>
      </c>
    </row>
    <row r="770">
      <c r="A770" s="2" t="str">
        <f>IFERROR(__xludf.DUMMYFUNCTION("""COMPUTED_VALUE"""),"2025-09-20T06:24:21.935Z")</f>
        <v>2025-09-20T06:24:21.935Z</v>
      </c>
      <c r="B770" s="2" t="str">
        <f>IFERROR(__xludf.DUMMYFUNCTION("""COMPUTED_VALUE"""),"2025-09-20T09:52:19.645+08")</f>
        <v>2025-09-20T09:52:19.645+08</v>
      </c>
      <c r="C770" s="2" t="str">
        <f>IFERROR(__xludf.DUMMYFUNCTION("""COMPUTED_VALUE"""),"2025-09-20T10:14:44.401+08")</f>
        <v>2025-09-20T10:14:44.401+08</v>
      </c>
      <c r="D770" s="2" t="str">
        <f>IFERROR(__xludf.DUMMYFUNCTION("""COMPUTED_VALUE"""),"H006510030")</f>
        <v>H006510030</v>
      </c>
      <c r="E770" s="2" t="str">
        <f>IFERROR(__xludf.DUMMYFUNCTION("""COMPUTED_VALUE"""),"K8623174")</f>
        <v>K8623174</v>
      </c>
      <c r="F770" s="2" t="str">
        <f>IFERROR(__xludf.DUMMYFUNCTION("""COMPUTED_VALUE"""),"Marielle Kaye Ignacio Alonzo")</f>
        <v>Marielle Kaye Ignacio Alonzo</v>
      </c>
      <c r="G770" s="2"/>
      <c r="H770" s="2"/>
      <c r="I770" s="2" t="str">
        <f>IFERROR(__xludf.DUMMYFUNCTION("""COMPUTED_VALUE"""),"ICM_Business_linked_launch")</f>
        <v>ICM_Business_linked_launch</v>
      </c>
      <c r="J770" s="2" t="str">
        <f>IFERROR(__xludf.DUMMYFUNCTION("""COMPUTED_VALUE"""),"uuid:ded7172e-2701-4a6d-897b-56483d59dbaf")</f>
        <v>uuid:ded7172e-2701-4a6d-897b-56483d59dbaf</v>
      </c>
    </row>
    <row r="771">
      <c r="A771" s="2" t="str">
        <f>IFERROR(__xludf.DUMMYFUNCTION("""COMPUTED_VALUE"""),"2025-09-20T08:53:36.390Z")</f>
        <v>2025-09-20T08:53:36.390Z</v>
      </c>
      <c r="B771" s="2" t="str">
        <f>IFERROR(__xludf.DUMMYFUNCTION("""COMPUTED_VALUE"""),"2025-09-20T10:14:28.894+08")</f>
        <v>2025-09-20T10:14:28.894+08</v>
      </c>
      <c r="C771" s="2" t="str">
        <f>IFERROR(__xludf.DUMMYFUNCTION("""COMPUTED_VALUE"""),"2025-09-20T10:16:10.777+08")</f>
        <v>2025-09-20T10:16:10.777+08</v>
      </c>
      <c r="D771" s="2" t="str">
        <f>IFERROR(__xludf.DUMMYFUNCTION("""COMPUTED_VALUE"""),"H004380008")</f>
        <v>H004380008</v>
      </c>
      <c r="E771" s="2" t="str">
        <f>IFERROR(__xludf.DUMMYFUNCTION("""COMPUTED_VALUE"""),"S2671943")</f>
        <v>S2671943</v>
      </c>
      <c r="F771" s="2" t="str">
        <f>IFERROR(__xludf.DUMMYFUNCTION("""COMPUTED_VALUE"""),"Marvin Mondia")</f>
        <v>Marvin Mondia</v>
      </c>
      <c r="G771" s="2"/>
      <c r="H771" s="2"/>
      <c r="I771" s="2" t="str">
        <f>IFERROR(__xludf.DUMMYFUNCTION("""COMPUTED_VALUE"""),"ICM_Business_linked_launch")</f>
        <v>ICM_Business_linked_launch</v>
      </c>
      <c r="J771" s="2" t="str">
        <f>IFERROR(__xludf.DUMMYFUNCTION("""COMPUTED_VALUE"""),"uuid:eeabdf8f-ca47-4cc3-b858-a8a0a8935888")</f>
        <v>uuid:eeabdf8f-ca47-4cc3-b858-a8a0a8935888</v>
      </c>
    </row>
    <row r="772">
      <c r="A772" s="2" t="str">
        <f>IFERROR(__xludf.DUMMYFUNCTION("""COMPUTED_VALUE"""),"2025-09-20T10:29:07.820Z")</f>
        <v>2025-09-20T10:29:07.820Z</v>
      </c>
      <c r="B772" s="2" t="str">
        <f>IFERROR(__xludf.DUMMYFUNCTION("""COMPUTED_VALUE"""),"2025-09-20T09:33:17.126+08")</f>
        <v>2025-09-20T09:33:17.126+08</v>
      </c>
      <c r="C772" s="2" t="str">
        <f>IFERROR(__xludf.DUMMYFUNCTION("""COMPUTED_VALUE"""),"2025-09-20T09:43:49.106+08")</f>
        <v>2025-09-20T09:43:49.106+08</v>
      </c>
      <c r="D772" s="2" t="str">
        <f>IFERROR(__xludf.DUMMYFUNCTION("""COMPUTED_VALUE"""),"H004380030")</f>
        <v>H004380030</v>
      </c>
      <c r="E772" s="2">
        <f>IFERROR(__xludf.DUMMYFUNCTION("""COMPUTED_VALUE"""),859767.0)</f>
        <v>859767</v>
      </c>
      <c r="F772" s="2" t="str">
        <f>IFERROR(__xludf.DUMMYFUNCTION("""COMPUTED_VALUE"""),"Ramie De Pedro Jr._2")</f>
        <v>Ramie De Pedro Jr._2</v>
      </c>
      <c r="G772" s="2"/>
      <c r="H772" s="2"/>
      <c r="I772" s="2" t="str">
        <f>IFERROR(__xludf.DUMMYFUNCTION("""COMPUTED_VALUE"""),"ICM_Business_linked_launch")</f>
        <v>ICM_Business_linked_launch</v>
      </c>
      <c r="J772" s="2" t="str">
        <f>IFERROR(__xludf.DUMMYFUNCTION("""COMPUTED_VALUE"""),"uuid:423f8c6f-6b14-43b4-9ed5-13f2feca2d7c")</f>
        <v>uuid:423f8c6f-6b14-43b4-9ed5-13f2feca2d7c</v>
      </c>
    </row>
    <row r="773">
      <c r="A773" s="2" t="str">
        <f>IFERROR(__xludf.DUMMYFUNCTION("""COMPUTED_VALUE"""),"2025-09-20T10:29:08.700Z")</f>
        <v>2025-09-20T10:29:08.700Z</v>
      </c>
      <c r="B773" s="2" t="str">
        <f>IFERROR(__xludf.DUMMYFUNCTION("""COMPUTED_VALUE"""),"2025-09-20T16:53:48.392+08")</f>
        <v>2025-09-20T16:53:48.392+08</v>
      </c>
      <c r="C773" s="2" t="str">
        <f>IFERROR(__xludf.DUMMYFUNCTION("""COMPUTED_VALUE"""),"2025-09-20T17:08:34.248+08")</f>
        <v>2025-09-20T17:08:34.248+08</v>
      </c>
      <c r="D773" s="2" t="str">
        <f>IFERROR(__xludf.DUMMYFUNCTION("""COMPUTED_VALUE"""),"H004380017")</f>
        <v>H004380017</v>
      </c>
      <c r="E773" s="2">
        <f>IFERROR(__xludf.DUMMYFUNCTION("""COMPUTED_VALUE"""),859767.0)</f>
        <v>859767</v>
      </c>
      <c r="F773" s="2" t="str">
        <f>IFERROR(__xludf.DUMMYFUNCTION("""COMPUTED_VALUE"""),"Ramie De Pedro Jr._2")</f>
        <v>Ramie De Pedro Jr._2</v>
      </c>
      <c r="G773" s="2"/>
      <c r="H773" s="2"/>
      <c r="I773" s="2" t="str">
        <f>IFERROR(__xludf.DUMMYFUNCTION("""COMPUTED_VALUE"""),"ICM_Business_linked_launch")</f>
        <v>ICM_Business_linked_launch</v>
      </c>
      <c r="J773" s="2" t="str">
        <f>IFERROR(__xludf.DUMMYFUNCTION("""COMPUTED_VALUE"""),"uuid:caa33e48-8f7e-4035-9860-bbd8674f798d")</f>
        <v>uuid:caa33e48-8f7e-4035-9860-bbd8674f798d</v>
      </c>
    </row>
    <row r="774">
      <c r="A774" s="2" t="str">
        <f>IFERROR(__xludf.DUMMYFUNCTION("""COMPUTED_VALUE"""),"2025-09-20T11:00:53.078Z")</f>
        <v>2025-09-20T11:00:53.078Z</v>
      </c>
      <c r="B774" s="2" t="str">
        <f>IFERROR(__xludf.DUMMYFUNCTION("""COMPUTED_VALUE"""),"2025-09-20T09:08:36.793+08")</f>
        <v>2025-09-20T09:08:36.793+08</v>
      </c>
      <c r="C774" s="2" t="str">
        <f>IFERROR(__xludf.DUMMYFUNCTION("""COMPUTED_VALUE"""),"2025-09-20T09:12:42.623+08")</f>
        <v>2025-09-20T09:12:42.623+08</v>
      </c>
      <c r="D774" s="2" t="str">
        <f>IFERROR(__xludf.DUMMYFUNCTION("""COMPUTED_VALUE"""),"H004787018")</f>
        <v>H004787018</v>
      </c>
      <c r="E774" s="2">
        <f>IFERROR(__xludf.DUMMYFUNCTION("""COMPUTED_VALUE"""),555127.0)</f>
        <v>555127</v>
      </c>
      <c r="F774" s="2" t="str">
        <f>IFERROR(__xludf.DUMMYFUNCTION("""COMPUTED_VALUE"""),"Mary May_2")</f>
        <v>Mary May_2</v>
      </c>
      <c r="G774" s="2"/>
      <c r="H774" s="2"/>
      <c r="I774" s="2" t="str">
        <f>IFERROR(__xludf.DUMMYFUNCTION("""COMPUTED_VALUE"""),"ICM_Business_linked_launch")</f>
        <v>ICM_Business_linked_launch</v>
      </c>
      <c r="J774" s="2" t="str">
        <f>IFERROR(__xludf.DUMMYFUNCTION("""COMPUTED_VALUE"""),"uuid:bef47e1f-2ba8-4185-8e34-e12fa9267f8a")</f>
        <v>uuid:bef47e1f-2ba8-4185-8e34-e12fa9267f8a</v>
      </c>
    </row>
    <row r="775">
      <c r="A775" s="2" t="str">
        <f>IFERROR(__xludf.DUMMYFUNCTION("""COMPUTED_VALUE"""),"2025-09-20T11:22:47.169Z")</f>
        <v>2025-09-20T11:22:47.169Z</v>
      </c>
      <c r="B775" s="2" t="str">
        <f>IFERROR(__xludf.DUMMYFUNCTION("""COMPUTED_VALUE"""),"2025-09-20T09:08:50.748+08")</f>
        <v>2025-09-20T09:08:50.748+08</v>
      </c>
      <c r="C775" s="2" t="str">
        <f>IFERROR(__xludf.DUMMYFUNCTION("""COMPUTED_VALUE"""),"2025-09-20T09:25:26.276+08")</f>
        <v>2025-09-20T09:25:26.276+08</v>
      </c>
      <c r="D775" s="2" t="str">
        <f>IFERROR(__xludf.DUMMYFUNCTION("""COMPUTED_VALUE"""),"H004380016")</f>
        <v>H004380016</v>
      </c>
      <c r="E775" s="2">
        <f>IFERROR(__xludf.DUMMYFUNCTION("""COMPUTED_VALUE"""),729375.0)</f>
        <v>729375</v>
      </c>
      <c r="F775" s="2" t="str">
        <f>IFERROR(__xludf.DUMMYFUNCTION("""COMPUTED_VALUE"""),"Janet Serafica_2")</f>
        <v>Janet Serafica_2</v>
      </c>
      <c r="G775" s="2"/>
      <c r="H775" s="2"/>
      <c r="I775" s="2" t="str">
        <f>IFERROR(__xludf.DUMMYFUNCTION("""COMPUTED_VALUE"""),"ICM_Business_linked_launch")</f>
        <v>ICM_Business_linked_launch</v>
      </c>
      <c r="J775" s="2" t="str">
        <f>IFERROR(__xludf.DUMMYFUNCTION("""COMPUTED_VALUE"""),"uuid:ee584c98-cd44-44ae-ae45-dbc4459d698c")</f>
        <v>uuid:ee584c98-cd44-44ae-ae45-dbc4459d698c</v>
      </c>
    </row>
    <row r="776">
      <c r="A776" s="2" t="str">
        <f>IFERROR(__xludf.DUMMYFUNCTION("""COMPUTED_VALUE"""),"2025-09-20T11:43:17.567Z")</f>
        <v>2025-09-20T11:43:17.567Z</v>
      </c>
      <c r="B776" s="2" t="str">
        <f>IFERROR(__xludf.DUMMYFUNCTION("""COMPUTED_VALUE"""),"2025-09-20T10:27:00.502+08")</f>
        <v>2025-09-20T10:27:00.502+08</v>
      </c>
      <c r="C776" s="2" t="str">
        <f>IFERROR(__xludf.DUMMYFUNCTION("""COMPUTED_VALUE"""),"2025-09-20T10:33:52.935+08")</f>
        <v>2025-09-20T10:33:52.935+08</v>
      </c>
      <c r="D776" s="2" t="str">
        <f>IFERROR(__xludf.DUMMYFUNCTION("""COMPUTED_VALUE"""),"H030323020")</f>
        <v>H030323020</v>
      </c>
      <c r="E776" s="2" t="str">
        <f>IFERROR(__xludf.DUMMYFUNCTION("""COMPUTED_VALUE"""),"G5472901")</f>
        <v>G5472901</v>
      </c>
      <c r="F776" s="2" t="str">
        <f>IFERROR(__xludf.DUMMYFUNCTION("""COMPUTED_VALUE"""),"Wellyn Grace Alaban Parcia")</f>
        <v>Wellyn Grace Alaban Parcia</v>
      </c>
      <c r="G776" s="2"/>
      <c r="H776" s="2"/>
      <c r="I776" s="2" t="str">
        <f>IFERROR(__xludf.DUMMYFUNCTION("""COMPUTED_VALUE"""),"ICM_Business_linked_launch")</f>
        <v>ICM_Business_linked_launch</v>
      </c>
      <c r="J776" s="2" t="str">
        <f>IFERROR(__xludf.DUMMYFUNCTION("""COMPUTED_VALUE"""),"uuid:47e97a8e-d35b-43fe-bbc9-bd46bfea15ed")</f>
        <v>uuid:47e97a8e-d35b-43fe-bbc9-bd46bfea15ed</v>
      </c>
    </row>
    <row r="777">
      <c r="A777" s="2" t="str">
        <f>IFERROR(__xludf.DUMMYFUNCTION("""COMPUTED_VALUE"""),"2025-09-20T11:43:19.704Z")</f>
        <v>2025-09-20T11:43:19.704Z</v>
      </c>
      <c r="B777" s="2" t="str">
        <f>IFERROR(__xludf.DUMMYFUNCTION("""COMPUTED_VALUE"""),"2025-09-20T12:08:14.397+08")</f>
        <v>2025-09-20T12:08:14.397+08</v>
      </c>
      <c r="C777" s="2" t="str">
        <f>IFERROR(__xludf.DUMMYFUNCTION("""COMPUTED_VALUE"""),"2025-09-20T12:14:40.553+08")</f>
        <v>2025-09-20T12:14:40.553+08</v>
      </c>
      <c r="D777" s="2" t="str">
        <f>IFERROR(__xludf.DUMMYFUNCTION("""COMPUTED_VALUE"""),"H030323025")</f>
        <v>H030323025</v>
      </c>
      <c r="E777" s="2" t="str">
        <f>IFERROR(__xludf.DUMMYFUNCTION("""COMPUTED_VALUE"""),"G5472901")</f>
        <v>G5472901</v>
      </c>
      <c r="F777" s="2" t="str">
        <f>IFERROR(__xludf.DUMMYFUNCTION("""COMPUTED_VALUE"""),"Wellyn Grace Alaban Parcia")</f>
        <v>Wellyn Grace Alaban Parcia</v>
      </c>
      <c r="G777" s="2"/>
      <c r="H777" s="2"/>
      <c r="I777" s="2" t="str">
        <f>IFERROR(__xludf.DUMMYFUNCTION("""COMPUTED_VALUE"""),"ICM_Business_linked_launch")</f>
        <v>ICM_Business_linked_launch</v>
      </c>
      <c r="J777" s="2" t="str">
        <f>IFERROR(__xludf.DUMMYFUNCTION("""COMPUTED_VALUE"""),"uuid:8735ea5e-19f7-4637-ab11-bb411d97bb69")</f>
        <v>uuid:8735ea5e-19f7-4637-ab11-bb411d97bb69</v>
      </c>
    </row>
    <row r="778">
      <c r="A778" s="2" t="str">
        <f>IFERROR(__xludf.DUMMYFUNCTION("""COMPUTED_VALUE"""),"2025-09-20T11:43:46.021Z")</f>
        <v>2025-09-20T11:43:46.021Z</v>
      </c>
      <c r="B778" s="2" t="str">
        <f>IFERROR(__xludf.DUMMYFUNCTION("""COMPUTED_VALUE"""),"2025-09-20T12:23:56.688+08")</f>
        <v>2025-09-20T12:23:56.688+08</v>
      </c>
      <c r="C778" s="2" t="str">
        <f>IFERROR(__xludf.DUMMYFUNCTION("""COMPUTED_VALUE"""),"2025-09-20T12:28:55.780+08")</f>
        <v>2025-09-20T12:28:55.780+08</v>
      </c>
      <c r="D778" s="2" t="str">
        <f>IFERROR(__xludf.DUMMYFUNCTION("""COMPUTED_VALUE"""),"H030323034")</f>
        <v>H030323034</v>
      </c>
      <c r="E778" s="2" t="str">
        <f>IFERROR(__xludf.DUMMYFUNCTION("""COMPUTED_VALUE"""),"H2846135")</f>
        <v>H2846135</v>
      </c>
      <c r="F778" s="2" t="str">
        <f>IFERROR(__xludf.DUMMYFUNCTION("""COMPUTED_VALUE"""),"Annalou Empanado Encontro")</f>
        <v>Annalou Empanado Encontro</v>
      </c>
      <c r="G778" s="2"/>
      <c r="H778" s="2"/>
      <c r="I778" s="2" t="str">
        <f>IFERROR(__xludf.DUMMYFUNCTION("""COMPUTED_VALUE"""),"ICM_Business_linked_launch")</f>
        <v>ICM_Business_linked_launch</v>
      </c>
      <c r="J778" s="2" t="str">
        <f>IFERROR(__xludf.DUMMYFUNCTION("""COMPUTED_VALUE"""),"uuid:922b9939-e801-471c-94c7-517f77b0e8a4")</f>
        <v>uuid:922b9939-e801-471c-94c7-517f77b0e8a4</v>
      </c>
    </row>
    <row r="779">
      <c r="A779" s="2" t="str">
        <f>IFERROR(__xludf.DUMMYFUNCTION("""COMPUTED_VALUE"""),"2025-09-20T11:44:11.846Z")</f>
        <v>2025-09-20T11:44:11.846Z</v>
      </c>
      <c r="B779" s="2" t="str">
        <f>IFERROR(__xludf.DUMMYFUNCTION("""COMPUTED_VALUE"""),"2025-09-20T10:03:54.935+08")</f>
        <v>2025-09-20T10:03:54.935+08</v>
      </c>
      <c r="C779" s="2" t="str">
        <f>IFERROR(__xludf.DUMMYFUNCTION("""COMPUTED_VALUE"""),"2025-09-20T10:09:47.879+08")</f>
        <v>2025-09-20T10:09:47.879+08</v>
      </c>
      <c r="D779" s="2" t="str">
        <f>IFERROR(__xludf.DUMMYFUNCTION("""COMPUTED_VALUE"""),"H030323035")</f>
        <v>H030323035</v>
      </c>
      <c r="E779" s="2" t="str">
        <f>IFERROR(__xludf.DUMMYFUNCTION("""COMPUTED_VALUE"""),"H2846135")</f>
        <v>H2846135</v>
      </c>
      <c r="F779" s="2" t="str">
        <f>IFERROR(__xludf.DUMMYFUNCTION("""COMPUTED_VALUE"""),"Annalou Empanado Encontro")</f>
        <v>Annalou Empanado Encontro</v>
      </c>
      <c r="G779" s="2"/>
      <c r="H779" s="2"/>
      <c r="I779" s="2" t="str">
        <f>IFERROR(__xludf.DUMMYFUNCTION("""COMPUTED_VALUE"""),"ICM_Business_linked_launch")</f>
        <v>ICM_Business_linked_launch</v>
      </c>
      <c r="J779" s="2" t="str">
        <f>IFERROR(__xludf.DUMMYFUNCTION("""COMPUTED_VALUE"""),"uuid:24b3438f-fbbf-4d4d-8b0a-32706c9ad85b")</f>
        <v>uuid:24b3438f-fbbf-4d4d-8b0a-32706c9ad85b</v>
      </c>
    </row>
    <row r="780">
      <c r="A780" s="2" t="str">
        <f>IFERROR(__xludf.DUMMYFUNCTION("""COMPUTED_VALUE"""),"2025-09-20T11:46:37.114Z")</f>
        <v>2025-09-20T11:46:37.114Z</v>
      </c>
      <c r="B780" s="2" t="str">
        <f>IFERROR(__xludf.DUMMYFUNCTION("""COMPUTED_VALUE"""),"2025-09-20T11:46:42.173+08")</f>
        <v>2025-09-20T11:46:42.173+08</v>
      </c>
      <c r="C780" s="2" t="str">
        <f>IFERROR(__xludf.DUMMYFUNCTION("""COMPUTED_VALUE"""),"2025-09-20T11:58:11.569+08")</f>
        <v>2025-09-20T11:58:11.569+08</v>
      </c>
      <c r="D780" s="2" t="str">
        <f>IFERROR(__xludf.DUMMYFUNCTION("""COMPUTED_VALUE"""),"H030323029")</f>
        <v>H030323029</v>
      </c>
      <c r="E780" s="2" t="str">
        <f>IFERROR(__xludf.DUMMYFUNCTION("""COMPUTED_VALUE"""),"F3051749")</f>
        <v>F3051749</v>
      </c>
      <c r="F780" s="2" t="str">
        <f>IFERROR(__xludf.DUMMYFUNCTION("""COMPUTED_VALUE"""),"Elenita Gicos De La Pe�a")</f>
        <v>Elenita Gicos De La Pe�a</v>
      </c>
      <c r="G780" s="2"/>
      <c r="H780" s="2"/>
      <c r="I780" s="2" t="str">
        <f>IFERROR(__xludf.DUMMYFUNCTION("""COMPUTED_VALUE"""),"ICM_Business_linked_launch")</f>
        <v>ICM_Business_linked_launch</v>
      </c>
      <c r="J780" s="2" t="str">
        <f>IFERROR(__xludf.DUMMYFUNCTION("""COMPUTED_VALUE"""),"uuid:c15aafea-b4cc-465d-99d2-bb8249d483b9")</f>
        <v>uuid:c15aafea-b4cc-465d-99d2-bb8249d483b9</v>
      </c>
    </row>
    <row r="781">
      <c r="A781" s="2" t="str">
        <f>IFERROR(__xludf.DUMMYFUNCTION("""COMPUTED_VALUE"""),"2025-09-20T11:46:39.472Z")</f>
        <v>2025-09-20T11:46:39.472Z</v>
      </c>
      <c r="B781" s="2" t="str">
        <f>IFERROR(__xludf.DUMMYFUNCTION("""COMPUTED_VALUE"""),"2025-09-20T13:41:15.424+08")</f>
        <v>2025-09-20T13:41:15.424+08</v>
      </c>
      <c r="C781" s="2" t="str">
        <f>IFERROR(__xludf.DUMMYFUNCTION("""COMPUTED_VALUE"""),"2025-09-20T13:50:59.958+08")</f>
        <v>2025-09-20T13:50:59.958+08</v>
      </c>
      <c r="D781" s="2" t="str">
        <f>IFERROR(__xludf.DUMMYFUNCTION("""COMPUTED_VALUE"""),"H030323026")</f>
        <v>H030323026</v>
      </c>
      <c r="E781" s="2" t="str">
        <f>IFERROR(__xludf.DUMMYFUNCTION("""COMPUTED_VALUE"""),"F3051749")</f>
        <v>F3051749</v>
      </c>
      <c r="F781" s="2" t="str">
        <f>IFERROR(__xludf.DUMMYFUNCTION("""COMPUTED_VALUE"""),"Elenita Gicos De La Pe�a")</f>
        <v>Elenita Gicos De La Pe�a</v>
      </c>
      <c r="G781" s="2"/>
      <c r="H781" s="2"/>
      <c r="I781" s="2" t="str">
        <f>IFERROR(__xludf.DUMMYFUNCTION("""COMPUTED_VALUE"""),"ICM_Business_linked_launch")</f>
        <v>ICM_Business_linked_launch</v>
      </c>
      <c r="J781" s="2" t="str">
        <f>IFERROR(__xludf.DUMMYFUNCTION("""COMPUTED_VALUE"""),"uuid:201a7dee-c18f-4788-81e0-9572dac74439")</f>
        <v>uuid:201a7dee-c18f-4788-81e0-9572dac74439</v>
      </c>
    </row>
    <row r="782">
      <c r="A782" s="2" t="str">
        <f>IFERROR(__xludf.DUMMYFUNCTION("""COMPUTED_VALUE"""),"2025-09-21T10:37:41.151Z")</f>
        <v>2025-09-21T10:37:41.151Z</v>
      </c>
      <c r="B782" s="2" t="str">
        <f>IFERROR(__xludf.DUMMYFUNCTION("""COMPUTED_VALUE"""),"2025-09-21T10:05:03.457+08")</f>
        <v>2025-09-21T10:05:03.457+08</v>
      </c>
      <c r="C782" s="2" t="str">
        <f>IFERROR(__xludf.DUMMYFUNCTION("""COMPUTED_VALUE"""),"2025-09-21T10:09:50.862+08")</f>
        <v>2025-09-21T10:09:50.862+08</v>
      </c>
      <c r="D782" s="2" t="str">
        <f>IFERROR(__xludf.DUMMYFUNCTION("""COMPUTED_VALUE"""),"H006029026")</f>
        <v>H006029026</v>
      </c>
      <c r="E782" s="2" t="str">
        <f>IFERROR(__xludf.DUMMYFUNCTION("""COMPUTED_VALUE"""),"N7814260")</f>
        <v>N7814260</v>
      </c>
      <c r="F782" s="2" t="str">
        <f>IFERROR(__xludf.DUMMYFUNCTION("""COMPUTED_VALUE"""),"Jemma Marie Tillo")</f>
        <v>Jemma Marie Tillo</v>
      </c>
      <c r="G782" s="2"/>
      <c r="H782" s="2"/>
      <c r="I782" s="2" t="str">
        <f>IFERROR(__xludf.DUMMYFUNCTION("""COMPUTED_VALUE"""),"ICM_Business_linked_launch")</f>
        <v>ICM_Business_linked_launch</v>
      </c>
      <c r="J782" s="2" t="str">
        <f>IFERROR(__xludf.DUMMYFUNCTION("""COMPUTED_VALUE"""),"uuid:98a9885d-4294-4b5d-a03f-754d7dd96243")</f>
        <v>uuid:98a9885d-4294-4b5d-a03f-754d7dd96243</v>
      </c>
    </row>
    <row r="783">
      <c r="A783" s="2" t="str">
        <f>IFERROR(__xludf.DUMMYFUNCTION("""COMPUTED_VALUE"""),"2025-09-21T10:37:42.243Z")</f>
        <v>2025-09-21T10:37:42.243Z</v>
      </c>
      <c r="B783" s="2" t="str">
        <f>IFERROR(__xludf.DUMMYFUNCTION("""COMPUTED_VALUE"""),"2025-09-21T10:13:38.049+08")</f>
        <v>2025-09-21T10:13:38.049+08</v>
      </c>
      <c r="C783" s="2" t="str">
        <f>IFERROR(__xludf.DUMMYFUNCTION("""COMPUTED_VALUE"""),"2025-09-21T10:18:41.886+08")</f>
        <v>2025-09-21T10:18:41.886+08</v>
      </c>
      <c r="D783" s="2" t="str">
        <f>IFERROR(__xludf.DUMMYFUNCTION("""COMPUTED_VALUE"""),"H006029020")</f>
        <v>H006029020</v>
      </c>
      <c r="E783" s="2" t="str">
        <f>IFERROR(__xludf.DUMMYFUNCTION("""COMPUTED_VALUE"""),"N7814260")</f>
        <v>N7814260</v>
      </c>
      <c r="F783" s="2" t="str">
        <f>IFERROR(__xludf.DUMMYFUNCTION("""COMPUTED_VALUE"""),"Jemma Marie Tillo")</f>
        <v>Jemma Marie Tillo</v>
      </c>
      <c r="G783" s="2"/>
      <c r="H783" s="2"/>
      <c r="I783" s="2" t="str">
        <f>IFERROR(__xludf.DUMMYFUNCTION("""COMPUTED_VALUE"""),"ICM_Business_linked_launch")</f>
        <v>ICM_Business_linked_launch</v>
      </c>
      <c r="J783" s="2" t="str">
        <f>IFERROR(__xludf.DUMMYFUNCTION("""COMPUTED_VALUE"""),"uuid:097c8806-7af4-4902-b7bc-9a99fdf4e542")</f>
        <v>uuid:097c8806-7af4-4902-b7bc-9a99fdf4e542</v>
      </c>
    </row>
    <row r="784">
      <c r="A784" s="2" t="str">
        <f>IFERROR(__xludf.DUMMYFUNCTION("""COMPUTED_VALUE"""),"2025-09-21T10:37:43.330Z")</f>
        <v>2025-09-21T10:37:43.330Z</v>
      </c>
      <c r="B784" s="2" t="str">
        <f>IFERROR(__xludf.DUMMYFUNCTION("""COMPUTED_VALUE"""),"2025-09-21T15:15:21.193+08")</f>
        <v>2025-09-21T15:15:21.193+08</v>
      </c>
      <c r="C784" s="2" t="str">
        <f>IFERROR(__xludf.DUMMYFUNCTION("""COMPUTED_VALUE"""),"2025-09-21T15:19:43.930+08")</f>
        <v>2025-09-21T15:19:43.930+08</v>
      </c>
      <c r="D784" s="2" t="str">
        <f>IFERROR(__xludf.DUMMYFUNCTION("""COMPUTED_VALUE"""),"H006029027")</f>
        <v>H006029027</v>
      </c>
      <c r="E784" s="2" t="str">
        <f>IFERROR(__xludf.DUMMYFUNCTION("""COMPUTED_VALUE"""),"N7814260")</f>
        <v>N7814260</v>
      </c>
      <c r="F784" s="2" t="str">
        <f>IFERROR(__xludf.DUMMYFUNCTION("""COMPUTED_VALUE"""),"Jemma Marie Tillo")</f>
        <v>Jemma Marie Tillo</v>
      </c>
      <c r="G784" s="2"/>
      <c r="H784" s="2"/>
      <c r="I784" s="2" t="str">
        <f>IFERROR(__xludf.DUMMYFUNCTION("""COMPUTED_VALUE"""),"ICM_Business_linked_launch")</f>
        <v>ICM_Business_linked_launch</v>
      </c>
      <c r="J784" s="2" t="str">
        <f>IFERROR(__xludf.DUMMYFUNCTION("""COMPUTED_VALUE"""),"uuid:cda89a95-6680-4f7e-961f-51f789ac1511")</f>
        <v>uuid:cda89a95-6680-4f7e-961f-51f789ac1511</v>
      </c>
    </row>
    <row r="785">
      <c r="A785" s="2" t="str">
        <f>IFERROR(__xludf.DUMMYFUNCTION("""COMPUTED_VALUE"""),"2025-09-21T10:37:46.481Z")</f>
        <v>2025-09-21T10:37:46.481Z</v>
      </c>
      <c r="B785" s="2" t="str">
        <f>IFERROR(__xludf.DUMMYFUNCTION("""COMPUTED_VALUE"""),"2025-09-21T11:33:53.196+08")</f>
        <v>2025-09-21T11:33:53.196+08</v>
      </c>
      <c r="C785" s="2" t="str">
        <f>IFERROR(__xludf.DUMMYFUNCTION("""COMPUTED_VALUE"""),"2025-09-21T18:29:17.809+08")</f>
        <v>2025-09-21T18:29:17.809+08</v>
      </c>
      <c r="D785" s="2" t="str">
        <f>IFERROR(__xludf.DUMMYFUNCTION("""COMPUTED_VALUE"""),"H006029021")</f>
        <v>H006029021</v>
      </c>
      <c r="E785" s="2" t="str">
        <f>IFERROR(__xludf.DUMMYFUNCTION("""COMPUTED_VALUE"""),"N7814260")</f>
        <v>N7814260</v>
      </c>
      <c r="F785" s="2" t="str">
        <f>IFERROR(__xludf.DUMMYFUNCTION("""COMPUTED_VALUE"""),"Jemma Marie Tillo")</f>
        <v>Jemma Marie Tillo</v>
      </c>
      <c r="G785" s="2"/>
      <c r="H785" s="2"/>
      <c r="I785" s="2" t="str">
        <f>IFERROR(__xludf.DUMMYFUNCTION("""COMPUTED_VALUE"""),"ICM_Business_linked_launch")</f>
        <v>ICM_Business_linked_launch</v>
      </c>
      <c r="J785" s="2" t="str">
        <f>IFERROR(__xludf.DUMMYFUNCTION("""COMPUTED_VALUE"""),"uuid:004405b7-b080-452c-8404-4f98af6c0266")</f>
        <v>uuid:004405b7-b080-452c-8404-4f98af6c0266</v>
      </c>
    </row>
    <row r="786">
      <c r="A786" s="2" t="str">
        <f>IFERROR(__xludf.DUMMYFUNCTION("""COMPUTED_VALUE"""),"2025-09-21T10:37:47.312Z")</f>
        <v>2025-09-21T10:37:47.312Z</v>
      </c>
      <c r="B786" s="2" t="str">
        <f>IFERROR(__xludf.DUMMYFUNCTION("""COMPUTED_VALUE"""),"2025-09-21T17:05:26.346+08")</f>
        <v>2025-09-21T17:05:26.346+08</v>
      </c>
      <c r="C786" s="2" t="str">
        <f>IFERROR(__xludf.DUMMYFUNCTION("""COMPUTED_VALUE"""),"2025-09-21T17:14:39.597+08")</f>
        <v>2025-09-21T17:14:39.597+08</v>
      </c>
      <c r="D786" s="2" t="str">
        <f>IFERROR(__xludf.DUMMYFUNCTION("""COMPUTED_VALUE"""),"H006029017")</f>
        <v>H006029017</v>
      </c>
      <c r="E786" s="2" t="str">
        <f>IFERROR(__xludf.DUMMYFUNCTION("""COMPUTED_VALUE"""),"N7814260")</f>
        <v>N7814260</v>
      </c>
      <c r="F786" s="2" t="str">
        <f>IFERROR(__xludf.DUMMYFUNCTION("""COMPUTED_VALUE"""),"Jemma Marie Tillo")</f>
        <v>Jemma Marie Tillo</v>
      </c>
      <c r="G786" s="2"/>
      <c r="H786" s="2"/>
      <c r="I786" s="2" t="str">
        <f>IFERROR(__xludf.DUMMYFUNCTION("""COMPUTED_VALUE"""),"ICM_Business_linked_launch")</f>
        <v>ICM_Business_linked_launch</v>
      </c>
      <c r="J786" s="2" t="str">
        <f>IFERROR(__xludf.DUMMYFUNCTION("""COMPUTED_VALUE"""),"uuid:d5193704-b08c-4399-b3d5-fe92ab25c3cd")</f>
        <v>uuid:d5193704-b08c-4399-b3d5-fe92ab25c3cd</v>
      </c>
    </row>
    <row r="787">
      <c r="A787" s="2" t="str">
        <f>IFERROR(__xludf.DUMMYFUNCTION("""COMPUTED_VALUE"""),"2025-09-21T11:03:40.606Z")</f>
        <v>2025-09-21T11:03:40.606Z</v>
      </c>
      <c r="B787" s="2" t="str">
        <f>IFERROR(__xludf.DUMMYFUNCTION("""COMPUTED_VALUE"""),"2025-09-21T16:14:34.731+08")</f>
        <v>2025-09-21T16:14:34.731+08</v>
      </c>
      <c r="C787" s="2" t="str">
        <f>IFERROR(__xludf.DUMMYFUNCTION("""COMPUTED_VALUE"""),"2025-09-21T19:00:22.865+08")</f>
        <v>2025-09-21T19:00:22.865+08</v>
      </c>
      <c r="D787" s="2" t="str">
        <f>IFERROR(__xludf.DUMMYFUNCTION("""COMPUTED_VALUE"""),"H006510029")</f>
        <v>H006510029</v>
      </c>
      <c r="E787" s="2" t="str">
        <f>IFERROR(__xludf.DUMMYFUNCTION("""COMPUTED_VALUE"""),"M6491032")</f>
        <v>M6491032</v>
      </c>
      <c r="F787" s="2" t="str">
        <f>IFERROR(__xludf.DUMMYFUNCTION("""COMPUTED_VALUE"""),"Rosevil Tayo Desamparado")</f>
        <v>Rosevil Tayo Desamparado</v>
      </c>
      <c r="G787" s="2"/>
      <c r="H787" s="2"/>
      <c r="I787" s="2" t="str">
        <f>IFERROR(__xludf.DUMMYFUNCTION("""COMPUTED_VALUE"""),"ICM_Business_linked_launch")</f>
        <v>ICM_Business_linked_launch</v>
      </c>
      <c r="J787" s="2" t="str">
        <f>IFERROR(__xludf.DUMMYFUNCTION("""COMPUTED_VALUE"""),"uuid:fba050ba-632c-4899-af05-60ade6231f5c")</f>
        <v>uuid:fba050ba-632c-4899-af05-60ade6231f5c</v>
      </c>
    </row>
    <row r="788">
      <c r="A788" s="2" t="str">
        <f>IFERROR(__xludf.DUMMYFUNCTION("""COMPUTED_VALUE"""),"2025-09-22T09:35:21.218Z")</f>
        <v>2025-09-22T09:35:21.218Z</v>
      </c>
      <c r="B788" s="2" t="str">
        <f>IFERROR(__xludf.DUMMYFUNCTION("""COMPUTED_VALUE"""),"2025-09-22T08:39:22.604+08")</f>
        <v>2025-09-22T08:39:22.604+08</v>
      </c>
      <c r="C788" s="2" t="str">
        <f>IFERROR(__xludf.DUMMYFUNCTION("""COMPUTED_VALUE"""),"2025-09-22T08:49:27.334+08")</f>
        <v>2025-09-22T08:49:27.334+08</v>
      </c>
      <c r="D788" s="2" t="str">
        <f>IFERROR(__xludf.DUMMYFUNCTION("""COMPUTED_VALUE"""),"H004132020")</f>
        <v>H004132020</v>
      </c>
      <c r="E788" s="2">
        <f>IFERROR(__xludf.DUMMYFUNCTION("""COMPUTED_VALUE"""),841329.0)</f>
        <v>841329</v>
      </c>
      <c r="F788" s="2" t="str">
        <f>IFERROR(__xludf.DUMMYFUNCTION("""COMPUTED_VALUE"""),"Aila Eli_2")</f>
        <v>Aila Eli_2</v>
      </c>
      <c r="G788" s="2"/>
      <c r="H788" s="2"/>
      <c r="I788" s="2" t="str">
        <f>IFERROR(__xludf.DUMMYFUNCTION("""COMPUTED_VALUE"""),"ICM_Business_linked_launch")</f>
        <v>ICM_Business_linked_launch</v>
      </c>
      <c r="J788" s="2" t="str">
        <f>IFERROR(__xludf.DUMMYFUNCTION("""COMPUTED_VALUE"""),"uuid:6bb78637-b57f-4481-8729-441dbcce9137")</f>
        <v>uuid:6bb78637-b57f-4481-8729-441dbcce9137</v>
      </c>
    </row>
    <row r="789">
      <c r="A789" s="2" t="str">
        <f>IFERROR(__xludf.DUMMYFUNCTION("""COMPUTED_VALUE"""),"2025-09-22T09:35:24.412Z")</f>
        <v>2025-09-22T09:35:24.412Z</v>
      </c>
      <c r="B789" s="2" t="str">
        <f>IFERROR(__xludf.DUMMYFUNCTION("""COMPUTED_VALUE"""),"2025-09-22T10:03:04.828+08")</f>
        <v>2025-09-22T10:03:04.828+08</v>
      </c>
      <c r="C789" s="2" t="str">
        <f>IFERROR(__xludf.DUMMYFUNCTION("""COMPUTED_VALUE"""),"2025-09-22T10:11:12.177+08")</f>
        <v>2025-09-22T10:11:12.177+08</v>
      </c>
      <c r="D789" s="2" t="str">
        <f>IFERROR(__xludf.DUMMYFUNCTION("""COMPUTED_VALUE"""),"H004132028")</f>
        <v>H004132028</v>
      </c>
      <c r="E789" s="2">
        <f>IFERROR(__xludf.DUMMYFUNCTION("""COMPUTED_VALUE"""),841329.0)</f>
        <v>841329</v>
      </c>
      <c r="F789" s="2" t="str">
        <f>IFERROR(__xludf.DUMMYFUNCTION("""COMPUTED_VALUE"""),"Aila Eli_2")</f>
        <v>Aila Eli_2</v>
      </c>
      <c r="G789" s="2"/>
      <c r="H789" s="2"/>
      <c r="I789" s="2" t="str">
        <f>IFERROR(__xludf.DUMMYFUNCTION("""COMPUTED_VALUE"""),"ICM_Business_linked_launch")</f>
        <v>ICM_Business_linked_launch</v>
      </c>
      <c r="J789" s="2" t="str">
        <f>IFERROR(__xludf.DUMMYFUNCTION("""COMPUTED_VALUE"""),"uuid:367609a4-80a4-4898-acf8-bb07aef0ba04")</f>
        <v>uuid:367609a4-80a4-4898-acf8-bb07aef0ba04</v>
      </c>
    </row>
    <row r="790">
      <c r="A790" s="2" t="str">
        <f>IFERROR(__xludf.DUMMYFUNCTION("""COMPUTED_VALUE"""),"2025-09-22T09:35:27.591Z")</f>
        <v>2025-09-22T09:35:27.591Z</v>
      </c>
      <c r="B790" s="2" t="str">
        <f>IFERROR(__xludf.DUMMYFUNCTION("""COMPUTED_VALUE"""),"2025-09-22T11:16:17.767+08")</f>
        <v>2025-09-22T11:16:17.767+08</v>
      </c>
      <c r="C790" s="2" t="str">
        <f>IFERROR(__xludf.DUMMYFUNCTION("""COMPUTED_VALUE"""),"2025-09-22T11:23:47.320+08")</f>
        <v>2025-09-22T11:23:47.320+08</v>
      </c>
      <c r="D790" s="2" t="str">
        <f>IFERROR(__xludf.DUMMYFUNCTION("""COMPUTED_VALUE"""),"H004132029")</f>
        <v>H004132029</v>
      </c>
      <c r="E790" s="2">
        <f>IFERROR(__xludf.DUMMYFUNCTION("""COMPUTED_VALUE"""),841329.0)</f>
        <v>841329</v>
      </c>
      <c r="F790" s="2" t="str">
        <f>IFERROR(__xludf.DUMMYFUNCTION("""COMPUTED_VALUE"""),"Aila Eli_2")</f>
        <v>Aila Eli_2</v>
      </c>
      <c r="G790" s="2"/>
      <c r="H790" s="2"/>
      <c r="I790" s="2" t="str">
        <f>IFERROR(__xludf.DUMMYFUNCTION("""COMPUTED_VALUE"""),"ICM_Business_linked_launch")</f>
        <v>ICM_Business_linked_launch</v>
      </c>
      <c r="J790" s="2" t="str">
        <f>IFERROR(__xludf.DUMMYFUNCTION("""COMPUTED_VALUE"""),"uuid:f92eb15d-be1d-4aae-b548-7717ae7400f8")</f>
        <v>uuid:f92eb15d-be1d-4aae-b548-7717ae7400f8</v>
      </c>
    </row>
    <row r="791">
      <c r="A791" s="2" t="str">
        <f>IFERROR(__xludf.DUMMYFUNCTION("""COMPUTED_VALUE"""),"2025-09-22T09:35:30.232Z")</f>
        <v>2025-09-22T09:35:30.232Z</v>
      </c>
      <c r="B791" s="2" t="str">
        <f>IFERROR(__xludf.DUMMYFUNCTION("""COMPUTED_VALUE"""),"2025-09-22T12:25:58.896+08")</f>
        <v>2025-09-22T12:25:58.896+08</v>
      </c>
      <c r="C791" s="2" t="str">
        <f>IFERROR(__xludf.DUMMYFUNCTION("""COMPUTED_VALUE"""),"2025-09-22T12:36:03.592+08")</f>
        <v>2025-09-22T12:36:03.592+08</v>
      </c>
      <c r="D791" s="2" t="str">
        <f>IFERROR(__xludf.DUMMYFUNCTION("""COMPUTED_VALUE"""),"H004132031")</f>
        <v>H004132031</v>
      </c>
      <c r="E791" s="2">
        <f>IFERROR(__xludf.DUMMYFUNCTION("""COMPUTED_VALUE"""),841329.0)</f>
        <v>841329</v>
      </c>
      <c r="F791" s="2" t="str">
        <f>IFERROR(__xludf.DUMMYFUNCTION("""COMPUTED_VALUE"""),"Aila Eli_2")</f>
        <v>Aila Eli_2</v>
      </c>
      <c r="G791" s="2"/>
      <c r="H791" s="2"/>
      <c r="I791" s="2" t="str">
        <f>IFERROR(__xludf.DUMMYFUNCTION("""COMPUTED_VALUE"""),"ICM_Business_linked_launch")</f>
        <v>ICM_Business_linked_launch</v>
      </c>
      <c r="J791" s="2" t="str">
        <f>IFERROR(__xludf.DUMMYFUNCTION("""COMPUTED_VALUE"""),"uuid:ee768070-4819-4344-b889-277e19e8f7fc")</f>
        <v>uuid:ee768070-4819-4344-b889-277e19e8f7fc</v>
      </c>
    </row>
    <row r="792">
      <c r="A792" s="2" t="str">
        <f>IFERROR(__xludf.DUMMYFUNCTION("""COMPUTED_VALUE"""),"2025-09-22T09:59:44.287Z")</f>
        <v>2025-09-22T09:59:44.287Z</v>
      </c>
      <c r="B792" s="2" t="str">
        <f>IFERROR(__xludf.DUMMYFUNCTION("""COMPUTED_VALUE"""),"2025-09-22T14:42:34.642+08")</f>
        <v>2025-09-22T14:42:34.642+08</v>
      </c>
      <c r="C792" s="2" t="str">
        <f>IFERROR(__xludf.DUMMYFUNCTION("""COMPUTED_VALUE"""),"2025-09-22T17:55:52.898+08")</f>
        <v>2025-09-22T17:55:52.898+08</v>
      </c>
      <c r="D792" s="2" t="str">
        <f>IFERROR(__xludf.DUMMYFUNCTION("""COMPUTED_VALUE"""),"H004306030")</f>
        <v>H004306030</v>
      </c>
      <c r="E792" s="2">
        <f>IFERROR(__xludf.DUMMYFUNCTION("""COMPUTED_VALUE"""),859767.0)</f>
        <v>859767</v>
      </c>
      <c r="F792" s="2" t="str">
        <f>IFERROR(__xludf.DUMMYFUNCTION("""COMPUTED_VALUE"""),"Ramie De Pedro Jr._2")</f>
        <v>Ramie De Pedro Jr._2</v>
      </c>
      <c r="G792" s="2"/>
      <c r="H792" s="2"/>
      <c r="I792" s="2" t="str">
        <f>IFERROR(__xludf.DUMMYFUNCTION("""COMPUTED_VALUE"""),"ICM_Business_linked_launch")</f>
        <v>ICM_Business_linked_launch</v>
      </c>
      <c r="J792" s="2" t="str">
        <f>IFERROR(__xludf.DUMMYFUNCTION("""COMPUTED_VALUE"""),"uuid:7b9ffcd1-7efa-4fd5-9ad4-4391d14b9d02")</f>
        <v>uuid:7b9ffcd1-7efa-4fd5-9ad4-4391d14b9d02</v>
      </c>
    </row>
    <row r="793">
      <c r="A793" s="2" t="str">
        <f>IFERROR(__xludf.DUMMYFUNCTION("""COMPUTED_VALUE"""),"2025-09-22T09:59:45.000Z")</f>
        <v>2025-09-22T09:59:45.000Z</v>
      </c>
      <c r="B793" s="2" t="str">
        <f>IFERROR(__xludf.DUMMYFUNCTION("""COMPUTED_VALUE"""),"2025-09-22T13:08:49.516+08")</f>
        <v>2025-09-22T13:08:49.516+08</v>
      </c>
      <c r="C793" s="2" t="str">
        <f>IFERROR(__xludf.DUMMYFUNCTION("""COMPUTED_VALUE"""),"2025-09-22T17:59:19.390+08")</f>
        <v>2025-09-22T17:59:19.390+08</v>
      </c>
      <c r="D793" s="2" t="str">
        <f>IFERROR(__xludf.DUMMYFUNCTION("""COMPUTED_VALUE"""),"H004306022")</f>
        <v>H004306022</v>
      </c>
      <c r="E793" s="2">
        <f>IFERROR(__xludf.DUMMYFUNCTION("""COMPUTED_VALUE"""),859767.0)</f>
        <v>859767</v>
      </c>
      <c r="F793" s="2" t="str">
        <f>IFERROR(__xludf.DUMMYFUNCTION("""COMPUTED_VALUE"""),"Ramie De Pedro Jr._2")</f>
        <v>Ramie De Pedro Jr._2</v>
      </c>
      <c r="G793" s="2"/>
      <c r="H793" s="2"/>
      <c r="I793" s="2" t="str">
        <f>IFERROR(__xludf.DUMMYFUNCTION("""COMPUTED_VALUE"""),"ICM_Business_linked_launch")</f>
        <v>ICM_Business_linked_launch</v>
      </c>
      <c r="J793" s="2" t="str">
        <f>IFERROR(__xludf.DUMMYFUNCTION("""COMPUTED_VALUE"""),"uuid:cf0d531c-f9c7-4546-9916-b88933215774")</f>
        <v>uuid:cf0d531c-f9c7-4546-9916-b88933215774</v>
      </c>
    </row>
    <row r="794">
      <c r="A794" s="2" t="str">
        <f>IFERROR(__xludf.DUMMYFUNCTION("""COMPUTED_VALUE"""),"2025-09-22T09:59:45.911Z")</f>
        <v>2025-09-22T09:59:45.911Z</v>
      </c>
      <c r="B794" s="2" t="str">
        <f>IFERROR(__xludf.DUMMYFUNCTION("""COMPUTED_VALUE"""),"2025-09-22T11:39:18.012+08")</f>
        <v>2025-09-22T11:39:18.012+08</v>
      </c>
      <c r="C794" s="2" t="str">
        <f>IFERROR(__xludf.DUMMYFUNCTION("""COMPUTED_VALUE"""),"2025-09-22T11:51:36.873+08")</f>
        <v>2025-09-22T11:51:36.873+08</v>
      </c>
      <c r="D794" s="2" t="str">
        <f>IFERROR(__xludf.DUMMYFUNCTION("""COMPUTED_VALUE"""),"H004306028")</f>
        <v>H004306028</v>
      </c>
      <c r="E794" s="2">
        <f>IFERROR(__xludf.DUMMYFUNCTION("""COMPUTED_VALUE"""),859767.0)</f>
        <v>859767</v>
      </c>
      <c r="F794" s="2" t="str">
        <f>IFERROR(__xludf.DUMMYFUNCTION("""COMPUTED_VALUE"""),"Ramie De Pedro Jr._2")</f>
        <v>Ramie De Pedro Jr._2</v>
      </c>
      <c r="G794" s="2"/>
      <c r="H794" s="2"/>
      <c r="I794" s="2" t="str">
        <f>IFERROR(__xludf.DUMMYFUNCTION("""COMPUTED_VALUE"""),"ICM_Business_linked_launch")</f>
        <v>ICM_Business_linked_launch</v>
      </c>
      <c r="J794" s="2" t="str">
        <f>IFERROR(__xludf.DUMMYFUNCTION("""COMPUTED_VALUE"""),"uuid:db290b17-14d1-4cdc-8305-878c69c7698f")</f>
        <v>uuid:db290b17-14d1-4cdc-8305-878c69c7698f</v>
      </c>
    </row>
    <row r="795">
      <c r="A795" s="2" t="str">
        <f>IFERROR(__xludf.DUMMYFUNCTION("""COMPUTED_VALUE"""),"2025-09-22T09:59:47.753Z")</f>
        <v>2025-09-22T09:59:47.753Z</v>
      </c>
      <c r="B795" s="2" t="str">
        <f>IFERROR(__xludf.DUMMYFUNCTION("""COMPUTED_VALUE"""),"2025-09-22T15:54:00.895+08")</f>
        <v>2025-09-22T15:54:00.895+08</v>
      </c>
      <c r="C795" s="2" t="str">
        <f>IFERROR(__xludf.DUMMYFUNCTION("""COMPUTED_VALUE"""),"2025-09-22T15:59:05.573+08")</f>
        <v>2025-09-22T15:59:05.573+08</v>
      </c>
      <c r="D795" s="2" t="str">
        <f>IFERROR(__xludf.DUMMYFUNCTION("""COMPUTED_VALUE"""),"H004306025")</f>
        <v>H004306025</v>
      </c>
      <c r="E795" s="2">
        <f>IFERROR(__xludf.DUMMYFUNCTION("""COMPUTED_VALUE"""),859767.0)</f>
        <v>859767</v>
      </c>
      <c r="F795" s="2" t="str">
        <f>IFERROR(__xludf.DUMMYFUNCTION("""COMPUTED_VALUE"""),"Ramie De Pedro Jr._2")</f>
        <v>Ramie De Pedro Jr._2</v>
      </c>
      <c r="G795" s="2"/>
      <c r="H795" s="2"/>
      <c r="I795" s="2" t="str">
        <f>IFERROR(__xludf.DUMMYFUNCTION("""COMPUTED_VALUE"""),"ICM_Business_linked_launch")</f>
        <v>ICM_Business_linked_launch</v>
      </c>
      <c r="J795" s="2" t="str">
        <f>IFERROR(__xludf.DUMMYFUNCTION("""COMPUTED_VALUE"""),"uuid:c7bd197e-7673-4eb7-b20b-11a99b4267c7")</f>
        <v>uuid:c7bd197e-7673-4eb7-b20b-11a99b4267c7</v>
      </c>
    </row>
    <row r="796">
      <c r="A796" s="2" t="str">
        <f>IFERROR(__xludf.DUMMYFUNCTION("""COMPUTED_VALUE"""),"2025-09-22T10:20:27.436Z")</f>
        <v>2025-09-22T10:20:27.436Z</v>
      </c>
      <c r="B796" s="2" t="str">
        <f>IFERROR(__xludf.DUMMYFUNCTION("""COMPUTED_VALUE"""),"2025-09-22T10:39:18.053+08")</f>
        <v>2025-09-22T10:39:18.053+08</v>
      </c>
      <c r="C796" s="2" t="str">
        <f>IFERROR(__xludf.DUMMYFUNCTION("""COMPUTED_VALUE"""),"2025-09-22T10:48:34.309+08")</f>
        <v>2025-09-22T10:48:34.309+08</v>
      </c>
      <c r="D796" s="2" t="str">
        <f>IFERROR(__xludf.DUMMYFUNCTION("""COMPUTED_VALUE"""),"H030470021")</f>
        <v>H030470021</v>
      </c>
      <c r="E796" s="2" t="str">
        <f>IFERROR(__xludf.DUMMYFUNCTION("""COMPUTED_VALUE"""),"C7502931")</f>
        <v>C7502931</v>
      </c>
      <c r="F796" s="2" t="str">
        <f>IFERROR(__xludf.DUMMYFUNCTION("""COMPUTED_VALUE"""),"Jenny Lou Toles Estacio")</f>
        <v>Jenny Lou Toles Estacio</v>
      </c>
      <c r="G796" s="2"/>
      <c r="H796" s="2"/>
      <c r="I796" s="2" t="str">
        <f>IFERROR(__xludf.DUMMYFUNCTION("""COMPUTED_VALUE"""),"ICM_Business_linked_launch")</f>
        <v>ICM_Business_linked_launch</v>
      </c>
      <c r="J796" s="2" t="str">
        <f>IFERROR(__xludf.DUMMYFUNCTION("""COMPUTED_VALUE"""),"uuid:1602c5ca-107f-4043-b37b-98125dd85709")</f>
        <v>uuid:1602c5ca-107f-4043-b37b-98125dd85709</v>
      </c>
    </row>
    <row r="797">
      <c r="A797" s="2" t="str">
        <f>IFERROR(__xludf.DUMMYFUNCTION("""COMPUTED_VALUE"""),"2025-09-22T10:20:29.922Z")</f>
        <v>2025-09-22T10:20:29.922Z</v>
      </c>
      <c r="B797" s="2" t="str">
        <f>IFERROR(__xludf.DUMMYFUNCTION("""COMPUTED_VALUE"""),"2025-09-22T12:07:53.793+08")</f>
        <v>2025-09-22T12:07:53.793+08</v>
      </c>
      <c r="C797" s="2" t="str">
        <f>IFERROR(__xludf.DUMMYFUNCTION("""COMPUTED_VALUE"""),"2025-09-22T12:51:07.032+08")</f>
        <v>2025-09-22T12:51:07.032+08</v>
      </c>
      <c r="D797" s="2" t="str">
        <f>IFERROR(__xludf.DUMMYFUNCTION("""COMPUTED_VALUE"""),"H030470024")</f>
        <v>H030470024</v>
      </c>
      <c r="E797" s="2" t="str">
        <f>IFERROR(__xludf.DUMMYFUNCTION("""COMPUTED_VALUE"""),"C7502931")</f>
        <v>C7502931</v>
      </c>
      <c r="F797" s="2" t="str">
        <f>IFERROR(__xludf.DUMMYFUNCTION("""COMPUTED_VALUE"""),"Jenny Lou Toles Estacio")</f>
        <v>Jenny Lou Toles Estacio</v>
      </c>
      <c r="G797" s="2"/>
      <c r="H797" s="2"/>
      <c r="I797" s="2" t="str">
        <f>IFERROR(__xludf.DUMMYFUNCTION("""COMPUTED_VALUE"""),"ICM_Business_linked_launch")</f>
        <v>ICM_Business_linked_launch</v>
      </c>
      <c r="J797" s="2" t="str">
        <f>IFERROR(__xludf.DUMMYFUNCTION("""COMPUTED_VALUE"""),"uuid:60b39ce4-2482-4dc5-a5d4-d76b7ffed8f0")</f>
        <v>uuid:60b39ce4-2482-4dc5-a5d4-d76b7ffed8f0</v>
      </c>
    </row>
    <row r="798">
      <c r="A798" s="2" t="str">
        <f>IFERROR(__xludf.DUMMYFUNCTION("""COMPUTED_VALUE"""),"2025-09-22T10:49:35.911Z")</f>
        <v>2025-09-22T10:49:35.911Z</v>
      </c>
      <c r="B798" s="2" t="str">
        <f>IFERROR(__xludf.DUMMYFUNCTION("""COMPUTED_VALUE"""),"2025-09-22T14:59:24.591+08")</f>
        <v>2025-09-22T14:59:24.591+08</v>
      </c>
      <c r="C798" s="2" t="str">
        <f>IFERROR(__xludf.DUMMYFUNCTION("""COMPUTED_VALUE"""),"2025-09-22T15:12:51.780+08")</f>
        <v>2025-09-22T15:12:51.780+08</v>
      </c>
      <c r="D798" s="2" t="str">
        <f>IFERROR(__xludf.DUMMYFUNCTION("""COMPUTED_VALUE"""),"H030396021")</f>
        <v>H030396021</v>
      </c>
      <c r="E798" s="2" t="str">
        <f>IFERROR(__xludf.DUMMYFUNCTION("""COMPUTED_VALUE"""),"H2846135")</f>
        <v>H2846135</v>
      </c>
      <c r="F798" s="2" t="str">
        <f>IFERROR(__xludf.DUMMYFUNCTION("""COMPUTED_VALUE"""),"Annalou Empanado Encontro")</f>
        <v>Annalou Empanado Encontro</v>
      </c>
      <c r="G798" s="2"/>
      <c r="H798" s="2"/>
      <c r="I798" s="2" t="str">
        <f>IFERROR(__xludf.DUMMYFUNCTION("""COMPUTED_VALUE"""),"ICM_Business_linked_launch")</f>
        <v>ICM_Business_linked_launch</v>
      </c>
      <c r="J798" s="2" t="str">
        <f>IFERROR(__xludf.DUMMYFUNCTION("""COMPUTED_VALUE"""),"uuid:313346b9-be0e-4002-9a77-ec45cd560cf9")</f>
        <v>uuid:313346b9-be0e-4002-9a77-ec45cd560cf9</v>
      </c>
    </row>
    <row r="799">
      <c r="A799" s="2" t="str">
        <f>IFERROR(__xludf.DUMMYFUNCTION("""COMPUTED_VALUE"""),"2025-09-22T10:49:38.369Z")</f>
        <v>2025-09-22T10:49:38.369Z</v>
      </c>
      <c r="B799" s="2" t="str">
        <f>IFERROR(__xludf.DUMMYFUNCTION("""COMPUTED_VALUE"""),"2025-09-22T11:13:39.831+08")</f>
        <v>2025-09-22T11:13:39.831+08</v>
      </c>
      <c r="C799" s="2" t="str">
        <f>IFERROR(__xludf.DUMMYFUNCTION("""COMPUTED_VALUE"""),"2025-09-22T11:24:30.871+08")</f>
        <v>2025-09-22T11:24:30.871+08</v>
      </c>
      <c r="D799" s="2" t="str">
        <f>IFERROR(__xludf.DUMMYFUNCTION("""COMPUTED_VALUE"""),"H030396032")</f>
        <v>H030396032</v>
      </c>
      <c r="E799" s="2" t="str">
        <f>IFERROR(__xludf.DUMMYFUNCTION("""COMPUTED_VALUE"""),"H2846135")</f>
        <v>H2846135</v>
      </c>
      <c r="F799" s="2" t="str">
        <f>IFERROR(__xludf.DUMMYFUNCTION("""COMPUTED_VALUE"""),"Annalou Empanado Encontro")</f>
        <v>Annalou Empanado Encontro</v>
      </c>
      <c r="G799" s="2"/>
      <c r="H799" s="2"/>
      <c r="I799" s="2" t="str">
        <f>IFERROR(__xludf.DUMMYFUNCTION("""COMPUTED_VALUE"""),"ICM_Business_linked_launch")</f>
        <v>ICM_Business_linked_launch</v>
      </c>
      <c r="J799" s="2" t="str">
        <f>IFERROR(__xludf.DUMMYFUNCTION("""COMPUTED_VALUE"""),"uuid:03d4b1b8-754d-4743-b27d-17619891714b")</f>
        <v>uuid:03d4b1b8-754d-4743-b27d-17619891714b</v>
      </c>
    </row>
    <row r="800">
      <c r="A800" s="2" t="str">
        <f>IFERROR(__xludf.DUMMYFUNCTION("""COMPUTED_VALUE"""),"2025-09-22T11:06:30.728Z")</f>
        <v>2025-09-22T11:06:30.728Z</v>
      </c>
      <c r="B800" s="2" t="str">
        <f>IFERROR(__xludf.DUMMYFUNCTION("""COMPUTED_VALUE"""),"2025-09-22T11:03:48.423+08")</f>
        <v>2025-09-22T11:03:48.423+08</v>
      </c>
      <c r="C800" s="2" t="str">
        <f>IFERROR(__xludf.DUMMYFUNCTION("""COMPUTED_VALUE"""),"2025-09-22T12:52:03.215+08")</f>
        <v>2025-09-22T12:52:03.215+08</v>
      </c>
      <c r="D800" s="2" t="str">
        <f>IFERROR(__xludf.DUMMYFUNCTION("""COMPUTED_VALUE"""),"H030470023")</f>
        <v>H030470023</v>
      </c>
      <c r="E800" s="2" t="str">
        <f>IFERROR(__xludf.DUMMYFUNCTION("""COMPUTED_VALUE"""),"B8193462")</f>
        <v>B8193462</v>
      </c>
      <c r="F800" s="2" t="str">
        <f>IFERROR(__xludf.DUMMYFUNCTION("""COMPUTED_VALUE"""),"Mark Lorens Mendoza Gilongo")</f>
        <v>Mark Lorens Mendoza Gilongo</v>
      </c>
      <c r="G800" s="2"/>
      <c r="H800" s="2"/>
      <c r="I800" s="2" t="str">
        <f>IFERROR(__xludf.DUMMYFUNCTION("""COMPUTED_VALUE"""),"ICM_Business_linked_launch")</f>
        <v>ICM_Business_linked_launch</v>
      </c>
      <c r="J800" s="2" t="str">
        <f>IFERROR(__xludf.DUMMYFUNCTION("""COMPUTED_VALUE"""),"uuid:1437b9bd-95ef-44fe-8605-e0ed5234eb90")</f>
        <v>uuid:1437b9bd-95ef-44fe-8605-e0ed5234eb90</v>
      </c>
    </row>
    <row r="801">
      <c r="A801" s="2" t="str">
        <f>IFERROR(__xludf.DUMMYFUNCTION("""COMPUTED_VALUE"""),"2025-09-22T11:06:32.389Z")</f>
        <v>2025-09-22T11:06:32.389Z</v>
      </c>
      <c r="B801" s="2" t="str">
        <f>IFERROR(__xludf.DUMMYFUNCTION("""COMPUTED_VALUE"""),"2025-09-22T12:25:20.039+08")</f>
        <v>2025-09-22T12:25:20.039+08</v>
      </c>
      <c r="C801" s="2" t="str">
        <f>IFERROR(__xludf.DUMMYFUNCTION("""COMPUTED_VALUE"""),"2025-09-22T15:22:40.607+08")</f>
        <v>2025-09-22T15:22:40.607+08</v>
      </c>
      <c r="D801" s="2" t="str">
        <f>IFERROR(__xludf.DUMMYFUNCTION("""COMPUTED_VALUE"""),"H030470018")</f>
        <v>H030470018</v>
      </c>
      <c r="E801" s="2" t="str">
        <f>IFERROR(__xludf.DUMMYFUNCTION("""COMPUTED_VALUE"""),"B8193462")</f>
        <v>B8193462</v>
      </c>
      <c r="F801" s="2" t="str">
        <f>IFERROR(__xludf.DUMMYFUNCTION("""COMPUTED_VALUE"""),"Mark Lorens Mendoza Gilongo")</f>
        <v>Mark Lorens Mendoza Gilongo</v>
      </c>
      <c r="G801" s="2"/>
      <c r="H801" s="2"/>
      <c r="I801" s="2" t="str">
        <f>IFERROR(__xludf.DUMMYFUNCTION("""COMPUTED_VALUE"""),"ICM_Business_linked_launch")</f>
        <v>ICM_Business_linked_launch</v>
      </c>
      <c r="J801" s="2" t="str">
        <f>IFERROR(__xludf.DUMMYFUNCTION("""COMPUTED_VALUE"""),"uuid:8eca68a6-163d-4927-bd2a-995def6db513")</f>
        <v>uuid:8eca68a6-163d-4927-bd2a-995def6db513</v>
      </c>
    </row>
    <row r="802">
      <c r="A802" s="2" t="str">
        <f>IFERROR(__xludf.DUMMYFUNCTION("""COMPUTED_VALUE"""),"2025-09-22T11:07:33.551Z")</f>
        <v>2025-09-22T11:07:33.551Z</v>
      </c>
      <c r="B802" s="2" t="str">
        <f>IFERROR(__xludf.DUMMYFUNCTION("""COMPUTED_VALUE"""),"2025-09-22T11:24:08.121+08")</f>
        <v>2025-09-22T11:24:08.121+08</v>
      </c>
      <c r="C802" s="2" t="str">
        <f>IFERROR(__xludf.DUMMYFUNCTION("""COMPUTED_VALUE"""),"2025-09-22T11:32:18.044+08")</f>
        <v>2025-09-22T11:32:18.044+08</v>
      </c>
      <c r="D802" s="2" t="str">
        <f>IFERROR(__xludf.DUMMYFUNCTION("""COMPUTED_VALUE"""),"H030470026")</f>
        <v>H030470026</v>
      </c>
      <c r="E802" s="2">
        <f>IFERROR(__xludf.DUMMYFUNCTION("""COMPUTED_VALUE"""),896791.0)</f>
        <v>896791</v>
      </c>
      <c r="F802" s="2" t="str">
        <f>IFERROR(__xludf.DUMMYFUNCTION("""COMPUTED_VALUE"""),"Roland A. Bandiola jr_2")</f>
        <v>Roland A. Bandiola jr_2</v>
      </c>
      <c r="G802" s="2"/>
      <c r="H802" s="2"/>
      <c r="I802" s="2" t="str">
        <f>IFERROR(__xludf.DUMMYFUNCTION("""COMPUTED_VALUE"""),"ICM_Business_linked_launch")</f>
        <v>ICM_Business_linked_launch</v>
      </c>
      <c r="J802" s="2" t="str">
        <f>IFERROR(__xludf.DUMMYFUNCTION("""COMPUTED_VALUE"""),"uuid:0ae67a65-7763-40b3-bfe8-900cbdfba6d6")</f>
        <v>uuid:0ae67a65-7763-40b3-bfe8-900cbdfba6d6</v>
      </c>
    </row>
    <row r="803">
      <c r="A803" s="2" t="str">
        <f>IFERROR(__xludf.DUMMYFUNCTION("""COMPUTED_VALUE"""),"2025-09-22T11:07:35.415Z")</f>
        <v>2025-09-22T11:07:35.415Z</v>
      </c>
      <c r="B803" s="2" t="str">
        <f>IFERROR(__xludf.DUMMYFUNCTION("""COMPUTED_VALUE"""),"2025-09-22T13:09:54.739+08")</f>
        <v>2025-09-22T13:09:54.739+08</v>
      </c>
      <c r="C803" s="2" t="str">
        <f>IFERROR(__xludf.DUMMYFUNCTION("""COMPUTED_VALUE"""),"2025-09-22T13:20:40.870+08")</f>
        <v>2025-09-22T13:20:40.870+08</v>
      </c>
      <c r="D803" s="2" t="str">
        <f>IFERROR(__xludf.DUMMYFUNCTION("""COMPUTED_VALUE"""),"H030470028")</f>
        <v>H030470028</v>
      </c>
      <c r="E803" s="2">
        <f>IFERROR(__xludf.DUMMYFUNCTION("""COMPUTED_VALUE"""),896791.0)</f>
        <v>896791</v>
      </c>
      <c r="F803" s="2" t="str">
        <f>IFERROR(__xludf.DUMMYFUNCTION("""COMPUTED_VALUE"""),"Roland A. Bandiola jr_2")</f>
        <v>Roland A. Bandiola jr_2</v>
      </c>
      <c r="G803" s="2"/>
      <c r="H803" s="2"/>
      <c r="I803" s="2" t="str">
        <f>IFERROR(__xludf.DUMMYFUNCTION("""COMPUTED_VALUE"""),"ICM_Business_linked_launch")</f>
        <v>ICM_Business_linked_launch</v>
      </c>
      <c r="J803" s="2" t="str">
        <f>IFERROR(__xludf.DUMMYFUNCTION("""COMPUTED_VALUE"""),"uuid:9e56de04-c535-4799-ad7f-c93b26c47af7")</f>
        <v>uuid:9e56de04-c535-4799-ad7f-c93b26c47af7</v>
      </c>
    </row>
    <row r="804">
      <c r="A804" s="2" t="str">
        <f>IFERROR(__xludf.DUMMYFUNCTION("""COMPUTED_VALUE"""),"2025-09-22T11:21:31.224Z")</f>
        <v>2025-09-22T11:21:31.224Z</v>
      </c>
      <c r="B804" s="2" t="str">
        <f>IFERROR(__xludf.DUMMYFUNCTION("""COMPUTED_VALUE"""),"2025-09-22T12:36:43.084+08")</f>
        <v>2025-09-22T12:36:43.084+08</v>
      </c>
      <c r="C804" s="2" t="str">
        <f>IFERROR(__xludf.DUMMYFUNCTION("""COMPUTED_VALUE"""),"2025-09-22T12:38:58.234+08")</f>
        <v>2025-09-22T12:38:58.234+08</v>
      </c>
      <c r="D804" s="2" t="str">
        <f>IFERROR(__xludf.DUMMYFUNCTION("""COMPUTED_VALUE"""),"H004132025")</f>
        <v>H004132025</v>
      </c>
      <c r="E804" s="2">
        <f>IFERROR(__xludf.DUMMYFUNCTION("""COMPUTED_VALUE"""),555127.0)</f>
        <v>555127</v>
      </c>
      <c r="F804" s="2" t="str">
        <f>IFERROR(__xludf.DUMMYFUNCTION("""COMPUTED_VALUE"""),"Mary May_2")</f>
        <v>Mary May_2</v>
      </c>
      <c r="G804" s="2"/>
      <c r="H804" s="2"/>
      <c r="I804" s="2" t="str">
        <f>IFERROR(__xludf.DUMMYFUNCTION("""COMPUTED_VALUE"""),"ICM_Business_linked_launch")</f>
        <v>ICM_Business_linked_launch</v>
      </c>
      <c r="J804" s="2" t="str">
        <f>IFERROR(__xludf.DUMMYFUNCTION("""COMPUTED_VALUE"""),"uuid:b5696fdb-247a-406c-84f3-6b195dc7467e")</f>
        <v>uuid:b5696fdb-247a-406c-84f3-6b195dc7467e</v>
      </c>
    </row>
    <row r="805">
      <c r="A805" s="2" t="str">
        <f>IFERROR(__xludf.DUMMYFUNCTION("""COMPUTED_VALUE"""),"2025-09-22T11:21:33.684Z")</f>
        <v>2025-09-22T11:21:33.684Z</v>
      </c>
      <c r="B805" s="2" t="str">
        <f>IFERROR(__xludf.DUMMYFUNCTION("""COMPUTED_VALUE"""),"2025-09-22T13:51:21.036+08")</f>
        <v>2025-09-22T13:51:21.036+08</v>
      </c>
      <c r="C805" s="2" t="str">
        <f>IFERROR(__xludf.DUMMYFUNCTION("""COMPUTED_VALUE"""),"2025-09-22T16:46:46.067+08")</f>
        <v>2025-09-22T16:46:46.067+08</v>
      </c>
      <c r="D805" s="2" t="str">
        <f>IFERROR(__xludf.DUMMYFUNCTION("""COMPUTED_VALUE"""),"H004132032")</f>
        <v>H004132032</v>
      </c>
      <c r="E805" s="2">
        <f>IFERROR(__xludf.DUMMYFUNCTION("""COMPUTED_VALUE"""),555127.0)</f>
        <v>555127</v>
      </c>
      <c r="F805" s="2" t="str">
        <f>IFERROR(__xludf.DUMMYFUNCTION("""COMPUTED_VALUE"""),"Mary May_2")</f>
        <v>Mary May_2</v>
      </c>
      <c r="G805" s="2"/>
      <c r="H805" s="2"/>
      <c r="I805" s="2" t="str">
        <f>IFERROR(__xludf.DUMMYFUNCTION("""COMPUTED_VALUE"""),"ICM_Business_linked_launch")</f>
        <v>ICM_Business_linked_launch</v>
      </c>
      <c r="J805" s="2" t="str">
        <f>IFERROR(__xludf.DUMMYFUNCTION("""COMPUTED_VALUE"""),"uuid:eb94f929-31de-4a05-b35b-bf64aa76036e")</f>
        <v>uuid:eb94f929-31de-4a05-b35b-bf64aa76036e</v>
      </c>
    </row>
    <row r="806">
      <c r="A806" s="2" t="str">
        <f>IFERROR(__xludf.DUMMYFUNCTION("""COMPUTED_VALUE"""),"2025-09-22T11:21:34.745Z")</f>
        <v>2025-09-22T11:21:34.745Z</v>
      </c>
      <c r="B806" s="2" t="str">
        <f>IFERROR(__xludf.DUMMYFUNCTION("""COMPUTED_VALUE"""),"2025-09-22T08:50:34.138+08")</f>
        <v>2025-09-22T08:50:34.138+08</v>
      </c>
      <c r="C806" s="2" t="str">
        <f>IFERROR(__xludf.DUMMYFUNCTION("""COMPUTED_VALUE"""),"2025-09-22T08:57:39.242+08")</f>
        <v>2025-09-22T08:57:39.242+08</v>
      </c>
      <c r="D806" s="2" t="str">
        <f>IFERROR(__xludf.DUMMYFUNCTION("""COMPUTED_VALUE"""),"H004132017")</f>
        <v>H004132017</v>
      </c>
      <c r="E806" s="2">
        <f>IFERROR(__xludf.DUMMYFUNCTION("""COMPUTED_VALUE"""),555127.0)</f>
        <v>555127</v>
      </c>
      <c r="F806" s="2" t="str">
        <f>IFERROR(__xludf.DUMMYFUNCTION("""COMPUTED_VALUE"""),"Mary May_2")</f>
        <v>Mary May_2</v>
      </c>
      <c r="G806" s="2"/>
      <c r="H806" s="2"/>
      <c r="I806" s="2" t="str">
        <f>IFERROR(__xludf.DUMMYFUNCTION("""COMPUTED_VALUE"""),"ICM_Business_linked_launch")</f>
        <v>ICM_Business_linked_launch</v>
      </c>
      <c r="J806" s="2" t="str">
        <f>IFERROR(__xludf.DUMMYFUNCTION("""COMPUTED_VALUE"""),"uuid:3a7014ad-37c0-44cb-ae86-7833a9dfb076")</f>
        <v>uuid:3a7014ad-37c0-44cb-ae86-7833a9dfb076</v>
      </c>
    </row>
    <row r="807">
      <c r="A807" s="2" t="str">
        <f>IFERROR(__xludf.DUMMYFUNCTION("""COMPUTED_VALUE"""),"2025-09-22T11:21:35.815Z")</f>
        <v>2025-09-22T11:21:35.815Z</v>
      </c>
      <c r="B807" s="2" t="str">
        <f>IFERROR(__xludf.DUMMYFUNCTION("""COMPUTED_VALUE"""),"2025-09-22T10:28:12.094+08")</f>
        <v>2025-09-22T10:28:12.094+08</v>
      </c>
      <c r="C807" s="2" t="str">
        <f>IFERROR(__xludf.DUMMYFUNCTION("""COMPUTED_VALUE"""),"2025-09-22T10:41:46.976+08")</f>
        <v>2025-09-22T10:41:46.976+08</v>
      </c>
      <c r="D807" s="2" t="str">
        <f>IFERROR(__xludf.DUMMYFUNCTION("""COMPUTED_VALUE"""),"H004132034")</f>
        <v>H004132034</v>
      </c>
      <c r="E807" s="2">
        <f>IFERROR(__xludf.DUMMYFUNCTION("""COMPUTED_VALUE"""),555127.0)</f>
        <v>555127</v>
      </c>
      <c r="F807" s="2" t="str">
        <f>IFERROR(__xludf.DUMMYFUNCTION("""COMPUTED_VALUE"""),"Mary May_2")</f>
        <v>Mary May_2</v>
      </c>
      <c r="G807" s="2"/>
      <c r="H807" s="2"/>
      <c r="I807" s="2" t="str">
        <f>IFERROR(__xludf.DUMMYFUNCTION("""COMPUTED_VALUE"""),"ICM_Business_linked_launch")</f>
        <v>ICM_Business_linked_launch</v>
      </c>
      <c r="J807" s="2" t="str">
        <f>IFERROR(__xludf.DUMMYFUNCTION("""COMPUTED_VALUE"""),"uuid:21627b60-4e8c-4aab-91a8-edb725edddb3")</f>
        <v>uuid:21627b60-4e8c-4aab-91a8-edb725edddb3</v>
      </c>
    </row>
    <row r="808">
      <c r="A808" s="2" t="str">
        <f>IFERROR(__xludf.DUMMYFUNCTION("""COMPUTED_VALUE"""),"2025-09-22T11:21:36.776Z")</f>
        <v>2025-09-22T11:21:36.776Z</v>
      </c>
      <c r="B808" s="2" t="str">
        <f>IFERROR(__xludf.DUMMYFUNCTION("""COMPUTED_VALUE"""),"2025-09-22T11:39:55.148+08")</f>
        <v>2025-09-22T11:39:55.148+08</v>
      </c>
      <c r="C808" s="2" t="str">
        <f>IFERROR(__xludf.DUMMYFUNCTION("""COMPUTED_VALUE"""),"2025-09-22T11:47:39.602+08")</f>
        <v>2025-09-22T11:47:39.602+08</v>
      </c>
      <c r="D808" s="2" t="str">
        <f>IFERROR(__xludf.DUMMYFUNCTION("""COMPUTED_VALUE"""),"H004132027")</f>
        <v>H004132027</v>
      </c>
      <c r="E808" s="2">
        <f>IFERROR(__xludf.DUMMYFUNCTION("""COMPUTED_VALUE"""),555127.0)</f>
        <v>555127</v>
      </c>
      <c r="F808" s="2" t="str">
        <f>IFERROR(__xludf.DUMMYFUNCTION("""COMPUTED_VALUE"""),"Mary May_2")</f>
        <v>Mary May_2</v>
      </c>
      <c r="G808" s="2"/>
      <c r="H808" s="2"/>
      <c r="I808" s="2" t="str">
        <f>IFERROR(__xludf.DUMMYFUNCTION("""COMPUTED_VALUE"""),"ICM_Business_linked_launch")</f>
        <v>ICM_Business_linked_launch</v>
      </c>
      <c r="J808" s="2" t="str">
        <f>IFERROR(__xludf.DUMMYFUNCTION("""COMPUTED_VALUE"""),"uuid:61a908e0-7e45-4e17-bb08-f9bc5e5c2b46")</f>
        <v>uuid:61a908e0-7e45-4e17-bb08-f9bc5e5c2b46</v>
      </c>
    </row>
    <row r="809">
      <c r="A809" s="2" t="str">
        <f>IFERROR(__xludf.DUMMYFUNCTION("""COMPUTED_VALUE"""),"2025-09-22T11:25:23.573Z")</f>
        <v>2025-09-22T11:25:23.573Z</v>
      </c>
      <c r="B809" s="2" t="str">
        <f>IFERROR(__xludf.DUMMYFUNCTION("""COMPUTED_VALUE"""),"2025-09-22T10:16:33.121+08")</f>
        <v>2025-09-22T10:16:33.121+08</v>
      </c>
      <c r="C809" s="2" t="str">
        <f>IFERROR(__xludf.DUMMYFUNCTION("""COMPUTED_VALUE"""),"2025-09-22T10:22:16.521+08")</f>
        <v>2025-09-22T10:22:16.521+08</v>
      </c>
      <c r="D809" s="2" t="str">
        <f>IFERROR(__xludf.DUMMYFUNCTION("""COMPUTED_VALUE"""),"H004132016")</f>
        <v>H004132016</v>
      </c>
      <c r="E809" s="2">
        <f>IFERROR(__xludf.DUMMYFUNCTION("""COMPUTED_VALUE"""),455939.0)</f>
        <v>455939</v>
      </c>
      <c r="F809" s="2" t="str">
        <f>IFERROR(__xludf.DUMMYFUNCTION("""COMPUTED_VALUE"""),"Mary Jean Villaflor_2")</f>
        <v>Mary Jean Villaflor_2</v>
      </c>
      <c r="G809" s="2"/>
      <c r="H809" s="2"/>
      <c r="I809" s="2" t="str">
        <f>IFERROR(__xludf.DUMMYFUNCTION("""COMPUTED_VALUE"""),"ICM_Business_linked_launch")</f>
        <v>ICM_Business_linked_launch</v>
      </c>
      <c r="J809" s="2" t="str">
        <f>IFERROR(__xludf.DUMMYFUNCTION("""COMPUTED_VALUE"""),"uuid:d19f5510-6d73-4b23-97ec-701333e2b1ce")</f>
        <v>uuid:d19f5510-6d73-4b23-97ec-701333e2b1ce</v>
      </c>
    </row>
    <row r="810">
      <c r="A810" s="2" t="str">
        <f>IFERROR(__xludf.DUMMYFUNCTION("""COMPUTED_VALUE"""),"2025-09-22T11:25:25.939Z")</f>
        <v>2025-09-22T11:25:25.939Z</v>
      </c>
      <c r="B810" s="2" t="str">
        <f>IFERROR(__xludf.DUMMYFUNCTION("""COMPUTED_VALUE"""),"2025-09-22T08:26:23.413+08")</f>
        <v>2025-09-22T08:26:23.413+08</v>
      </c>
      <c r="C810" s="2" t="str">
        <f>IFERROR(__xludf.DUMMYFUNCTION("""COMPUTED_VALUE"""),"2025-09-22T19:17:11.322+08")</f>
        <v>2025-09-22T19:17:11.322+08</v>
      </c>
      <c r="D810" s="2" t="str">
        <f>IFERROR(__xludf.DUMMYFUNCTION("""COMPUTED_VALUE"""),"H004132022")</f>
        <v>H004132022</v>
      </c>
      <c r="E810" s="2">
        <f>IFERROR(__xludf.DUMMYFUNCTION("""COMPUTED_VALUE"""),455939.0)</f>
        <v>455939</v>
      </c>
      <c r="F810" s="2" t="str">
        <f>IFERROR(__xludf.DUMMYFUNCTION("""COMPUTED_VALUE"""),"Mary Jean Villaflor_2")</f>
        <v>Mary Jean Villaflor_2</v>
      </c>
      <c r="G810" s="2"/>
      <c r="H810" s="2"/>
      <c r="I810" s="2" t="str">
        <f>IFERROR(__xludf.DUMMYFUNCTION("""COMPUTED_VALUE"""),"ICM_Business_linked_launch")</f>
        <v>ICM_Business_linked_launch</v>
      </c>
      <c r="J810" s="2" t="str">
        <f>IFERROR(__xludf.DUMMYFUNCTION("""COMPUTED_VALUE"""),"uuid:adb3dca7-53bc-4c6c-83b3-16013d577b38")</f>
        <v>uuid:adb3dca7-53bc-4c6c-83b3-16013d577b38</v>
      </c>
    </row>
    <row r="811">
      <c r="A811" s="2" t="str">
        <f>IFERROR(__xludf.DUMMYFUNCTION("""COMPUTED_VALUE"""),"2025-09-22T11:25:26.842Z")</f>
        <v>2025-09-22T11:25:26.842Z</v>
      </c>
      <c r="B811" s="2" t="str">
        <f>IFERROR(__xludf.DUMMYFUNCTION("""COMPUTED_VALUE"""),"2025-09-22T08:56:01.142+08")</f>
        <v>2025-09-22T08:56:01.142+08</v>
      </c>
      <c r="C811" s="2" t="str">
        <f>IFERROR(__xludf.DUMMYFUNCTION("""COMPUTED_VALUE"""),"2025-09-22T19:17:59.313+08")</f>
        <v>2025-09-22T19:17:59.313+08</v>
      </c>
      <c r="D811" s="2" t="str">
        <f>IFERROR(__xludf.DUMMYFUNCTION("""COMPUTED_VALUE"""),"H004132021")</f>
        <v>H004132021</v>
      </c>
      <c r="E811" s="2">
        <f>IFERROR(__xludf.DUMMYFUNCTION("""COMPUTED_VALUE"""),455939.0)</f>
        <v>455939</v>
      </c>
      <c r="F811" s="2" t="str">
        <f>IFERROR(__xludf.DUMMYFUNCTION("""COMPUTED_VALUE"""),"Mary Jean Villaflor_2")</f>
        <v>Mary Jean Villaflor_2</v>
      </c>
      <c r="G811" s="2"/>
      <c r="H811" s="2"/>
      <c r="I811" s="2" t="str">
        <f>IFERROR(__xludf.DUMMYFUNCTION("""COMPUTED_VALUE"""),"ICM_Business_linked_launch")</f>
        <v>ICM_Business_linked_launch</v>
      </c>
      <c r="J811" s="2" t="str">
        <f>IFERROR(__xludf.DUMMYFUNCTION("""COMPUTED_VALUE"""),"uuid:2c6f0a1d-af7d-4bc0-a9ef-dc2e90e1c052")</f>
        <v>uuid:2c6f0a1d-af7d-4bc0-a9ef-dc2e90e1c052</v>
      </c>
    </row>
    <row r="812">
      <c r="A812" s="2" t="str">
        <f>IFERROR(__xludf.DUMMYFUNCTION("""COMPUTED_VALUE"""),"2025-09-22T11:40:01.546Z")</f>
        <v>2025-09-22T11:40:01.546Z</v>
      </c>
      <c r="B812" s="2" t="str">
        <f>IFERROR(__xludf.DUMMYFUNCTION("""COMPUTED_VALUE"""),"2025-09-22T11:22:19.013+08")</f>
        <v>2025-09-22T11:22:19.013+08</v>
      </c>
      <c r="C812" s="2" t="str">
        <f>IFERROR(__xludf.DUMMYFUNCTION("""COMPUTED_VALUE"""),"2025-09-22T11:34:15.227+08")</f>
        <v>2025-09-22T11:34:15.227+08</v>
      </c>
      <c r="D812" s="2" t="str">
        <f>IFERROR(__xludf.DUMMYFUNCTION("""COMPUTED_VALUE"""),"H030470025")</f>
        <v>H030470025</v>
      </c>
      <c r="E812" s="2" t="str">
        <f>IFERROR(__xludf.DUMMYFUNCTION("""COMPUTED_VALUE"""),"D1284067")</f>
        <v>D1284067</v>
      </c>
      <c r="F812" s="2" t="str">
        <f>IFERROR(__xludf.DUMMYFUNCTION("""COMPUTED_VALUE"""),"Mariel Del Rio")</f>
        <v>Mariel Del Rio</v>
      </c>
      <c r="G812" s="2"/>
      <c r="H812" s="2"/>
      <c r="I812" s="2" t="str">
        <f>IFERROR(__xludf.DUMMYFUNCTION("""COMPUTED_VALUE"""),"ICM_Business_linked_launch")</f>
        <v>ICM_Business_linked_launch</v>
      </c>
      <c r="J812" s="2" t="str">
        <f>IFERROR(__xludf.DUMMYFUNCTION("""COMPUTED_VALUE"""),"uuid:d637a699-dee5-44c9-b2c4-75fb15eafe57")</f>
        <v>uuid:d637a699-dee5-44c9-b2c4-75fb15eafe57</v>
      </c>
    </row>
    <row r="813">
      <c r="A813" s="2" t="str">
        <f>IFERROR(__xludf.DUMMYFUNCTION("""COMPUTED_VALUE"""),"2025-09-22T11:40:07.571Z")</f>
        <v>2025-09-22T11:40:07.571Z</v>
      </c>
      <c r="B813" s="2" t="str">
        <f>IFERROR(__xludf.DUMMYFUNCTION("""COMPUTED_VALUE"""),"2025-09-22T13:16:27.541+08")</f>
        <v>2025-09-22T13:16:27.541+08</v>
      </c>
      <c r="C813" s="2" t="str">
        <f>IFERROR(__xludf.DUMMYFUNCTION("""COMPUTED_VALUE"""),"2025-09-22T15:31:35.141+08")</f>
        <v>2025-09-22T15:31:35.141+08</v>
      </c>
      <c r="D813" s="2" t="str">
        <f>IFERROR(__xludf.DUMMYFUNCTION("""COMPUTED_VALUE"""),"H030470019")</f>
        <v>H030470019</v>
      </c>
      <c r="E813" s="2" t="str">
        <f>IFERROR(__xludf.DUMMYFUNCTION("""COMPUTED_VALUE"""),"D1284067")</f>
        <v>D1284067</v>
      </c>
      <c r="F813" s="2" t="str">
        <f>IFERROR(__xludf.DUMMYFUNCTION("""COMPUTED_VALUE"""),"Mariel Del Rio")</f>
        <v>Mariel Del Rio</v>
      </c>
      <c r="G813" s="2"/>
      <c r="H813" s="2"/>
      <c r="I813" s="2" t="str">
        <f>IFERROR(__xludf.DUMMYFUNCTION("""COMPUTED_VALUE"""),"ICM_Business_linked_launch")</f>
        <v>ICM_Business_linked_launch</v>
      </c>
      <c r="J813" s="2" t="str">
        <f>IFERROR(__xludf.DUMMYFUNCTION("""COMPUTED_VALUE"""),"uuid:c45588b7-ec72-4850-bcb7-308452e1392f")</f>
        <v>uuid:c45588b7-ec72-4850-bcb7-308452e1392f</v>
      </c>
    </row>
    <row r="814">
      <c r="A814" s="2" t="str">
        <f>IFERROR(__xludf.DUMMYFUNCTION("""COMPUTED_VALUE"""),"2025-09-22T11:44:13.685Z")</f>
        <v>2025-09-22T11:44:13.685Z</v>
      </c>
      <c r="B814" s="2" t="str">
        <f>IFERROR(__xludf.DUMMYFUNCTION("""COMPUTED_VALUE"""),"2025-09-22T13:09:02.383+08")</f>
        <v>2025-09-22T13:09:02.383+08</v>
      </c>
      <c r="C814" s="2" t="str">
        <f>IFERROR(__xludf.DUMMYFUNCTION("""COMPUTED_VALUE"""),"2025-09-22T13:22:16.575+08")</f>
        <v>2025-09-22T13:22:16.575+08</v>
      </c>
      <c r="D814" s="2" t="str">
        <f>IFERROR(__xludf.DUMMYFUNCTION("""COMPUTED_VALUE"""),"H030396023")</f>
        <v>H030396023</v>
      </c>
      <c r="E814" s="2" t="str">
        <f>IFERROR(__xludf.DUMMYFUNCTION("""COMPUTED_VALUE"""),"F3051749")</f>
        <v>F3051749</v>
      </c>
      <c r="F814" s="2" t="str">
        <f>IFERROR(__xludf.DUMMYFUNCTION("""COMPUTED_VALUE"""),"Elenita Gicos De La Pe�a")</f>
        <v>Elenita Gicos De La Pe�a</v>
      </c>
      <c r="G814" s="2"/>
      <c r="H814" s="2"/>
      <c r="I814" s="2" t="str">
        <f>IFERROR(__xludf.DUMMYFUNCTION("""COMPUTED_VALUE"""),"ICM_Business_linked_launch")</f>
        <v>ICM_Business_linked_launch</v>
      </c>
      <c r="J814" s="2" t="str">
        <f>IFERROR(__xludf.DUMMYFUNCTION("""COMPUTED_VALUE"""),"uuid:95f0075e-0be0-40a6-ad4f-6df807fe4141")</f>
        <v>uuid:95f0075e-0be0-40a6-ad4f-6df807fe4141</v>
      </c>
    </row>
    <row r="815">
      <c r="A815" s="2" t="str">
        <f>IFERROR(__xludf.DUMMYFUNCTION("""COMPUTED_VALUE"""),"2025-09-22T11:44:33.829Z")</f>
        <v>2025-09-22T11:44:33.829Z</v>
      </c>
      <c r="B815" s="2" t="str">
        <f>IFERROR(__xludf.DUMMYFUNCTION("""COMPUTED_VALUE"""),"2025-09-22T11:03:11.230+08")</f>
        <v>2025-09-22T11:03:11.230+08</v>
      </c>
      <c r="C815" s="2" t="str">
        <f>IFERROR(__xludf.DUMMYFUNCTION("""COMPUTED_VALUE"""),"2025-09-22T11:07:50.004+08")</f>
        <v>2025-09-22T11:07:50.004+08</v>
      </c>
      <c r="D815" s="2" t="str">
        <f>IFERROR(__xludf.DUMMYFUNCTION("""COMPUTED_VALUE"""),"H030396027")</f>
        <v>H030396027</v>
      </c>
      <c r="E815" s="2" t="str">
        <f>IFERROR(__xludf.DUMMYFUNCTION("""COMPUTED_VALUE"""),"G5472901")</f>
        <v>G5472901</v>
      </c>
      <c r="F815" s="2" t="str">
        <f>IFERROR(__xludf.DUMMYFUNCTION("""COMPUTED_VALUE"""),"Wellyn Grace Alaban Parcia")</f>
        <v>Wellyn Grace Alaban Parcia</v>
      </c>
      <c r="G815" s="2"/>
      <c r="H815" s="2"/>
      <c r="I815" s="2" t="str">
        <f>IFERROR(__xludf.DUMMYFUNCTION("""COMPUTED_VALUE"""),"ICM_Business_linked_launch")</f>
        <v>ICM_Business_linked_launch</v>
      </c>
      <c r="J815" s="2" t="str">
        <f>IFERROR(__xludf.DUMMYFUNCTION("""COMPUTED_VALUE"""),"uuid:394e9e51-e2a3-4b6a-92d2-877b909a3e7e")</f>
        <v>uuid:394e9e51-e2a3-4b6a-92d2-877b909a3e7e</v>
      </c>
    </row>
    <row r="816">
      <c r="A816" s="2" t="str">
        <f>IFERROR(__xludf.DUMMYFUNCTION("""COMPUTED_VALUE"""),"2025-09-22T11:44:57.443Z")</f>
        <v>2025-09-22T11:44:57.443Z</v>
      </c>
      <c r="B816" s="2" t="str">
        <f>IFERROR(__xludf.DUMMYFUNCTION("""COMPUTED_VALUE"""),"2025-09-22T12:37:37.086+08")</f>
        <v>2025-09-22T12:37:37.086+08</v>
      </c>
      <c r="C816" s="2" t="str">
        <f>IFERROR(__xludf.DUMMYFUNCTION("""COMPUTED_VALUE"""),"2025-09-22T12:51:26.852+08")</f>
        <v>2025-09-22T12:51:26.852+08</v>
      </c>
      <c r="D816" s="2" t="str">
        <f>IFERROR(__xludf.DUMMYFUNCTION("""COMPUTED_VALUE"""),"H030396025")</f>
        <v>H030396025</v>
      </c>
      <c r="E816" s="2" t="str">
        <f>IFERROR(__xludf.DUMMYFUNCTION("""COMPUTED_VALUE"""),"G5472901")</f>
        <v>G5472901</v>
      </c>
      <c r="F816" s="2" t="str">
        <f>IFERROR(__xludf.DUMMYFUNCTION("""COMPUTED_VALUE"""),"Wellyn Grace Alaban Parcia")</f>
        <v>Wellyn Grace Alaban Parcia</v>
      </c>
      <c r="G816" s="2"/>
      <c r="H816" s="2"/>
      <c r="I816" s="2" t="str">
        <f>IFERROR(__xludf.DUMMYFUNCTION("""COMPUTED_VALUE"""),"ICM_Business_linked_launch")</f>
        <v>ICM_Business_linked_launch</v>
      </c>
      <c r="J816" s="2" t="str">
        <f>IFERROR(__xludf.DUMMYFUNCTION("""COMPUTED_VALUE"""),"uuid:bf00b62b-0043-49de-b98e-8d7e5f2388f7")</f>
        <v>uuid:bf00b62b-0043-49de-b98e-8d7e5f2388f7</v>
      </c>
    </row>
    <row r="817">
      <c r="A817" s="2" t="str">
        <f>IFERROR(__xludf.DUMMYFUNCTION("""COMPUTED_VALUE"""),"2025-09-22T11:45:02.888Z")</f>
        <v>2025-09-22T11:45:02.888Z</v>
      </c>
      <c r="B817" s="2" t="str">
        <f>IFERROR(__xludf.DUMMYFUNCTION("""COMPUTED_VALUE"""),"2025-09-22T14:45:14.008+08")</f>
        <v>2025-09-22T14:45:14.008+08</v>
      </c>
      <c r="C817" s="2" t="str">
        <f>IFERROR(__xludf.DUMMYFUNCTION("""COMPUTED_VALUE"""),"2025-09-22T14:50:44.983+08")</f>
        <v>2025-09-22T14:50:44.983+08</v>
      </c>
      <c r="D817" s="2" t="str">
        <f>IFERROR(__xludf.DUMMYFUNCTION("""COMPUTED_VALUE"""),"H030396013")</f>
        <v>H030396013</v>
      </c>
      <c r="E817" s="2" t="str">
        <f>IFERROR(__xludf.DUMMYFUNCTION("""COMPUTED_VALUE"""),"F3051749")</f>
        <v>F3051749</v>
      </c>
      <c r="F817" s="2" t="str">
        <f>IFERROR(__xludf.DUMMYFUNCTION("""COMPUTED_VALUE"""),"Elenita Gicos De La Pe�a")</f>
        <v>Elenita Gicos De La Pe�a</v>
      </c>
      <c r="G817" s="2"/>
      <c r="H817" s="2"/>
      <c r="I817" s="2" t="str">
        <f>IFERROR(__xludf.DUMMYFUNCTION("""COMPUTED_VALUE"""),"ICM_Business_linked_launch")</f>
        <v>ICM_Business_linked_launch</v>
      </c>
      <c r="J817" s="2" t="str">
        <f>IFERROR(__xludf.DUMMYFUNCTION("""COMPUTED_VALUE"""),"uuid:146ace3a-baef-48fc-b1b6-4d4160bbea23")</f>
        <v>uuid:146ace3a-baef-48fc-b1b6-4d4160bbea23</v>
      </c>
    </row>
    <row r="818">
      <c r="A818" s="2" t="str">
        <f>IFERROR(__xludf.DUMMYFUNCTION("""COMPUTED_VALUE"""),"2025-09-22T11:58:59.525Z")</f>
        <v>2025-09-22T11:58:59.525Z</v>
      </c>
      <c r="B818" s="2" t="str">
        <f>IFERROR(__xludf.DUMMYFUNCTION("""COMPUTED_VALUE"""),"2025-09-22T11:34:10.475+08")</f>
        <v>2025-09-22T11:34:10.475+08</v>
      </c>
      <c r="C818" s="2" t="str">
        <f>IFERROR(__xludf.DUMMYFUNCTION("""COMPUTED_VALUE"""),"2025-09-22T11:37:17.271+08")</f>
        <v>2025-09-22T11:37:17.271+08</v>
      </c>
      <c r="D818" s="2" t="str">
        <f>IFERROR(__xludf.DUMMYFUNCTION("""COMPUTED_VALUE"""),"H004306021")</f>
        <v>H004306021</v>
      </c>
      <c r="E818" s="2">
        <f>IFERROR(__xludf.DUMMYFUNCTION("""COMPUTED_VALUE"""),729375.0)</f>
        <v>729375</v>
      </c>
      <c r="F818" s="2" t="str">
        <f>IFERROR(__xludf.DUMMYFUNCTION("""COMPUTED_VALUE"""),"Janet Serafica_2")</f>
        <v>Janet Serafica_2</v>
      </c>
      <c r="G818" s="2"/>
      <c r="H818" s="2"/>
      <c r="I818" s="2" t="str">
        <f>IFERROR(__xludf.DUMMYFUNCTION("""COMPUTED_VALUE"""),"ICM_Business_linked_launch")</f>
        <v>ICM_Business_linked_launch</v>
      </c>
      <c r="J818" s="2" t="str">
        <f>IFERROR(__xludf.DUMMYFUNCTION("""COMPUTED_VALUE"""),"uuid:d2a1cc44-a962-4d48-a256-3acd07887f84")</f>
        <v>uuid:d2a1cc44-a962-4d48-a256-3acd07887f84</v>
      </c>
    </row>
    <row r="819">
      <c r="A819" s="2" t="str">
        <f>IFERROR(__xludf.DUMMYFUNCTION("""COMPUTED_VALUE"""),"2025-09-22T11:59:01.175Z")</f>
        <v>2025-09-22T11:59:01.175Z</v>
      </c>
      <c r="B819" s="2" t="str">
        <f>IFERROR(__xludf.DUMMYFUNCTION("""COMPUTED_VALUE"""),"2025-09-22T12:18:19.649+08")</f>
        <v>2025-09-22T12:18:19.649+08</v>
      </c>
      <c r="C819" s="2" t="str">
        <f>IFERROR(__xludf.DUMMYFUNCTION("""COMPUTED_VALUE"""),"2025-09-22T12:23:33.056+08")</f>
        <v>2025-09-22T12:23:33.056+08</v>
      </c>
      <c r="D819" s="2" t="str">
        <f>IFERROR(__xludf.DUMMYFUNCTION("""COMPUTED_VALUE"""),"H004306023")</f>
        <v>H004306023</v>
      </c>
      <c r="E819" s="2">
        <f>IFERROR(__xludf.DUMMYFUNCTION("""COMPUTED_VALUE"""),729375.0)</f>
        <v>729375</v>
      </c>
      <c r="F819" s="2" t="str">
        <f>IFERROR(__xludf.DUMMYFUNCTION("""COMPUTED_VALUE"""),"Janet Serafica_2")</f>
        <v>Janet Serafica_2</v>
      </c>
      <c r="G819" s="2"/>
      <c r="H819" s="2"/>
      <c r="I819" s="2" t="str">
        <f>IFERROR(__xludf.DUMMYFUNCTION("""COMPUTED_VALUE"""),"ICM_Business_linked_launch")</f>
        <v>ICM_Business_linked_launch</v>
      </c>
      <c r="J819" s="2" t="str">
        <f>IFERROR(__xludf.DUMMYFUNCTION("""COMPUTED_VALUE"""),"uuid:e5fe3e09-2161-4107-9448-867d8b773468")</f>
        <v>uuid:e5fe3e09-2161-4107-9448-867d8b773468</v>
      </c>
    </row>
    <row r="820">
      <c r="A820" s="2" t="str">
        <f>IFERROR(__xludf.DUMMYFUNCTION("""COMPUTED_VALUE"""),"2025-09-22T11:59:02.866Z")</f>
        <v>2025-09-22T11:59:02.866Z</v>
      </c>
      <c r="B820" s="2" t="str">
        <f>IFERROR(__xludf.DUMMYFUNCTION("""COMPUTED_VALUE"""),"2025-09-22T14:15:05.605+08")</f>
        <v>2025-09-22T14:15:05.605+08</v>
      </c>
      <c r="C820" s="2" t="str">
        <f>IFERROR(__xludf.DUMMYFUNCTION("""COMPUTED_VALUE"""),"2025-09-22T14:22:43.497+08")</f>
        <v>2025-09-22T14:22:43.497+08</v>
      </c>
      <c r="D820" s="2" t="str">
        <f>IFERROR(__xludf.DUMMYFUNCTION("""COMPUTED_VALUE"""),"H004306031")</f>
        <v>H004306031</v>
      </c>
      <c r="E820" s="2">
        <f>IFERROR(__xludf.DUMMYFUNCTION("""COMPUTED_VALUE"""),729375.0)</f>
        <v>729375</v>
      </c>
      <c r="F820" s="2" t="str">
        <f>IFERROR(__xludf.DUMMYFUNCTION("""COMPUTED_VALUE"""),"Janet Serafica_2")</f>
        <v>Janet Serafica_2</v>
      </c>
      <c r="G820" s="2"/>
      <c r="H820" s="2"/>
      <c r="I820" s="2" t="str">
        <f>IFERROR(__xludf.DUMMYFUNCTION("""COMPUTED_VALUE"""),"ICM_Business_linked_launch")</f>
        <v>ICM_Business_linked_launch</v>
      </c>
      <c r="J820" s="2" t="str">
        <f>IFERROR(__xludf.DUMMYFUNCTION("""COMPUTED_VALUE"""),"uuid:7cffba95-93e2-4d71-adbd-de766b3d953a")</f>
        <v>uuid:7cffba95-93e2-4d71-adbd-de766b3d953a</v>
      </c>
    </row>
    <row r="821">
      <c r="A821" s="2" t="str">
        <f>IFERROR(__xludf.DUMMYFUNCTION("""COMPUTED_VALUE"""),"2025-09-22T11:59:04.593Z")</f>
        <v>2025-09-22T11:59:04.593Z</v>
      </c>
      <c r="B821" s="2" t="str">
        <f>IFERROR(__xludf.DUMMYFUNCTION("""COMPUTED_VALUE"""),"2025-09-22T15:05:24.802+08")</f>
        <v>2025-09-22T15:05:24.802+08</v>
      </c>
      <c r="C821" s="2" t="str">
        <f>IFERROR(__xludf.DUMMYFUNCTION("""COMPUTED_VALUE"""),"2025-09-22T15:24:02.209+08")</f>
        <v>2025-09-22T15:24:02.209+08</v>
      </c>
      <c r="D821" s="2" t="str">
        <f>IFERROR(__xludf.DUMMYFUNCTION("""COMPUTED_VALUE"""),"H004306020")</f>
        <v>H004306020</v>
      </c>
      <c r="E821" s="2">
        <f>IFERROR(__xludf.DUMMYFUNCTION("""COMPUTED_VALUE"""),729375.0)</f>
        <v>729375</v>
      </c>
      <c r="F821" s="2" t="str">
        <f>IFERROR(__xludf.DUMMYFUNCTION("""COMPUTED_VALUE"""),"Janet Serafica_2")</f>
        <v>Janet Serafica_2</v>
      </c>
      <c r="G821" s="2"/>
      <c r="H821" s="2"/>
      <c r="I821" s="2" t="str">
        <f>IFERROR(__xludf.DUMMYFUNCTION("""COMPUTED_VALUE"""),"ICM_Business_linked_launch")</f>
        <v>ICM_Business_linked_launch</v>
      </c>
      <c r="J821" s="2" t="str">
        <f>IFERROR(__xludf.DUMMYFUNCTION("""COMPUTED_VALUE"""),"uuid:8f3aaf74-03bc-45bd-a418-225333ce68e1")</f>
        <v>uuid:8f3aaf74-03bc-45bd-a418-225333ce68e1</v>
      </c>
    </row>
    <row r="822">
      <c r="A822" s="2" t="str">
        <f>IFERROR(__xludf.DUMMYFUNCTION("""COMPUTED_VALUE"""),"2025-09-22T12:10:10.173Z")</f>
        <v>2025-09-22T12:10:10.173Z</v>
      </c>
      <c r="B822" s="2" t="str">
        <f>IFERROR(__xludf.DUMMYFUNCTION("""COMPUTED_VALUE"""),"2025-09-22T11:12:49.840+08")</f>
        <v>2025-09-22T11:12:49.840+08</v>
      </c>
      <c r="C822" s="2" t="str">
        <f>IFERROR(__xludf.DUMMYFUNCTION("""COMPUTED_VALUE"""),"2025-09-22T11:16:13.429+08")</f>
        <v>2025-09-22T11:16:13.429+08</v>
      </c>
      <c r="D822" s="2" t="str">
        <f>IFERROR(__xludf.DUMMYFUNCTION("""COMPUTED_VALUE"""),"H004306034")</f>
        <v>H004306034</v>
      </c>
      <c r="E822" s="2" t="str">
        <f>IFERROR(__xludf.DUMMYFUNCTION("""COMPUTED_VALUE"""),"S2671943")</f>
        <v>S2671943</v>
      </c>
      <c r="F822" s="2" t="str">
        <f>IFERROR(__xludf.DUMMYFUNCTION("""COMPUTED_VALUE"""),"Marvin Mondia")</f>
        <v>Marvin Mondia</v>
      </c>
      <c r="G822" s="2"/>
      <c r="H822" s="2"/>
      <c r="I822" s="2" t="str">
        <f>IFERROR(__xludf.DUMMYFUNCTION("""COMPUTED_VALUE"""),"ICM_Business_linked_launch")</f>
        <v>ICM_Business_linked_launch</v>
      </c>
      <c r="J822" s="2" t="str">
        <f>IFERROR(__xludf.DUMMYFUNCTION("""COMPUTED_VALUE"""),"uuid:cbfb0272-41fa-406f-830b-3bc8ddceac34")</f>
        <v>uuid:cbfb0272-41fa-406f-830b-3bc8ddceac34</v>
      </c>
    </row>
    <row r="823">
      <c r="A823" s="2" t="str">
        <f>IFERROR(__xludf.DUMMYFUNCTION("""COMPUTED_VALUE"""),"2025-09-22T12:10:14.594Z")</f>
        <v>2025-09-22T12:10:14.594Z</v>
      </c>
      <c r="B823" s="2" t="str">
        <f>IFERROR(__xludf.DUMMYFUNCTION("""COMPUTED_VALUE"""),"2025-09-22T12:04:37.102+08")</f>
        <v>2025-09-22T12:04:37.102+08</v>
      </c>
      <c r="C823" s="2" t="str">
        <f>IFERROR(__xludf.DUMMYFUNCTION("""COMPUTED_VALUE"""),"2025-09-22T12:07:17.653+08")</f>
        <v>2025-09-22T12:07:17.653+08</v>
      </c>
      <c r="D823" s="2" t="str">
        <f>IFERROR(__xludf.DUMMYFUNCTION("""COMPUTED_VALUE"""),"H004306026")</f>
        <v>H004306026</v>
      </c>
      <c r="E823" s="2" t="str">
        <f>IFERROR(__xludf.DUMMYFUNCTION("""COMPUTED_VALUE"""),"S2671943")</f>
        <v>S2671943</v>
      </c>
      <c r="F823" s="2" t="str">
        <f>IFERROR(__xludf.DUMMYFUNCTION("""COMPUTED_VALUE"""),"Marvin Mondia")</f>
        <v>Marvin Mondia</v>
      </c>
      <c r="G823" s="2"/>
      <c r="H823" s="2"/>
      <c r="I823" s="2" t="str">
        <f>IFERROR(__xludf.DUMMYFUNCTION("""COMPUTED_VALUE"""),"ICM_Business_linked_launch")</f>
        <v>ICM_Business_linked_launch</v>
      </c>
      <c r="J823" s="2" t="str">
        <f>IFERROR(__xludf.DUMMYFUNCTION("""COMPUTED_VALUE"""),"uuid:18e74bcf-f73c-4226-9e94-dff61a585acc")</f>
        <v>uuid:18e74bcf-f73c-4226-9e94-dff61a585acc</v>
      </c>
    </row>
    <row r="824">
      <c r="A824" s="2" t="str">
        <f>IFERROR(__xludf.DUMMYFUNCTION("""COMPUTED_VALUE"""),"2025-09-22T12:10:17.638Z")</f>
        <v>2025-09-22T12:10:17.638Z</v>
      </c>
      <c r="B824" s="2" t="str">
        <f>IFERROR(__xludf.DUMMYFUNCTION("""COMPUTED_VALUE"""),"2025-09-22T13:13:38.966+08")</f>
        <v>2025-09-22T13:13:38.966+08</v>
      </c>
      <c r="C824" s="2" t="str">
        <f>IFERROR(__xludf.DUMMYFUNCTION("""COMPUTED_VALUE"""),"2025-09-22T13:20:31.476+08")</f>
        <v>2025-09-22T13:20:31.476+08</v>
      </c>
      <c r="D824" s="2" t="str">
        <f>IFERROR(__xludf.DUMMYFUNCTION("""COMPUTED_VALUE"""),"H004306024")</f>
        <v>H004306024</v>
      </c>
      <c r="E824" s="2" t="str">
        <f>IFERROR(__xludf.DUMMYFUNCTION("""COMPUTED_VALUE"""),"S2671943")</f>
        <v>S2671943</v>
      </c>
      <c r="F824" s="2" t="str">
        <f>IFERROR(__xludf.DUMMYFUNCTION("""COMPUTED_VALUE"""),"Marvin Mondia")</f>
        <v>Marvin Mondia</v>
      </c>
      <c r="G824" s="2"/>
      <c r="H824" s="2"/>
      <c r="I824" s="2" t="str">
        <f>IFERROR(__xludf.DUMMYFUNCTION("""COMPUTED_VALUE"""),"ICM_Business_linked_launch")</f>
        <v>ICM_Business_linked_launch</v>
      </c>
      <c r="J824" s="2" t="str">
        <f>IFERROR(__xludf.DUMMYFUNCTION("""COMPUTED_VALUE"""),"uuid:f4a89b12-f27d-49eb-a159-b5900f3fc1bb")</f>
        <v>uuid:f4a89b12-f27d-49eb-a159-b5900f3fc1bb</v>
      </c>
    </row>
    <row r="825">
      <c r="A825" s="2" t="str">
        <f>IFERROR(__xludf.DUMMYFUNCTION("""COMPUTED_VALUE"""),"2025-09-22T12:10:20.961Z")</f>
        <v>2025-09-22T12:10:20.961Z</v>
      </c>
      <c r="B825" s="2" t="str">
        <f>IFERROR(__xludf.DUMMYFUNCTION("""COMPUTED_VALUE"""),"2025-09-22T15:48:08.694+08")</f>
        <v>2025-09-22T15:48:08.694+08</v>
      </c>
      <c r="C825" s="2" t="str">
        <f>IFERROR(__xludf.DUMMYFUNCTION("""COMPUTED_VALUE"""),"2025-09-22T15:49:57.445+08")</f>
        <v>2025-09-22T15:49:57.445+08</v>
      </c>
      <c r="D825" s="2" t="str">
        <f>IFERROR(__xludf.DUMMYFUNCTION("""COMPUTED_VALUE"""),"H004306029")</f>
        <v>H004306029</v>
      </c>
      <c r="E825" s="2" t="str">
        <f>IFERROR(__xludf.DUMMYFUNCTION("""COMPUTED_VALUE"""),"S2671943")</f>
        <v>S2671943</v>
      </c>
      <c r="F825" s="2" t="str">
        <f>IFERROR(__xludf.DUMMYFUNCTION("""COMPUTED_VALUE"""),"Marvin Mondia")</f>
        <v>Marvin Mondia</v>
      </c>
      <c r="G825" s="2"/>
      <c r="H825" s="2"/>
      <c r="I825" s="2" t="str">
        <f>IFERROR(__xludf.DUMMYFUNCTION("""COMPUTED_VALUE"""),"ICM_Business_linked_launch")</f>
        <v>ICM_Business_linked_launch</v>
      </c>
      <c r="J825" s="2" t="str">
        <f>IFERROR(__xludf.DUMMYFUNCTION("""COMPUTED_VALUE"""),"uuid:8220ab8e-2bf4-44ac-baa2-9defc7f00671")</f>
        <v>uuid:8220ab8e-2bf4-44ac-baa2-9defc7f00671</v>
      </c>
    </row>
    <row r="826">
      <c r="A826" s="2" t="str">
        <f>IFERROR(__xludf.DUMMYFUNCTION("""COMPUTED_VALUE"""),"2025-09-23T09:33:00.948Z")</f>
        <v>2025-09-23T09:33:00.948Z</v>
      </c>
      <c r="B826" s="2" t="str">
        <f>IFERROR(__xludf.DUMMYFUNCTION("""COMPUTED_VALUE"""),"2025-09-23T08:39:35.074+08")</f>
        <v>2025-09-23T08:39:35.074+08</v>
      </c>
      <c r="C826" s="2" t="str">
        <f>IFERROR(__xludf.DUMMYFUNCTION("""COMPUTED_VALUE"""),"2025-09-23T17:26:03.840+08")</f>
        <v>2025-09-23T17:26:03.840+08</v>
      </c>
      <c r="D826" s="2" t="str">
        <f>IFERROR(__xludf.DUMMYFUNCTION("""COMPUTED_VALUE"""),"H004132030")</f>
        <v>H004132030</v>
      </c>
      <c r="E826" s="2">
        <f>IFERROR(__xludf.DUMMYFUNCTION("""COMPUTED_VALUE"""),455939.0)</f>
        <v>455939</v>
      </c>
      <c r="F826" s="2" t="str">
        <f>IFERROR(__xludf.DUMMYFUNCTION("""COMPUTED_VALUE"""),"Mary Jean Villaflor_2")</f>
        <v>Mary Jean Villaflor_2</v>
      </c>
      <c r="G826" s="2"/>
      <c r="H826" s="2"/>
      <c r="I826" s="2" t="str">
        <f>IFERROR(__xludf.DUMMYFUNCTION("""COMPUTED_VALUE"""),"ICM_Business_linked_launch")</f>
        <v>ICM_Business_linked_launch</v>
      </c>
      <c r="J826" s="2" t="str">
        <f>IFERROR(__xludf.DUMMYFUNCTION("""COMPUTED_VALUE"""),"uuid:b89c82f4-ff20-4b06-bbbf-9ce3721ced3b")</f>
        <v>uuid:b89c82f4-ff20-4b06-bbbf-9ce3721ced3b</v>
      </c>
    </row>
    <row r="827">
      <c r="A827" s="2" t="str">
        <f>IFERROR(__xludf.DUMMYFUNCTION("""COMPUTED_VALUE"""),"2025-09-23T09:41:52.290Z")</f>
        <v>2025-09-23T09:41:52.290Z</v>
      </c>
      <c r="B827" s="2" t="str">
        <f>IFERROR(__xludf.DUMMYFUNCTION("""COMPUTED_VALUE"""),"2025-09-23T14:17:02.735+08")</f>
        <v>2025-09-23T14:17:02.735+08</v>
      </c>
      <c r="C827" s="2" t="str">
        <f>IFERROR(__xludf.DUMMYFUNCTION("""COMPUTED_VALUE"""),"2025-09-23T17:41:17.229+08")</f>
        <v>2025-09-23T17:41:17.229+08</v>
      </c>
      <c r="D827" s="2" t="str">
        <f>IFERROR(__xludf.DUMMYFUNCTION("""COMPUTED_VALUE"""),"H004137034")</f>
        <v>H004137034</v>
      </c>
      <c r="E827" s="2">
        <f>IFERROR(__xludf.DUMMYFUNCTION("""COMPUTED_VALUE"""),555127.0)</f>
        <v>555127</v>
      </c>
      <c r="F827" s="2" t="str">
        <f>IFERROR(__xludf.DUMMYFUNCTION("""COMPUTED_VALUE"""),"Mary May_2")</f>
        <v>Mary May_2</v>
      </c>
      <c r="G827" s="2"/>
      <c r="H827" s="2"/>
      <c r="I827" s="2" t="str">
        <f>IFERROR(__xludf.DUMMYFUNCTION("""COMPUTED_VALUE"""),"ICM_Business_linked_launch")</f>
        <v>ICM_Business_linked_launch</v>
      </c>
      <c r="J827" s="2" t="str">
        <f>IFERROR(__xludf.DUMMYFUNCTION("""COMPUTED_VALUE"""),"uuid:8f789d48-60c9-4c15-8184-267984798e38")</f>
        <v>uuid:8f789d48-60c9-4c15-8184-267984798e38</v>
      </c>
    </row>
    <row r="828">
      <c r="A828" s="2" t="str">
        <f>IFERROR(__xludf.DUMMYFUNCTION("""COMPUTED_VALUE"""),"2025-09-23T09:46:18.437Z")</f>
        <v>2025-09-23T09:46:18.437Z</v>
      </c>
      <c r="B828" s="2" t="str">
        <f>IFERROR(__xludf.DUMMYFUNCTION("""COMPUTED_VALUE"""),"2025-09-23T10:28:38.865+08")</f>
        <v>2025-09-23T10:28:38.865+08</v>
      </c>
      <c r="C828" s="2" t="str">
        <f>IFERROR(__xludf.DUMMYFUNCTION("""COMPUTED_VALUE"""),"2025-09-23T10:31:52.319+08")</f>
        <v>2025-09-23T10:31:52.319+08</v>
      </c>
      <c r="D828" s="2" t="str">
        <f>IFERROR(__xludf.DUMMYFUNCTION("""COMPUTED_VALUE"""),"H004306018")</f>
        <v>H004306018</v>
      </c>
      <c r="E828" s="2" t="str">
        <f>IFERROR(__xludf.DUMMYFUNCTION("""COMPUTED_VALUE"""),"S2671943")</f>
        <v>S2671943</v>
      </c>
      <c r="F828" s="2" t="str">
        <f>IFERROR(__xludf.DUMMYFUNCTION("""COMPUTED_VALUE"""),"Marvin Mondia")</f>
        <v>Marvin Mondia</v>
      </c>
      <c r="G828" s="2"/>
      <c r="H828" s="2"/>
      <c r="I828" s="2" t="str">
        <f>IFERROR(__xludf.DUMMYFUNCTION("""COMPUTED_VALUE"""),"ICM_Business_linked_launch")</f>
        <v>ICM_Business_linked_launch</v>
      </c>
      <c r="J828" s="2" t="str">
        <f>IFERROR(__xludf.DUMMYFUNCTION("""COMPUTED_VALUE"""),"uuid:1790a559-2d87-4921-8c4b-343b6d9f721b")</f>
        <v>uuid:1790a559-2d87-4921-8c4b-343b6d9f721b</v>
      </c>
    </row>
    <row r="829">
      <c r="A829" s="2" t="str">
        <f>IFERROR(__xludf.DUMMYFUNCTION("""COMPUTED_VALUE"""),"2025-09-23T09:46:19.536Z")</f>
        <v>2025-09-23T09:46:19.536Z</v>
      </c>
      <c r="B829" s="2" t="str">
        <f>IFERROR(__xludf.DUMMYFUNCTION("""COMPUTED_VALUE"""),"2025-09-23T16:07:26.211+08")</f>
        <v>2025-09-23T16:07:26.211+08</v>
      </c>
      <c r="C829" s="2" t="str">
        <f>IFERROR(__xludf.DUMMYFUNCTION("""COMPUTED_VALUE"""),"2025-09-23T16:36:38.111+08")</f>
        <v>2025-09-23T16:36:38.111+08</v>
      </c>
      <c r="D829" s="2" t="str">
        <f>IFERROR(__xludf.DUMMYFUNCTION("""COMPUTED_VALUE"""),"H004588025")</f>
        <v>H004588025</v>
      </c>
      <c r="E829" s="2" t="str">
        <f>IFERROR(__xludf.DUMMYFUNCTION("""COMPUTED_VALUE"""),"S2671943")</f>
        <v>S2671943</v>
      </c>
      <c r="F829" s="2" t="str">
        <f>IFERROR(__xludf.DUMMYFUNCTION("""COMPUTED_VALUE"""),"Marvin Mondia")</f>
        <v>Marvin Mondia</v>
      </c>
      <c r="G829" s="2"/>
      <c r="H829" s="2"/>
      <c r="I829" s="2" t="str">
        <f>IFERROR(__xludf.DUMMYFUNCTION("""COMPUTED_VALUE"""),"ICM_Business_linked_launch")</f>
        <v>ICM_Business_linked_launch</v>
      </c>
      <c r="J829" s="2" t="str">
        <f>IFERROR(__xludf.DUMMYFUNCTION("""COMPUTED_VALUE"""),"uuid:dbf4af14-05d0-48c3-8427-e9f8b9f3253a")</f>
        <v>uuid:dbf4af14-05d0-48c3-8427-e9f8b9f3253a</v>
      </c>
    </row>
    <row r="830">
      <c r="A830" s="2" t="str">
        <f>IFERROR(__xludf.DUMMYFUNCTION("""COMPUTED_VALUE"""),"2025-09-23T10:03:47.603Z")</f>
        <v>2025-09-23T10:03:47.603Z</v>
      </c>
      <c r="B830" s="2" t="str">
        <f>IFERROR(__xludf.DUMMYFUNCTION("""COMPUTED_VALUE"""),"2025-09-23T10:01:54.916+08")</f>
        <v>2025-09-23T10:01:54.916+08</v>
      </c>
      <c r="C830" s="2" t="str">
        <f>IFERROR(__xludf.DUMMYFUNCTION("""COMPUTED_VALUE"""),"2025-09-23T10:04:52.291+08")</f>
        <v>2025-09-23T10:04:52.291+08</v>
      </c>
      <c r="D830" s="2" t="str">
        <f>IFERROR(__xludf.DUMMYFUNCTION("""COMPUTED_VALUE"""),"H004306019")</f>
        <v>H004306019</v>
      </c>
      <c r="E830" s="2">
        <f>IFERROR(__xludf.DUMMYFUNCTION("""COMPUTED_VALUE"""),729375.0)</f>
        <v>729375</v>
      </c>
      <c r="F830" s="2" t="str">
        <f>IFERROR(__xludf.DUMMYFUNCTION("""COMPUTED_VALUE"""),"Janet Serafica_2")</f>
        <v>Janet Serafica_2</v>
      </c>
      <c r="G830" s="2"/>
      <c r="H830" s="2"/>
      <c r="I830" s="2" t="str">
        <f>IFERROR(__xludf.DUMMYFUNCTION("""COMPUTED_VALUE"""),"ICM_Business_linked_launch")</f>
        <v>ICM_Business_linked_launch</v>
      </c>
      <c r="J830" s="2" t="str">
        <f>IFERROR(__xludf.DUMMYFUNCTION("""COMPUTED_VALUE"""),"uuid:61a63044-954b-49f3-809f-669ed95025b3")</f>
        <v>uuid:61a63044-954b-49f3-809f-669ed95025b3</v>
      </c>
    </row>
    <row r="831">
      <c r="A831" s="2" t="str">
        <f>IFERROR(__xludf.DUMMYFUNCTION("""COMPUTED_VALUE"""),"2025-09-23T10:15:02.757Z")</f>
        <v>2025-09-23T10:15:02.757Z</v>
      </c>
      <c r="B831" s="2" t="str">
        <f>IFERROR(__xludf.DUMMYFUNCTION("""COMPUTED_VALUE"""),"2025-09-23T13:12:30.636+08")</f>
        <v>2025-09-23T13:12:30.636+08</v>
      </c>
      <c r="C831" s="2" t="str">
        <f>IFERROR(__xludf.DUMMYFUNCTION("""COMPUTED_VALUE"""),"2025-09-23T18:09:48.376+08")</f>
        <v>2025-09-23T18:09:48.376+08</v>
      </c>
      <c r="D831" s="2" t="str">
        <f>IFERROR(__xludf.DUMMYFUNCTION("""COMPUTED_VALUE"""),"H030370016")</f>
        <v>H030370016</v>
      </c>
      <c r="E831" s="2" t="str">
        <f>IFERROR(__xludf.DUMMYFUNCTION("""COMPUTED_VALUE"""),"C7502931")</f>
        <v>C7502931</v>
      </c>
      <c r="F831" s="2" t="str">
        <f>IFERROR(__xludf.DUMMYFUNCTION("""COMPUTED_VALUE"""),"Jenny Lou Toles Estacio")</f>
        <v>Jenny Lou Toles Estacio</v>
      </c>
      <c r="G831" s="2"/>
      <c r="H831" s="2"/>
      <c r="I831" s="2" t="str">
        <f>IFERROR(__xludf.DUMMYFUNCTION("""COMPUTED_VALUE"""),"ICM_Business_linked_launch")</f>
        <v>ICM_Business_linked_launch</v>
      </c>
      <c r="J831" s="2" t="str">
        <f>IFERROR(__xludf.DUMMYFUNCTION("""COMPUTED_VALUE"""),"uuid:824d5c05-841a-443c-9677-7c3d4ca37c41")</f>
        <v>uuid:824d5c05-841a-443c-9677-7c3d4ca37c41</v>
      </c>
    </row>
    <row r="832">
      <c r="A832" s="2" t="str">
        <f>IFERROR(__xludf.DUMMYFUNCTION("""COMPUTED_VALUE"""),"2025-09-23T10:15:04.534Z")</f>
        <v>2025-09-23T10:15:04.534Z</v>
      </c>
      <c r="B832" s="2" t="str">
        <f>IFERROR(__xludf.DUMMYFUNCTION("""COMPUTED_VALUE"""),"2025-09-23T10:24:44.007+08")</f>
        <v>2025-09-23T10:24:44.007+08</v>
      </c>
      <c r="C832" s="2" t="str">
        <f>IFERROR(__xludf.DUMMYFUNCTION("""COMPUTED_VALUE"""),"2025-09-23T18:13:35.526+08")</f>
        <v>2025-09-23T18:13:35.526+08</v>
      </c>
      <c r="D832" s="2" t="str">
        <f>IFERROR(__xludf.DUMMYFUNCTION("""COMPUTED_VALUE"""),"H030370026")</f>
        <v>H030370026</v>
      </c>
      <c r="E832" s="2" t="str">
        <f>IFERROR(__xludf.DUMMYFUNCTION("""COMPUTED_VALUE"""),"C7502931")</f>
        <v>C7502931</v>
      </c>
      <c r="F832" s="2" t="str">
        <f>IFERROR(__xludf.DUMMYFUNCTION("""COMPUTED_VALUE"""),"Jenny Lou Toles Estacio")</f>
        <v>Jenny Lou Toles Estacio</v>
      </c>
      <c r="G832" s="2"/>
      <c r="H832" s="2"/>
      <c r="I832" s="2" t="str">
        <f>IFERROR(__xludf.DUMMYFUNCTION("""COMPUTED_VALUE"""),"ICM_Business_linked_launch")</f>
        <v>ICM_Business_linked_launch</v>
      </c>
      <c r="J832" s="2" t="str">
        <f>IFERROR(__xludf.DUMMYFUNCTION("""COMPUTED_VALUE"""),"uuid:56201b0b-0ad5-44af-9990-d7b919f848da")</f>
        <v>uuid:56201b0b-0ad5-44af-9990-d7b919f848da</v>
      </c>
    </row>
    <row r="833">
      <c r="A833" s="2" t="str">
        <f>IFERROR(__xludf.DUMMYFUNCTION("""COMPUTED_VALUE"""),"2025-09-23T10:25:59.397Z")</f>
        <v>2025-09-23T10:25:59.397Z</v>
      </c>
      <c r="B833" s="2" t="str">
        <f>IFERROR(__xludf.DUMMYFUNCTION("""COMPUTED_VALUE"""),"2025-09-23T11:08:59.434+08")</f>
        <v>2025-09-23T11:08:59.434+08</v>
      </c>
      <c r="C833" s="2" t="str">
        <f>IFERROR(__xludf.DUMMYFUNCTION("""COMPUTED_VALUE"""),"2025-09-23T11:36:25.936+08")</f>
        <v>2025-09-23T11:36:25.936+08</v>
      </c>
      <c r="D833" s="2" t="str">
        <f>IFERROR(__xludf.DUMMYFUNCTION("""COMPUTED_VALUE"""),"H006029030")</f>
        <v>H006029030</v>
      </c>
      <c r="E833" s="2" t="str">
        <f>IFERROR(__xludf.DUMMYFUNCTION("""COMPUTED_VALUE"""),"N7814260")</f>
        <v>N7814260</v>
      </c>
      <c r="F833" s="2" t="str">
        <f>IFERROR(__xludf.DUMMYFUNCTION("""COMPUTED_VALUE"""),"Jemma Marie Tillo")</f>
        <v>Jemma Marie Tillo</v>
      </c>
      <c r="G833" s="2"/>
      <c r="H833" s="2"/>
      <c r="I833" s="2" t="str">
        <f>IFERROR(__xludf.DUMMYFUNCTION("""COMPUTED_VALUE"""),"ICM_Business_linked_launch")</f>
        <v>ICM_Business_linked_launch</v>
      </c>
      <c r="J833" s="2" t="str">
        <f>IFERROR(__xludf.DUMMYFUNCTION("""COMPUTED_VALUE"""),"uuid:c17ca497-3da3-4763-b894-879535a921a6")</f>
        <v>uuid:c17ca497-3da3-4763-b894-879535a921a6</v>
      </c>
    </row>
    <row r="834">
      <c r="A834" s="2" t="str">
        <f>IFERROR(__xludf.DUMMYFUNCTION("""COMPUTED_VALUE"""),"2025-09-23T10:26:00.577Z")</f>
        <v>2025-09-23T10:26:00.577Z</v>
      </c>
      <c r="B834" s="2" t="str">
        <f>IFERROR(__xludf.DUMMYFUNCTION("""COMPUTED_VALUE"""),"2025-09-23T10:03:11.196+08")</f>
        <v>2025-09-23T10:03:11.196+08</v>
      </c>
      <c r="C834" s="2" t="str">
        <f>IFERROR(__xludf.DUMMYFUNCTION("""COMPUTED_VALUE"""),"2025-09-23T10:07:42.486+08")</f>
        <v>2025-09-23T10:07:42.486+08</v>
      </c>
      <c r="D834" s="2" t="str">
        <f>IFERROR(__xludf.DUMMYFUNCTION("""COMPUTED_VALUE"""),"H006029019")</f>
        <v>H006029019</v>
      </c>
      <c r="E834" s="2" t="str">
        <f>IFERROR(__xludf.DUMMYFUNCTION("""COMPUTED_VALUE"""),"N7814260")</f>
        <v>N7814260</v>
      </c>
      <c r="F834" s="2" t="str">
        <f>IFERROR(__xludf.DUMMYFUNCTION("""COMPUTED_VALUE"""),"Jemma Marie Tillo")</f>
        <v>Jemma Marie Tillo</v>
      </c>
      <c r="G834" s="2"/>
      <c r="H834" s="2"/>
      <c r="I834" s="2" t="str">
        <f>IFERROR(__xludf.DUMMYFUNCTION("""COMPUTED_VALUE"""),"ICM_Business_linked_launch")</f>
        <v>ICM_Business_linked_launch</v>
      </c>
      <c r="J834" s="2" t="str">
        <f>IFERROR(__xludf.DUMMYFUNCTION("""COMPUTED_VALUE"""),"uuid:e93c1b39-0afe-492e-8d88-9fec353d9a14")</f>
        <v>uuid:e93c1b39-0afe-492e-8d88-9fec353d9a14</v>
      </c>
    </row>
    <row r="835">
      <c r="A835" s="2" t="str">
        <f>IFERROR(__xludf.DUMMYFUNCTION("""COMPUTED_VALUE"""),"2025-09-23T10:28:19.789Z")</f>
        <v>2025-09-23T10:28:19.789Z</v>
      </c>
      <c r="B835" s="2" t="str">
        <f>IFERROR(__xludf.DUMMYFUNCTION("""COMPUTED_VALUE"""),"2025-09-23T10:32:48.214+08")</f>
        <v>2025-09-23T10:32:48.214+08</v>
      </c>
      <c r="C835" s="2" t="str">
        <f>IFERROR(__xludf.DUMMYFUNCTION("""COMPUTED_VALUE"""),"2025-09-23T10:41:03.541+08")</f>
        <v>2025-09-23T10:41:03.541+08</v>
      </c>
      <c r="D835" s="2" t="str">
        <f>IFERROR(__xludf.DUMMYFUNCTION("""COMPUTED_VALUE"""),"H004306033")</f>
        <v>H004306033</v>
      </c>
      <c r="E835" s="2">
        <f>IFERROR(__xludf.DUMMYFUNCTION("""COMPUTED_VALUE"""),859767.0)</f>
        <v>859767</v>
      </c>
      <c r="F835" s="2" t="str">
        <f>IFERROR(__xludf.DUMMYFUNCTION("""COMPUTED_VALUE"""),"Ramie De Pedro Jr._2")</f>
        <v>Ramie De Pedro Jr._2</v>
      </c>
      <c r="G835" s="2"/>
      <c r="H835" s="2"/>
      <c r="I835" s="2" t="str">
        <f>IFERROR(__xludf.DUMMYFUNCTION("""COMPUTED_VALUE"""),"ICM_Business_linked_launch")</f>
        <v>ICM_Business_linked_launch</v>
      </c>
      <c r="J835" s="2" t="str">
        <f>IFERROR(__xludf.DUMMYFUNCTION("""COMPUTED_VALUE"""),"uuid:27ff258d-7195-4ee5-9745-580d192f92e0")</f>
        <v>uuid:27ff258d-7195-4ee5-9745-580d192f92e0</v>
      </c>
    </row>
    <row r="836">
      <c r="A836" s="2" t="str">
        <f>IFERROR(__xludf.DUMMYFUNCTION("""COMPUTED_VALUE"""),"2025-09-23T10:32:20.581Z")</f>
        <v>2025-09-23T10:32:20.581Z</v>
      </c>
      <c r="B836" s="2" t="str">
        <f>IFERROR(__xludf.DUMMYFUNCTION("""COMPUTED_VALUE"""),"2025-09-23T10:27:36.430+08")</f>
        <v>2025-09-23T10:27:36.430+08</v>
      </c>
      <c r="C836" s="2" t="str">
        <f>IFERROR(__xludf.DUMMYFUNCTION("""COMPUTED_VALUE"""),"2025-09-23T10:40:10.551+08")</f>
        <v>2025-09-23T10:40:10.551+08</v>
      </c>
      <c r="D836" s="2" t="str">
        <f>IFERROR(__xludf.DUMMYFUNCTION("""COMPUTED_VALUE"""),"H030470029")</f>
        <v>H030470029</v>
      </c>
      <c r="E836" s="2">
        <f>IFERROR(__xludf.DUMMYFUNCTION("""COMPUTED_VALUE"""),896791.0)</f>
        <v>896791</v>
      </c>
      <c r="F836" s="2" t="str">
        <f>IFERROR(__xludf.DUMMYFUNCTION("""COMPUTED_VALUE"""),"Roland A. Bandiola jr_2")</f>
        <v>Roland A. Bandiola jr_2</v>
      </c>
      <c r="G836" s="2"/>
      <c r="H836" s="2"/>
      <c r="I836" s="2" t="str">
        <f>IFERROR(__xludf.DUMMYFUNCTION("""COMPUTED_VALUE"""),"ICM_Business_linked_launch")</f>
        <v>ICM_Business_linked_launch</v>
      </c>
      <c r="J836" s="2" t="str">
        <f>IFERROR(__xludf.DUMMYFUNCTION("""COMPUTED_VALUE"""),"uuid:d4e3b945-fc5c-4d8e-a26d-af78399c2cbe")</f>
        <v>uuid:d4e3b945-fc5c-4d8e-a26d-af78399c2cbe</v>
      </c>
    </row>
    <row r="837">
      <c r="A837" s="2" t="str">
        <f>IFERROR(__xludf.DUMMYFUNCTION("""COMPUTED_VALUE"""),"2025-09-23T10:32:23.815Z")</f>
        <v>2025-09-23T10:32:23.815Z</v>
      </c>
      <c r="B837" s="2" t="str">
        <f>IFERROR(__xludf.DUMMYFUNCTION("""COMPUTED_VALUE"""),"2025-09-23T12:00:15.390+08")</f>
        <v>2025-09-23T12:00:15.390+08</v>
      </c>
      <c r="C837" s="2" t="str">
        <f>IFERROR(__xludf.DUMMYFUNCTION("""COMPUTED_VALUE"""),"2025-09-23T12:19:05.871+08")</f>
        <v>2025-09-23T12:19:05.871+08</v>
      </c>
      <c r="D837" s="2" t="str">
        <f>IFERROR(__xludf.DUMMYFUNCTION("""COMPUTED_VALUE"""),"H030470030")</f>
        <v>H030470030</v>
      </c>
      <c r="E837" s="2">
        <f>IFERROR(__xludf.DUMMYFUNCTION("""COMPUTED_VALUE"""),896791.0)</f>
        <v>896791</v>
      </c>
      <c r="F837" s="2" t="str">
        <f>IFERROR(__xludf.DUMMYFUNCTION("""COMPUTED_VALUE"""),"Roland A. Bandiola jr_2")</f>
        <v>Roland A. Bandiola jr_2</v>
      </c>
      <c r="G837" s="2"/>
      <c r="H837" s="2"/>
      <c r="I837" s="2" t="str">
        <f>IFERROR(__xludf.DUMMYFUNCTION("""COMPUTED_VALUE"""),"ICM_Business_linked_launch")</f>
        <v>ICM_Business_linked_launch</v>
      </c>
      <c r="J837" s="2" t="str">
        <f>IFERROR(__xludf.DUMMYFUNCTION("""COMPUTED_VALUE"""),"uuid:f8967a90-61ea-46d5-9be3-b7dfb91f7b1d")</f>
        <v>uuid:f8967a90-61ea-46d5-9be3-b7dfb91f7b1d</v>
      </c>
    </row>
    <row r="838">
      <c r="A838" s="2" t="str">
        <f>IFERROR(__xludf.DUMMYFUNCTION("""COMPUTED_VALUE"""),"2025-09-23T10:32:25.159Z")</f>
        <v>2025-09-23T10:32:25.159Z</v>
      </c>
      <c r="B838" s="2" t="str">
        <f>IFERROR(__xludf.DUMMYFUNCTION("""COMPUTED_VALUE"""),"2025-09-23T13:47:20.239+08")</f>
        <v>2025-09-23T13:47:20.239+08</v>
      </c>
      <c r="C838" s="2" t="str">
        <f>IFERROR(__xludf.DUMMYFUNCTION("""COMPUTED_VALUE"""),"2025-09-23T13:55:47.099+08")</f>
        <v>2025-09-23T13:55:47.099+08</v>
      </c>
      <c r="D838" s="2" t="str">
        <f>IFERROR(__xludf.DUMMYFUNCTION("""COMPUTED_VALUE"""),"H030470032")</f>
        <v>H030470032</v>
      </c>
      <c r="E838" s="2">
        <f>IFERROR(__xludf.DUMMYFUNCTION("""COMPUTED_VALUE"""),896791.0)</f>
        <v>896791</v>
      </c>
      <c r="F838" s="2" t="str">
        <f>IFERROR(__xludf.DUMMYFUNCTION("""COMPUTED_VALUE"""),"Roland A. Bandiola jr_2")</f>
        <v>Roland A. Bandiola jr_2</v>
      </c>
      <c r="G838" s="2"/>
      <c r="H838" s="2"/>
      <c r="I838" s="2" t="str">
        <f>IFERROR(__xludf.DUMMYFUNCTION("""COMPUTED_VALUE"""),"ICM_Business_linked_launch")</f>
        <v>ICM_Business_linked_launch</v>
      </c>
      <c r="J838" s="2" t="str">
        <f>IFERROR(__xludf.DUMMYFUNCTION("""COMPUTED_VALUE"""),"uuid:82171ffa-98f5-4091-a5fa-de4b538beb2f")</f>
        <v>uuid:82171ffa-98f5-4091-a5fa-de4b538beb2f</v>
      </c>
    </row>
    <row r="839">
      <c r="A839" s="2" t="str">
        <f>IFERROR(__xludf.DUMMYFUNCTION("""COMPUTED_VALUE"""),"2025-09-23T10:35:04.990Z")</f>
        <v>2025-09-23T10:35:04.990Z</v>
      </c>
      <c r="B839" s="2" t="str">
        <f>IFERROR(__xludf.DUMMYFUNCTION("""COMPUTED_VALUE"""),"2025-09-23T10:02:29.139+08")</f>
        <v>2025-09-23T10:02:29.139+08</v>
      </c>
      <c r="C839" s="2" t="str">
        <f>IFERROR(__xludf.DUMMYFUNCTION("""COMPUTED_VALUE"""),"2025-09-23T10:15:41.045+08")</f>
        <v>2025-09-23T10:15:41.045+08</v>
      </c>
      <c r="D839" s="2" t="str">
        <f>IFERROR(__xludf.DUMMYFUNCTION("""COMPUTED_VALUE"""),"H030396022")</f>
        <v>H030396022</v>
      </c>
      <c r="E839" s="2" t="str">
        <f>IFERROR(__xludf.DUMMYFUNCTION("""COMPUTED_VALUE"""),"G5472901")</f>
        <v>G5472901</v>
      </c>
      <c r="F839" s="2" t="str">
        <f>IFERROR(__xludf.DUMMYFUNCTION("""COMPUTED_VALUE"""),"Wellyn Grace Alaban Parcia")</f>
        <v>Wellyn Grace Alaban Parcia</v>
      </c>
      <c r="G839" s="2"/>
      <c r="H839" s="2"/>
      <c r="I839" s="2" t="str">
        <f>IFERROR(__xludf.DUMMYFUNCTION("""COMPUTED_VALUE"""),"ICM_Business_linked_launch")</f>
        <v>ICM_Business_linked_launch</v>
      </c>
      <c r="J839" s="2" t="str">
        <f>IFERROR(__xludf.DUMMYFUNCTION("""COMPUTED_VALUE"""),"uuid:43233b7f-6872-4253-8ecc-237cab47b223")</f>
        <v>uuid:43233b7f-6872-4253-8ecc-237cab47b223</v>
      </c>
    </row>
    <row r="840">
      <c r="A840" s="2" t="str">
        <f>IFERROR(__xludf.DUMMYFUNCTION("""COMPUTED_VALUE"""),"2025-09-23T10:35:06.125Z")</f>
        <v>2025-09-23T10:35:06.125Z</v>
      </c>
      <c r="B840" s="2" t="str">
        <f>IFERROR(__xludf.DUMMYFUNCTION("""COMPUTED_VALUE"""),"2025-09-23T12:38:50.215+08")</f>
        <v>2025-09-23T12:38:50.215+08</v>
      </c>
      <c r="C840" s="2" t="str">
        <f>IFERROR(__xludf.DUMMYFUNCTION("""COMPUTED_VALUE"""),"2025-09-23T12:44:58.726+08")</f>
        <v>2025-09-23T12:44:58.726+08</v>
      </c>
      <c r="D840" s="2" t="str">
        <f>IFERROR(__xludf.DUMMYFUNCTION("""COMPUTED_VALUE"""),"H030396029")</f>
        <v>H030396029</v>
      </c>
      <c r="E840" s="2" t="str">
        <f>IFERROR(__xludf.DUMMYFUNCTION("""COMPUTED_VALUE"""),"G5472901")</f>
        <v>G5472901</v>
      </c>
      <c r="F840" s="2" t="str">
        <f>IFERROR(__xludf.DUMMYFUNCTION("""COMPUTED_VALUE"""),"Wellyn Grace Alaban Parcia")</f>
        <v>Wellyn Grace Alaban Parcia</v>
      </c>
      <c r="G840" s="2"/>
      <c r="H840" s="2"/>
      <c r="I840" s="2" t="str">
        <f>IFERROR(__xludf.DUMMYFUNCTION("""COMPUTED_VALUE"""),"ICM_Business_linked_launch")</f>
        <v>ICM_Business_linked_launch</v>
      </c>
      <c r="J840" s="2" t="str">
        <f>IFERROR(__xludf.DUMMYFUNCTION("""COMPUTED_VALUE"""),"uuid:adbdec50-99a5-4637-945d-69bde510063a")</f>
        <v>uuid:adbdec50-99a5-4637-945d-69bde510063a</v>
      </c>
    </row>
    <row r="841">
      <c r="A841" s="2" t="str">
        <f>IFERROR(__xludf.DUMMYFUNCTION("""COMPUTED_VALUE"""),"2025-09-23T10:35:07.055Z")</f>
        <v>2025-09-23T10:35:07.055Z</v>
      </c>
      <c r="B841" s="2" t="str">
        <f>IFERROR(__xludf.DUMMYFUNCTION("""COMPUTED_VALUE"""),"2025-09-23T14:53:33.370+08")</f>
        <v>2025-09-23T14:53:33.370+08</v>
      </c>
      <c r="C841" s="2" t="str">
        <f>IFERROR(__xludf.DUMMYFUNCTION("""COMPUTED_VALUE"""),"2025-09-23T14:57:39.159+08")</f>
        <v>2025-09-23T14:57:39.159+08</v>
      </c>
      <c r="D841" s="2" t="str">
        <f>IFERROR(__xludf.DUMMYFUNCTION("""COMPUTED_VALUE"""),"H030396026")</f>
        <v>H030396026</v>
      </c>
      <c r="E841" s="2" t="str">
        <f>IFERROR(__xludf.DUMMYFUNCTION("""COMPUTED_VALUE"""),"G5472901")</f>
        <v>G5472901</v>
      </c>
      <c r="F841" s="2" t="str">
        <f>IFERROR(__xludf.DUMMYFUNCTION("""COMPUTED_VALUE"""),"Wellyn Grace Alaban Parcia")</f>
        <v>Wellyn Grace Alaban Parcia</v>
      </c>
      <c r="G841" s="2"/>
      <c r="H841" s="2"/>
      <c r="I841" s="2" t="str">
        <f>IFERROR(__xludf.DUMMYFUNCTION("""COMPUTED_VALUE"""),"ICM_Business_linked_launch")</f>
        <v>ICM_Business_linked_launch</v>
      </c>
      <c r="J841" s="2" t="str">
        <f>IFERROR(__xludf.DUMMYFUNCTION("""COMPUTED_VALUE"""),"uuid:9d50b922-6938-477d-993a-420efe382136")</f>
        <v>uuid:9d50b922-6938-477d-993a-420efe382136</v>
      </c>
    </row>
    <row r="842">
      <c r="A842" s="2" t="str">
        <f>IFERROR(__xludf.DUMMYFUNCTION("""COMPUTED_VALUE"""),"2025-09-23T10:35:08.341Z")</f>
        <v>2025-09-23T10:35:08.341Z</v>
      </c>
      <c r="B842" s="2" t="str">
        <f>IFERROR(__xludf.DUMMYFUNCTION("""COMPUTED_VALUE"""),"2025-09-23T16:18:07.297+08")</f>
        <v>2025-09-23T16:18:07.297+08</v>
      </c>
      <c r="C842" s="2" t="str">
        <f>IFERROR(__xludf.DUMMYFUNCTION("""COMPUTED_VALUE"""),"2025-09-23T16:27:43.989+08")</f>
        <v>2025-09-23T16:27:43.989+08</v>
      </c>
      <c r="D842" s="2" t="str">
        <f>IFERROR(__xludf.DUMMYFUNCTION("""COMPUTED_VALUE"""),"H030396020")</f>
        <v>H030396020</v>
      </c>
      <c r="E842" s="2" t="str">
        <f>IFERROR(__xludf.DUMMYFUNCTION("""COMPUTED_VALUE"""),"G5472901")</f>
        <v>G5472901</v>
      </c>
      <c r="F842" s="2" t="str">
        <f>IFERROR(__xludf.DUMMYFUNCTION("""COMPUTED_VALUE"""),"Wellyn Grace Alaban Parcia")</f>
        <v>Wellyn Grace Alaban Parcia</v>
      </c>
      <c r="G842" s="2"/>
      <c r="H842" s="2"/>
      <c r="I842" s="2" t="str">
        <f>IFERROR(__xludf.DUMMYFUNCTION("""COMPUTED_VALUE"""),"ICM_Business_linked_launch")</f>
        <v>ICM_Business_linked_launch</v>
      </c>
      <c r="J842" s="2" t="str">
        <f>IFERROR(__xludf.DUMMYFUNCTION("""COMPUTED_VALUE"""),"uuid:e1996ad0-8078-4ceb-85e2-14ca3fdeaf04")</f>
        <v>uuid:e1996ad0-8078-4ceb-85e2-14ca3fdeaf04</v>
      </c>
    </row>
    <row r="843">
      <c r="A843" s="2" t="str">
        <f>IFERROR(__xludf.DUMMYFUNCTION("""COMPUTED_VALUE"""),"2025-09-23T10:36:42.070Z")</f>
        <v>2025-09-23T10:36:42.070Z</v>
      </c>
      <c r="B843" s="2" t="str">
        <f>IFERROR(__xludf.DUMMYFUNCTION("""COMPUTED_VALUE"""),"2025-09-23T10:47:43.058+08")</f>
        <v>2025-09-23T10:47:43.058+08</v>
      </c>
      <c r="C843" s="2" t="str">
        <f>IFERROR(__xludf.DUMMYFUNCTION("""COMPUTED_VALUE"""),"2025-09-23T16:32:04.326+08")</f>
        <v>2025-09-23T16:32:04.326+08</v>
      </c>
      <c r="D843" s="2" t="str">
        <f>IFERROR(__xludf.DUMMYFUNCTION("""COMPUTED_VALUE"""),"H030370017")</f>
        <v>H030370017</v>
      </c>
      <c r="E843" s="2" t="str">
        <f>IFERROR(__xludf.DUMMYFUNCTION("""COMPUTED_VALUE"""),"B8193462")</f>
        <v>B8193462</v>
      </c>
      <c r="F843" s="2" t="str">
        <f>IFERROR(__xludf.DUMMYFUNCTION("""COMPUTED_VALUE"""),"Mark Lorens Mendoza Gilongo")</f>
        <v>Mark Lorens Mendoza Gilongo</v>
      </c>
      <c r="G843" s="2"/>
      <c r="H843" s="2"/>
      <c r="I843" s="2" t="str">
        <f>IFERROR(__xludf.DUMMYFUNCTION("""COMPUTED_VALUE"""),"ICM_Business_linked_launch")</f>
        <v>ICM_Business_linked_launch</v>
      </c>
      <c r="J843" s="2" t="str">
        <f>IFERROR(__xludf.DUMMYFUNCTION("""COMPUTED_VALUE"""),"uuid:edbd003d-f85e-455e-a7c2-a7baf8ef4f96")</f>
        <v>uuid:edbd003d-f85e-455e-a7c2-a7baf8ef4f96</v>
      </c>
    </row>
    <row r="844">
      <c r="A844" s="2" t="str">
        <f>IFERROR(__xludf.DUMMYFUNCTION("""COMPUTED_VALUE"""),"2025-09-23T10:36:43.127Z")</f>
        <v>2025-09-23T10:36:43.127Z</v>
      </c>
      <c r="B844" s="2" t="str">
        <f>IFERROR(__xludf.DUMMYFUNCTION("""COMPUTED_VALUE"""),"2025-09-23T12:21:19.991+08")</f>
        <v>2025-09-23T12:21:19.991+08</v>
      </c>
      <c r="C844" s="2" t="str">
        <f>IFERROR(__xludf.DUMMYFUNCTION("""COMPUTED_VALUE"""),"2025-09-23T16:57:12.226+08")</f>
        <v>2025-09-23T16:57:12.226+08</v>
      </c>
      <c r="D844" s="2" t="str">
        <f>IFERROR(__xludf.DUMMYFUNCTION("""COMPUTED_VALUE"""),"H030370033")</f>
        <v>H030370033</v>
      </c>
      <c r="E844" s="2" t="str">
        <f>IFERROR(__xludf.DUMMYFUNCTION("""COMPUTED_VALUE"""),"B8193462")</f>
        <v>B8193462</v>
      </c>
      <c r="F844" s="2" t="str">
        <f>IFERROR(__xludf.DUMMYFUNCTION("""COMPUTED_VALUE"""),"Mark Lorens Mendoza Gilongo")</f>
        <v>Mark Lorens Mendoza Gilongo</v>
      </c>
      <c r="G844" s="2"/>
      <c r="H844" s="2"/>
      <c r="I844" s="2" t="str">
        <f>IFERROR(__xludf.DUMMYFUNCTION("""COMPUTED_VALUE"""),"ICM_Business_linked_launch")</f>
        <v>ICM_Business_linked_launch</v>
      </c>
      <c r="J844" s="2" t="str">
        <f>IFERROR(__xludf.DUMMYFUNCTION("""COMPUTED_VALUE"""),"uuid:db73089e-d408-4cad-ba74-f4da0aef727e")</f>
        <v>uuid:db73089e-d408-4cad-ba74-f4da0aef727e</v>
      </c>
    </row>
    <row r="845">
      <c r="A845" s="2" t="str">
        <f>IFERROR(__xludf.DUMMYFUNCTION("""COMPUTED_VALUE"""),"2025-09-23T10:36:44.406Z")</f>
        <v>2025-09-23T10:36:44.406Z</v>
      </c>
      <c r="B845" s="2" t="str">
        <f>IFERROR(__xludf.DUMMYFUNCTION("""COMPUTED_VALUE"""),"2025-09-23T13:57:16.511+08")</f>
        <v>2025-09-23T13:57:16.511+08</v>
      </c>
      <c r="C845" s="2" t="str">
        <f>IFERROR(__xludf.DUMMYFUNCTION("""COMPUTED_VALUE"""),"2025-09-23T16:59:57.263+08")</f>
        <v>2025-09-23T16:59:57.263+08</v>
      </c>
      <c r="D845" s="2" t="str">
        <f>IFERROR(__xludf.DUMMYFUNCTION("""COMPUTED_VALUE"""),"H030370030")</f>
        <v>H030370030</v>
      </c>
      <c r="E845" s="2" t="str">
        <f>IFERROR(__xludf.DUMMYFUNCTION("""COMPUTED_VALUE"""),"B8193462")</f>
        <v>B8193462</v>
      </c>
      <c r="F845" s="2" t="str">
        <f>IFERROR(__xludf.DUMMYFUNCTION("""COMPUTED_VALUE"""),"Mark Lorens Mendoza Gilongo")</f>
        <v>Mark Lorens Mendoza Gilongo</v>
      </c>
      <c r="G845" s="2"/>
      <c r="H845" s="2"/>
      <c r="I845" s="2" t="str">
        <f>IFERROR(__xludf.DUMMYFUNCTION("""COMPUTED_VALUE"""),"ICM_Business_linked_launch")</f>
        <v>ICM_Business_linked_launch</v>
      </c>
      <c r="J845" s="2" t="str">
        <f>IFERROR(__xludf.DUMMYFUNCTION("""COMPUTED_VALUE"""),"uuid:7c263d17-d696-4055-8074-14253c8f84b1")</f>
        <v>uuid:7c263d17-d696-4055-8074-14253c8f84b1</v>
      </c>
    </row>
    <row r="846">
      <c r="A846" s="2" t="str">
        <f>IFERROR(__xludf.DUMMYFUNCTION("""COMPUTED_VALUE"""),"2025-09-23T10:41:48.391Z")</f>
        <v>2025-09-23T10:41:48.391Z</v>
      </c>
      <c r="B846" s="2" t="str">
        <f>IFERROR(__xludf.DUMMYFUNCTION("""COMPUTED_VALUE"""),"2025-09-23T13:44:32.451+08")</f>
        <v>2025-09-23T13:44:32.451+08</v>
      </c>
      <c r="C846" s="2" t="str">
        <f>IFERROR(__xludf.DUMMYFUNCTION("""COMPUTED_VALUE"""),"2025-09-23T16:34:14.230+08")</f>
        <v>2025-09-23T16:34:14.230+08</v>
      </c>
      <c r="D846" s="2" t="str">
        <f>IFERROR(__xludf.DUMMYFUNCTION("""COMPUTED_VALUE"""),"H030370029")</f>
        <v>H030370029</v>
      </c>
      <c r="E846" s="2" t="str">
        <f>IFERROR(__xludf.DUMMYFUNCTION("""COMPUTED_VALUE"""),"D1284067")</f>
        <v>D1284067</v>
      </c>
      <c r="F846" s="2" t="str">
        <f>IFERROR(__xludf.DUMMYFUNCTION("""COMPUTED_VALUE"""),"Mariel Del Rio")</f>
        <v>Mariel Del Rio</v>
      </c>
      <c r="G846" s="2"/>
      <c r="H846" s="2"/>
      <c r="I846" s="2" t="str">
        <f>IFERROR(__xludf.DUMMYFUNCTION("""COMPUTED_VALUE"""),"ICM_Business_linked_launch")</f>
        <v>ICM_Business_linked_launch</v>
      </c>
      <c r="J846" s="2" t="str">
        <f>IFERROR(__xludf.DUMMYFUNCTION("""COMPUTED_VALUE"""),"uuid:299e03eb-2a0d-4764-aa49-317cc32f9bdc")</f>
        <v>uuid:299e03eb-2a0d-4764-aa49-317cc32f9bdc</v>
      </c>
    </row>
    <row r="847">
      <c r="A847" s="2" t="str">
        <f>IFERROR(__xludf.DUMMYFUNCTION("""COMPUTED_VALUE"""),"2025-09-23T10:41:49.697Z")</f>
        <v>2025-09-23T10:41:49.697Z</v>
      </c>
      <c r="B847" s="2" t="str">
        <f>IFERROR(__xludf.DUMMYFUNCTION("""COMPUTED_VALUE"""),"2025-09-23T10:26:23.036+08")</f>
        <v>2025-09-23T10:26:23.036+08</v>
      </c>
      <c r="C847" s="2" t="str">
        <f>IFERROR(__xludf.DUMMYFUNCTION("""COMPUTED_VALUE"""),"2025-09-23T16:37:05.738+08")</f>
        <v>2025-09-23T16:37:05.738+08</v>
      </c>
      <c r="D847" s="2" t="str">
        <f>IFERROR(__xludf.DUMMYFUNCTION("""COMPUTED_VALUE"""),"H030370024")</f>
        <v>H030370024</v>
      </c>
      <c r="E847" s="2" t="str">
        <f>IFERROR(__xludf.DUMMYFUNCTION("""COMPUTED_VALUE"""),"D1284067")</f>
        <v>D1284067</v>
      </c>
      <c r="F847" s="2" t="str">
        <f>IFERROR(__xludf.DUMMYFUNCTION("""COMPUTED_VALUE"""),"Mariel Del Rio")</f>
        <v>Mariel Del Rio</v>
      </c>
      <c r="G847" s="2"/>
      <c r="H847" s="2"/>
      <c r="I847" s="2" t="str">
        <f>IFERROR(__xludf.DUMMYFUNCTION("""COMPUTED_VALUE"""),"ICM_Business_linked_launch")</f>
        <v>ICM_Business_linked_launch</v>
      </c>
      <c r="J847" s="2" t="str">
        <f>IFERROR(__xludf.DUMMYFUNCTION("""COMPUTED_VALUE"""),"uuid:29e6dfd3-5fce-46b0-aa53-c2de18f60f07")</f>
        <v>uuid:29e6dfd3-5fce-46b0-aa53-c2de18f60f07</v>
      </c>
    </row>
    <row r="848">
      <c r="A848" s="2" t="str">
        <f>IFERROR(__xludf.DUMMYFUNCTION("""COMPUTED_VALUE"""),"2025-09-23T10:41:50.736Z")</f>
        <v>2025-09-23T10:41:50.736Z</v>
      </c>
      <c r="B848" s="2" t="str">
        <f>IFERROR(__xludf.DUMMYFUNCTION("""COMPUTED_VALUE"""),"2025-09-23T12:24:47.506+08")</f>
        <v>2025-09-23T12:24:47.506+08</v>
      </c>
      <c r="C848" s="2" t="str">
        <f>IFERROR(__xludf.DUMMYFUNCTION("""COMPUTED_VALUE"""),"2025-09-23T16:42:51.648+08")</f>
        <v>2025-09-23T16:42:51.648+08</v>
      </c>
      <c r="D848" s="2" t="str">
        <f>IFERROR(__xludf.DUMMYFUNCTION("""COMPUTED_VALUE"""),"H030370034")</f>
        <v>H030370034</v>
      </c>
      <c r="E848" s="2" t="str">
        <f>IFERROR(__xludf.DUMMYFUNCTION("""COMPUTED_VALUE"""),"D1284067")</f>
        <v>D1284067</v>
      </c>
      <c r="F848" s="2" t="str">
        <f>IFERROR(__xludf.DUMMYFUNCTION("""COMPUTED_VALUE"""),"Mariel Del Rio")</f>
        <v>Mariel Del Rio</v>
      </c>
      <c r="G848" s="2"/>
      <c r="H848" s="2"/>
      <c r="I848" s="2" t="str">
        <f>IFERROR(__xludf.DUMMYFUNCTION("""COMPUTED_VALUE"""),"ICM_Business_linked_launch")</f>
        <v>ICM_Business_linked_launch</v>
      </c>
      <c r="J848" s="2" t="str">
        <f>IFERROR(__xludf.DUMMYFUNCTION("""COMPUTED_VALUE"""),"uuid:2c817743-f2c9-4cc0-a596-1ff050141781")</f>
        <v>uuid:2c817743-f2c9-4cc0-a596-1ff050141781</v>
      </c>
    </row>
    <row r="849">
      <c r="A849" s="2" t="str">
        <f>IFERROR(__xludf.DUMMYFUNCTION("""COMPUTED_VALUE"""),"2025-09-23T10:42:43.210Z")</f>
        <v>2025-09-23T10:42:43.210Z</v>
      </c>
      <c r="B849" s="2" t="str">
        <f>IFERROR(__xludf.DUMMYFUNCTION("""COMPUTED_VALUE"""),"2025-09-23T13:19:08.599+08")</f>
        <v>2025-09-23T13:19:08.599+08</v>
      </c>
      <c r="C849" s="2" t="str">
        <f>IFERROR(__xludf.DUMMYFUNCTION("""COMPUTED_VALUE"""),"2025-09-23T13:23:22.434+08")</f>
        <v>2025-09-23T13:23:22.434+08</v>
      </c>
      <c r="D849" s="2" t="str">
        <f>IFERROR(__xludf.DUMMYFUNCTION("""COMPUTED_VALUE"""),"H004407021")</f>
        <v>H004407021</v>
      </c>
      <c r="E849" s="2">
        <f>IFERROR(__xludf.DUMMYFUNCTION("""COMPUTED_VALUE"""),841329.0)</f>
        <v>841329</v>
      </c>
      <c r="F849" s="2" t="str">
        <f>IFERROR(__xludf.DUMMYFUNCTION("""COMPUTED_VALUE"""),"Aila Eli_2")</f>
        <v>Aila Eli_2</v>
      </c>
      <c r="G849" s="2"/>
      <c r="H849" s="2"/>
      <c r="I849" s="2" t="str">
        <f>IFERROR(__xludf.DUMMYFUNCTION("""COMPUTED_VALUE"""),"ICM_Business_linked_launch")</f>
        <v>ICM_Business_linked_launch</v>
      </c>
      <c r="J849" s="2" t="str">
        <f>IFERROR(__xludf.DUMMYFUNCTION("""COMPUTED_VALUE"""),"uuid:fc13053d-fb15-46f8-8615-f62b1a1599ef")</f>
        <v>uuid:fc13053d-fb15-46f8-8615-f62b1a1599ef</v>
      </c>
    </row>
    <row r="850">
      <c r="A850" s="2" t="str">
        <f>IFERROR(__xludf.DUMMYFUNCTION("""COMPUTED_VALUE"""),"2025-09-23T10:42:43.990Z")</f>
        <v>2025-09-23T10:42:43.990Z</v>
      </c>
      <c r="B850" s="2" t="str">
        <f>IFERROR(__xludf.DUMMYFUNCTION("""COMPUTED_VALUE"""),"2025-09-23T14:21:24.574+08")</f>
        <v>2025-09-23T14:21:24.574+08</v>
      </c>
      <c r="C850" s="2" t="str">
        <f>IFERROR(__xludf.DUMMYFUNCTION("""COMPUTED_VALUE"""),"2025-09-23T14:29:57.303+08")</f>
        <v>2025-09-23T14:29:57.303+08</v>
      </c>
      <c r="D850" s="2" t="str">
        <f>IFERROR(__xludf.DUMMYFUNCTION("""COMPUTED_VALUE"""),"H004407029")</f>
        <v>H004407029</v>
      </c>
      <c r="E850" s="2">
        <f>IFERROR(__xludf.DUMMYFUNCTION("""COMPUTED_VALUE"""),841329.0)</f>
        <v>841329</v>
      </c>
      <c r="F850" s="2" t="str">
        <f>IFERROR(__xludf.DUMMYFUNCTION("""COMPUTED_VALUE"""),"Aila Eli_2")</f>
        <v>Aila Eli_2</v>
      </c>
      <c r="G850" s="2"/>
      <c r="H850" s="2"/>
      <c r="I850" s="2" t="str">
        <f>IFERROR(__xludf.DUMMYFUNCTION("""COMPUTED_VALUE"""),"ICM_Business_linked_launch")</f>
        <v>ICM_Business_linked_launch</v>
      </c>
      <c r="J850" s="2" t="str">
        <f>IFERROR(__xludf.DUMMYFUNCTION("""COMPUTED_VALUE"""),"uuid:e04ba0fd-e41f-435e-b0e9-cc5302d739b9")</f>
        <v>uuid:e04ba0fd-e41f-435e-b0e9-cc5302d739b9</v>
      </c>
    </row>
    <row r="851">
      <c r="A851" s="2" t="str">
        <f>IFERROR(__xludf.DUMMYFUNCTION("""COMPUTED_VALUE"""),"2025-09-23T10:45:06.233Z")</f>
        <v>2025-09-23T10:45:06.233Z</v>
      </c>
      <c r="B851" s="2" t="str">
        <f>IFERROR(__xludf.DUMMYFUNCTION("""COMPUTED_VALUE"""),"2025-09-23T12:19:06.812+08")</f>
        <v>2025-09-23T12:19:06.812+08</v>
      </c>
      <c r="C851" s="2" t="str">
        <f>IFERROR(__xludf.DUMMYFUNCTION("""COMPUTED_VALUE"""),"2025-09-23T12:24:01.848+08")</f>
        <v>2025-09-23T12:24:01.848+08</v>
      </c>
      <c r="D851" s="2" t="str">
        <f>IFERROR(__xludf.DUMMYFUNCTION("""COMPUTED_VALUE"""),"H030396030")</f>
        <v>H030396030</v>
      </c>
      <c r="E851" s="2" t="str">
        <f>IFERROR(__xludf.DUMMYFUNCTION("""COMPUTED_VALUE"""),"H2846135")</f>
        <v>H2846135</v>
      </c>
      <c r="F851" s="2" t="str">
        <f>IFERROR(__xludf.DUMMYFUNCTION("""COMPUTED_VALUE"""),"Annalou Empanado Encontro")</f>
        <v>Annalou Empanado Encontro</v>
      </c>
      <c r="G851" s="2"/>
      <c r="H851" s="2"/>
      <c r="I851" s="2" t="str">
        <f>IFERROR(__xludf.DUMMYFUNCTION("""COMPUTED_VALUE"""),"ICM_Business_linked_launch")</f>
        <v>ICM_Business_linked_launch</v>
      </c>
      <c r="J851" s="2" t="str">
        <f>IFERROR(__xludf.DUMMYFUNCTION("""COMPUTED_VALUE"""),"uuid:fdd91144-145f-49cb-a26a-fe671c66122b")</f>
        <v>uuid:fdd91144-145f-49cb-a26a-fe671c66122b</v>
      </c>
    </row>
    <row r="852">
      <c r="A852" s="2" t="str">
        <f>IFERROR(__xludf.DUMMYFUNCTION("""COMPUTED_VALUE"""),"2025-09-23T10:45:10.197Z")</f>
        <v>2025-09-23T10:45:10.197Z</v>
      </c>
      <c r="B852" s="2" t="str">
        <f>IFERROR(__xludf.DUMMYFUNCTION("""COMPUTED_VALUE"""),"2025-09-23T10:28:21.011+08")</f>
        <v>2025-09-23T10:28:21.011+08</v>
      </c>
      <c r="C852" s="2" t="str">
        <f>IFERROR(__xludf.DUMMYFUNCTION("""COMPUTED_VALUE"""),"2025-09-23T10:33:45.326+08")</f>
        <v>2025-09-23T10:33:45.326+08</v>
      </c>
      <c r="D852" s="2" t="str">
        <f>IFERROR(__xludf.DUMMYFUNCTION("""COMPUTED_VALUE"""),"H030396018")</f>
        <v>H030396018</v>
      </c>
      <c r="E852" s="2" t="str">
        <f>IFERROR(__xludf.DUMMYFUNCTION("""COMPUTED_VALUE"""),"H2846135")</f>
        <v>H2846135</v>
      </c>
      <c r="F852" s="2" t="str">
        <f>IFERROR(__xludf.DUMMYFUNCTION("""COMPUTED_VALUE"""),"Annalou Empanado Encontro")</f>
        <v>Annalou Empanado Encontro</v>
      </c>
      <c r="G852" s="2"/>
      <c r="H852" s="2"/>
      <c r="I852" s="2" t="str">
        <f>IFERROR(__xludf.DUMMYFUNCTION("""COMPUTED_VALUE"""),"ICM_Business_linked_launch")</f>
        <v>ICM_Business_linked_launch</v>
      </c>
      <c r="J852" s="2" t="str">
        <f>IFERROR(__xludf.DUMMYFUNCTION("""COMPUTED_VALUE"""),"uuid:075f0afd-f93e-4d0a-8d57-6d64c77c7134")</f>
        <v>uuid:075f0afd-f93e-4d0a-8d57-6d64c77c7134</v>
      </c>
    </row>
    <row r="853">
      <c r="A853" s="2" t="str">
        <f>IFERROR(__xludf.DUMMYFUNCTION("""COMPUTED_VALUE"""),"2025-09-23T10:45:11.282Z")</f>
        <v>2025-09-23T10:45:11.282Z</v>
      </c>
      <c r="B853" s="2" t="str">
        <f>IFERROR(__xludf.DUMMYFUNCTION("""COMPUTED_VALUE"""),"2025-09-23T14:57:53.513+08")</f>
        <v>2025-09-23T14:57:53.513+08</v>
      </c>
      <c r="C853" s="2" t="str">
        <f>IFERROR(__xludf.DUMMYFUNCTION("""COMPUTED_VALUE"""),"2025-09-23T15:02:14.826+08")</f>
        <v>2025-09-23T15:02:14.826+08</v>
      </c>
      <c r="D853" s="2" t="str">
        <f>IFERROR(__xludf.DUMMYFUNCTION("""COMPUTED_VALUE"""),"H030396042")</f>
        <v>H030396042</v>
      </c>
      <c r="E853" s="2" t="str">
        <f>IFERROR(__xludf.DUMMYFUNCTION("""COMPUTED_VALUE"""),"H2846135")</f>
        <v>H2846135</v>
      </c>
      <c r="F853" s="2" t="str">
        <f>IFERROR(__xludf.DUMMYFUNCTION("""COMPUTED_VALUE"""),"Annalou Empanado Encontro")</f>
        <v>Annalou Empanado Encontro</v>
      </c>
      <c r="G853" s="2"/>
      <c r="H853" s="2"/>
      <c r="I853" s="2" t="str">
        <f>IFERROR(__xludf.DUMMYFUNCTION("""COMPUTED_VALUE"""),"ICM_Business_linked_launch")</f>
        <v>ICM_Business_linked_launch</v>
      </c>
      <c r="J853" s="2" t="str">
        <f>IFERROR(__xludf.DUMMYFUNCTION("""COMPUTED_VALUE"""),"uuid:ed3339bb-6448-4b52-928e-7a3154294724")</f>
        <v>uuid:ed3339bb-6448-4b52-928e-7a3154294724</v>
      </c>
    </row>
    <row r="854">
      <c r="A854" s="2" t="str">
        <f>IFERROR(__xludf.DUMMYFUNCTION("""COMPUTED_VALUE"""),"2025-09-23T11:18:06.113Z")</f>
        <v>2025-09-23T11:18:06.113Z</v>
      </c>
      <c r="B854" s="2" t="str">
        <f>IFERROR(__xludf.DUMMYFUNCTION("""COMPUTED_VALUE"""),"2025-09-23T16:42:27.853+08")</f>
        <v>2025-09-23T16:42:27.853+08</v>
      </c>
      <c r="C854" s="2" t="str">
        <f>IFERROR(__xludf.DUMMYFUNCTION("""COMPUTED_VALUE"""),"2025-09-23T16:44:11.775+08")</f>
        <v>2025-09-23T16:44:11.775+08</v>
      </c>
      <c r="D854" s="2" t="str">
        <f>IFERROR(__xludf.DUMMYFUNCTION("""COMPUTED_VALUE"""),"H006817031")</f>
        <v>H006817031</v>
      </c>
      <c r="E854" s="2" t="str">
        <f>IFERROR(__xludf.DUMMYFUNCTION("""COMPUTED_VALUE"""),"L2057896")</f>
        <v>L2057896</v>
      </c>
      <c r="F854" s="2" t="str">
        <f>IFERROR(__xludf.DUMMYFUNCTION("""COMPUTED_VALUE"""),"Franz Reoben Posadas Geneblaza")</f>
        <v>Franz Reoben Posadas Geneblaza</v>
      </c>
      <c r="G854" s="2"/>
      <c r="H854" s="2"/>
      <c r="I854" s="2" t="str">
        <f>IFERROR(__xludf.DUMMYFUNCTION("""COMPUTED_VALUE"""),"ICM_Business_linked_launch")</f>
        <v>ICM_Business_linked_launch</v>
      </c>
      <c r="J854" s="2" t="str">
        <f>IFERROR(__xludf.DUMMYFUNCTION("""COMPUTED_VALUE"""),"uuid:3302a82e-7afa-4344-bb24-bfc5dbaeb3ae")</f>
        <v>uuid:3302a82e-7afa-4344-bb24-bfc5dbaeb3ae</v>
      </c>
    </row>
    <row r="855">
      <c r="A855" s="2" t="str">
        <f>IFERROR(__xludf.DUMMYFUNCTION("""COMPUTED_VALUE"""),"2025-09-23T11:24:02.911Z")</f>
        <v>2025-09-23T11:24:02.911Z</v>
      </c>
      <c r="B855" s="2" t="str">
        <f>IFERROR(__xludf.DUMMYFUNCTION("""COMPUTED_VALUE"""),"2025-09-23T08:24:17.707+08")</f>
        <v>2025-09-23T08:24:17.707+08</v>
      </c>
      <c r="C855" s="2" t="str">
        <f>IFERROR(__xludf.DUMMYFUNCTION("""COMPUTED_VALUE"""),"2025-09-23T19:20:54.462+08")</f>
        <v>2025-09-23T19:20:54.462+08</v>
      </c>
      <c r="D855" s="2" t="str">
        <f>IFERROR(__xludf.DUMMYFUNCTION("""COMPUTED_VALUE"""),"H006510016")</f>
        <v>H006510016</v>
      </c>
      <c r="E855" s="2" t="str">
        <f>IFERROR(__xludf.DUMMYFUNCTION("""COMPUTED_VALUE"""),"K8623174")</f>
        <v>K8623174</v>
      </c>
      <c r="F855" s="2" t="str">
        <f>IFERROR(__xludf.DUMMYFUNCTION("""COMPUTED_VALUE"""),"Marielle Kaye Ignacio Alonzo")</f>
        <v>Marielle Kaye Ignacio Alonzo</v>
      </c>
      <c r="G855" s="2"/>
      <c r="H855" s="2"/>
      <c r="I855" s="2" t="str">
        <f>IFERROR(__xludf.DUMMYFUNCTION("""COMPUTED_VALUE"""),"ICM_Business_linked_launch")</f>
        <v>ICM_Business_linked_launch</v>
      </c>
      <c r="J855" s="2" t="str">
        <f>IFERROR(__xludf.DUMMYFUNCTION("""COMPUTED_VALUE"""),"uuid:db330700-6233-42ae-9c5f-6222bdf16d0b")</f>
        <v>uuid:db330700-6233-42ae-9c5f-6222bdf16d0b</v>
      </c>
    </row>
    <row r="856">
      <c r="A856" s="2" t="str">
        <f>IFERROR(__xludf.DUMMYFUNCTION("""COMPUTED_VALUE"""),"2025-09-24T08:56:49.577Z")</f>
        <v>2025-09-24T08:56:49.577Z</v>
      </c>
      <c r="B856" s="2" t="str">
        <f>IFERROR(__xludf.DUMMYFUNCTION("""COMPUTED_VALUE"""),"2025-09-24T09:29:01.365+08")</f>
        <v>2025-09-24T09:29:01.365+08</v>
      </c>
      <c r="C856" s="2" t="str">
        <f>IFERROR(__xludf.DUMMYFUNCTION("""COMPUTED_VALUE"""),"2025-09-24T09:34:20.017+08")</f>
        <v>2025-09-24T09:34:20.017+08</v>
      </c>
      <c r="D856" s="2" t="str">
        <f>IFERROR(__xludf.DUMMYFUNCTION("""COMPUTED_VALUE"""),"H004579024")</f>
        <v>H004579024</v>
      </c>
      <c r="E856" s="2">
        <f>IFERROR(__xludf.DUMMYFUNCTION("""COMPUTED_VALUE"""),729375.0)</f>
        <v>729375</v>
      </c>
      <c r="F856" s="2" t="str">
        <f>IFERROR(__xludf.DUMMYFUNCTION("""COMPUTED_VALUE"""),"Janet Serafica_2")</f>
        <v>Janet Serafica_2</v>
      </c>
      <c r="G856" s="2"/>
      <c r="H856" s="2"/>
      <c r="I856" s="2" t="str">
        <f>IFERROR(__xludf.DUMMYFUNCTION("""COMPUTED_VALUE"""),"ICM_Business_linked_launch")</f>
        <v>ICM_Business_linked_launch</v>
      </c>
      <c r="J856" s="2" t="str">
        <f>IFERROR(__xludf.DUMMYFUNCTION("""COMPUTED_VALUE"""),"uuid:6df2c48f-bba3-4d62-8740-8fdc74f7fa37")</f>
        <v>uuid:6df2c48f-bba3-4d62-8740-8fdc74f7fa37</v>
      </c>
    </row>
    <row r="857">
      <c r="A857" s="2" t="str">
        <f>IFERROR(__xludf.DUMMYFUNCTION("""COMPUTED_VALUE"""),"2025-09-24T08:56:56.455Z")</f>
        <v>2025-09-24T08:56:56.455Z</v>
      </c>
      <c r="B857" s="2" t="str">
        <f>IFERROR(__xludf.DUMMYFUNCTION("""COMPUTED_VALUE"""),"2025-09-24T11:10:28.819+08")</f>
        <v>2025-09-24T11:10:28.819+08</v>
      </c>
      <c r="C857" s="2" t="str">
        <f>IFERROR(__xludf.DUMMYFUNCTION("""COMPUTED_VALUE"""),"2025-09-24T11:13:39.845+08")</f>
        <v>2025-09-24T11:13:39.845+08</v>
      </c>
      <c r="D857" s="2" t="str">
        <f>IFERROR(__xludf.DUMMYFUNCTION("""COMPUTED_VALUE"""),"H004579022")</f>
        <v>H004579022</v>
      </c>
      <c r="E857" s="2">
        <f>IFERROR(__xludf.DUMMYFUNCTION("""COMPUTED_VALUE"""),729375.0)</f>
        <v>729375</v>
      </c>
      <c r="F857" s="2" t="str">
        <f>IFERROR(__xludf.DUMMYFUNCTION("""COMPUTED_VALUE"""),"Janet Serafica_2")</f>
        <v>Janet Serafica_2</v>
      </c>
      <c r="G857" s="2"/>
      <c r="H857" s="2"/>
      <c r="I857" s="2" t="str">
        <f>IFERROR(__xludf.DUMMYFUNCTION("""COMPUTED_VALUE"""),"ICM_Business_linked_launch")</f>
        <v>ICM_Business_linked_launch</v>
      </c>
      <c r="J857" s="2" t="str">
        <f>IFERROR(__xludf.DUMMYFUNCTION("""COMPUTED_VALUE"""),"uuid:63af02cf-a453-40a5-b825-5affffe070c0")</f>
        <v>uuid:63af02cf-a453-40a5-b825-5affffe070c0</v>
      </c>
    </row>
    <row r="858">
      <c r="A858" s="2" t="str">
        <f>IFERROR(__xludf.DUMMYFUNCTION("""COMPUTED_VALUE"""),"2025-09-24T08:57:06.302Z")</f>
        <v>2025-09-24T08:57:06.302Z</v>
      </c>
      <c r="B858" s="2" t="str">
        <f>IFERROR(__xludf.DUMMYFUNCTION("""COMPUTED_VALUE"""),"2025-09-24T12:08:07.156+08")</f>
        <v>2025-09-24T12:08:07.156+08</v>
      </c>
      <c r="C858" s="2" t="str">
        <f>IFERROR(__xludf.DUMMYFUNCTION("""COMPUTED_VALUE"""),"2025-09-24T12:11:47.709+08")</f>
        <v>2025-09-24T12:11:47.709+08</v>
      </c>
      <c r="D858" s="2" t="str">
        <f>IFERROR(__xludf.DUMMYFUNCTION("""COMPUTED_VALUE"""),"H004579027")</f>
        <v>H004579027</v>
      </c>
      <c r="E858" s="2">
        <f>IFERROR(__xludf.DUMMYFUNCTION("""COMPUTED_VALUE"""),729375.0)</f>
        <v>729375</v>
      </c>
      <c r="F858" s="2" t="str">
        <f>IFERROR(__xludf.DUMMYFUNCTION("""COMPUTED_VALUE"""),"Janet Serafica_2")</f>
        <v>Janet Serafica_2</v>
      </c>
      <c r="G858" s="2"/>
      <c r="H858" s="2"/>
      <c r="I858" s="2" t="str">
        <f>IFERROR(__xludf.DUMMYFUNCTION("""COMPUTED_VALUE"""),"ICM_Business_linked_launch")</f>
        <v>ICM_Business_linked_launch</v>
      </c>
      <c r="J858" s="2" t="str">
        <f>IFERROR(__xludf.DUMMYFUNCTION("""COMPUTED_VALUE"""),"uuid:bafac616-337d-4298-8119-53f46ad40f48")</f>
        <v>uuid:bafac616-337d-4298-8119-53f46ad40f48</v>
      </c>
    </row>
    <row r="859">
      <c r="A859" s="2" t="str">
        <f>IFERROR(__xludf.DUMMYFUNCTION("""COMPUTED_VALUE"""),"2025-09-24T08:57:22.593Z")</f>
        <v>2025-09-24T08:57:22.593Z</v>
      </c>
      <c r="B859" s="2" t="str">
        <f>IFERROR(__xludf.DUMMYFUNCTION("""COMPUTED_VALUE"""),"2025-09-24T13:50:48.928+08")</f>
        <v>2025-09-24T13:50:48.928+08</v>
      </c>
      <c r="C859" s="2" t="str">
        <f>IFERROR(__xludf.DUMMYFUNCTION("""COMPUTED_VALUE"""),"2025-09-24T13:58:47.367+08")</f>
        <v>2025-09-24T13:58:47.367+08</v>
      </c>
      <c r="D859" s="2" t="str">
        <f>IFERROR(__xludf.DUMMYFUNCTION("""COMPUTED_VALUE"""),"H004579029")</f>
        <v>H004579029</v>
      </c>
      <c r="E859" s="2">
        <f>IFERROR(__xludf.DUMMYFUNCTION("""COMPUTED_VALUE"""),729375.0)</f>
        <v>729375</v>
      </c>
      <c r="F859" s="2" t="str">
        <f>IFERROR(__xludf.DUMMYFUNCTION("""COMPUTED_VALUE"""),"Janet Serafica_2")</f>
        <v>Janet Serafica_2</v>
      </c>
      <c r="G859" s="2"/>
      <c r="H859" s="2"/>
      <c r="I859" s="2" t="str">
        <f>IFERROR(__xludf.DUMMYFUNCTION("""COMPUTED_VALUE"""),"ICM_Business_linked_launch")</f>
        <v>ICM_Business_linked_launch</v>
      </c>
      <c r="J859" s="2" t="str">
        <f>IFERROR(__xludf.DUMMYFUNCTION("""COMPUTED_VALUE"""),"uuid:ae05c458-7c79-439f-a80e-ad8fab53450b")</f>
        <v>uuid:ae05c458-7c79-439f-a80e-ad8fab53450b</v>
      </c>
    </row>
    <row r="860">
      <c r="A860" s="2" t="str">
        <f>IFERROR(__xludf.DUMMYFUNCTION("""COMPUTED_VALUE"""),"2025-09-24T08:57:28.434Z")</f>
        <v>2025-09-24T08:57:28.434Z</v>
      </c>
      <c r="B860" s="2" t="str">
        <f>IFERROR(__xludf.DUMMYFUNCTION("""COMPUTED_VALUE"""),"2025-09-24T14:12:19.646+08")</f>
        <v>2025-09-24T14:12:19.646+08</v>
      </c>
      <c r="C860" s="2" t="str">
        <f>IFERROR(__xludf.DUMMYFUNCTION("""COMPUTED_VALUE"""),"2025-09-24T14:23:36.928+08")</f>
        <v>2025-09-24T14:23:36.928+08</v>
      </c>
      <c r="D860" s="2" t="str">
        <f>IFERROR(__xludf.DUMMYFUNCTION("""COMPUTED_VALUE"""),"H004579016")</f>
        <v>H004579016</v>
      </c>
      <c r="E860" s="2">
        <f>IFERROR(__xludf.DUMMYFUNCTION("""COMPUTED_VALUE"""),729375.0)</f>
        <v>729375</v>
      </c>
      <c r="F860" s="2" t="str">
        <f>IFERROR(__xludf.DUMMYFUNCTION("""COMPUTED_VALUE"""),"Janet Serafica_2")</f>
        <v>Janet Serafica_2</v>
      </c>
      <c r="G860" s="2"/>
      <c r="H860" s="2"/>
      <c r="I860" s="2" t="str">
        <f>IFERROR(__xludf.DUMMYFUNCTION("""COMPUTED_VALUE"""),"ICM_Business_linked_launch")</f>
        <v>ICM_Business_linked_launch</v>
      </c>
      <c r="J860" s="2" t="str">
        <f>IFERROR(__xludf.DUMMYFUNCTION("""COMPUTED_VALUE"""),"uuid:4f7c7d1a-6d7f-4abc-9802-662538cae95c")</f>
        <v>uuid:4f7c7d1a-6d7f-4abc-9802-662538cae95c</v>
      </c>
    </row>
    <row r="861">
      <c r="A861" s="2" t="str">
        <f>IFERROR(__xludf.DUMMYFUNCTION("""COMPUTED_VALUE"""),"2025-09-24T09:04:59.213Z")</f>
        <v>2025-09-24T09:04:59.213Z</v>
      </c>
      <c r="B861" s="2" t="str">
        <f>IFERROR(__xludf.DUMMYFUNCTION("""COMPUTED_VALUE"""),"2025-09-24T14:58:56.172+08")</f>
        <v>2025-09-24T14:58:56.172+08</v>
      </c>
      <c r="C861" s="2" t="str">
        <f>IFERROR(__xludf.DUMMYFUNCTION("""COMPUTED_VALUE"""),"2025-09-24T15:04:16.045+08")</f>
        <v>2025-09-24T15:04:16.045+08</v>
      </c>
      <c r="D861" s="2" t="str">
        <f>IFERROR(__xludf.DUMMYFUNCTION("""COMPUTED_VALUE"""),"H004042018")</f>
        <v>H004042018</v>
      </c>
      <c r="E861" s="2">
        <f>IFERROR(__xludf.DUMMYFUNCTION("""COMPUTED_VALUE"""),841329.0)</f>
        <v>841329</v>
      </c>
      <c r="F861" s="2" t="str">
        <f>IFERROR(__xludf.DUMMYFUNCTION("""COMPUTED_VALUE"""),"Aila Eli_2")</f>
        <v>Aila Eli_2</v>
      </c>
      <c r="G861" s="2"/>
      <c r="H861" s="2"/>
      <c r="I861" s="2" t="str">
        <f>IFERROR(__xludf.DUMMYFUNCTION("""COMPUTED_VALUE"""),"ICM_Business_linked_launch")</f>
        <v>ICM_Business_linked_launch</v>
      </c>
      <c r="J861" s="2" t="str">
        <f>IFERROR(__xludf.DUMMYFUNCTION("""COMPUTED_VALUE"""),"uuid:facc1194-1cbc-49c9-996c-5cffd46ed5cc")</f>
        <v>uuid:facc1194-1cbc-49c9-996c-5cffd46ed5cc</v>
      </c>
    </row>
    <row r="862">
      <c r="A862" s="2" t="str">
        <f>IFERROR(__xludf.DUMMYFUNCTION("""COMPUTED_VALUE"""),"2025-09-24T09:56:23.914Z")</f>
        <v>2025-09-24T09:56:23.914Z</v>
      </c>
      <c r="B862" s="2" t="str">
        <f>IFERROR(__xludf.DUMMYFUNCTION("""COMPUTED_VALUE"""),"2025-09-24T11:08:57.439+08")</f>
        <v>2025-09-24T11:08:57.439+08</v>
      </c>
      <c r="C862" s="2" t="str">
        <f>IFERROR(__xludf.DUMMYFUNCTION("""COMPUTED_VALUE"""),"2025-09-24T11:12:34.625+08")</f>
        <v>2025-09-24T11:12:34.625+08</v>
      </c>
      <c r="D862" s="2" t="str">
        <f>IFERROR(__xludf.DUMMYFUNCTION("""COMPUTED_VALUE"""),"H019277019")</f>
        <v>H019277019</v>
      </c>
      <c r="E862" s="2">
        <f>IFERROR(__xludf.DUMMYFUNCTION("""COMPUTED_VALUE"""),555127.0)</f>
        <v>555127</v>
      </c>
      <c r="F862" s="2" t="str">
        <f>IFERROR(__xludf.DUMMYFUNCTION("""COMPUTED_VALUE"""),"Mary May_2")</f>
        <v>Mary May_2</v>
      </c>
      <c r="G862" s="2"/>
      <c r="H862" s="2"/>
      <c r="I862" s="2" t="str">
        <f>IFERROR(__xludf.DUMMYFUNCTION("""COMPUTED_VALUE"""),"ICM_Business_linked_launch")</f>
        <v>ICM_Business_linked_launch</v>
      </c>
      <c r="J862" s="2" t="str">
        <f>IFERROR(__xludf.DUMMYFUNCTION("""COMPUTED_VALUE"""),"uuid:36edb3df-dd96-4d3e-bd06-e40d0f2e077c")</f>
        <v>uuid:36edb3df-dd96-4d3e-bd06-e40d0f2e077c</v>
      </c>
    </row>
    <row r="863">
      <c r="A863" s="2" t="str">
        <f>IFERROR(__xludf.DUMMYFUNCTION("""COMPUTED_VALUE"""),"2025-09-24T09:57:43.052Z")</f>
        <v>2025-09-24T09:57:43.052Z</v>
      </c>
      <c r="B863" s="2" t="str">
        <f>IFERROR(__xludf.DUMMYFUNCTION("""COMPUTED_VALUE"""),"2025-09-24T10:49:16.631+08")</f>
        <v>2025-09-24T10:49:16.631+08</v>
      </c>
      <c r="C863" s="2" t="str">
        <f>IFERROR(__xludf.DUMMYFUNCTION("""COMPUTED_VALUE"""),"2025-09-24T10:50:44.873+08")</f>
        <v>2025-09-24T10:50:44.873+08</v>
      </c>
      <c r="D863" s="2" t="str">
        <f>IFERROR(__xludf.DUMMYFUNCTION("""COMPUTED_VALUE"""),"H019412028")</f>
        <v>H019412028</v>
      </c>
      <c r="E863" s="2" t="str">
        <f>IFERROR(__xludf.DUMMYFUNCTION("""COMPUTED_VALUE"""),"S2671943")</f>
        <v>S2671943</v>
      </c>
      <c r="F863" s="2" t="str">
        <f>IFERROR(__xludf.DUMMYFUNCTION("""COMPUTED_VALUE"""),"Marvin Mondia")</f>
        <v>Marvin Mondia</v>
      </c>
      <c r="G863" s="2"/>
      <c r="H863" s="2"/>
      <c r="I863" s="2" t="str">
        <f>IFERROR(__xludf.DUMMYFUNCTION("""COMPUTED_VALUE"""),"ICM_Business_linked_launch")</f>
        <v>ICM_Business_linked_launch</v>
      </c>
      <c r="J863" s="2" t="str">
        <f>IFERROR(__xludf.DUMMYFUNCTION("""COMPUTED_VALUE"""),"uuid:46dde205-fd74-4721-af66-ea1d5007becf")</f>
        <v>uuid:46dde205-fd74-4721-af66-ea1d5007becf</v>
      </c>
    </row>
    <row r="864">
      <c r="A864" s="2" t="str">
        <f>IFERROR(__xludf.DUMMYFUNCTION("""COMPUTED_VALUE"""),"2025-09-24T09:57:44.999Z")</f>
        <v>2025-09-24T09:57:44.999Z</v>
      </c>
      <c r="B864" s="2" t="str">
        <f>IFERROR(__xludf.DUMMYFUNCTION("""COMPUTED_VALUE"""),"2025-09-24T11:51:33.741+08")</f>
        <v>2025-09-24T11:51:33.741+08</v>
      </c>
      <c r="C864" s="2" t="str">
        <f>IFERROR(__xludf.DUMMYFUNCTION("""COMPUTED_VALUE"""),"2025-09-24T11:56:39.454+08")</f>
        <v>2025-09-24T11:56:39.454+08</v>
      </c>
      <c r="D864" s="2" t="str">
        <f>IFERROR(__xludf.DUMMYFUNCTION("""COMPUTED_VALUE"""),"H019412022")</f>
        <v>H019412022</v>
      </c>
      <c r="E864" s="2" t="str">
        <f>IFERROR(__xludf.DUMMYFUNCTION("""COMPUTED_VALUE"""),"S2671943")</f>
        <v>S2671943</v>
      </c>
      <c r="F864" s="2" t="str">
        <f>IFERROR(__xludf.DUMMYFUNCTION("""COMPUTED_VALUE"""),"Marvin Mondia")</f>
        <v>Marvin Mondia</v>
      </c>
      <c r="G864" s="2"/>
      <c r="H864" s="2"/>
      <c r="I864" s="2" t="str">
        <f>IFERROR(__xludf.DUMMYFUNCTION("""COMPUTED_VALUE"""),"ICM_Business_linked_launch")</f>
        <v>ICM_Business_linked_launch</v>
      </c>
      <c r="J864" s="2" t="str">
        <f>IFERROR(__xludf.DUMMYFUNCTION("""COMPUTED_VALUE"""),"uuid:14978c34-f0a2-4eaf-a2f3-d59b08339611")</f>
        <v>uuid:14978c34-f0a2-4eaf-a2f3-d59b08339611</v>
      </c>
    </row>
    <row r="865">
      <c r="A865" s="2" t="str">
        <f>IFERROR(__xludf.DUMMYFUNCTION("""COMPUTED_VALUE"""),"2025-09-24T10:44:18.753Z")</f>
        <v>2025-09-24T10:44:18.753Z</v>
      </c>
      <c r="B865" s="2" t="str">
        <f>IFERROR(__xludf.DUMMYFUNCTION("""COMPUTED_VALUE"""),"2025-09-24T14:37:54.009+08")</f>
        <v>2025-09-24T14:37:54.009+08</v>
      </c>
      <c r="C865" s="2" t="str">
        <f>IFERROR(__xludf.DUMMYFUNCTION("""COMPUTED_VALUE"""),"2025-09-24T16:43:30.957+08")</f>
        <v>2025-09-24T16:43:30.957+08</v>
      </c>
      <c r="D865" s="2" t="str">
        <f>IFERROR(__xludf.DUMMYFUNCTION("""COMPUTED_VALUE"""),"H004344017")</f>
        <v>H004344017</v>
      </c>
      <c r="E865" s="2">
        <f>IFERROR(__xludf.DUMMYFUNCTION("""COMPUTED_VALUE"""),859767.0)</f>
        <v>859767</v>
      </c>
      <c r="F865" s="2" t="str">
        <f>IFERROR(__xludf.DUMMYFUNCTION("""COMPUTED_VALUE"""),"Ramie De Pedro Jr._2")</f>
        <v>Ramie De Pedro Jr._2</v>
      </c>
      <c r="G865" s="2"/>
      <c r="H865" s="2"/>
      <c r="I865" s="2" t="str">
        <f>IFERROR(__xludf.DUMMYFUNCTION("""COMPUTED_VALUE"""),"ICM_Business_linked_launch")</f>
        <v>ICM_Business_linked_launch</v>
      </c>
      <c r="J865" s="2" t="str">
        <f>IFERROR(__xludf.DUMMYFUNCTION("""COMPUTED_VALUE"""),"uuid:3ed34af7-02fb-4364-92dc-9b775fe073c0")</f>
        <v>uuid:3ed34af7-02fb-4364-92dc-9b775fe073c0</v>
      </c>
    </row>
    <row r="866">
      <c r="A866" s="2" t="str">
        <f>IFERROR(__xludf.DUMMYFUNCTION("""COMPUTED_VALUE"""),"2025-09-24T10:44:19.560Z")</f>
        <v>2025-09-24T10:44:19.560Z</v>
      </c>
      <c r="B866" s="2" t="str">
        <f>IFERROR(__xludf.DUMMYFUNCTION("""COMPUTED_VALUE"""),"2025-09-24T10:34:20.146+08")</f>
        <v>2025-09-24T10:34:20.146+08</v>
      </c>
      <c r="C866" s="2" t="str">
        <f>IFERROR(__xludf.DUMMYFUNCTION("""COMPUTED_VALUE"""),"2025-09-24T10:50:12.614+08")</f>
        <v>2025-09-24T10:50:12.614+08</v>
      </c>
      <c r="D866" s="2" t="str">
        <f>IFERROR(__xludf.DUMMYFUNCTION("""COMPUTED_VALUE"""),"H004588035")</f>
        <v>H004588035</v>
      </c>
      <c r="E866" s="2">
        <f>IFERROR(__xludf.DUMMYFUNCTION("""COMPUTED_VALUE"""),859767.0)</f>
        <v>859767</v>
      </c>
      <c r="F866" s="2" t="str">
        <f>IFERROR(__xludf.DUMMYFUNCTION("""COMPUTED_VALUE"""),"Ramie De Pedro Jr._2")</f>
        <v>Ramie De Pedro Jr._2</v>
      </c>
      <c r="G866" s="2"/>
      <c r="H866" s="2"/>
      <c r="I866" s="2" t="str">
        <f>IFERROR(__xludf.DUMMYFUNCTION("""COMPUTED_VALUE"""),"ICM_Business_linked_launch")</f>
        <v>ICM_Business_linked_launch</v>
      </c>
      <c r="J866" s="2" t="str">
        <f>IFERROR(__xludf.DUMMYFUNCTION("""COMPUTED_VALUE"""),"uuid:fee23eef-8155-4785-ac47-cacb5ea23ec0")</f>
        <v>uuid:fee23eef-8155-4785-ac47-cacb5ea23ec0</v>
      </c>
    </row>
    <row r="867">
      <c r="A867" s="2" t="str">
        <f>IFERROR(__xludf.DUMMYFUNCTION("""COMPUTED_VALUE"""),"2025-09-24T10:50:38.432Z")</f>
        <v>2025-09-24T10:50:38.432Z</v>
      </c>
      <c r="B867" s="2" t="str">
        <f>IFERROR(__xludf.DUMMYFUNCTION("""COMPUTED_VALUE"""),"2025-09-24T11:45:10.006+08")</f>
        <v>2025-09-24T11:45:10.006+08</v>
      </c>
      <c r="C867" s="2" t="str">
        <f>IFERROR(__xludf.DUMMYFUNCTION("""COMPUTED_VALUE"""),"2025-09-24T11:59:08.172+08")</f>
        <v>2025-09-24T11:59:08.172+08</v>
      </c>
      <c r="D867" s="2" t="str">
        <f>IFERROR(__xludf.DUMMYFUNCTION("""COMPUTED_VALUE"""),"H006689032")</f>
        <v>H006689032</v>
      </c>
      <c r="E867" s="2" t="str">
        <f>IFERROR(__xludf.DUMMYFUNCTION("""COMPUTED_VALUE"""),"N7814260")</f>
        <v>N7814260</v>
      </c>
      <c r="F867" s="2" t="str">
        <f>IFERROR(__xludf.DUMMYFUNCTION("""COMPUTED_VALUE"""),"Jemma Marie Tillo")</f>
        <v>Jemma Marie Tillo</v>
      </c>
      <c r="G867" s="2"/>
      <c r="H867" s="2"/>
      <c r="I867" s="2" t="str">
        <f>IFERROR(__xludf.DUMMYFUNCTION("""COMPUTED_VALUE"""),"ICM_Business_linked_launch")</f>
        <v>ICM_Business_linked_launch</v>
      </c>
      <c r="J867" s="2" t="str">
        <f>IFERROR(__xludf.DUMMYFUNCTION("""COMPUTED_VALUE"""),"uuid:03d4cab7-8aeb-4741-9019-c65fe8d65934")</f>
        <v>uuid:03d4cab7-8aeb-4741-9019-c65fe8d65934</v>
      </c>
    </row>
    <row r="868">
      <c r="A868" s="2" t="str">
        <f>IFERROR(__xludf.DUMMYFUNCTION("""COMPUTED_VALUE"""),"2025-09-24T10:50:41.019Z")</f>
        <v>2025-09-24T10:50:41.019Z</v>
      </c>
      <c r="B868" s="2" t="str">
        <f>IFERROR(__xludf.DUMMYFUNCTION("""COMPUTED_VALUE"""),"2025-09-24T11:24:02.450+08")</f>
        <v>2025-09-24T11:24:02.450+08</v>
      </c>
      <c r="C868" s="2" t="str">
        <f>IFERROR(__xludf.DUMMYFUNCTION("""COMPUTED_VALUE"""),"2025-09-24T11:33:04.484+08")</f>
        <v>2025-09-24T11:33:04.484+08</v>
      </c>
      <c r="D868" s="2" t="str">
        <f>IFERROR(__xludf.DUMMYFUNCTION("""COMPUTED_VALUE"""),"H006689001")</f>
        <v>H006689001</v>
      </c>
      <c r="E868" s="2" t="str">
        <f>IFERROR(__xludf.DUMMYFUNCTION("""COMPUTED_VALUE"""),"N7814260")</f>
        <v>N7814260</v>
      </c>
      <c r="F868" s="2" t="str">
        <f>IFERROR(__xludf.DUMMYFUNCTION("""COMPUTED_VALUE"""),"Jemma Marie Tillo")</f>
        <v>Jemma Marie Tillo</v>
      </c>
      <c r="G868" s="2"/>
      <c r="H868" s="2"/>
      <c r="I868" s="2" t="str">
        <f>IFERROR(__xludf.DUMMYFUNCTION("""COMPUTED_VALUE"""),"ICM_Business_linked_launch")</f>
        <v>ICM_Business_linked_launch</v>
      </c>
      <c r="J868" s="2" t="str">
        <f>IFERROR(__xludf.DUMMYFUNCTION("""COMPUTED_VALUE"""),"uuid:17062f09-40ae-4570-9316-b4d210d2612b")</f>
        <v>uuid:17062f09-40ae-4570-9316-b4d210d2612b</v>
      </c>
    </row>
    <row r="869">
      <c r="A869" s="2" t="str">
        <f>IFERROR(__xludf.DUMMYFUNCTION("""COMPUTED_VALUE"""),"2025-09-24T11:04:56.112Z")</f>
        <v>2025-09-24T11:04:56.112Z</v>
      </c>
      <c r="B869" s="2" t="str">
        <f>IFERROR(__xludf.DUMMYFUNCTION("""COMPUTED_VALUE"""),"2025-09-24T09:43:44.943+08")</f>
        <v>2025-09-24T09:43:44.943+08</v>
      </c>
      <c r="C869" s="2" t="str">
        <f>IFERROR(__xludf.DUMMYFUNCTION("""COMPUTED_VALUE"""),"2025-09-24T17:21:52.057+08")</f>
        <v>2025-09-24T17:21:52.057+08</v>
      </c>
      <c r="D869" s="2" t="str">
        <f>IFERROR(__xludf.DUMMYFUNCTION("""COMPUTED_VALUE"""),"H030370018")</f>
        <v>H030370018</v>
      </c>
      <c r="E869" s="2" t="str">
        <f>IFERROR(__xludf.DUMMYFUNCTION("""COMPUTED_VALUE"""),"D1284067")</f>
        <v>D1284067</v>
      </c>
      <c r="F869" s="2" t="str">
        <f>IFERROR(__xludf.DUMMYFUNCTION("""COMPUTED_VALUE"""),"Mariel Del Rio")</f>
        <v>Mariel Del Rio</v>
      </c>
      <c r="G869" s="2"/>
      <c r="H869" s="2"/>
      <c r="I869" s="2" t="str">
        <f>IFERROR(__xludf.DUMMYFUNCTION("""COMPUTED_VALUE"""),"ICM_Business_linked_launch")</f>
        <v>ICM_Business_linked_launch</v>
      </c>
      <c r="J869" s="2" t="str">
        <f>IFERROR(__xludf.DUMMYFUNCTION("""COMPUTED_VALUE"""),"uuid:8b2c681e-439a-4c02-949a-10aaa8bcbec3")</f>
        <v>uuid:8b2c681e-439a-4c02-949a-10aaa8bcbec3</v>
      </c>
    </row>
    <row r="870">
      <c r="A870" s="2" t="str">
        <f>IFERROR(__xludf.DUMMYFUNCTION("""COMPUTED_VALUE"""),"2025-09-24T11:06:32.971Z")</f>
        <v>2025-09-24T11:06:32.971Z</v>
      </c>
      <c r="B870" s="2" t="str">
        <f>IFERROR(__xludf.DUMMYFUNCTION("""COMPUTED_VALUE"""),"2025-09-24T09:50:19.607+08")</f>
        <v>2025-09-24T09:50:19.607+08</v>
      </c>
      <c r="C870" s="2" t="str">
        <f>IFERROR(__xludf.DUMMYFUNCTION("""COMPUTED_VALUE"""),"2025-09-24T10:05:25.966+08")</f>
        <v>2025-09-24T10:05:25.966+08</v>
      </c>
      <c r="D870" s="2" t="str">
        <f>IFERROR(__xludf.DUMMYFUNCTION("""COMPUTED_VALUE"""),"H006689028")</f>
        <v>H006689028</v>
      </c>
      <c r="E870" s="2" t="str">
        <f>IFERROR(__xludf.DUMMYFUNCTION("""COMPUTED_VALUE"""),"P1068432")</f>
        <v>P1068432</v>
      </c>
      <c r="F870" s="2" t="str">
        <f>IFERROR(__xludf.DUMMYFUNCTION("""COMPUTED_VALUE"""),"Mark Daniel Balagao Benson")</f>
        <v>Mark Daniel Balagao Benson</v>
      </c>
      <c r="G870" s="2"/>
      <c r="H870" s="2"/>
      <c r="I870" s="2" t="str">
        <f>IFERROR(__xludf.DUMMYFUNCTION("""COMPUTED_VALUE"""),"ICM_Business_linked_launch")</f>
        <v>ICM_Business_linked_launch</v>
      </c>
      <c r="J870" s="2" t="str">
        <f>IFERROR(__xludf.DUMMYFUNCTION("""COMPUTED_VALUE"""),"uuid:59b3acc7-92b5-4b25-a954-46b657ea28ce")</f>
        <v>uuid:59b3acc7-92b5-4b25-a954-46b657ea28ce</v>
      </c>
    </row>
    <row r="871">
      <c r="A871" s="2" t="str">
        <f>IFERROR(__xludf.DUMMYFUNCTION("""COMPUTED_VALUE"""),"2025-09-24T11:06:35.034Z")</f>
        <v>2025-09-24T11:06:35.034Z</v>
      </c>
      <c r="B871" s="2" t="str">
        <f>IFERROR(__xludf.DUMMYFUNCTION("""COMPUTED_VALUE"""),"2025-09-24T11:50:36.348+08")</f>
        <v>2025-09-24T11:50:36.348+08</v>
      </c>
      <c r="C871" s="2" t="str">
        <f>IFERROR(__xludf.DUMMYFUNCTION("""COMPUTED_VALUE"""),"2025-09-24T12:42:56.859+08")</f>
        <v>2025-09-24T12:42:56.859+08</v>
      </c>
      <c r="D871" s="2" t="str">
        <f>IFERROR(__xludf.DUMMYFUNCTION("""COMPUTED_VALUE"""),"H006689031")</f>
        <v>H006689031</v>
      </c>
      <c r="E871" s="2" t="str">
        <f>IFERROR(__xludf.DUMMYFUNCTION("""COMPUTED_VALUE"""),"P1068432")</f>
        <v>P1068432</v>
      </c>
      <c r="F871" s="2" t="str">
        <f>IFERROR(__xludf.DUMMYFUNCTION("""COMPUTED_VALUE"""),"Mark Daniel Balagao Benson")</f>
        <v>Mark Daniel Balagao Benson</v>
      </c>
      <c r="G871" s="2"/>
      <c r="H871" s="2"/>
      <c r="I871" s="2" t="str">
        <f>IFERROR(__xludf.DUMMYFUNCTION("""COMPUTED_VALUE"""),"ICM_Business_linked_launch")</f>
        <v>ICM_Business_linked_launch</v>
      </c>
      <c r="J871" s="2" t="str">
        <f>IFERROR(__xludf.DUMMYFUNCTION("""COMPUTED_VALUE"""),"uuid:f32da76b-0b42-4dc4-b371-bb32b6284bf7")</f>
        <v>uuid:f32da76b-0b42-4dc4-b371-bb32b6284bf7</v>
      </c>
    </row>
    <row r="872">
      <c r="A872" s="2" t="str">
        <f>IFERROR(__xludf.DUMMYFUNCTION("""COMPUTED_VALUE"""),"2025-09-24T11:06:45.734Z")</f>
        <v>2025-09-24T11:06:45.734Z</v>
      </c>
      <c r="B872" s="2" t="str">
        <f>IFERROR(__xludf.DUMMYFUNCTION("""COMPUTED_VALUE"""),"2025-09-24T09:51:49.488+08")</f>
        <v>2025-09-24T09:51:49.488+08</v>
      </c>
      <c r="C872" s="2" t="str">
        <f>IFERROR(__xludf.DUMMYFUNCTION("""COMPUTED_VALUE"""),"2025-09-24T14:21:13.614+08")</f>
        <v>2025-09-24T14:21:13.614+08</v>
      </c>
      <c r="D872" s="2" t="str">
        <f>IFERROR(__xludf.DUMMYFUNCTION("""COMPUTED_VALUE"""),"H030370031")</f>
        <v>H030370031</v>
      </c>
      <c r="E872" s="2" t="str">
        <f>IFERROR(__xludf.DUMMYFUNCTION("""COMPUTED_VALUE"""),"B8193462")</f>
        <v>B8193462</v>
      </c>
      <c r="F872" s="2" t="str">
        <f>IFERROR(__xludf.DUMMYFUNCTION("""COMPUTED_VALUE"""),"Mark Lorens Mendoza Gilongo")</f>
        <v>Mark Lorens Mendoza Gilongo</v>
      </c>
      <c r="G872" s="2"/>
      <c r="H872" s="2"/>
      <c r="I872" s="2" t="str">
        <f>IFERROR(__xludf.DUMMYFUNCTION("""COMPUTED_VALUE"""),"ICM_Business_linked_launch")</f>
        <v>ICM_Business_linked_launch</v>
      </c>
      <c r="J872" s="2" t="str">
        <f>IFERROR(__xludf.DUMMYFUNCTION("""COMPUTED_VALUE"""),"uuid:be55e59c-c457-4255-99e4-26757299a573")</f>
        <v>uuid:be55e59c-c457-4255-99e4-26757299a573</v>
      </c>
    </row>
    <row r="873">
      <c r="A873" s="2" t="str">
        <f>IFERROR(__xludf.DUMMYFUNCTION("""COMPUTED_VALUE"""),"2025-09-24T11:06:46.977Z")</f>
        <v>2025-09-24T11:06:46.977Z</v>
      </c>
      <c r="B873" s="2" t="str">
        <f>IFERROR(__xludf.DUMMYFUNCTION("""COMPUTED_VALUE"""),"2025-09-24T12:44:26.654+08")</f>
        <v>2025-09-24T12:44:26.654+08</v>
      </c>
      <c r="C873" s="2" t="str">
        <f>IFERROR(__xludf.DUMMYFUNCTION("""COMPUTED_VALUE"""),"2025-09-24T12:51:17.998+08")</f>
        <v>2025-09-24T12:51:17.998+08</v>
      </c>
      <c r="D873" s="2" t="str">
        <f>IFERROR(__xludf.DUMMYFUNCTION("""COMPUTED_VALUE"""),"H030370021")</f>
        <v>H030370021</v>
      </c>
      <c r="E873" s="2" t="str">
        <f>IFERROR(__xludf.DUMMYFUNCTION("""COMPUTED_VALUE"""),"B8193462")</f>
        <v>B8193462</v>
      </c>
      <c r="F873" s="2" t="str">
        <f>IFERROR(__xludf.DUMMYFUNCTION("""COMPUTED_VALUE"""),"Mark Lorens Mendoza Gilongo")</f>
        <v>Mark Lorens Mendoza Gilongo</v>
      </c>
      <c r="G873" s="2"/>
      <c r="H873" s="2"/>
      <c r="I873" s="2" t="str">
        <f>IFERROR(__xludf.DUMMYFUNCTION("""COMPUTED_VALUE"""),"ICM_Business_linked_launch")</f>
        <v>ICM_Business_linked_launch</v>
      </c>
      <c r="J873" s="2" t="str">
        <f>IFERROR(__xludf.DUMMYFUNCTION("""COMPUTED_VALUE"""),"uuid:0fa918fa-d066-40b1-9512-29f1ffc61890")</f>
        <v>uuid:0fa918fa-d066-40b1-9512-29f1ffc61890</v>
      </c>
    </row>
    <row r="874">
      <c r="A874" s="2" t="str">
        <f>IFERROR(__xludf.DUMMYFUNCTION("""COMPUTED_VALUE"""),"2025-09-24T11:06:52.525Z")</f>
        <v>2025-09-24T11:06:52.525Z</v>
      </c>
      <c r="B874" s="2" t="str">
        <f>IFERROR(__xludf.DUMMYFUNCTION("""COMPUTED_VALUE"""),"2025-09-24T09:41:29.579+08")</f>
        <v>2025-09-24T09:41:29.579+08</v>
      </c>
      <c r="C874" s="2" t="str">
        <f>IFERROR(__xludf.DUMMYFUNCTION("""COMPUTED_VALUE"""),"2025-09-24T19:06:28.653+08")</f>
        <v>2025-09-24T19:06:28.653+08</v>
      </c>
      <c r="D874" s="2" t="str">
        <f>IFERROR(__xludf.DUMMYFUNCTION("""COMPUTED_VALUE"""),"H030370019")</f>
        <v>H030370019</v>
      </c>
      <c r="E874" s="2">
        <f>IFERROR(__xludf.DUMMYFUNCTION("""COMPUTED_VALUE"""),896791.0)</f>
        <v>896791</v>
      </c>
      <c r="F874" s="2" t="str">
        <f>IFERROR(__xludf.DUMMYFUNCTION("""COMPUTED_VALUE"""),"Roland A. Bandiola jr_2")</f>
        <v>Roland A. Bandiola jr_2</v>
      </c>
      <c r="G874" s="2"/>
      <c r="H874" s="2"/>
      <c r="I874" s="2" t="str">
        <f>IFERROR(__xludf.DUMMYFUNCTION("""COMPUTED_VALUE"""),"ICM_Business_linked_launch")</f>
        <v>ICM_Business_linked_launch</v>
      </c>
      <c r="J874" s="2" t="str">
        <f>IFERROR(__xludf.DUMMYFUNCTION("""COMPUTED_VALUE"""),"uuid:7eae9137-4efa-402b-b992-b2b8e9c5caa8")</f>
        <v>uuid:7eae9137-4efa-402b-b992-b2b8e9c5caa8</v>
      </c>
    </row>
    <row r="875">
      <c r="A875" s="2" t="str">
        <f>IFERROR(__xludf.DUMMYFUNCTION("""COMPUTED_VALUE"""),"2025-09-24T11:06:57.357Z")</f>
        <v>2025-09-24T11:06:57.357Z</v>
      </c>
      <c r="B875" s="2" t="str">
        <f>IFERROR(__xludf.DUMMYFUNCTION("""COMPUTED_VALUE"""),"2025-09-24T09:43:24.406+08")</f>
        <v>2025-09-24T09:43:24.406+08</v>
      </c>
      <c r="C875" s="2" t="str">
        <f>IFERROR(__xludf.DUMMYFUNCTION("""COMPUTED_VALUE"""),"2025-09-24T19:04:42.068+08")</f>
        <v>2025-09-24T19:04:42.068+08</v>
      </c>
      <c r="D875" s="2" t="str">
        <f>IFERROR(__xludf.DUMMYFUNCTION("""COMPUTED_VALUE"""),"H030370023")</f>
        <v>H030370023</v>
      </c>
      <c r="E875" s="2" t="str">
        <f>IFERROR(__xludf.DUMMYFUNCTION("""COMPUTED_VALUE"""),"C7502931")</f>
        <v>C7502931</v>
      </c>
      <c r="F875" s="2" t="str">
        <f>IFERROR(__xludf.DUMMYFUNCTION("""COMPUTED_VALUE"""),"Jenny Lou Toles Estacio")</f>
        <v>Jenny Lou Toles Estacio</v>
      </c>
      <c r="G875" s="2"/>
      <c r="H875" s="2"/>
      <c r="I875" s="2" t="str">
        <f>IFERROR(__xludf.DUMMYFUNCTION("""COMPUTED_VALUE"""),"ICM_Business_linked_launch")</f>
        <v>ICM_Business_linked_launch</v>
      </c>
      <c r="J875" s="2" t="str">
        <f>IFERROR(__xludf.DUMMYFUNCTION("""COMPUTED_VALUE"""),"uuid:19e5fcb5-8a8f-4946-8077-863e5642e8e2")</f>
        <v>uuid:19e5fcb5-8a8f-4946-8077-863e5642e8e2</v>
      </c>
    </row>
    <row r="876">
      <c r="A876" s="2" t="str">
        <f>IFERROR(__xludf.DUMMYFUNCTION("""COMPUTED_VALUE"""),"2025-09-24T11:06:58.615Z")</f>
        <v>2025-09-24T11:06:58.615Z</v>
      </c>
      <c r="B876" s="2" t="str">
        <f>IFERROR(__xludf.DUMMYFUNCTION("""COMPUTED_VALUE"""),"2025-09-24T12:16:04.511+08")</f>
        <v>2025-09-24T12:16:04.511+08</v>
      </c>
      <c r="C876" s="2" t="str">
        <f>IFERROR(__xludf.DUMMYFUNCTION("""COMPUTED_VALUE"""),"2025-09-24T19:05:43.015+08")</f>
        <v>2025-09-24T19:05:43.015+08</v>
      </c>
      <c r="D876" s="2" t="str">
        <f>IFERROR(__xludf.DUMMYFUNCTION("""COMPUTED_VALUE"""),"H030370028")</f>
        <v>H030370028</v>
      </c>
      <c r="E876" s="2" t="str">
        <f>IFERROR(__xludf.DUMMYFUNCTION("""COMPUTED_VALUE"""),"C7502931")</f>
        <v>C7502931</v>
      </c>
      <c r="F876" s="2" t="str">
        <f>IFERROR(__xludf.DUMMYFUNCTION("""COMPUTED_VALUE"""),"Jenny Lou Toles Estacio")</f>
        <v>Jenny Lou Toles Estacio</v>
      </c>
      <c r="G876" s="2"/>
      <c r="H876" s="2"/>
      <c r="I876" s="2" t="str">
        <f>IFERROR(__xludf.DUMMYFUNCTION("""COMPUTED_VALUE"""),"ICM_Business_linked_launch")</f>
        <v>ICM_Business_linked_launch</v>
      </c>
      <c r="J876" s="2" t="str">
        <f>IFERROR(__xludf.DUMMYFUNCTION("""COMPUTED_VALUE"""),"uuid:d487a0f4-2622-424c-b2c6-ab02a791721e")</f>
        <v>uuid:d487a0f4-2622-424c-b2c6-ab02a791721e</v>
      </c>
    </row>
    <row r="877">
      <c r="A877" s="2" t="str">
        <f>IFERROR(__xludf.DUMMYFUNCTION("""COMPUTED_VALUE"""),"2025-09-24T11:08:05.733Z")</f>
        <v>2025-09-24T11:08:05.733Z</v>
      </c>
      <c r="B877" s="2" t="str">
        <f>IFERROR(__xludf.DUMMYFUNCTION("""COMPUTED_VALUE"""),"2025-09-24T13:03:46.296+08")</f>
        <v>2025-09-24T13:03:46.296+08</v>
      </c>
      <c r="C877" s="2" t="str">
        <f>IFERROR(__xludf.DUMMYFUNCTION("""COMPUTED_VALUE"""),"2025-09-24T15:22:44.644+08")</f>
        <v>2025-09-24T15:22:44.644+08</v>
      </c>
      <c r="D877" s="2" t="str">
        <f>IFERROR(__xludf.DUMMYFUNCTION("""COMPUTED_VALUE"""),"H006689019")</f>
        <v>H006689019</v>
      </c>
      <c r="E877" s="2" t="str">
        <f>IFERROR(__xludf.DUMMYFUNCTION("""COMPUTED_VALUE"""),"O3925718")</f>
        <v>O3925718</v>
      </c>
      <c r="F877" s="2" t="str">
        <f>IFERROR(__xludf.DUMMYFUNCTION("""COMPUTED_VALUE"""),"Adrian Montecastro Ferrer")</f>
        <v>Adrian Montecastro Ferrer</v>
      </c>
      <c r="G877" s="2"/>
      <c r="H877" s="2"/>
      <c r="I877" s="2" t="str">
        <f>IFERROR(__xludf.DUMMYFUNCTION("""COMPUTED_VALUE"""),"ICM_Business_linked_launch")</f>
        <v>ICM_Business_linked_launch</v>
      </c>
      <c r="J877" s="2" t="str">
        <f>IFERROR(__xludf.DUMMYFUNCTION("""COMPUTED_VALUE"""),"uuid:87d351ad-514d-400e-810a-df32f6fec071")</f>
        <v>uuid:87d351ad-514d-400e-810a-df32f6fec071</v>
      </c>
    </row>
    <row r="878">
      <c r="A878" s="2" t="str">
        <f>IFERROR(__xludf.DUMMYFUNCTION("""COMPUTED_VALUE"""),"2025-09-24T11:08:06.679Z")</f>
        <v>2025-09-24T11:08:06.679Z</v>
      </c>
      <c r="B878" s="2" t="str">
        <f>IFERROR(__xludf.DUMMYFUNCTION("""COMPUTED_VALUE"""),"2025-09-24T09:18:53.876+08")</f>
        <v>2025-09-24T09:18:53.876+08</v>
      </c>
      <c r="C878" s="2" t="str">
        <f>IFERROR(__xludf.DUMMYFUNCTION("""COMPUTED_VALUE"""),"2025-09-24T09:32:18.808+08")</f>
        <v>2025-09-24T09:32:18.808+08</v>
      </c>
      <c r="D878" s="2" t="str">
        <f>IFERROR(__xludf.DUMMYFUNCTION("""COMPUTED_VALUE"""),"H006689026")</f>
        <v>H006689026</v>
      </c>
      <c r="E878" s="2" t="str">
        <f>IFERROR(__xludf.DUMMYFUNCTION("""COMPUTED_VALUE"""),"O3925718")</f>
        <v>O3925718</v>
      </c>
      <c r="F878" s="2" t="str">
        <f>IFERROR(__xludf.DUMMYFUNCTION("""COMPUTED_VALUE"""),"Adrian Montecastro Ferrer")</f>
        <v>Adrian Montecastro Ferrer</v>
      </c>
      <c r="G878" s="2"/>
      <c r="H878" s="2"/>
      <c r="I878" s="2" t="str">
        <f>IFERROR(__xludf.DUMMYFUNCTION("""COMPUTED_VALUE"""),"ICM_Business_linked_launch")</f>
        <v>ICM_Business_linked_launch</v>
      </c>
      <c r="J878" s="2" t="str">
        <f>IFERROR(__xludf.DUMMYFUNCTION("""COMPUTED_VALUE"""),"uuid:1c4d9b0e-ea39-457f-97fa-40954bc52464")</f>
        <v>uuid:1c4d9b0e-ea39-457f-97fa-40954bc52464</v>
      </c>
    </row>
    <row r="879">
      <c r="A879" s="2" t="str">
        <f>IFERROR(__xludf.DUMMYFUNCTION("""COMPUTED_VALUE"""),"2025-09-24T11:08:07.560Z")</f>
        <v>2025-09-24T11:08:07.560Z</v>
      </c>
      <c r="B879" s="2" t="str">
        <f>IFERROR(__xludf.DUMMYFUNCTION("""COMPUTED_VALUE"""),"2025-09-24T10:55:52.868+08")</f>
        <v>2025-09-24T10:55:52.868+08</v>
      </c>
      <c r="C879" s="2" t="str">
        <f>IFERROR(__xludf.DUMMYFUNCTION("""COMPUTED_VALUE"""),"2025-09-24T11:40:43.094+08")</f>
        <v>2025-09-24T11:40:43.094+08</v>
      </c>
      <c r="D879" s="2" t="str">
        <f>IFERROR(__xludf.DUMMYFUNCTION("""COMPUTED_VALUE"""),"H006689021")</f>
        <v>H006689021</v>
      </c>
      <c r="E879" s="2" t="str">
        <f>IFERROR(__xludf.DUMMYFUNCTION("""COMPUTED_VALUE"""),"O3925718")</f>
        <v>O3925718</v>
      </c>
      <c r="F879" s="2" t="str">
        <f>IFERROR(__xludf.DUMMYFUNCTION("""COMPUTED_VALUE"""),"Adrian Montecastro Ferrer")</f>
        <v>Adrian Montecastro Ferrer</v>
      </c>
      <c r="G879" s="2"/>
      <c r="H879" s="2"/>
      <c r="I879" s="2" t="str">
        <f>IFERROR(__xludf.DUMMYFUNCTION("""COMPUTED_VALUE"""),"ICM_Business_linked_launch")</f>
        <v>ICM_Business_linked_launch</v>
      </c>
      <c r="J879" s="2" t="str">
        <f>IFERROR(__xludf.DUMMYFUNCTION("""COMPUTED_VALUE"""),"uuid:9a557da5-f3b0-45d9-b3bf-0f7a5af72a0b")</f>
        <v>uuid:9a557da5-f3b0-45d9-b3bf-0f7a5af72a0b</v>
      </c>
    </row>
    <row r="880">
      <c r="A880" s="2" t="str">
        <f>IFERROR(__xludf.DUMMYFUNCTION("""COMPUTED_VALUE"""),"2025-09-25T08:50:54.194Z")</f>
        <v>2025-09-25T08:50:54.194Z</v>
      </c>
      <c r="B880" s="2" t="str">
        <f>IFERROR(__xludf.DUMMYFUNCTION("""COMPUTED_VALUE"""),"2025-09-25T11:07:19.430+08")</f>
        <v>2025-09-25T11:07:19.430+08</v>
      </c>
      <c r="C880" s="2" t="str">
        <f>IFERROR(__xludf.DUMMYFUNCTION("""COMPUTED_VALUE"""),"2025-09-25T11:13:57.476+08")</f>
        <v>2025-09-25T11:13:57.476+08</v>
      </c>
      <c r="D880" s="2" t="str">
        <f>IFERROR(__xludf.DUMMYFUNCTION("""COMPUTED_VALUE"""),"H019820012")</f>
        <v>H019820012</v>
      </c>
      <c r="E880" s="2">
        <f>IFERROR(__xludf.DUMMYFUNCTION("""COMPUTED_VALUE"""),841329.0)</f>
        <v>841329</v>
      </c>
      <c r="F880" s="2" t="str">
        <f>IFERROR(__xludf.DUMMYFUNCTION("""COMPUTED_VALUE"""),"Aila Eli_2")</f>
        <v>Aila Eli_2</v>
      </c>
      <c r="G880" s="2"/>
      <c r="H880" s="2"/>
      <c r="I880" s="2" t="str">
        <f>IFERROR(__xludf.DUMMYFUNCTION("""COMPUTED_VALUE"""),"ICM_Business_linked_launch")</f>
        <v>ICM_Business_linked_launch</v>
      </c>
      <c r="J880" s="2" t="str">
        <f>IFERROR(__xludf.DUMMYFUNCTION("""COMPUTED_VALUE"""),"uuid:a4cb4e02-1090-47f9-8a57-bd32f75e7614")</f>
        <v>uuid:a4cb4e02-1090-47f9-8a57-bd32f75e7614</v>
      </c>
    </row>
    <row r="881">
      <c r="A881" s="2" t="str">
        <f>IFERROR(__xludf.DUMMYFUNCTION("""COMPUTED_VALUE"""),"2025-09-25T10:20:22.658Z")</f>
        <v>2025-09-25T10:20:22.658Z</v>
      </c>
      <c r="B881" s="2" t="str">
        <f>IFERROR(__xludf.DUMMYFUNCTION("""COMPUTED_VALUE"""),"2025-09-25T12:57:05.936+08")</f>
        <v>2025-09-25T12:57:05.936+08</v>
      </c>
      <c r="C881" s="2" t="str">
        <f>IFERROR(__xludf.DUMMYFUNCTION("""COMPUTED_VALUE"""),"2025-09-25T12:59:54.431+08")</f>
        <v>2025-09-25T12:59:54.431+08</v>
      </c>
      <c r="D881" s="2" t="str">
        <f>IFERROR(__xludf.DUMMYFUNCTION("""COMPUTED_VALUE"""),"H019277017")</f>
        <v>H019277017</v>
      </c>
      <c r="E881" s="2">
        <f>IFERROR(__xludf.DUMMYFUNCTION("""COMPUTED_VALUE"""),455939.0)</f>
        <v>455939</v>
      </c>
      <c r="F881" s="2" t="str">
        <f>IFERROR(__xludf.DUMMYFUNCTION("""COMPUTED_VALUE"""),"Mary Jean Villaflor_2")</f>
        <v>Mary Jean Villaflor_2</v>
      </c>
      <c r="G881" s="2"/>
      <c r="H881" s="2"/>
      <c r="I881" s="2" t="str">
        <f>IFERROR(__xludf.DUMMYFUNCTION("""COMPUTED_VALUE"""),"ICM_Business_linked_launch")</f>
        <v>ICM_Business_linked_launch</v>
      </c>
      <c r="J881" s="2" t="str">
        <f>IFERROR(__xludf.DUMMYFUNCTION("""COMPUTED_VALUE"""),"uuid:a26e4140-557a-4fbe-afef-15c2fe30931a")</f>
        <v>uuid:a26e4140-557a-4fbe-afef-15c2fe30931a</v>
      </c>
    </row>
    <row r="882">
      <c r="A882" s="2" t="str">
        <f>IFERROR(__xludf.DUMMYFUNCTION("""COMPUTED_VALUE"""),"2025-09-25T10:21:17.075Z")</f>
        <v>2025-09-25T10:21:17.075Z</v>
      </c>
      <c r="B882" s="2" t="str">
        <f>IFERROR(__xludf.DUMMYFUNCTION("""COMPUTED_VALUE"""),"2025-09-25T09:01:45.841+08")</f>
        <v>2025-09-25T09:01:45.841+08</v>
      </c>
      <c r="C882" s="2" t="str">
        <f>IFERROR(__xludf.DUMMYFUNCTION("""COMPUTED_VALUE"""),"2025-09-25T09:08:30.694+08")</f>
        <v>2025-09-25T09:08:30.694+08</v>
      </c>
      <c r="D882" s="2" t="str">
        <f>IFERROR(__xludf.DUMMYFUNCTION("""COMPUTED_VALUE"""),"H004588020")</f>
        <v>H004588020</v>
      </c>
      <c r="E882" s="2">
        <f>IFERROR(__xludf.DUMMYFUNCTION("""COMPUTED_VALUE"""),859767.0)</f>
        <v>859767</v>
      </c>
      <c r="F882" s="2" t="str">
        <f>IFERROR(__xludf.DUMMYFUNCTION("""COMPUTED_VALUE"""),"Ramie De Pedro Jr._2")</f>
        <v>Ramie De Pedro Jr._2</v>
      </c>
      <c r="G882" s="2"/>
      <c r="H882" s="2"/>
      <c r="I882" s="2" t="str">
        <f>IFERROR(__xludf.DUMMYFUNCTION("""COMPUTED_VALUE"""),"ICM_Business_linked_launch")</f>
        <v>ICM_Business_linked_launch</v>
      </c>
      <c r="J882" s="2" t="str">
        <f>IFERROR(__xludf.DUMMYFUNCTION("""COMPUTED_VALUE"""),"uuid:33c87a56-2600-4882-b449-79c48706b769")</f>
        <v>uuid:33c87a56-2600-4882-b449-79c48706b769</v>
      </c>
    </row>
    <row r="883">
      <c r="A883" s="2" t="str">
        <f>IFERROR(__xludf.DUMMYFUNCTION("""COMPUTED_VALUE"""),"2025-09-25T10:21:18.017Z")</f>
        <v>2025-09-25T10:21:18.017Z</v>
      </c>
      <c r="B883" s="2" t="str">
        <f>IFERROR(__xludf.DUMMYFUNCTION("""COMPUTED_VALUE"""),"2025-09-25T10:08:24.634+08")</f>
        <v>2025-09-25T10:08:24.634+08</v>
      </c>
      <c r="C883" s="2" t="str">
        <f>IFERROR(__xludf.DUMMYFUNCTION("""COMPUTED_VALUE"""),"2025-09-25T10:16:25.050+08")</f>
        <v>2025-09-25T10:16:25.050+08</v>
      </c>
      <c r="D883" s="2" t="str">
        <f>IFERROR(__xludf.DUMMYFUNCTION("""COMPUTED_VALUE"""),"H004588021")</f>
        <v>H004588021</v>
      </c>
      <c r="E883" s="2">
        <f>IFERROR(__xludf.DUMMYFUNCTION("""COMPUTED_VALUE"""),859767.0)</f>
        <v>859767</v>
      </c>
      <c r="F883" s="2" t="str">
        <f>IFERROR(__xludf.DUMMYFUNCTION("""COMPUTED_VALUE"""),"Ramie De Pedro Jr._2")</f>
        <v>Ramie De Pedro Jr._2</v>
      </c>
      <c r="G883" s="2"/>
      <c r="H883" s="2"/>
      <c r="I883" s="2" t="str">
        <f>IFERROR(__xludf.DUMMYFUNCTION("""COMPUTED_VALUE"""),"ICM_Business_linked_launch")</f>
        <v>ICM_Business_linked_launch</v>
      </c>
      <c r="J883" s="2" t="str">
        <f>IFERROR(__xludf.DUMMYFUNCTION("""COMPUTED_VALUE"""),"uuid:e8e8e56c-d17d-42ca-bc19-4af503f921e2")</f>
        <v>uuid:e8e8e56c-d17d-42ca-bc19-4af503f921e2</v>
      </c>
    </row>
    <row r="884">
      <c r="A884" s="2" t="str">
        <f>IFERROR(__xludf.DUMMYFUNCTION("""COMPUTED_VALUE"""),"2025-09-25T10:21:19.086Z")</f>
        <v>2025-09-25T10:21:19.086Z</v>
      </c>
      <c r="B884" s="2" t="str">
        <f>IFERROR(__xludf.DUMMYFUNCTION("""COMPUTED_VALUE"""),"2025-09-25T15:20:03.623+08")</f>
        <v>2025-09-25T15:20:03.623+08</v>
      </c>
      <c r="C884" s="2" t="str">
        <f>IFERROR(__xludf.DUMMYFUNCTION("""COMPUTED_VALUE"""),"2025-09-25T15:29:54.445+08")</f>
        <v>2025-09-25T15:29:54.445+08</v>
      </c>
      <c r="D884" s="2" t="str">
        <f>IFERROR(__xludf.DUMMYFUNCTION("""COMPUTED_VALUE"""),"H004344031")</f>
        <v>H004344031</v>
      </c>
      <c r="E884" s="2">
        <f>IFERROR(__xludf.DUMMYFUNCTION("""COMPUTED_VALUE"""),859767.0)</f>
        <v>859767</v>
      </c>
      <c r="F884" s="2" t="str">
        <f>IFERROR(__xludf.DUMMYFUNCTION("""COMPUTED_VALUE"""),"Ramie De Pedro Jr._2")</f>
        <v>Ramie De Pedro Jr._2</v>
      </c>
      <c r="G884" s="2"/>
      <c r="H884" s="2"/>
      <c r="I884" s="2" t="str">
        <f>IFERROR(__xludf.DUMMYFUNCTION("""COMPUTED_VALUE"""),"ICM_Business_linked_launch")</f>
        <v>ICM_Business_linked_launch</v>
      </c>
      <c r="J884" s="2" t="str">
        <f>IFERROR(__xludf.DUMMYFUNCTION("""COMPUTED_VALUE"""),"uuid:5823e216-e0a7-4364-baa2-68fa173add9c")</f>
        <v>uuid:5823e216-e0a7-4364-baa2-68fa173add9c</v>
      </c>
    </row>
    <row r="885">
      <c r="A885" s="2" t="str">
        <f>IFERROR(__xludf.DUMMYFUNCTION("""COMPUTED_VALUE"""),"2025-09-25T10:54:23.510Z")</f>
        <v>2025-09-25T10:54:23.510Z</v>
      </c>
      <c r="B885" s="2" t="str">
        <f>IFERROR(__xludf.DUMMYFUNCTION("""COMPUTED_VALUE"""),"2025-09-25T12:03:52.867+08")</f>
        <v>2025-09-25T12:03:52.867+08</v>
      </c>
      <c r="C885" s="2" t="str">
        <f>IFERROR(__xludf.DUMMYFUNCTION("""COMPUTED_VALUE"""),"2025-09-25T12:36:08.710+08")</f>
        <v>2025-09-25T12:36:08.710+08</v>
      </c>
      <c r="D885" s="2" t="str">
        <f>IFERROR(__xludf.DUMMYFUNCTION("""COMPUTED_VALUE"""),"H006809082")</f>
        <v>H006809082</v>
      </c>
      <c r="E885" s="2" t="str">
        <f>IFERROR(__xludf.DUMMYFUNCTION("""COMPUTED_VALUE"""),"N7814260")</f>
        <v>N7814260</v>
      </c>
      <c r="F885" s="2" t="str">
        <f>IFERROR(__xludf.DUMMYFUNCTION("""COMPUTED_VALUE"""),"Jemma Marie Tillo")</f>
        <v>Jemma Marie Tillo</v>
      </c>
      <c r="G885" s="2"/>
      <c r="H885" s="2"/>
      <c r="I885" s="2" t="str">
        <f>IFERROR(__xludf.DUMMYFUNCTION("""COMPUTED_VALUE"""),"ICM_Business_linked_launch")</f>
        <v>ICM_Business_linked_launch</v>
      </c>
      <c r="J885" s="2" t="str">
        <f>IFERROR(__xludf.DUMMYFUNCTION("""COMPUTED_VALUE"""),"uuid:bdd529be-ac6b-4abf-abf4-690a9d0e1c7e")</f>
        <v>uuid:bdd529be-ac6b-4abf-abf4-690a9d0e1c7e</v>
      </c>
    </row>
    <row r="886">
      <c r="A886" s="2" t="str">
        <f>IFERROR(__xludf.DUMMYFUNCTION("""COMPUTED_VALUE"""),"2025-09-25T10:54:25.184Z")</f>
        <v>2025-09-25T10:54:25.184Z</v>
      </c>
      <c r="B886" s="2" t="str">
        <f>IFERROR(__xludf.DUMMYFUNCTION("""COMPUTED_VALUE"""),"2025-09-25T10:05:53.703+08")</f>
        <v>2025-09-25T10:05:53.703+08</v>
      </c>
      <c r="C886" s="2" t="str">
        <f>IFERROR(__xludf.DUMMYFUNCTION("""COMPUTED_VALUE"""),"2025-09-25T17:29:38.198+08")</f>
        <v>2025-09-25T17:29:38.198+08</v>
      </c>
      <c r="D886" s="2" t="str">
        <f>IFERROR(__xludf.DUMMYFUNCTION("""COMPUTED_VALUE"""),"H006809080")</f>
        <v>H006809080</v>
      </c>
      <c r="E886" s="2" t="str">
        <f>IFERROR(__xludf.DUMMYFUNCTION("""COMPUTED_VALUE"""),"N7814260")</f>
        <v>N7814260</v>
      </c>
      <c r="F886" s="2" t="str">
        <f>IFERROR(__xludf.DUMMYFUNCTION("""COMPUTED_VALUE"""),"Jemma Marie Tillo")</f>
        <v>Jemma Marie Tillo</v>
      </c>
      <c r="G886" s="2"/>
      <c r="H886" s="2"/>
      <c r="I886" s="2" t="str">
        <f>IFERROR(__xludf.DUMMYFUNCTION("""COMPUTED_VALUE"""),"ICM_Business_linked_launch")</f>
        <v>ICM_Business_linked_launch</v>
      </c>
      <c r="J886" s="2" t="str">
        <f>IFERROR(__xludf.DUMMYFUNCTION("""COMPUTED_VALUE"""),"uuid:3c17062f-25a8-4cb2-a3d2-880f64a480ed")</f>
        <v>uuid:3c17062f-25a8-4cb2-a3d2-880f64a480ed</v>
      </c>
    </row>
    <row r="887">
      <c r="A887" s="2" t="str">
        <f>IFERROR(__xludf.DUMMYFUNCTION("""COMPUTED_VALUE"""),"2025-09-25T11:05:58.361Z")</f>
        <v>2025-09-25T11:05:58.361Z</v>
      </c>
      <c r="B887" s="2" t="str">
        <f>IFERROR(__xludf.DUMMYFUNCTION("""COMPUTED_VALUE"""),"2025-09-25T08:57:22.725+08")</f>
        <v>2025-09-25T08:57:22.725+08</v>
      </c>
      <c r="C887" s="2" t="str">
        <f>IFERROR(__xludf.DUMMYFUNCTION("""COMPUTED_VALUE"""),"2025-09-25T09:10:36.230+08")</f>
        <v>2025-09-25T09:10:36.230+08</v>
      </c>
      <c r="D887" s="2" t="str">
        <f>IFERROR(__xludf.DUMMYFUNCTION("""COMPUTED_VALUE"""),"H006809088")</f>
        <v>H006809088</v>
      </c>
      <c r="E887" s="2" t="str">
        <f>IFERROR(__xludf.DUMMYFUNCTION("""COMPUTED_VALUE"""),"P1068432")</f>
        <v>P1068432</v>
      </c>
      <c r="F887" s="2" t="str">
        <f>IFERROR(__xludf.DUMMYFUNCTION("""COMPUTED_VALUE"""),"Mark Daniel Balagao Benson")</f>
        <v>Mark Daniel Balagao Benson</v>
      </c>
      <c r="G887" s="2"/>
      <c r="H887" s="2"/>
      <c r="I887" s="2" t="str">
        <f>IFERROR(__xludf.DUMMYFUNCTION("""COMPUTED_VALUE"""),"ICM_Business_linked_launch")</f>
        <v>ICM_Business_linked_launch</v>
      </c>
      <c r="J887" s="2" t="str">
        <f>IFERROR(__xludf.DUMMYFUNCTION("""COMPUTED_VALUE"""),"uuid:3100681c-7414-4cd0-abfe-ae7389471e5d")</f>
        <v>uuid:3100681c-7414-4cd0-abfe-ae7389471e5d</v>
      </c>
    </row>
    <row r="888">
      <c r="A888" s="2" t="str">
        <f>IFERROR(__xludf.DUMMYFUNCTION("""COMPUTED_VALUE"""),"2025-09-25T11:06:00.891Z")</f>
        <v>2025-09-25T11:06:00.891Z</v>
      </c>
      <c r="B888" s="2" t="str">
        <f>IFERROR(__xludf.DUMMYFUNCTION("""COMPUTED_VALUE"""),"2025-09-25T10:03:59.654+08")</f>
        <v>2025-09-25T10:03:59.654+08</v>
      </c>
      <c r="C888" s="2" t="str">
        <f>IFERROR(__xludf.DUMMYFUNCTION("""COMPUTED_VALUE"""),"2025-09-25T12:03:22.048+08")</f>
        <v>2025-09-25T12:03:22.048+08</v>
      </c>
      <c r="D888" s="2" t="str">
        <f>IFERROR(__xludf.DUMMYFUNCTION("""COMPUTED_VALUE"""),"H006809011")</f>
        <v>H006809011</v>
      </c>
      <c r="E888" s="2" t="str">
        <f>IFERROR(__xludf.DUMMYFUNCTION("""COMPUTED_VALUE"""),"P1068432")</f>
        <v>P1068432</v>
      </c>
      <c r="F888" s="2" t="str">
        <f>IFERROR(__xludf.DUMMYFUNCTION("""COMPUTED_VALUE"""),"Mark Daniel Balagao Benson")</f>
        <v>Mark Daniel Balagao Benson</v>
      </c>
      <c r="G888" s="2"/>
      <c r="H888" s="2"/>
      <c r="I888" s="2" t="str">
        <f>IFERROR(__xludf.DUMMYFUNCTION("""COMPUTED_VALUE"""),"ICM_Business_linked_launch")</f>
        <v>ICM_Business_linked_launch</v>
      </c>
      <c r="J888" s="2" t="str">
        <f>IFERROR(__xludf.DUMMYFUNCTION("""COMPUTED_VALUE"""),"uuid:642ef1d8-0ca6-4975-b977-089cd30734e7")</f>
        <v>uuid:642ef1d8-0ca6-4975-b977-089cd30734e7</v>
      </c>
    </row>
    <row r="889">
      <c r="A889" s="2" t="str">
        <f>IFERROR(__xludf.DUMMYFUNCTION("""COMPUTED_VALUE"""),"2025-09-25T11:21:56.025Z")</f>
        <v>2025-09-25T11:21:56.025Z</v>
      </c>
      <c r="B889" s="2" t="str">
        <f>IFERROR(__xludf.DUMMYFUNCTION("""COMPUTED_VALUE"""),"2025-09-25T11:07:22.236+08")</f>
        <v>2025-09-25T11:07:22.236+08</v>
      </c>
      <c r="C889" s="2" t="str">
        <f>IFERROR(__xludf.DUMMYFUNCTION("""COMPUTED_VALUE"""),"2025-09-25T11:14:50.710+08")</f>
        <v>2025-09-25T11:14:50.710+08</v>
      </c>
      <c r="D889" s="2" t="str">
        <f>IFERROR(__xludf.DUMMYFUNCTION("""COMPUTED_VALUE"""),"H030832030")</f>
        <v>H030832030</v>
      </c>
      <c r="E889" s="2" t="str">
        <f>IFERROR(__xludf.DUMMYFUNCTION("""COMPUTED_VALUE"""),"H2846135")</f>
        <v>H2846135</v>
      </c>
      <c r="F889" s="2" t="str">
        <f>IFERROR(__xludf.DUMMYFUNCTION("""COMPUTED_VALUE"""),"Annalou Empanado Encontro")</f>
        <v>Annalou Empanado Encontro</v>
      </c>
      <c r="G889" s="2"/>
      <c r="H889" s="2"/>
      <c r="I889" s="2" t="str">
        <f>IFERROR(__xludf.DUMMYFUNCTION("""COMPUTED_VALUE"""),"ICM_Business_linked_launch")</f>
        <v>ICM_Business_linked_launch</v>
      </c>
      <c r="J889" s="2" t="str">
        <f>IFERROR(__xludf.DUMMYFUNCTION("""COMPUTED_VALUE"""),"uuid:a3386dc8-235a-479a-8731-8edbf759936e")</f>
        <v>uuid:a3386dc8-235a-479a-8731-8edbf759936e</v>
      </c>
    </row>
    <row r="890">
      <c r="A890" s="2" t="str">
        <f>IFERROR(__xludf.DUMMYFUNCTION("""COMPUTED_VALUE"""),"2025-09-25T11:21:56.862Z")</f>
        <v>2025-09-25T11:21:56.862Z</v>
      </c>
      <c r="B890" s="2" t="str">
        <f>IFERROR(__xludf.DUMMYFUNCTION("""COMPUTED_VALUE"""),"2025-09-25T12:37:24.373+08")</f>
        <v>2025-09-25T12:37:24.373+08</v>
      </c>
      <c r="C890" s="2" t="str">
        <f>IFERROR(__xludf.DUMMYFUNCTION("""COMPUTED_VALUE"""),"2025-09-25T12:52:44.675+08")</f>
        <v>2025-09-25T12:52:44.675+08</v>
      </c>
      <c r="D890" s="2" t="str">
        <f>IFERROR(__xludf.DUMMYFUNCTION("""COMPUTED_VALUE"""),"H030832024")</f>
        <v>H030832024</v>
      </c>
      <c r="E890" s="2" t="str">
        <f>IFERROR(__xludf.DUMMYFUNCTION("""COMPUTED_VALUE"""),"H2846135")</f>
        <v>H2846135</v>
      </c>
      <c r="F890" s="2" t="str">
        <f>IFERROR(__xludf.DUMMYFUNCTION("""COMPUTED_VALUE"""),"Annalou Empanado Encontro")</f>
        <v>Annalou Empanado Encontro</v>
      </c>
      <c r="G890" s="2"/>
      <c r="H890" s="2"/>
      <c r="I890" s="2" t="str">
        <f>IFERROR(__xludf.DUMMYFUNCTION("""COMPUTED_VALUE"""),"ICM_Business_linked_launch")</f>
        <v>ICM_Business_linked_launch</v>
      </c>
      <c r="J890" s="2" t="str">
        <f>IFERROR(__xludf.DUMMYFUNCTION("""COMPUTED_VALUE"""),"uuid:6db939af-3337-438f-9e16-b71e0ae52db3")</f>
        <v>uuid:6db939af-3337-438f-9e16-b71e0ae52db3</v>
      </c>
    </row>
    <row r="891">
      <c r="A891" s="2" t="str">
        <f>IFERROR(__xludf.DUMMYFUNCTION("""COMPUTED_VALUE"""),"2025-09-25T11:21:57.672Z")</f>
        <v>2025-09-25T11:21:57.672Z</v>
      </c>
      <c r="B891" s="2" t="str">
        <f>IFERROR(__xludf.DUMMYFUNCTION("""COMPUTED_VALUE"""),"2025-09-25T14:59:13.594+08")</f>
        <v>2025-09-25T14:59:13.594+08</v>
      </c>
      <c r="C891" s="2" t="str">
        <f>IFERROR(__xludf.DUMMYFUNCTION("""COMPUTED_VALUE"""),"2025-09-25T15:06:04.101+08")</f>
        <v>2025-09-25T15:06:04.101+08</v>
      </c>
      <c r="D891" s="2" t="str">
        <f>IFERROR(__xludf.DUMMYFUNCTION("""COMPUTED_VALUE"""),"H030832027")</f>
        <v>H030832027</v>
      </c>
      <c r="E891" s="2" t="str">
        <f>IFERROR(__xludf.DUMMYFUNCTION("""COMPUTED_VALUE"""),"H2846135")</f>
        <v>H2846135</v>
      </c>
      <c r="F891" s="2" t="str">
        <f>IFERROR(__xludf.DUMMYFUNCTION("""COMPUTED_VALUE"""),"Annalou Empanado Encontro")</f>
        <v>Annalou Empanado Encontro</v>
      </c>
      <c r="G891" s="2"/>
      <c r="H891" s="2"/>
      <c r="I891" s="2" t="str">
        <f>IFERROR(__xludf.DUMMYFUNCTION("""COMPUTED_VALUE"""),"ICM_Business_linked_launch")</f>
        <v>ICM_Business_linked_launch</v>
      </c>
      <c r="J891" s="2" t="str">
        <f>IFERROR(__xludf.DUMMYFUNCTION("""COMPUTED_VALUE"""),"uuid:b05618bf-366e-424e-a045-6203339f2615")</f>
        <v>uuid:b05618bf-366e-424e-a045-6203339f2615</v>
      </c>
    </row>
    <row r="892">
      <c r="A892" s="2" t="str">
        <f>IFERROR(__xludf.DUMMYFUNCTION("""COMPUTED_VALUE"""),"2025-09-25T11:42:23.263Z")</f>
        <v>2025-09-25T11:42:23.263Z</v>
      </c>
      <c r="B892" s="2" t="str">
        <f>IFERROR(__xludf.DUMMYFUNCTION("""COMPUTED_VALUE"""),"2025-09-25T11:53:23.362+08")</f>
        <v>2025-09-25T11:53:23.362+08</v>
      </c>
      <c r="C892" s="2" t="str">
        <f>IFERROR(__xludf.DUMMYFUNCTION("""COMPUTED_VALUE"""),"2025-09-25T11:57:31.798+08")</f>
        <v>2025-09-25T11:57:31.798+08</v>
      </c>
      <c r="D892" s="2" t="str">
        <f>IFERROR(__xludf.DUMMYFUNCTION("""COMPUTED_VALUE"""),"H030832029")</f>
        <v>H030832029</v>
      </c>
      <c r="E892" s="2" t="str">
        <f>IFERROR(__xludf.DUMMYFUNCTION("""COMPUTED_VALUE"""),"G5472901")</f>
        <v>G5472901</v>
      </c>
      <c r="F892" s="2" t="str">
        <f>IFERROR(__xludf.DUMMYFUNCTION("""COMPUTED_VALUE"""),"Wellyn Grace Alaban Parcia")</f>
        <v>Wellyn Grace Alaban Parcia</v>
      </c>
      <c r="G892" s="2"/>
      <c r="H892" s="2"/>
      <c r="I892" s="2" t="str">
        <f>IFERROR(__xludf.DUMMYFUNCTION("""COMPUTED_VALUE"""),"ICM_Business_linked_launch")</f>
        <v>ICM_Business_linked_launch</v>
      </c>
      <c r="J892" s="2" t="str">
        <f>IFERROR(__xludf.DUMMYFUNCTION("""COMPUTED_VALUE"""),"uuid:6176df36-5bd2-4204-b5f5-a479638125ff")</f>
        <v>uuid:6176df36-5bd2-4204-b5f5-a479638125ff</v>
      </c>
    </row>
    <row r="893">
      <c r="A893" s="2" t="str">
        <f>IFERROR(__xludf.DUMMYFUNCTION("""COMPUTED_VALUE"""),"2025-09-25T11:42:24.982Z")</f>
        <v>2025-09-25T11:42:24.982Z</v>
      </c>
      <c r="B893" s="2" t="str">
        <f>IFERROR(__xludf.DUMMYFUNCTION("""COMPUTED_VALUE"""),"2025-09-25T13:09:44.426+08")</f>
        <v>2025-09-25T13:09:44.426+08</v>
      </c>
      <c r="C893" s="2" t="str">
        <f>IFERROR(__xludf.DUMMYFUNCTION("""COMPUTED_VALUE"""),"2025-09-25T13:22:22.665+08")</f>
        <v>2025-09-25T13:22:22.665+08</v>
      </c>
      <c r="D893" s="2" t="str">
        <f>IFERROR(__xludf.DUMMYFUNCTION("""COMPUTED_VALUE"""),"H030832033")</f>
        <v>H030832033</v>
      </c>
      <c r="E893" s="2" t="str">
        <f>IFERROR(__xludf.DUMMYFUNCTION("""COMPUTED_VALUE"""),"G5472901")</f>
        <v>G5472901</v>
      </c>
      <c r="F893" s="2" t="str">
        <f>IFERROR(__xludf.DUMMYFUNCTION("""COMPUTED_VALUE"""),"Wellyn Grace Alaban Parcia")</f>
        <v>Wellyn Grace Alaban Parcia</v>
      </c>
      <c r="G893" s="2"/>
      <c r="H893" s="2"/>
      <c r="I893" s="2" t="str">
        <f>IFERROR(__xludf.DUMMYFUNCTION("""COMPUTED_VALUE"""),"ICM_Business_linked_launch")</f>
        <v>ICM_Business_linked_launch</v>
      </c>
      <c r="J893" s="2" t="str">
        <f>IFERROR(__xludf.DUMMYFUNCTION("""COMPUTED_VALUE"""),"uuid:90dc4a2e-2545-453a-a040-8fe34f28ce93")</f>
        <v>uuid:90dc4a2e-2545-453a-a040-8fe34f28ce93</v>
      </c>
    </row>
    <row r="894">
      <c r="A894" s="2" t="str">
        <f>IFERROR(__xludf.DUMMYFUNCTION("""COMPUTED_VALUE"""),"2025-09-25T11:42:26.294Z")</f>
        <v>2025-09-25T11:42:26.294Z</v>
      </c>
      <c r="B894" s="2" t="str">
        <f>IFERROR(__xludf.DUMMYFUNCTION("""COMPUTED_VALUE"""),"2025-09-25T15:21:16.067+08")</f>
        <v>2025-09-25T15:21:16.067+08</v>
      </c>
      <c r="C894" s="2" t="str">
        <f>IFERROR(__xludf.DUMMYFUNCTION("""COMPUTED_VALUE"""),"2025-09-25T15:25:54.626+08")</f>
        <v>2025-09-25T15:25:54.626+08</v>
      </c>
      <c r="D894" s="2" t="str">
        <f>IFERROR(__xludf.DUMMYFUNCTION("""COMPUTED_VALUE"""),"H030832018")</f>
        <v>H030832018</v>
      </c>
      <c r="E894" s="2" t="str">
        <f>IFERROR(__xludf.DUMMYFUNCTION("""COMPUTED_VALUE"""),"G5472901")</f>
        <v>G5472901</v>
      </c>
      <c r="F894" s="2" t="str">
        <f>IFERROR(__xludf.DUMMYFUNCTION("""COMPUTED_VALUE"""),"Wellyn Grace Alaban Parcia")</f>
        <v>Wellyn Grace Alaban Parcia</v>
      </c>
      <c r="G894" s="2"/>
      <c r="H894" s="2"/>
      <c r="I894" s="2" t="str">
        <f>IFERROR(__xludf.DUMMYFUNCTION("""COMPUTED_VALUE"""),"ICM_Business_linked_launch")</f>
        <v>ICM_Business_linked_launch</v>
      </c>
      <c r="J894" s="2" t="str">
        <f>IFERROR(__xludf.DUMMYFUNCTION("""COMPUTED_VALUE"""),"uuid:1109601f-481a-4d4a-b0c7-32fa1fd84792")</f>
        <v>uuid:1109601f-481a-4d4a-b0c7-32fa1fd84792</v>
      </c>
    </row>
    <row r="895">
      <c r="A895" s="2" t="str">
        <f>IFERROR(__xludf.DUMMYFUNCTION("""COMPUTED_VALUE"""),"2025-09-25T11:47:18.231Z")</f>
        <v>2025-09-25T11:47:18.231Z</v>
      </c>
      <c r="B895" s="2" t="str">
        <f>IFERROR(__xludf.DUMMYFUNCTION("""COMPUTED_VALUE"""),"2025-09-25T10:40:44.152+08")</f>
        <v>2025-09-25T10:40:44.152+08</v>
      </c>
      <c r="C895" s="2" t="str">
        <f>IFERROR(__xludf.DUMMYFUNCTION("""COMPUTED_VALUE"""),"2025-09-25T10:55:10.358+08")</f>
        <v>2025-09-25T10:55:10.358+08</v>
      </c>
      <c r="D895" s="2" t="str">
        <f>IFERROR(__xludf.DUMMYFUNCTION("""COMPUTED_VALUE"""),"H030832021")</f>
        <v>H030832021</v>
      </c>
      <c r="E895" s="2" t="str">
        <f>IFERROR(__xludf.DUMMYFUNCTION("""COMPUTED_VALUE"""),"F3051749")</f>
        <v>F3051749</v>
      </c>
      <c r="F895" s="2" t="str">
        <f>IFERROR(__xludf.DUMMYFUNCTION("""COMPUTED_VALUE"""),"Elenita Gicos De La Pe�a")</f>
        <v>Elenita Gicos De La Pe�a</v>
      </c>
      <c r="G895" s="2"/>
      <c r="H895" s="2"/>
      <c r="I895" s="2" t="str">
        <f>IFERROR(__xludf.DUMMYFUNCTION("""COMPUTED_VALUE"""),"ICM_Business_linked_launch")</f>
        <v>ICM_Business_linked_launch</v>
      </c>
      <c r="J895" s="2" t="str">
        <f>IFERROR(__xludf.DUMMYFUNCTION("""COMPUTED_VALUE"""),"uuid:dd6479b2-5c04-4bba-97b6-1c64a0e63f5f")</f>
        <v>uuid:dd6479b2-5c04-4bba-97b6-1c64a0e63f5f</v>
      </c>
    </row>
    <row r="896">
      <c r="A896" s="2" t="str">
        <f>IFERROR(__xludf.DUMMYFUNCTION("""COMPUTED_VALUE"""),"2025-09-25T11:47:19.771Z")</f>
        <v>2025-09-25T11:47:19.771Z</v>
      </c>
      <c r="B896" s="2" t="str">
        <f>IFERROR(__xludf.DUMMYFUNCTION("""COMPUTED_VALUE"""),"2025-09-25T12:12:12.105+08")</f>
        <v>2025-09-25T12:12:12.105+08</v>
      </c>
      <c r="C896" s="2" t="str">
        <f>IFERROR(__xludf.DUMMYFUNCTION("""COMPUTED_VALUE"""),"2025-09-25T12:18:21.987+08")</f>
        <v>2025-09-25T12:18:21.987+08</v>
      </c>
      <c r="D896" s="2" t="str">
        <f>IFERROR(__xludf.DUMMYFUNCTION("""COMPUTED_VALUE"""),"H030832016")</f>
        <v>H030832016</v>
      </c>
      <c r="E896" s="2" t="str">
        <f>IFERROR(__xludf.DUMMYFUNCTION("""COMPUTED_VALUE"""),"F3051749")</f>
        <v>F3051749</v>
      </c>
      <c r="F896" s="2" t="str">
        <f>IFERROR(__xludf.DUMMYFUNCTION("""COMPUTED_VALUE"""),"Elenita Gicos De La Pe�a")</f>
        <v>Elenita Gicos De La Pe�a</v>
      </c>
      <c r="G896" s="2"/>
      <c r="H896" s="2"/>
      <c r="I896" s="2" t="str">
        <f>IFERROR(__xludf.DUMMYFUNCTION("""COMPUTED_VALUE"""),"ICM_Business_linked_launch")</f>
        <v>ICM_Business_linked_launch</v>
      </c>
      <c r="J896" s="2" t="str">
        <f>IFERROR(__xludf.DUMMYFUNCTION("""COMPUTED_VALUE"""),"uuid:f376c88a-4ee3-41e3-98da-e84c1cc60e22")</f>
        <v>uuid:f376c88a-4ee3-41e3-98da-e84c1cc60e22</v>
      </c>
    </row>
    <row r="897">
      <c r="A897" s="2" t="str">
        <f>IFERROR(__xludf.DUMMYFUNCTION("""COMPUTED_VALUE"""),"2025-09-28T07:10:53.920Z")</f>
        <v>2025-09-28T07:10:53.920Z</v>
      </c>
      <c r="B897" s="2" t="str">
        <f>IFERROR(__xludf.DUMMYFUNCTION("""COMPUTED_VALUE"""),"2025-09-28T06:35:52.914+08")</f>
        <v>2025-09-28T06:35:52.914+08</v>
      </c>
      <c r="C897" s="2" t="str">
        <f>IFERROR(__xludf.DUMMYFUNCTION("""COMPUTED_VALUE"""),"2025-09-28T06:42:57.961+08")</f>
        <v>2025-09-28T06:42:57.961+08</v>
      </c>
      <c r="D897" s="2" t="str">
        <f>IFERROR(__xludf.DUMMYFUNCTION("""COMPUTED_VALUE"""),"H019728019")</f>
        <v>H019728019</v>
      </c>
      <c r="E897" s="2">
        <f>IFERROR(__xludf.DUMMYFUNCTION("""COMPUTED_VALUE"""),841329.0)</f>
        <v>841329</v>
      </c>
      <c r="F897" s="2" t="str">
        <f>IFERROR(__xludf.DUMMYFUNCTION("""COMPUTED_VALUE"""),"Aila Eli_2")</f>
        <v>Aila Eli_2</v>
      </c>
      <c r="G897" s="2"/>
      <c r="H897" s="2"/>
      <c r="I897" s="2" t="str">
        <f>IFERROR(__xludf.DUMMYFUNCTION("""COMPUTED_VALUE"""),"ICM_Business_linked_launch")</f>
        <v>ICM_Business_linked_launch</v>
      </c>
      <c r="J897" s="2" t="str">
        <f>IFERROR(__xludf.DUMMYFUNCTION("""COMPUTED_VALUE"""),"uuid:a688c445-c831-45f9-a679-9419418ef288")</f>
        <v>uuid:a688c445-c831-45f9-a679-9419418ef288</v>
      </c>
    </row>
    <row r="898">
      <c r="A898" s="2" t="str">
        <f>IFERROR(__xludf.DUMMYFUNCTION("""COMPUTED_VALUE"""),"2025-09-28T08:37:19.725Z")</f>
        <v>2025-09-28T08:37:19.725Z</v>
      </c>
      <c r="B898" s="2" t="str">
        <f>IFERROR(__xludf.DUMMYFUNCTION("""COMPUTED_VALUE"""),"2025-09-28T08:47:18.790+08")</f>
        <v>2025-09-28T08:47:18.790+08</v>
      </c>
      <c r="C898" s="2" t="str">
        <f>IFERROR(__xludf.DUMMYFUNCTION("""COMPUTED_VALUE"""),"2025-09-28T08:51:43.296+08")</f>
        <v>2025-09-28T08:51:43.296+08</v>
      </c>
      <c r="D898" s="2" t="str">
        <f>IFERROR(__xludf.DUMMYFUNCTION("""COMPUTED_VALUE"""),"H019559034")</f>
        <v>H019559034</v>
      </c>
      <c r="E898" s="2" t="str">
        <f>IFERROR(__xludf.DUMMYFUNCTION("""COMPUTED_VALUE"""),"S2671943")</f>
        <v>S2671943</v>
      </c>
      <c r="F898" s="2" t="str">
        <f>IFERROR(__xludf.DUMMYFUNCTION("""COMPUTED_VALUE"""),"Marvin Mondia")</f>
        <v>Marvin Mondia</v>
      </c>
      <c r="G898" s="2"/>
      <c r="H898" s="2"/>
      <c r="I898" s="2" t="str">
        <f>IFERROR(__xludf.DUMMYFUNCTION("""COMPUTED_VALUE"""),"ICM_Business_linked_launch")</f>
        <v>ICM_Business_linked_launch</v>
      </c>
      <c r="J898" s="2" t="str">
        <f>IFERROR(__xludf.DUMMYFUNCTION("""COMPUTED_VALUE"""),"uuid:23c6b030-2353-4931-b32e-158cb5501ddb")</f>
        <v>uuid:23c6b030-2353-4931-b32e-158cb5501ddb</v>
      </c>
    </row>
    <row r="899">
      <c r="A899" s="2" t="str">
        <f>IFERROR(__xludf.DUMMYFUNCTION("""COMPUTED_VALUE"""),"2025-09-28T09:52:05.342Z")</f>
        <v>2025-09-28T09:52:05.342Z</v>
      </c>
      <c r="B899" s="2" t="str">
        <f>IFERROR(__xludf.DUMMYFUNCTION("""COMPUTED_VALUE"""),"2025-09-28T12:06:15.653+08")</f>
        <v>2025-09-28T12:06:15.653+08</v>
      </c>
      <c r="C899" s="2" t="str">
        <f>IFERROR(__xludf.DUMMYFUNCTION("""COMPUTED_VALUE"""),"2025-09-28T12:12:53.552+08")</f>
        <v>2025-09-28T12:12:53.552+08</v>
      </c>
      <c r="D899" s="2" t="str">
        <f>IFERROR(__xludf.DUMMYFUNCTION("""COMPUTED_VALUE"""),"H004344025")</f>
        <v>H004344025</v>
      </c>
      <c r="E899" s="2">
        <f>IFERROR(__xludf.DUMMYFUNCTION("""COMPUTED_VALUE"""),859767.0)</f>
        <v>859767</v>
      </c>
      <c r="F899" s="2" t="str">
        <f>IFERROR(__xludf.DUMMYFUNCTION("""COMPUTED_VALUE"""),"Ramie De Pedro Jr._2")</f>
        <v>Ramie De Pedro Jr._2</v>
      </c>
      <c r="G899" s="2"/>
      <c r="H899" s="2"/>
      <c r="I899" s="2" t="str">
        <f>IFERROR(__xludf.DUMMYFUNCTION("""COMPUTED_VALUE"""),"ICM_Business_linked_launch")</f>
        <v>ICM_Business_linked_launch</v>
      </c>
      <c r="J899" s="2" t="str">
        <f>IFERROR(__xludf.DUMMYFUNCTION("""COMPUTED_VALUE"""),"uuid:b320af3e-63cd-456b-8818-34cebb0355ac")</f>
        <v>uuid:b320af3e-63cd-456b-8818-34cebb0355ac</v>
      </c>
    </row>
    <row r="900">
      <c r="A900" s="2" t="str">
        <f>IFERROR(__xludf.DUMMYFUNCTION("""COMPUTED_VALUE"""),"2025-09-28T10:11:41.557Z")</f>
        <v>2025-09-28T10:11:41.557Z</v>
      </c>
      <c r="B900" s="2" t="str">
        <f>IFERROR(__xludf.DUMMYFUNCTION("""COMPUTED_VALUE"""),"2025-09-28T09:41:25.820+08")</f>
        <v>2025-09-28T09:41:25.820+08</v>
      </c>
      <c r="C900" s="2" t="str">
        <f>IFERROR(__xludf.DUMMYFUNCTION("""COMPUTED_VALUE"""),"2025-09-28T18:11:31.154+08")</f>
        <v>2025-09-28T18:11:31.154+08</v>
      </c>
      <c r="D900" s="2" t="str">
        <f>IFERROR(__xludf.DUMMYFUNCTION("""COMPUTED_VALUE"""),"H019591017")</f>
        <v>H019591017</v>
      </c>
      <c r="E900" s="2">
        <f>IFERROR(__xludf.DUMMYFUNCTION("""COMPUTED_VALUE"""),555127.0)</f>
        <v>555127</v>
      </c>
      <c r="F900" s="2" t="str">
        <f>IFERROR(__xludf.DUMMYFUNCTION("""COMPUTED_VALUE"""),"Mary May_2")</f>
        <v>Mary May_2</v>
      </c>
      <c r="G900" s="2"/>
      <c r="H900" s="2"/>
      <c r="I900" s="2" t="str">
        <f>IFERROR(__xludf.DUMMYFUNCTION("""COMPUTED_VALUE"""),"ICM_Business_linked_launch")</f>
        <v>ICM_Business_linked_launch</v>
      </c>
      <c r="J900" s="2" t="str">
        <f>IFERROR(__xludf.DUMMYFUNCTION("""COMPUTED_VALUE"""),"uuid:60cbb5d7-5f9a-4a93-a2d5-0b4c0f2db960")</f>
        <v>uuid:60cbb5d7-5f9a-4a93-a2d5-0b4c0f2db960</v>
      </c>
    </row>
    <row r="901">
      <c r="A901" s="2" t="str">
        <f>IFERROR(__xludf.DUMMYFUNCTION("""COMPUTED_VALUE"""),"2025-09-28T11:11:32.332Z")</f>
        <v>2025-09-28T11:11:32.332Z</v>
      </c>
      <c r="B901" s="2" t="str">
        <f>IFERROR(__xludf.DUMMYFUNCTION("""COMPUTED_VALUE"""),"2025-09-28T10:05:55.424+08")</f>
        <v>2025-09-28T10:05:55.424+08</v>
      </c>
      <c r="C901" s="2" t="str">
        <f>IFERROR(__xludf.DUMMYFUNCTION("""COMPUTED_VALUE"""),"2025-09-28T10:22:56.475+08")</f>
        <v>2025-09-28T10:22:56.475+08</v>
      </c>
      <c r="D901" s="2" t="str">
        <f>IFERROR(__xludf.DUMMYFUNCTION("""COMPUTED_VALUE"""),"H006525034")</f>
        <v>H006525034</v>
      </c>
      <c r="E901" s="2" t="str">
        <f>IFERROR(__xludf.DUMMYFUNCTION("""COMPUTED_VALUE"""),"O3925718")</f>
        <v>O3925718</v>
      </c>
      <c r="F901" s="2" t="str">
        <f>IFERROR(__xludf.DUMMYFUNCTION("""COMPUTED_VALUE"""),"Adrian Montecastro Ferrer")</f>
        <v>Adrian Montecastro Ferrer</v>
      </c>
      <c r="G901" s="2"/>
      <c r="H901" s="2"/>
      <c r="I901" s="2" t="str">
        <f>IFERROR(__xludf.DUMMYFUNCTION("""COMPUTED_VALUE"""),"ICM_Business_linked_launch")</f>
        <v>ICM_Business_linked_launch</v>
      </c>
      <c r="J901" s="2" t="str">
        <f>IFERROR(__xludf.DUMMYFUNCTION("""COMPUTED_VALUE"""),"uuid:30c44d52-fe3b-442c-b46e-db30ed2818a9")</f>
        <v>uuid:30c44d52-fe3b-442c-b46e-db30ed2818a9</v>
      </c>
    </row>
    <row r="902">
      <c r="A902" s="2" t="str">
        <f>IFERROR(__xludf.DUMMYFUNCTION("""COMPUTED_VALUE"""),"2025-09-28T11:20:19.538Z")</f>
        <v>2025-09-28T11:20:19.538Z</v>
      </c>
      <c r="B902" s="2" t="str">
        <f>IFERROR(__xludf.DUMMYFUNCTION("""COMPUTED_VALUE"""),"2025-09-28T11:33:14.873+08")</f>
        <v>2025-09-28T11:33:14.873+08</v>
      </c>
      <c r="C902" s="2" t="str">
        <f>IFERROR(__xludf.DUMMYFUNCTION("""COMPUTED_VALUE"""),"2025-09-28T13:09:37.791+08")</f>
        <v>2025-09-28T13:09:37.791+08</v>
      </c>
      <c r="D902" s="2" t="str">
        <f>IFERROR(__xludf.DUMMYFUNCTION("""COMPUTED_VALUE"""),"H006525031")</f>
        <v>H006525031</v>
      </c>
      <c r="E902" s="2" t="str">
        <f>IFERROR(__xludf.DUMMYFUNCTION("""COMPUTED_VALUE"""),"P1068432")</f>
        <v>P1068432</v>
      </c>
      <c r="F902" s="2" t="str">
        <f>IFERROR(__xludf.DUMMYFUNCTION("""COMPUTED_VALUE"""),"Mark Daniel Balagao Benson")</f>
        <v>Mark Daniel Balagao Benson</v>
      </c>
      <c r="G902" s="2"/>
      <c r="H902" s="2"/>
      <c r="I902" s="2" t="str">
        <f>IFERROR(__xludf.DUMMYFUNCTION("""COMPUTED_VALUE"""),"ICM_Business_linked_launch")</f>
        <v>ICM_Business_linked_launch</v>
      </c>
      <c r="J902" s="2" t="str">
        <f>IFERROR(__xludf.DUMMYFUNCTION("""COMPUTED_VALUE"""),"uuid:e10b852d-d003-47c8-b339-e77998101890")</f>
        <v>uuid:e10b852d-d003-47c8-b339-e77998101890</v>
      </c>
    </row>
    <row r="903">
      <c r="A903" s="2" t="str">
        <f>IFERROR(__xludf.DUMMYFUNCTION("""COMPUTED_VALUE"""),"2025-09-28T11:26:48.828Z")</f>
        <v>2025-09-28T11:26:48.828Z</v>
      </c>
      <c r="B903" s="2" t="str">
        <f>IFERROR(__xludf.DUMMYFUNCTION("""COMPUTED_VALUE"""),"2025-09-28T13:16:07.547+08")</f>
        <v>2025-09-28T13:16:07.547+08</v>
      </c>
      <c r="C903" s="2" t="str">
        <f>IFERROR(__xludf.DUMMYFUNCTION("""COMPUTED_VALUE"""),"2025-09-28T13:21:01.519+08")</f>
        <v>2025-09-28T13:21:01.519+08</v>
      </c>
      <c r="D903" s="2" t="str">
        <f>IFERROR(__xludf.DUMMYFUNCTION("""COMPUTED_VALUE"""),"H030832028")</f>
        <v>H030832028</v>
      </c>
      <c r="E903" s="2" t="str">
        <f>IFERROR(__xludf.DUMMYFUNCTION("""COMPUTED_VALUE"""),"G5472901")</f>
        <v>G5472901</v>
      </c>
      <c r="F903" s="2" t="str">
        <f>IFERROR(__xludf.DUMMYFUNCTION("""COMPUTED_VALUE"""),"Wellyn Grace Alaban Parcia")</f>
        <v>Wellyn Grace Alaban Parcia</v>
      </c>
      <c r="G903" s="2"/>
      <c r="H903" s="2"/>
      <c r="I903" s="2" t="str">
        <f>IFERROR(__xludf.DUMMYFUNCTION("""COMPUTED_VALUE"""),"ICM_Business_linked_launch")</f>
        <v>ICM_Business_linked_launch</v>
      </c>
      <c r="J903" s="2" t="str">
        <f>IFERROR(__xludf.DUMMYFUNCTION("""COMPUTED_VALUE"""),"uuid:1dab7b68-a21d-4e9b-bad7-a18336f1b1d3")</f>
        <v>uuid:1dab7b68-a21d-4e9b-bad7-a18336f1b1d3</v>
      </c>
    </row>
    <row r="904">
      <c r="A904" s="2" t="str">
        <f>IFERROR(__xludf.DUMMYFUNCTION("""COMPUTED_VALUE"""),"2025-09-28T11:26:50.174Z")</f>
        <v>2025-09-28T11:26:50.174Z</v>
      </c>
      <c r="B904" s="2" t="str">
        <f>IFERROR(__xludf.DUMMYFUNCTION("""COMPUTED_VALUE"""),"2025-09-28T15:34:10.899+08")</f>
        <v>2025-09-28T15:34:10.899+08</v>
      </c>
      <c r="C904" s="2" t="str">
        <f>IFERROR(__xludf.DUMMYFUNCTION("""COMPUTED_VALUE"""),"2025-09-28T16:01:07.535+08")</f>
        <v>2025-09-28T16:01:07.535+08</v>
      </c>
      <c r="D904" s="2" t="str">
        <f>IFERROR(__xludf.DUMMYFUNCTION("""COMPUTED_VALUE"""),"H030832026")</f>
        <v>H030832026</v>
      </c>
      <c r="E904" s="2" t="str">
        <f>IFERROR(__xludf.DUMMYFUNCTION("""COMPUTED_VALUE"""),"G5472901")</f>
        <v>G5472901</v>
      </c>
      <c r="F904" s="2" t="str">
        <f>IFERROR(__xludf.DUMMYFUNCTION("""COMPUTED_VALUE"""),"Wellyn Grace Alaban Parcia")</f>
        <v>Wellyn Grace Alaban Parcia</v>
      </c>
      <c r="G904" s="2"/>
      <c r="H904" s="2"/>
      <c r="I904" s="2" t="str">
        <f>IFERROR(__xludf.DUMMYFUNCTION("""COMPUTED_VALUE"""),"ICM_Business_linked_launch")</f>
        <v>ICM_Business_linked_launch</v>
      </c>
      <c r="J904" s="2" t="str">
        <f>IFERROR(__xludf.DUMMYFUNCTION("""COMPUTED_VALUE"""),"uuid:da4962fe-6512-45a7-8837-147cffaa4bf0")</f>
        <v>uuid:da4962fe-6512-45a7-8837-147cffaa4bf0</v>
      </c>
    </row>
    <row r="905">
      <c r="A905" s="2" t="str">
        <f>IFERROR(__xludf.DUMMYFUNCTION("""COMPUTED_VALUE"""),"2025-09-28T11:27:06.596Z")</f>
        <v>2025-09-28T11:27:06.596Z</v>
      </c>
      <c r="B905" s="2" t="str">
        <f>IFERROR(__xludf.DUMMYFUNCTION("""COMPUTED_VALUE"""),"2025-09-28T11:33:41.218+08")</f>
        <v>2025-09-28T11:33:41.218+08</v>
      </c>
      <c r="C905" s="2" t="str">
        <f>IFERROR(__xludf.DUMMYFUNCTION("""COMPUTED_VALUE"""),"2025-09-28T11:34:50.636+08")</f>
        <v>2025-09-28T11:34:50.636+08</v>
      </c>
      <c r="D905" s="2" t="str">
        <f>IFERROR(__xludf.DUMMYFUNCTION("""COMPUTED_VALUE"""),"H006248034")</f>
        <v>H006248034</v>
      </c>
      <c r="E905" s="2" t="str">
        <f>IFERROR(__xludf.DUMMYFUNCTION("""COMPUTED_VALUE"""),"J4315980")</f>
        <v>J4315980</v>
      </c>
      <c r="F905" s="2" t="str">
        <f>IFERROR(__xludf.DUMMYFUNCTION("""COMPUTED_VALUE"""),"Trixie Marie Jardeleza Saber")</f>
        <v>Trixie Marie Jardeleza Saber</v>
      </c>
      <c r="G905" s="2"/>
      <c r="H905" s="2"/>
      <c r="I905" s="2" t="str">
        <f>IFERROR(__xludf.DUMMYFUNCTION("""COMPUTED_VALUE"""),"ICM_Business_linked_launch")</f>
        <v>ICM_Business_linked_launch</v>
      </c>
      <c r="J905" s="2" t="str">
        <f>IFERROR(__xludf.DUMMYFUNCTION("""COMPUTED_VALUE"""),"uuid:bceca398-da5b-45ee-bf89-3bb53e757d0d")</f>
        <v>uuid:bceca398-da5b-45ee-bf89-3bb53e757d0d</v>
      </c>
    </row>
    <row r="906">
      <c r="A906" s="2" t="str">
        <f>IFERROR(__xludf.DUMMYFUNCTION("""COMPUTED_VALUE"""),"2025-09-28T11:27:09.754Z")</f>
        <v>2025-09-28T11:27:09.754Z</v>
      </c>
      <c r="B906" s="2" t="str">
        <f>IFERROR(__xludf.DUMMYFUNCTION("""COMPUTED_VALUE"""),"2025-09-28T10:10:07.892+08")</f>
        <v>2025-09-28T10:10:07.892+08</v>
      </c>
      <c r="C906" s="2" t="str">
        <f>IFERROR(__xludf.DUMMYFUNCTION("""COMPUTED_VALUE"""),"2025-09-28T10:11:06.368+08")</f>
        <v>2025-09-28T10:11:06.368+08</v>
      </c>
      <c r="D906" s="2" t="str">
        <f>IFERROR(__xludf.DUMMYFUNCTION("""COMPUTED_VALUE"""),"H006248024")</f>
        <v>H006248024</v>
      </c>
      <c r="E906" s="2" t="str">
        <f>IFERROR(__xludf.DUMMYFUNCTION("""COMPUTED_VALUE"""),"J4315980")</f>
        <v>J4315980</v>
      </c>
      <c r="F906" s="2" t="str">
        <f>IFERROR(__xludf.DUMMYFUNCTION("""COMPUTED_VALUE"""),"Trixie Marie Jardeleza Saber")</f>
        <v>Trixie Marie Jardeleza Saber</v>
      </c>
      <c r="G906" s="2"/>
      <c r="H906" s="2"/>
      <c r="I906" s="2" t="str">
        <f>IFERROR(__xludf.DUMMYFUNCTION("""COMPUTED_VALUE"""),"ICM_Business_linked_launch")</f>
        <v>ICM_Business_linked_launch</v>
      </c>
      <c r="J906" s="2" t="str">
        <f>IFERROR(__xludf.DUMMYFUNCTION("""COMPUTED_VALUE"""),"uuid:c7b6b5b9-d01f-4b91-8b3b-58ab8e12a193")</f>
        <v>uuid:c7b6b5b9-d01f-4b91-8b3b-58ab8e12a193</v>
      </c>
    </row>
    <row r="907">
      <c r="A907" s="2" t="str">
        <f>IFERROR(__xludf.DUMMYFUNCTION("""COMPUTED_VALUE"""),"2025-09-28T11:28:35.285Z")</f>
        <v>2025-09-28T11:28:35.285Z</v>
      </c>
      <c r="B907" s="2" t="str">
        <f>IFERROR(__xludf.DUMMYFUNCTION("""COMPUTED_VALUE"""),"2025-09-28T11:03:32.158+08")</f>
        <v>2025-09-28T11:03:32.158+08</v>
      </c>
      <c r="C907" s="2" t="str">
        <f>IFERROR(__xludf.DUMMYFUNCTION("""COMPUTED_VALUE"""),"2025-09-28T12:32:32.434+08")</f>
        <v>2025-09-28T12:32:32.434+08</v>
      </c>
      <c r="D907" s="2" t="str">
        <f>IFERROR(__xludf.DUMMYFUNCTION("""COMPUTED_VALUE"""),"H006248016")</f>
        <v>H006248016</v>
      </c>
      <c r="E907" s="2" t="str">
        <f>IFERROR(__xludf.DUMMYFUNCTION("""COMPUTED_VALUE"""),"M6491032")</f>
        <v>M6491032</v>
      </c>
      <c r="F907" s="2" t="str">
        <f>IFERROR(__xludf.DUMMYFUNCTION("""COMPUTED_VALUE"""),"Rosevil Tayo Desamparado")</f>
        <v>Rosevil Tayo Desamparado</v>
      </c>
      <c r="G907" s="2"/>
      <c r="H907" s="2"/>
      <c r="I907" s="2" t="str">
        <f>IFERROR(__xludf.DUMMYFUNCTION("""COMPUTED_VALUE"""),"ICM_Business_linked_launch")</f>
        <v>ICM_Business_linked_launch</v>
      </c>
      <c r="J907" s="2" t="str">
        <f>IFERROR(__xludf.DUMMYFUNCTION("""COMPUTED_VALUE"""),"uuid:a7d0d739-d078-4f11-a5f5-6f547a5a61af")</f>
        <v>uuid:a7d0d739-d078-4f11-a5f5-6f547a5a61af</v>
      </c>
    </row>
    <row r="908">
      <c r="A908" s="2" t="str">
        <f>IFERROR(__xludf.DUMMYFUNCTION("""COMPUTED_VALUE"""),"2025-09-28T11:28:35.977Z")</f>
        <v>2025-09-28T11:28:35.977Z</v>
      </c>
      <c r="B908" s="2" t="str">
        <f>IFERROR(__xludf.DUMMYFUNCTION("""COMPUTED_VALUE"""),"2025-09-28T10:00:13.182+08")</f>
        <v>2025-09-28T10:00:13.182+08</v>
      </c>
      <c r="C908" s="2" t="str">
        <f>IFERROR(__xludf.DUMMYFUNCTION("""COMPUTED_VALUE"""),"2025-09-28T19:28:10.358+08")</f>
        <v>2025-09-28T19:28:10.358+08</v>
      </c>
      <c r="D908" s="2" t="str">
        <f>IFERROR(__xludf.DUMMYFUNCTION("""COMPUTED_VALUE"""),"H006248023")</f>
        <v>H006248023</v>
      </c>
      <c r="E908" s="2" t="str">
        <f>IFERROR(__xludf.DUMMYFUNCTION("""COMPUTED_VALUE"""),"M6491032")</f>
        <v>M6491032</v>
      </c>
      <c r="F908" s="2" t="str">
        <f>IFERROR(__xludf.DUMMYFUNCTION("""COMPUTED_VALUE"""),"Rosevil Tayo Desamparado")</f>
        <v>Rosevil Tayo Desamparado</v>
      </c>
      <c r="G908" s="2"/>
      <c r="H908" s="2"/>
      <c r="I908" s="2" t="str">
        <f>IFERROR(__xludf.DUMMYFUNCTION("""COMPUTED_VALUE"""),"ICM_Business_linked_launch")</f>
        <v>ICM_Business_linked_launch</v>
      </c>
      <c r="J908" s="2" t="str">
        <f>IFERROR(__xludf.DUMMYFUNCTION("""COMPUTED_VALUE"""),"uuid:de71e437-8ed3-4345-8751-386a8707d84d")</f>
        <v>uuid:de71e437-8ed3-4345-8751-386a8707d84d</v>
      </c>
    </row>
    <row r="909">
      <c r="A909" s="2" t="str">
        <f>IFERROR(__xludf.DUMMYFUNCTION("""COMPUTED_VALUE"""),"2025-09-28T11:38:49.077Z")</f>
        <v>2025-09-28T11:38:49.077Z</v>
      </c>
      <c r="B909" s="2" t="str">
        <f>IFERROR(__xludf.DUMMYFUNCTION("""COMPUTED_VALUE"""),"2025-09-28T15:37:47.089+08")</f>
        <v>2025-09-28T15:37:47.089+08</v>
      </c>
      <c r="C909" s="2" t="str">
        <f>IFERROR(__xludf.DUMMYFUNCTION("""COMPUTED_VALUE"""),"2025-09-28T18:07:59.294+08")</f>
        <v>2025-09-28T18:07:59.294+08</v>
      </c>
      <c r="D909" s="2" t="str">
        <f>IFERROR(__xludf.DUMMYFUNCTION("""COMPUTED_VALUE"""),"H030270031")</f>
        <v>H030270031</v>
      </c>
      <c r="E909" s="2" t="str">
        <f>IFERROR(__xludf.DUMMYFUNCTION("""COMPUTED_VALUE"""),"D1284067")</f>
        <v>D1284067</v>
      </c>
      <c r="F909" s="2" t="str">
        <f>IFERROR(__xludf.DUMMYFUNCTION("""COMPUTED_VALUE"""),"Mariel Del Rio")</f>
        <v>Mariel Del Rio</v>
      </c>
      <c r="G909" s="2"/>
      <c r="H909" s="2"/>
      <c r="I909" s="2" t="str">
        <f>IFERROR(__xludf.DUMMYFUNCTION("""COMPUTED_VALUE"""),"ICM_Business_linked_launch")</f>
        <v>ICM_Business_linked_launch</v>
      </c>
      <c r="J909" s="2" t="str">
        <f>IFERROR(__xludf.DUMMYFUNCTION("""COMPUTED_VALUE"""),"uuid:6377586f-7b1f-47f8-8d0a-6dea16264156")</f>
        <v>uuid:6377586f-7b1f-47f8-8d0a-6dea16264156</v>
      </c>
    </row>
    <row r="910">
      <c r="A910" s="2" t="str">
        <f>IFERROR(__xludf.DUMMYFUNCTION("""COMPUTED_VALUE"""),"2025-09-28T11:42:16.791Z")</f>
        <v>2025-09-28T11:42:16.791Z</v>
      </c>
      <c r="B910" s="2" t="str">
        <f>IFERROR(__xludf.DUMMYFUNCTION("""COMPUTED_VALUE"""),"2025-09-28T09:45:45.520+08")</f>
        <v>2025-09-28T09:45:45.520+08</v>
      </c>
      <c r="C910" s="2" t="str">
        <f>IFERROR(__xludf.DUMMYFUNCTION("""COMPUTED_VALUE"""),"2025-09-28T09:52:33.036+08")</f>
        <v>2025-09-28T09:52:33.036+08</v>
      </c>
      <c r="D910" s="2" t="str">
        <f>IFERROR(__xludf.DUMMYFUNCTION("""COMPUTED_VALUE"""),"H004407027")</f>
        <v>H004407027</v>
      </c>
      <c r="E910" s="2">
        <f>IFERROR(__xludf.DUMMYFUNCTION("""COMPUTED_VALUE"""),455939.0)</f>
        <v>455939</v>
      </c>
      <c r="F910" s="2" t="str">
        <f>IFERROR(__xludf.DUMMYFUNCTION("""COMPUTED_VALUE"""),"Mary Jean Villaflor_2")</f>
        <v>Mary Jean Villaflor_2</v>
      </c>
      <c r="G910" s="2"/>
      <c r="H910" s="2"/>
      <c r="I910" s="2" t="str">
        <f>IFERROR(__xludf.DUMMYFUNCTION("""COMPUTED_VALUE"""),"ICM_Business_linked_launch")</f>
        <v>ICM_Business_linked_launch</v>
      </c>
      <c r="J910" s="2" t="str">
        <f>IFERROR(__xludf.DUMMYFUNCTION("""COMPUTED_VALUE"""),"uuid:5b21ff16-4549-450e-aa30-2263fc383419")</f>
        <v>uuid:5b21ff16-4549-450e-aa30-2263fc383419</v>
      </c>
    </row>
    <row r="911">
      <c r="A911" s="2" t="str">
        <f>IFERROR(__xludf.DUMMYFUNCTION("""COMPUTED_VALUE"""),"2025-09-28T12:15:23.325Z")</f>
        <v>2025-09-28T12:15:23.325Z</v>
      </c>
      <c r="B911" s="2" t="str">
        <f>IFERROR(__xludf.DUMMYFUNCTION("""COMPUTED_VALUE"""),"2025-09-28T12:08:10.373+08")</f>
        <v>2025-09-28T12:08:10.373+08</v>
      </c>
      <c r="C911" s="2" t="str">
        <f>IFERROR(__xludf.DUMMYFUNCTION("""COMPUTED_VALUE"""),"2025-09-28T12:21:11.031+08")</f>
        <v>2025-09-28T12:21:11.031+08</v>
      </c>
      <c r="D911" s="2" t="str">
        <f>IFERROR(__xludf.DUMMYFUNCTION("""COMPUTED_VALUE"""),"H030832022")</f>
        <v>H030832022</v>
      </c>
      <c r="E911" s="2" t="str">
        <f>IFERROR(__xludf.DUMMYFUNCTION("""COMPUTED_VALUE"""),"H2846135")</f>
        <v>H2846135</v>
      </c>
      <c r="F911" s="2" t="str">
        <f>IFERROR(__xludf.DUMMYFUNCTION("""COMPUTED_VALUE"""),"Annalou Empanado Encontro")</f>
        <v>Annalou Empanado Encontro</v>
      </c>
      <c r="G911" s="2"/>
      <c r="H911" s="2"/>
      <c r="I911" s="2" t="str">
        <f>IFERROR(__xludf.DUMMYFUNCTION("""COMPUTED_VALUE"""),"ICM_Business_linked_launch")</f>
        <v>ICM_Business_linked_launch</v>
      </c>
      <c r="J911" s="2" t="str">
        <f>IFERROR(__xludf.DUMMYFUNCTION("""COMPUTED_VALUE"""),"uuid:4c6dba02-6148-4f50-95fd-fd87a8bc98e5")</f>
        <v>uuid:4c6dba02-6148-4f50-95fd-fd87a8bc98e5</v>
      </c>
    </row>
    <row r="912">
      <c r="A912" s="2" t="str">
        <f>IFERROR(__xludf.DUMMYFUNCTION("""COMPUTED_VALUE"""),"2025-09-28T12:15:24.074Z")</f>
        <v>2025-09-28T12:15:24.074Z</v>
      </c>
      <c r="B912" s="2" t="str">
        <f>IFERROR(__xludf.DUMMYFUNCTION("""COMPUTED_VALUE"""),"2025-09-28T14:34:07.551+08")</f>
        <v>2025-09-28T14:34:07.551+08</v>
      </c>
      <c r="C912" s="2" t="str">
        <f>IFERROR(__xludf.DUMMYFUNCTION("""COMPUTED_VALUE"""),"2025-09-28T14:43:04.415+08")</f>
        <v>2025-09-28T14:43:04.415+08</v>
      </c>
      <c r="D912" s="2" t="str">
        <f>IFERROR(__xludf.DUMMYFUNCTION("""COMPUTED_VALUE"""),"H030832019")</f>
        <v>H030832019</v>
      </c>
      <c r="E912" s="2" t="str">
        <f>IFERROR(__xludf.DUMMYFUNCTION("""COMPUTED_VALUE"""),"H2846135")</f>
        <v>H2846135</v>
      </c>
      <c r="F912" s="2" t="str">
        <f>IFERROR(__xludf.DUMMYFUNCTION("""COMPUTED_VALUE"""),"Annalou Empanado Encontro")</f>
        <v>Annalou Empanado Encontro</v>
      </c>
      <c r="G912" s="2"/>
      <c r="H912" s="2"/>
      <c r="I912" s="2" t="str">
        <f>IFERROR(__xludf.DUMMYFUNCTION("""COMPUTED_VALUE"""),"ICM_Business_linked_launch")</f>
        <v>ICM_Business_linked_launch</v>
      </c>
      <c r="J912" s="2" t="str">
        <f>IFERROR(__xludf.DUMMYFUNCTION("""COMPUTED_VALUE"""),"uuid:a7a10829-7130-490b-ae69-ee8ad44cb14d")</f>
        <v>uuid:a7a10829-7130-490b-ae69-ee8ad44cb14d</v>
      </c>
    </row>
    <row r="913">
      <c r="A913" s="2" t="str">
        <f>IFERROR(__xludf.DUMMYFUNCTION("""COMPUTED_VALUE"""),"2025-09-28T12:15:24.924Z")</f>
        <v>2025-09-28T12:15:24.924Z</v>
      </c>
      <c r="B913" s="2" t="str">
        <f>IFERROR(__xludf.DUMMYFUNCTION("""COMPUTED_VALUE"""),"2025-09-28T15:06:39.707+08")</f>
        <v>2025-09-28T15:06:39.707+08</v>
      </c>
      <c r="C913" s="2" t="str">
        <f>IFERROR(__xludf.DUMMYFUNCTION("""COMPUTED_VALUE"""),"2025-09-28T15:15:02.993+08")</f>
        <v>2025-09-28T15:15:02.993+08</v>
      </c>
      <c r="D913" s="2" t="str">
        <f>IFERROR(__xludf.DUMMYFUNCTION("""COMPUTED_VALUE"""),"H030396034")</f>
        <v>H030396034</v>
      </c>
      <c r="E913" s="2" t="str">
        <f>IFERROR(__xludf.DUMMYFUNCTION("""COMPUTED_VALUE"""),"H2846135")</f>
        <v>H2846135</v>
      </c>
      <c r="F913" s="2" t="str">
        <f>IFERROR(__xludf.DUMMYFUNCTION("""COMPUTED_VALUE"""),"Annalou Empanado Encontro")</f>
        <v>Annalou Empanado Encontro</v>
      </c>
      <c r="G913" s="2"/>
      <c r="H913" s="2"/>
      <c r="I913" s="2" t="str">
        <f>IFERROR(__xludf.DUMMYFUNCTION("""COMPUTED_VALUE"""),"ICM_Business_linked_launch")</f>
        <v>ICM_Business_linked_launch</v>
      </c>
      <c r="J913" s="2" t="str">
        <f>IFERROR(__xludf.DUMMYFUNCTION("""COMPUTED_VALUE"""),"uuid:79b85459-b96b-4181-b5ab-1fcc17627d51")</f>
        <v>uuid:79b85459-b96b-4181-b5ab-1fcc17627d51</v>
      </c>
    </row>
    <row r="914">
      <c r="A914" s="2" t="str">
        <f>IFERROR(__xludf.DUMMYFUNCTION("""COMPUTED_VALUE"""),"2025-09-28T14:06:50.097Z")</f>
        <v>2025-09-28T14:06:50.097Z</v>
      </c>
      <c r="B914" s="2" t="str">
        <f>IFERROR(__xludf.DUMMYFUNCTION("""COMPUTED_VALUE"""),"2025-09-28T12:34:29.858+08")</f>
        <v>2025-09-28T12:34:29.858+08</v>
      </c>
      <c r="C914" s="2" t="str">
        <f>IFERROR(__xludf.DUMMYFUNCTION("""COMPUTED_VALUE"""),"2025-09-28T12:58:02.462+08")</f>
        <v>2025-09-28T12:58:02.462+08</v>
      </c>
      <c r="D914" s="2" t="str">
        <f>IFERROR(__xludf.DUMMYFUNCTION("""COMPUTED_VALUE"""),"H030832020")</f>
        <v>H030832020</v>
      </c>
      <c r="E914" s="2" t="str">
        <f>IFERROR(__xludf.DUMMYFUNCTION("""COMPUTED_VALUE"""),"F3051749")</f>
        <v>F3051749</v>
      </c>
      <c r="F914" s="2" t="str">
        <f>IFERROR(__xludf.DUMMYFUNCTION("""COMPUTED_VALUE"""),"Elenita Gicos De La Pe�a")</f>
        <v>Elenita Gicos De La Pe�a</v>
      </c>
      <c r="G914" s="2"/>
      <c r="H914" s="2"/>
      <c r="I914" s="2" t="str">
        <f>IFERROR(__xludf.DUMMYFUNCTION("""COMPUTED_VALUE"""),"ICM_Business_linked_launch")</f>
        <v>ICM_Business_linked_launch</v>
      </c>
      <c r="J914" s="2" t="str">
        <f>IFERROR(__xludf.DUMMYFUNCTION("""COMPUTED_VALUE"""),"uuid:db346fc3-bcd6-401c-a20d-d461ec1218d8")</f>
        <v>uuid:db346fc3-bcd6-401c-a20d-d461ec1218d8</v>
      </c>
    </row>
    <row r="915">
      <c r="A915" s="2" t="str">
        <f>IFERROR(__xludf.DUMMYFUNCTION("""COMPUTED_VALUE"""),"2025-09-28T14:06:51.093Z")</f>
        <v>2025-09-28T14:06:51.093Z</v>
      </c>
      <c r="B915" s="2" t="str">
        <f>IFERROR(__xludf.DUMMYFUNCTION("""COMPUTED_VALUE"""),"2025-09-28T16:11:33.164+08")</f>
        <v>2025-09-28T16:11:33.164+08</v>
      </c>
      <c r="C915" s="2" t="str">
        <f>IFERROR(__xludf.DUMMYFUNCTION("""COMPUTED_VALUE"""),"2025-09-28T16:22:53.281+08")</f>
        <v>2025-09-28T16:22:53.281+08</v>
      </c>
      <c r="D915" s="2" t="str">
        <f>IFERROR(__xludf.DUMMYFUNCTION("""COMPUTED_VALUE"""),"H030832025")</f>
        <v>H030832025</v>
      </c>
      <c r="E915" s="2" t="str">
        <f>IFERROR(__xludf.DUMMYFUNCTION("""COMPUTED_VALUE"""),"F3051749")</f>
        <v>F3051749</v>
      </c>
      <c r="F915" s="2" t="str">
        <f>IFERROR(__xludf.DUMMYFUNCTION("""COMPUTED_VALUE"""),"Elenita Gicos De La Pe�a")</f>
        <v>Elenita Gicos De La Pe�a</v>
      </c>
      <c r="G915" s="2"/>
      <c r="H915" s="2"/>
      <c r="I915" s="2" t="str">
        <f>IFERROR(__xludf.DUMMYFUNCTION("""COMPUTED_VALUE"""),"ICM_Business_linked_launch")</f>
        <v>ICM_Business_linked_launch</v>
      </c>
      <c r="J915" s="2" t="str">
        <f>IFERROR(__xludf.DUMMYFUNCTION("""COMPUTED_VALUE"""),"uuid:1abecdcd-8a20-450d-9546-860e65944196")</f>
        <v>uuid:1abecdcd-8a20-450d-9546-860e65944196</v>
      </c>
    </row>
    <row r="916">
      <c r="A916" s="2" t="str">
        <f>IFERROR(__xludf.DUMMYFUNCTION("""COMPUTED_VALUE"""),"2025-09-28T14:06:52.099Z")</f>
        <v>2025-09-28T14:06:52.099Z</v>
      </c>
      <c r="B916" s="2" t="str">
        <f>IFERROR(__xludf.DUMMYFUNCTION("""COMPUTED_VALUE"""),"2025-09-28T18:37:32.085+08")</f>
        <v>2025-09-28T18:37:32.085+08</v>
      </c>
      <c r="C916" s="2" t="str">
        <f>IFERROR(__xludf.DUMMYFUNCTION("""COMPUTED_VALUE"""),"2025-09-28T18:45:35.301+08")</f>
        <v>2025-09-28T18:45:35.301+08</v>
      </c>
      <c r="D916" s="2" t="str">
        <f>IFERROR(__xludf.DUMMYFUNCTION("""COMPUTED_VALUE"""),"H030310018")</f>
        <v>H030310018</v>
      </c>
      <c r="E916" s="2" t="str">
        <f>IFERROR(__xludf.DUMMYFUNCTION("""COMPUTED_VALUE"""),"F3051749")</f>
        <v>F3051749</v>
      </c>
      <c r="F916" s="2" t="str">
        <f>IFERROR(__xludf.DUMMYFUNCTION("""COMPUTED_VALUE"""),"Elenita Gicos De La Pe�a")</f>
        <v>Elenita Gicos De La Pe�a</v>
      </c>
      <c r="G916" s="2"/>
      <c r="H916" s="2"/>
      <c r="I916" s="2" t="str">
        <f>IFERROR(__xludf.DUMMYFUNCTION("""COMPUTED_VALUE"""),"ICM_Business_linked_launch")</f>
        <v>ICM_Business_linked_launch</v>
      </c>
      <c r="J916" s="2" t="str">
        <f>IFERROR(__xludf.DUMMYFUNCTION("""COMPUTED_VALUE"""),"uuid:5e8ace9d-2be0-4ffb-99f8-9558bc36dc70")</f>
        <v>uuid:5e8ace9d-2be0-4ffb-99f8-9558bc36dc70</v>
      </c>
    </row>
    <row r="917">
      <c r="A917" s="2" t="str">
        <f>IFERROR(__xludf.DUMMYFUNCTION("""COMPUTED_VALUE"""),"2025-09-28T15:58:22.506Z")</f>
        <v>2025-09-28T15:58:22.506Z</v>
      </c>
      <c r="B917" s="2" t="str">
        <f>IFERROR(__xludf.DUMMYFUNCTION("""COMPUTED_VALUE"""),"2025-09-28T09:58:08.739+08")</f>
        <v>2025-09-28T09:58:08.739+08</v>
      </c>
      <c r="C917" s="2" t="str">
        <f>IFERROR(__xludf.DUMMYFUNCTION("""COMPUTED_VALUE"""),"2025-09-28T10:04:29.422+08")</f>
        <v>2025-09-28T10:04:29.422+08</v>
      </c>
      <c r="D917" s="2" t="str">
        <f>IFERROR(__xludf.DUMMYFUNCTION("""COMPUTED_VALUE"""),"H019559020")</f>
        <v>H019559020</v>
      </c>
      <c r="E917" s="2">
        <f>IFERROR(__xludf.DUMMYFUNCTION("""COMPUTED_VALUE"""),729375.0)</f>
        <v>729375</v>
      </c>
      <c r="F917" s="2" t="str">
        <f>IFERROR(__xludf.DUMMYFUNCTION("""COMPUTED_VALUE"""),"Janet Serafica_2")</f>
        <v>Janet Serafica_2</v>
      </c>
      <c r="G917" s="2"/>
      <c r="H917" s="2"/>
      <c r="I917" s="2" t="str">
        <f>IFERROR(__xludf.DUMMYFUNCTION("""COMPUTED_VALUE"""),"ICM_Business_linked_launch")</f>
        <v>ICM_Business_linked_launch</v>
      </c>
      <c r="J917" s="2" t="str">
        <f>IFERROR(__xludf.DUMMYFUNCTION("""COMPUTED_VALUE"""),"uuid:97d998ac-9306-41d8-9d67-ec694939a371")</f>
        <v>uuid:97d998ac-9306-41d8-9d67-ec694939a371</v>
      </c>
    </row>
    <row r="918">
      <c r="A918" s="2" t="str">
        <f>IFERROR(__xludf.DUMMYFUNCTION("""COMPUTED_VALUE"""),"2025-09-29T08:55:47.142Z")</f>
        <v>2025-09-29T08:55:47.142Z</v>
      </c>
      <c r="B918" s="2" t="str">
        <f>IFERROR(__xludf.DUMMYFUNCTION("""COMPUTED_VALUE"""),"2025-09-29T10:06:14.917+08")</f>
        <v>2025-09-29T10:06:14.917+08</v>
      </c>
      <c r="C918" s="2" t="str">
        <f>IFERROR(__xludf.DUMMYFUNCTION("""COMPUTED_VALUE"""),"2025-09-29T10:11:53.451+08")</f>
        <v>2025-09-29T10:11:53.451+08</v>
      </c>
      <c r="D918" s="2" t="str">
        <f>IFERROR(__xludf.DUMMYFUNCTION("""COMPUTED_VALUE"""),"H019499027")</f>
        <v>H019499027</v>
      </c>
      <c r="E918" s="2">
        <f>IFERROR(__xludf.DUMMYFUNCTION("""COMPUTED_VALUE"""),841329.0)</f>
        <v>841329</v>
      </c>
      <c r="F918" s="2" t="str">
        <f>IFERROR(__xludf.DUMMYFUNCTION("""COMPUTED_VALUE"""),"Aila Eli_2")</f>
        <v>Aila Eli_2</v>
      </c>
      <c r="G918" s="2"/>
      <c r="H918" s="2"/>
      <c r="I918" s="2" t="str">
        <f>IFERROR(__xludf.DUMMYFUNCTION("""COMPUTED_VALUE"""),"ICM_Business_linked_launch")</f>
        <v>ICM_Business_linked_launch</v>
      </c>
      <c r="J918" s="2" t="str">
        <f>IFERROR(__xludf.DUMMYFUNCTION("""COMPUTED_VALUE"""),"uuid:bbd049eb-f056-4586-8803-4cadecc45915")</f>
        <v>uuid:bbd049eb-f056-4586-8803-4cadecc45915</v>
      </c>
    </row>
    <row r="919">
      <c r="A919" s="2" t="str">
        <f>IFERROR(__xludf.DUMMYFUNCTION("""COMPUTED_VALUE"""),"2025-09-29T09:20:31.511Z")</f>
        <v>2025-09-29T09:20:31.511Z</v>
      </c>
      <c r="B919" s="2" t="str">
        <f>IFERROR(__xludf.DUMMYFUNCTION("""COMPUTED_VALUE"""),"2025-09-29T09:54:55.511+08")</f>
        <v>2025-09-29T09:54:55.511+08</v>
      </c>
      <c r="C919" s="2" t="str">
        <f>IFERROR(__xludf.DUMMYFUNCTION("""COMPUTED_VALUE"""),"2025-09-29T09:58:46.440+08")</f>
        <v>2025-09-29T09:58:46.440+08</v>
      </c>
      <c r="D919" s="2" t="str">
        <f>IFERROR(__xludf.DUMMYFUNCTION("""COMPUTED_VALUE"""),"H019423022")</f>
        <v>H019423022</v>
      </c>
      <c r="E919" s="2" t="str">
        <f>IFERROR(__xludf.DUMMYFUNCTION("""COMPUTED_VALUE"""),"S2671943")</f>
        <v>S2671943</v>
      </c>
      <c r="F919" s="2" t="str">
        <f>IFERROR(__xludf.DUMMYFUNCTION("""COMPUTED_VALUE"""),"Marvin Mondia")</f>
        <v>Marvin Mondia</v>
      </c>
      <c r="G919" s="2"/>
      <c r="H919" s="2"/>
      <c r="I919" s="2" t="str">
        <f>IFERROR(__xludf.DUMMYFUNCTION("""COMPUTED_VALUE"""),"ICM_Business_linked_launch")</f>
        <v>ICM_Business_linked_launch</v>
      </c>
      <c r="J919" s="2" t="str">
        <f>IFERROR(__xludf.DUMMYFUNCTION("""COMPUTED_VALUE"""),"uuid:21978fe8-683b-4409-aa71-d3e3fa6b8af9")</f>
        <v>uuid:21978fe8-683b-4409-aa71-d3e3fa6b8af9</v>
      </c>
    </row>
    <row r="920">
      <c r="A920" s="2" t="str">
        <f>IFERROR(__xludf.DUMMYFUNCTION("""COMPUTED_VALUE"""),"2025-09-29T09:20:35.163Z")</f>
        <v>2025-09-29T09:20:35.163Z</v>
      </c>
      <c r="B920" s="2" t="str">
        <f>IFERROR(__xludf.DUMMYFUNCTION("""COMPUTED_VALUE"""),"2025-09-29T11:03:36.246+08")</f>
        <v>2025-09-29T11:03:36.246+08</v>
      </c>
      <c r="C920" s="2" t="str">
        <f>IFERROR(__xludf.DUMMYFUNCTION("""COMPUTED_VALUE"""),"2025-09-29T11:06:12.010+08")</f>
        <v>2025-09-29T11:06:12.010+08</v>
      </c>
      <c r="D920" s="2" t="str">
        <f>IFERROR(__xludf.DUMMYFUNCTION("""COMPUTED_VALUE"""),"H019423032")</f>
        <v>H019423032</v>
      </c>
      <c r="E920" s="2" t="str">
        <f>IFERROR(__xludf.DUMMYFUNCTION("""COMPUTED_VALUE"""),"S2671943")</f>
        <v>S2671943</v>
      </c>
      <c r="F920" s="2" t="str">
        <f>IFERROR(__xludf.DUMMYFUNCTION("""COMPUTED_VALUE"""),"Marvin Mondia")</f>
        <v>Marvin Mondia</v>
      </c>
      <c r="G920" s="2"/>
      <c r="H920" s="2"/>
      <c r="I920" s="2" t="str">
        <f>IFERROR(__xludf.DUMMYFUNCTION("""COMPUTED_VALUE"""),"ICM_Business_linked_launch")</f>
        <v>ICM_Business_linked_launch</v>
      </c>
      <c r="J920" s="2" t="str">
        <f>IFERROR(__xludf.DUMMYFUNCTION("""COMPUTED_VALUE"""),"uuid:0fc4ea2e-59a3-4750-b2bc-799dd7b52df3")</f>
        <v>uuid:0fc4ea2e-59a3-4750-b2bc-799dd7b52df3</v>
      </c>
    </row>
    <row r="921">
      <c r="A921" s="2" t="str">
        <f>IFERROR(__xludf.DUMMYFUNCTION("""COMPUTED_VALUE"""),"2025-09-29T10:19:54.748Z")</f>
        <v>2025-09-29T10:19:54.748Z</v>
      </c>
      <c r="B921" s="2" t="str">
        <f>IFERROR(__xludf.DUMMYFUNCTION("""COMPUTED_VALUE"""),"2025-09-29T11:50:28.341+08")</f>
        <v>2025-09-29T11:50:28.341+08</v>
      </c>
      <c r="C921" s="2" t="str">
        <f>IFERROR(__xludf.DUMMYFUNCTION("""COMPUTED_VALUE"""),"2025-09-29T11:58:17.608+08")</f>
        <v>2025-09-29T11:58:17.608+08</v>
      </c>
      <c r="D921" s="2" t="str">
        <f>IFERROR(__xludf.DUMMYFUNCTION("""COMPUTED_VALUE"""),"H019500024")</f>
        <v>H019500024</v>
      </c>
      <c r="E921" s="2">
        <f>IFERROR(__xludf.DUMMYFUNCTION("""COMPUTED_VALUE"""),729375.0)</f>
        <v>729375</v>
      </c>
      <c r="F921" s="2" t="str">
        <f>IFERROR(__xludf.DUMMYFUNCTION("""COMPUTED_VALUE"""),"Janet Serafica_2")</f>
        <v>Janet Serafica_2</v>
      </c>
      <c r="G921" s="2"/>
      <c r="H921" s="2"/>
      <c r="I921" s="2" t="str">
        <f>IFERROR(__xludf.DUMMYFUNCTION("""COMPUTED_VALUE"""),"ICM_Business_linked_launch")</f>
        <v>ICM_Business_linked_launch</v>
      </c>
      <c r="J921" s="2" t="str">
        <f>IFERROR(__xludf.DUMMYFUNCTION("""COMPUTED_VALUE"""),"uuid:4f2e625b-463c-4074-a3f7-73fa848828b6")</f>
        <v>uuid:4f2e625b-463c-4074-a3f7-73fa848828b6</v>
      </c>
    </row>
    <row r="922">
      <c r="A922" s="2" t="str">
        <f>IFERROR(__xludf.DUMMYFUNCTION("""COMPUTED_VALUE"""),"2025-09-29T10:19:57.834Z")</f>
        <v>2025-09-29T10:19:57.834Z</v>
      </c>
      <c r="B922" s="2" t="str">
        <f>IFERROR(__xludf.DUMMYFUNCTION("""COMPUTED_VALUE"""),"2025-09-29T12:44:11.920+08")</f>
        <v>2025-09-29T12:44:11.920+08</v>
      </c>
      <c r="C922" s="2" t="str">
        <f>IFERROR(__xludf.DUMMYFUNCTION("""COMPUTED_VALUE"""),"2025-09-29T12:47:08.039+08")</f>
        <v>2025-09-29T12:47:08.039+08</v>
      </c>
      <c r="D922" s="2" t="str">
        <f>IFERROR(__xludf.DUMMYFUNCTION("""COMPUTED_VALUE"""),"H019500016")</f>
        <v>H019500016</v>
      </c>
      <c r="E922" s="2">
        <f>IFERROR(__xludf.DUMMYFUNCTION("""COMPUTED_VALUE"""),729375.0)</f>
        <v>729375</v>
      </c>
      <c r="F922" s="2" t="str">
        <f>IFERROR(__xludf.DUMMYFUNCTION("""COMPUTED_VALUE"""),"Janet Serafica_2")</f>
        <v>Janet Serafica_2</v>
      </c>
      <c r="G922" s="2"/>
      <c r="H922" s="2"/>
      <c r="I922" s="2" t="str">
        <f>IFERROR(__xludf.DUMMYFUNCTION("""COMPUTED_VALUE"""),"ICM_Business_linked_launch")</f>
        <v>ICM_Business_linked_launch</v>
      </c>
      <c r="J922" s="2" t="str">
        <f>IFERROR(__xludf.DUMMYFUNCTION("""COMPUTED_VALUE"""),"uuid:deeff79e-09a3-41bd-9427-a7a9e46bd9b1")</f>
        <v>uuid:deeff79e-09a3-41bd-9427-a7a9e46bd9b1</v>
      </c>
    </row>
    <row r="923">
      <c r="A923" s="2" t="str">
        <f>IFERROR(__xludf.DUMMYFUNCTION("""COMPUTED_VALUE"""),"2025-09-29T10:31:20.167Z")</f>
        <v>2025-09-29T10:31:20.167Z</v>
      </c>
      <c r="B923" s="2" t="str">
        <f>IFERROR(__xludf.DUMMYFUNCTION("""COMPUTED_VALUE"""),"2025-09-29T10:02:13.962+08")</f>
        <v>2025-09-29T10:02:13.962+08</v>
      </c>
      <c r="C923" s="2" t="str">
        <f>IFERROR(__xludf.DUMMYFUNCTION("""COMPUTED_VALUE"""),"2025-09-29T10:08:22.738+08")</f>
        <v>2025-09-29T10:08:22.738+08</v>
      </c>
      <c r="D923" s="2" t="str">
        <f>IFERROR(__xludf.DUMMYFUNCTION("""COMPUTED_VALUE"""),"H030415027")</f>
        <v>H030415027</v>
      </c>
      <c r="E923" s="2" t="str">
        <f>IFERROR(__xludf.DUMMYFUNCTION("""COMPUTED_VALUE"""),"N7814260")</f>
        <v>N7814260</v>
      </c>
      <c r="F923" s="2" t="str">
        <f>IFERROR(__xludf.DUMMYFUNCTION("""COMPUTED_VALUE"""),"Jemma Marie Tillo")</f>
        <v>Jemma Marie Tillo</v>
      </c>
      <c r="G923" s="2"/>
      <c r="H923" s="2"/>
      <c r="I923" s="2" t="str">
        <f>IFERROR(__xludf.DUMMYFUNCTION("""COMPUTED_VALUE"""),"ICM_Business_linked_launch")</f>
        <v>ICM_Business_linked_launch</v>
      </c>
      <c r="J923" s="2" t="str">
        <f>IFERROR(__xludf.DUMMYFUNCTION("""COMPUTED_VALUE"""),"uuid:aa797c05-5808-4c0c-973a-0cad9dc7fea1")</f>
        <v>uuid:aa797c05-5808-4c0c-973a-0cad9dc7fea1</v>
      </c>
    </row>
    <row r="924">
      <c r="A924" s="2" t="str">
        <f>IFERROR(__xludf.DUMMYFUNCTION("""COMPUTED_VALUE"""),"2025-09-29T10:31:21.789Z")</f>
        <v>2025-09-29T10:31:21.789Z</v>
      </c>
      <c r="B924" s="2" t="str">
        <f>IFERROR(__xludf.DUMMYFUNCTION("""COMPUTED_VALUE"""),"2025-09-29T12:54:27.249+08")</f>
        <v>2025-09-29T12:54:27.249+08</v>
      </c>
      <c r="C924" s="2" t="str">
        <f>IFERROR(__xludf.DUMMYFUNCTION("""COMPUTED_VALUE"""),"2025-09-29T13:06:52.545+08")</f>
        <v>2025-09-29T13:06:52.545+08</v>
      </c>
      <c r="D924" s="2" t="str">
        <f>IFERROR(__xludf.DUMMYFUNCTION("""COMPUTED_VALUE"""),"H030415032")</f>
        <v>H030415032</v>
      </c>
      <c r="E924" s="2" t="str">
        <f>IFERROR(__xludf.DUMMYFUNCTION("""COMPUTED_VALUE"""),"N7814260")</f>
        <v>N7814260</v>
      </c>
      <c r="F924" s="2" t="str">
        <f>IFERROR(__xludf.DUMMYFUNCTION("""COMPUTED_VALUE"""),"Jemma Marie Tillo")</f>
        <v>Jemma Marie Tillo</v>
      </c>
      <c r="G924" s="2"/>
      <c r="H924" s="2"/>
      <c r="I924" s="2" t="str">
        <f>IFERROR(__xludf.DUMMYFUNCTION("""COMPUTED_VALUE"""),"ICM_Business_linked_launch")</f>
        <v>ICM_Business_linked_launch</v>
      </c>
      <c r="J924" s="2" t="str">
        <f>IFERROR(__xludf.DUMMYFUNCTION("""COMPUTED_VALUE"""),"uuid:ba7418bd-bc4a-431e-9f9a-33e926570d08")</f>
        <v>uuid:ba7418bd-bc4a-431e-9f9a-33e926570d08</v>
      </c>
    </row>
    <row r="925">
      <c r="A925" s="2" t="str">
        <f>IFERROR(__xludf.DUMMYFUNCTION("""COMPUTED_VALUE"""),"2025-09-29T11:04:06.133Z")</f>
        <v>2025-09-29T11:04:06.133Z</v>
      </c>
      <c r="B925" s="2" t="str">
        <f>IFERROR(__xludf.DUMMYFUNCTION("""COMPUTED_VALUE"""),"2025-09-29T11:02:54.031+08")</f>
        <v>2025-09-29T11:02:54.031+08</v>
      </c>
      <c r="C925" s="2" t="str">
        <f>IFERROR(__xludf.DUMMYFUNCTION("""COMPUTED_VALUE"""),"2025-09-29T11:08:23.832+08")</f>
        <v>2025-09-29T11:08:23.832+08</v>
      </c>
      <c r="D925" s="2" t="str">
        <f>IFERROR(__xludf.DUMMYFUNCTION("""COMPUTED_VALUE"""),"H030748021")</f>
        <v>H030748021</v>
      </c>
      <c r="E925" s="2" t="str">
        <f>IFERROR(__xludf.DUMMYFUNCTION("""COMPUTED_VALUE"""),"G5472901")</f>
        <v>G5472901</v>
      </c>
      <c r="F925" s="2" t="str">
        <f>IFERROR(__xludf.DUMMYFUNCTION("""COMPUTED_VALUE"""),"Wellyn Grace Alaban Parcia")</f>
        <v>Wellyn Grace Alaban Parcia</v>
      </c>
      <c r="G925" s="2"/>
      <c r="H925" s="2"/>
      <c r="I925" s="2" t="str">
        <f>IFERROR(__xludf.DUMMYFUNCTION("""COMPUTED_VALUE"""),"ICM_Business_linked_launch")</f>
        <v>ICM_Business_linked_launch</v>
      </c>
      <c r="J925" s="2" t="str">
        <f>IFERROR(__xludf.DUMMYFUNCTION("""COMPUTED_VALUE"""),"uuid:62d8b220-f123-44ec-b2ef-2ac0e3b9607e")</f>
        <v>uuid:62d8b220-f123-44ec-b2ef-2ac0e3b9607e</v>
      </c>
    </row>
    <row r="926">
      <c r="A926" s="2" t="str">
        <f>IFERROR(__xludf.DUMMYFUNCTION("""COMPUTED_VALUE"""),"2025-09-29T11:30:44.421Z")</f>
        <v>2025-09-29T11:30:44.421Z</v>
      </c>
      <c r="B926" s="2" t="str">
        <f>IFERROR(__xludf.DUMMYFUNCTION("""COMPUTED_VALUE"""),"2025-09-29T10:03:17.659+08")</f>
        <v>2025-09-29T10:03:17.659+08</v>
      </c>
      <c r="C926" s="2" t="str">
        <f>IFERROR(__xludf.DUMMYFUNCTION("""COMPUTED_VALUE"""),"2025-09-29T10:30:21.889+08")</f>
        <v>2025-09-29T10:30:21.889+08</v>
      </c>
      <c r="D926" s="2" t="str">
        <f>IFERROR(__xludf.DUMMYFUNCTION("""COMPUTED_VALUE"""),"H006525022")</f>
        <v>H006525022</v>
      </c>
      <c r="E926" s="2" t="str">
        <f>IFERROR(__xludf.DUMMYFUNCTION("""COMPUTED_VALUE"""),"P1068432")</f>
        <v>P1068432</v>
      </c>
      <c r="F926" s="2" t="str">
        <f>IFERROR(__xludf.DUMMYFUNCTION("""COMPUTED_VALUE"""),"Mark Daniel Balagao Benson")</f>
        <v>Mark Daniel Balagao Benson</v>
      </c>
      <c r="G926" s="2"/>
      <c r="H926" s="2"/>
      <c r="I926" s="2" t="str">
        <f>IFERROR(__xludf.DUMMYFUNCTION("""COMPUTED_VALUE"""),"ICM_Business_linked_launch")</f>
        <v>ICM_Business_linked_launch</v>
      </c>
      <c r="J926" s="2" t="str">
        <f>IFERROR(__xludf.DUMMYFUNCTION("""COMPUTED_VALUE"""),"uuid:2e7854d3-8009-4790-b9cc-12030ddbf948")</f>
        <v>uuid:2e7854d3-8009-4790-b9cc-12030ddbf948</v>
      </c>
    </row>
    <row r="927">
      <c r="A927" s="2" t="str">
        <f>IFERROR(__xludf.DUMMYFUNCTION("""COMPUTED_VALUE"""),"2025-09-29T11:30:46.193Z")</f>
        <v>2025-09-29T11:30:46.193Z</v>
      </c>
      <c r="B927" s="2" t="str">
        <f>IFERROR(__xludf.DUMMYFUNCTION("""COMPUTED_VALUE"""),"2025-09-29T11:18:09.929+08")</f>
        <v>2025-09-29T11:18:09.929+08</v>
      </c>
      <c r="C927" s="2" t="str">
        <f>IFERROR(__xludf.DUMMYFUNCTION("""COMPUTED_VALUE"""),"2025-09-29T14:07:24.374+08")</f>
        <v>2025-09-29T14:07:24.374+08</v>
      </c>
      <c r="D927" s="2" t="str">
        <f>IFERROR(__xludf.DUMMYFUNCTION("""COMPUTED_VALUE"""),"H006525030")</f>
        <v>H006525030</v>
      </c>
      <c r="E927" s="2" t="str">
        <f>IFERROR(__xludf.DUMMYFUNCTION("""COMPUTED_VALUE"""),"P1068432")</f>
        <v>P1068432</v>
      </c>
      <c r="F927" s="2" t="str">
        <f>IFERROR(__xludf.DUMMYFUNCTION("""COMPUTED_VALUE"""),"Mark Daniel Balagao Benson")</f>
        <v>Mark Daniel Balagao Benson</v>
      </c>
      <c r="G927" s="2"/>
      <c r="H927" s="2"/>
      <c r="I927" s="2" t="str">
        <f>IFERROR(__xludf.DUMMYFUNCTION("""COMPUTED_VALUE"""),"ICM_Business_linked_launch")</f>
        <v>ICM_Business_linked_launch</v>
      </c>
      <c r="J927" s="2" t="str">
        <f>IFERROR(__xludf.DUMMYFUNCTION("""COMPUTED_VALUE"""),"uuid:38078005-e9d7-48df-9eb1-3267d13f8d47")</f>
        <v>uuid:38078005-e9d7-48df-9eb1-3267d13f8d47</v>
      </c>
    </row>
    <row r="928">
      <c r="A928" s="2" t="str">
        <f>IFERROR(__xludf.DUMMYFUNCTION("""COMPUTED_VALUE"""),"2025-09-29T11:30:47.092Z")</f>
        <v>2025-09-29T11:30:47.092Z</v>
      </c>
      <c r="B928" s="2" t="str">
        <f>IFERROR(__xludf.DUMMYFUNCTION("""COMPUTED_VALUE"""),"2025-09-29T11:36:41.443+08")</f>
        <v>2025-09-29T11:36:41.443+08</v>
      </c>
      <c r="C928" s="2" t="str">
        <f>IFERROR(__xludf.DUMMYFUNCTION("""COMPUTED_VALUE"""),"2025-09-29T11:50:51.309+08")</f>
        <v>2025-09-29T11:50:51.309+08</v>
      </c>
      <c r="D928" s="2" t="str">
        <f>IFERROR(__xludf.DUMMYFUNCTION("""COMPUTED_VALUE"""),"H006525026")</f>
        <v>H006525026</v>
      </c>
      <c r="E928" s="2" t="str">
        <f>IFERROR(__xludf.DUMMYFUNCTION("""COMPUTED_VALUE"""),"O3925718")</f>
        <v>O3925718</v>
      </c>
      <c r="F928" s="2" t="str">
        <f>IFERROR(__xludf.DUMMYFUNCTION("""COMPUTED_VALUE"""),"Adrian Montecastro Ferrer")</f>
        <v>Adrian Montecastro Ferrer</v>
      </c>
      <c r="G928" s="2"/>
      <c r="H928" s="2"/>
      <c r="I928" s="2" t="str">
        <f>IFERROR(__xludf.DUMMYFUNCTION("""COMPUTED_VALUE"""),"ICM_Business_linked_launch")</f>
        <v>ICM_Business_linked_launch</v>
      </c>
      <c r="J928" s="2" t="str">
        <f>IFERROR(__xludf.DUMMYFUNCTION("""COMPUTED_VALUE"""),"uuid:877325ca-3198-42fb-a9d2-37462b236a0e")</f>
        <v>uuid:877325ca-3198-42fb-a9d2-37462b236a0e</v>
      </c>
    </row>
    <row r="929">
      <c r="A929" s="2" t="str">
        <f>IFERROR(__xludf.DUMMYFUNCTION("""COMPUTED_VALUE"""),"2025-09-29T11:42:01.474Z")</f>
        <v>2025-09-29T11:42:01.474Z</v>
      </c>
      <c r="B929" s="2" t="str">
        <f>IFERROR(__xludf.DUMMYFUNCTION("""COMPUTED_VALUE"""),"2025-09-29T11:40:31.302+08")</f>
        <v>2025-09-29T11:40:31.302+08</v>
      </c>
      <c r="C929" s="2" t="str">
        <f>IFERROR(__xludf.DUMMYFUNCTION("""COMPUTED_VALUE"""),"2025-09-29T11:46:55.982+08")</f>
        <v>2025-09-29T11:46:55.982+08</v>
      </c>
      <c r="D929" s="2" t="str">
        <f>IFERROR(__xludf.DUMMYFUNCTION("""COMPUTED_VALUE"""),"H030748008")</f>
        <v>H030748008</v>
      </c>
      <c r="E929" s="2" t="str">
        <f>IFERROR(__xludf.DUMMYFUNCTION("""COMPUTED_VALUE"""),"H2846135")</f>
        <v>H2846135</v>
      </c>
      <c r="F929" s="2" t="str">
        <f>IFERROR(__xludf.DUMMYFUNCTION("""COMPUTED_VALUE"""),"Annalou Empanado Encontro")</f>
        <v>Annalou Empanado Encontro</v>
      </c>
      <c r="G929" s="2"/>
      <c r="H929" s="2"/>
      <c r="I929" s="2" t="str">
        <f>IFERROR(__xludf.DUMMYFUNCTION("""COMPUTED_VALUE"""),"ICM_Business_linked_launch")</f>
        <v>ICM_Business_linked_launch</v>
      </c>
      <c r="J929" s="2" t="str">
        <f>IFERROR(__xludf.DUMMYFUNCTION("""COMPUTED_VALUE"""),"uuid:450ea82a-13df-4ed4-bbe0-473a3813d1ca")</f>
        <v>uuid:450ea82a-13df-4ed4-bbe0-473a3813d1ca</v>
      </c>
    </row>
    <row r="930">
      <c r="A930" s="2" t="str">
        <f>IFERROR(__xludf.DUMMYFUNCTION("""COMPUTED_VALUE"""),"2025-09-29T11:45:10.184Z")</f>
        <v>2025-09-29T11:45:10.184Z</v>
      </c>
      <c r="B930" s="2" t="str">
        <f>IFERROR(__xludf.DUMMYFUNCTION("""COMPUTED_VALUE"""),"2025-09-29T17:33:56.562+08")</f>
        <v>2025-09-29T17:33:56.562+08</v>
      </c>
      <c r="C930" s="2" t="str">
        <f>IFERROR(__xludf.DUMMYFUNCTION("""COMPUTED_VALUE"""),"2025-09-29T19:44:43.723+08")</f>
        <v>2025-09-29T19:44:43.723+08</v>
      </c>
      <c r="D930" s="2" t="str">
        <f>IFERROR(__xludf.DUMMYFUNCTION("""COMPUTED_VALUE"""),"H030774033")</f>
        <v>H030774033</v>
      </c>
      <c r="E930" s="2" t="str">
        <f>IFERROR(__xludf.DUMMYFUNCTION("""COMPUTED_VALUE"""),"B8193462")</f>
        <v>B8193462</v>
      </c>
      <c r="F930" s="2" t="str">
        <f>IFERROR(__xludf.DUMMYFUNCTION("""COMPUTED_VALUE"""),"Mark Lorens Mendoza Gilongo")</f>
        <v>Mark Lorens Mendoza Gilongo</v>
      </c>
      <c r="G930" s="2"/>
      <c r="H930" s="2"/>
      <c r="I930" s="2" t="str">
        <f>IFERROR(__xludf.DUMMYFUNCTION("""COMPUTED_VALUE"""),"ICM_Business_linked_launch")</f>
        <v>ICM_Business_linked_launch</v>
      </c>
      <c r="J930" s="2" t="str">
        <f>IFERROR(__xludf.DUMMYFUNCTION("""COMPUTED_VALUE"""),"uuid:4769a44c-e99f-443b-8278-bbfd62b68da2")</f>
        <v>uuid:4769a44c-e99f-443b-8278-bbfd62b68da2</v>
      </c>
    </row>
    <row r="931">
      <c r="A931" s="2" t="str">
        <f>IFERROR(__xludf.DUMMYFUNCTION("""COMPUTED_VALUE"""),"2025-09-29T11:48:21.507Z")</f>
        <v>2025-09-29T11:48:21.507Z</v>
      </c>
      <c r="B931" s="2" t="str">
        <f>IFERROR(__xludf.DUMMYFUNCTION("""COMPUTED_VALUE"""),"2025-09-29T12:15:03.956+08")</f>
        <v>2025-09-29T12:15:03.956+08</v>
      </c>
      <c r="C931" s="2" t="str">
        <f>IFERROR(__xludf.DUMMYFUNCTION("""COMPUTED_VALUE"""),"2025-09-29T19:48:05.606+08")</f>
        <v>2025-09-29T19:48:05.606+08</v>
      </c>
      <c r="D931" s="2" t="str">
        <f>IFERROR(__xludf.DUMMYFUNCTION("""COMPUTED_VALUE"""),"H006405022")</f>
        <v>H006405022</v>
      </c>
      <c r="E931" s="2" t="str">
        <f>IFERROR(__xludf.DUMMYFUNCTION("""COMPUTED_VALUE"""),"M6491032")</f>
        <v>M6491032</v>
      </c>
      <c r="F931" s="2" t="str">
        <f>IFERROR(__xludf.DUMMYFUNCTION("""COMPUTED_VALUE"""),"Rosevil Tayo Desamparado")</f>
        <v>Rosevil Tayo Desamparado</v>
      </c>
      <c r="G931" s="2"/>
      <c r="H931" s="2"/>
      <c r="I931" s="2" t="str">
        <f>IFERROR(__xludf.DUMMYFUNCTION("""COMPUTED_VALUE"""),"ICM_Business_linked_launch")</f>
        <v>ICM_Business_linked_launch</v>
      </c>
      <c r="J931" s="2" t="str">
        <f>IFERROR(__xludf.DUMMYFUNCTION("""COMPUTED_VALUE"""),"uuid:54006b30-4387-46ec-8106-b6e7dc3be9bb")</f>
        <v>uuid:54006b30-4387-46ec-8106-b6e7dc3be9bb</v>
      </c>
    </row>
    <row r="932">
      <c r="A932" s="2" t="str">
        <f>IFERROR(__xludf.DUMMYFUNCTION("""COMPUTED_VALUE"""),"2025-09-29T11:55:05.728Z")</f>
        <v>2025-09-29T11:55:05.728Z</v>
      </c>
      <c r="B932" s="2" t="str">
        <f>IFERROR(__xludf.DUMMYFUNCTION("""COMPUTED_VALUE"""),"2025-09-29T14:26:18.583+08")</f>
        <v>2025-09-29T14:26:18.583+08</v>
      </c>
      <c r="C932" s="2" t="str">
        <f>IFERROR(__xludf.DUMMYFUNCTION("""COMPUTED_VALUE"""),"2025-09-29T19:54:51.518+08")</f>
        <v>2025-09-29T19:54:51.518+08</v>
      </c>
      <c r="D932" s="2" t="str">
        <f>IFERROR(__xludf.DUMMYFUNCTION("""COMPUTED_VALUE"""),"H030514030")</f>
        <v>H030514030</v>
      </c>
      <c r="E932" s="2" t="str">
        <f>IFERROR(__xludf.DUMMYFUNCTION("""COMPUTED_VALUE"""),"C7502931")</f>
        <v>C7502931</v>
      </c>
      <c r="F932" s="2" t="str">
        <f>IFERROR(__xludf.DUMMYFUNCTION("""COMPUTED_VALUE"""),"Jenny Lou Toles Estacio")</f>
        <v>Jenny Lou Toles Estacio</v>
      </c>
      <c r="G932" s="2"/>
      <c r="H932" s="2"/>
      <c r="I932" s="2" t="str">
        <f>IFERROR(__xludf.DUMMYFUNCTION("""COMPUTED_VALUE"""),"ICM_Business_linked_launch")</f>
        <v>ICM_Business_linked_launch</v>
      </c>
      <c r="J932" s="2" t="str">
        <f>IFERROR(__xludf.DUMMYFUNCTION("""COMPUTED_VALUE"""),"uuid:0393f9a6-dd11-4ac3-8fef-aa2553fb5892")</f>
        <v>uuid:0393f9a6-dd11-4ac3-8fef-aa2553fb5892</v>
      </c>
    </row>
    <row r="933">
      <c r="A933" s="2" t="str">
        <f>IFERROR(__xludf.DUMMYFUNCTION("""COMPUTED_VALUE"""),"2025-09-29T12:00:28.669Z")</f>
        <v>2025-09-29T12:00:28.669Z</v>
      </c>
      <c r="B933" s="2" t="str">
        <f>IFERROR(__xludf.DUMMYFUNCTION("""COMPUTED_VALUE"""),"2025-09-29T11:50:43.029+08")</f>
        <v>2025-09-29T11:50:43.029+08</v>
      </c>
      <c r="C933" s="2" t="str">
        <f>IFERROR(__xludf.DUMMYFUNCTION("""COMPUTED_VALUE"""),"2025-09-29T11:56:01.081+08")</f>
        <v>2025-09-29T11:56:01.081+08</v>
      </c>
      <c r="D933" s="2" t="str">
        <f>IFERROR(__xludf.DUMMYFUNCTION("""COMPUTED_VALUE"""),"H006405030")</f>
        <v>H006405030</v>
      </c>
      <c r="E933" s="2" t="str">
        <f>IFERROR(__xludf.DUMMYFUNCTION("""COMPUTED_VALUE"""),"L2057896")</f>
        <v>L2057896</v>
      </c>
      <c r="F933" s="2" t="str">
        <f>IFERROR(__xludf.DUMMYFUNCTION("""COMPUTED_VALUE"""),"Franz Reoben Posadas Geneblaza")</f>
        <v>Franz Reoben Posadas Geneblaza</v>
      </c>
      <c r="G933" s="2"/>
      <c r="H933" s="2"/>
      <c r="I933" s="2" t="str">
        <f>IFERROR(__xludf.DUMMYFUNCTION("""COMPUTED_VALUE"""),"ICM_Business_linked_launch")</f>
        <v>ICM_Business_linked_launch</v>
      </c>
      <c r="J933" s="2" t="str">
        <f>IFERROR(__xludf.DUMMYFUNCTION("""COMPUTED_VALUE"""),"uuid:c9599e5a-44a3-4010-b373-35161a1713eb")</f>
        <v>uuid:c9599e5a-44a3-4010-b373-35161a1713eb</v>
      </c>
    </row>
    <row r="934">
      <c r="A934" s="2" t="str">
        <f>IFERROR(__xludf.DUMMYFUNCTION("""COMPUTED_VALUE"""),"2025-09-29T12:05:36.559Z")</f>
        <v>2025-09-29T12:05:36.559Z</v>
      </c>
      <c r="B934" s="2" t="str">
        <f>IFERROR(__xludf.DUMMYFUNCTION("""COMPUTED_VALUE"""),"2025-09-29T15:34:19.611+08")</f>
        <v>2025-09-29T15:34:19.611+08</v>
      </c>
      <c r="C934" s="2" t="str">
        <f>IFERROR(__xludf.DUMMYFUNCTION("""COMPUTED_VALUE"""),"2025-09-29T20:04:48.617+08")</f>
        <v>2025-09-29T20:04:48.617+08</v>
      </c>
      <c r="D934" s="2" t="str">
        <f>IFERROR(__xludf.DUMMYFUNCTION("""COMPUTED_VALUE"""),"H006405031")</f>
        <v>H006405031</v>
      </c>
      <c r="E934" s="2" t="str">
        <f>IFERROR(__xludf.DUMMYFUNCTION("""COMPUTED_VALUE"""),"K8623174")</f>
        <v>K8623174</v>
      </c>
      <c r="F934" s="2" t="str">
        <f>IFERROR(__xludf.DUMMYFUNCTION("""COMPUTED_VALUE"""),"Marielle Kaye Ignacio Alonzo")</f>
        <v>Marielle Kaye Ignacio Alonzo</v>
      </c>
      <c r="G934" s="2"/>
      <c r="H934" s="2"/>
      <c r="I934" s="2" t="str">
        <f>IFERROR(__xludf.DUMMYFUNCTION("""COMPUTED_VALUE"""),"ICM_Business_linked_launch")</f>
        <v>ICM_Business_linked_launch</v>
      </c>
      <c r="J934" s="2" t="str">
        <f>IFERROR(__xludf.DUMMYFUNCTION("""COMPUTED_VALUE"""),"uuid:607eedd7-c391-4b3e-bb57-c3caa7d8d842")</f>
        <v>uuid:607eedd7-c391-4b3e-bb57-c3caa7d8d842</v>
      </c>
    </row>
    <row r="935">
      <c r="A935" s="2" t="str">
        <f>IFERROR(__xludf.DUMMYFUNCTION("""COMPUTED_VALUE"""),"2025-09-29T12:08:18.506Z")</f>
        <v>2025-09-29T12:08:18.506Z</v>
      </c>
      <c r="B935" s="2" t="str">
        <f>IFERROR(__xludf.DUMMYFUNCTION("""COMPUTED_VALUE"""),"2025-09-29T14:16:40.354+08")</f>
        <v>2025-09-29T14:16:40.354+08</v>
      </c>
      <c r="C935" s="2" t="str">
        <f>IFERROR(__xludf.DUMMYFUNCTION("""COMPUTED_VALUE"""),"2025-09-29T14:25:45.009+08")</f>
        <v>2025-09-29T14:25:45.009+08</v>
      </c>
      <c r="D935" s="2" t="str">
        <f>IFERROR(__xludf.DUMMYFUNCTION("""COMPUTED_VALUE"""),"H030015022")</f>
        <v>H030015022</v>
      </c>
      <c r="E935" s="2" t="str">
        <f>IFERROR(__xludf.DUMMYFUNCTION("""COMPUTED_VALUE"""),"F3051749")</f>
        <v>F3051749</v>
      </c>
      <c r="F935" s="2" t="str">
        <f>IFERROR(__xludf.DUMMYFUNCTION("""COMPUTED_VALUE"""),"Elenita Gicos De La Pe�a")</f>
        <v>Elenita Gicos De La Pe�a</v>
      </c>
      <c r="G935" s="2"/>
      <c r="H935" s="2"/>
      <c r="I935" s="2" t="str">
        <f>IFERROR(__xludf.DUMMYFUNCTION("""COMPUTED_VALUE"""),"ICM_Business_linked_launch")</f>
        <v>ICM_Business_linked_launch</v>
      </c>
      <c r="J935" s="2" t="str">
        <f>IFERROR(__xludf.DUMMYFUNCTION("""COMPUTED_VALUE"""),"uuid:f8869403-528a-4339-a66e-1462c4e9ff9f")</f>
        <v>uuid:f8869403-528a-4339-a66e-1462c4e9ff9f</v>
      </c>
    </row>
    <row r="936">
      <c r="A936" s="2" t="str">
        <f>IFERROR(__xludf.DUMMYFUNCTION("""COMPUTED_VALUE"""),"2025-09-29T12:51:32.657Z")</f>
        <v>2025-09-29T12:51:32.657Z</v>
      </c>
      <c r="B936" s="2" t="str">
        <f>IFERROR(__xludf.DUMMYFUNCTION("""COMPUTED_VALUE"""),"2025-09-29T12:16:29.817+08")</f>
        <v>2025-09-29T12:16:29.817+08</v>
      </c>
      <c r="C936" s="2" t="str">
        <f>IFERROR(__xludf.DUMMYFUNCTION("""COMPUTED_VALUE"""),"2025-09-29T20:50:57.909+08")</f>
        <v>2025-09-29T20:50:57.909+08</v>
      </c>
      <c r="D936" s="2" t="str">
        <f>IFERROR(__xludf.DUMMYFUNCTION("""COMPUTED_VALUE"""),"H030470020")</f>
        <v>H030470020</v>
      </c>
      <c r="E936" s="2">
        <f>IFERROR(__xludf.DUMMYFUNCTION("""COMPUTED_VALUE"""),896791.0)</f>
        <v>896791</v>
      </c>
      <c r="F936" s="2" t="str">
        <f>IFERROR(__xludf.DUMMYFUNCTION("""COMPUTED_VALUE"""),"Roland A. Bandiola jr_2")</f>
        <v>Roland A. Bandiola jr_2</v>
      </c>
      <c r="G936" s="2"/>
      <c r="H936" s="2"/>
      <c r="I936" s="2" t="str">
        <f>IFERROR(__xludf.DUMMYFUNCTION("""COMPUTED_VALUE"""),"ICM_Business_linked_launch")</f>
        <v>ICM_Business_linked_launch</v>
      </c>
      <c r="J936" s="2" t="str">
        <f>IFERROR(__xludf.DUMMYFUNCTION("""COMPUTED_VALUE"""),"uuid:32cb8fcd-45f8-4322-916d-8ac0b4e4a4ab")</f>
        <v>uuid:32cb8fcd-45f8-4322-916d-8ac0b4e4a4ab</v>
      </c>
    </row>
    <row r="937">
      <c r="A937" s="2" t="str">
        <f>IFERROR(__xludf.DUMMYFUNCTION("""COMPUTED_VALUE"""),"2025-09-29T13:03:58.452Z")</f>
        <v>2025-09-29T13:03:58.452Z</v>
      </c>
      <c r="B937" s="2" t="str">
        <f>IFERROR(__xludf.DUMMYFUNCTION("""COMPUTED_VALUE"""),"2025-09-29T18:48:30.209+08")</f>
        <v>2025-09-29T18:48:30.209+08</v>
      </c>
      <c r="C937" s="2" t="str">
        <f>IFERROR(__xludf.DUMMYFUNCTION("""COMPUTED_VALUE"""),"2025-09-29T18:51:19.285+08")</f>
        <v>2025-09-29T18:51:19.285+08</v>
      </c>
      <c r="D937" s="2" t="str">
        <f>IFERROR(__xludf.DUMMYFUNCTION("""COMPUTED_VALUE"""),"H006405024")</f>
        <v>H006405024</v>
      </c>
      <c r="E937" s="2" t="str">
        <f>IFERROR(__xludf.DUMMYFUNCTION("""COMPUTED_VALUE"""),"J4315980")</f>
        <v>J4315980</v>
      </c>
      <c r="F937" s="2" t="str">
        <f>IFERROR(__xludf.DUMMYFUNCTION("""COMPUTED_VALUE"""),"Trixie Marie Jardeleza Saber")</f>
        <v>Trixie Marie Jardeleza Saber</v>
      </c>
      <c r="G937" s="2"/>
      <c r="H937" s="2"/>
      <c r="I937" s="2" t="str">
        <f>IFERROR(__xludf.DUMMYFUNCTION("""COMPUTED_VALUE"""),"ICM_Business_linked_launch")</f>
        <v>ICM_Business_linked_launch</v>
      </c>
      <c r="J937" s="2" t="str">
        <f>IFERROR(__xludf.DUMMYFUNCTION("""COMPUTED_VALUE"""),"uuid:bc6bb350-2530-4e5b-99d4-87db023fe752")</f>
        <v>uuid:bc6bb350-2530-4e5b-99d4-87db023fe752</v>
      </c>
    </row>
    <row r="938">
      <c r="A938" s="2" t="str">
        <f>IFERROR(__xludf.DUMMYFUNCTION("""COMPUTED_VALUE"""),"2025-09-30T09:32:03.344Z")</f>
        <v>2025-09-30T09:32:03.344Z</v>
      </c>
      <c r="B938" s="2" t="str">
        <f>IFERROR(__xludf.DUMMYFUNCTION("""COMPUTED_VALUE"""),"2025-09-30T13:19:31.193+08")</f>
        <v>2025-09-30T13:19:31.193+08</v>
      </c>
      <c r="C938" s="2" t="str">
        <f>IFERROR(__xludf.DUMMYFUNCTION("""COMPUTED_VALUE"""),"2025-09-30T17:29:01.715+08")</f>
        <v>2025-09-30T17:29:01.715+08</v>
      </c>
      <c r="D938" s="2" t="str">
        <f>IFERROR(__xludf.DUMMYFUNCTION("""COMPUTED_VALUE"""),"H019506023")</f>
        <v>H019506023</v>
      </c>
      <c r="E938" s="2">
        <f>IFERROR(__xludf.DUMMYFUNCTION("""COMPUTED_VALUE"""),859767.0)</f>
        <v>859767</v>
      </c>
      <c r="F938" s="2" t="str">
        <f>IFERROR(__xludf.DUMMYFUNCTION("""COMPUTED_VALUE"""),"Ramie De Pedro Jr._2")</f>
        <v>Ramie De Pedro Jr._2</v>
      </c>
      <c r="G938" s="2"/>
      <c r="H938" s="2"/>
      <c r="I938" s="2" t="str">
        <f>IFERROR(__xludf.DUMMYFUNCTION("""COMPUTED_VALUE"""),"ICM_Business_linked_launch")</f>
        <v>ICM_Business_linked_launch</v>
      </c>
      <c r="J938" s="2" t="str">
        <f>IFERROR(__xludf.DUMMYFUNCTION("""COMPUTED_VALUE"""),"uuid:e92d2833-d586-489d-89cf-fbc960bf289d")</f>
        <v>uuid:e92d2833-d586-489d-89cf-fbc960bf289d</v>
      </c>
    </row>
    <row r="939">
      <c r="A939" s="2" t="str">
        <f>IFERROR(__xludf.DUMMYFUNCTION("""COMPUTED_VALUE"""),"2025-09-30T10:24:15.357Z")</f>
        <v>2025-09-30T10:24:15.357Z</v>
      </c>
      <c r="B939" s="2" t="str">
        <f>IFERROR(__xludf.DUMMYFUNCTION("""COMPUTED_VALUE"""),"2025-09-30T14:05:02.913+08")</f>
        <v>2025-09-30T14:05:02.913+08</v>
      </c>
      <c r="C939" s="2" t="str">
        <f>IFERROR(__xludf.DUMMYFUNCTION("""COMPUTED_VALUE"""),"2025-09-30T18:23:26.322+08")</f>
        <v>2025-09-30T18:23:26.322+08</v>
      </c>
      <c r="D939" s="2" t="str">
        <f>IFERROR(__xludf.DUMMYFUNCTION("""COMPUTED_VALUE"""),"H030566032")</f>
        <v>H030566032</v>
      </c>
      <c r="E939" s="2" t="str">
        <f>IFERROR(__xludf.DUMMYFUNCTION("""COMPUTED_VALUE"""),"C7502931")</f>
        <v>C7502931</v>
      </c>
      <c r="F939" s="2" t="str">
        <f>IFERROR(__xludf.DUMMYFUNCTION("""COMPUTED_VALUE"""),"Jenny Lou Toles Estacio")</f>
        <v>Jenny Lou Toles Estacio</v>
      </c>
      <c r="G939" s="2"/>
      <c r="H939" s="2"/>
      <c r="I939" s="2" t="str">
        <f>IFERROR(__xludf.DUMMYFUNCTION("""COMPUTED_VALUE"""),"ICM_Business_linked_launch")</f>
        <v>ICM_Business_linked_launch</v>
      </c>
      <c r="J939" s="2" t="str">
        <f>IFERROR(__xludf.DUMMYFUNCTION("""COMPUTED_VALUE"""),"uuid:531b8bc3-8bd5-4b7f-906b-5f158d0eafaa")</f>
        <v>uuid:531b8bc3-8bd5-4b7f-906b-5f158d0eafaa</v>
      </c>
    </row>
    <row r="940">
      <c r="A940" s="2" t="str">
        <f>IFERROR(__xludf.DUMMYFUNCTION("""COMPUTED_VALUE"""),"2025-09-30T11:13:43.966Z")</f>
        <v>2025-09-30T11:13:43.966Z</v>
      </c>
      <c r="B940" s="2" t="str">
        <f>IFERROR(__xludf.DUMMYFUNCTION("""COMPUTED_VALUE"""),"2025-09-30T10:42:07.768+08")</f>
        <v>2025-09-30T10:42:07.768+08</v>
      </c>
      <c r="C940" s="2" t="str">
        <f>IFERROR(__xludf.DUMMYFUNCTION("""COMPUTED_VALUE"""),"2025-09-30T11:31:46.667+08")</f>
        <v>2025-09-30T11:31:46.667+08</v>
      </c>
      <c r="D940" s="2" t="str">
        <f>IFERROR(__xludf.DUMMYFUNCTION("""COMPUTED_VALUE"""),"H006525024")</f>
        <v>H006525024</v>
      </c>
      <c r="E940" s="2" t="str">
        <f>IFERROR(__xludf.DUMMYFUNCTION("""COMPUTED_VALUE"""),"O3925718")</f>
        <v>O3925718</v>
      </c>
      <c r="F940" s="2" t="str">
        <f>IFERROR(__xludf.DUMMYFUNCTION("""COMPUTED_VALUE"""),"Adrian Montecastro Ferrer")</f>
        <v>Adrian Montecastro Ferrer</v>
      </c>
      <c r="G940" s="2"/>
      <c r="H940" s="2"/>
      <c r="I940" s="2" t="str">
        <f>IFERROR(__xludf.DUMMYFUNCTION("""COMPUTED_VALUE"""),"ICM_Business_linked_launch")</f>
        <v>ICM_Business_linked_launch</v>
      </c>
      <c r="J940" s="2" t="str">
        <f>IFERROR(__xludf.DUMMYFUNCTION("""COMPUTED_VALUE"""),"uuid:c73a42a2-aef4-46bb-a0e2-8940d9c265e2")</f>
        <v>uuid:c73a42a2-aef4-46bb-a0e2-8940d9c265e2</v>
      </c>
    </row>
    <row r="941">
      <c r="A941" s="2" t="str">
        <f>IFERROR(__xludf.DUMMYFUNCTION("""COMPUTED_VALUE"""),"2025-09-30T11:21:49.121Z")</f>
        <v>2025-09-30T11:21:49.121Z</v>
      </c>
      <c r="B941" s="2" t="str">
        <f>IFERROR(__xludf.DUMMYFUNCTION("""COMPUTED_VALUE"""),"2025-09-30T10:23:44.010+08")</f>
        <v>2025-09-30T10:23:44.010+08</v>
      </c>
      <c r="C941" s="2" t="str">
        <f>IFERROR(__xludf.DUMMYFUNCTION("""COMPUTED_VALUE"""),"2025-09-30T12:23:12.468+08")</f>
        <v>2025-09-30T12:23:12.468+08</v>
      </c>
      <c r="D941" s="2" t="str">
        <f>IFERROR(__xludf.DUMMYFUNCTION("""COMPUTED_VALUE"""),"H006525032")</f>
        <v>H006525032</v>
      </c>
      <c r="E941" s="2" t="str">
        <f>IFERROR(__xludf.DUMMYFUNCTION("""COMPUTED_VALUE"""),"P1068432")</f>
        <v>P1068432</v>
      </c>
      <c r="F941" s="2" t="str">
        <f>IFERROR(__xludf.DUMMYFUNCTION("""COMPUTED_VALUE"""),"Mark Daniel Balagao Benson")</f>
        <v>Mark Daniel Balagao Benson</v>
      </c>
      <c r="G941" s="2"/>
      <c r="H941" s="2"/>
      <c r="I941" s="2" t="str">
        <f>IFERROR(__xludf.DUMMYFUNCTION("""COMPUTED_VALUE"""),"ICM_Business_linked_launch")</f>
        <v>ICM_Business_linked_launch</v>
      </c>
      <c r="J941" s="2" t="str">
        <f>IFERROR(__xludf.DUMMYFUNCTION("""COMPUTED_VALUE"""),"uuid:176254b0-9927-403c-9aa9-0102aa8383ec")</f>
        <v>uuid:176254b0-9927-403c-9aa9-0102aa8383ec</v>
      </c>
    </row>
    <row r="942">
      <c r="A942" s="2" t="str">
        <f>IFERROR(__xludf.DUMMYFUNCTION("""COMPUTED_VALUE"""),"2025-09-30T11:41:26.486Z")</f>
        <v>2025-09-30T11:41:26.486Z</v>
      </c>
      <c r="B942" s="2" t="str">
        <f>IFERROR(__xludf.DUMMYFUNCTION("""COMPUTED_VALUE"""),"2025-09-30T11:46:19.563+08")</f>
        <v>2025-09-30T11:46:19.563+08</v>
      </c>
      <c r="C942" s="2" t="str">
        <f>IFERROR(__xludf.DUMMYFUNCTION("""COMPUTED_VALUE"""),"2025-09-30T11:51:27.986+08")</f>
        <v>2025-09-30T11:51:27.986+08</v>
      </c>
      <c r="D942" s="2" t="str">
        <f>IFERROR(__xludf.DUMMYFUNCTION("""COMPUTED_VALUE"""),"H030647031")</f>
        <v>H030647031</v>
      </c>
      <c r="E942" s="2" t="str">
        <f>IFERROR(__xludf.DUMMYFUNCTION("""COMPUTED_VALUE"""),"G5472901")</f>
        <v>G5472901</v>
      </c>
      <c r="F942" s="2" t="str">
        <f>IFERROR(__xludf.DUMMYFUNCTION("""COMPUTED_VALUE"""),"Wellyn Grace Alaban Parcia")</f>
        <v>Wellyn Grace Alaban Parcia</v>
      </c>
      <c r="G942" s="2"/>
      <c r="H942" s="2"/>
      <c r="I942" s="2" t="str">
        <f>IFERROR(__xludf.DUMMYFUNCTION("""COMPUTED_VALUE"""),"ICM_Business_linked_launch")</f>
        <v>ICM_Business_linked_launch</v>
      </c>
      <c r="J942" s="2" t="str">
        <f>IFERROR(__xludf.DUMMYFUNCTION("""COMPUTED_VALUE"""),"uuid:f4ab7398-152d-4d4f-9208-69558fbe3fb3")</f>
        <v>uuid:f4ab7398-152d-4d4f-9208-69558fbe3fb3</v>
      </c>
    </row>
    <row r="943">
      <c r="A943" s="2" t="str">
        <f>IFERROR(__xludf.DUMMYFUNCTION("""COMPUTED_VALUE"""),"2025-09-30T13:17:32.232Z")</f>
        <v>2025-09-30T13:17:32.232Z</v>
      </c>
      <c r="B943" s="2" t="str">
        <f>IFERROR(__xludf.DUMMYFUNCTION("""COMPUTED_VALUE"""),"2025-09-30T11:55:19.069+08")</f>
        <v>2025-09-30T11:55:19.069+08</v>
      </c>
      <c r="C943" s="2" t="str">
        <f>IFERROR(__xludf.DUMMYFUNCTION("""COMPUTED_VALUE"""),"2025-09-30T12:01:52.275+08")</f>
        <v>2025-09-30T12:01:52.275+08</v>
      </c>
      <c r="D943" s="2" t="str">
        <f>IFERROR(__xludf.DUMMYFUNCTION("""COMPUTED_VALUE"""),"H019506034")</f>
        <v>H019506034</v>
      </c>
      <c r="E943" s="2" t="str">
        <f>IFERROR(__xludf.DUMMYFUNCTION("""COMPUTED_VALUE"""),"S2671943")</f>
        <v>S2671943</v>
      </c>
      <c r="F943" s="2" t="str">
        <f>IFERROR(__xludf.DUMMYFUNCTION("""COMPUTED_VALUE"""),"Marvin Mondia")</f>
        <v>Marvin Mondia</v>
      </c>
      <c r="G943" s="2"/>
      <c r="H943" s="2"/>
      <c r="I943" s="2" t="str">
        <f>IFERROR(__xludf.DUMMYFUNCTION("""COMPUTED_VALUE"""),"ICM_Business_linked_launch")</f>
        <v>ICM_Business_linked_launch</v>
      </c>
      <c r="J943" s="2" t="str">
        <f>IFERROR(__xludf.DUMMYFUNCTION("""COMPUTED_VALUE"""),"uuid:f37627c0-195d-41eb-ba71-c7e16c8ae9f3")</f>
        <v>uuid:f37627c0-195d-41eb-ba71-c7e16c8ae9f3</v>
      </c>
    </row>
    <row r="944">
      <c r="A944" s="2" t="str">
        <f>IFERROR(__xludf.DUMMYFUNCTION("""COMPUTED_VALUE"""),"2025-09-30T13:17:34.900Z")</f>
        <v>2025-09-30T13:17:34.900Z</v>
      </c>
      <c r="B944" s="2" t="str">
        <f>IFERROR(__xludf.DUMMYFUNCTION("""COMPUTED_VALUE"""),"2025-09-30T16:09:39.864+08")</f>
        <v>2025-09-30T16:09:39.864+08</v>
      </c>
      <c r="C944" s="2" t="str">
        <f>IFERROR(__xludf.DUMMYFUNCTION("""COMPUTED_VALUE"""),"2025-09-30T16:11:04.250+08")</f>
        <v>2025-09-30T16:11:04.250+08</v>
      </c>
      <c r="D944" s="2" t="str">
        <f>IFERROR(__xludf.DUMMYFUNCTION("""COMPUTED_VALUE"""),"H019506027")</f>
        <v>H019506027</v>
      </c>
      <c r="E944" s="2" t="str">
        <f>IFERROR(__xludf.DUMMYFUNCTION("""COMPUTED_VALUE"""),"S2671943")</f>
        <v>S2671943</v>
      </c>
      <c r="F944" s="2" t="str">
        <f>IFERROR(__xludf.DUMMYFUNCTION("""COMPUTED_VALUE"""),"Marvin Mondia")</f>
        <v>Marvin Mondia</v>
      </c>
      <c r="G944" s="2"/>
      <c r="H944" s="2"/>
      <c r="I944" s="2" t="str">
        <f>IFERROR(__xludf.DUMMYFUNCTION("""COMPUTED_VALUE"""),"ICM_Business_linked_launch")</f>
        <v>ICM_Business_linked_launch</v>
      </c>
      <c r="J944" s="2" t="str">
        <f>IFERROR(__xludf.DUMMYFUNCTION("""COMPUTED_VALUE"""),"uuid:ad03e0ab-3e42-4085-82e8-0d5c6df9d147")</f>
        <v>uuid:ad03e0ab-3e42-4085-82e8-0d5c6df9d147</v>
      </c>
    </row>
    <row r="945">
      <c r="A945" s="2" t="str">
        <f>IFERROR(__xludf.DUMMYFUNCTION("""COMPUTED_VALUE"""),"2025-10-01T08:50:18.399Z")</f>
        <v>2025-10-01T08:50:18.399Z</v>
      </c>
      <c r="B945" s="2" t="str">
        <f>IFERROR(__xludf.DUMMYFUNCTION("""COMPUTED_VALUE"""),"2025-10-01T12:14:07.987+08")</f>
        <v>2025-10-01T12:14:07.987+08</v>
      </c>
      <c r="C945" s="2" t="str">
        <f>IFERROR(__xludf.DUMMYFUNCTION("""COMPUTED_VALUE"""),"2025-10-01T12:14:43.536+08")</f>
        <v>2025-10-01T12:14:43.536+08</v>
      </c>
      <c r="D945" s="2" t="str">
        <f>IFERROR(__xludf.DUMMYFUNCTION("""COMPUTED_VALUE"""),"H004132019")</f>
        <v>H004132019</v>
      </c>
      <c r="E945" s="2">
        <f>IFERROR(__xludf.DUMMYFUNCTION("""COMPUTED_VALUE"""),841329.0)</f>
        <v>841329</v>
      </c>
      <c r="F945" s="2" t="str">
        <f>IFERROR(__xludf.DUMMYFUNCTION("""COMPUTED_VALUE"""),"Aila Eli_2")</f>
        <v>Aila Eli_2</v>
      </c>
      <c r="G945" s="2"/>
      <c r="H945" s="2"/>
      <c r="I945" s="2" t="str">
        <f>IFERROR(__xludf.DUMMYFUNCTION("""COMPUTED_VALUE"""),"ICM_Business_linked_launch")</f>
        <v>ICM_Business_linked_launch</v>
      </c>
      <c r="J945" s="2" t="str">
        <f>IFERROR(__xludf.DUMMYFUNCTION("""COMPUTED_VALUE"""),"uuid:8adb72cd-971c-47c2-8570-301621fed7eb")</f>
        <v>uuid:8adb72cd-971c-47c2-8570-301621fed7eb</v>
      </c>
    </row>
    <row r="946">
      <c r="A946" s="2" t="str">
        <f>IFERROR(__xludf.DUMMYFUNCTION("""COMPUTED_VALUE"""),"2025-10-01T10:33:30.795Z")</f>
        <v>2025-10-01T10:33:30.795Z</v>
      </c>
      <c r="B946" s="2" t="str">
        <f>IFERROR(__xludf.DUMMYFUNCTION("""COMPUTED_VALUE"""),"2025-10-01T10:46:03.187+08")</f>
        <v>2025-10-01T10:46:03.187+08</v>
      </c>
      <c r="C946" s="2" t="str">
        <f>IFERROR(__xludf.DUMMYFUNCTION("""COMPUTED_VALUE"""),"2025-10-01T11:00:54.183+08")</f>
        <v>2025-10-01T11:00:54.183+08</v>
      </c>
      <c r="D946" s="2" t="str">
        <f>IFERROR(__xludf.DUMMYFUNCTION("""COMPUTED_VALUE"""),"H030310031")</f>
        <v>H030310031</v>
      </c>
      <c r="E946" s="2" t="str">
        <f>IFERROR(__xludf.DUMMYFUNCTION("""COMPUTED_VALUE"""),"G5472901")</f>
        <v>G5472901</v>
      </c>
      <c r="F946" s="2" t="str">
        <f>IFERROR(__xludf.DUMMYFUNCTION("""COMPUTED_VALUE"""),"Wellyn Grace Alaban Parcia")</f>
        <v>Wellyn Grace Alaban Parcia</v>
      </c>
      <c r="G946" s="2"/>
      <c r="H946" s="2"/>
      <c r="I946" s="2" t="str">
        <f>IFERROR(__xludf.DUMMYFUNCTION("""COMPUTED_VALUE"""),"ICM_Business_linked_launch")</f>
        <v>ICM_Business_linked_launch</v>
      </c>
      <c r="J946" s="2" t="str">
        <f>IFERROR(__xludf.DUMMYFUNCTION("""COMPUTED_VALUE"""),"uuid:92021eca-c0fb-4163-9066-917ddddbadbe")</f>
        <v>uuid:92021eca-c0fb-4163-9066-917ddddbadbe</v>
      </c>
    </row>
    <row r="947">
      <c r="A947" s="2" t="str">
        <f>IFERROR(__xludf.DUMMYFUNCTION("""COMPUTED_VALUE"""),"2025-10-01T10:56:35.569Z")</f>
        <v>2025-10-01T10:56:35.569Z</v>
      </c>
      <c r="B947" s="2" t="str">
        <f>IFERROR(__xludf.DUMMYFUNCTION("""COMPUTED_VALUE"""),"2025-10-01T17:38:25.965+08")</f>
        <v>2025-10-01T17:38:25.965+08</v>
      </c>
      <c r="C947" s="2" t="str">
        <f>IFERROR(__xludf.DUMMYFUNCTION("""COMPUTED_VALUE"""),"2025-10-01T17:44:40.337+08")</f>
        <v>2025-10-01T17:44:40.337+08</v>
      </c>
      <c r="D947" s="2" t="str">
        <f>IFERROR(__xludf.DUMMYFUNCTION("""COMPUTED_VALUE"""),"H019611023")</f>
        <v>H019611023</v>
      </c>
      <c r="E947" s="2">
        <f>IFERROR(__xludf.DUMMYFUNCTION("""COMPUTED_VALUE"""),859767.0)</f>
        <v>859767</v>
      </c>
      <c r="F947" s="2" t="str">
        <f>IFERROR(__xludf.DUMMYFUNCTION("""COMPUTED_VALUE"""),"Ramie De Pedro Jr._2")</f>
        <v>Ramie De Pedro Jr._2</v>
      </c>
      <c r="G947" s="2"/>
      <c r="H947" s="2"/>
      <c r="I947" s="2" t="str">
        <f>IFERROR(__xludf.DUMMYFUNCTION("""COMPUTED_VALUE"""),"ICM_Business_linked_launch")</f>
        <v>ICM_Business_linked_launch</v>
      </c>
      <c r="J947" s="2" t="str">
        <f>IFERROR(__xludf.DUMMYFUNCTION("""COMPUTED_VALUE"""),"uuid:971d1cf9-5ca9-44f8-8a70-f75cfa058827")</f>
        <v>uuid:971d1cf9-5ca9-44f8-8a70-f75cfa058827</v>
      </c>
    </row>
    <row r="948">
      <c r="A948" s="2" t="str">
        <f>IFERROR(__xludf.DUMMYFUNCTION("""COMPUTED_VALUE"""),"2025-10-01T11:04:03.990Z")</f>
        <v>2025-10-01T11:04:03.990Z</v>
      </c>
      <c r="B948" s="2" t="str">
        <f>IFERROR(__xludf.DUMMYFUNCTION("""COMPUTED_VALUE"""),"2025-10-01T12:04:22.989+08")</f>
        <v>2025-10-01T12:04:22.989+08</v>
      </c>
      <c r="C948" s="2" t="str">
        <f>IFERROR(__xludf.DUMMYFUNCTION("""COMPUTED_VALUE"""),"2025-10-01T12:14:03.493+08")</f>
        <v>2025-10-01T12:14:03.493+08</v>
      </c>
      <c r="D948" s="2" t="str">
        <f>IFERROR(__xludf.DUMMYFUNCTION("""COMPUTED_VALUE"""),"H030373018")</f>
        <v>H030373018</v>
      </c>
      <c r="E948" s="2" t="str">
        <f>IFERROR(__xludf.DUMMYFUNCTION("""COMPUTED_VALUE"""),"H2846135")</f>
        <v>H2846135</v>
      </c>
      <c r="F948" s="2" t="str">
        <f>IFERROR(__xludf.DUMMYFUNCTION("""COMPUTED_VALUE"""),"Annalou Empanado Encontro")</f>
        <v>Annalou Empanado Encontro</v>
      </c>
      <c r="G948" s="2"/>
      <c r="H948" s="2"/>
      <c r="I948" s="2" t="str">
        <f>IFERROR(__xludf.DUMMYFUNCTION("""COMPUTED_VALUE"""),"ICM_Business_linked_launch")</f>
        <v>ICM_Business_linked_launch</v>
      </c>
      <c r="J948" s="2" t="str">
        <f>IFERROR(__xludf.DUMMYFUNCTION("""COMPUTED_VALUE"""),"uuid:f474df56-e113-4b34-a78b-af9cc8a62710")</f>
        <v>uuid:f474df56-e113-4b34-a78b-af9cc8a62710</v>
      </c>
    </row>
    <row r="949">
      <c r="A949" s="2" t="str">
        <f>IFERROR(__xludf.DUMMYFUNCTION("""COMPUTED_VALUE"""),"2025-10-01T11:04:04.789Z")</f>
        <v>2025-10-01T11:04:04.789Z</v>
      </c>
      <c r="B949" s="2" t="str">
        <f>IFERROR(__xludf.DUMMYFUNCTION("""COMPUTED_VALUE"""),"2025-10-01T13:42:42.232+08")</f>
        <v>2025-10-01T13:42:42.232+08</v>
      </c>
      <c r="C949" s="2" t="str">
        <f>IFERROR(__xludf.DUMMYFUNCTION("""COMPUTED_VALUE"""),"2025-10-01T13:49:29.489+08")</f>
        <v>2025-10-01T13:49:29.489+08</v>
      </c>
      <c r="D949" s="2" t="str">
        <f>IFERROR(__xludf.DUMMYFUNCTION("""COMPUTED_VALUE"""),"H030373020")</f>
        <v>H030373020</v>
      </c>
      <c r="E949" s="2" t="str">
        <f>IFERROR(__xludf.DUMMYFUNCTION("""COMPUTED_VALUE"""),"H2846135")</f>
        <v>H2846135</v>
      </c>
      <c r="F949" s="2" t="str">
        <f>IFERROR(__xludf.DUMMYFUNCTION("""COMPUTED_VALUE"""),"Annalou Empanado Encontro")</f>
        <v>Annalou Empanado Encontro</v>
      </c>
      <c r="G949" s="2"/>
      <c r="H949" s="2"/>
      <c r="I949" s="2" t="str">
        <f>IFERROR(__xludf.DUMMYFUNCTION("""COMPUTED_VALUE"""),"ICM_Business_linked_launch")</f>
        <v>ICM_Business_linked_launch</v>
      </c>
      <c r="J949" s="2" t="str">
        <f>IFERROR(__xludf.DUMMYFUNCTION("""COMPUTED_VALUE"""),"uuid:f9b00e08-0f7d-489a-890c-32c260b27fe9")</f>
        <v>uuid:f9b00e08-0f7d-489a-890c-32c260b27fe9</v>
      </c>
    </row>
    <row r="950">
      <c r="A950" s="2" t="str">
        <f>IFERROR(__xludf.DUMMYFUNCTION("""COMPUTED_VALUE"""),"2025-10-01T11:05:54.861Z")</f>
        <v>2025-10-01T11:05:54.861Z</v>
      </c>
      <c r="B950" s="2" t="str">
        <f>IFERROR(__xludf.DUMMYFUNCTION("""COMPUTED_VALUE"""),"2025-10-01T10:27:53.063+08")</f>
        <v>2025-10-01T10:27:53.063+08</v>
      </c>
      <c r="C950" s="2" t="str">
        <f>IFERROR(__xludf.DUMMYFUNCTION("""COMPUTED_VALUE"""),"2025-10-01T10:38:16.391+08")</f>
        <v>2025-10-01T10:38:16.391+08</v>
      </c>
      <c r="D950" s="2" t="str">
        <f>IFERROR(__xludf.DUMMYFUNCTION("""COMPUTED_VALUE"""),"H030634023")</f>
        <v>H030634023</v>
      </c>
      <c r="E950" s="2" t="str">
        <f>IFERROR(__xludf.DUMMYFUNCTION("""COMPUTED_VALUE"""),"L2057896")</f>
        <v>L2057896</v>
      </c>
      <c r="F950" s="2" t="str">
        <f>IFERROR(__xludf.DUMMYFUNCTION("""COMPUTED_VALUE"""),"Franz Reoben Posadas Geneblaza")</f>
        <v>Franz Reoben Posadas Geneblaza</v>
      </c>
      <c r="G950" s="2"/>
      <c r="H950" s="2"/>
      <c r="I950" s="2" t="str">
        <f>IFERROR(__xludf.DUMMYFUNCTION("""COMPUTED_VALUE"""),"ICM_Business_linked_launch")</f>
        <v>ICM_Business_linked_launch</v>
      </c>
      <c r="J950" s="2" t="str">
        <f>IFERROR(__xludf.DUMMYFUNCTION("""COMPUTED_VALUE"""),"uuid:f60b0e56-f854-442c-bb1e-325d42c4b1ed")</f>
        <v>uuid:f60b0e56-f854-442c-bb1e-325d42c4b1ed</v>
      </c>
    </row>
    <row r="951">
      <c r="A951" s="2" t="str">
        <f>IFERROR(__xludf.DUMMYFUNCTION("""COMPUTED_VALUE"""),"2025-10-01T11:37:10.028Z")</f>
        <v>2025-10-01T11:37:10.028Z</v>
      </c>
      <c r="B951" s="2" t="str">
        <f>IFERROR(__xludf.DUMMYFUNCTION("""COMPUTED_VALUE"""),"2025-10-01T08:25:12.071+08")</f>
        <v>2025-10-01T08:25:12.071+08</v>
      </c>
      <c r="C951" s="2" t="str">
        <f>IFERROR(__xludf.DUMMYFUNCTION("""COMPUTED_VALUE"""),"2025-10-01T09:19:10.516+08")</f>
        <v>2025-10-01T09:19:10.516+08</v>
      </c>
      <c r="D951" s="2" t="str">
        <f>IFERROR(__xludf.DUMMYFUNCTION("""COMPUTED_VALUE"""),"H030106020")</f>
        <v>H030106020</v>
      </c>
      <c r="E951" s="2" t="str">
        <f>IFERROR(__xludf.DUMMYFUNCTION("""COMPUTED_VALUE"""),"P1068432")</f>
        <v>P1068432</v>
      </c>
      <c r="F951" s="2" t="str">
        <f>IFERROR(__xludf.DUMMYFUNCTION("""COMPUTED_VALUE"""),"Mark Daniel Balagao Benson")</f>
        <v>Mark Daniel Balagao Benson</v>
      </c>
      <c r="G951" s="2"/>
      <c r="H951" s="2"/>
      <c r="I951" s="2" t="str">
        <f>IFERROR(__xludf.DUMMYFUNCTION("""COMPUTED_VALUE"""),"ICM_Business_linked_launch")</f>
        <v>ICM_Business_linked_launch</v>
      </c>
      <c r="J951" s="2" t="str">
        <f>IFERROR(__xludf.DUMMYFUNCTION("""COMPUTED_VALUE"""),"uuid:49bb7530-22a2-424c-a7a7-083dffb97aae")</f>
        <v>uuid:49bb7530-22a2-424c-a7a7-083dffb97aae</v>
      </c>
    </row>
    <row r="952">
      <c r="A952" s="2" t="str">
        <f>IFERROR(__xludf.DUMMYFUNCTION("""COMPUTED_VALUE"""),"2025-10-01T11:48:49.447Z")</f>
        <v>2025-10-01T11:48:49.447Z</v>
      </c>
      <c r="B952" s="2" t="str">
        <f>IFERROR(__xludf.DUMMYFUNCTION("""COMPUTED_VALUE"""),"2025-10-01T10:47:31.815+08")</f>
        <v>2025-10-01T10:47:31.815+08</v>
      </c>
      <c r="C952" s="2" t="str">
        <f>IFERROR(__xludf.DUMMYFUNCTION("""COMPUTED_VALUE"""),"2025-10-01T14:59:41.100+08")</f>
        <v>2025-10-01T14:59:41.100+08</v>
      </c>
      <c r="D952" s="2" t="str">
        <f>IFERROR(__xludf.DUMMYFUNCTION("""COMPUTED_VALUE"""),"H030634028")</f>
        <v>H030634028</v>
      </c>
      <c r="E952" s="2" t="str">
        <f>IFERROR(__xludf.DUMMYFUNCTION("""COMPUTED_VALUE"""),"M6491032")</f>
        <v>M6491032</v>
      </c>
      <c r="F952" s="2" t="str">
        <f>IFERROR(__xludf.DUMMYFUNCTION("""COMPUTED_VALUE"""),"Rosevil Tayo Desamparado")</f>
        <v>Rosevil Tayo Desamparado</v>
      </c>
      <c r="G952" s="2"/>
      <c r="H952" s="2"/>
      <c r="I952" s="2" t="str">
        <f>IFERROR(__xludf.DUMMYFUNCTION("""COMPUTED_VALUE"""),"ICM_Business_linked_launch")</f>
        <v>ICM_Business_linked_launch</v>
      </c>
      <c r="J952" s="2" t="str">
        <f>IFERROR(__xludf.DUMMYFUNCTION("""COMPUTED_VALUE"""),"uuid:1220e225-716f-4305-af5f-55992a3535c3")</f>
        <v>uuid:1220e225-716f-4305-af5f-55992a3535c3</v>
      </c>
    </row>
    <row r="953">
      <c r="A953" s="2" t="str">
        <f>IFERROR(__xludf.DUMMYFUNCTION("""COMPUTED_VALUE"""),"2025-10-01T11:52:49.915Z")</f>
        <v>2025-10-01T11:52:49.915Z</v>
      </c>
      <c r="B953" s="2" t="str">
        <f>IFERROR(__xludf.DUMMYFUNCTION("""COMPUTED_VALUE"""),"2025-10-01T10:39:23.026+08")</f>
        <v>2025-10-01T10:39:23.026+08</v>
      </c>
      <c r="C953" s="2" t="str">
        <f>IFERROR(__xludf.DUMMYFUNCTION("""COMPUTED_VALUE"""),"2025-10-01T19:52:04.573+08")</f>
        <v>2025-10-01T19:52:04.573+08</v>
      </c>
      <c r="D953" s="2" t="str">
        <f>IFERROR(__xludf.DUMMYFUNCTION("""COMPUTED_VALUE"""),"H030634027")</f>
        <v>H030634027</v>
      </c>
      <c r="E953" s="2" t="str">
        <f>IFERROR(__xludf.DUMMYFUNCTION("""COMPUTED_VALUE"""),"K8623174")</f>
        <v>K8623174</v>
      </c>
      <c r="F953" s="2" t="str">
        <f>IFERROR(__xludf.DUMMYFUNCTION("""COMPUTED_VALUE"""),"Marielle Kaye Ignacio Alonzo")</f>
        <v>Marielle Kaye Ignacio Alonzo</v>
      </c>
      <c r="G953" s="2"/>
      <c r="H953" s="2"/>
      <c r="I953" s="2" t="str">
        <f>IFERROR(__xludf.DUMMYFUNCTION("""COMPUTED_VALUE"""),"ICM_Business_linked_launch")</f>
        <v>ICM_Business_linked_launch</v>
      </c>
      <c r="J953" s="2" t="str">
        <f>IFERROR(__xludf.DUMMYFUNCTION("""COMPUTED_VALUE"""),"uuid:422418be-bd55-436a-bab6-f838961075b8")</f>
        <v>uuid:422418be-bd55-436a-bab6-f838961075b8</v>
      </c>
    </row>
    <row r="954">
      <c r="A954" s="2" t="str">
        <f>IFERROR(__xludf.DUMMYFUNCTION("""COMPUTED_VALUE"""),"2025-10-01T12:08:14.211Z")</f>
        <v>2025-10-01T12:08:14.211Z</v>
      </c>
      <c r="B954" s="2" t="str">
        <f>IFERROR(__xludf.DUMMYFUNCTION("""COMPUTED_VALUE"""),"2025-10-01T10:23:01.450+08")</f>
        <v>2025-10-01T10:23:01.450+08</v>
      </c>
      <c r="C954" s="2" t="str">
        <f>IFERROR(__xludf.DUMMYFUNCTION("""COMPUTED_VALUE"""),"2025-10-01T16:04:59.620+08")</f>
        <v>2025-10-01T16:04:59.620+08</v>
      </c>
      <c r="D954" s="2" t="str">
        <f>IFERROR(__xludf.DUMMYFUNCTION("""COMPUTED_VALUE"""),"H030214023")</f>
        <v>H030214023</v>
      </c>
      <c r="E954" s="2" t="str">
        <f>IFERROR(__xludf.DUMMYFUNCTION("""COMPUTED_VALUE"""),"B8193462")</f>
        <v>B8193462</v>
      </c>
      <c r="F954" s="2" t="str">
        <f>IFERROR(__xludf.DUMMYFUNCTION("""COMPUTED_VALUE"""),"Mark Lorens Mendoza Gilongo")</f>
        <v>Mark Lorens Mendoza Gilongo</v>
      </c>
      <c r="G954" s="2"/>
      <c r="H954" s="2"/>
      <c r="I954" s="2" t="str">
        <f>IFERROR(__xludf.DUMMYFUNCTION("""COMPUTED_VALUE"""),"ICM_Business_linked_launch")</f>
        <v>ICM_Business_linked_launch</v>
      </c>
      <c r="J954" s="2" t="str">
        <f>IFERROR(__xludf.DUMMYFUNCTION("""COMPUTED_VALUE"""),"uuid:78e0ddf2-5981-4349-98e6-89750145bcb7")</f>
        <v>uuid:78e0ddf2-5981-4349-98e6-89750145bcb7</v>
      </c>
    </row>
    <row r="955">
      <c r="A955" s="2" t="str">
        <f>IFERROR(__xludf.DUMMYFUNCTION("""COMPUTED_VALUE"""),"2025-10-01T12:44:01.434Z")</f>
        <v>2025-10-01T12:44:01.434Z</v>
      </c>
      <c r="B955" s="2" t="str">
        <f>IFERROR(__xludf.DUMMYFUNCTION("""COMPUTED_VALUE"""),"2025-10-01T11:40:24.669+08")</f>
        <v>2025-10-01T11:40:24.669+08</v>
      </c>
      <c r="C955" s="2" t="str">
        <f>IFERROR(__xludf.DUMMYFUNCTION("""COMPUTED_VALUE"""),"2025-10-01T11:47:11.888+08")</f>
        <v>2025-10-01T11:47:11.888+08</v>
      </c>
      <c r="D955" s="2" t="str">
        <f>IFERROR(__xludf.DUMMYFUNCTION("""COMPUTED_VALUE"""),"H019611003")</f>
        <v>H019611003</v>
      </c>
      <c r="E955" s="2" t="str">
        <f>IFERROR(__xludf.DUMMYFUNCTION("""COMPUTED_VALUE"""),"S2671943")</f>
        <v>S2671943</v>
      </c>
      <c r="F955" s="2" t="str">
        <f>IFERROR(__xludf.DUMMYFUNCTION("""COMPUTED_VALUE"""),"Marvin Mondia")</f>
        <v>Marvin Mondia</v>
      </c>
      <c r="G955" s="2"/>
      <c r="H955" s="2"/>
      <c r="I955" s="2" t="str">
        <f>IFERROR(__xludf.DUMMYFUNCTION("""COMPUTED_VALUE"""),"ICM_Business_linked_launch")</f>
        <v>ICM_Business_linked_launch</v>
      </c>
      <c r="J955" s="2" t="str">
        <f>IFERROR(__xludf.DUMMYFUNCTION("""COMPUTED_VALUE"""),"uuid:a8f878f9-dce7-49ac-a16f-450355bf9d94")</f>
        <v>uuid:a8f878f9-dce7-49ac-a16f-450355bf9d94</v>
      </c>
    </row>
    <row r="956">
      <c r="A956" s="2" t="str">
        <f>IFERROR(__xludf.DUMMYFUNCTION("""COMPUTED_VALUE"""),"2025-10-01T12:44:02.809Z")</f>
        <v>2025-10-01T12:44:02.809Z</v>
      </c>
      <c r="B956" s="2" t="str">
        <f>IFERROR(__xludf.DUMMYFUNCTION("""COMPUTED_VALUE"""),"2025-10-01T16:35:04.876+08")</f>
        <v>2025-10-01T16:35:04.876+08</v>
      </c>
      <c r="C956" s="2" t="str">
        <f>IFERROR(__xludf.DUMMYFUNCTION("""COMPUTED_VALUE"""),"2025-10-01T16:46:01.730+08")</f>
        <v>2025-10-01T16:46:01.730+08</v>
      </c>
      <c r="D956" s="2" t="str">
        <f>IFERROR(__xludf.DUMMYFUNCTION("""COMPUTED_VALUE"""),"H019611021")</f>
        <v>H019611021</v>
      </c>
      <c r="E956" s="2" t="str">
        <f>IFERROR(__xludf.DUMMYFUNCTION("""COMPUTED_VALUE"""),"S2671943")</f>
        <v>S2671943</v>
      </c>
      <c r="F956" s="2" t="str">
        <f>IFERROR(__xludf.DUMMYFUNCTION("""COMPUTED_VALUE"""),"Marvin Mondia")</f>
        <v>Marvin Mondia</v>
      </c>
      <c r="G956" s="2"/>
      <c r="H956" s="2"/>
      <c r="I956" s="2" t="str">
        <f>IFERROR(__xludf.DUMMYFUNCTION("""COMPUTED_VALUE"""),"ICM_Business_linked_launch")</f>
        <v>ICM_Business_linked_launch</v>
      </c>
      <c r="J956" s="2" t="str">
        <f>IFERROR(__xludf.DUMMYFUNCTION("""COMPUTED_VALUE"""),"uuid:b2baedb6-9928-4a7c-8de8-b077716f6306")</f>
        <v>uuid:b2baedb6-9928-4a7c-8de8-b077716f6306</v>
      </c>
    </row>
    <row r="957">
      <c r="A957" s="2" t="str">
        <f>IFERROR(__xludf.DUMMYFUNCTION("""COMPUTED_VALUE"""),"2025-10-02T10:13:19.326Z")</f>
        <v>2025-10-02T10:13:19.326Z</v>
      </c>
      <c r="B957" s="2" t="str">
        <f>IFERROR(__xludf.DUMMYFUNCTION("""COMPUTED_VALUE"""),"2025-10-02T10:34:43.765+08")</f>
        <v>2025-10-02T10:34:43.765+08</v>
      </c>
      <c r="C957" s="2" t="str">
        <f>IFERROR(__xludf.DUMMYFUNCTION("""COMPUTED_VALUE"""),"2025-10-02T11:09:20.089+08")</f>
        <v>2025-10-02T11:09:20.089+08</v>
      </c>
      <c r="D957" s="2" t="str">
        <f>IFERROR(__xludf.DUMMYFUNCTION("""COMPUTED_VALUE"""),"H006525020")</f>
        <v>H006525020</v>
      </c>
      <c r="E957" s="2" t="str">
        <f>IFERROR(__xludf.DUMMYFUNCTION("""COMPUTED_VALUE"""),"N7814260")</f>
        <v>N7814260</v>
      </c>
      <c r="F957" s="2" t="str">
        <f>IFERROR(__xludf.DUMMYFUNCTION("""COMPUTED_VALUE"""),"Jemma Marie Tillo")</f>
        <v>Jemma Marie Tillo</v>
      </c>
      <c r="G957" s="2"/>
      <c r="H957" s="2"/>
      <c r="I957" s="2" t="str">
        <f>IFERROR(__xludf.DUMMYFUNCTION("""COMPUTED_VALUE"""),"ICM_Business_linked_launch")</f>
        <v>ICM_Business_linked_launch</v>
      </c>
      <c r="J957" s="2" t="str">
        <f>IFERROR(__xludf.DUMMYFUNCTION("""COMPUTED_VALUE"""),"uuid:3f4989cc-0c08-4da8-8637-555f0274fdff")</f>
        <v>uuid:3f4989cc-0c08-4da8-8637-555f0274fdff</v>
      </c>
    </row>
    <row r="958">
      <c r="A958" s="2" t="str">
        <f>IFERROR(__xludf.DUMMYFUNCTION("""COMPUTED_VALUE"""),"2025-10-02T11:05:37.275Z")</f>
        <v>2025-10-02T11:05:37.275Z</v>
      </c>
      <c r="B958" s="2" t="str">
        <f>IFERROR(__xludf.DUMMYFUNCTION("""COMPUTED_VALUE"""),"2025-10-02T10:06:27.915+08")</f>
        <v>2025-10-02T10:06:27.915+08</v>
      </c>
      <c r="C958" s="2" t="str">
        <f>IFERROR(__xludf.DUMMYFUNCTION("""COMPUTED_VALUE"""),"2025-10-02T10:10:30.944+08")</f>
        <v>2025-10-02T10:10:30.944+08</v>
      </c>
      <c r="D958" s="2" t="str">
        <f>IFERROR(__xludf.DUMMYFUNCTION("""COMPUTED_VALUE"""),"H019506024")</f>
        <v>H019506024</v>
      </c>
      <c r="E958" s="2" t="str">
        <f>IFERROR(__xludf.DUMMYFUNCTION("""COMPUTED_VALUE"""),"S2671943")</f>
        <v>S2671943</v>
      </c>
      <c r="F958" s="2" t="str">
        <f>IFERROR(__xludf.DUMMYFUNCTION("""COMPUTED_VALUE"""),"Marvin Mondia")</f>
        <v>Marvin Mondia</v>
      </c>
      <c r="G958" s="2"/>
      <c r="H958" s="2"/>
      <c r="I958" s="2" t="str">
        <f>IFERROR(__xludf.DUMMYFUNCTION("""COMPUTED_VALUE"""),"ICM_Business_linked_launch")</f>
        <v>ICM_Business_linked_launch</v>
      </c>
      <c r="J958" s="2" t="str">
        <f>IFERROR(__xludf.DUMMYFUNCTION("""COMPUTED_VALUE"""),"uuid:fc43e26a-129f-4652-a7f0-8704e67a2443")</f>
        <v>uuid:fc43e26a-129f-4652-a7f0-8704e67a2443</v>
      </c>
    </row>
    <row r="959">
      <c r="A959" s="2" t="str">
        <f>IFERROR(__xludf.DUMMYFUNCTION("""COMPUTED_VALUE"""),"2025-10-02T11:34:42.569Z")</f>
        <v>2025-10-02T11:34:42.569Z</v>
      </c>
      <c r="B959" s="2" t="str">
        <f>IFERROR(__xludf.DUMMYFUNCTION("""COMPUTED_VALUE"""),"2025-10-02T10:47:06.263+08")</f>
        <v>2025-10-02T10:47:06.263+08</v>
      </c>
      <c r="C959" s="2" t="str">
        <f>IFERROR(__xludf.DUMMYFUNCTION("""COMPUTED_VALUE"""),"2025-10-02T19:21:18.189+08")</f>
        <v>2025-10-02T19:21:18.189+08</v>
      </c>
      <c r="D959" s="2" t="str">
        <f>IFERROR(__xludf.DUMMYFUNCTION("""COMPUTED_VALUE"""),"H030774032")</f>
        <v>H030774032</v>
      </c>
      <c r="E959" s="2" t="str">
        <f>IFERROR(__xludf.DUMMYFUNCTION("""COMPUTED_VALUE"""),"C7502931")</f>
        <v>C7502931</v>
      </c>
      <c r="F959" s="2" t="str">
        <f>IFERROR(__xludf.DUMMYFUNCTION("""COMPUTED_VALUE"""),"Jenny Lou Toles Estacio")</f>
        <v>Jenny Lou Toles Estacio</v>
      </c>
      <c r="G959" s="2"/>
      <c r="H959" s="2"/>
      <c r="I959" s="2" t="str">
        <f>IFERROR(__xludf.DUMMYFUNCTION("""COMPUTED_VALUE"""),"ICM_Business_linked_launch")</f>
        <v>ICM_Business_linked_launch</v>
      </c>
      <c r="J959" s="2" t="str">
        <f>IFERROR(__xludf.DUMMYFUNCTION("""COMPUTED_VALUE"""),"uuid:95c6b38c-ca25-4993-bc70-bb3d3bcf4c6e")</f>
        <v>uuid:95c6b38c-ca25-4993-bc70-bb3d3bcf4c6e</v>
      </c>
    </row>
    <row r="960">
      <c r="A960" s="2" t="str">
        <f>IFERROR(__xludf.DUMMYFUNCTION("""COMPUTED_VALUE"""),"2025-10-02T11:50:25.157Z")</f>
        <v>2025-10-02T11:50:25.157Z</v>
      </c>
      <c r="B960" s="2" t="str">
        <f>IFERROR(__xludf.DUMMYFUNCTION("""COMPUTED_VALUE"""),"2025-10-02T12:57:42.543+08")</f>
        <v>2025-10-02T12:57:42.543+08</v>
      </c>
      <c r="C960" s="2" t="str">
        <f>IFERROR(__xludf.DUMMYFUNCTION("""COMPUTED_VALUE"""),"2025-10-02T13:02:20.957+08")</f>
        <v>2025-10-02T13:02:20.957+08</v>
      </c>
      <c r="D960" s="2" t="str">
        <f>IFERROR(__xludf.DUMMYFUNCTION("""COMPUTED_VALUE"""),"H030323016")</f>
        <v>H030323016</v>
      </c>
      <c r="E960" s="2" t="str">
        <f>IFERROR(__xludf.DUMMYFUNCTION("""COMPUTED_VALUE"""),"H2846135")</f>
        <v>H2846135</v>
      </c>
      <c r="F960" s="2" t="str">
        <f>IFERROR(__xludf.DUMMYFUNCTION("""COMPUTED_VALUE"""),"Annalou Empanado Encontro")</f>
        <v>Annalou Empanado Encontro</v>
      </c>
      <c r="G960" s="2"/>
      <c r="H960" s="2"/>
      <c r="I960" s="2" t="str">
        <f>IFERROR(__xludf.DUMMYFUNCTION("""COMPUTED_VALUE"""),"ICM_Business_linked_launch")</f>
        <v>ICM_Business_linked_launch</v>
      </c>
      <c r="J960" s="2" t="str">
        <f>IFERROR(__xludf.DUMMYFUNCTION("""COMPUTED_VALUE"""),"uuid:9748e7bc-f8eb-4ecf-99ab-725d4b06bb8d")</f>
        <v>uuid:9748e7bc-f8eb-4ecf-99ab-725d4b06bb8d</v>
      </c>
    </row>
    <row r="961">
      <c r="A961" s="2" t="str">
        <f>IFERROR(__xludf.DUMMYFUNCTION("""COMPUTED_VALUE"""),"2025-10-02T11:55:52.220Z")</f>
        <v>2025-10-02T11:55:52.220Z</v>
      </c>
      <c r="B961" s="2" t="str">
        <f>IFERROR(__xludf.DUMMYFUNCTION("""COMPUTED_VALUE"""),"2025-10-02T09:40:59.118+08")</f>
        <v>2025-10-02T09:40:59.118+08</v>
      </c>
      <c r="C961" s="2" t="str">
        <f>IFERROR(__xludf.DUMMYFUNCTION("""COMPUTED_VALUE"""),"2025-10-02T09:54:38.633+08")</f>
        <v>2025-10-02T09:54:38.633+08</v>
      </c>
      <c r="D961" s="2" t="str">
        <f>IFERROR(__xludf.DUMMYFUNCTION("""COMPUTED_VALUE"""),"H030076024")</f>
        <v>H030076024</v>
      </c>
      <c r="E961" s="2" t="str">
        <f>IFERROR(__xludf.DUMMYFUNCTION("""COMPUTED_VALUE"""),"L2057896")</f>
        <v>L2057896</v>
      </c>
      <c r="F961" s="2" t="str">
        <f>IFERROR(__xludf.DUMMYFUNCTION("""COMPUTED_VALUE"""),"Franz Reoben Posadas Geneblaza")</f>
        <v>Franz Reoben Posadas Geneblaza</v>
      </c>
      <c r="G961" s="2"/>
      <c r="H961" s="2"/>
      <c r="I961" s="2" t="str">
        <f>IFERROR(__xludf.DUMMYFUNCTION("""COMPUTED_VALUE"""),"ICM_Business_linked_launch")</f>
        <v>ICM_Business_linked_launch</v>
      </c>
      <c r="J961" s="2" t="str">
        <f>IFERROR(__xludf.DUMMYFUNCTION("""COMPUTED_VALUE"""),"uuid:f7567c20-4927-40b7-870f-9f2571b9e877")</f>
        <v>uuid:f7567c20-4927-40b7-870f-9f2571b9e877</v>
      </c>
    </row>
    <row r="962">
      <c r="A962" s="2" t="str">
        <f>IFERROR(__xludf.DUMMYFUNCTION("""COMPUTED_VALUE"""),"2025-10-02T13:27:51.219Z")</f>
        <v>2025-10-02T13:27:51.219Z</v>
      </c>
      <c r="B962" s="2" t="str">
        <f>IFERROR(__xludf.DUMMYFUNCTION("""COMPUTED_VALUE"""),"2025-10-02T11:05:53.731+08")</f>
        <v>2025-10-02T11:05:53.731+08</v>
      </c>
      <c r="C962" s="2" t="str">
        <f>IFERROR(__xludf.DUMMYFUNCTION("""COMPUTED_VALUE"""),"2025-10-02T11:30:39.039+08")</f>
        <v>2025-10-02T11:30:39.039+08</v>
      </c>
      <c r="D962" s="2" t="str">
        <f>IFERROR(__xludf.DUMMYFUNCTION("""COMPUTED_VALUE"""),"H030507025")</f>
        <v>H030507025</v>
      </c>
      <c r="E962" s="2" t="str">
        <f>IFERROR(__xludf.DUMMYFUNCTION("""COMPUTED_VALUE"""),"K8623174")</f>
        <v>K8623174</v>
      </c>
      <c r="F962" s="2" t="str">
        <f>IFERROR(__xludf.DUMMYFUNCTION("""COMPUTED_VALUE"""),"Marielle Kaye Ignacio Alonzo")</f>
        <v>Marielle Kaye Ignacio Alonzo</v>
      </c>
      <c r="G962" s="2"/>
      <c r="H962" s="2"/>
      <c r="I962" s="2" t="str">
        <f>IFERROR(__xludf.DUMMYFUNCTION("""COMPUTED_VALUE"""),"ICM_Business_linked_launch")</f>
        <v>ICM_Business_linked_launch</v>
      </c>
      <c r="J962" s="2" t="str">
        <f>IFERROR(__xludf.DUMMYFUNCTION("""COMPUTED_VALUE"""),"uuid:701b462e-1430-467a-a60c-d8ee81311f2a")</f>
        <v>uuid:701b462e-1430-467a-a60c-d8ee81311f2a</v>
      </c>
    </row>
    <row r="963">
      <c r="A963" s="2" t="str">
        <f>IFERROR(__xludf.DUMMYFUNCTION("""COMPUTED_VALUE"""),"2025-10-03T04:47:42.687Z")</f>
        <v>2025-10-03T04:47:42.687Z</v>
      </c>
      <c r="B963" s="2" t="str">
        <f>IFERROR(__xludf.DUMMYFUNCTION("""COMPUTED_VALUE"""),"2025-10-03T07:27:45.780+08")</f>
        <v>2025-10-03T07:27:45.780+08</v>
      </c>
      <c r="C963" s="2" t="str">
        <f>IFERROR(__xludf.DUMMYFUNCTION("""COMPUTED_VALUE"""),"2025-10-03T07:32:33.646+08")</f>
        <v>2025-10-03T07:32:33.646+08</v>
      </c>
      <c r="D963" s="2" t="str">
        <f>IFERROR(__xludf.DUMMYFUNCTION("""COMPUTED_VALUE"""),"H030214020")</f>
        <v>H030214020</v>
      </c>
      <c r="E963" s="2">
        <f>IFERROR(__xludf.DUMMYFUNCTION("""COMPUTED_VALUE"""),555127.0)</f>
        <v>555127</v>
      </c>
      <c r="F963" s="2" t="str">
        <f>IFERROR(__xludf.DUMMYFUNCTION("""COMPUTED_VALUE"""),"Mary May_2")</f>
        <v>Mary May_2</v>
      </c>
      <c r="G963" s="2"/>
      <c r="H963" s="2"/>
      <c r="I963" s="2" t="str">
        <f>IFERROR(__xludf.DUMMYFUNCTION("""COMPUTED_VALUE"""),"ICM_Business_linked_launch")</f>
        <v>ICM_Business_linked_launch</v>
      </c>
      <c r="J963" s="2" t="str">
        <f>IFERROR(__xludf.DUMMYFUNCTION("""COMPUTED_VALUE"""),"uuid:5cd2b5a8-4670-44ed-8d84-d9f30ce8afa3")</f>
        <v>uuid:5cd2b5a8-4670-44ed-8d84-d9f30ce8afa3</v>
      </c>
    </row>
    <row r="964">
      <c r="A964" s="2" t="str">
        <f>IFERROR(__xludf.DUMMYFUNCTION("""COMPUTED_VALUE"""),"2025-10-03T06:40:53.696Z")</f>
        <v>2025-10-03T06:40:53.696Z</v>
      </c>
      <c r="B964" s="2" t="str">
        <f>IFERROR(__xludf.DUMMYFUNCTION("""COMPUTED_VALUE"""),"2025-10-03T10:38:19.279+08")</f>
        <v>2025-10-03T10:38:19.279+08</v>
      </c>
      <c r="C964" s="2" t="str">
        <f>IFERROR(__xludf.DUMMYFUNCTION("""COMPUTED_VALUE"""),"2025-10-03T10:50:07.815+08")</f>
        <v>2025-10-03T10:50:07.815+08</v>
      </c>
      <c r="D964" s="2" t="str">
        <f>IFERROR(__xludf.DUMMYFUNCTION("""COMPUTED_VALUE"""),"H030415025")</f>
        <v>H030415025</v>
      </c>
      <c r="E964" s="2" t="str">
        <f>IFERROR(__xludf.DUMMYFUNCTION("""COMPUTED_VALUE"""),"N7814260")</f>
        <v>N7814260</v>
      </c>
      <c r="F964" s="2" t="str">
        <f>IFERROR(__xludf.DUMMYFUNCTION("""COMPUTED_VALUE"""),"Jemma Marie Tillo")</f>
        <v>Jemma Marie Tillo</v>
      </c>
      <c r="G964" s="2"/>
      <c r="H964" s="2"/>
      <c r="I964" s="2" t="str">
        <f>IFERROR(__xludf.DUMMYFUNCTION("""COMPUTED_VALUE"""),"ICM_Business_linked_launch")</f>
        <v>ICM_Business_linked_launch</v>
      </c>
      <c r="J964" s="2" t="str">
        <f>IFERROR(__xludf.DUMMYFUNCTION("""COMPUTED_VALUE"""),"uuid:63e86cd2-1ffa-4e3d-ab11-888e1cabbf12")</f>
        <v>uuid:63e86cd2-1ffa-4e3d-ab11-888e1cabbf12</v>
      </c>
    </row>
    <row r="965">
      <c r="A965" s="2" t="str">
        <f>IFERROR(__xludf.DUMMYFUNCTION("""COMPUTED_VALUE"""),"2025-10-03T08:30:12.018Z")</f>
        <v>2025-10-03T08:30:12.018Z</v>
      </c>
      <c r="B965" s="2" t="str">
        <f>IFERROR(__xludf.DUMMYFUNCTION("""COMPUTED_VALUE"""),"2025-10-03T10:24:53.363+08")</f>
        <v>2025-10-03T10:24:53.363+08</v>
      </c>
      <c r="C965" s="2" t="str">
        <f>IFERROR(__xludf.DUMMYFUNCTION("""COMPUTED_VALUE"""),"2025-10-03T16:29:56.929+08")</f>
        <v>2025-10-03T16:29:56.929+08</v>
      </c>
      <c r="D965" s="2" t="str">
        <f>IFERROR(__xludf.DUMMYFUNCTION("""COMPUTED_VALUE"""),"H030375023")</f>
        <v>H030375023</v>
      </c>
      <c r="E965" s="2" t="str">
        <f>IFERROR(__xludf.DUMMYFUNCTION("""COMPUTED_VALUE"""),"M6491032")</f>
        <v>M6491032</v>
      </c>
      <c r="F965" s="2" t="str">
        <f>IFERROR(__xludf.DUMMYFUNCTION("""COMPUTED_VALUE"""),"Rosevil Tayo Desamparado")</f>
        <v>Rosevil Tayo Desamparado</v>
      </c>
      <c r="G965" s="2"/>
      <c r="H965" s="2"/>
      <c r="I965" s="2" t="str">
        <f>IFERROR(__xludf.DUMMYFUNCTION("""COMPUTED_VALUE"""),"ICM_Business_linked_launch")</f>
        <v>ICM_Business_linked_launch</v>
      </c>
      <c r="J965" s="2" t="str">
        <f>IFERROR(__xludf.DUMMYFUNCTION("""COMPUTED_VALUE"""),"uuid:dbe4da24-adf3-41ca-84bc-45d5e696eb8c")</f>
        <v>uuid:dbe4da24-adf3-41ca-84bc-45d5e696eb8c</v>
      </c>
    </row>
    <row r="966">
      <c r="A966" s="2" t="str">
        <f>IFERROR(__xludf.DUMMYFUNCTION("""COMPUTED_VALUE"""),"2025-10-03T10:30:27.168Z")</f>
        <v>2025-10-03T10:30:27.168Z</v>
      </c>
      <c r="B966" s="2" t="str">
        <f>IFERROR(__xludf.DUMMYFUNCTION("""COMPUTED_VALUE"""),"2025-10-03T09:47:48.966+08")</f>
        <v>2025-10-03T09:47:48.966+08</v>
      </c>
      <c r="C966" s="2" t="str">
        <f>IFERROR(__xludf.DUMMYFUNCTION("""COMPUTED_VALUE"""),"2025-10-03T10:28:57.770+08")</f>
        <v>2025-10-03T10:28:57.770+08</v>
      </c>
      <c r="D966" s="2" t="str">
        <f>IFERROR(__xludf.DUMMYFUNCTION("""COMPUTED_VALUE"""),"H030415026")</f>
        <v>H030415026</v>
      </c>
      <c r="E966" s="2" t="str">
        <f>IFERROR(__xludf.DUMMYFUNCTION("""COMPUTED_VALUE"""),"O3925718")</f>
        <v>O3925718</v>
      </c>
      <c r="F966" s="2" t="str">
        <f>IFERROR(__xludf.DUMMYFUNCTION("""COMPUTED_VALUE"""),"Adrian Montecastro Ferrer")</f>
        <v>Adrian Montecastro Ferrer</v>
      </c>
      <c r="G966" s="2"/>
      <c r="H966" s="2"/>
      <c r="I966" s="2" t="str">
        <f>IFERROR(__xludf.DUMMYFUNCTION("""COMPUTED_VALUE"""),"ICM_Business_linked_launch")</f>
        <v>ICM_Business_linked_launch</v>
      </c>
      <c r="J966" s="2" t="str">
        <f>IFERROR(__xludf.DUMMYFUNCTION("""COMPUTED_VALUE"""),"uuid:c4b321f6-e30e-4182-9fd9-29fad5397f75")</f>
        <v>uuid:c4b321f6-e30e-4182-9fd9-29fad5397f75</v>
      </c>
    </row>
    <row r="967">
      <c r="A967" s="2" t="str">
        <f>IFERROR(__xludf.DUMMYFUNCTION("""COMPUTED_VALUE"""),"2025-10-03T10:56:54.064Z")</f>
        <v>2025-10-03T10:56:54.064Z</v>
      </c>
      <c r="B967" s="2" t="str">
        <f>IFERROR(__xludf.DUMMYFUNCTION("""COMPUTED_VALUE"""),"2025-10-03T11:19:32.624+08")</f>
        <v>2025-10-03T11:19:32.624+08</v>
      </c>
      <c r="C967" s="2" t="str">
        <f>IFERROR(__xludf.DUMMYFUNCTION("""COMPUTED_VALUE"""),"2025-10-03T12:42:23.271+08")</f>
        <v>2025-10-03T12:42:23.271+08</v>
      </c>
      <c r="D967" s="2" t="str">
        <f>IFERROR(__xludf.DUMMYFUNCTION("""COMPUTED_VALUE"""),"H030774026")</f>
        <v>H030774026</v>
      </c>
      <c r="E967" s="2" t="str">
        <f>IFERROR(__xludf.DUMMYFUNCTION("""COMPUTED_VALUE"""),"B8193462")</f>
        <v>B8193462</v>
      </c>
      <c r="F967" s="2" t="str">
        <f>IFERROR(__xludf.DUMMYFUNCTION("""COMPUTED_VALUE"""),"Mark Lorens Mendoza Gilongo")</f>
        <v>Mark Lorens Mendoza Gilongo</v>
      </c>
      <c r="G967" s="2"/>
      <c r="H967" s="2"/>
      <c r="I967" s="2" t="str">
        <f>IFERROR(__xludf.DUMMYFUNCTION("""COMPUTED_VALUE"""),"ICM_Business_linked_launch")</f>
        <v>ICM_Business_linked_launch</v>
      </c>
      <c r="J967" s="2" t="str">
        <f>IFERROR(__xludf.DUMMYFUNCTION("""COMPUTED_VALUE"""),"uuid:1e05dd54-4c77-48cc-bc1b-fece81c947a2")</f>
        <v>uuid:1e05dd54-4c77-48cc-bc1b-fece81c947a2</v>
      </c>
    </row>
    <row r="968">
      <c r="A968" s="2" t="str">
        <f>IFERROR(__xludf.DUMMYFUNCTION("""COMPUTED_VALUE"""),"2025-10-03T11:29:38.217Z")</f>
        <v>2025-10-03T11:29:38.217Z</v>
      </c>
      <c r="B968" s="2" t="str">
        <f>IFERROR(__xludf.DUMMYFUNCTION("""COMPUTED_VALUE"""),"2025-10-03T14:55:41.550+08")</f>
        <v>2025-10-03T14:55:41.550+08</v>
      </c>
      <c r="C968" s="2" t="str">
        <f>IFERROR(__xludf.DUMMYFUNCTION("""COMPUTED_VALUE"""),"2025-10-03T15:06:07.513+08")</f>
        <v>2025-10-03T15:06:07.513+08</v>
      </c>
      <c r="D968" s="2" t="str">
        <f>IFERROR(__xludf.DUMMYFUNCTION("""COMPUTED_VALUE"""),"H030470033")</f>
        <v>H030470033</v>
      </c>
      <c r="E968" s="2">
        <f>IFERROR(__xludf.DUMMYFUNCTION("""COMPUTED_VALUE"""),896791.0)</f>
        <v>896791</v>
      </c>
      <c r="F968" s="2" t="str">
        <f>IFERROR(__xludf.DUMMYFUNCTION("""COMPUTED_VALUE"""),"Roland A. Bandiola jr_2")</f>
        <v>Roland A. Bandiola jr_2</v>
      </c>
      <c r="G968" s="2"/>
      <c r="H968" s="2"/>
      <c r="I968" s="2" t="str">
        <f>IFERROR(__xludf.DUMMYFUNCTION("""COMPUTED_VALUE"""),"ICM_Business_linked_launch")</f>
        <v>ICM_Business_linked_launch</v>
      </c>
      <c r="J968" s="2" t="str">
        <f>IFERROR(__xludf.DUMMYFUNCTION("""COMPUTED_VALUE"""),"uuid:fd37d15b-ad0b-4697-9a52-e751e0f11f80")</f>
        <v>uuid:fd37d15b-ad0b-4697-9a52-e751e0f11f80</v>
      </c>
    </row>
    <row r="969">
      <c r="A969" s="2" t="str">
        <f>IFERROR(__xludf.DUMMYFUNCTION("""COMPUTED_VALUE"""),"2025-10-05T12:31:31.369Z")</f>
        <v>2025-10-05T12:31:31.369Z</v>
      </c>
      <c r="B969" s="2" t="str">
        <f>IFERROR(__xludf.DUMMYFUNCTION("""COMPUTED_VALUE"""),"2025-10-05T10:25:40.285+08")</f>
        <v>2025-10-05T10:25:40.285+08</v>
      </c>
      <c r="C969" s="2" t="str">
        <f>IFERROR(__xludf.DUMMYFUNCTION("""COMPUTED_VALUE"""),"2025-10-05T20:31:12.498+08")</f>
        <v>2025-10-05T20:31:12.498+08</v>
      </c>
      <c r="D969" s="2" t="str">
        <f>IFERROR(__xludf.DUMMYFUNCTION("""COMPUTED_VALUE"""),"H030076017")</f>
        <v>H030076017</v>
      </c>
      <c r="E969" s="2" t="str">
        <f>IFERROR(__xludf.DUMMYFUNCTION("""COMPUTED_VALUE"""),"M6491032")</f>
        <v>M6491032</v>
      </c>
      <c r="F969" s="2" t="str">
        <f>IFERROR(__xludf.DUMMYFUNCTION("""COMPUTED_VALUE"""),"Rosevil Tayo Desamparado")</f>
        <v>Rosevil Tayo Desamparado</v>
      </c>
      <c r="G969" s="2"/>
      <c r="H969" s="2"/>
      <c r="I969" s="2" t="str">
        <f>IFERROR(__xludf.DUMMYFUNCTION("""COMPUTED_VALUE"""),"ICM_Business_linked_launch")</f>
        <v>ICM_Business_linked_launch</v>
      </c>
      <c r="J969" s="2" t="str">
        <f>IFERROR(__xludf.DUMMYFUNCTION("""COMPUTED_VALUE"""),"uuid:8ffde1f0-1cba-48be-971f-844fd3f3f0b8")</f>
        <v>uuid:8ffde1f0-1cba-48be-971f-844fd3f3f0b8</v>
      </c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63"/>
    <col customWidth="1" min="6" max="7" width="14.75"/>
    <col customWidth="1" min="10" max="10" width="16.5"/>
    <col customWidth="1" min="11" max="11" width="16.63"/>
    <col customWidth="1" min="12" max="12" width="23.13"/>
    <col customWidth="1" min="13" max="13" width="13.63"/>
  </cols>
  <sheetData>
    <row r="1">
      <c r="A1" s="3" t="s">
        <v>16</v>
      </c>
      <c r="B1" s="4" t="s">
        <v>8875</v>
      </c>
      <c r="C1" s="5" t="s">
        <v>8876</v>
      </c>
      <c r="D1" s="6" t="s">
        <v>8877</v>
      </c>
      <c r="E1" s="5" t="s">
        <v>8878</v>
      </c>
      <c r="F1" s="4" t="s">
        <v>8879</v>
      </c>
      <c r="G1" s="4" t="s">
        <v>8879</v>
      </c>
      <c r="H1" s="5" t="s">
        <v>8878</v>
      </c>
      <c r="I1" s="5" t="s">
        <v>8878</v>
      </c>
      <c r="J1" s="5" t="s">
        <v>8880</v>
      </c>
      <c r="K1" s="4" t="s">
        <v>8881</v>
      </c>
      <c r="L1" s="5" t="s">
        <v>8882</v>
      </c>
      <c r="M1" s="7" t="s">
        <v>8882</v>
      </c>
      <c r="N1" s="8" t="s">
        <v>8883</v>
      </c>
      <c r="O1" s="8" t="s">
        <v>8884</v>
      </c>
      <c r="P1" s="9"/>
      <c r="Q1" s="9"/>
      <c r="R1" s="9"/>
      <c r="S1" s="9"/>
    </row>
    <row r="2">
      <c r="A2" s="2" t="str">
        <f t="shared" ref="A2:A1822" si="1">left(B2,7)</f>
        <v>H030069</v>
      </c>
      <c r="B2" s="1" t="s">
        <v>55</v>
      </c>
      <c r="C2" s="9" t="str">
        <f t="array" ref="C2">IF(
  AND(
    IFERROR(MATCH(Caseslist!B2, data!D:D, 0), 0) &gt; 0,
    IFERROR(INDEX(data!N:N, MATCH(Caseslist!B2, data!D:D, 0)) = 1, FALSE)
  ),
  "COMPLETE",
  "INC"
)</f>
        <v>COMPLETE</v>
      </c>
      <c r="D2" s="9" t="str">
        <f t="array" ref="D2">IFERROR(INDEX(data!$G:$G,match(Caseslist!B2,data!$D:$D,0)), "INC")</f>
        <v>O3925718</v>
      </c>
      <c r="E2" s="9" t="str">
        <f t="array" ref="E2">IFERROR(INDEX(data!H:H,match(Caseslist!B2,data!D:D,0)), "INC")</f>
        <v>Adrian Montecastro Ferrer</v>
      </c>
      <c r="F2" s="10" t="str">
        <f t="array" ref="F2">IF(
    OR(
      IFNA(INDEX(data!M:M, MATCH(Caseslist!B2, data!D:D, 0)), "") = "",
      IFNA(INDEX(data!M:M, MATCH(Caseslist!B2, data!D:D, 0)), 0) = 0
    ),
    "COMPLETE",
    IF(
      IFNA(INDEX(dataICM!D:D, MATCH(Caseslist!B2, dataICM!D:D, 0)), "INC") = "INC",
      IFNA(INDEX(dataICM!D:D, MATCH(Caseslist!B2, dataICM!D:D, 0)), "INC"),
      "COMPLETE"
    )
  )</f>
        <v>COMPLETE</v>
      </c>
      <c r="G2" s="10" t="str">
        <f t="array" ref="G2">IF(IFERROR(INDEX(data!L:L,match(Caseslist!B2,data!D:D,0)),"INC")="","COMPLETE",F2)</f>
        <v>COMPLETE</v>
      </c>
      <c r="H2" s="9" t="str">
        <f t="array" ref="H2">IFERROR(INDEX(dataICM!F:F,match(Caseslist!B2,dataICM!D:D,0)), "INC")</f>
        <v>INC</v>
      </c>
      <c r="I2" s="10" t="str">
        <f t="shared" ref="I2:I1822" si="2">IF(G2="COMPLETE",D2,"INC")</f>
        <v>O3925718</v>
      </c>
      <c r="J2" s="9" t="str">
        <f t="array" ref="J2">IF(
  AND(
    IFERROR(MATCH(B2, data!D:D, 0), 0) &gt; 0,
    IFERROR(INDEX(data!N:N, MATCH(B2, data!D:D, 0)) = 1, FALSE)
  ),
  INDEX(data!C:C, MATCH(B2, data!D:D, 0)),
  "INC"
)</f>
        <v>2025-08-25T12:24:30.899+08</v>
      </c>
      <c r="K2" s="9" t="str">
        <f t="array" ref="K2">IFERROR(INDEX(dataICM!C:C,match(Caseslist!B2,dataICM!D:D,0)), "INC")</f>
        <v>INC</v>
      </c>
      <c r="L2" s="10" t="str">
        <f t="array" ref="L2">IF(AND(G2="COMPLETE", OR(K2="INC", ISBLANK(INDEX(data!O:O, ROW())))), J2, K2)</f>
        <v>2025-08-25T12:24:30.899+08</v>
      </c>
      <c r="M2" s="2">
        <f t="array" ref="M2:M2724">IFERROR(DATEVALUE(MID(L2:L2724,1,10)),"INC")</f>
        <v>45894</v>
      </c>
      <c r="N2" s="2" t="str">
        <f t="array" ref="N2">IF(M2&lt;&gt;"INC", INDEX(data!M:M, MATCH(B2, data!D:D, 0)), "")</f>
        <v/>
      </c>
      <c r="O2" s="2">
        <f t="shared" ref="O2:O1822" si="3">IF(AND(N2="",M2&lt;&gt;"INC"),0,N2)</f>
        <v>0</v>
      </c>
    </row>
    <row r="3">
      <c r="A3" s="2" t="str">
        <f t="shared" si="1"/>
        <v>H030069</v>
      </c>
      <c r="B3" s="1" t="s">
        <v>106</v>
      </c>
      <c r="C3" s="9" t="str">
        <f t="array" ref="C3">IF(
  AND(
    IFERROR(MATCH(Caseslist!B3, data!D:D, 0), 0) &gt; 0,
    IFERROR(INDEX(data!N:N, MATCH(Caseslist!B3, data!D:D, 0)) = 1, FALSE)
  ),
  "COMPLETE",
  "INC"
)</f>
        <v>COMPLETE</v>
      </c>
      <c r="D3" s="9" t="str">
        <f t="array" ref="D3">IFERROR(INDEX(data!$G:$G,match(Caseslist!B3,data!$D:$D,0)), "INC")</f>
        <v>M6491032</v>
      </c>
      <c r="E3" s="9" t="str">
        <f t="array" ref="E3">IFERROR(INDEX(data!H:H,match(Caseslist!B3,data!D:D,0)), "INC")</f>
        <v>Rosevil Tayo Desamparado</v>
      </c>
      <c r="F3" s="10" t="str">
        <f t="array" ref="F3">IF(
    OR(
      IFNA(INDEX(data!M:M, MATCH(Caseslist!B3, data!D:D, 0)), "") = "",
      IFNA(INDEX(data!M:M, MATCH(Caseslist!B3, data!D:D, 0)), 0) = 0
    ),
    "COMPLETE",
    IF(
      IFNA(INDEX(dataICM!D:D, MATCH(Caseslist!B3, dataICM!D:D, 0)), "INC") = "INC",
      IFNA(INDEX(dataICM!D:D, MATCH(Caseslist!B3, dataICM!D:D, 0)), "INC"),
      "COMPLETE"
    )
  )</f>
        <v>COMPLETE</v>
      </c>
      <c r="G3" s="10" t="str">
        <f t="array" ref="G3">IF(IFERROR(INDEX(data!L:L,match(Caseslist!B3,data!D:D,0)),"INC")="","COMPLETE",F3)</f>
        <v>COMPLETE</v>
      </c>
      <c r="H3" s="9" t="str">
        <f t="array" ref="H3">IFERROR(INDEX(dataICM!F:F,match(Caseslist!B3,dataICM!D:D,0)), "INC")</f>
        <v>INC</v>
      </c>
      <c r="I3" s="10" t="str">
        <f t="shared" si="2"/>
        <v>M6491032</v>
      </c>
      <c r="J3" s="9" t="str">
        <f t="array" ref="J3">IF(
  AND(
    IFERROR(MATCH(B3, data!D:D, 0), 0) &gt; 0,
    IFERROR(INDEX(data!N:N, MATCH(B3, data!D:D, 0)) = 1, FALSE)
  ),
  INDEX(data!C:C, MATCH(B3, data!D:D, 0)),
  "INC"
)</f>
        <v>2025-08-25T11:53:45.055+08</v>
      </c>
      <c r="K3" s="9" t="str">
        <f t="array" ref="K3">IFERROR(INDEX(dataICM!C:C,match(Caseslist!B3,dataICM!D:D,0)), "INC")</f>
        <v>INC</v>
      </c>
      <c r="L3" s="10" t="str">
        <f t="array" ref="L3">IF(AND(G3="COMPLETE", OR(K3="INC", ISBLANK(INDEX(data!O:O, ROW())))), J3, K3)</f>
        <v>2025-08-25T11:53:45.055+08</v>
      </c>
      <c r="M3" s="2">
        <v>45894.0</v>
      </c>
      <c r="N3" s="2" t="str">
        <f t="array" ref="N3">IF(M3&lt;&gt;"INC", INDEX(data!M:M, MATCH(B3, data!D:D, 0)), "")</f>
        <v/>
      </c>
      <c r="O3" s="2">
        <f t="shared" si="3"/>
        <v>0</v>
      </c>
    </row>
    <row r="4">
      <c r="A4" s="2" t="str">
        <f t="shared" si="1"/>
        <v>H030069</v>
      </c>
      <c r="B4" s="1" t="s">
        <v>214</v>
      </c>
      <c r="C4" s="9" t="str">
        <f t="array" ref="C4">IF(
  AND(
    IFERROR(MATCH(Caseslist!B4, data!D:D, 0), 0) &gt; 0,
    IFERROR(INDEX(data!N:N, MATCH(Caseslist!B4, data!D:D, 0)) = 1, FALSE)
  ),
  "COMPLETE",
  "INC"
)</f>
        <v>COMPLETE</v>
      </c>
      <c r="D4" s="9" t="str">
        <f t="array" ref="D4">IFERROR(INDEX(data!$G:$G,match(Caseslist!B4,data!$D:$D,0)), "INC")</f>
        <v>N7814260</v>
      </c>
      <c r="E4" s="9" t="str">
        <f t="array" ref="E4">IFERROR(INDEX(data!H:H,match(Caseslist!B4,data!D:D,0)), "INC")</f>
        <v>Jemma Marie Tillo</v>
      </c>
      <c r="F4" s="10" t="str">
        <f t="array" ref="F4">IF(
    OR(
      IFNA(INDEX(data!M:M, MATCH(Caseslist!B4, data!D:D, 0)), "") = "",
      IFNA(INDEX(data!M:M, MATCH(Caseslist!B4, data!D:D, 0)), 0) = 0
    ),
    "COMPLETE",
    IF(
      IFNA(INDEX(dataICM!D:D, MATCH(Caseslist!B4, dataICM!D:D, 0)), "INC") = "INC",
      IFNA(INDEX(dataICM!D:D, MATCH(Caseslist!B4, dataICM!D:D, 0)), "INC"),
      "COMPLETE"
    )
  )</f>
        <v>COMPLETE</v>
      </c>
      <c r="G4" s="10" t="str">
        <f t="array" ref="G4">IF(IFERROR(INDEX(data!L:L,match(Caseslist!B4,data!D:D,0)),"INC")="","COMPLETE",F4)</f>
        <v>COMPLETE</v>
      </c>
      <c r="H4" s="9" t="str">
        <f t="array" ref="H4">IFERROR(INDEX(dataICM!F:F,match(Caseslist!B4,dataICM!D:D,0)), "INC")</f>
        <v>INC</v>
      </c>
      <c r="I4" s="10" t="str">
        <f t="shared" si="2"/>
        <v>N7814260</v>
      </c>
      <c r="J4" s="9" t="str">
        <f t="array" ref="J4">IF(
  AND(
    IFERROR(MATCH(B4, data!D:D, 0), 0) &gt; 0,
    IFERROR(INDEX(data!N:N, MATCH(B4, data!D:D, 0)) = 1, FALSE)
  ),
  INDEX(data!C:C, MATCH(B4, data!D:D, 0)),
  "INC"
)</f>
        <v>2025-08-25T14:52:27.078+08</v>
      </c>
      <c r="K4" s="9" t="str">
        <f t="array" ref="K4">IFERROR(INDEX(dataICM!C:C,match(Caseslist!B4,dataICM!D:D,0)), "INC")</f>
        <v>INC</v>
      </c>
      <c r="L4" s="10" t="str">
        <f t="array" ref="L4">IF(AND(G4="COMPLETE", OR(K4="INC", ISBLANK(INDEX(data!O:O, ROW())))), J4, K4)</f>
        <v>2025-08-25T14:52:27.078+08</v>
      </c>
      <c r="M4" s="2">
        <v>45894.0</v>
      </c>
      <c r="N4" s="2" t="str">
        <f t="array" ref="N4">IF(M4&lt;&gt;"INC", INDEX(data!M:M, MATCH(B4, data!D:D, 0)), "")</f>
        <v/>
      </c>
      <c r="O4" s="2">
        <f t="shared" si="3"/>
        <v>0</v>
      </c>
    </row>
    <row r="5">
      <c r="A5" s="2" t="str">
        <f t="shared" si="1"/>
        <v>H030069</v>
      </c>
      <c r="B5" s="1" t="s">
        <v>63</v>
      </c>
      <c r="C5" s="9" t="str">
        <f t="array" ref="C5">IF(
  AND(
    IFERROR(MATCH(Caseslist!B5, data!D:D, 0), 0) &gt; 0,
    IFERROR(INDEX(data!N:N, MATCH(Caseslist!B5, data!D:D, 0)) = 1, FALSE)
  ),
  "COMPLETE",
  "INC"
)</f>
        <v>COMPLETE</v>
      </c>
      <c r="D5" s="9" t="str">
        <f t="array" ref="D5">IFERROR(INDEX(data!$G:$G,match(Caseslist!B5,data!$D:$D,0)), "INC")</f>
        <v>O3925718</v>
      </c>
      <c r="E5" s="9" t="str">
        <f t="array" ref="E5">IFERROR(INDEX(data!H:H,match(Caseslist!B5,data!D:D,0)), "INC")</f>
        <v>Adrian Montecastro Ferrer</v>
      </c>
      <c r="F5" s="10" t="str">
        <f t="array" ref="F5">IF(
    OR(
      IFNA(INDEX(data!M:M, MATCH(Caseslist!B5, data!D:D, 0)), "") = "",
      IFNA(INDEX(data!M:M, MATCH(Caseslist!B5, data!D:D, 0)), 0) = 0
    ),
    "COMPLETE",
    IF(
      IFNA(INDEX(dataICM!D:D, MATCH(Caseslist!B5, dataICM!D:D, 0)), "INC") = "INC",
      IFNA(INDEX(dataICM!D:D, MATCH(Caseslist!B5, dataICM!D:D, 0)), "INC"),
      "COMPLETE"
    )
  )</f>
        <v>COMPLETE</v>
      </c>
      <c r="G5" s="10" t="str">
        <f t="array" ref="G5">IF(IFERROR(INDEX(data!L:L,match(Caseslist!B5,data!D:D,0)),"INC")="","COMPLETE",F5)</f>
        <v>COMPLETE</v>
      </c>
      <c r="H5" s="9" t="str">
        <f t="array" ref="H5">IFERROR(INDEX(dataICM!F:F,match(Caseslist!B5,dataICM!D:D,0)), "INC")</f>
        <v>INC</v>
      </c>
      <c r="I5" s="10" t="str">
        <f t="shared" si="2"/>
        <v>O3925718</v>
      </c>
      <c r="J5" s="9" t="str">
        <f t="array" ref="J5">IF(
  AND(
    IFERROR(MATCH(B5, data!D:D, 0), 0) &gt; 0,
    IFERROR(INDEX(data!N:N, MATCH(B5, data!D:D, 0)) = 1, FALSE)
  ),
  INDEX(data!C:C, MATCH(B5, data!D:D, 0)),
  "INC"
)</f>
        <v>2025-08-25T13:34:43.797+08</v>
      </c>
      <c r="K5" s="9" t="str">
        <f t="array" ref="K5">IFERROR(INDEX(dataICM!C:C,match(Caseslist!B5,dataICM!D:D,0)), "INC")</f>
        <v>INC</v>
      </c>
      <c r="L5" s="10" t="str">
        <f t="array" ref="L5">IF(AND(G5="COMPLETE", OR(K5="INC", ISBLANK(INDEX(data!O:O, ROW())))), J5, K5)</f>
        <v>2025-08-25T13:34:43.797+08</v>
      </c>
      <c r="M5" s="2">
        <v>45894.0</v>
      </c>
      <c r="N5" s="2" t="str">
        <f t="array" ref="N5">IF(M5&lt;&gt;"INC", INDEX(data!M:M, MATCH(B5, data!D:D, 0)), "")</f>
        <v/>
      </c>
      <c r="O5" s="2">
        <f t="shared" si="3"/>
        <v>0</v>
      </c>
    </row>
    <row r="6">
      <c r="A6" s="2" t="str">
        <f t="shared" si="1"/>
        <v>H030069</v>
      </c>
      <c r="B6" s="1" t="s">
        <v>266</v>
      </c>
      <c r="C6" s="9" t="str">
        <f t="array" ref="C6">IF(
  AND(
    IFERROR(MATCH(Caseslist!B6, data!D:D, 0), 0) &gt; 0,
    IFERROR(INDEX(data!N:N, MATCH(Caseslist!B6, data!D:D, 0)) = 1, FALSE)
  ),
  "COMPLETE",
  "INC"
)</f>
        <v>COMPLETE</v>
      </c>
      <c r="D6" s="9" t="str">
        <f t="array" ref="D6">IFERROR(INDEX(data!$G:$G,match(Caseslist!B6,data!$D:$D,0)), "INC")</f>
        <v>P1068432</v>
      </c>
      <c r="E6" s="9" t="str">
        <f t="array" ref="E6">IFERROR(INDEX(data!H:H,match(Caseslist!B6,data!D:D,0)), "INC")</f>
        <v>Mark Daniel Balagao Benson</v>
      </c>
      <c r="F6" s="10" t="str">
        <f t="array" ref="F6">IF(
    OR(
      IFNA(INDEX(data!M:M, MATCH(Caseslist!B6, data!D:D, 0)), "") = "",
      IFNA(INDEX(data!M:M, MATCH(Caseslist!B6, data!D:D, 0)), 0) = 0
    ),
    "COMPLETE",
    IF(
      IFNA(INDEX(dataICM!D:D, MATCH(Caseslist!B6, dataICM!D:D, 0)), "INC") = "INC",
      IFNA(INDEX(dataICM!D:D, MATCH(Caseslist!B6, dataICM!D:D, 0)), "INC"),
      "COMPLETE"
    )
  )</f>
        <v>COMPLETE</v>
      </c>
      <c r="G6" s="10" t="str">
        <f t="array" ref="G6">IF(IFERROR(INDEX(data!L:L,match(Caseslist!B6,data!D:D,0)),"INC")="","COMPLETE",F6)</f>
        <v>COMPLETE</v>
      </c>
      <c r="H6" s="9" t="str">
        <f t="array" ref="H6">IFERROR(INDEX(dataICM!F:F,match(Caseslist!B6,dataICM!D:D,0)), "INC")</f>
        <v>INC</v>
      </c>
      <c r="I6" s="10" t="str">
        <f t="shared" si="2"/>
        <v>P1068432</v>
      </c>
      <c r="J6" s="9" t="str">
        <f t="array" ref="J6">IF(
  AND(
    IFERROR(MATCH(B6, data!D:D, 0), 0) &gt; 0,
    IFERROR(INDEX(data!N:N, MATCH(B6, data!D:D, 0)) = 1, FALSE)
  ),
  INDEX(data!C:C, MATCH(B6, data!D:D, 0)),
  "INC"
)</f>
        <v>2025-08-25T12:40:04.683+08</v>
      </c>
      <c r="K6" s="9" t="str">
        <f t="array" ref="K6">IFERROR(INDEX(dataICM!C:C,match(Caseslist!B6,dataICM!D:D,0)), "INC")</f>
        <v>INC</v>
      </c>
      <c r="L6" s="10" t="str">
        <f t="array" ref="L6">IF(AND(G6="COMPLETE", OR(K6="INC", ISBLANK(INDEX(data!O:O, ROW())))), J6, K6)</f>
        <v>2025-08-25T12:40:04.683+08</v>
      </c>
      <c r="M6" s="2">
        <v>45894.0</v>
      </c>
      <c r="N6" s="2" t="str">
        <f t="array" ref="N6">IF(M6&lt;&gt;"INC", INDEX(data!M:M, MATCH(B6, data!D:D, 0)), "")</f>
        <v/>
      </c>
      <c r="O6" s="2">
        <f t="shared" si="3"/>
        <v>0</v>
      </c>
    </row>
    <row r="7">
      <c r="A7" s="2" t="str">
        <f t="shared" si="1"/>
        <v>H030069</v>
      </c>
      <c r="B7" s="1" t="s">
        <v>259</v>
      </c>
      <c r="C7" s="9" t="str">
        <f t="array" ref="C7">IF(
  AND(
    IFERROR(MATCH(Caseslist!B7, data!D:D, 0), 0) &gt; 0,
    IFERROR(INDEX(data!N:N, MATCH(Caseslist!B7, data!D:D, 0)) = 1, FALSE)
  ),
  "COMPLETE",
  "INC"
)</f>
        <v>COMPLETE</v>
      </c>
      <c r="D7" s="9" t="str">
        <f t="array" ref="D7">IFERROR(INDEX(data!$G:$G,match(Caseslist!B7,data!$D:$D,0)), "INC")</f>
        <v>P1068432</v>
      </c>
      <c r="E7" s="9" t="str">
        <f t="array" ref="E7">IFERROR(INDEX(data!H:H,match(Caseslist!B7,data!D:D,0)), "INC")</f>
        <v>Mark Daniel Balagao Benson</v>
      </c>
      <c r="F7" s="10" t="str">
        <f t="array" ref="F7">IF(
    OR(
      IFNA(INDEX(data!M:M, MATCH(Caseslist!B7, data!D:D, 0)), "") = "",
      IFNA(INDEX(data!M:M, MATCH(Caseslist!B7, data!D:D, 0)), 0) = 0
    ),
    "COMPLETE",
    IF(
      IFNA(INDEX(dataICM!D:D, MATCH(Caseslist!B7, dataICM!D:D, 0)), "INC") = "INC",
      IFNA(INDEX(dataICM!D:D, MATCH(Caseslist!B7, dataICM!D:D, 0)), "INC"),
      "COMPLETE"
    )
  )</f>
        <v>COMPLETE</v>
      </c>
      <c r="G7" s="10" t="str">
        <f t="array" ref="G7">IF(IFERROR(INDEX(data!L:L,match(Caseslist!B7,data!D:D,0)),"INC")="","COMPLETE",F7)</f>
        <v>COMPLETE</v>
      </c>
      <c r="H7" s="9" t="str">
        <f t="array" ref="H7">IFERROR(INDEX(dataICM!F:F,match(Caseslist!B7,dataICM!D:D,0)), "INC")</f>
        <v>INC</v>
      </c>
      <c r="I7" s="10" t="str">
        <f t="shared" si="2"/>
        <v>P1068432</v>
      </c>
      <c r="J7" s="9" t="str">
        <f t="array" ref="J7">IF(
  AND(
    IFERROR(MATCH(B7, data!D:D, 0), 0) &gt; 0,
    IFERROR(INDEX(data!N:N, MATCH(B7, data!D:D, 0)) = 1, FALSE)
  ),
  INDEX(data!C:C, MATCH(B7, data!D:D, 0)),
  "INC"
)</f>
        <v>2025-08-25T14:20:53.301+08</v>
      </c>
      <c r="K7" s="9" t="str">
        <f t="array" ref="K7">IFERROR(INDEX(dataICM!C:C,match(Caseslist!B7,dataICM!D:D,0)), "INC")</f>
        <v>INC</v>
      </c>
      <c r="L7" s="10" t="str">
        <f t="array" ref="L7">IF(AND(G7="COMPLETE", OR(K7="INC", ISBLANK(INDEX(data!O:O, ROW())))), J7, K7)</f>
        <v>2025-08-25T14:20:53.301+08</v>
      </c>
      <c r="M7" s="2">
        <v>45894.0</v>
      </c>
      <c r="N7" s="2" t="str">
        <f t="array" ref="N7">IF(M7&lt;&gt;"INC", INDEX(data!M:M, MATCH(B7, data!D:D, 0)), "")</f>
        <v/>
      </c>
      <c r="O7" s="2">
        <f t="shared" si="3"/>
        <v>0</v>
      </c>
    </row>
    <row r="8">
      <c r="A8" s="2" t="str">
        <f t="shared" si="1"/>
        <v>H030069</v>
      </c>
      <c r="B8" s="1" t="s">
        <v>8885</v>
      </c>
      <c r="C8" s="9" t="str">
        <f t="array" ref="C8">IF(
  AND(
    IFERROR(MATCH(Caseslist!B8, data!D:D, 0), 0) &gt; 0,
    IFERROR(INDEX(data!N:N, MATCH(Caseslist!B8, data!D:D, 0)) = 1, FALSE)
  ),
  "COMPLETE",
  "INC"
)</f>
        <v>INC</v>
      </c>
      <c r="D8" s="9" t="str">
        <f t="array" ref="D8">IFERROR(INDEX(data!$G:$G,match(Caseslist!B8,data!$D:$D,0)), "INC")</f>
        <v>INC</v>
      </c>
      <c r="E8" s="9" t="str">
        <f t="array" ref="E8">IFERROR(INDEX(data!H:H,match(Caseslist!B8,data!D:D,0)), "INC")</f>
        <v>INC</v>
      </c>
      <c r="F8" s="10" t="str">
        <f t="array" ref="F8">IF(
    OR(
      IFNA(INDEX(data!M:M, MATCH(Caseslist!B8, data!D:D, 0)), "") = "",
      IFNA(INDEX(data!M:M, MATCH(Caseslist!B8, data!D:D, 0)), 0) = 0
    ),
    "COMPLETE",
    IF(
      IFNA(INDEX(dataICM!D:D, MATCH(Caseslist!B8, dataICM!D:D, 0)), "INC") = "INC",
      IFNA(INDEX(dataICM!D:D, MATCH(Caseslist!B8, dataICM!D:D, 0)), "INC"),
      "COMPLETE"
    )
  )</f>
        <v>COMPLETE</v>
      </c>
      <c r="G8" s="10" t="str">
        <f t="array" ref="G8">IF(IFERROR(INDEX(data!L:L,match(Caseslist!B8,data!D:D,0)),"INC")="","COMPLETE",F8)</f>
        <v>COMPLETE</v>
      </c>
      <c r="H8" s="9" t="str">
        <f t="array" ref="H8">IFERROR(INDEX(dataICM!F:F,match(Caseslist!B8,dataICM!D:D,0)), "INC")</f>
        <v>INC</v>
      </c>
      <c r="I8" s="10" t="str">
        <f t="shared" si="2"/>
        <v>INC</v>
      </c>
      <c r="J8" s="9" t="str">
        <f t="array" ref="J8">IF(
  AND(
    IFERROR(MATCH(B8, data!D:D, 0), 0) &gt; 0,
    IFERROR(INDEX(data!N:N, MATCH(B8, data!D:D, 0)) = 1, FALSE)
  ),
  INDEX(data!C:C, MATCH(B8, data!D:D, 0)),
  "INC"
)</f>
        <v>INC</v>
      </c>
      <c r="K8" s="9" t="str">
        <f t="array" ref="K8">IFERROR(INDEX(dataICM!C:C,match(Caseslist!B8,dataICM!D:D,0)), "INC")</f>
        <v>INC</v>
      </c>
      <c r="L8" s="10" t="str">
        <f t="array" ref="L8">IF(AND(G8="COMPLETE", OR(K8="INC", ISBLANK(INDEX(data!O:O, ROW())))), J8, K8)</f>
        <v>INC</v>
      </c>
      <c r="M8" s="2" t="s">
        <v>8886</v>
      </c>
      <c r="N8" s="2" t="str">
        <f t="array" ref="N8">IF(M8&lt;&gt;"INC", INDEX(data!M:M, MATCH(B8, data!D:D, 0)), "")</f>
        <v/>
      </c>
      <c r="O8" s="2" t="str">
        <f t="shared" si="3"/>
        <v/>
      </c>
    </row>
    <row r="9">
      <c r="A9" s="2" t="str">
        <f t="shared" si="1"/>
        <v>H030069</v>
      </c>
      <c r="B9" s="1" t="s">
        <v>8887</v>
      </c>
      <c r="C9" s="9" t="str">
        <f t="array" ref="C9">IF(
  AND(
    IFERROR(MATCH(Caseslist!B9, data!D:D, 0), 0) &gt; 0,
    IFERROR(INDEX(data!N:N, MATCH(Caseslist!B9, data!D:D, 0)) = 1, FALSE)
  ),
  "COMPLETE",
  "INC"
)</f>
        <v>INC</v>
      </c>
      <c r="D9" s="9" t="str">
        <f t="array" ref="D9">IFERROR(INDEX(data!$G:$G,match(Caseslist!B9,data!$D:$D,0)), "INC")</f>
        <v>INC</v>
      </c>
      <c r="E9" s="9" t="str">
        <f t="array" ref="E9">IFERROR(INDEX(data!H:H,match(Caseslist!B9,data!D:D,0)), "INC")</f>
        <v>INC</v>
      </c>
      <c r="F9" s="10" t="str">
        <f t="array" ref="F9">IF(
    OR(
      IFNA(INDEX(data!M:M, MATCH(Caseslist!B9, data!D:D, 0)), "") = "",
      IFNA(INDEX(data!M:M, MATCH(Caseslist!B9, data!D:D, 0)), 0) = 0
    ),
    "COMPLETE",
    IF(
      IFNA(INDEX(dataICM!D:D, MATCH(Caseslist!B9, dataICM!D:D, 0)), "INC") = "INC",
      IFNA(INDEX(dataICM!D:D, MATCH(Caseslist!B9, dataICM!D:D, 0)), "INC"),
      "COMPLETE"
    )
  )</f>
        <v>COMPLETE</v>
      </c>
      <c r="G9" s="10" t="str">
        <f t="array" ref="G9">IF(IFERROR(INDEX(data!L:L,match(Caseslist!B9,data!D:D,0)),"INC")="","COMPLETE",F9)</f>
        <v>COMPLETE</v>
      </c>
      <c r="H9" s="9" t="str">
        <f t="array" ref="H9">IFERROR(INDEX(dataICM!F:F,match(Caseslist!B9,dataICM!D:D,0)), "INC")</f>
        <v>INC</v>
      </c>
      <c r="I9" s="10" t="str">
        <f t="shared" si="2"/>
        <v>INC</v>
      </c>
      <c r="J9" s="9" t="str">
        <f t="array" ref="J9">IF(
  AND(
    IFERROR(MATCH(B9, data!D:D, 0), 0) &gt; 0,
    IFERROR(INDEX(data!N:N, MATCH(B9, data!D:D, 0)) = 1, FALSE)
  ),
  INDEX(data!C:C, MATCH(B9, data!D:D, 0)),
  "INC"
)</f>
        <v>INC</v>
      </c>
      <c r="K9" s="9" t="str">
        <f t="array" ref="K9">IFERROR(INDEX(dataICM!C:C,match(Caseslist!B9,dataICM!D:D,0)), "INC")</f>
        <v>INC</v>
      </c>
      <c r="L9" s="10" t="str">
        <f t="array" ref="L9">IF(AND(G9="COMPLETE", OR(K9="INC", ISBLANK(INDEX(data!O:O, ROW())))), J9, K9)</f>
        <v>INC</v>
      </c>
      <c r="M9" s="2" t="s">
        <v>8886</v>
      </c>
      <c r="N9" s="2" t="str">
        <f t="array" ref="N9">IF(M9&lt;&gt;"INC", INDEX(data!M:M, MATCH(B9, data!D:D, 0)), "")</f>
        <v/>
      </c>
      <c r="O9" s="2" t="str">
        <f t="shared" si="3"/>
        <v/>
      </c>
    </row>
    <row r="10">
      <c r="A10" s="2" t="str">
        <f t="shared" si="1"/>
        <v>H030069</v>
      </c>
      <c r="B10" s="1" t="s">
        <v>118</v>
      </c>
      <c r="C10" s="9" t="str">
        <f t="array" ref="C10">IF(
  AND(
    IFERROR(MATCH(Caseslist!B10, data!D:D, 0), 0) &gt; 0,
    IFERROR(INDEX(data!N:N, MATCH(Caseslist!B10, data!D:D, 0)) = 1, FALSE)
  ),
  "COMPLETE",
  "INC"
)</f>
        <v>COMPLETE</v>
      </c>
      <c r="D10" s="9" t="str">
        <f t="array" ref="D10">IFERROR(INDEX(data!$G:$G,match(Caseslist!B10,data!$D:$D,0)), "INC")</f>
        <v>K8623174</v>
      </c>
      <c r="E10" s="9" t="str">
        <f t="array" ref="E10">IFERROR(INDEX(data!H:H,match(Caseslist!B10,data!D:D,0)), "INC")</f>
        <v>Marielle Kaye Ignacio Alonzo</v>
      </c>
      <c r="F10" s="10" t="str">
        <f t="array" ref="F10">IF(
    OR(
      IFNA(INDEX(data!M:M, MATCH(Caseslist!B10, data!D:D, 0)), "") = "",
      IFNA(INDEX(data!M:M, MATCH(Caseslist!B10, data!D:D, 0)), 0) = 0
    ),
    "COMPLETE",
    IF(
      IFNA(INDEX(dataICM!D:D, MATCH(Caseslist!B10, dataICM!D:D, 0)), "INC") = "INC",
      IFNA(INDEX(dataICM!D:D, MATCH(Caseslist!B10, dataICM!D:D, 0)), "INC"),
      "COMPLETE"
    )
  )</f>
        <v>COMPLETE</v>
      </c>
      <c r="G10" s="10" t="str">
        <f t="array" ref="G10">IF(IFERROR(INDEX(data!L:L,match(Caseslist!B10,data!D:D,0)),"INC")="","COMPLETE",F10)</f>
        <v>COMPLETE</v>
      </c>
      <c r="H10" s="9" t="str">
        <f t="array" ref="H10">IFERROR(INDEX(dataICM!F:F,match(Caseslist!B10,dataICM!D:D,0)), "INC")</f>
        <v>INC</v>
      </c>
      <c r="I10" s="10" t="str">
        <f t="shared" si="2"/>
        <v>K8623174</v>
      </c>
      <c r="J10" s="9" t="str">
        <f t="array" ref="J10">IF(
  AND(
    IFERROR(MATCH(B10, data!D:D, 0), 0) &gt; 0,
    IFERROR(INDEX(data!N:N, MATCH(B10, data!D:D, 0)) = 1, FALSE)
  ),
  INDEX(data!C:C, MATCH(B10, data!D:D, 0)),
  "INC"
)</f>
        <v>2025-08-25T15:13:24.111+08</v>
      </c>
      <c r="K10" s="9" t="str">
        <f t="array" ref="K10">IFERROR(INDEX(dataICM!C:C,match(Caseslist!B10,dataICM!D:D,0)), "INC")</f>
        <v>INC</v>
      </c>
      <c r="L10" s="10" t="str">
        <f t="array" ref="L10">IF(AND(G10="COMPLETE", OR(K10="INC", ISBLANK(INDEX(data!O:O, ROW())))), J10, K10)</f>
        <v>2025-08-25T15:13:24.111+08</v>
      </c>
      <c r="M10" s="2">
        <v>45894.0</v>
      </c>
      <c r="N10" s="2" t="str">
        <f t="array" ref="N10">IF(M10&lt;&gt;"INC", INDEX(data!M:M, MATCH(B10, data!D:D, 0)), "")</f>
        <v/>
      </c>
      <c r="O10" s="2">
        <f t="shared" si="3"/>
        <v>0</v>
      </c>
    </row>
    <row r="11">
      <c r="A11" s="2" t="str">
        <f t="shared" si="1"/>
        <v>H030069</v>
      </c>
      <c r="B11" s="1" t="s">
        <v>113</v>
      </c>
      <c r="C11" s="9" t="str">
        <f t="array" ref="C11">IF(
  AND(
    IFERROR(MATCH(Caseslist!B11, data!D:D, 0), 0) &gt; 0,
    IFERROR(INDEX(data!N:N, MATCH(Caseslist!B11, data!D:D, 0)) = 1, FALSE)
  ),
  "COMPLETE",
  "INC"
)</f>
        <v>COMPLETE</v>
      </c>
      <c r="D11" s="9" t="str">
        <f t="array" ref="D11">IFERROR(INDEX(data!$G:$G,match(Caseslist!B11,data!$D:$D,0)), "INC")</f>
        <v>M6491032</v>
      </c>
      <c r="E11" s="9" t="str">
        <f t="array" ref="E11">IFERROR(INDEX(data!H:H,match(Caseslist!B11,data!D:D,0)), "INC")</f>
        <v>Rosevil Tayo Desamparado</v>
      </c>
      <c r="F11" s="10" t="str">
        <f t="array" ref="F11">IF(
    OR(
      IFNA(INDEX(data!M:M, MATCH(Caseslist!B11, data!D:D, 0)), "") = "",
      IFNA(INDEX(data!M:M, MATCH(Caseslist!B11, data!D:D, 0)), 0) = 0
    ),
    "COMPLETE",
    IF(
      IFNA(INDEX(dataICM!D:D, MATCH(Caseslist!B11, dataICM!D:D, 0)), "INC") = "INC",
      IFNA(INDEX(dataICM!D:D, MATCH(Caseslist!B11, dataICM!D:D, 0)), "INC"),
      "COMPLETE"
    )
  )</f>
        <v>COMPLETE</v>
      </c>
      <c r="G11" s="10" t="str">
        <f t="array" ref="G11">IF(IFERROR(INDEX(data!L:L,match(Caseslist!B11,data!D:D,0)),"INC")="","COMPLETE",F11)</f>
        <v>COMPLETE</v>
      </c>
      <c r="H11" s="9" t="str">
        <f t="array" ref="H11">IFERROR(INDEX(dataICM!F:F,match(Caseslist!B11,dataICM!D:D,0)), "INC")</f>
        <v>INC</v>
      </c>
      <c r="I11" s="10" t="str">
        <f t="shared" si="2"/>
        <v>M6491032</v>
      </c>
      <c r="J11" s="9" t="str">
        <f t="array" ref="J11">IF(
  AND(
    IFERROR(MATCH(B11, data!D:D, 0), 0) &gt; 0,
    IFERROR(INDEX(data!N:N, MATCH(B11, data!D:D, 0)) = 1, FALSE)
  ),
  INDEX(data!C:C, MATCH(B11, data!D:D, 0)),
  "INC"
)</f>
        <v>2025-08-25T13:22:13.466+08</v>
      </c>
      <c r="K11" s="9" t="str">
        <f t="array" ref="K11">IFERROR(INDEX(dataICM!C:C,match(Caseslist!B11,dataICM!D:D,0)), "INC")</f>
        <v>INC</v>
      </c>
      <c r="L11" s="10" t="str">
        <f t="array" ref="L11">IF(AND(G11="COMPLETE", OR(K11="INC", ISBLANK(INDEX(data!O:O, ROW())))), J11, K11)</f>
        <v>2025-08-25T13:22:13.466+08</v>
      </c>
      <c r="M11" s="2">
        <v>45894.0</v>
      </c>
      <c r="N11" s="2" t="str">
        <f t="array" ref="N11">IF(M11&lt;&gt;"INC", INDEX(data!M:M, MATCH(B11, data!D:D, 0)), "")</f>
        <v/>
      </c>
      <c r="O11" s="2">
        <f t="shared" si="3"/>
        <v>0</v>
      </c>
    </row>
    <row r="12">
      <c r="A12" s="2" t="str">
        <f t="shared" si="1"/>
        <v>H030069</v>
      </c>
      <c r="B12" s="1" t="s">
        <v>207</v>
      </c>
      <c r="C12" s="9" t="str">
        <f t="array" ref="C12">IF(
  AND(
    IFERROR(MATCH(Caseslist!B12, data!D:D, 0), 0) &gt; 0,
    IFERROR(INDEX(data!N:N, MATCH(Caseslist!B12, data!D:D, 0)) = 1, FALSE)
  ),
  "COMPLETE",
  "INC"
)</f>
        <v>COMPLETE</v>
      </c>
      <c r="D12" s="9" t="str">
        <f t="array" ref="D12">IFERROR(INDEX(data!$G:$G,match(Caseslist!B12,data!$D:$D,0)), "INC")</f>
        <v>N7814260</v>
      </c>
      <c r="E12" s="9" t="str">
        <f t="array" ref="E12">IFERROR(INDEX(data!H:H,match(Caseslist!B12,data!D:D,0)), "INC")</f>
        <v>Jemma Marie Tillo</v>
      </c>
      <c r="F12" s="10" t="str">
        <f t="array" ref="F12">IF(
    OR(
      IFNA(INDEX(data!M:M, MATCH(Caseslist!B12, data!D:D, 0)), "") = "",
      IFNA(INDEX(data!M:M, MATCH(Caseslist!B12, data!D:D, 0)), 0) = 0
    ),
    "COMPLETE",
    IF(
      IFNA(INDEX(dataICM!D:D, MATCH(Caseslist!B12, dataICM!D:D, 0)), "INC") = "INC",
      IFNA(INDEX(dataICM!D:D, MATCH(Caseslist!B12, dataICM!D:D, 0)), "INC"),
      "COMPLETE"
    )
  )</f>
        <v>COMPLETE</v>
      </c>
      <c r="G12" s="10" t="str">
        <f t="array" ref="G12">IF(IFERROR(INDEX(data!L:L,match(Caseslist!B12,data!D:D,0)),"INC")="","COMPLETE",F12)</f>
        <v>COMPLETE</v>
      </c>
      <c r="H12" s="9" t="str">
        <f t="array" ref="H12">IFERROR(INDEX(dataICM!F:F,match(Caseslist!B12,dataICM!D:D,0)), "INC")</f>
        <v>INC</v>
      </c>
      <c r="I12" s="10" t="str">
        <f t="shared" si="2"/>
        <v>N7814260</v>
      </c>
      <c r="J12" s="9" t="str">
        <f t="array" ref="J12">IF(
  AND(
    IFERROR(MATCH(B12, data!D:D, 0), 0) &gt; 0,
    IFERROR(INDEX(data!N:N, MATCH(B12, data!D:D, 0)) = 1, FALSE)
  ),
  INDEX(data!C:C, MATCH(B12, data!D:D, 0)),
  "INC"
)</f>
        <v>2025-08-25T17:22:38.953+08</v>
      </c>
      <c r="K12" s="9" t="str">
        <f t="array" ref="K12">IFERROR(INDEX(dataICM!C:C,match(Caseslist!B12,dataICM!D:D,0)), "INC")</f>
        <v>INC</v>
      </c>
      <c r="L12" s="10" t="str">
        <f t="array" ref="L12">IF(AND(G12="COMPLETE", OR(K12="INC", ISBLANK(INDEX(data!O:O, ROW())))), J12, K12)</f>
        <v>2025-08-25T17:22:38.953+08</v>
      </c>
      <c r="M12" s="2">
        <v>45894.0</v>
      </c>
      <c r="N12" s="2" t="str">
        <f t="array" ref="N12">IF(M12&lt;&gt;"INC", INDEX(data!M:M, MATCH(B12, data!D:D, 0)), "")</f>
        <v/>
      </c>
      <c r="O12" s="2">
        <f t="shared" si="3"/>
        <v>0</v>
      </c>
    </row>
    <row r="13">
      <c r="A13" s="2" t="str">
        <f t="shared" si="1"/>
        <v>H030069</v>
      </c>
      <c r="B13" s="1" t="s">
        <v>202</v>
      </c>
      <c r="C13" s="9" t="str">
        <f t="array" ref="C13">IF(
  AND(
    IFERROR(MATCH(Caseslist!B13, data!D:D, 0), 0) &gt; 0,
    IFERROR(INDEX(data!N:N, MATCH(Caseslist!B13, data!D:D, 0)) = 1, FALSE)
  ),
  "COMPLETE",
  "INC"
)</f>
        <v>COMPLETE</v>
      </c>
      <c r="D13" s="9" t="str">
        <f t="array" ref="D13">IFERROR(INDEX(data!$G:$G,match(Caseslist!B13,data!$D:$D,0)), "INC")</f>
        <v>L2057896</v>
      </c>
      <c r="E13" s="9" t="str">
        <f t="array" ref="E13">IFERROR(INDEX(data!H:H,match(Caseslist!B13,data!D:D,0)), "INC")</f>
        <v>Franz Reoben Posadas Geneblaza</v>
      </c>
      <c r="F13" s="10" t="str">
        <f t="array" ref="F13">IF(
    OR(
      IFNA(INDEX(data!M:M, MATCH(Caseslist!B13, data!D:D, 0)), "") = "",
      IFNA(INDEX(data!M:M, MATCH(Caseslist!B13, data!D:D, 0)), 0) = 0
    ),
    "COMPLETE",
    IF(
      IFNA(INDEX(dataICM!D:D, MATCH(Caseslist!B13, dataICM!D:D, 0)), "INC") = "INC",
      IFNA(INDEX(dataICM!D:D, MATCH(Caseslist!B13, dataICM!D:D, 0)), "INC"),
      "COMPLETE"
    )
  )</f>
        <v>COMPLETE</v>
      </c>
      <c r="G13" s="10" t="str">
        <f t="array" ref="G13">IF(IFERROR(INDEX(data!L:L,match(Caseslist!B13,data!D:D,0)),"INC")="","COMPLETE",F13)</f>
        <v>COMPLETE</v>
      </c>
      <c r="H13" s="9" t="str">
        <f t="array" ref="H13">IFERROR(INDEX(dataICM!F:F,match(Caseslist!B13,dataICM!D:D,0)), "INC")</f>
        <v>INC</v>
      </c>
      <c r="I13" s="10" t="str">
        <f t="shared" si="2"/>
        <v>L2057896</v>
      </c>
      <c r="J13" s="9" t="str">
        <f t="array" ref="J13">IF(
  AND(
    IFERROR(MATCH(B13, data!D:D, 0), 0) &gt; 0,
    IFERROR(INDEX(data!N:N, MATCH(B13, data!D:D, 0)) = 1, FALSE)
  ),
  INDEX(data!C:C, MATCH(B13, data!D:D, 0)),
  "INC"
)</f>
        <v>2025-08-25T14:55:57.911+08</v>
      </c>
      <c r="K13" s="9" t="str">
        <f t="array" ref="K13">IFERROR(INDEX(dataICM!C:C,match(Caseslist!B13,dataICM!D:D,0)), "INC")</f>
        <v>INC</v>
      </c>
      <c r="L13" s="10" t="str">
        <f t="array" ref="L13">IF(AND(G13="COMPLETE", OR(K13="INC", ISBLANK(INDEX(data!O:O, ROW())))), J13, K13)</f>
        <v>2025-08-25T14:55:57.911+08</v>
      </c>
      <c r="M13" s="2">
        <v>45894.0</v>
      </c>
      <c r="N13" s="2" t="str">
        <f t="array" ref="N13">IF(M13&lt;&gt;"INC", INDEX(data!M:M, MATCH(B13, data!D:D, 0)), "")</f>
        <v/>
      </c>
      <c r="O13" s="2">
        <f t="shared" si="3"/>
        <v>0</v>
      </c>
    </row>
    <row r="14">
      <c r="A14" s="2" t="str">
        <f t="shared" si="1"/>
        <v>H030069</v>
      </c>
      <c r="B14" s="1" t="s">
        <v>190</v>
      </c>
      <c r="C14" s="9" t="str">
        <f t="array" ref="C14">IF(
  AND(
    IFERROR(MATCH(Caseslist!B14, data!D:D, 0), 0) &gt; 0,
    IFERROR(INDEX(data!N:N, MATCH(Caseslist!B14, data!D:D, 0)) = 1, FALSE)
  ),
  "COMPLETE",
  "INC"
)</f>
        <v>COMPLETE</v>
      </c>
      <c r="D14" s="9" t="str">
        <f t="array" ref="D14">IFERROR(INDEX(data!$G:$G,match(Caseslist!B14,data!$D:$D,0)), "INC")</f>
        <v>L2057896</v>
      </c>
      <c r="E14" s="9" t="str">
        <f t="array" ref="E14">IFERROR(INDEX(data!H:H,match(Caseslist!B14,data!D:D,0)), "INC")</f>
        <v>Franz Reoben Posadas Geneblaza</v>
      </c>
      <c r="F14" s="10" t="str">
        <f t="array" ref="F14">IF(
    OR(
      IFNA(INDEX(data!M:M, MATCH(Caseslist!B14, data!D:D, 0)), "") = "",
      IFNA(INDEX(data!M:M, MATCH(Caseslist!B14, data!D:D, 0)), 0) = 0
    ),
    "COMPLETE",
    IF(
      IFNA(INDEX(dataICM!D:D, MATCH(Caseslist!B14, dataICM!D:D, 0)), "INC") = "INC",
      IFNA(INDEX(dataICM!D:D, MATCH(Caseslist!B14, dataICM!D:D, 0)), "INC"),
      "COMPLETE"
    )
  )</f>
        <v>COMPLETE</v>
      </c>
      <c r="G14" s="10" t="str">
        <f t="array" ref="G14">IF(IFERROR(INDEX(data!L:L,match(Caseslist!B14,data!D:D,0)),"INC")="","COMPLETE",F14)</f>
        <v>COMPLETE</v>
      </c>
      <c r="H14" s="9" t="str">
        <f t="array" ref="H14">IFERROR(INDEX(dataICM!F:F,match(Caseslist!B14,dataICM!D:D,0)), "INC")</f>
        <v>INC</v>
      </c>
      <c r="I14" s="10" t="str">
        <f t="shared" si="2"/>
        <v>L2057896</v>
      </c>
      <c r="J14" s="9" t="str">
        <f t="array" ref="J14">IF(
  AND(
    IFERROR(MATCH(B14, data!D:D, 0), 0) &gt; 0,
    IFERROR(INDEX(data!N:N, MATCH(B14, data!D:D, 0)) = 1, FALSE)
  ),
  INDEX(data!C:C, MATCH(B14, data!D:D, 0)),
  "INC"
)</f>
        <v>2025-08-25T13:07:38.693+08</v>
      </c>
      <c r="K14" s="9" t="str">
        <f t="array" ref="K14">IFERROR(INDEX(dataICM!C:C,match(Caseslist!B14,dataICM!D:D,0)), "INC")</f>
        <v>INC</v>
      </c>
      <c r="L14" s="10" t="str">
        <f t="array" ref="L14">IF(AND(G14="COMPLETE", OR(K14="INC", ISBLANK(INDEX(data!O:O, ROW())))), J14, K14)</f>
        <v>2025-08-25T13:07:38.693+08</v>
      </c>
      <c r="M14" s="2">
        <v>45894.0</v>
      </c>
      <c r="N14" s="2" t="str">
        <f t="array" ref="N14">IF(M14&lt;&gt;"INC", INDEX(data!M:M, MATCH(B14, data!D:D, 0)), "")</f>
        <v/>
      </c>
      <c r="O14" s="2">
        <f t="shared" si="3"/>
        <v>0</v>
      </c>
    </row>
    <row r="15">
      <c r="A15" s="2" t="str">
        <f t="shared" si="1"/>
        <v>H030069</v>
      </c>
      <c r="B15" s="1" t="s">
        <v>149</v>
      </c>
      <c r="C15" s="9" t="str">
        <f t="array" ref="C15">IF(
  AND(
    IFERROR(MATCH(Caseslist!B15, data!D:D, 0), 0) &gt; 0,
    IFERROR(INDEX(data!N:N, MATCH(Caseslist!B15, data!D:D, 0)) = 1, FALSE)
  ),
  "COMPLETE",
  "INC"
)</f>
        <v>COMPLETE</v>
      </c>
      <c r="D15" s="9">
        <f t="array" ref="D15">IFERROR(INDEX(data!$G:$G,match(Caseslist!B15,data!$D:$D,0)), "INC")</f>
        <v>365637</v>
      </c>
      <c r="E15" s="9" t="str">
        <f t="array" ref="E15">IFERROR(INDEX(data!H:H,match(Caseslist!B15,data!D:D,0)), "INC")</f>
        <v>Trixie Marie</v>
      </c>
      <c r="F15" s="10" t="str">
        <f t="array" ref="F15">IF(
    OR(
      IFNA(INDEX(data!M:M, MATCH(Caseslist!B15, data!D:D, 0)), "") = "",
      IFNA(INDEX(data!M:M, MATCH(Caseslist!B15, data!D:D, 0)), 0) = 0
    ),
    "COMPLETE",
    IF(
      IFNA(INDEX(dataICM!D:D, MATCH(Caseslist!B15, dataICM!D:D, 0)), "INC") = "INC",
      IFNA(INDEX(dataICM!D:D, MATCH(Caseslist!B15, dataICM!D:D, 0)), "INC"),
      "COMPLETE"
    )
  )</f>
        <v>COMPLETE</v>
      </c>
      <c r="G15" s="10" t="str">
        <f t="array" ref="G15">IF(IFERROR(INDEX(data!L:L,match(Caseslist!B15,data!D:D,0)),"INC")="","COMPLETE",F15)</f>
        <v>COMPLETE</v>
      </c>
      <c r="H15" s="9" t="str">
        <f t="array" ref="H15">IFERROR(INDEX(dataICM!F:F,match(Caseslist!B15,dataICM!D:D,0)), "INC")</f>
        <v>INC</v>
      </c>
      <c r="I15" s="10">
        <f t="shared" si="2"/>
        <v>365637</v>
      </c>
      <c r="J15" s="9" t="str">
        <f t="array" ref="J15">IF(
  AND(
    IFERROR(MATCH(B15, data!D:D, 0), 0) &gt; 0,
    IFERROR(INDEX(data!N:N, MATCH(B15, data!D:D, 0)) = 1, FALSE)
  ),
  INDEX(data!C:C, MATCH(B15, data!D:D, 0)),
  "INC"
)</f>
        <v>2025-08-25T14:28:16.808+08</v>
      </c>
      <c r="K15" s="9" t="str">
        <f t="array" ref="K15">IFERROR(INDEX(dataICM!C:C,match(Caseslist!B15,dataICM!D:D,0)), "INC")</f>
        <v>INC</v>
      </c>
      <c r="L15" s="10" t="str">
        <f t="array" ref="L15">IF(AND(G15="COMPLETE", OR(K15="INC", ISBLANK(INDEX(data!O:O, ROW())))), J15, K15)</f>
        <v>2025-08-25T14:28:16.808+08</v>
      </c>
      <c r="M15" s="2">
        <v>45894.0</v>
      </c>
      <c r="N15" s="2" t="str">
        <f t="array" ref="N15">IF(M15&lt;&gt;"INC", INDEX(data!M:M, MATCH(B15, data!D:D, 0)), "")</f>
        <v/>
      </c>
      <c r="O15" s="2">
        <f t="shared" si="3"/>
        <v>0</v>
      </c>
    </row>
    <row r="16">
      <c r="A16" s="2" t="str">
        <f t="shared" si="1"/>
        <v>H030069</v>
      </c>
      <c r="B16" s="1" t="s">
        <v>143</v>
      </c>
      <c r="C16" s="9" t="str">
        <f t="array" ref="C16">IF(
  AND(
    IFERROR(MATCH(Caseslist!B16, data!D:D, 0), 0) &gt; 0,
    IFERROR(INDEX(data!N:N, MATCH(Caseslist!B16, data!D:D, 0)) = 1, FALSE)
  ),
  "COMPLETE",
  "INC"
)</f>
        <v>COMPLETE</v>
      </c>
      <c r="D16" s="9">
        <f t="array" ref="D16">IFERROR(INDEX(data!$G:$G,match(Caseslist!B16,data!$D:$D,0)), "INC")</f>
        <v>365637</v>
      </c>
      <c r="E16" s="9" t="str">
        <f t="array" ref="E16">IFERROR(INDEX(data!H:H,match(Caseslist!B16,data!D:D,0)), "INC")</f>
        <v>Trixie Marie</v>
      </c>
      <c r="F16" s="10" t="str">
        <f t="array" ref="F16">IF(
    OR(
      IFNA(INDEX(data!M:M, MATCH(Caseslist!B16, data!D:D, 0)), "") = "",
      IFNA(INDEX(data!M:M, MATCH(Caseslist!B16, data!D:D, 0)), 0) = 0
    ),
    "COMPLETE",
    IF(
      IFNA(INDEX(dataICM!D:D, MATCH(Caseslist!B16, dataICM!D:D, 0)), "INC") = "INC",
      IFNA(INDEX(dataICM!D:D, MATCH(Caseslist!B16, dataICM!D:D, 0)), "INC"),
      "COMPLETE"
    )
  )</f>
        <v>COMPLETE</v>
      </c>
      <c r="G16" s="10" t="str">
        <f t="array" ref="G16">IF(IFERROR(INDEX(data!L:L,match(Caseslist!B16,data!D:D,0)),"INC")="","COMPLETE",F16)</f>
        <v>COMPLETE</v>
      </c>
      <c r="H16" s="9" t="str">
        <f t="array" ref="H16">IFERROR(INDEX(dataICM!F:F,match(Caseslist!B16,dataICM!D:D,0)), "INC")</f>
        <v>INC</v>
      </c>
      <c r="I16" s="10">
        <f t="shared" si="2"/>
        <v>365637</v>
      </c>
      <c r="J16" s="9" t="str">
        <f t="array" ref="J16">IF(
  AND(
    IFERROR(MATCH(B16, data!D:D, 0), 0) &gt; 0,
    IFERROR(INDEX(data!N:N, MATCH(B16, data!D:D, 0)) = 1, FALSE)
  ),
  INDEX(data!C:C, MATCH(B16, data!D:D, 0)),
  "INC"
)</f>
        <v>2025-08-25T13:44:32.423+08</v>
      </c>
      <c r="K16" s="9" t="str">
        <f t="array" ref="K16">IFERROR(INDEX(dataICM!C:C,match(Caseslist!B16,dataICM!D:D,0)), "INC")</f>
        <v>INC</v>
      </c>
      <c r="L16" s="10" t="str">
        <f t="array" ref="L16">IF(AND(G16="COMPLETE", OR(K16="INC", ISBLANK(INDEX(data!O:O, ROW())))), J16, K16)</f>
        <v>2025-08-25T13:44:32.423+08</v>
      </c>
      <c r="M16" s="2">
        <v>45894.0</v>
      </c>
      <c r="N16" s="2" t="str">
        <f t="array" ref="N16">IF(M16&lt;&gt;"INC", INDEX(data!M:M, MATCH(B16, data!D:D, 0)), "")</f>
        <v/>
      </c>
      <c r="O16" s="2">
        <f t="shared" si="3"/>
        <v>0</v>
      </c>
    </row>
    <row r="17">
      <c r="A17" s="2" t="str">
        <f t="shared" si="1"/>
        <v>H030069</v>
      </c>
      <c r="B17" s="1" t="s">
        <v>8888</v>
      </c>
      <c r="C17" s="9" t="str">
        <f t="array" ref="C17">IF(
  AND(
    IFERROR(MATCH(Caseslist!B17, data!D:D, 0), 0) &gt; 0,
    IFERROR(INDEX(data!N:N, MATCH(Caseslist!B17, data!D:D, 0)) = 1, FALSE)
  ),
  "COMPLETE",
  "INC"
)</f>
        <v>INC</v>
      </c>
      <c r="D17" s="9" t="str">
        <f t="array" ref="D17">IFERROR(INDEX(data!$G:$G,match(Caseslist!B17,data!$D:$D,0)), "INC")</f>
        <v>INC</v>
      </c>
      <c r="E17" s="9" t="str">
        <f t="array" ref="E17">IFERROR(INDEX(data!H:H,match(Caseslist!B17,data!D:D,0)), "INC")</f>
        <v>INC</v>
      </c>
      <c r="F17" s="10" t="str">
        <f t="array" ref="F17">IF(
    OR(
      IFNA(INDEX(data!M:M, MATCH(Caseslist!B17, data!D:D, 0)), "") = "",
      IFNA(INDEX(data!M:M, MATCH(Caseslist!B17, data!D:D, 0)), 0) = 0
    ),
    "COMPLETE",
    IF(
      IFNA(INDEX(dataICM!D:D, MATCH(Caseslist!B17, dataICM!D:D, 0)), "INC") = "INC",
      IFNA(INDEX(dataICM!D:D, MATCH(Caseslist!B17, dataICM!D:D, 0)), "INC"),
      "COMPLETE"
    )
  )</f>
        <v>COMPLETE</v>
      </c>
      <c r="G17" s="10" t="str">
        <f t="array" ref="G17">IF(IFERROR(INDEX(data!L:L,match(Caseslist!B17,data!D:D,0)),"INC")="","COMPLETE",F17)</f>
        <v>COMPLETE</v>
      </c>
      <c r="H17" s="9" t="str">
        <f t="array" ref="H17">IFERROR(INDEX(dataICM!F:F,match(Caseslist!B17,dataICM!D:D,0)), "INC")</f>
        <v>INC</v>
      </c>
      <c r="I17" s="10" t="str">
        <f t="shared" si="2"/>
        <v>INC</v>
      </c>
      <c r="J17" s="9" t="str">
        <f t="array" ref="J17">IF(
  AND(
    IFERROR(MATCH(B17, data!D:D, 0), 0) &gt; 0,
    IFERROR(INDEX(data!N:N, MATCH(B17, data!D:D, 0)) = 1, FALSE)
  ),
  INDEX(data!C:C, MATCH(B17, data!D:D, 0)),
  "INC"
)</f>
        <v>INC</v>
      </c>
      <c r="K17" s="9" t="str">
        <f t="array" ref="K17">IFERROR(INDEX(dataICM!C:C,match(Caseslist!B17,dataICM!D:D,0)), "INC")</f>
        <v>INC</v>
      </c>
      <c r="L17" s="10" t="str">
        <f t="array" ref="L17">IF(AND(G17="COMPLETE", OR(K17="INC", ISBLANK(INDEX(data!O:O, ROW())))), J17, K17)</f>
        <v>INC</v>
      </c>
      <c r="M17" s="2" t="s">
        <v>8886</v>
      </c>
      <c r="N17" s="2" t="str">
        <f t="array" ref="N17">IF(M17&lt;&gt;"INC", INDEX(data!M:M, MATCH(B17, data!D:D, 0)), "")</f>
        <v/>
      </c>
      <c r="O17" s="2" t="str">
        <f t="shared" si="3"/>
        <v/>
      </c>
    </row>
    <row r="18">
      <c r="A18" s="2" t="str">
        <f t="shared" si="1"/>
        <v>H030069</v>
      </c>
      <c r="B18" s="1" t="s">
        <v>125</v>
      </c>
      <c r="C18" s="9" t="str">
        <f t="array" ref="C18">IF(
  AND(
    IFERROR(MATCH(Caseslist!B18, data!D:D, 0), 0) &gt; 0,
    IFERROR(INDEX(data!N:N, MATCH(Caseslist!B18, data!D:D, 0)) = 1, FALSE)
  ),
  "COMPLETE",
  "INC"
)</f>
        <v>COMPLETE</v>
      </c>
      <c r="D18" s="9" t="str">
        <f t="array" ref="D18">IFERROR(INDEX(data!$G:$G,match(Caseslist!B18,data!$D:$D,0)), "INC")</f>
        <v>K8623174</v>
      </c>
      <c r="E18" s="9" t="str">
        <f t="array" ref="E18">IFERROR(INDEX(data!H:H,match(Caseslist!B18,data!D:D,0)), "INC")</f>
        <v>Marielle Kaye Ignacio Alonzo</v>
      </c>
      <c r="F18" s="10" t="str">
        <f t="array" ref="F18">IF(
    OR(
      IFNA(INDEX(data!M:M, MATCH(Caseslist!B18, data!D:D, 0)), "") = "",
      IFNA(INDEX(data!M:M, MATCH(Caseslist!B18, data!D:D, 0)), 0) = 0
    ),
    "COMPLETE",
    IF(
      IFNA(INDEX(dataICM!D:D, MATCH(Caseslist!B18, dataICM!D:D, 0)), "INC") = "INC",
      IFNA(INDEX(dataICM!D:D, MATCH(Caseslist!B18, dataICM!D:D, 0)), "INC"),
      "COMPLETE"
    )
  )</f>
        <v>COMPLETE</v>
      </c>
      <c r="G18" s="10" t="str">
        <f t="array" ref="G18">IF(IFERROR(INDEX(data!L:L,match(Caseslist!B18,data!D:D,0)),"INC")="","COMPLETE",F18)</f>
        <v>COMPLETE</v>
      </c>
      <c r="H18" s="9" t="str">
        <f t="array" ref="H18">IFERROR(INDEX(dataICM!F:F,match(Caseslist!B18,dataICM!D:D,0)), "INC")</f>
        <v>INC</v>
      </c>
      <c r="I18" s="10" t="str">
        <f t="shared" si="2"/>
        <v>K8623174</v>
      </c>
      <c r="J18" s="9" t="str">
        <f t="array" ref="J18">IF(
  AND(
    IFERROR(MATCH(B18, data!D:D, 0), 0) &gt; 0,
    IFERROR(INDEX(data!N:N, MATCH(B18, data!D:D, 0)) = 1, FALSE)
  ),
  INDEX(data!C:C, MATCH(B18, data!D:D, 0)),
  "INC"
)</f>
        <v>2025-08-25T13:49:18.526+08</v>
      </c>
      <c r="K18" s="9" t="str">
        <f t="array" ref="K18">IFERROR(INDEX(dataICM!C:C,match(Caseslist!B18,dataICM!D:D,0)), "INC")</f>
        <v>INC</v>
      </c>
      <c r="L18" s="10" t="str">
        <f t="array" ref="L18">IF(AND(G18="COMPLETE", OR(K18="INC", ISBLANK(INDEX(data!O:O, ROW())))), J18, K18)</f>
        <v>2025-08-25T13:49:18.526+08</v>
      </c>
      <c r="M18" s="2">
        <v>45894.0</v>
      </c>
      <c r="N18" s="2" t="str">
        <f t="array" ref="N18">IF(M18&lt;&gt;"INC", INDEX(data!M:M, MATCH(B18, data!D:D, 0)), "")</f>
        <v/>
      </c>
      <c r="O18" s="2">
        <f t="shared" si="3"/>
        <v>0</v>
      </c>
    </row>
    <row r="19">
      <c r="A19" s="2" t="str">
        <f t="shared" si="1"/>
        <v>H030069</v>
      </c>
      <c r="B19" s="1" t="s">
        <v>8889</v>
      </c>
      <c r="C19" s="9" t="str">
        <f t="array" ref="C19">IF(
  AND(
    IFERROR(MATCH(Caseslist!B19, data!D:D, 0), 0) &gt; 0,
    IFERROR(INDEX(data!N:N, MATCH(Caseslist!B19, data!D:D, 0)) = 1, FALSE)
  ),
  "COMPLETE",
  "INC"
)</f>
        <v>INC</v>
      </c>
      <c r="D19" s="9" t="str">
        <f t="array" ref="D19">IFERROR(INDEX(data!$G:$G,match(Caseslist!B19,data!$D:$D,0)), "INC")</f>
        <v>INC</v>
      </c>
      <c r="E19" s="9" t="str">
        <f t="array" ref="E19">IFERROR(INDEX(data!H:H,match(Caseslist!B19,data!D:D,0)), "INC")</f>
        <v>INC</v>
      </c>
      <c r="F19" s="10" t="str">
        <f t="array" ref="F19">IF(
    OR(
      IFNA(INDEX(data!M:M, MATCH(Caseslist!B19, data!D:D, 0)), "") = "",
      IFNA(INDEX(data!M:M, MATCH(Caseslist!B19, data!D:D, 0)), 0) = 0
    ),
    "COMPLETE",
    IF(
      IFNA(INDEX(dataICM!D:D, MATCH(Caseslist!B19, dataICM!D:D, 0)), "INC") = "INC",
      IFNA(INDEX(dataICM!D:D, MATCH(Caseslist!B19, dataICM!D:D, 0)), "INC"),
      "COMPLETE"
    )
  )</f>
        <v>COMPLETE</v>
      </c>
      <c r="G19" s="10" t="str">
        <f t="array" ref="G19">IF(IFERROR(INDEX(data!L:L,match(Caseslist!B19,data!D:D,0)),"INC")="","COMPLETE",F19)</f>
        <v>COMPLETE</v>
      </c>
      <c r="H19" s="9" t="str">
        <f t="array" ref="H19">IFERROR(INDEX(dataICM!F:F,match(Caseslist!B19,dataICM!D:D,0)), "INC")</f>
        <v>INC</v>
      </c>
      <c r="I19" s="10" t="str">
        <f t="shared" si="2"/>
        <v>INC</v>
      </c>
      <c r="J19" s="9" t="str">
        <f t="array" ref="J19">IF(
  AND(
    IFERROR(MATCH(B19, data!D:D, 0), 0) &gt; 0,
    IFERROR(INDEX(data!N:N, MATCH(B19, data!D:D, 0)) = 1, FALSE)
  ),
  INDEX(data!C:C, MATCH(B19, data!D:D, 0)),
  "INC"
)</f>
        <v>INC</v>
      </c>
      <c r="K19" s="9" t="str">
        <f t="array" ref="K19">IFERROR(INDEX(dataICM!C:C,match(Caseslist!B19,dataICM!D:D,0)), "INC")</f>
        <v>INC</v>
      </c>
      <c r="L19" s="10" t="str">
        <f t="array" ref="L19">IF(AND(G19="COMPLETE", OR(K19="INC", ISBLANK(INDEX(data!O:O, ROW())))), J19, K19)</f>
        <v>INC</v>
      </c>
      <c r="M19" s="2" t="s">
        <v>8886</v>
      </c>
      <c r="N19" s="2" t="str">
        <f t="array" ref="N19">IF(M19&lt;&gt;"INC", INDEX(data!M:M, MATCH(B19, data!D:D, 0)), "")</f>
        <v/>
      </c>
      <c r="O19" s="2" t="str">
        <f t="shared" si="3"/>
        <v/>
      </c>
    </row>
    <row r="20">
      <c r="A20" s="2" t="str">
        <f t="shared" si="1"/>
        <v>H030069</v>
      </c>
      <c r="B20" s="1" t="s">
        <v>197</v>
      </c>
      <c r="C20" s="9" t="str">
        <f t="array" ref="C20">IF(
  AND(
    IFERROR(MATCH(Caseslist!B20, data!D:D, 0), 0) &gt; 0,
    IFERROR(INDEX(data!N:N, MATCH(Caseslist!B20, data!D:D, 0)) = 1, FALSE)
  ),
  "COMPLETE",
  "INC"
)</f>
        <v>COMPLETE</v>
      </c>
      <c r="D20" s="9" t="str">
        <f t="array" ref="D20">IFERROR(INDEX(data!$G:$G,match(Caseslist!B20,data!$D:$D,0)), "INC")</f>
        <v>L2057896</v>
      </c>
      <c r="E20" s="9" t="str">
        <f t="array" ref="E20">IFERROR(INDEX(data!H:H,match(Caseslist!B20,data!D:D,0)), "INC")</f>
        <v>Franz Reoben Posadas Geneblaza</v>
      </c>
      <c r="F20" s="10" t="str">
        <f t="array" ref="F20">IF(
    OR(
      IFNA(INDEX(data!M:M, MATCH(Caseslist!B20, data!D:D, 0)), "") = "",
      IFNA(INDEX(data!M:M, MATCH(Caseslist!B20, data!D:D, 0)), 0) = 0
    ),
    "COMPLETE",
    IF(
      IFNA(INDEX(dataICM!D:D, MATCH(Caseslist!B20, dataICM!D:D, 0)), "INC") = "INC",
      IFNA(INDEX(dataICM!D:D, MATCH(Caseslist!B20, dataICM!D:D, 0)), "INC"),
      "COMPLETE"
    )
  )</f>
        <v>COMPLETE</v>
      </c>
      <c r="G20" s="10" t="str">
        <f t="array" ref="G20">IF(IFERROR(INDEX(data!L:L,match(Caseslist!B20,data!D:D,0)),"INC")="","COMPLETE",F20)</f>
        <v>COMPLETE</v>
      </c>
      <c r="H20" s="9" t="str">
        <f t="array" ref="H20">IFERROR(INDEX(dataICM!F:F,match(Caseslist!B20,dataICM!D:D,0)), "INC")</f>
        <v>INC</v>
      </c>
      <c r="I20" s="10" t="str">
        <f t="shared" si="2"/>
        <v>L2057896</v>
      </c>
      <c r="J20" s="9" t="str">
        <f t="array" ref="J20">IF(
  AND(
    IFERROR(MATCH(B20, data!D:D, 0), 0) &gt; 0,
    IFERROR(INDEX(data!N:N, MATCH(B20, data!D:D, 0)) = 1, FALSE)
  ),
  INDEX(data!C:C, MATCH(B20, data!D:D, 0)),
  "INC"
)</f>
        <v>2025-08-25T14:06:12.207+08</v>
      </c>
      <c r="K20" s="9" t="str">
        <f t="array" ref="K20">IFERROR(INDEX(dataICM!C:C,match(Caseslist!B20,dataICM!D:D,0)), "INC")</f>
        <v>INC</v>
      </c>
      <c r="L20" s="10" t="str">
        <f t="array" ref="L20">IF(AND(G20="COMPLETE", OR(K20="INC", ISBLANK(INDEX(data!O:O, ROW())))), J20, K20)</f>
        <v>2025-08-25T14:06:12.207+08</v>
      </c>
      <c r="M20" s="2">
        <v>45894.0</v>
      </c>
      <c r="N20" s="2" t="str">
        <f t="array" ref="N20">IF(M20&lt;&gt;"INC", INDEX(data!M:M, MATCH(B20, data!D:D, 0)), "")</f>
        <v/>
      </c>
      <c r="O20" s="2">
        <f t="shared" si="3"/>
        <v>0</v>
      </c>
    </row>
    <row r="21">
      <c r="A21" s="2" t="str">
        <f t="shared" si="1"/>
        <v>H030069</v>
      </c>
      <c r="B21" s="1" t="s">
        <v>8890</v>
      </c>
      <c r="C21" s="9" t="str">
        <f t="array" ref="C21">IF(
  AND(
    IFERROR(MATCH(Caseslist!B21, data!D:D, 0), 0) &gt; 0,
    IFERROR(INDEX(data!N:N, MATCH(Caseslist!B21, data!D:D, 0)) = 1, FALSE)
  ),
  "COMPLETE",
  "INC"
)</f>
        <v>INC</v>
      </c>
      <c r="D21" s="9" t="str">
        <f t="array" ref="D21">IFERROR(INDEX(data!$G:$G,match(Caseslist!B21,data!$D:$D,0)), "INC")</f>
        <v>INC</v>
      </c>
      <c r="E21" s="9" t="str">
        <f t="array" ref="E21">IFERROR(INDEX(data!H:H,match(Caseslist!B21,data!D:D,0)), "INC")</f>
        <v>INC</v>
      </c>
      <c r="F21" s="10" t="str">
        <f t="array" ref="F21">IF(
    OR(
      IFNA(INDEX(data!M:M, MATCH(Caseslist!B21, data!D:D, 0)), "") = "",
      IFNA(INDEX(data!M:M, MATCH(Caseslist!B21, data!D:D, 0)), 0) = 0
    ),
    "COMPLETE",
    IF(
      IFNA(INDEX(dataICM!D:D, MATCH(Caseslist!B21, dataICM!D:D, 0)), "INC") = "INC",
      IFNA(INDEX(dataICM!D:D, MATCH(Caseslist!B21, dataICM!D:D, 0)), "INC"),
      "COMPLETE"
    )
  )</f>
        <v>COMPLETE</v>
      </c>
      <c r="G21" s="10" t="str">
        <f t="array" ref="G21">IF(IFERROR(INDEX(data!L:L,match(Caseslist!B21,data!D:D,0)),"INC")="","COMPLETE",F21)</f>
        <v>COMPLETE</v>
      </c>
      <c r="H21" s="9" t="str">
        <f t="array" ref="H21">IFERROR(INDEX(dataICM!F:F,match(Caseslist!B21,dataICM!D:D,0)), "INC")</f>
        <v>INC</v>
      </c>
      <c r="I21" s="10" t="str">
        <f t="shared" si="2"/>
        <v>INC</v>
      </c>
      <c r="J21" s="9" t="str">
        <f t="array" ref="J21">IF(
  AND(
    IFERROR(MATCH(B21, data!D:D, 0), 0) &gt; 0,
    IFERROR(INDEX(data!N:N, MATCH(B21, data!D:D, 0)) = 1, FALSE)
  ),
  INDEX(data!C:C, MATCH(B21, data!D:D, 0)),
  "INC"
)</f>
        <v>INC</v>
      </c>
      <c r="K21" s="9" t="str">
        <f t="array" ref="K21">IFERROR(INDEX(dataICM!C:C,match(Caseslist!B21,dataICM!D:D,0)), "INC")</f>
        <v>INC</v>
      </c>
      <c r="L21" s="10" t="str">
        <f t="array" ref="L21">IF(AND(G21="COMPLETE", OR(K21="INC", ISBLANK(INDEX(data!O:O, ROW())))), J21, K21)</f>
        <v>INC</v>
      </c>
      <c r="M21" s="2" t="s">
        <v>8886</v>
      </c>
      <c r="N21" s="2" t="str">
        <f t="array" ref="N21">IF(M21&lt;&gt;"INC", INDEX(data!M:M, MATCH(B21, data!D:D, 0)), "")</f>
        <v/>
      </c>
      <c r="O21" s="2" t="str">
        <f t="shared" si="3"/>
        <v/>
      </c>
    </row>
    <row r="22">
      <c r="A22" s="2" t="str">
        <f t="shared" si="1"/>
        <v>H030069</v>
      </c>
      <c r="B22" s="1" t="s">
        <v>8891</v>
      </c>
      <c r="C22" s="9" t="str">
        <f t="array" ref="C22">IF(
  AND(
    IFERROR(MATCH(Caseslist!B22, data!D:D, 0), 0) &gt; 0,
    IFERROR(INDEX(data!N:N, MATCH(Caseslist!B22, data!D:D, 0)) = 1, FALSE)
  ),
  "COMPLETE",
  "INC"
)</f>
        <v>INC</v>
      </c>
      <c r="D22" s="9" t="str">
        <f t="array" ref="D22">IFERROR(INDEX(data!$G:$G,match(Caseslist!B22,data!$D:$D,0)), "INC")</f>
        <v>INC</v>
      </c>
      <c r="E22" s="9" t="str">
        <f t="array" ref="E22">IFERROR(INDEX(data!H:H,match(Caseslist!B22,data!D:D,0)), "INC")</f>
        <v>INC</v>
      </c>
      <c r="F22" s="10" t="str">
        <f t="array" ref="F22">IF(
    OR(
      IFNA(INDEX(data!M:M, MATCH(Caseslist!B22, data!D:D, 0)), "") = "",
      IFNA(INDEX(data!M:M, MATCH(Caseslist!B22, data!D:D, 0)), 0) = 0
    ),
    "COMPLETE",
    IF(
      IFNA(INDEX(dataICM!D:D, MATCH(Caseslist!B22, dataICM!D:D, 0)), "INC") = "INC",
      IFNA(INDEX(dataICM!D:D, MATCH(Caseslist!B22, dataICM!D:D, 0)), "INC"),
      "COMPLETE"
    )
  )</f>
        <v>COMPLETE</v>
      </c>
      <c r="G22" s="10" t="str">
        <f t="array" ref="G22">IF(IFERROR(INDEX(data!L:L,match(Caseslist!B22,data!D:D,0)),"INC")="","COMPLETE",F22)</f>
        <v>COMPLETE</v>
      </c>
      <c r="H22" s="9" t="str">
        <f t="array" ref="H22">IFERROR(INDEX(dataICM!F:F,match(Caseslist!B22,dataICM!D:D,0)), "INC")</f>
        <v>INC</v>
      </c>
      <c r="I22" s="10" t="str">
        <f t="shared" si="2"/>
        <v>INC</v>
      </c>
      <c r="J22" s="9" t="str">
        <f t="array" ref="J22">IF(
  AND(
    IFERROR(MATCH(B22, data!D:D, 0), 0) &gt; 0,
    IFERROR(INDEX(data!N:N, MATCH(B22, data!D:D, 0)) = 1, FALSE)
  ),
  INDEX(data!C:C, MATCH(B22, data!D:D, 0)),
  "INC"
)</f>
        <v>INC</v>
      </c>
      <c r="K22" s="9" t="str">
        <f t="array" ref="K22">IFERROR(INDEX(dataICM!C:C,match(Caseslist!B22,dataICM!D:D,0)), "INC")</f>
        <v>INC</v>
      </c>
      <c r="L22" s="10" t="str">
        <f t="array" ref="L22">IF(AND(G22="COMPLETE", OR(K22="INC", ISBLANK(INDEX(data!O:O, ROW())))), J22, K22)</f>
        <v>INC</v>
      </c>
      <c r="M22" s="2" t="s">
        <v>8886</v>
      </c>
      <c r="N22" s="2" t="str">
        <f t="array" ref="N22">IF(M22&lt;&gt;"INC", INDEX(data!M:M, MATCH(B22, data!D:D, 0)), "")</f>
        <v/>
      </c>
      <c r="O22" s="2" t="str">
        <f t="shared" si="3"/>
        <v/>
      </c>
    </row>
    <row r="23">
      <c r="A23" s="2" t="str">
        <f t="shared" si="1"/>
        <v>H030243</v>
      </c>
      <c r="B23" s="1" t="s">
        <v>271</v>
      </c>
      <c r="C23" s="9" t="str">
        <f t="array" ref="C23">IF(
  AND(
    IFERROR(MATCH(Caseslist!B23, data!D:D, 0), 0) &gt; 0,
    IFERROR(INDEX(data!N:N, MATCH(Caseslist!B23, data!D:D, 0)) = 1, FALSE)
  ),
  "COMPLETE",
  "INC"
)</f>
        <v>COMPLETE</v>
      </c>
      <c r="D23" s="9">
        <f t="array" ref="D23">IFERROR(INDEX(data!$G:$G,match(Caseslist!B23,data!$D:$D,0)), "INC")</f>
        <v>642334</v>
      </c>
      <c r="E23" s="9" t="str">
        <f t="array" ref="E23">IFERROR(INDEX(data!H:H,match(Caseslist!B23,data!D:D,0)), "INC")</f>
        <v>Marvin Mondia</v>
      </c>
      <c r="F23" s="10" t="str">
        <f t="array" ref="F23">IF(
    OR(
      IFNA(INDEX(data!M:M, MATCH(Caseslist!B23, data!D:D, 0)), "") = "",
      IFNA(INDEX(data!M:M, MATCH(Caseslist!B23, data!D:D, 0)), 0) = 0
    ),
    "COMPLETE",
    IF(
      IFNA(INDEX(dataICM!D:D, MATCH(Caseslist!B23, dataICM!D:D, 0)), "INC") = "INC",
      IFNA(INDEX(dataICM!D:D, MATCH(Caseslist!B23, dataICM!D:D, 0)), "INC"),
      "COMPLETE"
    )
  )</f>
        <v>COMPLETE</v>
      </c>
      <c r="G23" s="10" t="str">
        <f t="array" ref="G23">IF(IFERROR(INDEX(data!L:L,match(Caseslist!B23,data!D:D,0)),"INC")="","COMPLETE",F23)</f>
        <v>COMPLETE</v>
      </c>
      <c r="H23" s="9" t="str">
        <f t="array" ref="H23">IFERROR(INDEX(dataICM!F:F,match(Caseslist!B23,dataICM!D:D,0)), "INC")</f>
        <v>INC</v>
      </c>
      <c r="I23" s="10">
        <f t="shared" si="2"/>
        <v>642334</v>
      </c>
      <c r="J23" s="9" t="str">
        <f t="array" ref="J23">IF(
  AND(
    IFERROR(MATCH(B23, data!D:D, 0), 0) &gt; 0,
    IFERROR(INDEX(data!N:N, MATCH(B23, data!D:D, 0)) = 1, FALSE)
  ),
  INDEX(data!C:C, MATCH(B23, data!D:D, 0)),
  "INC"
)</f>
        <v>2025-08-25T13:50:59.230+08</v>
      </c>
      <c r="K23" s="9" t="str">
        <f t="array" ref="K23">IFERROR(INDEX(dataICM!C:C,match(Caseslist!B23,dataICM!D:D,0)), "INC")</f>
        <v>INC</v>
      </c>
      <c r="L23" s="10" t="str">
        <f t="array" ref="L23">IF(AND(G23="COMPLETE", OR(K23="INC", ISBLANK(INDEX(data!O:O, ROW())))), J23, K23)</f>
        <v>2025-08-25T13:50:59.230+08</v>
      </c>
      <c r="M23" s="2">
        <v>45894.0</v>
      </c>
      <c r="N23" s="2" t="str">
        <f t="array" ref="N23">IF(M23&lt;&gt;"INC", INDEX(data!M:M, MATCH(B23, data!D:D, 0)), "")</f>
        <v/>
      </c>
      <c r="O23" s="2">
        <f t="shared" si="3"/>
        <v>0</v>
      </c>
    </row>
    <row r="24">
      <c r="A24" s="2" t="str">
        <f t="shared" si="1"/>
        <v>H030243</v>
      </c>
      <c r="B24" s="1" t="s">
        <v>277</v>
      </c>
      <c r="C24" s="9" t="str">
        <f t="array" ref="C24">IF(
  AND(
    IFERROR(MATCH(Caseslist!B24, data!D:D, 0), 0) &gt; 0,
    IFERROR(INDEX(data!N:N, MATCH(Caseslist!B24, data!D:D, 0)) = 1, FALSE)
  ),
  "COMPLETE",
  "INC"
)</f>
        <v>COMPLETE</v>
      </c>
      <c r="D24" s="9">
        <f t="array" ref="D24">IFERROR(INDEX(data!$G:$G,match(Caseslist!B24,data!$D:$D,0)), "INC")</f>
        <v>642334</v>
      </c>
      <c r="E24" s="9" t="str">
        <f t="array" ref="E24">IFERROR(INDEX(data!H:H,match(Caseslist!B24,data!D:D,0)), "INC")</f>
        <v>Marvin Mondia</v>
      </c>
      <c r="F24" s="10" t="str">
        <f t="array" ref="F24">IF(
    OR(
      IFNA(INDEX(data!M:M, MATCH(Caseslist!B24, data!D:D, 0)), "") = "",
      IFNA(INDEX(data!M:M, MATCH(Caseslist!B24, data!D:D, 0)), 0) = 0
    ),
    "COMPLETE",
    IF(
      IFNA(INDEX(dataICM!D:D, MATCH(Caseslist!B24, dataICM!D:D, 0)), "INC") = "INC",
      IFNA(INDEX(dataICM!D:D, MATCH(Caseslist!B24, dataICM!D:D, 0)), "INC"),
      "COMPLETE"
    )
  )</f>
        <v>COMPLETE</v>
      </c>
      <c r="G24" s="10" t="str">
        <f t="array" ref="G24">IF(IFERROR(INDEX(data!L:L,match(Caseslist!B24,data!D:D,0)),"INC")="","COMPLETE",F24)</f>
        <v>COMPLETE</v>
      </c>
      <c r="H24" s="9" t="str">
        <f t="array" ref="H24">IFERROR(INDEX(dataICM!F:F,match(Caseslist!B24,dataICM!D:D,0)), "INC")</f>
        <v>INC</v>
      </c>
      <c r="I24" s="10">
        <f t="shared" si="2"/>
        <v>642334</v>
      </c>
      <c r="J24" s="9" t="str">
        <f t="array" ref="J24">IF(
  AND(
    IFERROR(MATCH(B24, data!D:D, 0), 0) &gt; 0,
    IFERROR(INDEX(data!N:N, MATCH(B24, data!D:D, 0)) = 1, FALSE)
  ),
  INDEX(data!C:C, MATCH(B24, data!D:D, 0)),
  "INC"
)</f>
        <v>2025-08-25T14:54:55.516+08</v>
      </c>
      <c r="K24" s="9" t="str">
        <f t="array" ref="K24">IFERROR(INDEX(dataICM!C:C,match(Caseslist!B24,dataICM!D:D,0)), "INC")</f>
        <v>INC</v>
      </c>
      <c r="L24" s="10" t="str">
        <f t="array" ref="L24">IF(AND(G24="COMPLETE", OR(K24="INC", ISBLANK(INDEX(data!O:O, ROW())))), J24, K24)</f>
        <v>2025-08-25T14:54:55.516+08</v>
      </c>
      <c r="M24" s="2">
        <v>45894.0</v>
      </c>
      <c r="N24" s="2" t="str">
        <f t="array" ref="N24">IF(M24&lt;&gt;"INC", INDEX(data!M:M, MATCH(B24, data!D:D, 0)), "")</f>
        <v/>
      </c>
      <c r="O24" s="2">
        <f t="shared" si="3"/>
        <v>0</v>
      </c>
    </row>
    <row r="25">
      <c r="A25" s="2" t="str">
        <f t="shared" si="1"/>
        <v>H030243</v>
      </c>
      <c r="B25" s="1" t="s">
        <v>282</v>
      </c>
      <c r="C25" s="9" t="str">
        <f t="array" ref="C25">IF(
  AND(
    IFERROR(MATCH(Caseslist!B25, data!D:D, 0), 0) &gt; 0,
    IFERROR(INDEX(data!N:N, MATCH(Caseslist!B25, data!D:D, 0)) = 1, FALSE)
  ),
  "COMPLETE",
  "INC"
)</f>
        <v>COMPLETE</v>
      </c>
      <c r="D25" s="9">
        <f t="array" ref="D25">IFERROR(INDEX(data!$G:$G,match(Caseslist!B25,data!$D:$D,0)), "INC")</f>
        <v>642334</v>
      </c>
      <c r="E25" s="9" t="str">
        <f t="array" ref="E25">IFERROR(INDEX(data!H:H,match(Caseslist!B25,data!D:D,0)), "INC")</f>
        <v>Marvin Mondia</v>
      </c>
      <c r="F25" s="10" t="str">
        <f t="array" ref="F25">IF(
    OR(
      IFNA(INDEX(data!M:M, MATCH(Caseslist!B25, data!D:D, 0)), "") = "",
      IFNA(INDEX(data!M:M, MATCH(Caseslist!B25, data!D:D, 0)), 0) = 0
    ),
    "COMPLETE",
    IF(
      IFNA(INDEX(dataICM!D:D, MATCH(Caseslist!B25, dataICM!D:D, 0)), "INC") = "INC",
      IFNA(INDEX(dataICM!D:D, MATCH(Caseslist!B25, dataICM!D:D, 0)), "INC"),
      "COMPLETE"
    )
  )</f>
        <v>COMPLETE</v>
      </c>
      <c r="G25" s="10" t="str">
        <f t="array" ref="G25">IF(IFERROR(INDEX(data!L:L,match(Caseslist!B25,data!D:D,0)),"INC")="","COMPLETE",F25)</f>
        <v>COMPLETE</v>
      </c>
      <c r="H25" s="9" t="str">
        <f t="array" ref="H25">IFERROR(INDEX(dataICM!F:F,match(Caseslist!B25,dataICM!D:D,0)), "INC")</f>
        <v>INC</v>
      </c>
      <c r="I25" s="10">
        <f t="shared" si="2"/>
        <v>642334</v>
      </c>
      <c r="J25" s="9" t="str">
        <f t="array" ref="J25">IF(
  AND(
    IFERROR(MATCH(B25, data!D:D, 0), 0) &gt; 0,
    IFERROR(INDEX(data!N:N, MATCH(B25, data!D:D, 0)) = 1, FALSE)
  ),
  INDEX(data!B:B, MATCH(B25, data!D:D, 0)),
  "INC"
)</f>
        <v>2025-08-25T09:53:42.327+08</v>
      </c>
      <c r="K25" s="9" t="str">
        <f t="array" ref="K25">IFERROR(INDEX(dataICM!C:C,match(Caseslist!B25,dataICM!D:D,0)), "INC")</f>
        <v>INC</v>
      </c>
      <c r="L25" s="10" t="str">
        <f t="array" ref="L25">IF(AND(G25="COMPLETE", OR(K25="INC", ISBLANK(INDEX(data!O:O, ROW())))), J25, K25)</f>
        <v>2025-08-25T09:53:42.327+08</v>
      </c>
      <c r="M25" s="2">
        <v>45894.0</v>
      </c>
      <c r="N25" s="2" t="str">
        <f t="array" ref="N25">IF(M25&lt;&gt;"INC", INDEX(data!M:M, MATCH(B25, data!D:D, 0)), "")</f>
        <v/>
      </c>
      <c r="O25" s="2">
        <f t="shared" si="3"/>
        <v>0</v>
      </c>
    </row>
    <row r="26">
      <c r="A26" s="2" t="str">
        <f t="shared" si="1"/>
        <v>H030243</v>
      </c>
      <c r="B26" s="1" t="s">
        <v>90</v>
      </c>
      <c r="C26" s="9" t="str">
        <f t="array" ref="C26">IF(
  AND(
    IFERROR(MATCH(Caseslist!B26, data!D:D, 0), 0) &gt; 0,
    IFERROR(INDEX(data!N:N, MATCH(Caseslist!B26, data!D:D, 0)) = 1, FALSE)
  ),
  "COMPLETE",
  "INC"
)</f>
        <v>COMPLETE</v>
      </c>
      <c r="D26" s="9">
        <f t="array" ref="D26">IFERROR(INDEX(data!$G:$G,match(Caseslist!B26,data!$D:$D,0)), "INC")</f>
        <v>729375</v>
      </c>
      <c r="E26" s="9" t="str">
        <f t="array" ref="E26">IFERROR(INDEX(data!H:H,match(Caseslist!B26,data!D:D,0)), "INC")</f>
        <v>Janet Serafica</v>
      </c>
      <c r="F26" s="10" t="str">
        <f t="array" ref="F26">IF(
    OR(
      IFNA(INDEX(data!M:M, MATCH(Caseslist!B26, data!D:D, 0)), "") = "",
      IFNA(INDEX(data!M:M, MATCH(Caseslist!B26, data!D:D, 0)), 0) = 0
    ),
    "COMPLETE",
    IF(
      IFNA(INDEX(dataICM!D:D, MATCH(Caseslist!B26, dataICM!D:D, 0)), "INC") = "INC",
      IFNA(INDEX(dataICM!D:D, MATCH(Caseslist!B26, dataICM!D:D, 0)), "INC"),
      "COMPLETE"
    )
  )</f>
        <v>COMPLETE</v>
      </c>
      <c r="G26" s="10" t="str">
        <f t="array" ref="G26">IF(IFERROR(INDEX(data!L:L,match(Caseslist!B26,data!D:D,0)),"INC")="","COMPLETE",F26)</f>
        <v>COMPLETE</v>
      </c>
      <c r="H26" s="9" t="str">
        <f t="array" ref="H26">IFERROR(INDEX(dataICM!F:F,match(Caseslist!B26,dataICM!D:D,0)), "INC")</f>
        <v>INC</v>
      </c>
      <c r="I26" s="10">
        <f t="shared" si="2"/>
        <v>729375</v>
      </c>
      <c r="J26" s="9" t="str">
        <f t="array" ref="J26">IF(
  AND(
    IFERROR(MATCH(B26, data!D:D, 0), 0) &gt; 0,
    IFERROR(INDEX(data!N:N, MATCH(B26, data!D:D, 0)) = 1, FALSE)
  ),
  INDEX(data!C:C, MATCH(B26, data!D:D, 0)),
  "INC"
)</f>
        <v>2025-08-25T11:58:44.588+08</v>
      </c>
      <c r="K26" s="9" t="str">
        <f t="array" ref="K26">IFERROR(INDEX(dataICM!C:C,match(Caseslist!B26,dataICM!D:D,0)), "INC")</f>
        <v>INC</v>
      </c>
      <c r="L26" s="10" t="str">
        <f t="array" ref="L26">IF(AND(G26="COMPLETE", OR(K26="INC", ISBLANK(INDEX(data!O:O, ROW())))), J26, K26)</f>
        <v>2025-08-25T11:58:44.588+08</v>
      </c>
      <c r="M26" s="2">
        <v>45894.0</v>
      </c>
      <c r="N26" s="2" t="str">
        <f t="array" ref="N26">IF(M26&lt;&gt;"INC", INDEX(data!M:M, MATCH(B26, data!D:D, 0)), "")</f>
        <v/>
      </c>
      <c r="O26" s="2">
        <f t="shared" si="3"/>
        <v>0</v>
      </c>
    </row>
    <row r="27">
      <c r="A27" s="2" t="str">
        <f t="shared" si="1"/>
        <v>H030243</v>
      </c>
      <c r="B27" s="1" t="s">
        <v>8892</v>
      </c>
      <c r="C27" s="9" t="str">
        <f t="array" ref="C27">IF(
  AND(
    IFERROR(MATCH(Caseslist!B27, data!D:D, 0), 0) &gt; 0,
    IFERROR(INDEX(data!N:N, MATCH(Caseslist!B27, data!D:D, 0)) = 1, FALSE)
  ),
  "COMPLETE",
  "INC"
)</f>
        <v>INC</v>
      </c>
      <c r="D27" s="9" t="str">
        <f t="array" ref="D27">IFERROR(INDEX(data!$G:$G,match(Caseslist!B27,data!$D:$D,0)), "INC")</f>
        <v>INC</v>
      </c>
      <c r="E27" s="9" t="str">
        <f t="array" ref="E27">IFERROR(INDEX(data!H:H,match(Caseslist!B27,data!D:D,0)), "INC")</f>
        <v>INC</v>
      </c>
      <c r="F27" s="10" t="str">
        <f t="array" ref="F27">IF(
    OR(
      IFNA(INDEX(data!M:M, MATCH(Caseslist!B27, data!D:D, 0)), "") = "",
      IFNA(INDEX(data!M:M, MATCH(Caseslist!B27, data!D:D, 0)), 0) = 0
    ),
    "COMPLETE",
    IF(
      IFNA(INDEX(dataICM!D:D, MATCH(Caseslist!B27, dataICM!D:D, 0)), "INC") = "INC",
      IFNA(INDEX(dataICM!D:D, MATCH(Caseslist!B27, dataICM!D:D, 0)), "INC"),
      "COMPLETE"
    )
  )</f>
        <v>COMPLETE</v>
      </c>
      <c r="G27" s="10" t="str">
        <f t="array" ref="G27">IF(IFERROR(INDEX(data!L:L,match(Caseslist!B27,data!D:D,0)),"INC")="","COMPLETE",F27)</f>
        <v>COMPLETE</v>
      </c>
      <c r="H27" s="9" t="str">
        <f t="array" ref="H27">IFERROR(INDEX(dataICM!F:F,match(Caseslist!B27,dataICM!D:D,0)), "INC")</f>
        <v>INC</v>
      </c>
      <c r="I27" s="10" t="str">
        <f t="shared" si="2"/>
        <v>INC</v>
      </c>
      <c r="J27" s="9" t="str">
        <f t="array" ref="J27">IF(
  AND(
    IFERROR(MATCH(B27, data!D:D, 0), 0) &gt; 0,
    IFERROR(INDEX(data!N:N, MATCH(B27, data!D:D, 0)) = 1, FALSE)
  ),
  INDEX(data!C:C, MATCH(B27, data!D:D, 0)),
  "INC"
)</f>
        <v>INC</v>
      </c>
      <c r="K27" s="9" t="str">
        <f t="array" ref="K27">IFERROR(INDEX(dataICM!C:C,match(Caseslist!B27,dataICM!D:D,0)), "INC")</f>
        <v>INC</v>
      </c>
      <c r="L27" s="10" t="str">
        <f t="array" ref="L27">IF(AND(G27="COMPLETE", OR(K27="INC", ISBLANK(INDEX(data!O:O, ROW())))), J27, K27)</f>
        <v>INC</v>
      </c>
      <c r="M27" s="2" t="s">
        <v>8886</v>
      </c>
      <c r="N27" s="2" t="str">
        <f t="array" ref="N27">IF(M27&lt;&gt;"INC", INDEX(data!M:M, MATCH(B27, data!D:D, 0)), "")</f>
        <v/>
      </c>
      <c r="O27" s="2" t="str">
        <f t="shared" si="3"/>
        <v/>
      </c>
    </row>
    <row r="28">
      <c r="A28" s="2" t="str">
        <f t="shared" si="1"/>
        <v>H030243</v>
      </c>
      <c r="B28" s="1" t="s">
        <v>79</v>
      </c>
      <c r="C28" s="9" t="str">
        <f t="array" ref="C28">IF(
  AND(
    IFERROR(MATCH(Caseslist!B28, data!D:D, 0), 0) &gt; 0,
    IFERROR(INDEX(data!N:N, MATCH(Caseslist!B28, data!D:D, 0)) = 1, FALSE)
  ),
  "COMPLETE",
  "INC"
)</f>
        <v>COMPLETE</v>
      </c>
      <c r="D28" s="9">
        <f t="array" ref="D28">IFERROR(INDEX(data!$G:$G,match(Caseslist!B28,data!$D:$D,0)), "INC")</f>
        <v>729375</v>
      </c>
      <c r="E28" s="9" t="str">
        <f t="array" ref="E28">IFERROR(INDEX(data!H:H,match(Caseslist!B28,data!D:D,0)), "INC")</f>
        <v>Janet Serafica</v>
      </c>
      <c r="F28" s="10" t="str">
        <f t="array" ref="F28">IF(
    OR(
      IFNA(INDEX(data!M:M, MATCH(Caseslist!B28, data!D:D, 0)), "") = "",
      IFNA(INDEX(data!M:M, MATCH(Caseslist!B28, data!D:D, 0)), 0) = 0
    ),
    "COMPLETE",
    IF(
      IFNA(INDEX(dataICM!D:D, MATCH(Caseslist!B28, dataICM!D:D, 0)), "INC") = "INC",
      IFNA(INDEX(dataICM!D:D, MATCH(Caseslist!B28, dataICM!D:D, 0)), "INC"),
      "COMPLETE"
    )
  )</f>
        <v>COMPLETE</v>
      </c>
      <c r="G28" s="10" t="str">
        <f t="array" ref="G28">IF(IFERROR(INDEX(data!L:L,match(Caseslist!B28,data!D:D,0)),"INC")="","COMPLETE",F28)</f>
        <v>COMPLETE</v>
      </c>
      <c r="H28" s="9" t="str">
        <f t="array" ref="H28">IFERROR(INDEX(dataICM!F:F,match(Caseslist!B28,dataICM!D:D,0)), "INC")</f>
        <v>INC</v>
      </c>
      <c r="I28" s="10">
        <f t="shared" si="2"/>
        <v>729375</v>
      </c>
      <c r="J28" s="9" t="str">
        <f t="array" ref="J28">IF(
  AND(
    IFERROR(MATCH(B28, data!D:D, 0), 0) &gt; 0,
    IFERROR(INDEX(data!N:N, MATCH(B28, data!D:D, 0)) = 1, FALSE)
  ),
  INDEX(data!C:C, MATCH(B28, data!D:D, 0)),
  "INC"
)</f>
        <v>2025-08-25T10:28:40.598+08</v>
      </c>
      <c r="K28" s="9" t="str">
        <f t="array" ref="K28">IFERROR(INDEX(dataICM!C:C,match(Caseslist!B28,dataICM!D:D,0)), "INC")</f>
        <v>INC</v>
      </c>
      <c r="L28" s="10" t="str">
        <f t="array" ref="L28">IF(AND(G28="COMPLETE", OR(K28="INC", ISBLANK(INDEX(data!O:O, ROW())))), J28, K28)</f>
        <v>2025-08-25T10:28:40.598+08</v>
      </c>
      <c r="M28" s="2">
        <v>45894.0</v>
      </c>
      <c r="N28" s="2" t="str">
        <f t="array" ref="N28">IF(M28&lt;&gt;"INC", INDEX(data!M:M, MATCH(B28, data!D:D, 0)), "")</f>
        <v/>
      </c>
      <c r="O28" s="2">
        <f t="shared" si="3"/>
        <v>0</v>
      </c>
    </row>
    <row r="29">
      <c r="A29" s="2" t="str">
        <f t="shared" si="1"/>
        <v>H030243</v>
      </c>
      <c r="B29" s="1" t="s">
        <v>101</v>
      </c>
      <c r="C29" s="9" t="str">
        <f t="array" ref="C29">IF(
  AND(
    IFERROR(MATCH(Caseslist!B29, data!D:D, 0), 0) &gt; 0,
    IFERROR(INDEX(data!N:N, MATCH(Caseslist!B29, data!D:D, 0)) = 1, FALSE)
  ),
  "COMPLETE",
  "INC"
)</f>
        <v>COMPLETE</v>
      </c>
      <c r="D29" s="9">
        <f t="array" ref="D29">IFERROR(INDEX(data!$G:$G,match(Caseslist!B29,data!$D:$D,0)), "INC")</f>
        <v>841329</v>
      </c>
      <c r="E29" s="9" t="str">
        <f t="array" ref="E29">IFERROR(INDEX(data!H:H,match(Caseslist!B29,data!D:D,0)), "INC")</f>
        <v>Aila Eli</v>
      </c>
      <c r="F29" s="10" t="str">
        <f t="array" ref="F29">IF(
    OR(
      IFNA(INDEX(data!M:M, MATCH(Caseslist!B29, data!D:D, 0)), "") = "",
      IFNA(INDEX(data!M:M, MATCH(Caseslist!B29, data!D:D, 0)), 0) = 0
    ),
    "COMPLETE",
    IF(
      IFNA(INDEX(dataICM!D:D, MATCH(Caseslist!B29, dataICM!D:D, 0)), "INC") = "INC",
      IFNA(INDEX(dataICM!D:D, MATCH(Caseslist!B29, dataICM!D:D, 0)), "INC"),
      "COMPLETE"
    )
  )</f>
        <v>COMPLETE</v>
      </c>
      <c r="G29" s="10" t="str">
        <f t="array" ref="G29">IF(IFERROR(INDEX(data!L:L,match(Caseslist!B29,data!D:D,0)),"INC")="","COMPLETE",F29)</f>
        <v>COMPLETE</v>
      </c>
      <c r="H29" s="9" t="str">
        <f t="array" ref="H29">IFERROR(INDEX(dataICM!F:F,match(Caseslist!B29,dataICM!D:D,0)), "INC")</f>
        <v>INC</v>
      </c>
      <c r="I29" s="10">
        <f t="shared" si="2"/>
        <v>841329</v>
      </c>
      <c r="J29" s="9" t="str">
        <f t="array" ref="J29">IF(
  AND(
    IFERROR(MATCH(B29, data!D:D, 0), 0) &gt; 0,
    IFERROR(INDEX(data!N:N, MATCH(B29, data!D:D, 0)) = 1, FALSE)
  ),
  INDEX(data!C:C, MATCH(B29, data!D:D, 0)),
  "INC"
)</f>
        <v>2025-08-25T12:35:25.780+08</v>
      </c>
      <c r="K29" s="9" t="str">
        <f t="array" ref="K29">IFERROR(INDEX(dataICM!C:C,match(Caseslist!B29,dataICM!D:D,0)), "INC")</f>
        <v>INC</v>
      </c>
      <c r="L29" s="10" t="str">
        <f t="array" ref="L29">IF(AND(G29="COMPLETE", OR(K29="INC", ISBLANK(INDEX(data!O:O, ROW())))), J29, K29)</f>
        <v>2025-08-25T12:35:25.780+08</v>
      </c>
      <c r="M29" s="2">
        <v>45894.0</v>
      </c>
      <c r="N29" s="2" t="str">
        <f t="array" ref="N29">IF(M29&lt;&gt;"INC", INDEX(data!M:M, MATCH(B29, data!D:D, 0)), "")</f>
        <v/>
      </c>
      <c r="O29" s="2">
        <f t="shared" si="3"/>
        <v>0</v>
      </c>
    </row>
    <row r="30">
      <c r="A30" s="2" t="str">
        <f t="shared" si="1"/>
        <v>H030243</v>
      </c>
      <c r="B30" s="1" t="s">
        <v>95</v>
      </c>
      <c r="C30" s="9" t="str">
        <f t="array" ref="C30">IF(
  AND(
    IFERROR(MATCH(Caseslist!B30, data!D:D, 0), 0) &gt; 0,
    IFERROR(INDEX(data!N:N, MATCH(Caseslist!B30, data!D:D, 0)) = 1, FALSE)
  ),
  "COMPLETE",
  "INC"
)</f>
        <v>COMPLETE</v>
      </c>
      <c r="D30" s="9">
        <f t="array" ref="D30">IFERROR(INDEX(data!$G:$G,match(Caseslist!B30,data!$D:$D,0)), "INC")</f>
        <v>841329</v>
      </c>
      <c r="E30" s="9" t="str">
        <f t="array" ref="E30">IFERROR(INDEX(data!H:H,match(Caseslist!B30,data!D:D,0)), "INC")</f>
        <v>Aila Eli</v>
      </c>
      <c r="F30" s="10" t="str">
        <f t="array" ref="F30">IF(
    OR(
      IFNA(INDEX(data!M:M, MATCH(Caseslist!B30, data!D:D, 0)), "") = "",
      IFNA(INDEX(data!M:M, MATCH(Caseslist!B30, data!D:D, 0)), 0) = 0
    ),
    "COMPLETE",
    IF(
      IFNA(INDEX(dataICM!D:D, MATCH(Caseslist!B30, dataICM!D:D, 0)), "INC") = "INC",
      IFNA(INDEX(dataICM!D:D, MATCH(Caseslist!B30, dataICM!D:D, 0)), "INC"),
      "COMPLETE"
    )
  )</f>
        <v>COMPLETE</v>
      </c>
      <c r="G30" s="10" t="str">
        <f t="array" ref="G30">IF(IFERROR(INDEX(data!L:L,match(Caseslist!B30,data!D:D,0)),"INC")="","COMPLETE",F30)</f>
        <v>COMPLETE</v>
      </c>
      <c r="H30" s="9" t="str">
        <f t="array" ref="H30">IFERROR(INDEX(dataICM!F:F,match(Caseslist!B30,dataICM!D:D,0)), "INC")</f>
        <v>INC</v>
      </c>
      <c r="I30" s="10">
        <f t="shared" si="2"/>
        <v>841329</v>
      </c>
      <c r="J30" s="9" t="str">
        <f t="array" ref="J30">IF(
  AND(
    IFERROR(MATCH(B30, data!D:D, 0), 0) &gt; 0,
    IFERROR(INDEX(data!N:N, MATCH(B30, data!D:D, 0)) = 1, FALSE)
  ),
  INDEX(data!C:C, MATCH(B30, data!D:D, 0)),
  "INC"
)</f>
        <v>2025-08-25T14:07:17.595+08</v>
      </c>
      <c r="K30" s="9" t="str">
        <f t="array" ref="K30">IFERROR(INDEX(dataICM!C:C,match(Caseslist!B30,dataICM!D:D,0)), "INC")</f>
        <v>INC</v>
      </c>
      <c r="L30" s="10" t="str">
        <f t="array" ref="L30">IF(AND(G30="COMPLETE", OR(K30="INC", ISBLANK(INDEX(data!O:O, ROW())))), J30, K30)</f>
        <v>2025-08-25T14:07:17.595+08</v>
      </c>
      <c r="M30" s="2">
        <v>45894.0</v>
      </c>
      <c r="N30" s="2" t="str">
        <f t="array" ref="N30">IF(M30&lt;&gt;"INC", INDEX(data!M:M, MATCH(B30, data!D:D, 0)), "")</f>
        <v/>
      </c>
      <c r="O30" s="2">
        <f t="shared" si="3"/>
        <v>0</v>
      </c>
    </row>
    <row r="31">
      <c r="A31" s="2" t="str">
        <f t="shared" si="1"/>
        <v>H030243</v>
      </c>
      <c r="B31" s="1" t="s">
        <v>20</v>
      </c>
      <c r="C31" s="9" t="str">
        <f t="array" ref="C31">IF(
  AND(
    IFERROR(MATCH(Caseslist!B31, data!D:D, 0), 0) &gt; 0,
    IFERROR(INDEX(data!N:N, MATCH(Caseslist!B31, data!D:D, 0)) = 1, FALSE)
  ),
  "COMPLETE",
  "INC"
)</f>
        <v>COMPLETE</v>
      </c>
      <c r="D31" s="9">
        <f t="array" ref="D31">IFERROR(INDEX(data!$G:$G,match(Caseslist!B31,data!$D:$D,0)), "INC")</f>
        <v>859767</v>
      </c>
      <c r="E31" s="9" t="str">
        <f t="array" ref="E31">IFERROR(INDEX(data!H:H,match(Caseslist!B31,data!D:D,0)), "INC")</f>
        <v>Ramie De Pedro Jr.</v>
      </c>
      <c r="F31" s="10" t="str">
        <f t="array" ref="F31">IF(
    OR(
      IFNA(INDEX(data!M:M, MATCH(Caseslist!B31, data!D:D, 0)), "") = "",
      IFNA(INDEX(data!M:M, MATCH(Caseslist!B31, data!D:D, 0)), 0) = 0
    ),
    "COMPLETE",
    IF(
      IFNA(INDEX(dataICM!D:D, MATCH(Caseslist!B31, dataICM!D:D, 0)), "INC") = "INC",
      IFNA(INDEX(dataICM!D:D, MATCH(Caseslist!B31, dataICM!D:D, 0)), "INC"),
      "COMPLETE"
    )
  )</f>
        <v>COMPLETE</v>
      </c>
      <c r="G31" s="10" t="str">
        <f t="array" ref="G31">IF(IFERROR(INDEX(data!L:L,match(Caseslist!B31,data!D:D,0)),"INC")="","COMPLETE",F31)</f>
        <v>COMPLETE</v>
      </c>
      <c r="H31" s="9" t="str">
        <f t="array" ref="H31">IFERROR(INDEX(dataICM!F:F,match(Caseslist!B31,dataICM!D:D,0)), "INC")</f>
        <v>INC</v>
      </c>
      <c r="I31" s="10">
        <f t="shared" si="2"/>
        <v>859767</v>
      </c>
      <c r="J31" s="9" t="str">
        <f t="array" ref="J31">IF(
  AND(
    IFERROR(MATCH(B31, data!D:D, 0), 0) &gt; 0,
    IFERROR(INDEX(data!N:N, MATCH(B31, data!D:D, 0)) = 1, FALSE)
  ),
  INDEX(data!C:C, MATCH(B31, data!D:D, 0)),
  "INC"
)</f>
        <v>2025-08-25T11:39:10.499+08</v>
      </c>
      <c r="K31" s="9" t="str">
        <f t="array" ref="K31">IFERROR(INDEX(dataICM!C:C,match(Caseslist!B31,dataICM!D:D,0)), "INC")</f>
        <v>INC</v>
      </c>
      <c r="L31" s="10" t="str">
        <f t="array" ref="L31">IF(AND(G31="COMPLETE", OR(K31="INC", ISBLANK(INDEX(data!O:O, ROW())))), J31, K31)</f>
        <v>2025-08-25T11:39:10.499+08</v>
      </c>
      <c r="M31" s="2">
        <v>45894.0</v>
      </c>
      <c r="N31" s="2" t="str">
        <f t="array" ref="N31">IF(M31&lt;&gt;"INC", INDEX(data!M:M, MATCH(B31, data!D:D, 0)), "")</f>
        <v/>
      </c>
      <c r="O31" s="2">
        <f t="shared" si="3"/>
        <v>0</v>
      </c>
    </row>
    <row r="32">
      <c r="A32" s="2" t="str">
        <f t="shared" si="1"/>
        <v>H030243</v>
      </c>
      <c r="B32" s="1" t="s">
        <v>8893</v>
      </c>
      <c r="C32" s="9" t="str">
        <f t="array" ref="C32">IF(
  AND(
    IFERROR(MATCH(Caseslist!B32, data!D:D, 0), 0) &gt; 0,
    IFERROR(INDEX(data!N:N, MATCH(Caseslist!B32, data!D:D, 0)) = 1, FALSE)
  ),
  "COMPLETE",
  "INC"
)</f>
        <v>INC</v>
      </c>
      <c r="D32" s="9" t="str">
        <f t="array" ref="D32">IFERROR(INDEX(data!$G:$G,match(Caseslist!B32,data!$D:$D,0)), "INC")</f>
        <v>INC</v>
      </c>
      <c r="E32" s="9" t="str">
        <f t="array" ref="E32">IFERROR(INDEX(data!H:H,match(Caseslist!B32,data!D:D,0)), "INC")</f>
        <v>INC</v>
      </c>
      <c r="F32" s="10" t="str">
        <f t="array" ref="F32">IF(
    OR(
      IFNA(INDEX(data!M:M, MATCH(Caseslist!B32, data!D:D, 0)), "") = "",
      IFNA(INDEX(data!M:M, MATCH(Caseslist!B32, data!D:D, 0)), 0) = 0
    ),
    "COMPLETE",
    IF(
      IFNA(INDEX(dataICM!D:D, MATCH(Caseslist!B32, dataICM!D:D, 0)), "INC") = "INC",
      IFNA(INDEX(dataICM!D:D, MATCH(Caseslist!B32, dataICM!D:D, 0)), "INC"),
      "COMPLETE"
    )
  )</f>
        <v>COMPLETE</v>
      </c>
      <c r="G32" s="10" t="str">
        <f t="array" ref="G32">IF(IFERROR(INDEX(data!L:L,match(Caseslist!B32,data!D:D,0)),"INC")="","COMPLETE",F32)</f>
        <v>COMPLETE</v>
      </c>
      <c r="H32" s="9" t="str">
        <f t="array" ref="H32">IFERROR(INDEX(dataICM!F:F,match(Caseslist!B32,dataICM!D:D,0)), "INC")</f>
        <v>INC</v>
      </c>
      <c r="I32" s="10" t="str">
        <f t="shared" si="2"/>
        <v>INC</v>
      </c>
      <c r="J32" s="9" t="str">
        <f t="array" ref="J32">IF(
  AND(
    IFERROR(MATCH(B32, data!D:D, 0), 0) &gt; 0,
    IFERROR(INDEX(data!N:N, MATCH(B32, data!D:D, 0)) = 1, FALSE)
  ),
  INDEX(data!C:C, MATCH(B32, data!D:D, 0)),
  "INC"
)</f>
        <v>INC</v>
      </c>
      <c r="K32" s="9" t="str">
        <f t="array" ref="K32">IFERROR(INDEX(dataICM!C:C,match(Caseslist!B32,dataICM!D:D,0)), "INC")</f>
        <v>INC</v>
      </c>
      <c r="L32" s="10" t="str">
        <f t="array" ref="L32">IF(AND(G32="COMPLETE", OR(K32="INC", ISBLANK(INDEX(data!O:O, ROW())))), J32, K32)</f>
        <v>INC</v>
      </c>
      <c r="M32" s="2" t="s">
        <v>8886</v>
      </c>
      <c r="N32" s="2" t="str">
        <f t="array" ref="N32">IF(M32&lt;&gt;"INC", INDEX(data!M:M, MATCH(B32, data!D:D, 0)), "")</f>
        <v/>
      </c>
      <c r="O32" s="2" t="str">
        <f t="shared" si="3"/>
        <v/>
      </c>
    </row>
    <row r="33">
      <c r="A33" s="2" t="str">
        <f t="shared" si="1"/>
        <v>H030243</v>
      </c>
      <c r="B33" s="1" t="s">
        <v>29</v>
      </c>
      <c r="C33" s="9" t="str">
        <f t="array" ref="C33">IF(
  AND(
    IFERROR(MATCH(Caseslist!B33, data!D:D, 0), 0) &gt; 0,
    IFERROR(INDEX(data!N:N, MATCH(Caseslist!B33, data!D:D, 0)) = 1, FALSE)
  ),
  "COMPLETE",
  "INC"
)</f>
        <v>COMPLETE</v>
      </c>
      <c r="D33" s="9">
        <f t="array" ref="D33">IFERROR(INDEX(data!$G:$G,match(Caseslist!B33,data!$D:$D,0)), "INC")</f>
        <v>859767</v>
      </c>
      <c r="E33" s="9" t="str">
        <f t="array" ref="E33">IFERROR(INDEX(data!H:H,match(Caseslist!B33,data!D:D,0)), "INC")</f>
        <v>Ramie De Pedro Jr.</v>
      </c>
      <c r="F33" s="10" t="str">
        <f t="array" ref="F33">IF(
    OR(
      IFNA(INDEX(data!M:M, MATCH(Caseslist!B33, data!D:D, 0)), "") = "",
      IFNA(INDEX(data!M:M, MATCH(Caseslist!B33, data!D:D, 0)), 0) = 0
    ),
    "COMPLETE",
    IF(
      IFNA(INDEX(dataICM!D:D, MATCH(Caseslist!B33, dataICM!D:D, 0)), "INC") = "INC",
      IFNA(INDEX(dataICM!D:D, MATCH(Caseslist!B33, dataICM!D:D, 0)), "INC"),
      "COMPLETE"
    )
  )</f>
        <v>COMPLETE</v>
      </c>
      <c r="G33" s="10" t="str">
        <f t="array" ref="G33">IF(IFERROR(INDEX(data!L:L,match(Caseslist!B33,data!D:D,0)),"INC")="","COMPLETE",F33)</f>
        <v>COMPLETE</v>
      </c>
      <c r="H33" s="9" t="str">
        <f t="array" ref="H33">IFERROR(INDEX(dataICM!F:F,match(Caseslist!B33,dataICM!D:D,0)), "INC")</f>
        <v>INC</v>
      </c>
      <c r="I33" s="10">
        <f t="shared" si="2"/>
        <v>859767</v>
      </c>
      <c r="J33" s="9" t="str">
        <f t="array" ref="J33">IF(
  AND(
    IFERROR(MATCH(B33, data!D:D, 0), 0) &gt; 0,
    IFERROR(INDEX(data!N:N, MATCH(B33, data!D:D, 0)) = 1, FALSE)
  ),
  INDEX(data!C:C, MATCH(B33, data!D:D, 0)),
  "INC"
)</f>
        <v>2025-08-25T13:49:18.388+08</v>
      </c>
      <c r="K33" s="9" t="str">
        <f t="array" ref="K33">IFERROR(INDEX(dataICM!C:C,match(Caseslist!B33,dataICM!D:D,0)), "INC")</f>
        <v>INC</v>
      </c>
      <c r="L33" s="10" t="str">
        <f t="array" ref="L33">IF(AND(G33="COMPLETE", OR(K33="INC", ISBLANK(INDEX(data!O:O, ROW())))), J33, K33)</f>
        <v>2025-08-25T13:49:18.388+08</v>
      </c>
      <c r="M33" s="2">
        <v>45894.0</v>
      </c>
      <c r="N33" s="2" t="str">
        <f t="array" ref="N33">IF(M33&lt;&gt;"INC", INDEX(data!M:M, MATCH(B33, data!D:D, 0)), "")</f>
        <v/>
      </c>
      <c r="O33" s="2">
        <f t="shared" si="3"/>
        <v>0</v>
      </c>
    </row>
    <row r="34">
      <c r="A34" s="2" t="str">
        <f t="shared" si="1"/>
        <v>H030243</v>
      </c>
      <c r="B34" s="1" t="s">
        <v>8894</v>
      </c>
      <c r="C34" s="9" t="str">
        <f t="array" ref="C34">IF(
  AND(
    IFERROR(MATCH(Caseslist!B34, data!D:D, 0), 0) &gt; 0,
    IFERROR(INDEX(data!N:N, MATCH(Caseslist!B34, data!D:D, 0)) = 1, FALSE)
  ),
  "COMPLETE",
  "INC"
)</f>
        <v>INC</v>
      </c>
      <c r="D34" s="9" t="str">
        <f t="array" ref="D34">IFERROR(INDEX(data!$G:$G,match(Caseslist!B34,data!$D:$D,0)), "INC")</f>
        <v>INC</v>
      </c>
      <c r="E34" s="9" t="str">
        <f t="array" ref="E34">IFERROR(INDEX(data!H:H,match(Caseslist!B34,data!D:D,0)), "INC")</f>
        <v>INC</v>
      </c>
      <c r="F34" s="10" t="str">
        <f t="array" ref="F34">IF(
    OR(
      IFNA(INDEX(data!M:M, MATCH(Caseslist!B34, data!D:D, 0)), "") = "",
      IFNA(INDEX(data!M:M, MATCH(Caseslist!B34, data!D:D, 0)), 0) = 0
    ),
    "COMPLETE",
    IF(
      IFNA(INDEX(dataICM!D:D, MATCH(Caseslist!B34, dataICM!D:D, 0)), "INC") = "INC",
      IFNA(INDEX(dataICM!D:D, MATCH(Caseslist!B34, dataICM!D:D, 0)), "INC"),
      "COMPLETE"
    )
  )</f>
        <v>COMPLETE</v>
      </c>
      <c r="G34" s="10" t="str">
        <f t="array" ref="G34">IF(IFERROR(INDEX(data!L:L,match(Caseslist!B34,data!D:D,0)),"INC")="","COMPLETE",F34)</f>
        <v>COMPLETE</v>
      </c>
      <c r="H34" s="9" t="str">
        <f t="array" ref="H34">IFERROR(INDEX(dataICM!F:F,match(Caseslist!B34,dataICM!D:D,0)), "INC")</f>
        <v>INC</v>
      </c>
      <c r="I34" s="10" t="str">
        <f t="shared" si="2"/>
        <v>INC</v>
      </c>
      <c r="J34" s="9" t="str">
        <f t="array" ref="J34">IF(
  AND(
    IFERROR(MATCH(B34, data!D:D, 0), 0) &gt; 0,
    IFERROR(INDEX(data!N:N, MATCH(B34, data!D:D, 0)) = 1, FALSE)
  ),
  INDEX(data!C:C, MATCH(B34, data!D:D, 0)),
  "INC"
)</f>
        <v>INC</v>
      </c>
      <c r="K34" s="9" t="str">
        <f t="array" ref="K34">IFERROR(INDEX(dataICM!C:C,match(Caseslist!B34,dataICM!D:D,0)), "INC")</f>
        <v>INC</v>
      </c>
      <c r="L34" s="10" t="str">
        <f t="array" ref="L34">IF(AND(G34="COMPLETE", OR(K34="INC", ISBLANK(INDEX(data!O:O, ROW())))), J34, K34)</f>
        <v>INC</v>
      </c>
      <c r="M34" s="2" t="s">
        <v>8886</v>
      </c>
      <c r="N34" s="2" t="str">
        <f t="array" ref="N34">IF(M34&lt;&gt;"INC", INDEX(data!M:M, MATCH(B34, data!D:D, 0)), "")</f>
        <v/>
      </c>
      <c r="O34" s="2" t="str">
        <f t="shared" si="3"/>
        <v/>
      </c>
    </row>
    <row r="35">
      <c r="A35" s="2" t="str">
        <f t="shared" si="1"/>
        <v>H030243</v>
      </c>
      <c r="B35" s="1" t="s">
        <v>40</v>
      </c>
      <c r="C35" s="9" t="str">
        <f t="array" ref="C35">IF(
  AND(
    IFERROR(MATCH(Caseslist!B35, data!D:D, 0), 0) &gt; 0,
    IFERROR(INDEX(data!N:N, MATCH(Caseslist!B35, data!D:D, 0)) = 1, FALSE)
  ),
  "COMPLETE",
  "INC"
)</f>
        <v>INC</v>
      </c>
      <c r="D35" s="9">
        <f t="array" ref="D35">IFERROR(INDEX(data!$G:$G,match(Caseslist!B35,data!$D:$D,0)), "INC")</f>
        <v>555127</v>
      </c>
      <c r="E35" s="9" t="str">
        <f t="array" ref="E35">IFERROR(INDEX(data!H:H,match(Caseslist!B35,data!D:D,0)), "INC")</f>
        <v>Mary May</v>
      </c>
      <c r="F35" s="10" t="str">
        <f t="array" ref="F35">IF(
    OR(
      IFNA(INDEX(data!M:M, MATCH(Caseslist!B35, data!D:D, 0)), "") = "",
      IFNA(INDEX(data!M:M, MATCH(Caseslist!B35, data!D:D, 0)), 0) = 0
    ),
    "COMPLETE",
    IF(
      IFNA(INDEX(dataICM!D:D, MATCH(Caseslist!B35, dataICM!D:D, 0)), "INC") = "INC",
      IFNA(INDEX(dataICM!D:D, MATCH(Caseslist!B35, dataICM!D:D, 0)), "INC"),
      "COMPLETE"
    )
  )</f>
        <v>COMPLETE</v>
      </c>
      <c r="G35" s="10" t="str">
        <f t="array" ref="G35">IF(IFERROR(INDEX(data!L:L,match(Caseslist!B35,data!D:D,0)),"INC")="","COMPLETE",F35)</f>
        <v>COMPLETE</v>
      </c>
      <c r="H35" s="9" t="str">
        <f t="array" ref="H35">IFERROR(INDEX(dataICM!F:F,match(Caseslist!B35,dataICM!D:D,0)), "INC")</f>
        <v>INC</v>
      </c>
      <c r="I35" s="10">
        <f t="shared" si="2"/>
        <v>555127</v>
      </c>
      <c r="J35" s="9" t="str">
        <f t="array" ref="J35">IF(
  AND(
    IFERROR(MATCH(B35, data!D:D, 0), 0) &gt; 0,
    IFERROR(INDEX(data!N:N, MATCH(B35, data!D:D, 0)) = 1, FALSE)
  ),
  INDEX(data!C:C, MATCH(B35, data!D:D, 0)),
  "INC"
)</f>
        <v>INC</v>
      </c>
      <c r="K35" s="9" t="str">
        <f t="array" ref="K35">IFERROR(INDEX(dataICM!C:C,match(Caseslist!B35,dataICM!D:D,0)), "INC")</f>
        <v>INC</v>
      </c>
      <c r="L35" s="10" t="str">
        <f t="array" ref="L35">IF(AND(G35="COMPLETE", OR(K35="INC", ISBLANK(INDEX(data!O:O, ROW())))), J35, K35)</f>
        <v>INC</v>
      </c>
      <c r="M35" s="2" t="s">
        <v>8886</v>
      </c>
      <c r="N35" s="2" t="str">
        <f t="array" ref="N35">IF(M35&lt;&gt;"INC", INDEX(data!M:M, MATCH(B35, data!D:D, 0)), "")</f>
        <v/>
      </c>
      <c r="O35" s="2" t="str">
        <f t="shared" si="3"/>
        <v/>
      </c>
    </row>
    <row r="36">
      <c r="A36" s="2" t="str">
        <f t="shared" si="1"/>
        <v>H030243</v>
      </c>
      <c r="B36" s="1" t="s">
        <v>85</v>
      </c>
      <c r="C36" s="9" t="str">
        <f t="array" ref="C36">IF(
  AND(
    IFERROR(MATCH(Caseslist!B36, data!D:D, 0), 0) &gt; 0,
    IFERROR(INDEX(data!N:N, MATCH(Caseslist!B36, data!D:D, 0)) = 1, FALSE)
  ),
  "COMPLETE",
  "INC"
)</f>
        <v>COMPLETE</v>
      </c>
      <c r="D36" s="9">
        <f t="array" ref="D36">IFERROR(INDEX(data!$G:$G,match(Caseslist!B36,data!$D:$D,0)), "INC")</f>
        <v>729375</v>
      </c>
      <c r="E36" s="9" t="str">
        <f t="array" ref="E36">IFERROR(INDEX(data!H:H,match(Caseslist!B36,data!D:D,0)), "INC")</f>
        <v>Janet Serafica</v>
      </c>
      <c r="F36" s="10" t="str">
        <f t="array" ref="F36">IF(
    OR(
      IFNA(INDEX(data!M:M, MATCH(Caseslist!B36, data!D:D, 0)), "") = "",
      IFNA(INDEX(data!M:M, MATCH(Caseslist!B36, data!D:D, 0)), 0) = 0
    ),
    "COMPLETE",
    IF(
      IFNA(INDEX(dataICM!D:D, MATCH(Caseslist!B36, dataICM!D:D, 0)), "INC") = "INC",
      IFNA(INDEX(dataICM!D:D, MATCH(Caseslist!B36, dataICM!D:D, 0)), "INC"),
      "COMPLETE"
    )
  )</f>
        <v>COMPLETE</v>
      </c>
      <c r="G36" s="10" t="str">
        <f t="array" ref="G36">IF(IFERROR(INDEX(data!L:L,match(Caseslist!B36,data!D:D,0)),"INC")="","COMPLETE",F36)</f>
        <v>COMPLETE</v>
      </c>
      <c r="H36" s="9" t="str">
        <f t="array" ref="H36">IFERROR(INDEX(dataICM!F:F,match(Caseslist!B36,dataICM!D:D,0)), "INC")</f>
        <v>INC</v>
      </c>
      <c r="I36" s="10">
        <f t="shared" si="2"/>
        <v>729375</v>
      </c>
      <c r="J36" s="9" t="str">
        <f t="array" ref="J36">IF(
  AND(
    IFERROR(MATCH(B36, data!D:D, 0), 0) &gt; 0,
    IFERROR(INDEX(data!N:N, MATCH(B36, data!D:D, 0)) = 1, FALSE)
  ),
  INDEX(data!C:C, MATCH(B36, data!D:D, 0)),
  "INC"
)</f>
        <v>2025-08-25T15:11:27.387+08</v>
      </c>
      <c r="K36" s="9" t="str">
        <f t="array" ref="K36">IFERROR(INDEX(dataICM!C:C,match(Caseslist!B36,dataICM!D:D,0)), "INC")</f>
        <v>INC</v>
      </c>
      <c r="L36" s="10" t="str">
        <f t="array" ref="L36">IF(AND(G36="COMPLETE", OR(K36="INC", ISBLANK(INDEX(data!O:O, ROW())))), J36, K36)</f>
        <v>2025-08-25T15:11:27.387+08</v>
      </c>
      <c r="M36" s="2">
        <v>45894.0</v>
      </c>
      <c r="N36" s="2" t="str">
        <f t="array" ref="N36">IF(M36&lt;&gt;"INC", INDEX(data!M:M, MATCH(B36, data!D:D, 0)), "")</f>
        <v/>
      </c>
      <c r="O36" s="2">
        <f t="shared" si="3"/>
        <v>0</v>
      </c>
    </row>
    <row r="37">
      <c r="A37" s="2" t="str">
        <f t="shared" si="1"/>
        <v>H030243</v>
      </c>
      <c r="B37" s="1" t="s">
        <v>50</v>
      </c>
      <c r="C37" s="9" t="str">
        <f t="array" ref="C37">IF(
  AND(
    IFERROR(MATCH(Caseslist!B37, data!D:D, 0), 0) &gt; 0,
    IFERROR(INDEX(data!N:N, MATCH(Caseslist!B37, data!D:D, 0)) = 1, FALSE)
  ),
  "COMPLETE",
  "INC"
)</f>
        <v>COMPLETE</v>
      </c>
      <c r="D37" s="9">
        <f t="array" ref="D37">IFERROR(INDEX(data!$G:$G,match(Caseslist!B37,data!$D:$D,0)), "INC")</f>
        <v>555127</v>
      </c>
      <c r="E37" s="9" t="str">
        <f t="array" ref="E37">IFERROR(INDEX(data!H:H,match(Caseslist!B37,data!D:D,0)), "INC")</f>
        <v>Mary May</v>
      </c>
      <c r="F37" s="10" t="str">
        <f t="array" ref="F37">IF(
    OR(
      IFNA(INDEX(data!M:M, MATCH(Caseslist!B37, data!D:D, 0)), "") = "",
      IFNA(INDEX(data!M:M, MATCH(Caseslist!B37, data!D:D, 0)), 0) = 0
    ),
    "COMPLETE",
    IF(
      IFNA(INDEX(dataICM!D:D, MATCH(Caseslist!B37, dataICM!D:D, 0)), "INC") = "INC",
      IFNA(INDEX(dataICM!D:D, MATCH(Caseslist!B37, dataICM!D:D, 0)), "INC"),
      "COMPLETE"
    )
  )</f>
        <v>COMPLETE</v>
      </c>
      <c r="G37" s="10" t="str">
        <f t="array" ref="G37">IF(IFERROR(INDEX(data!L:L,match(Caseslist!B37,data!D:D,0)),"INC")="","COMPLETE",F37)</f>
        <v>COMPLETE</v>
      </c>
      <c r="H37" s="9" t="str">
        <f t="array" ref="H37">IFERROR(INDEX(dataICM!F:F,match(Caseslist!B37,dataICM!D:D,0)), "INC")</f>
        <v>INC</v>
      </c>
      <c r="I37" s="10">
        <f t="shared" si="2"/>
        <v>555127</v>
      </c>
      <c r="J37" s="9" t="str">
        <f t="array" ref="J37">IF(
  AND(
    IFERROR(MATCH(B37, data!D:D, 0), 0) &gt; 0,
    IFERROR(INDEX(data!N:N, MATCH(B37, data!D:D, 0)) = 1, FALSE)
  ),
  INDEX(data!C:C, MATCH(B37, data!D:D, 0)),
  "INC"
)</f>
        <v>2025-08-25T13:02:44.072+08</v>
      </c>
      <c r="K37" s="9" t="str">
        <f t="array" ref="K37">IFERROR(INDEX(dataICM!C:C,match(Caseslist!B37,dataICM!D:D,0)), "INC")</f>
        <v>INC</v>
      </c>
      <c r="L37" s="10" t="str">
        <f t="array" ref="L37">IF(AND(G37="COMPLETE", OR(K37="INC", ISBLANK(INDEX(data!O:O, ROW())))), J37, K37)</f>
        <v>2025-08-25T13:02:44.072+08</v>
      </c>
      <c r="M37" s="2">
        <v>45894.0</v>
      </c>
      <c r="N37" s="2" t="str">
        <f t="array" ref="N37">IF(M37&lt;&gt;"INC", INDEX(data!M:M, MATCH(B37, data!D:D, 0)), "")</f>
        <v/>
      </c>
      <c r="O37" s="2">
        <f t="shared" si="3"/>
        <v>0</v>
      </c>
    </row>
    <row r="38">
      <c r="A38" s="2" t="str">
        <f t="shared" si="1"/>
        <v>H030243</v>
      </c>
      <c r="B38" s="1" t="s">
        <v>45</v>
      </c>
      <c r="C38" s="9" t="str">
        <f t="array" ref="C38">IF(
  AND(
    IFERROR(MATCH(Caseslist!B38, data!D:D, 0), 0) &gt; 0,
    IFERROR(INDEX(data!N:N, MATCH(Caseslist!B38, data!D:D, 0)) = 1, FALSE)
  ),
  "COMPLETE",
  "INC"
)</f>
        <v>COMPLETE</v>
      </c>
      <c r="D38" s="9">
        <f t="array" ref="D38">IFERROR(INDEX(data!$G:$G,match(Caseslist!B38,data!$D:$D,0)), "INC")</f>
        <v>555127</v>
      </c>
      <c r="E38" s="9" t="str">
        <f t="array" ref="E38">IFERROR(INDEX(data!H:H,match(Caseslist!B38,data!D:D,0)), "INC")</f>
        <v>Mary May</v>
      </c>
      <c r="F38" s="10" t="str">
        <f t="array" ref="F38">IF(
    OR(
      IFNA(INDEX(data!M:M, MATCH(Caseslist!B38, data!D:D, 0)), "") = "",
      IFNA(INDEX(data!M:M, MATCH(Caseslist!B38, data!D:D, 0)), 0) = 0
    ),
    "COMPLETE",
    IF(
      IFNA(INDEX(dataICM!D:D, MATCH(Caseslist!B38, dataICM!D:D, 0)), "INC") = "INC",
      IFNA(INDEX(dataICM!D:D, MATCH(Caseslist!B38, dataICM!D:D, 0)), "INC"),
      "COMPLETE"
    )
  )</f>
        <v>COMPLETE</v>
      </c>
      <c r="G38" s="10" t="str">
        <f t="array" ref="G38">IF(IFERROR(INDEX(data!L:L,match(Caseslist!B38,data!D:D,0)),"INC")="","COMPLETE",F38)</f>
        <v>COMPLETE</v>
      </c>
      <c r="H38" s="9" t="str">
        <f t="array" ref="H38">IFERROR(INDEX(dataICM!F:F,match(Caseslist!B38,dataICM!D:D,0)), "INC")</f>
        <v>INC</v>
      </c>
      <c r="I38" s="10">
        <f t="shared" si="2"/>
        <v>555127</v>
      </c>
      <c r="J38" s="9" t="str">
        <f t="array" ref="J38">IF(
  AND(
    IFERROR(MATCH(B38, data!D:D, 0), 0) &gt; 0,
    IFERROR(INDEX(data!N:N, MATCH(B38, data!D:D, 0)) = 1, FALSE)
  ),
  INDEX(data!C:C, MATCH(B38, data!D:D, 0)),
  "INC"
)</f>
        <v>2025-08-25T14:46:00.327+08</v>
      </c>
      <c r="K38" s="9" t="str">
        <f t="array" ref="K38">IFERROR(INDEX(dataICM!C:C,match(Caseslist!B38,dataICM!D:D,0)), "INC")</f>
        <v>INC</v>
      </c>
      <c r="L38" s="10" t="str">
        <f t="array" ref="L38">IF(AND(G38="COMPLETE", OR(K38="INC", ISBLANK(INDEX(data!O:O, ROW())))), J38, K38)</f>
        <v>2025-08-25T14:46:00.327+08</v>
      </c>
      <c r="M38" s="2">
        <v>45894.0</v>
      </c>
      <c r="N38" s="2" t="str">
        <f t="array" ref="N38">IF(M38&lt;&gt;"INC", INDEX(data!M:M, MATCH(B38, data!D:D, 0)), "")</f>
        <v/>
      </c>
      <c r="O38" s="2">
        <f t="shared" si="3"/>
        <v>0</v>
      </c>
    </row>
    <row r="39">
      <c r="A39" s="2" t="str">
        <f t="shared" si="1"/>
        <v>H030243</v>
      </c>
      <c r="B39" s="1" t="s">
        <v>34</v>
      </c>
      <c r="C39" s="9" t="str">
        <f t="array" ref="C39">IF(
  AND(
    IFERROR(MATCH(Caseslist!B39, data!D:D, 0), 0) &gt; 0,
    IFERROR(INDEX(data!N:N, MATCH(Caseslist!B39, data!D:D, 0)) = 1, FALSE)
  ),
  "COMPLETE",
  "INC"
)</f>
        <v>COMPLETE</v>
      </c>
      <c r="D39" s="9">
        <f t="array" ref="D39">IFERROR(INDEX(data!$G:$G,match(Caseslist!B39,data!$D:$D,0)), "INC")</f>
        <v>555127</v>
      </c>
      <c r="E39" s="9" t="str">
        <f t="array" ref="E39">IFERROR(INDEX(data!H:H,match(Caseslist!B39,data!D:D,0)), "INC")</f>
        <v>Mary May</v>
      </c>
      <c r="F39" s="10" t="str">
        <f t="array" ref="F39">IF(
    OR(
      IFNA(INDEX(data!M:M, MATCH(Caseslist!B39, data!D:D, 0)), "") = "",
      IFNA(INDEX(data!M:M, MATCH(Caseslist!B39, data!D:D, 0)), 0) = 0
    ),
    "COMPLETE",
    IF(
      IFNA(INDEX(dataICM!D:D, MATCH(Caseslist!B39, dataICM!D:D, 0)), "INC") = "INC",
      IFNA(INDEX(dataICM!D:D, MATCH(Caseslist!B39, dataICM!D:D, 0)), "INC"),
      "COMPLETE"
    )
  )</f>
        <v>COMPLETE</v>
      </c>
      <c r="G39" s="10" t="str">
        <f t="array" ref="G39">IF(IFERROR(INDEX(data!L:L,match(Caseslist!B39,data!D:D,0)),"INC")="","COMPLETE",F39)</f>
        <v>COMPLETE</v>
      </c>
      <c r="H39" s="9" t="str">
        <f t="array" ref="H39">IFERROR(INDEX(dataICM!F:F,match(Caseslist!B39,dataICM!D:D,0)), "INC")</f>
        <v>INC</v>
      </c>
      <c r="I39" s="10">
        <f t="shared" si="2"/>
        <v>555127</v>
      </c>
      <c r="J39" s="9" t="str">
        <f t="array" ref="J39">IF(
  AND(
    IFERROR(MATCH(B39, data!D:D, 0), 0) &gt; 0,
    IFERROR(INDEX(data!N:N, MATCH(B39, data!D:D, 0)) = 1, FALSE)
  ),
  INDEX(data!C:C, MATCH(B39, data!D:D, 0)),
  "INC"
)</f>
        <v>2025-08-25T10:57:26.302+08</v>
      </c>
      <c r="K39" s="9" t="str">
        <f t="array" ref="K39">IFERROR(INDEX(dataICM!C:C,match(Caseslist!B39,dataICM!D:D,0)), "INC")</f>
        <v>INC</v>
      </c>
      <c r="L39" s="10" t="str">
        <f t="array" ref="L39">IF(AND(G39="COMPLETE", OR(K39="INC", ISBLANK(INDEX(data!O:O, ROW())))), J39, K39)</f>
        <v>2025-08-25T10:57:26.302+08</v>
      </c>
      <c r="M39" s="2">
        <v>45894.0</v>
      </c>
      <c r="N39" s="2" t="str">
        <f t="array" ref="N39">IF(M39&lt;&gt;"INC", INDEX(data!M:M, MATCH(B39, data!D:D, 0)), "")</f>
        <v/>
      </c>
      <c r="O39" s="2">
        <f t="shared" si="3"/>
        <v>0</v>
      </c>
    </row>
    <row r="40">
      <c r="A40" s="2" t="str">
        <f t="shared" si="1"/>
        <v>H030243</v>
      </c>
      <c r="B40" s="1" t="s">
        <v>68</v>
      </c>
      <c r="C40" s="9" t="str">
        <f t="array" ref="C40">IF(
  AND(
    IFERROR(MATCH(Caseslist!B40, data!D:D, 0), 0) &gt; 0,
    IFERROR(INDEX(data!N:N, MATCH(Caseslist!B40, data!D:D, 0)) = 1, FALSE)
  ),
  "COMPLETE",
  "INC"
)</f>
        <v>COMPLETE</v>
      </c>
      <c r="D40" s="9">
        <f t="array" ref="D40">IFERROR(INDEX(data!$G:$G,match(Caseslist!B40,data!$D:$D,0)), "INC")</f>
        <v>455939</v>
      </c>
      <c r="E40" s="9" t="str">
        <f t="array" ref="E40">IFERROR(INDEX(data!H:H,match(Caseslist!B40,data!D:D,0)), "INC")</f>
        <v>Mary Jean Villaflor</v>
      </c>
      <c r="F40" s="10" t="str">
        <f t="array" ref="F40">IF(
    OR(
      IFNA(INDEX(data!M:M, MATCH(Caseslist!B40, data!D:D, 0)), "") = "",
      IFNA(INDEX(data!M:M, MATCH(Caseslist!B40, data!D:D, 0)), 0) = 0
    ),
    "COMPLETE",
    IF(
      IFNA(INDEX(dataICM!D:D, MATCH(Caseslist!B40, dataICM!D:D, 0)), "INC") = "INC",
      IFNA(INDEX(dataICM!D:D, MATCH(Caseslist!B40, dataICM!D:D, 0)), "INC"),
      "COMPLETE"
    )
  )</f>
        <v>COMPLETE</v>
      </c>
      <c r="G40" s="10" t="str">
        <f t="array" ref="G40">IF(IFERROR(INDEX(data!L:L,match(Caseslist!B40,data!D:D,0)),"INC")="","COMPLETE",F40)</f>
        <v>COMPLETE</v>
      </c>
      <c r="H40" s="9" t="str">
        <f t="array" ref="H40">IFERROR(INDEX(dataICM!F:F,match(Caseslist!B40,dataICM!D:D,0)), "INC")</f>
        <v>INC</v>
      </c>
      <c r="I40" s="10">
        <f t="shared" si="2"/>
        <v>455939</v>
      </c>
      <c r="J40" s="9" t="str">
        <f t="array" ref="J40">IF(
  AND(
    IFERROR(MATCH(B40, data!D:D, 0), 0) &gt; 0,
    IFERROR(INDEX(data!N:N, MATCH(B40, data!D:D, 0)) = 1, FALSE)
  ),
  INDEX(data!C:C, MATCH(B40, data!D:D, 0)),
  "INC"
)</f>
        <v>2025-08-25T10:52:26.911+08</v>
      </c>
      <c r="K40" s="9" t="str">
        <f t="array" ref="K40">IFERROR(INDEX(dataICM!C:C,match(Caseslist!B40,dataICM!D:D,0)), "INC")</f>
        <v>INC</v>
      </c>
      <c r="L40" s="10" t="str">
        <f t="array" ref="L40">IF(AND(G40="COMPLETE", OR(K40="INC", ISBLANK(INDEX(data!O:O, ROW())))), J40, K40)</f>
        <v>2025-08-25T10:52:26.911+08</v>
      </c>
      <c r="M40" s="2">
        <v>45894.0</v>
      </c>
      <c r="N40" s="2" t="str">
        <f t="array" ref="N40">IF(M40&lt;&gt;"INC", INDEX(data!M:M, MATCH(B40, data!D:D, 0)), "")</f>
        <v/>
      </c>
      <c r="O40" s="2">
        <f t="shared" si="3"/>
        <v>0</v>
      </c>
    </row>
    <row r="41">
      <c r="A41" s="2" t="str">
        <f t="shared" si="1"/>
        <v>H030243</v>
      </c>
      <c r="B41" s="1" t="s">
        <v>74</v>
      </c>
      <c r="C41" s="9" t="str">
        <f t="array" ref="C41">IF(
  AND(
    IFERROR(MATCH(Caseslist!B41, data!D:D, 0), 0) &gt; 0,
    IFERROR(INDEX(data!N:N, MATCH(Caseslist!B41, data!D:D, 0)) = 1, FALSE)
  ),
  "COMPLETE",
  "INC"
)</f>
        <v>COMPLETE</v>
      </c>
      <c r="D41" s="9">
        <f t="array" ref="D41">IFERROR(INDEX(data!$G:$G,match(Caseslist!B41,data!$D:$D,0)), "INC")</f>
        <v>455939</v>
      </c>
      <c r="E41" s="9" t="str">
        <f t="array" ref="E41">IFERROR(INDEX(data!H:H,match(Caseslist!B41,data!D:D,0)), "INC")</f>
        <v>Mary Jean Villaflor</v>
      </c>
      <c r="F41" s="10" t="str">
        <f t="array" ref="F41">IF(
    OR(
      IFNA(INDEX(data!M:M, MATCH(Caseslist!B41, data!D:D, 0)), "") = "",
      IFNA(INDEX(data!M:M, MATCH(Caseslist!B41, data!D:D, 0)), 0) = 0
    ),
    "COMPLETE",
    IF(
      IFNA(INDEX(dataICM!D:D, MATCH(Caseslist!B41, dataICM!D:D, 0)), "INC") = "INC",
      IFNA(INDEX(dataICM!D:D, MATCH(Caseslist!B41, dataICM!D:D, 0)), "INC"),
      "COMPLETE"
    )
  )</f>
        <v>COMPLETE</v>
      </c>
      <c r="G41" s="10" t="str">
        <f t="array" ref="G41">IF(IFERROR(INDEX(data!L:L,match(Caseslist!B41,data!D:D,0)),"INC")="","COMPLETE",F41)</f>
        <v>COMPLETE</v>
      </c>
      <c r="H41" s="9" t="str">
        <f t="array" ref="H41">IFERROR(INDEX(dataICM!F:F,match(Caseslist!B41,dataICM!D:D,0)), "INC")</f>
        <v>INC</v>
      </c>
      <c r="I41" s="10">
        <f t="shared" si="2"/>
        <v>455939</v>
      </c>
      <c r="J41" s="9" t="str">
        <f t="array" ref="J41">IF(
  AND(
    IFERROR(MATCH(B41, data!D:D, 0), 0) &gt; 0,
    IFERROR(INDEX(data!N:N, MATCH(B41, data!D:D, 0)) = 1, FALSE)
  ),
  INDEX(data!C:C, MATCH(B41, data!D:D, 0)),
  "INC"
)</f>
        <v>2025-08-25T11:55:05.909+08</v>
      </c>
      <c r="K41" s="9" t="str">
        <f t="array" ref="K41">IFERROR(INDEX(dataICM!C:C,match(Caseslist!B41,dataICM!D:D,0)), "INC")</f>
        <v>INC</v>
      </c>
      <c r="L41" s="10" t="str">
        <f t="array" ref="L41">IF(AND(G41="COMPLETE", OR(K41="INC", ISBLANK(INDEX(data!O:O, ROW())))), J41, K41)</f>
        <v>2025-08-25T11:55:05.909+08</v>
      </c>
      <c r="M41" s="2">
        <v>45894.0</v>
      </c>
      <c r="N41" s="2" t="str">
        <f t="array" ref="N41">IF(M41&lt;&gt;"INC", INDEX(data!M:M, MATCH(B41, data!D:D, 0)), "")</f>
        <v/>
      </c>
      <c r="O41" s="2">
        <f t="shared" si="3"/>
        <v>0</v>
      </c>
    </row>
    <row r="42">
      <c r="A42" s="2" t="str">
        <f t="shared" si="1"/>
        <v>H030243</v>
      </c>
      <c r="B42" s="1" t="s">
        <v>8895</v>
      </c>
      <c r="C42" s="9" t="str">
        <f t="array" ref="C42">IF(
  AND(
    IFERROR(MATCH(Caseslist!B42, data!D:D, 0), 0) &gt; 0,
    IFERROR(INDEX(data!N:N, MATCH(Caseslist!B42, data!D:D, 0)) = 1, FALSE)
  ),
  "COMPLETE",
  "INC"
)</f>
        <v>INC</v>
      </c>
      <c r="D42" s="9" t="str">
        <f t="array" ref="D42">IFERROR(INDEX(data!$G:$G,match(Caseslist!B42,data!$D:$D,0)), "INC")</f>
        <v>INC</v>
      </c>
      <c r="E42" s="9" t="str">
        <f t="array" ref="E42">IFERROR(INDEX(data!H:H,match(Caseslist!B42,data!D:D,0)), "INC")</f>
        <v>INC</v>
      </c>
      <c r="F42" s="10" t="str">
        <f t="array" ref="F42">IF(
    OR(
      IFNA(INDEX(data!M:M, MATCH(Caseslist!B42, data!D:D, 0)), "") = "",
      IFNA(INDEX(data!M:M, MATCH(Caseslist!B42, data!D:D, 0)), 0) = 0
    ),
    "COMPLETE",
    IF(
      IFNA(INDEX(dataICM!D:D, MATCH(Caseslist!B42, dataICM!D:D, 0)), "INC") = "INC",
      IFNA(INDEX(dataICM!D:D, MATCH(Caseslist!B42, dataICM!D:D, 0)), "INC"),
      "COMPLETE"
    )
  )</f>
        <v>COMPLETE</v>
      </c>
      <c r="G42" s="10" t="str">
        <f t="array" ref="G42">IF(IFERROR(INDEX(data!L:L,match(Caseslist!B42,data!D:D,0)),"INC")="","COMPLETE",F42)</f>
        <v>COMPLETE</v>
      </c>
      <c r="H42" s="9" t="str">
        <f t="array" ref="H42">IFERROR(INDEX(dataICM!F:F,match(Caseslist!B42,dataICM!D:D,0)), "INC")</f>
        <v>INC</v>
      </c>
      <c r="I42" s="10" t="str">
        <f t="shared" si="2"/>
        <v>INC</v>
      </c>
      <c r="J42" s="9" t="str">
        <f t="array" ref="J42">IF(
  AND(
    IFERROR(MATCH(B42, data!D:D, 0), 0) &gt; 0,
    IFERROR(INDEX(data!N:N, MATCH(B42, data!D:D, 0)) = 1, FALSE)
  ),
  INDEX(data!C:C, MATCH(B42, data!D:D, 0)),
  "INC"
)</f>
        <v>INC</v>
      </c>
      <c r="K42" s="9" t="str">
        <f t="array" ref="K42">IFERROR(INDEX(dataICM!C:C,match(Caseslist!B42,dataICM!D:D,0)), "INC")</f>
        <v>INC</v>
      </c>
      <c r="L42" s="10" t="str">
        <f t="array" ref="L42">IF(AND(G42="COMPLETE", OR(K42="INC", ISBLANK(INDEX(data!O:O, ROW())))), J42, K42)</f>
        <v>INC</v>
      </c>
      <c r="M42" s="2" t="s">
        <v>8886</v>
      </c>
      <c r="N42" s="2" t="str">
        <f t="array" ref="N42">IF(M42&lt;&gt;"INC", INDEX(data!M:M, MATCH(B42, data!D:D, 0)), "")</f>
        <v/>
      </c>
      <c r="O42" s="2" t="str">
        <f t="shared" si="3"/>
        <v/>
      </c>
    </row>
    <row r="43">
      <c r="A43" s="2" t="str">
        <f t="shared" si="1"/>
        <v>H030243</v>
      </c>
      <c r="B43" s="1" t="s">
        <v>8896</v>
      </c>
      <c r="C43" s="9" t="str">
        <f t="array" ref="C43">IF(
  AND(
    IFERROR(MATCH(Caseslist!B43, data!D:D, 0), 0) &gt; 0,
    IFERROR(INDEX(data!N:N, MATCH(Caseslist!B43, data!D:D, 0)) = 1, FALSE)
  ),
  "COMPLETE",
  "INC"
)</f>
        <v>INC</v>
      </c>
      <c r="D43" s="9" t="str">
        <f t="array" ref="D43">IFERROR(INDEX(data!$G:$G,match(Caseslist!B43,data!$D:$D,0)), "INC")</f>
        <v>INC</v>
      </c>
      <c r="E43" s="9" t="str">
        <f t="array" ref="E43">IFERROR(INDEX(data!H:H,match(Caseslist!B43,data!D:D,0)), "INC")</f>
        <v>INC</v>
      </c>
      <c r="F43" s="10" t="str">
        <f t="array" ref="F43">IF(
    OR(
      IFNA(INDEX(data!M:M, MATCH(Caseslist!B43, data!D:D, 0)), "") = "",
      IFNA(INDEX(data!M:M, MATCH(Caseslist!B43, data!D:D, 0)), 0) = 0
    ),
    "COMPLETE",
    IF(
      IFNA(INDEX(dataICM!D:D, MATCH(Caseslist!B43, dataICM!D:D, 0)), "INC") = "INC",
      IFNA(INDEX(dataICM!D:D, MATCH(Caseslist!B43, dataICM!D:D, 0)), "INC"),
      "COMPLETE"
    )
  )</f>
        <v>COMPLETE</v>
      </c>
      <c r="G43" s="10" t="str">
        <f t="array" ref="G43">IF(IFERROR(INDEX(data!L:L,match(Caseslist!B43,data!D:D,0)),"INC")="","COMPLETE",F43)</f>
        <v>COMPLETE</v>
      </c>
      <c r="H43" s="9" t="str">
        <f t="array" ref="H43">IFERROR(INDEX(dataICM!F:F,match(Caseslist!B43,dataICM!D:D,0)), "INC")</f>
        <v>INC</v>
      </c>
      <c r="I43" s="10" t="str">
        <f t="shared" si="2"/>
        <v>INC</v>
      </c>
      <c r="J43" s="9" t="str">
        <f t="array" ref="J43">IF(
  AND(
    IFERROR(MATCH(B43, data!D:D, 0), 0) &gt; 0,
    IFERROR(INDEX(data!N:N, MATCH(B43, data!D:D, 0)) = 1, FALSE)
  ),
  INDEX(data!C:C, MATCH(B43, data!D:D, 0)),
  "INC"
)</f>
        <v>INC</v>
      </c>
      <c r="K43" s="9" t="str">
        <f t="array" ref="K43">IFERROR(INDEX(dataICM!C:C,match(Caseslist!B43,dataICM!D:D,0)), "INC")</f>
        <v>INC</v>
      </c>
      <c r="L43" s="10" t="str">
        <f t="array" ref="L43">IF(AND(G43="COMPLETE", OR(K43="INC", ISBLANK(INDEX(data!O:O, ROW())))), J43, K43)</f>
        <v>INC</v>
      </c>
      <c r="M43" s="2" t="s">
        <v>8886</v>
      </c>
      <c r="N43" s="2" t="str">
        <f t="array" ref="N43">IF(M43&lt;&gt;"INC", INDEX(data!M:M, MATCH(B43, data!D:D, 0)), "")</f>
        <v/>
      </c>
      <c r="O43" s="2" t="str">
        <f t="shared" si="3"/>
        <v/>
      </c>
    </row>
    <row r="44">
      <c r="A44" s="2" t="str">
        <f t="shared" si="1"/>
        <v>H030243</v>
      </c>
      <c r="B44" s="1" t="s">
        <v>8897</v>
      </c>
      <c r="C44" s="9" t="str">
        <f t="array" ref="C44">IF(
  AND(
    IFERROR(MATCH(Caseslist!B44, data!D:D, 0), 0) &gt; 0,
    IFERROR(INDEX(data!N:N, MATCH(Caseslist!B44, data!D:D, 0)) = 1, FALSE)
  ),
  "COMPLETE",
  "INC"
)</f>
        <v>INC</v>
      </c>
      <c r="D44" s="9" t="str">
        <f t="array" ref="D44">IFERROR(INDEX(data!$G:$G,match(Caseslist!B44,data!$D:$D,0)), "INC")</f>
        <v>INC</v>
      </c>
      <c r="E44" s="9" t="str">
        <f t="array" ref="E44">IFERROR(INDEX(data!H:H,match(Caseslist!B44,data!D:D,0)), "INC")</f>
        <v>INC</v>
      </c>
      <c r="F44" s="10" t="str">
        <f t="array" ref="F44">IF(
    OR(
      IFNA(INDEX(data!M:M, MATCH(Caseslist!B44, data!D:D, 0)), "") = "",
      IFNA(INDEX(data!M:M, MATCH(Caseslist!B44, data!D:D, 0)), 0) = 0
    ),
    "COMPLETE",
    IF(
      IFNA(INDEX(dataICM!D:D, MATCH(Caseslist!B44, dataICM!D:D, 0)), "INC") = "INC",
      IFNA(INDEX(dataICM!D:D, MATCH(Caseslist!B44, dataICM!D:D, 0)), "INC"),
      "COMPLETE"
    )
  )</f>
        <v>COMPLETE</v>
      </c>
      <c r="G44" s="10" t="str">
        <f t="array" ref="G44">IF(IFERROR(INDEX(data!L:L,match(Caseslist!B44,data!D:D,0)),"INC")="","COMPLETE",F44)</f>
        <v>COMPLETE</v>
      </c>
      <c r="H44" s="9" t="str">
        <f t="array" ref="H44">IFERROR(INDEX(dataICM!F:F,match(Caseslist!B44,dataICM!D:D,0)), "INC")</f>
        <v>INC</v>
      </c>
      <c r="I44" s="10" t="str">
        <f t="shared" si="2"/>
        <v>INC</v>
      </c>
      <c r="J44" s="9" t="str">
        <f t="array" ref="J44">IF(
  AND(
    IFERROR(MATCH(B44, data!D:D, 0), 0) &gt; 0,
    IFERROR(INDEX(data!N:N, MATCH(B44, data!D:D, 0)) = 1, FALSE)
  ),
  INDEX(data!C:C, MATCH(B44, data!D:D, 0)),
  "INC"
)</f>
        <v>INC</v>
      </c>
      <c r="K44" s="9" t="str">
        <f t="array" ref="K44">IFERROR(INDEX(dataICM!C:C,match(Caseslist!B44,dataICM!D:D,0)), "INC")</f>
        <v>INC</v>
      </c>
      <c r="L44" s="10" t="str">
        <f t="array" ref="L44">IF(AND(G44="COMPLETE", OR(K44="INC", ISBLANK(INDEX(data!O:O, ROW())))), J44, K44)</f>
        <v>INC</v>
      </c>
      <c r="M44" s="2" t="s">
        <v>8886</v>
      </c>
      <c r="N44" s="2" t="str">
        <f t="array" ref="N44">IF(M44&lt;&gt;"INC", INDEX(data!M:M, MATCH(B44, data!D:D, 0)), "")</f>
        <v/>
      </c>
      <c r="O44" s="2" t="str">
        <f t="shared" si="3"/>
        <v/>
      </c>
    </row>
    <row r="45">
      <c r="A45" s="2" t="str">
        <f t="shared" si="1"/>
        <v>H030243</v>
      </c>
      <c r="B45" s="1" t="s">
        <v>8898</v>
      </c>
      <c r="C45" s="9" t="str">
        <f t="array" ref="C45">IF(
  AND(
    IFERROR(MATCH(Caseslist!B45, data!D:D, 0), 0) &gt; 0,
    IFERROR(INDEX(data!N:N, MATCH(Caseslist!B45, data!D:D, 0)) = 1, FALSE)
  ),
  "COMPLETE",
  "INC"
)</f>
        <v>INC</v>
      </c>
      <c r="D45" s="9" t="str">
        <f t="array" ref="D45">IFERROR(INDEX(data!$G:$G,match(Caseslist!B45,data!$D:$D,0)), "INC")</f>
        <v>INC</v>
      </c>
      <c r="E45" s="9" t="str">
        <f t="array" ref="E45">IFERROR(INDEX(data!H:H,match(Caseslist!B45,data!D:D,0)), "INC")</f>
        <v>INC</v>
      </c>
      <c r="F45" s="10" t="str">
        <f t="array" ref="F45">IF(
    OR(
      IFNA(INDEX(data!M:M, MATCH(Caseslist!B45, data!D:D, 0)), "") = "",
      IFNA(INDEX(data!M:M, MATCH(Caseslist!B45, data!D:D, 0)), 0) = 0
    ),
    "COMPLETE",
    IF(
      IFNA(INDEX(dataICM!D:D, MATCH(Caseslist!B45, dataICM!D:D, 0)), "INC") = "INC",
      IFNA(INDEX(dataICM!D:D, MATCH(Caseslist!B45, dataICM!D:D, 0)), "INC"),
      "COMPLETE"
    )
  )</f>
        <v>COMPLETE</v>
      </c>
      <c r="G45" s="10" t="str">
        <f t="array" ref="G45">IF(IFERROR(INDEX(data!L:L,match(Caseslist!B45,data!D:D,0)),"INC")="","COMPLETE",F45)</f>
        <v>COMPLETE</v>
      </c>
      <c r="H45" s="9" t="str">
        <f t="array" ref="H45">IFERROR(INDEX(dataICM!F:F,match(Caseslist!B45,dataICM!D:D,0)), "INC")</f>
        <v>INC</v>
      </c>
      <c r="I45" s="10" t="str">
        <f t="shared" si="2"/>
        <v>INC</v>
      </c>
      <c r="J45" s="9" t="str">
        <f t="array" ref="J45">IF(
  AND(
    IFERROR(MATCH(B45, data!D:D, 0), 0) &gt; 0,
    IFERROR(INDEX(data!N:N, MATCH(B45, data!D:D, 0)) = 1, FALSE)
  ),
  INDEX(data!C:C, MATCH(B45, data!D:D, 0)),
  "INC"
)</f>
        <v>INC</v>
      </c>
      <c r="K45" s="9" t="str">
        <f t="array" ref="K45">IFERROR(INDEX(dataICM!C:C,match(Caseslist!B45,dataICM!D:D,0)), "INC")</f>
        <v>INC</v>
      </c>
      <c r="L45" s="10" t="str">
        <f t="array" ref="L45">IF(AND(G45="COMPLETE", OR(K45="INC", ISBLANK(INDEX(data!O:O, ROW())))), J45, K45)</f>
        <v>INC</v>
      </c>
      <c r="M45" s="2" t="s">
        <v>8886</v>
      </c>
      <c r="N45" s="2" t="str">
        <f t="array" ref="N45">IF(M45&lt;&gt;"INC", INDEX(data!M:M, MATCH(B45, data!D:D, 0)), "")</f>
        <v/>
      </c>
      <c r="O45" s="2" t="str">
        <f t="shared" si="3"/>
        <v/>
      </c>
    </row>
    <row r="46">
      <c r="A46" s="2" t="str">
        <f t="shared" si="1"/>
        <v>H030243</v>
      </c>
      <c r="B46" s="1" t="s">
        <v>8899</v>
      </c>
      <c r="C46" s="9" t="str">
        <f t="array" ref="C46">IF(
  AND(
    IFERROR(MATCH(Caseslist!B46, data!D:D, 0), 0) &gt; 0,
    IFERROR(INDEX(data!N:N, MATCH(Caseslist!B46, data!D:D, 0)) = 1, FALSE)
  ),
  "COMPLETE",
  "INC"
)</f>
        <v>INC</v>
      </c>
      <c r="D46" s="9" t="str">
        <f t="array" ref="D46">IFERROR(INDEX(data!$G:$G,match(Caseslist!B46,data!$D:$D,0)), "INC")</f>
        <v>INC</v>
      </c>
      <c r="E46" s="9" t="str">
        <f t="array" ref="E46">IFERROR(INDEX(data!H:H,match(Caseslist!B46,data!D:D,0)), "INC")</f>
        <v>INC</v>
      </c>
      <c r="F46" s="10" t="str">
        <f t="array" ref="F46">IF(
    OR(
      IFNA(INDEX(data!M:M, MATCH(Caseslist!B46, data!D:D, 0)), "") = "",
      IFNA(INDEX(data!M:M, MATCH(Caseslist!B46, data!D:D, 0)), 0) = 0
    ),
    "COMPLETE",
    IF(
      IFNA(INDEX(dataICM!D:D, MATCH(Caseslist!B46, dataICM!D:D, 0)), "INC") = "INC",
      IFNA(INDEX(dataICM!D:D, MATCH(Caseslist!B46, dataICM!D:D, 0)), "INC"),
      "COMPLETE"
    )
  )</f>
        <v>COMPLETE</v>
      </c>
      <c r="G46" s="10" t="str">
        <f t="array" ref="G46">IF(IFERROR(INDEX(data!L:L,match(Caseslist!B46,data!D:D,0)),"INC")="","COMPLETE",F46)</f>
        <v>COMPLETE</v>
      </c>
      <c r="H46" s="9" t="str">
        <f t="array" ref="H46">IFERROR(INDEX(dataICM!F:F,match(Caseslist!B46,dataICM!D:D,0)), "INC")</f>
        <v>INC</v>
      </c>
      <c r="I46" s="10" t="str">
        <f t="shared" si="2"/>
        <v>INC</v>
      </c>
      <c r="J46" s="9" t="str">
        <f t="array" ref="J46">IF(
  AND(
    IFERROR(MATCH(B46, data!D:D, 0), 0) &gt; 0,
    IFERROR(INDEX(data!N:N, MATCH(B46, data!D:D, 0)) = 1, FALSE)
  ),
  INDEX(data!C:C, MATCH(B46, data!D:D, 0)),
  "INC"
)</f>
        <v>INC</v>
      </c>
      <c r="K46" s="9" t="str">
        <f t="array" ref="K46">IFERROR(INDEX(dataICM!C:C,match(Caseslist!B46,dataICM!D:D,0)), "INC")</f>
        <v>INC</v>
      </c>
      <c r="L46" s="10" t="str">
        <f t="array" ref="L46">IF(AND(G46="COMPLETE", OR(K46="INC", ISBLANK(INDEX(data!O:O, ROW())))), J46, K46)</f>
        <v>INC</v>
      </c>
      <c r="M46" s="2" t="s">
        <v>8886</v>
      </c>
      <c r="N46" s="2" t="str">
        <f t="array" ref="N46">IF(M46&lt;&gt;"INC", INDEX(data!M:M, MATCH(B46, data!D:D, 0)), "")</f>
        <v/>
      </c>
      <c r="O46" s="2" t="str">
        <f t="shared" si="3"/>
        <v/>
      </c>
    </row>
    <row r="47">
      <c r="A47" s="2" t="str">
        <f t="shared" si="1"/>
        <v>H030243</v>
      </c>
      <c r="B47" s="1" t="s">
        <v>8900</v>
      </c>
      <c r="C47" s="9" t="str">
        <f t="array" ref="C47">IF(
  AND(
    IFERROR(MATCH(Caseslist!B47, data!D:D, 0), 0) &gt; 0,
    IFERROR(INDEX(data!N:N, MATCH(Caseslist!B47, data!D:D, 0)) = 1, FALSE)
  ),
  "COMPLETE",
  "INC"
)</f>
        <v>INC</v>
      </c>
      <c r="D47" s="9" t="str">
        <f t="array" ref="D47">IFERROR(INDEX(data!$G:$G,match(Caseslist!B47,data!$D:$D,0)), "INC")</f>
        <v>INC</v>
      </c>
      <c r="E47" s="9" t="str">
        <f t="array" ref="E47">IFERROR(INDEX(data!H:H,match(Caseslist!B47,data!D:D,0)), "INC")</f>
        <v>INC</v>
      </c>
      <c r="F47" s="10" t="str">
        <f t="array" ref="F47">IF(
    OR(
      IFNA(INDEX(data!M:M, MATCH(Caseslist!B47, data!D:D, 0)), "") = "",
      IFNA(INDEX(data!M:M, MATCH(Caseslist!B47, data!D:D, 0)), 0) = 0
    ),
    "COMPLETE",
    IF(
      IFNA(INDEX(dataICM!D:D, MATCH(Caseslist!B47, dataICM!D:D, 0)), "INC") = "INC",
      IFNA(INDEX(dataICM!D:D, MATCH(Caseslist!B47, dataICM!D:D, 0)), "INC"),
      "COMPLETE"
    )
  )</f>
        <v>COMPLETE</v>
      </c>
      <c r="G47" s="10" t="str">
        <f t="array" ref="G47">IF(IFERROR(INDEX(data!L:L,match(Caseslist!B47,data!D:D,0)),"INC")="","COMPLETE",F47)</f>
        <v>COMPLETE</v>
      </c>
      <c r="H47" s="9" t="str">
        <f t="array" ref="H47">IFERROR(INDEX(dataICM!F:F,match(Caseslist!B47,dataICM!D:D,0)), "INC")</f>
        <v>INC</v>
      </c>
      <c r="I47" s="10" t="str">
        <f t="shared" si="2"/>
        <v>INC</v>
      </c>
      <c r="J47" s="9" t="str">
        <f t="array" ref="J47">IF(
  AND(
    IFERROR(MATCH(B47, data!D:D, 0), 0) &gt; 0,
    IFERROR(INDEX(data!N:N, MATCH(B47, data!D:D, 0)) = 1, FALSE)
  ),
  INDEX(data!C:C, MATCH(B47, data!D:D, 0)),
  "INC"
)</f>
        <v>INC</v>
      </c>
      <c r="K47" s="9" t="str">
        <f t="array" ref="K47">IFERROR(INDEX(dataICM!C:C,match(Caseslist!B47,dataICM!D:D,0)), "INC")</f>
        <v>INC</v>
      </c>
      <c r="L47" s="10" t="str">
        <f t="array" ref="L47">IF(AND(G47="COMPLETE", OR(K47="INC", ISBLANK(INDEX(data!O:O, ROW())))), J47, K47)</f>
        <v>INC</v>
      </c>
      <c r="M47" s="2" t="s">
        <v>8886</v>
      </c>
      <c r="N47" s="2" t="str">
        <f t="array" ref="N47">IF(M47&lt;&gt;"INC", INDEX(data!M:M, MATCH(B47, data!D:D, 0)), "")</f>
        <v/>
      </c>
      <c r="O47" s="2" t="str">
        <f t="shared" si="3"/>
        <v/>
      </c>
    </row>
    <row r="48">
      <c r="A48" s="2" t="str">
        <f t="shared" si="1"/>
        <v>H030243</v>
      </c>
      <c r="B48" s="1" t="s">
        <v>8901</v>
      </c>
      <c r="C48" s="9" t="str">
        <f t="array" ref="C48">IF(
  AND(
    IFERROR(MATCH(Caseslist!B48, data!D:D, 0), 0) &gt; 0,
    IFERROR(INDEX(data!N:N, MATCH(Caseslist!B48, data!D:D, 0)) = 1, FALSE)
  ),
  "COMPLETE",
  "INC"
)</f>
        <v>INC</v>
      </c>
      <c r="D48" s="9" t="str">
        <f t="array" ref="D48">IFERROR(INDEX(data!$G:$G,match(Caseslist!B48,data!$D:$D,0)), "INC")</f>
        <v>INC</v>
      </c>
      <c r="E48" s="9" t="str">
        <f t="array" ref="E48">IFERROR(INDEX(data!H:H,match(Caseslist!B48,data!D:D,0)), "INC")</f>
        <v>INC</v>
      </c>
      <c r="F48" s="10" t="str">
        <f t="array" ref="F48">IF(
    OR(
      IFNA(INDEX(data!M:M, MATCH(Caseslist!B48, data!D:D, 0)), "") = "",
      IFNA(INDEX(data!M:M, MATCH(Caseslist!B48, data!D:D, 0)), 0) = 0
    ),
    "COMPLETE",
    IF(
      IFNA(INDEX(dataICM!D:D, MATCH(Caseslist!B48, dataICM!D:D, 0)), "INC") = "INC",
      IFNA(INDEX(dataICM!D:D, MATCH(Caseslist!B48, dataICM!D:D, 0)), "INC"),
      "COMPLETE"
    )
  )</f>
        <v>COMPLETE</v>
      </c>
      <c r="G48" s="10" t="str">
        <f t="array" ref="G48">IF(IFERROR(INDEX(data!L:L,match(Caseslist!B48,data!D:D,0)),"INC")="","COMPLETE",F48)</f>
        <v>COMPLETE</v>
      </c>
      <c r="H48" s="9" t="str">
        <f t="array" ref="H48">IFERROR(INDEX(dataICM!F:F,match(Caseslist!B48,dataICM!D:D,0)), "INC")</f>
        <v>INC</v>
      </c>
      <c r="I48" s="10" t="str">
        <f t="shared" si="2"/>
        <v>INC</v>
      </c>
      <c r="J48" s="9" t="str">
        <f t="array" ref="J48">IF(
  AND(
    IFERROR(MATCH(B48, data!D:D, 0), 0) &gt; 0,
    IFERROR(INDEX(data!N:N, MATCH(B48, data!D:D, 0)) = 1, FALSE)
  ),
  INDEX(data!C:C, MATCH(B48, data!D:D, 0)),
  "INC"
)</f>
        <v>INC</v>
      </c>
      <c r="K48" s="9" t="str">
        <f t="array" ref="K48">IFERROR(INDEX(dataICM!C:C,match(Caseslist!B48,dataICM!D:D,0)), "INC")</f>
        <v>INC</v>
      </c>
      <c r="L48" s="10" t="str">
        <f t="array" ref="L48">IF(AND(G48="COMPLETE", OR(K48="INC", ISBLANK(INDEX(data!O:O, ROW())))), J48, K48)</f>
        <v>INC</v>
      </c>
      <c r="M48" s="2" t="s">
        <v>8886</v>
      </c>
      <c r="N48" s="2" t="str">
        <f t="array" ref="N48">IF(M48&lt;&gt;"INC", INDEX(data!M:M, MATCH(B48, data!D:D, 0)), "")</f>
        <v/>
      </c>
      <c r="O48" s="2" t="str">
        <f t="shared" si="3"/>
        <v/>
      </c>
    </row>
    <row r="49">
      <c r="A49" s="2" t="str">
        <f t="shared" si="1"/>
        <v>H030769</v>
      </c>
      <c r="B49" s="1" t="s">
        <v>231</v>
      </c>
      <c r="C49" s="9" t="str">
        <f t="array" ref="C49">IF(
  AND(
    IFERROR(MATCH(Caseslist!B49, data!D:D, 0), 0) &gt; 0,
    IFERROR(INDEX(data!N:N, MATCH(Caseslist!B49, data!D:D, 0)) = 1, FALSE)
  ),
  "COMPLETE",
  "INC"
)</f>
        <v>COMPLETE</v>
      </c>
      <c r="D49" s="9" t="str">
        <f t="array" ref="D49">IFERROR(INDEX(data!$G:$G,match(Caseslist!B49,data!$D:$D,0)), "INC")</f>
        <v>G5472901</v>
      </c>
      <c r="E49" s="9" t="str">
        <f t="array" ref="E49">IFERROR(INDEX(data!H:H,match(Caseslist!B49,data!D:D,0)), "INC")</f>
        <v>Wellyn Grace Alaban Parcia</v>
      </c>
      <c r="F49" s="10" t="str">
        <f t="array" ref="F49">IF(
    OR(
      IFNA(INDEX(data!M:M, MATCH(Caseslist!B49, data!D:D, 0)), "") = "",
      IFNA(INDEX(data!M:M, MATCH(Caseslist!B49, data!D:D, 0)), 0) = 0
    ),
    "COMPLETE",
    IF(
      IFNA(INDEX(dataICM!D:D, MATCH(Caseslist!B49, dataICM!D:D, 0)), "INC") = "INC",
      IFNA(INDEX(dataICM!D:D, MATCH(Caseslist!B49, dataICM!D:D, 0)), "INC"),
      "COMPLETE"
    )
  )</f>
        <v>COMPLETE</v>
      </c>
      <c r="G49" s="10" t="str">
        <f t="array" ref="G49">IF(IFERROR(INDEX(data!L:L,match(Caseslist!B49,data!D:D,0)),"INC")="","COMPLETE",F49)</f>
        <v>COMPLETE</v>
      </c>
      <c r="H49" s="9" t="str">
        <f t="array" ref="H49">IFERROR(INDEX(dataICM!F:F,match(Caseslist!B49,dataICM!D:D,0)), "INC")</f>
        <v>INC</v>
      </c>
      <c r="I49" s="10" t="str">
        <f t="shared" si="2"/>
        <v>G5472901</v>
      </c>
      <c r="J49" s="9" t="str">
        <f t="array" ref="J49">IF(
  AND(
    IFERROR(MATCH(B49, data!D:D, 0), 0) &gt; 0,
    IFERROR(INDEX(data!N:N, MATCH(B49, data!D:D, 0)) = 1, FALSE)
  ),
  INDEX(data!C:C, MATCH(B49, data!D:D, 0)),
  "INC"
)</f>
        <v>2025-08-25T12:04:44.958+08</v>
      </c>
      <c r="K49" s="9" t="str">
        <f t="array" ref="K49">IFERROR(INDEX(dataICM!C:C,match(Caseslist!B49,dataICM!D:D,0)), "INC")</f>
        <v>INC</v>
      </c>
      <c r="L49" s="10" t="str">
        <f t="array" ref="L49">IF(AND(G49="COMPLETE", OR(K49="INC", ISBLANK(INDEX(data!O:O, ROW())))), J49, K49)</f>
        <v>2025-08-25T12:04:44.958+08</v>
      </c>
      <c r="M49" s="2">
        <v>45894.0</v>
      </c>
      <c r="N49" s="2" t="str">
        <f t="array" ref="N49">IF(M49&lt;&gt;"INC", INDEX(data!M:M, MATCH(B49, data!D:D, 0)), "")</f>
        <v/>
      </c>
      <c r="O49" s="2">
        <f t="shared" si="3"/>
        <v>0</v>
      </c>
    </row>
    <row r="50">
      <c r="A50" s="2" t="str">
        <f t="shared" si="1"/>
        <v>H030769</v>
      </c>
      <c r="B50" s="1" t="s">
        <v>8902</v>
      </c>
      <c r="C50" s="9" t="str">
        <f t="array" ref="C50">IF(
  AND(
    IFERROR(MATCH(Caseslist!B50, data!D:D, 0), 0) &gt; 0,
    IFERROR(INDEX(data!N:N, MATCH(Caseslist!B50, data!D:D, 0)) = 1, FALSE)
  ),
  "COMPLETE",
  "INC"
)</f>
        <v>INC</v>
      </c>
      <c r="D50" s="9" t="str">
        <f t="array" ref="D50">IFERROR(INDEX(data!$G:$G,match(Caseslist!B50,data!$D:$D,0)), "INC")</f>
        <v>INC</v>
      </c>
      <c r="E50" s="9" t="str">
        <f t="array" ref="E50">IFERROR(INDEX(data!H:H,match(Caseslist!B50,data!D:D,0)), "INC")</f>
        <v>INC</v>
      </c>
      <c r="F50" s="10" t="str">
        <f t="array" ref="F50">IF(
    OR(
      IFNA(INDEX(data!M:M, MATCH(Caseslist!B50, data!D:D, 0)), "") = "",
      IFNA(INDEX(data!M:M, MATCH(Caseslist!B50, data!D:D, 0)), 0) = 0
    ),
    "COMPLETE",
    IF(
      IFNA(INDEX(dataICM!D:D, MATCH(Caseslist!B50, dataICM!D:D, 0)), "INC") = "INC",
      IFNA(INDEX(dataICM!D:D, MATCH(Caseslist!B50, dataICM!D:D, 0)), "INC"),
      "COMPLETE"
    )
  )</f>
        <v>COMPLETE</v>
      </c>
      <c r="G50" s="10" t="str">
        <f t="array" ref="G50">IF(IFERROR(INDEX(data!L:L,match(Caseslist!B50,data!D:D,0)),"INC")="","COMPLETE",F50)</f>
        <v>COMPLETE</v>
      </c>
      <c r="H50" s="9" t="str">
        <f t="array" ref="H50">IFERROR(INDEX(dataICM!F:F,match(Caseslist!B50,dataICM!D:D,0)), "INC")</f>
        <v>INC</v>
      </c>
      <c r="I50" s="10" t="str">
        <f t="shared" si="2"/>
        <v>INC</v>
      </c>
      <c r="J50" s="9" t="str">
        <f t="array" ref="J50">IF(
  AND(
    IFERROR(MATCH(B50, data!D:D, 0), 0) &gt; 0,
    IFERROR(INDEX(data!N:N, MATCH(B50, data!D:D, 0)) = 1, FALSE)
  ),
  INDEX(data!C:C, MATCH(B50, data!D:D, 0)),
  "INC"
)</f>
        <v>INC</v>
      </c>
      <c r="K50" s="9" t="str">
        <f t="array" ref="K50">IFERROR(INDEX(dataICM!C:C,match(Caseslist!B50,dataICM!D:D,0)), "INC")</f>
        <v>INC</v>
      </c>
      <c r="L50" s="10" t="str">
        <f t="array" ref="L50">IF(AND(G50="COMPLETE", OR(K50="INC", ISBLANK(INDEX(data!O:O, ROW())))), J50, K50)</f>
        <v>INC</v>
      </c>
      <c r="M50" s="2" t="s">
        <v>8886</v>
      </c>
      <c r="N50" s="2" t="str">
        <f t="array" ref="N50">IF(M50&lt;&gt;"INC", INDEX(data!M:M, MATCH(B50, data!D:D, 0)), "")</f>
        <v/>
      </c>
      <c r="O50" s="2" t="str">
        <f t="shared" si="3"/>
        <v/>
      </c>
    </row>
    <row r="51">
      <c r="A51" s="2" t="str">
        <f t="shared" si="1"/>
        <v>H030769</v>
      </c>
      <c r="B51" s="1" t="s">
        <v>238</v>
      </c>
      <c r="C51" s="9" t="str">
        <f t="array" ref="C51">IF(
  AND(
    IFERROR(MATCH(Caseslist!B51, data!D:D, 0), 0) &gt; 0,
    IFERROR(INDEX(data!N:N, MATCH(Caseslist!B51, data!D:D, 0)) = 1, FALSE)
  ),
  "COMPLETE",
  "INC"
)</f>
        <v>COMPLETE</v>
      </c>
      <c r="D51" s="9" t="str">
        <f t="array" ref="D51">IFERROR(INDEX(data!$G:$G,match(Caseslist!B51,data!$D:$D,0)), "INC")</f>
        <v>G5472901</v>
      </c>
      <c r="E51" s="9" t="str">
        <f t="array" ref="E51">IFERROR(INDEX(data!H:H,match(Caseslist!B51,data!D:D,0)), "INC")</f>
        <v>Wellyn Grace Alaban Parcia</v>
      </c>
      <c r="F51" s="10" t="str">
        <f t="array" ref="F51">IF(
    OR(
      IFNA(INDEX(data!M:M, MATCH(Caseslist!B51, data!D:D, 0)), "") = "",
      IFNA(INDEX(data!M:M, MATCH(Caseslist!B51, data!D:D, 0)), 0) = 0
    ),
    "COMPLETE",
    IF(
      IFNA(INDEX(dataICM!D:D, MATCH(Caseslist!B51, dataICM!D:D, 0)), "INC") = "INC",
      IFNA(INDEX(dataICM!D:D, MATCH(Caseslist!B51, dataICM!D:D, 0)), "INC"),
      "COMPLETE"
    )
  )</f>
        <v>COMPLETE</v>
      </c>
      <c r="G51" s="10" t="str">
        <f t="array" ref="G51">IF(IFERROR(INDEX(data!L:L,match(Caseslist!B51,data!D:D,0)),"INC")="","COMPLETE",F51)</f>
        <v>COMPLETE</v>
      </c>
      <c r="H51" s="9" t="str">
        <f t="array" ref="H51">IFERROR(INDEX(dataICM!F:F,match(Caseslist!B51,dataICM!D:D,0)), "INC")</f>
        <v>INC</v>
      </c>
      <c r="I51" s="10" t="str">
        <f t="shared" si="2"/>
        <v>G5472901</v>
      </c>
      <c r="J51" s="9" t="str">
        <f t="array" ref="J51">IF(
  AND(
    IFERROR(MATCH(B51, data!D:D, 0), 0) &gt; 0,
    IFERROR(INDEX(data!N:N, MATCH(B51, data!D:D, 0)) = 1, FALSE)
  ),
  INDEX(data!C:C, MATCH(B51, data!D:D, 0)),
  "INC"
)</f>
        <v>2025-08-25T13:46:02.164+08</v>
      </c>
      <c r="K51" s="9" t="str">
        <f t="array" ref="K51">IFERROR(INDEX(dataICM!C:C,match(Caseslist!B51,dataICM!D:D,0)), "INC")</f>
        <v>INC</v>
      </c>
      <c r="L51" s="10" t="str">
        <f t="array" ref="L51">IF(AND(G51="COMPLETE", OR(K51="INC", ISBLANK(INDEX(data!O:O, ROW())))), J51, K51)</f>
        <v>2025-08-25T13:46:02.164+08</v>
      </c>
      <c r="M51" s="2">
        <v>45894.0</v>
      </c>
      <c r="N51" s="2" t="str">
        <f t="array" ref="N51">IF(M51&lt;&gt;"INC", INDEX(data!M:M, MATCH(B51, data!D:D, 0)), "")</f>
        <v/>
      </c>
      <c r="O51" s="2">
        <f t="shared" si="3"/>
        <v>0</v>
      </c>
    </row>
    <row r="52">
      <c r="A52" s="2" t="str">
        <f t="shared" si="1"/>
        <v>H030769</v>
      </c>
      <c r="B52" s="1" t="s">
        <v>138</v>
      </c>
      <c r="C52" s="9" t="str">
        <f t="array" ref="C52">IF(
  AND(
    IFERROR(MATCH(Caseslist!B52, data!D:D, 0), 0) &gt; 0,
    IFERROR(INDEX(data!N:N, MATCH(Caseslist!B52, data!D:D, 0)) = 1, FALSE)
  ),
  "COMPLETE",
  "INC"
)</f>
        <v>COMPLETE</v>
      </c>
      <c r="D52" s="9" t="str">
        <f t="array" ref="D52">IFERROR(INDEX(data!$G:$G,match(Caseslist!B52,data!$D:$D,0)), "INC")</f>
        <v>C7502931</v>
      </c>
      <c r="E52" s="9" t="str">
        <f t="array" ref="E52">IFERROR(INDEX(data!H:H,match(Caseslist!B52,data!D:D,0)), "INC")</f>
        <v>Jenny Lou Toles Estacio</v>
      </c>
      <c r="F52" s="10" t="str">
        <f t="array" ref="F52">IF(
    OR(
      IFNA(INDEX(data!M:M, MATCH(Caseslist!B52, data!D:D, 0)), "") = "",
      IFNA(INDEX(data!M:M, MATCH(Caseslist!B52, data!D:D, 0)), 0) = 0
    ),
    "COMPLETE",
    IF(
      IFNA(INDEX(dataICM!D:D, MATCH(Caseslist!B52, dataICM!D:D, 0)), "INC") = "INC",
      IFNA(INDEX(dataICM!D:D, MATCH(Caseslist!B52, dataICM!D:D, 0)), "INC"),
      "COMPLETE"
    )
  )</f>
        <v>COMPLETE</v>
      </c>
      <c r="G52" s="10" t="str">
        <f t="array" ref="G52">IF(IFERROR(INDEX(data!L:L,match(Caseslist!B52,data!D:D,0)),"INC")="","COMPLETE",F52)</f>
        <v>COMPLETE</v>
      </c>
      <c r="H52" s="9" t="str">
        <f t="array" ref="H52">IFERROR(INDEX(dataICM!F:F,match(Caseslist!B52,dataICM!D:D,0)), "INC")</f>
        <v>INC</v>
      </c>
      <c r="I52" s="10" t="str">
        <f t="shared" si="2"/>
        <v>C7502931</v>
      </c>
      <c r="J52" s="9" t="str">
        <f t="array" ref="J52">IF(
  AND(
    IFERROR(MATCH(B52, data!D:D, 0), 0) &gt; 0,
    IFERROR(INDEX(data!N:N, MATCH(B52, data!D:D, 0)) = 1, FALSE)
  ),
  INDEX(data!C:C, MATCH(B52, data!D:D, 0)),
  "INC"
)</f>
        <v>2025-08-25T20:43:20.307+08</v>
      </c>
      <c r="K52" s="9" t="str">
        <f t="array" ref="K52">IFERROR(INDEX(dataICM!C:C,match(Caseslist!B52,dataICM!D:D,0)), "INC")</f>
        <v>INC</v>
      </c>
      <c r="L52" s="10" t="str">
        <f t="array" ref="L52">IF(AND(G52="COMPLETE", OR(K52="INC", ISBLANK(INDEX(data!O:O, ROW())))), J52, K52)</f>
        <v>2025-08-25T20:43:20.307+08</v>
      </c>
      <c r="M52" s="2">
        <v>45894.0</v>
      </c>
      <c r="N52" s="2" t="str">
        <f t="array" ref="N52">IF(M52&lt;&gt;"INC", INDEX(data!M:M, MATCH(B52, data!D:D, 0)), "")</f>
        <v/>
      </c>
      <c r="O52" s="2">
        <f t="shared" si="3"/>
        <v>0</v>
      </c>
    </row>
    <row r="53">
      <c r="A53" s="2" t="str">
        <f t="shared" si="1"/>
        <v>H030769</v>
      </c>
      <c r="B53" s="1" t="s">
        <v>130</v>
      </c>
      <c r="C53" s="9" t="str">
        <f t="array" ref="C53">IF(
  AND(
    IFERROR(MATCH(Caseslist!B53, data!D:D, 0), 0) &gt; 0,
    IFERROR(INDEX(data!N:N, MATCH(Caseslist!B53, data!D:D, 0)) = 1, FALSE)
  ),
  "COMPLETE",
  "INC"
)</f>
        <v>COMPLETE</v>
      </c>
      <c r="D53" s="9" t="str">
        <f t="array" ref="D53">IFERROR(INDEX(data!$G:$G,match(Caseslist!B53,data!$D:$D,0)), "INC")</f>
        <v>C7502931</v>
      </c>
      <c r="E53" s="9" t="str">
        <f t="array" ref="E53">IFERROR(INDEX(data!H:H,match(Caseslist!B53,data!D:D,0)), "INC")</f>
        <v>Jenny Lou Toles Estacio</v>
      </c>
      <c r="F53" s="10" t="str">
        <f t="array" ref="F53">IF(
    OR(
      IFNA(INDEX(data!M:M, MATCH(Caseslist!B53, data!D:D, 0)), "") = "",
      IFNA(INDEX(data!M:M, MATCH(Caseslist!B53, data!D:D, 0)), 0) = 0
    ),
    "COMPLETE",
    IF(
      IFNA(INDEX(dataICM!D:D, MATCH(Caseslist!B53, dataICM!D:D, 0)), "INC") = "INC",
      IFNA(INDEX(dataICM!D:D, MATCH(Caseslist!B53, dataICM!D:D, 0)), "INC"),
      "COMPLETE"
    )
  )</f>
        <v>COMPLETE</v>
      </c>
      <c r="G53" s="10" t="str">
        <f t="array" ref="G53">IF(IFERROR(INDEX(data!L:L,match(Caseslist!B53,data!D:D,0)),"INC")="","COMPLETE",F53)</f>
        <v>COMPLETE</v>
      </c>
      <c r="H53" s="9" t="str">
        <f t="array" ref="H53">IFERROR(INDEX(dataICM!F:F,match(Caseslist!B53,dataICM!D:D,0)), "INC")</f>
        <v>INC</v>
      </c>
      <c r="I53" s="10" t="str">
        <f t="shared" si="2"/>
        <v>C7502931</v>
      </c>
      <c r="J53" s="9" t="str">
        <f t="array" ref="J53">IF(
  AND(
    IFERROR(MATCH(B53, data!D:D, 0), 0) &gt; 0,
    IFERROR(INDEX(data!N:N, MATCH(B53, data!D:D, 0)) = 1, FALSE)
  ),
  INDEX(data!C:C, MATCH(B53, data!D:D, 0)),
  "INC"
)</f>
        <v>2025-08-25T11:59:55.913+08</v>
      </c>
      <c r="K53" s="9" t="str">
        <f t="array" ref="K53">IFERROR(INDEX(dataICM!C:C,match(Caseslist!B53,dataICM!D:D,0)), "INC")</f>
        <v>INC</v>
      </c>
      <c r="L53" s="10" t="str">
        <f t="array" ref="L53">IF(AND(G53="COMPLETE", OR(K53="INC", ISBLANK(INDEX(data!O:O, ROW())))), J53, K53)</f>
        <v>2025-08-25T11:59:55.913+08</v>
      </c>
      <c r="M53" s="2">
        <v>45894.0</v>
      </c>
      <c r="N53" s="2" t="str">
        <f t="array" ref="N53">IF(M53&lt;&gt;"INC", INDEX(data!M:M, MATCH(B53, data!D:D, 0)), "")</f>
        <v/>
      </c>
      <c r="O53" s="2">
        <f t="shared" si="3"/>
        <v>0</v>
      </c>
    </row>
    <row r="54">
      <c r="A54" s="2" t="str">
        <f t="shared" si="1"/>
        <v>H030769</v>
      </c>
      <c r="B54" s="1" t="s">
        <v>8903</v>
      </c>
      <c r="C54" s="9" t="str">
        <f t="array" ref="C54">IF(
  AND(
    IFERROR(MATCH(Caseslist!B54, data!D:D, 0), 0) &gt; 0,
    IFERROR(INDEX(data!N:N, MATCH(Caseslist!B54, data!D:D, 0)) = 1, FALSE)
  ),
  "COMPLETE",
  "INC"
)</f>
        <v>INC</v>
      </c>
      <c r="D54" s="9" t="str">
        <f t="array" ref="D54">IFERROR(INDEX(data!$G:$G,match(Caseslist!B54,data!$D:$D,0)), "INC")</f>
        <v>INC</v>
      </c>
      <c r="E54" s="9" t="str">
        <f t="array" ref="E54">IFERROR(INDEX(data!H:H,match(Caseslist!B54,data!D:D,0)), "INC")</f>
        <v>INC</v>
      </c>
      <c r="F54" s="10" t="str">
        <f t="array" ref="F54">IF(
    OR(
      IFNA(INDEX(data!M:M, MATCH(Caseslist!B54, data!D:D, 0)), "") = "",
      IFNA(INDEX(data!M:M, MATCH(Caseslist!B54, data!D:D, 0)), 0) = 0
    ),
    "COMPLETE",
    IF(
      IFNA(INDEX(dataICM!D:D, MATCH(Caseslist!B54, dataICM!D:D, 0)), "INC") = "INC",
      IFNA(INDEX(dataICM!D:D, MATCH(Caseslist!B54, dataICM!D:D, 0)), "INC"),
      "COMPLETE"
    )
  )</f>
        <v>COMPLETE</v>
      </c>
      <c r="G54" s="10" t="str">
        <f t="array" ref="G54">IF(IFERROR(INDEX(data!L:L,match(Caseslist!B54,data!D:D,0)),"INC")="","COMPLETE",F54)</f>
        <v>COMPLETE</v>
      </c>
      <c r="H54" s="9" t="str">
        <f t="array" ref="H54">IFERROR(INDEX(dataICM!F:F,match(Caseslist!B54,dataICM!D:D,0)), "INC")</f>
        <v>INC</v>
      </c>
      <c r="I54" s="10" t="str">
        <f t="shared" si="2"/>
        <v>INC</v>
      </c>
      <c r="J54" s="9" t="str">
        <f t="array" ref="J54">IF(
  AND(
    IFERROR(MATCH(B54, data!D:D, 0), 0) &gt; 0,
    IFERROR(INDEX(data!N:N, MATCH(B54, data!D:D, 0)) = 1, FALSE)
  ),
  INDEX(data!C:C, MATCH(B54, data!D:D, 0)),
  "INC"
)</f>
        <v>INC</v>
      </c>
      <c r="K54" s="9" t="str">
        <f t="array" ref="K54">IFERROR(INDEX(dataICM!C:C,match(Caseslist!B54,dataICM!D:D,0)), "INC")</f>
        <v>INC</v>
      </c>
      <c r="L54" s="10" t="str">
        <f t="array" ref="L54">IF(AND(G54="COMPLETE", OR(K54="INC", ISBLANK(INDEX(data!O:O, ROW())))), J54, K54)</f>
        <v>INC</v>
      </c>
      <c r="M54" s="2" t="s">
        <v>8886</v>
      </c>
      <c r="N54" s="2" t="str">
        <f t="array" ref="N54">IF(M54&lt;&gt;"INC", INDEX(data!M:M, MATCH(B54, data!D:D, 0)), "")</f>
        <v/>
      </c>
      <c r="O54" s="2" t="str">
        <f t="shared" si="3"/>
        <v/>
      </c>
    </row>
    <row r="55">
      <c r="A55" s="2" t="str">
        <f t="shared" si="1"/>
        <v>H030769</v>
      </c>
      <c r="B55" s="1" t="s">
        <v>8904</v>
      </c>
      <c r="C55" s="9" t="str">
        <f t="array" ref="C55">IF(
  AND(
    IFERROR(MATCH(Caseslist!B55, data!D:D, 0), 0) &gt; 0,
    IFERROR(INDEX(data!N:N, MATCH(Caseslist!B55, data!D:D, 0)) = 1, FALSE)
  ),
  "COMPLETE",
  "INC"
)</f>
        <v>INC</v>
      </c>
      <c r="D55" s="9" t="str">
        <f t="array" ref="D55">IFERROR(INDEX(data!$G:$G,match(Caseslist!B55,data!$D:$D,0)), "INC")</f>
        <v>INC</v>
      </c>
      <c r="E55" s="9" t="str">
        <f t="array" ref="E55">IFERROR(INDEX(data!H:H,match(Caseslist!B55,data!D:D,0)), "INC")</f>
        <v>INC</v>
      </c>
      <c r="F55" s="10" t="str">
        <f t="array" ref="F55">IF(
    OR(
      IFNA(INDEX(data!M:M, MATCH(Caseslist!B55, data!D:D, 0)), "") = "",
      IFNA(INDEX(data!M:M, MATCH(Caseslist!B55, data!D:D, 0)), 0) = 0
    ),
    "COMPLETE",
    IF(
      IFNA(INDEX(dataICM!D:D, MATCH(Caseslist!B55, dataICM!D:D, 0)), "INC") = "INC",
      IFNA(INDEX(dataICM!D:D, MATCH(Caseslist!B55, dataICM!D:D, 0)), "INC"),
      "COMPLETE"
    )
  )</f>
        <v>COMPLETE</v>
      </c>
      <c r="G55" s="10" t="str">
        <f t="array" ref="G55">IF(IFERROR(INDEX(data!L:L,match(Caseslist!B55,data!D:D,0)),"INC")="","COMPLETE",F55)</f>
        <v>COMPLETE</v>
      </c>
      <c r="H55" s="9" t="str">
        <f t="array" ref="H55">IFERROR(INDEX(dataICM!F:F,match(Caseslist!B55,dataICM!D:D,0)), "INC")</f>
        <v>INC</v>
      </c>
      <c r="I55" s="10" t="str">
        <f t="shared" si="2"/>
        <v>INC</v>
      </c>
      <c r="J55" s="9" t="str">
        <f t="array" ref="J55">IF(
  AND(
    IFERROR(MATCH(B55, data!D:D, 0), 0) &gt; 0,
    IFERROR(INDEX(data!N:N, MATCH(B55, data!D:D, 0)) = 1, FALSE)
  ),
  INDEX(data!C:C, MATCH(B55, data!D:D, 0)),
  "INC"
)</f>
        <v>INC</v>
      </c>
      <c r="K55" s="9" t="str">
        <f t="array" ref="K55">IFERROR(INDEX(dataICM!C:C,match(Caseslist!B55,dataICM!D:D,0)), "INC")</f>
        <v>INC</v>
      </c>
      <c r="L55" s="10" t="str">
        <f t="array" ref="L55">IF(AND(G55="COMPLETE", OR(K55="INC", ISBLANK(INDEX(data!O:O, ROW())))), J55, K55)</f>
        <v>INC</v>
      </c>
      <c r="M55" s="2" t="s">
        <v>8886</v>
      </c>
      <c r="N55" s="2" t="str">
        <f t="array" ref="N55">IF(M55&lt;&gt;"INC", INDEX(data!M:M, MATCH(B55, data!D:D, 0)), "")</f>
        <v/>
      </c>
      <c r="O55" s="2" t="str">
        <f t="shared" si="3"/>
        <v/>
      </c>
    </row>
    <row r="56">
      <c r="A56" s="2" t="str">
        <f t="shared" si="1"/>
        <v>H030769</v>
      </c>
      <c r="B56" s="1" t="s">
        <v>249</v>
      </c>
      <c r="C56" s="9" t="str">
        <f t="array" ref="C56">IF(
  AND(
    IFERROR(MATCH(Caseslist!B56, data!D:D, 0), 0) &gt; 0,
    IFERROR(INDEX(data!N:N, MATCH(Caseslist!B56, data!D:D, 0)) = 1, FALSE)
  ),
  "COMPLETE",
  "INC"
)</f>
        <v>COMPLETE</v>
      </c>
      <c r="D56" s="9">
        <f t="array" ref="D56">IFERROR(INDEX(data!$G:$G,match(Caseslist!B56,data!$D:$D,0)), "INC")</f>
        <v>896791</v>
      </c>
      <c r="E56" s="9" t="str">
        <f t="array" ref="E56">IFERROR(INDEX(data!H:H,match(Caseslist!B56,data!D:D,0)), "INC")</f>
        <v>Roland A. Bandiola jr</v>
      </c>
      <c r="F56" s="10" t="str">
        <f t="array" ref="F56">IF(
    OR(
      IFNA(INDEX(data!M:M, MATCH(Caseslist!B56, data!D:D, 0)), "") = "",
      IFNA(INDEX(data!M:M, MATCH(Caseslist!B56, data!D:D, 0)), 0) = 0
    ),
    "COMPLETE",
    IF(
      IFNA(INDEX(dataICM!D:D, MATCH(Caseslist!B56, dataICM!D:D, 0)), "INC") = "INC",
      IFNA(INDEX(dataICM!D:D, MATCH(Caseslist!B56, dataICM!D:D, 0)), "INC"),
      "COMPLETE"
    )
  )</f>
        <v>COMPLETE</v>
      </c>
      <c r="G56" s="10" t="str">
        <f t="array" ref="G56">IF(IFERROR(INDEX(data!L:L,match(Caseslist!B56,data!D:D,0)),"INC")="","COMPLETE",F56)</f>
        <v>COMPLETE</v>
      </c>
      <c r="H56" s="9" t="str">
        <f t="array" ref="H56">IFERROR(INDEX(dataICM!F:F,match(Caseslist!B56,dataICM!D:D,0)), "INC")</f>
        <v>INC</v>
      </c>
      <c r="I56" s="10">
        <f t="shared" si="2"/>
        <v>896791</v>
      </c>
      <c r="J56" s="9" t="str">
        <f t="array" ref="J56">IF(
  AND(
    IFERROR(MATCH(B56, data!D:D, 0), 0) &gt; 0,
    IFERROR(INDEX(data!N:N, MATCH(B56, data!D:D, 0)) = 1, FALSE)
  ),
  INDEX(data!C:C, MATCH(B56, data!D:D, 0)),
  "INC"
)</f>
        <v>2025-08-25T13:41:43.096+08</v>
      </c>
      <c r="K56" s="9" t="str">
        <f t="array" ref="K56">IFERROR(INDEX(dataICM!C:C,match(Caseslist!B56,dataICM!D:D,0)), "INC")</f>
        <v>INC</v>
      </c>
      <c r="L56" s="10" t="str">
        <f t="array" ref="L56">IF(AND(G56="COMPLETE", OR(K56="INC", ISBLANK(INDEX(data!O:O, ROW())))), J56, K56)</f>
        <v>2025-08-25T13:41:43.096+08</v>
      </c>
      <c r="M56" s="2">
        <v>45894.0</v>
      </c>
      <c r="N56" s="2" t="str">
        <f t="array" ref="N56">IF(M56&lt;&gt;"INC", INDEX(data!M:M, MATCH(B56, data!D:D, 0)), "")</f>
        <v/>
      </c>
      <c r="O56" s="2">
        <f t="shared" si="3"/>
        <v>0</v>
      </c>
    </row>
    <row r="57">
      <c r="A57" s="2" t="str">
        <f t="shared" si="1"/>
        <v>H030769</v>
      </c>
      <c r="B57" s="1" t="s">
        <v>219</v>
      </c>
      <c r="C57" s="9" t="str">
        <f t="array" ref="C57">IF(
  AND(
    IFERROR(MATCH(Caseslist!B57, data!D:D, 0), 0) &gt; 0,
    IFERROR(INDEX(data!N:N, MATCH(Caseslist!B57, data!D:D, 0)) = 1, FALSE)
  ),
  "COMPLETE",
  "INC"
)</f>
        <v>COMPLETE</v>
      </c>
      <c r="D57" s="9" t="str">
        <f t="array" ref="D57">IFERROR(INDEX(data!$G:$G,match(Caseslist!B57,data!$D:$D,0)), "INC")</f>
        <v>B8193462</v>
      </c>
      <c r="E57" s="9" t="str">
        <f t="array" ref="E57">IFERROR(INDEX(data!H:H,match(Caseslist!B57,data!D:D,0)), "INC")</f>
        <v>Mark Lorens Mendoza Gilongo</v>
      </c>
      <c r="F57" s="10" t="str">
        <f t="array" ref="F57">IF(
    OR(
      IFNA(INDEX(data!M:M, MATCH(Caseslist!B57, data!D:D, 0)), "") = "",
      IFNA(INDEX(data!M:M, MATCH(Caseslist!B57, data!D:D, 0)), 0) = 0
    ),
    "COMPLETE",
    IF(
      IFNA(INDEX(dataICM!D:D, MATCH(Caseslist!B57, dataICM!D:D, 0)), "INC") = "INC",
      IFNA(INDEX(dataICM!D:D, MATCH(Caseslist!B57, dataICM!D:D, 0)), "INC"),
      "COMPLETE"
    )
  )</f>
        <v>COMPLETE</v>
      </c>
      <c r="G57" s="10" t="str">
        <f t="array" ref="G57">IF(IFERROR(INDEX(data!L:L,match(Caseslist!B57,data!D:D,0)),"INC")="","COMPLETE",F57)</f>
        <v>COMPLETE</v>
      </c>
      <c r="H57" s="9" t="str">
        <f t="array" ref="H57">IFERROR(INDEX(dataICM!F:F,match(Caseslist!B57,dataICM!D:D,0)), "INC")</f>
        <v>INC</v>
      </c>
      <c r="I57" s="10" t="str">
        <f t="shared" si="2"/>
        <v>B8193462</v>
      </c>
      <c r="J57" s="9" t="str">
        <f t="array" ref="J57">IF(
  AND(
    IFERROR(MATCH(B57, data!D:D, 0), 0) &gt; 0,
    IFERROR(INDEX(data!N:N, MATCH(B57, data!D:D, 0)) = 1, FALSE)
  ),
  INDEX(data!C:C, MATCH(B57, data!D:D, 0)),
  "INC"
)</f>
        <v>2025-08-25T11:46:57.060+08</v>
      </c>
      <c r="K57" s="9" t="str">
        <f t="array" ref="K57">IFERROR(INDEX(dataICM!C:C,match(Caseslist!B57,dataICM!D:D,0)), "INC")</f>
        <v>INC</v>
      </c>
      <c r="L57" s="10" t="str">
        <f t="array" ref="L57">IF(AND(G57="COMPLETE", OR(K57="INC", ISBLANK(INDEX(data!O:O, ROW())))), J57, K57)</f>
        <v>2025-08-25T11:46:57.060+08</v>
      </c>
      <c r="M57" s="2">
        <v>45894.0</v>
      </c>
      <c r="N57" s="2" t="str">
        <f t="array" ref="N57">IF(M57&lt;&gt;"INC", INDEX(data!M:M, MATCH(B57, data!D:D, 0)), "")</f>
        <v/>
      </c>
      <c r="O57" s="2">
        <f t="shared" si="3"/>
        <v>0</v>
      </c>
    </row>
    <row r="58">
      <c r="A58" s="2" t="str">
        <f t="shared" si="1"/>
        <v>H030769</v>
      </c>
      <c r="B58" s="1" t="s">
        <v>161</v>
      </c>
      <c r="C58" s="9" t="str">
        <f t="array" ref="C58">IF(
  AND(
    IFERROR(MATCH(Caseslist!B58, data!D:D, 0), 0) &gt; 0,
    IFERROR(INDEX(data!N:N, MATCH(Caseslist!B58, data!D:D, 0)) = 1, FALSE)
  ),
  "COMPLETE",
  "INC"
)</f>
        <v>COMPLETE</v>
      </c>
      <c r="D58" s="9" t="str">
        <f t="array" ref="D58">IFERROR(INDEX(data!$G:$G,match(Caseslist!B58,data!$D:$D,0)), "INC")</f>
        <v>H2846135</v>
      </c>
      <c r="E58" s="9" t="str">
        <f t="array" ref="E58">IFERROR(INDEX(data!H:H,match(Caseslist!B58,data!D:D,0)), "INC")</f>
        <v>Annalou Empanado Encontro</v>
      </c>
      <c r="F58" s="10" t="str">
        <f t="array" ref="F58">IF(
    OR(
      IFNA(INDEX(data!M:M, MATCH(Caseslist!B58, data!D:D, 0)), "") = "",
      IFNA(INDEX(data!M:M, MATCH(Caseslist!B58, data!D:D, 0)), 0) = 0
    ),
    "COMPLETE",
    IF(
      IFNA(INDEX(dataICM!D:D, MATCH(Caseslist!B58, dataICM!D:D, 0)), "INC") = "INC",
      IFNA(INDEX(dataICM!D:D, MATCH(Caseslist!B58, dataICM!D:D, 0)), "INC"),
      "COMPLETE"
    )
  )</f>
        <v>COMPLETE</v>
      </c>
      <c r="G58" s="10" t="str">
        <f t="array" ref="G58">IF(IFERROR(INDEX(data!L:L,match(Caseslist!B58,data!D:D,0)),"INC")="","COMPLETE",F58)</f>
        <v>COMPLETE</v>
      </c>
      <c r="H58" s="9" t="str">
        <f t="array" ref="H58">IFERROR(INDEX(dataICM!F:F,match(Caseslist!B58,dataICM!D:D,0)), "INC")</f>
        <v>INC</v>
      </c>
      <c r="I58" s="10" t="str">
        <f t="shared" si="2"/>
        <v>H2846135</v>
      </c>
      <c r="J58" s="9" t="str">
        <f t="array" ref="J58">IF(
  AND(
    IFERROR(MATCH(B58, data!D:D, 0), 0) &gt; 0,
    IFERROR(INDEX(data!N:N, MATCH(B58, data!D:D, 0)) = 1, FALSE)
  ),
  INDEX(data!C:C, MATCH(B58, data!D:D, 0)),
  "INC"
)</f>
        <v>2025-08-25T14:42:27.567+08</v>
      </c>
      <c r="K58" s="9" t="str">
        <f t="array" ref="K58">IFERROR(INDEX(dataICM!C:C,match(Caseslist!B58,dataICM!D:D,0)), "INC")</f>
        <v>INC</v>
      </c>
      <c r="L58" s="10" t="str">
        <f t="array" ref="L58">IF(AND(G58="COMPLETE", OR(K58="INC", ISBLANK(INDEX(data!O:O, ROW())))), J58, K58)</f>
        <v>2025-08-25T14:42:27.567+08</v>
      </c>
      <c r="M58" s="2">
        <v>45894.0</v>
      </c>
      <c r="N58" s="2" t="str">
        <f t="array" ref="N58">IF(M58&lt;&gt;"INC", INDEX(data!M:M, MATCH(B58, data!D:D, 0)), "")</f>
        <v/>
      </c>
      <c r="O58" s="2">
        <f t="shared" si="3"/>
        <v>0</v>
      </c>
    </row>
    <row r="59">
      <c r="A59" s="2" t="str">
        <f t="shared" si="1"/>
        <v>H030769</v>
      </c>
      <c r="B59" s="1" t="s">
        <v>173</v>
      </c>
      <c r="C59" s="9" t="str">
        <f t="array" ref="C59">IF(
  AND(
    IFERROR(MATCH(Caseslist!B59, data!D:D, 0), 0) &gt; 0,
    IFERROR(INDEX(data!N:N, MATCH(Caseslist!B59, data!D:D, 0)) = 1, FALSE)
  ),
  "COMPLETE",
  "INC"
)</f>
        <v>COMPLETE</v>
      </c>
      <c r="D59" s="9" t="str">
        <f t="array" ref="D59">IFERROR(INDEX(data!$G:$G,match(Caseslist!B59,data!$D:$D,0)), "INC")</f>
        <v>D1284067</v>
      </c>
      <c r="E59" s="9" t="str">
        <f t="array" ref="E59">IFERROR(INDEX(data!H:H,match(Caseslist!B59,data!D:D,0)), "INC")</f>
        <v>Mariel Del Rio</v>
      </c>
      <c r="F59" s="10" t="str">
        <f t="array" ref="F59">IF(
    OR(
      IFNA(INDEX(data!M:M, MATCH(Caseslist!B59, data!D:D, 0)), "") = "",
      IFNA(INDEX(data!M:M, MATCH(Caseslist!B59, data!D:D, 0)), 0) = 0
    ),
    "COMPLETE",
    IF(
      IFNA(INDEX(dataICM!D:D, MATCH(Caseslist!B59, dataICM!D:D, 0)), "INC") = "INC",
      IFNA(INDEX(dataICM!D:D, MATCH(Caseslist!B59, dataICM!D:D, 0)), "INC"),
      "COMPLETE"
    )
  )</f>
        <v>COMPLETE</v>
      </c>
      <c r="G59" s="10" t="str">
        <f t="array" ref="G59">IF(IFERROR(INDEX(data!L:L,match(Caseslist!B59,data!D:D,0)),"INC")="","COMPLETE",F59)</f>
        <v>COMPLETE</v>
      </c>
      <c r="H59" s="9" t="str">
        <f t="array" ref="H59">IFERROR(INDEX(dataICM!F:F,match(Caseslist!B59,dataICM!D:D,0)), "INC")</f>
        <v>INC</v>
      </c>
      <c r="I59" s="10" t="str">
        <f t="shared" si="2"/>
        <v>D1284067</v>
      </c>
      <c r="J59" s="9" t="str">
        <f t="array" ref="J59">IF(
  AND(
    IFERROR(MATCH(B59, data!D:D, 0), 0) &gt; 0,
    IFERROR(INDEX(data!N:N, MATCH(B59, data!D:D, 0)) = 1, FALSE)
  ),
  INDEX(data!C:C, MATCH(B59, data!D:D, 0)),
  "INC"
)</f>
        <v>2025-08-25T13:57:22.634+08</v>
      </c>
      <c r="K59" s="9" t="str">
        <f t="array" ref="K59">IFERROR(INDEX(dataICM!C:C,match(Caseslist!B59,dataICM!D:D,0)), "INC")</f>
        <v>INC</v>
      </c>
      <c r="L59" s="10" t="str">
        <f t="array" ref="L59">IF(AND(G59="COMPLETE", OR(K59="INC", ISBLANK(INDEX(data!O:O, ROW())))), J59, K59)</f>
        <v>2025-08-25T13:57:22.634+08</v>
      </c>
      <c r="M59" s="2">
        <v>45894.0</v>
      </c>
      <c r="N59" s="2" t="str">
        <f t="array" ref="N59">IF(M59&lt;&gt;"INC", INDEX(data!M:M, MATCH(B59, data!D:D, 0)), "")</f>
        <v/>
      </c>
      <c r="O59" s="2">
        <f t="shared" si="3"/>
        <v>0</v>
      </c>
    </row>
    <row r="60">
      <c r="A60" s="2" t="str">
        <f t="shared" si="1"/>
        <v>H030769</v>
      </c>
      <c r="B60" s="1" t="s">
        <v>185</v>
      </c>
      <c r="C60" s="9" t="str">
        <f t="array" ref="C60">IF(
  AND(
    IFERROR(MATCH(Caseslist!B60, data!D:D, 0), 0) &gt; 0,
    IFERROR(INDEX(data!N:N, MATCH(Caseslist!B60, data!D:D, 0)) = 1, FALSE)
  ),
  "COMPLETE",
  "INC"
)</f>
        <v>COMPLETE</v>
      </c>
      <c r="D60" s="9" t="str">
        <f t="array" ref="D60">IFERROR(INDEX(data!$G:$G,match(Caseslist!B60,data!$D:$D,0)), "INC")</f>
        <v>F3051749</v>
      </c>
      <c r="E60" s="9" t="str">
        <f t="array" ref="E60">IFERROR(INDEX(data!H:H,match(Caseslist!B60,data!D:D,0)), "INC")</f>
        <v>Elenita Gicos De La Pe�a</v>
      </c>
      <c r="F60" s="10" t="str">
        <f t="array" ref="F60">IF(
    OR(
      IFNA(INDEX(data!M:M, MATCH(Caseslist!B60, data!D:D, 0)), "") = "",
      IFNA(INDEX(data!M:M, MATCH(Caseslist!B60, data!D:D, 0)), 0) = 0
    ),
    "COMPLETE",
    IF(
      IFNA(INDEX(dataICM!D:D, MATCH(Caseslist!B60, dataICM!D:D, 0)), "INC") = "INC",
      IFNA(INDEX(dataICM!D:D, MATCH(Caseslist!B60, dataICM!D:D, 0)), "INC"),
      "COMPLETE"
    )
  )</f>
        <v>COMPLETE</v>
      </c>
      <c r="G60" s="10" t="str">
        <f t="array" ref="G60">IF(IFERROR(INDEX(data!L:L,match(Caseslist!B60,data!D:D,0)),"INC")="","COMPLETE",F60)</f>
        <v>COMPLETE</v>
      </c>
      <c r="H60" s="9" t="str">
        <f t="array" ref="H60">IFERROR(INDEX(dataICM!F:F,match(Caseslist!B60,dataICM!D:D,0)), "INC")</f>
        <v>INC</v>
      </c>
      <c r="I60" s="10" t="str">
        <f t="shared" si="2"/>
        <v>F3051749</v>
      </c>
      <c r="J60" s="9" t="str">
        <f t="array" ref="J60">IF(
  AND(
    IFERROR(MATCH(B60, data!D:D, 0), 0) &gt; 0,
    IFERROR(INDEX(data!N:N, MATCH(B60, data!D:D, 0)) = 1, FALSE)
  ),
  INDEX(data!C:C, MATCH(B60, data!D:D, 0)),
  "INC"
)</f>
        <v>2025-08-25T15:24:32.435+08</v>
      </c>
      <c r="K60" s="9" t="str">
        <f t="array" ref="K60">IFERROR(INDEX(dataICM!C:C,match(Caseslist!B60,dataICM!D:D,0)), "INC")</f>
        <v>INC</v>
      </c>
      <c r="L60" s="10" t="str">
        <f t="array" ref="L60">IF(AND(G60="COMPLETE", OR(K60="INC", ISBLANK(INDEX(data!O:O, ROW())))), J60, K60)</f>
        <v>2025-08-25T15:24:32.435+08</v>
      </c>
      <c r="M60" s="2">
        <v>45894.0</v>
      </c>
      <c r="N60" s="2" t="str">
        <f t="array" ref="N60">IF(M60&lt;&gt;"INC", INDEX(data!M:M, MATCH(B60, data!D:D, 0)), "")</f>
        <v/>
      </c>
      <c r="O60" s="2">
        <f t="shared" si="3"/>
        <v>0</v>
      </c>
    </row>
    <row r="61">
      <c r="A61" s="2" t="str">
        <f t="shared" si="1"/>
        <v>H030769</v>
      </c>
      <c r="B61" s="1" t="s">
        <v>243</v>
      </c>
      <c r="C61" s="9" t="str">
        <f t="array" ref="C61">IF(
  AND(
    IFERROR(MATCH(Caseslist!B61, data!D:D, 0), 0) &gt; 0,
    IFERROR(INDEX(data!N:N, MATCH(Caseslist!B61, data!D:D, 0)) = 1, FALSE)
  ),
  "COMPLETE",
  "INC"
)</f>
        <v>COMPLETE</v>
      </c>
      <c r="D61" s="9">
        <f t="array" ref="D61">IFERROR(INDEX(data!$G:$G,match(Caseslist!B61,data!$D:$D,0)), "INC")</f>
        <v>896791</v>
      </c>
      <c r="E61" s="9" t="str">
        <f t="array" ref="E61">IFERROR(INDEX(data!H:H,match(Caseslist!B61,data!D:D,0)), "INC")</f>
        <v>Roland A. Bandiola jr</v>
      </c>
      <c r="F61" s="10" t="str">
        <f t="array" ref="F61">IF(
    OR(
      IFNA(INDEX(data!M:M, MATCH(Caseslist!B61, data!D:D, 0)), "") = "",
      IFNA(INDEX(data!M:M, MATCH(Caseslist!B61, data!D:D, 0)), 0) = 0
    ),
    "COMPLETE",
    IF(
      IFNA(INDEX(dataICM!D:D, MATCH(Caseslist!B61, dataICM!D:D, 0)), "INC") = "INC",
      IFNA(INDEX(dataICM!D:D, MATCH(Caseslist!B61, dataICM!D:D, 0)), "INC"),
      "COMPLETE"
    )
  )</f>
        <v>COMPLETE</v>
      </c>
      <c r="G61" s="10" t="str">
        <f t="array" ref="G61">IF(IFERROR(INDEX(data!L:L,match(Caseslist!B61,data!D:D,0)),"INC")="","COMPLETE",F61)</f>
        <v>COMPLETE</v>
      </c>
      <c r="H61" s="9" t="str">
        <f t="array" ref="H61">IFERROR(INDEX(dataICM!F:F,match(Caseslist!B61,dataICM!D:D,0)), "INC")</f>
        <v>INC</v>
      </c>
      <c r="I61" s="10">
        <f t="shared" si="2"/>
        <v>896791</v>
      </c>
      <c r="J61" s="9" t="str">
        <f t="array" ref="J61">IF(
  AND(
    IFERROR(MATCH(B61, data!D:D, 0), 0) &gt; 0,
    IFERROR(INDEX(data!N:N, MATCH(B61, data!D:D, 0)) = 1, FALSE)
  ),
  INDEX(data!C:C, MATCH(B61, data!D:D, 0)),
  "INC"
)</f>
        <v>2025-08-25T21:30:46.472+08</v>
      </c>
      <c r="K61" s="9" t="str">
        <f t="array" ref="K61">IFERROR(INDEX(dataICM!C:C,match(Caseslist!B61,dataICM!D:D,0)), "INC")</f>
        <v>INC</v>
      </c>
      <c r="L61" s="10" t="str">
        <f t="array" ref="L61">IF(AND(G61="COMPLETE", OR(K61="INC", ISBLANK(INDEX(data!O:O, ROW())))), J61, K61)</f>
        <v>2025-08-25T21:30:46.472+08</v>
      </c>
      <c r="M61" s="2">
        <v>45894.0</v>
      </c>
      <c r="N61" s="2" t="str">
        <f t="array" ref="N61">IF(M61&lt;&gt;"INC", INDEX(data!M:M, MATCH(B61, data!D:D, 0)), "")</f>
        <v/>
      </c>
      <c r="O61" s="2">
        <f t="shared" si="3"/>
        <v>0</v>
      </c>
    </row>
    <row r="62">
      <c r="A62" s="2" t="str">
        <f t="shared" si="1"/>
        <v>H030769</v>
      </c>
      <c r="B62" s="1" t="s">
        <v>254</v>
      </c>
      <c r="C62" s="9" t="str">
        <f t="array" ref="C62">IF(
  AND(
    IFERROR(MATCH(Caseslist!B62, data!D:D, 0), 0) &gt; 0,
    IFERROR(INDEX(data!N:N, MATCH(Caseslist!B62, data!D:D, 0)) = 1, FALSE)
  ),
  "COMPLETE",
  "INC"
)</f>
        <v>COMPLETE</v>
      </c>
      <c r="D62" s="9">
        <f t="array" ref="D62">IFERROR(INDEX(data!$G:$G,match(Caseslist!B62,data!$D:$D,0)), "INC")</f>
        <v>896791</v>
      </c>
      <c r="E62" s="9" t="str">
        <f t="array" ref="E62">IFERROR(INDEX(data!H:H,match(Caseslist!B62,data!D:D,0)), "INC")</f>
        <v>Roland A. Bandiola jr</v>
      </c>
      <c r="F62" s="10" t="str">
        <f t="array" ref="F62">IF(
    OR(
      IFNA(INDEX(data!M:M, MATCH(Caseslist!B62, data!D:D, 0)), "") = "",
      IFNA(INDEX(data!M:M, MATCH(Caseslist!B62, data!D:D, 0)), 0) = 0
    ),
    "COMPLETE",
    IF(
      IFNA(INDEX(dataICM!D:D, MATCH(Caseslist!B62, dataICM!D:D, 0)), "INC") = "INC",
      IFNA(INDEX(dataICM!D:D, MATCH(Caseslist!B62, dataICM!D:D, 0)), "INC"),
      "COMPLETE"
    )
  )</f>
        <v>COMPLETE</v>
      </c>
      <c r="G62" s="10" t="str">
        <f t="array" ref="G62">IF(IFERROR(INDEX(data!L:L,match(Caseslist!B62,data!D:D,0)),"INC")="","COMPLETE",F62)</f>
        <v>COMPLETE</v>
      </c>
      <c r="H62" s="9" t="str">
        <f t="array" ref="H62">IFERROR(INDEX(dataICM!F:F,match(Caseslist!B62,dataICM!D:D,0)), "INC")</f>
        <v>INC</v>
      </c>
      <c r="I62" s="10">
        <f t="shared" si="2"/>
        <v>896791</v>
      </c>
      <c r="J62" s="9" t="str">
        <f t="array" ref="J62">IF(
  AND(
    IFERROR(MATCH(B62, data!D:D, 0), 0) &gt; 0,
    IFERROR(INDEX(data!N:N, MATCH(B62, data!D:D, 0)) = 1, FALSE)
  ),
  INDEX(data!C:C, MATCH(B62, data!D:D, 0)),
  "INC"
)</f>
        <v>2025-08-25T11:52:56.943+08</v>
      </c>
      <c r="K62" s="9" t="str">
        <f t="array" ref="K62">IFERROR(INDEX(dataICM!C:C,match(Caseslist!B62,dataICM!D:D,0)), "INC")</f>
        <v>INC</v>
      </c>
      <c r="L62" s="10" t="str">
        <f t="array" ref="L62">IF(AND(G62="COMPLETE", OR(K62="INC", ISBLANK(INDEX(data!O:O, ROW())))), J62, K62)</f>
        <v>2025-08-25T11:52:56.943+08</v>
      </c>
      <c r="M62" s="2">
        <v>45894.0</v>
      </c>
      <c r="N62" s="2" t="str">
        <f t="array" ref="N62">IF(M62&lt;&gt;"INC", INDEX(data!M:M, MATCH(B62, data!D:D, 0)), "")</f>
        <v/>
      </c>
      <c r="O62" s="2">
        <f t="shared" si="3"/>
        <v>0</v>
      </c>
    </row>
    <row r="63">
      <c r="A63" s="2" t="str">
        <f t="shared" si="1"/>
        <v>H030769</v>
      </c>
      <c r="B63" s="1" t="s">
        <v>178</v>
      </c>
      <c r="C63" s="9" t="str">
        <f t="array" ref="C63">IF(
  AND(
    IFERROR(MATCH(Caseslist!B63, data!D:D, 0), 0) &gt; 0,
    IFERROR(INDEX(data!N:N, MATCH(Caseslist!B63, data!D:D, 0)) = 1, FALSE)
  ),
  "COMPLETE",
  "INC"
)</f>
        <v>COMPLETE</v>
      </c>
      <c r="D63" s="9" t="str">
        <f t="array" ref="D63">IFERROR(INDEX(data!$G:$G,match(Caseslist!B63,data!$D:$D,0)), "INC")</f>
        <v>F3051749</v>
      </c>
      <c r="E63" s="9" t="str">
        <f t="array" ref="E63">IFERROR(INDEX(data!H:H,match(Caseslist!B63,data!D:D,0)), "INC")</f>
        <v>Elenita Gicos De La Pe�a</v>
      </c>
      <c r="F63" s="10" t="str">
        <f t="array" ref="F63">IF(
    OR(
      IFNA(INDEX(data!M:M, MATCH(Caseslist!B63, data!D:D, 0)), "") = "",
      IFNA(INDEX(data!M:M, MATCH(Caseslist!B63, data!D:D, 0)), 0) = 0
    ),
    "COMPLETE",
    IF(
      IFNA(INDEX(dataICM!D:D, MATCH(Caseslist!B63, dataICM!D:D, 0)), "INC") = "INC",
      IFNA(INDEX(dataICM!D:D, MATCH(Caseslist!B63, dataICM!D:D, 0)), "INC"),
      "COMPLETE"
    )
  )</f>
        <v>COMPLETE</v>
      </c>
      <c r="G63" s="10" t="str">
        <f t="array" ref="G63">IF(IFERROR(INDEX(data!L:L,match(Caseslist!B63,data!D:D,0)),"INC")="","COMPLETE",F63)</f>
        <v>COMPLETE</v>
      </c>
      <c r="H63" s="9" t="str">
        <f t="array" ref="H63">IFERROR(INDEX(dataICM!F:F,match(Caseslist!B63,dataICM!D:D,0)), "INC")</f>
        <v>INC</v>
      </c>
      <c r="I63" s="10" t="str">
        <f t="shared" si="2"/>
        <v>F3051749</v>
      </c>
      <c r="J63" s="9" t="str">
        <f t="array" ref="J63">IF(
  AND(
    IFERROR(MATCH(B63, data!D:D, 0), 0) &gt; 0,
    IFERROR(INDEX(data!N:N, MATCH(B63, data!D:D, 0)) = 1, FALSE)
  ),
  INDEX(data!C:C, MATCH(B63, data!D:D, 0)),
  "INC"
)</f>
        <v>2025-08-25T12:07:07.490+08</v>
      </c>
      <c r="K63" s="9" t="str">
        <f t="array" ref="K63">IFERROR(INDEX(dataICM!C:C,match(Caseslist!B63,dataICM!D:D,0)), "INC")</f>
        <v>INC</v>
      </c>
      <c r="L63" s="10" t="str">
        <f t="array" ref="L63">IF(AND(G63="COMPLETE", OR(K63="INC", ISBLANK(INDEX(data!O:O, ROW())))), J63, K63)</f>
        <v>2025-08-25T12:07:07.490+08</v>
      </c>
      <c r="M63" s="2">
        <v>45894.0</v>
      </c>
      <c r="N63" s="2" t="str">
        <f t="array" ref="N63">IF(M63&lt;&gt;"INC", INDEX(data!M:M, MATCH(B63, data!D:D, 0)), "")</f>
        <v/>
      </c>
      <c r="O63" s="2">
        <f t="shared" si="3"/>
        <v>0</v>
      </c>
    </row>
    <row r="64">
      <c r="A64" s="2" t="str">
        <f t="shared" si="1"/>
        <v>H030769</v>
      </c>
      <c r="B64" s="1" t="s">
        <v>154</v>
      </c>
      <c r="C64" s="9" t="str">
        <f t="array" ref="C64">IF(
  AND(
    IFERROR(MATCH(Caseslist!B64, data!D:D, 0), 0) &gt; 0,
    IFERROR(INDEX(data!N:N, MATCH(Caseslist!B64, data!D:D, 0)) = 1, FALSE)
  ),
  "COMPLETE",
  "INC"
)</f>
        <v>COMPLETE</v>
      </c>
      <c r="D64" s="9" t="str">
        <f t="array" ref="D64">IFERROR(INDEX(data!$G:$G,match(Caseslist!B64,data!$D:$D,0)), "INC")</f>
        <v>H2846135</v>
      </c>
      <c r="E64" s="9" t="str">
        <f t="array" ref="E64">IFERROR(INDEX(data!H:H,match(Caseslist!B64,data!D:D,0)), "INC")</f>
        <v>Annalou Empanado Encontro</v>
      </c>
      <c r="F64" s="10" t="str">
        <f t="array" ref="F64">IF(
    OR(
      IFNA(INDEX(data!M:M, MATCH(Caseslist!B64, data!D:D, 0)), "") = "",
      IFNA(INDEX(data!M:M, MATCH(Caseslist!B64, data!D:D, 0)), 0) = 0
    ),
    "COMPLETE",
    IF(
      IFNA(INDEX(dataICM!D:D, MATCH(Caseslist!B64, dataICM!D:D, 0)), "INC") = "INC",
      IFNA(INDEX(dataICM!D:D, MATCH(Caseslist!B64, dataICM!D:D, 0)), "INC"),
      "COMPLETE"
    )
  )</f>
        <v>COMPLETE</v>
      </c>
      <c r="G64" s="10" t="str">
        <f t="array" ref="G64">IF(IFERROR(INDEX(data!L:L,match(Caseslist!B64,data!D:D,0)),"INC")="","COMPLETE",F64)</f>
        <v>COMPLETE</v>
      </c>
      <c r="H64" s="9" t="str">
        <f t="array" ref="H64">IFERROR(INDEX(dataICM!F:F,match(Caseslist!B64,dataICM!D:D,0)), "INC")</f>
        <v>INC</v>
      </c>
      <c r="I64" s="10" t="str">
        <f t="shared" si="2"/>
        <v>H2846135</v>
      </c>
      <c r="J64" s="9" t="str">
        <f t="array" ref="J64">IF(
  AND(
    IFERROR(MATCH(B64, data!D:D, 0), 0) &gt; 0,
    IFERROR(INDEX(data!N:N, MATCH(B64, data!D:D, 0)) = 1, FALSE)
  ),
  INDEX(data!C:C, MATCH(B64, data!D:D, 0)),
  "INC"
)</f>
        <v>2025-08-25T12:28:42.558+08</v>
      </c>
      <c r="K64" s="9" t="str">
        <f t="array" ref="K64">IFERROR(INDEX(dataICM!C:C,match(Caseslist!B64,dataICM!D:D,0)), "INC")</f>
        <v>INC</v>
      </c>
      <c r="L64" s="10" t="str">
        <f t="array" ref="L64">IF(AND(G64="COMPLETE", OR(K64="INC", ISBLANK(INDEX(data!O:O, ROW())))), J64, K64)</f>
        <v>2025-08-25T12:28:42.558+08</v>
      </c>
      <c r="M64" s="2">
        <v>45894.0</v>
      </c>
      <c r="N64" s="2" t="str">
        <f t="array" ref="N64">IF(M64&lt;&gt;"INC", INDEX(data!M:M, MATCH(B64, data!D:D, 0)), "")</f>
        <v/>
      </c>
      <c r="O64" s="2">
        <f t="shared" si="3"/>
        <v>0</v>
      </c>
    </row>
    <row r="65">
      <c r="A65" s="2" t="str">
        <f t="shared" si="1"/>
        <v>H030769</v>
      </c>
      <c r="B65" s="1" t="s">
        <v>166</v>
      </c>
      <c r="C65" s="9" t="str">
        <f t="array" ref="C65">IF(
  AND(
    IFERROR(MATCH(Caseslist!B65, data!D:D, 0), 0) &gt; 0,
    IFERROR(INDEX(data!N:N, MATCH(Caseslist!B65, data!D:D, 0)) = 1, FALSE)
  ),
  "COMPLETE",
  "INC"
)</f>
        <v>COMPLETE</v>
      </c>
      <c r="D65" s="9" t="str">
        <f t="array" ref="D65">IFERROR(INDEX(data!$G:$G,match(Caseslist!B65,data!$D:$D,0)), "INC")</f>
        <v>D1284067</v>
      </c>
      <c r="E65" s="9" t="str">
        <f t="array" ref="E65">IFERROR(INDEX(data!H:H,match(Caseslist!B65,data!D:D,0)), "INC")</f>
        <v>Mariel Del Rio</v>
      </c>
      <c r="F65" s="10" t="str">
        <f t="array" ref="F65">IF(
    OR(
      IFNA(INDEX(data!M:M, MATCH(Caseslist!B65, data!D:D, 0)), "") = "",
      IFNA(INDEX(data!M:M, MATCH(Caseslist!B65, data!D:D, 0)), 0) = 0
    ),
    "COMPLETE",
    IF(
      IFNA(INDEX(dataICM!D:D, MATCH(Caseslist!B65, dataICM!D:D, 0)), "INC") = "INC",
      IFNA(INDEX(dataICM!D:D, MATCH(Caseslist!B65, dataICM!D:D, 0)), "INC"),
      "COMPLETE"
    )
  )</f>
        <v>COMPLETE</v>
      </c>
      <c r="G65" s="10" t="str">
        <f t="array" ref="G65">IF(IFERROR(INDEX(data!L:L,match(Caseslist!B65,data!D:D,0)),"INC")="","COMPLETE",F65)</f>
        <v>COMPLETE</v>
      </c>
      <c r="H65" s="9" t="str">
        <f t="array" ref="H65">IFERROR(INDEX(dataICM!F:F,match(Caseslist!B65,dataICM!D:D,0)), "INC")</f>
        <v>INC</v>
      </c>
      <c r="I65" s="10" t="str">
        <f t="shared" si="2"/>
        <v>D1284067</v>
      </c>
      <c r="J65" s="9" t="str">
        <f t="array" ref="J65">IF(
  AND(
    IFERROR(MATCH(B65, data!D:D, 0), 0) &gt; 0,
    IFERROR(INDEX(data!N:N, MATCH(B65, data!D:D, 0)) = 1, FALSE)
  ),
  INDEX(data!C:C, MATCH(B65, data!D:D, 0)),
  "INC"
)</f>
        <v>2025-08-25T12:35:54.803+08</v>
      </c>
      <c r="K65" s="9" t="str">
        <f t="array" ref="K65">IFERROR(INDEX(dataICM!C:C,match(Caseslist!B65,dataICM!D:D,0)), "INC")</f>
        <v>INC</v>
      </c>
      <c r="L65" s="10" t="str">
        <f t="array" ref="L65">IF(AND(G65="COMPLETE", OR(K65="INC", ISBLANK(INDEX(data!O:O, ROW())))), J65, K65)</f>
        <v>2025-08-25T12:35:54.803+08</v>
      </c>
      <c r="M65" s="2">
        <v>45894.0</v>
      </c>
      <c r="N65" s="2" t="str">
        <f t="array" ref="N65">IF(M65&lt;&gt;"INC", INDEX(data!M:M, MATCH(B65, data!D:D, 0)), "")</f>
        <v/>
      </c>
      <c r="O65" s="2">
        <f t="shared" si="3"/>
        <v>0</v>
      </c>
    </row>
    <row r="66">
      <c r="A66" s="2" t="str">
        <f t="shared" si="1"/>
        <v>H030769</v>
      </c>
      <c r="B66" s="1" t="s">
        <v>226</v>
      </c>
      <c r="C66" s="9" t="str">
        <f t="array" ref="C66">IF(
  AND(
    IFERROR(MATCH(Caseslist!B66, data!D:D, 0), 0) &gt; 0,
    IFERROR(INDEX(data!N:N, MATCH(Caseslist!B66, data!D:D, 0)) = 1, FALSE)
  ),
  "COMPLETE",
  "INC"
)</f>
        <v>COMPLETE</v>
      </c>
      <c r="D66" s="9" t="str">
        <f t="array" ref="D66">IFERROR(INDEX(data!$G:$G,match(Caseslist!B66,data!$D:$D,0)), "INC")</f>
        <v>B8193462</v>
      </c>
      <c r="E66" s="9" t="str">
        <f t="array" ref="E66">IFERROR(INDEX(data!H:H,match(Caseslist!B66,data!D:D,0)), "INC")</f>
        <v>Mark Lorens Mendoza Gilongo</v>
      </c>
      <c r="F66" s="10" t="str">
        <f t="array" ref="F66">IF(
    OR(
      IFNA(INDEX(data!M:M, MATCH(Caseslist!B66, data!D:D, 0)), "") = "",
      IFNA(INDEX(data!M:M, MATCH(Caseslist!B66, data!D:D, 0)), 0) = 0
    ),
    "COMPLETE",
    IF(
      IFNA(INDEX(dataICM!D:D, MATCH(Caseslist!B66, dataICM!D:D, 0)), "INC") = "INC",
      IFNA(INDEX(dataICM!D:D, MATCH(Caseslist!B66, dataICM!D:D, 0)), "INC"),
      "COMPLETE"
    )
  )</f>
        <v>COMPLETE</v>
      </c>
      <c r="G66" s="10" t="str">
        <f t="array" ref="G66">IF(IFERROR(INDEX(data!L:L,match(Caseslist!B66,data!D:D,0)),"INC")="","COMPLETE",F66)</f>
        <v>COMPLETE</v>
      </c>
      <c r="H66" s="9" t="str">
        <f t="array" ref="H66">IFERROR(INDEX(dataICM!F:F,match(Caseslist!B66,dataICM!D:D,0)), "INC")</f>
        <v>INC</v>
      </c>
      <c r="I66" s="10" t="str">
        <f t="shared" si="2"/>
        <v>B8193462</v>
      </c>
      <c r="J66" s="9" t="str">
        <f t="array" ref="J66">IF(
  AND(
    IFERROR(MATCH(B66, data!D:D, 0), 0) &gt; 0,
    IFERROR(INDEX(data!N:N, MATCH(B66, data!D:D, 0)) = 1, FALSE)
  ),
  INDEX(data!C:C, MATCH(B66, data!D:D, 0)),
  "INC"
)</f>
        <v>2025-08-25T14:21:48.508+08</v>
      </c>
      <c r="K66" s="9" t="str">
        <f t="array" ref="K66">IFERROR(INDEX(dataICM!C:C,match(Caseslist!B66,dataICM!D:D,0)), "INC")</f>
        <v>INC</v>
      </c>
      <c r="L66" s="10" t="str">
        <f t="array" ref="L66">IF(AND(G66="COMPLETE", OR(K66="INC", ISBLANK(INDEX(data!O:O, ROW())))), J66, K66)</f>
        <v>2025-08-25T14:21:48.508+08</v>
      </c>
      <c r="M66" s="2">
        <v>45894.0</v>
      </c>
      <c r="N66" s="2" t="str">
        <f t="array" ref="N66">IF(M66&lt;&gt;"INC", INDEX(data!M:M, MATCH(B66, data!D:D, 0)), "")</f>
        <v/>
      </c>
      <c r="O66" s="2">
        <f t="shared" si="3"/>
        <v>0</v>
      </c>
    </row>
    <row r="67">
      <c r="A67" s="2" t="str">
        <f t="shared" si="1"/>
        <v>H030769</v>
      </c>
      <c r="B67" s="1" t="s">
        <v>8905</v>
      </c>
      <c r="C67" s="9" t="str">
        <f t="array" ref="C67">IF(
  AND(
    IFERROR(MATCH(Caseslist!B67, data!D:D, 0), 0) &gt; 0,
    IFERROR(INDEX(data!N:N, MATCH(Caseslist!B67, data!D:D, 0)) = 1, FALSE)
  ),
  "COMPLETE",
  "INC"
)</f>
        <v>INC</v>
      </c>
      <c r="D67" s="9" t="str">
        <f t="array" ref="D67">IFERROR(INDEX(data!$G:$G,match(Caseslist!B67,data!$D:$D,0)), "INC")</f>
        <v>INC</v>
      </c>
      <c r="E67" s="9" t="str">
        <f t="array" ref="E67">IFERROR(INDEX(data!H:H,match(Caseslist!B67,data!D:D,0)), "INC")</f>
        <v>INC</v>
      </c>
      <c r="F67" s="10" t="str">
        <f t="array" ref="F67">IF(
    OR(
      IFNA(INDEX(data!M:M, MATCH(Caseslist!B67, data!D:D, 0)), "") = "",
      IFNA(INDEX(data!M:M, MATCH(Caseslist!B67, data!D:D, 0)), 0) = 0
    ),
    "COMPLETE",
    IF(
      IFNA(INDEX(dataICM!D:D, MATCH(Caseslist!B67, dataICM!D:D, 0)), "INC") = "INC",
      IFNA(INDEX(dataICM!D:D, MATCH(Caseslist!B67, dataICM!D:D, 0)), "INC"),
      "COMPLETE"
    )
  )</f>
        <v>COMPLETE</v>
      </c>
      <c r="G67" s="10" t="str">
        <f t="array" ref="G67">IF(IFERROR(INDEX(data!L:L,match(Caseslist!B67,data!D:D,0)),"INC")="","COMPLETE",F67)</f>
        <v>COMPLETE</v>
      </c>
      <c r="H67" s="9" t="str">
        <f t="array" ref="H67">IFERROR(INDEX(dataICM!F:F,match(Caseslist!B67,dataICM!D:D,0)), "INC")</f>
        <v>INC</v>
      </c>
      <c r="I67" s="10" t="str">
        <f t="shared" si="2"/>
        <v>INC</v>
      </c>
      <c r="J67" s="9" t="str">
        <f t="array" ref="J67">IF(
  AND(
    IFERROR(MATCH(B67, data!D:D, 0), 0) &gt; 0,
    IFERROR(INDEX(data!N:N, MATCH(B67, data!D:D, 0)) = 1, FALSE)
  ),
  INDEX(data!C:C, MATCH(B67, data!D:D, 0)),
  "INC"
)</f>
        <v>INC</v>
      </c>
      <c r="K67" s="9" t="str">
        <f t="array" ref="K67">IFERROR(INDEX(dataICM!C:C,match(Caseslist!B67,dataICM!D:D,0)), "INC")</f>
        <v>INC</v>
      </c>
      <c r="L67" s="10" t="str">
        <f t="array" ref="L67">IF(AND(G67="COMPLETE", OR(K67="INC", ISBLANK(INDEX(data!O:O, ROW())))), J67, K67)</f>
        <v>INC</v>
      </c>
      <c r="M67" s="2" t="s">
        <v>8886</v>
      </c>
      <c r="N67" s="2" t="str">
        <f t="array" ref="N67">IF(M67&lt;&gt;"INC", INDEX(data!M:M, MATCH(B67, data!D:D, 0)), "")</f>
        <v/>
      </c>
      <c r="O67" s="2" t="str">
        <f t="shared" si="3"/>
        <v/>
      </c>
    </row>
    <row r="68">
      <c r="A68" s="2" t="str">
        <f t="shared" si="1"/>
        <v>H030769</v>
      </c>
      <c r="B68" s="1" t="s">
        <v>8906</v>
      </c>
      <c r="C68" s="9" t="str">
        <f t="array" ref="C68">IF(
  AND(
    IFERROR(MATCH(Caseslist!B68, data!D:D, 0), 0) &gt; 0,
    IFERROR(INDEX(data!N:N, MATCH(Caseslist!B68, data!D:D, 0)) = 1, FALSE)
  ),
  "COMPLETE",
  "INC"
)</f>
        <v>INC</v>
      </c>
      <c r="D68" s="9" t="str">
        <f t="array" ref="D68">IFERROR(INDEX(data!$G:$G,match(Caseslist!B68,data!$D:$D,0)), "INC")</f>
        <v>INC</v>
      </c>
      <c r="E68" s="9" t="str">
        <f t="array" ref="E68">IFERROR(INDEX(data!H:H,match(Caseslist!B68,data!D:D,0)), "INC")</f>
        <v>INC</v>
      </c>
      <c r="F68" s="10" t="str">
        <f t="array" ref="F68">IF(
    OR(
      IFNA(INDEX(data!M:M, MATCH(Caseslist!B68, data!D:D, 0)), "") = "",
      IFNA(INDEX(data!M:M, MATCH(Caseslist!B68, data!D:D, 0)), 0) = 0
    ),
    "COMPLETE",
    IF(
      IFNA(INDEX(dataICM!D:D, MATCH(Caseslist!B68, dataICM!D:D, 0)), "INC") = "INC",
      IFNA(INDEX(dataICM!D:D, MATCH(Caseslist!B68, dataICM!D:D, 0)), "INC"),
      "COMPLETE"
    )
  )</f>
        <v>COMPLETE</v>
      </c>
      <c r="G68" s="10" t="str">
        <f t="array" ref="G68">IF(IFERROR(INDEX(data!L:L,match(Caseslist!B68,data!D:D,0)),"INC")="","COMPLETE",F68)</f>
        <v>COMPLETE</v>
      </c>
      <c r="H68" s="9" t="str">
        <f t="array" ref="H68">IFERROR(INDEX(dataICM!F:F,match(Caseslist!B68,dataICM!D:D,0)), "INC")</f>
        <v>INC</v>
      </c>
      <c r="I68" s="10" t="str">
        <f t="shared" si="2"/>
        <v>INC</v>
      </c>
      <c r="J68" s="9" t="str">
        <f t="array" ref="J68">IF(
  AND(
    IFERROR(MATCH(B68, data!D:D, 0), 0) &gt; 0,
    IFERROR(INDEX(data!N:N, MATCH(B68, data!D:D, 0)) = 1, FALSE)
  ),
  INDEX(data!C:C, MATCH(B68, data!D:D, 0)),
  "INC"
)</f>
        <v>INC</v>
      </c>
      <c r="K68" s="9" t="str">
        <f t="array" ref="K68">IFERROR(INDEX(dataICM!C:C,match(Caseslist!B68,dataICM!D:D,0)), "INC")</f>
        <v>INC</v>
      </c>
      <c r="L68" s="10" t="str">
        <f t="array" ref="L68">IF(AND(G68="COMPLETE", OR(K68="INC", ISBLANK(INDEX(data!O:O, ROW())))), J68, K68)</f>
        <v>INC</v>
      </c>
      <c r="M68" s="2" t="s">
        <v>8886</v>
      </c>
      <c r="N68" s="2" t="str">
        <f t="array" ref="N68">IF(M68&lt;&gt;"INC", INDEX(data!M:M, MATCH(B68, data!D:D, 0)), "")</f>
        <v/>
      </c>
      <c r="O68" s="2" t="str">
        <f t="shared" si="3"/>
        <v/>
      </c>
    </row>
    <row r="69">
      <c r="A69" s="2" t="str">
        <f t="shared" si="1"/>
        <v>H030769</v>
      </c>
      <c r="B69" s="1" t="s">
        <v>8907</v>
      </c>
      <c r="C69" s="9" t="str">
        <f t="array" ref="C69">IF(
  AND(
    IFERROR(MATCH(Caseslist!B69, data!D:D, 0), 0) &gt; 0,
    IFERROR(INDEX(data!N:N, MATCH(Caseslist!B69, data!D:D, 0)) = 1, FALSE)
  ),
  "COMPLETE",
  "INC"
)</f>
        <v>INC</v>
      </c>
      <c r="D69" s="9" t="str">
        <f t="array" ref="D69">IFERROR(INDEX(data!$G:$G,match(Caseslist!B69,data!$D:$D,0)), "INC")</f>
        <v>INC</v>
      </c>
      <c r="E69" s="9" t="str">
        <f t="array" ref="E69">IFERROR(INDEX(data!H:H,match(Caseslist!B69,data!D:D,0)), "INC")</f>
        <v>INC</v>
      </c>
      <c r="F69" s="10" t="str">
        <f t="array" ref="F69">IF(
    OR(
      IFNA(INDEX(data!M:M, MATCH(Caseslist!B69, data!D:D, 0)), "") = "",
      IFNA(INDEX(data!M:M, MATCH(Caseslist!B69, data!D:D, 0)), 0) = 0
    ),
    "COMPLETE",
    IF(
      IFNA(INDEX(dataICM!D:D, MATCH(Caseslist!B69, dataICM!D:D, 0)), "INC") = "INC",
      IFNA(INDEX(dataICM!D:D, MATCH(Caseslist!B69, dataICM!D:D, 0)), "INC"),
      "COMPLETE"
    )
  )</f>
        <v>COMPLETE</v>
      </c>
      <c r="G69" s="10" t="str">
        <f t="array" ref="G69">IF(IFERROR(INDEX(data!L:L,match(Caseslist!B69,data!D:D,0)),"INC")="","COMPLETE",F69)</f>
        <v>COMPLETE</v>
      </c>
      <c r="H69" s="9" t="str">
        <f t="array" ref="H69">IFERROR(INDEX(dataICM!F:F,match(Caseslist!B69,dataICM!D:D,0)), "INC")</f>
        <v>INC</v>
      </c>
      <c r="I69" s="10" t="str">
        <f t="shared" si="2"/>
        <v>INC</v>
      </c>
      <c r="J69" s="9" t="str">
        <f t="array" ref="J69">IF(
  AND(
    IFERROR(MATCH(B69, data!D:D, 0), 0) &gt; 0,
    IFERROR(INDEX(data!N:N, MATCH(B69, data!D:D, 0)) = 1, FALSE)
  ),
  INDEX(data!C:C, MATCH(B69, data!D:D, 0)),
  "INC"
)</f>
        <v>INC</v>
      </c>
      <c r="K69" s="9" t="str">
        <f t="array" ref="K69">IFERROR(INDEX(dataICM!C:C,match(Caseslist!B69,dataICM!D:D,0)), "INC")</f>
        <v>INC</v>
      </c>
      <c r="L69" s="10" t="str">
        <f t="array" ref="L69">IF(AND(G69="COMPLETE", OR(K69="INC", ISBLANK(INDEX(data!O:O, ROW())))), J69, K69)</f>
        <v>INC</v>
      </c>
      <c r="M69" s="2" t="s">
        <v>8886</v>
      </c>
      <c r="N69" s="2" t="str">
        <f t="array" ref="N69">IF(M69&lt;&gt;"INC", INDEX(data!M:M, MATCH(B69, data!D:D, 0)), "")</f>
        <v/>
      </c>
      <c r="O69" s="2" t="str">
        <f t="shared" si="3"/>
        <v/>
      </c>
    </row>
    <row r="70">
      <c r="A70" s="2" t="str">
        <f t="shared" si="1"/>
        <v>H004001</v>
      </c>
      <c r="B70" s="11" t="s">
        <v>6888</v>
      </c>
      <c r="C70" s="9" t="str">
        <f t="array" ref="C70">IF(
  AND(
    IFERROR(MATCH(Caseslist!B70, data!D:D, 0), 0) &gt; 0,
    IFERROR(INDEX(data!N:N, MATCH(Caseslist!B70, data!D:D, 0)) = 1, FALSE)
  ),
  "COMPLETE",
  "INC"
)</f>
        <v>COMPLETE</v>
      </c>
      <c r="D70" s="9">
        <f t="array" ref="D70">IFERROR(INDEX(data!$G:$G,match(Caseslist!B70,data!$D:$D,0)), "INC")</f>
        <v>729375</v>
      </c>
      <c r="E70" s="9" t="str">
        <f t="array" ref="E70">IFERROR(INDEX(data!H:H,match(Caseslist!B70,data!D:D,0)), "INC")</f>
        <v>Janet Serafica_2</v>
      </c>
      <c r="F70" s="10" t="str">
        <f t="array" ref="F70">IF(
    OR(
      IFNA(INDEX(data!M:M, MATCH(Caseslist!B70, data!D:D, 0)), "") = "",
      IFNA(INDEX(data!M:M, MATCH(Caseslist!B70, data!D:D, 0)), 0) = 0
    ),
    "COMPLETE",
    IF(
      IFNA(INDEX(dataICM!D:D, MATCH(Caseslist!B70, dataICM!D:D, 0)), "INC") = "INC",
      IFNA(INDEX(dataICM!D:D, MATCH(Caseslist!B70, dataICM!D:D, 0)), "INC"),
      "COMPLETE"
    )
  )</f>
        <v>COMPLETE</v>
      </c>
      <c r="G70" s="10" t="str">
        <f t="array" ref="G70">IF(IFERROR(INDEX(data!L:L,match(Caseslist!B70,data!D:D,0)),"INC")="","COMPLETE",F70)</f>
        <v>COMPLETE</v>
      </c>
      <c r="H70" s="9" t="str">
        <f t="array" ref="H70">IFERROR(INDEX(dataICM!F:F,match(Caseslist!B70,dataICM!D:D,0)), "INC")</f>
        <v>INC</v>
      </c>
      <c r="I70" s="10">
        <f t="shared" si="2"/>
        <v>729375</v>
      </c>
      <c r="J70" s="9" t="str">
        <f t="array" ref="J70">IF(
  AND(
    IFERROR(MATCH(B70, data!D:D, 0), 0) &gt; 0,
    IFERROR(INDEX(data!N:N, MATCH(B70, data!D:D, 0)) = 1, FALSE)
  ),
  INDEX(data!C:C, MATCH(B70, data!D:D, 0)),
  "INC"
)</f>
        <v>2025-09-16T10:44:13.713+08</v>
      </c>
      <c r="K70" s="9" t="str">
        <f t="array" ref="K70">IFERROR(INDEX(dataICM!C:C,match(Caseslist!B70,dataICM!D:D,0)), "INC")</f>
        <v>INC</v>
      </c>
      <c r="L70" s="10" t="str">
        <f t="array" ref="L70">IF(AND(G70="COMPLETE", OR(K70="INC", ISBLANK(INDEX(data!O:O, ROW())))), J70, K70)</f>
        <v>2025-09-16T10:44:13.713+08</v>
      </c>
      <c r="M70" s="2">
        <v>45916.0</v>
      </c>
      <c r="N70" s="2">
        <f t="array" ref="N70">IF(M70&lt;&gt;"INC", INDEX(data!M:M, MATCH(B70, data!D:D, 0)), "")</f>
        <v>0</v>
      </c>
      <c r="O70" s="2">
        <f t="shared" si="3"/>
        <v>0</v>
      </c>
    </row>
    <row r="71">
      <c r="A71" s="2" t="str">
        <f t="shared" si="1"/>
        <v>H004001</v>
      </c>
      <c r="B71" s="1" t="s">
        <v>6613</v>
      </c>
      <c r="C71" s="9" t="str">
        <f t="array" ref="C71">IF(
  AND(
    IFERROR(MATCH(Caseslist!B71, data!D:D, 0), 0) &gt; 0,
    IFERROR(INDEX(data!N:N, MATCH(Caseslist!B71, data!D:D, 0)) = 1, FALSE)
  ),
  "COMPLETE",
  "INC"
)</f>
        <v>COMPLETE</v>
      </c>
      <c r="D71" s="9">
        <f t="array" ref="D71">IFERROR(INDEX(data!$G:$G,match(Caseslist!B71,data!$D:$D,0)), "INC")</f>
        <v>859767</v>
      </c>
      <c r="E71" s="9" t="str">
        <f t="array" ref="E71">IFERROR(INDEX(data!H:H,match(Caseslist!B71,data!D:D,0)), "INC")</f>
        <v>Ramie De Pedro Jr._2</v>
      </c>
      <c r="F71" s="10" t="str">
        <f t="array" ref="F71">IF(
    OR(
      IFNA(INDEX(data!M:M, MATCH(Caseslist!B71, data!D:D, 0)), "") = "",
      IFNA(INDEX(data!M:M, MATCH(Caseslist!B71, data!D:D, 0)), 0) = 0
    ),
    "COMPLETE",
    IF(
      IFNA(INDEX(dataICM!D:D, MATCH(Caseslist!B71, dataICM!D:D, 0)), "INC") = "INC",
      IFNA(INDEX(dataICM!D:D, MATCH(Caseslist!B71, dataICM!D:D, 0)), "INC"),
      "COMPLETE"
    )
  )</f>
        <v>COMPLETE</v>
      </c>
      <c r="G71" s="10" t="str">
        <f t="array" ref="G71">IF(IFERROR(INDEX(data!L:L,match(Caseslist!B71,data!D:D,0)),"INC")="","COMPLETE",F71)</f>
        <v>COMPLETE</v>
      </c>
      <c r="H71" s="9" t="str">
        <f t="array" ref="H71">IFERROR(INDEX(dataICM!F:F,match(Caseslist!B71,dataICM!D:D,0)), "INC")</f>
        <v>INC</v>
      </c>
      <c r="I71" s="10">
        <f t="shared" si="2"/>
        <v>859767</v>
      </c>
      <c r="J71" s="9" t="str">
        <f t="array" ref="J71">IF(
  AND(
    IFERROR(MATCH(B71, data!D:D, 0), 0) &gt; 0,
    IFERROR(INDEX(data!N:N, MATCH(B71, data!D:D, 0)) = 1, FALSE)
  ),
  INDEX(data!C:C, MATCH(B71, data!D:D, 0)),
  "INC"
)</f>
        <v>2025-09-16T11:00:30.671+08</v>
      </c>
      <c r="K71" s="9" t="str">
        <f t="array" ref="K71">IFERROR(INDEX(dataICM!C:C,match(Caseslist!B71,dataICM!D:D,0)), "INC")</f>
        <v>INC</v>
      </c>
      <c r="L71" s="10" t="str">
        <f t="array" ref="L71">IF(AND(G71="COMPLETE", OR(K71="INC", ISBLANK(INDEX(data!O:O, ROW())))), J71, K71)</f>
        <v>2025-09-16T11:00:30.671+08</v>
      </c>
      <c r="M71" s="2">
        <v>45916.0</v>
      </c>
      <c r="N71" s="2">
        <f t="array" ref="N71">IF(M71&lt;&gt;"INC", INDEX(data!M:M, MATCH(B71, data!D:D, 0)), "")</f>
        <v>0</v>
      </c>
      <c r="O71" s="2">
        <f t="shared" si="3"/>
        <v>0</v>
      </c>
    </row>
    <row r="72">
      <c r="A72" s="2" t="str">
        <f t="shared" si="1"/>
        <v>H004001</v>
      </c>
      <c r="B72" s="1" t="s">
        <v>6853</v>
      </c>
      <c r="C72" s="9" t="str">
        <f t="array" ref="C72">IF(
  AND(
    IFERROR(MATCH(Caseslist!B72, data!D:D, 0), 0) &gt; 0,
    IFERROR(INDEX(data!N:N, MATCH(Caseslist!B72, data!D:D, 0)) = 1, FALSE)
  ),
  "COMPLETE",
  "INC"
)</f>
        <v>COMPLETE</v>
      </c>
      <c r="D72" s="9" t="str">
        <f t="array" ref="D72">IFERROR(INDEX(data!$G:$G,match(Caseslist!B72,data!$D:$D,0)), "INC")</f>
        <v>S2671943</v>
      </c>
      <c r="E72" s="9" t="str">
        <f t="array" ref="E72">IFERROR(INDEX(data!H:H,match(Caseslist!B72,data!D:D,0)), "INC")</f>
        <v>Marvin Mondia</v>
      </c>
      <c r="F72" s="10" t="str">
        <f t="array" ref="F72">IF(
    OR(
      IFNA(INDEX(data!M:M, MATCH(Caseslist!B72, data!D:D, 0)), "") = "",
      IFNA(INDEX(data!M:M, MATCH(Caseslist!B72, data!D:D, 0)), 0) = 0
    ),
    "COMPLETE",
    IF(
      IFNA(INDEX(dataICM!D:D, MATCH(Caseslist!B72, dataICM!D:D, 0)), "INC") = "INC",
      IFNA(INDEX(dataICM!D:D, MATCH(Caseslist!B72, dataICM!D:D, 0)), "INC"),
      "COMPLETE"
    )
  )</f>
        <v>COMPLETE</v>
      </c>
      <c r="G72" s="10" t="str">
        <f t="array" ref="G72">IF(IFERROR(INDEX(data!L:L,match(Caseslist!B72,data!D:D,0)),"INC")="","COMPLETE",F72)</f>
        <v>COMPLETE</v>
      </c>
      <c r="H72" s="9" t="str">
        <f t="array" ref="H72">IFERROR(INDEX(dataICM!F:F,match(Caseslist!B72,dataICM!D:D,0)), "INC")</f>
        <v>INC</v>
      </c>
      <c r="I72" s="10" t="str">
        <f t="shared" si="2"/>
        <v>S2671943</v>
      </c>
      <c r="J72" s="9" t="str">
        <f t="array" ref="J72">IF(
  AND(
    IFERROR(MATCH(B72, data!D:D, 0), 0) &gt; 0,
    IFERROR(INDEX(data!N:N, MATCH(B72, data!D:D, 0)) = 1, FALSE)
  ),
  INDEX(data!C:C, MATCH(B72, data!D:D, 0)),
  "INC"
)</f>
        <v>2025-09-16T10:44:27.802+08</v>
      </c>
      <c r="K72" s="9" t="str">
        <f t="array" ref="K72">IFERROR(INDEX(dataICM!C:C,match(Caseslist!B72,dataICM!D:D,0)), "INC")</f>
        <v>INC</v>
      </c>
      <c r="L72" s="10" t="str">
        <f t="array" ref="L72">IF(AND(G72="COMPLETE", OR(K72="INC", ISBLANK(INDEX(data!O:O, ROW())))), J72, K72)</f>
        <v>2025-09-16T10:44:27.802+08</v>
      </c>
      <c r="M72" s="2">
        <v>45916.0</v>
      </c>
      <c r="N72" s="2">
        <f t="array" ref="N72">IF(M72&lt;&gt;"INC", INDEX(data!M:M, MATCH(B72, data!D:D, 0)), "")</f>
        <v>0</v>
      </c>
      <c r="O72" s="2">
        <f t="shared" si="3"/>
        <v>0</v>
      </c>
    </row>
    <row r="73">
      <c r="A73" s="2" t="str">
        <f t="shared" si="1"/>
        <v>H004001</v>
      </c>
      <c r="B73" s="1" t="s">
        <v>6878</v>
      </c>
      <c r="C73" s="9" t="str">
        <f t="array" ref="C73">IF(
  AND(
    IFERROR(MATCH(Caseslist!B73, data!D:D, 0), 0) &gt; 0,
    IFERROR(INDEX(data!N:N, MATCH(Caseslist!B73, data!D:D, 0)) = 1, FALSE)
  ),
  "COMPLETE",
  "INC"
)</f>
        <v>COMPLETE</v>
      </c>
      <c r="D73" s="9">
        <f t="array" ref="D73">IFERROR(INDEX(data!$G:$G,match(Caseslist!B73,data!$D:$D,0)), "INC")</f>
        <v>729375</v>
      </c>
      <c r="E73" s="9" t="str">
        <f t="array" ref="E73">IFERROR(INDEX(data!H:H,match(Caseslist!B73,data!D:D,0)), "INC")</f>
        <v>Janet Serafica_2</v>
      </c>
      <c r="F73" s="10" t="str">
        <f t="array" ref="F73">IF(
    OR(
      IFNA(INDEX(data!M:M, MATCH(Caseslist!B73, data!D:D, 0)), "") = "",
      IFNA(INDEX(data!M:M, MATCH(Caseslist!B73, data!D:D, 0)), 0) = 0
    ),
    "COMPLETE",
    IF(
      IFNA(INDEX(dataICM!D:D, MATCH(Caseslist!B73, dataICM!D:D, 0)), "INC") = "INC",
      IFNA(INDEX(dataICM!D:D, MATCH(Caseslist!B73, dataICM!D:D, 0)), "INC"),
      "COMPLETE"
    )
  )</f>
        <v>COMPLETE</v>
      </c>
      <c r="G73" s="10" t="str">
        <f t="array" ref="G73">IF(IFERROR(INDEX(data!L:L,match(Caseslist!B73,data!D:D,0)),"INC")="","COMPLETE",F73)</f>
        <v>COMPLETE</v>
      </c>
      <c r="H73" s="9" t="str">
        <f t="array" ref="H73">IFERROR(INDEX(dataICM!F:F,match(Caseslist!B73,dataICM!D:D,0)), "INC")</f>
        <v>INC</v>
      </c>
      <c r="I73" s="10">
        <f t="shared" si="2"/>
        <v>729375</v>
      </c>
      <c r="J73" s="9" t="str">
        <f t="array" ref="J73">IF(
  AND(
    IFERROR(MATCH(B73, data!D:D, 0), 0) &gt; 0,
    IFERROR(INDEX(data!N:N, MATCH(B73, data!D:D, 0)) = 1, FALSE)
  ),
  INDEX(data!C:C, MATCH(B73, data!D:D, 0)),
  "INC"
)</f>
        <v>2025-09-16T12:03:02.297+08</v>
      </c>
      <c r="K73" s="9" t="str">
        <f t="array" ref="K73">IFERROR(INDEX(dataICM!C:C,match(Caseslist!B73,dataICM!D:D,0)), "INC")</f>
        <v>INC</v>
      </c>
      <c r="L73" s="10" t="str">
        <f t="array" ref="L73">IF(AND(G73="COMPLETE", OR(K73="INC", ISBLANK(INDEX(data!O:O, ROW())))), J73, K73)</f>
        <v>2025-09-16T12:03:02.297+08</v>
      </c>
      <c r="M73" s="2">
        <v>45916.0</v>
      </c>
      <c r="N73" s="2">
        <f t="array" ref="N73">IF(M73&lt;&gt;"INC", INDEX(data!M:M, MATCH(B73, data!D:D, 0)), "")</f>
        <v>0</v>
      </c>
      <c r="O73" s="2">
        <f t="shared" si="3"/>
        <v>0</v>
      </c>
    </row>
    <row r="74">
      <c r="A74" s="2" t="str">
        <f t="shared" si="1"/>
        <v>H004001</v>
      </c>
      <c r="B74" s="1" t="s">
        <v>6623</v>
      </c>
      <c r="C74" s="9" t="str">
        <f t="array" ref="C74">IF(
  AND(
    IFERROR(MATCH(Caseslist!B74, data!D:D, 0), 0) &gt; 0,
    IFERROR(INDEX(data!N:N, MATCH(Caseslist!B74, data!D:D, 0)) = 1, FALSE)
  ),
  "COMPLETE",
  "INC"
)</f>
        <v>COMPLETE</v>
      </c>
      <c r="D74" s="9">
        <f t="array" ref="D74">IFERROR(INDEX(data!$G:$G,match(Caseslist!B74,data!$D:$D,0)), "INC")</f>
        <v>859767</v>
      </c>
      <c r="E74" s="9" t="str">
        <f t="array" ref="E74">IFERROR(INDEX(data!H:H,match(Caseslist!B74,data!D:D,0)), "INC")</f>
        <v>Ramie De Pedro Jr._2</v>
      </c>
      <c r="F74" s="10" t="str">
        <f t="array" ref="F74">IF(
    OR(
      IFNA(INDEX(data!M:M, MATCH(Caseslist!B74, data!D:D, 0)), "") = "",
      IFNA(INDEX(data!M:M, MATCH(Caseslist!B74, data!D:D, 0)), 0) = 0
    ),
    "COMPLETE",
    IF(
      IFNA(INDEX(dataICM!D:D, MATCH(Caseslist!B74, dataICM!D:D, 0)), "INC") = "INC",
      IFNA(INDEX(dataICM!D:D, MATCH(Caseslist!B74, dataICM!D:D, 0)), "INC"),
      "COMPLETE"
    )
  )</f>
        <v>COMPLETE</v>
      </c>
      <c r="G74" s="10" t="str">
        <f t="array" ref="G74">IF(IFERROR(INDEX(data!L:L,match(Caseslist!B74,data!D:D,0)),"INC")="","COMPLETE",F74)</f>
        <v>COMPLETE</v>
      </c>
      <c r="H74" s="9" t="str">
        <f t="array" ref="H74">IFERROR(INDEX(dataICM!F:F,match(Caseslist!B74,dataICM!D:D,0)), "INC")</f>
        <v>INC</v>
      </c>
      <c r="I74" s="10">
        <f t="shared" si="2"/>
        <v>859767</v>
      </c>
      <c r="J74" s="9" t="str">
        <f t="array" ref="J74">IF(
  AND(
    IFERROR(MATCH(B74, data!D:D, 0), 0) &gt; 0,
    IFERROR(INDEX(data!N:N, MATCH(B74, data!D:D, 0)) = 1, FALSE)
  ),
  INDEX(data!C:C, MATCH(B74, data!D:D, 0)),
  "INC"
)</f>
        <v>2025-09-16T13:58:50.132+08</v>
      </c>
      <c r="K74" s="9" t="str">
        <f t="array" ref="K74">IFERROR(INDEX(dataICM!C:C,match(Caseslist!B74,dataICM!D:D,0)), "INC")</f>
        <v>INC</v>
      </c>
      <c r="L74" s="10" t="str">
        <f t="array" ref="L74">IF(AND(G74="COMPLETE", OR(K74="INC", ISBLANK(INDEX(data!O:O, ROW())))), J74, K74)</f>
        <v>2025-09-16T13:58:50.132+08</v>
      </c>
      <c r="M74" s="2">
        <v>45916.0</v>
      </c>
      <c r="N74" s="2">
        <f t="array" ref="N74">IF(M74&lt;&gt;"INC", INDEX(data!M:M, MATCH(B74, data!D:D, 0)), "")</f>
        <v>0</v>
      </c>
      <c r="O74" s="2">
        <f t="shared" si="3"/>
        <v>0</v>
      </c>
    </row>
    <row r="75">
      <c r="A75" s="2" t="str">
        <f t="shared" si="1"/>
        <v>H004001</v>
      </c>
      <c r="B75" s="1" t="s">
        <v>6863</v>
      </c>
      <c r="C75" s="9" t="str">
        <f t="array" ref="C75">IF(
  AND(
    IFERROR(MATCH(Caseslist!B75, data!D:D, 0), 0) &gt; 0,
    IFERROR(INDEX(data!N:N, MATCH(Caseslist!B75, data!D:D, 0)) = 1, FALSE)
  ),
  "COMPLETE",
  "INC"
)</f>
        <v>COMPLETE</v>
      </c>
      <c r="D75" s="9" t="str">
        <f t="array" ref="D75">IFERROR(INDEX(data!$G:$G,match(Caseslist!B75,data!$D:$D,0)), "INC")</f>
        <v>S2671943</v>
      </c>
      <c r="E75" s="9" t="str">
        <f t="array" ref="E75">IFERROR(INDEX(data!H:H,match(Caseslist!B75,data!D:D,0)), "INC")</f>
        <v>Marvin Mondia</v>
      </c>
      <c r="F75" s="10" t="str">
        <f t="array" ref="F75">IF(
    OR(
      IFNA(INDEX(data!M:M, MATCH(Caseslist!B75, data!D:D, 0)), "") = "",
      IFNA(INDEX(data!M:M, MATCH(Caseslist!B75, data!D:D, 0)), 0) = 0
    ),
    "COMPLETE",
    IF(
      IFNA(INDEX(dataICM!D:D, MATCH(Caseslist!B75, dataICM!D:D, 0)), "INC") = "INC",
      IFNA(INDEX(dataICM!D:D, MATCH(Caseslist!B75, dataICM!D:D, 0)), "INC"),
      "COMPLETE"
    )
  )</f>
        <v>COMPLETE</v>
      </c>
      <c r="G75" s="10" t="str">
        <f t="array" ref="G75">IF(IFERROR(INDEX(data!L:L,match(Caseslist!B75,data!D:D,0)),"INC")="","COMPLETE",F75)</f>
        <v>COMPLETE</v>
      </c>
      <c r="H75" s="9" t="str">
        <f t="array" ref="H75">IFERROR(INDEX(dataICM!F:F,match(Caseslist!B75,dataICM!D:D,0)), "INC")</f>
        <v>INC</v>
      </c>
      <c r="I75" s="10" t="str">
        <f t="shared" si="2"/>
        <v>S2671943</v>
      </c>
      <c r="J75" s="9" t="str">
        <f t="array" ref="J75">IF(
  AND(
    IFERROR(MATCH(B75, data!D:D, 0), 0) &gt; 0,
    IFERROR(INDEX(data!N:N, MATCH(B75, data!D:D, 0)) = 1, FALSE)
  ),
  INDEX(data!C:C, MATCH(B75, data!D:D, 0)),
  "INC"
)</f>
        <v>2025-09-16T13:00:35.815+08</v>
      </c>
      <c r="K75" s="9" t="str">
        <f t="array" ref="K75">IFERROR(INDEX(dataICM!C:C,match(Caseslist!B75,dataICM!D:D,0)), "INC")</f>
        <v>INC</v>
      </c>
      <c r="L75" s="10" t="str">
        <f t="array" ref="L75">IF(AND(G75="COMPLETE", OR(K75="INC", ISBLANK(INDEX(data!O:O, ROW())))), J75, K75)</f>
        <v>2025-09-16T13:00:35.815+08</v>
      </c>
      <c r="M75" s="2">
        <v>45916.0</v>
      </c>
      <c r="N75" s="2">
        <f t="array" ref="N75">IF(M75&lt;&gt;"INC", INDEX(data!M:M, MATCH(B75, data!D:D, 0)), "")</f>
        <v>0</v>
      </c>
      <c r="O75" s="2">
        <f t="shared" si="3"/>
        <v>0</v>
      </c>
    </row>
    <row r="76">
      <c r="A76" s="2" t="str">
        <f t="shared" si="1"/>
        <v>H004001</v>
      </c>
      <c r="B76" s="1" t="s">
        <v>6858</v>
      </c>
      <c r="C76" s="9" t="str">
        <f t="array" ref="C76">IF(
  AND(
    IFERROR(MATCH(Caseslist!B76, data!D:D, 0), 0) &gt; 0,
    IFERROR(INDEX(data!N:N, MATCH(Caseslist!B76, data!D:D, 0)) = 1, FALSE)
  ),
  "COMPLETE",
  "INC"
)</f>
        <v>COMPLETE</v>
      </c>
      <c r="D76" s="9" t="str">
        <f t="array" ref="D76">IFERROR(INDEX(data!$G:$G,match(Caseslist!B76,data!$D:$D,0)), "INC")</f>
        <v>S2671943</v>
      </c>
      <c r="E76" s="9" t="str">
        <f t="array" ref="E76">IFERROR(INDEX(data!H:H,match(Caseslist!B76,data!D:D,0)), "INC")</f>
        <v>Marvin Mondia</v>
      </c>
      <c r="F76" s="10" t="str">
        <f t="array" ref="F76">IF(
    OR(
      IFNA(INDEX(data!M:M, MATCH(Caseslist!B76, data!D:D, 0)), "") = "",
      IFNA(INDEX(data!M:M, MATCH(Caseslist!B76, data!D:D, 0)), 0) = 0
    ),
    "COMPLETE",
    IF(
      IFNA(INDEX(dataICM!D:D, MATCH(Caseslist!B76, dataICM!D:D, 0)), "INC") = "INC",
      IFNA(INDEX(dataICM!D:D, MATCH(Caseslist!B76, dataICM!D:D, 0)), "INC"),
      "COMPLETE"
    )
  )</f>
        <v>COMPLETE</v>
      </c>
      <c r="G76" s="10" t="str">
        <f t="array" ref="G76">IF(IFERROR(INDEX(data!L:L,match(Caseslist!B76,data!D:D,0)),"INC")="","COMPLETE",F76)</f>
        <v>COMPLETE</v>
      </c>
      <c r="H76" s="9" t="str">
        <f t="array" ref="H76">IFERROR(INDEX(dataICM!F:F,match(Caseslist!B76,dataICM!D:D,0)), "INC")</f>
        <v>INC</v>
      </c>
      <c r="I76" s="10" t="str">
        <f t="shared" si="2"/>
        <v>S2671943</v>
      </c>
      <c r="J76" s="9" t="str">
        <f t="array" ref="J76">IF(
  AND(
    IFERROR(MATCH(B76, data!D:D, 0), 0) &gt; 0,
    IFERROR(INDEX(data!N:N, MATCH(B76, data!D:D, 0)) = 1, FALSE)
  ),
  INDEX(data!C:C, MATCH(B76, data!D:D, 0)),
  "INC"
)</f>
        <v>2025-09-16T12:01:09.158+08</v>
      </c>
      <c r="K76" s="9" t="str">
        <f t="array" ref="K76">IFERROR(INDEX(dataICM!C:C,match(Caseslist!B76,dataICM!D:D,0)), "INC")</f>
        <v>INC</v>
      </c>
      <c r="L76" s="10" t="str">
        <f t="array" ref="L76">IF(AND(G76="COMPLETE", OR(K76="INC", ISBLANK(INDEX(data!O:O, ROW())))), J76, K76)</f>
        <v>2025-09-16T12:01:09.158+08</v>
      </c>
      <c r="M76" s="2">
        <v>45916.0</v>
      </c>
      <c r="N76" s="2">
        <f t="array" ref="N76">IF(M76&lt;&gt;"INC", INDEX(data!M:M, MATCH(B76, data!D:D, 0)), "")</f>
        <v>0</v>
      </c>
      <c r="O76" s="2">
        <f t="shared" si="3"/>
        <v>0</v>
      </c>
    </row>
    <row r="77">
      <c r="A77" s="2" t="str">
        <f t="shared" si="1"/>
        <v>H004001</v>
      </c>
      <c r="B77" s="1" t="s">
        <v>6883</v>
      </c>
      <c r="C77" s="9" t="str">
        <f t="array" ref="C77">IF(
  AND(
    IFERROR(MATCH(Caseslist!B77, data!D:D, 0), 0) &gt; 0,
    IFERROR(INDEX(data!N:N, MATCH(Caseslist!B77, data!D:D, 0)) = 1, FALSE)
  ),
  "COMPLETE",
  "INC"
)</f>
        <v>COMPLETE</v>
      </c>
      <c r="D77" s="9">
        <f t="array" ref="D77">IFERROR(INDEX(data!$G:$G,match(Caseslist!B77,data!$D:$D,0)), "INC")</f>
        <v>729375</v>
      </c>
      <c r="E77" s="9" t="str">
        <f t="array" ref="E77">IFERROR(INDEX(data!H:H,match(Caseslist!B77,data!D:D,0)), "INC")</f>
        <v>Janet Serafica_2</v>
      </c>
      <c r="F77" s="10" t="str">
        <f t="array" ref="F77">IF(
    OR(
      IFNA(INDEX(data!M:M, MATCH(Caseslist!B77, data!D:D, 0)), "") = "",
      IFNA(INDEX(data!M:M, MATCH(Caseslist!B77, data!D:D, 0)), 0) = 0
    ),
    "COMPLETE",
    IF(
      IFNA(INDEX(dataICM!D:D, MATCH(Caseslist!B77, dataICM!D:D, 0)), "INC") = "INC",
      IFNA(INDEX(dataICM!D:D, MATCH(Caseslist!B77, dataICM!D:D, 0)), "INC"),
      "COMPLETE"
    )
  )</f>
        <v>COMPLETE</v>
      </c>
      <c r="G77" s="10" t="str">
        <f t="array" ref="G77">IF(IFERROR(INDEX(data!L:L,match(Caseslist!B77,data!D:D,0)),"INC")="","COMPLETE",F77)</f>
        <v>COMPLETE</v>
      </c>
      <c r="H77" s="9" t="str">
        <f t="array" ref="H77">IFERROR(INDEX(dataICM!F:F,match(Caseslist!B77,dataICM!D:D,0)), "INC")</f>
        <v>INC</v>
      </c>
      <c r="I77" s="10">
        <f t="shared" si="2"/>
        <v>729375</v>
      </c>
      <c r="J77" s="9" t="str">
        <f t="array" ref="J77">IF(
  AND(
    IFERROR(MATCH(B77, data!D:D, 0), 0) &gt; 0,
    IFERROR(INDEX(data!N:N, MATCH(B77, data!D:D, 0)) = 1, FALSE)
  ),
  INDEX(data!C:C, MATCH(B77, data!D:D, 0)),
  "INC"
)</f>
        <v>2025-09-16T14:48:30.386+08</v>
      </c>
      <c r="K77" s="9" t="str">
        <f t="array" ref="K77">IFERROR(INDEX(dataICM!C:C,match(Caseslist!B77,dataICM!D:D,0)), "INC")</f>
        <v>INC</v>
      </c>
      <c r="L77" s="10" t="str">
        <f t="array" ref="L77">IF(AND(G77="COMPLETE", OR(K77="INC", ISBLANK(INDEX(data!O:O, ROW())))), J77, K77)</f>
        <v>2025-09-16T14:48:30.386+08</v>
      </c>
      <c r="M77" s="2">
        <v>45916.0</v>
      </c>
      <c r="N77" s="2">
        <f t="array" ref="N77">IF(M77&lt;&gt;"INC", INDEX(data!M:M, MATCH(B77, data!D:D, 0)), "")</f>
        <v>0</v>
      </c>
      <c r="O77" s="2">
        <f t="shared" si="3"/>
        <v>0</v>
      </c>
    </row>
    <row r="78">
      <c r="A78" s="2" t="str">
        <f t="shared" si="1"/>
        <v>H004001</v>
      </c>
      <c r="B78" s="1" t="s">
        <v>6628</v>
      </c>
      <c r="C78" s="9" t="str">
        <f t="array" ref="C78">IF(
  AND(
    IFERROR(MATCH(Caseslist!B78, data!D:D, 0), 0) &gt; 0,
    IFERROR(INDEX(data!N:N, MATCH(Caseslist!B78, data!D:D, 0)) = 1, FALSE)
  ),
  "COMPLETE",
  "INC"
)</f>
        <v>COMPLETE</v>
      </c>
      <c r="D78" s="9">
        <f t="array" ref="D78">IFERROR(INDEX(data!$G:$G,match(Caseslist!B78,data!$D:$D,0)), "INC")</f>
        <v>859767</v>
      </c>
      <c r="E78" s="9" t="str">
        <f t="array" ref="E78">IFERROR(INDEX(data!H:H,match(Caseslist!B78,data!D:D,0)), "INC")</f>
        <v>Ramie De Pedro Jr._2</v>
      </c>
      <c r="F78" s="10" t="str">
        <f t="array" ref="F78">IF(
    OR(
      IFNA(INDEX(data!M:M, MATCH(Caseslist!B78, data!D:D, 0)), "") = "",
      IFNA(INDEX(data!M:M, MATCH(Caseslist!B78, data!D:D, 0)), 0) = 0
    ),
    "COMPLETE",
    IF(
      IFNA(INDEX(dataICM!D:D, MATCH(Caseslist!B78, dataICM!D:D, 0)), "INC") = "INC",
      IFNA(INDEX(dataICM!D:D, MATCH(Caseslist!B78, dataICM!D:D, 0)), "INC"),
      "COMPLETE"
    )
  )</f>
        <v>COMPLETE</v>
      </c>
      <c r="G78" s="10" t="str">
        <f t="array" ref="G78">IF(IFERROR(INDEX(data!L:L,match(Caseslist!B78,data!D:D,0)),"INC")="","COMPLETE",F78)</f>
        <v>COMPLETE</v>
      </c>
      <c r="H78" s="9" t="str">
        <f t="array" ref="H78">IFERROR(INDEX(dataICM!F:F,match(Caseslist!B78,dataICM!D:D,0)), "INC")</f>
        <v>INC</v>
      </c>
      <c r="I78" s="10">
        <f t="shared" si="2"/>
        <v>859767</v>
      </c>
      <c r="J78" s="9" t="str">
        <f t="array" ref="J78">IF(
  AND(
    IFERROR(MATCH(B78, data!D:D, 0), 0) &gt; 0,
    IFERROR(INDEX(data!N:N, MATCH(B78, data!D:D, 0)) = 1, FALSE)
  ),
  INDEX(data!C:C, MATCH(B78, data!D:D, 0)),
  "INC"
)</f>
        <v>2025-09-16T15:05:10.805+08</v>
      </c>
      <c r="K78" s="9" t="str">
        <f t="array" ref="K78">IFERROR(INDEX(dataICM!C:C,match(Caseslist!B78,dataICM!D:D,0)), "INC")</f>
        <v>INC</v>
      </c>
      <c r="L78" s="10" t="str">
        <f t="array" ref="L78">IF(AND(G78="COMPLETE", OR(K78="INC", ISBLANK(INDEX(data!O:O, ROW())))), J78, K78)</f>
        <v>2025-09-16T15:05:10.805+08</v>
      </c>
      <c r="M78" s="2">
        <v>45916.0</v>
      </c>
      <c r="N78" s="2">
        <f t="array" ref="N78">IF(M78&lt;&gt;"INC", INDEX(data!M:M, MATCH(B78, data!D:D, 0)), "")</f>
        <v>0</v>
      </c>
      <c r="O78" s="2">
        <f t="shared" si="3"/>
        <v>0</v>
      </c>
    </row>
    <row r="79">
      <c r="A79" s="2" t="str">
        <f t="shared" si="1"/>
        <v>H004001</v>
      </c>
      <c r="B79" s="1" t="s">
        <v>6833</v>
      </c>
      <c r="C79" s="9" t="str">
        <f t="array" ref="C79">IF(
  AND(
    IFERROR(MATCH(Caseslist!B79, data!D:D, 0), 0) &gt; 0,
    IFERROR(INDEX(data!N:N, MATCH(Caseslist!B79, data!D:D, 0)) = 1, FALSE)
  ),
  "COMPLETE",
  "INC"
)</f>
        <v>COMPLETE</v>
      </c>
      <c r="D79" s="9">
        <f t="array" ref="D79">IFERROR(INDEX(data!$G:$G,match(Caseslist!B79,data!$D:$D,0)), "INC")</f>
        <v>859767</v>
      </c>
      <c r="E79" s="9" t="str">
        <f t="array" ref="E79">IFERROR(INDEX(data!H:H,match(Caseslist!B79,data!D:D,0)), "INC")</f>
        <v>Ramie De Pedro Jr._2</v>
      </c>
      <c r="F79" s="10" t="str">
        <f t="array" ref="F79">IF(
    OR(
      IFNA(INDEX(data!M:M, MATCH(Caseslist!B79, data!D:D, 0)), "") = "",
      IFNA(INDEX(data!M:M, MATCH(Caseslist!B79, data!D:D, 0)), 0) = 0
    ),
    "COMPLETE",
    IF(
      IFNA(INDEX(dataICM!D:D, MATCH(Caseslist!B79, dataICM!D:D, 0)), "INC") = "INC",
      IFNA(INDEX(dataICM!D:D, MATCH(Caseslist!B79, dataICM!D:D, 0)), "INC"),
      "COMPLETE"
    )
  )</f>
        <v>COMPLETE</v>
      </c>
      <c r="G79" s="10" t="str">
        <f t="array" ref="G79">IF(IFERROR(INDEX(data!L:L,match(Caseslist!B79,data!D:D,0)),"INC")="","COMPLETE",F79)</f>
        <v>COMPLETE</v>
      </c>
      <c r="H79" s="9" t="str">
        <f t="array" ref="H79">IFERROR(INDEX(dataICM!F:F,match(Caseslist!B79,dataICM!D:D,0)), "INC")</f>
        <v>INC</v>
      </c>
      <c r="I79" s="10">
        <f t="shared" si="2"/>
        <v>859767</v>
      </c>
      <c r="J79" s="9" t="str">
        <f t="array" ref="J79">IF(
  AND(
    IFERROR(MATCH(B79, data!D:D, 0), 0) &gt; 0,
    IFERROR(INDEX(data!N:N, MATCH(B79, data!D:D, 0)) = 1, FALSE)
  ),
  INDEX(data!C:C, MATCH(B79, data!D:D, 0)),
  "INC"
)</f>
        <v>2025-09-29T11:47:56.491+08</v>
      </c>
      <c r="K79" s="9" t="str">
        <f t="array" ref="K79">IFERROR(INDEX(dataICM!C:C,match(Caseslist!B79,dataICM!D:D,0)), "INC")</f>
        <v>INC</v>
      </c>
      <c r="L79" s="10" t="str">
        <f t="array" ref="L79">IF(AND(G79="COMPLETE", OR(K79="INC", ISBLANK(INDEX(data!O:O, ROW())))), J79, K79)</f>
        <v>2025-09-29T11:47:56.491+08</v>
      </c>
      <c r="M79" s="2">
        <v>45929.0</v>
      </c>
      <c r="N79" s="2">
        <f t="array" ref="N79">IF(M79&lt;&gt;"INC", INDEX(data!M:M, MATCH(B79, data!D:D, 0)), "")</f>
        <v>0</v>
      </c>
      <c r="O79" s="2">
        <f t="shared" si="3"/>
        <v>0</v>
      </c>
    </row>
    <row r="80">
      <c r="A80" s="2" t="str">
        <f t="shared" si="1"/>
        <v>H004001</v>
      </c>
      <c r="B80" s="1" t="s">
        <v>8728</v>
      </c>
      <c r="C80" s="9" t="str">
        <f t="array" ref="C80">IF(
  AND(
    IFERROR(MATCH(Caseslist!B80, data!D:D, 0), 0) &gt; 0,
    IFERROR(INDEX(data!N:N, MATCH(Caseslist!B80, data!D:D, 0)) = 1, FALSE)
  ),
  "COMPLETE",
  "INC"
)</f>
        <v>COMPLETE</v>
      </c>
      <c r="D80" s="9">
        <f t="array" ref="D80">IFERROR(INDEX(data!$G:$G,match(Caseslist!B80,data!$D:$D,0)), "INC")</f>
        <v>859767</v>
      </c>
      <c r="E80" s="9" t="str">
        <f t="array" ref="E80">IFERROR(INDEX(data!H:H,match(Caseslist!B80,data!D:D,0)), "INC")</f>
        <v>Ramie De Pedro Jr._2</v>
      </c>
      <c r="F80" s="10" t="str">
        <f t="array" ref="F80">IF(
    OR(
      IFNA(INDEX(data!M:M, MATCH(Caseslist!B80, data!D:D, 0)), "") = "",
      IFNA(INDEX(data!M:M, MATCH(Caseslist!B80, data!D:D, 0)), 0) = 0
    ),
    "COMPLETE",
    IF(
      IFNA(INDEX(dataICM!D:D, MATCH(Caseslist!B80, dataICM!D:D, 0)), "INC") = "INC",
      IFNA(INDEX(dataICM!D:D, MATCH(Caseslist!B80, dataICM!D:D, 0)), "INC"),
      "COMPLETE"
    )
  )</f>
        <v>COMPLETE</v>
      </c>
      <c r="G80" s="10" t="str">
        <f t="array" ref="G80">IF(IFERROR(INDEX(data!L:L,match(Caseslist!B80,data!D:D,0)),"INC")="","COMPLETE",F80)</f>
        <v>COMPLETE</v>
      </c>
      <c r="H80" s="9" t="str">
        <f t="array" ref="H80">IFERROR(INDEX(dataICM!F:F,match(Caseslist!B80,dataICM!D:D,0)), "INC")</f>
        <v>INC</v>
      </c>
      <c r="I80" s="10">
        <f t="shared" si="2"/>
        <v>859767</v>
      </c>
      <c r="J80" s="9" t="str">
        <f t="array" ref="J80">IF(
  AND(
    IFERROR(MATCH(B80, data!D:D, 0), 0) &gt; 0,
    IFERROR(INDEX(data!N:N, MATCH(B80, data!D:D, 0)) = 1, FALSE)
  ),
  INDEX(data!C:C, MATCH(B80, data!D:D, 0)),
  "INC"
)</f>
        <v>2025-09-29T11:45:12.635+08</v>
      </c>
      <c r="K80" s="9" t="str">
        <f t="array" ref="K80">IFERROR(INDEX(dataICM!C:C,match(Caseslist!B80,dataICM!D:D,0)), "INC")</f>
        <v>INC</v>
      </c>
      <c r="L80" s="10" t="str">
        <f t="array" ref="L80">IF(AND(G80="COMPLETE", OR(K80="INC", ISBLANK(INDEX(data!O:O, ROW())))), J80, K80)</f>
        <v>2025-09-29T11:45:12.635+08</v>
      </c>
      <c r="M80" s="2">
        <v>45929.0</v>
      </c>
      <c r="N80" s="2">
        <f t="array" ref="N80">IF(M80&lt;&gt;"INC", INDEX(data!M:M, MATCH(B80, data!D:D, 0)), "")</f>
        <v>0</v>
      </c>
      <c r="O80" s="2">
        <f t="shared" si="3"/>
        <v>0</v>
      </c>
    </row>
    <row r="81">
      <c r="A81" s="2" t="str">
        <f t="shared" si="1"/>
        <v>H004001</v>
      </c>
      <c r="B81" s="1" t="s">
        <v>6823</v>
      </c>
      <c r="C81" s="9" t="str">
        <f t="array" ref="C81">IF(
  AND(
    IFERROR(MATCH(Caseslist!B81, data!D:D, 0), 0) &gt; 0,
    IFERROR(INDEX(data!N:N, MATCH(Caseslist!B81, data!D:D, 0)) = 1, FALSE)
  ),
  "COMPLETE",
  "INC"
)</f>
        <v>COMPLETE</v>
      </c>
      <c r="D81" s="9">
        <f t="array" ref="D81">IFERROR(INDEX(data!$G:$G,match(Caseslist!B81,data!$D:$D,0)), "INC")</f>
        <v>729375</v>
      </c>
      <c r="E81" s="9" t="str">
        <f t="array" ref="E81">IFERROR(INDEX(data!H:H,match(Caseslist!B81,data!D:D,0)), "INC")</f>
        <v>Janet Serafica_2</v>
      </c>
      <c r="F81" s="10" t="str">
        <f t="array" ref="F81">IF(
    OR(
      IFNA(INDEX(data!M:M, MATCH(Caseslist!B81, data!D:D, 0)), "") = "",
      IFNA(INDEX(data!M:M, MATCH(Caseslist!B81, data!D:D, 0)), 0) = 0
    ),
    "COMPLETE",
    IF(
      IFNA(INDEX(dataICM!D:D, MATCH(Caseslist!B81, dataICM!D:D, 0)), "INC") = "INC",
      IFNA(INDEX(dataICM!D:D, MATCH(Caseslist!B81, dataICM!D:D, 0)), "INC"),
      "COMPLETE"
    )
  )</f>
        <v>COMPLETE</v>
      </c>
      <c r="G81" s="10" t="str">
        <f t="array" ref="G81">IF(IFERROR(INDEX(data!L:L,match(Caseslist!B81,data!D:D,0)),"INC")="","COMPLETE",F81)</f>
        <v>COMPLETE</v>
      </c>
      <c r="H81" s="9" t="str">
        <f t="array" ref="H81">IFERROR(INDEX(dataICM!F:F,match(Caseslist!B81,dataICM!D:D,0)), "INC")</f>
        <v>INC</v>
      </c>
      <c r="I81" s="10">
        <f t="shared" si="2"/>
        <v>729375</v>
      </c>
      <c r="J81" s="9" t="str">
        <f t="array" ref="J81">IF(
  AND(
    IFERROR(MATCH(B81, data!D:D, 0), 0) &gt; 0,
    IFERROR(INDEX(data!N:N, MATCH(B81, data!D:D, 0)) = 1, FALSE)
  ),
  INDEX(data!C:C, MATCH(B81, data!D:D, 0)),
  "INC"
)</f>
        <v>2025-09-16T15:58:20.974+08</v>
      </c>
      <c r="K81" s="9" t="str">
        <f t="array" ref="K81">IFERROR(INDEX(dataICM!C:C,match(Caseslist!B81,dataICM!D:D,0)), "INC")</f>
        <v>INC</v>
      </c>
      <c r="L81" s="10" t="str">
        <f t="array" ref="L81">IF(AND(G81="COMPLETE", OR(K81="INC", ISBLANK(INDEX(data!O:O, ROW())))), J81, K81)</f>
        <v>2025-09-16T15:58:20.974+08</v>
      </c>
      <c r="M81" s="2">
        <v>45916.0</v>
      </c>
      <c r="N81" s="2">
        <f t="array" ref="N81">IF(M81&lt;&gt;"INC", INDEX(data!M:M, MATCH(B81, data!D:D, 0)), "")</f>
        <v>0</v>
      </c>
      <c r="O81" s="2">
        <f t="shared" si="3"/>
        <v>0</v>
      </c>
    </row>
    <row r="82">
      <c r="A82" s="2" t="str">
        <f t="shared" si="1"/>
        <v>H004001</v>
      </c>
      <c r="B82" s="1" t="s">
        <v>6873</v>
      </c>
      <c r="C82" s="9" t="str">
        <f t="array" ref="C82">IF(
  AND(
    IFERROR(MATCH(Caseslist!B82, data!D:D, 0), 0) &gt; 0,
    IFERROR(INDEX(data!N:N, MATCH(Caseslist!B82, data!D:D, 0)) = 1, FALSE)
  ),
  "COMPLETE",
  "INC"
)</f>
        <v>COMPLETE</v>
      </c>
      <c r="D82" s="9" t="str">
        <f t="array" ref="D82">IFERROR(INDEX(data!$G:$G,match(Caseslist!B82,data!$D:$D,0)), "INC")</f>
        <v>S2671943</v>
      </c>
      <c r="E82" s="9" t="str">
        <f t="array" ref="E82">IFERROR(INDEX(data!H:H,match(Caseslist!B82,data!D:D,0)), "INC")</f>
        <v>Marvin Mondia</v>
      </c>
      <c r="F82" s="10" t="str">
        <f t="array" ref="F82">IF(
    OR(
      IFNA(INDEX(data!M:M, MATCH(Caseslist!B82, data!D:D, 0)), "") = "",
      IFNA(INDEX(data!M:M, MATCH(Caseslist!B82, data!D:D, 0)), 0) = 0
    ),
    "COMPLETE",
    IF(
      IFNA(INDEX(dataICM!D:D, MATCH(Caseslist!B82, dataICM!D:D, 0)), "INC") = "INC",
      IFNA(INDEX(dataICM!D:D, MATCH(Caseslist!B82, dataICM!D:D, 0)), "INC"),
      "COMPLETE"
    )
  )</f>
        <v>COMPLETE</v>
      </c>
      <c r="G82" s="10" t="str">
        <f t="array" ref="G82">IF(IFERROR(INDEX(data!L:L,match(Caseslist!B82,data!D:D,0)),"INC")="","COMPLETE",F82)</f>
        <v>COMPLETE</v>
      </c>
      <c r="H82" s="9" t="str">
        <f t="array" ref="H82">IFERROR(INDEX(dataICM!F:F,match(Caseslist!B82,dataICM!D:D,0)), "INC")</f>
        <v>INC</v>
      </c>
      <c r="I82" s="10" t="str">
        <f t="shared" si="2"/>
        <v>S2671943</v>
      </c>
      <c r="J82" s="9" t="str">
        <f t="array" ref="J82">IF(
  AND(
    IFERROR(MATCH(B82, data!D:D, 0), 0) &gt; 0,
    IFERROR(INDEX(data!N:N, MATCH(B82, data!D:D, 0)) = 1, FALSE)
  ),
  INDEX(data!C:C, MATCH(B82, data!D:D, 0)),
  "INC"
)</f>
        <v>2025-09-16T16:14:24.834+08</v>
      </c>
      <c r="K82" s="9" t="str">
        <f t="array" ref="K82">IFERROR(INDEX(dataICM!C:C,match(Caseslist!B82,dataICM!D:D,0)), "INC")</f>
        <v>INC</v>
      </c>
      <c r="L82" s="10" t="str">
        <f t="array" ref="L82">IF(AND(G82="COMPLETE", OR(K82="INC", ISBLANK(INDEX(data!O:O, ROW())))), J82, K82)</f>
        <v>2025-09-16T16:14:24.834+08</v>
      </c>
      <c r="M82" s="2">
        <v>45916.0</v>
      </c>
      <c r="N82" s="2">
        <f t="array" ref="N82">IF(M82&lt;&gt;"INC", INDEX(data!M:M, MATCH(B82, data!D:D, 0)), "")</f>
        <v>0</v>
      </c>
      <c r="O82" s="2">
        <f t="shared" si="3"/>
        <v>0</v>
      </c>
    </row>
    <row r="83">
      <c r="A83" s="2" t="str">
        <f t="shared" si="1"/>
        <v>H004001</v>
      </c>
      <c r="B83" s="1" t="s">
        <v>6618</v>
      </c>
      <c r="C83" s="9" t="str">
        <f t="array" ref="C83">IF(
  AND(
    IFERROR(MATCH(Caseslist!B83, data!D:D, 0), 0) &gt; 0,
    IFERROR(INDEX(data!N:N, MATCH(Caseslist!B83, data!D:D, 0)) = 1, FALSE)
  ),
  "COMPLETE",
  "INC"
)</f>
        <v>COMPLETE</v>
      </c>
      <c r="D83" s="9">
        <f t="array" ref="D83">IFERROR(INDEX(data!$G:$G,match(Caseslist!B83,data!$D:$D,0)), "INC")</f>
        <v>859767</v>
      </c>
      <c r="E83" s="9" t="str">
        <f t="array" ref="E83">IFERROR(INDEX(data!H:H,match(Caseslist!B83,data!D:D,0)), "INC")</f>
        <v>Ramie De Pedro Jr._2</v>
      </c>
      <c r="F83" s="10" t="str">
        <f t="array" ref="F83">IF(
    OR(
      IFNA(INDEX(data!M:M, MATCH(Caseslist!B83, data!D:D, 0)), "") = "",
      IFNA(INDEX(data!M:M, MATCH(Caseslist!B83, data!D:D, 0)), 0) = 0
    ),
    "COMPLETE",
    IF(
      IFNA(INDEX(dataICM!D:D, MATCH(Caseslist!B83, dataICM!D:D, 0)), "INC") = "INC",
      IFNA(INDEX(dataICM!D:D, MATCH(Caseslist!B83, dataICM!D:D, 0)), "INC"),
      "COMPLETE"
    )
  )</f>
        <v>COMPLETE</v>
      </c>
      <c r="G83" s="10" t="str">
        <f t="array" ref="G83">IF(IFERROR(INDEX(data!L:L,match(Caseslist!B83,data!D:D,0)),"INC")="","COMPLETE",F83)</f>
        <v>COMPLETE</v>
      </c>
      <c r="H83" s="9" t="str">
        <f t="array" ref="H83">IFERROR(INDEX(dataICM!F:F,match(Caseslist!B83,dataICM!D:D,0)), "INC")</f>
        <v>INC</v>
      </c>
      <c r="I83" s="10">
        <f t="shared" si="2"/>
        <v>859767</v>
      </c>
      <c r="J83" s="9" t="str">
        <f t="array" ref="J83">IF(
  AND(
    IFERROR(MATCH(B83, data!D:D, 0), 0) &gt; 0,
    IFERROR(INDEX(data!N:N, MATCH(B83, data!D:D, 0)) = 1, FALSE)
  ),
  INDEX(data!C:C, MATCH(B83, data!D:D, 0)),
  "INC"
)</f>
        <v>2025-09-16T12:18:23.915+08</v>
      </c>
      <c r="K83" s="9" t="str">
        <f t="array" ref="K83">IFERROR(INDEX(dataICM!C:C,match(Caseslist!B83,dataICM!D:D,0)), "INC")</f>
        <v>INC</v>
      </c>
      <c r="L83" s="10" t="str">
        <f t="array" ref="L83">IF(AND(G83="COMPLETE", OR(K83="INC", ISBLANK(INDEX(data!O:O, ROW())))), J83, K83)</f>
        <v>2025-09-16T12:18:23.915+08</v>
      </c>
      <c r="M83" s="2">
        <v>45916.0</v>
      </c>
      <c r="N83" s="2">
        <f t="array" ref="N83">IF(M83&lt;&gt;"INC", INDEX(data!M:M, MATCH(B83, data!D:D, 0)), "")</f>
        <v>0</v>
      </c>
      <c r="O83" s="2">
        <f t="shared" si="3"/>
        <v>0</v>
      </c>
    </row>
    <row r="84">
      <c r="A84" s="2" t="str">
        <f t="shared" si="1"/>
        <v>H004001</v>
      </c>
      <c r="B84" s="1" t="s">
        <v>6868</v>
      </c>
      <c r="C84" s="9" t="str">
        <f t="array" ref="C84">IF(
  AND(
    IFERROR(MATCH(Caseslist!B84, data!D:D, 0), 0) &gt; 0,
    IFERROR(INDEX(data!N:N, MATCH(Caseslist!B84, data!D:D, 0)) = 1, FALSE)
  ),
  "COMPLETE",
  "INC"
)</f>
        <v>COMPLETE</v>
      </c>
      <c r="D84" s="9" t="str">
        <f t="array" ref="D84">IFERROR(INDEX(data!$G:$G,match(Caseslist!B84,data!$D:$D,0)), "INC")</f>
        <v>S2671943</v>
      </c>
      <c r="E84" s="9" t="str">
        <f t="array" ref="E84">IFERROR(INDEX(data!H:H,match(Caseslist!B84,data!D:D,0)), "INC")</f>
        <v>Marvin Mondia</v>
      </c>
      <c r="F84" s="10" t="str">
        <f t="array" ref="F84">IF(
    OR(
      IFNA(INDEX(data!M:M, MATCH(Caseslist!B84, data!D:D, 0)), "") = "",
      IFNA(INDEX(data!M:M, MATCH(Caseslist!B84, data!D:D, 0)), 0) = 0
    ),
    "COMPLETE",
    IF(
      IFNA(INDEX(dataICM!D:D, MATCH(Caseslist!B84, dataICM!D:D, 0)), "INC") = "INC",
      IFNA(INDEX(dataICM!D:D, MATCH(Caseslist!B84, dataICM!D:D, 0)), "INC"),
      "COMPLETE"
    )
  )</f>
        <v>COMPLETE</v>
      </c>
      <c r="G84" s="10" t="str">
        <f t="array" ref="G84">IF(IFERROR(INDEX(data!L:L,match(Caseslist!B84,data!D:D,0)),"INC")="","COMPLETE",F84)</f>
        <v>COMPLETE</v>
      </c>
      <c r="H84" s="9" t="str">
        <f t="array" ref="H84">IFERROR(INDEX(dataICM!F:F,match(Caseslist!B84,dataICM!D:D,0)), "INC")</f>
        <v>INC</v>
      </c>
      <c r="I84" s="10" t="str">
        <f t="shared" si="2"/>
        <v>S2671943</v>
      </c>
      <c r="J84" s="9" t="str">
        <f t="array" ref="J84">IF(
  AND(
    IFERROR(MATCH(B84, data!D:D, 0), 0) &gt; 0,
    IFERROR(INDEX(data!N:N, MATCH(B84, data!D:D, 0)) = 1, FALSE)
  ),
  INDEX(data!C:C, MATCH(B84, data!D:D, 0)),
  "INC"
)</f>
        <v>2025-09-16T14:36:10.538+08</v>
      </c>
      <c r="K84" s="9" t="str">
        <f t="array" ref="K84">IFERROR(INDEX(dataICM!C:C,match(Caseslist!B84,dataICM!D:D,0)), "INC")</f>
        <v>INC</v>
      </c>
      <c r="L84" s="10" t="str">
        <f t="array" ref="L84">IF(AND(G84="COMPLETE", OR(K84="INC", ISBLANK(INDEX(data!O:O, ROW())))), J84, K84)</f>
        <v>2025-09-16T14:36:10.538+08</v>
      </c>
      <c r="M84" s="2">
        <v>45916.0</v>
      </c>
      <c r="N84" s="2">
        <f t="array" ref="N84">IF(M84&lt;&gt;"INC", INDEX(data!M:M, MATCH(B84, data!D:D, 0)), "")</f>
        <v>0</v>
      </c>
      <c r="O84" s="2">
        <f t="shared" si="3"/>
        <v>0</v>
      </c>
    </row>
    <row r="85">
      <c r="A85" s="2" t="str">
        <f t="shared" si="1"/>
        <v>H004042</v>
      </c>
      <c r="B85" s="1" t="s">
        <v>6603</v>
      </c>
      <c r="C85" s="9" t="str">
        <f t="array" ref="C85">IF(
  AND(
    IFERROR(MATCH(Caseslist!B85, data!D:D, 0), 0) &gt; 0,
    IFERROR(INDEX(data!N:N, MATCH(Caseslist!B85, data!D:D, 0)) = 1, FALSE)
  ),
  "COMPLETE",
  "INC"
)</f>
        <v>COMPLETE</v>
      </c>
      <c r="D85" s="9">
        <f t="array" ref="D85">IFERROR(INDEX(data!$G:$G,match(Caseslist!B85,data!$D:$D,0)), "INC")</f>
        <v>455939</v>
      </c>
      <c r="E85" s="9" t="str">
        <f t="array" ref="E85">IFERROR(INDEX(data!H:H,match(Caseslist!B85,data!D:D,0)), "INC")</f>
        <v>Mary Jean Villaflor_2</v>
      </c>
      <c r="F85" s="10" t="str">
        <f t="array" ref="F85">IF(
    OR(
      IFNA(INDEX(data!M:M, MATCH(Caseslist!B85, data!D:D, 0)), "") = "",
      IFNA(INDEX(data!M:M, MATCH(Caseslist!B85, data!D:D, 0)), 0) = 0
    ),
    "COMPLETE",
    IF(
      IFNA(INDEX(dataICM!D:D, MATCH(Caseslist!B85, dataICM!D:D, 0)), "INC") = "INC",
      IFNA(INDEX(dataICM!D:D, MATCH(Caseslist!B85, dataICM!D:D, 0)), "INC"),
      "COMPLETE"
    )
  )</f>
        <v>COMPLETE</v>
      </c>
      <c r="G85" s="10" t="str">
        <f t="array" ref="G85">IF(IFERROR(INDEX(data!L:L,match(Caseslist!B85,data!D:D,0)),"INC")="","COMPLETE",F85)</f>
        <v>COMPLETE</v>
      </c>
      <c r="H85" s="9" t="str">
        <f t="array" ref="H85">IFERROR(INDEX(dataICM!F:F,match(Caseslist!B85,dataICM!D:D,0)), "INC")</f>
        <v>Mary Jean Villaflor_2</v>
      </c>
      <c r="I85" s="10">
        <f t="shared" si="2"/>
        <v>455939</v>
      </c>
      <c r="J85" s="9" t="str">
        <f t="array" ref="J85">IF(
  AND(
    IFERROR(MATCH(B85, data!D:D, 0), 0) &gt; 0,
    IFERROR(INDEX(data!N:N, MATCH(B85, data!D:D, 0)) = 1, FALSE)
  ),
  INDEX(data!C:C, MATCH(B85, data!D:D, 0)),
  "INC"
)</f>
        <v>2025-09-16T14:06:21.026+08</v>
      </c>
      <c r="K85" s="9" t="str">
        <f t="array" ref="K85">IFERROR(INDEX(dataICM!C:C,match(Caseslist!B85,dataICM!D:D,0)), "INC")</f>
        <v>2025-09-16T14:12:41.277+08</v>
      </c>
      <c r="L85" s="10" t="str">
        <f t="array" ref="L85">IF(AND(G85="COMPLETE", OR(K85="INC", ISBLANK(INDEX(data!O:O, ROW())))), J85, K85)</f>
        <v>2025-09-16T14:12:41.277+08</v>
      </c>
      <c r="M85" s="2">
        <v>45916.0</v>
      </c>
      <c r="N85" s="2">
        <f t="array" ref="N85">IF(M85&lt;&gt;"INC", INDEX(data!M:M, MATCH(B85, data!D:D, 0)), "")</f>
        <v>1</v>
      </c>
      <c r="O85" s="2">
        <f t="shared" si="3"/>
        <v>1</v>
      </c>
    </row>
    <row r="86">
      <c r="A86" s="2" t="str">
        <f t="shared" si="1"/>
        <v>H004042</v>
      </c>
      <c r="B86" s="1" t="s">
        <v>8333</v>
      </c>
      <c r="C86" s="9" t="str">
        <f t="array" ref="C86">IF(
  AND(
    IFERROR(MATCH(Caseslist!B86, data!D:D, 0), 0) &gt; 0,
    IFERROR(INDEX(data!N:N, MATCH(Caseslist!B86, data!D:D, 0)) = 1, FALSE)
  ),
  "COMPLETE",
  "INC"
)</f>
        <v>COMPLETE</v>
      </c>
      <c r="D86" s="9">
        <f t="array" ref="D86">IFERROR(INDEX(data!$G:$G,match(Caseslist!B86,data!$D:$D,0)), "INC")</f>
        <v>841329</v>
      </c>
      <c r="E86" s="9" t="str">
        <f t="array" ref="E86">IFERROR(INDEX(data!H:H,match(Caseslist!B86,data!D:D,0)), "INC")</f>
        <v>Aila Eli_2</v>
      </c>
      <c r="F86" s="10" t="str">
        <f t="array" ref="F86">IF(
    OR(
      IFNA(INDEX(data!M:M, MATCH(Caseslist!B86, data!D:D, 0)), "") = "",
      IFNA(INDEX(data!M:M, MATCH(Caseslist!B86, data!D:D, 0)), 0) = 0
    ),
    "COMPLETE",
    IF(
      IFNA(INDEX(dataICM!D:D, MATCH(Caseslist!B86, dataICM!D:D, 0)), "INC") = "INC",
      IFNA(INDEX(dataICM!D:D, MATCH(Caseslist!B86, dataICM!D:D, 0)), "INC"),
      "COMPLETE"
    )
  )</f>
        <v>COMPLETE</v>
      </c>
      <c r="G86" s="10" t="str">
        <f t="array" ref="G86">IF(IFERROR(INDEX(data!L:L,match(Caseslist!B86,data!D:D,0)),"INC")="","COMPLETE",F86)</f>
        <v>COMPLETE</v>
      </c>
      <c r="H86" s="9" t="str">
        <f t="array" ref="H86">IFERROR(INDEX(dataICM!F:F,match(Caseslist!B86,dataICM!D:D,0)), "INC")</f>
        <v>Aila Eli_2</v>
      </c>
      <c r="I86" s="10">
        <f t="shared" si="2"/>
        <v>841329</v>
      </c>
      <c r="J86" s="9" t="str">
        <f t="array" ref="J86">IF(
  AND(
    IFERROR(MATCH(B86, data!D:D, 0), 0) &gt; 0,
    IFERROR(INDEX(data!N:N, MATCH(B86, data!D:D, 0)) = 1, FALSE)
  ),
  INDEX(data!C:C, MATCH(B86, data!D:D, 0)),
  "INC"
)</f>
        <v>2025-09-24T14:58:48.011+08</v>
      </c>
      <c r="K86" s="9" t="str">
        <f t="array" ref="K86">IFERROR(INDEX(dataICM!C:C,match(Caseslist!B86,dataICM!D:D,0)), "INC")</f>
        <v>2025-09-24T15:04:16.045+08</v>
      </c>
      <c r="L86" s="10" t="str">
        <f t="array" ref="L86">IF(AND(G86="COMPLETE", OR(K86="INC", ISBLANK(INDEX(data!O:O, ROW())))), J86, K86)</f>
        <v>2025-09-24T15:04:16.045+08</v>
      </c>
      <c r="M86" s="2">
        <v>45924.0</v>
      </c>
      <c r="N86" s="2">
        <f t="array" ref="N86">IF(M86&lt;&gt;"INC", INDEX(data!M:M, MATCH(B86, data!D:D, 0)), "")</f>
        <v>1</v>
      </c>
      <c r="O86" s="2">
        <f t="shared" si="3"/>
        <v>1</v>
      </c>
    </row>
    <row r="87">
      <c r="A87" s="2" t="str">
        <f t="shared" si="1"/>
        <v>H004042</v>
      </c>
      <c r="B87" s="1" t="s">
        <v>6608</v>
      </c>
      <c r="C87" s="9" t="str">
        <f t="array" ref="C87">IF(
  AND(
    IFERROR(MATCH(Caseslist!B87, data!D:D, 0), 0) &gt; 0,
    IFERROR(INDEX(data!N:N, MATCH(Caseslist!B87, data!D:D, 0)) = 1, FALSE)
  ),
  "COMPLETE",
  "INC"
)</f>
        <v>COMPLETE</v>
      </c>
      <c r="D87" s="9">
        <f t="array" ref="D87">IFERROR(INDEX(data!$G:$G,match(Caseslist!B87,data!$D:$D,0)), "INC")</f>
        <v>455939</v>
      </c>
      <c r="E87" s="9" t="str">
        <f t="array" ref="E87">IFERROR(INDEX(data!H:H,match(Caseslist!B87,data!D:D,0)), "INC")</f>
        <v>Mary Jean Villaflor_2</v>
      </c>
      <c r="F87" s="10" t="str">
        <f t="array" ref="F87">IF(
    OR(
      IFNA(INDEX(data!M:M, MATCH(Caseslist!B87, data!D:D, 0)), "") = "",
      IFNA(INDEX(data!M:M, MATCH(Caseslist!B87, data!D:D, 0)), 0) = 0
    ),
    "COMPLETE",
    IF(
      IFNA(INDEX(dataICM!D:D, MATCH(Caseslist!B87, dataICM!D:D, 0)), "INC") = "INC",
      IFNA(INDEX(dataICM!D:D, MATCH(Caseslist!B87, dataICM!D:D, 0)), "INC"),
      "COMPLETE"
    )
  )</f>
        <v>COMPLETE</v>
      </c>
      <c r="G87" s="10" t="str">
        <f t="array" ref="G87">IF(IFERROR(INDEX(data!L:L,match(Caseslist!B87,data!D:D,0)),"INC")="","COMPLETE",F87)</f>
        <v>COMPLETE</v>
      </c>
      <c r="H87" s="9" t="str">
        <f t="array" ref="H87">IFERROR(INDEX(dataICM!F:F,match(Caseslist!B87,dataICM!D:D,0)), "INC")</f>
        <v>Mary Jean Villaflor_2</v>
      </c>
      <c r="I87" s="10">
        <f t="shared" si="2"/>
        <v>455939</v>
      </c>
      <c r="J87" s="9" t="str">
        <f t="array" ref="J87">IF(
  AND(
    IFERROR(MATCH(B87, data!D:D, 0), 0) &gt; 0,
    IFERROR(INDEX(data!N:N, MATCH(B87, data!D:D, 0)) = 1, FALSE)
  ),
  INDEX(data!C:C, MATCH(B87, data!D:D, 0)),
  "INC"
)</f>
        <v>2025-09-16T17:47:49.030+08</v>
      </c>
      <c r="K87" s="9" t="str">
        <f t="array" ref="K87">IFERROR(INDEX(dataICM!C:C,match(Caseslist!B87,dataICM!D:D,0)), "INC")</f>
        <v>2025-09-16T17:47:25.823+08</v>
      </c>
      <c r="L87" s="10" t="str">
        <f t="array" ref="L87">IF(AND(G87="COMPLETE", OR(K87="INC", ISBLANK(INDEX(data!O:O, ROW())))), J87, K87)</f>
        <v>2025-09-16T17:47:25.823+08</v>
      </c>
      <c r="M87" s="2">
        <v>45916.0</v>
      </c>
      <c r="N87" s="2">
        <f t="array" ref="N87">IF(M87&lt;&gt;"INC", INDEX(data!M:M, MATCH(B87, data!D:D, 0)), "")</f>
        <v>1</v>
      </c>
      <c r="O87" s="2">
        <f t="shared" si="3"/>
        <v>1</v>
      </c>
    </row>
    <row r="88">
      <c r="A88" s="2" t="str">
        <f t="shared" si="1"/>
        <v>H004042</v>
      </c>
      <c r="B88" s="1" t="s">
        <v>6593</v>
      </c>
      <c r="C88" s="9" t="str">
        <f t="array" ref="C88">IF(
  AND(
    IFERROR(MATCH(Caseslist!B88, data!D:D, 0), 0) &gt; 0,
    IFERROR(INDEX(data!N:N, MATCH(Caseslist!B88, data!D:D, 0)) = 1, FALSE)
  ),
  "COMPLETE",
  "INC"
)</f>
        <v>COMPLETE</v>
      </c>
      <c r="D88" s="9">
        <f t="array" ref="D88">IFERROR(INDEX(data!$G:$G,match(Caseslist!B88,data!$D:$D,0)), "INC")</f>
        <v>455939</v>
      </c>
      <c r="E88" s="9" t="str">
        <f t="array" ref="E88">IFERROR(INDEX(data!H:H,match(Caseslist!B88,data!D:D,0)), "INC")</f>
        <v>Mary Jean Villaflor_2</v>
      </c>
      <c r="F88" s="10" t="str">
        <f t="array" ref="F88">IF(
    OR(
      IFNA(INDEX(data!M:M, MATCH(Caseslist!B88, data!D:D, 0)), "") = "",
      IFNA(INDEX(data!M:M, MATCH(Caseslist!B88, data!D:D, 0)), 0) = 0
    ),
    "COMPLETE",
    IF(
      IFNA(INDEX(dataICM!D:D, MATCH(Caseslist!B88, dataICM!D:D, 0)), "INC") = "INC",
      IFNA(INDEX(dataICM!D:D, MATCH(Caseslist!B88, dataICM!D:D, 0)), "INC"),
      "COMPLETE"
    )
  )</f>
        <v>COMPLETE</v>
      </c>
      <c r="G88" s="10" t="str">
        <f t="array" ref="G88">IF(IFERROR(INDEX(data!L:L,match(Caseslist!B88,data!D:D,0)),"INC")="","COMPLETE",F88)</f>
        <v>COMPLETE</v>
      </c>
      <c r="H88" s="9" t="str">
        <f t="array" ref="H88">IFERROR(INDEX(dataICM!F:F,match(Caseslist!B88,dataICM!D:D,0)), "INC")</f>
        <v>Mary Jean Villaflor_2</v>
      </c>
      <c r="I88" s="10">
        <f t="shared" si="2"/>
        <v>455939</v>
      </c>
      <c r="J88" s="9" t="str">
        <f t="array" ref="J88">IF(
  AND(
    IFERROR(MATCH(B88, data!D:D, 0), 0) &gt; 0,
    IFERROR(INDEX(data!N:N, MATCH(B88, data!D:D, 0)) = 1, FALSE)
  ),
  INDEX(data!C:C, MATCH(B88, data!D:D, 0)),
  "INC"
)</f>
        <v>2025-09-16T10:47:19.085+08</v>
      </c>
      <c r="K88" s="9" t="str">
        <f t="array" ref="K88">IFERROR(INDEX(dataICM!C:C,match(Caseslist!B88,dataICM!D:D,0)), "INC")</f>
        <v>2025-09-16T10:51:29.587+08</v>
      </c>
      <c r="L88" s="10" t="str">
        <f t="array" ref="L88">IF(AND(G88="COMPLETE", OR(K88="INC", ISBLANK(INDEX(data!O:O, ROW())))), J88, K88)</f>
        <v>2025-09-16T10:51:29.587+08</v>
      </c>
      <c r="M88" s="2">
        <v>45916.0</v>
      </c>
      <c r="N88" s="2">
        <f t="array" ref="N88">IF(M88&lt;&gt;"INC", INDEX(data!M:M, MATCH(B88, data!D:D, 0)), "")</f>
        <v>1</v>
      </c>
      <c r="O88" s="2">
        <f t="shared" si="3"/>
        <v>1</v>
      </c>
    </row>
    <row r="89">
      <c r="A89" s="2" t="str">
        <f t="shared" si="1"/>
        <v>H004042</v>
      </c>
      <c r="B89" s="1" t="s">
        <v>6583</v>
      </c>
      <c r="C89" s="9" t="str">
        <f t="array" ref="C89">IF(
  AND(
    IFERROR(MATCH(Caseslist!B89, data!D:D, 0), 0) &gt; 0,
    IFERROR(INDEX(data!N:N, MATCH(Caseslist!B89, data!D:D, 0)) = 1, FALSE)
  ),
  "COMPLETE",
  "INC"
)</f>
        <v>COMPLETE</v>
      </c>
      <c r="D89" s="9">
        <f t="array" ref="D89">IFERROR(INDEX(data!$G:$G,match(Caseslist!B89,data!$D:$D,0)), "INC")</f>
        <v>555127</v>
      </c>
      <c r="E89" s="9" t="str">
        <f t="array" ref="E89">IFERROR(INDEX(data!H:H,match(Caseslist!B89,data!D:D,0)), "INC")</f>
        <v>Mary May_2</v>
      </c>
      <c r="F89" s="10" t="str">
        <f t="array" ref="F89">IF(
    OR(
      IFNA(INDEX(data!M:M, MATCH(Caseslist!B89, data!D:D, 0)), "") = "",
      IFNA(INDEX(data!M:M, MATCH(Caseslist!B89, data!D:D, 0)), 0) = 0
    ),
    "COMPLETE",
    IF(
      IFNA(INDEX(dataICM!D:D, MATCH(Caseslist!B89, dataICM!D:D, 0)), "INC") = "INC",
      IFNA(INDEX(dataICM!D:D, MATCH(Caseslist!B89, dataICM!D:D, 0)), "INC"),
      "COMPLETE"
    )
  )</f>
        <v>COMPLETE</v>
      </c>
      <c r="G89" s="10" t="str">
        <f t="array" ref="G89">IF(IFERROR(INDEX(data!L:L,match(Caseslist!B89,data!D:D,0)),"INC")="","COMPLETE",F89)</f>
        <v>COMPLETE</v>
      </c>
      <c r="H89" s="9" t="str">
        <f t="array" ref="H89">IFERROR(INDEX(dataICM!F:F,match(Caseslist!B89,dataICM!D:D,0)), "INC")</f>
        <v>Mary May_2</v>
      </c>
      <c r="I89" s="10">
        <f t="shared" si="2"/>
        <v>555127</v>
      </c>
      <c r="J89" s="9" t="str">
        <f t="array" ref="J89">IF(
  AND(
    IFERROR(MATCH(B89, data!D:D, 0), 0) &gt; 0,
    IFERROR(INDEX(data!N:N, MATCH(B89, data!D:D, 0)) = 1, FALSE)
  ),
  INDEX(data!C:C, MATCH(B89, data!D:D, 0)),
  "INC"
)</f>
        <v>2025-09-16T14:14:21.161+08</v>
      </c>
      <c r="K89" s="9" t="str">
        <f t="array" ref="K89">IFERROR(INDEX(dataICM!C:C,match(Caseslist!B89,dataICM!D:D,0)), "INC")</f>
        <v>2025-09-16T14:23:11.367+08</v>
      </c>
      <c r="L89" s="10" t="str">
        <f t="array" ref="L89">IF(AND(G89="COMPLETE", OR(K89="INC", ISBLANK(INDEX(data!O:O, ROW())))), J89, K89)</f>
        <v>2025-09-16T14:23:11.367+08</v>
      </c>
      <c r="M89" s="2">
        <v>45916.0</v>
      </c>
      <c r="N89" s="2">
        <f t="array" ref="N89">IF(M89&lt;&gt;"INC", INDEX(data!M:M, MATCH(B89, data!D:D, 0)), "")</f>
        <v>1</v>
      </c>
      <c r="O89" s="2">
        <f t="shared" si="3"/>
        <v>1</v>
      </c>
    </row>
    <row r="90">
      <c r="A90" s="2" t="str">
        <f t="shared" si="1"/>
        <v>H004042</v>
      </c>
      <c r="B90" s="1" t="s">
        <v>6568</v>
      </c>
      <c r="C90" s="9" t="str">
        <f t="array" ref="C90">IF(
  AND(
    IFERROR(MATCH(Caseslist!B90, data!D:D, 0), 0) &gt; 0,
    IFERROR(INDEX(data!N:N, MATCH(Caseslist!B90, data!D:D, 0)) = 1, FALSE)
  ),
  "COMPLETE",
  "INC"
)</f>
        <v>COMPLETE</v>
      </c>
      <c r="D90" s="9">
        <f t="array" ref="D90">IFERROR(INDEX(data!$G:$G,match(Caseslist!B90,data!$D:$D,0)), "INC")</f>
        <v>841329</v>
      </c>
      <c r="E90" s="9" t="str">
        <f t="array" ref="E90">IFERROR(INDEX(data!H:H,match(Caseslist!B90,data!D:D,0)), "INC")</f>
        <v>Aila Eli_2</v>
      </c>
      <c r="F90" s="10" t="str">
        <f t="array" ref="F90">IF(
    OR(
      IFNA(INDEX(data!M:M, MATCH(Caseslist!B90, data!D:D, 0)), "") = "",
      IFNA(INDEX(data!M:M, MATCH(Caseslist!B90, data!D:D, 0)), 0) = 0
    ),
    "COMPLETE",
    IF(
      IFNA(INDEX(dataICM!D:D, MATCH(Caseslist!B90, dataICM!D:D, 0)), "INC") = "INC",
      IFNA(INDEX(dataICM!D:D, MATCH(Caseslist!B90, dataICM!D:D, 0)), "INC"),
      "COMPLETE"
    )
  )</f>
        <v>COMPLETE</v>
      </c>
      <c r="G90" s="10" t="str">
        <f t="array" ref="G90">IF(IFERROR(INDEX(data!L:L,match(Caseslist!B90,data!D:D,0)),"INC")="","COMPLETE",F90)</f>
        <v>COMPLETE</v>
      </c>
      <c r="H90" s="9" t="str">
        <f t="array" ref="H90">IFERROR(INDEX(dataICM!F:F,match(Caseslist!B90,dataICM!D:D,0)), "INC")</f>
        <v>Aila Eli_2</v>
      </c>
      <c r="I90" s="10">
        <f t="shared" si="2"/>
        <v>841329</v>
      </c>
      <c r="J90" s="9" t="str">
        <f t="array" ref="J90">IF(
  AND(
    IFERROR(MATCH(B90, data!D:D, 0), 0) &gt; 0,
    IFERROR(INDEX(data!N:N, MATCH(B90, data!D:D, 0)) = 1, FALSE)
  ),
  INDEX(data!C:C, MATCH(B90, data!D:D, 0)),
  "INC"
)</f>
        <v>2025-09-16T15:52:42.180+08</v>
      </c>
      <c r="K90" s="9" t="str">
        <f t="array" ref="K90">IFERROR(INDEX(dataICM!C:C,match(Caseslist!B90,dataICM!D:D,0)), "INC")</f>
        <v>2025-09-16T16:01:33.065+08</v>
      </c>
      <c r="L90" s="10" t="str">
        <f t="array" ref="L90">IF(AND(G90="COMPLETE", OR(K90="INC", ISBLANK(INDEX(data!O:O, ROW())))), J90, K90)</f>
        <v>2025-09-16T16:01:33.065+08</v>
      </c>
      <c r="M90" s="2">
        <v>45916.0</v>
      </c>
      <c r="N90" s="2">
        <f t="array" ref="N90">IF(M90&lt;&gt;"INC", INDEX(data!M:M, MATCH(B90, data!D:D, 0)), "")</f>
        <v>1</v>
      </c>
      <c r="O90" s="2">
        <f t="shared" si="3"/>
        <v>1</v>
      </c>
    </row>
    <row r="91">
      <c r="A91" s="2" t="str">
        <f t="shared" si="1"/>
        <v>H004042</v>
      </c>
      <c r="B91" s="1" t="s">
        <v>6598</v>
      </c>
      <c r="C91" s="9" t="str">
        <f t="array" ref="C91">IF(
  AND(
    IFERROR(MATCH(Caseslist!B91, data!D:D, 0), 0) &gt; 0,
    IFERROR(INDEX(data!N:N, MATCH(Caseslist!B91, data!D:D, 0)) = 1, FALSE)
  ),
  "COMPLETE",
  "INC"
)</f>
        <v>COMPLETE</v>
      </c>
      <c r="D91" s="9">
        <f t="array" ref="D91">IFERROR(INDEX(data!$G:$G,match(Caseslist!B91,data!$D:$D,0)), "INC")</f>
        <v>455939</v>
      </c>
      <c r="E91" s="9" t="str">
        <f t="array" ref="E91">IFERROR(INDEX(data!H:H,match(Caseslist!B91,data!D:D,0)), "INC")</f>
        <v>Mary Jean Villaflor_2</v>
      </c>
      <c r="F91" s="10" t="str">
        <f t="array" ref="F91">IF(
    OR(
      IFNA(INDEX(data!M:M, MATCH(Caseslist!B91, data!D:D, 0)), "") = "",
      IFNA(INDEX(data!M:M, MATCH(Caseslist!B91, data!D:D, 0)), 0) = 0
    ),
    "COMPLETE",
    IF(
      IFNA(INDEX(dataICM!D:D, MATCH(Caseslist!B91, dataICM!D:D, 0)), "INC") = "INC",
      IFNA(INDEX(dataICM!D:D, MATCH(Caseslist!B91, dataICM!D:D, 0)), "INC"),
      "COMPLETE"
    )
  )</f>
        <v>COMPLETE</v>
      </c>
      <c r="G91" s="10" t="str">
        <f t="array" ref="G91">IF(IFERROR(INDEX(data!L:L,match(Caseslist!B91,data!D:D,0)),"INC")="","COMPLETE",F91)</f>
        <v>COMPLETE</v>
      </c>
      <c r="H91" s="9" t="str">
        <f t="array" ref="H91">IFERROR(INDEX(dataICM!F:F,match(Caseslist!B91,dataICM!D:D,0)), "INC")</f>
        <v>Mary Jean Villaflor_2</v>
      </c>
      <c r="I91" s="10">
        <f t="shared" si="2"/>
        <v>455939</v>
      </c>
      <c r="J91" s="9" t="str">
        <f t="array" ref="J91">IF(
  AND(
    IFERROR(MATCH(B91, data!D:D, 0), 0) &gt; 0,
    IFERROR(INDEX(data!N:N, MATCH(B91, data!D:D, 0)) = 1, FALSE)
  ),
  INDEX(data!C:C, MATCH(B91, data!D:D, 0)),
  "INC"
)</f>
        <v>2025-09-16T12:56:51.942+08</v>
      </c>
      <c r="K91" s="9" t="str">
        <f t="array" ref="K91">IFERROR(INDEX(dataICM!C:C,match(Caseslist!B91,dataICM!D:D,0)), "INC")</f>
        <v>2025-09-16T12:59:55.752+08</v>
      </c>
      <c r="L91" s="10" t="str">
        <f t="array" ref="L91">IF(AND(G91="COMPLETE", OR(K91="INC", ISBLANK(INDEX(data!O:O, ROW())))), J91, K91)</f>
        <v>2025-09-16T12:59:55.752+08</v>
      </c>
      <c r="M91" s="2">
        <v>45916.0</v>
      </c>
      <c r="N91" s="2">
        <f t="array" ref="N91">IF(M91&lt;&gt;"INC", INDEX(data!M:M, MATCH(B91, data!D:D, 0)), "")</f>
        <v>1</v>
      </c>
      <c r="O91" s="2">
        <f t="shared" si="3"/>
        <v>1</v>
      </c>
    </row>
    <row r="92">
      <c r="A92" s="2" t="str">
        <f t="shared" si="1"/>
        <v>H004042</v>
      </c>
      <c r="B92" s="1" t="s">
        <v>6573</v>
      </c>
      <c r="C92" s="9" t="str">
        <f t="array" ref="C92">IF(
  AND(
    IFERROR(MATCH(Caseslist!B92, data!D:D, 0), 0) &gt; 0,
    IFERROR(INDEX(data!N:N, MATCH(Caseslist!B92, data!D:D, 0)) = 1, FALSE)
  ),
  "COMPLETE",
  "INC"
)</f>
        <v>COMPLETE</v>
      </c>
      <c r="D92" s="9">
        <f t="array" ref="D92">IFERROR(INDEX(data!$G:$G,match(Caseslist!B92,data!$D:$D,0)), "INC")</f>
        <v>555127</v>
      </c>
      <c r="E92" s="9" t="str">
        <f t="array" ref="E92">IFERROR(INDEX(data!H:H,match(Caseslist!B92,data!D:D,0)), "INC")</f>
        <v>Mary May_2</v>
      </c>
      <c r="F92" s="10" t="str">
        <f t="array" ref="F92">IF(
    OR(
      IFNA(INDEX(data!M:M, MATCH(Caseslist!B92, data!D:D, 0)), "") = "",
      IFNA(INDEX(data!M:M, MATCH(Caseslist!B92, data!D:D, 0)), 0) = 0
    ),
    "COMPLETE",
    IF(
      IFNA(INDEX(dataICM!D:D, MATCH(Caseslist!B92, dataICM!D:D, 0)), "INC") = "INC",
      IFNA(INDEX(dataICM!D:D, MATCH(Caseslist!B92, dataICM!D:D, 0)), "INC"),
      "COMPLETE"
    )
  )</f>
        <v>COMPLETE</v>
      </c>
      <c r="G92" s="10" t="str">
        <f t="array" ref="G92">IF(IFERROR(INDEX(data!L:L,match(Caseslist!B92,data!D:D,0)),"INC")="","COMPLETE",F92)</f>
        <v>COMPLETE</v>
      </c>
      <c r="H92" s="9" t="str">
        <f t="array" ref="H92">IFERROR(INDEX(dataICM!F:F,match(Caseslist!B92,dataICM!D:D,0)), "INC")</f>
        <v>Mary May_2</v>
      </c>
      <c r="I92" s="10">
        <f t="shared" si="2"/>
        <v>555127</v>
      </c>
      <c r="J92" s="9" t="str">
        <f t="array" ref="J92">IF(
  AND(
    IFERROR(MATCH(B92, data!D:D, 0), 0) &gt; 0,
    IFERROR(INDEX(data!N:N, MATCH(B92, data!D:D, 0)) = 1, FALSE)
  ),
  INDEX(data!C:C, MATCH(B92, data!D:D, 0)),
  "INC"
)</f>
        <v>2025-09-16T11:02:32.276+08</v>
      </c>
      <c r="K92" s="9" t="str">
        <f t="array" ref="K92">IFERROR(INDEX(dataICM!C:C,match(Caseslist!B92,dataICM!D:D,0)), "INC")</f>
        <v>2025-09-16T17:35:07.144+08</v>
      </c>
      <c r="L92" s="10" t="str">
        <f t="array" ref="L92">IF(AND(G92="COMPLETE", OR(K92="INC", ISBLANK(INDEX(data!O:O, ROW())))), J92, K92)</f>
        <v>2025-09-16T17:35:07.144+08</v>
      </c>
      <c r="M92" s="2">
        <v>45916.0</v>
      </c>
      <c r="N92" s="2">
        <f t="array" ref="N92">IF(M92&lt;&gt;"INC", INDEX(data!M:M, MATCH(B92, data!D:D, 0)), "")</f>
        <v>1</v>
      </c>
      <c r="O92" s="2">
        <f t="shared" si="3"/>
        <v>1</v>
      </c>
    </row>
    <row r="93">
      <c r="A93" s="2" t="str">
        <f t="shared" si="1"/>
        <v>H004042</v>
      </c>
      <c r="B93" s="1" t="s">
        <v>7703</v>
      </c>
      <c r="C93" s="9" t="str">
        <f t="array" ref="C93">IF(
  AND(
    IFERROR(MATCH(Caseslist!B93, data!D:D, 0), 0) &gt; 0,
    IFERROR(INDEX(data!N:N, MATCH(Caseslist!B93, data!D:D, 0)) = 1, FALSE)
  ),
  "COMPLETE",
  "INC"
)</f>
        <v>COMPLETE</v>
      </c>
      <c r="D93" s="9">
        <f t="array" ref="D93">IFERROR(INDEX(data!$G:$G,match(Caseslist!B93,data!$D:$D,0)), "INC")</f>
        <v>841329</v>
      </c>
      <c r="E93" s="9" t="str">
        <f t="array" ref="E93">IFERROR(INDEX(data!H:H,match(Caseslist!B93,data!D:D,0)), "INC")</f>
        <v>Aila Eli_2</v>
      </c>
      <c r="F93" s="10" t="str">
        <f t="array" ref="F93">IF(
    OR(
      IFNA(INDEX(data!M:M, MATCH(Caseslist!B93, data!D:D, 0)), "") = "",
      IFNA(INDEX(data!M:M, MATCH(Caseslist!B93, data!D:D, 0)), 0) = 0
    ),
    "COMPLETE",
    IF(
      IFNA(INDEX(dataICM!D:D, MATCH(Caseslist!B93, dataICM!D:D, 0)), "INC") = "INC",
      IFNA(INDEX(dataICM!D:D, MATCH(Caseslist!B93, dataICM!D:D, 0)), "INC"),
      "COMPLETE"
    )
  )</f>
        <v>INC</v>
      </c>
      <c r="G93" s="10" t="str">
        <f t="array" ref="G93">IF(IFERROR(INDEX(data!L:L,match(Caseslist!B93,data!D:D,0)),"INC")="","COMPLETE",F93)</f>
        <v>INC</v>
      </c>
      <c r="H93" s="9" t="str">
        <f t="array" ref="H93">IFERROR(INDEX(dataICM!F:F,match(Caseslist!B93,dataICM!D:D,0)), "INC")</f>
        <v>INC</v>
      </c>
      <c r="I93" s="10" t="str">
        <f t="shared" si="2"/>
        <v>INC</v>
      </c>
      <c r="J93" s="9" t="str">
        <f t="array" ref="J93">IF(
  AND(
    IFERROR(MATCH(B93, data!D:D, 0), 0) &gt; 0,
    IFERROR(INDEX(data!N:N, MATCH(B93, data!D:D, 0)) = 1, FALSE)
  ),
  INDEX(data!C:C, MATCH(B93, data!D:D, 0)),
  "INC"
)</f>
        <v>2025-09-24T10:31:31.475+08</v>
      </c>
      <c r="K93" s="9" t="str">
        <f t="array" ref="K93">IFERROR(INDEX(dataICM!C:C,match(Caseslist!B93,dataICM!D:D,0)), "INC")</f>
        <v>INC</v>
      </c>
      <c r="L93" s="10" t="str">
        <f t="array" ref="L93">IF(AND(G93="COMPLETE", OR(K93="INC", ISBLANK(INDEX(data!O:O, ROW())))), J93, K93)</f>
        <v>INC</v>
      </c>
      <c r="M93" s="2" t="s">
        <v>8886</v>
      </c>
      <c r="N93" s="2" t="str">
        <f t="array" ref="N93">IF(M93&lt;&gt;"INC", INDEX(data!M:M, MATCH(B93, data!D:D, 0)), "")</f>
        <v/>
      </c>
      <c r="O93" s="2" t="str">
        <f t="shared" si="3"/>
        <v/>
      </c>
    </row>
    <row r="94">
      <c r="A94" s="2" t="str">
        <f t="shared" si="1"/>
        <v>H004042</v>
      </c>
      <c r="B94" s="1" t="s">
        <v>6553</v>
      </c>
      <c r="C94" s="9" t="str">
        <f t="array" ref="C94">IF(
  AND(
    IFERROR(MATCH(Caseslist!B94, data!D:D, 0), 0) &gt; 0,
    IFERROR(INDEX(data!N:N, MATCH(Caseslist!B94, data!D:D, 0)) = 1, FALSE)
  ),
  "COMPLETE",
  "INC"
)</f>
        <v>COMPLETE</v>
      </c>
      <c r="D94" s="9">
        <f t="array" ref="D94">IFERROR(INDEX(data!$G:$G,match(Caseslist!B94,data!$D:$D,0)), "INC")</f>
        <v>841329</v>
      </c>
      <c r="E94" s="9" t="str">
        <f t="array" ref="E94">IFERROR(INDEX(data!H:H,match(Caseslist!B94,data!D:D,0)), "INC")</f>
        <v>Aila Eli_2</v>
      </c>
      <c r="F94" s="10" t="str">
        <f t="array" ref="F94">IF(
    OR(
      IFNA(INDEX(data!M:M, MATCH(Caseslist!B94, data!D:D, 0)), "") = "",
      IFNA(INDEX(data!M:M, MATCH(Caseslist!B94, data!D:D, 0)), 0) = 0
    ),
    "COMPLETE",
    IF(
      IFNA(INDEX(dataICM!D:D, MATCH(Caseslist!B94, dataICM!D:D, 0)), "INC") = "INC",
      IFNA(INDEX(dataICM!D:D, MATCH(Caseslist!B94, dataICM!D:D, 0)), "INC"),
      "COMPLETE"
    )
  )</f>
        <v>COMPLETE</v>
      </c>
      <c r="G94" s="10" t="str">
        <f t="array" ref="G94">IF(IFERROR(INDEX(data!L:L,match(Caseslist!B94,data!D:D,0)),"INC")="","COMPLETE",F94)</f>
        <v>COMPLETE</v>
      </c>
      <c r="H94" s="9" t="str">
        <f t="array" ref="H94">IFERROR(INDEX(dataICM!F:F,match(Caseslist!B94,dataICM!D:D,0)), "INC")</f>
        <v>Aila Eli_2</v>
      </c>
      <c r="I94" s="10">
        <f t="shared" si="2"/>
        <v>841329</v>
      </c>
      <c r="J94" s="9" t="str">
        <f t="array" ref="J94">IF(
  AND(
    IFERROR(MATCH(B94, data!D:D, 0), 0) &gt; 0,
    IFERROR(INDEX(data!N:N, MATCH(B94, data!D:D, 0)) = 1, FALSE)
  ),
  INDEX(data!C:C, MATCH(B94, data!D:D, 0)),
  "INC"
)</f>
        <v>2025-09-16T10:35:40.478+08</v>
      </c>
      <c r="K94" s="9" t="str">
        <f t="array" ref="K94">IFERROR(INDEX(dataICM!C:C,match(Caseslist!B94,dataICM!D:D,0)), "INC")</f>
        <v>2025-09-16T10:58:06.355+08</v>
      </c>
      <c r="L94" s="10" t="str">
        <f t="array" ref="L94">IF(AND(G94="COMPLETE", OR(K94="INC", ISBLANK(INDEX(data!O:O, ROW())))), J94, K94)</f>
        <v>2025-09-16T10:58:06.355+08</v>
      </c>
      <c r="M94" s="2">
        <v>45916.0</v>
      </c>
      <c r="N94" s="2">
        <f t="array" ref="N94">IF(M94&lt;&gt;"INC", INDEX(data!M:M, MATCH(B94, data!D:D, 0)), "")</f>
        <v>1</v>
      </c>
      <c r="O94" s="2">
        <f t="shared" si="3"/>
        <v>1</v>
      </c>
    </row>
    <row r="95">
      <c r="A95" s="2" t="str">
        <f t="shared" si="1"/>
        <v>H004042</v>
      </c>
      <c r="B95" s="1" t="s">
        <v>6563</v>
      </c>
      <c r="C95" s="9" t="str">
        <f t="array" ref="C95">IF(
  AND(
    IFERROR(MATCH(Caseslist!B95, data!D:D, 0), 0) &gt; 0,
    IFERROR(INDEX(data!N:N, MATCH(Caseslist!B95, data!D:D, 0)) = 1, FALSE)
  ),
  "COMPLETE",
  "INC"
)</f>
        <v>COMPLETE</v>
      </c>
      <c r="D95" s="9">
        <f t="array" ref="D95">IFERROR(INDEX(data!$G:$G,match(Caseslist!B95,data!$D:$D,0)), "INC")</f>
        <v>841329</v>
      </c>
      <c r="E95" s="9" t="str">
        <f t="array" ref="E95">IFERROR(INDEX(data!H:H,match(Caseslist!B95,data!D:D,0)), "INC")</f>
        <v>Aila Eli_2</v>
      </c>
      <c r="F95" s="10" t="str">
        <f t="array" ref="F95">IF(
    OR(
      IFNA(INDEX(data!M:M, MATCH(Caseslist!B95, data!D:D, 0)), "") = "",
      IFNA(INDEX(data!M:M, MATCH(Caseslist!B95, data!D:D, 0)), 0) = 0
    ),
    "COMPLETE",
    IF(
      IFNA(INDEX(dataICM!D:D, MATCH(Caseslist!B95, dataICM!D:D, 0)), "INC") = "INC",
      IFNA(INDEX(dataICM!D:D, MATCH(Caseslist!B95, dataICM!D:D, 0)), "INC"),
      "COMPLETE"
    )
  )</f>
        <v>COMPLETE</v>
      </c>
      <c r="G95" s="10" t="str">
        <f t="array" ref="G95">IF(IFERROR(INDEX(data!L:L,match(Caseslist!B95,data!D:D,0)),"INC")="","COMPLETE",F95)</f>
        <v>COMPLETE</v>
      </c>
      <c r="H95" s="9" t="str">
        <f t="array" ref="H95">IFERROR(INDEX(dataICM!F:F,match(Caseslist!B95,dataICM!D:D,0)), "INC")</f>
        <v>Aila Eli_2</v>
      </c>
      <c r="I95" s="10">
        <f t="shared" si="2"/>
        <v>841329</v>
      </c>
      <c r="J95" s="9" t="str">
        <f t="array" ref="J95">IF(
  AND(
    IFERROR(MATCH(B95, data!D:D, 0), 0) &gt; 0,
    IFERROR(INDEX(data!N:N, MATCH(B95, data!D:D, 0)) = 1, FALSE)
  ),
  INDEX(data!C:C, MATCH(B95, data!D:D, 0)),
  "INC"
)</f>
        <v>2025-09-16T14:26:49.855+08</v>
      </c>
      <c r="K95" s="9" t="str">
        <f t="array" ref="K95">IFERROR(INDEX(dataICM!C:C,match(Caseslist!B95,dataICM!D:D,0)), "INC")</f>
        <v>2025-09-16T14:34:55.966+08</v>
      </c>
      <c r="L95" s="10" t="str">
        <f t="array" ref="L95">IF(AND(G95="COMPLETE", OR(K95="INC", ISBLANK(INDEX(data!O:O, ROW())))), J95, K95)</f>
        <v>2025-09-16T14:34:55.966+08</v>
      </c>
      <c r="M95" s="2">
        <v>45916.0</v>
      </c>
      <c r="N95" s="2">
        <f t="array" ref="N95">IF(M95&lt;&gt;"INC", INDEX(data!M:M, MATCH(B95, data!D:D, 0)), "")</f>
        <v>1</v>
      </c>
      <c r="O95" s="2">
        <f t="shared" si="3"/>
        <v>1</v>
      </c>
    </row>
    <row r="96">
      <c r="A96" s="2" t="str">
        <f t="shared" si="1"/>
        <v>H004042</v>
      </c>
      <c r="B96" s="1" t="s">
        <v>6558</v>
      </c>
      <c r="C96" s="9" t="str">
        <f t="array" ref="C96">IF(
  AND(
    IFERROR(MATCH(Caseslist!B96, data!D:D, 0), 0) &gt; 0,
    IFERROR(INDEX(data!N:N, MATCH(Caseslist!B96, data!D:D, 0)) = 1, FALSE)
  ),
  "COMPLETE",
  "INC"
)</f>
        <v>COMPLETE</v>
      </c>
      <c r="D96" s="9">
        <f t="array" ref="D96">IFERROR(INDEX(data!$G:$G,match(Caseslist!B96,data!$D:$D,0)), "INC")</f>
        <v>841329</v>
      </c>
      <c r="E96" s="9" t="str">
        <f t="array" ref="E96">IFERROR(INDEX(data!H:H,match(Caseslist!B96,data!D:D,0)), "INC")</f>
        <v>Aila Eli_2</v>
      </c>
      <c r="F96" s="10" t="str">
        <f t="array" ref="F96">IF(
    OR(
      IFNA(INDEX(data!M:M, MATCH(Caseslist!B96, data!D:D, 0)), "") = "",
      IFNA(INDEX(data!M:M, MATCH(Caseslist!B96, data!D:D, 0)), 0) = 0
    ),
    "COMPLETE",
    IF(
      IFNA(INDEX(dataICM!D:D, MATCH(Caseslist!B96, dataICM!D:D, 0)), "INC") = "INC",
      IFNA(INDEX(dataICM!D:D, MATCH(Caseslist!B96, dataICM!D:D, 0)), "INC"),
      "COMPLETE"
    )
  )</f>
        <v>COMPLETE</v>
      </c>
      <c r="G96" s="10" t="str">
        <f t="array" ref="G96">IF(IFERROR(INDEX(data!L:L,match(Caseslist!B96,data!D:D,0)),"INC")="","COMPLETE",F96)</f>
        <v>COMPLETE</v>
      </c>
      <c r="H96" s="9" t="str">
        <f t="array" ref="H96">IFERROR(INDEX(dataICM!F:F,match(Caseslist!B96,dataICM!D:D,0)), "INC")</f>
        <v>Aila Eli_2</v>
      </c>
      <c r="I96" s="10">
        <f t="shared" si="2"/>
        <v>841329</v>
      </c>
      <c r="J96" s="9" t="str">
        <f t="array" ref="J96">IF(
  AND(
    IFERROR(MATCH(B96, data!D:D, 0), 0) &gt; 0,
    IFERROR(INDEX(data!N:N, MATCH(B96, data!D:D, 0)) = 1, FALSE)
  ),
  INDEX(data!C:C, MATCH(B96, data!D:D, 0)),
  "INC"
)</f>
        <v>2025-09-16T12:01:58.122+08</v>
      </c>
      <c r="K96" s="9" t="str">
        <f t="array" ref="K96">IFERROR(INDEX(dataICM!C:C,match(Caseslist!B96,dataICM!D:D,0)), "INC")</f>
        <v>2025-09-16T12:09:19.960+08</v>
      </c>
      <c r="L96" s="10" t="str">
        <f t="array" ref="L96">IF(AND(G96="COMPLETE", OR(K96="INC", ISBLANK(INDEX(data!O:O, ROW())))), J96, K96)</f>
        <v>2025-09-16T12:09:19.960+08</v>
      </c>
      <c r="M96" s="2">
        <v>45916.0</v>
      </c>
      <c r="N96" s="2">
        <f t="array" ref="N96">IF(M96&lt;&gt;"INC", INDEX(data!M:M, MATCH(B96, data!D:D, 0)), "")</f>
        <v>1</v>
      </c>
      <c r="O96" s="2">
        <f t="shared" si="3"/>
        <v>1</v>
      </c>
    </row>
    <row r="97">
      <c r="A97" s="2" t="str">
        <f t="shared" si="1"/>
        <v>H004042</v>
      </c>
      <c r="B97" s="1" t="s">
        <v>8378</v>
      </c>
      <c r="C97" s="9" t="str">
        <f t="array" ref="C97">IF(
  AND(
    IFERROR(MATCH(Caseslist!B97, data!D:D, 0), 0) &gt; 0,
    IFERROR(INDEX(data!N:N, MATCH(Caseslist!B97, data!D:D, 0)) = 1, FALSE)
  ),
  "COMPLETE",
  "INC"
)</f>
        <v>INC</v>
      </c>
      <c r="D97" s="9">
        <f t="array" ref="D97">IFERROR(INDEX(data!$G:$G,match(Caseslist!B97,data!$D:$D,0)), "INC")</f>
        <v>841329</v>
      </c>
      <c r="E97" s="9" t="str">
        <f t="array" ref="E97">IFERROR(INDEX(data!H:H,match(Caseslist!B97,data!D:D,0)), "INC")</f>
        <v>Aila Eli_2</v>
      </c>
      <c r="F97" s="10" t="str">
        <f t="array" ref="F97">IF(
    OR(
      IFNA(INDEX(data!M:M, MATCH(Caseslist!B97, data!D:D, 0)), "") = "",
      IFNA(INDEX(data!M:M, MATCH(Caseslist!B97, data!D:D, 0)), 0) = 0
    ),
    "COMPLETE",
    IF(
      IFNA(INDEX(dataICM!D:D, MATCH(Caseslist!B97, dataICM!D:D, 0)), "INC") = "INC",
      IFNA(INDEX(dataICM!D:D, MATCH(Caseslist!B97, dataICM!D:D, 0)), "INC"),
      "COMPLETE"
    )
  )</f>
        <v>INC</v>
      </c>
      <c r="G97" s="10" t="str">
        <f t="array" ref="G97">IF(IFERROR(INDEX(data!L:L,match(Caseslist!B97,data!D:D,0)),"INC")="","COMPLETE",F97)</f>
        <v>INC</v>
      </c>
      <c r="H97" s="9" t="str">
        <f t="array" ref="H97">IFERROR(INDEX(dataICM!F:F,match(Caseslist!B97,dataICM!D:D,0)), "INC")</f>
        <v>INC</v>
      </c>
      <c r="I97" s="10" t="str">
        <f t="shared" si="2"/>
        <v>INC</v>
      </c>
      <c r="J97" s="9" t="str">
        <f t="array" ref="J97">IF(
  AND(
    IFERROR(MATCH(B97, data!D:D, 0), 0) &gt; 0,
    IFERROR(INDEX(data!N:N, MATCH(B97, data!D:D, 0)) = 1, FALSE)
  ),
  INDEX(data!C:C, MATCH(B97, data!D:D, 0)),
  "INC"
)</f>
        <v>INC</v>
      </c>
      <c r="K97" s="9" t="str">
        <f t="array" ref="K97">IFERROR(INDEX(dataICM!C:C,match(Caseslist!B97,dataICM!D:D,0)), "INC")</f>
        <v>INC</v>
      </c>
      <c r="L97" s="10" t="str">
        <f t="array" ref="L97">IF(AND(G97="COMPLETE", OR(K97="INC", ISBLANK(INDEX(data!O:O, ROW())))), J97, K97)</f>
        <v>INC</v>
      </c>
      <c r="M97" s="2" t="s">
        <v>8886</v>
      </c>
      <c r="N97" s="2" t="str">
        <f t="array" ref="N97">IF(M97&lt;&gt;"INC", INDEX(data!M:M, MATCH(B97, data!D:D, 0)), "")</f>
        <v/>
      </c>
      <c r="O97" s="2" t="str">
        <f t="shared" si="3"/>
        <v/>
      </c>
    </row>
    <row r="98">
      <c r="A98" s="2" t="str">
        <f t="shared" si="1"/>
        <v>H004042</v>
      </c>
      <c r="B98" s="1" t="s">
        <v>6588</v>
      </c>
      <c r="C98" s="9" t="str">
        <f t="array" ref="C98">IF(
  AND(
    IFERROR(MATCH(Caseslist!B98, data!D:D, 0), 0) &gt; 0,
    IFERROR(INDEX(data!N:N, MATCH(Caseslist!B98, data!D:D, 0)) = 1, FALSE)
  ),
  "COMPLETE",
  "INC"
)</f>
        <v>COMPLETE</v>
      </c>
      <c r="D98" s="9">
        <f t="array" ref="D98">IFERROR(INDEX(data!$G:$G,match(Caseslist!B98,data!$D:$D,0)), "INC")</f>
        <v>555127</v>
      </c>
      <c r="E98" s="9" t="str">
        <f t="array" ref="E98">IFERROR(INDEX(data!H:H,match(Caseslist!B98,data!D:D,0)), "INC")</f>
        <v>Mary May_2</v>
      </c>
      <c r="F98" s="10" t="str">
        <f t="array" ref="F98">IF(
    OR(
      IFNA(INDEX(data!M:M, MATCH(Caseslist!B98, data!D:D, 0)), "") = "",
      IFNA(INDEX(data!M:M, MATCH(Caseslist!B98, data!D:D, 0)), 0) = 0
    ),
    "COMPLETE",
    IF(
      IFNA(INDEX(dataICM!D:D, MATCH(Caseslist!B98, dataICM!D:D, 0)), "INC") = "INC",
      IFNA(INDEX(dataICM!D:D, MATCH(Caseslist!B98, dataICM!D:D, 0)), "INC"),
      "COMPLETE"
    )
  )</f>
        <v>COMPLETE</v>
      </c>
      <c r="G98" s="10" t="str">
        <f t="array" ref="G98">IF(IFERROR(INDEX(data!L:L,match(Caseslist!B98,data!D:D,0)),"INC")="","COMPLETE",F98)</f>
        <v>COMPLETE</v>
      </c>
      <c r="H98" s="9" t="str">
        <f t="array" ref="H98">IFERROR(INDEX(dataICM!F:F,match(Caseslist!B98,dataICM!D:D,0)), "INC")</f>
        <v>Mary May_2</v>
      </c>
      <c r="I98" s="10">
        <f t="shared" si="2"/>
        <v>555127</v>
      </c>
      <c r="J98" s="9" t="str">
        <f t="array" ref="J98">IF(
  AND(
    IFERROR(MATCH(B98, data!D:D, 0), 0) &gt; 0,
    IFERROR(INDEX(data!N:N, MATCH(B98, data!D:D, 0)) = 1, FALSE)
  ),
  INDEX(data!C:C, MATCH(B98, data!D:D, 0)),
  "INC"
)</f>
        <v>2025-09-16T16:02:13.667+08</v>
      </c>
      <c r="K98" s="9" t="str">
        <f t="array" ref="K98">IFERROR(INDEX(dataICM!C:C,match(Caseslist!B98,dataICM!D:D,0)), "INC")</f>
        <v>2025-09-16T17:30:00.502+08</v>
      </c>
      <c r="L98" s="10" t="str">
        <f t="array" ref="L98">IF(AND(G98="COMPLETE", OR(K98="INC", ISBLANK(INDEX(data!O:O, ROW())))), J98, K98)</f>
        <v>2025-09-16T17:30:00.502+08</v>
      </c>
      <c r="M98" s="2">
        <v>45916.0</v>
      </c>
      <c r="N98" s="2">
        <f t="array" ref="N98">IF(M98&lt;&gt;"INC", INDEX(data!M:M, MATCH(B98, data!D:D, 0)), "")</f>
        <v>1</v>
      </c>
      <c r="O98" s="2">
        <f t="shared" si="3"/>
        <v>1</v>
      </c>
    </row>
    <row r="99">
      <c r="A99" s="2" t="str">
        <f t="shared" si="1"/>
        <v>H004042</v>
      </c>
      <c r="B99" s="1" t="s">
        <v>6578</v>
      </c>
      <c r="C99" s="9" t="str">
        <f t="array" ref="C99">IF(
  AND(
    IFERROR(MATCH(Caseslist!B99, data!D:D, 0), 0) &gt; 0,
    IFERROR(INDEX(data!N:N, MATCH(Caseslist!B99, data!D:D, 0)) = 1, FALSE)
  ),
  "COMPLETE",
  "INC"
)</f>
        <v>COMPLETE</v>
      </c>
      <c r="D99" s="9">
        <f t="array" ref="D99">IFERROR(INDEX(data!$G:$G,match(Caseslist!B99,data!$D:$D,0)), "INC")</f>
        <v>555127</v>
      </c>
      <c r="E99" s="9" t="str">
        <f t="array" ref="E99">IFERROR(INDEX(data!H:H,match(Caseslist!B99,data!D:D,0)), "INC")</f>
        <v>Mary May_2</v>
      </c>
      <c r="F99" s="10" t="str">
        <f t="array" ref="F99">IF(
    OR(
      IFNA(INDEX(data!M:M, MATCH(Caseslist!B99, data!D:D, 0)), "") = "",
      IFNA(INDEX(data!M:M, MATCH(Caseslist!B99, data!D:D, 0)), 0) = 0
    ),
    "COMPLETE",
    IF(
      IFNA(INDEX(dataICM!D:D, MATCH(Caseslist!B99, dataICM!D:D, 0)), "INC") = "INC",
      IFNA(INDEX(dataICM!D:D, MATCH(Caseslist!B99, dataICM!D:D, 0)), "INC"),
      "COMPLETE"
    )
  )</f>
        <v>COMPLETE</v>
      </c>
      <c r="G99" s="10" t="str">
        <f t="array" ref="G99">IF(IFERROR(INDEX(data!L:L,match(Caseslist!B99,data!D:D,0)),"INC")="","COMPLETE",F99)</f>
        <v>COMPLETE</v>
      </c>
      <c r="H99" s="9" t="str">
        <f t="array" ref="H99">IFERROR(INDEX(dataICM!F:F,match(Caseslist!B99,dataICM!D:D,0)), "INC")</f>
        <v>Mary May_2</v>
      </c>
      <c r="I99" s="10">
        <f t="shared" si="2"/>
        <v>555127</v>
      </c>
      <c r="J99" s="9" t="str">
        <f t="array" ref="J99">IF(
  AND(
    IFERROR(MATCH(B99, data!D:D, 0), 0) &gt; 0,
    IFERROR(INDEX(data!N:N, MATCH(B99, data!D:D, 0)) = 1, FALSE)
  ),
  INDEX(data!C:C, MATCH(B99, data!D:D, 0)),
  "INC"
)</f>
        <v>2025-09-16T12:33:31.951+08</v>
      </c>
      <c r="K99" s="9" t="str">
        <f t="array" ref="K99">IFERROR(INDEX(dataICM!C:C,match(Caseslist!B99,dataICM!D:D,0)), "INC")</f>
        <v>2025-09-16T12:44:10.791+08</v>
      </c>
      <c r="L99" s="10" t="str">
        <f t="array" ref="L99">IF(AND(G99="COMPLETE", OR(K99="INC", ISBLANK(INDEX(data!O:O, ROW())))), J99, K99)</f>
        <v>2025-09-16T12:44:10.791+08</v>
      </c>
      <c r="M99" s="2">
        <v>45916.0</v>
      </c>
      <c r="N99" s="2">
        <f t="array" ref="N99">IF(M99&lt;&gt;"INC", INDEX(data!M:M, MATCH(B99, data!D:D, 0)), "")</f>
        <v>1</v>
      </c>
      <c r="O99" s="2">
        <f t="shared" si="3"/>
        <v>1</v>
      </c>
    </row>
    <row r="100">
      <c r="A100" s="2" t="str">
        <f t="shared" si="1"/>
        <v>H004132</v>
      </c>
      <c r="B100" s="1" t="s">
        <v>8028</v>
      </c>
      <c r="C100" s="9" t="str">
        <f t="array" ref="C100">IF(
  AND(
    IFERROR(MATCH(Caseslist!B100, data!D:D, 0), 0) &gt; 0,
    IFERROR(INDEX(data!N:N, MATCH(Caseslist!B100, data!D:D, 0)) = 1, FALSE)
  ),
  "COMPLETE",
  "INC"
)</f>
        <v>COMPLETE</v>
      </c>
      <c r="D100" s="9">
        <f t="array" ref="D100">IFERROR(INDEX(data!$G:$G,match(Caseslist!B100,data!$D:$D,0)), "INC")</f>
        <v>455939</v>
      </c>
      <c r="E100" s="9" t="str">
        <f t="array" ref="E100">IFERROR(INDEX(data!H:H,match(Caseslist!B100,data!D:D,0)), "INC")</f>
        <v>Mary Jean Villaflor_2</v>
      </c>
      <c r="F100" s="10" t="str">
        <f t="array" ref="F100">IF(
    OR(
      IFNA(INDEX(data!M:M, MATCH(Caseslist!B100, data!D:D, 0)), "") = "",
      IFNA(INDEX(data!M:M, MATCH(Caseslist!B100, data!D:D, 0)), 0) = 0
    ),
    "COMPLETE",
    IF(
      IFNA(INDEX(dataICM!D:D, MATCH(Caseslist!B100, dataICM!D:D, 0)), "INC") = "INC",
      IFNA(INDEX(dataICM!D:D, MATCH(Caseslist!B100, dataICM!D:D, 0)), "INC"),
      "COMPLETE"
    )
  )</f>
        <v>COMPLETE</v>
      </c>
      <c r="G100" s="10" t="str">
        <f t="array" ref="G100">IF(IFERROR(INDEX(data!L:L,match(Caseslist!B100,data!D:D,0)),"INC")="","COMPLETE",F100)</f>
        <v>COMPLETE</v>
      </c>
      <c r="H100" s="9" t="str">
        <f t="array" ref="H100">IFERROR(INDEX(dataICM!F:F,match(Caseslist!B100,dataICM!D:D,0)), "INC")</f>
        <v>Mary Jean Villaflor_2</v>
      </c>
      <c r="I100" s="10">
        <f t="shared" si="2"/>
        <v>455939</v>
      </c>
      <c r="J100" s="9" t="str">
        <f t="array" ref="J100">IF(
  AND(
    IFERROR(MATCH(B100, data!D:D, 0), 0) &gt; 0,
    IFERROR(INDEX(data!N:N, MATCH(B100, data!D:D, 0)) = 1, FALSE)
  ),
  INDEX(data!C:C, MATCH(B100, data!D:D, 0)),
  "INC"
)</f>
        <v>2025-09-22T10:16:25.910+08</v>
      </c>
      <c r="K100" s="9" t="str">
        <f t="array" ref="K100">IFERROR(INDEX(dataICM!C:C,match(Caseslist!B100,dataICM!D:D,0)), "INC")</f>
        <v>2025-09-22T10:22:16.521+08</v>
      </c>
      <c r="L100" s="10" t="str">
        <f t="array" ref="L100">IF(AND(G100="COMPLETE", OR(K100="INC", ISBLANK(INDEX(data!O:O, ROW())))), J100, K100)</f>
        <v>2025-09-22T10:22:16.521+08</v>
      </c>
      <c r="M100" s="2">
        <v>45922.0</v>
      </c>
      <c r="N100" s="2">
        <f t="array" ref="N100">IF(M100&lt;&gt;"INC", INDEX(data!M:M, MATCH(B100, data!D:D, 0)), "")</f>
        <v>1</v>
      </c>
      <c r="O100" s="2">
        <f t="shared" si="3"/>
        <v>1</v>
      </c>
    </row>
    <row r="101">
      <c r="A101" s="2" t="str">
        <f t="shared" si="1"/>
        <v>H004132</v>
      </c>
      <c r="B101" s="1" t="s">
        <v>8008</v>
      </c>
      <c r="C101" s="9" t="str">
        <f t="array" ref="C101">IF(
  AND(
    IFERROR(MATCH(Caseslist!B101, data!D:D, 0), 0) &gt; 0,
    IFERROR(INDEX(data!N:N, MATCH(Caseslist!B101, data!D:D, 0)) = 1, FALSE)
  ),
  "COMPLETE",
  "INC"
)</f>
        <v>COMPLETE</v>
      </c>
      <c r="D101" s="9">
        <f t="array" ref="D101">IFERROR(INDEX(data!$G:$G,match(Caseslist!B101,data!$D:$D,0)), "INC")</f>
        <v>555127</v>
      </c>
      <c r="E101" s="9" t="str">
        <f t="array" ref="E101">IFERROR(INDEX(data!H:H,match(Caseslist!B101,data!D:D,0)), "INC")</f>
        <v>Mary May_2</v>
      </c>
      <c r="F101" s="10" t="str">
        <f t="array" ref="F101">IF(
    OR(
      IFNA(INDEX(data!M:M, MATCH(Caseslist!B101, data!D:D, 0)), "") = "",
      IFNA(INDEX(data!M:M, MATCH(Caseslist!B101, data!D:D, 0)), 0) = 0
    ),
    "COMPLETE",
    IF(
      IFNA(INDEX(dataICM!D:D, MATCH(Caseslist!B101, dataICM!D:D, 0)), "INC") = "INC",
      IFNA(INDEX(dataICM!D:D, MATCH(Caseslist!B101, dataICM!D:D, 0)), "INC"),
      "COMPLETE"
    )
  )</f>
        <v>COMPLETE</v>
      </c>
      <c r="G101" s="10" t="str">
        <f t="array" ref="G101">IF(IFERROR(INDEX(data!L:L,match(Caseslist!B101,data!D:D,0)),"INC")="","COMPLETE",F101)</f>
        <v>COMPLETE</v>
      </c>
      <c r="H101" s="9" t="str">
        <f t="array" ref="H101">IFERROR(INDEX(dataICM!F:F,match(Caseslist!B101,dataICM!D:D,0)), "INC")</f>
        <v>Mary May_2</v>
      </c>
      <c r="I101" s="10">
        <f t="shared" si="2"/>
        <v>555127</v>
      </c>
      <c r="J101" s="9" t="str">
        <f t="array" ref="J101">IF(
  AND(
    IFERROR(MATCH(B101, data!D:D, 0), 0) &gt; 0,
    IFERROR(INDEX(data!N:N, MATCH(B101, data!D:D, 0)) = 1, FALSE)
  ),
  INDEX(data!C:C, MATCH(B101, data!D:D, 0)),
  "INC"
)</f>
        <v>2025-09-22T08:50:23.682+08</v>
      </c>
      <c r="K101" s="9" t="str">
        <f t="array" ref="K101">IFERROR(INDEX(dataICM!C:C,match(Caseslist!B101,dataICM!D:D,0)), "INC")</f>
        <v>2025-09-22T08:57:39.242+08</v>
      </c>
      <c r="L101" s="10" t="str">
        <f t="array" ref="L101">IF(AND(G101="COMPLETE", OR(K101="INC", ISBLANK(INDEX(data!O:O, ROW())))), J101, K101)</f>
        <v>2025-09-22T08:57:39.242+08</v>
      </c>
      <c r="M101" s="2">
        <v>45922.0</v>
      </c>
      <c r="N101" s="2">
        <f t="array" ref="N101">IF(M101&lt;&gt;"INC", INDEX(data!M:M, MATCH(B101, data!D:D, 0)), "")</f>
        <v>1</v>
      </c>
      <c r="O101" s="2">
        <f t="shared" si="3"/>
        <v>1</v>
      </c>
    </row>
    <row r="102">
      <c r="A102" s="2" t="str">
        <f t="shared" si="1"/>
        <v>H004132</v>
      </c>
      <c r="B102" s="1" t="s">
        <v>7848</v>
      </c>
      <c r="C102" s="9" t="str">
        <f t="array" ref="C102">IF(
  AND(
    IFERROR(MATCH(Caseslist!B102, data!D:D, 0), 0) &gt; 0,
    IFERROR(INDEX(data!N:N, MATCH(Caseslist!B102, data!D:D, 0)) = 1, FALSE)
  ),
  "COMPLETE",
  "INC"
)</f>
        <v>INC</v>
      </c>
      <c r="D102" s="9">
        <f t="array" ref="D102">IFERROR(INDEX(data!$G:$G,match(Caseslist!B102,data!$D:$D,0)), "INC")</f>
        <v>841329</v>
      </c>
      <c r="E102" s="9" t="str">
        <f t="array" ref="E102">IFERROR(INDEX(data!H:H,match(Caseslist!B102,data!D:D,0)), "INC")</f>
        <v>Aila Eli_2</v>
      </c>
      <c r="F102" s="10" t="str">
        <f t="array" ref="F102">IF(
    OR(
      IFNA(INDEX(data!M:M, MATCH(Caseslist!B102, data!D:D, 0)), "") = "",
      IFNA(INDEX(data!M:M, MATCH(Caseslist!B102, data!D:D, 0)), 0) = 0
    ),
    "COMPLETE",
    IF(
      IFNA(INDEX(dataICM!D:D, MATCH(Caseslist!B102, dataICM!D:D, 0)), "INC") = "INC",
      IFNA(INDEX(dataICM!D:D, MATCH(Caseslist!B102, dataICM!D:D, 0)), "INC"),
      "COMPLETE"
    )
  )</f>
        <v>INC</v>
      </c>
      <c r="G102" s="10" t="str">
        <f t="array" ref="G102">IF(IFERROR(INDEX(data!L:L,match(Caseslist!B102,data!D:D,0)),"INC")="","COMPLETE",F102)</f>
        <v>INC</v>
      </c>
      <c r="H102" s="9" t="str">
        <f t="array" ref="H102">IFERROR(INDEX(dataICM!F:F,match(Caseslist!B102,dataICM!D:D,0)), "INC")</f>
        <v>INC</v>
      </c>
      <c r="I102" s="10" t="str">
        <f t="shared" si="2"/>
        <v>INC</v>
      </c>
      <c r="J102" s="9" t="str">
        <f t="array" ref="J102">IF(
  AND(
    IFERROR(MATCH(B102, data!D:D, 0), 0) &gt; 0,
    IFERROR(INDEX(data!N:N, MATCH(B102, data!D:D, 0)) = 1, FALSE)
  ),
  INDEX(data!C:C, MATCH(B102, data!D:D, 0)),
  "INC"
)</f>
        <v>INC</v>
      </c>
      <c r="K102" s="9" t="str">
        <f t="array" ref="K102">IFERROR(INDEX(dataICM!C:C,match(Caseslist!B102,dataICM!D:D,0)), "INC")</f>
        <v>INC</v>
      </c>
      <c r="L102" s="10" t="str">
        <f t="array" ref="L102">IF(AND(G102="COMPLETE", OR(K102="INC", ISBLANK(INDEX(data!O:O, ROW())))), J102, K102)</f>
        <v>INC</v>
      </c>
      <c r="M102" s="2" t="s">
        <v>8886</v>
      </c>
      <c r="N102" s="2" t="str">
        <f t="array" ref="N102">IF(M102&lt;&gt;"INC", INDEX(data!M:M, MATCH(B102, data!D:D, 0)), "")</f>
        <v/>
      </c>
      <c r="O102" s="2" t="str">
        <f t="shared" si="3"/>
        <v/>
      </c>
    </row>
    <row r="103">
      <c r="A103" s="2" t="str">
        <f t="shared" si="1"/>
        <v>H004132</v>
      </c>
      <c r="B103" s="1" t="s">
        <v>8793</v>
      </c>
      <c r="C103" s="9" t="str">
        <f t="array" ref="C103">IF(
  AND(
    IFERROR(MATCH(Caseslist!B103, data!D:D, 0), 0) &gt; 0,
    IFERROR(INDEX(data!N:N, MATCH(Caseslist!B103, data!D:D, 0)) = 1, FALSE)
  ),
  "COMPLETE",
  "INC"
)</f>
        <v>COMPLETE</v>
      </c>
      <c r="D103" s="9">
        <f t="array" ref="D103">IFERROR(INDEX(data!$G:$G,match(Caseslist!B103,data!$D:$D,0)), "INC")</f>
        <v>841329</v>
      </c>
      <c r="E103" s="9" t="str">
        <f t="array" ref="E103">IFERROR(INDEX(data!H:H,match(Caseslist!B103,data!D:D,0)), "INC")</f>
        <v>Aila Eli_2</v>
      </c>
      <c r="F103" s="10" t="str">
        <f t="array" ref="F103">IF(
    OR(
      IFNA(INDEX(data!M:M, MATCH(Caseslist!B103, data!D:D, 0)), "") = "",
      IFNA(INDEX(data!M:M, MATCH(Caseslist!B103, data!D:D, 0)), 0) = 0
    ),
    "COMPLETE",
    IF(
      IFNA(INDEX(dataICM!D:D, MATCH(Caseslist!B103, dataICM!D:D, 0)), "INC") = "INC",
      IFNA(INDEX(dataICM!D:D, MATCH(Caseslist!B103, dataICM!D:D, 0)), "INC"),
      "COMPLETE"
    )
  )</f>
        <v>COMPLETE</v>
      </c>
      <c r="G103" s="10" t="str">
        <f t="array" ref="G103">IF(IFERROR(INDEX(data!L:L,match(Caseslist!B103,data!D:D,0)),"INC")="","COMPLETE",F103)</f>
        <v>COMPLETE</v>
      </c>
      <c r="H103" s="9" t="str">
        <f t="array" ref="H103">IFERROR(INDEX(dataICM!F:F,match(Caseslist!B103,dataICM!D:D,0)), "INC")</f>
        <v>Aila Eli_2</v>
      </c>
      <c r="I103" s="10">
        <f t="shared" si="2"/>
        <v>841329</v>
      </c>
      <c r="J103" s="9" t="str">
        <f t="array" ref="J103">IF(
  AND(
    IFERROR(MATCH(B103, data!D:D, 0), 0) &gt; 0,
    IFERROR(INDEX(data!N:N, MATCH(B103, data!D:D, 0)) = 1, FALSE)
  ),
  INDEX(data!C:C, MATCH(B103, data!D:D, 0)),
  "INC"
)</f>
        <v>2025-10-01T12:13:43.844+08</v>
      </c>
      <c r="K103" s="9" t="str">
        <f t="array" ref="K103">IFERROR(INDEX(dataICM!C:C,match(Caseslist!B103,dataICM!D:D,0)), "INC")</f>
        <v>2025-10-01T12:14:43.536+08</v>
      </c>
      <c r="L103" s="10" t="str">
        <f t="array" ref="L103">IF(AND(G103="COMPLETE", OR(K103="INC", ISBLANK(INDEX(data!O:O, ROW())))), J103, K103)</f>
        <v>2025-10-01T12:14:43.536+08</v>
      </c>
      <c r="M103" s="2">
        <v>45931.0</v>
      </c>
      <c r="N103" s="2">
        <f t="array" ref="N103">IF(M103&lt;&gt;"INC", INDEX(data!M:M, MATCH(B103, data!D:D, 0)), "")</f>
        <v>1</v>
      </c>
      <c r="O103" s="2">
        <f t="shared" si="3"/>
        <v>1</v>
      </c>
    </row>
    <row r="104">
      <c r="A104" s="2" t="str">
        <f t="shared" si="1"/>
        <v>H004132</v>
      </c>
      <c r="B104" s="1" t="s">
        <v>7828</v>
      </c>
      <c r="C104" s="9" t="str">
        <f t="array" ref="C104">IF(
  AND(
    IFERROR(MATCH(Caseslist!B104, data!D:D, 0), 0) &gt; 0,
    IFERROR(INDEX(data!N:N, MATCH(Caseslist!B104, data!D:D, 0)) = 1, FALSE)
  ),
  "COMPLETE",
  "INC"
)</f>
        <v>COMPLETE</v>
      </c>
      <c r="D104" s="9">
        <f t="array" ref="D104">IFERROR(INDEX(data!$G:$G,match(Caseslist!B104,data!$D:$D,0)), "INC")</f>
        <v>841329</v>
      </c>
      <c r="E104" s="9" t="str">
        <f t="array" ref="E104">IFERROR(INDEX(data!H:H,match(Caseslist!B104,data!D:D,0)), "INC")</f>
        <v>Aila Eli_2</v>
      </c>
      <c r="F104" s="10" t="str">
        <f t="array" ref="F104">IF(
    OR(
      IFNA(INDEX(data!M:M, MATCH(Caseslist!B104, data!D:D, 0)), "") = "",
      IFNA(INDEX(data!M:M, MATCH(Caseslist!B104, data!D:D, 0)), 0) = 0
    ),
    "COMPLETE",
    IF(
      IFNA(INDEX(dataICM!D:D, MATCH(Caseslist!B104, dataICM!D:D, 0)), "INC") = "INC",
      IFNA(INDEX(dataICM!D:D, MATCH(Caseslist!B104, dataICM!D:D, 0)), "INC"),
      "COMPLETE"
    )
  )</f>
        <v>COMPLETE</v>
      </c>
      <c r="G104" s="10" t="str">
        <f t="array" ref="G104">IF(IFERROR(INDEX(data!L:L,match(Caseslist!B104,data!D:D,0)),"INC")="","COMPLETE",F104)</f>
        <v>COMPLETE</v>
      </c>
      <c r="H104" s="9" t="str">
        <f t="array" ref="H104">IFERROR(INDEX(dataICM!F:F,match(Caseslist!B104,dataICM!D:D,0)), "INC")</f>
        <v>Aila Eli_2</v>
      </c>
      <c r="I104" s="10">
        <f t="shared" si="2"/>
        <v>841329</v>
      </c>
      <c r="J104" s="9" t="str">
        <f t="array" ref="J104">IF(
  AND(
    IFERROR(MATCH(B104, data!D:D, 0), 0) &gt; 0,
    IFERROR(INDEX(data!N:N, MATCH(B104, data!D:D, 0)) = 1, FALSE)
  ),
  INDEX(data!C:C, MATCH(B104, data!D:D, 0)),
  "INC"
)</f>
        <v>2025-09-22T08:39:15.119+08</v>
      </c>
      <c r="K104" s="9" t="str">
        <f t="array" ref="K104">IFERROR(INDEX(dataICM!C:C,match(Caseslist!B104,dataICM!D:D,0)), "INC")</f>
        <v>2025-09-22T08:49:27.334+08</v>
      </c>
      <c r="L104" s="10" t="str">
        <f t="array" ref="L104">IF(AND(G104="COMPLETE", OR(K104="INC", ISBLANK(INDEX(data!O:O, ROW())))), J104, K104)</f>
        <v>2025-09-22T08:49:27.334+08</v>
      </c>
      <c r="M104" s="2">
        <v>45922.0</v>
      </c>
      <c r="N104" s="2">
        <f t="array" ref="N104">IF(M104&lt;&gt;"INC", INDEX(data!M:M, MATCH(B104, data!D:D, 0)), "")</f>
        <v>1</v>
      </c>
      <c r="O104" s="2">
        <f t="shared" si="3"/>
        <v>1</v>
      </c>
    </row>
    <row r="105">
      <c r="A105" s="2" t="str">
        <f t="shared" si="1"/>
        <v>H004132</v>
      </c>
      <c r="B105" s="1" t="s">
        <v>8043</v>
      </c>
      <c r="C105" s="9" t="str">
        <f t="array" ref="C105">IF(
  AND(
    IFERROR(MATCH(Caseslist!B105, data!D:D, 0), 0) &gt; 0,
    IFERROR(INDEX(data!N:N, MATCH(Caseslist!B105, data!D:D, 0)) = 1, FALSE)
  ),
  "COMPLETE",
  "INC"
)</f>
        <v>COMPLETE</v>
      </c>
      <c r="D105" s="9">
        <f t="array" ref="D105">IFERROR(INDEX(data!$G:$G,match(Caseslist!B105,data!$D:$D,0)), "INC")</f>
        <v>455939</v>
      </c>
      <c r="E105" s="9" t="str">
        <f t="array" ref="E105">IFERROR(INDEX(data!H:H,match(Caseslist!B105,data!D:D,0)), "INC")</f>
        <v>Mary Jean Villaflor_2</v>
      </c>
      <c r="F105" s="10" t="str">
        <f t="array" ref="F105">IF(
    OR(
      IFNA(INDEX(data!M:M, MATCH(Caseslist!B105, data!D:D, 0)), "") = "",
      IFNA(INDEX(data!M:M, MATCH(Caseslist!B105, data!D:D, 0)), 0) = 0
    ),
    "COMPLETE",
    IF(
      IFNA(INDEX(dataICM!D:D, MATCH(Caseslist!B105, dataICM!D:D, 0)), "INC") = "INC",
      IFNA(INDEX(dataICM!D:D, MATCH(Caseslist!B105, dataICM!D:D, 0)), "INC"),
      "COMPLETE"
    )
  )</f>
        <v>COMPLETE</v>
      </c>
      <c r="G105" s="10" t="str">
        <f t="array" ref="G105">IF(IFERROR(INDEX(data!L:L,match(Caseslist!B105,data!D:D,0)),"INC")="","COMPLETE",F105)</f>
        <v>COMPLETE</v>
      </c>
      <c r="H105" s="9" t="str">
        <f t="array" ref="H105">IFERROR(INDEX(dataICM!F:F,match(Caseslist!B105,dataICM!D:D,0)), "INC")</f>
        <v>Mary Jean Villaflor_2</v>
      </c>
      <c r="I105" s="10">
        <f t="shared" si="2"/>
        <v>455939</v>
      </c>
      <c r="J105" s="9" t="str">
        <f t="array" ref="J105">IF(
  AND(
    IFERROR(MATCH(B105, data!D:D, 0), 0) &gt; 0,
    IFERROR(INDEX(data!N:N, MATCH(B105, data!D:D, 0)) = 1, FALSE)
  ),
  INDEX(data!C:C, MATCH(B105, data!D:D, 0)),
  "INC"
)</f>
        <v>2025-09-22T19:18:43.670+08</v>
      </c>
      <c r="K105" s="9" t="str">
        <f t="array" ref="K105">IFERROR(INDEX(dataICM!C:C,match(Caseslist!B105,dataICM!D:D,0)), "INC")</f>
        <v>2025-09-22T19:17:59.313+08</v>
      </c>
      <c r="L105" s="10" t="str">
        <f t="array" ref="L105">IF(AND(G105="COMPLETE", OR(K105="INC", ISBLANK(INDEX(data!O:O, ROW())))), J105, K105)</f>
        <v>2025-09-22T19:17:59.313+08</v>
      </c>
      <c r="M105" s="2">
        <v>45922.0</v>
      </c>
      <c r="N105" s="2">
        <f t="array" ref="N105">IF(M105&lt;&gt;"INC", INDEX(data!M:M, MATCH(B105, data!D:D, 0)), "")</f>
        <v>1</v>
      </c>
      <c r="O105" s="2">
        <f t="shared" si="3"/>
        <v>1</v>
      </c>
    </row>
    <row r="106">
      <c r="A106" s="2" t="str">
        <f t="shared" si="1"/>
        <v>H004132</v>
      </c>
      <c r="B106" s="1" t="s">
        <v>8038</v>
      </c>
      <c r="C106" s="9" t="str">
        <f t="array" ref="C106">IF(
  AND(
    IFERROR(MATCH(Caseslist!B106, data!D:D, 0), 0) &gt; 0,
    IFERROR(INDEX(data!N:N, MATCH(Caseslist!B106, data!D:D, 0)) = 1, FALSE)
  ),
  "COMPLETE",
  "INC"
)</f>
        <v>COMPLETE</v>
      </c>
      <c r="D106" s="9">
        <f t="array" ref="D106">IFERROR(INDEX(data!$G:$G,match(Caseslist!B106,data!$D:$D,0)), "INC")</f>
        <v>455939</v>
      </c>
      <c r="E106" s="9" t="str">
        <f t="array" ref="E106">IFERROR(INDEX(data!H:H,match(Caseslist!B106,data!D:D,0)), "INC")</f>
        <v>Mary Jean Villaflor_2</v>
      </c>
      <c r="F106" s="10" t="str">
        <f t="array" ref="F106">IF(
    OR(
      IFNA(INDEX(data!M:M, MATCH(Caseslist!B106, data!D:D, 0)), "") = "",
      IFNA(INDEX(data!M:M, MATCH(Caseslist!B106, data!D:D, 0)), 0) = 0
    ),
    "COMPLETE",
    IF(
      IFNA(INDEX(dataICM!D:D, MATCH(Caseslist!B106, dataICM!D:D, 0)), "INC") = "INC",
      IFNA(INDEX(dataICM!D:D, MATCH(Caseslist!B106, dataICM!D:D, 0)), "INC"),
      "COMPLETE"
    )
  )</f>
        <v>COMPLETE</v>
      </c>
      <c r="G106" s="10" t="str">
        <f t="array" ref="G106">IF(IFERROR(INDEX(data!L:L,match(Caseslist!B106,data!D:D,0)),"INC")="","COMPLETE",F106)</f>
        <v>COMPLETE</v>
      </c>
      <c r="H106" s="9" t="str">
        <f t="array" ref="H106">IFERROR(INDEX(dataICM!F:F,match(Caseslist!B106,dataICM!D:D,0)), "INC")</f>
        <v>Mary Jean Villaflor_2</v>
      </c>
      <c r="I106" s="10">
        <f t="shared" si="2"/>
        <v>455939</v>
      </c>
      <c r="J106" s="9" t="str">
        <f t="array" ref="J106">IF(
  AND(
    IFERROR(MATCH(B106, data!D:D, 0), 0) &gt; 0,
    IFERROR(INDEX(data!N:N, MATCH(B106, data!D:D, 0)) = 1, FALSE)
  ),
  INDEX(data!C:C, MATCH(B106, data!D:D, 0)),
  "INC"
)</f>
        <v>2025-09-22T19:18:21.490+08</v>
      </c>
      <c r="K106" s="9" t="str">
        <f t="array" ref="K106">IFERROR(INDEX(dataICM!C:C,match(Caseslist!B106,dataICM!D:D,0)), "INC")</f>
        <v>2025-09-22T19:17:11.322+08</v>
      </c>
      <c r="L106" s="10" t="str">
        <f t="array" ref="L106">IF(AND(G106="COMPLETE", OR(K106="INC", ISBLANK(INDEX(data!O:O, ROW())))), J106, K106)</f>
        <v>2025-09-22T19:17:11.322+08</v>
      </c>
      <c r="M106" s="2">
        <v>45922.0</v>
      </c>
      <c r="N106" s="2">
        <f t="array" ref="N106">IF(M106&lt;&gt;"INC", INDEX(data!M:M, MATCH(B106, data!D:D, 0)), "")</f>
        <v>1</v>
      </c>
      <c r="O106" s="2">
        <f t="shared" si="3"/>
        <v>1</v>
      </c>
    </row>
    <row r="107">
      <c r="A107" s="2" t="str">
        <f t="shared" si="1"/>
        <v>H004132</v>
      </c>
      <c r="B107" s="1" t="s">
        <v>8018</v>
      </c>
      <c r="C107" s="9" t="str">
        <f t="array" ref="C107">IF(
  AND(
    IFERROR(MATCH(Caseslist!B107, data!D:D, 0), 0) &gt; 0,
    IFERROR(INDEX(data!N:N, MATCH(Caseslist!B107, data!D:D, 0)) = 1, FALSE)
  ),
  "COMPLETE",
  "INC"
)</f>
        <v>COMPLETE</v>
      </c>
      <c r="D107" s="9">
        <f t="array" ref="D107">IFERROR(INDEX(data!$G:$G,match(Caseslist!B107,data!$D:$D,0)), "INC")</f>
        <v>555127</v>
      </c>
      <c r="E107" s="9" t="str">
        <f t="array" ref="E107">IFERROR(INDEX(data!H:H,match(Caseslist!B107,data!D:D,0)), "INC")</f>
        <v>Mary May_2</v>
      </c>
      <c r="F107" s="10" t="str">
        <f t="array" ref="F107">IF(
    OR(
      IFNA(INDEX(data!M:M, MATCH(Caseslist!B107, data!D:D, 0)), "") = "",
      IFNA(INDEX(data!M:M, MATCH(Caseslist!B107, data!D:D, 0)), 0) = 0
    ),
    "COMPLETE",
    IF(
      IFNA(INDEX(dataICM!D:D, MATCH(Caseslist!B107, dataICM!D:D, 0)), "INC") = "INC",
      IFNA(INDEX(dataICM!D:D, MATCH(Caseslist!B107, dataICM!D:D, 0)), "INC"),
      "COMPLETE"
    )
  )</f>
        <v>COMPLETE</v>
      </c>
      <c r="G107" s="10" t="str">
        <f t="array" ref="G107">IF(IFERROR(INDEX(data!L:L,match(Caseslist!B107,data!D:D,0)),"INC")="","COMPLETE",F107)</f>
        <v>COMPLETE</v>
      </c>
      <c r="H107" s="9" t="str">
        <f t="array" ref="H107">IFERROR(INDEX(dataICM!F:F,match(Caseslist!B107,dataICM!D:D,0)), "INC")</f>
        <v>Mary May_2</v>
      </c>
      <c r="I107" s="10">
        <f t="shared" si="2"/>
        <v>555127</v>
      </c>
      <c r="J107" s="9" t="str">
        <f t="array" ref="J107">IF(
  AND(
    IFERROR(MATCH(B107, data!D:D, 0), 0) &gt; 0,
    IFERROR(INDEX(data!N:N, MATCH(B107, data!D:D, 0)) = 1, FALSE)
  ),
  INDEX(data!C:C, MATCH(B107, data!D:D, 0)),
  "INC"
)</f>
        <v>2025-09-22T12:36:36.380+08</v>
      </c>
      <c r="K107" s="9" t="str">
        <f t="array" ref="K107">IFERROR(INDEX(dataICM!C:C,match(Caseslist!B107,dataICM!D:D,0)), "INC")</f>
        <v>2025-09-22T12:38:58.234+08</v>
      </c>
      <c r="L107" s="10" t="str">
        <f t="array" ref="L107">IF(AND(G107="COMPLETE", OR(K107="INC", ISBLANK(INDEX(data!O:O, ROW())))), J107, K107)</f>
        <v>2025-09-22T12:38:58.234+08</v>
      </c>
      <c r="M107" s="2">
        <v>45922.0</v>
      </c>
      <c r="N107" s="2">
        <f t="array" ref="N107">IF(M107&lt;&gt;"INC", INDEX(data!M:M, MATCH(B107, data!D:D, 0)), "")</f>
        <v>1</v>
      </c>
      <c r="O107" s="2">
        <f t="shared" si="3"/>
        <v>1</v>
      </c>
    </row>
    <row r="108">
      <c r="A108" s="2" t="str">
        <f t="shared" si="1"/>
        <v>H004132</v>
      </c>
      <c r="B108" s="1" t="s">
        <v>8013</v>
      </c>
      <c r="C108" s="9" t="str">
        <f t="array" ref="C108">IF(
  AND(
    IFERROR(MATCH(Caseslist!B108, data!D:D, 0), 0) &gt; 0,
    IFERROR(INDEX(data!N:N, MATCH(Caseslist!B108, data!D:D, 0)) = 1, FALSE)
  ),
  "COMPLETE",
  "INC"
)</f>
        <v>COMPLETE</v>
      </c>
      <c r="D108" s="9">
        <f t="array" ref="D108">IFERROR(INDEX(data!$G:$G,match(Caseslist!B108,data!$D:$D,0)), "INC")</f>
        <v>555127</v>
      </c>
      <c r="E108" s="9" t="str">
        <f t="array" ref="E108">IFERROR(INDEX(data!H:H,match(Caseslist!B108,data!D:D,0)), "INC")</f>
        <v>Mary May_2</v>
      </c>
      <c r="F108" s="10" t="str">
        <f t="array" ref="F108">IF(
    OR(
      IFNA(INDEX(data!M:M, MATCH(Caseslist!B108, data!D:D, 0)), "") = "",
      IFNA(INDEX(data!M:M, MATCH(Caseslist!B108, data!D:D, 0)), 0) = 0
    ),
    "COMPLETE",
    IF(
      IFNA(INDEX(dataICM!D:D, MATCH(Caseslist!B108, dataICM!D:D, 0)), "INC") = "INC",
      IFNA(INDEX(dataICM!D:D, MATCH(Caseslist!B108, dataICM!D:D, 0)), "INC"),
      "COMPLETE"
    )
  )</f>
        <v>COMPLETE</v>
      </c>
      <c r="G108" s="10" t="str">
        <f t="array" ref="G108">IF(IFERROR(INDEX(data!L:L,match(Caseslist!B108,data!D:D,0)),"INC")="","COMPLETE",F108)</f>
        <v>COMPLETE</v>
      </c>
      <c r="H108" s="9" t="str">
        <f t="array" ref="H108">IFERROR(INDEX(dataICM!F:F,match(Caseslist!B108,dataICM!D:D,0)), "INC")</f>
        <v>Mary May_2</v>
      </c>
      <c r="I108" s="10">
        <f t="shared" si="2"/>
        <v>555127</v>
      </c>
      <c r="J108" s="9" t="str">
        <f t="array" ref="J108">IF(
  AND(
    IFERROR(MATCH(B108, data!D:D, 0), 0) &gt; 0,
    IFERROR(INDEX(data!N:N, MATCH(B108, data!D:D, 0)) = 1, FALSE)
  ),
  INDEX(data!C:C, MATCH(B108, data!D:D, 0)),
  "INC"
)</f>
        <v>2025-09-22T11:39:48.455+08</v>
      </c>
      <c r="K108" s="9" t="str">
        <f t="array" ref="K108">IFERROR(INDEX(dataICM!C:C,match(Caseslist!B108,dataICM!D:D,0)), "INC")</f>
        <v>2025-09-22T11:47:39.602+08</v>
      </c>
      <c r="L108" s="10" t="str">
        <f t="array" ref="L108">IF(AND(G108="COMPLETE", OR(K108="INC", ISBLANK(INDEX(data!O:O, ROW())))), J108, K108)</f>
        <v>2025-09-22T11:47:39.602+08</v>
      </c>
      <c r="M108" s="2">
        <v>45922.0</v>
      </c>
      <c r="N108" s="2">
        <f t="array" ref="N108">IF(M108&lt;&gt;"INC", INDEX(data!M:M, MATCH(B108, data!D:D, 0)), "")</f>
        <v>1</v>
      </c>
      <c r="O108" s="2">
        <f t="shared" si="3"/>
        <v>1</v>
      </c>
    </row>
    <row r="109">
      <c r="A109" s="2" t="str">
        <f t="shared" si="1"/>
        <v>H004132</v>
      </c>
      <c r="B109" s="1" t="s">
        <v>7833</v>
      </c>
      <c r="C109" s="9" t="str">
        <f t="array" ref="C109">IF(
  AND(
    IFERROR(MATCH(Caseslist!B109, data!D:D, 0), 0) &gt; 0,
    IFERROR(INDEX(data!N:N, MATCH(Caseslist!B109, data!D:D, 0)) = 1, FALSE)
  ),
  "COMPLETE",
  "INC"
)</f>
        <v>COMPLETE</v>
      </c>
      <c r="D109" s="9">
        <f t="array" ref="D109">IFERROR(INDEX(data!$G:$G,match(Caseslist!B109,data!$D:$D,0)), "INC")</f>
        <v>841329</v>
      </c>
      <c r="E109" s="9" t="str">
        <f t="array" ref="E109">IFERROR(INDEX(data!H:H,match(Caseslist!B109,data!D:D,0)), "INC")</f>
        <v>Aila Eli_2</v>
      </c>
      <c r="F109" s="10" t="str">
        <f t="array" ref="F109">IF(
    OR(
      IFNA(INDEX(data!M:M, MATCH(Caseslist!B109, data!D:D, 0)), "") = "",
      IFNA(INDEX(data!M:M, MATCH(Caseslist!B109, data!D:D, 0)), 0) = 0
    ),
    "COMPLETE",
    IF(
      IFNA(INDEX(dataICM!D:D, MATCH(Caseslist!B109, dataICM!D:D, 0)), "INC") = "INC",
      IFNA(INDEX(dataICM!D:D, MATCH(Caseslist!B109, dataICM!D:D, 0)), "INC"),
      "COMPLETE"
    )
  )</f>
        <v>COMPLETE</v>
      </c>
      <c r="G109" s="10" t="str">
        <f t="array" ref="G109">IF(IFERROR(INDEX(data!L:L,match(Caseslist!B109,data!D:D,0)),"INC")="","COMPLETE",F109)</f>
        <v>COMPLETE</v>
      </c>
      <c r="H109" s="9" t="str">
        <f t="array" ref="H109">IFERROR(INDEX(dataICM!F:F,match(Caseslist!B109,dataICM!D:D,0)), "INC")</f>
        <v>Aila Eli_2</v>
      </c>
      <c r="I109" s="10">
        <f t="shared" si="2"/>
        <v>841329</v>
      </c>
      <c r="J109" s="9" t="str">
        <f t="array" ref="J109">IF(
  AND(
    IFERROR(MATCH(B109, data!D:D, 0), 0) &gt; 0,
    IFERROR(INDEX(data!N:N, MATCH(B109, data!D:D, 0)) = 1, FALSE)
  ),
  INDEX(data!C:C, MATCH(B109, data!D:D, 0)),
  "INC"
)</f>
        <v>2025-09-22T10:02:57.704+08</v>
      </c>
      <c r="K109" s="9" t="str">
        <f t="array" ref="K109">IFERROR(INDEX(dataICM!C:C,match(Caseslist!B109,dataICM!D:D,0)), "INC")</f>
        <v>2025-09-22T10:11:12.177+08</v>
      </c>
      <c r="L109" s="10" t="str">
        <f t="array" ref="L109">IF(AND(G109="COMPLETE", OR(K109="INC", ISBLANK(INDEX(data!O:O, ROW())))), J109, K109)</f>
        <v>2025-09-22T10:11:12.177+08</v>
      </c>
      <c r="M109" s="2">
        <v>45922.0</v>
      </c>
      <c r="N109" s="2">
        <f t="array" ref="N109">IF(M109&lt;&gt;"INC", INDEX(data!M:M, MATCH(B109, data!D:D, 0)), "")</f>
        <v>1</v>
      </c>
      <c r="O109" s="2">
        <f t="shared" si="3"/>
        <v>1</v>
      </c>
    </row>
    <row r="110">
      <c r="A110" s="2" t="str">
        <f t="shared" si="1"/>
        <v>H004132</v>
      </c>
      <c r="B110" s="1" t="s">
        <v>7838</v>
      </c>
      <c r="C110" s="9" t="str">
        <f t="array" ref="C110">IF(
  AND(
    IFERROR(MATCH(Caseslist!B110, data!D:D, 0), 0) &gt; 0,
    IFERROR(INDEX(data!N:N, MATCH(Caseslist!B110, data!D:D, 0)) = 1, FALSE)
  ),
  "COMPLETE",
  "INC"
)</f>
        <v>COMPLETE</v>
      </c>
      <c r="D110" s="9">
        <f t="array" ref="D110">IFERROR(INDEX(data!$G:$G,match(Caseslist!B110,data!$D:$D,0)), "INC")</f>
        <v>841329</v>
      </c>
      <c r="E110" s="9" t="str">
        <f t="array" ref="E110">IFERROR(INDEX(data!H:H,match(Caseslist!B110,data!D:D,0)), "INC")</f>
        <v>Aila Eli_2</v>
      </c>
      <c r="F110" s="10" t="str">
        <f t="array" ref="F110">IF(
    OR(
      IFNA(INDEX(data!M:M, MATCH(Caseslist!B110, data!D:D, 0)), "") = "",
      IFNA(INDEX(data!M:M, MATCH(Caseslist!B110, data!D:D, 0)), 0) = 0
    ),
    "COMPLETE",
    IF(
      IFNA(INDEX(dataICM!D:D, MATCH(Caseslist!B110, dataICM!D:D, 0)), "INC") = "INC",
      IFNA(INDEX(dataICM!D:D, MATCH(Caseslist!B110, dataICM!D:D, 0)), "INC"),
      "COMPLETE"
    )
  )</f>
        <v>COMPLETE</v>
      </c>
      <c r="G110" s="10" t="str">
        <f t="array" ref="G110">IF(IFERROR(INDEX(data!L:L,match(Caseslist!B110,data!D:D,0)),"INC")="","COMPLETE",F110)</f>
        <v>COMPLETE</v>
      </c>
      <c r="H110" s="9" t="str">
        <f t="array" ref="H110">IFERROR(INDEX(dataICM!F:F,match(Caseslist!B110,dataICM!D:D,0)), "INC")</f>
        <v>Aila Eli_2</v>
      </c>
      <c r="I110" s="10">
        <f t="shared" si="2"/>
        <v>841329</v>
      </c>
      <c r="J110" s="9" t="str">
        <f t="array" ref="J110">IF(
  AND(
    IFERROR(MATCH(B110, data!D:D, 0), 0) &gt; 0,
    IFERROR(INDEX(data!N:N, MATCH(B110, data!D:D, 0)) = 1, FALSE)
  ),
  INDEX(data!C:C, MATCH(B110, data!D:D, 0)),
  "INC"
)</f>
        <v>2025-09-22T11:16:10.464+08</v>
      </c>
      <c r="K110" s="9" t="str">
        <f t="array" ref="K110">IFERROR(INDEX(dataICM!C:C,match(Caseslist!B110,dataICM!D:D,0)), "INC")</f>
        <v>2025-09-22T11:23:47.320+08</v>
      </c>
      <c r="L110" s="10" t="str">
        <f t="array" ref="L110">IF(AND(G110="COMPLETE", OR(K110="INC", ISBLANK(INDEX(data!O:O, ROW())))), J110, K110)</f>
        <v>2025-09-22T11:23:47.320+08</v>
      </c>
      <c r="M110" s="2">
        <v>45922.0</v>
      </c>
      <c r="N110" s="2">
        <f t="array" ref="N110">IF(M110&lt;&gt;"INC", INDEX(data!M:M, MATCH(B110, data!D:D, 0)), "")</f>
        <v>1</v>
      </c>
      <c r="O110" s="2">
        <f t="shared" si="3"/>
        <v>1</v>
      </c>
    </row>
    <row r="111">
      <c r="A111" s="2" t="str">
        <f t="shared" si="1"/>
        <v>H004132</v>
      </c>
      <c r="B111" s="1" t="s">
        <v>8033</v>
      </c>
      <c r="C111" s="9" t="str">
        <f t="array" ref="C111">IF(
  AND(
    IFERROR(MATCH(Caseslist!B111, data!D:D, 0), 0) &gt; 0,
    IFERROR(INDEX(data!N:N, MATCH(Caseslist!B111, data!D:D, 0)) = 1, FALSE)
  ),
  "COMPLETE",
  "INC"
)</f>
        <v>COMPLETE</v>
      </c>
      <c r="D111" s="9">
        <f t="array" ref="D111">IFERROR(INDEX(data!$G:$G,match(Caseslist!B111,data!$D:$D,0)), "INC")</f>
        <v>455939</v>
      </c>
      <c r="E111" s="9" t="str">
        <f t="array" ref="E111">IFERROR(INDEX(data!H:H,match(Caseslist!B111,data!D:D,0)), "INC")</f>
        <v>Mary Jean Villaflor_2</v>
      </c>
      <c r="F111" s="10" t="str">
        <f t="array" ref="F111">IF(
    OR(
      IFNA(INDEX(data!M:M, MATCH(Caseslist!B111, data!D:D, 0)), "") = "",
      IFNA(INDEX(data!M:M, MATCH(Caseslist!B111, data!D:D, 0)), 0) = 0
    ),
    "COMPLETE",
    IF(
      IFNA(INDEX(dataICM!D:D, MATCH(Caseslist!B111, dataICM!D:D, 0)), "INC") = "INC",
      IFNA(INDEX(dataICM!D:D, MATCH(Caseslist!B111, dataICM!D:D, 0)), "INC"),
      "COMPLETE"
    )
  )</f>
        <v>COMPLETE</v>
      </c>
      <c r="G111" s="10" t="str">
        <f t="array" ref="G111">IF(IFERROR(INDEX(data!L:L,match(Caseslist!B111,data!D:D,0)),"INC")="","COMPLETE",F111)</f>
        <v>COMPLETE</v>
      </c>
      <c r="H111" s="9" t="str">
        <f t="array" ref="H111">IFERROR(INDEX(dataICM!F:F,match(Caseslist!B111,dataICM!D:D,0)), "INC")</f>
        <v>Mary Jean Villaflor_2</v>
      </c>
      <c r="I111" s="10">
        <f t="shared" si="2"/>
        <v>455939</v>
      </c>
      <c r="J111" s="9" t="str">
        <f t="array" ref="J111">IF(
  AND(
    IFERROR(MATCH(B111, data!D:D, 0), 0) &gt; 0,
    IFERROR(INDEX(data!N:N, MATCH(B111, data!D:D, 0)) = 1, FALSE)
  ),
  INDEX(data!C:C, MATCH(B111, data!D:D, 0)),
  "INC"
)</f>
        <v>2025-09-23T17:26:31.424+08</v>
      </c>
      <c r="K111" s="9" t="str">
        <f t="array" ref="K111">IFERROR(INDEX(dataICM!C:C,match(Caseslist!B111,dataICM!D:D,0)), "INC")</f>
        <v>2025-09-23T17:26:03.840+08</v>
      </c>
      <c r="L111" s="10" t="str">
        <f t="array" ref="L111">IF(AND(G111="COMPLETE", OR(K111="INC", ISBLANK(INDEX(data!O:O, ROW())))), J111, K111)</f>
        <v>2025-09-23T17:26:03.840+08</v>
      </c>
      <c r="M111" s="2">
        <v>45923.0</v>
      </c>
      <c r="N111" s="2">
        <f t="array" ref="N111">IF(M111&lt;&gt;"INC", INDEX(data!M:M, MATCH(B111, data!D:D, 0)), "")</f>
        <v>1</v>
      </c>
      <c r="O111" s="2">
        <f t="shared" si="3"/>
        <v>1</v>
      </c>
    </row>
    <row r="112">
      <c r="A112" s="2" t="str">
        <f t="shared" si="1"/>
        <v>H004132</v>
      </c>
      <c r="B112" s="1" t="s">
        <v>7843</v>
      </c>
      <c r="C112" s="9" t="str">
        <f t="array" ref="C112">IF(
  AND(
    IFERROR(MATCH(Caseslist!B112, data!D:D, 0), 0) &gt; 0,
    IFERROR(INDEX(data!N:N, MATCH(Caseslist!B112, data!D:D, 0)) = 1, FALSE)
  ),
  "COMPLETE",
  "INC"
)</f>
        <v>COMPLETE</v>
      </c>
      <c r="D112" s="9">
        <f t="array" ref="D112">IFERROR(INDEX(data!$G:$G,match(Caseslist!B112,data!$D:$D,0)), "INC")</f>
        <v>841329</v>
      </c>
      <c r="E112" s="9" t="str">
        <f t="array" ref="E112">IFERROR(INDEX(data!H:H,match(Caseslist!B112,data!D:D,0)), "INC")</f>
        <v>Aila Eli_2</v>
      </c>
      <c r="F112" s="10" t="str">
        <f t="array" ref="F112">IF(
    OR(
      IFNA(INDEX(data!M:M, MATCH(Caseslist!B112, data!D:D, 0)), "") = "",
      IFNA(INDEX(data!M:M, MATCH(Caseslist!B112, data!D:D, 0)), 0) = 0
    ),
    "COMPLETE",
    IF(
      IFNA(INDEX(dataICM!D:D, MATCH(Caseslist!B112, dataICM!D:D, 0)), "INC") = "INC",
      IFNA(INDEX(dataICM!D:D, MATCH(Caseslist!B112, dataICM!D:D, 0)), "INC"),
      "COMPLETE"
    )
  )</f>
        <v>COMPLETE</v>
      </c>
      <c r="G112" s="10" t="str">
        <f t="array" ref="G112">IF(IFERROR(INDEX(data!L:L,match(Caseslist!B112,data!D:D,0)),"INC")="","COMPLETE",F112)</f>
        <v>COMPLETE</v>
      </c>
      <c r="H112" s="9" t="str">
        <f t="array" ref="H112">IFERROR(INDEX(dataICM!F:F,match(Caseslist!B112,dataICM!D:D,0)), "INC")</f>
        <v>Aila Eli_2</v>
      </c>
      <c r="I112" s="10">
        <f t="shared" si="2"/>
        <v>841329</v>
      </c>
      <c r="J112" s="9" t="str">
        <f t="array" ref="J112">IF(
  AND(
    IFERROR(MATCH(B112, data!D:D, 0), 0) &gt; 0,
    IFERROR(INDEX(data!N:N, MATCH(B112, data!D:D, 0)) = 1, FALSE)
  ),
  INDEX(data!C:C, MATCH(B112, data!D:D, 0)),
  "INC"
)</f>
        <v>2025-09-22T12:25:50.526+08</v>
      </c>
      <c r="K112" s="9" t="str">
        <f t="array" ref="K112">IFERROR(INDEX(dataICM!C:C,match(Caseslist!B112,dataICM!D:D,0)), "INC")</f>
        <v>2025-09-22T12:36:03.592+08</v>
      </c>
      <c r="L112" s="10" t="str">
        <f t="array" ref="L112">IF(AND(G112="COMPLETE", OR(K112="INC", ISBLANK(INDEX(data!O:O, ROW())))), J112, K112)</f>
        <v>2025-09-22T12:36:03.592+08</v>
      </c>
      <c r="M112" s="2">
        <v>45922.0</v>
      </c>
      <c r="N112" s="2">
        <f t="array" ref="N112">IF(M112&lt;&gt;"INC", INDEX(data!M:M, MATCH(B112, data!D:D, 0)), "")</f>
        <v>1</v>
      </c>
      <c r="O112" s="2">
        <f t="shared" si="3"/>
        <v>1</v>
      </c>
    </row>
    <row r="113">
      <c r="A113" s="2" t="str">
        <f t="shared" si="1"/>
        <v>H004132</v>
      </c>
      <c r="B113" s="1" t="s">
        <v>8023</v>
      </c>
      <c r="C113" s="9" t="str">
        <f t="array" ref="C113">IF(
  AND(
    IFERROR(MATCH(Caseslist!B113, data!D:D, 0), 0) &gt; 0,
    IFERROR(INDEX(data!N:N, MATCH(Caseslist!B113, data!D:D, 0)) = 1, FALSE)
  ),
  "COMPLETE",
  "INC"
)</f>
        <v>COMPLETE</v>
      </c>
      <c r="D113" s="9">
        <f t="array" ref="D113">IFERROR(INDEX(data!$G:$G,match(Caseslist!B113,data!$D:$D,0)), "INC")</f>
        <v>555127</v>
      </c>
      <c r="E113" s="9" t="str">
        <f t="array" ref="E113">IFERROR(INDEX(data!H:H,match(Caseslist!B113,data!D:D,0)), "INC")</f>
        <v>Mary May_2</v>
      </c>
      <c r="F113" s="10" t="str">
        <f t="array" ref="F113">IF(
    OR(
      IFNA(INDEX(data!M:M, MATCH(Caseslist!B113, data!D:D, 0)), "") = "",
      IFNA(INDEX(data!M:M, MATCH(Caseslist!B113, data!D:D, 0)), 0) = 0
    ),
    "COMPLETE",
    IF(
      IFNA(INDEX(dataICM!D:D, MATCH(Caseslist!B113, dataICM!D:D, 0)), "INC") = "INC",
      IFNA(INDEX(dataICM!D:D, MATCH(Caseslist!B113, dataICM!D:D, 0)), "INC"),
      "COMPLETE"
    )
  )</f>
        <v>COMPLETE</v>
      </c>
      <c r="G113" s="10" t="str">
        <f t="array" ref="G113">IF(IFERROR(INDEX(data!L:L,match(Caseslist!B113,data!D:D,0)),"INC")="","COMPLETE",F113)</f>
        <v>COMPLETE</v>
      </c>
      <c r="H113" s="9" t="str">
        <f t="array" ref="H113">IFERROR(INDEX(dataICM!F:F,match(Caseslist!B113,dataICM!D:D,0)), "INC")</f>
        <v>Mary May_2</v>
      </c>
      <c r="I113" s="10">
        <f t="shared" si="2"/>
        <v>555127</v>
      </c>
      <c r="J113" s="9" t="str">
        <f t="array" ref="J113">IF(
  AND(
    IFERROR(MATCH(B113, data!D:D, 0), 0) &gt; 0,
    IFERROR(INDEX(data!N:N, MATCH(B113, data!D:D, 0)) = 1, FALSE)
  ),
  INDEX(data!C:C, MATCH(B113, data!D:D, 0)),
  "INC"
)</f>
        <v>2025-09-22T13:51:09.651+08</v>
      </c>
      <c r="K113" s="9" t="str">
        <f t="array" ref="K113">IFERROR(INDEX(dataICM!C:C,match(Caseslist!B113,dataICM!D:D,0)), "INC")</f>
        <v>2025-09-22T16:46:46.067+08</v>
      </c>
      <c r="L113" s="10" t="str">
        <f t="array" ref="L113">IF(AND(G113="COMPLETE", OR(K113="INC", ISBLANK(INDEX(data!O:O, ROW())))), J113, K113)</f>
        <v>2025-09-22T16:46:46.067+08</v>
      </c>
      <c r="M113" s="2">
        <v>45922.0</v>
      </c>
      <c r="N113" s="2">
        <f t="array" ref="N113">IF(M113&lt;&gt;"INC", INDEX(data!M:M, MATCH(B113, data!D:D, 0)), "")</f>
        <v>1</v>
      </c>
      <c r="O113" s="2">
        <f t="shared" si="3"/>
        <v>1</v>
      </c>
    </row>
    <row r="114">
      <c r="A114" s="2" t="str">
        <f t="shared" si="1"/>
        <v>H004132</v>
      </c>
      <c r="B114" s="1" t="s">
        <v>8003</v>
      </c>
      <c r="C114" s="9" t="str">
        <f t="array" ref="C114">IF(
  AND(
    IFERROR(MATCH(Caseslist!B114, data!D:D, 0), 0) &gt; 0,
    IFERROR(INDEX(data!N:N, MATCH(Caseslist!B114, data!D:D, 0)) = 1, FALSE)
  ),
  "COMPLETE",
  "INC"
)</f>
        <v>COMPLETE</v>
      </c>
      <c r="D114" s="9">
        <f t="array" ref="D114">IFERROR(INDEX(data!$G:$G,match(Caseslist!B114,data!$D:$D,0)), "INC")</f>
        <v>555127</v>
      </c>
      <c r="E114" s="9" t="str">
        <f t="array" ref="E114">IFERROR(INDEX(data!H:H,match(Caseslist!B114,data!D:D,0)), "INC")</f>
        <v>Mary May_2</v>
      </c>
      <c r="F114" s="10" t="str">
        <f t="array" ref="F114">IF(
    OR(
      IFNA(INDEX(data!M:M, MATCH(Caseslist!B114, data!D:D, 0)), "") = "",
      IFNA(INDEX(data!M:M, MATCH(Caseslist!B114, data!D:D, 0)), 0) = 0
    ),
    "COMPLETE",
    IF(
      IFNA(INDEX(dataICM!D:D, MATCH(Caseslist!B114, dataICM!D:D, 0)), "INC") = "INC",
      IFNA(INDEX(dataICM!D:D, MATCH(Caseslist!B114, dataICM!D:D, 0)), "INC"),
      "COMPLETE"
    )
  )</f>
        <v>COMPLETE</v>
      </c>
      <c r="G114" s="10" t="str">
        <f t="array" ref="G114">IF(IFERROR(INDEX(data!L:L,match(Caseslist!B114,data!D:D,0)),"INC")="","COMPLETE",F114)</f>
        <v>COMPLETE</v>
      </c>
      <c r="H114" s="9" t="str">
        <f t="array" ref="H114">IFERROR(INDEX(dataICM!F:F,match(Caseslist!B114,dataICM!D:D,0)), "INC")</f>
        <v>Mary May_2</v>
      </c>
      <c r="I114" s="10">
        <f t="shared" si="2"/>
        <v>555127</v>
      </c>
      <c r="J114" s="9" t="str">
        <f t="array" ref="J114">IF(
  AND(
    IFERROR(MATCH(B114, data!D:D, 0), 0) &gt; 0,
    IFERROR(INDEX(data!N:N, MATCH(B114, data!D:D, 0)) = 1, FALSE)
  ),
  INDEX(data!C:C, MATCH(B114, data!D:D, 0)),
  "INC"
)</f>
        <v>2025-09-22T10:28:05.339+08</v>
      </c>
      <c r="K114" s="9" t="str">
        <f t="array" ref="K114">IFERROR(INDEX(dataICM!C:C,match(Caseslist!B114,dataICM!D:D,0)), "INC")</f>
        <v>2025-09-22T10:41:46.976+08</v>
      </c>
      <c r="L114" s="10" t="str">
        <f t="array" ref="L114">IF(AND(G114="COMPLETE", OR(K114="INC", ISBLANK(INDEX(data!O:O, ROW())))), J114, K114)</f>
        <v>2025-09-22T10:41:46.976+08</v>
      </c>
      <c r="M114" s="2">
        <v>45922.0</v>
      </c>
      <c r="N114" s="2">
        <f t="array" ref="N114">IF(M114&lt;&gt;"INC", INDEX(data!M:M, MATCH(B114, data!D:D, 0)), "")</f>
        <v>1</v>
      </c>
      <c r="O114" s="2">
        <f t="shared" si="3"/>
        <v>1</v>
      </c>
    </row>
    <row r="115">
      <c r="A115" s="2" t="str">
        <f t="shared" si="1"/>
        <v>H004137</v>
      </c>
      <c r="B115" s="1" t="s">
        <v>5983</v>
      </c>
      <c r="C115" s="9" t="str">
        <f t="array" ref="C115">IF(
  AND(
    IFERROR(MATCH(Caseslist!B115, data!D:D, 0), 0) &gt; 0,
    IFERROR(INDEX(data!N:N, MATCH(Caseslist!B115, data!D:D, 0)) = 1, FALSE)
  ),
  "COMPLETE",
  "INC"
)</f>
        <v>COMPLETE</v>
      </c>
      <c r="D115" s="9">
        <f t="array" ref="D115">IFERROR(INDEX(data!$G:$G,match(Caseslist!B115,data!$D:$D,0)), "INC")</f>
        <v>841329</v>
      </c>
      <c r="E115" s="9" t="str">
        <f t="array" ref="E115">IFERROR(INDEX(data!H:H,match(Caseslist!B115,data!D:D,0)), "INC")</f>
        <v>Aila Eli_2</v>
      </c>
      <c r="F115" s="10" t="str">
        <f t="array" ref="F115">IF(
    OR(
      IFNA(INDEX(data!M:M, MATCH(Caseslist!B115, data!D:D, 0)), "") = "",
      IFNA(INDEX(data!M:M, MATCH(Caseslist!B115, data!D:D, 0)), 0) = 0
    ),
    "COMPLETE",
    IF(
      IFNA(INDEX(dataICM!D:D, MATCH(Caseslist!B115, dataICM!D:D, 0)), "INC") = "INC",
      IFNA(INDEX(dataICM!D:D, MATCH(Caseslist!B115, dataICM!D:D, 0)), "INC"),
      "COMPLETE"
    )
  )</f>
        <v>COMPLETE</v>
      </c>
      <c r="G115" s="10" t="str">
        <f t="array" ref="G115">IF(IFERROR(INDEX(data!L:L,match(Caseslist!B115,data!D:D,0)),"INC")="","COMPLETE",F115)</f>
        <v>COMPLETE</v>
      </c>
      <c r="H115" s="9" t="str">
        <f t="array" ref="H115">IFERROR(INDEX(dataICM!F:F,match(Caseslist!B115,dataICM!D:D,0)), "INC")</f>
        <v>Aila Eli_2</v>
      </c>
      <c r="I115" s="10">
        <f t="shared" si="2"/>
        <v>841329</v>
      </c>
      <c r="J115" s="9" t="str">
        <f t="array" ref="J115">IF(
  AND(
    IFERROR(MATCH(B115, data!D:D, 0), 0) &gt; 0,
    IFERROR(INDEX(data!N:N, MATCH(B115, data!D:D, 0)) = 1, FALSE)
  ),
  INDEX(data!C:C, MATCH(B115, data!D:D, 0)),
  "INC"
)</f>
        <v>2025-09-13T13:39:43.650+08</v>
      </c>
      <c r="K115" s="9" t="str">
        <f t="array" ref="K115">IFERROR(INDEX(dataICM!C:C,match(Caseslist!B115,dataICM!D:D,0)), "INC")</f>
        <v>2025-09-13T13:46:59.438+08</v>
      </c>
      <c r="L115" s="10" t="str">
        <f t="array" ref="L115">IF(AND(G115="COMPLETE", OR(K115="INC", ISBLANK(INDEX(data!O:O, ROW())))), J115, K115)</f>
        <v>2025-09-13T13:46:59.438+08</v>
      </c>
      <c r="M115" s="2">
        <v>45913.0</v>
      </c>
      <c r="N115" s="2">
        <f t="array" ref="N115">IF(M115&lt;&gt;"INC", INDEX(data!M:M, MATCH(B115, data!D:D, 0)), "")</f>
        <v>2</v>
      </c>
      <c r="O115" s="2">
        <f t="shared" si="3"/>
        <v>2</v>
      </c>
    </row>
    <row r="116">
      <c r="A116" s="2" t="str">
        <f t="shared" si="1"/>
        <v>H004137</v>
      </c>
      <c r="B116" s="1" t="s">
        <v>6073</v>
      </c>
      <c r="C116" s="9" t="str">
        <f t="array" ref="C116">IF(
  AND(
    IFERROR(MATCH(Caseslist!B116, data!D:D, 0), 0) &gt; 0,
    IFERROR(INDEX(data!N:N, MATCH(Caseslist!B116, data!D:D, 0)) = 1, FALSE)
  ),
  "COMPLETE",
  "INC"
)</f>
        <v>COMPLETE</v>
      </c>
      <c r="D116" s="9">
        <f t="array" ref="D116">IFERROR(INDEX(data!$G:$G,match(Caseslist!B116,data!$D:$D,0)), "INC")</f>
        <v>455939</v>
      </c>
      <c r="E116" s="9" t="str">
        <f t="array" ref="E116">IFERROR(INDEX(data!H:H,match(Caseslist!B116,data!D:D,0)), "INC")</f>
        <v>Mary Jean Villaflor_2</v>
      </c>
      <c r="F116" s="10" t="str">
        <f t="array" ref="F116">IF(
    OR(
      IFNA(INDEX(data!M:M, MATCH(Caseslist!B116, data!D:D, 0)), "") = "",
      IFNA(INDEX(data!M:M, MATCH(Caseslist!B116, data!D:D, 0)), 0) = 0
    ),
    "COMPLETE",
    IF(
      IFNA(INDEX(dataICM!D:D, MATCH(Caseslist!B116, dataICM!D:D, 0)), "INC") = "INC",
      IFNA(INDEX(dataICM!D:D, MATCH(Caseslist!B116, dataICM!D:D, 0)), "INC"),
      "COMPLETE"
    )
  )</f>
        <v>COMPLETE</v>
      </c>
      <c r="G116" s="10" t="str">
        <f t="array" ref="G116">IF(IFERROR(INDEX(data!L:L,match(Caseslist!B116,data!D:D,0)),"INC")="","COMPLETE",F116)</f>
        <v>COMPLETE</v>
      </c>
      <c r="H116" s="9" t="str">
        <f t="array" ref="H116">IFERROR(INDEX(dataICM!F:F,match(Caseslist!B116,dataICM!D:D,0)), "INC")</f>
        <v>Mary Jean Villaflor_2</v>
      </c>
      <c r="I116" s="10">
        <f t="shared" si="2"/>
        <v>455939</v>
      </c>
      <c r="J116" s="9" t="str">
        <f t="array" ref="J116">IF(
  AND(
    IFERROR(MATCH(B116, data!D:D, 0), 0) &gt; 0,
    IFERROR(INDEX(data!N:N, MATCH(B116, data!D:D, 0)) = 1, FALSE)
  ),
  INDEX(data!C:C, MATCH(B116, data!D:D, 0)),
  "INC"
)</f>
        <v>2025-09-13T12:20:31.700+08</v>
      </c>
      <c r="K116" s="9" t="str">
        <f t="array" ref="K116">IFERROR(INDEX(dataICM!C:C,match(Caseslist!B116,dataICM!D:D,0)), "INC")</f>
        <v>2025-09-13T12:24:11.910+08</v>
      </c>
      <c r="L116" s="10" t="str">
        <f t="array" ref="L116">IF(AND(G116="COMPLETE", OR(K116="INC", ISBLANK(INDEX(data!O:O, ROW())))), J116, K116)</f>
        <v>2025-09-13T12:24:11.910+08</v>
      </c>
      <c r="M116" s="2">
        <v>45913.0</v>
      </c>
      <c r="N116" s="2">
        <f t="array" ref="N116">IF(M116&lt;&gt;"INC", INDEX(data!M:M, MATCH(B116, data!D:D, 0)), "")</f>
        <v>2</v>
      </c>
      <c r="O116" s="2">
        <f t="shared" si="3"/>
        <v>2</v>
      </c>
    </row>
    <row r="117">
      <c r="A117" s="2" t="str">
        <f t="shared" si="1"/>
        <v>H004137</v>
      </c>
      <c r="B117" s="1" t="s">
        <v>6078</v>
      </c>
      <c r="C117" s="9" t="str">
        <f t="array" ref="C117">IF(
  AND(
    IFERROR(MATCH(Caseslist!B117, data!D:D, 0), 0) &gt; 0,
    IFERROR(INDEX(data!N:N, MATCH(Caseslist!B117, data!D:D, 0)) = 1, FALSE)
  ),
  "COMPLETE",
  "INC"
)</f>
        <v>COMPLETE</v>
      </c>
      <c r="D117" s="9">
        <f t="array" ref="D117">IFERROR(INDEX(data!$G:$G,match(Caseslist!B117,data!$D:$D,0)), "INC")</f>
        <v>455939</v>
      </c>
      <c r="E117" s="9" t="str">
        <f t="array" ref="E117">IFERROR(INDEX(data!H:H,match(Caseslist!B117,data!D:D,0)), "INC")</f>
        <v>Mary Jean Villaflor_2</v>
      </c>
      <c r="F117" s="10" t="str">
        <f t="array" ref="F117">IF(
    OR(
      IFNA(INDEX(data!M:M, MATCH(Caseslist!B117, data!D:D, 0)), "") = "",
      IFNA(INDEX(data!M:M, MATCH(Caseslist!B117, data!D:D, 0)), 0) = 0
    ),
    "COMPLETE",
    IF(
      IFNA(INDEX(dataICM!D:D, MATCH(Caseslist!B117, dataICM!D:D, 0)), "INC") = "INC",
      IFNA(INDEX(dataICM!D:D, MATCH(Caseslist!B117, dataICM!D:D, 0)), "INC"),
      "COMPLETE"
    )
  )</f>
        <v>INC</v>
      </c>
      <c r="G117" s="10" t="str">
        <f t="array" ref="G117">IF(IFERROR(INDEX(data!L:L,match(Caseslist!B117,data!D:D,0)),"INC")="","COMPLETE",F117)</f>
        <v>INC</v>
      </c>
      <c r="H117" s="9" t="str">
        <f t="array" ref="H117">IFERROR(INDEX(dataICM!F:F,match(Caseslist!B117,dataICM!D:D,0)), "INC")</f>
        <v>INC</v>
      </c>
      <c r="I117" s="10" t="str">
        <f t="shared" si="2"/>
        <v>INC</v>
      </c>
      <c r="J117" s="9" t="str">
        <f t="array" ref="J117">IF(
  AND(
    IFERROR(MATCH(B117, data!D:D, 0), 0) &gt; 0,
    IFERROR(INDEX(data!N:N, MATCH(B117, data!D:D, 0)) = 1, FALSE)
  ),
  INDEX(data!C:C, MATCH(B117, data!D:D, 0)),
  "INC"
)</f>
        <v>2025-09-29T18:23:12.583+08</v>
      </c>
      <c r="K117" s="9" t="str">
        <f t="array" ref="K117">IFERROR(INDEX(dataICM!C:C,match(Caseslist!B117,dataICM!D:D,0)), "INC")</f>
        <v>INC</v>
      </c>
      <c r="L117" s="10" t="str">
        <f t="array" ref="L117">IF(AND(G117="COMPLETE", OR(K117="INC", ISBLANK(INDEX(data!O:O, ROW())))), J117, K117)</f>
        <v>INC</v>
      </c>
      <c r="M117" s="2" t="s">
        <v>8886</v>
      </c>
      <c r="N117" s="2" t="str">
        <f t="array" ref="N117">IF(M117&lt;&gt;"INC", INDEX(data!M:M, MATCH(B117, data!D:D, 0)), "")</f>
        <v/>
      </c>
      <c r="O117" s="2" t="str">
        <f t="shared" si="3"/>
        <v/>
      </c>
    </row>
    <row r="118">
      <c r="A118" s="2" t="str">
        <f t="shared" si="1"/>
        <v>H004137</v>
      </c>
      <c r="B118" s="1" t="s">
        <v>6083</v>
      </c>
      <c r="C118" s="9" t="str">
        <f t="array" ref="C118">IF(
  AND(
    IFERROR(MATCH(Caseslist!B118, data!D:D, 0), 0) &gt; 0,
    IFERROR(INDEX(data!N:N, MATCH(Caseslist!B118, data!D:D, 0)) = 1, FALSE)
  ),
  "COMPLETE",
  "INC"
)</f>
        <v>COMPLETE</v>
      </c>
      <c r="D118" s="9">
        <f t="array" ref="D118">IFERROR(INDEX(data!$G:$G,match(Caseslist!B118,data!$D:$D,0)), "INC")</f>
        <v>455939</v>
      </c>
      <c r="E118" s="9" t="str">
        <f t="array" ref="E118">IFERROR(INDEX(data!H:H,match(Caseslist!B118,data!D:D,0)), "INC")</f>
        <v>Mary Jean Villaflor_2</v>
      </c>
      <c r="F118" s="10" t="str">
        <f t="array" ref="F118">IF(
    OR(
      IFNA(INDEX(data!M:M, MATCH(Caseslist!B118, data!D:D, 0)), "") = "",
      IFNA(INDEX(data!M:M, MATCH(Caseslist!B118, data!D:D, 0)), 0) = 0
    ),
    "COMPLETE",
    IF(
      IFNA(INDEX(dataICM!D:D, MATCH(Caseslist!B118, dataICM!D:D, 0)), "INC") = "INC",
      IFNA(INDEX(dataICM!D:D, MATCH(Caseslist!B118, dataICM!D:D, 0)), "INC"),
      "COMPLETE"
    )
  )</f>
        <v>COMPLETE</v>
      </c>
      <c r="G118" s="10" t="str">
        <f t="array" ref="G118">IF(IFERROR(INDEX(data!L:L,match(Caseslist!B118,data!D:D,0)),"INC")="","COMPLETE",F118)</f>
        <v>COMPLETE</v>
      </c>
      <c r="H118" s="9" t="str">
        <f t="array" ref="H118">IFERROR(INDEX(dataICM!F:F,match(Caseslist!B118,dataICM!D:D,0)), "INC")</f>
        <v>Mary Jean Villaflor_2</v>
      </c>
      <c r="I118" s="10">
        <f t="shared" si="2"/>
        <v>455939</v>
      </c>
      <c r="J118" s="9" t="str">
        <f t="array" ref="J118">IF(
  AND(
    IFERROR(MATCH(B118, data!D:D, 0), 0) &gt; 0,
    IFERROR(INDEX(data!N:N, MATCH(B118, data!D:D, 0)) = 1, FALSE)
  ),
  INDEX(data!C:C, MATCH(B118, data!D:D, 0)),
  "INC"
)</f>
        <v>2025-09-13T13:14:33.085+08</v>
      </c>
      <c r="K118" s="9" t="str">
        <f t="array" ref="K118">IFERROR(INDEX(dataICM!C:C,match(Caseslist!B118,dataICM!D:D,0)), "INC")</f>
        <v>2025-09-13T19:46:16.241+08</v>
      </c>
      <c r="L118" s="10" t="str">
        <f t="array" ref="L118">IF(AND(G118="COMPLETE", OR(K118="INC", ISBLANK(INDEX(data!O:O, ROW())))), J118, K118)</f>
        <v>2025-09-13T19:46:16.241+08</v>
      </c>
      <c r="M118" s="2">
        <v>45913.0</v>
      </c>
      <c r="N118" s="2">
        <f t="array" ref="N118">IF(M118&lt;&gt;"INC", INDEX(data!M:M, MATCH(B118, data!D:D, 0)), "")</f>
        <v>2</v>
      </c>
      <c r="O118" s="2">
        <f t="shared" si="3"/>
        <v>2</v>
      </c>
    </row>
    <row r="119">
      <c r="A119" s="2" t="str">
        <f t="shared" si="1"/>
        <v>H004137</v>
      </c>
      <c r="B119" s="1" t="s">
        <v>6068</v>
      </c>
      <c r="C119" s="9" t="str">
        <f t="array" ref="C119">IF(
  AND(
    IFERROR(MATCH(Caseslist!B119, data!D:D, 0), 0) &gt; 0,
    IFERROR(INDEX(data!N:N, MATCH(Caseslist!B119, data!D:D, 0)) = 1, FALSE)
  ),
  "COMPLETE",
  "INC"
)</f>
        <v>COMPLETE</v>
      </c>
      <c r="D119" s="9">
        <f t="array" ref="D119">IFERROR(INDEX(data!$G:$G,match(Caseslist!B119,data!$D:$D,0)), "INC")</f>
        <v>455939</v>
      </c>
      <c r="E119" s="9" t="str">
        <f t="array" ref="E119">IFERROR(INDEX(data!H:H,match(Caseslist!B119,data!D:D,0)), "INC")</f>
        <v>Mary Jean Villaflor_2</v>
      </c>
      <c r="F119" s="10" t="str">
        <f t="array" ref="F119">IF(
    OR(
      IFNA(INDEX(data!M:M, MATCH(Caseslist!B119, data!D:D, 0)), "") = "",
      IFNA(INDEX(data!M:M, MATCH(Caseslist!B119, data!D:D, 0)), 0) = 0
    ),
    "COMPLETE",
    IF(
      IFNA(INDEX(dataICM!D:D, MATCH(Caseslist!B119, dataICM!D:D, 0)), "INC") = "INC",
      IFNA(INDEX(dataICM!D:D, MATCH(Caseslist!B119, dataICM!D:D, 0)), "INC"),
      "COMPLETE"
    )
  )</f>
        <v>COMPLETE</v>
      </c>
      <c r="G119" s="10" t="str">
        <f t="array" ref="G119">IF(IFERROR(INDEX(data!L:L,match(Caseslist!B119,data!D:D,0)),"INC")="","COMPLETE",F119)</f>
        <v>COMPLETE</v>
      </c>
      <c r="H119" s="9" t="str">
        <f t="array" ref="H119">IFERROR(INDEX(dataICM!F:F,match(Caseslist!B119,dataICM!D:D,0)), "INC")</f>
        <v>Mary Jean Villaflor_2</v>
      </c>
      <c r="I119" s="10">
        <f t="shared" si="2"/>
        <v>455939</v>
      </c>
      <c r="J119" s="9" t="str">
        <f t="array" ref="J119">IF(
  AND(
    IFERROR(MATCH(B119, data!D:D, 0), 0) &gt; 0,
    IFERROR(INDEX(data!N:N, MATCH(B119, data!D:D, 0)) = 1, FALSE)
  ),
  INDEX(data!C:C, MATCH(B119, data!D:D, 0)),
  "INC"
)</f>
        <v>2025-09-13T10:00:41.359+08</v>
      </c>
      <c r="K119" s="9" t="str">
        <f t="array" ref="K119">IFERROR(INDEX(dataICM!C:C,match(Caseslist!B119,dataICM!D:D,0)), "INC")</f>
        <v>2025-09-13T10:00:10.296+08</v>
      </c>
      <c r="L119" s="10" t="str">
        <f t="array" ref="L119">IF(AND(G119="COMPLETE", OR(K119="INC", ISBLANK(INDEX(data!O:O, ROW())))), J119, K119)</f>
        <v>2025-09-13T10:00:10.296+08</v>
      </c>
      <c r="M119" s="2">
        <v>45913.0</v>
      </c>
      <c r="N119" s="2">
        <f t="array" ref="N119">IF(M119&lt;&gt;"INC", INDEX(data!M:M, MATCH(B119, data!D:D, 0)), "")</f>
        <v>2</v>
      </c>
      <c r="O119" s="2">
        <f t="shared" si="3"/>
        <v>2</v>
      </c>
    </row>
    <row r="120">
      <c r="A120" s="2" t="str">
        <f t="shared" si="1"/>
        <v>H004137</v>
      </c>
      <c r="B120" s="1" t="s">
        <v>6088</v>
      </c>
      <c r="C120" s="9" t="str">
        <f t="array" ref="C120">IF(
  AND(
    IFERROR(MATCH(Caseslist!B120, data!D:D, 0), 0) &gt; 0,
    IFERROR(INDEX(data!N:N, MATCH(Caseslist!B120, data!D:D, 0)) = 1, FALSE)
  ),
  "COMPLETE",
  "INC"
)</f>
        <v>COMPLETE</v>
      </c>
      <c r="D120" s="9">
        <f t="array" ref="D120">IFERROR(INDEX(data!$G:$G,match(Caseslist!B120,data!$D:$D,0)), "INC")</f>
        <v>455939</v>
      </c>
      <c r="E120" s="9" t="str">
        <f t="array" ref="E120">IFERROR(INDEX(data!H:H,match(Caseslist!B120,data!D:D,0)), "INC")</f>
        <v>Mary Jean Villaflor_2</v>
      </c>
      <c r="F120" s="10" t="str">
        <f t="array" ref="F120">IF(
    OR(
      IFNA(INDEX(data!M:M, MATCH(Caseslist!B120, data!D:D, 0)), "") = "",
      IFNA(INDEX(data!M:M, MATCH(Caseslist!B120, data!D:D, 0)), 0) = 0
    ),
    "COMPLETE",
    IF(
      IFNA(INDEX(dataICM!D:D, MATCH(Caseslist!B120, dataICM!D:D, 0)), "INC") = "INC",
      IFNA(INDEX(dataICM!D:D, MATCH(Caseslist!B120, dataICM!D:D, 0)), "INC"),
      "COMPLETE"
    )
  )</f>
        <v>COMPLETE</v>
      </c>
      <c r="G120" s="10" t="str">
        <f t="array" ref="G120">IF(IFERROR(INDEX(data!L:L,match(Caseslist!B120,data!D:D,0)),"INC")="","COMPLETE",F120)</f>
        <v>COMPLETE</v>
      </c>
      <c r="H120" s="9" t="str">
        <f t="array" ref="H120">IFERROR(INDEX(dataICM!F:F,match(Caseslist!B120,dataICM!D:D,0)), "INC")</f>
        <v>Mary Jean Villaflor_2</v>
      </c>
      <c r="I120" s="10">
        <f t="shared" si="2"/>
        <v>455939</v>
      </c>
      <c r="J120" s="9" t="str">
        <f t="array" ref="J120">IF(
  AND(
    IFERROR(MATCH(B120, data!D:D, 0), 0) &gt; 0,
    IFERROR(INDEX(data!N:N, MATCH(B120, data!D:D, 0)) = 1, FALSE)
  ),
  INDEX(data!C:C, MATCH(B120, data!D:D, 0)),
  "INC"
)</f>
        <v>2025-09-13T19:46:40.069+08</v>
      </c>
      <c r="K120" s="9" t="str">
        <f t="array" ref="K120">IFERROR(INDEX(dataICM!C:C,match(Caseslist!B120,dataICM!D:D,0)), "INC")</f>
        <v>2025-09-13T19:46:00.449+08</v>
      </c>
      <c r="L120" s="10" t="str">
        <f t="array" ref="L120">IF(AND(G120="COMPLETE", OR(K120="INC", ISBLANK(INDEX(data!O:O, ROW())))), J120, K120)</f>
        <v>2025-09-13T19:46:00.449+08</v>
      </c>
      <c r="M120" s="2">
        <v>45913.0</v>
      </c>
      <c r="N120" s="2">
        <f t="array" ref="N120">IF(M120&lt;&gt;"INC", INDEX(data!M:M, MATCH(B120, data!D:D, 0)), "")</f>
        <v>2</v>
      </c>
      <c r="O120" s="2">
        <f t="shared" si="3"/>
        <v>2</v>
      </c>
    </row>
    <row r="121">
      <c r="A121" s="2" t="str">
        <f t="shared" si="1"/>
        <v>H004137</v>
      </c>
      <c r="B121" s="1" t="s">
        <v>6118</v>
      </c>
      <c r="C121" s="9" t="str">
        <f t="array" ref="C121">IF(
  AND(
    IFERROR(MATCH(Caseslist!B121, data!D:D, 0), 0) &gt; 0,
    IFERROR(INDEX(data!N:N, MATCH(Caseslist!B121, data!D:D, 0)) = 1, FALSE)
  ),
  "COMPLETE",
  "INC"
)</f>
        <v>COMPLETE</v>
      </c>
      <c r="D121" s="9">
        <f t="array" ref="D121">IFERROR(INDEX(data!$G:$G,match(Caseslist!B121,data!$D:$D,0)), "INC")</f>
        <v>841329</v>
      </c>
      <c r="E121" s="9" t="str">
        <f t="array" ref="E121">IFERROR(INDEX(data!H:H,match(Caseslist!B121,data!D:D,0)), "INC")</f>
        <v>Aila Eli_2</v>
      </c>
      <c r="F121" s="10" t="str">
        <f t="array" ref="F121">IF(
    OR(
      IFNA(INDEX(data!M:M, MATCH(Caseslist!B121, data!D:D, 0)), "") = "",
      IFNA(INDEX(data!M:M, MATCH(Caseslist!B121, data!D:D, 0)), 0) = 0
    ),
    "COMPLETE",
    IF(
      IFNA(INDEX(dataICM!D:D, MATCH(Caseslist!B121, dataICM!D:D, 0)), "INC") = "INC",
      IFNA(INDEX(dataICM!D:D, MATCH(Caseslist!B121, dataICM!D:D, 0)), "INC"),
      "COMPLETE"
    )
  )</f>
        <v>COMPLETE</v>
      </c>
      <c r="G121" s="10" t="str">
        <f t="array" ref="G121">IF(IFERROR(INDEX(data!L:L,match(Caseslist!B121,data!D:D,0)),"INC")="","COMPLETE",F121)</f>
        <v>COMPLETE</v>
      </c>
      <c r="H121" s="9" t="str">
        <f t="array" ref="H121">IFERROR(INDEX(dataICM!F:F,match(Caseslist!B121,dataICM!D:D,0)), "INC")</f>
        <v>Aila Eli_2</v>
      </c>
      <c r="I121" s="10">
        <f t="shared" si="2"/>
        <v>841329</v>
      </c>
      <c r="J121" s="9" t="str">
        <f t="array" ref="J121">IF(
  AND(
    IFERROR(MATCH(B121, data!D:D, 0), 0) &gt; 0,
    IFERROR(INDEX(data!N:N, MATCH(B121, data!D:D, 0)) = 1, FALSE)
  ),
  INDEX(data!C:C, MATCH(B121, data!D:D, 0)),
  "INC"
)</f>
        <v>2025-09-14T10:00:28.946+08</v>
      </c>
      <c r="K121" s="9" t="str">
        <f t="array" ref="K121">IFERROR(INDEX(dataICM!C:C,match(Caseslist!B121,dataICM!D:D,0)), "INC")</f>
        <v>2025-09-14T10:00:44.162+08</v>
      </c>
      <c r="L121" s="10" t="str">
        <f t="array" ref="L121">IF(AND(G121="COMPLETE", OR(K121="INC", ISBLANK(INDEX(data!O:O, ROW())))), J121, K121)</f>
        <v>2025-09-14T10:00:44.162+08</v>
      </c>
      <c r="M121" s="2">
        <v>45914.0</v>
      </c>
      <c r="N121" s="2">
        <f t="array" ref="N121">IF(M121&lt;&gt;"INC", INDEX(data!M:M, MATCH(B121, data!D:D, 0)), "")</f>
        <v>2</v>
      </c>
      <c r="O121" s="2">
        <f t="shared" si="3"/>
        <v>2</v>
      </c>
    </row>
    <row r="122">
      <c r="A122" s="2" t="str">
        <f t="shared" si="1"/>
        <v>H004137</v>
      </c>
      <c r="B122" s="1" t="s">
        <v>5958</v>
      </c>
      <c r="C122" s="9" t="str">
        <f t="array" ref="C122">IF(
  AND(
    IFERROR(MATCH(Caseslist!B122, data!D:D, 0), 0) &gt; 0,
    IFERROR(INDEX(data!N:N, MATCH(Caseslist!B122, data!D:D, 0)) = 1, FALSE)
  ),
  "COMPLETE",
  "INC"
)</f>
        <v>COMPLETE</v>
      </c>
      <c r="D122" s="9">
        <f t="array" ref="D122">IFERROR(INDEX(data!$G:$G,match(Caseslist!B122,data!$D:$D,0)), "INC")</f>
        <v>555127</v>
      </c>
      <c r="E122" s="9" t="str">
        <f t="array" ref="E122">IFERROR(INDEX(data!H:H,match(Caseslist!B122,data!D:D,0)), "INC")</f>
        <v>Mary May_2</v>
      </c>
      <c r="F122" s="10" t="str">
        <f t="array" ref="F122">IF(
    OR(
      IFNA(INDEX(data!M:M, MATCH(Caseslist!B122, data!D:D, 0)), "") = "",
      IFNA(INDEX(data!M:M, MATCH(Caseslist!B122, data!D:D, 0)), 0) = 0
    ),
    "COMPLETE",
    IF(
      IFNA(INDEX(dataICM!D:D, MATCH(Caseslist!B122, dataICM!D:D, 0)), "INC") = "INC",
      IFNA(INDEX(dataICM!D:D, MATCH(Caseslist!B122, dataICM!D:D, 0)), "INC"),
      "COMPLETE"
    )
  )</f>
        <v>COMPLETE</v>
      </c>
      <c r="G122" s="10" t="str">
        <f t="array" ref="G122">IF(IFERROR(INDEX(data!L:L,match(Caseslist!B122,data!D:D,0)),"INC")="","COMPLETE",F122)</f>
        <v>COMPLETE</v>
      </c>
      <c r="H122" s="9" t="str">
        <f t="array" ref="H122">IFERROR(INDEX(dataICM!F:F,match(Caseslist!B122,dataICM!D:D,0)), "INC")</f>
        <v>Mary May_2</v>
      </c>
      <c r="I122" s="10">
        <f t="shared" si="2"/>
        <v>555127</v>
      </c>
      <c r="J122" s="9" t="str">
        <f t="array" ref="J122">IF(
  AND(
    IFERROR(MATCH(B122, data!D:D, 0), 0) &gt; 0,
    IFERROR(INDEX(data!N:N, MATCH(B122, data!D:D, 0)) = 1, FALSE)
  ),
  INDEX(data!C:C, MATCH(B122, data!D:D, 0)),
  "INC"
)</f>
        <v>2025-09-13T10:12:55.455+08</v>
      </c>
      <c r="K122" s="9" t="str">
        <f t="array" ref="K122">IFERROR(INDEX(dataICM!C:C,match(Caseslist!B122,dataICM!D:D,0)), "INC")</f>
        <v>2025-09-13T10:16:33.801+08</v>
      </c>
      <c r="L122" s="10" t="str">
        <f t="array" ref="L122">IF(AND(G122="COMPLETE", OR(K122="INC", ISBLANK(INDEX(data!O:O, ROW())))), J122, K122)</f>
        <v>2025-09-13T10:16:33.801+08</v>
      </c>
      <c r="M122" s="2">
        <v>45913.0</v>
      </c>
      <c r="N122" s="2">
        <f t="array" ref="N122">IF(M122&lt;&gt;"INC", INDEX(data!M:M, MATCH(B122, data!D:D, 0)), "")</f>
        <v>2</v>
      </c>
      <c r="O122" s="2">
        <f t="shared" si="3"/>
        <v>2</v>
      </c>
    </row>
    <row r="123">
      <c r="A123" s="2" t="str">
        <f t="shared" si="1"/>
        <v>H004137</v>
      </c>
      <c r="B123" s="1" t="s">
        <v>6138</v>
      </c>
      <c r="C123" s="9" t="str">
        <f t="array" ref="C123">IF(
  AND(
    IFERROR(MATCH(Caseslist!B123, data!D:D, 0), 0) &gt; 0,
    IFERROR(INDEX(data!N:N, MATCH(Caseslist!B123, data!D:D, 0)) = 1, FALSE)
  ),
  "COMPLETE",
  "INC"
)</f>
        <v>COMPLETE</v>
      </c>
      <c r="D123" s="9">
        <f t="array" ref="D123">IFERROR(INDEX(data!$G:$G,match(Caseslist!B123,data!$D:$D,0)), "INC")</f>
        <v>455939</v>
      </c>
      <c r="E123" s="9" t="str">
        <f t="array" ref="E123">IFERROR(INDEX(data!H:H,match(Caseslist!B123,data!D:D,0)), "INC")</f>
        <v>Mary Jean Villaflor_2</v>
      </c>
      <c r="F123" s="10" t="str">
        <f t="array" ref="F123">IF(
    OR(
      IFNA(INDEX(data!M:M, MATCH(Caseslist!B123, data!D:D, 0)), "") = "",
      IFNA(INDEX(data!M:M, MATCH(Caseslist!B123, data!D:D, 0)), 0) = 0
    ),
    "COMPLETE",
    IF(
      IFNA(INDEX(dataICM!D:D, MATCH(Caseslist!B123, dataICM!D:D, 0)), "INC") = "INC",
      IFNA(INDEX(dataICM!D:D, MATCH(Caseslist!B123, dataICM!D:D, 0)), "INC"),
      "COMPLETE"
    )
  )</f>
        <v>COMPLETE</v>
      </c>
      <c r="G123" s="10" t="str">
        <f t="array" ref="G123">IF(IFERROR(INDEX(data!L:L,match(Caseslist!B123,data!D:D,0)),"INC")="","COMPLETE",F123)</f>
        <v>COMPLETE</v>
      </c>
      <c r="H123" s="9" t="str">
        <f t="array" ref="H123">IFERROR(INDEX(dataICM!F:F,match(Caseslist!B123,dataICM!D:D,0)), "INC")</f>
        <v>Mary Jean Villaflor_2</v>
      </c>
      <c r="I123" s="10">
        <f t="shared" si="2"/>
        <v>455939</v>
      </c>
      <c r="J123" s="9" t="str">
        <f t="array" ref="J123">IF(
  AND(
    IFERROR(MATCH(B123, data!D:D, 0), 0) &gt; 0,
    IFERROR(INDEX(data!N:N, MATCH(B123, data!D:D, 0)) = 1, FALSE)
  ),
  INDEX(data!C:C, MATCH(B123, data!D:D, 0)),
  "INC"
)</f>
        <v>2025-09-14T08:57:45.539+08</v>
      </c>
      <c r="K123" s="9" t="str">
        <f t="array" ref="K123">IFERROR(INDEX(dataICM!C:C,match(Caseslist!B123,dataICM!D:D,0)), "INC")</f>
        <v>2025-09-14T09:04:35.036+08</v>
      </c>
      <c r="L123" s="10" t="str">
        <f t="array" ref="L123">IF(AND(G123="COMPLETE", OR(K123="INC", ISBLANK(INDEX(data!O:O, ROW())))), J123, K123)</f>
        <v>2025-09-14T09:04:35.036+08</v>
      </c>
      <c r="M123" s="2">
        <v>45914.0</v>
      </c>
      <c r="N123" s="2">
        <f t="array" ref="N123">IF(M123&lt;&gt;"INC", INDEX(data!M:M, MATCH(B123, data!D:D, 0)), "")</f>
        <v>2</v>
      </c>
      <c r="O123" s="2">
        <f t="shared" si="3"/>
        <v>2</v>
      </c>
    </row>
    <row r="124">
      <c r="A124" s="2" t="str">
        <f t="shared" si="1"/>
        <v>H004137</v>
      </c>
      <c r="B124" s="1" t="s">
        <v>6143</v>
      </c>
      <c r="C124" s="9" t="str">
        <f t="array" ref="C124">IF(
  AND(
    IFERROR(MATCH(Caseslist!B124, data!D:D, 0), 0) &gt; 0,
    IFERROR(INDEX(data!N:N, MATCH(Caseslist!B124, data!D:D, 0)) = 1, FALSE)
  ),
  "COMPLETE",
  "INC"
)</f>
        <v>COMPLETE</v>
      </c>
      <c r="D124" s="9">
        <f t="array" ref="D124">IFERROR(INDEX(data!$G:$G,match(Caseslist!B124,data!$D:$D,0)), "INC")</f>
        <v>455939</v>
      </c>
      <c r="E124" s="9" t="str">
        <f t="array" ref="E124">IFERROR(INDEX(data!H:H,match(Caseslist!B124,data!D:D,0)), "INC")</f>
        <v>Mary Jean Villaflor_2</v>
      </c>
      <c r="F124" s="10" t="str">
        <f t="array" ref="F124">IF(
    OR(
      IFNA(INDEX(data!M:M, MATCH(Caseslist!B124, data!D:D, 0)), "") = "",
      IFNA(INDEX(data!M:M, MATCH(Caseslist!B124, data!D:D, 0)), 0) = 0
    ),
    "COMPLETE",
    IF(
      IFNA(INDEX(dataICM!D:D, MATCH(Caseslist!B124, dataICM!D:D, 0)), "INC") = "INC",
      IFNA(INDEX(dataICM!D:D, MATCH(Caseslist!B124, dataICM!D:D, 0)), "INC"),
      "COMPLETE"
    )
  )</f>
        <v>COMPLETE</v>
      </c>
      <c r="G124" s="10" t="str">
        <f t="array" ref="G124">IF(IFERROR(INDEX(data!L:L,match(Caseslist!B124,data!D:D,0)),"INC")="","COMPLETE",F124)</f>
        <v>COMPLETE</v>
      </c>
      <c r="H124" s="9" t="str">
        <f t="array" ref="H124">IFERROR(INDEX(dataICM!F:F,match(Caseslist!B124,dataICM!D:D,0)), "INC")</f>
        <v>Mary Jean Villaflor_2</v>
      </c>
      <c r="I124" s="10">
        <f t="shared" si="2"/>
        <v>455939</v>
      </c>
      <c r="J124" s="9" t="str">
        <f t="array" ref="J124">IF(
  AND(
    IFERROR(MATCH(B124, data!D:D, 0), 0) &gt; 0,
    IFERROR(INDEX(data!N:N, MATCH(B124, data!D:D, 0)) = 1, FALSE)
  ),
  INDEX(data!C:C, MATCH(B124, data!D:D, 0)),
  "INC"
)</f>
        <v>2025-09-14T10:03:26.411+08</v>
      </c>
      <c r="K124" s="9" t="str">
        <f t="array" ref="K124">IFERROR(INDEX(dataICM!C:C,match(Caseslist!B124,dataICM!D:D,0)), "INC")</f>
        <v>2025-09-14T10:07:01.331+08</v>
      </c>
      <c r="L124" s="10" t="str">
        <f t="array" ref="L124">IF(AND(G124="COMPLETE", OR(K124="INC", ISBLANK(INDEX(data!O:O, ROW())))), J124, K124)</f>
        <v>2025-09-14T10:07:01.331+08</v>
      </c>
      <c r="M124" s="2">
        <v>45914.0</v>
      </c>
      <c r="N124" s="2">
        <f t="array" ref="N124">IF(M124&lt;&gt;"INC", INDEX(data!M:M, MATCH(B124, data!D:D, 0)), "")</f>
        <v>2</v>
      </c>
      <c r="O124" s="2">
        <f t="shared" si="3"/>
        <v>2</v>
      </c>
    </row>
    <row r="125">
      <c r="A125" s="2" t="str">
        <f t="shared" si="1"/>
        <v>H004137</v>
      </c>
      <c r="B125" s="1" t="s">
        <v>5978</v>
      </c>
      <c r="C125" s="9" t="str">
        <f t="array" ref="C125">IF(
  AND(
    IFERROR(MATCH(Caseslist!B125, data!D:D, 0), 0) &gt; 0,
    IFERROR(INDEX(data!N:N, MATCH(Caseslist!B125, data!D:D, 0)) = 1, FALSE)
  ),
  "COMPLETE",
  "INC"
)</f>
        <v>COMPLETE</v>
      </c>
      <c r="D125" s="9">
        <f t="array" ref="D125">IFERROR(INDEX(data!$G:$G,match(Caseslist!B125,data!$D:$D,0)), "INC")</f>
        <v>841329</v>
      </c>
      <c r="E125" s="9" t="str">
        <f t="array" ref="E125">IFERROR(INDEX(data!H:H,match(Caseslist!B125,data!D:D,0)), "INC")</f>
        <v>Aila Eli_2</v>
      </c>
      <c r="F125" s="10" t="str">
        <f t="array" ref="F125">IF(
    OR(
      IFNA(INDEX(data!M:M, MATCH(Caseslist!B125, data!D:D, 0)), "") = "",
      IFNA(INDEX(data!M:M, MATCH(Caseslist!B125, data!D:D, 0)), 0) = 0
    ),
    "COMPLETE",
    IF(
      IFNA(INDEX(dataICM!D:D, MATCH(Caseslist!B125, dataICM!D:D, 0)), "INC") = "INC",
      IFNA(INDEX(dataICM!D:D, MATCH(Caseslist!B125, dataICM!D:D, 0)), "INC"),
      "COMPLETE"
    )
  )</f>
        <v>COMPLETE</v>
      </c>
      <c r="G125" s="10" t="str">
        <f t="array" ref="G125">IF(IFERROR(INDEX(data!L:L,match(Caseslist!B125,data!D:D,0)),"INC")="","COMPLETE",F125)</f>
        <v>COMPLETE</v>
      </c>
      <c r="H125" s="9" t="str">
        <f t="array" ref="H125">IFERROR(INDEX(dataICM!F:F,match(Caseslist!B125,dataICM!D:D,0)), "INC")</f>
        <v>Aila Eli_2</v>
      </c>
      <c r="I125" s="10">
        <f t="shared" si="2"/>
        <v>841329</v>
      </c>
      <c r="J125" s="9" t="str">
        <f t="array" ref="J125">IF(
  AND(
    IFERROR(MATCH(B125, data!D:D, 0), 0) &gt; 0,
    IFERROR(INDEX(data!N:N, MATCH(B125, data!D:D, 0)) = 1, FALSE)
  ),
  INDEX(data!C:C, MATCH(B125, data!D:D, 0)),
  "INC"
)</f>
        <v>2025-09-14T11:57:21.405+08</v>
      </c>
      <c r="K125" s="9" t="str">
        <f t="array" ref="K125">IFERROR(INDEX(dataICM!C:C,match(Caseslist!B125,dataICM!D:D,0)), "INC")</f>
        <v>2025-09-14T12:00:17.176+08</v>
      </c>
      <c r="L125" s="10" t="str">
        <f t="array" ref="L125">IF(AND(G125="COMPLETE", OR(K125="INC", ISBLANK(INDEX(data!O:O, ROW())))), J125, K125)</f>
        <v>2025-09-14T12:00:17.176+08</v>
      </c>
      <c r="M125" s="2">
        <v>45914.0</v>
      </c>
      <c r="N125" s="2">
        <f t="array" ref="N125">IF(M125&lt;&gt;"INC", INDEX(data!M:M, MATCH(B125, data!D:D, 0)), "")</f>
        <v>2</v>
      </c>
      <c r="O125" s="2">
        <f t="shared" si="3"/>
        <v>2</v>
      </c>
    </row>
    <row r="126">
      <c r="A126" s="2" t="str">
        <f t="shared" si="1"/>
        <v>H004137</v>
      </c>
      <c r="B126" s="1" t="s">
        <v>8183</v>
      </c>
      <c r="C126" s="9" t="str">
        <f t="array" ref="C126">IF(
  AND(
    IFERROR(MATCH(Caseslist!B126, data!D:D, 0), 0) &gt; 0,
    IFERROR(INDEX(data!N:N, MATCH(Caseslist!B126, data!D:D, 0)) = 1, FALSE)
  ),
  "COMPLETE",
  "INC"
)</f>
        <v>COMPLETE</v>
      </c>
      <c r="D126" s="9">
        <f t="array" ref="D126">IFERROR(INDEX(data!$G:$G,match(Caseslist!B126,data!$D:$D,0)), "INC")</f>
        <v>555127</v>
      </c>
      <c r="E126" s="9" t="str">
        <f t="array" ref="E126">IFERROR(INDEX(data!H:H,match(Caseslist!B126,data!D:D,0)), "INC")</f>
        <v>Mary May_2</v>
      </c>
      <c r="F126" s="10" t="str">
        <f t="array" ref="F126">IF(
    OR(
      IFNA(INDEX(data!M:M, MATCH(Caseslist!B126, data!D:D, 0)), "") = "",
      IFNA(INDEX(data!M:M, MATCH(Caseslist!B126, data!D:D, 0)), 0) = 0
    ),
    "COMPLETE",
    IF(
      IFNA(INDEX(dataICM!D:D, MATCH(Caseslist!B126, dataICM!D:D, 0)), "INC") = "INC",
      IFNA(INDEX(dataICM!D:D, MATCH(Caseslist!B126, dataICM!D:D, 0)), "INC"),
      "COMPLETE"
    )
  )</f>
        <v>COMPLETE</v>
      </c>
      <c r="G126" s="10" t="str">
        <f t="array" ref="G126">IF(IFERROR(INDEX(data!L:L,match(Caseslist!B126,data!D:D,0)),"INC")="","COMPLETE",F126)</f>
        <v>COMPLETE</v>
      </c>
      <c r="H126" s="9" t="str">
        <f t="array" ref="H126">IFERROR(INDEX(dataICM!F:F,match(Caseslist!B126,dataICM!D:D,0)), "INC")</f>
        <v>Mary May_2</v>
      </c>
      <c r="I126" s="10">
        <f t="shared" si="2"/>
        <v>555127</v>
      </c>
      <c r="J126" s="9" t="str">
        <f t="array" ref="J126">IF(
  AND(
    IFERROR(MATCH(B126, data!D:D, 0), 0) &gt; 0,
    IFERROR(INDEX(data!N:N, MATCH(B126, data!D:D, 0)) = 1, FALSE)
  ),
  INDEX(data!C:C, MATCH(B126, data!D:D, 0)),
  "INC"
)</f>
        <v>2025-09-23T14:16:55.918+08</v>
      </c>
      <c r="K126" s="9" t="str">
        <f t="array" ref="K126">IFERROR(INDEX(dataICM!C:C,match(Caseslist!B126,dataICM!D:D,0)), "INC")</f>
        <v>2025-09-23T17:41:17.229+08</v>
      </c>
      <c r="L126" s="10" t="str">
        <f t="array" ref="L126">IF(AND(G126="COMPLETE", OR(K126="INC", ISBLANK(INDEX(data!O:O, ROW())))), J126, K126)</f>
        <v>2025-09-23T17:41:17.229+08</v>
      </c>
      <c r="M126" s="2">
        <v>45923.0</v>
      </c>
      <c r="N126" s="2">
        <f t="array" ref="N126">IF(M126&lt;&gt;"INC", INDEX(data!M:M, MATCH(B126, data!D:D, 0)), "")</f>
        <v>2</v>
      </c>
      <c r="O126" s="2">
        <f t="shared" si="3"/>
        <v>2</v>
      </c>
    </row>
    <row r="127">
      <c r="A127" s="2" t="str">
        <f t="shared" si="1"/>
        <v>H004137</v>
      </c>
      <c r="B127" s="1" t="s">
        <v>5973</v>
      </c>
      <c r="C127" s="9" t="str">
        <f t="array" ref="C127">IF(
  AND(
    IFERROR(MATCH(Caseslist!B127, data!D:D, 0), 0) &gt; 0,
    IFERROR(INDEX(data!N:N, MATCH(Caseslist!B127, data!D:D, 0)) = 1, FALSE)
  ),
  "COMPLETE",
  "INC"
)</f>
        <v>COMPLETE</v>
      </c>
      <c r="D127" s="9">
        <f t="array" ref="D127">IFERROR(INDEX(data!$G:$G,match(Caseslist!B127,data!$D:$D,0)), "INC")</f>
        <v>841329</v>
      </c>
      <c r="E127" s="9" t="str">
        <f t="array" ref="E127">IFERROR(INDEX(data!H:H,match(Caseslist!B127,data!D:D,0)), "INC")</f>
        <v>Aila Eli_2</v>
      </c>
      <c r="F127" s="10" t="str">
        <f t="array" ref="F127">IF(
    OR(
      IFNA(INDEX(data!M:M, MATCH(Caseslist!B127, data!D:D, 0)), "") = "",
      IFNA(INDEX(data!M:M, MATCH(Caseslist!B127, data!D:D, 0)), 0) = 0
    ),
    "COMPLETE",
    IF(
      IFNA(INDEX(dataICM!D:D, MATCH(Caseslist!B127, dataICM!D:D, 0)), "INC") = "INC",
      IFNA(INDEX(dataICM!D:D, MATCH(Caseslist!B127, dataICM!D:D, 0)), "INC"),
      "COMPLETE"
    )
  )</f>
        <v>COMPLETE</v>
      </c>
      <c r="G127" s="10" t="str">
        <f t="array" ref="G127">IF(IFERROR(INDEX(data!L:L,match(Caseslist!B127,data!D:D,0)),"INC")="","COMPLETE",F127)</f>
        <v>COMPLETE</v>
      </c>
      <c r="H127" s="9" t="str">
        <f t="array" ref="H127">IFERROR(INDEX(dataICM!F:F,match(Caseslist!B127,dataICM!D:D,0)), "INC")</f>
        <v>Aila Eli_2</v>
      </c>
      <c r="I127" s="10">
        <f t="shared" si="2"/>
        <v>841329</v>
      </c>
      <c r="J127" s="9" t="str">
        <f t="array" ref="J127">IF(
  AND(
    IFERROR(MATCH(B127, data!D:D, 0), 0) &gt; 0,
    IFERROR(INDEX(data!N:N, MATCH(B127, data!D:D, 0)) = 1, FALSE)
  ),
  INDEX(data!C:C, MATCH(B127, data!D:D, 0)),
  "INC"
)</f>
        <v>2025-09-13T12:18:50.705+08</v>
      </c>
      <c r="K127" s="9" t="str">
        <f t="array" ref="K127">IFERROR(INDEX(dataICM!C:C,match(Caseslist!B127,dataICM!D:D,0)), "INC")</f>
        <v>2025-09-14T10:13:03.696+08</v>
      </c>
      <c r="L127" s="10" t="str">
        <f t="array" ref="L127">IF(AND(G127="COMPLETE", OR(K127="INC", ISBLANK(INDEX(data!O:O, ROW())))), J127, K127)</f>
        <v>2025-09-14T10:13:03.696+08</v>
      </c>
      <c r="M127" s="2">
        <v>45914.0</v>
      </c>
      <c r="N127" s="2">
        <f t="array" ref="N127">IF(M127&lt;&gt;"INC", INDEX(data!M:M, MATCH(B127, data!D:D, 0)), "")</f>
        <v>2</v>
      </c>
      <c r="O127" s="2">
        <f t="shared" si="3"/>
        <v>2</v>
      </c>
    </row>
    <row r="128">
      <c r="A128" s="2" t="str">
        <f t="shared" si="1"/>
        <v>H004137</v>
      </c>
      <c r="B128" s="1" t="s">
        <v>5968</v>
      </c>
      <c r="C128" s="9" t="str">
        <f t="array" ref="C128">IF(
  AND(
    IFERROR(MATCH(Caseslist!B128, data!D:D, 0), 0) &gt; 0,
    IFERROR(INDEX(data!N:N, MATCH(Caseslist!B128, data!D:D, 0)) = 1, FALSE)
  ),
  "COMPLETE",
  "INC"
)</f>
        <v>COMPLETE</v>
      </c>
      <c r="D128" s="9">
        <f t="array" ref="D128">IFERROR(INDEX(data!$G:$G,match(Caseslist!B128,data!$D:$D,0)), "INC")</f>
        <v>841329</v>
      </c>
      <c r="E128" s="9" t="str">
        <f t="array" ref="E128">IFERROR(INDEX(data!H:H,match(Caseslist!B128,data!D:D,0)), "INC")</f>
        <v>Aila Eli_2</v>
      </c>
      <c r="F128" s="10" t="str">
        <f t="array" ref="F128">IF(
    OR(
      IFNA(INDEX(data!M:M, MATCH(Caseslist!B128, data!D:D, 0)), "") = "",
      IFNA(INDEX(data!M:M, MATCH(Caseslist!B128, data!D:D, 0)), 0) = 0
    ),
    "COMPLETE",
    IF(
      IFNA(INDEX(dataICM!D:D, MATCH(Caseslist!B128, dataICM!D:D, 0)), "INC") = "INC",
      IFNA(INDEX(dataICM!D:D, MATCH(Caseslist!B128, dataICM!D:D, 0)), "INC"),
      "COMPLETE"
    )
  )</f>
        <v>COMPLETE</v>
      </c>
      <c r="G128" s="10" t="str">
        <f t="array" ref="G128">IF(IFERROR(INDEX(data!L:L,match(Caseslist!B128,data!D:D,0)),"INC")="","COMPLETE",F128)</f>
        <v>COMPLETE</v>
      </c>
      <c r="H128" s="9" t="str">
        <f t="array" ref="H128">IFERROR(INDEX(dataICM!F:F,match(Caseslist!B128,dataICM!D:D,0)), "INC")</f>
        <v>Aila Eli_2</v>
      </c>
      <c r="I128" s="10">
        <f t="shared" si="2"/>
        <v>841329</v>
      </c>
      <c r="J128" s="9" t="str">
        <f t="array" ref="J128">IF(
  AND(
    IFERROR(MATCH(B128, data!D:D, 0), 0) &gt; 0,
    IFERROR(INDEX(data!N:N, MATCH(B128, data!D:D, 0)) = 1, FALSE)
  ),
  INDEX(data!C:C, MATCH(B128, data!D:D, 0)),
  "INC"
)</f>
        <v>2025-09-13T10:38:37.883+08</v>
      </c>
      <c r="K128" s="9" t="str">
        <f t="array" ref="K128">IFERROR(INDEX(dataICM!C:C,match(Caseslist!B128,dataICM!D:D,0)), "INC")</f>
        <v>2025-09-13T10:44:15.636+08</v>
      </c>
      <c r="L128" s="10" t="str">
        <f t="array" ref="L128">IF(AND(G128="COMPLETE", OR(K128="INC", ISBLANK(INDEX(data!O:O, ROW())))), J128, K128)</f>
        <v>2025-09-13T10:44:15.636+08</v>
      </c>
      <c r="M128" s="2">
        <v>45913.0</v>
      </c>
      <c r="N128" s="2">
        <f t="array" ref="N128">IF(M128&lt;&gt;"INC", INDEX(data!M:M, MATCH(B128, data!D:D, 0)), "")</f>
        <v>2</v>
      </c>
      <c r="O128" s="2">
        <f t="shared" si="3"/>
        <v>2</v>
      </c>
    </row>
    <row r="129">
      <c r="A129" s="2" t="str">
        <f t="shared" si="1"/>
        <v>H004137</v>
      </c>
      <c r="B129" s="1" t="s">
        <v>5963</v>
      </c>
      <c r="C129" s="9" t="str">
        <f t="array" ref="C129">IF(
  AND(
    IFERROR(MATCH(Caseslist!B129, data!D:D, 0), 0) &gt; 0,
    IFERROR(INDEX(data!N:N, MATCH(Caseslist!B129, data!D:D, 0)) = 1, FALSE)
  ),
  "COMPLETE",
  "INC"
)</f>
        <v>COMPLETE</v>
      </c>
      <c r="D129" s="9">
        <f t="array" ref="D129">IFERROR(INDEX(data!$G:$G,match(Caseslist!B129,data!$D:$D,0)), "INC")</f>
        <v>555127</v>
      </c>
      <c r="E129" s="9" t="str">
        <f t="array" ref="E129">IFERROR(INDEX(data!H:H,match(Caseslist!B129,data!D:D,0)), "INC")</f>
        <v>Mary May_2</v>
      </c>
      <c r="F129" s="10" t="str">
        <f t="array" ref="F129">IF(
    OR(
      IFNA(INDEX(data!M:M, MATCH(Caseslist!B129, data!D:D, 0)), "") = "",
      IFNA(INDEX(data!M:M, MATCH(Caseslist!B129, data!D:D, 0)), 0) = 0
    ),
    "COMPLETE",
    IF(
      IFNA(INDEX(dataICM!D:D, MATCH(Caseslist!B129, dataICM!D:D, 0)), "INC") = "INC",
      IFNA(INDEX(dataICM!D:D, MATCH(Caseslist!B129, dataICM!D:D, 0)), "INC"),
      "COMPLETE"
    )
  )</f>
        <v>COMPLETE</v>
      </c>
      <c r="G129" s="10" t="str">
        <f t="array" ref="G129">IF(IFERROR(INDEX(data!L:L,match(Caseslist!B129,data!D:D,0)),"INC")="","COMPLETE",F129)</f>
        <v>COMPLETE</v>
      </c>
      <c r="H129" s="9" t="str">
        <f t="array" ref="H129">IFERROR(INDEX(dataICM!F:F,match(Caseslist!B129,dataICM!D:D,0)), "INC")</f>
        <v>Mary May_2</v>
      </c>
      <c r="I129" s="10">
        <f t="shared" si="2"/>
        <v>555127</v>
      </c>
      <c r="J129" s="9" t="str">
        <f t="array" ref="J129">IF(
  AND(
    IFERROR(MATCH(B129, data!D:D, 0), 0) &gt; 0,
    IFERROR(INDEX(data!N:N, MATCH(B129, data!D:D, 0)) = 1, FALSE)
  ),
  INDEX(data!C:C, MATCH(B129, data!D:D, 0)),
  "INC"
)</f>
        <v>2025-09-13T13:37:21.127+08</v>
      </c>
      <c r="K129" s="9" t="str">
        <f t="array" ref="K129">IFERROR(INDEX(dataICM!C:C,match(Caseslist!B129,dataICM!D:D,0)), "INC")</f>
        <v>2025-09-13T13:45:10.926+08</v>
      </c>
      <c r="L129" s="10" t="str">
        <f t="array" ref="L129">IF(AND(G129="COMPLETE", OR(K129="INC", ISBLANK(INDEX(data!O:O, ROW())))), J129, K129)</f>
        <v>2025-09-13T13:45:10.926+08</v>
      </c>
      <c r="M129" s="2">
        <v>45913.0</v>
      </c>
      <c r="N129" s="2">
        <f t="array" ref="N129">IF(M129&lt;&gt;"INC", INDEX(data!M:M, MATCH(B129, data!D:D, 0)), "")</f>
        <v>2</v>
      </c>
      <c r="O129" s="2">
        <f t="shared" si="3"/>
        <v>2</v>
      </c>
    </row>
    <row r="130">
      <c r="A130" s="2" t="str">
        <f t="shared" si="1"/>
        <v>H004285</v>
      </c>
      <c r="B130" s="1" t="s">
        <v>5603</v>
      </c>
      <c r="C130" s="9" t="str">
        <f t="array" ref="C130">IF(
  AND(
    IFERROR(MATCH(Caseslist!B130, data!D:D, 0), 0) &gt; 0,
    IFERROR(INDEX(data!N:N, MATCH(Caseslist!B130, data!D:D, 0)) = 1, FALSE)
  ),
  "COMPLETE",
  "INC"
)</f>
        <v>COMPLETE</v>
      </c>
      <c r="D130" s="9">
        <f t="array" ref="D130">IFERROR(INDEX(data!$G:$G,match(Caseslist!B130,data!$D:$D,0)), "INC")</f>
        <v>455939</v>
      </c>
      <c r="E130" s="9" t="str">
        <f t="array" ref="E130">IFERROR(INDEX(data!H:H,match(Caseslist!B130,data!D:D,0)), "INC")</f>
        <v>Mary Jean Villaflor_2</v>
      </c>
      <c r="F130" s="10" t="str">
        <f t="array" ref="F130">IF(
    OR(
      IFNA(INDEX(data!M:M, MATCH(Caseslist!B130, data!D:D, 0)), "") = "",
      IFNA(INDEX(data!M:M, MATCH(Caseslist!B130, data!D:D, 0)), 0) = 0
    ),
    "COMPLETE",
    IF(
      IFNA(INDEX(dataICM!D:D, MATCH(Caseslist!B130, dataICM!D:D, 0)), "INC") = "INC",
      IFNA(INDEX(dataICM!D:D, MATCH(Caseslist!B130, dataICM!D:D, 0)), "INC"),
      "COMPLETE"
    )
  )</f>
        <v>COMPLETE</v>
      </c>
      <c r="G130" s="10" t="str">
        <f t="array" ref="G130">IF(IFERROR(INDEX(data!L:L,match(Caseslist!B130,data!D:D,0)),"INC")="","COMPLETE",F130)</f>
        <v>COMPLETE</v>
      </c>
      <c r="H130" s="9" t="str">
        <f t="array" ref="H130">IFERROR(INDEX(dataICM!F:F,match(Caseslist!B130,dataICM!D:D,0)), "INC")</f>
        <v>INC</v>
      </c>
      <c r="I130" s="10">
        <f t="shared" si="2"/>
        <v>455939</v>
      </c>
      <c r="J130" s="9" t="str">
        <f t="array" ref="J130">IF(
  AND(
    IFERROR(MATCH(B130, data!D:D, 0), 0) &gt; 0,
    IFERROR(INDEX(data!N:N, MATCH(B130, data!D:D, 0)) = 1, FALSE)
  ),
  INDEX(data!C:C, MATCH(B130, data!D:D, 0)),
  "INC"
)</f>
        <v>2025-09-24T18:11:46.956+08</v>
      </c>
      <c r="K130" s="9" t="str">
        <f t="array" ref="K130">IFERROR(INDEX(dataICM!C:C,match(Caseslist!B130,dataICM!D:D,0)), "INC")</f>
        <v>INC</v>
      </c>
      <c r="L130" s="10" t="str">
        <f t="array" ref="L130">IF(AND(G130="COMPLETE", OR(K130="INC", ISBLANK(INDEX(data!O:O, ROW())))), J130, K130)</f>
        <v>2025-09-24T18:11:46.956+08</v>
      </c>
      <c r="M130" s="2">
        <v>45924.0</v>
      </c>
      <c r="N130" s="2">
        <f t="array" ref="N130">IF(M130&lt;&gt;"INC", INDEX(data!M:M, MATCH(B130, data!D:D, 0)), "")</f>
        <v>0</v>
      </c>
      <c r="O130" s="2">
        <f t="shared" si="3"/>
        <v>0</v>
      </c>
    </row>
    <row r="131">
      <c r="A131" s="2" t="str">
        <f t="shared" si="1"/>
        <v>H004285</v>
      </c>
      <c r="B131" s="1" t="s">
        <v>5588</v>
      </c>
      <c r="C131" s="9" t="str">
        <f t="array" ref="C131">IF(
  AND(
    IFERROR(MATCH(Caseslist!B131, data!D:D, 0), 0) &gt; 0,
    IFERROR(INDEX(data!N:N, MATCH(Caseslist!B131, data!D:D, 0)) = 1, FALSE)
  ),
  "COMPLETE",
  "INC"
)</f>
        <v>COMPLETE</v>
      </c>
      <c r="D131" s="9">
        <f t="array" ref="D131">IFERROR(INDEX(data!$G:$G,match(Caseslist!B131,data!$D:$D,0)), "INC")</f>
        <v>455939</v>
      </c>
      <c r="E131" s="9" t="str">
        <f t="array" ref="E131">IFERROR(INDEX(data!H:H,match(Caseslist!B131,data!D:D,0)), "INC")</f>
        <v>Mary Jean Villaflor_2</v>
      </c>
      <c r="F131" s="10" t="str">
        <f t="array" ref="F131">IF(
    OR(
      IFNA(INDEX(data!M:M, MATCH(Caseslist!B131, data!D:D, 0)), "") = "",
      IFNA(INDEX(data!M:M, MATCH(Caseslist!B131, data!D:D, 0)), 0) = 0
    ),
    "COMPLETE",
    IF(
      IFNA(INDEX(dataICM!D:D, MATCH(Caseslist!B131, dataICM!D:D, 0)), "INC") = "INC",
      IFNA(INDEX(dataICM!D:D, MATCH(Caseslist!B131, dataICM!D:D, 0)), "INC"),
      "COMPLETE"
    )
  )</f>
        <v>COMPLETE</v>
      </c>
      <c r="G131" s="10" t="str">
        <f t="array" ref="G131">IF(IFERROR(INDEX(data!L:L,match(Caseslist!B131,data!D:D,0)),"INC")="","COMPLETE",F131)</f>
        <v>COMPLETE</v>
      </c>
      <c r="H131" s="9" t="str">
        <f t="array" ref="H131">IFERROR(INDEX(dataICM!F:F,match(Caseslist!B131,dataICM!D:D,0)), "INC")</f>
        <v>INC</v>
      </c>
      <c r="I131" s="10">
        <f t="shared" si="2"/>
        <v>455939</v>
      </c>
      <c r="J131" s="9" t="str">
        <f t="array" ref="J131">IF(
  AND(
    IFERROR(MATCH(B131, data!D:D, 0), 0) &gt; 0,
    IFERROR(INDEX(data!N:N, MATCH(B131, data!D:D, 0)) = 1, FALSE)
  ),
  INDEX(data!C:C, MATCH(B131, data!D:D, 0)),
  "INC"
)</f>
        <v>2025-09-24T12:10:16.466+08</v>
      </c>
      <c r="K131" s="9" t="str">
        <f t="array" ref="K131">IFERROR(INDEX(dataICM!C:C,match(Caseslist!B131,dataICM!D:D,0)), "INC")</f>
        <v>INC</v>
      </c>
      <c r="L131" s="10" t="str">
        <f t="array" ref="L131">IF(AND(G131="COMPLETE", OR(K131="INC", ISBLANK(INDEX(data!O:O, ROW())))), J131, K131)</f>
        <v>2025-09-24T12:10:16.466+08</v>
      </c>
      <c r="M131" s="2">
        <v>45924.0</v>
      </c>
      <c r="N131" s="2">
        <f t="array" ref="N131">IF(M131&lt;&gt;"INC", INDEX(data!M:M, MATCH(B131, data!D:D, 0)), "")</f>
        <v>0</v>
      </c>
      <c r="O131" s="2">
        <f t="shared" si="3"/>
        <v>0</v>
      </c>
    </row>
    <row r="132">
      <c r="A132" s="2" t="str">
        <f t="shared" si="1"/>
        <v>H004285</v>
      </c>
      <c r="B132" s="1" t="s">
        <v>5618</v>
      </c>
      <c r="C132" s="9" t="str">
        <f t="array" ref="C132">IF(
  AND(
    IFERROR(MATCH(Caseslist!B132, data!D:D, 0), 0) &gt; 0,
    IFERROR(INDEX(data!N:N, MATCH(Caseslist!B132, data!D:D, 0)) = 1, FALSE)
  ),
  "COMPLETE",
  "INC"
)</f>
        <v>COMPLETE</v>
      </c>
      <c r="D132" s="9">
        <f t="array" ref="D132">IFERROR(INDEX(data!$G:$G,match(Caseslist!B132,data!$D:$D,0)), "INC")</f>
        <v>555127</v>
      </c>
      <c r="E132" s="9" t="str">
        <f t="array" ref="E132">IFERROR(INDEX(data!H:H,match(Caseslist!B132,data!D:D,0)), "INC")</f>
        <v>Mary May_2</v>
      </c>
      <c r="F132" s="10" t="str">
        <f t="array" ref="F132">IF(
    OR(
      IFNA(INDEX(data!M:M, MATCH(Caseslist!B132, data!D:D, 0)), "") = "",
      IFNA(INDEX(data!M:M, MATCH(Caseslist!B132, data!D:D, 0)), 0) = 0
    ),
    "COMPLETE",
    IF(
      IFNA(INDEX(dataICM!D:D, MATCH(Caseslist!B132, dataICM!D:D, 0)), "INC") = "INC",
      IFNA(INDEX(dataICM!D:D, MATCH(Caseslist!B132, dataICM!D:D, 0)), "INC"),
      "COMPLETE"
    )
  )</f>
        <v>COMPLETE</v>
      </c>
      <c r="G132" s="10" t="str">
        <f t="array" ref="G132">IF(IFERROR(INDEX(data!L:L,match(Caseslist!B132,data!D:D,0)),"INC")="","COMPLETE",F132)</f>
        <v>COMPLETE</v>
      </c>
      <c r="H132" s="9" t="str">
        <f t="array" ref="H132">IFERROR(INDEX(dataICM!F:F,match(Caseslist!B132,dataICM!D:D,0)), "INC")</f>
        <v>INC</v>
      </c>
      <c r="I132" s="10">
        <f t="shared" si="2"/>
        <v>555127</v>
      </c>
      <c r="J132" s="9" t="str">
        <f t="array" ref="J132">IF(
  AND(
    IFERROR(MATCH(B132, data!D:D, 0), 0) &gt; 0,
    IFERROR(INDEX(data!N:N, MATCH(B132, data!D:D, 0)) = 1, FALSE)
  ),
  INDEX(data!C:C, MATCH(B132, data!D:D, 0)),
  "INC"
)</f>
        <v>2025-09-12T11:20:55.248+08</v>
      </c>
      <c r="K132" s="9" t="str">
        <f t="array" ref="K132">IFERROR(INDEX(dataICM!C:C,match(Caseslist!B132,dataICM!D:D,0)), "INC")</f>
        <v>INC</v>
      </c>
      <c r="L132" s="10" t="str">
        <f t="array" ref="L132">IF(AND(G132="COMPLETE", OR(K132="INC", ISBLANK(INDEX(data!O:O, ROW())))), J132, K132)</f>
        <v>2025-09-12T11:20:55.248+08</v>
      </c>
      <c r="M132" s="2">
        <v>45912.0</v>
      </c>
      <c r="N132" s="2">
        <f t="array" ref="N132">IF(M132&lt;&gt;"INC", INDEX(data!M:M, MATCH(B132, data!D:D, 0)), "")</f>
        <v>0</v>
      </c>
      <c r="O132" s="2">
        <f t="shared" si="3"/>
        <v>0</v>
      </c>
    </row>
    <row r="133">
      <c r="A133" s="2" t="str">
        <f t="shared" si="1"/>
        <v>H004285</v>
      </c>
      <c r="B133" s="1" t="s">
        <v>5598</v>
      </c>
      <c r="C133" s="9" t="str">
        <f t="array" ref="C133">IF(
  AND(
    IFERROR(MATCH(Caseslist!B133, data!D:D, 0), 0) &gt; 0,
    IFERROR(INDEX(data!N:N, MATCH(Caseslist!B133, data!D:D, 0)) = 1, FALSE)
  ),
  "COMPLETE",
  "INC"
)</f>
        <v>COMPLETE</v>
      </c>
      <c r="D133" s="9">
        <f t="array" ref="D133">IFERROR(INDEX(data!$G:$G,match(Caseslist!B133,data!$D:$D,0)), "INC")</f>
        <v>841329</v>
      </c>
      <c r="E133" s="9" t="str">
        <f t="array" ref="E133">IFERROR(INDEX(data!H:H,match(Caseslist!B133,data!D:D,0)), "INC")</f>
        <v>Aila Eli_2</v>
      </c>
      <c r="F133" s="10" t="str">
        <f t="array" ref="F133">IF(
    OR(
      IFNA(INDEX(data!M:M, MATCH(Caseslist!B133, data!D:D, 0)), "") = "",
      IFNA(INDEX(data!M:M, MATCH(Caseslist!B133, data!D:D, 0)), 0) = 0
    ),
    "COMPLETE",
    IF(
      IFNA(INDEX(dataICM!D:D, MATCH(Caseslist!B133, dataICM!D:D, 0)), "INC") = "INC",
      IFNA(INDEX(dataICM!D:D, MATCH(Caseslist!B133, dataICM!D:D, 0)), "INC"),
      "COMPLETE"
    )
  )</f>
        <v>COMPLETE</v>
      </c>
      <c r="G133" s="10" t="str">
        <f t="array" ref="G133">IF(IFERROR(INDEX(data!L:L,match(Caseslist!B133,data!D:D,0)),"INC")="","COMPLETE",F133)</f>
        <v>COMPLETE</v>
      </c>
      <c r="H133" s="9" t="str">
        <f t="array" ref="H133">IFERROR(INDEX(dataICM!F:F,match(Caseslist!B133,dataICM!D:D,0)), "INC")</f>
        <v>INC</v>
      </c>
      <c r="I133" s="10">
        <f t="shared" si="2"/>
        <v>841329</v>
      </c>
      <c r="J133" s="9" t="str">
        <f t="array" ref="J133">IF(
  AND(
    IFERROR(MATCH(B133, data!D:D, 0), 0) &gt; 0,
    IFERROR(INDEX(data!N:N, MATCH(B133, data!D:D, 0)) = 1, FALSE)
  ),
  INDEX(data!C:C, MATCH(B133, data!D:D, 0)),
  "INC"
)</f>
        <v>2025-09-12T13:21:04.598+08</v>
      </c>
      <c r="K133" s="9" t="str">
        <f t="array" ref="K133">IFERROR(INDEX(dataICM!C:C,match(Caseslist!B133,dataICM!D:D,0)), "INC")</f>
        <v>INC</v>
      </c>
      <c r="L133" s="10" t="str">
        <f t="array" ref="L133">IF(AND(G133="COMPLETE", OR(K133="INC", ISBLANK(INDEX(data!O:O, ROW())))), J133, K133)</f>
        <v>2025-09-12T13:21:04.598+08</v>
      </c>
      <c r="M133" s="2">
        <v>45912.0</v>
      </c>
      <c r="N133" s="2">
        <f t="array" ref="N133">IF(M133&lt;&gt;"INC", INDEX(data!M:M, MATCH(B133, data!D:D, 0)), "")</f>
        <v>0</v>
      </c>
      <c r="O133" s="2">
        <f t="shared" si="3"/>
        <v>0</v>
      </c>
    </row>
    <row r="134">
      <c r="A134" s="2" t="str">
        <f t="shared" si="1"/>
        <v>H004285</v>
      </c>
      <c r="B134" s="1" t="s">
        <v>5573</v>
      </c>
      <c r="C134" s="9" t="str">
        <f t="array" ref="C134">IF(
  AND(
    IFERROR(MATCH(Caseslist!B134, data!D:D, 0), 0) &gt; 0,
    IFERROR(INDEX(data!N:N, MATCH(Caseslist!B134, data!D:D, 0)) = 1, FALSE)
  ),
  "COMPLETE",
  "INC"
)</f>
        <v>INC</v>
      </c>
      <c r="D134" s="9">
        <f t="array" ref="D134">IFERROR(INDEX(data!$G:$G,match(Caseslist!B134,data!$D:$D,0)), "INC")</f>
        <v>455939</v>
      </c>
      <c r="E134" s="9" t="str">
        <f t="array" ref="E134">IFERROR(INDEX(data!H:H,match(Caseslist!B134,data!D:D,0)), "INC")</f>
        <v>Mary Jean Villaflor_2</v>
      </c>
      <c r="F134" s="10" t="str">
        <f t="array" ref="F134">IF(
    OR(
      IFNA(INDEX(data!M:M, MATCH(Caseslist!B134, data!D:D, 0)), "") = "",
      IFNA(INDEX(data!M:M, MATCH(Caseslist!B134, data!D:D, 0)), 0) = 0
    ),
    "COMPLETE",
    IF(
      IFNA(INDEX(dataICM!D:D, MATCH(Caseslist!B134, dataICM!D:D, 0)), "INC") = "INC",
      IFNA(INDEX(dataICM!D:D, MATCH(Caseslist!B134, dataICM!D:D, 0)), "INC"),
      "COMPLETE"
    )
  )</f>
        <v>COMPLETE</v>
      </c>
      <c r="G134" s="10" t="str">
        <f t="array" ref="G134">IF(IFERROR(INDEX(data!L:L,match(Caseslist!B134,data!D:D,0)),"INC")="","COMPLETE",F134)</f>
        <v>COMPLETE</v>
      </c>
      <c r="H134" s="9" t="str">
        <f t="array" ref="H134">IFERROR(INDEX(dataICM!F:F,match(Caseslist!B134,dataICM!D:D,0)), "INC")</f>
        <v>INC</v>
      </c>
      <c r="I134" s="10">
        <f t="shared" si="2"/>
        <v>455939</v>
      </c>
      <c r="J134" s="9" t="str">
        <f t="array" ref="J134">IF(
  AND(
    IFERROR(MATCH(B134, data!D:D, 0), 0) &gt; 0,
    IFERROR(INDEX(data!N:N, MATCH(B134, data!D:D, 0)) = 1, FALSE)
  ),
  INDEX(data!C:C, MATCH(B134, data!D:D, 0)),
  "INC"
)</f>
        <v>INC</v>
      </c>
      <c r="K134" s="9" t="str">
        <f t="array" ref="K134">IFERROR(INDEX(dataICM!C:C,match(Caseslist!B134,dataICM!D:D,0)), "INC")</f>
        <v>INC</v>
      </c>
      <c r="L134" s="10" t="str">
        <f t="array" ref="L134">IF(AND(G134="COMPLETE", OR(K134="INC", ISBLANK(INDEX(data!O:O, ROW())))), J134, K134)</f>
        <v>INC</v>
      </c>
      <c r="M134" s="2" t="s">
        <v>8886</v>
      </c>
      <c r="N134" s="2" t="str">
        <f t="array" ref="N134">IF(M134&lt;&gt;"INC", INDEX(data!M:M, MATCH(B134, data!D:D, 0)), "")</f>
        <v/>
      </c>
      <c r="O134" s="2" t="str">
        <f t="shared" si="3"/>
        <v/>
      </c>
    </row>
    <row r="135">
      <c r="A135" s="2" t="str">
        <f t="shared" si="1"/>
        <v>H004285</v>
      </c>
      <c r="B135" s="1" t="s">
        <v>5613</v>
      </c>
      <c r="C135" s="9" t="str">
        <f t="array" ref="C135">IF(
  AND(
    IFERROR(MATCH(Caseslist!B135, data!D:D, 0), 0) &gt; 0,
    IFERROR(INDEX(data!N:N, MATCH(Caseslist!B135, data!D:D, 0)) = 1, FALSE)
  ),
  "COMPLETE",
  "INC"
)</f>
        <v>COMPLETE</v>
      </c>
      <c r="D135" s="9">
        <f t="array" ref="D135">IFERROR(INDEX(data!$G:$G,match(Caseslist!B135,data!$D:$D,0)), "INC")</f>
        <v>555127</v>
      </c>
      <c r="E135" s="9" t="str">
        <f t="array" ref="E135">IFERROR(INDEX(data!H:H,match(Caseslist!B135,data!D:D,0)), "INC")</f>
        <v>Mary May_2</v>
      </c>
      <c r="F135" s="10" t="str">
        <f t="array" ref="F135">IF(
    OR(
      IFNA(INDEX(data!M:M, MATCH(Caseslist!B135, data!D:D, 0)), "") = "",
      IFNA(INDEX(data!M:M, MATCH(Caseslist!B135, data!D:D, 0)), 0) = 0
    ),
    "COMPLETE",
    IF(
      IFNA(INDEX(dataICM!D:D, MATCH(Caseslist!B135, dataICM!D:D, 0)), "INC") = "INC",
      IFNA(INDEX(dataICM!D:D, MATCH(Caseslist!B135, dataICM!D:D, 0)), "INC"),
      "COMPLETE"
    )
  )</f>
        <v>COMPLETE</v>
      </c>
      <c r="G135" s="10" t="str">
        <f t="array" ref="G135">IF(IFERROR(INDEX(data!L:L,match(Caseslist!B135,data!D:D,0)),"INC")="","COMPLETE",F135)</f>
        <v>COMPLETE</v>
      </c>
      <c r="H135" s="9" t="str">
        <f t="array" ref="H135">IFERROR(INDEX(dataICM!F:F,match(Caseslist!B135,dataICM!D:D,0)), "INC")</f>
        <v>INC</v>
      </c>
      <c r="I135" s="10">
        <f t="shared" si="2"/>
        <v>555127</v>
      </c>
      <c r="J135" s="9" t="str">
        <f t="array" ref="J135">IF(
  AND(
    IFERROR(MATCH(B135, data!D:D, 0), 0) &gt; 0,
    IFERROR(INDEX(data!N:N, MATCH(B135, data!D:D, 0)) = 1, FALSE)
  ),
  INDEX(data!C:C, MATCH(B135, data!D:D, 0)),
  "INC"
)</f>
        <v>2025-09-12T09:43:48.758+08</v>
      </c>
      <c r="K135" s="9" t="str">
        <f t="array" ref="K135">IFERROR(INDEX(dataICM!C:C,match(Caseslist!B135,dataICM!D:D,0)), "INC")</f>
        <v>INC</v>
      </c>
      <c r="L135" s="10" t="str">
        <f t="array" ref="L135">IF(AND(G135="COMPLETE", OR(K135="INC", ISBLANK(INDEX(data!O:O, ROW())))), J135, K135)</f>
        <v>2025-09-12T09:43:48.758+08</v>
      </c>
      <c r="M135" s="2">
        <v>45912.0</v>
      </c>
      <c r="N135" s="2">
        <f t="array" ref="N135">IF(M135&lt;&gt;"INC", INDEX(data!M:M, MATCH(B135, data!D:D, 0)), "")</f>
        <v>0</v>
      </c>
      <c r="O135" s="2">
        <f t="shared" si="3"/>
        <v>0</v>
      </c>
    </row>
    <row r="136">
      <c r="A136" s="2" t="str">
        <f t="shared" si="1"/>
        <v>H004285</v>
      </c>
      <c r="B136" s="1" t="s">
        <v>5568</v>
      </c>
      <c r="C136" s="9" t="str">
        <f t="array" ref="C136">IF(
  AND(
    IFERROR(MATCH(Caseslist!B136, data!D:D, 0), 0) &gt; 0,
    IFERROR(INDEX(data!N:N, MATCH(Caseslist!B136, data!D:D, 0)) = 1, FALSE)
  ),
  "COMPLETE",
  "INC"
)</f>
        <v>COMPLETE</v>
      </c>
      <c r="D136" s="9">
        <f t="array" ref="D136">IFERROR(INDEX(data!$G:$G,match(Caseslist!B136,data!$D:$D,0)), "INC")</f>
        <v>455939</v>
      </c>
      <c r="E136" s="9" t="str">
        <f t="array" ref="E136">IFERROR(INDEX(data!H:H,match(Caseslist!B136,data!D:D,0)), "INC")</f>
        <v>Mary Jean Villaflor_2</v>
      </c>
      <c r="F136" s="10" t="str">
        <f t="array" ref="F136">IF(
    OR(
      IFNA(INDEX(data!M:M, MATCH(Caseslist!B136, data!D:D, 0)), "") = "",
      IFNA(INDEX(data!M:M, MATCH(Caseslist!B136, data!D:D, 0)), 0) = 0
    ),
    "COMPLETE",
    IF(
      IFNA(INDEX(dataICM!D:D, MATCH(Caseslist!B136, dataICM!D:D, 0)), "INC") = "INC",
      IFNA(INDEX(dataICM!D:D, MATCH(Caseslist!B136, dataICM!D:D, 0)), "INC"),
      "COMPLETE"
    )
  )</f>
        <v>COMPLETE</v>
      </c>
      <c r="G136" s="10" t="str">
        <f t="array" ref="G136">IF(IFERROR(INDEX(data!L:L,match(Caseslist!B136,data!D:D,0)),"INC")="","COMPLETE",F136)</f>
        <v>COMPLETE</v>
      </c>
      <c r="H136" s="9" t="str">
        <f t="array" ref="H136">IFERROR(INDEX(dataICM!F:F,match(Caseslist!B136,dataICM!D:D,0)), "INC")</f>
        <v>INC</v>
      </c>
      <c r="I136" s="10">
        <f t="shared" si="2"/>
        <v>455939</v>
      </c>
      <c r="J136" s="9" t="str">
        <f t="array" ref="J136">IF(
  AND(
    IFERROR(MATCH(B136, data!D:D, 0), 0) &gt; 0,
    IFERROR(INDEX(data!N:N, MATCH(B136, data!D:D, 0)) = 1, FALSE)
  ),
  INDEX(data!C:C, MATCH(B136, data!D:D, 0)),
  "INC"
)</f>
        <v>2025-09-24T09:11:08.991+08</v>
      </c>
      <c r="K136" s="9" t="str">
        <f t="array" ref="K136">IFERROR(INDEX(dataICM!C:C,match(Caseslist!B136,dataICM!D:D,0)), "INC")</f>
        <v>INC</v>
      </c>
      <c r="L136" s="10" t="str">
        <f t="array" ref="L136">IF(AND(G136="COMPLETE", OR(K136="INC", ISBLANK(INDEX(data!O:O, ROW())))), J136, K136)</f>
        <v>2025-09-24T09:11:08.991+08</v>
      </c>
      <c r="M136" s="2">
        <v>45924.0</v>
      </c>
      <c r="N136" s="2">
        <f t="array" ref="N136">IF(M136&lt;&gt;"INC", INDEX(data!M:M, MATCH(B136, data!D:D, 0)), "")</f>
        <v>0</v>
      </c>
      <c r="O136" s="2">
        <f t="shared" si="3"/>
        <v>0</v>
      </c>
    </row>
    <row r="137">
      <c r="A137" s="2" t="str">
        <f t="shared" si="1"/>
        <v>H004285</v>
      </c>
      <c r="B137" s="1" t="s">
        <v>5583</v>
      </c>
      <c r="C137" s="9" t="str">
        <f t="array" ref="C137">IF(
  AND(
    IFERROR(MATCH(Caseslist!B137, data!D:D, 0), 0) &gt; 0,
    IFERROR(INDEX(data!N:N, MATCH(Caseslist!B137, data!D:D, 0)) = 1, FALSE)
  ),
  "COMPLETE",
  "INC"
)</f>
        <v>COMPLETE</v>
      </c>
      <c r="D137" s="9">
        <f t="array" ref="D137">IFERROR(INDEX(data!$G:$G,match(Caseslist!B137,data!$D:$D,0)), "INC")</f>
        <v>455939</v>
      </c>
      <c r="E137" s="9" t="str">
        <f t="array" ref="E137">IFERROR(INDEX(data!H:H,match(Caseslist!B137,data!D:D,0)), "INC")</f>
        <v>Mary Jean Villaflor_2</v>
      </c>
      <c r="F137" s="10" t="str">
        <f t="array" ref="F137">IF(
    OR(
      IFNA(INDEX(data!M:M, MATCH(Caseslist!B137, data!D:D, 0)), "") = "",
      IFNA(INDEX(data!M:M, MATCH(Caseslist!B137, data!D:D, 0)), 0) = 0
    ),
    "COMPLETE",
    IF(
      IFNA(INDEX(dataICM!D:D, MATCH(Caseslist!B137, dataICM!D:D, 0)), "INC") = "INC",
      IFNA(INDEX(dataICM!D:D, MATCH(Caseslist!B137, dataICM!D:D, 0)), "INC"),
      "COMPLETE"
    )
  )</f>
        <v>COMPLETE</v>
      </c>
      <c r="G137" s="10" t="str">
        <f t="array" ref="G137">IF(IFERROR(INDEX(data!L:L,match(Caseslist!B137,data!D:D,0)),"INC")="","COMPLETE",F137)</f>
        <v>COMPLETE</v>
      </c>
      <c r="H137" s="9" t="str">
        <f t="array" ref="H137">IFERROR(INDEX(dataICM!F:F,match(Caseslist!B137,dataICM!D:D,0)), "INC")</f>
        <v>INC</v>
      </c>
      <c r="I137" s="10">
        <f t="shared" si="2"/>
        <v>455939</v>
      </c>
      <c r="J137" s="9" t="str">
        <f t="array" ref="J137">IF(
  AND(
    IFERROR(MATCH(B137, data!D:D, 0), 0) &gt; 0,
    IFERROR(INDEX(data!N:N, MATCH(B137, data!D:D, 0)) = 1, FALSE)
  ),
  INDEX(data!C:C, MATCH(B137, data!D:D, 0)),
  "INC"
)</f>
        <v>2025-09-12T14:14:06.312+08</v>
      </c>
      <c r="K137" s="9" t="str">
        <f t="array" ref="K137">IFERROR(INDEX(dataICM!C:C,match(Caseslist!B137,dataICM!D:D,0)), "INC")</f>
        <v>INC</v>
      </c>
      <c r="L137" s="10" t="str">
        <f t="array" ref="L137">IF(AND(G137="COMPLETE", OR(K137="INC", ISBLANK(INDEX(data!O:O, ROW())))), J137, K137)</f>
        <v>2025-09-12T14:14:06.312+08</v>
      </c>
      <c r="M137" s="2">
        <v>45912.0</v>
      </c>
      <c r="N137" s="2">
        <f t="array" ref="N137">IF(M137&lt;&gt;"INC", INDEX(data!M:M, MATCH(B137, data!D:D, 0)), "")</f>
        <v>0</v>
      </c>
      <c r="O137" s="2">
        <f t="shared" si="3"/>
        <v>0</v>
      </c>
    </row>
    <row r="138">
      <c r="A138" s="2" t="str">
        <f t="shared" si="1"/>
        <v>H004285</v>
      </c>
      <c r="B138" s="1" t="s">
        <v>5623</v>
      </c>
      <c r="C138" s="9" t="str">
        <f t="array" ref="C138">IF(
  AND(
    IFERROR(MATCH(Caseslist!B138, data!D:D, 0), 0) &gt; 0,
    IFERROR(INDEX(data!N:N, MATCH(Caseslist!B138, data!D:D, 0)) = 1, FALSE)
  ),
  "COMPLETE",
  "INC"
)</f>
        <v>COMPLETE</v>
      </c>
      <c r="D138" s="9">
        <f t="array" ref="D138">IFERROR(INDEX(data!$G:$G,match(Caseslist!B138,data!$D:$D,0)), "INC")</f>
        <v>555127</v>
      </c>
      <c r="E138" s="9" t="str">
        <f t="array" ref="E138">IFERROR(INDEX(data!H:H,match(Caseslist!B138,data!D:D,0)), "INC")</f>
        <v>Mary May_2</v>
      </c>
      <c r="F138" s="10" t="str">
        <f t="array" ref="F138">IF(
    OR(
      IFNA(INDEX(data!M:M, MATCH(Caseslist!B138, data!D:D, 0)), "") = "",
      IFNA(INDEX(data!M:M, MATCH(Caseslist!B138, data!D:D, 0)), 0) = 0
    ),
    "COMPLETE",
    IF(
      IFNA(INDEX(dataICM!D:D, MATCH(Caseslist!B138, dataICM!D:D, 0)), "INC") = "INC",
      IFNA(INDEX(dataICM!D:D, MATCH(Caseslist!B138, dataICM!D:D, 0)), "INC"),
      "COMPLETE"
    )
  )</f>
        <v>COMPLETE</v>
      </c>
      <c r="G138" s="10" t="str">
        <f t="array" ref="G138">IF(IFERROR(INDEX(data!L:L,match(Caseslist!B138,data!D:D,0)),"INC")="","COMPLETE",F138)</f>
        <v>COMPLETE</v>
      </c>
      <c r="H138" s="9" t="str">
        <f t="array" ref="H138">IFERROR(INDEX(dataICM!F:F,match(Caseslist!B138,dataICM!D:D,0)), "INC")</f>
        <v>INC</v>
      </c>
      <c r="I138" s="10">
        <f t="shared" si="2"/>
        <v>555127</v>
      </c>
      <c r="J138" s="9" t="str">
        <f t="array" ref="J138">IF(
  AND(
    IFERROR(MATCH(B138, data!D:D, 0), 0) &gt; 0,
    IFERROR(INDEX(data!N:N, MATCH(B138, data!D:D, 0)) = 1, FALSE)
  ),
  INDEX(data!C:C, MATCH(B138, data!D:D, 0)),
  "INC"
)</f>
        <v>2025-09-12T13:00:50.442+08</v>
      </c>
      <c r="K138" s="9" t="str">
        <f t="array" ref="K138">IFERROR(INDEX(dataICM!C:C,match(Caseslist!B138,dataICM!D:D,0)), "INC")</f>
        <v>INC</v>
      </c>
      <c r="L138" s="10" t="str">
        <f t="array" ref="L138">IF(AND(G138="COMPLETE", OR(K138="INC", ISBLANK(INDEX(data!O:O, ROW())))), J138, K138)</f>
        <v>2025-09-12T13:00:50.442+08</v>
      </c>
      <c r="M138" s="2">
        <v>45912.0</v>
      </c>
      <c r="N138" s="2">
        <f t="array" ref="N138">IF(M138&lt;&gt;"INC", INDEX(data!M:M, MATCH(B138, data!D:D, 0)), "")</f>
        <v>0</v>
      </c>
      <c r="O138" s="2">
        <f t="shared" si="3"/>
        <v>0</v>
      </c>
    </row>
    <row r="139">
      <c r="A139" s="2" t="str">
        <f t="shared" si="1"/>
        <v>H004285</v>
      </c>
      <c r="B139" s="1" t="s">
        <v>5578</v>
      </c>
      <c r="C139" s="9" t="str">
        <f t="array" ref="C139">IF(
  AND(
    IFERROR(MATCH(Caseslist!B139, data!D:D, 0), 0) &gt; 0,
    IFERROR(INDEX(data!N:N, MATCH(Caseslist!B139, data!D:D, 0)) = 1, FALSE)
  ),
  "COMPLETE",
  "INC"
)</f>
        <v>COMPLETE</v>
      </c>
      <c r="D139" s="9">
        <f t="array" ref="D139">IFERROR(INDEX(data!$G:$G,match(Caseslist!B139,data!$D:$D,0)), "INC")</f>
        <v>455939</v>
      </c>
      <c r="E139" s="9" t="str">
        <f t="array" ref="E139">IFERROR(INDEX(data!H:H,match(Caseslist!B139,data!D:D,0)), "INC")</f>
        <v>Mary Jean Villaflor_2</v>
      </c>
      <c r="F139" s="10" t="str">
        <f t="array" ref="F139">IF(
    OR(
      IFNA(INDEX(data!M:M, MATCH(Caseslist!B139, data!D:D, 0)), "") = "",
      IFNA(INDEX(data!M:M, MATCH(Caseslist!B139, data!D:D, 0)), 0) = 0
    ),
    "COMPLETE",
    IF(
      IFNA(INDEX(dataICM!D:D, MATCH(Caseslist!B139, dataICM!D:D, 0)), "INC") = "INC",
      IFNA(INDEX(dataICM!D:D, MATCH(Caseslist!B139, dataICM!D:D, 0)), "INC"),
      "COMPLETE"
    )
  )</f>
        <v>COMPLETE</v>
      </c>
      <c r="G139" s="10" t="str">
        <f t="array" ref="G139">IF(IFERROR(INDEX(data!L:L,match(Caseslist!B139,data!D:D,0)),"INC")="","COMPLETE",F139)</f>
        <v>COMPLETE</v>
      </c>
      <c r="H139" s="9" t="str">
        <f t="array" ref="H139">IFERROR(INDEX(dataICM!F:F,match(Caseslist!B139,dataICM!D:D,0)), "INC")</f>
        <v>INC</v>
      </c>
      <c r="I139" s="10">
        <f t="shared" si="2"/>
        <v>455939</v>
      </c>
      <c r="J139" s="9" t="str">
        <f t="array" ref="J139">IF(
  AND(
    IFERROR(MATCH(B139, data!D:D, 0), 0) &gt; 0,
    IFERROR(INDEX(data!N:N, MATCH(B139, data!D:D, 0)) = 1, FALSE)
  ),
  INDEX(data!C:C, MATCH(B139, data!D:D, 0)),
  "INC"
)</f>
        <v>2025-09-12T12:51:15.172+08</v>
      </c>
      <c r="K139" s="9" t="str">
        <f t="array" ref="K139">IFERROR(INDEX(dataICM!C:C,match(Caseslist!B139,dataICM!D:D,0)), "INC")</f>
        <v>INC</v>
      </c>
      <c r="L139" s="10" t="str">
        <f t="array" ref="L139">IF(AND(G139="COMPLETE", OR(K139="INC", ISBLANK(INDEX(data!O:O, ROW())))), J139, K139)</f>
        <v>2025-09-12T12:51:15.172+08</v>
      </c>
      <c r="M139" s="2">
        <v>45912.0</v>
      </c>
      <c r="N139" s="2">
        <f t="array" ref="N139">IF(M139&lt;&gt;"INC", INDEX(data!M:M, MATCH(B139, data!D:D, 0)), "")</f>
        <v>0</v>
      </c>
      <c r="O139" s="2">
        <f t="shared" si="3"/>
        <v>0</v>
      </c>
    </row>
    <row r="140">
      <c r="A140" s="2" t="str">
        <f t="shared" si="1"/>
        <v>H004285</v>
      </c>
      <c r="B140" s="1" t="s">
        <v>5563</v>
      </c>
      <c r="C140" s="9" t="str">
        <f t="array" ref="C140">IF(
  AND(
    IFERROR(MATCH(Caseslist!B140, data!D:D, 0), 0) &gt; 0,
    IFERROR(INDEX(data!N:N, MATCH(Caseslist!B140, data!D:D, 0)) = 1, FALSE)
  ),
  "COMPLETE",
  "INC"
)</f>
        <v>COMPLETE</v>
      </c>
      <c r="D140" s="9">
        <f t="array" ref="D140">IFERROR(INDEX(data!$G:$G,match(Caseslist!B140,data!$D:$D,0)), "INC")</f>
        <v>455939</v>
      </c>
      <c r="E140" s="9" t="str">
        <f t="array" ref="E140">IFERROR(INDEX(data!H:H,match(Caseslist!B140,data!D:D,0)), "INC")</f>
        <v>Mary Jean Villaflor_2</v>
      </c>
      <c r="F140" s="10" t="str">
        <f t="array" ref="F140">IF(
    OR(
      IFNA(INDEX(data!M:M, MATCH(Caseslist!B140, data!D:D, 0)), "") = "",
      IFNA(INDEX(data!M:M, MATCH(Caseslist!B140, data!D:D, 0)), 0) = 0
    ),
    "COMPLETE",
    IF(
      IFNA(INDEX(dataICM!D:D, MATCH(Caseslist!B140, dataICM!D:D, 0)), "INC") = "INC",
      IFNA(INDEX(dataICM!D:D, MATCH(Caseslist!B140, dataICM!D:D, 0)), "INC"),
      "COMPLETE"
    )
  )</f>
        <v>COMPLETE</v>
      </c>
      <c r="G140" s="10" t="str">
        <f t="array" ref="G140">IF(IFERROR(INDEX(data!L:L,match(Caseslist!B140,data!D:D,0)),"INC")="","COMPLETE",F140)</f>
        <v>COMPLETE</v>
      </c>
      <c r="H140" s="9" t="str">
        <f t="array" ref="H140">IFERROR(INDEX(dataICM!F:F,match(Caseslist!B140,dataICM!D:D,0)), "INC")</f>
        <v>INC</v>
      </c>
      <c r="I140" s="10">
        <f t="shared" si="2"/>
        <v>455939</v>
      </c>
      <c r="J140" s="9" t="str">
        <f t="array" ref="J140">IF(
  AND(
    IFERROR(MATCH(B140, data!D:D, 0), 0) &gt; 0,
    IFERROR(INDEX(data!N:N, MATCH(B140, data!D:D, 0)) = 1, FALSE)
  ),
  INDEX(data!C:C, MATCH(B140, data!D:D, 0)),
  "INC"
)</f>
        <v>2025-10-01T13:41:44.744+08</v>
      </c>
      <c r="K140" s="9" t="str">
        <f t="array" ref="K140">IFERROR(INDEX(dataICM!C:C,match(Caseslist!B140,dataICM!D:D,0)), "INC")</f>
        <v>INC</v>
      </c>
      <c r="L140" s="10" t="str">
        <f t="array" ref="L140">IF(AND(G140="COMPLETE", OR(K140="INC", ISBLANK(INDEX(data!O:O, ROW())))), J140, K140)</f>
        <v>2025-10-01T13:41:44.744+08</v>
      </c>
      <c r="M140" s="2">
        <v>45931.0</v>
      </c>
      <c r="N140" s="2">
        <f t="array" ref="N140">IF(M140&lt;&gt;"INC", INDEX(data!M:M, MATCH(B140, data!D:D, 0)), "")</f>
        <v>0</v>
      </c>
      <c r="O140" s="2">
        <f t="shared" si="3"/>
        <v>0</v>
      </c>
    </row>
    <row r="141">
      <c r="A141" s="2" t="str">
        <f t="shared" si="1"/>
        <v>H004285</v>
      </c>
      <c r="B141" s="1" t="s">
        <v>5608</v>
      </c>
      <c r="C141" s="9" t="str">
        <f t="array" ref="C141">IF(
  AND(
    IFERROR(MATCH(Caseslist!B141, data!D:D, 0), 0) &gt; 0,
    IFERROR(INDEX(data!N:N, MATCH(Caseslist!B141, data!D:D, 0)) = 1, FALSE)
  ),
  "COMPLETE",
  "INC"
)</f>
        <v>INC</v>
      </c>
      <c r="D141" s="9">
        <f t="array" ref="D141">IFERROR(INDEX(data!$G:$G,match(Caseslist!B141,data!$D:$D,0)), "INC")</f>
        <v>841329</v>
      </c>
      <c r="E141" s="9" t="str">
        <f t="array" ref="E141">IFERROR(INDEX(data!H:H,match(Caseslist!B141,data!D:D,0)), "INC")</f>
        <v>Aila Eli_2</v>
      </c>
      <c r="F141" s="10" t="str">
        <f t="array" ref="F141">IF(
    OR(
      IFNA(INDEX(data!M:M, MATCH(Caseslist!B141, data!D:D, 0)), "") = "",
      IFNA(INDEX(data!M:M, MATCH(Caseslist!B141, data!D:D, 0)), 0) = 0
    ),
    "COMPLETE",
    IF(
      IFNA(INDEX(dataICM!D:D, MATCH(Caseslist!B141, dataICM!D:D, 0)), "INC") = "INC",
      IFNA(INDEX(dataICM!D:D, MATCH(Caseslist!B141, dataICM!D:D, 0)), "INC"),
      "COMPLETE"
    )
  )</f>
        <v>COMPLETE</v>
      </c>
      <c r="G141" s="10" t="str">
        <f t="array" ref="G141">IF(IFERROR(INDEX(data!L:L,match(Caseslist!B141,data!D:D,0)),"INC")="","COMPLETE",F141)</f>
        <v>COMPLETE</v>
      </c>
      <c r="H141" s="9" t="str">
        <f t="array" ref="H141">IFERROR(INDEX(dataICM!F:F,match(Caseslist!B141,dataICM!D:D,0)), "INC")</f>
        <v>INC</v>
      </c>
      <c r="I141" s="10">
        <f t="shared" si="2"/>
        <v>841329</v>
      </c>
      <c r="J141" s="9" t="str">
        <f t="array" ref="J141">IF(
  AND(
    IFERROR(MATCH(B141, data!D:D, 0), 0) &gt; 0,
    IFERROR(INDEX(data!N:N, MATCH(B141, data!D:D, 0)) = 1, FALSE)
  ),
  INDEX(data!C:C, MATCH(B141, data!D:D, 0)),
  "INC"
)</f>
        <v>INC</v>
      </c>
      <c r="K141" s="9" t="str">
        <f t="array" ref="K141">IFERROR(INDEX(dataICM!C:C,match(Caseslist!B141,dataICM!D:D,0)), "INC")</f>
        <v>INC</v>
      </c>
      <c r="L141" s="10" t="str">
        <f t="array" ref="L141">IF(AND(G141="COMPLETE", OR(K141="INC", ISBLANK(INDEX(data!O:O, ROW())))), J141, K141)</f>
        <v>INC</v>
      </c>
      <c r="M141" s="2" t="s">
        <v>8886</v>
      </c>
      <c r="N141" s="2" t="str">
        <f t="array" ref="N141">IF(M141&lt;&gt;"INC", INDEX(data!M:M, MATCH(B141, data!D:D, 0)), "")</f>
        <v/>
      </c>
      <c r="O141" s="2" t="str">
        <f t="shared" si="3"/>
        <v/>
      </c>
    </row>
    <row r="142">
      <c r="A142" s="2" t="str">
        <f t="shared" si="1"/>
        <v>H004285</v>
      </c>
      <c r="B142" s="1" t="s">
        <v>5593</v>
      </c>
      <c r="C142" s="9" t="str">
        <f t="array" ref="C142">IF(
  AND(
    IFERROR(MATCH(Caseslist!B142, data!D:D, 0), 0) &gt; 0,
    IFERROR(INDEX(data!N:N, MATCH(Caseslist!B142, data!D:D, 0)) = 1, FALSE)
  ),
  "COMPLETE",
  "INC"
)</f>
        <v>COMPLETE</v>
      </c>
      <c r="D142" s="9">
        <f t="array" ref="D142">IFERROR(INDEX(data!$G:$G,match(Caseslist!B142,data!$D:$D,0)), "INC")</f>
        <v>455939</v>
      </c>
      <c r="E142" s="9" t="str">
        <f t="array" ref="E142">IFERROR(INDEX(data!H:H,match(Caseslist!B142,data!D:D,0)), "INC")</f>
        <v>Mary Jean Villaflor_2</v>
      </c>
      <c r="F142" s="10" t="str">
        <f t="array" ref="F142">IF(
    OR(
      IFNA(INDEX(data!M:M, MATCH(Caseslist!B142, data!D:D, 0)), "") = "",
      IFNA(INDEX(data!M:M, MATCH(Caseslist!B142, data!D:D, 0)), 0) = 0
    ),
    "COMPLETE",
    IF(
      IFNA(INDEX(dataICM!D:D, MATCH(Caseslist!B142, dataICM!D:D, 0)), "INC") = "INC",
      IFNA(INDEX(dataICM!D:D, MATCH(Caseslist!B142, dataICM!D:D, 0)), "INC"),
      "COMPLETE"
    )
  )</f>
        <v>COMPLETE</v>
      </c>
      <c r="G142" s="10" t="str">
        <f t="array" ref="G142">IF(IFERROR(INDEX(data!L:L,match(Caseslist!B142,data!D:D,0)),"INC")="","COMPLETE",F142)</f>
        <v>COMPLETE</v>
      </c>
      <c r="H142" s="9" t="str">
        <f t="array" ref="H142">IFERROR(INDEX(dataICM!F:F,match(Caseslist!B142,dataICM!D:D,0)), "INC")</f>
        <v>INC</v>
      </c>
      <c r="I142" s="10">
        <f t="shared" si="2"/>
        <v>455939</v>
      </c>
      <c r="J142" s="9" t="str">
        <f t="array" ref="J142">IF(
  AND(
    IFERROR(MATCH(B142, data!D:D, 0), 0) &gt; 0,
    IFERROR(INDEX(data!N:N, MATCH(B142, data!D:D, 0)) = 1, FALSE)
  ),
  INDEX(data!C:C, MATCH(B142, data!D:D, 0)),
  "INC"
)</f>
        <v>2025-09-24T10:24:09.595+08</v>
      </c>
      <c r="K142" s="9" t="str">
        <f t="array" ref="K142">IFERROR(INDEX(dataICM!C:C,match(Caseslist!B142,dataICM!D:D,0)), "INC")</f>
        <v>INC</v>
      </c>
      <c r="L142" s="10" t="str">
        <f t="array" ref="L142">IF(AND(G142="COMPLETE", OR(K142="INC", ISBLANK(INDEX(data!O:O, ROW())))), J142, K142)</f>
        <v>2025-09-24T10:24:09.595+08</v>
      </c>
      <c r="M142" s="2">
        <v>45924.0</v>
      </c>
      <c r="N142" s="2">
        <f t="array" ref="N142">IF(M142&lt;&gt;"INC", INDEX(data!M:M, MATCH(B142, data!D:D, 0)), "")</f>
        <v>0</v>
      </c>
      <c r="O142" s="2">
        <f t="shared" si="3"/>
        <v>0</v>
      </c>
    </row>
    <row r="143">
      <c r="A143" s="2" t="str">
        <f t="shared" si="1"/>
        <v>H004306</v>
      </c>
      <c r="B143" s="1" t="s">
        <v>8188</v>
      </c>
      <c r="C143" s="9" t="str">
        <f t="array" ref="C143">IF(
  AND(
    IFERROR(MATCH(Caseslist!B143, data!D:D, 0), 0) &gt; 0,
    IFERROR(INDEX(data!N:N, MATCH(Caseslist!B143, data!D:D, 0)) = 1, FALSE)
  ),
  "COMPLETE",
  "INC"
)</f>
        <v>COMPLETE</v>
      </c>
      <c r="D143" s="9" t="str">
        <f t="array" ref="D143">IFERROR(INDEX(data!$G:$G,match(Caseslist!B143,data!$D:$D,0)), "INC")</f>
        <v>S2671943</v>
      </c>
      <c r="E143" s="9" t="str">
        <f t="array" ref="E143">IFERROR(INDEX(data!H:H,match(Caseslist!B143,data!D:D,0)), "INC")</f>
        <v>Marvin Mondia</v>
      </c>
      <c r="F143" s="10" t="str">
        <f t="array" ref="F143">IF(
    OR(
      IFNA(INDEX(data!M:M, MATCH(Caseslist!B143, data!D:D, 0)), "") = "",
      IFNA(INDEX(data!M:M, MATCH(Caseslist!B143, data!D:D, 0)), 0) = 0
    ),
    "COMPLETE",
    IF(
      IFNA(INDEX(dataICM!D:D, MATCH(Caseslist!B143, dataICM!D:D, 0)), "INC") = "INC",
      IFNA(INDEX(dataICM!D:D, MATCH(Caseslist!B143, dataICM!D:D, 0)), "INC"),
      "COMPLETE"
    )
  )</f>
        <v>COMPLETE</v>
      </c>
      <c r="G143" s="10" t="str">
        <f t="array" ref="G143">IF(IFERROR(INDEX(data!L:L,match(Caseslist!B143,data!D:D,0)),"INC")="","COMPLETE",F143)</f>
        <v>COMPLETE</v>
      </c>
      <c r="H143" s="9" t="str">
        <f t="array" ref="H143">IFERROR(INDEX(dataICM!F:F,match(Caseslist!B143,dataICM!D:D,0)), "INC")</f>
        <v>Marvin Mondia</v>
      </c>
      <c r="I143" s="10" t="str">
        <f t="shared" si="2"/>
        <v>S2671943</v>
      </c>
      <c r="J143" s="9" t="str">
        <f t="array" ref="J143">IF(
  AND(
    IFERROR(MATCH(B143, data!D:D, 0), 0) &gt; 0,
    IFERROR(INDEX(data!N:N, MATCH(B143, data!D:D, 0)) = 1, FALSE)
  ),
  INDEX(data!C:C, MATCH(B143, data!D:D, 0)),
  "INC"
)</f>
        <v>2025-09-23T10:28:31.606+08</v>
      </c>
      <c r="K143" s="9" t="str">
        <f t="array" ref="K143">IFERROR(INDEX(dataICM!C:C,match(Caseslist!B143,dataICM!D:D,0)), "INC")</f>
        <v>2025-09-23T10:31:52.319+08</v>
      </c>
      <c r="L143" s="10" t="str">
        <f t="array" ref="L143">IF(AND(G143="COMPLETE", OR(K143="INC", ISBLANK(INDEX(data!O:O, ROW())))), J143, K143)</f>
        <v>2025-09-23T10:31:52.319+08</v>
      </c>
      <c r="M143" s="2">
        <v>45923.0</v>
      </c>
      <c r="N143" s="2">
        <f t="array" ref="N143">IF(M143&lt;&gt;"INC", INDEX(data!M:M, MATCH(B143, data!D:D, 0)), "")</f>
        <v>2</v>
      </c>
      <c r="O143" s="2">
        <f t="shared" si="3"/>
        <v>2</v>
      </c>
    </row>
    <row r="144">
      <c r="A144" s="2" t="str">
        <f t="shared" si="1"/>
        <v>H004306</v>
      </c>
      <c r="B144" s="1" t="s">
        <v>8193</v>
      </c>
      <c r="C144" s="9" t="str">
        <f t="array" ref="C144">IF(
  AND(
    IFERROR(MATCH(Caseslist!B144, data!D:D, 0), 0) &gt; 0,
    IFERROR(INDEX(data!N:N, MATCH(Caseslist!B144, data!D:D, 0)) = 1, FALSE)
  ),
  "COMPLETE",
  "INC"
)</f>
        <v>COMPLETE</v>
      </c>
      <c r="D144" s="9">
        <f t="array" ref="D144">IFERROR(INDEX(data!$G:$G,match(Caseslist!B144,data!$D:$D,0)), "INC")</f>
        <v>729375</v>
      </c>
      <c r="E144" s="9" t="str">
        <f t="array" ref="E144">IFERROR(INDEX(data!H:H,match(Caseslist!B144,data!D:D,0)), "INC")</f>
        <v>Janet Serafica_2</v>
      </c>
      <c r="F144" s="10" t="str">
        <f t="array" ref="F144">IF(
    OR(
      IFNA(INDEX(data!M:M, MATCH(Caseslist!B144, data!D:D, 0)), "") = "",
      IFNA(INDEX(data!M:M, MATCH(Caseslist!B144, data!D:D, 0)), 0) = 0
    ),
    "COMPLETE",
    IF(
      IFNA(INDEX(dataICM!D:D, MATCH(Caseslist!B144, dataICM!D:D, 0)), "INC") = "INC",
      IFNA(INDEX(dataICM!D:D, MATCH(Caseslist!B144, dataICM!D:D, 0)), "INC"),
      "COMPLETE"
    )
  )</f>
        <v>COMPLETE</v>
      </c>
      <c r="G144" s="10" t="str">
        <f t="array" ref="G144">IF(IFERROR(INDEX(data!L:L,match(Caseslist!B144,data!D:D,0)),"INC")="","COMPLETE",F144)</f>
        <v>COMPLETE</v>
      </c>
      <c r="H144" s="9" t="str">
        <f t="array" ref="H144">IFERROR(INDEX(dataICM!F:F,match(Caseslist!B144,dataICM!D:D,0)), "INC")</f>
        <v>Janet Serafica_2</v>
      </c>
      <c r="I144" s="10">
        <f t="shared" si="2"/>
        <v>729375</v>
      </c>
      <c r="J144" s="9" t="str">
        <f t="array" ref="J144">IF(
  AND(
    IFERROR(MATCH(B144, data!D:D, 0), 0) &gt; 0,
    IFERROR(INDEX(data!N:N, MATCH(B144, data!D:D, 0)) = 1, FALSE)
  ),
  INDEX(data!C:C, MATCH(B144, data!D:D, 0)),
  "INC"
)</f>
        <v>2025-09-23T10:01:35.363+08</v>
      </c>
      <c r="K144" s="9" t="str">
        <f t="array" ref="K144">IFERROR(INDEX(dataICM!C:C,match(Caseslist!B144,dataICM!D:D,0)), "INC")</f>
        <v>2025-09-23T10:04:52.291+08</v>
      </c>
      <c r="L144" s="10" t="str">
        <f t="array" ref="L144">IF(AND(G144="COMPLETE", OR(K144="INC", ISBLANK(INDEX(data!O:O, ROW())))), J144, K144)</f>
        <v>2025-09-23T10:04:52.291+08</v>
      </c>
      <c r="M144" s="2">
        <v>45923.0</v>
      </c>
      <c r="N144" s="2">
        <f t="array" ref="N144">IF(M144&lt;&gt;"INC", INDEX(data!M:M, MATCH(B144, data!D:D, 0)), "")</f>
        <v>2</v>
      </c>
      <c r="O144" s="2">
        <f t="shared" si="3"/>
        <v>2</v>
      </c>
    </row>
    <row r="145">
      <c r="A145" s="2" t="str">
        <f t="shared" si="1"/>
        <v>H004306</v>
      </c>
      <c r="B145" s="1" t="s">
        <v>8123</v>
      </c>
      <c r="C145" s="9" t="str">
        <f t="array" ref="C145">IF(
  AND(
    IFERROR(MATCH(Caseslist!B145, data!D:D, 0), 0) &gt; 0,
    IFERROR(INDEX(data!N:N, MATCH(Caseslist!B145, data!D:D, 0)) = 1, FALSE)
  ),
  "COMPLETE",
  "INC"
)</f>
        <v>COMPLETE</v>
      </c>
      <c r="D145" s="9">
        <f t="array" ref="D145">IFERROR(INDEX(data!$G:$G,match(Caseslist!B145,data!$D:$D,0)), "INC")</f>
        <v>729375</v>
      </c>
      <c r="E145" s="9" t="str">
        <f t="array" ref="E145">IFERROR(INDEX(data!H:H,match(Caseslist!B145,data!D:D,0)), "INC")</f>
        <v>Janet Serafica_2</v>
      </c>
      <c r="F145" s="10" t="str">
        <f t="array" ref="F145">IF(
    OR(
      IFNA(INDEX(data!M:M, MATCH(Caseslist!B145, data!D:D, 0)), "") = "",
      IFNA(INDEX(data!M:M, MATCH(Caseslist!B145, data!D:D, 0)), 0) = 0
    ),
    "COMPLETE",
    IF(
      IFNA(INDEX(dataICM!D:D, MATCH(Caseslist!B145, dataICM!D:D, 0)), "INC") = "INC",
      IFNA(INDEX(dataICM!D:D, MATCH(Caseslist!B145, dataICM!D:D, 0)), "INC"),
      "COMPLETE"
    )
  )</f>
        <v>COMPLETE</v>
      </c>
      <c r="G145" s="10" t="str">
        <f t="array" ref="G145">IF(IFERROR(INDEX(data!L:L,match(Caseslist!B145,data!D:D,0)),"INC")="","COMPLETE",F145)</f>
        <v>COMPLETE</v>
      </c>
      <c r="H145" s="9" t="str">
        <f t="array" ref="H145">IFERROR(INDEX(dataICM!F:F,match(Caseslist!B145,dataICM!D:D,0)), "INC")</f>
        <v>Janet Serafica_2</v>
      </c>
      <c r="I145" s="10">
        <f t="shared" si="2"/>
        <v>729375</v>
      </c>
      <c r="J145" s="9" t="str">
        <f t="array" ref="J145">IF(
  AND(
    IFERROR(MATCH(B145, data!D:D, 0), 0) &gt; 0,
    IFERROR(INDEX(data!N:N, MATCH(B145, data!D:D, 0)) = 1, FALSE)
  ),
  INDEX(data!C:C, MATCH(B145, data!D:D, 0)),
  "INC"
)</f>
        <v>2025-09-22T15:05:17.774+08</v>
      </c>
      <c r="K145" s="9" t="str">
        <f t="array" ref="K145">IFERROR(INDEX(dataICM!C:C,match(Caseslist!B145,dataICM!D:D,0)), "INC")</f>
        <v>2025-09-22T15:24:02.209+08</v>
      </c>
      <c r="L145" s="10" t="str">
        <f t="array" ref="L145">IF(AND(G145="COMPLETE", OR(K145="INC", ISBLANK(INDEX(data!O:O, ROW())))), J145, K145)</f>
        <v>2025-09-22T15:24:02.209+08</v>
      </c>
      <c r="M145" s="2">
        <v>45922.0</v>
      </c>
      <c r="N145" s="2">
        <f t="array" ref="N145">IF(M145&lt;&gt;"INC", INDEX(data!M:M, MATCH(B145, data!D:D, 0)), "")</f>
        <v>2</v>
      </c>
      <c r="O145" s="2">
        <f t="shared" si="3"/>
        <v>2</v>
      </c>
    </row>
    <row r="146">
      <c r="A146" s="2" t="str">
        <f t="shared" si="1"/>
        <v>H004306</v>
      </c>
      <c r="B146" s="1" t="s">
        <v>8108</v>
      </c>
      <c r="C146" s="9" t="str">
        <f t="array" ref="C146">IF(
  AND(
    IFERROR(MATCH(Caseslist!B146, data!D:D, 0), 0) &gt; 0,
    IFERROR(INDEX(data!N:N, MATCH(Caseslist!B146, data!D:D, 0)) = 1, FALSE)
  ),
  "COMPLETE",
  "INC"
)</f>
        <v>COMPLETE</v>
      </c>
      <c r="D146" s="9">
        <f t="array" ref="D146">IFERROR(INDEX(data!$G:$G,match(Caseslist!B146,data!$D:$D,0)), "INC")</f>
        <v>729375</v>
      </c>
      <c r="E146" s="9" t="str">
        <f t="array" ref="E146">IFERROR(INDEX(data!H:H,match(Caseslist!B146,data!D:D,0)), "INC")</f>
        <v>Janet Serafica_2</v>
      </c>
      <c r="F146" s="10" t="str">
        <f t="array" ref="F146">IF(
    OR(
      IFNA(INDEX(data!M:M, MATCH(Caseslist!B146, data!D:D, 0)), "") = "",
      IFNA(INDEX(data!M:M, MATCH(Caseslist!B146, data!D:D, 0)), 0) = 0
    ),
    "COMPLETE",
    IF(
      IFNA(INDEX(dataICM!D:D, MATCH(Caseslist!B146, dataICM!D:D, 0)), "INC") = "INC",
      IFNA(INDEX(dataICM!D:D, MATCH(Caseslist!B146, dataICM!D:D, 0)), "INC"),
      "COMPLETE"
    )
  )</f>
        <v>COMPLETE</v>
      </c>
      <c r="G146" s="10" t="str">
        <f t="array" ref="G146">IF(IFERROR(INDEX(data!L:L,match(Caseslist!B146,data!D:D,0)),"INC")="","COMPLETE",F146)</f>
        <v>COMPLETE</v>
      </c>
      <c r="H146" s="9" t="str">
        <f t="array" ref="H146">IFERROR(INDEX(dataICM!F:F,match(Caseslist!B146,dataICM!D:D,0)), "INC")</f>
        <v>Janet Serafica_2</v>
      </c>
      <c r="I146" s="10">
        <f t="shared" si="2"/>
        <v>729375</v>
      </c>
      <c r="J146" s="9" t="str">
        <f t="array" ref="J146">IF(
  AND(
    IFERROR(MATCH(B146, data!D:D, 0), 0) &gt; 0,
    IFERROR(INDEX(data!N:N, MATCH(B146, data!D:D, 0)) = 1, FALSE)
  ),
  INDEX(data!C:C, MATCH(B146, data!D:D, 0)),
  "INC"
)</f>
        <v>2025-09-22T11:34:02.957+08</v>
      </c>
      <c r="K146" s="9" t="str">
        <f t="array" ref="K146">IFERROR(INDEX(dataICM!C:C,match(Caseslist!B146,dataICM!D:D,0)), "INC")</f>
        <v>2025-09-22T11:37:17.271+08</v>
      </c>
      <c r="L146" s="10" t="str">
        <f t="array" ref="L146">IF(AND(G146="COMPLETE", OR(K146="INC", ISBLANK(INDEX(data!O:O, ROW())))), J146, K146)</f>
        <v>2025-09-22T11:37:17.271+08</v>
      </c>
      <c r="M146" s="2">
        <v>45922.0</v>
      </c>
      <c r="N146" s="2">
        <f t="array" ref="N146">IF(M146&lt;&gt;"INC", INDEX(data!M:M, MATCH(B146, data!D:D, 0)), "")</f>
        <v>2</v>
      </c>
      <c r="O146" s="2">
        <f t="shared" si="3"/>
        <v>2</v>
      </c>
    </row>
    <row r="147">
      <c r="A147" s="2" t="str">
        <f t="shared" si="1"/>
        <v>H004306</v>
      </c>
      <c r="B147" s="1" t="s">
        <v>7853</v>
      </c>
      <c r="C147" s="9" t="str">
        <f t="array" ref="C147">IF(
  AND(
    IFERROR(MATCH(Caseslist!B147, data!D:D, 0), 0) &gt; 0,
    IFERROR(INDEX(data!N:N, MATCH(Caseslist!B147, data!D:D, 0)) = 1, FALSE)
  ),
  "COMPLETE",
  "INC"
)</f>
        <v>COMPLETE</v>
      </c>
      <c r="D147" s="9">
        <f t="array" ref="D147">IFERROR(INDEX(data!$G:$G,match(Caseslist!B147,data!$D:$D,0)), "INC")</f>
        <v>859767</v>
      </c>
      <c r="E147" s="9" t="str">
        <f t="array" ref="E147">IFERROR(INDEX(data!H:H,match(Caseslist!B147,data!D:D,0)), "INC")</f>
        <v>Ramie De Pedro Jr._2</v>
      </c>
      <c r="F147" s="10" t="str">
        <f t="array" ref="F147">IF(
    OR(
      IFNA(INDEX(data!M:M, MATCH(Caseslist!B147, data!D:D, 0)), "") = "",
      IFNA(INDEX(data!M:M, MATCH(Caseslist!B147, data!D:D, 0)), 0) = 0
    ),
    "COMPLETE",
    IF(
      IFNA(INDEX(dataICM!D:D, MATCH(Caseslist!B147, dataICM!D:D, 0)), "INC") = "INC",
      IFNA(INDEX(dataICM!D:D, MATCH(Caseslist!B147, dataICM!D:D, 0)), "INC"),
      "COMPLETE"
    )
  )</f>
        <v>COMPLETE</v>
      </c>
      <c r="G147" s="10" t="str">
        <f t="array" ref="G147">IF(IFERROR(INDEX(data!L:L,match(Caseslist!B147,data!D:D,0)),"INC")="","COMPLETE",F147)</f>
        <v>COMPLETE</v>
      </c>
      <c r="H147" s="9" t="str">
        <f t="array" ref="H147">IFERROR(INDEX(dataICM!F:F,match(Caseslist!B147,dataICM!D:D,0)), "INC")</f>
        <v>Ramie De Pedro Jr._2</v>
      </c>
      <c r="I147" s="10">
        <f t="shared" si="2"/>
        <v>859767</v>
      </c>
      <c r="J147" s="9" t="str">
        <f t="array" ref="J147">IF(
  AND(
    IFERROR(MATCH(B147, data!D:D, 0), 0) &gt; 0,
    IFERROR(INDEX(data!N:N, MATCH(B147, data!D:D, 0)) = 1, FALSE)
  ),
  INDEX(data!C:C, MATCH(B147, data!D:D, 0)),
  "INC"
)</f>
        <v>2025-09-22T13:08:41.014+08</v>
      </c>
      <c r="K147" s="9" t="str">
        <f t="array" ref="K147">IFERROR(INDEX(dataICM!C:C,match(Caseslist!B147,dataICM!D:D,0)), "INC")</f>
        <v>2025-09-22T17:59:19.390+08</v>
      </c>
      <c r="L147" s="10" t="str">
        <f t="array" ref="L147">IF(AND(G147="COMPLETE", OR(K147="INC", ISBLANK(INDEX(data!O:O, ROW())))), J147, K147)</f>
        <v>2025-09-22T17:59:19.390+08</v>
      </c>
      <c r="M147" s="2">
        <v>45922.0</v>
      </c>
      <c r="N147" s="2">
        <f t="array" ref="N147">IF(M147&lt;&gt;"INC", INDEX(data!M:M, MATCH(B147, data!D:D, 0)), "")</f>
        <v>2</v>
      </c>
      <c r="O147" s="2">
        <f t="shared" si="3"/>
        <v>2</v>
      </c>
    </row>
    <row r="148">
      <c r="A148" s="2" t="str">
        <f t="shared" si="1"/>
        <v>H004306</v>
      </c>
      <c r="B148" s="1" t="s">
        <v>8113</v>
      </c>
      <c r="C148" s="9" t="str">
        <f t="array" ref="C148">IF(
  AND(
    IFERROR(MATCH(Caseslist!B148, data!D:D, 0), 0) &gt; 0,
    IFERROR(INDEX(data!N:N, MATCH(Caseslist!B148, data!D:D, 0)) = 1, FALSE)
  ),
  "COMPLETE",
  "INC"
)</f>
        <v>COMPLETE</v>
      </c>
      <c r="D148" s="9">
        <f t="array" ref="D148">IFERROR(INDEX(data!$G:$G,match(Caseslist!B148,data!$D:$D,0)), "INC")</f>
        <v>729375</v>
      </c>
      <c r="E148" s="9" t="str">
        <f t="array" ref="E148">IFERROR(INDEX(data!H:H,match(Caseslist!B148,data!D:D,0)), "INC")</f>
        <v>Janet Serafica_2</v>
      </c>
      <c r="F148" s="10" t="str">
        <f t="array" ref="F148">IF(
    OR(
      IFNA(INDEX(data!M:M, MATCH(Caseslist!B148, data!D:D, 0)), "") = "",
      IFNA(INDEX(data!M:M, MATCH(Caseslist!B148, data!D:D, 0)), 0) = 0
    ),
    "COMPLETE",
    IF(
      IFNA(INDEX(dataICM!D:D, MATCH(Caseslist!B148, dataICM!D:D, 0)), "INC") = "INC",
      IFNA(INDEX(dataICM!D:D, MATCH(Caseslist!B148, dataICM!D:D, 0)), "INC"),
      "COMPLETE"
    )
  )</f>
        <v>COMPLETE</v>
      </c>
      <c r="G148" s="10" t="str">
        <f t="array" ref="G148">IF(IFERROR(INDEX(data!L:L,match(Caseslist!B148,data!D:D,0)),"INC")="","COMPLETE",F148)</f>
        <v>COMPLETE</v>
      </c>
      <c r="H148" s="9" t="str">
        <f t="array" ref="H148">IFERROR(INDEX(dataICM!F:F,match(Caseslist!B148,dataICM!D:D,0)), "INC")</f>
        <v>Janet Serafica_2</v>
      </c>
      <c r="I148" s="10">
        <f t="shared" si="2"/>
        <v>729375</v>
      </c>
      <c r="J148" s="9" t="str">
        <f t="array" ref="J148">IF(
  AND(
    IFERROR(MATCH(B148, data!D:D, 0), 0) &gt; 0,
    IFERROR(INDEX(data!N:N, MATCH(B148, data!D:D, 0)) = 1, FALSE)
  ),
  INDEX(data!C:C, MATCH(B148, data!D:D, 0)),
  "INC"
)</f>
        <v>2025-09-22T12:18:01.909+08</v>
      </c>
      <c r="K148" s="9" t="str">
        <f t="array" ref="K148">IFERROR(INDEX(dataICM!C:C,match(Caseslist!B148,dataICM!D:D,0)), "INC")</f>
        <v>2025-09-22T12:23:33.056+08</v>
      </c>
      <c r="L148" s="10" t="str">
        <f t="array" ref="L148">IF(AND(G148="COMPLETE", OR(K148="INC", ISBLANK(INDEX(data!O:O, ROW())))), J148, K148)</f>
        <v>2025-09-22T12:23:33.056+08</v>
      </c>
      <c r="M148" s="2">
        <v>45922.0</v>
      </c>
      <c r="N148" s="2">
        <f t="array" ref="N148">IF(M148&lt;&gt;"INC", INDEX(data!M:M, MATCH(B148, data!D:D, 0)), "")</f>
        <v>2</v>
      </c>
      <c r="O148" s="2">
        <f t="shared" si="3"/>
        <v>2</v>
      </c>
    </row>
    <row r="149">
      <c r="A149" s="2" t="str">
        <f t="shared" si="1"/>
        <v>H004306</v>
      </c>
      <c r="B149" s="1" t="s">
        <v>8168</v>
      </c>
      <c r="C149" s="9" t="str">
        <f t="array" ref="C149">IF(
  AND(
    IFERROR(MATCH(Caseslist!B149, data!D:D, 0), 0) &gt; 0,
    IFERROR(INDEX(data!N:N, MATCH(Caseslist!B149, data!D:D, 0)) = 1, FALSE)
  ),
  "COMPLETE",
  "INC"
)</f>
        <v>COMPLETE</v>
      </c>
      <c r="D149" s="9" t="str">
        <f t="array" ref="D149">IFERROR(INDEX(data!$G:$G,match(Caseslist!B149,data!$D:$D,0)), "INC")</f>
        <v>S2671943</v>
      </c>
      <c r="E149" s="9" t="str">
        <f t="array" ref="E149">IFERROR(INDEX(data!H:H,match(Caseslist!B149,data!D:D,0)), "INC")</f>
        <v>Marvin Mondia</v>
      </c>
      <c r="F149" s="10" t="str">
        <f t="array" ref="F149">IF(
    OR(
      IFNA(INDEX(data!M:M, MATCH(Caseslist!B149, data!D:D, 0)), "") = "",
      IFNA(INDEX(data!M:M, MATCH(Caseslist!B149, data!D:D, 0)), 0) = 0
    ),
    "COMPLETE",
    IF(
      IFNA(INDEX(dataICM!D:D, MATCH(Caseslist!B149, dataICM!D:D, 0)), "INC") = "INC",
      IFNA(INDEX(dataICM!D:D, MATCH(Caseslist!B149, dataICM!D:D, 0)), "INC"),
      "COMPLETE"
    )
  )</f>
        <v>COMPLETE</v>
      </c>
      <c r="G149" s="10" t="str">
        <f t="array" ref="G149">IF(IFERROR(INDEX(data!L:L,match(Caseslist!B149,data!D:D,0)),"INC")="","COMPLETE",F149)</f>
        <v>COMPLETE</v>
      </c>
      <c r="H149" s="9" t="str">
        <f t="array" ref="H149">IFERROR(INDEX(dataICM!F:F,match(Caseslist!B149,dataICM!D:D,0)), "INC")</f>
        <v>Marvin Mondia</v>
      </c>
      <c r="I149" s="10" t="str">
        <f t="shared" si="2"/>
        <v>S2671943</v>
      </c>
      <c r="J149" s="9" t="str">
        <f t="array" ref="J149">IF(
  AND(
    IFERROR(MATCH(B149, data!D:D, 0), 0) &gt; 0,
    IFERROR(INDEX(data!N:N, MATCH(B149, data!D:D, 0)) = 1, FALSE)
  ),
  INDEX(data!C:C, MATCH(B149, data!D:D, 0)),
  "INC"
)</f>
        <v>2025-09-22T13:13:32.308+08</v>
      </c>
      <c r="K149" s="9" t="str">
        <f t="array" ref="K149">IFERROR(INDEX(dataICM!C:C,match(Caseslist!B149,dataICM!D:D,0)), "INC")</f>
        <v>2025-09-22T13:20:31.476+08</v>
      </c>
      <c r="L149" s="10" t="str">
        <f t="array" ref="L149">IF(AND(G149="COMPLETE", OR(K149="INC", ISBLANK(INDEX(data!O:O, ROW())))), J149, K149)</f>
        <v>2025-09-22T13:20:31.476+08</v>
      </c>
      <c r="M149" s="2">
        <v>45922.0</v>
      </c>
      <c r="N149" s="2">
        <f t="array" ref="N149">IF(M149&lt;&gt;"INC", INDEX(data!M:M, MATCH(B149, data!D:D, 0)), "")</f>
        <v>2</v>
      </c>
      <c r="O149" s="2">
        <f t="shared" si="3"/>
        <v>2</v>
      </c>
    </row>
    <row r="150">
      <c r="A150" s="2" t="str">
        <f t="shared" si="1"/>
        <v>H004306</v>
      </c>
      <c r="B150" s="1" t="s">
        <v>7868</v>
      </c>
      <c r="C150" s="9" t="str">
        <f t="array" ref="C150">IF(
  AND(
    IFERROR(MATCH(Caseslist!B150, data!D:D, 0), 0) &gt; 0,
    IFERROR(INDEX(data!N:N, MATCH(Caseslist!B150, data!D:D, 0)) = 1, FALSE)
  ),
  "COMPLETE",
  "INC"
)</f>
        <v>COMPLETE</v>
      </c>
      <c r="D150" s="9">
        <f t="array" ref="D150">IFERROR(INDEX(data!$G:$G,match(Caseslist!B150,data!$D:$D,0)), "INC")</f>
        <v>859767</v>
      </c>
      <c r="E150" s="9" t="str">
        <f t="array" ref="E150">IFERROR(INDEX(data!H:H,match(Caseslist!B150,data!D:D,0)), "INC")</f>
        <v>Ramie De Pedro Jr._2</v>
      </c>
      <c r="F150" s="10" t="str">
        <f t="array" ref="F150">IF(
    OR(
      IFNA(INDEX(data!M:M, MATCH(Caseslist!B150, data!D:D, 0)), "") = "",
      IFNA(INDEX(data!M:M, MATCH(Caseslist!B150, data!D:D, 0)), 0) = 0
    ),
    "COMPLETE",
    IF(
      IFNA(INDEX(dataICM!D:D, MATCH(Caseslist!B150, dataICM!D:D, 0)), "INC") = "INC",
      IFNA(INDEX(dataICM!D:D, MATCH(Caseslist!B150, dataICM!D:D, 0)), "INC"),
      "COMPLETE"
    )
  )</f>
        <v>COMPLETE</v>
      </c>
      <c r="G150" s="10" t="str">
        <f t="array" ref="G150">IF(IFERROR(INDEX(data!L:L,match(Caseslist!B150,data!D:D,0)),"INC")="","COMPLETE",F150)</f>
        <v>COMPLETE</v>
      </c>
      <c r="H150" s="9" t="str">
        <f t="array" ref="H150">IFERROR(INDEX(dataICM!F:F,match(Caseslist!B150,dataICM!D:D,0)), "INC")</f>
        <v>Ramie De Pedro Jr._2</v>
      </c>
      <c r="I150" s="10">
        <f t="shared" si="2"/>
        <v>859767</v>
      </c>
      <c r="J150" s="9" t="str">
        <f t="array" ref="J150">IF(
  AND(
    IFERROR(MATCH(B150, data!D:D, 0), 0) &gt; 0,
    IFERROR(INDEX(data!N:N, MATCH(B150, data!D:D, 0)) = 1, FALSE)
  ),
  INDEX(data!C:C, MATCH(B150, data!D:D, 0)),
  "INC"
)</f>
        <v>2025-09-22T15:53:54.190+08</v>
      </c>
      <c r="K150" s="9" t="str">
        <f t="array" ref="K150">IFERROR(INDEX(dataICM!C:C,match(Caseslist!B150,dataICM!D:D,0)), "INC")</f>
        <v>2025-09-22T15:59:05.573+08</v>
      </c>
      <c r="L150" s="10" t="str">
        <f t="array" ref="L150">IF(AND(G150="COMPLETE", OR(K150="INC", ISBLANK(INDEX(data!O:O, ROW())))), J150, K150)</f>
        <v>2025-09-22T15:59:05.573+08</v>
      </c>
      <c r="M150" s="2">
        <v>45922.0</v>
      </c>
      <c r="N150" s="2">
        <f t="array" ref="N150">IF(M150&lt;&gt;"INC", INDEX(data!M:M, MATCH(B150, data!D:D, 0)), "")</f>
        <v>2</v>
      </c>
      <c r="O150" s="2">
        <f t="shared" si="3"/>
        <v>2</v>
      </c>
    </row>
    <row r="151">
      <c r="A151" s="2" t="str">
        <f t="shared" si="1"/>
        <v>H004306</v>
      </c>
      <c r="B151" s="1" t="s">
        <v>8163</v>
      </c>
      <c r="C151" s="9" t="str">
        <f t="array" ref="C151">IF(
  AND(
    IFERROR(MATCH(Caseslist!B151, data!D:D, 0), 0) &gt; 0,
    IFERROR(INDEX(data!N:N, MATCH(Caseslist!B151, data!D:D, 0)) = 1, FALSE)
  ),
  "COMPLETE",
  "INC"
)</f>
        <v>COMPLETE</v>
      </c>
      <c r="D151" s="9" t="str">
        <f t="array" ref="D151">IFERROR(INDEX(data!$G:$G,match(Caseslist!B151,data!$D:$D,0)), "INC")</f>
        <v>S2671943</v>
      </c>
      <c r="E151" s="9" t="str">
        <f t="array" ref="E151">IFERROR(INDEX(data!H:H,match(Caseslist!B151,data!D:D,0)), "INC")</f>
        <v>Marvin Mondia</v>
      </c>
      <c r="F151" s="10" t="str">
        <f t="array" ref="F151">IF(
    OR(
      IFNA(INDEX(data!M:M, MATCH(Caseslist!B151, data!D:D, 0)), "") = "",
      IFNA(INDEX(data!M:M, MATCH(Caseslist!B151, data!D:D, 0)), 0) = 0
    ),
    "COMPLETE",
    IF(
      IFNA(INDEX(dataICM!D:D, MATCH(Caseslist!B151, dataICM!D:D, 0)), "INC") = "INC",
      IFNA(INDEX(dataICM!D:D, MATCH(Caseslist!B151, dataICM!D:D, 0)), "INC"),
      "COMPLETE"
    )
  )</f>
        <v>COMPLETE</v>
      </c>
      <c r="G151" s="10" t="str">
        <f t="array" ref="G151">IF(IFERROR(INDEX(data!L:L,match(Caseslist!B151,data!D:D,0)),"INC")="","COMPLETE",F151)</f>
        <v>COMPLETE</v>
      </c>
      <c r="H151" s="9" t="str">
        <f t="array" ref="H151">IFERROR(INDEX(dataICM!F:F,match(Caseslist!B151,dataICM!D:D,0)), "INC")</f>
        <v>Marvin Mondia</v>
      </c>
      <c r="I151" s="10" t="str">
        <f t="shared" si="2"/>
        <v>S2671943</v>
      </c>
      <c r="J151" s="9" t="str">
        <f t="array" ref="J151">IF(
  AND(
    IFERROR(MATCH(B151, data!D:D, 0), 0) &gt; 0,
    IFERROR(INDEX(data!N:N, MATCH(B151, data!D:D, 0)) = 1, FALSE)
  ),
  INDEX(data!C:C, MATCH(B151, data!D:D, 0)),
  "INC"
)</f>
        <v>2025-09-22T12:04:29.445+08</v>
      </c>
      <c r="K151" s="9" t="str">
        <f t="array" ref="K151">IFERROR(INDEX(dataICM!C:C,match(Caseslist!B151,dataICM!D:D,0)), "INC")</f>
        <v>2025-09-22T12:07:17.653+08</v>
      </c>
      <c r="L151" s="10" t="str">
        <f t="array" ref="L151">IF(AND(G151="COMPLETE", OR(K151="INC", ISBLANK(INDEX(data!O:O, ROW())))), J151, K151)</f>
        <v>2025-09-22T12:07:17.653+08</v>
      </c>
      <c r="M151" s="2">
        <v>45922.0</v>
      </c>
      <c r="N151" s="2">
        <f t="array" ref="N151">IF(M151&lt;&gt;"INC", INDEX(data!M:M, MATCH(B151, data!D:D, 0)), "")</f>
        <v>2</v>
      </c>
      <c r="O151" s="2">
        <f t="shared" si="3"/>
        <v>2</v>
      </c>
    </row>
    <row r="152">
      <c r="A152" s="2" t="str">
        <f t="shared" si="1"/>
        <v>H004306</v>
      </c>
      <c r="B152" s="1" t="s">
        <v>7858</v>
      </c>
      <c r="C152" s="9" t="str">
        <f t="array" ref="C152">IF(
  AND(
    IFERROR(MATCH(Caseslist!B152, data!D:D, 0), 0) &gt; 0,
    IFERROR(INDEX(data!N:N, MATCH(Caseslist!B152, data!D:D, 0)) = 1, FALSE)
  ),
  "COMPLETE",
  "INC"
)</f>
        <v>COMPLETE</v>
      </c>
      <c r="D152" s="9">
        <f t="array" ref="D152">IFERROR(INDEX(data!$G:$G,match(Caseslist!B152,data!$D:$D,0)), "INC")</f>
        <v>859767</v>
      </c>
      <c r="E152" s="9" t="str">
        <f t="array" ref="E152">IFERROR(INDEX(data!H:H,match(Caseslist!B152,data!D:D,0)), "INC")</f>
        <v>Ramie De Pedro Jr._2</v>
      </c>
      <c r="F152" s="10" t="str">
        <f t="array" ref="F152">IF(
    OR(
      IFNA(INDEX(data!M:M, MATCH(Caseslist!B152, data!D:D, 0)), "") = "",
      IFNA(INDEX(data!M:M, MATCH(Caseslist!B152, data!D:D, 0)), 0) = 0
    ),
    "COMPLETE",
    IF(
      IFNA(INDEX(dataICM!D:D, MATCH(Caseslist!B152, dataICM!D:D, 0)), "INC") = "INC",
      IFNA(INDEX(dataICM!D:D, MATCH(Caseslist!B152, dataICM!D:D, 0)), "INC"),
      "COMPLETE"
    )
  )</f>
        <v>COMPLETE</v>
      </c>
      <c r="G152" s="10" t="str">
        <f t="array" ref="G152">IF(IFERROR(INDEX(data!L:L,match(Caseslist!B152,data!D:D,0)),"INC")="","COMPLETE",F152)</f>
        <v>COMPLETE</v>
      </c>
      <c r="H152" s="9" t="str">
        <f t="array" ref="H152">IFERROR(INDEX(dataICM!F:F,match(Caseslist!B152,dataICM!D:D,0)), "INC")</f>
        <v>Ramie De Pedro Jr._2</v>
      </c>
      <c r="I152" s="10">
        <f t="shared" si="2"/>
        <v>859767</v>
      </c>
      <c r="J152" s="9" t="str">
        <f t="array" ref="J152">IF(
  AND(
    IFERROR(MATCH(B152, data!D:D, 0), 0) &gt; 0,
    IFERROR(INDEX(data!N:N, MATCH(B152, data!D:D, 0)) = 1, FALSE)
  ),
  INDEX(data!C:C, MATCH(B152, data!D:D, 0)),
  "INC"
)</f>
        <v>2025-09-22T11:39:10.783+08</v>
      </c>
      <c r="K152" s="9" t="str">
        <f t="array" ref="K152">IFERROR(INDEX(dataICM!C:C,match(Caseslist!B152,dataICM!D:D,0)), "INC")</f>
        <v>2025-09-22T11:51:36.873+08</v>
      </c>
      <c r="L152" s="10" t="str">
        <f t="array" ref="L152">IF(AND(G152="COMPLETE", OR(K152="INC", ISBLANK(INDEX(data!O:O, ROW())))), J152, K152)</f>
        <v>2025-09-22T11:51:36.873+08</v>
      </c>
      <c r="M152" s="2">
        <v>45922.0</v>
      </c>
      <c r="N152" s="2">
        <f t="array" ref="N152">IF(M152&lt;&gt;"INC", INDEX(data!M:M, MATCH(B152, data!D:D, 0)), "")</f>
        <v>2</v>
      </c>
      <c r="O152" s="2">
        <f t="shared" si="3"/>
        <v>2</v>
      </c>
    </row>
    <row r="153">
      <c r="A153" s="2" t="str">
        <f t="shared" si="1"/>
        <v>H004306</v>
      </c>
      <c r="B153" s="1" t="s">
        <v>8173</v>
      </c>
      <c r="C153" s="9" t="str">
        <f t="array" ref="C153">IF(
  AND(
    IFERROR(MATCH(Caseslist!B153, data!D:D, 0), 0) &gt; 0,
    IFERROR(INDEX(data!N:N, MATCH(Caseslist!B153, data!D:D, 0)) = 1, FALSE)
  ),
  "COMPLETE",
  "INC"
)</f>
        <v>COMPLETE</v>
      </c>
      <c r="D153" s="9" t="str">
        <f t="array" ref="D153">IFERROR(INDEX(data!$G:$G,match(Caseslist!B153,data!$D:$D,0)), "INC")</f>
        <v>S2671943</v>
      </c>
      <c r="E153" s="9" t="str">
        <f t="array" ref="E153">IFERROR(INDEX(data!H:H,match(Caseslist!B153,data!D:D,0)), "INC")</f>
        <v>Marvin Mondia</v>
      </c>
      <c r="F153" s="10" t="str">
        <f t="array" ref="F153">IF(
    OR(
      IFNA(INDEX(data!M:M, MATCH(Caseslist!B153, data!D:D, 0)), "") = "",
      IFNA(INDEX(data!M:M, MATCH(Caseslist!B153, data!D:D, 0)), 0) = 0
    ),
    "COMPLETE",
    IF(
      IFNA(INDEX(dataICM!D:D, MATCH(Caseslist!B153, dataICM!D:D, 0)), "INC") = "INC",
      IFNA(INDEX(dataICM!D:D, MATCH(Caseslist!B153, dataICM!D:D, 0)), "INC"),
      "COMPLETE"
    )
  )</f>
        <v>COMPLETE</v>
      </c>
      <c r="G153" s="10" t="str">
        <f t="array" ref="G153">IF(IFERROR(INDEX(data!L:L,match(Caseslist!B153,data!D:D,0)),"INC")="","COMPLETE",F153)</f>
        <v>COMPLETE</v>
      </c>
      <c r="H153" s="9" t="str">
        <f t="array" ref="H153">IFERROR(INDEX(dataICM!F:F,match(Caseslist!B153,dataICM!D:D,0)), "INC")</f>
        <v>Marvin Mondia</v>
      </c>
      <c r="I153" s="10" t="str">
        <f t="shared" si="2"/>
        <v>S2671943</v>
      </c>
      <c r="J153" s="9" t="str">
        <f t="array" ref="J153">IF(
  AND(
    IFERROR(MATCH(B153, data!D:D, 0), 0) &gt; 0,
    IFERROR(INDEX(data!N:N, MATCH(B153, data!D:D, 0)) = 1, FALSE)
  ),
  INDEX(data!C:C, MATCH(B153, data!D:D, 0)),
  "INC"
)</f>
        <v>2025-09-22T15:48:01.134+08</v>
      </c>
      <c r="K153" s="9" t="str">
        <f t="array" ref="K153">IFERROR(INDEX(dataICM!C:C,match(Caseslist!B153,dataICM!D:D,0)), "INC")</f>
        <v>2025-09-22T15:49:57.445+08</v>
      </c>
      <c r="L153" s="10" t="str">
        <f t="array" ref="L153">IF(AND(G153="COMPLETE", OR(K153="INC", ISBLANK(INDEX(data!O:O, ROW())))), J153, K153)</f>
        <v>2025-09-22T15:49:57.445+08</v>
      </c>
      <c r="M153" s="2">
        <v>45922.0</v>
      </c>
      <c r="N153" s="2">
        <f t="array" ref="N153">IF(M153&lt;&gt;"INC", INDEX(data!M:M, MATCH(B153, data!D:D, 0)), "")</f>
        <v>2</v>
      </c>
      <c r="O153" s="2">
        <f t="shared" si="3"/>
        <v>2</v>
      </c>
    </row>
    <row r="154">
      <c r="A154" s="2" t="str">
        <f t="shared" si="1"/>
        <v>H004306</v>
      </c>
      <c r="B154" s="1" t="s">
        <v>7863</v>
      </c>
      <c r="C154" s="9" t="str">
        <f t="array" ref="C154">IF(
  AND(
    IFERROR(MATCH(Caseslist!B154, data!D:D, 0), 0) &gt; 0,
    IFERROR(INDEX(data!N:N, MATCH(Caseslist!B154, data!D:D, 0)) = 1, FALSE)
  ),
  "COMPLETE",
  "INC"
)</f>
        <v>COMPLETE</v>
      </c>
      <c r="D154" s="9">
        <f t="array" ref="D154">IFERROR(INDEX(data!$G:$G,match(Caseslist!B154,data!$D:$D,0)), "INC")</f>
        <v>859767</v>
      </c>
      <c r="E154" s="9" t="str">
        <f t="array" ref="E154">IFERROR(INDEX(data!H:H,match(Caseslist!B154,data!D:D,0)), "INC")</f>
        <v>Ramie De Pedro Jr._2</v>
      </c>
      <c r="F154" s="10" t="str">
        <f t="array" ref="F154">IF(
    OR(
      IFNA(INDEX(data!M:M, MATCH(Caseslist!B154, data!D:D, 0)), "") = "",
      IFNA(INDEX(data!M:M, MATCH(Caseslist!B154, data!D:D, 0)), 0) = 0
    ),
    "COMPLETE",
    IF(
      IFNA(INDEX(dataICM!D:D, MATCH(Caseslist!B154, dataICM!D:D, 0)), "INC") = "INC",
      IFNA(INDEX(dataICM!D:D, MATCH(Caseslist!B154, dataICM!D:D, 0)), "INC"),
      "COMPLETE"
    )
  )</f>
        <v>COMPLETE</v>
      </c>
      <c r="G154" s="10" t="str">
        <f t="array" ref="G154">IF(IFERROR(INDEX(data!L:L,match(Caseslist!B154,data!D:D,0)),"INC")="","COMPLETE",F154)</f>
        <v>COMPLETE</v>
      </c>
      <c r="H154" s="9" t="str">
        <f t="array" ref="H154">IFERROR(INDEX(dataICM!F:F,match(Caseslist!B154,dataICM!D:D,0)), "INC")</f>
        <v>Ramie De Pedro Jr._2</v>
      </c>
      <c r="I154" s="10">
        <f t="shared" si="2"/>
        <v>859767</v>
      </c>
      <c r="J154" s="9" t="str">
        <f t="array" ref="J154">IF(
  AND(
    IFERROR(MATCH(B154, data!D:D, 0), 0) &gt; 0,
    IFERROR(INDEX(data!N:N, MATCH(B154, data!D:D, 0)) = 1, FALSE)
  ),
  INDEX(data!C:C, MATCH(B154, data!D:D, 0)),
  "INC"
)</f>
        <v>2025-09-22T14:42:27.185+08</v>
      </c>
      <c r="K154" s="9" t="str">
        <f t="array" ref="K154">IFERROR(INDEX(dataICM!C:C,match(Caseslist!B154,dataICM!D:D,0)), "INC")</f>
        <v>2025-09-22T17:55:52.898+08</v>
      </c>
      <c r="L154" s="10" t="str">
        <f t="array" ref="L154">IF(AND(G154="COMPLETE", OR(K154="INC", ISBLANK(INDEX(data!O:O, ROW())))), J154, K154)</f>
        <v>2025-09-22T17:55:52.898+08</v>
      </c>
      <c r="M154" s="2">
        <v>45922.0</v>
      </c>
      <c r="N154" s="2">
        <f t="array" ref="N154">IF(M154&lt;&gt;"INC", INDEX(data!M:M, MATCH(B154, data!D:D, 0)), "")</f>
        <v>2</v>
      </c>
      <c r="O154" s="2">
        <f t="shared" si="3"/>
        <v>2</v>
      </c>
    </row>
    <row r="155">
      <c r="A155" s="2" t="str">
        <f t="shared" si="1"/>
        <v>H004306</v>
      </c>
      <c r="B155" s="1" t="s">
        <v>8118</v>
      </c>
      <c r="C155" s="9" t="str">
        <f t="array" ref="C155">IF(
  AND(
    IFERROR(MATCH(Caseslist!B155, data!D:D, 0), 0) &gt; 0,
    IFERROR(INDEX(data!N:N, MATCH(Caseslist!B155, data!D:D, 0)) = 1, FALSE)
  ),
  "COMPLETE",
  "INC"
)</f>
        <v>COMPLETE</v>
      </c>
      <c r="D155" s="9">
        <f t="array" ref="D155">IFERROR(INDEX(data!$G:$G,match(Caseslist!B155,data!$D:$D,0)), "INC")</f>
        <v>729375</v>
      </c>
      <c r="E155" s="9" t="str">
        <f t="array" ref="E155">IFERROR(INDEX(data!H:H,match(Caseslist!B155,data!D:D,0)), "INC")</f>
        <v>Janet Serafica_2</v>
      </c>
      <c r="F155" s="10" t="str">
        <f t="array" ref="F155">IF(
    OR(
      IFNA(INDEX(data!M:M, MATCH(Caseslist!B155, data!D:D, 0)), "") = "",
      IFNA(INDEX(data!M:M, MATCH(Caseslist!B155, data!D:D, 0)), 0) = 0
    ),
    "COMPLETE",
    IF(
      IFNA(INDEX(dataICM!D:D, MATCH(Caseslist!B155, dataICM!D:D, 0)), "INC") = "INC",
      IFNA(INDEX(dataICM!D:D, MATCH(Caseslist!B155, dataICM!D:D, 0)), "INC"),
      "COMPLETE"
    )
  )</f>
        <v>COMPLETE</v>
      </c>
      <c r="G155" s="10" t="str">
        <f t="array" ref="G155">IF(IFERROR(INDEX(data!L:L,match(Caseslist!B155,data!D:D,0)),"INC")="","COMPLETE",F155)</f>
        <v>COMPLETE</v>
      </c>
      <c r="H155" s="9" t="str">
        <f t="array" ref="H155">IFERROR(INDEX(dataICM!F:F,match(Caseslist!B155,dataICM!D:D,0)), "INC")</f>
        <v>Janet Serafica_2</v>
      </c>
      <c r="I155" s="10">
        <f t="shared" si="2"/>
        <v>729375</v>
      </c>
      <c r="J155" s="9" t="str">
        <f t="array" ref="J155">IF(
  AND(
    IFERROR(MATCH(B155, data!D:D, 0), 0) &gt; 0,
    IFERROR(INDEX(data!N:N, MATCH(B155, data!D:D, 0)) = 1, FALSE)
  ),
  INDEX(data!C:C, MATCH(B155, data!D:D, 0)),
  "INC"
)</f>
        <v>2025-09-22T14:14:57.602+08</v>
      </c>
      <c r="K155" s="9" t="str">
        <f t="array" ref="K155">IFERROR(INDEX(dataICM!C:C,match(Caseslist!B155,dataICM!D:D,0)), "INC")</f>
        <v>2025-09-22T14:22:43.497+08</v>
      </c>
      <c r="L155" s="10" t="str">
        <f t="array" ref="L155">IF(AND(G155="COMPLETE", OR(K155="INC", ISBLANK(INDEX(data!O:O, ROW())))), J155, K155)</f>
        <v>2025-09-22T14:22:43.497+08</v>
      </c>
      <c r="M155" s="2">
        <v>45922.0</v>
      </c>
      <c r="N155" s="2">
        <f t="array" ref="N155">IF(M155&lt;&gt;"INC", INDEX(data!M:M, MATCH(B155, data!D:D, 0)), "")</f>
        <v>2</v>
      </c>
      <c r="O155" s="2">
        <f t="shared" si="3"/>
        <v>2</v>
      </c>
    </row>
    <row r="156">
      <c r="A156" s="2" t="str">
        <f t="shared" si="1"/>
        <v>H004306</v>
      </c>
      <c r="B156" s="1" t="s">
        <v>8233</v>
      </c>
      <c r="C156" s="9" t="str">
        <f t="array" ref="C156">IF(
  AND(
    IFERROR(MATCH(Caseslist!B156, data!D:D, 0), 0) &gt; 0,
    IFERROR(INDEX(data!N:N, MATCH(Caseslist!B156, data!D:D, 0)) = 1, FALSE)
  ),
  "COMPLETE",
  "INC"
)</f>
        <v>COMPLETE</v>
      </c>
      <c r="D156" s="9">
        <f t="array" ref="D156">IFERROR(INDEX(data!$G:$G,match(Caseslist!B156,data!$D:$D,0)), "INC")</f>
        <v>859767</v>
      </c>
      <c r="E156" s="9" t="str">
        <f t="array" ref="E156">IFERROR(INDEX(data!H:H,match(Caseslist!B156,data!D:D,0)), "INC")</f>
        <v>Ramie De Pedro Jr._2</v>
      </c>
      <c r="F156" s="10" t="str">
        <f t="array" ref="F156">IF(
    OR(
      IFNA(INDEX(data!M:M, MATCH(Caseslist!B156, data!D:D, 0)), "") = "",
      IFNA(INDEX(data!M:M, MATCH(Caseslist!B156, data!D:D, 0)), 0) = 0
    ),
    "COMPLETE",
    IF(
      IFNA(INDEX(dataICM!D:D, MATCH(Caseslist!B156, dataICM!D:D, 0)), "INC") = "INC",
      IFNA(INDEX(dataICM!D:D, MATCH(Caseslist!B156, dataICM!D:D, 0)), "INC"),
      "COMPLETE"
    )
  )</f>
        <v>COMPLETE</v>
      </c>
      <c r="G156" s="10" t="str">
        <f t="array" ref="G156">IF(IFERROR(INDEX(data!L:L,match(Caseslist!B156,data!D:D,0)),"INC")="","COMPLETE",F156)</f>
        <v>COMPLETE</v>
      </c>
      <c r="H156" s="9" t="str">
        <f t="array" ref="H156">IFERROR(INDEX(dataICM!F:F,match(Caseslist!B156,dataICM!D:D,0)), "INC")</f>
        <v>Ramie De Pedro Jr._2</v>
      </c>
      <c r="I156" s="10">
        <f t="shared" si="2"/>
        <v>859767</v>
      </c>
      <c r="J156" s="9" t="str">
        <f t="array" ref="J156">IF(
  AND(
    IFERROR(MATCH(B156, data!D:D, 0), 0) &gt; 0,
    IFERROR(INDEX(data!N:N, MATCH(B156, data!D:D, 0)) = 1, FALSE)
  ),
  INDEX(data!C:C, MATCH(B156, data!D:D, 0)),
  "INC"
)</f>
        <v>2025-09-23T10:32:40.813+08</v>
      </c>
      <c r="K156" s="9" t="str">
        <f t="array" ref="K156">IFERROR(INDEX(dataICM!C:C,match(Caseslist!B156,dataICM!D:D,0)), "INC")</f>
        <v>2025-09-23T10:41:03.541+08</v>
      </c>
      <c r="L156" s="10" t="str">
        <f t="array" ref="L156">IF(AND(G156="COMPLETE", OR(K156="INC", ISBLANK(INDEX(data!O:O, ROW())))), J156, K156)</f>
        <v>2025-09-23T10:41:03.541+08</v>
      </c>
      <c r="M156" s="2">
        <v>45923.0</v>
      </c>
      <c r="N156" s="2">
        <f t="array" ref="N156">IF(M156&lt;&gt;"INC", INDEX(data!M:M, MATCH(B156, data!D:D, 0)), "")</f>
        <v>2</v>
      </c>
      <c r="O156" s="2">
        <f t="shared" si="3"/>
        <v>2</v>
      </c>
    </row>
    <row r="157">
      <c r="A157" s="2" t="str">
        <f t="shared" si="1"/>
        <v>H004306</v>
      </c>
      <c r="B157" s="1" t="s">
        <v>8158</v>
      </c>
      <c r="C157" s="9" t="str">
        <f t="array" ref="C157">IF(
  AND(
    IFERROR(MATCH(Caseslist!B157, data!D:D, 0), 0) &gt; 0,
    IFERROR(INDEX(data!N:N, MATCH(Caseslist!B157, data!D:D, 0)) = 1, FALSE)
  ),
  "COMPLETE",
  "INC"
)</f>
        <v>COMPLETE</v>
      </c>
      <c r="D157" s="9" t="str">
        <f t="array" ref="D157">IFERROR(INDEX(data!$G:$G,match(Caseslist!B157,data!$D:$D,0)), "INC")</f>
        <v>S2671943</v>
      </c>
      <c r="E157" s="9" t="str">
        <f t="array" ref="E157">IFERROR(INDEX(data!H:H,match(Caseslist!B157,data!D:D,0)), "INC")</f>
        <v>Marvin Mondia</v>
      </c>
      <c r="F157" s="10" t="str">
        <f t="array" ref="F157">IF(
    OR(
      IFNA(INDEX(data!M:M, MATCH(Caseslist!B157, data!D:D, 0)), "") = "",
      IFNA(INDEX(data!M:M, MATCH(Caseslist!B157, data!D:D, 0)), 0) = 0
    ),
    "COMPLETE",
    IF(
      IFNA(INDEX(dataICM!D:D, MATCH(Caseslist!B157, dataICM!D:D, 0)), "INC") = "INC",
      IFNA(INDEX(dataICM!D:D, MATCH(Caseslist!B157, dataICM!D:D, 0)), "INC"),
      "COMPLETE"
    )
  )</f>
        <v>COMPLETE</v>
      </c>
      <c r="G157" s="10" t="str">
        <f t="array" ref="G157">IF(IFERROR(INDEX(data!L:L,match(Caseslist!B157,data!D:D,0)),"INC")="","COMPLETE",F157)</f>
        <v>COMPLETE</v>
      </c>
      <c r="H157" s="9" t="str">
        <f t="array" ref="H157">IFERROR(INDEX(dataICM!F:F,match(Caseslist!B157,dataICM!D:D,0)), "INC")</f>
        <v>Marvin Mondia</v>
      </c>
      <c r="I157" s="10" t="str">
        <f t="shared" si="2"/>
        <v>S2671943</v>
      </c>
      <c r="J157" s="9" t="str">
        <f t="array" ref="J157">IF(
  AND(
    IFERROR(MATCH(B157, data!D:D, 0), 0) &gt; 0,
    IFERROR(INDEX(data!N:N, MATCH(B157, data!D:D, 0)) = 1, FALSE)
  ),
  INDEX(data!C:C, MATCH(B157, data!D:D, 0)),
  "INC"
)</f>
        <v>2025-09-22T11:12:41.768+08</v>
      </c>
      <c r="K157" s="9" t="str">
        <f t="array" ref="K157">IFERROR(INDEX(dataICM!C:C,match(Caseslist!B157,dataICM!D:D,0)), "INC")</f>
        <v>2025-09-22T11:16:13.429+08</v>
      </c>
      <c r="L157" s="10" t="str">
        <f t="array" ref="L157">IF(AND(G157="COMPLETE", OR(K157="INC", ISBLANK(INDEX(data!O:O, ROW())))), J157, K157)</f>
        <v>2025-09-22T11:16:13.429+08</v>
      </c>
      <c r="M157" s="2">
        <v>45922.0</v>
      </c>
      <c r="N157" s="2">
        <f t="array" ref="N157">IF(M157&lt;&gt;"INC", INDEX(data!M:M, MATCH(B157, data!D:D, 0)), "")</f>
        <v>2</v>
      </c>
      <c r="O157" s="2">
        <f t="shared" si="3"/>
        <v>2</v>
      </c>
    </row>
    <row r="158">
      <c r="A158" s="2" t="str">
        <f t="shared" si="1"/>
        <v>H004344</v>
      </c>
      <c r="B158" s="1" t="s">
        <v>6153</v>
      </c>
      <c r="C158" s="9" t="str">
        <f t="array" ref="C158">IF(
  AND(
    IFERROR(MATCH(Caseslist!B158, data!D:D, 0), 0) &gt; 0,
    IFERROR(INDEX(data!N:N, MATCH(Caseslist!B158, data!D:D, 0)) = 1, FALSE)
  ),
  "COMPLETE",
  "INC"
)</f>
        <v>COMPLETE</v>
      </c>
      <c r="D158" s="9" t="str">
        <f t="array" ref="D158">IFERROR(INDEX(data!$G:$G,match(Caseslist!B158,data!$D:$D,0)), "INC")</f>
        <v>S2671943</v>
      </c>
      <c r="E158" s="9" t="str">
        <f t="array" ref="E158">IFERROR(INDEX(data!H:H,match(Caseslist!B158,data!D:D,0)), "INC")</f>
        <v>Marvin Mondia</v>
      </c>
      <c r="F158" s="10" t="str">
        <f t="array" ref="F158">IF(
    OR(
      IFNA(INDEX(data!M:M, MATCH(Caseslist!B158, data!D:D, 0)), "") = "",
      IFNA(INDEX(data!M:M, MATCH(Caseslist!B158, data!D:D, 0)), 0) = 0
    ),
    "COMPLETE",
    IF(
      IFNA(INDEX(dataICM!D:D, MATCH(Caseslist!B158, dataICM!D:D, 0)), "INC") = "INC",
      IFNA(INDEX(dataICM!D:D, MATCH(Caseslist!B158, dataICM!D:D, 0)), "INC"),
      "COMPLETE"
    )
  )</f>
        <v>COMPLETE</v>
      </c>
      <c r="G158" s="10" t="str">
        <f t="array" ref="G158">IF(IFERROR(INDEX(data!L:L,match(Caseslist!B158,data!D:D,0)),"INC")="","COMPLETE",F158)</f>
        <v>COMPLETE</v>
      </c>
      <c r="H158" s="9" t="str">
        <f t="array" ref="H158">IFERROR(INDEX(dataICM!F:F,match(Caseslist!B158,dataICM!D:D,0)), "INC")</f>
        <v>Marvin Mondia</v>
      </c>
      <c r="I158" s="10" t="str">
        <f t="shared" si="2"/>
        <v>S2671943</v>
      </c>
      <c r="J158" s="9" t="str">
        <f t="array" ref="J158">IF(
  AND(
    IFERROR(MATCH(B158, data!D:D, 0), 0) &gt; 0,
    IFERROR(INDEX(data!N:N, MATCH(B158, data!D:D, 0)) = 1, FALSE)
  ),
  INDEX(data!C:C, MATCH(B158, data!D:D, 0)),
  "INC"
)</f>
        <v>2025-09-13T12:39:39.378+08</v>
      </c>
      <c r="K158" s="9" t="str">
        <f t="array" ref="K158">IFERROR(INDEX(dataICM!C:C,match(Caseslist!B158,dataICM!D:D,0)), "INC")</f>
        <v>2025-09-13T12:44:59.172+08</v>
      </c>
      <c r="L158" s="10" t="str">
        <f t="array" ref="L158">IF(AND(G158="COMPLETE", OR(K158="INC", ISBLANK(INDEX(data!O:O, ROW())))), J158, K158)</f>
        <v>2025-09-13T12:44:59.172+08</v>
      </c>
      <c r="M158" s="2">
        <v>45913.0</v>
      </c>
      <c r="N158" s="2">
        <f t="array" ref="N158">IF(M158&lt;&gt;"INC", INDEX(data!M:M, MATCH(B158, data!D:D, 0)), "")</f>
        <v>3</v>
      </c>
      <c r="O158" s="2">
        <f t="shared" si="3"/>
        <v>3</v>
      </c>
    </row>
    <row r="159">
      <c r="A159" s="2" t="str">
        <f t="shared" si="1"/>
        <v>H004344</v>
      </c>
      <c r="B159" s="1" t="s">
        <v>6148</v>
      </c>
      <c r="C159" s="9" t="str">
        <f t="array" ref="C159">IF(
  AND(
    IFERROR(MATCH(Caseslist!B159, data!D:D, 0), 0) &gt; 0,
    IFERROR(INDEX(data!N:N, MATCH(Caseslist!B159, data!D:D, 0)) = 1, FALSE)
  ),
  "COMPLETE",
  "INC"
)</f>
        <v>COMPLETE</v>
      </c>
      <c r="D159" s="9">
        <f t="array" ref="D159">IFERROR(INDEX(data!$G:$G,match(Caseslist!B159,data!$D:$D,0)), "INC")</f>
        <v>859767</v>
      </c>
      <c r="E159" s="9" t="str">
        <f t="array" ref="E159">IFERROR(INDEX(data!H:H,match(Caseslist!B159,data!D:D,0)), "INC")</f>
        <v>Ramie De Pedro Jr._2</v>
      </c>
      <c r="F159" s="10" t="str">
        <f t="array" ref="F159">IF(
    OR(
      IFNA(INDEX(data!M:M, MATCH(Caseslist!B159, data!D:D, 0)), "") = "",
      IFNA(INDEX(data!M:M, MATCH(Caseslist!B159, data!D:D, 0)), 0) = 0
    ),
    "COMPLETE",
    IF(
      IFNA(INDEX(dataICM!D:D, MATCH(Caseslist!B159, dataICM!D:D, 0)), "INC") = "INC",
      IFNA(INDEX(dataICM!D:D, MATCH(Caseslist!B159, dataICM!D:D, 0)), "INC"),
      "COMPLETE"
    )
  )</f>
        <v>COMPLETE</v>
      </c>
      <c r="G159" s="10" t="str">
        <f t="array" ref="G159">IF(IFERROR(INDEX(data!L:L,match(Caseslist!B159,data!D:D,0)),"INC")="","COMPLETE",F159)</f>
        <v>COMPLETE</v>
      </c>
      <c r="H159" s="9" t="str">
        <f t="array" ref="H159">IFERROR(INDEX(dataICM!F:F,match(Caseslist!B159,dataICM!D:D,0)), "INC")</f>
        <v>Ramie De Pedro Jr._2</v>
      </c>
      <c r="I159" s="10">
        <f t="shared" si="2"/>
        <v>859767</v>
      </c>
      <c r="J159" s="9" t="str">
        <f t="array" ref="J159">IF(
  AND(
    IFERROR(MATCH(B159, data!D:D, 0), 0) &gt; 0,
    IFERROR(INDEX(data!N:N, MATCH(B159, data!D:D, 0)) = 1, FALSE)
  ),
  INDEX(data!C:C, MATCH(B159, data!D:D, 0)),
  "INC"
)</f>
        <v>2025-09-24T14:37:46.654+08</v>
      </c>
      <c r="K159" s="9" t="str">
        <f t="array" ref="K159">IFERROR(INDEX(dataICM!C:C,match(Caseslist!B159,dataICM!D:D,0)), "INC")</f>
        <v>2025-09-24T16:43:30.957+08</v>
      </c>
      <c r="L159" s="10" t="str">
        <f t="array" ref="L159">IF(AND(G159="COMPLETE", OR(K159="INC", ISBLANK(INDEX(data!O:O, ROW())))), J159, K159)</f>
        <v>2025-09-24T16:43:30.957+08</v>
      </c>
      <c r="M159" s="2">
        <v>45924.0</v>
      </c>
      <c r="N159" s="2">
        <f t="array" ref="N159">IF(M159&lt;&gt;"INC", INDEX(data!M:M, MATCH(B159, data!D:D, 0)), "")</f>
        <v>3</v>
      </c>
      <c r="O159" s="2">
        <f t="shared" si="3"/>
        <v>3</v>
      </c>
    </row>
    <row r="160">
      <c r="A160" s="2" t="str">
        <f t="shared" si="1"/>
        <v>H004344</v>
      </c>
      <c r="B160" s="1" t="s">
        <v>8493</v>
      </c>
      <c r="C160" s="9" t="str">
        <f t="array" ref="C160">IF(
  AND(
    IFERROR(MATCH(Caseslist!B160, data!D:D, 0), 0) &gt; 0,
    IFERROR(INDEX(data!N:N, MATCH(Caseslist!B160, data!D:D, 0)) = 1, FALSE)
  ),
  "COMPLETE",
  "INC"
)</f>
        <v>COMPLETE</v>
      </c>
      <c r="D160" s="9">
        <f t="array" ref="D160">IFERROR(INDEX(data!$G:$G,match(Caseslist!B160,data!$D:$D,0)), "INC")</f>
        <v>859767</v>
      </c>
      <c r="E160" s="9" t="str">
        <f t="array" ref="E160">IFERROR(INDEX(data!H:H,match(Caseslist!B160,data!D:D,0)), "INC")</f>
        <v>Ramie De Pedro Jr._2</v>
      </c>
      <c r="F160" s="10" t="str">
        <f t="array" ref="F160">IF(
    OR(
      IFNA(INDEX(data!M:M, MATCH(Caseslist!B160, data!D:D, 0)), "") = "",
      IFNA(INDEX(data!M:M, MATCH(Caseslist!B160, data!D:D, 0)), 0) = 0
    ),
    "COMPLETE",
    IF(
      IFNA(INDEX(dataICM!D:D, MATCH(Caseslist!B160, dataICM!D:D, 0)), "INC") = "INC",
      IFNA(INDEX(dataICM!D:D, MATCH(Caseslist!B160, dataICM!D:D, 0)), "INC"),
      "COMPLETE"
    )
  )</f>
        <v>INC</v>
      </c>
      <c r="G160" s="10" t="str">
        <f t="array" ref="G160">IF(IFERROR(INDEX(data!L:L,match(Caseslist!B160,data!D:D,0)),"INC")="","COMPLETE",F160)</f>
        <v>INC</v>
      </c>
      <c r="H160" s="9" t="str">
        <f t="array" ref="H160">IFERROR(INDEX(dataICM!F:F,match(Caseslist!B160,dataICM!D:D,0)), "INC")</f>
        <v>INC</v>
      </c>
      <c r="I160" s="10" t="str">
        <f t="shared" si="2"/>
        <v>INC</v>
      </c>
      <c r="J160" s="9" t="str">
        <f t="array" ref="J160">IF(
  AND(
    IFERROR(MATCH(B160, data!D:D, 0), 0) &gt; 0,
    IFERROR(INDEX(data!N:N, MATCH(B160, data!D:D, 0)) = 1, FALSE)
  ),
  INDEX(data!C:C, MATCH(B160, data!D:D, 0)),
  "INC"
)</f>
        <v>2025-09-25T16:14:33.567+08</v>
      </c>
      <c r="K160" s="9" t="str">
        <f t="array" ref="K160">IFERROR(INDEX(dataICM!C:C,match(Caseslist!B160,dataICM!D:D,0)), "INC")</f>
        <v>INC</v>
      </c>
      <c r="L160" s="10" t="str">
        <f t="array" ref="L160">IF(AND(G160="COMPLETE", OR(K160="INC", ISBLANK(INDEX(data!O:O, ROW())))), J160, K160)</f>
        <v>INC</v>
      </c>
      <c r="M160" s="2" t="s">
        <v>8886</v>
      </c>
      <c r="N160" s="2" t="str">
        <f t="array" ref="N160">IF(M160&lt;&gt;"INC", INDEX(data!M:M, MATCH(B160, data!D:D, 0)), "")</f>
        <v/>
      </c>
      <c r="O160" s="2" t="str">
        <f t="shared" si="3"/>
        <v/>
      </c>
    </row>
    <row r="161">
      <c r="A161" s="2" t="str">
        <f t="shared" si="1"/>
        <v>H004344</v>
      </c>
      <c r="B161" s="1" t="s">
        <v>6008</v>
      </c>
      <c r="C161" s="9" t="str">
        <f t="array" ref="C161">IF(
  AND(
    IFERROR(MATCH(Caseslist!B161, data!D:D, 0), 0) &gt; 0,
    IFERROR(INDEX(data!N:N, MATCH(Caseslist!B161, data!D:D, 0)) = 1, FALSE)
  ),
  "COMPLETE",
  "INC"
)</f>
        <v>COMPLETE</v>
      </c>
      <c r="D161" s="9">
        <f t="array" ref="D161">IFERROR(INDEX(data!$G:$G,match(Caseslist!B161,data!$D:$D,0)), "INC")</f>
        <v>859767</v>
      </c>
      <c r="E161" s="9" t="str">
        <f t="array" ref="E161">IFERROR(INDEX(data!H:H,match(Caseslist!B161,data!D:D,0)), "INC")</f>
        <v>Ramie De Pedro Jr._2</v>
      </c>
      <c r="F161" s="10" t="str">
        <f t="array" ref="F161">IF(
    OR(
      IFNA(INDEX(data!M:M, MATCH(Caseslist!B161, data!D:D, 0)), "") = "",
      IFNA(INDEX(data!M:M, MATCH(Caseslist!B161, data!D:D, 0)), 0) = 0
    ),
    "COMPLETE",
    IF(
      IFNA(INDEX(dataICM!D:D, MATCH(Caseslist!B161, dataICM!D:D, 0)), "INC") = "INC",
      IFNA(INDEX(dataICM!D:D, MATCH(Caseslist!B161, dataICM!D:D, 0)), "INC"),
      "COMPLETE"
    )
  )</f>
        <v>COMPLETE</v>
      </c>
      <c r="G161" s="10" t="str">
        <f t="array" ref="G161">IF(IFERROR(INDEX(data!L:L,match(Caseslist!B161,data!D:D,0)),"INC")="","COMPLETE",F161)</f>
        <v>COMPLETE</v>
      </c>
      <c r="H161" s="9" t="str">
        <f t="array" ref="H161">IFERROR(INDEX(dataICM!F:F,match(Caseslist!B161,dataICM!D:D,0)), "INC")</f>
        <v>Ramie De Pedro Jr._2</v>
      </c>
      <c r="I161" s="10">
        <f t="shared" si="2"/>
        <v>859767</v>
      </c>
      <c r="J161" s="9" t="str">
        <f t="array" ref="J161">IF(
  AND(
    IFERROR(MATCH(B161, data!D:D, 0), 0) &gt; 0,
    IFERROR(INDEX(data!N:N, MATCH(B161, data!D:D, 0)) = 1, FALSE)
  ),
  INDEX(data!C:C, MATCH(B161, data!D:D, 0)),
  "INC"
)</f>
        <v>2025-09-13T11:57:29.783+08</v>
      </c>
      <c r="K161" s="9" t="str">
        <f t="array" ref="K161">IFERROR(INDEX(dataICM!C:C,match(Caseslist!B161,dataICM!D:D,0)), "INC")</f>
        <v>2025-09-13T12:09:24.961+08</v>
      </c>
      <c r="L161" s="10" t="str">
        <f t="array" ref="L161">IF(AND(G161="COMPLETE", OR(K161="INC", ISBLANK(INDEX(data!O:O, ROW())))), J161, K161)</f>
        <v>2025-09-13T12:09:24.961+08</v>
      </c>
      <c r="M161" s="2">
        <v>45913.0</v>
      </c>
      <c r="N161" s="2">
        <f t="array" ref="N161">IF(M161&lt;&gt;"INC", INDEX(data!M:M, MATCH(B161, data!D:D, 0)), "")</f>
        <v>3</v>
      </c>
      <c r="O161" s="2">
        <f t="shared" si="3"/>
        <v>3</v>
      </c>
    </row>
    <row r="162">
      <c r="A162" s="2" t="str">
        <f t="shared" si="1"/>
        <v>H004344</v>
      </c>
      <c r="B162" s="1" t="s">
        <v>6018</v>
      </c>
      <c r="C162" s="9" t="str">
        <f t="array" ref="C162">IF(
  AND(
    IFERROR(MATCH(Caseslist!B162, data!D:D, 0), 0) &gt; 0,
    IFERROR(INDEX(data!N:N, MATCH(Caseslist!B162, data!D:D, 0)) = 1, FALSE)
  ),
  "COMPLETE",
  "INC"
)</f>
        <v>COMPLETE</v>
      </c>
      <c r="D162" s="9">
        <f t="array" ref="D162">IFERROR(INDEX(data!$G:$G,match(Caseslist!B162,data!$D:$D,0)), "INC")</f>
        <v>859767</v>
      </c>
      <c r="E162" s="9" t="str">
        <f t="array" ref="E162">IFERROR(INDEX(data!H:H,match(Caseslist!B162,data!D:D,0)), "INC")</f>
        <v>Ramie De Pedro Jr._2</v>
      </c>
      <c r="F162" s="10" t="str">
        <f t="array" ref="F162">IF(
    OR(
      IFNA(INDEX(data!M:M, MATCH(Caseslist!B162, data!D:D, 0)), "") = "",
      IFNA(INDEX(data!M:M, MATCH(Caseslist!B162, data!D:D, 0)), 0) = 0
    ),
    "COMPLETE",
    IF(
      IFNA(INDEX(dataICM!D:D, MATCH(Caseslist!B162, dataICM!D:D, 0)), "INC") = "INC",
      IFNA(INDEX(dataICM!D:D, MATCH(Caseslist!B162, dataICM!D:D, 0)), "INC"),
      "COMPLETE"
    )
  )</f>
        <v>COMPLETE</v>
      </c>
      <c r="G162" s="10" t="str">
        <f t="array" ref="G162">IF(IFERROR(INDEX(data!L:L,match(Caseslist!B162,data!D:D,0)),"INC")="","COMPLETE",F162)</f>
        <v>COMPLETE</v>
      </c>
      <c r="H162" s="9" t="str">
        <f t="array" ref="H162">IFERROR(INDEX(dataICM!F:F,match(Caseslist!B162,dataICM!D:D,0)), "INC")</f>
        <v>Ramie De Pedro Jr._2</v>
      </c>
      <c r="I162" s="10">
        <f t="shared" si="2"/>
        <v>859767</v>
      </c>
      <c r="J162" s="9" t="str">
        <f t="array" ref="J162">IF(
  AND(
    IFERROR(MATCH(B162, data!D:D, 0), 0) &gt; 0,
    IFERROR(INDEX(data!N:N, MATCH(B162, data!D:D, 0)) = 1, FALSE)
  ),
  INDEX(data!C:C, MATCH(B162, data!D:D, 0)),
  "INC"
)</f>
        <v>2025-09-13T15:53:49.307+08</v>
      </c>
      <c r="K162" s="9" t="str">
        <f t="array" ref="K162">IFERROR(INDEX(dataICM!C:C,match(Caseslist!B162,dataICM!D:D,0)), "INC")</f>
        <v>2025-09-13T16:07:53.475+08</v>
      </c>
      <c r="L162" s="10" t="str">
        <f t="array" ref="L162">IF(AND(G162="COMPLETE", OR(K162="INC", ISBLANK(INDEX(data!O:O, ROW())))), J162, K162)</f>
        <v>2025-09-13T16:07:53.475+08</v>
      </c>
      <c r="M162" s="2">
        <v>45913.0</v>
      </c>
      <c r="N162" s="2">
        <f t="array" ref="N162">IF(M162&lt;&gt;"INC", INDEX(data!M:M, MATCH(B162, data!D:D, 0)), "")</f>
        <v>3</v>
      </c>
      <c r="O162" s="2">
        <f t="shared" si="3"/>
        <v>3</v>
      </c>
    </row>
    <row r="163">
      <c r="A163" s="2" t="str">
        <f t="shared" si="1"/>
        <v>H004344</v>
      </c>
      <c r="B163" s="1" t="s">
        <v>6128</v>
      </c>
      <c r="C163" s="9" t="str">
        <f t="array" ref="C163">IF(
  AND(
    IFERROR(MATCH(Caseslist!B163, data!D:D, 0), 0) &gt; 0,
    IFERROR(INDEX(data!N:N, MATCH(Caseslist!B163, data!D:D, 0)) = 1, FALSE)
  ),
  "COMPLETE",
  "INC"
)</f>
        <v>COMPLETE</v>
      </c>
      <c r="D163" s="9">
        <f t="array" ref="D163">IFERROR(INDEX(data!$G:$G,match(Caseslist!B163,data!$D:$D,0)), "INC")</f>
        <v>859767</v>
      </c>
      <c r="E163" s="9" t="str">
        <f t="array" ref="E163">IFERROR(INDEX(data!H:H,match(Caseslist!B163,data!D:D,0)), "INC")</f>
        <v>Ramie De Pedro Jr._2</v>
      </c>
      <c r="F163" s="10" t="str">
        <f t="array" ref="F163">IF(
    OR(
      IFNA(INDEX(data!M:M, MATCH(Caseslist!B163, data!D:D, 0)), "") = "",
      IFNA(INDEX(data!M:M, MATCH(Caseslist!B163, data!D:D, 0)), 0) = 0
    ),
    "COMPLETE",
    IF(
      IFNA(INDEX(dataICM!D:D, MATCH(Caseslist!B163, dataICM!D:D, 0)), "INC") = "INC",
      IFNA(INDEX(dataICM!D:D, MATCH(Caseslist!B163, dataICM!D:D, 0)), "INC"),
      "COMPLETE"
    )
  )</f>
        <v>COMPLETE</v>
      </c>
      <c r="G163" s="10" t="str">
        <f t="array" ref="G163">IF(IFERROR(INDEX(data!L:L,match(Caseslist!B163,data!D:D,0)),"INC")="","COMPLETE",F163)</f>
        <v>COMPLETE</v>
      </c>
      <c r="H163" s="9" t="str">
        <f t="array" ref="H163">IFERROR(INDEX(dataICM!F:F,match(Caseslist!B163,dataICM!D:D,0)), "INC")</f>
        <v>Ramie De Pedro Jr._2</v>
      </c>
      <c r="I163" s="10">
        <f t="shared" si="2"/>
        <v>859767</v>
      </c>
      <c r="J163" s="9" t="str">
        <f t="array" ref="J163">IF(
  AND(
    IFERROR(MATCH(B163, data!D:D, 0), 0) &gt; 0,
    IFERROR(INDEX(data!N:N, MATCH(B163, data!D:D, 0)) = 1, FALSE)
  ),
  INDEX(data!C:C, MATCH(B163, data!D:D, 0)),
  "INC"
)</f>
        <v>2025-09-28T12:06:08.338+08</v>
      </c>
      <c r="K163" s="9" t="str">
        <f t="array" ref="K163">IFERROR(INDEX(dataICM!C:C,match(Caseslist!B163,dataICM!D:D,0)), "INC")</f>
        <v>2025-09-28T12:12:53.552+08</v>
      </c>
      <c r="L163" s="10" t="str">
        <f t="array" ref="L163">IF(AND(G163="COMPLETE", OR(K163="INC", ISBLANK(INDEX(data!O:O, ROW())))), J163, K163)</f>
        <v>2025-09-28T12:12:53.552+08</v>
      </c>
      <c r="M163" s="2">
        <v>45928.0</v>
      </c>
      <c r="N163" s="2">
        <f t="array" ref="N163">IF(M163&lt;&gt;"INC", INDEX(data!M:M, MATCH(B163, data!D:D, 0)), "")</f>
        <v>3</v>
      </c>
      <c r="O163" s="2">
        <f t="shared" si="3"/>
        <v>3</v>
      </c>
    </row>
    <row r="164">
      <c r="A164" s="2" t="str">
        <f t="shared" si="1"/>
        <v>H004344</v>
      </c>
      <c r="B164" s="1" t="s">
        <v>6103</v>
      </c>
      <c r="C164" s="9" t="str">
        <f t="array" ref="C164">IF(
  AND(
    IFERROR(MATCH(Caseslist!B164, data!D:D, 0), 0) &gt; 0,
    IFERROR(INDEX(data!N:N, MATCH(Caseslist!B164, data!D:D, 0)) = 1, FALSE)
  ),
  "COMPLETE",
  "INC"
)</f>
        <v>COMPLETE</v>
      </c>
      <c r="D164" s="9">
        <f t="array" ref="D164">IFERROR(INDEX(data!$G:$G,match(Caseslist!B164,data!$D:$D,0)), "INC")</f>
        <v>729375</v>
      </c>
      <c r="E164" s="9" t="str">
        <f t="array" ref="E164">IFERROR(INDEX(data!H:H,match(Caseslist!B164,data!D:D,0)), "INC")</f>
        <v>Janet Serafica_2</v>
      </c>
      <c r="F164" s="10" t="str">
        <f t="array" ref="F164">IF(
    OR(
      IFNA(INDEX(data!M:M, MATCH(Caseslist!B164, data!D:D, 0)), "") = "",
      IFNA(INDEX(data!M:M, MATCH(Caseslist!B164, data!D:D, 0)), 0) = 0
    ),
    "COMPLETE",
    IF(
      IFNA(INDEX(dataICM!D:D, MATCH(Caseslist!B164, dataICM!D:D, 0)), "INC") = "INC",
      IFNA(INDEX(dataICM!D:D, MATCH(Caseslist!B164, dataICM!D:D, 0)), "INC"),
      "COMPLETE"
    )
  )</f>
        <v>COMPLETE</v>
      </c>
      <c r="G164" s="10" t="str">
        <f t="array" ref="G164">IF(IFERROR(INDEX(data!L:L,match(Caseslist!B164,data!D:D,0)),"INC")="","COMPLETE",F164)</f>
        <v>COMPLETE</v>
      </c>
      <c r="H164" s="9" t="str">
        <f t="array" ref="H164">IFERROR(INDEX(dataICM!F:F,match(Caseslist!B164,dataICM!D:D,0)), "INC")</f>
        <v>Janet Serafica_2</v>
      </c>
      <c r="I164" s="10">
        <f t="shared" si="2"/>
        <v>729375</v>
      </c>
      <c r="J164" s="9" t="str">
        <f t="array" ref="J164">IF(
  AND(
    IFERROR(MATCH(B164, data!D:D, 0), 0) &gt; 0,
    IFERROR(INDEX(data!N:N, MATCH(B164, data!D:D, 0)) = 1, FALSE)
  ),
  INDEX(data!C:C, MATCH(B164, data!D:D, 0)),
  "INC"
)</f>
        <v>2025-09-13T16:18:47.647+08</v>
      </c>
      <c r="K164" s="9" t="str">
        <f t="array" ref="K164">IFERROR(INDEX(dataICM!C:C,match(Caseslist!B164,dataICM!D:D,0)), "INC")</f>
        <v>2025-09-13T16:24:12.230+08</v>
      </c>
      <c r="L164" s="10" t="str">
        <f t="array" ref="L164">IF(AND(G164="COMPLETE", OR(K164="INC", ISBLANK(INDEX(data!O:O, ROW())))), J164, K164)</f>
        <v>2025-09-13T16:24:12.230+08</v>
      </c>
      <c r="M164" s="2">
        <v>45913.0</v>
      </c>
      <c r="N164" s="2">
        <f t="array" ref="N164">IF(M164&lt;&gt;"INC", INDEX(data!M:M, MATCH(B164, data!D:D, 0)), "")</f>
        <v>3</v>
      </c>
      <c r="O164" s="2">
        <f t="shared" si="3"/>
        <v>3</v>
      </c>
    </row>
    <row r="165">
      <c r="A165" s="2" t="str">
        <f t="shared" si="1"/>
        <v>H004344</v>
      </c>
      <c r="B165" s="1" t="s">
        <v>8908</v>
      </c>
      <c r="C165" s="9" t="str">
        <f t="array" ref="C165">IF(
  AND(
    IFERROR(MATCH(Caseslist!B165, data!D:D, 0), 0) &gt; 0,
    IFERROR(INDEX(data!N:N, MATCH(Caseslist!B165, data!D:D, 0)) = 1, FALSE)
  ),
  "COMPLETE",
  "INC"
)</f>
        <v>INC</v>
      </c>
      <c r="D165" s="9" t="str">
        <f t="array" ref="D165">IFERROR(INDEX(data!$G:$G,match(Caseslist!B165,data!$D:$D,0)), "INC")</f>
        <v>INC</v>
      </c>
      <c r="E165" s="9" t="str">
        <f t="array" ref="E165">IFERROR(INDEX(data!H:H,match(Caseslist!B165,data!D:D,0)), "INC")</f>
        <v>INC</v>
      </c>
      <c r="F165" s="10" t="str">
        <f t="array" ref="F165">IF(
    OR(
      IFNA(INDEX(data!M:M, MATCH(Caseslist!B165, data!D:D, 0)), "") = "",
      IFNA(INDEX(data!M:M, MATCH(Caseslist!B165, data!D:D, 0)), 0) = 0
    ),
    "COMPLETE",
    IF(
      IFNA(INDEX(dataICM!D:D, MATCH(Caseslist!B165, dataICM!D:D, 0)), "INC") = "INC",
      IFNA(INDEX(dataICM!D:D, MATCH(Caseslist!B165, dataICM!D:D, 0)), "INC"),
      "COMPLETE"
    )
  )</f>
        <v>COMPLETE</v>
      </c>
      <c r="G165" s="10" t="str">
        <f t="array" ref="G165">IF(IFERROR(INDEX(data!L:L,match(Caseslist!B165,data!D:D,0)),"INC")="","COMPLETE",F165)</f>
        <v>COMPLETE</v>
      </c>
      <c r="H165" s="9" t="str">
        <f t="array" ref="H165">IFERROR(INDEX(dataICM!F:F,match(Caseslist!B165,dataICM!D:D,0)), "INC")</f>
        <v>INC</v>
      </c>
      <c r="I165" s="10" t="str">
        <f t="shared" si="2"/>
        <v>INC</v>
      </c>
      <c r="J165" s="9" t="str">
        <f t="array" ref="J165">IF(
  AND(
    IFERROR(MATCH(B165, data!D:D, 0), 0) &gt; 0,
    IFERROR(INDEX(data!N:N, MATCH(B165, data!D:D, 0)) = 1, FALSE)
  ),
  INDEX(data!C:C, MATCH(B165, data!D:D, 0)),
  "INC"
)</f>
        <v>INC</v>
      </c>
      <c r="K165" s="9" t="str">
        <f t="array" ref="K165">IFERROR(INDEX(dataICM!C:C,match(Caseslist!B165,dataICM!D:D,0)), "INC")</f>
        <v>INC</v>
      </c>
      <c r="L165" s="10" t="str">
        <f t="array" ref="L165">IF(AND(G165="COMPLETE", OR(K165="INC", ISBLANK(INDEX(data!O:O, ROW())))), J165, K165)</f>
        <v>INC</v>
      </c>
      <c r="M165" s="2" t="s">
        <v>8886</v>
      </c>
      <c r="N165" s="2" t="str">
        <f t="array" ref="N165">IF(M165&lt;&gt;"INC", INDEX(data!M:M, MATCH(B165, data!D:D, 0)), "")</f>
        <v/>
      </c>
      <c r="O165" s="2" t="str">
        <f t="shared" si="3"/>
        <v/>
      </c>
    </row>
    <row r="166">
      <c r="A166" s="2" t="str">
        <f t="shared" si="1"/>
        <v>H004344</v>
      </c>
      <c r="B166" s="1" t="s">
        <v>6013</v>
      </c>
      <c r="C166" s="9" t="str">
        <f t="array" ref="C166">IF(
  AND(
    IFERROR(MATCH(Caseslist!B166, data!D:D, 0), 0) &gt; 0,
    IFERROR(INDEX(data!N:N, MATCH(Caseslist!B166, data!D:D, 0)) = 1, FALSE)
  ),
  "COMPLETE",
  "INC"
)</f>
        <v>COMPLETE</v>
      </c>
      <c r="D166" s="9">
        <f t="array" ref="D166">IFERROR(INDEX(data!$G:$G,match(Caseslist!B166,data!$D:$D,0)), "INC")</f>
        <v>859767</v>
      </c>
      <c r="E166" s="9" t="str">
        <f t="array" ref="E166">IFERROR(INDEX(data!H:H,match(Caseslist!B166,data!D:D,0)), "INC")</f>
        <v>Ramie De Pedro Jr._2</v>
      </c>
      <c r="F166" s="10" t="str">
        <f t="array" ref="F166">IF(
    OR(
      IFNA(INDEX(data!M:M, MATCH(Caseslist!B166, data!D:D, 0)), "") = "",
      IFNA(INDEX(data!M:M, MATCH(Caseslist!B166, data!D:D, 0)), 0) = 0
    ),
    "COMPLETE",
    IF(
      IFNA(INDEX(dataICM!D:D, MATCH(Caseslist!B166, dataICM!D:D, 0)), "INC") = "INC",
      IFNA(INDEX(dataICM!D:D, MATCH(Caseslist!B166, dataICM!D:D, 0)), "INC"),
      "COMPLETE"
    )
  )</f>
        <v>COMPLETE</v>
      </c>
      <c r="G166" s="10" t="str">
        <f t="array" ref="G166">IF(IFERROR(INDEX(data!L:L,match(Caseslist!B166,data!D:D,0)),"INC")="","COMPLETE",F166)</f>
        <v>COMPLETE</v>
      </c>
      <c r="H166" s="9" t="str">
        <f t="array" ref="H166">IFERROR(INDEX(dataICM!F:F,match(Caseslist!B166,dataICM!D:D,0)), "INC")</f>
        <v>Ramie De Pedro Jr._2</v>
      </c>
      <c r="I166" s="10">
        <f t="shared" si="2"/>
        <v>859767</v>
      </c>
      <c r="J166" s="9" t="str">
        <f t="array" ref="J166">IF(
  AND(
    IFERROR(MATCH(B166, data!D:D, 0), 0) &gt; 0,
    IFERROR(INDEX(data!N:N, MATCH(B166, data!D:D, 0)) = 1, FALSE)
  ),
  INDEX(data!C:C, MATCH(B166, data!D:D, 0)),
  "INC"
)</f>
        <v>2025-09-13T13:58:03.356+08</v>
      </c>
      <c r="K166" s="9" t="str">
        <f t="array" ref="K166">IFERROR(INDEX(dataICM!C:C,match(Caseslist!B166,dataICM!D:D,0)), "INC")</f>
        <v>2025-09-13T18:21:37.765+08</v>
      </c>
      <c r="L166" s="10" t="str">
        <f t="array" ref="L166">IF(AND(G166="COMPLETE", OR(K166="INC", ISBLANK(INDEX(data!O:O, ROW())))), J166, K166)</f>
        <v>2025-09-13T18:21:37.765+08</v>
      </c>
      <c r="M166" s="2">
        <v>45913.0</v>
      </c>
      <c r="N166" s="2">
        <f t="array" ref="N166">IF(M166&lt;&gt;"INC", INDEX(data!M:M, MATCH(B166, data!D:D, 0)), "")</f>
        <v>3</v>
      </c>
      <c r="O166" s="2">
        <f t="shared" si="3"/>
        <v>3</v>
      </c>
    </row>
    <row r="167">
      <c r="A167" s="2" t="str">
        <f t="shared" si="1"/>
        <v>H004344</v>
      </c>
      <c r="B167" s="1" t="s">
        <v>6133</v>
      </c>
      <c r="C167" s="9" t="str">
        <f t="array" ref="C167">IF(
  AND(
    IFERROR(MATCH(Caseslist!B167, data!D:D, 0), 0) &gt; 0,
    IFERROR(INDEX(data!N:N, MATCH(Caseslist!B167, data!D:D, 0)) = 1, FALSE)
  ),
  "COMPLETE",
  "INC"
)</f>
        <v>COMPLETE</v>
      </c>
      <c r="D167" s="9">
        <f t="array" ref="D167">IFERROR(INDEX(data!$G:$G,match(Caseslist!B167,data!$D:$D,0)), "INC")</f>
        <v>859767</v>
      </c>
      <c r="E167" s="9" t="str">
        <f t="array" ref="E167">IFERROR(INDEX(data!H:H,match(Caseslist!B167,data!D:D,0)), "INC")</f>
        <v>Ramie De Pedro Jr._2</v>
      </c>
      <c r="F167" s="10" t="str">
        <f t="array" ref="F167">IF(
    OR(
      IFNA(INDEX(data!M:M, MATCH(Caseslist!B167, data!D:D, 0)), "") = "",
      IFNA(INDEX(data!M:M, MATCH(Caseslist!B167, data!D:D, 0)), 0) = 0
    ),
    "COMPLETE",
    IF(
      IFNA(INDEX(dataICM!D:D, MATCH(Caseslist!B167, dataICM!D:D, 0)), "INC") = "INC",
      IFNA(INDEX(dataICM!D:D, MATCH(Caseslist!B167, dataICM!D:D, 0)), "INC"),
      "COMPLETE"
    )
  )</f>
        <v>COMPLETE</v>
      </c>
      <c r="G167" s="10" t="str">
        <f t="array" ref="G167">IF(IFERROR(INDEX(data!L:L,match(Caseslist!B167,data!D:D,0)),"INC")="","COMPLETE",F167)</f>
        <v>COMPLETE</v>
      </c>
      <c r="H167" s="9" t="str">
        <f t="array" ref="H167">IFERROR(INDEX(dataICM!F:F,match(Caseslist!B167,dataICM!D:D,0)), "INC")</f>
        <v>Ramie De Pedro Jr._2</v>
      </c>
      <c r="I167" s="10">
        <f t="shared" si="2"/>
        <v>859767</v>
      </c>
      <c r="J167" s="9" t="str">
        <f t="array" ref="J167">IF(
  AND(
    IFERROR(MATCH(B167, data!D:D, 0), 0) &gt; 0,
    IFERROR(INDEX(data!N:N, MATCH(B167, data!D:D, 0)) = 1, FALSE)
  ),
  INDEX(data!C:C, MATCH(B167, data!D:D, 0)),
  "INC"
)</f>
        <v>2025-09-25T15:19:55.962+08</v>
      </c>
      <c r="K167" s="9" t="str">
        <f t="array" ref="K167">IFERROR(INDEX(dataICM!C:C,match(Caseslist!B167,dataICM!D:D,0)), "INC")</f>
        <v>2025-09-25T15:29:54.445+08</v>
      </c>
      <c r="L167" s="10" t="str">
        <f t="array" ref="L167">IF(AND(G167="COMPLETE", OR(K167="INC", ISBLANK(INDEX(data!O:O, ROW())))), J167, K167)</f>
        <v>2025-09-25T15:29:54.445+08</v>
      </c>
      <c r="M167" s="2">
        <v>45925.0</v>
      </c>
      <c r="N167" s="2">
        <f t="array" ref="N167">IF(M167&lt;&gt;"INC", INDEX(data!M:M, MATCH(B167, data!D:D, 0)), "")</f>
        <v>3</v>
      </c>
      <c r="O167" s="2">
        <f t="shared" si="3"/>
        <v>3</v>
      </c>
    </row>
    <row r="168">
      <c r="A168" s="2" t="str">
        <f t="shared" si="1"/>
        <v>H004344</v>
      </c>
      <c r="B168" s="1" t="s">
        <v>6163</v>
      </c>
      <c r="C168" s="9" t="str">
        <f t="array" ref="C168">IF(
  AND(
    IFERROR(MATCH(Caseslist!B168, data!D:D, 0), 0) &gt; 0,
    IFERROR(INDEX(data!N:N, MATCH(Caseslist!B168, data!D:D, 0)) = 1, FALSE)
  ),
  "COMPLETE",
  "INC"
)</f>
        <v>COMPLETE</v>
      </c>
      <c r="D168" s="9" t="str">
        <f t="array" ref="D168">IFERROR(INDEX(data!$G:$G,match(Caseslist!B168,data!$D:$D,0)), "INC")</f>
        <v>S2671943</v>
      </c>
      <c r="E168" s="9" t="str">
        <f t="array" ref="E168">IFERROR(INDEX(data!H:H,match(Caseslist!B168,data!D:D,0)), "INC")</f>
        <v>Marvin Mondia</v>
      </c>
      <c r="F168" s="10" t="str">
        <f t="array" ref="F168">IF(
    OR(
      IFNA(INDEX(data!M:M, MATCH(Caseslist!B168, data!D:D, 0)), "") = "",
      IFNA(INDEX(data!M:M, MATCH(Caseslist!B168, data!D:D, 0)), 0) = 0
    ),
    "COMPLETE",
    IF(
      IFNA(INDEX(dataICM!D:D, MATCH(Caseslist!B168, dataICM!D:D, 0)), "INC") = "INC",
      IFNA(INDEX(dataICM!D:D, MATCH(Caseslist!B168, dataICM!D:D, 0)), "INC"),
      "COMPLETE"
    )
  )</f>
        <v>COMPLETE</v>
      </c>
      <c r="G168" s="10" t="str">
        <f t="array" ref="G168">IF(IFERROR(INDEX(data!L:L,match(Caseslist!B168,data!D:D,0)),"INC")="","COMPLETE",F168)</f>
        <v>COMPLETE</v>
      </c>
      <c r="H168" s="9" t="str">
        <f t="array" ref="H168">IFERROR(INDEX(dataICM!F:F,match(Caseslist!B168,dataICM!D:D,0)), "INC")</f>
        <v>Marvin Mondia</v>
      </c>
      <c r="I168" s="10" t="str">
        <f t="shared" si="2"/>
        <v>S2671943</v>
      </c>
      <c r="J168" s="9" t="str">
        <f t="array" ref="J168">IF(
  AND(
    IFERROR(MATCH(B168, data!D:D, 0), 0) &gt; 0,
    IFERROR(INDEX(data!N:N, MATCH(B168, data!D:D, 0)) = 1, FALSE)
  ),
  INDEX(data!C:C, MATCH(B168, data!D:D, 0)),
  "INC"
)</f>
        <v>2025-09-13T16:39:08.136+08</v>
      </c>
      <c r="K168" s="9" t="str">
        <f t="array" ref="K168">IFERROR(INDEX(dataICM!C:C,match(Caseslist!B168,dataICM!D:D,0)), "INC")</f>
        <v>2025-09-13T16:44:24.847+08</v>
      </c>
      <c r="L168" s="10" t="str">
        <f t="array" ref="L168">IF(AND(G168="COMPLETE", OR(K168="INC", ISBLANK(INDEX(data!O:O, ROW())))), J168, K168)</f>
        <v>2025-09-13T16:44:24.847+08</v>
      </c>
      <c r="M168" s="2">
        <v>45913.0</v>
      </c>
      <c r="N168" s="2">
        <f t="array" ref="N168">IF(M168&lt;&gt;"INC", INDEX(data!M:M, MATCH(B168, data!D:D, 0)), "")</f>
        <v>3</v>
      </c>
      <c r="O168" s="2">
        <f t="shared" si="3"/>
        <v>3</v>
      </c>
    </row>
    <row r="169">
      <c r="A169" s="2" t="str">
        <f t="shared" si="1"/>
        <v>H004344</v>
      </c>
      <c r="B169" s="1" t="s">
        <v>6093</v>
      </c>
      <c r="C169" s="9" t="str">
        <f t="array" ref="C169">IF(
  AND(
    IFERROR(MATCH(Caseslist!B169, data!D:D, 0), 0) &gt; 0,
    IFERROR(INDEX(data!N:N, MATCH(Caseslist!B169, data!D:D, 0)) = 1, FALSE)
  ),
  "COMPLETE",
  "INC"
)</f>
        <v>COMPLETE</v>
      </c>
      <c r="D169" s="9">
        <f t="array" ref="D169">IFERROR(INDEX(data!$G:$G,match(Caseslist!B169,data!$D:$D,0)), "INC")</f>
        <v>729375</v>
      </c>
      <c r="E169" s="9" t="str">
        <f t="array" ref="E169">IFERROR(INDEX(data!H:H,match(Caseslist!B169,data!D:D,0)), "INC")</f>
        <v>Janet Serafica_2</v>
      </c>
      <c r="F169" s="10" t="str">
        <f t="array" ref="F169">IF(
    OR(
      IFNA(INDEX(data!M:M, MATCH(Caseslist!B169, data!D:D, 0)), "") = "",
      IFNA(INDEX(data!M:M, MATCH(Caseslist!B169, data!D:D, 0)), 0) = 0
    ),
    "COMPLETE",
    IF(
      IFNA(INDEX(dataICM!D:D, MATCH(Caseslist!B169, dataICM!D:D, 0)), "INC") = "INC",
      IFNA(INDEX(dataICM!D:D, MATCH(Caseslist!B169, dataICM!D:D, 0)), "INC"),
      "COMPLETE"
    )
  )</f>
        <v>COMPLETE</v>
      </c>
      <c r="G169" s="10" t="str">
        <f t="array" ref="G169">IF(IFERROR(INDEX(data!L:L,match(Caseslist!B169,data!D:D,0)),"INC")="","COMPLETE",F169)</f>
        <v>COMPLETE</v>
      </c>
      <c r="H169" s="9" t="str">
        <f t="array" ref="H169">IFERROR(INDEX(dataICM!F:F,match(Caseslist!B169,dataICM!D:D,0)), "INC")</f>
        <v>Janet Serafica_2</v>
      </c>
      <c r="I169" s="10">
        <f t="shared" si="2"/>
        <v>729375</v>
      </c>
      <c r="J169" s="9" t="str">
        <f t="array" ref="J169">IF(
  AND(
    IFERROR(MATCH(B169, data!D:D, 0), 0) &gt; 0,
    IFERROR(INDEX(data!N:N, MATCH(B169, data!D:D, 0)) = 1, FALSE)
  ),
  INDEX(data!C:C, MATCH(B169, data!D:D, 0)),
  "INC"
)</f>
        <v>2025-09-13T10:54:41.938+08</v>
      </c>
      <c r="K169" s="9" t="str">
        <f t="array" ref="K169">IFERROR(INDEX(dataICM!C:C,match(Caseslist!B169,dataICM!D:D,0)), "INC")</f>
        <v>2025-09-13T11:05:00.526+08</v>
      </c>
      <c r="L169" s="10" t="str">
        <f t="array" ref="L169">IF(AND(G169="COMPLETE", OR(K169="INC", ISBLANK(INDEX(data!O:O, ROW())))), J169, K169)</f>
        <v>2025-09-13T11:05:00.526+08</v>
      </c>
      <c r="M169" s="2">
        <v>45913.0</v>
      </c>
      <c r="N169" s="2">
        <f t="array" ref="N169">IF(M169&lt;&gt;"INC", INDEX(data!M:M, MATCH(B169, data!D:D, 0)), "")</f>
        <v>3</v>
      </c>
      <c r="O169" s="2">
        <f t="shared" si="3"/>
        <v>3</v>
      </c>
    </row>
    <row r="170">
      <c r="A170" s="2" t="str">
        <f t="shared" si="1"/>
        <v>H004344</v>
      </c>
      <c r="B170" s="1" t="s">
        <v>6098</v>
      </c>
      <c r="C170" s="9" t="str">
        <f t="array" ref="C170">IF(
  AND(
    IFERROR(MATCH(Caseslist!B170, data!D:D, 0), 0) &gt; 0,
    IFERROR(INDEX(data!N:N, MATCH(Caseslist!B170, data!D:D, 0)) = 1, FALSE)
  ),
  "COMPLETE",
  "INC"
)</f>
        <v>COMPLETE</v>
      </c>
      <c r="D170" s="9">
        <f t="array" ref="D170">IFERROR(INDEX(data!$G:$G,match(Caseslist!B170,data!$D:$D,0)), "INC")</f>
        <v>729375</v>
      </c>
      <c r="E170" s="9" t="str">
        <f t="array" ref="E170">IFERROR(INDEX(data!H:H,match(Caseslist!B170,data!D:D,0)), "INC")</f>
        <v>Janet Serafica_2</v>
      </c>
      <c r="F170" s="10" t="str">
        <f t="array" ref="F170">IF(
    OR(
      IFNA(INDEX(data!M:M, MATCH(Caseslist!B170, data!D:D, 0)), "") = "",
      IFNA(INDEX(data!M:M, MATCH(Caseslist!B170, data!D:D, 0)), 0) = 0
    ),
    "COMPLETE",
    IF(
      IFNA(INDEX(dataICM!D:D, MATCH(Caseslist!B170, dataICM!D:D, 0)), "INC") = "INC",
      IFNA(INDEX(dataICM!D:D, MATCH(Caseslist!B170, dataICM!D:D, 0)), "INC"),
      "COMPLETE"
    )
  )</f>
        <v>COMPLETE</v>
      </c>
      <c r="G170" s="10" t="str">
        <f t="array" ref="G170">IF(IFERROR(INDEX(data!L:L,match(Caseslist!B170,data!D:D,0)),"INC")="","COMPLETE",F170)</f>
        <v>COMPLETE</v>
      </c>
      <c r="H170" s="9" t="str">
        <f t="array" ref="H170">IFERROR(INDEX(dataICM!F:F,match(Caseslist!B170,dataICM!D:D,0)), "INC")</f>
        <v>Janet Serafica_2</v>
      </c>
      <c r="I170" s="10">
        <f t="shared" si="2"/>
        <v>729375</v>
      </c>
      <c r="J170" s="9" t="str">
        <f t="array" ref="J170">IF(
  AND(
    IFERROR(MATCH(B170, data!D:D, 0), 0) &gt; 0,
    IFERROR(INDEX(data!N:N, MATCH(B170, data!D:D, 0)) = 1, FALSE)
  ),
  INDEX(data!C:C, MATCH(B170, data!D:D, 0)),
  "INC"
)</f>
        <v>2025-09-13T14:12:40.463+08</v>
      </c>
      <c r="K170" s="9" t="str">
        <f t="array" ref="K170">IFERROR(INDEX(dataICM!C:C,match(Caseslist!B170,dataICM!D:D,0)), "INC")</f>
        <v>2025-09-13T14:20:46.817+08</v>
      </c>
      <c r="L170" s="10" t="str">
        <f t="array" ref="L170">IF(AND(G170="COMPLETE", OR(K170="INC", ISBLANK(INDEX(data!O:O, ROW())))), J170, K170)</f>
        <v>2025-09-13T14:20:46.817+08</v>
      </c>
      <c r="M170" s="2">
        <v>45913.0</v>
      </c>
      <c r="N170" s="2">
        <f t="array" ref="N170">IF(M170&lt;&gt;"INC", INDEX(data!M:M, MATCH(B170, data!D:D, 0)), "")</f>
        <v>3</v>
      </c>
      <c r="O170" s="2">
        <f t="shared" si="3"/>
        <v>3</v>
      </c>
    </row>
    <row r="171">
      <c r="A171" s="2" t="str">
        <f t="shared" si="1"/>
        <v>H004344</v>
      </c>
      <c r="B171" s="1" t="s">
        <v>6158</v>
      </c>
      <c r="C171" s="9" t="str">
        <f t="array" ref="C171">IF(
  AND(
    IFERROR(MATCH(Caseslist!B171, data!D:D, 0), 0) &gt; 0,
    IFERROR(INDEX(data!N:N, MATCH(Caseslist!B171, data!D:D, 0)) = 1, FALSE)
  ),
  "COMPLETE",
  "INC"
)</f>
        <v>COMPLETE</v>
      </c>
      <c r="D171" s="9" t="str">
        <f t="array" ref="D171">IFERROR(INDEX(data!$G:$G,match(Caseslist!B171,data!$D:$D,0)), "INC")</f>
        <v>S2671943</v>
      </c>
      <c r="E171" s="9" t="str">
        <f t="array" ref="E171">IFERROR(INDEX(data!H:H,match(Caseslist!B171,data!D:D,0)), "INC")</f>
        <v>Marvin Mondia</v>
      </c>
      <c r="F171" s="10" t="str">
        <f t="array" ref="F171">IF(
    OR(
      IFNA(INDEX(data!M:M, MATCH(Caseslist!B171, data!D:D, 0)), "") = "",
      IFNA(INDEX(data!M:M, MATCH(Caseslist!B171, data!D:D, 0)), 0) = 0
    ),
    "COMPLETE",
    IF(
      IFNA(INDEX(dataICM!D:D, MATCH(Caseslist!B171, dataICM!D:D, 0)), "INC") = "INC",
      IFNA(INDEX(dataICM!D:D, MATCH(Caseslist!B171, dataICM!D:D, 0)), "INC"),
      "COMPLETE"
    )
  )</f>
        <v>COMPLETE</v>
      </c>
      <c r="G171" s="10" t="str">
        <f t="array" ref="G171">IF(IFERROR(INDEX(data!L:L,match(Caseslist!B171,data!D:D,0)),"INC")="","COMPLETE",F171)</f>
        <v>COMPLETE</v>
      </c>
      <c r="H171" s="9" t="str">
        <f t="array" ref="H171">IFERROR(INDEX(dataICM!F:F,match(Caseslist!B171,dataICM!D:D,0)), "INC")</f>
        <v>Marvin Mondia</v>
      </c>
      <c r="I171" s="10" t="str">
        <f t="shared" si="2"/>
        <v>S2671943</v>
      </c>
      <c r="J171" s="9" t="str">
        <f t="array" ref="J171">IF(
  AND(
    IFERROR(MATCH(B171, data!D:D, 0), 0) &gt; 0,
    IFERROR(INDEX(data!N:N, MATCH(B171, data!D:D, 0)) = 1, FALSE)
  ),
  INDEX(data!C:C, MATCH(B171, data!D:D, 0)),
  "INC"
)</f>
        <v>2025-09-13T14:45:50.578+08</v>
      </c>
      <c r="K171" s="9" t="str">
        <f t="array" ref="K171">IFERROR(INDEX(dataICM!C:C,match(Caseslist!B171,dataICM!D:D,0)), "INC")</f>
        <v>2025-09-13T14:50:43.326+08</v>
      </c>
      <c r="L171" s="10" t="str">
        <f t="array" ref="L171">IF(AND(G171="COMPLETE", OR(K171="INC", ISBLANK(INDEX(data!O:O, ROW())))), J171, K171)</f>
        <v>2025-09-13T14:50:43.326+08</v>
      </c>
      <c r="M171" s="2">
        <v>45913.0</v>
      </c>
      <c r="N171" s="2">
        <f t="array" ref="N171">IF(M171&lt;&gt;"INC", INDEX(data!M:M, MATCH(B171, data!D:D, 0)), "")</f>
        <v>3</v>
      </c>
      <c r="O171" s="2">
        <f t="shared" si="3"/>
        <v>3</v>
      </c>
    </row>
    <row r="172">
      <c r="A172" s="2" t="str">
        <f t="shared" si="1"/>
        <v>H004380</v>
      </c>
      <c r="B172" s="1" t="s">
        <v>7723</v>
      </c>
      <c r="C172" s="9" t="str">
        <f t="array" ref="C172">IF(
  AND(
    IFERROR(MATCH(Caseslist!B172, data!D:D, 0), 0) &gt; 0,
    IFERROR(INDEX(data!N:N, MATCH(Caseslist!B172, data!D:D, 0)) = 1, FALSE)
  ),
  "COMPLETE",
  "INC"
)</f>
        <v>COMPLETE</v>
      </c>
      <c r="D172" s="9" t="str">
        <f t="array" ref="D172">IFERROR(INDEX(data!$G:$G,match(Caseslist!B172,data!$D:$D,0)), "INC")</f>
        <v>S2671943</v>
      </c>
      <c r="E172" s="9" t="str">
        <f t="array" ref="E172">IFERROR(INDEX(data!H:H,match(Caseslist!B172,data!D:D,0)), "INC")</f>
        <v>Marvin Mondia</v>
      </c>
      <c r="F172" s="10" t="str">
        <f t="array" ref="F172">IF(
    OR(
      IFNA(INDEX(data!M:M, MATCH(Caseslist!B172, data!D:D, 0)), "") = "",
      IFNA(INDEX(data!M:M, MATCH(Caseslist!B172, data!D:D, 0)), 0) = 0
    ),
    "COMPLETE",
    IF(
      IFNA(INDEX(dataICM!D:D, MATCH(Caseslist!B172, dataICM!D:D, 0)), "INC") = "INC",
      IFNA(INDEX(dataICM!D:D, MATCH(Caseslist!B172, dataICM!D:D, 0)), "INC"),
      "COMPLETE"
    )
  )</f>
        <v>COMPLETE</v>
      </c>
      <c r="G172" s="10" t="str">
        <f t="array" ref="G172">IF(IFERROR(INDEX(data!L:L,match(Caseslist!B172,data!D:D,0)),"INC")="","COMPLETE",F172)</f>
        <v>COMPLETE</v>
      </c>
      <c r="H172" s="9" t="str">
        <f t="array" ref="H172">IFERROR(INDEX(dataICM!F:F,match(Caseslist!B172,dataICM!D:D,0)), "INC")</f>
        <v>Marvin Mondia</v>
      </c>
      <c r="I172" s="10" t="str">
        <f t="shared" si="2"/>
        <v>S2671943</v>
      </c>
      <c r="J172" s="9" t="str">
        <f t="array" ref="J172">IF(
  AND(
    IFERROR(MATCH(B172, data!D:D, 0), 0) &gt; 0,
    IFERROR(INDEX(data!N:N, MATCH(B172, data!D:D, 0)) = 1, FALSE)
  ),
  INDEX(data!C:C, MATCH(B172, data!D:D, 0)),
  "INC"
)</f>
        <v>2025-09-20T10:14:21.949+08</v>
      </c>
      <c r="K172" s="9" t="str">
        <f t="array" ref="K172">IFERROR(INDEX(dataICM!C:C,match(Caseslist!B172,dataICM!D:D,0)), "INC")</f>
        <v>2025-09-20T10:16:10.777+08</v>
      </c>
      <c r="L172" s="10" t="str">
        <f t="array" ref="L172">IF(AND(G172="COMPLETE", OR(K172="INC", ISBLANK(INDEX(data!O:O, ROW())))), J172, K172)</f>
        <v>2025-09-20T10:16:10.777+08</v>
      </c>
      <c r="M172" s="2">
        <v>45920.0</v>
      </c>
      <c r="N172" s="2">
        <f t="array" ref="N172">IF(M172&lt;&gt;"INC", INDEX(data!M:M, MATCH(B172, data!D:D, 0)), "")</f>
        <v>1</v>
      </c>
      <c r="O172" s="2">
        <f t="shared" si="3"/>
        <v>1</v>
      </c>
    </row>
    <row r="173">
      <c r="A173" s="2" t="str">
        <f t="shared" si="1"/>
        <v>H004380</v>
      </c>
      <c r="B173" s="1" t="s">
        <v>7598</v>
      </c>
      <c r="C173" s="9" t="str">
        <f t="array" ref="C173">IF(
  AND(
    IFERROR(MATCH(Caseslist!B173, data!D:D, 0), 0) &gt; 0,
    IFERROR(INDEX(data!N:N, MATCH(Caseslist!B173, data!D:D, 0)) = 1, FALSE)
  ),
  "COMPLETE",
  "INC"
)</f>
        <v>COMPLETE</v>
      </c>
      <c r="D173" s="9" t="str">
        <f t="array" ref="D173">IFERROR(INDEX(data!$G:$G,match(Caseslist!B173,data!$D:$D,0)), "INC")</f>
        <v>S2671943</v>
      </c>
      <c r="E173" s="9" t="str">
        <f t="array" ref="E173">IFERROR(INDEX(data!H:H,match(Caseslist!B173,data!D:D,0)), "INC")</f>
        <v>Marvin Mondia</v>
      </c>
      <c r="F173" s="10" t="str">
        <f t="array" ref="F173">IF(
    OR(
      IFNA(INDEX(data!M:M, MATCH(Caseslist!B173, data!D:D, 0)), "") = "",
      IFNA(INDEX(data!M:M, MATCH(Caseslist!B173, data!D:D, 0)), 0) = 0
    ),
    "COMPLETE",
    IF(
      IFNA(INDEX(dataICM!D:D, MATCH(Caseslist!B173, dataICM!D:D, 0)), "INC") = "INC",
      IFNA(INDEX(dataICM!D:D, MATCH(Caseslist!B173, dataICM!D:D, 0)), "INC"),
      "COMPLETE"
    )
  )</f>
        <v>COMPLETE</v>
      </c>
      <c r="G173" s="10" t="str">
        <f t="array" ref="G173">IF(IFERROR(INDEX(data!L:L,match(Caseslist!B173,data!D:D,0)),"INC")="","COMPLETE",F173)</f>
        <v>COMPLETE</v>
      </c>
      <c r="H173" s="9" t="str">
        <f t="array" ref="H173">IFERROR(INDEX(dataICM!F:F,match(Caseslist!B173,dataICM!D:D,0)), "INC")</f>
        <v>Marvin Mondia</v>
      </c>
      <c r="I173" s="10" t="str">
        <f t="shared" si="2"/>
        <v>S2671943</v>
      </c>
      <c r="J173" s="9" t="str">
        <f t="array" ref="J173">IF(
  AND(
    IFERROR(MATCH(B173, data!D:D, 0), 0) &gt; 0,
    IFERROR(INDEX(data!N:N, MATCH(B173, data!D:D, 0)) = 1, FALSE)
  ),
  INDEX(data!C:C, MATCH(B173, data!D:D, 0)),
  "INC"
)</f>
        <v>2025-09-19T11:51:17.098+08</v>
      </c>
      <c r="K173" s="9" t="str">
        <f t="array" ref="K173">IFERROR(INDEX(dataICM!C:C,match(Caseslist!B173,dataICM!D:D,0)), "INC")</f>
        <v>2025-09-19T11:54:28.608+08</v>
      </c>
      <c r="L173" s="10" t="str">
        <f t="array" ref="L173">IF(AND(G173="COMPLETE", OR(K173="INC", ISBLANK(INDEX(data!O:O, ROW())))), J173, K173)</f>
        <v>2025-09-19T11:54:28.608+08</v>
      </c>
      <c r="M173" s="2">
        <v>45919.0</v>
      </c>
      <c r="N173" s="2">
        <f t="array" ref="N173">IF(M173&lt;&gt;"INC", INDEX(data!M:M, MATCH(B173, data!D:D, 0)), "")</f>
        <v>1</v>
      </c>
      <c r="O173" s="2">
        <f t="shared" si="3"/>
        <v>1</v>
      </c>
    </row>
    <row r="174">
      <c r="A174" s="2" t="str">
        <f t="shared" si="1"/>
        <v>H004380</v>
      </c>
      <c r="B174" s="1" t="s">
        <v>7758</v>
      </c>
      <c r="C174" s="9" t="str">
        <f t="array" ref="C174">IF(
  AND(
    IFERROR(MATCH(Caseslist!B174, data!D:D, 0), 0) &gt; 0,
    IFERROR(INDEX(data!N:N, MATCH(Caseslist!B174, data!D:D, 0)) = 1, FALSE)
  ),
  "COMPLETE",
  "INC"
)</f>
        <v>COMPLETE</v>
      </c>
      <c r="D174" s="9">
        <f t="array" ref="D174">IFERROR(INDEX(data!$G:$G,match(Caseslist!B174,data!$D:$D,0)), "INC")</f>
        <v>729375</v>
      </c>
      <c r="E174" s="9" t="str">
        <f t="array" ref="E174">IFERROR(INDEX(data!H:H,match(Caseslist!B174,data!D:D,0)), "INC")</f>
        <v>Janet Serafica_2</v>
      </c>
      <c r="F174" s="10" t="str">
        <f t="array" ref="F174">IF(
    OR(
      IFNA(INDEX(data!M:M, MATCH(Caseslist!B174, data!D:D, 0)), "") = "",
      IFNA(INDEX(data!M:M, MATCH(Caseslist!B174, data!D:D, 0)), 0) = 0
    ),
    "COMPLETE",
    IF(
      IFNA(INDEX(dataICM!D:D, MATCH(Caseslist!B174, dataICM!D:D, 0)), "INC") = "INC",
      IFNA(INDEX(dataICM!D:D, MATCH(Caseslist!B174, dataICM!D:D, 0)), "INC"),
      "COMPLETE"
    )
  )</f>
        <v>COMPLETE</v>
      </c>
      <c r="G174" s="10" t="str">
        <f t="array" ref="G174">IF(IFERROR(INDEX(data!L:L,match(Caseslist!B174,data!D:D,0)),"INC")="","COMPLETE",F174)</f>
        <v>COMPLETE</v>
      </c>
      <c r="H174" s="9" t="str">
        <f t="array" ref="H174">IFERROR(INDEX(dataICM!F:F,match(Caseslist!B174,dataICM!D:D,0)), "INC")</f>
        <v>Janet Serafica_2</v>
      </c>
      <c r="I174" s="10">
        <f t="shared" si="2"/>
        <v>729375</v>
      </c>
      <c r="J174" s="9" t="str">
        <f t="array" ref="J174">IF(
  AND(
    IFERROR(MATCH(B174, data!D:D, 0), 0) &gt; 0,
    IFERROR(INDEX(data!N:N, MATCH(B174, data!D:D, 0)) = 1, FALSE)
  ),
  INDEX(data!C:C, MATCH(B174, data!D:D, 0)),
  "INC"
)</f>
        <v>2025-09-20T09:08:42.869+08</v>
      </c>
      <c r="K174" s="9" t="str">
        <f t="array" ref="K174">IFERROR(INDEX(dataICM!C:C,match(Caseslist!B174,dataICM!D:D,0)), "INC")</f>
        <v>2025-09-20T09:25:26.276+08</v>
      </c>
      <c r="L174" s="10" t="str">
        <f t="array" ref="L174">IF(AND(G174="COMPLETE", OR(K174="INC", ISBLANK(INDEX(data!O:O, ROW())))), J174, K174)</f>
        <v>2025-09-20T09:25:26.276+08</v>
      </c>
      <c r="M174" s="2">
        <v>45920.0</v>
      </c>
      <c r="N174" s="2">
        <f t="array" ref="N174">IF(M174&lt;&gt;"INC", INDEX(data!M:M, MATCH(B174, data!D:D, 0)), "")</f>
        <v>1</v>
      </c>
      <c r="O174" s="2">
        <f t="shared" si="3"/>
        <v>1</v>
      </c>
    </row>
    <row r="175">
      <c r="A175" s="2" t="str">
        <f t="shared" si="1"/>
        <v>H004380</v>
      </c>
      <c r="B175" s="1" t="s">
        <v>7738</v>
      </c>
      <c r="C175" s="9" t="str">
        <f t="array" ref="C175">IF(
  AND(
    IFERROR(MATCH(Caseslist!B175, data!D:D, 0), 0) &gt; 0,
    IFERROR(INDEX(data!N:N, MATCH(Caseslist!B175, data!D:D, 0)) = 1, FALSE)
  ),
  "COMPLETE",
  "INC"
)</f>
        <v>COMPLETE</v>
      </c>
      <c r="D175" s="9">
        <f t="array" ref="D175">IFERROR(INDEX(data!$G:$G,match(Caseslist!B175,data!$D:$D,0)), "INC")</f>
        <v>859767</v>
      </c>
      <c r="E175" s="9" t="str">
        <f t="array" ref="E175">IFERROR(INDEX(data!H:H,match(Caseslist!B175,data!D:D,0)), "INC")</f>
        <v>Ramie De Pedro Jr._2</v>
      </c>
      <c r="F175" s="10" t="str">
        <f t="array" ref="F175">IF(
    OR(
      IFNA(INDEX(data!M:M, MATCH(Caseslist!B175, data!D:D, 0)), "") = "",
      IFNA(INDEX(data!M:M, MATCH(Caseslist!B175, data!D:D, 0)), 0) = 0
    ),
    "COMPLETE",
    IF(
      IFNA(INDEX(dataICM!D:D, MATCH(Caseslist!B175, dataICM!D:D, 0)), "INC") = "INC",
      IFNA(INDEX(dataICM!D:D, MATCH(Caseslist!B175, dataICM!D:D, 0)), "INC"),
      "COMPLETE"
    )
  )</f>
        <v>COMPLETE</v>
      </c>
      <c r="G175" s="10" t="str">
        <f t="array" ref="G175">IF(IFERROR(INDEX(data!L:L,match(Caseslist!B175,data!D:D,0)),"INC")="","COMPLETE",F175)</f>
        <v>COMPLETE</v>
      </c>
      <c r="H175" s="9" t="str">
        <f t="array" ref="H175">IFERROR(INDEX(dataICM!F:F,match(Caseslist!B175,dataICM!D:D,0)), "INC")</f>
        <v>Ramie De Pedro Jr._2</v>
      </c>
      <c r="I175" s="10">
        <f t="shared" si="2"/>
        <v>859767</v>
      </c>
      <c r="J175" s="9" t="str">
        <f t="array" ref="J175">IF(
  AND(
    IFERROR(MATCH(B175, data!D:D, 0), 0) &gt; 0,
    IFERROR(INDEX(data!N:N, MATCH(B175, data!D:D, 0)) = 1, FALSE)
  ),
  INDEX(data!C:C, MATCH(B175, data!D:D, 0)),
  "INC"
)</f>
        <v>2025-09-20T11:49:42.963+08</v>
      </c>
      <c r="K175" s="9" t="str">
        <f t="array" ref="K175">IFERROR(INDEX(dataICM!C:C,match(Caseslist!B175,dataICM!D:D,0)), "INC")</f>
        <v>2025-09-20T17:08:34.248+08</v>
      </c>
      <c r="L175" s="10" t="str">
        <f t="array" ref="L175">IF(AND(G175="COMPLETE", OR(K175="INC", ISBLANK(INDEX(data!O:O, ROW())))), J175, K175)</f>
        <v>2025-09-20T17:08:34.248+08</v>
      </c>
      <c r="M175" s="2">
        <v>45920.0</v>
      </c>
      <c r="N175" s="2">
        <f t="array" ref="N175">IF(M175&lt;&gt;"INC", INDEX(data!M:M, MATCH(B175, data!D:D, 0)), "")</f>
        <v>1</v>
      </c>
      <c r="O175" s="2">
        <f t="shared" si="3"/>
        <v>1</v>
      </c>
    </row>
    <row r="176">
      <c r="A176" s="2" t="str">
        <f t="shared" si="1"/>
        <v>H004380</v>
      </c>
      <c r="B176" s="1" t="s">
        <v>8178</v>
      </c>
      <c r="C176" s="9" t="str">
        <f t="array" ref="C176">IF(
  AND(
    IFERROR(MATCH(Caseslist!B176, data!D:D, 0), 0) &gt; 0,
    IFERROR(INDEX(data!N:N, MATCH(Caseslist!B176, data!D:D, 0)) = 1, FALSE)
  ),
  "COMPLETE",
  "INC"
)</f>
        <v>INC</v>
      </c>
      <c r="D176" s="9">
        <f t="array" ref="D176">IFERROR(INDEX(data!$G:$G,match(Caseslist!B176,data!$D:$D,0)), "INC")</f>
        <v>729375</v>
      </c>
      <c r="E176" s="9" t="str">
        <f t="array" ref="E176">IFERROR(INDEX(data!H:H,match(Caseslist!B176,data!D:D,0)), "INC")</f>
        <v>Janet Serafica_2</v>
      </c>
      <c r="F176" s="10" t="str">
        <f t="array" ref="F176">IF(
    OR(
      IFNA(INDEX(data!M:M, MATCH(Caseslist!B176, data!D:D, 0)), "") = "",
      IFNA(INDEX(data!M:M, MATCH(Caseslist!B176, data!D:D, 0)), 0) = 0
    ),
    "COMPLETE",
    IF(
      IFNA(INDEX(dataICM!D:D, MATCH(Caseslist!B176, dataICM!D:D, 0)), "INC") = "INC",
      IFNA(INDEX(dataICM!D:D, MATCH(Caseslist!B176, dataICM!D:D, 0)), "INC"),
      "COMPLETE"
    )
  )</f>
        <v>INC</v>
      </c>
      <c r="G176" s="10" t="str">
        <f t="array" ref="G176">IF(IFERROR(INDEX(data!L:L,match(Caseslist!B176,data!D:D,0)),"INC")="","COMPLETE",F176)</f>
        <v>INC</v>
      </c>
      <c r="H176" s="9" t="str">
        <f t="array" ref="H176">IFERROR(INDEX(dataICM!F:F,match(Caseslist!B176,dataICM!D:D,0)), "INC")</f>
        <v>INC</v>
      </c>
      <c r="I176" s="10" t="str">
        <f t="shared" si="2"/>
        <v>INC</v>
      </c>
      <c r="J176" s="9" t="str">
        <f t="array" ref="J176">IF(
  AND(
    IFERROR(MATCH(B176, data!D:D, 0), 0) &gt; 0,
    IFERROR(INDEX(data!N:N, MATCH(B176, data!D:D, 0)) = 1, FALSE)
  ),
  INDEX(data!C:C, MATCH(B176, data!D:D, 0)),
  "INC"
)</f>
        <v>INC</v>
      </c>
      <c r="K176" s="9" t="str">
        <f t="array" ref="K176">IFERROR(INDEX(dataICM!C:C,match(Caseslist!B176,dataICM!D:D,0)), "INC")</f>
        <v>INC</v>
      </c>
      <c r="L176" s="10" t="str">
        <f t="array" ref="L176">IF(AND(G176="COMPLETE", OR(K176="INC", ISBLANK(INDEX(data!O:O, ROW())))), J176, K176)</f>
        <v>INC</v>
      </c>
      <c r="M176" s="2" t="s">
        <v>8886</v>
      </c>
      <c r="N176" s="2" t="str">
        <f t="array" ref="N176">IF(M176&lt;&gt;"INC", INDEX(data!M:M, MATCH(B176, data!D:D, 0)), "")</f>
        <v/>
      </c>
      <c r="O176" s="2" t="str">
        <f t="shared" si="3"/>
        <v/>
      </c>
    </row>
    <row r="177">
      <c r="A177" s="2" t="str">
        <f t="shared" si="1"/>
        <v>H004380</v>
      </c>
      <c r="B177" s="1" t="s">
        <v>7528</v>
      </c>
      <c r="C177" s="9" t="str">
        <f t="array" ref="C177">IF(
  AND(
    IFERROR(MATCH(Caseslist!B177, data!D:D, 0), 0) &gt; 0,
    IFERROR(INDEX(data!N:N, MATCH(Caseslist!B177, data!D:D, 0)) = 1, FALSE)
  ),
  "COMPLETE",
  "INC"
)</f>
        <v>COMPLETE</v>
      </c>
      <c r="D177" s="9">
        <f t="array" ref="D177">IFERROR(INDEX(data!$G:$G,match(Caseslist!B177,data!$D:$D,0)), "INC")</f>
        <v>859767</v>
      </c>
      <c r="E177" s="9" t="str">
        <f t="array" ref="E177">IFERROR(INDEX(data!H:H,match(Caseslist!B177,data!D:D,0)), "INC")</f>
        <v>Ramie De Pedro Jr._2</v>
      </c>
      <c r="F177" s="10" t="str">
        <f t="array" ref="F177">IF(
    OR(
      IFNA(INDEX(data!M:M, MATCH(Caseslist!B177, data!D:D, 0)), "") = "",
      IFNA(INDEX(data!M:M, MATCH(Caseslist!B177, data!D:D, 0)), 0) = 0
    ),
    "COMPLETE",
    IF(
      IFNA(INDEX(dataICM!D:D, MATCH(Caseslist!B177, dataICM!D:D, 0)), "INC") = "INC",
      IFNA(INDEX(dataICM!D:D, MATCH(Caseslist!B177, dataICM!D:D, 0)), "INC"),
      "COMPLETE"
    )
  )</f>
        <v>COMPLETE</v>
      </c>
      <c r="G177" s="10" t="str">
        <f t="array" ref="G177">IF(IFERROR(INDEX(data!L:L,match(Caseslist!B177,data!D:D,0)),"INC")="","COMPLETE",F177)</f>
        <v>COMPLETE</v>
      </c>
      <c r="H177" s="9" t="str">
        <f t="array" ref="H177">IFERROR(INDEX(dataICM!F:F,match(Caseslist!B177,dataICM!D:D,0)), "INC")</f>
        <v>Ramie De Pedro Jr._2</v>
      </c>
      <c r="I177" s="10">
        <f t="shared" si="2"/>
        <v>859767</v>
      </c>
      <c r="J177" s="9" t="str">
        <f t="array" ref="J177">IF(
  AND(
    IFERROR(MATCH(B177, data!D:D, 0), 0) &gt; 0,
    IFERROR(INDEX(data!N:N, MATCH(B177, data!D:D, 0)) = 1, FALSE)
  ),
  INDEX(data!C:C, MATCH(B177, data!D:D, 0)),
  "INC"
)</f>
        <v>2025-09-19T12:39:32.097+08</v>
      </c>
      <c r="K177" s="9" t="str">
        <f t="array" ref="K177">IFERROR(INDEX(dataICM!C:C,match(Caseslist!B177,dataICM!D:D,0)), "INC")</f>
        <v>2025-09-19T12:45:43.167+08</v>
      </c>
      <c r="L177" s="10" t="str">
        <f t="array" ref="L177">IF(AND(G177="COMPLETE", OR(K177="INC", ISBLANK(INDEX(data!O:O, ROW())))), J177, K177)</f>
        <v>2025-09-19T12:45:43.167+08</v>
      </c>
      <c r="M177" s="2">
        <v>45919.0</v>
      </c>
      <c r="N177" s="2">
        <f t="array" ref="N177">IF(M177&lt;&gt;"INC", INDEX(data!M:M, MATCH(B177, data!D:D, 0)), "")</f>
        <v>1</v>
      </c>
      <c r="O177" s="2">
        <f t="shared" si="3"/>
        <v>1</v>
      </c>
    </row>
    <row r="178">
      <c r="A178" s="2" t="str">
        <f t="shared" si="1"/>
        <v>H004380</v>
      </c>
      <c r="B178" s="1" t="s">
        <v>7553</v>
      </c>
      <c r="C178" s="9" t="str">
        <f t="array" ref="C178">IF(
  AND(
    IFERROR(MATCH(Caseslist!B178, data!D:D, 0), 0) &gt; 0,
    IFERROR(INDEX(data!N:N, MATCH(Caseslist!B178, data!D:D, 0)) = 1, FALSE)
  ),
  "COMPLETE",
  "INC"
)</f>
        <v>COMPLETE</v>
      </c>
      <c r="D178" s="9">
        <f t="array" ref="D178">IFERROR(INDEX(data!$G:$G,match(Caseslist!B178,data!$D:$D,0)), "INC")</f>
        <v>729375</v>
      </c>
      <c r="E178" s="9" t="str">
        <f t="array" ref="E178">IFERROR(INDEX(data!H:H,match(Caseslist!B178,data!D:D,0)), "INC")</f>
        <v>Janet Serafica_2</v>
      </c>
      <c r="F178" s="10" t="str">
        <f t="array" ref="F178">IF(
    OR(
      IFNA(INDEX(data!M:M, MATCH(Caseslist!B178, data!D:D, 0)), "") = "",
      IFNA(INDEX(data!M:M, MATCH(Caseslist!B178, data!D:D, 0)), 0) = 0
    ),
    "COMPLETE",
    IF(
      IFNA(INDEX(dataICM!D:D, MATCH(Caseslist!B178, dataICM!D:D, 0)), "INC") = "INC",
      IFNA(INDEX(dataICM!D:D, MATCH(Caseslist!B178, dataICM!D:D, 0)), "INC"),
      "COMPLETE"
    )
  )</f>
        <v>COMPLETE</v>
      </c>
      <c r="G178" s="10" t="str">
        <f t="array" ref="G178">IF(IFERROR(INDEX(data!L:L,match(Caseslist!B178,data!D:D,0)),"INC")="","COMPLETE",F178)</f>
        <v>COMPLETE</v>
      </c>
      <c r="H178" s="9" t="str">
        <f t="array" ref="H178">IFERROR(INDEX(dataICM!F:F,match(Caseslist!B178,dataICM!D:D,0)), "INC")</f>
        <v>Janet Serafica_2</v>
      </c>
      <c r="I178" s="10">
        <f t="shared" si="2"/>
        <v>729375</v>
      </c>
      <c r="J178" s="9" t="str">
        <f t="array" ref="J178">IF(
  AND(
    IFERROR(MATCH(B178, data!D:D, 0), 0) &gt; 0,
    IFERROR(INDEX(data!N:N, MATCH(B178, data!D:D, 0)) = 1, FALSE)
  ),
  INDEX(data!C:C, MATCH(B178, data!D:D, 0)),
  "INC"
)</f>
        <v>2025-09-19T13:51:38.612+08</v>
      </c>
      <c r="K178" s="9" t="str">
        <f t="array" ref="K178">IFERROR(INDEX(dataICM!C:C,match(Caseslist!B178,dataICM!D:D,0)), "INC")</f>
        <v>2025-09-19T14:02:37.447+08</v>
      </c>
      <c r="L178" s="10" t="str">
        <f t="array" ref="L178">IF(AND(G178="COMPLETE", OR(K178="INC", ISBLANK(INDEX(data!O:O, ROW())))), J178, K178)</f>
        <v>2025-09-19T14:02:37.447+08</v>
      </c>
      <c r="M178" s="2">
        <v>45919.0</v>
      </c>
      <c r="N178" s="2">
        <f t="array" ref="N178">IF(M178&lt;&gt;"INC", INDEX(data!M:M, MATCH(B178, data!D:D, 0)), "")</f>
        <v>1</v>
      </c>
      <c r="O178" s="2">
        <f t="shared" si="3"/>
        <v>1</v>
      </c>
    </row>
    <row r="179">
      <c r="A179" s="2" t="str">
        <f t="shared" si="1"/>
        <v>H004380</v>
      </c>
      <c r="B179" s="1" t="s">
        <v>7533</v>
      </c>
      <c r="C179" s="9" t="str">
        <f t="array" ref="C179">IF(
  AND(
    IFERROR(MATCH(Caseslist!B179, data!D:D, 0), 0) &gt; 0,
    IFERROR(INDEX(data!N:N, MATCH(Caseslist!B179, data!D:D, 0)) = 1, FALSE)
  ),
  "COMPLETE",
  "INC"
)</f>
        <v>COMPLETE</v>
      </c>
      <c r="D179" s="9">
        <f t="array" ref="D179">IFERROR(INDEX(data!$G:$G,match(Caseslist!B179,data!$D:$D,0)), "INC")</f>
        <v>859767</v>
      </c>
      <c r="E179" s="9" t="str">
        <f t="array" ref="E179">IFERROR(INDEX(data!H:H,match(Caseslist!B179,data!D:D,0)), "INC")</f>
        <v>Ramie De Pedro Jr._2</v>
      </c>
      <c r="F179" s="10" t="str">
        <f t="array" ref="F179">IF(
    OR(
      IFNA(INDEX(data!M:M, MATCH(Caseslist!B179, data!D:D, 0)), "") = "",
      IFNA(INDEX(data!M:M, MATCH(Caseslist!B179, data!D:D, 0)), 0) = 0
    ),
    "COMPLETE",
    IF(
      IFNA(INDEX(dataICM!D:D, MATCH(Caseslist!B179, dataICM!D:D, 0)), "INC") = "INC",
      IFNA(INDEX(dataICM!D:D, MATCH(Caseslist!B179, dataICM!D:D, 0)), "INC"),
      "COMPLETE"
    )
  )</f>
        <v>COMPLETE</v>
      </c>
      <c r="G179" s="10" t="str">
        <f t="array" ref="G179">IF(IFERROR(INDEX(data!L:L,match(Caseslist!B179,data!D:D,0)),"INC")="","COMPLETE",F179)</f>
        <v>COMPLETE</v>
      </c>
      <c r="H179" s="9" t="str">
        <f t="array" ref="H179">IFERROR(INDEX(dataICM!F:F,match(Caseslist!B179,dataICM!D:D,0)), "INC")</f>
        <v>Ramie De Pedro Jr._2</v>
      </c>
      <c r="I179" s="10">
        <f t="shared" si="2"/>
        <v>859767</v>
      </c>
      <c r="J179" s="9" t="str">
        <f t="array" ref="J179">IF(
  AND(
    IFERROR(MATCH(B179, data!D:D, 0), 0) &gt; 0,
    IFERROR(INDEX(data!N:N, MATCH(B179, data!D:D, 0)) = 1, FALSE)
  ),
  INDEX(data!C:C, MATCH(B179, data!D:D, 0)),
  "INC"
)</f>
        <v>2025-09-19T11:28:45.533+08</v>
      </c>
      <c r="K179" s="9" t="str">
        <f t="array" ref="K179">IFERROR(INDEX(dataICM!C:C,match(Caseslist!B179,dataICM!D:D,0)), "INC")</f>
        <v>2025-09-19T11:40:38.079+08</v>
      </c>
      <c r="L179" s="10" t="str">
        <f t="array" ref="L179">IF(AND(G179="COMPLETE", OR(K179="INC", ISBLANK(INDEX(data!O:O, ROW())))), J179, K179)</f>
        <v>2025-09-19T11:40:38.079+08</v>
      </c>
      <c r="M179" s="2">
        <v>45919.0</v>
      </c>
      <c r="N179" s="2">
        <f t="array" ref="N179">IF(M179&lt;&gt;"INC", INDEX(data!M:M, MATCH(B179, data!D:D, 0)), "")</f>
        <v>1</v>
      </c>
      <c r="O179" s="2">
        <f t="shared" si="3"/>
        <v>1</v>
      </c>
    </row>
    <row r="180">
      <c r="A180" s="2" t="str">
        <f t="shared" si="1"/>
        <v>H004380</v>
      </c>
      <c r="B180" s="1" t="s">
        <v>7608</v>
      </c>
      <c r="C180" s="9" t="str">
        <f t="array" ref="C180">IF(
  AND(
    IFERROR(MATCH(Caseslist!B180, data!D:D, 0), 0) &gt; 0,
    IFERROR(INDEX(data!N:N, MATCH(Caseslist!B180, data!D:D, 0)) = 1, FALSE)
  ),
  "COMPLETE",
  "INC"
)</f>
        <v>COMPLETE</v>
      </c>
      <c r="D180" s="9" t="str">
        <f t="array" ref="D180">IFERROR(INDEX(data!$G:$G,match(Caseslist!B180,data!$D:$D,0)), "INC")</f>
        <v>S2671943</v>
      </c>
      <c r="E180" s="9" t="str">
        <f t="array" ref="E180">IFERROR(INDEX(data!H:H,match(Caseslist!B180,data!D:D,0)), "INC")</f>
        <v>Marvin Mondia</v>
      </c>
      <c r="F180" s="10" t="str">
        <f t="array" ref="F180">IF(
    OR(
      IFNA(INDEX(data!M:M, MATCH(Caseslist!B180, data!D:D, 0)), "") = "",
      IFNA(INDEX(data!M:M, MATCH(Caseslist!B180, data!D:D, 0)), 0) = 0
    ),
    "COMPLETE",
    IF(
      IFNA(INDEX(dataICM!D:D, MATCH(Caseslist!B180, dataICM!D:D, 0)), "INC") = "INC",
      IFNA(INDEX(dataICM!D:D, MATCH(Caseslist!B180, dataICM!D:D, 0)), "INC"),
      "COMPLETE"
    )
  )</f>
        <v>COMPLETE</v>
      </c>
      <c r="G180" s="10" t="str">
        <f t="array" ref="G180">IF(IFERROR(INDEX(data!L:L,match(Caseslist!B180,data!D:D,0)),"INC")="","COMPLETE",F180)</f>
        <v>COMPLETE</v>
      </c>
      <c r="H180" s="9" t="str">
        <f t="array" ref="H180">IFERROR(INDEX(dataICM!F:F,match(Caseslist!B180,dataICM!D:D,0)), "INC")</f>
        <v>Marvin Mondia</v>
      </c>
      <c r="I180" s="10" t="str">
        <f t="shared" si="2"/>
        <v>S2671943</v>
      </c>
      <c r="J180" s="9" t="str">
        <f t="array" ref="J180">IF(
  AND(
    IFERROR(MATCH(B180, data!D:D, 0), 0) &gt; 0,
    IFERROR(INDEX(data!N:N, MATCH(B180, data!D:D, 0)) = 1, FALSE)
  ),
  INDEX(data!C:C, MATCH(B180, data!D:D, 0)),
  "INC"
)</f>
        <v>2025-09-19T10:49:32.751+08</v>
      </c>
      <c r="K180" s="9" t="str">
        <f t="array" ref="K180">IFERROR(INDEX(dataICM!C:C,match(Caseslist!B180,dataICM!D:D,0)), "INC")</f>
        <v>2025-09-19T10:56:25.604+08</v>
      </c>
      <c r="L180" s="10" t="str">
        <f t="array" ref="L180">IF(AND(G180="COMPLETE", OR(K180="INC", ISBLANK(INDEX(data!O:O, ROW())))), J180, K180)</f>
        <v>2025-09-19T10:56:25.604+08</v>
      </c>
      <c r="M180" s="2">
        <v>45919.0</v>
      </c>
      <c r="N180" s="2">
        <f t="array" ref="N180">IF(M180&lt;&gt;"INC", INDEX(data!M:M, MATCH(B180, data!D:D, 0)), "")</f>
        <v>1</v>
      </c>
      <c r="O180" s="2">
        <f t="shared" si="3"/>
        <v>1</v>
      </c>
    </row>
    <row r="181">
      <c r="A181" s="2" t="str">
        <f t="shared" si="1"/>
        <v>H004380</v>
      </c>
      <c r="B181" s="1" t="s">
        <v>7548</v>
      </c>
      <c r="C181" s="9" t="str">
        <f t="array" ref="C181">IF(
  AND(
    IFERROR(MATCH(Caseslist!B181, data!D:D, 0), 0) &gt; 0,
    IFERROR(INDEX(data!N:N, MATCH(Caseslist!B181, data!D:D, 0)) = 1, FALSE)
  ),
  "COMPLETE",
  "INC"
)</f>
        <v>COMPLETE</v>
      </c>
      <c r="D181" s="9">
        <f t="array" ref="D181">IFERROR(INDEX(data!$G:$G,match(Caseslist!B181,data!$D:$D,0)), "INC")</f>
        <v>729375</v>
      </c>
      <c r="E181" s="9" t="str">
        <f t="array" ref="E181">IFERROR(INDEX(data!H:H,match(Caseslist!B181,data!D:D,0)), "INC")</f>
        <v>Janet Serafica_2</v>
      </c>
      <c r="F181" s="10" t="str">
        <f t="array" ref="F181">IF(
    OR(
      IFNA(INDEX(data!M:M, MATCH(Caseslist!B181, data!D:D, 0)), "") = "",
      IFNA(INDEX(data!M:M, MATCH(Caseslist!B181, data!D:D, 0)), 0) = 0
    ),
    "COMPLETE",
    IF(
      IFNA(INDEX(dataICM!D:D, MATCH(Caseslist!B181, dataICM!D:D, 0)), "INC") = "INC",
      IFNA(INDEX(dataICM!D:D, MATCH(Caseslist!B181, dataICM!D:D, 0)), "INC"),
      "COMPLETE"
    )
  )</f>
        <v>COMPLETE</v>
      </c>
      <c r="G181" s="10" t="str">
        <f t="array" ref="G181">IF(IFERROR(INDEX(data!L:L,match(Caseslist!B181,data!D:D,0)),"INC")="","COMPLETE",F181)</f>
        <v>COMPLETE</v>
      </c>
      <c r="H181" s="9" t="str">
        <f t="array" ref="H181">IFERROR(INDEX(dataICM!F:F,match(Caseslist!B181,dataICM!D:D,0)), "INC")</f>
        <v>Janet Serafica_2</v>
      </c>
      <c r="I181" s="10">
        <f t="shared" si="2"/>
        <v>729375</v>
      </c>
      <c r="J181" s="9" t="str">
        <f t="array" ref="J181">IF(
  AND(
    IFERROR(MATCH(B181, data!D:D, 0), 0) &gt; 0,
    IFERROR(INDEX(data!N:N, MATCH(B181, data!D:D, 0)) = 1, FALSE)
  ),
  INDEX(data!C:C, MATCH(B181, data!D:D, 0)),
  "INC"
)</f>
        <v>2025-09-19T11:13:48.842+08</v>
      </c>
      <c r="K181" s="9" t="str">
        <f t="array" ref="K181">IFERROR(INDEX(dataICM!C:C,match(Caseslist!B181,dataICM!D:D,0)), "INC")</f>
        <v>2025-09-19T11:22:17.956+08</v>
      </c>
      <c r="L181" s="10" t="str">
        <f t="array" ref="L181">IF(AND(G181="COMPLETE", OR(K181="INC", ISBLANK(INDEX(data!O:O, ROW())))), J181, K181)</f>
        <v>2025-09-19T11:22:17.956+08</v>
      </c>
      <c r="M181" s="2">
        <v>45919.0</v>
      </c>
      <c r="N181" s="2">
        <f t="array" ref="N181">IF(M181&lt;&gt;"INC", INDEX(data!M:M, MATCH(B181, data!D:D, 0)), "")</f>
        <v>1</v>
      </c>
      <c r="O181" s="2">
        <f t="shared" si="3"/>
        <v>1</v>
      </c>
    </row>
    <row r="182">
      <c r="A182" s="2" t="str">
        <f t="shared" si="1"/>
        <v>H004380</v>
      </c>
      <c r="B182" s="1" t="s">
        <v>7543</v>
      </c>
      <c r="C182" s="9" t="str">
        <f t="array" ref="C182">IF(
  AND(
    IFERROR(MATCH(Caseslist!B182, data!D:D, 0), 0) &gt; 0,
    IFERROR(INDEX(data!N:N, MATCH(Caseslist!B182, data!D:D, 0)) = 1, FALSE)
  ),
  "COMPLETE",
  "INC"
)</f>
        <v>COMPLETE</v>
      </c>
      <c r="D182" s="9">
        <f t="array" ref="D182">IFERROR(INDEX(data!$G:$G,match(Caseslist!B182,data!$D:$D,0)), "INC")</f>
        <v>729375</v>
      </c>
      <c r="E182" s="9" t="str">
        <f t="array" ref="E182">IFERROR(INDEX(data!H:H,match(Caseslist!B182,data!D:D,0)), "INC")</f>
        <v>Janet Serafica_2</v>
      </c>
      <c r="F182" s="10" t="str">
        <f t="array" ref="F182">IF(
    OR(
      IFNA(INDEX(data!M:M, MATCH(Caseslist!B182, data!D:D, 0)), "") = "",
      IFNA(INDEX(data!M:M, MATCH(Caseslist!B182, data!D:D, 0)), 0) = 0
    ),
    "COMPLETE",
    IF(
      IFNA(INDEX(dataICM!D:D, MATCH(Caseslist!B182, dataICM!D:D, 0)), "INC") = "INC",
      IFNA(INDEX(dataICM!D:D, MATCH(Caseslist!B182, dataICM!D:D, 0)), "INC"),
      "COMPLETE"
    )
  )</f>
        <v>COMPLETE</v>
      </c>
      <c r="G182" s="10" t="str">
        <f t="array" ref="G182">IF(IFERROR(INDEX(data!L:L,match(Caseslist!B182,data!D:D,0)),"INC")="","COMPLETE",F182)</f>
        <v>COMPLETE</v>
      </c>
      <c r="H182" s="9" t="str">
        <f t="array" ref="H182">IFERROR(INDEX(dataICM!F:F,match(Caseslist!B182,dataICM!D:D,0)), "INC")</f>
        <v>Janet Serafica_2</v>
      </c>
      <c r="I182" s="10">
        <f t="shared" si="2"/>
        <v>729375</v>
      </c>
      <c r="J182" s="9" t="str">
        <f t="array" ref="J182">IF(
  AND(
    IFERROR(MATCH(B182, data!D:D, 0), 0) &gt; 0,
    IFERROR(INDEX(data!N:N, MATCH(B182, data!D:D, 0)) = 1, FALSE)
  ),
  INDEX(data!C:C, MATCH(B182, data!D:D, 0)),
  "INC"
)</f>
        <v>2025-09-19T10:21:42.528+08</v>
      </c>
      <c r="K182" s="9" t="str">
        <f t="array" ref="K182">IFERROR(INDEX(dataICM!C:C,match(Caseslist!B182,dataICM!D:D,0)), "INC")</f>
        <v>2025-09-19T10:33:59.120+08</v>
      </c>
      <c r="L182" s="10" t="str">
        <f t="array" ref="L182">IF(AND(G182="COMPLETE", OR(K182="INC", ISBLANK(INDEX(data!O:O, ROW())))), J182, K182)</f>
        <v>2025-09-19T10:33:59.120+08</v>
      </c>
      <c r="M182" s="2">
        <v>45919.0</v>
      </c>
      <c r="N182" s="2">
        <f t="array" ref="N182">IF(M182&lt;&gt;"INC", INDEX(data!M:M, MATCH(B182, data!D:D, 0)), "")</f>
        <v>1</v>
      </c>
      <c r="O182" s="2">
        <f t="shared" si="3"/>
        <v>1</v>
      </c>
    </row>
    <row r="183">
      <c r="A183" s="2" t="str">
        <f t="shared" si="1"/>
        <v>H004380</v>
      </c>
      <c r="B183" s="1" t="s">
        <v>7743</v>
      </c>
      <c r="C183" s="9" t="str">
        <f t="array" ref="C183">IF(
  AND(
    IFERROR(MATCH(Caseslist!B183, data!D:D, 0), 0) &gt; 0,
    IFERROR(INDEX(data!N:N, MATCH(Caseslist!B183, data!D:D, 0)) = 1, FALSE)
  ),
  "COMPLETE",
  "INC"
)</f>
        <v>COMPLETE</v>
      </c>
      <c r="D183" s="9">
        <f t="array" ref="D183">IFERROR(INDEX(data!$G:$G,match(Caseslist!B183,data!$D:$D,0)), "INC")</f>
        <v>859767</v>
      </c>
      <c r="E183" s="9" t="str">
        <f t="array" ref="E183">IFERROR(INDEX(data!H:H,match(Caseslist!B183,data!D:D,0)), "INC")</f>
        <v>Ramie De Pedro Jr._2</v>
      </c>
      <c r="F183" s="10" t="str">
        <f t="array" ref="F183">IF(
    OR(
      IFNA(INDEX(data!M:M, MATCH(Caseslist!B183, data!D:D, 0)), "") = "",
      IFNA(INDEX(data!M:M, MATCH(Caseslist!B183, data!D:D, 0)), 0) = 0
    ),
    "COMPLETE",
    IF(
      IFNA(INDEX(dataICM!D:D, MATCH(Caseslist!B183, dataICM!D:D, 0)), "INC") = "INC",
      IFNA(INDEX(dataICM!D:D, MATCH(Caseslist!B183, dataICM!D:D, 0)), "INC"),
      "COMPLETE"
    )
  )</f>
        <v>COMPLETE</v>
      </c>
      <c r="G183" s="10" t="str">
        <f t="array" ref="G183">IF(IFERROR(INDEX(data!L:L,match(Caseslist!B183,data!D:D,0)),"INC")="","COMPLETE",F183)</f>
        <v>COMPLETE</v>
      </c>
      <c r="H183" s="9" t="str">
        <f t="array" ref="H183">IFERROR(INDEX(dataICM!F:F,match(Caseslist!B183,dataICM!D:D,0)), "INC")</f>
        <v>Ramie De Pedro Jr._2</v>
      </c>
      <c r="I183" s="10">
        <f t="shared" si="2"/>
        <v>859767</v>
      </c>
      <c r="J183" s="9" t="str">
        <f t="array" ref="J183">IF(
  AND(
    IFERROR(MATCH(B183, data!D:D, 0), 0) &gt; 0,
    IFERROR(INDEX(data!N:N, MATCH(B183, data!D:D, 0)) = 1, FALSE)
  ),
  INDEX(data!C:C, MATCH(B183, data!D:D, 0)),
  "INC"
)</f>
        <v>2025-09-20T09:33:05.318+08</v>
      </c>
      <c r="K183" s="9" t="str">
        <f t="array" ref="K183">IFERROR(INDEX(dataICM!C:C,match(Caseslist!B183,dataICM!D:D,0)), "INC")</f>
        <v>2025-09-20T09:43:49.106+08</v>
      </c>
      <c r="L183" s="10" t="str">
        <f t="array" ref="L183">IF(AND(G183="COMPLETE", OR(K183="INC", ISBLANK(INDEX(data!O:O, ROW())))), J183, K183)</f>
        <v>2025-09-20T09:43:49.106+08</v>
      </c>
      <c r="M183" s="2">
        <v>45920.0</v>
      </c>
      <c r="N183" s="2">
        <f t="array" ref="N183">IF(M183&lt;&gt;"INC", INDEX(data!M:M, MATCH(B183, data!D:D, 0)), "")</f>
        <v>1</v>
      </c>
      <c r="O183" s="2">
        <f t="shared" si="3"/>
        <v>1</v>
      </c>
    </row>
    <row r="184">
      <c r="A184" s="2" t="str">
        <f t="shared" si="1"/>
        <v>H004380</v>
      </c>
      <c r="B184" s="1" t="s">
        <v>7538</v>
      </c>
      <c r="C184" s="9" t="str">
        <f t="array" ref="C184">IF(
  AND(
    IFERROR(MATCH(Caseslist!B184, data!D:D, 0), 0) &gt; 0,
    IFERROR(INDEX(data!N:N, MATCH(Caseslist!B184, data!D:D, 0)) = 1, FALSE)
  ),
  "COMPLETE",
  "INC"
)</f>
        <v>COMPLETE</v>
      </c>
      <c r="D184" s="9">
        <f t="array" ref="D184">IFERROR(INDEX(data!$G:$G,match(Caseslist!B184,data!$D:$D,0)), "INC")</f>
        <v>859767</v>
      </c>
      <c r="E184" s="9" t="str">
        <f t="array" ref="E184">IFERROR(INDEX(data!H:H,match(Caseslist!B184,data!D:D,0)), "INC")</f>
        <v>Ramie De Pedro Jr._2</v>
      </c>
      <c r="F184" s="10" t="str">
        <f t="array" ref="F184">IF(
    OR(
      IFNA(INDEX(data!M:M, MATCH(Caseslist!B184, data!D:D, 0)), "") = "",
      IFNA(INDEX(data!M:M, MATCH(Caseslist!B184, data!D:D, 0)), 0) = 0
    ),
    "COMPLETE",
    IF(
      IFNA(INDEX(dataICM!D:D, MATCH(Caseslist!B184, dataICM!D:D, 0)), "INC") = "INC",
      IFNA(INDEX(dataICM!D:D, MATCH(Caseslist!B184, dataICM!D:D, 0)), "INC"),
      "COMPLETE"
    )
  )</f>
        <v>COMPLETE</v>
      </c>
      <c r="G184" s="10" t="str">
        <f t="array" ref="G184">IF(IFERROR(INDEX(data!L:L,match(Caseslist!B184,data!D:D,0)),"INC")="","COMPLETE",F184)</f>
        <v>COMPLETE</v>
      </c>
      <c r="H184" s="9" t="str">
        <f t="array" ref="H184">IFERROR(INDEX(dataICM!F:F,match(Caseslist!B184,dataICM!D:D,0)), "INC")</f>
        <v>Ramie De Pedro Jr._2</v>
      </c>
      <c r="I184" s="10">
        <f t="shared" si="2"/>
        <v>859767</v>
      </c>
      <c r="J184" s="9" t="str">
        <f t="array" ref="J184">IF(
  AND(
    IFERROR(MATCH(B184, data!D:D, 0), 0) &gt; 0,
    IFERROR(INDEX(data!N:N, MATCH(B184, data!D:D, 0)) = 1, FALSE)
  ),
  INDEX(data!C:C, MATCH(B184, data!D:D, 0)),
  "INC"
)</f>
        <v>2025-09-19T14:34:53.683+08</v>
      </c>
      <c r="K184" s="9" t="str">
        <f t="array" ref="K184">IFERROR(INDEX(dataICM!C:C,match(Caseslist!B184,dataICM!D:D,0)), "INC")</f>
        <v>2025-09-19T14:52:55.695+08</v>
      </c>
      <c r="L184" s="10" t="str">
        <f t="array" ref="L184">IF(AND(G184="COMPLETE", OR(K184="INC", ISBLANK(INDEX(data!O:O, ROW())))), J184, K184)</f>
        <v>2025-09-19T14:52:55.695+08</v>
      </c>
      <c r="M184" s="2">
        <v>45919.0</v>
      </c>
      <c r="N184" s="2">
        <f t="array" ref="N184">IF(M184&lt;&gt;"INC", INDEX(data!M:M, MATCH(B184, data!D:D, 0)), "")</f>
        <v>1</v>
      </c>
      <c r="O184" s="2">
        <f t="shared" si="3"/>
        <v>1</v>
      </c>
    </row>
    <row r="185">
      <c r="A185" s="2" t="str">
        <f t="shared" si="1"/>
        <v>H004380</v>
      </c>
      <c r="B185" s="1" t="s">
        <v>7603</v>
      </c>
      <c r="C185" s="9" t="str">
        <f t="array" ref="C185">IF(
  AND(
    IFERROR(MATCH(Caseslist!B185, data!D:D, 0), 0) &gt; 0,
    IFERROR(INDEX(data!N:N, MATCH(Caseslist!B185, data!D:D, 0)) = 1, FALSE)
  ),
  "COMPLETE",
  "INC"
)</f>
        <v>COMPLETE</v>
      </c>
      <c r="D185" s="9" t="str">
        <f t="array" ref="D185">IFERROR(INDEX(data!$G:$G,match(Caseslist!B185,data!$D:$D,0)), "INC")</f>
        <v>S2671943</v>
      </c>
      <c r="E185" s="9" t="str">
        <f t="array" ref="E185">IFERROR(INDEX(data!H:H,match(Caseslist!B185,data!D:D,0)), "INC")</f>
        <v>Marvin Mondia</v>
      </c>
      <c r="F185" s="10" t="str">
        <f t="array" ref="F185">IF(
    OR(
      IFNA(INDEX(data!M:M, MATCH(Caseslist!B185, data!D:D, 0)), "") = "",
      IFNA(INDEX(data!M:M, MATCH(Caseslist!B185, data!D:D, 0)), 0) = 0
    ),
    "COMPLETE",
    IF(
      IFNA(INDEX(dataICM!D:D, MATCH(Caseslist!B185, dataICM!D:D, 0)), "INC") = "INC",
      IFNA(INDEX(dataICM!D:D, MATCH(Caseslist!B185, dataICM!D:D, 0)), "INC"),
      "COMPLETE"
    )
  )</f>
        <v>COMPLETE</v>
      </c>
      <c r="G185" s="10" t="str">
        <f t="array" ref="G185">IF(IFERROR(INDEX(data!L:L,match(Caseslist!B185,data!D:D,0)),"INC")="","COMPLETE",F185)</f>
        <v>COMPLETE</v>
      </c>
      <c r="H185" s="9" t="str">
        <f t="array" ref="H185">IFERROR(INDEX(dataICM!F:F,match(Caseslist!B185,dataICM!D:D,0)), "INC")</f>
        <v>Marvin Mondia</v>
      </c>
      <c r="I185" s="10" t="str">
        <f t="shared" si="2"/>
        <v>S2671943</v>
      </c>
      <c r="J185" s="9" t="str">
        <f t="array" ref="J185">IF(
  AND(
    IFERROR(MATCH(B185, data!D:D, 0), 0) &gt; 0,
    IFERROR(INDEX(data!N:N, MATCH(B185, data!D:D, 0)) = 1, FALSE)
  ),
  INDEX(data!C:C, MATCH(B185, data!D:D, 0)),
  "INC"
)</f>
        <v>2025-09-19T13:49:14.665+08</v>
      </c>
      <c r="K185" s="9" t="str">
        <f t="array" ref="K185">IFERROR(INDEX(dataICM!C:C,match(Caseslist!B185,dataICM!D:D,0)), "INC")</f>
        <v>2025-09-19T13:54:44.459+08</v>
      </c>
      <c r="L185" s="10" t="str">
        <f t="array" ref="L185">IF(AND(G185="COMPLETE", OR(K185="INC", ISBLANK(INDEX(data!O:O, ROW())))), J185, K185)</f>
        <v>2025-09-19T13:54:44.459+08</v>
      </c>
      <c r="M185" s="2">
        <v>45919.0</v>
      </c>
      <c r="N185" s="2">
        <f t="array" ref="N185">IF(M185&lt;&gt;"INC", INDEX(data!M:M, MATCH(B185, data!D:D, 0)), "")</f>
        <v>1</v>
      </c>
      <c r="O185" s="2">
        <f t="shared" si="3"/>
        <v>1</v>
      </c>
    </row>
    <row r="186">
      <c r="A186" s="2" t="str">
        <f t="shared" si="1"/>
        <v>H004407</v>
      </c>
      <c r="B186" s="1" t="s">
        <v>6173</v>
      </c>
      <c r="C186" s="9" t="str">
        <f t="array" ref="C186">IF(
  AND(
    IFERROR(MATCH(Caseslist!B186, data!D:D, 0), 0) &gt; 0,
    IFERROR(INDEX(data!N:N, MATCH(Caseslist!B186, data!D:D, 0)) = 1, FALSE)
  ),
  "COMPLETE",
  "INC"
)</f>
        <v>COMPLETE</v>
      </c>
      <c r="D186" s="9">
        <f t="array" ref="D186">IFERROR(INDEX(data!$G:$G,match(Caseslist!B186,data!$D:$D,0)), "INC")</f>
        <v>841329</v>
      </c>
      <c r="E186" s="9" t="str">
        <f t="array" ref="E186">IFERROR(INDEX(data!H:H,match(Caseslist!B186,data!D:D,0)), "INC")</f>
        <v>Aila Eli_2</v>
      </c>
      <c r="F186" s="10" t="str">
        <f t="array" ref="F186">IF(
    OR(
      IFNA(INDEX(data!M:M, MATCH(Caseslist!B186, data!D:D, 0)), "") = "",
      IFNA(INDEX(data!M:M, MATCH(Caseslist!B186, data!D:D, 0)), 0) = 0
    ),
    "COMPLETE",
    IF(
      IFNA(INDEX(dataICM!D:D, MATCH(Caseslist!B186, dataICM!D:D, 0)), "INC") = "INC",
      IFNA(INDEX(dataICM!D:D, MATCH(Caseslist!B186, dataICM!D:D, 0)), "INC"),
      "COMPLETE"
    )
  )</f>
        <v>COMPLETE</v>
      </c>
      <c r="G186" s="10" t="str">
        <f t="array" ref="G186">IF(IFERROR(INDEX(data!L:L,match(Caseslist!B186,data!D:D,0)),"INC")="","COMPLETE",F186)</f>
        <v>COMPLETE</v>
      </c>
      <c r="H186" s="9" t="str">
        <f t="array" ref="H186">IFERROR(INDEX(dataICM!F:F,match(Caseslist!B186,dataICM!D:D,0)), "INC")</f>
        <v>Aila Eli_2</v>
      </c>
      <c r="I186" s="10">
        <f t="shared" si="2"/>
        <v>841329</v>
      </c>
      <c r="J186" s="9" t="str">
        <f t="array" ref="J186">IF(
  AND(
    IFERROR(MATCH(B186, data!D:D, 0), 0) &gt; 0,
    IFERROR(INDEX(data!N:N, MATCH(B186, data!D:D, 0)) = 1, FALSE)
  ),
  INDEX(data!C:C, MATCH(B186, data!D:D, 0)),
  "INC"
)</f>
        <v>2025-09-15T12:01:00.186+08</v>
      </c>
      <c r="K186" s="9" t="str">
        <f t="array" ref="K186">IFERROR(INDEX(dataICM!C:C,match(Caseslist!B186,dataICM!D:D,0)), "INC")</f>
        <v>2025-09-15T12:04:50.123+08</v>
      </c>
      <c r="L186" s="10" t="str">
        <f t="array" ref="L186">IF(AND(G186="COMPLETE", OR(K186="INC", ISBLANK(INDEX(data!O:O, ROW())))), J186, K186)</f>
        <v>2025-09-15T12:04:50.123+08</v>
      </c>
      <c r="M186" s="2">
        <v>45915.0</v>
      </c>
      <c r="N186" s="2">
        <f t="array" ref="N186">IF(M186&lt;&gt;"INC", INDEX(data!M:M, MATCH(B186, data!D:D, 0)), "")</f>
        <v>3</v>
      </c>
      <c r="O186" s="2">
        <f t="shared" si="3"/>
        <v>3</v>
      </c>
    </row>
    <row r="187">
      <c r="A187" s="2" t="str">
        <f t="shared" si="1"/>
        <v>H004407</v>
      </c>
      <c r="B187" s="1" t="s">
        <v>6168</v>
      </c>
      <c r="C187" s="9" t="str">
        <f t="array" ref="C187">IF(
  AND(
    IFERROR(MATCH(Caseslist!B187, data!D:D, 0), 0) &gt; 0,
    IFERROR(INDEX(data!N:N, MATCH(Caseslist!B187, data!D:D, 0)) = 1, FALSE)
  ),
  "COMPLETE",
  "INC"
)</f>
        <v>COMPLETE</v>
      </c>
      <c r="D187" s="9">
        <f t="array" ref="D187">IFERROR(INDEX(data!$G:$G,match(Caseslist!B187,data!$D:$D,0)), "INC")</f>
        <v>841329</v>
      </c>
      <c r="E187" s="9" t="str">
        <f t="array" ref="E187">IFERROR(INDEX(data!H:H,match(Caseslist!B187,data!D:D,0)), "INC")</f>
        <v>Aila Eli_2</v>
      </c>
      <c r="F187" s="10" t="str">
        <f t="array" ref="F187">IF(
    OR(
      IFNA(INDEX(data!M:M, MATCH(Caseslist!B187, data!D:D, 0)), "") = "",
      IFNA(INDEX(data!M:M, MATCH(Caseslist!B187, data!D:D, 0)), 0) = 0
    ),
    "COMPLETE",
    IF(
      IFNA(INDEX(dataICM!D:D, MATCH(Caseslist!B187, dataICM!D:D, 0)), "INC") = "INC",
      IFNA(INDEX(dataICM!D:D, MATCH(Caseslist!B187, dataICM!D:D, 0)), "INC"),
      "COMPLETE"
    )
  )</f>
        <v>COMPLETE</v>
      </c>
      <c r="G187" s="10" t="str">
        <f t="array" ref="G187">IF(IFERROR(INDEX(data!L:L,match(Caseslist!B187,data!D:D,0)),"INC")="","COMPLETE",F187)</f>
        <v>COMPLETE</v>
      </c>
      <c r="H187" s="9" t="str">
        <f t="array" ref="H187">IFERROR(INDEX(dataICM!F:F,match(Caseslist!B187,dataICM!D:D,0)), "INC")</f>
        <v>Aila Eli_2</v>
      </c>
      <c r="I187" s="10">
        <f t="shared" si="2"/>
        <v>841329</v>
      </c>
      <c r="J187" s="9" t="str">
        <f t="array" ref="J187">IF(
  AND(
    IFERROR(MATCH(B187, data!D:D, 0), 0) &gt; 0,
    IFERROR(INDEX(data!N:N, MATCH(B187, data!D:D, 0)) = 1, FALSE)
  ),
  INDEX(data!C:C, MATCH(B187, data!D:D, 0)),
  "INC"
)</f>
        <v>2025-09-15T10:32:51.954+08</v>
      </c>
      <c r="K187" s="9" t="str">
        <f t="array" ref="K187">IFERROR(INDEX(dataICM!C:C,match(Caseslist!B187,dataICM!D:D,0)), "INC")</f>
        <v>2025-09-15T10:40:34.356+08</v>
      </c>
      <c r="L187" s="10" t="str">
        <f t="array" ref="L187">IF(AND(G187="COMPLETE", OR(K187="INC", ISBLANK(INDEX(data!O:O, ROW())))), J187, K187)</f>
        <v>2025-09-15T10:40:34.356+08</v>
      </c>
      <c r="M187" s="2">
        <v>45915.0</v>
      </c>
      <c r="N187" s="2">
        <f t="array" ref="N187">IF(M187&lt;&gt;"INC", INDEX(data!M:M, MATCH(B187, data!D:D, 0)), "")</f>
        <v>3</v>
      </c>
      <c r="O187" s="2">
        <f t="shared" si="3"/>
        <v>3</v>
      </c>
    </row>
    <row r="188">
      <c r="A188" s="2" t="str">
        <f t="shared" si="1"/>
        <v>H004407</v>
      </c>
      <c r="B188" s="1" t="s">
        <v>6183</v>
      </c>
      <c r="C188" s="9" t="str">
        <f t="array" ref="C188">IF(
  AND(
    IFERROR(MATCH(Caseslist!B188, data!D:D, 0), 0) &gt; 0,
    IFERROR(INDEX(data!N:N, MATCH(Caseslist!B188, data!D:D, 0)) = 1, FALSE)
  ),
  "COMPLETE",
  "INC"
)</f>
        <v>COMPLETE</v>
      </c>
      <c r="D188" s="9">
        <f t="array" ref="D188">IFERROR(INDEX(data!$G:$G,match(Caseslist!B188,data!$D:$D,0)), "INC")</f>
        <v>841329</v>
      </c>
      <c r="E188" s="9" t="str">
        <f t="array" ref="E188">IFERROR(INDEX(data!H:H,match(Caseslist!B188,data!D:D,0)), "INC")</f>
        <v>Aila Eli_2</v>
      </c>
      <c r="F188" s="10" t="str">
        <f t="array" ref="F188">IF(
    OR(
      IFNA(INDEX(data!M:M, MATCH(Caseslist!B188, data!D:D, 0)), "") = "",
      IFNA(INDEX(data!M:M, MATCH(Caseslist!B188, data!D:D, 0)), 0) = 0
    ),
    "COMPLETE",
    IF(
      IFNA(INDEX(dataICM!D:D, MATCH(Caseslist!B188, dataICM!D:D, 0)), "INC") = "INC",
      IFNA(INDEX(dataICM!D:D, MATCH(Caseslist!B188, dataICM!D:D, 0)), "INC"),
      "COMPLETE"
    )
  )</f>
        <v>COMPLETE</v>
      </c>
      <c r="G188" s="10" t="str">
        <f t="array" ref="G188">IF(IFERROR(INDEX(data!L:L,match(Caseslist!B188,data!D:D,0)),"INC")="","COMPLETE",F188)</f>
        <v>COMPLETE</v>
      </c>
      <c r="H188" s="9" t="str">
        <f t="array" ref="H188">IFERROR(INDEX(dataICM!F:F,match(Caseslist!B188,dataICM!D:D,0)), "INC")</f>
        <v>Aila Eli_2</v>
      </c>
      <c r="I188" s="10">
        <f t="shared" si="2"/>
        <v>841329</v>
      </c>
      <c r="J188" s="9" t="str">
        <f t="array" ref="J188">IF(
  AND(
    IFERROR(MATCH(B188, data!D:D, 0), 0) &gt; 0,
    IFERROR(INDEX(data!N:N, MATCH(B188, data!D:D, 0)) = 1, FALSE)
  ),
  INDEX(data!C:C, MATCH(B188, data!D:D, 0)),
  "INC"
)</f>
        <v>2025-09-15T14:40:12.123+08</v>
      </c>
      <c r="K188" s="9" t="str">
        <f t="array" ref="K188">IFERROR(INDEX(dataICM!C:C,match(Caseslist!B188,dataICM!D:D,0)), "INC")</f>
        <v>2025-09-15T14:44:03.418+08</v>
      </c>
      <c r="L188" s="10" t="str">
        <f t="array" ref="L188">IF(AND(G188="COMPLETE", OR(K188="INC", ISBLANK(INDEX(data!O:O, ROW())))), J188, K188)</f>
        <v>2025-09-15T14:44:03.418+08</v>
      </c>
      <c r="M188" s="2">
        <v>45915.0</v>
      </c>
      <c r="N188" s="2">
        <f t="array" ref="N188">IF(M188&lt;&gt;"INC", INDEX(data!M:M, MATCH(B188, data!D:D, 0)), "")</f>
        <v>3</v>
      </c>
      <c r="O188" s="2">
        <f t="shared" si="3"/>
        <v>3</v>
      </c>
    </row>
    <row r="189">
      <c r="A189" s="2" t="str">
        <f t="shared" si="1"/>
        <v>H004407</v>
      </c>
      <c r="B189" s="1" t="s">
        <v>6188</v>
      </c>
      <c r="C189" s="9" t="str">
        <f t="array" ref="C189">IF(
  AND(
    IFERROR(MATCH(Caseslist!B189, data!D:D, 0), 0) &gt; 0,
    IFERROR(INDEX(data!N:N, MATCH(Caseslist!B189, data!D:D, 0)) = 1, FALSE)
  ),
  "COMPLETE",
  "INC"
)</f>
        <v>COMPLETE</v>
      </c>
      <c r="D189" s="9">
        <f t="array" ref="D189">IFERROR(INDEX(data!$G:$G,match(Caseslist!B189,data!$D:$D,0)), "INC")</f>
        <v>841329</v>
      </c>
      <c r="E189" s="9" t="str">
        <f t="array" ref="E189">IFERROR(INDEX(data!H:H,match(Caseslist!B189,data!D:D,0)), "INC")</f>
        <v>Aila Eli_2</v>
      </c>
      <c r="F189" s="10" t="str">
        <f t="array" ref="F189">IF(
    OR(
      IFNA(INDEX(data!M:M, MATCH(Caseslist!B189, data!D:D, 0)), "") = "",
      IFNA(INDEX(data!M:M, MATCH(Caseslist!B189, data!D:D, 0)), 0) = 0
    ),
    "COMPLETE",
    IF(
      IFNA(INDEX(dataICM!D:D, MATCH(Caseslist!B189, dataICM!D:D, 0)), "INC") = "INC",
      IFNA(INDEX(dataICM!D:D, MATCH(Caseslist!B189, dataICM!D:D, 0)), "INC"),
      "COMPLETE"
    )
  )</f>
        <v>COMPLETE</v>
      </c>
      <c r="G189" s="10" t="str">
        <f t="array" ref="G189">IF(IFERROR(INDEX(data!L:L,match(Caseslist!B189,data!D:D,0)),"INC")="","COMPLETE",F189)</f>
        <v>COMPLETE</v>
      </c>
      <c r="H189" s="9" t="str">
        <f t="array" ref="H189">IFERROR(INDEX(dataICM!F:F,match(Caseslist!B189,dataICM!D:D,0)), "INC")</f>
        <v>Aila Eli_2</v>
      </c>
      <c r="I189" s="10">
        <f t="shared" si="2"/>
        <v>841329</v>
      </c>
      <c r="J189" s="9" t="str">
        <f t="array" ref="J189">IF(
  AND(
    IFERROR(MATCH(B189, data!D:D, 0), 0) &gt; 0,
    IFERROR(INDEX(data!N:N, MATCH(B189, data!D:D, 0)) = 1, FALSE)
  ),
  INDEX(data!C:C, MATCH(B189, data!D:D, 0)),
  "INC"
)</f>
        <v>2025-09-23T13:19:01.418+08</v>
      </c>
      <c r="K189" s="9" t="str">
        <f t="array" ref="K189">IFERROR(INDEX(dataICM!C:C,match(Caseslist!B189,dataICM!D:D,0)), "INC")</f>
        <v>2025-09-23T13:23:22.434+08</v>
      </c>
      <c r="L189" s="10" t="str">
        <f t="array" ref="L189">IF(AND(G189="COMPLETE", OR(K189="INC", ISBLANK(INDEX(data!O:O, ROW())))), J189, K189)</f>
        <v>2025-09-23T13:23:22.434+08</v>
      </c>
      <c r="M189" s="2">
        <v>45923.0</v>
      </c>
      <c r="N189" s="2">
        <f t="array" ref="N189">IF(M189&lt;&gt;"INC", INDEX(data!M:M, MATCH(B189, data!D:D, 0)), "")</f>
        <v>3</v>
      </c>
      <c r="O189" s="2">
        <f t="shared" si="3"/>
        <v>3</v>
      </c>
    </row>
    <row r="190">
      <c r="A190" s="2" t="str">
        <f t="shared" si="1"/>
        <v>H004407</v>
      </c>
      <c r="B190" s="1" t="s">
        <v>6178</v>
      </c>
      <c r="C190" s="9" t="str">
        <f t="array" ref="C190">IF(
  AND(
    IFERROR(MATCH(Caseslist!B190, data!D:D, 0), 0) &gt; 0,
    IFERROR(INDEX(data!N:N, MATCH(Caseslist!B190, data!D:D, 0)) = 1, FALSE)
  ),
  "COMPLETE",
  "INC"
)</f>
        <v>COMPLETE</v>
      </c>
      <c r="D190" s="9">
        <f t="array" ref="D190">IFERROR(INDEX(data!$G:$G,match(Caseslist!B190,data!$D:$D,0)), "INC")</f>
        <v>841329</v>
      </c>
      <c r="E190" s="9" t="str">
        <f t="array" ref="E190">IFERROR(INDEX(data!H:H,match(Caseslist!B190,data!D:D,0)), "INC")</f>
        <v>Aila Eli_2</v>
      </c>
      <c r="F190" s="10" t="str">
        <f t="array" ref="F190">IF(
    OR(
      IFNA(INDEX(data!M:M, MATCH(Caseslist!B190, data!D:D, 0)), "") = "",
      IFNA(INDEX(data!M:M, MATCH(Caseslist!B190, data!D:D, 0)), 0) = 0
    ),
    "COMPLETE",
    IF(
      IFNA(INDEX(dataICM!D:D, MATCH(Caseslist!B190, dataICM!D:D, 0)), "INC") = "INC",
      IFNA(INDEX(dataICM!D:D, MATCH(Caseslist!B190, dataICM!D:D, 0)), "INC"),
      "COMPLETE"
    )
  )</f>
        <v>COMPLETE</v>
      </c>
      <c r="G190" s="10" t="str">
        <f t="array" ref="G190">IF(IFERROR(INDEX(data!L:L,match(Caseslist!B190,data!D:D,0)),"INC")="","COMPLETE",F190)</f>
        <v>COMPLETE</v>
      </c>
      <c r="H190" s="9" t="str">
        <f t="array" ref="H190">IFERROR(INDEX(dataICM!F:F,match(Caseslist!B190,dataICM!D:D,0)), "INC")</f>
        <v>Aila Eli_2</v>
      </c>
      <c r="I190" s="10">
        <f t="shared" si="2"/>
        <v>841329</v>
      </c>
      <c r="J190" s="9" t="str">
        <f t="array" ref="J190">IF(
  AND(
    IFERROR(MATCH(B190, data!D:D, 0), 0) &gt; 0,
    IFERROR(INDEX(data!N:N, MATCH(B190, data!D:D, 0)) = 1, FALSE)
  ),
  INDEX(data!C:C, MATCH(B190, data!D:D, 0)),
  "INC"
)</f>
        <v>2025-09-15T13:23:57.132+08</v>
      </c>
      <c r="K190" s="9" t="str">
        <f t="array" ref="K190">IFERROR(INDEX(dataICM!C:C,match(Caseslist!B190,dataICM!D:D,0)), "INC")</f>
        <v>2025-09-15T13:31:38.422+08</v>
      </c>
      <c r="L190" s="10" t="str">
        <f t="array" ref="L190">IF(AND(G190="COMPLETE", OR(K190="INC", ISBLANK(INDEX(data!O:O, ROW())))), J190, K190)</f>
        <v>2025-09-15T13:31:38.422+08</v>
      </c>
      <c r="M190" s="2">
        <v>45915.0</v>
      </c>
      <c r="N190" s="2">
        <f t="array" ref="N190">IF(M190&lt;&gt;"INC", INDEX(data!M:M, MATCH(B190, data!D:D, 0)), "")</f>
        <v>3</v>
      </c>
      <c r="O190" s="2">
        <f t="shared" si="3"/>
        <v>3</v>
      </c>
    </row>
    <row r="191">
      <c r="A191" s="2" t="str">
        <f t="shared" si="1"/>
        <v>H004407</v>
      </c>
      <c r="B191" s="1" t="s">
        <v>6478</v>
      </c>
      <c r="C191" s="9" t="str">
        <f t="array" ref="C191">IF(
  AND(
    IFERROR(MATCH(Caseslist!B191, data!D:D, 0), 0) &gt; 0,
    IFERROR(INDEX(data!N:N, MATCH(Caseslist!B191, data!D:D, 0)) = 1, FALSE)
  ),
  "COMPLETE",
  "INC"
)</f>
        <v>COMPLETE</v>
      </c>
      <c r="D191" s="9">
        <f t="array" ref="D191">IFERROR(INDEX(data!$G:$G,match(Caseslist!B191,data!$D:$D,0)), "INC")</f>
        <v>455939</v>
      </c>
      <c r="E191" s="9" t="str">
        <f t="array" ref="E191">IFERROR(INDEX(data!H:H,match(Caseslist!B191,data!D:D,0)), "INC")</f>
        <v>Mary Jean Villaflor_2</v>
      </c>
      <c r="F191" s="10" t="str">
        <f t="array" ref="F191">IF(
    OR(
      IFNA(INDEX(data!M:M, MATCH(Caseslist!B191, data!D:D, 0)), "") = "",
      IFNA(INDEX(data!M:M, MATCH(Caseslist!B191, data!D:D, 0)), 0) = 0
    ),
    "COMPLETE",
    IF(
      IFNA(INDEX(dataICM!D:D, MATCH(Caseslist!B191, dataICM!D:D, 0)), "INC") = "INC",
      IFNA(INDEX(dataICM!D:D, MATCH(Caseslist!B191, dataICM!D:D, 0)), "INC"),
      "COMPLETE"
    )
  )</f>
        <v>COMPLETE</v>
      </c>
      <c r="G191" s="10" t="str">
        <f t="array" ref="G191">IF(IFERROR(INDEX(data!L:L,match(Caseslist!B191,data!D:D,0)),"INC")="","COMPLETE",F191)</f>
        <v>COMPLETE</v>
      </c>
      <c r="H191" s="9" t="str">
        <f t="array" ref="H191">IFERROR(INDEX(dataICM!F:F,match(Caseslist!B191,dataICM!D:D,0)), "INC")</f>
        <v>Mary Jean Villaflor_2</v>
      </c>
      <c r="I191" s="10">
        <f t="shared" si="2"/>
        <v>455939</v>
      </c>
      <c r="J191" s="9" t="str">
        <f t="array" ref="J191">IF(
  AND(
    IFERROR(MATCH(B191, data!D:D, 0), 0) &gt; 0,
    IFERROR(INDEX(data!N:N, MATCH(B191, data!D:D, 0)) = 1, FALSE)
  ),
  INDEX(data!C:C, MATCH(B191, data!D:D, 0)),
  "INC"
)</f>
        <v>2025-09-15T11:36:16.107+08</v>
      </c>
      <c r="K191" s="9" t="str">
        <f t="array" ref="K191">IFERROR(INDEX(dataICM!C:C,match(Caseslist!B191,dataICM!D:D,0)), "INC")</f>
        <v>2025-09-15T19:12:17.018+08</v>
      </c>
      <c r="L191" s="10" t="str">
        <f t="array" ref="L191">IF(AND(G191="COMPLETE", OR(K191="INC", ISBLANK(INDEX(data!O:O, ROW())))), J191, K191)</f>
        <v>2025-09-15T19:12:17.018+08</v>
      </c>
      <c r="M191" s="2">
        <v>45915.0</v>
      </c>
      <c r="N191" s="2">
        <f t="array" ref="N191">IF(M191&lt;&gt;"INC", INDEX(data!M:M, MATCH(B191, data!D:D, 0)), "")</f>
        <v>3</v>
      </c>
      <c r="O191" s="2">
        <f t="shared" si="3"/>
        <v>3</v>
      </c>
    </row>
    <row r="192">
      <c r="A192" s="2" t="str">
        <f t="shared" si="1"/>
        <v>H004407</v>
      </c>
      <c r="B192" s="1" t="s">
        <v>6488</v>
      </c>
      <c r="C192" s="9" t="str">
        <f t="array" ref="C192">IF(
  AND(
    IFERROR(MATCH(Caseslist!B192, data!D:D, 0), 0) &gt; 0,
    IFERROR(INDEX(data!N:N, MATCH(Caseslist!B192, data!D:D, 0)) = 1, FALSE)
  ),
  "COMPLETE",
  "INC"
)</f>
        <v>COMPLETE</v>
      </c>
      <c r="D192" s="9">
        <f t="array" ref="D192">IFERROR(INDEX(data!$G:$G,match(Caseslist!B192,data!$D:$D,0)), "INC")</f>
        <v>455939</v>
      </c>
      <c r="E192" s="9" t="str">
        <f t="array" ref="E192">IFERROR(INDEX(data!H:H,match(Caseslist!B192,data!D:D,0)), "INC")</f>
        <v>Mary Jean Villaflor_2</v>
      </c>
      <c r="F192" s="10" t="str">
        <f t="array" ref="F192">IF(
    OR(
      IFNA(INDEX(data!M:M, MATCH(Caseslist!B192, data!D:D, 0)), "") = "",
      IFNA(INDEX(data!M:M, MATCH(Caseslist!B192, data!D:D, 0)), 0) = 0
    ),
    "COMPLETE",
    IF(
      IFNA(INDEX(dataICM!D:D, MATCH(Caseslist!B192, dataICM!D:D, 0)), "INC") = "INC",
      IFNA(INDEX(dataICM!D:D, MATCH(Caseslist!B192, dataICM!D:D, 0)), "INC"),
      "COMPLETE"
    )
  )</f>
        <v>COMPLETE</v>
      </c>
      <c r="G192" s="10" t="str">
        <f t="array" ref="G192">IF(IFERROR(INDEX(data!L:L,match(Caseslist!B192,data!D:D,0)),"INC")="","COMPLETE",F192)</f>
        <v>COMPLETE</v>
      </c>
      <c r="H192" s="9" t="str">
        <f t="array" ref="H192">IFERROR(INDEX(dataICM!F:F,match(Caseslist!B192,dataICM!D:D,0)), "INC")</f>
        <v>Mary Jean Villaflor_2</v>
      </c>
      <c r="I192" s="10">
        <f t="shared" si="2"/>
        <v>455939</v>
      </c>
      <c r="J192" s="9" t="str">
        <f t="array" ref="J192">IF(
  AND(
    IFERROR(MATCH(B192, data!D:D, 0), 0) &gt; 0,
    IFERROR(INDEX(data!N:N, MATCH(B192, data!D:D, 0)) = 1, FALSE)
  ),
  INDEX(data!C:C, MATCH(B192, data!D:D, 0)),
  "INC"
)</f>
        <v>2025-09-15T14:30:49.565+08</v>
      </c>
      <c r="K192" s="9" t="str">
        <f t="array" ref="K192">IFERROR(INDEX(dataICM!C:C,match(Caseslist!B192,dataICM!D:D,0)), "INC")</f>
        <v>2025-09-15T14:36:59.358+08</v>
      </c>
      <c r="L192" s="10" t="str">
        <f t="array" ref="L192">IF(AND(G192="COMPLETE", OR(K192="INC", ISBLANK(INDEX(data!O:O, ROW())))), J192, K192)</f>
        <v>2025-09-15T14:36:59.358+08</v>
      </c>
      <c r="M192" s="2">
        <v>45915.0</v>
      </c>
      <c r="N192" s="2">
        <f t="array" ref="N192">IF(M192&lt;&gt;"INC", INDEX(data!M:M, MATCH(B192, data!D:D, 0)), "")</f>
        <v>3</v>
      </c>
      <c r="O192" s="2">
        <f t="shared" si="3"/>
        <v>3</v>
      </c>
    </row>
    <row r="193">
      <c r="A193" s="2" t="str">
        <f t="shared" si="1"/>
        <v>H004407</v>
      </c>
      <c r="B193" s="1" t="s">
        <v>6473</v>
      </c>
      <c r="C193" s="9" t="str">
        <f t="array" ref="C193">IF(
  AND(
    IFERROR(MATCH(Caseslist!B193, data!D:D, 0), 0) &gt; 0,
    IFERROR(INDEX(data!N:N, MATCH(Caseslist!B193, data!D:D, 0)) = 1, FALSE)
  ),
  "COMPLETE",
  "INC"
)</f>
        <v>COMPLETE</v>
      </c>
      <c r="D193" s="9">
        <f t="array" ref="D193">IFERROR(INDEX(data!$G:$G,match(Caseslist!B193,data!$D:$D,0)), "INC")</f>
        <v>455939</v>
      </c>
      <c r="E193" s="9" t="str">
        <f t="array" ref="E193">IFERROR(INDEX(data!H:H,match(Caseslist!B193,data!D:D,0)), "INC")</f>
        <v>Mary Jean Villaflor_2</v>
      </c>
      <c r="F193" s="10" t="str">
        <f t="array" ref="F193">IF(
    OR(
      IFNA(INDEX(data!M:M, MATCH(Caseslist!B193, data!D:D, 0)), "") = "",
      IFNA(INDEX(data!M:M, MATCH(Caseslist!B193, data!D:D, 0)), 0) = 0
    ),
    "COMPLETE",
    IF(
      IFNA(INDEX(dataICM!D:D, MATCH(Caseslist!B193, dataICM!D:D, 0)), "INC") = "INC",
      IFNA(INDEX(dataICM!D:D, MATCH(Caseslist!B193, dataICM!D:D, 0)), "INC"),
      "COMPLETE"
    )
  )</f>
        <v>COMPLETE</v>
      </c>
      <c r="G193" s="10" t="str">
        <f t="array" ref="G193">IF(IFERROR(INDEX(data!L:L,match(Caseslist!B193,data!D:D,0)),"INC")="","COMPLETE",F193)</f>
        <v>COMPLETE</v>
      </c>
      <c r="H193" s="9" t="str">
        <f t="array" ref="H193">IFERROR(INDEX(dataICM!F:F,match(Caseslist!B193,dataICM!D:D,0)), "INC")</f>
        <v>Mary Jean Villaflor_2</v>
      </c>
      <c r="I193" s="10">
        <f t="shared" si="2"/>
        <v>455939</v>
      </c>
      <c r="J193" s="9" t="str">
        <f t="array" ref="J193">IF(
  AND(
    IFERROR(MATCH(B193, data!D:D, 0), 0) &gt; 0,
    IFERROR(INDEX(data!N:N, MATCH(B193, data!D:D, 0)) = 1, FALSE)
  ),
  INDEX(data!C:C, MATCH(B193, data!D:D, 0)),
  "INC"
)</f>
        <v>2025-09-15T10:24:29.066+08</v>
      </c>
      <c r="K193" s="9" t="str">
        <f t="array" ref="K193">IFERROR(INDEX(dataICM!C:C,match(Caseslist!B193,dataICM!D:D,0)), "INC")</f>
        <v>2025-09-15T10:30:07.687+08</v>
      </c>
      <c r="L193" s="10" t="str">
        <f t="array" ref="L193">IF(AND(G193="COMPLETE", OR(K193="INC", ISBLANK(INDEX(data!O:O, ROW())))), J193, K193)</f>
        <v>2025-09-15T10:30:07.687+08</v>
      </c>
      <c r="M193" s="2">
        <v>45915.0</v>
      </c>
      <c r="N193" s="2">
        <f t="array" ref="N193">IF(M193&lt;&gt;"INC", INDEX(data!M:M, MATCH(B193, data!D:D, 0)), "")</f>
        <v>3</v>
      </c>
      <c r="O193" s="2">
        <f t="shared" si="3"/>
        <v>3</v>
      </c>
    </row>
    <row r="194">
      <c r="A194" s="2" t="str">
        <f t="shared" si="1"/>
        <v>H004407</v>
      </c>
      <c r="B194" s="1" t="s">
        <v>6493</v>
      </c>
      <c r="C194" s="9" t="str">
        <f t="array" ref="C194">IF(
  AND(
    IFERROR(MATCH(Caseslist!B194, data!D:D, 0), 0) &gt; 0,
    IFERROR(INDEX(data!N:N, MATCH(Caseslist!B194, data!D:D, 0)) = 1, FALSE)
  ),
  "COMPLETE",
  "INC"
)</f>
        <v>COMPLETE</v>
      </c>
      <c r="D194" s="9">
        <f t="array" ref="D194">IFERROR(INDEX(data!$G:$G,match(Caseslist!B194,data!$D:$D,0)), "INC")</f>
        <v>455939</v>
      </c>
      <c r="E194" s="9" t="str">
        <f t="array" ref="E194">IFERROR(INDEX(data!H:H,match(Caseslist!B194,data!D:D,0)), "INC")</f>
        <v>Mary Jean Villaflor_2</v>
      </c>
      <c r="F194" s="10" t="str">
        <f t="array" ref="F194">IF(
    OR(
      IFNA(INDEX(data!M:M, MATCH(Caseslist!B194, data!D:D, 0)), "") = "",
      IFNA(INDEX(data!M:M, MATCH(Caseslist!B194, data!D:D, 0)), 0) = 0
    ),
    "COMPLETE",
    IF(
      IFNA(INDEX(dataICM!D:D, MATCH(Caseslist!B194, dataICM!D:D, 0)), "INC") = "INC",
      IFNA(INDEX(dataICM!D:D, MATCH(Caseslist!B194, dataICM!D:D, 0)), "INC"),
      "COMPLETE"
    )
  )</f>
        <v>COMPLETE</v>
      </c>
      <c r="G194" s="10" t="str">
        <f t="array" ref="G194">IF(IFERROR(INDEX(data!L:L,match(Caseslist!B194,data!D:D,0)),"INC")="","COMPLETE",F194)</f>
        <v>COMPLETE</v>
      </c>
      <c r="H194" s="9" t="str">
        <f t="array" ref="H194">IFERROR(INDEX(dataICM!F:F,match(Caseslist!B194,dataICM!D:D,0)), "INC")</f>
        <v>Mary Jean Villaflor_2</v>
      </c>
      <c r="I194" s="10">
        <f t="shared" si="2"/>
        <v>455939</v>
      </c>
      <c r="J194" s="9" t="str">
        <f t="array" ref="J194">IF(
  AND(
    IFERROR(MATCH(B194, data!D:D, 0), 0) &gt; 0,
    IFERROR(INDEX(data!N:N, MATCH(B194, data!D:D, 0)) = 1, FALSE)
  ),
  INDEX(data!C:C, MATCH(B194, data!D:D, 0)),
  "INC"
)</f>
        <v>2025-09-28T09:45:37.644+08</v>
      </c>
      <c r="K194" s="9" t="str">
        <f t="array" ref="K194">IFERROR(INDEX(dataICM!C:C,match(Caseslist!B194,dataICM!D:D,0)), "INC")</f>
        <v>2025-09-28T09:52:33.036+08</v>
      </c>
      <c r="L194" s="10" t="str">
        <f t="array" ref="L194">IF(AND(G194="COMPLETE", OR(K194="INC", ISBLANK(INDEX(data!O:O, ROW())))), J194, K194)</f>
        <v>2025-09-28T09:52:33.036+08</v>
      </c>
      <c r="M194" s="2">
        <v>45928.0</v>
      </c>
      <c r="N194" s="2">
        <f t="array" ref="N194">IF(M194&lt;&gt;"INC", INDEX(data!M:M, MATCH(B194, data!D:D, 0)), "")</f>
        <v>3</v>
      </c>
      <c r="O194" s="2">
        <f t="shared" si="3"/>
        <v>3</v>
      </c>
    </row>
    <row r="195">
      <c r="A195" s="2" t="str">
        <f t="shared" si="1"/>
        <v>H004407</v>
      </c>
      <c r="B195" s="1" t="s">
        <v>6483</v>
      </c>
      <c r="C195" s="9" t="str">
        <f t="array" ref="C195">IF(
  AND(
    IFERROR(MATCH(Caseslist!B195, data!D:D, 0), 0) &gt; 0,
    IFERROR(INDEX(data!N:N, MATCH(Caseslist!B195, data!D:D, 0)) = 1, FALSE)
  ),
  "COMPLETE",
  "INC"
)</f>
        <v>COMPLETE</v>
      </c>
      <c r="D195" s="9">
        <f t="array" ref="D195">IFERROR(INDEX(data!$G:$G,match(Caseslist!B195,data!$D:$D,0)), "INC")</f>
        <v>455939</v>
      </c>
      <c r="E195" s="9" t="str">
        <f t="array" ref="E195">IFERROR(INDEX(data!H:H,match(Caseslist!B195,data!D:D,0)), "INC")</f>
        <v>Mary Jean Villaflor_2</v>
      </c>
      <c r="F195" s="10" t="str">
        <f t="array" ref="F195">IF(
    OR(
      IFNA(INDEX(data!M:M, MATCH(Caseslist!B195, data!D:D, 0)), "") = "",
      IFNA(INDEX(data!M:M, MATCH(Caseslist!B195, data!D:D, 0)), 0) = 0
    ),
    "COMPLETE",
    IF(
      IFNA(INDEX(dataICM!D:D, MATCH(Caseslist!B195, dataICM!D:D, 0)), "INC") = "INC",
      IFNA(INDEX(dataICM!D:D, MATCH(Caseslist!B195, dataICM!D:D, 0)), "INC"),
      "COMPLETE"
    )
  )</f>
        <v>COMPLETE</v>
      </c>
      <c r="G195" s="10" t="str">
        <f t="array" ref="G195">IF(IFERROR(INDEX(data!L:L,match(Caseslist!B195,data!D:D,0)),"INC")="","COMPLETE",F195)</f>
        <v>COMPLETE</v>
      </c>
      <c r="H195" s="9" t="str">
        <f t="array" ref="H195">IFERROR(INDEX(dataICM!F:F,match(Caseslist!B195,dataICM!D:D,0)), "INC")</f>
        <v>Mary Jean Villaflor_2</v>
      </c>
      <c r="I195" s="10">
        <f t="shared" si="2"/>
        <v>455939</v>
      </c>
      <c r="J195" s="9" t="str">
        <f t="array" ref="J195">IF(
  AND(
    IFERROR(MATCH(B195, data!D:D, 0), 0) &gt; 0,
    IFERROR(INDEX(data!N:N, MATCH(B195, data!D:D, 0)) = 1, FALSE)
  ),
  INDEX(data!C:C, MATCH(B195, data!D:D, 0)),
  "INC"
)</f>
        <v>2025-09-15T13:32:14.405+08</v>
      </c>
      <c r="K195" s="9" t="str">
        <f t="array" ref="K195">IFERROR(INDEX(dataICM!C:C,match(Caseslist!B195,dataICM!D:D,0)), "INC")</f>
        <v>2025-09-15T13:38:16.823+08</v>
      </c>
      <c r="L195" s="10" t="str">
        <f t="array" ref="L195">IF(AND(G195="COMPLETE", OR(K195="INC", ISBLANK(INDEX(data!O:O, ROW())))), J195, K195)</f>
        <v>2025-09-15T13:38:16.823+08</v>
      </c>
      <c r="M195" s="2">
        <v>45915.0</v>
      </c>
      <c r="N195" s="2">
        <f t="array" ref="N195">IF(M195&lt;&gt;"INC", INDEX(data!M:M, MATCH(B195, data!D:D, 0)), "")</f>
        <v>3</v>
      </c>
      <c r="O195" s="2">
        <f t="shared" si="3"/>
        <v>3</v>
      </c>
    </row>
    <row r="196">
      <c r="A196" s="2" t="str">
        <f t="shared" si="1"/>
        <v>H004407</v>
      </c>
      <c r="B196" s="1" t="s">
        <v>6348</v>
      </c>
      <c r="C196" s="9" t="str">
        <f t="array" ref="C196">IF(
  AND(
    IFERROR(MATCH(Caseslist!B196, data!D:D, 0), 0) &gt; 0,
    IFERROR(INDEX(data!N:N, MATCH(Caseslist!B196, data!D:D, 0)) = 1, FALSE)
  ),
  "COMPLETE",
  "INC"
)</f>
        <v>COMPLETE</v>
      </c>
      <c r="D196" s="9">
        <f t="array" ref="D196">IFERROR(INDEX(data!$G:$G,match(Caseslist!B196,data!$D:$D,0)), "INC")</f>
        <v>841329</v>
      </c>
      <c r="E196" s="9" t="str">
        <f t="array" ref="E196">IFERROR(INDEX(data!H:H,match(Caseslist!B196,data!D:D,0)), "INC")</f>
        <v>Aila Eli_2</v>
      </c>
      <c r="F196" s="10" t="str">
        <f t="array" ref="F196">IF(
    OR(
      IFNA(INDEX(data!M:M, MATCH(Caseslist!B196, data!D:D, 0)), "") = "",
      IFNA(INDEX(data!M:M, MATCH(Caseslist!B196, data!D:D, 0)), 0) = 0
    ),
    "COMPLETE",
    IF(
      IFNA(INDEX(dataICM!D:D, MATCH(Caseslist!B196, dataICM!D:D, 0)), "INC") = "INC",
      IFNA(INDEX(dataICM!D:D, MATCH(Caseslist!B196, dataICM!D:D, 0)), "INC"),
      "COMPLETE"
    )
  )</f>
        <v>COMPLETE</v>
      </c>
      <c r="G196" s="10" t="str">
        <f t="array" ref="G196">IF(IFERROR(INDEX(data!L:L,match(Caseslist!B196,data!D:D,0)),"INC")="","COMPLETE",F196)</f>
        <v>COMPLETE</v>
      </c>
      <c r="H196" s="9" t="str">
        <f t="array" ref="H196">IFERROR(INDEX(dataICM!F:F,match(Caseslist!B196,dataICM!D:D,0)), "INC")</f>
        <v>Aila Eli_2</v>
      </c>
      <c r="I196" s="10">
        <f t="shared" si="2"/>
        <v>841329</v>
      </c>
      <c r="J196" s="9" t="str">
        <f t="array" ref="J196">IF(
  AND(
    IFERROR(MATCH(B196, data!D:D, 0), 0) &gt; 0,
    IFERROR(INDEX(data!N:N, MATCH(B196, data!D:D, 0)) = 1, FALSE)
  ),
  INDEX(data!C:C, MATCH(B196, data!D:D, 0)),
  "INC"
)</f>
        <v>2025-09-23T14:21:17.405+08</v>
      </c>
      <c r="K196" s="9" t="str">
        <f t="array" ref="K196">IFERROR(INDEX(dataICM!C:C,match(Caseslist!B196,dataICM!D:D,0)), "INC")</f>
        <v>2025-09-23T14:29:57.303+08</v>
      </c>
      <c r="L196" s="10" t="str">
        <f t="array" ref="L196">IF(AND(G196="COMPLETE", OR(K196="INC", ISBLANK(INDEX(data!O:O, ROW())))), J196, K196)</f>
        <v>2025-09-23T14:29:57.303+08</v>
      </c>
      <c r="M196" s="2">
        <v>45923.0</v>
      </c>
      <c r="N196" s="2">
        <f t="array" ref="N196">IF(M196&lt;&gt;"INC", INDEX(data!M:M, MATCH(B196, data!D:D, 0)), "")</f>
        <v>3</v>
      </c>
      <c r="O196" s="2">
        <f t="shared" si="3"/>
        <v>3</v>
      </c>
    </row>
    <row r="197">
      <c r="A197" s="2" t="str">
        <f t="shared" si="1"/>
        <v>H004407</v>
      </c>
      <c r="B197" s="1" t="s">
        <v>6358</v>
      </c>
      <c r="C197" s="9" t="str">
        <f t="array" ref="C197">IF(
  AND(
    IFERROR(MATCH(Caseslist!B197, data!D:D, 0), 0) &gt; 0,
    IFERROR(INDEX(data!N:N, MATCH(Caseslist!B197, data!D:D, 0)) = 1, FALSE)
  ),
  "COMPLETE",
  "INC"
)</f>
        <v>COMPLETE</v>
      </c>
      <c r="D197" s="9">
        <f t="array" ref="D197">IFERROR(INDEX(data!$G:$G,match(Caseslist!B197,data!$D:$D,0)), "INC")</f>
        <v>555127</v>
      </c>
      <c r="E197" s="9" t="str">
        <f t="array" ref="E197">IFERROR(INDEX(data!H:H,match(Caseslist!B197,data!D:D,0)), "INC")</f>
        <v>Mary May_2</v>
      </c>
      <c r="F197" s="10" t="str">
        <f t="array" ref="F197">IF(
    OR(
      IFNA(INDEX(data!M:M, MATCH(Caseslist!B197, data!D:D, 0)), "") = "",
      IFNA(INDEX(data!M:M, MATCH(Caseslist!B197, data!D:D, 0)), 0) = 0
    ),
    "COMPLETE",
    IF(
      IFNA(INDEX(dataICM!D:D, MATCH(Caseslist!B197, dataICM!D:D, 0)), "INC") = "INC",
      IFNA(INDEX(dataICM!D:D, MATCH(Caseslist!B197, dataICM!D:D, 0)), "INC"),
      "COMPLETE"
    )
  )</f>
        <v>COMPLETE</v>
      </c>
      <c r="G197" s="10" t="str">
        <f t="array" ref="G197">IF(IFERROR(INDEX(data!L:L,match(Caseslist!B197,data!D:D,0)),"INC")="","COMPLETE",F197)</f>
        <v>COMPLETE</v>
      </c>
      <c r="H197" s="9" t="str">
        <f t="array" ref="H197">IFERROR(INDEX(dataICM!F:F,match(Caseslist!B197,dataICM!D:D,0)), "INC")</f>
        <v>Mary May_2</v>
      </c>
      <c r="I197" s="10">
        <f t="shared" si="2"/>
        <v>555127</v>
      </c>
      <c r="J197" s="9" t="str">
        <f t="array" ref="J197">IF(
  AND(
    IFERROR(MATCH(B197, data!D:D, 0), 0) &gt; 0,
    IFERROR(INDEX(data!N:N, MATCH(B197, data!D:D, 0)) = 1, FALSE)
  ),
  INDEX(data!C:C, MATCH(B197, data!D:D, 0)),
  "INC"
)</f>
        <v>2025-09-15T16:15:25.471+08</v>
      </c>
      <c r="K197" s="9" t="str">
        <f t="array" ref="K197">IFERROR(INDEX(dataICM!C:C,match(Caseslist!B197,dataICM!D:D,0)), "INC")</f>
        <v>2025-09-15T16:20:39.059+08</v>
      </c>
      <c r="L197" s="10" t="str">
        <f t="array" ref="L197">IF(AND(G197="COMPLETE", OR(K197="INC", ISBLANK(INDEX(data!O:O, ROW())))), J197, K197)</f>
        <v>2025-09-15T16:20:39.059+08</v>
      </c>
      <c r="M197" s="2">
        <v>45915.0</v>
      </c>
      <c r="N197" s="2">
        <f t="array" ref="N197">IF(M197&lt;&gt;"INC", INDEX(data!M:M, MATCH(B197, data!D:D, 0)), "")</f>
        <v>3</v>
      </c>
      <c r="O197" s="2">
        <f t="shared" si="3"/>
        <v>3</v>
      </c>
    </row>
    <row r="198">
      <c r="A198" s="2" t="str">
        <f t="shared" si="1"/>
        <v>H004407</v>
      </c>
      <c r="B198" s="1" t="s">
        <v>6363</v>
      </c>
      <c r="C198" s="9" t="str">
        <f t="array" ref="C198">IF(
  AND(
    IFERROR(MATCH(Caseslist!B198, data!D:D, 0), 0) &gt; 0,
    IFERROR(INDEX(data!N:N, MATCH(Caseslist!B198, data!D:D, 0)) = 1, FALSE)
  ),
  "COMPLETE",
  "INC"
)</f>
        <v>COMPLETE</v>
      </c>
      <c r="D198" s="9">
        <f t="array" ref="D198">IFERROR(INDEX(data!$G:$G,match(Caseslist!B198,data!$D:$D,0)), "INC")</f>
        <v>555127</v>
      </c>
      <c r="E198" s="9" t="str">
        <f t="array" ref="E198">IFERROR(INDEX(data!H:H,match(Caseslist!B198,data!D:D,0)), "INC")</f>
        <v>Mary May_2</v>
      </c>
      <c r="F198" s="10" t="str">
        <f t="array" ref="F198">IF(
    OR(
      IFNA(INDEX(data!M:M, MATCH(Caseslist!B198, data!D:D, 0)), "") = "",
      IFNA(INDEX(data!M:M, MATCH(Caseslist!B198, data!D:D, 0)), 0) = 0
    ),
    "COMPLETE",
    IF(
      IFNA(INDEX(dataICM!D:D, MATCH(Caseslist!B198, dataICM!D:D, 0)), "INC") = "INC",
      IFNA(INDEX(dataICM!D:D, MATCH(Caseslist!B198, dataICM!D:D, 0)), "INC"),
      "COMPLETE"
    )
  )</f>
        <v>COMPLETE</v>
      </c>
      <c r="G198" s="10" t="str">
        <f t="array" ref="G198">IF(IFERROR(INDEX(data!L:L,match(Caseslist!B198,data!D:D,0)),"INC")="","COMPLETE",F198)</f>
        <v>COMPLETE</v>
      </c>
      <c r="H198" s="9" t="str">
        <f t="array" ref="H198">IFERROR(INDEX(dataICM!F:F,match(Caseslist!B198,dataICM!D:D,0)), "INC")</f>
        <v>Mary May_2</v>
      </c>
      <c r="I198" s="10">
        <f t="shared" si="2"/>
        <v>555127</v>
      </c>
      <c r="J198" s="9" t="str">
        <f t="array" ref="J198">IF(
  AND(
    IFERROR(MATCH(B198, data!D:D, 0), 0) &gt; 0,
    IFERROR(INDEX(data!N:N, MATCH(B198, data!D:D, 0)) = 1, FALSE)
  ),
  INDEX(data!C:C, MATCH(B198, data!D:D, 0)),
  "INC"
)</f>
        <v>2025-09-15T11:03:53.121+08</v>
      </c>
      <c r="K198" s="9" t="str">
        <f t="array" ref="K198">IFERROR(INDEX(dataICM!C:C,match(Caseslist!B198,dataICM!D:D,0)), "INC")</f>
        <v>2025-09-15T11:08:22.526+08</v>
      </c>
      <c r="L198" s="10" t="str">
        <f t="array" ref="L198">IF(AND(G198="COMPLETE", OR(K198="INC", ISBLANK(INDEX(data!O:O, ROW())))), J198, K198)</f>
        <v>2025-09-15T11:08:22.526+08</v>
      </c>
      <c r="M198" s="2">
        <v>45915.0</v>
      </c>
      <c r="N198" s="2">
        <f t="array" ref="N198">IF(M198&lt;&gt;"INC", INDEX(data!M:M, MATCH(B198, data!D:D, 0)), "")</f>
        <v>3</v>
      </c>
      <c r="O198" s="2">
        <f t="shared" si="3"/>
        <v>3</v>
      </c>
    </row>
    <row r="199">
      <c r="A199" s="2" t="str">
        <f t="shared" si="1"/>
        <v>H004407</v>
      </c>
      <c r="B199" s="1" t="s">
        <v>6368</v>
      </c>
      <c r="C199" s="9" t="str">
        <f t="array" ref="C199">IF(
  AND(
    IFERROR(MATCH(Caseslist!B199, data!D:D, 0), 0) &gt; 0,
    IFERROR(INDEX(data!N:N, MATCH(Caseslist!B199, data!D:D, 0)) = 1, FALSE)
  ),
  "COMPLETE",
  "INC"
)</f>
        <v>COMPLETE</v>
      </c>
      <c r="D199" s="9">
        <f t="array" ref="D199">IFERROR(INDEX(data!$G:$G,match(Caseslist!B199,data!$D:$D,0)), "INC")</f>
        <v>555127</v>
      </c>
      <c r="E199" s="9" t="str">
        <f t="array" ref="E199">IFERROR(INDEX(data!H:H,match(Caseslist!B199,data!D:D,0)), "INC")</f>
        <v>Mary May_2</v>
      </c>
      <c r="F199" s="10" t="str">
        <f t="array" ref="F199">IF(
    OR(
      IFNA(INDEX(data!M:M, MATCH(Caseslist!B199, data!D:D, 0)), "") = "",
      IFNA(INDEX(data!M:M, MATCH(Caseslist!B199, data!D:D, 0)), 0) = 0
    ),
    "COMPLETE",
    IF(
      IFNA(INDEX(dataICM!D:D, MATCH(Caseslist!B199, dataICM!D:D, 0)), "INC") = "INC",
      IFNA(INDEX(dataICM!D:D, MATCH(Caseslist!B199, dataICM!D:D, 0)), "INC"),
      "COMPLETE"
    )
  )</f>
        <v>COMPLETE</v>
      </c>
      <c r="G199" s="10" t="str">
        <f t="array" ref="G199">IF(IFERROR(INDEX(data!L:L,match(Caseslist!B199,data!D:D,0)),"INC")="","COMPLETE",F199)</f>
        <v>COMPLETE</v>
      </c>
      <c r="H199" s="9" t="str">
        <f t="array" ref="H199">IFERROR(INDEX(dataICM!F:F,match(Caseslist!B199,dataICM!D:D,0)), "INC")</f>
        <v>Mary May_2</v>
      </c>
      <c r="I199" s="10">
        <f t="shared" si="2"/>
        <v>555127</v>
      </c>
      <c r="J199" s="9" t="str">
        <f t="array" ref="J199">IF(
  AND(
    IFERROR(MATCH(B199, data!D:D, 0), 0) &gt; 0,
    IFERROR(INDEX(data!N:N, MATCH(B199, data!D:D, 0)) = 1, FALSE)
  ),
  INDEX(data!C:C, MATCH(B199, data!D:D, 0)),
  "INC"
)</f>
        <v>2025-09-15T12:23:10.474+08</v>
      </c>
      <c r="K199" s="9" t="str">
        <f t="array" ref="K199">IFERROR(INDEX(dataICM!C:C,match(Caseslist!B199,dataICM!D:D,0)), "INC")</f>
        <v>2025-09-15T12:34:34.589+08</v>
      </c>
      <c r="L199" s="10" t="str">
        <f t="array" ref="L199">IF(AND(G199="COMPLETE", OR(K199="INC", ISBLANK(INDEX(data!O:O, ROW())))), J199, K199)</f>
        <v>2025-09-15T12:34:34.589+08</v>
      </c>
      <c r="M199" s="2">
        <v>45915.0</v>
      </c>
      <c r="N199" s="2">
        <f t="array" ref="N199">IF(M199&lt;&gt;"INC", INDEX(data!M:M, MATCH(B199, data!D:D, 0)), "")</f>
        <v>3</v>
      </c>
      <c r="O199" s="2">
        <f t="shared" si="3"/>
        <v>3</v>
      </c>
    </row>
    <row r="200">
      <c r="A200" s="2" t="str">
        <f t="shared" si="1"/>
        <v>H004407</v>
      </c>
      <c r="B200" s="1" t="s">
        <v>6353</v>
      </c>
      <c r="C200" s="9" t="str">
        <f t="array" ref="C200">IF(
  AND(
    IFERROR(MATCH(Caseslist!B200, data!D:D, 0), 0) &gt; 0,
    IFERROR(INDEX(data!N:N, MATCH(Caseslist!B200, data!D:D, 0)) = 1, FALSE)
  ),
  "COMPLETE",
  "INC"
)</f>
        <v>COMPLETE</v>
      </c>
      <c r="D200" s="9">
        <f t="array" ref="D200">IFERROR(INDEX(data!$G:$G,match(Caseslist!B200,data!$D:$D,0)), "INC")</f>
        <v>555127</v>
      </c>
      <c r="E200" s="9" t="str">
        <f t="array" ref="E200">IFERROR(INDEX(data!H:H,match(Caseslist!B200,data!D:D,0)), "INC")</f>
        <v>Mary May_2</v>
      </c>
      <c r="F200" s="10" t="str">
        <f t="array" ref="F200">IF(
    OR(
      IFNA(INDEX(data!M:M, MATCH(Caseslist!B200, data!D:D, 0)), "") = "",
      IFNA(INDEX(data!M:M, MATCH(Caseslist!B200, data!D:D, 0)), 0) = 0
    ),
    "COMPLETE",
    IF(
      IFNA(INDEX(dataICM!D:D, MATCH(Caseslist!B200, dataICM!D:D, 0)), "INC") = "INC",
      IFNA(INDEX(dataICM!D:D, MATCH(Caseslist!B200, dataICM!D:D, 0)), "INC"),
      "COMPLETE"
    )
  )</f>
        <v>COMPLETE</v>
      </c>
      <c r="G200" s="10" t="str">
        <f t="array" ref="G200">IF(IFERROR(INDEX(data!L:L,match(Caseslist!B200,data!D:D,0)),"INC")="","COMPLETE",F200)</f>
        <v>COMPLETE</v>
      </c>
      <c r="H200" s="9" t="str">
        <f t="array" ref="H200">IFERROR(INDEX(dataICM!F:F,match(Caseslist!B200,dataICM!D:D,0)), "INC")</f>
        <v>Mary May_2</v>
      </c>
      <c r="I200" s="10">
        <f t="shared" si="2"/>
        <v>555127</v>
      </c>
      <c r="J200" s="9" t="str">
        <f t="array" ref="J200">IF(
  AND(
    IFERROR(MATCH(B200, data!D:D, 0), 0) &gt; 0,
    IFERROR(INDEX(data!N:N, MATCH(B200, data!D:D, 0)) = 1, FALSE)
  ),
  INDEX(data!C:C, MATCH(B200, data!D:D, 0)),
  "INC"
)</f>
        <v>2025-09-15T14:30:05.524+08</v>
      </c>
      <c r="K200" s="9" t="str">
        <f t="array" ref="K200">IFERROR(INDEX(dataICM!C:C,match(Caseslist!B200,dataICM!D:D,0)), "INC")</f>
        <v>2025-09-15T17:52:36.395+08</v>
      </c>
      <c r="L200" s="10" t="str">
        <f t="array" ref="L200">IF(AND(G200="COMPLETE", OR(K200="INC", ISBLANK(INDEX(data!O:O, ROW())))), J200, K200)</f>
        <v>2025-09-15T17:52:36.395+08</v>
      </c>
      <c r="M200" s="2">
        <v>45915.0</v>
      </c>
      <c r="N200" s="2">
        <f t="array" ref="N200">IF(M200&lt;&gt;"INC", INDEX(data!M:M, MATCH(B200, data!D:D, 0)), "")</f>
        <v>3</v>
      </c>
      <c r="O200" s="2">
        <f t="shared" si="3"/>
        <v>3</v>
      </c>
    </row>
    <row r="201">
      <c r="A201" s="2" t="str">
        <f t="shared" si="1"/>
        <v>H004541</v>
      </c>
      <c r="B201" s="1" t="s">
        <v>5333</v>
      </c>
      <c r="C201" s="9" t="str">
        <f t="array" ref="C201">IF(
  AND(
    IFERROR(MATCH(Caseslist!B201, data!D:D, 0), 0) &gt; 0,
    IFERROR(INDEX(data!N:N, MATCH(Caseslist!B201, data!D:D, 0)) = 1, FALSE)
  ),
  "COMPLETE",
  "INC"
)</f>
        <v>COMPLETE</v>
      </c>
      <c r="D201" s="9">
        <f t="array" ref="D201">IFERROR(INDEX(data!$G:$G,match(Caseslist!B201,data!$D:$D,0)), "INC")</f>
        <v>455939</v>
      </c>
      <c r="E201" s="9" t="str">
        <f t="array" ref="E201">IFERROR(INDEX(data!H:H,match(Caseslist!B201,data!D:D,0)), "INC")</f>
        <v>Mary Jean Villaflor_2</v>
      </c>
      <c r="F201" s="10" t="str">
        <f t="array" ref="F201">IF(
    OR(
      IFNA(INDEX(data!M:M, MATCH(Caseslist!B201, data!D:D, 0)), "") = "",
      IFNA(INDEX(data!M:M, MATCH(Caseslist!B201, data!D:D, 0)), 0) = 0
    ),
    "COMPLETE",
    IF(
      IFNA(INDEX(dataICM!D:D, MATCH(Caseslist!B201, dataICM!D:D, 0)), "INC") = "INC",
      IFNA(INDEX(dataICM!D:D, MATCH(Caseslist!B201, dataICM!D:D, 0)), "INC"),
      "COMPLETE"
    )
  )</f>
        <v>COMPLETE</v>
      </c>
      <c r="G201" s="10" t="str">
        <f t="array" ref="G201">IF(IFERROR(INDEX(data!L:L,match(Caseslist!B201,data!D:D,0)),"INC")="","COMPLETE",F201)</f>
        <v>COMPLETE</v>
      </c>
      <c r="H201" s="9" t="str">
        <f t="array" ref="H201">IFERROR(INDEX(dataICM!F:F,match(Caseslist!B201,dataICM!D:D,0)), "INC")</f>
        <v>INC</v>
      </c>
      <c r="I201" s="10">
        <f t="shared" si="2"/>
        <v>455939</v>
      </c>
      <c r="J201" s="9" t="str">
        <f t="array" ref="J201">IF(
  AND(
    IFERROR(MATCH(B201, data!D:D, 0), 0) &gt; 0,
    IFERROR(INDEX(data!N:N, MATCH(B201, data!D:D, 0)) = 1, FALSE)
  ),
  INDEX(data!C:C, MATCH(B201, data!D:D, 0)),
  "INC"
)</f>
        <v>2025-09-11T15:13:43.868+08</v>
      </c>
      <c r="K201" s="9" t="str">
        <f t="array" ref="K201">IFERROR(INDEX(dataICM!C:C,match(Caseslist!B201,dataICM!D:D,0)), "INC")</f>
        <v>INC</v>
      </c>
      <c r="L201" s="10" t="str">
        <f t="array" ref="L201">IF(AND(G201="COMPLETE", OR(K201="INC", ISBLANK(INDEX(data!O:O, ROW())))), J201, K201)</f>
        <v>2025-09-11T15:13:43.868+08</v>
      </c>
      <c r="M201" s="2">
        <v>45911.0</v>
      </c>
      <c r="N201" s="2">
        <f t="array" ref="N201">IF(M201&lt;&gt;"INC", INDEX(data!M:M, MATCH(B201, data!D:D, 0)), "")</f>
        <v>0</v>
      </c>
      <c r="O201" s="2">
        <f t="shared" si="3"/>
        <v>0</v>
      </c>
    </row>
    <row r="202">
      <c r="A202" s="2" t="str">
        <f t="shared" si="1"/>
        <v>H004541</v>
      </c>
      <c r="B202" s="1" t="s">
        <v>5318</v>
      </c>
      <c r="C202" s="9" t="str">
        <f t="array" ref="C202">IF(
  AND(
    IFERROR(MATCH(Caseslist!B202, data!D:D, 0), 0) &gt; 0,
    IFERROR(INDEX(data!N:N, MATCH(Caseslist!B202, data!D:D, 0)) = 1, FALSE)
  ),
  "COMPLETE",
  "INC"
)</f>
        <v>COMPLETE</v>
      </c>
      <c r="D202" s="9">
        <f t="array" ref="D202">IFERROR(INDEX(data!$G:$G,match(Caseslist!B202,data!$D:$D,0)), "INC")</f>
        <v>841329</v>
      </c>
      <c r="E202" s="9" t="str">
        <f t="array" ref="E202">IFERROR(INDEX(data!H:H,match(Caseslist!B202,data!D:D,0)), "INC")</f>
        <v>Aila Eli_2</v>
      </c>
      <c r="F202" s="10" t="str">
        <f t="array" ref="F202">IF(
    OR(
      IFNA(INDEX(data!M:M, MATCH(Caseslist!B202, data!D:D, 0)), "") = "",
      IFNA(INDEX(data!M:M, MATCH(Caseslist!B202, data!D:D, 0)), 0) = 0
    ),
    "COMPLETE",
    IF(
      IFNA(INDEX(dataICM!D:D, MATCH(Caseslist!B202, dataICM!D:D, 0)), "INC") = "INC",
      IFNA(INDEX(dataICM!D:D, MATCH(Caseslist!B202, dataICM!D:D, 0)), "INC"),
      "COMPLETE"
    )
  )</f>
        <v>COMPLETE</v>
      </c>
      <c r="G202" s="10" t="str">
        <f t="array" ref="G202">IF(IFERROR(INDEX(data!L:L,match(Caseslist!B202,data!D:D,0)),"INC")="","COMPLETE",F202)</f>
        <v>COMPLETE</v>
      </c>
      <c r="H202" s="9" t="str">
        <f t="array" ref="H202">IFERROR(INDEX(dataICM!F:F,match(Caseslist!B202,dataICM!D:D,0)), "INC")</f>
        <v>INC</v>
      </c>
      <c r="I202" s="10">
        <f t="shared" si="2"/>
        <v>841329</v>
      </c>
      <c r="J202" s="9" t="str">
        <f t="array" ref="J202">IF(
  AND(
    IFERROR(MATCH(B202, data!D:D, 0), 0) &gt; 0,
    IFERROR(INDEX(data!N:N, MATCH(B202, data!D:D, 0)) = 1, FALSE)
  ),
  INDEX(data!C:C, MATCH(B202, data!D:D, 0)),
  "INC"
)</f>
        <v>2025-09-11T14:25:12.181+08</v>
      </c>
      <c r="K202" s="9" t="str">
        <f t="array" ref="K202">IFERROR(INDEX(dataICM!C:C,match(Caseslist!B202,dataICM!D:D,0)), "INC")</f>
        <v>INC</v>
      </c>
      <c r="L202" s="10" t="str">
        <f t="array" ref="L202">IF(AND(G202="COMPLETE", OR(K202="INC", ISBLANK(INDEX(data!O:O, ROW())))), J202, K202)</f>
        <v>2025-09-11T14:25:12.181+08</v>
      </c>
      <c r="M202" s="2">
        <v>45911.0</v>
      </c>
      <c r="N202" s="2">
        <f t="array" ref="N202">IF(M202&lt;&gt;"INC", INDEX(data!M:M, MATCH(B202, data!D:D, 0)), "")</f>
        <v>0</v>
      </c>
      <c r="O202" s="2">
        <f t="shared" si="3"/>
        <v>0</v>
      </c>
    </row>
    <row r="203">
      <c r="A203" s="2" t="str">
        <f t="shared" si="1"/>
        <v>H004541</v>
      </c>
      <c r="B203" s="1" t="s">
        <v>5363</v>
      </c>
      <c r="C203" s="9" t="str">
        <f t="array" ref="C203">IF(
  AND(
    IFERROR(MATCH(Caseslist!B203, data!D:D, 0), 0) &gt; 0,
    IFERROR(INDEX(data!N:N, MATCH(Caseslist!B203, data!D:D, 0)) = 1, FALSE)
  ),
  "COMPLETE",
  "INC"
)</f>
        <v>COMPLETE</v>
      </c>
      <c r="D203" s="9">
        <f t="array" ref="D203">IFERROR(INDEX(data!$G:$G,match(Caseslist!B203,data!$D:$D,0)), "INC")</f>
        <v>555127</v>
      </c>
      <c r="E203" s="9" t="str">
        <f t="array" ref="E203">IFERROR(INDEX(data!H:H,match(Caseslist!B203,data!D:D,0)), "INC")</f>
        <v>Mary May_2</v>
      </c>
      <c r="F203" s="10" t="str">
        <f t="array" ref="F203">IF(
    OR(
      IFNA(INDEX(data!M:M, MATCH(Caseslist!B203, data!D:D, 0)), "") = "",
      IFNA(INDEX(data!M:M, MATCH(Caseslist!B203, data!D:D, 0)), 0) = 0
    ),
    "COMPLETE",
    IF(
      IFNA(INDEX(dataICM!D:D, MATCH(Caseslist!B203, dataICM!D:D, 0)), "INC") = "INC",
      IFNA(INDEX(dataICM!D:D, MATCH(Caseslist!B203, dataICM!D:D, 0)), "INC"),
      "COMPLETE"
    )
  )</f>
        <v>COMPLETE</v>
      </c>
      <c r="G203" s="10" t="str">
        <f t="array" ref="G203">IF(IFERROR(INDEX(data!L:L,match(Caseslist!B203,data!D:D,0)),"INC")="","COMPLETE",F203)</f>
        <v>COMPLETE</v>
      </c>
      <c r="H203" s="9" t="str">
        <f t="array" ref="H203">IFERROR(INDEX(dataICM!F:F,match(Caseslist!B203,dataICM!D:D,0)), "INC")</f>
        <v>INC</v>
      </c>
      <c r="I203" s="10">
        <f t="shared" si="2"/>
        <v>555127</v>
      </c>
      <c r="J203" s="9" t="str">
        <f t="array" ref="J203">IF(
  AND(
    IFERROR(MATCH(B203, data!D:D, 0), 0) &gt; 0,
    IFERROR(INDEX(data!N:N, MATCH(B203, data!D:D, 0)) = 1, FALSE)
  ),
  INDEX(data!C:C, MATCH(B203, data!D:D, 0)),
  "INC"
)</f>
        <v>2025-09-12T06:14:16.155+08</v>
      </c>
      <c r="K203" s="9" t="str">
        <f t="array" ref="K203">IFERROR(INDEX(dataICM!C:C,match(Caseslist!B203,dataICM!D:D,0)), "INC")</f>
        <v>INC</v>
      </c>
      <c r="L203" s="10" t="str">
        <f t="array" ref="L203">IF(AND(G203="COMPLETE", OR(K203="INC", ISBLANK(INDEX(data!O:O, ROW())))), J203, K203)</f>
        <v>2025-09-12T06:14:16.155+08</v>
      </c>
      <c r="M203" s="2">
        <v>45912.0</v>
      </c>
      <c r="N203" s="2">
        <f t="array" ref="N203">IF(M203&lt;&gt;"INC", INDEX(data!M:M, MATCH(B203, data!D:D, 0)), "")</f>
        <v>0</v>
      </c>
      <c r="O203" s="2">
        <f t="shared" si="3"/>
        <v>0</v>
      </c>
    </row>
    <row r="204">
      <c r="A204" s="2" t="str">
        <f t="shared" si="1"/>
        <v>H004541</v>
      </c>
      <c r="B204" s="1" t="s">
        <v>5368</v>
      </c>
      <c r="C204" s="9" t="str">
        <f t="array" ref="C204">IF(
  AND(
    IFERROR(MATCH(Caseslist!B204, data!D:D, 0), 0) &gt; 0,
    IFERROR(INDEX(data!N:N, MATCH(Caseslist!B204, data!D:D, 0)) = 1, FALSE)
  ),
  "COMPLETE",
  "INC"
)</f>
        <v>COMPLETE</v>
      </c>
      <c r="D204" s="9">
        <f t="array" ref="D204">IFERROR(INDEX(data!$G:$G,match(Caseslist!B204,data!$D:$D,0)), "INC")</f>
        <v>555127</v>
      </c>
      <c r="E204" s="9" t="str">
        <f t="array" ref="E204">IFERROR(INDEX(data!H:H,match(Caseslist!B204,data!D:D,0)), "INC")</f>
        <v>Mary May_2</v>
      </c>
      <c r="F204" s="10" t="str">
        <f t="array" ref="F204">IF(
    OR(
      IFNA(INDEX(data!M:M, MATCH(Caseslist!B204, data!D:D, 0)), "") = "",
      IFNA(INDEX(data!M:M, MATCH(Caseslist!B204, data!D:D, 0)), 0) = 0
    ),
    "COMPLETE",
    IF(
      IFNA(INDEX(dataICM!D:D, MATCH(Caseslist!B204, dataICM!D:D, 0)), "INC") = "INC",
      IFNA(INDEX(dataICM!D:D, MATCH(Caseslist!B204, dataICM!D:D, 0)), "INC"),
      "COMPLETE"
    )
  )</f>
        <v>COMPLETE</v>
      </c>
      <c r="G204" s="10" t="str">
        <f t="array" ref="G204">IF(IFERROR(INDEX(data!L:L,match(Caseslist!B204,data!D:D,0)),"INC")="","COMPLETE",F204)</f>
        <v>COMPLETE</v>
      </c>
      <c r="H204" s="9" t="str">
        <f t="array" ref="H204">IFERROR(INDEX(dataICM!F:F,match(Caseslist!B204,dataICM!D:D,0)), "INC")</f>
        <v>INC</v>
      </c>
      <c r="I204" s="10">
        <f t="shared" si="2"/>
        <v>555127</v>
      </c>
      <c r="J204" s="9" t="str">
        <f t="array" ref="J204">IF(
  AND(
    IFERROR(MATCH(B204, data!D:D, 0), 0) &gt; 0,
    IFERROR(INDEX(data!N:N, MATCH(B204, data!D:D, 0)) = 1, FALSE)
  ),
  INDEX(data!C:C, MATCH(B204, data!D:D, 0)),
  "INC"
)</f>
        <v>2025-09-11T12:28:29.431+08</v>
      </c>
      <c r="K204" s="9" t="str">
        <f t="array" ref="K204">IFERROR(INDEX(dataICM!C:C,match(Caseslist!B204,dataICM!D:D,0)), "INC")</f>
        <v>INC</v>
      </c>
      <c r="L204" s="10" t="str">
        <f t="array" ref="L204">IF(AND(G204="COMPLETE", OR(K204="INC", ISBLANK(INDEX(data!O:O, ROW())))), J204, K204)</f>
        <v>2025-09-11T12:28:29.431+08</v>
      </c>
      <c r="M204" s="2">
        <v>45911.0</v>
      </c>
      <c r="N204" s="2">
        <f t="array" ref="N204">IF(M204&lt;&gt;"INC", INDEX(data!M:M, MATCH(B204, data!D:D, 0)), "")</f>
        <v>0</v>
      </c>
      <c r="O204" s="2">
        <f t="shared" si="3"/>
        <v>0</v>
      </c>
    </row>
    <row r="205">
      <c r="A205" s="2" t="str">
        <f t="shared" si="1"/>
        <v>H004541</v>
      </c>
      <c r="B205" s="1" t="s">
        <v>5383</v>
      </c>
      <c r="C205" s="9" t="str">
        <f t="array" ref="C205">IF(
  AND(
    IFERROR(MATCH(Caseslist!B205, data!D:D, 0), 0) &gt; 0,
    IFERROR(INDEX(data!N:N, MATCH(Caseslist!B205, data!D:D, 0)) = 1, FALSE)
  ),
  "COMPLETE",
  "INC"
)</f>
        <v>COMPLETE</v>
      </c>
      <c r="D205" s="9">
        <f t="array" ref="D205">IFERROR(INDEX(data!$G:$G,match(Caseslist!B205,data!$D:$D,0)), "INC")</f>
        <v>555127</v>
      </c>
      <c r="E205" s="9" t="str">
        <f t="array" ref="E205">IFERROR(INDEX(data!H:H,match(Caseslist!B205,data!D:D,0)), "INC")</f>
        <v>Mary May_2</v>
      </c>
      <c r="F205" s="10" t="str">
        <f t="array" ref="F205">IF(
    OR(
      IFNA(INDEX(data!M:M, MATCH(Caseslist!B205, data!D:D, 0)), "") = "",
      IFNA(INDEX(data!M:M, MATCH(Caseslist!B205, data!D:D, 0)), 0) = 0
    ),
    "COMPLETE",
    IF(
      IFNA(INDEX(dataICM!D:D, MATCH(Caseslist!B205, dataICM!D:D, 0)), "INC") = "INC",
      IFNA(INDEX(dataICM!D:D, MATCH(Caseslist!B205, dataICM!D:D, 0)), "INC"),
      "COMPLETE"
    )
  )</f>
        <v>COMPLETE</v>
      </c>
      <c r="G205" s="10" t="str">
        <f t="array" ref="G205">IF(IFERROR(INDEX(data!L:L,match(Caseslist!B205,data!D:D,0)),"INC")="","COMPLETE",F205)</f>
        <v>COMPLETE</v>
      </c>
      <c r="H205" s="9" t="str">
        <f t="array" ref="H205">IFERROR(INDEX(dataICM!F:F,match(Caseslist!B205,dataICM!D:D,0)), "INC")</f>
        <v>INC</v>
      </c>
      <c r="I205" s="10">
        <f t="shared" si="2"/>
        <v>555127</v>
      </c>
      <c r="J205" s="9" t="str">
        <f t="array" ref="J205">IF(
  AND(
    IFERROR(MATCH(B205, data!D:D, 0), 0) &gt; 0,
    IFERROR(INDEX(data!N:N, MATCH(B205, data!D:D, 0)) = 1, FALSE)
  ),
  INDEX(data!C:C, MATCH(B205, data!D:D, 0)),
  "INC"
)</f>
        <v>2025-09-11T10:36:20.941+08</v>
      </c>
      <c r="K205" s="9" t="str">
        <f t="array" ref="K205">IFERROR(INDEX(dataICM!C:C,match(Caseslist!B205,dataICM!D:D,0)), "INC")</f>
        <v>INC</v>
      </c>
      <c r="L205" s="10" t="str">
        <f t="array" ref="L205">IF(AND(G205="COMPLETE", OR(K205="INC", ISBLANK(INDEX(data!O:O, ROW())))), J205, K205)</f>
        <v>2025-09-11T10:36:20.941+08</v>
      </c>
      <c r="M205" s="2">
        <v>45911.0</v>
      </c>
      <c r="N205" s="2">
        <f t="array" ref="N205">IF(M205&lt;&gt;"INC", INDEX(data!M:M, MATCH(B205, data!D:D, 0)), "")</f>
        <v>0</v>
      </c>
      <c r="O205" s="2">
        <f t="shared" si="3"/>
        <v>0</v>
      </c>
    </row>
    <row r="206">
      <c r="A206" s="2" t="str">
        <f t="shared" si="1"/>
        <v>H004541</v>
      </c>
      <c r="B206" s="1" t="s">
        <v>5308</v>
      </c>
      <c r="C206" s="9" t="str">
        <f t="array" ref="C206">IF(
  AND(
    IFERROR(MATCH(Caseslist!B206, data!D:D, 0), 0) &gt; 0,
    IFERROR(INDEX(data!N:N, MATCH(Caseslist!B206, data!D:D, 0)) = 1, FALSE)
  ),
  "COMPLETE",
  "INC"
)</f>
        <v>COMPLETE</v>
      </c>
      <c r="D206" s="9">
        <f t="array" ref="D206">IFERROR(INDEX(data!$G:$G,match(Caseslist!B206,data!$D:$D,0)), "INC")</f>
        <v>841329</v>
      </c>
      <c r="E206" s="9" t="str">
        <f t="array" ref="E206">IFERROR(INDEX(data!H:H,match(Caseslist!B206,data!D:D,0)), "INC")</f>
        <v>Aila Eli_2</v>
      </c>
      <c r="F206" s="10" t="str">
        <f t="array" ref="F206">IF(
    OR(
      IFNA(INDEX(data!M:M, MATCH(Caseslist!B206, data!D:D, 0)), "") = "",
      IFNA(INDEX(data!M:M, MATCH(Caseslist!B206, data!D:D, 0)), 0) = 0
    ),
    "COMPLETE",
    IF(
      IFNA(INDEX(dataICM!D:D, MATCH(Caseslist!B206, dataICM!D:D, 0)), "INC") = "INC",
      IFNA(INDEX(dataICM!D:D, MATCH(Caseslist!B206, dataICM!D:D, 0)), "INC"),
      "COMPLETE"
    )
  )</f>
        <v>COMPLETE</v>
      </c>
      <c r="G206" s="10" t="str">
        <f t="array" ref="G206">IF(IFERROR(INDEX(data!L:L,match(Caseslist!B206,data!D:D,0)),"INC")="","COMPLETE",F206)</f>
        <v>COMPLETE</v>
      </c>
      <c r="H206" s="9" t="str">
        <f t="array" ref="H206">IFERROR(INDEX(dataICM!F:F,match(Caseslist!B206,dataICM!D:D,0)), "INC")</f>
        <v>INC</v>
      </c>
      <c r="I206" s="10">
        <f t="shared" si="2"/>
        <v>841329</v>
      </c>
      <c r="J206" s="9" t="str">
        <f t="array" ref="J206">IF(
  AND(
    IFERROR(MATCH(B206, data!D:D, 0), 0) &gt; 0,
    IFERROR(INDEX(data!N:N, MATCH(B206, data!D:D, 0)) = 1, FALSE)
  ),
  INDEX(data!C:C, MATCH(B206, data!D:D, 0)),
  "INC"
)</f>
        <v>2025-09-11T11:57:00.537+08</v>
      </c>
      <c r="K206" s="9" t="str">
        <f t="array" ref="K206">IFERROR(INDEX(dataICM!C:C,match(Caseslist!B206,dataICM!D:D,0)), "INC")</f>
        <v>INC</v>
      </c>
      <c r="L206" s="10" t="str">
        <f t="array" ref="L206">IF(AND(G206="COMPLETE", OR(K206="INC", ISBLANK(INDEX(data!O:O, ROW())))), J206, K206)</f>
        <v>2025-09-11T11:57:00.537+08</v>
      </c>
      <c r="M206" s="2">
        <v>45911.0</v>
      </c>
      <c r="N206" s="2">
        <f t="array" ref="N206">IF(M206&lt;&gt;"INC", INDEX(data!M:M, MATCH(B206, data!D:D, 0)), "")</f>
        <v>0</v>
      </c>
      <c r="O206" s="2">
        <f t="shared" si="3"/>
        <v>0</v>
      </c>
    </row>
    <row r="207">
      <c r="A207" s="2" t="str">
        <f t="shared" si="1"/>
        <v>H004541</v>
      </c>
      <c r="B207" s="1" t="s">
        <v>5323</v>
      </c>
      <c r="C207" s="9" t="str">
        <f t="array" ref="C207">IF(
  AND(
    IFERROR(MATCH(Caseslist!B207, data!D:D, 0), 0) &gt; 0,
    IFERROR(INDEX(data!N:N, MATCH(Caseslist!B207, data!D:D, 0)) = 1, FALSE)
  ),
  "COMPLETE",
  "INC"
)</f>
        <v>COMPLETE</v>
      </c>
      <c r="D207" s="9">
        <f t="array" ref="D207">IFERROR(INDEX(data!$G:$G,match(Caseslist!B207,data!$D:$D,0)), "INC")</f>
        <v>455939</v>
      </c>
      <c r="E207" s="9" t="str">
        <f t="array" ref="E207">IFERROR(INDEX(data!H:H,match(Caseslist!B207,data!D:D,0)), "INC")</f>
        <v>Mary Jean Villaflor_2</v>
      </c>
      <c r="F207" s="10" t="str">
        <f t="array" ref="F207">IF(
    OR(
      IFNA(INDEX(data!M:M, MATCH(Caseslist!B207, data!D:D, 0)), "") = "",
      IFNA(INDEX(data!M:M, MATCH(Caseslist!B207, data!D:D, 0)), 0) = 0
    ),
    "COMPLETE",
    IF(
      IFNA(INDEX(dataICM!D:D, MATCH(Caseslist!B207, dataICM!D:D, 0)), "INC") = "INC",
      IFNA(INDEX(dataICM!D:D, MATCH(Caseslist!B207, dataICM!D:D, 0)), "INC"),
      "COMPLETE"
    )
  )</f>
        <v>COMPLETE</v>
      </c>
      <c r="G207" s="10" t="str">
        <f t="array" ref="G207">IF(IFERROR(INDEX(data!L:L,match(Caseslist!B207,data!D:D,0)),"INC")="","COMPLETE",F207)</f>
        <v>COMPLETE</v>
      </c>
      <c r="H207" s="9" t="str">
        <f t="array" ref="H207">IFERROR(INDEX(dataICM!F:F,match(Caseslist!B207,dataICM!D:D,0)), "INC")</f>
        <v>INC</v>
      </c>
      <c r="I207" s="10">
        <f t="shared" si="2"/>
        <v>455939</v>
      </c>
      <c r="J207" s="9" t="str">
        <f t="array" ref="J207">IF(
  AND(
    IFERROR(MATCH(B207, data!D:D, 0), 0) &gt; 0,
    IFERROR(INDEX(data!N:N, MATCH(B207, data!D:D, 0)) = 1, FALSE)
  ),
  INDEX(data!C:C, MATCH(B207, data!D:D, 0)),
  "INC"
)</f>
        <v>2025-09-11T10:56:27.615+08</v>
      </c>
      <c r="K207" s="9" t="str">
        <f t="array" ref="K207">IFERROR(INDEX(dataICM!C:C,match(Caseslist!B207,dataICM!D:D,0)), "INC")</f>
        <v>INC</v>
      </c>
      <c r="L207" s="10" t="str">
        <f t="array" ref="L207">IF(AND(G207="COMPLETE", OR(K207="INC", ISBLANK(INDEX(data!O:O, ROW())))), J207, K207)</f>
        <v>2025-09-11T10:56:27.615+08</v>
      </c>
      <c r="M207" s="2">
        <v>45911.0</v>
      </c>
      <c r="N207" s="2">
        <f t="array" ref="N207">IF(M207&lt;&gt;"INC", INDEX(data!M:M, MATCH(B207, data!D:D, 0)), "")</f>
        <v>0</v>
      </c>
      <c r="O207" s="2">
        <f t="shared" si="3"/>
        <v>0</v>
      </c>
    </row>
    <row r="208">
      <c r="A208" s="2" t="str">
        <f t="shared" si="1"/>
        <v>H004541</v>
      </c>
      <c r="B208" s="1" t="s">
        <v>5313</v>
      </c>
      <c r="C208" s="9" t="str">
        <f t="array" ref="C208">IF(
  AND(
    IFERROR(MATCH(Caseslist!B208, data!D:D, 0), 0) &gt; 0,
    IFERROR(INDEX(data!N:N, MATCH(Caseslist!B208, data!D:D, 0)) = 1, FALSE)
  ),
  "COMPLETE",
  "INC"
)</f>
        <v>COMPLETE</v>
      </c>
      <c r="D208" s="9">
        <f t="array" ref="D208">IFERROR(INDEX(data!$G:$G,match(Caseslist!B208,data!$D:$D,0)), "INC")</f>
        <v>841329</v>
      </c>
      <c r="E208" s="9" t="str">
        <f t="array" ref="E208">IFERROR(INDEX(data!H:H,match(Caseslist!B208,data!D:D,0)), "INC")</f>
        <v>Aila Eli_2</v>
      </c>
      <c r="F208" s="10" t="str">
        <f t="array" ref="F208">IF(
    OR(
      IFNA(INDEX(data!M:M, MATCH(Caseslist!B208, data!D:D, 0)), "") = "",
      IFNA(INDEX(data!M:M, MATCH(Caseslist!B208, data!D:D, 0)), 0) = 0
    ),
    "COMPLETE",
    IF(
      IFNA(INDEX(dataICM!D:D, MATCH(Caseslist!B208, dataICM!D:D, 0)), "INC") = "INC",
      IFNA(INDEX(dataICM!D:D, MATCH(Caseslist!B208, dataICM!D:D, 0)), "INC"),
      "COMPLETE"
    )
  )</f>
        <v>COMPLETE</v>
      </c>
      <c r="G208" s="10" t="str">
        <f t="array" ref="G208">IF(IFERROR(INDEX(data!L:L,match(Caseslist!B208,data!D:D,0)),"INC")="","COMPLETE",F208)</f>
        <v>COMPLETE</v>
      </c>
      <c r="H208" s="9" t="str">
        <f t="array" ref="H208">IFERROR(INDEX(dataICM!F:F,match(Caseslist!B208,dataICM!D:D,0)), "INC")</f>
        <v>INC</v>
      </c>
      <c r="I208" s="10">
        <f t="shared" si="2"/>
        <v>841329</v>
      </c>
      <c r="J208" s="9" t="str">
        <f t="array" ref="J208">IF(
  AND(
    IFERROR(MATCH(B208, data!D:D, 0), 0) &gt; 0,
    IFERROR(INDEX(data!N:N, MATCH(B208, data!D:D, 0)) = 1, FALSE)
  ),
  INDEX(data!C:C, MATCH(B208, data!D:D, 0)),
  "INC"
)</f>
        <v>2025-09-11T12:50:03.750+08</v>
      </c>
      <c r="K208" s="9" t="str">
        <f t="array" ref="K208">IFERROR(INDEX(dataICM!C:C,match(Caseslist!B208,dataICM!D:D,0)), "INC")</f>
        <v>INC</v>
      </c>
      <c r="L208" s="10" t="str">
        <f t="array" ref="L208">IF(AND(G208="COMPLETE", OR(K208="INC", ISBLANK(INDEX(data!O:O, ROW())))), J208, K208)</f>
        <v>2025-09-11T12:50:03.750+08</v>
      </c>
      <c r="M208" s="2">
        <v>45911.0</v>
      </c>
      <c r="N208" s="2">
        <f t="array" ref="N208">IF(M208&lt;&gt;"INC", INDEX(data!M:M, MATCH(B208, data!D:D, 0)), "")</f>
        <v>0</v>
      </c>
      <c r="O208" s="2">
        <f t="shared" si="3"/>
        <v>0</v>
      </c>
    </row>
    <row r="209">
      <c r="A209" s="2" t="str">
        <f t="shared" si="1"/>
        <v>H004541</v>
      </c>
      <c r="B209" s="1" t="s">
        <v>5303</v>
      </c>
      <c r="C209" s="9" t="str">
        <f t="array" ref="C209">IF(
  AND(
    IFERROR(MATCH(Caseslist!B209, data!D:D, 0), 0) &gt; 0,
    IFERROR(INDEX(data!N:N, MATCH(Caseslist!B209, data!D:D, 0)) = 1, FALSE)
  ),
  "COMPLETE",
  "INC"
)</f>
        <v>COMPLETE</v>
      </c>
      <c r="D209" s="9">
        <f t="array" ref="D209">IFERROR(INDEX(data!$G:$G,match(Caseslist!B209,data!$D:$D,0)), "INC")</f>
        <v>841329</v>
      </c>
      <c r="E209" s="9" t="str">
        <f t="array" ref="E209">IFERROR(INDEX(data!H:H,match(Caseslist!B209,data!D:D,0)), "INC")</f>
        <v>Aila Eli_2</v>
      </c>
      <c r="F209" s="10" t="str">
        <f t="array" ref="F209">IF(
    OR(
      IFNA(INDEX(data!M:M, MATCH(Caseslist!B209, data!D:D, 0)), "") = "",
      IFNA(INDEX(data!M:M, MATCH(Caseslist!B209, data!D:D, 0)), 0) = 0
    ),
    "COMPLETE",
    IF(
      IFNA(INDEX(dataICM!D:D, MATCH(Caseslist!B209, dataICM!D:D, 0)), "INC") = "INC",
      IFNA(INDEX(dataICM!D:D, MATCH(Caseslist!B209, dataICM!D:D, 0)), "INC"),
      "COMPLETE"
    )
  )</f>
        <v>COMPLETE</v>
      </c>
      <c r="G209" s="10" t="str">
        <f t="array" ref="G209">IF(IFERROR(INDEX(data!L:L,match(Caseslist!B209,data!D:D,0)),"INC")="","COMPLETE",F209)</f>
        <v>COMPLETE</v>
      </c>
      <c r="H209" s="9" t="str">
        <f t="array" ref="H209">IFERROR(INDEX(dataICM!F:F,match(Caseslist!B209,dataICM!D:D,0)), "INC")</f>
        <v>INC</v>
      </c>
      <c r="I209" s="10">
        <f t="shared" si="2"/>
        <v>841329</v>
      </c>
      <c r="J209" s="9" t="str">
        <f t="array" ref="J209">IF(
  AND(
    IFERROR(MATCH(B209, data!D:D, 0), 0) &gt; 0,
    IFERROR(INDEX(data!N:N, MATCH(B209, data!D:D, 0)) = 1, FALSE)
  ),
  INDEX(data!C:C, MATCH(B209, data!D:D, 0)),
  "INC"
)</f>
        <v>2025-09-11T10:50:03.558+08</v>
      </c>
      <c r="K209" s="9" t="str">
        <f t="array" ref="K209">IFERROR(INDEX(dataICM!C:C,match(Caseslist!B209,dataICM!D:D,0)), "INC")</f>
        <v>INC</v>
      </c>
      <c r="L209" s="10" t="str">
        <f t="array" ref="L209">IF(AND(G209="COMPLETE", OR(K209="INC", ISBLANK(INDEX(data!O:O, ROW())))), J209, K209)</f>
        <v>2025-09-11T10:50:03.558+08</v>
      </c>
      <c r="M209" s="2">
        <v>45911.0</v>
      </c>
      <c r="N209" s="2">
        <f t="array" ref="N209">IF(M209&lt;&gt;"INC", INDEX(data!M:M, MATCH(B209, data!D:D, 0)), "")</f>
        <v>0</v>
      </c>
      <c r="O209" s="2">
        <f t="shared" si="3"/>
        <v>0</v>
      </c>
    </row>
    <row r="210">
      <c r="A210" s="2" t="str">
        <f t="shared" si="1"/>
        <v>H004541</v>
      </c>
      <c r="B210" s="1" t="s">
        <v>5338</v>
      </c>
      <c r="C210" s="9" t="str">
        <f t="array" ref="C210">IF(
  AND(
    IFERROR(MATCH(Caseslist!B210, data!D:D, 0), 0) &gt; 0,
    IFERROR(INDEX(data!N:N, MATCH(Caseslist!B210, data!D:D, 0)) = 1, FALSE)
  ),
  "COMPLETE",
  "INC"
)</f>
        <v>COMPLETE</v>
      </c>
      <c r="D210" s="9">
        <f t="array" ref="D210">IFERROR(INDEX(data!$G:$G,match(Caseslist!B210,data!$D:$D,0)), "INC")</f>
        <v>455939</v>
      </c>
      <c r="E210" s="9" t="str">
        <f t="array" ref="E210">IFERROR(INDEX(data!H:H,match(Caseslist!B210,data!D:D,0)), "INC")</f>
        <v>Mary Jean Villaflor_2</v>
      </c>
      <c r="F210" s="10" t="str">
        <f t="array" ref="F210">IF(
    OR(
      IFNA(INDEX(data!M:M, MATCH(Caseslist!B210, data!D:D, 0)), "") = "",
      IFNA(INDEX(data!M:M, MATCH(Caseslist!B210, data!D:D, 0)), 0) = 0
    ),
    "COMPLETE",
    IF(
      IFNA(INDEX(dataICM!D:D, MATCH(Caseslist!B210, dataICM!D:D, 0)), "INC") = "INC",
      IFNA(INDEX(dataICM!D:D, MATCH(Caseslist!B210, dataICM!D:D, 0)), "INC"),
      "COMPLETE"
    )
  )</f>
        <v>COMPLETE</v>
      </c>
      <c r="G210" s="10" t="str">
        <f t="array" ref="G210">IF(IFERROR(INDEX(data!L:L,match(Caseslist!B210,data!D:D,0)),"INC")="","COMPLETE",F210)</f>
        <v>COMPLETE</v>
      </c>
      <c r="H210" s="9" t="str">
        <f t="array" ref="H210">IFERROR(INDEX(dataICM!F:F,match(Caseslist!B210,dataICM!D:D,0)), "INC")</f>
        <v>INC</v>
      </c>
      <c r="I210" s="10">
        <f t="shared" si="2"/>
        <v>455939</v>
      </c>
      <c r="J210" s="9" t="str">
        <f t="array" ref="J210">IF(
  AND(
    IFERROR(MATCH(B210, data!D:D, 0), 0) &gt; 0,
    IFERROR(INDEX(data!N:N, MATCH(B210, data!D:D, 0)) = 1, FALSE)
  ),
  INDEX(data!C:C, MATCH(B210, data!D:D, 0)),
  "INC"
)</f>
        <v>2025-09-11T12:54:46.923+08</v>
      </c>
      <c r="K210" s="9" t="str">
        <f t="array" ref="K210">IFERROR(INDEX(dataICM!C:C,match(Caseslist!B210,dataICM!D:D,0)), "INC")</f>
        <v>INC</v>
      </c>
      <c r="L210" s="10" t="str">
        <f t="array" ref="L210">IF(AND(G210="COMPLETE", OR(K210="INC", ISBLANK(INDEX(data!O:O, ROW())))), J210, K210)</f>
        <v>2025-09-11T12:54:46.923+08</v>
      </c>
      <c r="M210" s="2">
        <v>45911.0</v>
      </c>
      <c r="N210" s="2">
        <f t="array" ref="N210">IF(M210&lt;&gt;"INC", INDEX(data!M:M, MATCH(B210, data!D:D, 0)), "")</f>
        <v>0</v>
      </c>
      <c r="O210" s="2">
        <f t="shared" si="3"/>
        <v>0</v>
      </c>
    </row>
    <row r="211">
      <c r="A211" s="2" t="str">
        <f t="shared" si="1"/>
        <v>H004541</v>
      </c>
      <c r="B211" s="1" t="s">
        <v>5378</v>
      </c>
      <c r="C211" s="9" t="str">
        <f t="array" ref="C211">IF(
  AND(
    IFERROR(MATCH(Caseslist!B211, data!D:D, 0), 0) &gt; 0,
    IFERROR(INDEX(data!N:N, MATCH(Caseslist!B211, data!D:D, 0)) = 1, FALSE)
  ),
  "COMPLETE",
  "INC"
)</f>
        <v>COMPLETE</v>
      </c>
      <c r="D211" s="9">
        <f t="array" ref="D211">IFERROR(INDEX(data!$G:$G,match(Caseslist!B211,data!$D:$D,0)), "INC")</f>
        <v>555127</v>
      </c>
      <c r="E211" s="9" t="str">
        <f t="array" ref="E211">IFERROR(INDEX(data!H:H,match(Caseslist!B211,data!D:D,0)), "INC")</f>
        <v>Mary May_2</v>
      </c>
      <c r="F211" s="10" t="str">
        <f t="array" ref="F211">IF(
    OR(
      IFNA(INDEX(data!M:M, MATCH(Caseslist!B211, data!D:D, 0)), "") = "",
      IFNA(INDEX(data!M:M, MATCH(Caseslist!B211, data!D:D, 0)), 0) = 0
    ),
    "COMPLETE",
    IF(
      IFNA(INDEX(dataICM!D:D, MATCH(Caseslist!B211, dataICM!D:D, 0)), "INC") = "INC",
      IFNA(INDEX(dataICM!D:D, MATCH(Caseslist!B211, dataICM!D:D, 0)), "INC"),
      "COMPLETE"
    )
  )</f>
        <v>COMPLETE</v>
      </c>
      <c r="G211" s="10" t="str">
        <f t="array" ref="G211">IF(IFERROR(INDEX(data!L:L,match(Caseslist!B211,data!D:D,0)),"INC")="","COMPLETE",F211)</f>
        <v>COMPLETE</v>
      </c>
      <c r="H211" s="9" t="str">
        <f t="array" ref="H211">IFERROR(INDEX(dataICM!F:F,match(Caseslist!B211,dataICM!D:D,0)), "INC")</f>
        <v>INC</v>
      </c>
      <c r="I211" s="10">
        <f t="shared" si="2"/>
        <v>555127</v>
      </c>
      <c r="J211" s="9" t="str">
        <f t="array" ref="J211">IF(
  AND(
    IFERROR(MATCH(B211, data!D:D, 0), 0) &gt; 0,
    IFERROR(INDEX(data!N:N, MATCH(B211, data!D:D, 0)) = 1, FALSE)
  ),
  INDEX(data!C:C, MATCH(B211, data!D:D, 0)),
  "INC"
)</f>
        <v>2025-09-11T15:04:15.476+08</v>
      </c>
      <c r="K211" s="9" t="str">
        <f t="array" ref="K211">IFERROR(INDEX(dataICM!C:C,match(Caseslist!B211,dataICM!D:D,0)), "INC")</f>
        <v>INC</v>
      </c>
      <c r="L211" s="10" t="str">
        <f t="array" ref="L211">IF(AND(G211="COMPLETE", OR(K211="INC", ISBLANK(INDEX(data!O:O, ROW())))), J211, K211)</f>
        <v>2025-09-11T15:04:15.476+08</v>
      </c>
      <c r="M211" s="2">
        <v>45911.0</v>
      </c>
      <c r="N211" s="2">
        <f t="array" ref="N211">IF(M211&lt;&gt;"INC", INDEX(data!M:M, MATCH(B211, data!D:D, 0)), "")</f>
        <v>0</v>
      </c>
      <c r="O211" s="2">
        <f t="shared" si="3"/>
        <v>0</v>
      </c>
    </row>
    <row r="212">
      <c r="A212" s="2" t="str">
        <f t="shared" si="1"/>
        <v>H004541</v>
      </c>
      <c r="B212" s="1" t="s">
        <v>5373</v>
      </c>
      <c r="C212" s="9" t="str">
        <f t="array" ref="C212">IF(
  AND(
    IFERROR(MATCH(Caseslist!B212, data!D:D, 0), 0) &gt; 0,
    IFERROR(INDEX(data!N:N, MATCH(Caseslist!B212, data!D:D, 0)) = 1, FALSE)
  ),
  "COMPLETE",
  "INC"
)</f>
        <v>COMPLETE</v>
      </c>
      <c r="D212" s="9">
        <f t="array" ref="D212">IFERROR(INDEX(data!$G:$G,match(Caseslist!B212,data!$D:$D,0)), "INC")</f>
        <v>555127</v>
      </c>
      <c r="E212" s="9" t="str">
        <f t="array" ref="E212">IFERROR(INDEX(data!H:H,match(Caseslist!B212,data!D:D,0)), "INC")</f>
        <v>Mary May_2</v>
      </c>
      <c r="F212" s="10" t="str">
        <f t="array" ref="F212">IF(
    OR(
      IFNA(INDEX(data!M:M, MATCH(Caseslist!B212, data!D:D, 0)), "") = "",
      IFNA(INDEX(data!M:M, MATCH(Caseslist!B212, data!D:D, 0)), 0) = 0
    ),
    "COMPLETE",
    IF(
      IFNA(INDEX(dataICM!D:D, MATCH(Caseslist!B212, dataICM!D:D, 0)), "INC") = "INC",
      IFNA(INDEX(dataICM!D:D, MATCH(Caseslist!B212, dataICM!D:D, 0)), "INC"),
      "COMPLETE"
    )
  )</f>
        <v>COMPLETE</v>
      </c>
      <c r="G212" s="10" t="str">
        <f t="array" ref="G212">IF(IFERROR(INDEX(data!L:L,match(Caseslist!B212,data!D:D,0)),"INC")="","COMPLETE",F212)</f>
        <v>COMPLETE</v>
      </c>
      <c r="H212" s="9" t="str">
        <f t="array" ref="H212">IFERROR(INDEX(dataICM!F:F,match(Caseslist!B212,dataICM!D:D,0)), "INC")</f>
        <v>INC</v>
      </c>
      <c r="I212" s="10">
        <f t="shared" si="2"/>
        <v>555127</v>
      </c>
      <c r="J212" s="9" t="str">
        <f t="array" ref="J212">IF(
  AND(
    IFERROR(MATCH(B212, data!D:D, 0), 0) &gt; 0,
    IFERROR(INDEX(data!N:N, MATCH(B212, data!D:D, 0)) = 1, FALSE)
  ),
  INDEX(data!C:C, MATCH(B212, data!D:D, 0)),
  "INC"
)</f>
        <v>2025-09-14T13:24:11.348+08</v>
      </c>
      <c r="K212" s="9" t="str">
        <f t="array" ref="K212">IFERROR(INDEX(dataICM!C:C,match(Caseslist!B212,dataICM!D:D,0)), "INC")</f>
        <v>INC</v>
      </c>
      <c r="L212" s="10" t="str">
        <f t="array" ref="L212">IF(AND(G212="COMPLETE", OR(K212="INC", ISBLANK(INDEX(data!O:O, ROW())))), J212, K212)</f>
        <v>2025-09-14T13:24:11.348+08</v>
      </c>
      <c r="M212" s="2">
        <v>45914.0</v>
      </c>
      <c r="N212" s="2">
        <f t="array" ref="N212">IF(M212&lt;&gt;"INC", INDEX(data!M:M, MATCH(B212, data!D:D, 0)), "")</f>
        <v>0</v>
      </c>
      <c r="O212" s="2">
        <f t="shared" si="3"/>
        <v>0</v>
      </c>
    </row>
    <row r="213">
      <c r="A213" s="2" t="str">
        <f t="shared" si="1"/>
        <v>H004541</v>
      </c>
      <c r="B213" s="1" t="s">
        <v>5328</v>
      </c>
      <c r="C213" s="9" t="str">
        <f t="array" ref="C213">IF(
  AND(
    IFERROR(MATCH(Caseslist!B213, data!D:D, 0), 0) &gt; 0,
    IFERROR(INDEX(data!N:N, MATCH(Caseslist!B213, data!D:D, 0)) = 1, FALSE)
  ),
  "COMPLETE",
  "INC"
)</f>
        <v>COMPLETE</v>
      </c>
      <c r="D213" s="9">
        <f t="array" ref="D213">IFERROR(INDEX(data!$G:$G,match(Caseslist!B213,data!$D:$D,0)), "INC")</f>
        <v>455939</v>
      </c>
      <c r="E213" s="9" t="str">
        <f t="array" ref="E213">IFERROR(INDEX(data!H:H,match(Caseslist!B213,data!D:D,0)), "INC")</f>
        <v>Mary Jean Villaflor_2</v>
      </c>
      <c r="F213" s="10" t="str">
        <f t="array" ref="F213">IF(
    OR(
      IFNA(INDEX(data!M:M, MATCH(Caseslist!B213, data!D:D, 0)), "") = "",
      IFNA(INDEX(data!M:M, MATCH(Caseslist!B213, data!D:D, 0)), 0) = 0
    ),
    "COMPLETE",
    IF(
      IFNA(INDEX(dataICM!D:D, MATCH(Caseslist!B213, dataICM!D:D, 0)), "INC") = "INC",
      IFNA(INDEX(dataICM!D:D, MATCH(Caseslist!B213, dataICM!D:D, 0)), "INC"),
      "COMPLETE"
    )
  )</f>
        <v>COMPLETE</v>
      </c>
      <c r="G213" s="10" t="str">
        <f t="array" ref="G213">IF(IFERROR(INDEX(data!L:L,match(Caseslist!B213,data!D:D,0)),"INC")="","COMPLETE",F213)</f>
        <v>COMPLETE</v>
      </c>
      <c r="H213" s="9" t="str">
        <f t="array" ref="H213">IFERROR(INDEX(dataICM!F:F,match(Caseslist!B213,dataICM!D:D,0)), "INC")</f>
        <v>INC</v>
      </c>
      <c r="I213" s="10">
        <f t="shared" si="2"/>
        <v>455939</v>
      </c>
      <c r="J213" s="9" t="str">
        <f t="array" ref="J213">IF(
  AND(
    IFERROR(MATCH(B213, data!D:D, 0), 0) &gt; 0,
    IFERROR(INDEX(data!N:N, MATCH(B213, data!D:D, 0)) = 1, FALSE)
  ),
  INDEX(data!C:C, MATCH(B213, data!D:D, 0)),
  "INC"
)</f>
        <v>2025-09-11T12:53:54.440+08</v>
      </c>
      <c r="K213" s="9" t="str">
        <f t="array" ref="K213">IFERROR(INDEX(dataICM!C:C,match(Caseslist!B213,dataICM!D:D,0)), "INC")</f>
        <v>INC</v>
      </c>
      <c r="L213" s="10" t="str">
        <f t="array" ref="L213">IF(AND(G213="COMPLETE", OR(K213="INC", ISBLANK(INDEX(data!O:O, ROW())))), J213, K213)</f>
        <v>2025-09-11T12:53:54.440+08</v>
      </c>
      <c r="M213" s="2">
        <v>45911.0</v>
      </c>
      <c r="N213" s="2">
        <f t="array" ref="N213">IF(M213&lt;&gt;"INC", INDEX(data!M:M, MATCH(B213, data!D:D, 0)), "")</f>
        <v>0</v>
      </c>
      <c r="O213" s="2">
        <f t="shared" si="3"/>
        <v>0</v>
      </c>
    </row>
    <row r="214">
      <c r="A214" s="2" t="str">
        <f t="shared" si="1"/>
        <v>H004541</v>
      </c>
      <c r="B214" s="1" t="s">
        <v>5343</v>
      </c>
      <c r="C214" s="9" t="str">
        <f t="array" ref="C214">IF(
  AND(
    IFERROR(MATCH(Caseslist!B214, data!D:D, 0), 0) &gt; 0,
    IFERROR(INDEX(data!N:N, MATCH(Caseslist!B214, data!D:D, 0)) = 1, FALSE)
  ),
  "COMPLETE",
  "INC"
)</f>
        <v>COMPLETE</v>
      </c>
      <c r="D214" s="9">
        <f t="array" ref="D214">IFERROR(INDEX(data!$G:$G,match(Caseslist!B214,data!$D:$D,0)), "INC")</f>
        <v>555127</v>
      </c>
      <c r="E214" s="9" t="str">
        <f t="array" ref="E214">IFERROR(INDEX(data!H:H,match(Caseslist!B214,data!D:D,0)), "INC")</f>
        <v>Mary May_2</v>
      </c>
      <c r="F214" s="10" t="str">
        <f t="array" ref="F214">IF(
    OR(
      IFNA(INDEX(data!M:M, MATCH(Caseslist!B214, data!D:D, 0)), "") = "",
      IFNA(INDEX(data!M:M, MATCH(Caseslist!B214, data!D:D, 0)), 0) = 0
    ),
    "COMPLETE",
    IF(
      IFNA(INDEX(dataICM!D:D, MATCH(Caseslist!B214, dataICM!D:D, 0)), "INC") = "INC",
      IFNA(INDEX(dataICM!D:D, MATCH(Caseslist!B214, dataICM!D:D, 0)), "INC"),
      "COMPLETE"
    )
  )</f>
        <v>COMPLETE</v>
      </c>
      <c r="G214" s="10" t="str">
        <f t="array" ref="G214">IF(IFERROR(INDEX(data!L:L,match(Caseslist!B214,data!D:D,0)),"INC")="","COMPLETE",F214)</f>
        <v>COMPLETE</v>
      </c>
      <c r="H214" s="9" t="str">
        <f t="array" ref="H214">IFERROR(INDEX(dataICM!F:F,match(Caseslist!B214,dataICM!D:D,0)), "INC")</f>
        <v>INC</v>
      </c>
      <c r="I214" s="10">
        <f t="shared" si="2"/>
        <v>555127</v>
      </c>
      <c r="J214" s="9" t="str">
        <f t="array" ref="J214">IF(
  AND(
    IFERROR(MATCH(B214, data!D:D, 0), 0) &gt; 0,
    IFERROR(INDEX(data!N:N, MATCH(B214, data!D:D, 0)) = 1, FALSE)
  ),
  INDEX(data!C:C, MATCH(B214, data!D:D, 0)),
  "INC"
)</f>
        <v>2025-09-14T13:25:31.578+08</v>
      </c>
      <c r="K214" s="9" t="str">
        <f t="array" ref="K214">IFERROR(INDEX(dataICM!C:C,match(Caseslist!B214,dataICM!D:D,0)), "INC")</f>
        <v>INC</v>
      </c>
      <c r="L214" s="10" t="str">
        <f t="array" ref="L214">IF(AND(G214="COMPLETE", OR(K214="INC", ISBLANK(INDEX(data!O:O, ROW())))), J214, K214)</f>
        <v>2025-09-14T13:25:31.578+08</v>
      </c>
      <c r="M214" s="2">
        <v>45914.0</v>
      </c>
      <c r="N214" s="2">
        <f t="array" ref="N214">IF(M214&lt;&gt;"INC", INDEX(data!M:M, MATCH(B214, data!D:D, 0)), "")</f>
        <v>0</v>
      </c>
      <c r="O214" s="2">
        <f t="shared" si="3"/>
        <v>0</v>
      </c>
    </row>
    <row r="215">
      <c r="A215" s="2" t="str">
        <f t="shared" si="1"/>
        <v>H004541</v>
      </c>
      <c r="B215" s="1" t="s">
        <v>6123</v>
      </c>
      <c r="C215" s="9" t="str">
        <f t="array" ref="C215">IF(
  AND(
    IFERROR(MATCH(Caseslist!B215, data!D:D, 0), 0) &gt; 0,
    IFERROR(INDEX(data!N:N, MATCH(Caseslist!B215, data!D:D, 0)) = 1, FALSE)
  ),
  "COMPLETE",
  "INC"
)</f>
        <v>COMPLETE</v>
      </c>
      <c r="D215" s="9">
        <f t="array" ref="D215">IFERROR(INDEX(data!$G:$G,match(Caseslist!B215,data!$D:$D,0)), "INC")</f>
        <v>555127</v>
      </c>
      <c r="E215" s="9" t="str">
        <f t="array" ref="E215">IFERROR(INDEX(data!H:H,match(Caseslist!B215,data!D:D,0)), "INC")</f>
        <v>Mary May_2</v>
      </c>
      <c r="F215" s="10" t="str">
        <f t="array" ref="F215">IF(
    OR(
      IFNA(INDEX(data!M:M, MATCH(Caseslist!B215, data!D:D, 0)), "") = "",
      IFNA(INDEX(data!M:M, MATCH(Caseslist!B215, data!D:D, 0)), 0) = 0
    ),
    "COMPLETE",
    IF(
      IFNA(INDEX(dataICM!D:D, MATCH(Caseslist!B215, dataICM!D:D, 0)), "INC") = "INC",
      IFNA(INDEX(dataICM!D:D, MATCH(Caseslist!B215, dataICM!D:D, 0)), "INC"),
      "COMPLETE"
    )
  )</f>
        <v>COMPLETE</v>
      </c>
      <c r="G215" s="10" t="str">
        <f t="array" ref="G215">IF(IFERROR(INDEX(data!L:L,match(Caseslist!B215,data!D:D,0)),"INC")="","COMPLETE",F215)</f>
        <v>COMPLETE</v>
      </c>
      <c r="H215" s="9" t="str">
        <f t="array" ref="H215">IFERROR(INDEX(dataICM!F:F,match(Caseslist!B215,dataICM!D:D,0)), "INC")</f>
        <v>INC</v>
      </c>
      <c r="I215" s="10">
        <f t="shared" si="2"/>
        <v>555127</v>
      </c>
      <c r="J215" s="9" t="str">
        <f t="array" ref="J215">IF(
  AND(
    IFERROR(MATCH(B215, data!D:D, 0), 0) &gt; 0,
    IFERROR(INDEX(data!N:N, MATCH(B215, data!D:D, 0)) = 1, FALSE)
  ),
  INDEX(data!C:C, MATCH(B215, data!D:D, 0)),
  "INC"
)</f>
        <v>2025-09-14T09:08:34.166+08</v>
      </c>
      <c r="K215" s="9" t="str">
        <f t="array" ref="K215">IFERROR(INDEX(dataICM!C:C,match(Caseslist!B215,dataICM!D:D,0)), "INC")</f>
        <v>INC</v>
      </c>
      <c r="L215" s="10" t="str">
        <f t="array" ref="L215">IF(AND(G215="COMPLETE", OR(K215="INC", ISBLANK(INDEX(data!O:O, ROW())))), J215, K215)</f>
        <v>2025-09-14T09:08:34.166+08</v>
      </c>
      <c r="M215" s="2">
        <v>45914.0</v>
      </c>
      <c r="N215" s="2">
        <f t="array" ref="N215">IF(M215&lt;&gt;"INC", INDEX(data!M:M, MATCH(B215, data!D:D, 0)), "")</f>
        <v>0</v>
      </c>
      <c r="O215" s="2">
        <f t="shared" si="3"/>
        <v>0</v>
      </c>
    </row>
    <row r="216">
      <c r="A216" s="2" t="str">
        <f t="shared" si="1"/>
        <v>H004579</v>
      </c>
      <c r="B216" s="1" t="s">
        <v>5433</v>
      </c>
      <c r="C216" s="9" t="str">
        <f t="array" ref="C216">IF(
  AND(
    IFERROR(MATCH(Caseslist!B216, data!D:D, 0), 0) &gt; 0,
    IFERROR(INDEX(data!N:N, MATCH(Caseslist!B216, data!D:D, 0)) = 1, FALSE)
  ),
  "COMPLETE",
  "INC"
)</f>
        <v>COMPLETE</v>
      </c>
      <c r="D216" s="9">
        <f t="array" ref="D216">IFERROR(INDEX(data!$G:$G,match(Caseslist!B216,data!$D:$D,0)), "INC")</f>
        <v>729375</v>
      </c>
      <c r="E216" s="9" t="str">
        <f t="array" ref="E216">IFERROR(INDEX(data!H:H,match(Caseslist!B216,data!D:D,0)), "INC")</f>
        <v>Janet Serafica_2</v>
      </c>
      <c r="F216" s="10" t="str">
        <f t="array" ref="F216">IF(
    OR(
      IFNA(INDEX(data!M:M, MATCH(Caseslist!B216, data!D:D, 0)), "") = "",
      IFNA(INDEX(data!M:M, MATCH(Caseslist!B216, data!D:D, 0)), 0) = 0
    ),
    "COMPLETE",
    IF(
      IFNA(INDEX(dataICM!D:D, MATCH(Caseslist!B216, dataICM!D:D, 0)), "INC") = "INC",
      IFNA(INDEX(dataICM!D:D, MATCH(Caseslist!B216, dataICM!D:D, 0)), "INC"),
      "COMPLETE"
    )
  )</f>
        <v>COMPLETE</v>
      </c>
      <c r="G216" s="10" t="str">
        <f t="array" ref="G216">IF(IFERROR(INDEX(data!L:L,match(Caseslist!B216,data!D:D,0)),"INC")="","COMPLETE",F216)</f>
        <v>COMPLETE</v>
      </c>
      <c r="H216" s="9" t="str">
        <f t="array" ref="H216">IFERROR(INDEX(dataICM!F:F,match(Caseslist!B216,dataICM!D:D,0)), "INC")</f>
        <v>Janet Serafica_2</v>
      </c>
      <c r="I216" s="10">
        <f t="shared" si="2"/>
        <v>729375</v>
      </c>
      <c r="J216" s="9" t="str">
        <f t="array" ref="J216">IF(
  AND(
    IFERROR(MATCH(B216, data!D:D, 0), 0) &gt; 0,
    IFERROR(INDEX(data!N:N, MATCH(B216, data!D:D, 0)) = 1, FALSE)
  ),
  INDEX(data!C:C, MATCH(B216, data!D:D, 0)),
  "INC"
)</f>
        <v>2025-09-11T16:42:38.148+08</v>
      </c>
      <c r="K216" s="9" t="str">
        <f t="array" ref="K216">IFERROR(INDEX(dataICM!C:C,match(Caseslist!B216,dataICM!D:D,0)), "INC")</f>
        <v>2025-09-24T14:23:36.928+08</v>
      </c>
      <c r="L216" s="10" t="str">
        <f t="array" ref="L216">IF(AND(G216="COMPLETE", OR(K216="INC", ISBLANK(INDEX(data!O:O, ROW())))), J216, K216)</f>
        <v>2025-09-24T14:23:36.928+08</v>
      </c>
      <c r="M216" s="2">
        <v>45924.0</v>
      </c>
      <c r="N216" s="2">
        <f t="array" ref="N216">IF(M216&lt;&gt;"INC", INDEX(data!M:M, MATCH(B216, data!D:D, 0)), "")</f>
        <v>2</v>
      </c>
      <c r="O216" s="2">
        <f t="shared" si="3"/>
        <v>2</v>
      </c>
    </row>
    <row r="217">
      <c r="A217" s="2" t="str">
        <f t="shared" si="1"/>
        <v>H004579</v>
      </c>
      <c r="B217" s="1" t="s">
        <v>5428</v>
      </c>
      <c r="C217" s="9" t="str">
        <f t="array" ref="C217">IF(
  AND(
    IFERROR(MATCH(Caseslist!B217, data!D:D, 0), 0) &gt; 0,
    IFERROR(INDEX(data!N:N, MATCH(Caseslist!B217, data!D:D, 0)) = 1, FALSE)
  ),
  "COMPLETE",
  "INC"
)</f>
        <v>COMPLETE</v>
      </c>
      <c r="D217" s="9">
        <f t="array" ref="D217">IFERROR(INDEX(data!$G:$G,match(Caseslist!B217,data!$D:$D,0)), "INC")</f>
        <v>729375</v>
      </c>
      <c r="E217" s="9" t="str">
        <f t="array" ref="E217">IFERROR(INDEX(data!H:H,match(Caseslist!B217,data!D:D,0)), "INC")</f>
        <v>Janet Serafica_2</v>
      </c>
      <c r="F217" s="10" t="str">
        <f t="array" ref="F217">IF(
    OR(
      IFNA(INDEX(data!M:M, MATCH(Caseslist!B217, data!D:D, 0)), "") = "",
      IFNA(INDEX(data!M:M, MATCH(Caseslist!B217, data!D:D, 0)), 0) = 0
    ),
    "COMPLETE",
    IF(
      IFNA(INDEX(dataICM!D:D, MATCH(Caseslist!B217, dataICM!D:D, 0)), "INC") = "INC",
      IFNA(INDEX(dataICM!D:D, MATCH(Caseslist!B217, dataICM!D:D, 0)), "INC"),
      "COMPLETE"
    )
  )</f>
        <v>COMPLETE</v>
      </c>
      <c r="G217" s="10" t="str">
        <f t="array" ref="G217">IF(IFERROR(INDEX(data!L:L,match(Caseslist!B217,data!D:D,0)),"INC")="","COMPLETE",F217)</f>
        <v>COMPLETE</v>
      </c>
      <c r="H217" s="9" t="str">
        <f t="array" ref="H217">IFERROR(INDEX(dataICM!F:F,match(Caseslist!B217,dataICM!D:D,0)), "INC")</f>
        <v>Janet Serafica_2</v>
      </c>
      <c r="I217" s="10">
        <f t="shared" si="2"/>
        <v>729375</v>
      </c>
      <c r="J217" s="9" t="str">
        <f t="array" ref="J217">IF(
  AND(
    IFERROR(MATCH(B217, data!D:D, 0), 0) &gt; 0,
    IFERROR(INDEX(data!N:N, MATCH(B217, data!D:D, 0)) = 1, FALSE)
  ),
  INDEX(data!C:C, MATCH(B217, data!D:D, 0)),
  "INC"
)</f>
        <v>2025-09-11T12:04:46.850+08</v>
      </c>
      <c r="K217" s="9" t="str">
        <f t="array" ref="K217">IFERROR(INDEX(dataICM!C:C,match(Caseslist!B217,dataICM!D:D,0)), "INC")</f>
        <v>2025-09-11T12:17:21.159+08</v>
      </c>
      <c r="L217" s="10" t="str">
        <f t="array" ref="L217">IF(AND(G217="COMPLETE", OR(K217="INC", ISBLANK(INDEX(data!O:O, ROW())))), J217, K217)</f>
        <v>2025-09-11T12:17:21.159+08</v>
      </c>
      <c r="M217" s="2">
        <v>45911.0</v>
      </c>
      <c r="N217" s="2">
        <f t="array" ref="N217">IF(M217&lt;&gt;"INC", INDEX(data!M:M, MATCH(B217, data!D:D, 0)), "")</f>
        <v>2</v>
      </c>
      <c r="O217" s="2">
        <f t="shared" si="3"/>
        <v>2</v>
      </c>
    </row>
    <row r="218">
      <c r="A218" s="2" t="str">
        <f t="shared" si="1"/>
        <v>H004579</v>
      </c>
      <c r="B218" s="1" t="s">
        <v>5408</v>
      </c>
      <c r="C218" s="9" t="str">
        <f t="array" ref="C218">IF(
  AND(
    IFERROR(MATCH(Caseslist!B218, data!D:D, 0), 0) &gt; 0,
    IFERROR(INDEX(data!N:N, MATCH(Caseslist!B218, data!D:D, 0)) = 1, FALSE)
  ),
  "COMPLETE",
  "INC"
)</f>
        <v>COMPLETE</v>
      </c>
      <c r="D218" s="9">
        <f t="array" ref="D218">IFERROR(INDEX(data!$G:$G,match(Caseslist!B218,data!$D:$D,0)), "INC")</f>
        <v>859767</v>
      </c>
      <c r="E218" s="9" t="str">
        <f t="array" ref="E218">IFERROR(INDEX(data!H:H,match(Caseslist!B218,data!D:D,0)), "INC")</f>
        <v>Ramie De Pedro Jr._2</v>
      </c>
      <c r="F218" s="10" t="str">
        <f t="array" ref="F218">IF(
    OR(
      IFNA(INDEX(data!M:M, MATCH(Caseslist!B218, data!D:D, 0)), "") = "",
      IFNA(INDEX(data!M:M, MATCH(Caseslist!B218, data!D:D, 0)), 0) = 0
    ),
    "COMPLETE",
    IF(
      IFNA(INDEX(dataICM!D:D, MATCH(Caseslist!B218, dataICM!D:D, 0)), "INC") = "INC",
      IFNA(INDEX(dataICM!D:D, MATCH(Caseslist!B218, dataICM!D:D, 0)), "INC"),
      "COMPLETE"
    )
  )</f>
        <v>COMPLETE</v>
      </c>
      <c r="G218" s="10" t="str">
        <f t="array" ref="G218">IF(IFERROR(INDEX(data!L:L,match(Caseslist!B218,data!D:D,0)),"INC")="","COMPLETE",F218)</f>
        <v>COMPLETE</v>
      </c>
      <c r="H218" s="9" t="str">
        <f t="array" ref="H218">IFERROR(INDEX(dataICM!F:F,match(Caseslist!B218,dataICM!D:D,0)), "INC")</f>
        <v>Ramie De Pedro Jr._2</v>
      </c>
      <c r="I218" s="10">
        <f t="shared" si="2"/>
        <v>859767</v>
      </c>
      <c r="J218" s="9" t="str">
        <f t="array" ref="J218">IF(
  AND(
    IFERROR(MATCH(B218, data!D:D, 0), 0) &gt; 0,
    IFERROR(INDEX(data!N:N, MATCH(B218, data!D:D, 0)) = 1, FALSE)
  ),
  INDEX(data!C:C, MATCH(B218, data!D:D, 0)),
  "INC"
)</f>
        <v>2025-09-11T12:48:19.395+08</v>
      </c>
      <c r="K218" s="9" t="str">
        <f t="array" ref="K218">IFERROR(INDEX(dataICM!C:C,match(Caseslist!B218,dataICM!D:D,0)), "INC")</f>
        <v>2025-09-11T15:42:41.426+08</v>
      </c>
      <c r="L218" s="10" t="str">
        <f t="array" ref="L218">IF(AND(G218="COMPLETE", OR(K218="INC", ISBLANK(INDEX(data!O:O, ROW())))), J218, K218)</f>
        <v>2025-09-11T15:42:41.426+08</v>
      </c>
      <c r="M218" s="2">
        <v>45911.0</v>
      </c>
      <c r="N218" s="2">
        <f t="array" ref="N218">IF(M218&lt;&gt;"INC", INDEX(data!M:M, MATCH(B218, data!D:D, 0)), "")</f>
        <v>2</v>
      </c>
      <c r="O218" s="2">
        <f t="shared" si="3"/>
        <v>2</v>
      </c>
    </row>
    <row r="219">
      <c r="A219" s="2" t="str">
        <f t="shared" si="1"/>
        <v>H004579</v>
      </c>
      <c r="B219" s="1" t="s">
        <v>5423</v>
      </c>
      <c r="C219" s="9" t="str">
        <f t="array" ref="C219">IF(
  AND(
    IFERROR(MATCH(Caseslist!B219, data!D:D, 0), 0) &gt; 0,
    IFERROR(INDEX(data!N:N, MATCH(Caseslist!B219, data!D:D, 0)) = 1, FALSE)
  ),
  "COMPLETE",
  "INC"
)</f>
        <v>COMPLETE</v>
      </c>
      <c r="D219" s="9">
        <f t="array" ref="D219">IFERROR(INDEX(data!$G:$G,match(Caseslist!B219,data!$D:$D,0)), "INC")</f>
        <v>729375</v>
      </c>
      <c r="E219" s="9" t="str">
        <f t="array" ref="E219">IFERROR(INDEX(data!H:H,match(Caseslist!B219,data!D:D,0)), "INC")</f>
        <v>Janet Serafica_2</v>
      </c>
      <c r="F219" s="10" t="str">
        <f t="array" ref="F219">IF(
    OR(
      IFNA(INDEX(data!M:M, MATCH(Caseslist!B219, data!D:D, 0)), "") = "",
      IFNA(INDEX(data!M:M, MATCH(Caseslist!B219, data!D:D, 0)), 0) = 0
    ),
    "COMPLETE",
    IF(
      IFNA(INDEX(dataICM!D:D, MATCH(Caseslist!B219, dataICM!D:D, 0)), "INC") = "INC",
      IFNA(INDEX(dataICM!D:D, MATCH(Caseslist!B219, dataICM!D:D, 0)), "INC"),
      "COMPLETE"
    )
  )</f>
        <v>COMPLETE</v>
      </c>
      <c r="G219" s="10" t="str">
        <f t="array" ref="G219">IF(IFERROR(INDEX(data!L:L,match(Caseslist!B219,data!D:D,0)),"INC")="","COMPLETE",F219)</f>
        <v>COMPLETE</v>
      </c>
      <c r="H219" s="9" t="str">
        <f t="array" ref="H219">IFERROR(INDEX(dataICM!F:F,match(Caseslist!B219,dataICM!D:D,0)), "INC")</f>
        <v>Janet Serafica_2</v>
      </c>
      <c r="I219" s="10">
        <f t="shared" si="2"/>
        <v>729375</v>
      </c>
      <c r="J219" s="9" t="str">
        <f t="array" ref="J219">IF(
  AND(
    IFERROR(MATCH(B219, data!D:D, 0), 0) &gt; 0,
    IFERROR(INDEX(data!N:N, MATCH(B219, data!D:D, 0)) = 1, FALSE)
  ),
  INDEX(data!C:C, MATCH(B219, data!D:D, 0)),
  "INC"
)</f>
        <v>2025-09-11T10:43:02.815+08</v>
      </c>
      <c r="K219" s="9" t="str">
        <f t="array" ref="K219">IFERROR(INDEX(dataICM!C:C,match(Caseslist!B219,dataICM!D:D,0)), "INC")</f>
        <v>2025-09-11T10:49:50.187+08</v>
      </c>
      <c r="L219" s="10" t="str">
        <f t="array" ref="L219">IF(AND(G219="COMPLETE", OR(K219="INC", ISBLANK(INDEX(data!O:O, ROW())))), J219, K219)</f>
        <v>2025-09-11T10:49:50.187+08</v>
      </c>
      <c r="M219" s="2">
        <v>45911.0</v>
      </c>
      <c r="N219" s="2">
        <f t="array" ref="N219">IF(M219&lt;&gt;"INC", INDEX(data!M:M, MATCH(B219, data!D:D, 0)), "")</f>
        <v>2</v>
      </c>
      <c r="O219" s="2">
        <f t="shared" si="3"/>
        <v>2</v>
      </c>
    </row>
    <row r="220">
      <c r="A220" s="2" t="str">
        <f t="shared" si="1"/>
        <v>H004579</v>
      </c>
      <c r="B220" s="1" t="s">
        <v>5518</v>
      </c>
      <c r="C220" s="9" t="str">
        <f t="array" ref="C220">IF(
  AND(
    IFERROR(MATCH(Caseslist!B220, data!D:D, 0), 0) &gt; 0,
    IFERROR(INDEX(data!N:N, MATCH(Caseslist!B220, data!D:D, 0)) = 1, FALSE)
  ),
  "COMPLETE",
  "INC"
)</f>
        <v>COMPLETE</v>
      </c>
      <c r="D220" s="9" t="str">
        <f t="array" ref="D220">IFERROR(INDEX(data!$G:$G,match(Caseslist!B220,data!$D:$D,0)), "INC")</f>
        <v>S2671943</v>
      </c>
      <c r="E220" s="9" t="str">
        <f t="array" ref="E220">IFERROR(INDEX(data!H:H,match(Caseslist!B220,data!D:D,0)), "INC")</f>
        <v>Marvin Mondia</v>
      </c>
      <c r="F220" s="10" t="str">
        <f t="array" ref="F220">IF(
    OR(
      IFNA(INDEX(data!M:M, MATCH(Caseslist!B220, data!D:D, 0)), "") = "",
      IFNA(INDEX(data!M:M, MATCH(Caseslist!B220, data!D:D, 0)), 0) = 0
    ),
    "COMPLETE",
    IF(
      IFNA(INDEX(dataICM!D:D, MATCH(Caseslist!B220, dataICM!D:D, 0)), "INC") = "INC",
      IFNA(INDEX(dataICM!D:D, MATCH(Caseslist!B220, dataICM!D:D, 0)), "INC"),
      "COMPLETE"
    )
  )</f>
        <v>COMPLETE</v>
      </c>
      <c r="G220" s="10" t="str">
        <f t="array" ref="G220">IF(IFERROR(INDEX(data!L:L,match(Caseslist!B220,data!D:D,0)),"INC")="","COMPLETE",F220)</f>
        <v>COMPLETE</v>
      </c>
      <c r="H220" s="9" t="str">
        <f t="array" ref="H220">IFERROR(INDEX(dataICM!F:F,match(Caseslist!B220,dataICM!D:D,0)), "INC")</f>
        <v>Marvin Mondia</v>
      </c>
      <c r="I220" s="10" t="str">
        <f t="shared" si="2"/>
        <v>S2671943</v>
      </c>
      <c r="J220" s="9" t="str">
        <f t="array" ref="J220">IF(
  AND(
    IFERROR(MATCH(B220, data!D:D, 0), 0) &gt; 0,
    IFERROR(INDEX(data!N:N, MATCH(B220, data!D:D, 0)) = 1, FALSE)
  ),
  INDEX(data!C:C, MATCH(B220, data!D:D, 0)),
  "INC"
)</f>
        <v>2025-09-11T12:44:59.748+08</v>
      </c>
      <c r="K220" s="9" t="str">
        <f t="array" ref="K220">IFERROR(INDEX(dataICM!C:C,match(Caseslist!B220,dataICM!D:D,0)), "INC")</f>
        <v>2025-09-11T12:50:14.278+08</v>
      </c>
      <c r="L220" s="10" t="str">
        <f t="array" ref="L220">IF(AND(G220="COMPLETE", OR(K220="INC", ISBLANK(INDEX(data!O:O, ROW())))), J220, K220)</f>
        <v>2025-09-11T12:50:14.278+08</v>
      </c>
      <c r="M220" s="2">
        <v>45911.0</v>
      </c>
      <c r="N220" s="2">
        <f t="array" ref="N220">IF(M220&lt;&gt;"INC", INDEX(data!M:M, MATCH(B220, data!D:D, 0)), "")</f>
        <v>2</v>
      </c>
      <c r="O220" s="2">
        <f t="shared" si="3"/>
        <v>2</v>
      </c>
    </row>
    <row r="221">
      <c r="A221" s="2" t="str">
        <f t="shared" si="1"/>
        <v>H004579</v>
      </c>
      <c r="B221" s="1" t="s">
        <v>5528</v>
      </c>
      <c r="C221" s="9" t="str">
        <f t="array" ref="C221">IF(
  AND(
    IFERROR(MATCH(Caseslist!B221, data!D:D, 0), 0) &gt; 0,
    IFERROR(INDEX(data!N:N, MATCH(Caseslist!B221, data!D:D, 0)) = 1, FALSE)
  ),
  "COMPLETE",
  "INC"
)</f>
        <v>COMPLETE</v>
      </c>
      <c r="D221" s="9">
        <f t="array" ref="D221">IFERROR(INDEX(data!$G:$G,match(Caseslist!B221,data!$D:$D,0)), "INC")</f>
        <v>729375</v>
      </c>
      <c r="E221" s="9" t="str">
        <f t="array" ref="E221">IFERROR(INDEX(data!H:H,match(Caseslist!B221,data!D:D,0)), "INC")</f>
        <v>Janet Serafica_2</v>
      </c>
      <c r="F221" s="10" t="str">
        <f t="array" ref="F221">IF(
    OR(
      IFNA(INDEX(data!M:M, MATCH(Caseslist!B221, data!D:D, 0)), "") = "",
      IFNA(INDEX(data!M:M, MATCH(Caseslist!B221, data!D:D, 0)), 0) = 0
    ),
    "COMPLETE",
    IF(
      IFNA(INDEX(dataICM!D:D, MATCH(Caseslist!B221, dataICM!D:D, 0)), "INC") = "INC",
      IFNA(INDEX(dataICM!D:D, MATCH(Caseslist!B221, dataICM!D:D, 0)), "INC"),
      "COMPLETE"
    )
  )</f>
        <v>COMPLETE</v>
      </c>
      <c r="G221" s="10" t="str">
        <f t="array" ref="G221">IF(IFERROR(INDEX(data!L:L,match(Caseslist!B221,data!D:D,0)),"INC")="","COMPLETE",F221)</f>
        <v>COMPLETE</v>
      </c>
      <c r="H221" s="9" t="str">
        <f t="array" ref="H221">IFERROR(INDEX(dataICM!F:F,match(Caseslist!B221,dataICM!D:D,0)), "INC")</f>
        <v>Janet Serafica_2</v>
      </c>
      <c r="I221" s="10">
        <f t="shared" si="2"/>
        <v>729375</v>
      </c>
      <c r="J221" s="9" t="str">
        <f t="array" ref="J221">IF(
  AND(
    IFERROR(MATCH(B221, data!D:D, 0), 0) &gt; 0,
    IFERROR(INDEX(data!N:N, MATCH(B221, data!D:D, 0)) = 1, FALSE)
  ),
  INDEX(data!C:C, MATCH(B221, data!D:D, 0)),
  "INC"
)</f>
        <v>2025-09-24T11:10:15.237+08</v>
      </c>
      <c r="K221" s="9" t="str">
        <f t="array" ref="K221">IFERROR(INDEX(dataICM!C:C,match(Caseslist!B221,dataICM!D:D,0)), "INC")</f>
        <v>2025-09-24T11:13:39.845+08</v>
      </c>
      <c r="L221" s="10" t="str">
        <f t="array" ref="L221">IF(AND(G221="COMPLETE", OR(K221="INC", ISBLANK(INDEX(data!O:O, ROW())))), J221, K221)</f>
        <v>2025-09-24T11:13:39.845+08</v>
      </c>
      <c r="M221" s="2">
        <v>45924.0</v>
      </c>
      <c r="N221" s="2">
        <f t="array" ref="N221">IF(M221&lt;&gt;"INC", INDEX(data!M:M, MATCH(B221, data!D:D, 0)), "")</f>
        <v>2</v>
      </c>
      <c r="O221" s="2">
        <f t="shared" si="3"/>
        <v>2</v>
      </c>
    </row>
    <row r="222">
      <c r="A222" s="2" t="str">
        <f t="shared" si="1"/>
        <v>H004579</v>
      </c>
      <c r="B222" s="1" t="s">
        <v>5418</v>
      </c>
      <c r="C222" s="9" t="str">
        <f t="array" ref="C222">IF(
  AND(
    IFERROR(MATCH(Caseslist!B222, data!D:D, 0), 0) &gt; 0,
    IFERROR(INDEX(data!N:N, MATCH(Caseslist!B222, data!D:D, 0)) = 1, FALSE)
  ),
  "COMPLETE",
  "INC"
)</f>
        <v>COMPLETE</v>
      </c>
      <c r="D222" s="9">
        <f t="array" ref="D222">IFERROR(INDEX(data!$G:$G,match(Caseslist!B222,data!$D:$D,0)), "INC")</f>
        <v>859767</v>
      </c>
      <c r="E222" s="9" t="str">
        <f t="array" ref="E222">IFERROR(INDEX(data!H:H,match(Caseslist!B222,data!D:D,0)), "INC")</f>
        <v>Ramie De Pedro Jr._2</v>
      </c>
      <c r="F222" s="10" t="str">
        <f t="array" ref="F222">IF(
    OR(
      IFNA(INDEX(data!M:M, MATCH(Caseslist!B222, data!D:D, 0)), "") = "",
      IFNA(INDEX(data!M:M, MATCH(Caseslist!B222, data!D:D, 0)), 0) = 0
    ),
    "COMPLETE",
    IF(
      IFNA(INDEX(dataICM!D:D, MATCH(Caseslist!B222, dataICM!D:D, 0)), "INC") = "INC",
      IFNA(INDEX(dataICM!D:D, MATCH(Caseslist!B222, dataICM!D:D, 0)), "INC"),
      "COMPLETE"
    )
  )</f>
        <v>COMPLETE</v>
      </c>
      <c r="G222" s="10" t="str">
        <f t="array" ref="G222">IF(IFERROR(INDEX(data!L:L,match(Caseslist!B222,data!D:D,0)),"INC")="","COMPLETE",F222)</f>
        <v>COMPLETE</v>
      </c>
      <c r="H222" s="9" t="str">
        <f t="array" ref="H222">IFERROR(INDEX(dataICM!F:F,match(Caseslist!B222,dataICM!D:D,0)), "INC")</f>
        <v>Ramie De Pedro Jr._2</v>
      </c>
      <c r="I222" s="10">
        <f t="shared" si="2"/>
        <v>859767</v>
      </c>
      <c r="J222" s="9" t="str">
        <f t="array" ref="J222">IF(
  AND(
    IFERROR(MATCH(B222, data!D:D, 0), 0) &gt; 0,
    IFERROR(INDEX(data!N:N, MATCH(B222, data!D:D, 0)) = 1, FALSE)
  ),
  INDEX(data!C:C, MATCH(B222, data!D:D, 0)),
  "INC"
)</f>
        <v>2025-09-11T14:38:30.571+08</v>
      </c>
      <c r="K222" s="9" t="str">
        <f t="array" ref="K222">IFERROR(INDEX(dataICM!C:C,match(Caseslist!B222,dataICM!D:D,0)), "INC")</f>
        <v>2025-09-11T15:42:04.003+08</v>
      </c>
      <c r="L222" s="10" t="str">
        <f t="array" ref="L222">IF(AND(G222="COMPLETE", OR(K222="INC", ISBLANK(INDEX(data!O:O, ROW())))), J222, K222)</f>
        <v>2025-09-11T15:42:04.003+08</v>
      </c>
      <c r="M222" s="2">
        <v>45911.0</v>
      </c>
      <c r="N222" s="2">
        <f t="array" ref="N222">IF(M222&lt;&gt;"INC", INDEX(data!M:M, MATCH(B222, data!D:D, 0)), "")</f>
        <v>2</v>
      </c>
      <c r="O222" s="2">
        <f t="shared" si="3"/>
        <v>2</v>
      </c>
    </row>
    <row r="223">
      <c r="A223" s="2" t="str">
        <f t="shared" si="1"/>
        <v>H004579</v>
      </c>
      <c r="B223" s="1" t="s">
        <v>5438</v>
      </c>
      <c r="C223" s="9" t="str">
        <f t="array" ref="C223">IF(
  AND(
    IFERROR(MATCH(Caseslist!B223, data!D:D, 0), 0) &gt; 0,
    IFERROR(INDEX(data!N:N, MATCH(Caseslist!B223, data!D:D, 0)) = 1, FALSE)
  ),
  "COMPLETE",
  "INC"
)</f>
        <v>COMPLETE</v>
      </c>
      <c r="D223" s="9">
        <f t="array" ref="D223">IFERROR(INDEX(data!$G:$G,match(Caseslist!B223,data!$D:$D,0)), "INC")</f>
        <v>729375</v>
      </c>
      <c r="E223" s="9" t="str">
        <f t="array" ref="E223">IFERROR(INDEX(data!H:H,match(Caseslist!B223,data!D:D,0)), "INC")</f>
        <v>Janet Serafica_2</v>
      </c>
      <c r="F223" s="10" t="str">
        <f t="array" ref="F223">IF(
    OR(
      IFNA(INDEX(data!M:M, MATCH(Caseslist!B223, data!D:D, 0)), "") = "",
      IFNA(INDEX(data!M:M, MATCH(Caseslist!B223, data!D:D, 0)), 0) = 0
    ),
    "COMPLETE",
    IF(
      IFNA(INDEX(dataICM!D:D, MATCH(Caseslist!B223, dataICM!D:D, 0)), "INC") = "INC",
      IFNA(INDEX(dataICM!D:D, MATCH(Caseslist!B223, dataICM!D:D, 0)), "INC"),
      "COMPLETE"
    )
  )</f>
        <v>COMPLETE</v>
      </c>
      <c r="G223" s="10" t="str">
        <f t="array" ref="G223">IF(IFERROR(INDEX(data!L:L,match(Caseslist!B223,data!D:D,0)),"INC")="","COMPLETE",F223)</f>
        <v>COMPLETE</v>
      </c>
      <c r="H223" s="9" t="str">
        <f t="array" ref="H223">IFERROR(INDEX(dataICM!F:F,match(Caseslist!B223,dataICM!D:D,0)), "INC")</f>
        <v>Janet Serafica_2</v>
      </c>
      <c r="I223" s="10">
        <f t="shared" si="2"/>
        <v>729375</v>
      </c>
      <c r="J223" s="9" t="str">
        <f t="array" ref="J223">IF(
  AND(
    IFERROR(MATCH(B223, data!D:D, 0), 0) &gt; 0,
    IFERROR(INDEX(data!N:N, MATCH(B223, data!D:D, 0)) = 1, FALSE)
  ),
  INDEX(data!C:C, MATCH(B223, data!D:D, 0)),
  "INC"
)</f>
        <v>2025-09-24T09:28:48.639+08</v>
      </c>
      <c r="K223" s="9" t="str">
        <f t="array" ref="K223">IFERROR(INDEX(dataICM!C:C,match(Caseslist!B223,dataICM!D:D,0)), "INC")</f>
        <v>2025-09-24T09:34:20.017+08</v>
      </c>
      <c r="L223" s="10" t="str">
        <f t="array" ref="L223">IF(AND(G223="COMPLETE", OR(K223="INC", ISBLANK(INDEX(data!O:O, ROW())))), J223, K223)</f>
        <v>2025-09-24T09:34:20.017+08</v>
      </c>
      <c r="M223" s="2">
        <v>45924.0</v>
      </c>
      <c r="N223" s="2">
        <f t="array" ref="N223">IF(M223&lt;&gt;"INC", INDEX(data!M:M, MATCH(B223, data!D:D, 0)), "")</f>
        <v>2</v>
      </c>
      <c r="O223" s="2">
        <f t="shared" si="3"/>
        <v>2</v>
      </c>
    </row>
    <row r="224">
      <c r="A224" s="2" t="str">
        <f t="shared" si="1"/>
        <v>H004579</v>
      </c>
      <c r="B224" s="1" t="s">
        <v>5523</v>
      </c>
      <c r="C224" s="9" t="str">
        <f t="array" ref="C224">IF(
  AND(
    IFERROR(MATCH(Caseslist!B224, data!D:D, 0), 0) &gt; 0,
    IFERROR(INDEX(data!N:N, MATCH(Caseslist!B224, data!D:D, 0)) = 1, FALSE)
  ),
  "COMPLETE",
  "INC"
)</f>
        <v>COMPLETE</v>
      </c>
      <c r="D224" s="9" t="str">
        <f t="array" ref="D224">IFERROR(INDEX(data!$G:$G,match(Caseslist!B224,data!$D:$D,0)), "INC")</f>
        <v>S2671943</v>
      </c>
      <c r="E224" s="9" t="str">
        <f t="array" ref="E224">IFERROR(INDEX(data!H:H,match(Caseslist!B224,data!D:D,0)), "INC")</f>
        <v>Marvin Mondia</v>
      </c>
      <c r="F224" s="10" t="str">
        <f t="array" ref="F224">IF(
    OR(
      IFNA(INDEX(data!M:M, MATCH(Caseslist!B224, data!D:D, 0)), "") = "",
      IFNA(INDEX(data!M:M, MATCH(Caseslist!B224, data!D:D, 0)), 0) = 0
    ),
    "COMPLETE",
    IF(
      IFNA(INDEX(dataICM!D:D, MATCH(Caseslist!B224, dataICM!D:D, 0)), "INC") = "INC",
      IFNA(INDEX(dataICM!D:D, MATCH(Caseslist!B224, dataICM!D:D, 0)), "INC"),
      "COMPLETE"
    )
  )</f>
        <v>COMPLETE</v>
      </c>
      <c r="G224" s="10" t="str">
        <f t="array" ref="G224">IF(IFERROR(INDEX(data!L:L,match(Caseslist!B224,data!D:D,0)),"INC")="","COMPLETE",F224)</f>
        <v>COMPLETE</v>
      </c>
      <c r="H224" s="9" t="str">
        <f t="array" ref="H224">IFERROR(INDEX(dataICM!F:F,match(Caseslist!B224,dataICM!D:D,0)), "INC")</f>
        <v>Marvin Mondia</v>
      </c>
      <c r="I224" s="10" t="str">
        <f t="shared" si="2"/>
        <v>S2671943</v>
      </c>
      <c r="J224" s="9" t="str">
        <f t="array" ref="J224">IF(
  AND(
    IFERROR(MATCH(B224, data!D:D, 0), 0) &gt; 0,
    IFERROR(INDEX(data!N:N, MATCH(B224, data!D:D, 0)) = 1, FALSE)
  ),
  INDEX(data!C:C, MATCH(B224, data!D:D, 0)),
  "INC"
)</f>
        <v>2025-09-11T14:33:08.693+08</v>
      </c>
      <c r="K224" s="9" t="str">
        <f t="array" ref="K224">IFERROR(INDEX(dataICM!C:C,match(Caseslist!B224,dataICM!D:D,0)), "INC")</f>
        <v>2025-09-11T14:37:25.893+08</v>
      </c>
      <c r="L224" s="10" t="str">
        <f t="array" ref="L224">IF(AND(G224="COMPLETE", OR(K224="INC", ISBLANK(INDEX(data!O:O, ROW())))), J224, K224)</f>
        <v>2025-09-11T14:37:25.893+08</v>
      </c>
      <c r="M224" s="2">
        <v>45911.0</v>
      </c>
      <c r="N224" s="2">
        <f t="array" ref="N224">IF(M224&lt;&gt;"INC", INDEX(data!M:M, MATCH(B224, data!D:D, 0)), "")</f>
        <v>2</v>
      </c>
      <c r="O224" s="2">
        <f t="shared" si="3"/>
        <v>2</v>
      </c>
    </row>
    <row r="225">
      <c r="A225" s="2" t="str">
        <f t="shared" si="1"/>
        <v>H004579</v>
      </c>
      <c r="B225" s="1" t="s">
        <v>5443</v>
      </c>
      <c r="C225" s="9" t="str">
        <f t="array" ref="C225">IF(
  AND(
    IFERROR(MATCH(Caseslist!B225, data!D:D, 0), 0) &gt; 0,
    IFERROR(INDEX(data!N:N, MATCH(Caseslist!B225, data!D:D, 0)) = 1, FALSE)
  ),
  "COMPLETE",
  "INC"
)</f>
        <v>COMPLETE</v>
      </c>
      <c r="D225" s="9">
        <f t="array" ref="D225">IFERROR(INDEX(data!$G:$G,match(Caseslist!B225,data!$D:$D,0)), "INC")</f>
        <v>729375</v>
      </c>
      <c r="E225" s="9" t="str">
        <f t="array" ref="E225">IFERROR(INDEX(data!H:H,match(Caseslist!B225,data!D:D,0)), "INC")</f>
        <v>Janet Serafica_2</v>
      </c>
      <c r="F225" s="10" t="str">
        <f t="array" ref="F225">IF(
    OR(
      IFNA(INDEX(data!M:M, MATCH(Caseslist!B225, data!D:D, 0)), "") = "",
      IFNA(INDEX(data!M:M, MATCH(Caseslist!B225, data!D:D, 0)), 0) = 0
    ),
    "COMPLETE",
    IF(
      IFNA(INDEX(dataICM!D:D, MATCH(Caseslist!B225, dataICM!D:D, 0)), "INC") = "INC",
      IFNA(INDEX(dataICM!D:D, MATCH(Caseslist!B225, dataICM!D:D, 0)), "INC"),
      "COMPLETE"
    )
  )</f>
        <v>COMPLETE</v>
      </c>
      <c r="G225" s="10" t="str">
        <f t="array" ref="G225">IF(IFERROR(INDEX(data!L:L,match(Caseslist!B225,data!D:D,0)),"INC")="","COMPLETE",F225)</f>
        <v>COMPLETE</v>
      </c>
      <c r="H225" s="9" t="str">
        <f t="array" ref="H225">IFERROR(INDEX(dataICM!F:F,match(Caseslist!B225,dataICM!D:D,0)), "INC")</f>
        <v>Janet Serafica_2</v>
      </c>
      <c r="I225" s="10">
        <f t="shared" si="2"/>
        <v>729375</v>
      </c>
      <c r="J225" s="9" t="str">
        <f t="array" ref="J225">IF(
  AND(
    IFERROR(MATCH(B225, data!D:D, 0), 0) &gt; 0,
    IFERROR(INDEX(data!N:N, MATCH(B225, data!D:D, 0)) = 1, FALSE)
  ),
  INDEX(data!C:C, MATCH(B225, data!D:D, 0)),
  "INC"
)</f>
        <v>2025-09-24T12:07:57.816+08</v>
      </c>
      <c r="K225" s="9" t="str">
        <f t="array" ref="K225">IFERROR(INDEX(dataICM!C:C,match(Caseslist!B225,dataICM!D:D,0)), "INC")</f>
        <v>2025-09-24T12:11:47.709+08</v>
      </c>
      <c r="L225" s="10" t="str">
        <f t="array" ref="L225">IF(AND(G225="COMPLETE", OR(K225="INC", ISBLANK(INDEX(data!O:O, ROW())))), J225, K225)</f>
        <v>2025-09-24T12:11:47.709+08</v>
      </c>
      <c r="M225" s="2">
        <v>45924.0</v>
      </c>
      <c r="N225" s="2">
        <f t="array" ref="N225">IF(M225&lt;&gt;"INC", INDEX(data!M:M, MATCH(B225, data!D:D, 0)), "")</f>
        <v>2</v>
      </c>
      <c r="O225" s="2">
        <f t="shared" si="3"/>
        <v>2</v>
      </c>
    </row>
    <row r="226">
      <c r="A226" s="2" t="str">
        <f t="shared" si="1"/>
        <v>H004579</v>
      </c>
      <c r="B226" s="1" t="s">
        <v>5533</v>
      </c>
      <c r="C226" s="9" t="str">
        <f t="array" ref="C226">IF(
  AND(
    IFERROR(MATCH(Caseslist!B226, data!D:D, 0), 0) &gt; 0,
    IFERROR(INDEX(data!N:N, MATCH(Caseslist!B226, data!D:D, 0)) = 1, FALSE)
  ),
  "COMPLETE",
  "INC"
)</f>
        <v>COMPLETE</v>
      </c>
      <c r="D226" s="9">
        <f t="array" ref="D226">IFERROR(INDEX(data!$G:$G,match(Caseslist!B226,data!$D:$D,0)), "INC")</f>
        <v>729375</v>
      </c>
      <c r="E226" s="9" t="str">
        <f t="array" ref="E226">IFERROR(INDEX(data!H:H,match(Caseslist!B226,data!D:D,0)), "INC")</f>
        <v>Janet Serafica_2</v>
      </c>
      <c r="F226" s="10" t="str">
        <f t="array" ref="F226">IF(
    OR(
      IFNA(INDEX(data!M:M, MATCH(Caseslist!B226, data!D:D, 0)), "") = "",
      IFNA(INDEX(data!M:M, MATCH(Caseslist!B226, data!D:D, 0)), 0) = 0
    ),
    "COMPLETE",
    IF(
      IFNA(INDEX(dataICM!D:D, MATCH(Caseslist!B226, dataICM!D:D, 0)), "INC") = "INC",
      IFNA(INDEX(dataICM!D:D, MATCH(Caseslist!B226, dataICM!D:D, 0)), "INC"),
      "COMPLETE"
    )
  )</f>
        <v>COMPLETE</v>
      </c>
      <c r="G226" s="10" t="str">
        <f t="array" ref="G226">IF(IFERROR(INDEX(data!L:L,match(Caseslist!B226,data!D:D,0)),"INC")="","COMPLETE",F226)</f>
        <v>COMPLETE</v>
      </c>
      <c r="H226" s="9" t="str">
        <f t="array" ref="H226">IFERROR(INDEX(dataICM!F:F,match(Caseslist!B226,dataICM!D:D,0)), "INC")</f>
        <v>Janet Serafica_2</v>
      </c>
      <c r="I226" s="10">
        <f t="shared" si="2"/>
        <v>729375</v>
      </c>
      <c r="J226" s="9" t="str">
        <f t="array" ref="J226">IF(
  AND(
    IFERROR(MATCH(B226, data!D:D, 0), 0) &gt; 0,
    IFERROR(INDEX(data!N:N, MATCH(B226, data!D:D, 0)) = 1, FALSE)
  ),
  INDEX(data!C:C, MATCH(B226, data!D:D, 0)),
  "INC"
)</f>
        <v>2025-09-24T13:50:40.826+08</v>
      </c>
      <c r="K226" s="9" t="str">
        <f t="array" ref="K226">IFERROR(INDEX(dataICM!C:C,match(Caseslist!B226,dataICM!D:D,0)), "INC")</f>
        <v>2025-09-24T13:58:47.367+08</v>
      </c>
      <c r="L226" s="10" t="str">
        <f t="array" ref="L226">IF(AND(G226="COMPLETE", OR(K226="INC", ISBLANK(INDEX(data!O:O, ROW())))), J226, K226)</f>
        <v>2025-09-24T13:58:47.367+08</v>
      </c>
      <c r="M226" s="2">
        <v>45924.0</v>
      </c>
      <c r="N226" s="2">
        <f t="array" ref="N226">IF(M226&lt;&gt;"INC", INDEX(data!M:M, MATCH(B226, data!D:D, 0)), "")</f>
        <v>2</v>
      </c>
      <c r="O226" s="2">
        <f t="shared" si="3"/>
        <v>2</v>
      </c>
    </row>
    <row r="227">
      <c r="A227" s="2" t="str">
        <f t="shared" si="1"/>
        <v>H004579</v>
      </c>
      <c r="B227" s="1" t="s">
        <v>5513</v>
      </c>
      <c r="C227" s="9" t="str">
        <f t="array" ref="C227">IF(
  AND(
    IFERROR(MATCH(Caseslist!B227, data!D:D, 0), 0) &gt; 0,
    IFERROR(INDEX(data!N:N, MATCH(Caseslist!B227, data!D:D, 0)) = 1, FALSE)
  ),
  "COMPLETE",
  "INC"
)</f>
        <v>COMPLETE</v>
      </c>
      <c r="D227" s="9" t="str">
        <f t="array" ref="D227">IFERROR(INDEX(data!$G:$G,match(Caseslist!B227,data!$D:$D,0)), "INC")</f>
        <v>S2671943</v>
      </c>
      <c r="E227" s="9" t="str">
        <f t="array" ref="E227">IFERROR(INDEX(data!H:H,match(Caseslist!B227,data!D:D,0)), "INC")</f>
        <v>Marvin Mondia</v>
      </c>
      <c r="F227" s="10" t="str">
        <f t="array" ref="F227">IF(
    OR(
      IFNA(INDEX(data!M:M, MATCH(Caseslist!B227, data!D:D, 0)), "") = "",
      IFNA(INDEX(data!M:M, MATCH(Caseslist!B227, data!D:D, 0)), 0) = 0
    ),
    "COMPLETE",
    IF(
      IFNA(INDEX(dataICM!D:D, MATCH(Caseslist!B227, dataICM!D:D, 0)), "INC") = "INC",
      IFNA(INDEX(dataICM!D:D, MATCH(Caseslist!B227, dataICM!D:D, 0)), "INC"),
      "COMPLETE"
    )
  )</f>
        <v>COMPLETE</v>
      </c>
      <c r="G227" s="10" t="str">
        <f t="array" ref="G227">IF(IFERROR(INDEX(data!L:L,match(Caseslist!B227,data!D:D,0)),"INC")="","COMPLETE",F227)</f>
        <v>COMPLETE</v>
      </c>
      <c r="H227" s="9" t="str">
        <f t="array" ref="H227">IFERROR(INDEX(dataICM!F:F,match(Caseslist!B227,dataICM!D:D,0)), "INC")</f>
        <v>Marvin Mondia</v>
      </c>
      <c r="I227" s="10" t="str">
        <f t="shared" si="2"/>
        <v>S2671943</v>
      </c>
      <c r="J227" s="9" t="str">
        <f t="array" ref="J227">IF(
  AND(
    IFERROR(MATCH(B227, data!D:D, 0), 0) &gt; 0,
    IFERROR(INDEX(data!N:N, MATCH(B227, data!D:D, 0)) = 1, FALSE)
  ),
  INDEX(data!C:C, MATCH(B227, data!D:D, 0)),
  "INC"
)</f>
        <v>2025-09-11T11:13:06.835+08</v>
      </c>
      <c r="K227" s="9" t="str">
        <f t="array" ref="K227">IFERROR(INDEX(dataICM!C:C,match(Caseslist!B227,dataICM!D:D,0)), "INC")</f>
        <v>2025-09-11T11:21:34.759+08</v>
      </c>
      <c r="L227" s="10" t="str">
        <f t="array" ref="L227">IF(AND(G227="COMPLETE", OR(K227="INC", ISBLANK(INDEX(data!O:O, ROW())))), J227, K227)</f>
        <v>2025-09-11T11:21:34.759+08</v>
      </c>
      <c r="M227" s="2">
        <v>45911.0</v>
      </c>
      <c r="N227" s="2">
        <f t="array" ref="N227">IF(M227&lt;&gt;"INC", INDEX(data!M:M, MATCH(B227, data!D:D, 0)), "")</f>
        <v>2</v>
      </c>
      <c r="O227" s="2">
        <f t="shared" si="3"/>
        <v>2</v>
      </c>
    </row>
    <row r="228">
      <c r="A228" s="2" t="str">
        <f t="shared" si="1"/>
        <v>H004579</v>
      </c>
      <c r="B228" s="1" t="s">
        <v>5403</v>
      </c>
      <c r="C228" s="9" t="str">
        <f t="array" ref="C228">IF(
  AND(
    IFERROR(MATCH(Caseslist!B228, data!D:D, 0), 0) &gt; 0,
    IFERROR(INDEX(data!N:N, MATCH(Caseslist!B228, data!D:D, 0)) = 1, FALSE)
  ),
  "COMPLETE",
  "INC"
)</f>
        <v>COMPLETE</v>
      </c>
      <c r="D228" s="9">
        <f t="array" ref="D228">IFERROR(INDEX(data!$G:$G,match(Caseslist!B228,data!$D:$D,0)), "INC")</f>
        <v>859767</v>
      </c>
      <c r="E228" s="9" t="str">
        <f t="array" ref="E228">IFERROR(INDEX(data!H:H,match(Caseslist!B228,data!D:D,0)), "INC")</f>
        <v>Ramie De Pedro Jr._2</v>
      </c>
      <c r="F228" s="10" t="str">
        <f t="array" ref="F228">IF(
    OR(
      IFNA(INDEX(data!M:M, MATCH(Caseslist!B228, data!D:D, 0)), "") = "",
      IFNA(INDEX(data!M:M, MATCH(Caseslist!B228, data!D:D, 0)), 0) = 0
    ),
    "COMPLETE",
    IF(
      IFNA(INDEX(dataICM!D:D, MATCH(Caseslist!B228, dataICM!D:D, 0)), "INC") = "INC",
      IFNA(INDEX(dataICM!D:D, MATCH(Caseslist!B228, dataICM!D:D, 0)), "INC"),
      "COMPLETE"
    )
  )</f>
        <v>COMPLETE</v>
      </c>
      <c r="G228" s="10" t="str">
        <f t="array" ref="G228">IF(IFERROR(INDEX(data!L:L,match(Caseslist!B228,data!D:D,0)),"INC")="","COMPLETE",F228)</f>
        <v>COMPLETE</v>
      </c>
      <c r="H228" s="9" t="str">
        <f t="array" ref="H228">IFERROR(INDEX(dataICM!F:F,match(Caseslist!B228,dataICM!D:D,0)), "INC")</f>
        <v>Ramie De Pedro Jr._2</v>
      </c>
      <c r="I228" s="10">
        <f t="shared" si="2"/>
        <v>859767</v>
      </c>
      <c r="J228" s="9" t="str">
        <f t="array" ref="J228">IF(
  AND(
    IFERROR(MATCH(B228, data!D:D, 0), 0) &gt; 0,
    IFERROR(INDEX(data!N:N, MATCH(B228, data!D:D, 0)) = 1, FALSE)
  ),
  INDEX(data!C:C, MATCH(B228, data!D:D, 0)),
  "INC"
)</f>
        <v>2025-09-11T10:54:58.579+08</v>
      </c>
      <c r="K228" s="9" t="str">
        <f t="array" ref="K228">IFERROR(INDEX(dataICM!C:C,match(Caseslist!B228,dataICM!D:D,0)), "INC")</f>
        <v>2025-09-11T11:00:30.889+08</v>
      </c>
      <c r="L228" s="10" t="str">
        <f t="array" ref="L228">IF(AND(G228="COMPLETE", OR(K228="INC", ISBLANK(INDEX(data!O:O, ROW())))), J228, K228)</f>
        <v>2025-09-11T11:00:30.889+08</v>
      </c>
      <c r="M228" s="2">
        <v>45911.0</v>
      </c>
      <c r="N228" s="2">
        <f t="array" ref="N228">IF(M228&lt;&gt;"INC", INDEX(data!M:M, MATCH(B228, data!D:D, 0)), "")</f>
        <v>2</v>
      </c>
      <c r="O228" s="2">
        <f t="shared" si="3"/>
        <v>2</v>
      </c>
    </row>
    <row r="229">
      <c r="A229" s="2" t="str">
        <f t="shared" si="1"/>
        <v>H004579</v>
      </c>
      <c r="B229" s="1" t="s">
        <v>5413</v>
      </c>
      <c r="C229" s="9" t="str">
        <f t="array" ref="C229">IF(
  AND(
    IFERROR(MATCH(Caseslist!B229, data!D:D, 0), 0) &gt; 0,
    IFERROR(INDEX(data!N:N, MATCH(Caseslist!B229, data!D:D, 0)) = 1, FALSE)
  ),
  "COMPLETE",
  "INC"
)</f>
        <v>COMPLETE</v>
      </c>
      <c r="D229" s="9">
        <f t="array" ref="D229">IFERROR(INDEX(data!$G:$G,match(Caseslist!B229,data!$D:$D,0)), "INC")</f>
        <v>859767</v>
      </c>
      <c r="E229" s="9" t="str">
        <f t="array" ref="E229">IFERROR(INDEX(data!H:H,match(Caseslist!B229,data!D:D,0)), "INC")</f>
        <v>Ramie De Pedro Jr._2</v>
      </c>
      <c r="F229" s="10" t="str">
        <f t="array" ref="F229">IF(
    OR(
      IFNA(INDEX(data!M:M, MATCH(Caseslist!B229, data!D:D, 0)), "") = "",
      IFNA(INDEX(data!M:M, MATCH(Caseslist!B229, data!D:D, 0)), 0) = 0
    ),
    "COMPLETE",
    IF(
      IFNA(INDEX(dataICM!D:D, MATCH(Caseslist!B229, dataICM!D:D, 0)), "INC") = "INC",
      IFNA(INDEX(dataICM!D:D, MATCH(Caseslist!B229, dataICM!D:D, 0)), "INC"),
      "COMPLETE"
    )
  )</f>
        <v>COMPLETE</v>
      </c>
      <c r="G229" s="10" t="str">
        <f t="array" ref="G229">IF(IFERROR(INDEX(data!L:L,match(Caseslist!B229,data!D:D,0)),"INC")="","COMPLETE",F229)</f>
        <v>COMPLETE</v>
      </c>
      <c r="H229" s="9" t="str">
        <f t="array" ref="H229">IFERROR(INDEX(dataICM!F:F,match(Caseslist!B229,dataICM!D:D,0)), "INC")</f>
        <v>Ramie De Pedro Jr._2</v>
      </c>
      <c r="I229" s="10">
        <f t="shared" si="2"/>
        <v>859767</v>
      </c>
      <c r="J229" s="9" t="str">
        <f t="array" ref="J229">IF(
  AND(
    IFERROR(MATCH(B229, data!D:D, 0), 0) &gt; 0,
    IFERROR(INDEX(data!N:N, MATCH(B229, data!D:D, 0)) = 1, FALSE)
  ),
  INDEX(data!C:C, MATCH(B229, data!D:D, 0)),
  "INC"
)</f>
        <v>2025-09-11T16:26:58.691+08</v>
      </c>
      <c r="K229" s="9" t="str">
        <f t="array" ref="K229">IFERROR(INDEX(dataICM!C:C,match(Caseslist!B229,dataICM!D:D,0)), "INC")</f>
        <v>2025-09-11T18:57:26.418+08</v>
      </c>
      <c r="L229" s="10" t="str">
        <f t="array" ref="L229">IF(AND(G229="COMPLETE", OR(K229="INC", ISBLANK(INDEX(data!O:O, ROW())))), J229, K229)</f>
        <v>2025-09-11T18:57:26.418+08</v>
      </c>
      <c r="M229" s="2">
        <v>45911.0</v>
      </c>
      <c r="N229" s="2">
        <f t="array" ref="N229">IF(M229&lt;&gt;"INC", INDEX(data!M:M, MATCH(B229, data!D:D, 0)), "")</f>
        <v>2</v>
      </c>
      <c r="O229" s="2">
        <f t="shared" si="3"/>
        <v>2</v>
      </c>
    </row>
    <row r="230">
      <c r="A230" s="2" t="str">
        <f t="shared" si="1"/>
        <v>H004579</v>
      </c>
      <c r="B230" s="1" t="s">
        <v>8518</v>
      </c>
      <c r="C230" s="9" t="str">
        <f t="array" ref="C230">IF(
  AND(
    IFERROR(MATCH(Caseslist!B230, data!D:D, 0), 0) &gt; 0,
    IFERROR(INDEX(data!N:N, MATCH(Caseslist!B230, data!D:D, 0)) = 1, FALSE)
  ),
  "COMPLETE",
  "INC"
)</f>
        <v>COMPLETE</v>
      </c>
      <c r="D230" s="9">
        <f t="array" ref="D230">IFERROR(INDEX(data!$G:$G,match(Caseslist!B230,data!$D:$D,0)), "INC")</f>
        <v>729375</v>
      </c>
      <c r="E230" s="9" t="str">
        <f t="array" ref="E230">IFERROR(INDEX(data!H:H,match(Caseslist!B230,data!D:D,0)), "INC")</f>
        <v>Janet Serafica_2</v>
      </c>
      <c r="F230" s="10" t="str">
        <f t="array" ref="F230">IF(
    OR(
      IFNA(INDEX(data!M:M, MATCH(Caseslist!B230, data!D:D, 0)), "") = "",
      IFNA(INDEX(data!M:M, MATCH(Caseslist!B230, data!D:D, 0)), 0) = 0
    ),
    "COMPLETE",
    IF(
      IFNA(INDEX(dataICM!D:D, MATCH(Caseslist!B230, dataICM!D:D, 0)), "INC") = "INC",
      IFNA(INDEX(dataICM!D:D, MATCH(Caseslist!B230, dataICM!D:D, 0)), "INC"),
      "COMPLETE"
    )
  )</f>
        <v>INC</v>
      </c>
      <c r="G230" s="10" t="str">
        <f t="array" ref="G230">IF(IFERROR(INDEX(data!L:L,match(Caseslist!B230,data!D:D,0)),"INC")="","COMPLETE",F230)</f>
        <v>INC</v>
      </c>
      <c r="H230" s="9" t="str">
        <f t="array" ref="H230">IFERROR(INDEX(dataICM!F:F,match(Caseslist!B230,dataICM!D:D,0)), "INC")</f>
        <v>INC</v>
      </c>
      <c r="I230" s="10" t="str">
        <f t="shared" si="2"/>
        <v>INC</v>
      </c>
      <c r="J230" s="9" t="str">
        <f t="array" ref="J230">IF(
  AND(
    IFERROR(MATCH(B230, data!D:D, 0), 0) &gt; 0,
    IFERROR(INDEX(data!N:N, MATCH(B230, data!D:D, 0)) = 1, FALSE)
  ),
  INDEX(data!C:C, MATCH(B230, data!D:D, 0)),
  "INC"
)</f>
        <v>2025-09-25T12:42:44.618+08</v>
      </c>
      <c r="K230" s="9" t="str">
        <f t="array" ref="K230">IFERROR(INDEX(dataICM!C:C,match(Caseslist!B230,dataICM!D:D,0)), "INC")</f>
        <v>INC</v>
      </c>
      <c r="L230" s="10" t="str">
        <f t="array" ref="L230">IF(AND(G230="COMPLETE", OR(K230="INC", ISBLANK(INDEX(data!O:O, ROW())))), J230, K230)</f>
        <v>INC</v>
      </c>
      <c r="M230" s="2" t="s">
        <v>8886</v>
      </c>
      <c r="N230" s="2" t="str">
        <f t="array" ref="N230">IF(M230&lt;&gt;"INC", INDEX(data!M:M, MATCH(B230, data!D:D, 0)), "")</f>
        <v/>
      </c>
      <c r="O230" s="2" t="str">
        <f t="shared" si="3"/>
        <v/>
      </c>
    </row>
    <row r="231">
      <c r="A231" s="2" t="str">
        <f t="shared" si="1"/>
        <v>H004588</v>
      </c>
      <c r="B231" s="1" t="s">
        <v>6193</v>
      </c>
      <c r="C231" s="9" t="str">
        <f t="array" ref="C231">IF(
  AND(
    IFERROR(MATCH(Caseslist!B231, data!D:D, 0), 0) &gt; 0,
    IFERROR(INDEX(data!N:N, MATCH(Caseslist!B231, data!D:D, 0)) = 1, FALSE)
  ),
  "COMPLETE",
  "INC"
)</f>
        <v>COMPLETE</v>
      </c>
      <c r="D231" s="9">
        <f t="array" ref="D231">IFERROR(INDEX(data!$G:$G,match(Caseslist!B231,data!$D:$D,0)), "INC")</f>
        <v>859767</v>
      </c>
      <c r="E231" s="9" t="str">
        <f t="array" ref="E231">IFERROR(INDEX(data!H:H,match(Caseslist!B231,data!D:D,0)), "INC")</f>
        <v>Ramie De Pedro Jr._2</v>
      </c>
      <c r="F231" s="10" t="str">
        <f t="array" ref="F231">IF(
    OR(
      IFNA(INDEX(data!M:M, MATCH(Caseslist!B231, data!D:D, 0)), "") = "",
      IFNA(INDEX(data!M:M, MATCH(Caseslist!B231, data!D:D, 0)), 0) = 0
    ),
    "COMPLETE",
    IF(
      IFNA(INDEX(dataICM!D:D, MATCH(Caseslist!B231, dataICM!D:D, 0)), "INC") = "INC",
      IFNA(INDEX(dataICM!D:D, MATCH(Caseslist!B231, dataICM!D:D, 0)), "INC"),
      "COMPLETE"
    )
  )</f>
        <v>COMPLETE</v>
      </c>
      <c r="G231" s="10" t="str">
        <f t="array" ref="G231">IF(IFERROR(INDEX(data!L:L,match(Caseslist!B231,data!D:D,0)),"INC")="","COMPLETE",F231)</f>
        <v>COMPLETE</v>
      </c>
      <c r="H231" s="9" t="str">
        <f t="array" ref="H231">IFERROR(INDEX(dataICM!F:F,match(Caseslist!B231,dataICM!D:D,0)), "INC")</f>
        <v>Ramie De Pedro Jr._2</v>
      </c>
      <c r="I231" s="10">
        <f t="shared" si="2"/>
        <v>859767</v>
      </c>
      <c r="J231" s="9" t="str">
        <f t="array" ref="J231">IF(
  AND(
    IFERROR(MATCH(B231, data!D:D, 0), 0) &gt; 0,
    IFERROR(INDEX(data!N:N, MATCH(B231, data!D:D, 0)) = 1, FALSE)
  ),
  INDEX(data!C:C, MATCH(B231, data!D:D, 0)),
  "INC"
)</f>
        <v>2025-09-15T10:04:44.027+08</v>
      </c>
      <c r="K231" s="9" t="str">
        <f t="array" ref="K231">IFERROR(INDEX(dataICM!C:C,match(Caseslist!B231,dataICM!D:D,0)), "INC")</f>
        <v>2025-09-15T10:19:08.872+08</v>
      </c>
      <c r="L231" s="10" t="str">
        <f t="array" ref="L231">IF(AND(G231="COMPLETE", OR(K231="INC", ISBLANK(INDEX(data!O:O, ROW())))), J231, K231)</f>
        <v>2025-09-15T10:19:08.872+08</v>
      </c>
      <c r="M231" s="2">
        <v>45915.0</v>
      </c>
      <c r="N231" s="2">
        <f t="array" ref="N231">IF(M231&lt;&gt;"INC", INDEX(data!M:M, MATCH(B231, data!D:D, 0)), "")</f>
        <v>1</v>
      </c>
      <c r="O231" s="2">
        <f t="shared" si="3"/>
        <v>1</v>
      </c>
    </row>
    <row r="232">
      <c r="A232" s="2" t="str">
        <f t="shared" si="1"/>
        <v>H004588</v>
      </c>
      <c r="B232" s="1" t="s">
        <v>6233</v>
      </c>
      <c r="C232" s="9" t="str">
        <f t="array" ref="C232">IF(
  AND(
    IFERROR(MATCH(Caseslist!B232, data!D:D, 0), 0) &gt; 0,
    IFERROR(INDEX(data!N:N, MATCH(Caseslist!B232, data!D:D, 0)) = 1, FALSE)
  ),
  "COMPLETE",
  "INC"
)</f>
        <v>COMPLETE</v>
      </c>
      <c r="D232" s="9">
        <f t="array" ref="D232">IFERROR(INDEX(data!$G:$G,match(Caseslist!B232,data!$D:$D,0)), "INC")</f>
        <v>729375</v>
      </c>
      <c r="E232" s="9" t="str">
        <f t="array" ref="E232">IFERROR(INDEX(data!H:H,match(Caseslist!B232,data!D:D,0)), "INC")</f>
        <v>Janet Serafica_2</v>
      </c>
      <c r="F232" s="10" t="str">
        <f t="array" ref="F232">IF(
    OR(
      IFNA(INDEX(data!M:M, MATCH(Caseslist!B232, data!D:D, 0)), "") = "",
      IFNA(INDEX(data!M:M, MATCH(Caseslist!B232, data!D:D, 0)), 0) = 0
    ),
    "COMPLETE",
    IF(
      IFNA(INDEX(dataICM!D:D, MATCH(Caseslist!B232, dataICM!D:D, 0)), "INC") = "INC",
      IFNA(INDEX(dataICM!D:D, MATCH(Caseslist!B232, dataICM!D:D, 0)), "INC"),
      "COMPLETE"
    )
  )</f>
        <v>COMPLETE</v>
      </c>
      <c r="G232" s="10" t="str">
        <f t="array" ref="G232">IF(IFERROR(INDEX(data!L:L,match(Caseslist!B232,data!D:D,0)),"INC")="","COMPLETE",F232)</f>
        <v>COMPLETE</v>
      </c>
      <c r="H232" s="9" t="str">
        <f t="array" ref="H232">IFERROR(INDEX(dataICM!F:F,match(Caseslist!B232,dataICM!D:D,0)), "INC")</f>
        <v>Janet Serafica_2</v>
      </c>
      <c r="I232" s="10">
        <f t="shared" si="2"/>
        <v>729375</v>
      </c>
      <c r="J232" s="9" t="str">
        <f t="array" ref="J232">IF(
  AND(
    IFERROR(MATCH(B232, data!D:D, 0), 0) &gt; 0,
    IFERROR(INDEX(data!N:N, MATCH(B232, data!D:D, 0)) = 1, FALSE)
  ),
  INDEX(data!C:C, MATCH(B232, data!D:D, 0)),
  "INC"
)</f>
        <v>2025-09-15T09:57:30.252+08</v>
      </c>
      <c r="K232" s="9" t="str">
        <f t="array" ref="K232">IFERROR(INDEX(dataICM!C:C,match(Caseslist!B232,dataICM!D:D,0)), "INC")</f>
        <v>2025-09-15T10:07:24.285+08</v>
      </c>
      <c r="L232" s="10" t="str">
        <f t="array" ref="L232">IF(AND(G232="COMPLETE", OR(K232="INC", ISBLANK(INDEX(data!O:O, ROW())))), J232, K232)</f>
        <v>2025-09-15T10:07:24.285+08</v>
      </c>
      <c r="M232" s="2">
        <v>45915.0</v>
      </c>
      <c r="N232" s="2">
        <f t="array" ref="N232">IF(M232&lt;&gt;"INC", INDEX(data!M:M, MATCH(B232, data!D:D, 0)), "")</f>
        <v>1</v>
      </c>
      <c r="O232" s="2">
        <f t="shared" si="3"/>
        <v>1</v>
      </c>
    </row>
    <row r="233">
      <c r="A233" s="2" t="str">
        <f t="shared" si="1"/>
        <v>H004588</v>
      </c>
      <c r="B233" s="1" t="s">
        <v>6498</v>
      </c>
      <c r="C233" s="9" t="str">
        <f t="array" ref="C233">IF(
  AND(
    IFERROR(MATCH(Caseslist!B233, data!D:D, 0), 0) &gt; 0,
    IFERROR(INDEX(data!N:N, MATCH(Caseslist!B233, data!D:D, 0)) = 1, FALSE)
  ),
  "COMPLETE",
  "INC"
)</f>
        <v>COMPLETE</v>
      </c>
      <c r="D233" s="9" t="str">
        <f t="array" ref="D233">IFERROR(INDEX(data!$G:$G,match(Caseslist!B233,data!$D:$D,0)), "INC")</f>
        <v>S2671943</v>
      </c>
      <c r="E233" s="9" t="str">
        <f t="array" ref="E233">IFERROR(INDEX(data!H:H,match(Caseslist!B233,data!D:D,0)), "INC")</f>
        <v>Marvin Mondia</v>
      </c>
      <c r="F233" s="10" t="str">
        <f t="array" ref="F233">IF(
    OR(
      IFNA(INDEX(data!M:M, MATCH(Caseslist!B233, data!D:D, 0)), "") = "",
      IFNA(INDEX(data!M:M, MATCH(Caseslist!B233, data!D:D, 0)), 0) = 0
    ),
    "COMPLETE",
    IF(
      IFNA(INDEX(dataICM!D:D, MATCH(Caseslist!B233, dataICM!D:D, 0)), "INC") = "INC",
      IFNA(INDEX(dataICM!D:D, MATCH(Caseslist!B233, dataICM!D:D, 0)), "INC"),
      "COMPLETE"
    )
  )</f>
        <v>COMPLETE</v>
      </c>
      <c r="G233" s="10" t="str">
        <f t="array" ref="G233">IF(IFERROR(INDEX(data!L:L,match(Caseslist!B233,data!D:D,0)),"INC")="","COMPLETE",F233)</f>
        <v>COMPLETE</v>
      </c>
      <c r="H233" s="9" t="str">
        <f t="array" ref="H233">IFERROR(INDEX(dataICM!F:F,match(Caseslist!B233,dataICM!D:D,0)), "INC")</f>
        <v>Marvin Mondia</v>
      </c>
      <c r="I233" s="10" t="str">
        <f t="shared" si="2"/>
        <v>S2671943</v>
      </c>
      <c r="J233" s="9" t="str">
        <f t="array" ref="J233">IF(
  AND(
    IFERROR(MATCH(B233, data!D:D, 0), 0) &gt; 0,
    IFERROR(INDEX(data!N:N, MATCH(B233, data!D:D, 0)) = 1, FALSE)
  ),
  INDEX(data!C:C, MATCH(B233, data!D:D, 0)),
  "INC"
)</f>
        <v>2025-09-15T10:23:24.261+08</v>
      </c>
      <c r="K233" s="9" t="str">
        <f t="array" ref="K233">IFERROR(INDEX(dataICM!C:C,match(Caseslist!B233,dataICM!D:D,0)), "INC")</f>
        <v>2025-09-15T10:29:09.709+08</v>
      </c>
      <c r="L233" s="10" t="str">
        <f t="array" ref="L233">IF(AND(G233="COMPLETE", OR(K233="INC", ISBLANK(INDEX(data!O:O, ROW())))), J233, K233)</f>
        <v>2025-09-15T10:29:09.709+08</v>
      </c>
      <c r="M233" s="2">
        <v>45915.0</v>
      </c>
      <c r="N233" s="2">
        <f t="array" ref="N233">IF(M233&lt;&gt;"INC", INDEX(data!M:M, MATCH(B233, data!D:D, 0)), "")</f>
        <v>1</v>
      </c>
      <c r="O233" s="2">
        <f t="shared" si="3"/>
        <v>1</v>
      </c>
    </row>
    <row r="234">
      <c r="A234" s="2" t="str">
        <f t="shared" si="1"/>
        <v>H004588</v>
      </c>
      <c r="B234" s="1" t="s">
        <v>8498</v>
      </c>
      <c r="C234" s="9" t="str">
        <f t="array" ref="C234">IF(
  AND(
    IFERROR(MATCH(Caseslist!B234, data!D:D, 0), 0) &gt; 0,
    IFERROR(INDEX(data!N:N, MATCH(Caseslist!B234, data!D:D, 0)) = 1, FALSE)
  ),
  "COMPLETE",
  "INC"
)</f>
        <v>COMPLETE</v>
      </c>
      <c r="D234" s="9">
        <f t="array" ref="D234">IFERROR(INDEX(data!$G:$G,match(Caseslist!B234,data!$D:$D,0)), "INC")</f>
        <v>859767</v>
      </c>
      <c r="E234" s="9" t="str">
        <f t="array" ref="E234">IFERROR(INDEX(data!H:H,match(Caseslist!B234,data!D:D,0)), "INC")</f>
        <v>Ramie De Pedro Jr._2</v>
      </c>
      <c r="F234" s="10" t="str">
        <f t="array" ref="F234">IF(
    OR(
      IFNA(INDEX(data!M:M, MATCH(Caseslist!B234, data!D:D, 0)), "") = "",
      IFNA(INDEX(data!M:M, MATCH(Caseslist!B234, data!D:D, 0)), 0) = 0
    ),
    "COMPLETE",
    IF(
      IFNA(INDEX(dataICM!D:D, MATCH(Caseslist!B234, dataICM!D:D, 0)), "INC") = "INC",
      IFNA(INDEX(dataICM!D:D, MATCH(Caseslist!B234, dataICM!D:D, 0)), "INC"),
      "COMPLETE"
    )
  )</f>
        <v>COMPLETE</v>
      </c>
      <c r="G234" s="10" t="str">
        <f t="array" ref="G234">IF(IFERROR(INDEX(data!L:L,match(Caseslist!B234,data!D:D,0)),"INC")="","COMPLETE",F234)</f>
        <v>COMPLETE</v>
      </c>
      <c r="H234" s="9" t="str">
        <f t="array" ref="H234">IFERROR(INDEX(dataICM!F:F,match(Caseslist!B234,dataICM!D:D,0)), "INC")</f>
        <v>Ramie De Pedro Jr._2</v>
      </c>
      <c r="I234" s="10">
        <f t="shared" si="2"/>
        <v>859767</v>
      </c>
      <c r="J234" s="9" t="str">
        <f t="array" ref="J234">IF(
  AND(
    IFERROR(MATCH(B234, data!D:D, 0), 0) &gt; 0,
    IFERROR(INDEX(data!N:N, MATCH(B234, data!D:D, 0)) = 1, FALSE)
  ),
  INDEX(data!C:C, MATCH(B234, data!D:D, 0)),
  "INC"
)</f>
        <v>2025-09-25T09:01:36.925+08</v>
      </c>
      <c r="K234" s="9" t="str">
        <f t="array" ref="K234">IFERROR(INDEX(dataICM!C:C,match(Caseslist!B234,dataICM!D:D,0)), "INC")</f>
        <v>2025-09-25T09:08:30.694+08</v>
      </c>
      <c r="L234" s="10" t="str">
        <f t="array" ref="L234">IF(AND(G234="COMPLETE", OR(K234="INC", ISBLANK(INDEX(data!O:O, ROW())))), J234, K234)</f>
        <v>2025-09-25T09:08:30.694+08</v>
      </c>
      <c r="M234" s="2">
        <v>45925.0</v>
      </c>
      <c r="N234" s="2">
        <f t="array" ref="N234">IF(M234&lt;&gt;"INC", INDEX(data!M:M, MATCH(B234, data!D:D, 0)), "")</f>
        <v>1</v>
      </c>
      <c r="O234" s="2">
        <f t="shared" si="3"/>
        <v>1</v>
      </c>
    </row>
    <row r="235">
      <c r="A235" s="2" t="str">
        <f t="shared" si="1"/>
        <v>H004588</v>
      </c>
      <c r="B235" s="1" t="s">
        <v>8503</v>
      </c>
      <c r="C235" s="9" t="str">
        <f t="array" ref="C235">IF(
  AND(
    IFERROR(MATCH(Caseslist!B235, data!D:D, 0), 0) &gt; 0,
    IFERROR(INDEX(data!N:N, MATCH(Caseslist!B235, data!D:D, 0)) = 1, FALSE)
  ),
  "COMPLETE",
  "INC"
)</f>
        <v>COMPLETE</v>
      </c>
      <c r="D235" s="9">
        <f t="array" ref="D235">IFERROR(INDEX(data!$G:$G,match(Caseslist!B235,data!$D:$D,0)), "INC")</f>
        <v>859767</v>
      </c>
      <c r="E235" s="9" t="str">
        <f t="array" ref="E235">IFERROR(INDEX(data!H:H,match(Caseslist!B235,data!D:D,0)), "INC")</f>
        <v>Ramie De Pedro Jr._2</v>
      </c>
      <c r="F235" s="10" t="str">
        <f t="array" ref="F235">IF(
    OR(
      IFNA(INDEX(data!M:M, MATCH(Caseslist!B235, data!D:D, 0)), "") = "",
      IFNA(INDEX(data!M:M, MATCH(Caseslist!B235, data!D:D, 0)), 0) = 0
    ),
    "COMPLETE",
    IF(
      IFNA(INDEX(dataICM!D:D, MATCH(Caseslist!B235, dataICM!D:D, 0)), "INC") = "INC",
      IFNA(INDEX(dataICM!D:D, MATCH(Caseslist!B235, dataICM!D:D, 0)), "INC"),
      "COMPLETE"
    )
  )</f>
        <v>COMPLETE</v>
      </c>
      <c r="G235" s="10" t="str">
        <f t="array" ref="G235">IF(IFERROR(INDEX(data!L:L,match(Caseslist!B235,data!D:D,0)),"INC")="","COMPLETE",F235)</f>
        <v>COMPLETE</v>
      </c>
      <c r="H235" s="9" t="str">
        <f t="array" ref="H235">IFERROR(INDEX(dataICM!F:F,match(Caseslist!B235,dataICM!D:D,0)), "INC")</f>
        <v>Ramie De Pedro Jr._2</v>
      </c>
      <c r="I235" s="10">
        <f t="shared" si="2"/>
        <v>859767</v>
      </c>
      <c r="J235" s="9" t="str">
        <f t="array" ref="J235">IF(
  AND(
    IFERROR(MATCH(B235, data!D:D, 0), 0) &gt; 0,
    IFERROR(INDEX(data!N:N, MATCH(B235, data!D:D, 0)) = 1, FALSE)
  ),
  INDEX(data!C:C, MATCH(B235, data!D:D, 0)),
  "INC"
)</f>
        <v>2025-09-25T10:08:16.815+08</v>
      </c>
      <c r="K235" s="9" t="str">
        <f t="array" ref="K235">IFERROR(INDEX(dataICM!C:C,match(Caseslist!B235,dataICM!D:D,0)), "INC")</f>
        <v>2025-09-25T10:16:25.050+08</v>
      </c>
      <c r="L235" s="10" t="str">
        <f t="array" ref="L235">IF(AND(G235="COMPLETE", OR(K235="INC", ISBLANK(INDEX(data!O:O, ROW())))), J235, K235)</f>
        <v>2025-09-25T10:16:25.050+08</v>
      </c>
      <c r="M235" s="2">
        <v>45925.0</v>
      </c>
      <c r="N235" s="2">
        <f t="array" ref="N235">IF(M235&lt;&gt;"INC", INDEX(data!M:M, MATCH(B235, data!D:D, 0)), "")</f>
        <v>1</v>
      </c>
      <c r="O235" s="2">
        <f t="shared" si="3"/>
        <v>1</v>
      </c>
    </row>
    <row r="236">
      <c r="A236" s="2" t="str">
        <f t="shared" si="1"/>
        <v>H004588</v>
      </c>
      <c r="B236" s="1" t="s">
        <v>6198</v>
      </c>
      <c r="C236" s="9" t="str">
        <f t="array" ref="C236">IF(
  AND(
    IFERROR(MATCH(Caseslist!B236, data!D:D, 0), 0) &gt; 0,
    IFERROR(INDEX(data!N:N, MATCH(Caseslist!B236, data!D:D, 0)) = 1, FALSE)
  ),
  "COMPLETE",
  "INC"
)</f>
        <v>COMPLETE</v>
      </c>
      <c r="D236" s="9">
        <f t="array" ref="D236">IFERROR(INDEX(data!$G:$G,match(Caseslist!B236,data!$D:$D,0)), "INC")</f>
        <v>859767</v>
      </c>
      <c r="E236" s="9" t="str">
        <f t="array" ref="E236">IFERROR(INDEX(data!H:H,match(Caseslist!B236,data!D:D,0)), "INC")</f>
        <v>Ramie De Pedro Jr._2</v>
      </c>
      <c r="F236" s="10" t="str">
        <f t="array" ref="F236">IF(
    OR(
      IFNA(INDEX(data!M:M, MATCH(Caseslist!B236, data!D:D, 0)), "") = "",
      IFNA(INDEX(data!M:M, MATCH(Caseslist!B236, data!D:D, 0)), 0) = 0
    ),
    "COMPLETE",
    IF(
      IFNA(INDEX(dataICM!D:D, MATCH(Caseslist!B236, dataICM!D:D, 0)), "INC") = "INC",
      IFNA(INDEX(dataICM!D:D, MATCH(Caseslist!B236, dataICM!D:D, 0)), "INC"),
      "COMPLETE"
    )
  )</f>
        <v>COMPLETE</v>
      </c>
      <c r="G236" s="10" t="str">
        <f t="array" ref="G236">IF(IFERROR(INDEX(data!L:L,match(Caseslist!B236,data!D:D,0)),"INC")="","COMPLETE",F236)</f>
        <v>COMPLETE</v>
      </c>
      <c r="H236" s="9" t="str">
        <f t="array" ref="H236">IFERROR(INDEX(dataICM!F:F,match(Caseslist!B236,dataICM!D:D,0)), "INC")</f>
        <v>Ramie De Pedro Jr._2</v>
      </c>
      <c r="I236" s="10">
        <f t="shared" si="2"/>
        <v>859767</v>
      </c>
      <c r="J236" s="9" t="str">
        <f t="array" ref="J236">IF(
  AND(
    IFERROR(MATCH(B236, data!D:D, 0), 0) &gt; 0,
    IFERROR(INDEX(data!N:N, MATCH(B236, data!D:D, 0)) = 1, FALSE)
  ),
  INDEX(data!C:C, MATCH(B236, data!D:D, 0)),
  "INC"
)</f>
        <v>2025-09-15T11:23:44.760+08</v>
      </c>
      <c r="K236" s="9" t="str">
        <f t="array" ref="K236">IFERROR(INDEX(dataICM!C:C,match(Caseslist!B236,dataICM!D:D,0)), "INC")</f>
        <v>2025-09-15T11:37:15.355+08</v>
      </c>
      <c r="L236" s="10" t="str">
        <f t="array" ref="L236">IF(AND(G236="COMPLETE", OR(K236="INC", ISBLANK(INDEX(data!O:O, ROW())))), J236, K236)</f>
        <v>2025-09-15T11:37:15.355+08</v>
      </c>
      <c r="M236" s="2">
        <v>45915.0</v>
      </c>
      <c r="N236" s="2">
        <f t="array" ref="N236">IF(M236&lt;&gt;"INC", INDEX(data!M:M, MATCH(B236, data!D:D, 0)), "")</f>
        <v>1</v>
      </c>
      <c r="O236" s="2">
        <f t="shared" si="3"/>
        <v>1</v>
      </c>
    </row>
    <row r="237">
      <c r="A237" s="2" t="str">
        <f t="shared" si="1"/>
        <v>H004588</v>
      </c>
      <c r="B237" s="1" t="s">
        <v>6513</v>
      </c>
      <c r="C237" s="9" t="str">
        <f t="array" ref="C237">IF(
  AND(
    IFERROR(MATCH(Caseslist!B237, data!D:D, 0), 0) &gt; 0,
    IFERROR(INDEX(data!N:N, MATCH(Caseslist!B237, data!D:D, 0)) = 1, FALSE)
  ),
  "COMPLETE",
  "INC"
)</f>
        <v>COMPLETE</v>
      </c>
      <c r="D237" s="9" t="str">
        <f t="array" ref="D237">IFERROR(INDEX(data!$G:$G,match(Caseslist!B237,data!$D:$D,0)), "INC")</f>
        <v>S2671943</v>
      </c>
      <c r="E237" s="9" t="str">
        <f t="array" ref="E237">IFERROR(INDEX(data!H:H,match(Caseslist!B237,data!D:D,0)), "INC")</f>
        <v>Marvin Mondia</v>
      </c>
      <c r="F237" s="10" t="str">
        <f t="array" ref="F237">IF(
    OR(
      IFNA(INDEX(data!M:M, MATCH(Caseslist!B237, data!D:D, 0)), "") = "",
      IFNA(INDEX(data!M:M, MATCH(Caseslist!B237, data!D:D, 0)), 0) = 0
    ),
    "COMPLETE",
    IF(
      IFNA(INDEX(dataICM!D:D, MATCH(Caseslist!B237, dataICM!D:D, 0)), "INC") = "INC",
      IFNA(INDEX(dataICM!D:D, MATCH(Caseslist!B237, dataICM!D:D, 0)), "INC"),
      "COMPLETE"
    )
  )</f>
        <v>COMPLETE</v>
      </c>
      <c r="G237" s="10" t="str">
        <f t="array" ref="G237">IF(IFERROR(INDEX(data!L:L,match(Caseslist!B237,data!D:D,0)),"INC")="","COMPLETE",F237)</f>
        <v>COMPLETE</v>
      </c>
      <c r="H237" s="9" t="str">
        <f t="array" ref="H237">IFERROR(INDEX(dataICM!F:F,match(Caseslist!B237,dataICM!D:D,0)), "INC")</f>
        <v>Marvin Mondia</v>
      </c>
      <c r="I237" s="10" t="str">
        <f t="shared" si="2"/>
        <v>S2671943</v>
      </c>
      <c r="J237" s="9" t="str">
        <f t="array" ref="J237">IF(
  AND(
    IFERROR(MATCH(B237, data!D:D, 0), 0) &gt; 0,
    IFERROR(INDEX(data!N:N, MATCH(B237, data!D:D, 0)) = 1, FALSE)
  ),
  INDEX(data!C:C, MATCH(B237, data!D:D, 0)),
  "INC"
)</f>
        <v>2025-09-15T15:52:27.693+08</v>
      </c>
      <c r="K237" s="9" t="str">
        <f t="array" ref="K237">IFERROR(INDEX(dataICM!C:C,match(Caseslist!B237,dataICM!D:D,0)), "INC")</f>
        <v>2025-09-15T15:56:33.448+08</v>
      </c>
      <c r="L237" s="10" t="str">
        <f t="array" ref="L237">IF(AND(G237="COMPLETE", OR(K237="INC", ISBLANK(INDEX(data!O:O, ROW())))), J237, K237)</f>
        <v>2025-09-15T15:56:33.448+08</v>
      </c>
      <c r="M237" s="2">
        <v>45915.0</v>
      </c>
      <c r="N237" s="2">
        <f t="array" ref="N237">IF(M237&lt;&gt;"INC", INDEX(data!M:M, MATCH(B237, data!D:D, 0)), "")</f>
        <v>1</v>
      </c>
      <c r="O237" s="2">
        <f t="shared" si="3"/>
        <v>1</v>
      </c>
    </row>
    <row r="238">
      <c r="A238" s="2" t="str">
        <f t="shared" si="1"/>
        <v>H004588</v>
      </c>
      <c r="B238" s="1" t="s">
        <v>6243</v>
      </c>
      <c r="C238" s="9" t="str">
        <f t="array" ref="C238">IF(
  AND(
    IFERROR(MATCH(Caseslist!B238, data!D:D, 0), 0) &gt; 0,
    IFERROR(INDEX(data!N:N, MATCH(Caseslist!B238, data!D:D, 0)) = 1, FALSE)
  ),
  "COMPLETE",
  "INC"
)</f>
        <v>COMPLETE</v>
      </c>
      <c r="D238" s="9">
        <f t="array" ref="D238">IFERROR(INDEX(data!$G:$G,match(Caseslist!B238,data!$D:$D,0)), "INC")</f>
        <v>729375</v>
      </c>
      <c r="E238" s="9" t="str">
        <f t="array" ref="E238">IFERROR(INDEX(data!H:H,match(Caseslist!B238,data!D:D,0)), "INC")</f>
        <v>Janet Serafica_2</v>
      </c>
      <c r="F238" s="10" t="str">
        <f t="array" ref="F238">IF(
    OR(
      IFNA(INDEX(data!M:M, MATCH(Caseslist!B238, data!D:D, 0)), "") = "",
      IFNA(INDEX(data!M:M, MATCH(Caseslist!B238, data!D:D, 0)), 0) = 0
    ),
    "COMPLETE",
    IF(
      IFNA(INDEX(dataICM!D:D, MATCH(Caseslist!B238, dataICM!D:D, 0)), "INC") = "INC",
      IFNA(INDEX(dataICM!D:D, MATCH(Caseslist!B238, dataICM!D:D, 0)), "INC"),
      "COMPLETE"
    )
  )</f>
        <v>COMPLETE</v>
      </c>
      <c r="G238" s="10" t="str">
        <f t="array" ref="G238">IF(IFERROR(INDEX(data!L:L,match(Caseslist!B238,data!D:D,0)),"INC")="","COMPLETE",F238)</f>
        <v>COMPLETE</v>
      </c>
      <c r="H238" s="9" t="str">
        <f t="array" ref="H238">IFERROR(INDEX(dataICM!F:F,match(Caseslist!B238,dataICM!D:D,0)), "INC")</f>
        <v>Janet Serafica_2</v>
      </c>
      <c r="I238" s="10">
        <f t="shared" si="2"/>
        <v>729375</v>
      </c>
      <c r="J238" s="9" t="str">
        <f t="array" ref="J238">IF(
  AND(
    IFERROR(MATCH(B238, data!D:D, 0), 0) &gt; 0,
    IFERROR(INDEX(data!N:N, MATCH(B238, data!D:D, 0)) = 1, FALSE)
  ),
  INDEX(data!C:C, MATCH(B238, data!D:D, 0)),
  "INC"
)</f>
        <v>2025-09-15T14:50:03.874+08</v>
      </c>
      <c r="K238" s="9" t="str">
        <f t="array" ref="K238">IFERROR(INDEX(dataICM!C:C,match(Caseslist!B238,dataICM!D:D,0)), "INC")</f>
        <v>2025-09-15T14:52:22.296+08</v>
      </c>
      <c r="L238" s="10" t="str">
        <f t="array" ref="L238">IF(AND(G238="COMPLETE", OR(K238="INC", ISBLANK(INDEX(data!O:O, ROW())))), J238, K238)</f>
        <v>2025-09-15T14:52:22.296+08</v>
      </c>
      <c r="M238" s="2">
        <v>45915.0</v>
      </c>
      <c r="N238" s="2">
        <f t="array" ref="N238">IF(M238&lt;&gt;"INC", INDEX(data!M:M, MATCH(B238, data!D:D, 0)), "")</f>
        <v>1</v>
      </c>
      <c r="O238" s="2">
        <f t="shared" si="3"/>
        <v>1</v>
      </c>
    </row>
    <row r="239">
      <c r="A239" s="2" t="str">
        <f t="shared" si="1"/>
        <v>H004588</v>
      </c>
      <c r="B239" s="1" t="s">
        <v>6508</v>
      </c>
      <c r="C239" s="9" t="str">
        <f t="array" ref="C239">IF(
  AND(
    IFERROR(MATCH(Caseslist!B239, data!D:D, 0), 0) &gt; 0,
    IFERROR(INDEX(data!N:N, MATCH(Caseslist!B239, data!D:D, 0)) = 1, FALSE)
  ),
  "COMPLETE",
  "INC"
)</f>
        <v>COMPLETE</v>
      </c>
      <c r="D239" s="9" t="str">
        <f t="array" ref="D239">IFERROR(INDEX(data!$G:$G,match(Caseslist!B239,data!$D:$D,0)), "INC")</f>
        <v>S2671943</v>
      </c>
      <c r="E239" s="9" t="str">
        <f t="array" ref="E239">IFERROR(INDEX(data!H:H,match(Caseslist!B239,data!D:D,0)), "INC")</f>
        <v>Marvin Mondia</v>
      </c>
      <c r="F239" s="10" t="str">
        <f t="array" ref="F239">IF(
    OR(
      IFNA(INDEX(data!M:M, MATCH(Caseslist!B239, data!D:D, 0)), "") = "",
      IFNA(INDEX(data!M:M, MATCH(Caseslist!B239, data!D:D, 0)), 0) = 0
    ),
    "COMPLETE",
    IF(
      IFNA(INDEX(dataICM!D:D, MATCH(Caseslist!B239, dataICM!D:D, 0)), "INC") = "INC",
      IFNA(INDEX(dataICM!D:D, MATCH(Caseslist!B239, dataICM!D:D, 0)), "INC"),
      "COMPLETE"
    )
  )</f>
        <v>COMPLETE</v>
      </c>
      <c r="G239" s="10" t="str">
        <f t="array" ref="G239">IF(IFERROR(INDEX(data!L:L,match(Caseslist!B239,data!D:D,0)),"INC")="","COMPLETE",F239)</f>
        <v>COMPLETE</v>
      </c>
      <c r="H239" s="9" t="str">
        <f t="array" ref="H239">IFERROR(INDEX(dataICM!F:F,match(Caseslist!B239,dataICM!D:D,0)), "INC")</f>
        <v>Marvin Mondia</v>
      </c>
      <c r="I239" s="10" t="str">
        <f t="shared" si="2"/>
        <v>S2671943</v>
      </c>
      <c r="J239" s="9" t="str">
        <f t="array" ref="J239">IF(
  AND(
    IFERROR(MATCH(B239, data!D:D, 0), 0) &gt; 0,
    IFERROR(INDEX(data!N:N, MATCH(B239, data!D:D, 0)) = 1, FALSE)
  ),
  INDEX(data!C:C, MATCH(B239, data!D:D, 0)),
  "INC"
)</f>
        <v>2025-09-15T14:52:45.007+08</v>
      </c>
      <c r="K239" s="9" t="str">
        <f t="array" ref="K239">IFERROR(INDEX(dataICM!C:C,match(Caseslist!B239,dataICM!D:D,0)), "INC")</f>
        <v>2025-09-23T16:36:38.111+08</v>
      </c>
      <c r="L239" s="10" t="str">
        <f t="array" ref="L239">IF(AND(G239="COMPLETE", OR(K239="INC", ISBLANK(INDEX(data!O:O, ROW())))), J239, K239)</f>
        <v>2025-09-23T16:36:38.111+08</v>
      </c>
      <c r="M239" s="2">
        <v>45923.0</v>
      </c>
      <c r="N239" s="2">
        <f t="array" ref="N239">IF(M239&lt;&gt;"INC", INDEX(data!M:M, MATCH(B239, data!D:D, 0)), "")</f>
        <v>1</v>
      </c>
      <c r="O239" s="2">
        <f t="shared" si="3"/>
        <v>1</v>
      </c>
    </row>
    <row r="240">
      <c r="A240" s="2" t="str">
        <f t="shared" si="1"/>
        <v>H004588</v>
      </c>
      <c r="B240" s="1" t="s">
        <v>6203</v>
      </c>
      <c r="C240" s="9" t="str">
        <f t="array" ref="C240">IF(
  AND(
    IFERROR(MATCH(Caseslist!B240, data!D:D, 0), 0) &gt; 0,
    IFERROR(INDEX(data!N:N, MATCH(Caseslist!B240, data!D:D, 0)) = 1, FALSE)
  ),
  "COMPLETE",
  "INC"
)</f>
        <v>COMPLETE</v>
      </c>
      <c r="D240" s="9">
        <f t="array" ref="D240">IFERROR(INDEX(data!$G:$G,match(Caseslist!B240,data!$D:$D,0)), "INC")</f>
        <v>859767</v>
      </c>
      <c r="E240" s="9" t="str">
        <f t="array" ref="E240">IFERROR(INDEX(data!H:H,match(Caseslist!B240,data!D:D,0)), "INC")</f>
        <v>Ramie De Pedro Jr._2</v>
      </c>
      <c r="F240" s="10" t="str">
        <f t="array" ref="F240">IF(
    OR(
      IFNA(INDEX(data!M:M, MATCH(Caseslist!B240, data!D:D, 0)), "") = "",
      IFNA(INDEX(data!M:M, MATCH(Caseslist!B240, data!D:D, 0)), 0) = 0
    ),
    "COMPLETE",
    IF(
      IFNA(INDEX(dataICM!D:D, MATCH(Caseslist!B240, dataICM!D:D, 0)), "INC") = "INC",
      IFNA(INDEX(dataICM!D:D, MATCH(Caseslist!B240, dataICM!D:D, 0)), "INC"),
      "COMPLETE"
    )
  )</f>
        <v>COMPLETE</v>
      </c>
      <c r="G240" s="10" t="str">
        <f t="array" ref="G240">IF(IFERROR(INDEX(data!L:L,match(Caseslist!B240,data!D:D,0)),"INC")="","COMPLETE",F240)</f>
        <v>COMPLETE</v>
      </c>
      <c r="H240" s="9" t="str">
        <f t="array" ref="H240">IFERROR(INDEX(dataICM!F:F,match(Caseslist!B240,dataICM!D:D,0)), "INC")</f>
        <v>Ramie De Pedro Jr._2</v>
      </c>
      <c r="I240" s="10">
        <f t="shared" si="2"/>
        <v>859767</v>
      </c>
      <c r="J240" s="9" t="str">
        <f t="array" ref="J240">IF(
  AND(
    IFERROR(MATCH(B240, data!D:D, 0), 0) &gt; 0,
    IFERROR(INDEX(data!N:N, MATCH(B240, data!D:D, 0)) = 1, FALSE)
  ),
  INDEX(data!C:C, MATCH(B240, data!D:D, 0)),
  "INC"
)</f>
        <v>2025-09-15T15:08:51.887+08</v>
      </c>
      <c r="K240" s="9" t="str">
        <f t="array" ref="K240">IFERROR(INDEX(dataICM!C:C,match(Caseslist!B240,dataICM!D:D,0)), "INC")</f>
        <v>2025-09-15T15:12:38.342+08</v>
      </c>
      <c r="L240" s="10" t="str">
        <f t="array" ref="L240">IF(AND(G240="COMPLETE", OR(K240="INC", ISBLANK(INDEX(data!O:O, ROW())))), J240, K240)</f>
        <v>2025-09-15T15:12:38.342+08</v>
      </c>
      <c r="M240" s="2">
        <v>45915.0</v>
      </c>
      <c r="N240" s="2">
        <f t="array" ref="N240">IF(M240&lt;&gt;"INC", INDEX(data!M:M, MATCH(B240, data!D:D, 0)), "")</f>
        <v>1</v>
      </c>
      <c r="O240" s="2">
        <f t="shared" si="3"/>
        <v>1</v>
      </c>
    </row>
    <row r="241">
      <c r="A241" s="2" t="str">
        <f t="shared" si="1"/>
        <v>H004588</v>
      </c>
      <c r="B241" s="1" t="s">
        <v>6208</v>
      </c>
      <c r="C241" s="9" t="str">
        <f t="array" ref="C241">IF(
  AND(
    IFERROR(MATCH(Caseslist!B241, data!D:D, 0), 0) &gt; 0,
    IFERROR(INDEX(data!N:N, MATCH(Caseslist!B241, data!D:D, 0)) = 1, FALSE)
  ),
  "COMPLETE",
  "INC"
)</f>
        <v>COMPLETE</v>
      </c>
      <c r="D241" s="9">
        <f t="array" ref="D241">IFERROR(INDEX(data!$G:$G,match(Caseslist!B241,data!$D:$D,0)), "INC")</f>
        <v>859767</v>
      </c>
      <c r="E241" s="9" t="str">
        <f t="array" ref="E241">IFERROR(INDEX(data!H:H,match(Caseslist!B241,data!D:D,0)), "INC")</f>
        <v>Ramie De Pedro Jr._2</v>
      </c>
      <c r="F241" s="10" t="str">
        <f t="array" ref="F241">IF(
    OR(
      IFNA(INDEX(data!M:M, MATCH(Caseslist!B241, data!D:D, 0)), "") = "",
      IFNA(INDEX(data!M:M, MATCH(Caseslist!B241, data!D:D, 0)), 0) = 0
    ),
    "COMPLETE",
    IF(
      IFNA(INDEX(dataICM!D:D, MATCH(Caseslist!B241, dataICM!D:D, 0)), "INC") = "INC",
      IFNA(INDEX(dataICM!D:D, MATCH(Caseslist!B241, dataICM!D:D, 0)), "INC"),
      "COMPLETE"
    )
  )</f>
        <v>COMPLETE</v>
      </c>
      <c r="G241" s="10" t="str">
        <f t="array" ref="G241">IF(IFERROR(INDEX(data!L:L,match(Caseslist!B241,data!D:D,0)),"INC")="","COMPLETE",F241)</f>
        <v>COMPLETE</v>
      </c>
      <c r="H241" s="9" t="str">
        <f t="array" ref="H241">IFERROR(INDEX(dataICM!F:F,match(Caseslist!B241,dataICM!D:D,0)), "INC")</f>
        <v>Ramie De Pedro Jr._2</v>
      </c>
      <c r="I241" s="10">
        <f t="shared" si="2"/>
        <v>859767</v>
      </c>
      <c r="J241" s="9" t="str">
        <f t="array" ref="J241">IF(
  AND(
    IFERROR(MATCH(B241, data!D:D, 0), 0) &gt; 0,
    IFERROR(INDEX(data!N:N, MATCH(B241, data!D:D, 0)) = 1, FALSE)
  ),
  INDEX(data!C:C, MATCH(B241, data!D:D, 0)),
  "INC"
)</f>
        <v>2025-09-15T16:18:29.686+08</v>
      </c>
      <c r="K241" s="9" t="str">
        <f t="array" ref="K241">IFERROR(INDEX(dataICM!C:C,match(Caseslist!B241,dataICM!D:D,0)), "INC")</f>
        <v>2025-09-15T16:23:14.520+08</v>
      </c>
      <c r="L241" s="10" t="str">
        <f t="array" ref="L241">IF(AND(G241="COMPLETE", OR(K241="INC", ISBLANK(INDEX(data!O:O, ROW())))), J241, K241)</f>
        <v>2025-09-15T16:23:14.520+08</v>
      </c>
      <c r="M241" s="2">
        <v>45915.0</v>
      </c>
      <c r="N241" s="2">
        <f t="array" ref="N241">IF(M241&lt;&gt;"INC", INDEX(data!M:M, MATCH(B241, data!D:D, 0)), "")</f>
        <v>1</v>
      </c>
      <c r="O241" s="2">
        <f t="shared" si="3"/>
        <v>1</v>
      </c>
    </row>
    <row r="242">
      <c r="A242" s="2" t="str">
        <f t="shared" si="1"/>
        <v>H004588</v>
      </c>
      <c r="B242" s="1" t="s">
        <v>6248</v>
      </c>
      <c r="C242" s="9" t="str">
        <f t="array" ref="C242">IF(
  AND(
    IFERROR(MATCH(Caseslist!B242, data!D:D, 0), 0) &gt; 0,
    IFERROR(INDEX(data!N:N, MATCH(Caseslist!B242, data!D:D, 0)) = 1, FALSE)
  ),
  "COMPLETE",
  "INC"
)</f>
        <v>COMPLETE</v>
      </c>
      <c r="D242" s="9">
        <f t="array" ref="D242">IFERROR(INDEX(data!$G:$G,match(Caseslist!B242,data!$D:$D,0)), "INC")</f>
        <v>729375</v>
      </c>
      <c r="E242" s="9" t="str">
        <f t="array" ref="E242">IFERROR(INDEX(data!H:H,match(Caseslist!B242,data!D:D,0)), "INC")</f>
        <v>Janet Serafica_2</v>
      </c>
      <c r="F242" s="10" t="str">
        <f t="array" ref="F242">IF(
    OR(
      IFNA(INDEX(data!M:M, MATCH(Caseslist!B242, data!D:D, 0)), "") = "",
      IFNA(INDEX(data!M:M, MATCH(Caseslist!B242, data!D:D, 0)), 0) = 0
    ),
    "COMPLETE",
    IF(
      IFNA(INDEX(dataICM!D:D, MATCH(Caseslist!B242, dataICM!D:D, 0)), "INC") = "INC",
      IFNA(INDEX(dataICM!D:D, MATCH(Caseslist!B242, dataICM!D:D, 0)), "INC"),
      "COMPLETE"
    )
  )</f>
        <v>COMPLETE</v>
      </c>
      <c r="G242" s="10" t="str">
        <f t="array" ref="G242">IF(IFERROR(INDEX(data!L:L,match(Caseslist!B242,data!D:D,0)),"INC")="","COMPLETE",F242)</f>
        <v>COMPLETE</v>
      </c>
      <c r="H242" s="9" t="str">
        <f t="array" ref="H242">IFERROR(INDEX(dataICM!F:F,match(Caseslist!B242,dataICM!D:D,0)), "INC")</f>
        <v>Janet Serafica_2</v>
      </c>
      <c r="I242" s="10">
        <f t="shared" si="2"/>
        <v>729375</v>
      </c>
      <c r="J242" s="9" t="str">
        <f t="array" ref="J242">IF(
  AND(
    IFERROR(MATCH(B242, data!D:D, 0), 0) &gt; 0,
    IFERROR(INDEX(data!N:N, MATCH(B242, data!D:D, 0)) = 1, FALSE)
  ),
  INDEX(data!C:C, MATCH(B242, data!D:D, 0)),
  "INC"
)</f>
        <v>2025-09-15T15:54:51.093+08</v>
      </c>
      <c r="K242" s="9" t="str">
        <f t="array" ref="K242">IFERROR(INDEX(dataICM!C:C,match(Caseslist!B242,dataICM!D:D,0)), "INC")</f>
        <v>2025-09-15T15:57:22.649+08</v>
      </c>
      <c r="L242" s="10" t="str">
        <f t="array" ref="L242">IF(AND(G242="COMPLETE", OR(K242="INC", ISBLANK(INDEX(data!O:O, ROW())))), J242, K242)</f>
        <v>2025-09-15T15:57:22.649+08</v>
      </c>
      <c r="M242" s="2">
        <v>45915.0</v>
      </c>
      <c r="N242" s="2">
        <f t="array" ref="N242">IF(M242&lt;&gt;"INC", INDEX(data!M:M, MATCH(B242, data!D:D, 0)), "")</f>
        <v>1</v>
      </c>
      <c r="O242" s="2">
        <f t="shared" si="3"/>
        <v>1</v>
      </c>
    </row>
    <row r="243">
      <c r="A243" s="2" t="str">
        <f t="shared" si="1"/>
        <v>H004588</v>
      </c>
      <c r="B243" s="1" t="s">
        <v>6503</v>
      </c>
      <c r="C243" s="9" t="str">
        <f t="array" ref="C243">IF(
  AND(
    IFERROR(MATCH(Caseslist!B243, data!D:D, 0), 0) &gt; 0,
    IFERROR(INDEX(data!N:N, MATCH(Caseslist!B243, data!D:D, 0)) = 1, FALSE)
  ),
  "COMPLETE",
  "INC"
)</f>
        <v>COMPLETE</v>
      </c>
      <c r="D243" s="9" t="str">
        <f t="array" ref="D243">IFERROR(INDEX(data!$G:$G,match(Caseslist!B243,data!$D:$D,0)), "INC")</f>
        <v>S2671943</v>
      </c>
      <c r="E243" s="9" t="str">
        <f t="array" ref="E243">IFERROR(INDEX(data!H:H,match(Caseslist!B243,data!D:D,0)), "INC")</f>
        <v>Marvin Mondia</v>
      </c>
      <c r="F243" s="10" t="str">
        <f t="array" ref="F243">IF(
    OR(
      IFNA(INDEX(data!M:M, MATCH(Caseslist!B243, data!D:D, 0)), "") = "",
      IFNA(INDEX(data!M:M, MATCH(Caseslist!B243, data!D:D, 0)), 0) = 0
    ),
    "COMPLETE",
    IF(
      IFNA(INDEX(dataICM!D:D, MATCH(Caseslist!B243, dataICM!D:D, 0)), "INC") = "INC",
      IFNA(INDEX(dataICM!D:D, MATCH(Caseslist!B243, dataICM!D:D, 0)), "INC"),
      "COMPLETE"
    )
  )</f>
        <v>COMPLETE</v>
      </c>
      <c r="G243" s="10" t="str">
        <f t="array" ref="G243">IF(IFERROR(INDEX(data!L:L,match(Caseslist!B243,data!D:D,0)),"INC")="","COMPLETE",F243)</f>
        <v>COMPLETE</v>
      </c>
      <c r="H243" s="9" t="str">
        <f t="array" ref="H243">IFERROR(INDEX(dataICM!F:F,match(Caseslist!B243,dataICM!D:D,0)), "INC")</f>
        <v>Marvin Mondia</v>
      </c>
      <c r="I243" s="10" t="str">
        <f t="shared" si="2"/>
        <v>S2671943</v>
      </c>
      <c r="J243" s="9" t="str">
        <f t="array" ref="J243">IF(
  AND(
    IFERROR(MATCH(B243, data!D:D, 0), 0) &gt; 0,
    IFERROR(INDEX(data!N:N, MATCH(B243, data!D:D, 0)) = 1, FALSE)
  ),
  INDEX(data!C:C, MATCH(B243, data!D:D, 0)),
  "INC"
)</f>
        <v>2025-09-15T12:14:11.321+08</v>
      </c>
      <c r="K243" s="9" t="str">
        <f t="array" ref="K243">IFERROR(INDEX(dataICM!C:C,match(Caseslist!B243,dataICM!D:D,0)), "INC")</f>
        <v>2025-09-15T12:21:33.486+08</v>
      </c>
      <c r="L243" s="10" t="str">
        <f t="array" ref="L243">IF(AND(G243="COMPLETE", OR(K243="INC", ISBLANK(INDEX(data!O:O, ROW())))), J243, K243)</f>
        <v>2025-09-15T12:21:33.486+08</v>
      </c>
      <c r="M243" s="2">
        <v>45915.0</v>
      </c>
      <c r="N243" s="2">
        <f t="array" ref="N243">IF(M243&lt;&gt;"INC", INDEX(data!M:M, MATCH(B243, data!D:D, 0)), "")</f>
        <v>1</v>
      </c>
      <c r="O243" s="2">
        <f t="shared" si="3"/>
        <v>1</v>
      </c>
    </row>
    <row r="244">
      <c r="A244" s="2" t="str">
        <f t="shared" si="1"/>
        <v>H004588</v>
      </c>
      <c r="B244" s="1" t="s">
        <v>6238</v>
      </c>
      <c r="C244" s="9" t="str">
        <f t="array" ref="C244">IF(
  AND(
    IFERROR(MATCH(Caseslist!B244, data!D:D, 0), 0) &gt; 0,
    IFERROR(INDEX(data!N:N, MATCH(Caseslist!B244, data!D:D, 0)) = 1, FALSE)
  ),
  "COMPLETE",
  "INC"
)</f>
        <v>COMPLETE</v>
      </c>
      <c r="D244" s="9">
        <f t="array" ref="D244">IFERROR(INDEX(data!$G:$G,match(Caseslist!B244,data!$D:$D,0)), "INC")</f>
        <v>729375</v>
      </c>
      <c r="E244" s="9" t="str">
        <f t="array" ref="E244">IFERROR(INDEX(data!H:H,match(Caseslist!B244,data!D:D,0)), "INC")</f>
        <v>Janet Serafica_2</v>
      </c>
      <c r="F244" s="10" t="str">
        <f t="array" ref="F244">IF(
    OR(
      IFNA(INDEX(data!M:M, MATCH(Caseslist!B244, data!D:D, 0)), "") = "",
      IFNA(INDEX(data!M:M, MATCH(Caseslist!B244, data!D:D, 0)), 0) = 0
    ),
    "COMPLETE",
    IF(
      IFNA(INDEX(dataICM!D:D, MATCH(Caseslist!B244, dataICM!D:D, 0)), "INC") = "INC",
      IFNA(INDEX(dataICM!D:D, MATCH(Caseslist!B244, dataICM!D:D, 0)), "INC"),
      "COMPLETE"
    )
  )</f>
        <v>COMPLETE</v>
      </c>
      <c r="G244" s="10" t="str">
        <f t="array" ref="G244">IF(IFERROR(INDEX(data!L:L,match(Caseslist!B244,data!D:D,0)),"INC")="","COMPLETE",F244)</f>
        <v>COMPLETE</v>
      </c>
      <c r="H244" s="9" t="str">
        <f t="array" ref="H244">IFERROR(INDEX(dataICM!F:F,match(Caseslist!B244,dataICM!D:D,0)), "INC")</f>
        <v>Janet Serafica_2</v>
      </c>
      <c r="I244" s="10">
        <f t="shared" si="2"/>
        <v>729375</v>
      </c>
      <c r="J244" s="9" t="str">
        <f t="array" ref="J244">IF(
  AND(
    IFERROR(MATCH(B244, data!D:D, 0), 0) &gt; 0,
    IFERROR(INDEX(data!N:N, MATCH(B244, data!D:D, 0)) = 1, FALSE)
  ),
  INDEX(data!C:C, MATCH(B244, data!D:D, 0)),
  "INC"
)</f>
        <v>2025-09-15T11:16:54.525+08</v>
      </c>
      <c r="K244" s="9" t="str">
        <f t="array" ref="K244">IFERROR(INDEX(dataICM!C:C,match(Caseslist!B244,dataICM!D:D,0)), "INC")</f>
        <v>2025-09-15T11:20:58.243+08</v>
      </c>
      <c r="L244" s="10" t="str">
        <f t="array" ref="L244">IF(AND(G244="COMPLETE", OR(K244="INC", ISBLANK(INDEX(data!O:O, ROW())))), J244, K244)</f>
        <v>2025-09-15T11:20:58.243+08</v>
      </c>
      <c r="M244" s="2">
        <v>45915.0</v>
      </c>
      <c r="N244" s="2">
        <f t="array" ref="N244">IF(M244&lt;&gt;"INC", INDEX(data!M:M, MATCH(B244, data!D:D, 0)), "")</f>
        <v>1</v>
      </c>
      <c r="O244" s="2">
        <f t="shared" si="3"/>
        <v>1</v>
      </c>
    </row>
    <row r="245">
      <c r="A245" s="2" t="str">
        <f t="shared" si="1"/>
        <v>H004588</v>
      </c>
      <c r="B245" s="1" t="s">
        <v>8383</v>
      </c>
      <c r="C245" s="9" t="str">
        <f t="array" ref="C245">IF(
  AND(
    IFERROR(MATCH(Caseslist!B245, data!D:D, 0), 0) &gt; 0,
    IFERROR(INDEX(data!N:N, MATCH(Caseslist!B245, data!D:D, 0)) = 1, FALSE)
  ),
  "COMPLETE",
  "INC"
)</f>
        <v>COMPLETE</v>
      </c>
      <c r="D245" s="9">
        <f t="array" ref="D245">IFERROR(INDEX(data!$G:$G,match(Caseslist!B245,data!$D:$D,0)), "INC")</f>
        <v>859767</v>
      </c>
      <c r="E245" s="9" t="str">
        <f t="array" ref="E245">IFERROR(INDEX(data!H:H,match(Caseslist!B245,data!D:D,0)), "INC")</f>
        <v>Ramie De Pedro Jr._2</v>
      </c>
      <c r="F245" s="10" t="str">
        <f t="array" ref="F245">IF(
    OR(
      IFNA(INDEX(data!M:M, MATCH(Caseslist!B245, data!D:D, 0)), "") = "",
      IFNA(INDEX(data!M:M, MATCH(Caseslist!B245, data!D:D, 0)), 0) = 0
    ),
    "COMPLETE",
    IF(
      IFNA(INDEX(dataICM!D:D, MATCH(Caseslist!B245, dataICM!D:D, 0)), "INC") = "INC",
      IFNA(INDEX(dataICM!D:D, MATCH(Caseslist!B245, dataICM!D:D, 0)), "INC"),
      "COMPLETE"
    )
  )</f>
        <v>COMPLETE</v>
      </c>
      <c r="G245" s="10" t="str">
        <f t="array" ref="G245">IF(IFERROR(INDEX(data!L:L,match(Caseslist!B245,data!D:D,0)),"INC")="","COMPLETE",F245)</f>
        <v>COMPLETE</v>
      </c>
      <c r="H245" s="9" t="str">
        <f t="array" ref="H245">IFERROR(INDEX(dataICM!F:F,match(Caseslist!B245,dataICM!D:D,0)), "INC")</f>
        <v>Ramie De Pedro Jr._2</v>
      </c>
      <c r="I245" s="10">
        <f t="shared" si="2"/>
        <v>859767</v>
      </c>
      <c r="J245" s="9" t="str">
        <f t="array" ref="J245">IF(
  AND(
    IFERROR(MATCH(B245, data!D:D, 0), 0) &gt; 0,
    IFERROR(INDEX(data!N:N, MATCH(B245, data!D:D, 0)) = 1, FALSE)
  ),
  INDEX(data!C:C, MATCH(B245, data!D:D, 0)),
  "INC"
)</f>
        <v>2025-09-24T10:23:10.102+08</v>
      </c>
      <c r="K245" s="9" t="str">
        <f t="array" ref="K245">IFERROR(INDEX(dataICM!C:C,match(Caseslist!B245,dataICM!D:D,0)), "INC")</f>
        <v>2025-09-24T10:50:12.614+08</v>
      </c>
      <c r="L245" s="10" t="str">
        <f t="array" ref="L245">IF(AND(G245="COMPLETE", OR(K245="INC", ISBLANK(INDEX(data!O:O, ROW())))), J245, K245)</f>
        <v>2025-09-24T10:50:12.614+08</v>
      </c>
      <c r="M245" s="2">
        <v>45924.0</v>
      </c>
      <c r="N245" s="2">
        <f t="array" ref="N245">IF(M245&lt;&gt;"INC", INDEX(data!M:M, MATCH(B245, data!D:D, 0)), "")</f>
        <v>1</v>
      </c>
      <c r="O245" s="2">
        <f t="shared" si="3"/>
        <v>1</v>
      </c>
    </row>
    <row r="246">
      <c r="A246" s="2" t="str">
        <f t="shared" si="1"/>
        <v>H004596</v>
      </c>
      <c r="B246" s="1" t="s">
        <v>6893</v>
      </c>
      <c r="C246" s="9" t="str">
        <f t="array" ref="C246">IF(
  AND(
    IFERROR(MATCH(Caseslist!B246, data!D:D, 0), 0) &gt; 0,
    IFERROR(INDEX(data!N:N, MATCH(Caseslist!B246, data!D:D, 0)) = 1, FALSE)
  ),
  "COMPLETE",
  "INC"
)</f>
        <v>COMPLETE</v>
      </c>
      <c r="D246" s="9">
        <f t="array" ref="D246">IFERROR(INDEX(data!$G:$G,match(Caseslist!B246,data!$D:$D,0)), "INC")</f>
        <v>859767</v>
      </c>
      <c r="E246" s="9" t="str">
        <f t="array" ref="E246">IFERROR(INDEX(data!H:H,match(Caseslist!B246,data!D:D,0)), "INC")</f>
        <v>Ramie De Pedro Jr._2</v>
      </c>
      <c r="F246" s="10" t="str">
        <f t="array" ref="F246">IF(
    OR(
      IFNA(INDEX(data!M:M, MATCH(Caseslist!B246, data!D:D, 0)), "") = "",
      IFNA(INDEX(data!M:M, MATCH(Caseslist!B246, data!D:D, 0)), 0) = 0
    ),
    "COMPLETE",
    IF(
      IFNA(INDEX(dataICM!D:D, MATCH(Caseslist!B246, dataICM!D:D, 0)), "INC") = "INC",
      IFNA(INDEX(dataICM!D:D, MATCH(Caseslist!B246, dataICM!D:D, 0)), "INC"),
      "COMPLETE"
    )
  )</f>
        <v>COMPLETE</v>
      </c>
      <c r="G246" s="10" t="str">
        <f t="array" ref="G246">IF(IFERROR(INDEX(data!L:L,match(Caseslist!B246,data!D:D,0)),"INC")="","COMPLETE",F246)</f>
        <v>COMPLETE</v>
      </c>
      <c r="H246" s="9" t="str">
        <f t="array" ref="H246">IFERROR(INDEX(dataICM!F:F,match(Caseslist!B246,dataICM!D:D,0)), "INC")</f>
        <v>INC</v>
      </c>
      <c r="I246" s="10">
        <f t="shared" si="2"/>
        <v>859767</v>
      </c>
      <c r="J246" s="9" t="str">
        <f t="array" ref="J246">IF(
  AND(
    IFERROR(MATCH(B246, data!D:D, 0), 0) &gt; 0,
    IFERROR(INDEX(data!N:N, MATCH(B246, data!D:D, 0)) = 1, FALSE)
  ),
  INDEX(data!C:C, MATCH(B246, data!D:D, 0)),
  "INC"
)</f>
        <v>2025-09-17T09:42:34.620+08</v>
      </c>
      <c r="K246" s="9" t="str">
        <f t="array" ref="K246">IFERROR(INDEX(dataICM!C:C,match(Caseslist!B246,dataICM!D:D,0)), "INC")</f>
        <v>INC</v>
      </c>
      <c r="L246" s="10" t="str">
        <f t="array" ref="L246">IF(AND(G246="COMPLETE", OR(K246="INC", ISBLANK(INDEX(data!O:O, ROW())))), J246, K246)</f>
        <v>2025-09-17T09:42:34.620+08</v>
      </c>
      <c r="M246" s="2">
        <v>45917.0</v>
      </c>
      <c r="N246" s="2">
        <f t="array" ref="N246">IF(M246&lt;&gt;"INC", INDEX(data!M:M, MATCH(B246, data!D:D, 0)), "")</f>
        <v>0</v>
      </c>
      <c r="O246" s="2">
        <f t="shared" si="3"/>
        <v>0</v>
      </c>
    </row>
    <row r="247">
      <c r="A247" s="2" t="str">
        <f t="shared" si="1"/>
        <v>H004596</v>
      </c>
      <c r="B247" s="1" t="s">
        <v>7073</v>
      </c>
      <c r="C247" s="9" t="str">
        <f t="array" ref="C247">IF(
  AND(
    IFERROR(MATCH(Caseslist!B247, data!D:D, 0), 0) &gt; 0,
    IFERROR(INDEX(data!N:N, MATCH(Caseslist!B247, data!D:D, 0)) = 1, FALSE)
  ),
  "COMPLETE",
  "INC"
)</f>
        <v>COMPLETE</v>
      </c>
      <c r="D247" s="9">
        <f t="array" ref="D247">IFERROR(INDEX(data!$G:$G,match(Caseslist!B247,data!$D:$D,0)), "INC")</f>
        <v>859767</v>
      </c>
      <c r="E247" s="9" t="str">
        <f t="array" ref="E247">IFERROR(INDEX(data!H:H,match(Caseslist!B247,data!D:D,0)), "INC")</f>
        <v>Ramie De Pedro Jr._2</v>
      </c>
      <c r="F247" s="10" t="str">
        <f t="array" ref="F247">IF(
    OR(
      IFNA(INDEX(data!M:M, MATCH(Caseslist!B247, data!D:D, 0)), "") = "",
      IFNA(INDEX(data!M:M, MATCH(Caseslist!B247, data!D:D, 0)), 0) = 0
    ),
    "COMPLETE",
    IF(
      IFNA(INDEX(dataICM!D:D, MATCH(Caseslist!B247, dataICM!D:D, 0)), "INC") = "INC",
      IFNA(INDEX(dataICM!D:D, MATCH(Caseslist!B247, dataICM!D:D, 0)), "INC"),
      "COMPLETE"
    )
  )</f>
        <v>COMPLETE</v>
      </c>
      <c r="G247" s="10" t="str">
        <f t="array" ref="G247">IF(IFERROR(INDEX(data!L:L,match(Caseslist!B247,data!D:D,0)),"INC")="","COMPLETE",F247)</f>
        <v>COMPLETE</v>
      </c>
      <c r="H247" s="9" t="str">
        <f t="array" ref="H247">IFERROR(INDEX(dataICM!F:F,match(Caseslist!B247,dataICM!D:D,0)), "INC")</f>
        <v>INC</v>
      </c>
      <c r="I247" s="10">
        <f t="shared" si="2"/>
        <v>859767</v>
      </c>
      <c r="J247" s="9" t="str">
        <f t="array" ref="J247">IF(
  AND(
    IFERROR(MATCH(B247, data!D:D, 0), 0) &gt; 0,
    IFERROR(INDEX(data!N:N, MATCH(B247, data!D:D, 0)) = 1, FALSE)
  ),
  INDEX(data!C:C, MATCH(B247, data!D:D, 0)),
  "INC"
)</f>
        <v>2025-09-18T09:58:00.667+08</v>
      </c>
      <c r="K247" s="9" t="str">
        <f t="array" ref="K247">IFERROR(INDEX(dataICM!C:C,match(Caseslist!B247,dataICM!D:D,0)), "INC")</f>
        <v>INC</v>
      </c>
      <c r="L247" s="10" t="str">
        <f t="array" ref="L247">IF(AND(G247="COMPLETE", OR(K247="INC", ISBLANK(INDEX(data!O:O, ROW())))), J247, K247)</f>
        <v>2025-09-18T09:58:00.667+08</v>
      </c>
      <c r="M247" s="2">
        <v>45918.0</v>
      </c>
      <c r="N247" s="2">
        <f t="array" ref="N247">IF(M247&lt;&gt;"INC", INDEX(data!M:M, MATCH(B247, data!D:D, 0)), "")</f>
        <v>0</v>
      </c>
      <c r="O247" s="2">
        <f t="shared" si="3"/>
        <v>0</v>
      </c>
    </row>
    <row r="248">
      <c r="A248" s="2" t="str">
        <f t="shared" si="1"/>
        <v>H004596</v>
      </c>
      <c r="B248" s="1" t="s">
        <v>7298</v>
      </c>
      <c r="C248" s="9" t="str">
        <f t="array" ref="C248">IF(
  AND(
    IFERROR(MATCH(Caseslist!B248, data!D:D, 0), 0) &gt; 0,
    IFERROR(INDEX(data!N:N, MATCH(Caseslist!B248, data!D:D, 0)) = 1, FALSE)
  ),
  "COMPLETE",
  "INC"
)</f>
        <v>COMPLETE</v>
      </c>
      <c r="D248" s="9">
        <f t="array" ref="D248">IFERROR(INDEX(data!$G:$G,match(Caseslist!B248,data!$D:$D,0)), "INC")</f>
        <v>729375</v>
      </c>
      <c r="E248" s="9" t="str">
        <f t="array" ref="E248">IFERROR(INDEX(data!H:H,match(Caseslist!B248,data!D:D,0)), "INC")</f>
        <v>Janet Serafica_2</v>
      </c>
      <c r="F248" s="10" t="str">
        <f t="array" ref="F248">IF(
    OR(
      IFNA(INDEX(data!M:M, MATCH(Caseslist!B248, data!D:D, 0)), "") = "",
      IFNA(INDEX(data!M:M, MATCH(Caseslist!B248, data!D:D, 0)), 0) = 0
    ),
    "COMPLETE",
    IF(
      IFNA(INDEX(dataICM!D:D, MATCH(Caseslist!B248, dataICM!D:D, 0)), "INC") = "INC",
      IFNA(INDEX(dataICM!D:D, MATCH(Caseslist!B248, dataICM!D:D, 0)), "INC"),
      "COMPLETE"
    )
  )</f>
        <v>COMPLETE</v>
      </c>
      <c r="G248" s="10" t="str">
        <f t="array" ref="G248">IF(IFERROR(INDEX(data!L:L,match(Caseslist!B248,data!D:D,0)),"INC")="","COMPLETE",F248)</f>
        <v>COMPLETE</v>
      </c>
      <c r="H248" s="9" t="str">
        <f t="array" ref="H248">IFERROR(INDEX(dataICM!F:F,match(Caseslist!B248,dataICM!D:D,0)), "INC")</f>
        <v>INC</v>
      </c>
      <c r="I248" s="10">
        <f t="shared" si="2"/>
        <v>729375</v>
      </c>
      <c r="J248" s="9" t="str">
        <f t="array" ref="J248">IF(
  AND(
    IFERROR(MATCH(B248, data!D:D, 0), 0) &gt; 0,
    IFERROR(INDEX(data!N:N, MATCH(B248, data!D:D, 0)) = 1, FALSE)
  ),
  INDEX(data!C:C, MATCH(B248, data!D:D, 0)),
  "INC"
)</f>
        <v>2025-09-18T09:26:58.473+08</v>
      </c>
      <c r="K248" s="9" t="str">
        <f t="array" ref="K248">IFERROR(INDEX(dataICM!C:C,match(Caseslist!B248,dataICM!D:D,0)), "INC")</f>
        <v>INC</v>
      </c>
      <c r="L248" s="10" t="str">
        <f t="array" ref="L248">IF(AND(G248="COMPLETE", OR(K248="INC", ISBLANK(INDEX(data!O:O, ROW())))), J248, K248)</f>
        <v>2025-09-18T09:26:58.473+08</v>
      </c>
      <c r="M248" s="2">
        <v>45918.0</v>
      </c>
      <c r="N248" s="2">
        <f t="array" ref="N248">IF(M248&lt;&gt;"INC", INDEX(data!M:M, MATCH(B248, data!D:D, 0)), "")</f>
        <v>0</v>
      </c>
      <c r="O248" s="2">
        <f t="shared" si="3"/>
        <v>0</v>
      </c>
    </row>
    <row r="249">
      <c r="A249" s="2" t="str">
        <f t="shared" si="1"/>
        <v>H004596</v>
      </c>
      <c r="B249" s="1" t="s">
        <v>7313</v>
      </c>
      <c r="C249" s="9" t="str">
        <f t="array" ref="C249">IF(
  AND(
    IFERROR(MATCH(Caseslist!B249, data!D:D, 0), 0) &gt; 0,
    IFERROR(INDEX(data!N:N, MATCH(Caseslist!B249, data!D:D, 0)) = 1, FALSE)
  ),
  "COMPLETE",
  "INC"
)</f>
        <v>COMPLETE</v>
      </c>
      <c r="D249" s="9">
        <f t="array" ref="D249">IFERROR(INDEX(data!$G:$G,match(Caseslist!B249,data!$D:$D,0)), "INC")</f>
        <v>859767</v>
      </c>
      <c r="E249" s="9" t="str">
        <f t="array" ref="E249">IFERROR(INDEX(data!H:H,match(Caseslist!B249,data!D:D,0)), "INC")</f>
        <v>Ramie De Pedro Jr._2</v>
      </c>
      <c r="F249" s="10" t="str">
        <f t="array" ref="F249">IF(
    OR(
      IFNA(INDEX(data!M:M, MATCH(Caseslist!B249, data!D:D, 0)), "") = "",
      IFNA(INDEX(data!M:M, MATCH(Caseslist!B249, data!D:D, 0)), 0) = 0
    ),
    "COMPLETE",
    IF(
      IFNA(INDEX(dataICM!D:D, MATCH(Caseslist!B249, dataICM!D:D, 0)), "INC") = "INC",
      IFNA(INDEX(dataICM!D:D, MATCH(Caseslist!B249, dataICM!D:D, 0)), "INC"),
      "COMPLETE"
    )
  )</f>
        <v>COMPLETE</v>
      </c>
      <c r="G249" s="10" t="str">
        <f t="array" ref="G249">IF(IFERROR(INDEX(data!L:L,match(Caseslist!B249,data!D:D,0)),"INC")="","COMPLETE",F249)</f>
        <v>COMPLETE</v>
      </c>
      <c r="H249" s="9" t="str">
        <f t="array" ref="H249">IFERROR(INDEX(dataICM!F:F,match(Caseslist!B249,dataICM!D:D,0)), "INC")</f>
        <v>INC</v>
      </c>
      <c r="I249" s="10">
        <f t="shared" si="2"/>
        <v>859767</v>
      </c>
      <c r="J249" s="9" t="str">
        <f t="array" ref="J249">IF(
  AND(
    IFERROR(MATCH(B249, data!D:D, 0), 0) &gt; 0,
    IFERROR(INDEX(data!N:N, MATCH(B249, data!D:D, 0)) = 1, FALSE)
  ),
  INDEX(data!C:C, MATCH(B249, data!D:D, 0)),
  "INC"
)</f>
        <v>2025-09-29T17:38:55.428+08</v>
      </c>
      <c r="K249" s="9" t="str">
        <f t="array" ref="K249">IFERROR(INDEX(dataICM!C:C,match(Caseslist!B249,dataICM!D:D,0)), "INC")</f>
        <v>INC</v>
      </c>
      <c r="L249" s="10" t="str">
        <f t="array" ref="L249">IF(AND(G249="COMPLETE", OR(K249="INC", ISBLANK(INDEX(data!O:O, ROW())))), J249, K249)</f>
        <v>2025-09-29T17:38:55.428+08</v>
      </c>
      <c r="M249" s="2">
        <v>45929.0</v>
      </c>
      <c r="N249" s="2">
        <f t="array" ref="N249">IF(M249&lt;&gt;"INC", INDEX(data!M:M, MATCH(B249, data!D:D, 0)), "")</f>
        <v>0</v>
      </c>
      <c r="O249" s="2">
        <f t="shared" si="3"/>
        <v>0</v>
      </c>
    </row>
    <row r="250">
      <c r="A250" s="2" t="str">
        <f t="shared" si="1"/>
        <v>H004596</v>
      </c>
      <c r="B250" s="1" t="s">
        <v>6958</v>
      </c>
      <c r="C250" s="9" t="str">
        <f t="array" ref="C250">IF(
  AND(
    IFERROR(MATCH(Caseslist!B250, data!D:D, 0), 0) &gt; 0,
    IFERROR(INDEX(data!N:N, MATCH(Caseslist!B250, data!D:D, 0)) = 1, FALSE)
  ),
  "COMPLETE",
  "INC"
)</f>
        <v>COMPLETE</v>
      </c>
      <c r="D250" s="9">
        <f t="array" ref="D250">IFERROR(INDEX(data!$G:$G,match(Caseslist!B250,data!$D:$D,0)), "INC")</f>
        <v>729375</v>
      </c>
      <c r="E250" s="9" t="str">
        <f t="array" ref="E250">IFERROR(INDEX(data!H:H,match(Caseslist!B250,data!D:D,0)), "INC")</f>
        <v>Janet Serafica_2</v>
      </c>
      <c r="F250" s="10" t="str">
        <f t="array" ref="F250">IF(
    OR(
      IFNA(INDEX(data!M:M, MATCH(Caseslist!B250, data!D:D, 0)), "") = "",
      IFNA(INDEX(data!M:M, MATCH(Caseslist!B250, data!D:D, 0)), 0) = 0
    ),
    "COMPLETE",
    IF(
      IFNA(INDEX(dataICM!D:D, MATCH(Caseslist!B250, dataICM!D:D, 0)), "INC") = "INC",
      IFNA(INDEX(dataICM!D:D, MATCH(Caseslist!B250, dataICM!D:D, 0)), "INC"),
      "COMPLETE"
    )
  )</f>
        <v>COMPLETE</v>
      </c>
      <c r="G250" s="10" t="str">
        <f t="array" ref="G250">IF(IFERROR(INDEX(data!L:L,match(Caseslist!B250,data!D:D,0)),"INC")="","COMPLETE",F250)</f>
        <v>COMPLETE</v>
      </c>
      <c r="H250" s="9" t="str">
        <f t="array" ref="H250">IFERROR(INDEX(dataICM!F:F,match(Caseslist!B250,dataICM!D:D,0)), "INC")</f>
        <v>INC</v>
      </c>
      <c r="I250" s="10">
        <f t="shared" si="2"/>
        <v>729375</v>
      </c>
      <c r="J250" s="9" t="str">
        <f t="array" ref="J250">IF(
  AND(
    IFERROR(MATCH(B250, data!D:D, 0), 0) &gt; 0,
    IFERROR(INDEX(data!N:N, MATCH(B250, data!D:D, 0)) = 1, FALSE)
  ),
  INDEX(data!C:C, MATCH(B250, data!D:D, 0)),
  "INC"
)</f>
        <v>2025-09-17T09:35:06.199+08</v>
      </c>
      <c r="K250" s="9" t="str">
        <f t="array" ref="K250">IFERROR(INDEX(dataICM!C:C,match(Caseslist!B250,dataICM!D:D,0)), "INC")</f>
        <v>INC</v>
      </c>
      <c r="L250" s="10" t="str">
        <f t="array" ref="L250">IF(AND(G250="COMPLETE", OR(K250="INC", ISBLANK(INDEX(data!O:O, ROW())))), J250, K250)</f>
        <v>2025-09-17T09:35:06.199+08</v>
      </c>
      <c r="M250" s="2">
        <v>45917.0</v>
      </c>
      <c r="N250" s="2">
        <f t="array" ref="N250">IF(M250&lt;&gt;"INC", INDEX(data!M:M, MATCH(B250, data!D:D, 0)), "")</f>
        <v>0</v>
      </c>
      <c r="O250" s="2">
        <f t="shared" si="3"/>
        <v>0</v>
      </c>
    </row>
    <row r="251">
      <c r="A251" s="2" t="str">
        <f t="shared" si="1"/>
        <v>H004596</v>
      </c>
      <c r="B251" s="1" t="s">
        <v>7078</v>
      </c>
      <c r="C251" s="9" t="str">
        <f t="array" ref="C251">IF(
  AND(
    IFERROR(MATCH(Caseslist!B251, data!D:D, 0), 0) &gt; 0,
    IFERROR(INDEX(data!N:N, MATCH(Caseslist!B251, data!D:D, 0)) = 1, FALSE)
  ),
  "COMPLETE",
  "INC"
)</f>
        <v>COMPLETE</v>
      </c>
      <c r="D251" s="9">
        <f t="array" ref="D251">IFERROR(INDEX(data!$G:$G,match(Caseslist!B251,data!$D:$D,0)), "INC")</f>
        <v>859767</v>
      </c>
      <c r="E251" s="9" t="str">
        <f t="array" ref="E251">IFERROR(INDEX(data!H:H,match(Caseslist!B251,data!D:D,0)), "INC")</f>
        <v>Ramie De Pedro Jr._2</v>
      </c>
      <c r="F251" s="10" t="str">
        <f t="array" ref="F251">IF(
    OR(
      IFNA(INDEX(data!M:M, MATCH(Caseslist!B251, data!D:D, 0)), "") = "",
      IFNA(INDEX(data!M:M, MATCH(Caseslist!B251, data!D:D, 0)), 0) = 0
    ),
    "COMPLETE",
    IF(
      IFNA(INDEX(dataICM!D:D, MATCH(Caseslist!B251, dataICM!D:D, 0)), "INC") = "INC",
      IFNA(INDEX(dataICM!D:D, MATCH(Caseslist!B251, dataICM!D:D, 0)), "INC"),
      "COMPLETE"
    )
  )</f>
        <v>COMPLETE</v>
      </c>
      <c r="G251" s="10" t="str">
        <f t="array" ref="G251">IF(IFERROR(INDEX(data!L:L,match(Caseslist!B251,data!D:D,0)),"INC")="","COMPLETE",F251)</f>
        <v>COMPLETE</v>
      </c>
      <c r="H251" s="9" t="str">
        <f t="array" ref="H251">IFERROR(INDEX(dataICM!F:F,match(Caseslist!B251,dataICM!D:D,0)), "INC")</f>
        <v>INC</v>
      </c>
      <c r="I251" s="10">
        <f t="shared" si="2"/>
        <v>859767</v>
      </c>
      <c r="J251" s="9" t="str">
        <f t="array" ref="J251">IF(
  AND(
    IFERROR(MATCH(B251, data!D:D, 0), 0) &gt; 0,
    IFERROR(INDEX(data!N:N, MATCH(B251, data!D:D, 0)) = 1, FALSE)
  ),
  INDEX(data!C:C, MATCH(B251, data!D:D, 0)),
  "INC"
)</f>
        <v>2025-09-18T11:47:22.991+08</v>
      </c>
      <c r="K251" s="9" t="str">
        <f t="array" ref="K251">IFERROR(INDEX(dataICM!C:C,match(Caseslist!B251,dataICM!D:D,0)), "INC")</f>
        <v>INC</v>
      </c>
      <c r="L251" s="10" t="str">
        <f t="array" ref="L251">IF(AND(G251="COMPLETE", OR(K251="INC", ISBLANK(INDEX(data!O:O, ROW())))), J251, K251)</f>
        <v>2025-09-18T11:47:22.991+08</v>
      </c>
      <c r="M251" s="2">
        <v>45918.0</v>
      </c>
      <c r="N251" s="2">
        <f t="array" ref="N251">IF(M251&lt;&gt;"INC", INDEX(data!M:M, MATCH(B251, data!D:D, 0)), "")</f>
        <v>0</v>
      </c>
      <c r="O251" s="2">
        <f t="shared" si="3"/>
        <v>0</v>
      </c>
    </row>
    <row r="252">
      <c r="A252" s="2" t="str">
        <f t="shared" si="1"/>
        <v>H004596</v>
      </c>
      <c r="B252" s="1" t="s">
        <v>7353</v>
      </c>
      <c r="C252" s="9" t="str">
        <f t="array" ref="C252">IF(
  AND(
    IFERROR(MATCH(Caseslist!B252, data!D:D, 0), 0) &gt; 0,
    IFERROR(INDEX(data!N:N, MATCH(Caseslist!B252, data!D:D, 0)) = 1, FALSE)
  ),
  "COMPLETE",
  "INC"
)</f>
        <v>COMPLETE</v>
      </c>
      <c r="D252" s="9" t="str">
        <f t="array" ref="D252">IFERROR(INDEX(data!$G:$G,match(Caseslist!B252,data!$D:$D,0)), "INC")</f>
        <v>S2671943</v>
      </c>
      <c r="E252" s="9" t="str">
        <f t="array" ref="E252">IFERROR(INDEX(data!H:H,match(Caseslist!B252,data!D:D,0)), "INC")</f>
        <v>Marvin Mondia</v>
      </c>
      <c r="F252" s="10" t="str">
        <f t="array" ref="F252">IF(
    OR(
      IFNA(INDEX(data!M:M, MATCH(Caseslist!B252, data!D:D, 0)), "") = "",
      IFNA(INDEX(data!M:M, MATCH(Caseslist!B252, data!D:D, 0)), 0) = 0
    ),
    "COMPLETE",
    IF(
      IFNA(INDEX(dataICM!D:D, MATCH(Caseslist!B252, dataICM!D:D, 0)), "INC") = "INC",
      IFNA(INDEX(dataICM!D:D, MATCH(Caseslist!B252, dataICM!D:D, 0)), "INC"),
      "COMPLETE"
    )
  )</f>
        <v>COMPLETE</v>
      </c>
      <c r="G252" s="10" t="str">
        <f t="array" ref="G252">IF(IFERROR(INDEX(data!L:L,match(Caseslist!B252,data!D:D,0)),"INC")="","COMPLETE",F252)</f>
        <v>COMPLETE</v>
      </c>
      <c r="H252" s="9" t="str">
        <f t="array" ref="H252">IFERROR(INDEX(dataICM!F:F,match(Caseslist!B252,dataICM!D:D,0)), "INC")</f>
        <v>INC</v>
      </c>
      <c r="I252" s="10" t="str">
        <f t="shared" si="2"/>
        <v>S2671943</v>
      </c>
      <c r="J252" s="9" t="str">
        <f t="array" ref="J252">IF(
  AND(
    IFERROR(MATCH(B252, data!D:D, 0), 0) &gt; 0,
    IFERROR(INDEX(data!N:N, MATCH(B252, data!D:D, 0)) = 1, FALSE)
  ),
  INDEX(data!C:C, MATCH(B252, data!D:D, 0)),
  "INC"
)</f>
        <v>2025-09-18T10:45:20.830+08</v>
      </c>
      <c r="K252" s="9" t="str">
        <f t="array" ref="K252">IFERROR(INDEX(dataICM!C:C,match(Caseslist!B252,dataICM!D:D,0)), "INC")</f>
        <v>INC</v>
      </c>
      <c r="L252" s="10" t="str">
        <f t="array" ref="L252">IF(AND(G252="COMPLETE", OR(K252="INC", ISBLANK(INDEX(data!O:O, ROW())))), J252, K252)</f>
        <v>2025-09-18T10:45:20.830+08</v>
      </c>
      <c r="M252" s="2">
        <v>45918.0</v>
      </c>
      <c r="N252" s="2">
        <f t="array" ref="N252">IF(M252&lt;&gt;"INC", INDEX(data!M:M, MATCH(B252, data!D:D, 0)), "")</f>
        <v>0</v>
      </c>
      <c r="O252" s="2">
        <f t="shared" si="3"/>
        <v>0</v>
      </c>
    </row>
    <row r="253">
      <c r="A253" s="2" t="str">
        <f t="shared" si="1"/>
        <v>H004596</v>
      </c>
      <c r="B253" s="1" t="s">
        <v>7348</v>
      </c>
      <c r="C253" s="9" t="str">
        <f t="array" ref="C253">IF(
  AND(
    IFERROR(MATCH(Caseslist!B253, data!D:D, 0), 0) &gt; 0,
    IFERROR(INDEX(data!N:N, MATCH(Caseslist!B253, data!D:D, 0)) = 1, FALSE)
  ),
  "COMPLETE",
  "INC"
)</f>
        <v>COMPLETE</v>
      </c>
      <c r="D253" s="9" t="str">
        <f t="array" ref="D253">IFERROR(INDEX(data!$G:$G,match(Caseslist!B253,data!$D:$D,0)), "INC")</f>
        <v>S2671943</v>
      </c>
      <c r="E253" s="9" t="str">
        <f t="array" ref="E253">IFERROR(INDEX(data!H:H,match(Caseslist!B253,data!D:D,0)), "INC")</f>
        <v>Marvin Mondia</v>
      </c>
      <c r="F253" s="10" t="str">
        <f t="array" ref="F253">IF(
    OR(
      IFNA(INDEX(data!M:M, MATCH(Caseslist!B253, data!D:D, 0)), "") = "",
      IFNA(INDEX(data!M:M, MATCH(Caseslist!B253, data!D:D, 0)), 0) = 0
    ),
    "COMPLETE",
    IF(
      IFNA(INDEX(dataICM!D:D, MATCH(Caseslist!B253, dataICM!D:D, 0)), "INC") = "INC",
      IFNA(INDEX(dataICM!D:D, MATCH(Caseslist!B253, dataICM!D:D, 0)), "INC"),
      "COMPLETE"
    )
  )</f>
        <v>COMPLETE</v>
      </c>
      <c r="G253" s="10" t="str">
        <f t="array" ref="G253">IF(IFERROR(INDEX(data!L:L,match(Caseslist!B253,data!D:D,0)),"INC")="","COMPLETE",F253)</f>
        <v>COMPLETE</v>
      </c>
      <c r="H253" s="9" t="str">
        <f t="array" ref="H253">IFERROR(INDEX(dataICM!F:F,match(Caseslist!B253,dataICM!D:D,0)), "INC")</f>
        <v>INC</v>
      </c>
      <c r="I253" s="10" t="str">
        <f t="shared" si="2"/>
        <v>S2671943</v>
      </c>
      <c r="J253" s="9" t="str">
        <f t="array" ref="J253">IF(
  AND(
    IFERROR(MATCH(B253, data!D:D, 0), 0) &gt; 0,
    IFERROR(INDEX(data!N:N, MATCH(B253, data!D:D, 0)) = 1, FALSE)
  ),
  INDEX(data!C:C, MATCH(B253, data!D:D, 0)),
  "INC"
)</f>
        <v>2025-09-18T09:49:11.840+08</v>
      </c>
      <c r="K253" s="9" t="str">
        <f t="array" ref="K253">IFERROR(INDEX(dataICM!C:C,match(Caseslist!B253,dataICM!D:D,0)), "INC")</f>
        <v>INC</v>
      </c>
      <c r="L253" s="10" t="str">
        <f t="array" ref="L253">IF(AND(G253="COMPLETE", OR(K253="INC", ISBLANK(INDEX(data!O:O, ROW())))), J253, K253)</f>
        <v>2025-09-18T09:49:11.840+08</v>
      </c>
      <c r="M253" s="2">
        <v>45918.0</v>
      </c>
      <c r="N253" s="2">
        <f t="array" ref="N253">IF(M253&lt;&gt;"INC", INDEX(data!M:M, MATCH(B253, data!D:D, 0)), "")</f>
        <v>0</v>
      </c>
      <c r="O253" s="2">
        <f t="shared" si="3"/>
        <v>0</v>
      </c>
    </row>
    <row r="254">
      <c r="A254" s="2" t="str">
        <f t="shared" si="1"/>
        <v>H004596</v>
      </c>
      <c r="B254" s="1" t="s">
        <v>6908</v>
      </c>
      <c r="C254" s="9" t="str">
        <f t="array" ref="C254">IF(
  AND(
    IFERROR(MATCH(Caseslist!B254, data!D:D, 0), 0) &gt; 0,
    IFERROR(INDEX(data!N:N, MATCH(Caseslist!B254, data!D:D, 0)) = 1, FALSE)
  ),
  "COMPLETE",
  "INC"
)</f>
        <v>COMPLETE</v>
      </c>
      <c r="D254" s="9" t="str">
        <f t="array" ref="D254">IFERROR(INDEX(data!$G:$G,match(Caseslist!B254,data!$D:$D,0)), "INC")</f>
        <v>S2671943</v>
      </c>
      <c r="E254" s="9" t="str">
        <f t="array" ref="E254">IFERROR(INDEX(data!H:H,match(Caseslist!B254,data!D:D,0)), "INC")</f>
        <v>Marvin Mondia</v>
      </c>
      <c r="F254" s="10" t="str">
        <f t="array" ref="F254">IF(
    OR(
      IFNA(INDEX(data!M:M, MATCH(Caseslist!B254, data!D:D, 0)), "") = "",
      IFNA(INDEX(data!M:M, MATCH(Caseslist!B254, data!D:D, 0)), 0) = 0
    ),
    "COMPLETE",
    IF(
      IFNA(INDEX(dataICM!D:D, MATCH(Caseslist!B254, dataICM!D:D, 0)), "INC") = "INC",
      IFNA(INDEX(dataICM!D:D, MATCH(Caseslist!B254, dataICM!D:D, 0)), "INC"),
      "COMPLETE"
    )
  )</f>
        <v>COMPLETE</v>
      </c>
      <c r="G254" s="10" t="str">
        <f t="array" ref="G254">IF(IFERROR(INDEX(data!L:L,match(Caseslist!B254,data!D:D,0)),"INC")="","COMPLETE",F254)</f>
        <v>COMPLETE</v>
      </c>
      <c r="H254" s="9" t="str">
        <f t="array" ref="H254">IFERROR(INDEX(dataICM!F:F,match(Caseslist!B254,dataICM!D:D,0)), "INC")</f>
        <v>INC</v>
      </c>
      <c r="I254" s="10" t="str">
        <f t="shared" si="2"/>
        <v>S2671943</v>
      </c>
      <c r="J254" s="9" t="str">
        <f t="array" ref="J254">IF(
  AND(
    IFERROR(MATCH(B254, data!D:D, 0), 0) &gt; 0,
    IFERROR(INDEX(data!N:N, MATCH(B254, data!D:D, 0)) = 1, FALSE)
  ),
  INDEX(data!C:C, MATCH(B254, data!D:D, 0)),
  "INC"
)</f>
        <v>2025-09-17T10:42:53.223+08</v>
      </c>
      <c r="K254" s="9" t="str">
        <f t="array" ref="K254">IFERROR(INDEX(dataICM!C:C,match(Caseslist!B254,dataICM!D:D,0)), "INC")</f>
        <v>INC</v>
      </c>
      <c r="L254" s="10" t="str">
        <f t="array" ref="L254">IF(AND(G254="COMPLETE", OR(K254="INC", ISBLANK(INDEX(data!O:O, ROW())))), J254, K254)</f>
        <v>2025-09-17T10:42:53.223+08</v>
      </c>
      <c r="M254" s="2">
        <v>45917.0</v>
      </c>
      <c r="N254" s="2">
        <f t="array" ref="N254">IF(M254&lt;&gt;"INC", INDEX(data!M:M, MATCH(B254, data!D:D, 0)), "")</f>
        <v>0</v>
      </c>
      <c r="O254" s="2">
        <f t="shared" si="3"/>
        <v>0</v>
      </c>
    </row>
    <row r="255">
      <c r="A255" s="2" t="str">
        <f t="shared" si="1"/>
        <v>H004596</v>
      </c>
      <c r="B255" s="1" t="s">
        <v>6903</v>
      </c>
      <c r="C255" s="9" t="str">
        <f t="array" ref="C255">IF(
  AND(
    IFERROR(MATCH(Caseslist!B255, data!D:D, 0), 0) &gt; 0,
    IFERROR(INDEX(data!N:N, MATCH(Caseslist!B255, data!D:D, 0)) = 1, FALSE)
  ),
  "COMPLETE",
  "INC"
)</f>
        <v>COMPLETE</v>
      </c>
      <c r="D255" s="9" t="str">
        <f t="array" ref="D255">IFERROR(INDEX(data!$G:$G,match(Caseslist!B255,data!$D:$D,0)), "INC")</f>
        <v>S2671943</v>
      </c>
      <c r="E255" s="9" t="str">
        <f t="array" ref="E255">IFERROR(INDEX(data!H:H,match(Caseslist!B255,data!D:D,0)), "INC")</f>
        <v>Marvin Mondia</v>
      </c>
      <c r="F255" s="10" t="str">
        <f t="array" ref="F255">IF(
    OR(
      IFNA(INDEX(data!M:M, MATCH(Caseslist!B255, data!D:D, 0)), "") = "",
      IFNA(INDEX(data!M:M, MATCH(Caseslist!B255, data!D:D, 0)), 0) = 0
    ),
    "COMPLETE",
    IF(
      IFNA(INDEX(dataICM!D:D, MATCH(Caseslist!B255, dataICM!D:D, 0)), "INC") = "INC",
      IFNA(INDEX(dataICM!D:D, MATCH(Caseslist!B255, dataICM!D:D, 0)), "INC"),
      "COMPLETE"
    )
  )</f>
        <v>COMPLETE</v>
      </c>
      <c r="G255" s="10" t="str">
        <f t="array" ref="G255">IF(IFERROR(INDEX(data!L:L,match(Caseslist!B255,data!D:D,0)),"INC")="","COMPLETE",F255)</f>
        <v>COMPLETE</v>
      </c>
      <c r="H255" s="9" t="str">
        <f t="array" ref="H255">IFERROR(INDEX(dataICM!F:F,match(Caseslist!B255,dataICM!D:D,0)), "INC")</f>
        <v>INC</v>
      </c>
      <c r="I255" s="10" t="str">
        <f t="shared" si="2"/>
        <v>S2671943</v>
      </c>
      <c r="J255" s="9" t="str">
        <f t="array" ref="J255">IF(
  AND(
    IFERROR(MATCH(B255, data!D:D, 0), 0) &gt; 0,
    IFERROR(INDEX(data!N:N, MATCH(B255, data!D:D, 0)) = 1, FALSE)
  ),
  INDEX(data!C:C, MATCH(B255, data!D:D, 0)),
  "INC"
)</f>
        <v>2025-09-17T09:39:17.960+08</v>
      </c>
      <c r="K255" s="9" t="str">
        <f t="array" ref="K255">IFERROR(INDEX(dataICM!C:C,match(Caseslist!B255,dataICM!D:D,0)), "INC")</f>
        <v>INC</v>
      </c>
      <c r="L255" s="10" t="str">
        <f t="array" ref="L255">IF(AND(G255="COMPLETE", OR(K255="INC", ISBLANK(INDEX(data!O:O, ROW())))), J255, K255)</f>
        <v>2025-09-17T09:39:17.960+08</v>
      </c>
      <c r="M255" s="2">
        <v>45917.0</v>
      </c>
      <c r="N255" s="2">
        <f t="array" ref="N255">IF(M255&lt;&gt;"INC", INDEX(data!M:M, MATCH(B255, data!D:D, 0)), "")</f>
        <v>0</v>
      </c>
      <c r="O255" s="2">
        <f t="shared" si="3"/>
        <v>0</v>
      </c>
    </row>
    <row r="256">
      <c r="A256" s="2" t="str">
        <f t="shared" si="1"/>
        <v>H004596</v>
      </c>
      <c r="B256" s="1" t="s">
        <v>7358</v>
      </c>
      <c r="C256" s="9" t="str">
        <f t="array" ref="C256">IF(
  AND(
    IFERROR(MATCH(Caseslist!B256, data!D:D, 0), 0) &gt; 0,
    IFERROR(INDEX(data!N:N, MATCH(Caseslist!B256, data!D:D, 0)) = 1, FALSE)
  ),
  "COMPLETE",
  "INC"
)</f>
        <v>INC</v>
      </c>
      <c r="D256" s="9" t="str">
        <f t="array" ref="D256">IFERROR(INDEX(data!$G:$G,match(Caseslist!B256,data!$D:$D,0)), "INC")</f>
        <v>S2671943</v>
      </c>
      <c r="E256" s="9" t="str">
        <f t="array" ref="E256">IFERROR(INDEX(data!H:H,match(Caseslist!B256,data!D:D,0)), "INC")</f>
        <v>Marvin Mondia</v>
      </c>
      <c r="F256" s="10" t="str">
        <f t="array" ref="F256">IF(
    OR(
      IFNA(INDEX(data!M:M, MATCH(Caseslist!B256, data!D:D, 0)), "") = "",
      IFNA(INDEX(data!M:M, MATCH(Caseslist!B256, data!D:D, 0)), 0) = 0
    ),
    "COMPLETE",
    IF(
      IFNA(INDEX(dataICM!D:D, MATCH(Caseslist!B256, dataICM!D:D, 0)), "INC") = "INC",
      IFNA(INDEX(dataICM!D:D, MATCH(Caseslist!B256, dataICM!D:D, 0)), "INC"),
      "COMPLETE"
    )
  )</f>
        <v>COMPLETE</v>
      </c>
      <c r="G256" s="10" t="str">
        <f t="array" ref="G256">IF(IFERROR(INDEX(data!L:L,match(Caseslist!B256,data!D:D,0)),"INC")="","COMPLETE",F256)</f>
        <v>COMPLETE</v>
      </c>
      <c r="H256" s="9" t="str">
        <f t="array" ref="H256">IFERROR(INDEX(dataICM!F:F,match(Caseslist!B256,dataICM!D:D,0)), "INC")</f>
        <v>INC</v>
      </c>
      <c r="I256" s="10" t="str">
        <f t="shared" si="2"/>
        <v>S2671943</v>
      </c>
      <c r="J256" s="9" t="str">
        <f t="array" ref="J256">IF(
  AND(
    IFERROR(MATCH(B256, data!D:D, 0), 0) &gt; 0,
    IFERROR(INDEX(data!N:N, MATCH(B256, data!D:D, 0)) = 1, FALSE)
  ),
  INDEX(data!C:C, MATCH(B256, data!D:D, 0)),
  "INC"
)</f>
        <v>INC</v>
      </c>
      <c r="K256" s="9" t="str">
        <f t="array" ref="K256">IFERROR(INDEX(dataICM!C:C,match(Caseslist!B256,dataICM!D:D,0)), "INC")</f>
        <v>INC</v>
      </c>
      <c r="L256" s="10" t="str">
        <f t="array" ref="L256">IF(AND(G256="COMPLETE", OR(K256="INC", ISBLANK(INDEX(data!O:O, ROW())))), J256, K256)</f>
        <v>INC</v>
      </c>
      <c r="M256" s="2" t="s">
        <v>8886</v>
      </c>
      <c r="N256" s="2" t="str">
        <f t="array" ref="N256">IF(M256&lt;&gt;"INC", INDEX(data!M:M, MATCH(B256, data!D:D, 0)), "")</f>
        <v/>
      </c>
      <c r="O256" s="2" t="str">
        <f t="shared" si="3"/>
        <v/>
      </c>
    </row>
    <row r="257">
      <c r="A257" s="2" t="str">
        <f t="shared" si="1"/>
        <v>H004596</v>
      </c>
      <c r="B257" s="1" t="s">
        <v>7308</v>
      </c>
      <c r="C257" s="9" t="str">
        <f t="array" ref="C257">IF(
  AND(
    IFERROR(MATCH(Caseslist!B257, data!D:D, 0), 0) &gt; 0,
    IFERROR(INDEX(data!N:N, MATCH(Caseslist!B257, data!D:D, 0)) = 1, FALSE)
  ),
  "COMPLETE",
  "INC"
)</f>
        <v>INC</v>
      </c>
      <c r="D257" s="9">
        <f t="array" ref="D257">IFERROR(INDEX(data!$G:$G,match(Caseslist!B257,data!$D:$D,0)), "INC")</f>
        <v>729375</v>
      </c>
      <c r="E257" s="9" t="str">
        <f t="array" ref="E257">IFERROR(INDEX(data!H:H,match(Caseslist!B257,data!D:D,0)), "INC")</f>
        <v>Janet Serafica_2</v>
      </c>
      <c r="F257" s="10" t="str">
        <f t="array" ref="F257">IF(
    OR(
      IFNA(INDEX(data!M:M, MATCH(Caseslist!B257, data!D:D, 0)), "") = "",
      IFNA(INDEX(data!M:M, MATCH(Caseslist!B257, data!D:D, 0)), 0) = 0
    ),
    "COMPLETE",
    IF(
      IFNA(INDEX(dataICM!D:D, MATCH(Caseslist!B257, dataICM!D:D, 0)), "INC") = "INC",
      IFNA(INDEX(dataICM!D:D, MATCH(Caseslist!B257, dataICM!D:D, 0)), "INC"),
      "COMPLETE"
    )
  )</f>
        <v>COMPLETE</v>
      </c>
      <c r="G257" s="10" t="str">
        <f t="array" ref="G257">IF(IFERROR(INDEX(data!L:L,match(Caseslist!B257,data!D:D,0)),"INC")="","COMPLETE",F257)</f>
        <v>COMPLETE</v>
      </c>
      <c r="H257" s="9" t="str">
        <f t="array" ref="H257">IFERROR(INDEX(dataICM!F:F,match(Caseslist!B257,dataICM!D:D,0)), "INC")</f>
        <v>INC</v>
      </c>
      <c r="I257" s="10">
        <f t="shared" si="2"/>
        <v>729375</v>
      </c>
      <c r="J257" s="9" t="str">
        <f t="array" ref="J257">IF(
  AND(
    IFERROR(MATCH(B257, data!D:D, 0), 0) &gt; 0,
    IFERROR(INDEX(data!N:N, MATCH(B257, data!D:D, 0)) = 1, FALSE)
  ),
  INDEX(data!C:C, MATCH(B257, data!D:D, 0)),
  "INC"
)</f>
        <v>INC</v>
      </c>
      <c r="K257" s="9" t="str">
        <f t="array" ref="K257">IFERROR(INDEX(dataICM!C:C,match(Caseslist!B257,dataICM!D:D,0)), "INC")</f>
        <v>INC</v>
      </c>
      <c r="L257" s="10" t="str">
        <f t="array" ref="L257">IF(AND(G257="COMPLETE", OR(K257="INC", ISBLANK(INDEX(data!O:O, ROW())))), J257, K257)</f>
        <v>INC</v>
      </c>
      <c r="M257" s="2" t="s">
        <v>8886</v>
      </c>
      <c r="N257" s="2" t="str">
        <f t="array" ref="N257">IF(M257&lt;&gt;"INC", INDEX(data!M:M, MATCH(B257, data!D:D, 0)), "")</f>
        <v/>
      </c>
      <c r="O257" s="2" t="str">
        <f t="shared" si="3"/>
        <v/>
      </c>
    </row>
    <row r="258">
      <c r="A258" s="2" t="str">
        <f t="shared" si="1"/>
        <v>H004596</v>
      </c>
      <c r="B258" s="1" t="s">
        <v>6898</v>
      </c>
      <c r="C258" s="9" t="str">
        <f t="array" ref="C258">IF(
  AND(
    IFERROR(MATCH(Caseslist!B258, data!D:D, 0), 0) &gt; 0,
    IFERROR(INDEX(data!N:N, MATCH(Caseslist!B258, data!D:D, 0)) = 1, FALSE)
  ),
  "COMPLETE",
  "INC"
)</f>
        <v>COMPLETE</v>
      </c>
      <c r="D258" s="9">
        <f t="array" ref="D258">IFERROR(INDEX(data!$G:$G,match(Caseslist!B258,data!$D:$D,0)), "INC")</f>
        <v>859767</v>
      </c>
      <c r="E258" s="9" t="str">
        <f t="array" ref="E258">IFERROR(INDEX(data!H:H,match(Caseslist!B258,data!D:D,0)), "INC")</f>
        <v>Ramie De Pedro Jr._2</v>
      </c>
      <c r="F258" s="10" t="str">
        <f t="array" ref="F258">IF(
    OR(
      IFNA(INDEX(data!M:M, MATCH(Caseslist!B258, data!D:D, 0)), "") = "",
      IFNA(INDEX(data!M:M, MATCH(Caseslist!B258, data!D:D, 0)), 0) = 0
    ),
    "COMPLETE",
    IF(
      IFNA(INDEX(dataICM!D:D, MATCH(Caseslist!B258, dataICM!D:D, 0)), "INC") = "INC",
      IFNA(INDEX(dataICM!D:D, MATCH(Caseslist!B258, dataICM!D:D, 0)), "INC"),
      "COMPLETE"
    )
  )</f>
        <v>COMPLETE</v>
      </c>
      <c r="G258" s="10" t="str">
        <f t="array" ref="G258">IF(IFERROR(INDEX(data!L:L,match(Caseslist!B258,data!D:D,0)),"INC")="","COMPLETE",F258)</f>
        <v>COMPLETE</v>
      </c>
      <c r="H258" s="9" t="str">
        <f t="array" ref="H258">IFERROR(INDEX(dataICM!F:F,match(Caseslist!B258,dataICM!D:D,0)), "INC")</f>
        <v>INC</v>
      </c>
      <c r="I258" s="10">
        <f t="shared" si="2"/>
        <v>859767</v>
      </c>
      <c r="J258" s="9" t="str">
        <f t="array" ref="J258">IF(
  AND(
    IFERROR(MATCH(B258, data!D:D, 0), 0) &gt; 0,
    IFERROR(INDEX(data!N:N, MATCH(B258, data!D:D, 0)) = 1, FALSE)
  ),
  INDEX(data!C:C, MATCH(B258, data!D:D, 0)),
  "INC"
)</f>
        <v>2025-09-17T13:25:53.303+08</v>
      </c>
      <c r="K258" s="9" t="str">
        <f t="array" ref="K258">IFERROR(INDEX(dataICM!C:C,match(Caseslist!B258,dataICM!D:D,0)), "INC")</f>
        <v>INC</v>
      </c>
      <c r="L258" s="10" t="str">
        <f t="array" ref="L258">IF(AND(G258="COMPLETE", OR(K258="INC", ISBLANK(INDEX(data!O:O, ROW())))), J258, K258)</f>
        <v>2025-09-17T13:25:53.303+08</v>
      </c>
      <c r="M258" s="2">
        <v>45917.0</v>
      </c>
      <c r="N258" s="2">
        <f t="array" ref="N258">IF(M258&lt;&gt;"INC", INDEX(data!M:M, MATCH(B258, data!D:D, 0)), "")</f>
        <v>0</v>
      </c>
      <c r="O258" s="2">
        <f t="shared" si="3"/>
        <v>0</v>
      </c>
    </row>
    <row r="259">
      <c r="A259" s="2" t="str">
        <f t="shared" si="1"/>
        <v>H004596</v>
      </c>
      <c r="B259" s="1" t="s">
        <v>7303</v>
      </c>
      <c r="C259" s="9" t="str">
        <f t="array" ref="C259">IF(
  AND(
    IFERROR(MATCH(Caseslist!B259, data!D:D, 0), 0) &gt; 0,
    IFERROR(INDEX(data!N:N, MATCH(Caseslist!B259, data!D:D, 0)) = 1, FALSE)
  ),
  "COMPLETE",
  "INC"
)</f>
        <v>COMPLETE</v>
      </c>
      <c r="D259" s="9">
        <f t="array" ref="D259">IFERROR(INDEX(data!$G:$G,match(Caseslist!B259,data!$D:$D,0)), "INC")</f>
        <v>729375</v>
      </c>
      <c r="E259" s="9" t="str">
        <f t="array" ref="E259">IFERROR(INDEX(data!H:H,match(Caseslist!B259,data!D:D,0)), "INC")</f>
        <v>Janet Serafica_2</v>
      </c>
      <c r="F259" s="10" t="str">
        <f t="array" ref="F259">IF(
    OR(
      IFNA(INDEX(data!M:M, MATCH(Caseslist!B259, data!D:D, 0)), "") = "",
      IFNA(INDEX(data!M:M, MATCH(Caseslist!B259, data!D:D, 0)), 0) = 0
    ),
    "COMPLETE",
    IF(
      IFNA(INDEX(dataICM!D:D, MATCH(Caseslist!B259, dataICM!D:D, 0)), "INC") = "INC",
      IFNA(INDEX(dataICM!D:D, MATCH(Caseslist!B259, dataICM!D:D, 0)), "INC"),
      "COMPLETE"
    )
  )</f>
        <v>COMPLETE</v>
      </c>
      <c r="G259" s="10" t="str">
        <f t="array" ref="G259">IF(IFERROR(INDEX(data!L:L,match(Caseslist!B259,data!D:D,0)),"INC")="","COMPLETE",F259)</f>
        <v>COMPLETE</v>
      </c>
      <c r="H259" s="9" t="str">
        <f t="array" ref="H259">IFERROR(INDEX(dataICM!F:F,match(Caseslist!B259,dataICM!D:D,0)), "INC")</f>
        <v>INC</v>
      </c>
      <c r="I259" s="10">
        <f t="shared" si="2"/>
        <v>729375</v>
      </c>
      <c r="J259" s="9" t="str">
        <f t="array" ref="J259">IF(
  AND(
    IFERROR(MATCH(B259, data!D:D, 0), 0) &gt; 0,
    IFERROR(INDEX(data!N:N, MATCH(B259, data!D:D, 0)) = 1, FALSE)
  ),
  INDEX(data!C:C, MATCH(B259, data!D:D, 0)),
  "INC"
)</f>
        <v>2025-09-18T10:50:41.818+08</v>
      </c>
      <c r="K259" s="9" t="str">
        <f t="array" ref="K259">IFERROR(INDEX(dataICM!C:C,match(Caseslist!B259,dataICM!D:D,0)), "INC")</f>
        <v>INC</v>
      </c>
      <c r="L259" s="10" t="str">
        <f t="array" ref="L259">IF(AND(G259="COMPLETE", OR(K259="INC", ISBLANK(INDEX(data!O:O, ROW())))), J259, K259)</f>
        <v>2025-09-18T10:50:41.818+08</v>
      </c>
      <c r="M259" s="2">
        <v>45918.0</v>
      </c>
      <c r="N259" s="2">
        <f t="array" ref="N259">IF(M259&lt;&gt;"INC", INDEX(data!M:M, MATCH(B259, data!D:D, 0)), "")</f>
        <v>0</v>
      </c>
      <c r="O259" s="2">
        <f t="shared" si="3"/>
        <v>0</v>
      </c>
    </row>
    <row r="260">
      <c r="A260" s="2" t="str">
        <f t="shared" si="1"/>
        <v>H004596</v>
      </c>
      <c r="B260" s="1" t="s">
        <v>6993</v>
      </c>
      <c r="C260" s="9" t="str">
        <f t="array" ref="C260">IF(
  AND(
    IFERROR(MATCH(Caseslist!B260, data!D:D, 0), 0) &gt; 0,
    IFERROR(INDEX(data!N:N, MATCH(Caseslist!B260, data!D:D, 0)) = 1, FALSE)
  ),
  "COMPLETE",
  "INC"
)</f>
        <v>COMPLETE</v>
      </c>
      <c r="D260" s="9">
        <f t="array" ref="D260">IFERROR(INDEX(data!$G:$G,match(Caseslist!B260,data!$D:$D,0)), "INC")</f>
        <v>729375</v>
      </c>
      <c r="E260" s="9" t="str">
        <f t="array" ref="E260">IFERROR(INDEX(data!H:H,match(Caseslist!B260,data!D:D,0)), "INC")</f>
        <v>Janet Serafica_2</v>
      </c>
      <c r="F260" s="10" t="str">
        <f t="array" ref="F260">IF(
    OR(
      IFNA(INDEX(data!M:M, MATCH(Caseslist!B260, data!D:D, 0)), "") = "",
      IFNA(INDEX(data!M:M, MATCH(Caseslist!B260, data!D:D, 0)), 0) = 0
    ),
    "COMPLETE",
    IF(
      IFNA(INDEX(dataICM!D:D, MATCH(Caseslist!B260, dataICM!D:D, 0)), "INC") = "INC",
      IFNA(INDEX(dataICM!D:D, MATCH(Caseslist!B260, dataICM!D:D, 0)), "INC"),
      "COMPLETE"
    )
  )</f>
        <v>COMPLETE</v>
      </c>
      <c r="G260" s="10" t="str">
        <f t="array" ref="G260">IF(IFERROR(INDEX(data!L:L,match(Caseslist!B260,data!D:D,0)),"INC")="","COMPLETE",F260)</f>
        <v>COMPLETE</v>
      </c>
      <c r="H260" s="9" t="str">
        <f t="array" ref="H260">IFERROR(INDEX(dataICM!F:F,match(Caseslist!B260,dataICM!D:D,0)), "INC")</f>
        <v>INC</v>
      </c>
      <c r="I260" s="10">
        <f t="shared" si="2"/>
        <v>729375</v>
      </c>
      <c r="J260" s="9" t="str">
        <f t="array" ref="J260">IF(
  AND(
    IFERROR(MATCH(B260, data!D:D, 0), 0) &gt; 0,
    IFERROR(INDEX(data!N:N, MATCH(B260, data!D:D, 0)) = 1, FALSE)
  ),
  INDEX(data!C:C, MATCH(B260, data!D:D, 0)),
  "INC"
)</f>
        <v>2025-09-17T10:41:52.654+08</v>
      </c>
      <c r="K260" s="9" t="str">
        <f t="array" ref="K260">IFERROR(INDEX(dataICM!C:C,match(Caseslist!B260,dataICM!D:D,0)), "INC")</f>
        <v>INC</v>
      </c>
      <c r="L260" s="10" t="str">
        <f t="array" ref="L260">IF(AND(G260="COMPLETE", OR(K260="INC", ISBLANK(INDEX(data!O:O, ROW())))), J260, K260)</f>
        <v>2025-09-17T10:41:52.654+08</v>
      </c>
      <c r="M260" s="2">
        <v>45917.0</v>
      </c>
      <c r="N260" s="2">
        <f t="array" ref="N260">IF(M260&lt;&gt;"INC", INDEX(data!M:M, MATCH(B260, data!D:D, 0)), "")</f>
        <v>0</v>
      </c>
      <c r="O260" s="2">
        <f t="shared" si="3"/>
        <v>0</v>
      </c>
    </row>
    <row r="261">
      <c r="A261" s="2" t="str">
        <f t="shared" si="1"/>
        <v>H004680</v>
      </c>
      <c r="B261" s="1" t="s">
        <v>7418</v>
      </c>
      <c r="C261" s="9" t="str">
        <f t="array" ref="C261">IF(
  AND(
    IFERROR(MATCH(Caseslist!B261, data!D:D, 0), 0) &gt; 0,
    IFERROR(INDEX(data!N:N, MATCH(Caseslist!B261, data!D:D, 0)) = 1, FALSE)
  ),
  "COMPLETE",
  "INC"
)</f>
        <v>COMPLETE</v>
      </c>
      <c r="D261" s="9">
        <f t="array" ref="D261">IFERROR(INDEX(data!$G:$G,match(Caseslist!B261,data!$D:$D,0)), "INC")</f>
        <v>555127</v>
      </c>
      <c r="E261" s="9" t="str">
        <f t="array" ref="E261">IFERROR(INDEX(data!H:H,match(Caseslist!B261,data!D:D,0)), "INC")</f>
        <v>Mary May_2</v>
      </c>
      <c r="F261" s="10" t="str">
        <f t="array" ref="F261">IF(
    OR(
      IFNA(INDEX(data!M:M, MATCH(Caseslist!B261, data!D:D, 0)), "") = "",
      IFNA(INDEX(data!M:M, MATCH(Caseslist!B261, data!D:D, 0)), 0) = 0
    ),
    "COMPLETE",
    IF(
      IFNA(INDEX(dataICM!D:D, MATCH(Caseslist!B261, dataICM!D:D, 0)), "INC") = "INC",
      IFNA(INDEX(dataICM!D:D, MATCH(Caseslist!B261, dataICM!D:D, 0)), "INC"),
      "COMPLETE"
    )
  )</f>
        <v>COMPLETE</v>
      </c>
      <c r="G261" s="10" t="str">
        <f t="array" ref="G261">IF(IFERROR(INDEX(data!L:L,match(Caseslist!B261,data!D:D,0)),"INC")="","COMPLETE",F261)</f>
        <v>COMPLETE</v>
      </c>
      <c r="H261" s="9" t="str">
        <f t="array" ref="H261">IFERROR(INDEX(dataICM!F:F,match(Caseslist!B261,dataICM!D:D,0)), "INC")</f>
        <v>INC</v>
      </c>
      <c r="I261" s="10">
        <f t="shared" si="2"/>
        <v>555127</v>
      </c>
      <c r="J261" s="9" t="str">
        <f t="array" ref="J261">IF(
  AND(
    IFERROR(MATCH(B261, data!D:D, 0), 0) &gt; 0,
    IFERROR(INDEX(data!N:N, MATCH(B261, data!D:D, 0)) = 1, FALSE)
  ),
  INDEX(data!C:C, MATCH(B261, data!D:D, 0)),
  "INC"
)</f>
        <v>2025-09-19T09:51:27.951+08</v>
      </c>
      <c r="K261" s="9" t="str">
        <f t="array" ref="K261">IFERROR(INDEX(dataICM!C:C,match(Caseslist!B261,dataICM!D:D,0)), "INC")</f>
        <v>INC</v>
      </c>
      <c r="L261" s="10" t="str">
        <f t="array" ref="L261">IF(AND(G261="COMPLETE", OR(K261="INC", ISBLANK(INDEX(data!O:O, ROW())))), J261, K261)</f>
        <v>2025-09-19T09:51:27.951+08</v>
      </c>
      <c r="M261" s="2">
        <v>45919.0</v>
      </c>
      <c r="N261" s="2">
        <f t="array" ref="N261">IF(M261&lt;&gt;"INC", INDEX(data!M:M, MATCH(B261, data!D:D, 0)), "")</f>
        <v>0</v>
      </c>
      <c r="O261" s="2">
        <f t="shared" si="3"/>
        <v>0</v>
      </c>
    </row>
    <row r="262">
      <c r="A262" s="2" t="str">
        <f t="shared" si="1"/>
        <v>H004680</v>
      </c>
      <c r="B262" s="1" t="s">
        <v>7393</v>
      </c>
      <c r="C262" s="9" t="str">
        <f t="array" ref="C262">IF(
  AND(
    IFERROR(MATCH(Caseslist!B262, data!D:D, 0), 0) &gt; 0,
    IFERROR(INDEX(data!N:N, MATCH(Caseslist!B262, data!D:D, 0)) = 1, FALSE)
  ),
  "COMPLETE",
  "INC"
)</f>
        <v>COMPLETE</v>
      </c>
      <c r="D262" s="9">
        <f t="array" ref="D262">IFERROR(INDEX(data!$G:$G,match(Caseslist!B262,data!$D:$D,0)), "INC")</f>
        <v>841329</v>
      </c>
      <c r="E262" s="9" t="str">
        <f t="array" ref="E262">IFERROR(INDEX(data!H:H,match(Caseslist!B262,data!D:D,0)), "INC")</f>
        <v>Aila Eli_2</v>
      </c>
      <c r="F262" s="10" t="str">
        <f t="array" ref="F262">IF(
    OR(
      IFNA(INDEX(data!M:M, MATCH(Caseslist!B262, data!D:D, 0)), "") = "",
      IFNA(INDEX(data!M:M, MATCH(Caseslist!B262, data!D:D, 0)), 0) = 0
    ),
    "COMPLETE",
    IF(
      IFNA(INDEX(dataICM!D:D, MATCH(Caseslist!B262, dataICM!D:D, 0)), "INC") = "INC",
      IFNA(INDEX(dataICM!D:D, MATCH(Caseslist!B262, dataICM!D:D, 0)), "INC"),
      "COMPLETE"
    )
  )</f>
        <v>COMPLETE</v>
      </c>
      <c r="G262" s="10" t="str">
        <f t="array" ref="G262">IF(IFERROR(INDEX(data!L:L,match(Caseslist!B262,data!D:D,0)),"INC")="","COMPLETE",F262)</f>
        <v>COMPLETE</v>
      </c>
      <c r="H262" s="9" t="str">
        <f t="array" ref="H262">IFERROR(INDEX(dataICM!F:F,match(Caseslist!B262,dataICM!D:D,0)), "INC")</f>
        <v>INC</v>
      </c>
      <c r="I262" s="10">
        <f t="shared" si="2"/>
        <v>841329</v>
      </c>
      <c r="J262" s="9" t="str">
        <f t="array" ref="J262">IF(
  AND(
    IFERROR(MATCH(B262, data!D:D, 0), 0) &gt; 0,
    IFERROR(INDEX(data!N:N, MATCH(B262, data!D:D, 0)) = 1, FALSE)
  ),
  INDEX(data!C:C, MATCH(B262, data!D:D, 0)),
  "INC"
)</f>
        <v>2025-09-19T10:18:44.415+08</v>
      </c>
      <c r="K262" s="9" t="str">
        <f t="array" ref="K262">IFERROR(INDEX(dataICM!C:C,match(Caseslist!B262,dataICM!D:D,0)), "INC")</f>
        <v>INC</v>
      </c>
      <c r="L262" s="10" t="str">
        <f t="array" ref="L262">IF(AND(G262="COMPLETE", OR(K262="INC", ISBLANK(INDEX(data!O:O, ROW())))), J262, K262)</f>
        <v>2025-09-19T10:18:44.415+08</v>
      </c>
      <c r="M262" s="2">
        <v>45919.0</v>
      </c>
      <c r="N262" s="2">
        <f t="array" ref="N262">IF(M262&lt;&gt;"INC", INDEX(data!M:M, MATCH(B262, data!D:D, 0)), "")</f>
        <v>0</v>
      </c>
      <c r="O262" s="2">
        <f t="shared" si="3"/>
        <v>0</v>
      </c>
    </row>
    <row r="263">
      <c r="A263" s="2" t="str">
        <f t="shared" si="1"/>
        <v>H004680</v>
      </c>
      <c r="B263" s="1" t="s">
        <v>7403</v>
      </c>
      <c r="C263" s="9" t="str">
        <f t="array" ref="C263">IF(
  AND(
    IFERROR(MATCH(Caseslist!B263, data!D:D, 0), 0) &gt; 0,
    IFERROR(INDEX(data!N:N, MATCH(Caseslist!B263, data!D:D, 0)) = 1, FALSE)
  ),
  "COMPLETE",
  "INC"
)</f>
        <v>COMPLETE</v>
      </c>
      <c r="D263" s="9">
        <f t="array" ref="D263">IFERROR(INDEX(data!$G:$G,match(Caseslist!B263,data!$D:$D,0)), "INC")</f>
        <v>555127</v>
      </c>
      <c r="E263" s="9" t="str">
        <f t="array" ref="E263">IFERROR(INDEX(data!H:H,match(Caseslist!B263,data!D:D,0)), "INC")</f>
        <v>Mary May_2</v>
      </c>
      <c r="F263" s="10" t="str">
        <f t="array" ref="F263">IF(
    OR(
      IFNA(INDEX(data!M:M, MATCH(Caseslist!B263, data!D:D, 0)), "") = "",
      IFNA(INDEX(data!M:M, MATCH(Caseslist!B263, data!D:D, 0)), 0) = 0
    ),
    "COMPLETE",
    IF(
      IFNA(INDEX(dataICM!D:D, MATCH(Caseslist!B263, dataICM!D:D, 0)), "INC") = "INC",
      IFNA(INDEX(dataICM!D:D, MATCH(Caseslist!B263, dataICM!D:D, 0)), "INC"),
      "COMPLETE"
    )
  )</f>
        <v>COMPLETE</v>
      </c>
      <c r="G263" s="10" t="str">
        <f t="array" ref="G263">IF(IFERROR(INDEX(data!L:L,match(Caseslist!B263,data!D:D,0)),"INC")="","COMPLETE",F263)</f>
        <v>COMPLETE</v>
      </c>
      <c r="H263" s="9" t="str">
        <f t="array" ref="H263">IFERROR(INDEX(dataICM!F:F,match(Caseslist!B263,dataICM!D:D,0)), "INC")</f>
        <v>INC</v>
      </c>
      <c r="I263" s="10">
        <f t="shared" si="2"/>
        <v>555127</v>
      </c>
      <c r="J263" s="9" t="str">
        <f t="array" ref="J263">IF(
  AND(
    IFERROR(MATCH(B263, data!D:D, 0), 0) &gt; 0,
    IFERROR(INDEX(data!N:N, MATCH(B263, data!D:D, 0)) = 1, FALSE)
  ),
  INDEX(data!C:C, MATCH(B263, data!D:D, 0)),
  "INC"
)</f>
        <v>2025-09-19T11:53:38.690+08</v>
      </c>
      <c r="K263" s="9" t="str">
        <f t="array" ref="K263">IFERROR(INDEX(dataICM!C:C,match(Caseslist!B263,dataICM!D:D,0)), "INC")</f>
        <v>INC</v>
      </c>
      <c r="L263" s="10" t="str">
        <f t="array" ref="L263">IF(AND(G263="COMPLETE", OR(K263="INC", ISBLANK(INDEX(data!O:O, ROW())))), J263, K263)</f>
        <v>2025-09-19T11:53:38.690+08</v>
      </c>
      <c r="M263" s="2">
        <v>45919.0</v>
      </c>
      <c r="N263" s="2">
        <f t="array" ref="N263">IF(M263&lt;&gt;"INC", INDEX(data!M:M, MATCH(B263, data!D:D, 0)), "")</f>
        <v>0</v>
      </c>
      <c r="O263" s="2">
        <f t="shared" si="3"/>
        <v>0</v>
      </c>
    </row>
    <row r="264">
      <c r="A264" s="2" t="str">
        <f t="shared" si="1"/>
        <v>H004680</v>
      </c>
      <c r="B264" s="1" t="s">
        <v>7413</v>
      </c>
      <c r="C264" s="9" t="str">
        <f t="array" ref="C264">IF(
  AND(
    IFERROR(MATCH(Caseslist!B264, data!D:D, 0), 0) &gt; 0,
    IFERROR(INDEX(data!N:N, MATCH(Caseslist!B264, data!D:D, 0)) = 1, FALSE)
  ),
  "COMPLETE",
  "INC"
)</f>
        <v>COMPLETE</v>
      </c>
      <c r="D264" s="9">
        <f t="array" ref="D264">IFERROR(INDEX(data!$G:$G,match(Caseslist!B264,data!$D:$D,0)), "INC")</f>
        <v>555127</v>
      </c>
      <c r="E264" s="9" t="str">
        <f t="array" ref="E264">IFERROR(INDEX(data!H:H,match(Caseslist!B264,data!D:D,0)), "INC")</f>
        <v>Mary May_2</v>
      </c>
      <c r="F264" s="10" t="str">
        <f t="array" ref="F264">IF(
    OR(
      IFNA(INDEX(data!M:M, MATCH(Caseslist!B264, data!D:D, 0)), "") = "",
      IFNA(INDEX(data!M:M, MATCH(Caseslist!B264, data!D:D, 0)), 0) = 0
    ),
    "COMPLETE",
    IF(
      IFNA(INDEX(dataICM!D:D, MATCH(Caseslist!B264, dataICM!D:D, 0)), "INC") = "INC",
      IFNA(INDEX(dataICM!D:D, MATCH(Caseslist!B264, dataICM!D:D, 0)), "INC"),
      "COMPLETE"
    )
  )</f>
        <v>COMPLETE</v>
      </c>
      <c r="G264" s="10" t="str">
        <f t="array" ref="G264">IF(IFERROR(INDEX(data!L:L,match(Caseslist!B264,data!D:D,0)),"INC")="","COMPLETE",F264)</f>
        <v>COMPLETE</v>
      </c>
      <c r="H264" s="9" t="str">
        <f t="array" ref="H264">IFERROR(INDEX(dataICM!F:F,match(Caseslist!B264,dataICM!D:D,0)), "INC")</f>
        <v>INC</v>
      </c>
      <c r="I264" s="10">
        <f t="shared" si="2"/>
        <v>555127</v>
      </c>
      <c r="J264" s="9" t="str">
        <f t="array" ref="J264">IF(
  AND(
    IFERROR(MATCH(B264, data!D:D, 0), 0) &gt; 0,
    IFERROR(INDEX(data!N:N, MATCH(B264, data!D:D, 0)) = 1, FALSE)
  ),
  INDEX(data!C:C, MATCH(B264, data!D:D, 0)),
  "INC"
)</f>
        <v>2025-09-19T17:47:59.586+08</v>
      </c>
      <c r="K264" s="9" t="str">
        <f t="array" ref="K264">IFERROR(INDEX(dataICM!C:C,match(Caseslist!B264,dataICM!D:D,0)), "INC")</f>
        <v>INC</v>
      </c>
      <c r="L264" s="10" t="str">
        <f t="array" ref="L264">IF(AND(G264="COMPLETE", OR(K264="INC", ISBLANK(INDEX(data!O:O, ROW())))), J264, K264)</f>
        <v>2025-09-19T17:47:59.586+08</v>
      </c>
      <c r="M264" s="2">
        <v>45919.0</v>
      </c>
      <c r="N264" s="2">
        <f t="array" ref="N264">IF(M264&lt;&gt;"INC", INDEX(data!M:M, MATCH(B264, data!D:D, 0)), "")</f>
        <v>0</v>
      </c>
      <c r="O264" s="2">
        <f t="shared" si="3"/>
        <v>0</v>
      </c>
    </row>
    <row r="265">
      <c r="A265" s="2" t="str">
        <f t="shared" si="1"/>
        <v>H004680</v>
      </c>
      <c r="B265" s="1" t="s">
        <v>7388</v>
      </c>
      <c r="C265" s="9" t="str">
        <f t="array" ref="C265">IF(
  AND(
    IFERROR(MATCH(Caseslist!B265, data!D:D, 0), 0) &gt; 0,
    IFERROR(INDEX(data!N:N, MATCH(Caseslist!B265, data!D:D, 0)) = 1, FALSE)
  ),
  "COMPLETE",
  "INC"
)</f>
        <v>COMPLETE</v>
      </c>
      <c r="D265" s="9">
        <f t="array" ref="D265">IFERROR(INDEX(data!$G:$G,match(Caseslist!B265,data!$D:$D,0)), "INC")</f>
        <v>841329</v>
      </c>
      <c r="E265" s="9" t="str">
        <f t="array" ref="E265">IFERROR(INDEX(data!H:H,match(Caseslist!B265,data!D:D,0)), "INC")</f>
        <v>Aila Eli_2</v>
      </c>
      <c r="F265" s="10" t="str">
        <f t="array" ref="F265">IF(
    OR(
      IFNA(INDEX(data!M:M, MATCH(Caseslist!B265, data!D:D, 0)), "") = "",
      IFNA(INDEX(data!M:M, MATCH(Caseslist!B265, data!D:D, 0)), 0) = 0
    ),
    "COMPLETE",
    IF(
      IFNA(INDEX(dataICM!D:D, MATCH(Caseslist!B265, dataICM!D:D, 0)), "INC") = "INC",
      IFNA(INDEX(dataICM!D:D, MATCH(Caseslist!B265, dataICM!D:D, 0)), "INC"),
      "COMPLETE"
    )
  )</f>
        <v>COMPLETE</v>
      </c>
      <c r="G265" s="10" t="str">
        <f t="array" ref="G265">IF(IFERROR(INDEX(data!L:L,match(Caseslist!B265,data!D:D,0)),"INC")="","COMPLETE",F265)</f>
        <v>COMPLETE</v>
      </c>
      <c r="H265" s="9" t="str">
        <f t="array" ref="H265">IFERROR(INDEX(dataICM!F:F,match(Caseslist!B265,dataICM!D:D,0)), "INC")</f>
        <v>INC</v>
      </c>
      <c r="I265" s="10">
        <f t="shared" si="2"/>
        <v>841329</v>
      </c>
      <c r="J265" s="9" t="str">
        <f t="array" ref="J265">IF(
  AND(
    IFERROR(MATCH(B265, data!D:D, 0), 0) &gt; 0,
    IFERROR(INDEX(data!N:N, MATCH(B265, data!D:D, 0)) = 1, FALSE)
  ),
  INDEX(data!C:C, MATCH(B265, data!D:D, 0)),
  "INC"
)</f>
        <v>2025-09-19T09:13:34.324+08</v>
      </c>
      <c r="K265" s="9" t="str">
        <f t="array" ref="K265">IFERROR(INDEX(dataICM!C:C,match(Caseslist!B265,dataICM!D:D,0)), "INC")</f>
        <v>INC</v>
      </c>
      <c r="L265" s="10" t="str">
        <f t="array" ref="L265">IF(AND(G265="COMPLETE", OR(K265="INC", ISBLANK(INDEX(data!O:O, ROW())))), J265, K265)</f>
        <v>2025-09-19T09:13:34.324+08</v>
      </c>
      <c r="M265" s="2">
        <v>45919.0</v>
      </c>
      <c r="N265" s="2">
        <f t="array" ref="N265">IF(M265&lt;&gt;"INC", INDEX(data!M:M, MATCH(B265, data!D:D, 0)), "")</f>
        <v>0</v>
      </c>
      <c r="O265" s="2">
        <f t="shared" si="3"/>
        <v>0</v>
      </c>
    </row>
    <row r="266">
      <c r="A266" s="2" t="str">
        <f t="shared" si="1"/>
        <v>H004680</v>
      </c>
      <c r="B266" s="1" t="s">
        <v>7708</v>
      </c>
      <c r="C266" s="9" t="str">
        <f t="array" ref="C266">IF(
  AND(
    IFERROR(MATCH(Caseslist!B266, data!D:D, 0), 0) &gt; 0,
    IFERROR(INDEX(data!N:N, MATCH(Caseslist!B266, data!D:D, 0)) = 1, FALSE)
  ),
  "COMPLETE",
  "INC"
)</f>
        <v>COMPLETE</v>
      </c>
      <c r="D266" s="9">
        <f t="array" ref="D266">IFERROR(INDEX(data!$G:$G,match(Caseslist!B266,data!$D:$D,0)), "INC")</f>
        <v>841329</v>
      </c>
      <c r="E266" s="9" t="str">
        <f t="array" ref="E266">IFERROR(INDEX(data!H:H,match(Caseslist!B266,data!D:D,0)), "INC")</f>
        <v>Aila Eli_2</v>
      </c>
      <c r="F266" s="10" t="str">
        <f t="array" ref="F266">IF(
    OR(
      IFNA(INDEX(data!M:M, MATCH(Caseslist!B266, data!D:D, 0)), "") = "",
      IFNA(INDEX(data!M:M, MATCH(Caseslist!B266, data!D:D, 0)), 0) = 0
    ),
    "COMPLETE",
    IF(
      IFNA(INDEX(dataICM!D:D, MATCH(Caseslist!B266, dataICM!D:D, 0)), "INC") = "INC",
      IFNA(INDEX(dataICM!D:D, MATCH(Caseslist!B266, dataICM!D:D, 0)), "INC"),
      "COMPLETE"
    )
  )</f>
        <v>COMPLETE</v>
      </c>
      <c r="G266" s="10" t="str">
        <f t="array" ref="G266">IF(IFERROR(INDEX(data!L:L,match(Caseslist!B266,data!D:D,0)),"INC")="","COMPLETE",F266)</f>
        <v>COMPLETE</v>
      </c>
      <c r="H266" s="9" t="str">
        <f t="array" ref="H266">IFERROR(INDEX(dataICM!F:F,match(Caseslist!B266,dataICM!D:D,0)), "INC")</f>
        <v>INC</v>
      </c>
      <c r="I266" s="10">
        <f t="shared" si="2"/>
        <v>841329</v>
      </c>
      <c r="J266" s="9" t="str">
        <f t="array" ref="J266">IF(
  AND(
    IFERROR(MATCH(B266, data!D:D, 0), 0) &gt; 0,
    IFERROR(INDEX(data!N:N, MATCH(B266, data!D:D, 0)) = 1, FALSE)
  ),
  INDEX(data!C:C, MATCH(B266, data!D:D, 0)),
  "INC"
)</f>
        <v>2025-09-20T10:05:06.387+08</v>
      </c>
      <c r="K266" s="9" t="str">
        <f t="array" ref="K266">IFERROR(INDEX(dataICM!C:C,match(Caseslist!B266,dataICM!D:D,0)), "INC")</f>
        <v>INC</v>
      </c>
      <c r="L266" s="10" t="str">
        <f t="array" ref="L266">IF(AND(G266="COMPLETE", OR(K266="INC", ISBLANK(INDEX(data!O:O, ROW())))), J266, K266)</f>
        <v>2025-09-20T10:05:06.387+08</v>
      </c>
      <c r="M266" s="2">
        <v>45920.0</v>
      </c>
      <c r="N266" s="2">
        <f t="array" ref="N266">IF(M266&lt;&gt;"INC", INDEX(data!M:M, MATCH(B266, data!D:D, 0)), "")</f>
        <v>0</v>
      </c>
      <c r="O266" s="2">
        <f t="shared" si="3"/>
        <v>0</v>
      </c>
    </row>
    <row r="267">
      <c r="A267" s="2" t="str">
        <f t="shared" si="1"/>
        <v>H004680</v>
      </c>
      <c r="B267" s="1" t="s">
        <v>7433</v>
      </c>
      <c r="C267" s="9" t="str">
        <f t="array" ref="C267">IF(
  AND(
    IFERROR(MATCH(Caseslist!B267, data!D:D, 0), 0) &gt; 0,
    IFERROR(INDEX(data!N:N, MATCH(Caseslist!B267, data!D:D, 0)) = 1, FALSE)
  ),
  "COMPLETE",
  "INC"
)</f>
        <v>COMPLETE</v>
      </c>
      <c r="D267" s="9">
        <f t="array" ref="D267">IFERROR(INDEX(data!$G:$G,match(Caseslist!B267,data!$D:$D,0)), "INC")</f>
        <v>455939</v>
      </c>
      <c r="E267" s="9" t="str">
        <f t="array" ref="E267">IFERROR(INDEX(data!H:H,match(Caseslist!B267,data!D:D,0)), "INC")</f>
        <v>Mary Jean Villaflor_2</v>
      </c>
      <c r="F267" s="10" t="str">
        <f t="array" ref="F267">IF(
    OR(
      IFNA(INDEX(data!M:M, MATCH(Caseslist!B267, data!D:D, 0)), "") = "",
      IFNA(INDEX(data!M:M, MATCH(Caseslist!B267, data!D:D, 0)), 0) = 0
    ),
    "COMPLETE",
    IF(
      IFNA(INDEX(dataICM!D:D, MATCH(Caseslist!B267, dataICM!D:D, 0)), "INC") = "INC",
      IFNA(INDEX(dataICM!D:D, MATCH(Caseslist!B267, dataICM!D:D, 0)), "INC"),
      "COMPLETE"
    )
  )</f>
        <v>COMPLETE</v>
      </c>
      <c r="G267" s="10" t="str">
        <f t="array" ref="G267">IF(IFERROR(INDEX(data!L:L,match(Caseslist!B267,data!D:D,0)),"INC")="","COMPLETE",F267)</f>
        <v>COMPLETE</v>
      </c>
      <c r="H267" s="9" t="str">
        <f t="array" ref="H267">IFERROR(INDEX(dataICM!F:F,match(Caseslist!B267,dataICM!D:D,0)), "INC")</f>
        <v>INC</v>
      </c>
      <c r="I267" s="10">
        <f t="shared" si="2"/>
        <v>455939</v>
      </c>
      <c r="J267" s="9" t="str">
        <f t="array" ref="J267">IF(
  AND(
    IFERROR(MATCH(B267, data!D:D, 0), 0) &gt; 0,
    IFERROR(INDEX(data!N:N, MATCH(B267, data!D:D, 0)) = 1, FALSE)
  ),
  INDEX(data!C:C, MATCH(B267, data!D:D, 0)),
  "INC"
)</f>
        <v>2025-09-19T11:51:35.889+08</v>
      </c>
      <c r="K267" s="9" t="str">
        <f t="array" ref="K267">IFERROR(INDEX(dataICM!C:C,match(Caseslist!B267,dataICM!D:D,0)), "INC")</f>
        <v>INC</v>
      </c>
      <c r="L267" s="10" t="str">
        <f t="array" ref="L267">IF(AND(G267="COMPLETE", OR(K267="INC", ISBLANK(INDEX(data!O:O, ROW())))), J267, K267)</f>
        <v>2025-09-19T11:51:35.889+08</v>
      </c>
      <c r="M267" s="2">
        <v>45919.0</v>
      </c>
      <c r="N267" s="2">
        <f t="array" ref="N267">IF(M267&lt;&gt;"INC", INDEX(data!M:M, MATCH(B267, data!D:D, 0)), "")</f>
        <v>0</v>
      </c>
      <c r="O267" s="2">
        <f t="shared" si="3"/>
        <v>0</v>
      </c>
    </row>
    <row r="268">
      <c r="A268" s="2" t="str">
        <f t="shared" si="1"/>
        <v>H004680</v>
      </c>
      <c r="B268" s="1" t="s">
        <v>7398</v>
      </c>
      <c r="C268" s="9" t="str">
        <f t="array" ref="C268">IF(
  AND(
    IFERROR(MATCH(Caseslist!B268, data!D:D, 0), 0) &gt; 0,
    IFERROR(INDEX(data!N:N, MATCH(Caseslist!B268, data!D:D, 0)) = 1, FALSE)
  ),
  "COMPLETE",
  "INC"
)</f>
        <v>COMPLETE</v>
      </c>
      <c r="D268" s="9">
        <f t="array" ref="D268">IFERROR(INDEX(data!$G:$G,match(Caseslist!B268,data!$D:$D,0)), "INC")</f>
        <v>841329</v>
      </c>
      <c r="E268" s="9" t="str">
        <f t="array" ref="E268">IFERROR(INDEX(data!H:H,match(Caseslist!B268,data!D:D,0)), "INC")</f>
        <v>Aila Eli_2</v>
      </c>
      <c r="F268" s="10" t="str">
        <f t="array" ref="F268">IF(
    OR(
      IFNA(INDEX(data!M:M, MATCH(Caseslist!B268, data!D:D, 0)), "") = "",
      IFNA(INDEX(data!M:M, MATCH(Caseslist!B268, data!D:D, 0)), 0) = 0
    ),
    "COMPLETE",
    IF(
      IFNA(INDEX(dataICM!D:D, MATCH(Caseslist!B268, dataICM!D:D, 0)), "INC") = "INC",
      IFNA(INDEX(dataICM!D:D, MATCH(Caseslist!B268, dataICM!D:D, 0)), "INC"),
      "COMPLETE"
    )
  )</f>
        <v>COMPLETE</v>
      </c>
      <c r="G268" s="10" t="str">
        <f t="array" ref="G268">IF(IFERROR(INDEX(data!L:L,match(Caseslist!B268,data!D:D,0)),"INC")="","COMPLETE",F268)</f>
        <v>COMPLETE</v>
      </c>
      <c r="H268" s="9" t="str">
        <f t="array" ref="H268">IFERROR(INDEX(dataICM!F:F,match(Caseslist!B268,dataICM!D:D,0)), "INC")</f>
        <v>INC</v>
      </c>
      <c r="I268" s="10">
        <f t="shared" si="2"/>
        <v>841329</v>
      </c>
      <c r="J268" s="9" t="str">
        <f t="array" ref="J268">IF(
  AND(
    IFERROR(MATCH(B268, data!D:D, 0), 0) &gt; 0,
    IFERROR(INDEX(data!N:N, MATCH(B268, data!D:D, 0)) = 1, FALSE)
  ),
  INDEX(data!C:C, MATCH(B268, data!D:D, 0)),
  "INC"
)</f>
        <v>2025-09-19T11:46:43.531+08</v>
      </c>
      <c r="K268" s="9" t="str">
        <f t="array" ref="K268">IFERROR(INDEX(dataICM!C:C,match(Caseslist!B268,dataICM!D:D,0)), "INC")</f>
        <v>INC</v>
      </c>
      <c r="L268" s="10" t="str">
        <f t="array" ref="L268">IF(AND(G268="COMPLETE", OR(K268="INC", ISBLANK(INDEX(data!O:O, ROW())))), J268, K268)</f>
        <v>2025-09-19T11:46:43.531+08</v>
      </c>
      <c r="M268" s="2">
        <v>45919.0</v>
      </c>
      <c r="N268" s="2">
        <f t="array" ref="N268">IF(M268&lt;&gt;"INC", INDEX(data!M:M, MATCH(B268, data!D:D, 0)), "")</f>
        <v>0</v>
      </c>
      <c r="O268" s="2">
        <f t="shared" si="3"/>
        <v>0</v>
      </c>
    </row>
    <row r="269">
      <c r="A269" s="2" t="str">
        <f t="shared" si="1"/>
        <v>H004680</v>
      </c>
      <c r="B269" s="1" t="s">
        <v>7713</v>
      </c>
      <c r="C269" s="9" t="str">
        <f t="array" ref="C269">IF(
  AND(
    IFERROR(MATCH(Caseslist!B269, data!D:D, 0), 0) &gt; 0,
    IFERROR(INDEX(data!N:N, MATCH(Caseslist!B269, data!D:D, 0)) = 1, FALSE)
  ),
  "COMPLETE",
  "INC"
)</f>
        <v>COMPLETE</v>
      </c>
      <c r="D269" s="9">
        <f t="array" ref="D269">IFERROR(INDEX(data!$G:$G,match(Caseslist!B269,data!$D:$D,0)), "INC")</f>
        <v>841329</v>
      </c>
      <c r="E269" s="9" t="str">
        <f t="array" ref="E269">IFERROR(INDEX(data!H:H,match(Caseslist!B269,data!D:D,0)), "INC")</f>
        <v>Aila Eli_2</v>
      </c>
      <c r="F269" s="10" t="str">
        <f t="array" ref="F269">IF(
    OR(
      IFNA(INDEX(data!M:M, MATCH(Caseslist!B269, data!D:D, 0)), "") = "",
      IFNA(INDEX(data!M:M, MATCH(Caseslist!B269, data!D:D, 0)), 0) = 0
    ),
    "COMPLETE",
    IF(
      IFNA(INDEX(dataICM!D:D, MATCH(Caseslist!B269, dataICM!D:D, 0)), "INC") = "INC",
      IFNA(INDEX(dataICM!D:D, MATCH(Caseslist!B269, dataICM!D:D, 0)), "INC"),
      "COMPLETE"
    )
  )</f>
        <v>COMPLETE</v>
      </c>
      <c r="G269" s="10" t="str">
        <f t="array" ref="G269">IF(IFERROR(INDEX(data!L:L,match(Caseslist!B269,data!D:D,0)),"INC")="","COMPLETE",F269)</f>
        <v>COMPLETE</v>
      </c>
      <c r="H269" s="9" t="str">
        <f t="array" ref="H269">IFERROR(INDEX(dataICM!F:F,match(Caseslist!B269,dataICM!D:D,0)), "INC")</f>
        <v>INC</v>
      </c>
      <c r="I269" s="10">
        <f t="shared" si="2"/>
        <v>841329</v>
      </c>
      <c r="J269" s="9" t="str">
        <f t="array" ref="J269">IF(
  AND(
    IFERROR(MATCH(B269, data!D:D, 0), 0) &gt; 0,
    IFERROR(INDEX(data!N:N, MATCH(B269, data!D:D, 0)) = 1, FALSE)
  ),
  INDEX(data!C:C, MATCH(B269, data!D:D, 0)),
  "INC"
)</f>
        <v>2025-09-20T12:12:57.268+08</v>
      </c>
      <c r="K269" s="9" t="str">
        <f t="array" ref="K269">IFERROR(INDEX(dataICM!C:C,match(Caseslist!B269,dataICM!D:D,0)), "INC")</f>
        <v>INC</v>
      </c>
      <c r="L269" s="10" t="str">
        <f t="array" ref="L269">IF(AND(G269="COMPLETE", OR(K269="INC", ISBLANK(INDEX(data!O:O, ROW())))), J269, K269)</f>
        <v>2025-09-20T12:12:57.268+08</v>
      </c>
      <c r="M269" s="2">
        <v>45920.0</v>
      </c>
      <c r="N269" s="2">
        <f t="array" ref="N269">IF(M269&lt;&gt;"INC", INDEX(data!M:M, MATCH(B269, data!D:D, 0)), "")</f>
        <v>0</v>
      </c>
      <c r="O269" s="2">
        <f t="shared" si="3"/>
        <v>0</v>
      </c>
    </row>
    <row r="270">
      <c r="A270" s="2" t="str">
        <f t="shared" si="1"/>
        <v>H004680</v>
      </c>
      <c r="B270" s="1" t="s">
        <v>7428</v>
      </c>
      <c r="C270" s="9" t="str">
        <f t="array" ref="C270">IF(
  AND(
    IFERROR(MATCH(Caseslist!B270, data!D:D, 0), 0) &gt; 0,
    IFERROR(INDEX(data!N:N, MATCH(Caseslist!B270, data!D:D, 0)) = 1, FALSE)
  ),
  "COMPLETE",
  "INC"
)</f>
        <v>COMPLETE</v>
      </c>
      <c r="D270" s="9">
        <f t="array" ref="D270">IFERROR(INDEX(data!$G:$G,match(Caseslist!B270,data!$D:$D,0)), "INC")</f>
        <v>455939</v>
      </c>
      <c r="E270" s="9" t="str">
        <f t="array" ref="E270">IFERROR(INDEX(data!H:H,match(Caseslist!B270,data!D:D,0)), "INC")</f>
        <v>Mary Jean Villaflor_2</v>
      </c>
      <c r="F270" s="10" t="str">
        <f t="array" ref="F270">IF(
    OR(
      IFNA(INDEX(data!M:M, MATCH(Caseslist!B270, data!D:D, 0)), "") = "",
      IFNA(INDEX(data!M:M, MATCH(Caseslist!B270, data!D:D, 0)), 0) = 0
    ),
    "COMPLETE",
    IF(
      IFNA(INDEX(dataICM!D:D, MATCH(Caseslist!B270, dataICM!D:D, 0)), "INC") = "INC",
      IFNA(INDEX(dataICM!D:D, MATCH(Caseslist!B270, dataICM!D:D, 0)), "INC"),
      "COMPLETE"
    )
  )</f>
        <v>COMPLETE</v>
      </c>
      <c r="G270" s="10" t="str">
        <f t="array" ref="G270">IF(IFERROR(INDEX(data!L:L,match(Caseslist!B270,data!D:D,0)),"INC")="","COMPLETE",F270)</f>
        <v>COMPLETE</v>
      </c>
      <c r="H270" s="9" t="str">
        <f t="array" ref="H270">IFERROR(INDEX(dataICM!F:F,match(Caseslist!B270,dataICM!D:D,0)), "INC")</f>
        <v>INC</v>
      </c>
      <c r="I270" s="10">
        <f t="shared" si="2"/>
        <v>455939</v>
      </c>
      <c r="J270" s="9" t="str">
        <f t="array" ref="J270">IF(
  AND(
    IFERROR(MATCH(B270, data!D:D, 0), 0) &gt; 0,
    IFERROR(INDEX(data!N:N, MATCH(B270, data!D:D, 0)) = 1, FALSE)
  ),
  INDEX(data!C:C, MATCH(B270, data!D:D, 0)),
  "INC"
)</f>
        <v>2025-09-19T11:41:47.389+08</v>
      </c>
      <c r="K270" s="9" t="str">
        <f t="array" ref="K270">IFERROR(INDEX(dataICM!C:C,match(Caseslist!B270,dataICM!D:D,0)), "INC")</f>
        <v>INC</v>
      </c>
      <c r="L270" s="10" t="str">
        <f t="array" ref="L270">IF(AND(G270="COMPLETE", OR(K270="INC", ISBLANK(INDEX(data!O:O, ROW())))), J270, K270)</f>
        <v>2025-09-19T11:41:47.389+08</v>
      </c>
      <c r="M270" s="2">
        <v>45919.0</v>
      </c>
      <c r="N270" s="2">
        <f t="array" ref="N270">IF(M270&lt;&gt;"INC", INDEX(data!M:M, MATCH(B270, data!D:D, 0)), "")</f>
        <v>0</v>
      </c>
      <c r="O270" s="2">
        <f t="shared" si="3"/>
        <v>0</v>
      </c>
    </row>
    <row r="271">
      <c r="A271" s="2" t="str">
        <f t="shared" si="1"/>
        <v>H004680</v>
      </c>
      <c r="B271" s="1" t="s">
        <v>7753</v>
      </c>
      <c r="C271" s="9" t="str">
        <f t="array" ref="C271">IF(
  AND(
    IFERROR(MATCH(Caseslist!B271, data!D:D, 0), 0) &gt; 0,
    IFERROR(INDEX(data!N:N, MATCH(Caseslist!B271, data!D:D, 0)) = 1, FALSE)
  ),
  "COMPLETE",
  "INC"
)</f>
        <v>COMPLETE</v>
      </c>
      <c r="D271" s="9">
        <f t="array" ref="D271">IFERROR(INDEX(data!$G:$G,match(Caseslist!B271,data!$D:$D,0)), "INC")</f>
        <v>455939</v>
      </c>
      <c r="E271" s="9" t="str">
        <f t="array" ref="E271">IFERROR(INDEX(data!H:H,match(Caseslist!B271,data!D:D,0)), "INC")</f>
        <v>Mary Jean Villaflor_2</v>
      </c>
      <c r="F271" s="10" t="str">
        <f t="array" ref="F271">IF(
    OR(
      IFNA(INDEX(data!M:M, MATCH(Caseslist!B271, data!D:D, 0)), "") = "",
      IFNA(INDEX(data!M:M, MATCH(Caseslist!B271, data!D:D, 0)), 0) = 0
    ),
    "COMPLETE",
    IF(
      IFNA(INDEX(dataICM!D:D, MATCH(Caseslist!B271, dataICM!D:D, 0)), "INC") = "INC",
      IFNA(INDEX(dataICM!D:D, MATCH(Caseslist!B271, dataICM!D:D, 0)), "INC"),
      "COMPLETE"
    )
  )</f>
        <v>COMPLETE</v>
      </c>
      <c r="G271" s="10" t="str">
        <f t="array" ref="G271">IF(IFERROR(INDEX(data!L:L,match(Caseslist!B271,data!D:D,0)),"INC")="","COMPLETE",F271)</f>
        <v>COMPLETE</v>
      </c>
      <c r="H271" s="9" t="str">
        <f t="array" ref="H271">IFERROR(INDEX(dataICM!F:F,match(Caseslist!B271,dataICM!D:D,0)), "INC")</f>
        <v>INC</v>
      </c>
      <c r="I271" s="10">
        <f t="shared" si="2"/>
        <v>455939</v>
      </c>
      <c r="J271" s="9" t="str">
        <f t="array" ref="J271">IF(
  AND(
    IFERROR(MATCH(B271, data!D:D, 0), 0) &gt; 0,
    IFERROR(INDEX(data!N:N, MATCH(B271, data!D:D, 0)) = 1, FALSE)
  ),
  INDEX(data!C:C, MATCH(B271, data!D:D, 0)),
  "INC"
)</f>
        <v>2025-09-20T11:35:02.656+08</v>
      </c>
      <c r="K271" s="9" t="str">
        <f t="array" ref="K271">IFERROR(INDEX(dataICM!C:C,match(Caseslist!B271,dataICM!D:D,0)), "INC")</f>
        <v>INC</v>
      </c>
      <c r="L271" s="10" t="str">
        <f t="array" ref="L271">IF(AND(G271="COMPLETE", OR(K271="INC", ISBLANK(INDEX(data!O:O, ROW())))), J271, K271)</f>
        <v>2025-09-20T11:35:02.656+08</v>
      </c>
      <c r="M271" s="2">
        <v>45920.0</v>
      </c>
      <c r="N271" s="2">
        <f t="array" ref="N271">IF(M271&lt;&gt;"INC", INDEX(data!M:M, MATCH(B271, data!D:D, 0)), "")</f>
        <v>0</v>
      </c>
      <c r="O271" s="2">
        <f t="shared" si="3"/>
        <v>0</v>
      </c>
    </row>
    <row r="272">
      <c r="A272" s="2" t="str">
        <f t="shared" si="1"/>
        <v>H004680</v>
      </c>
      <c r="B272" s="1" t="s">
        <v>7423</v>
      </c>
      <c r="C272" s="9" t="str">
        <f t="array" ref="C272">IF(
  AND(
    IFERROR(MATCH(Caseslist!B272, data!D:D, 0), 0) &gt; 0,
    IFERROR(INDEX(data!N:N, MATCH(Caseslist!B272, data!D:D, 0)) = 1, FALSE)
  ),
  "COMPLETE",
  "INC"
)</f>
        <v>COMPLETE</v>
      </c>
      <c r="D272" s="9">
        <f t="array" ref="D272">IFERROR(INDEX(data!$G:$G,match(Caseslist!B272,data!$D:$D,0)), "INC")</f>
        <v>455939</v>
      </c>
      <c r="E272" s="9" t="str">
        <f t="array" ref="E272">IFERROR(INDEX(data!H:H,match(Caseslist!B272,data!D:D,0)), "INC")</f>
        <v>Mary Jean Villaflor_2</v>
      </c>
      <c r="F272" s="10" t="str">
        <f t="array" ref="F272">IF(
    OR(
      IFNA(INDEX(data!M:M, MATCH(Caseslist!B272, data!D:D, 0)), "") = "",
      IFNA(INDEX(data!M:M, MATCH(Caseslist!B272, data!D:D, 0)), 0) = 0
    ),
    "COMPLETE",
    IF(
      IFNA(INDEX(dataICM!D:D, MATCH(Caseslist!B272, dataICM!D:D, 0)), "INC") = "INC",
      IFNA(INDEX(dataICM!D:D, MATCH(Caseslist!B272, dataICM!D:D, 0)), "INC"),
      "COMPLETE"
    )
  )</f>
        <v>COMPLETE</v>
      </c>
      <c r="G272" s="10" t="str">
        <f t="array" ref="G272">IF(IFERROR(INDEX(data!L:L,match(Caseslist!B272,data!D:D,0)),"INC")="","COMPLETE",F272)</f>
        <v>COMPLETE</v>
      </c>
      <c r="H272" s="9" t="str">
        <f t="array" ref="H272">IFERROR(INDEX(dataICM!F:F,match(Caseslist!B272,dataICM!D:D,0)), "INC")</f>
        <v>INC</v>
      </c>
      <c r="I272" s="10">
        <f t="shared" si="2"/>
        <v>455939</v>
      </c>
      <c r="J272" s="9" t="str">
        <f t="array" ref="J272">IF(
  AND(
    IFERROR(MATCH(B272, data!D:D, 0), 0) &gt; 0,
    IFERROR(INDEX(data!N:N, MATCH(B272, data!D:D, 0)) = 1, FALSE)
  ),
  INDEX(data!C:C, MATCH(B272, data!D:D, 0)),
  "INC"
)</f>
        <v>2025-09-19T11:26:54.306+08</v>
      </c>
      <c r="K272" s="9" t="str">
        <f t="array" ref="K272">IFERROR(INDEX(dataICM!C:C,match(Caseslist!B272,dataICM!D:D,0)), "INC")</f>
        <v>INC</v>
      </c>
      <c r="L272" s="10" t="str">
        <f t="array" ref="L272">IF(AND(G272="COMPLETE", OR(K272="INC", ISBLANK(INDEX(data!O:O, ROW())))), J272, K272)</f>
        <v>2025-09-19T11:26:54.306+08</v>
      </c>
      <c r="M272" s="2">
        <v>45919.0</v>
      </c>
      <c r="N272" s="2">
        <f t="array" ref="N272">IF(M272&lt;&gt;"INC", INDEX(data!M:M, MATCH(B272, data!D:D, 0)), "")</f>
        <v>0</v>
      </c>
      <c r="O272" s="2">
        <f t="shared" si="3"/>
        <v>0</v>
      </c>
    </row>
    <row r="273">
      <c r="A273" s="2" t="str">
        <f t="shared" si="1"/>
        <v>H004680</v>
      </c>
      <c r="B273" s="1" t="s">
        <v>7748</v>
      </c>
      <c r="C273" s="9" t="str">
        <f t="array" ref="C273">IF(
  AND(
    IFERROR(MATCH(Caseslist!B273, data!D:D, 0), 0) &gt; 0,
    IFERROR(INDEX(data!N:N, MATCH(Caseslist!B273, data!D:D, 0)) = 1, FALSE)
  ),
  "COMPLETE",
  "INC"
)</f>
        <v>COMPLETE</v>
      </c>
      <c r="D273" s="9">
        <f t="array" ref="D273">IFERROR(INDEX(data!$G:$G,match(Caseslist!B273,data!$D:$D,0)), "INC")</f>
        <v>455939</v>
      </c>
      <c r="E273" s="9" t="str">
        <f t="array" ref="E273">IFERROR(INDEX(data!H:H,match(Caseslist!B273,data!D:D,0)), "INC")</f>
        <v>Mary Jean Villaflor_2</v>
      </c>
      <c r="F273" s="10" t="str">
        <f t="array" ref="F273">IF(
    OR(
      IFNA(INDEX(data!M:M, MATCH(Caseslist!B273, data!D:D, 0)), "") = "",
      IFNA(INDEX(data!M:M, MATCH(Caseslist!B273, data!D:D, 0)), 0) = 0
    ),
    "COMPLETE",
    IF(
      IFNA(INDEX(dataICM!D:D, MATCH(Caseslist!B273, dataICM!D:D, 0)), "INC") = "INC",
      IFNA(INDEX(dataICM!D:D, MATCH(Caseslist!B273, dataICM!D:D, 0)), "INC"),
      "COMPLETE"
    )
  )</f>
        <v>COMPLETE</v>
      </c>
      <c r="G273" s="10" t="str">
        <f t="array" ref="G273">IF(IFERROR(INDEX(data!L:L,match(Caseslist!B273,data!D:D,0)),"INC")="","COMPLETE",F273)</f>
        <v>COMPLETE</v>
      </c>
      <c r="H273" s="9" t="str">
        <f t="array" ref="H273">IFERROR(INDEX(dataICM!F:F,match(Caseslist!B273,dataICM!D:D,0)), "INC")</f>
        <v>INC</v>
      </c>
      <c r="I273" s="10">
        <f t="shared" si="2"/>
        <v>455939</v>
      </c>
      <c r="J273" s="9" t="str">
        <f t="array" ref="J273">IF(
  AND(
    IFERROR(MATCH(B273, data!D:D, 0), 0) &gt; 0,
    IFERROR(INDEX(data!N:N, MATCH(B273, data!D:D, 0)) = 1, FALSE)
  ),
  INDEX(data!C:C, MATCH(B273, data!D:D, 0)),
  "INC"
)</f>
        <v>2025-09-20T11:18:23.940+08</v>
      </c>
      <c r="K273" s="9" t="str">
        <f t="array" ref="K273">IFERROR(INDEX(dataICM!C:C,match(Caseslist!B273,dataICM!D:D,0)), "INC")</f>
        <v>INC</v>
      </c>
      <c r="L273" s="10" t="str">
        <f t="array" ref="L273">IF(AND(G273="COMPLETE", OR(K273="INC", ISBLANK(INDEX(data!O:O, ROW())))), J273, K273)</f>
        <v>2025-09-20T11:18:23.940+08</v>
      </c>
      <c r="M273" s="2">
        <v>45920.0</v>
      </c>
      <c r="N273" s="2">
        <f t="array" ref="N273">IF(M273&lt;&gt;"INC", INDEX(data!M:M, MATCH(B273, data!D:D, 0)), "")</f>
        <v>0</v>
      </c>
      <c r="O273" s="2">
        <f t="shared" si="3"/>
        <v>0</v>
      </c>
    </row>
    <row r="274">
      <c r="A274" s="2" t="str">
        <f t="shared" si="1"/>
        <v>H004680</v>
      </c>
      <c r="B274" s="1" t="s">
        <v>7718</v>
      </c>
      <c r="C274" s="9" t="str">
        <f t="array" ref="C274">IF(
  AND(
    IFERROR(MATCH(Caseslist!B274, data!D:D, 0), 0) &gt; 0,
    IFERROR(INDEX(data!N:N, MATCH(Caseslist!B274, data!D:D, 0)) = 1, FALSE)
  ),
  "COMPLETE",
  "INC"
)</f>
        <v>COMPLETE</v>
      </c>
      <c r="D274" s="9">
        <f t="array" ref="D274">IFERROR(INDEX(data!$G:$G,match(Caseslist!B274,data!$D:$D,0)), "INC")</f>
        <v>841329</v>
      </c>
      <c r="E274" s="9" t="str">
        <f t="array" ref="E274">IFERROR(INDEX(data!H:H,match(Caseslist!B274,data!D:D,0)), "INC")</f>
        <v>Aila Eli_2</v>
      </c>
      <c r="F274" s="10" t="str">
        <f t="array" ref="F274">IF(
    OR(
      IFNA(INDEX(data!M:M, MATCH(Caseslist!B274, data!D:D, 0)), "") = "",
      IFNA(INDEX(data!M:M, MATCH(Caseslist!B274, data!D:D, 0)), 0) = 0
    ),
    "COMPLETE",
    IF(
      IFNA(INDEX(dataICM!D:D, MATCH(Caseslist!B274, dataICM!D:D, 0)), "INC") = "INC",
      IFNA(INDEX(dataICM!D:D, MATCH(Caseslist!B274, dataICM!D:D, 0)), "INC"),
      "COMPLETE"
    )
  )</f>
        <v>COMPLETE</v>
      </c>
      <c r="G274" s="10" t="str">
        <f t="array" ref="G274">IF(IFERROR(INDEX(data!L:L,match(Caseslist!B274,data!D:D,0)),"INC")="","COMPLETE",F274)</f>
        <v>COMPLETE</v>
      </c>
      <c r="H274" s="9" t="str">
        <f t="array" ref="H274">IFERROR(INDEX(dataICM!F:F,match(Caseslist!B274,dataICM!D:D,0)), "INC")</f>
        <v>INC</v>
      </c>
      <c r="I274" s="10">
        <f t="shared" si="2"/>
        <v>841329</v>
      </c>
      <c r="J274" s="9" t="str">
        <f t="array" ref="J274">IF(
  AND(
    IFERROR(MATCH(B274, data!D:D, 0), 0) &gt; 0,
    IFERROR(INDEX(data!N:N, MATCH(B274, data!D:D, 0)) = 1, FALSE)
  ),
  INDEX(data!C:C, MATCH(B274, data!D:D, 0)),
  "INC"
)</f>
        <v>2025-09-20T14:22:28.432+08</v>
      </c>
      <c r="K274" s="9" t="str">
        <f t="array" ref="K274">IFERROR(INDEX(dataICM!C:C,match(Caseslist!B274,dataICM!D:D,0)), "INC")</f>
        <v>INC</v>
      </c>
      <c r="L274" s="10" t="str">
        <f t="array" ref="L274">IF(AND(G274="COMPLETE", OR(K274="INC", ISBLANK(INDEX(data!O:O, ROW())))), J274, K274)</f>
        <v>2025-09-20T14:22:28.432+08</v>
      </c>
      <c r="M274" s="2">
        <v>45920.0</v>
      </c>
      <c r="N274" s="2">
        <f t="array" ref="N274">IF(M274&lt;&gt;"INC", INDEX(data!M:M, MATCH(B274, data!D:D, 0)), "")</f>
        <v>0</v>
      </c>
      <c r="O274" s="2">
        <f t="shared" si="3"/>
        <v>0</v>
      </c>
    </row>
    <row r="275">
      <c r="A275" s="2" t="str">
        <f t="shared" si="1"/>
        <v>H004680</v>
      </c>
      <c r="B275" s="1" t="s">
        <v>7408</v>
      </c>
      <c r="C275" s="9" t="str">
        <f t="array" ref="C275">IF(
  AND(
    IFERROR(MATCH(Caseslist!B275, data!D:D, 0), 0) &gt; 0,
    IFERROR(INDEX(data!N:N, MATCH(Caseslist!B275, data!D:D, 0)) = 1, FALSE)
  ),
  "COMPLETE",
  "INC"
)</f>
        <v>COMPLETE</v>
      </c>
      <c r="D275" s="9">
        <f t="array" ref="D275">IFERROR(INDEX(data!$G:$G,match(Caseslist!B275,data!$D:$D,0)), "INC")</f>
        <v>555127</v>
      </c>
      <c r="E275" s="9" t="str">
        <f t="array" ref="E275">IFERROR(INDEX(data!H:H,match(Caseslist!B275,data!D:D,0)), "INC")</f>
        <v>Mary May_2</v>
      </c>
      <c r="F275" s="10" t="str">
        <f t="array" ref="F275">IF(
    OR(
      IFNA(INDEX(data!M:M, MATCH(Caseslist!B275, data!D:D, 0)), "") = "",
      IFNA(INDEX(data!M:M, MATCH(Caseslist!B275, data!D:D, 0)), 0) = 0
    ),
    "COMPLETE",
    IF(
      IFNA(INDEX(dataICM!D:D, MATCH(Caseslist!B275, dataICM!D:D, 0)), "INC") = "INC",
      IFNA(INDEX(dataICM!D:D, MATCH(Caseslist!B275, dataICM!D:D, 0)), "INC"),
      "COMPLETE"
    )
  )</f>
        <v>COMPLETE</v>
      </c>
      <c r="G275" s="10" t="str">
        <f t="array" ref="G275">IF(IFERROR(INDEX(data!L:L,match(Caseslist!B275,data!D:D,0)),"INC")="","COMPLETE",F275)</f>
        <v>COMPLETE</v>
      </c>
      <c r="H275" s="9" t="str">
        <f t="array" ref="H275">IFERROR(INDEX(dataICM!F:F,match(Caseslist!B275,dataICM!D:D,0)), "INC")</f>
        <v>INC</v>
      </c>
      <c r="I275" s="10">
        <f t="shared" si="2"/>
        <v>555127</v>
      </c>
      <c r="J275" s="9" t="str">
        <f t="array" ref="J275">IF(
  AND(
    IFERROR(MATCH(B275, data!D:D, 0), 0) &gt; 0,
    IFERROR(INDEX(data!N:N, MATCH(B275, data!D:D, 0)) = 1, FALSE)
  ),
  INDEX(data!C:C, MATCH(B275, data!D:D, 0)),
  "INC"
)</f>
        <v>2025-09-19T12:39:59.353+08</v>
      </c>
      <c r="K275" s="9" t="str">
        <f t="array" ref="K275">IFERROR(INDEX(dataICM!C:C,match(Caseslist!B275,dataICM!D:D,0)), "INC")</f>
        <v>INC</v>
      </c>
      <c r="L275" s="10" t="str">
        <f t="array" ref="L275">IF(AND(G275="COMPLETE", OR(K275="INC", ISBLANK(INDEX(data!O:O, ROW())))), J275, K275)</f>
        <v>2025-09-19T12:39:59.353+08</v>
      </c>
      <c r="M275" s="2">
        <v>45919.0</v>
      </c>
      <c r="N275" s="2">
        <f t="array" ref="N275">IF(M275&lt;&gt;"INC", INDEX(data!M:M, MATCH(B275, data!D:D, 0)), "")</f>
        <v>0</v>
      </c>
      <c r="O275" s="2">
        <f t="shared" si="3"/>
        <v>0</v>
      </c>
    </row>
    <row r="276">
      <c r="A276" s="2" t="str">
        <f t="shared" si="1"/>
        <v>H004787</v>
      </c>
      <c r="B276" s="1" t="s">
        <v>7383</v>
      </c>
      <c r="C276" s="9" t="str">
        <f t="array" ref="C276">IF(
  AND(
    IFERROR(MATCH(Caseslist!B276, data!D:D, 0), 0) &gt; 0,
    IFERROR(INDEX(data!N:N, MATCH(Caseslist!B276, data!D:D, 0)) = 1, FALSE)
  ),
  "COMPLETE",
  "INC"
)</f>
        <v>COMPLETE</v>
      </c>
      <c r="D276" s="9">
        <f t="array" ref="D276">IFERROR(INDEX(data!$G:$G,match(Caseslist!B276,data!$D:$D,0)), "INC")</f>
        <v>455939</v>
      </c>
      <c r="E276" s="9" t="str">
        <f t="array" ref="E276">IFERROR(INDEX(data!H:H,match(Caseslist!B276,data!D:D,0)), "INC")</f>
        <v>Mary Jean Villaflor_2</v>
      </c>
      <c r="F276" s="10" t="str">
        <f t="array" ref="F276">IF(
    OR(
      IFNA(INDEX(data!M:M, MATCH(Caseslist!B276, data!D:D, 0)), "") = "",
      IFNA(INDEX(data!M:M, MATCH(Caseslist!B276, data!D:D, 0)), 0) = 0
    ),
    "COMPLETE",
    IF(
      IFNA(INDEX(dataICM!D:D, MATCH(Caseslist!B276, dataICM!D:D, 0)), "INC") = "INC",
      IFNA(INDEX(dataICM!D:D, MATCH(Caseslist!B276, dataICM!D:D, 0)), "INC"),
      "COMPLETE"
    )
  )</f>
        <v>COMPLETE</v>
      </c>
      <c r="G276" s="10" t="str">
        <f t="array" ref="G276">IF(IFERROR(INDEX(data!L:L,match(Caseslist!B276,data!D:D,0)),"INC")="","COMPLETE",F276)</f>
        <v>COMPLETE</v>
      </c>
      <c r="H276" s="9" t="str">
        <f t="array" ref="H276">IFERROR(INDEX(dataICM!F:F,match(Caseslist!B276,dataICM!D:D,0)), "INC")</f>
        <v>Mary Jean Villaflor_2</v>
      </c>
      <c r="I276" s="10">
        <f t="shared" si="2"/>
        <v>455939</v>
      </c>
      <c r="J276" s="9" t="str">
        <f t="array" ref="J276">IF(
  AND(
    IFERROR(MATCH(B276, data!D:D, 0), 0) &gt; 0,
    IFERROR(INDEX(data!N:N, MATCH(B276, data!D:D, 0)) = 1, FALSE)
  ),
  INDEX(data!C:C, MATCH(B276, data!D:D, 0)),
  "INC"
)</f>
        <v>2025-09-18T15:16:53.870+08</v>
      </c>
      <c r="K276" s="9" t="str">
        <f t="array" ref="K276">IFERROR(INDEX(dataICM!C:C,match(Caseslist!B276,dataICM!D:D,0)), "INC")</f>
        <v>2025-09-18T15:20:08.940+08</v>
      </c>
      <c r="L276" s="10" t="str">
        <f t="array" ref="L276">IF(AND(G276="COMPLETE", OR(K276="INC", ISBLANK(INDEX(data!O:O, ROW())))), J276, K276)</f>
        <v>2025-09-18T15:20:08.940+08</v>
      </c>
      <c r="M276" s="2">
        <v>45918.0</v>
      </c>
      <c r="N276" s="2">
        <f t="array" ref="N276">IF(M276&lt;&gt;"INC", INDEX(data!M:M, MATCH(B276, data!D:D, 0)), "")</f>
        <v>2</v>
      </c>
      <c r="O276" s="2">
        <f t="shared" si="3"/>
        <v>2</v>
      </c>
    </row>
    <row r="277">
      <c r="A277" s="2" t="str">
        <f t="shared" si="1"/>
        <v>H004787</v>
      </c>
      <c r="B277" s="1" t="s">
        <v>7288</v>
      </c>
      <c r="C277" s="9" t="str">
        <f t="array" ref="C277">IF(
  AND(
    IFERROR(MATCH(Caseslist!B277, data!D:D, 0), 0) &gt; 0,
    IFERROR(INDEX(data!N:N, MATCH(Caseslist!B277, data!D:D, 0)) = 1, FALSE)
  ),
  "COMPLETE",
  "INC"
)</f>
        <v>COMPLETE</v>
      </c>
      <c r="D277" s="9">
        <f t="array" ref="D277">IFERROR(INDEX(data!$G:$G,match(Caseslist!B277,data!$D:$D,0)), "INC")</f>
        <v>555127</v>
      </c>
      <c r="E277" s="9" t="str">
        <f t="array" ref="E277">IFERROR(INDEX(data!H:H,match(Caseslist!B277,data!D:D,0)), "INC")</f>
        <v>Mary May_2</v>
      </c>
      <c r="F277" s="10" t="str">
        <f t="array" ref="F277">IF(
    OR(
      IFNA(INDEX(data!M:M, MATCH(Caseslist!B277, data!D:D, 0)), "") = "",
      IFNA(INDEX(data!M:M, MATCH(Caseslist!B277, data!D:D, 0)), 0) = 0
    ),
    "COMPLETE",
    IF(
      IFNA(INDEX(dataICM!D:D, MATCH(Caseslist!B277, dataICM!D:D, 0)), "INC") = "INC",
      IFNA(INDEX(dataICM!D:D, MATCH(Caseslist!B277, dataICM!D:D, 0)), "INC"),
      "COMPLETE"
    )
  )</f>
        <v>COMPLETE</v>
      </c>
      <c r="G277" s="10" t="str">
        <f t="array" ref="G277">IF(IFERROR(INDEX(data!L:L,match(Caseslist!B277,data!D:D,0)),"INC")="","COMPLETE",F277)</f>
        <v>COMPLETE</v>
      </c>
      <c r="H277" s="9" t="str">
        <f t="array" ref="H277">IFERROR(INDEX(dataICM!F:F,match(Caseslist!B277,dataICM!D:D,0)), "INC")</f>
        <v>Mary May_2</v>
      </c>
      <c r="I277" s="10">
        <f t="shared" si="2"/>
        <v>555127</v>
      </c>
      <c r="J277" s="9" t="str">
        <f t="array" ref="J277">IF(
  AND(
    IFERROR(MATCH(B277, data!D:D, 0), 0) &gt; 0,
    IFERROR(INDEX(data!N:N, MATCH(B277, data!D:D, 0)) = 1, FALSE)
  ),
  INDEX(data!C:C, MATCH(B277, data!D:D, 0)),
  "INC"
)</f>
        <v>2025-09-18T15:34:38.868+08</v>
      </c>
      <c r="K277" s="9" t="str">
        <f t="array" ref="K277">IFERROR(INDEX(dataICM!C:C,match(Caseslist!B277,dataICM!D:D,0)), "INC")</f>
        <v>2025-09-18T15:38:44.041+08</v>
      </c>
      <c r="L277" s="10" t="str">
        <f t="array" ref="L277">IF(AND(G277="COMPLETE", OR(K277="INC", ISBLANK(INDEX(data!O:O, ROW())))), J277, K277)</f>
        <v>2025-09-18T15:38:44.041+08</v>
      </c>
      <c r="M277" s="2">
        <v>45918.0</v>
      </c>
      <c r="N277" s="2">
        <f t="array" ref="N277">IF(M277&lt;&gt;"INC", INDEX(data!M:M, MATCH(B277, data!D:D, 0)), "")</f>
        <v>2</v>
      </c>
      <c r="O277" s="2">
        <f t="shared" si="3"/>
        <v>2</v>
      </c>
    </row>
    <row r="278">
      <c r="A278" s="2" t="str">
        <f t="shared" si="1"/>
        <v>H004787</v>
      </c>
      <c r="B278" s="1" t="s">
        <v>7278</v>
      </c>
      <c r="C278" s="9" t="str">
        <f t="array" ref="C278">IF(
  AND(
    IFERROR(MATCH(Caseslist!B278, data!D:D, 0), 0) &gt; 0,
    IFERROR(INDEX(data!N:N, MATCH(Caseslist!B278, data!D:D, 0)) = 1, FALSE)
  ),
  "COMPLETE",
  "INC"
)</f>
        <v>COMPLETE</v>
      </c>
      <c r="D278" s="9">
        <f t="array" ref="D278">IFERROR(INDEX(data!$G:$G,match(Caseslist!B278,data!$D:$D,0)), "INC")</f>
        <v>555127</v>
      </c>
      <c r="E278" s="9" t="str">
        <f t="array" ref="E278">IFERROR(INDEX(data!H:H,match(Caseslist!B278,data!D:D,0)), "INC")</f>
        <v>Mary May_2</v>
      </c>
      <c r="F278" s="10" t="str">
        <f t="array" ref="F278">IF(
    OR(
      IFNA(INDEX(data!M:M, MATCH(Caseslist!B278, data!D:D, 0)), "") = "",
      IFNA(INDEX(data!M:M, MATCH(Caseslist!B278, data!D:D, 0)), 0) = 0
    ),
    "COMPLETE",
    IF(
      IFNA(INDEX(dataICM!D:D, MATCH(Caseslist!B278, dataICM!D:D, 0)), "INC") = "INC",
      IFNA(INDEX(dataICM!D:D, MATCH(Caseslist!B278, dataICM!D:D, 0)), "INC"),
      "COMPLETE"
    )
  )</f>
        <v>COMPLETE</v>
      </c>
      <c r="G278" s="10" t="str">
        <f t="array" ref="G278">IF(IFERROR(INDEX(data!L:L,match(Caseslist!B278,data!D:D,0)),"INC")="","COMPLETE",F278)</f>
        <v>COMPLETE</v>
      </c>
      <c r="H278" s="9" t="str">
        <f t="array" ref="H278">IFERROR(INDEX(dataICM!F:F,match(Caseslist!B278,dataICM!D:D,0)), "INC")</f>
        <v>Mary May_2</v>
      </c>
      <c r="I278" s="10">
        <f t="shared" si="2"/>
        <v>555127</v>
      </c>
      <c r="J278" s="9" t="str">
        <f t="array" ref="J278">IF(
  AND(
    IFERROR(MATCH(B278, data!D:D, 0), 0) &gt; 0,
    IFERROR(INDEX(data!N:N, MATCH(B278, data!D:D, 0)) = 1, FALSE)
  ),
  INDEX(data!C:C, MATCH(B278, data!D:D, 0)),
  "INC"
)</f>
        <v>2025-09-20T09:08:28.732+08</v>
      </c>
      <c r="K278" s="9" t="str">
        <f t="array" ref="K278">IFERROR(INDEX(dataICM!C:C,match(Caseslist!B278,dataICM!D:D,0)), "INC")</f>
        <v>2025-09-20T09:12:42.623+08</v>
      </c>
      <c r="L278" s="10" t="str">
        <f t="array" ref="L278">IF(AND(G278="COMPLETE", OR(K278="INC", ISBLANK(INDEX(data!O:O, ROW())))), J278, K278)</f>
        <v>2025-09-20T09:12:42.623+08</v>
      </c>
      <c r="M278" s="2">
        <v>45920.0</v>
      </c>
      <c r="N278" s="2">
        <f t="array" ref="N278">IF(M278&lt;&gt;"INC", INDEX(data!M:M, MATCH(B278, data!D:D, 0)), "")</f>
        <v>2</v>
      </c>
      <c r="O278" s="2">
        <f t="shared" si="3"/>
        <v>2</v>
      </c>
    </row>
    <row r="279">
      <c r="A279" s="2" t="str">
        <f t="shared" si="1"/>
        <v>H004787</v>
      </c>
      <c r="B279" s="1" t="s">
        <v>7098</v>
      </c>
      <c r="C279" s="9" t="str">
        <f t="array" ref="C279">IF(
  AND(
    IFERROR(MATCH(Caseslist!B279, data!D:D, 0), 0) &gt; 0,
    IFERROR(INDEX(data!N:N, MATCH(Caseslist!B279, data!D:D, 0)) = 1, FALSE)
  ),
  "COMPLETE",
  "INC"
)</f>
        <v>COMPLETE</v>
      </c>
      <c r="D279" s="9">
        <f t="array" ref="D279">IFERROR(INDEX(data!$G:$G,match(Caseslist!B279,data!$D:$D,0)), "INC")</f>
        <v>841329</v>
      </c>
      <c r="E279" s="9" t="str">
        <f t="array" ref="E279">IFERROR(INDEX(data!H:H,match(Caseslist!B279,data!D:D,0)), "INC")</f>
        <v>Aila Eli_2</v>
      </c>
      <c r="F279" s="10" t="str">
        <f t="array" ref="F279">IF(
    OR(
      IFNA(INDEX(data!M:M, MATCH(Caseslist!B279, data!D:D, 0)), "") = "",
      IFNA(INDEX(data!M:M, MATCH(Caseslist!B279, data!D:D, 0)), 0) = 0
    ),
    "COMPLETE",
    IF(
      IFNA(INDEX(dataICM!D:D, MATCH(Caseslist!B279, dataICM!D:D, 0)), "INC") = "INC",
      IFNA(INDEX(dataICM!D:D, MATCH(Caseslist!B279, dataICM!D:D, 0)), "INC"),
      "COMPLETE"
    )
  )</f>
        <v>COMPLETE</v>
      </c>
      <c r="G279" s="10" t="str">
        <f t="array" ref="G279">IF(IFERROR(INDEX(data!L:L,match(Caseslist!B279,data!D:D,0)),"INC")="","COMPLETE",F279)</f>
        <v>COMPLETE</v>
      </c>
      <c r="H279" s="9" t="str">
        <f t="array" ref="H279">IFERROR(INDEX(dataICM!F:F,match(Caseslist!B279,dataICM!D:D,0)), "INC")</f>
        <v>Aila Eli_2</v>
      </c>
      <c r="I279" s="10">
        <f t="shared" si="2"/>
        <v>841329</v>
      </c>
      <c r="J279" s="9" t="str">
        <f t="array" ref="J279">IF(
  AND(
    IFERROR(MATCH(B279, data!D:D, 0), 0) &gt; 0,
    IFERROR(INDEX(data!N:N, MATCH(B279, data!D:D, 0)) = 1, FALSE)
  ),
  INDEX(data!C:C, MATCH(B279, data!D:D, 0)),
  "INC"
)</f>
        <v>2025-09-18T14:43:20.783+08</v>
      </c>
      <c r="K279" s="9" t="str">
        <f t="array" ref="K279">IFERROR(INDEX(dataICM!C:C,match(Caseslist!B279,dataICM!D:D,0)), "INC")</f>
        <v>2025-09-18T14:46:33.058+08</v>
      </c>
      <c r="L279" s="10" t="str">
        <f t="array" ref="L279">IF(AND(G279="COMPLETE", OR(K279="INC", ISBLANK(INDEX(data!O:O, ROW())))), J279, K279)</f>
        <v>2025-09-18T14:46:33.058+08</v>
      </c>
      <c r="M279" s="2">
        <v>45918.0</v>
      </c>
      <c r="N279" s="2">
        <f t="array" ref="N279">IF(M279&lt;&gt;"INC", INDEX(data!M:M, MATCH(B279, data!D:D, 0)), "")</f>
        <v>2</v>
      </c>
      <c r="O279" s="2">
        <f t="shared" si="3"/>
        <v>2</v>
      </c>
    </row>
    <row r="280">
      <c r="A280" s="2" t="str">
        <f t="shared" si="1"/>
        <v>H004787</v>
      </c>
      <c r="B280" s="1" t="s">
        <v>7083</v>
      </c>
      <c r="C280" s="9" t="str">
        <f t="array" ref="C280">IF(
  AND(
    IFERROR(MATCH(Caseslist!B280, data!D:D, 0), 0) &gt; 0,
    IFERROR(INDEX(data!N:N, MATCH(Caseslist!B280, data!D:D, 0)) = 1, FALSE)
  ),
  "COMPLETE",
  "INC"
)</f>
        <v>COMPLETE</v>
      </c>
      <c r="D280" s="9">
        <f t="array" ref="D280">IFERROR(INDEX(data!$G:$G,match(Caseslist!B280,data!$D:$D,0)), "INC")</f>
        <v>841329</v>
      </c>
      <c r="E280" s="9" t="str">
        <f t="array" ref="E280">IFERROR(INDEX(data!H:H,match(Caseslist!B280,data!D:D,0)), "INC")</f>
        <v>Aila Eli_2</v>
      </c>
      <c r="F280" s="10" t="str">
        <f t="array" ref="F280">IF(
    OR(
      IFNA(INDEX(data!M:M, MATCH(Caseslist!B280, data!D:D, 0)), "") = "",
      IFNA(INDEX(data!M:M, MATCH(Caseslist!B280, data!D:D, 0)), 0) = 0
    ),
    "COMPLETE",
    IF(
      IFNA(INDEX(dataICM!D:D, MATCH(Caseslist!B280, dataICM!D:D, 0)), "INC") = "INC",
      IFNA(INDEX(dataICM!D:D, MATCH(Caseslist!B280, dataICM!D:D, 0)), "INC"),
      "COMPLETE"
    )
  )</f>
        <v>COMPLETE</v>
      </c>
      <c r="G280" s="10" t="str">
        <f t="array" ref="G280">IF(IFERROR(INDEX(data!L:L,match(Caseslist!B280,data!D:D,0)),"INC")="","COMPLETE",F280)</f>
        <v>COMPLETE</v>
      </c>
      <c r="H280" s="9" t="str">
        <f t="array" ref="H280">IFERROR(INDEX(dataICM!F:F,match(Caseslist!B280,dataICM!D:D,0)), "INC")</f>
        <v>Aila Eli_2</v>
      </c>
      <c r="I280" s="10">
        <f t="shared" si="2"/>
        <v>841329</v>
      </c>
      <c r="J280" s="9" t="str">
        <f t="array" ref="J280">IF(
  AND(
    IFERROR(MATCH(B280, data!D:D, 0), 0) &gt; 0,
    IFERROR(INDEX(data!N:N, MATCH(B280, data!D:D, 0)) = 1, FALSE)
  ),
  INDEX(data!C:C, MATCH(B280, data!D:D, 0)),
  "INC"
)</f>
        <v>2025-09-18T10:31:21.944+08</v>
      </c>
      <c r="K280" s="9" t="str">
        <f t="array" ref="K280">IFERROR(INDEX(dataICM!C:C,match(Caseslist!B280,dataICM!D:D,0)), "INC")</f>
        <v>2025-09-18T10:34:55.472+08</v>
      </c>
      <c r="L280" s="10" t="str">
        <f t="array" ref="L280">IF(AND(G280="COMPLETE", OR(K280="INC", ISBLANK(INDEX(data!O:O, ROW())))), J280, K280)</f>
        <v>2025-09-18T10:34:55.472+08</v>
      </c>
      <c r="M280" s="2">
        <v>45918.0</v>
      </c>
      <c r="N280" s="2">
        <f t="array" ref="N280">IF(M280&lt;&gt;"INC", INDEX(data!M:M, MATCH(B280, data!D:D, 0)), "")</f>
        <v>2</v>
      </c>
      <c r="O280" s="2">
        <f t="shared" si="3"/>
        <v>2</v>
      </c>
    </row>
    <row r="281">
      <c r="A281" s="2" t="str">
        <f t="shared" si="1"/>
        <v>H004787</v>
      </c>
      <c r="B281" s="1" t="s">
        <v>7368</v>
      </c>
      <c r="C281" s="9" t="str">
        <f t="array" ref="C281">IF(
  AND(
    IFERROR(MATCH(Caseslist!B281, data!D:D, 0), 0) &gt; 0,
    IFERROR(INDEX(data!N:N, MATCH(Caseslist!B281, data!D:D, 0)) = 1, FALSE)
  ),
  "COMPLETE",
  "INC"
)</f>
        <v>COMPLETE</v>
      </c>
      <c r="D281" s="9">
        <f t="array" ref="D281">IFERROR(INDEX(data!$G:$G,match(Caseslist!B281,data!$D:$D,0)), "INC")</f>
        <v>455939</v>
      </c>
      <c r="E281" s="9" t="str">
        <f t="array" ref="E281">IFERROR(INDEX(data!H:H,match(Caseslist!B281,data!D:D,0)), "INC")</f>
        <v>Mary Jean Villaflor_2</v>
      </c>
      <c r="F281" s="10" t="str">
        <f t="array" ref="F281">IF(
    OR(
      IFNA(INDEX(data!M:M, MATCH(Caseslist!B281, data!D:D, 0)), "") = "",
      IFNA(INDEX(data!M:M, MATCH(Caseslist!B281, data!D:D, 0)), 0) = 0
    ),
    "COMPLETE",
    IF(
      IFNA(INDEX(dataICM!D:D, MATCH(Caseslist!B281, dataICM!D:D, 0)), "INC") = "INC",
      IFNA(INDEX(dataICM!D:D, MATCH(Caseslist!B281, dataICM!D:D, 0)), "INC"),
      "COMPLETE"
    )
  )</f>
        <v>COMPLETE</v>
      </c>
      <c r="G281" s="10" t="str">
        <f t="array" ref="G281">IF(IFERROR(INDEX(data!L:L,match(Caseslist!B281,data!D:D,0)),"INC")="","COMPLETE",F281)</f>
        <v>COMPLETE</v>
      </c>
      <c r="H281" s="9" t="str">
        <f t="array" ref="H281">IFERROR(INDEX(dataICM!F:F,match(Caseslist!B281,dataICM!D:D,0)), "INC")</f>
        <v>Mary Jean Villaflor_2</v>
      </c>
      <c r="I281" s="10">
        <f t="shared" si="2"/>
        <v>455939</v>
      </c>
      <c r="J281" s="9" t="str">
        <f t="array" ref="J281">IF(
  AND(
    IFERROR(MATCH(B281, data!D:D, 0), 0) &gt; 0,
    IFERROR(INDEX(data!N:N, MATCH(B281, data!D:D, 0)) = 1, FALSE)
  ),
  INDEX(data!C:C, MATCH(B281, data!D:D, 0)),
  "INC"
)</f>
        <v>2025-09-18T11:48:33.012+08</v>
      </c>
      <c r="K281" s="9" t="str">
        <f t="array" ref="K281">IFERROR(INDEX(dataICM!C:C,match(Caseslist!B281,dataICM!D:D,0)), "INC")</f>
        <v>2025-09-18T11:53:50.787+08</v>
      </c>
      <c r="L281" s="10" t="str">
        <f t="array" ref="L281">IF(AND(G281="COMPLETE", OR(K281="INC", ISBLANK(INDEX(data!O:O, ROW())))), J281, K281)</f>
        <v>2025-09-18T11:53:50.787+08</v>
      </c>
      <c r="M281" s="2">
        <v>45918.0</v>
      </c>
      <c r="N281" s="2">
        <f t="array" ref="N281">IF(M281&lt;&gt;"INC", INDEX(data!M:M, MATCH(B281, data!D:D, 0)), "")</f>
        <v>2</v>
      </c>
      <c r="O281" s="2">
        <f t="shared" si="3"/>
        <v>2</v>
      </c>
    </row>
    <row r="282">
      <c r="A282" s="2" t="str">
        <f t="shared" si="1"/>
        <v>H004787</v>
      </c>
      <c r="B282" s="1" t="s">
        <v>7363</v>
      </c>
      <c r="C282" s="9" t="str">
        <f t="array" ref="C282">IF(
  AND(
    IFERROR(MATCH(Caseslist!B282, data!D:D, 0), 0) &gt; 0,
    IFERROR(INDEX(data!N:N, MATCH(Caseslist!B282, data!D:D, 0)) = 1, FALSE)
  ),
  "COMPLETE",
  "INC"
)</f>
        <v>COMPLETE</v>
      </c>
      <c r="D282" s="9">
        <f t="array" ref="D282">IFERROR(INDEX(data!$G:$G,match(Caseslist!B282,data!$D:$D,0)), "INC")</f>
        <v>455939</v>
      </c>
      <c r="E282" s="9" t="str">
        <f t="array" ref="E282">IFERROR(INDEX(data!H:H,match(Caseslist!B282,data!D:D,0)), "INC")</f>
        <v>Mary Jean Villaflor_2</v>
      </c>
      <c r="F282" s="10" t="str">
        <f t="array" ref="F282">IF(
    OR(
      IFNA(INDEX(data!M:M, MATCH(Caseslist!B282, data!D:D, 0)), "") = "",
      IFNA(INDEX(data!M:M, MATCH(Caseslist!B282, data!D:D, 0)), 0) = 0
    ),
    "COMPLETE",
    IF(
      IFNA(INDEX(dataICM!D:D, MATCH(Caseslist!B282, dataICM!D:D, 0)), "INC") = "INC",
      IFNA(INDEX(dataICM!D:D, MATCH(Caseslist!B282, dataICM!D:D, 0)), "INC"),
      "COMPLETE"
    )
  )</f>
        <v>COMPLETE</v>
      </c>
      <c r="G282" s="10" t="str">
        <f t="array" ref="G282">IF(IFERROR(INDEX(data!L:L,match(Caseslist!B282,data!D:D,0)),"INC")="","COMPLETE",F282)</f>
        <v>COMPLETE</v>
      </c>
      <c r="H282" s="9" t="str">
        <f t="array" ref="H282">IFERROR(INDEX(dataICM!F:F,match(Caseslist!B282,dataICM!D:D,0)), "INC")</f>
        <v>Mary Jean Villaflor_2</v>
      </c>
      <c r="I282" s="10">
        <f t="shared" si="2"/>
        <v>455939</v>
      </c>
      <c r="J282" s="9" t="str">
        <f t="array" ref="J282">IF(
  AND(
    IFERROR(MATCH(B282, data!D:D, 0), 0) &gt; 0,
    IFERROR(INDEX(data!N:N, MATCH(B282, data!D:D, 0)) = 1, FALSE)
  ),
  INDEX(data!C:C, MATCH(B282, data!D:D, 0)),
  "INC"
)</f>
        <v>2025-09-18T10:38:32.164+08</v>
      </c>
      <c r="K282" s="9" t="str">
        <f t="array" ref="K282">IFERROR(INDEX(dataICM!C:C,match(Caseslist!B282,dataICM!D:D,0)), "INC")</f>
        <v>2025-09-18T10:44:00.289+08</v>
      </c>
      <c r="L282" s="10" t="str">
        <f t="array" ref="L282">IF(AND(G282="COMPLETE", OR(K282="INC", ISBLANK(INDEX(data!O:O, ROW())))), J282, K282)</f>
        <v>2025-09-18T10:44:00.289+08</v>
      </c>
      <c r="M282" s="2">
        <v>45918.0</v>
      </c>
      <c r="N282" s="2">
        <f t="array" ref="N282">IF(M282&lt;&gt;"INC", INDEX(data!M:M, MATCH(B282, data!D:D, 0)), "")</f>
        <v>2</v>
      </c>
      <c r="O282" s="2">
        <f t="shared" si="3"/>
        <v>2</v>
      </c>
    </row>
    <row r="283">
      <c r="A283" s="2" t="str">
        <f t="shared" si="1"/>
        <v>H004787</v>
      </c>
      <c r="B283" s="1" t="s">
        <v>7293</v>
      </c>
      <c r="C283" s="9" t="str">
        <f t="array" ref="C283">IF(
  AND(
    IFERROR(MATCH(Caseslist!B283, data!D:D, 0), 0) &gt; 0,
    IFERROR(INDEX(data!N:N, MATCH(Caseslist!B283, data!D:D, 0)) = 1, FALSE)
  ),
  "COMPLETE",
  "INC"
)</f>
        <v>COMPLETE</v>
      </c>
      <c r="D283" s="9">
        <f t="array" ref="D283">IFERROR(INDEX(data!$G:$G,match(Caseslist!B283,data!$D:$D,0)), "INC")</f>
        <v>555127</v>
      </c>
      <c r="E283" s="9" t="str">
        <f t="array" ref="E283">IFERROR(INDEX(data!H:H,match(Caseslist!B283,data!D:D,0)), "INC")</f>
        <v>Mary May_2</v>
      </c>
      <c r="F283" s="10" t="str">
        <f t="array" ref="F283">IF(
    OR(
      IFNA(INDEX(data!M:M, MATCH(Caseslist!B283, data!D:D, 0)), "") = "",
      IFNA(INDEX(data!M:M, MATCH(Caseslist!B283, data!D:D, 0)), 0) = 0
    ),
    "COMPLETE",
    IF(
      IFNA(INDEX(dataICM!D:D, MATCH(Caseslist!B283, dataICM!D:D, 0)), "INC") = "INC",
      IFNA(INDEX(dataICM!D:D, MATCH(Caseslist!B283, dataICM!D:D, 0)), "INC"),
      "COMPLETE"
    )
  )</f>
        <v>COMPLETE</v>
      </c>
      <c r="G283" s="10" t="str">
        <f t="array" ref="G283">IF(IFERROR(INDEX(data!L:L,match(Caseslist!B283,data!D:D,0)),"INC")="","COMPLETE",F283)</f>
        <v>COMPLETE</v>
      </c>
      <c r="H283" s="9" t="str">
        <f t="array" ref="H283">IFERROR(INDEX(dataICM!F:F,match(Caseslist!B283,dataICM!D:D,0)), "INC")</f>
        <v>Mary May_2</v>
      </c>
      <c r="I283" s="10">
        <f t="shared" si="2"/>
        <v>555127</v>
      </c>
      <c r="J283" s="9" t="str">
        <f t="array" ref="J283">IF(
  AND(
    IFERROR(MATCH(B283, data!D:D, 0), 0) &gt; 0,
    IFERROR(INDEX(data!N:N, MATCH(B283, data!D:D, 0)) = 1, FALSE)
  ),
  INDEX(data!C:C, MATCH(B283, data!D:D, 0)),
  "INC"
)</f>
        <v>2025-09-18T16:44:23.045+08</v>
      </c>
      <c r="K283" s="9" t="str">
        <f t="array" ref="K283">IFERROR(INDEX(dataICM!C:C,match(Caseslist!B283,dataICM!D:D,0)), "INC")</f>
        <v>2025-09-18T16:47:29.850+08</v>
      </c>
      <c r="L283" s="10" t="str">
        <f t="array" ref="L283">IF(AND(G283="COMPLETE", OR(K283="INC", ISBLANK(INDEX(data!O:O, ROW())))), J283, K283)</f>
        <v>2025-09-18T16:47:29.850+08</v>
      </c>
      <c r="M283" s="2">
        <v>45918.0</v>
      </c>
      <c r="N283" s="2">
        <f t="array" ref="N283">IF(M283&lt;&gt;"INC", INDEX(data!M:M, MATCH(B283, data!D:D, 0)), "")</f>
        <v>2</v>
      </c>
      <c r="O283" s="2">
        <f t="shared" si="3"/>
        <v>2</v>
      </c>
    </row>
    <row r="284">
      <c r="A284" s="2" t="str">
        <f t="shared" si="1"/>
        <v>H004787</v>
      </c>
      <c r="B284" s="1" t="s">
        <v>7093</v>
      </c>
      <c r="C284" s="9" t="str">
        <f t="array" ref="C284">IF(
  AND(
    IFERROR(MATCH(Caseslist!B284, data!D:D, 0), 0) &gt; 0,
    IFERROR(INDEX(data!N:N, MATCH(Caseslist!B284, data!D:D, 0)) = 1, FALSE)
  ),
  "COMPLETE",
  "INC"
)</f>
        <v>COMPLETE</v>
      </c>
      <c r="D284" s="9">
        <f t="array" ref="D284">IFERROR(INDEX(data!$G:$G,match(Caseslist!B284,data!$D:$D,0)), "INC")</f>
        <v>841329</v>
      </c>
      <c r="E284" s="9" t="str">
        <f t="array" ref="E284">IFERROR(INDEX(data!H:H,match(Caseslist!B284,data!D:D,0)), "INC")</f>
        <v>Aila Eli_2</v>
      </c>
      <c r="F284" s="10" t="str">
        <f t="array" ref="F284">IF(
    OR(
      IFNA(INDEX(data!M:M, MATCH(Caseslist!B284, data!D:D, 0)), "") = "",
      IFNA(INDEX(data!M:M, MATCH(Caseslist!B284, data!D:D, 0)), 0) = 0
    ),
    "COMPLETE",
    IF(
      IFNA(INDEX(dataICM!D:D, MATCH(Caseslist!B284, dataICM!D:D, 0)), "INC") = "INC",
      IFNA(INDEX(dataICM!D:D, MATCH(Caseslist!B284, dataICM!D:D, 0)), "INC"),
      "COMPLETE"
    )
  )</f>
        <v>COMPLETE</v>
      </c>
      <c r="G284" s="10" t="str">
        <f t="array" ref="G284">IF(IFERROR(INDEX(data!L:L,match(Caseslist!B284,data!D:D,0)),"INC")="","COMPLETE",F284)</f>
        <v>COMPLETE</v>
      </c>
      <c r="H284" s="9" t="str">
        <f t="array" ref="H284">IFERROR(INDEX(dataICM!F:F,match(Caseslist!B284,dataICM!D:D,0)), "INC")</f>
        <v>Aila Eli_2</v>
      </c>
      <c r="I284" s="10">
        <f t="shared" si="2"/>
        <v>841329</v>
      </c>
      <c r="J284" s="9" t="str">
        <f t="array" ref="J284">IF(
  AND(
    IFERROR(MATCH(B284, data!D:D, 0), 0) &gt; 0,
    IFERROR(INDEX(data!N:N, MATCH(B284, data!D:D, 0)) = 1, FALSE)
  ),
  INDEX(data!C:C, MATCH(B284, data!D:D, 0)),
  "INC"
)</f>
        <v>2025-09-18T13:07:38.185+08</v>
      </c>
      <c r="K284" s="9" t="str">
        <f t="array" ref="K284">IFERROR(INDEX(dataICM!C:C,match(Caseslist!B284,dataICM!D:D,0)), "INC")</f>
        <v>2025-09-18T13:15:02.379+08</v>
      </c>
      <c r="L284" s="10" t="str">
        <f t="array" ref="L284">IF(AND(G284="COMPLETE", OR(K284="INC", ISBLANK(INDEX(data!O:O, ROW())))), J284, K284)</f>
        <v>2025-09-18T13:15:02.379+08</v>
      </c>
      <c r="M284" s="2">
        <v>45918.0</v>
      </c>
      <c r="N284" s="2">
        <f t="array" ref="N284">IF(M284&lt;&gt;"INC", INDEX(data!M:M, MATCH(B284, data!D:D, 0)), "")</f>
        <v>2</v>
      </c>
      <c r="O284" s="2">
        <f t="shared" si="3"/>
        <v>2</v>
      </c>
    </row>
    <row r="285">
      <c r="A285" s="2" t="str">
        <f t="shared" si="1"/>
        <v>H004787</v>
      </c>
      <c r="B285" s="1" t="s">
        <v>7373</v>
      </c>
      <c r="C285" s="9" t="str">
        <f t="array" ref="C285">IF(
  AND(
    IFERROR(MATCH(Caseslist!B285, data!D:D, 0), 0) &gt; 0,
    IFERROR(INDEX(data!N:N, MATCH(Caseslist!B285, data!D:D, 0)) = 1, FALSE)
  ),
  "COMPLETE",
  "INC"
)</f>
        <v>COMPLETE</v>
      </c>
      <c r="D285" s="9">
        <f t="array" ref="D285">IFERROR(INDEX(data!$G:$G,match(Caseslist!B285,data!$D:$D,0)), "INC")</f>
        <v>455939</v>
      </c>
      <c r="E285" s="9" t="str">
        <f t="array" ref="E285">IFERROR(INDEX(data!H:H,match(Caseslist!B285,data!D:D,0)), "INC")</f>
        <v>Mary Jean Villaflor_2</v>
      </c>
      <c r="F285" s="10" t="str">
        <f t="array" ref="F285">IF(
    OR(
      IFNA(INDEX(data!M:M, MATCH(Caseslist!B285, data!D:D, 0)), "") = "",
      IFNA(INDEX(data!M:M, MATCH(Caseslist!B285, data!D:D, 0)), 0) = 0
    ),
    "COMPLETE",
    IF(
      IFNA(INDEX(dataICM!D:D, MATCH(Caseslist!B285, dataICM!D:D, 0)), "INC") = "INC",
      IFNA(INDEX(dataICM!D:D, MATCH(Caseslist!B285, dataICM!D:D, 0)), "INC"),
      "COMPLETE"
    )
  )</f>
        <v>COMPLETE</v>
      </c>
      <c r="G285" s="10" t="str">
        <f t="array" ref="G285">IF(IFERROR(INDEX(data!L:L,match(Caseslist!B285,data!D:D,0)),"INC")="","COMPLETE",F285)</f>
        <v>COMPLETE</v>
      </c>
      <c r="H285" s="9" t="str">
        <f t="array" ref="H285">IFERROR(INDEX(dataICM!F:F,match(Caseslist!B285,dataICM!D:D,0)), "INC")</f>
        <v>Mary Jean Villaflor_2</v>
      </c>
      <c r="I285" s="10">
        <f t="shared" si="2"/>
        <v>455939</v>
      </c>
      <c r="J285" s="9" t="str">
        <f t="array" ref="J285">IF(
  AND(
    IFERROR(MATCH(B285, data!D:D, 0), 0) &gt; 0,
    IFERROR(INDEX(data!N:N, MATCH(B285, data!D:D, 0)) = 1, FALSE)
  ),
  INDEX(data!C:C, MATCH(B285, data!D:D, 0)),
  "INC"
)</f>
        <v>2025-09-18T13:20:06.292+08</v>
      </c>
      <c r="K285" s="9" t="str">
        <f t="array" ref="K285">IFERROR(INDEX(dataICM!C:C,match(Caseslist!B285,dataICM!D:D,0)), "INC")</f>
        <v>2025-09-18T13:24:54.515+08</v>
      </c>
      <c r="L285" s="10" t="str">
        <f t="array" ref="L285">IF(AND(G285="COMPLETE", OR(K285="INC", ISBLANK(INDEX(data!O:O, ROW())))), J285, K285)</f>
        <v>2025-09-18T13:24:54.515+08</v>
      </c>
      <c r="M285" s="2">
        <v>45918.0</v>
      </c>
      <c r="N285" s="2">
        <f t="array" ref="N285">IF(M285&lt;&gt;"INC", INDEX(data!M:M, MATCH(B285, data!D:D, 0)), "")</f>
        <v>2</v>
      </c>
      <c r="O285" s="2">
        <f t="shared" si="3"/>
        <v>2</v>
      </c>
    </row>
    <row r="286">
      <c r="A286" s="2" t="str">
        <f t="shared" si="1"/>
        <v>H004787</v>
      </c>
      <c r="B286" s="1" t="s">
        <v>7268</v>
      </c>
      <c r="C286" s="9" t="str">
        <f t="array" ref="C286">IF(
  AND(
    IFERROR(MATCH(Caseslist!B286, data!D:D, 0), 0) &gt; 0,
    IFERROR(INDEX(data!N:N, MATCH(Caseslist!B286, data!D:D, 0)) = 1, FALSE)
  ),
  "COMPLETE",
  "INC"
)</f>
        <v>COMPLETE</v>
      </c>
      <c r="D286" s="9">
        <f t="array" ref="D286">IFERROR(INDEX(data!$G:$G,match(Caseslist!B286,data!$D:$D,0)), "INC")</f>
        <v>555127</v>
      </c>
      <c r="E286" s="9" t="str">
        <f t="array" ref="E286">IFERROR(INDEX(data!H:H,match(Caseslist!B286,data!D:D,0)), "INC")</f>
        <v>Mary May_2</v>
      </c>
      <c r="F286" s="10" t="str">
        <f t="array" ref="F286">IF(
    OR(
      IFNA(INDEX(data!M:M, MATCH(Caseslist!B286, data!D:D, 0)), "") = "",
      IFNA(INDEX(data!M:M, MATCH(Caseslist!B286, data!D:D, 0)), 0) = 0
    ),
    "COMPLETE",
    IF(
      IFNA(INDEX(dataICM!D:D, MATCH(Caseslist!B286, dataICM!D:D, 0)), "INC") = "INC",
      IFNA(INDEX(dataICM!D:D, MATCH(Caseslist!B286, dataICM!D:D, 0)), "INC"),
      "COMPLETE"
    )
  )</f>
        <v>COMPLETE</v>
      </c>
      <c r="G286" s="10" t="str">
        <f t="array" ref="G286">IF(IFERROR(INDEX(data!L:L,match(Caseslist!B286,data!D:D,0)),"INC")="","COMPLETE",F286)</f>
        <v>COMPLETE</v>
      </c>
      <c r="H286" s="9" t="str">
        <f t="array" ref="H286">IFERROR(INDEX(dataICM!F:F,match(Caseslist!B286,dataICM!D:D,0)), "INC")</f>
        <v>Mary May_2</v>
      </c>
      <c r="I286" s="10">
        <f t="shared" si="2"/>
        <v>555127</v>
      </c>
      <c r="J286" s="9" t="str">
        <f t="array" ref="J286">IF(
  AND(
    IFERROR(MATCH(B286, data!D:D, 0), 0) &gt; 0,
    IFERROR(INDEX(data!N:N, MATCH(B286, data!D:D, 0)) = 1, FALSE)
  ),
  INDEX(data!C:C, MATCH(B286, data!D:D, 0)),
  "INC"
)</f>
        <v>2025-09-18T10:22:53.292+08</v>
      </c>
      <c r="K286" s="9" t="str">
        <f t="array" ref="K286">IFERROR(INDEX(dataICM!C:C,match(Caseslist!B286,dataICM!D:D,0)), "INC")</f>
        <v>2025-09-18T10:36:31.924+08</v>
      </c>
      <c r="L286" s="10" t="str">
        <f t="array" ref="L286">IF(AND(G286="COMPLETE", OR(K286="INC", ISBLANK(INDEX(data!O:O, ROW())))), J286, K286)</f>
        <v>2025-09-18T10:36:31.924+08</v>
      </c>
      <c r="M286" s="2">
        <v>45918.0</v>
      </c>
      <c r="N286" s="2">
        <f t="array" ref="N286">IF(M286&lt;&gt;"INC", INDEX(data!M:M, MATCH(B286, data!D:D, 0)), "")</f>
        <v>2</v>
      </c>
      <c r="O286" s="2">
        <f t="shared" si="3"/>
        <v>2</v>
      </c>
    </row>
    <row r="287">
      <c r="A287" s="2" t="str">
        <f t="shared" si="1"/>
        <v>H004787</v>
      </c>
      <c r="B287" s="1" t="s">
        <v>7088</v>
      </c>
      <c r="C287" s="9" t="str">
        <f t="array" ref="C287">IF(
  AND(
    IFERROR(MATCH(Caseslist!B287, data!D:D, 0), 0) &gt; 0,
    IFERROR(INDEX(data!N:N, MATCH(Caseslist!B287, data!D:D, 0)) = 1, FALSE)
  ),
  "COMPLETE",
  "INC"
)</f>
        <v>COMPLETE</v>
      </c>
      <c r="D287" s="9">
        <f t="array" ref="D287">IFERROR(INDEX(data!$G:$G,match(Caseslist!B287,data!$D:$D,0)), "INC")</f>
        <v>841329</v>
      </c>
      <c r="E287" s="9" t="str">
        <f t="array" ref="E287">IFERROR(INDEX(data!H:H,match(Caseslist!B287,data!D:D,0)), "INC")</f>
        <v>Aila Eli_2</v>
      </c>
      <c r="F287" s="10" t="str">
        <f t="array" ref="F287">IF(
    OR(
      IFNA(INDEX(data!M:M, MATCH(Caseslist!B287, data!D:D, 0)), "") = "",
      IFNA(INDEX(data!M:M, MATCH(Caseslist!B287, data!D:D, 0)), 0) = 0
    ),
    "COMPLETE",
    IF(
      IFNA(INDEX(dataICM!D:D, MATCH(Caseslist!B287, dataICM!D:D, 0)), "INC") = "INC",
      IFNA(INDEX(dataICM!D:D, MATCH(Caseslist!B287, dataICM!D:D, 0)), "INC"),
      "COMPLETE"
    )
  )</f>
        <v>COMPLETE</v>
      </c>
      <c r="G287" s="10" t="str">
        <f t="array" ref="G287">IF(IFERROR(INDEX(data!L:L,match(Caseslist!B287,data!D:D,0)),"INC")="","COMPLETE",F287)</f>
        <v>COMPLETE</v>
      </c>
      <c r="H287" s="9" t="str">
        <f t="array" ref="H287">IFERROR(INDEX(dataICM!F:F,match(Caseslist!B287,dataICM!D:D,0)), "INC")</f>
        <v>Aila Eli_2</v>
      </c>
      <c r="I287" s="10">
        <f t="shared" si="2"/>
        <v>841329</v>
      </c>
      <c r="J287" s="9" t="str">
        <f t="array" ref="J287">IF(
  AND(
    IFERROR(MATCH(B287, data!D:D, 0), 0) &gt; 0,
    IFERROR(INDEX(data!N:N, MATCH(B287, data!D:D, 0)) = 1, FALSE)
  ),
  INDEX(data!C:C, MATCH(B287, data!D:D, 0)),
  "INC"
)</f>
        <v>2025-09-18T11:48:07.364+08</v>
      </c>
      <c r="K287" s="9" t="str">
        <f t="array" ref="K287">IFERROR(INDEX(dataICM!C:C,match(Caseslist!B287,dataICM!D:D,0)), "INC")</f>
        <v>2025-09-18T11:51:50.576+08</v>
      </c>
      <c r="L287" s="10" t="str">
        <f t="array" ref="L287">IF(AND(G287="COMPLETE", OR(K287="INC", ISBLANK(INDEX(data!O:O, ROW())))), J287, K287)</f>
        <v>2025-09-18T11:51:50.576+08</v>
      </c>
      <c r="M287" s="2">
        <v>45918.0</v>
      </c>
      <c r="N287" s="2">
        <f t="array" ref="N287">IF(M287&lt;&gt;"INC", INDEX(data!M:M, MATCH(B287, data!D:D, 0)), "")</f>
        <v>2</v>
      </c>
      <c r="O287" s="2">
        <f t="shared" si="3"/>
        <v>2</v>
      </c>
    </row>
    <row r="288">
      <c r="A288" s="2" t="str">
        <f t="shared" si="1"/>
        <v>H004787</v>
      </c>
      <c r="B288" s="1" t="s">
        <v>7378</v>
      </c>
      <c r="C288" s="9" t="str">
        <f t="array" ref="C288">IF(
  AND(
    IFERROR(MATCH(Caseslist!B288, data!D:D, 0), 0) &gt; 0,
    IFERROR(INDEX(data!N:N, MATCH(Caseslist!B288, data!D:D, 0)) = 1, FALSE)
  ),
  "COMPLETE",
  "INC"
)</f>
        <v>COMPLETE</v>
      </c>
      <c r="D288" s="9">
        <f t="array" ref="D288">IFERROR(INDEX(data!$G:$G,match(Caseslist!B288,data!$D:$D,0)), "INC")</f>
        <v>455939</v>
      </c>
      <c r="E288" s="9" t="str">
        <f t="array" ref="E288">IFERROR(INDEX(data!H:H,match(Caseslist!B288,data!D:D,0)), "INC")</f>
        <v>Mary Jean Villaflor_2</v>
      </c>
      <c r="F288" s="10" t="str">
        <f t="array" ref="F288">IF(
    OR(
      IFNA(INDEX(data!M:M, MATCH(Caseslist!B288, data!D:D, 0)), "") = "",
      IFNA(INDEX(data!M:M, MATCH(Caseslist!B288, data!D:D, 0)), 0) = 0
    ),
    "COMPLETE",
    IF(
      IFNA(INDEX(dataICM!D:D, MATCH(Caseslist!B288, dataICM!D:D, 0)), "INC") = "INC",
      IFNA(INDEX(dataICM!D:D, MATCH(Caseslist!B288, dataICM!D:D, 0)), "INC"),
      "COMPLETE"
    )
  )</f>
        <v>COMPLETE</v>
      </c>
      <c r="G288" s="10" t="str">
        <f t="array" ref="G288">IF(IFERROR(INDEX(data!L:L,match(Caseslist!B288,data!D:D,0)),"INC")="","COMPLETE",F288)</f>
        <v>COMPLETE</v>
      </c>
      <c r="H288" s="9" t="str">
        <f t="array" ref="H288">IFERROR(INDEX(dataICM!F:F,match(Caseslist!B288,dataICM!D:D,0)), "INC")</f>
        <v>Mary Jean Villaflor_2</v>
      </c>
      <c r="I288" s="10">
        <f t="shared" si="2"/>
        <v>455939</v>
      </c>
      <c r="J288" s="9" t="str">
        <f t="array" ref="J288">IF(
  AND(
    IFERROR(MATCH(B288, data!D:D, 0), 0) &gt; 0,
    IFERROR(INDEX(data!N:N, MATCH(B288, data!D:D, 0)) = 1, FALSE)
  ),
  INDEX(data!C:C, MATCH(B288, data!D:D, 0)),
  "INC"
)</f>
        <v>2025-09-18T14:15:48.265+08</v>
      </c>
      <c r="K288" s="9" t="str">
        <f t="array" ref="K288">IFERROR(INDEX(dataICM!C:C,match(Caseslist!B288,dataICM!D:D,0)), "INC")</f>
        <v>2025-09-18T14:19:18.280+08</v>
      </c>
      <c r="L288" s="10" t="str">
        <f t="array" ref="L288">IF(AND(G288="COMPLETE", OR(K288="INC", ISBLANK(INDEX(data!O:O, ROW())))), J288, K288)</f>
        <v>2025-09-18T14:19:18.280+08</v>
      </c>
      <c r="M288" s="2">
        <v>45918.0</v>
      </c>
      <c r="N288" s="2">
        <f t="array" ref="N288">IF(M288&lt;&gt;"INC", INDEX(data!M:M, MATCH(B288, data!D:D, 0)), "")</f>
        <v>2</v>
      </c>
      <c r="O288" s="2">
        <f t="shared" si="3"/>
        <v>2</v>
      </c>
    </row>
    <row r="289">
      <c r="A289" s="2" t="str">
        <f t="shared" si="1"/>
        <v>H004787</v>
      </c>
      <c r="B289" s="1" t="s">
        <v>7273</v>
      </c>
      <c r="C289" s="9" t="str">
        <f t="array" ref="C289">IF(
  AND(
    IFERROR(MATCH(Caseslist!B289, data!D:D, 0), 0) &gt; 0,
    IFERROR(INDEX(data!N:N, MATCH(Caseslist!B289, data!D:D, 0)) = 1, FALSE)
  ),
  "COMPLETE",
  "INC"
)</f>
        <v>COMPLETE</v>
      </c>
      <c r="D289" s="9">
        <f t="array" ref="D289">IFERROR(INDEX(data!$G:$G,match(Caseslist!B289,data!$D:$D,0)), "INC")</f>
        <v>555127</v>
      </c>
      <c r="E289" s="9" t="str">
        <f t="array" ref="E289">IFERROR(INDEX(data!H:H,match(Caseslist!B289,data!D:D,0)), "INC")</f>
        <v>Mary May_2</v>
      </c>
      <c r="F289" s="10" t="str">
        <f t="array" ref="F289">IF(
    OR(
      IFNA(INDEX(data!M:M, MATCH(Caseslist!B289, data!D:D, 0)), "") = "",
      IFNA(INDEX(data!M:M, MATCH(Caseslist!B289, data!D:D, 0)), 0) = 0
    ),
    "COMPLETE",
    IF(
      IFNA(INDEX(dataICM!D:D, MATCH(Caseslist!B289, dataICM!D:D, 0)), "INC") = "INC",
      IFNA(INDEX(dataICM!D:D, MATCH(Caseslist!B289, dataICM!D:D, 0)), "INC"),
      "COMPLETE"
    )
  )</f>
        <v>COMPLETE</v>
      </c>
      <c r="G289" s="10" t="str">
        <f t="array" ref="G289">IF(IFERROR(INDEX(data!L:L,match(Caseslist!B289,data!D:D,0)),"INC")="","COMPLETE",F289)</f>
        <v>COMPLETE</v>
      </c>
      <c r="H289" s="9" t="str">
        <f t="array" ref="H289">IFERROR(INDEX(dataICM!F:F,match(Caseslist!B289,dataICM!D:D,0)), "INC")</f>
        <v>Mary May_2</v>
      </c>
      <c r="I289" s="10">
        <f t="shared" si="2"/>
        <v>555127</v>
      </c>
      <c r="J289" s="9" t="str">
        <f t="array" ref="J289">IF(
  AND(
    IFERROR(MATCH(B289, data!D:D, 0), 0) &gt; 0,
    IFERROR(INDEX(data!N:N, MATCH(B289, data!D:D, 0)) = 1, FALSE)
  ),
  INDEX(data!C:C, MATCH(B289, data!D:D, 0)),
  "INC"
)</f>
        <v>2025-09-18T11:39:02.812+08</v>
      </c>
      <c r="K289" s="9" t="str">
        <f t="array" ref="K289">IFERROR(INDEX(dataICM!C:C,match(Caseslist!B289,dataICM!D:D,0)), "INC")</f>
        <v>2025-09-18T11:45:09.080+08</v>
      </c>
      <c r="L289" s="10" t="str">
        <f t="array" ref="L289">IF(AND(G289="COMPLETE", OR(K289="INC", ISBLANK(INDEX(data!O:O, ROW())))), J289, K289)</f>
        <v>2025-09-18T11:45:09.080+08</v>
      </c>
      <c r="M289" s="2">
        <v>45918.0</v>
      </c>
      <c r="N289" s="2">
        <f t="array" ref="N289">IF(M289&lt;&gt;"INC", INDEX(data!M:M, MATCH(B289, data!D:D, 0)), "")</f>
        <v>2</v>
      </c>
      <c r="O289" s="2">
        <f t="shared" si="3"/>
        <v>2</v>
      </c>
    </row>
    <row r="290">
      <c r="A290" s="2" t="str">
        <f t="shared" si="1"/>
        <v>H004787</v>
      </c>
      <c r="B290" s="1" t="s">
        <v>7283</v>
      </c>
      <c r="C290" s="9" t="str">
        <f t="array" ref="C290">IF(
  AND(
    IFERROR(MATCH(Caseslist!B290, data!D:D, 0), 0) &gt; 0,
    IFERROR(INDEX(data!N:N, MATCH(Caseslist!B290, data!D:D, 0)) = 1, FALSE)
  ),
  "COMPLETE",
  "INC"
)</f>
        <v>COMPLETE</v>
      </c>
      <c r="D290" s="9">
        <f t="array" ref="D290">IFERROR(INDEX(data!$G:$G,match(Caseslist!B290,data!$D:$D,0)), "INC")</f>
        <v>555127</v>
      </c>
      <c r="E290" s="9" t="str">
        <f t="array" ref="E290">IFERROR(INDEX(data!H:H,match(Caseslist!B290,data!D:D,0)), "INC")</f>
        <v>Mary May_2</v>
      </c>
      <c r="F290" s="10" t="str">
        <f t="array" ref="F290">IF(
    OR(
      IFNA(INDEX(data!M:M, MATCH(Caseslist!B290, data!D:D, 0)), "") = "",
      IFNA(INDEX(data!M:M, MATCH(Caseslist!B290, data!D:D, 0)), 0) = 0
    ),
    "COMPLETE",
    IF(
      IFNA(INDEX(dataICM!D:D, MATCH(Caseslist!B290, dataICM!D:D, 0)), "INC") = "INC",
      IFNA(INDEX(dataICM!D:D, MATCH(Caseslist!B290, dataICM!D:D, 0)), "INC"),
      "COMPLETE"
    )
  )</f>
        <v>COMPLETE</v>
      </c>
      <c r="G290" s="10" t="str">
        <f t="array" ref="G290">IF(IFERROR(INDEX(data!L:L,match(Caseslist!B290,data!D:D,0)),"INC")="","COMPLETE",F290)</f>
        <v>COMPLETE</v>
      </c>
      <c r="H290" s="9" t="str">
        <f t="array" ref="H290">IFERROR(INDEX(dataICM!F:F,match(Caseslist!B290,dataICM!D:D,0)), "INC")</f>
        <v>Mary May_2</v>
      </c>
      <c r="I290" s="10">
        <f t="shared" si="2"/>
        <v>555127</v>
      </c>
      <c r="J290" s="9" t="str">
        <f t="array" ref="J290">IF(
  AND(
    IFERROR(MATCH(B290, data!D:D, 0), 0) &gt; 0,
    IFERROR(INDEX(data!N:N, MATCH(B290, data!D:D, 0)) = 1, FALSE)
  ),
  INDEX(data!C:C, MATCH(B290, data!D:D, 0)),
  "INC"
)</f>
        <v>2025-09-18T13:59:18.923+08</v>
      </c>
      <c r="K290" s="9" t="str">
        <f t="array" ref="K290">IFERROR(INDEX(dataICM!C:C,match(Caseslist!B290,dataICM!D:D,0)), "INC")</f>
        <v>2025-09-18T14:02:14.843+08</v>
      </c>
      <c r="L290" s="10" t="str">
        <f t="array" ref="L290">IF(AND(G290="COMPLETE", OR(K290="INC", ISBLANK(INDEX(data!O:O, ROW())))), J290, K290)</f>
        <v>2025-09-18T14:02:14.843+08</v>
      </c>
      <c r="M290" s="2">
        <v>45918.0</v>
      </c>
      <c r="N290" s="2">
        <f t="array" ref="N290">IF(M290&lt;&gt;"INC", INDEX(data!M:M, MATCH(B290, data!D:D, 0)), "")</f>
        <v>2</v>
      </c>
      <c r="O290" s="2">
        <f t="shared" si="3"/>
        <v>2</v>
      </c>
    </row>
    <row r="291">
      <c r="A291" s="2" t="str">
        <f t="shared" si="1"/>
        <v>H004854</v>
      </c>
      <c r="B291" s="1" t="s">
        <v>5928</v>
      </c>
      <c r="C291" s="9" t="str">
        <f t="array" ref="C291">IF(
  AND(
    IFERROR(MATCH(Caseslist!B291, data!D:D, 0), 0) &gt; 0,
    IFERROR(INDEX(data!N:N, MATCH(Caseslist!B291, data!D:D, 0)) = 1, FALSE)
  ),
  "COMPLETE",
  "INC"
)</f>
        <v>COMPLETE</v>
      </c>
      <c r="D291" s="9">
        <f t="array" ref="D291">IFERROR(INDEX(data!$G:$G,match(Caseslist!B291,data!$D:$D,0)), "INC")</f>
        <v>859767</v>
      </c>
      <c r="E291" s="9" t="str">
        <f t="array" ref="E291">IFERROR(INDEX(data!H:H,match(Caseslist!B291,data!D:D,0)), "INC")</f>
        <v>Ramie De Pedro Jr._2</v>
      </c>
      <c r="F291" s="10" t="str">
        <f t="array" ref="F291">IF(
    OR(
      IFNA(INDEX(data!M:M, MATCH(Caseslist!B291, data!D:D, 0)), "") = "",
      IFNA(INDEX(data!M:M, MATCH(Caseslist!B291, data!D:D, 0)), 0) = 0
    ),
    "COMPLETE",
    IF(
      IFNA(INDEX(dataICM!D:D, MATCH(Caseslist!B291, dataICM!D:D, 0)), "INC") = "INC",
      IFNA(INDEX(dataICM!D:D, MATCH(Caseslist!B291, dataICM!D:D, 0)), "INC"),
      "COMPLETE"
    )
  )</f>
        <v>COMPLETE</v>
      </c>
      <c r="G291" s="10" t="str">
        <f t="array" ref="G291">IF(IFERROR(INDEX(data!L:L,match(Caseslist!B291,data!D:D,0)),"INC")="","COMPLETE",F291)</f>
        <v>COMPLETE</v>
      </c>
      <c r="H291" s="9" t="str">
        <f t="array" ref="H291">IFERROR(INDEX(dataICM!F:F,match(Caseslist!B291,dataICM!D:D,0)), "INC")</f>
        <v>INC</v>
      </c>
      <c r="I291" s="10">
        <f t="shared" si="2"/>
        <v>859767</v>
      </c>
      <c r="J291" s="9" t="str">
        <f t="array" ref="J291">IF(
  AND(
    IFERROR(MATCH(B291, data!D:D, 0), 0) &gt; 0,
    IFERROR(INDEX(data!N:N, MATCH(B291, data!D:D, 0)) = 1, FALSE)
  ),
  INDEX(data!C:C, MATCH(B291, data!D:D, 0)),
  "INC"
)</f>
        <v>2025-09-12T19:59:13.037+08</v>
      </c>
      <c r="K291" s="9" t="str">
        <f t="array" ref="K291">IFERROR(INDEX(dataICM!C:C,match(Caseslist!B291,dataICM!D:D,0)), "INC")</f>
        <v>INC</v>
      </c>
      <c r="L291" s="10" t="str">
        <f t="array" ref="L291">IF(AND(G291="COMPLETE", OR(K291="INC", ISBLANK(INDEX(data!O:O, ROW())))), J291, K291)</f>
        <v>2025-09-12T19:59:13.037+08</v>
      </c>
      <c r="M291" s="2">
        <v>45912.0</v>
      </c>
      <c r="N291" s="2">
        <f t="array" ref="N291">IF(M291&lt;&gt;"INC", INDEX(data!M:M, MATCH(B291, data!D:D, 0)), "")</f>
        <v>0</v>
      </c>
      <c r="O291" s="2">
        <f t="shared" si="3"/>
        <v>0</v>
      </c>
    </row>
    <row r="292">
      <c r="A292" s="2" t="str">
        <f t="shared" si="1"/>
        <v>H004854</v>
      </c>
      <c r="B292" s="1" t="s">
        <v>5793</v>
      </c>
      <c r="C292" s="9" t="str">
        <f t="array" ref="C292">IF(
  AND(
    IFERROR(MATCH(Caseslist!B292, data!D:D, 0), 0) &gt; 0,
    IFERROR(INDEX(data!N:N, MATCH(Caseslist!B292, data!D:D, 0)) = 1, FALSE)
  ),
  "COMPLETE",
  "INC"
)</f>
        <v>COMPLETE</v>
      </c>
      <c r="D292" s="9" t="str">
        <f t="array" ref="D292">IFERROR(INDEX(data!$G:$G,match(Caseslist!B292,data!$D:$D,0)), "INC")</f>
        <v>S2671943</v>
      </c>
      <c r="E292" s="9" t="str">
        <f t="array" ref="E292">IFERROR(INDEX(data!H:H,match(Caseslist!B292,data!D:D,0)), "INC")</f>
        <v>Marvin Mondia</v>
      </c>
      <c r="F292" s="10" t="str">
        <f t="array" ref="F292">IF(
    OR(
      IFNA(INDEX(data!M:M, MATCH(Caseslist!B292, data!D:D, 0)), "") = "",
      IFNA(INDEX(data!M:M, MATCH(Caseslist!B292, data!D:D, 0)), 0) = 0
    ),
    "COMPLETE",
    IF(
      IFNA(INDEX(dataICM!D:D, MATCH(Caseslist!B292, dataICM!D:D, 0)), "INC") = "INC",
      IFNA(INDEX(dataICM!D:D, MATCH(Caseslist!B292, dataICM!D:D, 0)), "INC"),
      "COMPLETE"
    )
  )</f>
        <v>COMPLETE</v>
      </c>
      <c r="G292" s="10" t="str">
        <f t="array" ref="G292">IF(IFERROR(INDEX(data!L:L,match(Caseslist!B292,data!D:D,0)),"INC")="","COMPLETE",F292)</f>
        <v>COMPLETE</v>
      </c>
      <c r="H292" s="9" t="str">
        <f t="array" ref="H292">IFERROR(INDEX(dataICM!F:F,match(Caseslist!B292,dataICM!D:D,0)), "INC")</f>
        <v>INC</v>
      </c>
      <c r="I292" s="10" t="str">
        <f t="shared" si="2"/>
        <v>S2671943</v>
      </c>
      <c r="J292" s="9" t="str">
        <f t="array" ref="J292">IF(
  AND(
    IFERROR(MATCH(B292, data!D:D, 0), 0) &gt; 0,
    IFERROR(INDEX(data!N:N, MATCH(B292, data!D:D, 0)) = 1, FALSE)
  ),
  INDEX(data!C:C, MATCH(B292, data!D:D, 0)),
  "INC"
)</f>
        <v>2025-09-12T15:40:15.207+08</v>
      </c>
      <c r="K292" s="9" t="str">
        <f t="array" ref="K292">IFERROR(INDEX(dataICM!C:C,match(Caseslist!B292,dataICM!D:D,0)), "INC")</f>
        <v>INC</v>
      </c>
      <c r="L292" s="10" t="str">
        <f t="array" ref="L292">IF(AND(G292="COMPLETE", OR(K292="INC", ISBLANK(INDEX(data!O:O, ROW())))), J292, K292)</f>
        <v>2025-09-12T15:40:15.207+08</v>
      </c>
      <c r="M292" s="2">
        <v>45912.0</v>
      </c>
      <c r="N292" s="2">
        <f t="array" ref="N292">IF(M292&lt;&gt;"INC", INDEX(data!M:M, MATCH(B292, data!D:D, 0)), "")</f>
        <v>0</v>
      </c>
      <c r="O292" s="2">
        <f t="shared" si="3"/>
        <v>0</v>
      </c>
    </row>
    <row r="293">
      <c r="A293" s="2" t="str">
        <f t="shared" si="1"/>
        <v>H004854</v>
      </c>
      <c r="B293" s="1" t="s">
        <v>5953</v>
      </c>
      <c r="C293" s="9" t="str">
        <f t="array" ref="C293">IF(
  AND(
    IFERROR(MATCH(Caseslist!B293, data!D:D, 0), 0) &gt; 0,
    IFERROR(INDEX(data!N:N, MATCH(Caseslist!B293, data!D:D, 0)) = 1, FALSE)
  ),
  "COMPLETE",
  "INC"
)</f>
        <v>COMPLETE</v>
      </c>
      <c r="D293" s="9">
        <f t="array" ref="D293">IFERROR(INDEX(data!$G:$G,match(Caseslist!B293,data!$D:$D,0)), "INC")</f>
        <v>729375</v>
      </c>
      <c r="E293" s="9" t="str">
        <f t="array" ref="E293">IFERROR(INDEX(data!H:H,match(Caseslist!B293,data!D:D,0)), "INC")</f>
        <v>Janet Serafica_2</v>
      </c>
      <c r="F293" s="10" t="str">
        <f t="array" ref="F293">IF(
    OR(
      IFNA(INDEX(data!M:M, MATCH(Caseslist!B293, data!D:D, 0)), "") = "",
      IFNA(INDEX(data!M:M, MATCH(Caseslist!B293, data!D:D, 0)), 0) = 0
    ),
    "COMPLETE",
    IF(
      IFNA(INDEX(dataICM!D:D, MATCH(Caseslist!B293, dataICM!D:D, 0)), "INC") = "INC",
      IFNA(INDEX(dataICM!D:D, MATCH(Caseslist!B293, dataICM!D:D, 0)), "INC"),
      "COMPLETE"
    )
  )</f>
        <v>COMPLETE</v>
      </c>
      <c r="G293" s="10" t="str">
        <f t="array" ref="G293">IF(IFERROR(INDEX(data!L:L,match(Caseslist!B293,data!D:D,0)),"INC")="","COMPLETE",F293)</f>
        <v>COMPLETE</v>
      </c>
      <c r="H293" s="9" t="str">
        <f t="array" ref="H293">IFERROR(INDEX(dataICM!F:F,match(Caseslist!B293,dataICM!D:D,0)), "INC")</f>
        <v>INC</v>
      </c>
      <c r="I293" s="10">
        <f t="shared" si="2"/>
        <v>729375</v>
      </c>
      <c r="J293" s="9" t="str">
        <f t="array" ref="J293">IF(
  AND(
    IFERROR(MATCH(B293, data!D:D, 0), 0) &gt; 0,
    IFERROR(INDEX(data!N:N, MATCH(B293, data!D:D, 0)) = 1, FALSE)
  ),
  INDEX(data!C:C, MATCH(B293, data!D:D, 0)),
  "INC"
)</f>
        <v>2025-09-25T11:06:56.259+08</v>
      </c>
      <c r="K293" s="9" t="str">
        <f t="array" ref="K293">IFERROR(INDEX(dataICM!C:C,match(Caseslist!B293,dataICM!D:D,0)), "INC")</f>
        <v>INC</v>
      </c>
      <c r="L293" s="10" t="str">
        <f t="array" ref="L293">IF(AND(G293="COMPLETE", OR(K293="INC", ISBLANK(INDEX(data!O:O, ROW())))), J293, K293)</f>
        <v>2025-09-25T11:06:56.259+08</v>
      </c>
      <c r="M293" s="2">
        <v>45925.0</v>
      </c>
      <c r="N293" s="2">
        <f t="array" ref="N293">IF(M293&lt;&gt;"INC", INDEX(data!M:M, MATCH(B293, data!D:D, 0)), "")</f>
        <v>0</v>
      </c>
      <c r="O293" s="2">
        <f t="shared" si="3"/>
        <v>0</v>
      </c>
    </row>
    <row r="294">
      <c r="A294" s="2" t="str">
        <f t="shared" si="1"/>
        <v>H004854</v>
      </c>
      <c r="B294" s="1" t="s">
        <v>5788</v>
      </c>
      <c r="C294" s="9" t="str">
        <f t="array" ref="C294">IF(
  AND(
    IFERROR(MATCH(Caseslist!B294, data!D:D, 0), 0) &gt; 0,
    IFERROR(INDEX(data!N:N, MATCH(Caseslist!B294, data!D:D, 0)) = 1, FALSE)
  ),
  "COMPLETE",
  "INC"
)</f>
        <v>COMPLETE</v>
      </c>
      <c r="D294" s="9" t="str">
        <f t="array" ref="D294">IFERROR(INDEX(data!$G:$G,match(Caseslist!B294,data!$D:$D,0)), "INC")</f>
        <v>S2671943</v>
      </c>
      <c r="E294" s="9" t="str">
        <f t="array" ref="E294">IFERROR(INDEX(data!H:H,match(Caseslist!B294,data!D:D,0)), "INC")</f>
        <v>Marvin Mondia</v>
      </c>
      <c r="F294" s="10" t="str">
        <f t="array" ref="F294">IF(
    OR(
      IFNA(INDEX(data!M:M, MATCH(Caseslist!B294, data!D:D, 0)), "") = "",
      IFNA(INDEX(data!M:M, MATCH(Caseslist!B294, data!D:D, 0)), 0) = 0
    ),
    "COMPLETE",
    IF(
      IFNA(INDEX(dataICM!D:D, MATCH(Caseslist!B294, dataICM!D:D, 0)), "INC") = "INC",
      IFNA(INDEX(dataICM!D:D, MATCH(Caseslist!B294, dataICM!D:D, 0)), "INC"),
      "COMPLETE"
    )
  )</f>
        <v>COMPLETE</v>
      </c>
      <c r="G294" s="10" t="str">
        <f t="array" ref="G294">IF(IFERROR(INDEX(data!L:L,match(Caseslist!B294,data!D:D,0)),"INC")="","COMPLETE",F294)</f>
        <v>COMPLETE</v>
      </c>
      <c r="H294" s="9" t="str">
        <f t="array" ref="H294">IFERROR(INDEX(dataICM!F:F,match(Caseslist!B294,dataICM!D:D,0)), "INC")</f>
        <v>INC</v>
      </c>
      <c r="I294" s="10" t="str">
        <f t="shared" si="2"/>
        <v>S2671943</v>
      </c>
      <c r="J294" s="9" t="str">
        <f t="array" ref="J294">IF(
  AND(
    IFERROR(MATCH(B294, data!D:D, 0), 0) &gt; 0,
    IFERROR(INDEX(data!N:N, MATCH(B294, data!D:D, 0)) = 1, FALSE)
  ),
  INDEX(data!C:C, MATCH(B294, data!D:D, 0)),
  "INC"
)</f>
        <v>2025-09-12T11:45:37.437+08</v>
      </c>
      <c r="K294" s="9" t="str">
        <f t="array" ref="K294">IFERROR(INDEX(dataICM!C:C,match(Caseslist!B294,dataICM!D:D,0)), "INC")</f>
        <v>INC</v>
      </c>
      <c r="L294" s="10" t="str">
        <f t="array" ref="L294">IF(AND(G294="COMPLETE", OR(K294="INC", ISBLANK(INDEX(data!O:O, ROW())))), J294, K294)</f>
        <v>2025-09-12T11:45:37.437+08</v>
      </c>
      <c r="M294" s="2">
        <v>45912.0</v>
      </c>
      <c r="N294" s="2">
        <f t="array" ref="N294">IF(M294&lt;&gt;"INC", INDEX(data!M:M, MATCH(B294, data!D:D, 0)), "")</f>
        <v>0</v>
      </c>
      <c r="O294" s="2">
        <f t="shared" si="3"/>
        <v>0</v>
      </c>
    </row>
    <row r="295">
      <c r="A295" s="2" t="str">
        <f t="shared" si="1"/>
        <v>H004854</v>
      </c>
      <c r="B295" s="1" t="s">
        <v>5938</v>
      </c>
      <c r="C295" s="9" t="str">
        <f t="array" ref="C295">IF(
  AND(
    IFERROR(MATCH(Caseslist!B295, data!D:D, 0), 0) &gt; 0,
    IFERROR(INDEX(data!N:N, MATCH(Caseslist!B295, data!D:D, 0)) = 1, FALSE)
  ),
  "COMPLETE",
  "INC"
)</f>
        <v>COMPLETE</v>
      </c>
      <c r="D295" s="9">
        <f t="array" ref="D295">IFERROR(INDEX(data!$G:$G,match(Caseslist!B295,data!$D:$D,0)), "INC")</f>
        <v>729375</v>
      </c>
      <c r="E295" s="9" t="str">
        <f t="array" ref="E295">IFERROR(INDEX(data!H:H,match(Caseslist!B295,data!D:D,0)), "INC")</f>
        <v>Janet Serafica_2</v>
      </c>
      <c r="F295" s="10" t="str">
        <f t="array" ref="F295">IF(
    OR(
      IFNA(INDEX(data!M:M, MATCH(Caseslist!B295, data!D:D, 0)), "") = "",
      IFNA(INDEX(data!M:M, MATCH(Caseslist!B295, data!D:D, 0)), 0) = 0
    ),
    "COMPLETE",
    IF(
      IFNA(INDEX(dataICM!D:D, MATCH(Caseslist!B295, dataICM!D:D, 0)), "INC") = "INC",
      IFNA(INDEX(dataICM!D:D, MATCH(Caseslist!B295, dataICM!D:D, 0)), "INC"),
      "COMPLETE"
    )
  )</f>
        <v>COMPLETE</v>
      </c>
      <c r="G295" s="10" t="str">
        <f t="array" ref="G295">IF(IFERROR(INDEX(data!L:L,match(Caseslist!B295,data!D:D,0)),"INC")="","COMPLETE",F295)</f>
        <v>COMPLETE</v>
      </c>
      <c r="H295" s="9" t="str">
        <f t="array" ref="H295">IFERROR(INDEX(dataICM!F:F,match(Caseslist!B295,dataICM!D:D,0)), "INC")</f>
        <v>INC</v>
      </c>
      <c r="I295" s="10">
        <f t="shared" si="2"/>
        <v>729375</v>
      </c>
      <c r="J295" s="9" t="str">
        <f t="array" ref="J295">IF(
  AND(
    IFERROR(MATCH(B295, data!D:D, 0), 0) &gt; 0,
    IFERROR(INDEX(data!N:N, MATCH(B295, data!D:D, 0)) = 1, FALSE)
  ),
  INDEX(data!C:C, MATCH(B295, data!D:D, 0)),
  "INC"
)</f>
        <v>2025-09-12T12:11:44.574+08</v>
      </c>
      <c r="K295" s="9" t="str">
        <f t="array" ref="K295">IFERROR(INDEX(dataICM!C:C,match(Caseslist!B295,dataICM!D:D,0)), "INC")</f>
        <v>INC</v>
      </c>
      <c r="L295" s="10" t="str">
        <f t="array" ref="L295">IF(AND(G295="COMPLETE", OR(K295="INC", ISBLANK(INDEX(data!O:O, ROW())))), J295, K295)</f>
        <v>2025-09-12T12:11:44.574+08</v>
      </c>
      <c r="M295" s="2">
        <v>45912.0</v>
      </c>
      <c r="N295" s="2">
        <f t="array" ref="N295">IF(M295&lt;&gt;"INC", INDEX(data!M:M, MATCH(B295, data!D:D, 0)), "")</f>
        <v>0</v>
      </c>
      <c r="O295" s="2">
        <f t="shared" si="3"/>
        <v>0</v>
      </c>
    </row>
    <row r="296">
      <c r="A296" s="2" t="str">
        <f t="shared" si="1"/>
        <v>H004854</v>
      </c>
      <c r="B296" s="1" t="s">
        <v>5923</v>
      </c>
      <c r="C296" s="9" t="str">
        <f t="array" ref="C296">IF(
  AND(
    IFERROR(MATCH(Caseslist!B296, data!D:D, 0), 0) &gt; 0,
    IFERROR(INDEX(data!N:N, MATCH(Caseslist!B296, data!D:D, 0)) = 1, FALSE)
  ),
  "COMPLETE",
  "INC"
)</f>
        <v>COMPLETE</v>
      </c>
      <c r="D296" s="9">
        <f t="array" ref="D296">IFERROR(INDEX(data!$G:$G,match(Caseslist!B296,data!$D:$D,0)), "INC")</f>
        <v>859767</v>
      </c>
      <c r="E296" s="9" t="str">
        <f t="array" ref="E296">IFERROR(INDEX(data!H:H,match(Caseslist!B296,data!D:D,0)), "INC")</f>
        <v>Ramie De Pedro Jr._2</v>
      </c>
      <c r="F296" s="10" t="str">
        <f t="array" ref="F296">IF(
    OR(
      IFNA(INDEX(data!M:M, MATCH(Caseslist!B296, data!D:D, 0)), "") = "",
      IFNA(INDEX(data!M:M, MATCH(Caseslist!B296, data!D:D, 0)), 0) = 0
    ),
    "COMPLETE",
    IF(
      IFNA(INDEX(dataICM!D:D, MATCH(Caseslist!B296, dataICM!D:D, 0)), "INC") = "INC",
      IFNA(INDEX(dataICM!D:D, MATCH(Caseslist!B296, dataICM!D:D, 0)), "INC"),
      "COMPLETE"
    )
  )</f>
        <v>COMPLETE</v>
      </c>
      <c r="G296" s="10" t="str">
        <f t="array" ref="G296">IF(IFERROR(INDEX(data!L:L,match(Caseslist!B296,data!D:D,0)),"INC")="","COMPLETE",F296)</f>
        <v>COMPLETE</v>
      </c>
      <c r="H296" s="9" t="str">
        <f t="array" ref="H296">IFERROR(INDEX(dataICM!F:F,match(Caseslist!B296,dataICM!D:D,0)), "INC")</f>
        <v>INC</v>
      </c>
      <c r="I296" s="10">
        <f t="shared" si="2"/>
        <v>859767</v>
      </c>
      <c r="J296" s="9" t="str">
        <f t="array" ref="J296">IF(
  AND(
    IFERROR(MATCH(B296, data!D:D, 0), 0) &gt; 0,
    IFERROR(INDEX(data!N:N, MATCH(B296, data!D:D, 0)) = 1, FALSE)
  ),
  INDEX(data!C:C, MATCH(B296, data!D:D, 0)),
  "INC"
)</f>
        <v>2025-09-12T19:54:44.826+08</v>
      </c>
      <c r="K296" s="9" t="str">
        <f t="array" ref="K296">IFERROR(INDEX(dataICM!C:C,match(Caseslist!B296,dataICM!D:D,0)), "INC")</f>
        <v>INC</v>
      </c>
      <c r="L296" s="10" t="str">
        <f t="array" ref="L296">IF(AND(G296="COMPLETE", OR(K296="INC", ISBLANK(INDEX(data!O:O, ROW())))), J296, K296)</f>
        <v>2025-09-12T19:54:44.826+08</v>
      </c>
      <c r="M296" s="2">
        <v>45912.0</v>
      </c>
      <c r="N296" s="2">
        <f t="array" ref="N296">IF(M296&lt;&gt;"INC", INDEX(data!M:M, MATCH(B296, data!D:D, 0)), "")</f>
        <v>0</v>
      </c>
      <c r="O296" s="2">
        <f t="shared" si="3"/>
        <v>0</v>
      </c>
    </row>
    <row r="297">
      <c r="A297" s="2" t="str">
        <f t="shared" si="1"/>
        <v>H004854</v>
      </c>
      <c r="B297" s="1" t="s">
        <v>5803</v>
      </c>
      <c r="C297" s="9" t="str">
        <f t="array" ref="C297">IF(
  AND(
    IFERROR(MATCH(Caseslist!B297, data!D:D, 0), 0) &gt; 0,
    IFERROR(INDEX(data!N:N, MATCH(Caseslist!B297, data!D:D, 0)) = 1, FALSE)
  ),
  "COMPLETE",
  "INC"
)</f>
        <v>COMPLETE</v>
      </c>
      <c r="D297" s="9">
        <f t="array" ref="D297">IFERROR(INDEX(data!$G:$G,match(Caseslist!B297,data!$D:$D,0)), "INC")</f>
        <v>729375</v>
      </c>
      <c r="E297" s="9" t="str">
        <f t="array" ref="E297">IFERROR(INDEX(data!H:H,match(Caseslist!B297,data!D:D,0)), "INC")</f>
        <v>Janet Serafica_2</v>
      </c>
      <c r="F297" s="10" t="str">
        <f t="array" ref="F297">IF(
    OR(
      IFNA(INDEX(data!M:M, MATCH(Caseslist!B297, data!D:D, 0)), "") = "",
      IFNA(INDEX(data!M:M, MATCH(Caseslist!B297, data!D:D, 0)), 0) = 0
    ),
    "COMPLETE",
    IF(
      IFNA(INDEX(dataICM!D:D, MATCH(Caseslist!B297, dataICM!D:D, 0)), "INC") = "INC",
      IFNA(INDEX(dataICM!D:D, MATCH(Caseslist!B297, dataICM!D:D, 0)), "INC"),
      "COMPLETE"
    )
  )</f>
        <v>COMPLETE</v>
      </c>
      <c r="G297" s="10" t="str">
        <f t="array" ref="G297">IF(IFERROR(INDEX(data!L:L,match(Caseslist!B297,data!D:D,0)),"INC")="","COMPLETE",F297)</f>
        <v>COMPLETE</v>
      </c>
      <c r="H297" s="9" t="str">
        <f t="array" ref="H297">IFERROR(INDEX(dataICM!F:F,match(Caseslist!B297,dataICM!D:D,0)), "INC")</f>
        <v>INC</v>
      </c>
      <c r="I297" s="10">
        <f t="shared" si="2"/>
        <v>729375</v>
      </c>
      <c r="J297" s="9" t="str">
        <f t="array" ref="J297">IF(
  AND(
    IFERROR(MATCH(B297, data!D:D, 0), 0) &gt; 0,
    IFERROR(INDEX(data!N:N, MATCH(B297, data!D:D, 0)) = 1, FALSE)
  ),
  INDEX(data!C:C, MATCH(B297, data!D:D, 0)),
  "INC"
)</f>
        <v>2025-09-25T10:16:04.306+08</v>
      </c>
      <c r="K297" s="9" t="str">
        <f t="array" ref="K297">IFERROR(INDEX(dataICM!C:C,match(Caseslist!B297,dataICM!D:D,0)), "INC")</f>
        <v>INC</v>
      </c>
      <c r="L297" s="10" t="str">
        <f t="array" ref="L297">IF(AND(G297="COMPLETE", OR(K297="INC", ISBLANK(INDEX(data!O:O, ROW())))), J297, K297)</f>
        <v>2025-09-25T10:16:04.306+08</v>
      </c>
      <c r="M297" s="2">
        <v>45925.0</v>
      </c>
      <c r="N297" s="2">
        <f t="array" ref="N297">IF(M297&lt;&gt;"INC", INDEX(data!M:M, MATCH(B297, data!D:D, 0)), "")</f>
        <v>0</v>
      </c>
      <c r="O297" s="2">
        <f t="shared" si="3"/>
        <v>0</v>
      </c>
    </row>
    <row r="298">
      <c r="A298" s="2" t="str">
        <f t="shared" si="1"/>
        <v>H004854</v>
      </c>
      <c r="B298" s="1" t="s">
        <v>5933</v>
      </c>
      <c r="C298" s="9" t="str">
        <f t="array" ref="C298">IF(
  AND(
    IFERROR(MATCH(Caseslist!B298, data!D:D, 0), 0) &gt; 0,
    IFERROR(INDEX(data!N:N, MATCH(Caseslist!B298, data!D:D, 0)) = 1, FALSE)
  ),
  "COMPLETE",
  "INC"
)</f>
        <v>COMPLETE</v>
      </c>
      <c r="D298" s="9">
        <f t="array" ref="D298">IFERROR(INDEX(data!$G:$G,match(Caseslist!B298,data!$D:$D,0)), "INC")</f>
        <v>729375</v>
      </c>
      <c r="E298" s="9" t="str">
        <f t="array" ref="E298">IFERROR(INDEX(data!H:H,match(Caseslist!B298,data!D:D,0)), "INC")</f>
        <v>Janet Serafica_2</v>
      </c>
      <c r="F298" s="10" t="str">
        <f t="array" ref="F298">IF(
    OR(
      IFNA(INDEX(data!M:M, MATCH(Caseslist!B298, data!D:D, 0)), "") = "",
      IFNA(INDEX(data!M:M, MATCH(Caseslist!B298, data!D:D, 0)), 0) = 0
    ),
    "COMPLETE",
    IF(
      IFNA(INDEX(dataICM!D:D, MATCH(Caseslist!B298, dataICM!D:D, 0)), "INC") = "INC",
      IFNA(INDEX(dataICM!D:D, MATCH(Caseslist!B298, dataICM!D:D, 0)), "INC"),
      "COMPLETE"
    )
  )</f>
        <v>COMPLETE</v>
      </c>
      <c r="G298" s="10" t="str">
        <f t="array" ref="G298">IF(IFERROR(INDEX(data!L:L,match(Caseslist!B298,data!D:D,0)),"INC")="","COMPLETE",F298)</f>
        <v>COMPLETE</v>
      </c>
      <c r="H298" s="9" t="str">
        <f t="array" ref="H298">IFERROR(INDEX(dataICM!F:F,match(Caseslist!B298,dataICM!D:D,0)), "INC")</f>
        <v>INC</v>
      </c>
      <c r="I298" s="10">
        <f t="shared" si="2"/>
        <v>729375</v>
      </c>
      <c r="J298" s="9" t="str">
        <f t="array" ref="J298">IF(
  AND(
    IFERROR(MATCH(B298, data!D:D, 0), 0) &gt; 0,
    IFERROR(INDEX(data!N:N, MATCH(B298, data!D:D, 0)) = 1, FALSE)
  ),
  INDEX(data!C:C, MATCH(B298, data!D:D, 0)),
  "INC"
)</f>
        <v>2025-09-12T10:49:59.505+08</v>
      </c>
      <c r="K298" s="9" t="str">
        <f t="array" ref="K298">IFERROR(INDEX(dataICM!C:C,match(Caseslist!B298,dataICM!D:D,0)), "INC")</f>
        <v>INC</v>
      </c>
      <c r="L298" s="10" t="str">
        <f t="array" ref="L298">IF(AND(G298="COMPLETE", OR(K298="INC", ISBLANK(INDEX(data!O:O, ROW())))), J298, K298)</f>
        <v>2025-09-12T10:49:59.505+08</v>
      </c>
      <c r="M298" s="2">
        <v>45912.0</v>
      </c>
      <c r="N298" s="2">
        <f t="array" ref="N298">IF(M298&lt;&gt;"INC", INDEX(data!M:M, MATCH(B298, data!D:D, 0)), "")</f>
        <v>0</v>
      </c>
      <c r="O298" s="2">
        <f t="shared" si="3"/>
        <v>0</v>
      </c>
    </row>
    <row r="299">
      <c r="A299" s="2" t="str">
        <f t="shared" si="1"/>
        <v>H004854</v>
      </c>
      <c r="B299" s="1" t="s">
        <v>5783</v>
      </c>
      <c r="C299" s="9" t="str">
        <f t="array" ref="C299">IF(
  AND(
    IFERROR(MATCH(Caseslist!B299, data!D:D, 0), 0) &gt; 0,
    IFERROR(INDEX(data!N:N, MATCH(Caseslist!B299, data!D:D, 0)) = 1, FALSE)
  ),
  "COMPLETE",
  "INC"
)</f>
        <v>COMPLETE</v>
      </c>
      <c r="D299" s="9" t="str">
        <f t="array" ref="D299">IFERROR(INDEX(data!$G:$G,match(Caseslist!B299,data!$D:$D,0)), "INC")</f>
        <v>S2671943</v>
      </c>
      <c r="E299" s="9" t="str">
        <f t="array" ref="E299">IFERROR(INDEX(data!H:H,match(Caseslist!B299,data!D:D,0)), "INC")</f>
        <v>Marvin Mondia</v>
      </c>
      <c r="F299" s="10" t="str">
        <f t="array" ref="F299">IF(
    OR(
      IFNA(INDEX(data!M:M, MATCH(Caseslist!B299, data!D:D, 0)), "") = "",
      IFNA(INDEX(data!M:M, MATCH(Caseslist!B299, data!D:D, 0)), 0) = 0
    ),
    "COMPLETE",
    IF(
      IFNA(INDEX(dataICM!D:D, MATCH(Caseslist!B299, dataICM!D:D, 0)), "INC") = "INC",
      IFNA(INDEX(dataICM!D:D, MATCH(Caseslist!B299, dataICM!D:D, 0)), "INC"),
      "COMPLETE"
    )
  )</f>
        <v>COMPLETE</v>
      </c>
      <c r="G299" s="10" t="str">
        <f t="array" ref="G299">IF(IFERROR(INDEX(data!L:L,match(Caseslist!B299,data!D:D,0)),"INC")="","COMPLETE",F299)</f>
        <v>COMPLETE</v>
      </c>
      <c r="H299" s="9" t="str">
        <f t="array" ref="H299">IFERROR(INDEX(dataICM!F:F,match(Caseslist!B299,dataICM!D:D,0)), "INC")</f>
        <v>INC</v>
      </c>
      <c r="I299" s="10" t="str">
        <f t="shared" si="2"/>
        <v>S2671943</v>
      </c>
      <c r="J299" s="9" t="str">
        <f t="array" ref="J299">IF(
  AND(
    IFERROR(MATCH(B299, data!D:D, 0), 0) &gt; 0,
    IFERROR(INDEX(data!N:N, MATCH(B299, data!D:D, 0)) = 1, FALSE)
  ),
  INDEX(data!C:C, MATCH(B299, data!D:D, 0)),
  "INC"
)</f>
        <v>2025-09-12T10:46:59.537+08</v>
      </c>
      <c r="K299" s="9" t="str">
        <f t="array" ref="K299">IFERROR(INDEX(dataICM!C:C,match(Caseslist!B299,dataICM!D:D,0)), "INC")</f>
        <v>INC</v>
      </c>
      <c r="L299" s="10" t="str">
        <f t="array" ref="L299">IF(AND(G299="COMPLETE", OR(K299="INC", ISBLANK(INDEX(data!O:O, ROW())))), J299, K299)</f>
        <v>2025-09-12T10:46:59.537+08</v>
      </c>
      <c r="M299" s="2">
        <v>45912.0</v>
      </c>
      <c r="N299" s="2">
        <f t="array" ref="N299">IF(M299&lt;&gt;"INC", INDEX(data!M:M, MATCH(B299, data!D:D, 0)), "")</f>
        <v>0</v>
      </c>
      <c r="O299" s="2">
        <f t="shared" si="3"/>
        <v>0</v>
      </c>
    </row>
    <row r="300">
      <c r="A300" s="2" t="str">
        <f t="shared" si="1"/>
        <v>H004854</v>
      </c>
      <c r="B300" s="1" t="s">
        <v>5908</v>
      </c>
      <c r="C300" s="9" t="str">
        <f t="array" ref="C300">IF(
  AND(
    IFERROR(MATCH(Caseslist!B300, data!D:D, 0), 0) &gt; 0,
    IFERROR(INDEX(data!N:N, MATCH(Caseslist!B300, data!D:D, 0)) = 1, FALSE)
  ),
  "COMPLETE",
  "INC"
)</f>
        <v>COMPLETE</v>
      </c>
      <c r="D300" s="9">
        <f t="array" ref="D300">IFERROR(INDEX(data!$G:$G,match(Caseslist!B300,data!$D:$D,0)), "INC")</f>
        <v>859767</v>
      </c>
      <c r="E300" s="9" t="str">
        <f t="array" ref="E300">IFERROR(INDEX(data!H:H,match(Caseslist!B300,data!D:D,0)), "INC")</f>
        <v>Ramie De Pedro Jr._2</v>
      </c>
      <c r="F300" s="10" t="str">
        <f t="array" ref="F300">IF(
    OR(
      IFNA(INDEX(data!M:M, MATCH(Caseslist!B300, data!D:D, 0)), "") = "",
      IFNA(INDEX(data!M:M, MATCH(Caseslist!B300, data!D:D, 0)), 0) = 0
    ),
    "COMPLETE",
    IF(
      IFNA(INDEX(dataICM!D:D, MATCH(Caseslist!B300, dataICM!D:D, 0)), "INC") = "INC",
      IFNA(INDEX(dataICM!D:D, MATCH(Caseslist!B300, dataICM!D:D, 0)), "INC"),
      "COMPLETE"
    )
  )</f>
        <v>COMPLETE</v>
      </c>
      <c r="G300" s="10" t="str">
        <f t="array" ref="G300">IF(IFERROR(INDEX(data!L:L,match(Caseslist!B300,data!D:D,0)),"INC")="","COMPLETE",F300)</f>
        <v>COMPLETE</v>
      </c>
      <c r="H300" s="9" t="str">
        <f t="array" ref="H300">IFERROR(INDEX(dataICM!F:F,match(Caseslist!B300,dataICM!D:D,0)), "INC")</f>
        <v>INC</v>
      </c>
      <c r="I300" s="10">
        <f t="shared" si="2"/>
        <v>859767</v>
      </c>
      <c r="J300" s="9" t="str">
        <f t="array" ref="J300">IF(
  AND(
    IFERROR(MATCH(B300, data!D:D, 0), 0) &gt; 0,
    IFERROR(INDEX(data!N:N, MATCH(B300, data!D:D, 0)) = 1, FALSE)
  ),
  INDEX(data!C:C, MATCH(B300, data!D:D, 0)),
  "INC"
)</f>
        <v>2025-09-12T10:51:09.443+08</v>
      </c>
      <c r="K300" s="9" t="str">
        <f t="array" ref="K300">IFERROR(INDEX(dataICM!C:C,match(Caseslist!B300,dataICM!D:D,0)), "INC")</f>
        <v>INC</v>
      </c>
      <c r="L300" s="10" t="str">
        <f t="array" ref="L300">IF(AND(G300="COMPLETE", OR(K300="INC", ISBLANK(INDEX(data!O:O, ROW())))), J300, K300)</f>
        <v>2025-09-12T10:51:09.443+08</v>
      </c>
      <c r="M300" s="2">
        <v>45912.0</v>
      </c>
      <c r="N300" s="2">
        <f t="array" ref="N300">IF(M300&lt;&gt;"INC", INDEX(data!M:M, MATCH(B300, data!D:D, 0)), "")</f>
        <v>0</v>
      </c>
      <c r="O300" s="2">
        <f t="shared" si="3"/>
        <v>0</v>
      </c>
    </row>
    <row r="301">
      <c r="A301" s="2" t="str">
        <f t="shared" si="1"/>
        <v>H004854</v>
      </c>
      <c r="B301" s="1" t="s">
        <v>5913</v>
      </c>
      <c r="C301" s="9" t="str">
        <f t="array" ref="C301">IF(
  AND(
    IFERROR(MATCH(Caseslist!B301, data!D:D, 0), 0) &gt; 0,
    IFERROR(INDEX(data!N:N, MATCH(Caseslist!B301, data!D:D, 0)) = 1, FALSE)
  ),
  "COMPLETE",
  "INC"
)</f>
        <v>COMPLETE</v>
      </c>
      <c r="D301" s="9">
        <f t="array" ref="D301">IFERROR(INDEX(data!$G:$G,match(Caseslist!B301,data!$D:$D,0)), "INC")</f>
        <v>859767</v>
      </c>
      <c r="E301" s="9" t="str">
        <f t="array" ref="E301">IFERROR(INDEX(data!H:H,match(Caseslist!B301,data!D:D,0)), "INC")</f>
        <v>Ramie De Pedro Jr._2</v>
      </c>
      <c r="F301" s="10" t="str">
        <f t="array" ref="F301">IF(
    OR(
      IFNA(INDEX(data!M:M, MATCH(Caseslist!B301, data!D:D, 0)), "") = "",
      IFNA(INDEX(data!M:M, MATCH(Caseslist!B301, data!D:D, 0)), 0) = 0
    ),
    "COMPLETE",
    IF(
      IFNA(INDEX(dataICM!D:D, MATCH(Caseslist!B301, dataICM!D:D, 0)), "INC") = "INC",
      IFNA(INDEX(dataICM!D:D, MATCH(Caseslist!B301, dataICM!D:D, 0)), "INC"),
      "COMPLETE"
    )
  )</f>
        <v>COMPLETE</v>
      </c>
      <c r="G301" s="10" t="str">
        <f t="array" ref="G301">IF(IFERROR(INDEX(data!L:L,match(Caseslist!B301,data!D:D,0)),"INC")="","COMPLETE",F301)</f>
        <v>COMPLETE</v>
      </c>
      <c r="H301" s="9" t="str">
        <f t="array" ref="H301">IFERROR(INDEX(dataICM!F:F,match(Caseslist!B301,dataICM!D:D,0)), "INC")</f>
        <v>INC</v>
      </c>
      <c r="I301" s="10">
        <f t="shared" si="2"/>
        <v>859767</v>
      </c>
      <c r="J301" s="9" t="str">
        <f t="array" ref="J301">IF(
  AND(
    IFERROR(MATCH(B301, data!D:D, 0), 0) &gt; 0,
    IFERROR(INDEX(data!N:N, MATCH(B301, data!D:D, 0)) = 1, FALSE)
  ),
  INDEX(data!C:C, MATCH(B301, data!D:D, 0)),
  "INC"
)</f>
        <v>2025-09-12T15:18:28.272+08</v>
      </c>
      <c r="K301" s="9" t="str">
        <f t="array" ref="K301">IFERROR(INDEX(dataICM!C:C,match(Caseslist!B301,dataICM!D:D,0)), "INC")</f>
        <v>INC</v>
      </c>
      <c r="L301" s="10" t="str">
        <f t="array" ref="L301">IF(AND(G301="COMPLETE", OR(K301="INC", ISBLANK(INDEX(data!O:O, ROW())))), J301, K301)</f>
        <v>2025-09-12T15:18:28.272+08</v>
      </c>
      <c r="M301" s="2">
        <v>45912.0</v>
      </c>
      <c r="N301" s="2">
        <f t="array" ref="N301">IF(M301&lt;&gt;"INC", INDEX(data!M:M, MATCH(B301, data!D:D, 0)), "")</f>
        <v>0</v>
      </c>
      <c r="O301" s="2">
        <f t="shared" si="3"/>
        <v>0</v>
      </c>
    </row>
    <row r="302">
      <c r="A302" s="2" t="str">
        <f t="shared" si="1"/>
        <v>H004854</v>
      </c>
      <c r="B302" s="1" t="s">
        <v>5948</v>
      </c>
      <c r="C302" s="9" t="str">
        <f t="array" ref="C302">IF(
  AND(
    IFERROR(MATCH(Caseslist!B302, data!D:D, 0), 0) &gt; 0,
    IFERROR(INDEX(data!N:N, MATCH(Caseslist!B302, data!D:D, 0)) = 1, FALSE)
  ),
  "COMPLETE",
  "INC"
)</f>
        <v>COMPLETE</v>
      </c>
      <c r="D302" s="9">
        <f t="array" ref="D302">IFERROR(INDEX(data!$G:$G,match(Caseslist!B302,data!$D:$D,0)), "INC")</f>
        <v>729375</v>
      </c>
      <c r="E302" s="9" t="str">
        <f t="array" ref="E302">IFERROR(INDEX(data!H:H,match(Caseslist!B302,data!D:D,0)), "INC")</f>
        <v>Janet Serafica_2</v>
      </c>
      <c r="F302" s="10" t="str">
        <f t="array" ref="F302">IF(
    OR(
      IFNA(INDEX(data!M:M, MATCH(Caseslist!B302, data!D:D, 0)), "") = "",
      IFNA(INDEX(data!M:M, MATCH(Caseslist!B302, data!D:D, 0)), 0) = 0
    ),
    "COMPLETE",
    IF(
      IFNA(INDEX(dataICM!D:D, MATCH(Caseslist!B302, dataICM!D:D, 0)), "INC") = "INC",
      IFNA(INDEX(dataICM!D:D, MATCH(Caseslist!B302, dataICM!D:D, 0)), "INC"),
      "COMPLETE"
    )
  )</f>
        <v>COMPLETE</v>
      </c>
      <c r="G302" s="10" t="str">
        <f t="array" ref="G302">IF(IFERROR(INDEX(data!L:L,match(Caseslist!B302,data!D:D,0)),"INC")="","COMPLETE",F302)</f>
        <v>COMPLETE</v>
      </c>
      <c r="H302" s="9" t="str">
        <f t="array" ref="H302">IFERROR(INDEX(dataICM!F:F,match(Caseslist!B302,dataICM!D:D,0)), "INC")</f>
        <v>INC</v>
      </c>
      <c r="I302" s="10">
        <f t="shared" si="2"/>
        <v>729375</v>
      </c>
      <c r="J302" s="9" t="str">
        <f t="array" ref="J302">IF(
  AND(
    IFERROR(MATCH(B302, data!D:D, 0), 0) &gt; 0,
    IFERROR(INDEX(data!N:N, MATCH(B302, data!D:D, 0)) = 1, FALSE)
  ),
  INDEX(data!C:C, MATCH(B302, data!D:D, 0)),
  "INC"
)</f>
        <v>2025-09-25T09:50:09.603+08</v>
      </c>
      <c r="K302" s="9" t="str">
        <f t="array" ref="K302">IFERROR(INDEX(dataICM!C:C,match(Caseslist!B302,dataICM!D:D,0)), "INC")</f>
        <v>INC</v>
      </c>
      <c r="L302" s="10" t="str">
        <f t="array" ref="L302">IF(AND(G302="COMPLETE", OR(K302="INC", ISBLANK(INDEX(data!O:O, ROW())))), J302, K302)</f>
        <v>2025-09-25T09:50:09.603+08</v>
      </c>
      <c r="M302" s="2">
        <v>45925.0</v>
      </c>
      <c r="N302" s="2">
        <f t="array" ref="N302">IF(M302&lt;&gt;"INC", INDEX(data!M:M, MATCH(B302, data!D:D, 0)), "")</f>
        <v>0</v>
      </c>
      <c r="O302" s="2">
        <f t="shared" si="3"/>
        <v>0</v>
      </c>
    </row>
    <row r="303">
      <c r="A303" s="2" t="str">
        <f t="shared" si="1"/>
        <v>H004854</v>
      </c>
      <c r="B303" s="1" t="s">
        <v>5918</v>
      </c>
      <c r="C303" s="9" t="str">
        <f t="array" ref="C303">IF(
  AND(
    IFERROR(MATCH(Caseslist!B303, data!D:D, 0), 0) &gt; 0,
    IFERROR(INDEX(data!N:N, MATCH(Caseslist!B303, data!D:D, 0)) = 1, FALSE)
  ),
  "COMPLETE",
  "INC"
)</f>
        <v>COMPLETE</v>
      </c>
      <c r="D303" s="9">
        <f t="array" ref="D303">IFERROR(INDEX(data!$G:$G,match(Caseslist!B303,data!$D:$D,0)), "INC")</f>
        <v>859767</v>
      </c>
      <c r="E303" s="9" t="str">
        <f t="array" ref="E303">IFERROR(INDEX(data!H:H,match(Caseslist!B303,data!D:D,0)), "INC")</f>
        <v>Ramie De Pedro Jr._2</v>
      </c>
      <c r="F303" s="10" t="str">
        <f t="array" ref="F303">IF(
    OR(
      IFNA(INDEX(data!M:M, MATCH(Caseslist!B303, data!D:D, 0)), "") = "",
      IFNA(INDEX(data!M:M, MATCH(Caseslist!B303, data!D:D, 0)), 0) = 0
    ),
    "COMPLETE",
    IF(
      IFNA(INDEX(dataICM!D:D, MATCH(Caseslist!B303, dataICM!D:D, 0)), "INC") = "INC",
      IFNA(INDEX(dataICM!D:D, MATCH(Caseslist!B303, dataICM!D:D, 0)), "INC"),
      "COMPLETE"
    )
  )</f>
        <v>COMPLETE</v>
      </c>
      <c r="G303" s="10" t="str">
        <f t="array" ref="G303">IF(IFERROR(INDEX(data!L:L,match(Caseslist!B303,data!D:D,0)),"INC")="","COMPLETE",F303)</f>
        <v>COMPLETE</v>
      </c>
      <c r="H303" s="9" t="str">
        <f t="array" ref="H303">IFERROR(INDEX(dataICM!F:F,match(Caseslist!B303,dataICM!D:D,0)), "INC")</f>
        <v>INC</v>
      </c>
      <c r="I303" s="10">
        <f t="shared" si="2"/>
        <v>859767</v>
      </c>
      <c r="J303" s="9" t="str">
        <f t="array" ref="J303">IF(
  AND(
    IFERROR(MATCH(B303, data!D:D, 0), 0) &gt; 0,
    IFERROR(INDEX(data!N:N, MATCH(B303, data!D:D, 0)) = 1, FALSE)
  ),
  INDEX(data!C:C, MATCH(B303, data!D:D, 0)),
  "INC"
)</f>
        <v>2025-09-12T16:30:32.101+08</v>
      </c>
      <c r="K303" s="9" t="str">
        <f t="array" ref="K303">IFERROR(INDEX(dataICM!C:C,match(Caseslist!B303,dataICM!D:D,0)), "INC")</f>
        <v>INC</v>
      </c>
      <c r="L303" s="10" t="str">
        <f t="array" ref="L303">IF(AND(G303="COMPLETE", OR(K303="INC", ISBLANK(INDEX(data!O:O, ROW())))), J303, K303)</f>
        <v>2025-09-12T16:30:32.101+08</v>
      </c>
      <c r="M303" s="2">
        <v>45912.0</v>
      </c>
      <c r="N303" s="2">
        <f t="array" ref="N303">IF(M303&lt;&gt;"INC", INDEX(data!M:M, MATCH(B303, data!D:D, 0)), "")</f>
        <v>0</v>
      </c>
      <c r="O303" s="2">
        <f t="shared" si="3"/>
        <v>0</v>
      </c>
    </row>
    <row r="304">
      <c r="A304" s="2" t="str">
        <f t="shared" si="1"/>
        <v>H004854</v>
      </c>
      <c r="B304" s="1" t="s">
        <v>5943</v>
      </c>
      <c r="C304" s="9" t="str">
        <f t="array" ref="C304">IF(
  AND(
    IFERROR(MATCH(Caseslist!B304, data!D:D, 0), 0) &gt; 0,
    IFERROR(INDEX(data!N:N, MATCH(Caseslist!B304, data!D:D, 0)) = 1, FALSE)
  ),
  "COMPLETE",
  "INC"
)</f>
        <v>COMPLETE</v>
      </c>
      <c r="D304" s="9">
        <f t="array" ref="D304">IFERROR(INDEX(data!$G:$G,match(Caseslist!B304,data!$D:$D,0)), "INC")</f>
        <v>729375</v>
      </c>
      <c r="E304" s="9" t="str">
        <f t="array" ref="E304">IFERROR(INDEX(data!H:H,match(Caseslist!B304,data!D:D,0)), "INC")</f>
        <v>Janet Serafica_2</v>
      </c>
      <c r="F304" s="10" t="str">
        <f t="array" ref="F304">IF(
    OR(
      IFNA(INDEX(data!M:M, MATCH(Caseslist!B304, data!D:D, 0)), "") = "",
      IFNA(INDEX(data!M:M, MATCH(Caseslist!B304, data!D:D, 0)), 0) = 0
    ),
    "COMPLETE",
    IF(
      IFNA(INDEX(dataICM!D:D, MATCH(Caseslist!B304, dataICM!D:D, 0)), "INC") = "INC",
      IFNA(INDEX(dataICM!D:D, MATCH(Caseslist!B304, dataICM!D:D, 0)), "INC"),
      "COMPLETE"
    )
  )</f>
        <v>COMPLETE</v>
      </c>
      <c r="G304" s="10" t="str">
        <f t="array" ref="G304">IF(IFERROR(INDEX(data!L:L,match(Caseslist!B304,data!D:D,0)),"INC")="","COMPLETE",F304)</f>
        <v>COMPLETE</v>
      </c>
      <c r="H304" s="9" t="str">
        <f t="array" ref="H304">IFERROR(INDEX(dataICM!F:F,match(Caseslist!B304,dataICM!D:D,0)), "INC")</f>
        <v>INC</v>
      </c>
      <c r="I304" s="10">
        <f t="shared" si="2"/>
        <v>729375</v>
      </c>
      <c r="J304" s="9" t="str">
        <f t="array" ref="J304">IF(
  AND(
    IFERROR(MATCH(B304, data!D:D, 0), 0) &gt; 0,
    IFERROR(INDEX(data!N:N, MATCH(B304, data!D:D, 0)) = 1, FALSE)
  ),
  INDEX(data!C:C, MATCH(B304, data!D:D, 0)),
  "INC"
)</f>
        <v>2025-09-12T14:24:08.141+08</v>
      </c>
      <c r="K304" s="9" t="str">
        <f t="array" ref="K304">IFERROR(INDEX(dataICM!C:C,match(Caseslist!B304,dataICM!D:D,0)), "INC")</f>
        <v>INC</v>
      </c>
      <c r="L304" s="10" t="str">
        <f t="array" ref="L304">IF(AND(G304="COMPLETE", OR(K304="INC", ISBLANK(INDEX(data!O:O, ROW())))), J304, K304)</f>
        <v>2025-09-12T14:24:08.141+08</v>
      </c>
      <c r="M304" s="2">
        <v>45912.0</v>
      </c>
      <c r="N304" s="2">
        <f t="array" ref="N304">IF(M304&lt;&gt;"INC", INDEX(data!M:M, MATCH(B304, data!D:D, 0)), "")</f>
        <v>0</v>
      </c>
      <c r="O304" s="2">
        <f t="shared" si="3"/>
        <v>0</v>
      </c>
    </row>
    <row r="305">
      <c r="A305" s="2" t="str">
        <f t="shared" si="1"/>
        <v>H004854</v>
      </c>
      <c r="B305" s="1" t="s">
        <v>5798</v>
      </c>
      <c r="C305" s="9" t="str">
        <f t="array" ref="C305">IF(
  AND(
    IFERROR(MATCH(Caseslist!B305, data!D:D, 0), 0) &gt; 0,
    IFERROR(INDEX(data!N:N, MATCH(Caseslist!B305, data!D:D, 0)) = 1, FALSE)
  ),
  "COMPLETE",
  "INC"
)</f>
        <v>COMPLETE</v>
      </c>
      <c r="D305" s="9">
        <f t="array" ref="D305">IFERROR(INDEX(data!$G:$G,match(Caseslist!B305,data!$D:$D,0)), "INC")</f>
        <v>729375</v>
      </c>
      <c r="E305" s="9" t="str">
        <f t="array" ref="E305">IFERROR(INDEX(data!H:H,match(Caseslist!B305,data!D:D,0)), "INC")</f>
        <v>Janet Serafica_2</v>
      </c>
      <c r="F305" s="10" t="str">
        <f t="array" ref="F305">IF(
    OR(
      IFNA(INDEX(data!M:M, MATCH(Caseslist!B305, data!D:D, 0)), "") = "",
      IFNA(INDEX(data!M:M, MATCH(Caseslist!B305, data!D:D, 0)), 0) = 0
    ),
    "COMPLETE",
    IF(
      IFNA(INDEX(dataICM!D:D, MATCH(Caseslist!B305, dataICM!D:D, 0)), "INC") = "INC",
      IFNA(INDEX(dataICM!D:D, MATCH(Caseslist!B305, dataICM!D:D, 0)), "INC"),
      "COMPLETE"
    )
  )</f>
        <v>COMPLETE</v>
      </c>
      <c r="G305" s="10" t="str">
        <f t="array" ref="G305">IF(IFERROR(INDEX(data!L:L,match(Caseslist!B305,data!D:D,0)),"INC")="","COMPLETE",F305)</f>
        <v>COMPLETE</v>
      </c>
      <c r="H305" s="9" t="str">
        <f t="array" ref="H305">IFERROR(INDEX(dataICM!F:F,match(Caseslist!B305,dataICM!D:D,0)), "INC")</f>
        <v>INC</v>
      </c>
      <c r="I305" s="10">
        <f t="shared" si="2"/>
        <v>729375</v>
      </c>
      <c r="J305" s="9" t="str">
        <f t="array" ref="J305">IF(
  AND(
    IFERROR(MATCH(B305, data!D:D, 0), 0) &gt; 0,
    IFERROR(INDEX(data!N:N, MATCH(B305, data!D:D, 0)) = 1, FALSE)
  ),
  INDEX(data!C:C, MATCH(B305, data!D:D, 0)),
  "INC"
)</f>
        <v>2025-09-25T17:20:21.583+08</v>
      </c>
      <c r="K305" s="9" t="str">
        <f t="array" ref="K305">IFERROR(INDEX(dataICM!C:C,match(Caseslist!B305,dataICM!D:D,0)), "INC")</f>
        <v>INC</v>
      </c>
      <c r="L305" s="10" t="str">
        <f t="array" ref="L305">IF(AND(G305="COMPLETE", OR(K305="INC", ISBLANK(INDEX(data!O:O, ROW())))), J305, K305)</f>
        <v>2025-09-25T17:20:21.583+08</v>
      </c>
      <c r="M305" s="2">
        <v>45925.0</v>
      </c>
      <c r="N305" s="2">
        <f t="array" ref="N305">IF(M305&lt;&gt;"INC", INDEX(data!M:M, MATCH(B305, data!D:D, 0)), "")</f>
        <v>0</v>
      </c>
      <c r="O305" s="2">
        <f t="shared" si="3"/>
        <v>0</v>
      </c>
    </row>
    <row r="306">
      <c r="A306" s="2" t="str">
        <f t="shared" si="1"/>
        <v>H006029</v>
      </c>
      <c r="B306" s="1" t="s">
        <v>7253</v>
      </c>
      <c r="C306" s="9" t="str">
        <f t="array" ref="C306">IF(
  AND(
    IFERROR(MATCH(Caseslist!B306, data!D:D, 0), 0) &gt; 0,
    IFERROR(INDEX(data!N:N, MATCH(Caseslist!B306, data!D:D, 0)) = 1, FALSE)
  ),
  "COMPLETE",
  "INC"
)</f>
        <v>COMPLETE</v>
      </c>
      <c r="D306" s="9" t="str">
        <f t="array" ref="D306">IFERROR(INDEX(data!$G:$G,match(Caseslist!B306,data!$D:$D,0)), "INC")</f>
        <v>P1068432</v>
      </c>
      <c r="E306" s="9" t="str">
        <f t="array" ref="E306">IFERROR(INDEX(data!H:H,match(Caseslist!B306,data!D:D,0)), "INC")</f>
        <v>Mark Daniel Balagao Benson</v>
      </c>
      <c r="F306" s="10" t="str">
        <f t="array" ref="F306">IF(
    OR(
      IFNA(INDEX(data!M:M, MATCH(Caseslist!B306, data!D:D, 0)), "") = "",
      IFNA(INDEX(data!M:M, MATCH(Caseslist!B306, data!D:D, 0)), 0) = 0
    ),
    "COMPLETE",
    IF(
      IFNA(INDEX(dataICM!D:D, MATCH(Caseslist!B306, dataICM!D:D, 0)), "INC") = "INC",
      IFNA(INDEX(dataICM!D:D, MATCH(Caseslist!B306, dataICM!D:D, 0)), "INC"),
      "COMPLETE"
    )
  )</f>
        <v>COMPLETE</v>
      </c>
      <c r="G306" s="10" t="str">
        <f t="array" ref="G306">IF(IFERROR(INDEX(data!L:L,match(Caseslist!B306,data!D:D,0)),"INC")="","COMPLETE",F306)</f>
        <v>COMPLETE</v>
      </c>
      <c r="H306" s="9" t="str">
        <f t="array" ref="H306">IFERROR(INDEX(dataICM!F:F,match(Caseslist!B306,dataICM!D:D,0)), "INC")</f>
        <v>Mark Daniel Balagao Benson</v>
      </c>
      <c r="I306" s="10" t="str">
        <f t="shared" si="2"/>
        <v>P1068432</v>
      </c>
      <c r="J306" s="9" t="str">
        <f t="array" ref="J306">IF(
  AND(
    IFERROR(MATCH(B306, data!D:D, 0), 0) &gt; 0,
    IFERROR(INDEX(data!N:N, MATCH(B306, data!D:D, 0)) = 1, FALSE)
  ),
  INDEX(data!C:C, MATCH(B306, data!D:D, 0)),
  "INC"
)</f>
        <v>2025-09-18T11:38:51.183+08</v>
      </c>
      <c r="K306" s="9" t="str">
        <f t="array" ref="K306">IFERROR(INDEX(dataICM!C:C,match(Caseslist!B306,dataICM!D:D,0)), "INC")</f>
        <v>2025-09-18T12:12:24.393+08</v>
      </c>
      <c r="L306" s="10" t="str">
        <f t="array" ref="L306">IF(AND(G306="COMPLETE", OR(K306="INC", ISBLANK(INDEX(data!O:O, ROW())))), J306, K306)</f>
        <v>2025-09-18T12:12:24.393+08</v>
      </c>
      <c r="M306" s="2">
        <v>45918.0</v>
      </c>
      <c r="N306" s="2">
        <f t="array" ref="N306">IF(M306&lt;&gt;"INC", INDEX(data!M:M, MATCH(B306, data!D:D, 0)), "")</f>
        <v>2</v>
      </c>
      <c r="O306" s="2">
        <f t="shared" si="3"/>
        <v>2</v>
      </c>
    </row>
    <row r="307">
      <c r="A307" s="2" t="str">
        <f t="shared" si="1"/>
        <v>H006029</v>
      </c>
      <c r="B307" s="1" t="s">
        <v>7118</v>
      </c>
      <c r="C307" s="9" t="str">
        <f t="array" ref="C307">IF(
  AND(
    IFERROR(MATCH(Caseslist!B307, data!D:D, 0), 0) &gt; 0,
    IFERROR(INDEX(data!N:N, MATCH(Caseslist!B307, data!D:D, 0)) = 1, FALSE)
  ),
  "COMPLETE",
  "INC"
)</f>
        <v>COMPLETE</v>
      </c>
      <c r="D307" s="9" t="str">
        <f t="array" ref="D307">IFERROR(INDEX(data!$G:$G,match(Caseslist!B307,data!$D:$D,0)), "INC")</f>
        <v>N7814260</v>
      </c>
      <c r="E307" s="9" t="str">
        <f t="array" ref="E307">IFERROR(INDEX(data!H:H,match(Caseslist!B307,data!D:D,0)), "INC")</f>
        <v>Jemma Marie Tillo</v>
      </c>
      <c r="F307" s="10" t="str">
        <f t="array" ref="F307">IF(
    OR(
      IFNA(INDEX(data!M:M, MATCH(Caseslist!B307, data!D:D, 0)), "") = "",
      IFNA(INDEX(data!M:M, MATCH(Caseslist!B307, data!D:D, 0)), 0) = 0
    ),
    "COMPLETE",
    IF(
      IFNA(INDEX(dataICM!D:D, MATCH(Caseslist!B307, dataICM!D:D, 0)), "INC") = "INC",
      IFNA(INDEX(dataICM!D:D, MATCH(Caseslist!B307, dataICM!D:D, 0)), "INC"),
      "COMPLETE"
    )
  )</f>
        <v>COMPLETE</v>
      </c>
      <c r="G307" s="10" t="str">
        <f t="array" ref="G307">IF(IFERROR(INDEX(data!L:L,match(Caseslist!B307,data!D:D,0)),"INC")="","COMPLETE",F307)</f>
        <v>COMPLETE</v>
      </c>
      <c r="H307" s="9" t="str">
        <f t="array" ref="H307">IFERROR(INDEX(dataICM!F:F,match(Caseslist!B307,dataICM!D:D,0)), "INC")</f>
        <v>Jemma Marie Tillo</v>
      </c>
      <c r="I307" s="10" t="str">
        <f t="shared" si="2"/>
        <v>N7814260</v>
      </c>
      <c r="J307" s="9" t="str">
        <f t="array" ref="J307">IF(
  AND(
    IFERROR(MATCH(B307, data!D:D, 0), 0) &gt; 0,
    IFERROR(INDEX(data!N:N, MATCH(B307, data!D:D, 0)) = 1, FALSE)
  ),
  INDEX(data!C:C, MATCH(B307, data!D:D, 0)),
  "INC"
)</f>
        <v>2025-09-18T13:57:13.921+08</v>
      </c>
      <c r="K307" s="9" t="str">
        <f t="array" ref="K307">IFERROR(INDEX(dataICM!C:C,match(Caseslist!B307,dataICM!D:D,0)), "INC")</f>
        <v>2025-09-18T14:01:52.236+08</v>
      </c>
      <c r="L307" s="10" t="str">
        <f t="array" ref="L307">IF(AND(G307="COMPLETE", OR(K307="INC", ISBLANK(INDEX(data!O:O, ROW())))), J307, K307)</f>
        <v>2025-09-18T14:01:52.236+08</v>
      </c>
      <c r="M307" s="2">
        <v>45918.0</v>
      </c>
      <c r="N307" s="2">
        <f t="array" ref="N307">IF(M307&lt;&gt;"INC", INDEX(data!M:M, MATCH(B307, data!D:D, 0)), "")</f>
        <v>2</v>
      </c>
      <c r="O307" s="2">
        <f t="shared" si="3"/>
        <v>2</v>
      </c>
    </row>
    <row r="308">
      <c r="A308" s="2" t="str">
        <f t="shared" si="1"/>
        <v>H006029</v>
      </c>
      <c r="B308" s="1" t="s">
        <v>7108</v>
      </c>
      <c r="C308" s="9" t="str">
        <f t="array" ref="C308">IF(
  AND(
    IFERROR(MATCH(Caseslist!B308, data!D:D, 0), 0) &gt; 0,
    IFERROR(INDEX(data!N:N, MATCH(Caseslist!B308, data!D:D, 0)) = 1, FALSE)
  ),
  "COMPLETE",
  "INC"
)</f>
        <v>COMPLETE</v>
      </c>
      <c r="D308" s="9" t="str">
        <f t="array" ref="D308">IFERROR(INDEX(data!$G:$G,match(Caseslist!B308,data!$D:$D,0)), "INC")</f>
        <v>N7814260</v>
      </c>
      <c r="E308" s="9" t="str">
        <f t="array" ref="E308">IFERROR(INDEX(data!H:H,match(Caseslist!B308,data!D:D,0)), "INC")</f>
        <v>Jemma Marie Tillo</v>
      </c>
      <c r="F308" s="10" t="str">
        <f t="array" ref="F308">IF(
    OR(
      IFNA(INDEX(data!M:M, MATCH(Caseslist!B308, data!D:D, 0)), "") = "",
      IFNA(INDEX(data!M:M, MATCH(Caseslist!B308, data!D:D, 0)), 0) = 0
    ),
    "COMPLETE",
    IF(
      IFNA(INDEX(dataICM!D:D, MATCH(Caseslist!B308, dataICM!D:D, 0)), "INC") = "INC",
      IFNA(INDEX(dataICM!D:D, MATCH(Caseslist!B308, dataICM!D:D, 0)), "INC"),
      "COMPLETE"
    )
  )</f>
        <v>COMPLETE</v>
      </c>
      <c r="G308" s="10" t="str">
        <f t="array" ref="G308">IF(IFERROR(INDEX(data!L:L,match(Caseslist!B308,data!D:D,0)),"INC")="","COMPLETE",F308)</f>
        <v>COMPLETE</v>
      </c>
      <c r="H308" s="9" t="str">
        <f t="array" ref="H308">IFERROR(INDEX(dataICM!F:F,match(Caseslist!B308,dataICM!D:D,0)), "INC")</f>
        <v>Jemma Marie Tillo</v>
      </c>
      <c r="I308" s="10" t="str">
        <f t="shared" si="2"/>
        <v>N7814260</v>
      </c>
      <c r="J308" s="9" t="str">
        <f t="array" ref="J308">IF(
  AND(
    IFERROR(MATCH(B308, data!D:D, 0), 0) &gt; 0,
    IFERROR(INDEX(data!N:N, MATCH(B308, data!D:D, 0)) = 1, FALSE)
  ),
  INDEX(data!C:C, MATCH(B308, data!D:D, 0)),
  "INC"
)</f>
        <v>2025-09-21T17:05:18.135+08</v>
      </c>
      <c r="K308" s="9" t="str">
        <f t="array" ref="K308">IFERROR(INDEX(dataICM!C:C,match(Caseslist!B308,dataICM!D:D,0)), "INC")</f>
        <v>2025-09-21T17:14:39.597+08</v>
      </c>
      <c r="L308" s="10" t="str">
        <f t="array" ref="L308">IF(AND(G308="COMPLETE", OR(K308="INC", ISBLANK(INDEX(data!O:O, ROW())))), J308, K308)</f>
        <v>2025-09-21T17:14:39.597+08</v>
      </c>
      <c r="M308" s="2">
        <v>45921.0</v>
      </c>
      <c r="N308" s="2">
        <f t="array" ref="N308">IF(M308&lt;&gt;"INC", INDEX(data!M:M, MATCH(B308, data!D:D, 0)), "")</f>
        <v>2</v>
      </c>
      <c r="O308" s="2">
        <f t="shared" si="3"/>
        <v>2</v>
      </c>
    </row>
    <row r="309">
      <c r="A309" s="2" t="str">
        <f t="shared" si="1"/>
        <v>H006029</v>
      </c>
      <c r="B309" s="1" t="s">
        <v>7258</v>
      </c>
      <c r="C309" s="9" t="str">
        <f t="array" ref="C309">IF(
  AND(
    IFERROR(MATCH(Caseslist!B309, data!D:D, 0), 0) &gt; 0,
    IFERROR(INDEX(data!N:N, MATCH(Caseslist!B309, data!D:D, 0)) = 1, FALSE)
  ),
  "COMPLETE",
  "INC"
)</f>
        <v>COMPLETE</v>
      </c>
      <c r="D309" s="9" t="str">
        <f t="array" ref="D309">IFERROR(INDEX(data!$G:$G,match(Caseslist!B309,data!$D:$D,0)), "INC")</f>
        <v>P1068432</v>
      </c>
      <c r="E309" s="9" t="str">
        <f t="array" ref="E309">IFERROR(INDEX(data!H:H,match(Caseslist!B309,data!D:D,0)), "INC")</f>
        <v>Mark Daniel Balagao Benson</v>
      </c>
      <c r="F309" s="10" t="str">
        <f t="array" ref="F309">IF(
    OR(
      IFNA(INDEX(data!M:M, MATCH(Caseslist!B309, data!D:D, 0)), "") = "",
      IFNA(INDEX(data!M:M, MATCH(Caseslist!B309, data!D:D, 0)), 0) = 0
    ),
    "COMPLETE",
    IF(
      IFNA(INDEX(dataICM!D:D, MATCH(Caseslist!B309, dataICM!D:D, 0)), "INC") = "INC",
      IFNA(INDEX(dataICM!D:D, MATCH(Caseslist!B309, dataICM!D:D, 0)), "INC"),
      "COMPLETE"
    )
  )</f>
        <v>COMPLETE</v>
      </c>
      <c r="G309" s="10" t="str">
        <f t="array" ref="G309">IF(IFERROR(INDEX(data!L:L,match(Caseslist!B309,data!D:D,0)),"INC")="","COMPLETE",F309)</f>
        <v>COMPLETE</v>
      </c>
      <c r="H309" s="9" t="str">
        <f t="array" ref="H309">IFERROR(INDEX(dataICM!F:F,match(Caseslist!B309,dataICM!D:D,0)), "INC")</f>
        <v>Mark Daniel Balagao Benson</v>
      </c>
      <c r="I309" s="10" t="str">
        <f t="shared" si="2"/>
        <v>P1068432</v>
      </c>
      <c r="J309" s="9" t="str">
        <f t="array" ref="J309">IF(
  AND(
    IFERROR(MATCH(B309, data!D:D, 0), 0) &gt; 0,
    IFERROR(INDEX(data!N:N, MATCH(B309, data!D:D, 0)) = 1, FALSE)
  ),
  INDEX(data!C:C, MATCH(B309, data!D:D, 0)),
  "INC"
)</f>
        <v>2025-09-18T14:25:33.348+08</v>
      </c>
      <c r="K309" s="9" t="str">
        <f t="array" ref="K309">IFERROR(INDEX(dataICM!C:C,match(Caseslist!B309,dataICM!D:D,0)), "INC")</f>
        <v>2025-09-18T15:24:34.042+08</v>
      </c>
      <c r="L309" s="10" t="str">
        <f t="array" ref="L309">IF(AND(G309="COMPLETE", OR(K309="INC", ISBLANK(INDEX(data!O:O, ROW())))), J309, K309)</f>
        <v>2025-09-18T15:24:34.042+08</v>
      </c>
      <c r="M309" s="2">
        <v>45918.0</v>
      </c>
      <c r="N309" s="2">
        <f t="array" ref="N309">IF(M309&lt;&gt;"INC", INDEX(data!M:M, MATCH(B309, data!D:D, 0)), "")</f>
        <v>2</v>
      </c>
      <c r="O309" s="2">
        <f t="shared" si="3"/>
        <v>2</v>
      </c>
    </row>
    <row r="310">
      <c r="A310" s="2" t="str">
        <f t="shared" si="1"/>
        <v>H006029</v>
      </c>
      <c r="B310" s="1" t="s">
        <v>8223</v>
      </c>
      <c r="C310" s="9" t="str">
        <f t="array" ref="C310">IF(
  AND(
    IFERROR(MATCH(Caseslist!B310, data!D:D, 0), 0) &gt; 0,
    IFERROR(INDEX(data!N:N, MATCH(Caseslist!B310, data!D:D, 0)) = 1, FALSE)
  ),
  "COMPLETE",
  "INC"
)</f>
        <v>COMPLETE</v>
      </c>
      <c r="D310" s="9" t="str">
        <f t="array" ref="D310">IFERROR(INDEX(data!$G:$G,match(Caseslist!B310,data!$D:$D,0)), "INC")</f>
        <v>N7814260</v>
      </c>
      <c r="E310" s="9" t="str">
        <f t="array" ref="E310">IFERROR(INDEX(data!H:H,match(Caseslist!B310,data!D:D,0)), "INC")</f>
        <v>Jemma Marie Tillo</v>
      </c>
      <c r="F310" s="10" t="str">
        <f t="array" ref="F310">IF(
    OR(
      IFNA(INDEX(data!M:M, MATCH(Caseslist!B310, data!D:D, 0)), "") = "",
      IFNA(INDEX(data!M:M, MATCH(Caseslist!B310, data!D:D, 0)), 0) = 0
    ),
    "COMPLETE",
    IF(
      IFNA(INDEX(dataICM!D:D, MATCH(Caseslist!B310, dataICM!D:D, 0)), "INC") = "INC",
      IFNA(INDEX(dataICM!D:D, MATCH(Caseslist!B310, dataICM!D:D, 0)), "INC"),
      "COMPLETE"
    )
  )</f>
        <v>COMPLETE</v>
      </c>
      <c r="G310" s="10" t="str">
        <f t="array" ref="G310">IF(IFERROR(INDEX(data!L:L,match(Caseslist!B310,data!D:D,0)),"INC")="","COMPLETE",F310)</f>
        <v>COMPLETE</v>
      </c>
      <c r="H310" s="9" t="str">
        <f t="array" ref="H310">IFERROR(INDEX(dataICM!F:F,match(Caseslist!B310,dataICM!D:D,0)), "INC")</f>
        <v>Jemma Marie Tillo</v>
      </c>
      <c r="I310" s="10" t="str">
        <f t="shared" si="2"/>
        <v>N7814260</v>
      </c>
      <c r="J310" s="9" t="str">
        <f t="array" ref="J310">IF(
  AND(
    IFERROR(MATCH(B310, data!D:D, 0), 0) &gt; 0,
    IFERROR(INDEX(data!N:N, MATCH(B310, data!D:D, 0)) = 1, FALSE)
  ),
  INDEX(data!C:C, MATCH(B310, data!D:D, 0)),
  "INC"
)</f>
        <v>2025-09-23T10:03:03.511+08</v>
      </c>
      <c r="K310" s="9" t="str">
        <f t="array" ref="K310">IFERROR(INDEX(dataICM!C:C,match(Caseslist!B310,dataICM!D:D,0)), "INC")</f>
        <v>2025-09-23T10:07:42.486+08</v>
      </c>
      <c r="L310" s="10" t="str">
        <f t="array" ref="L310">IF(AND(G310="COMPLETE", OR(K310="INC", ISBLANK(INDEX(data!O:O, ROW())))), J310, K310)</f>
        <v>2025-09-23T10:07:42.486+08</v>
      </c>
      <c r="M310" s="2">
        <v>45923.0</v>
      </c>
      <c r="N310" s="2">
        <f t="array" ref="N310">IF(M310&lt;&gt;"INC", INDEX(data!M:M, MATCH(B310, data!D:D, 0)), "")</f>
        <v>2</v>
      </c>
      <c r="O310" s="2">
        <f t="shared" si="3"/>
        <v>2</v>
      </c>
    </row>
    <row r="311">
      <c r="A311" s="2" t="str">
        <f t="shared" si="1"/>
        <v>H006029</v>
      </c>
      <c r="B311" s="1" t="s">
        <v>7113</v>
      </c>
      <c r="C311" s="9" t="str">
        <f t="array" ref="C311">IF(
  AND(
    IFERROR(MATCH(Caseslist!B311, data!D:D, 0), 0) &gt; 0,
    IFERROR(INDEX(data!N:N, MATCH(Caseslist!B311, data!D:D, 0)) = 1, FALSE)
  ),
  "COMPLETE",
  "INC"
)</f>
        <v>COMPLETE</v>
      </c>
      <c r="D311" s="9" t="str">
        <f t="array" ref="D311">IFERROR(INDEX(data!$G:$G,match(Caseslist!B311,data!$D:$D,0)), "INC")</f>
        <v>N7814260</v>
      </c>
      <c r="E311" s="9" t="str">
        <f t="array" ref="E311">IFERROR(INDEX(data!H:H,match(Caseslist!B311,data!D:D,0)), "INC")</f>
        <v>Jemma Marie Tillo</v>
      </c>
      <c r="F311" s="10" t="str">
        <f t="array" ref="F311">IF(
    OR(
      IFNA(INDEX(data!M:M, MATCH(Caseslist!B311, data!D:D, 0)), "") = "",
      IFNA(INDEX(data!M:M, MATCH(Caseslist!B311, data!D:D, 0)), 0) = 0
    ),
    "COMPLETE",
    IF(
      IFNA(INDEX(dataICM!D:D, MATCH(Caseslist!B311, dataICM!D:D, 0)), "INC") = "INC",
      IFNA(INDEX(dataICM!D:D, MATCH(Caseslist!B311, dataICM!D:D, 0)), "INC"),
      "COMPLETE"
    )
  )</f>
        <v>COMPLETE</v>
      </c>
      <c r="G311" s="10" t="str">
        <f t="array" ref="G311">IF(IFERROR(INDEX(data!L:L,match(Caseslist!B311,data!D:D,0)),"INC")="","COMPLETE",F311)</f>
        <v>COMPLETE</v>
      </c>
      <c r="H311" s="9" t="str">
        <f t="array" ref="H311">IFERROR(INDEX(dataICM!F:F,match(Caseslist!B311,dataICM!D:D,0)), "INC")</f>
        <v>Jemma Marie Tillo</v>
      </c>
      <c r="I311" s="10" t="str">
        <f t="shared" si="2"/>
        <v>N7814260</v>
      </c>
      <c r="J311" s="9" t="str">
        <f t="array" ref="J311">IF(
  AND(
    IFERROR(MATCH(B311, data!D:D, 0), 0) &gt; 0,
    IFERROR(INDEX(data!N:N, MATCH(B311, data!D:D, 0)) = 1, FALSE)
  ),
  INDEX(data!C:C, MATCH(B311, data!D:D, 0)),
  "INC"
)</f>
        <v>2025-09-18T11:38:21.946+08</v>
      </c>
      <c r="K311" s="9" t="str">
        <f t="array" ref="K311">IFERROR(INDEX(dataICM!C:C,match(Caseslist!B311,dataICM!D:D,0)), "INC")</f>
        <v>2025-09-21T10:18:41.886+08</v>
      </c>
      <c r="L311" s="10" t="str">
        <f t="array" ref="L311">IF(AND(G311="COMPLETE", OR(K311="INC", ISBLANK(INDEX(data!O:O, ROW())))), J311, K311)</f>
        <v>2025-09-21T10:18:41.886+08</v>
      </c>
      <c r="M311" s="2">
        <v>45921.0</v>
      </c>
      <c r="N311" s="2">
        <f t="array" ref="N311">IF(M311&lt;&gt;"INC", INDEX(data!M:M, MATCH(B311, data!D:D, 0)), "")</f>
        <v>2</v>
      </c>
      <c r="O311" s="2">
        <f t="shared" si="3"/>
        <v>2</v>
      </c>
    </row>
    <row r="312">
      <c r="A312" s="2" t="str">
        <f t="shared" si="1"/>
        <v>H006029</v>
      </c>
      <c r="B312" s="1" t="s">
        <v>7138</v>
      </c>
      <c r="C312" s="9" t="str">
        <f t="array" ref="C312">IF(
  AND(
    IFERROR(MATCH(Caseslist!B312, data!D:D, 0), 0) &gt; 0,
    IFERROR(INDEX(data!N:N, MATCH(Caseslist!B312, data!D:D, 0)) = 1, FALSE)
  ),
  "COMPLETE",
  "INC"
)</f>
        <v>COMPLETE</v>
      </c>
      <c r="D312" s="9" t="str">
        <f t="array" ref="D312">IFERROR(INDEX(data!$G:$G,match(Caseslist!B312,data!$D:$D,0)), "INC")</f>
        <v>N7814260</v>
      </c>
      <c r="E312" s="9" t="str">
        <f t="array" ref="E312">IFERROR(INDEX(data!H:H,match(Caseslist!B312,data!D:D,0)), "INC")</f>
        <v>Jemma Marie Tillo</v>
      </c>
      <c r="F312" s="10" t="str">
        <f t="array" ref="F312">IF(
    OR(
      IFNA(INDEX(data!M:M, MATCH(Caseslist!B312, data!D:D, 0)), "") = "",
      IFNA(INDEX(data!M:M, MATCH(Caseslist!B312, data!D:D, 0)), 0) = 0
    ),
    "COMPLETE",
    IF(
      IFNA(INDEX(dataICM!D:D, MATCH(Caseslist!B312, dataICM!D:D, 0)), "INC") = "INC",
      IFNA(INDEX(dataICM!D:D, MATCH(Caseslist!B312, dataICM!D:D, 0)), "INC"),
      "COMPLETE"
    )
  )</f>
        <v>COMPLETE</v>
      </c>
      <c r="G312" s="10" t="str">
        <f t="array" ref="G312">IF(IFERROR(INDEX(data!L:L,match(Caseslist!B312,data!D:D,0)),"INC")="","COMPLETE",F312)</f>
        <v>COMPLETE</v>
      </c>
      <c r="H312" s="9" t="str">
        <f t="array" ref="H312">IFERROR(INDEX(dataICM!F:F,match(Caseslist!B312,dataICM!D:D,0)), "INC")</f>
        <v>Jemma Marie Tillo</v>
      </c>
      <c r="I312" s="10" t="str">
        <f t="shared" si="2"/>
        <v>N7814260</v>
      </c>
      <c r="J312" s="9" t="str">
        <f t="array" ref="J312">IF(
  AND(
    IFERROR(MATCH(B312, data!D:D, 0), 0) &gt; 0,
    IFERROR(INDEX(data!N:N, MATCH(B312, data!D:D, 0)) = 1, FALSE)
  ),
  INDEX(data!C:C, MATCH(B312, data!D:D, 0)),
  "INC"
)</f>
        <v>2025-09-21T11:33:45.778+08</v>
      </c>
      <c r="K312" s="9" t="str">
        <f t="array" ref="K312">IFERROR(INDEX(dataICM!C:C,match(Caseslist!B312,dataICM!D:D,0)), "INC")</f>
        <v>2025-09-21T18:29:17.809+08</v>
      </c>
      <c r="L312" s="10" t="str">
        <f t="array" ref="L312">IF(AND(G312="COMPLETE", OR(K312="INC", ISBLANK(INDEX(data!O:O, ROW())))), J312, K312)</f>
        <v>2025-09-21T18:29:17.809+08</v>
      </c>
      <c r="M312" s="2">
        <v>45921.0</v>
      </c>
      <c r="N312" s="2">
        <f t="array" ref="N312">IF(M312&lt;&gt;"INC", INDEX(data!M:M, MATCH(B312, data!D:D, 0)), "")</f>
        <v>2</v>
      </c>
      <c r="O312" s="2">
        <f t="shared" si="3"/>
        <v>2</v>
      </c>
    </row>
    <row r="313">
      <c r="A313" s="2" t="str">
        <f t="shared" si="1"/>
        <v>H006029</v>
      </c>
      <c r="B313" s="1" t="s">
        <v>7153</v>
      </c>
      <c r="C313" s="9" t="str">
        <f t="array" ref="C313">IF(
  AND(
    IFERROR(MATCH(Caseslist!B313, data!D:D, 0), 0) &gt; 0,
    IFERROR(INDEX(data!N:N, MATCH(Caseslist!B313, data!D:D, 0)) = 1, FALSE)
  ),
  "COMPLETE",
  "INC"
)</f>
        <v>COMPLETE</v>
      </c>
      <c r="D313" s="9" t="str">
        <f t="array" ref="D313">IFERROR(INDEX(data!$G:$G,match(Caseslist!B313,data!$D:$D,0)), "INC")</f>
        <v>O3925718</v>
      </c>
      <c r="E313" s="9" t="str">
        <f t="array" ref="E313">IFERROR(INDEX(data!H:H,match(Caseslist!B313,data!D:D,0)), "INC")</f>
        <v>Adrian Montecastro Ferrer</v>
      </c>
      <c r="F313" s="10" t="str">
        <f t="array" ref="F313">IF(
    OR(
      IFNA(INDEX(data!M:M, MATCH(Caseslist!B313, data!D:D, 0)), "") = "",
      IFNA(INDEX(data!M:M, MATCH(Caseslist!B313, data!D:D, 0)), 0) = 0
    ),
    "COMPLETE",
    IF(
      IFNA(INDEX(dataICM!D:D, MATCH(Caseslist!B313, dataICM!D:D, 0)), "INC") = "INC",
      IFNA(INDEX(dataICM!D:D, MATCH(Caseslist!B313, dataICM!D:D, 0)), "INC"),
      "COMPLETE"
    )
  )</f>
        <v>COMPLETE</v>
      </c>
      <c r="G313" s="10" t="str">
        <f t="array" ref="G313">IF(IFERROR(INDEX(data!L:L,match(Caseslist!B313,data!D:D,0)),"INC")="","COMPLETE",F313)</f>
        <v>COMPLETE</v>
      </c>
      <c r="H313" s="9" t="str">
        <f t="array" ref="H313">IFERROR(INDEX(dataICM!F:F,match(Caseslist!B313,dataICM!D:D,0)), "INC")</f>
        <v>Adrian Montecastro Ferrer</v>
      </c>
      <c r="I313" s="10" t="str">
        <f t="shared" si="2"/>
        <v>O3925718</v>
      </c>
      <c r="J313" s="9" t="str">
        <f t="array" ref="J313">IF(
  AND(
    IFERROR(MATCH(B313, data!D:D, 0), 0) &gt; 0,
    IFERROR(INDEX(data!N:N, MATCH(B313, data!D:D, 0)) = 1, FALSE)
  ),
  INDEX(data!C:C, MATCH(B313, data!D:D, 0)),
  "INC"
)</f>
        <v>2025-09-18T10:27:41.154+08</v>
      </c>
      <c r="K313" s="9" t="str">
        <f t="array" ref="K313">IFERROR(INDEX(dataICM!C:C,match(Caseslist!B313,dataICM!D:D,0)), "INC")</f>
        <v>2025-09-18T10:35:24.064+08</v>
      </c>
      <c r="L313" s="10" t="str">
        <f t="array" ref="L313">IF(AND(G313="COMPLETE", OR(K313="INC", ISBLANK(INDEX(data!O:O, ROW())))), J313, K313)</f>
        <v>2025-09-18T10:35:24.064+08</v>
      </c>
      <c r="M313" s="2">
        <v>45918.0</v>
      </c>
      <c r="N313" s="2">
        <f t="array" ref="N313">IF(M313&lt;&gt;"INC", INDEX(data!M:M, MATCH(B313, data!D:D, 0)), "")</f>
        <v>2</v>
      </c>
      <c r="O313" s="2">
        <f t="shared" si="3"/>
        <v>2</v>
      </c>
    </row>
    <row r="314">
      <c r="A314" s="2" t="str">
        <f t="shared" si="1"/>
        <v>H006029</v>
      </c>
      <c r="B314" s="1" t="s">
        <v>7148</v>
      </c>
      <c r="C314" s="9" t="str">
        <f t="array" ref="C314">IF(
  AND(
    IFERROR(MATCH(Caseslist!B314, data!D:D, 0), 0) &gt; 0,
    IFERROR(INDEX(data!N:N, MATCH(Caseslist!B314, data!D:D, 0)) = 1, FALSE)
  ),
  "COMPLETE",
  "INC"
)</f>
        <v>COMPLETE</v>
      </c>
      <c r="D314" s="9" t="str">
        <f t="array" ref="D314">IFERROR(INDEX(data!$G:$G,match(Caseslist!B314,data!$D:$D,0)), "INC")</f>
        <v>O3925718</v>
      </c>
      <c r="E314" s="9" t="str">
        <f t="array" ref="E314">IFERROR(INDEX(data!H:H,match(Caseslist!B314,data!D:D,0)), "INC")</f>
        <v>Adrian Montecastro Ferrer</v>
      </c>
      <c r="F314" s="10" t="str">
        <f t="array" ref="F314">IF(
    OR(
      IFNA(INDEX(data!M:M, MATCH(Caseslist!B314, data!D:D, 0)), "") = "",
      IFNA(INDEX(data!M:M, MATCH(Caseslist!B314, data!D:D, 0)), 0) = 0
    ),
    "COMPLETE",
    IF(
      IFNA(INDEX(dataICM!D:D, MATCH(Caseslist!B314, dataICM!D:D, 0)), "INC") = "INC",
      IFNA(INDEX(dataICM!D:D, MATCH(Caseslist!B314, dataICM!D:D, 0)), "INC"),
      "COMPLETE"
    )
  )</f>
        <v>COMPLETE</v>
      </c>
      <c r="G314" s="10" t="str">
        <f t="array" ref="G314">IF(IFERROR(INDEX(data!L:L,match(Caseslist!B314,data!D:D,0)),"INC")="","COMPLETE",F314)</f>
        <v>COMPLETE</v>
      </c>
      <c r="H314" s="9" t="str">
        <f t="array" ref="H314">IFERROR(INDEX(dataICM!F:F,match(Caseslist!B314,dataICM!D:D,0)), "INC")</f>
        <v>Adrian Montecastro Ferrer</v>
      </c>
      <c r="I314" s="10" t="str">
        <f t="shared" si="2"/>
        <v>O3925718</v>
      </c>
      <c r="J314" s="9" t="str">
        <f t="array" ref="J314">IF(
  AND(
    IFERROR(MATCH(B314, data!D:D, 0), 0) &gt; 0,
    IFERROR(INDEX(data!N:N, MATCH(B314, data!D:D, 0)) = 1, FALSE)
  ),
  INDEX(data!C:C, MATCH(B314, data!D:D, 0)),
  "INC"
)</f>
        <v>2025-09-18T11:36:39.486+08</v>
      </c>
      <c r="K314" s="9" t="str">
        <f t="array" ref="K314">IFERROR(INDEX(dataICM!C:C,match(Caseslist!B314,dataICM!D:D,0)), "INC")</f>
        <v>2025-09-18T11:47:54.256+08</v>
      </c>
      <c r="L314" s="10" t="str">
        <f t="array" ref="L314">IF(AND(G314="COMPLETE", OR(K314="INC", ISBLANK(INDEX(data!O:O, ROW())))), J314, K314)</f>
        <v>2025-09-18T11:47:54.256+08</v>
      </c>
      <c r="M314" s="2">
        <v>45918.0</v>
      </c>
      <c r="N314" s="2">
        <f t="array" ref="N314">IF(M314&lt;&gt;"INC", INDEX(data!M:M, MATCH(B314, data!D:D, 0)), "")</f>
        <v>2</v>
      </c>
      <c r="O314" s="2">
        <f t="shared" si="3"/>
        <v>2</v>
      </c>
    </row>
    <row r="315">
      <c r="A315" s="2" t="str">
        <f t="shared" si="1"/>
        <v>H006029</v>
      </c>
      <c r="B315" s="1" t="s">
        <v>7248</v>
      </c>
      <c r="C315" s="9" t="str">
        <f t="array" ref="C315">IF(
  AND(
    IFERROR(MATCH(Caseslist!B315, data!D:D, 0), 0) &gt; 0,
    IFERROR(INDEX(data!N:N, MATCH(Caseslist!B315, data!D:D, 0)) = 1, FALSE)
  ),
  "COMPLETE",
  "INC"
)</f>
        <v>COMPLETE</v>
      </c>
      <c r="D315" s="9" t="str">
        <f t="array" ref="D315">IFERROR(INDEX(data!$G:$G,match(Caseslist!B315,data!$D:$D,0)), "INC")</f>
        <v>P1068432</v>
      </c>
      <c r="E315" s="9" t="str">
        <f t="array" ref="E315">IFERROR(INDEX(data!H:H,match(Caseslist!B315,data!D:D,0)), "INC")</f>
        <v>Mark Daniel Balagao Benson</v>
      </c>
      <c r="F315" s="10" t="str">
        <f t="array" ref="F315">IF(
    OR(
      IFNA(INDEX(data!M:M, MATCH(Caseslist!B315, data!D:D, 0)), "") = "",
      IFNA(INDEX(data!M:M, MATCH(Caseslist!B315, data!D:D, 0)), 0) = 0
    ),
    "COMPLETE",
    IF(
      IFNA(INDEX(dataICM!D:D, MATCH(Caseslist!B315, dataICM!D:D, 0)), "INC") = "INC",
      IFNA(INDEX(dataICM!D:D, MATCH(Caseslist!B315, dataICM!D:D, 0)), "INC"),
      "COMPLETE"
    )
  )</f>
        <v>COMPLETE</v>
      </c>
      <c r="G315" s="10" t="str">
        <f t="array" ref="G315">IF(IFERROR(INDEX(data!L:L,match(Caseslist!B315,data!D:D,0)),"INC")="","COMPLETE",F315)</f>
        <v>COMPLETE</v>
      </c>
      <c r="H315" s="9" t="str">
        <f t="array" ref="H315">IFERROR(INDEX(dataICM!F:F,match(Caseslist!B315,dataICM!D:D,0)), "INC")</f>
        <v>Mark Daniel Balagao Benson</v>
      </c>
      <c r="I315" s="10" t="str">
        <f t="shared" si="2"/>
        <v>P1068432</v>
      </c>
      <c r="J315" s="9" t="str">
        <f t="array" ref="J315">IF(
  AND(
    IFERROR(MATCH(B315, data!D:D, 0), 0) &gt; 0,
    IFERROR(INDEX(data!N:N, MATCH(B315, data!D:D, 0)) = 1, FALSE)
  ),
  INDEX(data!C:C, MATCH(B315, data!D:D, 0)),
  "INC"
)</f>
        <v>2025-09-18T10:22:38.971+08</v>
      </c>
      <c r="K315" s="9" t="str">
        <f t="array" ref="K315">IFERROR(INDEX(dataICM!C:C,match(Caseslist!B315,dataICM!D:D,0)), "INC")</f>
        <v>2025-09-18T10:41:33.602+08</v>
      </c>
      <c r="L315" s="10" t="str">
        <f t="array" ref="L315">IF(AND(G315="COMPLETE", OR(K315="INC", ISBLANK(INDEX(data!O:O, ROW())))), J315, K315)</f>
        <v>2025-09-18T10:41:33.602+08</v>
      </c>
      <c r="M315" s="2">
        <v>45918.0</v>
      </c>
      <c r="N315" s="2">
        <f t="array" ref="N315">IF(M315&lt;&gt;"INC", INDEX(data!M:M, MATCH(B315, data!D:D, 0)), "")</f>
        <v>2</v>
      </c>
      <c r="O315" s="2">
        <f t="shared" si="3"/>
        <v>2</v>
      </c>
    </row>
    <row r="316">
      <c r="A316" s="2" t="str">
        <f t="shared" si="1"/>
        <v>H006029</v>
      </c>
      <c r="B316" s="1" t="s">
        <v>7263</v>
      </c>
      <c r="C316" s="9" t="str">
        <f t="array" ref="C316">IF(
  AND(
    IFERROR(MATCH(Caseslist!B316, data!D:D, 0), 0) &gt; 0,
    IFERROR(INDEX(data!N:N, MATCH(Caseslist!B316, data!D:D, 0)) = 1, FALSE)
  ),
  "COMPLETE",
  "INC"
)</f>
        <v>COMPLETE</v>
      </c>
      <c r="D316" s="9" t="str">
        <f t="array" ref="D316">IFERROR(INDEX(data!$G:$G,match(Caseslist!B316,data!$D:$D,0)), "INC")</f>
        <v>N7814260</v>
      </c>
      <c r="E316" s="9" t="str">
        <f t="array" ref="E316">IFERROR(INDEX(data!H:H,match(Caseslist!B316,data!D:D,0)), "INC")</f>
        <v>Jemma Marie Tillo</v>
      </c>
      <c r="F316" s="10" t="str">
        <f t="array" ref="F316">IF(
    OR(
      IFNA(INDEX(data!M:M, MATCH(Caseslist!B316, data!D:D, 0)), "") = "",
      IFNA(INDEX(data!M:M, MATCH(Caseslist!B316, data!D:D, 0)), 0) = 0
    ),
    "COMPLETE",
    IF(
      IFNA(INDEX(dataICM!D:D, MATCH(Caseslist!B316, dataICM!D:D, 0)), "INC") = "INC",
      IFNA(INDEX(dataICM!D:D, MATCH(Caseslist!B316, dataICM!D:D, 0)), "INC"),
      "COMPLETE"
    )
  )</f>
        <v>COMPLETE</v>
      </c>
      <c r="G316" s="10" t="str">
        <f t="array" ref="G316">IF(IFERROR(INDEX(data!L:L,match(Caseslist!B316,data!D:D,0)),"INC")="","COMPLETE",F316)</f>
        <v>COMPLETE</v>
      </c>
      <c r="H316" s="9" t="str">
        <f t="array" ref="H316">IFERROR(INDEX(dataICM!F:F,match(Caseslist!B316,dataICM!D:D,0)), "INC")</f>
        <v>Jemma Marie Tillo</v>
      </c>
      <c r="I316" s="10" t="str">
        <f t="shared" si="2"/>
        <v>N7814260</v>
      </c>
      <c r="J316" s="9" t="str">
        <f t="array" ref="J316">IF(
  AND(
    IFERROR(MATCH(B316, data!D:D, 0), 0) &gt; 0,
    IFERROR(INDEX(data!N:N, MATCH(B316, data!D:D, 0)) = 1, FALSE)
  ),
  INDEX(data!C:C, MATCH(B316, data!D:D, 0)),
  "INC"
)</f>
        <v>2025-09-21T10:04:55.711+08</v>
      </c>
      <c r="K316" s="9" t="str">
        <f t="array" ref="K316">IFERROR(INDEX(dataICM!C:C,match(Caseslist!B316,dataICM!D:D,0)), "INC")</f>
        <v>2025-09-21T10:09:50.862+08</v>
      </c>
      <c r="L316" s="10" t="str">
        <f t="array" ref="L316">IF(AND(G316="COMPLETE", OR(K316="INC", ISBLANK(INDEX(data!O:O, ROW())))), J316, K316)</f>
        <v>2025-09-21T10:09:50.862+08</v>
      </c>
      <c r="M316" s="2">
        <v>45921.0</v>
      </c>
      <c r="N316" s="2">
        <f t="array" ref="N316">IF(M316&lt;&gt;"INC", INDEX(data!M:M, MATCH(B316, data!D:D, 0)), "")</f>
        <v>2</v>
      </c>
      <c r="O316" s="2">
        <f t="shared" si="3"/>
        <v>2</v>
      </c>
    </row>
    <row r="317">
      <c r="A317" s="2" t="str">
        <f t="shared" si="1"/>
        <v>H006029</v>
      </c>
      <c r="B317" s="1" t="s">
        <v>7818</v>
      </c>
      <c r="C317" s="9" t="str">
        <f t="array" ref="C317">IF(
  AND(
    IFERROR(MATCH(Caseslist!B317, data!D:D, 0), 0) &gt; 0,
    IFERROR(INDEX(data!N:N, MATCH(Caseslist!B317, data!D:D, 0)) = 1, FALSE)
  ),
  "COMPLETE",
  "INC"
)</f>
        <v>COMPLETE</v>
      </c>
      <c r="D317" s="9" t="str">
        <f t="array" ref="D317">IFERROR(INDEX(data!$G:$G,match(Caseslist!B317,data!$D:$D,0)), "INC")</f>
        <v>N7814260</v>
      </c>
      <c r="E317" s="9" t="str">
        <f t="array" ref="E317">IFERROR(INDEX(data!H:H,match(Caseslist!B317,data!D:D,0)), "INC")</f>
        <v>Jemma Marie Tillo</v>
      </c>
      <c r="F317" s="10" t="str">
        <f t="array" ref="F317">IF(
    OR(
      IFNA(INDEX(data!M:M, MATCH(Caseslist!B317, data!D:D, 0)), "") = "",
      IFNA(INDEX(data!M:M, MATCH(Caseslist!B317, data!D:D, 0)), 0) = 0
    ),
    "COMPLETE",
    IF(
      IFNA(INDEX(dataICM!D:D, MATCH(Caseslist!B317, dataICM!D:D, 0)), "INC") = "INC",
      IFNA(INDEX(dataICM!D:D, MATCH(Caseslist!B317, dataICM!D:D, 0)), "INC"),
      "COMPLETE"
    )
  )</f>
        <v>COMPLETE</v>
      </c>
      <c r="G317" s="10" t="str">
        <f t="array" ref="G317">IF(IFERROR(INDEX(data!L:L,match(Caseslist!B317,data!D:D,0)),"INC")="","COMPLETE",F317)</f>
        <v>COMPLETE</v>
      </c>
      <c r="H317" s="9" t="str">
        <f t="array" ref="H317">IFERROR(INDEX(dataICM!F:F,match(Caseslist!B317,dataICM!D:D,0)), "INC")</f>
        <v>Jemma Marie Tillo</v>
      </c>
      <c r="I317" s="10" t="str">
        <f t="shared" si="2"/>
        <v>N7814260</v>
      </c>
      <c r="J317" s="9" t="str">
        <f t="array" ref="J317">IF(
  AND(
    IFERROR(MATCH(B317, data!D:D, 0), 0) &gt; 0,
    IFERROR(INDEX(data!N:N, MATCH(B317, data!D:D, 0)) = 1, FALSE)
  ),
  INDEX(data!C:C, MATCH(B317, data!D:D, 0)),
  "INC"
)</f>
        <v>2025-09-21T15:15:12.948+08</v>
      </c>
      <c r="K317" s="9" t="str">
        <f t="array" ref="K317">IFERROR(INDEX(dataICM!C:C,match(Caseslist!B317,dataICM!D:D,0)), "INC")</f>
        <v>2025-09-21T15:19:43.930+08</v>
      </c>
      <c r="L317" s="10" t="str">
        <f t="array" ref="L317">IF(AND(G317="COMPLETE", OR(K317="INC", ISBLANK(INDEX(data!O:O, ROW())))), J317, K317)</f>
        <v>2025-09-21T15:19:43.930+08</v>
      </c>
      <c r="M317" s="2">
        <v>45921.0</v>
      </c>
      <c r="N317" s="2">
        <f t="array" ref="N317">IF(M317&lt;&gt;"INC", INDEX(data!M:M, MATCH(B317, data!D:D, 0)), "")</f>
        <v>2</v>
      </c>
      <c r="O317" s="2">
        <f t="shared" si="3"/>
        <v>2</v>
      </c>
    </row>
    <row r="318">
      <c r="A318" s="2" t="str">
        <f t="shared" si="1"/>
        <v>H006029</v>
      </c>
      <c r="B318" s="1" t="s">
        <v>7103</v>
      </c>
      <c r="C318" s="9" t="str">
        <f t="array" ref="C318">IF(
  AND(
    IFERROR(MATCH(Caseslist!B318, data!D:D, 0), 0) &gt; 0,
    IFERROR(INDEX(data!N:N, MATCH(Caseslist!B318, data!D:D, 0)) = 1, FALSE)
  ),
  "COMPLETE",
  "INC"
)</f>
        <v>COMPLETE</v>
      </c>
      <c r="D318" s="9" t="str">
        <f t="array" ref="D318">IFERROR(INDEX(data!$G:$G,match(Caseslist!B318,data!$D:$D,0)), "INC")</f>
        <v>N7814260</v>
      </c>
      <c r="E318" s="9" t="str">
        <f t="array" ref="E318">IFERROR(INDEX(data!H:H,match(Caseslist!B318,data!D:D,0)), "INC")</f>
        <v>Jemma Marie Tillo</v>
      </c>
      <c r="F318" s="10" t="str">
        <f t="array" ref="F318">IF(
    OR(
      IFNA(INDEX(data!M:M, MATCH(Caseslist!B318, data!D:D, 0)), "") = "",
      IFNA(INDEX(data!M:M, MATCH(Caseslist!B318, data!D:D, 0)), 0) = 0
    ),
    "COMPLETE",
    IF(
      IFNA(INDEX(dataICM!D:D, MATCH(Caseslist!B318, dataICM!D:D, 0)), "INC") = "INC",
      IFNA(INDEX(dataICM!D:D, MATCH(Caseslist!B318, dataICM!D:D, 0)), "INC"),
      "COMPLETE"
    )
  )</f>
        <v>COMPLETE</v>
      </c>
      <c r="G318" s="10" t="str">
        <f t="array" ref="G318">IF(IFERROR(INDEX(data!L:L,match(Caseslist!B318,data!D:D,0)),"INC")="","COMPLETE",F318)</f>
        <v>COMPLETE</v>
      </c>
      <c r="H318" s="9" t="str">
        <f t="array" ref="H318">IFERROR(INDEX(dataICM!F:F,match(Caseslist!B318,dataICM!D:D,0)), "INC")</f>
        <v>Jemma Marie Tillo</v>
      </c>
      <c r="I318" s="10" t="str">
        <f t="shared" si="2"/>
        <v>N7814260</v>
      </c>
      <c r="J318" s="9" t="str">
        <f t="array" ref="J318">IF(
  AND(
    IFERROR(MATCH(B318, data!D:D, 0), 0) &gt; 0,
    IFERROR(INDEX(data!N:N, MATCH(B318, data!D:D, 0)) = 1, FALSE)
  ),
  INDEX(data!C:C, MATCH(B318, data!D:D, 0)),
  "INC"
)</f>
        <v>2025-09-18T10:17:13.563+08</v>
      </c>
      <c r="K318" s="9" t="str">
        <f t="array" ref="K318">IFERROR(INDEX(dataICM!C:C,match(Caseslist!B318,dataICM!D:D,0)), "INC")</f>
        <v>2025-09-18T10:25:40.933+08</v>
      </c>
      <c r="L318" s="10" t="str">
        <f t="array" ref="L318">IF(AND(G318="COMPLETE", OR(K318="INC", ISBLANK(INDEX(data!O:O, ROW())))), J318, K318)</f>
        <v>2025-09-18T10:25:40.933+08</v>
      </c>
      <c r="M318" s="2">
        <v>45918.0</v>
      </c>
      <c r="N318" s="2">
        <f t="array" ref="N318">IF(M318&lt;&gt;"INC", INDEX(data!M:M, MATCH(B318, data!D:D, 0)), "")</f>
        <v>2</v>
      </c>
      <c r="O318" s="2">
        <f t="shared" si="3"/>
        <v>2</v>
      </c>
    </row>
    <row r="319">
      <c r="A319" s="2" t="str">
        <f t="shared" si="1"/>
        <v>H006029</v>
      </c>
      <c r="B319" s="1" t="s">
        <v>8228</v>
      </c>
      <c r="C319" s="9" t="str">
        <f t="array" ref="C319">IF(
  AND(
    IFERROR(MATCH(Caseslist!B319, data!D:D, 0), 0) &gt; 0,
    IFERROR(INDEX(data!N:N, MATCH(Caseslist!B319, data!D:D, 0)) = 1, FALSE)
  ),
  "COMPLETE",
  "INC"
)</f>
        <v>COMPLETE</v>
      </c>
      <c r="D319" s="9" t="str">
        <f t="array" ref="D319">IFERROR(INDEX(data!$G:$G,match(Caseslist!B319,data!$D:$D,0)), "INC")</f>
        <v>N7814260</v>
      </c>
      <c r="E319" s="9" t="str">
        <f t="array" ref="E319">IFERROR(INDEX(data!H:H,match(Caseslist!B319,data!D:D,0)), "INC")</f>
        <v>Jemma Marie Tillo</v>
      </c>
      <c r="F319" s="10" t="str">
        <f t="array" ref="F319">IF(
    OR(
      IFNA(INDEX(data!M:M, MATCH(Caseslist!B319, data!D:D, 0)), "") = "",
      IFNA(INDEX(data!M:M, MATCH(Caseslist!B319, data!D:D, 0)), 0) = 0
    ),
    "COMPLETE",
    IF(
      IFNA(INDEX(dataICM!D:D, MATCH(Caseslist!B319, dataICM!D:D, 0)), "INC") = "INC",
      IFNA(INDEX(dataICM!D:D, MATCH(Caseslist!B319, dataICM!D:D, 0)), "INC"),
      "COMPLETE"
    )
  )</f>
        <v>COMPLETE</v>
      </c>
      <c r="G319" s="10" t="str">
        <f t="array" ref="G319">IF(IFERROR(INDEX(data!L:L,match(Caseslist!B319,data!D:D,0)),"INC")="","COMPLETE",F319)</f>
        <v>COMPLETE</v>
      </c>
      <c r="H319" s="9" t="str">
        <f t="array" ref="H319">IFERROR(INDEX(dataICM!F:F,match(Caseslist!B319,dataICM!D:D,0)), "INC")</f>
        <v>Jemma Marie Tillo</v>
      </c>
      <c r="I319" s="10" t="str">
        <f t="shared" si="2"/>
        <v>N7814260</v>
      </c>
      <c r="J319" s="9" t="str">
        <f t="array" ref="J319">IF(
  AND(
    IFERROR(MATCH(B319, data!D:D, 0), 0) &gt; 0,
    IFERROR(INDEX(data!N:N, MATCH(B319, data!D:D, 0)) = 1, FALSE)
  ),
  INDEX(data!C:C, MATCH(B319, data!D:D, 0)),
  "INC"
)</f>
        <v>2025-09-23T11:08:46.377+08</v>
      </c>
      <c r="K319" s="9" t="str">
        <f t="array" ref="K319">IFERROR(INDEX(dataICM!C:C,match(Caseslist!B319,dataICM!D:D,0)), "INC")</f>
        <v>2025-09-23T11:36:25.936+08</v>
      </c>
      <c r="L319" s="10" t="str">
        <f t="array" ref="L319">IF(AND(G319="COMPLETE", OR(K319="INC", ISBLANK(INDEX(data!O:O, ROW())))), J319, K319)</f>
        <v>2025-09-23T11:36:25.936+08</v>
      </c>
      <c r="M319" s="2">
        <v>45923.0</v>
      </c>
      <c r="N319" s="2">
        <f t="array" ref="N319">IF(M319&lt;&gt;"INC", INDEX(data!M:M, MATCH(B319, data!D:D, 0)), "")</f>
        <v>2</v>
      </c>
      <c r="O319" s="2">
        <f t="shared" si="3"/>
        <v>2</v>
      </c>
    </row>
    <row r="320">
      <c r="A320" s="2" t="str">
        <f t="shared" si="1"/>
        <v>H006029</v>
      </c>
      <c r="B320" s="1" t="s">
        <v>7143</v>
      </c>
      <c r="C320" s="9" t="str">
        <f t="array" ref="C320">IF(
  AND(
    IFERROR(MATCH(Caseslist!B320, data!D:D, 0), 0) &gt; 0,
    IFERROR(INDEX(data!N:N, MATCH(Caseslist!B320, data!D:D, 0)) = 1, FALSE)
  ),
  "COMPLETE",
  "INC"
)</f>
        <v>COMPLETE</v>
      </c>
      <c r="D320" s="9" t="str">
        <f t="array" ref="D320">IFERROR(INDEX(data!$G:$G,match(Caseslist!B320,data!$D:$D,0)), "INC")</f>
        <v>O3925718</v>
      </c>
      <c r="E320" s="9" t="str">
        <f t="array" ref="E320">IFERROR(INDEX(data!H:H,match(Caseslist!B320,data!D:D,0)), "INC")</f>
        <v>Adrian Montecastro Ferrer</v>
      </c>
      <c r="F320" s="10" t="str">
        <f t="array" ref="F320">IF(
    OR(
      IFNA(INDEX(data!M:M, MATCH(Caseslist!B320, data!D:D, 0)), "") = "",
      IFNA(INDEX(data!M:M, MATCH(Caseslist!B320, data!D:D, 0)), 0) = 0
    ),
    "COMPLETE",
    IF(
      IFNA(INDEX(dataICM!D:D, MATCH(Caseslist!B320, dataICM!D:D, 0)), "INC") = "INC",
      IFNA(INDEX(dataICM!D:D, MATCH(Caseslist!B320, dataICM!D:D, 0)), "INC"),
      "COMPLETE"
    )
  )</f>
        <v>COMPLETE</v>
      </c>
      <c r="G320" s="10" t="str">
        <f t="array" ref="G320">IF(IFERROR(INDEX(data!L:L,match(Caseslist!B320,data!D:D,0)),"INC")="","COMPLETE",F320)</f>
        <v>COMPLETE</v>
      </c>
      <c r="H320" s="9" t="str">
        <f t="array" ref="H320">IFERROR(INDEX(dataICM!F:F,match(Caseslist!B320,dataICM!D:D,0)), "INC")</f>
        <v>Adrian Montecastro Ferrer</v>
      </c>
      <c r="I320" s="10" t="str">
        <f t="shared" si="2"/>
        <v>O3925718</v>
      </c>
      <c r="J320" s="9" t="str">
        <f t="array" ref="J320">IF(
  AND(
    IFERROR(MATCH(B320, data!D:D, 0), 0) &gt; 0,
    IFERROR(INDEX(data!N:N, MATCH(B320, data!D:D, 0)) = 1, FALSE)
  ),
  INDEX(data!C:C, MATCH(B320, data!D:D, 0)),
  "INC"
)</f>
        <v>2025-09-18T13:59:40.187+08</v>
      </c>
      <c r="K320" s="9" t="str">
        <f t="array" ref="K320">IFERROR(INDEX(dataICM!C:C,match(Caseslist!B320,dataICM!D:D,0)), "INC")</f>
        <v>2025-09-18T14:18:27.312+08</v>
      </c>
      <c r="L320" s="10" t="str">
        <f t="array" ref="L320">IF(AND(G320="COMPLETE", OR(K320="INC", ISBLANK(INDEX(data!O:O, ROW())))), J320, K320)</f>
        <v>2025-09-18T14:18:27.312+08</v>
      </c>
      <c r="M320" s="2">
        <v>45918.0</v>
      </c>
      <c r="N320" s="2">
        <f t="array" ref="N320">IF(M320&lt;&gt;"INC", INDEX(data!M:M, MATCH(B320, data!D:D, 0)), "")</f>
        <v>2</v>
      </c>
      <c r="O320" s="2">
        <f t="shared" si="3"/>
        <v>2</v>
      </c>
    </row>
    <row r="321">
      <c r="A321" s="2" t="str">
        <f t="shared" si="1"/>
        <v>H006033</v>
      </c>
      <c r="B321" s="1" t="s">
        <v>6778</v>
      </c>
      <c r="C321" s="9" t="str">
        <f t="array" ref="C321">IF(
  AND(
    IFERROR(MATCH(Caseslist!B321, data!D:D, 0), 0) &gt; 0,
    IFERROR(INDEX(data!N:N, MATCH(Caseslist!B321, data!D:D, 0)) = 1, FALSE)
  ),
  "COMPLETE",
  "INC"
)</f>
        <v>COMPLETE</v>
      </c>
      <c r="D321" s="9" t="str">
        <f t="array" ref="D321">IFERROR(INDEX(data!$G:$G,match(Caseslist!B321,data!$D:$D,0)), "INC")</f>
        <v>L2057896</v>
      </c>
      <c r="E321" s="9" t="str">
        <f t="array" ref="E321">IFERROR(INDEX(data!H:H,match(Caseslist!B321,data!D:D,0)), "INC")</f>
        <v>Franz Reoben Posadas Geneblaza</v>
      </c>
      <c r="F321" s="10" t="str">
        <f t="array" ref="F321">IF(
    OR(
      IFNA(INDEX(data!M:M, MATCH(Caseslist!B321, data!D:D, 0)), "") = "",
      IFNA(INDEX(data!M:M, MATCH(Caseslist!B321, data!D:D, 0)), 0) = 0
    ),
    "COMPLETE",
    IF(
      IFNA(INDEX(dataICM!D:D, MATCH(Caseslist!B321, dataICM!D:D, 0)), "INC") = "INC",
      IFNA(INDEX(dataICM!D:D, MATCH(Caseslist!B321, dataICM!D:D, 0)), "INC"),
      "COMPLETE"
    )
  )</f>
        <v>COMPLETE</v>
      </c>
      <c r="G321" s="10" t="str">
        <f t="array" ref="G321">IF(IFERROR(INDEX(data!L:L,match(Caseslist!B321,data!D:D,0)),"INC")="","COMPLETE",F321)</f>
        <v>COMPLETE</v>
      </c>
      <c r="H321" s="9" t="str">
        <f t="array" ref="H321">IFERROR(INDEX(dataICM!F:F,match(Caseslist!B321,dataICM!D:D,0)), "INC")</f>
        <v>Franz Reoben Posadas Geneblaza</v>
      </c>
      <c r="I321" s="10" t="str">
        <f t="shared" si="2"/>
        <v>L2057896</v>
      </c>
      <c r="J321" s="9" t="str">
        <f t="array" ref="J321">IF(
  AND(
    IFERROR(MATCH(B321, data!D:D, 0), 0) &gt; 0,
    IFERROR(INDEX(data!N:N, MATCH(B321, data!D:D, 0)) = 1, FALSE)
  ),
  INDEX(data!C:C, MATCH(B321, data!D:D, 0)),
  "INC"
)</f>
        <v>2025-09-16T10:31:45.149+08</v>
      </c>
      <c r="K321" s="9" t="str">
        <f t="array" ref="K321">IFERROR(INDEX(dataICM!C:C,match(Caseslist!B321,dataICM!D:D,0)), "INC")</f>
        <v>2025-09-16T10:46:26.560+08</v>
      </c>
      <c r="L321" s="10" t="str">
        <f t="array" ref="L321">IF(AND(G321="COMPLETE", OR(K321="INC", ISBLANK(INDEX(data!O:O, ROW())))), J321, K321)</f>
        <v>2025-09-16T10:46:26.560+08</v>
      </c>
      <c r="M321" s="2">
        <v>45916.0</v>
      </c>
      <c r="N321" s="2">
        <f t="array" ref="N321">IF(M321&lt;&gt;"INC", INDEX(data!M:M, MATCH(B321, data!D:D, 0)), "")</f>
        <v>1</v>
      </c>
      <c r="O321" s="2">
        <f t="shared" si="3"/>
        <v>1</v>
      </c>
    </row>
    <row r="322">
      <c r="A322" s="2" t="str">
        <f t="shared" si="1"/>
        <v>H006033</v>
      </c>
      <c r="B322" s="1" t="s">
        <v>8909</v>
      </c>
      <c r="C322" s="9" t="str">
        <f t="array" ref="C322">IF(
  AND(
    IFERROR(MATCH(Caseslist!B322, data!D:D, 0), 0) &gt; 0,
    IFERROR(INDEX(data!N:N, MATCH(Caseslist!B322, data!D:D, 0)) = 1, FALSE)
  ),
  "COMPLETE",
  "INC"
)</f>
        <v>INC</v>
      </c>
      <c r="D322" s="9" t="str">
        <f t="array" ref="D322">IFERROR(INDEX(data!$G:$G,match(Caseslist!B322,data!$D:$D,0)), "INC")</f>
        <v>INC</v>
      </c>
      <c r="E322" s="9" t="str">
        <f t="array" ref="E322">IFERROR(INDEX(data!H:H,match(Caseslist!B322,data!D:D,0)), "INC")</f>
        <v>INC</v>
      </c>
      <c r="F322" s="10" t="str">
        <f t="array" ref="F322">IF(
    OR(
      IFNA(INDEX(data!M:M, MATCH(Caseslist!B322, data!D:D, 0)), "") = "",
      IFNA(INDEX(data!M:M, MATCH(Caseslist!B322, data!D:D, 0)), 0) = 0
    ),
    "COMPLETE",
    IF(
      IFNA(INDEX(dataICM!D:D, MATCH(Caseslist!B322, dataICM!D:D, 0)), "INC") = "INC",
      IFNA(INDEX(dataICM!D:D, MATCH(Caseslist!B322, dataICM!D:D, 0)), "INC"),
      "COMPLETE"
    )
  )</f>
        <v>COMPLETE</v>
      </c>
      <c r="G322" s="10" t="str">
        <f t="array" ref="G322">IF(IFERROR(INDEX(data!L:L,match(Caseslist!B322,data!D:D,0)),"INC")="","COMPLETE",F322)</f>
        <v>COMPLETE</v>
      </c>
      <c r="H322" s="9" t="str">
        <f t="array" ref="H322">IFERROR(INDEX(dataICM!F:F,match(Caseslist!B322,dataICM!D:D,0)), "INC")</f>
        <v>INC</v>
      </c>
      <c r="I322" s="10" t="str">
        <f t="shared" si="2"/>
        <v>INC</v>
      </c>
      <c r="J322" s="9" t="str">
        <f t="array" ref="J322">IF(
  AND(
    IFERROR(MATCH(B322, data!D:D, 0), 0) &gt; 0,
    IFERROR(INDEX(data!N:N, MATCH(B322, data!D:D, 0)) = 1, FALSE)
  ),
  INDEX(data!C:C, MATCH(B322, data!D:D, 0)),
  "INC"
)</f>
        <v>INC</v>
      </c>
      <c r="K322" s="9" t="str">
        <f t="array" ref="K322">IFERROR(INDEX(dataICM!C:C,match(Caseslist!B322,dataICM!D:D,0)), "INC")</f>
        <v>INC</v>
      </c>
      <c r="L322" s="10" t="str">
        <f t="array" ref="L322">IF(AND(G322="COMPLETE", OR(K322="INC", ISBLANK(INDEX(data!O:O, ROW())))), J322, K322)</f>
        <v>INC</v>
      </c>
      <c r="M322" s="2" t="s">
        <v>8886</v>
      </c>
      <c r="N322" s="2" t="str">
        <f t="array" ref="N322">IF(M322&lt;&gt;"INC", INDEX(data!M:M, MATCH(B322, data!D:D, 0)), "")</f>
        <v/>
      </c>
      <c r="O322" s="2" t="str">
        <f t="shared" si="3"/>
        <v/>
      </c>
    </row>
    <row r="323">
      <c r="A323" s="2" t="str">
        <f t="shared" si="1"/>
        <v>H006033</v>
      </c>
      <c r="B323" s="1" t="s">
        <v>7058</v>
      </c>
      <c r="C323" s="9" t="str">
        <f t="array" ref="C323">IF(
  AND(
    IFERROR(MATCH(Caseslist!B323, data!D:D, 0), 0) &gt; 0,
    IFERROR(INDEX(data!N:N, MATCH(Caseslist!B323, data!D:D, 0)) = 1, FALSE)
  ),
  "COMPLETE",
  "INC"
)</f>
        <v>COMPLETE</v>
      </c>
      <c r="D323" s="9" t="str">
        <f t="array" ref="D323">IFERROR(INDEX(data!$G:$G,match(Caseslist!B323,data!$D:$D,0)), "INC")</f>
        <v>K8623174</v>
      </c>
      <c r="E323" s="9" t="str">
        <f t="array" ref="E323">IFERROR(INDEX(data!H:H,match(Caseslist!B323,data!D:D,0)), "INC")</f>
        <v>Marielle Kaye Ignacio Alonzo</v>
      </c>
      <c r="F323" s="10" t="str">
        <f t="array" ref="F323">IF(
    OR(
      IFNA(INDEX(data!M:M, MATCH(Caseslist!B323, data!D:D, 0)), "") = "",
      IFNA(INDEX(data!M:M, MATCH(Caseslist!B323, data!D:D, 0)), 0) = 0
    ),
    "COMPLETE",
    IF(
      IFNA(INDEX(dataICM!D:D, MATCH(Caseslist!B323, dataICM!D:D, 0)), "INC") = "INC",
      IFNA(INDEX(dataICM!D:D, MATCH(Caseslist!B323, dataICM!D:D, 0)), "INC"),
      "COMPLETE"
    )
  )</f>
        <v>COMPLETE</v>
      </c>
      <c r="G323" s="10" t="str">
        <f t="array" ref="G323">IF(IFERROR(INDEX(data!L:L,match(Caseslist!B323,data!D:D,0)),"INC")="","COMPLETE",F323)</f>
        <v>COMPLETE</v>
      </c>
      <c r="H323" s="9" t="str">
        <f t="array" ref="H323">IFERROR(INDEX(dataICM!F:F,match(Caseslist!B323,dataICM!D:D,0)), "INC")</f>
        <v>Marielle Kaye Ignacio Alonzo</v>
      </c>
      <c r="I323" s="10" t="str">
        <f t="shared" si="2"/>
        <v>K8623174</v>
      </c>
      <c r="J323" s="9" t="str">
        <f t="array" ref="J323">IF(
  AND(
    IFERROR(MATCH(B323, data!D:D, 0), 0) &gt; 0,
    IFERROR(INDEX(data!N:N, MATCH(B323, data!D:D, 0)) = 1, FALSE)
  ),
  INDEX(data!C:C, MATCH(B323, data!D:D, 0)),
  "INC"
)</f>
        <v>2025-09-17T12:06:07.967+08</v>
      </c>
      <c r="K323" s="9" t="str">
        <f t="array" ref="K323">IFERROR(INDEX(dataICM!C:C,match(Caseslist!B323,dataICM!D:D,0)), "INC")</f>
        <v>2025-09-17T12:39:21.835+08</v>
      </c>
      <c r="L323" s="10" t="str">
        <f t="array" ref="L323">IF(AND(G323="COMPLETE", OR(K323="INC", ISBLANK(INDEX(data!O:O, ROW())))), J323, K323)</f>
        <v>2025-09-17T12:39:21.835+08</v>
      </c>
      <c r="M323" s="2">
        <v>45917.0</v>
      </c>
      <c r="N323" s="2">
        <f t="array" ref="N323">IF(M323&lt;&gt;"INC", INDEX(data!M:M, MATCH(B323, data!D:D, 0)), "")</f>
        <v>1</v>
      </c>
      <c r="O323" s="2">
        <f t="shared" si="3"/>
        <v>1</v>
      </c>
    </row>
    <row r="324">
      <c r="A324" s="2" t="str">
        <f t="shared" si="1"/>
        <v>H006033</v>
      </c>
      <c r="B324" s="1" t="s">
        <v>6783</v>
      </c>
      <c r="C324" s="9" t="str">
        <f t="array" ref="C324">IF(
  AND(
    IFERROR(MATCH(Caseslist!B324, data!D:D, 0), 0) &gt; 0,
    IFERROR(INDEX(data!N:N, MATCH(Caseslist!B324, data!D:D, 0)) = 1, FALSE)
  ),
  "COMPLETE",
  "INC"
)</f>
        <v>COMPLETE</v>
      </c>
      <c r="D324" s="9" t="str">
        <f t="array" ref="D324">IFERROR(INDEX(data!$G:$G,match(Caseslist!B324,data!$D:$D,0)), "INC")</f>
        <v>L2057896</v>
      </c>
      <c r="E324" s="9" t="str">
        <f t="array" ref="E324">IFERROR(INDEX(data!H:H,match(Caseslist!B324,data!D:D,0)), "INC")</f>
        <v>Franz Reoben Posadas Geneblaza</v>
      </c>
      <c r="F324" s="10" t="str">
        <f t="array" ref="F324">IF(
    OR(
      IFNA(INDEX(data!M:M, MATCH(Caseslist!B324, data!D:D, 0)), "") = "",
      IFNA(INDEX(data!M:M, MATCH(Caseslist!B324, data!D:D, 0)), 0) = 0
    ),
    "COMPLETE",
    IF(
      IFNA(INDEX(dataICM!D:D, MATCH(Caseslist!B324, dataICM!D:D, 0)), "INC") = "INC",
      IFNA(INDEX(dataICM!D:D, MATCH(Caseslist!B324, dataICM!D:D, 0)), "INC"),
      "COMPLETE"
    )
  )</f>
        <v>COMPLETE</v>
      </c>
      <c r="G324" s="10" t="str">
        <f t="array" ref="G324">IF(IFERROR(INDEX(data!L:L,match(Caseslist!B324,data!D:D,0)),"INC")="","COMPLETE",F324)</f>
        <v>COMPLETE</v>
      </c>
      <c r="H324" s="9" t="str">
        <f t="array" ref="H324">IFERROR(INDEX(dataICM!F:F,match(Caseslist!B324,dataICM!D:D,0)), "INC")</f>
        <v>Franz Reoben Posadas Geneblaza</v>
      </c>
      <c r="I324" s="10" t="str">
        <f t="shared" si="2"/>
        <v>L2057896</v>
      </c>
      <c r="J324" s="9" t="str">
        <f t="array" ref="J324">IF(
  AND(
    IFERROR(MATCH(B324, data!D:D, 0), 0) &gt; 0,
    IFERROR(INDEX(data!N:N, MATCH(B324, data!D:D, 0)) = 1, FALSE)
  ),
  INDEX(data!C:C, MATCH(B324, data!D:D, 0)),
  "INC"
)</f>
        <v>2025-09-16T11:50:26.388+08</v>
      </c>
      <c r="K324" s="9" t="str">
        <f t="array" ref="K324">IFERROR(INDEX(dataICM!C:C,match(Caseslist!B324,dataICM!D:D,0)), "INC")</f>
        <v>2025-09-16T12:16:34.788+08</v>
      </c>
      <c r="L324" s="10" t="str">
        <f t="array" ref="L324">IF(AND(G324="COMPLETE", OR(K324="INC", ISBLANK(INDEX(data!O:O, ROW())))), J324, K324)</f>
        <v>2025-09-16T12:16:34.788+08</v>
      </c>
      <c r="M324" s="2">
        <v>45916.0</v>
      </c>
      <c r="N324" s="2">
        <f t="array" ref="N324">IF(M324&lt;&gt;"INC", INDEX(data!M:M, MATCH(B324, data!D:D, 0)), "")</f>
        <v>1</v>
      </c>
      <c r="O324" s="2">
        <f t="shared" si="3"/>
        <v>1</v>
      </c>
    </row>
    <row r="325">
      <c r="A325" s="2" t="str">
        <f t="shared" si="1"/>
        <v>H006033</v>
      </c>
      <c r="B325" s="1" t="s">
        <v>6838</v>
      </c>
      <c r="C325" s="9" t="str">
        <f t="array" ref="C325">IF(
  AND(
    IFERROR(MATCH(Caseslist!B325, data!D:D, 0), 0) &gt; 0,
    IFERROR(INDEX(data!N:N, MATCH(Caseslist!B325, data!D:D, 0)) = 1, FALSE)
  ),
  "COMPLETE",
  "INC"
)</f>
        <v>COMPLETE</v>
      </c>
      <c r="D325" s="9" t="str">
        <f t="array" ref="D325">IFERROR(INDEX(data!$G:$G,match(Caseslist!B325,data!$D:$D,0)), "INC")</f>
        <v>K8623174</v>
      </c>
      <c r="E325" s="9" t="str">
        <f t="array" ref="E325">IFERROR(INDEX(data!H:H,match(Caseslist!B325,data!D:D,0)), "INC")</f>
        <v>Marielle Kaye Ignacio Alonzo</v>
      </c>
      <c r="F325" s="10" t="str">
        <f t="array" ref="F325">IF(
    OR(
      IFNA(INDEX(data!M:M, MATCH(Caseslist!B325, data!D:D, 0)), "") = "",
      IFNA(INDEX(data!M:M, MATCH(Caseslist!B325, data!D:D, 0)), 0) = 0
    ),
    "COMPLETE",
    IF(
      IFNA(INDEX(dataICM!D:D, MATCH(Caseslist!B325, dataICM!D:D, 0)), "INC") = "INC",
      IFNA(INDEX(dataICM!D:D, MATCH(Caseslist!B325, dataICM!D:D, 0)), "INC"),
      "COMPLETE"
    )
  )</f>
        <v>COMPLETE</v>
      </c>
      <c r="G325" s="10" t="str">
        <f t="array" ref="G325">IF(IFERROR(INDEX(data!L:L,match(Caseslist!B325,data!D:D,0)),"INC")="","COMPLETE",F325)</f>
        <v>COMPLETE</v>
      </c>
      <c r="H325" s="9" t="str">
        <f t="array" ref="H325">IFERROR(INDEX(dataICM!F:F,match(Caseslist!B325,dataICM!D:D,0)), "INC")</f>
        <v>Marielle Kaye Ignacio Alonzo</v>
      </c>
      <c r="I325" s="10" t="str">
        <f t="shared" si="2"/>
        <v>K8623174</v>
      </c>
      <c r="J325" s="9" t="str">
        <f t="array" ref="J325">IF(
  AND(
    IFERROR(MATCH(B325, data!D:D, 0), 0) &gt; 0,
    IFERROR(INDEX(data!N:N, MATCH(B325, data!D:D, 0)) = 1, FALSE)
  ),
  INDEX(data!C:C, MATCH(B325, data!D:D, 0)),
  "INC"
)</f>
        <v>2025-09-16T11:00:02.237+08</v>
      </c>
      <c r="K325" s="9" t="str">
        <f t="array" ref="K325">IFERROR(INDEX(dataICM!C:C,match(Caseslist!B325,dataICM!D:D,0)), "INC")</f>
        <v>2025-09-16T11:16:37.136+08</v>
      </c>
      <c r="L325" s="10" t="str">
        <f t="array" ref="L325">IF(AND(G325="COMPLETE", OR(K325="INC", ISBLANK(INDEX(data!O:O, ROW())))), J325, K325)</f>
        <v>2025-09-16T11:16:37.136+08</v>
      </c>
      <c r="M325" s="2">
        <v>45916.0</v>
      </c>
      <c r="N325" s="2">
        <f t="array" ref="N325">IF(M325&lt;&gt;"INC", INDEX(data!M:M, MATCH(B325, data!D:D, 0)), "")</f>
        <v>1</v>
      </c>
      <c r="O325" s="2">
        <f t="shared" si="3"/>
        <v>1</v>
      </c>
    </row>
    <row r="326">
      <c r="A326" s="2" t="str">
        <f t="shared" si="1"/>
        <v>H006033</v>
      </c>
      <c r="B326" s="1" t="s">
        <v>6848</v>
      </c>
      <c r="C326" s="9" t="str">
        <f t="array" ref="C326">IF(
  AND(
    IFERROR(MATCH(Caseslist!B326, data!D:D, 0), 0) &gt; 0,
    IFERROR(INDEX(data!N:N, MATCH(Caseslist!B326, data!D:D, 0)) = 1, FALSE)
  ),
  "COMPLETE",
  "INC"
)</f>
        <v>COMPLETE</v>
      </c>
      <c r="D326" s="9" t="str">
        <f t="array" ref="D326">IFERROR(INDEX(data!$G:$G,match(Caseslist!B326,data!$D:$D,0)), "INC")</f>
        <v>K8623174</v>
      </c>
      <c r="E326" s="9" t="str">
        <f t="array" ref="E326">IFERROR(INDEX(data!H:H,match(Caseslist!B326,data!D:D,0)), "INC")</f>
        <v>Marielle Kaye Ignacio Alonzo</v>
      </c>
      <c r="F326" s="10" t="str">
        <f t="array" ref="F326">IF(
    OR(
      IFNA(INDEX(data!M:M, MATCH(Caseslist!B326, data!D:D, 0)), "") = "",
      IFNA(INDEX(data!M:M, MATCH(Caseslist!B326, data!D:D, 0)), 0) = 0
    ),
    "COMPLETE",
    IF(
      IFNA(INDEX(dataICM!D:D, MATCH(Caseslist!B326, dataICM!D:D, 0)), "INC") = "INC",
      IFNA(INDEX(dataICM!D:D, MATCH(Caseslist!B326, dataICM!D:D, 0)), "INC"),
      "COMPLETE"
    )
  )</f>
        <v>COMPLETE</v>
      </c>
      <c r="G326" s="10" t="str">
        <f t="array" ref="G326">IF(IFERROR(INDEX(data!L:L,match(Caseslist!B326,data!D:D,0)),"INC")="","COMPLETE",F326)</f>
        <v>COMPLETE</v>
      </c>
      <c r="H326" s="9" t="str">
        <f t="array" ref="H326">IFERROR(INDEX(dataICM!F:F,match(Caseslist!B326,dataICM!D:D,0)), "INC")</f>
        <v>Marielle Kaye Ignacio Alonzo</v>
      </c>
      <c r="I326" s="10" t="str">
        <f t="shared" si="2"/>
        <v>K8623174</v>
      </c>
      <c r="J326" s="9" t="str">
        <f t="array" ref="J326">IF(
  AND(
    IFERROR(MATCH(B326, data!D:D, 0), 0) &gt; 0,
    IFERROR(INDEX(data!N:N, MATCH(B326, data!D:D, 0)) = 1, FALSE)
  ),
  INDEX(data!C:C, MATCH(B326, data!D:D, 0)),
  "INC"
)</f>
        <v>2025-09-16T12:31:10.418+08</v>
      </c>
      <c r="K326" s="9" t="str">
        <f t="array" ref="K326">IFERROR(INDEX(dataICM!C:C,match(Caseslist!B326,dataICM!D:D,0)), "INC")</f>
        <v>2025-09-16T12:48:26.841+08</v>
      </c>
      <c r="L326" s="10" t="str">
        <f t="array" ref="L326">IF(AND(G326="COMPLETE", OR(K326="INC", ISBLANK(INDEX(data!O:O, ROW())))), J326, K326)</f>
        <v>2025-09-16T12:48:26.841+08</v>
      </c>
      <c r="M326" s="2">
        <v>45916.0</v>
      </c>
      <c r="N326" s="2">
        <f t="array" ref="N326">IF(M326&lt;&gt;"INC", INDEX(data!M:M, MATCH(B326, data!D:D, 0)), "")</f>
        <v>1</v>
      </c>
      <c r="O326" s="2">
        <f t="shared" si="3"/>
        <v>1</v>
      </c>
    </row>
    <row r="327">
      <c r="A327" s="2" t="str">
        <f t="shared" si="1"/>
        <v>H006033</v>
      </c>
      <c r="B327" s="1" t="s">
        <v>6813</v>
      </c>
      <c r="C327" s="9" t="str">
        <f t="array" ref="C327">IF(
  AND(
    IFERROR(MATCH(Caseslist!B327, data!D:D, 0), 0) &gt; 0,
    IFERROR(INDEX(data!N:N, MATCH(Caseslist!B327, data!D:D, 0)) = 1, FALSE)
  ),
  "COMPLETE",
  "INC"
)</f>
        <v>COMPLETE</v>
      </c>
      <c r="D327" s="9" t="str">
        <f t="array" ref="D327">IFERROR(INDEX(data!$G:$G,match(Caseslist!B327,data!$D:$D,0)), "INC")</f>
        <v>M6491032</v>
      </c>
      <c r="E327" s="9" t="str">
        <f t="array" ref="E327">IFERROR(INDEX(data!H:H,match(Caseslist!B327,data!D:D,0)), "INC")</f>
        <v>Rosevil Tayo Desamparado</v>
      </c>
      <c r="F327" s="10" t="str">
        <f t="array" ref="F327">IF(
    OR(
      IFNA(INDEX(data!M:M, MATCH(Caseslist!B327, data!D:D, 0)), "") = "",
      IFNA(INDEX(data!M:M, MATCH(Caseslist!B327, data!D:D, 0)), 0) = 0
    ),
    "COMPLETE",
    IF(
      IFNA(INDEX(dataICM!D:D, MATCH(Caseslist!B327, dataICM!D:D, 0)), "INC") = "INC",
      IFNA(INDEX(dataICM!D:D, MATCH(Caseslist!B327, dataICM!D:D, 0)), "INC"),
      "COMPLETE"
    )
  )</f>
        <v>COMPLETE</v>
      </c>
      <c r="G327" s="10" t="str">
        <f t="array" ref="G327">IF(IFERROR(INDEX(data!L:L,match(Caseslist!B327,data!D:D,0)),"INC")="","COMPLETE",F327)</f>
        <v>COMPLETE</v>
      </c>
      <c r="H327" s="9" t="str">
        <f t="array" ref="H327">IFERROR(INDEX(dataICM!F:F,match(Caseslist!B327,dataICM!D:D,0)), "INC")</f>
        <v>Rosevil Tayo Desamparado</v>
      </c>
      <c r="I327" s="10" t="str">
        <f t="shared" si="2"/>
        <v>M6491032</v>
      </c>
      <c r="J327" s="9" t="str">
        <f t="array" ref="J327">IF(
  AND(
    IFERROR(MATCH(B327, data!D:D, 0), 0) &gt; 0,
    IFERROR(INDEX(data!N:N, MATCH(B327, data!D:D, 0)) = 1, FALSE)
  ),
  INDEX(data!C:C, MATCH(B327, data!D:D, 0)),
  "INC"
)</f>
        <v>2025-09-16T11:18:56.281+08</v>
      </c>
      <c r="K327" s="9" t="str">
        <f t="array" ref="K327">IFERROR(INDEX(dataICM!C:C,match(Caseslist!B327,dataICM!D:D,0)), "INC")</f>
        <v>2025-09-16T15:30:59.949+08</v>
      </c>
      <c r="L327" s="10" t="str">
        <f t="array" ref="L327">IF(AND(G327="COMPLETE", OR(K327="INC", ISBLANK(INDEX(data!O:O, ROW())))), J327, K327)</f>
        <v>2025-09-16T15:30:59.949+08</v>
      </c>
      <c r="M327" s="2">
        <v>45916.0</v>
      </c>
      <c r="N327" s="2">
        <f t="array" ref="N327">IF(M327&lt;&gt;"INC", INDEX(data!M:M, MATCH(B327, data!D:D, 0)), "")</f>
        <v>1</v>
      </c>
      <c r="O327" s="2">
        <f t="shared" si="3"/>
        <v>1</v>
      </c>
    </row>
    <row r="328">
      <c r="A328" s="2" t="str">
        <f t="shared" si="1"/>
        <v>H006033</v>
      </c>
      <c r="B328" s="1" t="s">
        <v>6793</v>
      </c>
      <c r="C328" s="9" t="str">
        <f t="array" ref="C328">IF(
  AND(
    IFERROR(MATCH(Caseslist!B328, data!D:D, 0), 0) &gt; 0,
    IFERROR(INDEX(data!N:N, MATCH(Caseslist!B328, data!D:D, 0)) = 1, FALSE)
  ),
  "COMPLETE",
  "INC"
)</f>
        <v>COMPLETE</v>
      </c>
      <c r="D328" s="9" t="str">
        <f t="array" ref="D328">IFERROR(INDEX(data!$G:$G,match(Caseslist!B328,data!$D:$D,0)), "INC")</f>
        <v>J4315980</v>
      </c>
      <c r="E328" s="9" t="str">
        <f t="array" ref="E328">IFERROR(INDEX(data!H:H,match(Caseslist!B328,data!D:D,0)), "INC")</f>
        <v>Trixie Marie Jardeleza Saber</v>
      </c>
      <c r="F328" s="10" t="str">
        <f t="array" ref="F328">IF(
    OR(
      IFNA(INDEX(data!M:M, MATCH(Caseslist!B328, data!D:D, 0)), "") = "",
      IFNA(INDEX(data!M:M, MATCH(Caseslist!B328, data!D:D, 0)), 0) = 0
    ),
    "COMPLETE",
    IF(
      IFNA(INDEX(dataICM!D:D, MATCH(Caseslist!B328, dataICM!D:D, 0)), "INC") = "INC",
      IFNA(INDEX(dataICM!D:D, MATCH(Caseslist!B328, dataICM!D:D, 0)), "INC"),
      "COMPLETE"
    )
  )</f>
        <v>COMPLETE</v>
      </c>
      <c r="G328" s="10" t="str">
        <f t="array" ref="G328">IF(IFERROR(INDEX(data!L:L,match(Caseslist!B328,data!D:D,0)),"INC")="","COMPLETE",F328)</f>
        <v>COMPLETE</v>
      </c>
      <c r="H328" s="9" t="str">
        <f t="array" ref="H328">IFERROR(INDEX(dataICM!F:F,match(Caseslist!B328,dataICM!D:D,0)), "INC")</f>
        <v>Trixie Marie Jardeleza Saber</v>
      </c>
      <c r="I328" s="10" t="str">
        <f t="shared" si="2"/>
        <v>J4315980</v>
      </c>
      <c r="J328" s="9" t="str">
        <f t="array" ref="J328">IF(
  AND(
    IFERROR(MATCH(B328, data!D:D, 0), 0) &gt; 0,
    IFERROR(INDEX(data!N:N, MATCH(B328, data!D:D, 0)) = 1, FALSE)
  ),
  INDEX(data!C:C, MATCH(B328, data!D:D, 0)),
  "INC"
)</f>
        <v>2025-09-16T11:21:42.660+08</v>
      </c>
      <c r="K328" s="9" t="str">
        <f t="array" ref="K328">IFERROR(INDEX(dataICM!C:C,match(Caseslist!B328,dataICM!D:D,0)), "INC")</f>
        <v>2025-09-16T11:32:22.784+08</v>
      </c>
      <c r="L328" s="10" t="str">
        <f t="array" ref="L328">IF(AND(G328="COMPLETE", OR(K328="INC", ISBLANK(INDEX(data!O:O, ROW())))), J328, K328)</f>
        <v>2025-09-16T11:32:22.784+08</v>
      </c>
      <c r="M328" s="2">
        <v>45916.0</v>
      </c>
      <c r="N328" s="2">
        <f t="array" ref="N328">IF(M328&lt;&gt;"INC", INDEX(data!M:M, MATCH(B328, data!D:D, 0)), "")</f>
        <v>1</v>
      </c>
      <c r="O328" s="2">
        <f t="shared" si="3"/>
        <v>1</v>
      </c>
    </row>
    <row r="329">
      <c r="A329" s="2" t="str">
        <f t="shared" si="1"/>
        <v>H006033</v>
      </c>
      <c r="B329" s="1" t="s">
        <v>6788</v>
      </c>
      <c r="C329" s="9" t="str">
        <f t="array" ref="C329">IF(
  AND(
    IFERROR(MATCH(Caseslist!B329, data!D:D, 0), 0) &gt; 0,
    IFERROR(INDEX(data!N:N, MATCH(Caseslist!B329, data!D:D, 0)) = 1, FALSE)
  ),
  "COMPLETE",
  "INC"
)</f>
        <v>COMPLETE</v>
      </c>
      <c r="D329" s="9" t="str">
        <f t="array" ref="D329">IFERROR(INDEX(data!$G:$G,match(Caseslist!B329,data!$D:$D,0)), "INC")</f>
        <v>L2057896</v>
      </c>
      <c r="E329" s="9" t="str">
        <f t="array" ref="E329">IFERROR(INDEX(data!H:H,match(Caseslist!B329,data!D:D,0)), "INC")</f>
        <v>Franz Reoben Posadas Geneblaza</v>
      </c>
      <c r="F329" s="10" t="str">
        <f t="array" ref="F329">IF(
    OR(
      IFNA(INDEX(data!M:M, MATCH(Caseslist!B329, data!D:D, 0)), "") = "",
      IFNA(INDEX(data!M:M, MATCH(Caseslist!B329, data!D:D, 0)), 0) = 0
    ),
    "COMPLETE",
    IF(
      IFNA(INDEX(dataICM!D:D, MATCH(Caseslist!B329, dataICM!D:D, 0)), "INC") = "INC",
      IFNA(INDEX(dataICM!D:D, MATCH(Caseslist!B329, dataICM!D:D, 0)), "INC"),
      "COMPLETE"
    )
  )</f>
        <v>COMPLETE</v>
      </c>
      <c r="G329" s="10" t="str">
        <f t="array" ref="G329">IF(IFERROR(INDEX(data!L:L,match(Caseslist!B329,data!D:D,0)),"INC")="","COMPLETE",F329)</f>
        <v>COMPLETE</v>
      </c>
      <c r="H329" s="9" t="str">
        <f t="array" ref="H329">IFERROR(INDEX(dataICM!F:F,match(Caseslist!B329,dataICM!D:D,0)), "INC")</f>
        <v>Franz Reoben Posadas Geneblaza</v>
      </c>
      <c r="I329" s="10" t="str">
        <f t="shared" si="2"/>
        <v>L2057896</v>
      </c>
      <c r="J329" s="9" t="str">
        <f t="array" ref="J329">IF(
  AND(
    IFERROR(MATCH(B329, data!D:D, 0), 0) &gt; 0,
    IFERROR(INDEX(data!N:N, MATCH(B329, data!D:D, 0)) = 1, FALSE)
  ),
  INDEX(data!C:C, MATCH(B329, data!D:D, 0)),
  "INC"
)</f>
        <v>2025-09-17T11:02:01.983+08</v>
      </c>
      <c r="K329" s="9" t="str">
        <f t="array" ref="K329">IFERROR(INDEX(dataICM!C:C,match(Caseslist!B329,dataICM!D:D,0)), "INC")</f>
        <v>2025-09-17T11:27:22.127+08</v>
      </c>
      <c r="L329" s="10" t="str">
        <f t="array" ref="L329">IF(AND(G329="COMPLETE", OR(K329="INC", ISBLANK(INDEX(data!O:O, ROW())))), J329, K329)</f>
        <v>2025-09-17T11:27:22.127+08</v>
      </c>
      <c r="M329" s="2">
        <v>45917.0</v>
      </c>
      <c r="N329" s="2">
        <f t="array" ref="N329">IF(M329&lt;&gt;"INC", INDEX(data!M:M, MATCH(B329, data!D:D, 0)), "")</f>
        <v>1</v>
      </c>
      <c r="O329" s="2">
        <f t="shared" si="3"/>
        <v>1</v>
      </c>
    </row>
    <row r="330">
      <c r="A330" s="2" t="str">
        <f t="shared" si="1"/>
        <v>H006033</v>
      </c>
      <c r="B330" s="1" t="s">
        <v>7018</v>
      </c>
      <c r="C330" s="9" t="str">
        <f t="array" ref="C330">IF(
  AND(
    IFERROR(MATCH(Caseslist!B330, data!D:D, 0), 0) &gt; 0,
    IFERROR(INDEX(data!N:N, MATCH(Caseslist!B330, data!D:D, 0)) = 1, FALSE)
  ),
  "COMPLETE",
  "INC"
)</f>
        <v>COMPLETE</v>
      </c>
      <c r="D330" s="9" t="str">
        <f t="array" ref="D330">IFERROR(INDEX(data!$G:$G,match(Caseslist!B330,data!$D:$D,0)), "INC")</f>
        <v>M6491032</v>
      </c>
      <c r="E330" s="9" t="str">
        <f t="array" ref="E330">IFERROR(INDEX(data!H:H,match(Caseslist!B330,data!D:D,0)), "INC")</f>
        <v>Rosevil Tayo Desamparado</v>
      </c>
      <c r="F330" s="10" t="str">
        <f t="array" ref="F330">IF(
    OR(
      IFNA(INDEX(data!M:M, MATCH(Caseslist!B330, data!D:D, 0)), "") = "",
      IFNA(INDEX(data!M:M, MATCH(Caseslist!B330, data!D:D, 0)), 0) = 0
    ),
    "COMPLETE",
    IF(
      IFNA(INDEX(dataICM!D:D, MATCH(Caseslist!B330, dataICM!D:D, 0)), "INC") = "INC",
      IFNA(INDEX(dataICM!D:D, MATCH(Caseslist!B330, dataICM!D:D, 0)), "INC"),
      "COMPLETE"
    )
  )</f>
        <v>COMPLETE</v>
      </c>
      <c r="G330" s="10" t="str">
        <f t="array" ref="G330">IF(IFERROR(INDEX(data!L:L,match(Caseslist!B330,data!D:D,0)),"INC")="","COMPLETE",F330)</f>
        <v>COMPLETE</v>
      </c>
      <c r="H330" s="9" t="str">
        <f t="array" ref="H330">IFERROR(INDEX(dataICM!F:F,match(Caseslist!B330,dataICM!D:D,0)), "INC")</f>
        <v>Rosevil Tayo Desamparado</v>
      </c>
      <c r="I330" s="10" t="str">
        <f t="shared" si="2"/>
        <v>M6491032</v>
      </c>
      <c r="J330" s="9" t="str">
        <f t="array" ref="J330">IF(
  AND(
    IFERROR(MATCH(B330, data!D:D, 0), 0) &gt; 0,
    IFERROR(INDEX(data!N:N, MATCH(B330, data!D:D, 0)) = 1, FALSE)
  ),
  INDEX(data!C:C, MATCH(B330, data!D:D, 0)),
  "INC"
)</f>
        <v>2025-09-17T18:46:32.738+08</v>
      </c>
      <c r="K330" s="9" t="str">
        <f t="array" ref="K330">IFERROR(INDEX(dataICM!C:C,match(Caseslist!B330,dataICM!D:D,0)), "INC")</f>
        <v>2025-09-17T18:46:53.324+08</v>
      </c>
      <c r="L330" s="10" t="str">
        <f t="array" ref="L330">IF(AND(G330="COMPLETE", OR(K330="INC", ISBLANK(INDEX(data!O:O, ROW())))), J330, K330)</f>
        <v>2025-09-17T18:46:53.324+08</v>
      </c>
      <c r="M330" s="2">
        <v>45917.0</v>
      </c>
      <c r="N330" s="2">
        <f t="array" ref="N330">IF(M330&lt;&gt;"INC", INDEX(data!M:M, MATCH(B330, data!D:D, 0)), "")</f>
        <v>1</v>
      </c>
      <c r="O330" s="2">
        <f t="shared" si="3"/>
        <v>1</v>
      </c>
    </row>
    <row r="331">
      <c r="A331" s="2" t="str">
        <f t="shared" si="1"/>
        <v>H006033</v>
      </c>
      <c r="B331" s="1" t="s">
        <v>6803</v>
      </c>
      <c r="C331" s="9" t="str">
        <f t="array" ref="C331">IF(
  AND(
    IFERROR(MATCH(Caseslist!B331, data!D:D, 0), 0) &gt; 0,
    IFERROR(INDEX(data!N:N, MATCH(Caseslist!B331, data!D:D, 0)) = 1, FALSE)
  ),
  "COMPLETE",
  "INC"
)</f>
        <v>COMPLETE</v>
      </c>
      <c r="D331" s="9" t="str">
        <f t="array" ref="D331">IFERROR(INDEX(data!$G:$G,match(Caseslist!B331,data!$D:$D,0)), "INC")</f>
        <v>J4315980</v>
      </c>
      <c r="E331" s="9" t="str">
        <f t="array" ref="E331">IFERROR(INDEX(data!H:H,match(Caseslist!B331,data!D:D,0)), "INC")</f>
        <v>Trixie Marie Jardeleza Saber</v>
      </c>
      <c r="F331" s="10" t="str">
        <f t="array" ref="F331">IF(
    OR(
      IFNA(INDEX(data!M:M, MATCH(Caseslist!B331, data!D:D, 0)), "") = "",
      IFNA(INDEX(data!M:M, MATCH(Caseslist!B331, data!D:D, 0)), 0) = 0
    ),
    "COMPLETE",
    IF(
      IFNA(INDEX(dataICM!D:D, MATCH(Caseslist!B331, dataICM!D:D, 0)), "INC") = "INC",
      IFNA(INDEX(dataICM!D:D, MATCH(Caseslist!B331, dataICM!D:D, 0)), "INC"),
      "COMPLETE"
    )
  )</f>
        <v>COMPLETE</v>
      </c>
      <c r="G331" s="10" t="str">
        <f t="array" ref="G331">IF(IFERROR(INDEX(data!L:L,match(Caseslist!B331,data!D:D,0)),"INC")="","COMPLETE",F331)</f>
        <v>COMPLETE</v>
      </c>
      <c r="H331" s="9" t="str">
        <f t="array" ref="H331">IFERROR(INDEX(dataICM!F:F,match(Caseslist!B331,dataICM!D:D,0)), "INC")</f>
        <v>Trixie Marie Jardeleza Saber</v>
      </c>
      <c r="I331" s="10" t="str">
        <f t="shared" si="2"/>
        <v>J4315980</v>
      </c>
      <c r="J331" s="9" t="str">
        <f t="array" ref="J331">IF(
  AND(
    IFERROR(MATCH(B331, data!D:D, 0), 0) &gt; 0,
    IFERROR(INDEX(data!N:N, MATCH(B331, data!D:D, 0)) = 1, FALSE)
  ),
  INDEX(data!C:C, MATCH(B331, data!D:D, 0)),
  "INC"
)</f>
        <v>2025-09-17T11:08:36.292+08</v>
      </c>
      <c r="K331" s="9" t="str">
        <f t="array" ref="K331">IFERROR(INDEX(dataICM!C:C,match(Caseslist!B331,dataICM!D:D,0)), "INC")</f>
        <v>2025-09-17T11:15:26.892+08</v>
      </c>
      <c r="L331" s="10" t="str">
        <f t="array" ref="L331">IF(AND(G331="COMPLETE", OR(K331="INC", ISBLANK(INDEX(data!O:O, ROW())))), J331, K331)</f>
        <v>2025-09-17T11:15:26.892+08</v>
      </c>
      <c r="M331" s="2">
        <v>45917.0</v>
      </c>
      <c r="N331" s="2">
        <f t="array" ref="N331">IF(M331&lt;&gt;"INC", INDEX(data!M:M, MATCH(B331, data!D:D, 0)), "")</f>
        <v>1</v>
      </c>
      <c r="O331" s="2">
        <f t="shared" si="3"/>
        <v>1</v>
      </c>
    </row>
    <row r="332">
      <c r="A332" s="2" t="str">
        <f t="shared" si="1"/>
        <v>H006033</v>
      </c>
      <c r="B332" s="1" t="s">
        <v>6843</v>
      </c>
      <c r="C332" s="9" t="str">
        <f t="array" ref="C332">IF(
  AND(
    IFERROR(MATCH(Caseslist!B332, data!D:D, 0), 0) &gt; 0,
    IFERROR(INDEX(data!N:N, MATCH(Caseslist!B332, data!D:D, 0)) = 1, FALSE)
  ),
  "COMPLETE",
  "INC"
)</f>
        <v>COMPLETE</v>
      </c>
      <c r="D332" s="9" t="str">
        <f t="array" ref="D332">IFERROR(INDEX(data!$G:$G,match(Caseslist!B332,data!$D:$D,0)), "INC")</f>
        <v>K8623174</v>
      </c>
      <c r="E332" s="9" t="str">
        <f t="array" ref="E332">IFERROR(INDEX(data!H:H,match(Caseslist!B332,data!D:D,0)), "INC")</f>
        <v>Marielle Kaye Ignacio Alonzo</v>
      </c>
      <c r="F332" s="10" t="str">
        <f t="array" ref="F332">IF(
    OR(
      IFNA(INDEX(data!M:M, MATCH(Caseslist!B332, data!D:D, 0)), "") = "",
      IFNA(INDEX(data!M:M, MATCH(Caseslist!B332, data!D:D, 0)), 0) = 0
    ),
    "COMPLETE",
    IF(
      IFNA(INDEX(dataICM!D:D, MATCH(Caseslist!B332, dataICM!D:D, 0)), "INC") = "INC",
      IFNA(INDEX(dataICM!D:D, MATCH(Caseslist!B332, dataICM!D:D, 0)), "INC"),
      "COMPLETE"
    )
  )</f>
        <v>COMPLETE</v>
      </c>
      <c r="G332" s="10" t="str">
        <f t="array" ref="G332">IF(IFERROR(INDEX(data!L:L,match(Caseslist!B332,data!D:D,0)),"INC")="","COMPLETE",F332)</f>
        <v>COMPLETE</v>
      </c>
      <c r="H332" s="9" t="str">
        <f t="array" ref="H332">IFERROR(INDEX(dataICM!F:F,match(Caseslist!B332,dataICM!D:D,0)), "INC")</f>
        <v>Marielle Kaye Ignacio Alonzo</v>
      </c>
      <c r="I332" s="10" t="str">
        <f t="shared" si="2"/>
        <v>K8623174</v>
      </c>
      <c r="J332" s="9" t="str">
        <f t="array" ref="J332">IF(
  AND(
    IFERROR(MATCH(B332, data!D:D, 0), 0) &gt; 0,
    IFERROR(INDEX(data!N:N, MATCH(B332, data!D:D, 0)) = 1, FALSE)
  ),
  INDEX(data!C:C, MATCH(B332, data!D:D, 0)),
  "INC"
)</f>
        <v>2025-09-16T09:51:04.741+08</v>
      </c>
      <c r="K332" s="9" t="str">
        <f t="array" ref="K332">IFERROR(INDEX(dataICM!C:C,match(Caseslist!B332,dataICM!D:D,0)), "INC")</f>
        <v>2025-09-16T13:36:31.604+08</v>
      </c>
      <c r="L332" s="10" t="str">
        <f t="array" ref="L332">IF(AND(G332="COMPLETE", OR(K332="INC", ISBLANK(INDEX(data!O:O, ROW())))), J332, K332)</f>
        <v>2025-09-16T13:36:31.604+08</v>
      </c>
      <c r="M332" s="2">
        <v>45916.0</v>
      </c>
      <c r="N332" s="2">
        <f t="array" ref="N332">IF(M332&lt;&gt;"INC", INDEX(data!M:M, MATCH(B332, data!D:D, 0)), "")</f>
        <v>1</v>
      </c>
      <c r="O332" s="2">
        <f t="shared" si="3"/>
        <v>1</v>
      </c>
    </row>
    <row r="333">
      <c r="A333" s="2" t="str">
        <f t="shared" si="1"/>
        <v>H006033</v>
      </c>
      <c r="B333" s="1" t="s">
        <v>6808</v>
      </c>
      <c r="C333" s="9" t="str">
        <f t="array" ref="C333">IF(
  AND(
    IFERROR(MATCH(Caseslist!B333, data!D:D, 0), 0) &gt; 0,
    IFERROR(INDEX(data!N:N, MATCH(Caseslist!B333, data!D:D, 0)) = 1, FALSE)
  ),
  "COMPLETE",
  "INC"
)</f>
        <v>COMPLETE</v>
      </c>
      <c r="D333" s="9" t="str">
        <f t="array" ref="D333">IFERROR(INDEX(data!$G:$G,match(Caseslist!B333,data!$D:$D,0)), "INC")</f>
        <v>J4315980</v>
      </c>
      <c r="E333" s="9" t="str">
        <f t="array" ref="E333">IFERROR(INDEX(data!H:H,match(Caseslist!B333,data!D:D,0)), "INC")</f>
        <v>Trixie Marie Jardeleza Saber</v>
      </c>
      <c r="F333" s="10" t="str">
        <f t="array" ref="F333">IF(
    OR(
      IFNA(INDEX(data!M:M, MATCH(Caseslist!B333, data!D:D, 0)), "") = "",
      IFNA(INDEX(data!M:M, MATCH(Caseslist!B333, data!D:D, 0)), 0) = 0
    ),
    "COMPLETE",
    IF(
      IFNA(INDEX(dataICM!D:D, MATCH(Caseslist!B333, dataICM!D:D, 0)), "INC") = "INC",
      IFNA(INDEX(dataICM!D:D, MATCH(Caseslist!B333, dataICM!D:D, 0)), "INC"),
      "COMPLETE"
    )
  )</f>
        <v>COMPLETE</v>
      </c>
      <c r="G333" s="10" t="str">
        <f t="array" ref="G333">IF(IFERROR(INDEX(data!L:L,match(Caseslist!B333,data!D:D,0)),"INC")="","COMPLETE",F333)</f>
        <v>COMPLETE</v>
      </c>
      <c r="H333" s="9" t="str">
        <f t="array" ref="H333">IFERROR(INDEX(dataICM!F:F,match(Caseslist!B333,dataICM!D:D,0)), "INC")</f>
        <v>Trixie Marie Jardeleza Saber</v>
      </c>
      <c r="I333" s="10" t="str">
        <f t="shared" si="2"/>
        <v>J4315980</v>
      </c>
      <c r="J333" s="9" t="str">
        <f t="array" ref="J333">IF(
  AND(
    IFERROR(MATCH(B333, data!D:D, 0), 0) &gt; 0,
    IFERROR(INDEX(data!N:N, MATCH(B333, data!D:D, 0)) = 1, FALSE)
  ),
  INDEX(data!C:C, MATCH(B333, data!D:D, 0)),
  "INC"
)</f>
        <v>2025-09-16T09:43:27.302+08</v>
      </c>
      <c r="K333" s="9" t="str">
        <f t="array" ref="K333">IFERROR(INDEX(dataICM!C:C,match(Caseslist!B333,dataICM!D:D,0)), "INC")</f>
        <v>2025-09-16T09:59:17.789+08</v>
      </c>
      <c r="L333" s="10" t="str">
        <f t="array" ref="L333">IF(AND(G333="COMPLETE", OR(K333="INC", ISBLANK(INDEX(data!O:O, ROW())))), J333, K333)</f>
        <v>2025-09-16T09:59:17.789+08</v>
      </c>
      <c r="M333" s="2">
        <v>45916.0</v>
      </c>
      <c r="N333" s="2">
        <f t="array" ref="N333">IF(M333&lt;&gt;"INC", INDEX(data!M:M, MATCH(B333, data!D:D, 0)), "")</f>
        <v>1</v>
      </c>
      <c r="O333" s="2">
        <f t="shared" si="3"/>
        <v>1</v>
      </c>
    </row>
    <row r="334">
      <c r="A334" s="2" t="str">
        <f t="shared" si="1"/>
        <v>H006033</v>
      </c>
      <c r="B334" s="1" t="s">
        <v>6828</v>
      </c>
      <c r="C334" s="9" t="str">
        <f t="array" ref="C334">IF(
  AND(
    IFERROR(MATCH(Caseslist!B334, data!D:D, 0), 0) &gt; 0,
    IFERROR(INDEX(data!N:N, MATCH(Caseslist!B334, data!D:D, 0)) = 1, FALSE)
  ),
  "COMPLETE",
  "INC"
)</f>
        <v>COMPLETE</v>
      </c>
      <c r="D334" s="9" t="str">
        <f t="array" ref="D334">IFERROR(INDEX(data!$G:$G,match(Caseslist!B334,data!$D:$D,0)), "INC")</f>
        <v>M6491032</v>
      </c>
      <c r="E334" s="9" t="str">
        <f t="array" ref="E334">IFERROR(INDEX(data!H:H,match(Caseslist!B334,data!D:D,0)), "INC")</f>
        <v>Rosevil Tayo Desamparado</v>
      </c>
      <c r="F334" s="10" t="str">
        <f t="array" ref="F334">IF(
    OR(
      IFNA(INDEX(data!M:M, MATCH(Caseslist!B334, data!D:D, 0)), "") = "",
      IFNA(INDEX(data!M:M, MATCH(Caseslist!B334, data!D:D, 0)), 0) = 0
    ),
    "COMPLETE",
    IF(
      IFNA(INDEX(dataICM!D:D, MATCH(Caseslist!B334, dataICM!D:D, 0)), "INC") = "INC",
      IFNA(INDEX(dataICM!D:D, MATCH(Caseslist!B334, dataICM!D:D, 0)), "INC"),
      "COMPLETE"
    )
  )</f>
        <v>COMPLETE</v>
      </c>
      <c r="G334" s="10" t="str">
        <f t="array" ref="G334">IF(IFERROR(INDEX(data!L:L,match(Caseslist!B334,data!D:D,0)),"INC")="","COMPLETE",F334)</f>
        <v>COMPLETE</v>
      </c>
      <c r="H334" s="9" t="str">
        <f t="array" ref="H334">IFERROR(INDEX(dataICM!F:F,match(Caseslist!B334,dataICM!D:D,0)), "INC")</f>
        <v>Rosevil Tayo Desamparado</v>
      </c>
      <c r="I334" s="10" t="str">
        <f t="shared" si="2"/>
        <v>M6491032</v>
      </c>
      <c r="J334" s="9" t="str">
        <f t="array" ref="J334">IF(
  AND(
    IFERROR(MATCH(B334, data!D:D, 0), 0) &gt; 0,
    IFERROR(INDEX(data!N:N, MATCH(B334, data!D:D, 0)) = 1, FALSE)
  ),
  INDEX(data!C:C, MATCH(B334, data!D:D, 0)),
  "INC"
)</f>
        <v>2025-09-16T19:34:27.168+08</v>
      </c>
      <c r="K334" s="9" t="str">
        <f t="array" ref="K334">IFERROR(INDEX(dataICM!C:C,match(Caseslist!B334,dataICM!D:D,0)), "INC")</f>
        <v>2025-09-16T19:34:57.532+08</v>
      </c>
      <c r="L334" s="10" t="str">
        <f t="array" ref="L334">IF(AND(G334="COMPLETE", OR(K334="INC", ISBLANK(INDEX(data!O:O, ROW())))), J334, K334)</f>
        <v>2025-09-16T19:34:57.532+08</v>
      </c>
      <c r="M334" s="2">
        <v>45916.0</v>
      </c>
      <c r="N334" s="2">
        <f t="array" ref="N334">IF(M334&lt;&gt;"INC", INDEX(data!M:M, MATCH(B334, data!D:D, 0)), "")</f>
        <v>1</v>
      </c>
      <c r="O334" s="2">
        <f t="shared" si="3"/>
        <v>1</v>
      </c>
    </row>
    <row r="335">
      <c r="A335" s="2" t="str">
        <f t="shared" si="1"/>
        <v>H006068</v>
      </c>
      <c r="B335" s="1" t="s">
        <v>7968</v>
      </c>
      <c r="C335" s="9" t="str">
        <f t="array" ref="C335">IF(
  AND(
    IFERROR(MATCH(Caseslist!B335, data!D:D, 0), 0) &gt; 0,
    IFERROR(INDEX(data!N:N, MATCH(Caseslist!B335, data!D:D, 0)) = 1, FALSE)
  ),
  "COMPLETE",
  "INC"
)</f>
        <v>COMPLETE</v>
      </c>
      <c r="D335" s="9" t="str">
        <f t="array" ref="D335">IFERROR(INDEX(data!$G:$G,match(Caseslist!B335,data!$D:$D,0)), "INC")</f>
        <v>M6491032</v>
      </c>
      <c r="E335" s="9" t="str">
        <f t="array" ref="E335">IFERROR(INDEX(data!H:H,match(Caseslist!B335,data!D:D,0)), "INC")</f>
        <v>Rosevil Tayo Desamparado</v>
      </c>
      <c r="F335" s="10" t="str">
        <f t="array" ref="F335">IF(
    OR(
      IFNA(INDEX(data!M:M, MATCH(Caseslist!B335, data!D:D, 0)), "") = "",
      IFNA(INDEX(data!M:M, MATCH(Caseslist!B335, data!D:D, 0)), 0) = 0
    ),
    "COMPLETE",
    IF(
      IFNA(INDEX(dataICM!D:D, MATCH(Caseslist!B335, dataICM!D:D, 0)), "INC") = "INC",
      IFNA(INDEX(dataICM!D:D, MATCH(Caseslist!B335, dataICM!D:D, 0)), "INC"),
      "COMPLETE"
    )
  )</f>
        <v>COMPLETE</v>
      </c>
      <c r="G335" s="10" t="str">
        <f t="array" ref="G335">IF(IFERROR(INDEX(data!L:L,match(Caseslist!B335,data!D:D,0)),"INC")="","COMPLETE",F335)</f>
        <v>COMPLETE</v>
      </c>
      <c r="H335" s="9" t="str">
        <f t="array" ref="H335">IFERROR(INDEX(dataICM!F:F,match(Caseslist!B335,dataICM!D:D,0)), "INC")</f>
        <v>INC</v>
      </c>
      <c r="I335" s="10" t="str">
        <f t="shared" si="2"/>
        <v>M6491032</v>
      </c>
      <c r="J335" s="9" t="str">
        <f t="array" ref="J335">IF(
  AND(
    IFERROR(MATCH(B335, data!D:D, 0), 0) &gt; 0,
    IFERROR(INDEX(data!N:N, MATCH(B335, data!D:D, 0)) = 1, FALSE)
  ),
  INDEX(data!C:C, MATCH(B335, data!D:D, 0)),
  "INC"
)</f>
        <v>2025-09-22T11:48:33.901+08</v>
      </c>
      <c r="K335" s="9" t="str">
        <f t="array" ref="K335">IFERROR(INDEX(dataICM!C:C,match(Caseslist!B335,dataICM!D:D,0)), "INC")</f>
        <v>INC</v>
      </c>
      <c r="L335" s="10" t="str">
        <f t="array" ref="L335">IF(AND(G335="COMPLETE", OR(K335="INC", ISBLANK(INDEX(data!O:O, ROW())))), J335, K335)</f>
        <v>2025-09-22T11:48:33.901+08</v>
      </c>
      <c r="M335" s="2">
        <v>45922.0</v>
      </c>
      <c r="N335" s="2">
        <f t="array" ref="N335">IF(M335&lt;&gt;"INC", INDEX(data!M:M, MATCH(B335, data!D:D, 0)), "")</f>
        <v>0</v>
      </c>
      <c r="O335" s="2">
        <f t="shared" si="3"/>
        <v>0</v>
      </c>
    </row>
    <row r="336">
      <c r="A336" s="2" t="str">
        <f t="shared" si="1"/>
        <v>H006068</v>
      </c>
      <c r="B336" s="1" t="s">
        <v>7963</v>
      </c>
      <c r="C336" s="9" t="str">
        <f t="array" ref="C336">IF(
  AND(
    IFERROR(MATCH(Caseslist!B336, data!D:D, 0), 0) &gt; 0,
    IFERROR(INDEX(data!N:N, MATCH(Caseslist!B336, data!D:D, 0)) = 1, FALSE)
  ),
  "COMPLETE",
  "INC"
)</f>
        <v>COMPLETE</v>
      </c>
      <c r="D336" s="9" t="str">
        <f t="array" ref="D336">IFERROR(INDEX(data!$G:$G,match(Caseslist!B336,data!$D:$D,0)), "INC")</f>
        <v>M6491032</v>
      </c>
      <c r="E336" s="9" t="str">
        <f t="array" ref="E336">IFERROR(INDEX(data!H:H,match(Caseslist!B336,data!D:D,0)), "INC")</f>
        <v>Rosevil Tayo Desamparado</v>
      </c>
      <c r="F336" s="10" t="str">
        <f t="array" ref="F336">IF(
    OR(
      IFNA(INDEX(data!M:M, MATCH(Caseslist!B336, data!D:D, 0)), "") = "",
      IFNA(INDEX(data!M:M, MATCH(Caseslist!B336, data!D:D, 0)), 0) = 0
    ),
    "COMPLETE",
    IF(
      IFNA(INDEX(dataICM!D:D, MATCH(Caseslist!B336, dataICM!D:D, 0)), "INC") = "INC",
      IFNA(INDEX(dataICM!D:D, MATCH(Caseslist!B336, dataICM!D:D, 0)), "INC"),
      "COMPLETE"
    )
  )</f>
        <v>COMPLETE</v>
      </c>
      <c r="G336" s="10" t="str">
        <f t="array" ref="G336">IF(IFERROR(INDEX(data!L:L,match(Caseslist!B336,data!D:D,0)),"INC")="","COMPLETE",F336)</f>
        <v>COMPLETE</v>
      </c>
      <c r="H336" s="9" t="str">
        <f t="array" ref="H336">IFERROR(INDEX(dataICM!F:F,match(Caseslist!B336,dataICM!D:D,0)), "INC")</f>
        <v>INC</v>
      </c>
      <c r="I336" s="10" t="str">
        <f t="shared" si="2"/>
        <v>M6491032</v>
      </c>
      <c r="J336" s="9" t="str">
        <f t="array" ref="J336">IF(
  AND(
    IFERROR(MATCH(B336, data!D:D, 0), 0) &gt; 0,
    IFERROR(INDEX(data!N:N, MATCH(B336, data!D:D, 0)) = 1, FALSE)
  ),
  INDEX(data!C:C, MATCH(B336, data!D:D, 0)),
  "INC"
)</f>
        <v>2025-09-22T11:14:16.938+08</v>
      </c>
      <c r="K336" s="9" t="str">
        <f t="array" ref="K336">IFERROR(INDEX(dataICM!C:C,match(Caseslist!B336,dataICM!D:D,0)), "INC")</f>
        <v>INC</v>
      </c>
      <c r="L336" s="10" t="str">
        <f t="array" ref="L336">IF(AND(G336="COMPLETE", OR(K336="INC", ISBLANK(INDEX(data!O:O, ROW())))), J336, K336)</f>
        <v>2025-09-22T11:14:16.938+08</v>
      </c>
      <c r="M336" s="2">
        <v>45922.0</v>
      </c>
      <c r="N336" s="2">
        <f t="array" ref="N336">IF(M336&lt;&gt;"INC", INDEX(data!M:M, MATCH(B336, data!D:D, 0)), "")</f>
        <v>0</v>
      </c>
      <c r="O336" s="2">
        <f t="shared" si="3"/>
        <v>0</v>
      </c>
    </row>
    <row r="337">
      <c r="A337" s="2" t="str">
        <f t="shared" si="1"/>
        <v>H006068</v>
      </c>
      <c r="B337" s="1" t="s">
        <v>8098</v>
      </c>
      <c r="C337" s="9" t="str">
        <f t="array" ref="C337">IF(
  AND(
    IFERROR(MATCH(Caseslist!B337, data!D:D, 0), 0) &gt; 0,
    IFERROR(INDEX(data!N:N, MATCH(Caseslist!B337, data!D:D, 0)) = 1, FALSE)
  ),
  "COMPLETE",
  "INC"
)</f>
        <v>COMPLETE</v>
      </c>
      <c r="D337" s="9" t="str">
        <f t="array" ref="D337">IFERROR(INDEX(data!$G:$G,match(Caseslist!B337,data!$D:$D,0)), "INC")</f>
        <v>L2057896</v>
      </c>
      <c r="E337" s="9" t="str">
        <f t="array" ref="E337">IFERROR(INDEX(data!H:H,match(Caseslist!B337,data!D:D,0)), "INC")</f>
        <v>Franz Reoben Posadas Geneblaza</v>
      </c>
      <c r="F337" s="10" t="str">
        <f t="array" ref="F337">IF(
    OR(
      IFNA(INDEX(data!M:M, MATCH(Caseslist!B337, data!D:D, 0)), "") = "",
      IFNA(INDEX(data!M:M, MATCH(Caseslist!B337, data!D:D, 0)), 0) = 0
    ),
    "COMPLETE",
    IF(
      IFNA(INDEX(dataICM!D:D, MATCH(Caseslist!B337, dataICM!D:D, 0)), "INC") = "INC",
      IFNA(INDEX(dataICM!D:D, MATCH(Caseslist!B337, dataICM!D:D, 0)), "INC"),
      "COMPLETE"
    )
  )</f>
        <v>COMPLETE</v>
      </c>
      <c r="G337" s="10" t="str">
        <f t="array" ref="G337">IF(IFERROR(INDEX(data!L:L,match(Caseslist!B337,data!D:D,0)),"INC")="","COMPLETE",F337)</f>
        <v>COMPLETE</v>
      </c>
      <c r="H337" s="9" t="str">
        <f t="array" ref="H337">IFERROR(INDEX(dataICM!F:F,match(Caseslist!B337,dataICM!D:D,0)), "INC")</f>
        <v>INC</v>
      </c>
      <c r="I337" s="10" t="str">
        <f t="shared" si="2"/>
        <v>L2057896</v>
      </c>
      <c r="J337" s="9" t="str">
        <f t="array" ref="J337">IF(
  AND(
    IFERROR(MATCH(B337, data!D:D, 0), 0) &gt; 0,
    IFERROR(INDEX(data!N:N, MATCH(B337, data!D:D, 0)) = 1, FALSE)
  ),
  INDEX(data!C:C, MATCH(B337, data!D:D, 0)),
  "INC"
)</f>
        <v>2025-09-22T13:37:39.355+08</v>
      </c>
      <c r="K337" s="9" t="str">
        <f t="array" ref="K337">IFERROR(INDEX(dataICM!C:C,match(Caseslist!B337,dataICM!D:D,0)), "INC")</f>
        <v>INC</v>
      </c>
      <c r="L337" s="10" t="str">
        <f t="array" ref="L337">IF(AND(G337="COMPLETE", OR(K337="INC", ISBLANK(INDEX(data!O:O, ROW())))), J337, K337)</f>
        <v>2025-09-22T13:37:39.355+08</v>
      </c>
      <c r="M337" s="2">
        <v>45922.0</v>
      </c>
      <c r="N337" s="2">
        <f t="array" ref="N337">IF(M337&lt;&gt;"INC", INDEX(data!M:M, MATCH(B337, data!D:D, 0)), "")</f>
        <v>0</v>
      </c>
      <c r="O337" s="2">
        <f t="shared" si="3"/>
        <v>0</v>
      </c>
    </row>
    <row r="338">
      <c r="A338" s="2" t="str">
        <f t="shared" si="1"/>
        <v>H006068</v>
      </c>
      <c r="B338" s="1" t="s">
        <v>8093</v>
      </c>
      <c r="C338" s="9" t="str">
        <f t="array" ref="C338">IF(
  AND(
    IFERROR(MATCH(Caseslist!B338, data!D:D, 0), 0) &gt; 0,
    IFERROR(INDEX(data!N:N, MATCH(Caseslist!B338, data!D:D, 0)) = 1, FALSE)
  ),
  "COMPLETE",
  "INC"
)</f>
        <v>COMPLETE</v>
      </c>
      <c r="D338" s="9" t="str">
        <f t="array" ref="D338">IFERROR(INDEX(data!$G:$G,match(Caseslist!B338,data!$D:$D,0)), "INC")</f>
        <v>L2057896</v>
      </c>
      <c r="E338" s="9" t="str">
        <f t="array" ref="E338">IFERROR(INDEX(data!H:H,match(Caseslist!B338,data!D:D,0)), "INC")</f>
        <v>Franz Reoben Posadas Geneblaza</v>
      </c>
      <c r="F338" s="10" t="str">
        <f t="array" ref="F338">IF(
    OR(
      IFNA(INDEX(data!M:M, MATCH(Caseslist!B338, data!D:D, 0)), "") = "",
      IFNA(INDEX(data!M:M, MATCH(Caseslist!B338, data!D:D, 0)), 0) = 0
    ),
    "COMPLETE",
    IF(
      IFNA(INDEX(dataICM!D:D, MATCH(Caseslist!B338, dataICM!D:D, 0)), "INC") = "INC",
      IFNA(INDEX(dataICM!D:D, MATCH(Caseslist!B338, dataICM!D:D, 0)), "INC"),
      "COMPLETE"
    )
  )</f>
        <v>COMPLETE</v>
      </c>
      <c r="G338" s="10" t="str">
        <f t="array" ref="G338">IF(IFERROR(INDEX(data!L:L,match(Caseslist!B338,data!D:D,0)),"INC")="","COMPLETE",F338)</f>
        <v>COMPLETE</v>
      </c>
      <c r="H338" s="9" t="str">
        <f t="array" ref="H338">IFERROR(INDEX(dataICM!F:F,match(Caseslist!B338,dataICM!D:D,0)), "INC")</f>
        <v>INC</v>
      </c>
      <c r="I338" s="10" t="str">
        <f t="shared" si="2"/>
        <v>L2057896</v>
      </c>
      <c r="J338" s="9" t="str">
        <f t="array" ref="J338">IF(
  AND(
    IFERROR(MATCH(B338, data!D:D, 0), 0) &gt; 0,
    IFERROR(INDEX(data!N:N, MATCH(B338, data!D:D, 0)) = 1, FALSE)
  ),
  INDEX(data!C:C, MATCH(B338, data!D:D, 0)),
  "INC"
)</f>
        <v>2025-09-22T12:09:03.747+08</v>
      </c>
      <c r="K338" s="9" t="str">
        <f t="array" ref="K338">IFERROR(INDEX(dataICM!C:C,match(Caseslist!B338,dataICM!D:D,0)), "INC")</f>
        <v>INC</v>
      </c>
      <c r="L338" s="10" t="str">
        <f t="array" ref="L338">IF(AND(G338="COMPLETE", OR(K338="INC", ISBLANK(INDEX(data!O:O, ROW())))), J338, K338)</f>
        <v>2025-09-22T12:09:03.747+08</v>
      </c>
      <c r="M338" s="2">
        <v>45922.0</v>
      </c>
      <c r="N338" s="2">
        <f t="array" ref="N338">IF(M338&lt;&gt;"INC", INDEX(data!M:M, MATCH(B338, data!D:D, 0)), "")</f>
        <v>0</v>
      </c>
      <c r="O338" s="2">
        <f t="shared" si="3"/>
        <v>0</v>
      </c>
    </row>
    <row r="339">
      <c r="A339" s="2" t="str">
        <f t="shared" si="1"/>
        <v>H006068</v>
      </c>
      <c r="B339" s="1" t="s">
        <v>8153</v>
      </c>
      <c r="C339" s="9" t="str">
        <f t="array" ref="C339">IF(
  AND(
    IFERROR(MATCH(Caseslist!B339, data!D:D, 0), 0) &gt; 0,
    IFERROR(INDEX(data!N:N, MATCH(Caseslist!B339, data!D:D, 0)) = 1, FALSE)
  ),
  "COMPLETE",
  "INC"
)</f>
        <v>COMPLETE</v>
      </c>
      <c r="D339" s="9" t="str">
        <f t="array" ref="D339">IFERROR(INDEX(data!$G:$G,match(Caseslist!B339,data!$D:$D,0)), "INC")</f>
        <v>J4315980</v>
      </c>
      <c r="E339" s="9" t="str">
        <f t="array" ref="E339">IFERROR(INDEX(data!H:H,match(Caseslist!B339,data!D:D,0)), "INC")</f>
        <v>Trixie Marie Jardeleza Saber</v>
      </c>
      <c r="F339" s="10" t="str">
        <f t="array" ref="F339">IF(
    OR(
      IFNA(INDEX(data!M:M, MATCH(Caseslist!B339, data!D:D, 0)), "") = "",
      IFNA(INDEX(data!M:M, MATCH(Caseslist!B339, data!D:D, 0)), 0) = 0
    ),
    "COMPLETE",
    IF(
      IFNA(INDEX(dataICM!D:D, MATCH(Caseslist!B339, dataICM!D:D, 0)), "INC") = "INC",
      IFNA(INDEX(dataICM!D:D, MATCH(Caseslist!B339, dataICM!D:D, 0)), "INC"),
      "COMPLETE"
    )
  )</f>
        <v>COMPLETE</v>
      </c>
      <c r="G339" s="10" t="str">
        <f t="array" ref="G339">IF(IFERROR(INDEX(data!L:L,match(Caseslist!B339,data!D:D,0)),"INC")="","COMPLETE",F339)</f>
        <v>COMPLETE</v>
      </c>
      <c r="H339" s="9" t="str">
        <f t="array" ref="H339">IFERROR(INDEX(dataICM!F:F,match(Caseslist!B339,dataICM!D:D,0)), "INC")</f>
        <v>INC</v>
      </c>
      <c r="I339" s="10" t="str">
        <f t="shared" si="2"/>
        <v>J4315980</v>
      </c>
      <c r="J339" s="9" t="str">
        <f t="array" ref="J339">IF(
  AND(
    IFERROR(MATCH(B339, data!D:D, 0), 0) &gt; 0,
    IFERROR(INDEX(data!N:N, MATCH(B339, data!D:D, 0)) = 1, FALSE)
  ),
  INDEX(data!C:C, MATCH(B339, data!D:D, 0)),
  "INC"
)</f>
        <v>2025-09-22T10:32:16.224+08</v>
      </c>
      <c r="K339" s="9" t="str">
        <f t="array" ref="K339">IFERROR(INDEX(dataICM!C:C,match(Caseslist!B339,dataICM!D:D,0)), "INC")</f>
        <v>INC</v>
      </c>
      <c r="L339" s="10" t="str">
        <f t="array" ref="L339">IF(AND(G339="COMPLETE", OR(K339="INC", ISBLANK(INDEX(data!O:O, ROW())))), J339, K339)</f>
        <v>2025-09-22T10:32:16.224+08</v>
      </c>
      <c r="M339" s="2">
        <v>45922.0</v>
      </c>
      <c r="N339" s="2">
        <f t="array" ref="N339">IF(M339&lt;&gt;"INC", INDEX(data!M:M, MATCH(B339, data!D:D, 0)), "")</f>
        <v>0</v>
      </c>
      <c r="O339" s="2">
        <f t="shared" si="3"/>
        <v>0</v>
      </c>
    </row>
    <row r="340">
      <c r="A340" s="2" t="str">
        <f t="shared" si="1"/>
        <v>H006068</v>
      </c>
      <c r="B340" s="1" t="s">
        <v>8088</v>
      </c>
      <c r="C340" s="9" t="str">
        <f t="array" ref="C340">IF(
  AND(
    IFERROR(MATCH(Caseslist!B340, data!D:D, 0), 0) &gt; 0,
    IFERROR(INDEX(data!N:N, MATCH(Caseslist!B340, data!D:D, 0)) = 1, FALSE)
  ),
  "COMPLETE",
  "INC"
)</f>
        <v>COMPLETE</v>
      </c>
      <c r="D340" s="9" t="str">
        <f t="array" ref="D340">IFERROR(INDEX(data!$G:$G,match(Caseslist!B340,data!$D:$D,0)), "INC")</f>
        <v>L2057896</v>
      </c>
      <c r="E340" s="9" t="str">
        <f t="array" ref="E340">IFERROR(INDEX(data!H:H,match(Caseslist!B340,data!D:D,0)), "INC")</f>
        <v>Franz Reoben Posadas Geneblaza</v>
      </c>
      <c r="F340" s="10" t="str">
        <f t="array" ref="F340">IF(
    OR(
      IFNA(INDEX(data!M:M, MATCH(Caseslist!B340, data!D:D, 0)), "") = "",
      IFNA(INDEX(data!M:M, MATCH(Caseslist!B340, data!D:D, 0)), 0) = 0
    ),
    "COMPLETE",
    IF(
      IFNA(INDEX(dataICM!D:D, MATCH(Caseslist!B340, dataICM!D:D, 0)), "INC") = "INC",
      IFNA(INDEX(dataICM!D:D, MATCH(Caseslist!B340, dataICM!D:D, 0)), "INC"),
      "COMPLETE"
    )
  )</f>
        <v>COMPLETE</v>
      </c>
      <c r="G340" s="10" t="str">
        <f t="array" ref="G340">IF(IFERROR(INDEX(data!L:L,match(Caseslist!B340,data!D:D,0)),"INC")="","COMPLETE",F340)</f>
        <v>COMPLETE</v>
      </c>
      <c r="H340" s="9" t="str">
        <f t="array" ref="H340">IFERROR(INDEX(dataICM!F:F,match(Caseslist!B340,dataICM!D:D,0)), "INC")</f>
        <v>INC</v>
      </c>
      <c r="I340" s="10" t="str">
        <f t="shared" si="2"/>
        <v>L2057896</v>
      </c>
      <c r="J340" s="9" t="str">
        <f t="array" ref="J340">IF(
  AND(
    IFERROR(MATCH(B340, data!D:D, 0), 0) &gt; 0,
    IFERROR(INDEX(data!N:N, MATCH(B340, data!D:D, 0)) = 1, FALSE)
  ),
  INDEX(data!C:C, MATCH(B340, data!D:D, 0)),
  "INC"
)</f>
        <v>2025-09-22T10:39:58.379+08</v>
      </c>
      <c r="K340" s="9" t="str">
        <f t="array" ref="K340">IFERROR(INDEX(dataICM!C:C,match(Caseslist!B340,dataICM!D:D,0)), "INC")</f>
        <v>INC</v>
      </c>
      <c r="L340" s="10" t="str">
        <f t="array" ref="L340">IF(AND(G340="COMPLETE", OR(K340="INC", ISBLANK(INDEX(data!O:O, ROW())))), J340, K340)</f>
        <v>2025-09-22T10:39:58.379+08</v>
      </c>
      <c r="M340" s="2">
        <v>45922.0</v>
      </c>
      <c r="N340" s="2">
        <f t="array" ref="N340">IF(M340&lt;&gt;"INC", INDEX(data!M:M, MATCH(B340, data!D:D, 0)), "")</f>
        <v>0</v>
      </c>
      <c r="O340" s="2">
        <f t="shared" si="3"/>
        <v>0</v>
      </c>
    </row>
    <row r="341">
      <c r="A341" s="2" t="str">
        <f t="shared" si="1"/>
        <v>H006068</v>
      </c>
      <c r="B341" s="1" t="s">
        <v>7988</v>
      </c>
      <c r="C341" s="9" t="str">
        <f t="array" ref="C341">IF(
  AND(
    IFERROR(MATCH(Caseslist!B341, data!D:D, 0), 0) &gt; 0,
    IFERROR(INDEX(data!N:N, MATCH(Caseslist!B341, data!D:D, 0)) = 1, FALSE)
  ),
  "COMPLETE",
  "INC"
)</f>
        <v>COMPLETE</v>
      </c>
      <c r="D341" s="9" t="str">
        <f t="array" ref="D341">IFERROR(INDEX(data!$G:$G,match(Caseslist!B341,data!$D:$D,0)), "INC")</f>
        <v>M6491032</v>
      </c>
      <c r="E341" s="9" t="str">
        <f t="array" ref="E341">IFERROR(INDEX(data!H:H,match(Caseslist!B341,data!D:D,0)), "INC")</f>
        <v>Rosevil Tayo Desamparado</v>
      </c>
      <c r="F341" s="10" t="str">
        <f t="array" ref="F341">IF(
    OR(
      IFNA(INDEX(data!M:M, MATCH(Caseslist!B341, data!D:D, 0)), "") = "",
      IFNA(INDEX(data!M:M, MATCH(Caseslist!B341, data!D:D, 0)), 0) = 0
    ),
    "COMPLETE",
    IF(
      IFNA(INDEX(dataICM!D:D, MATCH(Caseslist!B341, dataICM!D:D, 0)), "INC") = "INC",
      IFNA(INDEX(dataICM!D:D, MATCH(Caseslist!B341, dataICM!D:D, 0)), "INC"),
      "COMPLETE"
    )
  )</f>
        <v>COMPLETE</v>
      </c>
      <c r="G341" s="10" t="str">
        <f t="array" ref="G341">IF(IFERROR(INDEX(data!L:L,match(Caseslist!B341,data!D:D,0)),"INC")="","COMPLETE",F341)</f>
        <v>COMPLETE</v>
      </c>
      <c r="H341" s="9" t="str">
        <f t="array" ref="H341">IFERROR(INDEX(dataICM!F:F,match(Caseslist!B341,dataICM!D:D,0)), "INC")</f>
        <v>INC</v>
      </c>
      <c r="I341" s="10" t="str">
        <f t="shared" si="2"/>
        <v>M6491032</v>
      </c>
      <c r="J341" s="9" t="str">
        <f t="array" ref="J341">IF(
  AND(
    IFERROR(MATCH(B341, data!D:D, 0), 0) &gt; 0,
    IFERROR(INDEX(data!N:N, MATCH(B341, data!D:D, 0)) = 1, FALSE)
  ),
  INDEX(data!C:C, MATCH(B341, data!D:D, 0)),
  "INC"
)</f>
        <v>2025-09-22T14:01:43.180+08</v>
      </c>
      <c r="K341" s="9" t="str">
        <f t="array" ref="K341">IFERROR(INDEX(dataICM!C:C,match(Caseslist!B341,dataICM!D:D,0)), "INC")</f>
        <v>INC</v>
      </c>
      <c r="L341" s="10" t="str">
        <f t="array" ref="L341">IF(AND(G341="COMPLETE", OR(K341="INC", ISBLANK(INDEX(data!O:O, ROW())))), J341, K341)</f>
        <v>2025-09-22T14:01:43.180+08</v>
      </c>
      <c r="M341" s="2">
        <v>45922.0</v>
      </c>
      <c r="N341" s="2">
        <f t="array" ref="N341">IF(M341&lt;&gt;"INC", INDEX(data!M:M, MATCH(B341, data!D:D, 0)), "")</f>
        <v>0</v>
      </c>
      <c r="O341" s="2">
        <f t="shared" si="3"/>
        <v>0</v>
      </c>
    </row>
    <row r="342">
      <c r="A342" s="2" t="str">
        <f t="shared" si="1"/>
        <v>H006068</v>
      </c>
      <c r="B342" s="1" t="s">
        <v>8128</v>
      </c>
      <c r="C342" s="9" t="str">
        <f t="array" ref="C342">IF(
  AND(
    IFERROR(MATCH(Caseslist!B342, data!D:D, 0), 0) &gt; 0,
    IFERROR(INDEX(data!N:N, MATCH(Caseslist!B342, data!D:D, 0)) = 1, FALSE)
  ),
  "COMPLETE",
  "INC"
)</f>
        <v>COMPLETE</v>
      </c>
      <c r="D342" s="9" t="str">
        <f t="array" ref="D342">IFERROR(INDEX(data!$G:$G,match(Caseslist!B342,data!$D:$D,0)), "INC")</f>
        <v>K8623174</v>
      </c>
      <c r="E342" s="9" t="str">
        <f t="array" ref="E342">IFERROR(INDEX(data!H:H,match(Caseslist!B342,data!D:D,0)), "INC")</f>
        <v>Marielle Kaye Ignacio Alonzo</v>
      </c>
      <c r="F342" s="10" t="str">
        <f t="array" ref="F342">IF(
    OR(
      IFNA(INDEX(data!M:M, MATCH(Caseslist!B342, data!D:D, 0)), "") = "",
      IFNA(INDEX(data!M:M, MATCH(Caseslist!B342, data!D:D, 0)), 0) = 0
    ),
    "COMPLETE",
    IF(
      IFNA(INDEX(dataICM!D:D, MATCH(Caseslist!B342, dataICM!D:D, 0)), "INC") = "INC",
      IFNA(INDEX(dataICM!D:D, MATCH(Caseslist!B342, dataICM!D:D, 0)), "INC"),
      "COMPLETE"
    )
  )</f>
        <v>COMPLETE</v>
      </c>
      <c r="G342" s="10" t="str">
        <f t="array" ref="G342">IF(IFERROR(INDEX(data!L:L,match(Caseslist!B342,data!D:D,0)),"INC")="","COMPLETE",F342)</f>
        <v>COMPLETE</v>
      </c>
      <c r="H342" s="9" t="str">
        <f t="array" ref="H342">IFERROR(INDEX(dataICM!F:F,match(Caseslist!B342,dataICM!D:D,0)), "INC")</f>
        <v>INC</v>
      </c>
      <c r="I342" s="10" t="str">
        <f t="shared" si="2"/>
        <v>K8623174</v>
      </c>
      <c r="J342" s="9" t="str">
        <f t="array" ref="J342">IF(
  AND(
    IFERROR(MATCH(B342, data!D:D, 0), 0) &gt; 0,
    IFERROR(INDEX(data!N:N, MATCH(B342, data!D:D, 0)) = 1, FALSE)
  ),
  INDEX(data!C:C, MATCH(B342, data!D:D, 0)),
  "INC"
)</f>
        <v>2025-09-22T11:53:27.883+08</v>
      </c>
      <c r="K342" s="9" t="str">
        <f t="array" ref="K342">IFERROR(INDEX(dataICM!C:C,match(Caseslist!B342,dataICM!D:D,0)), "INC")</f>
        <v>INC</v>
      </c>
      <c r="L342" s="10" t="str">
        <f t="array" ref="L342">IF(AND(G342="COMPLETE", OR(K342="INC", ISBLANK(INDEX(data!O:O, ROW())))), J342, K342)</f>
        <v>2025-09-22T11:53:27.883+08</v>
      </c>
      <c r="M342" s="2">
        <v>45922.0</v>
      </c>
      <c r="N342" s="2">
        <f t="array" ref="N342">IF(M342&lt;&gt;"INC", INDEX(data!M:M, MATCH(B342, data!D:D, 0)), "")</f>
        <v>0</v>
      </c>
      <c r="O342" s="2">
        <f t="shared" si="3"/>
        <v>0</v>
      </c>
    </row>
    <row r="343">
      <c r="A343" s="2" t="str">
        <f t="shared" si="1"/>
        <v>H006068</v>
      </c>
      <c r="B343" s="1" t="s">
        <v>8103</v>
      </c>
      <c r="C343" s="9" t="str">
        <f t="array" ref="C343">IF(
  AND(
    IFERROR(MATCH(Caseslist!B343, data!D:D, 0), 0) &gt; 0,
    IFERROR(INDEX(data!N:N, MATCH(Caseslist!B343, data!D:D, 0)) = 1, FALSE)
  ),
  "COMPLETE",
  "INC"
)</f>
        <v>COMPLETE</v>
      </c>
      <c r="D343" s="9" t="str">
        <f t="array" ref="D343">IFERROR(INDEX(data!$G:$G,match(Caseslist!B343,data!$D:$D,0)), "INC")</f>
        <v>L2057896</v>
      </c>
      <c r="E343" s="9" t="str">
        <f t="array" ref="E343">IFERROR(INDEX(data!H:H,match(Caseslist!B343,data!D:D,0)), "INC")</f>
        <v>Franz Reoben Posadas Geneblaza</v>
      </c>
      <c r="F343" s="10" t="str">
        <f t="array" ref="F343">IF(
    OR(
      IFNA(INDEX(data!M:M, MATCH(Caseslist!B343, data!D:D, 0)), "") = "",
      IFNA(INDEX(data!M:M, MATCH(Caseslist!B343, data!D:D, 0)), 0) = 0
    ),
    "COMPLETE",
    IF(
      IFNA(INDEX(dataICM!D:D, MATCH(Caseslist!B343, dataICM!D:D, 0)), "INC") = "INC",
      IFNA(INDEX(dataICM!D:D, MATCH(Caseslist!B343, dataICM!D:D, 0)), "INC"),
      "COMPLETE"
    )
  )</f>
        <v>COMPLETE</v>
      </c>
      <c r="G343" s="10" t="str">
        <f t="array" ref="G343">IF(IFERROR(INDEX(data!L:L,match(Caseslist!B343,data!D:D,0)),"INC")="","COMPLETE",F343)</f>
        <v>COMPLETE</v>
      </c>
      <c r="H343" s="9" t="str">
        <f t="array" ref="H343">IFERROR(INDEX(dataICM!F:F,match(Caseslist!B343,dataICM!D:D,0)), "INC")</f>
        <v>INC</v>
      </c>
      <c r="I343" s="10" t="str">
        <f t="shared" si="2"/>
        <v>L2057896</v>
      </c>
      <c r="J343" s="9" t="str">
        <f t="array" ref="J343">IF(
  AND(
    IFERROR(MATCH(B343, data!D:D, 0), 0) &gt; 0,
    IFERROR(INDEX(data!N:N, MATCH(B343, data!D:D, 0)) = 1, FALSE)
  ),
  INDEX(data!C:C, MATCH(B343, data!D:D, 0)),
  "INC"
)</f>
        <v>2025-09-22T14:56:52.774+08</v>
      </c>
      <c r="K343" s="9" t="str">
        <f t="array" ref="K343">IFERROR(INDEX(dataICM!C:C,match(Caseslist!B343,dataICM!D:D,0)), "INC")</f>
        <v>INC</v>
      </c>
      <c r="L343" s="10" t="str">
        <f t="array" ref="L343">IF(AND(G343="COMPLETE", OR(K343="INC", ISBLANK(INDEX(data!O:O, ROW())))), J343, K343)</f>
        <v>2025-09-22T14:56:52.774+08</v>
      </c>
      <c r="M343" s="2">
        <v>45922.0</v>
      </c>
      <c r="N343" s="2">
        <f t="array" ref="N343">IF(M343&lt;&gt;"INC", INDEX(data!M:M, MATCH(B343, data!D:D, 0)), "")</f>
        <v>0</v>
      </c>
      <c r="O343" s="2">
        <f t="shared" si="3"/>
        <v>0</v>
      </c>
    </row>
    <row r="344">
      <c r="A344" s="2" t="str">
        <f t="shared" si="1"/>
        <v>H006068</v>
      </c>
      <c r="B344" s="1" t="s">
        <v>8143</v>
      </c>
      <c r="C344" s="9" t="str">
        <f t="array" ref="C344">IF(
  AND(
    IFERROR(MATCH(Caseslist!B344, data!D:D, 0), 0) &gt; 0,
    IFERROR(INDEX(data!N:N, MATCH(Caseslist!B344, data!D:D, 0)) = 1, FALSE)
  ),
  "COMPLETE",
  "INC"
)</f>
        <v>COMPLETE</v>
      </c>
      <c r="D344" s="9" t="str">
        <f t="array" ref="D344">IFERROR(INDEX(data!$G:$G,match(Caseslist!B344,data!$D:$D,0)), "INC")</f>
        <v>J4315980</v>
      </c>
      <c r="E344" s="9" t="str">
        <f t="array" ref="E344">IFERROR(INDEX(data!H:H,match(Caseslist!B344,data!D:D,0)), "INC")</f>
        <v>Trixie Marie Jardeleza Saber</v>
      </c>
      <c r="F344" s="10" t="str">
        <f t="array" ref="F344">IF(
    OR(
      IFNA(INDEX(data!M:M, MATCH(Caseslist!B344, data!D:D, 0)), "") = "",
      IFNA(INDEX(data!M:M, MATCH(Caseslist!B344, data!D:D, 0)), 0) = 0
    ),
    "COMPLETE",
    IF(
      IFNA(INDEX(dataICM!D:D, MATCH(Caseslist!B344, dataICM!D:D, 0)), "INC") = "INC",
      IFNA(INDEX(dataICM!D:D, MATCH(Caseslist!B344, dataICM!D:D, 0)), "INC"),
      "COMPLETE"
    )
  )</f>
        <v>COMPLETE</v>
      </c>
      <c r="G344" s="10" t="str">
        <f t="array" ref="G344">IF(IFERROR(INDEX(data!L:L,match(Caseslist!B344,data!D:D,0)),"INC")="","COMPLETE",F344)</f>
        <v>COMPLETE</v>
      </c>
      <c r="H344" s="9" t="str">
        <f t="array" ref="H344">IFERROR(INDEX(dataICM!F:F,match(Caseslist!B344,dataICM!D:D,0)), "INC")</f>
        <v>INC</v>
      </c>
      <c r="I344" s="10" t="str">
        <f t="shared" si="2"/>
        <v>J4315980</v>
      </c>
      <c r="J344" s="9" t="str">
        <f t="array" ref="J344">IF(
  AND(
    IFERROR(MATCH(B344, data!D:D, 0), 0) &gt; 0,
    IFERROR(INDEX(data!N:N, MATCH(B344, data!D:D, 0)) = 1, FALSE)
  ),
  INDEX(data!C:C, MATCH(B344, data!D:D, 0)),
  "INC"
)</f>
        <v>2025-09-22T11:49:30.725+08</v>
      </c>
      <c r="K344" s="9" t="str">
        <f t="array" ref="K344">IFERROR(INDEX(dataICM!C:C,match(Caseslist!B344,dataICM!D:D,0)), "INC")</f>
        <v>INC</v>
      </c>
      <c r="L344" s="10" t="str">
        <f t="array" ref="L344">IF(AND(G344="COMPLETE", OR(K344="INC", ISBLANK(INDEX(data!O:O, ROW())))), J344, K344)</f>
        <v>2025-09-22T11:49:30.725+08</v>
      </c>
      <c r="M344" s="2">
        <v>45922.0</v>
      </c>
      <c r="N344" s="2">
        <f t="array" ref="N344">IF(M344&lt;&gt;"INC", INDEX(data!M:M, MATCH(B344, data!D:D, 0)), "")</f>
        <v>0</v>
      </c>
      <c r="O344" s="2">
        <f t="shared" si="3"/>
        <v>0</v>
      </c>
    </row>
    <row r="345">
      <c r="A345" s="2" t="str">
        <f t="shared" si="1"/>
        <v>H006068</v>
      </c>
      <c r="B345" s="1" t="s">
        <v>8138</v>
      </c>
      <c r="C345" s="9" t="str">
        <f t="array" ref="C345">IF(
  AND(
    IFERROR(MATCH(Caseslist!B345, data!D:D, 0), 0) &gt; 0,
    IFERROR(INDEX(data!N:N, MATCH(Caseslist!B345, data!D:D, 0)) = 1, FALSE)
  ),
  "COMPLETE",
  "INC"
)</f>
        <v>COMPLETE</v>
      </c>
      <c r="D345" s="9" t="str">
        <f t="array" ref="D345">IFERROR(INDEX(data!$G:$G,match(Caseslist!B345,data!$D:$D,0)), "INC")</f>
        <v>K8623174</v>
      </c>
      <c r="E345" s="9" t="str">
        <f t="array" ref="E345">IFERROR(INDEX(data!H:H,match(Caseslist!B345,data!D:D,0)), "INC")</f>
        <v>Marielle Kaye Ignacio Alonzo</v>
      </c>
      <c r="F345" s="10" t="str">
        <f t="array" ref="F345">IF(
    OR(
      IFNA(INDEX(data!M:M, MATCH(Caseslist!B345, data!D:D, 0)), "") = "",
      IFNA(INDEX(data!M:M, MATCH(Caseslist!B345, data!D:D, 0)), 0) = 0
    ),
    "COMPLETE",
    IF(
      IFNA(INDEX(dataICM!D:D, MATCH(Caseslist!B345, dataICM!D:D, 0)), "INC") = "INC",
      IFNA(INDEX(dataICM!D:D, MATCH(Caseslist!B345, dataICM!D:D, 0)), "INC"),
      "COMPLETE"
    )
  )</f>
        <v>COMPLETE</v>
      </c>
      <c r="G345" s="10" t="str">
        <f t="array" ref="G345">IF(IFERROR(INDEX(data!L:L,match(Caseslist!B345,data!D:D,0)),"INC")="","COMPLETE",F345)</f>
        <v>COMPLETE</v>
      </c>
      <c r="H345" s="9" t="str">
        <f t="array" ref="H345">IFERROR(INDEX(dataICM!F:F,match(Caseslist!B345,dataICM!D:D,0)), "INC")</f>
        <v>INC</v>
      </c>
      <c r="I345" s="10" t="str">
        <f t="shared" si="2"/>
        <v>K8623174</v>
      </c>
      <c r="J345" s="9" t="str">
        <f t="array" ref="J345">IF(
  AND(
    IFERROR(MATCH(B345, data!D:D, 0), 0) &gt; 0,
    IFERROR(INDEX(data!N:N, MATCH(B345, data!D:D, 0)) = 1, FALSE)
  ),
  INDEX(data!C:C, MATCH(B345, data!D:D, 0)),
  "INC"
)</f>
        <v>2025-09-22T15:24:40.049+08</v>
      </c>
      <c r="K345" s="9" t="str">
        <f t="array" ref="K345">IFERROR(INDEX(dataICM!C:C,match(Caseslist!B345,dataICM!D:D,0)), "INC")</f>
        <v>INC</v>
      </c>
      <c r="L345" s="10" t="str">
        <f t="array" ref="L345">IF(AND(G345="COMPLETE", OR(K345="INC", ISBLANK(INDEX(data!O:O, ROW())))), J345, K345)</f>
        <v>2025-09-22T15:24:40.049+08</v>
      </c>
      <c r="M345" s="2">
        <v>45922.0</v>
      </c>
      <c r="N345" s="2">
        <f t="array" ref="N345">IF(M345&lt;&gt;"INC", INDEX(data!M:M, MATCH(B345, data!D:D, 0)), "")</f>
        <v>0</v>
      </c>
      <c r="O345" s="2">
        <f t="shared" si="3"/>
        <v>0</v>
      </c>
    </row>
    <row r="346">
      <c r="A346" s="2" t="str">
        <f t="shared" si="1"/>
        <v>H006068</v>
      </c>
      <c r="B346" s="1" t="s">
        <v>7983</v>
      </c>
      <c r="C346" s="9" t="str">
        <f t="array" ref="C346">IF(
  AND(
    IFERROR(MATCH(Caseslist!B346, data!D:D, 0), 0) &gt; 0,
    IFERROR(INDEX(data!N:N, MATCH(Caseslist!B346, data!D:D, 0)) = 1, FALSE)
  ),
  "COMPLETE",
  "INC"
)</f>
        <v>COMPLETE</v>
      </c>
      <c r="D346" s="9" t="str">
        <f t="array" ref="D346">IFERROR(INDEX(data!$G:$G,match(Caseslist!B346,data!$D:$D,0)), "INC")</f>
        <v>M6491032</v>
      </c>
      <c r="E346" s="9" t="str">
        <f t="array" ref="E346">IFERROR(INDEX(data!H:H,match(Caseslist!B346,data!D:D,0)), "INC")</f>
        <v>Rosevil Tayo Desamparado</v>
      </c>
      <c r="F346" s="10" t="str">
        <f t="array" ref="F346">IF(
    OR(
      IFNA(INDEX(data!M:M, MATCH(Caseslist!B346, data!D:D, 0)), "") = "",
      IFNA(INDEX(data!M:M, MATCH(Caseslist!B346, data!D:D, 0)), 0) = 0
    ),
    "COMPLETE",
    IF(
      IFNA(INDEX(dataICM!D:D, MATCH(Caseslist!B346, dataICM!D:D, 0)), "INC") = "INC",
      IFNA(INDEX(dataICM!D:D, MATCH(Caseslist!B346, dataICM!D:D, 0)), "INC"),
      "COMPLETE"
    )
  )</f>
        <v>COMPLETE</v>
      </c>
      <c r="G346" s="10" t="str">
        <f t="array" ref="G346">IF(IFERROR(INDEX(data!L:L,match(Caseslist!B346,data!D:D,0)),"INC")="","COMPLETE",F346)</f>
        <v>COMPLETE</v>
      </c>
      <c r="H346" s="9" t="str">
        <f t="array" ref="H346">IFERROR(INDEX(dataICM!F:F,match(Caseslist!B346,dataICM!D:D,0)), "INC")</f>
        <v>INC</v>
      </c>
      <c r="I346" s="10" t="str">
        <f t="shared" si="2"/>
        <v>M6491032</v>
      </c>
      <c r="J346" s="9" t="str">
        <f t="array" ref="J346">IF(
  AND(
    IFERROR(MATCH(B346, data!D:D, 0), 0) &gt; 0,
    IFERROR(INDEX(data!N:N, MATCH(B346, data!D:D, 0)) = 1, FALSE)
  ),
  INDEX(data!C:C, MATCH(B346, data!D:D, 0)),
  "INC"
)</f>
        <v>2025-09-22T12:56:53.911+08</v>
      </c>
      <c r="K346" s="9" t="str">
        <f t="array" ref="K346">IFERROR(INDEX(dataICM!C:C,match(Caseslist!B346,dataICM!D:D,0)), "INC")</f>
        <v>INC</v>
      </c>
      <c r="L346" s="10" t="str">
        <f t="array" ref="L346">IF(AND(G346="COMPLETE", OR(K346="INC", ISBLANK(INDEX(data!O:O, ROW())))), J346, K346)</f>
        <v>2025-09-22T12:56:53.911+08</v>
      </c>
      <c r="M346" s="2">
        <v>45922.0</v>
      </c>
      <c r="N346" s="2">
        <f t="array" ref="N346">IF(M346&lt;&gt;"INC", INDEX(data!M:M, MATCH(B346, data!D:D, 0)), "")</f>
        <v>0</v>
      </c>
      <c r="O346" s="2">
        <f t="shared" si="3"/>
        <v>0</v>
      </c>
    </row>
    <row r="347">
      <c r="A347" s="2" t="str">
        <f t="shared" si="1"/>
        <v>H006068</v>
      </c>
      <c r="B347" s="1" t="s">
        <v>8148</v>
      </c>
      <c r="C347" s="9" t="str">
        <f t="array" ref="C347">IF(
  AND(
    IFERROR(MATCH(Caseslist!B347, data!D:D, 0), 0) &gt; 0,
    IFERROR(INDEX(data!N:N, MATCH(Caseslist!B347, data!D:D, 0)) = 1, FALSE)
  ),
  "COMPLETE",
  "INC"
)</f>
        <v>COMPLETE</v>
      </c>
      <c r="D347" s="9" t="str">
        <f t="array" ref="D347">IFERROR(INDEX(data!$G:$G,match(Caseslist!B347,data!$D:$D,0)), "INC")</f>
        <v>J4315980</v>
      </c>
      <c r="E347" s="9" t="str">
        <f t="array" ref="E347">IFERROR(INDEX(data!H:H,match(Caseslist!B347,data!D:D,0)), "INC")</f>
        <v>Trixie Marie Jardeleza Saber</v>
      </c>
      <c r="F347" s="10" t="str">
        <f t="array" ref="F347">IF(
    OR(
      IFNA(INDEX(data!M:M, MATCH(Caseslist!B347, data!D:D, 0)), "") = "",
      IFNA(INDEX(data!M:M, MATCH(Caseslist!B347, data!D:D, 0)), 0) = 0
    ),
    "COMPLETE",
    IF(
      IFNA(INDEX(dataICM!D:D, MATCH(Caseslist!B347, dataICM!D:D, 0)), "INC") = "INC",
      IFNA(INDEX(dataICM!D:D, MATCH(Caseslist!B347, dataICM!D:D, 0)), "INC"),
      "COMPLETE"
    )
  )</f>
        <v>COMPLETE</v>
      </c>
      <c r="G347" s="10" t="str">
        <f t="array" ref="G347">IF(IFERROR(INDEX(data!L:L,match(Caseslist!B347,data!D:D,0)),"INC")="","COMPLETE",F347)</f>
        <v>COMPLETE</v>
      </c>
      <c r="H347" s="9" t="str">
        <f t="array" ref="H347">IFERROR(INDEX(dataICM!F:F,match(Caseslist!B347,dataICM!D:D,0)), "INC")</f>
        <v>INC</v>
      </c>
      <c r="I347" s="10" t="str">
        <f t="shared" si="2"/>
        <v>J4315980</v>
      </c>
      <c r="J347" s="9" t="str">
        <f t="array" ref="J347">IF(
  AND(
    IFERROR(MATCH(B347, data!D:D, 0), 0) &gt; 0,
    IFERROR(INDEX(data!N:N, MATCH(B347, data!D:D, 0)) = 1, FALSE)
  ),
  INDEX(data!C:C, MATCH(B347, data!D:D, 0)),
  "INC"
)</f>
        <v>2025-09-22T13:50:18.341+08</v>
      </c>
      <c r="K347" s="9" t="str">
        <f t="array" ref="K347">IFERROR(INDEX(dataICM!C:C,match(Caseslist!B347,dataICM!D:D,0)), "INC")</f>
        <v>INC</v>
      </c>
      <c r="L347" s="10" t="str">
        <f t="array" ref="L347">IF(AND(G347="COMPLETE", OR(K347="INC", ISBLANK(INDEX(data!O:O, ROW())))), J347, K347)</f>
        <v>2025-09-22T13:50:18.341+08</v>
      </c>
      <c r="M347" s="2">
        <v>45922.0</v>
      </c>
      <c r="N347" s="2">
        <f t="array" ref="N347">IF(M347&lt;&gt;"INC", INDEX(data!M:M, MATCH(B347, data!D:D, 0)), "")</f>
        <v>0</v>
      </c>
      <c r="O347" s="2">
        <f t="shared" si="3"/>
        <v>0</v>
      </c>
    </row>
    <row r="348">
      <c r="A348" s="2" t="str">
        <f t="shared" si="1"/>
        <v>H006068</v>
      </c>
      <c r="B348" s="1" t="s">
        <v>8133</v>
      </c>
      <c r="C348" s="9" t="str">
        <f t="array" ref="C348">IF(
  AND(
    IFERROR(MATCH(Caseslist!B348, data!D:D, 0), 0) &gt; 0,
    IFERROR(INDEX(data!N:N, MATCH(Caseslist!B348, data!D:D, 0)) = 1, FALSE)
  ),
  "COMPLETE",
  "INC"
)</f>
        <v>COMPLETE</v>
      </c>
      <c r="D348" s="9" t="str">
        <f t="array" ref="D348">IFERROR(INDEX(data!$G:$G,match(Caseslist!B348,data!$D:$D,0)), "INC")</f>
        <v>K8623174</v>
      </c>
      <c r="E348" s="9" t="str">
        <f t="array" ref="E348">IFERROR(INDEX(data!H:H,match(Caseslist!B348,data!D:D,0)), "INC")</f>
        <v>Marielle Kaye Ignacio Alonzo</v>
      </c>
      <c r="F348" s="10" t="str">
        <f t="array" ref="F348">IF(
    OR(
      IFNA(INDEX(data!M:M, MATCH(Caseslist!B348, data!D:D, 0)), "") = "",
      IFNA(INDEX(data!M:M, MATCH(Caseslist!B348, data!D:D, 0)), 0) = 0
    ),
    "COMPLETE",
    IF(
      IFNA(INDEX(dataICM!D:D, MATCH(Caseslist!B348, dataICM!D:D, 0)), "INC") = "INC",
      IFNA(INDEX(dataICM!D:D, MATCH(Caseslist!B348, dataICM!D:D, 0)), "INC"),
      "COMPLETE"
    )
  )</f>
        <v>COMPLETE</v>
      </c>
      <c r="G348" s="10" t="str">
        <f t="array" ref="G348">IF(IFERROR(INDEX(data!L:L,match(Caseslist!B348,data!D:D,0)),"INC")="","COMPLETE",F348)</f>
        <v>COMPLETE</v>
      </c>
      <c r="H348" s="9" t="str">
        <f t="array" ref="H348">IFERROR(INDEX(dataICM!F:F,match(Caseslist!B348,dataICM!D:D,0)), "INC")</f>
        <v>INC</v>
      </c>
      <c r="I348" s="10" t="str">
        <f t="shared" si="2"/>
        <v>K8623174</v>
      </c>
      <c r="J348" s="9" t="str">
        <f t="array" ref="J348">IF(
  AND(
    IFERROR(MATCH(B348, data!D:D, 0), 0) &gt; 0,
    IFERROR(INDEX(data!N:N, MATCH(B348, data!D:D, 0)) = 1, FALSE)
  ),
  INDEX(data!C:C, MATCH(B348, data!D:D, 0)),
  "INC"
)</f>
        <v>2025-09-22T10:07:12.131+08</v>
      </c>
      <c r="K348" s="9" t="str">
        <f t="array" ref="K348">IFERROR(INDEX(dataICM!C:C,match(Caseslist!B348,dataICM!D:D,0)), "INC")</f>
        <v>INC</v>
      </c>
      <c r="L348" s="10" t="str">
        <f t="array" ref="L348">IF(AND(G348="COMPLETE", OR(K348="INC", ISBLANK(INDEX(data!O:O, ROW())))), J348, K348)</f>
        <v>2025-09-22T10:07:12.131+08</v>
      </c>
      <c r="M348" s="2">
        <v>45922.0</v>
      </c>
      <c r="N348" s="2">
        <f t="array" ref="N348">IF(M348&lt;&gt;"INC", INDEX(data!M:M, MATCH(B348, data!D:D, 0)), "")</f>
        <v>0</v>
      </c>
      <c r="O348" s="2">
        <f t="shared" si="3"/>
        <v>0</v>
      </c>
    </row>
    <row r="349">
      <c r="A349" s="2" t="str">
        <f t="shared" si="1"/>
        <v>H006068</v>
      </c>
      <c r="B349" s="1" t="s">
        <v>8348</v>
      </c>
      <c r="C349" s="9" t="str">
        <f t="array" ref="C349">IF(
  AND(
    IFERROR(MATCH(Caseslist!B349, data!D:D, 0), 0) &gt; 0,
    IFERROR(INDEX(data!N:N, MATCH(Caseslist!B349, data!D:D, 0)) = 1, FALSE)
  ),
  "COMPLETE",
  "INC"
)</f>
        <v>COMPLETE</v>
      </c>
      <c r="D349" s="9" t="str">
        <f t="array" ref="D349">IFERROR(INDEX(data!$G:$G,match(Caseslist!B349,data!$D:$D,0)), "INC")</f>
        <v>J4315980</v>
      </c>
      <c r="E349" s="9" t="str">
        <f t="array" ref="E349">IFERROR(INDEX(data!H:H,match(Caseslist!B349,data!D:D,0)), "INC")</f>
        <v>Trixie Marie Jardeleza Saber</v>
      </c>
      <c r="F349" s="10" t="str">
        <f t="array" ref="F349">IF(
    OR(
      IFNA(INDEX(data!M:M, MATCH(Caseslist!B349, data!D:D, 0)), "") = "",
      IFNA(INDEX(data!M:M, MATCH(Caseslist!B349, data!D:D, 0)), 0) = 0
    ),
    "COMPLETE",
    IF(
      IFNA(INDEX(dataICM!D:D, MATCH(Caseslist!B349, dataICM!D:D, 0)), "INC") = "INC",
      IFNA(INDEX(dataICM!D:D, MATCH(Caseslist!B349, dataICM!D:D, 0)), "INC"),
      "COMPLETE"
    )
  )</f>
        <v>COMPLETE</v>
      </c>
      <c r="G349" s="10" t="str">
        <f t="array" ref="G349">IF(IFERROR(INDEX(data!L:L,match(Caseslist!B349,data!D:D,0)),"INC")="","COMPLETE",F349)</f>
        <v>COMPLETE</v>
      </c>
      <c r="H349" s="9" t="str">
        <f t="array" ref="H349">IFERROR(INDEX(dataICM!F:F,match(Caseslist!B349,dataICM!D:D,0)), "INC")</f>
        <v>INC</v>
      </c>
      <c r="I349" s="10" t="str">
        <f t="shared" si="2"/>
        <v>J4315980</v>
      </c>
      <c r="J349" s="9" t="str">
        <f t="array" ref="J349">IF(
  AND(
    IFERROR(MATCH(B349, data!D:D, 0), 0) &gt; 0,
    IFERROR(INDEX(data!N:N, MATCH(B349, data!D:D, 0)) = 1, FALSE)
  ),
  INDEX(data!C:C, MATCH(B349, data!D:D, 0)),
  "INC"
)</f>
        <v>2025-09-23T07:03:46.358+08</v>
      </c>
      <c r="K349" s="9" t="str">
        <f t="array" ref="K349">IFERROR(INDEX(dataICM!C:C,match(Caseslist!B349,dataICM!D:D,0)), "INC")</f>
        <v>INC</v>
      </c>
      <c r="L349" s="10" t="str">
        <f t="array" ref="L349">IF(AND(G349="COMPLETE", OR(K349="INC", ISBLANK(INDEX(data!O:O, ROW())))), J349, K349)</f>
        <v>2025-09-23T07:03:46.358+08</v>
      </c>
      <c r="M349" s="2">
        <v>45923.0</v>
      </c>
      <c r="N349" s="2">
        <f t="array" ref="N349">IF(M349&lt;&gt;"INC", INDEX(data!M:M, MATCH(B349, data!D:D, 0)), "")</f>
        <v>0</v>
      </c>
      <c r="O349" s="2">
        <f t="shared" si="3"/>
        <v>0</v>
      </c>
    </row>
    <row r="350">
      <c r="A350" s="2" t="str">
        <f t="shared" si="1"/>
        <v>H006183</v>
      </c>
      <c r="B350" s="1" t="s">
        <v>3477</v>
      </c>
      <c r="C350" s="9" t="str">
        <f t="array" ref="C350">IF(
  AND(
    IFERROR(MATCH(Caseslist!B350, data!D:D, 0), 0) &gt; 0,
    IFERROR(INDEX(data!N:N, MATCH(Caseslist!B350, data!D:D, 0)) = 1, FALSE)
  ),
  "COMPLETE",
  "INC"
)</f>
        <v>COMPLETE</v>
      </c>
      <c r="D350" s="9" t="str">
        <f t="array" ref="D350">IFERROR(INDEX(data!$G:$G,match(Caseslist!B350,data!$D:$D,0)), "INC")</f>
        <v>O3925718</v>
      </c>
      <c r="E350" s="9" t="str">
        <f t="array" ref="E350">IFERROR(INDEX(data!H:H,match(Caseslist!B350,data!D:D,0)), "INC")</f>
        <v>Adrian Montecastro Ferrer</v>
      </c>
      <c r="F350" s="10" t="str">
        <f t="array" ref="F350">IF(
    OR(
      IFNA(INDEX(data!M:M, MATCH(Caseslist!B350, data!D:D, 0)), "") = "",
      IFNA(INDEX(data!M:M, MATCH(Caseslist!B350, data!D:D, 0)), 0) = 0
    ),
    "COMPLETE",
    IF(
      IFNA(INDEX(dataICM!D:D, MATCH(Caseslist!B350, dataICM!D:D, 0)), "INC") = "INC",
      IFNA(INDEX(dataICM!D:D, MATCH(Caseslist!B350, dataICM!D:D, 0)), "INC"),
      "COMPLETE"
    )
  )</f>
        <v>COMPLETE</v>
      </c>
      <c r="G350" s="10" t="str">
        <f t="array" ref="G350">IF(IFERROR(INDEX(data!L:L,match(Caseslist!B350,data!D:D,0)),"INC")="","COMPLETE",F350)</f>
        <v>COMPLETE</v>
      </c>
      <c r="H350" s="9" t="str">
        <f t="array" ref="H350">IFERROR(INDEX(dataICM!F:F,match(Caseslist!B350,dataICM!D:D,0)), "INC")</f>
        <v>Adrian Montecastro Ferrer</v>
      </c>
      <c r="I350" s="10" t="str">
        <f t="shared" si="2"/>
        <v>O3925718</v>
      </c>
      <c r="J350" s="9" t="str">
        <f t="array" ref="J350">IF(
  AND(
    IFERROR(MATCH(B350, data!D:D, 0), 0) &gt; 0,
    IFERROR(INDEX(data!N:N, MATCH(B350, data!D:D, 0)) = 1, FALSE)
  ),
  INDEX(data!C:C, MATCH(B350, data!D:D, 0)),
  "INC"
)</f>
        <v>2025-09-04T13:43:49.185+08</v>
      </c>
      <c r="K350" s="9" t="str">
        <f t="array" ref="K350">IFERROR(INDEX(dataICM!C:C,match(Caseslist!B350,dataICM!D:D,0)), "INC")</f>
        <v>2025-09-04T15:48:28.203+08</v>
      </c>
      <c r="L350" s="10" t="str">
        <f t="array" ref="L350">IF(AND(G350="COMPLETE", OR(K350="INC", ISBLANK(INDEX(data!O:O, ROW())))), J350, K350)</f>
        <v>2025-09-04T15:48:28.203+08</v>
      </c>
      <c r="M350" s="2">
        <v>45904.0</v>
      </c>
      <c r="N350" s="2">
        <f t="array" ref="N350">IF(M350&lt;&gt;"INC", INDEX(data!M:M, MATCH(B350, data!D:D, 0)), "")</f>
        <v>1</v>
      </c>
      <c r="O350" s="2">
        <f t="shared" si="3"/>
        <v>1</v>
      </c>
    </row>
    <row r="351">
      <c r="A351" s="2" t="str">
        <f t="shared" si="1"/>
        <v>H006183</v>
      </c>
      <c r="B351" s="1" t="s">
        <v>3587</v>
      </c>
      <c r="C351" s="9" t="str">
        <f t="array" ref="C351">IF(
  AND(
    IFERROR(MATCH(Caseslist!B351, data!D:D, 0), 0) &gt; 0,
    IFERROR(INDEX(data!N:N, MATCH(Caseslist!B351, data!D:D, 0)) = 1, FALSE)
  ),
  "COMPLETE",
  "INC"
)</f>
        <v>COMPLETE</v>
      </c>
      <c r="D351" s="9" t="str">
        <f t="array" ref="D351">IFERROR(INDEX(data!$G:$G,match(Caseslist!B351,data!$D:$D,0)), "INC")</f>
        <v>P1068432</v>
      </c>
      <c r="E351" s="9" t="str">
        <f t="array" ref="E351">IFERROR(INDEX(data!H:H,match(Caseslist!B351,data!D:D,0)), "INC")</f>
        <v>Mark Daniel Balagao Benson</v>
      </c>
      <c r="F351" s="10" t="str">
        <f t="array" ref="F351">IF(
    OR(
      IFNA(INDEX(data!M:M, MATCH(Caseslist!B351, data!D:D, 0)), "") = "",
      IFNA(INDEX(data!M:M, MATCH(Caseslist!B351, data!D:D, 0)), 0) = 0
    ),
    "COMPLETE",
    IF(
      IFNA(INDEX(dataICM!D:D, MATCH(Caseslist!B351, dataICM!D:D, 0)), "INC") = "INC",
      IFNA(INDEX(dataICM!D:D, MATCH(Caseslist!B351, dataICM!D:D, 0)), "INC"),
      "COMPLETE"
    )
  )</f>
        <v>COMPLETE</v>
      </c>
      <c r="G351" s="10" t="str">
        <f t="array" ref="G351">IF(IFERROR(INDEX(data!L:L,match(Caseslist!B351,data!D:D,0)),"INC")="","COMPLETE",F351)</f>
        <v>COMPLETE</v>
      </c>
      <c r="H351" s="9" t="str">
        <f t="array" ref="H351">IFERROR(INDEX(dataICM!F:F,match(Caseslist!B351,dataICM!D:D,0)), "INC")</f>
        <v>Mark Daniel Balagao Benson</v>
      </c>
      <c r="I351" s="10" t="str">
        <f t="shared" si="2"/>
        <v>P1068432</v>
      </c>
      <c r="J351" s="9" t="str">
        <f t="array" ref="J351">IF(
  AND(
    IFERROR(MATCH(B351, data!D:D, 0), 0) &gt; 0,
    IFERROR(INDEX(data!N:N, MATCH(B351, data!D:D, 0)) = 1, FALSE)
  ),
  INDEX(data!C:C, MATCH(B351, data!D:D, 0)),
  "INC"
)</f>
        <v>2025-09-04T12:27:18.362+08</v>
      </c>
      <c r="K351" s="9" t="str">
        <f t="array" ref="K351">IFERROR(INDEX(dataICM!C:C,match(Caseslist!B351,dataICM!D:D,0)), "INC")</f>
        <v>2025-09-04T12:55:52.575+08</v>
      </c>
      <c r="L351" s="10" t="str">
        <f t="array" ref="L351">IF(AND(G351="COMPLETE", OR(K351="INC", ISBLANK(INDEX(data!O:O, ROW())))), J351, K351)</f>
        <v>2025-09-04T12:55:52.575+08</v>
      </c>
      <c r="M351" s="2">
        <v>45904.0</v>
      </c>
      <c r="N351" s="2">
        <f t="array" ref="N351">IF(M351&lt;&gt;"INC", INDEX(data!M:M, MATCH(B351, data!D:D, 0)), "")</f>
        <v>1</v>
      </c>
      <c r="O351" s="2">
        <f t="shared" si="3"/>
        <v>1</v>
      </c>
    </row>
    <row r="352">
      <c r="A352" s="2" t="str">
        <f t="shared" si="1"/>
        <v>H006183</v>
      </c>
      <c r="B352" s="1" t="s">
        <v>3812</v>
      </c>
      <c r="C352" s="9" t="str">
        <f t="array" ref="C352">IF(
  AND(
    IFERROR(MATCH(Caseslist!B352, data!D:D, 0), 0) &gt; 0,
    IFERROR(INDEX(data!N:N, MATCH(Caseslist!B352, data!D:D, 0)) = 1, FALSE)
  ),
  "COMPLETE",
  "INC"
)</f>
        <v>INC</v>
      </c>
      <c r="D352" s="9" t="str">
        <f t="array" ref="D352">IFERROR(INDEX(data!$G:$G,match(Caseslist!B352,data!$D:$D,0)), "INC")</f>
        <v>O3925718</v>
      </c>
      <c r="E352" s="9" t="str">
        <f t="array" ref="E352">IFERROR(INDEX(data!H:H,match(Caseslist!B352,data!D:D,0)), "INC")</f>
        <v>Adrian Montecastro Ferrer</v>
      </c>
      <c r="F352" s="10" t="str">
        <f t="array" ref="F352">IF(
    OR(
      IFNA(INDEX(data!M:M, MATCH(Caseslist!B352, data!D:D, 0)), "") = "",
      IFNA(INDEX(data!M:M, MATCH(Caseslist!B352, data!D:D, 0)), 0) = 0
    ),
    "COMPLETE",
    IF(
      IFNA(INDEX(dataICM!D:D, MATCH(Caseslist!B352, dataICM!D:D, 0)), "INC") = "INC",
      IFNA(INDEX(dataICM!D:D, MATCH(Caseslist!B352, dataICM!D:D, 0)), "INC"),
      "COMPLETE"
    )
  )</f>
        <v>INC</v>
      </c>
      <c r="G352" s="10" t="str">
        <f t="array" ref="G352">IF(IFERROR(INDEX(data!L:L,match(Caseslist!B352,data!D:D,0)),"INC")="","COMPLETE",F352)</f>
        <v>INC</v>
      </c>
      <c r="H352" s="9" t="str">
        <f t="array" ref="H352">IFERROR(INDEX(dataICM!F:F,match(Caseslist!B352,dataICM!D:D,0)), "INC")</f>
        <v>INC</v>
      </c>
      <c r="I352" s="10" t="str">
        <f t="shared" si="2"/>
        <v>INC</v>
      </c>
      <c r="J352" s="9" t="str">
        <f t="array" ref="J352">IF(
  AND(
    IFERROR(MATCH(B352, data!D:D, 0), 0) &gt; 0,
    IFERROR(INDEX(data!N:N, MATCH(B352, data!D:D, 0)) = 1, FALSE)
  ),
  INDEX(data!C:C, MATCH(B352, data!D:D, 0)),
  "INC"
)</f>
        <v>INC</v>
      </c>
      <c r="K352" s="9" t="str">
        <f t="array" ref="K352">IFERROR(INDEX(dataICM!C:C,match(Caseslist!B352,dataICM!D:D,0)), "INC")</f>
        <v>INC</v>
      </c>
      <c r="L352" s="10" t="str">
        <f t="array" ref="L352">IF(AND(G352="COMPLETE", OR(K352="INC", ISBLANK(INDEX(data!O:O, ROW())))), J352, K352)</f>
        <v>INC</v>
      </c>
      <c r="M352" s="2" t="s">
        <v>8886</v>
      </c>
      <c r="N352" s="2" t="str">
        <f t="array" ref="N352">IF(M352&lt;&gt;"INC", INDEX(data!M:M, MATCH(B352, data!D:D, 0)), "")</f>
        <v/>
      </c>
      <c r="O352" s="2" t="str">
        <f t="shared" si="3"/>
        <v/>
      </c>
    </row>
    <row r="353">
      <c r="A353" s="2" t="str">
        <f t="shared" si="1"/>
        <v>H006183</v>
      </c>
      <c r="B353" s="1" t="s">
        <v>3472</v>
      </c>
      <c r="C353" s="9" t="str">
        <f t="array" ref="C353">IF(
  AND(
    IFERROR(MATCH(Caseslist!B353, data!D:D, 0), 0) &gt; 0,
    IFERROR(INDEX(data!N:N, MATCH(Caseslist!B353, data!D:D, 0)) = 1, FALSE)
  ),
  "COMPLETE",
  "INC"
)</f>
        <v>COMPLETE</v>
      </c>
      <c r="D353" s="9" t="str">
        <f t="array" ref="D353">IFERROR(INDEX(data!$G:$G,match(Caseslist!B353,data!$D:$D,0)), "INC")</f>
        <v>O3925718</v>
      </c>
      <c r="E353" s="9" t="str">
        <f t="array" ref="E353">IFERROR(INDEX(data!H:H,match(Caseslist!B353,data!D:D,0)), "INC")</f>
        <v>Adrian Montecastro Ferrer</v>
      </c>
      <c r="F353" s="10" t="str">
        <f t="array" ref="F353">IF(
    OR(
      IFNA(INDEX(data!M:M, MATCH(Caseslist!B353, data!D:D, 0)), "") = "",
      IFNA(INDEX(data!M:M, MATCH(Caseslist!B353, data!D:D, 0)), 0) = 0
    ),
    "COMPLETE",
    IF(
      IFNA(INDEX(dataICM!D:D, MATCH(Caseslist!B353, dataICM!D:D, 0)), "INC") = "INC",
      IFNA(INDEX(dataICM!D:D, MATCH(Caseslist!B353, dataICM!D:D, 0)), "INC"),
      "COMPLETE"
    )
  )</f>
        <v>COMPLETE</v>
      </c>
      <c r="G353" s="10" t="str">
        <f t="array" ref="G353">IF(IFERROR(INDEX(data!L:L,match(Caseslist!B353,data!D:D,0)),"INC")="","COMPLETE",F353)</f>
        <v>COMPLETE</v>
      </c>
      <c r="H353" s="9" t="str">
        <f t="array" ref="H353">IFERROR(INDEX(dataICM!F:F,match(Caseslist!B353,dataICM!D:D,0)), "INC")</f>
        <v>Adrian Montecastro Ferrer</v>
      </c>
      <c r="I353" s="10" t="str">
        <f t="shared" si="2"/>
        <v>O3925718</v>
      </c>
      <c r="J353" s="9" t="str">
        <f t="array" ref="J353">IF(
  AND(
    IFERROR(MATCH(B353, data!D:D, 0), 0) &gt; 0,
    IFERROR(INDEX(data!N:N, MATCH(B353, data!D:D, 0)) = 1, FALSE)
  ),
  INDEX(data!C:C, MATCH(B353, data!D:D, 0)),
  "INC"
)</f>
        <v>2025-09-04T12:13:36.556+08</v>
      </c>
      <c r="K353" s="9" t="str">
        <f t="array" ref="K353">IFERROR(INDEX(dataICM!C:C,match(Caseslist!B353,dataICM!D:D,0)), "INC")</f>
        <v>2025-09-04T12:17:19.077+08</v>
      </c>
      <c r="L353" s="10" t="str">
        <f t="array" ref="L353">IF(AND(G353="COMPLETE", OR(K353="INC", ISBLANK(INDEX(data!O:O, ROW())))), J353, K353)</f>
        <v>2025-09-04T12:17:19.077+08</v>
      </c>
      <c r="M353" s="2">
        <v>45904.0</v>
      </c>
      <c r="N353" s="2">
        <f t="array" ref="N353">IF(M353&lt;&gt;"INC", INDEX(data!M:M, MATCH(B353, data!D:D, 0)), "")</f>
        <v>1</v>
      </c>
      <c r="O353" s="2">
        <f t="shared" si="3"/>
        <v>1</v>
      </c>
    </row>
    <row r="354">
      <c r="A354" s="2" t="str">
        <f t="shared" si="1"/>
        <v>H006183</v>
      </c>
      <c r="B354" s="1" t="s">
        <v>3602</v>
      </c>
      <c r="C354" s="9" t="str">
        <f t="array" ref="C354">IF(
  AND(
    IFERROR(MATCH(Caseslist!B354, data!D:D, 0), 0) &gt; 0,
    IFERROR(INDEX(data!N:N, MATCH(Caseslist!B354, data!D:D, 0)) = 1, FALSE)
  ),
  "COMPLETE",
  "INC"
)</f>
        <v>COMPLETE</v>
      </c>
      <c r="D354" s="9" t="str">
        <f t="array" ref="D354">IFERROR(INDEX(data!$G:$G,match(Caseslist!B354,data!$D:$D,0)), "INC")</f>
        <v>N7814260</v>
      </c>
      <c r="E354" s="9" t="str">
        <f t="array" ref="E354">IFERROR(INDEX(data!H:H,match(Caseslist!B354,data!D:D,0)), "INC")</f>
        <v>Jemma Marie Tillo</v>
      </c>
      <c r="F354" s="10" t="str">
        <f t="array" ref="F354">IF(
    OR(
      IFNA(INDEX(data!M:M, MATCH(Caseslist!B354, data!D:D, 0)), "") = "",
      IFNA(INDEX(data!M:M, MATCH(Caseslist!B354, data!D:D, 0)), 0) = 0
    ),
    "COMPLETE",
    IF(
      IFNA(INDEX(dataICM!D:D, MATCH(Caseslist!B354, dataICM!D:D, 0)), "INC") = "INC",
      IFNA(INDEX(dataICM!D:D, MATCH(Caseslist!B354, dataICM!D:D, 0)), "INC"),
      "COMPLETE"
    )
  )</f>
        <v>COMPLETE</v>
      </c>
      <c r="G354" s="10" t="str">
        <f t="array" ref="G354">IF(IFERROR(INDEX(data!L:L,match(Caseslist!B354,data!D:D,0)),"INC")="","COMPLETE",F354)</f>
        <v>COMPLETE</v>
      </c>
      <c r="H354" s="9" t="str">
        <f t="array" ref="H354">IFERROR(INDEX(dataICM!F:F,match(Caseslist!B354,dataICM!D:D,0)), "INC")</f>
        <v>Jemma Marie Tillo</v>
      </c>
      <c r="I354" s="10" t="str">
        <f t="shared" si="2"/>
        <v>N7814260</v>
      </c>
      <c r="J354" s="9" t="str">
        <f t="array" ref="J354">IF(
  AND(
    IFERROR(MATCH(B354, data!D:D, 0), 0) &gt; 0,
    IFERROR(INDEX(data!N:N, MATCH(B354, data!D:D, 0)) = 1, FALSE)
  ),
  INDEX(data!C:C, MATCH(B354, data!D:D, 0)),
  "INC"
)</f>
        <v>2025-09-04T11:33:33.545+08</v>
      </c>
      <c r="K354" s="9" t="str">
        <f t="array" ref="K354">IFERROR(INDEX(dataICM!C:C,match(Caseslist!B354,dataICM!D:D,0)), "INC")</f>
        <v>2025-09-04T11:36:56.095+08</v>
      </c>
      <c r="L354" s="10" t="str">
        <f t="array" ref="L354">IF(AND(G354="COMPLETE", OR(K354="INC", ISBLANK(INDEX(data!O:O, ROW())))), J354, K354)</f>
        <v>2025-09-04T11:36:56.095+08</v>
      </c>
      <c r="M354" s="2">
        <v>45904.0</v>
      </c>
      <c r="N354" s="2">
        <f t="array" ref="N354">IF(M354&lt;&gt;"INC", INDEX(data!M:M, MATCH(B354, data!D:D, 0)), "")</f>
        <v>1</v>
      </c>
      <c r="O354" s="2">
        <f t="shared" si="3"/>
        <v>1</v>
      </c>
    </row>
    <row r="355">
      <c r="A355" s="2" t="str">
        <f t="shared" si="1"/>
        <v>H006183</v>
      </c>
      <c r="B355" s="1" t="s">
        <v>3612</v>
      </c>
      <c r="C355" s="9" t="str">
        <f t="array" ref="C355">IF(
  AND(
    IFERROR(MATCH(Caseslist!B355, data!D:D, 0), 0) &gt; 0,
    IFERROR(INDEX(data!N:N, MATCH(Caseslist!B355, data!D:D, 0)) = 1, FALSE)
  ),
  "COMPLETE",
  "INC"
)</f>
        <v>COMPLETE</v>
      </c>
      <c r="D355" s="9" t="str">
        <f t="array" ref="D355">IFERROR(INDEX(data!$G:$G,match(Caseslist!B355,data!$D:$D,0)), "INC")</f>
        <v>N7814260</v>
      </c>
      <c r="E355" s="9" t="str">
        <f t="array" ref="E355">IFERROR(INDEX(data!H:H,match(Caseslist!B355,data!D:D,0)), "INC")</f>
        <v>Jemma Marie Tillo</v>
      </c>
      <c r="F355" s="10" t="str">
        <f t="array" ref="F355">IF(
    OR(
      IFNA(INDEX(data!M:M, MATCH(Caseslist!B355, data!D:D, 0)), "") = "",
      IFNA(INDEX(data!M:M, MATCH(Caseslist!B355, data!D:D, 0)), 0) = 0
    ),
    "COMPLETE",
    IF(
      IFNA(INDEX(dataICM!D:D, MATCH(Caseslist!B355, dataICM!D:D, 0)), "INC") = "INC",
      IFNA(INDEX(dataICM!D:D, MATCH(Caseslist!B355, dataICM!D:D, 0)), "INC"),
      "COMPLETE"
    )
  )</f>
        <v>COMPLETE</v>
      </c>
      <c r="G355" s="10" t="str">
        <f t="array" ref="G355">IF(IFERROR(INDEX(data!L:L,match(Caseslist!B355,data!D:D,0)),"INC")="","COMPLETE",F355)</f>
        <v>COMPLETE</v>
      </c>
      <c r="H355" s="9" t="str">
        <f t="array" ref="H355">IFERROR(INDEX(dataICM!F:F,match(Caseslist!B355,dataICM!D:D,0)), "INC")</f>
        <v>Jemma Marie Tillo</v>
      </c>
      <c r="I355" s="10" t="str">
        <f t="shared" si="2"/>
        <v>N7814260</v>
      </c>
      <c r="J355" s="9" t="str">
        <f t="array" ref="J355">IF(
  AND(
    IFERROR(MATCH(B355, data!D:D, 0), 0) &gt; 0,
    IFERROR(INDEX(data!N:N, MATCH(B355, data!D:D, 0)) = 1, FALSE)
  ),
  INDEX(data!C:C, MATCH(B355, data!D:D, 0)),
  "INC"
)</f>
        <v>2025-09-04T15:01:16.552+08</v>
      </c>
      <c r="K355" s="9" t="str">
        <f t="array" ref="K355">IFERROR(INDEX(dataICM!C:C,match(Caseslist!B355,dataICM!D:D,0)), "INC")</f>
        <v>2025-09-04T19:23:25.553+08</v>
      </c>
      <c r="L355" s="10" t="str">
        <f t="array" ref="L355">IF(AND(G355="COMPLETE", OR(K355="INC", ISBLANK(INDEX(data!O:O, ROW())))), J355, K355)</f>
        <v>2025-09-04T19:23:25.553+08</v>
      </c>
      <c r="M355" s="2">
        <v>45904.0</v>
      </c>
      <c r="N355" s="2">
        <f t="array" ref="N355">IF(M355&lt;&gt;"INC", INDEX(data!M:M, MATCH(B355, data!D:D, 0)), "")</f>
        <v>1</v>
      </c>
      <c r="O355" s="2">
        <f t="shared" si="3"/>
        <v>1</v>
      </c>
    </row>
    <row r="356">
      <c r="A356" s="2" t="str">
        <f t="shared" si="1"/>
        <v>H006183</v>
      </c>
      <c r="B356" s="1" t="s">
        <v>3592</v>
      </c>
      <c r="C356" s="9" t="str">
        <f t="array" ref="C356">IF(
  AND(
    IFERROR(MATCH(Caseslist!B356, data!D:D, 0), 0) &gt; 0,
    IFERROR(INDEX(data!N:N, MATCH(Caseslist!B356, data!D:D, 0)) = 1, FALSE)
  ),
  "COMPLETE",
  "INC"
)</f>
        <v>COMPLETE</v>
      </c>
      <c r="D356" s="9" t="str">
        <f t="array" ref="D356">IFERROR(INDEX(data!$G:$G,match(Caseslist!B356,data!$D:$D,0)), "INC")</f>
        <v>P1068432</v>
      </c>
      <c r="E356" s="9" t="str">
        <f t="array" ref="E356">IFERROR(INDEX(data!H:H,match(Caseslist!B356,data!D:D,0)), "INC")</f>
        <v>Mark Daniel Balagao Benson</v>
      </c>
      <c r="F356" s="10" t="str">
        <f t="array" ref="F356">IF(
    OR(
      IFNA(INDEX(data!M:M, MATCH(Caseslist!B356, data!D:D, 0)), "") = "",
      IFNA(INDEX(data!M:M, MATCH(Caseslist!B356, data!D:D, 0)), 0) = 0
    ),
    "COMPLETE",
    IF(
      IFNA(INDEX(dataICM!D:D, MATCH(Caseslist!B356, dataICM!D:D, 0)), "INC") = "INC",
      IFNA(INDEX(dataICM!D:D, MATCH(Caseslist!B356, dataICM!D:D, 0)), "INC"),
      "COMPLETE"
    )
  )</f>
        <v>COMPLETE</v>
      </c>
      <c r="G356" s="10" t="str">
        <f t="array" ref="G356">IF(IFERROR(INDEX(data!L:L,match(Caseslist!B356,data!D:D,0)),"INC")="","COMPLETE",F356)</f>
        <v>COMPLETE</v>
      </c>
      <c r="H356" s="9" t="str">
        <f t="array" ref="H356">IFERROR(INDEX(dataICM!F:F,match(Caseslist!B356,dataICM!D:D,0)), "INC")</f>
        <v>Mark Daniel Balagao Benson</v>
      </c>
      <c r="I356" s="10" t="str">
        <f t="shared" si="2"/>
        <v>P1068432</v>
      </c>
      <c r="J356" s="9" t="str">
        <f t="array" ref="J356">IF(
  AND(
    IFERROR(MATCH(B356, data!D:D, 0), 0) &gt; 0,
    IFERROR(INDEX(data!N:N, MATCH(B356, data!D:D, 0)) = 1, FALSE)
  ),
  INDEX(data!C:C, MATCH(B356, data!D:D, 0)),
  "INC"
)</f>
        <v>2025-09-04T14:12:07.289+08</v>
      </c>
      <c r="K356" s="9" t="str">
        <f t="array" ref="K356">IFERROR(INDEX(dataICM!C:C,match(Caseslist!B356,dataICM!D:D,0)), "INC")</f>
        <v>2025-09-04T15:12:14.259+08</v>
      </c>
      <c r="L356" s="10" t="str">
        <f t="array" ref="L356">IF(AND(G356="COMPLETE", OR(K356="INC", ISBLANK(INDEX(data!O:O, ROW())))), J356, K356)</f>
        <v>2025-09-04T15:12:14.259+08</v>
      </c>
      <c r="M356" s="2">
        <v>45904.0</v>
      </c>
      <c r="N356" s="2">
        <f t="array" ref="N356">IF(M356&lt;&gt;"INC", INDEX(data!M:M, MATCH(B356, data!D:D, 0)), "")</f>
        <v>1</v>
      </c>
      <c r="O356" s="2">
        <f t="shared" si="3"/>
        <v>1</v>
      </c>
    </row>
    <row r="357">
      <c r="A357" s="2" t="str">
        <f t="shared" si="1"/>
        <v>H006183</v>
      </c>
      <c r="B357" s="1" t="s">
        <v>3947</v>
      </c>
      <c r="C357" s="9" t="str">
        <f t="array" ref="C357">IF(
  AND(
    IFERROR(MATCH(Caseslist!B357, data!D:D, 0), 0) &gt; 0,
    IFERROR(INDEX(data!N:N, MATCH(Caseslist!B357, data!D:D, 0)) = 1, FALSE)
  ),
  "COMPLETE",
  "INC"
)</f>
        <v>COMPLETE</v>
      </c>
      <c r="D357" s="9" t="str">
        <f t="array" ref="D357">IFERROR(INDEX(data!$G:$G,match(Caseslist!B357,data!$D:$D,0)), "INC")</f>
        <v>P1068432</v>
      </c>
      <c r="E357" s="9" t="str">
        <f t="array" ref="E357">IFERROR(INDEX(data!H:H,match(Caseslist!B357,data!D:D,0)), "INC")</f>
        <v>Mark Daniel Balagao Benson</v>
      </c>
      <c r="F357" s="10" t="str">
        <f t="array" ref="F357">IF(
    OR(
      IFNA(INDEX(data!M:M, MATCH(Caseslist!B357, data!D:D, 0)), "") = "",
      IFNA(INDEX(data!M:M, MATCH(Caseslist!B357, data!D:D, 0)), 0) = 0
    ),
    "COMPLETE",
    IF(
      IFNA(INDEX(dataICM!D:D, MATCH(Caseslist!B357, dataICM!D:D, 0)), "INC") = "INC",
      IFNA(INDEX(dataICM!D:D, MATCH(Caseslist!B357, dataICM!D:D, 0)), "INC"),
      "COMPLETE"
    )
  )</f>
        <v>COMPLETE</v>
      </c>
      <c r="G357" s="10" t="str">
        <f t="array" ref="G357">IF(IFERROR(INDEX(data!L:L,match(Caseslist!B357,data!D:D,0)),"INC")="","COMPLETE",F357)</f>
        <v>COMPLETE</v>
      </c>
      <c r="H357" s="9" t="str">
        <f t="array" ref="H357">IFERROR(INDEX(dataICM!F:F,match(Caseslist!B357,dataICM!D:D,0)), "INC")</f>
        <v>Mark Daniel Balagao Benson</v>
      </c>
      <c r="I357" s="10" t="str">
        <f t="shared" si="2"/>
        <v>P1068432</v>
      </c>
      <c r="J357" s="9" t="str">
        <f t="array" ref="J357">IF(
  AND(
    IFERROR(MATCH(B357, data!D:D, 0), 0) &gt; 0,
    IFERROR(INDEX(data!N:N, MATCH(B357, data!D:D, 0)) = 1, FALSE)
  ),
  INDEX(data!C:C, MATCH(B357, data!D:D, 0)),
  "INC"
)</f>
        <v>2025-09-05T12:22:50.045+08</v>
      </c>
      <c r="K357" s="9" t="str">
        <f t="array" ref="K357">IFERROR(INDEX(dataICM!C:C,match(Caseslist!B357,dataICM!D:D,0)), "INC")</f>
        <v>2025-09-05T12:55:07.506+08</v>
      </c>
      <c r="L357" s="10" t="str">
        <f t="array" ref="L357">IF(AND(G357="COMPLETE", OR(K357="INC", ISBLANK(INDEX(data!O:O, ROW())))), J357, K357)</f>
        <v>2025-09-05T12:55:07.506+08</v>
      </c>
      <c r="M357" s="2">
        <v>45905.0</v>
      </c>
      <c r="N357" s="2">
        <f t="array" ref="N357">IF(M357&lt;&gt;"INC", INDEX(data!M:M, MATCH(B357, data!D:D, 0)), "")</f>
        <v>1</v>
      </c>
      <c r="O357" s="2">
        <f t="shared" si="3"/>
        <v>1</v>
      </c>
    </row>
    <row r="358">
      <c r="A358" s="2" t="str">
        <f t="shared" si="1"/>
        <v>H006183</v>
      </c>
      <c r="B358" s="1" t="s">
        <v>3817</v>
      </c>
      <c r="C358" s="9" t="str">
        <f t="array" ref="C358">IF(
  AND(
    IFERROR(MATCH(Caseslist!B358, data!D:D, 0), 0) &gt; 0,
    IFERROR(INDEX(data!N:N, MATCH(Caseslist!B358, data!D:D, 0)) = 1, FALSE)
  ),
  "COMPLETE",
  "INC"
)</f>
        <v>COMPLETE</v>
      </c>
      <c r="D358" s="9" t="str">
        <f t="array" ref="D358">IFERROR(INDEX(data!$G:$G,match(Caseslist!B358,data!$D:$D,0)), "INC")</f>
        <v>O3925718</v>
      </c>
      <c r="E358" s="9" t="str">
        <f t="array" ref="E358">IFERROR(INDEX(data!H:H,match(Caseslist!B358,data!D:D,0)), "INC")</f>
        <v>Adrian Montecastro Ferrer</v>
      </c>
      <c r="F358" s="10" t="str">
        <f t="array" ref="F358">IF(
    OR(
      IFNA(INDEX(data!M:M, MATCH(Caseslist!B358, data!D:D, 0)), "") = "",
      IFNA(INDEX(data!M:M, MATCH(Caseslist!B358, data!D:D, 0)), 0) = 0
    ),
    "COMPLETE",
    IF(
      IFNA(INDEX(dataICM!D:D, MATCH(Caseslist!B358, dataICM!D:D, 0)), "INC") = "INC",
      IFNA(INDEX(dataICM!D:D, MATCH(Caseslist!B358, dataICM!D:D, 0)), "INC"),
      "COMPLETE"
    )
  )</f>
        <v>COMPLETE</v>
      </c>
      <c r="G358" s="10" t="str">
        <f t="array" ref="G358">IF(IFERROR(INDEX(data!L:L,match(Caseslist!B358,data!D:D,0)),"INC")="","COMPLETE",F358)</f>
        <v>COMPLETE</v>
      </c>
      <c r="H358" s="9" t="str">
        <f t="array" ref="H358">IFERROR(INDEX(dataICM!F:F,match(Caseslist!B358,dataICM!D:D,0)), "INC")</f>
        <v>Adrian Montecastro Ferrer</v>
      </c>
      <c r="I358" s="10" t="str">
        <f t="shared" si="2"/>
        <v>O3925718</v>
      </c>
      <c r="J358" s="9" t="str">
        <f t="array" ref="J358">IF(
  AND(
    IFERROR(MATCH(B358, data!D:D, 0), 0) &gt; 0,
    IFERROR(INDEX(data!N:N, MATCH(B358, data!D:D, 0)) = 1, FALSE)
  ),
  INDEX(data!C:C, MATCH(B358, data!D:D, 0)),
  "INC"
)</f>
        <v>2025-09-05T11:25:27.387+08</v>
      </c>
      <c r="K358" s="9" t="str">
        <f t="array" ref="K358">IFERROR(INDEX(dataICM!C:C,match(Caseslist!B358,dataICM!D:D,0)), "INC")</f>
        <v>2025-09-05T11:38:33.452+08</v>
      </c>
      <c r="L358" s="10" t="str">
        <f t="array" ref="L358">IF(AND(G358="COMPLETE", OR(K358="INC", ISBLANK(INDEX(data!O:O, ROW())))), J358, K358)</f>
        <v>2025-09-05T11:38:33.452+08</v>
      </c>
      <c r="M358" s="2">
        <v>45905.0</v>
      </c>
      <c r="N358" s="2">
        <f t="array" ref="N358">IF(M358&lt;&gt;"INC", INDEX(data!M:M, MATCH(B358, data!D:D, 0)), "")</f>
        <v>1</v>
      </c>
      <c r="O358" s="2">
        <f t="shared" si="3"/>
        <v>1</v>
      </c>
    </row>
    <row r="359">
      <c r="A359" s="2" t="str">
        <f t="shared" si="1"/>
        <v>H006183</v>
      </c>
      <c r="B359" s="1" t="s">
        <v>3607</v>
      </c>
      <c r="C359" s="9" t="str">
        <f t="array" ref="C359">IF(
  AND(
    IFERROR(MATCH(Caseslist!B359, data!D:D, 0), 0) &gt; 0,
    IFERROR(INDEX(data!N:N, MATCH(Caseslist!B359, data!D:D, 0)) = 1, FALSE)
  ),
  "COMPLETE",
  "INC"
)</f>
        <v>COMPLETE</v>
      </c>
      <c r="D359" s="9" t="str">
        <f t="array" ref="D359">IFERROR(INDEX(data!$G:$G,match(Caseslist!B359,data!$D:$D,0)), "INC")</f>
        <v>N7814260</v>
      </c>
      <c r="E359" s="9" t="str">
        <f t="array" ref="E359">IFERROR(INDEX(data!H:H,match(Caseslist!B359,data!D:D,0)), "INC")</f>
        <v>Jemma Marie Tillo</v>
      </c>
      <c r="F359" s="10" t="str">
        <f t="array" ref="F359">IF(
    OR(
      IFNA(INDEX(data!M:M, MATCH(Caseslist!B359, data!D:D, 0)), "") = "",
      IFNA(INDEX(data!M:M, MATCH(Caseslist!B359, data!D:D, 0)), 0) = 0
    ),
    "COMPLETE",
    IF(
      IFNA(INDEX(dataICM!D:D, MATCH(Caseslist!B359, dataICM!D:D, 0)), "INC") = "INC",
      IFNA(INDEX(dataICM!D:D, MATCH(Caseslist!B359, dataICM!D:D, 0)), "INC"),
      "COMPLETE"
    )
  )</f>
        <v>COMPLETE</v>
      </c>
      <c r="G359" s="10" t="str">
        <f t="array" ref="G359">IF(IFERROR(INDEX(data!L:L,match(Caseslist!B359,data!D:D,0)),"INC")="","COMPLETE",F359)</f>
        <v>COMPLETE</v>
      </c>
      <c r="H359" s="9" t="str">
        <f t="array" ref="H359">IFERROR(INDEX(dataICM!F:F,match(Caseslist!B359,dataICM!D:D,0)), "INC")</f>
        <v>Jemma Marie Tillo</v>
      </c>
      <c r="I359" s="10" t="str">
        <f t="shared" si="2"/>
        <v>N7814260</v>
      </c>
      <c r="J359" s="9" t="str">
        <f t="array" ref="J359">IF(
  AND(
    IFERROR(MATCH(B359, data!D:D, 0), 0) &gt; 0,
    IFERROR(INDEX(data!N:N, MATCH(B359, data!D:D, 0)) = 1, FALSE)
  ),
  INDEX(data!C:C, MATCH(B359, data!D:D, 0)),
  "INC"
)</f>
        <v>2025-09-04T12:50:37.865+08</v>
      </c>
      <c r="K359" s="9" t="str">
        <f t="array" ref="K359">IFERROR(INDEX(dataICM!C:C,match(Caseslist!B359,dataICM!D:D,0)), "INC")</f>
        <v>2025-09-04T19:24:53.534+08</v>
      </c>
      <c r="L359" s="10" t="str">
        <f t="array" ref="L359">IF(AND(G359="COMPLETE", OR(K359="INC", ISBLANK(INDEX(data!O:O, ROW())))), J359, K359)</f>
        <v>2025-09-04T19:24:53.534+08</v>
      </c>
      <c r="M359" s="2">
        <v>45904.0</v>
      </c>
      <c r="N359" s="2">
        <f t="array" ref="N359">IF(M359&lt;&gt;"INC", INDEX(data!M:M, MATCH(B359, data!D:D, 0)), "")</f>
        <v>1</v>
      </c>
      <c r="O359" s="2">
        <f t="shared" si="3"/>
        <v>1</v>
      </c>
    </row>
    <row r="360">
      <c r="A360" s="2" t="str">
        <f t="shared" si="1"/>
        <v>H006183</v>
      </c>
      <c r="B360" s="1" t="s">
        <v>3467</v>
      </c>
      <c r="C360" s="9" t="str">
        <f t="array" ref="C360">IF(
  AND(
    IFERROR(MATCH(Caseslist!B360, data!D:D, 0), 0) &gt; 0,
    IFERROR(INDEX(data!N:N, MATCH(Caseslist!B360, data!D:D, 0)) = 1, FALSE)
  ),
  "COMPLETE",
  "INC"
)</f>
        <v>COMPLETE</v>
      </c>
      <c r="D360" s="9" t="str">
        <f t="array" ref="D360">IFERROR(INDEX(data!$G:$G,match(Caseslist!B360,data!$D:$D,0)), "INC")</f>
        <v>O3925718</v>
      </c>
      <c r="E360" s="9" t="str">
        <f t="array" ref="E360">IFERROR(INDEX(data!H:H,match(Caseslist!B360,data!D:D,0)), "INC")</f>
        <v>Adrian Montecastro Ferrer</v>
      </c>
      <c r="F360" s="10" t="str">
        <f t="array" ref="F360">IF(
    OR(
      IFNA(INDEX(data!M:M, MATCH(Caseslist!B360, data!D:D, 0)), "") = "",
      IFNA(INDEX(data!M:M, MATCH(Caseslist!B360, data!D:D, 0)), 0) = 0
    ),
    "COMPLETE",
    IF(
      IFNA(INDEX(dataICM!D:D, MATCH(Caseslist!B360, dataICM!D:D, 0)), "INC") = "INC",
      IFNA(INDEX(dataICM!D:D, MATCH(Caseslist!B360, dataICM!D:D, 0)), "INC"),
      "COMPLETE"
    )
  )</f>
        <v>COMPLETE</v>
      </c>
      <c r="G360" s="10" t="str">
        <f t="array" ref="G360">IF(IFERROR(INDEX(data!L:L,match(Caseslist!B360,data!D:D,0)),"INC")="","COMPLETE",F360)</f>
        <v>COMPLETE</v>
      </c>
      <c r="H360" s="9" t="str">
        <f t="array" ref="H360">IFERROR(INDEX(dataICM!F:F,match(Caseslist!B360,dataICM!D:D,0)), "INC")</f>
        <v>Adrian Montecastro Ferrer</v>
      </c>
      <c r="I360" s="10" t="str">
        <f t="shared" si="2"/>
        <v>O3925718</v>
      </c>
      <c r="J360" s="9" t="str">
        <f t="array" ref="J360">IF(
  AND(
    IFERROR(MATCH(B360, data!D:D, 0), 0) &gt; 0,
    IFERROR(INDEX(data!N:N, MATCH(B360, data!D:D, 0)) = 1, FALSE)
  ),
  INDEX(data!C:C, MATCH(B360, data!D:D, 0)),
  "INC"
)</f>
        <v>2025-09-05T09:55:31.082+08</v>
      </c>
      <c r="K360" s="9" t="str">
        <f t="array" ref="K360">IFERROR(INDEX(dataICM!C:C,match(Caseslist!B360,dataICM!D:D,0)), "INC")</f>
        <v>2025-09-05T10:01:26.136+08</v>
      </c>
      <c r="L360" s="10" t="str">
        <f t="array" ref="L360">IF(AND(G360="COMPLETE", OR(K360="INC", ISBLANK(INDEX(data!O:O, ROW())))), J360, K360)</f>
        <v>2025-09-05T10:01:26.136+08</v>
      </c>
      <c r="M360" s="2">
        <v>45905.0</v>
      </c>
      <c r="N360" s="2">
        <f t="array" ref="N360">IF(M360&lt;&gt;"INC", INDEX(data!M:M, MATCH(B360, data!D:D, 0)), "")</f>
        <v>1</v>
      </c>
      <c r="O360" s="2">
        <f t="shared" si="3"/>
        <v>1</v>
      </c>
    </row>
    <row r="361">
      <c r="A361" s="2" t="str">
        <f t="shared" si="1"/>
        <v>H006183</v>
      </c>
      <c r="B361" s="1" t="s">
        <v>3932</v>
      </c>
      <c r="C361" s="9" t="str">
        <f t="array" ref="C361">IF(
  AND(
    IFERROR(MATCH(Caseslist!B361, data!D:D, 0), 0) &gt; 0,
    IFERROR(INDEX(data!N:N, MATCH(Caseslist!B361, data!D:D, 0)) = 1, FALSE)
  ),
  "COMPLETE",
  "INC"
)</f>
        <v>COMPLETE</v>
      </c>
      <c r="D361" s="9" t="str">
        <f t="array" ref="D361">IFERROR(INDEX(data!$G:$G,match(Caseslist!B361,data!$D:$D,0)), "INC")</f>
        <v>P1068432</v>
      </c>
      <c r="E361" s="9" t="str">
        <f t="array" ref="E361">IFERROR(INDEX(data!H:H,match(Caseslist!B361,data!D:D,0)), "INC")</f>
        <v>Mark Daniel Balagao Benson</v>
      </c>
      <c r="F361" s="10" t="str">
        <f t="array" ref="F361">IF(
    OR(
      IFNA(INDEX(data!M:M, MATCH(Caseslist!B361, data!D:D, 0)), "") = "",
      IFNA(INDEX(data!M:M, MATCH(Caseslist!B361, data!D:D, 0)), 0) = 0
    ),
    "COMPLETE",
    IF(
      IFNA(INDEX(dataICM!D:D, MATCH(Caseslist!B361, dataICM!D:D, 0)), "INC") = "INC",
      IFNA(INDEX(dataICM!D:D, MATCH(Caseslist!B361, dataICM!D:D, 0)), "INC"),
      "COMPLETE"
    )
  )</f>
        <v>COMPLETE</v>
      </c>
      <c r="G361" s="10" t="str">
        <f t="array" ref="G361">IF(IFERROR(INDEX(data!L:L,match(Caseslist!B361,data!D:D,0)),"INC")="","COMPLETE",F361)</f>
        <v>COMPLETE</v>
      </c>
      <c r="H361" s="9" t="str">
        <f t="array" ref="H361">IFERROR(INDEX(dataICM!F:F,match(Caseslist!B361,dataICM!D:D,0)), "INC")</f>
        <v>Mark Daniel Balagao Benson</v>
      </c>
      <c r="I361" s="10" t="str">
        <f t="shared" si="2"/>
        <v>P1068432</v>
      </c>
      <c r="J361" s="9" t="str">
        <f t="array" ref="J361">IF(
  AND(
    IFERROR(MATCH(B361, data!D:D, 0), 0) &gt; 0,
    IFERROR(INDEX(data!N:N, MATCH(B361, data!D:D, 0)) = 1, FALSE)
  ),
  INDEX(data!C:C, MATCH(B361, data!D:D, 0)),
  "INC"
)</f>
        <v>2025-09-05T11:06:47.593+08</v>
      </c>
      <c r="K361" s="9" t="str">
        <f t="array" ref="K361">IFERROR(INDEX(dataICM!C:C,match(Caseslist!B361,dataICM!D:D,0)), "INC")</f>
        <v>2025-09-05T11:19:51.911+08</v>
      </c>
      <c r="L361" s="10" t="str">
        <f t="array" ref="L361">IF(AND(G361="COMPLETE", OR(K361="INC", ISBLANK(INDEX(data!O:O, ROW())))), J361, K361)</f>
        <v>2025-09-05T11:19:51.911+08</v>
      </c>
      <c r="M361" s="2">
        <v>45905.0</v>
      </c>
      <c r="N361" s="2">
        <f t="array" ref="N361">IF(M361&lt;&gt;"INC", INDEX(data!M:M, MATCH(B361, data!D:D, 0)), "")</f>
        <v>1</v>
      </c>
      <c r="O361" s="2">
        <f t="shared" si="3"/>
        <v>1</v>
      </c>
    </row>
    <row r="362">
      <c r="A362" s="2" t="str">
        <f t="shared" si="1"/>
        <v>H006183</v>
      </c>
      <c r="B362" s="1" t="s">
        <v>3597</v>
      </c>
      <c r="C362" s="9" t="str">
        <f t="array" ref="C362">IF(
  AND(
    IFERROR(MATCH(Caseslist!B362, data!D:D, 0), 0) &gt; 0,
    IFERROR(INDEX(data!N:N, MATCH(Caseslist!B362, data!D:D, 0)) = 1, FALSE)
  ),
  "COMPLETE",
  "INC"
)</f>
        <v>COMPLETE</v>
      </c>
      <c r="D362" s="9" t="str">
        <f t="array" ref="D362">IFERROR(INDEX(data!$G:$G,match(Caseslist!B362,data!$D:$D,0)), "INC")</f>
        <v>P1068432</v>
      </c>
      <c r="E362" s="9" t="str">
        <f t="array" ref="E362">IFERROR(INDEX(data!H:H,match(Caseslist!B362,data!D:D,0)), "INC")</f>
        <v>Mark Daniel Balagao Benson</v>
      </c>
      <c r="F362" s="10" t="str">
        <f t="array" ref="F362">IF(
    OR(
      IFNA(INDEX(data!M:M, MATCH(Caseslist!B362, data!D:D, 0)), "") = "",
      IFNA(INDEX(data!M:M, MATCH(Caseslist!B362, data!D:D, 0)), 0) = 0
    ),
    "COMPLETE",
    IF(
      IFNA(INDEX(dataICM!D:D, MATCH(Caseslist!B362, dataICM!D:D, 0)), "INC") = "INC",
      IFNA(INDEX(dataICM!D:D, MATCH(Caseslist!B362, dataICM!D:D, 0)), "INC"),
      "COMPLETE"
    )
  )</f>
        <v>COMPLETE</v>
      </c>
      <c r="G362" s="10" t="str">
        <f t="array" ref="G362">IF(IFERROR(INDEX(data!L:L,match(Caseslist!B362,data!D:D,0)),"INC")="","COMPLETE",F362)</f>
        <v>COMPLETE</v>
      </c>
      <c r="H362" s="9" t="str">
        <f t="array" ref="H362">IFERROR(INDEX(dataICM!F:F,match(Caseslist!B362,dataICM!D:D,0)), "INC")</f>
        <v>Mark Daniel Balagao Benson</v>
      </c>
      <c r="I362" s="10" t="str">
        <f t="shared" si="2"/>
        <v>P1068432</v>
      </c>
      <c r="J362" s="9" t="str">
        <f t="array" ref="J362">IF(
  AND(
    IFERROR(MATCH(B362, data!D:D, 0), 0) &gt; 0,
    IFERROR(INDEX(data!N:N, MATCH(B362, data!D:D, 0)) = 1, FALSE)
  ),
  INDEX(data!C:C, MATCH(B362, data!D:D, 0)),
  "INC"
)</f>
        <v>2025-09-05T10:02:12.514+08</v>
      </c>
      <c r="K362" s="9" t="str">
        <f t="array" ref="K362">IFERROR(INDEX(dataICM!C:C,match(Caseslist!B362,dataICM!D:D,0)), "INC")</f>
        <v>2025-09-05T10:08:20.906+08</v>
      </c>
      <c r="L362" s="10" t="str">
        <f t="array" ref="L362">IF(AND(G362="COMPLETE", OR(K362="INC", ISBLANK(INDEX(data!O:O, ROW())))), J362, K362)</f>
        <v>2025-09-05T10:08:20.906+08</v>
      </c>
      <c r="M362" s="2">
        <v>45905.0</v>
      </c>
      <c r="N362" s="2">
        <f t="array" ref="N362">IF(M362&lt;&gt;"INC", INDEX(data!M:M, MATCH(B362, data!D:D, 0)), "")</f>
        <v>1</v>
      </c>
      <c r="O362" s="2">
        <f t="shared" si="3"/>
        <v>1</v>
      </c>
    </row>
    <row r="363">
      <c r="A363" s="2" t="str">
        <f t="shared" si="1"/>
        <v>H006183</v>
      </c>
      <c r="B363" s="1" t="s">
        <v>3462</v>
      </c>
      <c r="C363" s="9" t="str">
        <f t="array" ref="C363">IF(
  AND(
    IFERROR(MATCH(Caseslist!B363, data!D:D, 0), 0) &gt; 0,
    IFERROR(INDEX(data!N:N, MATCH(Caseslist!B363, data!D:D, 0)) = 1, FALSE)
  ),
  "COMPLETE",
  "INC"
)</f>
        <v>COMPLETE</v>
      </c>
      <c r="D363" s="9" t="str">
        <f t="array" ref="D363">IFERROR(INDEX(data!$G:$G,match(Caseslist!B363,data!$D:$D,0)), "INC")</f>
        <v>O3925718</v>
      </c>
      <c r="E363" s="9" t="str">
        <f t="array" ref="E363">IFERROR(INDEX(data!H:H,match(Caseslist!B363,data!D:D,0)), "INC")</f>
        <v>Adrian Montecastro Ferrer</v>
      </c>
      <c r="F363" s="10" t="str">
        <f t="array" ref="F363">IF(
    OR(
      IFNA(INDEX(data!M:M, MATCH(Caseslist!B363, data!D:D, 0)), "") = "",
      IFNA(INDEX(data!M:M, MATCH(Caseslist!B363, data!D:D, 0)), 0) = 0
    ),
    "COMPLETE",
    IF(
      IFNA(INDEX(dataICM!D:D, MATCH(Caseslist!B363, dataICM!D:D, 0)), "INC") = "INC",
      IFNA(INDEX(dataICM!D:D, MATCH(Caseslist!B363, dataICM!D:D, 0)), "INC"),
      "COMPLETE"
    )
  )</f>
        <v>COMPLETE</v>
      </c>
      <c r="G363" s="10" t="str">
        <f t="array" ref="G363">IF(IFERROR(INDEX(data!L:L,match(Caseslist!B363,data!D:D,0)),"INC")="","COMPLETE",F363)</f>
        <v>COMPLETE</v>
      </c>
      <c r="H363" s="9" t="str">
        <f t="array" ref="H363">IFERROR(INDEX(dataICM!F:F,match(Caseslist!B363,dataICM!D:D,0)), "INC")</f>
        <v>Adrian Montecastro Ferrer</v>
      </c>
      <c r="I363" s="10" t="str">
        <f t="shared" si="2"/>
        <v>O3925718</v>
      </c>
      <c r="J363" s="9" t="str">
        <f t="array" ref="J363">IF(
  AND(
    IFERROR(MATCH(B363, data!D:D, 0), 0) &gt; 0,
    IFERROR(INDEX(data!N:N, MATCH(B363, data!D:D, 0)) = 1, FALSE)
  ),
  INDEX(data!C:C, MATCH(B363, data!D:D, 0)),
  "INC"
)</f>
        <v>2025-09-05T13:48:01.298+08</v>
      </c>
      <c r="K363" s="9" t="str">
        <f t="array" ref="K363">IFERROR(INDEX(dataICM!C:C,match(Caseslist!B363,dataICM!D:D,0)), "INC")</f>
        <v>2025-09-05T13:58:58.554+08</v>
      </c>
      <c r="L363" s="10" t="str">
        <f t="array" ref="L363">IF(AND(G363="COMPLETE", OR(K363="INC", ISBLANK(INDEX(data!O:O, ROW())))), J363, K363)</f>
        <v>2025-09-05T13:58:58.554+08</v>
      </c>
      <c r="M363" s="2">
        <v>45905.0</v>
      </c>
      <c r="N363" s="2">
        <f t="array" ref="N363">IF(M363&lt;&gt;"INC", INDEX(data!M:M, MATCH(B363, data!D:D, 0)), "")</f>
        <v>1</v>
      </c>
      <c r="O363" s="2">
        <f t="shared" si="3"/>
        <v>1</v>
      </c>
    </row>
    <row r="364">
      <c r="A364" s="2" t="str">
        <f t="shared" si="1"/>
        <v>H006213</v>
      </c>
      <c r="B364" s="1" t="s">
        <v>7878</v>
      </c>
      <c r="C364" s="9" t="str">
        <f t="array" ref="C364">IF(
  AND(
    IFERROR(MATCH(Caseslist!B364, data!D:D, 0), 0) &gt; 0,
    IFERROR(INDEX(data!N:N, MATCH(Caseslist!B364, data!D:D, 0)) = 1, FALSE)
  ),
  "COMPLETE",
  "INC"
)</f>
        <v>COMPLETE</v>
      </c>
      <c r="D364" s="9" t="str">
        <f t="array" ref="D364">IFERROR(INDEX(data!$G:$G,match(Caseslist!B364,data!$D:$D,0)), "INC")</f>
        <v>N7814260</v>
      </c>
      <c r="E364" s="9" t="str">
        <f t="array" ref="E364">IFERROR(INDEX(data!H:H,match(Caseslist!B364,data!D:D,0)), "INC")</f>
        <v>Jemma Marie Tillo</v>
      </c>
      <c r="F364" s="10" t="str">
        <f t="array" ref="F364">IF(
    OR(
      IFNA(INDEX(data!M:M, MATCH(Caseslist!B364, data!D:D, 0)), "") = "",
      IFNA(INDEX(data!M:M, MATCH(Caseslist!B364, data!D:D, 0)), 0) = 0
    ),
    "COMPLETE",
    IF(
      IFNA(INDEX(dataICM!D:D, MATCH(Caseslist!B364, dataICM!D:D, 0)), "INC") = "INC",
      IFNA(INDEX(dataICM!D:D, MATCH(Caseslist!B364, dataICM!D:D, 0)), "INC"),
      "COMPLETE"
    )
  )</f>
        <v>COMPLETE</v>
      </c>
      <c r="G364" s="10" t="str">
        <f t="array" ref="G364">IF(IFERROR(INDEX(data!L:L,match(Caseslist!B364,data!D:D,0)),"INC")="","COMPLETE",F364)</f>
        <v>COMPLETE</v>
      </c>
      <c r="H364" s="9" t="str">
        <f t="array" ref="H364">IFERROR(INDEX(dataICM!F:F,match(Caseslist!B364,dataICM!D:D,0)), "INC")</f>
        <v>INC</v>
      </c>
      <c r="I364" s="10" t="str">
        <f t="shared" si="2"/>
        <v>N7814260</v>
      </c>
      <c r="J364" s="9" t="str">
        <f t="array" ref="J364">IF(
  AND(
    IFERROR(MATCH(B364, data!D:D, 0), 0) &gt; 0,
    IFERROR(INDEX(data!N:N, MATCH(B364, data!D:D, 0)) = 1, FALSE)
  ),
  INDEX(data!C:C, MATCH(B364, data!D:D, 0)),
  "INC"
)</f>
        <v>2025-09-22T09:50:36.374+08</v>
      </c>
      <c r="K364" s="9" t="str">
        <f t="array" ref="K364">IFERROR(INDEX(dataICM!C:C,match(Caseslist!B364,dataICM!D:D,0)), "INC")</f>
        <v>INC</v>
      </c>
      <c r="L364" s="10" t="str">
        <f t="array" ref="L364">IF(AND(G364="COMPLETE", OR(K364="INC", ISBLANK(INDEX(data!O:O, ROW())))), J364, K364)</f>
        <v>2025-09-22T09:50:36.374+08</v>
      </c>
      <c r="M364" s="2">
        <v>45922.0</v>
      </c>
      <c r="N364" s="2">
        <f t="array" ref="N364">IF(M364&lt;&gt;"INC", INDEX(data!M:M, MATCH(B364, data!D:D, 0)), "")</f>
        <v>0</v>
      </c>
      <c r="O364" s="2">
        <f t="shared" si="3"/>
        <v>0</v>
      </c>
    </row>
    <row r="365">
      <c r="A365" s="2" t="str">
        <f t="shared" si="1"/>
        <v>H006213</v>
      </c>
      <c r="B365" s="1" t="s">
        <v>7888</v>
      </c>
      <c r="C365" s="9" t="str">
        <f t="array" ref="C365">IF(
  AND(
    IFERROR(MATCH(Caseslist!B365, data!D:D, 0), 0) &gt; 0,
    IFERROR(INDEX(data!N:N, MATCH(Caseslist!B365, data!D:D, 0)) = 1, FALSE)
  ),
  "COMPLETE",
  "INC"
)</f>
        <v>COMPLETE</v>
      </c>
      <c r="D365" s="9" t="str">
        <f t="array" ref="D365">IFERROR(INDEX(data!$G:$G,match(Caseslist!B365,data!$D:$D,0)), "INC")</f>
        <v>N7814260</v>
      </c>
      <c r="E365" s="9" t="str">
        <f t="array" ref="E365">IFERROR(INDEX(data!H:H,match(Caseslist!B365,data!D:D,0)), "INC")</f>
        <v>Jemma Marie Tillo</v>
      </c>
      <c r="F365" s="10" t="str">
        <f t="array" ref="F365">IF(
    OR(
      IFNA(INDEX(data!M:M, MATCH(Caseslist!B365, data!D:D, 0)), "") = "",
      IFNA(INDEX(data!M:M, MATCH(Caseslist!B365, data!D:D, 0)), 0) = 0
    ),
    "COMPLETE",
    IF(
      IFNA(INDEX(dataICM!D:D, MATCH(Caseslist!B365, dataICM!D:D, 0)), "INC") = "INC",
      IFNA(INDEX(dataICM!D:D, MATCH(Caseslist!B365, dataICM!D:D, 0)), "INC"),
      "COMPLETE"
    )
  )</f>
        <v>COMPLETE</v>
      </c>
      <c r="G365" s="10" t="str">
        <f t="array" ref="G365">IF(IFERROR(INDEX(data!L:L,match(Caseslist!B365,data!D:D,0)),"INC")="","COMPLETE",F365)</f>
        <v>COMPLETE</v>
      </c>
      <c r="H365" s="9" t="str">
        <f t="array" ref="H365">IFERROR(INDEX(dataICM!F:F,match(Caseslist!B365,dataICM!D:D,0)), "INC")</f>
        <v>INC</v>
      </c>
      <c r="I365" s="10" t="str">
        <f t="shared" si="2"/>
        <v>N7814260</v>
      </c>
      <c r="J365" s="9" t="str">
        <f t="array" ref="J365">IF(
  AND(
    IFERROR(MATCH(B365, data!D:D, 0), 0) &gt; 0,
    IFERROR(INDEX(data!N:N, MATCH(B365, data!D:D, 0)) = 1, FALSE)
  ),
  INDEX(data!C:C, MATCH(B365, data!D:D, 0)),
  "INC"
)</f>
        <v>2025-09-22T13:25:12.850+08</v>
      </c>
      <c r="K365" s="9" t="str">
        <f t="array" ref="K365">IFERROR(INDEX(dataICM!C:C,match(Caseslist!B365,dataICM!D:D,0)), "INC")</f>
        <v>INC</v>
      </c>
      <c r="L365" s="10" t="str">
        <f t="array" ref="L365">IF(AND(G365="COMPLETE", OR(K365="INC", ISBLANK(INDEX(data!O:O, ROW())))), J365, K365)</f>
        <v>2025-09-22T13:25:12.850+08</v>
      </c>
      <c r="M365" s="2">
        <v>45922.0</v>
      </c>
      <c r="N365" s="2">
        <f t="array" ref="N365">IF(M365&lt;&gt;"INC", INDEX(data!M:M, MATCH(B365, data!D:D, 0)), "")</f>
        <v>0</v>
      </c>
      <c r="O365" s="2">
        <f t="shared" si="3"/>
        <v>0</v>
      </c>
    </row>
    <row r="366">
      <c r="A366" s="2" t="str">
        <f t="shared" si="1"/>
        <v>H006213</v>
      </c>
      <c r="B366" s="1" t="s">
        <v>7933</v>
      </c>
      <c r="C366" s="9" t="str">
        <f t="array" ref="C366">IF(
  AND(
    IFERROR(MATCH(Caseslist!B366, data!D:D, 0), 0) &gt; 0,
    IFERROR(INDEX(data!N:N, MATCH(Caseslist!B366, data!D:D, 0)) = 1, FALSE)
  ),
  "COMPLETE",
  "INC"
)</f>
        <v>COMPLETE</v>
      </c>
      <c r="D366" s="9" t="str">
        <f t="array" ref="D366">IFERROR(INDEX(data!$G:$G,match(Caseslist!B366,data!$D:$D,0)), "INC")</f>
        <v>O3925718</v>
      </c>
      <c r="E366" s="9" t="str">
        <f t="array" ref="E366">IFERROR(INDEX(data!H:H,match(Caseslist!B366,data!D:D,0)), "INC")</f>
        <v>Adrian Montecastro Ferrer</v>
      </c>
      <c r="F366" s="10" t="str">
        <f t="array" ref="F366">IF(
    OR(
      IFNA(INDEX(data!M:M, MATCH(Caseslist!B366, data!D:D, 0)), "") = "",
      IFNA(INDEX(data!M:M, MATCH(Caseslist!B366, data!D:D, 0)), 0) = 0
    ),
    "COMPLETE",
    IF(
      IFNA(INDEX(dataICM!D:D, MATCH(Caseslist!B366, dataICM!D:D, 0)), "INC") = "INC",
      IFNA(INDEX(dataICM!D:D, MATCH(Caseslist!B366, dataICM!D:D, 0)), "INC"),
      "COMPLETE"
    )
  )</f>
        <v>COMPLETE</v>
      </c>
      <c r="G366" s="10" t="str">
        <f t="array" ref="G366">IF(IFERROR(INDEX(data!L:L,match(Caseslist!B366,data!D:D,0)),"INC")="","COMPLETE",F366)</f>
        <v>COMPLETE</v>
      </c>
      <c r="H366" s="9" t="str">
        <f t="array" ref="H366">IFERROR(INDEX(dataICM!F:F,match(Caseslist!B366,dataICM!D:D,0)), "INC")</f>
        <v>INC</v>
      </c>
      <c r="I366" s="10" t="str">
        <f t="shared" si="2"/>
        <v>O3925718</v>
      </c>
      <c r="J366" s="9" t="str">
        <f t="array" ref="J366">IF(
  AND(
    IFERROR(MATCH(B366, data!D:D, 0), 0) &gt; 0,
    IFERROR(INDEX(data!N:N, MATCH(B366, data!D:D, 0)) = 1, FALSE)
  ),
  INDEX(data!C:C, MATCH(B366, data!D:D, 0)),
  "INC"
)</f>
        <v>2025-09-22T12:10:18.919+08</v>
      </c>
      <c r="K366" s="9" t="str">
        <f t="array" ref="K366">IFERROR(INDEX(dataICM!C:C,match(Caseslist!B366,dataICM!D:D,0)), "INC")</f>
        <v>INC</v>
      </c>
      <c r="L366" s="10" t="str">
        <f t="array" ref="L366">IF(AND(G366="COMPLETE", OR(K366="INC", ISBLANK(INDEX(data!O:O, ROW())))), J366, K366)</f>
        <v>2025-09-22T12:10:18.919+08</v>
      </c>
      <c r="M366" s="2">
        <v>45922.0</v>
      </c>
      <c r="N366" s="2">
        <f t="array" ref="N366">IF(M366&lt;&gt;"INC", INDEX(data!M:M, MATCH(B366, data!D:D, 0)), "")</f>
        <v>0</v>
      </c>
      <c r="O366" s="2">
        <f t="shared" si="3"/>
        <v>0</v>
      </c>
    </row>
    <row r="367">
      <c r="A367" s="2" t="str">
        <f t="shared" si="1"/>
        <v>H006213</v>
      </c>
      <c r="B367" s="1" t="s">
        <v>7998</v>
      </c>
      <c r="C367" s="9" t="str">
        <f t="array" ref="C367">IF(
  AND(
    IFERROR(MATCH(Caseslist!B367, data!D:D, 0), 0) &gt; 0,
    IFERROR(INDEX(data!N:N, MATCH(Caseslist!B367, data!D:D, 0)) = 1, FALSE)
  ),
  "COMPLETE",
  "INC"
)</f>
        <v>COMPLETE</v>
      </c>
      <c r="D367" s="9" t="str">
        <f t="array" ref="D367">IFERROR(INDEX(data!$G:$G,match(Caseslist!B367,data!$D:$D,0)), "INC")</f>
        <v>P1068432</v>
      </c>
      <c r="E367" s="9" t="str">
        <f t="array" ref="E367">IFERROR(INDEX(data!H:H,match(Caseslist!B367,data!D:D,0)), "INC")</f>
        <v>Mark Daniel Balagao Benson</v>
      </c>
      <c r="F367" s="10" t="str">
        <f t="array" ref="F367">IF(
    OR(
      IFNA(INDEX(data!M:M, MATCH(Caseslist!B367, data!D:D, 0)), "") = "",
      IFNA(INDEX(data!M:M, MATCH(Caseslist!B367, data!D:D, 0)), 0) = 0
    ),
    "COMPLETE",
    IF(
      IFNA(INDEX(dataICM!D:D, MATCH(Caseslist!B367, dataICM!D:D, 0)), "INC") = "INC",
      IFNA(INDEX(dataICM!D:D, MATCH(Caseslist!B367, dataICM!D:D, 0)), "INC"),
      "COMPLETE"
    )
  )</f>
        <v>COMPLETE</v>
      </c>
      <c r="G367" s="10" t="str">
        <f t="array" ref="G367">IF(IFERROR(INDEX(data!L:L,match(Caseslist!B367,data!D:D,0)),"INC")="","COMPLETE",F367)</f>
        <v>COMPLETE</v>
      </c>
      <c r="H367" s="9" t="str">
        <f t="array" ref="H367">IFERROR(INDEX(dataICM!F:F,match(Caseslist!B367,dataICM!D:D,0)), "INC")</f>
        <v>INC</v>
      </c>
      <c r="I367" s="10" t="str">
        <f t="shared" si="2"/>
        <v>P1068432</v>
      </c>
      <c r="J367" s="9" t="str">
        <f t="array" ref="J367">IF(
  AND(
    IFERROR(MATCH(B367, data!D:D, 0), 0) &gt; 0,
    IFERROR(INDEX(data!N:N, MATCH(B367, data!D:D, 0)) = 1, FALSE)
  ),
  INDEX(data!C:C, MATCH(B367, data!D:D, 0)),
  "INC"
)</f>
        <v>2025-09-22T16:04:53.563+08</v>
      </c>
      <c r="K367" s="9" t="str">
        <f t="array" ref="K367">IFERROR(INDEX(dataICM!C:C,match(Caseslist!B367,dataICM!D:D,0)), "INC")</f>
        <v>INC</v>
      </c>
      <c r="L367" s="10" t="str">
        <f t="array" ref="L367">IF(AND(G367="COMPLETE", OR(K367="INC", ISBLANK(INDEX(data!O:O, ROW())))), J367, K367)</f>
        <v>2025-09-22T16:04:53.563+08</v>
      </c>
      <c r="M367" s="2">
        <v>45922.0</v>
      </c>
      <c r="N367" s="2">
        <f t="array" ref="N367">IF(M367&lt;&gt;"INC", INDEX(data!M:M, MATCH(B367, data!D:D, 0)), "")</f>
        <v>0</v>
      </c>
      <c r="O367" s="2">
        <f t="shared" si="3"/>
        <v>0</v>
      </c>
    </row>
    <row r="368">
      <c r="A368" s="2" t="str">
        <f t="shared" si="1"/>
        <v>H006213</v>
      </c>
      <c r="B368" s="1" t="s">
        <v>7973</v>
      </c>
      <c r="C368" s="9" t="str">
        <f t="array" ref="C368">IF(
  AND(
    IFERROR(MATCH(Caseslist!B368, data!D:D, 0), 0) &gt; 0,
    IFERROR(INDEX(data!N:N, MATCH(Caseslist!B368, data!D:D, 0)) = 1, FALSE)
  ),
  "COMPLETE",
  "INC"
)</f>
        <v>COMPLETE</v>
      </c>
      <c r="D368" s="9" t="str">
        <f t="array" ref="D368">IFERROR(INDEX(data!$G:$G,match(Caseslist!B368,data!$D:$D,0)), "INC")</f>
        <v>P1068432</v>
      </c>
      <c r="E368" s="9" t="str">
        <f t="array" ref="E368">IFERROR(INDEX(data!H:H,match(Caseslist!B368,data!D:D,0)), "INC")</f>
        <v>Mark Daniel Balagao Benson</v>
      </c>
      <c r="F368" s="10" t="str">
        <f t="array" ref="F368">IF(
    OR(
      IFNA(INDEX(data!M:M, MATCH(Caseslist!B368, data!D:D, 0)), "") = "",
      IFNA(INDEX(data!M:M, MATCH(Caseslist!B368, data!D:D, 0)), 0) = 0
    ),
    "COMPLETE",
    IF(
      IFNA(INDEX(dataICM!D:D, MATCH(Caseslist!B368, dataICM!D:D, 0)), "INC") = "INC",
      IFNA(INDEX(dataICM!D:D, MATCH(Caseslist!B368, dataICM!D:D, 0)), "INC"),
      "COMPLETE"
    )
  )</f>
        <v>COMPLETE</v>
      </c>
      <c r="G368" s="10" t="str">
        <f t="array" ref="G368">IF(IFERROR(INDEX(data!L:L,match(Caseslist!B368,data!D:D,0)),"INC")="","COMPLETE",F368)</f>
        <v>COMPLETE</v>
      </c>
      <c r="H368" s="9" t="str">
        <f t="array" ref="H368">IFERROR(INDEX(dataICM!F:F,match(Caseslist!B368,dataICM!D:D,0)), "INC")</f>
        <v>INC</v>
      </c>
      <c r="I368" s="10" t="str">
        <f t="shared" si="2"/>
        <v>P1068432</v>
      </c>
      <c r="J368" s="9" t="str">
        <f t="array" ref="J368">IF(
  AND(
    IFERROR(MATCH(B368, data!D:D, 0), 0) &gt; 0,
    IFERROR(INDEX(data!N:N, MATCH(B368, data!D:D, 0)) = 1, FALSE)
  ),
  INDEX(data!C:C, MATCH(B368, data!D:D, 0)),
  "INC"
)</f>
        <v>2025-09-22T10:06:57.117+08</v>
      </c>
      <c r="K368" s="9" t="str">
        <f t="array" ref="K368">IFERROR(INDEX(dataICM!C:C,match(Caseslist!B368,dataICM!D:D,0)), "INC")</f>
        <v>INC</v>
      </c>
      <c r="L368" s="10" t="str">
        <f t="array" ref="L368">IF(AND(G368="COMPLETE", OR(K368="INC", ISBLANK(INDEX(data!O:O, ROW())))), J368, K368)</f>
        <v>2025-09-22T10:06:57.117+08</v>
      </c>
      <c r="M368" s="2">
        <v>45922.0</v>
      </c>
      <c r="N368" s="2">
        <f t="array" ref="N368">IF(M368&lt;&gt;"INC", INDEX(data!M:M, MATCH(B368, data!D:D, 0)), "")</f>
        <v>0</v>
      </c>
      <c r="O368" s="2">
        <f t="shared" si="3"/>
        <v>0</v>
      </c>
    </row>
    <row r="369">
      <c r="A369" s="2" t="str">
        <f t="shared" si="1"/>
        <v>H006213</v>
      </c>
      <c r="B369" s="1" t="s">
        <v>7978</v>
      </c>
      <c r="C369" s="9" t="str">
        <f t="array" ref="C369">IF(
  AND(
    IFERROR(MATCH(Caseslist!B369, data!D:D, 0), 0) &gt; 0,
    IFERROR(INDEX(data!N:N, MATCH(Caseslist!B369, data!D:D, 0)) = 1, FALSE)
  ),
  "COMPLETE",
  "INC"
)</f>
        <v>COMPLETE</v>
      </c>
      <c r="D369" s="9" t="str">
        <f t="array" ref="D369">IFERROR(INDEX(data!$G:$G,match(Caseslist!B369,data!$D:$D,0)), "INC")</f>
        <v>P1068432</v>
      </c>
      <c r="E369" s="9" t="str">
        <f t="array" ref="E369">IFERROR(INDEX(data!H:H,match(Caseslist!B369,data!D:D,0)), "INC")</f>
        <v>Mark Daniel Balagao Benson</v>
      </c>
      <c r="F369" s="10" t="str">
        <f t="array" ref="F369">IF(
    OR(
      IFNA(INDEX(data!M:M, MATCH(Caseslist!B369, data!D:D, 0)), "") = "",
      IFNA(INDEX(data!M:M, MATCH(Caseslist!B369, data!D:D, 0)), 0) = 0
    ),
    "COMPLETE",
    IF(
      IFNA(INDEX(dataICM!D:D, MATCH(Caseslist!B369, dataICM!D:D, 0)), "INC") = "INC",
      IFNA(INDEX(dataICM!D:D, MATCH(Caseslist!B369, dataICM!D:D, 0)), "INC"),
      "COMPLETE"
    )
  )</f>
        <v>COMPLETE</v>
      </c>
      <c r="G369" s="10" t="str">
        <f t="array" ref="G369">IF(IFERROR(INDEX(data!L:L,match(Caseslist!B369,data!D:D,0)),"INC")="","COMPLETE",F369)</f>
        <v>COMPLETE</v>
      </c>
      <c r="H369" s="9" t="str">
        <f t="array" ref="H369">IFERROR(INDEX(dataICM!F:F,match(Caseslist!B369,dataICM!D:D,0)), "INC")</f>
        <v>INC</v>
      </c>
      <c r="I369" s="10" t="str">
        <f t="shared" si="2"/>
        <v>P1068432</v>
      </c>
      <c r="J369" s="9" t="str">
        <f t="array" ref="J369">IF(
  AND(
    IFERROR(MATCH(B369, data!D:D, 0), 0) &gt; 0,
    IFERROR(INDEX(data!N:N, MATCH(B369, data!D:D, 0)) = 1, FALSE)
  ),
  INDEX(data!C:C, MATCH(B369, data!D:D, 0)),
  "INC"
)</f>
        <v>2025-09-22T11:59:18.324+08</v>
      </c>
      <c r="K369" s="9" t="str">
        <f t="array" ref="K369">IFERROR(INDEX(dataICM!C:C,match(Caseslist!B369,dataICM!D:D,0)), "INC")</f>
        <v>INC</v>
      </c>
      <c r="L369" s="10" t="str">
        <f t="array" ref="L369">IF(AND(G369="COMPLETE", OR(K369="INC", ISBLANK(INDEX(data!O:O, ROW())))), J369, K369)</f>
        <v>2025-09-22T11:59:18.324+08</v>
      </c>
      <c r="M369" s="2">
        <v>45922.0</v>
      </c>
      <c r="N369" s="2">
        <f t="array" ref="N369">IF(M369&lt;&gt;"INC", INDEX(data!M:M, MATCH(B369, data!D:D, 0)), "")</f>
        <v>0</v>
      </c>
      <c r="O369" s="2">
        <f t="shared" si="3"/>
        <v>0</v>
      </c>
    </row>
    <row r="370">
      <c r="A370" s="2" t="str">
        <f t="shared" si="1"/>
        <v>H006213</v>
      </c>
      <c r="B370" s="1" t="s">
        <v>8353</v>
      </c>
      <c r="C370" s="9" t="str">
        <f t="array" ref="C370">IF(
  AND(
    IFERROR(MATCH(Caseslist!B370, data!D:D, 0), 0) &gt; 0,
    IFERROR(INDEX(data!N:N, MATCH(Caseslist!B370, data!D:D, 0)) = 1, FALSE)
  ),
  "COMPLETE",
  "INC"
)</f>
        <v>COMPLETE</v>
      </c>
      <c r="D370" s="9" t="str">
        <f t="array" ref="D370">IFERROR(INDEX(data!$G:$G,match(Caseslist!B370,data!$D:$D,0)), "INC")</f>
        <v>P1068432</v>
      </c>
      <c r="E370" s="9" t="str">
        <f t="array" ref="E370">IFERROR(INDEX(data!H:H,match(Caseslist!B370,data!D:D,0)), "INC")</f>
        <v>Mark Daniel Balagao Benson</v>
      </c>
      <c r="F370" s="10" t="str">
        <f t="array" ref="F370">IF(
    OR(
      IFNA(INDEX(data!M:M, MATCH(Caseslist!B370, data!D:D, 0)), "") = "",
      IFNA(INDEX(data!M:M, MATCH(Caseslist!B370, data!D:D, 0)), 0) = 0
    ),
    "COMPLETE",
    IF(
      IFNA(INDEX(dataICM!D:D, MATCH(Caseslist!B370, dataICM!D:D, 0)), "INC") = "INC",
      IFNA(INDEX(dataICM!D:D, MATCH(Caseslist!B370, dataICM!D:D, 0)), "INC"),
      "COMPLETE"
    )
  )</f>
        <v>COMPLETE</v>
      </c>
      <c r="G370" s="10" t="str">
        <f t="array" ref="G370">IF(IFERROR(INDEX(data!L:L,match(Caseslist!B370,data!D:D,0)),"INC")="","COMPLETE",F370)</f>
        <v>COMPLETE</v>
      </c>
      <c r="H370" s="9" t="str">
        <f t="array" ref="H370">IFERROR(INDEX(dataICM!F:F,match(Caseslist!B370,dataICM!D:D,0)), "INC")</f>
        <v>INC</v>
      </c>
      <c r="I370" s="10" t="str">
        <f t="shared" si="2"/>
        <v>P1068432</v>
      </c>
      <c r="J370" s="9" t="str">
        <f t="array" ref="J370">IF(
  AND(
    IFERROR(MATCH(B370, data!D:D, 0), 0) &gt; 0,
    IFERROR(INDEX(data!N:N, MATCH(B370, data!D:D, 0)) = 1, FALSE)
  ),
  INDEX(data!C:C, MATCH(B370, data!D:D, 0)),
  "INC"
)</f>
        <v>2025-09-23T10:45:29.095+08</v>
      </c>
      <c r="K370" s="9" t="str">
        <f t="array" ref="K370">IFERROR(INDEX(dataICM!C:C,match(Caseslist!B370,dataICM!D:D,0)), "INC")</f>
        <v>INC</v>
      </c>
      <c r="L370" s="10" t="str">
        <f t="array" ref="L370">IF(AND(G370="COMPLETE", OR(K370="INC", ISBLANK(INDEX(data!O:O, ROW())))), J370, K370)</f>
        <v>2025-09-23T10:45:29.095+08</v>
      </c>
      <c r="M370" s="2">
        <v>45923.0</v>
      </c>
      <c r="N370" s="2">
        <f t="array" ref="N370">IF(M370&lt;&gt;"INC", INDEX(data!M:M, MATCH(B370, data!D:D, 0)), "")</f>
        <v>0</v>
      </c>
      <c r="O370" s="2">
        <f t="shared" si="3"/>
        <v>0</v>
      </c>
    </row>
    <row r="371">
      <c r="A371" s="2" t="str">
        <f t="shared" si="1"/>
        <v>H006213</v>
      </c>
      <c r="B371" s="1" t="s">
        <v>8363</v>
      </c>
      <c r="C371" s="9" t="str">
        <f t="array" ref="C371">IF(
  AND(
    IFERROR(MATCH(Caseslist!B371, data!D:D, 0), 0) &gt; 0,
    IFERROR(INDEX(data!N:N, MATCH(Caseslist!B371, data!D:D, 0)) = 1, FALSE)
  ),
  "COMPLETE",
  "INC"
)</f>
        <v>COMPLETE</v>
      </c>
      <c r="D371" s="9" t="str">
        <f t="array" ref="D371">IFERROR(INDEX(data!$G:$G,match(Caseslist!B371,data!$D:$D,0)), "INC")</f>
        <v>O3925718</v>
      </c>
      <c r="E371" s="9" t="str">
        <f t="array" ref="E371">IFERROR(INDEX(data!H:H,match(Caseslist!B371,data!D:D,0)), "INC")</f>
        <v>Adrian Montecastro Ferrer</v>
      </c>
      <c r="F371" s="10" t="str">
        <f t="array" ref="F371">IF(
    OR(
      IFNA(INDEX(data!M:M, MATCH(Caseslist!B371, data!D:D, 0)), "") = "",
      IFNA(INDEX(data!M:M, MATCH(Caseslist!B371, data!D:D, 0)), 0) = 0
    ),
    "COMPLETE",
    IF(
      IFNA(INDEX(dataICM!D:D, MATCH(Caseslist!B371, dataICM!D:D, 0)), "INC") = "INC",
      IFNA(INDEX(dataICM!D:D, MATCH(Caseslist!B371, dataICM!D:D, 0)), "INC"),
      "COMPLETE"
    )
  )</f>
        <v>COMPLETE</v>
      </c>
      <c r="G371" s="10" t="str">
        <f t="array" ref="G371">IF(IFERROR(INDEX(data!L:L,match(Caseslist!B371,data!D:D,0)),"INC")="","COMPLETE",F371)</f>
        <v>COMPLETE</v>
      </c>
      <c r="H371" s="9" t="str">
        <f t="array" ref="H371">IFERROR(INDEX(dataICM!F:F,match(Caseslist!B371,dataICM!D:D,0)), "INC")</f>
        <v>INC</v>
      </c>
      <c r="I371" s="10" t="str">
        <f t="shared" si="2"/>
        <v>O3925718</v>
      </c>
      <c r="J371" s="9" t="str">
        <f t="array" ref="J371">IF(
  AND(
    IFERROR(MATCH(B371, data!D:D, 0), 0) &gt; 0,
    IFERROR(INDEX(data!N:N, MATCH(B371, data!D:D, 0)) = 1, FALSE)
  ),
  INDEX(data!C:C, MATCH(B371, data!D:D, 0)),
  "INC"
)</f>
        <v>2025-09-23T09:11:04.052+08</v>
      </c>
      <c r="K371" s="9" t="str">
        <f t="array" ref="K371">IFERROR(INDEX(dataICM!C:C,match(Caseslist!B371,dataICM!D:D,0)), "INC")</f>
        <v>INC</v>
      </c>
      <c r="L371" s="10" t="str">
        <f t="array" ref="L371">IF(AND(G371="COMPLETE", OR(K371="INC", ISBLANK(INDEX(data!O:O, ROW())))), J371, K371)</f>
        <v>2025-09-23T09:11:04.052+08</v>
      </c>
      <c r="M371" s="2">
        <v>45923.0</v>
      </c>
      <c r="N371" s="2">
        <f t="array" ref="N371">IF(M371&lt;&gt;"INC", INDEX(data!M:M, MATCH(B371, data!D:D, 0)), "")</f>
        <v>0</v>
      </c>
      <c r="O371" s="2">
        <f t="shared" si="3"/>
        <v>0</v>
      </c>
    </row>
    <row r="372">
      <c r="A372" s="2" t="str">
        <f t="shared" si="1"/>
        <v>H006213</v>
      </c>
      <c r="B372" s="1" t="s">
        <v>8358</v>
      </c>
      <c r="C372" s="9" t="str">
        <f t="array" ref="C372">IF(
  AND(
    IFERROR(MATCH(Caseslist!B372, data!D:D, 0), 0) &gt; 0,
    IFERROR(INDEX(data!N:N, MATCH(Caseslist!B372, data!D:D, 0)) = 1, FALSE)
  ),
  "COMPLETE",
  "INC"
)</f>
        <v>COMPLETE</v>
      </c>
      <c r="D372" s="9" t="str">
        <f t="array" ref="D372">IFERROR(INDEX(data!$G:$G,match(Caseslist!B372,data!$D:$D,0)), "INC")</f>
        <v>O3925718</v>
      </c>
      <c r="E372" s="9" t="str">
        <f t="array" ref="E372">IFERROR(INDEX(data!H:H,match(Caseslist!B372,data!D:D,0)), "INC")</f>
        <v>Adrian Montecastro Ferrer</v>
      </c>
      <c r="F372" s="10" t="str">
        <f t="array" ref="F372">IF(
    OR(
      IFNA(INDEX(data!M:M, MATCH(Caseslist!B372, data!D:D, 0)), "") = "",
      IFNA(INDEX(data!M:M, MATCH(Caseslist!B372, data!D:D, 0)), 0) = 0
    ),
    "COMPLETE",
    IF(
      IFNA(INDEX(dataICM!D:D, MATCH(Caseslist!B372, dataICM!D:D, 0)), "INC") = "INC",
      IFNA(INDEX(dataICM!D:D, MATCH(Caseslist!B372, dataICM!D:D, 0)), "INC"),
      "COMPLETE"
    )
  )</f>
        <v>COMPLETE</v>
      </c>
      <c r="G372" s="10" t="str">
        <f t="array" ref="G372">IF(IFERROR(INDEX(data!L:L,match(Caseslist!B372,data!D:D,0)),"INC")="","COMPLETE",F372)</f>
        <v>COMPLETE</v>
      </c>
      <c r="H372" s="9" t="str">
        <f t="array" ref="H372">IFERROR(INDEX(dataICM!F:F,match(Caseslist!B372,dataICM!D:D,0)), "INC")</f>
        <v>INC</v>
      </c>
      <c r="I372" s="10" t="str">
        <f t="shared" si="2"/>
        <v>O3925718</v>
      </c>
      <c r="J372" s="9" t="str">
        <f t="array" ref="J372">IF(
  AND(
    IFERROR(MATCH(B372, data!D:D, 0), 0) &gt; 0,
    IFERROR(INDEX(data!N:N, MATCH(B372, data!D:D, 0)) = 1, FALSE)
  ),
  INDEX(data!C:C, MATCH(B372, data!D:D, 0)),
  "INC"
)</f>
        <v>2025-09-23T08:04:52.976+08</v>
      </c>
      <c r="K372" s="9" t="str">
        <f t="array" ref="K372">IFERROR(INDEX(dataICM!C:C,match(Caseslist!B372,dataICM!D:D,0)), "INC")</f>
        <v>INC</v>
      </c>
      <c r="L372" s="10" t="str">
        <f t="array" ref="L372">IF(AND(G372="COMPLETE", OR(K372="INC", ISBLANK(INDEX(data!O:O, ROW())))), J372, K372)</f>
        <v>2025-09-23T08:04:52.976+08</v>
      </c>
      <c r="M372" s="2">
        <v>45923.0</v>
      </c>
      <c r="N372" s="2">
        <f t="array" ref="N372">IF(M372&lt;&gt;"INC", INDEX(data!M:M, MATCH(B372, data!D:D, 0)), "")</f>
        <v>0</v>
      </c>
      <c r="O372" s="2">
        <f t="shared" si="3"/>
        <v>0</v>
      </c>
    </row>
    <row r="373">
      <c r="A373" s="2" t="str">
        <f t="shared" si="1"/>
        <v>H006213</v>
      </c>
      <c r="B373" s="1" t="s">
        <v>7873</v>
      </c>
      <c r="C373" s="9" t="str">
        <f t="array" ref="C373">IF(
  AND(
    IFERROR(MATCH(Caseslist!B373, data!D:D, 0), 0) &gt; 0,
    IFERROR(INDEX(data!N:N, MATCH(Caseslist!B373, data!D:D, 0)) = 1, FALSE)
  ),
  "COMPLETE",
  "INC"
)</f>
        <v>COMPLETE</v>
      </c>
      <c r="D373" s="9" t="str">
        <f t="array" ref="D373">IFERROR(INDEX(data!$G:$G,match(Caseslist!B373,data!$D:$D,0)), "INC")</f>
        <v>P1068432</v>
      </c>
      <c r="E373" s="9" t="str">
        <f t="array" ref="E373">IFERROR(INDEX(data!H:H,match(Caseslist!B373,data!D:D,0)), "INC")</f>
        <v>Mark Daniel Balagao Benson</v>
      </c>
      <c r="F373" s="10" t="str">
        <f t="array" ref="F373">IF(
    OR(
      IFNA(INDEX(data!M:M, MATCH(Caseslist!B373, data!D:D, 0)), "") = "",
      IFNA(INDEX(data!M:M, MATCH(Caseslist!B373, data!D:D, 0)), 0) = 0
    ),
    "COMPLETE",
    IF(
      IFNA(INDEX(dataICM!D:D, MATCH(Caseslist!B373, dataICM!D:D, 0)), "INC") = "INC",
      IFNA(INDEX(dataICM!D:D, MATCH(Caseslist!B373, dataICM!D:D, 0)), "INC"),
      "COMPLETE"
    )
  )</f>
        <v>COMPLETE</v>
      </c>
      <c r="G373" s="10" t="str">
        <f t="array" ref="G373">IF(IFERROR(INDEX(data!L:L,match(Caseslist!B373,data!D:D,0)),"INC")="","COMPLETE",F373)</f>
        <v>COMPLETE</v>
      </c>
      <c r="H373" s="9" t="str">
        <f t="array" ref="H373">IFERROR(INDEX(dataICM!F:F,match(Caseslist!B373,dataICM!D:D,0)), "INC")</f>
        <v>INC</v>
      </c>
      <c r="I373" s="10" t="str">
        <f t="shared" si="2"/>
        <v>P1068432</v>
      </c>
      <c r="J373" s="9" t="str">
        <f t="array" ref="J373">IF(
  AND(
    IFERROR(MATCH(B373, data!D:D, 0), 0) &gt; 0,
    IFERROR(INDEX(data!N:N, MATCH(B373, data!D:D, 0)) = 1, FALSE)
  ),
  INDEX(data!C:C, MATCH(B373, data!D:D, 0)),
  "INC"
)</f>
        <v>2025-09-23T08:25:29.576+08</v>
      </c>
      <c r="K373" s="9" t="str">
        <f t="array" ref="K373">IFERROR(INDEX(dataICM!C:C,match(Caseslist!B373,dataICM!D:D,0)), "INC")</f>
        <v>INC</v>
      </c>
      <c r="L373" s="10" t="str">
        <f t="array" ref="L373">IF(AND(G373="COMPLETE", OR(K373="INC", ISBLANK(INDEX(data!O:O, ROW())))), J373, K373)</f>
        <v>2025-09-23T08:25:29.576+08</v>
      </c>
      <c r="M373" s="2">
        <v>45923.0</v>
      </c>
      <c r="N373" s="2">
        <f t="array" ref="N373">IF(M373&lt;&gt;"INC", INDEX(data!M:M, MATCH(B373, data!D:D, 0)), "")</f>
        <v>0</v>
      </c>
      <c r="O373" s="2">
        <f t="shared" si="3"/>
        <v>0</v>
      </c>
    </row>
    <row r="374">
      <c r="A374" s="2" t="str">
        <f t="shared" si="1"/>
        <v>H006213</v>
      </c>
      <c r="B374" s="1" t="s">
        <v>7993</v>
      </c>
      <c r="C374" s="9" t="str">
        <f t="array" ref="C374">IF(
  AND(
    IFERROR(MATCH(Caseslist!B374, data!D:D, 0), 0) &gt; 0,
    IFERROR(INDEX(data!N:N, MATCH(Caseslist!B374, data!D:D, 0)) = 1, FALSE)
  ),
  "COMPLETE",
  "INC"
)</f>
        <v>COMPLETE</v>
      </c>
      <c r="D374" s="9" t="str">
        <f t="array" ref="D374">IFERROR(INDEX(data!$G:$G,match(Caseslist!B374,data!$D:$D,0)), "INC")</f>
        <v>P1068432</v>
      </c>
      <c r="E374" s="9" t="str">
        <f t="array" ref="E374">IFERROR(INDEX(data!H:H,match(Caseslist!B374,data!D:D,0)), "INC")</f>
        <v>Mark Daniel Balagao Benson</v>
      </c>
      <c r="F374" s="10" t="str">
        <f t="array" ref="F374">IF(
    OR(
      IFNA(INDEX(data!M:M, MATCH(Caseslist!B374, data!D:D, 0)), "") = "",
      IFNA(INDEX(data!M:M, MATCH(Caseslist!B374, data!D:D, 0)), 0) = 0
    ),
    "COMPLETE",
    IF(
      IFNA(INDEX(dataICM!D:D, MATCH(Caseslist!B374, dataICM!D:D, 0)), "INC") = "INC",
      IFNA(INDEX(dataICM!D:D, MATCH(Caseslist!B374, dataICM!D:D, 0)), "INC"),
      "COMPLETE"
    )
  )</f>
        <v>COMPLETE</v>
      </c>
      <c r="G374" s="10" t="str">
        <f t="array" ref="G374">IF(IFERROR(INDEX(data!L:L,match(Caseslist!B374,data!D:D,0)),"INC")="","COMPLETE",F374)</f>
        <v>COMPLETE</v>
      </c>
      <c r="H374" s="9" t="str">
        <f t="array" ref="H374">IFERROR(INDEX(dataICM!F:F,match(Caseslist!B374,dataICM!D:D,0)), "INC")</f>
        <v>INC</v>
      </c>
      <c r="I374" s="10" t="str">
        <f t="shared" si="2"/>
        <v>P1068432</v>
      </c>
      <c r="J374" s="9" t="str">
        <f t="array" ref="J374">IF(
  AND(
    IFERROR(MATCH(B374, data!D:D, 0), 0) &gt; 0,
    IFERROR(INDEX(data!N:N, MATCH(B374, data!D:D, 0)) = 1, FALSE)
  ),
  INDEX(data!C:C, MATCH(B374, data!D:D, 0)),
  "INC"
)</f>
        <v>2025-09-22T13:34:56.617+08</v>
      </c>
      <c r="K374" s="9" t="str">
        <f t="array" ref="K374">IFERROR(INDEX(dataICM!C:C,match(Caseslist!B374,dataICM!D:D,0)), "INC")</f>
        <v>INC</v>
      </c>
      <c r="L374" s="10" t="str">
        <f t="array" ref="L374">IF(AND(G374="COMPLETE", OR(K374="INC", ISBLANK(INDEX(data!O:O, ROW())))), J374, K374)</f>
        <v>2025-09-22T13:34:56.617+08</v>
      </c>
      <c r="M374" s="2">
        <v>45922.0</v>
      </c>
      <c r="N374" s="2">
        <f t="array" ref="N374">IF(M374&lt;&gt;"INC", INDEX(data!M:M, MATCH(B374, data!D:D, 0)), "")</f>
        <v>0</v>
      </c>
      <c r="O374" s="2">
        <f t="shared" si="3"/>
        <v>0</v>
      </c>
    </row>
    <row r="375">
      <c r="A375" s="2" t="str">
        <f t="shared" si="1"/>
        <v>H006213</v>
      </c>
      <c r="B375" s="1" t="s">
        <v>7938</v>
      </c>
      <c r="C375" s="9" t="str">
        <f t="array" ref="C375">IF(
  AND(
    IFERROR(MATCH(Caseslist!B375, data!D:D, 0), 0) &gt; 0,
    IFERROR(INDEX(data!N:N, MATCH(Caseslist!B375, data!D:D, 0)) = 1, FALSE)
  ),
  "COMPLETE",
  "INC"
)</f>
        <v>COMPLETE</v>
      </c>
      <c r="D375" s="9" t="str">
        <f t="array" ref="D375">IFERROR(INDEX(data!$G:$G,match(Caseslist!B375,data!$D:$D,0)), "INC")</f>
        <v>O3925718</v>
      </c>
      <c r="E375" s="9" t="str">
        <f t="array" ref="E375">IFERROR(INDEX(data!H:H,match(Caseslist!B375,data!D:D,0)), "INC")</f>
        <v>Adrian Montecastro Ferrer</v>
      </c>
      <c r="F375" s="10" t="str">
        <f t="array" ref="F375">IF(
    OR(
      IFNA(INDEX(data!M:M, MATCH(Caseslist!B375, data!D:D, 0)), "") = "",
      IFNA(INDEX(data!M:M, MATCH(Caseslist!B375, data!D:D, 0)), 0) = 0
    ),
    "COMPLETE",
    IF(
      IFNA(INDEX(dataICM!D:D, MATCH(Caseslist!B375, dataICM!D:D, 0)), "INC") = "INC",
      IFNA(INDEX(dataICM!D:D, MATCH(Caseslist!B375, dataICM!D:D, 0)), "INC"),
      "COMPLETE"
    )
  )</f>
        <v>COMPLETE</v>
      </c>
      <c r="G375" s="10" t="str">
        <f t="array" ref="G375">IF(IFERROR(INDEX(data!L:L,match(Caseslist!B375,data!D:D,0)),"INC")="","COMPLETE",F375)</f>
        <v>COMPLETE</v>
      </c>
      <c r="H375" s="9" t="str">
        <f t="array" ref="H375">IFERROR(INDEX(dataICM!F:F,match(Caseslist!B375,dataICM!D:D,0)), "INC")</f>
        <v>INC</v>
      </c>
      <c r="I375" s="10" t="str">
        <f t="shared" si="2"/>
        <v>O3925718</v>
      </c>
      <c r="J375" s="9" t="str">
        <f t="array" ref="J375">IF(
  AND(
    IFERROR(MATCH(B375, data!D:D, 0), 0) &gt; 0,
    IFERROR(INDEX(data!N:N, MATCH(B375, data!D:D, 0)) = 1, FALSE)
  ),
  INDEX(data!C:C, MATCH(B375, data!D:D, 0)),
  "INC"
)</f>
        <v>2025-09-22T10:50:30.672+08</v>
      </c>
      <c r="K375" s="9" t="str">
        <f t="array" ref="K375">IFERROR(INDEX(dataICM!C:C,match(Caseslist!B375,dataICM!D:D,0)), "INC")</f>
        <v>INC</v>
      </c>
      <c r="L375" s="10" t="str">
        <f t="array" ref="L375">IF(AND(G375="COMPLETE", OR(K375="INC", ISBLANK(INDEX(data!O:O, ROW())))), J375, K375)</f>
        <v>2025-09-22T10:50:30.672+08</v>
      </c>
      <c r="M375" s="2">
        <v>45922.0</v>
      </c>
      <c r="N375" s="2">
        <f t="array" ref="N375">IF(M375&lt;&gt;"INC", INDEX(data!M:M, MATCH(B375, data!D:D, 0)), "")</f>
        <v>0</v>
      </c>
      <c r="O375" s="2">
        <f t="shared" si="3"/>
        <v>0</v>
      </c>
    </row>
    <row r="376">
      <c r="A376" s="2" t="str">
        <f t="shared" si="1"/>
        <v>H006213</v>
      </c>
      <c r="B376" s="1" t="s">
        <v>7883</v>
      </c>
      <c r="C376" s="9" t="str">
        <f t="array" ref="C376">IF(
  AND(
    IFERROR(MATCH(Caseslist!B376, data!D:D, 0), 0) &gt; 0,
    IFERROR(INDEX(data!N:N, MATCH(Caseslist!B376, data!D:D, 0)) = 1, FALSE)
  ),
  "COMPLETE",
  "INC"
)</f>
        <v>COMPLETE</v>
      </c>
      <c r="D376" s="9" t="str">
        <f t="array" ref="D376">IFERROR(INDEX(data!$G:$G,match(Caseslist!B376,data!$D:$D,0)), "INC")</f>
        <v>N7814260</v>
      </c>
      <c r="E376" s="9" t="str">
        <f t="array" ref="E376">IFERROR(INDEX(data!H:H,match(Caseslist!B376,data!D:D,0)), "INC")</f>
        <v>Jemma Marie Tillo</v>
      </c>
      <c r="F376" s="10" t="str">
        <f t="array" ref="F376">IF(
    OR(
      IFNA(INDEX(data!M:M, MATCH(Caseslist!B376, data!D:D, 0)), "") = "",
      IFNA(INDEX(data!M:M, MATCH(Caseslist!B376, data!D:D, 0)), 0) = 0
    ),
    "COMPLETE",
    IF(
      IFNA(INDEX(dataICM!D:D, MATCH(Caseslist!B376, dataICM!D:D, 0)), "INC") = "INC",
      IFNA(INDEX(dataICM!D:D, MATCH(Caseslist!B376, dataICM!D:D, 0)), "INC"),
      "COMPLETE"
    )
  )</f>
        <v>COMPLETE</v>
      </c>
      <c r="G376" s="10" t="str">
        <f t="array" ref="G376">IF(IFERROR(INDEX(data!L:L,match(Caseslist!B376,data!D:D,0)),"INC")="","COMPLETE",F376)</f>
        <v>COMPLETE</v>
      </c>
      <c r="H376" s="9" t="str">
        <f t="array" ref="H376">IFERROR(INDEX(dataICM!F:F,match(Caseslist!B376,dataICM!D:D,0)), "INC")</f>
        <v>INC</v>
      </c>
      <c r="I376" s="10" t="str">
        <f t="shared" si="2"/>
        <v>N7814260</v>
      </c>
      <c r="J376" s="9" t="str">
        <f t="array" ref="J376">IF(
  AND(
    IFERROR(MATCH(B376, data!D:D, 0), 0) &gt; 0,
    IFERROR(INDEX(data!N:N, MATCH(B376, data!D:D, 0)) = 1, FALSE)
  ),
  INDEX(data!C:C, MATCH(B376, data!D:D, 0)),
  "INC"
)</f>
        <v>2025-09-22T11:14:05.755+08</v>
      </c>
      <c r="K376" s="9" t="str">
        <f t="array" ref="K376">IFERROR(INDEX(dataICM!C:C,match(Caseslist!B376,dataICM!D:D,0)), "INC")</f>
        <v>INC</v>
      </c>
      <c r="L376" s="10" t="str">
        <f t="array" ref="L376">IF(AND(G376="COMPLETE", OR(K376="INC", ISBLANK(INDEX(data!O:O, ROW())))), J376, K376)</f>
        <v>2025-09-22T11:14:05.755+08</v>
      </c>
      <c r="M376" s="2">
        <v>45922.0</v>
      </c>
      <c r="N376" s="2">
        <f t="array" ref="N376">IF(M376&lt;&gt;"INC", INDEX(data!M:M, MATCH(B376, data!D:D, 0)), "")</f>
        <v>0</v>
      </c>
      <c r="O376" s="2">
        <f t="shared" si="3"/>
        <v>0</v>
      </c>
    </row>
    <row r="377">
      <c r="A377" s="2" t="str">
        <f t="shared" si="1"/>
        <v>H006213</v>
      </c>
      <c r="B377" s="1" t="s">
        <v>7928</v>
      </c>
      <c r="C377" s="9" t="str">
        <f t="array" ref="C377">IF(
  AND(
    IFERROR(MATCH(Caseslist!B377, data!D:D, 0), 0) &gt; 0,
    IFERROR(INDEX(data!N:N, MATCH(Caseslist!B377, data!D:D, 0)) = 1, FALSE)
  ),
  "COMPLETE",
  "INC"
)</f>
        <v>COMPLETE</v>
      </c>
      <c r="D377" s="9" t="str">
        <f t="array" ref="D377">IFERROR(INDEX(data!$G:$G,match(Caseslist!B377,data!$D:$D,0)), "INC")</f>
        <v>O3925718</v>
      </c>
      <c r="E377" s="9" t="str">
        <f t="array" ref="E377">IFERROR(INDEX(data!H:H,match(Caseslist!B377,data!D:D,0)), "INC")</f>
        <v>Adrian Montecastro Ferrer</v>
      </c>
      <c r="F377" s="10" t="str">
        <f t="array" ref="F377">IF(
    OR(
      IFNA(INDEX(data!M:M, MATCH(Caseslist!B377, data!D:D, 0)), "") = "",
      IFNA(INDEX(data!M:M, MATCH(Caseslist!B377, data!D:D, 0)), 0) = 0
    ),
    "COMPLETE",
    IF(
      IFNA(INDEX(dataICM!D:D, MATCH(Caseslist!B377, dataICM!D:D, 0)), "INC") = "INC",
      IFNA(INDEX(dataICM!D:D, MATCH(Caseslist!B377, dataICM!D:D, 0)), "INC"),
      "COMPLETE"
    )
  )</f>
        <v>COMPLETE</v>
      </c>
      <c r="G377" s="10" t="str">
        <f t="array" ref="G377">IF(IFERROR(INDEX(data!L:L,match(Caseslist!B377,data!D:D,0)),"INC")="","COMPLETE",F377)</f>
        <v>COMPLETE</v>
      </c>
      <c r="H377" s="9" t="str">
        <f t="array" ref="H377">IFERROR(INDEX(dataICM!F:F,match(Caseslist!B377,dataICM!D:D,0)), "INC")</f>
        <v>INC</v>
      </c>
      <c r="I377" s="10" t="str">
        <f t="shared" si="2"/>
        <v>O3925718</v>
      </c>
      <c r="J377" s="9" t="str">
        <f t="array" ref="J377">IF(
  AND(
    IFERROR(MATCH(B377, data!D:D, 0), 0) &gt; 0,
    IFERROR(INDEX(data!N:N, MATCH(B377, data!D:D, 0)) = 1, FALSE)
  ),
  INDEX(data!C:C, MATCH(B377, data!D:D, 0)),
  "INC"
)</f>
        <v>2025-09-22T13:10:20.269+08</v>
      </c>
      <c r="K377" s="9" t="str">
        <f t="array" ref="K377">IFERROR(INDEX(dataICM!C:C,match(Caseslist!B377,dataICM!D:D,0)), "INC")</f>
        <v>INC</v>
      </c>
      <c r="L377" s="10" t="str">
        <f t="array" ref="L377">IF(AND(G377="COMPLETE", OR(K377="INC", ISBLANK(INDEX(data!O:O, ROW())))), J377, K377)</f>
        <v>2025-09-22T13:10:20.269+08</v>
      </c>
      <c r="M377" s="2">
        <v>45922.0</v>
      </c>
      <c r="N377" s="2">
        <f t="array" ref="N377">IF(M377&lt;&gt;"INC", INDEX(data!M:M, MATCH(B377, data!D:D, 0)), "")</f>
        <v>0</v>
      </c>
      <c r="O377" s="2">
        <f t="shared" si="3"/>
        <v>0</v>
      </c>
    </row>
    <row r="378">
      <c r="A378" s="2" t="str">
        <f t="shared" si="1"/>
        <v>H006213</v>
      </c>
      <c r="B378" s="1" t="s">
        <v>7923</v>
      </c>
      <c r="C378" s="9" t="str">
        <f t="array" ref="C378">IF(
  AND(
    IFERROR(MATCH(Caseslist!B378, data!D:D, 0), 0) &gt; 0,
    IFERROR(INDEX(data!N:N, MATCH(Caseslist!B378, data!D:D, 0)) = 1, FALSE)
  ),
  "COMPLETE",
  "INC"
)</f>
        <v>COMPLETE</v>
      </c>
      <c r="D378" s="9" t="str">
        <f t="array" ref="D378">IFERROR(INDEX(data!$G:$G,match(Caseslist!B378,data!$D:$D,0)), "INC")</f>
        <v>O3925718</v>
      </c>
      <c r="E378" s="9" t="str">
        <f t="array" ref="E378">IFERROR(INDEX(data!H:H,match(Caseslist!B378,data!D:D,0)), "INC")</f>
        <v>Adrian Montecastro Ferrer</v>
      </c>
      <c r="F378" s="10" t="str">
        <f t="array" ref="F378">IF(
    OR(
      IFNA(INDEX(data!M:M, MATCH(Caseslist!B378, data!D:D, 0)), "") = "",
      IFNA(INDEX(data!M:M, MATCH(Caseslist!B378, data!D:D, 0)), 0) = 0
    ),
    "COMPLETE",
    IF(
      IFNA(INDEX(dataICM!D:D, MATCH(Caseslist!B378, dataICM!D:D, 0)), "INC") = "INC",
      IFNA(INDEX(dataICM!D:D, MATCH(Caseslist!B378, dataICM!D:D, 0)), "INC"),
      "COMPLETE"
    )
  )</f>
        <v>COMPLETE</v>
      </c>
      <c r="G378" s="10" t="str">
        <f t="array" ref="G378">IF(IFERROR(INDEX(data!L:L,match(Caseslist!B378,data!D:D,0)),"INC")="","COMPLETE",F378)</f>
        <v>COMPLETE</v>
      </c>
      <c r="H378" s="9" t="str">
        <f t="array" ref="H378">IFERROR(INDEX(dataICM!F:F,match(Caseslist!B378,dataICM!D:D,0)), "INC")</f>
        <v>INC</v>
      </c>
      <c r="I378" s="10" t="str">
        <f t="shared" si="2"/>
        <v>O3925718</v>
      </c>
      <c r="J378" s="9" t="str">
        <f t="array" ref="J378">IF(
  AND(
    IFERROR(MATCH(B378, data!D:D, 0), 0) &gt; 0,
    IFERROR(INDEX(data!N:N, MATCH(B378, data!D:D, 0)) = 1, FALSE)
  ),
  INDEX(data!C:C, MATCH(B378, data!D:D, 0)),
  "INC"
)</f>
        <v>2025-09-22T16:10:14.394+08</v>
      </c>
      <c r="K378" s="9" t="str">
        <f t="array" ref="K378">IFERROR(INDEX(dataICM!C:C,match(Caseslist!B378,dataICM!D:D,0)), "INC")</f>
        <v>INC</v>
      </c>
      <c r="L378" s="10" t="str">
        <f t="array" ref="L378">IF(AND(G378="COMPLETE", OR(K378="INC", ISBLANK(INDEX(data!O:O, ROW())))), J378, K378)</f>
        <v>2025-09-22T16:10:14.394+08</v>
      </c>
      <c r="M378" s="2">
        <v>45922.0</v>
      </c>
      <c r="N378" s="2">
        <f t="array" ref="N378">IF(M378&lt;&gt;"INC", INDEX(data!M:M, MATCH(B378, data!D:D, 0)), "")</f>
        <v>0</v>
      </c>
      <c r="O378" s="2">
        <f t="shared" si="3"/>
        <v>0</v>
      </c>
    </row>
    <row r="379">
      <c r="A379" s="2" t="str">
        <f t="shared" si="1"/>
        <v>H006233</v>
      </c>
      <c r="B379" s="1" t="s">
        <v>5388</v>
      </c>
      <c r="C379" s="9" t="str">
        <f t="array" ref="C379">IF(
  AND(
    IFERROR(MATCH(Caseslist!B379, data!D:D, 0), 0) &gt; 0,
    IFERROR(INDEX(data!N:N, MATCH(Caseslist!B379, data!D:D, 0)) = 1, FALSE)
  ),
  "COMPLETE",
  "INC"
)</f>
        <v>COMPLETE</v>
      </c>
      <c r="D379" s="9" t="str">
        <f t="array" ref="D379">IFERROR(INDEX(data!$G:$G,match(Caseslist!B379,data!$D:$D,0)), "INC")</f>
        <v>O3925718</v>
      </c>
      <c r="E379" s="9" t="str">
        <f t="array" ref="E379">IFERROR(INDEX(data!H:H,match(Caseslist!B379,data!D:D,0)), "INC")</f>
        <v>Adrian Montecastro Ferrer</v>
      </c>
      <c r="F379" s="10" t="str">
        <f t="array" ref="F379">IF(
    OR(
      IFNA(INDEX(data!M:M, MATCH(Caseslist!B379, data!D:D, 0)), "") = "",
      IFNA(INDEX(data!M:M, MATCH(Caseslist!B379, data!D:D, 0)), 0) = 0
    ),
    "COMPLETE",
    IF(
      IFNA(INDEX(dataICM!D:D, MATCH(Caseslist!B379, dataICM!D:D, 0)), "INC") = "INC",
      IFNA(INDEX(dataICM!D:D, MATCH(Caseslist!B379, dataICM!D:D, 0)), "INC"),
      "COMPLETE"
    )
  )</f>
        <v>COMPLETE</v>
      </c>
      <c r="G379" s="10" t="str">
        <f t="array" ref="G379">IF(IFERROR(INDEX(data!L:L,match(Caseslist!B379,data!D:D,0)),"INC")="","COMPLETE",F379)</f>
        <v>COMPLETE</v>
      </c>
      <c r="H379" s="9" t="str">
        <f t="array" ref="H379">IFERROR(INDEX(dataICM!F:F,match(Caseslist!B379,dataICM!D:D,0)), "INC")</f>
        <v>Adrian Montecastro Ferrer</v>
      </c>
      <c r="I379" s="10" t="str">
        <f t="shared" si="2"/>
        <v>O3925718</v>
      </c>
      <c r="J379" s="9" t="str">
        <f t="array" ref="J379">IF(
  AND(
    IFERROR(MATCH(B379, data!D:D, 0), 0) &gt; 0,
    IFERROR(INDEX(data!N:N, MATCH(B379, data!D:D, 0)) = 1, FALSE)
  ),
  INDEX(data!C:C, MATCH(B379, data!D:D, 0)),
  "INC"
)</f>
        <v>2025-09-11T13:37:44.729+08</v>
      </c>
      <c r="K379" s="9" t="str">
        <f t="array" ref="K379">IFERROR(INDEX(dataICM!C:C,match(Caseslist!B379,dataICM!D:D,0)), "INC")</f>
        <v>2025-09-11T14:10:51.365+08</v>
      </c>
      <c r="L379" s="10" t="str">
        <f t="array" ref="L379">IF(AND(G379="COMPLETE", OR(K379="INC", ISBLANK(INDEX(data!O:O, ROW())))), J379, K379)</f>
        <v>2025-09-11T14:10:51.365+08</v>
      </c>
      <c r="M379" s="2">
        <v>45911.0</v>
      </c>
      <c r="N379" s="2">
        <f t="array" ref="N379">IF(M379&lt;&gt;"INC", INDEX(data!M:M, MATCH(B379, data!D:D, 0)), "")</f>
        <v>3</v>
      </c>
      <c r="O379" s="2">
        <f t="shared" si="3"/>
        <v>3</v>
      </c>
    </row>
    <row r="380">
      <c r="A380" s="2" t="str">
        <f t="shared" si="1"/>
        <v>H006233</v>
      </c>
      <c r="B380" s="1" t="s">
        <v>5993</v>
      </c>
      <c r="C380" s="9" t="str">
        <f t="array" ref="C380">IF(
  AND(
    IFERROR(MATCH(Caseslist!B380, data!D:D, 0), 0) &gt; 0,
    IFERROR(INDEX(data!N:N, MATCH(Caseslist!B380, data!D:D, 0)) = 1, FALSE)
  ),
  "COMPLETE",
  "INC"
)</f>
        <v>COMPLETE</v>
      </c>
      <c r="D380" s="9" t="str">
        <f t="array" ref="D380">IFERROR(INDEX(data!$G:$G,match(Caseslist!B380,data!$D:$D,0)), "INC")</f>
        <v>N7814260</v>
      </c>
      <c r="E380" s="9" t="str">
        <f t="array" ref="E380">IFERROR(INDEX(data!H:H,match(Caseslist!B380,data!D:D,0)), "INC")</f>
        <v>Jemma Marie Tillo</v>
      </c>
      <c r="F380" s="10" t="str">
        <f t="array" ref="F380">IF(
    OR(
      IFNA(INDEX(data!M:M, MATCH(Caseslist!B380, data!D:D, 0)), "") = "",
      IFNA(INDEX(data!M:M, MATCH(Caseslist!B380, data!D:D, 0)), 0) = 0
    ),
    "COMPLETE",
    IF(
      IFNA(INDEX(dataICM!D:D, MATCH(Caseslist!B380, dataICM!D:D, 0)), "INC") = "INC",
      IFNA(INDEX(dataICM!D:D, MATCH(Caseslist!B380, dataICM!D:D, 0)), "INC"),
      "COMPLETE"
    )
  )</f>
        <v>COMPLETE</v>
      </c>
      <c r="G380" s="10" t="str">
        <f t="array" ref="G380">IF(IFERROR(INDEX(data!L:L,match(Caseslist!B380,data!D:D,0)),"INC")="","COMPLETE",F380)</f>
        <v>COMPLETE</v>
      </c>
      <c r="H380" s="9" t="str">
        <f t="array" ref="H380">IFERROR(INDEX(dataICM!F:F,match(Caseslist!B380,dataICM!D:D,0)), "INC")</f>
        <v>Jemma Marie Tillo</v>
      </c>
      <c r="I380" s="10" t="str">
        <f t="shared" si="2"/>
        <v>N7814260</v>
      </c>
      <c r="J380" s="9" t="str">
        <f t="array" ref="J380">IF(
  AND(
    IFERROR(MATCH(B380, data!D:D, 0), 0) &gt; 0,
    IFERROR(INDEX(data!N:N, MATCH(B380, data!D:D, 0)) = 1, FALSE)
  ),
  INDEX(data!C:C, MATCH(B380, data!D:D, 0)),
  "INC"
)</f>
        <v>2025-09-13T08:32:30.962+08</v>
      </c>
      <c r="K380" s="9" t="str">
        <f t="array" ref="K380">IFERROR(INDEX(dataICM!C:C,match(Caseslist!B380,dataICM!D:D,0)), "INC")</f>
        <v>2025-09-13T17:09:58.557+08</v>
      </c>
      <c r="L380" s="10" t="str">
        <f t="array" ref="L380">IF(AND(G380="COMPLETE", OR(K380="INC", ISBLANK(INDEX(data!O:O, ROW())))), J380, K380)</f>
        <v>2025-09-13T17:09:58.557+08</v>
      </c>
      <c r="M380" s="2">
        <v>45913.0</v>
      </c>
      <c r="N380" s="2">
        <f t="array" ref="N380">IF(M380&lt;&gt;"INC", INDEX(data!M:M, MATCH(B380, data!D:D, 0)), "")</f>
        <v>3</v>
      </c>
      <c r="O380" s="2">
        <f t="shared" si="3"/>
        <v>3</v>
      </c>
    </row>
    <row r="381">
      <c r="A381" s="2" t="str">
        <f t="shared" si="1"/>
        <v>H006233</v>
      </c>
      <c r="B381" s="1" t="s">
        <v>5998</v>
      </c>
      <c r="C381" s="9" t="str">
        <f t="array" ref="C381">IF(
  AND(
    IFERROR(MATCH(Caseslist!B381, data!D:D, 0), 0) &gt; 0,
    IFERROR(INDEX(data!N:N, MATCH(Caseslist!B381, data!D:D, 0)) = 1, FALSE)
  ),
  "COMPLETE",
  "INC"
)</f>
        <v>COMPLETE</v>
      </c>
      <c r="D381" s="9" t="str">
        <f t="array" ref="D381">IFERROR(INDEX(data!$G:$G,match(Caseslist!B381,data!$D:$D,0)), "INC")</f>
        <v>N7814260</v>
      </c>
      <c r="E381" s="9" t="str">
        <f t="array" ref="E381">IFERROR(INDEX(data!H:H,match(Caseslist!B381,data!D:D,0)), "INC")</f>
        <v>Jemma Marie Tillo</v>
      </c>
      <c r="F381" s="10" t="str">
        <f t="array" ref="F381">IF(
    OR(
      IFNA(INDEX(data!M:M, MATCH(Caseslist!B381, data!D:D, 0)), "") = "",
      IFNA(INDEX(data!M:M, MATCH(Caseslist!B381, data!D:D, 0)), 0) = 0
    ),
    "COMPLETE",
    IF(
      IFNA(INDEX(dataICM!D:D, MATCH(Caseslist!B381, dataICM!D:D, 0)), "INC") = "INC",
      IFNA(INDEX(dataICM!D:D, MATCH(Caseslist!B381, dataICM!D:D, 0)), "INC"),
      "COMPLETE"
    )
  )</f>
        <v>COMPLETE</v>
      </c>
      <c r="G381" s="10" t="str">
        <f t="array" ref="G381">IF(IFERROR(INDEX(data!L:L,match(Caseslist!B381,data!D:D,0)),"INC")="","COMPLETE",F381)</f>
        <v>COMPLETE</v>
      </c>
      <c r="H381" s="9" t="str">
        <f t="array" ref="H381">IFERROR(INDEX(dataICM!F:F,match(Caseslist!B381,dataICM!D:D,0)), "INC")</f>
        <v>Jemma Marie Tillo</v>
      </c>
      <c r="I381" s="10" t="str">
        <f t="shared" si="2"/>
        <v>N7814260</v>
      </c>
      <c r="J381" s="9" t="str">
        <f t="array" ref="J381">IF(
  AND(
    IFERROR(MATCH(B381, data!D:D, 0), 0) &gt; 0,
    IFERROR(INDEX(data!N:N, MATCH(B381, data!D:D, 0)) = 1, FALSE)
  ),
  INDEX(data!C:C, MATCH(B381, data!D:D, 0)),
  "INC"
)</f>
        <v>2025-09-13T10:34:07.572+08</v>
      </c>
      <c r="K381" s="9" t="str">
        <f t="array" ref="K381">IFERROR(INDEX(dataICM!C:C,match(Caseslist!B381,dataICM!D:D,0)), "INC")</f>
        <v>2025-09-13T10:44:12.952+08</v>
      </c>
      <c r="L381" s="10" t="str">
        <f t="array" ref="L381">IF(AND(G381="COMPLETE", OR(K381="INC", ISBLANK(INDEX(data!O:O, ROW())))), J381, K381)</f>
        <v>2025-09-13T10:44:12.952+08</v>
      </c>
      <c r="M381" s="2">
        <v>45913.0</v>
      </c>
      <c r="N381" s="2">
        <f t="array" ref="N381">IF(M381&lt;&gt;"INC", INDEX(data!M:M, MATCH(B381, data!D:D, 0)), "")</f>
        <v>3</v>
      </c>
      <c r="O381" s="2">
        <f t="shared" si="3"/>
        <v>3</v>
      </c>
    </row>
    <row r="382">
      <c r="A382" s="2" t="str">
        <f t="shared" si="1"/>
        <v>H006233</v>
      </c>
      <c r="B382" s="1" t="s">
        <v>5498</v>
      </c>
      <c r="C382" s="9" t="str">
        <f t="array" ref="C382">IF(
  AND(
    IFERROR(MATCH(Caseslist!B382, data!D:D, 0), 0) &gt; 0,
    IFERROR(INDEX(data!N:N, MATCH(Caseslist!B382, data!D:D, 0)) = 1, FALSE)
  ),
  "COMPLETE",
  "INC"
)</f>
        <v>COMPLETE</v>
      </c>
      <c r="D382" s="9" t="str">
        <f t="array" ref="D382">IFERROR(INDEX(data!$G:$G,match(Caseslist!B382,data!$D:$D,0)), "INC")</f>
        <v>P1068432</v>
      </c>
      <c r="E382" s="9" t="str">
        <f t="array" ref="E382">IFERROR(INDEX(data!H:H,match(Caseslist!B382,data!D:D,0)), "INC")</f>
        <v>Mark Daniel Balagao Benson</v>
      </c>
      <c r="F382" s="10" t="str">
        <f t="array" ref="F382">IF(
    OR(
      IFNA(INDEX(data!M:M, MATCH(Caseslist!B382, data!D:D, 0)), "") = "",
      IFNA(INDEX(data!M:M, MATCH(Caseslist!B382, data!D:D, 0)), 0) = 0
    ),
    "COMPLETE",
    IF(
      IFNA(INDEX(dataICM!D:D, MATCH(Caseslist!B382, dataICM!D:D, 0)), "INC") = "INC",
      IFNA(INDEX(dataICM!D:D, MATCH(Caseslist!B382, dataICM!D:D, 0)), "INC"),
      "COMPLETE"
    )
  )</f>
        <v>COMPLETE</v>
      </c>
      <c r="G382" s="10" t="str">
        <f t="array" ref="G382">IF(IFERROR(INDEX(data!L:L,match(Caseslist!B382,data!D:D,0)),"INC")="","COMPLETE",F382)</f>
        <v>COMPLETE</v>
      </c>
      <c r="H382" s="9" t="str">
        <f t="array" ref="H382">IFERROR(INDEX(dataICM!F:F,match(Caseslist!B382,dataICM!D:D,0)), "INC")</f>
        <v>Mark Daniel Balagao Benson</v>
      </c>
      <c r="I382" s="10" t="str">
        <f t="shared" si="2"/>
        <v>P1068432</v>
      </c>
      <c r="J382" s="9" t="str">
        <f t="array" ref="J382">IF(
  AND(
    IFERROR(MATCH(B382, data!D:D, 0), 0) &gt; 0,
    IFERROR(INDEX(data!N:N, MATCH(B382, data!D:D, 0)) = 1, FALSE)
  ),
  INDEX(data!C:C, MATCH(B382, data!D:D, 0)),
  "INC"
)</f>
        <v>2025-09-11T09:44:36.591+08</v>
      </c>
      <c r="K382" s="9" t="str">
        <f t="array" ref="K382">IFERROR(INDEX(dataICM!C:C,match(Caseslist!B382,dataICM!D:D,0)), "INC")</f>
        <v>2025-09-11T09:55:18.237+08</v>
      </c>
      <c r="L382" s="10" t="str">
        <f t="array" ref="L382">IF(AND(G382="COMPLETE", OR(K382="INC", ISBLANK(INDEX(data!O:O, ROW())))), J382, K382)</f>
        <v>2025-09-11T09:55:18.237+08</v>
      </c>
      <c r="M382" s="2">
        <v>45911.0</v>
      </c>
      <c r="N382" s="2">
        <f t="array" ref="N382">IF(M382&lt;&gt;"INC", INDEX(data!M:M, MATCH(B382, data!D:D, 0)), "")</f>
        <v>3</v>
      </c>
      <c r="O382" s="2">
        <f t="shared" si="3"/>
        <v>3</v>
      </c>
    </row>
    <row r="383">
      <c r="A383" s="2" t="str">
        <f t="shared" si="1"/>
        <v>H006233</v>
      </c>
      <c r="B383" s="1" t="s">
        <v>5348</v>
      </c>
      <c r="C383" s="9" t="str">
        <f t="array" ref="C383">IF(
  AND(
    IFERROR(MATCH(Caseslist!B383, data!D:D, 0), 0) &gt; 0,
    IFERROR(INDEX(data!N:N, MATCH(Caseslist!B383, data!D:D, 0)) = 1, FALSE)
  ),
  "COMPLETE",
  "INC"
)</f>
        <v>COMPLETE</v>
      </c>
      <c r="D383" s="9" t="str">
        <f t="array" ref="D383">IFERROR(INDEX(data!$G:$G,match(Caseslist!B383,data!$D:$D,0)), "INC")</f>
        <v>N7814260</v>
      </c>
      <c r="E383" s="9" t="str">
        <f t="array" ref="E383">IFERROR(INDEX(data!H:H,match(Caseslist!B383,data!D:D,0)), "INC")</f>
        <v>Jemma Marie Tillo</v>
      </c>
      <c r="F383" s="10" t="str">
        <f t="array" ref="F383">IF(
    OR(
      IFNA(INDEX(data!M:M, MATCH(Caseslist!B383, data!D:D, 0)), "") = "",
      IFNA(INDEX(data!M:M, MATCH(Caseslist!B383, data!D:D, 0)), 0) = 0
    ),
    "COMPLETE",
    IF(
      IFNA(INDEX(dataICM!D:D, MATCH(Caseslist!B383, dataICM!D:D, 0)), "INC") = "INC",
      IFNA(INDEX(dataICM!D:D, MATCH(Caseslist!B383, dataICM!D:D, 0)), "INC"),
      "COMPLETE"
    )
  )</f>
        <v>COMPLETE</v>
      </c>
      <c r="G383" s="10" t="str">
        <f t="array" ref="G383">IF(IFERROR(INDEX(data!L:L,match(Caseslist!B383,data!D:D,0)),"INC")="","COMPLETE",F383)</f>
        <v>COMPLETE</v>
      </c>
      <c r="H383" s="9" t="str">
        <f t="array" ref="H383">IFERROR(INDEX(dataICM!F:F,match(Caseslist!B383,dataICM!D:D,0)), "INC")</f>
        <v>Jemma Marie Tillo</v>
      </c>
      <c r="I383" s="10" t="str">
        <f t="shared" si="2"/>
        <v>N7814260</v>
      </c>
      <c r="J383" s="9" t="str">
        <f t="array" ref="J383">IF(
  AND(
    IFERROR(MATCH(B383, data!D:D, 0), 0) &gt; 0,
    IFERROR(INDEX(data!N:N, MATCH(B383, data!D:D, 0)) = 1, FALSE)
  ),
  INDEX(data!C:C, MATCH(B383, data!D:D, 0)),
  "INC"
)</f>
        <v>2025-09-11T09:43:15.201+08</v>
      </c>
      <c r="K383" s="9" t="str">
        <f t="array" ref="K383">IFERROR(INDEX(dataICM!C:C,match(Caseslist!B383,dataICM!D:D,0)), "INC")</f>
        <v>2025-09-11T15:45:43.492+08</v>
      </c>
      <c r="L383" s="10" t="str">
        <f t="array" ref="L383">IF(AND(G383="COMPLETE", OR(K383="INC", ISBLANK(INDEX(data!O:O, ROW())))), J383, K383)</f>
        <v>2025-09-11T15:45:43.492+08</v>
      </c>
      <c r="M383" s="2">
        <v>45911.0</v>
      </c>
      <c r="N383" s="2">
        <f t="array" ref="N383">IF(M383&lt;&gt;"INC", INDEX(data!M:M, MATCH(B383, data!D:D, 0)), "")</f>
        <v>3</v>
      </c>
      <c r="O383" s="2">
        <f t="shared" si="3"/>
        <v>3</v>
      </c>
    </row>
    <row r="384">
      <c r="A384" s="2" t="str">
        <f t="shared" si="1"/>
        <v>H006233</v>
      </c>
      <c r="B384" s="1" t="s">
        <v>5503</v>
      </c>
      <c r="C384" s="9" t="str">
        <f t="array" ref="C384">IF(
  AND(
    IFERROR(MATCH(Caseslist!B384, data!D:D, 0), 0) &gt; 0,
    IFERROR(INDEX(data!N:N, MATCH(Caseslist!B384, data!D:D, 0)) = 1, FALSE)
  ),
  "COMPLETE",
  "INC"
)</f>
        <v>COMPLETE</v>
      </c>
      <c r="D384" s="9" t="str">
        <f t="array" ref="D384">IFERROR(INDEX(data!$G:$G,match(Caseslist!B384,data!$D:$D,0)), "INC")</f>
        <v>P1068432</v>
      </c>
      <c r="E384" s="9" t="str">
        <f t="array" ref="E384">IFERROR(INDEX(data!H:H,match(Caseslist!B384,data!D:D,0)), "INC")</f>
        <v>Mark Daniel Balagao Benson</v>
      </c>
      <c r="F384" s="10" t="str">
        <f t="array" ref="F384">IF(
    OR(
      IFNA(INDEX(data!M:M, MATCH(Caseslist!B384, data!D:D, 0)), "") = "",
      IFNA(INDEX(data!M:M, MATCH(Caseslist!B384, data!D:D, 0)), 0) = 0
    ),
    "COMPLETE",
    IF(
      IFNA(INDEX(dataICM!D:D, MATCH(Caseslist!B384, dataICM!D:D, 0)), "INC") = "INC",
      IFNA(INDEX(dataICM!D:D, MATCH(Caseslist!B384, dataICM!D:D, 0)), "INC"),
      "COMPLETE"
    )
  )</f>
        <v>COMPLETE</v>
      </c>
      <c r="G384" s="10" t="str">
        <f t="array" ref="G384">IF(IFERROR(INDEX(data!L:L,match(Caseslist!B384,data!D:D,0)),"INC")="","COMPLETE",F384)</f>
        <v>COMPLETE</v>
      </c>
      <c r="H384" s="9" t="str">
        <f t="array" ref="H384">IFERROR(INDEX(dataICM!F:F,match(Caseslist!B384,dataICM!D:D,0)), "INC")</f>
        <v>Mark Daniel Balagao Benson</v>
      </c>
      <c r="I384" s="10" t="str">
        <f t="shared" si="2"/>
        <v>P1068432</v>
      </c>
      <c r="J384" s="9" t="str">
        <f t="array" ref="J384">IF(
  AND(
    IFERROR(MATCH(B384, data!D:D, 0), 0) &gt; 0,
    IFERROR(INDEX(data!N:N, MATCH(B384, data!D:D, 0)) = 1, FALSE)
  ),
  INDEX(data!C:C, MATCH(B384, data!D:D, 0)),
  "INC"
)</f>
        <v>2025-09-11T10:55:50.596+08</v>
      </c>
      <c r="K384" s="9" t="str">
        <f t="array" ref="K384">IFERROR(INDEX(dataICM!C:C,match(Caseslist!B384,dataICM!D:D,0)), "INC")</f>
        <v>2025-09-11T11:13:55.298+08</v>
      </c>
      <c r="L384" s="10" t="str">
        <f t="array" ref="L384">IF(AND(G384="COMPLETE", OR(K384="INC", ISBLANK(INDEX(data!O:O, ROW())))), J384, K384)</f>
        <v>2025-09-11T11:13:55.298+08</v>
      </c>
      <c r="M384" s="2">
        <v>45911.0</v>
      </c>
      <c r="N384" s="2">
        <f t="array" ref="N384">IF(M384&lt;&gt;"INC", INDEX(data!M:M, MATCH(B384, data!D:D, 0)), "")</f>
        <v>3</v>
      </c>
      <c r="O384" s="2">
        <f t="shared" si="3"/>
        <v>3</v>
      </c>
    </row>
    <row r="385">
      <c r="A385" s="2" t="str">
        <f t="shared" si="1"/>
        <v>H006233</v>
      </c>
      <c r="B385" s="1" t="s">
        <v>5508</v>
      </c>
      <c r="C385" s="9" t="str">
        <f t="array" ref="C385">IF(
  AND(
    IFERROR(MATCH(Caseslist!B385, data!D:D, 0), 0) &gt; 0,
    IFERROR(INDEX(data!N:N, MATCH(Caseslist!B385, data!D:D, 0)) = 1, FALSE)
  ),
  "COMPLETE",
  "INC"
)</f>
        <v>COMPLETE</v>
      </c>
      <c r="D385" s="9" t="str">
        <f t="array" ref="D385">IFERROR(INDEX(data!$G:$G,match(Caseslist!B385,data!$D:$D,0)), "INC")</f>
        <v>P1068432</v>
      </c>
      <c r="E385" s="9" t="str">
        <f t="array" ref="E385">IFERROR(INDEX(data!H:H,match(Caseslist!B385,data!D:D,0)), "INC")</f>
        <v>Mark Daniel Balagao Benson</v>
      </c>
      <c r="F385" s="10" t="str">
        <f t="array" ref="F385">IF(
    OR(
      IFNA(INDEX(data!M:M, MATCH(Caseslist!B385, data!D:D, 0)), "") = "",
      IFNA(INDEX(data!M:M, MATCH(Caseslist!B385, data!D:D, 0)), 0) = 0
    ),
    "COMPLETE",
    IF(
      IFNA(INDEX(dataICM!D:D, MATCH(Caseslist!B385, dataICM!D:D, 0)), "INC") = "INC",
      IFNA(INDEX(dataICM!D:D, MATCH(Caseslist!B385, dataICM!D:D, 0)), "INC"),
      "COMPLETE"
    )
  )</f>
        <v>COMPLETE</v>
      </c>
      <c r="G385" s="10" t="str">
        <f t="array" ref="G385">IF(IFERROR(INDEX(data!L:L,match(Caseslist!B385,data!D:D,0)),"INC")="","COMPLETE",F385)</f>
        <v>COMPLETE</v>
      </c>
      <c r="H385" s="9" t="str">
        <f t="array" ref="H385">IFERROR(INDEX(dataICM!F:F,match(Caseslist!B385,dataICM!D:D,0)), "INC")</f>
        <v>Mark Daniel Balagao Benson</v>
      </c>
      <c r="I385" s="10" t="str">
        <f t="shared" si="2"/>
        <v>P1068432</v>
      </c>
      <c r="J385" s="9" t="str">
        <f t="array" ref="J385">IF(
  AND(
    IFERROR(MATCH(B385, data!D:D, 0), 0) &gt; 0,
    IFERROR(INDEX(data!N:N, MATCH(B385, data!D:D, 0)) = 1, FALSE)
  ),
  INDEX(data!C:C, MATCH(B385, data!D:D, 0)),
  "INC"
)</f>
        <v>2025-09-11T12:32:30.068+08</v>
      </c>
      <c r="K385" s="9" t="str">
        <f t="array" ref="K385">IFERROR(INDEX(dataICM!C:C,match(Caseslist!B385,dataICM!D:D,0)), "INC")</f>
        <v>2025-09-11T15:23:51.848+08</v>
      </c>
      <c r="L385" s="10" t="str">
        <f t="array" ref="L385">IF(AND(G385="COMPLETE", OR(K385="INC", ISBLANK(INDEX(data!O:O, ROW())))), J385, K385)</f>
        <v>2025-09-11T15:23:51.848+08</v>
      </c>
      <c r="M385" s="2">
        <v>45911.0</v>
      </c>
      <c r="N385" s="2">
        <f t="array" ref="N385">IF(M385&lt;&gt;"INC", INDEX(data!M:M, MATCH(B385, data!D:D, 0)), "")</f>
        <v>3</v>
      </c>
      <c r="O385" s="2">
        <f t="shared" si="3"/>
        <v>3</v>
      </c>
    </row>
    <row r="386">
      <c r="A386" s="2" t="str">
        <f t="shared" si="1"/>
        <v>H006233</v>
      </c>
      <c r="B386" s="1" t="s">
        <v>6033</v>
      </c>
      <c r="C386" s="9" t="str">
        <f t="array" ref="C386">IF(
  AND(
    IFERROR(MATCH(Caseslist!B386, data!D:D, 0), 0) &gt; 0,
    IFERROR(INDEX(data!N:N, MATCH(Caseslist!B386, data!D:D, 0)) = 1, FALSE)
  ),
  "COMPLETE",
  "INC"
)</f>
        <v>COMPLETE</v>
      </c>
      <c r="D386" s="9" t="str">
        <f t="array" ref="D386">IFERROR(INDEX(data!$G:$G,match(Caseslist!B386,data!$D:$D,0)), "INC")</f>
        <v>O3925718</v>
      </c>
      <c r="E386" s="9" t="str">
        <f t="array" ref="E386">IFERROR(INDEX(data!H:H,match(Caseslist!B386,data!D:D,0)), "INC")</f>
        <v>Adrian Montecastro Ferrer</v>
      </c>
      <c r="F386" s="10" t="str">
        <f t="array" ref="F386">IF(
    OR(
      IFNA(INDEX(data!M:M, MATCH(Caseslist!B386, data!D:D, 0)), "") = "",
      IFNA(INDEX(data!M:M, MATCH(Caseslist!B386, data!D:D, 0)), 0) = 0
    ),
    "COMPLETE",
    IF(
      IFNA(INDEX(dataICM!D:D, MATCH(Caseslist!B386, dataICM!D:D, 0)), "INC") = "INC",
      IFNA(INDEX(dataICM!D:D, MATCH(Caseslist!B386, dataICM!D:D, 0)), "INC"),
      "COMPLETE"
    )
  )</f>
        <v>COMPLETE</v>
      </c>
      <c r="G386" s="10" t="str">
        <f t="array" ref="G386">IF(IFERROR(INDEX(data!L:L,match(Caseslist!B386,data!D:D,0)),"INC")="","COMPLETE",F386)</f>
        <v>COMPLETE</v>
      </c>
      <c r="H386" s="9" t="str">
        <f t="array" ref="H386">IFERROR(INDEX(dataICM!F:F,match(Caseslist!B386,dataICM!D:D,0)), "INC")</f>
        <v>Adrian Montecastro Ferrer</v>
      </c>
      <c r="I386" s="10" t="str">
        <f t="shared" si="2"/>
        <v>O3925718</v>
      </c>
      <c r="J386" s="9" t="str">
        <f t="array" ref="J386">IF(
  AND(
    IFERROR(MATCH(B386, data!D:D, 0), 0) &gt; 0,
    IFERROR(INDEX(data!N:N, MATCH(B386, data!D:D, 0)) = 1, FALSE)
  ),
  INDEX(data!C:C, MATCH(B386, data!D:D, 0)),
  "INC"
)</f>
        <v>2025-09-13T08:38:27.319+08</v>
      </c>
      <c r="K386" s="9" t="str">
        <f t="array" ref="K386">IFERROR(INDEX(dataICM!C:C,match(Caseslist!B386,dataICM!D:D,0)), "INC")</f>
        <v>2025-09-13T08:54:13.060+08</v>
      </c>
      <c r="L386" s="10" t="str">
        <f t="array" ref="L386">IF(AND(G386="COMPLETE", OR(K386="INC", ISBLANK(INDEX(data!O:O, ROW())))), J386, K386)</f>
        <v>2025-09-13T08:54:13.060+08</v>
      </c>
      <c r="M386" s="2">
        <v>45913.0</v>
      </c>
      <c r="N386" s="2">
        <f t="array" ref="N386">IF(M386&lt;&gt;"INC", INDEX(data!M:M, MATCH(B386, data!D:D, 0)), "")</f>
        <v>3</v>
      </c>
      <c r="O386" s="2">
        <f t="shared" si="3"/>
        <v>3</v>
      </c>
    </row>
    <row r="387">
      <c r="A387" s="2" t="str">
        <f t="shared" si="1"/>
        <v>H006233</v>
      </c>
      <c r="B387" s="1" t="s">
        <v>5353</v>
      </c>
      <c r="C387" s="9" t="str">
        <f t="array" ref="C387">IF(
  AND(
    IFERROR(MATCH(Caseslist!B387, data!D:D, 0), 0) &gt; 0,
    IFERROR(INDEX(data!N:N, MATCH(Caseslist!B387, data!D:D, 0)) = 1, FALSE)
  ),
  "COMPLETE",
  "INC"
)</f>
        <v>COMPLETE</v>
      </c>
      <c r="D387" s="9" t="str">
        <f t="array" ref="D387">IFERROR(INDEX(data!$G:$G,match(Caseslist!B387,data!$D:$D,0)), "INC")</f>
        <v>N7814260</v>
      </c>
      <c r="E387" s="9" t="str">
        <f t="array" ref="E387">IFERROR(INDEX(data!H:H,match(Caseslist!B387,data!D:D,0)), "INC")</f>
        <v>Jemma Marie Tillo</v>
      </c>
      <c r="F387" s="10" t="str">
        <f t="array" ref="F387">IF(
    OR(
      IFNA(INDEX(data!M:M, MATCH(Caseslist!B387, data!D:D, 0)), "") = "",
      IFNA(INDEX(data!M:M, MATCH(Caseslist!B387, data!D:D, 0)), 0) = 0
    ),
    "COMPLETE",
    IF(
      IFNA(INDEX(dataICM!D:D, MATCH(Caseslist!B387, dataICM!D:D, 0)), "INC") = "INC",
      IFNA(INDEX(dataICM!D:D, MATCH(Caseslist!B387, dataICM!D:D, 0)), "INC"),
      "COMPLETE"
    )
  )</f>
        <v>COMPLETE</v>
      </c>
      <c r="G387" s="10" t="str">
        <f t="array" ref="G387">IF(IFERROR(INDEX(data!L:L,match(Caseslist!B387,data!D:D,0)),"INC")="","COMPLETE",F387)</f>
        <v>COMPLETE</v>
      </c>
      <c r="H387" s="9" t="str">
        <f t="array" ref="H387">IFERROR(INDEX(dataICM!F:F,match(Caseslist!B387,dataICM!D:D,0)), "INC")</f>
        <v>Jemma Marie Tillo</v>
      </c>
      <c r="I387" s="10" t="str">
        <f t="shared" si="2"/>
        <v>N7814260</v>
      </c>
      <c r="J387" s="9" t="str">
        <f t="array" ref="J387">IF(
  AND(
    IFERROR(MATCH(B387, data!D:D, 0), 0) &gt; 0,
    IFERROR(INDEX(data!N:N, MATCH(B387, data!D:D, 0)) = 1, FALSE)
  ),
  INDEX(data!C:C, MATCH(B387, data!D:D, 0)),
  "INC"
)</f>
        <v>2025-09-11T11:13:27.865+08</v>
      </c>
      <c r="K387" s="9" t="str">
        <f t="array" ref="K387">IFERROR(INDEX(dataICM!C:C,match(Caseslist!B387,dataICM!D:D,0)), "INC")</f>
        <v>2025-09-11T11:17:35.288+08</v>
      </c>
      <c r="L387" s="10" t="str">
        <f t="array" ref="L387">IF(AND(G387="COMPLETE", OR(K387="INC", ISBLANK(INDEX(data!O:O, ROW())))), J387, K387)</f>
        <v>2025-09-11T11:17:35.288+08</v>
      </c>
      <c r="M387" s="2">
        <v>45911.0</v>
      </c>
      <c r="N387" s="2">
        <f t="array" ref="N387">IF(M387&lt;&gt;"INC", INDEX(data!M:M, MATCH(B387, data!D:D, 0)), "")</f>
        <v>3</v>
      </c>
      <c r="O387" s="2">
        <f t="shared" si="3"/>
        <v>3</v>
      </c>
    </row>
    <row r="388">
      <c r="A388" s="2" t="str">
        <f t="shared" si="1"/>
        <v>H006233</v>
      </c>
      <c r="B388" s="1" t="s">
        <v>6003</v>
      </c>
      <c r="C388" s="9" t="str">
        <f t="array" ref="C388">IF(
  AND(
    IFERROR(MATCH(Caseslist!B388, data!D:D, 0), 0) &gt; 0,
    IFERROR(INDEX(data!N:N, MATCH(Caseslist!B388, data!D:D, 0)) = 1, FALSE)
  ),
  "COMPLETE",
  "INC"
)</f>
        <v>COMPLETE</v>
      </c>
      <c r="D388" s="9" t="str">
        <f t="array" ref="D388">IFERROR(INDEX(data!$G:$G,match(Caseslist!B388,data!$D:$D,0)), "INC")</f>
        <v>N7814260</v>
      </c>
      <c r="E388" s="9" t="str">
        <f t="array" ref="E388">IFERROR(INDEX(data!H:H,match(Caseslist!B388,data!D:D,0)), "INC")</f>
        <v>Jemma Marie Tillo</v>
      </c>
      <c r="F388" s="10" t="str">
        <f t="array" ref="F388">IF(
    OR(
      IFNA(INDEX(data!M:M, MATCH(Caseslist!B388, data!D:D, 0)), "") = "",
      IFNA(INDEX(data!M:M, MATCH(Caseslist!B388, data!D:D, 0)), 0) = 0
    ),
    "COMPLETE",
    IF(
      IFNA(INDEX(dataICM!D:D, MATCH(Caseslist!B388, dataICM!D:D, 0)), "INC") = "INC",
      IFNA(INDEX(dataICM!D:D, MATCH(Caseslist!B388, dataICM!D:D, 0)), "INC"),
      "COMPLETE"
    )
  )</f>
        <v>COMPLETE</v>
      </c>
      <c r="G388" s="10" t="str">
        <f t="array" ref="G388">IF(IFERROR(INDEX(data!L:L,match(Caseslist!B388,data!D:D,0)),"INC")="","COMPLETE",F388)</f>
        <v>COMPLETE</v>
      </c>
      <c r="H388" s="9" t="str">
        <f t="array" ref="H388">IFERROR(INDEX(dataICM!F:F,match(Caseslist!B388,dataICM!D:D,0)), "INC")</f>
        <v>Jemma Marie Tillo</v>
      </c>
      <c r="I388" s="10" t="str">
        <f t="shared" si="2"/>
        <v>N7814260</v>
      </c>
      <c r="J388" s="9" t="str">
        <f t="array" ref="J388">IF(
  AND(
    IFERROR(MATCH(B388, data!D:D, 0), 0) &gt; 0,
    IFERROR(INDEX(data!N:N, MATCH(B388, data!D:D, 0)) = 1, FALSE)
  ),
  INDEX(data!C:C, MATCH(B388, data!D:D, 0)),
  "INC"
)</f>
        <v>2025-09-13T12:25:00.705+08</v>
      </c>
      <c r="K388" s="9" t="str">
        <f t="array" ref="K388">IFERROR(INDEX(dataICM!C:C,match(Caseslist!B388,dataICM!D:D,0)), "INC")</f>
        <v>2025-09-13T12:43:30.297+08</v>
      </c>
      <c r="L388" s="10" t="str">
        <f t="array" ref="L388">IF(AND(G388="COMPLETE", OR(K388="INC", ISBLANK(INDEX(data!O:O, ROW())))), J388, K388)</f>
        <v>2025-09-13T12:43:30.297+08</v>
      </c>
      <c r="M388" s="2">
        <v>45913.0</v>
      </c>
      <c r="N388" s="2">
        <f t="array" ref="N388">IF(M388&lt;&gt;"INC", INDEX(data!M:M, MATCH(B388, data!D:D, 0)), "")</f>
        <v>3</v>
      </c>
      <c r="O388" s="2">
        <f t="shared" si="3"/>
        <v>3</v>
      </c>
    </row>
    <row r="389">
      <c r="A389" s="2" t="str">
        <f t="shared" si="1"/>
        <v>H006233</v>
      </c>
      <c r="B389" s="1" t="s">
        <v>6028</v>
      </c>
      <c r="C389" s="9" t="str">
        <f t="array" ref="C389">IF(
  AND(
    IFERROR(MATCH(Caseslist!B389, data!D:D, 0), 0) &gt; 0,
    IFERROR(INDEX(data!N:N, MATCH(Caseslist!B389, data!D:D, 0)) = 1, FALSE)
  ),
  "COMPLETE",
  "INC"
)</f>
        <v>COMPLETE</v>
      </c>
      <c r="D389" s="9" t="str">
        <f t="array" ref="D389">IFERROR(INDEX(data!$G:$G,match(Caseslist!B389,data!$D:$D,0)), "INC")</f>
        <v>O3925718</v>
      </c>
      <c r="E389" s="9" t="str">
        <f t="array" ref="E389">IFERROR(INDEX(data!H:H,match(Caseslist!B389,data!D:D,0)), "INC")</f>
        <v>Adrian Montecastro Ferrer</v>
      </c>
      <c r="F389" s="10" t="str">
        <f t="array" ref="F389">IF(
    OR(
      IFNA(INDEX(data!M:M, MATCH(Caseslist!B389, data!D:D, 0)), "") = "",
      IFNA(INDEX(data!M:M, MATCH(Caseslist!B389, data!D:D, 0)), 0) = 0
    ),
    "COMPLETE",
    IF(
      IFNA(INDEX(dataICM!D:D, MATCH(Caseslist!B389, dataICM!D:D, 0)), "INC") = "INC",
      IFNA(INDEX(dataICM!D:D, MATCH(Caseslist!B389, dataICM!D:D, 0)), "INC"),
      "COMPLETE"
    )
  )</f>
        <v>COMPLETE</v>
      </c>
      <c r="G389" s="10" t="str">
        <f t="array" ref="G389">IF(IFERROR(INDEX(data!L:L,match(Caseslist!B389,data!D:D,0)),"INC")="","COMPLETE",F389)</f>
        <v>COMPLETE</v>
      </c>
      <c r="H389" s="9" t="str">
        <f t="array" ref="H389">IFERROR(INDEX(dataICM!F:F,match(Caseslist!B389,dataICM!D:D,0)), "INC")</f>
        <v>Adrian Montecastro Ferrer</v>
      </c>
      <c r="I389" s="10" t="str">
        <f t="shared" si="2"/>
        <v>O3925718</v>
      </c>
      <c r="J389" s="9" t="str">
        <f t="array" ref="J389">IF(
  AND(
    IFERROR(MATCH(B389, data!D:D, 0), 0) &gt; 0,
    IFERROR(INDEX(data!N:N, MATCH(B389, data!D:D, 0)) = 1, FALSE)
  ),
  INDEX(data!C:C, MATCH(B389, data!D:D, 0)),
  "INC"
)</f>
        <v>2025-09-13T11:16:14.764+08</v>
      </c>
      <c r="K389" s="9" t="str">
        <f t="array" ref="K389">IFERROR(INDEX(dataICM!C:C,match(Caseslist!B389,dataICM!D:D,0)), "INC")</f>
        <v>2025-09-13T11:39:05.608+08</v>
      </c>
      <c r="L389" s="10" t="str">
        <f t="array" ref="L389">IF(AND(G389="COMPLETE", OR(K389="INC", ISBLANK(INDEX(data!O:O, ROW())))), J389, K389)</f>
        <v>2025-09-13T11:39:05.608+08</v>
      </c>
      <c r="M389" s="2">
        <v>45913.0</v>
      </c>
      <c r="N389" s="2">
        <f t="array" ref="N389">IF(M389&lt;&gt;"INC", INDEX(data!M:M, MATCH(B389, data!D:D, 0)), "")</f>
        <v>3</v>
      </c>
      <c r="O389" s="2">
        <f t="shared" si="3"/>
        <v>3</v>
      </c>
    </row>
    <row r="390">
      <c r="A390" s="2" t="str">
        <f t="shared" si="1"/>
        <v>H006233</v>
      </c>
      <c r="B390" s="1" t="s">
        <v>5393</v>
      </c>
      <c r="C390" s="9" t="str">
        <f t="array" ref="C390">IF(
  AND(
    IFERROR(MATCH(Caseslist!B390, data!D:D, 0), 0) &gt; 0,
    IFERROR(INDEX(data!N:N, MATCH(Caseslist!B390, data!D:D, 0)) = 1, FALSE)
  ),
  "COMPLETE",
  "INC"
)</f>
        <v>COMPLETE</v>
      </c>
      <c r="D390" s="9" t="str">
        <f t="array" ref="D390">IFERROR(INDEX(data!$G:$G,match(Caseslist!B390,data!$D:$D,0)), "INC")</f>
        <v>O3925718</v>
      </c>
      <c r="E390" s="9" t="str">
        <f t="array" ref="E390">IFERROR(INDEX(data!H:H,match(Caseslist!B390,data!D:D,0)), "INC")</f>
        <v>Adrian Montecastro Ferrer</v>
      </c>
      <c r="F390" s="10" t="str">
        <f t="array" ref="F390">IF(
    OR(
      IFNA(INDEX(data!M:M, MATCH(Caseslist!B390, data!D:D, 0)), "") = "",
      IFNA(INDEX(data!M:M, MATCH(Caseslist!B390, data!D:D, 0)), 0) = 0
    ),
    "COMPLETE",
    IF(
      IFNA(INDEX(dataICM!D:D, MATCH(Caseslist!B390, dataICM!D:D, 0)), "INC") = "INC",
      IFNA(INDEX(dataICM!D:D, MATCH(Caseslist!B390, dataICM!D:D, 0)), "INC"),
      "COMPLETE"
    )
  )</f>
        <v>COMPLETE</v>
      </c>
      <c r="G390" s="10" t="str">
        <f t="array" ref="G390">IF(IFERROR(INDEX(data!L:L,match(Caseslist!B390,data!D:D,0)),"INC")="","COMPLETE",F390)</f>
        <v>COMPLETE</v>
      </c>
      <c r="H390" s="9" t="str">
        <f t="array" ref="H390">IFERROR(INDEX(dataICM!F:F,match(Caseslist!B390,dataICM!D:D,0)), "INC")</f>
        <v>Adrian Montecastro Ferrer</v>
      </c>
      <c r="I390" s="10" t="str">
        <f t="shared" si="2"/>
        <v>O3925718</v>
      </c>
      <c r="J390" s="9" t="str">
        <f t="array" ref="J390">IF(
  AND(
    IFERROR(MATCH(B390, data!D:D, 0), 0) &gt; 0,
    IFERROR(INDEX(data!N:N, MATCH(B390, data!D:D, 0)) = 1, FALSE)
  ),
  INDEX(data!C:C, MATCH(B390, data!D:D, 0)),
  "INC"
)</f>
        <v>2025-09-11T10:50:32.514+08</v>
      </c>
      <c r="K390" s="9" t="str">
        <f t="array" ref="K390">IFERROR(INDEX(dataICM!C:C,match(Caseslist!B390,dataICM!D:D,0)), "INC")</f>
        <v>2025-09-11T11:00:48.755+08</v>
      </c>
      <c r="L390" s="10" t="str">
        <f t="array" ref="L390">IF(AND(G390="COMPLETE", OR(K390="INC", ISBLANK(INDEX(data!O:O, ROW())))), J390, K390)</f>
        <v>2025-09-11T11:00:48.755+08</v>
      </c>
      <c r="M390" s="2">
        <v>45911.0</v>
      </c>
      <c r="N390" s="2">
        <f t="array" ref="N390">IF(M390&lt;&gt;"INC", INDEX(data!M:M, MATCH(B390, data!D:D, 0)), "")</f>
        <v>3</v>
      </c>
      <c r="O390" s="2">
        <f t="shared" si="3"/>
        <v>3</v>
      </c>
    </row>
    <row r="391">
      <c r="A391" s="2" t="str">
        <f t="shared" si="1"/>
        <v>H006233</v>
      </c>
      <c r="B391" s="1" t="s">
        <v>6023</v>
      </c>
      <c r="C391" s="9" t="str">
        <f t="array" ref="C391">IF(
  AND(
    IFERROR(MATCH(Caseslist!B391, data!D:D, 0), 0) &gt; 0,
    IFERROR(INDEX(data!N:N, MATCH(Caseslist!B391, data!D:D, 0)) = 1, FALSE)
  ),
  "COMPLETE",
  "INC"
)</f>
        <v>COMPLETE</v>
      </c>
      <c r="D391" s="9" t="str">
        <f t="array" ref="D391">IFERROR(INDEX(data!$G:$G,match(Caseslist!B391,data!$D:$D,0)), "INC")</f>
        <v>O3925718</v>
      </c>
      <c r="E391" s="9" t="str">
        <f t="array" ref="E391">IFERROR(INDEX(data!H:H,match(Caseslist!B391,data!D:D,0)), "INC")</f>
        <v>Adrian Montecastro Ferrer</v>
      </c>
      <c r="F391" s="10" t="str">
        <f t="array" ref="F391">IF(
    OR(
      IFNA(INDEX(data!M:M, MATCH(Caseslist!B391, data!D:D, 0)), "") = "",
      IFNA(INDEX(data!M:M, MATCH(Caseslist!B391, data!D:D, 0)), 0) = 0
    ),
    "COMPLETE",
    IF(
      IFNA(INDEX(dataICM!D:D, MATCH(Caseslist!B391, dataICM!D:D, 0)), "INC") = "INC",
      IFNA(INDEX(dataICM!D:D, MATCH(Caseslist!B391, dataICM!D:D, 0)), "INC"),
      "COMPLETE"
    )
  )</f>
        <v>COMPLETE</v>
      </c>
      <c r="G391" s="10" t="str">
        <f t="array" ref="G391">IF(IFERROR(INDEX(data!L:L,match(Caseslist!B391,data!D:D,0)),"INC")="","COMPLETE",F391)</f>
        <v>COMPLETE</v>
      </c>
      <c r="H391" s="9" t="str">
        <f t="array" ref="H391">IFERROR(INDEX(dataICM!F:F,match(Caseslist!B391,dataICM!D:D,0)), "INC")</f>
        <v>Adrian Montecastro Ferrer</v>
      </c>
      <c r="I391" s="10" t="str">
        <f t="shared" si="2"/>
        <v>O3925718</v>
      </c>
      <c r="J391" s="9" t="str">
        <f t="array" ref="J391">IF(
  AND(
    IFERROR(MATCH(B391, data!D:D, 0), 0) &gt; 0,
    IFERROR(INDEX(data!N:N, MATCH(B391, data!D:D, 0)) = 1, FALSE)
  ),
  INDEX(data!C:C, MATCH(B391, data!D:D, 0)),
  "INC"
)</f>
        <v>2025-09-13T10:04:48.922+08</v>
      </c>
      <c r="K391" s="9" t="str">
        <f t="array" ref="K391">IFERROR(INDEX(dataICM!C:C,match(Caseslist!B391,dataICM!D:D,0)), "INC")</f>
        <v>2025-09-13T10:13:16.183+08</v>
      </c>
      <c r="L391" s="10" t="str">
        <f t="array" ref="L391">IF(AND(G391="COMPLETE", OR(K391="INC", ISBLANK(INDEX(data!O:O, ROW())))), J391, K391)</f>
        <v>2025-09-13T10:13:16.183+08</v>
      </c>
      <c r="M391" s="2">
        <v>45913.0</v>
      </c>
      <c r="N391" s="2">
        <f t="array" ref="N391">IF(M391&lt;&gt;"INC", INDEX(data!M:M, MATCH(B391, data!D:D, 0)), "")</f>
        <v>3</v>
      </c>
      <c r="O391" s="2">
        <f t="shared" si="3"/>
        <v>3</v>
      </c>
    </row>
    <row r="392">
      <c r="A392" s="2" t="str">
        <f t="shared" si="1"/>
        <v>H006233</v>
      </c>
      <c r="B392" s="1" t="s">
        <v>5398</v>
      </c>
      <c r="C392" s="9" t="str">
        <f t="array" ref="C392">IF(
  AND(
    IFERROR(MATCH(Caseslist!B392, data!D:D, 0), 0) &gt; 0,
    IFERROR(INDEX(data!N:N, MATCH(Caseslist!B392, data!D:D, 0)) = 1, FALSE)
  ),
  "COMPLETE",
  "INC"
)</f>
        <v>COMPLETE</v>
      </c>
      <c r="D392" s="9" t="str">
        <f t="array" ref="D392">IFERROR(INDEX(data!$G:$G,match(Caseslist!B392,data!$D:$D,0)), "INC")</f>
        <v>O3925718</v>
      </c>
      <c r="E392" s="9" t="str">
        <f t="array" ref="E392">IFERROR(INDEX(data!H:H,match(Caseslist!B392,data!D:D,0)), "INC")</f>
        <v>Adrian Montecastro Ferrer</v>
      </c>
      <c r="F392" s="10" t="str">
        <f t="array" ref="F392">IF(
    OR(
      IFNA(INDEX(data!M:M, MATCH(Caseslist!B392, data!D:D, 0)), "") = "",
      IFNA(INDEX(data!M:M, MATCH(Caseslist!B392, data!D:D, 0)), 0) = 0
    ),
    "COMPLETE",
    IF(
      IFNA(INDEX(dataICM!D:D, MATCH(Caseslist!B392, dataICM!D:D, 0)), "INC") = "INC",
      IFNA(INDEX(dataICM!D:D, MATCH(Caseslist!B392, dataICM!D:D, 0)), "INC"),
      "COMPLETE"
    )
  )</f>
        <v>COMPLETE</v>
      </c>
      <c r="G392" s="10" t="str">
        <f t="array" ref="G392">IF(IFERROR(INDEX(data!L:L,match(Caseslist!B392,data!D:D,0)),"INC")="","COMPLETE",F392)</f>
        <v>COMPLETE</v>
      </c>
      <c r="H392" s="9" t="str">
        <f t="array" ref="H392">IFERROR(INDEX(dataICM!F:F,match(Caseslist!B392,dataICM!D:D,0)), "INC")</f>
        <v>Adrian Montecastro Ferrer</v>
      </c>
      <c r="I392" s="10" t="str">
        <f t="shared" si="2"/>
        <v>O3925718</v>
      </c>
      <c r="J392" s="9" t="str">
        <f t="array" ref="J392">IF(
  AND(
    IFERROR(MATCH(B392, data!D:D, 0), 0) &gt; 0,
    IFERROR(INDEX(data!N:N, MATCH(B392, data!D:D, 0)) = 1, FALSE)
  ),
  INDEX(data!C:C, MATCH(B392, data!D:D, 0)),
  "INC"
)</f>
        <v>2025-09-11T08:59:39.861+08</v>
      </c>
      <c r="K392" s="9" t="str">
        <f t="array" ref="K392">IFERROR(INDEX(dataICM!C:C,match(Caseslist!B392,dataICM!D:D,0)), "INC")</f>
        <v>2025-09-11T09:14:39.490+08</v>
      </c>
      <c r="L392" s="10" t="str">
        <f t="array" ref="L392">IF(AND(G392="COMPLETE", OR(K392="INC", ISBLANK(INDEX(data!O:O, ROW())))), J392, K392)</f>
        <v>2025-09-11T09:14:39.490+08</v>
      </c>
      <c r="M392" s="2">
        <v>45911.0</v>
      </c>
      <c r="N392" s="2">
        <f t="array" ref="N392">IF(M392&lt;&gt;"INC", INDEX(data!M:M, MATCH(B392, data!D:D, 0)), "")</f>
        <v>3</v>
      </c>
      <c r="O392" s="2">
        <f t="shared" si="3"/>
        <v>3</v>
      </c>
    </row>
    <row r="393">
      <c r="A393" s="2" t="str">
        <f t="shared" si="1"/>
        <v>H006248</v>
      </c>
      <c r="B393" s="1" t="s">
        <v>4347</v>
      </c>
      <c r="C393" s="9" t="str">
        <f t="array" ref="C393">IF(
  AND(
    IFERROR(MATCH(Caseslist!B393, data!D:D, 0), 0) &gt; 0,
    IFERROR(INDEX(data!N:N, MATCH(Caseslist!B393, data!D:D, 0)) = 1, FALSE)
  ),
  "COMPLETE",
  "INC"
)</f>
        <v>COMPLETE</v>
      </c>
      <c r="D393" s="9" t="str">
        <f t="array" ref="D393">IFERROR(INDEX(data!$G:$G,match(Caseslist!B393,data!$D:$D,0)), "INC")</f>
        <v>M6491032</v>
      </c>
      <c r="E393" s="9" t="str">
        <f t="array" ref="E393">IFERROR(INDEX(data!H:H,match(Caseslist!B393,data!D:D,0)), "INC")</f>
        <v>Rosevil Tayo Desamparado</v>
      </c>
      <c r="F393" s="10" t="str">
        <f t="array" ref="F393">IF(
    OR(
      IFNA(INDEX(data!M:M, MATCH(Caseslist!B393, data!D:D, 0)), "") = "",
      IFNA(INDEX(data!M:M, MATCH(Caseslist!B393, data!D:D, 0)), 0) = 0
    ),
    "COMPLETE",
    IF(
      IFNA(INDEX(dataICM!D:D, MATCH(Caseslist!B393, dataICM!D:D, 0)), "INC") = "INC",
      IFNA(INDEX(dataICM!D:D, MATCH(Caseslist!B393, dataICM!D:D, 0)), "INC"),
      "COMPLETE"
    )
  )</f>
        <v>COMPLETE</v>
      </c>
      <c r="G393" s="10" t="str">
        <f t="array" ref="G393">IF(IFERROR(INDEX(data!L:L,match(Caseslist!B393,data!D:D,0)),"INC")="","COMPLETE",F393)</f>
        <v>COMPLETE</v>
      </c>
      <c r="H393" s="9" t="str">
        <f t="array" ref="H393">IFERROR(INDEX(dataICM!F:F,match(Caseslist!B393,dataICM!D:D,0)), "INC")</f>
        <v>Rosevil Tayo Desamparado</v>
      </c>
      <c r="I393" s="10" t="str">
        <f t="shared" si="2"/>
        <v>M6491032</v>
      </c>
      <c r="J393" s="9" t="str">
        <f t="array" ref="J393">IF(
  AND(
    IFERROR(MATCH(B393, data!D:D, 0), 0) &gt; 0,
    IFERROR(INDEX(data!N:N, MATCH(B393, data!D:D, 0)) = 1, FALSE)
  ),
  INDEX(data!C:C, MATCH(B393, data!D:D, 0)),
  "INC"
)</f>
        <v>2025-09-06T11:12:12.370+08</v>
      </c>
      <c r="K393" s="9" t="str">
        <f t="array" ref="K393">IFERROR(INDEX(dataICM!C:C,match(Caseslist!B393,dataICM!D:D,0)), "INC")</f>
        <v>2025-09-06T11:48:04.267+08</v>
      </c>
      <c r="L393" s="10" t="str">
        <f t="array" ref="L393">IF(AND(G393="COMPLETE", OR(K393="INC", ISBLANK(INDEX(data!O:O, ROW())))), J393, K393)</f>
        <v>2025-09-06T11:48:04.267+08</v>
      </c>
      <c r="M393" s="2">
        <v>45906.0</v>
      </c>
      <c r="N393" s="2">
        <f t="array" ref="N393">IF(M393&lt;&gt;"INC", INDEX(data!M:M, MATCH(B393, data!D:D, 0)), "")</f>
        <v>3</v>
      </c>
      <c r="O393" s="2">
        <f t="shared" si="3"/>
        <v>3</v>
      </c>
    </row>
    <row r="394">
      <c r="A394" s="2" t="str">
        <f t="shared" si="1"/>
        <v>H006248</v>
      </c>
      <c r="B394" s="1" t="s">
        <v>8698</v>
      </c>
      <c r="C394" s="9" t="str">
        <f t="array" ref="C394">IF(
  AND(
    IFERROR(MATCH(Caseslist!B394, data!D:D, 0), 0) &gt; 0,
    IFERROR(INDEX(data!N:N, MATCH(Caseslist!B394, data!D:D, 0)) = 1, FALSE)
  ),
  "COMPLETE",
  "INC"
)</f>
        <v>COMPLETE</v>
      </c>
      <c r="D394" s="9" t="str">
        <f t="array" ref="D394">IFERROR(INDEX(data!$G:$G,match(Caseslist!B394,data!$D:$D,0)), "INC")</f>
        <v>M6491032</v>
      </c>
      <c r="E394" s="9" t="str">
        <f t="array" ref="E394">IFERROR(INDEX(data!H:H,match(Caseslist!B394,data!D:D,0)), "INC")</f>
        <v>Rosevil Tayo Desamparado</v>
      </c>
      <c r="F394" s="10" t="str">
        <f t="array" ref="F394">IF(
    OR(
      IFNA(INDEX(data!M:M, MATCH(Caseslist!B394, data!D:D, 0)), "") = "",
      IFNA(INDEX(data!M:M, MATCH(Caseslist!B394, data!D:D, 0)), 0) = 0
    ),
    "COMPLETE",
    IF(
      IFNA(INDEX(dataICM!D:D, MATCH(Caseslist!B394, dataICM!D:D, 0)), "INC") = "INC",
      IFNA(INDEX(dataICM!D:D, MATCH(Caseslist!B394, dataICM!D:D, 0)), "INC"),
      "COMPLETE"
    )
  )</f>
        <v>COMPLETE</v>
      </c>
      <c r="G394" s="10" t="str">
        <f t="array" ref="G394">IF(IFERROR(INDEX(data!L:L,match(Caseslist!B394,data!D:D,0)),"INC")="","COMPLETE",F394)</f>
        <v>COMPLETE</v>
      </c>
      <c r="H394" s="9" t="str">
        <f t="array" ref="H394">IFERROR(INDEX(dataICM!F:F,match(Caseslist!B394,dataICM!D:D,0)), "INC")</f>
        <v>Rosevil Tayo Desamparado</v>
      </c>
      <c r="I394" s="10" t="str">
        <f t="shared" si="2"/>
        <v>M6491032</v>
      </c>
      <c r="J394" s="9" t="str">
        <f t="array" ref="J394">IF(
  AND(
    IFERROR(MATCH(B394, data!D:D, 0), 0) &gt; 0,
    IFERROR(INDEX(data!N:N, MATCH(B394, data!D:D, 0)) = 1, FALSE)
  ),
  INDEX(data!C:C, MATCH(B394, data!D:D, 0)),
  "INC"
)</f>
        <v>2025-09-28T12:32:16.119+08</v>
      </c>
      <c r="K394" s="9" t="str">
        <f t="array" ref="K394">IFERROR(INDEX(dataICM!C:C,match(Caseslist!B394,dataICM!D:D,0)), "INC")</f>
        <v>2025-09-28T12:32:32.434+08</v>
      </c>
      <c r="L394" s="10" t="str">
        <f t="array" ref="L394">IF(AND(G394="COMPLETE", OR(K394="INC", ISBLANK(INDEX(data!O:O, ROW())))), J394, K394)</f>
        <v>2025-09-28T12:32:32.434+08</v>
      </c>
      <c r="M394" s="2">
        <v>45928.0</v>
      </c>
      <c r="N394" s="2">
        <f t="array" ref="N394">IF(M394&lt;&gt;"INC", INDEX(data!M:M, MATCH(B394, data!D:D, 0)), "")</f>
        <v>3</v>
      </c>
      <c r="O394" s="2">
        <f t="shared" si="3"/>
        <v>3</v>
      </c>
    </row>
    <row r="395">
      <c r="A395" s="2" t="str">
        <f t="shared" si="1"/>
        <v>H006248</v>
      </c>
      <c r="B395" s="1" t="s">
        <v>4217</v>
      </c>
      <c r="C395" s="9" t="str">
        <f t="array" ref="C395">IF(
  AND(
    IFERROR(MATCH(Caseslist!B395, data!D:D, 0), 0) &gt; 0,
    IFERROR(INDEX(data!N:N, MATCH(Caseslist!B395, data!D:D, 0)) = 1, FALSE)
  ),
  "COMPLETE",
  "INC"
)</f>
        <v>COMPLETE</v>
      </c>
      <c r="D395" s="9" t="str">
        <f t="array" ref="D395">IFERROR(INDEX(data!$G:$G,match(Caseslist!B395,data!$D:$D,0)), "INC")</f>
        <v>L2057896</v>
      </c>
      <c r="E395" s="9" t="str">
        <f t="array" ref="E395">IFERROR(INDEX(data!H:H,match(Caseslist!B395,data!D:D,0)), "INC")</f>
        <v>Franz Reoben Posadas Geneblaza</v>
      </c>
      <c r="F395" s="10" t="str">
        <f t="array" ref="F395">IF(
    OR(
      IFNA(INDEX(data!M:M, MATCH(Caseslist!B395, data!D:D, 0)), "") = "",
      IFNA(INDEX(data!M:M, MATCH(Caseslist!B395, data!D:D, 0)), 0) = 0
    ),
    "COMPLETE",
    IF(
      IFNA(INDEX(dataICM!D:D, MATCH(Caseslist!B395, dataICM!D:D, 0)), "INC") = "INC",
      IFNA(INDEX(dataICM!D:D, MATCH(Caseslist!B395, dataICM!D:D, 0)), "INC"),
      "COMPLETE"
    )
  )</f>
        <v>COMPLETE</v>
      </c>
      <c r="G395" s="10" t="str">
        <f t="array" ref="G395">IF(IFERROR(INDEX(data!L:L,match(Caseslist!B395,data!D:D,0)),"INC")="","COMPLETE",F395)</f>
        <v>COMPLETE</v>
      </c>
      <c r="H395" s="9" t="str">
        <f t="array" ref="H395">IFERROR(INDEX(dataICM!F:F,match(Caseslist!B395,dataICM!D:D,0)), "INC")</f>
        <v>Franz Reoben Posadas Geneblaza</v>
      </c>
      <c r="I395" s="10" t="str">
        <f t="shared" si="2"/>
        <v>L2057896</v>
      </c>
      <c r="J395" s="9" t="str">
        <f t="array" ref="J395">IF(
  AND(
    IFERROR(MATCH(B395, data!D:D, 0), 0) &gt; 0,
    IFERROR(INDEX(data!N:N, MATCH(B395, data!D:D, 0)) = 1, FALSE)
  ),
  INDEX(data!C:C, MATCH(B395, data!D:D, 0)),
  "INC"
)</f>
        <v>2025-09-06T14:10:00.325+08</v>
      </c>
      <c r="K395" s="9" t="str">
        <f t="array" ref="K395">IFERROR(INDEX(dataICM!C:C,match(Caseslist!B395,dataICM!D:D,0)), "INC")</f>
        <v>2025-09-06T14:23:48.266+08</v>
      </c>
      <c r="L395" s="10" t="str">
        <f t="array" ref="L395">IF(AND(G395="COMPLETE", OR(K395="INC", ISBLANK(INDEX(data!O:O, ROW())))), J395, K395)</f>
        <v>2025-09-06T14:23:48.266+08</v>
      </c>
      <c r="M395" s="2">
        <v>45906.0</v>
      </c>
      <c r="N395" s="2">
        <f t="array" ref="N395">IF(M395&lt;&gt;"INC", INDEX(data!M:M, MATCH(B395, data!D:D, 0)), "")</f>
        <v>3</v>
      </c>
      <c r="O395" s="2">
        <f t="shared" si="3"/>
        <v>3</v>
      </c>
    </row>
    <row r="396">
      <c r="A396" s="2" t="str">
        <f t="shared" si="1"/>
        <v>H006248</v>
      </c>
      <c r="B396" s="1" t="s">
        <v>4357</v>
      </c>
      <c r="C396" s="9" t="str">
        <f t="array" ref="C396">IF(
  AND(
    IFERROR(MATCH(Caseslist!B396, data!D:D, 0), 0) &gt; 0,
    IFERROR(INDEX(data!N:N, MATCH(Caseslist!B396, data!D:D, 0)) = 1, FALSE)
  ),
  "COMPLETE",
  "INC"
)</f>
        <v>COMPLETE</v>
      </c>
      <c r="D396" s="9" t="str">
        <f t="array" ref="D396">IFERROR(INDEX(data!$G:$G,match(Caseslist!B396,data!$D:$D,0)), "INC")</f>
        <v>K8623174</v>
      </c>
      <c r="E396" s="9" t="str">
        <f t="array" ref="E396">IFERROR(INDEX(data!H:H,match(Caseslist!B396,data!D:D,0)), "INC")</f>
        <v>Marielle Kaye Ignacio Alonzo</v>
      </c>
      <c r="F396" s="10" t="str">
        <f t="array" ref="F396">IF(
    OR(
      IFNA(INDEX(data!M:M, MATCH(Caseslist!B396, data!D:D, 0)), "") = "",
      IFNA(INDEX(data!M:M, MATCH(Caseslist!B396, data!D:D, 0)), 0) = 0
    ),
    "COMPLETE",
    IF(
      IFNA(INDEX(dataICM!D:D, MATCH(Caseslist!B396, dataICM!D:D, 0)), "INC") = "INC",
      IFNA(INDEX(dataICM!D:D, MATCH(Caseslist!B396, dataICM!D:D, 0)), "INC"),
      "COMPLETE"
    )
  )</f>
        <v>COMPLETE</v>
      </c>
      <c r="G396" s="10" t="str">
        <f t="array" ref="G396">IF(IFERROR(INDEX(data!L:L,match(Caseslist!B396,data!D:D,0)),"INC")="","COMPLETE",F396)</f>
        <v>COMPLETE</v>
      </c>
      <c r="H396" s="9" t="str">
        <f t="array" ref="H396">IFERROR(INDEX(dataICM!F:F,match(Caseslist!B396,dataICM!D:D,0)), "INC")</f>
        <v>Marielle Kaye Ignacio Alonzo</v>
      </c>
      <c r="I396" s="10" t="str">
        <f t="shared" si="2"/>
        <v>K8623174</v>
      </c>
      <c r="J396" s="9" t="str">
        <f t="array" ref="J396">IF(
  AND(
    IFERROR(MATCH(B396, data!D:D, 0), 0) &gt; 0,
    IFERROR(INDEX(data!N:N, MATCH(B396, data!D:D, 0)) = 1, FALSE)
  ),
  INDEX(data!C:C, MATCH(B396, data!D:D, 0)),
  "INC"
)</f>
        <v>2025-09-06T11:10:09.728+08</v>
      </c>
      <c r="K396" s="9" t="str">
        <f t="array" ref="K396">IFERROR(INDEX(dataICM!C:C,match(Caseslist!B396,dataICM!D:D,0)), "INC")</f>
        <v>2025-09-06T23:41:30.634+08</v>
      </c>
      <c r="L396" s="10" t="str">
        <f t="array" ref="L396">IF(AND(G396="COMPLETE", OR(K396="INC", ISBLANK(INDEX(data!O:O, ROW())))), J396, K396)</f>
        <v>2025-09-06T23:41:30.634+08</v>
      </c>
      <c r="M396" s="2">
        <v>45906.0</v>
      </c>
      <c r="N396" s="2">
        <f t="array" ref="N396">IF(M396&lt;&gt;"INC", INDEX(data!M:M, MATCH(B396, data!D:D, 0)), "")</f>
        <v>3</v>
      </c>
      <c r="O396" s="2">
        <f t="shared" si="3"/>
        <v>3</v>
      </c>
    </row>
    <row r="397">
      <c r="A397" s="2" t="str">
        <f t="shared" si="1"/>
        <v>H006248</v>
      </c>
      <c r="B397" s="1" t="s">
        <v>4212</v>
      </c>
      <c r="C397" s="9" t="str">
        <f t="array" ref="C397">IF(
  AND(
    IFERROR(MATCH(Caseslist!B397, data!D:D, 0), 0) &gt; 0,
    IFERROR(INDEX(data!N:N, MATCH(Caseslist!B397, data!D:D, 0)) = 1, FALSE)
  ),
  "COMPLETE",
  "INC"
)</f>
        <v>COMPLETE</v>
      </c>
      <c r="D397" s="9" t="str">
        <f t="array" ref="D397">IFERROR(INDEX(data!$G:$G,match(Caseslist!B397,data!$D:$D,0)), "INC")</f>
        <v>L2057896</v>
      </c>
      <c r="E397" s="9" t="str">
        <f t="array" ref="E397">IFERROR(INDEX(data!H:H,match(Caseslist!B397,data!D:D,0)), "INC")</f>
        <v>Franz Reoben Posadas Geneblaza</v>
      </c>
      <c r="F397" s="10" t="str">
        <f t="array" ref="F397">IF(
    OR(
      IFNA(INDEX(data!M:M, MATCH(Caseslist!B397, data!D:D, 0)), "") = "",
      IFNA(INDEX(data!M:M, MATCH(Caseslist!B397, data!D:D, 0)), 0) = 0
    ),
    "COMPLETE",
    IF(
      IFNA(INDEX(dataICM!D:D, MATCH(Caseslist!B397, dataICM!D:D, 0)), "INC") = "INC",
      IFNA(INDEX(dataICM!D:D, MATCH(Caseslist!B397, dataICM!D:D, 0)), "INC"),
      "COMPLETE"
    )
  )</f>
        <v>COMPLETE</v>
      </c>
      <c r="G397" s="10" t="str">
        <f t="array" ref="G397">IF(IFERROR(INDEX(data!L:L,match(Caseslist!B397,data!D:D,0)),"INC")="","COMPLETE",F397)</f>
        <v>COMPLETE</v>
      </c>
      <c r="H397" s="9" t="str">
        <f t="array" ref="H397">IFERROR(INDEX(dataICM!F:F,match(Caseslist!B397,dataICM!D:D,0)), "INC")</f>
        <v>Franz Reoben Posadas Geneblaza</v>
      </c>
      <c r="I397" s="10" t="str">
        <f t="shared" si="2"/>
        <v>L2057896</v>
      </c>
      <c r="J397" s="9" t="str">
        <f t="array" ref="J397">IF(
  AND(
    IFERROR(MATCH(B397, data!D:D, 0), 0) &gt; 0,
    IFERROR(INDEX(data!N:N, MATCH(B397, data!D:D, 0)) = 1, FALSE)
  ),
  INDEX(data!C:C, MATCH(B397, data!D:D, 0)),
  "INC"
)</f>
        <v>2025-09-06T11:02:09.099+08</v>
      </c>
      <c r="K397" s="9" t="str">
        <f t="array" ref="K397">IFERROR(INDEX(dataICM!C:C,match(Caseslist!B397,dataICM!D:D,0)), "INC")</f>
        <v>2025-09-06T11:19:27.802+08</v>
      </c>
      <c r="L397" s="10" t="str">
        <f t="array" ref="L397">IF(AND(G397="COMPLETE", OR(K397="INC", ISBLANK(INDEX(data!O:O, ROW())))), J397, K397)</f>
        <v>2025-09-06T11:19:27.802+08</v>
      </c>
      <c r="M397" s="2">
        <v>45906.0</v>
      </c>
      <c r="N397" s="2">
        <f t="array" ref="N397">IF(M397&lt;&gt;"INC", INDEX(data!M:M, MATCH(B397, data!D:D, 0)), "")</f>
        <v>3</v>
      </c>
      <c r="O397" s="2">
        <f t="shared" si="3"/>
        <v>3</v>
      </c>
    </row>
    <row r="398">
      <c r="A398" s="2" t="str">
        <f t="shared" si="1"/>
        <v>H006248</v>
      </c>
      <c r="B398" s="1" t="s">
        <v>8688</v>
      </c>
      <c r="C398" s="9" t="str">
        <f t="array" ref="C398">IF(
  AND(
    IFERROR(MATCH(Caseslist!B398, data!D:D, 0), 0) &gt; 0,
    IFERROR(INDEX(data!N:N, MATCH(Caseslist!B398, data!D:D, 0)) = 1, FALSE)
  ),
  "COMPLETE",
  "INC"
)</f>
        <v>INC</v>
      </c>
      <c r="D398" s="9" t="str">
        <f t="array" ref="D398">IFERROR(INDEX(data!$G:$G,match(Caseslist!B398,data!$D:$D,0)), "INC")</f>
        <v>J4315980</v>
      </c>
      <c r="E398" s="9" t="str">
        <f t="array" ref="E398">IFERROR(INDEX(data!H:H,match(Caseslist!B398,data!D:D,0)), "INC")</f>
        <v>Trixie Marie Jardeleza Saber</v>
      </c>
      <c r="F398" s="10" t="str">
        <f t="array" ref="F398">IF(
    OR(
      IFNA(INDEX(data!M:M, MATCH(Caseslist!B398, data!D:D, 0)), "") = "",
      IFNA(INDEX(data!M:M, MATCH(Caseslist!B398, data!D:D, 0)), 0) = 0
    ),
    "COMPLETE",
    IF(
      IFNA(INDEX(dataICM!D:D, MATCH(Caseslist!B398, dataICM!D:D, 0)), "INC") = "INC",
      IFNA(INDEX(dataICM!D:D, MATCH(Caseslist!B398, dataICM!D:D, 0)), "INC"),
      "COMPLETE"
    )
  )</f>
        <v>INC</v>
      </c>
      <c r="G398" s="10" t="str">
        <f t="array" ref="G398">IF(IFERROR(INDEX(data!L:L,match(Caseslist!B398,data!D:D,0)),"INC")="","COMPLETE",F398)</f>
        <v>INC</v>
      </c>
      <c r="H398" s="9" t="str">
        <f t="array" ref="H398">IFERROR(INDEX(dataICM!F:F,match(Caseslist!B398,dataICM!D:D,0)), "INC")</f>
        <v>INC</v>
      </c>
      <c r="I398" s="10" t="str">
        <f t="shared" si="2"/>
        <v>INC</v>
      </c>
      <c r="J398" s="9" t="str">
        <f t="array" ref="J398">IF(
  AND(
    IFERROR(MATCH(B398, data!D:D, 0), 0) &gt; 0,
    IFERROR(INDEX(data!N:N, MATCH(B398, data!D:D, 0)) = 1, FALSE)
  ),
  INDEX(data!C:C, MATCH(B398, data!D:D, 0)),
  "INC"
)</f>
        <v>INC</v>
      </c>
      <c r="K398" s="9" t="str">
        <f t="array" ref="K398">IFERROR(INDEX(dataICM!C:C,match(Caseslist!B398,dataICM!D:D,0)), "INC")</f>
        <v>INC</v>
      </c>
      <c r="L398" s="10" t="str">
        <f t="array" ref="L398">IF(AND(G398="COMPLETE", OR(K398="INC", ISBLANK(INDEX(data!O:O, ROW())))), J398, K398)</f>
        <v>INC</v>
      </c>
      <c r="M398" s="2" t="s">
        <v>8886</v>
      </c>
      <c r="N398" s="2" t="str">
        <f t="array" ref="N398">IF(M398&lt;&gt;"INC", INDEX(data!M:M, MATCH(B398, data!D:D, 0)), "")</f>
        <v/>
      </c>
      <c r="O398" s="2" t="str">
        <f t="shared" si="3"/>
        <v/>
      </c>
    </row>
    <row r="399">
      <c r="A399" s="2" t="str">
        <f t="shared" si="1"/>
        <v>H006248</v>
      </c>
      <c r="B399" s="1" t="s">
        <v>8693</v>
      </c>
      <c r="C399" s="9" t="str">
        <f t="array" ref="C399">IF(
  AND(
    IFERROR(MATCH(Caseslist!B399, data!D:D, 0), 0) &gt; 0,
    IFERROR(INDEX(data!N:N, MATCH(Caseslist!B399, data!D:D, 0)) = 1, FALSE)
  ),
  "COMPLETE",
  "INC"
)</f>
        <v>COMPLETE</v>
      </c>
      <c r="D399" s="9" t="str">
        <f t="array" ref="D399">IFERROR(INDEX(data!$G:$G,match(Caseslist!B399,data!$D:$D,0)), "INC")</f>
        <v>M6491032</v>
      </c>
      <c r="E399" s="9" t="str">
        <f t="array" ref="E399">IFERROR(INDEX(data!H:H,match(Caseslist!B399,data!D:D,0)), "INC")</f>
        <v>Rosevil Tayo Desamparado</v>
      </c>
      <c r="F399" s="10" t="str">
        <f t="array" ref="F399">IF(
    OR(
      IFNA(INDEX(data!M:M, MATCH(Caseslist!B399, data!D:D, 0)), "") = "",
      IFNA(INDEX(data!M:M, MATCH(Caseslist!B399, data!D:D, 0)), 0) = 0
    ),
    "COMPLETE",
    IF(
      IFNA(INDEX(dataICM!D:D, MATCH(Caseslist!B399, dataICM!D:D, 0)), "INC") = "INC",
      IFNA(INDEX(dataICM!D:D, MATCH(Caseslist!B399, dataICM!D:D, 0)), "INC"),
      "COMPLETE"
    )
  )</f>
        <v>COMPLETE</v>
      </c>
      <c r="G399" s="10" t="str">
        <f t="array" ref="G399">IF(IFERROR(INDEX(data!L:L,match(Caseslist!B399,data!D:D,0)),"INC")="","COMPLETE",F399)</f>
        <v>COMPLETE</v>
      </c>
      <c r="H399" s="9" t="str">
        <f t="array" ref="H399">IFERROR(INDEX(dataICM!F:F,match(Caseslist!B399,dataICM!D:D,0)), "INC")</f>
        <v>Rosevil Tayo Desamparado</v>
      </c>
      <c r="I399" s="10" t="str">
        <f t="shared" si="2"/>
        <v>M6491032</v>
      </c>
      <c r="J399" s="9" t="str">
        <f t="array" ref="J399">IF(
  AND(
    IFERROR(MATCH(B399, data!D:D, 0), 0) &gt; 0,
    IFERROR(INDEX(data!N:N, MATCH(B399, data!D:D, 0)) = 1, FALSE)
  ),
  INDEX(data!C:C, MATCH(B399, data!D:D, 0)),
  "INC"
)</f>
        <v>2025-09-28T10:11:45.175+08</v>
      </c>
      <c r="K399" s="9" t="str">
        <f t="array" ref="K399">IFERROR(INDEX(dataICM!C:C,match(Caseslist!B399,dataICM!D:D,0)), "INC")</f>
        <v>2025-09-28T19:28:10.358+08</v>
      </c>
      <c r="L399" s="10" t="str">
        <f t="array" ref="L399">IF(AND(G399="COMPLETE", OR(K399="INC", ISBLANK(INDEX(data!O:O, ROW())))), J399, K399)</f>
        <v>2025-09-28T19:28:10.358+08</v>
      </c>
      <c r="M399" s="2">
        <v>45928.0</v>
      </c>
      <c r="N399" s="2">
        <f t="array" ref="N399">IF(M399&lt;&gt;"INC", INDEX(data!M:M, MATCH(B399, data!D:D, 0)), "")</f>
        <v>3</v>
      </c>
      <c r="O399" s="2">
        <f t="shared" si="3"/>
        <v>3</v>
      </c>
    </row>
    <row r="400">
      <c r="A400" s="2" t="str">
        <f t="shared" si="1"/>
        <v>H006248</v>
      </c>
      <c r="B400" s="1" t="s">
        <v>4477</v>
      </c>
      <c r="C400" s="9" t="str">
        <f t="array" ref="C400">IF(
  AND(
    IFERROR(MATCH(Caseslist!B400, data!D:D, 0), 0) &gt; 0,
    IFERROR(INDEX(data!N:N, MATCH(Caseslist!B400, data!D:D, 0)) = 1, FALSE)
  ),
  "COMPLETE",
  "INC"
)</f>
        <v>COMPLETE</v>
      </c>
      <c r="D400" s="9" t="str">
        <f t="array" ref="D400">IFERROR(INDEX(data!$G:$G,match(Caseslist!B400,data!$D:$D,0)), "INC")</f>
        <v>J4315980</v>
      </c>
      <c r="E400" s="9" t="str">
        <f t="array" ref="E400">IFERROR(INDEX(data!H:H,match(Caseslist!B400,data!D:D,0)), "INC")</f>
        <v>Trixie Marie Jardeleza Saber</v>
      </c>
      <c r="F400" s="10" t="str">
        <f t="array" ref="F400">IF(
    OR(
      IFNA(INDEX(data!M:M, MATCH(Caseslist!B400, data!D:D, 0)), "") = "",
      IFNA(INDEX(data!M:M, MATCH(Caseslist!B400, data!D:D, 0)), 0) = 0
    ),
    "COMPLETE",
    IF(
      IFNA(INDEX(dataICM!D:D, MATCH(Caseslist!B400, dataICM!D:D, 0)), "INC") = "INC",
      IFNA(INDEX(dataICM!D:D, MATCH(Caseslist!B400, dataICM!D:D, 0)), "INC"),
      "COMPLETE"
    )
  )</f>
        <v>COMPLETE</v>
      </c>
      <c r="G400" s="10" t="str">
        <f t="array" ref="G400">IF(IFERROR(INDEX(data!L:L,match(Caseslist!B400,data!D:D,0)),"INC")="","COMPLETE",F400)</f>
        <v>COMPLETE</v>
      </c>
      <c r="H400" s="9" t="str">
        <f t="array" ref="H400">IFERROR(INDEX(dataICM!F:F,match(Caseslist!B400,dataICM!D:D,0)), "INC")</f>
        <v>Trixie Marie Jardeleza Saber</v>
      </c>
      <c r="I400" s="10" t="str">
        <f t="shared" si="2"/>
        <v>J4315980</v>
      </c>
      <c r="J400" s="9" t="str">
        <f t="array" ref="J400">IF(
  AND(
    IFERROR(MATCH(B400, data!D:D, 0), 0) &gt; 0,
    IFERROR(INDEX(data!N:N, MATCH(B400, data!D:D, 0)) = 1, FALSE)
  ),
  INDEX(data!C:C, MATCH(B400, data!D:D, 0)),
  "INC"
)</f>
        <v>2025-09-28T10:09:35.293+08</v>
      </c>
      <c r="K400" s="9" t="str">
        <f t="array" ref="K400">IFERROR(INDEX(dataICM!C:C,match(Caseslist!B400,dataICM!D:D,0)), "INC")</f>
        <v>2025-09-28T10:11:06.368+08</v>
      </c>
      <c r="L400" s="10" t="str">
        <f t="array" ref="L400">IF(AND(G400="COMPLETE", OR(K400="INC", ISBLANK(INDEX(data!O:O, ROW())))), J400, K400)</f>
        <v>2025-09-28T10:11:06.368+08</v>
      </c>
      <c r="M400" s="2">
        <v>45928.0</v>
      </c>
      <c r="N400" s="2">
        <f t="array" ref="N400">IF(M400&lt;&gt;"INC", INDEX(data!M:M, MATCH(B400, data!D:D, 0)), "")</f>
        <v>3</v>
      </c>
      <c r="O400" s="2">
        <f t="shared" si="3"/>
        <v>3</v>
      </c>
    </row>
    <row r="401">
      <c r="A401" s="2" t="str">
        <f t="shared" si="1"/>
        <v>H006248</v>
      </c>
      <c r="B401" s="1" t="s">
        <v>4252</v>
      </c>
      <c r="C401" s="9" t="str">
        <f t="array" ref="C401">IF(
  AND(
    IFERROR(MATCH(Caseslist!B401, data!D:D, 0), 0) &gt; 0,
    IFERROR(INDEX(data!N:N, MATCH(Caseslist!B401, data!D:D, 0)) = 1, FALSE)
  ),
  "COMPLETE",
  "INC"
)</f>
        <v>COMPLETE</v>
      </c>
      <c r="D401" s="9" t="str">
        <f t="array" ref="D401">IFERROR(INDEX(data!$G:$G,match(Caseslist!B401,data!$D:$D,0)), "INC")</f>
        <v>J4315980</v>
      </c>
      <c r="E401" s="9" t="str">
        <f t="array" ref="E401">IFERROR(INDEX(data!H:H,match(Caseslist!B401,data!D:D,0)), "INC")</f>
        <v>Trixie Marie Jardeleza Saber</v>
      </c>
      <c r="F401" s="10" t="str">
        <f t="array" ref="F401">IF(
    OR(
      IFNA(INDEX(data!M:M, MATCH(Caseslist!B401, data!D:D, 0)), "") = "",
      IFNA(INDEX(data!M:M, MATCH(Caseslist!B401, data!D:D, 0)), 0) = 0
    ),
    "COMPLETE",
    IF(
      IFNA(INDEX(dataICM!D:D, MATCH(Caseslist!B401, dataICM!D:D, 0)), "INC") = "INC",
      IFNA(INDEX(dataICM!D:D, MATCH(Caseslist!B401, dataICM!D:D, 0)), "INC"),
      "COMPLETE"
    )
  )</f>
        <v>COMPLETE</v>
      </c>
      <c r="G401" s="10" t="str">
        <f t="array" ref="G401">IF(IFERROR(INDEX(data!L:L,match(Caseslist!B401,data!D:D,0)),"INC")="","COMPLETE",F401)</f>
        <v>COMPLETE</v>
      </c>
      <c r="H401" s="9" t="str">
        <f t="array" ref="H401">IFERROR(INDEX(dataICM!F:F,match(Caseslist!B401,dataICM!D:D,0)), "INC")</f>
        <v>Trixie Marie Jardeleza Saber</v>
      </c>
      <c r="I401" s="10" t="str">
        <f t="shared" si="2"/>
        <v>J4315980</v>
      </c>
      <c r="J401" s="9" t="str">
        <f t="array" ref="J401">IF(
  AND(
    IFERROR(MATCH(B401, data!D:D, 0), 0) &gt; 0,
    IFERROR(INDEX(data!N:N, MATCH(B401, data!D:D, 0)) = 1, FALSE)
  ),
  INDEX(data!C:C, MATCH(B401, data!D:D, 0)),
  "INC"
)</f>
        <v>2025-09-06T13:20:05.139+08</v>
      </c>
      <c r="K401" s="9" t="str">
        <f t="array" ref="K401">IFERROR(INDEX(dataICM!C:C,match(Caseslist!B401,dataICM!D:D,0)), "INC")</f>
        <v>2025-09-06T13:29:16.997+08</v>
      </c>
      <c r="L401" s="10" t="str">
        <f t="array" ref="L401">IF(AND(G401="COMPLETE", OR(K401="INC", ISBLANK(INDEX(data!O:O, ROW())))), J401, K401)</f>
        <v>2025-09-06T13:29:16.997+08</v>
      </c>
      <c r="M401" s="2">
        <v>45906.0</v>
      </c>
      <c r="N401" s="2">
        <f t="array" ref="N401">IF(M401&lt;&gt;"INC", INDEX(data!M:M, MATCH(B401, data!D:D, 0)), "")</f>
        <v>3</v>
      </c>
      <c r="O401" s="2">
        <f t="shared" si="3"/>
        <v>3</v>
      </c>
    </row>
    <row r="402">
      <c r="A402" s="2" t="str">
        <f t="shared" si="1"/>
        <v>H006248</v>
      </c>
      <c r="B402" s="1" t="s">
        <v>4492</v>
      </c>
      <c r="C402" s="9" t="str">
        <f t="array" ref="C402">IF(
  AND(
    IFERROR(MATCH(Caseslist!B402, data!D:D, 0), 0) &gt; 0,
    IFERROR(INDEX(data!N:N, MATCH(Caseslist!B402, data!D:D, 0)) = 1, FALSE)
  ),
  "COMPLETE",
  "INC"
)</f>
        <v>INC</v>
      </c>
      <c r="D402" s="9" t="str">
        <f t="array" ref="D402">IFERROR(INDEX(data!$G:$G,match(Caseslist!B402,data!$D:$D,0)), "INC")</f>
        <v>J4315980</v>
      </c>
      <c r="E402" s="9" t="str">
        <f t="array" ref="E402">IFERROR(INDEX(data!H:H,match(Caseslist!B402,data!D:D,0)), "INC")</f>
        <v>Trixie Marie Jardeleza Saber</v>
      </c>
      <c r="F402" s="10" t="str">
        <f t="array" ref="F402">IF(
    OR(
      IFNA(INDEX(data!M:M, MATCH(Caseslist!B402, data!D:D, 0)), "") = "",
      IFNA(INDEX(data!M:M, MATCH(Caseslist!B402, data!D:D, 0)), 0) = 0
    ),
    "COMPLETE",
    IF(
      IFNA(INDEX(dataICM!D:D, MATCH(Caseslist!B402, dataICM!D:D, 0)), "INC") = "INC",
      IFNA(INDEX(dataICM!D:D, MATCH(Caseslist!B402, dataICM!D:D, 0)), "INC"),
      "COMPLETE"
    )
  )</f>
        <v>INC</v>
      </c>
      <c r="G402" s="10" t="str">
        <f t="array" ref="G402">IF(IFERROR(INDEX(data!L:L,match(Caseslist!B402,data!D:D,0)),"INC")="","COMPLETE",F402)</f>
        <v>INC</v>
      </c>
      <c r="H402" s="9" t="str">
        <f t="array" ref="H402">IFERROR(INDEX(dataICM!F:F,match(Caseslist!B402,dataICM!D:D,0)), "INC")</f>
        <v>INC</v>
      </c>
      <c r="I402" s="10" t="str">
        <f t="shared" si="2"/>
        <v>INC</v>
      </c>
      <c r="J402" s="9" t="str">
        <f t="array" ref="J402">IF(
  AND(
    IFERROR(MATCH(B402, data!D:D, 0), 0) &gt; 0,
    IFERROR(INDEX(data!N:N, MATCH(B402, data!D:D, 0)) = 1, FALSE)
  ),
  INDEX(data!C:C, MATCH(B402, data!D:D, 0)),
  "INC"
)</f>
        <v>INC</v>
      </c>
      <c r="K402" s="9" t="str">
        <f t="array" ref="K402">IFERROR(INDEX(dataICM!C:C,match(Caseslist!B402,dataICM!D:D,0)), "INC")</f>
        <v>INC</v>
      </c>
      <c r="L402" s="10" t="str">
        <f t="array" ref="L402">IF(AND(G402="COMPLETE", OR(K402="INC", ISBLANK(INDEX(data!O:O, ROW())))), J402, K402)</f>
        <v>INC</v>
      </c>
      <c r="M402" s="2" t="s">
        <v>8886</v>
      </c>
      <c r="N402" s="2" t="str">
        <f t="array" ref="N402">IF(M402&lt;&gt;"INC", INDEX(data!M:M, MATCH(B402, data!D:D, 0)), "")</f>
        <v/>
      </c>
      <c r="O402" s="2" t="str">
        <f t="shared" si="3"/>
        <v/>
      </c>
    </row>
    <row r="403">
      <c r="A403" s="2" t="str">
        <f t="shared" si="1"/>
        <v>H006248</v>
      </c>
      <c r="B403" s="1" t="s">
        <v>4352</v>
      </c>
      <c r="C403" s="9" t="str">
        <f t="array" ref="C403">IF(
  AND(
    IFERROR(MATCH(Caseslist!B403, data!D:D, 0), 0) &gt; 0,
    IFERROR(INDEX(data!N:N, MATCH(Caseslist!B403, data!D:D, 0)) = 1, FALSE)
  ),
  "COMPLETE",
  "INC"
)</f>
        <v>COMPLETE</v>
      </c>
      <c r="D403" s="9" t="str">
        <f t="array" ref="D403">IFERROR(INDEX(data!$G:$G,match(Caseslist!B403,data!$D:$D,0)), "INC")</f>
        <v>K8623174</v>
      </c>
      <c r="E403" s="9" t="str">
        <f t="array" ref="E403">IFERROR(INDEX(data!H:H,match(Caseslist!B403,data!D:D,0)), "INC")</f>
        <v>Marielle Kaye Ignacio Alonzo</v>
      </c>
      <c r="F403" s="10" t="str">
        <f t="array" ref="F403">IF(
    OR(
      IFNA(INDEX(data!M:M, MATCH(Caseslist!B403, data!D:D, 0)), "") = "",
      IFNA(INDEX(data!M:M, MATCH(Caseslist!B403, data!D:D, 0)), 0) = 0
    ),
    "COMPLETE",
    IF(
      IFNA(INDEX(dataICM!D:D, MATCH(Caseslist!B403, dataICM!D:D, 0)), "INC") = "INC",
      IFNA(INDEX(dataICM!D:D, MATCH(Caseslist!B403, dataICM!D:D, 0)), "INC"),
      "COMPLETE"
    )
  )</f>
        <v>COMPLETE</v>
      </c>
      <c r="G403" s="10" t="str">
        <f t="array" ref="G403">IF(IFERROR(INDEX(data!L:L,match(Caseslist!B403,data!D:D,0)),"INC")="","COMPLETE",F403)</f>
        <v>COMPLETE</v>
      </c>
      <c r="H403" s="9" t="str">
        <f t="array" ref="H403">IFERROR(INDEX(dataICM!F:F,match(Caseslist!B403,dataICM!D:D,0)), "INC")</f>
        <v>Marielle Kaye Ignacio Alonzo</v>
      </c>
      <c r="I403" s="10" t="str">
        <f t="shared" si="2"/>
        <v>K8623174</v>
      </c>
      <c r="J403" s="9" t="str">
        <f t="array" ref="J403">IF(
  AND(
    IFERROR(MATCH(B403, data!D:D, 0), 0) &gt; 0,
    IFERROR(INDEX(data!N:N, MATCH(B403, data!D:D, 0)) = 1, FALSE)
  ),
  INDEX(data!C:C, MATCH(B403, data!D:D, 0)),
  "INC"
)</f>
        <v>2025-09-06T09:54:36.040+08</v>
      </c>
      <c r="K403" s="9" t="str">
        <f t="array" ref="K403">IFERROR(INDEX(dataICM!C:C,match(Caseslist!B403,dataICM!D:D,0)), "INC")</f>
        <v>2025-09-06T13:56:29.632+08</v>
      </c>
      <c r="L403" s="10" t="str">
        <f t="array" ref="L403">IF(AND(G403="COMPLETE", OR(K403="INC", ISBLANK(INDEX(data!O:O, ROW())))), J403, K403)</f>
        <v>2025-09-06T13:56:29.632+08</v>
      </c>
      <c r="M403" s="2">
        <v>45906.0</v>
      </c>
      <c r="N403" s="2">
        <f t="array" ref="N403">IF(M403&lt;&gt;"INC", INDEX(data!M:M, MATCH(B403, data!D:D, 0)), "")</f>
        <v>3</v>
      </c>
      <c r="O403" s="2">
        <f t="shared" si="3"/>
        <v>3</v>
      </c>
    </row>
    <row r="404">
      <c r="A404" s="2" t="str">
        <f t="shared" si="1"/>
        <v>H006248</v>
      </c>
      <c r="B404" s="1" t="s">
        <v>4247</v>
      </c>
      <c r="C404" s="9" t="str">
        <f t="array" ref="C404">IF(
  AND(
    IFERROR(MATCH(Caseslist!B404, data!D:D, 0), 0) &gt; 0,
    IFERROR(INDEX(data!N:N, MATCH(Caseslist!B404, data!D:D, 0)) = 1, FALSE)
  ),
  "COMPLETE",
  "INC"
)</f>
        <v>COMPLETE</v>
      </c>
      <c r="D404" s="9" t="str">
        <f t="array" ref="D404">IFERROR(INDEX(data!$G:$G,match(Caseslist!B404,data!$D:$D,0)), "INC")</f>
        <v>J4315980</v>
      </c>
      <c r="E404" s="9" t="str">
        <f t="array" ref="E404">IFERROR(INDEX(data!H:H,match(Caseslist!B404,data!D:D,0)), "INC")</f>
        <v>Trixie Marie Jardeleza Saber</v>
      </c>
      <c r="F404" s="10" t="str">
        <f t="array" ref="F404">IF(
    OR(
      IFNA(INDEX(data!M:M, MATCH(Caseslist!B404, data!D:D, 0)), "") = "",
      IFNA(INDEX(data!M:M, MATCH(Caseslist!B404, data!D:D, 0)), 0) = 0
    ),
    "COMPLETE",
    IF(
      IFNA(INDEX(dataICM!D:D, MATCH(Caseslist!B404, dataICM!D:D, 0)), "INC") = "INC",
      IFNA(INDEX(dataICM!D:D, MATCH(Caseslist!B404, dataICM!D:D, 0)), "INC"),
      "COMPLETE"
    )
  )</f>
        <v>COMPLETE</v>
      </c>
      <c r="G404" s="10" t="str">
        <f t="array" ref="G404">IF(IFERROR(INDEX(data!L:L,match(Caseslist!B404,data!D:D,0)),"INC")="","COMPLETE",F404)</f>
        <v>COMPLETE</v>
      </c>
      <c r="H404" s="9" t="str">
        <f t="array" ref="H404">IFERROR(INDEX(dataICM!F:F,match(Caseslist!B404,dataICM!D:D,0)), "INC")</f>
        <v>Trixie Marie Jardeleza Saber</v>
      </c>
      <c r="I404" s="10" t="str">
        <f t="shared" si="2"/>
        <v>J4315980</v>
      </c>
      <c r="J404" s="9" t="str">
        <f t="array" ref="J404">IF(
  AND(
    IFERROR(MATCH(B404, data!D:D, 0), 0) &gt; 0,
    IFERROR(INDEX(data!N:N, MATCH(B404, data!D:D, 0)) = 1, FALSE)
  ),
  INDEX(data!C:C, MATCH(B404, data!D:D, 0)),
  "INC"
)</f>
        <v>2025-09-06T11:09:46.062+08</v>
      </c>
      <c r="K404" s="9" t="str">
        <f t="array" ref="K404">IFERROR(INDEX(dataICM!C:C,match(Caseslist!B404,dataICM!D:D,0)), "INC")</f>
        <v>2025-09-06T11:18:12.408+08</v>
      </c>
      <c r="L404" s="10" t="str">
        <f t="array" ref="L404">IF(AND(G404="COMPLETE", OR(K404="INC", ISBLANK(INDEX(data!O:O, ROW())))), J404, K404)</f>
        <v>2025-09-06T11:18:12.408+08</v>
      </c>
      <c r="M404" s="2">
        <v>45906.0</v>
      </c>
      <c r="N404" s="2">
        <f t="array" ref="N404">IF(M404&lt;&gt;"INC", INDEX(data!M:M, MATCH(B404, data!D:D, 0)), "")</f>
        <v>3</v>
      </c>
      <c r="O404" s="2">
        <f t="shared" si="3"/>
        <v>3</v>
      </c>
    </row>
    <row r="405">
      <c r="A405" s="2" t="str">
        <f t="shared" si="1"/>
        <v>H006248</v>
      </c>
      <c r="B405" s="1" t="s">
        <v>4342</v>
      </c>
      <c r="C405" s="9" t="str">
        <f t="array" ref="C405">IF(
  AND(
    IFERROR(MATCH(Caseslist!B405, data!D:D, 0), 0) &gt; 0,
    IFERROR(INDEX(data!N:N, MATCH(Caseslist!B405, data!D:D, 0)) = 1, FALSE)
  ),
  "COMPLETE",
  "INC"
)</f>
        <v>COMPLETE</v>
      </c>
      <c r="D405" s="9" t="str">
        <f t="array" ref="D405">IFERROR(INDEX(data!$G:$G,match(Caseslist!B405,data!$D:$D,0)), "INC")</f>
        <v>M6491032</v>
      </c>
      <c r="E405" s="9" t="str">
        <f t="array" ref="E405">IFERROR(INDEX(data!H:H,match(Caseslist!B405,data!D:D,0)), "INC")</f>
        <v>Rosevil Tayo Desamparado</v>
      </c>
      <c r="F405" s="10" t="str">
        <f t="array" ref="F405">IF(
    OR(
      IFNA(INDEX(data!M:M, MATCH(Caseslist!B405, data!D:D, 0)), "") = "",
      IFNA(INDEX(data!M:M, MATCH(Caseslist!B405, data!D:D, 0)), 0) = 0
    ),
    "COMPLETE",
    IF(
      IFNA(INDEX(dataICM!D:D, MATCH(Caseslist!B405, dataICM!D:D, 0)), "INC") = "INC",
      IFNA(INDEX(dataICM!D:D, MATCH(Caseslist!B405, dataICM!D:D, 0)), "INC"),
      "COMPLETE"
    )
  )</f>
        <v>COMPLETE</v>
      </c>
      <c r="G405" s="10" t="str">
        <f t="array" ref="G405">IF(IFERROR(INDEX(data!L:L,match(Caseslist!B405,data!D:D,0)),"INC")="","COMPLETE",F405)</f>
        <v>COMPLETE</v>
      </c>
      <c r="H405" s="9" t="str">
        <f t="array" ref="H405">IFERROR(INDEX(dataICM!F:F,match(Caseslist!B405,dataICM!D:D,0)), "INC")</f>
        <v>Rosevil Tayo Desamparado</v>
      </c>
      <c r="I405" s="10" t="str">
        <f t="shared" si="2"/>
        <v>M6491032</v>
      </c>
      <c r="J405" s="9" t="str">
        <f t="array" ref="J405">IF(
  AND(
    IFERROR(MATCH(B405, data!D:D, 0), 0) &gt; 0,
    IFERROR(INDEX(data!N:N, MATCH(B405, data!D:D, 0)) = 1, FALSE)
  ),
  INDEX(data!C:C, MATCH(B405, data!D:D, 0)),
  "INC"
)</f>
        <v>2025-09-06T09:54:21.790+08</v>
      </c>
      <c r="K405" s="9" t="str">
        <f t="array" ref="K405">IFERROR(INDEX(dataICM!C:C,match(Caseslist!B405,dataICM!D:D,0)), "INC")</f>
        <v>2025-09-06T10:06:23.247+08</v>
      </c>
      <c r="L405" s="10" t="str">
        <f t="array" ref="L405">IF(AND(G405="COMPLETE", OR(K405="INC", ISBLANK(INDEX(data!O:O, ROW())))), J405, K405)</f>
        <v>2025-09-06T10:06:23.247+08</v>
      </c>
      <c r="M405" s="2">
        <v>45906.0</v>
      </c>
      <c r="N405" s="2">
        <f t="array" ref="N405">IF(M405&lt;&gt;"INC", INDEX(data!M:M, MATCH(B405, data!D:D, 0)), "")</f>
        <v>3</v>
      </c>
      <c r="O405" s="2">
        <f t="shared" si="3"/>
        <v>3</v>
      </c>
    </row>
    <row r="406">
      <c r="A406" s="2" t="str">
        <f t="shared" si="1"/>
        <v>H006248</v>
      </c>
      <c r="B406" s="1" t="s">
        <v>4207</v>
      </c>
      <c r="C406" s="9" t="str">
        <f t="array" ref="C406">IF(
  AND(
    IFERROR(MATCH(Caseslist!B406, data!D:D, 0), 0) &gt; 0,
    IFERROR(INDEX(data!N:N, MATCH(Caseslist!B406, data!D:D, 0)) = 1, FALSE)
  ),
  "COMPLETE",
  "INC"
)</f>
        <v>COMPLETE</v>
      </c>
      <c r="D406" s="9" t="str">
        <f t="array" ref="D406">IFERROR(INDEX(data!$G:$G,match(Caseslist!B406,data!$D:$D,0)), "INC")</f>
        <v>L2057896</v>
      </c>
      <c r="E406" s="9" t="str">
        <f t="array" ref="E406">IFERROR(INDEX(data!H:H,match(Caseslist!B406,data!D:D,0)), "INC")</f>
        <v>Franz Reoben Posadas Geneblaza</v>
      </c>
      <c r="F406" s="10" t="str">
        <f t="array" ref="F406">IF(
    OR(
      IFNA(INDEX(data!M:M, MATCH(Caseslist!B406, data!D:D, 0)), "") = "",
      IFNA(INDEX(data!M:M, MATCH(Caseslist!B406, data!D:D, 0)), 0) = 0
    ),
    "COMPLETE",
    IF(
      IFNA(INDEX(dataICM!D:D, MATCH(Caseslist!B406, dataICM!D:D, 0)), "INC") = "INC",
      IFNA(INDEX(dataICM!D:D, MATCH(Caseslist!B406, dataICM!D:D, 0)), "INC"),
      "COMPLETE"
    )
  )</f>
        <v>COMPLETE</v>
      </c>
      <c r="G406" s="10" t="str">
        <f t="array" ref="G406">IF(IFERROR(INDEX(data!L:L,match(Caseslist!B406,data!D:D,0)),"INC")="","COMPLETE",F406)</f>
        <v>COMPLETE</v>
      </c>
      <c r="H406" s="9" t="str">
        <f t="array" ref="H406">IFERROR(INDEX(dataICM!F:F,match(Caseslist!B406,dataICM!D:D,0)), "INC")</f>
        <v>Franz Reoben Posadas Geneblaza</v>
      </c>
      <c r="I406" s="10" t="str">
        <f t="shared" si="2"/>
        <v>L2057896</v>
      </c>
      <c r="J406" s="9" t="str">
        <f t="array" ref="J406">IF(
  AND(
    IFERROR(MATCH(B406, data!D:D, 0), 0) &gt; 0,
    IFERROR(INDEX(data!N:N, MATCH(B406, data!D:D, 0)) = 1, FALSE)
  ),
  INDEX(data!C:C, MATCH(B406, data!D:D, 0)),
  "INC"
)</f>
        <v>2025-09-06T09:51:28.982+08</v>
      </c>
      <c r="K406" s="9" t="str">
        <f t="array" ref="K406">IFERROR(INDEX(dataICM!C:C,match(Caseslist!B406,dataICM!D:D,0)), "INC")</f>
        <v>2025-09-06T10:14:58.364+08</v>
      </c>
      <c r="L406" s="10" t="str">
        <f t="array" ref="L406">IF(AND(G406="COMPLETE", OR(K406="INC", ISBLANK(INDEX(data!O:O, ROW())))), J406, K406)</f>
        <v>2025-09-06T10:14:58.364+08</v>
      </c>
      <c r="M406" s="2">
        <v>45906.0</v>
      </c>
      <c r="N406" s="2">
        <f t="array" ref="N406">IF(M406&lt;&gt;"INC", INDEX(data!M:M, MATCH(B406, data!D:D, 0)), "")</f>
        <v>3</v>
      </c>
      <c r="O406" s="2">
        <f t="shared" si="3"/>
        <v>3</v>
      </c>
    </row>
    <row r="407">
      <c r="A407" s="2" t="str">
        <f t="shared" si="1"/>
        <v>H006248</v>
      </c>
      <c r="B407" s="1" t="s">
        <v>4562</v>
      </c>
      <c r="C407" s="9" t="str">
        <f t="array" ref="C407">IF(
  AND(
    IFERROR(MATCH(Caseslist!B407, data!D:D, 0), 0) &gt; 0,
    IFERROR(INDEX(data!N:N, MATCH(Caseslist!B407, data!D:D, 0)) = 1, FALSE)
  ),
  "COMPLETE",
  "INC"
)</f>
        <v>COMPLETE</v>
      </c>
      <c r="D407" s="9" t="str">
        <f t="array" ref="D407">IFERROR(INDEX(data!$G:$G,match(Caseslist!B407,data!$D:$D,0)), "INC")</f>
        <v>J4315980</v>
      </c>
      <c r="E407" s="9" t="str">
        <f t="array" ref="E407">IFERROR(INDEX(data!H:H,match(Caseslist!B407,data!D:D,0)), "INC")</f>
        <v>Trixie Marie Jardeleza Saber</v>
      </c>
      <c r="F407" s="10" t="str">
        <f t="array" ref="F407">IF(
    OR(
      IFNA(INDEX(data!M:M, MATCH(Caseslist!B407, data!D:D, 0)), "") = "",
      IFNA(INDEX(data!M:M, MATCH(Caseslist!B407, data!D:D, 0)), 0) = 0
    ),
    "COMPLETE",
    IF(
      IFNA(INDEX(dataICM!D:D, MATCH(Caseslist!B407, dataICM!D:D, 0)), "INC") = "INC",
      IFNA(INDEX(dataICM!D:D, MATCH(Caseslist!B407, dataICM!D:D, 0)), "INC"),
      "COMPLETE"
    )
  )</f>
        <v>COMPLETE</v>
      </c>
      <c r="G407" s="10" t="str">
        <f t="array" ref="G407">IF(IFERROR(INDEX(data!L:L,match(Caseslist!B407,data!D:D,0)),"INC")="","COMPLETE",F407)</f>
        <v>COMPLETE</v>
      </c>
      <c r="H407" s="9" t="str">
        <f t="array" ref="H407">IFERROR(INDEX(dataICM!F:F,match(Caseslist!B407,dataICM!D:D,0)), "INC")</f>
        <v>Trixie Marie Jardeleza Saber</v>
      </c>
      <c r="I407" s="10" t="str">
        <f t="shared" si="2"/>
        <v>J4315980</v>
      </c>
      <c r="J407" s="9" t="str">
        <f t="array" ref="J407">IF(
  AND(
    IFERROR(MATCH(B407, data!D:D, 0), 0) &gt; 0,
    IFERROR(INDEX(data!N:N, MATCH(B407, data!D:D, 0)) = 1, FALSE)
  ),
  INDEX(data!C:C, MATCH(B407, data!D:D, 0)),
  "INC"
)</f>
        <v>2025-09-28T11:33:29.926+08</v>
      </c>
      <c r="K407" s="9" t="str">
        <f t="array" ref="K407">IFERROR(INDEX(dataICM!C:C,match(Caseslist!B407,dataICM!D:D,0)), "INC")</f>
        <v>2025-09-28T11:34:50.636+08</v>
      </c>
      <c r="L407" s="10" t="str">
        <f t="array" ref="L407">IF(AND(G407="COMPLETE", OR(K407="INC", ISBLANK(INDEX(data!O:O, ROW())))), J407, K407)</f>
        <v>2025-09-28T11:34:50.636+08</v>
      </c>
      <c r="M407" s="2">
        <v>45928.0</v>
      </c>
      <c r="N407" s="2">
        <f t="array" ref="N407">IF(M407&lt;&gt;"INC", INDEX(data!M:M, MATCH(B407, data!D:D, 0)), "")</f>
        <v>3</v>
      </c>
      <c r="O407" s="2">
        <f t="shared" si="3"/>
        <v>3</v>
      </c>
    </row>
    <row r="408">
      <c r="A408" s="2" t="str">
        <f t="shared" si="1"/>
        <v>H006319</v>
      </c>
      <c r="B408" s="1" t="s">
        <v>8910</v>
      </c>
      <c r="C408" s="9" t="str">
        <f t="array" ref="C408">IF(
  AND(
    IFERROR(MATCH(Caseslist!B408, data!D:D, 0), 0) &gt; 0,
    IFERROR(INDEX(data!N:N, MATCH(Caseslist!B408, data!D:D, 0)) = 1, FALSE)
  ),
  "COMPLETE",
  "INC"
)</f>
        <v>INC</v>
      </c>
      <c r="D408" s="9" t="str">
        <f t="array" ref="D408">IFERROR(INDEX(data!$G:$G,match(Caseslist!B408,data!$D:$D,0)), "INC")</f>
        <v>INC</v>
      </c>
      <c r="E408" s="9" t="str">
        <f t="array" ref="E408">IFERROR(INDEX(data!H:H,match(Caseslist!B408,data!D:D,0)), "INC")</f>
        <v>INC</v>
      </c>
      <c r="F408" s="10" t="str">
        <f t="array" ref="F408">IF(
    OR(
      IFNA(INDEX(data!M:M, MATCH(Caseslist!B408, data!D:D, 0)), "") = "",
      IFNA(INDEX(data!M:M, MATCH(Caseslist!B408, data!D:D, 0)), 0) = 0
    ),
    "COMPLETE",
    IF(
      IFNA(INDEX(dataICM!D:D, MATCH(Caseslist!B408, dataICM!D:D, 0)), "INC") = "INC",
      IFNA(INDEX(dataICM!D:D, MATCH(Caseslist!B408, dataICM!D:D, 0)), "INC"),
      "COMPLETE"
    )
  )</f>
        <v>COMPLETE</v>
      </c>
      <c r="G408" s="10" t="str">
        <f t="array" ref="G408">IF(IFERROR(INDEX(data!L:L,match(Caseslist!B408,data!D:D,0)),"INC")="","COMPLETE",F408)</f>
        <v>COMPLETE</v>
      </c>
      <c r="H408" s="9" t="str">
        <f t="array" ref="H408">IFERROR(INDEX(dataICM!F:F,match(Caseslist!B408,dataICM!D:D,0)), "INC")</f>
        <v>INC</v>
      </c>
      <c r="I408" s="10" t="str">
        <f t="shared" si="2"/>
        <v>INC</v>
      </c>
      <c r="J408" s="9" t="str">
        <f t="array" ref="J408">IF(
  AND(
    IFERROR(MATCH(B408, data!D:D, 0), 0) &gt; 0,
    IFERROR(INDEX(data!N:N, MATCH(B408, data!D:D, 0)) = 1, FALSE)
  ),
  INDEX(data!C:C, MATCH(B408, data!D:D, 0)),
  "INC"
)</f>
        <v>INC</v>
      </c>
      <c r="K408" s="9" t="str">
        <f t="array" ref="K408">IFERROR(INDEX(dataICM!C:C,match(Caseslist!B408,dataICM!D:D,0)), "INC")</f>
        <v>INC</v>
      </c>
      <c r="L408" s="10" t="str">
        <f t="array" ref="L408">IF(AND(G408="COMPLETE", OR(K408="INC", ISBLANK(INDEX(data!O:O, ROW())))), J408, K408)</f>
        <v>INC</v>
      </c>
      <c r="M408" s="2" t="s">
        <v>8886</v>
      </c>
      <c r="N408" s="2" t="str">
        <f t="array" ref="N408">IF(M408&lt;&gt;"INC", INDEX(data!M:M, MATCH(B408, data!D:D, 0)), "")</f>
        <v/>
      </c>
      <c r="O408" s="2" t="str">
        <f t="shared" si="3"/>
        <v/>
      </c>
    </row>
    <row r="409">
      <c r="A409" s="2" t="str">
        <f t="shared" si="1"/>
        <v>H006319</v>
      </c>
      <c r="B409" s="1" t="s">
        <v>4847</v>
      </c>
      <c r="C409" s="9" t="str">
        <f t="array" ref="C409">IF(
  AND(
    IFERROR(MATCH(Caseslist!B409, data!D:D, 0), 0) &gt; 0,
    IFERROR(INDEX(data!N:N, MATCH(Caseslist!B409, data!D:D, 0)) = 1, FALSE)
  ),
  "COMPLETE",
  "INC"
)</f>
        <v>COMPLETE</v>
      </c>
      <c r="D409" s="9" t="str">
        <f t="array" ref="D409">IFERROR(INDEX(data!$G:$G,match(Caseslist!B409,data!$D:$D,0)), "INC")</f>
        <v>J4315980</v>
      </c>
      <c r="E409" s="9" t="str">
        <f t="array" ref="E409">IFERROR(INDEX(data!H:H,match(Caseslist!B409,data!D:D,0)), "INC")</f>
        <v>Trixie Marie Jardeleza Saber</v>
      </c>
      <c r="F409" s="10" t="str">
        <f t="array" ref="F409">IF(
    OR(
      IFNA(INDEX(data!M:M, MATCH(Caseslist!B409, data!D:D, 0)), "") = "",
      IFNA(INDEX(data!M:M, MATCH(Caseslist!B409, data!D:D, 0)), 0) = 0
    ),
    "COMPLETE",
    IF(
      IFNA(INDEX(dataICM!D:D, MATCH(Caseslist!B409, dataICM!D:D, 0)), "INC") = "INC",
      IFNA(INDEX(dataICM!D:D, MATCH(Caseslist!B409, dataICM!D:D, 0)), "INC"),
      "COMPLETE"
    )
  )</f>
        <v>COMPLETE</v>
      </c>
      <c r="G409" s="10" t="str">
        <f t="array" ref="G409">IF(IFERROR(INDEX(data!L:L,match(Caseslist!B409,data!D:D,0)),"INC")="","COMPLETE",F409)</f>
        <v>COMPLETE</v>
      </c>
      <c r="H409" s="9" t="str">
        <f t="array" ref="H409">IFERROR(INDEX(dataICM!F:F,match(Caseslist!B409,dataICM!D:D,0)), "INC")</f>
        <v>INC</v>
      </c>
      <c r="I409" s="10" t="str">
        <f t="shared" si="2"/>
        <v>J4315980</v>
      </c>
      <c r="J409" s="9" t="str">
        <f t="array" ref="J409">IF(
  AND(
    IFERROR(MATCH(B409, data!D:D, 0), 0) &gt; 0,
    IFERROR(INDEX(data!N:N, MATCH(B409, data!D:D, 0)) = 1, FALSE)
  ),
  INDEX(data!C:C, MATCH(B409, data!D:D, 0)),
  "INC"
)</f>
        <v>2025-09-09T10:09:22.439+08</v>
      </c>
      <c r="K409" s="9" t="str">
        <f t="array" ref="K409">IFERROR(INDEX(dataICM!C:C,match(Caseslist!B409,dataICM!D:D,0)), "INC")</f>
        <v>INC</v>
      </c>
      <c r="L409" s="10" t="str">
        <f t="array" ref="L409">IF(AND(G409="COMPLETE", OR(K409="INC", ISBLANK(INDEX(data!O:O, ROW())))), J409, K409)</f>
        <v>2025-09-09T10:09:22.439+08</v>
      </c>
      <c r="M409" s="2">
        <v>45909.0</v>
      </c>
      <c r="N409" s="2">
        <f t="array" ref="N409">IF(M409&lt;&gt;"INC", INDEX(data!M:M, MATCH(B409, data!D:D, 0)), "")</f>
        <v>0</v>
      </c>
      <c r="O409" s="2">
        <f t="shared" si="3"/>
        <v>0</v>
      </c>
    </row>
    <row r="410">
      <c r="A410" s="2" t="str">
        <f t="shared" si="1"/>
        <v>H006319</v>
      </c>
      <c r="B410" s="1" t="s">
        <v>4932</v>
      </c>
      <c r="C410" s="9" t="str">
        <f t="array" ref="C410">IF(
  AND(
    IFERROR(MATCH(Caseslist!B410, data!D:D, 0), 0) &gt; 0,
    IFERROR(INDEX(data!N:N, MATCH(Caseslist!B410, data!D:D, 0)) = 1, FALSE)
  ),
  "COMPLETE",
  "INC"
)</f>
        <v>COMPLETE</v>
      </c>
      <c r="D410" s="9" t="str">
        <f t="array" ref="D410">IFERROR(INDEX(data!$G:$G,match(Caseslist!B410,data!$D:$D,0)), "INC")</f>
        <v>L2057896</v>
      </c>
      <c r="E410" s="9" t="str">
        <f t="array" ref="E410">IFERROR(INDEX(data!H:H,match(Caseslist!B410,data!D:D,0)), "INC")</f>
        <v>Franz Reoben Posadas Geneblaza</v>
      </c>
      <c r="F410" s="10" t="str">
        <f t="array" ref="F410">IF(
    OR(
      IFNA(INDEX(data!M:M, MATCH(Caseslist!B410, data!D:D, 0)), "") = "",
      IFNA(INDEX(data!M:M, MATCH(Caseslist!B410, data!D:D, 0)), 0) = 0
    ),
    "COMPLETE",
    IF(
      IFNA(INDEX(dataICM!D:D, MATCH(Caseslist!B410, dataICM!D:D, 0)), "INC") = "INC",
      IFNA(INDEX(dataICM!D:D, MATCH(Caseslist!B410, dataICM!D:D, 0)), "INC"),
      "COMPLETE"
    )
  )</f>
        <v>COMPLETE</v>
      </c>
      <c r="G410" s="10" t="str">
        <f t="array" ref="G410">IF(IFERROR(INDEX(data!L:L,match(Caseslist!B410,data!D:D,0)),"INC")="","COMPLETE",F410)</f>
        <v>COMPLETE</v>
      </c>
      <c r="H410" s="9" t="str">
        <f t="array" ref="H410">IFERROR(INDEX(dataICM!F:F,match(Caseslist!B410,dataICM!D:D,0)), "INC")</f>
        <v>INC</v>
      </c>
      <c r="I410" s="10" t="str">
        <f t="shared" si="2"/>
        <v>L2057896</v>
      </c>
      <c r="J410" s="9" t="str">
        <f t="array" ref="J410">IF(
  AND(
    IFERROR(MATCH(B410, data!D:D, 0), 0) &gt; 0,
    IFERROR(INDEX(data!N:N, MATCH(B410, data!D:D, 0)) = 1, FALSE)
  ),
  INDEX(data!C:C, MATCH(B410, data!D:D, 0)),
  "INC"
)</f>
        <v>2025-09-09T11:30:41.569+08</v>
      </c>
      <c r="K410" s="9" t="str">
        <f t="array" ref="K410">IFERROR(INDEX(dataICM!C:C,match(Caseslist!B410,dataICM!D:D,0)), "INC")</f>
        <v>INC</v>
      </c>
      <c r="L410" s="10" t="str">
        <f t="array" ref="L410">IF(AND(G410="COMPLETE", OR(K410="INC", ISBLANK(INDEX(data!O:O, ROW())))), J410, K410)</f>
        <v>2025-09-09T11:30:41.569+08</v>
      </c>
      <c r="M410" s="2">
        <v>45909.0</v>
      </c>
      <c r="N410" s="2">
        <f t="array" ref="N410">IF(M410&lt;&gt;"INC", INDEX(data!M:M, MATCH(B410, data!D:D, 0)), "")</f>
        <v>0</v>
      </c>
      <c r="O410" s="2">
        <f t="shared" si="3"/>
        <v>0</v>
      </c>
    </row>
    <row r="411">
      <c r="A411" s="2" t="str">
        <f t="shared" si="1"/>
        <v>H006319</v>
      </c>
      <c r="B411" s="1" t="s">
        <v>4942</v>
      </c>
      <c r="C411" s="9" t="str">
        <f t="array" ref="C411">IF(
  AND(
    IFERROR(MATCH(Caseslist!B411, data!D:D, 0), 0) &gt; 0,
    IFERROR(INDEX(data!N:N, MATCH(Caseslist!B411, data!D:D, 0)) = 1, FALSE)
  ),
  "COMPLETE",
  "INC"
)</f>
        <v>COMPLETE</v>
      </c>
      <c r="D411" s="9" t="str">
        <f t="array" ref="D411">IFERROR(INDEX(data!$G:$G,match(Caseslist!B411,data!$D:$D,0)), "INC")</f>
        <v>K8623174</v>
      </c>
      <c r="E411" s="9" t="str">
        <f t="array" ref="E411">IFERROR(INDEX(data!H:H,match(Caseslist!B411,data!D:D,0)), "INC")</f>
        <v>Marielle Kaye Ignacio Alonzo</v>
      </c>
      <c r="F411" s="10" t="str">
        <f t="array" ref="F411">IF(
    OR(
      IFNA(INDEX(data!M:M, MATCH(Caseslist!B411, data!D:D, 0)), "") = "",
      IFNA(INDEX(data!M:M, MATCH(Caseslist!B411, data!D:D, 0)), 0) = 0
    ),
    "COMPLETE",
    IF(
      IFNA(INDEX(dataICM!D:D, MATCH(Caseslist!B411, dataICM!D:D, 0)), "INC") = "INC",
      IFNA(INDEX(dataICM!D:D, MATCH(Caseslist!B411, dataICM!D:D, 0)), "INC"),
      "COMPLETE"
    )
  )</f>
        <v>COMPLETE</v>
      </c>
      <c r="G411" s="10" t="str">
        <f t="array" ref="G411">IF(IFERROR(INDEX(data!L:L,match(Caseslist!B411,data!D:D,0)),"INC")="","COMPLETE",F411)</f>
        <v>COMPLETE</v>
      </c>
      <c r="H411" s="9" t="str">
        <f t="array" ref="H411">IFERROR(INDEX(dataICM!F:F,match(Caseslist!B411,dataICM!D:D,0)), "INC")</f>
        <v>INC</v>
      </c>
      <c r="I411" s="10" t="str">
        <f t="shared" si="2"/>
        <v>K8623174</v>
      </c>
      <c r="J411" s="9" t="str">
        <f t="array" ref="J411">IF(
  AND(
    IFERROR(MATCH(B411, data!D:D, 0), 0) &gt; 0,
    IFERROR(INDEX(data!N:N, MATCH(B411, data!D:D, 0)) = 1, FALSE)
  ),
  INDEX(data!C:C, MATCH(B411, data!D:D, 0)),
  "INC"
)</f>
        <v>2025-09-24T18:59:18.813+08</v>
      </c>
      <c r="K411" s="9" t="str">
        <f t="array" ref="K411">IFERROR(INDEX(dataICM!C:C,match(Caseslist!B411,dataICM!D:D,0)), "INC")</f>
        <v>INC</v>
      </c>
      <c r="L411" s="10" t="str">
        <f t="array" ref="L411">IF(AND(G411="COMPLETE", OR(K411="INC", ISBLANK(INDEX(data!O:O, ROW())))), J411, K411)</f>
        <v>2025-09-24T18:59:18.813+08</v>
      </c>
      <c r="M411" s="2">
        <v>45924.0</v>
      </c>
      <c r="N411" s="2">
        <f t="array" ref="N411">IF(M411&lt;&gt;"INC", INDEX(data!M:M, MATCH(B411, data!D:D, 0)), "")</f>
        <v>0</v>
      </c>
      <c r="O411" s="2">
        <f t="shared" si="3"/>
        <v>0</v>
      </c>
    </row>
    <row r="412">
      <c r="A412" s="2" t="str">
        <f t="shared" si="1"/>
        <v>H006319</v>
      </c>
      <c r="B412" s="1" t="s">
        <v>5007</v>
      </c>
      <c r="C412" s="9" t="str">
        <f t="array" ref="C412">IF(
  AND(
    IFERROR(MATCH(Caseslist!B412, data!D:D, 0), 0) &gt; 0,
    IFERROR(INDEX(data!N:N, MATCH(Caseslist!B412, data!D:D, 0)) = 1, FALSE)
  ),
  "COMPLETE",
  "INC"
)</f>
        <v>COMPLETE</v>
      </c>
      <c r="D412" s="9" t="str">
        <f t="array" ref="D412">IFERROR(INDEX(data!$G:$G,match(Caseslist!B412,data!$D:$D,0)), "INC")</f>
        <v>K8623174</v>
      </c>
      <c r="E412" s="9" t="str">
        <f t="array" ref="E412">IFERROR(INDEX(data!H:H,match(Caseslist!B412,data!D:D,0)), "INC")</f>
        <v>Marielle Kaye Ignacio Alonzo</v>
      </c>
      <c r="F412" s="10" t="str">
        <f t="array" ref="F412">IF(
    OR(
      IFNA(INDEX(data!M:M, MATCH(Caseslist!B412, data!D:D, 0)), "") = "",
      IFNA(INDEX(data!M:M, MATCH(Caseslist!B412, data!D:D, 0)), 0) = 0
    ),
    "COMPLETE",
    IF(
      IFNA(INDEX(dataICM!D:D, MATCH(Caseslist!B412, dataICM!D:D, 0)), "INC") = "INC",
      IFNA(INDEX(dataICM!D:D, MATCH(Caseslist!B412, dataICM!D:D, 0)), "INC"),
      "COMPLETE"
    )
  )</f>
        <v>COMPLETE</v>
      </c>
      <c r="G412" s="10" t="str">
        <f t="array" ref="G412">IF(IFERROR(INDEX(data!L:L,match(Caseslist!B412,data!D:D,0)),"INC")="","COMPLETE",F412)</f>
        <v>COMPLETE</v>
      </c>
      <c r="H412" s="9" t="str">
        <f t="array" ref="H412">IFERROR(INDEX(dataICM!F:F,match(Caseslist!B412,dataICM!D:D,0)), "INC")</f>
        <v>INC</v>
      </c>
      <c r="I412" s="10" t="str">
        <f t="shared" si="2"/>
        <v>K8623174</v>
      </c>
      <c r="J412" s="9" t="str">
        <f t="array" ref="J412">IF(
  AND(
    IFERROR(MATCH(B412, data!D:D, 0), 0) &gt; 0,
    IFERROR(INDEX(data!N:N, MATCH(B412, data!D:D, 0)) = 1, FALSE)
  ),
  INDEX(data!C:C, MATCH(B412, data!D:D, 0)),
  "INC"
)</f>
        <v>2025-09-09T14:24:16.630+08</v>
      </c>
      <c r="K412" s="9" t="str">
        <f t="array" ref="K412">IFERROR(INDEX(dataICM!C:C,match(Caseslist!B412,dataICM!D:D,0)), "INC")</f>
        <v>INC</v>
      </c>
      <c r="L412" s="10" t="str">
        <f t="array" ref="L412">IF(AND(G412="COMPLETE", OR(K412="INC", ISBLANK(INDEX(data!O:O, ROW())))), J412, K412)</f>
        <v>2025-09-09T14:24:16.630+08</v>
      </c>
      <c r="M412" s="2">
        <v>45909.0</v>
      </c>
      <c r="N412" s="2">
        <f t="array" ref="N412">IF(M412&lt;&gt;"INC", INDEX(data!M:M, MATCH(B412, data!D:D, 0)), "")</f>
        <v>0</v>
      </c>
      <c r="O412" s="2">
        <f t="shared" si="3"/>
        <v>0</v>
      </c>
    </row>
    <row r="413">
      <c r="A413" s="2" t="str">
        <f t="shared" si="1"/>
        <v>H006319</v>
      </c>
      <c r="B413" s="1" t="s">
        <v>4997</v>
      </c>
      <c r="C413" s="9" t="str">
        <f t="array" ref="C413">IF(
  AND(
    IFERROR(MATCH(Caseslist!B413, data!D:D, 0), 0) &gt; 0,
    IFERROR(INDEX(data!N:N, MATCH(Caseslist!B413, data!D:D, 0)) = 1, FALSE)
  ),
  "COMPLETE",
  "INC"
)</f>
        <v>COMPLETE</v>
      </c>
      <c r="D413" s="9" t="str">
        <f t="array" ref="D413">IFERROR(INDEX(data!$G:$G,match(Caseslist!B413,data!$D:$D,0)), "INC")</f>
        <v>K8623174</v>
      </c>
      <c r="E413" s="9" t="str">
        <f t="array" ref="E413">IFERROR(INDEX(data!H:H,match(Caseslist!B413,data!D:D,0)), "INC")</f>
        <v>Marielle Kaye Ignacio Alonzo</v>
      </c>
      <c r="F413" s="10" t="str">
        <f t="array" ref="F413">IF(
    OR(
      IFNA(INDEX(data!M:M, MATCH(Caseslist!B413, data!D:D, 0)), "") = "",
      IFNA(INDEX(data!M:M, MATCH(Caseslist!B413, data!D:D, 0)), 0) = 0
    ),
    "COMPLETE",
    IF(
      IFNA(INDEX(dataICM!D:D, MATCH(Caseslist!B413, dataICM!D:D, 0)), "INC") = "INC",
      IFNA(INDEX(dataICM!D:D, MATCH(Caseslist!B413, dataICM!D:D, 0)), "INC"),
      "COMPLETE"
    )
  )</f>
        <v>COMPLETE</v>
      </c>
      <c r="G413" s="10" t="str">
        <f t="array" ref="G413">IF(IFERROR(INDEX(data!L:L,match(Caseslist!B413,data!D:D,0)),"INC")="","COMPLETE",F413)</f>
        <v>COMPLETE</v>
      </c>
      <c r="H413" s="9" t="str">
        <f t="array" ref="H413">IFERROR(INDEX(dataICM!F:F,match(Caseslist!B413,dataICM!D:D,0)), "INC")</f>
        <v>INC</v>
      </c>
      <c r="I413" s="10" t="str">
        <f t="shared" si="2"/>
        <v>K8623174</v>
      </c>
      <c r="J413" s="9" t="str">
        <f t="array" ref="J413">IF(
  AND(
    IFERROR(MATCH(B413, data!D:D, 0), 0) &gt; 0,
    IFERROR(INDEX(data!N:N, MATCH(B413, data!D:D, 0)) = 1, FALSE)
  ),
  INDEX(data!C:C, MATCH(B413, data!D:D, 0)),
  "INC"
)</f>
        <v>2025-09-09T10:26:12.891+08</v>
      </c>
      <c r="K413" s="9" t="str">
        <f t="array" ref="K413">IFERROR(INDEX(dataICM!C:C,match(Caseslist!B413,dataICM!D:D,0)), "INC")</f>
        <v>INC</v>
      </c>
      <c r="L413" s="10" t="str">
        <f t="array" ref="L413">IF(AND(G413="COMPLETE", OR(K413="INC", ISBLANK(INDEX(data!O:O, ROW())))), J413, K413)</f>
        <v>2025-09-09T10:26:12.891+08</v>
      </c>
      <c r="M413" s="2">
        <v>45909.0</v>
      </c>
      <c r="N413" s="2">
        <f t="array" ref="N413">IF(M413&lt;&gt;"INC", INDEX(data!M:M, MATCH(B413, data!D:D, 0)), "")</f>
        <v>0</v>
      </c>
      <c r="O413" s="2">
        <f t="shared" si="3"/>
        <v>0</v>
      </c>
    </row>
    <row r="414">
      <c r="A414" s="2" t="str">
        <f t="shared" si="1"/>
        <v>H006319</v>
      </c>
      <c r="B414" s="1" t="s">
        <v>4947</v>
      </c>
      <c r="C414" s="9" t="str">
        <f t="array" ref="C414">IF(
  AND(
    IFERROR(MATCH(Caseslist!B414, data!D:D, 0), 0) &gt; 0,
    IFERROR(INDEX(data!N:N, MATCH(Caseslist!B414, data!D:D, 0)) = 1, FALSE)
  ),
  "COMPLETE",
  "INC"
)</f>
        <v>COMPLETE</v>
      </c>
      <c r="D414" s="9" t="str">
        <f t="array" ref="D414">IFERROR(INDEX(data!$G:$G,match(Caseslist!B414,data!$D:$D,0)), "INC")</f>
        <v>M6491032</v>
      </c>
      <c r="E414" s="9" t="str">
        <f t="array" ref="E414">IFERROR(INDEX(data!H:H,match(Caseslist!B414,data!D:D,0)), "INC")</f>
        <v>Rosevil Tayo Desamparado</v>
      </c>
      <c r="F414" s="10" t="str">
        <f t="array" ref="F414">IF(
    OR(
      IFNA(INDEX(data!M:M, MATCH(Caseslist!B414, data!D:D, 0)), "") = "",
      IFNA(INDEX(data!M:M, MATCH(Caseslist!B414, data!D:D, 0)), 0) = 0
    ),
    "COMPLETE",
    IF(
      IFNA(INDEX(dataICM!D:D, MATCH(Caseslist!B414, dataICM!D:D, 0)), "INC") = "INC",
      IFNA(INDEX(dataICM!D:D, MATCH(Caseslist!B414, dataICM!D:D, 0)), "INC"),
      "COMPLETE"
    )
  )</f>
        <v>COMPLETE</v>
      </c>
      <c r="G414" s="10" t="str">
        <f t="array" ref="G414">IF(IFERROR(INDEX(data!L:L,match(Caseslist!B414,data!D:D,0)),"INC")="","COMPLETE",F414)</f>
        <v>COMPLETE</v>
      </c>
      <c r="H414" s="9" t="str">
        <f t="array" ref="H414">IFERROR(INDEX(dataICM!F:F,match(Caseslist!B414,dataICM!D:D,0)), "INC")</f>
        <v>INC</v>
      </c>
      <c r="I414" s="10" t="str">
        <f t="shared" si="2"/>
        <v>M6491032</v>
      </c>
      <c r="J414" s="9" t="str">
        <f t="array" ref="J414">IF(
  AND(
    IFERROR(MATCH(B414, data!D:D, 0), 0) &gt; 0,
    IFERROR(INDEX(data!N:N, MATCH(B414, data!D:D, 0)) = 1, FALSE)
  ),
  INDEX(data!C:C, MATCH(B414, data!D:D, 0)),
  "INC"
)</f>
        <v>2025-09-09T10:47:33.837+08</v>
      </c>
      <c r="K414" s="9" t="str">
        <f t="array" ref="K414">IFERROR(INDEX(dataICM!C:C,match(Caseslist!B414,dataICM!D:D,0)), "INC")</f>
        <v>INC</v>
      </c>
      <c r="L414" s="10" t="str">
        <f t="array" ref="L414">IF(AND(G414="COMPLETE", OR(K414="INC", ISBLANK(INDEX(data!O:O, ROW())))), J414, K414)</f>
        <v>2025-09-09T10:47:33.837+08</v>
      </c>
      <c r="M414" s="2">
        <v>45909.0</v>
      </c>
      <c r="N414" s="2">
        <f t="array" ref="N414">IF(M414&lt;&gt;"INC", INDEX(data!M:M, MATCH(B414, data!D:D, 0)), "")</f>
        <v>0</v>
      </c>
      <c r="O414" s="2">
        <f t="shared" si="3"/>
        <v>0</v>
      </c>
    </row>
    <row r="415">
      <c r="A415" s="2" t="str">
        <f t="shared" si="1"/>
        <v>H006319</v>
      </c>
      <c r="B415" s="1" t="s">
        <v>5002</v>
      </c>
      <c r="C415" s="9" t="str">
        <f t="array" ref="C415">IF(
  AND(
    IFERROR(MATCH(Caseslist!B415, data!D:D, 0), 0) &gt; 0,
    IFERROR(INDEX(data!N:N, MATCH(Caseslist!B415, data!D:D, 0)) = 1, FALSE)
  ),
  "COMPLETE",
  "INC"
)</f>
        <v>INC</v>
      </c>
      <c r="D415" s="9" t="str">
        <f t="array" ref="D415">IFERROR(INDEX(data!$G:$G,match(Caseslist!B415,data!$D:$D,0)), "INC")</f>
        <v>J4315980</v>
      </c>
      <c r="E415" s="9" t="str">
        <f t="array" ref="E415">IFERROR(INDEX(data!H:H,match(Caseslist!B415,data!D:D,0)), "INC")</f>
        <v>Trixie Marie Jardeleza Saber</v>
      </c>
      <c r="F415" s="10" t="str">
        <f t="array" ref="F415">IF(
    OR(
      IFNA(INDEX(data!M:M, MATCH(Caseslist!B415, data!D:D, 0)), "") = "",
      IFNA(INDEX(data!M:M, MATCH(Caseslist!B415, data!D:D, 0)), 0) = 0
    ),
    "COMPLETE",
    IF(
      IFNA(INDEX(dataICM!D:D, MATCH(Caseslist!B415, dataICM!D:D, 0)), "INC") = "INC",
      IFNA(INDEX(dataICM!D:D, MATCH(Caseslist!B415, dataICM!D:D, 0)), "INC"),
      "COMPLETE"
    )
  )</f>
        <v>COMPLETE</v>
      </c>
      <c r="G415" s="10" t="str">
        <f t="array" ref="G415">IF(IFERROR(INDEX(data!L:L,match(Caseslist!B415,data!D:D,0)),"INC")="","COMPLETE",F415)</f>
        <v>COMPLETE</v>
      </c>
      <c r="H415" s="9" t="str">
        <f t="array" ref="H415">IFERROR(INDEX(dataICM!F:F,match(Caseslist!B415,dataICM!D:D,0)), "INC")</f>
        <v>INC</v>
      </c>
      <c r="I415" s="10" t="str">
        <f t="shared" si="2"/>
        <v>J4315980</v>
      </c>
      <c r="J415" s="9" t="str">
        <f t="array" ref="J415">IF(
  AND(
    IFERROR(MATCH(B415, data!D:D, 0), 0) &gt; 0,
    IFERROR(INDEX(data!N:N, MATCH(B415, data!D:D, 0)) = 1, FALSE)
  ),
  INDEX(data!C:C, MATCH(B415, data!D:D, 0)),
  "INC"
)</f>
        <v>INC</v>
      </c>
      <c r="K415" s="9" t="str">
        <f t="array" ref="K415">IFERROR(INDEX(dataICM!C:C,match(Caseslist!B415,dataICM!D:D,0)), "INC")</f>
        <v>INC</v>
      </c>
      <c r="L415" s="10" t="str">
        <f t="array" ref="L415">IF(AND(G415="COMPLETE", OR(K415="INC", ISBLANK(INDEX(data!O:O, ROW())))), J415, K415)</f>
        <v>INC</v>
      </c>
      <c r="M415" s="2" t="s">
        <v>8886</v>
      </c>
      <c r="N415" s="2" t="str">
        <f t="array" ref="N415">IF(M415&lt;&gt;"INC", INDEX(data!M:M, MATCH(B415, data!D:D, 0)), "")</f>
        <v/>
      </c>
      <c r="O415" s="2" t="str">
        <f t="shared" si="3"/>
        <v/>
      </c>
    </row>
    <row r="416">
      <c r="A416" s="2" t="str">
        <f t="shared" si="1"/>
        <v>H006319</v>
      </c>
      <c r="B416" s="1" t="s">
        <v>4927</v>
      </c>
      <c r="C416" s="9" t="str">
        <f t="array" ref="C416">IF(
  AND(
    IFERROR(MATCH(Caseslist!B416, data!D:D, 0), 0) &gt; 0,
    IFERROR(INDEX(data!N:N, MATCH(Caseslist!B416, data!D:D, 0)) = 1, FALSE)
  ),
  "COMPLETE",
  "INC"
)</f>
        <v>COMPLETE</v>
      </c>
      <c r="D416" s="9" t="str">
        <f t="array" ref="D416">IFERROR(INDEX(data!$G:$G,match(Caseslist!B416,data!$D:$D,0)), "INC")</f>
        <v>L2057896</v>
      </c>
      <c r="E416" s="9" t="str">
        <f t="array" ref="E416">IFERROR(INDEX(data!H:H,match(Caseslist!B416,data!D:D,0)), "INC")</f>
        <v>Franz Reoben Posadas Geneblaza</v>
      </c>
      <c r="F416" s="10" t="str">
        <f t="array" ref="F416">IF(
    OR(
      IFNA(INDEX(data!M:M, MATCH(Caseslist!B416, data!D:D, 0)), "") = "",
      IFNA(INDEX(data!M:M, MATCH(Caseslist!B416, data!D:D, 0)), 0) = 0
    ),
    "COMPLETE",
    IF(
      IFNA(INDEX(dataICM!D:D, MATCH(Caseslist!B416, dataICM!D:D, 0)), "INC") = "INC",
      IFNA(INDEX(dataICM!D:D, MATCH(Caseslist!B416, dataICM!D:D, 0)), "INC"),
      "COMPLETE"
    )
  )</f>
        <v>COMPLETE</v>
      </c>
      <c r="G416" s="10" t="str">
        <f t="array" ref="G416">IF(IFERROR(INDEX(data!L:L,match(Caseslist!B416,data!D:D,0)),"INC")="","COMPLETE",F416)</f>
        <v>COMPLETE</v>
      </c>
      <c r="H416" s="9" t="str">
        <f t="array" ref="H416">IFERROR(INDEX(dataICM!F:F,match(Caseslist!B416,dataICM!D:D,0)), "INC")</f>
        <v>INC</v>
      </c>
      <c r="I416" s="10" t="str">
        <f t="shared" si="2"/>
        <v>L2057896</v>
      </c>
      <c r="J416" s="9" t="str">
        <f t="array" ref="J416">IF(
  AND(
    IFERROR(MATCH(B416, data!D:D, 0), 0) &gt; 0,
    IFERROR(INDEX(data!N:N, MATCH(B416, data!D:D, 0)) = 1, FALSE)
  ),
  INDEX(data!C:C, MATCH(B416, data!D:D, 0)),
  "INC"
)</f>
        <v>2025-09-09T10:27:32.821+08</v>
      </c>
      <c r="K416" s="9" t="str">
        <f t="array" ref="K416">IFERROR(INDEX(dataICM!C:C,match(Caseslist!B416,dataICM!D:D,0)), "INC")</f>
        <v>INC</v>
      </c>
      <c r="L416" s="10" t="str">
        <f t="array" ref="L416">IF(AND(G416="COMPLETE", OR(K416="INC", ISBLANK(INDEX(data!O:O, ROW())))), J416, K416)</f>
        <v>2025-09-09T10:27:32.821+08</v>
      </c>
      <c r="M416" s="2">
        <v>45909.0</v>
      </c>
      <c r="N416" s="2">
        <f t="array" ref="N416">IF(M416&lt;&gt;"INC", INDEX(data!M:M, MATCH(B416, data!D:D, 0)), "")</f>
        <v>0</v>
      </c>
      <c r="O416" s="2">
        <f t="shared" si="3"/>
        <v>0</v>
      </c>
    </row>
    <row r="417">
      <c r="A417" s="2" t="str">
        <f t="shared" si="1"/>
        <v>H006319</v>
      </c>
      <c r="B417" s="1" t="s">
        <v>4857</v>
      </c>
      <c r="C417" s="9" t="str">
        <f t="array" ref="C417">IF(
  AND(
    IFERROR(MATCH(Caseslist!B417, data!D:D, 0), 0) &gt; 0,
    IFERROR(INDEX(data!N:N, MATCH(Caseslist!B417, data!D:D, 0)) = 1, FALSE)
  ),
  "COMPLETE",
  "INC"
)</f>
        <v>COMPLETE</v>
      </c>
      <c r="D417" s="9" t="str">
        <f t="array" ref="D417">IFERROR(INDEX(data!$G:$G,match(Caseslist!B417,data!$D:$D,0)), "INC")</f>
        <v>J4315980</v>
      </c>
      <c r="E417" s="9" t="str">
        <f t="array" ref="E417">IFERROR(INDEX(data!H:H,match(Caseslist!B417,data!D:D,0)), "INC")</f>
        <v>Trixie Marie Jardeleza Saber</v>
      </c>
      <c r="F417" s="10" t="str">
        <f t="array" ref="F417">IF(
    OR(
      IFNA(INDEX(data!M:M, MATCH(Caseslist!B417, data!D:D, 0)), "") = "",
      IFNA(INDEX(data!M:M, MATCH(Caseslist!B417, data!D:D, 0)), 0) = 0
    ),
    "COMPLETE",
    IF(
      IFNA(INDEX(dataICM!D:D, MATCH(Caseslist!B417, dataICM!D:D, 0)), "INC") = "INC",
      IFNA(INDEX(dataICM!D:D, MATCH(Caseslist!B417, dataICM!D:D, 0)), "INC"),
      "COMPLETE"
    )
  )</f>
        <v>COMPLETE</v>
      </c>
      <c r="G417" s="10" t="str">
        <f t="array" ref="G417">IF(IFERROR(INDEX(data!L:L,match(Caseslist!B417,data!D:D,0)),"INC")="","COMPLETE",F417)</f>
        <v>COMPLETE</v>
      </c>
      <c r="H417" s="9" t="str">
        <f t="array" ref="H417">IFERROR(INDEX(dataICM!F:F,match(Caseslist!B417,dataICM!D:D,0)), "INC")</f>
        <v>INC</v>
      </c>
      <c r="I417" s="10" t="str">
        <f t="shared" si="2"/>
        <v>J4315980</v>
      </c>
      <c r="J417" s="9" t="str">
        <f t="array" ref="J417">IF(
  AND(
    IFERROR(MATCH(B417, data!D:D, 0), 0) &gt; 0,
    IFERROR(INDEX(data!N:N, MATCH(B417, data!D:D, 0)) = 1, FALSE)
  ),
  INDEX(data!C:C, MATCH(B417, data!D:D, 0)),
  "INC"
)</f>
        <v>2025-09-09T13:07:16.884+08</v>
      </c>
      <c r="K417" s="9" t="str">
        <f t="array" ref="K417">IFERROR(INDEX(dataICM!C:C,match(Caseslist!B417,dataICM!D:D,0)), "INC")</f>
        <v>INC</v>
      </c>
      <c r="L417" s="10" t="str">
        <f t="array" ref="L417">IF(AND(G417="COMPLETE", OR(K417="INC", ISBLANK(INDEX(data!O:O, ROW())))), J417, K417)</f>
        <v>2025-09-09T13:07:16.884+08</v>
      </c>
      <c r="M417" s="2">
        <v>45909.0</v>
      </c>
      <c r="N417" s="2">
        <f t="array" ref="N417">IF(M417&lt;&gt;"INC", INDEX(data!M:M, MATCH(B417, data!D:D, 0)), "")</f>
        <v>0</v>
      </c>
      <c r="O417" s="2">
        <f t="shared" si="3"/>
        <v>0</v>
      </c>
    </row>
    <row r="418">
      <c r="A418" s="2" t="str">
        <f t="shared" si="1"/>
        <v>H006319</v>
      </c>
      <c r="B418" s="1" t="s">
        <v>4937</v>
      </c>
      <c r="C418" s="9" t="str">
        <f t="array" ref="C418">IF(
  AND(
    IFERROR(MATCH(Caseslist!B418, data!D:D, 0), 0) &gt; 0,
    IFERROR(INDEX(data!N:N, MATCH(Caseslist!B418, data!D:D, 0)) = 1, FALSE)
  ),
  "COMPLETE",
  "INC"
)</f>
        <v>COMPLETE</v>
      </c>
      <c r="D418" s="9" t="str">
        <f t="array" ref="D418">IFERROR(INDEX(data!$G:$G,match(Caseslist!B418,data!$D:$D,0)), "INC")</f>
        <v>M6491032</v>
      </c>
      <c r="E418" s="9" t="str">
        <f t="array" ref="E418">IFERROR(INDEX(data!H:H,match(Caseslist!B418,data!D:D,0)), "INC")</f>
        <v>Rosevil Tayo Desamparado</v>
      </c>
      <c r="F418" s="10" t="str">
        <f t="array" ref="F418">IF(
    OR(
      IFNA(INDEX(data!M:M, MATCH(Caseslist!B418, data!D:D, 0)), "") = "",
      IFNA(INDEX(data!M:M, MATCH(Caseslist!B418, data!D:D, 0)), 0) = 0
    ),
    "COMPLETE",
    IF(
      IFNA(INDEX(dataICM!D:D, MATCH(Caseslist!B418, dataICM!D:D, 0)), "INC") = "INC",
      IFNA(INDEX(dataICM!D:D, MATCH(Caseslist!B418, dataICM!D:D, 0)), "INC"),
      "COMPLETE"
    )
  )</f>
        <v>COMPLETE</v>
      </c>
      <c r="G418" s="10" t="str">
        <f t="array" ref="G418">IF(IFERROR(INDEX(data!L:L,match(Caseslist!B418,data!D:D,0)),"INC")="","COMPLETE",F418)</f>
        <v>COMPLETE</v>
      </c>
      <c r="H418" s="9" t="str">
        <f t="array" ref="H418">IFERROR(INDEX(dataICM!F:F,match(Caseslist!B418,dataICM!D:D,0)), "INC")</f>
        <v>INC</v>
      </c>
      <c r="I418" s="10" t="str">
        <f t="shared" si="2"/>
        <v>M6491032</v>
      </c>
      <c r="J418" s="9" t="str">
        <f t="array" ref="J418">IF(
  AND(
    IFERROR(MATCH(B418, data!D:D, 0), 0) &gt; 0,
    IFERROR(INDEX(data!N:N, MATCH(B418, data!D:D, 0)) = 1, FALSE)
  ),
  INDEX(data!C:C, MATCH(B418, data!D:D, 0)),
  "INC"
)</f>
        <v>2025-09-09T19:52:37.587+08</v>
      </c>
      <c r="K418" s="9" t="str">
        <f t="array" ref="K418">IFERROR(INDEX(dataICM!C:C,match(Caseslist!B418,dataICM!D:D,0)), "INC")</f>
        <v>INC</v>
      </c>
      <c r="L418" s="10" t="str">
        <f t="array" ref="L418">IF(AND(G418="COMPLETE", OR(K418="INC", ISBLANK(INDEX(data!O:O, ROW())))), J418, K418)</f>
        <v>2025-09-09T19:52:37.587+08</v>
      </c>
      <c r="M418" s="2">
        <v>45909.0</v>
      </c>
      <c r="N418" s="2">
        <f t="array" ref="N418">IF(M418&lt;&gt;"INC", INDEX(data!M:M, MATCH(B418, data!D:D, 0)), "")</f>
        <v>0</v>
      </c>
      <c r="O418" s="2">
        <f t="shared" si="3"/>
        <v>0</v>
      </c>
    </row>
    <row r="419">
      <c r="A419" s="2" t="str">
        <f t="shared" si="1"/>
        <v>H006319</v>
      </c>
      <c r="B419" s="1" t="s">
        <v>4852</v>
      </c>
      <c r="C419" s="9" t="str">
        <f t="array" ref="C419">IF(
  AND(
    IFERROR(MATCH(Caseslist!B419, data!D:D, 0), 0) &gt; 0,
    IFERROR(INDEX(data!N:N, MATCH(Caseslist!B419, data!D:D, 0)) = 1, FALSE)
  ),
  "COMPLETE",
  "INC"
)</f>
        <v>COMPLETE</v>
      </c>
      <c r="D419" s="9" t="str">
        <f t="array" ref="D419">IFERROR(INDEX(data!$G:$G,match(Caseslist!B419,data!$D:$D,0)), "INC")</f>
        <v>L2057896</v>
      </c>
      <c r="E419" s="9" t="str">
        <f t="array" ref="E419">IFERROR(INDEX(data!H:H,match(Caseslist!B419,data!D:D,0)), "INC")</f>
        <v>Franz Reoben Posadas Geneblaza</v>
      </c>
      <c r="F419" s="10" t="str">
        <f t="array" ref="F419">IF(
    OR(
      IFNA(INDEX(data!M:M, MATCH(Caseslist!B419, data!D:D, 0)), "") = "",
      IFNA(INDEX(data!M:M, MATCH(Caseslist!B419, data!D:D, 0)), 0) = 0
    ),
    "COMPLETE",
    IF(
      IFNA(INDEX(dataICM!D:D, MATCH(Caseslist!B419, dataICM!D:D, 0)), "INC") = "INC",
      IFNA(INDEX(dataICM!D:D, MATCH(Caseslist!B419, dataICM!D:D, 0)), "INC"),
      "COMPLETE"
    )
  )</f>
        <v>COMPLETE</v>
      </c>
      <c r="G419" s="10" t="str">
        <f t="array" ref="G419">IF(IFERROR(INDEX(data!L:L,match(Caseslist!B419,data!D:D,0)),"INC")="","COMPLETE",F419)</f>
        <v>COMPLETE</v>
      </c>
      <c r="H419" s="9" t="str">
        <f t="array" ref="H419">IFERROR(INDEX(dataICM!F:F,match(Caseslist!B419,dataICM!D:D,0)), "INC")</f>
        <v>INC</v>
      </c>
      <c r="I419" s="10" t="str">
        <f t="shared" si="2"/>
        <v>L2057896</v>
      </c>
      <c r="J419" s="9" t="str">
        <f t="array" ref="J419">IF(
  AND(
    IFERROR(MATCH(B419, data!D:D, 0), 0) &gt; 0,
    IFERROR(INDEX(data!N:N, MATCH(B419, data!D:D, 0)) = 1, FALSE)
  ),
  INDEX(data!C:C, MATCH(B419, data!D:D, 0)),
  "INC"
)</f>
        <v>2025-09-24T10:40:40.863+08</v>
      </c>
      <c r="K419" s="9" t="str">
        <f t="array" ref="K419">IFERROR(INDEX(dataICM!C:C,match(Caseslist!B419,dataICM!D:D,0)), "INC")</f>
        <v>INC</v>
      </c>
      <c r="L419" s="10" t="str">
        <f t="array" ref="L419">IF(AND(G419="COMPLETE", OR(K419="INC", ISBLANK(INDEX(data!O:O, ROW())))), J419, K419)</f>
        <v>2025-09-24T10:40:40.863+08</v>
      </c>
      <c r="M419" s="2">
        <v>45924.0</v>
      </c>
      <c r="N419" s="2">
        <f t="array" ref="N419">IF(M419&lt;&gt;"INC", INDEX(data!M:M, MATCH(B419, data!D:D, 0)), "")</f>
        <v>0</v>
      </c>
      <c r="O419" s="2">
        <f t="shared" si="3"/>
        <v>0</v>
      </c>
    </row>
    <row r="420">
      <c r="A420" s="2" t="str">
        <f t="shared" si="1"/>
        <v>H006405</v>
      </c>
      <c r="B420" s="1" t="s">
        <v>4487</v>
      </c>
      <c r="C420" s="9" t="str">
        <f t="array" ref="C420">IF(
  AND(
    IFERROR(MATCH(Caseslist!B420, data!D:D, 0), 0) &gt; 0,
    IFERROR(INDEX(data!N:N, MATCH(Caseslist!B420, data!D:D, 0)) = 1, FALSE)
  ),
  "COMPLETE",
  "INC"
)</f>
        <v>COMPLETE</v>
      </c>
      <c r="D420" s="9" t="str">
        <f t="array" ref="D420">IFERROR(INDEX(data!$G:$G,match(Caseslist!B420,data!$D:$D,0)), "INC")</f>
        <v>J4315980</v>
      </c>
      <c r="E420" s="9" t="str">
        <f t="array" ref="E420">IFERROR(INDEX(data!H:H,match(Caseslist!B420,data!D:D,0)), "INC")</f>
        <v>Trixie Marie Jardeleza Saber</v>
      </c>
      <c r="F420" s="10" t="str">
        <f t="array" ref="F420">IF(
    OR(
      IFNA(INDEX(data!M:M, MATCH(Caseslist!B420, data!D:D, 0)), "") = "",
      IFNA(INDEX(data!M:M, MATCH(Caseslist!B420, data!D:D, 0)), 0) = 0
    ),
    "COMPLETE",
    IF(
      IFNA(INDEX(dataICM!D:D, MATCH(Caseslist!B420, dataICM!D:D, 0)), "INC") = "INC",
      IFNA(INDEX(dataICM!D:D, MATCH(Caseslist!B420, dataICM!D:D, 0)), "INC"),
      "COMPLETE"
    )
  )</f>
        <v>COMPLETE</v>
      </c>
      <c r="G420" s="10" t="str">
        <f t="array" ref="G420">IF(IFERROR(INDEX(data!L:L,match(Caseslist!B420,data!D:D,0)),"INC")="","COMPLETE",F420)</f>
        <v>COMPLETE</v>
      </c>
      <c r="H420" s="9" t="str">
        <f t="array" ref="H420">IFERROR(INDEX(dataICM!F:F,match(Caseslist!B420,dataICM!D:D,0)), "INC")</f>
        <v>Trixie Marie Jardeleza Saber</v>
      </c>
      <c r="I420" s="10" t="str">
        <f t="shared" si="2"/>
        <v>J4315980</v>
      </c>
      <c r="J420" s="9" t="str">
        <f t="array" ref="J420">IF(
  AND(
    IFERROR(MATCH(B420, data!D:D, 0), 0) &gt; 0,
    IFERROR(INDEX(data!N:N, MATCH(B420, data!D:D, 0)) = 1, FALSE)
  ),
  INDEX(data!C:C, MATCH(B420, data!D:D, 0)),
  "INC"
)</f>
        <v>2025-09-08T11:30:14.925+08</v>
      </c>
      <c r="K420" s="9" t="str">
        <f t="array" ref="K420">IFERROR(INDEX(dataICM!C:C,match(Caseslist!B420,dataICM!D:D,0)), "INC")</f>
        <v>2025-09-08T12:54:52.505+08</v>
      </c>
      <c r="L420" s="10" t="str">
        <f t="array" ref="L420">IF(AND(G420="COMPLETE", OR(K420="INC", ISBLANK(INDEX(data!O:O, ROW())))), J420, K420)</f>
        <v>2025-09-08T12:54:52.505+08</v>
      </c>
      <c r="M420" s="2">
        <v>45908.0</v>
      </c>
      <c r="N420" s="2">
        <f t="array" ref="N420">IF(M420&lt;&gt;"INC", INDEX(data!M:M, MATCH(B420, data!D:D, 0)), "")</f>
        <v>3</v>
      </c>
      <c r="O420" s="2">
        <f t="shared" si="3"/>
        <v>3</v>
      </c>
    </row>
    <row r="421">
      <c r="A421" s="2" t="str">
        <f t="shared" si="1"/>
        <v>H006405</v>
      </c>
      <c r="B421" s="1" t="s">
        <v>4507</v>
      </c>
      <c r="C421" s="9" t="str">
        <f t="array" ref="C421">IF(
  AND(
    IFERROR(MATCH(Caseslist!B421, data!D:D, 0), 0) &gt; 0,
    IFERROR(INDEX(data!N:N, MATCH(Caseslist!B421, data!D:D, 0)) = 1, FALSE)
  ),
  "COMPLETE",
  "INC"
)</f>
        <v>COMPLETE</v>
      </c>
      <c r="D421" s="9" t="str">
        <f t="array" ref="D421">IFERROR(INDEX(data!$G:$G,match(Caseslist!B421,data!$D:$D,0)), "INC")</f>
        <v>M6491032</v>
      </c>
      <c r="E421" s="9" t="str">
        <f t="array" ref="E421">IFERROR(INDEX(data!H:H,match(Caseslist!B421,data!D:D,0)), "INC")</f>
        <v>Rosevil Tayo Desamparado</v>
      </c>
      <c r="F421" s="10" t="str">
        <f t="array" ref="F421">IF(
    OR(
      IFNA(INDEX(data!M:M, MATCH(Caseslist!B421, data!D:D, 0)), "") = "",
      IFNA(INDEX(data!M:M, MATCH(Caseslist!B421, data!D:D, 0)), 0) = 0
    ),
    "COMPLETE",
    IF(
      IFNA(INDEX(dataICM!D:D, MATCH(Caseslist!B421, dataICM!D:D, 0)), "INC") = "INC",
      IFNA(INDEX(dataICM!D:D, MATCH(Caseslist!B421, dataICM!D:D, 0)), "INC"),
      "COMPLETE"
    )
  )</f>
        <v>COMPLETE</v>
      </c>
      <c r="G421" s="10" t="str">
        <f t="array" ref="G421">IF(IFERROR(INDEX(data!L:L,match(Caseslist!B421,data!D:D,0)),"INC")="","COMPLETE",F421)</f>
        <v>COMPLETE</v>
      </c>
      <c r="H421" s="9" t="str">
        <f t="array" ref="H421">IFERROR(INDEX(dataICM!F:F,match(Caseslist!B421,dataICM!D:D,0)), "INC")</f>
        <v>Rosevil Tayo Desamparado</v>
      </c>
      <c r="I421" s="10" t="str">
        <f t="shared" si="2"/>
        <v>M6491032</v>
      </c>
      <c r="J421" s="9" t="str">
        <f t="array" ref="J421">IF(
  AND(
    IFERROR(MATCH(B421, data!D:D, 0), 0) &gt; 0,
    IFERROR(INDEX(data!N:N, MATCH(B421, data!D:D, 0)) = 1, FALSE)
  ),
  INDEX(data!C:C, MATCH(B421, data!D:D, 0)),
  "INC"
)</f>
        <v>2025-09-08T13:35:28.795+08</v>
      </c>
      <c r="K421" s="9" t="str">
        <f t="array" ref="K421">IFERROR(INDEX(dataICM!C:C,match(Caseslist!B421,dataICM!D:D,0)), "INC")</f>
        <v>2025-09-08T14:28:08.139+08</v>
      </c>
      <c r="L421" s="10" t="str">
        <f t="array" ref="L421">IF(AND(G421="COMPLETE", OR(K421="INC", ISBLANK(INDEX(data!O:O, ROW())))), J421, K421)</f>
        <v>2025-09-08T14:28:08.139+08</v>
      </c>
      <c r="M421" s="2">
        <v>45908.0</v>
      </c>
      <c r="N421" s="2">
        <f t="array" ref="N421">IF(M421&lt;&gt;"INC", INDEX(data!M:M, MATCH(B421, data!D:D, 0)), "")</f>
        <v>3</v>
      </c>
      <c r="O421" s="2">
        <f t="shared" si="3"/>
        <v>3</v>
      </c>
    </row>
    <row r="422">
      <c r="A422" s="2" t="str">
        <f t="shared" si="1"/>
        <v>H006405</v>
      </c>
      <c r="B422" s="1" t="s">
        <v>4482</v>
      </c>
      <c r="C422" s="9" t="str">
        <f t="array" ref="C422">IF(
  AND(
    IFERROR(MATCH(Caseslist!B422, data!D:D, 0), 0) &gt; 0,
    IFERROR(INDEX(data!N:N, MATCH(Caseslist!B422, data!D:D, 0)) = 1, FALSE)
  ),
  "COMPLETE",
  "INC"
)</f>
        <v>COMPLETE</v>
      </c>
      <c r="D422" s="9" t="str">
        <f t="array" ref="D422">IFERROR(INDEX(data!$G:$G,match(Caseslist!B422,data!$D:$D,0)), "INC")</f>
        <v>J4315980</v>
      </c>
      <c r="E422" s="9" t="str">
        <f t="array" ref="E422">IFERROR(INDEX(data!H:H,match(Caseslist!B422,data!D:D,0)), "INC")</f>
        <v>Trixie Marie Jardeleza Saber</v>
      </c>
      <c r="F422" s="10" t="str">
        <f t="array" ref="F422">IF(
    OR(
      IFNA(INDEX(data!M:M, MATCH(Caseslist!B422, data!D:D, 0)), "") = "",
      IFNA(INDEX(data!M:M, MATCH(Caseslist!B422, data!D:D, 0)), 0) = 0
    ),
    "COMPLETE",
    IF(
      IFNA(INDEX(dataICM!D:D, MATCH(Caseslist!B422, dataICM!D:D, 0)), "INC") = "INC",
      IFNA(INDEX(dataICM!D:D, MATCH(Caseslist!B422, dataICM!D:D, 0)), "INC"),
      "COMPLETE"
    )
  )</f>
        <v>COMPLETE</v>
      </c>
      <c r="G422" s="10" t="str">
        <f t="array" ref="G422">IF(IFERROR(INDEX(data!L:L,match(Caseslist!B422,data!D:D,0)),"INC")="","COMPLETE",F422)</f>
        <v>COMPLETE</v>
      </c>
      <c r="H422" s="9" t="str">
        <f t="array" ref="H422">IFERROR(INDEX(dataICM!F:F,match(Caseslist!B422,dataICM!D:D,0)), "INC")</f>
        <v>Trixie Marie Jardeleza Saber</v>
      </c>
      <c r="I422" s="10" t="str">
        <f t="shared" si="2"/>
        <v>J4315980</v>
      </c>
      <c r="J422" s="9" t="str">
        <f t="array" ref="J422">IF(
  AND(
    IFERROR(MATCH(B422, data!D:D, 0), 0) &gt; 0,
    IFERROR(INDEX(data!N:N, MATCH(B422, data!D:D, 0)) = 1, FALSE)
  ),
  INDEX(data!C:C, MATCH(B422, data!D:D, 0)),
  "INC"
)</f>
        <v>2025-09-08T09:48:14.791+08</v>
      </c>
      <c r="K422" s="9" t="str">
        <f t="array" ref="K422">IFERROR(INDEX(dataICM!C:C,match(Caseslist!B422,dataICM!D:D,0)), "INC")</f>
        <v>2025-09-08T09:54:25.704+08</v>
      </c>
      <c r="L422" s="10" t="str">
        <f t="array" ref="L422">IF(AND(G422="COMPLETE", OR(K422="INC", ISBLANK(INDEX(data!O:O, ROW())))), J422, K422)</f>
        <v>2025-09-08T09:54:25.704+08</v>
      </c>
      <c r="M422" s="2">
        <v>45908.0</v>
      </c>
      <c r="N422" s="2">
        <f t="array" ref="N422">IF(M422&lt;&gt;"INC", INDEX(data!M:M, MATCH(B422, data!D:D, 0)), "")</f>
        <v>3</v>
      </c>
      <c r="O422" s="2">
        <f t="shared" si="3"/>
        <v>3</v>
      </c>
    </row>
    <row r="423">
      <c r="A423" s="2" t="str">
        <f t="shared" si="1"/>
        <v>H006405</v>
      </c>
      <c r="B423" s="1" t="s">
        <v>4467</v>
      </c>
      <c r="C423" s="9" t="str">
        <f t="array" ref="C423">IF(
  AND(
    IFERROR(MATCH(Caseslist!B423, data!D:D, 0), 0) &gt; 0,
    IFERROR(INDEX(data!N:N, MATCH(Caseslist!B423, data!D:D, 0)) = 1, FALSE)
  ),
  "COMPLETE",
  "INC"
)</f>
        <v>COMPLETE</v>
      </c>
      <c r="D423" s="9" t="str">
        <f t="array" ref="D423">IFERROR(INDEX(data!$G:$G,match(Caseslist!B423,data!$D:$D,0)), "INC")</f>
        <v>L2057896</v>
      </c>
      <c r="E423" s="9" t="str">
        <f t="array" ref="E423">IFERROR(INDEX(data!H:H,match(Caseslist!B423,data!D:D,0)), "INC")</f>
        <v>Franz Reoben Posadas Geneblaza</v>
      </c>
      <c r="F423" s="10" t="str">
        <f t="array" ref="F423">IF(
    OR(
      IFNA(INDEX(data!M:M, MATCH(Caseslist!B423, data!D:D, 0)), "") = "",
      IFNA(INDEX(data!M:M, MATCH(Caseslist!B423, data!D:D, 0)), 0) = 0
    ),
    "COMPLETE",
    IF(
      IFNA(INDEX(dataICM!D:D, MATCH(Caseslist!B423, dataICM!D:D, 0)), "INC") = "INC",
      IFNA(INDEX(dataICM!D:D, MATCH(Caseslist!B423, dataICM!D:D, 0)), "INC"),
      "COMPLETE"
    )
  )</f>
        <v>COMPLETE</v>
      </c>
      <c r="G423" s="10" t="str">
        <f t="array" ref="G423">IF(IFERROR(INDEX(data!L:L,match(Caseslist!B423,data!D:D,0)),"INC")="","COMPLETE",F423)</f>
        <v>COMPLETE</v>
      </c>
      <c r="H423" s="9" t="str">
        <f t="array" ref="H423">IFERROR(INDEX(dataICM!F:F,match(Caseslist!B423,dataICM!D:D,0)), "INC")</f>
        <v>Franz Reoben Posadas Geneblaza</v>
      </c>
      <c r="I423" s="10" t="str">
        <f t="shared" si="2"/>
        <v>L2057896</v>
      </c>
      <c r="J423" s="9" t="str">
        <f t="array" ref="J423">IF(
  AND(
    IFERROR(MATCH(B423, data!D:D, 0), 0) &gt; 0,
    IFERROR(INDEX(data!N:N, MATCH(B423, data!D:D, 0)) = 1, FALSE)
  ),
  INDEX(data!C:C, MATCH(B423, data!D:D, 0)),
  "INC"
)</f>
        <v>2025-09-08T14:18:44.337+08</v>
      </c>
      <c r="K423" s="9" t="str">
        <f t="array" ref="K423">IFERROR(INDEX(dataICM!C:C,match(Caseslist!B423,dataICM!D:D,0)), "INC")</f>
        <v>2025-09-08T15:04:34.551+08</v>
      </c>
      <c r="L423" s="10" t="str">
        <f t="array" ref="L423">IF(AND(G423="COMPLETE", OR(K423="INC", ISBLANK(INDEX(data!O:O, ROW())))), J423, K423)</f>
        <v>2025-09-08T15:04:34.551+08</v>
      </c>
      <c r="M423" s="2">
        <v>45908.0</v>
      </c>
      <c r="N423" s="2">
        <f t="array" ref="N423">IF(M423&lt;&gt;"INC", INDEX(data!M:M, MATCH(B423, data!D:D, 0)), "")</f>
        <v>3</v>
      </c>
      <c r="O423" s="2">
        <f t="shared" si="3"/>
        <v>3</v>
      </c>
    </row>
    <row r="424">
      <c r="A424" s="2" t="str">
        <f t="shared" si="1"/>
        <v>H006405</v>
      </c>
      <c r="B424" s="1" t="s">
        <v>4572</v>
      </c>
      <c r="C424" s="9" t="str">
        <f t="array" ref="C424">IF(
  AND(
    IFERROR(MATCH(Caseslist!B424, data!D:D, 0), 0) &gt; 0,
    IFERROR(INDEX(data!N:N, MATCH(Caseslist!B424, data!D:D, 0)) = 1, FALSE)
  ),
  "COMPLETE",
  "INC"
)</f>
        <v>COMPLETE</v>
      </c>
      <c r="D424" s="9" t="str">
        <f t="array" ref="D424">IFERROR(INDEX(data!$G:$G,match(Caseslist!B424,data!$D:$D,0)), "INC")</f>
        <v>K8623174</v>
      </c>
      <c r="E424" s="9" t="str">
        <f t="array" ref="E424">IFERROR(INDEX(data!H:H,match(Caseslist!B424,data!D:D,0)), "INC")</f>
        <v>Marielle Kaye Ignacio Alonzo</v>
      </c>
      <c r="F424" s="10" t="str">
        <f t="array" ref="F424">IF(
    OR(
      IFNA(INDEX(data!M:M, MATCH(Caseslist!B424, data!D:D, 0)), "") = "",
      IFNA(INDEX(data!M:M, MATCH(Caseslist!B424, data!D:D, 0)), 0) = 0
    ),
    "COMPLETE",
    IF(
      IFNA(INDEX(dataICM!D:D, MATCH(Caseslist!B424, dataICM!D:D, 0)), "INC") = "INC",
      IFNA(INDEX(dataICM!D:D, MATCH(Caseslist!B424, dataICM!D:D, 0)), "INC"),
      "COMPLETE"
    )
  )</f>
        <v>COMPLETE</v>
      </c>
      <c r="G424" s="10" t="str">
        <f t="array" ref="G424">IF(IFERROR(INDEX(data!L:L,match(Caseslist!B424,data!D:D,0)),"INC")="","COMPLETE",F424)</f>
        <v>COMPLETE</v>
      </c>
      <c r="H424" s="9" t="str">
        <f t="array" ref="H424">IFERROR(INDEX(dataICM!F:F,match(Caseslist!B424,dataICM!D:D,0)), "INC")</f>
        <v>Marielle Kaye Ignacio Alonzo</v>
      </c>
      <c r="I424" s="10" t="str">
        <f t="shared" si="2"/>
        <v>K8623174</v>
      </c>
      <c r="J424" s="9" t="str">
        <f t="array" ref="J424">IF(
  AND(
    IFERROR(MATCH(B424, data!D:D, 0), 0) &gt; 0,
    IFERROR(INDEX(data!N:N, MATCH(B424, data!D:D, 0)) = 1, FALSE)
  ),
  INDEX(data!C:C, MATCH(B424, data!D:D, 0)),
  "INC"
)</f>
        <v>2025-09-08T10:59:07.294+08</v>
      </c>
      <c r="K424" s="9" t="str">
        <f t="array" ref="K424">IFERROR(INDEX(dataICM!C:C,match(Caseslist!B424,dataICM!D:D,0)), "INC")</f>
        <v>2025-09-08T11:27:08.691+08</v>
      </c>
      <c r="L424" s="10" t="str">
        <f t="array" ref="L424">IF(AND(G424="COMPLETE", OR(K424="INC", ISBLANK(INDEX(data!O:O, ROW())))), J424, K424)</f>
        <v>2025-09-08T11:27:08.691+08</v>
      </c>
      <c r="M424" s="2">
        <v>45908.0</v>
      </c>
      <c r="N424" s="2">
        <f t="array" ref="N424">IF(M424&lt;&gt;"INC", INDEX(data!M:M, MATCH(B424, data!D:D, 0)), "")</f>
        <v>3</v>
      </c>
      <c r="O424" s="2">
        <f t="shared" si="3"/>
        <v>3</v>
      </c>
    </row>
    <row r="425">
      <c r="A425" s="2" t="str">
        <f t="shared" si="1"/>
        <v>H006405</v>
      </c>
      <c r="B425" s="1" t="s">
        <v>8758</v>
      </c>
      <c r="C425" s="9" t="str">
        <f t="array" ref="C425">IF(
  AND(
    IFERROR(MATCH(Caseslist!B425, data!D:D, 0), 0) &gt; 0,
    IFERROR(INDEX(data!N:N, MATCH(Caseslist!B425, data!D:D, 0)) = 1, FALSE)
  ),
  "COMPLETE",
  "INC"
)</f>
        <v>COMPLETE</v>
      </c>
      <c r="D425" s="9" t="str">
        <f t="array" ref="D425">IFERROR(INDEX(data!$G:$G,match(Caseslist!B425,data!$D:$D,0)), "INC")</f>
        <v>M6491032</v>
      </c>
      <c r="E425" s="9" t="str">
        <f t="array" ref="E425">IFERROR(INDEX(data!H:H,match(Caseslist!B425,data!D:D,0)), "INC")</f>
        <v>Rosevil Tayo Desamparado</v>
      </c>
      <c r="F425" s="10" t="str">
        <f t="array" ref="F425">IF(
    OR(
      IFNA(INDEX(data!M:M, MATCH(Caseslist!B425, data!D:D, 0)), "") = "",
      IFNA(INDEX(data!M:M, MATCH(Caseslist!B425, data!D:D, 0)), 0) = 0
    ),
    "COMPLETE",
    IF(
      IFNA(INDEX(dataICM!D:D, MATCH(Caseslist!B425, dataICM!D:D, 0)), "INC") = "INC",
      IFNA(INDEX(dataICM!D:D, MATCH(Caseslist!B425, dataICM!D:D, 0)), "INC"),
      "COMPLETE"
    )
  )</f>
        <v>COMPLETE</v>
      </c>
      <c r="G425" s="10" t="str">
        <f t="array" ref="G425">IF(IFERROR(INDEX(data!L:L,match(Caseslist!B425,data!D:D,0)),"INC")="","COMPLETE",F425)</f>
        <v>COMPLETE</v>
      </c>
      <c r="H425" s="9" t="str">
        <f t="array" ref="H425">IFERROR(INDEX(dataICM!F:F,match(Caseslist!B425,dataICM!D:D,0)), "INC")</f>
        <v>Rosevil Tayo Desamparado</v>
      </c>
      <c r="I425" s="10" t="str">
        <f t="shared" si="2"/>
        <v>M6491032</v>
      </c>
      <c r="J425" s="9" t="str">
        <f t="array" ref="J425">IF(
  AND(
    IFERROR(MATCH(B425, data!D:D, 0), 0) &gt; 0,
    IFERROR(INDEX(data!N:N, MATCH(B425, data!D:D, 0)) = 1, FALSE)
  ),
  INDEX(data!C:C, MATCH(B425, data!D:D, 0)),
  "INC"
)</f>
        <v>2025-09-29T12:26:53.908+08</v>
      </c>
      <c r="K425" s="9" t="str">
        <f t="array" ref="K425">IFERROR(INDEX(dataICM!C:C,match(Caseslist!B425,dataICM!D:D,0)), "INC")</f>
        <v>2025-09-29T19:48:05.606+08</v>
      </c>
      <c r="L425" s="10" t="str">
        <f t="array" ref="L425">IF(AND(G425="COMPLETE", OR(K425="INC", ISBLANK(INDEX(data!O:O, ROW())))), J425, K425)</f>
        <v>2025-09-29T19:48:05.606+08</v>
      </c>
      <c r="M425" s="2">
        <v>45929.0</v>
      </c>
      <c r="N425" s="2">
        <f t="array" ref="N425">IF(M425&lt;&gt;"INC", INDEX(data!M:M, MATCH(B425, data!D:D, 0)), "")</f>
        <v>3</v>
      </c>
      <c r="O425" s="2">
        <f t="shared" si="3"/>
        <v>3</v>
      </c>
    </row>
    <row r="426">
      <c r="A426" s="2" t="str">
        <f t="shared" si="1"/>
        <v>H006405</v>
      </c>
      <c r="B426" s="1" t="s">
        <v>4462</v>
      </c>
      <c r="C426" s="9" t="str">
        <f t="array" ref="C426">IF(
  AND(
    IFERROR(MATCH(Caseslist!B426, data!D:D, 0), 0) &gt; 0,
    IFERROR(INDEX(data!N:N, MATCH(Caseslist!B426, data!D:D, 0)) = 1, FALSE)
  ),
  "COMPLETE",
  "INC"
)</f>
        <v>COMPLETE</v>
      </c>
      <c r="D426" s="9" t="str">
        <f t="array" ref="D426">IFERROR(INDEX(data!$G:$G,match(Caseslist!B426,data!$D:$D,0)), "INC")</f>
        <v>L2057896</v>
      </c>
      <c r="E426" s="9" t="str">
        <f t="array" ref="E426">IFERROR(INDEX(data!H:H,match(Caseslist!B426,data!D:D,0)), "INC")</f>
        <v>Franz Reoben Posadas Geneblaza</v>
      </c>
      <c r="F426" s="10" t="str">
        <f t="array" ref="F426">IF(
    OR(
      IFNA(INDEX(data!M:M, MATCH(Caseslist!B426, data!D:D, 0)), "") = "",
      IFNA(INDEX(data!M:M, MATCH(Caseslist!B426, data!D:D, 0)), 0) = 0
    ),
    "COMPLETE",
    IF(
      IFNA(INDEX(dataICM!D:D, MATCH(Caseslist!B426, dataICM!D:D, 0)), "INC") = "INC",
      IFNA(INDEX(dataICM!D:D, MATCH(Caseslist!B426, dataICM!D:D, 0)), "INC"),
      "COMPLETE"
    )
  )</f>
        <v>COMPLETE</v>
      </c>
      <c r="G426" s="10" t="str">
        <f t="array" ref="G426">IF(IFERROR(INDEX(data!L:L,match(Caseslist!B426,data!D:D,0)),"INC")="","COMPLETE",F426)</f>
        <v>COMPLETE</v>
      </c>
      <c r="H426" s="9" t="str">
        <f t="array" ref="H426">IFERROR(INDEX(dataICM!F:F,match(Caseslist!B426,dataICM!D:D,0)), "INC")</f>
        <v>Franz Reoben Posadas Geneblaza</v>
      </c>
      <c r="I426" s="10" t="str">
        <f t="shared" si="2"/>
        <v>L2057896</v>
      </c>
      <c r="J426" s="9" t="str">
        <f t="array" ref="J426">IF(
  AND(
    IFERROR(MATCH(B426, data!D:D, 0), 0) &gt; 0,
    IFERROR(INDEX(data!N:N, MATCH(B426, data!D:D, 0)) = 1, FALSE)
  ),
  INDEX(data!C:C, MATCH(B426, data!D:D, 0)),
  "INC"
)</f>
        <v>2025-09-08T11:12:14.118+08</v>
      </c>
      <c r="K426" s="9" t="str">
        <f t="array" ref="K426">IFERROR(INDEX(dataICM!C:C,match(Caseslist!B426,dataICM!D:D,0)), "INC")</f>
        <v>2025-09-08T11:34:09.743+08</v>
      </c>
      <c r="L426" s="10" t="str">
        <f t="array" ref="L426">IF(AND(G426="COMPLETE", OR(K426="INC", ISBLANK(INDEX(data!O:O, ROW())))), J426, K426)</f>
        <v>2025-09-08T11:34:09.743+08</v>
      </c>
      <c r="M426" s="2">
        <v>45908.0</v>
      </c>
      <c r="N426" s="2">
        <f t="array" ref="N426">IF(M426&lt;&gt;"INC", INDEX(data!M:M, MATCH(B426, data!D:D, 0)), "")</f>
        <v>3</v>
      </c>
      <c r="O426" s="2">
        <f t="shared" si="3"/>
        <v>3</v>
      </c>
    </row>
    <row r="427">
      <c r="A427" s="2" t="str">
        <f t="shared" si="1"/>
        <v>H006405</v>
      </c>
      <c r="B427" s="1" t="s">
        <v>4512</v>
      </c>
      <c r="C427" s="9" t="str">
        <f t="array" ref="C427">IF(
  AND(
    IFERROR(MATCH(Caseslist!B427, data!D:D, 0), 0) &gt; 0,
    IFERROR(INDEX(data!N:N, MATCH(Caseslist!B427, data!D:D, 0)) = 1, FALSE)
  ),
  "COMPLETE",
  "INC"
)</f>
        <v>COMPLETE</v>
      </c>
      <c r="D427" s="9" t="str">
        <f t="array" ref="D427">IFERROR(INDEX(data!$G:$G,match(Caseslist!B427,data!$D:$D,0)), "INC")</f>
        <v>J4315980</v>
      </c>
      <c r="E427" s="9" t="str">
        <f t="array" ref="E427">IFERROR(INDEX(data!H:H,match(Caseslist!B427,data!D:D,0)), "INC")</f>
        <v>Trixie Marie Jardeleza Saber</v>
      </c>
      <c r="F427" s="10" t="str">
        <f t="array" ref="F427">IF(
    OR(
      IFNA(INDEX(data!M:M, MATCH(Caseslist!B427, data!D:D, 0)), "") = "",
      IFNA(INDEX(data!M:M, MATCH(Caseslist!B427, data!D:D, 0)), 0) = 0
    ),
    "COMPLETE",
    IF(
      IFNA(INDEX(dataICM!D:D, MATCH(Caseslist!B427, dataICM!D:D, 0)), "INC") = "INC",
      IFNA(INDEX(dataICM!D:D, MATCH(Caseslist!B427, dataICM!D:D, 0)), "INC"),
      "COMPLETE"
    )
  )</f>
        <v>COMPLETE</v>
      </c>
      <c r="G427" s="10" t="str">
        <f t="array" ref="G427">IF(IFERROR(INDEX(data!L:L,match(Caseslist!B427,data!D:D,0)),"INC")="","COMPLETE",F427)</f>
        <v>COMPLETE</v>
      </c>
      <c r="H427" s="9" t="str">
        <f t="array" ref="H427">IFERROR(INDEX(dataICM!F:F,match(Caseslist!B427,dataICM!D:D,0)), "INC")</f>
        <v>Trixie Marie Jardeleza Saber</v>
      </c>
      <c r="I427" s="10" t="str">
        <f t="shared" si="2"/>
        <v>J4315980</v>
      </c>
      <c r="J427" s="9" t="str">
        <f t="array" ref="J427">IF(
  AND(
    IFERROR(MATCH(B427, data!D:D, 0), 0) &gt; 0,
    IFERROR(INDEX(data!N:N, MATCH(B427, data!D:D, 0)) = 1, FALSE)
  ),
  INDEX(data!C:C, MATCH(B427, data!D:D, 0)),
  "INC"
)</f>
        <v>2025-09-29T18:48:22.371+08</v>
      </c>
      <c r="K427" s="9" t="str">
        <f t="array" ref="K427">IFERROR(INDEX(dataICM!C:C,match(Caseslist!B427,dataICM!D:D,0)), "INC")</f>
        <v>2025-09-29T18:51:19.285+08</v>
      </c>
      <c r="L427" s="10" t="str">
        <f t="array" ref="L427">IF(AND(G427="COMPLETE", OR(K427="INC", ISBLANK(INDEX(data!O:O, ROW())))), J427, K427)</f>
        <v>2025-09-29T18:51:19.285+08</v>
      </c>
      <c r="M427" s="2">
        <v>45929.0</v>
      </c>
      <c r="N427" s="2">
        <f t="array" ref="N427">IF(M427&lt;&gt;"INC", INDEX(data!M:M, MATCH(B427, data!D:D, 0)), "")</f>
        <v>3</v>
      </c>
      <c r="O427" s="2">
        <f t="shared" si="3"/>
        <v>3</v>
      </c>
    </row>
    <row r="428">
      <c r="A428" s="2" t="str">
        <f t="shared" si="1"/>
        <v>H006405</v>
      </c>
      <c r="B428" s="1" t="s">
        <v>4502</v>
      </c>
      <c r="C428" s="9" t="str">
        <f t="array" ref="C428">IF(
  AND(
    IFERROR(MATCH(Caseslist!B428, data!D:D, 0), 0) &gt; 0,
    IFERROR(INDEX(data!N:N, MATCH(Caseslist!B428, data!D:D, 0)) = 1, FALSE)
  ),
  "COMPLETE",
  "INC"
)</f>
        <v>COMPLETE</v>
      </c>
      <c r="D428" s="9" t="str">
        <f t="array" ref="D428">IFERROR(INDEX(data!$G:$G,match(Caseslist!B428,data!$D:$D,0)), "INC")</f>
        <v>M6491032</v>
      </c>
      <c r="E428" s="9" t="str">
        <f t="array" ref="E428">IFERROR(INDEX(data!H:H,match(Caseslist!B428,data!D:D,0)), "INC")</f>
        <v>Rosevil Tayo Desamparado</v>
      </c>
      <c r="F428" s="10" t="str">
        <f t="array" ref="F428">IF(
    OR(
      IFNA(INDEX(data!M:M, MATCH(Caseslist!B428, data!D:D, 0)), "") = "",
      IFNA(INDEX(data!M:M, MATCH(Caseslist!B428, data!D:D, 0)), 0) = 0
    ),
    "COMPLETE",
    IF(
      IFNA(INDEX(dataICM!D:D, MATCH(Caseslist!B428, dataICM!D:D, 0)), "INC") = "INC",
      IFNA(INDEX(dataICM!D:D, MATCH(Caseslist!B428, dataICM!D:D, 0)), "INC"),
      "COMPLETE"
    )
  )</f>
        <v>COMPLETE</v>
      </c>
      <c r="G428" s="10" t="str">
        <f t="array" ref="G428">IF(IFERROR(INDEX(data!L:L,match(Caseslist!B428,data!D:D,0)),"INC")="","COMPLETE",F428)</f>
        <v>COMPLETE</v>
      </c>
      <c r="H428" s="9" t="str">
        <f t="array" ref="H428">IFERROR(INDEX(dataICM!F:F,match(Caseslist!B428,dataICM!D:D,0)), "INC")</f>
        <v>Rosevil Tayo Desamparado</v>
      </c>
      <c r="I428" s="10" t="str">
        <f t="shared" si="2"/>
        <v>M6491032</v>
      </c>
      <c r="J428" s="9" t="str">
        <f t="array" ref="J428">IF(
  AND(
    IFERROR(MATCH(B428, data!D:D, 0), 0) &gt; 0,
    IFERROR(INDEX(data!N:N, MATCH(B428, data!D:D, 0)) = 1, FALSE)
  ),
  INDEX(data!C:C, MATCH(B428, data!D:D, 0)),
  "INC"
)</f>
        <v>2025-09-08T11:54:05.575+08</v>
      </c>
      <c r="K428" s="9" t="str">
        <f t="array" ref="K428">IFERROR(INDEX(dataICM!C:C,match(Caseslist!B428,dataICM!D:D,0)), "INC")</f>
        <v>2025-09-08T12:30:12.719+08</v>
      </c>
      <c r="L428" s="10" t="str">
        <f t="array" ref="L428">IF(AND(G428="COMPLETE", OR(K428="INC", ISBLANK(INDEX(data!O:O, ROW())))), J428, K428)</f>
        <v>2025-09-08T12:30:12.719+08</v>
      </c>
      <c r="M428" s="2">
        <v>45908.0</v>
      </c>
      <c r="N428" s="2">
        <f t="array" ref="N428">IF(M428&lt;&gt;"INC", INDEX(data!M:M, MATCH(B428, data!D:D, 0)), "")</f>
        <v>3</v>
      </c>
      <c r="O428" s="2">
        <f t="shared" si="3"/>
        <v>3</v>
      </c>
    </row>
    <row r="429">
      <c r="A429" s="2" t="str">
        <f t="shared" si="1"/>
        <v>H006405</v>
      </c>
      <c r="B429" s="1" t="s">
        <v>4457</v>
      </c>
      <c r="C429" s="9" t="str">
        <f t="array" ref="C429">IF(
  AND(
    IFERROR(MATCH(Caseslist!B429, data!D:D, 0), 0) &gt; 0,
    IFERROR(INDEX(data!N:N, MATCH(Caseslist!B429, data!D:D, 0)) = 1, FALSE)
  ),
  "COMPLETE",
  "INC"
)</f>
        <v>COMPLETE</v>
      </c>
      <c r="D429" s="9" t="str">
        <f t="array" ref="D429">IFERROR(INDEX(data!$G:$G,match(Caseslist!B429,data!$D:$D,0)), "INC")</f>
        <v>L2057896</v>
      </c>
      <c r="E429" s="9" t="str">
        <f t="array" ref="E429">IFERROR(INDEX(data!H:H,match(Caseslist!B429,data!D:D,0)), "INC")</f>
        <v>Franz Reoben Posadas Geneblaza</v>
      </c>
      <c r="F429" s="10" t="str">
        <f t="array" ref="F429">IF(
    OR(
      IFNA(INDEX(data!M:M, MATCH(Caseslist!B429, data!D:D, 0)), "") = "",
      IFNA(INDEX(data!M:M, MATCH(Caseslist!B429, data!D:D, 0)), 0) = 0
    ),
    "COMPLETE",
    IF(
      IFNA(INDEX(dataICM!D:D, MATCH(Caseslist!B429, dataICM!D:D, 0)), "INC") = "INC",
      IFNA(INDEX(dataICM!D:D, MATCH(Caseslist!B429, dataICM!D:D, 0)), "INC"),
      "COMPLETE"
    )
  )</f>
        <v>COMPLETE</v>
      </c>
      <c r="G429" s="10" t="str">
        <f t="array" ref="G429">IF(IFERROR(INDEX(data!L:L,match(Caseslist!B429,data!D:D,0)),"INC")="","COMPLETE",F429)</f>
        <v>COMPLETE</v>
      </c>
      <c r="H429" s="9" t="str">
        <f t="array" ref="H429">IFERROR(INDEX(dataICM!F:F,match(Caseslist!B429,dataICM!D:D,0)), "INC")</f>
        <v>Franz Reoben Posadas Geneblaza</v>
      </c>
      <c r="I429" s="10" t="str">
        <f t="shared" si="2"/>
        <v>L2057896</v>
      </c>
      <c r="J429" s="9" t="str">
        <f t="array" ref="J429">IF(
  AND(
    IFERROR(MATCH(B429, data!D:D, 0), 0) &gt; 0,
    IFERROR(INDEX(data!N:N, MATCH(B429, data!D:D, 0)) = 1, FALSE)
  ),
  INDEX(data!C:C, MATCH(B429, data!D:D, 0)),
  "INC"
)</f>
        <v>2025-09-08T09:26:07.773+08</v>
      </c>
      <c r="K429" s="9" t="str">
        <f t="array" ref="K429">IFERROR(INDEX(dataICM!C:C,match(Caseslist!B429,dataICM!D:D,0)), "INC")</f>
        <v>2025-09-08T09:30:05.715+08</v>
      </c>
      <c r="L429" s="10" t="str">
        <f t="array" ref="L429">IF(AND(G429="COMPLETE", OR(K429="INC", ISBLANK(INDEX(data!O:O, ROW())))), J429, K429)</f>
        <v>2025-09-08T09:30:05.715+08</v>
      </c>
      <c r="M429" s="2">
        <v>45908.0</v>
      </c>
      <c r="N429" s="2">
        <f t="array" ref="N429">IF(M429&lt;&gt;"INC", INDEX(data!M:M, MATCH(B429, data!D:D, 0)), "")</f>
        <v>3</v>
      </c>
      <c r="O429" s="2">
        <f t="shared" si="3"/>
        <v>3</v>
      </c>
    </row>
    <row r="430">
      <c r="A430" s="2" t="str">
        <f t="shared" si="1"/>
        <v>H006405</v>
      </c>
      <c r="B430" s="1" t="s">
        <v>8911</v>
      </c>
      <c r="C430" s="9" t="str">
        <f t="array" ref="C430">IF(
  AND(
    IFERROR(MATCH(Caseslist!B430, data!D:D, 0), 0) &gt; 0,
    IFERROR(INDEX(data!N:N, MATCH(Caseslist!B430, data!D:D, 0)) = 1, FALSE)
  ),
  "COMPLETE",
  "INC"
)</f>
        <v>INC</v>
      </c>
      <c r="D430" s="9" t="str">
        <f t="array" ref="D430">IFERROR(INDEX(data!$G:$G,match(Caseslist!B430,data!$D:$D,0)), "INC")</f>
        <v>INC</v>
      </c>
      <c r="E430" s="9" t="str">
        <f t="array" ref="E430">IFERROR(INDEX(data!H:H,match(Caseslist!B430,data!D:D,0)), "INC")</f>
        <v>INC</v>
      </c>
      <c r="F430" s="10" t="str">
        <f t="array" ref="F430">IF(
    OR(
      IFNA(INDEX(data!M:M, MATCH(Caseslist!B430, data!D:D, 0)), "") = "",
      IFNA(INDEX(data!M:M, MATCH(Caseslist!B430, data!D:D, 0)), 0) = 0
    ),
    "COMPLETE",
    IF(
      IFNA(INDEX(dataICM!D:D, MATCH(Caseslist!B430, dataICM!D:D, 0)), "INC") = "INC",
      IFNA(INDEX(dataICM!D:D, MATCH(Caseslist!B430, dataICM!D:D, 0)), "INC"),
      "COMPLETE"
    )
  )</f>
        <v>COMPLETE</v>
      </c>
      <c r="G430" s="10" t="str">
        <f t="array" ref="G430">IF(IFERROR(INDEX(data!L:L,match(Caseslist!B430,data!D:D,0)),"INC")="","COMPLETE",F430)</f>
        <v>COMPLETE</v>
      </c>
      <c r="H430" s="9" t="str">
        <f t="array" ref="H430">IFERROR(INDEX(dataICM!F:F,match(Caseslist!B430,dataICM!D:D,0)), "INC")</f>
        <v>INC</v>
      </c>
      <c r="I430" s="10" t="str">
        <f t="shared" si="2"/>
        <v>INC</v>
      </c>
      <c r="J430" s="9" t="str">
        <f t="array" ref="J430">IF(
  AND(
    IFERROR(MATCH(B430, data!D:D, 0), 0) &gt; 0,
    IFERROR(INDEX(data!N:N, MATCH(B430, data!D:D, 0)) = 1, FALSE)
  ),
  INDEX(data!C:C, MATCH(B430, data!D:D, 0)),
  "INC"
)</f>
        <v>INC</v>
      </c>
      <c r="K430" s="9" t="str">
        <f t="array" ref="K430">IFERROR(INDEX(dataICM!C:C,match(Caseslist!B430,dataICM!D:D,0)), "INC")</f>
        <v>INC</v>
      </c>
      <c r="L430" s="10" t="str">
        <f t="array" ref="L430">IF(AND(G430="COMPLETE", OR(K430="INC", ISBLANK(INDEX(data!O:O, ROW())))), J430, K430)</f>
        <v>INC</v>
      </c>
      <c r="M430" s="2" t="s">
        <v>8886</v>
      </c>
      <c r="N430" s="2" t="str">
        <f t="array" ref="N430">IF(M430&lt;&gt;"INC", INDEX(data!M:M, MATCH(B430, data!D:D, 0)), "")</f>
        <v/>
      </c>
      <c r="O430" s="2" t="str">
        <f t="shared" si="3"/>
        <v/>
      </c>
    </row>
    <row r="431">
      <c r="A431" s="2" t="str">
        <f t="shared" si="1"/>
        <v>H006405</v>
      </c>
      <c r="B431" s="1" t="s">
        <v>8763</v>
      </c>
      <c r="C431" s="9" t="str">
        <f t="array" ref="C431">IF(
  AND(
    IFERROR(MATCH(Caseslist!B431, data!D:D, 0), 0) &gt; 0,
    IFERROR(INDEX(data!N:N, MATCH(Caseslist!B431, data!D:D, 0)) = 1, FALSE)
  ),
  "COMPLETE",
  "INC"
)</f>
        <v>COMPLETE</v>
      </c>
      <c r="D431" s="9" t="str">
        <f t="array" ref="D431">IFERROR(INDEX(data!$G:$G,match(Caseslist!B431,data!$D:$D,0)), "INC")</f>
        <v>L2057896</v>
      </c>
      <c r="E431" s="9" t="str">
        <f t="array" ref="E431">IFERROR(INDEX(data!H:H,match(Caseslist!B431,data!D:D,0)), "INC")</f>
        <v>Franz Reoben Posadas Geneblaza</v>
      </c>
      <c r="F431" s="10" t="str">
        <f t="array" ref="F431">IF(
    OR(
      IFNA(INDEX(data!M:M, MATCH(Caseslist!B431, data!D:D, 0)), "") = "",
      IFNA(INDEX(data!M:M, MATCH(Caseslist!B431, data!D:D, 0)), 0) = 0
    ),
    "COMPLETE",
    IF(
      IFNA(INDEX(dataICM!D:D, MATCH(Caseslist!B431, dataICM!D:D, 0)), "INC") = "INC",
      IFNA(INDEX(dataICM!D:D, MATCH(Caseslist!B431, dataICM!D:D, 0)), "INC"),
      "COMPLETE"
    )
  )</f>
        <v>COMPLETE</v>
      </c>
      <c r="G431" s="10" t="str">
        <f t="array" ref="G431">IF(IFERROR(INDEX(data!L:L,match(Caseslist!B431,data!D:D,0)),"INC")="","COMPLETE",F431)</f>
        <v>COMPLETE</v>
      </c>
      <c r="H431" s="9" t="str">
        <f t="array" ref="H431">IFERROR(INDEX(dataICM!F:F,match(Caseslist!B431,dataICM!D:D,0)), "INC")</f>
        <v>Franz Reoben Posadas Geneblaza</v>
      </c>
      <c r="I431" s="10" t="str">
        <f t="shared" si="2"/>
        <v>L2057896</v>
      </c>
      <c r="J431" s="9" t="str">
        <f t="array" ref="J431">IF(
  AND(
    IFERROR(MATCH(B431, data!D:D, 0), 0) &gt; 0,
    IFERROR(INDEX(data!N:N, MATCH(B431, data!D:D, 0)) = 1, FALSE)
  ),
  INDEX(data!C:C, MATCH(B431, data!D:D, 0)),
  "INC"
)</f>
        <v>2025-09-29T11:50:35.298+08</v>
      </c>
      <c r="K431" s="9" t="str">
        <f t="array" ref="K431">IFERROR(INDEX(dataICM!C:C,match(Caseslist!B431,dataICM!D:D,0)), "INC")</f>
        <v>2025-09-29T11:56:01.081+08</v>
      </c>
      <c r="L431" s="10" t="str">
        <f t="array" ref="L431">IF(AND(G431="COMPLETE", OR(K431="INC", ISBLANK(INDEX(data!O:O, ROW())))), J431, K431)</f>
        <v>2025-09-29T11:56:01.081+08</v>
      </c>
      <c r="M431" s="2">
        <v>45929.0</v>
      </c>
      <c r="N431" s="2">
        <f t="array" ref="N431">IF(M431&lt;&gt;"INC", INDEX(data!M:M, MATCH(B431, data!D:D, 0)), "")</f>
        <v>3</v>
      </c>
      <c r="O431" s="2">
        <f t="shared" si="3"/>
        <v>3</v>
      </c>
    </row>
    <row r="432">
      <c r="A432" s="2" t="str">
        <f t="shared" si="1"/>
        <v>H006405</v>
      </c>
      <c r="B432" s="1" t="s">
        <v>4472</v>
      </c>
      <c r="C432" s="9" t="str">
        <f t="array" ref="C432">IF(
  AND(
    IFERROR(MATCH(Caseslist!B432, data!D:D, 0), 0) &gt; 0,
    IFERROR(INDEX(data!N:N, MATCH(Caseslist!B432, data!D:D, 0)) = 1, FALSE)
  ),
  "COMPLETE",
  "INC"
)</f>
        <v>COMPLETE</v>
      </c>
      <c r="D432" s="9" t="str">
        <f t="array" ref="D432">IFERROR(INDEX(data!$G:$G,match(Caseslist!B432,data!$D:$D,0)), "INC")</f>
        <v>K8623174</v>
      </c>
      <c r="E432" s="9" t="str">
        <f t="array" ref="E432">IFERROR(INDEX(data!H:H,match(Caseslist!B432,data!D:D,0)), "INC")</f>
        <v>Marielle Kaye Ignacio Alonzo</v>
      </c>
      <c r="F432" s="10" t="str">
        <f t="array" ref="F432">IF(
    OR(
      IFNA(INDEX(data!M:M, MATCH(Caseslist!B432, data!D:D, 0)), "") = "",
      IFNA(INDEX(data!M:M, MATCH(Caseslist!B432, data!D:D, 0)), 0) = 0
    ),
    "COMPLETE",
    IF(
      IFNA(INDEX(dataICM!D:D, MATCH(Caseslist!B432, dataICM!D:D, 0)), "INC") = "INC",
      IFNA(INDEX(dataICM!D:D, MATCH(Caseslist!B432, dataICM!D:D, 0)), "INC"),
      "COMPLETE"
    )
  )</f>
        <v>COMPLETE</v>
      </c>
      <c r="G432" s="10" t="str">
        <f t="array" ref="G432">IF(IFERROR(INDEX(data!L:L,match(Caseslist!B432,data!D:D,0)),"INC")="","COMPLETE",F432)</f>
        <v>COMPLETE</v>
      </c>
      <c r="H432" s="9" t="str">
        <f t="array" ref="H432">IFERROR(INDEX(dataICM!F:F,match(Caseslist!B432,dataICM!D:D,0)), "INC")</f>
        <v>Marielle Kaye Ignacio Alonzo</v>
      </c>
      <c r="I432" s="10" t="str">
        <f t="shared" si="2"/>
        <v>K8623174</v>
      </c>
      <c r="J432" s="9" t="str">
        <f t="array" ref="J432">IF(
  AND(
    IFERROR(MATCH(B432, data!D:D, 0), 0) &gt; 0,
    IFERROR(INDEX(data!N:N, MATCH(B432, data!D:D, 0)) = 1, FALSE)
  ),
  INDEX(data!C:C, MATCH(B432, data!D:D, 0)),
  "INC"
)</f>
        <v>2025-09-29T15:34:11.595+08</v>
      </c>
      <c r="K432" s="9" t="str">
        <f t="array" ref="K432">IFERROR(INDEX(dataICM!C:C,match(Caseslist!B432,dataICM!D:D,0)), "INC")</f>
        <v>2025-09-29T20:04:48.617+08</v>
      </c>
      <c r="L432" s="10" t="str">
        <f t="array" ref="L432">IF(AND(G432="COMPLETE", OR(K432="INC", ISBLANK(INDEX(data!O:O, ROW())))), J432, K432)</f>
        <v>2025-09-29T20:04:48.617+08</v>
      </c>
      <c r="M432" s="2">
        <v>45929.0</v>
      </c>
      <c r="N432" s="2">
        <f t="array" ref="N432">IF(M432&lt;&gt;"INC", INDEX(data!M:M, MATCH(B432, data!D:D, 0)), "")</f>
        <v>3</v>
      </c>
      <c r="O432" s="2">
        <f t="shared" si="3"/>
        <v>3</v>
      </c>
    </row>
    <row r="433">
      <c r="A433" s="2" t="str">
        <f t="shared" si="1"/>
        <v>H006405</v>
      </c>
      <c r="B433" s="1" t="s">
        <v>4567</v>
      </c>
      <c r="C433" s="9" t="str">
        <f t="array" ref="C433">IF(
  AND(
    IFERROR(MATCH(Caseslist!B433, data!D:D, 0), 0) &gt; 0,
    IFERROR(INDEX(data!N:N, MATCH(Caseslist!B433, data!D:D, 0)) = 1, FALSE)
  ),
  "COMPLETE",
  "INC"
)</f>
        <v>COMPLETE</v>
      </c>
      <c r="D433" s="9" t="str">
        <f t="array" ref="D433">IFERROR(INDEX(data!$G:$G,match(Caseslist!B433,data!$D:$D,0)), "INC")</f>
        <v>K8623174</v>
      </c>
      <c r="E433" s="9" t="str">
        <f t="array" ref="E433">IFERROR(INDEX(data!H:H,match(Caseslist!B433,data!D:D,0)), "INC")</f>
        <v>Marielle Kaye Ignacio Alonzo</v>
      </c>
      <c r="F433" s="10" t="str">
        <f t="array" ref="F433">IF(
    OR(
      IFNA(INDEX(data!M:M, MATCH(Caseslist!B433, data!D:D, 0)), "") = "",
      IFNA(INDEX(data!M:M, MATCH(Caseslist!B433, data!D:D, 0)), 0) = 0
    ),
    "COMPLETE",
    IF(
      IFNA(INDEX(dataICM!D:D, MATCH(Caseslist!B433, dataICM!D:D, 0)), "INC") = "INC",
      IFNA(INDEX(dataICM!D:D, MATCH(Caseslist!B433, dataICM!D:D, 0)), "INC"),
      "COMPLETE"
    )
  )</f>
        <v>COMPLETE</v>
      </c>
      <c r="G433" s="10" t="str">
        <f t="array" ref="G433">IF(IFERROR(INDEX(data!L:L,match(Caseslist!B433,data!D:D,0)),"INC")="","COMPLETE",F433)</f>
        <v>COMPLETE</v>
      </c>
      <c r="H433" s="9" t="str">
        <f t="array" ref="H433">IFERROR(INDEX(dataICM!F:F,match(Caseslist!B433,dataICM!D:D,0)), "INC")</f>
        <v>Marielle Kaye Ignacio Alonzo</v>
      </c>
      <c r="I433" s="10" t="str">
        <f t="shared" si="2"/>
        <v>K8623174</v>
      </c>
      <c r="J433" s="9" t="str">
        <f t="array" ref="J433">IF(
  AND(
    IFERROR(MATCH(B433, data!D:D, 0), 0) &gt; 0,
    IFERROR(INDEX(data!N:N, MATCH(B433, data!D:D, 0)) = 1, FALSE)
  ),
  INDEX(data!C:C, MATCH(B433, data!D:D, 0)),
  "INC"
)</f>
        <v>2025-09-08T09:37:12.279+08</v>
      </c>
      <c r="K433" s="9" t="str">
        <f t="array" ref="K433">IFERROR(INDEX(dataICM!C:C,match(Caseslist!B433,dataICM!D:D,0)), "INC")</f>
        <v>2025-09-08T09:56:59.160+08</v>
      </c>
      <c r="L433" s="10" t="str">
        <f t="array" ref="L433">IF(AND(G433="COMPLETE", OR(K433="INC", ISBLANK(INDEX(data!O:O, ROW())))), J433, K433)</f>
        <v>2025-09-08T09:56:59.160+08</v>
      </c>
      <c r="M433" s="2">
        <v>45908.0</v>
      </c>
      <c r="N433" s="2">
        <f t="array" ref="N433">IF(M433&lt;&gt;"INC", INDEX(data!M:M, MATCH(B433, data!D:D, 0)), "")</f>
        <v>3</v>
      </c>
      <c r="O433" s="2">
        <f t="shared" si="3"/>
        <v>3</v>
      </c>
    </row>
    <row r="434">
      <c r="A434" s="2" t="str">
        <f t="shared" si="1"/>
        <v>H006405</v>
      </c>
      <c r="B434" s="1" t="s">
        <v>4497</v>
      </c>
      <c r="C434" s="9" t="str">
        <f t="array" ref="C434">IF(
  AND(
    IFERROR(MATCH(Caseslist!B434, data!D:D, 0), 0) &gt; 0,
    IFERROR(INDEX(data!N:N, MATCH(Caseslist!B434, data!D:D, 0)) = 1, FALSE)
  ),
  "COMPLETE",
  "INC"
)</f>
        <v>COMPLETE</v>
      </c>
      <c r="D434" s="9" t="str">
        <f t="array" ref="D434">IFERROR(INDEX(data!$G:$G,match(Caseslist!B434,data!$D:$D,0)), "INC")</f>
        <v>M6491032</v>
      </c>
      <c r="E434" s="9" t="str">
        <f t="array" ref="E434">IFERROR(INDEX(data!H:H,match(Caseslist!B434,data!D:D,0)), "INC")</f>
        <v>Rosevil Tayo Desamparado</v>
      </c>
      <c r="F434" s="10" t="str">
        <f t="array" ref="F434">IF(
    OR(
      IFNA(INDEX(data!M:M, MATCH(Caseslist!B434, data!D:D, 0)), "") = "",
      IFNA(INDEX(data!M:M, MATCH(Caseslist!B434, data!D:D, 0)), 0) = 0
    ),
    "COMPLETE",
    IF(
      IFNA(INDEX(dataICM!D:D, MATCH(Caseslist!B434, dataICM!D:D, 0)), "INC") = "INC",
      IFNA(INDEX(dataICM!D:D, MATCH(Caseslist!B434, dataICM!D:D, 0)), "INC"),
      "COMPLETE"
    )
  )</f>
        <v>COMPLETE</v>
      </c>
      <c r="G434" s="10" t="str">
        <f t="array" ref="G434">IF(IFERROR(INDEX(data!L:L,match(Caseslist!B434,data!D:D,0)),"INC")="","COMPLETE",F434)</f>
        <v>COMPLETE</v>
      </c>
      <c r="H434" s="9" t="str">
        <f t="array" ref="H434">IFERROR(INDEX(dataICM!F:F,match(Caseslist!B434,dataICM!D:D,0)), "INC")</f>
        <v>Rosevil Tayo Desamparado</v>
      </c>
      <c r="I434" s="10" t="str">
        <f t="shared" si="2"/>
        <v>M6491032</v>
      </c>
      <c r="J434" s="9" t="str">
        <f t="array" ref="J434">IF(
  AND(
    IFERROR(MATCH(B434, data!D:D, 0), 0) &gt; 0,
    IFERROR(INDEX(data!N:N, MATCH(B434, data!D:D, 0)) = 1, FALSE)
  ),
  INDEX(data!C:C, MATCH(B434, data!D:D, 0)),
  "INC"
)</f>
        <v>2025-09-08T09:53:29.624+08</v>
      </c>
      <c r="K434" s="9" t="str">
        <f t="array" ref="K434">IFERROR(INDEX(dataICM!C:C,match(Caseslist!B434,dataICM!D:D,0)), "INC")</f>
        <v>2025-09-08T16:30:26.907+08</v>
      </c>
      <c r="L434" s="10" t="str">
        <f t="array" ref="L434">IF(AND(G434="COMPLETE", OR(K434="INC", ISBLANK(INDEX(data!O:O, ROW())))), J434, K434)</f>
        <v>2025-09-08T16:30:26.907+08</v>
      </c>
      <c r="M434" s="2">
        <v>45908.0</v>
      </c>
      <c r="N434" s="2">
        <f t="array" ref="N434">IF(M434&lt;&gt;"INC", INDEX(data!M:M, MATCH(B434, data!D:D, 0)), "")</f>
        <v>3</v>
      </c>
      <c r="O434" s="2">
        <f t="shared" si="3"/>
        <v>3</v>
      </c>
    </row>
    <row r="435">
      <c r="A435" s="2" t="str">
        <f t="shared" si="1"/>
        <v>H006417</v>
      </c>
      <c r="B435" s="1" t="s">
        <v>7328</v>
      </c>
      <c r="C435" s="9" t="str">
        <f t="array" ref="C435">IF(
  AND(
    IFERROR(MATCH(Caseslist!B435, data!D:D, 0), 0) &gt; 0,
    IFERROR(INDEX(data!N:N, MATCH(Caseslist!B435, data!D:D, 0)) = 1, FALSE)
  ),
  "COMPLETE",
  "INC"
)</f>
        <v>COMPLETE</v>
      </c>
      <c r="D435" s="9" t="str">
        <f t="array" ref="D435">IFERROR(INDEX(data!$G:$G,match(Caseslist!B435,data!$D:$D,0)), "INC")</f>
        <v>J4315980</v>
      </c>
      <c r="E435" s="9" t="str">
        <f t="array" ref="E435">IFERROR(INDEX(data!H:H,match(Caseslist!B435,data!D:D,0)), "INC")</f>
        <v>Trixie Marie Jardeleza Saber</v>
      </c>
      <c r="F435" s="10" t="str">
        <f t="array" ref="F435">IF(
    OR(
      IFNA(INDEX(data!M:M, MATCH(Caseslist!B435, data!D:D, 0)), "") = "",
      IFNA(INDEX(data!M:M, MATCH(Caseslist!B435, data!D:D, 0)), 0) = 0
    ),
    "COMPLETE",
    IF(
      IFNA(INDEX(dataICM!D:D, MATCH(Caseslist!B435, dataICM!D:D, 0)), "INC") = "INC",
      IFNA(INDEX(dataICM!D:D, MATCH(Caseslist!B435, dataICM!D:D, 0)), "INC"),
      "COMPLETE"
    )
  )</f>
        <v>COMPLETE</v>
      </c>
      <c r="G435" s="10" t="str">
        <f t="array" ref="G435">IF(IFERROR(INDEX(data!L:L,match(Caseslist!B435,data!D:D,0)),"INC")="","COMPLETE",F435)</f>
        <v>COMPLETE</v>
      </c>
      <c r="H435" s="9" t="str">
        <f t="array" ref="H435">IFERROR(INDEX(dataICM!F:F,match(Caseslist!B435,dataICM!D:D,0)), "INC")</f>
        <v>Trixie Marie Jardeleza Saber</v>
      </c>
      <c r="I435" s="10" t="str">
        <f t="shared" si="2"/>
        <v>J4315980</v>
      </c>
      <c r="J435" s="9" t="str">
        <f t="array" ref="J435">IF(
  AND(
    IFERROR(MATCH(B435, data!D:D, 0), 0) &gt; 0,
    IFERROR(INDEX(data!N:N, MATCH(B435, data!D:D, 0)) = 1, FALSE)
  ),
  INDEX(data!C:C, MATCH(B435, data!D:D, 0)),
  "INC"
)</f>
        <v>2025-09-18T10:08:36.364+08</v>
      </c>
      <c r="K435" s="9" t="str">
        <f t="array" ref="K435">IFERROR(INDEX(dataICM!C:C,match(Caseslist!B435,dataICM!D:D,0)), "INC")</f>
        <v>2025-09-18T10:15:17.415+08</v>
      </c>
      <c r="L435" s="10" t="str">
        <f t="array" ref="L435">IF(AND(G435="COMPLETE", OR(K435="INC", ISBLANK(INDEX(data!O:O, ROW())))), J435, K435)</f>
        <v>2025-09-18T10:15:17.415+08</v>
      </c>
      <c r="M435" s="2">
        <v>45918.0</v>
      </c>
      <c r="N435" s="2">
        <f t="array" ref="N435">IF(M435&lt;&gt;"INC", INDEX(data!M:M, MATCH(B435, data!D:D, 0)), "")</f>
        <v>1</v>
      </c>
      <c r="O435" s="2">
        <f t="shared" si="3"/>
        <v>1</v>
      </c>
    </row>
    <row r="436">
      <c r="A436" s="2" t="str">
        <f t="shared" si="1"/>
        <v>H006417</v>
      </c>
      <c r="B436" s="1" t="s">
        <v>7318</v>
      </c>
      <c r="C436" s="9" t="str">
        <f t="array" ref="C436">IF(
  AND(
    IFERROR(MATCH(Caseslist!B436, data!D:D, 0), 0) &gt; 0,
    IFERROR(INDEX(data!N:N, MATCH(Caseslist!B436, data!D:D, 0)) = 1, FALSE)
  ),
  "COMPLETE",
  "INC"
)</f>
        <v>COMPLETE</v>
      </c>
      <c r="D436" s="9" t="str">
        <f t="array" ref="D436">IFERROR(INDEX(data!$G:$G,match(Caseslist!B436,data!$D:$D,0)), "INC")</f>
        <v>K8623174</v>
      </c>
      <c r="E436" s="9" t="str">
        <f t="array" ref="E436">IFERROR(INDEX(data!H:H,match(Caseslist!B436,data!D:D,0)), "INC")</f>
        <v>Marielle Kaye Ignacio Alonzo</v>
      </c>
      <c r="F436" s="10" t="str">
        <f t="array" ref="F436">IF(
    OR(
      IFNA(INDEX(data!M:M, MATCH(Caseslist!B436, data!D:D, 0)), "") = "",
      IFNA(INDEX(data!M:M, MATCH(Caseslist!B436, data!D:D, 0)), 0) = 0
    ),
    "COMPLETE",
    IF(
      IFNA(INDEX(dataICM!D:D, MATCH(Caseslist!B436, dataICM!D:D, 0)), "INC") = "INC",
      IFNA(INDEX(dataICM!D:D, MATCH(Caseslist!B436, dataICM!D:D, 0)), "INC"),
      "COMPLETE"
    )
  )</f>
        <v>COMPLETE</v>
      </c>
      <c r="G436" s="10" t="str">
        <f t="array" ref="G436">IF(IFERROR(INDEX(data!L:L,match(Caseslist!B436,data!D:D,0)),"INC")="","COMPLETE",F436)</f>
        <v>COMPLETE</v>
      </c>
      <c r="H436" s="9" t="str">
        <f t="array" ref="H436">IFERROR(INDEX(dataICM!F:F,match(Caseslist!B436,dataICM!D:D,0)), "INC")</f>
        <v>Marielle Kaye Ignacio Alonzo</v>
      </c>
      <c r="I436" s="10" t="str">
        <f t="shared" si="2"/>
        <v>K8623174</v>
      </c>
      <c r="J436" s="9" t="str">
        <f t="array" ref="J436">IF(
  AND(
    IFERROR(MATCH(B436, data!D:D, 0), 0) &gt; 0,
    IFERROR(INDEX(data!N:N, MATCH(B436, data!D:D, 0)) = 1, FALSE)
  ),
  INDEX(data!C:C, MATCH(B436, data!D:D, 0)),
  "INC"
)</f>
        <v>2025-09-18T10:06:17.286+08</v>
      </c>
      <c r="K436" s="9" t="str">
        <f t="array" ref="K436">IFERROR(INDEX(dataICM!C:C,match(Caseslist!B436,dataICM!D:D,0)), "INC")</f>
        <v>2025-09-18T10:10:14.682+08</v>
      </c>
      <c r="L436" s="10" t="str">
        <f t="array" ref="L436">IF(AND(G436="COMPLETE", OR(K436="INC", ISBLANK(INDEX(data!O:O, ROW())))), J436, K436)</f>
        <v>2025-09-18T10:10:14.682+08</v>
      </c>
      <c r="M436" s="2">
        <v>45918.0</v>
      </c>
      <c r="N436" s="2">
        <f t="array" ref="N436">IF(M436&lt;&gt;"INC", INDEX(data!M:M, MATCH(B436, data!D:D, 0)), "")</f>
        <v>1</v>
      </c>
      <c r="O436" s="2">
        <f t="shared" si="3"/>
        <v>1</v>
      </c>
    </row>
    <row r="437">
      <c r="A437" s="2" t="str">
        <f t="shared" si="1"/>
        <v>H006417</v>
      </c>
      <c r="B437" s="1" t="s">
        <v>7198</v>
      </c>
      <c r="C437" s="9" t="str">
        <f t="array" ref="C437">IF(
  AND(
    IFERROR(MATCH(Caseslist!B437, data!D:D, 0), 0) &gt; 0,
    IFERROR(INDEX(data!N:N, MATCH(Caseslist!B437, data!D:D, 0)) = 1, FALSE)
  ),
  "COMPLETE",
  "INC"
)</f>
        <v>COMPLETE</v>
      </c>
      <c r="D437" s="9" t="str">
        <f t="array" ref="D437">IFERROR(INDEX(data!$G:$G,match(Caseslist!B437,data!$D:$D,0)), "INC")</f>
        <v>L2057896</v>
      </c>
      <c r="E437" s="9" t="str">
        <f t="array" ref="E437">IFERROR(INDEX(data!H:H,match(Caseslist!B437,data!D:D,0)), "INC")</f>
        <v>Franz Reoben Posadas Geneblaza</v>
      </c>
      <c r="F437" s="10" t="str">
        <f t="array" ref="F437">IF(
    OR(
      IFNA(INDEX(data!M:M, MATCH(Caseslist!B437, data!D:D, 0)), "") = "",
      IFNA(INDEX(data!M:M, MATCH(Caseslist!B437, data!D:D, 0)), 0) = 0
    ),
    "COMPLETE",
    IF(
      IFNA(INDEX(dataICM!D:D, MATCH(Caseslist!B437, dataICM!D:D, 0)), "INC") = "INC",
      IFNA(INDEX(dataICM!D:D, MATCH(Caseslist!B437, dataICM!D:D, 0)), "INC"),
      "COMPLETE"
    )
  )</f>
        <v>COMPLETE</v>
      </c>
      <c r="G437" s="10" t="str">
        <f t="array" ref="G437">IF(IFERROR(INDEX(data!L:L,match(Caseslist!B437,data!D:D,0)),"INC")="","COMPLETE",F437)</f>
        <v>COMPLETE</v>
      </c>
      <c r="H437" s="9" t="str">
        <f t="array" ref="H437">IFERROR(INDEX(dataICM!F:F,match(Caseslist!B437,dataICM!D:D,0)), "INC")</f>
        <v>Franz Reoben Posadas Geneblaza</v>
      </c>
      <c r="I437" s="10" t="str">
        <f t="shared" si="2"/>
        <v>L2057896</v>
      </c>
      <c r="J437" s="9" t="str">
        <f t="array" ref="J437">IF(
  AND(
    IFERROR(MATCH(B437, data!D:D, 0), 0) &gt; 0,
    IFERROR(INDEX(data!N:N, MATCH(B437, data!D:D, 0)) = 1, FALSE)
  ),
  INDEX(data!C:C, MATCH(B437, data!D:D, 0)),
  "INC"
)</f>
        <v>2025-09-18T10:22:53.342+08</v>
      </c>
      <c r="K437" s="9" t="str">
        <f t="array" ref="K437">IFERROR(INDEX(dataICM!C:C,match(Caseslist!B437,dataICM!D:D,0)), "INC")</f>
        <v>2025-09-18T10:38:59.593+08</v>
      </c>
      <c r="L437" s="10" t="str">
        <f t="array" ref="L437">IF(AND(G437="COMPLETE", OR(K437="INC", ISBLANK(INDEX(data!O:O, ROW())))), J437, K437)</f>
        <v>2025-09-18T10:38:59.593+08</v>
      </c>
      <c r="M437" s="2">
        <v>45918.0</v>
      </c>
      <c r="N437" s="2">
        <f t="array" ref="N437">IF(M437&lt;&gt;"INC", INDEX(data!M:M, MATCH(B437, data!D:D, 0)), "")</f>
        <v>1</v>
      </c>
      <c r="O437" s="2">
        <f t="shared" si="3"/>
        <v>1</v>
      </c>
    </row>
    <row r="438">
      <c r="A438" s="2" t="str">
        <f t="shared" si="1"/>
        <v>H006417</v>
      </c>
      <c r="B438" s="1" t="s">
        <v>8473</v>
      </c>
      <c r="C438" s="9" t="str">
        <f t="array" ref="C438">IF(
  AND(
    IFERROR(MATCH(Caseslist!B438, data!D:D, 0), 0) &gt; 0,
    IFERROR(INDEX(data!N:N, MATCH(Caseslist!B438, data!D:D, 0)) = 1, FALSE)
  ),
  "COMPLETE",
  "INC"
)</f>
        <v>INC</v>
      </c>
      <c r="D438" s="9" t="str">
        <f t="array" ref="D438">IFERROR(INDEX(data!$G:$G,match(Caseslist!B438,data!$D:$D,0)), "INC")</f>
        <v>J4315980</v>
      </c>
      <c r="E438" s="9" t="str">
        <f t="array" ref="E438">IFERROR(INDEX(data!H:H,match(Caseslist!B438,data!D:D,0)), "INC")</f>
        <v>Trixie Marie Jardeleza Saber</v>
      </c>
      <c r="F438" s="10" t="str">
        <f t="array" ref="F438">IF(
    OR(
      IFNA(INDEX(data!M:M, MATCH(Caseslist!B438, data!D:D, 0)), "") = "",
      IFNA(INDEX(data!M:M, MATCH(Caseslist!B438, data!D:D, 0)), 0) = 0
    ),
    "COMPLETE",
    IF(
      IFNA(INDEX(dataICM!D:D, MATCH(Caseslist!B438, dataICM!D:D, 0)), "INC") = "INC",
      IFNA(INDEX(dataICM!D:D, MATCH(Caseslist!B438, dataICM!D:D, 0)), "INC"),
      "COMPLETE"
    )
  )</f>
        <v>INC</v>
      </c>
      <c r="G438" s="10" t="str">
        <f t="array" ref="G438">IF(IFERROR(INDEX(data!L:L,match(Caseslist!B438,data!D:D,0)),"INC")="","COMPLETE",F438)</f>
        <v>INC</v>
      </c>
      <c r="H438" s="9" t="str">
        <f t="array" ref="H438">IFERROR(INDEX(dataICM!F:F,match(Caseslist!B438,dataICM!D:D,0)), "INC")</f>
        <v>INC</v>
      </c>
      <c r="I438" s="10" t="str">
        <f t="shared" si="2"/>
        <v>INC</v>
      </c>
      <c r="J438" s="9" t="str">
        <f t="array" ref="J438">IF(
  AND(
    IFERROR(MATCH(B438, data!D:D, 0), 0) &gt; 0,
    IFERROR(INDEX(data!N:N, MATCH(B438, data!D:D, 0)) = 1, FALSE)
  ),
  INDEX(data!C:C, MATCH(B438, data!D:D, 0)),
  "INC"
)</f>
        <v>INC</v>
      </c>
      <c r="K438" s="9" t="str">
        <f t="array" ref="K438">IFERROR(INDEX(dataICM!C:C,match(Caseslist!B438,dataICM!D:D,0)), "INC")</f>
        <v>INC</v>
      </c>
      <c r="L438" s="10" t="str">
        <f t="array" ref="L438">IF(AND(G438="COMPLETE", OR(K438="INC", ISBLANK(INDEX(data!O:O, ROW())))), J438, K438)</f>
        <v>INC</v>
      </c>
      <c r="M438" s="2" t="s">
        <v>8886</v>
      </c>
      <c r="N438" s="2" t="str">
        <f t="array" ref="N438">IF(M438&lt;&gt;"INC", INDEX(data!M:M, MATCH(B438, data!D:D, 0)), "")</f>
        <v/>
      </c>
      <c r="O438" s="2" t="str">
        <f t="shared" si="3"/>
        <v/>
      </c>
    </row>
    <row r="439">
      <c r="A439" s="2" t="str">
        <f t="shared" si="1"/>
        <v>H006417</v>
      </c>
      <c r="B439" s="1" t="s">
        <v>7133</v>
      </c>
      <c r="C439" s="9" t="str">
        <f t="array" ref="C439">IF(
  AND(
    IFERROR(MATCH(Caseslist!B439, data!D:D, 0), 0) &gt; 0,
    IFERROR(INDEX(data!N:N, MATCH(Caseslist!B439, data!D:D, 0)) = 1, FALSE)
  ),
  "COMPLETE",
  "INC"
)</f>
        <v>COMPLETE</v>
      </c>
      <c r="D439" s="9" t="str">
        <f t="array" ref="D439">IFERROR(INDEX(data!$G:$G,match(Caseslist!B439,data!$D:$D,0)), "INC")</f>
        <v>M6491032</v>
      </c>
      <c r="E439" s="9" t="str">
        <f t="array" ref="E439">IFERROR(INDEX(data!H:H,match(Caseslist!B439,data!D:D,0)), "INC")</f>
        <v>Rosevil Tayo Desamparado</v>
      </c>
      <c r="F439" s="10" t="str">
        <f t="array" ref="F439">IF(
    OR(
      IFNA(INDEX(data!M:M, MATCH(Caseslist!B439, data!D:D, 0)), "") = "",
      IFNA(INDEX(data!M:M, MATCH(Caseslist!B439, data!D:D, 0)), 0) = 0
    ),
    "COMPLETE",
    IF(
      IFNA(INDEX(dataICM!D:D, MATCH(Caseslist!B439, dataICM!D:D, 0)), "INC") = "INC",
      IFNA(INDEX(dataICM!D:D, MATCH(Caseslist!B439, dataICM!D:D, 0)), "INC"),
      "COMPLETE"
    )
  )</f>
        <v>COMPLETE</v>
      </c>
      <c r="G439" s="10" t="str">
        <f t="array" ref="G439">IF(IFERROR(INDEX(data!L:L,match(Caseslist!B439,data!D:D,0)),"INC")="","COMPLETE",F439)</f>
        <v>COMPLETE</v>
      </c>
      <c r="H439" s="9" t="str">
        <f t="array" ref="H439">IFERROR(INDEX(dataICM!F:F,match(Caseslist!B439,dataICM!D:D,0)), "INC")</f>
        <v>Rosevil Tayo Desamparado</v>
      </c>
      <c r="I439" s="10" t="str">
        <f t="shared" si="2"/>
        <v>M6491032</v>
      </c>
      <c r="J439" s="9" t="str">
        <f t="array" ref="J439">IF(
  AND(
    IFERROR(MATCH(B439, data!D:D, 0), 0) &gt; 0,
    IFERROR(INDEX(data!N:N, MATCH(B439, data!D:D, 0)) = 1, FALSE)
  ),
  INDEX(data!C:C, MATCH(B439, data!D:D, 0)),
  "INC"
)</f>
        <v>2025-09-18T09:54:06.240+08</v>
      </c>
      <c r="K439" s="9" t="str">
        <f t="array" ref="K439">IFERROR(INDEX(dataICM!C:C,match(Caseslist!B439,dataICM!D:D,0)), "INC")</f>
        <v>2025-09-18T10:03:57.650+08</v>
      </c>
      <c r="L439" s="10" t="str">
        <f t="array" ref="L439">IF(AND(G439="COMPLETE", OR(K439="INC", ISBLANK(INDEX(data!O:O, ROW())))), J439, K439)</f>
        <v>2025-09-18T10:03:57.650+08</v>
      </c>
      <c r="M439" s="2">
        <v>45918.0</v>
      </c>
      <c r="N439" s="2">
        <f t="array" ref="N439">IF(M439&lt;&gt;"INC", INDEX(data!M:M, MATCH(B439, data!D:D, 0)), "")</f>
        <v>1</v>
      </c>
      <c r="O439" s="2">
        <f t="shared" si="3"/>
        <v>1</v>
      </c>
    </row>
    <row r="440">
      <c r="A440" s="2" t="str">
        <f t="shared" si="1"/>
        <v>H006417</v>
      </c>
      <c r="B440" s="1" t="s">
        <v>7128</v>
      </c>
      <c r="C440" s="9" t="str">
        <f t="array" ref="C440">IF(
  AND(
    IFERROR(MATCH(Caseslist!B440, data!D:D, 0), 0) &gt; 0,
    IFERROR(INDEX(data!N:N, MATCH(Caseslist!B440, data!D:D, 0)) = 1, FALSE)
  ),
  "COMPLETE",
  "INC"
)</f>
        <v>INC</v>
      </c>
      <c r="D440" s="9" t="str">
        <f t="array" ref="D440">IFERROR(INDEX(data!$G:$G,match(Caseslist!B440,data!$D:$D,0)), "INC")</f>
        <v>M6491032</v>
      </c>
      <c r="E440" s="9" t="str">
        <f t="array" ref="E440">IFERROR(INDEX(data!H:H,match(Caseslist!B440,data!D:D,0)), "INC")</f>
        <v>Rosevil Tayo Desamparado</v>
      </c>
      <c r="F440" s="10" t="str">
        <f t="array" ref="F440">IF(
    OR(
      IFNA(INDEX(data!M:M, MATCH(Caseslist!B440, data!D:D, 0)), "") = "",
      IFNA(INDEX(data!M:M, MATCH(Caseslist!B440, data!D:D, 0)), 0) = 0
    ),
    "COMPLETE",
    IF(
      IFNA(INDEX(dataICM!D:D, MATCH(Caseslist!B440, dataICM!D:D, 0)), "INC") = "INC",
      IFNA(INDEX(dataICM!D:D, MATCH(Caseslist!B440, dataICM!D:D, 0)), "INC"),
      "COMPLETE"
    )
  )</f>
        <v>INC</v>
      </c>
      <c r="G440" s="10" t="str">
        <f t="array" ref="G440">IF(IFERROR(INDEX(data!L:L,match(Caseslist!B440,data!D:D,0)),"INC")="","COMPLETE",F440)</f>
        <v>INC</v>
      </c>
      <c r="H440" s="9" t="str">
        <f t="array" ref="H440">IFERROR(INDEX(dataICM!F:F,match(Caseslist!B440,dataICM!D:D,0)), "INC")</f>
        <v>INC</v>
      </c>
      <c r="I440" s="10" t="str">
        <f t="shared" si="2"/>
        <v>INC</v>
      </c>
      <c r="J440" s="9" t="str">
        <f t="array" ref="J440">IF(
  AND(
    IFERROR(MATCH(B440, data!D:D, 0), 0) &gt; 0,
    IFERROR(INDEX(data!N:N, MATCH(B440, data!D:D, 0)) = 1, FALSE)
  ),
  INDEX(data!C:C, MATCH(B440, data!D:D, 0)),
  "INC"
)</f>
        <v>INC</v>
      </c>
      <c r="K440" s="9" t="str">
        <f t="array" ref="K440">IFERROR(INDEX(dataICM!C:C,match(Caseslist!B440,dataICM!D:D,0)), "INC")</f>
        <v>INC</v>
      </c>
      <c r="L440" s="10" t="str">
        <f t="array" ref="L440">IF(AND(G440="COMPLETE", OR(K440="INC", ISBLANK(INDEX(data!O:O, ROW())))), J440, K440)</f>
        <v>INC</v>
      </c>
      <c r="M440" s="2" t="s">
        <v>8886</v>
      </c>
      <c r="N440" s="2" t="str">
        <f t="array" ref="N440">IF(M440&lt;&gt;"INC", INDEX(data!M:M, MATCH(B440, data!D:D, 0)), "")</f>
        <v/>
      </c>
      <c r="O440" s="2" t="str">
        <f t="shared" si="3"/>
        <v/>
      </c>
    </row>
    <row r="441">
      <c r="A441" s="2" t="str">
        <f t="shared" si="1"/>
        <v>H006417</v>
      </c>
      <c r="B441" s="1" t="s">
        <v>7123</v>
      </c>
      <c r="C441" s="9" t="str">
        <f t="array" ref="C441">IF(
  AND(
    IFERROR(MATCH(Caseslist!B441, data!D:D, 0), 0) &gt; 0,
    IFERROR(INDEX(data!N:N, MATCH(Caseslist!B441, data!D:D, 0)) = 1, FALSE)
  ),
  "COMPLETE",
  "INC"
)</f>
        <v>COMPLETE</v>
      </c>
      <c r="D441" s="9" t="str">
        <f t="array" ref="D441">IFERROR(INDEX(data!$G:$G,match(Caseslist!B441,data!$D:$D,0)), "INC")</f>
        <v>M6491032</v>
      </c>
      <c r="E441" s="9" t="str">
        <f t="array" ref="E441">IFERROR(INDEX(data!H:H,match(Caseslist!B441,data!D:D,0)), "INC")</f>
        <v>Rosevil Tayo Desamparado</v>
      </c>
      <c r="F441" s="10" t="str">
        <f t="array" ref="F441">IF(
    OR(
      IFNA(INDEX(data!M:M, MATCH(Caseslist!B441, data!D:D, 0)), "") = "",
      IFNA(INDEX(data!M:M, MATCH(Caseslist!B441, data!D:D, 0)), 0) = 0
    ),
    "COMPLETE",
    IF(
      IFNA(INDEX(dataICM!D:D, MATCH(Caseslist!B441, dataICM!D:D, 0)), "INC") = "INC",
      IFNA(INDEX(dataICM!D:D, MATCH(Caseslist!B441, dataICM!D:D, 0)), "INC"),
      "COMPLETE"
    )
  )</f>
        <v>COMPLETE</v>
      </c>
      <c r="G441" s="10" t="str">
        <f t="array" ref="G441">IF(IFERROR(INDEX(data!L:L,match(Caseslist!B441,data!D:D,0)),"INC")="","COMPLETE",F441)</f>
        <v>COMPLETE</v>
      </c>
      <c r="H441" s="9" t="str">
        <f t="array" ref="H441">IFERROR(INDEX(dataICM!F:F,match(Caseslist!B441,dataICM!D:D,0)), "INC")</f>
        <v>Rosevil Tayo Desamparado</v>
      </c>
      <c r="I441" s="10" t="str">
        <f t="shared" si="2"/>
        <v>M6491032</v>
      </c>
      <c r="J441" s="9" t="str">
        <f t="array" ref="J441">IF(
  AND(
    IFERROR(MATCH(B441, data!D:D, 0), 0) &gt; 0,
    IFERROR(INDEX(data!N:N, MATCH(B441, data!D:D, 0)) = 1, FALSE)
  ),
  INDEX(data!C:C, MATCH(B441, data!D:D, 0)),
  "INC"
)</f>
        <v>2025-09-18T11:09:20.708+08</v>
      </c>
      <c r="K441" s="9" t="str">
        <f t="array" ref="K441">IFERROR(INDEX(dataICM!C:C,match(Caseslist!B441,dataICM!D:D,0)), "INC")</f>
        <v>2025-09-18T15:36:13.256+08</v>
      </c>
      <c r="L441" s="10" t="str">
        <f t="array" ref="L441">IF(AND(G441="COMPLETE", OR(K441="INC", ISBLANK(INDEX(data!O:O, ROW())))), J441, K441)</f>
        <v>2025-09-18T15:36:13.256+08</v>
      </c>
      <c r="M441" s="2">
        <v>45918.0</v>
      </c>
      <c r="N441" s="2">
        <f t="array" ref="N441">IF(M441&lt;&gt;"INC", INDEX(data!M:M, MATCH(B441, data!D:D, 0)), "")</f>
        <v>1</v>
      </c>
      <c r="O441" s="2">
        <f t="shared" si="3"/>
        <v>1</v>
      </c>
    </row>
    <row r="442">
      <c r="A442" s="2" t="str">
        <f t="shared" si="1"/>
        <v>H006417</v>
      </c>
      <c r="B442" s="1" t="s">
        <v>7323</v>
      </c>
      <c r="C442" s="9" t="str">
        <f t="array" ref="C442">IF(
  AND(
    IFERROR(MATCH(Caseslist!B442, data!D:D, 0), 0) &gt; 0,
    IFERROR(INDEX(data!N:N, MATCH(Caseslist!B442, data!D:D, 0)) = 1, FALSE)
  ),
  "COMPLETE",
  "INC"
)</f>
        <v>COMPLETE</v>
      </c>
      <c r="D442" s="9" t="str">
        <f t="array" ref="D442">IFERROR(INDEX(data!$G:$G,match(Caseslist!B442,data!$D:$D,0)), "INC")</f>
        <v>K8623174</v>
      </c>
      <c r="E442" s="9" t="str">
        <f t="array" ref="E442">IFERROR(INDEX(data!H:H,match(Caseslist!B442,data!D:D,0)), "INC")</f>
        <v>Marielle Kaye Ignacio Alonzo</v>
      </c>
      <c r="F442" s="10" t="str">
        <f t="array" ref="F442">IF(
    OR(
      IFNA(INDEX(data!M:M, MATCH(Caseslist!B442, data!D:D, 0)), "") = "",
      IFNA(INDEX(data!M:M, MATCH(Caseslist!B442, data!D:D, 0)), 0) = 0
    ),
    "COMPLETE",
    IF(
      IFNA(INDEX(dataICM!D:D, MATCH(Caseslist!B442, dataICM!D:D, 0)), "INC") = "INC",
      IFNA(INDEX(dataICM!D:D, MATCH(Caseslist!B442, dataICM!D:D, 0)), "INC"),
      "COMPLETE"
    )
  )</f>
        <v>COMPLETE</v>
      </c>
      <c r="G442" s="10" t="str">
        <f t="array" ref="G442">IF(IFERROR(INDEX(data!L:L,match(Caseslist!B442,data!D:D,0)),"INC")="","COMPLETE",F442)</f>
        <v>COMPLETE</v>
      </c>
      <c r="H442" s="9" t="str">
        <f t="array" ref="H442">IFERROR(INDEX(dataICM!F:F,match(Caseslist!B442,dataICM!D:D,0)), "INC")</f>
        <v>Marielle Kaye Ignacio Alonzo</v>
      </c>
      <c r="I442" s="10" t="str">
        <f t="shared" si="2"/>
        <v>K8623174</v>
      </c>
      <c r="J442" s="9" t="str">
        <f t="array" ref="J442">IF(
  AND(
    IFERROR(MATCH(B442, data!D:D, 0), 0) &gt; 0,
    IFERROR(INDEX(data!N:N, MATCH(B442, data!D:D, 0)) = 1, FALSE)
  ),
  INDEX(data!C:C, MATCH(B442, data!D:D, 0)),
  "INC"
)</f>
        <v>2025-09-18T11:24:08.431+08</v>
      </c>
      <c r="K442" s="9" t="str">
        <f t="array" ref="K442">IFERROR(INDEX(dataICM!C:C,match(Caseslist!B442,dataICM!D:D,0)), "INC")</f>
        <v>2025-09-18T11:40:17.818+08</v>
      </c>
      <c r="L442" s="10" t="str">
        <f t="array" ref="L442">IF(AND(G442="COMPLETE", OR(K442="INC", ISBLANK(INDEX(data!O:O, ROW())))), J442, K442)</f>
        <v>2025-09-18T11:40:17.818+08</v>
      </c>
      <c r="M442" s="2">
        <v>45918.0</v>
      </c>
      <c r="N442" s="2">
        <f t="array" ref="N442">IF(M442&lt;&gt;"INC", INDEX(data!M:M, MATCH(B442, data!D:D, 0)), "")</f>
        <v>1</v>
      </c>
      <c r="O442" s="2">
        <f t="shared" si="3"/>
        <v>1</v>
      </c>
    </row>
    <row r="443">
      <c r="A443" s="2" t="str">
        <f t="shared" si="1"/>
        <v>H006417</v>
      </c>
      <c r="B443" s="1" t="s">
        <v>7208</v>
      </c>
      <c r="C443" s="9" t="str">
        <f t="array" ref="C443">IF(
  AND(
    IFERROR(MATCH(Caseslist!B443, data!D:D, 0), 0) &gt; 0,
    IFERROR(INDEX(data!N:N, MATCH(Caseslist!B443, data!D:D, 0)) = 1, FALSE)
  ),
  "COMPLETE",
  "INC"
)</f>
        <v>COMPLETE</v>
      </c>
      <c r="D443" s="9" t="str">
        <f t="array" ref="D443">IFERROR(INDEX(data!$G:$G,match(Caseslist!B443,data!$D:$D,0)), "INC")</f>
        <v>L2057896</v>
      </c>
      <c r="E443" s="9" t="str">
        <f t="array" ref="E443">IFERROR(INDEX(data!H:H,match(Caseslist!B443,data!D:D,0)), "INC")</f>
        <v>Franz Reoben Posadas Geneblaza</v>
      </c>
      <c r="F443" s="10" t="str">
        <f t="array" ref="F443">IF(
    OR(
      IFNA(INDEX(data!M:M, MATCH(Caseslist!B443, data!D:D, 0)), "") = "",
      IFNA(INDEX(data!M:M, MATCH(Caseslist!B443, data!D:D, 0)), 0) = 0
    ),
    "COMPLETE",
    IF(
      IFNA(INDEX(dataICM!D:D, MATCH(Caseslist!B443, dataICM!D:D, 0)), "INC") = "INC",
      IFNA(INDEX(dataICM!D:D, MATCH(Caseslist!B443, dataICM!D:D, 0)), "INC"),
      "COMPLETE"
    )
  )</f>
        <v>COMPLETE</v>
      </c>
      <c r="G443" s="10" t="str">
        <f t="array" ref="G443">IF(IFERROR(INDEX(data!L:L,match(Caseslist!B443,data!D:D,0)),"INC")="","COMPLETE",F443)</f>
        <v>COMPLETE</v>
      </c>
      <c r="H443" s="9" t="str">
        <f t="array" ref="H443">IFERROR(INDEX(dataICM!F:F,match(Caseslist!B443,dataICM!D:D,0)), "INC")</f>
        <v>Franz Reoben Posadas Geneblaza</v>
      </c>
      <c r="I443" s="10" t="str">
        <f t="shared" si="2"/>
        <v>L2057896</v>
      </c>
      <c r="J443" s="9" t="str">
        <f t="array" ref="J443">IF(
  AND(
    IFERROR(MATCH(B443, data!D:D, 0), 0) &gt; 0,
    IFERROR(INDEX(data!N:N, MATCH(B443, data!D:D, 0)) = 1, FALSE)
  ),
  INDEX(data!C:C, MATCH(B443, data!D:D, 0)),
  "INC"
)</f>
        <v>2025-09-18T13:54:50.605+08</v>
      </c>
      <c r="K443" s="9" t="str">
        <f t="array" ref="K443">IFERROR(INDEX(dataICM!C:C,match(Caseslist!B443,dataICM!D:D,0)), "INC")</f>
        <v>2025-09-18T14:03:08.658+08</v>
      </c>
      <c r="L443" s="10" t="str">
        <f t="array" ref="L443">IF(AND(G443="COMPLETE", OR(K443="INC", ISBLANK(INDEX(data!O:O, ROW())))), J443, K443)</f>
        <v>2025-09-18T14:03:08.658+08</v>
      </c>
      <c r="M443" s="2">
        <v>45918.0</v>
      </c>
      <c r="N443" s="2">
        <f t="array" ref="N443">IF(M443&lt;&gt;"INC", INDEX(data!M:M, MATCH(B443, data!D:D, 0)), "")</f>
        <v>1</v>
      </c>
      <c r="O443" s="2">
        <f t="shared" si="3"/>
        <v>1</v>
      </c>
    </row>
    <row r="444">
      <c r="A444" s="2" t="str">
        <f t="shared" si="1"/>
        <v>H006417</v>
      </c>
      <c r="B444" s="1" t="s">
        <v>8468</v>
      </c>
      <c r="C444" s="9" t="str">
        <f t="array" ref="C444">IF(
  AND(
    IFERROR(MATCH(Caseslist!B444, data!D:D, 0), 0) &gt; 0,
    IFERROR(INDEX(data!N:N, MATCH(Caseslist!B444, data!D:D, 0)) = 1, FALSE)
  ),
  "COMPLETE",
  "INC"
)</f>
        <v>INC</v>
      </c>
      <c r="D444" s="9" t="str">
        <f t="array" ref="D444">IFERROR(INDEX(data!$G:$G,match(Caseslist!B444,data!$D:$D,0)), "INC")</f>
        <v>J4315980</v>
      </c>
      <c r="E444" s="9" t="str">
        <f t="array" ref="E444">IFERROR(INDEX(data!H:H,match(Caseslist!B444,data!D:D,0)), "INC")</f>
        <v>Trixie Marie Jardeleza Saber</v>
      </c>
      <c r="F444" s="10" t="str">
        <f t="array" ref="F444">IF(
    OR(
      IFNA(INDEX(data!M:M, MATCH(Caseslist!B444, data!D:D, 0)), "") = "",
      IFNA(INDEX(data!M:M, MATCH(Caseslist!B444, data!D:D, 0)), 0) = 0
    ),
    "COMPLETE",
    IF(
      IFNA(INDEX(dataICM!D:D, MATCH(Caseslist!B444, dataICM!D:D, 0)), "INC") = "INC",
      IFNA(INDEX(dataICM!D:D, MATCH(Caseslist!B444, dataICM!D:D, 0)), "INC"),
      "COMPLETE"
    )
  )</f>
        <v>INC</v>
      </c>
      <c r="G444" s="10" t="str">
        <f t="array" ref="G444">IF(IFERROR(INDEX(data!L:L,match(Caseslist!B444,data!D:D,0)),"INC")="","COMPLETE",F444)</f>
        <v>INC</v>
      </c>
      <c r="H444" s="9" t="str">
        <f t="array" ref="H444">IFERROR(INDEX(dataICM!F:F,match(Caseslist!B444,dataICM!D:D,0)), "INC")</f>
        <v>INC</v>
      </c>
      <c r="I444" s="10" t="str">
        <f t="shared" si="2"/>
        <v>INC</v>
      </c>
      <c r="J444" s="9" t="str">
        <f t="array" ref="J444">IF(
  AND(
    IFERROR(MATCH(B444, data!D:D, 0), 0) &gt; 0,
    IFERROR(INDEX(data!N:N, MATCH(B444, data!D:D, 0)) = 1, FALSE)
  ),
  INDEX(data!C:C, MATCH(B444, data!D:D, 0)),
  "INC"
)</f>
        <v>INC</v>
      </c>
      <c r="K444" s="9" t="str">
        <f t="array" ref="K444">IFERROR(INDEX(dataICM!C:C,match(Caseslist!B444,dataICM!D:D,0)), "INC")</f>
        <v>INC</v>
      </c>
      <c r="L444" s="10" t="str">
        <f t="array" ref="L444">IF(AND(G444="COMPLETE", OR(K444="INC", ISBLANK(INDEX(data!O:O, ROW())))), J444, K444)</f>
        <v>INC</v>
      </c>
      <c r="M444" s="2" t="s">
        <v>8886</v>
      </c>
      <c r="N444" s="2" t="str">
        <f t="array" ref="N444">IF(M444&lt;&gt;"INC", INDEX(data!M:M, MATCH(B444, data!D:D, 0)), "")</f>
        <v/>
      </c>
      <c r="O444" s="2" t="str">
        <f t="shared" si="3"/>
        <v/>
      </c>
    </row>
    <row r="445">
      <c r="A445" s="2" t="str">
        <f t="shared" si="1"/>
        <v>H006417</v>
      </c>
      <c r="B445" s="1" t="s">
        <v>7333</v>
      </c>
      <c r="C445" s="9" t="str">
        <f t="array" ref="C445">IF(
  AND(
    IFERROR(MATCH(Caseslist!B445, data!D:D, 0), 0) &gt; 0,
    IFERROR(INDEX(data!N:N, MATCH(Caseslist!B445, data!D:D, 0)) = 1, FALSE)
  ),
  "COMPLETE",
  "INC"
)</f>
        <v>COMPLETE</v>
      </c>
      <c r="D445" s="9" t="str">
        <f t="array" ref="D445">IFERROR(INDEX(data!$G:$G,match(Caseslist!B445,data!$D:$D,0)), "INC")</f>
        <v>J4315980</v>
      </c>
      <c r="E445" s="9" t="str">
        <f t="array" ref="E445">IFERROR(INDEX(data!H:H,match(Caseslist!B445,data!D:D,0)), "INC")</f>
        <v>Trixie Marie Jardeleza Saber</v>
      </c>
      <c r="F445" s="10" t="str">
        <f t="array" ref="F445">IF(
    OR(
      IFNA(INDEX(data!M:M, MATCH(Caseslist!B445, data!D:D, 0)), "") = "",
      IFNA(INDEX(data!M:M, MATCH(Caseslist!B445, data!D:D, 0)), 0) = 0
    ),
    "COMPLETE",
    IF(
      IFNA(INDEX(dataICM!D:D, MATCH(Caseslist!B445, dataICM!D:D, 0)), "INC") = "INC",
      IFNA(INDEX(dataICM!D:D, MATCH(Caseslist!B445, dataICM!D:D, 0)), "INC"),
      "COMPLETE"
    )
  )</f>
        <v>COMPLETE</v>
      </c>
      <c r="G445" s="10" t="str">
        <f t="array" ref="G445">IF(IFERROR(INDEX(data!L:L,match(Caseslist!B445,data!D:D,0)),"INC")="","COMPLETE",F445)</f>
        <v>COMPLETE</v>
      </c>
      <c r="H445" s="9" t="str">
        <f t="array" ref="H445">IFERROR(INDEX(dataICM!F:F,match(Caseslist!B445,dataICM!D:D,0)), "INC")</f>
        <v>Trixie Marie Jardeleza Saber</v>
      </c>
      <c r="I445" s="10" t="str">
        <f t="shared" si="2"/>
        <v>J4315980</v>
      </c>
      <c r="J445" s="9" t="str">
        <f t="array" ref="J445">IF(
  AND(
    IFERROR(MATCH(B445, data!D:D, 0), 0) &gt; 0,
    IFERROR(INDEX(data!N:N, MATCH(B445, data!D:D, 0)) = 1, FALSE)
  ),
  INDEX(data!C:C, MATCH(B445, data!D:D, 0)),
  "INC"
)</f>
        <v>2025-09-18T13:44:14.549+08</v>
      </c>
      <c r="K445" s="9" t="str">
        <f t="array" ref="K445">IFERROR(INDEX(dataICM!C:C,match(Caseslist!B445,dataICM!D:D,0)), "INC")</f>
        <v>2025-09-18T13:49:17.300+08</v>
      </c>
      <c r="L445" s="10" t="str">
        <f t="array" ref="L445">IF(AND(G445="COMPLETE", OR(K445="INC", ISBLANK(INDEX(data!O:O, ROW())))), J445, K445)</f>
        <v>2025-09-18T13:49:17.300+08</v>
      </c>
      <c r="M445" s="2">
        <v>45918.0</v>
      </c>
      <c r="N445" s="2">
        <f t="array" ref="N445">IF(M445&lt;&gt;"INC", INDEX(data!M:M, MATCH(B445, data!D:D, 0)), "")</f>
        <v>1</v>
      </c>
      <c r="O445" s="2">
        <f t="shared" si="3"/>
        <v>1</v>
      </c>
    </row>
    <row r="446">
      <c r="A446" s="2" t="str">
        <f t="shared" si="1"/>
        <v>H006417</v>
      </c>
      <c r="B446" s="1" t="s">
        <v>7338</v>
      </c>
      <c r="C446" s="9" t="str">
        <f t="array" ref="C446">IF(
  AND(
    IFERROR(MATCH(Caseslist!B446, data!D:D, 0), 0) &gt; 0,
    IFERROR(INDEX(data!N:N, MATCH(Caseslist!B446, data!D:D, 0)) = 1, FALSE)
  ),
  "COMPLETE",
  "INC"
)</f>
        <v>COMPLETE</v>
      </c>
      <c r="D446" s="9" t="str">
        <f t="array" ref="D446">IFERROR(INDEX(data!$G:$G,match(Caseslist!B446,data!$D:$D,0)), "INC")</f>
        <v>J4315980</v>
      </c>
      <c r="E446" s="9" t="str">
        <f t="array" ref="E446">IFERROR(INDEX(data!H:H,match(Caseslist!B446,data!D:D,0)), "INC")</f>
        <v>Trixie Marie Jardeleza Saber</v>
      </c>
      <c r="F446" s="10" t="str">
        <f t="array" ref="F446">IF(
    OR(
      IFNA(INDEX(data!M:M, MATCH(Caseslist!B446, data!D:D, 0)), "") = "",
      IFNA(INDEX(data!M:M, MATCH(Caseslist!B446, data!D:D, 0)), 0) = 0
    ),
    "COMPLETE",
    IF(
      IFNA(INDEX(dataICM!D:D, MATCH(Caseslist!B446, dataICM!D:D, 0)), "INC") = "INC",
      IFNA(INDEX(dataICM!D:D, MATCH(Caseslist!B446, dataICM!D:D, 0)), "INC"),
      "COMPLETE"
    )
  )</f>
        <v>COMPLETE</v>
      </c>
      <c r="G446" s="10" t="str">
        <f t="array" ref="G446">IF(IFERROR(INDEX(data!L:L,match(Caseslist!B446,data!D:D,0)),"INC")="","COMPLETE",F446)</f>
        <v>COMPLETE</v>
      </c>
      <c r="H446" s="9" t="str">
        <f t="array" ref="H446">IFERROR(INDEX(dataICM!F:F,match(Caseslist!B446,dataICM!D:D,0)), "INC")</f>
        <v>Trixie Marie Jardeleza Saber</v>
      </c>
      <c r="I446" s="10" t="str">
        <f t="shared" si="2"/>
        <v>J4315980</v>
      </c>
      <c r="J446" s="9" t="str">
        <f t="array" ref="J446">IF(
  AND(
    IFERROR(MATCH(B446, data!D:D, 0), 0) &gt; 0,
    IFERROR(INDEX(data!N:N, MATCH(B446, data!D:D, 0)) = 1, FALSE)
  ),
  INDEX(data!C:C, MATCH(B446, data!D:D, 0)),
  "INC"
)</f>
        <v>2025-09-20T10:33:42.645+08</v>
      </c>
      <c r="K446" s="9" t="str">
        <f t="array" ref="K446">IFERROR(INDEX(dataICM!C:C,match(Caseslist!B446,dataICM!D:D,0)), "INC")</f>
        <v>2025-09-20T10:36:23.782+08</v>
      </c>
      <c r="L446" s="10" t="str">
        <f t="array" ref="L446">IF(AND(G446="COMPLETE", OR(K446="INC", ISBLANK(INDEX(data!O:O, ROW())))), J446, K446)</f>
        <v>2025-09-20T10:36:23.782+08</v>
      </c>
      <c r="M446" s="2">
        <v>45920.0</v>
      </c>
      <c r="N446" s="2">
        <f t="array" ref="N446">IF(M446&lt;&gt;"INC", INDEX(data!M:M, MATCH(B446, data!D:D, 0)), "")</f>
        <v>1</v>
      </c>
      <c r="O446" s="2">
        <f t="shared" si="3"/>
        <v>1</v>
      </c>
    </row>
    <row r="447">
      <c r="A447" s="2" t="str">
        <f t="shared" si="1"/>
        <v>H006417</v>
      </c>
      <c r="B447" s="1" t="s">
        <v>7203</v>
      </c>
      <c r="C447" s="9" t="str">
        <f t="array" ref="C447">IF(
  AND(
    IFERROR(MATCH(Caseslist!B447, data!D:D, 0), 0) &gt; 0,
    IFERROR(INDEX(data!N:N, MATCH(Caseslist!B447, data!D:D, 0)) = 1, FALSE)
  ),
  "COMPLETE",
  "INC"
)</f>
        <v>COMPLETE</v>
      </c>
      <c r="D447" s="9" t="str">
        <f t="array" ref="D447">IFERROR(INDEX(data!$G:$G,match(Caseslist!B447,data!$D:$D,0)), "INC")</f>
        <v>L2057896</v>
      </c>
      <c r="E447" s="9" t="str">
        <f t="array" ref="E447">IFERROR(INDEX(data!H:H,match(Caseslist!B447,data!D:D,0)), "INC")</f>
        <v>Franz Reoben Posadas Geneblaza</v>
      </c>
      <c r="F447" s="10" t="str">
        <f t="array" ref="F447">IF(
    OR(
      IFNA(INDEX(data!M:M, MATCH(Caseslist!B447, data!D:D, 0)), "") = "",
      IFNA(INDEX(data!M:M, MATCH(Caseslist!B447, data!D:D, 0)), 0) = 0
    ),
    "COMPLETE",
    IF(
      IFNA(INDEX(dataICM!D:D, MATCH(Caseslist!B447, dataICM!D:D, 0)), "INC") = "INC",
      IFNA(INDEX(dataICM!D:D, MATCH(Caseslist!B447, dataICM!D:D, 0)), "INC"),
      "COMPLETE"
    )
  )</f>
        <v>COMPLETE</v>
      </c>
      <c r="G447" s="10" t="str">
        <f t="array" ref="G447">IF(IFERROR(INDEX(data!L:L,match(Caseslist!B447,data!D:D,0)),"INC")="","COMPLETE",F447)</f>
        <v>COMPLETE</v>
      </c>
      <c r="H447" s="9" t="str">
        <f t="array" ref="H447">IFERROR(INDEX(dataICM!F:F,match(Caseslist!B447,dataICM!D:D,0)), "INC")</f>
        <v>Franz Reoben Posadas Geneblaza</v>
      </c>
      <c r="I447" s="10" t="str">
        <f t="shared" si="2"/>
        <v>L2057896</v>
      </c>
      <c r="J447" s="9" t="str">
        <f t="array" ref="J447">IF(
  AND(
    IFERROR(MATCH(B447, data!D:D, 0), 0) &gt; 0,
    IFERROR(INDEX(data!N:N, MATCH(B447, data!D:D, 0)) = 1, FALSE)
  ),
  INDEX(data!C:C, MATCH(B447, data!D:D, 0)),
  "INC"
)</f>
        <v>2025-09-18T11:54:59.471+08</v>
      </c>
      <c r="K447" s="9" t="str">
        <f t="array" ref="K447">IFERROR(INDEX(dataICM!C:C,match(Caseslist!B447,dataICM!D:D,0)), "INC")</f>
        <v>2025-09-18T12:42:44.460+08</v>
      </c>
      <c r="L447" s="10" t="str">
        <f t="array" ref="L447">IF(AND(G447="COMPLETE", OR(K447="INC", ISBLANK(INDEX(data!O:O, ROW())))), J447, K447)</f>
        <v>2025-09-18T12:42:44.460+08</v>
      </c>
      <c r="M447" s="2">
        <v>45918.0</v>
      </c>
      <c r="N447" s="2">
        <f t="array" ref="N447">IF(M447&lt;&gt;"INC", INDEX(data!M:M, MATCH(B447, data!D:D, 0)), "")</f>
        <v>1</v>
      </c>
      <c r="O447" s="2">
        <f t="shared" si="3"/>
        <v>1</v>
      </c>
    </row>
    <row r="448">
      <c r="A448" s="2" t="str">
        <f t="shared" si="1"/>
        <v>H006417</v>
      </c>
      <c r="B448" s="1" t="s">
        <v>7343</v>
      </c>
      <c r="C448" s="9" t="str">
        <f t="array" ref="C448">IF(
  AND(
    IFERROR(MATCH(Caseslist!B448, data!D:D, 0), 0) &gt; 0,
    IFERROR(INDEX(data!N:N, MATCH(Caseslist!B448, data!D:D, 0)) = 1, FALSE)
  ),
  "COMPLETE",
  "INC"
)</f>
        <v>COMPLETE</v>
      </c>
      <c r="D448" s="9" t="str">
        <f t="array" ref="D448">IFERROR(INDEX(data!$G:$G,match(Caseslist!B448,data!$D:$D,0)), "INC")</f>
        <v>J4315980</v>
      </c>
      <c r="E448" s="9" t="str">
        <f t="array" ref="E448">IFERROR(INDEX(data!H:H,match(Caseslist!B448,data!D:D,0)), "INC")</f>
        <v>Trixie Marie Jardeleza Saber</v>
      </c>
      <c r="F448" s="10" t="str">
        <f t="array" ref="F448">IF(
    OR(
      IFNA(INDEX(data!M:M, MATCH(Caseslist!B448, data!D:D, 0)), "") = "",
      IFNA(INDEX(data!M:M, MATCH(Caseslist!B448, data!D:D, 0)), 0) = 0
    ),
    "COMPLETE",
    IF(
      IFNA(INDEX(dataICM!D:D, MATCH(Caseslist!B448, dataICM!D:D, 0)), "INC") = "INC",
      IFNA(INDEX(dataICM!D:D, MATCH(Caseslist!B448, dataICM!D:D, 0)), "INC"),
      "COMPLETE"
    )
  )</f>
        <v>COMPLETE</v>
      </c>
      <c r="G448" s="10" t="str">
        <f t="array" ref="G448">IF(IFERROR(INDEX(data!L:L,match(Caseslist!B448,data!D:D,0)),"INC")="","COMPLETE",F448)</f>
        <v>COMPLETE</v>
      </c>
      <c r="H448" s="9" t="str">
        <f t="array" ref="H448">IFERROR(INDEX(dataICM!F:F,match(Caseslist!B448,dataICM!D:D,0)), "INC")</f>
        <v>Trixie Marie Jardeleza Saber</v>
      </c>
      <c r="I448" s="10" t="str">
        <f t="shared" si="2"/>
        <v>J4315980</v>
      </c>
      <c r="J448" s="9" t="str">
        <f t="array" ref="J448">IF(
  AND(
    IFERROR(MATCH(B448, data!D:D, 0), 0) &gt; 0,
    IFERROR(INDEX(data!N:N, MATCH(B448, data!D:D, 0)) = 1, FALSE)
  ),
  INDEX(data!C:C, MATCH(B448, data!D:D, 0)),
  "INC"
)</f>
        <v>2025-09-20T08:26:42.294+08</v>
      </c>
      <c r="K448" s="9" t="str">
        <f t="array" ref="K448">IFERROR(INDEX(dataICM!C:C,match(Caseslist!B448,dataICM!D:D,0)), "INC")</f>
        <v>2025-09-20T08:31:18.928+08</v>
      </c>
      <c r="L448" s="10" t="str">
        <f t="array" ref="L448">IF(AND(G448="COMPLETE", OR(K448="INC", ISBLANK(INDEX(data!O:O, ROW())))), J448, K448)</f>
        <v>2025-09-20T08:31:18.928+08</v>
      </c>
      <c r="M448" s="2">
        <v>45920.0</v>
      </c>
      <c r="N448" s="2">
        <f t="array" ref="N448">IF(M448&lt;&gt;"INC", INDEX(data!M:M, MATCH(B448, data!D:D, 0)), "")</f>
        <v>1</v>
      </c>
      <c r="O448" s="2">
        <f t="shared" si="3"/>
        <v>1</v>
      </c>
    </row>
    <row r="449">
      <c r="A449" s="2" t="str">
        <f t="shared" si="1"/>
        <v>H006422</v>
      </c>
      <c r="B449" s="1" t="s">
        <v>6528</v>
      </c>
      <c r="C449" s="9" t="str">
        <f t="array" ref="C449">IF(
  AND(
    IFERROR(MATCH(Caseslist!B449, data!D:D, 0), 0) &gt; 0,
    IFERROR(INDEX(data!N:N, MATCH(Caseslist!B449, data!D:D, 0)) = 1, FALSE)
  ),
  "COMPLETE",
  "INC"
)</f>
        <v>COMPLETE</v>
      </c>
      <c r="D449" s="9" t="str">
        <f t="array" ref="D449">IFERROR(INDEX(data!$G:$G,match(Caseslist!B449,data!$D:$D,0)), "INC")</f>
        <v>K8623174</v>
      </c>
      <c r="E449" s="9" t="str">
        <f t="array" ref="E449">IFERROR(INDEX(data!H:H,match(Caseslist!B449,data!D:D,0)), "INC")</f>
        <v>Marielle Kaye Ignacio Alonzo</v>
      </c>
      <c r="F449" s="10" t="str">
        <f t="array" ref="F449">IF(
    OR(
      IFNA(INDEX(data!M:M, MATCH(Caseslist!B449, data!D:D, 0)), "") = "",
      IFNA(INDEX(data!M:M, MATCH(Caseslist!B449, data!D:D, 0)), 0) = 0
    ),
    "COMPLETE",
    IF(
      IFNA(INDEX(dataICM!D:D, MATCH(Caseslist!B449, dataICM!D:D, 0)), "INC") = "INC",
      IFNA(INDEX(dataICM!D:D, MATCH(Caseslist!B449, dataICM!D:D, 0)), "INC"),
      "COMPLETE"
    )
  )</f>
        <v>COMPLETE</v>
      </c>
      <c r="G449" s="10" t="str">
        <f t="array" ref="G449">IF(IFERROR(INDEX(data!L:L,match(Caseslist!B449,data!D:D,0)),"INC")="","COMPLETE",F449)</f>
        <v>COMPLETE</v>
      </c>
      <c r="H449" s="9" t="str">
        <f t="array" ref="H449">IFERROR(INDEX(dataICM!F:F,match(Caseslist!B449,dataICM!D:D,0)), "INC")</f>
        <v>Marielle Kaye Ignacio Alonzo</v>
      </c>
      <c r="I449" s="10" t="str">
        <f t="shared" si="2"/>
        <v>K8623174</v>
      </c>
      <c r="J449" s="9" t="str">
        <f t="array" ref="J449">IF(
  AND(
    IFERROR(MATCH(B449, data!D:D, 0), 0) &gt; 0,
    IFERROR(INDEX(data!N:N, MATCH(B449, data!D:D, 0)) = 1, FALSE)
  ),
  INDEX(data!C:C, MATCH(B449, data!D:D, 0)),
  "INC"
)</f>
        <v>2025-09-15T10:17:14.835+08</v>
      </c>
      <c r="K449" s="9" t="str">
        <f t="array" ref="K449">IFERROR(INDEX(dataICM!C:C,match(Caseslist!B449,dataICM!D:D,0)), "INC")</f>
        <v>2025-09-15T10:33:00.851+08</v>
      </c>
      <c r="L449" s="10" t="str">
        <f t="array" ref="L449">IF(AND(G449="COMPLETE", OR(K449="INC", ISBLANK(INDEX(data!O:O, ROW())))), J449, K449)</f>
        <v>2025-09-15T10:33:00.851+08</v>
      </c>
      <c r="M449" s="2">
        <v>45915.0</v>
      </c>
      <c r="N449" s="2">
        <f t="array" ref="N449">IF(M449&lt;&gt;"INC", INDEX(data!M:M, MATCH(B449, data!D:D, 0)), "")</f>
        <v>3</v>
      </c>
      <c r="O449" s="2">
        <f t="shared" si="3"/>
        <v>3</v>
      </c>
    </row>
    <row r="450">
      <c r="A450" s="2" t="str">
        <f t="shared" si="1"/>
        <v>H006422</v>
      </c>
      <c r="B450" s="1" t="s">
        <v>6448</v>
      </c>
      <c r="C450" s="9" t="str">
        <f t="array" ref="C450">IF(
  AND(
    IFERROR(MATCH(Caseslist!B450, data!D:D, 0), 0) &gt; 0,
    IFERROR(INDEX(data!N:N, MATCH(Caseslist!B450, data!D:D, 0)) = 1, FALSE)
  ),
  "COMPLETE",
  "INC"
)</f>
        <v>COMPLETE</v>
      </c>
      <c r="D450" s="9" t="str">
        <f t="array" ref="D450">IFERROR(INDEX(data!$G:$G,match(Caseslist!B450,data!$D:$D,0)), "INC")</f>
        <v>M6491032</v>
      </c>
      <c r="E450" s="9" t="str">
        <f t="array" ref="E450">IFERROR(INDEX(data!H:H,match(Caseslist!B450,data!D:D,0)), "INC")</f>
        <v>Rosevil Tayo Desamparado</v>
      </c>
      <c r="F450" s="10" t="str">
        <f t="array" ref="F450">IF(
    OR(
      IFNA(INDEX(data!M:M, MATCH(Caseslist!B450, data!D:D, 0)), "") = "",
      IFNA(INDEX(data!M:M, MATCH(Caseslist!B450, data!D:D, 0)), 0) = 0
    ),
    "COMPLETE",
    IF(
      IFNA(INDEX(dataICM!D:D, MATCH(Caseslist!B450, dataICM!D:D, 0)), "INC") = "INC",
      IFNA(INDEX(dataICM!D:D, MATCH(Caseslist!B450, dataICM!D:D, 0)), "INC"),
      "COMPLETE"
    )
  )</f>
        <v>COMPLETE</v>
      </c>
      <c r="G450" s="10" t="str">
        <f t="array" ref="G450">IF(IFERROR(INDEX(data!L:L,match(Caseslist!B450,data!D:D,0)),"INC")="","COMPLETE",F450)</f>
        <v>COMPLETE</v>
      </c>
      <c r="H450" s="9" t="str">
        <f t="array" ref="H450">IFERROR(INDEX(dataICM!F:F,match(Caseslist!B450,dataICM!D:D,0)), "INC")</f>
        <v>Rosevil Tayo Desamparado</v>
      </c>
      <c r="I450" s="10" t="str">
        <f t="shared" si="2"/>
        <v>M6491032</v>
      </c>
      <c r="J450" s="9" t="str">
        <f t="array" ref="J450">IF(
  AND(
    IFERROR(MATCH(B450, data!D:D, 0), 0) &gt; 0,
    IFERROR(INDEX(data!N:N, MATCH(B450, data!D:D, 0)) = 1, FALSE)
  ),
  INDEX(data!C:C, MATCH(B450, data!D:D, 0)),
  "INC"
)</f>
        <v>2025-09-15T12:13:12.511+08</v>
      </c>
      <c r="K450" s="9" t="str">
        <f t="array" ref="K450">IFERROR(INDEX(dataICM!C:C,match(Caseslist!B450,dataICM!D:D,0)), "INC")</f>
        <v>2025-09-15T13:13:30.372+08</v>
      </c>
      <c r="L450" s="10" t="str">
        <f t="array" ref="L450">IF(AND(G450="COMPLETE", OR(K450="INC", ISBLANK(INDEX(data!O:O, ROW())))), J450, K450)</f>
        <v>2025-09-15T13:13:30.372+08</v>
      </c>
      <c r="M450" s="2">
        <v>45915.0</v>
      </c>
      <c r="N450" s="2">
        <f t="array" ref="N450">IF(M450&lt;&gt;"INC", INDEX(data!M:M, MATCH(B450, data!D:D, 0)), "")</f>
        <v>3</v>
      </c>
      <c r="O450" s="2">
        <f t="shared" si="3"/>
        <v>3</v>
      </c>
    </row>
    <row r="451">
      <c r="A451" s="2" t="str">
        <f t="shared" si="1"/>
        <v>H006422</v>
      </c>
      <c r="B451" s="1" t="s">
        <v>6818</v>
      </c>
      <c r="C451" s="9" t="str">
        <f t="array" ref="C451">IF(
  AND(
    IFERROR(MATCH(Caseslist!B451, data!D:D, 0), 0) &gt; 0,
    IFERROR(INDEX(data!N:N, MATCH(Caseslist!B451, data!D:D, 0)) = 1, FALSE)
  ),
  "COMPLETE",
  "INC"
)</f>
        <v>COMPLETE</v>
      </c>
      <c r="D451" s="9" t="str">
        <f t="array" ref="D451">IFERROR(INDEX(data!$G:$G,match(Caseslist!B451,data!$D:$D,0)), "INC")</f>
        <v>M6491032</v>
      </c>
      <c r="E451" s="9" t="str">
        <f t="array" ref="E451">IFERROR(INDEX(data!H:H,match(Caseslist!B451,data!D:D,0)), "INC")</f>
        <v>Rosevil Tayo Desamparado</v>
      </c>
      <c r="F451" s="10" t="str">
        <f t="array" ref="F451">IF(
    OR(
      IFNA(INDEX(data!M:M, MATCH(Caseslist!B451, data!D:D, 0)), "") = "",
      IFNA(INDEX(data!M:M, MATCH(Caseslist!B451, data!D:D, 0)), 0) = 0
    ),
    "COMPLETE",
    IF(
      IFNA(INDEX(dataICM!D:D, MATCH(Caseslist!B451, dataICM!D:D, 0)), "INC") = "INC",
      IFNA(INDEX(dataICM!D:D, MATCH(Caseslist!B451, dataICM!D:D, 0)), "INC"),
      "COMPLETE"
    )
  )</f>
        <v>COMPLETE</v>
      </c>
      <c r="G451" s="10" t="str">
        <f t="array" ref="G451">IF(IFERROR(INDEX(data!L:L,match(Caseslist!B451,data!D:D,0)),"INC")="","COMPLETE",F451)</f>
        <v>COMPLETE</v>
      </c>
      <c r="H451" s="9" t="str">
        <f t="array" ref="H451">IFERROR(INDEX(dataICM!F:F,match(Caseslist!B451,dataICM!D:D,0)), "INC")</f>
        <v>Rosevil Tayo Desamparado</v>
      </c>
      <c r="I451" s="10" t="str">
        <f t="shared" si="2"/>
        <v>M6491032</v>
      </c>
      <c r="J451" s="9" t="str">
        <f t="array" ref="J451">IF(
  AND(
    IFERROR(MATCH(B451, data!D:D, 0), 0) &gt; 0,
    IFERROR(INDEX(data!N:N, MATCH(B451, data!D:D, 0)) = 1, FALSE)
  ),
  INDEX(data!C:C, MATCH(B451, data!D:D, 0)),
  "INC"
)</f>
        <v>2025-09-20T08:37:36.776+08</v>
      </c>
      <c r="K451" s="9" t="str">
        <f t="array" ref="K451">IFERROR(INDEX(dataICM!C:C,match(Caseslist!B451,dataICM!D:D,0)), "INC")</f>
        <v>2025-09-20T08:49:04.448+08</v>
      </c>
      <c r="L451" s="10" t="str">
        <f t="array" ref="L451">IF(AND(G451="COMPLETE", OR(K451="INC", ISBLANK(INDEX(data!O:O, ROW())))), J451, K451)</f>
        <v>2025-09-20T08:49:04.448+08</v>
      </c>
      <c r="M451" s="2">
        <v>45920.0</v>
      </c>
      <c r="N451" s="2">
        <f t="array" ref="N451">IF(M451&lt;&gt;"INC", INDEX(data!M:M, MATCH(B451, data!D:D, 0)), "")</f>
        <v>3</v>
      </c>
      <c r="O451" s="2">
        <f t="shared" si="3"/>
        <v>3</v>
      </c>
    </row>
    <row r="452">
      <c r="A452" s="2" t="str">
        <f t="shared" si="1"/>
        <v>H006422</v>
      </c>
      <c r="B452" s="1" t="s">
        <v>6533</v>
      </c>
      <c r="C452" s="9" t="str">
        <f t="array" ref="C452">IF(
  AND(
    IFERROR(MATCH(Caseslist!B452, data!D:D, 0), 0) &gt; 0,
    IFERROR(INDEX(data!N:N, MATCH(Caseslist!B452, data!D:D, 0)) = 1, FALSE)
  ),
  "COMPLETE",
  "INC"
)</f>
        <v>COMPLETE</v>
      </c>
      <c r="D452" s="9" t="str">
        <f t="array" ref="D452">IFERROR(INDEX(data!$G:$G,match(Caseslist!B452,data!$D:$D,0)), "INC")</f>
        <v>J4315980</v>
      </c>
      <c r="E452" s="9" t="str">
        <f t="array" ref="E452">IFERROR(INDEX(data!H:H,match(Caseslist!B452,data!D:D,0)), "INC")</f>
        <v>Trixie Marie Jardeleza Saber</v>
      </c>
      <c r="F452" s="10" t="str">
        <f t="array" ref="F452">IF(
    OR(
      IFNA(INDEX(data!M:M, MATCH(Caseslist!B452, data!D:D, 0)), "") = "",
      IFNA(INDEX(data!M:M, MATCH(Caseslist!B452, data!D:D, 0)), 0) = 0
    ),
    "COMPLETE",
    IF(
      IFNA(INDEX(dataICM!D:D, MATCH(Caseslist!B452, dataICM!D:D, 0)), "INC") = "INC",
      IFNA(INDEX(dataICM!D:D, MATCH(Caseslist!B452, dataICM!D:D, 0)), "INC"),
      "COMPLETE"
    )
  )</f>
        <v>COMPLETE</v>
      </c>
      <c r="G452" s="10" t="str">
        <f t="array" ref="G452">IF(IFERROR(INDEX(data!L:L,match(Caseslist!B452,data!D:D,0)),"INC")="","COMPLETE",F452)</f>
        <v>COMPLETE</v>
      </c>
      <c r="H452" s="9" t="str">
        <f t="array" ref="H452">IFERROR(INDEX(dataICM!F:F,match(Caseslist!B452,dataICM!D:D,0)), "INC")</f>
        <v>Trixie Marie Jardeleza Saber</v>
      </c>
      <c r="I452" s="10" t="str">
        <f t="shared" si="2"/>
        <v>J4315980</v>
      </c>
      <c r="J452" s="9" t="str">
        <f t="array" ref="J452">IF(
  AND(
    IFERROR(MATCH(B452, data!D:D, 0), 0) &gt; 0,
    IFERROR(INDEX(data!N:N, MATCH(B452, data!D:D, 0)) = 1, FALSE)
  ),
  INDEX(data!C:C, MATCH(B452, data!D:D, 0)),
  "INC"
)</f>
        <v>2025-09-15T10:04:38.295+08</v>
      </c>
      <c r="K452" s="9" t="str">
        <f t="array" ref="K452">IFERROR(INDEX(dataICM!C:C,match(Caseslist!B452,dataICM!D:D,0)), "INC")</f>
        <v>2025-09-15T10:19:20.206+08</v>
      </c>
      <c r="L452" s="10" t="str">
        <f t="array" ref="L452">IF(AND(G452="COMPLETE", OR(K452="INC", ISBLANK(INDEX(data!O:O, ROW())))), J452, K452)</f>
        <v>2025-09-15T10:19:20.206+08</v>
      </c>
      <c r="M452" s="2">
        <v>45915.0</v>
      </c>
      <c r="N452" s="2">
        <f t="array" ref="N452">IF(M452&lt;&gt;"INC", INDEX(data!M:M, MATCH(B452, data!D:D, 0)), "")</f>
        <v>3</v>
      </c>
      <c r="O452" s="2">
        <f t="shared" si="3"/>
        <v>3</v>
      </c>
    </row>
    <row r="453">
      <c r="A453" s="2" t="str">
        <f t="shared" si="1"/>
        <v>H006422</v>
      </c>
      <c r="B453" s="1" t="s">
        <v>6443</v>
      </c>
      <c r="C453" s="9" t="str">
        <f t="array" ref="C453">IF(
  AND(
    IFERROR(MATCH(Caseslist!B453, data!D:D, 0), 0) &gt; 0,
    IFERROR(INDEX(data!N:N, MATCH(Caseslist!B453, data!D:D, 0)) = 1, FALSE)
  ),
  "COMPLETE",
  "INC"
)</f>
        <v>COMPLETE</v>
      </c>
      <c r="D453" s="9" t="str">
        <f t="array" ref="D453">IFERROR(INDEX(data!$G:$G,match(Caseslist!B453,data!$D:$D,0)), "INC")</f>
        <v>M6491032</v>
      </c>
      <c r="E453" s="9" t="str">
        <f t="array" ref="E453">IFERROR(INDEX(data!H:H,match(Caseslist!B453,data!D:D,0)), "INC")</f>
        <v>Rosevil Tayo Desamparado</v>
      </c>
      <c r="F453" s="10" t="str">
        <f t="array" ref="F453">IF(
    OR(
      IFNA(INDEX(data!M:M, MATCH(Caseslist!B453, data!D:D, 0)), "") = "",
      IFNA(INDEX(data!M:M, MATCH(Caseslist!B453, data!D:D, 0)), 0) = 0
    ),
    "COMPLETE",
    IF(
      IFNA(INDEX(dataICM!D:D, MATCH(Caseslist!B453, dataICM!D:D, 0)), "INC") = "INC",
      IFNA(INDEX(dataICM!D:D, MATCH(Caseslist!B453, dataICM!D:D, 0)), "INC"),
      "COMPLETE"
    )
  )</f>
        <v>COMPLETE</v>
      </c>
      <c r="G453" s="10" t="str">
        <f t="array" ref="G453">IF(IFERROR(INDEX(data!L:L,match(Caseslist!B453,data!D:D,0)),"INC")="","COMPLETE",F453)</f>
        <v>COMPLETE</v>
      </c>
      <c r="H453" s="9" t="str">
        <f t="array" ref="H453">IFERROR(INDEX(dataICM!F:F,match(Caseslist!B453,dataICM!D:D,0)), "INC")</f>
        <v>Rosevil Tayo Desamparado</v>
      </c>
      <c r="I453" s="10" t="str">
        <f t="shared" si="2"/>
        <v>M6491032</v>
      </c>
      <c r="J453" s="9" t="str">
        <f t="array" ref="J453">IF(
  AND(
    IFERROR(MATCH(B453, data!D:D, 0), 0) &gt; 0,
    IFERROR(INDEX(data!N:N, MATCH(B453, data!D:D, 0)) = 1, FALSE)
  ),
  INDEX(data!C:C, MATCH(B453, data!D:D, 0)),
  "INC"
)</f>
        <v>2025-09-15T10:19:01.624+08</v>
      </c>
      <c r="K453" s="9" t="str">
        <f t="array" ref="K453">IFERROR(INDEX(dataICM!C:C,match(Caseslist!B453,dataICM!D:D,0)), "INC")</f>
        <v>2025-09-15T10:27:12.001+08</v>
      </c>
      <c r="L453" s="10" t="str">
        <f t="array" ref="L453">IF(AND(G453="COMPLETE", OR(K453="INC", ISBLANK(INDEX(data!O:O, ROW())))), J453, K453)</f>
        <v>2025-09-15T10:27:12.001+08</v>
      </c>
      <c r="M453" s="2">
        <v>45915.0</v>
      </c>
      <c r="N453" s="2">
        <f t="array" ref="N453">IF(M453&lt;&gt;"INC", INDEX(data!M:M, MATCH(B453, data!D:D, 0)), "")</f>
        <v>3</v>
      </c>
      <c r="O453" s="2">
        <f t="shared" si="3"/>
        <v>3</v>
      </c>
    </row>
    <row r="454">
      <c r="A454" s="2" t="str">
        <f t="shared" si="1"/>
        <v>H006422</v>
      </c>
      <c r="B454" s="1" t="s">
        <v>6538</v>
      </c>
      <c r="C454" s="9" t="str">
        <f t="array" ref="C454">IF(
  AND(
    IFERROR(MATCH(Caseslist!B454, data!D:D, 0), 0) &gt; 0,
    IFERROR(INDEX(data!N:N, MATCH(Caseslist!B454, data!D:D, 0)) = 1, FALSE)
  ),
  "COMPLETE",
  "INC"
)</f>
        <v>COMPLETE</v>
      </c>
      <c r="D454" s="9" t="str">
        <f t="array" ref="D454">IFERROR(INDEX(data!$G:$G,match(Caseslist!B454,data!$D:$D,0)), "INC")</f>
        <v>J4315980</v>
      </c>
      <c r="E454" s="9" t="str">
        <f t="array" ref="E454">IFERROR(INDEX(data!H:H,match(Caseslist!B454,data!D:D,0)), "INC")</f>
        <v>Trixie Marie Jardeleza Saber</v>
      </c>
      <c r="F454" s="10" t="str">
        <f t="array" ref="F454">IF(
    OR(
      IFNA(INDEX(data!M:M, MATCH(Caseslist!B454, data!D:D, 0)), "") = "",
      IFNA(INDEX(data!M:M, MATCH(Caseslist!B454, data!D:D, 0)), 0) = 0
    ),
    "COMPLETE",
    IF(
      IFNA(INDEX(dataICM!D:D, MATCH(Caseslist!B454, dataICM!D:D, 0)), "INC") = "INC",
      IFNA(INDEX(dataICM!D:D, MATCH(Caseslist!B454, dataICM!D:D, 0)), "INC"),
      "COMPLETE"
    )
  )</f>
        <v>COMPLETE</v>
      </c>
      <c r="G454" s="10" t="str">
        <f t="array" ref="G454">IF(IFERROR(INDEX(data!L:L,match(Caseslist!B454,data!D:D,0)),"INC")="","COMPLETE",F454)</f>
        <v>COMPLETE</v>
      </c>
      <c r="H454" s="9" t="str">
        <f t="array" ref="H454">IFERROR(INDEX(dataICM!F:F,match(Caseslist!B454,dataICM!D:D,0)), "INC")</f>
        <v>Trixie Marie Jardeleza Saber</v>
      </c>
      <c r="I454" s="10" t="str">
        <f t="shared" si="2"/>
        <v>J4315980</v>
      </c>
      <c r="J454" s="9" t="str">
        <f t="array" ref="J454">IF(
  AND(
    IFERROR(MATCH(B454, data!D:D, 0), 0) &gt; 0,
    IFERROR(INDEX(data!N:N, MATCH(B454, data!D:D, 0)) = 1, FALSE)
  ),
  INDEX(data!C:C, MATCH(B454, data!D:D, 0)),
  "INC"
)</f>
        <v>2025-09-15T11:07:31.305+08</v>
      </c>
      <c r="K454" s="9" t="str">
        <f t="array" ref="K454">IFERROR(INDEX(dataICM!C:C,match(Caseslist!B454,dataICM!D:D,0)), "INC")</f>
        <v>2025-09-15T11:12:16.538+08</v>
      </c>
      <c r="L454" s="10" t="str">
        <f t="array" ref="L454">IF(AND(G454="COMPLETE", OR(K454="INC", ISBLANK(INDEX(data!O:O, ROW())))), J454, K454)</f>
        <v>2025-09-15T11:12:16.538+08</v>
      </c>
      <c r="M454" s="2">
        <v>45915.0</v>
      </c>
      <c r="N454" s="2">
        <f t="array" ref="N454">IF(M454&lt;&gt;"INC", INDEX(data!M:M, MATCH(B454, data!D:D, 0)), "")</f>
        <v>3</v>
      </c>
      <c r="O454" s="2">
        <f t="shared" si="3"/>
        <v>3</v>
      </c>
    </row>
    <row r="455">
      <c r="A455" s="2" t="str">
        <f t="shared" si="1"/>
        <v>H006422</v>
      </c>
      <c r="B455" s="1" t="s">
        <v>6518</v>
      </c>
      <c r="C455" s="9" t="str">
        <f t="array" ref="C455">IF(
  AND(
    IFERROR(MATCH(Caseslist!B455, data!D:D, 0), 0) &gt; 0,
    IFERROR(INDEX(data!N:N, MATCH(Caseslist!B455, data!D:D, 0)) = 1, FALSE)
  ),
  "COMPLETE",
  "INC"
)</f>
        <v>COMPLETE</v>
      </c>
      <c r="D455" s="9" t="str">
        <f t="array" ref="D455">IFERROR(INDEX(data!$G:$G,match(Caseslist!B455,data!$D:$D,0)), "INC")</f>
        <v>K8623174</v>
      </c>
      <c r="E455" s="9" t="str">
        <f t="array" ref="E455">IFERROR(INDEX(data!H:H,match(Caseslist!B455,data!D:D,0)), "INC")</f>
        <v>Marielle Kaye Ignacio Alonzo</v>
      </c>
      <c r="F455" s="10" t="str">
        <f t="array" ref="F455">IF(
    OR(
      IFNA(INDEX(data!M:M, MATCH(Caseslist!B455, data!D:D, 0)), "") = "",
      IFNA(INDEX(data!M:M, MATCH(Caseslist!B455, data!D:D, 0)), 0) = 0
    ),
    "COMPLETE",
    IF(
      IFNA(INDEX(dataICM!D:D, MATCH(Caseslist!B455, dataICM!D:D, 0)), "INC") = "INC",
      IFNA(INDEX(dataICM!D:D, MATCH(Caseslist!B455, dataICM!D:D, 0)), "INC"),
      "COMPLETE"
    )
  )</f>
        <v>COMPLETE</v>
      </c>
      <c r="G455" s="10" t="str">
        <f t="array" ref="G455">IF(IFERROR(INDEX(data!L:L,match(Caseslist!B455,data!D:D,0)),"INC")="","COMPLETE",F455)</f>
        <v>COMPLETE</v>
      </c>
      <c r="H455" s="9" t="str">
        <f t="array" ref="H455">IFERROR(INDEX(dataICM!F:F,match(Caseslist!B455,dataICM!D:D,0)), "INC")</f>
        <v>Marielle Kaye Ignacio Alonzo</v>
      </c>
      <c r="I455" s="10" t="str">
        <f t="shared" si="2"/>
        <v>K8623174</v>
      </c>
      <c r="J455" s="9" t="str">
        <f t="array" ref="J455">IF(
  AND(
    IFERROR(MATCH(B455, data!D:D, 0), 0) &gt; 0,
    IFERROR(INDEX(data!N:N, MATCH(B455, data!D:D, 0)) = 1, FALSE)
  ),
  INDEX(data!C:C, MATCH(B455, data!D:D, 0)),
  "INC"
)</f>
        <v>2025-09-15T11:28:30.161+08</v>
      </c>
      <c r="K455" s="9" t="str">
        <f t="array" ref="K455">IFERROR(INDEX(dataICM!C:C,match(Caseslist!B455,dataICM!D:D,0)), "INC")</f>
        <v>2025-09-15T12:03:29.719+08</v>
      </c>
      <c r="L455" s="10" t="str">
        <f t="array" ref="L455">IF(AND(G455="COMPLETE", OR(K455="INC", ISBLANK(INDEX(data!O:O, ROW())))), J455, K455)</f>
        <v>2025-09-15T12:03:29.719+08</v>
      </c>
      <c r="M455" s="2">
        <v>45915.0</v>
      </c>
      <c r="N455" s="2">
        <f t="array" ref="N455">IF(M455&lt;&gt;"INC", INDEX(data!M:M, MATCH(B455, data!D:D, 0)), "")</f>
        <v>3</v>
      </c>
      <c r="O455" s="2">
        <f t="shared" si="3"/>
        <v>3</v>
      </c>
    </row>
    <row r="456">
      <c r="A456" s="2" t="str">
        <f t="shared" si="1"/>
        <v>H006422</v>
      </c>
      <c r="B456" s="1" t="s">
        <v>6453</v>
      </c>
      <c r="C456" s="9" t="str">
        <f t="array" ref="C456">IF(
  AND(
    IFERROR(MATCH(Caseslist!B456, data!D:D, 0), 0) &gt; 0,
    IFERROR(INDEX(data!N:N, MATCH(Caseslist!B456, data!D:D, 0)) = 1, FALSE)
  ),
  "COMPLETE",
  "INC"
)</f>
        <v>COMPLETE</v>
      </c>
      <c r="D456" s="9" t="str">
        <f t="array" ref="D456">IFERROR(INDEX(data!$G:$G,match(Caseslist!B456,data!$D:$D,0)), "INC")</f>
        <v>M6491032</v>
      </c>
      <c r="E456" s="9" t="str">
        <f t="array" ref="E456">IFERROR(INDEX(data!H:H,match(Caseslist!B456,data!D:D,0)), "INC")</f>
        <v>Rosevil Tayo Desamparado</v>
      </c>
      <c r="F456" s="10" t="str">
        <f t="array" ref="F456">IF(
    OR(
      IFNA(INDEX(data!M:M, MATCH(Caseslist!B456, data!D:D, 0)), "") = "",
      IFNA(INDEX(data!M:M, MATCH(Caseslist!B456, data!D:D, 0)), 0) = 0
    ),
    "COMPLETE",
    IF(
      IFNA(INDEX(dataICM!D:D, MATCH(Caseslist!B456, dataICM!D:D, 0)), "INC") = "INC",
      IFNA(INDEX(dataICM!D:D, MATCH(Caseslist!B456, dataICM!D:D, 0)), "INC"),
      "COMPLETE"
    )
  )</f>
        <v>COMPLETE</v>
      </c>
      <c r="G456" s="10" t="str">
        <f t="array" ref="G456">IF(IFERROR(INDEX(data!L:L,match(Caseslist!B456,data!D:D,0)),"INC")="","COMPLETE",F456)</f>
        <v>COMPLETE</v>
      </c>
      <c r="H456" s="9" t="str">
        <f t="array" ref="H456">IFERROR(INDEX(dataICM!F:F,match(Caseslist!B456,dataICM!D:D,0)), "INC")</f>
        <v>Rosevil Tayo Desamparado</v>
      </c>
      <c r="I456" s="10" t="str">
        <f t="shared" si="2"/>
        <v>M6491032</v>
      </c>
      <c r="J456" s="9" t="str">
        <f t="array" ref="J456">IF(
  AND(
    IFERROR(MATCH(B456, data!D:D, 0), 0) &gt; 0,
    IFERROR(INDEX(data!N:N, MATCH(B456, data!D:D, 0)) = 1, FALSE)
  ),
  INDEX(data!C:C, MATCH(B456, data!D:D, 0)),
  "INC"
)</f>
        <v>2025-09-15T19:13:41.132+08</v>
      </c>
      <c r="K456" s="9" t="str">
        <f t="array" ref="K456">IFERROR(INDEX(dataICM!C:C,match(Caseslist!B456,dataICM!D:D,0)), "INC")</f>
        <v>2025-09-15T19:14:01.877+08</v>
      </c>
      <c r="L456" s="10" t="str">
        <f t="array" ref="L456">IF(AND(G456="COMPLETE", OR(K456="INC", ISBLANK(INDEX(data!O:O, ROW())))), J456, K456)</f>
        <v>2025-09-15T19:14:01.877+08</v>
      </c>
      <c r="M456" s="2">
        <v>45915.0</v>
      </c>
      <c r="N456" s="2">
        <f t="array" ref="N456">IF(M456&lt;&gt;"INC", INDEX(data!M:M, MATCH(B456, data!D:D, 0)), "")</f>
        <v>3</v>
      </c>
      <c r="O456" s="2">
        <f t="shared" si="3"/>
        <v>3</v>
      </c>
    </row>
    <row r="457">
      <c r="A457" s="2" t="str">
        <f t="shared" si="1"/>
        <v>H006422</v>
      </c>
      <c r="B457" s="1" t="s">
        <v>6413</v>
      </c>
      <c r="C457" s="9" t="str">
        <f t="array" ref="C457">IF(
  AND(
    IFERROR(MATCH(Caseslist!B457, data!D:D, 0), 0) &gt; 0,
    IFERROR(INDEX(data!N:N, MATCH(Caseslist!B457, data!D:D, 0)) = 1, FALSE)
  ),
  "COMPLETE",
  "INC"
)</f>
        <v>COMPLETE</v>
      </c>
      <c r="D457" s="9" t="str">
        <f t="array" ref="D457">IFERROR(INDEX(data!$G:$G,match(Caseslist!B457,data!$D:$D,0)), "INC")</f>
        <v>L2057896</v>
      </c>
      <c r="E457" s="9" t="str">
        <f t="array" ref="E457">IFERROR(INDEX(data!H:H,match(Caseslist!B457,data!D:D,0)), "INC")</f>
        <v>Franz Reoben Posadas Geneblaza</v>
      </c>
      <c r="F457" s="10" t="str">
        <f t="array" ref="F457">IF(
    OR(
      IFNA(INDEX(data!M:M, MATCH(Caseslist!B457, data!D:D, 0)), "") = "",
      IFNA(INDEX(data!M:M, MATCH(Caseslist!B457, data!D:D, 0)), 0) = 0
    ),
    "COMPLETE",
    IF(
      IFNA(INDEX(dataICM!D:D, MATCH(Caseslist!B457, dataICM!D:D, 0)), "INC") = "INC",
      IFNA(INDEX(dataICM!D:D, MATCH(Caseslist!B457, dataICM!D:D, 0)), "INC"),
      "COMPLETE"
    )
  )</f>
        <v>COMPLETE</v>
      </c>
      <c r="G457" s="10" t="str">
        <f t="array" ref="G457">IF(IFERROR(INDEX(data!L:L,match(Caseslist!B457,data!D:D,0)),"INC")="","COMPLETE",F457)</f>
        <v>COMPLETE</v>
      </c>
      <c r="H457" s="9" t="str">
        <f t="array" ref="H457">IFERROR(INDEX(dataICM!F:F,match(Caseslist!B457,dataICM!D:D,0)), "INC")</f>
        <v>Franz Reoben Posadas Geneblaza</v>
      </c>
      <c r="I457" s="10" t="str">
        <f t="shared" si="2"/>
        <v>L2057896</v>
      </c>
      <c r="J457" s="9" t="str">
        <f t="array" ref="J457">IF(
  AND(
    IFERROR(MATCH(B457, data!D:D, 0), 0) &gt; 0,
    IFERROR(INDEX(data!N:N, MATCH(B457, data!D:D, 0)) = 1, FALSE)
  ),
  INDEX(data!C:C, MATCH(B457, data!D:D, 0)),
  "INC"
)</f>
        <v>2025-09-15T10:16:51.237+08</v>
      </c>
      <c r="K457" s="9" t="str">
        <f t="array" ref="K457">IFERROR(INDEX(dataICM!C:C,match(Caseslist!B457,dataICM!D:D,0)), "INC")</f>
        <v>2025-09-15T10:27:51.723+08</v>
      </c>
      <c r="L457" s="10" t="str">
        <f t="array" ref="L457">IF(AND(G457="COMPLETE", OR(K457="INC", ISBLANK(INDEX(data!O:O, ROW())))), J457, K457)</f>
        <v>2025-09-15T10:27:51.723+08</v>
      </c>
      <c r="M457" s="2">
        <v>45915.0</v>
      </c>
      <c r="N457" s="2">
        <f t="array" ref="N457">IF(M457&lt;&gt;"INC", INDEX(data!M:M, MATCH(B457, data!D:D, 0)), "")</f>
        <v>3</v>
      </c>
      <c r="O457" s="2">
        <f t="shared" si="3"/>
        <v>3</v>
      </c>
    </row>
    <row r="458">
      <c r="A458" s="2" t="str">
        <f t="shared" si="1"/>
        <v>H006422</v>
      </c>
      <c r="B458" s="1" t="s">
        <v>6418</v>
      </c>
      <c r="C458" s="9" t="str">
        <f t="array" ref="C458">IF(
  AND(
    IFERROR(MATCH(Caseslist!B458, data!D:D, 0), 0) &gt; 0,
    IFERROR(INDEX(data!N:N, MATCH(Caseslist!B458, data!D:D, 0)) = 1, FALSE)
  ),
  "COMPLETE",
  "INC"
)</f>
        <v>COMPLETE</v>
      </c>
      <c r="D458" s="9" t="str">
        <f t="array" ref="D458">IFERROR(INDEX(data!$G:$G,match(Caseslist!B458,data!$D:$D,0)), "INC")</f>
        <v>L2057896</v>
      </c>
      <c r="E458" s="9" t="str">
        <f t="array" ref="E458">IFERROR(INDEX(data!H:H,match(Caseslist!B458,data!D:D,0)), "INC")</f>
        <v>Franz Reoben Posadas Geneblaza</v>
      </c>
      <c r="F458" s="10" t="str">
        <f t="array" ref="F458">IF(
    OR(
      IFNA(INDEX(data!M:M, MATCH(Caseslist!B458, data!D:D, 0)), "") = "",
      IFNA(INDEX(data!M:M, MATCH(Caseslist!B458, data!D:D, 0)), 0) = 0
    ),
    "COMPLETE",
    IF(
      IFNA(INDEX(dataICM!D:D, MATCH(Caseslist!B458, dataICM!D:D, 0)), "INC") = "INC",
      IFNA(INDEX(dataICM!D:D, MATCH(Caseslist!B458, dataICM!D:D, 0)), "INC"),
      "COMPLETE"
    )
  )</f>
        <v>COMPLETE</v>
      </c>
      <c r="G458" s="10" t="str">
        <f t="array" ref="G458">IF(IFERROR(INDEX(data!L:L,match(Caseslist!B458,data!D:D,0)),"INC")="","COMPLETE",F458)</f>
        <v>COMPLETE</v>
      </c>
      <c r="H458" s="9" t="str">
        <f t="array" ref="H458">IFERROR(INDEX(dataICM!F:F,match(Caseslist!B458,dataICM!D:D,0)), "INC")</f>
        <v>Franz Reoben Posadas Geneblaza</v>
      </c>
      <c r="I458" s="10" t="str">
        <f t="shared" si="2"/>
        <v>L2057896</v>
      </c>
      <c r="J458" s="9" t="str">
        <f t="array" ref="J458">IF(
  AND(
    IFERROR(MATCH(B458, data!D:D, 0), 0) &gt; 0,
    IFERROR(INDEX(data!N:N, MATCH(B458, data!D:D, 0)) = 1, FALSE)
  ),
  INDEX(data!C:C, MATCH(B458, data!D:D, 0)),
  "INC"
)</f>
        <v>2025-09-15T11:11:54.442+08</v>
      </c>
      <c r="K458" s="9" t="str">
        <f t="array" ref="K458">IFERROR(INDEX(dataICM!C:C,match(Caseslist!B458,dataICM!D:D,0)), "INC")</f>
        <v>2025-09-15T11:23:14.281+08</v>
      </c>
      <c r="L458" s="10" t="str">
        <f t="array" ref="L458">IF(AND(G458="COMPLETE", OR(K458="INC", ISBLANK(INDEX(data!O:O, ROW())))), J458, K458)</f>
        <v>2025-09-15T11:23:14.281+08</v>
      </c>
      <c r="M458" s="2">
        <v>45915.0</v>
      </c>
      <c r="N458" s="2">
        <f t="array" ref="N458">IF(M458&lt;&gt;"INC", INDEX(data!M:M, MATCH(B458, data!D:D, 0)), "")</f>
        <v>3</v>
      </c>
      <c r="O458" s="2">
        <f t="shared" si="3"/>
        <v>3</v>
      </c>
    </row>
    <row r="459">
      <c r="A459" s="2" t="str">
        <f t="shared" si="1"/>
        <v>H006422</v>
      </c>
      <c r="B459" s="1" t="s">
        <v>8912</v>
      </c>
      <c r="C459" s="9" t="str">
        <f t="array" ref="C459">IF(
  AND(
    IFERROR(MATCH(Caseslist!B459, data!D:D, 0), 0) &gt; 0,
    IFERROR(INDEX(data!N:N, MATCH(Caseslist!B459, data!D:D, 0)) = 1, FALSE)
  ),
  "COMPLETE",
  "INC"
)</f>
        <v>INC</v>
      </c>
      <c r="D459" s="9" t="str">
        <f t="array" ref="D459">IFERROR(INDEX(data!$G:$G,match(Caseslist!B459,data!$D:$D,0)), "INC")</f>
        <v>INC</v>
      </c>
      <c r="E459" s="9" t="str">
        <f t="array" ref="E459">IFERROR(INDEX(data!H:H,match(Caseslist!B459,data!D:D,0)), "INC")</f>
        <v>INC</v>
      </c>
      <c r="F459" s="10" t="str">
        <f t="array" ref="F459">IF(
    OR(
      IFNA(INDEX(data!M:M, MATCH(Caseslist!B459, data!D:D, 0)), "") = "",
      IFNA(INDEX(data!M:M, MATCH(Caseslist!B459, data!D:D, 0)), 0) = 0
    ),
    "COMPLETE",
    IF(
      IFNA(INDEX(dataICM!D:D, MATCH(Caseslist!B459, dataICM!D:D, 0)), "INC") = "INC",
      IFNA(INDEX(dataICM!D:D, MATCH(Caseslist!B459, dataICM!D:D, 0)), "INC"),
      "COMPLETE"
    )
  )</f>
        <v>COMPLETE</v>
      </c>
      <c r="G459" s="10" t="str">
        <f t="array" ref="G459">IF(IFERROR(INDEX(data!L:L,match(Caseslist!B459,data!D:D,0)),"INC")="","COMPLETE",F459)</f>
        <v>COMPLETE</v>
      </c>
      <c r="H459" s="9" t="str">
        <f t="array" ref="H459">IFERROR(INDEX(dataICM!F:F,match(Caseslist!B459,dataICM!D:D,0)), "INC")</f>
        <v>INC</v>
      </c>
      <c r="I459" s="10" t="str">
        <f t="shared" si="2"/>
        <v>INC</v>
      </c>
      <c r="J459" s="9" t="str">
        <f t="array" ref="J459">IF(
  AND(
    IFERROR(MATCH(B459, data!D:D, 0), 0) &gt; 0,
    IFERROR(INDEX(data!N:N, MATCH(B459, data!D:D, 0)) = 1, FALSE)
  ),
  INDEX(data!C:C, MATCH(B459, data!D:D, 0)),
  "INC"
)</f>
        <v>INC</v>
      </c>
      <c r="K459" s="9" t="str">
        <f t="array" ref="K459">IFERROR(INDEX(dataICM!C:C,match(Caseslist!B459,dataICM!D:D,0)), "INC")</f>
        <v>INC</v>
      </c>
      <c r="L459" s="10" t="str">
        <f t="array" ref="L459">IF(AND(G459="COMPLETE", OR(K459="INC", ISBLANK(INDEX(data!O:O, ROW())))), J459, K459)</f>
        <v>INC</v>
      </c>
      <c r="M459" s="2" t="s">
        <v>8886</v>
      </c>
      <c r="N459" s="2" t="str">
        <f t="array" ref="N459">IF(M459&lt;&gt;"INC", INDEX(data!M:M, MATCH(B459, data!D:D, 0)), "")</f>
        <v/>
      </c>
      <c r="O459" s="2" t="str">
        <f t="shared" si="3"/>
        <v/>
      </c>
    </row>
    <row r="460">
      <c r="A460" s="2" t="str">
        <f t="shared" si="1"/>
        <v>H006422</v>
      </c>
      <c r="B460" s="1" t="s">
        <v>6798</v>
      </c>
      <c r="C460" s="9" t="str">
        <f t="array" ref="C460">IF(
  AND(
    IFERROR(MATCH(Caseslist!B460, data!D:D, 0), 0) &gt; 0,
    IFERROR(INDEX(data!N:N, MATCH(Caseslist!B460, data!D:D, 0)) = 1, FALSE)
  ),
  "COMPLETE",
  "INC"
)</f>
        <v>COMPLETE</v>
      </c>
      <c r="D460" s="9" t="str">
        <f t="array" ref="D460">IFERROR(INDEX(data!$G:$G,match(Caseslist!B460,data!$D:$D,0)), "INC")</f>
        <v>M6491032</v>
      </c>
      <c r="E460" s="9" t="str">
        <f t="array" ref="E460">IFERROR(INDEX(data!H:H,match(Caseslist!B460,data!D:D,0)), "INC")</f>
        <v>Rosevil Tayo Desamparado</v>
      </c>
      <c r="F460" s="10" t="str">
        <f t="array" ref="F460">IF(
    OR(
      IFNA(INDEX(data!M:M, MATCH(Caseslist!B460, data!D:D, 0)), "") = "",
      IFNA(INDEX(data!M:M, MATCH(Caseslist!B460, data!D:D, 0)), 0) = 0
    ),
    "COMPLETE",
    IF(
      IFNA(INDEX(dataICM!D:D, MATCH(Caseslist!B460, dataICM!D:D, 0)), "INC") = "INC",
      IFNA(INDEX(dataICM!D:D, MATCH(Caseslist!B460, dataICM!D:D, 0)), "INC"),
      "COMPLETE"
    )
  )</f>
        <v>COMPLETE</v>
      </c>
      <c r="G460" s="10" t="str">
        <f t="array" ref="G460">IF(IFERROR(INDEX(data!L:L,match(Caseslist!B460,data!D:D,0)),"INC")="","COMPLETE",F460)</f>
        <v>COMPLETE</v>
      </c>
      <c r="H460" s="9" t="str">
        <f t="array" ref="H460">IFERROR(INDEX(dataICM!F:F,match(Caseslist!B460,dataICM!D:D,0)), "INC")</f>
        <v>Rosevil Tayo Desamparado</v>
      </c>
      <c r="I460" s="10" t="str">
        <f t="shared" si="2"/>
        <v>M6491032</v>
      </c>
      <c r="J460" s="9" t="str">
        <f t="array" ref="J460">IF(
  AND(
    IFERROR(MATCH(B460, data!D:D, 0), 0) &gt; 0,
    IFERROR(INDEX(data!N:N, MATCH(B460, data!D:D, 0)) = 1, FALSE)
  ),
  INDEX(data!C:C, MATCH(B460, data!D:D, 0)),
  "INC"
)</f>
        <v>2025-09-20T09:51:37.827+08</v>
      </c>
      <c r="K460" s="9" t="str">
        <f t="array" ref="K460">IFERROR(INDEX(dataICM!C:C,match(Caseslist!B460,dataICM!D:D,0)), "INC")</f>
        <v>2025-09-20T10:08:50.361+08</v>
      </c>
      <c r="L460" s="10" t="str">
        <f t="array" ref="L460">IF(AND(G460="COMPLETE", OR(K460="INC", ISBLANK(INDEX(data!O:O, ROW())))), J460, K460)</f>
        <v>2025-09-20T10:08:50.361+08</v>
      </c>
      <c r="M460" s="2">
        <v>45920.0</v>
      </c>
      <c r="N460" s="2">
        <f t="array" ref="N460">IF(M460&lt;&gt;"INC", INDEX(data!M:M, MATCH(B460, data!D:D, 0)), "")</f>
        <v>3</v>
      </c>
      <c r="O460" s="2">
        <f t="shared" si="3"/>
        <v>3</v>
      </c>
    </row>
    <row r="461">
      <c r="A461" s="2" t="str">
        <f t="shared" si="1"/>
        <v>H006422</v>
      </c>
      <c r="B461" s="1" t="s">
        <v>8913</v>
      </c>
      <c r="C461" s="9" t="str">
        <f t="array" ref="C461">IF(
  AND(
    IFERROR(MATCH(Caseslist!B461, data!D:D, 0), 0) &gt; 0,
    IFERROR(INDEX(data!N:N, MATCH(Caseslist!B461, data!D:D, 0)) = 1, FALSE)
  ),
  "COMPLETE",
  "INC"
)</f>
        <v>INC</v>
      </c>
      <c r="D461" s="9" t="str">
        <f t="array" ref="D461">IFERROR(INDEX(data!$G:$G,match(Caseslist!B461,data!$D:$D,0)), "INC")</f>
        <v>INC</v>
      </c>
      <c r="E461" s="9" t="str">
        <f t="array" ref="E461">IFERROR(INDEX(data!H:H,match(Caseslist!B461,data!D:D,0)), "INC")</f>
        <v>INC</v>
      </c>
      <c r="F461" s="10" t="str">
        <f t="array" ref="F461">IF(
    OR(
      IFNA(INDEX(data!M:M, MATCH(Caseslist!B461, data!D:D, 0)), "") = "",
      IFNA(INDEX(data!M:M, MATCH(Caseslist!B461, data!D:D, 0)), 0) = 0
    ),
    "COMPLETE",
    IF(
      IFNA(INDEX(dataICM!D:D, MATCH(Caseslist!B461, dataICM!D:D, 0)), "INC") = "INC",
      IFNA(INDEX(dataICM!D:D, MATCH(Caseslist!B461, dataICM!D:D, 0)), "INC"),
      "COMPLETE"
    )
  )</f>
        <v>COMPLETE</v>
      </c>
      <c r="G461" s="10" t="str">
        <f t="array" ref="G461">IF(IFERROR(INDEX(data!L:L,match(Caseslist!B461,data!D:D,0)),"INC")="","COMPLETE",F461)</f>
        <v>COMPLETE</v>
      </c>
      <c r="H461" s="9" t="str">
        <f t="array" ref="H461">IFERROR(INDEX(dataICM!F:F,match(Caseslist!B461,dataICM!D:D,0)), "INC")</f>
        <v>INC</v>
      </c>
      <c r="I461" s="10" t="str">
        <f t="shared" si="2"/>
        <v>INC</v>
      </c>
      <c r="J461" s="9" t="str">
        <f t="array" ref="J461">IF(
  AND(
    IFERROR(MATCH(B461, data!D:D, 0), 0) &gt; 0,
    IFERROR(INDEX(data!N:N, MATCH(B461, data!D:D, 0)) = 1, FALSE)
  ),
  INDEX(data!C:C, MATCH(B461, data!D:D, 0)),
  "INC"
)</f>
        <v>INC</v>
      </c>
      <c r="K461" s="9" t="str">
        <f t="array" ref="K461">IFERROR(INDEX(dataICM!C:C,match(Caseslist!B461,dataICM!D:D,0)), "INC")</f>
        <v>INC</v>
      </c>
      <c r="L461" s="10" t="str">
        <f t="array" ref="L461">IF(AND(G461="COMPLETE", OR(K461="INC", ISBLANK(INDEX(data!O:O, ROW())))), J461, K461)</f>
        <v>INC</v>
      </c>
      <c r="M461" s="2" t="s">
        <v>8886</v>
      </c>
      <c r="N461" s="2" t="str">
        <f t="array" ref="N461">IF(M461&lt;&gt;"INC", INDEX(data!M:M, MATCH(B461, data!D:D, 0)), "")</f>
        <v/>
      </c>
      <c r="O461" s="2" t="str">
        <f t="shared" si="3"/>
        <v/>
      </c>
    </row>
    <row r="462">
      <c r="A462" s="2" t="str">
        <f t="shared" si="1"/>
        <v>H006422</v>
      </c>
      <c r="B462" s="1" t="s">
        <v>6423</v>
      </c>
      <c r="C462" s="9" t="str">
        <f t="array" ref="C462">IF(
  AND(
    IFERROR(MATCH(Caseslist!B462, data!D:D, 0), 0) &gt; 0,
    IFERROR(INDEX(data!N:N, MATCH(Caseslist!B462, data!D:D, 0)) = 1, FALSE)
  ),
  "COMPLETE",
  "INC"
)</f>
        <v>COMPLETE</v>
      </c>
      <c r="D462" s="9" t="str">
        <f t="array" ref="D462">IFERROR(INDEX(data!$G:$G,match(Caseslist!B462,data!$D:$D,0)), "INC")</f>
        <v>L2057896</v>
      </c>
      <c r="E462" s="9" t="str">
        <f t="array" ref="E462">IFERROR(INDEX(data!H:H,match(Caseslist!B462,data!D:D,0)), "INC")</f>
        <v>Franz Reoben Posadas Geneblaza</v>
      </c>
      <c r="F462" s="10" t="str">
        <f t="array" ref="F462">IF(
    OR(
      IFNA(INDEX(data!M:M, MATCH(Caseslist!B462, data!D:D, 0)), "") = "",
      IFNA(INDEX(data!M:M, MATCH(Caseslist!B462, data!D:D, 0)), 0) = 0
    ),
    "COMPLETE",
    IF(
      IFNA(INDEX(dataICM!D:D, MATCH(Caseslist!B462, dataICM!D:D, 0)), "INC") = "INC",
      IFNA(INDEX(dataICM!D:D, MATCH(Caseslist!B462, dataICM!D:D, 0)), "INC"),
      "COMPLETE"
    )
  )</f>
        <v>COMPLETE</v>
      </c>
      <c r="G462" s="10" t="str">
        <f t="array" ref="G462">IF(IFERROR(INDEX(data!L:L,match(Caseslist!B462,data!D:D,0)),"INC")="","COMPLETE",F462)</f>
        <v>COMPLETE</v>
      </c>
      <c r="H462" s="9" t="str">
        <f t="array" ref="H462">IFERROR(INDEX(dataICM!F:F,match(Caseslist!B462,dataICM!D:D,0)), "INC")</f>
        <v>Franz Reoben Posadas Geneblaza</v>
      </c>
      <c r="I462" s="10" t="str">
        <f t="shared" si="2"/>
        <v>L2057896</v>
      </c>
      <c r="J462" s="9" t="str">
        <f t="array" ref="J462">IF(
  AND(
    IFERROR(MATCH(B462, data!D:D, 0), 0) &gt; 0,
    IFERROR(INDEX(data!N:N, MATCH(B462, data!D:D, 0)) = 1, FALSE)
  ),
  INDEX(data!C:C, MATCH(B462, data!D:D, 0)),
  "INC"
)</f>
        <v>2025-09-15T13:22:30.452+08</v>
      </c>
      <c r="K462" s="9" t="str">
        <f t="array" ref="K462">IFERROR(INDEX(dataICM!C:C,match(Caseslist!B462,dataICM!D:D,0)), "INC")</f>
        <v>2025-09-15T13:55:20.347+08</v>
      </c>
      <c r="L462" s="10" t="str">
        <f t="array" ref="L462">IF(AND(G462="COMPLETE", OR(K462="INC", ISBLANK(INDEX(data!O:O, ROW())))), J462, K462)</f>
        <v>2025-09-15T13:55:20.347+08</v>
      </c>
      <c r="M462" s="2">
        <v>45915.0</v>
      </c>
      <c r="N462" s="2">
        <f t="array" ref="N462">IF(M462&lt;&gt;"INC", INDEX(data!M:M, MATCH(B462, data!D:D, 0)), "")</f>
        <v>3</v>
      </c>
      <c r="O462" s="2">
        <f t="shared" si="3"/>
        <v>3</v>
      </c>
    </row>
    <row r="463">
      <c r="A463" s="2" t="str">
        <f t="shared" si="1"/>
        <v>H006510</v>
      </c>
      <c r="B463" s="1" t="s">
        <v>8373</v>
      </c>
      <c r="C463" s="9" t="str">
        <f t="array" ref="C463">IF(
  AND(
    IFERROR(MATCH(Caseslist!B463, data!D:D, 0), 0) &gt; 0,
    IFERROR(INDEX(data!N:N, MATCH(Caseslist!B463, data!D:D, 0)) = 1, FALSE)
  ),
  "COMPLETE",
  "INC"
)</f>
        <v>COMPLETE</v>
      </c>
      <c r="D463" s="9" t="str">
        <f t="array" ref="D463">IFERROR(INDEX(data!$G:$G,match(Caseslist!B463,data!$D:$D,0)), "INC")</f>
        <v>K8623174</v>
      </c>
      <c r="E463" s="9" t="str">
        <f t="array" ref="E463">IFERROR(INDEX(data!H:H,match(Caseslist!B463,data!D:D,0)), "INC")</f>
        <v>Marielle Kaye Ignacio Alonzo</v>
      </c>
      <c r="F463" s="10" t="str">
        <f t="array" ref="F463">IF(
    OR(
      IFNA(INDEX(data!M:M, MATCH(Caseslist!B463, data!D:D, 0)), "") = "",
      IFNA(INDEX(data!M:M, MATCH(Caseslist!B463, data!D:D, 0)), 0) = 0
    ),
    "COMPLETE",
    IF(
      IFNA(INDEX(dataICM!D:D, MATCH(Caseslist!B463, dataICM!D:D, 0)), "INC") = "INC",
      IFNA(INDEX(dataICM!D:D, MATCH(Caseslist!B463, dataICM!D:D, 0)), "INC"),
      "COMPLETE"
    )
  )</f>
        <v>COMPLETE</v>
      </c>
      <c r="G463" s="10" t="str">
        <f t="array" ref="G463">IF(IFERROR(INDEX(data!L:L,match(Caseslist!B463,data!D:D,0)),"INC")="","COMPLETE",F463)</f>
        <v>COMPLETE</v>
      </c>
      <c r="H463" s="9" t="str">
        <f t="array" ref="H463">IFERROR(INDEX(dataICM!F:F,match(Caseslist!B463,dataICM!D:D,0)), "INC")</f>
        <v>Marielle Kaye Ignacio Alonzo</v>
      </c>
      <c r="I463" s="10" t="str">
        <f t="shared" si="2"/>
        <v>K8623174</v>
      </c>
      <c r="J463" s="9" t="str">
        <f t="array" ref="J463">IF(
  AND(
    IFERROR(MATCH(B463, data!D:D, 0), 0) &gt; 0,
    IFERROR(INDEX(data!N:N, MATCH(B463, data!D:D, 0)) = 1, FALSE)
  ),
  INDEX(data!C:C, MATCH(B463, data!D:D, 0)),
  "INC"
)</f>
        <v>2025-09-23T08:24:09.070+08</v>
      </c>
      <c r="K463" s="9" t="str">
        <f t="array" ref="K463">IFERROR(INDEX(dataICM!C:C,match(Caseslist!B463,dataICM!D:D,0)), "INC")</f>
        <v>2025-09-23T19:20:54.462+08</v>
      </c>
      <c r="L463" s="10" t="str">
        <f t="array" ref="L463">IF(AND(G463="COMPLETE", OR(K463="INC", ISBLANK(INDEX(data!O:O, ROW())))), J463, K463)</f>
        <v>2025-09-23T19:20:54.462+08</v>
      </c>
      <c r="M463" s="2">
        <v>45923.0</v>
      </c>
      <c r="N463" s="2">
        <f t="array" ref="N463">IF(M463&lt;&gt;"INC", INDEX(data!M:M, MATCH(B463, data!D:D, 0)), "")</f>
        <v>3</v>
      </c>
      <c r="O463" s="2">
        <f t="shared" si="3"/>
        <v>3</v>
      </c>
    </row>
    <row r="464">
      <c r="A464" s="2" t="str">
        <f t="shared" si="1"/>
        <v>H006510</v>
      </c>
      <c r="B464" s="1" t="s">
        <v>7573</v>
      </c>
      <c r="C464" s="9" t="str">
        <f t="array" ref="C464">IF(
  AND(
    IFERROR(MATCH(Caseslist!B464, data!D:D, 0), 0) &gt; 0,
    IFERROR(INDEX(data!N:N, MATCH(Caseslist!B464, data!D:D, 0)) = 1, FALSE)
  ),
  "COMPLETE",
  "INC"
)</f>
        <v>COMPLETE</v>
      </c>
      <c r="D464" s="9" t="str">
        <f t="array" ref="D464">IFERROR(INDEX(data!$G:$G,match(Caseslist!B464,data!$D:$D,0)), "INC")</f>
        <v>J4315980</v>
      </c>
      <c r="E464" s="9" t="str">
        <f t="array" ref="E464">IFERROR(INDEX(data!H:H,match(Caseslist!B464,data!D:D,0)), "INC")</f>
        <v>Trixie Marie Jardeleza Saber</v>
      </c>
      <c r="F464" s="10" t="str">
        <f t="array" ref="F464">IF(
    OR(
      IFNA(INDEX(data!M:M, MATCH(Caseslist!B464, data!D:D, 0)), "") = "",
      IFNA(INDEX(data!M:M, MATCH(Caseslist!B464, data!D:D, 0)), 0) = 0
    ),
    "COMPLETE",
    IF(
      IFNA(INDEX(dataICM!D:D, MATCH(Caseslist!B464, dataICM!D:D, 0)), "INC") = "INC",
      IFNA(INDEX(dataICM!D:D, MATCH(Caseslist!B464, dataICM!D:D, 0)), "INC"),
      "COMPLETE"
    )
  )</f>
        <v>COMPLETE</v>
      </c>
      <c r="G464" s="10" t="str">
        <f t="array" ref="G464">IF(IFERROR(INDEX(data!L:L,match(Caseslist!B464,data!D:D,0)),"INC")="","COMPLETE",F464)</f>
        <v>COMPLETE</v>
      </c>
      <c r="H464" s="9" t="str">
        <f t="array" ref="H464">IFERROR(INDEX(dataICM!F:F,match(Caseslist!B464,dataICM!D:D,0)), "INC")</f>
        <v>Trixie Marie Jardeleza Saber</v>
      </c>
      <c r="I464" s="10" t="str">
        <f t="shared" si="2"/>
        <v>J4315980</v>
      </c>
      <c r="J464" s="9" t="str">
        <f t="array" ref="J464">IF(
  AND(
    IFERROR(MATCH(B464, data!D:D, 0), 0) &gt; 0,
    IFERROR(INDEX(data!N:N, MATCH(B464, data!D:D, 0)) = 1, FALSE)
  ),
  INDEX(data!C:C, MATCH(B464, data!D:D, 0)),
  "INC"
)</f>
        <v>2025-09-19T13:57:50.070+08</v>
      </c>
      <c r="K464" s="9" t="str">
        <f t="array" ref="K464">IFERROR(INDEX(dataICM!C:C,match(Caseslist!B464,dataICM!D:D,0)), "INC")</f>
        <v>2025-09-19T14:07:33.216+08</v>
      </c>
      <c r="L464" s="10" t="str">
        <f t="array" ref="L464">IF(AND(G464="COMPLETE", OR(K464="INC", ISBLANK(INDEX(data!O:O, ROW())))), J464, K464)</f>
        <v>2025-09-19T14:07:33.216+08</v>
      </c>
      <c r="M464" s="2">
        <v>45919.0</v>
      </c>
      <c r="N464" s="2">
        <f t="array" ref="N464">IF(M464&lt;&gt;"INC", INDEX(data!M:M, MATCH(B464, data!D:D, 0)), "")</f>
        <v>3</v>
      </c>
      <c r="O464" s="2">
        <f t="shared" si="3"/>
        <v>3</v>
      </c>
    </row>
    <row r="465">
      <c r="A465" s="2" t="str">
        <f t="shared" si="1"/>
        <v>H006510</v>
      </c>
      <c r="B465" s="1" t="s">
        <v>7588</v>
      </c>
      <c r="C465" s="9" t="str">
        <f t="array" ref="C465">IF(
  AND(
    IFERROR(MATCH(Caseslist!B465, data!D:D, 0), 0) &gt; 0,
    IFERROR(INDEX(data!N:N, MATCH(Caseslist!B465, data!D:D, 0)) = 1, FALSE)
  ),
  "COMPLETE",
  "INC"
)</f>
        <v>COMPLETE</v>
      </c>
      <c r="D465" s="9" t="str">
        <f t="array" ref="D465">IFERROR(INDEX(data!$G:$G,match(Caseslist!B465,data!$D:$D,0)), "INC")</f>
        <v>M6491032</v>
      </c>
      <c r="E465" s="9" t="str">
        <f t="array" ref="E465">IFERROR(INDEX(data!H:H,match(Caseslist!B465,data!D:D,0)), "INC")</f>
        <v>Rosevil Tayo Desamparado</v>
      </c>
      <c r="F465" s="10" t="str">
        <f t="array" ref="F465">IF(
    OR(
      IFNA(INDEX(data!M:M, MATCH(Caseslist!B465, data!D:D, 0)), "") = "",
      IFNA(INDEX(data!M:M, MATCH(Caseslist!B465, data!D:D, 0)), 0) = 0
    ),
    "COMPLETE",
    IF(
      IFNA(INDEX(dataICM!D:D, MATCH(Caseslist!B465, dataICM!D:D, 0)), "INC") = "INC",
      IFNA(INDEX(dataICM!D:D, MATCH(Caseslist!B465, dataICM!D:D, 0)), "INC"),
      "COMPLETE"
    )
  )</f>
        <v>COMPLETE</v>
      </c>
      <c r="G465" s="10" t="str">
        <f t="array" ref="G465">IF(IFERROR(INDEX(data!L:L,match(Caseslist!B465,data!D:D,0)),"INC")="","COMPLETE",F465)</f>
        <v>COMPLETE</v>
      </c>
      <c r="H465" s="9" t="str">
        <f t="array" ref="H465">IFERROR(INDEX(dataICM!F:F,match(Caseslist!B465,dataICM!D:D,0)), "INC")</f>
        <v>Rosevil Tayo Desamparado</v>
      </c>
      <c r="I465" s="10" t="str">
        <f t="shared" si="2"/>
        <v>M6491032</v>
      </c>
      <c r="J465" s="9" t="str">
        <f t="array" ref="J465">IF(
  AND(
    IFERROR(MATCH(B465, data!D:D, 0), 0) &gt; 0,
    IFERROR(INDEX(data!N:N, MATCH(B465, data!D:D, 0)) = 1, FALSE)
  ),
  INDEX(data!C:C, MATCH(B465, data!D:D, 0)),
  "INC"
)</f>
        <v>2025-09-19T14:00:04.991+08</v>
      </c>
      <c r="K465" s="9" t="str">
        <f t="array" ref="K465">IFERROR(INDEX(dataICM!C:C,match(Caseslist!B465,dataICM!D:D,0)), "INC")</f>
        <v>2025-09-19T14:04:01.957+08</v>
      </c>
      <c r="L465" s="10" t="str">
        <f t="array" ref="L465">IF(AND(G465="COMPLETE", OR(K465="INC", ISBLANK(INDEX(data!O:O, ROW())))), J465, K465)</f>
        <v>2025-09-19T14:04:01.957+08</v>
      </c>
      <c r="M465" s="2">
        <v>45919.0</v>
      </c>
      <c r="N465" s="2">
        <f t="array" ref="N465">IF(M465&lt;&gt;"INC", INDEX(data!M:M, MATCH(B465, data!D:D, 0)), "")</f>
        <v>3</v>
      </c>
      <c r="O465" s="2">
        <f t="shared" si="3"/>
        <v>3</v>
      </c>
    </row>
    <row r="466">
      <c r="A466" s="2" t="str">
        <f t="shared" si="1"/>
        <v>H006510</v>
      </c>
      <c r="B466" s="1" t="s">
        <v>7623</v>
      </c>
      <c r="C466" s="9" t="str">
        <f t="array" ref="C466">IF(
  AND(
    IFERROR(MATCH(Caseslist!B466, data!D:D, 0), 0) &gt; 0,
    IFERROR(INDEX(data!N:N, MATCH(Caseslist!B466, data!D:D, 0)) = 1, FALSE)
  ),
  "COMPLETE",
  "INC"
)</f>
        <v>COMPLETE</v>
      </c>
      <c r="D466" s="9" t="str">
        <f t="array" ref="D466">IFERROR(INDEX(data!$G:$G,match(Caseslist!B466,data!$D:$D,0)), "INC")</f>
        <v>L2057896</v>
      </c>
      <c r="E466" s="9" t="str">
        <f t="array" ref="E466">IFERROR(INDEX(data!H:H,match(Caseslist!B466,data!D:D,0)), "INC")</f>
        <v>Franz Reoben Posadas Geneblaza</v>
      </c>
      <c r="F466" s="10" t="str">
        <f t="array" ref="F466">IF(
    OR(
      IFNA(INDEX(data!M:M, MATCH(Caseslist!B466, data!D:D, 0)), "") = "",
      IFNA(INDEX(data!M:M, MATCH(Caseslist!B466, data!D:D, 0)), 0) = 0
    ),
    "COMPLETE",
    IF(
      IFNA(INDEX(dataICM!D:D, MATCH(Caseslist!B466, dataICM!D:D, 0)), "INC") = "INC",
      IFNA(INDEX(dataICM!D:D, MATCH(Caseslist!B466, dataICM!D:D, 0)), "INC"),
      "COMPLETE"
    )
  )</f>
        <v>COMPLETE</v>
      </c>
      <c r="G466" s="10" t="str">
        <f t="array" ref="G466">IF(IFERROR(INDEX(data!L:L,match(Caseslist!B466,data!D:D,0)),"INC")="","COMPLETE",F466)</f>
        <v>COMPLETE</v>
      </c>
      <c r="H466" s="9" t="str">
        <f t="array" ref="H466">IFERROR(INDEX(dataICM!F:F,match(Caseslist!B466,dataICM!D:D,0)), "INC")</f>
        <v>Franz Reoben Posadas Geneblaza</v>
      </c>
      <c r="I466" s="10" t="str">
        <f t="shared" si="2"/>
        <v>L2057896</v>
      </c>
      <c r="J466" s="9" t="str">
        <f t="array" ref="J466">IF(
  AND(
    IFERROR(MATCH(B466, data!D:D, 0), 0) &gt; 0,
    IFERROR(INDEX(data!N:N, MATCH(B466, data!D:D, 0)) = 1, FALSE)
  ),
  INDEX(data!C:C, MATCH(B466, data!D:D, 0)),
  "INC"
)</f>
        <v>2025-09-19T13:38:07.289+08</v>
      </c>
      <c r="K466" s="9" t="str">
        <f t="array" ref="K466">IFERROR(INDEX(dataICM!C:C,match(Caseslist!B466,dataICM!D:D,0)), "INC")</f>
        <v>2025-09-19T13:48:39.260+08</v>
      </c>
      <c r="L466" s="10" t="str">
        <f t="array" ref="L466">IF(AND(G466="COMPLETE", OR(K466="INC", ISBLANK(INDEX(data!O:O, ROW())))), J466, K466)</f>
        <v>2025-09-19T13:48:39.260+08</v>
      </c>
      <c r="M466" s="2">
        <v>45919.0</v>
      </c>
      <c r="N466" s="2">
        <f t="array" ref="N466">IF(M466&lt;&gt;"INC", INDEX(data!M:M, MATCH(B466, data!D:D, 0)), "")</f>
        <v>3</v>
      </c>
      <c r="O466" s="2">
        <f t="shared" si="3"/>
        <v>3</v>
      </c>
    </row>
    <row r="467">
      <c r="A467" s="2" t="str">
        <f t="shared" si="1"/>
        <v>H006510</v>
      </c>
      <c r="B467" s="1" t="s">
        <v>7618</v>
      </c>
      <c r="C467" s="9" t="str">
        <f t="array" ref="C467">IF(
  AND(
    IFERROR(MATCH(Caseslist!B467, data!D:D, 0), 0) &gt; 0,
    IFERROR(INDEX(data!N:N, MATCH(Caseslist!B467, data!D:D, 0)) = 1, FALSE)
  ),
  "COMPLETE",
  "INC"
)</f>
        <v>COMPLETE</v>
      </c>
      <c r="D467" s="9" t="str">
        <f t="array" ref="D467">IFERROR(INDEX(data!$G:$G,match(Caseslist!B467,data!$D:$D,0)), "INC")</f>
        <v>K8623174</v>
      </c>
      <c r="E467" s="9" t="str">
        <f t="array" ref="E467">IFERROR(INDEX(data!H:H,match(Caseslist!B467,data!D:D,0)), "INC")</f>
        <v>Marielle Kaye Ignacio Alonzo</v>
      </c>
      <c r="F467" s="10" t="str">
        <f t="array" ref="F467">IF(
    OR(
      IFNA(INDEX(data!M:M, MATCH(Caseslist!B467, data!D:D, 0)), "") = "",
      IFNA(INDEX(data!M:M, MATCH(Caseslist!B467, data!D:D, 0)), 0) = 0
    ),
    "COMPLETE",
    IF(
      IFNA(INDEX(dataICM!D:D, MATCH(Caseslist!B467, dataICM!D:D, 0)), "INC") = "INC",
      IFNA(INDEX(dataICM!D:D, MATCH(Caseslist!B467, dataICM!D:D, 0)), "INC"),
      "COMPLETE"
    )
  )</f>
        <v>COMPLETE</v>
      </c>
      <c r="G467" s="10" t="str">
        <f t="array" ref="G467">IF(IFERROR(INDEX(data!L:L,match(Caseslist!B467,data!D:D,0)),"INC")="","COMPLETE",F467)</f>
        <v>COMPLETE</v>
      </c>
      <c r="H467" s="9" t="str">
        <f t="array" ref="H467">IFERROR(INDEX(dataICM!F:F,match(Caseslist!B467,dataICM!D:D,0)), "INC")</f>
        <v>Marielle Kaye Ignacio Alonzo</v>
      </c>
      <c r="I467" s="10" t="str">
        <f t="shared" si="2"/>
        <v>K8623174</v>
      </c>
      <c r="J467" s="9" t="str">
        <f t="array" ref="J467">IF(
  AND(
    IFERROR(MATCH(B467, data!D:D, 0), 0) &gt; 0,
    IFERROR(INDEX(data!N:N, MATCH(B467, data!D:D, 0)) = 1, FALSE)
  ),
  INDEX(data!C:C, MATCH(B467, data!D:D, 0)),
  "INC"
)</f>
        <v>2025-09-19T13:53:17.926+08</v>
      </c>
      <c r="K467" s="9" t="str">
        <f t="array" ref="K467">IFERROR(INDEX(dataICM!C:C,match(Caseslist!B467,dataICM!D:D,0)), "INC")</f>
        <v>2025-09-19T14:04:40.292+08</v>
      </c>
      <c r="L467" s="10" t="str">
        <f t="array" ref="L467">IF(AND(G467="COMPLETE", OR(K467="INC", ISBLANK(INDEX(data!O:O, ROW())))), J467, K467)</f>
        <v>2025-09-19T14:04:40.292+08</v>
      </c>
      <c r="M467" s="2">
        <v>45919.0</v>
      </c>
      <c r="N467" s="2">
        <f t="array" ref="N467">IF(M467&lt;&gt;"INC", INDEX(data!M:M, MATCH(B467, data!D:D, 0)), "")</f>
        <v>3</v>
      </c>
      <c r="O467" s="2">
        <f t="shared" si="3"/>
        <v>3</v>
      </c>
    </row>
    <row r="468">
      <c r="A468" s="2" t="str">
        <f t="shared" si="1"/>
        <v>H006510</v>
      </c>
      <c r="B468" s="1" t="s">
        <v>7628</v>
      </c>
      <c r="C468" s="9" t="str">
        <f t="array" ref="C468">IF(
  AND(
    IFERROR(MATCH(Caseslist!B468, data!D:D, 0), 0) &gt; 0,
    IFERROR(INDEX(data!N:N, MATCH(Caseslist!B468, data!D:D, 0)) = 1, FALSE)
  ),
  "COMPLETE",
  "INC"
)</f>
        <v>COMPLETE</v>
      </c>
      <c r="D468" s="9" t="str">
        <f t="array" ref="D468">IFERROR(INDEX(data!$G:$G,match(Caseslist!B468,data!$D:$D,0)), "INC")</f>
        <v>L2057896</v>
      </c>
      <c r="E468" s="9" t="str">
        <f t="array" ref="E468">IFERROR(INDEX(data!H:H,match(Caseslist!B468,data!D:D,0)), "INC")</f>
        <v>Franz Reoben Posadas Geneblaza</v>
      </c>
      <c r="F468" s="10" t="str">
        <f t="array" ref="F468">IF(
    OR(
      IFNA(INDEX(data!M:M, MATCH(Caseslist!B468, data!D:D, 0)), "") = "",
      IFNA(INDEX(data!M:M, MATCH(Caseslist!B468, data!D:D, 0)), 0) = 0
    ),
    "COMPLETE",
    IF(
      IFNA(INDEX(dataICM!D:D, MATCH(Caseslist!B468, dataICM!D:D, 0)), "INC") = "INC",
      IFNA(INDEX(dataICM!D:D, MATCH(Caseslist!B468, dataICM!D:D, 0)), "INC"),
      "COMPLETE"
    )
  )</f>
        <v>COMPLETE</v>
      </c>
      <c r="G468" s="10" t="str">
        <f t="array" ref="G468">IF(IFERROR(INDEX(data!L:L,match(Caseslist!B468,data!D:D,0)),"INC")="","COMPLETE",F468)</f>
        <v>COMPLETE</v>
      </c>
      <c r="H468" s="9" t="str">
        <f t="array" ref="H468">IFERROR(INDEX(dataICM!F:F,match(Caseslist!B468,dataICM!D:D,0)), "INC")</f>
        <v>Franz Reoben Posadas Geneblaza</v>
      </c>
      <c r="I468" s="10" t="str">
        <f t="shared" si="2"/>
        <v>L2057896</v>
      </c>
      <c r="J468" s="9" t="str">
        <f t="array" ref="J468">IF(
  AND(
    IFERROR(MATCH(B468, data!D:D, 0), 0) &gt; 0,
    IFERROR(INDEX(data!N:N, MATCH(B468, data!D:D, 0)) = 1, FALSE)
  ),
  INDEX(data!C:C, MATCH(B468, data!D:D, 0)),
  "INC"
)</f>
        <v>2025-09-19T14:42:24.018+08</v>
      </c>
      <c r="K468" s="9" t="str">
        <f t="array" ref="K468">IFERROR(INDEX(dataICM!C:C,match(Caseslist!B468,dataICM!D:D,0)), "INC")</f>
        <v>2025-09-19T15:02:58.125+08</v>
      </c>
      <c r="L468" s="10" t="str">
        <f t="array" ref="L468">IF(AND(G468="COMPLETE", OR(K468="INC", ISBLANK(INDEX(data!O:O, ROW())))), J468, K468)</f>
        <v>2025-09-19T15:02:58.125+08</v>
      </c>
      <c r="M468" s="2">
        <v>45919.0</v>
      </c>
      <c r="N468" s="2">
        <f t="array" ref="N468">IF(M468&lt;&gt;"INC", INDEX(data!M:M, MATCH(B468, data!D:D, 0)), "")</f>
        <v>3</v>
      </c>
      <c r="O468" s="2">
        <f t="shared" si="3"/>
        <v>3</v>
      </c>
    </row>
    <row r="469">
      <c r="A469" s="2" t="str">
        <f t="shared" si="1"/>
        <v>H006510</v>
      </c>
      <c r="B469" s="1" t="s">
        <v>7593</v>
      </c>
      <c r="C469" s="9" t="str">
        <f t="array" ref="C469">IF(
  AND(
    IFERROR(MATCH(Caseslist!B469, data!D:D, 0), 0) &gt; 0,
    IFERROR(INDEX(data!N:N, MATCH(Caseslist!B469, data!D:D, 0)) = 1, FALSE)
  ),
  "COMPLETE",
  "INC"
)</f>
        <v>COMPLETE</v>
      </c>
      <c r="D469" s="9" t="str">
        <f t="array" ref="D469">IFERROR(INDEX(data!$G:$G,match(Caseslist!B469,data!$D:$D,0)), "INC")</f>
        <v>M6491032</v>
      </c>
      <c r="E469" s="9" t="str">
        <f t="array" ref="E469">IFERROR(INDEX(data!H:H,match(Caseslist!B469,data!D:D,0)), "INC")</f>
        <v>Rosevil Tayo Desamparado</v>
      </c>
      <c r="F469" s="10" t="str">
        <f t="array" ref="F469">IF(
    OR(
      IFNA(INDEX(data!M:M, MATCH(Caseslist!B469, data!D:D, 0)), "") = "",
      IFNA(INDEX(data!M:M, MATCH(Caseslist!B469, data!D:D, 0)), 0) = 0
    ),
    "COMPLETE",
    IF(
      IFNA(INDEX(dataICM!D:D, MATCH(Caseslist!B469, dataICM!D:D, 0)), "INC") = "INC",
      IFNA(INDEX(dataICM!D:D, MATCH(Caseslist!B469, dataICM!D:D, 0)), "INC"),
      "COMPLETE"
    )
  )</f>
        <v>COMPLETE</v>
      </c>
      <c r="G469" s="10" t="str">
        <f t="array" ref="G469">IF(IFERROR(INDEX(data!L:L,match(Caseslist!B469,data!D:D,0)),"INC")="","COMPLETE",F469)</f>
        <v>COMPLETE</v>
      </c>
      <c r="H469" s="9" t="str">
        <f t="array" ref="H469">IFERROR(INDEX(dataICM!F:F,match(Caseslist!B469,dataICM!D:D,0)), "INC")</f>
        <v>Rosevil Tayo Desamparado</v>
      </c>
      <c r="I469" s="10" t="str">
        <f t="shared" si="2"/>
        <v>M6491032</v>
      </c>
      <c r="J469" s="9" t="str">
        <f t="array" ref="J469">IF(
  AND(
    IFERROR(MATCH(B469, data!D:D, 0), 0) &gt; 0,
    IFERROR(INDEX(data!N:N, MATCH(B469, data!D:D, 0)) = 1, FALSE)
  ),
  INDEX(data!C:C, MATCH(B469, data!D:D, 0)),
  "INC"
)</f>
        <v>2025-09-19T15:16:25.129+08</v>
      </c>
      <c r="K469" s="9" t="str">
        <f t="array" ref="K469">IFERROR(INDEX(dataICM!C:C,match(Caseslist!B469,dataICM!D:D,0)), "INC")</f>
        <v>2025-09-19T19:26:11.655+08</v>
      </c>
      <c r="L469" s="10" t="str">
        <f t="array" ref="L469">IF(AND(G469="COMPLETE", OR(K469="INC", ISBLANK(INDEX(data!O:O, ROW())))), J469, K469)</f>
        <v>2025-09-19T19:26:11.655+08</v>
      </c>
      <c r="M469" s="2">
        <v>45919.0</v>
      </c>
      <c r="N469" s="2">
        <f t="array" ref="N469">IF(M469&lt;&gt;"INC", INDEX(data!M:M, MATCH(B469, data!D:D, 0)), "")</f>
        <v>3</v>
      </c>
      <c r="O469" s="2">
        <f t="shared" si="3"/>
        <v>3</v>
      </c>
    </row>
    <row r="470">
      <c r="A470" s="2" t="str">
        <f t="shared" si="1"/>
        <v>H006510</v>
      </c>
      <c r="B470" s="1" t="s">
        <v>7613</v>
      </c>
      <c r="C470" s="9" t="str">
        <f t="array" ref="C470">IF(
  AND(
    IFERROR(MATCH(Caseslist!B470, data!D:D, 0), 0) &gt; 0,
    IFERROR(INDEX(data!N:N, MATCH(Caseslist!B470, data!D:D, 0)) = 1, FALSE)
  ),
  "COMPLETE",
  "INC"
)</f>
        <v>COMPLETE</v>
      </c>
      <c r="D470" s="9" t="str">
        <f t="array" ref="D470">IFERROR(INDEX(data!$G:$G,match(Caseslist!B470,data!$D:$D,0)), "INC")</f>
        <v>K8623174</v>
      </c>
      <c r="E470" s="9" t="str">
        <f t="array" ref="E470">IFERROR(INDEX(data!H:H,match(Caseslist!B470,data!D:D,0)), "INC")</f>
        <v>Marielle Kaye Ignacio Alonzo</v>
      </c>
      <c r="F470" s="10" t="str">
        <f t="array" ref="F470">IF(
    OR(
      IFNA(INDEX(data!M:M, MATCH(Caseslist!B470, data!D:D, 0)), "") = "",
      IFNA(INDEX(data!M:M, MATCH(Caseslist!B470, data!D:D, 0)), 0) = 0
    ),
    "COMPLETE",
    IF(
      IFNA(INDEX(dataICM!D:D, MATCH(Caseslist!B470, dataICM!D:D, 0)), "INC") = "INC",
      IFNA(INDEX(dataICM!D:D, MATCH(Caseslist!B470, dataICM!D:D, 0)), "INC"),
      "COMPLETE"
    )
  )</f>
        <v>COMPLETE</v>
      </c>
      <c r="G470" s="10" t="str">
        <f t="array" ref="G470">IF(IFERROR(INDEX(data!L:L,match(Caseslist!B470,data!D:D,0)),"INC")="","COMPLETE",F470)</f>
        <v>COMPLETE</v>
      </c>
      <c r="H470" s="9" t="str">
        <f t="array" ref="H470">IFERROR(INDEX(dataICM!F:F,match(Caseslist!B470,dataICM!D:D,0)), "INC")</f>
        <v>Marielle Kaye Ignacio Alonzo</v>
      </c>
      <c r="I470" s="10" t="str">
        <f t="shared" si="2"/>
        <v>K8623174</v>
      </c>
      <c r="J470" s="9" t="str">
        <f t="array" ref="J470">IF(
  AND(
    IFERROR(MATCH(B470, data!D:D, 0), 0) &gt; 0,
    IFERROR(INDEX(data!N:N, MATCH(B470, data!D:D, 0)) = 1, FALSE)
  ),
  INDEX(data!C:C, MATCH(B470, data!D:D, 0)),
  "INC"
)</f>
        <v>2025-09-19T15:10:35.166+08</v>
      </c>
      <c r="K470" s="9" t="str">
        <f t="array" ref="K470">IFERROR(INDEX(dataICM!C:C,match(Caseslist!B470,dataICM!D:D,0)), "INC")</f>
        <v>2025-09-19T15:19:22.748+08</v>
      </c>
      <c r="L470" s="10" t="str">
        <f t="array" ref="L470">IF(AND(G470="COMPLETE", OR(K470="INC", ISBLANK(INDEX(data!O:O, ROW())))), J470, K470)</f>
        <v>2025-09-19T15:19:22.748+08</v>
      </c>
      <c r="M470" s="2">
        <v>45919.0</v>
      </c>
      <c r="N470" s="2">
        <f t="array" ref="N470">IF(M470&lt;&gt;"INC", INDEX(data!M:M, MATCH(B470, data!D:D, 0)), "")</f>
        <v>3</v>
      </c>
      <c r="O470" s="2">
        <f t="shared" si="3"/>
        <v>3</v>
      </c>
    </row>
    <row r="471">
      <c r="A471" s="2" t="str">
        <f t="shared" si="1"/>
        <v>H006510</v>
      </c>
      <c r="B471" s="1" t="s">
        <v>7673</v>
      </c>
      <c r="C471" s="9" t="str">
        <f t="array" ref="C471">IF(
  AND(
    IFERROR(MATCH(Caseslist!B471, data!D:D, 0), 0) &gt; 0,
    IFERROR(INDEX(data!N:N, MATCH(Caseslist!B471, data!D:D, 0)) = 1, FALSE)
  ),
  "COMPLETE",
  "INC"
)</f>
        <v>COMPLETE</v>
      </c>
      <c r="D471" s="9" t="str">
        <f t="array" ref="D471">IFERROR(INDEX(data!$G:$G,match(Caseslist!B471,data!$D:$D,0)), "INC")</f>
        <v>K8623174</v>
      </c>
      <c r="E471" s="9" t="str">
        <f t="array" ref="E471">IFERROR(INDEX(data!H:H,match(Caseslist!B471,data!D:D,0)), "INC")</f>
        <v>Marielle Kaye Ignacio Alonzo</v>
      </c>
      <c r="F471" s="10" t="str">
        <f t="array" ref="F471">IF(
    OR(
      IFNA(INDEX(data!M:M, MATCH(Caseslist!B471, data!D:D, 0)), "") = "",
      IFNA(INDEX(data!M:M, MATCH(Caseslist!B471, data!D:D, 0)), 0) = 0
    ),
    "COMPLETE",
    IF(
      IFNA(INDEX(dataICM!D:D, MATCH(Caseslist!B471, dataICM!D:D, 0)), "INC") = "INC",
      IFNA(INDEX(dataICM!D:D, MATCH(Caseslist!B471, dataICM!D:D, 0)), "INC"),
      "COMPLETE"
    )
  )</f>
        <v>COMPLETE</v>
      </c>
      <c r="G471" s="10" t="str">
        <f t="array" ref="G471">IF(IFERROR(INDEX(data!L:L,match(Caseslist!B471,data!D:D,0)),"INC")="","COMPLETE",F471)</f>
        <v>COMPLETE</v>
      </c>
      <c r="H471" s="9" t="str">
        <f t="array" ref="H471">IFERROR(INDEX(dataICM!F:F,match(Caseslist!B471,dataICM!D:D,0)), "INC")</f>
        <v>Marielle Kaye Ignacio Alonzo</v>
      </c>
      <c r="I471" s="10" t="str">
        <f t="shared" si="2"/>
        <v>K8623174</v>
      </c>
      <c r="J471" s="9" t="str">
        <f t="array" ref="J471">IF(
  AND(
    IFERROR(MATCH(B471, data!D:D, 0), 0) &gt; 0,
    IFERROR(INDEX(data!N:N, MATCH(B471, data!D:D, 0)) = 1, FALSE)
  ),
  INDEX(data!C:C, MATCH(B471, data!D:D, 0)),
  "INC"
)</f>
        <v>2025-09-20T11:53:11.485+08</v>
      </c>
      <c r="K471" s="9" t="str">
        <f t="array" ref="K471">IFERROR(INDEX(dataICM!C:C,match(Caseslist!B471,dataICM!D:D,0)), "INC")</f>
        <v>2025-09-20T12:13:30.542+08</v>
      </c>
      <c r="L471" s="10" t="str">
        <f t="array" ref="L471">IF(AND(G471="COMPLETE", OR(K471="INC", ISBLANK(INDEX(data!O:O, ROW())))), J471, K471)</f>
        <v>2025-09-20T12:13:30.542+08</v>
      </c>
      <c r="M471" s="2">
        <v>45920.0</v>
      </c>
      <c r="N471" s="2">
        <f t="array" ref="N471">IF(M471&lt;&gt;"INC", INDEX(data!M:M, MATCH(B471, data!D:D, 0)), "")</f>
        <v>3</v>
      </c>
      <c r="O471" s="2">
        <f t="shared" si="3"/>
        <v>3</v>
      </c>
    </row>
    <row r="472">
      <c r="A472" s="2" t="str">
        <f t="shared" si="1"/>
        <v>H006510</v>
      </c>
      <c r="B472" s="1" t="s">
        <v>7823</v>
      </c>
      <c r="C472" s="9" t="str">
        <f t="array" ref="C472">IF(
  AND(
    IFERROR(MATCH(Caseslist!B472, data!D:D, 0), 0) &gt; 0,
    IFERROR(INDEX(data!N:N, MATCH(Caseslist!B472, data!D:D, 0)) = 1, FALSE)
  ),
  "COMPLETE",
  "INC"
)</f>
        <v>COMPLETE</v>
      </c>
      <c r="D472" s="9" t="str">
        <f t="array" ref="D472">IFERROR(INDEX(data!$G:$G,match(Caseslist!B472,data!$D:$D,0)), "INC")</f>
        <v>M6491032</v>
      </c>
      <c r="E472" s="9" t="str">
        <f t="array" ref="E472">IFERROR(INDEX(data!H:H,match(Caseslist!B472,data!D:D,0)), "INC")</f>
        <v>Rosevil Tayo Desamparado</v>
      </c>
      <c r="F472" s="10" t="str">
        <f t="array" ref="F472">IF(
    OR(
      IFNA(INDEX(data!M:M, MATCH(Caseslist!B472, data!D:D, 0)), "") = "",
      IFNA(INDEX(data!M:M, MATCH(Caseslist!B472, data!D:D, 0)), 0) = 0
    ),
    "COMPLETE",
    IF(
      IFNA(INDEX(dataICM!D:D, MATCH(Caseslist!B472, dataICM!D:D, 0)), "INC") = "INC",
      IFNA(INDEX(dataICM!D:D, MATCH(Caseslist!B472, dataICM!D:D, 0)), "INC"),
      "COMPLETE"
    )
  )</f>
        <v>COMPLETE</v>
      </c>
      <c r="G472" s="10" t="str">
        <f t="array" ref="G472">IF(IFERROR(INDEX(data!L:L,match(Caseslist!B472,data!D:D,0)),"INC")="","COMPLETE",F472)</f>
        <v>COMPLETE</v>
      </c>
      <c r="H472" s="9" t="str">
        <f t="array" ref="H472">IFERROR(INDEX(dataICM!F:F,match(Caseslist!B472,dataICM!D:D,0)), "INC")</f>
        <v>Rosevil Tayo Desamparado</v>
      </c>
      <c r="I472" s="10" t="str">
        <f t="shared" si="2"/>
        <v>M6491032</v>
      </c>
      <c r="J472" s="9" t="str">
        <f t="array" ref="J472">IF(
  AND(
    IFERROR(MATCH(B472, data!D:D, 0), 0) &gt; 0,
    IFERROR(INDEX(data!N:N, MATCH(B472, data!D:D, 0)) = 1, FALSE)
  ),
  INDEX(data!C:C, MATCH(B472, data!D:D, 0)),
  "INC"
)</f>
        <v>2025-09-21T17:27:49.314+08</v>
      </c>
      <c r="K472" s="9" t="str">
        <f t="array" ref="K472">IFERROR(INDEX(dataICM!C:C,match(Caseslist!B472,dataICM!D:D,0)), "INC")</f>
        <v>2025-09-21T19:00:22.865+08</v>
      </c>
      <c r="L472" s="10" t="str">
        <f t="array" ref="L472">IF(AND(G472="COMPLETE", OR(K472="INC", ISBLANK(INDEX(data!O:O, ROW())))), J472, K472)</f>
        <v>2025-09-21T19:00:22.865+08</v>
      </c>
      <c r="M472" s="2">
        <v>45921.0</v>
      </c>
      <c r="N472" s="2">
        <f t="array" ref="N472">IF(M472&lt;&gt;"INC", INDEX(data!M:M, MATCH(B472, data!D:D, 0)), "")</f>
        <v>3</v>
      </c>
      <c r="O472" s="2">
        <f t="shared" si="3"/>
        <v>3</v>
      </c>
    </row>
    <row r="473">
      <c r="A473" s="2" t="str">
        <f t="shared" si="1"/>
        <v>H006510</v>
      </c>
      <c r="B473" s="1" t="s">
        <v>7683</v>
      </c>
      <c r="C473" s="9" t="str">
        <f t="array" ref="C473">IF(
  AND(
    IFERROR(MATCH(Caseslist!B473, data!D:D, 0), 0) &gt; 0,
    IFERROR(INDEX(data!N:N, MATCH(Caseslist!B473, data!D:D, 0)) = 1, FALSE)
  ),
  "COMPLETE",
  "INC"
)</f>
        <v>COMPLETE</v>
      </c>
      <c r="D473" s="9" t="str">
        <f t="array" ref="D473">IFERROR(INDEX(data!$G:$G,match(Caseslist!B473,data!$D:$D,0)), "INC")</f>
        <v>K8623174</v>
      </c>
      <c r="E473" s="9" t="str">
        <f t="array" ref="E473">IFERROR(INDEX(data!H:H,match(Caseslist!B473,data!D:D,0)), "INC")</f>
        <v>Marielle Kaye Ignacio Alonzo</v>
      </c>
      <c r="F473" s="10" t="str">
        <f t="array" ref="F473">IF(
    OR(
      IFNA(INDEX(data!M:M, MATCH(Caseslist!B473, data!D:D, 0)), "") = "",
      IFNA(INDEX(data!M:M, MATCH(Caseslist!B473, data!D:D, 0)), 0) = 0
    ),
    "COMPLETE",
    IF(
      IFNA(INDEX(dataICM!D:D, MATCH(Caseslist!B473, dataICM!D:D, 0)), "INC") = "INC",
      IFNA(INDEX(dataICM!D:D, MATCH(Caseslist!B473, dataICM!D:D, 0)), "INC"),
      "COMPLETE"
    )
  )</f>
        <v>COMPLETE</v>
      </c>
      <c r="G473" s="10" t="str">
        <f t="array" ref="G473">IF(IFERROR(INDEX(data!L:L,match(Caseslist!B473,data!D:D,0)),"INC")="","COMPLETE",F473)</f>
        <v>COMPLETE</v>
      </c>
      <c r="H473" s="9" t="str">
        <f t="array" ref="H473">IFERROR(INDEX(dataICM!F:F,match(Caseslist!B473,dataICM!D:D,0)), "INC")</f>
        <v>Marielle Kaye Ignacio Alonzo</v>
      </c>
      <c r="I473" s="10" t="str">
        <f t="shared" si="2"/>
        <v>K8623174</v>
      </c>
      <c r="J473" s="9" t="str">
        <f t="array" ref="J473">IF(
  AND(
    IFERROR(MATCH(B473, data!D:D, 0), 0) &gt; 0,
    IFERROR(INDEX(data!N:N, MATCH(B473, data!D:D, 0)) = 1, FALSE)
  ),
  INDEX(data!C:C, MATCH(B473, data!D:D, 0)),
  "INC"
)</f>
        <v>2025-09-20T09:52:09.537+08</v>
      </c>
      <c r="K473" s="9" t="str">
        <f t="array" ref="K473">IFERROR(INDEX(dataICM!C:C,match(Caseslist!B473,dataICM!D:D,0)), "INC")</f>
        <v>2025-09-20T10:14:44.401+08</v>
      </c>
      <c r="L473" s="10" t="str">
        <f t="array" ref="L473">IF(AND(G473="COMPLETE", OR(K473="INC", ISBLANK(INDEX(data!O:O, ROW())))), J473, K473)</f>
        <v>2025-09-20T10:14:44.401+08</v>
      </c>
      <c r="M473" s="2">
        <v>45920.0</v>
      </c>
      <c r="N473" s="2">
        <f t="array" ref="N473">IF(M473&lt;&gt;"INC", INDEX(data!M:M, MATCH(B473, data!D:D, 0)), "")</f>
        <v>3</v>
      </c>
      <c r="O473" s="2">
        <f t="shared" si="3"/>
        <v>3</v>
      </c>
    </row>
    <row r="474">
      <c r="A474" s="2" t="str">
        <f t="shared" si="1"/>
        <v>H006510</v>
      </c>
      <c r="B474" s="1" t="s">
        <v>7638</v>
      </c>
      <c r="C474" s="9" t="str">
        <f t="array" ref="C474">IF(
  AND(
    IFERROR(MATCH(Caseslist!B474, data!D:D, 0), 0) &gt; 0,
    IFERROR(INDEX(data!N:N, MATCH(Caseslist!B474, data!D:D, 0)) = 1, FALSE)
  ),
  "COMPLETE",
  "INC"
)</f>
        <v>COMPLETE</v>
      </c>
      <c r="D474" s="9" t="str">
        <f t="array" ref="D474">IFERROR(INDEX(data!$G:$G,match(Caseslist!B474,data!$D:$D,0)), "INC")</f>
        <v>L2057896</v>
      </c>
      <c r="E474" s="9" t="str">
        <f t="array" ref="E474">IFERROR(INDEX(data!H:H,match(Caseslist!B474,data!D:D,0)), "INC")</f>
        <v>Franz Reoben Posadas Geneblaza</v>
      </c>
      <c r="F474" s="10" t="str">
        <f t="array" ref="F474">IF(
    OR(
      IFNA(INDEX(data!M:M, MATCH(Caseslist!B474, data!D:D, 0)), "") = "",
      IFNA(INDEX(data!M:M, MATCH(Caseslist!B474, data!D:D, 0)), 0) = 0
    ),
    "COMPLETE",
    IF(
      IFNA(INDEX(dataICM!D:D, MATCH(Caseslist!B474, dataICM!D:D, 0)), "INC") = "INC",
      IFNA(INDEX(dataICM!D:D, MATCH(Caseslist!B474, dataICM!D:D, 0)), "INC"),
      "COMPLETE"
    )
  )</f>
        <v>COMPLETE</v>
      </c>
      <c r="G474" s="10" t="str">
        <f t="array" ref="G474">IF(IFERROR(INDEX(data!L:L,match(Caseslist!B474,data!D:D,0)),"INC")="","COMPLETE",F474)</f>
        <v>COMPLETE</v>
      </c>
      <c r="H474" s="9" t="str">
        <f t="array" ref="H474">IFERROR(INDEX(dataICM!F:F,match(Caseslist!B474,dataICM!D:D,0)), "INC")</f>
        <v>Franz Reoben Posadas Geneblaza</v>
      </c>
      <c r="I474" s="10" t="str">
        <f t="shared" si="2"/>
        <v>L2057896</v>
      </c>
      <c r="J474" s="9" t="str">
        <f t="array" ref="J474">IF(
  AND(
    IFERROR(MATCH(B474, data!D:D, 0), 0) &gt; 0,
    IFERROR(INDEX(data!N:N, MATCH(B474, data!D:D, 0)) = 1, FALSE)
  ),
  INDEX(data!C:C, MATCH(B474, data!D:D, 0)),
  "INC"
)</f>
        <v>2025-09-20T09:32:57.429+08</v>
      </c>
      <c r="K474" s="9" t="str">
        <f t="array" ref="K474">IFERROR(INDEX(dataICM!C:C,match(Caseslist!B474,dataICM!D:D,0)), "INC")</f>
        <v>2025-09-20T09:57:15.462+08</v>
      </c>
      <c r="L474" s="10" t="str">
        <f t="array" ref="L474">IF(AND(G474="COMPLETE", OR(K474="INC", ISBLANK(INDEX(data!O:O, ROW())))), J474, K474)</f>
        <v>2025-09-20T09:57:15.462+08</v>
      </c>
      <c r="M474" s="2">
        <v>45920.0</v>
      </c>
      <c r="N474" s="2">
        <f t="array" ref="N474">IF(M474&lt;&gt;"INC", INDEX(data!M:M, MATCH(B474, data!D:D, 0)), "")</f>
        <v>3</v>
      </c>
      <c r="O474" s="2">
        <f t="shared" si="3"/>
        <v>3</v>
      </c>
    </row>
    <row r="475">
      <c r="A475" s="2" t="str">
        <f t="shared" si="1"/>
        <v>H006510</v>
      </c>
      <c r="B475" s="1" t="s">
        <v>7633</v>
      </c>
      <c r="C475" s="9" t="str">
        <f t="array" ref="C475">IF(
  AND(
    IFERROR(MATCH(Caseslist!B475, data!D:D, 0), 0) &gt; 0,
    IFERROR(INDEX(data!N:N, MATCH(Caseslist!B475, data!D:D, 0)) = 1, FALSE)
  ),
  "COMPLETE",
  "INC"
)</f>
        <v>COMPLETE</v>
      </c>
      <c r="D475" s="9" t="str">
        <f t="array" ref="D475">IFERROR(INDEX(data!$G:$G,match(Caseslist!B475,data!$D:$D,0)), "INC")</f>
        <v>L2057896</v>
      </c>
      <c r="E475" s="9" t="str">
        <f t="array" ref="E475">IFERROR(INDEX(data!H:H,match(Caseslist!B475,data!D:D,0)), "INC")</f>
        <v>Franz Reoben Posadas Geneblaza</v>
      </c>
      <c r="F475" s="10" t="str">
        <f t="array" ref="F475">IF(
    OR(
      IFNA(INDEX(data!M:M, MATCH(Caseslist!B475, data!D:D, 0)), "") = "",
      IFNA(INDEX(data!M:M, MATCH(Caseslist!B475, data!D:D, 0)), 0) = 0
    ),
    "COMPLETE",
    IF(
      IFNA(INDEX(dataICM!D:D, MATCH(Caseslist!B475, dataICM!D:D, 0)), "INC") = "INC",
      IFNA(INDEX(dataICM!D:D, MATCH(Caseslist!B475, dataICM!D:D, 0)), "INC"),
      "COMPLETE"
    )
  )</f>
        <v>COMPLETE</v>
      </c>
      <c r="G475" s="10" t="str">
        <f t="array" ref="G475">IF(IFERROR(INDEX(data!L:L,match(Caseslist!B475,data!D:D,0)),"INC")="","COMPLETE",F475)</f>
        <v>COMPLETE</v>
      </c>
      <c r="H475" s="9" t="str">
        <f t="array" ref="H475">IFERROR(INDEX(dataICM!F:F,match(Caseslist!B475,dataICM!D:D,0)), "INC")</f>
        <v>Franz Reoben Posadas Geneblaza</v>
      </c>
      <c r="I475" s="10" t="str">
        <f t="shared" si="2"/>
        <v>L2057896</v>
      </c>
      <c r="J475" s="9" t="str">
        <f t="array" ref="J475">IF(
  AND(
    IFERROR(MATCH(B475, data!D:D, 0), 0) &gt; 0,
    IFERROR(INDEX(data!N:N, MATCH(B475, data!D:D, 0)) = 1, FALSE)
  ),
  INDEX(data!C:C, MATCH(B475, data!D:D, 0)),
  "INC"
)</f>
        <v>2025-09-20T08:14:03.927+08</v>
      </c>
      <c r="K475" s="9" t="str">
        <f t="array" ref="K475">IFERROR(INDEX(dataICM!C:C,match(Caseslist!B475,dataICM!D:D,0)), "INC")</f>
        <v>2025-09-20T08:30:27.465+08</v>
      </c>
      <c r="L475" s="10" t="str">
        <f t="array" ref="L475">IF(AND(G475="COMPLETE", OR(K475="INC", ISBLANK(INDEX(data!O:O, ROW())))), J475, K475)</f>
        <v>2025-09-20T08:30:27.465+08</v>
      </c>
      <c r="M475" s="2">
        <v>45920.0</v>
      </c>
      <c r="N475" s="2">
        <f t="array" ref="N475">IF(M475&lt;&gt;"INC", INDEX(data!M:M, MATCH(B475, data!D:D, 0)), "")</f>
        <v>3</v>
      </c>
      <c r="O475" s="2">
        <f t="shared" si="3"/>
        <v>3</v>
      </c>
    </row>
    <row r="476">
      <c r="A476" s="2" t="str">
        <f t="shared" si="1"/>
        <v>H006510</v>
      </c>
      <c r="B476" s="1" t="s">
        <v>7578</v>
      </c>
      <c r="C476" s="9" t="str">
        <f t="array" ref="C476">IF(
  AND(
    IFERROR(MATCH(Caseslist!B476, data!D:D, 0), 0) &gt; 0,
    IFERROR(INDEX(data!N:N, MATCH(Caseslist!B476, data!D:D, 0)) = 1, FALSE)
  ),
  "COMPLETE",
  "INC"
)</f>
        <v>COMPLETE</v>
      </c>
      <c r="D476" s="9" t="str">
        <f t="array" ref="D476">IFERROR(INDEX(data!$G:$G,match(Caseslist!B476,data!$D:$D,0)), "INC")</f>
        <v>J4315980</v>
      </c>
      <c r="E476" s="9" t="str">
        <f t="array" ref="E476">IFERROR(INDEX(data!H:H,match(Caseslist!B476,data!D:D,0)), "INC")</f>
        <v>Trixie Marie Jardeleza Saber</v>
      </c>
      <c r="F476" s="10" t="str">
        <f t="array" ref="F476">IF(
    OR(
      IFNA(INDEX(data!M:M, MATCH(Caseslist!B476, data!D:D, 0)), "") = "",
      IFNA(INDEX(data!M:M, MATCH(Caseslist!B476, data!D:D, 0)), 0) = 0
    ),
    "COMPLETE",
    IF(
      IFNA(INDEX(dataICM!D:D, MATCH(Caseslist!B476, dataICM!D:D, 0)), "INC") = "INC",
      IFNA(INDEX(dataICM!D:D, MATCH(Caseslist!B476, dataICM!D:D, 0)), "INC"),
      "COMPLETE"
    )
  )</f>
        <v>COMPLETE</v>
      </c>
      <c r="G476" s="10" t="str">
        <f t="array" ref="G476">IF(IFERROR(INDEX(data!L:L,match(Caseslist!B476,data!D:D,0)),"INC")="","COMPLETE",F476)</f>
        <v>COMPLETE</v>
      </c>
      <c r="H476" s="9" t="str">
        <f t="array" ref="H476">IFERROR(INDEX(dataICM!F:F,match(Caseslist!B476,dataICM!D:D,0)), "INC")</f>
        <v>Trixie Marie Jardeleza Saber</v>
      </c>
      <c r="I476" s="10" t="str">
        <f t="shared" si="2"/>
        <v>J4315980</v>
      </c>
      <c r="J476" s="9" t="str">
        <f t="array" ref="J476">IF(
  AND(
    IFERROR(MATCH(B476, data!D:D, 0), 0) &gt; 0,
    IFERROR(INDEX(data!N:N, MATCH(B476, data!D:D, 0)) = 1, FALSE)
  ),
  INDEX(data!C:C, MATCH(B476, data!D:D, 0)),
  "INC"
)</f>
        <v>2025-09-19T15:24:03.751+08</v>
      </c>
      <c r="K476" s="9" t="str">
        <f t="array" ref="K476">IFERROR(INDEX(dataICM!C:C,match(Caseslist!B476,dataICM!D:D,0)), "INC")</f>
        <v>2025-09-19T15:31:16.696+08</v>
      </c>
      <c r="L476" s="10" t="str">
        <f t="array" ref="L476">IF(AND(G476="COMPLETE", OR(K476="INC", ISBLANK(INDEX(data!O:O, ROW())))), J476, K476)</f>
        <v>2025-09-19T15:31:16.696+08</v>
      </c>
      <c r="M476" s="2">
        <v>45919.0</v>
      </c>
      <c r="N476" s="2">
        <f t="array" ref="N476">IF(M476&lt;&gt;"INC", INDEX(data!M:M, MATCH(B476, data!D:D, 0)), "")</f>
        <v>3</v>
      </c>
      <c r="O476" s="2">
        <f t="shared" si="3"/>
        <v>3</v>
      </c>
    </row>
    <row r="477">
      <c r="A477" s="2" t="str">
        <f t="shared" si="1"/>
        <v>H006510</v>
      </c>
      <c r="B477" s="1" t="s">
        <v>7678</v>
      </c>
      <c r="C477" s="9" t="str">
        <f t="array" ref="C477">IF(
  AND(
    IFERROR(MATCH(Caseslist!B477, data!D:D, 0), 0) &gt; 0,
    IFERROR(INDEX(data!N:N, MATCH(Caseslist!B477, data!D:D, 0)) = 1, FALSE)
  ),
  "COMPLETE",
  "INC"
)</f>
        <v>COMPLETE</v>
      </c>
      <c r="D477" s="9" t="str">
        <f t="array" ref="D477">IFERROR(INDEX(data!$G:$G,match(Caseslist!B477,data!$D:$D,0)), "INC")</f>
        <v>K8623174</v>
      </c>
      <c r="E477" s="9" t="str">
        <f t="array" ref="E477">IFERROR(INDEX(data!H:H,match(Caseslist!B477,data!D:D,0)), "INC")</f>
        <v>Marielle Kaye Ignacio Alonzo</v>
      </c>
      <c r="F477" s="10" t="str">
        <f t="array" ref="F477">IF(
    OR(
      IFNA(INDEX(data!M:M, MATCH(Caseslist!B477, data!D:D, 0)), "") = "",
      IFNA(INDEX(data!M:M, MATCH(Caseslist!B477, data!D:D, 0)), 0) = 0
    ),
    "COMPLETE",
    IF(
      IFNA(INDEX(dataICM!D:D, MATCH(Caseslist!B477, dataICM!D:D, 0)), "INC") = "INC",
      IFNA(INDEX(dataICM!D:D, MATCH(Caseslist!B477, dataICM!D:D, 0)), "INC"),
      "COMPLETE"
    )
  )</f>
        <v>COMPLETE</v>
      </c>
      <c r="G477" s="10" t="str">
        <f t="array" ref="G477">IF(IFERROR(INDEX(data!L:L,match(Caseslist!B477,data!D:D,0)),"INC")="","COMPLETE",F477)</f>
        <v>COMPLETE</v>
      </c>
      <c r="H477" s="9" t="str">
        <f t="array" ref="H477">IFERROR(INDEX(dataICM!F:F,match(Caseslist!B477,dataICM!D:D,0)), "INC")</f>
        <v>Marielle Kaye Ignacio Alonzo</v>
      </c>
      <c r="I477" s="10" t="str">
        <f t="shared" si="2"/>
        <v>K8623174</v>
      </c>
      <c r="J477" s="9" t="str">
        <f t="array" ref="J477">IF(
  AND(
    IFERROR(MATCH(B477, data!D:D, 0), 0) &gt; 0,
    IFERROR(INDEX(data!N:N, MATCH(B477, data!D:D, 0)) = 1, FALSE)
  ),
  INDEX(data!C:C, MATCH(B477, data!D:D, 0)),
  "INC"
)</f>
        <v>2025-09-20T08:31:29.914+08</v>
      </c>
      <c r="K477" s="9" t="str">
        <f t="array" ref="K477">IFERROR(INDEX(dataICM!C:C,match(Caseslist!B477,dataICM!D:D,0)), "INC")</f>
        <v>2025-09-20T08:42:51.946+08</v>
      </c>
      <c r="L477" s="10" t="str">
        <f t="array" ref="L477">IF(AND(G477="COMPLETE", OR(K477="INC", ISBLANK(INDEX(data!O:O, ROW())))), J477, K477)</f>
        <v>2025-09-20T08:42:51.946+08</v>
      </c>
      <c r="M477" s="2">
        <v>45920.0</v>
      </c>
      <c r="N477" s="2">
        <f t="array" ref="N477">IF(M477&lt;&gt;"INC", INDEX(data!M:M, MATCH(B477, data!D:D, 0)), "")</f>
        <v>3</v>
      </c>
      <c r="O477" s="2">
        <f t="shared" si="3"/>
        <v>3</v>
      </c>
    </row>
    <row r="478">
      <c r="A478" s="2" t="str">
        <f t="shared" si="1"/>
        <v>H006525</v>
      </c>
      <c r="B478" s="1" t="s">
        <v>4112</v>
      </c>
      <c r="C478" s="9" t="str">
        <f t="array" ref="C478">IF(
  AND(
    IFERROR(MATCH(Caseslist!B478, data!D:D, 0), 0) &gt; 0,
    IFERROR(INDEX(data!N:N, MATCH(Caseslist!B478, data!D:D, 0)) = 1, FALSE)
  ),
  "COMPLETE",
  "INC"
)</f>
        <v>COMPLETE</v>
      </c>
      <c r="D478" s="9" t="str">
        <f t="array" ref="D478">IFERROR(INDEX(data!$G:$G,match(Caseslist!B478,data!$D:$D,0)), "INC")</f>
        <v>N7814260</v>
      </c>
      <c r="E478" s="9" t="str">
        <f t="array" ref="E478">IFERROR(INDEX(data!H:H,match(Caseslist!B478,data!D:D,0)), "INC")</f>
        <v>Jemma Marie Tillo</v>
      </c>
      <c r="F478" s="10" t="str">
        <f t="array" ref="F478">IF(
    OR(
      IFNA(INDEX(data!M:M, MATCH(Caseslist!B478, data!D:D, 0)), "") = "",
      IFNA(INDEX(data!M:M, MATCH(Caseslist!B478, data!D:D, 0)), 0) = 0
    ),
    "COMPLETE",
    IF(
      IFNA(INDEX(dataICM!D:D, MATCH(Caseslist!B478, dataICM!D:D, 0)), "INC") = "INC",
      IFNA(INDEX(dataICM!D:D, MATCH(Caseslist!B478, dataICM!D:D, 0)), "INC"),
      "COMPLETE"
    )
  )</f>
        <v>COMPLETE</v>
      </c>
      <c r="G478" s="10" t="str">
        <f t="array" ref="G478">IF(IFERROR(INDEX(data!L:L,match(Caseslist!B478,data!D:D,0)),"INC")="","COMPLETE",F478)</f>
        <v>COMPLETE</v>
      </c>
      <c r="H478" s="9" t="str">
        <f t="array" ref="H478">IFERROR(INDEX(dataICM!F:F,match(Caseslist!B478,dataICM!D:D,0)), "INC")</f>
        <v>Jemma Marie Tillo</v>
      </c>
      <c r="I478" s="10" t="str">
        <f t="shared" si="2"/>
        <v>N7814260</v>
      </c>
      <c r="J478" s="9" t="str">
        <f t="array" ref="J478">IF(
  AND(
    IFERROR(MATCH(B478, data!D:D, 0), 0) &gt; 0,
    IFERROR(INDEX(data!N:N, MATCH(B478, data!D:D, 0)) = 1, FALSE)
  ),
  INDEX(data!C:C, MATCH(B478, data!D:D, 0)),
  "INC"
)</f>
        <v>2025-09-06T10:20:53.707+08</v>
      </c>
      <c r="K478" s="9" t="str">
        <f t="array" ref="K478">IFERROR(INDEX(dataICM!C:C,match(Caseslist!B478,dataICM!D:D,0)), "INC")</f>
        <v>2025-09-06T10:27:24.654+08</v>
      </c>
      <c r="L478" s="10" t="str">
        <f t="array" ref="L478">IF(AND(G478="COMPLETE", OR(K478="INC", ISBLANK(INDEX(data!O:O, ROW())))), J478, K478)</f>
        <v>2025-09-06T10:27:24.654+08</v>
      </c>
      <c r="M478" s="2">
        <v>45906.0</v>
      </c>
      <c r="N478" s="2">
        <f t="array" ref="N478">IF(M478&lt;&gt;"INC", INDEX(data!M:M, MATCH(B478, data!D:D, 0)), "")</f>
        <v>3</v>
      </c>
      <c r="O478" s="2">
        <f t="shared" si="3"/>
        <v>3</v>
      </c>
    </row>
    <row r="479">
      <c r="A479" s="2" t="str">
        <f t="shared" si="1"/>
        <v>H006525</v>
      </c>
      <c r="B479" s="1" t="s">
        <v>4787</v>
      </c>
      <c r="C479" s="9" t="str">
        <f t="array" ref="C479">IF(
  AND(
    IFERROR(MATCH(Caseslist!B479, data!D:D, 0), 0) &gt; 0,
    IFERROR(INDEX(data!N:N, MATCH(Caseslist!B479, data!D:D, 0)) = 1, FALSE)
  ),
  "COMPLETE",
  "INC"
)</f>
        <v>COMPLETE</v>
      </c>
      <c r="D479" s="9" t="str">
        <f t="array" ref="D479">IFERROR(INDEX(data!$G:$G,match(Caseslist!B479,data!$D:$D,0)), "INC")</f>
        <v>N7814260</v>
      </c>
      <c r="E479" s="9" t="str">
        <f t="array" ref="E479">IFERROR(INDEX(data!H:H,match(Caseslist!B479,data!D:D,0)), "INC")</f>
        <v>Jemma Marie Tillo</v>
      </c>
      <c r="F479" s="10" t="str">
        <f t="array" ref="F479">IF(
    OR(
      IFNA(INDEX(data!M:M, MATCH(Caseslist!B479, data!D:D, 0)), "") = "",
      IFNA(INDEX(data!M:M, MATCH(Caseslist!B479, data!D:D, 0)), 0) = 0
    ),
    "COMPLETE",
    IF(
      IFNA(INDEX(dataICM!D:D, MATCH(Caseslist!B479, dataICM!D:D, 0)), "INC") = "INC",
      IFNA(INDEX(dataICM!D:D, MATCH(Caseslist!B479, dataICM!D:D, 0)), "INC"),
      "COMPLETE"
    )
  )</f>
        <v>COMPLETE</v>
      </c>
      <c r="G479" s="10" t="str">
        <f t="array" ref="G479">IF(IFERROR(INDEX(data!L:L,match(Caseslist!B479,data!D:D,0)),"INC")="","COMPLETE",F479)</f>
        <v>COMPLETE</v>
      </c>
      <c r="H479" s="9" t="str">
        <f t="array" ref="H479">IFERROR(INDEX(dataICM!F:F,match(Caseslist!B479,dataICM!D:D,0)), "INC")</f>
        <v>Jemma Marie Tillo</v>
      </c>
      <c r="I479" s="10" t="str">
        <f t="shared" si="2"/>
        <v>N7814260</v>
      </c>
      <c r="J479" s="9" t="str">
        <f t="array" ref="J479">IF(
  AND(
    IFERROR(MATCH(B479, data!D:D, 0), 0) &gt; 0,
    IFERROR(INDEX(data!N:N, MATCH(B479, data!D:D, 0)) = 1, FALSE)
  ),
  INDEX(data!C:C, MATCH(B479, data!D:D, 0)),
  "INC"
)</f>
        <v>2025-10-02T10:32:32.064+08</v>
      </c>
      <c r="K479" s="9" t="str">
        <f t="array" ref="K479">IFERROR(INDEX(dataICM!C:C,match(Caseslist!B479,dataICM!D:D,0)), "INC")</f>
        <v>2025-10-02T11:09:20.089+08</v>
      </c>
      <c r="L479" s="10" t="str">
        <f t="array" ref="L479">IF(AND(G479="COMPLETE", OR(K479="INC", ISBLANK(INDEX(data!O:O, ROW())))), J479, K479)</f>
        <v>2025-10-02T11:09:20.089+08</v>
      </c>
      <c r="M479" s="2">
        <v>45932.0</v>
      </c>
      <c r="N479" s="2">
        <f t="array" ref="N479">IF(M479&lt;&gt;"INC", INDEX(data!M:M, MATCH(B479, data!D:D, 0)), "")</f>
        <v>3</v>
      </c>
      <c r="O479" s="2">
        <f t="shared" si="3"/>
        <v>3</v>
      </c>
    </row>
    <row r="480">
      <c r="A480" s="2" t="str">
        <f t="shared" si="1"/>
        <v>H006525</v>
      </c>
      <c r="B480" s="1" t="s">
        <v>4792</v>
      </c>
      <c r="C480" s="9" t="str">
        <f t="array" ref="C480">IF(
  AND(
    IFERROR(MATCH(Caseslist!B480, data!D:D, 0), 0) &gt; 0,
    IFERROR(INDEX(data!N:N, MATCH(Caseslist!B480, data!D:D, 0)) = 1, FALSE)
  ),
  "COMPLETE",
  "INC"
)</f>
        <v>COMPLETE</v>
      </c>
      <c r="D480" s="9" t="str">
        <f t="array" ref="D480">IFERROR(INDEX(data!$G:$G,match(Caseslist!B480,data!$D:$D,0)), "INC")</f>
        <v>P1068432</v>
      </c>
      <c r="E480" s="9" t="str">
        <f t="array" ref="E480">IFERROR(INDEX(data!H:H,match(Caseslist!B480,data!D:D,0)), "INC")</f>
        <v>Mark Daniel Balagao Benson</v>
      </c>
      <c r="F480" s="10" t="str">
        <f t="array" ref="F480">IF(
    OR(
      IFNA(INDEX(data!M:M, MATCH(Caseslist!B480, data!D:D, 0)), "") = "",
      IFNA(INDEX(data!M:M, MATCH(Caseslist!B480, data!D:D, 0)), 0) = 0
    ),
    "COMPLETE",
    IF(
      IFNA(INDEX(dataICM!D:D, MATCH(Caseslist!B480, dataICM!D:D, 0)), "INC") = "INC",
      IFNA(INDEX(dataICM!D:D, MATCH(Caseslist!B480, dataICM!D:D, 0)), "INC"),
      "COMPLETE"
    )
  )</f>
        <v>COMPLETE</v>
      </c>
      <c r="G480" s="10" t="str">
        <f t="array" ref="G480">IF(IFERROR(INDEX(data!L:L,match(Caseslist!B480,data!D:D,0)),"INC")="","COMPLETE",F480)</f>
        <v>COMPLETE</v>
      </c>
      <c r="H480" s="9" t="str">
        <f t="array" ref="H480">IFERROR(INDEX(dataICM!F:F,match(Caseslist!B480,dataICM!D:D,0)), "INC")</f>
        <v>Mark Daniel Balagao Benson</v>
      </c>
      <c r="I480" s="10" t="str">
        <f t="shared" si="2"/>
        <v>P1068432</v>
      </c>
      <c r="J480" s="9" t="str">
        <f t="array" ref="J480">IF(
  AND(
    IFERROR(MATCH(B480, data!D:D, 0), 0) &gt; 0,
    IFERROR(INDEX(data!N:N, MATCH(B480, data!D:D, 0)) = 1, FALSE)
  ),
  INDEX(data!C:C, MATCH(B480, data!D:D, 0)),
  "INC"
)</f>
        <v>2025-09-29T10:03:10.441+08</v>
      </c>
      <c r="K480" s="9" t="str">
        <f t="array" ref="K480">IFERROR(INDEX(dataICM!C:C,match(Caseslist!B480,dataICM!D:D,0)), "INC")</f>
        <v>2025-09-29T10:30:21.889+08</v>
      </c>
      <c r="L480" s="10" t="str">
        <f t="array" ref="L480">IF(AND(G480="COMPLETE", OR(K480="INC", ISBLANK(INDEX(data!O:O, ROW())))), J480, K480)</f>
        <v>2025-09-29T10:30:21.889+08</v>
      </c>
      <c r="M480" s="2">
        <v>45929.0</v>
      </c>
      <c r="N480" s="2">
        <f t="array" ref="N480">IF(M480&lt;&gt;"INC", INDEX(data!M:M, MATCH(B480, data!D:D, 0)), "")</f>
        <v>3</v>
      </c>
      <c r="O480" s="2">
        <f t="shared" si="3"/>
        <v>3</v>
      </c>
    </row>
    <row r="481">
      <c r="A481" s="2" t="str">
        <f t="shared" si="1"/>
        <v>H006525</v>
      </c>
      <c r="B481" s="1" t="s">
        <v>4117</v>
      </c>
      <c r="C481" s="9" t="str">
        <f t="array" ref="C481">IF(
  AND(
    IFERROR(MATCH(Caseslist!B481, data!D:D, 0), 0) &gt; 0,
    IFERROR(INDEX(data!N:N, MATCH(Caseslist!B481, data!D:D, 0)) = 1, FALSE)
  ),
  "COMPLETE",
  "INC"
)</f>
        <v>COMPLETE</v>
      </c>
      <c r="D481" s="9" t="str">
        <f t="array" ref="D481">IFERROR(INDEX(data!$G:$G,match(Caseslist!B481,data!$D:$D,0)), "INC")</f>
        <v>N7814260</v>
      </c>
      <c r="E481" s="9" t="str">
        <f t="array" ref="E481">IFERROR(INDEX(data!H:H,match(Caseslist!B481,data!D:D,0)), "INC")</f>
        <v>Jemma Marie Tillo</v>
      </c>
      <c r="F481" s="10" t="str">
        <f t="array" ref="F481">IF(
    OR(
      IFNA(INDEX(data!M:M, MATCH(Caseslist!B481, data!D:D, 0)), "") = "",
      IFNA(INDEX(data!M:M, MATCH(Caseslist!B481, data!D:D, 0)), 0) = 0
    ),
    "COMPLETE",
    IF(
      IFNA(INDEX(dataICM!D:D, MATCH(Caseslist!B481, dataICM!D:D, 0)), "INC") = "INC",
      IFNA(INDEX(dataICM!D:D, MATCH(Caseslist!B481, dataICM!D:D, 0)), "INC"),
      "COMPLETE"
    )
  )</f>
        <v>COMPLETE</v>
      </c>
      <c r="G481" s="10" t="str">
        <f t="array" ref="G481">IF(IFERROR(INDEX(data!L:L,match(Caseslist!B481,data!D:D,0)),"INC")="","COMPLETE",F481)</f>
        <v>COMPLETE</v>
      </c>
      <c r="H481" s="9" t="str">
        <f t="array" ref="H481">IFERROR(INDEX(dataICM!F:F,match(Caseslist!B481,dataICM!D:D,0)), "INC")</f>
        <v>Jemma Marie Tillo</v>
      </c>
      <c r="I481" s="10" t="str">
        <f t="shared" si="2"/>
        <v>N7814260</v>
      </c>
      <c r="J481" s="9" t="str">
        <f t="array" ref="J481">IF(
  AND(
    IFERROR(MATCH(B481, data!D:D, 0), 0) &gt; 0,
    IFERROR(INDEX(data!N:N, MATCH(B481, data!D:D, 0)) = 1, FALSE)
  ),
  INDEX(data!C:C, MATCH(B481, data!D:D, 0)),
  "INC"
)</f>
        <v>2025-09-06T11:14:03.083+08</v>
      </c>
      <c r="K481" s="9" t="str">
        <f t="array" ref="K481">IFERROR(INDEX(dataICM!C:C,match(Caseslist!B481,dataICM!D:D,0)), "INC")</f>
        <v>2025-09-06T18:21:51.448+08</v>
      </c>
      <c r="L481" s="10" t="str">
        <f t="array" ref="L481">IF(AND(G481="COMPLETE", OR(K481="INC", ISBLANK(INDEX(data!O:O, ROW())))), J481, K481)</f>
        <v>2025-09-06T18:21:51.448+08</v>
      </c>
      <c r="M481" s="2">
        <v>45906.0</v>
      </c>
      <c r="N481" s="2">
        <f t="array" ref="N481">IF(M481&lt;&gt;"INC", INDEX(data!M:M, MATCH(B481, data!D:D, 0)), "")</f>
        <v>3</v>
      </c>
      <c r="O481" s="2">
        <f t="shared" si="3"/>
        <v>3</v>
      </c>
    </row>
    <row r="482">
      <c r="A482" s="2" t="str">
        <f t="shared" si="1"/>
        <v>H006525</v>
      </c>
      <c r="B482" s="1" t="s">
        <v>4812</v>
      </c>
      <c r="C482" s="9" t="str">
        <f t="array" ref="C482">IF(
  AND(
    IFERROR(MATCH(Caseslist!B482, data!D:D, 0), 0) &gt; 0,
    IFERROR(INDEX(data!N:N, MATCH(Caseslist!B482, data!D:D, 0)) = 1, FALSE)
  ),
  "COMPLETE",
  "INC"
)</f>
        <v>COMPLETE</v>
      </c>
      <c r="D482" s="9" t="str">
        <f t="array" ref="D482">IFERROR(INDEX(data!$G:$G,match(Caseslist!B482,data!$D:$D,0)), "INC")</f>
        <v>O3925718</v>
      </c>
      <c r="E482" s="9" t="str">
        <f t="array" ref="E482">IFERROR(INDEX(data!H:H,match(Caseslist!B482,data!D:D,0)), "INC")</f>
        <v>Adrian Montecastro Ferrer</v>
      </c>
      <c r="F482" s="10" t="str">
        <f t="array" ref="F482">IF(
    OR(
      IFNA(INDEX(data!M:M, MATCH(Caseslist!B482, data!D:D, 0)), "") = "",
      IFNA(INDEX(data!M:M, MATCH(Caseslist!B482, data!D:D, 0)), 0) = 0
    ),
    "COMPLETE",
    IF(
      IFNA(INDEX(dataICM!D:D, MATCH(Caseslist!B482, dataICM!D:D, 0)), "INC") = "INC",
      IFNA(INDEX(dataICM!D:D, MATCH(Caseslist!B482, dataICM!D:D, 0)), "INC"),
      "COMPLETE"
    )
  )</f>
        <v>COMPLETE</v>
      </c>
      <c r="G482" s="10" t="str">
        <f t="array" ref="G482">IF(IFERROR(INDEX(data!L:L,match(Caseslist!B482,data!D:D,0)),"INC")="","COMPLETE",F482)</f>
        <v>COMPLETE</v>
      </c>
      <c r="H482" s="9" t="str">
        <f t="array" ref="H482">IFERROR(INDEX(dataICM!F:F,match(Caseslist!B482,dataICM!D:D,0)), "INC")</f>
        <v>Adrian Montecastro Ferrer</v>
      </c>
      <c r="I482" s="10" t="str">
        <f t="shared" si="2"/>
        <v>O3925718</v>
      </c>
      <c r="J482" s="9" t="str">
        <f t="array" ref="J482">IF(
  AND(
    IFERROR(MATCH(B482, data!D:D, 0), 0) &gt; 0,
    IFERROR(INDEX(data!N:N, MATCH(B482, data!D:D, 0)) = 1, FALSE)
  ),
  INDEX(data!C:C, MATCH(B482, data!D:D, 0)),
  "INC"
)</f>
        <v>2025-09-30T10:42:00.577+08</v>
      </c>
      <c r="K482" s="9" t="str">
        <f t="array" ref="K482">IFERROR(INDEX(dataICM!C:C,match(Caseslist!B482,dataICM!D:D,0)), "INC")</f>
        <v>2025-09-30T11:31:46.667+08</v>
      </c>
      <c r="L482" s="10" t="str">
        <f t="array" ref="L482">IF(AND(G482="COMPLETE", OR(K482="INC", ISBLANK(INDEX(data!O:O, ROW())))), J482, K482)</f>
        <v>2025-09-30T11:31:46.667+08</v>
      </c>
      <c r="M482" s="2">
        <v>45930.0</v>
      </c>
      <c r="N482" s="2">
        <f t="array" ref="N482">IF(M482&lt;&gt;"INC", INDEX(data!M:M, MATCH(B482, data!D:D, 0)), "")</f>
        <v>3</v>
      </c>
      <c r="O482" s="2">
        <f t="shared" si="3"/>
        <v>3</v>
      </c>
    </row>
    <row r="483">
      <c r="A483" s="2" t="str">
        <f t="shared" si="1"/>
        <v>H006525</v>
      </c>
      <c r="B483" s="1" t="s">
        <v>4842</v>
      </c>
      <c r="C483" s="9" t="str">
        <f t="array" ref="C483">IF(
  AND(
    IFERROR(MATCH(Caseslist!B483, data!D:D, 0), 0) &gt; 0,
    IFERROR(INDEX(data!N:N, MATCH(Caseslist!B483, data!D:D, 0)) = 1, FALSE)
  ),
  "COMPLETE",
  "INC"
)</f>
        <v>COMPLETE</v>
      </c>
      <c r="D483" s="9" t="str">
        <f t="array" ref="D483">IFERROR(INDEX(data!$G:$G,match(Caseslist!B483,data!$D:$D,0)), "INC")</f>
        <v>O3925718</v>
      </c>
      <c r="E483" s="9" t="str">
        <f t="array" ref="E483">IFERROR(INDEX(data!H:H,match(Caseslist!B483,data!D:D,0)), "INC")</f>
        <v>Adrian Montecastro Ferrer</v>
      </c>
      <c r="F483" s="10" t="str">
        <f t="array" ref="F483">IF(
    OR(
      IFNA(INDEX(data!M:M, MATCH(Caseslist!B483, data!D:D, 0)), "") = "",
      IFNA(INDEX(data!M:M, MATCH(Caseslist!B483, data!D:D, 0)), 0) = 0
    ),
    "COMPLETE",
    IF(
      IFNA(INDEX(dataICM!D:D, MATCH(Caseslist!B483, dataICM!D:D, 0)), "INC") = "INC",
      IFNA(INDEX(dataICM!D:D, MATCH(Caseslist!B483, dataICM!D:D, 0)), "INC"),
      "COMPLETE"
    )
  )</f>
        <v>COMPLETE</v>
      </c>
      <c r="G483" s="10" t="str">
        <f t="array" ref="G483">IF(IFERROR(INDEX(data!L:L,match(Caseslist!B483,data!D:D,0)),"INC")="","COMPLETE",F483)</f>
        <v>COMPLETE</v>
      </c>
      <c r="H483" s="9" t="str">
        <f t="array" ref="H483">IFERROR(INDEX(dataICM!F:F,match(Caseslist!B483,dataICM!D:D,0)), "INC")</f>
        <v>Adrian Montecastro Ferrer</v>
      </c>
      <c r="I483" s="10" t="str">
        <f t="shared" si="2"/>
        <v>O3925718</v>
      </c>
      <c r="J483" s="9" t="str">
        <f t="array" ref="J483">IF(
  AND(
    IFERROR(MATCH(B483, data!D:D, 0), 0) &gt; 0,
    IFERROR(INDEX(data!N:N, MATCH(B483, data!D:D, 0)) = 1, FALSE)
  ),
  INDEX(data!C:C, MATCH(B483, data!D:D, 0)),
  "INC"
)</f>
        <v>2025-09-29T11:36:33.589+08</v>
      </c>
      <c r="K483" s="9" t="str">
        <f t="array" ref="K483">IFERROR(INDEX(dataICM!C:C,match(Caseslist!B483,dataICM!D:D,0)), "INC")</f>
        <v>2025-09-29T11:50:51.309+08</v>
      </c>
      <c r="L483" s="10" t="str">
        <f t="array" ref="L483">IF(AND(G483="COMPLETE", OR(K483="INC", ISBLANK(INDEX(data!O:O, ROW())))), J483, K483)</f>
        <v>2025-09-29T11:50:51.309+08</v>
      </c>
      <c r="M483" s="2">
        <v>45929.0</v>
      </c>
      <c r="N483" s="2">
        <f t="array" ref="N483">IF(M483&lt;&gt;"INC", INDEX(data!M:M, MATCH(B483, data!D:D, 0)), "")</f>
        <v>3</v>
      </c>
      <c r="O483" s="2">
        <f t="shared" si="3"/>
        <v>3</v>
      </c>
    </row>
    <row r="484">
      <c r="A484" s="2" t="str">
        <f t="shared" si="1"/>
        <v>H006525</v>
      </c>
      <c r="B484" s="1" t="s">
        <v>4817</v>
      </c>
      <c r="C484" s="9" t="str">
        <f t="array" ref="C484">IF(
  AND(
    IFERROR(MATCH(Caseslist!B484, data!D:D, 0), 0) &gt; 0,
    IFERROR(INDEX(data!N:N, MATCH(Caseslist!B484, data!D:D, 0)) = 1, FALSE)
  ),
  "COMPLETE",
  "INC"
)</f>
        <v>INC</v>
      </c>
      <c r="D484" s="9" t="str">
        <f t="array" ref="D484">IFERROR(INDEX(data!$G:$G,match(Caseslist!B484,data!$D:$D,0)), "INC")</f>
        <v>O3925718</v>
      </c>
      <c r="E484" s="9" t="str">
        <f t="array" ref="E484">IFERROR(INDEX(data!H:H,match(Caseslist!B484,data!D:D,0)), "INC")</f>
        <v>Adrian Montecastro Ferrer</v>
      </c>
      <c r="F484" s="10" t="str">
        <f t="array" ref="F484">IF(
    OR(
      IFNA(INDEX(data!M:M, MATCH(Caseslist!B484, data!D:D, 0)), "") = "",
      IFNA(INDEX(data!M:M, MATCH(Caseslist!B484, data!D:D, 0)), 0) = 0
    ),
    "COMPLETE",
    IF(
      IFNA(INDEX(dataICM!D:D, MATCH(Caseslist!B484, dataICM!D:D, 0)), "INC") = "INC",
      IFNA(INDEX(dataICM!D:D, MATCH(Caseslist!B484, dataICM!D:D, 0)), "INC"),
      "COMPLETE"
    )
  )</f>
        <v>INC</v>
      </c>
      <c r="G484" s="10" t="str">
        <f t="array" ref="G484">IF(IFERROR(INDEX(data!L:L,match(Caseslist!B484,data!D:D,0)),"INC")="","COMPLETE",F484)</f>
        <v>INC</v>
      </c>
      <c r="H484" s="9" t="str">
        <f t="array" ref="H484">IFERROR(INDEX(dataICM!F:F,match(Caseslist!B484,dataICM!D:D,0)), "INC")</f>
        <v>INC</v>
      </c>
      <c r="I484" s="10" t="str">
        <f t="shared" si="2"/>
        <v>INC</v>
      </c>
      <c r="J484" s="9" t="str">
        <f t="array" ref="J484">IF(
  AND(
    IFERROR(MATCH(B484, data!D:D, 0), 0) &gt; 0,
    IFERROR(INDEX(data!N:N, MATCH(B484, data!D:D, 0)) = 1, FALSE)
  ),
  INDEX(data!C:C, MATCH(B484, data!D:D, 0)),
  "INC"
)</f>
        <v>INC</v>
      </c>
      <c r="K484" s="9" t="str">
        <f t="array" ref="K484">IFERROR(INDEX(dataICM!C:C,match(Caseslist!B484,dataICM!D:D,0)), "INC")</f>
        <v>INC</v>
      </c>
      <c r="L484" s="10" t="str">
        <f t="array" ref="L484">IF(AND(G484="COMPLETE", OR(K484="INC", ISBLANK(INDEX(data!O:O, ROW())))), J484, K484)</f>
        <v>INC</v>
      </c>
      <c r="M484" s="2" t="s">
        <v>8886</v>
      </c>
      <c r="N484" s="2" t="str">
        <f t="array" ref="N484">IF(M484&lt;&gt;"INC", INDEX(data!M:M, MATCH(B484, data!D:D, 0)), "")</f>
        <v/>
      </c>
      <c r="O484" s="2" t="str">
        <f t="shared" si="3"/>
        <v/>
      </c>
    </row>
    <row r="485">
      <c r="A485" s="2" t="str">
        <f t="shared" si="1"/>
        <v>H006525</v>
      </c>
      <c r="B485" s="1" t="s">
        <v>4122</v>
      </c>
      <c r="C485" s="9" t="str">
        <f t="array" ref="C485">IF(
  AND(
    IFERROR(MATCH(Caseslist!B485, data!D:D, 0), 0) &gt; 0,
    IFERROR(INDEX(data!N:N, MATCH(Caseslist!B485, data!D:D, 0)) = 1, FALSE)
  ),
  "COMPLETE",
  "INC"
)</f>
        <v>COMPLETE</v>
      </c>
      <c r="D485" s="9" t="str">
        <f t="array" ref="D485">IFERROR(INDEX(data!$G:$G,match(Caseslist!B485,data!$D:$D,0)), "INC")</f>
        <v>N7814260</v>
      </c>
      <c r="E485" s="9" t="str">
        <f t="array" ref="E485">IFERROR(INDEX(data!H:H,match(Caseslist!B485,data!D:D,0)), "INC")</f>
        <v>Jemma Marie Tillo</v>
      </c>
      <c r="F485" s="10" t="str">
        <f t="array" ref="F485">IF(
    OR(
      IFNA(INDEX(data!M:M, MATCH(Caseslist!B485, data!D:D, 0)), "") = "",
      IFNA(INDEX(data!M:M, MATCH(Caseslist!B485, data!D:D, 0)), 0) = 0
    ),
    "COMPLETE",
    IF(
      IFNA(INDEX(dataICM!D:D, MATCH(Caseslist!B485, dataICM!D:D, 0)), "INC") = "INC",
      IFNA(INDEX(dataICM!D:D, MATCH(Caseslist!B485, dataICM!D:D, 0)), "INC"),
      "COMPLETE"
    )
  )</f>
        <v>COMPLETE</v>
      </c>
      <c r="G485" s="10" t="str">
        <f t="array" ref="G485">IF(IFERROR(INDEX(data!L:L,match(Caseslist!B485,data!D:D,0)),"INC")="","COMPLETE",F485)</f>
        <v>COMPLETE</v>
      </c>
      <c r="H485" s="9" t="str">
        <f t="array" ref="H485">IFERROR(INDEX(dataICM!F:F,match(Caseslist!B485,dataICM!D:D,0)), "INC")</f>
        <v>Jemma Marie Tillo</v>
      </c>
      <c r="I485" s="10" t="str">
        <f t="shared" si="2"/>
        <v>N7814260</v>
      </c>
      <c r="J485" s="9" t="str">
        <f t="array" ref="J485">IF(
  AND(
    IFERROR(MATCH(B485, data!D:D, 0), 0) &gt; 0,
    IFERROR(INDEX(data!N:N, MATCH(B485, data!D:D, 0)) = 1, FALSE)
  ),
  INDEX(data!C:C, MATCH(B485, data!D:D, 0)),
  "INC"
)</f>
        <v>2025-09-06T12:52:21.204+08</v>
      </c>
      <c r="K485" s="9" t="str">
        <f t="array" ref="K485">IFERROR(INDEX(dataICM!C:C,match(Caseslist!B485,dataICM!D:D,0)), "INC")</f>
        <v>2025-09-06T18:20:41.299+08</v>
      </c>
      <c r="L485" s="10" t="str">
        <f t="array" ref="L485">IF(AND(G485="COMPLETE", OR(K485="INC", ISBLANK(INDEX(data!O:O, ROW())))), J485, K485)</f>
        <v>2025-09-06T18:20:41.299+08</v>
      </c>
      <c r="M485" s="2">
        <v>45906.0</v>
      </c>
      <c r="N485" s="2">
        <f t="array" ref="N485">IF(M485&lt;&gt;"INC", INDEX(data!M:M, MATCH(B485, data!D:D, 0)), "")</f>
        <v>3</v>
      </c>
      <c r="O485" s="2">
        <f t="shared" si="3"/>
        <v>3</v>
      </c>
    </row>
    <row r="486">
      <c r="A486" s="2" t="str">
        <f t="shared" si="1"/>
        <v>H006525</v>
      </c>
      <c r="B486" s="1" t="s">
        <v>4807</v>
      </c>
      <c r="C486" s="9" t="str">
        <f t="array" ref="C486">IF(
  AND(
    IFERROR(MATCH(Caseslist!B486, data!D:D, 0), 0) &gt; 0,
    IFERROR(INDEX(data!N:N, MATCH(Caseslist!B486, data!D:D, 0)) = 1, FALSE)
  ),
  "COMPLETE",
  "INC"
)</f>
        <v>COMPLETE</v>
      </c>
      <c r="D486" s="9" t="str">
        <f t="array" ref="D486">IFERROR(INDEX(data!$G:$G,match(Caseslist!B486,data!$D:$D,0)), "INC")</f>
        <v>N7814260</v>
      </c>
      <c r="E486" s="9" t="str">
        <f t="array" ref="E486">IFERROR(INDEX(data!H:H,match(Caseslist!B486,data!D:D,0)), "INC")</f>
        <v>Jemma Marie Tillo</v>
      </c>
      <c r="F486" s="10" t="str">
        <f t="array" ref="F486">IF(
    OR(
      IFNA(INDEX(data!M:M, MATCH(Caseslist!B486, data!D:D, 0)), "") = "",
      IFNA(INDEX(data!M:M, MATCH(Caseslist!B486, data!D:D, 0)), 0) = 0
    ),
    "COMPLETE",
    IF(
      IFNA(INDEX(dataICM!D:D, MATCH(Caseslist!B486, dataICM!D:D, 0)), "INC") = "INC",
      IFNA(INDEX(dataICM!D:D, MATCH(Caseslist!B486, dataICM!D:D, 0)), "INC"),
      "COMPLETE"
    )
  )</f>
        <v>COMPLETE</v>
      </c>
      <c r="G486" s="10" t="str">
        <f t="array" ref="G486">IF(IFERROR(INDEX(data!L:L,match(Caseslist!B486,data!D:D,0)),"INC")="","COMPLETE",F486)</f>
        <v>COMPLETE</v>
      </c>
      <c r="H486" s="9" t="str">
        <f t="array" ref="H486">IFERROR(INDEX(dataICM!F:F,match(Caseslist!B486,dataICM!D:D,0)), "INC")</f>
        <v>Jemma Marie Tillo</v>
      </c>
      <c r="I486" s="10" t="str">
        <f t="shared" si="2"/>
        <v>N7814260</v>
      </c>
      <c r="J486" s="9" t="str">
        <f t="array" ref="J486">IF(
  AND(
    IFERROR(MATCH(B486, data!D:D, 0), 0) &gt; 0,
    IFERROR(INDEX(data!N:N, MATCH(B486, data!D:D, 0)) = 1, FALSE)
  ),
  INDEX(data!C:C, MATCH(B486, data!D:D, 0)),
  "INC"
)</f>
        <v>2025-09-09T11:39:49.284+08</v>
      </c>
      <c r="K486" s="9" t="str">
        <f t="array" ref="K486">IFERROR(INDEX(dataICM!C:C,match(Caseslist!B486,dataICM!D:D,0)), "INC")</f>
        <v>2025-09-25T15:41:57.791+08</v>
      </c>
      <c r="L486" s="10" t="str">
        <f t="array" ref="L486">IF(AND(G486="COMPLETE", OR(K486="INC", ISBLANK(INDEX(data!O:O, ROW())))), J486, K486)</f>
        <v>2025-09-25T15:41:57.791+08</v>
      </c>
      <c r="M486" s="2">
        <v>45925.0</v>
      </c>
      <c r="N486" s="2">
        <f t="array" ref="N486">IF(M486&lt;&gt;"INC", INDEX(data!M:M, MATCH(B486, data!D:D, 0)), "")</f>
        <v>3</v>
      </c>
      <c r="O486" s="2">
        <f t="shared" si="3"/>
        <v>3</v>
      </c>
    </row>
    <row r="487">
      <c r="A487" s="2" t="str">
        <f t="shared" si="1"/>
        <v>H006525</v>
      </c>
      <c r="B487" s="1" t="s">
        <v>4797</v>
      </c>
      <c r="C487" s="9" t="str">
        <f t="array" ref="C487">IF(
  AND(
    IFERROR(MATCH(Caseslist!B487, data!D:D, 0), 0) &gt; 0,
    IFERROR(INDEX(data!N:N, MATCH(Caseslist!B487, data!D:D, 0)) = 1, FALSE)
  ),
  "COMPLETE",
  "INC"
)</f>
        <v>COMPLETE</v>
      </c>
      <c r="D487" s="9" t="str">
        <f t="array" ref="D487">IFERROR(INDEX(data!$G:$G,match(Caseslist!B487,data!$D:$D,0)), "INC")</f>
        <v>P1068432</v>
      </c>
      <c r="E487" s="9" t="str">
        <f t="array" ref="E487">IFERROR(INDEX(data!H:H,match(Caseslist!B487,data!D:D,0)), "INC")</f>
        <v>Mark Daniel Balagao Benson</v>
      </c>
      <c r="F487" s="10" t="str">
        <f t="array" ref="F487">IF(
    OR(
      IFNA(INDEX(data!M:M, MATCH(Caseslist!B487, data!D:D, 0)), "") = "",
      IFNA(INDEX(data!M:M, MATCH(Caseslist!B487, data!D:D, 0)), 0) = 0
    ),
    "COMPLETE",
    IF(
      IFNA(INDEX(dataICM!D:D, MATCH(Caseslist!B487, dataICM!D:D, 0)), "INC") = "INC",
      IFNA(INDEX(dataICM!D:D, MATCH(Caseslist!B487, dataICM!D:D, 0)), "INC"),
      "COMPLETE"
    )
  )</f>
        <v>COMPLETE</v>
      </c>
      <c r="G487" s="10" t="str">
        <f t="array" ref="G487">IF(IFERROR(INDEX(data!L:L,match(Caseslist!B487,data!D:D,0)),"INC")="","COMPLETE",F487)</f>
        <v>COMPLETE</v>
      </c>
      <c r="H487" s="9" t="str">
        <f t="array" ref="H487">IFERROR(INDEX(dataICM!F:F,match(Caseslist!B487,dataICM!D:D,0)), "INC")</f>
        <v>Mark Daniel Balagao Benson</v>
      </c>
      <c r="I487" s="10" t="str">
        <f t="shared" si="2"/>
        <v>P1068432</v>
      </c>
      <c r="J487" s="9" t="str">
        <f t="array" ref="J487">IF(
  AND(
    IFERROR(MATCH(B487, data!D:D, 0), 0) &gt; 0,
    IFERROR(INDEX(data!N:N, MATCH(B487, data!D:D, 0)) = 1, FALSE)
  ),
  INDEX(data!C:C, MATCH(B487, data!D:D, 0)),
  "INC"
)</f>
        <v>2025-09-29T11:18:03.221+08</v>
      </c>
      <c r="K487" s="9" t="str">
        <f t="array" ref="K487">IFERROR(INDEX(dataICM!C:C,match(Caseslist!B487,dataICM!D:D,0)), "INC")</f>
        <v>2025-09-29T14:07:24.374+08</v>
      </c>
      <c r="L487" s="10" t="str">
        <f t="array" ref="L487">IF(AND(G487="COMPLETE", OR(K487="INC", ISBLANK(INDEX(data!O:O, ROW())))), J487, K487)</f>
        <v>2025-09-29T14:07:24.374+08</v>
      </c>
      <c r="M487" s="2">
        <v>45929.0</v>
      </c>
      <c r="N487" s="2">
        <f t="array" ref="N487">IF(M487&lt;&gt;"INC", INDEX(data!M:M, MATCH(B487, data!D:D, 0)), "")</f>
        <v>3</v>
      </c>
      <c r="O487" s="2">
        <f t="shared" si="3"/>
        <v>3</v>
      </c>
    </row>
    <row r="488">
      <c r="A488" s="2" t="str">
        <f t="shared" si="1"/>
        <v>H006525</v>
      </c>
      <c r="B488" s="1" t="s">
        <v>4822</v>
      </c>
      <c r="C488" s="9" t="str">
        <f t="array" ref="C488">IF(
  AND(
    IFERROR(MATCH(Caseslist!B488, data!D:D, 0), 0) &gt; 0,
    IFERROR(INDEX(data!N:N, MATCH(Caseslist!B488, data!D:D, 0)) = 1, FALSE)
  ),
  "COMPLETE",
  "INC"
)</f>
        <v>COMPLETE</v>
      </c>
      <c r="D488" s="9" t="str">
        <f t="array" ref="D488">IFERROR(INDEX(data!$G:$G,match(Caseslist!B488,data!$D:$D,0)), "INC")</f>
        <v>P1068432</v>
      </c>
      <c r="E488" s="9" t="str">
        <f t="array" ref="E488">IFERROR(INDEX(data!H:H,match(Caseslist!B488,data!D:D,0)), "INC")</f>
        <v>Mark Daniel Balagao Benson</v>
      </c>
      <c r="F488" s="10" t="str">
        <f t="array" ref="F488">IF(
    OR(
      IFNA(INDEX(data!M:M, MATCH(Caseslist!B488, data!D:D, 0)), "") = "",
      IFNA(INDEX(data!M:M, MATCH(Caseslist!B488, data!D:D, 0)), 0) = 0
    ),
    "COMPLETE",
    IF(
      IFNA(INDEX(dataICM!D:D, MATCH(Caseslist!B488, dataICM!D:D, 0)), "INC") = "INC",
      IFNA(INDEX(dataICM!D:D, MATCH(Caseslist!B488, dataICM!D:D, 0)), "INC"),
      "COMPLETE"
    )
  )</f>
        <v>COMPLETE</v>
      </c>
      <c r="G488" s="10" t="str">
        <f t="array" ref="G488">IF(IFERROR(INDEX(data!L:L,match(Caseslist!B488,data!D:D,0)),"INC")="","COMPLETE",F488)</f>
        <v>COMPLETE</v>
      </c>
      <c r="H488" s="9" t="str">
        <f t="array" ref="H488">IFERROR(INDEX(dataICM!F:F,match(Caseslist!B488,dataICM!D:D,0)), "INC")</f>
        <v>Mark Daniel Balagao Benson</v>
      </c>
      <c r="I488" s="10" t="str">
        <f t="shared" si="2"/>
        <v>P1068432</v>
      </c>
      <c r="J488" s="9" t="str">
        <f t="array" ref="J488">IF(
  AND(
    IFERROR(MATCH(B488, data!D:D, 0), 0) &gt; 0,
    IFERROR(INDEX(data!N:N, MATCH(B488, data!D:D, 0)) = 1, FALSE)
  ),
  INDEX(data!C:C, MATCH(B488, data!D:D, 0)),
  "INC"
)</f>
        <v>2025-09-28T11:33:04.826+08</v>
      </c>
      <c r="K488" s="9" t="str">
        <f t="array" ref="K488">IFERROR(INDEX(dataICM!C:C,match(Caseslist!B488,dataICM!D:D,0)), "INC")</f>
        <v>2025-09-28T13:09:37.791+08</v>
      </c>
      <c r="L488" s="10" t="str">
        <f t="array" ref="L488">IF(AND(G488="COMPLETE", OR(K488="INC", ISBLANK(INDEX(data!O:O, ROW())))), J488, K488)</f>
        <v>2025-09-28T13:09:37.791+08</v>
      </c>
      <c r="M488" s="2">
        <v>45928.0</v>
      </c>
      <c r="N488" s="2">
        <f t="array" ref="N488">IF(M488&lt;&gt;"INC", INDEX(data!M:M, MATCH(B488, data!D:D, 0)), "")</f>
        <v>3</v>
      </c>
      <c r="O488" s="2">
        <f t="shared" si="3"/>
        <v>3</v>
      </c>
    </row>
    <row r="489">
      <c r="A489" s="2" t="str">
        <f t="shared" si="1"/>
        <v>H006525</v>
      </c>
      <c r="B489" s="1" t="s">
        <v>4802</v>
      </c>
      <c r="C489" s="9" t="str">
        <f t="array" ref="C489">IF(
  AND(
    IFERROR(MATCH(Caseslist!B489, data!D:D, 0), 0) &gt; 0,
    IFERROR(INDEX(data!N:N, MATCH(Caseslist!B489, data!D:D, 0)) = 1, FALSE)
  ),
  "COMPLETE",
  "INC"
)</f>
        <v>COMPLETE</v>
      </c>
      <c r="D489" s="9" t="str">
        <f t="array" ref="D489">IFERROR(INDEX(data!$G:$G,match(Caseslist!B489,data!$D:$D,0)), "INC")</f>
        <v>P1068432</v>
      </c>
      <c r="E489" s="9" t="str">
        <f t="array" ref="E489">IFERROR(INDEX(data!H:H,match(Caseslist!B489,data!D:D,0)), "INC")</f>
        <v>Mark Daniel Balagao Benson</v>
      </c>
      <c r="F489" s="10" t="str">
        <f t="array" ref="F489">IF(
    OR(
      IFNA(INDEX(data!M:M, MATCH(Caseslist!B489, data!D:D, 0)), "") = "",
      IFNA(INDEX(data!M:M, MATCH(Caseslist!B489, data!D:D, 0)), 0) = 0
    ),
    "COMPLETE",
    IF(
      IFNA(INDEX(dataICM!D:D, MATCH(Caseslist!B489, dataICM!D:D, 0)), "INC") = "INC",
      IFNA(INDEX(dataICM!D:D, MATCH(Caseslist!B489, dataICM!D:D, 0)), "INC"),
      "COMPLETE"
    )
  )</f>
        <v>COMPLETE</v>
      </c>
      <c r="G489" s="10" t="str">
        <f t="array" ref="G489">IF(IFERROR(INDEX(data!L:L,match(Caseslist!B489,data!D:D,0)),"INC")="","COMPLETE",F489)</f>
        <v>COMPLETE</v>
      </c>
      <c r="H489" s="9" t="str">
        <f t="array" ref="H489">IFERROR(INDEX(dataICM!F:F,match(Caseslist!B489,dataICM!D:D,0)), "INC")</f>
        <v>Mark Daniel Balagao Benson</v>
      </c>
      <c r="I489" s="10" t="str">
        <f t="shared" si="2"/>
        <v>P1068432</v>
      </c>
      <c r="J489" s="9" t="str">
        <f t="array" ref="J489">IF(
  AND(
    IFERROR(MATCH(B489, data!D:D, 0), 0) &gt; 0,
    IFERROR(INDEX(data!N:N, MATCH(B489, data!D:D, 0)) = 1, FALSE)
  ),
  INDEX(data!C:C, MATCH(B489, data!D:D, 0)),
  "INC"
)</f>
        <v>2025-09-30T10:23:36.457+08</v>
      </c>
      <c r="K489" s="9" t="str">
        <f t="array" ref="K489">IFERROR(INDEX(dataICM!C:C,match(Caseslist!B489,dataICM!D:D,0)), "INC")</f>
        <v>2025-09-30T12:23:12.468+08</v>
      </c>
      <c r="L489" s="10" t="str">
        <f t="array" ref="L489">IF(AND(G489="COMPLETE", OR(K489="INC", ISBLANK(INDEX(data!O:O, ROW())))), J489, K489)</f>
        <v>2025-09-30T12:23:12.468+08</v>
      </c>
      <c r="M489" s="2">
        <v>45930.0</v>
      </c>
      <c r="N489" s="2">
        <f t="array" ref="N489">IF(M489&lt;&gt;"INC", INDEX(data!M:M, MATCH(B489, data!D:D, 0)), "")</f>
        <v>3</v>
      </c>
      <c r="O489" s="2">
        <f t="shared" si="3"/>
        <v>3</v>
      </c>
    </row>
    <row r="490">
      <c r="A490" s="2" t="str">
        <f t="shared" si="1"/>
        <v>H006525</v>
      </c>
      <c r="B490" s="1" t="s">
        <v>4827</v>
      </c>
      <c r="C490" s="9" t="str">
        <f t="array" ref="C490">IF(
  AND(
    IFERROR(MATCH(Caseslist!B490, data!D:D, 0), 0) &gt; 0,
    IFERROR(INDEX(data!N:N, MATCH(Caseslist!B490, data!D:D, 0)) = 1, FALSE)
  ),
  "COMPLETE",
  "INC"
)</f>
        <v>COMPLETE</v>
      </c>
      <c r="D490" s="9" t="str">
        <f t="array" ref="D490">IFERROR(INDEX(data!$G:$G,match(Caseslist!B490,data!$D:$D,0)), "INC")</f>
        <v>O3925718</v>
      </c>
      <c r="E490" s="9" t="str">
        <f t="array" ref="E490">IFERROR(INDEX(data!H:H,match(Caseslist!B490,data!D:D,0)), "INC")</f>
        <v>Adrian Montecastro Ferrer</v>
      </c>
      <c r="F490" s="10" t="str">
        <f t="array" ref="F490">IF(
    OR(
      IFNA(INDEX(data!M:M, MATCH(Caseslist!B490, data!D:D, 0)), "") = "",
      IFNA(INDEX(data!M:M, MATCH(Caseslist!B490, data!D:D, 0)), 0) = 0
    ),
    "COMPLETE",
    IF(
      IFNA(INDEX(dataICM!D:D, MATCH(Caseslist!B490, dataICM!D:D, 0)), "INC") = "INC",
      IFNA(INDEX(dataICM!D:D, MATCH(Caseslist!B490, dataICM!D:D, 0)), "INC"),
      "COMPLETE"
    )
  )</f>
        <v>COMPLETE</v>
      </c>
      <c r="G490" s="10" t="str">
        <f t="array" ref="G490">IF(IFERROR(INDEX(data!L:L,match(Caseslist!B490,data!D:D,0)),"INC")="","COMPLETE",F490)</f>
        <v>COMPLETE</v>
      </c>
      <c r="H490" s="9" t="str">
        <f t="array" ref="H490">IFERROR(INDEX(dataICM!F:F,match(Caseslist!B490,dataICM!D:D,0)), "INC")</f>
        <v>Adrian Montecastro Ferrer</v>
      </c>
      <c r="I490" s="10" t="str">
        <f t="shared" si="2"/>
        <v>O3925718</v>
      </c>
      <c r="J490" s="9" t="str">
        <f t="array" ref="J490">IF(
  AND(
    IFERROR(MATCH(B490, data!D:D, 0), 0) &gt; 0,
    IFERROR(INDEX(data!N:N, MATCH(B490, data!D:D, 0)) = 1, FALSE)
  ),
  INDEX(data!C:C, MATCH(B490, data!D:D, 0)),
  "INC"
)</f>
        <v>2025-09-09T14:58:03.635+08</v>
      </c>
      <c r="K490" s="9" t="str">
        <f t="array" ref="K490">IFERROR(INDEX(dataICM!C:C,match(Caseslist!B490,dataICM!D:D,0)), "INC")</f>
        <v>2025-09-09T15:04:17.744+08</v>
      </c>
      <c r="L490" s="10" t="str">
        <f t="array" ref="L490">IF(AND(G490="COMPLETE", OR(K490="INC", ISBLANK(INDEX(data!O:O, ROW())))), J490, K490)</f>
        <v>2025-09-09T15:04:17.744+08</v>
      </c>
      <c r="M490" s="2">
        <v>45909.0</v>
      </c>
      <c r="N490" s="2">
        <f t="array" ref="N490">IF(M490&lt;&gt;"INC", INDEX(data!M:M, MATCH(B490, data!D:D, 0)), "")</f>
        <v>3</v>
      </c>
      <c r="O490" s="2">
        <f t="shared" si="3"/>
        <v>3</v>
      </c>
    </row>
    <row r="491">
      <c r="A491" s="2" t="str">
        <f t="shared" si="1"/>
        <v>H006525</v>
      </c>
      <c r="B491" s="1" t="s">
        <v>4832</v>
      </c>
      <c r="C491" s="9" t="str">
        <f t="array" ref="C491">IF(
  AND(
    IFERROR(MATCH(Caseslist!B491, data!D:D, 0), 0) &gt; 0,
    IFERROR(INDEX(data!N:N, MATCH(Caseslist!B491, data!D:D, 0)) = 1, FALSE)
  ),
  "COMPLETE",
  "INC"
)</f>
        <v>COMPLETE</v>
      </c>
      <c r="D491" s="9" t="str">
        <f t="array" ref="D491">IFERROR(INDEX(data!$G:$G,match(Caseslist!B491,data!$D:$D,0)), "INC")</f>
        <v>O3925718</v>
      </c>
      <c r="E491" s="9" t="str">
        <f t="array" ref="E491">IFERROR(INDEX(data!H:H,match(Caseslist!B491,data!D:D,0)), "INC")</f>
        <v>Adrian Montecastro Ferrer</v>
      </c>
      <c r="F491" s="10" t="str">
        <f t="array" ref="F491">IF(
    OR(
      IFNA(INDEX(data!M:M, MATCH(Caseslist!B491, data!D:D, 0)), "") = "",
      IFNA(INDEX(data!M:M, MATCH(Caseslist!B491, data!D:D, 0)), 0) = 0
    ),
    "COMPLETE",
    IF(
      IFNA(INDEX(dataICM!D:D, MATCH(Caseslist!B491, dataICM!D:D, 0)), "INC") = "INC",
      IFNA(INDEX(dataICM!D:D, MATCH(Caseslist!B491, dataICM!D:D, 0)), "INC"),
      "COMPLETE"
    )
  )</f>
        <v>COMPLETE</v>
      </c>
      <c r="G491" s="10" t="str">
        <f t="array" ref="G491">IF(IFERROR(INDEX(data!L:L,match(Caseslist!B491,data!D:D,0)),"INC")="","COMPLETE",F491)</f>
        <v>COMPLETE</v>
      </c>
      <c r="H491" s="9" t="str">
        <f t="array" ref="H491">IFERROR(INDEX(dataICM!F:F,match(Caseslist!B491,dataICM!D:D,0)), "INC")</f>
        <v>Adrian Montecastro Ferrer</v>
      </c>
      <c r="I491" s="10" t="str">
        <f t="shared" si="2"/>
        <v>O3925718</v>
      </c>
      <c r="J491" s="9" t="str">
        <f t="array" ref="J491">IF(
  AND(
    IFERROR(MATCH(B491, data!D:D, 0), 0) &gt; 0,
    IFERROR(INDEX(data!N:N, MATCH(B491, data!D:D, 0)) = 1, FALSE)
  ),
  INDEX(data!C:C, MATCH(B491, data!D:D, 0)),
  "INC"
)</f>
        <v>2025-09-28T10:05:47.750+08</v>
      </c>
      <c r="K491" s="9" t="str">
        <f t="array" ref="K491">IFERROR(INDEX(dataICM!C:C,match(Caseslist!B491,dataICM!D:D,0)), "INC")</f>
        <v>2025-09-28T10:22:56.475+08</v>
      </c>
      <c r="L491" s="10" t="str">
        <f t="array" ref="L491">IF(AND(G491="COMPLETE", OR(K491="INC", ISBLANK(INDEX(data!O:O, ROW())))), J491, K491)</f>
        <v>2025-09-28T10:22:56.475+08</v>
      </c>
      <c r="M491" s="2">
        <v>45928.0</v>
      </c>
      <c r="N491" s="2">
        <f t="array" ref="N491">IF(M491&lt;&gt;"INC", INDEX(data!M:M, MATCH(B491, data!D:D, 0)), "")</f>
        <v>3</v>
      </c>
      <c r="O491" s="2">
        <f t="shared" si="3"/>
        <v>3</v>
      </c>
    </row>
    <row r="492">
      <c r="A492" s="2" t="str">
        <f t="shared" si="1"/>
        <v>H006525</v>
      </c>
      <c r="B492" s="1" t="s">
        <v>4837</v>
      </c>
      <c r="C492" s="9" t="str">
        <f t="array" ref="C492">IF(
  AND(
    IFERROR(MATCH(Caseslist!B492, data!D:D, 0), 0) &gt; 0,
    IFERROR(INDEX(data!N:N, MATCH(Caseslist!B492, data!D:D, 0)) = 1, FALSE)
  ),
  "COMPLETE",
  "INC"
)</f>
        <v>COMPLETE</v>
      </c>
      <c r="D492" s="9" t="str">
        <f t="array" ref="D492">IFERROR(INDEX(data!$G:$G,match(Caseslist!B492,data!$D:$D,0)), "INC")</f>
        <v>P1068432</v>
      </c>
      <c r="E492" s="9" t="str">
        <f t="array" ref="E492">IFERROR(INDEX(data!H:H,match(Caseslist!B492,data!D:D,0)), "INC")</f>
        <v>Mark Daniel Balagao Benson</v>
      </c>
      <c r="F492" s="10" t="str">
        <f t="array" ref="F492">IF(
    OR(
      IFNA(INDEX(data!M:M, MATCH(Caseslist!B492, data!D:D, 0)), "") = "",
      IFNA(INDEX(data!M:M, MATCH(Caseslist!B492, data!D:D, 0)), 0) = 0
    ),
    "COMPLETE",
    IF(
      IFNA(INDEX(dataICM!D:D, MATCH(Caseslist!B492, dataICM!D:D, 0)), "INC") = "INC",
      IFNA(INDEX(dataICM!D:D, MATCH(Caseslist!B492, dataICM!D:D, 0)), "INC"),
      "COMPLETE"
    )
  )</f>
        <v>COMPLETE</v>
      </c>
      <c r="G492" s="10" t="str">
        <f t="array" ref="G492">IF(IFERROR(INDEX(data!L:L,match(Caseslist!B492,data!D:D,0)),"INC")="","COMPLETE",F492)</f>
        <v>COMPLETE</v>
      </c>
      <c r="H492" s="9" t="str">
        <f t="array" ref="H492">IFERROR(INDEX(dataICM!F:F,match(Caseslist!B492,dataICM!D:D,0)), "INC")</f>
        <v>Mark Daniel Balagao Benson</v>
      </c>
      <c r="I492" s="10" t="str">
        <f t="shared" si="2"/>
        <v>P1068432</v>
      </c>
      <c r="J492" s="9" t="str">
        <f t="array" ref="J492">IF(
  AND(
    IFERROR(MATCH(B492, data!D:D, 0), 0) &gt; 0,
    IFERROR(INDEX(data!N:N, MATCH(B492, data!D:D, 0)) = 1, FALSE)
  ),
  INDEX(data!C:C, MATCH(B492, data!D:D, 0)),
  "INC"
)</f>
        <v>2025-09-09T09:45:02.747+08</v>
      </c>
      <c r="K492" s="9" t="str">
        <f t="array" ref="K492">IFERROR(INDEX(dataICM!C:C,match(Caseslist!B492,dataICM!D:D,0)), "INC")</f>
        <v>2025-09-09T09:59:50.161+08</v>
      </c>
      <c r="L492" s="10" t="str">
        <f t="array" ref="L492">IF(AND(G492="COMPLETE", OR(K492="INC", ISBLANK(INDEX(data!O:O, ROW())))), J492, K492)</f>
        <v>2025-09-09T09:59:50.161+08</v>
      </c>
      <c r="M492" s="2">
        <v>45909.0</v>
      </c>
      <c r="N492" s="2">
        <f t="array" ref="N492">IF(M492&lt;&gt;"INC", INDEX(data!M:M, MATCH(B492, data!D:D, 0)), "")</f>
        <v>3</v>
      </c>
      <c r="O492" s="2">
        <f t="shared" si="3"/>
        <v>3</v>
      </c>
    </row>
    <row r="493">
      <c r="A493" s="2" t="str">
        <f t="shared" si="1"/>
        <v>H006567</v>
      </c>
      <c r="B493" s="1" t="s">
        <v>4412</v>
      </c>
      <c r="C493" s="9" t="str">
        <f t="array" ref="C493">IF(
  AND(
    IFERROR(MATCH(Caseslist!B493, data!D:D, 0), 0) &gt; 0,
    IFERROR(INDEX(data!N:N, MATCH(Caseslist!B493, data!D:D, 0)) = 1, FALSE)
  ),
  "COMPLETE",
  "INC"
)</f>
        <v>COMPLETE</v>
      </c>
      <c r="D493" s="9" t="str">
        <f t="array" ref="D493">IFERROR(INDEX(data!$G:$G,match(Caseslist!B493,data!$D:$D,0)), "INC")</f>
        <v>O3925718</v>
      </c>
      <c r="E493" s="9" t="str">
        <f t="array" ref="E493">IFERROR(INDEX(data!H:H,match(Caseslist!B493,data!D:D,0)), "INC")</f>
        <v>Adrian Montecastro Ferrer</v>
      </c>
      <c r="F493" s="10" t="str">
        <f t="array" ref="F493">IF(
    OR(
      IFNA(INDEX(data!M:M, MATCH(Caseslist!B493, data!D:D, 0)), "") = "",
      IFNA(INDEX(data!M:M, MATCH(Caseslist!B493, data!D:D, 0)), 0) = 0
    ),
    "COMPLETE",
    IF(
      IFNA(INDEX(dataICM!D:D, MATCH(Caseslist!B493, dataICM!D:D, 0)), "INC") = "INC",
      IFNA(INDEX(dataICM!D:D, MATCH(Caseslist!B493, dataICM!D:D, 0)), "INC"),
      "COMPLETE"
    )
  )</f>
        <v>COMPLETE</v>
      </c>
      <c r="G493" s="10" t="str">
        <f t="array" ref="G493">IF(IFERROR(INDEX(data!L:L,match(Caseslist!B493,data!D:D,0)),"INC")="","COMPLETE",F493)</f>
        <v>COMPLETE</v>
      </c>
      <c r="H493" s="9" t="str">
        <f t="array" ref="H493">IFERROR(INDEX(dataICM!F:F,match(Caseslist!B493,dataICM!D:D,0)), "INC")</f>
        <v>INC</v>
      </c>
      <c r="I493" s="10" t="str">
        <f t="shared" si="2"/>
        <v>O3925718</v>
      </c>
      <c r="J493" s="9" t="str">
        <f t="array" ref="J493">IF(
  AND(
    IFERROR(MATCH(B493, data!D:D, 0), 0) &gt; 0,
    IFERROR(INDEX(data!N:N, MATCH(B493, data!D:D, 0)) = 1, FALSE)
  ),
  INDEX(data!C:C, MATCH(B493, data!D:D, 0)),
  "INC"
)</f>
        <v>2025-09-08T14:20:55.430+08</v>
      </c>
      <c r="K493" s="9" t="str">
        <f t="array" ref="K493">IFERROR(INDEX(dataICM!C:C,match(Caseslist!B493,dataICM!D:D,0)), "INC")</f>
        <v>INC</v>
      </c>
      <c r="L493" s="10" t="str">
        <f t="array" ref="L493">IF(AND(G493="COMPLETE", OR(K493="INC", ISBLANK(INDEX(data!O:O, ROW())))), J493, K493)</f>
        <v>2025-09-08T14:20:55.430+08</v>
      </c>
      <c r="M493" s="2">
        <v>45908.0</v>
      </c>
      <c r="N493" s="2">
        <f t="array" ref="N493">IF(M493&lt;&gt;"INC", INDEX(data!M:M, MATCH(B493, data!D:D, 0)), "")</f>
        <v>0</v>
      </c>
      <c r="O493" s="2">
        <f t="shared" si="3"/>
        <v>0</v>
      </c>
    </row>
    <row r="494">
      <c r="A494" s="2" t="str">
        <f t="shared" si="1"/>
        <v>H006567</v>
      </c>
      <c r="B494" s="1" t="s">
        <v>8673</v>
      </c>
      <c r="C494" s="9" t="str">
        <f t="array" ref="C494">IF(
  AND(
    IFERROR(MATCH(Caseslist!B494, data!D:D, 0), 0) &gt; 0,
    IFERROR(INDEX(data!N:N, MATCH(Caseslist!B494, data!D:D, 0)) = 1, FALSE)
  ),
  "COMPLETE",
  "INC"
)</f>
        <v>COMPLETE</v>
      </c>
      <c r="D494" s="9" t="str">
        <f t="array" ref="D494">IFERROR(INDEX(data!$G:$G,match(Caseslist!B494,data!$D:$D,0)), "INC")</f>
        <v>O3925718</v>
      </c>
      <c r="E494" s="9" t="str">
        <f t="array" ref="E494">IFERROR(INDEX(data!H:H,match(Caseslist!B494,data!D:D,0)), "INC")</f>
        <v>Adrian Montecastro Ferrer</v>
      </c>
      <c r="F494" s="10" t="str">
        <f t="array" ref="F494">IF(
    OR(
      IFNA(INDEX(data!M:M, MATCH(Caseslist!B494, data!D:D, 0)), "") = "",
      IFNA(INDEX(data!M:M, MATCH(Caseslist!B494, data!D:D, 0)), 0) = 0
    ),
    "COMPLETE",
    IF(
      IFNA(INDEX(dataICM!D:D, MATCH(Caseslist!B494, dataICM!D:D, 0)), "INC") = "INC",
      IFNA(INDEX(dataICM!D:D, MATCH(Caseslist!B494, dataICM!D:D, 0)), "INC"),
      "COMPLETE"
    )
  )</f>
        <v>COMPLETE</v>
      </c>
      <c r="G494" s="10" t="str">
        <f t="array" ref="G494">IF(IFERROR(INDEX(data!L:L,match(Caseslist!B494,data!D:D,0)),"INC")="","COMPLETE",F494)</f>
        <v>COMPLETE</v>
      </c>
      <c r="H494" s="9" t="str">
        <f t="array" ref="H494">IFERROR(INDEX(dataICM!F:F,match(Caseslist!B494,dataICM!D:D,0)), "INC")</f>
        <v>INC</v>
      </c>
      <c r="I494" s="10" t="str">
        <f t="shared" si="2"/>
        <v>O3925718</v>
      </c>
      <c r="J494" s="9" t="str">
        <f t="array" ref="J494">IF(
  AND(
    IFERROR(MATCH(B494, data!D:D, 0), 0) &gt; 0,
    IFERROR(INDEX(data!N:N, MATCH(B494, data!D:D, 0)) = 1, FALSE)
  ),
  INDEX(data!C:C, MATCH(B494, data!D:D, 0)),
  "INC"
)</f>
        <v>2025-09-28T13:48:13.511+08</v>
      </c>
      <c r="K494" s="9" t="str">
        <f t="array" ref="K494">IFERROR(INDEX(dataICM!C:C,match(Caseslist!B494,dataICM!D:D,0)), "INC")</f>
        <v>INC</v>
      </c>
      <c r="L494" s="10" t="str">
        <f t="array" ref="L494">IF(AND(G494="COMPLETE", OR(K494="INC", ISBLANK(INDEX(data!O:O, ROW())))), J494, K494)</f>
        <v>2025-09-28T13:48:13.511+08</v>
      </c>
      <c r="M494" s="2">
        <v>45928.0</v>
      </c>
      <c r="N494" s="2">
        <f t="array" ref="N494">IF(M494&lt;&gt;"INC", INDEX(data!M:M, MATCH(B494, data!D:D, 0)), "")</f>
        <v>0</v>
      </c>
      <c r="O494" s="2">
        <f t="shared" si="3"/>
        <v>0</v>
      </c>
    </row>
    <row r="495">
      <c r="A495" s="2" t="str">
        <f t="shared" si="1"/>
        <v>H006567</v>
      </c>
      <c r="B495" s="1" t="s">
        <v>4537</v>
      </c>
      <c r="C495" s="9" t="str">
        <f t="array" ref="C495">IF(
  AND(
    IFERROR(MATCH(Caseslist!B495, data!D:D, 0), 0) &gt; 0,
    IFERROR(INDEX(data!N:N, MATCH(Caseslist!B495, data!D:D, 0)) = 1, FALSE)
  ),
  "COMPLETE",
  "INC"
)</f>
        <v>COMPLETE</v>
      </c>
      <c r="D495" s="9" t="str">
        <f t="array" ref="D495">IFERROR(INDEX(data!$G:$G,match(Caseslist!B495,data!$D:$D,0)), "INC")</f>
        <v>O3925718</v>
      </c>
      <c r="E495" s="9" t="str">
        <f t="array" ref="E495">IFERROR(INDEX(data!H:H,match(Caseslist!B495,data!D:D,0)), "INC")</f>
        <v>Adrian Montecastro Ferrer</v>
      </c>
      <c r="F495" s="10" t="str">
        <f t="array" ref="F495">IF(
    OR(
      IFNA(INDEX(data!M:M, MATCH(Caseslist!B495, data!D:D, 0)), "") = "",
      IFNA(INDEX(data!M:M, MATCH(Caseslist!B495, data!D:D, 0)), 0) = 0
    ),
    "COMPLETE",
    IF(
      IFNA(INDEX(dataICM!D:D, MATCH(Caseslist!B495, dataICM!D:D, 0)), "INC") = "INC",
      IFNA(INDEX(dataICM!D:D, MATCH(Caseslist!B495, dataICM!D:D, 0)), "INC"),
      "COMPLETE"
    )
  )</f>
        <v>COMPLETE</v>
      </c>
      <c r="G495" s="10" t="str">
        <f t="array" ref="G495">IF(IFERROR(INDEX(data!L:L,match(Caseslist!B495,data!D:D,0)),"INC")="","COMPLETE",F495)</f>
        <v>COMPLETE</v>
      </c>
      <c r="H495" s="9" t="str">
        <f t="array" ref="H495">IFERROR(INDEX(dataICM!F:F,match(Caseslist!B495,dataICM!D:D,0)), "INC")</f>
        <v>INC</v>
      </c>
      <c r="I495" s="10" t="str">
        <f t="shared" si="2"/>
        <v>O3925718</v>
      </c>
      <c r="J495" s="9" t="str">
        <f t="array" ref="J495">IF(
  AND(
    IFERROR(MATCH(B495, data!D:D, 0), 0) &gt; 0,
    IFERROR(INDEX(data!N:N, MATCH(B495, data!D:D, 0)) = 1, FALSE)
  ),
  INDEX(data!C:C, MATCH(B495, data!D:D, 0)),
  "INC"
)</f>
        <v>2025-09-28T15:17:29.507+08</v>
      </c>
      <c r="K495" s="9" t="str">
        <f t="array" ref="K495">IFERROR(INDEX(dataICM!C:C,match(Caseslist!B495,dataICM!D:D,0)), "INC")</f>
        <v>INC</v>
      </c>
      <c r="L495" s="10" t="str">
        <f t="array" ref="L495">IF(AND(G495="COMPLETE", OR(K495="INC", ISBLANK(INDEX(data!O:O, ROW())))), J495, K495)</f>
        <v>2025-09-28T15:17:29.507+08</v>
      </c>
      <c r="M495" s="2">
        <v>45928.0</v>
      </c>
      <c r="N495" s="2">
        <f t="array" ref="N495">IF(M495&lt;&gt;"INC", INDEX(data!M:M, MATCH(B495, data!D:D, 0)), "")</f>
        <v>0</v>
      </c>
      <c r="O495" s="2">
        <f t="shared" si="3"/>
        <v>0</v>
      </c>
    </row>
    <row r="496">
      <c r="A496" s="2" t="str">
        <f t="shared" si="1"/>
        <v>H006567</v>
      </c>
      <c r="B496" s="1" t="s">
        <v>4532</v>
      </c>
      <c r="C496" s="9" t="str">
        <f t="array" ref="C496">IF(
  AND(
    IFERROR(MATCH(Caseslist!B496, data!D:D, 0), 0) &gt; 0,
    IFERROR(INDEX(data!N:N, MATCH(Caseslist!B496, data!D:D, 0)) = 1, FALSE)
  ),
  "COMPLETE",
  "INC"
)</f>
        <v>COMPLETE</v>
      </c>
      <c r="D496" s="9" t="str">
        <f t="array" ref="D496">IFERROR(INDEX(data!$G:$G,match(Caseslist!B496,data!$D:$D,0)), "INC")</f>
        <v>P1068432</v>
      </c>
      <c r="E496" s="9" t="str">
        <f t="array" ref="E496">IFERROR(INDEX(data!H:H,match(Caseslist!B496,data!D:D,0)), "INC")</f>
        <v>Mark Daniel Balagao Benson</v>
      </c>
      <c r="F496" s="10" t="str">
        <f t="array" ref="F496">IF(
    OR(
      IFNA(INDEX(data!M:M, MATCH(Caseslist!B496, data!D:D, 0)), "") = "",
      IFNA(INDEX(data!M:M, MATCH(Caseslist!B496, data!D:D, 0)), 0) = 0
    ),
    "COMPLETE",
    IF(
      IFNA(INDEX(dataICM!D:D, MATCH(Caseslist!B496, dataICM!D:D, 0)), "INC") = "INC",
      IFNA(INDEX(dataICM!D:D, MATCH(Caseslist!B496, dataICM!D:D, 0)), "INC"),
      "COMPLETE"
    )
  )</f>
        <v>COMPLETE</v>
      </c>
      <c r="G496" s="10" t="str">
        <f t="array" ref="G496">IF(IFERROR(INDEX(data!L:L,match(Caseslist!B496,data!D:D,0)),"INC")="","COMPLETE",F496)</f>
        <v>COMPLETE</v>
      </c>
      <c r="H496" s="9" t="str">
        <f t="array" ref="H496">IFERROR(INDEX(dataICM!F:F,match(Caseslist!B496,dataICM!D:D,0)), "INC")</f>
        <v>INC</v>
      </c>
      <c r="I496" s="10" t="str">
        <f t="shared" si="2"/>
        <v>P1068432</v>
      </c>
      <c r="J496" s="9" t="str">
        <f t="array" ref="J496">IF(
  AND(
    IFERROR(MATCH(B496, data!D:D, 0), 0) &gt; 0,
    IFERROR(INDEX(data!N:N, MATCH(B496, data!D:D, 0)) = 1, FALSE)
  ),
  INDEX(data!C:C, MATCH(B496, data!D:D, 0)),
  "INC"
)</f>
        <v>2025-09-08T15:07:55.267+08</v>
      </c>
      <c r="K496" s="9" t="str">
        <f t="array" ref="K496">IFERROR(INDEX(dataICM!C:C,match(Caseslist!B496,dataICM!D:D,0)), "INC")</f>
        <v>INC</v>
      </c>
      <c r="L496" s="10" t="str">
        <f t="array" ref="L496">IF(AND(G496="COMPLETE", OR(K496="INC", ISBLANK(INDEX(data!O:O, ROW())))), J496, K496)</f>
        <v>2025-09-08T15:07:55.267+08</v>
      </c>
      <c r="M496" s="2">
        <v>45908.0</v>
      </c>
      <c r="N496" s="2">
        <f t="array" ref="N496">IF(M496&lt;&gt;"INC", INDEX(data!M:M, MATCH(B496, data!D:D, 0)), "")</f>
        <v>0</v>
      </c>
      <c r="O496" s="2">
        <f t="shared" si="3"/>
        <v>0</v>
      </c>
    </row>
    <row r="497">
      <c r="A497" s="2" t="str">
        <f t="shared" si="1"/>
        <v>H006567</v>
      </c>
      <c r="B497" s="1" t="s">
        <v>4387</v>
      </c>
      <c r="C497" s="9" t="str">
        <f t="array" ref="C497">IF(
  AND(
    IFERROR(MATCH(Caseslist!B497, data!D:D, 0), 0) &gt; 0,
    IFERROR(INDEX(data!N:N, MATCH(Caseslist!B497, data!D:D, 0)) = 1, FALSE)
  ),
  "COMPLETE",
  "INC"
)</f>
        <v>COMPLETE</v>
      </c>
      <c r="D497" s="9" t="str">
        <f t="array" ref="D497">IFERROR(INDEX(data!$G:$G,match(Caseslist!B497,data!$D:$D,0)), "INC")</f>
        <v>N7814260</v>
      </c>
      <c r="E497" s="9" t="str">
        <f t="array" ref="E497">IFERROR(INDEX(data!H:H,match(Caseslist!B497,data!D:D,0)), "INC")</f>
        <v>Jemma Marie Tillo</v>
      </c>
      <c r="F497" s="10" t="str">
        <f t="array" ref="F497">IF(
    OR(
      IFNA(INDEX(data!M:M, MATCH(Caseslist!B497, data!D:D, 0)), "") = "",
      IFNA(INDEX(data!M:M, MATCH(Caseslist!B497, data!D:D, 0)), 0) = 0
    ),
    "COMPLETE",
    IF(
      IFNA(INDEX(dataICM!D:D, MATCH(Caseslist!B497, dataICM!D:D, 0)), "INC") = "INC",
      IFNA(INDEX(dataICM!D:D, MATCH(Caseslist!B497, dataICM!D:D, 0)), "INC"),
      "COMPLETE"
    )
  )</f>
        <v>COMPLETE</v>
      </c>
      <c r="G497" s="10" t="str">
        <f t="array" ref="G497">IF(IFERROR(INDEX(data!L:L,match(Caseslist!B497,data!D:D,0)),"INC")="","COMPLETE",F497)</f>
        <v>COMPLETE</v>
      </c>
      <c r="H497" s="9" t="str">
        <f t="array" ref="H497">IFERROR(INDEX(dataICM!F:F,match(Caseslist!B497,dataICM!D:D,0)), "INC")</f>
        <v>INC</v>
      </c>
      <c r="I497" s="10" t="str">
        <f t="shared" si="2"/>
        <v>N7814260</v>
      </c>
      <c r="J497" s="9" t="str">
        <f t="array" ref="J497">IF(
  AND(
    IFERROR(MATCH(B497, data!D:D, 0), 0) &gt; 0,
    IFERROR(INDEX(data!N:N, MATCH(B497, data!D:D, 0)) = 1, FALSE)
  ),
  INDEX(data!C:C, MATCH(B497, data!D:D, 0)),
  "INC"
)</f>
        <v>2025-09-08T08:58:02.921+08</v>
      </c>
      <c r="K497" s="9" t="str">
        <f t="array" ref="K497">IFERROR(INDEX(dataICM!C:C,match(Caseslist!B497,dataICM!D:D,0)), "INC")</f>
        <v>INC</v>
      </c>
      <c r="L497" s="10" t="str">
        <f t="array" ref="L497">IF(AND(G497="COMPLETE", OR(K497="INC", ISBLANK(INDEX(data!O:O, ROW())))), J497, K497)</f>
        <v>2025-09-08T08:58:02.921+08</v>
      </c>
      <c r="M497" s="2">
        <v>45908.0</v>
      </c>
      <c r="N497" s="2">
        <f t="array" ref="N497">IF(M497&lt;&gt;"INC", INDEX(data!M:M, MATCH(B497, data!D:D, 0)), "")</f>
        <v>0</v>
      </c>
      <c r="O497" s="2">
        <f t="shared" si="3"/>
        <v>0</v>
      </c>
    </row>
    <row r="498">
      <c r="A498" s="2" t="str">
        <f t="shared" si="1"/>
        <v>H006567</v>
      </c>
      <c r="B498" s="1" t="s">
        <v>4407</v>
      </c>
      <c r="C498" s="9" t="str">
        <f t="array" ref="C498">IF(
  AND(
    IFERROR(MATCH(Caseslist!B498, data!D:D, 0), 0) &gt; 0,
    IFERROR(INDEX(data!N:N, MATCH(Caseslist!B498, data!D:D, 0)) = 1, FALSE)
  ),
  "COMPLETE",
  "INC"
)</f>
        <v>COMPLETE</v>
      </c>
      <c r="D498" s="9" t="str">
        <f t="array" ref="D498">IFERROR(INDEX(data!$G:$G,match(Caseslist!B498,data!$D:$D,0)), "INC")</f>
        <v>P1068432</v>
      </c>
      <c r="E498" s="9" t="str">
        <f t="array" ref="E498">IFERROR(INDEX(data!H:H,match(Caseslist!B498,data!D:D,0)), "INC")</f>
        <v>Mark Daniel Balagao Benson</v>
      </c>
      <c r="F498" s="10" t="str">
        <f t="array" ref="F498">IF(
    OR(
      IFNA(INDEX(data!M:M, MATCH(Caseslist!B498, data!D:D, 0)), "") = "",
      IFNA(INDEX(data!M:M, MATCH(Caseslist!B498, data!D:D, 0)), 0) = 0
    ),
    "COMPLETE",
    IF(
      IFNA(INDEX(dataICM!D:D, MATCH(Caseslist!B498, dataICM!D:D, 0)), "INC") = "INC",
      IFNA(INDEX(dataICM!D:D, MATCH(Caseslist!B498, dataICM!D:D, 0)), "INC"),
      "COMPLETE"
    )
  )</f>
        <v>COMPLETE</v>
      </c>
      <c r="G498" s="10" t="str">
        <f t="array" ref="G498">IF(IFERROR(INDEX(data!L:L,match(Caseslist!B498,data!D:D,0)),"INC")="","COMPLETE",F498)</f>
        <v>COMPLETE</v>
      </c>
      <c r="H498" s="9" t="str">
        <f t="array" ref="H498">IFERROR(INDEX(dataICM!F:F,match(Caseslist!B498,dataICM!D:D,0)), "INC")</f>
        <v>INC</v>
      </c>
      <c r="I498" s="10" t="str">
        <f t="shared" si="2"/>
        <v>P1068432</v>
      </c>
      <c r="J498" s="9" t="str">
        <f t="array" ref="J498">IF(
  AND(
    IFERROR(MATCH(B498, data!D:D, 0), 0) &gt; 0,
    IFERROR(INDEX(data!N:N, MATCH(B498, data!D:D, 0)) = 1, FALSE)
  ),
  INDEX(data!C:C, MATCH(B498, data!D:D, 0)),
  "INC"
)</f>
        <v>2025-09-28T15:34:43.919+08</v>
      </c>
      <c r="K498" s="9" t="str">
        <f t="array" ref="K498">IFERROR(INDEX(dataICM!C:C,match(Caseslist!B498,dataICM!D:D,0)), "INC")</f>
        <v>INC</v>
      </c>
      <c r="L498" s="10" t="str">
        <f t="array" ref="L498">IF(AND(G498="COMPLETE", OR(K498="INC", ISBLANK(INDEX(data!O:O, ROW())))), J498, K498)</f>
        <v>2025-09-28T15:34:43.919+08</v>
      </c>
      <c r="M498" s="2">
        <v>45928.0</v>
      </c>
      <c r="N498" s="2">
        <f t="array" ref="N498">IF(M498&lt;&gt;"INC", INDEX(data!M:M, MATCH(B498, data!D:D, 0)), "")</f>
        <v>0</v>
      </c>
      <c r="O498" s="2">
        <f t="shared" si="3"/>
        <v>0</v>
      </c>
    </row>
    <row r="499">
      <c r="A499" s="2" t="str">
        <f t="shared" si="1"/>
        <v>H006567</v>
      </c>
      <c r="B499" s="1" t="s">
        <v>4517</v>
      </c>
      <c r="C499" s="9" t="str">
        <f t="array" ref="C499">IF(
  AND(
    IFERROR(MATCH(Caseslist!B499, data!D:D, 0), 0) &gt; 0,
    IFERROR(INDEX(data!N:N, MATCH(Caseslist!B499, data!D:D, 0)) = 1, FALSE)
  ),
  "COMPLETE",
  "INC"
)</f>
        <v>COMPLETE</v>
      </c>
      <c r="D499" s="9" t="str">
        <f t="array" ref="D499">IFERROR(INDEX(data!$G:$G,match(Caseslist!B499,data!$D:$D,0)), "INC")</f>
        <v>P1068432</v>
      </c>
      <c r="E499" s="9" t="str">
        <f t="array" ref="E499">IFERROR(INDEX(data!H:H,match(Caseslist!B499,data!D:D,0)), "INC")</f>
        <v>Mark Daniel Balagao Benson</v>
      </c>
      <c r="F499" s="10" t="str">
        <f t="array" ref="F499">IF(
    OR(
      IFNA(INDEX(data!M:M, MATCH(Caseslist!B499, data!D:D, 0)), "") = "",
      IFNA(INDEX(data!M:M, MATCH(Caseslist!B499, data!D:D, 0)), 0) = 0
    ),
    "COMPLETE",
    IF(
      IFNA(INDEX(dataICM!D:D, MATCH(Caseslist!B499, dataICM!D:D, 0)), "INC") = "INC",
      IFNA(INDEX(dataICM!D:D, MATCH(Caseslist!B499, dataICM!D:D, 0)), "INC"),
      "COMPLETE"
    )
  )</f>
        <v>COMPLETE</v>
      </c>
      <c r="G499" s="10" t="str">
        <f t="array" ref="G499">IF(IFERROR(INDEX(data!L:L,match(Caseslist!B499,data!D:D,0)),"INC")="","COMPLETE",F499)</f>
        <v>COMPLETE</v>
      </c>
      <c r="H499" s="9" t="str">
        <f t="array" ref="H499">IFERROR(INDEX(dataICM!F:F,match(Caseslist!B499,dataICM!D:D,0)), "INC")</f>
        <v>INC</v>
      </c>
      <c r="I499" s="10" t="str">
        <f t="shared" si="2"/>
        <v>P1068432</v>
      </c>
      <c r="J499" s="9" t="str">
        <f t="array" ref="J499">IF(
  AND(
    IFERROR(MATCH(B499, data!D:D, 0), 0) &gt; 0,
    IFERROR(INDEX(data!N:N, MATCH(B499, data!D:D, 0)) = 1, FALSE)
  ),
  INDEX(data!C:C, MATCH(B499, data!D:D, 0)),
  "INC"
)</f>
        <v>2025-09-08T09:22:12.951+08</v>
      </c>
      <c r="K499" s="9" t="str">
        <f t="array" ref="K499">IFERROR(INDEX(dataICM!C:C,match(Caseslist!B499,dataICM!D:D,0)), "INC")</f>
        <v>INC</v>
      </c>
      <c r="L499" s="10" t="str">
        <f t="array" ref="L499">IF(AND(G499="COMPLETE", OR(K499="INC", ISBLANK(INDEX(data!O:O, ROW())))), J499, K499)</f>
        <v>2025-09-08T09:22:12.951+08</v>
      </c>
      <c r="M499" s="2">
        <v>45908.0</v>
      </c>
      <c r="N499" s="2">
        <f t="array" ref="N499">IF(M499&lt;&gt;"INC", INDEX(data!M:M, MATCH(B499, data!D:D, 0)), "")</f>
        <v>0</v>
      </c>
      <c r="O499" s="2">
        <f t="shared" si="3"/>
        <v>0</v>
      </c>
    </row>
    <row r="500">
      <c r="A500" s="2" t="str">
        <f t="shared" si="1"/>
        <v>H006567</v>
      </c>
      <c r="B500" s="1" t="s">
        <v>4402</v>
      </c>
      <c r="C500" s="9" t="str">
        <f t="array" ref="C500">IF(
  AND(
    IFERROR(MATCH(Caseslist!B500, data!D:D, 0), 0) &gt; 0,
    IFERROR(INDEX(data!N:N, MATCH(Caseslist!B500, data!D:D, 0)) = 1, FALSE)
  ),
  "COMPLETE",
  "INC"
)</f>
        <v>COMPLETE</v>
      </c>
      <c r="D500" s="9" t="str">
        <f t="array" ref="D500">IFERROR(INDEX(data!$G:$G,match(Caseslist!B500,data!$D:$D,0)), "INC")</f>
        <v>N7814260</v>
      </c>
      <c r="E500" s="9" t="str">
        <f t="array" ref="E500">IFERROR(INDEX(data!H:H,match(Caseslist!B500,data!D:D,0)), "INC")</f>
        <v>Jemma Marie Tillo</v>
      </c>
      <c r="F500" s="10" t="str">
        <f t="array" ref="F500">IF(
    OR(
      IFNA(INDEX(data!M:M, MATCH(Caseslist!B500, data!D:D, 0)), "") = "",
      IFNA(INDEX(data!M:M, MATCH(Caseslist!B500, data!D:D, 0)), 0) = 0
    ),
    "COMPLETE",
    IF(
      IFNA(INDEX(dataICM!D:D, MATCH(Caseslist!B500, dataICM!D:D, 0)), "INC") = "INC",
      IFNA(INDEX(dataICM!D:D, MATCH(Caseslist!B500, dataICM!D:D, 0)), "INC"),
      "COMPLETE"
    )
  )</f>
        <v>COMPLETE</v>
      </c>
      <c r="G500" s="10" t="str">
        <f t="array" ref="G500">IF(IFERROR(INDEX(data!L:L,match(Caseslist!B500,data!D:D,0)),"INC")="","COMPLETE",F500)</f>
        <v>COMPLETE</v>
      </c>
      <c r="H500" s="9" t="str">
        <f t="array" ref="H500">IFERROR(INDEX(dataICM!F:F,match(Caseslist!B500,dataICM!D:D,0)), "INC")</f>
        <v>INC</v>
      </c>
      <c r="I500" s="10" t="str">
        <f t="shared" si="2"/>
        <v>N7814260</v>
      </c>
      <c r="J500" s="9" t="str">
        <f t="array" ref="J500">IF(
  AND(
    IFERROR(MATCH(B500, data!D:D, 0), 0) &gt; 0,
    IFERROR(INDEX(data!N:N, MATCH(B500, data!D:D, 0)) = 1, FALSE)
  ),
  INDEX(data!C:C, MATCH(B500, data!D:D, 0)),
  "INC"
)</f>
        <v>2025-09-08T14:11:45.095+08</v>
      </c>
      <c r="K500" s="9" t="str">
        <f t="array" ref="K500">IFERROR(INDEX(dataICM!C:C,match(Caseslist!B500,dataICM!D:D,0)), "INC")</f>
        <v>INC</v>
      </c>
      <c r="L500" s="10" t="str">
        <f t="array" ref="L500">IF(AND(G500="COMPLETE", OR(K500="INC", ISBLANK(INDEX(data!O:O, ROW())))), J500, K500)</f>
        <v>2025-09-08T14:11:45.095+08</v>
      </c>
      <c r="M500" s="2">
        <v>45908.0</v>
      </c>
      <c r="N500" s="2">
        <f t="array" ref="N500">IF(M500&lt;&gt;"INC", INDEX(data!M:M, MATCH(B500, data!D:D, 0)), "")</f>
        <v>0</v>
      </c>
      <c r="O500" s="2">
        <f t="shared" si="3"/>
        <v>0</v>
      </c>
    </row>
    <row r="501">
      <c r="A501" s="2" t="str">
        <f t="shared" si="1"/>
        <v>H006567</v>
      </c>
      <c r="B501" s="1" t="s">
        <v>4392</v>
      </c>
      <c r="C501" s="9" t="str">
        <f t="array" ref="C501">IF(
  AND(
    IFERROR(MATCH(Caseslist!B501, data!D:D, 0), 0) &gt; 0,
    IFERROR(INDEX(data!N:N, MATCH(Caseslist!B501, data!D:D, 0)) = 1, FALSE)
  ),
  "COMPLETE",
  "INC"
)</f>
        <v>COMPLETE</v>
      </c>
      <c r="D501" s="9" t="str">
        <f t="array" ref="D501">IFERROR(INDEX(data!$G:$G,match(Caseslist!B501,data!$D:$D,0)), "INC")</f>
        <v>N7814260</v>
      </c>
      <c r="E501" s="9" t="str">
        <f t="array" ref="E501">IFERROR(INDEX(data!H:H,match(Caseslist!B501,data!D:D,0)), "INC")</f>
        <v>Jemma Marie Tillo</v>
      </c>
      <c r="F501" s="10" t="str">
        <f t="array" ref="F501">IF(
    OR(
      IFNA(INDEX(data!M:M, MATCH(Caseslist!B501, data!D:D, 0)), "") = "",
      IFNA(INDEX(data!M:M, MATCH(Caseslist!B501, data!D:D, 0)), 0) = 0
    ),
    "COMPLETE",
    IF(
      IFNA(INDEX(dataICM!D:D, MATCH(Caseslist!B501, dataICM!D:D, 0)), "INC") = "INC",
      IFNA(INDEX(dataICM!D:D, MATCH(Caseslist!B501, dataICM!D:D, 0)), "INC"),
      "COMPLETE"
    )
  )</f>
        <v>COMPLETE</v>
      </c>
      <c r="G501" s="10" t="str">
        <f t="array" ref="G501">IF(IFERROR(INDEX(data!L:L,match(Caseslist!B501,data!D:D,0)),"INC")="","COMPLETE",F501)</f>
        <v>COMPLETE</v>
      </c>
      <c r="H501" s="9" t="str">
        <f t="array" ref="H501">IFERROR(INDEX(dataICM!F:F,match(Caseslist!B501,dataICM!D:D,0)), "INC")</f>
        <v>INC</v>
      </c>
      <c r="I501" s="10" t="str">
        <f t="shared" si="2"/>
        <v>N7814260</v>
      </c>
      <c r="J501" s="9" t="str">
        <f t="array" ref="J501">IF(
  AND(
    IFERROR(MATCH(B501, data!D:D, 0), 0) &gt; 0,
    IFERROR(INDEX(data!N:N, MATCH(B501, data!D:D, 0)) = 1, FALSE)
  ),
  INDEX(data!C:C, MATCH(B501, data!D:D, 0)),
  "INC"
)</f>
        <v>2025-09-08T10:12:13.443+08</v>
      </c>
      <c r="K501" s="9" t="str">
        <f t="array" ref="K501">IFERROR(INDEX(dataICM!C:C,match(Caseslist!B501,dataICM!D:D,0)), "INC")</f>
        <v>INC</v>
      </c>
      <c r="L501" s="10" t="str">
        <f t="array" ref="L501">IF(AND(G501="COMPLETE", OR(K501="INC", ISBLANK(INDEX(data!O:O, ROW())))), J501, K501)</f>
        <v>2025-09-08T10:12:13.443+08</v>
      </c>
      <c r="M501" s="2">
        <v>45908.0</v>
      </c>
      <c r="N501" s="2">
        <f t="array" ref="N501">IF(M501&lt;&gt;"INC", INDEX(data!M:M, MATCH(B501, data!D:D, 0)), "")</f>
        <v>0</v>
      </c>
      <c r="O501" s="2">
        <f t="shared" si="3"/>
        <v>0</v>
      </c>
    </row>
    <row r="502">
      <c r="A502" s="2" t="str">
        <f t="shared" si="1"/>
        <v>H006567</v>
      </c>
      <c r="B502" s="1" t="s">
        <v>4427</v>
      </c>
      <c r="C502" s="9" t="str">
        <f t="array" ref="C502">IF(
  AND(
    IFERROR(MATCH(Caseslist!B502, data!D:D, 0), 0) &gt; 0,
    IFERROR(INDEX(data!N:N, MATCH(Caseslist!B502, data!D:D, 0)) = 1, FALSE)
  ),
  "COMPLETE",
  "INC"
)</f>
        <v>COMPLETE</v>
      </c>
      <c r="D502" s="9" t="str">
        <f t="array" ref="D502">IFERROR(INDEX(data!$G:$G,match(Caseslist!B502,data!$D:$D,0)), "INC")</f>
        <v>O3925718</v>
      </c>
      <c r="E502" s="9" t="str">
        <f t="array" ref="E502">IFERROR(INDEX(data!H:H,match(Caseslist!B502,data!D:D,0)), "INC")</f>
        <v>Adrian Montecastro Ferrer</v>
      </c>
      <c r="F502" s="10" t="str">
        <f t="array" ref="F502">IF(
    OR(
      IFNA(INDEX(data!M:M, MATCH(Caseslist!B502, data!D:D, 0)), "") = "",
      IFNA(INDEX(data!M:M, MATCH(Caseslist!B502, data!D:D, 0)), 0) = 0
    ),
    "COMPLETE",
    IF(
      IFNA(INDEX(dataICM!D:D, MATCH(Caseslist!B502, dataICM!D:D, 0)), "INC") = "INC",
      IFNA(INDEX(dataICM!D:D, MATCH(Caseslist!B502, dataICM!D:D, 0)), "INC"),
      "COMPLETE"
    )
  )</f>
        <v>COMPLETE</v>
      </c>
      <c r="G502" s="10" t="str">
        <f t="array" ref="G502">IF(IFERROR(INDEX(data!L:L,match(Caseslist!B502,data!D:D,0)),"INC")="","COMPLETE",F502)</f>
        <v>COMPLETE</v>
      </c>
      <c r="H502" s="9" t="str">
        <f t="array" ref="H502">IFERROR(INDEX(dataICM!F:F,match(Caseslist!B502,dataICM!D:D,0)), "INC")</f>
        <v>INC</v>
      </c>
      <c r="I502" s="10" t="str">
        <f t="shared" si="2"/>
        <v>O3925718</v>
      </c>
      <c r="J502" s="9" t="str">
        <f t="array" ref="J502">IF(
  AND(
    IFERROR(MATCH(B502, data!D:D, 0), 0) &gt; 0,
    IFERROR(INDEX(data!N:N, MATCH(B502, data!D:D, 0)) = 1, FALSE)
  ),
  INDEX(data!C:C, MATCH(B502, data!D:D, 0)),
  "INC"
)</f>
        <v>2025-09-08T09:41:45.693+08</v>
      </c>
      <c r="K502" s="9" t="str">
        <f t="array" ref="K502">IFERROR(INDEX(dataICM!C:C,match(Caseslist!B502,dataICM!D:D,0)), "INC")</f>
        <v>INC</v>
      </c>
      <c r="L502" s="10" t="str">
        <f t="array" ref="L502">IF(AND(G502="COMPLETE", OR(K502="INC", ISBLANK(INDEX(data!O:O, ROW())))), J502, K502)</f>
        <v>2025-09-08T09:41:45.693+08</v>
      </c>
      <c r="M502" s="2">
        <v>45908.0</v>
      </c>
      <c r="N502" s="2">
        <f t="array" ref="N502">IF(M502&lt;&gt;"INC", INDEX(data!M:M, MATCH(B502, data!D:D, 0)), "")</f>
        <v>0</v>
      </c>
      <c r="O502" s="2">
        <f t="shared" si="3"/>
        <v>0</v>
      </c>
    </row>
    <row r="503">
      <c r="A503" s="2" t="str">
        <f t="shared" si="1"/>
        <v>H006567</v>
      </c>
      <c r="B503" s="1" t="s">
        <v>4422</v>
      </c>
      <c r="C503" s="9" t="str">
        <f t="array" ref="C503">IF(
  AND(
    IFERROR(MATCH(Caseslist!B503, data!D:D, 0), 0) &gt; 0,
    IFERROR(INDEX(data!N:N, MATCH(Caseslist!B503, data!D:D, 0)) = 1, FALSE)
  ),
  "COMPLETE",
  "INC"
)</f>
        <v>COMPLETE</v>
      </c>
      <c r="D503" s="9" t="str">
        <f t="array" ref="D503">IFERROR(INDEX(data!$G:$G,match(Caseslist!B503,data!$D:$D,0)), "INC")</f>
        <v>O3925718</v>
      </c>
      <c r="E503" s="9" t="str">
        <f t="array" ref="E503">IFERROR(INDEX(data!H:H,match(Caseslist!B503,data!D:D,0)), "INC")</f>
        <v>Adrian Montecastro Ferrer</v>
      </c>
      <c r="F503" s="10" t="str">
        <f t="array" ref="F503">IF(
    OR(
      IFNA(INDEX(data!M:M, MATCH(Caseslist!B503, data!D:D, 0)), "") = "",
      IFNA(INDEX(data!M:M, MATCH(Caseslist!B503, data!D:D, 0)), 0) = 0
    ),
    "COMPLETE",
    IF(
      IFNA(INDEX(dataICM!D:D, MATCH(Caseslist!B503, dataICM!D:D, 0)), "INC") = "INC",
      IFNA(INDEX(dataICM!D:D, MATCH(Caseslist!B503, dataICM!D:D, 0)), "INC"),
      "COMPLETE"
    )
  )</f>
        <v>COMPLETE</v>
      </c>
      <c r="G503" s="10" t="str">
        <f t="array" ref="G503">IF(IFERROR(INDEX(data!L:L,match(Caseslist!B503,data!D:D,0)),"INC")="","COMPLETE",F503)</f>
        <v>COMPLETE</v>
      </c>
      <c r="H503" s="9" t="str">
        <f t="array" ref="H503">IFERROR(INDEX(dataICM!F:F,match(Caseslist!B503,dataICM!D:D,0)), "INC")</f>
        <v>INC</v>
      </c>
      <c r="I503" s="10" t="str">
        <f t="shared" si="2"/>
        <v>O3925718</v>
      </c>
      <c r="J503" s="9" t="str">
        <f t="array" ref="J503">IF(
  AND(
    IFERROR(MATCH(B503, data!D:D, 0), 0) &gt; 0,
    IFERROR(INDEX(data!N:N, MATCH(B503, data!D:D, 0)) = 1, FALSE)
  ),
  INDEX(data!C:C, MATCH(B503, data!D:D, 0)),
  "INC"
)</f>
        <v>2025-09-08T11:01:15.108+08</v>
      </c>
      <c r="K503" s="9" t="str">
        <f t="array" ref="K503">IFERROR(INDEX(dataICM!C:C,match(Caseslist!B503,dataICM!D:D,0)), "INC")</f>
        <v>INC</v>
      </c>
      <c r="L503" s="10" t="str">
        <f t="array" ref="L503">IF(AND(G503="COMPLETE", OR(K503="INC", ISBLANK(INDEX(data!O:O, ROW())))), J503, K503)</f>
        <v>2025-09-08T11:01:15.108+08</v>
      </c>
      <c r="M503" s="2">
        <v>45908.0</v>
      </c>
      <c r="N503" s="2">
        <f t="array" ref="N503">IF(M503&lt;&gt;"INC", INDEX(data!M:M, MATCH(B503, data!D:D, 0)), "")</f>
        <v>0</v>
      </c>
      <c r="O503" s="2">
        <f t="shared" si="3"/>
        <v>0</v>
      </c>
    </row>
    <row r="504">
      <c r="A504" s="2" t="str">
        <f t="shared" si="1"/>
        <v>H006567</v>
      </c>
      <c r="B504" s="1" t="s">
        <v>4522</v>
      </c>
      <c r="C504" s="9" t="str">
        <f t="array" ref="C504">IF(
  AND(
    IFERROR(MATCH(Caseslist!B504, data!D:D, 0), 0) &gt; 0,
    IFERROR(INDEX(data!N:N, MATCH(Caseslist!B504, data!D:D, 0)) = 1, FALSE)
  ),
  "COMPLETE",
  "INC"
)</f>
        <v>COMPLETE</v>
      </c>
      <c r="D504" s="9" t="str">
        <f t="array" ref="D504">IFERROR(INDEX(data!$G:$G,match(Caseslist!B504,data!$D:$D,0)), "INC")</f>
        <v>P1068432</v>
      </c>
      <c r="E504" s="9" t="str">
        <f t="array" ref="E504">IFERROR(INDEX(data!H:H,match(Caseslist!B504,data!D:D,0)), "INC")</f>
        <v>Mark Daniel Balagao Benson</v>
      </c>
      <c r="F504" s="10" t="str">
        <f t="array" ref="F504">IF(
    OR(
      IFNA(INDEX(data!M:M, MATCH(Caseslist!B504, data!D:D, 0)), "") = "",
      IFNA(INDEX(data!M:M, MATCH(Caseslist!B504, data!D:D, 0)), 0) = 0
    ),
    "COMPLETE",
    IF(
      IFNA(INDEX(dataICM!D:D, MATCH(Caseslist!B504, dataICM!D:D, 0)), "INC") = "INC",
      IFNA(INDEX(dataICM!D:D, MATCH(Caseslist!B504, dataICM!D:D, 0)), "INC"),
      "COMPLETE"
    )
  )</f>
        <v>COMPLETE</v>
      </c>
      <c r="G504" s="10" t="str">
        <f t="array" ref="G504">IF(IFERROR(INDEX(data!L:L,match(Caseslist!B504,data!D:D,0)),"INC")="","COMPLETE",F504)</f>
        <v>COMPLETE</v>
      </c>
      <c r="H504" s="9" t="str">
        <f t="array" ref="H504">IFERROR(INDEX(dataICM!F:F,match(Caseslist!B504,dataICM!D:D,0)), "INC")</f>
        <v>INC</v>
      </c>
      <c r="I504" s="10" t="str">
        <f t="shared" si="2"/>
        <v>P1068432</v>
      </c>
      <c r="J504" s="9" t="str">
        <f t="array" ref="J504">IF(
  AND(
    IFERROR(MATCH(B504, data!D:D, 0), 0) &gt; 0,
    IFERROR(INDEX(data!N:N, MATCH(B504, data!D:D, 0)) = 1, FALSE)
  ),
  INDEX(data!C:C, MATCH(B504, data!D:D, 0)),
  "INC"
)</f>
        <v>2025-09-08T10:42:41.493+08</v>
      </c>
      <c r="K504" s="9" t="str">
        <f t="array" ref="K504">IFERROR(INDEX(dataICM!C:C,match(Caseslist!B504,dataICM!D:D,0)), "INC")</f>
        <v>INC</v>
      </c>
      <c r="L504" s="10" t="str">
        <f t="array" ref="L504">IF(AND(G504="COMPLETE", OR(K504="INC", ISBLANK(INDEX(data!O:O, ROW())))), J504, K504)</f>
        <v>2025-09-08T10:42:41.493+08</v>
      </c>
      <c r="M504" s="2">
        <v>45908.0</v>
      </c>
      <c r="N504" s="2">
        <f t="array" ref="N504">IF(M504&lt;&gt;"INC", INDEX(data!M:M, MATCH(B504, data!D:D, 0)), "")</f>
        <v>0</v>
      </c>
      <c r="O504" s="2">
        <f t="shared" si="3"/>
        <v>0</v>
      </c>
    </row>
    <row r="505">
      <c r="A505" s="2" t="str">
        <f t="shared" si="1"/>
        <v>H006567</v>
      </c>
      <c r="B505" s="1" t="s">
        <v>4527</v>
      </c>
      <c r="C505" s="9" t="str">
        <f t="array" ref="C505">IF(
  AND(
    IFERROR(MATCH(Caseslist!B505, data!D:D, 0), 0) &gt; 0,
    IFERROR(INDEX(data!N:N, MATCH(Caseslist!B505, data!D:D, 0)) = 1, FALSE)
  ),
  "COMPLETE",
  "INC"
)</f>
        <v>COMPLETE</v>
      </c>
      <c r="D505" s="9" t="str">
        <f t="array" ref="D505">IFERROR(INDEX(data!$G:$G,match(Caseslist!B505,data!$D:$D,0)), "INC")</f>
        <v>P1068432</v>
      </c>
      <c r="E505" s="9" t="str">
        <f t="array" ref="E505">IFERROR(INDEX(data!H:H,match(Caseslist!B505,data!D:D,0)), "INC")</f>
        <v>Mark Daniel Balagao Benson</v>
      </c>
      <c r="F505" s="10" t="str">
        <f t="array" ref="F505">IF(
    OR(
      IFNA(INDEX(data!M:M, MATCH(Caseslist!B505, data!D:D, 0)), "") = "",
      IFNA(INDEX(data!M:M, MATCH(Caseslist!B505, data!D:D, 0)), 0) = 0
    ),
    "COMPLETE",
    IF(
      IFNA(INDEX(dataICM!D:D, MATCH(Caseslist!B505, dataICM!D:D, 0)), "INC") = "INC",
      IFNA(INDEX(dataICM!D:D, MATCH(Caseslist!B505, dataICM!D:D, 0)), "INC"),
      "COMPLETE"
    )
  )</f>
        <v>COMPLETE</v>
      </c>
      <c r="G505" s="10" t="str">
        <f t="array" ref="G505">IF(IFERROR(INDEX(data!L:L,match(Caseslist!B505,data!D:D,0)),"INC")="","COMPLETE",F505)</f>
        <v>COMPLETE</v>
      </c>
      <c r="H505" s="9" t="str">
        <f t="array" ref="H505">IFERROR(INDEX(dataICM!F:F,match(Caseslist!B505,dataICM!D:D,0)), "INC")</f>
        <v>INC</v>
      </c>
      <c r="I505" s="10" t="str">
        <f t="shared" si="2"/>
        <v>P1068432</v>
      </c>
      <c r="J505" s="9" t="str">
        <f t="array" ref="J505">IF(
  AND(
    IFERROR(MATCH(B505, data!D:D, 0), 0) &gt; 0,
    IFERROR(INDEX(data!N:N, MATCH(B505, data!D:D, 0)) = 1, FALSE)
  ),
  INDEX(data!C:C, MATCH(B505, data!D:D, 0)),
  "INC"
)</f>
        <v>2025-09-08T12:17:50.302+08</v>
      </c>
      <c r="K505" s="9" t="str">
        <f t="array" ref="K505">IFERROR(INDEX(dataICM!C:C,match(Caseslist!B505,dataICM!D:D,0)), "INC")</f>
        <v>INC</v>
      </c>
      <c r="L505" s="10" t="str">
        <f t="array" ref="L505">IF(AND(G505="COMPLETE", OR(K505="INC", ISBLANK(INDEX(data!O:O, ROW())))), J505, K505)</f>
        <v>2025-09-08T12:17:50.302+08</v>
      </c>
      <c r="M505" s="2">
        <v>45908.0</v>
      </c>
      <c r="N505" s="2">
        <f t="array" ref="N505">IF(M505&lt;&gt;"INC", INDEX(data!M:M, MATCH(B505, data!D:D, 0)), "")</f>
        <v>0</v>
      </c>
      <c r="O505" s="2">
        <f t="shared" si="3"/>
        <v>0</v>
      </c>
    </row>
    <row r="506">
      <c r="A506" s="2" t="str">
        <f t="shared" si="1"/>
        <v>H006567</v>
      </c>
      <c r="B506" s="1" t="s">
        <v>4417</v>
      </c>
      <c r="C506" s="9" t="str">
        <f t="array" ref="C506">IF(
  AND(
    IFERROR(MATCH(Caseslist!B506, data!D:D, 0), 0) &gt; 0,
    IFERROR(INDEX(data!N:N, MATCH(Caseslist!B506, data!D:D, 0)) = 1, FALSE)
  ),
  "COMPLETE",
  "INC"
)</f>
        <v>COMPLETE</v>
      </c>
      <c r="D506" s="9" t="str">
        <f t="array" ref="D506">IFERROR(INDEX(data!$G:$G,match(Caseslist!B506,data!$D:$D,0)), "INC")</f>
        <v>O3925718</v>
      </c>
      <c r="E506" s="9" t="str">
        <f t="array" ref="E506">IFERROR(INDEX(data!H:H,match(Caseslist!B506,data!D:D,0)), "INC")</f>
        <v>Adrian Montecastro Ferrer</v>
      </c>
      <c r="F506" s="10" t="str">
        <f t="array" ref="F506">IF(
    OR(
      IFNA(INDEX(data!M:M, MATCH(Caseslist!B506, data!D:D, 0)), "") = "",
      IFNA(INDEX(data!M:M, MATCH(Caseslist!B506, data!D:D, 0)), 0) = 0
    ),
    "COMPLETE",
    IF(
      IFNA(INDEX(dataICM!D:D, MATCH(Caseslist!B506, dataICM!D:D, 0)), "INC") = "INC",
      IFNA(INDEX(dataICM!D:D, MATCH(Caseslist!B506, dataICM!D:D, 0)), "INC"),
      "COMPLETE"
    )
  )</f>
        <v>COMPLETE</v>
      </c>
      <c r="G506" s="10" t="str">
        <f t="array" ref="G506">IF(IFERROR(INDEX(data!L:L,match(Caseslist!B506,data!D:D,0)),"INC")="","COMPLETE",F506)</f>
        <v>COMPLETE</v>
      </c>
      <c r="H506" s="9" t="str">
        <f t="array" ref="H506">IFERROR(INDEX(dataICM!F:F,match(Caseslist!B506,dataICM!D:D,0)), "INC")</f>
        <v>INC</v>
      </c>
      <c r="I506" s="10" t="str">
        <f t="shared" si="2"/>
        <v>O3925718</v>
      </c>
      <c r="J506" s="9" t="str">
        <f t="array" ref="J506">IF(
  AND(
    IFERROR(MATCH(B506, data!D:D, 0), 0) &gt; 0,
    IFERROR(INDEX(data!N:N, MATCH(B506, data!D:D, 0)) = 1, FALSE)
  ),
  INDEX(data!C:C, MATCH(B506, data!D:D, 0)),
  "INC"
)</f>
        <v>2025-09-08T12:22:18.765+08</v>
      </c>
      <c r="K506" s="9" t="str">
        <f t="array" ref="K506">IFERROR(INDEX(dataICM!C:C,match(Caseslist!B506,dataICM!D:D,0)), "INC")</f>
        <v>INC</v>
      </c>
      <c r="L506" s="10" t="str">
        <f t="array" ref="L506">IF(AND(G506="COMPLETE", OR(K506="INC", ISBLANK(INDEX(data!O:O, ROW())))), J506, K506)</f>
        <v>2025-09-08T12:22:18.765+08</v>
      </c>
      <c r="M506" s="2">
        <v>45908.0</v>
      </c>
      <c r="N506" s="2">
        <f t="array" ref="N506">IF(M506&lt;&gt;"INC", INDEX(data!M:M, MATCH(B506, data!D:D, 0)), "")</f>
        <v>0</v>
      </c>
      <c r="O506" s="2">
        <f t="shared" si="3"/>
        <v>0</v>
      </c>
    </row>
    <row r="507">
      <c r="A507" s="2" t="str">
        <f t="shared" si="1"/>
        <v>H006567</v>
      </c>
      <c r="B507" s="1" t="s">
        <v>4397</v>
      </c>
      <c r="C507" s="9" t="str">
        <f t="array" ref="C507">IF(
  AND(
    IFERROR(MATCH(Caseslist!B507, data!D:D, 0), 0) &gt; 0,
    IFERROR(INDEX(data!N:N, MATCH(Caseslist!B507, data!D:D, 0)) = 1, FALSE)
  ),
  "COMPLETE",
  "INC"
)</f>
        <v>COMPLETE</v>
      </c>
      <c r="D507" s="9" t="str">
        <f t="array" ref="D507">IFERROR(INDEX(data!$G:$G,match(Caseslist!B507,data!$D:$D,0)), "INC")</f>
        <v>N7814260</v>
      </c>
      <c r="E507" s="9" t="str">
        <f t="array" ref="E507">IFERROR(INDEX(data!H:H,match(Caseslist!B507,data!D:D,0)), "INC")</f>
        <v>Jemma Marie Tillo</v>
      </c>
      <c r="F507" s="10" t="str">
        <f t="array" ref="F507">IF(
    OR(
      IFNA(INDEX(data!M:M, MATCH(Caseslist!B507, data!D:D, 0)), "") = "",
      IFNA(INDEX(data!M:M, MATCH(Caseslist!B507, data!D:D, 0)), 0) = 0
    ),
    "COMPLETE",
    IF(
      IFNA(INDEX(dataICM!D:D, MATCH(Caseslist!B507, dataICM!D:D, 0)), "INC") = "INC",
      IFNA(INDEX(dataICM!D:D, MATCH(Caseslist!B507, dataICM!D:D, 0)), "INC"),
      "COMPLETE"
    )
  )</f>
        <v>COMPLETE</v>
      </c>
      <c r="G507" s="10" t="str">
        <f t="array" ref="G507">IF(IFERROR(INDEX(data!L:L,match(Caseslist!B507,data!D:D,0)),"INC")="","COMPLETE",F507)</f>
        <v>COMPLETE</v>
      </c>
      <c r="H507" s="9" t="str">
        <f t="array" ref="H507">IFERROR(INDEX(dataICM!F:F,match(Caseslist!B507,dataICM!D:D,0)), "INC")</f>
        <v>INC</v>
      </c>
      <c r="I507" s="10" t="str">
        <f t="shared" si="2"/>
        <v>N7814260</v>
      </c>
      <c r="J507" s="9" t="str">
        <f t="array" ref="J507">IF(
  AND(
    IFERROR(MATCH(B507, data!D:D, 0), 0) &gt; 0,
    IFERROR(INDEX(data!N:N, MATCH(B507, data!D:D, 0)) = 1, FALSE)
  ),
  INDEX(data!C:C, MATCH(B507, data!D:D, 0)),
  "INC"
)</f>
        <v>2025-09-08T11:27:44.789+08</v>
      </c>
      <c r="K507" s="9" t="str">
        <f t="array" ref="K507">IFERROR(INDEX(dataICM!C:C,match(Caseslist!B507,dataICM!D:D,0)), "INC")</f>
        <v>INC</v>
      </c>
      <c r="L507" s="10" t="str">
        <f t="array" ref="L507">IF(AND(G507="COMPLETE", OR(K507="INC", ISBLANK(INDEX(data!O:O, ROW())))), J507, K507)</f>
        <v>2025-09-08T11:27:44.789+08</v>
      </c>
      <c r="M507" s="2">
        <v>45908.0</v>
      </c>
      <c r="N507" s="2">
        <f t="array" ref="N507">IF(M507&lt;&gt;"INC", INDEX(data!M:M, MATCH(B507, data!D:D, 0)), "")</f>
        <v>0</v>
      </c>
      <c r="O507" s="2">
        <f t="shared" si="3"/>
        <v>0</v>
      </c>
    </row>
    <row r="508">
      <c r="A508" s="2" t="str">
        <f t="shared" si="1"/>
        <v>H006626</v>
      </c>
      <c r="B508" s="1" t="s">
        <v>5663</v>
      </c>
      <c r="C508" s="9" t="str">
        <f t="array" ref="C508">IF(
  AND(
    IFERROR(MATCH(Caseslist!B508, data!D:D, 0), 0) &gt; 0,
    IFERROR(INDEX(data!N:N, MATCH(Caseslist!B508, data!D:D, 0)) = 1, FALSE)
  ),
  "COMPLETE",
  "INC"
)</f>
        <v>COMPLETE</v>
      </c>
      <c r="D508" s="9" t="str">
        <f t="array" ref="D508">IFERROR(INDEX(data!$G:$G,match(Caseslist!B508,data!$D:$D,0)), "INC")</f>
        <v>N7814260</v>
      </c>
      <c r="E508" s="9" t="str">
        <f t="array" ref="E508">IFERROR(INDEX(data!H:H,match(Caseslist!B508,data!D:D,0)), "INC")</f>
        <v>Jemma Marie Tillo</v>
      </c>
      <c r="F508" s="10" t="str">
        <f t="array" ref="F508">IF(
    OR(
      IFNA(INDEX(data!M:M, MATCH(Caseslist!B508, data!D:D, 0)), "") = "",
      IFNA(INDEX(data!M:M, MATCH(Caseslist!B508, data!D:D, 0)), 0) = 0
    ),
    "COMPLETE",
    IF(
      IFNA(INDEX(dataICM!D:D, MATCH(Caseslist!B508, dataICM!D:D, 0)), "INC") = "INC",
      IFNA(INDEX(dataICM!D:D, MATCH(Caseslist!B508, dataICM!D:D, 0)), "INC"),
      "COMPLETE"
    )
  )</f>
        <v>COMPLETE</v>
      </c>
      <c r="G508" s="10" t="str">
        <f t="array" ref="G508">IF(IFERROR(INDEX(data!L:L,match(Caseslist!B508,data!D:D,0)),"INC")="","COMPLETE",F508)</f>
        <v>COMPLETE</v>
      </c>
      <c r="H508" s="9" t="str">
        <f t="array" ref="H508">IFERROR(INDEX(dataICM!F:F,match(Caseslist!B508,dataICM!D:D,0)), "INC")</f>
        <v>INC</v>
      </c>
      <c r="I508" s="10" t="str">
        <f t="shared" si="2"/>
        <v>N7814260</v>
      </c>
      <c r="J508" s="9" t="str">
        <f t="array" ref="J508">IF(
  AND(
    IFERROR(MATCH(B508, data!D:D, 0), 0) &gt; 0,
    IFERROR(INDEX(data!N:N, MATCH(B508, data!D:D, 0)) = 1, FALSE)
  ),
  INDEX(data!C:C, MATCH(B508, data!D:D, 0)),
  "INC"
)</f>
        <v>2025-09-12T15:03:30.408+08</v>
      </c>
      <c r="K508" s="9" t="str">
        <f t="array" ref="K508">IFERROR(INDEX(dataICM!C:C,match(Caseslist!B508,dataICM!D:D,0)), "INC")</f>
        <v>INC</v>
      </c>
      <c r="L508" s="10" t="str">
        <f t="array" ref="L508">IF(AND(G508="COMPLETE", OR(K508="INC", ISBLANK(INDEX(data!O:O, ROW())))), J508, K508)</f>
        <v>2025-09-12T15:03:30.408+08</v>
      </c>
      <c r="M508" s="2">
        <v>45912.0</v>
      </c>
      <c r="N508" s="2">
        <f t="array" ref="N508">IF(M508&lt;&gt;"INC", INDEX(data!M:M, MATCH(B508, data!D:D, 0)), "")</f>
        <v>0</v>
      </c>
      <c r="O508" s="2">
        <f t="shared" si="3"/>
        <v>0</v>
      </c>
    </row>
    <row r="509">
      <c r="A509" s="2" t="str">
        <f t="shared" si="1"/>
        <v>H006626</v>
      </c>
      <c r="B509" s="1" t="s">
        <v>5678</v>
      </c>
      <c r="C509" s="9" t="str">
        <f t="array" ref="C509">IF(
  AND(
    IFERROR(MATCH(Caseslist!B509, data!D:D, 0), 0) &gt; 0,
    IFERROR(INDEX(data!N:N, MATCH(Caseslist!B509, data!D:D, 0)) = 1, FALSE)
  ),
  "COMPLETE",
  "INC"
)</f>
        <v>COMPLETE</v>
      </c>
      <c r="D509" s="9" t="str">
        <f t="array" ref="D509">IFERROR(INDEX(data!$G:$G,match(Caseslist!B509,data!$D:$D,0)), "INC")</f>
        <v>N7814260</v>
      </c>
      <c r="E509" s="9" t="str">
        <f t="array" ref="E509">IFERROR(INDEX(data!H:H,match(Caseslist!B509,data!D:D,0)), "INC")</f>
        <v>Jemma Marie Tillo</v>
      </c>
      <c r="F509" s="10" t="str">
        <f t="array" ref="F509">IF(
    OR(
      IFNA(INDEX(data!M:M, MATCH(Caseslist!B509, data!D:D, 0)), "") = "",
      IFNA(INDEX(data!M:M, MATCH(Caseslist!B509, data!D:D, 0)), 0) = 0
    ),
    "COMPLETE",
    IF(
      IFNA(INDEX(dataICM!D:D, MATCH(Caseslist!B509, dataICM!D:D, 0)), "INC") = "INC",
      IFNA(INDEX(dataICM!D:D, MATCH(Caseslist!B509, dataICM!D:D, 0)), "INC"),
      "COMPLETE"
    )
  )</f>
        <v>COMPLETE</v>
      </c>
      <c r="G509" s="10" t="str">
        <f t="array" ref="G509">IF(IFERROR(INDEX(data!L:L,match(Caseslist!B509,data!D:D,0)),"INC")="","COMPLETE",F509)</f>
        <v>COMPLETE</v>
      </c>
      <c r="H509" s="9" t="str">
        <f t="array" ref="H509">IFERROR(INDEX(dataICM!F:F,match(Caseslist!B509,dataICM!D:D,0)), "INC")</f>
        <v>INC</v>
      </c>
      <c r="I509" s="10" t="str">
        <f t="shared" si="2"/>
        <v>N7814260</v>
      </c>
      <c r="J509" s="9" t="str">
        <f t="array" ref="J509">IF(
  AND(
    IFERROR(MATCH(B509, data!D:D, 0), 0) &gt; 0,
    IFERROR(INDEX(data!N:N, MATCH(B509, data!D:D, 0)) = 1, FALSE)
  ),
  INDEX(data!C:C, MATCH(B509, data!D:D, 0)),
  "INC"
)</f>
        <v>2025-09-12T10:30:28.746+08</v>
      </c>
      <c r="K509" s="9" t="str">
        <f t="array" ref="K509">IFERROR(INDEX(dataICM!C:C,match(Caseslist!B509,dataICM!D:D,0)), "INC")</f>
        <v>INC</v>
      </c>
      <c r="L509" s="10" t="str">
        <f t="array" ref="L509">IF(AND(G509="COMPLETE", OR(K509="INC", ISBLANK(INDEX(data!O:O, ROW())))), J509, K509)</f>
        <v>2025-09-12T10:30:28.746+08</v>
      </c>
      <c r="M509" s="2">
        <v>45912.0</v>
      </c>
      <c r="N509" s="2">
        <f t="array" ref="N509">IF(M509&lt;&gt;"INC", INDEX(data!M:M, MATCH(B509, data!D:D, 0)), "")</f>
        <v>0</v>
      </c>
      <c r="O509" s="2">
        <f t="shared" si="3"/>
        <v>0</v>
      </c>
    </row>
    <row r="510">
      <c r="A510" s="2" t="str">
        <f t="shared" si="1"/>
        <v>H006626</v>
      </c>
      <c r="B510" s="1" t="s">
        <v>5823</v>
      </c>
      <c r="C510" s="9" t="str">
        <f t="array" ref="C510">IF(
  AND(
    IFERROR(MATCH(Caseslist!B510, data!D:D, 0), 0) &gt; 0,
    IFERROR(INDEX(data!N:N, MATCH(Caseslist!B510, data!D:D, 0)) = 1, FALSE)
  ),
  "COMPLETE",
  "INC"
)</f>
        <v>COMPLETE</v>
      </c>
      <c r="D510" s="9" t="str">
        <f t="array" ref="D510">IFERROR(INDEX(data!$G:$G,match(Caseslist!B510,data!$D:$D,0)), "INC")</f>
        <v>P1068432</v>
      </c>
      <c r="E510" s="9" t="str">
        <f t="array" ref="E510">IFERROR(INDEX(data!H:H,match(Caseslist!B510,data!D:D,0)), "INC")</f>
        <v>Mark Daniel Balagao Benson</v>
      </c>
      <c r="F510" s="10" t="str">
        <f t="array" ref="F510">IF(
    OR(
      IFNA(INDEX(data!M:M, MATCH(Caseslist!B510, data!D:D, 0)), "") = "",
      IFNA(INDEX(data!M:M, MATCH(Caseslist!B510, data!D:D, 0)), 0) = 0
    ),
    "COMPLETE",
    IF(
      IFNA(INDEX(dataICM!D:D, MATCH(Caseslist!B510, dataICM!D:D, 0)), "INC") = "INC",
      IFNA(INDEX(dataICM!D:D, MATCH(Caseslist!B510, dataICM!D:D, 0)), "INC"),
      "COMPLETE"
    )
  )</f>
        <v>COMPLETE</v>
      </c>
      <c r="G510" s="10" t="str">
        <f t="array" ref="G510">IF(IFERROR(INDEX(data!L:L,match(Caseslist!B510,data!D:D,0)),"INC")="","COMPLETE",F510)</f>
        <v>COMPLETE</v>
      </c>
      <c r="H510" s="9" t="str">
        <f t="array" ref="H510">IFERROR(INDEX(dataICM!F:F,match(Caseslist!B510,dataICM!D:D,0)), "INC")</f>
        <v>INC</v>
      </c>
      <c r="I510" s="10" t="str">
        <f t="shared" si="2"/>
        <v>P1068432</v>
      </c>
      <c r="J510" s="9" t="str">
        <f t="array" ref="J510">IF(
  AND(
    IFERROR(MATCH(B510, data!D:D, 0), 0) &gt; 0,
    IFERROR(INDEX(data!N:N, MATCH(B510, data!D:D, 0)) = 1, FALSE)
  ),
  INDEX(data!C:C, MATCH(B510, data!D:D, 0)),
  "INC"
)</f>
        <v>2025-09-12T16:00:38.846+08</v>
      </c>
      <c r="K510" s="9" t="str">
        <f t="array" ref="K510">IFERROR(INDEX(dataICM!C:C,match(Caseslist!B510,dataICM!D:D,0)), "INC")</f>
        <v>INC</v>
      </c>
      <c r="L510" s="10" t="str">
        <f t="array" ref="L510">IF(AND(G510="COMPLETE", OR(K510="INC", ISBLANK(INDEX(data!O:O, ROW())))), J510, K510)</f>
        <v>2025-09-12T16:00:38.846+08</v>
      </c>
      <c r="M510" s="2">
        <v>45912.0</v>
      </c>
      <c r="N510" s="2">
        <f t="array" ref="N510">IF(M510&lt;&gt;"INC", INDEX(data!M:M, MATCH(B510, data!D:D, 0)), "")</f>
        <v>0</v>
      </c>
      <c r="O510" s="2">
        <f t="shared" si="3"/>
        <v>0</v>
      </c>
    </row>
    <row r="511">
      <c r="A511" s="2" t="str">
        <f t="shared" si="1"/>
        <v>H006626</v>
      </c>
      <c r="B511" s="1" t="s">
        <v>5673</v>
      </c>
      <c r="C511" s="9" t="str">
        <f t="array" ref="C511">IF(
  AND(
    IFERROR(MATCH(Caseslist!B511, data!D:D, 0), 0) &gt; 0,
    IFERROR(INDEX(data!N:N, MATCH(Caseslist!B511, data!D:D, 0)) = 1, FALSE)
  ),
  "COMPLETE",
  "INC"
)</f>
        <v>COMPLETE</v>
      </c>
      <c r="D511" s="9" t="str">
        <f t="array" ref="D511">IFERROR(INDEX(data!$G:$G,match(Caseslist!B511,data!$D:$D,0)), "INC")</f>
        <v>N7814260</v>
      </c>
      <c r="E511" s="9" t="str">
        <f t="array" ref="E511">IFERROR(INDEX(data!H:H,match(Caseslist!B511,data!D:D,0)), "INC")</f>
        <v>Jemma Marie Tillo</v>
      </c>
      <c r="F511" s="10" t="str">
        <f t="array" ref="F511">IF(
    OR(
      IFNA(INDEX(data!M:M, MATCH(Caseslist!B511, data!D:D, 0)), "") = "",
      IFNA(INDEX(data!M:M, MATCH(Caseslist!B511, data!D:D, 0)), 0) = 0
    ),
    "COMPLETE",
    IF(
      IFNA(INDEX(dataICM!D:D, MATCH(Caseslist!B511, dataICM!D:D, 0)), "INC") = "INC",
      IFNA(INDEX(dataICM!D:D, MATCH(Caseslist!B511, dataICM!D:D, 0)), "INC"),
      "COMPLETE"
    )
  )</f>
        <v>COMPLETE</v>
      </c>
      <c r="G511" s="10" t="str">
        <f t="array" ref="G511">IF(IFERROR(INDEX(data!L:L,match(Caseslist!B511,data!D:D,0)),"INC")="","COMPLETE",F511)</f>
        <v>COMPLETE</v>
      </c>
      <c r="H511" s="9" t="str">
        <f t="array" ref="H511">IFERROR(INDEX(dataICM!F:F,match(Caseslist!B511,dataICM!D:D,0)), "INC")</f>
        <v>INC</v>
      </c>
      <c r="I511" s="10" t="str">
        <f t="shared" si="2"/>
        <v>N7814260</v>
      </c>
      <c r="J511" s="9" t="str">
        <f t="array" ref="J511">IF(
  AND(
    IFERROR(MATCH(B511, data!D:D, 0), 0) &gt; 0,
    IFERROR(INDEX(data!N:N, MATCH(B511, data!D:D, 0)) = 1, FALSE)
  ),
  INDEX(data!C:C, MATCH(B511, data!D:D, 0)),
  "INC"
)</f>
        <v>2025-09-12T09:15:53.616+08</v>
      </c>
      <c r="K511" s="9" t="str">
        <f t="array" ref="K511">IFERROR(INDEX(dataICM!C:C,match(Caseslist!B511,dataICM!D:D,0)), "INC")</f>
        <v>INC</v>
      </c>
      <c r="L511" s="10" t="str">
        <f t="array" ref="L511">IF(AND(G511="COMPLETE", OR(K511="INC", ISBLANK(INDEX(data!O:O, ROW())))), J511, K511)</f>
        <v>2025-09-12T09:15:53.616+08</v>
      </c>
      <c r="M511" s="2">
        <v>45912.0</v>
      </c>
      <c r="N511" s="2">
        <f t="array" ref="N511">IF(M511&lt;&gt;"INC", INDEX(data!M:M, MATCH(B511, data!D:D, 0)), "")</f>
        <v>0</v>
      </c>
      <c r="O511" s="2">
        <f t="shared" si="3"/>
        <v>0</v>
      </c>
    </row>
    <row r="512">
      <c r="A512" s="2" t="str">
        <f t="shared" si="1"/>
        <v>H006626</v>
      </c>
      <c r="B512" s="1" t="s">
        <v>5818</v>
      </c>
      <c r="C512" s="9" t="str">
        <f t="array" ref="C512">IF(
  AND(
    IFERROR(MATCH(Caseslist!B512, data!D:D, 0), 0) &gt; 0,
    IFERROR(INDEX(data!N:N, MATCH(Caseslist!B512, data!D:D, 0)) = 1, FALSE)
  ),
  "COMPLETE",
  "INC"
)</f>
        <v>COMPLETE</v>
      </c>
      <c r="D512" s="9" t="str">
        <f t="array" ref="D512">IFERROR(INDEX(data!$G:$G,match(Caseslist!B512,data!$D:$D,0)), "INC")</f>
        <v>P1068432</v>
      </c>
      <c r="E512" s="9" t="str">
        <f t="array" ref="E512">IFERROR(INDEX(data!H:H,match(Caseslist!B512,data!D:D,0)), "INC")</f>
        <v>Mark Daniel Balagao Benson</v>
      </c>
      <c r="F512" s="10" t="str">
        <f t="array" ref="F512">IF(
    OR(
      IFNA(INDEX(data!M:M, MATCH(Caseslist!B512, data!D:D, 0)), "") = "",
      IFNA(INDEX(data!M:M, MATCH(Caseslist!B512, data!D:D, 0)), 0) = 0
    ),
    "COMPLETE",
    IF(
      IFNA(INDEX(dataICM!D:D, MATCH(Caseslist!B512, dataICM!D:D, 0)), "INC") = "INC",
      IFNA(INDEX(dataICM!D:D, MATCH(Caseslist!B512, dataICM!D:D, 0)), "INC"),
      "COMPLETE"
    )
  )</f>
        <v>COMPLETE</v>
      </c>
      <c r="G512" s="10" t="str">
        <f t="array" ref="G512">IF(IFERROR(INDEX(data!L:L,match(Caseslist!B512,data!D:D,0)),"INC")="","COMPLETE",F512)</f>
        <v>COMPLETE</v>
      </c>
      <c r="H512" s="9" t="str">
        <f t="array" ref="H512">IFERROR(INDEX(dataICM!F:F,match(Caseslist!B512,dataICM!D:D,0)), "INC")</f>
        <v>INC</v>
      </c>
      <c r="I512" s="10" t="str">
        <f t="shared" si="2"/>
        <v>P1068432</v>
      </c>
      <c r="J512" s="9" t="str">
        <f t="array" ref="J512">IF(
  AND(
    IFERROR(MATCH(B512, data!D:D, 0), 0) &gt; 0,
    IFERROR(INDEX(data!N:N, MATCH(B512, data!D:D, 0)) = 1, FALSE)
  ),
  INDEX(data!C:C, MATCH(B512, data!D:D, 0)),
  "INC"
)</f>
        <v>2025-09-12T12:46:50.105+08</v>
      </c>
      <c r="K512" s="9" t="str">
        <f t="array" ref="K512">IFERROR(INDEX(dataICM!C:C,match(Caseslist!B512,dataICM!D:D,0)), "INC")</f>
        <v>INC</v>
      </c>
      <c r="L512" s="10" t="str">
        <f t="array" ref="L512">IF(AND(G512="COMPLETE", OR(K512="INC", ISBLANK(INDEX(data!O:O, ROW())))), J512, K512)</f>
        <v>2025-09-12T12:46:50.105+08</v>
      </c>
      <c r="M512" s="2">
        <v>45912.0</v>
      </c>
      <c r="N512" s="2">
        <f t="array" ref="N512">IF(M512&lt;&gt;"INC", INDEX(data!M:M, MATCH(B512, data!D:D, 0)), "")</f>
        <v>0</v>
      </c>
      <c r="O512" s="2">
        <f t="shared" si="3"/>
        <v>0</v>
      </c>
    </row>
    <row r="513">
      <c r="A513" s="2" t="str">
        <f t="shared" si="1"/>
        <v>H006626</v>
      </c>
      <c r="B513" s="1" t="s">
        <v>5838</v>
      </c>
      <c r="C513" s="9" t="str">
        <f t="array" ref="C513">IF(
  AND(
    IFERROR(MATCH(Caseslist!B513, data!D:D, 0), 0) &gt; 0,
    IFERROR(INDEX(data!N:N, MATCH(Caseslist!B513, data!D:D, 0)) = 1, FALSE)
  ),
  "COMPLETE",
  "INC"
)</f>
        <v>COMPLETE</v>
      </c>
      <c r="D513" s="9" t="str">
        <f t="array" ref="D513">IFERROR(INDEX(data!$G:$G,match(Caseslist!B513,data!$D:$D,0)), "INC")</f>
        <v>O3925718</v>
      </c>
      <c r="E513" s="9" t="str">
        <f t="array" ref="E513">IFERROR(INDEX(data!H:H,match(Caseslist!B513,data!D:D,0)), "INC")</f>
        <v>Adrian Montecastro Ferrer</v>
      </c>
      <c r="F513" s="10" t="str">
        <f t="array" ref="F513">IF(
    OR(
      IFNA(INDEX(data!M:M, MATCH(Caseslist!B513, data!D:D, 0)), "") = "",
      IFNA(INDEX(data!M:M, MATCH(Caseslist!B513, data!D:D, 0)), 0) = 0
    ),
    "COMPLETE",
    IF(
      IFNA(INDEX(dataICM!D:D, MATCH(Caseslist!B513, dataICM!D:D, 0)), "INC") = "INC",
      IFNA(INDEX(dataICM!D:D, MATCH(Caseslist!B513, dataICM!D:D, 0)), "INC"),
      "COMPLETE"
    )
  )</f>
        <v>COMPLETE</v>
      </c>
      <c r="G513" s="10" t="str">
        <f t="array" ref="G513">IF(IFERROR(INDEX(data!L:L,match(Caseslist!B513,data!D:D,0)),"INC")="","COMPLETE",F513)</f>
        <v>COMPLETE</v>
      </c>
      <c r="H513" s="9" t="str">
        <f t="array" ref="H513">IFERROR(INDEX(dataICM!F:F,match(Caseslist!B513,dataICM!D:D,0)), "INC")</f>
        <v>INC</v>
      </c>
      <c r="I513" s="10" t="str">
        <f t="shared" si="2"/>
        <v>O3925718</v>
      </c>
      <c r="J513" s="9" t="str">
        <f t="array" ref="J513">IF(
  AND(
    IFERROR(MATCH(B513, data!D:D, 0), 0) &gt; 0,
    IFERROR(INDEX(data!N:N, MATCH(B513, data!D:D, 0)) = 1, FALSE)
  ),
  INDEX(data!C:C, MATCH(B513, data!D:D, 0)),
  "INC"
)</f>
        <v>2025-09-12T12:03:34.075+08</v>
      </c>
      <c r="K513" s="9" t="str">
        <f t="array" ref="K513">IFERROR(INDEX(dataICM!C:C,match(Caseslist!B513,dataICM!D:D,0)), "INC")</f>
        <v>INC</v>
      </c>
      <c r="L513" s="10" t="str">
        <f t="array" ref="L513">IF(AND(G513="COMPLETE", OR(K513="INC", ISBLANK(INDEX(data!O:O, ROW())))), J513, K513)</f>
        <v>2025-09-12T12:03:34.075+08</v>
      </c>
      <c r="M513" s="2">
        <v>45912.0</v>
      </c>
      <c r="N513" s="2">
        <f t="array" ref="N513">IF(M513&lt;&gt;"INC", INDEX(data!M:M, MATCH(B513, data!D:D, 0)), "")</f>
        <v>0</v>
      </c>
      <c r="O513" s="2">
        <f t="shared" si="3"/>
        <v>0</v>
      </c>
    </row>
    <row r="514">
      <c r="A514" s="2" t="str">
        <f t="shared" si="1"/>
        <v>H006626</v>
      </c>
      <c r="B514" s="1" t="s">
        <v>5683</v>
      </c>
      <c r="C514" s="9" t="str">
        <f t="array" ref="C514">IF(
  AND(
    IFERROR(MATCH(Caseslist!B514, data!D:D, 0), 0) &gt; 0,
    IFERROR(INDEX(data!N:N, MATCH(Caseslist!B514, data!D:D, 0)) = 1, FALSE)
  ),
  "COMPLETE",
  "INC"
)</f>
        <v>COMPLETE</v>
      </c>
      <c r="D514" s="9" t="str">
        <f t="array" ref="D514">IFERROR(INDEX(data!$G:$G,match(Caseslist!B514,data!$D:$D,0)), "INC")</f>
        <v>N7814260</v>
      </c>
      <c r="E514" s="9" t="str">
        <f t="array" ref="E514">IFERROR(INDEX(data!H:H,match(Caseslist!B514,data!D:D,0)), "INC")</f>
        <v>Jemma Marie Tillo</v>
      </c>
      <c r="F514" s="10" t="str">
        <f t="array" ref="F514">IF(
    OR(
      IFNA(INDEX(data!M:M, MATCH(Caseslist!B514, data!D:D, 0)), "") = "",
      IFNA(INDEX(data!M:M, MATCH(Caseslist!B514, data!D:D, 0)), 0) = 0
    ),
    "COMPLETE",
    IF(
      IFNA(INDEX(dataICM!D:D, MATCH(Caseslist!B514, dataICM!D:D, 0)), "INC") = "INC",
      IFNA(INDEX(dataICM!D:D, MATCH(Caseslist!B514, dataICM!D:D, 0)), "INC"),
      "COMPLETE"
    )
  )</f>
        <v>COMPLETE</v>
      </c>
      <c r="G514" s="10" t="str">
        <f t="array" ref="G514">IF(IFERROR(INDEX(data!L:L,match(Caseslist!B514,data!D:D,0)),"INC")="","COMPLETE",F514)</f>
        <v>COMPLETE</v>
      </c>
      <c r="H514" s="9" t="str">
        <f t="array" ref="H514">IFERROR(INDEX(dataICM!F:F,match(Caseslist!B514,dataICM!D:D,0)), "INC")</f>
        <v>INC</v>
      </c>
      <c r="I514" s="10" t="str">
        <f t="shared" si="2"/>
        <v>N7814260</v>
      </c>
      <c r="J514" s="9" t="str">
        <f t="array" ref="J514">IF(
  AND(
    IFERROR(MATCH(B514, data!D:D, 0), 0) &gt; 0,
    IFERROR(INDEX(data!N:N, MATCH(B514, data!D:D, 0)) = 1, FALSE)
  ),
  INDEX(data!C:C, MATCH(B514, data!D:D, 0)),
  "INC"
)</f>
        <v>2025-09-12T11:50:29.530+08</v>
      </c>
      <c r="K514" s="9" t="str">
        <f t="array" ref="K514">IFERROR(INDEX(dataICM!C:C,match(Caseslist!B514,dataICM!D:D,0)), "INC")</f>
        <v>INC</v>
      </c>
      <c r="L514" s="10" t="str">
        <f t="array" ref="L514">IF(AND(G514="COMPLETE", OR(K514="INC", ISBLANK(INDEX(data!O:O, ROW())))), J514, K514)</f>
        <v>2025-09-12T11:50:29.530+08</v>
      </c>
      <c r="M514" s="2">
        <v>45912.0</v>
      </c>
      <c r="N514" s="2">
        <f t="array" ref="N514">IF(M514&lt;&gt;"INC", INDEX(data!M:M, MATCH(B514, data!D:D, 0)), "")</f>
        <v>0</v>
      </c>
      <c r="O514" s="2">
        <f t="shared" si="3"/>
        <v>0</v>
      </c>
    </row>
    <row r="515">
      <c r="A515" s="2" t="str">
        <f t="shared" si="1"/>
        <v>H006626</v>
      </c>
      <c r="B515" s="1" t="s">
        <v>5668</v>
      </c>
      <c r="C515" s="9" t="str">
        <f t="array" ref="C515">IF(
  AND(
    IFERROR(MATCH(Caseslist!B515, data!D:D, 0), 0) &gt; 0,
    IFERROR(INDEX(data!N:N, MATCH(Caseslist!B515, data!D:D, 0)) = 1, FALSE)
  ),
  "COMPLETE",
  "INC"
)</f>
        <v>COMPLETE</v>
      </c>
      <c r="D515" s="9" t="str">
        <f t="array" ref="D515">IFERROR(INDEX(data!$G:$G,match(Caseslist!B515,data!$D:$D,0)), "INC")</f>
        <v>P1068432</v>
      </c>
      <c r="E515" s="9" t="str">
        <f t="array" ref="E515">IFERROR(INDEX(data!H:H,match(Caseslist!B515,data!D:D,0)), "INC")</f>
        <v>Mark Daniel Balagao Benson</v>
      </c>
      <c r="F515" s="10" t="str">
        <f t="array" ref="F515">IF(
    OR(
      IFNA(INDEX(data!M:M, MATCH(Caseslist!B515, data!D:D, 0)), "") = "",
      IFNA(INDEX(data!M:M, MATCH(Caseslist!B515, data!D:D, 0)), 0) = 0
    ),
    "COMPLETE",
    IF(
      IFNA(INDEX(dataICM!D:D, MATCH(Caseslist!B515, dataICM!D:D, 0)), "INC") = "INC",
      IFNA(INDEX(dataICM!D:D, MATCH(Caseslist!B515, dataICM!D:D, 0)), "INC"),
      "COMPLETE"
    )
  )</f>
        <v>COMPLETE</v>
      </c>
      <c r="G515" s="10" t="str">
        <f t="array" ref="G515">IF(IFERROR(INDEX(data!L:L,match(Caseslist!B515,data!D:D,0)),"INC")="","COMPLETE",F515)</f>
        <v>COMPLETE</v>
      </c>
      <c r="H515" s="9" t="str">
        <f t="array" ref="H515">IFERROR(INDEX(dataICM!F:F,match(Caseslist!B515,dataICM!D:D,0)), "INC")</f>
        <v>INC</v>
      </c>
      <c r="I515" s="10" t="str">
        <f t="shared" si="2"/>
        <v>P1068432</v>
      </c>
      <c r="J515" s="9" t="str">
        <f t="array" ref="J515">IF(
  AND(
    IFERROR(MATCH(B515, data!D:D, 0), 0) &gt; 0,
    IFERROR(INDEX(data!N:N, MATCH(B515, data!D:D, 0)) = 1, FALSE)
  ),
  INDEX(data!C:C, MATCH(B515, data!D:D, 0)),
  "INC"
)</f>
        <v>2025-09-13T10:47:38.289+08</v>
      </c>
      <c r="K515" s="9" t="str">
        <f t="array" ref="K515">IFERROR(INDEX(dataICM!C:C,match(Caseslist!B515,dataICM!D:D,0)), "INC")</f>
        <v>INC</v>
      </c>
      <c r="L515" s="10" t="str">
        <f t="array" ref="L515">IF(AND(G515="COMPLETE", OR(K515="INC", ISBLANK(INDEX(data!O:O, ROW())))), J515, K515)</f>
        <v>2025-09-13T10:47:38.289+08</v>
      </c>
      <c r="M515" s="2">
        <v>45913.0</v>
      </c>
      <c r="N515" s="2">
        <f t="array" ref="N515">IF(M515&lt;&gt;"INC", INDEX(data!M:M, MATCH(B515, data!D:D, 0)), "")</f>
        <v>0</v>
      </c>
      <c r="O515" s="2">
        <f t="shared" si="3"/>
        <v>0</v>
      </c>
    </row>
    <row r="516">
      <c r="A516" s="2" t="str">
        <f t="shared" si="1"/>
        <v>H006626</v>
      </c>
      <c r="B516" s="1" t="s">
        <v>5813</v>
      </c>
      <c r="C516" s="9" t="str">
        <f t="array" ref="C516">IF(
  AND(
    IFERROR(MATCH(Caseslist!B516, data!D:D, 0), 0) &gt; 0,
    IFERROR(INDEX(data!N:N, MATCH(Caseslist!B516, data!D:D, 0)) = 1, FALSE)
  ),
  "COMPLETE",
  "INC"
)</f>
        <v>COMPLETE</v>
      </c>
      <c r="D516" s="9" t="str">
        <f t="array" ref="D516">IFERROR(INDEX(data!$G:$G,match(Caseslist!B516,data!$D:$D,0)), "INC")</f>
        <v>P1068432</v>
      </c>
      <c r="E516" s="9" t="str">
        <f t="array" ref="E516">IFERROR(INDEX(data!H:H,match(Caseslist!B516,data!D:D,0)), "INC")</f>
        <v>Mark Daniel Balagao Benson</v>
      </c>
      <c r="F516" s="10" t="str">
        <f t="array" ref="F516">IF(
    OR(
      IFNA(INDEX(data!M:M, MATCH(Caseslist!B516, data!D:D, 0)), "") = "",
      IFNA(INDEX(data!M:M, MATCH(Caseslist!B516, data!D:D, 0)), 0) = 0
    ),
    "COMPLETE",
    IF(
      IFNA(INDEX(dataICM!D:D, MATCH(Caseslist!B516, dataICM!D:D, 0)), "INC") = "INC",
      IFNA(INDEX(dataICM!D:D, MATCH(Caseslist!B516, dataICM!D:D, 0)), "INC"),
      "COMPLETE"
    )
  )</f>
        <v>COMPLETE</v>
      </c>
      <c r="G516" s="10" t="str">
        <f t="array" ref="G516">IF(IFERROR(INDEX(data!L:L,match(Caseslist!B516,data!D:D,0)),"INC")="","COMPLETE",F516)</f>
        <v>COMPLETE</v>
      </c>
      <c r="H516" s="9" t="str">
        <f t="array" ref="H516">IFERROR(INDEX(dataICM!F:F,match(Caseslist!B516,dataICM!D:D,0)), "INC")</f>
        <v>INC</v>
      </c>
      <c r="I516" s="10" t="str">
        <f t="shared" si="2"/>
        <v>P1068432</v>
      </c>
      <c r="J516" s="9" t="str">
        <f t="array" ref="J516">IF(
  AND(
    IFERROR(MATCH(B516, data!D:D, 0), 0) &gt; 0,
    IFERROR(INDEX(data!N:N, MATCH(B516, data!D:D, 0)) = 1, FALSE)
  ),
  INDEX(data!C:C, MATCH(B516, data!D:D, 0)),
  "INC"
)</f>
        <v>2025-09-12T10:41:55.181+08</v>
      </c>
      <c r="K516" s="9" t="str">
        <f t="array" ref="K516">IFERROR(INDEX(dataICM!C:C,match(Caseslist!B516,dataICM!D:D,0)), "INC")</f>
        <v>INC</v>
      </c>
      <c r="L516" s="10" t="str">
        <f t="array" ref="L516">IF(AND(G516="COMPLETE", OR(K516="INC", ISBLANK(INDEX(data!O:O, ROW())))), J516, K516)</f>
        <v>2025-09-12T10:41:55.181+08</v>
      </c>
      <c r="M516" s="2">
        <v>45912.0</v>
      </c>
      <c r="N516" s="2">
        <f t="array" ref="N516">IF(M516&lt;&gt;"INC", INDEX(data!M:M, MATCH(B516, data!D:D, 0)), "")</f>
        <v>0</v>
      </c>
      <c r="O516" s="2">
        <f t="shared" si="3"/>
        <v>0</v>
      </c>
    </row>
    <row r="517">
      <c r="A517" s="2" t="str">
        <f t="shared" si="1"/>
        <v>H006626</v>
      </c>
      <c r="B517" s="1" t="s">
        <v>5808</v>
      </c>
      <c r="C517" s="9" t="str">
        <f t="array" ref="C517">IF(
  AND(
    IFERROR(MATCH(Caseslist!B517, data!D:D, 0), 0) &gt; 0,
    IFERROR(INDEX(data!N:N, MATCH(Caseslist!B517, data!D:D, 0)) = 1, FALSE)
  ),
  "COMPLETE",
  "INC"
)</f>
        <v>COMPLETE</v>
      </c>
      <c r="D517" s="9" t="str">
        <f t="array" ref="D517">IFERROR(INDEX(data!$G:$G,match(Caseslist!B517,data!$D:$D,0)), "INC")</f>
        <v>P1068432</v>
      </c>
      <c r="E517" s="9" t="str">
        <f t="array" ref="E517">IFERROR(INDEX(data!H:H,match(Caseslist!B517,data!D:D,0)), "INC")</f>
        <v>Mark Daniel Balagao Benson</v>
      </c>
      <c r="F517" s="10" t="str">
        <f t="array" ref="F517">IF(
    OR(
      IFNA(INDEX(data!M:M, MATCH(Caseslist!B517, data!D:D, 0)), "") = "",
      IFNA(INDEX(data!M:M, MATCH(Caseslist!B517, data!D:D, 0)), 0) = 0
    ),
    "COMPLETE",
    IF(
      IFNA(INDEX(dataICM!D:D, MATCH(Caseslist!B517, dataICM!D:D, 0)), "INC") = "INC",
      IFNA(INDEX(dataICM!D:D, MATCH(Caseslist!B517, dataICM!D:D, 0)), "INC"),
      "COMPLETE"
    )
  )</f>
        <v>COMPLETE</v>
      </c>
      <c r="G517" s="10" t="str">
        <f t="array" ref="G517">IF(IFERROR(INDEX(data!L:L,match(Caseslist!B517,data!D:D,0)),"INC")="","COMPLETE",F517)</f>
        <v>COMPLETE</v>
      </c>
      <c r="H517" s="9" t="str">
        <f t="array" ref="H517">IFERROR(INDEX(dataICM!F:F,match(Caseslist!B517,dataICM!D:D,0)), "INC")</f>
        <v>INC</v>
      </c>
      <c r="I517" s="10" t="str">
        <f t="shared" si="2"/>
        <v>P1068432</v>
      </c>
      <c r="J517" s="9" t="str">
        <f t="array" ref="J517">IF(
  AND(
    IFERROR(MATCH(B517, data!D:D, 0), 0) &gt; 0,
    IFERROR(INDEX(data!N:N, MATCH(B517, data!D:D, 0)) = 1, FALSE)
  ),
  INDEX(data!C:C, MATCH(B517, data!D:D, 0)),
  "INC"
)</f>
        <v>2025-09-12T09:34:39.266+08</v>
      </c>
      <c r="K517" s="9" t="str">
        <f t="array" ref="K517">IFERROR(INDEX(dataICM!C:C,match(Caseslist!B517,dataICM!D:D,0)), "INC")</f>
        <v>INC</v>
      </c>
      <c r="L517" s="10" t="str">
        <f t="array" ref="L517">IF(AND(G517="COMPLETE", OR(K517="INC", ISBLANK(INDEX(data!O:O, ROW())))), J517, K517)</f>
        <v>2025-09-12T09:34:39.266+08</v>
      </c>
      <c r="M517" s="2">
        <v>45912.0</v>
      </c>
      <c r="N517" s="2">
        <f t="array" ref="N517">IF(M517&lt;&gt;"INC", INDEX(data!M:M, MATCH(B517, data!D:D, 0)), "")</f>
        <v>0</v>
      </c>
      <c r="O517" s="2">
        <f t="shared" si="3"/>
        <v>0</v>
      </c>
    </row>
    <row r="518">
      <c r="A518" s="2" t="str">
        <f t="shared" si="1"/>
        <v>H006626</v>
      </c>
      <c r="B518" s="1" t="s">
        <v>5843</v>
      </c>
      <c r="C518" s="9" t="str">
        <f t="array" ref="C518">IF(
  AND(
    IFERROR(MATCH(Caseslist!B518, data!D:D, 0), 0) &gt; 0,
    IFERROR(INDEX(data!N:N, MATCH(Caseslist!B518, data!D:D, 0)) = 1, FALSE)
  ),
  "COMPLETE",
  "INC"
)</f>
        <v>COMPLETE</v>
      </c>
      <c r="D518" s="9" t="str">
        <f t="array" ref="D518">IFERROR(INDEX(data!$G:$G,match(Caseslist!B518,data!$D:$D,0)), "INC")</f>
        <v>O3925718</v>
      </c>
      <c r="E518" s="9" t="str">
        <f t="array" ref="E518">IFERROR(INDEX(data!H:H,match(Caseslist!B518,data!D:D,0)), "INC")</f>
        <v>Adrian Montecastro Ferrer</v>
      </c>
      <c r="F518" s="10" t="str">
        <f t="array" ref="F518">IF(
    OR(
      IFNA(INDEX(data!M:M, MATCH(Caseslist!B518, data!D:D, 0)), "") = "",
      IFNA(INDEX(data!M:M, MATCH(Caseslist!B518, data!D:D, 0)), 0) = 0
    ),
    "COMPLETE",
    IF(
      IFNA(INDEX(dataICM!D:D, MATCH(Caseslist!B518, dataICM!D:D, 0)), "INC") = "INC",
      IFNA(INDEX(dataICM!D:D, MATCH(Caseslist!B518, dataICM!D:D, 0)), "INC"),
      "COMPLETE"
    )
  )</f>
        <v>COMPLETE</v>
      </c>
      <c r="G518" s="10" t="str">
        <f t="array" ref="G518">IF(IFERROR(INDEX(data!L:L,match(Caseslist!B518,data!D:D,0)),"INC")="","COMPLETE",F518)</f>
        <v>COMPLETE</v>
      </c>
      <c r="H518" s="9" t="str">
        <f t="array" ref="H518">IFERROR(INDEX(dataICM!F:F,match(Caseslist!B518,dataICM!D:D,0)), "INC")</f>
        <v>INC</v>
      </c>
      <c r="I518" s="10" t="str">
        <f t="shared" si="2"/>
        <v>O3925718</v>
      </c>
      <c r="J518" s="9" t="str">
        <f t="array" ref="J518">IF(
  AND(
    IFERROR(MATCH(B518, data!D:D, 0), 0) &gt; 0,
    IFERROR(INDEX(data!N:N, MATCH(B518, data!D:D, 0)) = 1, FALSE)
  ),
  INDEX(data!C:C, MATCH(B518, data!D:D, 0)),
  "INC"
)</f>
        <v>2025-09-12T09:57:47.377+08</v>
      </c>
      <c r="K518" s="9" t="str">
        <f t="array" ref="K518">IFERROR(INDEX(dataICM!C:C,match(Caseslist!B518,dataICM!D:D,0)), "INC")</f>
        <v>INC</v>
      </c>
      <c r="L518" s="10" t="str">
        <f t="array" ref="L518">IF(AND(G518="COMPLETE", OR(K518="INC", ISBLANK(INDEX(data!O:O, ROW())))), J518, K518)</f>
        <v>2025-09-12T09:57:47.377+08</v>
      </c>
      <c r="M518" s="2">
        <v>45912.0</v>
      </c>
      <c r="N518" s="2">
        <f t="array" ref="N518">IF(M518&lt;&gt;"INC", INDEX(data!M:M, MATCH(B518, data!D:D, 0)), "")</f>
        <v>0</v>
      </c>
      <c r="O518" s="2">
        <f t="shared" si="3"/>
        <v>0</v>
      </c>
    </row>
    <row r="519">
      <c r="A519" s="2" t="str">
        <f t="shared" si="1"/>
        <v>H006626</v>
      </c>
      <c r="B519" s="1" t="s">
        <v>5853</v>
      </c>
      <c r="C519" s="9" t="str">
        <f t="array" ref="C519">IF(
  AND(
    IFERROR(MATCH(Caseslist!B519, data!D:D, 0), 0) &gt; 0,
    IFERROR(INDEX(data!N:N, MATCH(Caseslist!B519, data!D:D, 0)) = 1, FALSE)
  ),
  "COMPLETE",
  "INC"
)</f>
        <v>COMPLETE</v>
      </c>
      <c r="D519" s="9" t="str">
        <f t="array" ref="D519">IFERROR(INDEX(data!$G:$G,match(Caseslist!B519,data!$D:$D,0)), "INC")</f>
        <v>O3925718</v>
      </c>
      <c r="E519" s="9" t="str">
        <f t="array" ref="E519">IFERROR(INDEX(data!H:H,match(Caseslist!B519,data!D:D,0)), "INC")</f>
        <v>Adrian Montecastro Ferrer</v>
      </c>
      <c r="F519" s="10" t="str">
        <f t="array" ref="F519">IF(
    OR(
      IFNA(INDEX(data!M:M, MATCH(Caseslist!B519, data!D:D, 0)), "") = "",
      IFNA(INDEX(data!M:M, MATCH(Caseslist!B519, data!D:D, 0)), 0) = 0
    ),
    "COMPLETE",
    IF(
      IFNA(INDEX(dataICM!D:D, MATCH(Caseslist!B519, dataICM!D:D, 0)), "INC") = "INC",
      IFNA(INDEX(dataICM!D:D, MATCH(Caseslist!B519, dataICM!D:D, 0)), "INC"),
      "COMPLETE"
    )
  )</f>
        <v>COMPLETE</v>
      </c>
      <c r="G519" s="10" t="str">
        <f t="array" ref="G519">IF(IFERROR(INDEX(data!L:L,match(Caseslist!B519,data!D:D,0)),"INC")="","COMPLETE",F519)</f>
        <v>COMPLETE</v>
      </c>
      <c r="H519" s="9" t="str">
        <f t="array" ref="H519">IFERROR(INDEX(dataICM!F:F,match(Caseslist!B519,dataICM!D:D,0)), "INC")</f>
        <v>INC</v>
      </c>
      <c r="I519" s="10" t="str">
        <f t="shared" si="2"/>
        <v>O3925718</v>
      </c>
      <c r="J519" s="9" t="str">
        <f t="array" ref="J519">IF(
  AND(
    IFERROR(MATCH(B519, data!D:D, 0), 0) &gt; 0,
    IFERROR(INDEX(data!N:N, MATCH(B519, data!D:D, 0)) = 1, FALSE)
  ),
  INDEX(data!C:C, MATCH(B519, data!D:D, 0)),
  "INC"
)</f>
        <v>2025-09-12T09:00:16.441+08</v>
      </c>
      <c r="K519" s="9" t="str">
        <f t="array" ref="K519">IFERROR(INDEX(dataICM!C:C,match(Caseslist!B519,dataICM!D:D,0)), "INC")</f>
        <v>INC</v>
      </c>
      <c r="L519" s="10" t="str">
        <f t="array" ref="L519">IF(AND(G519="COMPLETE", OR(K519="INC", ISBLANK(INDEX(data!O:O, ROW())))), J519, K519)</f>
        <v>2025-09-12T09:00:16.441+08</v>
      </c>
      <c r="M519" s="2">
        <v>45912.0</v>
      </c>
      <c r="N519" s="2">
        <f t="array" ref="N519">IF(M519&lt;&gt;"INC", INDEX(data!M:M, MATCH(B519, data!D:D, 0)), "")</f>
        <v>0</v>
      </c>
      <c r="O519" s="2">
        <f t="shared" si="3"/>
        <v>0</v>
      </c>
    </row>
    <row r="520">
      <c r="A520" s="2" t="str">
        <f t="shared" si="1"/>
        <v>H006626</v>
      </c>
      <c r="B520" s="1" t="s">
        <v>5828</v>
      </c>
      <c r="C520" s="9" t="str">
        <f t="array" ref="C520">IF(
  AND(
    IFERROR(MATCH(Caseslist!B520, data!D:D, 0), 0) &gt; 0,
    IFERROR(INDEX(data!N:N, MATCH(Caseslist!B520, data!D:D, 0)) = 1, FALSE)
  ),
  "COMPLETE",
  "INC"
)</f>
        <v>COMPLETE</v>
      </c>
      <c r="D520" s="9" t="str">
        <f t="array" ref="D520">IFERROR(INDEX(data!$G:$G,match(Caseslist!B520,data!$D:$D,0)), "INC")</f>
        <v>P1068432</v>
      </c>
      <c r="E520" s="9" t="str">
        <f t="array" ref="E520">IFERROR(INDEX(data!H:H,match(Caseslist!B520,data!D:D,0)), "INC")</f>
        <v>Mark Daniel Balagao Benson</v>
      </c>
      <c r="F520" s="10" t="str">
        <f t="array" ref="F520">IF(
    OR(
      IFNA(INDEX(data!M:M, MATCH(Caseslist!B520, data!D:D, 0)), "") = "",
      IFNA(INDEX(data!M:M, MATCH(Caseslist!B520, data!D:D, 0)), 0) = 0
    ),
    "COMPLETE",
    IF(
      IFNA(INDEX(dataICM!D:D, MATCH(Caseslist!B520, dataICM!D:D, 0)), "INC") = "INC",
      IFNA(INDEX(dataICM!D:D, MATCH(Caseslist!B520, dataICM!D:D, 0)), "INC"),
      "COMPLETE"
    )
  )</f>
        <v>COMPLETE</v>
      </c>
      <c r="G520" s="10" t="str">
        <f t="array" ref="G520">IF(IFERROR(INDEX(data!L:L,match(Caseslist!B520,data!D:D,0)),"INC")="","COMPLETE",F520)</f>
        <v>COMPLETE</v>
      </c>
      <c r="H520" s="9" t="str">
        <f t="array" ref="H520">IFERROR(INDEX(dataICM!F:F,match(Caseslist!B520,dataICM!D:D,0)), "INC")</f>
        <v>INC</v>
      </c>
      <c r="I520" s="10" t="str">
        <f t="shared" si="2"/>
        <v>P1068432</v>
      </c>
      <c r="J520" s="9" t="str">
        <f t="array" ref="J520">IF(
  AND(
    IFERROR(MATCH(B520, data!D:D, 0), 0) &gt; 0,
    IFERROR(INDEX(data!N:N, MATCH(B520, data!D:D, 0)) = 1, FALSE)
  ),
  INDEX(data!C:C, MATCH(B520, data!D:D, 0)),
  "INC"
)</f>
        <v>2025-09-13T08:49:39.611+08</v>
      </c>
      <c r="K520" s="9" t="str">
        <f t="array" ref="K520">IFERROR(INDEX(dataICM!C:C,match(Caseslist!B520,dataICM!D:D,0)), "INC")</f>
        <v>INC</v>
      </c>
      <c r="L520" s="10" t="str">
        <f t="array" ref="L520">IF(AND(G520="COMPLETE", OR(K520="INC", ISBLANK(INDEX(data!O:O, ROW())))), J520, K520)</f>
        <v>2025-09-13T08:49:39.611+08</v>
      </c>
      <c r="M520" s="2">
        <v>45913.0</v>
      </c>
      <c r="N520" s="2">
        <f t="array" ref="N520">IF(M520&lt;&gt;"INC", INDEX(data!M:M, MATCH(B520, data!D:D, 0)), "")</f>
        <v>0</v>
      </c>
      <c r="O520" s="2">
        <f t="shared" si="3"/>
        <v>0</v>
      </c>
    </row>
    <row r="521">
      <c r="A521" s="2" t="str">
        <f t="shared" si="1"/>
        <v>H006626</v>
      </c>
      <c r="B521" s="1" t="s">
        <v>5833</v>
      </c>
      <c r="C521" s="9" t="str">
        <f t="array" ref="C521">IF(
  AND(
    IFERROR(MATCH(Caseslist!B521, data!D:D, 0), 0) &gt; 0,
    IFERROR(INDEX(data!N:N, MATCH(Caseslist!B521, data!D:D, 0)) = 1, FALSE)
  ),
  "COMPLETE",
  "INC"
)</f>
        <v>COMPLETE</v>
      </c>
      <c r="D521" s="9" t="str">
        <f t="array" ref="D521">IFERROR(INDEX(data!$G:$G,match(Caseslist!B521,data!$D:$D,0)), "INC")</f>
        <v>O3925718</v>
      </c>
      <c r="E521" s="9" t="str">
        <f t="array" ref="E521">IFERROR(INDEX(data!H:H,match(Caseslist!B521,data!D:D,0)), "INC")</f>
        <v>Adrian Montecastro Ferrer</v>
      </c>
      <c r="F521" s="10" t="str">
        <f t="array" ref="F521">IF(
    OR(
      IFNA(INDEX(data!M:M, MATCH(Caseslist!B521, data!D:D, 0)), "") = "",
      IFNA(INDEX(data!M:M, MATCH(Caseslist!B521, data!D:D, 0)), 0) = 0
    ),
    "COMPLETE",
    IF(
      IFNA(INDEX(dataICM!D:D, MATCH(Caseslist!B521, dataICM!D:D, 0)), "INC") = "INC",
      IFNA(INDEX(dataICM!D:D, MATCH(Caseslist!B521, dataICM!D:D, 0)), "INC"),
      "COMPLETE"
    )
  )</f>
        <v>COMPLETE</v>
      </c>
      <c r="G521" s="10" t="str">
        <f t="array" ref="G521">IF(IFERROR(INDEX(data!L:L,match(Caseslist!B521,data!D:D,0)),"INC")="","COMPLETE",F521)</f>
        <v>COMPLETE</v>
      </c>
      <c r="H521" s="9" t="str">
        <f t="array" ref="H521">IFERROR(INDEX(dataICM!F:F,match(Caseslist!B521,dataICM!D:D,0)), "INC")</f>
        <v>INC</v>
      </c>
      <c r="I521" s="10" t="str">
        <f t="shared" si="2"/>
        <v>O3925718</v>
      </c>
      <c r="J521" s="9" t="str">
        <f t="array" ref="J521">IF(
  AND(
    IFERROR(MATCH(B521, data!D:D, 0), 0) &gt; 0,
    IFERROR(INDEX(data!N:N, MATCH(B521, data!D:D, 0)) = 1, FALSE)
  ),
  INDEX(data!C:C, MATCH(B521, data!D:D, 0)),
  "INC"
)</f>
        <v>2025-09-12T14:39:22.296+08</v>
      </c>
      <c r="K521" s="9" t="str">
        <f t="array" ref="K521">IFERROR(INDEX(dataICM!C:C,match(Caseslist!B521,dataICM!D:D,0)), "INC")</f>
        <v>INC</v>
      </c>
      <c r="L521" s="10" t="str">
        <f t="array" ref="L521">IF(AND(G521="COMPLETE", OR(K521="INC", ISBLANK(INDEX(data!O:O, ROW())))), J521, K521)</f>
        <v>2025-09-12T14:39:22.296+08</v>
      </c>
      <c r="M521" s="2">
        <v>45912.0</v>
      </c>
      <c r="N521" s="2">
        <f t="array" ref="N521">IF(M521&lt;&gt;"INC", INDEX(data!M:M, MATCH(B521, data!D:D, 0)), "")</f>
        <v>0</v>
      </c>
      <c r="O521" s="2">
        <f t="shared" si="3"/>
        <v>0</v>
      </c>
    </row>
    <row r="522">
      <c r="A522" s="2" t="str">
        <f t="shared" si="1"/>
        <v>H006631</v>
      </c>
      <c r="B522" s="1" t="s">
        <v>7693</v>
      </c>
      <c r="C522" s="9" t="str">
        <f t="array" ref="C522">IF(
  AND(
    IFERROR(MATCH(Caseslist!B522, data!D:D, 0), 0) &gt; 0,
    IFERROR(INDEX(data!N:N, MATCH(Caseslist!B522, data!D:D, 0)) = 1, FALSE)
  ),
  "COMPLETE",
  "INC"
)</f>
        <v>COMPLETE</v>
      </c>
      <c r="D522" s="9" t="str">
        <f t="array" ref="D522">IFERROR(INDEX(data!$G:$G,match(Caseslist!B522,data!$D:$D,0)), "INC")</f>
        <v>P1068432</v>
      </c>
      <c r="E522" s="9" t="str">
        <f t="array" ref="E522">IFERROR(INDEX(data!H:H,match(Caseslist!B522,data!D:D,0)), "INC")</f>
        <v>Mark Daniel Balagao Benson</v>
      </c>
      <c r="F522" s="10" t="str">
        <f t="array" ref="F522">IF(
    OR(
      IFNA(INDEX(data!M:M, MATCH(Caseslist!B522, data!D:D, 0)), "") = "",
      IFNA(INDEX(data!M:M, MATCH(Caseslist!B522, data!D:D, 0)), 0) = 0
    ),
    "COMPLETE",
    IF(
      IFNA(INDEX(dataICM!D:D, MATCH(Caseslist!B522, dataICM!D:D, 0)), "INC") = "INC",
      IFNA(INDEX(dataICM!D:D, MATCH(Caseslist!B522, dataICM!D:D, 0)), "INC"),
      "COMPLETE"
    )
  )</f>
        <v>COMPLETE</v>
      </c>
      <c r="G522" s="10" t="str">
        <f t="array" ref="G522">IF(IFERROR(INDEX(data!L:L,match(Caseslist!B522,data!D:D,0)),"INC")="","COMPLETE",F522)</f>
        <v>COMPLETE</v>
      </c>
      <c r="H522" s="9" t="str">
        <f t="array" ref="H522">IFERROR(INDEX(dataICM!F:F,match(Caseslist!B522,dataICM!D:D,0)), "INC")</f>
        <v>INC</v>
      </c>
      <c r="I522" s="10" t="str">
        <f t="shared" si="2"/>
        <v>P1068432</v>
      </c>
      <c r="J522" s="9" t="str">
        <f t="array" ref="J522">IF(
  AND(
    IFERROR(MATCH(B522, data!D:D, 0), 0) &gt; 0,
    IFERROR(INDEX(data!N:N, MATCH(B522, data!D:D, 0)) = 1, FALSE)
  ),
  INDEX(data!C:C, MATCH(B522, data!D:D, 0)),
  "INC"
)</f>
        <v>2025-09-20T10:12:19.828+08</v>
      </c>
      <c r="K522" s="9" t="str">
        <f t="array" ref="K522">IFERROR(INDEX(dataICM!C:C,match(Caseslist!B522,dataICM!D:D,0)), "INC")</f>
        <v>INC</v>
      </c>
      <c r="L522" s="10" t="str">
        <f t="array" ref="L522">IF(AND(G522="COMPLETE", OR(K522="INC", ISBLANK(INDEX(data!O:O, ROW())))), J522, K522)</f>
        <v>2025-09-20T10:12:19.828+08</v>
      </c>
      <c r="M522" s="2">
        <v>45920.0</v>
      </c>
      <c r="N522" s="2">
        <f t="array" ref="N522">IF(M522&lt;&gt;"INC", INDEX(data!M:M, MATCH(B522, data!D:D, 0)), "")</f>
        <v>0</v>
      </c>
      <c r="O522" s="2">
        <f t="shared" si="3"/>
        <v>0</v>
      </c>
    </row>
    <row r="523">
      <c r="A523" s="2" t="str">
        <f t="shared" si="1"/>
        <v>H006631</v>
      </c>
      <c r="B523" s="1" t="s">
        <v>7653</v>
      </c>
      <c r="C523" s="9" t="str">
        <f t="array" ref="C523">IF(
  AND(
    IFERROR(MATCH(Caseslist!B523, data!D:D, 0), 0) &gt; 0,
    IFERROR(INDEX(data!N:N, MATCH(Caseslist!B523, data!D:D, 0)) = 1, FALSE)
  ),
  "COMPLETE",
  "INC"
)</f>
        <v>COMPLETE</v>
      </c>
      <c r="D523" s="9" t="str">
        <f t="array" ref="D523">IFERROR(INDEX(data!$G:$G,match(Caseslist!B523,data!$D:$D,0)), "INC")</f>
        <v>N7814260</v>
      </c>
      <c r="E523" s="9" t="str">
        <f t="array" ref="E523">IFERROR(INDEX(data!H:H,match(Caseslist!B523,data!D:D,0)), "INC")</f>
        <v>Jemma Marie Tillo</v>
      </c>
      <c r="F523" s="10" t="str">
        <f t="array" ref="F523">IF(
    OR(
      IFNA(INDEX(data!M:M, MATCH(Caseslist!B523, data!D:D, 0)), "") = "",
      IFNA(INDEX(data!M:M, MATCH(Caseslist!B523, data!D:D, 0)), 0) = 0
    ),
    "COMPLETE",
    IF(
      IFNA(INDEX(dataICM!D:D, MATCH(Caseslist!B523, dataICM!D:D, 0)), "INC") = "INC",
      IFNA(INDEX(dataICM!D:D, MATCH(Caseslist!B523, dataICM!D:D, 0)), "INC"),
      "COMPLETE"
    )
  )</f>
        <v>COMPLETE</v>
      </c>
      <c r="G523" s="10" t="str">
        <f t="array" ref="G523">IF(IFERROR(INDEX(data!L:L,match(Caseslist!B523,data!D:D,0)),"INC")="","COMPLETE",F523)</f>
        <v>COMPLETE</v>
      </c>
      <c r="H523" s="9" t="str">
        <f t="array" ref="H523">IFERROR(INDEX(dataICM!F:F,match(Caseslist!B523,dataICM!D:D,0)), "INC")</f>
        <v>INC</v>
      </c>
      <c r="I523" s="10" t="str">
        <f t="shared" si="2"/>
        <v>N7814260</v>
      </c>
      <c r="J523" s="9" t="str">
        <f t="array" ref="J523">IF(
  AND(
    IFERROR(MATCH(B523, data!D:D, 0), 0) &gt; 0,
    IFERROR(INDEX(data!N:N, MATCH(B523, data!D:D, 0)) = 1, FALSE)
  ),
  INDEX(data!C:C, MATCH(B523, data!D:D, 0)),
  "INC"
)</f>
        <v>2025-09-20T09:55:48.625+08</v>
      </c>
      <c r="K523" s="9" t="str">
        <f t="array" ref="K523">IFERROR(INDEX(dataICM!C:C,match(Caseslist!B523,dataICM!D:D,0)), "INC")</f>
        <v>INC</v>
      </c>
      <c r="L523" s="10" t="str">
        <f t="array" ref="L523">IF(AND(G523="COMPLETE", OR(K523="INC", ISBLANK(INDEX(data!O:O, ROW())))), J523, K523)</f>
        <v>2025-09-20T09:55:48.625+08</v>
      </c>
      <c r="M523" s="2">
        <v>45920.0</v>
      </c>
      <c r="N523" s="2">
        <f t="array" ref="N523">IF(M523&lt;&gt;"INC", INDEX(data!M:M, MATCH(B523, data!D:D, 0)), "")</f>
        <v>0</v>
      </c>
      <c r="O523" s="2">
        <f t="shared" si="3"/>
        <v>0</v>
      </c>
    </row>
    <row r="524">
      <c r="A524" s="2" t="str">
        <f t="shared" si="1"/>
        <v>H006631</v>
      </c>
      <c r="B524" s="1" t="s">
        <v>7658</v>
      </c>
      <c r="C524" s="9" t="str">
        <f t="array" ref="C524">IF(
  AND(
    IFERROR(MATCH(Caseslist!B524, data!D:D, 0), 0) &gt; 0,
    IFERROR(INDEX(data!N:N, MATCH(Caseslist!B524, data!D:D, 0)) = 1, FALSE)
  ),
  "COMPLETE",
  "INC"
)</f>
        <v>COMPLETE</v>
      </c>
      <c r="D524" s="9" t="str">
        <f t="array" ref="D524">IFERROR(INDEX(data!$G:$G,match(Caseslist!B524,data!$D:$D,0)), "INC")</f>
        <v>O3925718</v>
      </c>
      <c r="E524" s="9" t="str">
        <f t="array" ref="E524">IFERROR(INDEX(data!H:H,match(Caseslist!B524,data!D:D,0)), "INC")</f>
        <v>Adrian Montecastro Ferrer</v>
      </c>
      <c r="F524" s="10" t="str">
        <f t="array" ref="F524">IF(
    OR(
      IFNA(INDEX(data!M:M, MATCH(Caseslist!B524, data!D:D, 0)), "") = "",
      IFNA(INDEX(data!M:M, MATCH(Caseslist!B524, data!D:D, 0)), 0) = 0
    ),
    "COMPLETE",
    IF(
      IFNA(INDEX(dataICM!D:D, MATCH(Caseslist!B524, dataICM!D:D, 0)), "INC") = "INC",
      IFNA(INDEX(dataICM!D:D, MATCH(Caseslist!B524, dataICM!D:D, 0)), "INC"),
      "COMPLETE"
    )
  )</f>
        <v>COMPLETE</v>
      </c>
      <c r="G524" s="10" t="str">
        <f t="array" ref="G524">IF(IFERROR(INDEX(data!L:L,match(Caseslist!B524,data!D:D,0)),"INC")="","COMPLETE",F524)</f>
        <v>COMPLETE</v>
      </c>
      <c r="H524" s="9" t="str">
        <f t="array" ref="H524">IFERROR(INDEX(dataICM!F:F,match(Caseslist!B524,dataICM!D:D,0)), "INC")</f>
        <v>INC</v>
      </c>
      <c r="I524" s="10" t="str">
        <f t="shared" si="2"/>
        <v>O3925718</v>
      </c>
      <c r="J524" s="9" t="str">
        <f t="array" ref="J524">IF(
  AND(
    IFERROR(MATCH(B524, data!D:D, 0), 0) &gt; 0,
    IFERROR(INDEX(data!N:N, MATCH(B524, data!D:D, 0)) = 1, FALSE)
  ),
  INDEX(data!C:C, MATCH(B524, data!D:D, 0)),
  "INC"
)</f>
        <v>2025-09-20T14:22:05.839+08</v>
      </c>
      <c r="K524" s="9" t="str">
        <f t="array" ref="K524">IFERROR(INDEX(dataICM!C:C,match(Caseslist!B524,dataICM!D:D,0)), "INC")</f>
        <v>INC</v>
      </c>
      <c r="L524" s="10" t="str">
        <f t="array" ref="L524">IF(AND(G524="COMPLETE", OR(K524="INC", ISBLANK(INDEX(data!O:O, ROW())))), J524, K524)</f>
        <v>2025-09-20T14:22:05.839+08</v>
      </c>
      <c r="M524" s="2">
        <v>45920.0</v>
      </c>
      <c r="N524" s="2">
        <f t="array" ref="N524">IF(M524&lt;&gt;"INC", INDEX(data!M:M, MATCH(B524, data!D:D, 0)), "")</f>
        <v>0</v>
      </c>
      <c r="O524" s="2">
        <f t="shared" si="3"/>
        <v>0</v>
      </c>
    </row>
    <row r="525">
      <c r="A525" s="2" t="str">
        <f t="shared" si="1"/>
        <v>H006631</v>
      </c>
      <c r="B525" s="1" t="s">
        <v>7643</v>
      </c>
      <c r="C525" s="9" t="str">
        <f t="array" ref="C525">IF(
  AND(
    IFERROR(MATCH(Caseslist!B525, data!D:D, 0), 0) &gt; 0,
    IFERROR(INDEX(data!N:N, MATCH(Caseslist!B525, data!D:D, 0)) = 1, FALSE)
  ),
  "COMPLETE",
  "INC"
)</f>
        <v>COMPLETE</v>
      </c>
      <c r="D525" s="9" t="str">
        <f t="array" ref="D525">IFERROR(INDEX(data!$G:$G,match(Caseslist!B525,data!$D:$D,0)), "INC")</f>
        <v>N7814260</v>
      </c>
      <c r="E525" s="9" t="str">
        <f t="array" ref="E525">IFERROR(INDEX(data!H:H,match(Caseslist!B525,data!D:D,0)), "INC")</f>
        <v>Jemma Marie Tillo</v>
      </c>
      <c r="F525" s="10" t="str">
        <f t="array" ref="F525">IF(
    OR(
      IFNA(INDEX(data!M:M, MATCH(Caseslist!B525, data!D:D, 0)), "") = "",
      IFNA(INDEX(data!M:M, MATCH(Caseslist!B525, data!D:D, 0)), 0) = 0
    ),
    "COMPLETE",
    IF(
      IFNA(INDEX(dataICM!D:D, MATCH(Caseslist!B525, dataICM!D:D, 0)), "INC") = "INC",
      IFNA(INDEX(dataICM!D:D, MATCH(Caseslist!B525, dataICM!D:D, 0)), "INC"),
      "COMPLETE"
    )
  )</f>
        <v>COMPLETE</v>
      </c>
      <c r="G525" s="10" t="str">
        <f t="array" ref="G525">IF(IFERROR(INDEX(data!L:L,match(Caseslist!B525,data!D:D,0)),"INC")="","COMPLETE",F525)</f>
        <v>COMPLETE</v>
      </c>
      <c r="H525" s="9" t="str">
        <f t="array" ref="H525">IFERROR(INDEX(dataICM!F:F,match(Caseslist!B525,dataICM!D:D,0)), "INC")</f>
        <v>INC</v>
      </c>
      <c r="I525" s="10" t="str">
        <f t="shared" si="2"/>
        <v>N7814260</v>
      </c>
      <c r="J525" s="9" t="str">
        <f t="array" ref="J525">IF(
  AND(
    IFERROR(MATCH(B525, data!D:D, 0), 0) &gt; 0,
    IFERROR(INDEX(data!N:N, MATCH(B525, data!D:D, 0)) = 1, FALSE)
  ),
  INDEX(data!C:C, MATCH(B525, data!D:D, 0)),
  "INC"
)</f>
        <v>2025-09-23T08:10:52.435+08</v>
      </c>
      <c r="K525" s="9" t="str">
        <f t="array" ref="K525">IFERROR(INDEX(dataICM!C:C,match(Caseslist!B525,dataICM!D:D,0)), "INC")</f>
        <v>INC</v>
      </c>
      <c r="L525" s="10" t="str">
        <f t="array" ref="L525">IF(AND(G525="COMPLETE", OR(K525="INC", ISBLANK(INDEX(data!O:O, ROW())))), J525, K525)</f>
        <v>2025-09-23T08:10:52.435+08</v>
      </c>
      <c r="M525" s="2">
        <v>45923.0</v>
      </c>
      <c r="N525" s="2">
        <f t="array" ref="N525">IF(M525&lt;&gt;"INC", INDEX(data!M:M, MATCH(B525, data!D:D, 0)), "")</f>
        <v>0</v>
      </c>
      <c r="O525" s="2">
        <f t="shared" si="3"/>
        <v>0</v>
      </c>
    </row>
    <row r="526">
      <c r="A526" s="2" t="str">
        <f t="shared" si="1"/>
        <v>H006631</v>
      </c>
      <c r="B526" s="1" t="s">
        <v>7483</v>
      </c>
      <c r="C526" s="9" t="str">
        <f t="array" ref="C526">IF(
  AND(
    IFERROR(MATCH(Caseslist!B526, data!D:D, 0), 0) &gt; 0,
    IFERROR(INDEX(data!N:N, MATCH(Caseslist!B526, data!D:D, 0)) = 1, FALSE)
  ),
  "COMPLETE",
  "INC"
)</f>
        <v>COMPLETE</v>
      </c>
      <c r="D526" s="9" t="str">
        <f t="array" ref="D526">IFERROR(INDEX(data!$G:$G,match(Caseslist!B526,data!$D:$D,0)), "INC")</f>
        <v>O3925718</v>
      </c>
      <c r="E526" s="9" t="str">
        <f t="array" ref="E526">IFERROR(INDEX(data!H:H,match(Caseslist!B526,data!D:D,0)), "INC")</f>
        <v>Adrian Montecastro Ferrer</v>
      </c>
      <c r="F526" s="10" t="str">
        <f t="array" ref="F526">IF(
    OR(
      IFNA(INDEX(data!M:M, MATCH(Caseslist!B526, data!D:D, 0)), "") = "",
      IFNA(INDEX(data!M:M, MATCH(Caseslist!B526, data!D:D, 0)), 0) = 0
    ),
    "COMPLETE",
    IF(
      IFNA(INDEX(dataICM!D:D, MATCH(Caseslist!B526, dataICM!D:D, 0)), "INC") = "INC",
      IFNA(INDEX(dataICM!D:D, MATCH(Caseslist!B526, dataICM!D:D, 0)), "INC"),
      "COMPLETE"
    )
  )</f>
        <v>COMPLETE</v>
      </c>
      <c r="G526" s="10" t="str">
        <f t="array" ref="G526">IF(IFERROR(INDEX(data!L:L,match(Caseslist!B526,data!D:D,0)),"INC")="","COMPLETE",F526)</f>
        <v>COMPLETE</v>
      </c>
      <c r="H526" s="9" t="str">
        <f t="array" ref="H526">IFERROR(INDEX(dataICM!F:F,match(Caseslist!B526,dataICM!D:D,0)), "INC")</f>
        <v>INC</v>
      </c>
      <c r="I526" s="10" t="str">
        <f t="shared" si="2"/>
        <v>O3925718</v>
      </c>
      <c r="J526" s="9" t="str">
        <f t="array" ref="J526">IF(
  AND(
    IFERROR(MATCH(B526, data!D:D, 0), 0) &gt; 0,
    IFERROR(INDEX(data!N:N, MATCH(B526, data!D:D, 0)) = 1, FALSE)
  ),
  INDEX(data!C:C, MATCH(B526, data!D:D, 0)),
  "INC"
)</f>
        <v>2025-09-19T15:28:54.626+08</v>
      </c>
      <c r="K526" s="9" t="str">
        <f t="array" ref="K526">IFERROR(INDEX(dataICM!C:C,match(Caseslist!B526,dataICM!D:D,0)), "INC")</f>
        <v>INC</v>
      </c>
      <c r="L526" s="10" t="str">
        <f t="array" ref="L526">IF(AND(G526="COMPLETE", OR(K526="INC", ISBLANK(INDEX(data!O:O, ROW())))), J526, K526)</f>
        <v>2025-09-19T15:28:54.626+08</v>
      </c>
      <c r="M526" s="2">
        <v>45919.0</v>
      </c>
      <c r="N526" s="2">
        <f t="array" ref="N526">IF(M526&lt;&gt;"INC", INDEX(data!M:M, MATCH(B526, data!D:D, 0)), "")</f>
        <v>0</v>
      </c>
      <c r="O526" s="2">
        <f t="shared" si="3"/>
        <v>0</v>
      </c>
    </row>
    <row r="527">
      <c r="A527" s="2" t="str">
        <f t="shared" si="1"/>
        <v>H006631</v>
      </c>
      <c r="B527" s="1" t="s">
        <v>7668</v>
      </c>
      <c r="C527" s="9" t="str">
        <f t="array" ref="C527">IF(
  AND(
    IFERROR(MATCH(Caseslist!B527, data!D:D, 0), 0) &gt; 0,
    IFERROR(INDEX(data!N:N, MATCH(Caseslist!B527, data!D:D, 0)) = 1, FALSE)
  ),
  "COMPLETE",
  "INC"
)</f>
        <v>COMPLETE</v>
      </c>
      <c r="D527" s="9" t="str">
        <f t="array" ref="D527">IFERROR(INDEX(data!$G:$G,match(Caseslist!B527,data!$D:$D,0)), "INC")</f>
        <v>O3925718</v>
      </c>
      <c r="E527" s="9" t="str">
        <f t="array" ref="E527">IFERROR(INDEX(data!H:H,match(Caseslist!B527,data!D:D,0)), "INC")</f>
        <v>Adrian Montecastro Ferrer</v>
      </c>
      <c r="F527" s="10" t="str">
        <f t="array" ref="F527">IF(
    OR(
      IFNA(INDEX(data!M:M, MATCH(Caseslist!B527, data!D:D, 0)), "") = "",
      IFNA(INDEX(data!M:M, MATCH(Caseslist!B527, data!D:D, 0)), 0) = 0
    ),
    "COMPLETE",
    IF(
      IFNA(INDEX(dataICM!D:D, MATCH(Caseslist!B527, dataICM!D:D, 0)), "INC") = "INC",
      IFNA(INDEX(dataICM!D:D, MATCH(Caseslist!B527, dataICM!D:D, 0)), "INC"),
      "COMPLETE"
    )
  )</f>
        <v>COMPLETE</v>
      </c>
      <c r="G527" s="10" t="str">
        <f t="array" ref="G527">IF(IFERROR(INDEX(data!L:L,match(Caseslist!B527,data!D:D,0)),"INC")="","COMPLETE",F527)</f>
        <v>COMPLETE</v>
      </c>
      <c r="H527" s="9" t="str">
        <f t="array" ref="H527">IFERROR(INDEX(dataICM!F:F,match(Caseslist!B527,dataICM!D:D,0)), "INC")</f>
        <v>INC</v>
      </c>
      <c r="I527" s="10" t="str">
        <f t="shared" si="2"/>
        <v>O3925718</v>
      </c>
      <c r="J527" s="9" t="str">
        <f t="array" ref="J527">IF(
  AND(
    IFERROR(MATCH(B527, data!D:D, 0), 0) &gt; 0,
    IFERROR(INDEX(data!N:N, MATCH(B527, data!D:D, 0)) = 1, FALSE)
  ),
  INDEX(data!C:C, MATCH(B527, data!D:D, 0)),
  "INC"
)</f>
        <v>2025-09-20T08:15:09.013+08</v>
      </c>
      <c r="K527" s="9" t="str">
        <f t="array" ref="K527">IFERROR(INDEX(dataICM!C:C,match(Caseslist!B527,dataICM!D:D,0)), "INC")</f>
        <v>INC</v>
      </c>
      <c r="L527" s="10" t="str">
        <f t="array" ref="L527">IF(AND(G527="COMPLETE", OR(K527="INC", ISBLANK(INDEX(data!O:O, ROW())))), J527, K527)</f>
        <v>2025-09-20T08:15:09.013+08</v>
      </c>
      <c r="M527" s="2">
        <v>45920.0</v>
      </c>
      <c r="N527" s="2">
        <f t="array" ref="N527">IF(M527&lt;&gt;"INC", INDEX(data!M:M, MATCH(B527, data!D:D, 0)), "")</f>
        <v>0</v>
      </c>
      <c r="O527" s="2">
        <f t="shared" si="3"/>
        <v>0</v>
      </c>
    </row>
    <row r="528">
      <c r="A528" s="2" t="str">
        <f t="shared" si="1"/>
        <v>H006631</v>
      </c>
      <c r="B528" s="1" t="s">
        <v>7478</v>
      </c>
      <c r="C528" s="9" t="str">
        <f t="array" ref="C528">IF(
  AND(
    IFERROR(MATCH(Caseslist!B528, data!D:D, 0), 0) &gt; 0,
    IFERROR(INDEX(data!N:N, MATCH(Caseslist!B528, data!D:D, 0)) = 1, FALSE)
  ),
  "COMPLETE",
  "INC"
)</f>
        <v>COMPLETE</v>
      </c>
      <c r="D528" s="9" t="str">
        <f t="array" ref="D528">IFERROR(INDEX(data!$G:$G,match(Caseslist!B528,data!$D:$D,0)), "INC")</f>
        <v>O3925718</v>
      </c>
      <c r="E528" s="9" t="str">
        <f t="array" ref="E528">IFERROR(INDEX(data!H:H,match(Caseslist!B528,data!D:D,0)), "INC")</f>
        <v>Adrian Montecastro Ferrer</v>
      </c>
      <c r="F528" s="10" t="str">
        <f t="array" ref="F528">IF(
    OR(
      IFNA(INDEX(data!M:M, MATCH(Caseslist!B528, data!D:D, 0)), "") = "",
      IFNA(INDEX(data!M:M, MATCH(Caseslist!B528, data!D:D, 0)), 0) = 0
    ),
    "COMPLETE",
    IF(
      IFNA(INDEX(dataICM!D:D, MATCH(Caseslist!B528, dataICM!D:D, 0)), "INC") = "INC",
      IFNA(INDEX(dataICM!D:D, MATCH(Caseslist!B528, dataICM!D:D, 0)), "INC"),
      "COMPLETE"
    )
  )</f>
        <v>COMPLETE</v>
      </c>
      <c r="G528" s="10" t="str">
        <f t="array" ref="G528">IF(IFERROR(INDEX(data!L:L,match(Caseslist!B528,data!D:D,0)),"INC")="","COMPLETE",F528)</f>
        <v>COMPLETE</v>
      </c>
      <c r="H528" s="9" t="str">
        <f t="array" ref="H528">IFERROR(INDEX(dataICM!F:F,match(Caseslist!B528,dataICM!D:D,0)), "INC")</f>
        <v>INC</v>
      </c>
      <c r="I528" s="10" t="str">
        <f t="shared" si="2"/>
        <v>O3925718</v>
      </c>
      <c r="J528" s="9" t="str">
        <f t="array" ref="J528">IF(
  AND(
    IFERROR(MATCH(B528, data!D:D, 0), 0) &gt; 0,
    IFERROR(INDEX(data!N:N, MATCH(B528, data!D:D, 0)) = 1, FALSE)
  ),
  INDEX(data!C:C, MATCH(B528, data!D:D, 0)),
  "INC"
)</f>
        <v>2025-09-19T14:10:07.115+08</v>
      </c>
      <c r="K528" s="9" t="str">
        <f t="array" ref="K528">IFERROR(INDEX(dataICM!C:C,match(Caseslist!B528,dataICM!D:D,0)), "INC")</f>
        <v>INC</v>
      </c>
      <c r="L528" s="10" t="str">
        <f t="array" ref="L528">IF(AND(G528="COMPLETE", OR(K528="INC", ISBLANK(INDEX(data!O:O, ROW())))), J528, K528)</f>
        <v>2025-09-19T14:10:07.115+08</v>
      </c>
      <c r="M528" s="2">
        <v>45919.0</v>
      </c>
      <c r="N528" s="2">
        <f t="array" ref="N528">IF(M528&lt;&gt;"INC", INDEX(data!M:M, MATCH(B528, data!D:D, 0)), "")</f>
        <v>0</v>
      </c>
      <c r="O528" s="2">
        <f t="shared" si="3"/>
        <v>0</v>
      </c>
    </row>
    <row r="529">
      <c r="A529" s="2" t="str">
        <f t="shared" si="1"/>
        <v>H006631</v>
      </c>
      <c r="B529" s="1" t="s">
        <v>7438</v>
      </c>
      <c r="C529" s="9" t="str">
        <f t="array" ref="C529">IF(
  AND(
    IFERROR(MATCH(Caseslist!B529, data!D:D, 0), 0) &gt; 0,
    IFERROR(INDEX(data!N:N, MATCH(Caseslist!B529, data!D:D, 0)) = 1, FALSE)
  ),
  "COMPLETE",
  "INC"
)</f>
        <v>COMPLETE</v>
      </c>
      <c r="D529" s="9" t="str">
        <f t="array" ref="D529">IFERROR(INDEX(data!$G:$G,match(Caseslist!B529,data!$D:$D,0)), "INC")</f>
        <v>N7814260</v>
      </c>
      <c r="E529" s="9" t="str">
        <f t="array" ref="E529">IFERROR(INDEX(data!H:H,match(Caseslist!B529,data!D:D,0)), "INC")</f>
        <v>Jemma Marie Tillo</v>
      </c>
      <c r="F529" s="10" t="str">
        <f t="array" ref="F529">IF(
    OR(
      IFNA(INDEX(data!M:M, MATCH(Caseslist!B529, data!D:D, 0)), "") = "",
      IFNA(INDEX(data!M:M, MATCH(Caseslist!B529, data!D:D, 0)), 0) = 0
    ),
    "COMPLETE",
    IF(
      IFNA(INDEX(dataICM!D:D, MATCH(Caseslist!B529, dataICM!D:D, 0)), "INC") = "INC",
      IFNA(INDEX(dataICM!D:D, MATCH(Caseslist!B529, dataICM!D:D, 0)), "INC"),
      "COMPLETE"
    )
  )</f>
        <v>COMPLETE</v>
      </c>
      <c r="G529" s="10" t="str">
        <f t="array" ref="G529">IF(IFERROR(INDEX(data!L:L,match(Caseslist!B529,data!D:D,0)),"INC")="","COMPLETE",F529)</f>
        <v>COMPLETE</v>
      </c>
      <c r="H529" s="9" t="str">
        <f t="array" ref="H529">IFERROR(INDEX(dataICM!F:F,match(Caseslist!B529,dataICM!D:D,0)), "INC")</f>
        <v>INC</v>
      </c>
      <c r="I529" s="10" t="str">
        <f t="shared" si="2"/>
        <v>N7814260</v>
      </c>
      <c r="J529" s="9" t="str">
        <f t="array" ref="J529">IF(
  AND(
    IFERROR(MATCH(B529, data!D:D, 0), 0) &gt; 0,
    IFERROR(INDEX(data!N:N, MATCH(B529, data!D:D, 0)) = 1, FALSE)
  ),
  INDEX(data!C:C, MATCH(B529, data!D:D, 0)),
  "INC"
)</f>
        <v>2025-09-19T18:26:04.600+08</v>
      </c>
      <c r="K529" s="9" t="str">
        <f t="array" ref="K529">IFERROR(INDEX(dataICM!C:C,match(Caseslist!B529,dataICM!D:D,0)), "INC")</f>
        <v>INC</v>
      </c>
      <c r="L529" s="10" t="str">
        <f t="array" ref="L529">IF(AND(G529="COMPLETE", OR(K529="INC", ISBLANK(INDEX(data!O:O, ROW())))), J529, K529)</f>
        <v>2025-09-19T18:26:04.600+08</v>
      </c>
      <c r="M529" s="2">
        <v>45919.0</v>
      </c>
      <c r="N529" s="2">
        <f t="array" ref="N529">IF(M529&lt;&gt;"INC", INDEX(data!M:M, MATCH(B529, data!D:D, 0)), "")</f>
        <v>0</v>
      </c>
      <c r="O529" s="2">
        <f t="shared" si="3"/>
        <v>0</v>
      </c>
    </row>
    <row r="530">
      <c r="A530" s="2" t="str">
        <f t="shared" si="1"/>
        <v>H006631</v>
      </c>
      <c r="B530" s="1" t="s">
        <v>7443</v>
      </c>
      <c r="C530" s="9" t="str">
        <f t="array" ref="C530">IF(
  AND(
    IFERROR(MATCH(Caseslist!B530, data!D:D, 0), 0) &gt; 0,
    IFERROR(INDEX(data!N:N, MATCH(Caseslist!B530, data!D:D, 0)) = 1, FALSE)
  ),
  "COMPLETE",
  "INC"
)</f>
        <v>COMPLETE</v>
      </c>
      <c r="D530" s="9" t="str">
        <f t="array" ref="D530">IFERROR(INDEX(data!$G:$G,match(Caseslist!B530,data!$D:$D,0)), "INC")</f>
        <v>N7814260</v>
      </c>
      <c r="E530" s="9" t="str">
        <f t="array" ref="E530">IFERROR(INDEX(data!H:H,match(Caseslist!B530,data!D:D,0)), "INC")</f>
        <v>Jemma Marie Tillo</v>
      </c>
      <c r="F530" s="10" t="str">
        <f t="array" ref="F530">IF(
    OR(
      IFNA(INDEX(data!M:M, MATCH(Caseslist!B530, data!D:D, 0)), "") = "",
      IFNA(INDEX(data!M:M, MATCH(Caseslist!B530, data!D:D, 0)), 0) = 0
    ),
    "COMPLETE",
    IF(
      IFNA(INDEX(dataICM!D:D, MATCH(Caseslist!B530, dataICM!D:D, 0)), "INC") = "INC",
      IFNA(INDEX(dataICM!D:D, MATCH(Caseslist!B530, dataICM!D:D, 0)), "INC"),
      "COMPLETE"
    )
  )</f>
        <v>COMPLETE</v>
      </c>
      <c r="G530" s="10" t="str">
        <f t="array" ref="G530">IF(IFERROR(INDEX(data!L:L,match(Caseslist!B530,data!D:D,0)),"INC")="","COMPLETE",F530)</f>
        <v>COMPLETE</v>
      </c>
      <c r="H530" s="9" t="str">
        <f t="array" ref="H530">IFERROR(INDEX(dataICM!F:F,match(Caseslist!B530,dataICM!D:D,0)), "INC")</f>
        <v>INC</v>
      </c>
      <c r="I530" s="10" t="str">
        <f t="shared" si="2"/>
        <v>N7814260</v>
      </c>
      <c r="J530" s="9" t="str">
        <f t="array" ref="J530">IF(
  AND(
    IFERROR(MATCH(B530, data!D:D, 0), 0) &gt; 0,
    IFERROR(INDEX(data!N:N, MATCH(B530, data!D:D, 0)) = 1, FALSE)
  ),
  INDEX(data!C:C, MATCH(B530, data!D:D, 0)),
  "INC"
)</f>
        <v>2025-09-19T14:01:32.337+08</v>
      </c>
      <c r="K530" s="9" t="str">
        <f t="array" ref="K530">IFERROR(INDEX(dataICM!C:C,match(Caseslist!B530,dataICM!D:D,0)), "INC")</f>
        <v>INC</v>
      </c>
      <c r="L530" s="10" t="str">
        <f t="array" ref="L530">IF(AND(G530="COMPLETE", OR(K530="INC", ISBLANK(INDEX(data!O:O, ROW())))), J530, K530)</f>
        <v>2025-09-19T14:01:32.337+08</v>
      </c>
      <c r="M530" s="2">
        <v>45919.0</v>
      </c>
      <c r="N530" s="2">
        <f t="array" ref="N530">IF(M530&lt;&gt;"INC", INDEX(data!M:M, MATCH(B530, data!D:D, 0)), "")</f>
        <v>0</v>
      </c>
      <c r="O530" s="2">
        <f t="shared" si="3"/>
        <v>0</v>
      </c>
    </row>
    <row r="531">
      <c r="A531" s="2" t="str">
        <f t="shared" si="1"/>
        <v>H006631</v>
      </c>
      <c r="B531" s="1" t="s">
        <v>7688</v>
      </c>
      <c r="C531" s="9" t="str">
        <f t="array" ref="C531">IF(
  AND(
    IFERROR(MATCH(Caseslist!B531, data!D:D, 0), 0) &gt; 0,
    IFERROR(INDEX(data!N:N, MATCH(Caseslist!B531, data!D:D, 0)) = 1, FALSE)
  ),
  "COMPLETE",
  "INC"
)</f>
        <v>INC</v>
      </c>
      <c r="D531" s="9" t="str">
        <f t="array" ref="D531">IFERROR(INDEX(data!$G:$G,match(Caseslist!B531,data!$D:$D,0)), "INC")</f>
        <v>P1068432</v>
      </c>
      <c r="E531" s="9" t="str">
        <f t="array" ref="E531">IFERROR(INDEX(data!H:H,match(Caseslist!B531,data!D:D,0)), "INC")</f>
        <v>Mark Daniel Balagao Benson</v>
      </c>
      <c r="F531" s="10" t="str">
        <f t="array" ref="F531">IF(
    OR(
      IFNA(INDEX(data!M:M, MATCH(Caseslist!B531, data!D:D, 0)), "") = "",
      IFNA(INDEX(data!M:M, MATCH(Caseslist!B531, data!D:D, 0)), 0) = 0
    ),
    "COMPLETE",
    IF(
      IFNA(INDEX(dataICM!D:D, MATCH(Caseslist!B531, dataICM!D:D, 0)), "INC") = "INC",
      IFNA(INDEX(dataICM!D:D, MATCH(Caseslist!B531, dataICM!D:D, 0)), "INC"),
      "COMPLETE"
    )
  )</f>
        <v>COMPLETE</v>
      </c>
      <c r="G531" s="10" t="str">
        <f t="array" ref="G531">IF(IFERROR(INDEX(data!L:L,match(Caseslist!B531,data!D:D,0)),"INC")="","COMPLETE",F531)</f>
        <v>COMPLETE</v>
      </c>
      <c r="H531" s="9" t="str">
        <f t="array" ref="H531">IFERROR(INDEX(dataICM!F:F,match(Caseslist!B531,dataICM!D:D,0)), "INC")</f>
        <v>INC</v>
      </c>
      <c r="I531" s="10" t="str">
        <f t="shared" si="2"/>
        <v>P1068432</v>
      </c>
      <c r="J531" s="9" t="str">
        <f t="array" ref="J531">IF(
  AND(
    IFERROR(MATCH(B531, data!D:D, 0), 0) &gt; 0,
    IFERROR(INDEX(data!N:N, MATCH(B531, data!D:D, 0)) = 1, FALSE)
  ),
  INDEX(data!C:C, MATCH(B531, data!D:D, 0)),
  "INC"
)</f>
        <v>INC</v>
      </c>
      <c r="K531" s="9" t="str">
        <f t="array" ref="K531">IFERROR(INDEX(dataICM!C:C,match(Caseslist!B531,dataICM!D:D,0)), "INC")</f>
        <v>INC</v>
      </c>
      <c r="L531" s="10" t="str">
        <f t="array" ref="L531">IF(AND(G531="COMPLETE", OR(K531="INC", ISBLANK(INDEX(data!O:O, ROW())))), J531, K531)</f>
        <v>INC</v>
      </c>
      <c r="M531" s="2" t="s">
        <v>8886</v>
      </c>
      <c r="N531" s="2" t="str">
        <f t="array" ref="N531">IF(M531&lt;&gt;"INC", INDEX(data!M:M, MATCH(B531, data!D:D, 0)), "")</f>
        <v/>
      </c>
      <c r="O531" s="2" t="str">
        <f t="shared" si="3"/>
        <v/>
      </c>
    </row>
    <row r="532">
      <c r="A532" s="2" t="str">
        <f t="shared" si="1"/>
        <v>H006631</v>
      </c>
      <c r="B532" s="1" t="s">
        <v>7663</v>
      </c>
      <c r="C532" s="9" t="str">
        <f t="array" ref="C532">IF(
  AND(
    IFERROR(MATCH(Caseslist!B532, data!D:D, 0), 0) &gt; 0,
    IFERROR(INDEX(data!N:N, MATCH(Caseslist!B532, data!D:D, 0)) = 1, FALSE)
  ),
  "COMPLETE",
  "INC"
)</f>
        <v>COMPLETE</v>
      </c>
      <c r="D532" s="9" t="str">
        <f t="array" ref="D532">IFERROR(INDEX(data!$G:$G,match(Caseslist!B532,data!$D:$D,0)), "INC")</f>
        <v>O3925718</v>
      </c>
      <c r="E532" s="9" t="str">
        <f t="array" ref="E532">IFERROR(INDEX(data!H:H,match(Caseslist!B532,data!D:D,0)), "INC")</f>
        <v>Adrian Montecastro Ferrer</v>
      </c>
      <c r="F532" s="10" t="str">
        <f t="array" ref="F532">IF(
    OR(
      IFNA(INDEX(data!M:M, MATCH(Caseslist!B532, data!D:D, 0)), "") = "",
      IFNA(INDEX(data!M:M, MATCH(Caseslist!B532, data!D:D, 0)), 0) = 0
    ),
    "COMPLETE",
    IF(
      IFNA(INDEX(dataICM!D:D, MATCH(Caseslist!B532, dataICM!D:D, 0)), "INC") = "INC",
      IFNA(INDEX(dataICM!D:D, MATCH(Caseslist!B532, dataICM!D:D, 0)), "INC"),
      "COMPLETE"
    )
  )</f>
        <v>COMPLETE</v>
      </c>
      <c r="G532" s="10" t="str">
        <f t="array" ref="G532">IF(IFERROR(INDEX(data!L:L,match(Caseslist!B532,data!D:D,0)),"INC")="","COMPLETE",F532)</f>
        <v>COMPLETE</v>
      </c>
      <c r="H532" s="9" t="str">
        <f t="array" ref="H532">IFERROR(INDEX(dataICM!F:F,match(Caseslist!B532,dataICM!D:D,0)), "INC")</f>
        <v>INC</v>
      </c>
      <c r="I532" s="10" t="str">
        <f t="shared" si="2"/>
        <v>O3925718</v>
      </c>
      <c r="J532" s="9" t="str">
        <f t="array" ref="J532">IF(
  AND(
    IFERROR(MATCH(B532, data!D:D, 0), 0) &gt; 0,
    IFERROR(INDEX(data!N:N, MATCH(B532, data!D:D, 0)) = 1, FALSE)
  ),
  INDEX(data!C:C, MATCH(B532, data!D:D, 0)),
  "INC"
)</f>
        <v>2025-09-20T09:30:27.995+08</v>
      </c>
      <c r="K532" s="9" t="str">
        <f t="array" ref="K532">IFERROR(INDEX(dataICM!C:C,match(Caseslist!B532,dataICM!D:D,0)), "INC")</f>
        <v>INC</v>
      </c>
      <c r="L532" s="10" t="str">
        <f t="array" ref="L532">IF(AND(G532="COMPLETE", OR(K532="INC", ISBLANK(INDEX(data!O:O, ROW())))), J532, K532)</f>
        <v>2025-09-20T09:30:27.995+08</v>
      </c>
      <c r="M532" s="2">
        <v>45920.0</v>
      </c>
      <c r="N532" s="2">
        <f t="array" ref="N532">IF(M532&lt;&gt;"INC", INDEX(data!M:M, MATCH(B532, data!D:D, 0)), "")</f>
        <v>0</v>
      </c>
      <c r="O532" s="2">
        <f t="shared" si="3"/>
        <v>0</v>
      </c>
    </row>
    <row r="533">
      <c r="A533" s="2" t="str">
        <f t="shared" si="1"/>
        <v>H006631</v>
      </c>
      <c r="B533" s="1" t="s">
        <v>7513</v>
      </c>
      <c r="C533" s="9" t="str">
        <f t="array" ref="C533">IF(
  AND(
    IFERROR(MATCH(Caseslist!B533, data!D:D, 0), 0) &gt; 0,
    IFERROR(INDEX(data!N:N, MATCH(Caseslist!B533, data!D:D, 0)) = 1, FALSE)
  ),
  "COMPLETE",
  "INC"
)</f>
        <v>COMPLETE</v>
      </c>
      <c r="D533" s="9" t="str">
        <f t="array" ref="D533">IFERROR(INDEX(data!$G:$G,match(Caseslist!B533,data!$D:$D,0)), "INC")</f>
        <v>P1068432</v>
      </c>
      <c r="E533" s="9" t="str">
        <f t="array" ref="E533">IFERROR(INDEX(data!H:H,match(Caseslist!B533,data!D:D,0)), "INC")</f>
        <v>Mark Daniel Balagao Benson</v>
      </c>
      <c r="F533" s="10" t="str">
        <f t="array" ref="F533">IF(
    OR(
      IFNA(INDEX(data!M:M, MATCH(Caseslist!B533, data!D:D, 0)), "") = "",
      IFNA(INDEX(data!M:M, MATCH(Caseslist!B533, data!D:D, 0)), 0) = 0
    ),
    "COMPLETE",
    IF(
      IFNA(INDEX(dataICM!D:D, MATCH(Caseslist!B533, dataICM!D:D, 0)), "INC") = "INC",
      IFNA(INDEX(dataICM!D:D, MATCH(Caseslist!B533, dataICM!D:D, 0)), "INC"),
      "COMPLETE"
    )
  )</f>
        <v>COMPLETE</v>
      </c>
      <c r="G533" s="10" t="str">
        <f t="array" ref="G533">IF(IFERROR(INDEX(data!L:L,match(Caseslist!B533,data!D:D,0)),"INC")="","COMPLETE",F533)</f>
        <v>COMPLETE</v>
      </c>
      <c r="H533" s="9" t="str">
        <f t="array" ref="H533">IFERROR(INDEX(dataICM!F:F,match(Caseslist!B533,dataICM!D:D,0)), "INC")</f>
        <v>INC</v>
      </c>
      <c r="I533" s="10" t="str">
        <f t="shared" si="2"/>
        <v>P1068432</v>
      </c>
      <c r="J533" s="9" t="str">
        <f t="array" ref="J533">IF(
  AND(
    IFERROR(MATCH(B533, data!D:D, 0), 0) &gt; 0,
    IFERROR(INDEX(data!N:N, MATCH(B533, data!D:D, 0)) = 1, FALSE)
  ),
  INDEX(data!C:C, MATCH(B533, data!D:D, 0)),
  "INC"
)</f>
        <v>2025-09-19T16:27:44.550+08</v>
      </c>
      <c r="K533" s="9" t="str">
        <f t="array" ref="K533">IFERROR(INDEX(dataICM!C:C,match(Caseslist!B533,dataICM!D:D,0)), "INC")</f>
        <v>INC</v>
      </c>
      <c r="L533" s="10" t="str">
        <f t="array" ref="L533">IF(AND(G533="COMPLETE", OR(K533="INC", ISBLANK(INDEX(data!O:O, ROW())))), J533, K533)</f>
        <v>2025-09-19T16:27:44.550+08</v>
      </c>
      <c r="M533" s="2">
        <v>45919.0</v>
      </c>
      <c r="N533" s="2">
        <f t="array" ref="N533">IF(M533&lt;&gt;"INC", INDEX(data!M:M, MATCH(B533, data!D:D, 0)), "")</f>
        <v>0</v>
      </c>
      <c r="O533" s="2">
        <f t="shared" si="3"/>
        <v>0</v>
      </c>
    </row>
    <row r="534">
      <c r="A534" s="2" t="str">
        <f t="shared" si="1"/>
        <v>H006631</v>
      </c>
      <c r="B534" s="1" t="s">
        <v>7698</v>
      </c>
      <c r="C534" s="9" t="str">
        <f t="array" ref="C534">IF(
  AND(
    IFERROR(MATCH(Caseslist!B534, data!D:D, 0), 0) &gt; 0,
    IFERROR(INDEX(data!N:N, MATCH(Caseslist!B534, data!D:D, 0)) = 1, FALSE)
  ),
  "COMPLETE",
  "INC"
)</f>
        <v>COMPLETE</v>
      </c>
      <c r="D534" s="9" t="str">
        <f t="array" ref="D534">IFERROR(INDEX(data!$G:$G,match(Caseslist!B534,data!$D:$D,0)), "INC")</f>
        <v>P1068432</v>
      </c>
      <c r="E534" s="9" t="str">
        <f t="array" ref="E534">IFERROR(INDEX(data!H:H,match(Caseslist!B534,data!D:D,0)), "INC")</f>
        <v>Mark Daniel Balagao Benson</v>
      </c>
      <c r="F534" s="10" t="str">
        <f t="array" ref="F534">IF(
    OR(
      IFNA(INDEX(data!M:M, MATCH(Caseslist!B534, data!D:D, 0)), "") = "",
      IFNA(INDEX(data!M:M, MATCH(Caseslist!B534, data!D:D, 0)), 0) = 0
    ),
    "COMPLETE",
    IF(
      IFNA(INDEX(dataICM!D:D, MATCH(Caseslist!B534, dataICM!D:D, 0)), "INC") = "INC",
      IFNA(INDEX(dataICM!D:D, MATCH(Caseslist!B534, dataICM!D:D, 0)), "INC"),
      "COMPLETE"
    )
  )</f>
        <v>COMPLETE</v>
      </c>
      <c r="G534" s="10" t="str">
        <f t="array" ref="G534">IF(IFERROR(INDEX(data!L:L,match(Caseslist!B534,data!D:D,0)),"INC")="","COMPLETE",F534)</f>
        <v>COMPLETE</v>
      </c>
      <c r="H534" s="9" t="str">
        <f t="array" ref="H534">IFERROR(INDEX(dataICM!F:F,match(Caseslist!B534,dataICM!D:D,0)), "INC")</f>
        <v>INC</v>
      </c>
      <c r="I534" s="10" t="str">
        <f t="shared" si="2"/>
        <v>P1068432</v>
      </c>
      <c r="J534" s="9" t="str">
        <f t="array" ref="J534">IF(
  AND(
    IFERROR(MATCH(B534, data!D:D, 0), 0) &gt; 0,
    IFERROR(INDEX(data!N:N, MATCH(B534, data!D:D, 0)) = 1, FALSE)
  ),
  INDEX(data!C:C, MATCH(B534, data!D:D, 0)),
  "INC"
)</f>
        <v>2025-09-20T13:02:16.447+08</v>
      </c>
      <c r="K534" s="9" t="str">
        <f t="array" ref="K534">IFERROR(INDEX(dataICM!C:C,match(Caseslist!B534,dataICM!D:D,0)), "INC")</f>
        <v>INC</v>
      </c>
      <c r="L534" s="10" t="str">
        <f t="array" ref="L534">IF(AND(G534="COMPLETE", OR(K534="INC", ISBLANK(INDEX(data!O:O, ROW())))), J534, K534)</f>
        <v>2025-09-20T13:02:16.447+08</v>
      </c>
      <c r="M534" s="2">
        <v>45920.0</v>
      </c>
      <c r="N534" s="2">
        <f t="array" ref="N534">IF(M534&lt;&gt;"INC", INDEX(data!M:M, MATCH(B534, data!D:D, 0)), "")</f>
        <v>0</v>
      </c>
      <c r="O534" s="2">
        <f t="shared" si="3"/>
        <v>0</v>
      </c>
    </row>
    <row r="535">
      <c r="A535" s="2" t="str">
        <f t="shared" si="1"/>
        <v>H006631</v>
      </c>
      <c r="B535" s="1" t="s">
        <v>7508</v>
      </c>
      <c r="C535" s="9" t="str">
        <f t="array" ref="C535">IF(
  AND(
    IFERROR(MATCH(Caseslist!B535, data!D:D, 0), 0) &gt; 0,
    IFERROR(INDEX(data!N:N, MATCH(Caseslist!B535, data!D:D, 0)) = 1, FALSE)
  ),
  "COMPLETE",
  "INC"
)</f>
        <v>COMPLETE</v>
      </c>
      <c r="D535" s="9" t="str">
        <f t="array" ref="D535">IFERROR(INDEX(data!$G:$G,match(Caseslist!B535,data!$D:$D,0)), "INC")</f>
        <v>P1068432</v>
      </c>
      <c r="E535" s="9" t="str">
        <f t="array" ref="E535">IFERROR(INDEX(data!H:H,match(Caseslist!B535,data!D:D,0)), "INC")</f>
        <v>Mark Daniel Balagao Benson</v>
      </c>
      <c r="F535" s="10" t="str">
        <f t="array" ref="F535">IF(
    OR(
      IFNA(INDEX(data!M:M, MATCH(Caseslist!B535, data!D:D, 0)), "") = "",
      IFNA(INDEX(data!M:M, MATCH(Caseslist!B535, data!D:D, 0)), 0) = 0
    ),
    "COMPLETE",
    IF(
      IFNA(INDEX(dataICM!D:D, MATCH(Caseslist!B535, dataICM!D:D, 0)), "INC") = "INC",
      IFNA(INDEX(dataICM!D:D, MATCH(Caseslist!B535, dataICM!D:D, 0)), "INC"),
      "COMPLETE"
    )
  )</f>
        <v>COMPLETE</v>
      </c>
      <c r="G535" s="10" t="str">
        <f t="array" ref="G535">IF(IFERROR(INDEX(data!L:L,match(Caseslist!B535,data!D:D,0)),"INC")="","COMPLETE",F535)</f>
        <v>COMPLETE</v>
      </c>
      <c r="H535" s="9" t="str">
        <f t="array" ref="H535">IFERROR(INDEX(dataICM!F:F,match(Caseslist!B535,dataICM!D:D,0)), "INC")</f>
        <v>INC</v>
      </c>
      <c r="I535" s="10" t="str">
        <f t="shared" si="2"/>
        <v>P1068432</v>
      </c>
      <c r="J535" s="9" t="str">
        <f t="array" ref="J535">IF(
  AND(
    IFERROR(MATCH(B535, data!D:D, 0), 0) &gt; 0,
    IFERROR(INDEX(data!N:N, MATCH(B535, data!D:D, 0)) = 1, FALSE)
  ),
  INDEX(data!C:C, MATCH(B535, data!D:D, 0)),
  "INC"
)</f>
        <v>2025-09-19T14:45:43.645+08</v>
      </c>
      <c r="K535" s="9" t="str">
        <f t="array" ref="K535">IFERROR(INDEX(dataICM!C:C,match(Caseslist!B535,dataICM!D:D,0)), "INC")</f>
        <v>INC</v>
      </c>
      <c r="L535" s="10" t="str">
        <f t="array" ref="L535">IF(AND(G535="COMPLETE", OR(K535="INC", ISBLANK(INDEX(data!O:O, ROW())))), J535, K535)</f>
        <v>2025-09-19T14:45:43.645+08</v>
      </c>
      <c r="M535" s="2">
        <v>45919.0</v>
      </c>
      <c r="N535" s="2">
        <f t="array" ref="N535">IF(M535&lt;&gt;"INC", INDEX(data!M:M, MATCH(B535, data!D:D, 0)), "")</f>
        <v>0</v>
      </c>
      <c r="O535" s="2">
        <f t="shared" si="3"/>
        <v>0</v>
      </c>
    </row>
    <row r="536">
      <c r="A536" s="2" t="str">
        <f t="shared" si="1"/>
        <v>H006631</v>
      </c>
      <c r="B536" s="1" t="s">
        <v>7648</v>
      </c>
      <c r="C536" s="9" t="str">
        <f t="array" ref="C536">IF(
  AND(
    IFERROR(MATCH(Caseslist!B536, data!D:D, 0), 0) &gt; 0,
    IFERROR(INDEX(data!N:N, MATCH(Caseslist!B536, data!D:D, 0)) = 1, FALSE)
  ),
  "COMPLETE",
  "INC"
)</f>
        <v>COMPLETE</v>
      </c>
      <c r="D536" s="9" t="str">
        <f t="array" ref="D536">IFERROR(INDEX(data!$G:$G,match(Caseslist!B536,data!$D:$D,0)), "INC")</f>
        <v>N7814260</v>
      </c>
      <c r="E536" s="9" t="str">
        <f t="array" ref="E536">IFERROR(INDEX(data!H:H,match(Caseslist!B536,data!D:D,0)), "INC")</f>
        <v>Jemma Marie Tillo</v>
      </c>
      <c r="F536" s="10" t="str">
        <f t="array" ref="F536">IF(
    OR(
      IFNA(INDEX(data!M:M, MATCH(Caseslist!B536, data!D:D, 0)), "") = "",
      IFNA(INDEX(data!M:M, MATCH(Caseslist!B536, data!D:D, 0)), 0) = 0
    ),
    "COMPLETE",
    IF(
      IFNA(INDEX(dataICM!D:D, MATCH(Caseslist!B536, dataICM!D:D, 0)), "INC") = "INC",
      IFNA(INDEX(dataICM!D:D, MATCH(Caseslist!B536, dataICM!D:D, 0)), "INC"),
      "COMPLETE"
    )
  )</f>
        <v>COMPLETE</v>
      </c>
      <c r="G536" s="10" t="str">
        <f t="array" ref="G536">IF(IFERROR(INDEX(data!L:L,match(Caseslist!B536,data!D:D,0)),"INC")="","COMPLETE",F536)</f>
        <v>COMPLETE</v>
      </c>
      <c r="H536" s="9" t="str">
        <f t="array" ref="H536">IFERROR(INDEX(dataICM!F:F,match(Caseslist!B536,dataICM!D:D,0)), "INC")</f>
        <v>INC</v>
      </c>
      <c r="I536" s="10" t="str">
        <f t="shared" si="2"/>
        <v>N7814260</v>
      </c>
      <c r="J536" s="9" t="str">
        <f t="array" ref="J536">IF(
  AND(
    IFERROR(MATCH(B536, data!D:D, 0), 0) &gt; 0,
    IFERROR(INDEX(data!N:N, MATCH(B536, data!D:D, 0)) = 1, FALSE)
  ),
  INDEX(data!C:C, MATCH(B536, data!D:D, 0)),
  "INC"
)</f>
        <v>2025-09-20T08:33:21.793+08</v>
      </c>
      <c r="K536" s="9" t="str">
        <f t="array" ref="K536">IFERROR(INDEX(dataICM!C:C,match(Caseslist!B536,dataICM!D:D,0)), "INC")</f>
        <v>INC</v>
      </c>
      <c r="L536" s="10" t="str">
        <f t="array" ref="L536">IF(AND(G536="COMPLETE", OR(K536="INC", ISBLANK(INDEX(data!O:O, ROW())))), J536, K536)</f>
        <v>2025-09-20T08:33:21.793+08</v>
      </c>
      <c r="M536" s="2">
        <v>45920.0</v>
      </c>
      <c r="N536" s="2">
        <f t="array" ref="N536">IF(M536&lt;&gt;"INC", INDEX(data!M:M, MATCH(B536, data!D:D, 0)), "")</f>
        <v>0</v>
      </c>
      <c r="O536" s="2">
        <f t="shared" si="3"/>
        <v>0</v>
      </c>
    </row>
    <row r="537">
      <c r="A537" s="2" t="str">
        <f t="shared" si="1"/>
        <v>H006657</v>
      </c>
      <c r="B537" s="1" t="s">
        <v>4037</v>
      </c>
      <c r="C537" s="9" t="str">
        <f t="array" ref="C537">IF(
  AND(
    IFERROR(MATCH(Caseslist!B537, data!D:D, 0), 0) &gt; 0,
    IFERROR(INDEX(data!N:N, MATCH(Caseslist!B537, data!D:D, 0)) = 1, FALSE)
  ),
  "COMPLETE",
  "INC"
)</f>
        <v>COMPLETE</v>
      </c>
      <c r="D537" s="9" t="str">
        <f t="array" ref="D537">IFERROR(INDEX(data!$G:$G,match(Caseslist!B537,data!$D:$D,0)), "INC")</f>
        <v>L2057896</v>
      </c>
      <c r="E537" s="9" t="str">
        <f t="array" ref="E537">IFERROR(INDEX(data!H:H,match(Caseslist!B537,data!D:D,0)), "INC")</f>
        <v>Franz Reoben Posadas Geneblaza</v>
      </c>
      <c r="F537" s="10" t="str">
        <f t="array" ref="F537">IF(
    OR(
      IFNA(INDEX(data!M:M, MATCH(Caseslist!B537, data!D:D, 0)), "") = "",
      IFNA(INDEX(data!M:M, MATCH(Caseslist!B537, data!D:D, 0)), 0) = 0
    ),
    "COMPLETE",
    IF(
      IFNA(INDEX(dataICM!D:D, MATCH(Caseslist!B537, dataICM!D:D, 0)), "INC") = "INC",
      IFNA(INDEX(dataICM!D:D, MATCH(Caseslist!B537, dataICM!D:D, 0)), "INC"),
      "COMPLETE"
    )
  )</f>
        <v>COMPLETE</v>
      </c>
      <c r="G537" s="10" t="str">
        <f t="array" ref="G537">IF(IFERROR(INDEX(data!L:L,match(Caseslist!B537,data!D:D,0)),"INC")="","COMPLETE",F537)</f>
        <v>COMPLETE</v>
      </c>
      <c r="H537" s="9" t="str">
        <f t="array" ref="H537">IFERROR(INDEX(dataICM!F:F,match(Caseslist!B537,dataICM!D:D,0)), "INC")</f>
        <v>INC</v>
      </c>
      <c r="I537" s="10" t="str">
        <f t="shared" si="2"/>
        <v>L2057896</v>
      </c>
      <c r="J537" s="9" t="str">
        <f t="array" ref="J537">IF(
  AND(
    IFERROR(MATCH(B537, data!D:D, 0), 0) &gt; 0,
    IFERROR(INDEX(data!N:N, MATCH(B537, data!D:D, 0)) = 1, FALSE)
  ),
  INDEX(data!C:C, MATCH(B537, data!D:D, 0)),
  "INC"
)</f>
        <v>2025-09-05T13:42:14.400+08</v>
      </c>
      <c r="K537" s="9" t="str">
        <f t="array" ref="K537">IFERROR(INDEX(dataICM!C:C,match(Caseslist!B537,dataICM!D:D,0)), "INC")</f>
        <v>INC</v>
      </c>
      <c r="L537" s="10" t="str">
        <f t="array" ref="L537">IF(AND(G537="COMPLETE", OR(K537="INC", ISBLANK(INDEX(data!O:O, ROW())))), J537, K537)</f>
        <v>2025-09-05T13:42:14.400+08</v>
      </c>
      <c r="M537" s="2">
        <v>45905.0</v>
      </c>
      <c r="N537" s="2">
        <f t="array" ref="N537">IF(M537&lt;&gt;"INC", INDEX(data!M:M, MATCH(B537, data!D:D, 0)), "")</f>
        <v>0</v>
      </c>
      <c r="O537" s="2">
        <f t="shared" si="3"/>
        <v>0</v>
      </c>
    </row>
    <row r="538">
      <c r="A538" s="2" t="str">
        <f t="shared" si="1"/>
        <v>H006657</v>
      </c>
      <c r="B538" s="1" t="s">
        <v>4032</v>
      </c>
      <c r="C538" s="9" t="str">
        <f t="array" ref="C538">IF(
  AND(
    IFERROR(MATCH(Caseslist!B538, data!D:D, 0), 0) &gt; 0,
    IFERROR(INDEX(data!N:N, MATCH(Caseslist!B538, data!D:D, 0)) = 1, FALSE)
  ),
  "COMPLETE",
  "INC"
)</f>
        <v>COMPLETE</v>
      </c>
      <c r="D538" s="9" t="str">
        <f t="array" ref="D538">IFERROR(INDEX(data!$G:$G,match(Caseslist!B538,data!$D:$D,0)), "INC")</f>
        <v>L2057896</v>
      </c>
      <c r="E538" s="9" t="str">
        <f t="array" ref="E538">IFERROR(INDEX(data!H:H,match(Caseslist!B538,data!D:D,0)), "INC")</f>
        <v>Franz Reoben Posadas Geneblaza</v>
      </c>
      <c r="F538" s="10" t="str">
        <f t="array" ref="F538">IF(
    OR(
      IFNA(INDEX(data!M:M, MATCH(Caseslist!B538, data!D:D, 0)), "") = "",
      IFNA(INDEX(data!M:M, MATCH(Caseslist!B538, data!D:D, 0)), 0) = 0
    ),
    "COMPLETE",
    IF(
      IFNA(INDEX(dataICM!D:D, MATCH(Caseslist!B538, dataICM!D:D, 0)), "INC") = "INC",
      IFNA(INDEX(dataICM!D:D, MATCH(Caseslist!B538, dataICM!D:D, 0)), "INC"),
      "COMPLETE"
    )
  )</f>
        <v>COMPLETE</v>
      </c>
      <c r="G538" s="10" t="str">
        <f t="array" ref="G538">IF(IFERROR(INDEX(data!L:L,match(Caseslist!B538,data!D:D,0)),"INC")="","COMPLETE",F538)</f>
        <v>COMPLETE</v>
      </c>
      <c r="H538" s="9" t="str">
        <f t="array" ref="H538">IFERROR(INDEX(dataICM!F:F,match(Caseslist!B538,dataICM!D:D,0)), "INC")</f>
        <v>INC</v>
      </c>
      <c r="I538" s="10" t="str">
        <f t="shared" si="2"/>
        <v>L2057896</v>
      </c>
      <c r="J538" s="9" t="str">
        <f t="array" ref="J538">IF(
  AND(
    IFERROR(MATCH(B538, data!D:D, 0), 0) &gt; 0,
    IFERROR(INDEX(data!N:N, MATCH(B538, data!D:D, 0)) = 1, FALSE)
  ),
  INDEX(data!C:C, MATCH(B538, data!D:D, 0)),
  "INC"
)</f>
        <v>2025-09-05T11:53:17.967+08</v>
      </c>
      <c r="K538" s="9" t="str">
        <f t="array" ref="K538">IFERROR(INDEX(dataICM!C:C,match(Caseslist!B538,dataICM!D:D,0)), "INC")</f>
        <v>INC</v>
      </c>
      <c r="L538" s="10" t="str">
        <f t="array" ref="L538">IF(AND(G538="COMPLETE", OR(K538="INC", ISBLANK(INDEX(data!O:O, ROW())))), J538, K538)</f>
        <v>2025-09-05T11:53:17.967+08</v>
      </c>
      <c r="M538" s="2">
        <v>45905.0</v>
      </c>
      <c r="N538" s="2">
        <f t="array" ref="N538">IF(M538&lt;&gt;"INC", INDEX(data!M:M, MATCH(B538, data!D:D, 0)), "")</f>
        <v>0</v>
      </c>
      <c r="O538" s="2">
        <f t="shared" si="3"/>
        <v>0</v>
      </c>
    </row>
    <row r="539">
      <c r="A539" s="2" t="str">
        <f t="shared" si="1"/>
        <v>H006657</v>
      </c>
      <c r="B539" s="1" t="s">
        <v>4042</v>
      </c>
      <c r="C539" s="9" t="str">
        <f t="array" ref="C539">IF(
  AND(
    IFERROR(MATCH(Caseslist!B539, data!D:D, 0), 0) &gt; 0,
    IFERROR(INDEX(data!N:N, MATCH(Caseslist!B539, data!D:D, 0)) = 1, FALSE)
  ),
  "COMPLETE",
  "INC"
)</f>
        <v>COMPLETE</v>
      </c>
      <c r="D539" s="9" t="str">
        <f t="array" ref="D539">IFERROR(INDEX(data!$G:$G,match(Caseslist!B539,data!$D:$D,0)), "INC")</f>
        <v>L2057896</v>
      </c>
      <c r="E539" s="9" t="str">
        <f t="array" ref="E539">IFERROR(INDEX(data!H:H,match(Caseslist!B539,data!D:D,0)), "INC")</f>
        <v>Franz Reoben Posadas Geneblaza</v>
      </c>
      <c r="F539" s="10" t="str">
        <f t="array" ref="F539">IF(
    OR(
      IFNA(INDEX(data!M:M, MATCH(Caseslist!B539, data!D:D, 0)), "") = "",
      IFNA(INDEX(data!M:M, MATCH(Caseslist!B539, data!D:D, 0)), 0) = 0
    ),
    "COMPLETE",
    IF(
      IFNA(INDEX(dataICM!D:D, MATCH(Caseslist!B539, dataICM!D:D, 0)), "INC") = "INC",
      IFNA(INDEX(dataICM!D:D, MATCH(Caseslist!B539, dataICM!D:D, 0)), "INC"),
      "COMPLETE"
    )
  )</f>
        <v>COMPLETE</v>
      </c>
      <c r="G539" s="10" t="str">
        <f t="array" ref="G539">IF(IFERROR(INDEX(data!L:L,match(Caseslist!B539,data!D:D,0)),"INC")="","COMPLETE",F539)</f>
        <v>COMPLETE</v>
      </c>
      <c r="H539" s="9" t="str">
        <f t="array" ref="H539">IFERROR(INDEX(dataICM!F:F,match(Caseslist!B539,dataICM!D:D,0)), "INC")</f>
        <v>INC</v>
      </c>
      <c r="I539" s="10" t="str">
        <f t="shared" si="2"/>
        <v>L2057896</v>
      </c>
      <c r="J539" s="9" t="str">
        <f t="array" ref="J539">IF(
  AND(
    IFERROR(MATCH(B539, data!D:D, 0), 0) &gt; 0,
    IFERROR(INDEX(data!N:N, MATCH(B539, data!D:D, 0)) = 1, FALSE)
  ),
  INDEX(data!C:C, MATCH(B539, data!D:D, 0)),
  "INC"
)</f>
        <v>2025-09-28T10:27:42.446+08</v>
      </c>
      <c r="K539" s="9" t="str">
        <f t="array" ref="K539">IFERROR(INDEX(dataICM!C:C,match(Caseslist!B539,dataICM!D:D,0)), "INC")</f>
        <v>INC</v>
      </c>
      <c r="L539" s="10" t="str">
        <f t="array" ref="L539">IF(AND(G539="COMPLETE", OR(K539="INC", ISBLANK(INDEX(data!O:O, ROW())))), J539, K539)</f>
        <v>2025-09-28T10:27:42.446+08</v>
      </c>
      <c r="M539" s="2">
        <v>45928.0</v>
      </c>
      <c r="N539" s="2">
        <f t="array" ref="N539">IF(M539&lt;&gt;"INC", INDEX(data!M:M, MATCH(B539, data!D:D, 0)), "")</f>
        <v>0</v>
      </c>
      <c r="O539" s="2">
        <f t="shared" si="3"/>
        <v>0</v>
      </c>
    </row>
    <row r="540">
      <c r="A540" s="2" t="str">
        <f t="shared" si="1"/>
        <v>H006657</v>
      </c>
      <c r="B540" s="1" t="s">
        <v>3877</v>
      </c>
      <c r="C540" s="9" t="str">
        <f t="array" ref="C540">IF(
  AND(
    IFERROR(MATCH(Caseslist!B540, data!D:D, 0), 0) &gt; 0,
    IFERROR(INDEX(data!N:N, MATCH(Caseslist!B540, data!D:D, 0)) = 1, FALSE)
  ),
  "COMPLETE",
  "INC"
)</f>
        <v>COMPLETE</v>
      </c>
      <c r="D540" s="9" t="str">
        <f t="array" ref="D540">IFERROR(INDEX(data!$G:$G,match(Caseslist!B540,data!$D:$D,0)), "INC")</f>
        <v>K8623174</v>
      </c>
      <c r="E540" s="9" t="str">
        <f t="array" ref="E540">IFERROR(INDEX(data!H:H,match(Caseslist!B540,data!D:D,0)), "INC")</f>
        <v>Marielle Kaye Ignacio Alonzo</v>
      </c>
      <c r="F540" s="10" t="str">
        <f t="array" ref="F540">IF(
    OR(
      IFNA(INDEX(data!M:M, MATCH(Caseslist!B540, data!D:D, 0)), "") = "",
      IFNA(INDEX(data!M:M, MATCH(Caseslist!B540, data!D:D, 0)), 0) = 0
    ),
    "COMPLETE",
    IF(
      IFNA(INDEX(dataICM!D:D, MATCH(Caseslist!B540, dataICM!D:D, 0)), "INC") = "INC",
      IFNA(INDEX(dataICM!D:D, MATCH(Caseslist!B540, dataICM!D:D, 0)), "INC"),
      "COMPLETE"
    )
  )</f>
        <v>COMPLETE</v>
      </c>
      <c r="G540" s="10" t="str">
        <f t="array" ref="G540">IF(IFERROR(INDEX(data!L:L,match(Caseslist!B540,data!D:D,0)),"INC")="","COMPLETE",F540)</f>
        <v>COMPLETE</v>
      </c>
      <c r="H540" s="9" t="str">
        <f t="array" ref="H540">IFERROR(INDEX(dataICM!F:F,match(Caseslist!B540,dataICM!D:D,0)), "INC")</f>
        <v>INC</v>
      </c>
      <c r="I540" s="10" t="str">
        <f t="shared" si="2"/>
        <v>K8623174</v>
      </c>
      <c r="J540" s="9" t="str">
        <f t="array" ref="J540">IF(
  AND(
    IFERROR(MATCH(B540, data!D:D, 0), 0) &gt; 0,
    IFERROR(INDEX(data!N:N, MATCH(B540, data!D:D, 0)) = 1, FALSE)
  ),
  INDEX(data!C:C, MATCH(B540, data!D:D, 0)),
  "INC"
)</f>
        <v>2025-09-05T14:03:21.505+08</v>
      </c>
      <c r="K540" s="9" t="str">
        <f t="array" ref="K540">IFERROR(INDEX(dataICM!C:C,match(Caseslist!B540,dataICM!D:D,0)), "INC")</f>
        <v>INC</v>
      </c>
      <c r="L540" s="10" t="str">
        <f t="array" ref="L540">IF(AND(G540="COMPLETE", OR(K540="INC", ISBLANK(INDEX(data!O:O, ROW())))), J540, K540)</f>
        <v>2025-09-05T14:03:21.505+08</v>
      </c>
      <c r="M540" s="2">
        <v>45905.0</v>
      </c>
      <c r="N540" s="2">
        <f t="array" ref="N540">IF(M540&lt;&gt;"INC", INDEX(data!M:M, MATCH(B540, data!D:D, 0)), "")</f>
        <v>0</v>
      </c>
      <c r="O540" s="2">
        <f t="shared" si="3"/>
        <v>0</v>
      </c>
    </row>
    <row r="541">
      <c r="A541" s="2" t="str">
        <f t="shared" si="1"/>
        <v>H006657</v>
      </c>
      <c r="B541" s="1" t="s">
        <v>3727</v>
      </c>
      <c r="C541" s="9" t="str">
        <f t="array" ref="C541">IF(
  AND(
    IFERROR(MATCH(Caseslist!B541, data!D:D, 0), 0) &gt; 0,
    IFERROR(INDEX(data!N:N, MATCH(Caseslist!B541, data!D:D, 0)) = 1, FALSE)
  ),
  "COMPLETE",
  "INC"
)</f>
        <v>COMPLETE</v>
      </c>
      <c r="D541" s="9" t="str">
        <f t="array" ref="D541">IFERROR(INDEX(data!$G:$G,match(Caseslist!B541,data!$D:$D,0)), "INC")</f>
        <v>M6491032</v>
      </c>
      <c r="E541" s="9" t="str">
        <f t="array" ref="E541">IFERROR(INDEX(data!H:H,match(Caseslist!B541,data!D:D,0)), "INC")</f>
        <v>Rosevil Tayo Desamparado</v>
      </c>
      <c r="F541" s="10" t="str">
        <f t="array" ref="F541">IF(
    OR(
      IFNA(INDEX(data!M:M, MATCH(Caseslist!B541, data!D:D, 0)), "") = "",
      IFNA(INDEX(data!M:M, MATCH(Caseslist!B541, data!D:D, 0)), 0) = 0
    ),
    "COMPLETE",
    IF(
      IFNA(INDEX(dataICM!D:D, MATCH(Caseslist!B541, dataICM!D:D, 0)), "INC") = "INC",
      IFNA(INDEX(dataICM!D:D, MATCH(Caseslist!B541, dataICM!D:D, 0)), "INC"),
      "COMPLETE"
    )
  )</f>
        <v>COMPLETE</v>
      </c>
      <c r="G541" s="10" t="str">
        <f t="array" ref="G541">IF(IFERROR(INDEX(data!L:L,match(Caseslist!B541,data!D:D,0)),"INC")="","COMPLETE",F541)</f>
        <v>COMPLETE</v>
      </c>
      <c r="H541" s="9" t="str">
        <f t="array" ref="H541">IFERROR(INDEX(dataICM!F:F,match(Caseslist!B541,dataICM!D:D,0)), "INC")</f>
        <v>INC</v>
      </c>
      <c r="I541" s="10" t="str">
        <f t="shared" si="2"/>
        <v>M6491032</v>
      </c>
      <c r="J541" s="9" t="str">
        <f t="array" ref="J541">IF(
  AND(
    IFERROR(MATCH(B541, data!D:D, 0), 0) &gt; 0,
    IFERROR(INDEX(data!N:N, MATCH(B541, data!D:D, 0)) = 1, FALSE)
  ),
  INDEX(data!C:C, MATCH(B541, data!D:D, 0)),
  "INC"
)</f>
        <v>2025-09-05T11:15:17.831+08</v>
      </c>
      <c r="K541" s="9" t="str">
        <f t="array" ref="K541">IFERROR(INDEX(dataICM!C:C,match(Caseslist!B541,dataICM!D:D,0)), "INC")</f>
        <v>INC</v>
      </c>
      <c r="L541" s="10" t="str">
        <f t="array" ref="L541">IF(AND(G541="COMPLETE", OR(K541="INC", ISBLANK(INDEX(data!O:O, ROW())))), J541, K541)</f>
        <v>2025-09-05T11:15:17.831+08</v>
      </c>
      <c r="M541" s="2">
        <v>45905.0</v>
      </c>
      <c r="N541" s="2">
        <f t="array" ref="N541">IF(M541&lt;&gt;"INC", INDEX(data!M:M, MATCH(B541, data!D:D, 0)), "")</f>
        <v>0</v>
      </c>
      <c r="O541" s="2">
        <f t="shared" si="3"/>
        <v>0</v>
      </c>
    </row>
    <row r="542">
      <c r="A542" s="2" t="str">
        <f t="shared" si="1"/>
        <v>H006657</v>
      </c>
      <c r="B542" s="1" t="s">
        <v>3732</v>
      </c>
      <c r="C542" s="9" t="str">
        <f t="array" ref="C542">IF(
  AND(
    IFERROR(MATCH(Caseslist!B542, data!D:D, 0), 0) &gt; 0,
    IFERROR(INDEX(data!N:N, MATCH(Caseslist!B542, data!D:D, 0)) = 1, FALSE)
  ),
  "COMPLETE",
  "INC"
)</f>
        <v>COMPLETE</v>
      </c>
      <c r="D542" s="9" t="str">
        <f t="array" ref="D542">IFERROR(INDEX(data!$G:$G,match(Caseslist!B542,data!$D:$D,0)), "INC")</f>
        <v>M6491032</v>
      </c>
      <c r="E542" s="9" t="str">
        <f t="array" ref="E542">IFERROR(INDEX(data!H:H,match(Caseslist!B542,data!D:D,0)), "INC")</f>
        <v>Rosevil Tayo Desamparado</v>
      </c>
      <c r="F542" s="10" t="str">
        <f t="array" ref="F542">IF(
    OR(
      IFNA(INDEX(data!M:M, MATCH(Caseslist!B542, data!D:D, 0)), "") = "",
      IFNA(INDEX(data!M:M, MATCH(Caseslist!B542, data!D:D, 0)), 0) = 0
    ),
    "COMPLETE",
    IF(
      IFNA(INDEX(dataICM!D:D, MATCH(Caseslist!B542, dataICM!D:D, 0)), "INC") = "INC",
      IFNA(INDEX(dataICM!D:D, MATCH(Caseslist!B542, dataICM!D:D, 0)), "INC"),
      "COMPLETE"
    )
  )</f>
        <v>COMPLETE</v>
      </c>
      <c r="G542" s="10" t="str">
        <f t="array" ref="G542">IF(IFERROR(INDEX(data!L:L,match(Caseslist!B542,data!D:D,0)),"INC")="","COMPLETE",F542)</f>
        <v>COMPLETE</v>
      </c>
      <c r="H542" s="9" t="str">
        <f t="array" ref="H542">IFERROR(INDEX(dataICM!F:F,match(Caseslist!B542,dataICM!D:D,0)), "INC")</f>
        <v>INC</v>
      </c>
      <c r="I542" s="10" t="str">
        <f t="shared" si="2"/>
        <v>M6491032</v>
      </c>
      <c r="J542" s="9" t="str">
        <f t="array" ref="J542">IF(
  AND(
    IFERROR(MATCH(B542, data!D:D, 0), 0) &gt; 0,
    IFERROR(INDEX(data!N:N, MATCH(B542, data!D:D, 0)) = 1, FALSE)
  ),
  INDEX(data!C:C, MATCH(B542, data!D:D, 0)),
  "INC"
)</f>
        <v>2025-09-05T10:06:39.409+08</v>
      </c>
      <c r="K542" s="9" t="str">
        <f t="array" ref="K542">IFERROR(INDEX(dataICM!C:C,match(Caseslist!B542,dataICM!D:D,0)), "INC")</f>
        <v>INC</v>
      </c>
      <c r="L542" s="10" t="str">
        <f t="array" ref="L542">IF(AND(G542="COMPLETE", OR(K542="INC", ISBLANK(INDEX(data!O:O, ROW())))), J542, K542)</f>
        <v>2025-09-05T10:06:39.409+08</v>
      </c>
      <c r="M542" s="2">
        <v>45905.0</v>
      </c>
      <c r="N542" s="2">
        <f t="array" ref="N542">IF(M542&lt;&gt;"INC", INDEX(data!M:M, MATCH(B542, data!D:D, 0)), "")</f>
        <v>0</v>
      </c>
      <c r="O542" s="2">
        <f t="shared" si="3"/>
        <v>0</v>
      </c>
    </row>
    <row r="543">
      <c r="A543" s="2" t="str">
        <f t="shared" si="1"/>
        <v>H006657</v>
      </c>
      <c r="B543" s="1" t="s">
        <v>3742</v>
      </c>
      <c r="C543" s="9" t="str">
        <f t="array" ref="C543">IF(
  AND(
    IFERROR(MATCH(Caseslist!B543, data!D:D, 0), 0) &gt; 0,
    IFERROR(INDEX(data!N:N, MATCH(Caseslist!B543, data!D:D, 0)) = 1, FALSE)
  ),
  "COMPLETE",
  "INC"
)</f>
        <v>COMPLETE</v>
      </c>
      <c r="D543" s="9" t="str">
        <f t="array" ref="D543">IFERROR(INDEX(data!$G:$G,match(Caseslist!B543,data!$D:$D,0)), "INC")</f>
        <v>M6491032</v>
      </c>
      <c r="E543" s="9" t="str">
        <f t="array" ref="E543">IFERROR(INDEX(data!H:H,match(Caseslist!B543,data!D:D,0)), "INC")</f>
        <v>Rosevil Tayo Desamparado</v>
      </c>
      <c r="F543" s="10" t="str">
        <f t="array" ref="F543">IF(
    OR(
      IFNA(INDEX(data!M:M, MATCH(Caseslist!B543, data!D:D, 0)), "") = "",
      IFNA(INDEX(data!M:M, MATCH(Caseslist!B543, data!D:D, 0)), 0) = 0
    ),
    "COMPLETE",
    IF(
      IFNA(INDEX(dataICM!D:D, MATCH(Caseslist!B543, dataICM!D:D, 0)), "INC") = "INC",
      IFNA(INDEX(dataICM!D:D, MATCH(Caseslist!B543, dataICM!D:D, 0)), "INC"),
      "COMPLETE"
    )
  )</f>
        <v>COMPLETE</v>
      </c>
      <c r="G543" s="10" t="str">
        <f t="array" ref="G543">IF(IFERROR(INDEX(data!L:L,match(Caseslist!B543,data!D:D,0)),"INC")="","COMPLETE",F543)</f>
        <v>COMPLETE</v>
      </c>
      <c r="H543" s="9" t="str">
        <f t="array" ref="H543">IFERROR(INDEX(dataICM!F:F,match(Caseslist!B543,dataICM!D:D,0)), "INC")</f>
        <v>INC</v>
      </c>
      <c r="I543" s="10" t="str">
        <f t="shared" si="2"/>
        <v>M6491032</v>
      </c>
      <c r="J543" s="9" t="str">
        <f t="array" ref="J543">IF(
  AND(
    IFERROR(MATCH(B543, data!D:D, 0), 0) &gt; 0,
    IFERROR(INDEX(data!N:N, MATCH(B543, data!D:D, 0)) = 1, FALSE)
  ),
  INDEX(data!C:C, MATCH(B543, data!D:D, 0)),
  "INC"
)</f>
        <v>2025-09-05T14:22:22.822+08</v>
      </c>
      <c r="K543" s="9" t="str">
        <f t="array" ref="K543">IFERROR(INDEX(dataICM!C:C,match(Caseslist!B543,dataICM!D:D,0)), "INC")</f>
        <v>INC</v>
      </c>
      <c r="L543" s="10" t="str">
        <f t="array" ref="L543">IF(AND(G543="COMPLETE", OR(K543="INC", ISBLANK(INDEX(data!O:O, ROW())))), J543, K543)</f>
        <v>2025-09-05T14:22:22.822+08</v>
      </c>
      <c r="M543" s="2">
        <v>45905.0</v>
      </c>
      <c r="N543" s="2">
        <f t="array" ref="N543">IF(M543&lt;&gt;"INC", INDEX(data!M:M, MATCH(B543, data!D:D, 0)), "")</f>
        <v>0</v>
      </c>
      <c r="O543" s="2">
        <f t="shared" si="3"/>
        <v>0</v>
      </c>
    </row>
    <row r="544">
      <c r="A544" s="2" t="str">
        <f t="shared" si="1"/>
        <v>H006657</v>
      </c>
      <c r="B544" s="1" t="s">
        <v>8668</v>
      </c>
      <c r="C544" s="9" t="str">
        <f t="array" ref="C544">IF(
  AND(
    IFERROR(MATCH(Caseslist!B544, data!D:D, 0), 0) &gt; 0,
    IFERROR(INDEX(data!N:N, MATCH(Caseslist!B544, data!D:D, 0)) = 1, FALSE)
  ),
  "COMPLETE",
  "INC"
)</f>
        <v>COMPLETE</v>
      </c>
      <c r="D544" s="9" t="str">
        <f t="array" ref="D544">IFERROR(INDEX(data!$G:$G,match(Caseslist!B544,data!$D:$D,0)), "INC")</f>
        <v>L2057896</v>
      </c>
      <c r="E544" s="9" t="str">
        <f t="array" ref="E544">IFERROR(INDEX(data!H:H,match(Caseslist!B544,data!D:D,0)), "INC")</f>
        <v>Franz Reoben Posadas Geneblaza</v>
      </c>
      <c r="F544" s="10" t="str">
        <f t="array" ref="F544">IF(
    OR(
      IFNA(INDEX(data!M:M, MATCH(Caseslist!B544, data!D:D, 0)), "") = "",
      IFNA(INDEX(data!M:M, MATCH(Caseslist!B544, data!D:D, 0)), 0) = 0
    ),
    "COMPLETE",
    IF(
      IFNA(INDEX(dataICM!D:D, MATCH(Caseslist!B544, dataICM!D:D, 0)), "INC") = "INC",
      IFNA(INDEX(dataICM!D:D, MATCH(Caseslist!B544, dataICM!D:D, 0)), "INC"),
      "COMPLETE"
    )
  )</f>
        <v>COMPLETE</v>
      </c>
      <c r="G544" s="10" t="str">
        <f t="array" ref="G544">IF(IFERROR(INDEX(data!L:L,match(Caseslist!B544,data!D:D,0)),"INC")="","COMPLETE",F544)</f>
        <v>COMPLETE</v>
      </c>
      <c r="H544" s="9" t="str">
        <f t="array" ref="H544">IFERROR(INDEX(dataICM!F:F,match(Caseslist!B544,dataICM!D:D,0)), "INC")</f>
        <v>INC</v>
      </c>
      <c r="I544" s="10" t="str">
        <f t="shared" si="2"/>
        <v>L2057896</v>
      </c>
      <c r="J544" s="9" t="str">
        <f t="array" ref="J544">IF(
  AND(
    IFERROR(MATCH(B544, data!D:D, 0), 0) &gt; 0,
    IFERROR(INDEX(data!N:N, MATCH(B544, data!D:D, 0)) = 1, FALSE)
  ),
  INDEX(data!C:C, MATCH(B544, data!D:D, 0)),
  "INC"
)</f>
        <v>2025-09-28T13:07:25.724+08</v>
      </c>
      <c r="K544" s="9" t="str">
        <f t="array" ref="K544">IFERROR(INDEX(dataICM!C:C,match(Caseslist!B544,dataICM!D:D,0)), "INC")</f>
        <v>INC</v>
      </c>
      <c r="L544" s="10" t="str">
        <f t="array" ref="L544">IF(AND(G544="COMPLETE", OR(K544="INC", ISBLANK(INDEX(data!O:O, ROW())))), J544, K544)</f>
        <v>2025-09-28T13:07:25.724+08</v>
      </c>
      <c r="M544" s="2">
        <v>45928.0</v>
      </c>
      <c r="N544" s="2">
        <f t="array" ref="N544">IF(M544&lt;&gt;"INC", INDEX(data!M:M, MATCH(B544, data!D:D, 0)), "")</f>
        <v>0</v>
      </c>
      <c r="O544" s="2">
        <f t="shared" si="3"/>
        <v>0</v>
      </c>
    </row>
    <row r="545">
      <c r="A545" s="2" t="str">
        <f t="shared" si="1"/>
        <v>H006657</v>
      </c>
      <c r="B545" s="1" t="s">
        <v>3887</v>
      </c>
      <c r="C545" s="9" t="str">
        <f t="array" ref="C545">IF(
  AND(
    IFERROR(MATCH(Caseslist!B545, data!D:D, 0), 0) &gt; 0,
    IFERROR(INDEX(data!N:N, MATCH(Caseslist!B545, data!D:D, 0)) = 1, FALSE)
  ),
  "COMPLETE",
  "INC"
)</f>
        <v>COMPLETE</v>
      </c>
      <c r="D545" s="9" t="str">
        <f t="array" ref="D545">IFERROR(INDEX(data!$G:$G,match(Caseslist!B545,data!$D:$D,0)), "INC")</f>
        <v>K8623174</v>
      </c>
      <c r="E545" s="9" t="str">
        <f t="array" ref="E545">IFERROR(INDEX(data!H:H,match(Caseslist!B545,data!D:D,0)), "INC")</f>
        <v>Marielle Kaye Ignacio Alonzo</v>
      </c>
      <c r="F545" s="10" t="str">
        <f t="array" ref="F545">IF(
    OR(
      IFNA(INDEX(data!M:M, MATCH(Caseslist!B545, data!D:D, 0)), "") = "",
      IFNA(INDEX(data!M:M, MATCH(Caseslist!B545, data!D:D, 0)), 0) = 0
    ),
    "COMPLETE",
    IF(
      IFNA(INDEX(dataICM!D:D, MATCH(Caseslist!B545, dataICM!D:D, 0)), "INC") = "INC",
      IFNA(INDEX(dataICM!D:D, MATCH(Caseslist!B545, dataICM!D:D, 0)), "INC"),
      "COMPLETE"
    )
  )</f>
        <v>COMPLETE</v>
      </c>
      <c r="G545" s="10" t="str">
        <f t="array" ref="G545">IF(IFERROR(INDEX(data!L:L,match(Caseslist!B545,data!D:D,0)),"INC")="","COMPLETE",F545)</f>
        <v>COMPLETE</v>
      </c>
      <c r="H545" s="9" t="str">
        <f t="array" ref="H545">IFERROR(INDEX(dataICM!F:F,match(Caseslist!B545,dataICM!D:D,0)), "INC")</f>
        <v>INC</v>
      </c>
      <c r="I545" s="10" t="str">
        <f t="shared" si="2"/>
        <v>K8623174</v>
      </c>
      <c r="J545" s="9" t="str">
        <f t="array" ref="J545">IF(
  AND(
    IFERROR(MATCH(B545, data!D:D, 0), 0) &gt; 0,
    IFERROR(INDEX(data!N:N, MATCH(B545, data!D:D, 0)) = 1, FALSE)
  ),
  INDEX(data!C:C, MATCH(B545, data!D:D, 0)),
  "INC"
)</f>
        <v>2025-09-05T10:08:42.790+08</v>
      </c>
      <c r="K545" s="9" t="str">
        <f t="array" ref="K545">IFERROR(INDEX(dataICM!C:C,match(Caseslist!B545,dataICM!D:D,0)), "INC")</f>
        <v>INC</v>
      </c>
      <c r="L545" s="10" t="str">
        <f t="array" ref="L545">IF(AND(G545="COMPLETE", OR(K545="INC", ISBLANK(INDEX(data!O:O, ROW())))), J545, K545)</f>
        <v>2025-09-05T10:08:42.790+08</v>
      </c>
      <c r="M545" s="2">
        <v>45905.0</v>
      </c>
      <c r="N545" s="2">
        <f t="array" ref="N545">IF(M545&lt;&gt;"INC", INDEX(data!M:M, MATCH(B545, data!D:D, 0)), "")</f>
        <v>0</v>
      </c>
      <c r="O545" s="2">
        <f t="shared" si="3"/>
        <v>0</v>
      </c>
    </row>
    <row r="546">
      <c r="A546" s="2" t="str">
        <f t="shared" si="1"/>
        <v>H006657</v>
      </c>
      <c r="B546" s="1" t="s">
        <v>3907</v>
      </c>
      <c r="C546" s="9" t="str">
        <f t="array" ref="C546">IF(
  AND(
    IFERROR(MATCH(Caseslist!B546, data!D:D, 0), 0) &gt; 0,
    IFERROR(INDEX(data!N:N, MATCH(Caseslist!B546, data!D:D, 0)) = 1, FALSE)
  ),
  "COMPLETE",
  "INC"
)</f>
        <v>COMPLETE</v>
      </c>
      <c r="D546" s="9" t="str">
        <f t="array" ref="D546">IFERROR(INDEX(data!$G:$G,match(Caseslist!B546,data!$D:$D,0)), "INC")</f>
        <v>J4315980</v>
      </c>
      <c r="E546" s="9" t="str">
        <f t="array" ref="E546">IFERROR(INDEX(data!H:H,match(Caseslist!B546,data!D:D,0)), "INC")</f>
        <v>Trixie Marie Jardeleza Saber</v>
      </c>
      <c r="F546" s="10" t="str">
        <f t="array" ref="F546">IF(
    OR(
      IFNA(INDEX(data!M:M, MATCH(Caseslist!B546, data!D:D, 0)), "") = "",
      IFNA(INDEX(data!M:M, MATCH(Caseslist!B546, data!D:D, 0)), 0) = 0
    ),
    "COMPLETE",
    IF(
      IFNA(INDEX(dataICM!D:D, MATCH(Caseslist!B546, dataICM!D:D, 0)), "INC") = "INC",
      IFNA(INDEX(dataICM!D:D, MATCH(Caseslist!B546, dataICM!D:D, 0)), "INC"),
      "COMPLETE"
    )
  )</f>
        <v>COMPLETE</v>
      </c>
      <c r="G546" s="10" t="str">
        <f t="array" ref="G546">IF(IFERROR(INDEX(data!L:L,match(Caseslist!B546,data!D:D,0)),"INC")="","COMPLETE",F546)</f>
        <v>COMPLETE</v>
      </c>
      <c r="H546" s="9" t="str">
        <f t="array" ref="H546">IFERROR(INDEX(dataICM!F:F,match(Caseslist!B546,dataICM!D:D,0)), "INC")</f>
        <v>INC</v>
      </c>
      <c r="I546" s="10" t="str">
        <f t="shared" si="2"/>
        <v>J4315980</v>
      </c>
      <c r="J546" s="9" t="str">
        <f t="array" ref="J546">IF(
  AND(
    IFERROR(MATCH(B546, data!D:D, 0), 0) &gt; 0,
    IFERROR(INDEX(data!N:N, MATCH(B546, data!D:D, 0)) = 1, FALSE)
  ),
  INDEX(data!C:C, MATCH(B546, data!D:D, 0)),
  "INC"
)</f>
        <v>2025-09-05T13:45:03.069+08</v>
      </c>
      <c r="K546" s="9" t="str">
        <f t="array" ref="K546">IFERROR(INDEX(dataICM!C:C,match(Caseslist!B546,dataICM!D:D,0)), "INC")</f>
        <v>INC</v>
      </c>
      <c r="L546" s="10" t="str">
        <f t="array" ref="L546">IF(AND(G546="COMPLETE", OR(K546="INC", ISBLANK(INDEX(data!O:O, ROW())))), J546, K546)</f>
        <v>2025-09-05T13:45:03.069+08</v>
      </c>
      <c r="M546" s="2">
        <v>45905.0</v>
      </c>
      <c r="N546" s="2">
        <f t="array" ref="N546">IF(M546&lt;&gt;"INC", INDEX(data!M:M, MATCH(B546, data!D:D, 0)), "")</f>
        <v>0</v>
      </c>
      <c r="O546" s="2">
        <f t="shared" si="3"/>
        <v>0</v>
      </c>
    </row>
    <row r="547">
      <c r="A547" s="2" t="str">
        <f t="shared" si="1"/>
        <v>H006657</v>
      </c>
      <c r="B547" s="1" t="s">
        <v>3872</v>
      </c>
      <c r="C547" s="9" t="str">
        <f t="array" ref="C547">IF(
  AND(
    IFERROR(MATCH(Caseslist!B547, data!D:D, 0), 0) &gt; 0,
    IFERROR(INDEX(data!N:N, MATCH(Caseslist!B547, data!D:D, 0)) = 1, FALSE)
  ),
  "COMPLETE",
  "INC"
)</f>
        <v>COMPLETE</v>
      </c>
      <c r="D547" s="9" t="str">
        <f t="array" ref="D547">IFERROR(INDEX(data!$G:$G,match(Caseslist!B547,data!$D:$D,0)), "INC")</f>
        <v>K8623174</v>
      </c>
      <c r="E547" s="9" t="str">
        <f t="array" ref="E547">IFERROR(INDEX(data!H:H,match(Caseslist!B547,data!D:D,0)), "INC")</f>
        <v>Marielle Kaye Ignacio Alonzo</v>
      </c>
      <c r="F547" s="10" t="str">
        <f t="array" ref="F547">IF(
    OR(
      IFNA(INDEX(data!M:M, MATCH(Caseslist!B547, data!D:D, 0)), "") = "",
      IFNA(INDEX(data!M:M, MATCH(Caseslist!B547, data!D:D, 0)), 0) = 0
    ),
    "COMPLETE",
    IF(
      IFNA(INDEX(dataICM!D:D, MATCH(Caseslist!B547, dataICM!D:D, 0)), "INC") = "INC",
      IFNA(INDEX(dataICM!D:D, MATCH(Caseslist!B547, dataICM!D:D, 0)), "INC"),
      "COMPLETE"
    )
  )</f>
        <v>COMPLETE</v>
      </c>
      <c r="G547" s="10" t="str">
        <f t="array" ref="G547">IF(IFERROR(INDEX(data!L:L,match(Caseslist!B547,data!D:D,0)),"INC")="","COMPLETE",F547)</f>
        <v>COMPLETE</v>
      </c>
      <c r="H547" s="9" t="str">
        <f t="array" ref="H547">IFERROR(INDEX(dataICM!F:F,match(Caseslist!B547,dataICM!D:D,0)), "INC")</f>
        <v>INC</v>
      </c>
      <c r="I547" s="10" t="str">
        <f t="shared" si="2"/>
        <v>K8623174</v>
      </c>
      <c r="J547" s="9" t="str">
        <f t="array" ref="J547">IF(
  AND(
    IFERROR(MATCH(B547, data!D:D, 0), 0) &gt; 0,
    IFERROR(INDEX(data!N:N, MATCH(B547, data!D:D, 0)) = 1, FALSE)
  ),
  INDEX(data!C:C, MATCH(B547, data!D:D, 0)),
  "INC"
)</f>
        <v>2025-09-05T12:15:57.009+08</v>
      </c>
      <c r="K547" s="9" t="str">
        <f t="array" ref="K547">IFERROR(INDEX(dataICM!C:C,match(Caseslist!B547,dataICM!D:D,0)), "INC")</f>
        <v>INC</v>
      </c>
      <c r="L547" s="10" t="str">
        <f t="array" ref="L547">IF(AND(G547="COMPLETE", OR(K547="INC", ISBLANK(INDEX(data!O:O, ROW())))), J547, K547)</f>
        <v>2025-09-05T12:15:57.009+08</v>
      </c>
      <c r="M547" s="2">
        <v>45905.0</v>
      </c>
      <c r="N547" s="2">
        <f t="array" ref="N547">IF(M547&lt;&gt;"INC", INDEX(data!M:M, MATCH(B547, data!D:D, 0)), "")</f>
        <v>0</v>
      </c>
      <c r="O547" s="2">
        <f t="shared" si="3"/>
        <v>0</v>
      </c>
    </row>
    <row r="548">
      <c r="A548" s="2" t="str">
        <f t="shared" si="1"/>
        <v>H006657</v>
      </c>
      <c r="B548" s="1" t="s">
        <v>4027</v>
      </c>
      <c r="C548" s="9" t="str">
        <f t="array" ref="C548">IF(
  AND(
    IFERROR(MATCH(Caseslist!B548, data!D:D, 0), 0) &gt; 0,
    IFERROR(INDEX(data!N:N, MATCH(Caseslist!B548, data!D:D, 0)) = 1, FALSE)
  ),
  "COMPLETE",
  "INC"
)</f>
        <v>COMPLETE</v>
      </c>
      <c r="D548" s="9" t="str">
        <f t="array" ref="D548">IFERROR(INDEX(data!$G:$G,match(Caseslist!B548,data!$D:$D,0)), "INC")</f>
        <v>L2057896</v>
      </c>
      <c r="E548" s="9" t="str">
        <f t="array" ref="E548">IFERROR(INDEX(data!H:H,match(Caseslist!B548,data!D:D,0)), "INC")</f>
        <v>Franz Reoben Posadas Geneblaza</v>
      </c>
      <c r="F548" s="10" t="str">
        <f t="array" ref="F548">IF(
    OR(
      IFNA(INDEX(data!M:M, MATCH(Caseslist!B548, data!D:D, 0)), "") = "",
      IFNA(INDEX(data!M:M, MATCH(Caseslist!B548, data!D:D, 0)), 0) = 0
    ),
    "COMPLETE",
    IF(
      IFNA(INDEX(dataICM!D:D, MATCH(Caseslist!B548, dataICM!D:D, 0)), "INC") = "INC",
      IFNA(INDEX(dataICM!D:D, MATCH(Caseslist!B548, dataICM!D:D, 0)), "INC"),
      "COMPLETE"
    )
  )</f>
        <v>COMPLETE</v>
      </c>
      <c r="G548" s="10" t="str">
        <f t="array" ref="G548">IF(IFERROR(INDEX(data!L:L,match(Caseslist!B548,data!D:D,0)),"INC")="","COMPLETE",F548)</f>
        <v>COMPLETE</v>
      </c>
      <c r="H548" s="9" t="str">
        <f t="array" ref="H548">IFERROR(INDEX(dataICM!F:F,match(Caseslist!B548,dataICM!D:D,0)), "INC")</f>
        <v>INC</v>
      </c>
      <c r="I548" s="10" t="str">
        <f t="shared" si="2"/>
        <v>L2057896</v>
      </c>
      <c r="J548" s="9" t="str">
        <f t="array" ref="J548">IF(
  AND(
    IFERROR(MATCH(B548, data!D:D, 0), 0) &gt; 0,
    IFERROR(INDEX(data!N:N, MATCH(B548, data!D:D, 0)) = 1, FALSE)
  ),
  INDEX(data!C:C, MATCH(B548, data!D:D, 0)),
  "INC"
)</f>
        <v>2025-09-05T10:09:29.880+08</v>
      </c>
      <c r="K548" s="9" t="str">
        <f t="array" ref="K548">IFERROR(INDEX(dataICM!C:C,match(Caseslist!B548,dataICM!D:D,0)), "INC")</f>
        <v>INC</v>
      </c>
      <c r="L548" s="10" t="str">
        <f t="array" ref="L548">IF(AND(G548="COMPLETE", OR(K548="INC", ISBLANK(INDEX(data!O:O, ROW())))), J548, K548)</f>
        <v>2025-09-05T10:09:29.880+08</v>
      </c>
      <c r="M548" s="2">
        <v>45905.0</v>
      </c>
      <c r="N548" s="2">
        <f t="array" ref="N548">IF(M548&lt;&gt;"INC", INDEX(data!M:M, MATCH(B548, data!D:D, 0)), "")</f>
        <v>0</v>
      </c>
      <c r="O548" s="2">
        <f t="shared" si="3"/>
        <v>0</v>
      </c>
    </row>
    <row r="549">
      <c r="A549" s="2" t="str">
        <f t="shared" si="1"/>
        <v>H006657</v>
      </c>
      <c r="B549" s="1" t="s">
        <v>3882</v>
      </c>
      <c r="C549" s="9" t="str">
        <f t="array" ref="C549">IF(
  AND(
    IFERROR(MATCH(Caseslist!B549, data!D:D, 0), 0) &gt; 0,
    IFERROR(INDEX(data!N:N, MATCH(Caseslist!B549, data!D:D, 0)) = 1, FALSE)
  ),
  "COMPLETE",
  "INC"
)</f>
        <v>COMPLETE</v>
      </c>
      <c r="D549" s="9" t="str">
        <f t="array" ref="D549">IFERROR(INDEX(data!$G:$G,match(Caseslist!B549,data!$D:$D,0)), "INC")</f>
        <v>K8623174</v>
      </c>
      <c r="E549" s="9" t="str">
        <f t="array" ref="E549">IFERROR(INDEX(data!H:H,match(Caseslist!B549,data!D:D,0)), "INC")</f>
        <v>Marielle Kaye Ignacio Alonzo</v>
      </c>
      <c r="F549" s="10" t="str">
        <f t="array" ref="F549">IF(
    OR(
      IFNA(INDEX(data!M:M, MATCH(Caseslist!B549, data!D:D, 0)), "") = "",
      IFNA(INDEX(data!M:M, MATCH(Caseslist!B549, data!D:D, 0)), 0) = 0
    ),
    "COMPLETE",
    IF(
      IFNA(INDEX(dataICM!D:D, MATCH(Caseslist!B549, dataICM!D:D, 0)), "INC") = "INC",
      IFNA(INDEX(dataICM!D:D, MATCH(Caseslist!B549, dataICM!D:D, 0)), "INC"),
      "COMPLETE"
    )
  )</f>
        <v>COMPLETE</v>
      </c>
      <c r="G549" s="10" t="str">
        <f t="array" ref="G549">IF(IFERROR(INDEX(data!L:L,match(Caseslist!B549,data!D:D,0)),"INC")="","COMPLETE",F549)</f>
        <v>COMPLETE</v>
      </c>
      <c r="H549" s="9" t="str">
        <f t="array" ref="H549">IFERROR(INDEX(dataICM!F:F,match(Caseslist!B549,dataICM!D:D,0)), "INC")</f>
        <v>INC</v>
      </c>
      <c r="I549" s="10" t="str">
        <f t="shared" si="2"/>
        <v>K8623174</v>
      </c>
      <c r="J549" s="9" t="str">
        <f t="array" ref="J549">IF(
  AND(
    IFERROR(MATCH(B549, data!D:D, 0), 0) &gt; 0,
    IFERROR(INDEX(data!N:N, MATCH(B549, data!D:D, 0)) = 1, FALSE)
  ),
  INDEX(data!C:C, MATCH(B549, data!D:D, 0)),
  "INC"
)</f>
        <v>2025-09-28T13:37:49.581+08</v>
      </c>
      <c r="K549" s="9" t="str">
        <f t="array" ref="K549">IFERROR(INDEX(dataICM!C:C,match(Caseslist!B549,dataICM!D:D,0)), "INC")</f>
        <v>INC</v>
      </c>
      <c r="L549" s="10" t="str">
        <f t="array" ref="L549">IF(AND(G549="COMPLETE", OR(K549="INC", ISBLANK(INDEX(data!O:O, ROW())))), J549, K549)</f>
        <v>2025-09-28T13:37:49.581+08</v>
      </c>
      <c r="M549" s="2">
        <v>45928.0</v>
      </c>
      <c r="N549" s="2">
        <f t="array" ref="N549">IF(M549&lt;&gt;"INC", INDEX(data!M:M, MATCH(B549, data!D:D, 0)), "")</f>
        <v>0</v>
      </c>
      <c r="O549" s="2">
        <f t="shared" si="3"/>
        <v>0</v>
      </c>
    </row>
    <row r="550">
      <c r="A550" s="2" t="str">
        <f t="shared" si="1"/>
        <v>H006657</v>
      </c>
      <c r="B550" s="1" t="s">
        <v>3737</v>
      </c>
      <c r="C550" s="9" t="str">
        <f t="array" ref="C550">IF(
  AND(
    IFERROR(MATCH(Caseslist!B550, data!D:D, 0), 0) &gt; 0,
    IFERROR(INDEX(data!N:N, MATCH(Caseslist!B550, data!D:D, 0)) = 1, FALSE)
  ),
  "COMPLETE",
  "INC"
)</f>
        <v>COMPLETE</v>
      </c>
      <c r="D550" s="9" t="str">
        <f t="array" ref="D550">IFERROR(INDEX(data!$G:$G,match(Caseslist!B550,data!$D:$D,0)), "INC")</f>
        <v>M6491032</v>
      </c>
      <c r="E550" s="9" t="str">
        <f t="array" ref="E550">IFERROR(INDEX(data!H:H,match(Caseslist!B550,data!D:D,0)), "INC")</f>
        <v>Rosevil Tayo Desamparado</v>
      </c>
      <c r="F550" s="10" t="str">
        <f t="array" ref="F550">IF(
    OR(
      IFNA(INDEX(data!M:M, MATCH(Caseslist!B550, data!D:D, 0)), "") = "",
      IFNA(INDEX(data!M:M, MATCH(Caseslist!B550, data!D:D, 0)), 0) = 0
    ),
    "COMPLETE",
    IF(
      IFNA(INDEX(dataICM!D:D, MATCH(Caseslist!B550, dataICM!D:D, 0)), "INC") = "INC",
      IFNA(INDEX(dataICM!D:D, MATCH(Caseslist!B550, dataICM!D:D, 0)), "INC"),
      "COMPLETE"
    )
  )</f>
        <v>COMPLETE</v>
      </c>
      <c r="G550" s="10" t="str">
        <f t="array" ref="G550">IF(IFERROR(INDEX(data!L:L,match(Caseslist!B550,data!D:D,0)),"INC")="","COMPLETE",F550)</f>
        <v>COMPLETE</v>
      </c>
      <c r="H550" s="9" t="str">
        <f t="array" ref="H550">IFERROR(INDEX(dataICM!F:F,match(Caseslist!B550,dataICM!D:D,0)), "INC")</f>
        <v>INC</v>
      </c>
      <c r="I550" s="10" t="str">
        <f t="shared" si="2"/>
        <v>M6491032</v>
      </c>
      <c r="J550" s="9" t="str">
        <f t="array" ref="J550">IF(
  AND(
    IFERROR(MATCH(B550, data!D:D, 0), 0) &gt; 0,
    IFERROR(INDEX(data!N:N, MATCH(B550, data!D:D, 0)) = 1, FALSE)
  ),
  INDEX(data!C:C, MATCH(B550, data!D:D, 0)),
  "INC"
)</f>
        <v>2025-09-05T15:25:16.221+08</v>
      </c>
      <c r="K550" s="9" t="str">
        <f t="array" ref="K550">IFERROR(INDEX(dataICM!C:C,match(Caseslist!B550,dataICM!D:D,0)), "INC")</f>
        <v>INC</v>
      </c>
      <c r="L550" s="10" t="str">
        <f t="array" ref="L550">IF(AND(G550="COMPLETE", OR(K550="INC", ISBLANK(INDEX(data!O:O, ROW())))), J550, K550)</f>
        <v>2025-09-05T15:25:16.221+08</v>
      </c>
      <c r="M550" s="2">
        <v>45905.0</v>
      </c>
      <c r="N550" s="2">
        <f t="array" ref="N550">IF(M550&lt;&gt;"INC", INDEX(data!M:M, MATCH(B550, data!D:D, 0)), "")</f>
        <v>0</v>
      </c>
      <c r="O550" s="2">
        <f t="shared" si="3"/>
        <v>0</v>
      </c>
    </row>
    <row r="551">
      <c r="A551" s="2" t="str">
        <f t="shared" si="1"/>
        <v>H006657</v>
      </c>
      <c r="B551" s="1" t="s">
        <v>3912</v>
      </c>
      <c r="C551" s="9" t="str">
        <f t="array" ref="C551">IF(
  AND(
    IFERROR(MATCH(Caseslist!B551, data!D:D, 0), 0) &gt; 0,
    IFERROR(INDEX(data!N:N, MATCH(Caseslist!B551, data!D:D, 0)) = 1, FALSE)
  ),
  "COMPLETE",
  "INC"
)</f>
        <v>COMPLETE</v>
      </c>
      <c r="D551" s="9" t="str">
        <f t="array" ref="D551">IFERROR(INDEX(data!$G:$G,match(Caseslist!B551,data!$D:$D,0)), "INC")</f>
        <v>K8623174</v>
      </c>
      <c r="E551" s="9" t="str">
        <f t="array" ref="E551">IFERROR(INDEX(data!H:H,match(Caseslist!B551,data!D:D,0)), "INC")</f>
        <v>Marielle Kaye Ignacio Alonzo</v>
      </c>
      <c r="F551" s="10" t="str">
        <f t="array" ref="F551">IF(
    OR(
      IFNA(INDEX(data!M:M, MATCH(Caseslist!B551, data!D:D, 0)), "") = "",
      IFNA(INDEX(data!M:M, MATCH(Caseslist!B551, data!D:D, 0)), 0) = 0
    ),
    "COMPLETE",
    IF(
      IFNA(INDEX(dataICM!D:D, MATCH(Caseslist!B551, dataICM!D:D, 0)), "INC") = "INC",
      IFNA(INDEX(dataICM!D:D, MATCH(Caseslist!B551, dataICM!D:D, 0)), "INC"),
      "COMPLETE"
    )
  )</f>
        <v>COMPLETE</v>
      </c>
      <c r="G551" s="10" t="str">
        <f t="array" ref="G551">IF(IFERROR(INDEX(data!L:L,match(Caseslist!B551,data!D:D,0)),"INC")="","COMPLETE",F551)</f>
        <v>COMPLETE</v>
      </c>
      <c r="H551" s="9" t="str">
        <f t="array" ref="H551">IFERROR(INDEX(dataICM!F:F,match(Caseslist!B551,dataICM!D:D,0)), "INC")</f>
        <v>INC</v>
      </c>
      <c r="I551" s="10" t="str">
        <f t="shared" si="2"/>
        <v>K8623174</v>
      </c>
      <c r="J551" s="9" t="str">
        <f t="array" ref="J551">IF(
  AND(
    IFERROR(MATCH(B551, data!D:D, 0), 0) &gt; 0,
    IFERROR(INDEX(data!N:N, MATCH(B551, data!D:D, 0)) = 1, FALSE)
  ),
  INDEX(data!C:C, MATCH(B551, data!D:D, 0)),
  "INC"
)</f>
        <v>2025-09-28T12:02:25.852+08</v>
      </c>
      <c r="K551" s="9" t="str">
        <f t="array" ref="K551">IFERROR(INDEX(dataICM!C:C,match(Caseslist!B551,dataICM!D:D,0)), "INC")</f>
        <v>INC</v>
      </c>
      <c r="L551" s="10" t="str">
        <f t="array" ref="L551">IF(AND(G551="COMPLETE", OR(K551="INC", ISBLANK(INDEX(data!O:O, ROW())))), J551, K551)</f>
        <v>2025-09-28T12:02:25.852+08</v>
      </c>
      <c r="M551" s="2">
        <v>45928.0</v>
      </c>
      <c r="N551" s="2">
        <f t="array" ref="N551">IF(M551&lt;&gt;"INC", INDEX(data!M:M, MATCH(B551, data!D:D, 0)), "")</f>
        <v>0</v>
      </c>
      <c r="O551" s="2">
        <f t="shared" si="3"/>
        <v>0</v>
      </c>
    </row>
    <row r="552">
      <c r="A552" s="2" t="str">
        <f t="shared" si="1"/>
        <v>H006689</v>
      </c>
      <c r="B552" s="1" t="s">
        <v>8393</v>
      </c>
      <c r="C552" s="9" t="str">
        <f t="array" ref="C552">IF(
  AND(
    IFERROR(MATCH(Caseslist!B552, data!D:D, 0), 0) &gt; 0,
    IFERROR(INDEX(data!N:N, MATCH(Caseslist!B552, data!D:D, 0)) = 1, FALSE)
  ),
  "COMPLETE",
  "INC"
)</f>
        <v>COMPLETE</v>
      </c>
      <c r="D552" s="9" t="str">
        <f t="array" ref="D552">IFERROR(INDEX(data!$G:$G,match(Caseslist!B552,data!$D:$D,0)), "INC")</f>
        <v>N7814260</v>
      </c>
      <c r="E552" s="9" t="str">
        <f t="array" ref="E552">IFERROR(INDEX(data!H:H,match(Caseslist!B552,data!D:D,0)), "INC")</f>
        <v>Jemma Marie Tillo</v>
      </c>
      <c r="F552" s="10" t="str">
        <f t="array" ref="F552">IF(
    OR(
      IFNA(INDEX(data!M:M, MATCH(Caseslist!B552, data!D:D, 0)), "") = "",
      IFNA(INDEX(data!M:M, MATCH(Caseslist!B552, data!D:D, 0)), 0) = 0
    ),
    "COMPLETE",
    IF(
      IFNA(INDEX(dataICM!D:D, MATCH(Caseslist!B552, dataICM!D:D, 0)), "INC") = "INC",
      IFNA(INDEX(dataICM!D:D, MATCH(Caseslist!B552, dataICM!D:D, 0)), "INC"),
      "COMPLETE"
    )
  )</f>
        <v>COMPLETE</v>
      </c>
      <c r="G552" s="10" t="str">
        <f t="array" ref="G552">IF(IFERROR(INDEX(data!L:L,match(Caseslist!B552,data!D:D,0)),"INC")="","COMPLETE",F552)</f>
        <v>COMPLETE</v>
      </c>
      <c r="H552" s="9" t="str">
        <f t="array" ref="H552">IFERROR(INDEX(dataICM!F:F,match(Caseslist!B552,dataICM!D:D,0)), "INC")</f>
        <v>Jemma Marie Tillo</v>
      </c>
      <c r="I552" s="10" t="str">
        <f t="shared" si="2"/>
        <v>N7814260</v>
      </c>
      <c r="J552" s="9" t="str">
        <f t="array" ref="J552">IF(
  AND(
    IFERROR(MATCH(B552, data!D:D, 0), 0) &gt; 0,
    IFERROR(INDEX(data!N:N, MATCH(B552, data!D:D, 0)) = 1, FALSE)
  ),
  INDEX(data!C:C, MATCH(B552, data!D:D, 0)),
  "INC"
)</f>
        <v>2025-09-24T11:23:54.415+08</v>
      </c>
      <c r="K552" s="9" t="str">
        <f t="array" ref="K552">IFERROR(INDEX(dataICM!C:C,match(Caseslist!B552,dataICM!D:D,0)), "INC")</f>
        <v>2025-09-24T11:33:04.484+08</v>
      </c>
      <c r="L552" s="10" t="str">
        <f t="array" ref="L552">IF(AND(G552="COMPLETE", OR(K552="INC", ISBLANK(INDEX(data!O:O, ROW())))), J552, K552)</f>
        <v>2025-09-24T11:33:04.484+08</v>
      </c>
      <c r="M552" s="2">
        <v>45924.0</v>
      </c>
      <c r="N552" s="2">
        <f t="array" ref="N552">IF(M552&lt;&gt;"INC", INDEX(data!M:M, MATCH(B552, data!D:D, 0)), "")</f>
        <v>1</v>
      </c>
      <c r="O552" s="2">
        <f t="shared" si="3"/>
        <v>1</v>
      </c>
    </row>
    <row r="553">
      <c r="A553" s="2" t="str">
        <f t="shared" si="1"/>
        <v>H006689</v>
      </c>
      <c r="B553" s="1" t="s">
        <v>8433</v>
      </c>
      <c r="C553" s="9" t="str">
        <f t="array" ref="C553">IF(
  AND(
    IFERROR(MATCH(Caseslist!B553, data!D:D, 0), 0) &gt; 0,
    IFERROR(INDEX(data!N:N, MATCH(Caseslist!B553, data!D:D, 0)) = 1, FALSE)
  ),
  "COMPLETE",
  "INC"
)</f>
        <v>COMPLETE</v>
      </c>
      <c r="D553" s="9" t="str">
        <f t="array" ref="D553">IFERROR(INDEX(data!$G:$G,match(Caseslist!B553,data!$D:$D,0)), "INC")</f>
        <v>O3925718</v>
      </c>
      <c r="E553" s="9" t="str">
        <f t="array" ref="E553">IFERROR(INDEX(data!H:H,match(Caseslist!B553,data!D:D,0)), "INC")</f>
        <v>Adrian Montecastro Ferrer</v>
      </c>
      <c r="F553" s="10" t="str">
        <f t="array" ref="F553">IF(
    OR(
      IFNA(INDEX(data!M:M, MATCH(Caseslist!B553, data!D:D, 0)), "") = "",
      IFNA(INDEX(data!M:M, MATCH(Caseslist!B553, data!D:D, 0)), 0) = 0
    ),
    "COMPLETE",
    IF(
      IFNA(INDEX(dataICM!D:D, MATCH(Caseslist!B553, dataICM!D:D, 0)), "INC") = "INC",
      IFNA(INDEX(dataICM!D:D, MATCH(Caseslist!B553, dataICM!D:D, 0)), "INC"),
      "COMPLETE"
    )
  )</f>
        <v>COMPLETE</v>
      </c>
      <c r="G553" s="10" t="str">
        <f t="array" ref="G553">IF(IFERROR(INDEX(data!L:L,match(Caseslist!B553,data!D:D,0)),"INC")="","COMPLETE",F553)</f>
        <v>COMPLETE</v>
      </c>
      <c r="H553" s="9" t="str">
        <f t="array" ref="H553">IFERROR(INDEX(dataICM!F:F,match(Caseslist!B553,dataICM!D:D,0)), "INC")</f>
        <v>Adrian Montecastro Ferrer</v>
      </c>
      <c r="I553" s="10" t="str">
        <f t="shared" si="2"/>
        <v>O3925718</v>
      </c>
      <c r="J553" s="9" t="str">
        <f t="array" ref="J553">IF(
  AND(
    IFERROR(MATCH(B553, data!D:D, 0), 0) &gt; 0,
    IFERROR(INDEX(data!N:N, MATCH(B553, data!D:D, 0)) = 1, FALSE)
  ),
  INDEX(data!C:C, MATCH(B553, data!D:D, 0)),
  "INC"
)</f>
        <v>2025-09-24T13:03:39.097+08</v>
      </c>
      <c r="K553" s="9" t="str">
        <f t="array" ref="K553">IFERROR(INDEX(dataICM!C:C,match(Caseslist!B553,dataICM!D:D,0)), "INC")</f>
        <v>2025-09-24T15:22:44.644+08</v>
      </c>
      <c r="L553" s="10" t="str">
        <f t="array" ref="L553">IF(AND(G553="COMPLETE", OR(K553="INC", ISBLANK(INDEX(data!O:O, ROW())))), J553, K553)</f>
        <v>2025-09-24T15:22:44.644+08</v>
      </c>
      <c r="M553" s="2">
        <v>45924.0</v>
      </c>
      <c r="N553" s="2">
        <f t="array" ref="N553">IF(M553&lt;&gt;"INC", INDEX(data!M:M, MATCH(B553, data!D:D, 0)), "")</f>
        <v>1</v>
      </c>
      <c r="O553" s="2">
        <f t="shared" si="3"/>
        <v>1</v>
      </c>
    </row>
    <row r="554">
      <c r="A554" s="2" t="str">
        <f t="shared" si="1"/>
        <v>H006689</v>
      </c>
      <c r="B554" s="1" t="s">
        <v>8428</v>
      </c>
      <c r="C554" s="9" t="str">
        <f t="array" ref="C554">IF(
  AND(
    IFERROR(MATCH(Caseslist!B554, data!D:D, 0), 0) &gt; 0,
    IFERROR(INDEX(data!N:N, MATCH(Caseslist!B554, data!D:D, 0)) = 1, FALSE)
  ),
  "COMPLETE",
  "INC"
)</f>
        <v>COMPLETE</v>
      </c>
      <c r="D554" s="9" t="str">
        <f t="array" ref="D554">IFERROR(INDEX(data!$G:$G,match(Caseslist!B554,data!$D:$D,0)), "INC")</f>
        <v>O3925718</v>
      </c>
      <c r="E554" s="9" t="str">
        <f t="array" ref="E554">IFERROR(INDEX(data!H:H,match(Caseslist!B554,data!D:D,0)), "INC")</f>
        <v>Adrian Montecastro Ferrer</v>
      </c>
      <c r="F554" s="10" t="str">
        <f t="array" ref="F554">IF(
    OR(
      IFNA(INDEX(data!M:M, MATCH(Caseslist!B554, data!D:D, 0)), "") = "",
      IFNA(INDEX(data!M:M, MATCH(Caseslist!B554, data!D:D, 0)), 0) = 0
    ),
    "COMPLETE",
    IF(
      IFNA(INDEX(dataICM!D:D, MATCH(Caseslist!B554, dataICM!D:D, 0)), "INC") = "INC",
      IFNA(INDEX(dataICM!D:D, MATCH(Caseslist!B554, dataICM!D:D, 0)), "INC"),
      "COMPLETE"
    )
  )</f>
        <v>COMPLETE</v>
      </c>
      <c r="G554" s="10" t="str">
        <f t="array" ref="G554">IF(IFERROR(INDEX(data!L:L,match(Caseslist!B554,data!D:D,0)),"INC")="","COMPLETE",F554)</f>
        <v>COMPLETE</v>
      </c>
      <c r="H554" s="9" t="str">
        <f t="array" ref="H554">IFERROR(INDEX(dataICM!F:F,match(Caseslist!B554,dataICM!D:D,0)), "INC")</f>
        <v>Adrian Montecastro Ferrer</v>
      </c>
      <c r="I554" s="10" t="str">
        <f t="shared" si="2"/>
        <v>O3925718</v>
      </c>
      <c r="J554" s="9" t="str">
        <f t="array" ref="J554">IF(
  AND(
    IFERROR(MATCH(B554, data!D:D, 0), 0) &gt; 0,
    IFERROR(INDEX(data!N:N, MATCH(B554, data!D:D, 0)) = 1, FALSE)
  ),
  INDEX(data!C:C, MATCH(B554, data!D:D, 0)),
  "INC"
)</f>
        <v>2025-09-24T10:55:45.414+08</v>
      </c>
      <c r="K554" s="9" t="str">
        <f t="array" ref="K554">IFERROR(INDEX(dataICM!C:C,match(Caseslist!B554,dataICM!D:D,0)), "INC")</f>
        <v>2025-09-24T11:40:43.094+08</v>
      </c>
      <c r="L554" s="10" t="str">
        <f t="array" ref="L554">IF(AND(G554="COMPLETE", OR(K554="INC", ISBLANK(INDEX(data!O:O, ROW())))), J554, K554)</f>
        <v>2025-09-24T11:40:43.094+08</v>
      </c>
      <c r="M554" s="2">
        <v>45924.0</v>
      </c>
      <c r="N554" s="2">
        <f t="array" ref="N554">IF(M554&lt;&gt;"INC", INDEX(data!M:M, MATCH(B554, data!D:D, 0)), "")</f>
        <v>1</v>
      </c>
      <c r="O554" s="2">
        <f t="shared" si="3"/>
        <v>1</v>
      </c>
    </row>
    <row r="555">
      <c r="A555" s="2" t="str">
        <f t="shared" si="1"/>
        <v>H006689</v>
      </c>
      <c r="B555" s="1" t="s">
        <v>5088</v>
      </c>
      <c r="C555" s="9" t="str">
        <f t="array" ref="C555">IF(
  AND(
    IFERROR(MATCH(Caseslist!B555, data!D:D, 0), 0) &gt; 0,
    IFERROR(INDEX(data!N:N, MATCH(Caseslist!B555, data!D:D, 0)) = 1, FALSE)
  ),
  "COMPLETE",
  "INC"
)</f>
        <v>COMPLETE</v>
      </c>
      <c r="D555" s="9" t="str">
        <f t="array" ref="D555">IFERROR(INDEX(data!$G:$G,match(Caseslist!B555,data!$D:$D,0)), "INC")</f>
        <v>O3925718</v>
      </c>
      <c r="E555" s="9" t="str">
        <f t="array" ref="E555">IFERROR(INDEX(data!H:H,match(Caseslist!B555,data!D:D,0)), "INC")</f>
        <v>Adrian Montecastro Ferrer</v>
      </c>
      <c r="F555" s="10" t="str">
        <f t="array" ref="F555">IF(
    OR(
      IFNA(INDEX(data!M:M, MATCH(Caseslist!B555, data!D:D, 0)), "") = "",
      IFNA(INDEX(data!M:M, MATCH(Caseslist!B555, data!D:D, 0)), 0) = 0
    ),
    "COMPLETE",
    IF(
      IFNA(INDEX(dataICM!D:D, MATCH(Caseslist!B555, dataICM!D:D, 0)), "INC") = "INC",
      IFNA(INDEX(dataICM!D:D, MATCH(Caseslist!B555, dataICM!D:D, 0)), "INC"),
      "COMPLETE"
    )
  )</f>
        <v>COMPLETE</v>
      </c>
      <c r="G555" s="10" t="str">
        <f t="array" ref="G555">IF(IFERROR(INDEX(data!L:L,match(Caseslist!B555,data!D:D,0)),"INC")="","COMPLETE",F555)</f>
        <v>COMPLETE</v>
      </c>
      <c r="H555" s="9" t="str">
        <f t="array" ref="H555">IFERROR(INDEX(dataICM!F:F,match(Caseslist!B555,dataICM!D:D,0)), "INC")</f>
        <v>Adrian Montecastro Ferrer</v>
      </c>
      <c r="I555" s="10" t="str">
        <f t="shared" si="2"/>
        <v>O3925718</v>
      </c>
      <c r="J555" s="9" t="str">
        <f t="array" ref="J555">IF(
  AND(
    IFERROR(MATCH(B555, data!D:D, 0), 0) &gt; 0,
    IFERROR(INDEX(data!N:N, MATCH(B555, data!D:D, 0)) = 1, FALSE)
  ),
  INDEX(data!C:C, MATCH(B555, data!D:D, 0)),
  "INC"
)</f>
        <v>2025-09-10T12:54:08.769+08</v>
      </c>
      <c r="K555" s="9" t="str">
        <f t="array" ref="K555">IFERROR(INDEX(dataICM!C:C,match(Caseslist!B555,dataICM!D:D,0)), "INC")</f>
        <v>2025-09-10T12:57:32.262+08</v>
      </c>
      <c r="L555" s="10" t="str">
        <f t="array" ref="L555">IF(AND(G555="COMPLETE", OR(K555="INC", ISBLANK(INDEX(data!O:O, ROW())))), J555, K555)</f>
        <v>2025-09-10T12:57:32.262+08</v>
      </c>
      <c r="M555" s="2">
        <v>45910.0</v>
      </c>
      <c r="N555" s="2">
        <f t="array" ref="N555">IF(M555&lt;&gt;"INC", INDEX(data!M:M, MATCH(B555, data!D:D, 0)), "")</f>
        <v>1</v>
      </c>
      <c r="O555" s="2">
        <f t="shared" si="3"/>
        <v>1</v>
      </c>
    </row>
    <row r="556">
      <c r="A556" s="2" t="str">
        <f t="shared" si="1"/>
        <v>H006689</v>
      </c>
      <c r="B556" s="1" t="s">
        <v>5193</v>
      </c>
      <c r="C556" s="9" t="str">
        <f t="array" ref="C556">IF(
  AND(
    IFERROR(MATCH(Caseslist!B556, data!D:D, 0), 0) &gt; 0,
    IFERROR(INDEX(data!N:N, MATCH(Caseslist!B556, data!D:D, 0)) = 1, FALSE)
  ),
  "COMPLETE",
  "INC"
)</f>
        <v>COMPLETE</v>
      </c>
      <c r="D556" s="9" t="str">
        <f t="array" ref="D556">IFERROR(INDEX(data!$G:$G,match(Caseslist!B556,data!$D:$D,0)), "INC")</f>
        <v>P1068432</v>
      </c>
      <c r="E556" s="9" t="str">
        <f t="array" ref="E556">IFERROR(INDEX(data!H:H,match(Caseslist!B556,data!D:D,0)), "INC")</f>
        <v>Mark Daniel Balagao Benson</v>
      </c>
      <c r="F556" s="10" t="str">
        <f t="array" ref="F556">IF(
    OR(
      IFNA(INDEX(data!M:M, MATCH(Caseslist!B556, data!D:D, 0)), "") = "",
      IFNA(INDEX(data!M:M, MATCH(Caseslist!B556, data!D:D, 0)), 0) = 0
    ),
    "COMPLETE",
    IF(
      IFNA(INDEX(dataICM!D:D, MATCH(Caseslist!B556, dataICM!D:D, 0)), "INC") = "INC",
      IFNA(INDEX(dataICM!D:D, MATCH(Caseslist!B556, dataICM!D:D, 0)), "INC"),
      "COMPLETE"
    )
  )</f>
        <v>COMPLETE</v>
      </c>
      <c r="G556" s="10" t="str">
        <f t="array" ref="G556">IF(IFERROR(INDEX(data!L:L,match(Caseslist!B556,data!D:D,0)),"INC")="","COMPLETE",F556)</f>
        <v>COMPLETE</v>
      </c>
      <c r="H556" s="9" t="str">
        <f t="array" ref="H556">IFERROR(INDEX(dataICM!F:F,match(Caseslist!B556,dataICM!D:D,0)), "INC")</f>
        <v>Mark Daniel Balagao Benson</v>
      </c>
      <c r="I556" s="10" t="str">
        <f t="shared" si="2"/>
        <v>P1068432</v>
      </c>
      <c r="J556" s="9" t="str">
        <f t="array" ref="J556">IF(
  AND(
    IFERROR(MATCH(B556, data!D:D, 0), 0) &gt; 0,
    IFERROR(INDEX(data!N:N, MATCH(B556, data!D:D, 0)) = 1, FALSE)
  ),
  INDEX(data!C:C, MATCH(B556, data!D:D, 0)),
  "INC"
)</f>
        <v>2025-09-10T13:24:09.141+08</v>
      </c>
      <c r="K556" s="9" t="str">
        <f t="array" ref="K556">IFERROR(INDEX(dataICM!C:C,match(Caseslist!B556,dataICM!D:D,0)), "INC")</f>
        <v>2025-09-10T13:47:03.997+08</v>
      </c>
      <c r="L556" s="10" t="str">
        <f t="array" ref="L556">IF(AND(G556="COMPLETE", OR(K556="INC", ISBLANK(INDEX(data!O:O, ROW())))), J556, K556)</f>
        <v>2025-09-10T13:47:03.997+08</v>
      </c>
      <c r="M556" s="2">
        <v>45910.0</v>
      </c>
      <c r="N556" s="2">
        <f t="array" ref="N556">IF(M556&lt;&gt;"INC", INDEX(data!M:M, MATCH(B556, data!D:D, 0)), "")</f>
        <v>1</v>
      </c>
      <c r="O556" s="2">
        <f t="shared" si="3"/>
        <v>1</v>
      </c>
    </row>
    <row r="557">
      <c r="A557" s="2" t="str">
        <f t="shared" si="1"/>
        <v>H006689</v>
      </c>
      <c r="B557" s="1" t="s">
        <v>5093</v>
      </c>
      <c r="C557" s="9" t="str">
        <f t="array" ref="C557">IF(
  AND(
    IFERROR(MATCH(Caseslist!B557, data!D:D, 0), 0) &gt; 0,
    IFERROR(INDEX(data!N:N, MATCH(Caseslist!B557, data!D:D, 0)) = 1, FALSE)
  ),
  "COMPLETE",
  "INC"
)</f>
        <v>COMPLETE</v>
      </c>
      <c r="D557" s="9" t="str">
        <f t="array" ref="D557">IFERROR(INDEX(data!$G:$G,match(Caseslist!B557,data!$D:$D,0)), "INC")</f>
        <v>O3925718</v>
      </c>
      <c r="E557" s="9" t="str">
        <f t="array" ref="E557">IFERROR(INDEX(data!H:H,match(Caseslist!B557,data!D:D,0)), "INC")</f>
        <v>Adrian Montecastro Ferrer</v>
      </c>
      <c r="F557" s="10" t="str">
        <f t="array" ref="F557">IF(
    OR(
      IFNA(INDEX(data!M:M, MATCH(Caseslist!B557, data!D:D, 0)), "") = "",
      IFNA(INDEX(data!M:M, MATCH(Caseslist!B557, data!D:D, 0)), 0) = 0
    ),
    "COMPLETE",
    IF(
      IFNA(INDEX(dataICM!D:D, MATCH(Caseslist!B557, dataICM!D:D, 0)), "INC") = "INC",
      IFNA(INDEX(dataICM!D:D, MATCH(Caseslist!B557, dataICM!D:D, 0)), "INC"),
      "COMPLETE"
    )
  )</f>
        <v>COMPLETE</v>
      </c>
      <c r="G557" s="10" t="str">
        <f t="array" ref="G557">IF(IFERROR(INDEX(data!L:L,match(Caseslist!B557,data!D:D,0)),"INC")="","COMPLETE",F557)</f>
        <v>COMPLETE</v>
      </c>
      <c r="H557" s="9" t="str">
        <f t="array" ref="H557">IFERROR(INDEX(dataICM!F:F,match(Caseslist!B557,dataICM!D:D,0)), "INC")</f>
        <v>Adrian Montecastro Ferrer</v>
      </c>
      <c r="I557" s="10" t="str">
        <f t="shared" si="2"/>
        <v>O3925718</v>
      </c>
      <c r="J557" s="9" t="str">
        <f t="array" ref="J557">IF(
  AND(
    IFERROR(MATCH(B557, data!D:D, 0), 0) &gt; 0,
    IFERROR(INDEX(data!N:N, MATCH(B557, data!D:D, 0)) = 1, FALSE)
  ),
  INDEX(data!C:C, MATCH(B557, data!D:D, 0)),
  "INC"
)</f>
        <v>2025-09-10T14:17:04.690+08</v>
      </c>
      <c r="K557" s="9" t="str">
        <f t="array" ref="K557">IFERROR(INDEX(dataICM!C:C,match(Caseslist!B557,dataICM!D:D,0)), "INC")</f>
        <v>2025-09-10T14:36:02.736+08</v>
      </c>
      <c r="L557" s="10" t="str">
        <f t="array" ref="L557">IF(AND(G557="COMPLETE", OR(K557="INC", ISBLANK(INDEX(data!O:O, ROW())))), J557, K557)</f>
        <v>2025-09-10T14:36:02.736+08</v>
      </c>
      <c r="M557" s="2">
        <v>45910.0</v>
      </c>
      <c r="N557" s="2">
        <f t="array" ref="N557">IF(M557&lt;&gt;"INC", INDEX(data!M:M, MATCH(B557, data!D:D, 0)), "")</f>
        <v>1</v>
      </c>
      <c r="O557" s="2">
        <f t="shared" si="3"/>
        <v>1</v>
      </c>
    </row>
    <row r="558">
      <c r="A558" s="2" t="str">
        <f t="shared" si="1"/>
        <v>H006689</v>
      </c>
      <c r="B558" s="1" t="s">
        <v>8423</v>
      </c>
      <c r="C558" s="9" t="str">
        <f t="array" ref="C558">IF(
  AND(
    IFERROR(MATCH(Caseslist!B558, data!D:D, 0), 0) &gt; 0,
    IFERROR(INDEX(data!N:N, MATCH(Caseslist!B558, data!D:D, 0)) = 1, FALSE)
  ),
  "COMPLETE",
  "INC"
)</f>
        <v>COMPLETE</v>
      </c>
      <c r="D558" s="9" t="str">
        <f t="array" ref="D558">IFERROR(INDEX(data!$G:$G,match(Caseslist!B558,data!$D:$D,0)), "INC")</f>
        <v>O3925718</v>
      </c>
      <c r="E558" s="9" t="str">
        <f t="array" ref="E558">IFERROR(INDEX(data!H:H,match(Caseslist!B558,data!D:D,0)), "INC")</f>
        <v>Adrian Montecastro Ferrer</v>
      </c>
      <c r="F558" s="10" t="str">
        <f t="array" ref="F558">IF(
    OR(
      IFNA(INDEX(data!M:M, MATCH(Caseslist!B558, data!D:D, 0)), "") = "",
      IFNA(INDEX(data!M:M, MATCH(Caseslist!B558, data!D:D, 0)), 0) = 0
    ),
    "COMPLETE",
    IF(
      IFNA(INDEX(dataICM!D:D, MATCH(Caseslist!B558, dataICM!D:D, 0)), "INC") = "INC",
      IFNA(INDEX(dataICM!D:D, MATCH(Caseslist!B558, dataICM!D:D, 0)), "INC"),
      "COMPLETE"
    )
  )</f>
        <v>COMPLETE</v>
      </c>
      <c r="G558" s="10" t="str">
        <f t="array" ref="G558">IF(IFERROR(INDEX(data!L:L,match(Caseslist!B558,data!D:D,0)),"INC")="","COMPLETE",F558)</f>
        <v>COMPLETE</v>
      </c>
      <c r="H558" s="9" t="str">
        <f t="array" ref="H558">IFERROR(INDEX(dataICM!F:F,match(Caseslist!B558,dataICM!D:D,0)), "INC")</f>
        <v>Adrian Montecastro Ferrer</v>
      </c>
      <c r="I558" s="10" t="str">
        <f t="shared" si="2"/>
        <v>O3925718</v>
      </c>
      <c r="J558" s="9" t="str">
        <f t="array" ref="J558">IF(
  AND(
    IFERROR(MATCH(B558, data!D:D, 0), 0) &gt; 0,
    IFERROR(INDEX(data!N:N, MATCH(B558, data!D:D, 0)) = 1, FALSE)
  ),
  INDEX(data!C:C, MATCH(B558, data!D:D, 0)),
  "INC"
)</f>
        <v>2025-09-24T09:18:46.862+08</v>
      </c>
      <c r="K558" s="9" t="str">
        <f t="array" ref="K558">IFERROR(INDEX(dataICM!C:C,match(Caseslist!B558,dataICM!D:D,0)), "INC")</f>
        <v>2025-09-24T09:32:18.808+08</v>
      </c>
      <c r="L558" s="10" t="str">
        <f t="array" ref="L558">IF(AND(G558="COMPLETE", OR(K558="INC", ISBLANK(INDEX(data!O:O, ROW())))), J558, K558)</f>
        <v>2025-09-24T09:32:18.808+08</v>
      </c>
      <c r="M558" s="2">
        <v>45924.0</v>
      </c>
      <c r="N558" s="2">
        <f t="array" ref="N558">IF(M558&lt;&gt;"INC", INDEX(data!M:M, MATCH(B558, data!D:D, 0)), "")</f>
        <v>1</v>
      </c>
      <c r="O558" s="2">
        <f t="shared" si="3"/>
        <v>1</v>
      </c>
    </row>
    <row r="559">
      <c r="A559" s="2" t="str">
        <f t="shared" si="1"/>
        <v>H006689</v>
      </c>
      <c r="B559" s="1" t="s">
        <v>8398</v>
      </c>
      <c r="C559" s="9" t="str">
        <f t="array" ref="C559">IF(
  AND(
    IFERROR(MATCH(Caseslist!B559, data!D:D, 0), 0) &gt; 0,
    IFERROR(INDEX(data!N:N, MATCH(Caseslist!B559, data!D:D, 0)) = 1, FALSE)
  ),
  "COMPLETE",
  "INC"
)</f>
        <v>COMPLETE</v>
      </c>
      <c r="D559" s="9" t="str">
        <f t="array" ref="D559">IFERROR(INDEX(data!$G:$G,match(Caseslist!B559,data!$D:$D,0)), "INC")</f>
        <v>P1068432</v>
      </c>
      <c r="E559" s="9" t="str">
        <f t="array" ref="E559">IFERROR(INDEX(data!H:H,match(Caseslist!B559,data!D:D,0)), "INC")</f>
        <v>Mark Daniel Balagao Benson</v>
      </c>
      <c r="F559" s="10" t="str">
        <f t="array" ref="F559">IF(
    OR(
      IFNA(INDEX(data!M:M, MATCH(Caseslist!B559, data!D:D, 0)), "") = "",
      IFNA(INDEX(data!M:M, MATCH(Caseslist!B559, data!D:D, 0)), 0) = 0
    ),
    "COMPLETE",
    IF(
      IFNA(INDEX(dataICM!D:D, MATCH(Caseslist!B559, dataICM!D:D, 0)), "INC") = "INC",
      IFNA(INDEX(dataICM!D:D, MATCH(Caseslist!B559, dataICM!D:D, 0)), "INC"),
      "COMPLETE"
    )
  )</f>
        <v>COMPLETE</v>
      </c>
      <c r="G559" s="10" t="str">
        <f t="array" ref="G559">IF(IFERROR(INDEX(data!L:L,match(Caseslist!B559,data!D:D,0)),"INC")="","COMPLETE",F559)</f>
        <v>COMPLETE</v>
      </c>
      <c r="H559" s="9" t="str">
        <f t="array" ref="H559">IFERROR(INDEX(dataICM!F:F,match(Caseslist!B559,dataICM!D:D,0)), "INC")</f>
        <v>Mark Daniel Balagao Benson</v>
      </c>
      <c r="I559" s="10" t="str">
        <f t="shared" si="2"/>
        <v>P1068432</v>
      </c>
      <c r="J559" s="9" t="str">
        <f t="array" ref="J559">IF(
  AND(
    IFERROR(MATCH(B559, data!D:D, 0), 0) &gt; 0,
    IFERROR(INDEX(data!N:N, MATCH(B559, data!D:D, 0)) = 1, FALSE)
  ),
  INDEX(data!C:C, MATCH(B559, data!D:D, 0)),
  "INC"
)</f>
        <v>2025-09-24T09:50:12.085+08</v>
      </c>
      <c r="K559" s="9" t="str">
        <f t="array" ref="K559">IFERROR(INDEX(dataICM!C:C,match(Caseslist!B559,dataICM!D:D,0)), "INC")</f>
        <v>2025-09-24T10:05:25.966+08</v>
      </c>
      <c r="L559" s="10" t="str">
        <f t="array" ref="L559">IF(AND(G559="COMPLETE", OR(K559="INC", ISBLANK(INDEX(data!O:O, ROW())))), J559, K559)</f>
        <v>2025-09-24T10:05:25.966+08</v>
      </c>
      <c r="M559" s="2">
        <v>45924.0</v>
      </c>
      <c r="N559" s="2">
        <f t="array" ref="N559">IF(M559&lt;&gt;"INC", INDEX(data!M:M, MATCH(B559, data!D:D, 0)), "")</f>
        <v>1</v>
      </c>
      <c r="O559" s="2">
        <f t="shared" si="3"/>
        <v>1</v>
      </c>
    </row>
    <row r="560">
      <c r="A560" s="2" t="str">
        <f t="shared" si="1"/>
        <v>H006689</v>
      </c>
      <c r="B560" s="1" t="s">
        <v>5113</v>
      </c>
      <c r="C560" s="9" t="str">
        <f t="array" ref="C560">IF(
  AND(
    IFERROR(MATCH(Caseslist!B560, data!D:D, 0), 0) &gt; 0,
    IFERROR(INDEX(data!N:N, MATCH(Caseslist!B560, data!D:D, 0)) = 1, FALSE)
  ),
  "COMPLETE",
  "INC"
)</f>
        <v>COMPLETE</v>
      </c>
      <c r="D560" s="9" t="str">
        <f t="array" ref="D560">IFERROR(INDEX(data!$G:$G,match(Caseslist!B560,data!$D:$D,0)), "INC")</f>
        <v>N7814260</v>
      </c>
      <c r="E560" s="9" t="str">
        <f t="array" ref="E560">IFERROR(INDEX(data!H:H,match(Caseslist!B560,data!D:D,0)), "INC")</f>
        <v>Jemma Marie Tillo</v>
      </c>
      <c r="F560" s="10" t="str">
        <f t="array" ref="F560">IF(
    OR(
      IFNA(INDEX(data!M:M, MATCH(Caseslist!B560, data!D:D, 0)), "") = "",
      IFNA(INDEX(data!M:M, MATCH(Caseslist!B560, data!D:D, 0)), 0) = 0
    ),
    "COMPLETE",
    IF(
      IFNA(INDEX(dataICM!D:D, MATCH(Caseslist!B560, dataICM!D:D, 0)), "INC") = "INC",
      IFNA(INDEX(dataICM!D:D, MATCH(Caseslist!B560, dataICM!D:D, 0)), "INC"),
      "COMPLETE"
    )
  )</f>
        <v>COMPLETE</v>
      </c>
      <c r="G560" s="10" t="str">
        <f t="array" ref="G560">IF(IFERROR(INDEX(data!L:L,match(Caseslist!B560,data!D:D,0)),"INC")="","COMPLETE",F560)</f>
        <v>COMPLETE</v>
      </c>
      <c r="H560" s="9" t="str">
        <f t="array" ref="H560">IFERROR(INDEX(dataICM!F:F,match(Caseslist!B560,dataICM!D:D,0)), "INC")</f>
        <v>Jemma Marie Tillo</v>
      </c>
      <c r="I560" s="10" t="str">
        <f t="shared" si="2"/>
        <v>N7814260</v>
      </c>
      <c r="J560" s="9" t="str">
        <f t="array" ref="J560">IF(
  AND(
    IFERROR(MATCH(B560, data!D:D, 0), 0) &gt; 0,
    IFERROR(INDEX(data!N:N, MATCH(B560, data!D:D, 0)) = 1, FALSE)
  ),
  INDEX(data!C:C, MATCH(B560, data!D:D, 0)),
  "INC"
)</f>
        <v>2025-09-10T12:39:37.813+08</v>
      </c>
      <c r="K560" s="9" t="str">
        <f t="array" ref="K560">IFERROR(INDEX(dataICM!C:C,match(Caseslist!B560,dataICM!D:D,0)), "INC")</f>
        <v>2025-09-10T12:56:21.503+08</v>
      </c>
      <c r="L560" s="10" t="str">
        <f t="array" ref="L560">IF(AND(G560="COMPLETE", OR(K560="INC", ISBLANK(INDEX(data!O:O, ROW())))), J560, K560)</f>
        <v>2025-09-10T12:56:21.503+08</v>
      </c>
      <c r="M560" s="2">
        <v>45910.0</v>
      </c>
      <c r="N560" s="2">
        <f t="array" ref="N560">IF(M560&lt;&gt;"INC", INDEX(data!M:M, MATCH(B560, data!D:D, 0)), "")</f>
        <v>1</v>
      </c>
      <c r="O560" s="2">
        <f t="shared" si="3"/>
        <v>1</v>
      </c>
    </row>
    <row r="561">
      <c r="A561" s="2" t="str">
        <f t="shared" si="1"/>
        <v>H006689</v>
      </c>
      <c r="B561" s="1" t="s">
        <v>5118</v>
      </c>
      <c r="C561" s="9" t="str">
        <f t="array" ref="C561">IF(
  AND(
    IFERROR(MATCH(Caseslist!B561, data!D:D, 0), 0) &gt; 0,
    IFERROR(INDEX(data!N:N, MATCH(Caseslist!B561, data!D:D, 0)) = 1, FALSE)
  ),
  "COMPLETE",
  "INC"
)</f>
        <v>COMPLETE</v>
      </c>
      <c r="D561" s="9" t="str">
        <f t="array" ref="D561">IFERROR(INDEX(data!$G:$G,match(Caseslist!B561,data!$D:$D,0)), "INC")</f>
        <v>N7814260</v>
      </c>
      <c r="E561" s="9" t="str">
        <f t="array" ref="E561">IFERROR(INDEX(data!H:H,match(Caseslist!B561,data!D:D,0)), "INC")</f>
        <v>Jemma Marie Tillo</v>
      </c>
      <c r="F561" s="10" t="str">
        <f t="array" ref="F561">IF(
    OR(
      IFNA(INDEX(data!M:M, MATCH(Caseslist!B561, data!D:D, 0)), "") = "",
      IFNA(INDEX(data!M:M, MATCH(Caseslist!B561, data!D:D, 0)), 0) = 0
    ),
    "COMPLETE",
    IF(
      IFNA(INDEX(dataICM!D:D, MATCH(Caseslist!B561, dataICM!D:D, 0)), "INC") = "INC",
      IFNA(INDEX(dataICM!D:D, MATCH(Caseslist!B561, dataICM!D:D, 0)), "INC"),
      "COMPLETE"
    )
  )</f>
        <v>COMPLETE</v>
      </c>
      <c r="G561" s="10" t="str">
        <f t="array" ref="G561">IF(IFERROR(INDEX(data!L:L,match(Caseslist!B561,data!D:D,0)),"INC")="","COMPLETE",F561)</f>
        <v>COMPLETE</v>
      </c>
      <c r="H561" s="9" t="str">
        <f t="array" ref="H561">IFERROR(INDEX(dataICM!F:F,match(Caseslist!B561,dataICM!D:D,0)), "INC")</f>
        <v>Jemma Marie Tillo</v>
      </c>
      <c r="I561" s="10" t="str">
        <f t="shared" si="2"/>
        <v>N7814260</v>
      </c>
      <c r="J561" s="9" t="str">
        <f t="array" ref="J561">IF(
  AND(
    IFERROR(MATCH(B561, data!D:D, 0), 0) &gt; 0,
    IFERROR(INDEX(data!N:N, MATCH(B561, data!D:D, 0)) = 1, FALSE)
  ),
  INDEX(data!C:C, MATCH(B561, data!D:D, 0)),
  "INC"
)</f>
        <v>2025-09-10T14:56:01.895+08</v>
      </c>
      <c r="K561" s="9" t="str">
        <f t="array" ref="K561">IFERROR(INDEX(dataICM!C:C,match(Caseslist!B561,dataICM!D:D,0)), "INC")</f>
        <v>2025-09-10T16:27:02.393+08</v>
      </c>
      <c r="L561" s="10" t="str">
        <f t="array" ref="L561">IF(AND(G561="COMPLETE", OR(K561="INC", ISBLANK(INDEX(data!O:O, ROW())))), J561, K561)</f>
        <v>2025-09-10T16:27:02.393+08</v>
      </c>
      <c r="M561" s="2">
        <v>45910.0</v>
      </c>
      <c r="N561" s="2">
        <f t="array" ref="N561">IF(M561&lt;&gt;"INC", INDEX(data!M:M, MATCH(B561, data!D:D, 0)), "")</f>
        <v>1</v>
      </c>
      <c r="O561" s="2">
        <f t="shared" si="3"/>
        <v>1</v>
      </c>
    </row>
    <row r="562">
      <c r="A562" s="2" t="str">
        <f t="shared" si="1"/>
        <v>H006689</v>
      </c>
      <c r="B562" s="1" t="s">
        <v>8403</v>
      </c>
      <c r="C562" s="9" t="str">
        <f t="array" ref="C562">IF(
  AND(
    IFERROR(MATCH(Caseslist!B562, data!D:D, 0), 0) &gt; 0,
    IFERROR(INDEX(data!N:N, MATCH(Caseslist!B562, data!D:D, 0)) = 1, FALSE)
  ),
  "COMPLETE",
  "INC"
)</f>
        <v>COMPLETE</v>
      </c>
      <c r="D562" s="9" t="str">
        <f t="array" ref="D562">IFERROR(INDEX(data!$G:$G,match(Caseslist!B562,data!$D:$D,0)), "INC")</f>
        <v>P1068432</v>
      </c>
      <c r="E562" s="9" t="str">
        <f t="array" ref="E562">IFERROR(INDEX(data!H:H,match(Caseslist!B562,data!D:D,0)), "INC")</f>
        <v>Mark Daniel Balagao Benson</v>
      </c>
      <c r="F562" s="10" t="str">
        <f t="array" ref="F562">IF(
    OR(
      IFNA(INDEX(data!M:M, MATCH(Caseslist!B562, data!D:D, 0)), "") = "",
      IFNA(INDEX(data!M:M, MATCH(Caseslist!B562, data!D:D, 0)), 0) = 0
    ),
    "COMPLETE",
    IF(
      IFNA(INDEX(dataICM!D:D, MATCH(Caseslist!B562, dataICM!D:D, 0)), "INC") = "INC",
      IFNA(INDEX(dataICM!D:D, MATCH(Caseslist!B562, dataICM!D:D, 0)), "INC"),
      "COMPLETE"
    )
  )</f>
        <v>COMPLETE</v>
      </c>
      <c r="G562" s="10" t="str">
        <f t="array" ref="G562">IF(IFERROR(INDEX(data!L:L,match(Caseslist!B562,data!D:D,0)),"INC")="","COMPLETE",F562)</f>
        <v>COMPLETE</v>
      </c>
      <c r="H562" s="9" t="str">
        <f t="array" ref="H562">IFERROR(INDEX(dataICM!F:F,match(Caseslist!B562,dataICM!D:D,0)), "INC")</f>
        <v>Mark Daniel Balagao Benson</v>
      </c>
      <c r="I562" s="10" t="str">
        <f t="shared" si="2"/>
        <v>P1068432</v>
      </c>
      <c r="J562" s="9" t="str">
        <f t="array" ref="J562">IF(
  AND(
    IFERROR(MATCH(B562, data!D:D, 0), 0) &gt; 0,
    IFERROR(INDEX(data!N:N, MATCH(B562, data!D:D, 0)) = 1, FALSE)
  ),
  INDEX(data!C:C, MATCH(B562, data!D:D, 0)),
  "INC"
)</f>
        <v>2025-09-24T11:50:29.068+08</v>
      </c>
      <c r="K562" s="9" t="str">
        <f t="array" ref="K562">IFERROR(INDEX(dataICM!C:C,match(Caseslist!B562,dataICM!D:D,0)), "INC")</f>
        <v>2025-09-24T12:42:56.859+08</v>
      </c>
      <c r="L562" s="10" t="str">
        <f t="array" ref="L562">IF(AND(G562="COMPLETE", OR(K562="INC", ISBLANK(INDEX(data!O:O, ROW())))), J562, K562)</f>
        <v>2025-09-24T12:42:56.859+08</v>
      </c>
      <c r="M562" s="2">
        <v>45924.0</v>
      </c>
      <c r="N562" s="2">
        <f t="array" ref="N562">IF(M562&lt;&gt;"INC", INDEX(data!M:M, MATCH(B562, data!D:D, 0)), "")</f>
        <v>1</v>
      </c>
      <c r="O562" s="2">
        <f t="shared" si="3"/>
        <v>1</v>
      </c>
    </row>
    <row r="563">
      <c r="A563" s="2" t="str">
        <f t="shared" si="1"/>
        <v>H006689</v>
      </c>
      <c r="B563" s="1" t="s">
        <v>8388</v>
      </c>
      <c r="C563" s="9" t="str">
        <f t="array" ref="C563">IF(
  AND(
    IFERROR(MATCH(Caseslist!B563, data!D:D, 0), 0) &gt; 0,
    IFERROR(INDEX(data!N:N, MATCH(Caseslist!B563, data!D:D, 0)) = 1, FALSE)
  ),
  "COMPLETE",
  "INC"
)</f>
        <v>COMPLETE</v>
      </c>
      <c r="D563" s="9" t="str">
        <f t="array" ref="D563">IFERROR(INDEX(data!$G:$G,match(Caseslist!B563,data!$D:$D,0)), "INC")</f>
        <v>N7814260</v>
      </c>
      <c r="E563" s="9" t="str">
        <f t="array" ref="E563">IFERROR(INDEX(data!H:H,match(Caseslist!B563,data!D:D,0)), "INC")</f>
        <v>Jemma Marie Tillo</v>
      </c>
      <c r="F563" s="10" t="str">
        <f t="array" ref="F563">IF(
    OR(
      IFNA(INDEX(data!M:M, MATCH(Caseslist!B563, data!D:D, 0)), "") = "",
      IFNA(INDEX(data!M:M, MATCH(Caseslist!B563, data!D:D, 0)), 0) = 0
    ),
    "COMPLETE",
    IF(
      IFNA(INDEX(dataICM!D:D, MATCH(Caseslist!B563, dataICM!D:D, 0)), "INC") = "INC",
      IFNA(INDEX(dataICM!D:D, MATCH(Caseslist!B563, dataICM!D:D, 0)), "INC"),
      "COMPLETE"
    )
  )</f>
        <v>COMPLETE</v>
      </c>
      <c r="G563" s="10" t="str">
        <f t="array" ref="G563">IF(IFERROR(INDEX(data!L:L,match(Caseslist!B563,data!D:D,0)),"INC")="","COMPLETE",F563)</f>
        <v>COMPLETE</v>
      </c>
      <c r="H563" s="9" t="str">
        <f t="array" ref="H563">IFERROR(INDEX(dataICM!F:F,match(Caseslist!B563,dataICM!D:D,0)), "INC")</f>
        <v>Jemma Marie Tillo</v>
      </c>
      <c r="I563" s="10" t="str">
        <f t="shared" si="2"/>
        <v>N7814260</v>
      </c>
      <c r="J563" s="9" t="str">
        <f t="array" ref="J563">IF(
  AND(
    IFERROR(MATCH(B563, data!D:D, 0), 0) &gt; 0,
    IFERROR(INDEX(data!N:N, MATCH(B563, data!D:D, 0)) = 1, FALSE)
  ),
  INDEX(data!C:C, MATCH(B563, data!D:D, 0)),
  "INC"
)</f>
        <v>2025-09-24T11:45:01.570+08</v>
      </c>
      <c r="K563" s="9" t="str">
        <f t="array" ref="K563">IFERROR(INDEX(dataICM!C:C,match(Caseslist!B563,dataICM!D:D,0)), "INC")</f>
        <v>2025-09-24T11:59:08.172+08</v>
      </c>
      <c r="L563" s="10" t="str">
        <f t="array" ref="L563">IF(AND(G563="COMPLETE", OR(K563="INC", ISBLANK(INDEX(data!O:O, ROW())))), J563, K563)</f>
        <v>2025-09-24T11:59:08.172+08</v>
      </c>
      <c r="M563" s="2">
        <v>45924.0</v>
      </c>
      <c r="N563" s="2">
        <f t="array" ref="N563">IF(M563&lt;&gt;"INC", INDEX(data!M:M, MATCH(B563, data!D:D, 0)), "")</f>
        <v>1</v>
      </c>
      <c r="O563" s="2">
        <f t="shared" si="3"/>
        <v>1</v>
      </c>
    </row>
    <row r="564">
      <c r="A564" s="2" t="str">
        <f t="shared" si="1"/>
        <v>H006689</v>
      </c>
      <c r="B564" s="1" t="s">
        <v>5198</v>
      </c>
      <c r="C564" s="9" t="str">
        <f t="array" ref="C564">IF(
  AND(
    IFERROR(MATCH(Caseslist!B564, data!D:D, 0), 0) &gt; 0,
    IFERROR(INDEX(data!N:N, MATCH(Caseslist!B564, data!D:D, 0)) = 1, FALSE)
  ),
  "COMPLETE",
  "INC"
)</f>
        <v>COMPLETE</v>
      </c>
      <c r="D564" s="9" t="str">
        <f t="array" ref="D564">IFERROR(INDEX(data!$G:$G,match(Caseslist!B564,data!$D:$D,0)), "INC")</f>
        <v>P1068432</v>
      </c>
      <c r="E564" s="9" t="str">
        <f t="array" ref="E564">IFERROR(INDEX(data!H:H,match(Caseslist!B564,data!D:D,0)), "INC")</f>
        <v>Mark Daniel Balagao Benson</v>
      </c>
      <c r="F564" s="10" t="str">
        <f t="array" ref="F564">IF(
    OR(
      IFNA(INDEX(data!M:M, MATCH(Caseslist!B564, data!D:D, 0)), "") = "",
      IFNA(INDEX(data!M:M, MATCH(Caseslist!B564, data!D:D, 0)), 0) = 0
    ),
    "COMPLETE",
    IF(
      IFNA(INDEX(dataICM!D:D, MATCH(Caseslist!B564, dataICM!D:D, 0)), "INC") = "INC",
      IFNA(INDEX(dataICM!D:D, MATCH(Caseslist!B564, dataICM!D:D, 0)), "INC"),
      "COMPLETE"
    )
  )</f>
        <v>COMPLETE</v>
      </c>
      <c r="G564" s="10" t="str">
        <f t="array" ref="G564">IF(IFERROR(INDEX(data!L:L,match(Caseslist!B564,data!D:D,0)),"INC")="","COMPLETE",F564)</f>
        <v>COMPLETE</v>
      </c>
      <c r="H564" s="9" t="str">
        <f t="array" ref="H564">IFERROR(INDEX(dataICM!F:F,match(Caseslist!B564,dataICM!D:D,0)), "INC")</f>
        <v>Mark Daniel Balagao Benson</v>
      </c>
      <c r="I564" s="10" t="str">
        <f t="shared" si="2"/>
        <v>P1068432</v>
      </c>
      <c r="J564" s="9" t="str">
        <f t="array" ref="J564">IF(
  AND(
    IFERROR(MATCH(B564, data!D:D, 0), 0) &gt; 0,
    IFERROR(INDEX(data!N:N, MATCH(B564, data!D:D, 0)) = 1, FALSE)
  ),
  INDEX(data!C:C, MATCH(B564, data!D:D, 0)),
  "INC"
)</f>
        <v>2025-09-10T15:09:35.877+08</v>
      </c>
      <c r="K564" s="9" t="str">
        <f t="array" ref="K564">IFERROR(INDEX(dataICM!C:C,match(Caseslist!B564,dataICM!D:D,0)), "INC")</f>
        <v>2025-09-10T15:47:13.985+08</v>
      </c>
      <c r="L564" s="10" t="str">
        <f t="array" ref="L564">IF(AND(G564="COMPLETE", OR(K564="INC", ISBLANK(INDEX(data!O:O, ROW())))), J564, K564)</f>
        <v>2025-09-10T15:47:13.985+08</v>
      </c>
      <c r="M564" s="2">
        <v>45910.0</v>
      </c>
      <c r="N564" s="2">
        <f t="array" ref="N564">IF(M564&lt;&gt;"INC", INDEX(data!M:M, MATCH(B564, data!D:D, 0)), "")</f>
        <v>1</v>
      </c>
      <c r="O564" s="2">
        <f t="shared" si="3"/>
        <v>1</v>
      </c>
    </row>
    <row r="565">
      <c r="A565" s="2" t="str">
        <f t="shared" si="1"/>
        <v>H006689</v>
      </c>
      <c r="B565" s="1" t="s">
        <v>8914</v>
      </c>
      <c r="C565" s="9" t="str">
        <f t="array" ref="C565">IF(
  AND(
    IFERROR(MATCH(Caseslist!B565, data!D:D, 0), 0) &gt; 0,
    IFERROR(INDEX(data!N:N, MATCH(Caseslist!B565, data!D:D, 0)) = 1, FALSE)
  ),
  "COMPLETE",
  "INC"
)</f>
        <v>INC</v>
      </c>
      <c r="D565" s="9" t="str">
        <f t="array" ref="D565">IFERROR(INDEX(data!$G:$G,match(Caseslist!B565,data!$D:$D,0)), "INC")</f>
        <v>INC</v>
      </c>
      <c r="E565" s="9" t="str">
        <f t="array" ref="E565">IFERROR(INDEX(data!H:H,match(Caseslist!B565,data!D:D,0)), "INC")</f>
        <v>INC</v>
      </c>
      <c r="F565" s="10" t="str">
        <f t="array" ref="F565">IF(
    OR(
      IFNA(INDEX(data!M:M, MATCH(Caseslist!B565, data!D:D, 0)), "") = "",
      IFNA(INDEX(data!M:M, MATCH(Caseslist!B565, data!D:D, 0)), 0) = 0
    ),
    "COMPLETE",
    IF(
      IFNA(INDEX(dataICM!D:D, MATCH(Caseslist!B565, dataICM!D:D, 0)), "INC") = "INC",
      IFNA(INDEX(dataICM!D:D, MATCH(Caseslist!B565, dataICM!D:D, 0)), "INC"),
      "COMPLETE"
    )
  )</f>
        <v>COMPLETE</v>
      </c>
      <c r="G565" s="10" t="str">
        <f t="array" ref="G565">IF(IFERROR(INDEX(data!L:L,match(Caseslist!B565,data!D:D,0)),"INC")="","COMPLETE",F565)</f>
        <v>COMPLETE</v>
      </c>
      <c r="H565" s="9" t="str">
        <f t="array" ref="H565">IFERROR(INDEX(dataICM!F:F,match(Caseslist!B565,dataICM!D:D,0)), "INC")</f>
        <v>INC</v>
      </c>
      <c r="I565" s="10" t="str">
        <f t="shared" si="2"/>
        <v>INC</v>
      </c>
      <c r="J565" s="9" t="str">
        <f t="array" ref="J565">IF(
  AND(
    IFERROR(MATCH(B565, data!D:D, 0), 0) &gt; 0,
    IFERROR(INDEX(data!N:N, MATCH(B565, data!D:D, 0)) = 1, FALSE)
  ),
  INDEX(data!C:C, MATCH(B565, data!D:D, 0)),
  "INC"
)</f>
        <v>INC</v>
      </c>
      <c r="K565" s="9" t="str">
        <f t="array" ref="K565">IFERROR(INDEX(dataICM!C:C,match(Caseslist!B565,dataICM!D:D,0)), "INC")</f>
        <v>INC</v>
      </c>
      <c r="L565" s="10" t="str">
        <f t="array" ref="L565">IF(AND(G565="COMPLETE", OR(K565="INC", ISBLANK(INDEX(data!O:O, ROW())))), J565, K565)</f>
        <v>INC</v>
      </c>
      <c r="M565" s="2" t="s">
        <v>8886</v>
      </c>
      <c r="N565" s="2" t="str">
        <f t="array" ref="N565">IF(M565&lt;&gt;"INC", INDEX(data!M:M, MATCH(B565, data!D:D, 0)), "")</f>
        <v/>
      </c>
      <c r="O565" s="2" t="str">
        <f t="shared" si="3"/>
        <v/>
      </c>
    </row>
    <row r="566">
      <c r="A566" s="2" t="str">
        <f t="shared" si="1"/>
        <v>H006706</v>
      </c>
      <c r="B566" s="1" t="s">
        <v>6403</v>
      </c>
      <c r="C566" s="9" t="str">
        <f t="array" ref="C566">IF(
  AND(
    IFERROR(MATCH(Caseslist!B566, data!D:D, 0), 0) &gt; 0,
    IFERROR(INDEX(data!N:N, MATCH(Caseslist!B566, data!D:D, 0)) = 1, FALSE)
  ),
  "COMPLETE",
  "INC"
)</f>
        <v>COMPLETE</v>
      </c>
      <c r="D566" s="9" t="str">
        <f t="array" ref="D566">IFERROR(INDEX(data!$G:$G,match(Caseslist!B566,data!$D:$D,0)), "INC")</f>
        <v>O3925718</v>
      </c>
      <c r="E566" s="9" t="str">
        <f t="array" ref="E566">IFERROR(INDEX(data!H:H,match(Caseslist!B566,data!D:D,0)), "INC")</f>
        <v>Adrian Montecastro Ferrer</v>
      </c>
      <c r="F566" s="10" t="str">
        <f t="array" ref="F566">IF(
    OR(
      IFNA(INDEX(data!M:M, MATCH(Caseslist!B566, data!D:D, 0)), "") = "",
      IFNA(INDEX(data!M:M, MATCH(Caseslist!B566, data!D:D, 0)), 0) = 0
    ),
    "COMPLETE",
    IF(
      IFNA(INDEX(dataICM!D:D, MATCH(Caseslist!B566, dataICM!D:D, 0)), "INC") = "INC",
      IFNA(INDEX(dataICM!D:D, MATCH(Caseslist!B566, dataICM!D:D, 0)), "INC"),
      "COMPLETE"
    )
  )</f>
        <v>COMPLETE</v>
      </c>
      <c r="G566" s="10" t="str">
        <f t="array" ref="G566">IF(IFERROR(INDEX(data!L:L,match(Caseslist!B566,data!D:D,0)),"INC")="","COMPLETE",F566)</f>
        <v>COMPLETE</v>
      </c>
      <c r="H566" s="9" t="str">
        <f t="array" ref="H566">IFERROR(INDEX(dataICM!F:F,match(Caseslist!B566,dataICM!D:D,0)), "INC")</f>
        <v>INC</v>
      </c>
      <c r="I566" s="10" t="str">
        <f t="shared" si="2"/>
        <v>O3925718</v>
      </c>
      <c r="J566" s="9" t="str">
        <f t="array" ref="J566">IF(
  AND(
    IFERROR(MATCH(B566, data!D:D, 0), 0) &gt; 0,
    IFERROR(INDEX(data!N:N, MATCH(B566, data!D:D, 0)) = 1, FALSE)
  ),
  INDEX(data!C:C, MATCH(B566, data!D:D, 0)),
  "INC"
)</f>
        <v>2025-09-15T11:01:55.143+08</v>
      </c>
      <c r="K566" s="9" t="str">
        <f t="array" ref="K566">IFERROR(INDEX(dataICM!C:C,match(Caseslist!B566,dataICM!D:D,0)), "INC")</f>
        <v>INC</v>
      </c>
      <c r="L566" s="10" t="str">
        <f t="array" ref="L566">IF(AND(G566="COMPLETE", OR(K566="INC", ISBLANK(INDEX(data!O:O, ROW())))), J566, K566)</f>
        <v>2025-09-15T11:01:55.143+08</v>
      </c>
      <c r="M566" s="2">
        <v>45915.0</v>
      </c>
      <c r="N566" s="2">
        <f t="array" ref="N566">IF(M566&lt;&gt;"INC", INDEX(data!M:M, MATCH(B566, data!D:D, 0)), "")</f>
        <v>0</v>
      </c>
      <c r="O566" s="2">
        <f t="shared" si="3"/>
        <v>0</v>
      </c>
    </row>
    <row r="567">
      <c r="A567" s="2" t="str">
        <f t="shared" si="1"/>
        <v>H006706</v>
      </c>
      <c r="B567" s="1" t="s">
        <v>6458</v>
      </c>
      <c r="C567" s="9" t="str">
        <f t="array" ref="C567">IF(
  AND(
    IFERROR(MATCH(Caseslist!B567, data!D:D, 0), 0) &gt; 0,
    IFERROR(INDEX(data!N:N, MATCH(Caseslist!B567, data!D:D, 0)) = 1, FALSE)
  ),
  "COMPLETE",
  "INC"
)</f>
        <v>COMPLETE</v>
      </c>
      <c r="D567" s="9" t="str">
        <f t="array" ref="D567">IFERROR(INDEX(data!$G:$G,match(Caseslist!B567,data!$D:$D,0)), "INC")</f>
        <v>P1068432</v>
      </c>
      <c r="E567" s="9" t="str">
        <f t="array" ref="E567">IFERROR(INDEX(data!H:H,match(Caseslist!B567,data!D:D,0)), "INC")</f>
        <v>Mark Daniel Balagao Benson</v>
      </c>
      <c r="F567" s="10" t="str">
        <f t="array" ref="F567">IF(
    OR(
      IFNA(INDEX(data!M:M, MATCH(Caseslist!B567, data!D:D, 0)), "") = "",
      IFNA(INDEX(data!M:M, MATCH(Caseslist!B567, data!D:D, 0)), 0) = 0
    ),
    "COMPLETE",
    IF(
      IFNA(INDEX(dataICM!D:D, MATCH(Caseslist!B567, dataICM!D:D, 0)), "INC") = "INC",
      IFNA(INDEX(dataICM!D:D, MATCH(Caseslist!B567, dataICM!D:D, 0)), "INC"),
      "COMPLETE"
    )
  )</f>
        <v>COMPLETE</v>
      </c>
      <c r="G567" s="10" t="str">
        <f t="array" ref="G567">IF(IFERROR(INDEX(data!L:L,match(Caseslist!B567,data!D:D,0)),"INC")="","COMPLETE",F567)</f>
        <v>COMPLETE</v>
      </c>
      <c r="H567" s="9" t="str">
        <f t="array" ref="H567">IFERROR(INDEX(dataICM!F:F,match(Caseslist!B567,dataICM!D:D,0)), "INC")</f>
        <v>INC</v>
      </c>
      <c r="I567" s="10" t="str">
        <f t="shared" si="2"/>
        <v>P1068432</v>
      </c>
      <c r="J567" s="9" t="str">
        <f t="array" ref="J567">IF(
  AND(
    IFERROR(MATCH(B567, data!D:D, 0), 0) &gt; 0,
    IFERROR(INDEX(data!N:N, MATCH(B567, data!D:D, 0)) = 1, FALSE)
  ),
  INDEX(data!C:C, MATCH(B567, data!D:D, 0)),
  "INC"
)</f>
        <v>2025-09-15T09:51:18.778+08</v>
      </c>
      <c r="K567" s="9" t="str">
        <f t="array" ref="K567">IFERROR(INDEX(dataICM!C:C,match(Caseslist!B567,dataICM!D:D,0)), "INC")</f>
        <v>INC</v>
      </c>
      <c r="L567" s="10" t="str">
        <f t="array" ref="L567">IF(AND(G567="COMPLETE", OR(K567="INC", ISBLANK(INDEX(data!O:O, ROW())))), J567, K567)</f>
        <v>2025-09-15T09:51:18.778+08</v>
      </c>
      <c r="M567" s="2">
        <v>45915.0</v>
      </c>
      <c r="N567" s="2">
        <f t="array" ref="N567">IF(M567&lt;&gt;"INC", INDEX(data!M:M, MATCH(B567, data!D:D, 0)), "")</f>
        <v>0</v>
      </c>
      <c r="O567" s="2">
        <f t="shared" si="3"/>
        <v>0</v>
      </c>
    </row>
    <row r="568">
      <c r="A568" s="2" t="str">
        <f t="shared" si="1"/>
        <v>H006706</v>
      </c>
      <c r="B568" s="1" t="s">
        <v>6433</v>
      </c>
      <c r="C568" s="9" t="str">
        <f t="array" ref="C568">IF(
  AND(
    IFERROR(MATCH(Caseslist!B568, data!D:D, 0), 0) &gt; 0,
    IFERROR(INDEX(data!N:N, MATCH(Caseslist!B568, data!D:D, 0)) = 1, FALSE)
  ),
  "COMPLETE",
  "INC"
)</f>
        <v>COMPLETE</v>
      </c>
      <c r="D568" s="9" t="str">
        <f t="array" ref="D568">IFERROR(INDEX(data!$G:$G,match(Caseslist!B568,data!$D:$D,0)), "INC")</f>
        <v>N7814260</v>
      </c>
      <c r="E568" s="9" t="str">
        <f t="array" ref="E568">IFERROR(INDEX(data!H:H,match(Caseslist!B568,data!D:D,0)), "INC")</f>
        <v>Jemma Marie Tillo</v>
      </c>
      <c r="F568" s="10" t="str">
        <f t="array" ref="F568">IF(
    OR(
      IFNA(INDEX(data!M:M, MATCH(Caseslist!B568, data!D:D, 0)), "") = "",
      IFNA(INDEX(data!M:M, MATCH(Caseslist!B568, data!D:D, 0)), 0) = 0
    ),
    "COMPLETE",
    IF(
      IFNA(INDEX(dataICM!D:D, MATCH(Caseslist!B568, dataICM!D:D, 0)), "INC") = "INC",
      IFNA(INDEX(dataICM!D:D, MATCH(Caseslist!B568, dataICM!D:D, 0)), "INC"),
      "COMPLETE"
    )
  )</f>
        <v>COMPLETE</v>
      </c>
      <c r="G568" s="10" t="str">
        <f t="array" ref="G568">IF(IFERROR(INDEX(data!L:L,match(Caseslist!B568,data!D:D,0)),"INC")="","COMPLETE",F568)</f>
        <v>COMPLETE</v>
      </c>
      <c r="H568" s="9" t="str">
        <f t="array" ref="H568">IFERROR(INDEX(dataICM!F:F,match(Caseslist!B568,dataICM!D:D,0)), "INC")</f>
        <v>INC</v>
      </c>
      <c r="I568" s="10" t="str">
        <f t="shared" si="2"/>
        <v>N7814260</v>
      </c>
      <c r="J568" s="9" t="str">
        <f t="array" ref="J568">IF(
  AND(
    IFERROR(MATCH(B568, data!D:D, 0), 0) &gt; 0,
    IFERROR(INDEX(data!N:N, MATCH(B568, data!D:D, 0)) = 1, FALSE)
  ),
  INDEX(data!C:C, MATCH(B568, data!D:D, 0)),
  "INC"
)</f>
        <v>2025-09-15T12:01:14.946+08</v>
      </c>
      <c r="K568" s="9" t="str">
        <f t="array" ref="K568">IFERROR(INDEX(dataICM!C:C,match(Caseslist!B568,dataICM!D:D,0)), "INC")</f>
        <v>INC</v>
      </c>
      <c r="L568" s="10" t="str">
        <f t="array" ref="L568">IF(AND(G568="COMPLETE", OR(K568="INC", ISBLANK(INDEX(data!O:O, ROW())))), J568, K568)</f>
        <v>2025-09-15T12:01:14.946+08</v>
      </c>
      <c r="M568" s="2">
        <v>45915.0</v>
      </c>
      <c r="N568" s="2">
        <f t="array" ref="N568">IF(M568&lt;&gt;"INC", INDEX(data!M:M, MATCH(B568, data!D:D, 0)), "")</f>
        <v>0</v>
      </c>
      <c r="O568" s="2">
        <f t="shared" si="3"/>
        <v>0</v>
      </c>
    </row>
    <row r="569">
      <c r="A569" s="2" t="str">
        <f t="shared" si="1"/>
        <v>H006706</v>
      </c>
      <c r="B569" s="1" t="s">
        <v>6433</v>
      </c>
      <c r="C569" s="9" t="str">
        <f t="array" ref="C569">IF(
  AND(
    IFERROR(MATCH(Caseslist!B569, data!D:D, 0), 0) &gt; 0,
    IFERROR(INDEX(data!N:N, MATCH(Caseslist!B569, data!D:D, 0)) = 1, FALSE)
  ),
  "COMPLETE",
  "INC"
)</f>
        <v>COMPLETE</v>
      </c>
      <c r="D569" s="9" t="str">
        <f t="array" ref="D569">IFERROR(INDEX(data!$G:$G,match(Caseslist!B569,data!$D:$D,0)), "INC")</f>
        <v>N7814260</v>
      </c>
      <c r="E569" s="9" t="str">
        <f t="array" ref="E569">IFERROR(INDEX(data!H:H,match(Caseslist!B569,data!D:D,0)), "INC")</f>
        <v>Jemma Marie Tillo</v>
      </c>
      <c r="F569" s="10" t="str">
        <f t="array" ref="F569">IF(
    OR(
      IFNA(INDEX(data!M:M, MATCH(Caseslist!B569, data!D:D, 0)), "") = "",
      IFNA(INDEX(data!M:M, MATCH(Caseslist!B569, data!D:D, 0)), 0) = 0
    ),
    "COMPLETE",
    IF(
      IFNA(INDEX(dataICM!D:D, MATCH(Caseslist!B569, dataICM!D:D, 0)), "INC") = "INC",
      IFNA(INDEX(dataICM!D:D, MATCH(Caseslist!B569, dataICM!D:D, 0)), "INC"),
      "COMPLETE"
    )
  )</f>
        <v>COMPLETE</v>
      </c>
      <c r="G569" s="10" t="str">
        <f t="array" ref="G569">IF(IFERROR(INDEX(data!L:L,match(Caseslist!B569,data!D:D,0)),"INC")="","COMPLETE",F569)</f>
        <v>COMPLETE</v>
      </c>
      <c r="H569" s="9" t="str">
        <f t="array" ref="H569">IFERROR(INDEX(dataICM!F:F,match(Caseslist!B569,dataICM!D:D,0)), "INC")</f>
        <v>INC</v>
      </c>
      <c r="I569" s="10" t="str">
        <f t="shared" si="2"/>
        <v>N7814260</v>
      </c>
      <c r="J569" s="9" t="str">
        <f t="array" ref="J569">IF(
  AND(
    IFERROR(MATCH(B569, data!D:D, 0), 0) &gt; 0,
    IFERROR(INDEX(data!N:N, MATCH(B569, data!D:D, 0)) = 1, FALSE)
  ),
  INDEX(data!C:C, MATCH(B569, data!D:D, 0)),
  "INC"
)</f>
        <v>2025-09-15T12:01:14.946+08</v>
      </c>
      <c r="K569" s="9" t="str">
        <f t="array" ref="K569">IFERROR(INDEX(dataICM!C:C,match(Caseslist!B569,dataICM!D:D,0)), "INC")</f>
        <v>INC</v>
      </c>
      <c r="L569" s="10" t="str">
        <f t="array" ref="L569">IF(AND(G569="COMPLETE", OR(K569="INC", ISBLANK(INDEX(data!O:O, ROW())))), J569, K569)</f>
        <v>2025-09-15T12:01:14.946+08</v>
      </c>
      <c r="M569" s="2">
        <v>45915.0</v>
      </c>
      <c r="N569" s="2">
        <f t="array" ref="N569">IF(M569&lt;&gt;"INC", INDEX(data!M:M, MATCH(B569, data!D:D, 0)), "")</f>
        <v>0</v>
      </c>
      <c r="O569" s="2">
        <f t="shared" si="3"/>
        <v>0</v>
      </c>
    </row>
    <row r="570">
      <c r="A570" s="2" t="str">
        <f t="shared" si="1"/>
        <v>H006706</v>
      </c>
      <c r="B570" s="1" t="s">
        <v>6393</v>
      </c>
      <c r="C570" s="9" t="str">
        <f t="array" ref="C570">IF(
  AND(
    IFERROR(MATCH(Caseslist!B570, data!D:D, 0), 0) &gt; 0,
    IFERROR(INDEX(data!N:N, MATCH(Caseslist!B570, data!D:D, 0)) = 1, FALSE)
  ),
  "COMPLETE",
  "INC"
)</f>
        <v>COMPLETE</v>
      </c>
      <c r="D570" s="9" t="str">
        <f t="array" ref="D570">IFERROR(INDEX(data!$G:$G,match(Caseslist!B570,data!$D:$D,0)), "INC")</f>
        <v>O3925718</v>
      </c>
      <c r="E570" s="9" t="str">
        <f t="array" ref="E570">IFERROR(INDEX(data!H:H,match(Caseslist!B570,data!D:D,0)), "INC")</f>
        <v>Adrian Montecastro Ferrer</v>
      </c>
      <c r="F570" s="10" t="str">
        <f t="array" ref="F570">IF(
    OR(
      IFNA(INDEX(data!M:M, MATCH(Caseslist!B570, data!D:D, 0)), "") = "",
      IFNA(INDEX(data!M:M, MATCH(Caseslist!B570, data!D:D, 0)), 0) = 0
    ),
    "COMPLETE",
    IF(
      IFNA(INDEX(dataICM!D:D, MATCH(Caseslist!B570, dataICM!D:D, 0)), "INC") = "INC",
      IFNA(INDEX(dataICM!D:D, MATCH(Caseslist!B570, dataICM!D:D, 0)), "INC"),
      "COMPLETE"
    )
  )</f>
        <v>COMPLETE</v>
      </c>
      <c r="G570" s="10" t="str">
        <f t="array" ref="G570">IF(IFERROR(INDEX(data!L:L,match(Caseslist!B570,data!D:D,0)),"INC")="","COMPLETE",F570)</f>
        <v>COMPLETE</v>
      </c>
      <c r="H570" s="9" t="str">
        <f t="array" ref="H570">IFERROR(INDEX(dataICM!F:F,match(Caseslist!B570,dataICM!D:D,0)), "INC")</f>
        <v>INC</v>
      </c>
      <c r="I570" s="10" t="str">
        <f t="shared" si="2"/>
        <v>O3925718</v>
      </c>
      <c r="J570" s="9" t="str">
        <f t="array" ref="J570">IF(
  AND(
    IFERROR(MATCH(B570, data!D:D, 0), 0) &gt; 0,
    IFERROR(INDEX(data!N:N, MATCH(B570, data!D:D, 0)) = 1, FALSE)
  ),
  INDEX(data!C:C, MATCH(B570, data!D:D, 0)),
  "INC"
)</f>
        <v>2025-09-17T11:03:26.636+08</v>
      </c>
      <c r="K570" s="9" t="str">
        <f t="array" ref="K570">IFERROR(INDEX(dataICM!C:C,match(Caseslist!B570,dataICM!D:D,0)), "INC")</f>
        <v>INC</v>
      </c>
      <c r="L570" s="10" t="str">
        <f t="array" ref="L570">IF(AND(G570="COMPLETE", OR(K570="INC", ISBLANK(INDEX(data!O:O, ROW())))), J570, K570)</f>
        <v>2025-09-17T11:03:26.636+08</v>
      </c>
      <c r="M570" s="2">
        <v>45917.0</v>
      </c>
      <c r="N570" s="2">
        <f t="array" ref="N570">IF(M570&lt;&gt;"INC", INDEX(data!M:M, MATCH(B570, data!D:D, 0)), "")</f>
        <v>0</v>
      </c>
      <c r="O570" s="2">
        <f t="shared" si="3"/>
        <v>0</v>
      </c>
    </row>
    <row r="571">
      <c r="A571" s="2" t="str">
        <f t="shared" si="1"/>
        <v>H006706</v>
      </c>
      <c r="B571" s="1" t="s">
        <v>7003</v>
      </c>
      <c r="C571" s="9" t="str">
        <f t="array" ref="C571">IF(
  AND(
    IFERROR(MATCH(Caseslist!B571, data!D:D, 0), 0) &gt; 0,
    IFERROR(INDEX(data!N:N, MATCH(Caseslist!B571, data!D:D, 0)) = 1, FALSE)
  ),
  "COMPLETE",
  "INC"
)</f>
        <v>COMPLETE</v>
      </c>
      <c r="D571" s="9" t="str">
        <f t="array" ref="D571">IFERROR(INDEX(data!$G:$G,match(Caseslist!B571,data!$D:$D,0)), "INC")</f>
        <v>N7814260</v>
      </c>
      <c r="E571" s="9" t="str">
        <f t="array" ref="E571">IFERROR(INDEX(data!H:H,match(Caseslist!B571,data!D:D,0)), "INC")</f>
        <v>Jemma Marie Tillo</v>
      </c>
      <c r="F571" s="10" t="str">
        <f t="array" ref="F571">IF(
    OR(
      IFNA(INDEX(data!M:M, MATCH(Caseslist!B571, data!D:D, 0)), "") = "",
      IFNA(INDEX(data!M:M, MATCH(Caseslist!B571, data!D:D, 0)), 0) = 0
    ),
    "COMPLETE",
    IF(
      IFNA(INDEX(dataICM!D:D, MATCH(Caseslist!B571, dataICM!D:D, 0)), "INC") = "INC",
      IFNA(INDEX(dataICM!D:D, MATCH(Caseslist!B571, dataICM!D:D, 0)), "INC"),
      "COMPLETE"
    )
  )</f>
        <v>COMPLETE</v>
      </c>
      <c r="G571" s="10" t="str">
        <f t="array" ref="G571">IF(IFERROR(INDEX(data!L:L,match(Caseslist!B571,data!D:D,0)),"INC")="","COMPLETE",F571)</f>
        <v>COMPLETE</v>
      </c>
      <c r="H571" s="9" t="str">
        <f t="array" ref="H571">IFERROR(INDEX(dataICM!F:F,match(Caseslist!B571,dataICM!D:D,0)), "INC")</f>
        <v>INC</v>
      </c>
      <c r="I571" s="10" t="str">
        <f t="shared" si="2"/>
        <v>N7814260</v>
      </c>
      <c r="J571" s="9" t="str">
        <f t="array" ref="J571">IF(
  AND(
    IFERROR(MATCH(B571, data!D:D, 0), 0) &gt; 0,
    IFERROR(INDEX(data!N:N, MATCH(B571, data!D:D, 0)) = 1, FALSE)
  ),
  INDEX(data!C:C, MATCH(B571, data!D:D, 0)),
  "INC"
)</f>
        <v>2025-09-17T18:32:20.437+08</v>
      </c>
      <c r="K571" s="9" t="str">
        <f t="array" ref="K571">IFERROR(INDEX(dataICM!C:C,match(Caseslist!B571,dataICM!D:D,0)), "INC")</f>
        <v>INC</v>
      </c>
      <c r="L571" s="10" t="str">
        <f t="array" ref="L571">IF(AND(G571="COMPLETE", OR(K571="INC", ISBLANK(INDEX(data!O:O, ROW())))), J571, K571)</f>
        <v>2025-09-17T18:32:20.437+08</v>
      </c>
      <c r="M571" s="2">
        <v>45917.0</v>
      </c>
      <c r="N571" s="2">
        <f t="array" ref="N571">IF(M571&lt;&gt;"INC", INDEX(data!M:M, MATCH(B571, data!D:D, 0)), "")</f>
        <v>0</v>
      </c>
      <c r="O571" s="2">
        <f t="shared" si="3"/>
        <v>0</v>
      </c>
    </row>
    <row r="572">
      <c r="A572" s="2" t="str">
        <f t="shared" si="1"/>
        <v>H006706</v>
      </c>
      <c r="B572" s="1" t="s">
        <v>6428</v>
      </c>
      <c r="C572" s="9" t="str">
        <f t="array" ref="C572">IF(
  AND(
    IFERROR(MATCH(Caseslist!B572, data!D:D, 0), 0) &gt; 0,
    IFERROR(INDEX(data!N:N, MATCH(Caseslist!B572, data!D:D, 0)) = 1, FALSE)
  ),
  "COMPLETE",
  "INC"
)</f>
        <v>COMPLETE</v>
      </c>
      <c r="D572" s="9" t="str">
        <f t="array" ref="D572">IFERROR(INDEX(data!$G:$G,match(Caseslist!B572,data!$D:$D,0)), "INC")</f>
        <v>N7814260</v>
      </c>
      <c r="E572" s="9" t="str">
        <f t="array" ref="E572">IFERROR(INDEX(data!H:H,match(Caseslist!B572,data!D:D,0)), "INC")</f>
        <v>Jemma Marie Tillo</v>
      </c>
      <c r="F572" s="10" t="str">
        <f t="array" ref="F572">IF(
    OR(
      IFNA(INDEX(data!M:M, MATCH(Caseslist!B572, data!D:D, 0)), "") = "",
      IFNA(INDEX(data!M:M, MATCH(Caseslist!B572, data!D:D, 0)), 0) = 0
    ),
    "COMPLETE",
    IF(
      IFNA(INDEX(dataICM!D:D, MATCH(Caseslist!B572, dataICM!D:D, 0)), "INC") = "INC",
      IFNA(INDEX(dataICM!D:D, MATCH(Caseslist!B572, dataICM!D:D, 0)), "INC"),
      "COMPLETE"
    )
  )</f>
        <v>COMPLETE</v>
      </c>
      <c r="G572" s="10" t="str">
        <f t="array" ref="G572">IF(IFERROR(INDEX(data!L:L,match(Caseslist!B572,data!D:D,0)),"INC")="","COMPLETE",F572)</f>
        <v>COMPLETE</v>
      </c>
      <c r="H572" s="9" t="str">
        <f t="array" ref="H572">IFERROR(INDEX(dataICM!F:F,match(Caseslist!B572,dataICM!D:D,0)), "INC")</f>
        <v>INC</v>
      </c>
      <c r="I572" s="10" t="str">
        <f t="shared" si="2"/>
        <v>N7814260</v>
      </c>
      <c r="J572" s="9" t="str">
        <f t="array" ref="J572">IF(
  AND(
    IFERROR(MATCH(B572, data!D:D, 0), 0) &gt; 0,
    IFERROR(INDEX(data!N:N, MATCH(B572, data!D:D, 0)) = 1, FALSE)
  ),
  INDEX(data!C:C, MATCH(B572, data!D:D, 0)),
  "INC"
)</f>
        <v>2025-09-15T10:26:41.788+08</v>
      </c>
      <c r="K572" s="9" t="str">
        <f t="array" ref="K572">IFERROR(INDEX(dataICM!C:C,match(Caseslist!B572,dataICM!D:D,0)), "INC")</f>
        <v>INC</v>
      </c>
      <c r="L572" s="10" t="str">
        <f t="array" ref="L572">IF(AND(G572="COMPLETE", OR(K572="INC", ISBLANK(INDEX(data!O:O, ROW())))), J572, K572)</f>
        <v>2025-09-15T10:26:41.788+08</v>
      </c>
      <c r="M572" s="2">
        <v>45915.0</v>
      </c>
      <c r="N572" s="2">
        <f t="array" ref="N572">IF(M572&lt;&gt;"INC", INDEX(data!M:M, MATCH(B572, data!D:D, 0)), "")</f>
        <v>0</v>
      </c>
      <c r="O572" s="2">
        <f t="shared" si="3"/>
        <v>0</v>
      </c>
    </row>
    <row r="573">
      <c r="A573" s="2" t="str">
        <f t="shared" si="1"/>
        <v>H006706</v>
      </c>
      <c r="B573" s="1" t="s">
        <v>6463</v>
      </c>
      <c r="C573" s="9" t="str">
        <f t="array" ref="C573">IF(
  AND(
    IFERROR(MATCH(Caseslist!B573, data!D:D, 0), 0) &gt; 0,
    IFERROR(INDEX(data!N:N, MATCH(Caseslist!B573, data!D:D, 0)) = 1, FALSE)
  ),
  "COMPLETE",
  "INC"
)</f>
        <v>COMPLETE</v>
      </c>
      <c r="D573" s="9" t="str">
        <f t="array" ref="D573">IFERROR(INDEX(data!$G:$G,match(Caseslist!B573,data!$D:$D,0)), "INC")</f>
        <v>P1068432</v>
      </c>
      <c r="E573" s="9" t="str">
        <f t="array" ref="E573">IFERROR(INDEX(data!H:H,match(Caseslist!B573,data!D:D,0)), "INC")</f>
        <v>Mark Daniel Balagao Benson</v>
      </c>
      <c r="F573" s="10" t="str">
        <f t="array" ref="F573">IF(
    OR(
      IFNA(INDEX(data!M:M, MATCH(Caseslist!B573, data!D:D, 0)), "") = "",
      IFNA(INDEX(data!M:M, MATCH(Caseslist!B573, data!D:D, 0)), 0) = 0
    ),
    "COMPLETE",
    IF(
      IFNA(INDEX(dataICM!D:D, MATCH(Caseslist!B573, dataICM!D:D, 0)), "INC") = "INC",
      IFNA(INDEX(dataICM!D:D, MATCH(Caseslist!B573, dataICM!D:D, 0)), "INC"),
      "COMPLETE"
    )
  )</f>
        <v>COMPLETE</v>
      </c>
      <c r="G573" s="10" t="str">
        <f t="array" ref="G573">IF(IFERROR(INDEX(data!L:L,match(Caseslist!B573,data!D:D,0)),"INC")="","COMPLETE",F573)</f>
        <v>COMPLETE</v>
      </c>
      <c r="H573" s="9" t="str">
        <f t="array" ref="H573">IFERROR(INDEX(dataICM!F:F,match(Caseslist!B573,dataICM!D:D,0)), "INC")</f>
        <v>INC</v>
      </c>
      <c r="I573" s="10" t="str">
        <f t="shared" si="2"/>
        <v>P1068432</v>
      </c>
      <c r="J573" s="9" t="str">
        <f t="array" ref="J573">IF(
  AND(
    IFERROR(MATCH(B573, data!D:D, 0), 0) &gt; 0,
    IFERROR(INDEX(data!N:N, MATCH(B573, data!D:D, 0)) = 1, FALSE)
  ),
  INDEX(data!C:C, MATCH(B573, data!D:D, 0)),
  "INC"
)</f>
        <v>2025-09-15T11:40:30.711+08</v>
      </c>
      <c r="K573" s="9" t="str">
        <f t="array" ref="K573">IFERROR(INDEX(dataICM!C:C,match(Caseslist!B573,dataICM!D:D,0)), "INC")</f>
        <v>INC</v>
      </c>
      <c r="L573" s="10" t="str">
        <f t="array" ref="L573">IF(AND(G573="COMPLETE", OR(K573="INC", ISBLANK(INDEX(data!O:O, ROW())))), J573, K573)</f>
        <v>2025-09-15T11:40:30.711+08</v>
      </c>
      <c r="M573" s="2">
        <v>45915.0</v>
      </c>
      <c r="N573" s="2">
        <f t="array" ref="N573">IF(M573&lt;&gt;"INC", INDEX(data!M:M, MATCH(B573, data!D:D, 0)), "")</f>
        <v>0</v>
      </c>
      <c r="O573" s="2">
        <f t="shared" si="3"/>
        <v>0</v>
      </c>
    </row>
    <row r="574">
      <c r="A574" s="2" t="str">
        <f t="shared" si="1"/>
        <v>H006706</v>
      </c>
      <c r="B574" s="1" t="s">
        <v>6438</v>
      </c>
      <c r="C574" s="9" t="str">
        <f t="array" ref="C574">IF(
  AND(
    IFERROR(MATCH(Caseslist!B574, data!D:D, 0), 0) &gt; 0,
    IFERROR(INDEX(data!N:N, MATCH(Caseslist!B574, data!D:D, 0)) = 1, FALSE)
  ),
  "COMPLETE",
  "INC"
)</f>
        <v>COMPLETE</v>
      </c>
      <c r="D574" s="9" t="str">
        <f t="array" ref="D574">IFERROR(INDEX(data!$G:$G,match(Caseslist!B574,data!$D:$D,0)), "INC")</f>
        <v>N7814260</v>
      </c>
      <c r="E574" s="9" t="str">
        <f t="array" ref="E574">IFERROR(INDEX(data!H:H,match(Caseslist!B574,data!D:D,0)), "INC")</f>
        <v>Jemma Marie Tillo</v>
      </c>
      <c r="F574" s="10" t="str">
        <f t="array" ref="F574">IF(
    OR(
      IFNA(INDEX(data!M:M, MATCH(Caseslist!B574, data!D:D, 0)), "") = "",
      IFNA(INDEX(data!M:M, MATCH(Caseslist!B574, data!D:D, 0)), 0) = 0
    ),
    "COMPLETE",
    IF(
      IFNA(INDEX(dataICM!D:D, MATCH(Caseslist!B574, dataICM!D:D, 0)), "INC") = "INC",
      IFNA(INDEX(dataICM!D:D, MATCH(Caseslist!B574, dataICM!D:D, 0)), "INC"),
      "COMPLETE"
    )
  )</f>
        <v>COMPLETE</v>
      </c>
      <c r="G574" s="10" t="str">
        <f t="array" ref="G574">IF(IFERROR(INDEX(data!L:L,match(Caseslist!B574,data!D:D,0)),"INC")="","COMPLETE",F574)</f>
        <v>COMPLETE</v>
      </c>
      <c r="H574" s="9" t="str">
        <f t="array" ref="H574">IFERROR(INDEX(dataICM!F:F,match(Caseslist!B574,dataICM!D:D,0)), "INC")</f>
        <v>INC</v>
      </c>
      <c r="I574" s="10" t="str">
        <f t="shared" si="2"/>
        <v>N7814260</v>
      </c>
      <c r="J574" s="9" t="str">
        <f t="array" ref="J574">IF(
  AND(
    IFERROR(MATCH(B574, data!D:D, 0), 0) &gt; 0,
    IFERROR(INDEX(data!N:N, MATCH(B574, data!D:D, 0)) = 1, FALSE)
  ),
  INDEX(data!C:C, MATCH(B574, data!D:D, 0)),
  "INC"
)</f>
        <v>2025-09-15T14:10:01.260+08</v>
      </c>
      <c r="K574" s="9" t="str">
        <f t="array" ref="K574">IFERROR(INDEX(dataICM!C:C,match(Caseslist!B574,dataICM!D:D,0)), "INC")</f>
        <v>INC</v>
      </c>
      <c r="L574" s="10" t="str">
        <f t="array" ref="L574">IF(AND(G574="COMPLETE", OR(K574="INC", ISBLANK(INDEX(data!O:O, ROW())))), J574, K574)</f>
        <v>2025-09-15T14:10:01.260+08</v>
      </c>
      <c r="M574" s="2">
        <v>45915.0</v>
      </c>
      <c r="N574" s="2">
        <f t="array" ref="N574">IF(M574&lt;&gt;"INC", INDEX(data!M:M, MATCH(B574, data!D:D, 0)), "")</f>
        <v>0</v>
      </c>
      <c r="O574" s="2">
        <f t="shared" si="3"/>
        <v>0</v>
      </c>
    </row>
    <row r="575">
      <c r="A575" s="2" t="str">
        <f t="shared" si="1"/>
        <v>H006706</v>
      </c>
      <c r="B575" s="1" t="s">
        <v>6468</v>
      </c>
      <c r="C575" s="9" t="str">
        <f t="array" ref="C575">IF(
  AND(
    IFERROR(MATCH(Caseslist!B575, data!D:D, 0), 0) &gt; 0,
    IFERROR(INDEX(data!N:N, MATCH(Caseslist!B575, data!D:D, 0)) = 1, FALSE)
  ),
  "COMPLETE",
  "INC"
)</f>
        <v>COMPLETE</v>
      </c>
      <c r="D575" s="9" t="str">
        <f t="array" ref="D575">IFERROR(INDEX(data!$G:$G,match(Caseslist!B575,data!$D:$D,0)), "INC")</f>
        <v>P1068432</v>
      </c>
      <c r="E575" s="9" t="str">
        <f t="array" ref="E575">IFERROR(INDEX(data!H:H,match(Caseslist!B575,data!D:D,0)), "INC")</f>
        <v>Mark Daniel Balagao Benson</v>
      </c>
      <c r="F575" s="10" t="str">
        <f t="array" ref="F575">IF(
    OR(
      IFNA(INDEX(data!M:M, MATCH(Caseslist!B575, data!D:D, 0)), "") = "",
      IFNA(INDEX(data!M:M, MATCH(Caseslist!B575, data!D:D, 0)), 0) = 0
    ),
    "COMPLETE",
    IF(
      IFNA(INDEX(dataICM!D:D, MATCH(Caseslist!B575, dataICM!D:D, 0)), "INC") = "INC",
      IFNA(INDEX(dataICM!D:D, MATCH(Caseslist!B575, dataICM!D:D, 0)), "INC"),
      "COMPLETE"
    )
  )</f>
        <v>COMPLETE</v>
      </c>
      <c r="G575" s="10" t="str">
        <f t="array" ref="G575">IF(IFERROR(INDEX(data!L:L,match(Caseslist!B575,data!D:D,0)),"INC")="","COMPLETE",F575)</f>
        <v>COMPLETE</v>
      </c>
      <c r="H575" s="9" t="str">
        <f t="array" ref="H575">IFERROR(INDEX(dataICM!F:F,match(Caseslist!B575,dataICM!D:D,0)), "INC")</f>
        <v>INC</v>
      </c>
      <c r="I575" s="10" t="str">
        <f t="shared" si="2"/>
        <v>P1068432</v>
      </c>
      <c r="J575" s="9" t="str">
        <f t="array" ref="J575">IF(
  AND(
    IFERROR(MATCH(B575, data!D:D, 0), 0) &gt; 0,
    IFERROR(INDEX(data!N:N, MATCH(B575, data!D:D, 0)) = 1, FALSE)
  ),
  INDEX(data!C:C, MATCH(B575, data!D:D, 0)),
  "INC"
)</f>
        <v>2025-09-15T15:12:46.767+08</v>
      </c>
      <c r="K575" s="9" t="str">
        <f t="array" ref="K575">IFERROR(INDEX(dataICM!C:C,match(Caseslist!B575,dataICM!D:D,0)), "INC")</f>
        <v>INC</v>
      </c>
      <c r="L575" s="10" t="str">
        <f t="array" ref="L575">IF(AND(G575="COMPLETE", OR(K575="INC", ISBLANK(INDEX(data!O:O, ROW())))), J575, K575)</f>
        <v>2025-09-15T15:12:46.767+08</v>
      </c>
      <c r="M575" s="2">
        <v>45915.0</v>
      </c>
      <c r="N575" s="2">
        <f t="array" ref="N575">IF(M575&lt;&gt;"INC", INDEX(data!M:M, MATCH(B575, data!D:D, 0)), "")</f>
        <v>0</v>
      </c>
      <c r="O575" s="2">
        <f t="shared" si="3"/>
        <v>0</v>
      </c>
    </row>
    <row r="576">
      <c r="A576" s="2" t="str">
        <f t="shared" si="1"/>
        <v>H006706</v>
      </c>
      <c r="B576" s="1" t="s">
        <v>6398</v>
      </c>
      <c r="C576" s="9" t="str">
        <f t="array" ref="C576">IF(
  AND(
    IFERROR(MATCH(Caseslist!B576, data!D:D, 0), 0) &gt; 0,
    IFERROR(INDEX(data!N:N, MATCH(Caseslist!B576, data!D:D, 0)) = 1, FALSE)
  ),
  "COMPLETE",
  "INC"
)</f>
        <v>COMPLETE</v>
      </c>
      <c r="D576" s="9" t="str">
        <f t="array" ref="D576">IFERROR(INDEX(data!$G:$G,match(Caseslist!B576,data!$D:$D,0)), "INC")</f>
        <v>O3925718</v>
      </c>
      <c r="E576" s="9" t="str">
        <f t="array" ref="E576">IFERROR(INDEX(data!H:H,match(Caseslist!B576,data!D:D,0)), "INC")</f>
        <v>Adrian Montecastro Ferrer</v>
      </c>
      <c r="F576" s="10" t="str">
        <f t="array" ref="F576">IF(
    OR(
      IFNA(INDEX(data!M:M, MATCH(Caseslist!B576, data!D:D, 0)), "") = "",
      IFNA(INDEX(data!M:M, MATCH(Caseslist!B576, data!D:D, 0)), 0) = 0
    ),
    "COMPLETE",
    IF(
      IFNA(INDEX(dataICM!D:D, MATCH(Caseslist!B576, dataICM!D:D, 0)), "INC") = "INC",
      IFNA(INDEX(dataICM!D:D, MATCH(Caseslist!B576, dataICM!D:D, 0)), "INC"),
      "COMPLETE"
    )
  )</f>
        <v>COMPLETE</v>
      </c>
      <c r="G576" s="10" t="str">
        <f t="array" ref="G576">IF(IFERROR(INDEX(data!L:L,match(Caseslist!B576,data!D:D,0)),"INC")="","COMPLETE",F576)</f>
        <v>COMPLETE</v>
      </c>
      <c r="H576" s="9" t="str">
        <f t="array" ref="H576">IFERROR(INDEX(dataICM!F:F,match(Caseslist!B576,dataICM!D:D,0)), "INC")</f>
        <v>INC</v>
      </c>
      <c r="I576" s="10" t="str">
        <f t="shared" si="2"/>
        <v>O3925718</v>
      </c>
      <c r="J576" s="9" t="str">
        <f t="array" ref="J576">IF(
  AND(
    IFERROR(MATCH(B576, data!D:D, 0), 0) &gt; 0,
    IFERROR(INDEX(data!N:N, MATCH(B576, data!D:D, 0)) = 1, FALSE)
  ),
  INDEX(data!C:C, MATCH(B576, data!D:D, 0)),
  "INC"
)</f>
        <v>2025-09-15T12:36:53.476+08</v>
      </c>
      <c r="K576" s="9" t="str">
        <f t="array" ref="K576">IFERROR(INDEX(dataICM!C:C,match(Caseslist!B576,dataICM!D:D,0)), "INC")</f>
        <v>INC</v>
      </c>
      <c r="L576" s="10" t="str">
        <f t="array" ref="L576">IF(AND(G576="COMPLETE", OR(K576="INC", ISBLANK(INDEX(data!O:O, ROW())))), J576, K576)</f>
        <v>2025-09-15T12:36:53.476+08</v>
      </c>
      <c r="M576" s="2">
        <v>45915.0</v>
      </c>
      <c r="N576" s="2">
        <f t="array" ref="N576">IF(M576&lt;&gt;"INC", INDEX(data!M:M, MATCH(B576, data!D:D, 0)), "")</f>
        <v>0</v>
      </c>
      <c r="O576" s="2">
        <f t="shared" si="3"/>
        <v>0</v>
      </c>
    </row>
    <row r="577">
      <c r="A577" s="2" t="str">
        <f t="shared" si="1"/>
        <v>H006706</v>
      </c>
      <c r="B577" s="1" t="s">
        <v>6408</v>
      </c>
      <c r="C577" s="9" t="str">
        <f t="array" ref="C577">IF(
  AND(
    IFERROR(MATCH(Caseslist!B577, data!D:D, 0), 0) &gt; 0,
    IFERROR(INDEX(data!N:N, MATCH(Caseslist!B577, data!D:D, 0)) = 1, FALSE)
  ),
  "COMPLETE",
  "INC"
)</f>
        <v>COMPLETE</v>
      </c>
      <c r="D577" s="9" t="str">
        <f t="array" ref="D577">IFERROR(INDEX(data!$G:$G,match(Caseslist!B577,data!$D:$D,0)), "INC")</f>
        <v>O3925718</v>
      </c>
      <c r="E577" s="9" t="str">
        <f t="array" ref="E577">IFERROR(INDEX(data!H:H,match(Caseslist!B577,data!D:D,0)), "INC")</f>
        <v>Adrian Montecastro Ferrer</v>
      </c>
      <c r="F577" s="10" t="str">
        <f t="array" ref="F577">IF(
    OR(
      IFNA(INDEX(data!M:M, MATCH(Caseslist!B577, data!D:D, 0)), "") = "",
      IFNA(INDEX(data!M:M, MATCH(Caseslist!B577, data!D:D, 0)), 0) = 0
    ),
    "COMPLETE",
    IF(
      IFNA(INDEX(dataICM!D:D, MATCH(Caseslist!B577, dataICM!D:D, 0)), "INC") = "INC",
      IFNA(INDEX(dataICM!D:D, MATCH(Caseslist!B577, dataICM!D:D, 0)), "INC"),
      "COMPLETE"
    )
  )</f>
        <v>COMPLETE</v>
      </c>
      <c r="G577" s="10" t="str">
        <f t="array" ref="G577">IF(IFERROR(INDEX(data!L:L,match(Caseslist!B577,data!D:D,0)),"INC")="","COMPLETE",F577)</f>
        <v>COMPLETE</v>
      </c>
      <c r="H577" s="9" t="str">
        <f t="array" ref="H577">IFERROR(INDEX(dataICM!F:F,match(Caseslist!B577,dataICM!D:D,0)), "INC")</f>
        <v>INC</v>
      </c>
      <c r="I577" s="10" t="str">
        <f t="shared" si="2"/>
        <v>O3925718</v>
      </c>
      <c r="J577" s="9" t="str">
        <f t="array" ref="J577">IF(
  AND(
    IFERROR(MATCH(B577, data!D:D, 0), 0) &gt; 0,
    IFERROR(INDEX(data!N:N, MATCH(B577, data!D:D, 0)) = 1, FALSE)
  ),
  INDEX(data!C:C, MATCH(B577, data!D:D, 0)),
  "INC"
)</f>
        <v>2025-09-15T09:54:16.209+08</v>
      </c>
      <c r="K577" s="9" t="str">
        <f t="array" ref="K577">IFERROR(INDEX(dataICM!C:C,match(Caseslist!B577,dataICM!D:D,0)), "INC")</f>
        <v>INC</v>
      </c>
      <c r="L577" s="10" t="str">
        <f t="array" ref="L577">IF(AND(G577="COMPLETE", OR(K577="INC", ISBLANK(INDEX(data!O:O, ROW())))), J577, K577)</f>
        <v>2025-09-15T09:54:16.209+08</v>
      </c>
      <c r="M577" s="2">
        <v>45915.0</v>
      </c>
      <c r="N577" s="2">
        <f t="array" ref="N577">IF(M577&lt;&gt;"INC", INDEX(data!M:M, MATCH(B577, data!D:D, 0)), "")</f>
        <v>0</v>
      </c>
      <c r="O577" s="2">
        <f t="shared" si="3"/>
        <v>0</v>
      </c>
    </row>
    <row r="578">
      <c r="A578" s="2" t="str">
        <f t="shared" si="1"/>
        <v>H006706</v>
      </c>
      <c r="B578" s="1" t="s">
        <v>7048</v>
      </c>
      <c r="C578" s="9" t="str">
        <f t="array" ref="C578">IF(
  AND(
    IFERROR(MATCH(Caseslist!B578, data!D:D, 0), 0) &gt; 0,
    IFERROR(INDEX(data!N:N, MATCH(Caseslist!B578, data!D:D, 0)) = 1, FALSE)
  ),
  "COMPLETE",
  "INC"
)</f>
        <v>COMPLETE</v>
      </c>
      <c r="D578" s="9" t="str">
        <f t="array" ref="D578">IFERROR(INDEX(data!$G:$G,match(Caseslist!B578,data!$D:$D,0)), "INC")</f>
        <v>P1068432</v>
      </c>
      <c r="E578" s="9" t="str">
        <f t="array" ref="E578">IFERROR(INDEX(data!H:H,match(Caseslist!B578,data!D:D,0)), "INC")</f>
        <v>Mark Daniel Balagao Benson</v>
      </c>
      <c r="F578" s="10" t="str">
        <f t="array" ref="F578">IF(
    OR(
      IFNA(INDEX(data!M:M, MATCH(Caseslist!B578, data!D:D, 0)), "") = "",
      IFNA(INDEX(data!M:M, MATCH(Caseslist!B578, data!D:D, 0)), 0) = 0
    ),
    "COMPLETE",
    IF(
      IFNA(INDEX(dataICM!D:D, MATCH(Caseslist!B578, dataICM!D:D, 0)), "INC") = "INC",
      IFNA(INDEX(dataICM!D:D, MATCH(Caseslist!B578, dataICM!D:D, 0)), "INC"),
      "COMPLETE"
    )
  )</f>
        <v>COMPLETE</v>
      </c>
      <c r="G578" s="10" t="str">
        <f t="array" ref="G578">IF(IFERROR(INDEX(data!L:L,match(Caseslist!B578,data!D:D,0)),"INC")="","COMPLETE",F578)</f>
        <v>COMPLETE</v>
      </c>
      <c r="H578" s="9" t="str">
        <f t="array" ref="H578">IFERROR(INDEX(dataICM!F:F,match(Caseslist!B578,dataICM!D:D,0)), "INC")</f>
        <v>INC</v>
      </c>
      <c r="I578" s="10" t="str">
        <f t="shared" si="2"/>
        <v>P1068432</v>
      </c>
      <c r="J578" s="9" t="str">
        <f t="array" ref="J578">IF(
  AND(
    IFERROR(MATCH(B578, data!D:D, 0), 0) &gt; 0,
    IFERROR(INDEX(data!N:N, MATCH(B578, data!D:D, 0)) = 1, FALSE)
  ),
  INDEX(data!C:C, MATCH(B578, data!D:D, 0)),
  "INC"
)</f>
        <v>2025-09-17T10:47:40.462+08</v>
      </c>
      <c r="K578" s="9" t="str">
        <f t="array" ref="K578">IFERROR(INDEX(dataICM!C:C,match(Caseslist!B578,dataICM!D:D,0)), "INC")</f>
        <v>INC</v>
      </c>
      <c r="L578" s="10" t="str">
        <f t="array" ref="L578">IF(AND(G578="COMPLETE", OR(K578="INC", ISBLANK(INDEX(data!O:O, ROW())))), J578, K578)</f>
        <v>2025-09-17T10:47:40.462+08</v>
      </c>
      <c r="M578" s="2">
        <v>45917.0</v>
      </c>
      <c r="N578" s="2">
        <f t="array" ref="N578">IF(M578&lt;&gt;"INC", INDEX(data!M:M, MATCH(B578, data!D:D, 0)), "")</f>
        <v>0</v>
      </c>
      <c r="O578" s="2">
        <f t="shared" si="3"/>
        <v>0</v>
      </c>
    </row>
    <row r="579">
      <c r="A579" s="2" t="str">
        <f t="shared" si="1"/>
        <v>H006706</v>
      </c>
      <c r="B579" s="1" t="s">
        <v>7053</v>
      </c>
      <c r="C579" s="9" t="str">
        <f t="array" ref="C579">IF(
  AND(
    IFERROR(MATCH(Caseslist!B579, data!D:D, 0), 0) &gt; 0,
    IFERROR(INDEX(data!N:N, MATCH(Caseslist!B579, data!D:D, 0)) = 1, FALSE)
  ),
  "COMPLETE",
  "INC"
)</f>
        <v>COMPLETE</v>
      </c>
      <c r="D579" s="9" t="str">
        <f t="array" ref="D579">IFERROR(INDEX(data!$G:$G,match(Caseslist!B579,data!$D:$D,0)), "INC")</f>
        <v>P1068432</v>
      </c>
      <c r="E579" s="9" t="str">
        <f t="array" ref="E579">IFERROR(INDEX(data!H:H,match(Caseslist!B579,data!D:D,0)), "INC")</f>
        <v>Mark Daniel Balagao Benson</v>
      </c>
      <c r="F579" s="10" t="str">
        <f t="array" ref="F579">IF(
    OR(
      IFNA(INDEX(data!M:M, MATCH(Caseslist!B579, data!D:D, 0)), "") = "",
      IFNA(INDEX(data!M:M, MATCH(Caseslist!B579, data!D:D, 0)), 0) = 0
    ),
    "COMPLETE",
    IF(
      IFNA(INDEX(dataICM!D:D, MATCH(Caseslist!B579, dataICM!D:D, 0)), "INC") = "INC",
      IFNA(INDEX(dataICM!D:D, MATCH(Caseslist!B579, dataICM!D:D, 0)), "INC"),
      "COMPLETE"
    )
  )</f>
        <v>COMPLETE</v>
      </c>
      <c r="G579" s="10" t="str">
        <f t="array" ref="G579">IF(IFERROR(INDEX(data!L:L,match(Caseslist!B579,data!D:D,0)),"INC")="","COMPLETE",F579)</f>
        <v>COMPLETE</v>
      </c>
      <c r="H579" s="9" t="str">
        <f t="array" ref="H579">IFERROR(INDEX(dataICM!F:F,match(Caseslist!B579,dataICM!D:D,0)), "INC")</f>
        <v>INC</v>
      </c>
      <c r="I579" s="10" t="str">
        <f t="shared" si="2"/>
        <v>P1068432</v>
      </c>
      <c r="J579" s="9" t="str">
        <f t="array" ref="J579">IF(
  AND(
    IFERROR(MATCH(B579, data!D:D, 0), 0) &gt; 0,
    IFERROR(INDEX(data!N:N, MATCH(B579, data!D:D, 0)) = 1, FALSE)
  ),
  INDEX(data!C:C, MATCH(B579, data!D:D, 0)),
  "INC"
)</f>
        <v>2025-09-17T12:32:53.085+08</v>
      </c>
      <c r="K579" s="9" t="str">
        <f t="array" ref="K579">IFERROR(INDEX(dataICM!C:C,match(Caseslist!B579,dataICM!D:D,0)), "INC")</f>
        <v>INC</v>
      </c>
      <c r="L579" s="10" t="str">
        <f t="array" ref="L579">IF(AND(G579="COMPLETE", OR(K579="INC", ISBLANK(INDEX(data!O:O, ROW())))), J579, K579)</f>
        <v>2025-09-17T12:32:53.085+08</v>
      </c>
      <c r="M579" s="2">
        <v>45917.0</v>
      </c>
      <c r="N579" s="2">
        <f t="array" ref="N579">IF(M579&lt;&gt;"INC", INDEX(data!M:M, MATCH(B579, data!D:D, 0)), "")</f>
        <v>0</v>
      </c>
      <c r="O579" s="2">
        <f t="shared" si="3"/>
        <v>0</v>
      </c>
    </row>
    <row r="580">
      <c r="A580" s="2" t="str">
        <f t="shared" si="1"/>
        <v>H006706</v>
      </c>
      <c r="B580" s="1" t="s">
        <v>6998</v>
      </c>
      <c r="C580" s="9" t="str">
        <f t="array" ref="C580">IF(
  AND(
    IFERROR(MATCH(Caseslist!B580, data!D:D, 0), 0) &gt; 0,
    IFERROR(INDEX(data!N:N, MATCH(Caseslist!B580, data!D:D, 0)) = 1, FALSE)
  ),
  "COMPLETE",
  "INC"
)</f>
        <v>COMPLETE</v>
      </c>
      <c r="D580" s="9" t="str">
        <f t="array" ref="D580">IFERROR(INDEX(data!$G:$G,match(Caseslist!B580,data!$D:$D,0)), "INC")</f>
        <v>N7814260</v>
      </c>
      <c r="E580" s="9" t="str">
        <f t="array" ref="E580">IFERROR(INDEX(data!H:H,match(Caseslist!B580,data!D:D,0)), "INC")</f>
        <v>Jemma Marie Tillo</v>
      </c>
      <c r="F580" s="10" t="str">
        <f t="array" ref="F580">IF(
    OR(
      IFNA(INDEX(data!M:M, MATCH(Caseslist!B580, data!D:D, 0)), "") = "",
      IFNA(INDEX(data!M:M, MATCH(Caseslist!B580, data!D:D, 0)), 0) = 0
    ),
    "COMPLETE",
    IF(
      IFNA(INDEX(dataICM!D:D, MATCH(Caseslist!B580, dataICM!D:D, 0)), "INC") = "INC",
      IFNA(INDEX(dataICM!D:D, MATCH(Caseslist!B580, dataICM!D:D, 0)), "INC"),
      "COMPLETE"
    )
  )</f>
        <v>COMPLETE</v>
      </c>
      <c r="G580" s="10" t="str">
        <f t="array" ref="G580">IF(IFERROR(INDEX(data!L:L,match(Caseslist!B580,data!D:D,0)),"INC")="","COMPLETE",F580)</f>
        <v>COMPLETE</v>
      </c>
      <c r="H580" s="9" t="str">
        <f t="array" ref="H580">IFERROR(INDEX(dataICM!F:F,match(Caseslist!B580,dataICM!D:D,0)), "INC")</f>
        <v>INC</v>
      </c>
      <c r="I580" s="10" t="str">
        <f t="shared" si="2"/>
        <v>N7814260</v>
      </c>
      <c r="J580" s="9" t="str">
        <f t="array" ref="J580">IF(
  AND(
    IFERROR(MATCH(B580, data!D:D, 0), 0) &gt; 0,
    IFERROR(INDEX(data!N:N, MATCH(B580, data!D:D, 0)) = 1, FALSE)
  ),
  INDEX(data!C:C, MATCH(B580, data!D:D, 0)),
  "INC"
)</f>
        <v>2025-09-17T11:07:33.163+08</v>
      </c>
      <c r="K580" s="9" t="str">
        <f t="array" ref="K580">IFERROR(INDEX(dataICM!C:C,match(Caseslist!B580,dataICM!D:D,0)), "INC")</f>
        <v>INC</v>
      </c>
      <c r="L580" s="10" t="str">
        <f t="array" ref="L580">IF(AND(G580="COMPLETE", OR(K580="INC", ISBLANK(INDEX(data!O:O, ROW())))), J580, K580)</f>
        <v>2025-09-17T11:07:33.163+08</v>
      </c>
      <c r="M580" s="2">
        <v>45917.0</v>
      </c>
      <c r="N580" s="2">
        <f t="array" ref="N580">IF(M580&lt;&gt;"INC", INDEX(data!M:M, MATCH(B580, data!D:D, 0)), "")</f>
        <v>0</v>
      </c>
      <c r="O580" s="2">
        <f t="shared" si="3"/>
        <v>0</v>
      </c>
    </row>
    <row r="581">
      <c r="A581" s="2" t="str">
        <f t="shared" si="1"/>
        <v>H006719</v>
      </c>
      <c r="B581" s="1" t="s">
        <v>3722</v>
      </c>
      <c r="C581" s="9" t="str">
        <f t="array" ref="C581">IF(
  AND(
    IFERROR(MATCH(Caseslist!B581, data!D:D, 0), 0) &gt; 0,
    IFERROR(INDEX(data!N:N, MATCH(Caseslist!B581, data!D:D, 0)) = 1, FALSE)
  ),
  "COMPLETE",
  "INC"
)</f>
        <v>COMPLETE</v>
      </c>
      <c r="D581" s="9" t="str">
        <f t="array" ref="D581">IFERROR(INDEX(data!$G:$G,match(Caseslist!B581,data!$D:$D,0)), "INC")</f>
        <v>N7814260</v>
      </c>
      <c r="E581" s="9" t="str">
        <f t="array" ref="E581">IFERROR(INDEX(data!H:H,match(Caseslist!B581,data!D:D,0)), "INC")</f>
        <v>Jemma Marie Tillo</v>
      </c>
      <c r="F581" s="10" t="str">
        <f t="array" ref="F581">IF(
    OR(
      IFNA(INDEX(data!M:M, MATCH(Caseslist!B581, data!D:D, 0)), "") = "",
      IFNA(INDEX(data!M:M, MATCH(Caseslist!B581, data!D:D, 0)), 0) = 0
    ),
    "COMPLETE",
    IF(
      IFNA(INDEX(dataICM!D:D, MATCH(Caseslist!B581, dataICM!D:D, 0)), "INC") = "INC",
      IFNA(INDEX(dataICM!D:D, MATCH(Caseslist!B581, dataICM!D:D, 0)), "INC"),
      "COMPLETE"
    )
  )</f>
        <v>COMPLETE</v>
      </c>
      <c r="G581" s="10" t="str">
        <f t="array" ref="G581">IF(IFERROR(INDEX(data!L:L,match(Caseslist!B581,data!D:D,0)),"INC")="","COMPLETE",F581)</f>
        <v>COMPLETE</v>
      </c>
      <c r="H581" s="9" t="str">
        <f t="array" ref="H581">IFERROR(INDEX(dataICM!F:F,match(Caseslist!B581,dataICM!D:D,0)), "INC")</f>
        <v>INC</v>
      </c>
      <c r="I581" s="10" t="str">
        <f t="shared" si="2"/>
        <v>N7814260</v>
      </c>
      <c r="J581" s="9" t="str">
        <f t="array" ref="J581">IF(
  AND(
    IFERROR(MATCH(B581, data!D:D, 0), 0) &gt; 0,
    IFERROR(INDEX(data!N:N, MATCH(B581, data!D:D, 0)) = 1, FALSE)
  ),
  INDEX(data!C:C, MATCH(B581, data!D:D, 0)),
  "INC"
)</f>
        <v>2025-09-05T12:47:05.506+08</v>
      </c>
      <c r="K581" s="9" t="str">
        <f t="array" ref="K581">IFERROR(INDEX(dataICM!C:C,match(Caseslist!B581,dataICM!D:D,0)), "INC")</f>
        <v>INC</v>
      </c>
      <c r="L581" s="10" t="str">
        <f t="array" ref="L581">IF(AND(G581="COMPLETE", OR(K581="INC", ISBLANK(INDEX(data!O:O, ROW())))), J581, K581)</f>
        <v>2025-09-05T12:47:05.506+08</v>
      </c>
      <c r="M581" s="2">
        <v>45905.0</v>
      </c>
      <c r="N581" s="2">
        <f t="array" ref="N581">IF(M581&lt;&gt;"INC", INDEX(data!M:M, MATCH(B581, data!D:D, 0)), "")</f>
        <v>0</v>
      </c>
      <c r="O581" s="2">
        <f t="shared" si="3"/>
        <v>0</v>
      </c>
    </row>
    <row r="582">
      <c r="A582" s="2" t="str">
        <f t="shared" si="1"/>
        <v>H006719</v>
      </c>
      <c r="B582" s="1" t="s">
        <v>3707</v>
      </c>
      <c r="C582" s="9" t="str">
        <f t="array" ref="C582">IF(
  AND(
    IFERROR(MATCH(Caseslist!B582, data!D:D, 0), 0) &gt; 0,
    IFERROR(INDEX(data!N:N, MATCH(Caseslist!B582, data!D:D, 0)) = 1, FALSE)
  ),
  "COMPLETE",
  "INC"
)</f>
        <v>COMPLETE</v>
      </c>
      <c r="D582" s="9" t="str">
        <f t="array" ref="D582">IFERROR(INDEX(data!$G:$G,match(Caseslist!B582,data!$D:$D,0)), "INC")</f>
        <v>N7814260</v>
      </c>
      <c r="E582" s="9" t="str">
        <f t="array" ref="E582">IFERROR(INDEX(data!H:H,match(Caseslist!B582,data!D:D,0)), "INC")</f>
        <v>Jemma Marie Tillo</v>
      </c>
      <c r="F582" s="10" t="str">
        <f t="array" ref="F582">IF(
    OR(
      IFNA(INDEX(data!M:M, MATCH(Caseslist!B582, data!D:D, 0)), "") = "",
      IFNA(INDEX(data!M:M, MATCH(Caseslist!B582, data!D:D, 0)), 0) = 0
    ),
    "COMPLETE",
    IF(
      IFNA(INDEX(dataICM!D:D, MATCH(Caseslist!B582, dataICM!D:D, 0)), "INC") = "INC",
      IFNA(INDEX(dataICM!D:D, MATCH(Caseslist!B582, dataICM!D:D, 0)), "INC"),
      "COMPLETE"
    )
  )</f>
        <v>COMPLETE</v>
      </c>
      <c r="G582" s="10" t="str">
        <f t="array" ref="G582">IF(IFERROR(INDEX(data!L:L,match(Caseslist!B582,data!D:D,0)),"INC")="","COMPLETE",F582)</f>
        <v>COMPLETE</v>
      </c>
      <c r="H582" s="9" t="str">
        <f t="array" ref="H582">IFERROR(INDEX(dataICM!F:F,match(Caseslist!B582,dataICM!D:D,0)), "INC")</f>
        <v>INC</v>
      </c>
      <c r="I582" s="10" t="str">
        <f t="shared" si="2"/>
        <v>N7814260</v>
      </c>
      <c r="J582" s="9" t="str">
        <f t="array" ref="J582">IF(
  AND(
    IFERROR(MATCH(B582, data!D:D, 0), 0) &gt; 0,
    IFERROR(INDEX(data!N:N, MATCH(B582, data!D:D, 0)) = 1, FALSE)
  ),
  INDEX(data!C:C, MATCH(B582, data!D:D, 0)),
  "INC"
)</f>
        <v>2025-09-05T09:35:04.269+08</v>
      </c>
      <c r="K582" s="9" t="str">
        <f t="array" ref="K582">IFERROR(INDEX(dataICM!C:C,match(Caseslist!B582,dataICM!D:D,0)), "INC")</f>
        <v>INC</v>
      </c>
      <c r="L582" s="10" t="str">
        <f t="array" ref="L582">IF(AND(G582="COMPLETE", OR(K582="INC", ISBLANK(INDEX(data!O:O, ROW())))), J582, K582)</f>
        <v>2025-09-05T09:35:04.269+08</v>
      </c>
      <c r="M582" s="2">
        <v>45905.0</v>
      </c>
      <c r="N582" s="2">
        <f t="array" ref="N582">IF(M582&lt;&gt;"INC", INDEX(data!M:M, MATCH(B582, data!D:D, 0)), "")</f>
        <v>0</v>
      </c>
      <c r="O582" s="2">
        <f t="shared" si="3"/>
        <v>0</v>
      </c>
    </row>
    <row r="583">
      <c r="A583" s="2" t="str">
        <f t="shared" si="1"/>
        <v>H006719</v>
      </c>
      <c r="B583" s="1" t="s">
        <v>4232</v>
      </c>
      <c r="C583" s="9" t="str">
        <f t="array" ref="C583">IF(
  AND(
    IFERROR(MATCH(Caseslist!B583, data!D:D, 0), 0) &gt; 0,
    IFERROR(INDEX(data!N:N, MATCH(Caseslist!B583, data!D:D, 0)) = 1, FALSE)
  ),
  "COMPLETE",
  "INC"
)</f>
        <v>COMPLETE</v>
      </c>
      <c r="D583" s="9" t="str">
        <f t="array" ref="D583">IFERROR(INDEX(data!$G:$G,match(Caseslist!B583,data!$D:$D,0)), "INC")</f>
        <v>O3925718</v>
      </c>
      <c r="E583" s="9" t="str">
        <f t="array" ref="E583">IFERROR(INDEX(data!H:H,match(Caseslist!B583,data!D:D,0)), "INC")</f>
        <v>Adrian Montecastro Ferrer</v>
      </c>
      <c r="F583" s="10" t="str">
        <f t="array" ref="F583">IF(
    OR(
      IFNA(INDEX(data!M:M, MATCH(Caseslist!B583, data!D:D, 0)), "") = "",
      IFNA(INDEX(data!M:M, MATCH(Caseslist!B583, data!D:D, 0)), 0) = 0
    ),
    "COMPLETE",
    IF(
      IFNA(INDEX(dataICM!D:D, MATCH(Caseslist!B583, dataICM!D:D, 0)), "INC") = "INC",
      IFNA(INDEX(dataICM!D:D, MATCH(Caseslist!B583, dataICM!D:D, 0)), "INC"),
      "COMPLETE"
    )
  )</f>
        <v>COMPLETE</v>
      </c>
      <c r="G583" s="10" t="str">
        <f t="array" ref="G583">IF(IFERROR(INDEX(data!L:L,match(Caseslist!B583,data!D:D,0)),"INC")="","COMPLETE",F583)</f>
        <v>COMPLETE</v>
      </c>
      <c r="H583" s="9" t="str">
        <f t="array" ref="H583">IFERROR(INDEX(dataICM!F:F,match(Caseslist!B583,dataICM!D:D,0)), "INC")</f>
        <v>INC</v>
      </c>
      <c r="I583" s="10" t="str">
        <f t="shared" si="2"/>
        <v>O3925718</v>
      </c>
      <c r="J583" s="9" t="str">
        <f t="array" ref="J583">IF(
  AND(
    IFERROR(MATCH(B583, data!D:D, 0), 0) &gt; 0,
    IFERROR(INDEX(data!N:N, MATCH(B583, data!D:D, 0)) = 1, FALSE)
  ),
  INDEX(data!C:C, MATCH(B583, data!D:D, 0)),
  "INC"
)</f>
        <v>2025-09-29T10:55:59.509+08</v>
      </c>
      <c r="K583" s="9" t="str">
        <f t="array" ref="K583">IFERROR(INDEX(dataICM!C:C,match(Caseslist!B583,dataICM!D:D,0)), "INC")</f>
        <v>INC</v>
      </c>
      <c r="L583" s="10" t="str">
        <f t="array" ref="L583">IF(AND(G583="COMPLETE", OR(K583="INC", ISBLANK(INDEX(data!O:O, ROW())))), J583, K583)</f>
        <v>2025-09-29T10:55:59.509+08</v>
      </c>
      <c r="M583" s="2">
        <v>45929.0</v>
      </c>
      <c r="N583" s="2">
        <f t="array" ref="N583">IF(M583&lt;&gt;"INC", INDEX(data!M:M, MATCH(B583, data!D:D, 0)), "")</f>
        <v>0</v>
      </c>
      <c r="O583" s="2">
        <f t="shared" si="3"/>
        <v>0</v>
      </c>
    </row>
    <row r="584">
      <c r="A584" s="2" t="str">
        <f t="shared" si="1"/>
        <v>H006719</v>
      </c>
      <c r="B584" s="1" t="s">
        <v>3717</v>
      </c>
      <c r="C584" s="9" t="str">
        <f t="array" ref="C584">IF(
  AND(
    IFERROR(MATCH(Caseslist!B584, data!D:D, 0), 0) &gt; 0,
    IFERROR(INDEX(data!N:N, MATCH(Caseslist!B584, data!D:D, 0)) = 1, FALSE)
  ),
  "COMPLETE",
  "INC"
)</f>
        <v>COMPLETE</v>
      </c>
      <c r="D584" s="9" t="str">
        <f t="array" ref="D584">IFERROR(INDEX(data!$G:$G,match(Caseslist!B584,data!$D:$D,0)), "INC")</f>
        <v>N7814260</v>
      </c>
      <c r="E584" s="9" t="str">
        <f t="array" ref="E584">IFERROR(INDEX(data!H:H,match(Caseslist!B584,data!D:D,0)), "INC")</f>
        <v>Jemma Marie Tillo</v>
      </c>
      <c r="F584" s="10" t="str">
        <f t="array" ref="F584">IF(
    OR(
      IFNA(INDEX(data!M:M, MATCH(Caseslist!B584, data!D:D, 0)), "") = "",
      IFNA(INDEX(data!M:M, MATCH(Caseslist!B584, data!D:D, 0)), 0) = 0
    ),
    "COMPLETE",
    IF(
      IFNA(INDEX(dataICM!D:D, MATCH(Caseslist!B584, dataICM!D:D, 0)), "INC") = "INC",
      IFNA(INDEX(dataICM!D:D, MATCH(Caseslist!B584, dataICM!D:D, 0)), "INC"),
      "COMPLETE"
    )
  )</f>
        <v>COMPLETE</v>
      </c>
      <c r="G584" s="10" t="str">
        <f t="array" ref="G584">IF(IFERROR(INDEX(data!L:L,match(Caseslist!B584,data!D:D,0)),"INC")="","COMPLETE",F584)</f>
        <v>COMPLETE</v>
      </c>
      <c r="H584" s="9" t="str">
        <f t="array" ref="H584">IFERROR(INDEX(dataICM!F:F,match(Caseslist!B584,dataICM!D:D,0)), "INC")</f>
        <v>INC</v>
      </c>
      <c r="I584" s="10" t="str">
        <f t="shared" si="2"/>
        <v>N7814260</v>
      </c>
      <c r="J584" s="9" t="str">
        <f t="array" ref="J584">IF(
  AND(
    IFERROR(MATCH(B584, data!D:D, 0), 0) &gt; 0,
    IFERROR(INDEX(data!N:N, MATCH(B584, data!D:D, 0)) = 1, FALSE)
  ),
  INDEX(data!C:C, MATCH(B584, data!D:D, 0)),
  "INC"
)</f>
        <v>2025-09-05T10:35:21.291+08</v>
      </c>
      <c r="K584" s="9" t="str">
        <f t="array" ref="K584">IFERROR(INDEX(dataICM!C:C,match(Caseslist!B584,dataICM!D:D,0)), "INC")</f>
        <v>INC</v>
      </c>
      <c r="L584" s="10" t="str">
        <f t="array" ref="L584">IF(AND(G584="COMPLETE", OR(K584="INC", ISBLANK(INDEX(data!O:O, ROW())))), J584, K584)</f>
        <v>2025-09-05T10:35:21.291+08</v>
      </c>
      <c r="M584" s="2">
        <v>45905.0</v>
      </c>
      <c r="N584" s="2">
        <f t="array" ref="N584">IF(M584&lt;&gt;"INC", INDEX(data!M:M, MATCH(B584, data!D:D, 0)), "")</f>
        <v>0</v>
      </c>
      <c r="O584" s="2">
        <f t="shared" si="3"/>
        <v>0</v>
      </c>
    </row>
    <row r="585">
      <c r="A585" s="2" t="str">
        <f t="shared" si="1"/>
        <v>H006719</v>
      </c>
      <c r="B585" s="1" t="s">
        <v>3712</v>
      </c>
      <c r="C585" s="9" t="str">
        <f t="array" ref="C585">IF(
  AND(
    IFERROR(MATCH(Caseslist!B585, data!D:D, 0), 0) &gt; 0,
    IFERROR(INDEX(data!N:N, MATCH(Caseslist!B585, data!D:D, 0)) = 1, FALSE)
  ),
  "COMPLETE",
  "INC"
)</f>
        <v>COMPLETE</v>
      </c>
      <c r="D585" s="9" t="str">
        <f t="array" ref="D585">IFERROR(INDEX(data!$G:$G,match(Caseslist!B585,data!$D:$D,0)), "INC")</f>
        <v>N7814260</v>
      </c>
      <c r="E585" s="9" t="str">
        <f t="array" ref="E585">IFERROR(INDEX(data!H:H,match(Caseslist!B585,data!D:D,0)), "INC")</f>
        <v>Jemma Marie Tillo</v>
      </c>
      <c r="F585" s="10" t="str">
        <f t="array" ref="F585">IF(
    OR(
      IFNA(INDEX(data!M:M, MATCH(Caseslist!B585, data!D:D, 0)), "") = "",
      IFNA(INDEX(data!M:M, MATCH(Caseslist!B585, data!D:D, 0)), 0) = 0
    ),
    "COMPLETE",
    IF(
      IFNA(INDEX(dataICM!D:D, MATCH(Caseslist!B585, dataICM!D:D, 0)), "INC") = "INC",
      IFNA(INDEX(dataICM!D:D, MATCH(Caseslist!B585, dataICM!D:D, 0)), "INC"),
      "COMPLETE"
    )
  )</f>
        <v>COMPLETE</v>
      </c>
      <c r="G585" s="10" t="str">
        <f t="array" ref="G585">IF(IFERROR(INDEX(data!L:L,match(Caseslist!B585,data!D:D,0)),"INC")="","COMPLETE",F585)</f>
        <v>COMPLETE</v>
      </c>
      <c r="H585" s="9" t="str">
        <f t="array" ref="H585">IFERROR(INDEX(dataICM!F:F,match(Caseslist!B585,dataICM!D:D,0)), "INC")</f>
        <v>INC</v>
      </c>
      <c r="I585" s="10" t="str">
        <f t="shared" si="2"/>
        <v>N7814260</v>
      </c>
      <c r="J585" s="9" t="str">
        <f t="array" ref="J585">IF(
  AND(
    IFERROR(MATCH(B585, data!D:D, 0), 0) &gt; 0,
    IFERROR(INDEX(data!N:N, MATCH(B585, data!D:D, 0)) = 1, FALSE)
  ),
  INDEX(data!C:C, MATCH(B585, data!D:D, 0)),
  "INC"
)</f>
        <v>2025-09-05T17:59:44.948+08</v>
      </c>
      <c r="K585" s="9" t="str">
        <f t="array" ref="K585">IFERROR(INDEX(dataICM!C:C,match(Caseslist!B585,dataICM!D:D,0)), "INC")</f>
        <v>INC</v>
      </c>
      <c r="L585" s="10" t="str">
        <f t="array" ref="L585">IF(AND(G585="COMPLETE", OR(K585="INC", ISBLANK(INDEX(data!O:O, ROW())))), J585, K585)</f>
        <v>2025-09-05T17:59:44.948+08</v>
      </c>
      <c r="M585" s="2">
        <v>45905.0</v>
      </c>
      <c r="N585" s="2">
        <f t="array" ref="N585">IF(M585&lt;&gt;"INC", INDEX(data!M:M, MATCH(B585, data!D:D, 0)), "")</f>
        <v>0</v>
      </c>
      <c r="O585" s="2">
        <f t="shared" si="3"/>
        <v>0</v>
      </c>
    </row>
    <row r="586">
      <c r="A586" s="2" t="str">
        <f t="shared" si="1"/>
        <v>H006719</v>
      </c>
      <c r="B586" s="1" t="s">
        <v>4227</v>
      </c>
      <c r="C586" s="9" t="str">
        <f t="array" ref="C586">IF(
  AND(
    IFERROR(MATCH(Caseslist!B586, data!D:D, 0), 0) &gt; 0,
    IFERROR(INDEX(data!N:N, MATCH(Caseslist!B586, data!D:D, 0)) = 1, FALSE)
  ),
  "COMPLETE",
  "INC"
)</f>
        <v>COMPLETE</v>
      </c>
      <c r="D586" s="9" t="str">
        <f t="array" ref="D586">IFERROR(INDEX(data!$G:$G,match(Caseslist!B586,data!$D:$D,0)), "INC")</f>
        <v>P1068432</v>
      </c>
      <c r="E586" s="9" t="str">
        <f t="array" ref="E586">IFERROR(INDEX(data!H:H,match(Caseslist!B586,data!D:D,0)), "INC")</f>
        <v>Mark Daniel Balagao Benson</v>
      </c>
      <c r="F586" s="10" t="str">
        <f t="array" ref="F586">IF(
    OR(
      IFNA(INDEX(data!M:M, MATCH(Caseslist!B586, data!D:D, 0)), "") = "",
      IFNA(INDEX(data!M:M, MATCH(Caseslist!B586, data!D:D, 0)), 0) = 0
    ),
    "COMPLETE",
    IF(
      IFNA(INDEX(dataICM!D:D, MATCH(Caseslist!B586, dataICM!D:D, 0)), "INC") = "INC",
      IFNA(INDEX(dataICM!D:D, MATCH(Caseslist!B586, dataICM!D:D, 0)), "INC"),
      "COMPLETE"
    )
  )</f>
        <v>COMPLETE</v>
      </c>
      <c r="G586" s="10" t="str">
        <f t="array" ref="G586">IF(IFERROR(INDEX(data!L:L,match(Caseslist!B586,data!D:D,0)),"INC")="","COMPLETE",F586)</f>
        <v>COMPLETE</v>
      </c>
      <c r="H586" s="9" t="str">
        <f t="array" ref="H586">IFERROR(INDEX(dataICM!F:F,match(Caseslist!B586,dataICM!D:D,0)), "INC")</f>
        <v>INC</v>
      </c>
      <c r="I586" s="10" t="str">
        <f t="shared" si="2"/>
        <v>P1068432</v>
      </c>
      <c r="J586" s="9" t="str">
        <f t="array" ref="J586">IF(
  AND(
    IFERROR(MATCH(B586, data!D:D, 0), 0) &gt; 0,
    IFERROR(INDEX(data!N:N, MATCH(B586, data!D:D, 0)) = 1, FALSE)
  ),
  INDEX(data!C:C, MATCH(B586, data!D:D, 0)),
  "INC"
)</f>
        <v>2025-09-06T11:05:37.545+08</v>
      </c>
      <c r="K586" s="9" t="str">
        <f t="array" ref="K586">IFERROR(INDEX(dataICM!C:C,match(Caseslist!B586,dataICM!D:D,0)), "INC")</f>
        <v>INC</v>
      </c>
      <c r="L586" s="10" t="str">
        <f t="array" ref="L586">IF(AND(G586="COMPLETE", OR(K586="INC", ISBLANK(INDEX(data!O:O, ROW())))), J586, K586)</f>
        <v>2025-09-06T11:05:37.545+08</v>
      </c>
      <c r="M586" s="2">
        <v>45906.0</v>
      </c>
      <c r="N586" s="2">
        <f t="array" ref="N586">IF(M586&lt;&gt;"INC", INDEX(data!M:M, MATCH(B586, data!D:D, 0)), "")</f>
        <v>0</v>
      </c>
      <c r="O586" s="2">
        <f t="shared" si="3"/>
        <v>0</v>
      </c>
    </row>
    <row r="587">
      <c r="A587" s="2" t="str">
        <f t="shared" si="1"/>
        <v>H006719</v>
      </c>
      <c r="B587" s="1" t="s">
        <v>4222</v>
      </c>
      <c r="C587" s="9" t="str">
        <f t="array" ref="C587">IF(
  AND(
    IFERROR(MATCH(Caseslist!B587, data!D:D, 0), 0) &gt; 0,
    IFERROR(INDEX(data!N:N, MATCH(Caseslist!B587, data!D:D, 0)) = 1, FALSE)
  ),
  "COMPLETE",
  "INC"
)</f>
        <v>COMPLETE</v>
      </c>
      <c r="D587" s="9" t="str">
        <f t="array" ref="D587">IFERROR(INDEX(data!$G:$G,match(Caseslist!B587,data!$D:$D,0)), "INC")</f>
        <v>P1068432</v>
      </c>
      <c r="E587" s="9" t="str">
        <f t="array" ref="E587">IFERROR(INDEX(data!H:H,match(Caseslist!B587,data!D:D,0)), "INC")</f>
        <v>Mark Daniel Balagao Benson</v>
      </c>
      <c r="F587" s="10" t="str">
        <f t="array" ref="F587">IF(
    OR(
      IFNA(INDEX(data!M:M, MATCH(Caseslist!B587, data!D:D, 0)), "") = "",
      IFNA(INDEX(data!M:M, MATCH(Caseslist!B587, data!D:D, 0)), 0) = 0
    ),
    "COMPLETE",
    IF(
      IFNA(INDEX(dataICM!D:D, MATCH(Caseslist!B587, dataICM!D:D, 0)), "INC") = "INC",
      IFNA(INDEX(dataICM!D:D, MATCH(Caseslist!B587, dataICM!D:D, 0)), "INC"),
      "COMPLETE"
    )
  )</f>
        <v>COMPLETE</v>
      </c>
      <c r="G587" s="10" t="str">
        <f t="array" ref="G587">IF(IFERROR(INDEX(data!L:L,match(Caseslist!B587,data!D:D,0)),"INC")="","COMPLETE",F587)</f>
        <v>COMPLETE</v>
      </c>
      <c r="H587" s="9" t="str">
        <f t="array" ref="H587">IFERROR(INDEX(dataICM!F:F,match(Caseslist!B587,dataICM!D:D,0)), "INC")</f>
        <v>INC</v>
      </c>
      <c r="I587" s="10" t="str">
        <f t="shared" si="2"/>
        <v>P1068432</v>
      </c>
      <c r="J587" s="9" t="str">
        <f t="array" ref="J587">IF(
  AND(
    IFERROR(MATCH(B587, data!D:D, 0), 0) &gt; 0,
    IFERROR(INDEX(data!N:N, MATCH(B587, data!D:D, 0)) = 1, FALSE)
  ),
  INDEX(data!C:C, MATCH(B587, data!D:D, 0)),
  "INC"
)</f>
        <v>2025-09-06T09:23:16.522+08</v>
      </c>
      <c r="K587" s="9" t="str">
        <f t="array" ref="K587">IFERROR(INDEX(dataICM!C:C,match(Caseslist!B587,dataICM!D:D,0)), "INC")</f>
        <v>INC</v>
      </c>
      <c r="L587" s="10" t="str">
        <f t="array" ref="L587">IF(AND(G587="COMPLETE", OR(K587="INC", ISBLANK(INDEX(data!O:O, ROW())))), J587, K587)</f>
        <v>2025-09-06T09:23:16.522+08</v>
      </c>
      <c r="M587" s="2">
        <v>45906.0</v>
      </c>
      <c r="N587" s="2">
        <f t="array" ref="N587">IF(M587&lt;&gt;"INC", INDEX(data!M:M, MATCH(B587, data!D:D, 0)), "")</f>
        <v>0</v>
      </c>
      <c r="O587" s="2">
        <f t="shared" si="3"/>
        <v>0</v>
      </c>
    </row>
    <row r="588">
      <c r="A588" s="2" t="str">
        <f t="shared" si="1"/>
        <v>H006719</v>
      </c>
      <c r="B588" s="1" t="s">
        <v>4202</v>
      </c>
      <c r="C588" s="9" t="str">
        <f t="array" ref="C588">IF(
  AND(
    IFERROR(MATCH(Caseslist!B588, data!D:D, 0), 0) &gt; 0,
    IFERROR(INDEX(data!N:N, MATCH(Caseslist!B588, data!D:D, 0)) = 1, FALSE)
  ),
  "COMPLETE",
  "INC"
)</f>
        <v>COMPLETE</v>
      </c>
      <c r="D588" s="9" t="str">
        <f t="array" ref="D588">IFERROR(INDEX(data!$G:$G,match(Caseslist!B588,data!$D:$D,0)), "INC")</f>
        <v>O3925718</v>
      </c>
      <c r="E588" s="9" t="str">
        <f t="array" ref="E588">IFERROR(INDEX(data!H:H,match(Caseslist!B588,data!D:D,0)), "INC")</f>
        <v>Adrian Montecastro Ferrer</v>
      </c>
      <c r="F588" s="10" t="str">
        <f t="array" ref="F588">IF(
    OR(
      IFNA(INDEX(data!M:M, MATCH(Caseslist!B588, data!D:D, 0)), "") = "",
      IFNA(INDEX(data!M:M, MATCH(Caseslist!B588, data!D:D, 0)), 0) = 0
    ),
    "COMPLETE",
    IF(
      IFNA(INDEX(dataICM!D:D, MATCH(Caseslist!B588, dataICM!D:D, 0)), "INC") = "INC",
      IFNA(INDEX(dataICM!D:D, MATCH(Caseslist!B588, dataICM!D:D, 0)), "INC"),
      "COMPLETE"
    )
  )</f>
        <v>COMPLETE</v>
      </c>
      <c r="G588" s="10" t="str">
        <f t="array" ref="G588">IF(IFERROR(INDEX(data!L:L,match(Caseslist!B588,data!D:D,0)),"INC")="","COMPLETE",F588)</f>
        <v>COMPLETE</v>
      </c>
      <c r="H588" s="9" t="str">
        <f t="array" ref="H588">IFERROR(INDEX(dataICM!F:F,match(Caseslist!B588,dataICM!D:D,0)), "INC")</f>
        <v>INC</v>
      </c>
      <c r="I588" s="10" t="str">
        <f t="shared" si="2"/>
        <v>O3925718</v>
      </c>
      <c r="J588" s="9" t="str">
        <f t="array" ref="J588">IF(
  AND(
    IFERROR(MATCH(B588, data!D:D, 0), 0) &gt; 0,
    IFERROR(INDEX(data!N:N, MATCH(B588, data!D:D, 0)) = 1, FALSE)
  ),
  INDEX(data!C:C, MATCH(B588, data!D:D, 0)),
  "INC"
)</f>
        <v>2025-09-06T09:19:20.283+08</v>
      </c>
      <c r="K588" s="9" t="str">
        <f t="array" ref="K588">IFERROR(INDEX(dataICM!C:C,match(Caseslist!B588,dataICM!D:D,0)), "INC")</f>
        <v>INC</v>
      </c>
      <c r="L588" s="10" t="str">
        <f t="array" ref="L588">IF(AND(G588="COMPLETE", OR(K588="INC", ISBLANK(INDEX(data!O:O, ROW())))), J588, K588)</f>
        <v>2025-09-06T09:19:20.283+08</v>
      </c>
      <c r="M588" s="2">
        <v>45906.0</v>
      </c>
      <c r="N588" s="2">
        <f t="array" ref="N588">IF(M588&lt;&gt;"INC", INDEX(data!M:M, MATCH(B588, data!D:D, 0)), "")</f>
        <v>0</v>
      </c>
      <c r="O588" s="2">
        <f t="shared" si="3"/>
        <v>0</v>
      </c>
    </row>
    <row r="589">
      <c r="A589" s="2" t="str">
        <f t="shared" si="1"/>
        <v>H006719</v>
      </c>
      <c r="B589" s="1" t="s">
        <v>4197</v>
      </c>
      <c r="C589" s="9" t="str">
        <f t="array" ref="C589">IF(
  AND(
    IFERROR(MATCH(Caseslist!B589, data!D:D, 0), 0) &gt; 0,
    IFERROR(INDEX(data!N:N, MATCH(Caseslist!B589, data!D:D, 0)) = 1, FALSE)
  ),
  "COMPLETE",
  "INC"
)</f>
        <v>COMPLETE</v>
      </c>
      <c r="D589" s="9" t="str">
        <f t="array" ref="D589">IFERROR(INDEX(data!$G:$G,match(Caseslist!B589,data!$D:$D,0)), "INC")</f>
        <v>O3925718</v>
      </c>
      <c r="E589" s="9" t="str">
        <f t="array" ref="E589">IFERROR(INDEX(data!H:H,match(Caseslist!B589,data!D:D,0)), "INC")</f>
        <v>Adrian Montecastro Ferrer</v>
      </c>
      <c r="F589" s="10" t="str">
        <f t="array" ref="F589">IF(
    OR(
      IFNA(INDEX(data!M:M, MATCH(Caseslist!B589, data!D:D, 0)), "") = "",
      IFNA(INDEX(data!M:M, MATCH(Caseslist!B589, data!D:D, 0)), 0) = 0
    ),
    "COMPLETE",
    IF(
      IFNA(INDEX(dataICM!D:D, MATCH(Caseslist!B589, dataICM!D:D, 0)), "INC") = "INC",
      IFNA(INDEX(dataICM!D:D, MATCH(Caseslist!B589, dataICM!D:D, 0)), "INC"),
      "COMPLETE"
    )
  )</f>
        <v>COMPLETE</v>
      </c>
      <c r="G589" s="10" t="str">
        <f t="array" ref="G589">IF(IFERROR(INDEX(data!L:L,match(Caseslist!B589,data!D:D,0)),"INC")="","COMPLETE",F589)</f>
        <v>COMPLETE</v>
      </c>
      <c r="H589" s="9" t="str">
        <f t="array" ref="H589">IFERROR(INDEX(dataICM!F:F,match(Caseslist!B589,dataICM!D:D,0)), "INC")</f>
        <v>INC</v>
      </c>
      <c r="I589" s="10" t="str">
        <f t="shared" si="2"/>
        <v>O3925718</v>
      </c>
      <c r="J589" s="9" t="str">
        <f t="array" ref="J589">IF(
  AND(
    IFERROR(MATCH(B589, data!D:D, 0), 0) &gt; 0,
    IFERROR(INDEX(data!N:N, MATCH(B589, data!D:D, 0)) = 1, FALSE)
  ),
  INDEX(data!C:C, MATCH(B589, data!D:D, 0)),
  "INC"
)</f>
        <v>2025-09-06T10:37:00.759+08</v>
      </c>
      <c r="K589" s="9" t="str">
        <f t="array" ref="K589">IFERROR(INDEX(dataICM!C:C,match(Caseslist!B589,dataICM!D:D,0)), "INC")</f>
        <v>INC</v>
      </c>
      <c r="L589" s="10" t="str">
        <f t="array" ref="L589">IF(AND(G589="COMPLETE", OR(K589="INC", ISBLANK(INDEX(data!O:O, ROW())))), J589, K589)</f>
        <v>2025-09-06T10:37:00.759+08</v>
      </c>
      <c r="M589" s="2">
        <v>45906.0</v>
      </c>
      <c r="N589" s="2">
        <f t="array" ref="N589">IF(M589&lt;&gt;"INC", INDEX(data!M:M, MATCH(B589, data!D:D, 0)), "")</f>
        <v>0</v>
      </c>
      <c r="O589" s="2">
        <f t="shared" si="3"/>
        <v>0</v>
      </c>
    </row>
    <row r="590">
      <c r="A590" s="2" t="str">
        <f t="shared" si="1"/>
        <v>H006719</v>
      </c>
      <c r="B590" s="1" t="s">
        <v>4237</v>
      </c>
      <c r="C590" s="9" t="str">
        <f t="array" ref="C590">IF(
  AND(
    IFERROR(MATCH(Caseslist!B590, data!D:D, 0), 0) &gt; 0,
    IFERROR(INDEX(data!N:N, MATCH(Caseslist!B590, data!D:D, 0)) = 1, FALSE)
  ),
  "COMPLETE",
  "INC"
)</f>
        <v>COMPLETE</v>
      </c>
      <c r="D590" s="9" t="str">
        <f t="array" ref="D590">IFERROR(INDEX(data!$G:$G,match(Caseslist!B590,data!$D:$D,0)), "INC")</f>
        <v>P1068432</v>
      </c>
      <c r="E590" s="9" t="str">
        <f t="array" ref="E590">IFERROR(INDEX(data!H:H,match(Caseslist!B590,data!D:D,0)), "INC")</f>
        <v>Mark Daniel Balagao Benson</v>
      </c>
      <c r="F590" s="10" t="str">
        <f t="array" ref="F590">IF(
    OR(
      IFNA(INDEX(data!M:M, MATCH(Caseslist!B590, data!D:D, 0)), "") = "",
      IFNA(INDEX(data!M:M, MATCH(Caseslist!B590, data!D:D, 0)), 0) = 0
    ),
    "COMPLETE",
    IF(
      IFNA(INDEX(dataICM!D:D, MATCH(Caseslist!B590, dataICM!D:D, 0)), "INC") = "INC",
      IFNA(INDEX(dataICM!D:D, MATCH(Caseslist!B590, dataICM!D:D, 0)), "INC"),
      "COMPLETE"
    )
  )</f>
        <v>COMPLETE</v>
      </c>
      <c r="G590" s="10" t="str">
        <f t="array" ref="G590">IF(IFERROR(INDEX(data!L:L,match(Caseslist!B590,data!D:D,0)),"INC")="","COMPLETE",F590)</f>
        <v>COMPLETE</v>
      </c>
      <c r="H590" s="9" t="str">
        <f t="array" ref="H590">IFERROR(INDEX(dataICM!F:F,match(Caseslist!B590,dataICM!D:D,0)), "INC")</f>
        <v>INC</v>
      </c>
      <c r="I590" s="10" t="str">
        <f t="shared" si="2"/>
        <v>P1068432</v>
      </c>
      <c r="J590" s="9" t="str">
        <f t="array" ref="J590">IF(
  AND(
    IFERROR(MATCH(B590, data!D:D, 0), 0) &gt; 0,
    IFERROR(INDEX(data!N:N, MATCH(B590, data!D:D, 0)) = 1, FALSE)
  ),
  INDEX(data!C:C, MATCH(B590, data!D:D, 0)),
  "INC"
)</f>
        <v>2025-09-06T15:05:45.714+08</v>
      </c>
      <c r="K590" s="9" t="str">
        <f t="array" ref="K590">IFERROR(INDEX(dataICM!C:C,match(Caseslist!B590,dataICM!D:D,0)), "INC")</f>
        <v>INC</v>
      </c>
      <c r="L590" s="10" t="str">
        <f t="array" ref="L590">IF(AND(G590="COMPLETE", OR(K590="INC", ISBLANK(INDEX(data!O:O, ROW())))), J590, K590)</f>
        <v>2025-09-06T15:05:45.714+08</v>
      </c>
      <c r="M590" s="2">
        <v>45906.0</v>
      </c>
      <c r="N590" s="2">
        <f t="array" ref="N590">IF(M590&lt;&gt;"INC", INDEX(data!M:M, MATCH(B590, data!D:D, 0)), "")</f>
        <v>0</v>
      </c>
      <c r="O590" s="2">
        <f t="shared" si="3"/>
        <v>0</v>
      </c>
    </row>
    <row r="591">
      <c r="A591" s="2" t="str">
        <f t="shared" si="1"/>
        <v>H006719</v>
      </c>
      <c r="B591" s="1" t="s">
        <v>4187</v>
      </c>
      <c r="C591" s="9" t="str">
        <f t="array" ref="C591">IF(
  AND(
    IFERROR(MATCH(Caseslist!B591, data!D:D, 0), 0) &gt; 0,
    IFERROR(INDEX(data!N:N, MATCH(Caseslist!B591, data!D:D, 0)) = 1, FALSE)
  ),
  "COMPLETE",
  "INC"
)</f>
        <v>COMPLETE</v>
      </c>
      <c r="D591" s="9" t="str">
        <f t="array" ref="D591">IFERROR(INDEX(data!$G:$G,match(Caseslist!B591,data!$D:$D,0)), "INC")</f>
        <v>O3925718</v>
      </c>
      <c r="E591" s="9" t="str">
        <f t="array" ref="E591">IFERROR(INDEX(data!H:H,match(Caseslist!B591,data!D:D,0)), "INC")</f>
        <v>Adrian Montecastro Ferrer</v>
      </c>
      <c r="F591" s="10" t="str">
        <f t="array" ref="F591">IF(
    OR(
      IFNA(INDEX(data!M:M, MATCH(Caseslist!B591, data!D:D, 0)), "") = "",
      IFNA(INDEX(data!M:M, MATCH(Caseslist!B591, data!D:D, 0)), 0) = 0
    ),
    "COMPLETE",
    IF(
      IFNA(INDEX(dataICM!D:D, MATCH(Caseslist!B591, dataICM!D:D, 0)), "INC") = "INC",
      IFNA(INDEX(dataICM!D:D, MATCH(Caseslist!B591, dataICM!D:D, 0)), "INC"),
      "COMPLETE"
    )
  )</f>
        <v>COMPLETE</v>
      </c>
      <c r="G591" s="10" t="str">
        <f t="array" ref="G591">IF(IFERROR(INDEX(data!L:L,match(Caseslist!B591,data!D:D,0)),"INC")="","COMPLETE",F591)</f>
        <v>COMPLETE</v>
      </c>
      <c r="H591" s="9" t="str">
        <f t="array" ref="H591">IFERROR(INDEX(dataICM!F:F,match(Caseslist!B591,dataICM!D:D,0)), "INC")</f>
        <v>INC</v>
      </c>
      <c r="I591" s="10" t="str">
        <f t="shared" si="2"/>
        <v>O3925718</v>
      </c>
      <c r="J591" s="9" t="str">
        <f t="array" ref="J591">IF(
  AND(
    IFERROR(MATCH(B591, data!D:D, 0), 0) &gt; 0,
    IFERROR(INDEX(data!N:N, MATCH(B591, data!D:D, 0)) = 1, FALSE)
  ),
  INDEX(data!C:C, MATCH(B591, data!D:D, 0)),
  "INC"
)</f>
        <v>2025-09-25T10:47:26.555+08</v>
      </c>
      <c r="K591" s="9" t="str">
        <f t="array" ref="K591">IFERROR(INDEX(dataICM!C:C,match(Caseslist!B591,dataICM!D:D,0)), "INC")</f>
        <v>INC</v>
      </c>
      <c r="L591" s="10" t="str">
        <f t="array" ref="L591">IF(AND(G591="COMPLETE", OR(K591="INC", ISBLANK(INDEX(data!O:O, ROW())))), J591, K591)</f>
        <v>2025-09-25T10:47:26.555+08</v>
      </c>
      <c r="M591" s="2">
        <v>45925.0</v>
      </c>
      <c r="N591" s="2">
        <f t="array" ref="N591">IF(M591&lt;&gt;"INC", INDEX(data!M:M, MATCH(B591, data!D:D, 0)), "")</f>
        <v>0</v>
      </c>
      <c r="O591" s="2">
        <f t="shared" si="3"/>
        <v>0</v>
      </c>
    </row>
    <row r="592">
      <c r="A592" s="2" t="str">
        <f t="shared" si="1"/>
        <v>H006719</v>
      </c>
      <c r="B592" s="1" t="s">
        <v>4192</v>
      </c>
      <c r="C592" s="9" t="str">
        <f t="array" ref="C592">IF(
  AND(
    IFERROR(MATCH(Caseslist!B592, data!D:D, 0), 0) &gt; 0,
    IFERROR(INDEX(data!N:N, MATCH(Caseslist!B592, data!D:D, 0)) = 1, FALSE)
  ),
  "COMPLETE",
  "INC"
)</f>
        <v>COMPLETE</v>
      </c>
      <c r="D592" s="9" t="str">
        <f t="array" ref="D592">IFERROR(INDEX(data!$G:$G,match(Caseslist!B592,data!$D:$D,0)), "INC")</f>
        <v>O3925718</v>
      </c>
      <c r="E592" s="9" t="str">
        <f t="array" ref="E592">IFERROR(INDEX(data!H:H,match(Caseslist!B592,data!D:D,0)), "INC")</f>
        <v>Adrian Montecastro Ferrer</v>
      </c>
      <c r="F592" s="10" t="str">
        <f t="array" ref="F592">IF(
    OR(
      IFNA(INDEX(data!M:M, MATCH(Caseslist!B592, data!D:D, 0)), "") = "",
      IFNA(INDEX(data!M:M, MATCH(Caseslist!B592, data!D:D, 0)), 0) = 0
    ),
    "COMPLETE",
    IF(
      IFNA(INDEX(dataICM!D:D, MATCH(Caseslist!B592, dataICM!D:D, 0)), "INC") = "INC",
      IFNA(INDEX(dataICM!D:D, MATCH(Caseslist!B592, dataICM!D:D, 0)), "INC"),
      "COMPLETE"
    )
  )</f>
        <v>COMPLETE</v>
      </c>
      <c r="G592" s="10" t="str">
        <f t="array" ref="G592">IF(IFERROR(INDEX(data!L:L,match(Caseslist!B592,data!D:D,0)),"INC")="","COMPLETE",F592)</f>
        <v>COMPLETE</v>
      </c>
      <c r="H592" s="9" t="str">
        <f t="array" ref="H592">IFERROR(INDEX(dataICM!F:F,match(Caseslist!B592,dataICM!D:D,0)), "INC")</f>
        <v>INC</v>
      </c>
      <c r="I592" s="10" t="str">
        <f t="shared" si="2"/>
        <v>O3925718</v>
      </c>
      <c r="J592" s="9" t="str">
        <f t="array" ref="J592">IF(
  AND(
    IFERROR(MATCH(B592, data!D:D, 0), 0) &gt; 0,
    IFERROR(INDEX(data!N:N, MATCH(B592, data!D:D, 0)) = 1, FALSE)
  ),
  INDEX(data!C:C, MATCH(B592, data!D:D, 0)),
  "INC"
)</f>
        <v>2025-09-06T11:53:48.611+08</v>
      </c>
      <c r="K592" s="9" t="str">
        <f t="array" ref="K592">IFERROR(INDEX(dataICM!C:C,match(Caseslist!B592,dataICM!D:D,0)), "INC")</f>
        <v>INC</v>
      </c>
      <c r="L592" s="10" t="str">
        <f t="array" ref="L592">IF(AND(G592="COMPLETE", OR(K592="INC", ISBLANK(INDEX(data!O:O, ROW())))), J592, K592)</f>
        <v>2025-09-06T11:53:48.611+08</v>
      </c>
      <c r="M592" s="2">
        <v>45906.0</v>
      </c>
      <c r="N592" s="2">
        <f t="array" ref="N592">IF(M592&lt;&gt;"INC", INDEX(data!M:M, MATCH(B592, data!D:D, 0)), "")</f>
        <v>0</v>
      </c>
      <c r="O592" s="2">
        <f t="shared" si="3"/>
        <v>0</v>
      </c>
    </row>
    <row r="593">
      <c r="A593" s="2" t="str">
        <f t="shared" si="1"/>
        <v>H006719</v>
      </c>
      <c r="B593" s="1" t="s">
        <v>4242</v>
      </c>
      <c r="C593" s="9" t="str">
        <f t="array" ref="C593">IF(
  AND(
    IFERROR(MATCH(Caseslist!B593, data!D:D, 0), 0) &gt; 0,
    IFERROR(INDEX(data!N:N, MATCH(Caseslist!B593, data!D:D, 0)) = 1, FALSE)
  ),
  "COMPLETE",
  "INC"
)</f>
        <v>INC</v>
      </c>
      <c r="D593" s="9" t="str">
        <f t="array" ref="D593">IFERROR(INDEX(data!$G:$G,match(Caseslist!B593,data!$D:$D,0)), "INC")</f>
        <v>P1068432</v>
      </c>
      <c r="E593" s="9" t="str">
        <f t="array" ref="E593">IFERROR(INDEX(data!H:H,match(Caseslist!B593,data!D:D,0)), "INC")</f>
        <v>Mark Daniel Balagao Benson</v>
      </c>
      <c r="F593" s="10" t="str">
        <f t="array" ref="F593">IF(
    OR(
      IFNA(INDEX(data!M:M, MATCH(Caseslist!B593, data!D:D, 0)), "") = "",
      IFNA(INDEX(data!M:M, MATCH(Caseslist!B593, data!D:D, 0)), 0) = 0
    ),
    "COMPLETE",
    IF(
      IFNA(INDEX(dataICM!D:D, MATCH(Caseslist!B593, dataICM!D:D, 0)), "INC") = "INC",
      IFNA(INDEX(dataICM!D:D, MATCH(Caseslist!B593, dataICM!D:D, 0)), "INC"),
      "COMPLETE"
    )
  )</f>
        <v>COMPLETE</v>
      </c>
      <c r="G593" s="10" t="str">
        <f t="array" ref="G593">IF(IFERROR(INDEX(data!L:L,match(Caseslist!B593,data!D:D,0)),"INC")="","COMPLETE",F593)</f>
        <v>COMPLETE</v>
      </c>
      <c r="H593" s="9" t="str">
        <f t="array" ref="H593">IFERROR(INDEX(dataICM!F:F,match(Caseslist!B593,dataICM!D:D,0)), "INC")</f>
        <v>INC</v>
      </c>
      <c r="I593" s="10" t="str">
        <f t="shared" si="2"/>
        <v>P1068432</v>
      </c>
      <c r="J593" s="9" t="str">
        <f t="array" ref="J593">IF(
  AND(
    IFERROR(MATCH(B593, data!D:D, 0), 0) &gt; 0,
    IFERROR(INDEX(data!N:N, MATCH(B593, data!D:D, 0)) = 1, FALSE)
  ),
  INDEX(data!C:C, MATCH(B593, data!D:D, 0)),
  "INC"
)</f>
        <v>INC</v>
      </c>
      <c r="K593" s="9" t="str">
        <f t="array" ref="K593">IFERROR(INDEX(dataICM!C:C,match(Caseslist!B593,dataICM!D:D,0)), "INC")</f>
        <v>INC</v>
      </c>
      <c r="L593" s="10" t="str">
        <f t="array" ref="L593">IF(AND(G593="COMPLETE", OR(K593="INC", ISBLANK(INDEX(data!O:O, ROW())))), J593, K593)</f>
        <v>INC</v>
      </c>
      <c r="M593" s="2" t="s">
        <v>8886</v>
      </c>
      <c r="N593" s="2" t="str">
        <f t="array" ref="N593">IF(M593&lt;&gt;"INC", INDEX(data!M:M, MATCH(B593, data!D:D, 0)), "")</f>
        <v/>
      </c>
      <c r="O593" s="2" t="str">
        <f t="shared" si="3"/>
        <v/>
      </c>
    </row>
    <row r="594">
      <c r="A594" s="2" t="str">
        <f t="shared" si="1"/>
        <v>H006734</v>
      </c>
      <c r="B594" s="1" t="s">
        <v>3627</v>
      </c>
      <c r="C594" s="9" t="str">
        <f t="array" ref="C594">IF(
  AND(
    IFERROR(MATCH(Caseslist!B594, data!D:D, 0), 0) &gt; 0,
    IFERROR(INDEX(data!N:N, MATCH(Caseslist!B594, data!D:D, 0)) = 1, FALSE)
  ),
  "COMPLETE",
  "INC"
)</f>
        <v>COMPLETE</v>
      </c>
      <c r="D594" s="9" t="str">
        <f t="array" ref="D594">IFERROR(INDEX(data!$G:$G,match(Caseslist!B594,data!$D:$D,0)), "INC")</f>
        <v>L2057896</v>
      </c>
      <c r="E594" s="9" t="str">
        <f t="array" ref="E594">IFERROR(INDEX(data!H:H,match(Caseslist!B594,data!D:D,0)), "INC")</f>
        <v>Franz Reoben Posadas Geneblaza</v>
      </c>
      <c r="F594" s="10" t="str">
        <f t="array" ref="F594">IF(
    OR(
      IFNA(INDEX(data!M:M, MATCH(Caseslist!B594, data!D:D, 0)), "") = "",
      IFNA(INDEX(data!M:M, MATCH(Caseslist!B594, data!D:D, 0)), 0) = 0
    ),
    "COMPLETE",
    IF(
      IFNA(INDEX(dataICM!D:D, MATCH(Caseslist!B594, dataICM!D:D, 0)), "INC") = "INC",
      IFNA(INDEX(dataICM!D:D, MATCH(Caseslist!B594, dataICM!D:D, 0)), "INC"),
      "COMPLETE"
    )
  )</f>
        <v>COMPLETE</v>
      </c>
      <c r="G594" s="10" t="str">
        <f t="array" ref="G594">IF(IFERROR(INDEX(data!L:L,match(Caseslist!B594,data!D:D,0)),"INC")="","COMPLETE",F594)</f>
        <v>COMPLETE</v>
      </c>
      <c r="H594" s="9" t="str">
        <f t="array" ref="H594">IFERROR(INDEX(dataICM!F:F,match(Caseslist!B594,dataICM!D:D,0)), "INC")</f>
        <v>Franz Reoben Posadas Geneblaza</v>
      </c>
      <c r="I594" s="10" t="str">
        <f t="shared" si="2"/>
        <v>L2057896</v>
      </c>
      <c r="J594" s="9" t="str">
        <f t="array" ref="J594">IF(
  AND(
    IFERROR(MATCH(B594, data!D:D, 0), 0) &gt; 0,
    IFERROR(INDEX(data!N:N, MATCH(B594, data!D:D, 0)) = 1, FALSE)
  ),
  INDEX(data!C:C, MATCH(B594, data!D:D, 0)),
  "INC"
)</f>
        <v>2025-09-04T15:09:36.815+08</v>
      </c>
      <c r="K594" s="9" t="str">
        <f t="array" ref="K594">IFERROR(INDEX(dataICM!C:C,match(Caseslist!B594,dataICM!D:D,0)), "INC")</f>
        <v>2025-09-04T15:27:47.467+08</v>
      </c>
      <c r="L594" s="10" t="str">
        <f t="array" ref="L594">IF(AND(G594="COMPLETE", OR(K594="INC", ISBLANK(INDEX(data!O:O, ROW())))), J594, K594)</f>
        <v>2025-09-04T15:27:47.467+08</v>
      </c>
      <c r="M594" s="2">
        <v>45904.0</v>
      </c>
      <c r="N594" s="2">
        <f t="array" ref="N594">IF(M594&lt;&gt;"INC", INDEX(data!M:M, MATCH(B594, data!D:D, 0)), "")</f>
        <v>2</v>
      </c>
      <c r="O594" s="2">
        <f t="shared" si="3"/>
        <v>2</v>
      </c>
    </row>
    <row r="595">
      <c r="A595" s="2" t="str">
        <f t="shared" si="1"/>
        <v>H006734</v>
      </c>
      <c r="B595" s="1" t="s">
        <v>3647</v>
      </c>
      <c r="C595" s="9" t="str">
        <f t="array" ref="C595">IF(
  AND(
    IFERROR(MATCH(Caseslist!B595, data!D:D, 0), 0) &gt; 0,
    IFERROR(INDEX(data!N:N, MATCH(Caseslist!B595, data!D:D, 0)) = 1, FALSE)
  ),
  "COMPLETE",
  "INC"
)</f>
        <v>COMPLETE</v>
      </c>
      <c r="D595" s="9" t="str">
        <f t="array" ref="D595">IFERROR(INDEX(data!$G:$G,match(Caseslist!B595,data!$D:$D,0)), "INC")</f>
        <v>M6491032</v>
      </c>
      <c r="E595" s="9" t="str">
        <f t="array" ref="E595">IFERROR(INDEX(data!H:H,match(Caseslist!B595,data!D:D,0)), "INC")</f>
        <v>Rosevil Tayo Desamparado</v>
      </c>
      <c r="F595" s="10" t="str">
        <f t="array" ref="F595">IF(
    OR(
      IFNA(INDEX(data!M:M, MATCH(Caseslist!B595, data!D:D, 0)), "") = "",
      IFNA(INDEX(data!M:M, MATCH(Caseslist!B595, data!D:D, 0)), 0) = 0
    ),
    "COMPLETE",
    IF(
      IFNA(INDEX(dataICM!D:D, MATCH(Caseslist!B595, dataICM!D:D, 0)), "INC") = "INC",
      IFNA(INDEX(dataICM!D:D, MATCH(Caseslist!B595, dataICM!D:D, 0)), "INC"),
      "COMPLETE"
    )
  )</f>
        <v>COMPLETE</v>
      </c>
      <c r="G595" s="10" t="str">
        <f t="array" ref="G595">IF(IFERROR(INDEX(data!L:L,match(Caseslist!B595,data!D:D,0)),"INC")="","COMPLETE",F595)</f>
        <v>COMPLETE</v>
      </c>
      <c r="H595" s="9" t="str">
        <f t="array" ref="H595">IFERROR(INDEX(dataICM!F:F,match(Caseslist!B595,dataICM!D:D,0)), "INC")</f>
        <v>Rosevil Tayo Desamparado</v>
      </c>
      <c r="I595" s="10" t="str">
        <f t="shared" si="2"/>
        <v>M6491032</v>
      </c>
      <c r="J595" s="9" t="str">
        <f t="array" ref="J595">IF(
  AND(
    IFERROR(MATCH(B595, data!D:D, 0), 0) &gt; 0,
    IFERROR(INDEX(data!N:N, MATCH(B595, data!D:D, 0)) = 1, FALSE)
  ),
  INDEX(data!C:C, MATCH(B595, data!D:D, 0)),
  "INC"
)</f>
        <v>2025-09-04T16:19:07.371+08</v>
      </c>
      <c r="K595" s="9" t="str">
        <f t="array" ref="K595">IFERROR(INDEX(dataICM!C:C,match(Caseslist!B595,dataICM!D:D,0)), "INC")</f>
        <v>2025-09-04T16:19:22.160+08</v>
      </c>
      <c r="L595" s="10" t="str">
        <f t="array" ref="L595">IF(AND(G595="COMPLETE", OR(K595="INC", ISBLANK(INDEX(data!O:O, ROW())))), J595, K595)</f>
        <v>2025-09-04T16:19:22.160+08</v>
      </c>
      <c r="M595" s="2">
        <v>45904.0</v>
      </c>
      <c r="N595" s="2">
        <f t="array" ref="N595">IF(M595&lt;&gt;"INC", INDEX(data!M:M, MATCH(B595, data!D:D, 0)), "")</f>
        <v>2</v>
      </c>
      <c r="O595" s="2">
        <f t="shared" si="3"/>
        <v>2</v>
      </c>
    </row>
    <row r="596">
      <c r="A596" s="2" t="str">
        <f t="shared" si="1"/>
        <v>H006734</v>
      </c>
      <c r="B596" s="1" t="s">
        <v>3892</v>
      </c>
      <c r="C596" s="9" t="str">
        <f t="array" ref="C596">IF(
  AND(
    IFERROR(MATCH(Caseslist!B596, data!D:D, 0), 0) &gt; 0,
    IFERROR(INDEX(data!N:N, MATCH(Caseslist!B596, data!D:D, 0)) = 1, FALSE)
  ),
  "COMPLETE",
  "INC"
)</f>
        <v>COMPLETE</v>
      </c>
      <c r="D596" s="9" t="str">
        <f t="array" ref="D596">IFERROR(INDEX(data!$G:$G,match(Caseslist!B596,data!$D:$D,0)), "INC")</f>
        <v>J4315980</v>
      </c>
      <c r="E596" s="9" t="str">
        <f t="array" ref="E596">IFERROR(INDEX(data!H:H,match(Caseslist!B596,data!D:D,0)), "INC")</f>
        <v>Trixie Marie Jardeleza Saber</v>
      </c>
      <c r="F596" s="10" t="str">
        <f t="array" ref="F596">IF(
    OR(
      IFNA(INDEX(data!M:M, MATCH(Caseslist!B596, data!D:D, 0)), "") = "",
      IFNA(INDEX(data!M:M, MATCH(Caseslist!B596, data!D:D, 0)), 0) = 0
    ),
    "COMPLETE",
    IF(
      IFNA(INDEX(dataICM!D:D, MATCH(Caseslist!B596, dataICM!D:D, 0)), "INC") = "INC",
      IFNA(INDEX(dataICM!D:D, MATCH(Caseslist!B596, dataICM!D:D, 0)), "INC"),
      "COMPLETE"
    )
  )</f>
        <v>COMPLETE</v>
      </c>
      <c r="G596" s="10" t="str">
        <f t="array" ref="G596">IF(IFERROR(INDEX(data!L:L,match(Caseslist!B596,data!D:D,0)),"INC")="","COMPLETE",F596)</f>
        <v>COMPLETE</v>
      </c>
      <c r="H596" s="9" t="str">
        <f t="array" ref="H596">IFERROR(INDEX(dataICM!F:F,match(Caseslist!B596,dataICM!D:D,0)), "INC")</f>
        <v>Trixie Marie Jardeleza Saber</v>
      </c>
      <c r="I596" s="10" t="str">
        <f t="shared" si="2"/>
        <v>J4315980</v>
      </c>
      <c r="J596" s="9" t="str">
        <f t="array" ref="J596">IF(
  AND(
    IFERROR(MATCH(B596, data!D:D, 0), 0) &gt; 0,
    IFERROR(INDEX(data!N:N, MATCH(B596, data!D:D, 0)) = 1, FALSE)
  ),
  INDEX(data!C:C, MATCH(B596, data!D:D, 0)),
  "INC"
)</f>
        <v>2025-09-05T08:50:06.707+08</v>
      </c>
      <c r="K596" s="9" t="str">
        <f t="array" ref="K596">IFERROR(INDEX(dataICM!C:C,match(Caseslist!B596,dataICM!D:D,0)), "INC")</f>
        <v>2025-09-05T08:55:21.286+08</v>
      </c>
      <c r="L596" s="10" t="str">
        <f t="array" ref="L596">IF(AND(G596="COMPLETE", OR(K596="INC", ISBLANK(INDEX(data!O:O, ROW())))), J596, K596)</f>
        <v>2025-09-05T08:55:21.286+08</v>
      </c>
      <c r="M596" s="2">
        <v>45905.0</v>
      </c>
      <c r="N596" s="2">
        <f t="array" ref="N596">IF(M596&lt;&gt;"INC", INDEX(data!M:M, MATCH(B596, data!D:D, 0)), "")</f>
        <v>2</v>
      </c>
      <c r="O596" s="2">
        <f t="shared" si="3"/>
        <v>2</v>
      </c>
    </row>
    <row r="597">
      <c r="A597" s="2" t="str">
        <f t="shared" si="1"/>
        <v>H006734</v>
      </c>
      <c r="B597" s="1" t="s">
        <v>3642</v>
      </c>
      <c r="C597" s="9" t="str">
        <f t="array" ref="C597">IF(
  AND(
    IFERROR(MATCH(Caseslist!B597, data!D:D, 0), 0) &gt; 0,
    IFERROR(INDEX(data!N:N, MATCH(Caseslist!B597, data!D:D, 0)) = 1, FALSE)
  ),
  "COMPLETE",
  "INC"
)</f>
        <v>COMPLETE</v>
      </c>
      <c r="D597" s="9" t="str">
        <f t="array" ref="D597">IFERROR(INDEX(data!$G:$G,match(Caseslist!B597,data!$D:$D,0)), "INC")</f>
        <v>M6491032</v>
      </c>
      <c r="E597" s="9" t="str">
        <f t="array" ref="E597">IFERROR(INDEX(data!H:H,match(Caseslist!B597,data!D:D,0)), "INC")</f>
        <v>Rosevil Tayo Desamparado</v>
      </c>
      <c r="F597" s="10" t="str">
        <f t="array" ref="F597">IF(
    OR(
      IFNA(INDEX(data!M:M, MATCH(Caseslist!B597, data!D:D, 0)), "") = "",
      IFNA(INDEX(data!M:M, MATCH(Caseslist!B597, data!D:D, 0)), 0) = 0
    ),
    "COMPLETE",
    IF(
      IFNA(INDEX(dataICM!D:D, MATCH(Caseslist!B597, dataICM!D:D, 0)), "INC") = "INC",
      IFNA(INDEX(dataICM!D:D, MATCH(Caseslist!B597, dataICM!D:D, 0)), "INC"),
      "COMPLETE"
    )
  )</f>
        <v>COMPLETE</v>
      </c>
      <c r="G597" s="10" t="str">
        <f t="array" ref="G597">IF(IFERROR(INDEX(data!L:L,match(Caseslist!B597,data!D:D,0)),"INC")="","COMPLETE",F597)</f>
        <v>COMPLETE</v>
      </c>
      <c r="H597" s="9" t="str">
        <f t="array" ref="H597">IFERROR(INDEX(dataICM!F:F,match(Caseslist!B597,dataICM!D:D,0)), "INC")</f>
        <v>Rosevil Tayo Desamparado</v>
      </c>
      <c r="I597" s="10" t="str">
        <f t="shared" si="2"/>
        <v>M6491032</v>
      </c>
      <c r="J597" s="9" t="str">
        <f t="array" ref="J597">IF(
  AND(
    IFERROR(MATCH(B597, data!D:D, 0), 0) &gt; 0,
    IFERROR(INDEX(data!N:N, MATCH(B597, data!D:D, 0)) = 1, FALSE)
  ),
  INDEX(data!C:C, MATCH(B597, data!D:D, 0)),
  "INC"
)</f>
        <v>2025-09-04T16:13:07.745+08</v>
      </c>
      <c r="K597" s="9" t="str">
        <f t="array" ref="K597">IFERROR(INDEX(dataICM!C:C,match(Caseslist!B597,dataICM!D:D,0)), "INC")</f>
        <v>2025-09-04T16:13:21.177+08</v>
      </c>
      <c r="L597" s="10" t="str">
        <f t="array" ref="L597">IF(AND(G597="COMPLETE", OR(K597="INC", ISBLANK(INDEX(data!O:O, ROW())))), J597, K597)</f>
        <v>2025-09-04T16:13:21.177+08</v>
      </c>
      <c r="M597" s="2">
        <v>45904.0</v>
      </c>
      <c r="N597" s="2">
        <f t="array" ref="N597">IF(M597&lt;&gt;"INC", INDEX(data!M:M, MATCH(B597, data!D:D, 0)), "")</f>
        <v>2</v>
      </c>
      <c r="O597" s="2">
        <f t="shared" si="3"/>
        <v>2</v>
      </c>
    </row>
    <row r="598">
      <c r="A598" s="2" t="str">
        <f t="shared" si="1"/>
        <v>H006734</v>
      </c>
      <c r="B598" s="1" t="s">
        <v>3692</v>
      </c>
      <c r="C598" s="9" t="str">
        <f t="array" ref="C598">IF(
  AND(
    IFERROR(MATCH(Caseslist!B598, data!D:D, 0), 0) &gt; 0,
    IFERROR(INDEX(data!N:N, MATCH(Caseslist!B598, data!D:D, 0)) = 1, FALSE)
  ),
  "COMPLETE",
  "INC"
)</f>
        <v>COMPLETE</v>
      </c>
      <c r="D598" s="9" t="str">
        <f t="array" ref="D598">IFERROR(INDEX(data!$G:$G,match(Caseslist!B598,data!$D:$D,0)), "INC")</f>
        <v>K8623174</v>
      </c>
      <c r="E598" s="9" t="str">
        <f t="array" ref="E598">IFERROR(INDEX(data!H:H,match(Caseslist!B598,data!D:D,0)), "INC")</f>
        <v>Marielle Kaye Ignacio Alonzo</v>
      </c>
      <c r="F598" s="10" t="str">
        <f t="array" ref="F598">IF(
    OR(
      IFNA(INDEX(data!M:M, MATCH(Caseslist!B598, data!D:D, 0)), "") = "",
      IFNA(INDEX(data!M:M, MATCH(Caseslist!B598, data!D:D, 0)), 0) = 0
    ),
    "COMPLETE",
    IF(
      IFNA(INDEX(dataICM!D:D, MATCH(Caseslist!B598, dataICM!D:D, 0)), "INC") = "INC",
      IFNA(INDEX(dataICM!D:D, MATCH(Caseslist!B598, dataICM!D:D, 0)), "INC"),
      "COMPLETE"
    )
  )</f>
        <v>COMPLETE</v>
      </c>
      <c r="G598" s="10" t="str">
        <f t="array" ref="G598">IF(IFERROR(INDEX(data!L:L,match(Caseslist!B598,data!D:D,0)),"INC")="","COMPLETE",F598)</f>
        <v>COMPLETE</v>
      </c>
      <c r="H598" s="9" t="str">
        <f t="array" ref="H598">IFERROR(INDEX(dataICM!F:F,match(Caseslist!B598,dataICM!D:D,0)), "INC")</f>
        <v>Marielle Kaye Ignacio Alonzo</v>
      </c>
      <c r="I598" s="10" t="str">
        <f t="shared" si="2"/>
        <v>K8623174</v>
      </c>
      <c r="J598" s="9" t="str">
        <f t="array" ref="J598">IF(
  AND(
    IFERROR(MATCH(B598, data!D:D, 0), 0) &gt; 0,
    IFERROR(INDEX(data!N:N, MATCH(B598, data!D:D, 0)) = 1, FALSE)
  ),
  INDEX(data!C:C, MATCH(B598, data!D:D, 0)),
  "INC"
)</f>
        <v>2025-09-04T16:40:56.098+08</v>
      </c>
      <c r="K598" s="9" t="str">
        <f t="array" ref="K598">IFERROR(INDEX(dataICM!C:C,match(Caseslist!B598,dataICM!D:D,0)), "INC")</f>
        <v>2025-09-04T16:58:58.572+08</v>
      </c>
      <c r="L598" s="10" t="str">
        <f t="array" ref="L598">IF(AND(G598="COMPLETE", OR(K598="INC", ISBLANK(INDEX(data!O:O, ROW())))), J598, K598)</f>
        <v>2025-09-04T16:58:58.572+08</v>
      </c>
      <c r="M598" s="2">
        <v>45904.0</v>
      </c>
      <c r="N598" s="2">
        <f t="array" ref="N598">IF(M598&lt;&gt;"INC", INDEX(data!M:M, MATCH(B598, data!D:D, 0)), "")</f>
        <v>2</v>
      </c>
      <c r="O598" s="2">
        <f t="shared" si="3"/>
        <v>2</v>
      </c>
    </row>
    <row r="599">
      <c r="A599" s="2" t="str">
        <f t="shared" si="1"/>
        <v>H006734</v>
      </c>
      <c r="B599" s="1" t="s">
        <v>3902</v>
      </c>
      <c r="C599" s="9" t="str">
        <f t="array" ref="C599">IF(
  AND(
    IFERROR(MATCH(Caseslist!B599, data!D:D, 0), 0) &gt; 0,
    IFERROR(INDEX(data!N:N, MATCH(Caseslist!B599, data!D:D, 0)) = 1, FALSE)
  ),
  "COMPLETE",
  "INC"
)</f>
        <v>COMPLETE</v>
      </c>
      <c r="D599" s="9" t="str">
        <f t="array" ref="D599">IFERROR(INDEX(data!$G:$G,match(Caseslist!B599,data!$D:$D,0)), "INC")</f>
        <v>J4315980</v>
      </c>
      <c r="E599" s="9" t="str">
        <f t="array" ref="E599">IFERROR(INDEX(data!H:H,match(Caseslist!B599,data!D:D,0)), "INC")</f>
        <v>Trixie Marie Jardeleza Saber</v>
      </c>
      <c r="F599" s="10" t="str">
        <f t="array" ref="F599">IF(
    OR(
      IFNA(INDEX(data!M:M, MATCH(Caseslist!B599, data!D:D, 0)), "") = "",
      IFNA(INDEX(data!M:M, MATCH(Caseslist!B599, data!D:D, 0)), 0) = 0
    ),
    "COMPLETE",
    IF(
      IFNA(INDEX(dataICM!D:D, MATCH(Caseslist!B599, dataICM!D:D, 0)), "INC") = "INC",
      IFNA(INDEX(dataICM!D:D, MATCH(Caseslist!B599, dataICM!D:D, 0)), "INC"),
      "COMPLETE"
    )
  )</f>
        <v>COMPLETE</v>
      </c>
      <c r="G599" s="10" t="str">
        <f t="array" ref="G599">IF(IFERROR(INDEX(data!L:L,match(Caseslist!B599,data!D:D,0)),"INC")="","COMPLETE",F599)</f>
        <v>COMPLETE</v>
      </c>
      <c r="H599" s="9" t="str">
        <f t="array" ref="H599">IFERROR(INDEX(dataICM!F:F,match(Caseslist!B599,dataICM!D:D,0)), "INC")</f>
        <v>Trixie Marie Jardeleza Saber</v>
      </c>
      <c r="I599" s="10" t="str">
        <f t="shared" si="2"/>
        <v>J4315980</v>
      </c>
      <c r="J599" s="9" t="str">
        <f t="array" ref="J599">IF(
  AND(
    IFERROR(MATCH(B599, data!D:D, 0), 0) &gt; 0,
    IFERROR(INDEX(data!N:N, MATCH(B599, data!D:D, 0)) = 1, FALSE)
  ),
  INDEX(data!C:C, MATCH(B599, data!D:D, 0)),
  "INC"
)</f>
        <v>2025-09-05T11:18:10.878+08</v>
      </c>
      <c r="K599" s="9" t="str">
        <f t="array" ref="K599">IFERROR(INDEX(dataICM!C:C,match(Caseslist!B599,dataICM!D:D,0)), "INC")</f>
        <v>2025-09-05T11:25:16.373+08</v>
      </c>
      <c r="L599" s="10" t="str">
        <f t="array" ref="L599">IF(AND(G599="COMPLETE", OR(K599="INC", ISBLANK(INDEX(data!O:O, ROW())))), J599, K599)</f>
        <v>2025-09-05T11:25:16.373+08</v>
      </c>
      <c r="M599" s="2">
        <v>45905.0</v>
      </c>
      <c r="N599" s="2">
        <f t="array" ref="N599">IF(M599&lt;&gt;"INC", INDEX(data!M:M, MATCH(B599, data!D:D, 0)), "")</f>
        <v>2</v>
      </c>
      <c r="O599" s="2">
        <f t="shared" si="3"/>
        <v>2</v>
      </c>
    </row>
    <row r="600">
      <c r="A600" s="2" t="str">
        <f t="shared" si="1"/>
        <v>H006734</v>
      </c>
      <c r="B600" s="1" t="s">
        <v>3637</v>
      </c>
      <c r="C600" s="9" t="str">
        <f t="array" ref="C600">IF(
  AND(
    IFERROR(MATCH(Caseslist!B600, data!D:D, 0), 0) &gt; 0,
    IFERROR(INDEX(data!N:N, MATCH(Caseslist!B600, data!D:D, 0)) = 1, FALSE)
  ),
  "COMPLETE",
  "INC"
)</f>
        <v>COMPLETE</v>
      </c>
      <c r="D600" s="9" t="str">
        <f t="array" ref="D600">IFERROR(INDEX(data!$G:$G,match(Caseslist!B600,data!$D:$D,0)), "INC")</f>
        <v>M6491032</v>
      </c>
      <c r="E600" s="9" t="str">
        <f t="array" ref="E600">IFERROR(INDEX(data!H:H,match(Caseslist!B600,data!D:D,0)), "INC")</f>
        <v>Rosevil Tayo Desamparado</v>
      </c>
      <c r="F600" s="10" t="str">
        <f t="array" ref="F600">IF(
    OR(
      IFNA(INDEX(data!M:M, MATCH(Caseslist!B600, data!D:D, 0)), "") = "",
      IFNA(INDEX(data!M:M, MATCH(Caseslist!B600, data!D:D, 0)), 0) = 0
    ),
    "COMPLETE",
    IF(
      IFNA(INDEX(dataICM!D:D, MATCH(Caseslist!B600, dataICM!D:D, 0)), "INC") = "INC",
      IFNA(INDEX(dataICM!D:D, MATCH(Caseslist!B600, dataICM!D:D, 0)), "INC"),
      "COMPLETE"
    )
  )</f>
        <v>COMPLETE</v>
      </c>
      <c r="G600" s="10" t="str">
        <f t="array" ref="G600">IF(IFERROR(INDEX(data!L:L,match(Caseslist!B600,data!D:D,0)),"INC")="","COMPLETE",F600)</f>
        <v>COMPLETE</v>
      </c>
      <c r="H600" s="9" t="str">
        <f t="array" ref="H600">IFERROR(INDEX(dataICM!F:F,match(Caseslist!B600,dataICM!D:D,0)), "INC")</f>
        <v>Rosevil Tayo Desamparado</v>
      </c>
      <c r="I600" s="10" t="str">
        <f t="shared" si="2"/>
        <v>M6491032</v>
      </c>
      <c r="J600" s="9" t="str">
        <f t="array" ref="J600">IF(
  AND(
    IFERROR(MATCH(B600, data!D:D, 0), 0) &gt; 0,
    IFERROR(INDEX(data!N:N, MATCH(B600, data!D:D, 0)) = 1, FALSE)
  ),
  INDEX(data!C:C, MATCH(B600, data!D:D, 0)),
  "INC"
)</f>
        <v>2025-09-04T16:12:38.513+08</v>
      </c>
      <c r="K600" s="9" t="str">
        <f t="array" ref="K600">IFERROR(INDEX(dataICM!C:C,match(Caseslist!B600,dataICM!D:D,0)), "INC")</f>
        <v>2025-09-04T16:12:19.579+08</v>
      </c>
      <c r="L600" s="10" t="str">
        <f t="array" ref="L600">IF(AND(G600="COMPLETE", OR(K600="INC", ISBLANK(INDEX(data!O:O, ROW())))), J600, K600)</f>
        <v>2025-09-04T16:12:19.579+08</v>
      </c>
      <c r="M600" s="2">
        <v>45904.0</v>
      </c>
      <c r="N600" s="2">
        <f t="array" ref="N600">IF(M600&lt;&gt;"INC", INDEX(data!M:M, MATCH(B600, data!D:D, 0)), "")</f>
        <v>2</v>
      </c>
      <c r="O600" s="2">
        <f t="shared" si="3"/>
        <v>2</v>
      </c>
    </row>
    <row r="601">
      <c r="A601" s="2" t="str">
        <f t="shared" si="1"/>
        <v>H006734</v>
      </c>
      <c r="B601" s="1" t="s">
        <v>3897</v>
      </c>
      <c r="C601" s="9" t="str">
        <f t="array" ref="C601">IF(
  AND(
    IFERROR(MATCH(Caseslist!B601, data!D:D, 0), 0) &gt; 0,
    IFERROR(INDEX(data!N:N, MATCH(Caseslist!B601, data!D:D, 0)) = 1, FALSE)
  ),
  "COMPLETE",
  "INC"
)</f>
        <v>COMPLETE</v>
      </c>
      <c r="D601" s="9" t="str">
        <f t="array" ref="D601">IFERROR(INDEX(data!$G:$G,match(Caseslist!B601,data!$D:$D,0)), "INC")</f>
        <v>J4315980</v>
      </c>
      <c r="E601" s="9" t="str">
        <f t="array" ref="E601">IFERROR(INDEX(data!H:H,match(Caseslist!B601,data!D:D,0)), "INC")</f>
        <v>Trixie Marie Jardeleza Saber</v>
      </c>
      <c r="F601" s="10" t="str">
        <f t="array" ref="F601">IF(
    OR(
      IFNA(INDEX(data!M:M, MATCH(Caseslist!B601, data!D:D, 0)), "") = "",
      IFNA(INDEX(data!M:M, MATCH(Caseslist!B601, data!D:D, 0)), 0) = 0
    ),
    "COMPLETE",
    IF(
      IFNA(INDEX(dataICM!D:D, MATCH(Caseslist!B601, dataICM!D:D, 0)), "INC") = "INC",
      IFNA(INDEX(dataICM!D:D, MATCH(Caseslist!B601, dataICM!D:D, 0)), "INC"),
      "COMPLETE"
    )
  )</f>
        <v>COMPLETE</v>
      </c>
      <c r="G601" s="10" t="str">
        <f t="array" ref="G601">IF(IFERROR(INDEX(data!L:L,match(Caseslist!B601,data!D:D,0)),"INC")="","COMPLETE",F601)</f>
        <v>COMPLETE</v>
      </c>
      <c r="H601" s="9" t="str">
        <f t="array" ref="H601">IFERROR(INDEX(dataICM!F:F,match(Caseslist!B601,dataICM!D:D,0)), "INC")</f>
        <v>Trixie Marie Jardeleza Saber</v>
      </c>
      <c r="I601" s="10" t="str">
        <f t="shared" si="2"/>
        <v>J4315980</v>
      </c>
      <c r="J601" s="9" t="str">
        <f t="array" ref="J601">IF(
  AND(
    IFERROR(MATCH(B601, data!D:D, 0), 0) &gt; 0,
    IFERROR(INDEX(data!N:N, MATCH(B601, data!D:D, 0)) = 1, FALSE)
  ),
  INDEX(data!C:C, MATCH(B601, data!D:D, 0)),
  "INC"
)</f>
        <v>2025-09-05T10:07:47.048+08</v>
      </c>
      <c r="K601" s="9" t="str">
        <f t="array" ref="K601">IFERROR(INDEX(dataICM!C:C,match(Caseslist!B601,dataICM!D:D,0)), "INC")</f>
        <v>2025-09-05T10:14:27.905+08</v>
      </c>
      <c r="L601" s="10" t="str">
        <f t="array" ref="L601">IF(AND(G601="COMPLETE", OR(K601="INC", ISBLANK(INDEX(data!O:O, ROW())))), J601, K601)</f>
        <v>2025-09-05T10:14:27.905+08</v>
      </c>
      <c r="M601" s="2">
        <v>45905.0</v>
      </c>
      <c r="N601" s="2">
        <f t="array" ref="N601">IF(M601&lt;&gt;"INC", INDEX(data!M:M, MATCH(B601, data!D:D, 0)), "")</f>
        <v>2</v>
      </c>
      <c r="O601" s="2">
        <f t="shared" si="3"/>
        <v>2</v>
      </c>
    </row>
    <row r="602">
      <c r="A602" s="2" t="str">
        <f t="shared" si="1"/>
        <v>H006734</v>
      </c>
      <c r="B602" s="1" t="s">
        <v>3652</v>
      </c>
      <c r="C602" s="9" t="str">
        <f t="array" ref="C602">IF(
  AND(
    IFERROR(MATCH(Caseslist!B602, data!D:D, 0), 0) &gt; 0,
    IFERROR(INDEX(data!N:N, MATCH(Caseslist!B602, data!D:D, 0)) = 1, FALSE)
  ),
  "COMPLETE",
  "INC"
)</f>
        <v>COMPLETE</v>
      </c>
      <c r="D602" s="9" t="str">
        <f t="array" ref="D602">IFERROR(INDEX(data!$G:$G,match(Caseslist!B602,data!$D:$D,0)), "INC")</f>
        <v>M6491032</v>
      </c>
      <c r="E602" s="9" t="str">
        <f t="array" ref="E602">IFERROR(INDEX(data!H:H,match(Caseslist!B602,data!D:D,0)), "INC")</f>
        <v>Rosevil Tayo Desamparado</v>
      </c>
      <c r="F602" s="10" t="str">
        <f t="array" ref="F602">IF(
    OR(
      IFNA(INDEX(data!M:M, MATCH(Caseslist!B602, data!D:D, 0)), "") = "",
      IFNA(INDEX(data!M:M, MATCH(Caseslist!B602, data!D:D, 0)), 0) = 0
    ),
    "COMPLETE",
    IF(
      IFNA(INDEX(dataICM!D:D, MATCH(Caseslist!B602, dataICM!D:D, 0)), "INC") = "INC",
      IFNA(INDEX(dataICM!D:D, MATCH(Caseslist!B602, dataICM!D:D, 0)), "INC"),
      "COMPLETE"
    )
  )</f>
        <v>COMPLETE</v>
      </c>
      <c r="G602" s="10" t="str">
        <f t="array" ref="G602">IF(IFERROR(INDEX(data!L:L,match(Caseslist!B602,data!D:D,0)),"INC")="","COMPLETE",F602)</f>
        <v>COMPLETE</v>
      </c>
      <c r="H602" s="9" t="str">
        <f t="array" ref="H602">IFERROR(INDEX(dataICM!F:F,match(Caseslist!B602,dataICM!D:D,0)), "INC")</f>
        <v>Rosevil Tayo Desamparado</v>
      </c>
      <c r="I602" s="10" t="str">
        <f t="shared" si="2"/>
        <v>M6491032</v>
      </c>
      <c r="J602" s="9" t="str">
        <f t="array" ref="J602">IF(
  AND(
    IFERROR(MATCH(B602, data!D:D, 0), 0) &gt; 0,
    IFERROR(INDEX(data!N:N, MATCH(B602, data!D:D, 0)) = 1, FALSE)
  ),
  INDEX(data!C:C, MATCH(B602, data!D:D, 0)),
  "INC"
)</f>
        <v>2025-09-04T19:21:13.689+08</v>
      </c>
      <c r="K602" s="9" t="str">
        <f t="array" ref="K602">IFERROR(INDEX(dataICM!C:C,match(Caseslist!B602,dataICM!D:D,0)), "INC")</f>
        <v>2025-09-04T19:21:28.515+08</v>
      </c>
      <c r="L602" s="10" t="str">
        <f t="array" ref="L602">IF(AND(G602="COMPLETE", OR(K602="INC", ISBLANK(INDEX(data!O:O, ROW())))), J602, K602)</f>
        <v>2025-09-04T19:21:28.515+08</v>
      </c>
      <c r="M602" s="2">
        <v>45904.0</v>
      </c>
      <c r="N602" s="2">
        <f t="array" ref="N602">IF(M602&lt;&gt;"INC", INDEX(data!M:M, MATCH(B602, data!D:D, 0)), "")</f>
        <v>2</v>
      </c>
      <c r="O602" s="2">
        <f t="shared" si="3"/>
        <v>2</v>
      </c>
    </row>
    <row r="603">
      <c r="A603" s="2" t="str">
        <f t="shared" si="1"/>
        <v>H006734</v>
      </c>
      <c r="B603" s="1" t="s">
        <v>3622</v>
      </c>
      <c r="C603" s="9" t="str">
        <f t="array" ref="C603">IF(
  AND(
    IFERROR(MATCH(Caseslist!B603, data!D:D, 0), 0) &gt; 0,
    IFERROR(INDEX(data!N:N, MATCH(Caseslist!B603, data!D:D, 0)) = 1, FALSE)
  ),
  "COMPLETE",
  "INC"
)</f>
        <v>COMPLETE</v>
      </c>
      <c r="D603" s="9" t="str">
        <f t="array" ref="D603">IFERROR(INDEX(data!$G:$G,match(Caseslist!B603,data!$D:$D,0)), "INC")</f>
        <v>L2057896</v>
      </c>
      <c r="E603" s="9" t="str">
        <f t="array" ref="E603">IFERROR(INDEX(data!H:H,match(Caseslist!B603,data!D:D,0)), "INC")</f>
        <v>Franz Reoben Posadas Geneblaza</v>
      </c>
      <c r="F603" s="10" t="str">
        <f t="array" ref="F603">IF(
    OR(
      IFNA(INDEX(data!M:M, MATCH(Caseslist!B603, data!D:D, 0)), "") = "",
      IFNA(INDEX(data!M:M, MATCH(Caseslist!B603, data!D:D, 0)), 0) = 0
    ),
    "COMPLETE",
    IF(
      IFNA(INDEX(dataICM!D:D, MATCH(Caseslist!B603, dataICM!D:D, 0)), "INC") = "INC",
      IFNA(INDEX(dataICM!D:D, MATCH(Caseslist!B603, dataICM!D:D, 0)), "INC"),
      "COMPLETE"
    )
  )</f>
        <v>COMPLETE</v>
      </c>
      <c r="G603" s="10" t="str">
        <f t="array" ref="G603">IF(IFERROR(INDEX(data!L:L,match(Caseslist!B603,data!D:D,0)),"INC")="","COMPLETE",F603)</f>
        <v>COMPLETE</v>
      </c>
      <c r="H603" s="9" t="str">
        <f t="array" ref="H603">IFERROR(INDEX(dataICM!F:F,match(Caseslist!B603,dataICM!D:D,0)), "INC")</f>
        <v>Franz Reoben Posadas Geneblaza</v>
      </c>
      <c r="I603" s="10" t="str">
        <f t="shared" si="2"/>
        <v>L2057896</v>
      </c>
      <c r="J603" s="9" t="str">
        <f t="array" ref="J603">IF(
  AND(
    IFERROR(MATCH(B603, data!D:D, 0), 0) &gt; 0,
    IFERROR(INDEX(data!N:N, MATCH(B603, data!D:D, 0)) = 1, FALSE)
  ),
  INDEX(data!C:C, MATCH(B603, data!D:D, 0)),
  "INC"
)</f>
        <v>2025-09-04T13:50:19.409+08</v>
      </c>
      <c r="K603" s="9" t="str">
        <f t="array" ref="K603">IFERROR(INDEX(dataICM!C:C,match(Caseslist!B603,dataICM!D:D,0)), "INC")</f>
        <v>2025-09-04T14:23:47.600+08</v>
      </c>
      <c r="L603" s="10" t="str">
        <f t="array" ref="L603">IF(AND(G603="COMPLETE", OR(K603="INC", ISBLANK(INDEX(data!O:O, ROW())))), J603, K603)</f>
        <v>2025-09-04T14:23:47.600+08</v>
      </c>
      <c r="M603" s="2">
        <v>45904.0</v>
      </c>
      <c r="N603" s="2">
        <f t="array" ref="N603">IF(M603&lt;&gt;"INC", INDEX(data!M:M, MATCH(B603, data!D:D, 0)), "")</f>
        <v>2</v>
      </c>
      <c r="O603" s="2">
        <f t="shared" si="3"/>
        <v>2</v>
      </c>
    </row>
    <row r="604">
      <c r="A604" s="2" t="str">
        <f t="shared" si="1"/>
        <v>H006734</v>
      </c>
      <c r="B604" s="1" t="s">
        <v>3687</v>
      </c>
      <c r="C604" s="9" t="str">
        <f t="array" ref="C604">IF(
  AND(
    IFERROR(MATCH(Caseslist!B604, data!D:D, 0), 0) &gt; 0,
    IFERROR(INDEX(data!N:N, MATCH(Caseslist!B604, data!D:D, 0)) = 1, FALSE)
  ),
  "COMPLETE",
  "INC"
)</f>
        <v>COMPLETE</v>
      </c>
      <c r="D604" s="9" t="str">
        <f t="array" ref="D604">IFERROR(INDEX(data!$G:$G,match(Caseslist!B604,data!$D:$D,0)), "INC")</f>
        <v>K8623174</v>
      </c>
      <c r="E604" s="9" t="str">
        <f t="array" ref="E604">IFERROR(INDEX(data!H:H,match(Caseslist!B604,data!D:D,0)), "INC")</f>
        <v>Marielle Kaye Ignacio Alonzo</v>
      </c>
      <c r="F604" s="10" t="str">
        <f t="array" ref="F604">IF(
    OR(
      IFNA(INDEX(data!M:M, MATCH(Caseslist!B604, data!D:D, 0)), "") = "",
      IFNA(INDEX(data!M:M, MATCH(Caseslist!B604, data!D:D, 0)), 0) = 0
    ),
    "COMPLETE",
    IF(
      IFNA(INDEX(dataICM!D:D, MATCH(Caseslist!B604, dataICM!D:D, 0)), "INC") = "INC",
      IFNA(INDEX(dataICM!D:D, MATCH(Caseslist!B604, dataICM!D:D, 0)), "INC"),
      "COMPLETE"
    )
  )</f>
        <v>COMPLETE</v>
      </c>
      <c r="G604" s="10" t="str">
        <f t="array" ref="G604">IF(IFERROR(INDEX(data!L:L,match(Caseslist!B604,data!D:D,0)),"INC")="","COMPLETE",F604)</f>
        <v>COMPLETE</v>
      </c>
      <c r="H604" s="9" t="str">
        <f t="array" ref="H604">IFERROR(INDEX(dataICM!F:F,match(Caseslist!B604,dataICM!D:D,0)), "INC")</f>
        <v>Marielle Kaye Ignacio Alonzo</v>
      </c>
      <c r="I604" s="10" t="str">
        <f t="shared" si="2"/>
        <v>K8623174</v>
      </c>
      <c r="J604" s="9" t="str">
        <f t="array" ref="J604">IF(
  AND(
    IFERROR(MATCH(B604, data!D:D, 0), 0) &gt; 0,
    IFERROR(INDEX(data!N:N, MATCH(B604, data!D:D, 0)) = 1, FALSE)
  ),
  INDEX(data!C:C, MATCH(B604, data!D:D, 0)),
  "INC"
)</f>
        <v>2025-09-04T15:22:57.132+08</v>
      </c>
      <c r="K604" s="9" t="str">
        <f t="array" ref="K604">IFERROR(INDEX(dataICM!C:C,match(Caseslist!B604,dataICM!D:D,0)), "INC")</f>
        <v>2025-09-04T15:36:23.174+08</v>
      </c>
      <c r="L604" s="10" t="str">
        <f t="array" ref="L604">IF(AND(G604="COMPLETE", OR(K604="INC", ISBLANK(INDEX(data!O:O, ROW())))), J604, K604)</f>
        <v>2025-09-04T15:36:23.174+08</v>
      </c>
      <c r="M604" s="2">
        <v>45904.0</v>
      </c>
      <c r="N604" s="2">
        <f t="array" ref="N604">IF(M604&lt;&gt;"INC", INDEX(data!M:M, MATCH(B604, data!D:D, 0)), "")</f>
        <v>2</v>
      </c>
      <c r="O604" s="2">
        <f t="shared" si="3"/>
        <v>2</v>
      </c>
    </row>
    <row r="605">
      <c r="A605" s="2" t="str">
        <f t="shared" si="1"/>
        <v>H006734</v>
      </c>
      <c r="B605" s="1" t="s">
        <v>3697</v>
      </c>
      <c r="C605" s="9" t="str">
        <f t="array" ref="C605">IF(
  AND(
    IFERROR(MATCH(Caseslist!B605, data!D:D, 0), 0) &gt; 0,
    IFERROR(INDEX(data!N:N, MATCH(Caseslist!B605, data!D:D, 0)) = 1, FALSE)
  ),
  "COMPLETE",
  "INC"
)</f>
        <v>COMPLETE</v>
      </c>
      <c r="D605" s="9" t="str">
        <f t="array" ref="D605">IFERROR(INDEX(data!$G:$G,match(Caseslist!B605,data!$D:$D,0)), "INC")</f>
        <v>K8623174</v>
      </c>
      <c r="E605" s="9" t="str">
        <f t="array" ref="E605">IFERROR(INDEX(data!H:H,match(Caseslist!B605,data!D:D,0)), "INC")</f>
        <v>Marielle Kaye Ignacio Alonzo</v>
      </c>
      <c r="F605" s="10" t="str">
        <f t="array" ref="F605">IF(
    OR(
      IFNA(INDEX(data!M:M, MATCH(Caseslist!B605, data!D:D, 0)), "") = "",
      IFNA(INDEX(data!M:M, MATCH(Caseslist!B605, data!D:D, 0)), 0) = 0
    ),
    "COMPLETE",
    IF(
      IFNA(INDEX(dataICM!D:D, MATCH(Caseslist!B605, dataICM!D:D, 0)), "INC") = "INC",
      IFNA(INDEX(dataICM!D:D, MATCH(Caseslist!B605, dataICM!D:D, 0)), "INC"),
      "COMPLETE"
    )
  )</f>
        <v>COMPLETE</v>
      </c>
      <c r="G605" s="10" t="str">
        <f t="array" ref="G605">IF(IFERROR(INDEX(data!L:L,match(Caseslist!B605,data!D:D,0)),"INC")="","COMPLETE",F605)</f>
        <v>COMPLETE</v>
      </c>
      <c r="H605" s="9" t="str">
        <f t="array" ref="H605">IFERROR(INDEX(dataICM!F:F,match(Caseslist!B605,dataICM!D:D,0)), "INC")</f>
        <v>Marielle Kaye Ignacio Alonzo</v>
      </c>
      <c r="I605" s="10" t="str">
        <f t="shared" si="2"/>
        <v>K8623174</v>
      </c>
      <c r="J605" s="9" t="str">
        <f t="array" ref="J605">IF(
  AND(
    IFERROR(MATCH(B605, data!D:D, 0), 0) &gt; 0,
    IFERROR(INDEX(data!N:N, MATCH(B605, data!D:D, 0)) = 1, FALSE)
  ),
  INDEX(data!C:C, MATCH(B605, data!D:D, 0)),
  "INC"
)</f>
        <v>2025-09-04T13:48:13.971+08</v>
      </c>
      <c r="K605" s="9" t="str">
        <f t="array" ref="K605">IFERROR(INDEX(dataICM!C:C,match(Caseslist!B605,dataICM!D:D,0)), "INC")</f>
        <v>2025-09-04T14:20:38.880+08</v>
      </c>
      <c r="L605" s="10" t="str">
        <f t="array" ref="L605">IF(AND(G605="COMPLETE", OR(K605="INC", ISBLANK(INDEX(data!O:O, ROW())))), J605, K605)</f>
        <v>2025-09-04T14:20:38.880+08</v>
      </c>
      <c r="M605" s="2">
        <v>45904.0</v>
      </c>
      <c r="N605" s="2">
        <f t="array" ref="N605">IF(M605&lt;&gt;"INC", INDEX(data!M:M, MATCH(B605, data!D:D, 0)), "")</f>
        <v>2</v>
      </c>
      <c r="O605" s="2">
        <f t="shared" si="3"/>
        <v>2</v>
      </c>
    </row>
    <row r="606">
      <c r="A606" s="2" t="str">
        <f t="shared" si="1"/>
        <v>H006734</v>
      </c>
      <c r="B606" s="1" t="s">
        <v>3617</v>
      </c>
      <c r="C606" s="9" t="str">
        <f t="array" ref="C606">IF(
  AND(
    IFERROR(MATCH(Caseslist!B606, data!D:D, 0), 0) &gt; 0,
    IFERROR(INDEX(data!N:N, MATCH(Caseslist!B606, data!D:D, 0)) = 1, FALSE)
  ),
  "COMPLETE",
  "INC"
)</f>
        <v>COMPLETE</v>
      </c>
      <c r="D606" s="9" t="str">
        <f t="array" ref="D606">IFERROR(INDEX(data!$G:$G,match(Caseslist!B606,data!$D:$D,0)), "INC")</f>
        <v>L2057896</v>
      </c>
      <c r="E606" s="9" t="str">
        <f t="array" ref="E606">IFERROR(INDEX(data!H:H,match(Caseslist!B606,data!D:D,0)), "INC")</f>
        <v>Franz Reoben Posadas Geneblaza</v>
      </c>
      <c r="F606" s="10" t="str">
        <f t="array" ref="F606">IF(
    OR(
      IFNA(INDEX(data!M:M, MATCH(Caseslist!B606, data!D:D, 0)), "") = "",
      IFNA(INDEX(data!M:M, MATCH(Caseslist!B606, data!D:D, 0)), 0) = 0
    ),
    "COMPLETE",
    IF(
      IFNA(INDEX(dataICM!D:D, MATCH(Caseslist!B606, dataICM!D:D, 0)), "INC") = "INC",
      IFNA(INDEX(dataICM!D:D, MATCH(Caseslist!B606, dataICM!D:D, 0)), "INC"),
      "COMPLETE"
    )
  )</f>
        <v>COMPLETE</v>
      </c>
      <c r="G606" s="10" t="str">
        <f t="array" ref="G606">IF(IFERROR(INDEX(data!L:L,match(Caseslist!B606,data!D:D,0)),"INC")="","COMPLETE",F606)</f>
        <v>COMPLETE</v>
      </c>
      <c r="H606" s="9" t="str">
        <f t="array" ref="H606">IFERROR(INDEX(dataICM!F:F,match(Caseslist!B606,dataICM!D:D,0)), "INC")</f>
        <v>Franz Reoben Posadas Geneblaza</v>
      </c>
      <c r="I606" s="10" t="str">
        <f t="shared" si="2"/>
        <v>L2057896</v>
      </c>
      <c r="J606" s="9" t="str">
        <f t="array" ref="J606">IF(
  AND(
    IFERROR(MATCH(B606, data!D:D, 0), 0) &gt; 0,
    IFERROR(INDEX(data!N:N, MATCH(B606, data!D:D, 0)) = 1, FALSE)
  ),
  INDEX(data!C:C, MATCH(B606, data!D:D, 0)),
  "INC"
)</f>
        <v>2025-09-04T11:44:12.321+08</v>
      </c>
      <c r="K606" s="9" t="str">
        <f t="array" ref="K606">IFERROR(INDEX(dataICM!C:C,match(Caseslist!B606,dataICM!D:D,0)), "INC")</f>
        <v>2025-09-04T12:35:58.465+08</v>
      </c>
      <c r="L606" s="10" t="str">
        <f t="array" ref="L606">IF(AND(G606="COMPLETE", OR(K606="INC", ISBLANK(INDEX(data!O:O, ROW())))), J606, K606)</f>
        <v>2025-09-04T12:35:58.465+08</v>
      </c>
      <c r="M606" s="2">
        <v>45904.0</v>
      </c>
      <c r="N606" s="2">
        <f t="array" ref="N606">IF(M606&lt;&gt;"INC", INDEX(data!M:M, MATCH(B606, data!D:D, 0)), "")</f>
        <v>2</v>
      </c>
      <c r="O606" s="2">
        <f t="shared" si="3"/>
        <v>2</v>
      </c>
    </row>
    <row r="607">
      <c r="A607" s="2" t="str">
        <f t="shared" si="1"/>
        <v>H006734</v>
      </c>
      <c r="B607" s="1" t="s">
        <v>3632</v>
      </c>
      <c r="C607" s="9" t="str">
        <f t="array" ref="C607">IF(
  AND(
    IFERROR(MATCH(Caseslist!B607, data!D:D, 0), 0) &gt; 0,
    IFERROR(INDEX(data!N:N, MATCH(Caseslist!B607, data!D:D, 0)) = 1, FALSE)
  ),
  "COMPLETE",
  "INC"
)</f>
        <v>COMPLETE</v>
      </c>
      <c r="D607" s="9" t="str">
        <f t="array" ref="D607">IFERROR(INDEX(data!$G:$G,match(Caseslist!B607,data!$D:$D,0)), "INC")</f>
        <v>L2057896</v>
      </c>
      <c r="E607" s="9" t="str">
        <f t="array" ref="E607">IFERROR(INDEX(data!H:H,match(Caseslist!B607,data!D:D,0)), "INC")</f>
        <v>Franz Reoben Posadas Geneblaza</v>
      </c>
      <c r="F607" s="10" t="str">
        <f t="array" ref="F607">IF(
    OR(
      IFNA(INDEX(data!M:M, MATCH(Caseslist!B607, data!D:D, 0)), "") = "",
      IFNA(INDEX(data!M:M, MATCH(Caseslist!B607, data!D:D, 0)), 0) = 0
    ),
    "COMPLETE",
    IF(
      IFNA(INDEX(dataICM!D:D, MATCH(Caseslist!B607, dataICM!D:D, 0)), "INC") = "INC",
      IFNA(INDEX(dataICM!D:D, MATCH(Caseslist!B607, dataICM!D:D, 0)), "INC"),
      "COMPLETE"
    )
  )</f>
        <v>COMPLETE</v>
      </c>
      <c r="G607" s="10" t="str">
        <f t="array" ref="G607">IF(IFERROR(INDEX(data!L:L,match(Caseslist!B607,data!D:D,0)),"INC")="","COMPLETE",F607)</f>
        <v>COMPLETE</v>
      </c>
      <c r="H607" s="9" t="str">
        <f t="array" ref="H607">IFERROR(INDEX(dataICM!F:F,match(Caseslist!B607,dataICM!D:D,0)), "INC")</f>
        <v>Franz Reoben Posadas Geneblaza</v>
      </c>
      <c r="I607" s="10" t="str">
        <f t="shared" si="2"/>
        <v>L2057896</v>
      </c>
      <c r="J607" s="9" t="str">
        <f t="array" ref="J607">IF(
  AND(
    IFERROR(MATCH(B607, data!D:D, 0), 0) &gt; 0,
    IFERROR(INDEX(data!N:N, MATCH(B607, data!D:D, 0)) = 1, FALSE)
  ),
  INDEX(data!C:C, MATCH(B607, data!D:D, 0)),
  "INC"
)</f>
        <v>2025-09-04T16:07:29.631+08</v>
      </c>
      <c r="K607" s="9" t="str">
        <f t="array" ref="K607">IFERROR(INDEX(dataICM!C:C,match(Caseslist!B607,dataICM!D:D,0)), "INC")</f>
        <v>2025-09-04T16:34:22.209+08</v>
      </c>
      <c r="L607" s="10" t="str">
        <f t="array" ref="L607">IF(AND(G607="COMPLETE", OR(K607="INC", ISBLANK(INDEX(data!O:O, ROW())))), J607, K607)</f>
        <v>2025-09-04T16:34:22.209+08</v>
      </c>
      <c r="M607" s="2">
        <v>45904.0</v>
      </c>
      <c r="N607" s="2">
        <f t="array" ref="N607">IF(M607&lt;&gt;"INC", INDEX(data!M:M, MATCH(B607, data!D:D, 0)), "")</f>
        <v>2</v>
      </c>
      <c r="O607" s="2">
        <f t="shared" si="3"/>
        <v>2</v>
      </c>
    </row>
    <row r="608">
      <c r="A608" s="2" t="str">
        <f t="shared" si="1"/>
        <v>H006734</v>
      </c>
      <c r="B608" s="1" t="s">
        <v>3702</v>
      </c>
      <c r="C608" s="9" t="str">
        <f t="array" ref="C608">IF(
  AND(
    IFERROR(MATCH(Caseslist!B608, data!D:D, 0), 0) &gt; 0,
    IFERROR(INDEX(data!N:N, MATCH(Caseslist!B608, data!D:D, 0)) = 1, FALSE)
  ),
  "COMPLETE",
  "INC"
)</f>
        <v>COMPLETE</v>
      </c>
      <c r="D608" s="9" t="str">
        <f t="array" ref="D608">IFERROR(INDEX(data!$G:$G,match(Caseslist!B608,data!$D:$D,0)), "INC")</f>
        <v>K8623174</v>
      </c>
      <c r="E608" s="9" t="str">
        <f t="array" ref="E608">IFERROR(INDEX(data!H:H,match(Caseslist!B608,data!D:D,0)), "INC")</f>
        <v>Marielle Kaye Ignacio Alonzo</v>
      </c>
      <c r="F608" s="10" t="str">
        <f t="array" ref="F608">IF(
    OR(
      IFNA(INDEX(data!M:M, MATCH(Caseslist!B608, data!D:D, 0)), "") = "",
      IFNA(INDEX(data!M:M, MATCH(Caseslist!B608, data!D:D, 0)), 0) = 0
    ),
    "COMPLETE",
    IF(
      IFNA(INDEX(dataICM!D:D, MATCH(Caseslist!B608, dataICM!D:D, 0)), "INC") = "INC",
      IFNA(INDEX(dataICM!D:D, MATCH(Caseslist!B608, dataICM!D:D, 0)), "INC"),
      "COMPLETE"
    )
  )</f>
        <v>COMPLETE</v>
      </c>
      <c r="G608" s="10" t="str">
        <f t="array" ref="G608">IF(IFERROR(INDEX(data!L:L,match(Caseslist!B608,data!D:D,0)),"INC")="","COMPLETE",F608)</f>
        <v>COMPLETE</v>
      </c>
      <c r="H608" s="9" t="str">
        <f t="array" ref="H608">IFERROR(INDEX(dataICM!F:F,match(Caseslist!B608,dataICM!D:D,0)), "INC")</f>
        <v>Marielle Kaye Ignacio Alonzo</v>
      </c>
      <c r="I608" s="10" t="str">
        <f t="shared" si="2"/>
        <v>K8623174</v>
      </c>
      <c r="J608" s="9" t="str">
        <f t="array" ref="J608">IF(
  AND(
    IFERROR(MATCH(B608, data!D:D, 0), 0) &gt; 0,
    IFERROR(INDEX(data!N:N, MATCH(B608, data!D:D, 0)) = 1, FALSE)
  ),
  INDEX(data!C:C, MATCH(B608, data!D:D, 0)),
  "INC"
)</f>
        <v>2025-09-04T11:41:21.519+08</v>
      </c>
      <c r="K608" s="9" t="str">
        <f t="array" ref="K608">IFERROR(INDEX(dataICM!C:C,match(Caseslist!B608,dataICM!D:D,0)), "INC")</f>
        <v>2025-09-04T12:09:38.522+08</v>
      </c>
      <c r="L608" s="10" t="str">
        <f t="array" ref="L608">IF(AND(G608="COMPLETE", OR(K608="INC", ISBLANK(INDEX(data!O:O, ROW())))), J608, K608)</f>
        <v>2025-09-04T12:09:38.522+08</v>
      </c>
      <c r="M608" s="2">
        <v>45904.0</v>
      </c>
      <c r="N608" s="2">
        <f t="array" ref="N608">IF(M608&lt;&gt;"INC", INDEX(data!M:M, MATCH(B608, data!D:D, 0)), "")</f>
        <v>2</v>
      </c>
      <c r="O608" s="2">
        <f t="shared" si="3"/>
        <v>2</v>
      </c>
    </row>
    <row r="609">
      <c r="A609" s="2" t="str">
        <f t="shared" si="1"/>
        <v>H006742</v>
      </c>
      <c r="B609" s="1" t="s">
        <v>5883</v>
      </c>
      <c r="C609" s="9" t="str">
        <f t="array" ref="C609">IF(
  AND(
    IFERROR(MATCH(Caseslist!B609, data!D:D, 0), 0) &gt; 0,
    IFERROR(INDEX(data!N:N, MATCH(Caseslist!B609, data!D:D, 0)) = 1, FALSE)
  ),
  "COMPLETE",
  "INC"
)</f>
        <v>COMPLETE</v>
      </c>
      <c r="D609" s="9" t="str">
        <f t="array" ref="D609">IFERROR(INDEX(data!$G:$G,match(Caseslist!B609,data!$D:$D,0)), "INC")</f>
        <v>K8623174</v>
      </c>
      <c r="E609" s="9" t="str">
        <f t="array" ref="E609">IFERROR(INDEX(data!H:H,match(Caseslist!B609,data!D:D,0)), "INC")</f>
        <v>Marielle Kaye Ignacio Alonzo</v>
      </c>
      <c r="F609" s="10" t="str">
        <f t="array" ref="F609">IF(
    OR(
      IFNA(INDEX(data!M:M, MATCH(Caseslist!B609, data!D:D, 0)), "") = "",
      IFNA(INDEX(data!M:M, MATCH(Caseslist!B609, data!D:D, 0)), 0) = 0
    ),
    "COMPLETE",
    IF(
      IFNA(INDEX(dataICM!D:D, MATCH(Caseslist!B609, dataICM!D:D, 0)), "INC") = "INC",
      IFNA(INDEX(dataICM!D:D, MATCH(Caseslist!B609, dataICM!D:D, 0)), "INC"),
      "COMPLETE"
    )
  )</f>
        <v>COMPLETE</v>
      </c>
      <c r="G609" s="10" t="str">
        <f t="array" ref="G609">IF(IFERROR(INDEX(data!L:L,match(Caseslist!B609,data!D:D,0)),"INC")="","COMPLETE",F609)</f>
        <v>COMPLETE</v>
      </c>
      <c r="H609" s="9" t="str">
        <f t="array" ref="H609">IFERROR(INDEX(dataICM!F:F,match(Caseslist!B609,dataICM!D:D,0)), "INC")</f>
        <v>INC</v>
      </c>
      <c r="I609" s="10" t="str">
        <f t="shared" si="2"/>
        <v>K8623174</v>
      </c>
      <c r="J609" s="9" t="str">
        <f t="array" ref="J609">IF(
  AND(
    IFERROR(MATCH(B609, data!D:D, 0), 0) &gt; 0,
    IFERROR(INDEX(data!N:N, MATCH(B609, data!D:D, 0)) = 1, FALSE)
  ),
  INDEX(data!C:C, MATCH(B609, data!D:D, 0)),
  "INC"
)</f>
        <v>2025-09-12T11:01:28.600+08</v>
      </c>
      <c r="K609" s="9" t="str">
        <f t="array" ref="K609">IFERROR(INDEX(dataICM!C:C,match(Caseslist!B609,dataICM!D:D,0)), "INC")</f>
        <v>INC</v>
      </c>
      <c r="L609" s="10" t="str">
        <f t="array" ref="L609">IF(AND(G609="COMPLETE", OR(K609="INC", ISBLANK(INDEX(data!O:O, ROW())))), J609, K609)</f>
        <v>2025-09-12T11:01:28.600+08</v>
      </c>
      <c r="M609" s="2">
        <v>45912.0</v>
      </c>
      <c r="N609" s="2">
        <f t="array" ref="N609">IF(M609&lt;&gt;"INC", INDEX(data!M:M, MATCH(B609, data!D:D, 0)), "")</f>
        <v>0</v>
      </c>
      <c r="O609" s="2">
        <f t="shared" si="3"/>
        <v>0</v>
      </c>
    </row>
    <row r="610">
      <c r="A610" s="2" t="str">
        <f t="shared" si="1"/>
        <v>H006742</v>
      </c>
      <c r="B610" s="1" t="s">
        <v>5848</v>
      </c>
      <c r="C610" s="9" t="str">
        <f t="array" ref="C610">IF(
  AND(
    IFERROR(MATCH(Caseslist!B610, data!D:D, 0), 0) &gt; 0,
    IFERROR(INDEX(data!N:N, MATCH(Caseslist!B610, data!D:D, 0)) = 1, FALSE)
  ),
  "COMPLETE",
  "INC"
)</f>
        <v>COMPLETE</v>
      </c>
      <c r="D610" s="9" t="str">
        <f t="array" ref="D610">IFERROR(INDEX(data!$G:$G,match(Caseslist!B610,data!$D:$D,0)), "INC")</f>
        <v>L2057896</v>
      </c>
      <c r="E610" s="9" t="str">
        <f t="array" ref="E610">IFERROR(INDEX(data!H:H,match(Caseslist!B610,data!D:D,0)), "INC")</f>
        <v>Franz Reoben Posadas Geneblaza</v>
      </c>
      <c r="F610" s="10" t="str">
        <f t="array" ref="F610">IF(
    OR(
      IFNA(INDEX(data!M:M, MATCH(Caseslist!B610, data!D:D, 0)), "") = "",
      IFNA(INDEX(data!M:M, MATCH(Caseslist!B610, data!D:D, 0)), 0) = 0
    ),
    "COMPLETE",
    IF(
      IFNA(INDEX(dataICM!D:D, MATCH(Caseslist!B610, dataICM!D:D, 0)), "INC") = "INC",
      IFNA(INDEX(dataICM!D:D, MATCH(Caseslist!B610, dataICM!D:D, 0)), "INC"),
      "COMPLETE"
    )
  )</f>
        <v>COMPLETE</v>
      </c>
      <c r="G610" s="10" t="str">
        <f t="array" ref="G610">IF(IFERROR(INDEX(data!L:L,match(Caseslist!B610,data!D:D,0)),"INC")="","COMPLETE",F610)</f>
        <v>COMPLETE</v>
      </c>
      <c r="H610" s="9" t="str">
        <f t="array" ref="H610">IFERROR(INDEX(dataICM!F:F,match(Caseslist!B610,dataICM!D:D,0)), "INC")</f>
        <v>INC</v>
      </c>
      <c r="I610" s="10" t="str">
        <f t="shared" si="2"/>
        <v>L2057896</v>
      </c>
      <c r="J610" s="9" t="str">
        <f t="array" ref="J610">IF(
  AND(
    IFERROR(MATCH(B610, data!D:D, 0), 0) &gt; 0,
    IFERROR(INDEX(data!N:N, MATCH(B610, data!D:D, 0)) = 1, FALSE)
  ),
  INDEX(data!C:C, MATCH(B610, data!D:D, 0)),
  "INC"
)</f>
        <v>2025-09-12T11:54:08.667+08</v>
      </c>
      <c r="K610" s="9" t="str">
        <f t="array" ref="K610">IFERROR(INDEX(dataICM!C:C,match(Caseslist!B610,dataICM!D:D,0)), "INC")</f>
        <v>INC</v>
      </c>
      <c r="L610" s="10" t="str">
        <f t="array" ref="L610">IF(AND(G610="COMPLETE", OR(K610="INC", ISBLANK(INDEX(data!O:O, ROW())))), J610, K610)</f>
        <v>2025-09-12T11:54:08.667+08</v>
      </c>
      <c r="M610" s="2">
        <v>45912.0</v>
      </c>
      <c r="N610" s="2">
        <f t="array" ref="N610">IF(M610&lt;&gt;"INC", INDEX(data!M:M, MATCH(B610, data!D:D, 0)), "")</f>
        <v>0</v>
      </c>
      <c r="O610" s="2">
        <f t="shared" si="3"/>
        <v>0</v>
      </c>
    </row>
    <row r="611">
      <c r="A611" s="2" t="str">
        <f t="shared" si="1"/>
        <v>H006742</v>
      </c>
      <c r="B611" s="1" t="s">
        <v>5903</v>
      </c>
      <c r="C611" s="9" t="str">
        <f t="array" ref="C611">IF(
  AND(
    IFERROR(MATCH(Caseslist!B611, data!D:D, 0), 0) &gt; 0,
    IFERROR(INDEX(data!N:N, MATCH(Caseslist!B611, data!D:D, 0)) = 1, FALSE)
  ),
  "COMPLETE",
  "INC"
)</f>
        <v>COMPLETE</v>
      </c>
      <c r="D611" s="9" t="str">
        <f t="array" ref="D611">IFERROR(INDEX(data!$G:$G,match(Caseslist!B611,data!$D:$D,0)), "INC")</f>
        <v>J4315980</v>
      </c>
      <c r="E611" s="9" t="str">
        <f t="array" ref="E611">IFERROR(INDEX(data!H:H,match(Caseslist!B611,data!D:D,0)), "INC")</f>
        <v>Trixie Marie Jardeleza Saber</v>
      </c>
      <c r="F611" s="10" t="str">
        <f t="array" ref="F611">IF(
    OR(
      IFNA(INDEX(data!M:M, MATCH(Caseslist!B611, data!D:D, 0)), "") = "",
      IFNA(INDEX(data!M:M, MATCH(Caseslist!B611, data!D:D, 0)), 0) = 0
    ),
    "COMPLETE",
    IF(
      IFNA(INDEX(dataICM!D:D, MATCH(Caseslist!B611, dataICM!D:D, 0)), "INC") = "INC",
      IFNA(INDEX(dataICM!D:D, MATCH(Caseslist!B611, dataICM!D:D, 0)), "INC"),
      "COMPLETE"
    )
  )</f>
        <v>COMPLETE</v>
      </c>
      <c r="G611" s="10" t="str">
        <f t="array" ref="G611">IF(IFERROR(INDEX(data!L:L,match(Caseslist!B611,data!D:D,0)),"INC")="","COMPLETE",F611)</f>
        <v>COMPLETE</v>
      </c>
      <c r="H611" s="9" t="str">
        <f t="array" ref="H611">IFERROR(INDEX(dataICM!F:F,match(Caseslist!B611,dataICM!D:D,0)), "INC")</f>
        <v>INC</v>
      </c>
      <c r="I611" s="10" t="str">
        <f t="shared" si="2"/>
        <v>J4315980</v>
      </c>
      <c r="J611" s="9" t="str">
        <f t="array" ref="J611">IF(
  AND(
    IFERROR(MATCH(B611, data!D:D, 0), 0) &gt; 0,
    IFERROR(INDEX(data!N:N, MATCH(B611, data!D:D, 0)) = 1, FALSE)
  ),
  INDEX(data!C:C, MATCH(B611, data!D:D, 0)),
  "INC"
)</f>
        <v>2025-09-12T09:42:10.088+08</v>
      </c>
      <c r="K611" s="9" t="str">
        <f t="array" ref="K611">IFERROR(INDEX(dataICM!C:C,match(Caseslist!B611,dataICM!D:D,0)), "INC")</f>
        <v>INC</v>
      </c>
      <c r="L611" s="10" t="str">
        <f t="array" ref="L611">IF(AND(G611="COMPLETE", OR(K611="INC", ISBLANK(INDEX(data!O:O, ROW())))), J611, K611)</f>
        <v>2025-09-12T09:42:10.088+08</v>
      </c>
      <c r="M611" s="2">
        <v>45912.0</v>
      </c>
      <c r="N611" s="2">
        <f t="array" ref="N611">IF(M611&lt;&gt;"INC", INDEX(data!M:M, MATCH(B611, data!D:D, 0)), "")</f>
        <v>0</v>
      </c>
      <c r="O611" s="2">
        <f t="shared" si="3"/>
        <v>0</v>
      </c>
    </row>
    <row r="612">
      <c r="A612" s="2" t="str">
        <f t="shared" si="1"/>
        <v>H006742</v>
      </c>
      <c r="B612" s="1" t="s">
        <v>5558</v>
      </c>
      <c r="C612" s="9" t="str">
        <f t="array" ref="C612">IF(
  AND(
    IFERROR(MATCH(Caseslist!B612, data!D:D, 0), 0) &gt; 0,
    IFERROR(INDEX(data!N:N, MATCH(Caseslist!B612, data!D:D, 0)) = 1, FALSE)
  ),
  "COMPLETE",
  "INC"
)</f>
        <v>COMPLETE</v>
      </c>
      <c r="D612" s="9" t="str">
        <f t="array" ref="D612">IFERROR(INDEX(data!$G:$G,match(Caseslist!B612,data!$D:$D,0)), "INC")</f>
        <v>L2057896</v>
      </c>
      <c r="E612" s="9" t="str">
        <f t="array" ref="E612">IFERROR(INDEX(data!H:H,match(Caseslist!B612,data!D:D,0)), "INC")</f>
        <v>Franz Reoben Posadas Geneblaza</v>
      </c>
      <c r="F612" s="10" t="str">
        <f t="array" ref="F612">IF(
    OR(
      IFNA(INDEX(data!M:M, MATCH(Caseslist!B612, data!D:D, 0)), "") = "",
      IFNA(INDEX(data!M:M, MATCH(Caseslist!B612, data!D:D, 0)), 0) = 0
    ),
    "COMPLETE",
    IF(
      IFNA(INDEX(dataICM!D:D, MATCH(Caseslist!B612, dataICM!D:D, 0)), "INC") = "INC",
      IFNA(INDEX(dataICM!D:D, MATCH(Caseslist!B612, dataICM!D:D, 0)), "INC"),
      "COMPLETE"
    )
  )</f>
        <v>COMPLETE</v>
      </c>
      <c r="G612" s="10" t="str">
        <f t="array" ref="G612">IF(IFERROR(INDEX(data!L:L,match(Caseslist!B612,data!D:D,0)),"INC")="","COMPLETE",F612)</f>
        <v>COMPLETE</v>
      </c>
      <c r="H612" s="9" t="str">
        <f t="array" ref="H612">IFERROR(INDEX(dataICM!F:F,match(Caseslist!B612,dataICM!D:D,0)), "INC")</f>
        <v>INC</v>
      </c>
      <c r="I612" s="10" t="str">
        <f t="shared" si="2"/>
        <v>L2057896</v>
      </c>
      <c r="J612" s="9" t="str">
        <f t="array" ref="J612">IF(
  AND(
    IFERROR(MATCH(B612, data!D:D, 0), 0) &gt; 0,
    IFERROR(INDEX(data!N:N, MATCH(B612, data!D:D, 0)) = 1, FALSE)
  ),
  INDEX(data!C:C, MATCH(B612, data!D:D, 0)),
  "INC"
)</f>
        <v>2025-09-12T14:30:26.199+08</v>
      </c>
      <c r="K612" s="9" t="str">
        <f t="array" ref="K612">IFERROR(INDEX(dataICM!C:C,match(Caseslist!B612,dataICM!D:D,0)), "INC")</f>
        <v>INC</v>
      </c>
      <c r="L612" s="10" t="str">
        <f t="array" ref="L612">IF(AND(G612="COMPLETE", OR(K612="INC", ISBLANK(INDEX(data!O:O, ROW())))), J612, K612)</f>
        <v>2025-09-12T14:30:26.199+08</v>
      </c>
      <c r="M612" s="2">
        <v>45912.0</v>
      </c>
      <c r="N612" s="2">
        <f t="array" ref="N612">IF(M612&lt;&gt;"INC", INDEX(data!M:M, MATCH(B612, data!D:D, 0)), "")</f>
        <v>0</v>
      </c>
      <c r="O612" s="2">
        <f t="shared" si="3"/>
        <v>0</v>
      </c>
    </row>
    <row r="613">
      <c r="A613" s="2" t="str">
        <f t="shared" si="1"/>
        <v>H006742</v>
      </c>
      <c r="B613" s="1" t="s">
        <v>5553</v>
      </c>
      <c r="C613" s="9" t="str">
        <f t="array" ref="C613">IF(
  AND(
    IFERROR(MATCH(Caseslist!B613, data!D:D, 0), 0) &gt; 0,
    IFERROR(INDEX(data!N:N, MATCH(Caseslist!B613, data!D:D, 0)) = 1, FALSE)
  ),
  "COMPLETE",
  "INC"
)</f>
        <v>COMPLETE</v>
      </c>
      <c r="D613" s="9" t="str">
        <f t="array" ref="D613">IFERROR(INDEX(data!$G:$G,match(Caseslist!B613,data!$D:$D,0)), "INC")</f>
        <v>L2057896</v>
      </c>
      <c r="E613" s="9" t="str">
        <f t="array" ref="E613">IFERROR(INDEX(data!H:H,match(Caseslist!B613,data!D:D,0)), "INC")</f>
        <v>Franz Reoben Posadas Geneblaza</v>
      </c>
      <c r="F613" s="10" t="str">
        <f t="array" ref="F613">IF(
    OR(
      IFNA(INDEX(data!M:M, MATCH(Caseslist!B613, data!D:D, 0)), "") = "",
      IFNA(INDEX(data!M:M, MATCH(Caseslist!B613, data!D:D, 0)), 0) = 0
    ),
    "COMPLETE",
    IF(
      IFNA(INDEX(dataICM!D:D, MATCH(Caseslist!B613, dataICM!D:D, 0)), "INC") = "INC",
      IFNA(INDEX(dataICM!D:D, MATCH(Caseslist!B613, dataICM!D:D, 0)), "INC"),
      "COMPLETE"
    )
  )</f>
        <v>COMPLETE</v>
      </c>
      <c r="G613" s="10" t="str">
        <f t="array" ref="G613">IF(IFERROR(INDEX(data!L:L,match(Caseslist!B613,data!D:D,0)),"INC")="","COMPLETE",F613)</f>
        <v>COMPLETE</v>
      </c>
      <c r="H613" s="9" t="str">
        <f t="array" ref="H613">IFERROR(INDEX(dataICM!F:F,match(Caseslist!B613,dataICM!D:D,0)), "INC")</f>
        <v>INC</v>
      </c>
      <c r="I613" s="10" t="str">
        <f t="shared" si="2"/>
        <v>L2057896</v>
      </c>
      <c r="J613" s="9" t="str">
        <f t="array" ref="J613">IF(
  AND(
    IFERROR(MATCH(B613, data!D:D, 0), 0) &gt; 0,
    IFERROR(INDEX(data!N:N, MATCH(B613, data!D:D, 0)) = 1, FALSE)
  ),
  INDEX(data!C:C, MATCH(B613, data!D:D, 0)),
  "INC"
)</f>
        <v>2025-09-12T09:43:09.217+08</v>
      </c>
      <c r="K613" s="9" t="str">
        <f t="array" ref="K613">IFERROR(INDEX(dataICM!C:C,match(Caseslist!B613,dataICM!D:D,0)), "INC")</f>
        <v>INC</v>
      </c>
      <c r="L613" s="10" t="str">
        <f t="array" ref="L613">IF(AND(G613="COMPLETE", OR(K613="INC", ISBLANK(INDEX(data!O:O, ROW())))), J613, K613)</f>
        <v>2025-09-12T09:43:09.217+08</v>
      </c>
      <c r="M613" s="2">
        <v>45912.0</v>
      </c>
      <c r="N613" s="2">
        <f t="array" ref="N613">IF(M613&lt;&gt;"INC", INDEX(data!M:M, MATCH(B613, data!D:D, 0)), "")</f>
        <v>0</v>
      </c>
      <c r="O613" s="2">
        <f t="shared" si="3"/>
        <v>0</v>
      </c>
    </row>
    <row r="614">
      <c r="A614" s="2" t="str">
        <f t="shared" si="1"/>
        <v>H006742</v>
      </c>
      <c r="B614" s="1" t="s">
        <v>5893</v>
      </c>
      <c r="C614" s="9" t="str">
        <f t="array" ref="C614">IF(
  AND(
    IFERROR(MATCH(Caseslist!B614, data!D:D, 0), 0) &gt; 0,
    IFERROR(INDEX(data!N:N, MATCH(Caseslist!B614, data!D:D, 0)) = 1, FALSE)
  ),
  "COMPLETE",
  "INC"
)</f>
        <v>COMPLETE</v>
      </c>
      <c r="D614" s="9" t="str">
        <f t="array" ref="D614">IFERROR(INDEX(data!$G:$G,match(Caseslist!B614,data!$D:$D,0)), "INC")</f>
        <v>J4315980</v>
      </c>
      <c r="E614" s="9" t="str">
        <f t="array" ref="E614">IFERROR(INDEX(data!H:H,match(Caseslist!B614,data!D:D,0)), "INC")</f>
        <v>Trixie Marie Jardeleza Saber</v>
      </c>
      <c r="F614" s="10" t="str">
        <f t="array" ref="F614">IF(
    OR(
      IFNA(INDEX(data!M:M, MATCH(Caseslist!B614, data!D:D, 0)), "") = "",
      IFNA(INDEX(data!M:M, MATCH(Caseslist!B614, data!D:D, 0)), 0) = 0
    ),
    "COMPLETE",
    IF(
      IFNA(INDEX(dataICM!D:D, MATCH(Caseslist!B614, dataICM!D:D, 0)), "INC") = "INC",
      IFNA(INDEX(dataICM!D:D, MATCH(Caseslist!B614, dataICM!D:D, 0)), "INC"),
      "COMPLETE"
    )
  )</f>
        <v>COMPLETE</v>
      </c>
      <c r="G614" s="10" t="str">
        <f t="array" ref="G614">IF(IFERROR(INDEX(data!L:L,match(Caseslist!B614,data!D:D,0)),"INC")="","COMPLETE",F614)</f>
        <v>COMPLETE</v>
      </c>
      <c r="H614" s="9" t="str">
        <f t="array" ref="H614">IFERROR(INDEX(dataICM!F:F,match(Caseslist!B614,dataICM!D:D,0)), "INC")</f>
        <v>INC</v>
      </c>
      <c r="I614" s="10" t="str">
        <f t="shared" si="2"/>
        <v>J4315980</v>
      </c>
      <c r="J614" s="9" t="str">
        <f t="array" ref="J614">IF(
  AND(
    IFERROR(MATCH(B614, data!D:D, 0), 0) &gt; 0,
    IFERROR(INDEX(data!N:N, MATCH(B614, data!D:D, 0)) = 1, FALSE)
  ),
  INDEX(data!C:C, MATCH(B614, data!D:D, 0)),
  "INC"
)</f>
        <v>2025-09-12T10:54:48.676+08</v>
      </c>
      <c r="K614" s="9" t="str">
        <f t="array" ref="K614">IFERROR(INDEX(dataICM!C:C,match(Caseslist!B614,dataICM!D:D,0)), "INC")</f>
        <v>INC</v>
      </c>
      <c r="L614" s="10" t="str">
        <f t="array" ref="L614">IF(AND(G614="COMPLETE", OR(K614="INC", ISBLANK(INDEX(data!O:O, ROW())))), J614, K614)</f>
        <v>2025-09-12T10:54:48.676+08</v>
      </c>
      <c r="M614" s="2">
        <v>45912.0</v>
      </c>
      <c r="N614" s="2">
        <f t="array" ref="N614">IF(M614&lt;&gt;"INC", INDEX(data!M:M, MATCH(B614, data!D:D, 0)), "")</f>
        <v>0</v>
      </c>
      <c r="O614" s="2">
        <f t="shared" si="3"/>
        <v>0</v>
      </c>
    </row>
    <row r="615">
      <c r="A615" s="2" t="str">
        <f t="shared" si="1"/>
        <v>H006742</v>
      </c>
      <c r="B615" s="1" t="s">
        <v>5888</v>
      </c>
      <c r="C615" s="9" t="str">
        <f t="array" ref="C615">IF(
  AND(
    IFERROR(MATCH(Caseslist!B615, data!D:D, 0), 0) &gt; 0,
    IFERROR(INDEX(data!N:N, MATCH(Caseslist!B615, data!D:D, 0)) = 1, FALSE)
  ),
  "COMPLETE",
  "INC"
)</f>
        <v>COMPLETE</v>
      </c>
      <c r="D615" s="9" t="str">
        <f t="array" ref="D615">IFERROR(INDEX(data!$G:$G,match(Caseslist!B615,data!$D:$D,0)), "INC")</f>
        <v>J4315980</v>
      </c>
      <c r="E615" s="9" t="str">
        <f t="array" ref="E615">IFERROR(INDEX(data!H:H,match(Caseslist!B615,data!D:D,0)), "INC")</f>
        <v>Trixie Marie Jardeleza Saber</v>
      </c>
      <c r="F615" s="10" t="str">
        <f t="array" ref="F615">IF(
    OR(
      IFNA(INDEX(data!M:M, MATCH(Caseslist!B615, data!D:D, 0)), "") = "",
      IFNA(INDEX(data!M:M, MATCH(Caseslist!B615, data!D:D, 0)), 0) = 0
    ),
    "COMPLETE",
    IF(
      IFNA(INDEX(dataICM!D:D, MATCH(Caseslist!B615, dataICM!D:D, 0)), "INC") = "INC",
      IFNA(INDEX(dataICM!D:D, MATCH(Caseslist!B615, dataICM!D:D, 0)), "INC"),
      "COMPLETE"
    )
  )</f>
        <v>COMPLETE</v>
      </c>
      <c r="G615" s="10" t="str">
        <f t="array" ref="G615">IF(IFERROR(INDEX(data!L:L,match(Caseslist!B615,data!D:D,0)),"INC")="","COMPLETE",F615)</f>
        <v>COMPLETE</v>
      </c>
      <c r="H615" s="9" t="str">
        <f t="array" ref="H615">IFERROR(INDEX(dataICM!F:F,match(Caseslist!B615,dataICM!D:D,0)), "INC")</f>
        <v>INC</v>
      </c>
      <c r="I615" s="10" t="str">
        <f t="shared" si="2"/>
        <v>J4315980</v>
      </c>
      <c r="J615" s="9" t="str">
        <f t="array" ref="J615">IF(
  AND(
    IFERROR(MATCH(B615, data!D:D, 0), 0) &gt; 0,
    IFERROR(INDEX(data!N:N, MATCH(B615, data!D:D, 0)) = 1, FALSE)
  ),
  INDEX(data!C:C, MATCH(B615, data!D:D, 0)),
  "INC"
)</f>
        <v>2025-09-12T08:49:41.810+08</v>
      </c>
      <c r="K615" s="9" t="str">
        <f t="array" ref="K615">IFERROR(INDEX(dataICM!C:C,match(Caseslist!B615,dataICM!D:D,0)), "INC")</f>
        <v>INC</v>
      </c>
      <c r="L615" s="10" t="str">
        <f t="array" ref="L615">IF(AND(G615="COMPLETE", OR(K615="INC", ISBLANK(INDEX(data!O:O, ROW())))), J615, K615)</f>
        <v>2025-09-12T08:49:41.810+08</v>
      </c>
      <c r="M615" s="2">
        <v>45912.0</v>
      </c>
      <c r="N615" s="2">
        <f t="array" ref="N615">IF(M615&lt;&gt;"INC", INDEX(data!M:M, MATCH(B615, data!D:D, 0)), "")</f>
        <v>0</v>
      </c>
      <c r="O615" s="2">
        <f t="shared" si="3"/>
        <v>0</v>
      </c>
    </row>
    <row r="616">
      <c r="A616" s="2" t="str">
        <f t="shared" si="1"/>
        <v>H006742</v>
      </c>
      <c r="B616" s="1" t="s">
        <v>5868</v>
      </c>
      <c r="C616" s="9" t="str">
        <f t="array" ref="C616">IF(
  AND(
    IFERROR(MATCH(Caseslist!B616, data!D:D, 0), 0) &gt; 0,
    IFERROR(INDEX(data!N:N, MATCH(Caseslist!B616, data!D:D, 0)) = 1, FALSE)
  ),
  "COMPLETE",
  "INC"
)</f>
        <v>COMPLETE</v>
      </c>
      <c r="D616" s="9" t="str">
        <f t="array" ref="D616">IFERROR(INDEX(data!$G:$G,match(Caseslist!B616,data!$D:$D,0)), "INC")</f>
        <v>M6491032</v>
      </c>
      <c r="E616" s="9" t="str">
        <f t="array" ref="E616">IFERROR(INDEX(data!H:H,match(Caseslist!B616,data!D:D,0)), "INC")</f>
        <v>Rosevil Tayo Desamparado</v>
      </c>
      <c r="F616" s="10" t="str">
        <f t="array" ref="F616">IF(
    OR(
      IFNA(INDEX(data!M:M, MATCH(Caseslist!B616, data!D:D, 0)), "") = "",
      IFNA(INDEX(data!M:M, MATCH(Caseslist!B616, data!D:D, 0)), 0) = 0
    ),
    "COMPLETE",
    IF(
      IFNA(INDEX(dataICM!D:D, MATCH(Caseslist!B616, dataICM!D:D, 0)), "INC") = "INC",
      IFNA(INDEX(dataICM!D:D, MATCH(Caseslist!B616, dataICM!D:D, 0)), "INC"),
      "COMPLETE"
    )
  )</f>
        <v>COMPLETE</v>
      </c>
      <c r="G616" s="10" t="str">
        <f t="array" ref="G616">IF(IFERROR(INDEX(data!L:L,match(Caseslist!B616,data!D:D,0)),"INC")="","COMPLETE",F616)</f>
        <v>COMPLETE</v>
      </c>
      <c r="H616" s="9" t="str">
        <f t="array" ref="H616">IFERROR(INDEX(dataICM!F:F,match(Caseslist!B616,dataICM!D:D,0)), "INC")</f>
        <v>INC</v>
      </c>
      <c r="I616" s="10" t="str">
        <f t="shared" si="2"/>
        <v>M6491032</v>
      </c>
      <c r="J616" s="9" t="str">
        <f t="array" ref="J616">IF(
  AND(
    IFERROR(MATCH(B616, data!D:D, 0), 0) &gt; 0,
    IFERROR(INDEX(data!N:N, MATCH(B616, data!D:D, 0)) = 1, FALSE)
  ),
  INDEX(data!C:C, MATCH(B616, data!D:D, 0)),
  "INC"
)</f>
        <v>2025-09-12T08:58:09.339+08</v>
      </c>
      <c r="K616" s="9" t="str">
        <f t="array" ref="K616">IFERROR(INDEX(dataICM!C:C,match(Caseslist!B616,dataICM!D:D,0)), "INC")</f>
        <v>INC</v>
      </c>
      <c r="L616" s="10" t="str">
        <f t="array" ref="L616">IF(AND(G616="COMPLETE", OR(K616="INC", ISBLANK(INDEX(data!O:O, ROW())))), J616, K616)</f>
        <v>2025-09-12T08:58:09.339+08</v>
      </c>
      <c r="M616" s="2">
        <v>45912.0</v>
      </c>
      <c r="N616" s="2">
        <f t="array" ref="N616">IF(M616&lt;&gt;"INC", INDEX(data!M:M, MATCH(B616, data!D:D, 0)), "")</f>
        <v>0</v>
      </c>
      <c r="O616" s="2">
        <f t="shared" si="3"/>
        <v>0</v>
      </c>
    </row>
    <row r="617">
      <c r="A617" s="2" t="str">
        <f t="shared" si="1"/>
        <v>H006742</v>
      </c>
      <c r="B617" s="1" t="s">
        <v>5898</v>
      </c>
      <c r="C617" s="9" t="str">
        <f t="array" ref="C617">IF(
  AND(
    IFERROR(MATCH(Caseslist!B617, data!D:D, 0), 0) &gt; 0,
    IFERROR(INDEX(data!N:N, MATCH(Caseslist!B617, data!D:D, 0)) = 1, FALSE)
  ),
  "COMPLETE",
  "INC"
)</f>
        <v>COMPLETE</v>
      </c>
      <c r="D617" s="9" t="str">
        <f t="array" ref="D617">IFERROR(INDEX(data!$G:$G,match(Caseslist!B617,data!$D:$D,0)), "INC")</f>
        <v>J4315980</v>
      </c>
      <c r="E617" s="9" t="str">
        <f t="array" ref="E617">IFERROR(INDEX(data!H:H,match(Caseslist!B617,data!D:D,0)), "INC")</f>
        <v>Trixie Marie Jardeleza Saber</v>
      </c>
      <c r="F617" s="10" t="str">
        <f t="array" ref="F617">IF(
    OR(
      IFNA(INDEX(data!M:M, MATCH(Caseslist!B617, data!D:D, 0)), "") = "",
      IFNA(INDEX(data!M:M, MATCH(Caseslist!B617, data!D:D, 0)), 0) = 0
    ),
    "COMPLETE",
    IF(
      IFNA(INDEX(dataICM!D:D, MATCH(Caseslist!B617, dataICM!D:D, 0)), "INC") = "INC",
      IFNA(INDEX(dataICM!D:D, MATCH(Caseslist!B617, dataICM!D:D, 0)), "INC"),
      "COMPLETE"
    )
  )</f>
        <v>COMPLETE</v>
      </c>
      <c r="G617" s="10" t="str">
        <f t="array" ref="G617">IF(IFERROR(INDEX(data!L:L,match(Caseslist!B617,data!D:D,0)),"INC")="","COMPLETE",F617)</f>
        <v>COMPLETE</v>
      </c>
      <c r="H617" s="9" t="str">
        <f t="array" ref="H617">IFERROR(INDEX(dataICM!F:F,match(Caseslist!B617,dataICM!D:D,0)), "INC")</f>
        <v>INC</v>
      </c>
      <c r="I617" s="10" t="str">
        <f t="shared" si="2"/>
        <v>J4315980</v>
      </c>
      <c r="J617" s="9" t="str">
        <f t="array" ref="J617">IF(
  AND(
    IFERROR(MATCH(B617, data!D:D, 0), 0) &gt; 0,
    IFERROR(INDEX(data!N:N, MATCH(B617, data!D:D, 0)) = 1, FALSE)
  ),
  INDEX(data!C:C, MATCH(B617, data!D:D, 0)),
  "INC"
)</f>
        <v>2025-09-12T13:26:56.609+08</v>
      </c>
      <c r="K617" s="9" t="str">
        <f t="array" ref="K617">IFERROR(INDEX(dataICM!C:C,match(Caseslist!B617,dataICM!D:D,0)), "INC")</f>
        <v>INC</v>
      </c>
      <c r="L617" s="10" t="str">
        <f t="array" ref="L617">IF(AND(G617="COMPLETE", OR(K617="INC", ISBLANK(INDEX(data!O:O, ROW())))), J617, K617)</f>
        <v>2025-09-12T13:26:56.609+08</v>
      </c>
      <c r="M617" s="2">
        <v>45912.0</v>
      </c>
      <c r="N617" s="2">
        <f t="array" ref="N617">IF(M617&lt;&gt;"INC", INDEX(data!M:M, MATCH(B617, data!D:D, 0)), "")</f>
        <v>0</v>
      </c>
      <c r="O617" s="2">
        <f t="shared" si="3"/>
        <v>0</v>
      </c>
    </row>
    <row r="618">
      <c r="A618" s="2" t="str">
        <f t="shared" si="1"/>
        <v>H006742</v>
      </c>
      <c r="B618" s="1" t="s">
        <v>5873</v>
      </c>
      <c r="C618" s="9" t="str">
        <f t="array" ref="C618">IF(
  AND(
    IFERROR(MATCH(Caseslist!B618, data!D:D, 0), 0) &gt; 0,
    IFERROR(INDEX(data!N:N, MATCH(Caseslist!B618, data!D:D, 0)) = 1, FALSE)
  ),
  "COMPLETE",
  "INC"
)</f>
        <v>COMPLETE</v>
      </c>
      <c r="D618" s="9" t="str">
        <f t="array" ref="D618">IFERROR(INDEX(data!$G:$G,match(Caseslist!B618,data!$D:$D,0)), "INC")</f>
        <v>K8623174</v>
      </c>
      <c r="E618" s="9" t="str">
        <f t="array" ref="E618">IFERROR(INDEX(data!H:H,match(Caseslist!B618,data!D:D,0)), "INC")</f>
        <v>Marielle Kaye Ignacio Alonzo</v>
      </c>
      <c r="F618" s="10" t="str">
        <f t="array" ref="F618">IF(
    OR(
      IFNA(INDEX(data!M:M, MATCH(Caseslist!B618, data!D:D, 0)), "") = "",
      IFNA(INDEX(data!M:M, MATCH(Caseslist!B618, data!D:D, 0)), 0) = 0
    ),
    "COMPLETE",
    IF(
      IFNA(INDEX(dataICM!D:D, MATCH(Caseslist!B618, dataICM!D:D, 0)), "INC") = "INC",
      IFNA(INDEX(dataICM!D:D, MATCH(Caseslist!B618, dataICM!D:D, 0)), "INC"),
      "COMPLETE"
    )
  )</f>
        <v>COMPLETE</v>
      </c>
      <c r="G618" s="10" t="str">
        <f t="array" ref="G618">IF(IFERROR(INDEX(data!L:L,match(Caseslist!B618,data!D:D,0)),"INC")="","COMPLETE",F618)</f>
        <v>COMPLETE</v>
      </c>
      <c r="H618" s="9" t="str">
        <f t="array" ref="H618">IFERROR(INDEX(dataICM!F:F,match(Caseslist!B618,dataICM!D:D,0)), "INC")</f>
        <v>INC</v>
      </c>
      <c r="I618" s="10" t="str">
        <f t="shared" si="2"/>
        <v>K8623174</v>
      </c>
      <c r="J618" s="9" t="str">
        <f t="array" ref="J618">IF(
  AND(
    IFERROR(MATCH(B618, data!D:D, 0), 0) &gt; 0,
    IFERROR(INDEX(data!N:N, MATCH(B618, data!D:D, 0)) = 1, FALSE)
  ),
  INDEX(data!C:C, MATCH(B618, data!D:D, 0)),
  "INC"
)</f>
        <v>2025-09-12T08:24:02.761+08</v>
      </c>
      <c r="K618" s="9" t="str">
        <f t="array" ref="K618">IFERROR(INDEX(dataICM!C:C,match(Caseslist!B618,dataICM!D:D,0)), "INC")</f>
        <v>INC</v>
      </c>
      <c r="L618" s="10" t="str">
        <f t="array" ref="L618">IF(AND(G618="COMPLETE", OR(K618="INC", ISBLANK(INDEX(data!O:O, ROW())))), J618, K618)</f>
        <v>2025-09-12T08:24:02.761+08</v>
      </c>
      <c r="M618" s="2">
        <v>45912.0</v>
      </c>
      <c r="N618" s="2">
        <f t="array" ref="N618">IF(M618&lt;&gt;"INC", INDEX(data!M:M, MATCH(B618, data!D:D, 0)), "")</f>
        <v>0</v>
      </c>
      <c r="O618" s="2">
        <f t="shared" si="3"/>
        <v>0</v>
      </c>
    </row>
    <row r="619">
      <c r="A619" s="2" t="str">
        <f t="shared" si="1"/>
        <v>H006742</v>
      </c>
      <c r="B619" s="1" t="s">
        <v>5878</v>
      </c>
      <c r="C619" s="9" t="str">
        <f t="array" ref="C619">IF(
  AND(
    IFERROR(MATCH(Caseslist!B619, data!D:D, 0), 0) &gt; 0,
    IFERROR(INDEX(data!N:N, MATCH(Caseslist!B619, data!D:D, 0)) = 1, FALSE)
  ),
  "COMPLETE",
  "INC"
)</f>
        <v>COMPLETE</v>
      </c>
      <c r="D619" s="9" t="str">
        <f t="array" ref="D619">IFERROR(INDEX(data!$G:$G,match(Caseslist!B619,data!$D:$D,0)), "INC")</f>
        <v>K8623174</v>
      </c>
      <c r="E619" s="9" t="str">
        <f t="array" ref="E619">IFERROR(INDEX(data!H:H,match(Caseslist!B619,data!D:D,0)), "INC")</f>
        <v>Marielle Kaye Ignacio Alonzo</v>
      </c>
      <c r="F619" s="10" t="str">
        <f t="array" ref="F619">IF(
    OR(
      IFNA(INDEX(data!M:M, MATCH(Caseslist!B619, data!D:D, 0)), "") = "",
      IFNA(INDEX(data!M:M, MATCH(Caseslist!B619, data!D:D, 0)), 0) = 0
    ),
    "COMPLETE",
    IF(
      IFNA(INDEX(dataICM!D:D, MATCH(Caseslist!B619, dataICM!D:D, 0)), "INC") = "INC",
      IFNA(INDEX(dataICM!D:D, MATCH(Caseslist!B619, dataICM!D:D, 0)), "INC"),
      "COMPLETE"
    )
  )</f>
        <v>COMPLETE</v>
      </c>
      <c r="G619" s="10" t="str">
        <f t="array" ref="G619">IF(IFERROR(INDEX(data!L:L,match(Caseslist!B619,data!D:D,0)),"INC")="","COMPLETE",F619)</f>
        <v>COMPLETE</v>
      </c>
      <c r="H619" s="9" t="str">
        <f t="array" ref="H619">IFERROR(INDEX(dataICM!F:F,match(Caseslist!B619,dataICM!D:D,0)), "INC")</f>
        <v>INC</v>
      </c>
      <c r="I619" s="10" t="str">
        <f t="shared" si="2"/>
        <v>K8623174</v>
      </c>
      <c r="J619" s="9" t="str">
        <f t="array" ref="J619">IF(
  AND(
    IFERROR(MATCH(B619, data!D:D, 0), 0) &gt; 0,
    IFERROR(INDEX(data!N:N, MATCH(B619, data!D:D, 0)) = 1, FALSE)
  ),
  INDEX(data!C:C, MATCH(B619, data!D:D, 0)),
  "INC"
)</f>
        <v>2025-09-12T09:30:09.228+08</v>
      </c>
      <c r="K619" s="9" t="str">
        <f t="array" ref="K619">IFERROR(INDEX(dataICM!C:C,match(Caseslist!B619,dataICM!D:D,0)), "INC")</f>
        <v>INC</v>
      </c>
      <c r="L619" s="10" t="str">
        <f t="array" ref="L619">IF(AND(G619="COMPLETE", OR(K619="INC", ISBLANK(INDEX(data!O:O, ROW())))), J619, K619)</f>
        <v>2025-09-12T09:30:09.228+08</v>
      </c>
      <c r="M619" s="2">
        <v>45912.0</v>
      </c>
      <c r="N619" s="2">
        <f t="array" ref="N619">IF(M619&lt;&gt;"INC", INDEX(data!M:M, MATCH(B619, data!D:D, 0)), "")</f>
        <v>0</v>
      </c>
      <c r="O619" s="2">
        <f t="shared" si="3"/>
        <v>0</v>
      </c>
    </row>
    <row r="620">
      <c r="A620" s="2" t="str">
        <f t="shared" si="1"/>
        <v>H006742</v>
      </c>
      <c r="B620" s="1" t="s">
        <v>5863</v>
      </c>
      <c r="C620" s="9" t="str">
        <f t="array" ref="C620">IF(
  AND(
    IFERROR(MATCH(Caseslist!B620, data!D:D, 0), 0) &gt; 0,
    IFERROR(INDEX(data!N:N, MATCH(Caseslist!B620, data!D:D, 0)) = 1, FALSE)
  ),
  "COMPLETE",
  "INC"
)</f>
        <v>COMPLETE</v>
      </c>
      <c r="D620" s="9" t="str">
        <f t="array" ref="D620">IFERROR(INDEX(data!$G:$G,match(Caseslist!B620,data!$D:$D,0)), "INC")</f>
        <v>M6491032</v>
      </c>
      <c r="E620" s="9" t="str">
        <f t="array" ref="E620">IFERROR(INDEX(data!H:H,match(Caseslist!B620,data!D:D,0)), "INC")</f>
        <v>Rosevil Tayo Desamparado</v>
      </c>
      <c r="F620" s="10" t="str">
        <f t="array" ref="F620">IF(
    OR(
      IFNA(INDEX(data!M:M, MATCH(Caseslist!B620, data!D:D, 0)), "") = "",
      IFNA(INDEX(data!M:M, MATCH(Caseslist!B620, data!D:D, 0)), 0) = 0
    ),
    "COMPLETE",
    IF(
      IFNA(INDEX(dataICM!D:D, MATCH(Caseslist!B620, dataICM!D:D, 0)), "INC") = "INC",
      IFNA(INDEX(dataICM!D:D, MATCH(Caseslist!B620, dataICM!D:D, 0)), "INC"),
      "COMPLETE"
    )
  )</f>
        <v>COMPLETE</v>
      </c>
      <c r="G620" s="10" t="str">
        <f t="array" ref="G620">IF(IFERROR(INDEX(data!L:L,match(Caseslist!B620,data!D:D,0)),"INC")="","COMPLETE",F620)</f>
        <v>COMPLETE</v>
      </c>
      <c r="H620" s="9" t="str">
        <f t="array" ref="H620">IFERROR(INDEX(dataICM!F:F,match(Caseslist!B620,dataICM!D:D,0)), "INC")</f>
        <v>INC</v>
      </c>
      <c r="I620" s="10" t="str">
        <f t="shared" si="2"/>
        <v>M6491032</v>
      </c>
      <c r="J620" s="9" t="str">
        <f t="array" ref="J620">IF(
  AND(
    IFERROR(MATCH(B620, data!D:D, 0), 0) &gt; 0,
    IFERROR(INDEX(data!N:N, MATCH(B620, data!D:D, 0)) = 1, FALSE)
  ),
  INDEX(data!C:C, MATCH(B620, data!D:D, 0)),
  "INC"
)</f>
        <v>2025-09-12T11:51:06.646+08</v>
      </c>
      <c r="K620" s="9" t="str">
        <f t="array" ref="K620">IFERROR(INDEX(dataICM!C:C,match(Caseslist!B620,dataICM!D:D,0)), "INC")</f>
        <v>INC</v>
      </c>
      <c r="L620" s="10" t="str">
        <f t="array" ref="L620">IF(AND(G620="COMPLETE", OR(K620="INC", ISBLANK(INDEX(data!O:O, ROW())))), J620, K620)</f>
        <v>2025-09-12T11:51:06.646+08</v>
      </c>
      <c r="M620" s="2">
        <v>45912.0</v>
      </c>
      <c r="N620" s="2">
        <f t="array" ref="N620">IF(M620&lt;&gt;"INC", INDEX(data!M:M, MATCH(B620, data!D:D, 0)), "")</f>
        <v>0</v>
      </c>
      <c r="O620" s="2">
        <f t="shared" si="3"/>
        <v>0</v>
      </c>
    </row>
    <row r="621">
      <c r="A621" s="2" t="str">
        <f t="shared" si="1"/>
        <v>H006742</v>
      </c>
      <c r="B621" s="1" t="s">
        <v>5858</v>
      </c>
      <c r="C621" s="9" t="str">
        <f t="array" ref="C621">IF(
  AND(
    IFERROR(MATCH(Caseslist!B621, data!D:D, 0), 0) &gt; 0,
    IFERROR(INDEX(data!N:N, MATCH(Caseslist!B621, data!D:D, 0)) = 1, FALSE)
  ),
  "COMPLETE",
  "INC"
)</f>
        <v>COMPLETE</v>
      </c>
      <c r="D621" s="9" t="str">
        <f t="array" ref="D621">IFERROR(INDEX(data!$G:$G,match(Caseslist!B621,data!$D:$D,0)), "INC")</f>
        <v>M6491032</v>
      </c>
      <c r="E621" s="9" t="str">
        <f t="array" ref="E621">IFERROR(INDEX(data!H:H,match(Caseslist!B621,data!D:D,0)), "INC")</f>
        <v>Rosevil Tayo Desamparado</v>
      </c>
      <c r="F621" s="10" t="str">
        <f t="array" ref="F621">IF(
    OR(
      IFNA(INDEX(data!M:M, MATCH(Caseslist!B621, data!D:D, 0)), "") = "",
      IFNA(INDEX(data!M:M, MATCH(Caseslist!B621, data!D:D, 0)), 0) = 0
    ),
    "COMPLETE",
    IF(
      IFNA(INDEX(dataICM!D:D, MATCH(Caseslist!B621, dataICM!D:D, 0)), "INC") = "INC",
      IFNA(INDEX(dataICM!D:D, MATCH(Caseslist!B621, dataICM!D:D, 0)), "INC"),
      "COMPLETE"
    )
  )</f>
        <v>COMPLETE</v>
      </c>
      <c r="G621" s="10" t="str">
        <f t="array" ref="G621">IF(IFERROR(INDEX(data!L:L,match(Caseslist!B621,data!D:D,0)),"INC")="","COMPLETE",F621)</f>
        <v>COMPLETE</v>
      </c>
      <c r="H621" s="9" t="str">
        <f t="array" ref="H621">IFERROR(INDEX(dataICM!F:F,match(Caseslist!B621,dataICM!D:D,0)), "INC")</f>
        <v>INC</v>
      </c>
      <c r="I621" s="10" t="str">
        <f t="shared" si="2"/>
        <v>M6491032</v>
      </c>
      <c r="J621" s="9" t="str">
        <f t="array" ref="J621">IF(
  AND(
    IFERROR(MATCH(B621, data!D:D, 0), 0) &gt; 0,
    IFERROR(INDEX(data!N:N, MATCH(B621, data!D:D, 0)) = 1, FALSE)
  ),
  INDEX(data!C:C, MATCH(B621, data!D:D, 0)),
  "INC"
)</f>
        <v>2025-09-12T10:09:32.915+08</v>
      </c>
      <c r="K621" s="9" t="str">
        <f t="array" ref="K621">IFERROR(INDEX(dataICM!C:C,match(Caseslist!B621,dataICM!D:D,0)), "INC")</f>
        <v>INC</v>
      </c>
      <c r="L621" s="10" t="str">
        <f t="array" ref="L621">IF(AND(G621="COMPLETE", OR(K621="INC", ISBLANK(INDEX(data!O:O, ROW())))), J621, K621)</f>
        <v>2025-09-12T10:09:32.915+08</v>
      </c>
      <c r="M621" s="2">
        <v>45912.0</v>
      </c>
      <c r="N621" s="2">
        <f t="array" ref="N621">IF(M621&lt;&gt;"INC", INDEX(data!M:M, MATCH(B621, data!D:D, 0)), "")</f>
        <v>0</v>
      </c>
      <c r="O621" s="2">
        <f t="shared" si="3"/>
        <v>0</v>
      </c>
    </row>
    <row r="622">
      <c r="A622" s="2" t="str">
        <f t="shared" si="1"/>
        <v>H006809</v>
      </c>
      <c r="B622" s="1" t="s">
        <v>6768</v>
      </c>
      <c r="C622" s="9" t="str">
        <f t="array" ref="C622">IF(
  AND(
    IFERROR(MATCH(Caseslist!B622, data!D:D, 0), 0) &gt; 0,
    IFERROR(INDEX(data!N:N, MATCH(Caseslist!B622, data!D:D, 0)) = 1, FALSE)
  ),
  "COMPLETE",
  "INC"
)</f>
        <v>COMPLETE</v>
      </c>
      <c r="D622" s="9" t="str">
        <f t="array" ref="D622">IFERROR(INDEX(data!$G:$G,match(Caseslist!B622,data!$D:$D,0)), "INC")</f>
        <v>P1068432</v>
      </c>
      <c r="E622" s="9" t="str">
        <f t="array" ref="E622">IFERROR(INDEX(data!H:H,match(Caseslist!B622,data!D:D,0)), "INC")</f>
        <v>Mark Daniel Balagao Benson</v>
      </c>
      <c r="F622" s="10" t="str">
        <f t="array" ref="F622">IF(
    OR(
      IFNA(INDEX(data!M:M, MATCH(Caseslist!B622, data!D:D, 0)), "") = "",
      IFNA(INDEX(data!M:M, MATCH(Caseslist!B622, data!D:D, 0)), 0) = 0
    ),
    "COMPLETE",
    IF(
      IFNA(INDEX(dataICM!D:D, MATCH(Caseslist!B622, dataICM!D:D, 0)), "INC") = "INC",
      IFNA(INDEX(dataICM!D:D, MATCH(Caseslist!B622, dataICM!D:D, 0)), "INC"),
      "COMPLETE"
    )
  )</f>
        <v>COMPLETE</v>
      </c>
      <c r="G622" s="10" t="str">
        <f t="array" ref="G622">IF(IFERROR(INDEX(data!L:L,match(Caseslist!B622,data!D:D,0)),"INC")="","COMPLETE",F622)</f>
        <v>COMPLETE</v>
      </c>
      <c r="H622" s="9" t="str">
        <f t="array" ref="H622">IFERROR(INDEX(dataICM!F:F,match(Caseslist!B622,dataICM!D:D,0)), "INC")</f>
        <v>Mark Daniel Balagao Benson</v>
      </c>
      <c r="I622" s="10" t="str">
        <f t="shared" si="2"/>
        <v>P1068432</v>
      </c>
      <c r="J622" s="9" t="str">
        <f t="array" ref="J622">IF(
  AND(
    IFERROR(MATCH(B622, data!D:D, 0), 0) &gt; 0,
    IFERROR(INDEX(data!N:N, MATCH(B622, data!D:D, 0)) = 1, FALSE)
  ),
  INDEX(data!C:C, MATCH(B622, data!D:D, 0)),
  "INC"
)</f>
        <v>2025-09-16T10:43:38.442+08</v>
      </c>
      <c r="K622" s="9" t="str">
        <f t="array" ref="K622">IFERROR(INDEX(dataICM!C:C,match(Caseslist!B622,dataICM!D:D,0)), "INC")</f>
        <v>2025-09-16T12:02:13.957+08</v>
      </c>
      <c r="L622" s="10" t="str">
        <f t="array" ref="L622">IF(AND(G622="COMPLETE", OR(K622="INC", ISBLANK(INDEX(data!O:O, ROW())))), J622, K622)</f>
        <v>2025-09-16T12:02:13.957+08</v>
      </c>
      <c r="M622" s="2">
        <v>45916.0</v>
      </c>
      <c r="N622" s="2">
        <f t="array" ref="N622">IF(M622&lt;&gt;"INC", INDEX(data!M:M, MATCH(B622, data!D:D, 0)), "")</f>
        <v>2</v>
      </c>
      <c r="O622" s="2">
        <f t="shared" si="3"/>
        <v>2</v>
      </c>
    </row>
    <row r="623">
      <c r="A623" s="2" t="str">
        <f t="shared" si="1"/>
        <v>H006809</v>
      </c>
      <c r="B623" s="1" t="s">
        <v>8538</v>
      </c>
      <c r="C623" s="9" t="str">
        <f t="array" ref="C623">IF(
  AND(
    IFERROR(MATCH(Caseslist!B623, data!D:D, 0), 0) &gt; 0,
    IFERROR(INDEX(data!N:N, MATCH(Caseslist!B623, data!D:D, 0)) = 1, FALSE)
  ),
  "COMPLETE",
  "INC"
)</f>
        <v>COMPLETE</v>
      </c>
      <c r="D623" s="9" t="str">
        <f t="array" ref="D623">IFERROR(INDEX(data!$G:$G,match(Caseslist!B623,data!$D:$D,0)), "INC")</f>
        <v>P1068432</v>
      </c>
      <c r="E623" s="9" t="str">
        <f t="array" ref="E623">IFERROR(INDEX(data!H:H,match(Caseslist!B623,data!D:D,0)), "INC")</f>
        <v>Mark Daniel Balagao Benson</v>
      </c>
      <c r="F623" s="10" t="str">
        <f t="array" ref="F623">IF(
    OR(
      IFNA(INDEX(data!M:M, MATCH(Caseslist!B623, data!D:D, 0)), "") = "",
      IFNA(INDEX(data!M:M, MATCH(Caseslist!B623, data!D:D, 0)), 0) = 0
    ),
    "COMPLETE",
    IF(
      IFNA(INDEX(dataICM!D:D, MATCH(Caseslist!B623, dataICM!D:D, 0)), "INC") = "INC",
      IFNA(INDEX(dataICM!D:D, MATCH(Caseslist!B623, dataICM!D:D, 0)), "INC"),
      "COMPLETE"
    )
  )</f>
        <v>COMPLETE</v>
      </c>
      <c r="G623" s="10" t="str">
        <f t="array" ref="G623">IF(IFERROR(INDEX(data!L:L,match(Caseslist!B623,data!D:D,0)),"INC")="","COMPLETE",F623)</f>
        <v>COMPLETE</v>
      </c>
      <c r="H623" s="9" t="str">
        <f t="array" ref="H623">IFERROR(INDEX(dataICM!F:F,match(Caseslist!B623,dataICM!D:D,0)), "INC")</f>
        <v>Mark Daniel Balagao Benson</v>
      </c>
      <c r="I623" s="10" t="str">
        <f t="shared" si="2"/>
        <v>P1068432</v>
      </c>
      <c r="J623" s="9" t="str">
        <f t="array" ref="J623">IF(
  AND(
    IFERROR(MATCH(B623, data!D:D, 0), 0) &gt; 0,
    IFERROR(INDEX(data!N:N, MATCH(B623, data!D:D, 0)) = 1, FALSE)
  ),
  INDEX(data!C:C, MATCH(B623, data!D:D, 0)),
  "INC"
)</f>
        <v>2025-09-25T10:03:50.713+08</v>
      </c>
      <c r="K623" s="9" t="str">
        <f t="array" ref="K623">IFERROR(INDEX(dataICM!C:C,match(Caseslist!B623,dataICM!D:D,0)), "INC")</f>
        <v>2025-09-25T12:03:22.048+08</v>
      </c>
      <c r="L623" s="10" t="str">
        <f t="array" ref="L623">IF(AND(G623="COMPLETE", OR(K623="INC", ISBLANK(INDEX(data!O:O, ROW())))), J623, K623)</f>
        <v>2025-09-25T12:03:22.048+08</v>
      </c>
      <c r="M623" s="2">
        <v>45925.0</v>
      </c>
      <c r="N623" s="2">
        <f t="array" ref="N623">IF(M623&lt;&gt;"INC", INDEX(data!M:M, MATCH(B623, data!D:D, 0)), "")</f>
        <v>2</v>
      </c>
      <c r="O623" s="2">
        <f t="shared" si="3"/>
        <v>2</v>
      </c>
    </row>
    <row r="624">
      <c r="A624" s="2" t="str">
        <f t="shared" si="1"/>
        <v>H006809</v>
      </c>
      <c r="B624" s="1" t="s">
        <v>6758</v>
      </c>
      <c r="C624" s="9" t="str">
        <f t="array" ref="C624">IF(
  AND(
    IFERROR(MATCH(Caseslist!B624, data!D:D, 0), 0) &gt; 0,
    IFERROR(INDEX(data!N:N, MATCH(Caseslist!B624, data!D:D, 0)) = 1, FALSE)
  ),
  "COMPLETE",
  "INC"
)</f>
        <v>COMPLETE</v>
      </c>
      <c r="D624" s="9" t="str">
        <f t="array" ref="D624">IFERROR(INDEX(data!$G:$G,match(Caseslist!B624,data!$D:$D,0)), "INC")</f>
        <v>O3925718</v>
      </c>
      <c r="E624" s="9" t="str">
        <f t="array" ref="E624">IFERROR(INDEX(data!H:H,match(Caseslist!B624,data!D:D,0)), "INC")</f>
        <v>Adrian Montecastro Ferrer</v>
      </c>
      <c r="F624" s="10" t="str">
        <f t="array" ref="F624">IF(
    OR(
      IFNA(INDEX(data!M:M, MATCH(Caseslist!B624, data!D:D, 0)), "") = "",
      IFNA(INDEX(data!M:M, MATCH(Caseslist!B624, data!D:D, 0)), 0) = 0
    ),
    "COMPLETE",
    IF(
      IFNA(INDEX(dataICM!D:D, MATCH(Caseslist!B624, dataICM!D:D, 0)), "INC") = "INC",
      IFNA(INDEX(dataICM!D:D, MATCH(Caseslist!B624, dataICM!D:D, 0)), "INC"),
      "COMPLETE"
    )
  )</f>
        <v>COMPLETE</v>
      </c>
      <c r="G624" s="10" t="str">
        <f t="array" ref="G624">IF(IFERROR(INDEX(data!L:L,match(Caseslist!B624,data!D:D,0)),"INC")="","COMPLETE",F624)</f>
        <v>COMPLETE</v>
      </c>
      <c r="H624" s="9" t="str">
        <f t="array" ref="H624">IFERROR(INDEX(dataICM!F:F,match(Caseslist!B624,dataICM!D:D,0)), "INC")</f>
        <v>Adrian Montecastro Ferrer</v>
      </c>
      <c r="I624" s="10" t="str">
        <f t="shared" si="2"/>
        <v>O3925718</v>
      </c>
      <c r="J624" s="9" t="str">
        <f t="array" ref="J624">IF(
  AND(
    IFERROR(MATCH(B624, data!D:D, 0), 0) &gt; 0,
    IFERROR(INDEX(data!N:N, MATCH(B624, data!D:D, 0)) = 1, FALSE)
  ),
  INDEX(data!C:C, MATCH(B624, data!D:D, 0)),
  "INC"
)</f>
        <v>2025-09-16T09:30:47.868+08</v>
      </c>
      <c r="K624" s="9" t="str">
        <f t="array" ref="K624">IFERROR(INDEX(dataICM!C:C,match(Caseslist!B624,dataICM!D:D,0)), "INC")</f>
        <v>2025-09-16T09:42:22.372+08</v>
      </c>
      <c r="L624" s="10" t="str">
        <f t="array" ref="L624">IF(AND(G624="COMPLETE", OR(K624="INC", ISBLANK(INDEX(data!O:O, ROW())))), J624, K624)</f>
        <v>2025-09-16T09:42:22.372+08</v>
      </c>
      <c r="M624" s="2">
        <v>45916.0</v>
      </c>
      <c r="N624" s="2">
        <f t="array" ref="N624">IF(M624&lt;&gt;"INC", INDEX(data!M:M, MATCH(B624, data!D:D, 0)), "")</f>
        <v>2</v>
      </c>
      <c r="O624" s="2">
        <f t="shared" si="3"/>
        <v>2</v>
      </c>
    </row>
    <row r="625">
      <c r="A625" s="2" t="str">
        <f t="shared" si="1"/>
        <v>H006809</v>
      </c>
      <c r="B625" s="1" t="s">
        <v>6543</v>
      </c>
      <c r="C625" s="9" t="str">
        <f t="array" ref="C625">IF(
  AND(
    IFERROR(MATCH(Caseslist!B625, data!D:D, 0), 0) &gt; 0,
    IFERROR(INDEX(data!N:N, MATCH(Caseslist!B625, data!D:D, 0)) = 1, FALSE)
  ),
  "COMPLETE",
  "INC"
)</f>
        <v>COMPLETE</v>
      </c>
      <c r="D625" s="9" t="str">
        <f t="array" ref="D625">IFERROR(INDEX(data!$G:$G,match(Caseslist!B625,data!$D:$D,0)), "INC")</f>
        <v>N7814260</v>
      </c>
      <c r="E625" s="9" t="str">
        <f t="array" ref="E625">IFERROR(INDEX(data!H:H,match(Caseslist!B625,data!D:D,0)), "INC")</f>
        <v>Jemma Marie Tillo</v>
      </c>
      <c r="F625" s="10" t="str">
        <f t="array" ref="F625">IF(
    OR(
      IFNA(INDEX(data!M:M, MATCH(Caseslist!B625, data!D:D, 0)), "") = "",
      IFNA(INDEX(data!M:M, MATCH(Caseslist!B625, data!D:D, 0)), 0) = 0
    ),
    "COMPLETE",
    IF(
      IFNA(INDEX(dataICM!D:D, MATCH(Caseslist!B625, dataICM!D:D, 0)), "INC") = "INC",
      IFNA(INDEX(dataICM!D:D, MATCH(Caseslist!B625, dataICM!D:D, 0)), "INC"),
      "COMPLETE"
    )
  )</f>
        <v>COMPLETE</v>
      </c>
      <c r="G625" s="10" t="str">
        <f t="array" ref="G625">IF(IFERROR(INDEX(data!L:L,match(Caseslist!B625,data!D:D,0)),"INC")="","COMPLETE",F625)</f>
        <v>COMPLETE</v>
      </c>
      <c r="H625" s="9" t="str">
        <f t="array" ref="H625">IFERROR(INDEX(dataICM!F:F,match(Caseslist!B625,dataICM!D:D,0)), "INC")</f>
        <v>Jemma Marie Tillo</v>
      </c>
      <c r="I625" s="10" t="str">
        <f t="shared" si="2"/>
        <v>N7814260</v>
      </c>
      <c r="J625" s="9" t="str">
        <f t="array" ref="J625">IF(
  AND(
    IFERROR(MATCH(B625, data!D:D, 0), 0) &gt; 0,
    IFERROR(INDEX(data!N:N, MATCH(B625, data!D:D, 0)) = 1, FALSE)
  ),
  INDEX(data!C:C, MATCH(B625, data!D:D, 0)),
  "INC"
)</f>
        <v>2025-09-16T09:57:51.879+08</v>
      </c>
      <c r="K625" s="9" t="str">
        <f t="array" ref="K625">IFERROR(INDEX(dataICM!C:C,match(Caseslist!B625,dataICM!D:D,0)), "INC")</f>
        <v>2025-09-16T10:07:41.389+08</v>
      </c>
      <c r="L625" s="10" t="str">
        <f t="array" ref="L625">IF(AND(G625="COMPLETE", OR(K625="INC", ISBLANK(INDEX(data!O:O, ROW())))), J625, K625)</f>
        <v>2025-09-16T10:07:41.389+08</v>
      </c>
      <c r="M625" s="2">
        <v>45916.0</v>
      </c>
      <c r="N625" s="2">
        <f t="array" ref="N625">IF(M625&lt;&gt;"INC", INDEX(data!M:M, MATCH(B625, data!D:D, 0)), "")</f>
        <v>2</v>
      </c>
      <c r="O625" s="2">
        <f t="shared" si="3"/>
        <v>2</v>
      </c>
    </row>
    <row r="626">
      <c r="A626" s="2" t="str">
        <f t="shared" si="1"/>
        <v>H006809</v>
      </c>
      <c r="B626" s="1" t="s">
        <v>6543</v>
      </c>
      <c r="C626" s="9" t="str">
        <f t="array" ref="C626">IF(
  AND(
    IFERROR(MATCH(Caseslist!B626, data!D:D, 0), 0) &gt; 0,
    IFERROR(INDEX(data!N:N, MATCH(Caseslist!B626, data!D:D, 0)) = 1, FALSE)
  ),
  "COMPLETE",
  "INC"
)</f>
        <v>COMPLETE</v>
      </c>
      <c r="D626" s="9" t="str">
        <f t="array" ref="D626">IFERROR(INDEX(data!$G:$G,match(Caseslist!B626,data!$D:$D,0)), "INC")</f>
        <v>N7814260</v>
      </c>
      <c r="E626" s="9" t="str">
        <f t="array" ref="E626">IFERROR(INDEX(data!H:H,match(Caseslist!B626,data!D:D,0)), "INC")</f>
        <v>Jemma Marie Tillo</v>
      </c>
      <c r="F626" s="10" t="str">
        <f t="array" ref="F626">IF(
    OR(
      IFNA(INDEX(data!M:M, MATCH(Caseslist!B626, data!D:D, 0)), "") = "",
      IFNA(INDEX(data!M:M, MATCH(Caseslist!B626, data!D:D, 0)), 0) = 0
    ),
    "COMPLETE",
    IF(
      IFNA(INDEX(dataICM!D:D, MATCH(Caseslist!B626, dataICM!D:D, 0)), "INC") = "INC",
      IFNA(INDEX(dataICM!D:D, MATCH(Caseslist!B626, dataICM!D:D, 0)), "INC"),
      "COMPLETE"
    )
  )</f>
        <v>COMPLETE</v>
      </c>
      <c r="G626" s="10" t="str">
        <f t="array" ref="G626">IF(IFERROR(INDEX(data!L:L,match(Caseslist!B626,data!D:D,0)),"INC")="","COMPLETE",F626)</f>
        <v>COMPLETE</v>
      </c>
      <c r="H626" s="9" t="str">
        <f t="array" ref="H626">IFERROR(INDEX(dataICM!F:F,match(Caseslist!B626,dataICM!D:D,0)), "INC")</f>
        <v>Jemma Marie Tillo</v>
      </c>
      <c r="I626" s="10" t="str">
        <f t="shared" si="2"/>
        <v>N7814260</v>
      </c>
      <c r="J626" s="9" t="str">
        <f t="array" ref="J626">IF(
  AND(
    IFERROR(MATCH(B626, data!D:D, 0), 0) &gt; 0,
    IFERROR(INDEX(data!N:N, MATCH(B626, data!D:D, 0)) = 1, FALSE)
  ),
  INDEX(data!C:C, MATCH(B626, data!D:D, 0)),
  "INC"
)</f>
        <v>2025-09-16T09:57:51.879+08</v>
      </c>
      <c r="K626" s="9" t="str">
        <f t="array" ref="K626">IFERROR(INDEX(dataICM!C:C,match(Caseslist!B626,dataICM!D:D,0)), "INC")</f>
        <v>2025-09-16T10:07:41.389+08</v>
      </c>
      <c r="L626" s="10" t="str">
        <f t="array" ref="L626">IF(AND(G626="COMPLETE", OR(K626="INC", ISBLANK(INDEX(data!O:O, ROW())))), J626, K626)</f>
        <v>2025-09-16T10:07:41.389+08</v>
      </c>
      <c r="M626" s="2">
        <v>45916.0</v>
      </c>
      <c r="N626" s="2">
        <f t="array" ref="N626">IF(M626&lt;&gt;"INC", INDEX(data!M:M, MATCH(B626, data!D:D, 0)), "")</f>
        <v>2</v>
      </c>
      <c r="O626" s="2">
        <f t="shared" si="3"/>
        <v>2</v>
      </c>
    </row>
    <row r="627">
      <c r="A627" s="2" t="str">
        <f t="shared" si="1"/>
        <v>H006809</v>
      </c>
      <c r="B627" s="1" t="s">
        <v>6748</v>
      </c>
      <c r="C627" s="9" t="str">
        <f t="array" ref="C627">IF(
  AND(
    IFERROR(MATCH(Caseslist!B627, data!D:D, 0), 0) &gt; 0,
    IFERROR(INDEX(data!N:N, MATCH(Caseslist!B627, data!D:D, 0)) = 1, FALSE)
  ),
  "COMPLETE",
  "INC"
)</f>
        <v>COMPLETE</v>
      </c>
      <c r="D627" s="9" t="str">
        <f t="array" ref="D627">IFERROR(INDEX(data!$G:$G,match(Caseslist!B627,data!$D:$D,0)), "INC")</f>
        <v>O3925718</v>
      </c>
      <c r="E627" s="9" t="str">
        <f t="array" ref="E627">IFERROR(INDEX(data!H:H,match(Caseslist!B627,data!D:D,0)), "INC")</f>
        <v>Adrian Montecastro Ferrer</v>
      </c>
      <c r="F627" s="10" t="str">
        <f t="array" ref="F627">IF(
    OR(
      IFNA(INDEX(data!M:M, MATCH(Caseslist!B627, data!D:D, 0)), "") = "",
      IFNA(INDEX(data!M:M, MATCH(Caseslist!B627, data!D:D, 0)), 0) = 0
    ),
    "COMPLETE",
    IF(
      IFNA(INDEX(dataICM!D:D, MATCH(Caseslist!B627, dataICM!D:D, 0)), "INC") = "INC",
      IFNA(INDEX(dataICM!D:D, MATCH(Caseslist!B627, dataICM!D:D, 0)), "INC"),
      "COMPLETE"
    )
  )</f>
        <v>COMPLETE</v>
      </c>
      <c r="G627" s="10" t="str">
        <f t="array" ref="G627">IF(IFERROR(INDEX(data!L:L,match(Caseslist!B627,data!D:D,0)),"INC")="","COMPLETE",F627)</f>
        <v>COMPLETE</v>
      </c>
      <c r="H627" s="9" t="str">
        <f t="array" ref="H627">IFERROR(INDEX(dataICM!F:F,match(Caseslist!B627,dataICM!D:D,0)), "INC")</f>
        <v>Adrian Montecastro Ferrer</v>
      </c>
      <c r="I627" s="10" t="str">
        <f t="shared" si="2"/>
        <v>O3925718</v>
      </c>
      <c r="J627" s="9" t="str">
        <f t="array" ref="J627">IF(
  AND(
    IFERROR(MATCH(B627, data!D:D, 0), 0) &gt; 0,
    IFERROR(INDEX(data!N:N, MATCH(B627, data!D:D, 0)) = 1, FALSE)
  ),
  INDEX(data!C:C, MATCH(B627, data!D:D, 0)),
  "INC"
)</f>
        <v>2025-09-16T14:25:44.318+08</v>
      </c>
      <c r="K627" s="9" t="str">
        <f t="array" ref="K627">IFERROR(INDEX(dataICM!C:C,match(Caseslist!B627,dataICM!D:D,0)), "INC")</f>
        <v>2025-09-16T14:38:50.767+08</v>
      </c>
      <c r="L627" s="10" t="str">
        <f t="array" ref="L627">IF(AND(G627="COMPLETE", OR(K627="INC", ISBLANK(INDEX(data!O:O, ROW())))), J627, K627)</f>
        <v>2025-09-16T14:38:50.767+08</v>
      </c>
      <c r="M627" s="2">
        <v>45916.0</v>
      </c>
      <c r="N627" s="2">
        <f t="array" ref="N627">IF(M627&lt;&gt;"INC", INDEX(data!M:M, MATCH(B627, data!D:D, 0)), "")</f>
        <v>2</v>
      </c>
      <c r="O627" s="2">
        <f t="shared" si="3"/>
        <v>2</v>
      </c>
    </row>
    <row r="628">
      <c r="A628" s="2" t="str">
        <f t="shared" si="1"/>
        <v>H006809</v>
      </c>
      <c r="B628" s="1" t="s">
        <v>6773</v>
      </c>
      <c r="C628" s="9" t="str">
        <f t="array" ref="C628">IF(
  AND(
    IFERROR(MATCH(Caseslist!B628, data!D:D, 0), 0) &gt; 0,
    IFERROR(INDEX(data!N:N, MATCH(Caseslist!B628, data!D:D, 0)) = 1, FALSE)
  ),
  "COMPLETE",
  "INC"
)</f>
        <v>COMPLETE</v>
      </c>
      <c r="D628" s="9" t="str">
        <f t="array" ref="D628">IFERROR(INDEX(data!$G:$G,match(Caseslist!B628,data!$D:$D,0)), "INC")</f>
        <v>P1068432</v>
      </c>
      <c r="E628" s="9" t="str">
        <f t="array" ref="E628">IFERROR(INDEX(data!H:H,match(Caseslist!B628,data!D:D,0)), "INC")</f>
        <v>Mark Daniel Balagao Benson</v>
      </c>
      <c r="F628" s="10" t="str">
        <f t="array" ref="F628">IF(
    OR(
      IFNA(INDEX(data!M:M, MATCH(Caseslist!B628, data!D:D, 0)), "") = "",
      IFNA(INDEX(data!M:M, MATCH(Caseslist!B628, data!D:D, 0)), 0) = 0
    ),
    "COMPLETE",
    IF(
      IFNA(INDEX(dataICM!D:D, MATCH(Caseslist!B628, dataICM!D:D, 0)), "INC") = "INC",
      IFNA(INDEX(dataICM!D:D, MATCH(Caseslist!B628, dataICM!D:D, 0)), "INC"),
      "COMPLETE"
    )
  )</f>
        <v>COMPLETE</v>
      </c>
      <c r="G628" s="10" t="str">
        <f t="array" ref="G628">IF(IFERROR(INDEX(data!L:L,match(Caseslist!B628,data!D:D,0)),"INC")="","COMPLETE",F628)</f>
        <v>COMPLETE</v>
      </c>
      <c r="H628" s="9" t="str">
        <f t="array" ref="H628">IFERROR(INDEX(dataICM!F:F,match(Caseslist!B628,dataICM!D:D,0)), "INC")</f>
        <v>Mark Daniel Balagao Benson</v>
      </c>
      <c r="I628" s="10" t="str">
        <f t="shared" si="2"/>
        <v>P1068432</v>
      </c>
      <c r="J628" s="9" t="str">
        <f t="array" ref="J628">IF(
  AND(
    IFERROR(MATCH(B628, data!D:D, 0), 0) &gt; 0,
    IFERROR(INDEX(data!N:N, MATCH(B628, data!D:D, 0)) = 1, FALSE)
  ),
  INDEX(data!C:C, MATCH(B628, data!D:D, 0)),
  "INC"
)</f>
        <v>2025-09-16T14:33:11.384+08</v>
      </c>
      <c r="K628" s="9" t="str">
        <f t="array" ref="K628">IFERROR(INDEX(dataICM!C:C,match(Caseslist!B628,dataICM!D:D,0)), "INC")</f>
        <v>2025-09-16T15:12:01.329+08</v>
      </c>
      <c r="L628" s="10" t="str">
        <f t="array" ref="L628">IF(AND(G628="COMPLETE", OR(K628="INC", ISBLANK(INDEX(data!O:O, ROW())))), J628, K628)</f>
        <v>2025-09-16T15:12:01.329+08</v>
      </c>
      <c r="M628" s="2">
        <v>45916.0</v>
      </c>
      <c r="N628" s="2">
        <f t="array" ref="N628">IF(M628&lt;&gt;"INC", INDEX(data!M:M, MATCH(B628, data!D:D, 0)), "")</f>
        <v>2</v>
      </c>
      <c r="O628" s="2">
        <f t="shared" si="3"/>
        <v>2</v>
      </c>
    </row>
    <row r="629">
      <c r="A629" s="2" t="str">
        <f t="shared" si="1"/>
        <v>H006809</v>
      </c>
      <c r="B629" s="1" t="s">
        <v>6753</v>
      </c>
      <c r="C629" s="9" t="str">
        <f t="array" ref="C629">IF(
  AND(
    IFERROR(MATCH(Caseslist!B629, data!D:D, 0), 0) &gt; 0,
    IFERROR(INDEX(data!N:N, MATCH(Caseslist!B629, data!D:D, 0)) = 1, FALSE)
  ),
  "COMPLETE",
  "INC"
)</f>
        <v>COMPLETE</v>
      </c>
      <c r="D629" s="9" t="str">
        <f t="array" ref="D629">IFERROR(INDEX(data!$G:$G,match(Caseslist!B629,data!$D:$D,0)), "INC")</f>
        <v>O3925718</v>
      </c>
      <c r="E629" s="9" t="str">
        <f t="array" ref="E629">IFERROR(INDEX(data!H:H,match(Caseslist!B629,data!D:D,0)), "INC")</f>
        <v>Adrian Montecastro Ferrer</v>
      </c>
      <c r="F629" s="10" t="str">
        <f t="array" ref="F629">IF(
    OR(
      IFNA(INDEX(data!M:M, MATCH(Caseslist!B629, data!D:D, 0)), "") = "",
      IFNA(INDEX(data!M:M, MATCH(Caseslist!B629, data!D:D, 0)), 0) = 0
    ),
    "COMPLETE",
    IF(
      IFNA(INDEX(dataICM!D:D, MATCH(Caseslist!B629, dataICM!D:D, 0)), "INC") = "INC",
      IFNA(INDEX(dataICM!D:D, MATCH(Caseslist!B629, dataICM!D:D, 0)), "INC"),
      "COMPLETE"
    )
  )</f>
        <v>COMPLETE</v>
      </c>
      <c r="G629" s="10" t="str">
        <f t="array" ref="G629">IF(IFERROR(INDEX(data!L:L,match(Caseslist!B629,data!D:D,0)),"INC")="","COMPLETE",F629)</f>
        <v>COMPLETE</v>
      </c>
      <c r="H629" s="9" t="str">
        <f t="array" ref="H629">IFERROR(INDEX(dataICM!F:F,match(Caseslist!B629,dataICM!D:D,0)), "INC")</f>
        <v>Adrian Montecastro Ferrer</v>
      </c>
      <c r="I629" s="10" t="str">
        <f t="shared" si="2"/>
        <v>O3925718</v>
      </c>
      <c r="J629" s="9" t="str">
        <f t="array" ref="J629">IF(
  AND(
    IFERROR(MATCH(B629, data!D:D, 0), 0) &gt; 0,
    IFERROR(INDEX(data!N:N, MATCH(B629, data!D:D, 0)) = 1, FALSE)
  ),
  INDEX(data!C:C, MATCH(B629, data!D:D, 0)),
  "INC"
)</f>
        <v>2025-09-16T11:09:47.767+08</v>
      </c>
      <c r="K629" s="9" t="str">
        <f t="array" ref="K629">IFERROR(INDEX(dataICM!C:C,match(Caseslist!B629,dataICM!D:D,0)), "INC")</f>
        <v>2025-09-16T11:36:10.441+08</v>
      </c>
      <c r="L629" s="10" t="str">
        <f t="array" ref="L629">IF(AND(G629="COMPLETE", OR(K629="INC", ISBLANK(INDEX(data!O:O, ROW())))), J629, K629)</f>
        <v>2025-09-16T11:36:10.441+08</v>
      </c>
      <c r="M629" s="2">
        <v>45916.0</v>
      </c>
      <c r="N629" s="2">
        <f t="array" ref="N629">IF(M629&lt;&gt;"INC", INDEX(data!M:M, MATCH(B629, data!D:D, 0)), "")</f>
        <v>2</v>
      </c>
      <c r="O629" s="2">
        <f t="shared" si="3"/>
        <v>2</v>
      </c>
    </row>
    <row r="630">
      <c r="A630" s="2" t="str">
        <f t="shared" si="1"/>
        <v>H006809</v>
      </c>
      <c r="B630" s="1" t="s">
        <v>6763</v>
      </c>
      <c r="C630" s="9" t="str">
        <f t="array" ref="C630">IF(
  AND(
    IFERROR(MATCH(Caseslist!B630, data!D:D, 0), 0) &gt; 0,
    IFERROR(INDEX(data!N:N, MATCH(Caseslist!B630, data!D:D, 0)) = 1, FALSE)
  ),
  "COMPLETE",
  "INC"
)</f>
        <v>COMPLETE</v>
      </c>
      <c r="D630" s="9" t="str">
        <f t="array" ref="D630">IFERROR(INDEX(data!$G:$G,match(Caseslist!B630,data!$D:$D,0)), "INC")</f>
        <v>P1068432</v>
      </c>
      <c r="E630" s="9" t="str">
        <f t="array" ref="E630">IFERROR(INDEX(data!H:H,match(Caseslist!B630,data!D:D,0)), "INC")</f>
        <v>Mark Daniel Balagao Benson</v>
      </c>
      <c r="F630" s="10" t="str">
        <f t="array" ref="F630">IF(
    OR(
      IFNA(INDEX(data!M:M, MATCH(Caseslist!B630, data!D:D, 0)), "") = "",
      IFNA(INDEX(data!M:M, MATCH(Caseslist!B630, data!D:D, 0)), 0) = 0
    ),
    "COMPLETE",
    IF(
      IFNA(INDEX(dataICM!D:D, MATCH(Caseslist!B630, dataICM!D:D, 0)), "INC") = "INC",
      IFNA(INDEX(dataICM!D:D, MATCH(Caseslist!B630, dataICM!D:D, 0)), "INC"),
      "COMPLETE"
    )
  )</f>
        <v>COMPLETE</v>
      </c>
      <c r="G630" s="10" t="str">
        <f t="array" ref="G630">IF(IFERROR(INDEX(data!L:L,match(Caseslist!B630,data!D:D,0)),"INC")="","COMPLETE",F630)</f>
        <v>COMPLETE</v>
      </c>
      <c r="H630" s="9" t="str">
        <f t="array" ref="H630">IFERROR(INDEX(dataICM!F:F,match(Caseslist!B630,dataICM!D:D,0)), "INC")</f>
        <v>Mark Daniel Balagao Benson</v>
      </c>
      <c r="I630" s="10" t="str">
        <f t="shared" si="2"/>
        <v>P1068432</v>
      </c>
      <c r="J630" s="9" t="str">
        <f t="array" ref="J630">IF(
  AND(
    IFERROR(MATCH(B630, data!D:D, 0), 0) &gt; 0,
    IFERROR(INDEX(data!N:N, MATCH(B630, data!D:D, 0)) = 1, FALSE)
  ),
  INDEX(data!C:C, MATCH(B630, data!D:D, 0)),
  "INC"
)</f>
        <v>2025-09-16T09:34:26.906+08</v>
      </c>
      <c r="K630" s="9" t="str">
        <f t="array" ref="K630">IFERROR(INDEX(dataICM!C:C,match(Caseslist!B630,dataICM!D:D,0)), "INC")</f>
        <v>2025-09-16T09:48:30.028+08</v>
      </c>
      <c r="L630" s="10" t="str">
        <f t="array" ref="L630">IF(AND(G630="COMPLETE", OR(K630="INC", ISBLANK(INDEX(data!O:O, ROW())))), J630, K630)</f>
        <v>2025-09-16T09:48:30.028+08</v>
      </c>
      <c r="M630" s="2">
        <v>45916.0</v>
      </c>
      <c r="N630" s="2">
        <f t="array" ref="N630">IF(M630&lt;&gt;"INC", INDEX(data!M:M, MATCH(B630, data!D:D, 0)), "")</f>
        <v>2</v>
      </c>
      <c r="O630" s="2">
        <f t="shared" si="3"/>
        <v>2</v>
      </c>
    </row>
    <row r="631">
      <c r="A631" s="2" t="str">
        <f t="shared" si="1"/>
        <v>H006809</v>
      </c>
      <c r="B631" s="1" t="s">
        <v>8528</v>
      </c>
      <c r="C631" s="9" t="str">
        <f t="array" ref="C631">IF(
  AND(
    IFERROR(MATCH(Caseslist!B631, data!D:D, 0), 0) &gt; 0,
    IFERROR(INDEX(data!N:N, MATCH(Caseslist!B631, data!D:D, 0)) = 1, FALSE)
  ),
  "COMPLETE",
  "INC"
)</f>
        <v>COMPLETE</v>
      </c>
      <c r="D631" s="9" t="str">
        <f t="array" ref="D631">IFERROR(INDEX(data!$G:$G,match(Caseslist!B631,data!$D:$D,0)), "INC")</f>
        <v>N7814260</v>
      </c>
      <c r="E631" s="9" t="str">
        <f t="array" ref="E631">IFERROR(INDEX(data!H:H,match(Caseslist!B631,data!D:D,0)), "INC")</f>
        <v>Jemma Marie Tillo</v>
      </c>
      <c r="F631" s="10" t="str">
        <f t="array" ref="F631">IF(
    OR(
      IFNA(INDEX(data!M:M, MATCH(Caseslist!B631, data!D:D, 0)), "") = "",
      IFNA(INDEX(data!M:M, MATCH(Caseslist!B631, data!D:D, 0)), 0) = 0
    ),
    "COMPLETE",
    IF(
      IFNA(INDEX(dataICM!D:D, MATCH(Caseslist!B631, dataICM!D:D, 0)), "INC") = "INC",
      IFNA(INDEX(dataICM!D:D, MATCH(Caseslist!B631, dataICM!D:D, 0)), "INC"),
      "COMPLETE"
    )
  )</f>
        <v>COMPLETE</v>
      </c>
      <c r="G631" s="10" t="str">
        <f t="array" ref="G631">IF(IFERROR(INDEX(data!L:L,match(Caseslist!B631,data!D:D,0)),"INC")="","COMPLETE",F631)</f>
        <v>COMPLETE</v>
      </c>
      <c r="H631" s="9" t="str">
        <f t="array" ref="H631">IFERROR(INDEX(dataICM!F:F,match(Caseslist!B631,dataICM!D:D,0)), "INC")</f>
        <v>Jemma Marie Tillo</v>
      </c>
      <c r="I631" s="10" t="str">
        <f t="shared" si="2"/>
        <v>N7814260</v>
      </c>
      <c r="J631" s="9" t="str">
        <f t="array" ref="J631">IF(
  AND(
    IFERROR(MATCH(B631, data!D:D, 0), 0) &gt; 0,
    IFERROR(INDEX(data!N:N, MATCH(B631, data!D:D, 0)) = 1, FALSE)
  ),
  INDEX(data!C:C, MATCH(B631, data!D:D, 0)),
  "INC"
)</f>
        <v>2025-09-25T10:05:46.092+08</v>
      </c>
      <c r="K631" s="9" t="str">
        <f t="array" ref="K631">IFERROR(INDEX(dataICM!C:C,match(Caseslist!B631,dataICM!D:D,0)), "INC")</f>
        <v>2025-09-25T17:29:38.198+08</v>
      </c>
      <c r="L631" s="10" t="str">
        <f t="array" ref="L631">IF(AND(G631="COMPLETE", OR(K631="INC", ISBLANK(INDEX(data!O:O, ROW())))), J631, K631)</f>
        <v>2025-09-25T17:29:38.198+08</v>
      </c>
      <c r="M631" s="2">
        <v>45925.0</v>
      </c>
      <c r="N631" s="2">
        <f t="array" ref="N631">IF(M631&lt;&gt;"INC", INDEX(data!M:M, MATCH(B631, data!D:D, 0)), "")</f>
        <v>2</v>
      </c>
      <c r="O631" s="2">
        <f t="shared" si="3"/>
        <v>2</v>
      </c>
    </row>
    <row r="632">
      <c r="A632" s="2" t="str">
        <f t="shared" si="1"/>
        <v>H006809</v>
      </c>
      <c r="B632" s="1" t="s">
        <v>8523</v>
      </c>
      <c r="C632" s="9" t="str">
        <f t="array" ref="C632">IF(
  AND(
    IFERROR(MATCH(Caseslist!B632, data!D:D, 0), 0) &gt; 0,
    IFERROR(INDEX(data!N:N, MATCH(Caseslist!B632, data!D:D, 0)) = 1, FALSE)
  ),
  "COMPLETE",
  "INC"
)</f>
        <v>COMPLETE</v>
      </c>
      <c r="D632" s="9" t="str">
        <f t="array" ref="D632">IFERROR(INDEX(data!$G:$G,match(Caseslist!B632,data!$D:$D,0)), "INC")</f>
        <v>N7814260</v>
      </c>
      <c r="E632" s="9" t="str">
        <f t="array" ref="E632">IFERROR(INDEX(data!H:H,match(Caseslist!B632,data!D:D,0)), "INC")</f>
        <v>Jemma Marie Tillo</v>
      </c>
      <c r="F632" s="10" t="str">
        <f t="array" ref="F632">IF(
    OR(
      IFNA(INDEX(data!M:M, MATCH(Caseslist!B632, data!D:D, 0)), "") = "",
      IFNA(INDEX(data!M:M, MATCH(Caseslist!B632, data!D:D, 0)), 0) = 0
    ),
    "COMPLETE",
    IF(
      IFNA(INDEX(dataICM!D:D, MATCH(Caseslist!B632, dataICM!D:D, 0)), "INC") = "INC",
      IFNA(INDEX(dataICM!D:D, MATCH(Caseslist!B632, dataICM!D:D, 0)), "INC"),
      "COMPLETE"
    )
  )</f>
        <v>COMPLETE</v>
      </c>
      <c r="G632" s="10" t="str">
        <f t="array" ref="G632">IF(IFERROR(INDEX(data!L:L,match(Caseslist!B632,data!D:D,0)),"INC")="","COMPLETE",F632)</f>
        <v>COMPLETE</v>
      </c>
      <c r="H632" s="9" t="str">
        <f t="array" ref="H632">IFERROR(INDEX(dataICM!F:F,match(Caseslist!B632,dataICM!D:D,0)), "INC")</f>
        <v>Jemma Marie Tillo</v>
      </c>
      <c r="I632" s="10" t="str">
        <f t="shared" si="2"/>
        <v>N7814260</v>
      </c>
      <c r="J632" s="9" t="str">
        <f t="array" ref="J632">IF(
  AND(
    IFERROR(MATCH(B632, data!D:D, 0), 0) &gt; 0,
    IFERROR(INDEX(data!N:N, MATCH(B632, data!D:D, 0)) = 1, FALSE)
  ),
  INDEX(data!C:C, MATCH(B632, data!D:D, 0)),
  "INC"
)</f>
        <v>2025-09-25T12:03:45.273+08</v>
      </c>
      <c r="K632" s="9" t="str">
        <f t="array" ref="K632">IFERROR(INDEX(dataICM!C:C,match(Caseslist!B632,dataICM!D:D,0)), "INC")</f>
        <v>2025-09-25T12:36:08.710+08</v>
      </c>
      <c r="L632" s="10" t="str">
        <f t="array" ref="L632">IF(AND(G632="COMPLETE", OR(K632="INC", ISBLANK(INDEX(data!O:O, ROW())))), J632, K632)</f>
        <v>2025-09-25T12:36:08.710+08</v>
      </c>
      <c r="M632" s="2">
        <v>45925.0</v>
      </c>
      <c r="N632" s="2">
        <f t="array" ref="N632">IF(M632&lt;&gt;"INC", INDEX(data!M:M, MATCH(B632, data!D:D, 0)), "")</f>
        <v>2</v>
      </c>
      <c r="O632" s="2">
        <f t="shared" si="3"/>
        <v>2</v>
      </c>
    </row>
    <row r="633">
      <c r="A633" s="2" t="str">
        <f t="shared" si="1"/>
        <v>H006809</v>
      </c>
      <c r="B633" s="1" t="s">
        <v>6548</v>
      </c>
      <c r="C633" s="9" t="str">
        <f t="array" ref="C633">IF(
  AND(
    IFERROR(MATCH(Caseslist!B633, data!D:D, 0), 0) &gt; 0,
    IFERROR(INDEX(data!N:N, MATCH(Caseslist!B633, data!D:D, 0)) = 1, FALSE)
  ),
  "COMPLETE",
  "INC"
)</f>
        <v>COMPLETE</v>
      </c>
      <c r="D633" s="9" t="str">
        <f t="array" ref="D633">IFERROR(INDEX(data!$G:$G,match(Caseslist!B633,data!$D:$D,0)), "INC")</f>
        <v>N7814260</v>
      </c>
      <c r="E633" s="9" t="str">
        <f t="array" ref="E633">IFERROR(INDEX(data!H:H,match(Caseslist!B633,data!D:D,0)), "INC")</f>
        <v>Jemma Marie Tillo</v>
      </c>
      <c r="F633" s="10" t="str">
        <f t="array" ref="F633">IF(
    OR(
      IFNA(INDEX(data!M:M, MATCH(Caseslist!B633, data!D:D, 0)), "") = "",
      IFNA(INDEX(data!M:M, MATCH(Caseslist!B633, data!D:D, 0)), 0) = 0
    ),
    "COMPLETE",
    IF(
      IFNA(INDEX(dataICM!D:D, MATCH(Caseslist!B633, dataICM!D:D, 0)), "INC") = "INC",
      IFNA(INDEX(dataICM!D:D, MATCH(Caseslist!B633, dataICM!D:D, 0)), "INC"),
      "COMPLETE"
    )
  )</f>
        <v>COMPLETE</v>
      </c>
      <c r="G633" s="10" t="str">
        <f t="array" ref="G633">IF(IFERROR(INDEX(data!L:L,match(Caseslist!B633,data!D:D,0)),"INC")="","COMPLETE",F633)</f>
        <v>COMPLETE</v>
      </c>
      <c r="H633" s="9" t="str">
        <f t="array" ref="H633">IFERROR(INDEX(dataICM!F:F,match(Caseslist!B633,dataICM!D:D,0)), "INC")</f>
        <v>Jemma Marie Tillo</v>
      </c>
      <c r="I633" s="10" t="str">
        <f t="shared" si="2"/>
        <v>N7814260</v>
      </c>
      <c r="J633" s="9" t="str">
        <f t="array" ref="J633">IF(
  AND(
    IFERROR(MATCH(B633, data!D:D, 0), 0) &gt; 0,
    IFERROR(INDEX(data!N:N, MATCH(B633, data!D:D, 0)) = 1, FALSE)
  ),
  INDEX(data!C:C, MATCH(B633, data!D:D, 0)),
  "INC"
)</f>
        <v>2025-09-16T11:37:31.066+08</v>
      </c>
      <c r="K633" s="9" t="str">
        <f t="array" ref="K633">IFERROR(INDEX(dataICM!C:C,match(Caseslist!B633,dataICM!D:D,0)), "INC")</f>
        <v>2025-09-16T11:42:35.128+08</v>
      </c>
      <c r="L633" s="10" t="str">
        <f t="array" ref="L633">IF(AND(G633="COMPLETE", OR(K633="INC", ISBLANK(INDEX(data!O:O, ROW())))), J633, K633)</f>
        <v>2025-09-16T11:42:35.128+08</v>
      </c>
      <c r="M633" s="2">
        <v>45916.0</v>
      </c>
      <c r="N633" s="2">
        <f t="array" ref="N633">IF(M633&lt;&gt;"INC", INDEX(data!M:M, MATCH(B633, data!D:D, 0)), "")</f>
        <v>2</v>
      </c>
      <c r="O633" s="2">
        <f t="shared" si="3"/>
        <v>2</v>
      </c>
    </row>
    <row r="634">
      <c r="A634" s="2" t="str">
        <f t="shared" si="1"/>
        <v>H006809</v>
      </c>
      <c r="B634" s="1" t="s">
        <v>6633</v>
      </c>
      <c r="C634" s="9" t="str">
        <f t="array" ref="C634">IF(
  AND(
    IFERROR(MATCH(Caseslist!B634, data!D:D, 0), 0) &gt; 0,
    IFERROR(INDEX(data!N:N, MATCH(Caseslist!B634, data!D:D, 0)) = 1, FALSE)
  ),
  "COMPLETE",
  "INC"
)</f>
        <v>COMPLETE</v>
      </c>
      <c r="D634" s="9" t="str">
        <f t="array" ref="D634">IFERROR(INDEX(data!$G:$G,match(Caseslist!B634,data!$D:$D,0)), "INC")</f>
        <v>N7814260</v>
      </c>
      <c r="E634" s="9" t="str">
        <f t="array" ref="E634">IFERROR(INDEX(data!H:H,match(Caseslist!B634,data!D:D,0)), "INC")</f>
        <v>Jemma Marie Tillo</v>
      </c>
      <c r="F634" s="10" t="str">
        <f t="array" ref="F634">IF(
    OR(
      IFNA(INDEX(data!M:M, MATCH(Caseslist!B634, data!D:D, 0)), "") = "",
      IFNA(INDEX(data!M:M, MATCH(Caseslist!B634, data!D:D, 0)), 0) = 0
    ),
    "COMPLETE",
    IF(
      IFNA(INDEX(dataICM!D:D, MATCH(Caseslist!B634, dataICM!D:D, 0)), "INC") = "INC",
      IFNA(INDEX(dataICM!D:D, MATCH(Caseslist!B634, dataICM!D:D, 0)), "INC"),
      "COMPLETE"
    )
  )</f>
        <v>COMPLETE</v>
      </c>
      <c r="G634" s="10" t="str">
        <f t="array" ref="G634">IF(IFERROR(INDEX(data!L:L,match(Caseslist!B634,data!D:D,0)),"INC")="","COMPLETE",F634)</f>
        <v>COMPLETE</v>
      </c>
      <c r="H634" s="9" t="str">
        <f t="array" ref="H634">IFERROR(INDEX(dataICM!F:F,match(Caseslist!B634,dataICM!D:D,0)), "INC")</f>
        <v>Jemma Marie Tillo</v>
      </c>
      <c r="I634" s="10" t="str">
        <f t="shared" si="2"/>
        <v>N7814260</v>
      </c>
      <c r="J634" s="9" t="str">
        <f t="array" ref="J634">IF(
  AND(
    IFERROR(MATCH(B634, data!D:D, 0), 0) &gt; 0,
    IFERROR(INDEX(data!N:N, MATCH(B634, data!D:D, 0)) = 1, FALSE)
  ),
  INDEX(data!C:C, MATCH(B634, data!D:D, 0)),
  "INC"
)</f>
        <v>2025-09-16T14:01:52.880+08</v>
      </c>
      <c r="K634" s="9" t="str">
        <f t="array" ref="K634">IFERROR(INDEX(dataICM!C:C,match(Caseslist!B634,dataICM!D:D,0)), "INC")</f>
        <v>2025-09-16T14:06:58.542+08</v>
      </c>
      <c r="L634" s="10" t="str">
        <f t="array" ref="L634">IF(AND(G634="COMPLETE", OR(K634="INC", ISBLANK(INDEX(data!O:O, ROW())))), J634, K634)</f>
        <v>2025-09-16T14:06:58.542+08</v>
      </c>
      <c r="M634" s="2">
        <v>45916.0</v>
      </c>
      <c r="N634" s="2">
        <f t="array" ref="N634">IF(M634&lt;&gt;"INC", INDEX(data!M:M, MATCH(B634, data!D:D, 0)), "")</f>
        <v>2</v>
      </c>
      <c r="O634" s="2">
        <f t="shared" si="3"/>
        <v>2</v>
      </c>
    </row>
    <row r="635">
      <c r="A635" s="2" t="str">
        <f t="shared" si="1"/>
        <v>H006809</v>
      </c>
      <c r="B635" s="1" t="s">
        <v>8533</v>
      </c>
      <c r="C635" s="9" t="str">
        <f t="array" ref="C635">IF(
  AND(
    IFERROR(MATCH(Caseslist!B635, data!D:D, 0), 0) &gt; 0,
    IFERROR(INDEX(data!N:N, MATCH(Caseslist!B635, data!D:D, 0)) = 1, FALSE)
  ),
  "COMPLETE",
  "INC"
)</f>
        <v>COMPLETE</v>
      </c>
      <c r="D635" s="9" t="str">
        <f t="array" ref="D635">IFERROR(INDEX(data!$G:$G,match(Caseslist!B635,data!$D:$D,0)), "INC")</f>
        <v>P1068432</v>
      </c>
      <c r="E635" s="9" t="str">
        <f t="array" ref="E635">IFERROR(INDEX(data!H:H,match(Caseslist!B635,data!D:D,0)), "INC")</f>
        <v>Mark Daniel Balagao Benson</v>
      </c>
      <c r="F635" s="10" t="str">
        <f t="array" ref="F635">IF(
    OR(
      IFNA(INDEX(data!M:M, MATCH(Caseslist!B635, data!D:D, 0)), "") = "",
      IFNA(INDEX(data!M:M, MATCH(Caseslist!B635, data!D:D, 0)), 0) = 0
    ),
    "COMPLETE",
    IF(
      IFNA(INDEX(dataICM!D:D, MATCH(Caseslist!B635, dataICM!D:D, 0)), "INC") = "INC",
      IFNA(INDEX(dataICM!D:D, MATCH(Caseslist!B635, dataICM!D:D, 0)), "INC"),
      "COMPLETE"
    )
  )</f>
        <v>COMPLETE</v>
      </c>
      <c r="G635" s="10" t="str">
        <f t="array" ref="G635">IF(IFERROR(INDEX(data!L:L,match(Caseslist!B635,data!D:D,0)),"INC")="","COMPLETE",F635)</f>
        <v>COMPLETE</v>
      </c>
      <c r="H635" s="9" t="str">
        <f t="array" ref="H635">IFERROR(INDEX(dataICM!F:F,match(Caseslist!B635,dataICM!D:D,0)), "INC")</f>
        <v>Mark Daniel Balagao Benson</v>
      </c>
      <c r="I635" s="10" t="str">
        <f t="shared" si="2"/>
        <v>P1068432</v>
      </c>
      <c r="J635" s="9" t="str">
        <f t="array" ref="J635">IF(
  AND(
    IFERROR(MATCH(B635, data!D:D, 0), 0) &gt; 0,
    IFERROR(INDEX(data!N:N, MATCH(B635, data!D:D, 0)) = 1, FALSE)
  ),
  INDEX(data!C:C, MATCH(B635, data!D:D, 0)),
  "INC"
)</f>
        <v>2025-09-25T08:57:12.178+08</v>
      </c>
      <c r="K635" s="9" t="str">
        <f t="array" ref="K635">IFERROR(INDEX(dataICM!C:C,match(Caseslist!B635,dataICM!D:D,0)), "INC")</f>
        <v>2025-09-25T09:10:36.230+08</v>
      </c>
      <c r="L635" s="10" t="str">
        <f t="array" ref="L635">IF(AND(G635="COMPLETE", OR(K635="INC", ISBLANK(INDEX(data!O:O, ROW())))), J635, K635)</f>
        <v>2025-09-25T09:10:36.230+08</v>
      </c>
      <c r="M635" s="2">
        <v>45925.0</v>
      </c>
      <c r="N635" s="2">
        <f t="array" ref="N635">IF(M635&lt;&gt;"INC", INDEX(data!M:M, MATCH(B635, data!D:D, 0)), "")</f>
        <v>2</v>
      </c>
      <c r="O635" s="2">
        <f t="shared" si="3"/>
        <v>2</v>
      </c>
    </row>
    <row r="636">
      <c r="A636" s="2" t="str">
        <f t="shared" si="1"/>
        <v>H006817</v>
      </c>
      <c r="B636" s="1" t="s">
        <v>5453</v>
      </c>
      <c r="C636" s="9" t="str">
        <f t="array" ref="C636">IF(
  AND(
    IFERROR(MATCH(Caseslist!B636, data!D:D, 0), 0) &gt; 0,
    IFERROR(INDEX(data!N:N, MATCH(Caseslist!B636, data!D:D, 0)) = 1, FALSE)
  ),
  "COMPLETE",
  "INC"
)</f>
        <v>COMPLETE</v>
      </c>
      <c r="D636" s="9" t="str">
        <f t="array" ref="D636">IFERROR(INDEX(data!$G:$G,match(Caseslist!B636,data!$D:$D,0)), "INC")</f>
        <v>L2057896</v>
      </c>
      <c r="E636" s="9" t="str">
        <f t="array" ref="E636">IFERROR(INDEX(data!H:H,match(Caseslist!B636,data!D:D,0)), "INC")</f>
        <v>Franz Reoben Posadas Geneblaza</v>
      </c>
      <c r="F636" s="10" t="str">
        <f t="array" ref="F636">IF(
    OR(
      IFNA(INDEX(data!M:M, MATCH(Caseslist!B636, data!D:D, 0)), "") = "",
      IFNA(INDEX(data!M:M, MATCH(Caseslist!B636, data!D:D, 0)), 0) = 0
    ),
    "COMPLETE",
    IF(
      IFNA(INDEX(dataICM!D:D, MATCH(Caseslist!B636, dataICM!D:D, 0)), "INC") = "INC",
      IFNA(INDEX(dataICM!D:D, MATCH(Caseslist!B636, dataICM!D:D, 0)), "INC"),
      "COMPLETE"
    )
  )</f>
        <v>COMPLETE</v>
      </c>
      <c r="G636" s="10" t="str">
        <f t="array" ref="G636">IF(IFERROR(INDEX(data!L:L,match(Caseslist!B636,data!D:D,0)),"INC")="","COMPLETE",F636)</f>
        <v>COMPLETE</v>
      </c>
      <c r="H636" s="9" t="str">
        <f t="array" ref="H636">IFERROR(INDEX(dataICM!F:F,match(Caseslist!B636,dataICM!D:D,0)), "INC")</f>
        <v>Franz Reoben Posadas Geneblaza</v>
      </c>
      <c r="I636" s="10" t="str">
        <f t="shared" si="2"/>
        <v>L2057896</v>
      </c>
      <c r="J636" s="9" t="str">
        <f t="array" ref="J636">IF(
  AND(
    IFERROR(MATCH(B636, data!D:D, 0), 0) &gt; 0,
    IFERROR(INDEX(data!N:N, MATCH(B636, data!D:D, 0)) = 1, FALSE)
  ),
  INDEX(data!C:C, MATCH(B636, data!D:D, 0)),
  "INC"
)</f>
        <v>2025-09-11T11:59:29.634+08</v>
      </c>
      <c r="K636" s="9" t="str">
        <f t="array" ref="K636">IFERROR(INDEX(dataICM!C:C,match(Caseslist!B636,dataICM!D:D,0)), "INC")</f>
        <v>2025-09-11T12:08:57.303+08</v>
      </c>
      <c r="L636" s="10" t="str">
        <f t="array" ref="L636">IF(AND(G636="COMPLETE", OR(K636="INC", ISBLANK(INDEX(data!O:O, ROW())))), J636, K636)</f>
        <v>2025-09-11T12:08:57.303+08</v>
      </c>
      <c r="M636" s="2">
        <v>45911.0</v>
      </c>
      <c r="N636" s="2">
        <f t="array" ref="N636">IF(M636&lt;&gt;"INC", INDEX(data!M:M, MATCH(B636, data!D:D, 0)), "")</f>
        <v>2</v>
      </c>
      <c r="O636" s="2">
        <f t="shared" si="3"/>
        <v>2</v>
      </c>
    </row>
    <row r="637">
      <c r="A637" s="2" t="str">
        <f t="shared" si="1"/>
        <v>H006817</v>
      </c>
      <c r="B637" s="1" t="s">
        <v>5263</v>
      </c>
      <c r="C637" s="9" t="str">
        <f t="array" ref="C637">IF(
  AND(
    IFERROR(MATCH(Caseslist!B637, data!D:D, 0), 0) &gt; 0,
    IFERROR(INDEX(data!N:N, MATCH(Caseslist!B637, data!D:D, 0)) = 1, FALSE)
  ),
  "COMPLETE",
  "INC"
)</f>
        <v>COMPLETE</v>
      </c>
      <c r="D637" s="9" t="str">
        <f t="array" ref="D637">IFERROR(INDEX(data!$G:$G,match(Caseslist!B637,data!$D:$D,0)), "INC")</f>
        <v>J4315980</v>
      </c>
      <c r="E637" s="9" t="str">
        <f t="array" ref="E637">IFERROR(INDEX(data!H:H,match(Caseslist!B637,data!D:D,0)), "INC")</f>
        <v>Trixie Marie Jardeleza Saber</v>
      </c>
      <c r="F637" s="10" t="str">
        <f t="array" ref="F637">IF(
    OR(
      IFNA(INDEX(data!M:M, MATCH(Caseslist!B637, data!D:D, 0)), "") = "",
      IFNA(INDEX(data!M:M, MATCH(Caseslist!B637, data!D:D, 0)), 0) = 0
    ),
    "COMPLETE",
    IF(
      IFNA(INDEX(dataICM!D:D, MATCH(Caseslist!B637, dataICM!D:D, 0)), "INC") = "INC",
      IFNA(INDEX(dataICM!D:D, MATCH(Caseslist!B637, dataICM!D:D, 0)), "INC"),
      "COMPLETE"
    )
  )</f>
        <v>COMPLETE</v>
      </c>
      <c r="G637" s="10" t="str">
        <f t="array" ref="G637">IF(IFERROR(INDEX(data!L:L,match(Caseslist!B637,data!D:D,0)),"INC")="","COMPLETE",F637)</f>
        <v>COMPLETE</v>
      </c>
      <c r="H637" s="9" t="str">
        <f t="array" ref="H637">IFERROR(INDEX(dataICM!F:F,match(Caseslist!B637,dataICM!D:D,0)), "INC")</f>
        <v>Trixie Marie Jardeleza Saber</v>
      </c>
      <c r="I637" s="10" t="str">
        <f t="shared" si="2"/>
        <v>J4315980</v>
      </c>
      <c r="J637" s="9" t="str">
        <f t="array" ref="J637">IF(
  AND(
    IFERROR(MATCH(B637, data!D:D, 0), 0) &gt; 0,
    IFERROR(INDEX(data!N:N, MATCH(B637, data!D:D, 0)) = 1, FALSE)
  ),
  INDEX(data!C:C, MATCH(B637, data!D:D, 0)),
  "INC"
)</f>
        <v>2025-09-11T12:14:56.601+08</v>
      </c>
      <c r="K637" s="9" t="str">
        <f t="array" ref="K637">IFERROR(INDEX(dataICM!C:C,match(Caseslist!B637,dataICM!D:D,0)), "INC")</f>
        <v>2025-09-13T08:54:32.896+08</v>
      </c>
      <c r="L637" s="10" t="str">
        <f t="array" ref="L637">IF(AND(G637="COMPLETE", OR(K637="INC", ISBLANK(INDEX(data!O:O, ROW())))), J637, K637)</f>
        <v>2025-09-13T08:54:32.896+08</v>
      </c>
      <c r="M637" s="2">
        <v>45913.0</v>
      </c>
      <c r="N637" s="2">
        <f t="array" ref="N637">IF(M637&lt;&gt;"INC", INDEX(data!M:M, MATCH(B637, data!D:D, 0)), "")</f>
        <v>2</v>
      </c>
      <c r="O637" s="2">
        <f t="shared" si="3"/>
        <v>2</v>
      </c>
    </row>
    <row r="638">
      <c r="A638" s="2" t="str">
        <f t="shared" si="1"/>
        <v>H006817</v>
      </c>
      <c r="B638" s="1" t="s">
        <v>5458</v>
      </c>
      <c r="C638" s="9" t="str">
        <f t="array" ref="C638">IF(
  AND(
    IFERROR(MATCH(Caseslist!B638, data!D:D, 0), 0) &gt; 0,
    IFERROR(INDEX(data!N:N, MATCH(Caseslist!B638, data!D:D, 0)) = 1, FALSE)
  ),
  "COMPLETE",
  "INC"
)</f>
        <v>COMPLETE</v>
      </c>
      <c r="D638" s="9" t="str">
        <f t="array" ref="D638">IFERROR(INDEX(data!$G:$G,match(Caseslist!B638,data!$D:$D,0)), "INC")</f>
        <v>L2057896</v>
      </c>
      <c r="E638" s="9" t="str">
        <f t="array" ref="E638">IFERROR(INDEX(data!H:H,match(Caseslist!B638,data!D:D,0)), "INC")</f>
        <v>Franz Reoben Posadas Geneblaza</v>
      </c>
      <c r="F638" s="10" t="str">
        <f t="array" ref="F638">IF(
    OR(
      IFNA(INDEX(data!M:M, MATCH(Caseslist!B638, data!D:D, 0)), "") = "",
      IFNA(INDEX(data!M:M, MATCH(Caseslist!B638, data!D:D, 0)), 0) = 0
    ),
    "COMPLETE",
    IF(
      IFNA(INDEX(dataICM!D:D, MATCH(Caseslist!B638, dataICM!D:D, 0)), "INC") = "INC",
      IFNA(INDEX(dataICM!D:D, MATCH(Caseslist!B638, dataICM!D:D, 0)), "INC"),
      "COMPLETE"
    )
  )</f>
        <v>COMPLETE</v>
      </c>
      <c r="G638" s="10" t="str">
        <f t="array" ref="G638">IF(IFERROR(INDEX(data!L:L,match(Caseslist!B638,data!D:D,0)),"INC")="","COMPLETE",F638)</f>
        <v>COMPLETE</v>
      </c>
      <c r="H638" s="9" t="str">
        <f t="array" ref="H638">IFERROR(INDEX(dataICM!F:F,match(Caseslist!B638,dataICM!D:D,0)), "INC")</f>
        <v>Franz Reoben Posadas Geneblaza</v>
      </c>
      <c r="I638" s="10" t="str">
        <f t="shared" si="2"/>
        <v>L2057896</v>
      </c>
      <c r="J638" s="9" t="str">
        <f t="array" ref="J638">IF(
  AND(
    IFERROR(MATCH(B638, data!D:D, 0), 0) &gt; 0,
    IFERROR(INDEX(data!N:N, MATCH(B638, data!D:D, 0)) = 1, FALSE)
  ),
  INDEX(data!C:C, MATCH(B638, data!D:D, 0)),
  "INC"
)</f>
        <v>2025-09-11T13:03:32.829+08</v>
      </c>
      <c r="K638" s="9" t="str">
        <f t="array" ref="K638">IFERROR(INDEX(dataICM!C:C,match(Caseslist!B638,dataICM!D:D,0)), "INC")</f>
        <v>2025-09-11T13:22:46.812+08</v>
      </c>
      <c r="L638" s="10" t="str">
        <f t="array" ref="L638">IF(AND(G638="COMPLETE", OR(K638="INC", ISBLANK(INDEX(data!O:O, ROW())))), J638, K638)</f>
        <v>2025-09-11T13:22:46.812+08</v>
      </c>
      <c r="M638" s="2">
        <v>45911.0</v>
      </c>
      <c r="N638" s="2">
        <f t="array" ref="N638">IF(M638&lt;&gt;"INC", INDEX(data!M:M, MATCH(B638, data!D:D, 0)), "")</f>
        <v>2</v>
      </c>
      <c r="O638" s="2">
        <f t="shared" si="3"/>
        <v>2</v>
      </c>
    </row>
    <row r="639">
      <c r="A639" s="2" t="str">
        <f t="shared" si="1"/>
        <v>H006817</v>
      </c>
      <c r="B639" s="1" t="s">
        <v>5543</v>
      </c>
      <c r="C639" s="9" t="str">
        <f t="array" ref="C639">IF(
  AND(
    IFERROR(MATCH(Caseslist!B639, data!D:D, 0), 0) &gt; 0,
    IFERROR(INDEX(data!N:N, MATCH(Caseslist!B639, data!D:D, 0)) = 1, FALSE)
  ),
  "COMPLETE",
  "INC"
)</f>
        <v>COMPLETE</v>
      </c>
      <c r="D639" s="9" t="str">
        <f t="array" ref="D639">IFERROR(INDEX(data!$G:$G,match(Caseslist!B639,data!$D:$D,0)), "INC")</f>
        <v>K8623174</v>
      </c>
      <c r="E639" s="9" t="str">
        <f t="array" ref="E639">IFERROR(INDEX(data!H:H,match(Caseslist!B639,data!D:D,0)), "INC")</f>
        <v>Marielle Kaye Ignacio Alonzo</v>
      </c>
      <c r="F639" s="10" t="str">
        <f t="array" ref="F639">IF(
    OR(
      IFNA(INDEX(data!M:M, MATCH(Caseslist!B639, data!D:D, 0)), "") = "",
      IFNA(INDEX(data!M:M, MATCH(Caseslist!B639, data!D:D, 0)), 0) = 0
    ),
    "COMPLETE",
    IF(
      IFNA(INDEX(dataICM!D:D, MATCH(Caseslist!B639, dataICM!D:D, 0)), "INC") = "INC",
      IFNA(INDEX(dataICM!D:D, MATCH(Caseslist!B639, dataICM!D:D, 0)), "INC"),
      "COMPLETE"
    )
  )</f>
        <v>COMPLETE</v>
      </c>
      <c r="G639" s="10" t="str">
        <f t="array" ref="G639">IF(IFERROR(INDEX(data!L:L,match(Caseslist!B639,data!D:D,0)),"INC")="","COMPLETE",F639)</f>
        <v>COMPLETE</v>
      </c>
      <c r="H639" s="9" t="str">
        <f t="array" ref="H639">IFERROR(INDEX(dataICM!F:F,match(Caseslist!B639,dataICM!D:D,0)), "INC")</f>
        <v>Marielle Kaye Ignacio Alonzo</v>
      </c>
      <c r="I639" s="10" t="str">
        <f t="shared" si="2"/>
        <v>K8623174</v>
      </c>
      <c r="J639" s="9" t="str">
        <f t="array" ref="J639">IF(
  AND(
    IFERROR(MATCH(B639, data!D:D, 0), 0) &gt; 0,
    IFERROR(INDEX(data!N:N, MATCH(B639, data!D:D, 0)) = 1, FALSE)
  ),
  INDEX(data!C:C, MATCH(B639, data!D:D, 0)),
  "INC"
)</f>
        <v>2025-09-11T12:58:20.896+08</v>
      </c>
      <c r="K639" s="9" t="str">
        <f t="array" ref="K639">IFERROR(INDEX(dataICM!C:C,match(Caseslist!B639,dataICM!D:D,0)), "INC")</f>
        <v>2025-09-11T13:15:17.127+08</v>
      </c>
      <c r="L639" s="10" t="str">
        <f t="array" ref="L639">IF(AND(G639="COMPLETE", OR(K639="INC", ISBLANK(INDEX(data!O:O, ROW())))), J639, K639)</f>
        <v>2025-09-11T13:15:17.127+08</v>
      </c>
      <c r="M639" s="2">
        <v>45911.0</v>
      </c>
      <c r="N639" s="2">
        <f t="array" ref="N639">IF(M639&lt;&gt;"INC", INDEX(data!M:M, MATCH(B639, data!D:D, 0)), "")</f>
        <v>2</v>
      </c>
      <c r="O639" s="2">
        <f t="shared" si="3"/>
        <v>2</v>
      </c>
    </row>
    <row r="640">
      <c r="A640" s="2" t="str">
        <f t="shared" si="1"/>
        <v>H006817</v>
      </c>
      <c r="B640" s="1" t="s">
        <v>5488</v>
      </c>
      <c r="C640" s="9" t="str">
        <f t="array" ref="C640">IF(
  AND(
    IFERROR(MATCH(Caseslist!B640, data!D:D, 0), 0) &gt; 0,
    IFERROR(INDEX(data!N:N, MATCH(Caseslist!B640, data!D:D, 0)) = 1, FALSE)
  ),
  "COMPLETE",
  "INC"
)</f>
        <v>COMPLETE</v>
      </c>
      <c r="D640" s="9" t="str">
        <f t="array" ref="D640">IFERROR(INDEX(data!$G:$G,match(Caseslist!B640,data!$D:$D,0)), "INC")</f>
        <v>M6491032</v>
      </c>
      <c r="E640" s="9" t="str">
        <f t="array" ref="E640">IFERROR(INDEX(data!H:H,match(Caseslist!B640,data!D:D,0)), "INC")</f>
        <v>Rosevil Tayo Desamparado</v>
      </c>
      <c r="F640" s="10" t="str">
        <f t="array" ref="F640">IF(
    OR(
      IFNA(INDEX(data!M:M, MATCH(Caseslist!B640, data!D:D, 0)), "") = "",
      IFNA(INDEX(data!M:M, MATCH(Caseslist!B640, data!D:D, 0)), 0) = 0
    ),
    "COMPLETE",
    IF(
      IFNA(INDEX(dataICM!D:D, MATCH(Caseslist!B640, dataICM!D:D, 0)), "INC") = "INC",
      IFNA(INDEX(dataICM!D:D, MATCH(Caseslist!B640, dataICM!D:D, 0)), "INC"),
      "COMPLETE"
    )
  )</f>
        <v>COMPLETE</v>
      </c>
      <c r="G640" s="10" t="str">
        <f t="array" ref="G640">IF(IFERROR(INDEX(data!L:L,match(Caseslist!B640,data!D:D,0)),"INC")="","COMPLETE",F640)</f>
        <v>COMPLETE</v>
      </c>
      <c r="H640" s="9" t="str">
        <f t="array" ref="H640">IFERROR(INDEX(dataICM!F:F,match(Caseslist!B640,dataICM!D:D,0)), "INC")</f>
        <v>Rosevil Tayo Desamparado</v>
      </c>
      <c r="I640" s="10" t="str">
        <f t="shared" si="2"/>
        <v>M6491032</v>
      </c>
      <c r="J640" s="9" t="str">
        <f t="array" ref="J640">IF(
  AND(
    IFERROR(MATCH(B640, data!D:D, 0), 0) &gt; 0,
    IFERROR(INDEX(data!N:N, MATCH(B640, data!D:D, 0)) = 1, FALSE)
  ),
  INDEX(data!C:C, MATCH(B640, data!D:D, 0)),
  "INC"
)</f>
        <v>2025-09-11T12:38:11.867+08</v>
      </c>
      <c r="K640" s="9" t="str">
        <f t="array" ref="K640">IFERROR(INDEX(dataICM!C:C,match(Caseslist!B640,dataICM!D:D,0)), "INC")</f>
        <v>2025-09-11T13:02:02.184+08</v>
      </c>
      <c r="L640" s="10" t="str">
        <f t="array" ref="L640">IF(AND(G640="COMPLETE", OR(K640="INC", ISBLANK(INDEX(data!O:O, ROW())))), J640, K640)</f>
        <v>2025-09-11T13:02:02.184+08</v>
      </c>
      <c r="M640" s="2">
        <v>45911.0</v>
      </c>
      <c r="N640" s="2">
        <f t="array" ref="N640">IF(M640&lt;&gt;"INC", INDEX(data!M:M, MATCH(B640, data!D:D, 0)), "")</f>
        <v>2</v>
      </c>
      <c r="O640" s="2">
        <f t="shared" si="3"/>
        <v>2</v>
      </c>
    </row>
    <row r="641">
      <c r="A641" s="2" t="str">
        <f t="shared" si="1"/>
        <v>H006817</v>
      </c>
      <c r="B641" s="1" t="s">
        <v>6058</v>
      </c>
      <c r="C641" s="9" t="str">
        <f t="array" ref="C641">IF(
  AND(
    IFERROR(MATCH(Caseslist!B641, data!D:D, 0), 0) &gt; 0,
    IFERROR(INDEX(data!N:N, MATCH(Caseslist!B641, data!D:D, 0)) = 1, FALSE)
  ),
  "COMPLETE",
  "INC"
)</f>
        <v>COMPLETE</v>
      </c>
      <c r="D641" s="9" t="str">
        <f t="array" ref="D641">IFERROR(INDEX(data!$G:$G,match(Caseslist!B641,data!$D:$D,0)), "INC")</f>
        <v>L2057896</v>
      </c>
      <c r="E641" s="9" t="str">
        <f t="array" ref="E641">IFERROR(INDEX(data!H:H,match(Caseslist!B641,data!D:D,0)), "INC")</f>
        <v>Franz Reoben Posadas Geneblaza</v>
      </c>
      <c r="F641" s="10" t="str">
        <f t="array" ref="F641">IF(
    OR(
      IFNA(INDEX(data!M:M, MATCH(Caseslist!B641, data!D:D, 0)), "") = "",
      IFNA(INDEX(data!M:M, MATCH(Caseslist!B641, data!D:D, 0)), 0) = 0
    ),
    "COMPLETE",
    IF(
      IFNA(INDEX(dataICM!D:D, MATCH(Caseslist!B641, dataICM!D:D, 0)), "INC") = "INC",
      IFNA(INDEX(dataICM!D:D, MATCH(Caseslist!B641, dataICM!D:D, 0)), "INC"),
      "COMPLETE"
    )
  )</f>
        <v>COMPLETE</v>
      </c>
      <c r="G641" s="10" t="str">
        <f t="array" ref="G641">IF(IFERROR(INDEX(data!L:L,match(Caseslist!B641,data!D:D,0)),"INC")="","COMPLETE",F641)</f>
        <v>COMPLETE</v>
      </c>
      <c r="H641" s="9" t="str">
        <f t="array" ref="H641">IFERROR(INDEX(dataICM!F:F,match(Caseslist!B641,dataICM!D:D,0)), "INC")</f>
        <v>Franz Reoben Posadas Geneblaza</v>
      </c>
      <c r="I641" s="10" t="str">
        <f t="shared" si="2"/>
        <v>L2057896</v>
      </c>
      <c r="J641" s="9" t="str">
        <f t="array" ref="J641">IF(
  AND(
    IFERROR(MATCH(B641, data!D:D, 0), 0) &gt; 0,
    IFERROR(INDEX(data!N:N, MATCH(B641, data!D:D, 0)) = 1, FALSE)
  ),
  INDEX(data!C:C, MATCH(B641, data!D:D, 0)),
  "INC"
)</f>
        <v>2025-09-13T10:05:57.247+08</v>
      </c>
      <c r="K641" s="9" t="str">
        <f t="array" ref="K641">IFERROR(INDEX(dataICM!C:C,match(Caseslist!B641,dataICM!D:D,0)), "INC")</f>
        <v>2025-09-13T10:19:31.223+08</v>
      </c>
      <c r="L641" s="10" t="str">
        <f t="array" ref="L641">IF(AND(G641="COMPLETE", OR(K641="INC", ISBLANK(INDEX(data!O:O, ROW())))), J641, K641)</f>
        <v>2025-09-13T10:19:31.223+08</v>
      </c>
      <c r="M641" s="2">
        <v>45913.0</v>
      </c>
      <c r="N641" s="2">
        <f t="array" ref="N641">IF(M641&lt;&gt;"INC", INDEX(data!M:M, MATCH(B641, data!D:D, 0)), "")</f>
        <v>2</v>
      </c>
      <c r="O641" s="2">
        <f t="shared" si="3"/>
        <v>2</v>
      </c>
    </row>
    <row r="642">
      <c r="A642" s="2" t="str">
        <f t="shared" si="1"/>
        <v>H006817</v>
      </c>
      <c r="B642" s="1" t="s">
        <v>5483</v>
      </c>
      <c r="C642" s="9" t="str">
        <f t="array" ref="C642">IF(
  AND(
    IFERROR(MATCH(Caseslist!B642, data!D:D, 0), 0) &gt; 0,
    IFERROR(INDEX(data!N:N, MATCH(Caseslist!B642, data!D:D, 0)) = 1, FALSE)
  ),
  "COMPLETE",
  "INC"
)</f>
        <v>COMPLETE</v>
      </c>
      <c r="D642" s="9" t="str">
        <f t="array" ref="D642">IFERROR(INDEX(data!$G:$G,match(Caseslist!B642,data!$D:$D,0)), "INC")</f>
        <v>M6491032</v>
      </c>
      <c r="E642" s="9" t="str">
        <f t="array" ref="E642">IFERROR(INDEX(data!H:H,match(Caseslist!B642,data!D:D,0)), "INC")</f>
        <v>Rosevil Tayo Desamparado</v>
      </c>
      <c r="F642" s="10" t="str">
        <f t="array" ref="F642">IF(
    OR(
      IFNA(INDEX(data!M:M, MATCH(Caseslist!B642, data!D:D, 0)), "") = "",
      IFNA(INDEX(data!M:M, MATCH(Caseslist!B642, data!D:D, 0)), 0) = 0
    ),
    "COMPLETE",
    IF(
      IFNA(INDEX(dataICM!D:D, MATCH(Caseslist!B642, dataICM!D:D, 0)), "INC") = "INC",
      IFNA(INDEX(dataICM!D:D, MATCH(Caseslist!B642, dataICM!D:D, 0)), "INC"),
      "COMPLETE"
    )
  )</f>
        <v>COMPLETE</v>
      </c>
      <c r="G642" s="10" t="str">
        <f t="array" ref="G642">IF(IFERROR(INDEX(data!L:L,match(Caseslist!B642,data!D:D,0)),"INC")="","COMPLETE",F642)</f>
        <v>COMPLETE</v>
      </c>
      <c r="H642" s="9" t="str">
        <f t="array" ref="H642">IFERROR(INDEX(dataICM!F:F,match(Caseslist!B642,dataICM!D:D,0)), "INC")</f>
        <v>Rosevil Tayo Desamparado</v>
      </c>
      <c r="I642" s="10" t="str">
        <f t="shared" si="2"/>
        <v>M6491032</v>
      </c>
      <c r="J642" s="9" t="str">
        <f t="array" ref="J642">IF(
  AND(
    IFERROR(MATCH(B642, data!D:D, 0), 0) &gt; 0,
    IFERROR(INDEX(data!N:N, MATCH(B642, data!D:D, 0)) = 1, FALSE)
  ),
  INDEX(data!C:C, MATCH(B642, data!D:D, 0)),
  "INC"
)</f>
        <v>2025-09-11T09:57:38.719+08</v>
      </c>
      <c r="K642" s="9" t="str">
        <f t="array" ref="K642">IFERROR(INDEX(dataICM!C:C,match(Caseslist!B642,dataICM!D:D,0)), "INC")</f>
        <v>2025-09-11T10:00:49.658+08</v>
      </c>
      <c r="L642" s="10" t="str">
        <f t="array" ref="L642">IF(AND(G642="COMPLETE", OR(K642="INC", ISBLANK(INDEX(data!O:O, ROW())))), J642, K642)</f>
        <v>2025-09-11T10:00:49.658+08</v>
      </c>
      <c r="M642" s="2">
        <v>45911.0</v>
      </c>
      <c r="N642" s="2">
        <f t="array" ref="N642">IF(M642&lt;&gt;"INC", INDEX(data!M:M, MATCH(B642, data!D:D, 0)), "")</f>
        <v>2</v>
      </c>
      <c r="O642" s="2">
        <f t="shared" si="3"/>
        <v>2</v>
      </c>
    </row>
    <row r="643">
      <c r="A643" s="2" t="str">
        <f t="shared" si="1"/>
        <v>H006817</v>
      </c>
      <c r="B643" s="1" t="s">
        <v>5448</v>
      </c>
      <c r="C643" s="9" t="str">
        <f t="array" ref="C643">IF(
  AND(
    IFERROR(MATCH(Caseslist!B643, data!D:D, 0), 0) &gt; 0,
    IFERROR(INDEX(data!N:N, MATCH(Caseslist!B643, data!D:D, 0)) = 1, FALSE)
  ),
  "COMPLETE",
  "INC"
)</f>
        <v>COMPLETE</v>
      </c>
      <c r="D643" s="9" t="str">
        <f t="array" ref="D643">IFERROR(INDEX(data!$G:$G,match(Caseslist!B643,data!$D:$D,0)), "INC")</f>
        <v>L2057896</v>
      </c>
      <c r="E643" s="9" t="str">
        <f t="array" ref="E643">IFERROR(INDEX(data!H:H,match(Caseslist!B643,data!D:D,0)), "INC")</f>
        <v>Franz Reoben Posadas Geneblaza</v>
      </c>
      <c r="F643" s="10" t="str">
        <f t="array" ref="F643">IF(
    OR(
      IFNA(INDEX(data!M:M, MATCH(Caseslist!B643, data!D:D, 0)), "") = "",
      IFNA(INDEX(data!M:M, MATCH(Caseslist!B643, data!D:D, 0)), 0) = 0
    ),
    "COMPLETE",
    IF(
      IFNA(INDEX(dataICM!D:D, MATCH(Caseslist!B643, dataICM!D:D, 0)), "INC") = "INC",
      IFNA(INDEX(dataICM!D:D, MATCH(Caseslist!B643, dataICM!D:D, 0)), "INC"),
      "COMPLETE"
    )
  )</f>
        <v>COMPLETE</v>
      </c>
      <c r="G643" s="10" t="str">
        <f t="array" ref="G643">IF(IFERROR(INDEX(data!L:L,match(Caseslist!B643,data!D:D,0)),"INC")="","COMPLETE",F643)</f>
        <v>COMPLETE</v>
      </c>
      <c r="H643" s="9" t="str">
        <f t="array" ref="H643">IFERROR(INDEX(dataICM!F:F,match(Caseslist!B643,dataICM!D:D,0)), "INC")</f>
        <v>Franz Reoben Posadas Geneblaza</v>
      </c>
      <c r="I643" s="10" t="str">
        <f t="shared" si="2"/>
        <v>L2057896</v>
      </c>
      <c r="J643" s="9" t="str">
        <f t="array" ref="J643">IF(
  AND(
    IFERROR(MATCH(B643, data!D:D, 0), 0) &gt; 0,
    IFERROR(INDEX(data!N:N, MATCH(B643, data!D:D, 0)) = 1, FALSE)
  ),
  INDEX(data!C:C, MATCH(B643, data!D:D, 0)),
  "INC"
)</f>
        <v>2025-09-11T09:49:13.116+08</v>
      </c>
      <c r="K643" s="9" t="str">
        <f t="array" ref="K643">IFERROR(INDEX(dataICM!C:C,match(Caseslist!B643,dataICM!D:D,0)), "INC")</f>
        <v>2025-09-11T10:15:41.178+08</v>
      </c>
      <c r="L643" s="10" t="str">
        <f t="array" ref="L643">IF(AND(G643="COMPLETE", OR(K643="INC", ISBLANK(INDEX(data!O:O, ROW())))), J643, K643)</f>
        <v>2025-09-11T10:15:41.178+08</v>
      </c>
      <c r="M643" s="2">
        <v>45911.0</v>
      </c>
      <c r="N643" s="2">
        <f t="array" ref="N643">IF(M643&lt;&gt;"INC", INDEX(data!M:M, MATCH(B643, data!D:D, 0)), "")</f>
        <v>2</v>
      </c>
      <c r="O643" s="2">
        <f t="shared" si="3"/>
        <v>2</v>
      </c>
    </row>
    <row r="644">
      <c r="A644" s="2" t="str">
        <f t="shared" si="1"/>
        <v>H006817</v>
      </c>
      <c r="B644" s="1" t="s">
        <v>5493</v>
      </c>
      <c r="C644" s="9" t="str">
        <f t="array" ref="C644">IF(
  AND(
    IFERROR(MATCH(Caseslist!B644, data!D:D, 0), 0) &gt; 0,
    IFERROR(INDEX(data!N:N, MATCH(Caseslist!B644, data!D:D, 0)) = 1, FALSE)
  ),
  "COMPLETE",
  "INC"
)</f>
        <v>COMPLETE</v>
      </c>
      <c r="D644" s="9" t="str">
        <f t="array" ref="D644">IFERROR(INDEX(data!$G:$G,match(Caseslist!B644,data!$D:$D,0)), "INC")</f>
        <v>M6491032</v>
      </c>
      <c r="E644" s="9" t="str">
        <f t="array" ref="E644">IFERROR(INDEX(data!H:H,match(Caseslist!B644,data!D:D,0)), "INC")</f>
        <v>Rosevil Tayo Desamparado</v>
      </c>
      <c r="F644" s="10" t="str">
        <f t="array" ref="F644">IF(
    OR(
      IFNA(INDEX(data!M:M, MATCH(Caseslist!B644, data!D:D, 0)), "") = "",
      IFNA(INDEX(data!M:M, MATCH(Caseslist!B644, data!D:D, 0)), 0) = 0
    ),
    "COMPLETE",
    IF(
      IFNA(INDEX(dataICM!D:D, MATCH(Caseslist!B644, dataICM!D:D, 0)), "INC") = "INC",
      IFNA(INDEX(dataICM!D:D, MATCH(Caseslist!B644, dataICM!D:D, 0)), "INC"),
      "COMPLETE"
    )
  )</f>
        <v>COMPLETE</v>
      </c>
      <c r="G644" s="10" t="str">
        <f t="array" ref="G644">IF(IFERROR(INDEX(data!L:L,match(Caseslist!B644,data!D:D,0)),"INC")="","COMPLETE",F644)</f>
        <v>COMPLETE</v>
      </c>
      <c r="H644" s="9" t="str">
        <f t="array" ref="H644">IFERROR(INDEX(dataICM!F:F,match(Caseslist!B644,dataICM!D:D,0)), "INC")</f>
        <v>Rosevil Tayo Desamparado</v>
      </c>
      <c r="I644" s="10" t="str">
        <f t="shared" si="2"/>
        <v>M6491032</v>
      </c>
      <c r="J644" s="9" t="str">
        <f t="array" ref="J644">IF(
  AND(
    IFERROR(MATCH(B644, data!D:D, 0), 0) &gt; 0,
    IFERROR(INDEX(data!N:N, MATCH(B644, data!D:D, 0)) = 1, FALSE)
  ),
  INDEX(data!C:C, MATCH(B644, data!D:D, 0)),
  "INC"
)</f>
        <v>2025-09-11T14:46:15.185+08</v>
      </c>
      <c r="K644" s="9" t="str">
        <f t="array" ref="K644">IFERROR(INDEX(dataICM!C:C,match(Caseslist!B644,dataICM!D:D,0)), "INC")</f>
        <v>2025-09-11T15:13:20.027+08</v>
      </c>
      <c r="L644" s="10" t="str">
        <f t="array" ref="L644">IF(AND(G644="COMPLETE", OR(K644="INC", ISBLANK(INDEX(data!O:O, ROW())))), J644, K644)</f>
        <v>2025-09-11T15:13:20.027+08</v>
      </c>
      <c r="M644" s="2">
        <v>45911.0</v>
      </c>
      <c r="N644" s="2">
        <f t="array" ref="N644">IF(M644&lt;&gt;"INC", INDEX(data!M:M, MATCH(B644, data!D:D, 0)), "")</f>
        <v>2</v>
      </c>
      <c r="O644" s="2">
        <f t="shared" si="3"/>
        <v>2</v>
      </c>
    </row>
    <row r="645">
      <c r="A645" s="2" t="str">
        <f t="shared" si="1"/>
        <v>H006817</v>
      </c>
      <c r="B645" s="1" t="s">
        <v>5463</v>
      </c>
      <c r="C645" s="9" t="str">
        <f t="array" ref="C645">IF(
  AND(
    IFERROR(MATCH(Caseslist!B645, data!D:D, 0), 0) &gt; 0,
    IFERROR(INDEX(data!N:N, MATCH(Caseslist!B645, data!D:D, 0)) = 1, FALSE)
  ),
  "COMPLETE",
  "INC"
)</f>
        <v>COMPLETE</v>
      </c>
      <c r="D645" s="9" t="str">
        <f t="array" ref="D645">IFERROR(INDEX(data!$G:$G,match(Caseslist!B645,data!$D:$D,0)), "INC")</f>
        <v>J4315980</v>
      </c>
      <c r="E645" s="9" t="str">
        <f t="array" ref="E645">IFERROR(INDEX(data!H:H,match(Caseslist!B645,data!D:D,0)), "INC")</f>
        <v>Trixie Marie Jardeleza Saber</v>
      </c>
      <c r="F645" s="10" t="str">
        <f t="array" ref="F645">IF(
    OR(
      IFNA(INDEX(data!M:M, MATCH(Caseslist!B645, data!D:D, 0)), "") = "",
      IFNA(INDEX(data!M:M, MATCH(Caseslist!B645, data!D:D, 0)), 0) = 0
    ),
    "COMPLETE",
    IF(
      IFNA(INDEX(dataICM!D:D, MATCH(Caseslist!B645, dataICM!D:D, 0)), "INC") = "INC",
      IFNA(INDEX(dataICM!D:D, MATCH(Caseslist!B645, dataICM!D:D, 0)), "INC"),
      "COMPLETE"
    )
  )</f>
        <v>COMPLETE</v>
      </c>
      <c r="G645" s="10" t="str">
        <f t="array" ref="G645">IF(IFERROR(INDEX(data!L:L,match(Caseslist!B645,data!D:D,0)),"INC")="","COMPLETE",F645)</f>
        <v>COMPLETE</v>
      </c>
      <c r="H645" s="9" t="str">
        <f t="array" ref="H645">IFERROR(INDEX(dataICM!F:F,match(Caseslist!B645,dataICM!D:D,0)), "INC")</f>
        <v>Trixie Marie Jardeleza Saber</v>
      </c>
      <c r="I645" s="10" t="str">
        <f t="shared" si="2"/>
        <v>J4315980</v>
      </c>
      <c r="J645" s="9" t="str">
        <f t="array" ref="J645">IF(
  AND(
    IFERROR(MATCH(B645, data!D:D, 0), 0) &gt; 0,
    IFERROR(INDEX(data!N:N, MATCH(B645, data!D:D, 0)) = 1, FALSE)
  ),
  INDEX(data!C:C, MATCH(B645, data!D:D, 0)),
  "INC"
)</f>
        <v>2025-09-11T14:41:21.733+08</v>
      </c>
      <c r="K645" s="9" t="str">
        <f t="array" ref="K645">IFERROR(INDEX(dataICM!C:C,match(Caseslist!B645,dataICM!D:D,0)), "INC")</f>
        <v>2025-09-11T15:14:03.932+08</v>
      </c>
      <c r="L645" s="10" t="str">
        <f t="array" ref="L645">IF(AND(G645="COMPLETE", OR(K645="INC", ISBLANK(INDEX(data!O:O, ROW())))), J645, K645)</f>
        <v>2025-09-11T15:14:03.932+08</v>
      </c>
      <c r="M645" s="2">
        <v>45911.0</v>
      </c>
      <c r="N645" s="2">
        <f t="array" ref="N645">IF(M645&lt;&gt;"INC", INDEX(data!M:M, MATCH(B645, data!D:D, 0)), "")</f>
        <v>2</v>
      </c>
      <c r="O645" s="2">
        <f t="shared" si="3"/>
        <v>2</v>
      </c>
    </row>
    <row r="646">
      <c r="A646" s="2" t="str">
        <f t="shared" si="1"/>
        <v>H006817</v>
      </c>
      <c r="B646" s="1" t="s">
        <v>6063</v>
      </c>
      <c r="C646" s="9" t="str">
        <f t="array" ref="C646">IF(
  AND(
    IFERROR(MATCH(Caseslist!B646, data!D:D, 0), 0) &gt; 0,
    IFERROR(INDEX(data!N:N, MATCH(Caseslist!B646, data!D:D, 0)) = 1, FALSE)
  ),
  "COMPLETE",
  "INC"
)</f>
        <v>COMPLETE</v>
      </c>
      <c r="D646" s="9" t="str">
        <f t="array" ref="D646">IFERROR(INDEX(data!$G:$G,match(Caseslist!B646,data!$D:$D,0)), "INC")</f>
        <v>L2057896</v>
      </c>
      <c r="E646" s="9" t="str">
        <f t="array" ref="E646">IFERROR(INDEX(data!H:H,match(Caseslist!B646,data!D:D,0)), "INC")</f>
        <v>Franz Reoben Posadas Geneblaza</v>
      </c>
      <c r="F646" s="10" t="str">
        <f t="array" ref="F646">IF(
    OR(
      IFNA(INDEX(data!M:M, MATCH(Caseslist!B646, data!D:D, 0)), "") = "",
      IFNA(INDEX(data!M:M, MATCH(Caseslist!B646, data!D:D, 0)), 0) = 0
    ),
    "COMPLETE",
    IF(
      IFNA(INDEX(dataICM!D:D, MATCH(Caseslist!B646, dataICM!D:D, 0)), "INC") = "INC",
      IFNA(INDEX(dataICM!D:D, MATCH(Caseslist!B646, dataICM!D:D, 0)), "INC"),
      "COMPLETE"
    )
  )</f>
        <v>COMPLETE</v>
      </c>
      <c r="G646" s="10" t="str">
        <f t="array" ref="G646">IF(IFERROR(INDEX(data!L:L,match(Caseslist!B646,data!D:D,0)),"INC")="","COMPLETE",F646)</f>
        <v>COMPLETE</v>
      </c>
      <c r="H646" s="9" t="str">
        <f t="array" ref="H646">IFERROR(INDEX(dataICM!F:F,match(Caseslist!B646,dataICM!D:D,0)), "INC")</f>
        <v>Franz Reoben Posadas Geneblaza</v>
      </c>
      <c r="I646" s="10" t="str">
        <f t="shared" si="2"/>
        <v>L2057896</v>
      </c>
      <c r="J646" s="9" t="str">
        <f t="array" ref="J646">IF(
  AND(
    IFERROR(MATCH(B646, data!D:D, 0), 0) &gt; 0,
    IFERROR(INDEX(data!N:N, MATCH(B646, data!D:D, 0)) = 1, FALSE)
  ),
  INDEX(data!C:C, MATCH(B646, data!D:D, 0)),
  "INC"
)</f>
        <v>2025-09-23T16:42:20.621+08</v>
      </c>
      <c r="K646" s="9" t="str">
        <f t="array" ref="K646">IFERROR(INDEX(dataICM!C:C,match(Caseslist!B646,dataICM!D:D,0)), "INC")</f>
        <v>2025-09-23T16:44:11.775+08</v>
      </c>
      <c r="L646" s="10" t="str">
        <f t="array" ref="L646">IF(AND(G646="COMPLETE", OR(K646="INC", ISBLANK(INDEX(data!O:O, ROW())))), J646, K646)</f>
        <v>2025-09-23T16:44:11.775+08</v>
      </c>
      <c r="M646" s="2">
        <v>45923.0</v>
      </c>
      <c r="N646" s="2">
        <f t="array" ref="N646">IF(M646&lt;&gt;"INC", INDEX(data!M:M, MATCH(B646, data!D:D, 0)), "")</f>
        <v>2</v>
      </c>
      <c r="O646" s="2">
        <f t="shared" si="3"/>
        <v>2</v>
      </c>
    </row>
    <row r="647">
      <c r="A647" s="2" t="str">
        <f t="shared" si="1"/>
        <v>H006817</v>
      </c>
      <c r="B647" s="1" t="s">
        <v>5548</v>
      </c>
      <c r="C647" s="9" t="str">
        <f t="array" ref="C647">IF(
  AND(
    IFERROR(MATCH(Caseslist!B647, data!D:D, 0), 0) &gt; 0,
    IFERROR(INDEX(data!N:N, MATCH(Caseslist!B647, data!D:D, 0)) = 1, FALSE)
  ),
  "COMPLETE",
  "INC"
)</f>
        <v>COMPLETE</v>
      </c>
      <c r="D647" s="9" t="str">
        <f t="array" ref="D647">IFERROR(INDEX(data!$G:$G,match(Caseslist!B647,data!$D:$D,0)), "INC")</f>
        <v>K8623174</v>
      </c>
      <c r="E647" s="9" t="str">
        <f t="array" ref="E647">IFERROR(INDEX(data!H:H,match(Caseslist!B647,data!D:D,0)), "INC")</f>
        <v>Marielle Kaye Ignacio Alonzo</v>
      </c>
      <c r="F647" s="10" t="str">
        <f t="array" ref="F647">IF(
    OR(
      IFNA(INDEX(data!M:M, MATCH(Caseslist!B647, data!D:D, 0)), "") = "",
      IFNA(INDEX(data!M:M, MATCH(Caseslist!B647, data!D:D, 0)), 0) = 0
    ),
    "COMPLETE",
    IF(
      IFNA(INDEX(dataICM!D:D, MATCH(Caseslist!B647, dataICM!D:D, 0)), "INC") = "INC",
      IFNA(INDEX(dataICM!D:D, MATCH(Caseslist!B647, dataICM!D:D, 0)), "INC"),
      "COMPLETE"
    )
  )</f>
        <v>COMPLETE</v>
      </c>
      <c r="G647" s="10" t="str">
        <f t="array" ref="G647">IF(IFERROR(INDEX(data!L:L,match(Caseslist!B647,data!D:D,0)),"INC")="","COMPLETE",F647)</f>
        <v>COMPLETE</v>
      </c>
      <c r="H647" s="9" t="str">
        <f t="array" ref="H647">IFERROR(INDEX(dataICM!F:F,match(Caseslist!B647,dataICM!D:D,0)), "INC")</f>
        <v>Marielle Kaye Ignacio Alonzo</v>
      </c>
      <c r="I647" s="10" t="str">
        <f t="shared" si="2"/>
        <v>K8623174</v>
      </c>
      <c r="J647" s="9" t="str">
        <f t="array" ref="J647">IF(
  AND(
    IFERROR(MATCH(B647, data!D:D, 0), 0) &gt; 0,
    IFERROR(INDEX(data!N:N, MATCH(B647, data!D:D, 0)) = 1, FALSE)
  ),
  INDEX(data!C:C, MATCH(B647, data!D:D, 0)),
  "INC"
)</f>
        <v>2025-09-11T15:18:06.901+08</v>
      </c>
      <c r="K647" s="9" t="str">
        <f t="array" ref="K647">IFERROR(INDEX(dataICM!C:C,match(Caseslist!B647,dataICM!D:D,0)), "INC")</f>
        <v>2025-09-11T15:28:45.406+08</v>
      </c>
      <c r="L647" s="10" t="str">
        <f t="array" ref="L647">IF(AND(G647="COMPLETE", OR(K647="INC", ISBLANK(INDEX(data!O:O, ROW())))), J647, K647)</f>
        <v>2025-09-11T15:28:45.406+08</v>
      </c>
      <c r="M647" s="2">
        <v>45911.0</v>
      </c>
      <c r="N647" s="2">
        <f t="array" ref="N647">IF(M647&lt;&gt;"INC", INDEX(data!M:M, MATCH(B647, data!D:D, 0)), "")</f>
        <v>2</v>
      </c>
      <c r="O647" s="2">
        <f t="shared" si="3"/>
        <v>2</v>
      </c>
    </row>
    <row r="648">
      <c r="A648" s="2" t="str">
        <f t="shared" si="1"/>
        <v>H006817</v>
      </c>
      <c r="B648" s="1" t="s">
        <v>5538</v>
      </c>
      <c r="C648" s="9" t="str">
        <f t="array" ref="C648">IF(
  AND(
    IFERROR(MATCH(Caseslist!B648, data!D:D, 0), 0) &gt; 0,
    IFERROR(INDEX(data!N:N, MATCH(Caseslist!B648, data!D:D, 0)) = 1, FALSE)
  ),
  "COMPLETE",
  "INC"
)</f>
        <v>COMPLETE</v>
      </c>
      <c r="D648" s="9" t="str">
        <f t="array" ref="D648">IFERROR(INDEX(data!$G:$G,match(Caseslist!B648,data!$D:$D,0)), "INC")</f>
        <v>K8623174</v>
      </c>
      <c r="E648" s="9" t="str">
        <f t="array" ref="E648">IFERROR(INDEX(data!H:H,match(Caseslist!B648,data!D:D,0)), "INC")</f>
        <v>Marielle Kaye Ignacio Alonzo</v>
      </c>
      <c r="F648" s="10" t="str">
        <f t="array" ref="F648">IF(
    OR(
      IFNA(INDEX(data!M:M, MATCH(Caseslist!B648, data!D:D, 0)), "") = "",
      IFNA(INDEX(data!M:M, MATCH(Caseslist!B648, data!D:D, 0)), 0) = 0
    ),
    "COMPLETE",
    IF(
      IFNA(INDEX(dataICM!D:D, MATCH(Caseslist!B648, dataICM!D:D, 0)), "INC") = "INC",
      IFNA(INDEX(dataICM!D:D, MATCH(Caseslist!B648, dataICM!D:D, 0)), "INC"),
      "COMPLETE"
    )
  )</f>
        <v>COMPLETE</v>
      </c>
      <c r="G648" s="10" t="str">
        <f t="array" ref="G648">IF(IFERROR(INDEX(data!L:L,match(Caseslist!B648,data!D:D,0)),"INC")="","COMPLETE",F648)</f>
        <v>COMPLETE</v>
      </c>
      <c r="H648" s="9" t="str">
        <f t="array" ref="H648">IFERROR(INDEX(dataICM!F:F,match(Caseslist!B648,dataICM!D:D,0)), "INC")</f>
        <v>Marielle Kaye Ignacio Alonzo</v>
      </c>
      <c r="I648" s="10" t="str">
        <f t="shared" si="2"/>
        <v>K8623174</v>
      </c>
      <c r="J648" s="9" t="str">
        <f t="array" ref="J648">IF(
  AND(
    IFERROR(MATCH(B648, data!D:D, 0), 0) &gt; 0,
    IFERROR(INDEX(data!N:N, MATCH(B648, data!D:D, 0)) = 1, FALSE)
  ),
  INDEX(data!C:C, MATCH(B648, data!D:D, 0)),
  "INC"
)</f>
        <v>2025-09-11T16:44:40.256+08</v>
      </c>
      <c r="K648" s="9" t="str">
        <f t="array" ref="K648">IFERROR(INDEX(dataICM!C:C,match(Caseslist!B648,dataICM!D:D,0)), "INC")</f>
        <v>2025-09-11T16:56:02.656+08</v>
      </c>
      <c r="L648" s="10" t="str">
        <f t="array" ref="L648">IF(AND(G648="COMPLETE", OR(K648="INC", ISBLANK(INDEX(data!O:O, ROW())))), J648, K648)</f>
        <v>2025-09-11T16:56:02.656+08</v>
      </c>
      <c r="M648" s="2">
        <v>45911.0</v>
      </c>
      <c r="N648" s="2">
        <f t="array" ref="N648">IF(M648&lt;&gt;"INC", INDEX(data!M:M, MATCH(B648, data!D:D, 0)), "")</f>
        <v>2</v>
      </c>
      <c r="O648" s="2">
        <f t="shared" si="3"/>
        <v>2</v>
      </c>
    </row>
    <row r="649">
      <c r="A649" s="2" t="str">
        <f t="shared" si="1"/>
        <v>H006817</v>
      </c>
      <c r="B649" s="1" t="s">
        <v>5258</v>
      </c>
      <c r="C649" s="9" t="str">
        <f t="array" ref="C649">IF(
  AND(
    IFERROR(MATCH(Caseslist!B649, data!D:D, 0), 0) &gt; 0,
    IFERROR(INDEX(data!N:N, MATCH(Caseslist!B649, data!D:D, 0)) = 1, FALSE)
  ),
  "COMPLETE",
  "INC"
)</f>
        <v>COMPLETE</v>
      </c>
      <c r="D649" s="9" t="str">
        <f t="array" ref="D649">IFERROR(INDEX(data!$G:$G,match(Caseslist!B649,data!$D:$D,0)), "INC")</f>
        <v>J4315980</v>
      </c>
      <c r="E649" s="9" t="str">
        <f t="array" ref="E649">IFERROR(INDEX(data!H:H,match(Caseslist!B649,data!D:D,0)), "INC")</f>
        <v>Trixie Marie Jardeleza Saber</v>
      </c>
      <c r="F649" s="10" t="str">
        <f t="array" ref="F649">IF(
    OR(
      IFNA(INDEX(data!M:M, MATCH(Caseslist!B649, data!D:D, 0)), "") = "",
      IFNA(INDEX(data!M:M, MATCH(Caseslist!B649, data!D:D, 0)), 0) = 0
    ),
    "COMPLETE",
    IF(
      IFNA(INDEX(dataICM!D:D, MATCH(Caseslist!B649, dataICM!D:D, 0)), "INC") = "INC",
      IFNA(INDEX(dataICM!D:D, MATCH(Caseslist!B649, dataICM!D:D, 0)), "INC"),
      "COMPLETE"
    )
  )</f>
        <v>COMPLETE</v>
      </c>
      <c r="G649" s="10" t="str">
        <f t="array" ref="G649">IF(IFERROR(INDEX(data!L:L,match(Caseslist!B649,data!D:D,0)),"INC")="","COMPLETE",F649)</f>
        <v>COMPLETE</v>
      </c>
      <c r="H649" s="9" t="str">
        <f t="array" ref="H649">IFERROR(INDEX(dataICM!F:F,match(Caseslist!B649,dataICM!D:D,0)), "INC")</f>
        <v>Trixie Marie Jardeleza Saber</v>
      </c>
      <c r="I649" s="10" t="str">
        <f t="shared" si="2"/>
        <v>J4315980</v>
      </c>
      <c r="J649" s="9" t="str">
        <f t="array" ref="J649">IF(
  AND(
    IFERROR(MATCH(B649, data!D:D, 0), 0) &gt; 0,
    IFERROR(INDEX(data!N:N, MATCH(B649, data!D:D, 0)) = 1, FALSE)
  ),
  INDEX(data!C:C, MATCH(B649, data!D:D, 0)),
  "INC"
)</f>
        <v>2025-09-11T09:42:07.243+08</v>
      </c>
      <c r="K649" s="9" t="str">
        <f t="array" ref="K649">IFERROR(INDEX(dataICM!C:C,match(Caseslist!B649,dataICM!D:D,0)), "INC")</f>
        <v>2025-09-13T09:23:01.076+08</v>
      </c>
      <c r="L649" s="10" t="str">
        <f t="array" ref="L649">IF(AND(G649="COMPLETE", OR(K649="INC", ISBLANK(INDEX(data!O:O, ROW())))), J649, K649)</f>
        <v>2025-09-13T09:23:01.076+08</v>
      </c>
      <c r="M649" s="2">
        <v>45913.0</v>
      </c>
      <c r="N649" s="2">
        <f t="array" ref="N649">IF(M649&lt;&gt;"INC", INDEX(data!M:M, MATCH(B649, data!D:D, 0)), "")</f>
        <v>2</v>
      </c>
      <c r="O649" s="2">
        <f t="shared" si="3"/>
        <v>2</v>
      </c>
    </row>
    <row r="650">
      <c r="A650" s="2" t="str">
        <f t="shared" si="1"/>
        <v>H006817</v>
      </c>
      <c r="B650" s="1" t="s">
        <v>6053</v>
      </c>
      <c r="C650" s="9" t="str">
        <f t="array" ref="C650">IF(
  AND(
    IFERROR(MATCH(Caseslist!B650, data!D:D, 0), 0) &gt; 0,
    IFERROR(INDEX(data!N:N, MATCH(Caseslist!B650, data!D:D, 0)) = 1, FALSE)
  ),
  "COMPLETE",
  "INC"
)</f>
        <v>COMPLETE</v>
      </c>
      <c r="D650" s="9" t="str">
        <f t="array" ref="D650">IFERROR(INDEX(data!$G:$G,match(Caseslist!B650,data!$D:$D,0)), "INC")</f>
        <v>L2057896</v>
      </c>
      <c r="E650" s="9" t="str">
        <f t="array" ref="E650">IFERROR(INDEX(data!H:H,match(Caseslist!B650,data!D:D,0)), "INC")</f>
        <v>Franz Reoben Posadas Geneblaza</v>
      </c>
      <c r="F650" s="10" t="str">
        <f t="array" ref="F650">IF(
    OR(
      IFNA(INDEX(data!M:M, MATCH(Caseslist!B650, data!D:D, 0)), "") = "",
      IFNA(INDEX(data!M:M, MATCH(Caseslist!B650, data!D:D, 0)), 0) = 0
    ),
    "COMPLETE",
    IF(
      IFNA(INDEX(dataICM!D:D, MATCH(Caseslist!B650, dataICM!D:D, 0)), "INC") = "INC",
      IFNA(INDEX(dataICM!D:D, MATCH(Caseslist!B650, dataICM!D:D, 0)), "INC"),
      "COMPLETE"
    )
  )</f>
        <v>COMPLETE</v>
      </c>
      <c r="G650" s="10" t="str">
        <f t="array" ref="G650">IF(IFERROR(INDEX(data!L:L,match(Caseslist!B650,data!D:D,0)),"INC")="","COMPLETE",F650)</f>
        <v>COMPLETE</v>
      </c>
      <c r="H650" s="9" t="str">
        <f t="array" ref="H650">IFERROR(INDEX(dataICM!F:F,match(Caseslist!B650,dataICM!D:D,0)), "INC")</f>
        <v>Franz Reoben Posadas Geneblaza</v>
      </c>
      <c r="I650" s="10" t="str">
        <f t="shared" si="2"/>
        <v>L2057896</v>
      </c>
      <c r="J650" s="9" t="str">
        <f t="array" ref="J650">IF(
  AND(
    IFERROR(MATCH(B650, data!D:D, 0), 0) &gt; 0,
    IFERROR(INDEX(data!N:N, MATCH(B650, data!D:D, 0)) = 1, FALSE)
  ),
  INDEX(data!C:C, MATCH(B650, data!D:D, 0)),
  "INC"
)</f>
        <v>2025-09-13T08:29:47.523+08</v>
      </c>
      <c r="K650" s="9" t="str">
        <f t="array" ref="K650">IFERROR(INDEX(dataICM!C:C,match(Caseslist!B650,dataICM!D:D,0)), "INC")</f>
        <v>2025-09-13T08:54:58.902+08</v>
      </c>
      <c r="L650" s="10" t="str">
        <f t="array" ref="L650">IF(AND(G650="COMPLETE", OR(K650="INC", ISBLANK(INDEX(data!O:O, ROW())))), J650, K650)</f>
        <v>2025-09-13T08:54:58.902+08</v>
      </c>
      <c r="M650" s="2">
        <v>45913.0</v>
      </c>
      <c r="N650" s="2">
        <f t="array" ref="N650">IF(M650&lt;&gt;"INC", INDEX(data!M:M, MATCH(B650, data!D:D, 0)), "")</f>
        <v>2</v>
      </c>
      <c r="O650" s="2">
        <f t="shared" si="3"/>
        <v>2</v>
      </c>
    </row>
    <row r="651">
      <c r="A651" s="2" t="str">
        <f t="shared" si="1"/>
        <v>H006863</v>
      </c>
      <c r="B651" s="1" t="s">
        <v>6523</v>
      </c>
      <c r="C651" s="9" t="str">
        <f t="array" ref="C651">IF(
  AND(
    IFERROR(MATCH(Caseslist!B651, data!D:D, 0), 0) &gt; 0,
    IFERROR(INDEX(data!N:N, MATCH(Caseslist!B651, data!D:D, 0)) = 1, FALSE)
  ),
  "COMPLETE",
  "INC"
)</f>
        <v>COMPLETE</v>
      </c>
      <c r="D651" s="9" t="str">
        <f t="array" ref="D651">IFERROR(INDEX(data!$G:$G,match(Caseslist!B651,data!$D:$D,0)), "INC")</f>
        <v>K8623174</v>
      </c>
      <c r="E651" s="9" t="str">
        <f t="array" ref="E651">IFERROR(INDEX(data!H:H,match(Caseslist!B651,data!D:D,0)), "INC")</f>
        <v>Marielle Kaye Ignacio Alonzo</v>
      </c>
      <c r="F651" s="10" t="str">
        <f t="array" ref="F651">IF(
    OR(
      IFNA(INDEX(data!M:M, MATCH(Caseslist!B651, data!D:D, 0)), "") = "",
      IFNA(INDEX(data!M:M, MATCH(Caseslist!B651, data!D:D, 0)), 0) = 0
    ),
    "COMPLETE",
    IF(
      IFNA(INDEX(dataICM!D:D, MATCH(Caseslist!B651, dataICM!D:D, 0)), "INC") = "INC",
      IFNA(INDEX(dataICM!D:D, MATCH(Caseslist!B651, dataICM!D:D, 0)), "INC"),
      "COMPLETE"
    )
  )</f>
        <v>COMPLETE</v>
      </c>
      <c r="G651" s="10" t="str">
        <f t="array" ref="G651">IF(IFERROR(INDEX(data!L:L,match(Caseslist!B651,data!D:D,0)),"INC")="","COMPLETE",F651)</f>
        <v>COMPLETE</v>
      </c>
      <c r="H651" s="9" t="str">
        <f t="array" ref="H651">IFERROR(INDEX(dataICM!F:F,match(Caseslist!B651,dataICM!D:D,0)), "INC")</f>
        <v>INC</v>
      </c>
      <c r="I651" s="10" t="str">
        <f t="shared" si="2"/>
        <v>K8623174</v>
      </c>
      <c r="J651" s="9" t="str">
        <f t="array" ref="J651">IF(
  AND(
    IFERROR(MATCH(B651, data!D:D, 0), 0) &gt; 0,
    IFERROR(INDEX(data!N:N, MATCH(B651, data!D:D, 0)) = 1, FALSE)
  ),
  INDEX(data!C:C, MATCH(B651, data!D:D, 0)),
  "INC"
)</f>
        <v>2025-09-15T17:23:23.328+08</v>
      </c>
      <c r="K651" s="9" t="str">
        <f t="array" ref="K651">IFERROR(INDEX(dataICM!C:C,match(Caseslist!B651,dataICM!D:D,0)), "INC")</f>
        <v>INC</v>
      </c>
      <c r="L651" s="10" t="str">
        <f t="array" ref="L651">IF(AND(G651="COMPLETE", OR(K651="INC", ISBLANK(INDEX(data!O:O, ROW())))), J651, K651)</f>
        <v>2025-09-15T17:23:23.328+08</v>
      </c>
      <c r="M651" s="2">
        <v>45915.0</v>
      </c>
      <c r="N651" s="2">
        <f t="array" ref="N651">IF(M651&lt;&gt;"INC", INDEX(data!M:M, MATCH(B651, data!D:D, 0)), "")</f>
        <v>0</v>
      </c>
      <c r="O651" s="2">
        <f t="shared" si="3"/>
        <v>0</v>
      </c>
    </row>
    <row r="652">
      <c r="A652" s="2" t="str">
        <f t="shared" si="1"/>
        <v>H006863</v>
      </c>
      <c r="B652" s="1" t="s">
        <v>5228</v>
      </c>
      <c r="C652" s="9" t="str">
        <f t="array" ref="C652">IF(
  AND(
    IFERROR(MATCH(Caseslist!B652, data!D:D, 0), 0) &gt; 0,
    IFERROR(INDEX(data!N:N, MATCH(Caseslist!B652, data!D:D, 0)) = 1, FALSE)
  ),
  "COMPLETE",
  "INC"
)</f>
        <v>COMPLETE</v>
      </c>
      <c r="D652" s="9" t="str">
        <f t="array" ref="D652">IFERROR(INDEX(data!$G:$G,match(Caseslist!B652,data!$D:$D,0)), "INC")</f>
        <v>J4315980</v>
      </c>
      <c r="E652" s="9" t="str">
        <f t="array" ref="E652">IFERROR(INDEX(data!H:H,match(Caseslist!B652,data!D:D,0)), "INC")</f>
        <v>Trixie Marie Jardeleza Saber</v>
      </c>
      <c r="F652" s="10" t="str">
        <f t="array" ref="F652">IF(
    OR(
      IFNA(INDEX(data!M:M, MATCH(Caseslist!B652, data!D:D, 0)), "") = "",
      IFNA(INDEX(data!M:M, MATCH(Caseslist!B652, data!D:D, 0)), 0) = 0
    ),
    "COMPLETE",
    IF(
      IFNA(INDEX(dataICM!D:D, MATCH(Caseslist!B652, dataICM!D:D, 0)), "INC") = "INC",
      IFNA(INDEX(dataICM!D:D, MATCH(Caseslist!B652, dataICM!D:D, 0)), "INC"),
      "COMPLETE"
    )
  )</f>
        <v>COMPLETE</v>
      </c>
      <c r="G652" s="10" t="str">
        <f t="array" ref="G652">IF(IFERROR(INDEX(data!L:L,match(Caseslist!B652,data!D:D,0)),"INC")="","COMPLETE",F652)</f>
        <v>COMPLETE</v>
      </c>
      <c r="H652" s="9" t="str">
        <f t="array" ref="H652">IFERROR(INDEX(dataICM!F:F,match(Caseslist!B652,dataICM!D:D,0)), "INC")</f>
        <v>INC</v>
      </c>
      <c r="I652" s="10" t="str">
        <f t="shared" si="2"/>
        <v>J4315980</v>
      </c>
      <c r="J652" s="9" t="str">
        <f t="array" ref="J652">IF(
  AND(
    IFERROR(MATCH(B652, data!D:D, 0), 0) &gt; 0,
    IFERROR(INDEX(data!N:N, MATCH(B652, data!D:D, 0)) = 1, FALSE)
  ),
  INDEX(data!C:C, MATCH(B652, data!D:D, 0)),
  "INC"
)</f>
        <v>2025-09-10T12:14:04.936+08</v>
      </c>
      <c r="K652" s="9" t="str">
        <f t="array" ref="K652">IFERROR(INDEX(dataICM!C:C,match(Caseslist!B652,dataICM!D:D,0)), "INC")</f>
        <v>INC</v>
      </c>
      <c r="L652" s="10" t="str">
        <f t="array" ref="L652">IF(AND(G652="COMPLETE", OR(K652="INC", ISBLANK(INDEX(data!O:O, ROW())))), J652, K652)</f>
        <v>2025-09-10T12:14:04.936+08</v>
      </c>
      <c r="M652" s="2">
        <v>45910.0</v>
      </c>
      <c r="N652" s="2">
        <f t="array" ref="N652">IF(M652&lt;&gt;"INC", INDEX(data!M:M, MATCH(B652, data!D:D, 0)), "")</f>
        <v>0</v>
      </c>
      <c r="O652" s="2">
        <f t="shared" si="3"/>
        <v>0</v>
      </c>
    </row>
    <row r="653">
      <c r="A653" s="2" t="str">
        <f t="shared" si="1"/>
        <v>H006863</v>
      </c>
      <c r="B653" s="1" t="s">
        <v>5208</v>
      </c>
      <c r="C653" s="9" t="str">
        <f t="array" ref="C653">IF(
  AND(
    IFERROR(MATCH(Caseslist!B653, data!D:D, 0), 0) &gt; 0,
    IFERROR(INDEX(data!N:N, MATCH(Caseslist!B653, data!D:D, 0)) = 1, FALSE)
  ),
  "COMPLETE",
  "INC"
)</f>
        <v>COMPLETE</v>
      </c>
      <c r="D653" s="9" t="str">
        <f t="array" ref="D653">IFERROR(INDEX(data!$G:$G,match(Caseslist!B653,data!$D:$D,0)), "INC")</f>
        <v>K8623174</v>
      </c>
      <c r="E653" s="9" t="str">
        <f t="array" ref="E653">IFERROR(INDEX(data!H:H,match(Caseslist!B653,data!D:D,0)), "INC")</f>
        <v>Marielle Kaye Ignacio Alonzo</v>
      </c>
      <c r="F653" s="10" t="str">
        <f t="array" ref="F653">IF(
    OR(
      IFNA(INDEX(data!M:M, MATCH(Caseslist!B653, data!D:D, 0)), "") = "",
      IFNA(INDEX(data!M:M, MATCH(Caseslist!B653, data!D:D, 0)), 0) = 0
    ),
    "COMPLETE",
    IF(
      IFNA(INDEX(dataICM!D:D, MATCH(Caseslist!B653, dataICM!D:D, 0)), "INC") = "INC",
      IFNA(INDEX(dataICM!D:D, MATCH(Caseslist!B653, dataICM!D:D, 0)), "INC"),
      "COMPLETE"
    )
  )</f>
        <v>COMPLETE</v>
      </c>
      <c r="G653" s="10" t="str">
        <f t="array" ref="G653">IF(IFERROR(INDEX(data!L:L,match(Caseslist!B653,data!D:D,0)),"INC")="","COMPLETE",F653)</f>
        <v>COMPLETE</v>
      </c>
      <c r="H653" s="9" t="str">
        <f t="array" ref="H653">IFERROR(INDEX(dataICM!F:F,match(Caseslist!B653,dataICM!D:D,0)), "INC")</f>
        <v>INC</v>
      </c>
      <c r="I653" s="10" t="str">
        <f t="shared" si="2"/>
        <v>K8623174</v>
      </c>
      <c r="J653" s="9" t="str">
        <f t="array" ref="J653">IF(
  AND(
    IFERROR(MATCH(B653, data!D:D, 0), 0) &gt; 0,
    IFERROR(INDEX(data!N:N, MATCH(B653, data!D:D, 0)) = 1, FALSE)
  ),
  INDEX(data!C:C, MATCH(B653, data!D:D, 0)),
  "INC"
)</f>
        <v>2025-09-10T14:39:32.828+08</v>
      </c>
      <c r="K653" s="9" t="str">
        <f t="array" ref="K653">IFERROR(INDEX(dataICM!C:C,match(Caseslist!B653,dataICM!D:D,0)), "INC")</f>
        <v>INC</v>
      </c>
      <c r="L653" s="10" t="str">
        <f t="array" ref="L653">IF(AND(G653="COMPLETE", OR(K653="INC", ISBLANK(INDEX(data!O:O, ROW())))), J653, K653)</f>
        <v>2025-09-10T14:39:32.828+08</v>
      </c>
      <c r="M653" s="2">
        <v>45910.0</v>
      </c>
      <c r="N653" s="2">
        <f t="array" ref="N653">IF(M653&lt;&gt;"INC", INDEX(data!M:M, MATCH(B653, data!D:D, 0)), "")</f>
        <v>0</v>
      </c>
      <c r="O653" s="2">
        <f t="shared" si="3"/>
        <v>0</v>
      </c>
    </row>
    <row r="654">
      <c r="A654" s="2" t="str">
        <f t="shared" si="1"/>
        <v>H006863</v>
      </c>
      <c r="B654" s="1" t="s">
        <v>5238</v>
      </c>
      <c r="C654" s="9" t="str">
        <f t="array" ref="C654">IF(
  AND(
    IFERROR(MATCH(Caseslist!B654, data!D:D, 0), 0) &gt; 0,
    IFERROR(INDEX(data!N:N, MATCH(Caseslist!B654, data!D:D, 0)) = 1, FALSE)
  ),
  "COMPLETE",
  "INC"
)</f>
        <v>COMPLETE</v>
      </c>
      <c r="D654" s="9" t="str">
        <f t="array" ref="D654">IFERROR(INDEX(data!$G:$G,match(Caseslist!B654,data!$D:$D,0)), "INC")</f>
        <v>J4315980</v>
      </c>
      <c r="E654" s="9" t="str">
        <f t="array" ref="E654">IFERROR(INDEX(data!H:H,match(Caseslist!B654,data!D:D,0)), "INC")</f>
        <v>Trixie Marie Jardeleza Saber</v>
      </c>
      <c r="F654" s="10" t="str">
        <f t="array" ref="F654">IF(
    OR(
      IFNA(INDEX(data!M:M, MATCH(Caseslist!B654, data!D:D, 0)), "") = "",
      IFNA(INDEX(data!M:M, MATCH(Caseslist!B654, data!D:D, 0)), 0) = 0
    ),
    "COMPLETE",
    IF(
      IFNA(INDEX(dataICM!D:D, MATCH(Caseslist!B654, dataICM!D:D, 0)), "INC") = "INC",
      IFNA(INDEX(dataICM!D:D, MATCH(Caseslist!B654, dataICM!D:D, 0)), "INC"),
      "COMPLETE"
    )
  )</f>
        <v>COMPLETE</v>
      </c>
      <c r="G654" s="10" t="str">
        <f t="array" ref="G654">IF(IFERROR(INDEX(data!L:L,match(Caseslist!B654,data!D:D,0)),"INC")="","COMPLETE",F654)</f>
        <v>COMPLETE</v>
      </c>
      <c r="H654" s="9" t="str">
        <f t="array" ref="H654">IFERROR(INDEX(dataICM!F:F,match(Caseslist!B654,dataICM!D:D,0)), "INC")</f>
        <v>INC</v>
      </c>
      <c r="I654" s="10" t="str">
        <f t="shared" si="2"/>
        <v>J4315980</v>
      </c>
      <c r="J654" s="9" t="str">
        <f t="array" ref="J654">IF(
  AND(
    IFERROR(MATCH(B654, data!D:D, 0), 0) &gt; 0,
    IFERROR(INDEX(data!N:N, MATCH(B654, data!D:D, 0)) = 1, FALSE)
  ),
  INDEX(data!C:C, MATCH(B654, data!D:D, 0)),
  "INC"
)</f>
        <v>2025-09-10T13:13:31.087+08</v>
      </c>
      <c r="K654" s="9" t="str">
        <f t="array" ref="K654">IFERROR(INDEX(dataICM!C:C,match(Caseslist!B654,dataICM!D:D,0)), "INC")</f>
        <v>INC</v>
      </c>
      <c r="L654" s="10" t="str">
        <f t="array" ref="L654">IF(AND(G654="COMPLETE", OR(K654="INC", ISBLANK(INDEX(data!O:O, ROW())))), J654, K654)</f>
        <v>2025-09-10T13:13:31.087+08</v>
      </c>
      <c r="M654" s="2">
        <v>45910.0</v>
      </c>
      <c r="N654" s="2">
        <f t="array" ref="N654">IF(M654&lt;&gt;"INC", INDEX(data!M:M, MATCH(B654, data!D:D, 0)), "")</f>
        <v>0</v>
      </c>
      <c r="O654" s="2">
        <f t="shared" si="3"/>
        <v>0</v>
      </c>
    </row>
    <row r="655">
      <c r="A655" s="2" t="str">
        <f t="shared" si="1"/>
        <v>H006863</v>
      </c>
      <c r="B655" s="1" t="s">
        <v>5108</v>
      </c>
      <c r="C655" s="9" t="str">
        <f t="array" ref="C655">IF(
  AND(
    IFERROR(MATCH(Caseslist!B655, data!D:D, 0), 0) &gt; 0,
    IFERROR(INDEX(data!N:N, MATCH(Caseslist!B655, data!D:D, 0)) = 1, FALSE)
  ),
  "COMPLETE",
  "INC"
)</f>
        <v>COMPLETE</v>
      </c>
      <c r="D655" s="9" t="str">
        <f t="array" ref="D655">IFERROR(INDEX(data!$G:$G,match(Caseslist!B655,data!$D:$D,0)), "INC")</f>
        <v>M6491032</v>
      </c>
      <c r="E655" s="9" t="str">
        <f t="array" ref="E655">IFERROR(INDEX(data!H:H,match(Caseslist!B655,data!D:D,0)), "INC")</f>
        <v>Rosevil Tayo Desamparado</v>
      </c>
      <c r="F655" s="10" t="str">
        <f t="array" ref="F655">IF(
    OR(
      IFNA(INDEX(data!M:M, MATCH(Caseslist!B655, data!D:D, 0)), "") = "",
      IFNA(INDEX(data!M:M, MATCH(Caseslist!B655, data!D:D, 0)), 0) = 0
    ),
    "COMPLETE",
    IF(
      IFNA(INDEX(dataICM!D:D, MATCH(Caseslist!B655, dataICM!D:D, 0)), "INC") = "INC",
      IFNA(INDEX(dataICM!D:D, MATCH(Caseslist!B655, dataICM!D:D, 0)), "INC"),
      "COMPLETE"
    )
  )</f>
        <v>COMPLETE</v>
      </c>
      <c r="G655" s="10" t="str">
        <f t="array" ref="G655">IF(IFERROR(INDEX(data!L:L,match(Caseslist!B655,data!D:D,0)),"INC")="","COMPLETE",F655)</f>
        <v>COMPLETE</v>
      </c>
      <c r="H655" s="9" t="str">
        <f t="array" ref="H655">IFERROR(INDEX(dataICM!F:F,match(Caseslist!B655,dataICM!D:D,0)), "INC")</f>
        <v>INC</v>
      </c>
      <c r="I655" s="10" t="str">
        <f t="shared" si="2"/>
        <v>M6491032</v>
      </c>
      <c r="J655" s="9" t="str">
        <f t="array" ref="J655">IF(
  AND(
    IFERROR(MATCH(B655, data!D:D, 0), 0) &gt; 0,
    IFERROR(INDEX(data!N:N, MATCH(B655, data!D:D, 0)) = 1, FALSE)
  ),
  INDEX(data!C:C, MATCH(B655, data!D:D, 0)),
  "INC"
)</f>
        <v>2025-09-10T15:19:04.280+08</v>
      </c>
      <c r="K655" s="9" t="str">
        <f t="array" ref="K655">IFERROR(INDEX(dataICM!C:C,match(Caseslist!B655,dataICM!D:D,0)), "INC")</f>
        <v>INC</v>
      </c>
      <c r="L655" s="10" t="str">
        <f t="array" ref="L655">IF(AND(G655="COMPLETE", OR(K655="INC", ISBLANK(INDEX(data!O:O, ROW())))), J655, K655)</f>
        <v>2025-09-10T15:19:04.280+08</v>
      </c>
      <c r="M655" s="2">
        <v>45910.0</v>
      </c>
      <c r="N655" s="2">
        <f t="array" ref="N655">IF(M655&lt;&gt;"INC", INDEX(data!M:M, MATCH(B655, data!D:D, 0)), "")</f>
        <v>0</v>
      </c>
      <c r="O655" s="2">
        <f t="shared" si="3"/>
        <v>0</v>
      </c>
    </row>
    <row r="656">
      <c r="A656" s="2" t="str">
        <f t="shared" si="1"/>
        <v>H006863</v>
      </c>
      <c r="B656" s="1" t="s">
        <v>5233</v>
      </c>
      <c r="C656" s="9" t="str">
        <f t="array" ref="C656">IF(
  AND(
    IFERROR(MATCH(Caseslist!B656, data!D:D, 0), 0) &gt; 0,
    IFERROR(INDEX(data!N:N, MATCH(Caseslist!B656, data!D:D, 0)) = 1, FALSE)
  ),
  "COMPLETE",
  "INC"
)</f>
        <v>COMPLETE</v>
      </c>
      <c r="D656" s="9" t="str">
        <f t="array" ref="D656">IFERROR(INDEX(data!$G:$G,match(Caseslist!B656,data!$D:$D,0)), "INC")</f>
        <v>M6491032</v>
      </c>
      <c r="E656" s="9" t="str">
        <f t="array" ref="E656">IFERROR(INDEX(data!H:H,match(Caseslist!B656,data!D:D,0)), "INC")</f>
        <v>Rosevil Tayo Desamparado</v>
      </c>
      <c r="F656" s="10" t="str">
        <f t="array" ref="F656">IF(
    OR(
      IFNA(INDEX(data!M:M, MATCH(Caseslist!B656, data!D:D, 0)), "") = "",
      IFNA(INDEX(data!M:M, MATCH(Caseslist!B656, data!D:D, 0)), 0) = 0
    ),
    "COMPLETE",
    IF(
      IFNA(INDEX(dataICM!D:D, MATCH(Caseslist!B656, dataICM!D:D, 0)), "INC") = "INC",
      IFNA(INDEX(dataICM!D:D, MATCH(Caseslist!B656, dataICM!D:D, 0)), "INC"),
      "COMPLETE"
    )
  )</f>
        <v>COMPLETE</v>
      </c>
      <c r="G656" s="10" t="str">
        <f t="array" ref="G656">IF(IFERROR(INDEX(data!L:L,match(Caseslist!B656,data!D:D,0)),"INC")="","COMPLETE",F656)</f>
        <v>COMPLETE</v>
      </c>
      <c r="H656" s="9" t="str">
        <f t="array" ref="H656">IFERROR(INDEX(dataICM!F:F,match(Caseslist!B656,dataICM!D:D,0)), "INC")</f>
        <v>INC</v>
      </c>
      <c r="I656" s="10" t="str">
        <f t="shared" si="2"/>
        <v>M6491032</v>
      </c>
      <c r="J656" s="9" t="str">
        <f t="array" ref="J656">IF(
  AND(
    IFERROR(MATCH(B656, data!D:D, 0), 0) &gt; 0,
    IFERROR(INDEX(data!N:N, MATCH(B656, data!D:D, 0)) = 1, FALSE)
  ),
  INDEX(data!C:C, MATCH(B656, data!D:D, 0)),
  "INC"
)</f>
        <v>2025-09-13T11:45:38.743+08</v>
      </c>
      <c r="K656" s="9" t="str">
        <f t="array" ref="K656">IFERROR(INDEX(dataICM!C:C,match(Caseslist!B656,dataICM!D:D,0)), "INC")</f>
        <v>INC</v>
      </c>
      <c r="L656" s="10" t="str">
        <f t="array" ref="L656">IF(AND(G656="COMPLETE", OR(K656="INC", ISBLANK(INDEX(data!O:O, ROW())))), J656, K656)</f>
        <v>2025-09-13T11:45:38.743+08</v>
      </c>
      <c r="M656" s="2">
        <v>45913.0</v>
      </c>
      <c r="N656" s="2">
        <f t="array" ref="N656">IF(M656&lt;&gt;"INC", INDEX(data!M:M, MATCH(B656, data!D:D, 0)), "")</f>
        <v>0</v>
      </c>
      <c r="O656" s="2">
        <f t="shared" si="3"/>
        <v>0</v>
      </c>
    </row>
    <row r="657">
      <c r="A657" s="2" t="str">
        <f t="shared" si="1"/>
        <v>H006863</v>
      </c>
      <c r="B657" s="1" t="s">
        <v>5988</v>
      </c>
      <c r="C657" s="9" t="str">
        <f t="array" ref="C657">IF(
  AND(
    IFERROR(MATCH(Caseslist!B657, data!D:D, 0), 0) &gt; 0,
    IFERROR(INDEX(data!N:N, MATCH(Caseslist!B657, data!D:D, 0)) = 1, FALSE)
  ),
  "COMPLETE",
  "INC"
)</f>
        <v>COMPLETE</v>
      </c>
      <c r="D657" s="9" t="str">
        <f t="array" ref="D657">IFERROR(INDEX(data!$G:$G,match(Caseslist!B657,data!$D:$D,0)), "INC")</f>
        <v>M6491032</v>
      </c>
      <c r="E657" s="9" t="str">
        <f t="array" ref="E657">IFERROR(INDEX(data!H:H,match(Caseslist!B657,data!D:D,0)), "INC")</f>
        <v>Rosevil Tayo Desamparado</v>
      </c>
      <c r="F657" s="10" t="str">
        <f t="array" ref="F657">IF(
    OR(
      IFNA(INDEX(data!M:M, MATCH(Caseslist!B657, data!D:D, 0)), "") = "",
      IFNA(INDEX(data!M:M, MATCH(Caseslist!B657, data!D:D, 0)), 0) = 0
    ),
    "COMPLETE",
    IF(
      IFNA(INDEX(dataICM!D:D, MATCH(Caseslist!B657, dataICM!D:D, 0)), "INC") = "INC",
      IFNA(INDEX(dataICM!D:D, MATCH(Caseslist!B657, dataICM!D:D, 0)), "INC"),
      "COMPLETE"
    )
  )</f>
        <v>COMPLETE</v>
      </c>
      <c r="G657" s="10" t="str">
        <f t="array" ref="G657">IF(IFERROR(INDEX(data!L:L,match(Caseslist!B657,data!D:D,0)),"INC")="","COMPLETE",F657)</f>
        <v>COMPLETE</v>
      </c>
      <c r="H657" s="9" t="str">
        <f t="array" ref="H657">IFERROR(INDEX(dataICM!F:F,match(Caseslist!B657,dataICM!D:D,0)), "INC")</f>
        <v>INC</v>
      </c>
      <c r="I657" s="10" t="str">
        <f t="shared" si="2"/>
        <v>M6491032</v>
      </c>
      <c r="J657" s="9" t="str">
        <f t="array" ref="J657">IF(
  AND(
    IFERROR(MATCH(B657, data!D:D, 0), 0) &gt; 0,
    IFERROR(INDEX(data!N:N, MATCH(B657, data!D:D, 0)) = 1, FALSE)
  ),
  INDEX(data!C:C, MATCH(B657, data!D:D, 0)),
  "INC"
)</f>
        <v>2025-09-13T15:33:18.862+08</v>
      </c>
      <c r="K657" s="9" t="str">
        <f t="array" ref="K657">IFERROR(INDEX(dataICM!C:C,match(Caseslist!B657,dataICM!D:D,0)), "INC")</f>
        <v>INC</v>
      </c>
      <c r="L657" s="10" t="str">
        <f t="array" ref="L657">IF(AND(G657="COMPLETE", OR(K657="INC", ISBLANK(INDEX(data!O:O, ROW())))), J657, K657)</f>
        <v>2025-09-13T15:33:18.862+08</v>
      </c>
      <c r="M657" s="2">
        <v>45913.0</v>
      </c>
      <c r="N657" s="2">
        <f t="array" ref="N657">IF(M657&lt;&gt;"INC", INDEX(data!M:M, MATCH(B657, data!D:D, 0)), "")</f>
        <v>0</v>
      </c>
      <c r="O657" s="2">
        <f t="shared" si="3"/>
        <v>0</v>
      </c>
    </row>
    <row r="658">
      <c r="A658" s="2" t="str">
        <f t="shared" si="1"/>
        <v>H006863</v>
      </c>
      <c r="B658" s="1" t="s">
        <v>5103</v>
      </c>
      <c r="C658" s="9" t="str">
        <f t="array" ref="C658">IF(
  AND(
    IFERROR(MATCH(Caseslist!B658, data!D:D, 0), 0) &gt; 0,
    IFERROR(INDEX(data!N:N, MATCH(Caseslist!B658, data!D:D, 0)) = 1, FALSE)
  ),
  "COMPLETE",
  "INC"
)</f>
        <v>COMPLETE</v>
      </c>
      <c r="D658" s="9" t="str">
        <f t="array" ref="D658">IFERROR(INDEX(data!$G:$G,match(Caseslist!B658,data!$D:$D,0)), "INC")</f>
        <v>M6491032</v>
      </c>
      <c r="E658" s="9" t="str">
        <f t="array" ref="E658">IFERROR(INDEX(data!H:H,match(Caseslist!B658,data!D:D,0)), "INC")</f>
        <v>Rosevil Tayo Desamparado</v>
      </c>
      <c r="F658" s="10" t="str">
        <f t="array" ref="F658">IF(
    OR(
      IFNA(INDEX(data!M:M, MATCH(Caseslist!B658, data!D:D, 0)), "") = "",
      IFNA(INDEX(data!M:M, MATCH(Caseslist!B658, data!D:D, 0)), 0) = 0
    ),
    "COMPLETE",
    IF(
      IFNA(INDEX(dataICM!D:D, MATCH(Caseslist!B658, dataICM!D:D, 0)), "INC") = "INC",
      IFNA(INDEX(dataICM!D:D, MATCH(Caseslist!B658, dataICM!D:D, 0)), "INC"),
      "COMPLETE"
    )
  )</f>
        <v>COMPLETE</v>
      </c>
      <c r="G658" s="10" t="str">
        <f t="array" ref="G658">IF(IFERROR(INDEX(data!L:L,match(Caseslist!B658,data!D:D,0)),"INC")="","COMPLETE",F658)</f>
        <v>COMPLETE</v>
      </c>
      <c r="H658" s="9" t="str">
        <f t="array" ref="H658">IFERROR(INDEX(dataICM!F:F,match(Caseslist!B658,dataICM!D:D,0)), "INC")</f>
        <v>INC</v>
      </c>
      <c r="I658" s="10" t="str">
        <f t="shared" si="2"/>
        <v>M6491032</v>
      </c>
      <c r="J658" s="9" t="str">
        <f t="array" ref="J658">IF(
  AND(
    IFERROR(MATCH(B658, data!D:D, 0), 0) &gt; 0,
    IFERROR(INDEX(data!N:N, MATCH(B658, data!D:D, 0)) = 1, FALSE)
  ),
  INDEX(data!C:C, MATCH(B658, data!D:D, 0)),
  "INC"
)</f>
        <v>2025-09-13T09:14:46.830+08</v>
      </c>
      <c r="K658" s="9" t="str">
        <f t="array" ref="K658">IFERROR(INDEX(dataICM!C:C,match(Caseslist!B658,dataICM!D:D,0)), "INC")</f>
        <v>INC</v>
      </c>
      <c r="L658" s="10" t="str">
        <f t="array" ref="L658">IF(AND(G658="COMPLETE", OR(K658="INC", ISBLANK(INDEX(data!O:O, ROW())))), J658, K658)</f>
        <v>2025-09-13T09:14:46.830+08</v>
      </c>
      <c r="M658" s="2">
        <v>45913.0</v>
      </c>
      <c r="N658" s="2">
        <f t="array" ref="N658">IF(M658&lt;&gt;"INC", INDEX(data!M:M, MATCH(B658, data!D:D, 0)), "")</f>
        <v>0</v>
      </c>
      <c r="O658" s="2">
        <f t="shared" si="3"/>
        <v>0</v>
      </c>
    </row>
    <row r="659">
      <c r="A659" s="2" t="str">
        <f t="shared" si="1"/>
        <v>H006863</v>
      </c>
      <c r="B659" s="1" t="s">
        <v>5128</v>
      </c>
      <c r="C659" s="9" t="str">
        <f t="array" ref="C659">IF(
  AND(
    IFERROR(MATCH(Caseslist!B659, data!D:D, 0), 0) &gt; 0,
    IFERROR(INDEX(data!N:N, MATCH(Caseslist!B659, data!D:D, 0)) = 1, FALSE)
  ),
  "COMPLETE",
  "INC"
)</f>
        <v>COMPLETE</v>
      </c>
      <c r="D659" s="9" t="str">
        <f t="array" ref="D659">IFERROR(INDEX(data!$G:$G,match(Caseslist!B659,data!$D:$D,0)), "INC")</f>
        <v>L2057896</v>
      </c>
      <c r="E659" s="9" t="str">
        <f t="array" ref="E659">IFERROR(INDEX(data!H:H,match(Caseslist!B659,data!D:D,0)), "INC")</f>
        <v>Franz Reoben Posadas Geneblaza</v>
      </c>
      <c r="F659" s="10" t="str">
        <f t="array" ref="F659">IF(
    OR(
      IFNA(INDEX(data!M:M, MATCH(Caseslist!B659, data!D:D, 0)), "") = "",
      IFNA(INDEX(data!M:M, MATCH(Caseslist!B659, data!D:D, 0)), 0) = 0
    ),
    "COMPLETE",
    IF(
      IFNA(INDEX(dataICM!D:D, MATCH(Caseslist!B659, dataICM!D:D, 0)), "INC") = "INC",
      IFNA(INDEX(dataICM!D:D, MATCH(Caseslist!B659, dataICM!D:D, 0)), "INC"),
      "COMPLETE"
    )
  )</f>
        <v>COMPLETE</v>
      </c>
      <c r="G659" s="10" t="str">
        <f t="array" ref="G659">IF(IFERROR(INDEX(data!L:L,match(Caseslist!B659,data!D:D,0)),"INC")="","COMPLETE",F659)</f>
        <v>COMPLETE</v>
      </c>
      <c r="H659" s="9" t="str">
        <f t="array" ref="H659">IFERROR(INDEX(dataICM!F:F,match(Caseslist!B659,dataICM!D:D,0)), "INC")</f>
        <v>INC</v>
      </c>
      <c r="I659" s="10" t="str">
        <f t="shared" si="2"/>
        <v>L2057896</v>
      </c>
      <c r="J659" s="9" t="str">
        <f t="array" ref="J659">IF(
  AND(
    IFERROR(MATCH(B659, data!D:D, 0), 0) &gt; 0,
    IFERROR(INDEX(data!N:N, MATCH(B659, data!D:D, 0)) = 1, FALSE)
  ),
  INDEX(data!C:C, MATCH(B659, data!D:D, 0)),
  "INC"
)</f>
        <v>2025-09-10T12:40:10.215+08</v>
      </c>
      <c r="K659" s="9" t="str">
        <f t="array" ref="K659">IFERROR(INDEX(dataICM!C:C,match(Caseslist!B659,dataICM!D:D,0)), "INC")</f>
        <v>INC</v>
      </c>
      <c r="L659" s="10" t="str">
        <f t="array" ref="L659">IF(AND(G659="COMPLETE", OR(K659="INC", ISBLANK(INDEX(data!O:O, ROW())))), J659, K659)</f>
        <v>2025-09-10T12:40:10.215+08</v>
      </c>
      <c r="M659" s="2">
        <v>45910.0</v>
      </c>
      <c r="N659" s="2">
        <f t="array" ref="N659">IF(M659&lt;&gt;"INC", INDEX(data!M:M, MATCH(B659, data!D:D, 0)), "")</f>
        <v>0</v>
      </c>
      <c r="O659" s="2">
        <f t="shared" si="3"/>
        <v>0</v>
      </c>
    </row>
    <row r="660">
      <c r="A660" s="2" t="str">
        <f t="shared" si="1"/>
        <v>H006863</v>
      </c>
      <c r="B660" s="1" t="s">
        <v>5098</v>
      </c>
      <c r="C660" s="9" t="str">
        <f t="array" ref="C660">IF(
  AND(
    IFERROR(MATCH(Caseslist!B660, data!D:D, 0), 0) &gt; 0,
    IFERROR(INDEX(data!N:N, MATCH(Caseslist!B660, data!D:D, 0)) = 1, FALSE)
  ),
  "COMPLETE",
  "INC"
)</f>
        <v>COMPLETE</v>
      </c>
      <c r="D660" s="9" t="str">
        <f t="array" ref="D660">IFERROR(INDEX(data!$G:$G,match(Caseslist!B660,data!$D:$D,0)), "INC")</f>
        <v>M6491032</v>
      </c>
      <c r="E660" s="9" t="str">
        <f t="array" ref="E660">IFERROR(INDEX(data!H:H,match(Caseslist!B660,data!D:D,0)), "INC")</f>
        <v>Rosevil Tayo Desamparado</v>
      </c>
      <c r="F660" s="10" t="str">
        <f t="array" ref="F660">IF(
    OR(
      IFNA(INDEX(data!M:M, MATCH(Caseslist!B660, data!D:D, 0)), "") = "",
      IFNA(INDEX(data!M:M, MATCH(Caseslist!B660, data!D:D, 0)), 0) = 0
    ),
    "COMPLETE",
    IF(
      IFNA(INDEX(dataICM!D:D, MATCH(Caseslist!B660, dataICM!D:D, 0)), "INC") = "INC",
      IFNA(INDEX(dataICM!D:D, MATCH(Caseslist!B660, dataICM!D:D, 0)), "INC"),
      "COMPLETE"
    )
  )</f>
        <v>COMPLETE</v>
      </c>
      <c r="G660" s="10" t="str">
        <f t="array" ref="G660">IF(IFERROR(INDEX(data!L:L,match(Caseslist!B660,data!D:D,0)),"INC")="","COMPLETE",F660)</f>
        <v>COMPLETE</v>
      </c>
      <c r="H660" s="9" t="str">
        <f t="array" ref="H660">IFERROR(INDEX(dataICM!F:F,match(Caseslist!B660,dataICM!D:D,0)), "INC")</f>
        <v>INC</v>
      </c>
      <c r="I660" s="10" t="str">
        <f t="shared" si="2"/>
        <v>M6491032</v>
      </c>
      <c r="J660" s="9" t="str">
        <f t="array" ref="J660">IF(
  AND(
    IFERROR(MATCH(B660, data!D:D, 0), 0) &gt; 0,
    IFERROR(INDEX(data!N:N, MATCH(B660, data!D:D, 0)) = 1, FALSE)
  ),
  INDEX(data!C:C, MATCH(B660, data!D:D, 0)),
  "INC"
)</f>
        <v>2025-09-10T12:36:45.297+08</v>
      </c>
      <c r="K660" s="9" t="str">
        <f t="array" ref="K660">IFERROR(INDEX(dataICM!C:C,match(Caseslist!B660,dataICM!D:D,0)), "INC")</f>
        <v>INC</v>
      </c>
      <c r="L660" s="10" t="str">
        <f t="array" ref="L660">IF(AND(G660="COMPLETE", OR(K660="INC", ISBLANK(INDEX(data!O:O, ROW())))), J660, K660)</f>
        <v>2025-09-10T12:36:45.297+08</v>
      </c>
      <c r="M660" s="2">
        <v>45910.0</v>
      </c>
      <c r="N660" s="2">
        <f t="array" ref="N660">IF(M660&lt;&gt;"INC", INDEX(data!M:M, MATCH(B660, data!D:D, 0)), "")</f>
        <v>0</v>
      </c>
      <c r="O660" s="2">
        <f t="shared" si="3"/>
        <v>0</v>
      </c>
    </row>
    <row r="661">
      <c r="A661" s="2" t="str">
        <f t="shared" si="1"/>
        <v>H006863</v>
      </c>
      <c r="B661" s="1" t="s">
        <v>6113</v>
      </c>
      <c r="C661" s="9" t="str">
        <f t="array" ref="C661">IF(
  AND(
    IFERROR(MATCH(Caseslist!B661, data!D:D, 0), 0) &gt; 0,
    IFERROR(INDEX(data!N:N, MATCH(Caseslist!B661, data!D:D, 0)) = 1, FALSE)
  ),
  "COMPLETE",
  "INC"
)</f>
        <v>COMPLETE</v>
      </c>
      <c r="D661" s="9" t="str">
        <f t="array" ref="D661">IFERROR(INDEX(data!$G:$G,match(Caseslist!B661,data!$D:$D,0)), "INC")</f>
        <v>K8623174</v>
      </c>
      <c r="E661" s="9" t="str">
        <f t="array" ref="E661">IFERROR(INDEX(data!H:H,match(Caseslist!B661,data!D:D,0)), "INC")</f>
        <v>Marielle Kaye Ignacio Alonzo</v>
      </c>
      <c r="F661" s="10" t="str">
        <f t="array" ref="F661">IF(
    OR(
      IFNA(INDEX(data!M:M, MATCH(Caseslist!B661, data!D:D, 0)), "") = "",
      IFNA(INDEX(data!M:M, MATCH(Caseslist!B661, data!D:D, 0)), 0) = 0
    ),
    "COMPLETE",
    IF(
      IFNA(INDEX(dataICM!D:D, MATCH(Caseslist!B661, dataICM!D:D, 0)), "INC") = "INC",
      IFNA(INDEX(dataICM!D:D, MATCH(Caseslist!B661, dataICM!D:D, 0)), "INC"),
      "COMPLETE"
    )
  )</f>
        <v>COMPLETE</v>
      </c>
      <c r="G661" s="10" t="str">
        <f t="array" ref="G661">IF(IFERROR(INDEX(data!L:L,match(Caseslist!B661,data!D:D,0)),"INC")="","COMPLETE",F661)</f>
        <v>COMPLETE</v>
      </c>
      <c r="H661" s="9" t="str">
        <f t="array" ref="H661">IFERROR(INDEX(dataICM!F:F,match(Caseslist!B661,dataICM!D:D,0)), "INC")</f>
        <v>INC</v>
      </c>
      <c r="I661" s="10" t="str">
        <f t="shared" si="2"/>
        <v>K8623174</v>
      </c>
      <c r="J661" s="9" t="str">
        <f t="array" ref="J661">IF(
  AND(
    IFERROR(MATCH(B661, data!D:D, 0), 0) &gt; 0,
    IFERROR(INDEX(data!N:N, MATCH(B661, data!D:D, 0)) = 1, FALSE)
  ),
  INDEX(data!C:C, MATCH(B661, data!D:D, 0)),
  "INC"
)</f>
        <v>2025-09-13T09:52:37.276+08</v>
      </c>
      <c r="K661" s="9" t="str">
        <f t="array" ref="K661">IFERROR(INDEX(dataICM!C:C,match(Caseslist!B661,dataICM!D:D,0)), "INC")</f>
        <v>INC</v>
      </c>
      <c r="L661" s="10" t="str">
        <f t="array" ref="L661">IF(AND(G661="COMPLETE", OR(K661="INC", ISBLANK(INDEX(data!O:O, ROW())))), J661, K661)</f>
        <v>2025-09-13T09:52:37.276+08</v>
      </c>
      <c r="M661" s="2">
        <v>45913.0</v>
      </c>
      <c r="N661" s="2">
        <f t="array" ref="N661">IF(M661&lt;&gt;"INC", INDEX(data!M:M, MATCH(B661, data!D:D, 0)), "")</f>
        <v>0</v>
      </c>
      <c r="O661" s="2">
        <f t="shared" si="3"/>
        <v>0</v>
      </c>
    </row>
    <row r="662">
      <c r="A662" s="2" t="str">
        <f t="shared" si="1"/>
        <v>H006863</v>
      </c>
      <c r="B662" s="1" t="s">
        <v>8368</v>
      </c>
      <c r="C662" s="9" t="str">
        <f t="array" ref="C662">IF(
  AND(
    IFERROR(MATCH(Caseslist!B662, data!D:D, 0), 0) &gt; 0,
    IFERROR(INDEX(data!N:N, MATCH(Caseslist!B662, data!D:D, 0)) = 1, FALSE)
  ),
  "COMPLETE",
  "INC"
)</f>
        <v>COMPLETE</v>
      </c>
      <c r="D662" s="9" t="str">
        <f t="array" ref="D662">IFERROR(INDEX(data!$G:$G,match(Caseslist!B662,data!$D:$D,0)), "INC")</f>
        <v>M6491032</v>
      </c>
      <c r="E662" s="9" t="str">
        <f t="array" ref="E662">IFERROR(INDEX(data!H:H,match(Caseslist!B662,data!D:D,0)), "INC")</f>
        <v>Rosevil Tayo Desamparado</v>
      </c>
      <c r="F662" s="10" t="str">
        <f t="array" ref="F662">IF(
    OR(
      IFNA(INDEX(data!M:M, MATCH(Caseslist!B662, data!D:D, 0)), "") = "",
      IFNA(INDEX(data!M:M, MATCH(Caseslist!B662, data!D:D, 0)), 0) = 0
    ),
    "COMPLETE",
    IF(
      IFNA(INDEX(dataICM!D:D, MATCH(Caseslist!B662, dataICM!D:D, 0)), "INC") = "INC",
      IFNA(INDEX(dataICM!D:D, MATCH(Caseslist!B662, dataICM!D:D, 0)), "INC"),
      "COMPLETE"
    )
  )</f>
        <v>COMPLETE</v>
      </c>
      <c r="G662" s="10" t="str">
        <f t="array" ref="G662">IF(IFERROR(INDEX(data!L:L,match(Caseslist!B662,data!D:D,0)),"INC")="","COMPLETE",F662)</f>
        <v>COMPLETE</v>
      </c>
      <c r="H662" s="9" t="str">
        <f t="array" ref="H662">IFERROR(INDEX(dataICM!F:F,match(Caseslist!B662,dataICM!D:D,0)), "INC")</f>
        <v>INC</v>
      </c>
      <c r="I662" s="10" t="str">
        <f t="shared" si="2"/>
        <v>M6491032</v>
      </c>
      <c r="J662" s="9" t="str">
        <f t="array" ref="J662">IF(
  AND(
    IFERROR(MATCH(B662, data!D:D, 0), 0) &gt; 0,
    IFERROR(INDEX(data!N:N, MATCH(B662, data!D:D, 0)) = 1, FALSE)
  ),
  INDEX(data!C:C, MATCH(B662, data!D:D, 0)),
  "INC"
)</f>
        <v>2025-09-23T16:48:39.066+08</v>
      </c>
      <c r="K662" s="9" t="str">
        <f t="array" ref="K662">IFERROR(INDEX(dataICM!C:C,match(Caseslist!B662,dataICM!D:D,0)), "INC")</f>
        <v>INC</v>
      </c>
      <c r="L662" s="10" t="str">
        <f t="array" ref="L662">IF(AND(G662="COMPLETE", OR(K662="INC", ISBLANK(INDEX(data!O:O, ROW())))), J662, K662)</f>
        <v>2025-09-23T16:48:39.066+08</v>
      </c>
      <c r="M662" s="2">
        <v>45923.0</v>
      </c>
      <c r="N662" s="2">
        <f t="array" ref="N662">IF(M662&lt;&gt;"INC", INDEX(data!M:M, MATCH(B662, data!D:D, 0)), "")</f>
        <v>0</v>
      </c>
      <c r="O662" s="2">
        <f t="shared" si="3"/>
        <v>0</v>
      </c>
    </row>
    <row r="663">
      <c r="A663" s="2" t="str">
        <f t="shared" si="1"/>
        <v>H006863</v>
      </c>
      <c r="B663" s="1" t="s">
        <v>5143</v>
      </c>
      <c r="C663" s="9" t="str">
        <f t="array" ref="C663">IF(
  AND(
    IFERROR(MATCH(Caseslist!B663, data!D:D, 0), 0) &gt; 0,
    IFERROR(INDEX(data!N:N, MATCH(Caseslist!B663, data!D:D, 0)) = 1, FALSE)
  ),
  "COMPLETE",
  "INC"
)</f>
        <v>COMPLETE</v>
      </c>
      <c r="D663" s="9" t="str">
        <f t="array" ref="D663">IFERROR(INDEX(data!$G:$G,match(Caseslist!B663,data!$D:$D,0)), "INC")</f>
        <v>L2057896</v>
      </c>
      <c r="E663" s="9" t="str">
        <f t="array" ref="E663">IFERROR(INDEX(data!H:H,match(Caseslist!B663,data!D:D,0)), "INC")</f>
        <v>Franz Reoben Posadas Geneblaza</v>
      </c>
      <c r="F663" s="10" t="str">
        <f t="array" ref="F663">IF(
    OR(
      IFNA(INDEX(data!M:M, MATCH(Caseslist!B663, data!D:D, 0)), "") = "",
      IFNA(INDEX(data!M:M, MATCH(Caseslist!B663, data!D:D, 0)), 0) = 0
    ),
    "COMPLETE",
    IF(
      IFNA(INDEX(dataICM!D:D, MATCH(Caseslist!B663, dataICM!D:D, 0)), "INC") = "INC",
      IFNA(INDEX(dataICM!D:D, MATCH(Caseslist!B663, dataICM!D:D, 0)), "INC"),
      "COMPLETE"
    )
  )</f>
        <v>COMPLETE</v>
      </c>
      <c r="G663" s="10" t="str">
        <f t="array" ref="G663">IF(IFERROR(INDEX(data!L:L,match(Caseslist!B663,data!D:D,0)),"INC")="","COMPLETE",F663)</f>
        <v>COMPLETE</v>
      </c>
      <c r="H663" s="9" t="str">
        <f t="array" ref="H663">IFERROR(INDEX(dataICM!F:F,match(Caseslist!B663,dataICM!D:D,0)), "INC")</f>
        <v>INC</v>
      </c>
      <c r="I663" s="10" t="str">
        <f t="shared" si="2"/>
        <v>L2057896</v>
      </c>
      <c r="J663" s="9" t="str">
        <f t="array" ref="J663">IF(
  AND(
    IFERROR(MATCH(B663, data!D:D, 0), 0) &gt; 0,
    IFERROR(INDEX(data!N:N, MATCH(B663, data!D:D, 0)) = 1, FALSE)
  ),
  INDEX(data!C:C, MATCH(B663, data!D:D, 0)),
  "INC"
)</f>
        <v>2025-09-10T14:16:54.169+08</v>
      </c>
      <c r="K663" s="9" t="str">
        <f t="array" ref="K663">IFERROR(INDEX(dataICM!C:C,match(Caseslist!B663,dataICM!D:D,0)), "INC")</f>
        <v>INC</v>
      </c>
      <c r="L663" s="10" t="str">
        <f t="array" ref="L663">IF(AND(G663="COMPLETE", OR(K663="INC", ISBLANK(INDEX(data!O:O, ROW())))), J663, K663)</f>
        <v>2025-09-10T14:16:54.169+08</v>
      </c>
      <c r="M663" s="2">
        <v>45910.0</v>
      </c>
      <c r="N663" s="2">
        <f t="array" ref="N663">IF(M663&lt;&gt;"INC", INDEX(data!M:M, MATCH(B663, data!D:D, 0)), "")</f>
        <v>0</v>
      </c>
      <c r="O663" s="2">
        <f t="shared" si="3"/>
        <v>0</v>
      </c>
    </row>
    <row r="664">
      <c r="A664" s="2" t="str">
        <f t="shared" si="1"/>
        <v>H006863</v>
      </c>
      <c r="B664" s="1" t="s">
        <v>6108</v>
      </c>
      <c r="C664" s="9" t="str">
        <f t="array" ref="C664">IF(
  AND(
    IFERROR(MATCH(Caseslist!B664, data!D:D, 0), 0) &gt; 0,
    IFERROR(INDEX(data!N:N, MATCH(Caseslist!B664, data!D:D, 0)) = 1, FALSE)
  ),
  "COMPLETE",
  "INC"
)</f>
        <v>COMPLETE</v>
      </c>
      <c r="D664" s="9" t="str">
        <f t="array" ref="D664">IFERROR(INDEX(data!$G:$G,match(Caseslist!B664,data!$D:$D,0)), "INC")</f>
        <v>K8623174</v>
      </c>
      <c r="E664" s="9" t="str">
        <f t="array" ref="E664">IFERROR(INDEX(data!H:H,match(Caseslist!B664,data!D:D,0)), "INC")</f>
        <v>Marielle Kaye Ignacio Alonzo</v>
      </c>
      <c r="F664" s="10" t="str">
        <f t="array" ref="F664">IF(
    OR(
      IFNA(INDEX(data!M:M, MATCH(Caseslist!B664, data!D:D, 0)), "") = "",
      IFNA(INDEX(data!M:M, MATCH(Caseslist!B664, data!D:D, 0)), 0) = 0
    ),
    "COMPLETE",
    IF(
      IFNA(INDEX(dataICM!D:D, MATCH(Caseslist!B664, dataICM!D:D, 0)), "INC") = "INC",
      IFNA(INDEX(dataICM!D:D, MATCH(Caseslist!B664, dataICM!D:D, 0)), "INC"),
      "COMPLETE"
    )
  )</f>
        <v>COMPLETE</v>
      </c>
      <c r="G664" s="10" t="str">
        <f t="array" ref="G664">IF(IFERROR(INDEX(data!L:L,match(Caseslist!B664,data!D:D,0)),"INC")="","COMPLETE",F664)</f>
        <v>COMPLETE</v>
      </c>
      <c r="H664" s="9" t="str">
        <f t="array" ref="H664">IFERROR(INDEX(dataICM!F:F,match(Caseslist!B664,dataICM!D:D,0)), "INC")</f>
        <v>INC</v>
      </c>
      <c r="I664" s="10" t="str">
        <f t="shared" si="2"/>
        <v>K8623174</v>
      </c>
      <c r="J664" s="9" t="str">
        <f t="array" ref="J664">IF(
  AND(
    IFERROR(MATCH(B664, data!D:D, 0), 0) &gt; 0,
    IFERROR(INDEX(data!N:N, MATCH(B664, data!D:D, 0)) = 1, FALSE)
  ),
  INDEX(data!C:C, MATCH(B664, data!D:D, 0)),
  "INC"
)</f>
        <v>2025-09-13T08:29:50.939+08</v>
      </c>
      <c r="K664" s="9" t="str">
        <f t="array" ref="K664">IFERROR(INDEX(dataICM!C:C,match(Caseslist!B664,dataICM!D:D,0)), "INC")</f>
        <v>INC</v>
      </c>
      <c r="L664" s="10" t="str">
        <f t="array" ref="L664">IF(AND(G664="COMPLETE", OR(K664="INC", ISBLANK(INDEX(data!O:O, ROW())))), J664, K664)</f>
        <v>2025-09-13T08:29:50.939+08</v>
      </c>
      <c r="M664" s="2">
        <v>45913.0</v>
      </c>
      <c r="N664" s="2">
        <f t="array" ref="N664">IF(M664&lt;&gt;"INC", INDEX(data!M:M, MATCH(B664, data!D:D, 0)), "")</f>
        <v>0</v>
      </c>
      <c r="O664" s="2">
        <f t="shared" si="3"/>
        <v>0</v>
      </c>
    </row>
    <row r="665">
      <c r="A665" s="2" t="str">
        <f t="shared" si="1"/>
        <v>H006863</v>
      </c>
      <c r="B665" s="1" t="s">
        <v>5203</v>
      </c>
      <c r="C665" s="9" t="str">
        <f t="array" ref="C665">IF(
  AND(
    IFERROR(MATCH(Caseslist!B665, data!D:D, 0), 0) &gt; 0,
    IFERROR(INDEX(data!N:N, MATCH(Caseslist!B665, data!D:D, 0)) = 1, FALSE)
  ),
  "COMPLETE",
  "INC"
)</f>
        <v>COMPLETE</v>
      </c>
      <c r="D665" s="9" t="str">
        <f t="array" ref="D665">IFERROR(INDEX(data!$G:$G,match(Caseslist!B665,data!$D:$D,0)), "INC")</f>
        <v>K8623174</v>
      </c>
      <c r="E665" s="9" t="str">
        <f t="array" ref="E665">IFERROR(INDEX(data!H:H,match(Caseslist!B665,data!D:D,0)), "INC")</f>
        <v>Marielle Kaye Ignacio Alonzo</v>
      </c>
      <c r="F665" s="10" t="str">
        <f t="array" ref="F665">IF(
    OR(
      IFNA(INDEX(data!M:M, MATCH(Caseslist!B665, data!D:D, 0)), "") = "",
      IFNA(INDEX(data!M:M, MATCH(Caseslist!B665, data!D:D, 0)), 0) = 0
    ),
    "COMPLETE",
    IF(
      IFNA(INDEX(dataICM!D:D, MATCH(Caseslist!B665, dataICM!D:D, 0)), "INC") = "INC",
      IFNA(INDEX(dataICM!D:D, MATCH(Caseslist!B665, dataICM!D:D, 0)), "INC"),
      "COMPLETE"
    )
  )</f>
        <v>COMPLETE</v>
      </c>
      <c r="G665" s="10" t="str">
        <f t="array" ref="G665">IF(IFERROR(INDEX(data!L:L,match(Caseslist!B665,data!D:D,0)),"INC")="","COMPLETE",F665)</f>
        <v>COMPLETE</v>
      </c>
      <c r="H665" s="9" t="str">
        <f t="array" ref="H665">IFERROR(INDEX(dataICM!F:F,match(Caseslist!B665,dataICM!D:D,0)), "INC")</f>
        <v>INC</v>
      </c>
      <c r="I665" s="10" t="str">
        <f t="shared" si="2"/>
        <v>K8623174</v>
      </c>
      <c r="J665" s="9" t="str">
        <f t="array" ref="J665">IF(
  AND(
    IFERROR(MATCH(B665, data!D:D, 0), 0) &gt; 0,
    IFERROR(INDEX(data!N:N, MATCH(B665, data!D:D, 0)) = 1, FALSE)
  ),
  INDEX(data!C:C, MATCH(B665, data!D:D, 0)),
  "INC"
)</f>
        <v>2025-09-10T12:43:21.658+08</v>
      </c>
      <c r="K665" s="9" t="str">
        <f t="array" ref="K665">IFERROR(INDEX(dataICM!C:C,match(Caseslist!B665,dataICM!D:D,0)), "INC")</f>
        <v>INC</v>
      </c>
      <c r="L665" s="10" t="str">
        <f t="array" ref="L665">IF(AND(G665="COMPLETE", OR(K665="INC", ISBLANK(INDEX(data!O:O, ROW())))), J665, K665)</f>
        <v>2025-09-10T12:43:21.658+08</v>
      </c>
      <c r="M665" s="2">
        <v>45910.0</v>
      </c>
      <c r="N665" s="2">
        <f t="array" ref="N665">IF(M665&lt;&gt;"INC", INDEX(data!M:M, MATCH(B665, data!D:D, 0)), "")</f>
        <v>0</v>
      </c>
      <c r="O665" s="2">
        <f t="shared" si="3"/>
        <v>0</v>
      </c>
    </row>
    <row r="666">
      <c r="A666" s="2" t="str">
        <f t="shared" si="1"/>
        <v>H019096</v>
      </c>
      <c r="B666" s="1" t="s">
        <v>3552</v>
      </c>
      <c r="C666" s="9" t="str">
        <f t="array" ref="C666">IF(
  AND(
    IFERROR(MATCH(Caseslist!B666, data!D:D, 0), 0) &gt; 0,
    IFERROR(INDEX(data!N:N, MATCH(Caseslist!B666, data!D:D, 0)) = 1, FALSE)
  ),
  "COMPLETE",
  "INC"
)</f>
        <v>COMPLETE</v>
      </c>
      <c r="D666" s="9">
        <f t="array" ref="D666">IFERROR(INDEX(data!$G:$G,match(Caseslist!B666,data!$D:$D,0)), "INC")</f>
        <v>859767</v>
      </c>
      <c r="E666" s="9" t="str">
        <f t="array" ref="E666">IFERROR(INDEX(data!H:H,match(Caseslist!B666,data!D:D,0)), "INC")</f>
        <v>Ramie De Pedro Jr._2</v>
      </c>
      <c r="F666" s="10" t="str">
        <f t="array" ref="F666">IF(
    OR(
      IFNA(INDEX(data!M:M, MATCH(Caseslist!B666, data!D:D, 0)), "") = "",
      IFNA(INDEX(data!M:M, MATCH(Caseslist!B666, data!D:D, 0)), 0) = 0
    ),
    "COMPLETE",
    IF(
      IFNA(INDEX(dataICM!D:D, MATCH(Caseslist!B666, dataICM!D:D, 0)), "INC") = "INC",
      IFNA(INDEX(dataICM!D:D, MATCH(Caseslist!B666, dataICM!D:D, 0)), "INC"),
      "COMPLETE"
    )
  )</f>
        <v>COMPLETE</v>
      </c>
      <c r="G666" s="10" t="str">
        <f t="array" ref="G666">IF(IFERROR(INDEX(data!L:L,match(Caseslist!B666,data!D:D,0)),"INC")="","COMPLETE",F666)</f>
        <v>COMPLETE</v>
      </c>
      <c r="H666" s="9" t="str">
        <f t="array" ref="H666">IFERROR(INDEX(dataICM!F:F,match(Caseslist!B666,dataICM!D:D,0)), "INC")</f>
        <v>INC</v>
      </c>
      <c r="I666" s="10">
        <f t="shared" si="2"/>
        <v>859767</v>
      </c>
      <c r="J666" s="9" t="str">
        <f t="array" ref="J666">IF(
  AND(
    IFERROR(MATCH(B666, data!D:D, 0), 0) &gt; 0,
    IFERROR(INDEX(data!N:N, MATCH(B666, data!D:D, 0)) = 1, FALSE)
  ),
  INDEX(data!C:C, MATCH(B666, data!D:D, 0)),
  "INC"
)</f>
        <v>2025-09-04T12:38:25.958+08</v>
      </c>
      <c r="K666" s="9" t="str">
        <f t="array" ref="K666">IFERROR(INDEX(dataICM!C:C,match(Caseslist!B666,dataICM!D:D,0)), "INC")</f>
        <v>INC</v>
      </c>
      <c r="L666" s="10" t="str">
        <f t="array" ref="L666">IF(AND(G666="COMPLETE", OR(K666="INC", ISBLANK(INDEX(data!O:O, ROW())))), J666, K666)</f>
        <v>2025-09-04T12:38:25.958+08</v>
      </c>
      <c r="M666" s="2">
        <v>45904.0</v>
      </c>
      <c r="N666" s="2">
        <f t="array" ref="N666">IF(M666&lt;&gt;"INC", INDEX(data!M:M, MATCH(B666, data!D:D, 0)), "")</f>
        <v>0</v>
      </c>
      <c r="O666" s="2">
        <f t="shared" si="3"/>
        <v>0</v>
      </c>
    </row>
    <row r="667">
      <c r="A667" s="2" t="str">
        <f t="shared" si="1"/>
        <v>H019096</v>
      </c>
      <c r="B667" s="1" t="s">
        <v>3567</v>
      </c>
      <c r="C667" s="9" t="str">
        <f t="array" ref="C667">IF(
  AND(
    IFERROR(MATCH(Caseslist!B667, data!D:D, 0), 0) &gt; 0,
    IFERROR(INDEX(data!N:N, MATCH(Caseslist!B667, data!D:D, 0)) = 1, FALSE)
  ),
  "COMPLETE",
  "INC"
)</f>
        <v>COMPLETE</v>
      </c>
      <c r="D667" s="9" t="str">
        <f t="array" ref="D667">IFERROR(INDEX(data!$G:$G,match(Caseslist!B667,data!$D:$D,0)), "INC")</f>
        <v>S2671943</v>
      </c>
      <c r="E667" s="9" t="str">
        <f t="array" ref="E667">IFERROR(INDEX(data!H:H,match(Caseslist!B667,data!D:D,0)), "INC")</f>
        <v>Marvin Mondia</v>
      </c>
      <c r="F667" s="10" t="str">
        <f t="array" ref="F667">IF(
    OR(
      IFNA(INDEX(data!M:M, MATCH(Caseslist!B667, data!D:D, 0)), "") = "",
      IFNA(INDEX(data!M:M, MATCH(Caseslist!B667, data!D:D, 0)), 0) = 0
    ),
    "COMPLETE",
    IF(
      IFNA(INDEX(dataICM!D:D, MATCH(Caseslist!B667, dataICM!D:D, 0)), "INC") = "INC",
      IFNA(INDEX(dataICM!D:D, MATCH(Caseslist!B667, dataICM!D:D, 0)), "INC"),
      "COMPLETE"
    )
  )</f>
        <v>COMPLETE</v>
      </c>
      <c r="G667" s="10" t="str">
        <f t="array" ref="G667">IF(IFERROR(INDEX(data!L:L,match(Caseslist!B667,data!D:D,0)),"INC")="","COMPLETE",F667)</f>
        <v>COMPLETE</v>
      </c>
      <c r="H667" s="9" t="str">
        <f t="array" ref="H667">IFERROR(INDEX(dataICM!F:F,match(Caseslist!B667,dataICM!D:D,0)), "INC")</f>
        <v>INC</v>
      </c>
      <c r="I667" s="10" t="str">
        <f t="shared" si="2"/>
        <v>S2671943</v>
      </c>
      <c r="J667" s="9" t="str">
        <f t="array" ref="J667">IF(
  AND(
    IFERROR(MATCH(B667, data!D:D, 0), 0) &gt; 0,
    IFERROR(INDEX(data!N:N, MATCH(B667, data!D:D, 0)) = 1, FALSE)
  ),
  INDEX(data!C:C, MATCH(B667, data!D:D, 0)),
  "INC"
)</f>
        <v>2025-09-04T10:48:58.184+08</v>
      </c>
      <c r="K667" s="9" t="str">
        <f t="array" ref="K667">IFERROR(INDEX(dataICM!C:C,match(Caseslist!B667,dataICM!D:D,0)), "INC")</f>
        <v>INC</v>
      </c>
      <c r="L667" s="10" t="str">
        <f t="array" ref="L667">IF(AND(G667="COMPLETE", OR(K667="INC", ISBLANK(INDEX(data!O:O, ROW())))), J667, K667)</f>
        <v>2025-09-04T10:48:58.184+08</v>
      </c>
      <c r="M667" s="2">
        <v>45904.0</v>
      </c>
      <c r="N667" s="2">
        <f t="array" ref="N667">IF(M667&lt;&gt;"INC", INDEX(data!M:M, MATCH(B667, data!D:D, 0)), "")</f>
        <v>0</v>
      </c>
      <c r="O667" s="2">
        <f t="shared" si="3"/>
        <v>0</v>
      </c>
    </row>
    <row r="668">
      <c r="A668" s="2" t="str">
        <f t="shared" si="1"/>
        <v>H019096</v>
      </c>
      <c r="B668" s="1" t="s">
        <v>3542</v>
      </c>
      <c r="C668" s="9" t="str">
        <f t="array" ref="C668">IF(
  AND(
    IFERROR(MATCH(Caseslist!B668, data!D:D, 0), 0) &gt; 0,
    IFERROR(INDEX(data!N:N, MATCH(Caseslist!B668, data!D:D, 0)) = 1, FALSE)
  ),
  "COMPLETE",
  "INC"
)</f>
        <v>COMPLETE</v>
      </c>
      <c r="D668" s="9">
        <f t="array" ref="D668">IFERROR(INDEX(data!$G:$G,match(Caseslist!B668,data!$D:$D,0)), "INC")</f>
        <v>729375</v>
      </c>
      <c r="E668" s="9" t="str">
        <f t="array" ref="E668">IFERROR(INDEX(data!H:H,match(Caseslist!B668,data!D:D,0)), "INC")</f>
        <v>Janet Serafica_2</v>
      </c>
      <c r="F668" s="10" t="str">
        <f t="array" ref="F668">IF(
    OR(
      IFNA(INDEX(data!M:M, MATCH(Caseslist!B668, data!D:D, 0)), "") = "",
      IFNA(INDEX(data!M:M, MATCH(Caseslist!B668, data!D:D, 0)), 0) = 0
    ),
    "COMPLETE",
    IF(
      IFNA(INDEX(dataICM!D:D, MATCH(Caseslist!B668, dataICM!D:D, 0)), "INC") = "INC",
      IFNA(INDEX(dataICM!D:D, MATCH(Caseslist!B668, dataICM!D:D, 0)), "INC"),
      "COMPLETE"
    )
  )</f>
        <v>COMPLETE</v>
      </c>
      <c r="G668" s="10" t="str">
        <f t="array" ref="G668">IF(IFERROR(INDEX(data!L:L,match(Caseslist!B668,data!D:D,0)),"INC")="","COMPLETE",F668)</f>
        <v>COMPLETE</v>
      </c>
      <c r="H668" s="9" t="str">
        <f t="array" ref="H668">IFERROR(INDEX(dataICM!F:F,match(Caseslist!B668,dataICM!D:D,0)), "INC")</f>
        <v>INC</v>
      </c>
      <c r="I668" s="10">
        <f t="shared" si="2"/>
        <v>729375</v>
      </c>
      <c r="J668" s="9" t="str">
        <f t="array" ref="J668">IF(
  AND(
    IFERROR(MATCH(B668, data!D:D, 0), 0) &gt; 0,
    IFERROR(INDEX(data!N:N, MATCH(B668, data!D:D, 0)) = 1, FALSE)
  ),
  INDEX(data!C:C, MATCH(B668, data!D:D, 0)),
  "INC"
)</f>
        <v>2025-09-04T12:07:13.548+08</v>
      </c>
      <c r="K668" s="9" t="str">
        <f t="array" ref="K668">IFERROR(INDEX(dataICM!C:C,match(Caseslist!B668,dataICM!D:D,0)), "INC")</f>
        <v>INC</v>
      </c>
      <c r="L668" s="10" t="str">
        <f t="array" ref="L668">IF(AND(G668="COMPLETE", OR(K668="INC", ISBLANK(INDEX(data!O:O, ROW())))), J668, K668)</f>
        <v>2025-09-04T12:07:13.548+08</v>
      </c>
      <c r="M668" s="2">
        <v>45904.0</v>
      </c>
      <c r="N668" s="2">
        <f t="array" ref="N668">IF(M668&lt;&gt;"INC", INDEX(data!M:M, MATCH(B668, data!D:D, 0)), "")</f>
        <v>0</v>
      </c>
      <c r="O668" s="2">
        <f t="shared" si="3"/>
        <v>0</v>
      </c>
    </row>
    <row r="669">
      <c r="A669" s="2" t="str">
        <f t="shared" si="1"/>
        <v>H019096</v>
      </c>
      <c r="B669" s="1" t="s">
        <v>4147</v>
      </c>
      <c r="C669" s="9" t="str">
        <f t="array" ref="C669">IF(
  AND(
    IFERROR(MATCH(Caseslist!B669, data!D:D, 0), 0) &gt; 0,
    IFERROR(INDEX(data!N:N, MATCH(Caseslist!B669, data!D:D, 0)) = 1, FALSE)
  ),
  "COMPLETE",
  "INC"
)</f>
        <v>COMPLETE</v>
      </c>
      <c r="D669" s="9">
        <f t="array" ref="D669">IFERROR(INDEX(data!$G:$G,match(Caseslist!B669,data!$D:$D,0)), "INC")</f>
        <v>859767</v>
      </c>
      <c r="E669" s="9" t="str">
        <f t="array" ref="E669">IFERROR(INDEX(data!H:H,match(Caseslist!B669,data!D:D,0)), "INC")</f>
        <v>Ramie De Pedro Jr._2</v>
      </c>
      <c r="F669" s="10" t="str">
        <f t="array" ref="F669">IF(
    OR(
      IFNA(INDEX(data!M:M, MATCH(Caseslist!B669, data!D:D, 0)), "") = "",
      IFNA(INDEX(data!M:M, MATCH(Caseslist!B669, data!D:D, 0)), 0) = 0
    ),
    "COMPLETE",
    IF(
      IFNA(INDEX(dataICM!D:D, MATCH(Caseslist!B669, dataICM!D:D, 0)), "INC") = "INC",
      IFNA(INDEX(dataICM!D:D, MATCH(Caseslist!B669, dataICM!D:D, 0)), "INC"),
      "COMPLETE"
    )
  )</f>
        <v>COMPLETE</v>
      </c>
      <c r="G669" s="10" t="str">
        <f t="array" ref="G669">IF(IFERROR(INDEX(data!L:L,match(Caseslist!B669,data!D:D,0)),"INC")="","COMPLETE",F669)</f>
        <v>COMPLETE</v>
      </c>
      <c r="H669" s="9" t="str">
        <f t="array" ref="H669">IFERROR(INDEX(dataICM!F:F,match(Caseslist!B669,dataICM!D:D,0)), "INC")</f>
        <v>INC</v>
      </c>
      <c r="I669" s="10">
        <f t="shared" si="2"/>
        <v>859767</v>
      </c>
      <c r="J669" s="9" t="str">
        <f t="array" ref="J669">IF(
  AND(
    IFERROR(MATCH(B669, data!D:D, 0), 0) &gt; 0,
    IFERROR(INDEX(data!N:N, MATCH(B669, data!D:D, 0)) = 1, FALSE)
  ),
  INDEX(data!C:C, MATCH(B669, data!D:D, 0)),
  "INC"
)</f>
        <v>2025-09-06T10:20:38.462+08</v>
      </c>
      <c r="K669" s="9" t="str">
        <f t="array" ref="K669">IFERROR(INDEX(dataICM!C:C,match(Caseslist!B669,dataICM!D:D,0)), "INC")</f>
        <v>INC</v>
      </c>
      <c r="L669" s="10" t="str">
        <f t="array" ref="L669">IF(AND(G669="COMPLETE", OR(K669="INC", ISBLANK(INDEX(data!O:O, ROW())))), J669, K669)</f>
        <v>2025-09-06T10:20:38.462+08</v>
      </c>
      <c r="M669" s="2">
        <v>45906.0</v>
      </c>
      <c r="N669" s="2">
        <f t="array" ref="N669">IF(M669&lt;&gt;"INC", INDEX(data!M:M, MATCH(B669, data!D:D, 0)), "")</f>
        <v>0</v>
      </c>
      <c r="O669" s="2">
        <f t="shared" si="3"/>
        <v>0</v>
      </c>
    </row>
    <row r="670">
      <c r="A670" s="2" t="str">
        <f t="shared" si="1"/>
        <v>H019096</v>
      </c>
      <c r="B670" s="1" t="s">
        <v>3547</v>
      </c>
      <c r="C670" s="9" t="str">
        <f t="array" ref="C670">IF(
  AND(
    IFERROR(MATCH(Caseslist!B670, data!D:D, 0), 0) &gt; 0,
    IFERROR(INDEX(data!N:N, MATCH(Caseslist!B670, data!D:D, 0)) = 1, FALSE)
  ),
  "COMPLETE",
  "INC"
)</f>
        <v>COMPLETE</v>
      </c>
      <c r="D670" s="9">
        <f t="array" ref="D670">IFERROR(INDEX(data!$G:$G,match(Caseslist!B670,data!$D:$D,0)), "INC")</f>
        <v>729375</v>
      </c>
      <c r="E670" s="9" t="str">
        <f t="array" ref="E670">IFERROR(INDEX(data!H:H,match(Caseslist!B670,data!D:D,0)), "INC")</f>
        <v>Janet Serafica_2</v>
      </c>
      <c r="F670" s="10" t="str">
        <f t="array" ref="F670">IF(
    OR(
      IFNA(INDEX(data!M:M, MATCH(Caseslist!B670, data!D:D, 0)), "") = "",
      IFNA(INDEX(data!M:M, MATCH(Caseslist!B670, data!D:D, 0)), 0) = 0
    ),
    "COMPLETE",
    IF(
      IFNA(INDEX(dataICM!D:D, MATCH(Caseslist!B670, dataICM!D:D, 0)), "INC") = "INC",
      IFNA(INDEX(dataICM!D:D, MATCH(Caseslist!B670, dataICM!D:D, 0)), "INC"),
      "COMPLETE"
    )
  )</f>
        <v>COMPLETE</v>
      </c>
      <c r="G670" s="10" t="str">
        <f t="array" ref="G670">IF(IFERROR(INDEX(data!L:L,match(Caseslist!B670,data!D:D,0)),"INC")="","COMPLETE",F670)</f>
        <v>COMPLETE</v>
      </c>
      <c r="H670" s="9" t="str">
        <f t="array" ref="H670">IFERROR(INDEX(dataICM!F:F,match(Caseslist!B670,dataICM!D:D,0)), "INC")</f>
        <v>INC</v>
      </c>
      <c r="I670" s="10">
        <f t="shared" si="2"/>
        <v>729375</v>
      </c>
      <c r="J670" s="9" t="str">
        <f t="array" ref="J670">IF(
  AND(
    IFERROR(MATCH(B670, data!D:D, 0), 0) &gt; 0,
    IFERROR(INDEX(data!N:N, MATCH(B670, data!D:D, 0)) = 1, FALSE)
  ),
  INDEX(data!C:C, MATCH(B670, data!D:D, 0)),
  "INC"
)</f>
        <v>2025-09-04T11:27:41.728+08</v>
      </c>
      <c r="K670" s="9" t="str">
        <f t="array" ref="K670">IFERROR(INDEX(dataICM!C:C,match(Caseslist!B670,dataICM!D:D,0)), "INC")</f>
        <v>INC</v>
      </c>
      <c r="L670" s="10" t="str">
        <f t="array" ref="L670">IF(AND(G670="COMPLETE", OR(K670="INC", ISBLANK(INDEX(data!O:O, ROW())))), J670, K670)</f>
        <v>2025-09-04T11:27:41.728+08</v>
      </c>
      <c r="M670" s="2">
        <v>45904.0</v>
      </c>
      <c r="N670" s="2">
        <f t="array" ref="N670">IF(M670&lt;&gt;"INC", INDEX(data!M:M, MATCH(B670, data!D:D, 0)), "")</f>
        <v>0</v>
      </c>
      <c r="O670" s="2">
        <f t="shared" si="3"/>
        <v>0</v>
      </c>
    </row>
    <row r="671">
      <c r="A671" s="2" t="str">
        <f t="shared" si="1"/>
        <v>H019096</v>
      </c>
      <c r="B671" s="1" t="s">
        <v>4182</v>
      </c>
      <c r="C671" s="9" t="str">
        <f t="array" ref="C671">IF(
  AND(
    IFERROR(MATCH(Caseslist!B671, data!D:D, 0), 0) &gt; 0,
    IFERROR(INDEX(data!N:N, MATCH(Caseslist!B671, data!D:D, 0)) = 1, FALSE)
  ),
  "COMPLETE",
  "INC"
)</f>
        <v>COMPLETE</v>
      </c>
      <c r="D671" s="9">
        <f t="array" ref="D671">IFERROR(INDEX(data!$G:$G,match(Caseslist!B671,data!$D:$D,0)), "INC")</f>
        <v>729375</v>
      </c>
      <c r="E671" s="9" t="str">
        <f t="array" ref="E671">IFERROR(INDEX(data!H:H,match(Caseslist!B671,data!D:D,0)), "INC")</f>
        <v>Janet Serafica_2</v>
      </c>
      <c r="F671" s="10" t="str">
        <f t="array" ref="F671">IF(
    OR(
      IFNA(INDEX(data!M:M, MATCH(Caseslist!B671, data!D:D, 0)), "") = "",
      IFNA(INDEX(data!M:M, MATCH(Caseslist!B671, data!D:D, 0)), 0) = 0
    ),
    "COMPLETE",
    IF(
      IFNA(INDEX(dataICM!D:D, MATCH(Caseslist!B671, dataICM!D:D, 0)), "INC") = "INC",
      IFNA(INDEX(dataICM!D:D, MATCH(Caseslist!B671, dataICM!D:D, 0)), "INC"),
      "COMPLETE"
    )
  )</f>
        <v>COMPLETE</v>
      </c>
      <c r="G671" s="10" t="str">
        <f t="array" ref="G671">IF(IFERROR(INDEX(data!L:L,match(Caseslist!B671,data!D:D,0)),"INC")="","COMPLETE",F671)</f>
        <v>COMPLETE</v>
      </c>
      <c r="H671" s="9" t="str">
        <f t="array" ref="H671">IFERROR(INDEX(dataICM!F:F,match(Caseslist!B671,dataICM!D:D,0)), "INC")</f>
        <v>INC</v>
      </c>
      <c r="I671" s="10">
        <f t="shared" si="2"/>
        <v>729375</v>
      </c>
      <c r="J671" s="9" t="str">
        <f t="array" ref="J671">IF(
  AND(
    IFERROR(MATCH(B671, data!D:D, 0), 0) &gt; 0,
    IFERROR(INDEX(data!N:N, MATCH(B671, data!D:D, 0)) = 1, FALSE)
  ),
  INDEX(data!C:C, MATCH(B671, data!D:D, 0)),
  "INC"
)</f>
        <v>2025-09-06T10:46:56.385+08</v>
      </c>
      <c r="K671" s="9" t="str">
        <f t="array" ref="K671">IFERROR(INDEX(dataICM!C:C,match(Caseslist!B671,dataICM!D:D,0)), "INC")</f>
        <v>INC</v>
      </c>
      <c r="L671" s="10" t="str">
        <f t="array" ref="L671">IF(AND(G671="COMPLETE", OR(K671="INC", ISBLANK(INDEX(data!O:O, ROW())))), J671, K671)</f>
        <v>2025-09-06T10:46:56.385+08</v>
      </c>
      <c r="M671" s="2">
        <v>45906.0</v>
      </c>
      <c r="N671" s="2">
        <f t="array" ref="N671">IF(M671&lt;&gt;"INC", INDEX(data!M:M, MATCH(B671, data!D:D, 0)), "")</f>
        <v>0</v>
      </c>
      <c r="O671" s="2">
        <f t="shared" si="3"/>
        <v>0</v>
      </c>
    </row>
    <row r="672">
      <c r="A672" s="2" t="str">
        <f t="shared" si="1"/>
        <v>H019096</v>
      </c>
      <c r="B672" s="1" t="s">
        <v>3562</v>
      </c>
      <c r="C672" s="9" t="str">
        <f t="array" ref="C672">IF(
  AND(
    IFERROR(MATCH(Caseslist!B672, data!D:D, 0), 0) &gt; 0,
    IFERROR(INDEX(data!N:N, MATCH(Caseslist!B672, data!D:D, 0)) = 1, FALSE)
  ),
  "COMPLETE",
  "INC"
)</f>
        <v>COMPLETE</v>
      </c>
      <c r="D672" s="9">
        <f t="array" ref="D672">IFERROR(INDEX(data!$G:$G,match(Caseslist!B672,data!$D:$D,0)), "INC")</f>
        <v>859767</v>
      </c>
      <c r="E672" s="9" t="str">
        <f t="array" ref="E672">IFERROR(INDEX(data!H:H,match(Caseslist!B672,data!D:D,0)), "INC")</f>
        <v>Ramie De Pedro Jr._2</v>
      </c>
      <c r="F672" s="10" t="str">
        <f t="array" ref="F672">IF(
    OR(
      IFNA(INDEX(data!M:M, MATCH(Caseslist!B672, data!D:D, 0)), "") = "",
      IFNA(INDEX(data!M:M, MATCH(Caseslist!B672, data!D:D, 0)), 0) = 0
    ),
    "COMPLETE",
    IF(
      IFNA(INDEX(dataICM!D:D, MATCH(Caseslist!B672, dataICM!D:D, 0)), "INC") = "INC",
      IFNA(INDEX(dataICM!D:D, MATCH(Caseslist!B672, dataICM!D:D, 0)), "INC"),
      "COMPLETE"
    )
  )</f>
        <v>COMPLETE</v>
      </c>
      <c r="G672" s="10" t="str">
        <f t="array" ref="G672">IF(IFERROR(INDEX(data!L:L,match(Caseslist!B672,data!D:D,0)),"INC")="","COMPLETE",F672)</f>
        <v>COMPLETE</v>
      </c>
      <c r="H672" s="9" t="str">
        <f t="array" ref="H672">IFERROR(INDEX(dataICM!F:F,match(Caseslist!B672,dataICM!D:D,0)), "INC")</f>
        <v>INC</v>
      </c>
      <c r="I672" s="10">
        <f t="shared" si="2"/>
        <v>859767</v>
      </c>
      <c r="J672" s="9" t="str">
        <f t="array" ref="J672">IF(
  AND(
    IFERROR(MATCH(B672, data!D:D, 0), 0) &gt; 0,
    IFERROR(INDEX(data!N:N, MATCH(B672, data!D:D, 0)) = 1, FALSE)
  ),
  INDEX(data!C:C, MATCH(B672, data!D:D, 0)),
  "INC"
)</f>
        <v>2025-09-04T15:27:59.289+08</v>
      </c>
      <c r="K672" s="9" t="str">
        <f t="array" ref="K672">IFERROR(INDEX(dataICM!C:C,match(Caseslist!B672,dataICM!D:D,0)), "INC")</f>
        <v>INC</v>
      </c>
      <c r="L672" s="10" t="str">
        <f t="array" ref="L672">IF(AND(G672="COMPLETE", OR(K672="INC", ISBLANK(INDEX(data!O:O, ROW())))), J672, K672)</f>
        <v>2025-09-04T15:27:59.289+08</v>
      </c>
      <c r="M672" s="2">
        <v>45904.0</v>
      </c>
      <c r="N672" s="2">
        <f t="array" ref="N672">IF(M672&lt;&gt;"INC", INDEX(data!M:M, MATCH(B672, data!D:D, 0)), "")</f>
        <v>0</v>
      </c>
      <c r="O672" s="2">
        <f t="shared" si="3"/>
        <v>0</v>
      </c>
    </row>
    <row r="673">
      <c r="A673" s="2" t="str">
        <f t="shared" si="1"/>
        <v>H019096</v>
      </c>
      <c r="B673" s="1" t="s">
        <v>4137</v>
      </c>
      <c r="C673" s="9" t="str">
        <f t="array" ref="C673">IF(
  AND(
    IFERROR(MATCH(Caseslist!B673, data!D:D, 0), 0) &gt; 0,
    IFERROR(INDEX(data!N:N, MATCH(Caseslist!B673, data!D:D, 0)) = 1, FALSE)
  ),
  "COMPLETE",
  "INC"
)</f>
        <v>COMPLETE</v>
      </c>
      <c r="D673" s="9" t="str">
        <f t="array" ref="D673">IFERROR(INDEX(data!$G:$G,match(Caseslist!B673,data!$D:$D,0)), "INC")</f>
        <v>S2671943</v>
      </c>
      <c r="E673" s="9" t="str">
        <f t="array" ref="E673">IFERROR(INDEX(data!H:H,match(Caseslist!B673,data!D:D,0)), "INC")</f>
        <v>Marvin Mondia</v>
      </c>
      <c r="F673" s="10" t="str">
        <f t="array" ref="F673">IF(
    OR(
      IFNA(INDEX(data!M:M, MATCH(Caseslist!B673, data!D:D, 0)), "") = "",
      IFNA(INDEX(data!M:M, MATCH(Caseslist!B673, data!D:D, 0)), 0) = 0
    ),
    "COMPLETE",
    IF(
      IFNA(INDEX(dataICM!D:D, MATCH(Caseslist!B673, dataICM!D:D, 0)), "INC") = "INC",
      IFNA(INDEX(dataICM!D:D, MATCH(Caseslist!B673, dataICM!D:D, 0)), "INC"),
      "COMPLETE"
    )
  )</f>
        <v>COMPLETE</v>
      </c>
      <c r="G673" s="10" t="str">
        <f t="array" ref="G673">IF(IFERROR(INDEX(data!L:L,match(Caseslist!B673,data!D:D,0)),"INC")="","COMPLETE",F673)</f>
        <v>COMPLETE</v>
      </c>
      <c r="H673" s="9" t="str">
        <f t="array" ref="H673">IFERROR(INDEX(dataICM!F:F,match(Caseslist!B673,dataICM!D:D,0)), "INC")</f>
        <v>INC</v>
      </c>
      <c r="I673" s="10" t="str">
        <f t="shared" si="2"/>
        <v>S2671943</v>
      </c>
      <c r="J673" s="9" t="str">
        <f t="array" ref="J673">IF(
  AND(
    IFERROR(MATCH(B673, data!D:D, 0), 0) &gt; 0,
    IFERROR(INDEX(data!N:N, MATCH(B673, data!D:D, 0)) = 1, FALSE)
  ),
  INDEX(data!C:C, MATCH(B673, data!D:D, 0)),
  "INC"
)</f>
        <v>2025-09-06T11:08:43.479+08</v>
      </c>
      <c r="K673" s="9" t="str">
        <f t="array" ref="K673">IFERROR(INDEX(dataICM!C:C,match(Caseslist!B673,dataICM!D:D,0)), "INC")</f>
        <v>INC</v>
      </c>
      <c r="L673" s="10" t="str">
        <f t="array" ref="L673">IF(AND(G673="COMPLETE", OR(K673="INC", ISBLANK(INDEX(data!O:O, ROW())))), J673, K673)</f>
        <v>2025-09-06T11:08:43.479+08</v>
      </c>
      <c r="M673" s="2">
        <v>45906.0</v>
      </c>
      <c r="N673" s="2">
        <f t="array" ref="N673">IF(M673&lt;&gt;"INC", INDEX(data!M:M, MATCH(B673, data!D:D, 0)), "")</f>
        <v>0</v>
      </c>
      <c r="O673" s="2">
        <f t="shared" si="3"/>
        <v>0</v>
      </c>
    </row>
    <row r="674">
      <c r="A674" s="2" t="str">
        <f t="shared" si="1"/>
        <v>H019096</v>
      </c>
      <c r="B674" s="1" t="s">
        <v>4177</v>
      </c>
      <c r="C674" s="9" t="str">
        <f t="array" ref="C674">IF(
  AND(
    IFERROR(MATCH(Caseslist!B674, data!D:D, 0), 0) &gt; 0,
    IFERROR(INDEX(data!N:N, MATCH(Caseslist!B674, data!D:D, 0)) = 1, FALSE)
  ),
  "COMPLETE",
  "INC"
)</f>
        <v>COMPLETE</v>
      </c>
      <c r="D674" s="9">
        <f t="array" ref="D674">IFERROR(INDEX(data!$G:$G,match(Caseslist!B674,data!$D:$D,0)), "INC")</f>
        <v>729375</v>
      </c>
      <c r="E674" s="9" t="str">
        <f t="array" ref="E674">IFERROR(INDEX(data!H:H,match(Caseslist!B674,data!D:D,0)), "INC")</f>
        <v>Janet Serafica_2</v>
      </c>
      <c r="F674" s="10" t="str">
        <f t="array" ref="F674">IF(
    OR(
      IFNA(INDEX(data!M:M, MATCH(Caseslist!B674, data!D:D, 0)), "") = "",
      IFNA(INDEX(data!M:M, MATCH(Caseslist!B674, data!D:D, 0)), 0) = 0
    ),
    "COMPLETE",
    IF(
      IFNA(INDEX(dataICM!D:D, MATCH(Caseslist!B674, dataICM!D:D, 0)), "INC") = "INC",
      IFNA(INDEX(dataICM!D:D, MATCH(Caseslist!B674, dataICM!D:D, 0)), "INC"),
      "COMPLETE"
    )
  )</f>
        <v>COMPLETE</v>
      </c>
      <c r="G674" s="10" t="str">
        <f t="array" ref="G674">IF(IFERROR(INDEX(data!L:L,match(Caseslist!B674,data!D:D,0)),"INC")="","COMPLETE",F674)</f>
        <v>COMPLETE</v>
      </c>
      <c r="H674" s="9" t="str">
        <f t="array" ref="H674">IFERROR(INDEX(dataICM!F:F,match(Caseslist!B674,dataICM!D:D,0)), "INC")</f>
        <v>INC</v>
      </c>
      <c r="I674" s="10">
        <f t="shared" si="2"/>
        <v>729375</v>
      </c>
      <c r="J674" s="9" t="str">
        <f t="array" ref="J674">IF(
  AND(
    IFERROR(MATCH(B674, data!D:D, 0), 0) &gt; 0,
    IFERROR(INDEX(data!N:N, MATCH(B674, data!D:D, 0)) = 1, FALSE)
  ),
  INDEX(data!C:C, MATCH(B674, data!D:D, 0)),
  "INC"
)</f>
        <v>2025-09-06T09:46:39.293+08</v>
      </c>
      <c r="K674" s="9" t="str">
        <f t="array" ref="K674">IFERROR(INDEX(dataICM!C:C,match(Caseslist!B674,dataICM!D:D,0)), "INC")</f>
        <v>INC</v>
      </c>
      <c r="L674" s="10" t="str">
        <f t="array" ref="L674">IF(AND(G674="COMPLETE", OR(K674="INC", ISBLANK(INDEX(data!O:O, ROW())))), J674, K674)</f>
        <v>2025-09-06T09:46:39.293+08</v>
      </c>
      <c r="M674" s="2">
        <v>45906.0</v>
      </c>
      <c r="N674" s="2">
        <f t="array" ref="N674">IF(M674&lt;&gt;"INC", INDEX(data!M:M, MATCH(B674, data!D:D, 0)), "")</f>
        <v>0</v>
      </c>
      <c r="O674" s="2">
        <f t="shared" si="3"/>
        <v>0</v>
      </c>
    </row>
    <row r="675">
      <c r="A675" s="2" t="str">
        <f t="shared" si="1"/>
        <v>H019096</v>
      </c>
      <c r="B675" s="1" t="s">
        <v>4132</v>
      </c>
      <c r="C675" s="9" t="str">
        <f t="array" ref="C675">IF(
  AND(
    IFERROR(MATCH(Caseslist!B675, data!D:D, 0), 0) &gt; 0,
    IFERROR(INDEX(data!N:N, MATCH(Caseslist!B675, data!D:D, 0)) = 1, FALSE)
  ),
  "COMPLETE",
  "INC"
)</f>
        <v>COMPLETE</v>
      </c>
      <c r="D675" s="9" t="str">
        <f t="array" ref="D675">IFERROR(INDEX(data!$G:$G,match(Caseslist!B675,data!$D:$D,0)), "INC")</f>
        <v>S2671943</v>
      </c>
      <c r="E675" s="9" t="str">
        <f t="array" ref="E675">IFERROR(INDEX(data!H:H,match(Caseslist!B675,data!D:D,0)), "INC")</f>
        <v>Marvin Mondia</v>
      </c>
      <c r="F675" s="10" t="str">
        <f t="array" ref="F675">IF(
    OR(
      IFNA(INDEX(data!M:M, MATCH(Caseslist!B675, data!D:D, 0)), "") = "",
      IFNA(INDEX(data!M:M, MATCH(Caseslist!B675, data!D:D, 0)), 0) = 0
    ),
    "COMPLETE",
    IF(
      IFNA(INDEX(dataICM!D:D, MATCH(Caseslist!B675, dataICM!D:D, 0)), "INC") = "INC",
      IFNA(INDEX(dataICM!D:D, MATCH(Caseslist!B675, dataICM!D:D, 0)), "INC"),
      "COMPLETE"
    )
  )</f>
        <v>COMPLETE</v>
      </c>
      <c r="G675" s="10" t="str">
        <f t="array" ref="G675">IF(IFERROR(INDEX(data!L:L,match(Caseslist!B675,data!D:D,0)),"INC")="","COMPLETE",F675)</f>
        <v>COMPLETE</v>
      </c>
      <c r="H675" s="9" t="str">
        <f t="array" ref="H675">IFERROR(INDEX(dataICM!F:F,match(Caseslist!B675,dataICM!D:D,0)), "INC")</f>
        <v>INC</v>
      </c>
      <c r="I675" s="10" t="str">
        <f t="shared" si="2"/>
        <v>S2671943</v>
      </c>
      <c r="J675" s="9" t="str">
        <f t="array" ref="J675">IF(
  AND(
    IFERROR(MATCH(B675, data!D:D, 0), 0) &gt; 0,
    IFERROR(INDEX(data!N:N, MATCH(B675, data!D:D, 0)) = 1, FALSE)
  ),
  INDEX(data!C:C, MATCH(B675, data!D:D, 0)),
  "INC"
)</f>
        <v>2025-09-06T10:15:04.124+08</v>
      </c>
      <c r="K675" s="9" t="str">
        <f t="array" ref="K675">IFERROR(INDEX(dataICM!C:C,match(Caseslist!B675,dataICM!D:D,0)), "INC")</f>
        <v>INC</v>
      </c>
      <c r="L675" s="10" t="str">
        <f t="array" ref="L675">IF(AND(G675="COMPLETE", OR(K675="INC", ISBLANK(INDEX(data!O:O, ROW())))), J675, K675)</f>
        <v>2025-09-06T10:15:04.124+08</v>
      </c>
      <c r="M675" s="2">
        <v>45906.0</v>
      </c>
      <c r="N675" s="2">
        <f t="array" ref="N675">IF(M675&lt;&gt;"INC", INDEX(data!M:M, MATCH(B675, data!D:D, 0)), "")</f>
        <v>0</v>
      </c>
      <c r="O675" s="2">
        <f t="shared" si="3"/>
        <v>0</v>
      </c>
    </row>
    <row r="676">
      <c r="A676" s="2" t="str">
        <f t="shared" si="1"/>
        <v>H019096</v>
      </c>
      <c r="B676" s="1" t="s">
        <v>3572</v>
      </c>
      <c r="C676" s="9" t="str">
        <f t="array" ref="C676">IF(
  AND(
    IFERROR(MATCH(Caseslist!B676, data!D:D, 0), 0) &gt; 0,
    IFERROR(INDEX(data!N:N, MATCH(Caseslist!B676, data!D:D, 0)) = 1, FALSE)
  ),
  "COMPLETE",
  "INC"
)</f>
        <v>COMPLETE</v>
      </c>
      <c r="D676" s="9" t="str">
        <f t="array" ref="D676">IFERROR(INDEX(data!$G:$G,match(Caseslist!B676,data!$D:$D,0)), "INC")</f>
        <v>S2671943</v>
      </c>
      <c r="E676" s="9" t="str">
        <f t="array" ref="E676">IFERROR(INDEX(data!H:H,match(Caseslist!B676,data!D:D,0)), "INC")</f>
        <v>Marvin Mondia</v>
      </c>
      <c r="F676" s="10" t="str">
        <f t="array" ref="F676">IF(
    OR(
      IFNA(INDEX(data!M:M, MATCH(Caseslist!B676, data!D:D, 0)), "") = "",
      IFNA(INDEX(data!M:M, MATCH(Caseslist!B676, data!D:D, 0)), 0) = 0
    ),
    "COMPLETE",
    IF(
      IFNA(INDEX(dataICM!D:D, MATCH(Caseslist!B676, dataICM!D:D, 0)), "INC") = "INC",
      IFNA(INDEX(dataICM!D:D, MATCH(Caseslist!B676, dataICM!D:D, 0)), "INC"),
      "COMPLETE"
    )
  )</f>
        <v>COMPLETE</v>
      </c>
      <c r="G676" s="10" t="str">
        <f t="array" ref="G676">IF(IFERROR(INDEX(data!L:L,match(Caseslist!B676,data!D:D,0)),"INC")="","COMPLETE",F676)</f>
        <v>COMPLETE</v>
      </c>
      <c r="H676" s="9" t="str">
        <f t="array" ref="H676">IFERROR(INDEX(dataICM!F:F,match(Caseslist!B676,dataICM!D:D,0)), "INC")</f>
        <v>INC</v>
      </c>
      <c r="I676" s="10" t="str">
        <f t="shared" si="2"/>
        <v>S2671943</v>
      </c>
      <c r="J676" s="9" t="str">
        <f t="array" ref="J676">IF(
  AND(
    IFERROR(MATCH(B676, data!D:D, 0), 0) &gt; 0,
    IFERROR(INDEX(data!N:N, MATCH(B676, data!D:D, 0)) = 1, FALSE)
  ),
  INDEX(data!C:C, MATCH(B676, data!D:D, 0)),
  "INC"
)</f>
        <v>2025-09-04T12:41:01.936+08</v>
      </c>
      <c r="K676" s="9" t="str">
        <f t="array" ref="K676">IFERROR(INDEX(dataICM!C:C,match(Caseslist!B676,dataICM!D:D,0)), "INC")</f>
        <v>INC</v>
      </c>
      <c r="L676" s="10" t="str">
        <f t="array" ref="L676">IF(AND(G676="COMPLETE", OR(K676="INC", ISBLANK(INDEX(data!O:O, ROW())))), J676, K676)</f>
        <v>2025-09-04T12:41:01.936+08</v>
      </c>
      <c r="M676" s="2">
        <v>45904.0</v>
      </c>
      <c r="N676" s="2">
        <f t="array" ref="N676">IF(M676&lt;&gt;"INC", INDEX(data!M:M, MATCH(B676, data!D:D, 0)), "")</f>
        <v>0</v>
      </c>
      <c r="O676" s="2">
        <f t="shared" si="3"/>
        <v>0</v>
      </c>
    </row>
    <row r="677">
      <c r="A677" s="2" t="str">
        <f t="shared" si="1"/>
        <v>H019096</v>
      </c>
      <c r="B677" s="1" t="s">
        <v>3577</v>
      </c>
      <c r="C677" s="9" t="str">
        <f t="array" ref="C677">IF(
  AND(
    IFERROR(MATCH(Caseslist!B677, data!D:D, 0), 0) &gt; 0,
    IFERROR(INDEX(data!N:N, MATCH(Caseslist!B677, data!D:D, 0)) = 1, FALSE)
  ),
  "COMPLETE",
  "INC"
)</f>
        <v>COMPLETE</v>
      </c>
      <c r="D677" s="9" t="str">
        <f t="array" ref="D677">IFERROR(INDEX(data!$G:$G,match(Caseslist!B677,data!$D:$D,0)), "INC")</f>
        <v>S2671943</v>
      </c>
      <c r="E677" s="9" t="str">
        <f t="array" ref="E677">IFERROR(INDEX(data!H:H,match(Caseslist!B677,data!D:D,0)), "INC")</f>
        <v>Marvin Mondia</v>
      </c>
      <c r="F677" s="10" t="str">
        <f t="array" ref="F677">IF(
    OR(
      IFNA(INDEX(data!M:M, MATCH(Caseslist!B677, data!D:D, 0)), "") = "",
      IFNA(INDEX(data!M:M, MATCH(Caseslist!B677, data!D:D, 0)), 0) = 0
    ),
    "COMPLETE",
    IF(
      IFNA(INDEX(dataICM!D:D, MATCH(Caseslist!B677, dataICM!D:D, 0)), "INC") = "INC",
      IFNA(INDEX(dataICM!D:D, MATCH(Caseslist!B677, dataICM!D:D, 0)), "INC"),
      "COMPLETE"
    )
  )</f>
        <v>COMPLETE</v>
      </c>
      <c r="G677" s="10" t="str">
        <f t="array" ref="G677">IF(IFERROR(INDEX(data!L:L,match(Caseslist!B677,data!D:D,0)),"INC")="","COMPLETE",F677)</f>
        <v>COMPLETE</v>
      </c>
      <c r="H677" s="9" t="str">
        <f t="array" ref="H677">IFERROR(INDEX(dataICM!F:F,match(Caseslist!B677,dataICM!D:D,0)), "INC")</f>
        <v>INC</v>
      </c>
      <c r="I677" s="10" t="str">
        <f t="shared" si="2"/>
        <v>S2671943</v>
      </c>
      <c r="J677" s="9" t="str">
        <f t="array" ref="J677">IF(
  AND(
    IFERROR(MATCH(B677, data!D:D, 0), 0) &gt; 0,
    IFERROR(INDEX(data!N:N, MATCH(B677, data!D:D, 0)) = 1, FALSE)
  ),
  INDEX(data!C:C, MATCH(B677, data!D:D, 0)),
  "INC"
)</f>
        <v>2025-09-04T15:04:49.337+08</v>
      </c>
      <c r="K677" s="9" t="str">
        <f t="array" ref="K677">IFERROR(INDEX(dataICM!C:C,match(Caseslist!B677,dataICM!D:D,0)), "INC")</f>
        <v>INC</v>
      </c>
      <c r="L677" s="10" t="str">
        <f t="array" ref="L677">IF(AND(G677="COMPLETE", OR(K677="INC", ISBLANK(INDEX(data!O:O, ROW())))), J677, K677)</f>
        <v>2025-09-04T15:04:49.337+08</v>
      </c>
      <c r="M677" s="2">
        <v>45904.0</v>
      </c>
      <c r="N677" s="2">
        <f t="array" ref="N677">IF(M677&lt;&gt;"INC", INDEX(data!M:M, MATCH(B677, data!D:D, 0)), "")</f>
        <v>0</v>
      </c>
      <c r="O677" s="2">
        <f t="shared" si="3"/>
        <v>0</v>
      </c>
    </row>
    <row r="678">
      <c r="A678" s="2" t="str">
        <f t="shared" si="1"/>
        <v>H019096</v>
      </c>
      <c r="B678" s="1" t="s">
        <v>3582</v>
      </c>
      <c r="C678" s="9" t="str">
        <f t="array" ref="C678">IF(
  AND(
    IFERROR(MATCH(Caseslist!B678, data!D:D, 0), 0) &gt; 0,
    IFERROR(INDEX(data!N:N, MATCH(Caseslist!B678, data!D:D, 0)) = 1, FALSE)
  ),
  "COMPLETE",
  "INC"
)</f>
        <v>COMPLETE</v>
      </c>
      <c r="D678" s="9" t="str">
        <f t="array" ref="D678">IFERROR(INDEX(data!$G:$G,match(Caseslist!B678,data!$D:$D,0)), "INC")</f>
        <v>S2671943</v>
      </c>
      <c r="E678" s="9" t="str">
        <f t="array" ref="E678">IFERROR(INDEX(data!H:H,match(Caseslist!B678,data!D:D,0)), "INC")</f>
        <v>Marvin Mondia</v>
      </c>
      <c r="F678" s="10" t="str">
        <f t="array" ref="F678">IF(
    OR(
      IFNA(INDEX(data!M:M, MATCH(Caseslist!B678, data!D:D, 0)), "") = "",
      IFNA(INDEX(data!M:M, MATCH(Caseslist!B678, data!D:D, 0)), 0) = 0
    ),
    "COMPLETE",
    IF(
      IFNA(INDEX(dataICM!D:D, MATCH(Caseslist!B678, dataICM!D:D, 0)), "INC") = "INC",
      IFNA(INDEX(dataICM!D:D, MATCH(Caseslist!B678, dataICM!D:D, 0)), "INC"),
      "COMPLETE"
    )
  )</f>
        <v>COMPLETE</v>
      </c>
      <c r="G678" s="10" t="str">
        <f t="array" ref="G678">IF(IFERROR(INDEX(data!L:L,match(Caseslist!B678,data!D:D,0)),"INC")="","COMPLETE",F678)</f>
        <v>COMPLETE</v>
      </c>
      <c r="H678" s="9" t="str">
        <f t="array" ref="H678">IFERROR(INDEX(dataICM!F:F,match(Caseslist!B678,dataICM!D:D,0)), "INC")</f>
        <v>INC</v>
      </c>
      <c r="I678" s="10" t="str">
        <f t="shared" si="2"/>
        <v>S2671943</v>
      </c>
      <c r="J678" s="9" t="str">
        <f t="array" ref="J678">IF(
  AND(
    IFERROR(MATCH(B678, data!D:D, 0), 0) &gt; 0,
    IFERROR(INDEX(data!N:N, MATCH(B678, data!D:D, 0)) = 1, FALSE)
  ),
  INDEX(data!C:C, MATCH(B678, data!D:D, 0)),
  "INC"
)</f>
        <v>2025-09-04T16:43:51.918+08</v>
      </c>
      <c r="K678" s="9" t="str">
        <f t="array" ref="K678">IFERROR(INDEX(dataICM!C:C,match(Caseslist!B678,dataICM!D:D,0)), "INC")</f>
        <v>INC</v>
      </c>
      <c r="L678" s="10" t="str">
        <f t="array" ref="L678">IF(AND(G678="COMPLETE", OR(K678="INC", ISBLANK(INDEX(data!O:O, ROW())))), J678, K678)</f>
        <v>2025-09-04T16:43:51.918+08</v>
      </c>
      <c r="M678" s="2">
        <v>45904.0</v>
      </c>
      <c r="N678" s="2">
        <f t="array" ref="N678">IF(M678&lt;&gt;"INC", INDEX(data!M:M, MATCH(B678, data!D:D, 0)), "")</f>
        <v>0</v>
      </c>
      <c r="O678" s="2">
        <f t="shared" si="3"/>
        <v>0</v>
      </c>
    </row>
    <row r="679">
      <c r="A679" s="2" t="str">
        <f t="shared" si="1"/>
        <v>H019096</v>
      </c>
      <c r="B679" s="1" t="s">
        <v>3537</v>
      </c>
      <c r="C679" s="9" t="str">
        <f t="array" ref="C679">IF(
  AND(
    IFERROR(MATCH(Caseslist!B679, data!D:D, 0), 0) &gt; 0,
    IFERROR(INDEX(data!N:N, MATCH(Caseslist!B679, data!D:D, 0)) = 1, FALSE)
  ),
  "COMPLETE",
  "INC"
)</f>
        <v>COMPLETE</v>
      </c>
      <c r="D679" s="9">
        <f t="array" ref="D679">IFERROR(INDEX(data!$G:$G,match(Caseslist!B679,data!$D:$D,0)), "INC")</f>
        <v>729375</v>
      </c>
      <c r="E679" s="9" t="str">
        <f t="array" ref="E679">IFERROR(INDEX(data!H:H,match(Caseslist!B679,data!D:D,0)), "INC")</f>
        <v>Janet Serafica_2</v>
      </c>
      <c r="F679" s="10" t="str">
        <f t="array" ref="F679">IF(
    OR(
      IFNA(INDEX(data!M:M, MATCH(Caseslist!B679, data!D:D, 0)), "") = "",
      IFNA(INDEX(data!M:M, MATCH(Caseslist!B679, data!D:D, 0)), 0) = 0
    ),
    "COMPLETE",
    IF(
      IFNA(INDEX(dataICM!D:D, MATCH(Caseslist!B679, dataICM!D:D, 0)), "INC") = "INC",
      IFNA(INDEX(dataICM!D:D, MATCH(Caseslist!B679, dataICM!D:D, 0)), "INC"),
      "COMPLETE"
    )
  )</f>
        <v>COMPLETE</v>
      </c>
      <c r="G679" s="10" t="str">
        <f t="array" ref="G679">IF(IFERROR(INDEX(data!L:L,match(Caseslist!B679,data!D:D,0)),"INC")="","COMPLETE",F679)</f>
        <v>COMPLETE</v>
      </c>
      <c r="H679" s="9" t="str">
        <f t="array" ref="H679">IFERROR(INDEX(dataICM!F:F,match(Caseslist!B679,dataICM!D:D,0)), "INC")</f>
        <v>INC</v>
      </c>
      <c r="I679" s="10">
        <f t="shared" si="2"/>
        <v>729375</v>
      </c>
      <c r="J679" s="9" t="str">
        <f t="array" ref="J679">IF(
  AND(
    IFERROR(MATCH(B679, data!D:D, 0), 0) &gt; 0,
    IFERROR(INDEX(data!N:N, MATCH(B679, data!D:D, 0)) = 1, FALSE)
  ),
  INDEX(data!C:C, MATCH(B679, data!D:D, 0)),
  "INC"
)</f>
        <v>2025-09-04T10:21:18.535+08</v>
      </c>
      <c r="K679" s="9" t="str">
        <f t="array" ref="K679">IFERROR(INDEX(dataICM!C:C,match(Caseslist!B679,dataICM!D:D,0)), "INC")</f>
        <v>INC</v>
      </c>
      <c r="L679" s="10" t="str">
        <f t="array" ref="L679">IF(AND(G679="COMPLETE", OR(K679="INC", ISBLANK(INDEX(data!O:O, ROW())))), J679, K679)</f>
        <v>2025-09-04T10:21:18.535+08</v>
      </c>
      <c r="M679" s="2">
        <v>45904.0</v>
      </c>
      <c r="N679" s="2">
        <f t="array" ref="N679">IF(M679&lt;&gt;"INC", INDEX(data!M:M, MATCH(B679, data!D:D, 0)), "")</f>
        <v>0</v>
      </c>
      <c r="O679" s="2">
        <f t="shared" si="3"/>
        <v>0</v>
      </c>
    </row>
    <row r="680">
      <c r="A680" s="2" t="str">
        <f t="shared" si="1"/>
        <v>H019096</v>
      </c>
      <c r="B680" s="1" t="s">
        <v>3557</v>
      </c>
      <c r="C680" s="9" t="str">
        <f t="array" ref="C680">IF(
  AND(
    IFERROR(MATCH(Caseslist!B680, data!D:D, 0), 0) &gt; 0,
    IFERROR(INDEX(data!N:N, MATCH(Caseslist!B680, data!D:D, 0)) = 1, FALSE)
  ),
  "COMPLETE",
  "INC"
)</f>
        <v>COMPLETE</v>
      </c>
      <c r="D680" s="9">
        <f t="array" ref="D680">IFERROR(INDEX(data!$G:$G,match(Caseslist!B680,data!$D:$D,0)), "INC")</f>
        <v>859767</v>
      </c>
      <c r="E680" s="9" t="str">
        <f t="array" ref="E680">IFERROR(INDEX(data!H:H,match(Caseslist!B680,data!D:D,0)), "INC")</f>
        <v>Ramie De Pedro Jr._2</v>
      </c>
      <c r="F680" s="10" t="str">
        <f t="array" ref="F680">IF(
    OR(
      IFNA(INDEX(data!M:M, MATCH(Caseslist!B680, data!D:D, 0)), "") = "",
      IFNA(INDEX(data!M:M, MATCH(Caseslist!B680, data!D:D, 0)), 0) = 0
    ),
    "COMPLETE",
    IF(
      IFNA(INDEX(dataICM!D:D, MATCH(Caseslist!B680, dataICM!D:D, 0)), "INC") = "INC",
      IFNA(INDEX(dataICM!D:D, MATCH(Caseslist!B680, dataICM!D:D, 0)), "INC"),
      "COMPLETE"
    )
  )</f>
        <v>COMPLETE</v>
      </c>
      <c r="G680" s="10" t="str">
        <f t="array" ref="G680">IF(IFERROR(INDEX(data!L:L,match(Caseslist!B680,data!D:D,0)),"INC")="","COMPLETE",F680)</f>
        <v>COMPLETE</v>
      </c>
      <c r="H680" s="9" t="str">
        <f t="array" ref="H680">IFERROR(INDEX(dataICM!F:F,match(Caseslist!B680,dataICM!D:D,0)), "INC")</f>
        <v>INC</v>
      </c>
      <c r="I680" s="10">
        <f t="shared" si="2"/>
        <v>859767</v>
      </c>
      <c r="J680" s="9" t="str">
        <f t="array" ref="J680">IF(
  AND(
    IFERROR(MATCH(B680, data!D:D, 0), 0) &gt; 0,
    IFERROR(INDEX(data!N:N, MATCH(B680, data!D:D, 0)) = 1, FALSE)
  ),
  INDEX(data!C:C, MATCH(B680, data!D:D, 0)),
  "INC"
)</f>
        <v>2025-09-04T15:05:39.335+08</v>
      </c>
      <c r="K680" s="9" t="str">
        <f t="array" ref="K680">IFERROR(INDEX(dataICM!C:C,match(Caseslist!B680,dataICM!D:D,0)), "INC")</f>
        <v>INC</v>
      </c>
      <c r="L680" s="10" t="str">
        <f t="array" ref="L680">IF(AND(G680="COMPLETE", OR(K680="INC", ISBLANK(INDEX(data!O:O, ROW())))), J680, K680)</f>
        <v>2025-09-04T15:05:39.335+08</v>
      </c>
      <c r="M680" s="2">
        <v>45904.0</v>
      </c>
      <c r="N680" s="2">
        <f t="array" ref="N680">IF(M680&lt;&gt;"INC", INDEX(data!M:M, MATCH(B680, data!D:D, 0)), "")</f>
        <v>0</v>
      </c>
      <c r="O680" s="2">
        <f t="shared" si="3"/>
        <v>0</v>
      </c>
    </row>
    <row r="681">
      <c r="A681" s="2" t="str">
        <f t="shared" si="1"/>
        <v>H019196</v>
      </c>
      <c r="B681" s="1" t="s">
        <v>8653</v>
      </c>
      <c r="C681" s="9" t="str">
        <f t="array" ref="C681">IF(
  AND(
    IFERROR(MATCH(Caseslist!B681, data!D:D, 0), 0) &gt; 0,
    IFERROR(INDEX(data!N:N, MATCH(Caseslist!B681, data!D:D, 0)) = 1, FALSE)
  ),
  "COMPLETE",
  "INC"
)</f>
        <v>COMPLETE</v>
      </c>
      <c r="D681" s="9" t="str">
        <f t="array" ref="D681">IFERROR(INDEX(data!$G:$G,match(Caseslist!B681,data!$D:$D,0)), "INC")</f>
        <v>S2671943</v>
      </c>
      <c r="E681" s="9" t="str">
        <f t="array" ref="E681">IFERROR(INDEX(data!H:H,match(Caseslist!B681,data!D:D,0)), "INC")</f>
        <v>Marvin Mondia</v>
      </c>
      <c r="F681" s="10" t="str">
        <f t="array" ref="F681">IF(
    OR(
      IFNA(INDEX(data!M:M, MATCH(Caseslist!B681, data!D:D, 0)), "") = "",
      IFNA(INDEX(data!M:M, MATCH(Caseslist!B681, data!D:D, 0)), 0) = 0
    ),
    "COMPLETE",
    IF(
      IFNA(INDEX(dataICM!D:D, MATCH(Caseslist!B681, dataICM!D:D, 0)), "INC") = "INC",
      IFNA(INDEX(dataICM!D:D, MATCH(Caseslist!B681, dataICM!D:D, 0)), "INC"),
      "COMPLETE"
    )
  )</f>
        <v>COMPLETE</v>
      </c>
      <c r="G681" s="10" t="str">
        <f t="array" ref="G681">IF(IFERROR(INDEX(data!L:L,match(Caseslist!B681,data!D:D,0)),"INC")="","COMPLETE",F681)</f>
        <v>COMPLETE</v>
      </c>
      <c r="H681" s="9" t="str">
        <f t="array" ref="H681">IFERROR(INDEX(dataICM!F:F,match(Caseslist!B681,dataICM!D:D,0)), "INC")</f>
        <v>INC</v>
      </c>
      <c r="I681" s="10" t="str">
        <f t="shared" si="2"/>
        <v>S2671943</v>
      </c>
      <c r="J681" s="9" t="str">
        <f t="array" ref="J681">IF(
  AND(
    IFERROR(MATCH(B681, data!D:D, 0), 0) &gt; 0,
    IFERROR(INDEX(data!N:N, MATCH(B681, data!D:D, 0)) = 1, FALSE)
  ),
  INDEX(data!C:C, MATCH(B681, data!D:D, 0)),
  "INC"
)</f>
        <v>2025-09-27T12:11:40.890+08</v>
      </c>
      <c r="K681" s="9" t="str">
        <f t="array" ref="K681">IFERROR(INDEX(dataICM!C:C,match(Caseslist!B681,dataICM!D:D,0)), "INC")</f>
        <v>INC</v>
      </c>
      <c r="L681" s="10" t="str">
        <f t="array" ref="L681">IF(AND(G681="COMPLETE", OR(K681="INC", ISBLANK(INDEX(data!O:O, ROW())))), J681, K681)</f>
        <v>2025-09-27T12:11:40.890+08</v>
      </c>
      <c r="M681" s="2">
        <v>45927.0</v>
      </c>
      <c r="N681" s="2">
        <f t="array" ref="N681">IF(M681&lt;&gt;"INC", INDEX(data!M:M, MATCH(B681, data!D:D, 0)), "")</f>
        <v>0</v>
      </c>
      <c r="O681" s="2">
        <f t="shared" si="3"/>
        <v>0</v>
      </c>
    </row>
    <row r="682">
      <c r="A682" s="2" t="str">
        <f t="shared" si="1"/>
        <v>H019196</v>
      </c>
      <c r="B682" s="1" t="s">
        <v>2083</v>
      </c>
      <c r="C682" s="9" t="str">
        <f t="array" ref="C682">IF(
  AND(
    IFERROR(MATCH(Caseslist!B682, data!D:D, 0), 0) &gt; 0,
    IFERROR(INDEX(data!N:N, MATCH(Caseslist!B682, data!D:D, 0)) = 1, FALSE)
  ),
  "COMPLETE",
  "INC"
)</f>
        <v>COMPLETE</v>
      </c>
      <c r="D682" s="9" t="str">
        <f t="array" ref="D682">IFERROR(INDEX(data!$G:$G,match(Caseslist!B682,data!$D:$D,0)), "INC")</f>
        <v>S2671943</v>
      </c>
      <c r="E682" s="9" t="str">
        <f t="array" ref="E682">IFERROR(INDEX(data!H:H,match(Caseslist!B682,data!D:D,0)), "INC")</f>
        <v>Marvin Mondia</v>
      </c>
      <c r="F682" s="10" t="str">
        <f t="array" ref="F682">IF(
    OR(
      IFNA(INDEX(data!M:M, MATCH(Caseslist!B682, data!D:D, 0)), "") = "",
      IFNA(INDEX(data!M:M, MATCH(Caseslist!B682, data!D:D, 0)), 0) = 0
    ),
    "COMPLETE",
    IF(
      IFNA(INDEX(dataICM!D:D, MATCH(Caseslist!B682, dataICM!D:D, 0)), "INC") = "INC",
      IFNA(INDEX(dataICM!D:D, MATCH(Caseslist!B682, dataICM!D:D, 0)), "INC"),
      "COMPLETE"
    )
  )</f>
        <v>COMPLETE</v>
      </c>
      <c r="G682" s="10" t="str">
        <f t="array" ref="G682">IF(IFERROR(INDEX(data!L:L,match(Caseslist!B682,data!D:D,0)),"INC")="","COMPLETE",F682)</f>
        <v>COMPLETE</v>
      </c>
      <c r="H682" s="9" t="str">
        <f t="array" ref="H682">IFERROR(INDEX(dataICM!F:F,match(Caseslist!B682,dataICM!D:D,0)), "INC")</f>
        <v>INC</v>
      </c>
      <c r="I682" s="10" t="str">
        <f t="shared" si="2"/>
        <v>S2671943</v>
      </c>
      <c r="J682" s="9" t="str">
        <f t="array" ref="J682">IF(
  AND(
    IFERROR(MATCH(B682, data!D:D, 0), 0) &gt; 0,
    IFERROR(INDEX(data!N:N, MATCH(B682, data!D:D, 0)) = 1, FALSE)
  ),
  INDEX(data!C:C, MATCH(B682, data!D:D, 0)),
  "INC"
)</f>
        <v>2025-08-30T23:12:35.486+08</v>
      </c>
      <c r="K682" s="9" t="str">
        <f t="array" ref="K682">IFERROR(INDEX(dataICM!C:C,match(Caseslist!B682,dataICM!D:D,0)), "INC")</f>
        <v>INC</v>
      </c>
      <c r="L682" s="10" t="str">
        <f t="array" ref="L682">IF(AND(G682="COMPLETE", OR(K682="INC", ISBLANK(INDEX(data!O:O, ROW())))), J682, K682)</f>
        <v>2025-08-30T23:12:35.486+08</v>
      </c>
      <c r="M682" s="2">
        <v>45899.0</v>
      </c>
      <c r="N682" s="2">
        <f t="array" ref="N682">IF(M682&lt;&gt;"INC", INDEX(data!M:M, MATCH(B682, data!D:D, 0)), "")</f>
        <v>0</v>
      </c>
      <c r="O682" s="2">
        <f t="shared" si="3"/>
        <v>0</v>
      </c>
    </row>
    <row r="683">
      <c r="A683" s="2" t="str">
        <f t="shared" si="1"/>
        <v>H019196</v>
      </c>
      <c r="B683" s="1" t="s">
        <v>1797</v>
      </c>
      <c r="C683" s="9" t="str">
        <f t="array" ref="C683">IF(
  AND(
    IFERROR(MATCH(Caseslist!B683, data!D:D, 0), 0) &gt; 0,
    IFERROR(INDEX(data!N:N, MATCH(Caseslist!B683, data!D:D, 0)) = 1, FALSE)
  ),
  "COMPLETE",
  "INC"
)</f>
        <v>COMPLETE</v>
      </c>
      <c r="D683" s="9">
        <f t="array" ref="D683">IFERROR(INDEX(data!$G:$G,match(Caseslist!B683,data!$D:$D,0)), "INC")</f>
        <v>729375</v>
      </c>
      <c r="E683" s="9" t="str">
        <f t="array" ref="E683">IFERROR(INDEX(data!H:H,match(Caseslist!B683,data!D:D,0)), "INC")</f>
        <v>Janet Serafica</v>
      </c>
      <c r="F683" s="10" t="str">
        <f t="array" ref="F683">IF(
    OR(
      IFNA(INDEX(data!M:M, MATCH(Caseslist!B683, data!D:D, 0)), "") = "",
      IFNA(INDEX(data!M:M, MATCH(Caseslist!B683, data!D:D, 0)), 0) = 0
    ),
    "COMPLETE",
    IF(
      IFNA(INDEX(dataICM!D:D, MATCH(Caseslist!B683, dataICM!D:D, 0)), "INC") = "INC",
      IFNA(INDEX(dataICM!D:D, MATCH(Caseslist!B683, dataICM!D:D, 0)), "INC"),
      "COMPLETE"
    )
  )</f>
        <v>COMPLETE</v>
      </c>
      <c r="G683" s="10" t="str">
        <f t="array" ref="G683">IF(IFERROR(INDEX(data!L:L,match(Caseslist!B683,data!D:D,0)),"INC")="","COMPLETE",F683)</f>
        <v>COMPLETE</v>
      </c>
      <c r="H683" s="9" t="str">
        <f t="array" ref="H683">IFERROR(INDEX(dataICM!F:F,match(Caseslist!B683,dataICM!D:D,0)), "INC")</f>
        <v>INC</v>
      </c>
      <c r="I683" s="10">
        <f t="shared" si="2"/>
        <v>729375</v>
      </c>
      <c r="J683" s="9" t="str">
        <f t="array" ref="J683">IF(
  AND(
    IFERROR(MATCH(B683, data!D:D, 0), 0) &gt; 0,
    IFERROR(INDEX(data!N:N, MATCH(B683, data!D:D, 0)) = 1, FALSE)
  ),
  INDEX(data!C:C, MATCH(B683, data!D:D, 0)),
  "INC"
)</f>
        <v>2025-08-30T10:37:25.119+08</v>
      </c>
      <c r="K683" s="9" t="str">
        <f t="array" ref="K683">IFERROR(INDEX(dataICM!C:C,match(Caseslist!B683,dataICM!D:D,0)), "INC")</f>
        <v>INC</v>
      </c>
      <c r="L683" s="10" t="str">
        <f t="array" ref="L683">IF(AND(G683="COMPLETE", OR(K683="INC", ISBLANK(INDEX(data!O:O, ROW())))), J683, K683)</f>
        <v>2025-08-30T10:37:25.119+08</v>
      </c>
      <c r="M683" s="2">
        <v>45899.0</v>
      </c>
      <c r="N683" s="2">
        <f t="array" ref="N683">IF(M683&lt;&gt;"INC", INDEX(data!M:M, MATCH(B683, data!D:D, 0)), "")</f>
        <v>0</v>
      </c>
      <c r="O683" s="2">
        <f t="shared" si="3"/>
        <v>0</v>
      </c>
    </row>
    <row r="684">
      <c r="A684" s="2" t="str">
        <f t="shared" si="1"/>
        <v>H019196</v>
      </c>
      <c r="B684" s="1" t="s">
        <v>1837</v>
      </c>
      <c r="C684" s="9" t="str">
        <f t="array" ref="C684">IF(
  AND(
    IFERROR(MATCH(Caseslist!B684, data!D:D, 0), 0) &gt; 0,
    IFERROR(INDEX(data!N:N, MATCH(Caseslist!B684, data!D:D, 0)) = 1, FALSE)
  ),
  "COMPLETE",
  "INC"
)</f>
        <v>INC</v>
      </c>
      <c r="D684" s="9" t="str">
        <f t="array" ref="D684">IFERROR(INDEX(data!$G:$G,match(Caseslist!B684,data!$D:$D,0)), "INC")</f>
        <v>S2671943</v>
      </c>
      <c r="E684" s="9" t="str">
        <f t="array" ref="E684">IFERROR(INDEX(data!H:H,match(Caseslist!B684,data!D:D,0)), "INC")</f>
        <v>Marvin Mondia</v>
      </c>
      <c r="F684" s="10" t="str">
        <f t="array" ref="F684">IF(
    OR(
      IFNA(INDEX(data!M:M, MATCH(Caseslist!B684, data!D:D, 0)), "") = "",
      IFNA(INDEX(data!M:M, MATCH(Caseslist!B684, data!D:D, 0)), 0) = 0
    ),
    "COMPLETE",
    IF(
      IFNA(INDEX(dataICM!D:D, MATCH(Caseslist!B684, dataICM!D:D, 0)), "INC") = "INC",
      IFNA(INDEX(dataICM!D:D, MATCH(Caseslist!B684, dataICM!D:D, 0)), "INC"),
      "COMPLETE"
    )
  )</f>
        <v>COMPLETE</v>
      </c>
      <c r="G684" s="10" t="str">
        <f t="array" ref="G684">IF(IFERROR(INDEX(data!L:L,match(Caseslist!B684,data!D:D,0)),"INC")="","COMPLETE",F684)</f>
        <v>COMPLETE</v>
      </c>
      <c r="H684" s="9" t="str">
        <f t="array" ref="H684">IFERROR(INDEX(dataICM!F:F,match(Caseslist!B684,dataICM!D:D,0)), "INC")</f>
        <v>INC</v>
      </c>
      <c r="I684" s="10" t="str">
        <f t="shared" si="2"/>
        <v>S2671943</v>
      </c>
      <c r="J684" s="9" t="str">
        <f t="array" ref="J684">IF(
  AND(
    IFERROR(MATCH(B684, data!D:D, 0), 0) &gt; 0,
    IFERROR(INDEX(data!N:N, MATCH(B684, data!D:D, 0)) = 1, FALSE)
  ),
  INDEX(data!C:C, MATCH(B684, data!D:D, 0)),
  "INC"
)</f>
        <v>INC</v>
      </c>
      <c r="K684" s="9" t="str">
        <f t="array" ref="K684">IFERROR(INDEX(dataICM!C:C,match(Caseslist!B684,dataICM!D:D,0)), "INC")</f>
        <v>INC</v>
      </c>
      <c r="L684" s="10" t="str">
        <f t="array" ref="L684">IF(AND(G684="COMPLETE", OR(K684="INC", ISBLANK(INDEX(data!O:O, ROW())))), J684, K684)</f>
        <v>INC</v>
      </c>
      <c r="M684" s="2" t="s">
        <v>8886</v>
      </c>
      <c r="N684" s="2" t="str">
        <f t="array" ref="N684">IF(M684&lt;&gt;"INC", INDEX(data!M:M, MATCH(B684, data!D:D, 0)), "")</f>
        <v/>
      </c>
      <c r="O684" s="2" t="str">
        <f t="shared" si="3"/>
        <v/>
      </c>
    </row>
    <row r="685">
      <c r="A685" s="2" t="str">
        <f t="shared" si="1"/>
        <v>H019196</v>
      </c>
      <c r="B685" s="1" t="s">
        <v>1827</v>
      </c>
      <c r="C685" s="9" t="str">
        <f t="array" ref="C685">IF(
  AND(
    IFERROR(MATCH(Caseslist!B685, data!D:D, 0), 0) &gt; 0,
    IFERROR(INDEX(data!N:N, MATCH(Caseslist!B685, data!D:D, 0)) = 1, FALSE)
  ),
  "COMPLETE",
  "INC"
)</f>
        <v>COMPLETE</v>
      </c>
      <c r="D685" s="9">
        <f t="array" ref="D685">IFERROR(INDEX(data!$G:$G,match(Caseslist!B685,data!$D:$D,0)), "INC")</f>
        <v>859767</v>
      </c>
      <c r="E685" s="9" t="str">
        <f t="array" ref="E685">IFERROR(INDEX(data!H:H,match(Caseslist!B685,data!D:D,0)), "INC")</f>
        <v>Ramie De Pedro Jr.</v>
      </c>
      <c r="F685" s="10" t="str">
        <f t="array" ref="F685">IF(
    OR(
      IFNA(INDEX(data!M:M, MATCH(Caseslist!B685, data!D:D, 0)), "") = "",
      IFNA(INDEX(data!M:M, MATCH(Caseslist!B685, data!D:D, 0)), 0) = 0
    ),
    "COMPLETE",
    IF(
      IFNA(INDEX(dataICM!D:D, MATCH(Caseslist!B685, dataICM!D:D, 0)), "INC") = "INC",
      IFNA(INDEX(dataICM!D:D, MATCH(Caseslist!B685, dataICM!D:D, 0)), "INC"),
      "COMPLETE"
    )
  )</f>
        <v>COMPLETE</v>
      </c>
      <c r="G685" s="10" t="str">
        <f t="array" ref="G685">IF(IFERROR(INDEX(data!L:L,match(Caseslist!B685,data!D:D,0)),"INC")="","COMPLETE",F685)</f>
        <v>COMPLETE</v>
      </c>
      <c r="H685" s="9" t="str">
        <f t="array" ref="H685">IFERROR(INDEX(dataICM!F:F,match(Caseslist!B685,dataICM!D:D,0)), "INC")</f>
        <v>INC</v>
      </c>
      <c r="I685" s="10">
        <f t="shared" si="2"/>
        <v>859767</v>
      </c>
      <c r="J685" s="9" t="str">
        <f t="array" ref="J685">IF(
  AND(
    IFERROR(MATCH(B685, data!D:D, 0), 0) &gt; 0,
    IFERROR(INDEX(data!N:N, MATCH(B685, data!D:D, 0)) = 1, FALSE)
  ),
  INDEX(data!C:C, MATCH(B685, data!D:D, 0)),
  "INC"
)</f>
        <v>2025-08-30T16:14:07.554+08</v>
      </c>
      <c r="K685" s="9" t="str">
        <f t="array" ref="K685">IFERROR(INDEX(dataICM!C:C,match(Caseslist!B685,dataICM!D:D,0)), "INC")</f>
        <v>INC</v>
      </c>
      <c r="L685" s="10" t="str">
        <f t="array" ref="L685">IF(AND(G685="COMPLETE", OR(K685="INC", ISBLANK(INDEX(data!O:O, ROW())))), J685, K685)</f>
        <v>2025-08-30T16:14:07.554+08</v>
      </c>
      <c r="M685" s="2">
        <v>45899.0</v>
      </c>
      <c r="N685" s="2">
        <f t="array" ref="N685">IF(M685&lt;&gt;"INC", INDEX(data!M:M, MATCH(B685, data!D:D, 0)), "")</f>
        <v>0</v>
      </c>
      <c r="O685" s="2">
        <f t="shared" si="3"/>
        <v>0</v>
      </c>
    </row>
    <row r="686">
      <c r="A686" s="2" t="str">
        <f t="shared" si="1"/>
        <v>H019196</v>
      </c>
      <c r="B686" s="1" t="s">
        <v>1807</v>
      </c>
      <c r="C686" s="9" t="str">
        <f t="array" ref="C686">IF(
  AND(
    IFERROR(MATCH(Caseslist!B686, data!D:D, 0), 0) &gt; 0,
    IFERROR(INDEX(data!N:N, MATCH(Caseslist!B686, data!D:D, 0)) = 1, FALSE)
  ),
  "COMPLETE",
  "INC"
)</f>
        <v>COMPLETE</v>
      </c>
      <c r="D686" s="9">
        <f t="array" ref="D686">IFERROR(INDEX(data!$G:$G,match(Caseslist!B686,data!$D:$D,0)), "INC")</f>
        <v>729375</v>
      </c>
      <c r="E686" s="9" t="str">
        <f t="array" ref="E686">IFERROR(INDEX(data!H:H,match(Caseslist!B686,data!D:D,0)), "INC")</f>
        <v>Janet Serafica</v>
      </c>
      <c r="F686" s="10" t="str">
        <f t="array" ref="F686">IF(
    OR(
      IFNA(INDEX(data!M:M, MATCH(Caseslist!B686, data!D:D, 0)), "") = "",
      IFNA(INDEX(data!M:M, MATCH(Caseslist!B686, data!D:D, 0)), 0) = 0
    ),
    "COMPLETE",
    IF(
      IFNA(INDEX(dataICM!D:D, MATCH(Caseslist!B686, dataICM!D:D, 0)), "INC") = "INC",
      IFNA(INDEX(dataICM!D:D, MATCH(Caseslist!B686, dataICM!D:D, 0)), "INC"),
      "COMPLETE"
    )
  )</f>
        <v>COMPLETE</v>
      </c>
      <c r="G686" s="10" t="str">
        <f t="array" ref="G686">IF(IFERROR(INDEX(data!L:L,match(Caseslist!B686,data!D:D,0)),"INC")="","COMPLETE",F686)</f>
        <v>COMPLETE</v>
      </c>
      <c r="H686" s="9" t="str">
        <f t="array" ref="H686">IFERROR(INDEX(dataICM!F:F,match(Caseslist!B686,dataICM!D:D,0)), "INC")</f>
        <v>INC</v>
      </c>
      <c r="I686" s="10">
        <f t="shared" si="2"/>
        <v>729375</v>
      </c>
      <c r="J686" s="9" t="str">
        <f t="array" ref="J686">IF(
  AND(
    IFERROR(MATCH(B686, data!D:D, 0), 0) &gt; 0,
    IFERROR(INDEX(data!N:N, MATCH(B686, data!D:D, 0)) = 1, FALSE)
  ),
  INDEX(data!C:C, MATCH(B686, data!D:D, 0)),
  "INC"
)</f>
        <v>2025-08-30T11:54:12.264+08</v>
      </c>
      <c r="K686" s="9" t="str">
        <f t="array" ref="K686">IFERROR(INDEX(dataICM!C:C,match(Caseslist!B686,dataICM!D:D,0)), "INC")</f>
        <v>INC</v>
      </c>
      <c r="L686" s="10" t="str">
        <f t="array" ref="L686">IF(AND(G686="COMPLETE", OR(K686="INC", ISBLANK(INDEX(data!O:O, ROW())))), J686, K686)</f>
        <v>2025-08-30T11:54:12.264+08</v>
      </c>
      <c r="M686" s="2">
        <v>45899.0</v>
      </c>
      <c r="N686" s="2">
        <f t="array" ref="N686">IF(M686&lt;&gt;"INC", INDEX(data!M:M, MATCH(B686, data!D:D, 0)), "")</f>
        <v>0</v>
      </c>
      <c r="O686" s="2">
        <f t="shared" si="3"/>
        <v>0</v>
      </c>
    </row>
    <row r="687">
      <c r="A687" s="2" t="str">
        <f t="shared" si="1"/>
        <v>H019196</v>
      </c>
      <c r="B687" s="1" t="s">
        <v>2093</v>
      </c>
      <c r="C687" s="9" t="str">
        <f t="array" ref="C687">IF(
  AND(
    IFERROR(MATCH(Caseslist!B687, data!D:D, 0), 0) &gt; 0,
    IFERROR(INDEX(data!N:N, MATCH(Caseslist!B687, data!D:D, 0)) = 1, FALSE)
  ),
  "COMPLETE",
  "INC"
)</f>
        <v>COMPLETE</v>
      </c>
      <c r="D687" s="9" t="str">
        <f t="array" ref="D687">IFERROR(INDEX(data!$G:$G,match(Caseslist!B687,data!$D:$D,0)), "INC")</f>
        <v>S2671943</v>
      </c>
      <c r="E687" s="9" t="str">
        <f t="array" ref="E687">IFERROR(INDEX(data!H:H,match(Caseslist!B687,data!D:D,0)), "INC")</f>
        <v>Marvin Mondia</v>
      </c>
      <c r="F687" s="10" t="str">
        <f t="array" ref="F687">IF(
    OR(
      IFNA(INDEX(data!M:M, MATCH(Caseslist!B687, data!D:D, 0)), "") = "",
      IFNA(INDEX(data!M:M, MATCH(Caseslist!B687, data!D:D, 0)), 0) = 0
    ),
    "COMPLETE",
    IF(
      IFNA(INDEX(dataICM!D:D, MATCH(Caseslist!B687, dataICM!D:D, 0)), "INC") = "INC",
      IFNA(INDEX(dataICM!D:D, MATCH(Caseslist!B687, dataICM!D:D, 0)), "INC"),
      "COMPLETE"
    )
  )</f>
        <v>COMPLETE</v>
      </c>
      <c r="G687" s="10" t="str">
        <f t="array" ref="G687">IF(IFERROR(INDEX(data!L:L,match(Caseslist!B687,data!D:D,0)),"INC")="","COMPLETE",F687)</f>
        <v>COMPLETE</v>
      </c>
      <c r="H687" s="9" t="str">
        <f t="array" ref="H687">IFERROR(INDEX(dataICM!F:F,match(Caseslist!B687,dataICM!D:D,0)), "INC")</f>
        <v>INC</v>
      </c>
      <c r="I687" s="10" t="str">
        <f t="shared" si="2"/>
        <v>S2671943</v>
      </c>
      <c r="J687" s="9" t="str">
        <f t="array" ref="J687">IF(
  AND(
    IFERROR(MATCH(B687, data!D:D, 0), 0) &gt; 0,
    IFERROR(INDEX(data!N:N, MATCH(B687, data!D:D, 0)) = 1, FALSE)
  ),
  INDEX(data!C:C, MATCH(B687, data!D:D, 0)),
  "INC"
)</f>
        <v>2025-08-30T13:22:53.816+08</v>
      </c>
      <c r="K687" s="9" t="str">
        <f t="array" ref="K687">IFERROR(INDEX(dataICM!C:C,match(Caseslist!B687,dataICM!D:D,0)), "INC")</f>
        <v>INC</v>
      </c>
      <c r="L687" s="10" t="str">
        <f t="array" ref="L687">IF(AND(G687="COMPLETE", OR(K687="INC", ISBLANK(INDEX(data!O:O, ROW())))), J687, K687)</f>
        <v>2025-08-30T13:22:53.816+08</v>
      </c>
      <c r="M687" s="2">
        <v>45899.0</v>
      </c>
      <c r="N687" s="2">
        <f t="array" ref="N687">IF(M687&lt;&gt;"INC", INDEX(data!M:M, MATCH(B687, data!D:D, 0)), "")</f>
        <v>0</v>
      </c>
      <c r="O687" s="2">
        <f t="shared" si="3"/>
        <v>0</v>
      </c>
    </row>
    <row r="688">
      <c r="A688" s="2" t="str">
        <f t="shared" si="1"/>
        <v>H019196</v>
      </c>
      <c r="B688" s="1" t="s">
        <v>2088</v>
      </c>
      <c r="C688" s="9" t="str">
        <f t="array" ref="C688">IF(
  AND(
    IFERROR(MATCH(Caseslist!B688, data!D:D, 0), 0) &gt; 0,
    IFERROR(INDEX(data!N:N, MATCH(Caseslist!B688, data!D:D, 0)) = 1, FALSE)
  ),
  "COMPLETE",
  "INC"
)</f>
        <v>COMPLETE</v>
      </c>
      <c r="D688" s="9" t="str">
        <f t="array" ref="D688">IFERROR(INDEX(data!$G:$G,match(Caseslist!B688,data!$D:$D,0)), "INC")</f>
        <v>S2671943</v>
      </c>
      <c r="E688" s="9" t="str">
        <f t="array" ref="E688">IFERROR(INDEX(data!H:H,match(Caseslist!B688,data!D:D,0)), "INC")</f>
        <v>Marvin Mondia</v>
      </c>
      <c r="F688" s="10" t="str">
        <f t="array" ref="F688">IF(
    OR(
      IFNA(INDEX(data!M:M, MATCH(Caseslist!B688, data!D:D, 0)), "") = "",
      IFNA(INDEX(data!M:M, MATCH(Caseslist!B688, data!D:D, 0)), 0) = 0
    ),
    "COMPLETE",
    IF(
      IFNA(INDEX(dataICM!D:D, MATCH(Caseslist!B688, dataICM!D:D, 0)), "INC") = "INC",
      IFNA(INDEX(dataICM!D:D, MATCH(Caseslist!B688, dataICM!D:D, 0)), "INC"),
      "COMPLETE"
    )
  )</f>
        <v>COMPLETE</v>
      </c>
      <c r="G688" s="10" t="str">
        <f t="array" ref="G688">IF(IFERROR(INDEX(data!L:L,match(Caseslist!B688,data!D:D,0)),"INC")="","COMPLETE",F688)</f>
        <v>COMPLETE</v>
      </c>
      <c r="H688" s="9" t="str">
        <f t="array" ref="H688">IFERROR(INDEX(dataICM!F:F,match(Caseslist!B688,dataICM!D:D,0)), "INC")</f>
        <v>INC</v>
      </c>
      <c r="I688" s="10" t="str">
        <f t="shared" si="2"/>
        <v>S2671943</v>
      </c>
      <c r="J688" s="9" t="str">
        <f t="array" ref="J688">IF(
  AND(
    IFERROR(MATCH(B688, data!D:D, 0), 0) &gt; 0,
    IFERROR(INDEX(data!N:N, MATCH(B688, data!D:D, 0)) = 1, FALSE)
  ),
  INDEX(data!C:C, MATCH(B688, data!D:D, 0)),
  "INC"
)</f>
        <v>2025-09-25T09:17:23.000+08</v>
      </c>
      <c r="K688" s="9" t="str">
        <f t="array" ref="K688">IFERROR(INDEX(dataICM!C:C,match(Caseslist!B688,dataICM!D:D,0)), "INC")</f>
        <v>INC</v>
      </c>
      <c r="L688" s="10" t="str">
        <f t="array" ref="L688">IF(AND(G688="COMPLETE", OR(K688="INC", ISBLANK(INDEX(data!O:O, ROW())))), J688, K688)</f>
        <v>2025-09-25T09:17:23.000+08</v>
      </c>
      <c r="M688" s="2">
        <v>45925.0</v>
      </c>
      <c r="N688" s="2">
        <f t="array" ref="N688">IF(M688&lt;&gt;"INC", INDEX(data!M:M, MATCH(B688, data!D:D, 0)), "")</f>
        <v>0</v>
      </c>
      <c r="O688" s="2">
        <f t="shared" si="3"/>
        <v>0</v>
      </c>
    </row>
    <row r="689">
      <c r="A689" s="2" t="str">
        <f t="shared" si="1"/>
        <v>H019196</v>
      </c>
      <c r="B689" s="1" t="s">
        <v>1812</v>
      </c>
      <c r="C689" s="9" t="str">
        <f t="array" ref="C689">IF(
  AND(
    IFERROR(MATCH(Caseslist!B689, data!D:D, 0), 0) &gt; 0,
    IFERROR(INDEX(data!N:N, MATCH(Caseslist!B689, data!D:D, 0)) = 1, FALSE)
  ),
  "COMPLETE",
  "INC"
)</f>
        <v>COMPLETE</v>
      </c>
      <c r="D689" s="9" t="str">
        <f t="array" ref="D689">IFERROR(INDEX(data!$G:$G,match(Caseslist!B689,data!$D:$D,0)), "INC")</f>
        <v>S2671943</v>
      </c>
      <c r="E689" s="9" t="str">
        <f t="array" ref="E689">IFERROR(INDEX(data!H:H,match(Caseslist!B689,data!D:D,0)), "INC")</f>
        <v>Marvin Mondia</v>
      </c>
      <c r="F689" s="10" t="str">
        <f t="array" ref="F689">IF(
    OR(
      IFNA(INDEX(data!M:M, MATCH(Caseslist!B689, data!D:D, 0)), "") = "",
      IFNA(INDEX(data!M:M, MATCH(Caseslist!B689, data!D:D, 0)), 0) = 0
    ),
    "COMPLETE",
    IF(
      IFNA(INDEX(dataICM!D:D, MATCH(Caseslist!B689, dataICM!D:D, 0)), "INC") = "INC",
      IFNA(INDEX(dataICM!D:D, MATCH(Caseslist!B689, dataICM!D:D, 0)), "INC"),
      "COMPLETE"
    )
  )</f>
        <v>COMPLETE</v>
      </c>
      <c r="G689" s="10" t="str">
        <f t="array" ref="G689">IF(IFERROR(INDEX(data!L:L,match(Caseslist!B689,data!D:D,0)),"INC")="","COMPLETE",F689)</f>
        <v>COMPLETE</v>
      </c>
      <c r="H689" s="9" t="str">
        <f t="array" ref="H689">IFERROR(INDEX(dataICM!F:F,match(Caseslist!B689,dataICM!D:D,0)), "INC")</f>
        <v>INC</v>
      </c>
      <c r="I689" s="10" t="str">
        <f t="shared" si="2"/>
        <v>S2671943</v>
      </c>
      <c r="J689" s="9" t="str">
        <f t="array" ref="J689">IF(
  AND(
    IFERROR(MATCH(B689, data!D:D, 0), 0) &gt; 0,
    IFERROR(INDEX(data!N:N, MATCH(B689, data!D:D, 0)) = 1, FALSE)
  ),
  INDEX(data!C:C, MATCH(B689, data!D:D, 0)),
  "INC"
)</f>
        <v>2025-09-25T10:29:12.640+08</v>
      </c>
      <c r="K689" s="9" t="str">
        <f t="array" ref="K689">IFERROR(INDEX(dataICM!C:C,match(Caseslist!B689,dataICM!D:D,0)), "INC")</f>
        <v>INC</v>
      </c>
      <c r="L689" s="10" t="str">
        <f t="array" ref="L689">IF(AND(G689="COMPLETE", OR(K689="INC", ISBLANK(INDEX(data!O:O, ROW())))), J689, K689)</f>
        <v>2025-09-25T10:29:12.640+08</v>
      </c>
      <c r="M689" s="2">
        <v>45925.0</v>
      </c>
      <c r="N689" s="2">
        <f t="array" ref="N689">IF(M689&lt;&gt;"INC", INDEX(data!M:M, MATCH(B689, data!D:D, 0)), "")</f>
        <v>0</v>
      </c>
      <c r="O689" s="2">
        <f t="shared" si="3"/>
        <v>0</v>
      </c>
    </row>
    <row r="690">
      <c r="A690" s="2" t="str">
        <f t="shared" si="1"/>
        <v>H019196</v>
      </c>
      <c r="B690" s="1" t="s">
        <v>1802</v>
      </c>
      <c r="C690" s="9" t="str">
        <f t="array" ref="C690">IF(
  AND(
    IFERROR(MATCH(Caseslist!B690, data!D:D, 0), 0) &gt; 0,
    IFERROR(INDEX(data!N:N, MATCH(Caseslist!B690, data!D:D, 0)) = 1, FALSE)
  ),
  "COMPLETE",
  "INC"
)</f>
        <v>COMPLETE</v>
      </c>
      <c r="D690" s="9">
        <f t="array" ref="D690">IFERROR(INDEX(data!$G:$G,match(Caseslist!B690,data!$D:$D,0)), "INC")</f>
        <v>729375</v>
      </c>
      <c r="E690" s="9" t="str">
        <f t="array" ref="E690">IFERROR(INDEX(data!H:H,match(Caseslist!B690,data!D:D,0)), "INC")</f>
        <v>Janet Serafica</v>
      </c>
      <c r="F690" s="10" t="str">
        <f t="array" ref="F690">IF(
    OR(
      IFNA(INDEX(data!M:M, MATCH(Caseslist!B690, data!D:D, 0)), "") = "",
      IFNA(INDEX(data!M:M, MATCH(Caseslist!B690, data!D:D, 0)), 0) = 0
    ),
    "COMPLETE",
    IF(
      IFNA(INDEX(dataICM!D:D, MATCH(Caseslist!B690, dataICM!D:D, 0)), "INC") = "INC",
      IFNA(INDEX(dataICM!D:D, MATCH(Caseslist!B690, dataICM!D:D, 0)), "INC"),
      "COMPLETE"
    )
  )</f>
        <v>COMPLETE</v>
      </c>
      <c r="G690" s="10" t="str">
        <f t="array" ref="G690">IF(IFERROR(INDEX(data!L:L,match(Caseslist!B690,data!D:D,0)),"INC")="","COMPLETE",F690)</f>
        <v>COMPLETE</v>
      </c>
      <c r="H690" s="9" t="str">
        <f t="array" ref="H690">IFERROR(INDEX(dataICM!F:F,match(Caseslist!B690,dataICM!D:D,0)), "INC")</f>
        <v>INC</v>
      </c>
      <c r="I690" s="10">
        <f t="shared" si="2"/>
        <v>729375</v>
      </c>
      <c r="J690" s="9" t="str">
        <f t="array" ref="J690">IF(
  AND(
    IFERROR(MATCH(B690, data!D:D, 0), 0) &gt; 0,
    IFERROR(INDEX(data!N:N, MATCH(B690, data!D:D, 0)) = 1, FALSE)
  ),
  INDEX(data!C:C, MATCH(B690, data!D:D, 0)),
  "INC"
)</f>
        <v>2025-08-30T13:03:03.484+08</v>
      </c>
      <c r="K690" s="9" t="str">
        <f t="array" ref="K690">IFERROR(INDEX(dataICM!C:C,match(Caseslist!B690,dataICM!D:D,0)), "INC")</f>
        <v>INC</v>
      </c>
      <c r="L690" s="10" t="str">
        <f t="array" ref="L690">IF(AND(G690="COMPLETE", OR(K690="INC", ISBLANK(INDEX(data!O:O, ROW())))), J690, K690)</f>
        <v>2025-08-30T13:03:03.484+08</v>
      </c>
      <c r="M690" s="2">
        <v>45899.0</v>
      </c>
      <c r="N690" s="2">
        <f t="array" ref="N690">IF(M690&lt;&gt;"INC", INDEX(data!M:M, MATCH(B690, data!D:D, 0)), "")</f>
        <v>0</v>
      </c>
      <c r="O690" s="2">
        <f t="shared" si="3"/>
        <v>0</v>
      </c>
    </row>
    <row r="691">
      <c r="A691" s="2" t="str">
        <f t="shared" si="1"/>
        <v>H019196</v>
      </c>
      <c r="B691" s="1" t="s">
        <v>2073</v>
      </c>
      <c r="C691" s="9" t="str">
        <f t="array" ref="C691">IF(
  AND(
    IFERROR(MATCH(Caseslist!B691, data!D:D, 0), 0) &gt; 0,
    IFERROR(INDEX(data!N:N, MATCH(Caseslist!B691, data!D:D, 0)) = 1, FALSE)
  ),
  "COMPLETE",
  "INC"
)</f>
        <v>COMPLETE</v>
      </c>
      <c r="D691" s="9" t="str">
        <f t="array" ref="D691">IFERROR(INDEX(data!$G:$G,match(Caseslist!B691,data!$D:$D,0)), "INC")</f>
        <v>S2671943</v>
      </c>
      <c r="E691" s="9" t="str">
        <f t="array" ref="E691">IFERROR(INDEX(data!H:H,match(Caseslist!B691,data!D:D,0)), "INC")</f>
        <v>Marvin Mondia</v>
      </c>
      <c r="F691" s="10" t="str">
        <f t="array" ref="F691">IF(
    OR(
      IFNA(INDEX(data!M:M, MATCH(Caseslist!B691, data!D:D, 0)), "") = "",
      IFNA(INDEX(data!M:M, MATCH(Caseslist!B691, data!D:D, 0)), 0) = 0
    ),
    "COMPLETE",
    IF(
      IFNA(INDEX(dataICM!D:D, MATCH(Caseslist!B691, dataICM!D:D, 0)), "INC") = "INC",
      IFNA(INDEX(dataICM!D:D, MATCH(Caseslist!B691, dataICM!D:D, 0)), "INC"),
      "COMPLETE"
    )
  )</f>
        <v>COMPLETE</v>
      </c>
      <c r="G691" s="10" t="str">
        <f t="array" ref="G691">IF(IFERROR(INDEX(data!L:L,match(Caseslist!B691,data!D:D,0)),"INC")="","COMPLETE",F691)</f>
        <v>COMPLETE</v>
      </c>
      <c r="H691" s="9" t="str">
        <f t="array" ref="H691">IFERROR(INDEX(dataICM!F:F,match(Caseslist!B691,dataICM!D:D,0)), "INC")</f>
        <v>INC</v>
      </c>
      <c r="I691" s="10" t="str">
        <f t="shared" si="2"/>
        <v>S2671943</v>
      </c>
      <c r="J691" s="9" t="str">
        <f t="array" ref="J691">IF(
  AND(
    IFERROR(MATCH(B691, data!D:D, 0), 0) &gt; 0,
    IFERROR(INDEX(data!N:N, MATCH(B691, data!D:D, 0)) = 1, FALSE)
  ),
  INDEX(data!C:C, MATCH(B691, data!D:D, 0)),
  "INC"
)</f>
        <v>2025-08-30T10:28:42.038+08</v>
      </c>
      <c r="K691" s="9" t="str">
        <f t="array" ref="K691">IFERROR(INDEX(dataICM!C:C,match(Caseslist!B691,dataICM!D:D,0)), "INC")</f>
        <v>INC</v>
      </c>
      <c r="L691" s="10" t="str">
        <f t="array" ref="L691">IF(AND(G691="COMPLETE", OR(K691="INC", ISBLANK(INDEX(data!O:O, ROW())))), J691, K691)</f>
        <v>2025-08-30T10:28:42.038+08</v>
      </c>
      <c r="M691" s="2">
        <v>45899.0</v>
      </c>
      <c r="N691" s="2">
        <f t="array" ref="N691">IF(M691&lt;&gt;"INC", INDEX(data!M:M, MATCH(B691, data!D:D, 0)), "")</f>
        <v>0</v>
      </c>
      <c r="O691" s="2">
        <f t="shared" si="3"/>
        <v>0</v>
      </c>
    </row>
    <row r="692">
      <c r="A692" s="2" t="str">
        <f t="shared" si="1"/>
        <v>H019196</v>
      </c>
      <c r="B692" s="1" t="s">
        <v>1817</v>
      </c>
      <c r="C692" s="9" t="str">
        <f t="array" ref="C692">IF(
  AND(
    IFERROR(MATCH(Caseslist!B692, data!D:D, 0), 0) &gt; 0,
    IFERROR(INDEX(data!N:N, MATCH(Caseslist!B692, data!D:D, 0)) = 1, FALSE)
  ),
  "COMPLETE",
  "INC"
)</f>
        <v>COMPLETE</v>
      </c>
      <c r="D692" s="9" t="str">
        <f t="array" ref="D692">IFERROR(INDEX(data!$G:$G,match(Caseslist!B692,data!$D:$D,0)), "INC")</f>
        <v>S2671943</v>
      </c>
      <c r="E692" s="9" t="str">
        <f t="array" ref="E692">IFERROR(INDEX(data!H:H,match(Caseslist!B692,data!D:D,0)), "INC")</f>
        <v>Marvin Mondia</v>
      </c>
      <c r="F692" s="10" t="str">
        <f t="array" ref="F692">IF(
    OR(
      IFNA(INDEX(data!M:M, MATCH(Caseslist!B692, data!D:D, 0)), "") = "",
      IFNA(INDEX(data!M:M, MATCH(Caseslist!B692, data!D:D, 0)), 0) = 0
    ),
    "COMPLETE",
    IF(
      IFNA(INDEX(dataICM!D:D, MATCH(Caseslist!B692, dataICM!D:D, 0)), "INC") = "INC",
      IFNA(INDEX(dataICM!D:D, MATCH(Caseslist!B692, dataICM!D:D, 0)), "INC"),
      "COMPLETE"
    )
  )</f>
        <v>COMPLETE</v>
      </c>
      <c r="G692" s="10" t="str">
        <f t="array" ref="G692">IF(IFERROR(INDEX(data!L:L,match(Caseslist!B692,data!D:D,0)),"INC")="","COMPLETE",F692)</f>
        <v>COMPLETE</v>
      </c>
      <c r="H692" s="9" t="str">
        <f t="array" ref="H692">IFERROR(INDEX(dataICM!F:F,match(Caseslist!B692,dataICM!D:D,0)), "INC")</f>
        <v>INC</v>
      </c>
      <c r="I692" s="10" t="str">
        <f t="shared" si="2"/>
        <v>S2671943</v>
      </c>
      <c r="J692" s="9" t="str">
        <f t="array" ref="J692">IF(
  AND(
    IFERROR(MATCH(B692, data!D:D, 0), 0) &gt; 0,
    IFERROR(INDEX(data!N:N, MATCH(B692, data!D:D, 0)) = 1, FALSE)
  ),
  INDEX(data!C:C, MATCH(B692, data!D:D, 0)),
  "INC"
)</f>
        <v>2025-09-25T08:33:02.717+08</v>
      </c>
      <c r="K692" s="9" t="str">
        <f t="array" ref="K692">IFERROR(INDEX(dataICM!C:C,match(Caseslist!B692,dataICM!D:D,0)), "INC")</f>
        <v>INC</v>
      </c>
      <c r="L692" s="10" t="str">
        <f t="array" ref="L692">IF(AND(G692="COMPLETE", OR(K692="INC", ISBLANK(INDEX(data!O:O, ROW())))), J692, K692)</f>
        <v>2025-09-25T08:33:02.717+08</v>
      </c>
      <c r="M692" s="2">
        <v>45925.0</v>
      </c>
      <c r="N692" s="2">
        <f t="array" ref="N692">IF(M692&lt;&gt;"INC", INDEX(data!M:M, MATCH(B692, data!D:D, 0)), "")</f>
        <v>0</v>
      </c>
      <c r="O692" s="2">
        <f t="shared" si="3"/>
        <v>0</v>
      </c>
    </row>
    <row r="693">
      <c r="A693" s="2" t="str">
        <f t="shared" si="1"/>
        <v>H019196</v>
      </c>
      <c r="B693" s="1" t="s">
        <v>1832</v>
      </c>
      <c r="C693" s="9" t="str">
        <f t="array" ref="C693">IF(
  AND(
    IFERROR(MATCH(Caseslist!B693, data!D:D, 0), 0) &gt; 0,
    IFERROR(INDEX(data!N:N, MATCH(Caseslist!B693, data!D:D, 0)) = 1, FALSE)
  ),
  "COMPLETE",
  "INC"
)</f>
        <v>COMPLETE</v>
      </c>
      <c r="D693" s="9">
        <f t="array" ref="D693">IFERROR(INDEX(data!$G:$G,match(Caseslist!B693,data!$D:$D,0)), "INC")</f>
        <v>859767</v>
      </c>
      <c r="E693" s="9" t="str">
        <f t="array" ref="E693">IFERROR(INDEX(data!H:H,match(Caseslist!B693,data!D:D,0)), "INC")</f>
        <v>Ramie De Pedro Jr.</v>
      </c>
      <c r="F693" s="10" t="str">
        <f t="array" ref="F693">IF(
    OR(
      IFNA(INDEX(data!M:M, MATCH(Caseslist!B693, data!D:D, 0)), "") = "",
      IFNA(INDEX(data!M:M, MATCH(Caseslist!B693, data!D:D, 0)), 0) = 0
    ),
    "COMPLETE",
    IF(
      IFNA(INDEX(dataICM!D:D, MATCH(Caseslist!B693, dataICM!D:D, 0)), "INC") = "INC",
      IFNA(INDEX(dataICM!D:D, MATCH(Caseslist!B693, dataICM!D:D, 0)), "INC"),
      "COMPLETE"
    )
  )</f>
        <v>COMPLETE</v>
      </c>
      <c r="G693" s="10" t="str">
        <f t="array" ref="G693">IF(IFERROR(INDEX(data!L:L,match(Caseslist!B693,data!D:D,0)),"INC")="","COMPLETE",F693)</f>
        <v>COMPLETE</v>
      </c>
      <c r="H693" s="9" t="str">
        <f t="array" ref="H693">IFERROR(INDEX(dataICM!F:F,match(Caseslist!B693,dataICM!D:D,0)), "INC")</f>
        <v>INC</v>
      </c>
      <c r="I693" s="10">
        <f t="shared" si="2"/>
        <v>859767</v>
      </c>
      <c r="J693" s="9" t="str">
        <f t="array" ref="J693">IF(
  AND(
    IFERROR(MATCH(B693, data!D:D, 0), 0) &gt; 0,
    IFERROR(INDEX(data!N:N, MATCH(B693, data!D:D, 0)) = 1, FALSE)
  ),
  INDEX(data!C:C, MATCH(B693, data!D:D, 0)),
  "INC"
)</f>
        <v>2025-08-30T16:15:40.770+08</v>
      </c>
      <c r="K693" s="9" t="str">
        <f t="array" ref="K693">IFERROR(INDEX(dataICM!C:C,match(Caseslist!B693,dataICM!D:D,0)), "INC")</f>
        <v>INC</v>
      </c>
      <c r="L693" s="10" t="str">
        <f t="array" ref="L693">IF(AND(G693="COMPLETE", OR(K693="INC", ISBLANK(INDEX(data!O:O, ROW())))), J693, K693)</f>
        <v>2025-08-30T16:15:40.770+08</v>
      </c>
      <c r="M693" s="2">
        <v>45899.0</v>
      </c>
      <c r="N693" s="2">
        <f t="array" ref="N693">IF(M693&lt;&gt;"INC", INDEX(data!M:M, MATCH(B693, data!D:D, 0)), "")</f>
        <v>0</v>
      </c>
      <c r="O693" s="2">
        <f t="shared" si="3"/>
        <v>0</v>
      </c>
    </row>
    <row r="694">
      <c r="A694" s="2" t="str">
        <f t="shared" si="1"/>
        <v>H019196</v>
      </c>
      <c r="B694" s="1" t="s">
        <v>2078</v>
      </c>
      <c r="C694" s="9" t="str">
        <f t="array" ref="C694">IF(
  AND(
    IFERROR(MATCH(Caseslist!B694, data!D:D, 0), 0) &gt; 0,
    IFERROR(INDEX(data!N:N, MATCH(Caseslist!B694, data!D:D, 0)) = 1, FALSE)
  ),
  "COMPLETE",
  "INC"
)</f>
        <v>COMPLETE</v>
      </c>
      <c r="D694" s="9" t="str">
        <f t="array" ref="D694">IFERROR(INDEX(data!$G:$G,match(Caseslist!B694,data!$D:$D,0)), "INC")</f>
        <v>S2671943</v>
      </c>
      <c r="E694" s="9" t="str">
        <f t="array" ref="E694">IFERROR(INDEX(data!H:H,match(Caseslist!B694,data!D:D,0)), "INC")</f>
        <v>Marvin Mondia</v>
      </c>
      <c r="F694" s="10" t="str">
        <f t="array" ref="F694">IF(
    OR(
      IFNA(INDEX(data!M:M, MATCH(Caseslist!B694, data!D:D, 0)), "") = "",
      IFNA(INDEX(data!M:M, MATCH(Caseslist!B694, data!D:D, 0)), 0) = 0
    ),
    "COMPLETE",
    IF(
      IFNA(INDEX(dataICM!D:D, MATCH(Caseslist!B694, dataICM!D:D, 0)), "INC") = "INC",
      IFNA(INDEX(dataICM!D:D, MATCH(Caseslist!B694, dataICM!D:D, 0)), "INC"),
      "COMPLETE"
    )
  )</f>
        <v>COMPLETE</v>
      </c>
      <c r="G694" s="10" t="str">
        <f t="array" ref="G694">IF(IFERROR(INDEX(data!L:L,match(Caseslist!B694,data!D:D,0)),"INC")="","COMPLETE",F694)</f>
        <v>COMPLETE</v>
      </c>
      <c r="H694" s="9" t="str">
        <f t="array" ref="H694">IFERROR(INDEX(dataICM!F:F,match(Caseslist!B694,dataICM!D:D,0)), "INC")</f>
        <v>INC</v>
      </c>
      <c r="I694" s="10" t="str">
        <f t="shared" si="2"/>
        <v>S2671943</v>
      </c>
      <c r="J694" s="9" t="str">
        <f t="array" ref="J694">IF(
  AND(
    IFERROR(MATCH(B694, data!D:D, 0), 0) &gt; 0,
    IFERROR(INDEX(data!N:N, MATCH(B694, data!D:D, 0)) = 1, FALSE)
  ),
  INDEX(data!C:C, MATCH(B694, data!D:D, 0)),
  "INC"
)</f>
        <v>2025-08-30T16:59:55.286+08</v>
      </c>
      <c r="K694" s="9" t="str">
        <f t="array" ref="K694">IFERROR(INDEX(dataICM!C:C,match(Caseslist!B694,dataICM!D:D,0)), "INC")</f>
        <v>INC</v>
      </c>
      <c r="L694" s="10" t="str">
        <f t="array" ref="L694">IF(AND(G694="COMPLETE", OR(K694="INC", ISBLANK(INDEX(data!O:O, ROW())))), J694, K694)</f>
        <v>2025-08-30T16:59:55.286+08</v>
      </c>
      <c r="M694" s="2">
        <v>45899.0</v>
      </c>
      <c r="N694" s="2">
        <f t="array" ref="N694">IF(M694&lt;&gt;"INC", INDEX(data!M:M, MATCH(B694, data!D:D, 0)), "")</f>
        <v>0</v>
      </c>
      <c r="O694" s="2">
        <f t="shared" si="3"/>
        <v>0</v>
      </c>
    </row>
    <row r="695">
      <c r="A695" s="2" t="str">
        <f t="shared" si="1"/>
        <v>H019196</v>
      </c>
      <c r="B695" s="1" t="s">
        <v>1822</v>
      </c>
      <c r="C695" s="9" t="str">
        <f t="array" ref="C695">IF(
  AND(
    IFERROR(MATCH(Caseslist!B695, data!D:D, 0), 0) &gt; 0,
    IFERROR(INDEX(data!N:N, MATCH(Caseslist!B695, data!D:D, 0)) = 1, FALSE)
  ),
  "COMPLETE",
  "INC"
)</f>
        <v>COMPLETE</v>
      </c>
      <c r="D695" s="9">
        <f t="array" ref="D695">IFERROR(INDEX(data!$G:$G,match(Caseslist!B695,data!$D:$D,0)), "INC")</f>
        <v>859767</v>
      </c>
      <c r="E695" s="9" t="str">
        <f t="array" ref="E695">IFERROR(INDEX(data!H:H,match(Caseslist!B695,data!D:D,0)), "INC")</f>
        <v>Ramie De Pedro Jr.</v>
      </c>
      <c r="F695" s="10" t="str">
        <f t="array" ref="F695">IF(
    OR(
      IFNA(INDEX(data!M:M, MATCH(Caseslist!B695, data!D:D, 0)), "") = "",
      IFNA(INDEX(data!M:M, MATCH(Caseslist!B695, data!D:D, 0)), 0) = 0
    ),
    "COMPLETE",
    IF(
      IFNA(INDEX(dataICM!D:D, MATCH(Caseslist!B695, dataICM!D:D, 0)), "INC") = "INC",
      IFNA(INDEX(dataICM!D:D, MATCH(Caseslist!B695, dataICM!D:D, 0)), "INC"),
      "COMPLETE"
    )
  )</f>
        <v>COMPLETE</v>
      </c>
      <c r="G695" s="10" t="str">
        <f t="array" ref="G695">IF(IFERROR(INDEX(data!L:L,match(Caseslist!B695,data!D:D,0)),"INC")="","COMPLETE",F695)</f>
        <v>COMPLETE</v>
      </c>
      <c r="H695" s="9" t="str">
        <f t="array" ref="H695">IFERROR(INDEX(dataICM!F:F,match(Caseslist!B695,dataICM!D:D,0)), "INC")</f>
        <v>INC</v>
      </c>
      <c r="I695" s="10">
        <f t="shared" si="2"/>
        <v>859767</v>
      </c>
      <c r="J695" s="9" t="str">
        <f t="array" ref="J695">IF(
  AND(
    IFERROR(MATCH(B695, data!D:D, 0), 0) &gt; 0,
    IFERROR(INDEX(data!N:N, MATCH(B695, data!D:D, 0)) = 1, FALSE)
  ),
  INDEX(data!C:C, MATCH(B695, data!D:D, 0)),
  "INC"
)</f>
        <v>2025-08-30T16:11:28.444+08</v>
      </c>
      <c r="K695" s="9" t="str">
        <f t="array" ref="K695">IFERROR(INDEX(dataICM!C:C,match(Caseslist!B695,dataICM!D:D,0)), "INC")</f>
        <v>INC</v>
      </c>
      <c r="L695" s="10" t="str">
        <f t="array" ref="L695">IF(AND(G695="COMPLETE", OR(K695="INC", ISBLANK(INDEX(data!O:O, ROW())))), J695, K695)</f>
        <v>2025-08-30T16:11:28.444+08</v>
      </c>
      <c r="M695" s="2">
        <v>45899.0</v>
      </c>
      <c r="N695" s="2">
        <f t="array" ref="N695">IF(M695&lt;&gt;"INC", INDEX(data!M:M, MATCH(B695, data!D:D, 0)), "")</f>
        <v>0</v>
      </c>
      <c r="O695" s="2">
        <f t="shared" si="3"/>
        <v>0</v>
      </c>
    </row>
    <row r="696">
      <c r="A696" s="2" t="str">
        <f t="shared" si="1"/>
        <v>H019227</v>
      </c>
      <c r="B696" s="1" t="s">
        <v>8513</v>
      </c>
      <c r="C696" s="9" t="str">
        <f t="array" ref="C696">IF(
  AND(
    IFERROR(MATCH(Caseslist!B696, data!D:D, 0), 0) &gt; 0,
    IFERROR(INDEX(data!N:N, MATCH(Caseslist!B696, data!D:D, 0)) = 1, FALSE)
  ),
  "COMPLETE",
  "INC"
)</f>
        <v>COMPLETE</v>
      </c>
      <c r="D696" s="9">
        <f t="array" ref="D696">IFERROR(INDEX(data!$G:$G,match(Caseslist!B696,data!$D:$D,0)), "INC")</f>
        <v>555127</v>
      </c>
      <c r="E696" s="9" t="str">
        <f t="array" ref="E696">IFERROR(INDEX(data!H:H,match(Caseslist!B696,data!D:D,0)), "INC")</f>
        <v>Mary May_2</v>
      </c>
      <c r="F696" s="10" t="str">
        <f t="array" ref="F696">IF(
    OR(
      IFNA(INDEX(data!M:M, MATCH(Caseslist!B696, data!D:D, 0)), "") = "",
      IFNA(INDEX(data!M:M, MATCH(Caseslist!B696, data!D:D, 0)), 0) = 0
    ),
    "COMPLETE",
    IF(
      IFNA(INDEX(dataICM!D:D, MATCH(Caseslist!B696, dataICM!D:D, 0)), "INC") = "INC",
      IFNA(INDEX(dataICM!D:D, MATCH(Caseslist!B696, dataICM!D:D, 0)), "INC"),
      "COMPLETE"
    )
  )</f>
        <v>COMPLETE</v>
      </c>
      <c r="G696" s="10" t="str">
        <f t="array" ref="G696">IF(IFERROR(INDEX(data!L:L,match(Caseslist!B696,data!D:D,0)),"INC")="","COMPLETE",F696)</f>
        <v>COMPLETE</v>
      </c>
      <c r="H696" s="9" t="str">
        <f t="array" ref="H696">IFERROR(INDEX(dataICM!F:F,match(Caseslist!B696,dataICM!D:D,0)), "INC")</f>
        <v>INC</v>
      </c>
      <c r="I696" s="10">
        <f t="shared" si="2"/>
        <v>555127</v>
      </c>
      <c r="J696" s="9" t="str">
        <f t="array" ref="J696">IF(
  AND(
    IFERROR(MATCH(B696, data!D:D, 0), 0) &gt; 0,
    IFERROR(INDEX(data!N:N, MATCH(B696, data!D:D, 0)) = 1, FALSE)
  ),
  INDEX(data!C:C, MATCH(B696, data!D:D, 0)),
  "INC"
)</f>
        <v>2025-09-25T10:30:06.171+08</v>
      </c>
      <c r="K696" s="9" t="str">
        <f t="array" ref="K696">IFERROR(INDEX(dataICM!C:C,match(Caseslist!B696,dataICM!D:D,0)), "INC")</f>
        <v>INC</v>
      </c>
      <c r="L696" s="10" t="str">
        <f t="array" ref="L696">IF(AND(G696="COMPLETE", OR(K696="INC", ISBLANK(INDEX(data!O:O, ROW())))), J696, K696)</f>
        <v>2025-09-25T10:30:06.171+08</v>
      </c>
      <c r="M696" s="2">
        <v>45925.0</v>
      </c>
      <c r="N696" s="2">
        <f t="array" ref="N696">IF(M696&lt;&gt;"INC", INDEX(data!M:M, MATCH(B696, data!D:D, 0)), "")</f>
        <v>0</v>
      </c>
      <c r="O696" s="2">
        <f t="shared" si="3"/>
        <v>0</v>
      </c>
    </row>
    <row r="697">
      <c r="A697" s="2" t="str">
        <f t="shared" si="1"/>
        <v>H019227</v>
      </c>
      <c r="B697" s="1" t="s">
        <v>4617</v>
      </c>
      <c r="C697" s="9" t="str">
        <f t="array" ref="C697">IF(
  AND(
    IFERROR(MATCH(Caseslist!B697, data!D:D, 0), 0) &gt; 0,
    IFERROR(INDEX(data!N:N, MATCH(Caseslist!B697, data!D:D, 0)) = 1, FALSE)
  ),
  "COMPLETE",
  "INC"
)</f>
        <v>COMPLETE</v>
      </c>
      <c r="D697" s="9">
        <f t="array" ref="D697">IFERROR(INDEX(data!$G:$G,match(Caseslist!B697,data!$D:$D,0)), "INC")</f>
        <v>555127</v>
      </c>
      <c r="E697" s="9" t="str">
        <f t="array" ref="E697">IFERROR(INDEX(data!H:H,match(Caseslist!B697,data!D:D,0)), "INC")</f>
        <v>Mary May_2</v>
      </c>
      <c r="F697" s="10" t="str">
        <f t="array" ref="F697">IF(
    OR(
      IFNA(INDEX(data!M:M, MATCH(Caseslist!B697, data!D:D, 0)), "") = "",
      IFNA(INDEX(data!M:M, MATCH(Caseslist!B697, data!D:D, 0)), 0) = 0
    ),
    "COMPLETE",
    IF(
      IFNA(INDEX(dataICM!D:D, MATCH(Caseslist!B697, dataICM!D:D, 0)), "INC") = "INC",
      IFNA(INDEX(dataICM!D:D, MATCH(Caseslist!B697, dataICM!D:D, 0)), "INC"),
      "COMPLETE"
    )
  )</f>
        <v>COMPLETE</v>
      </c>
      <c r="G697" s="10" t="str">
        <f t="array" ref="G697">IF(IFERROR(INDEX(data!L:L,match(Caseslist!B697,data!D:D,0)),"INC")="","COMPLETE",F697)</f>
        <v>COMPLETE</v>
      </c>
      <c r="H697" s="9" t="str">
        <f t="array" ref="H697">IFERROR(INDEX(dataICM!F:F,match(Caseslist!B697,dataICM!D:D,0)), "INC")</f>
        <v>INC</v>
      </c>
      <c r="I697" s="10">
        <f t="shared" si="2"/>
        <v>555127</v>
      </c>
      <c r="J697" s="9" t="str">
        <f t="array" ref="J697">IF(
  AND(
    IFERROR(MATCH(B697, data!D:D, 0), 0) &gt; 0,
    IFERROR(INDEX(data!N:N, MATCH(B697, data!D:D, 0)) = 1, FALSE)
  ),
  INDEX(data!C:C, MATCH(B697, data!D:D, 0)),
  "INC"
)</f>
        <v>2025-09-08T14:24:52.772+08</v>
      </c>
      <c r="K697" s="9" t="str">
        <f t="array" ref="K697">IFERROR(INDEX(dataICM!C:C,match(Caseslist!B697,dataICM!D:D,0)), "INC")</f>
        <v>INC</v>
      </c>
      <c r="L697" s="10" t="str">
        <f t="array" ref="L697">IF(AND(G697="COMPLETE", OR(K697="INC", ISBLANK(INDEX(data!O:O, ROW())))), J697, K697)</f>
        <v>2025-09-08T14:24:52.772+08</v>
      </c>
      <c r="M697" s="2">
        <v>45908.0</v>
      </c>
      <c r="N697" s="2">
        <f t="array" ref="N697">IF(M697&lt;&gt;"INC", INDEX(data!M:M, MATCH(B697, data!D:D, 0)), "")</f>
        <v>0</v>
      </c>
      <c r="O697" s="2">
        <f t="shared" si="3"/>
        <v>0</v>
      </c>
    </row>
    <row r="698">
      <c r="A698" s="2" t="str">
        <f t="shared" si="1"/>
        <v>H019227</v>
      </c>
      <c r="B698" s="1" t="s">
        <v>4612</v>
      </c>
      <c r="C698" s="9" t="str">
        <f t="array" ref="C698">IF(
  AND(
    IFERROR(MATCH(Caseslist!B698, data!D:D, 0), 0) &gt; 0,
    IFERROR(INDEX(data!N:N, MATCH(Caseslist!B698, data!D:D, 0)) = 1, FALSE)
  ),
  "COMPLETE",
  "INC"
)</f>
        <v>COMPLETE</v>
      </c>
      <c r="D698" s="9">
        <f t="array" ref="D698">IFERROR(INDEX(data!$G:$G,match(Caseslist!B698,data!$D:$D,0)), "INC")</f>
        <v>555127</v>
      </c>
      <c r="E698" s="9" t="str">
        <f t="array" ref="E698">IFERROR(INDEX(data!H:H,match(Caseslist!B698,data!D:D,0)), "INC")</f>
        <v>Mary May_2</v>
      </c>
      <c r="F698" s="10" t="str">
        <f t="array" ref="F698">IF(
    OR(
      IFNA(INDEX(data!M:M, MATCH(Caseslist!B698, data!D:D, 0)), "") = "",
      IFNA(INDEX(data!M:M, MATCH(Caseslist!B698, data!D:D, 0)), 0) = 0
    ),
    "COMPLETE",
    IF(
      IFNA(INDEX(dataICM!D:D, MATCH(Caseslist!B698, dataICM!D:D, 0)), "INC") = "INC",
      IFNA(INDEX(dataICM!D:D, MATCH(Caseslist!B698, dataICM!D:D, 0)), "INC"),
      "COMPLETE"
    )
  )</f>
        <v>COMPLETE</v>
      </c>
      <c r="G698" s="10" t="str">
        <f t="array" ref="G698">IF(IFERROR(INDEX(data!L:L,match(Caseslist!B698,data!D:D,0)),"INC")="","COMPLETE",F698)</f>
        <v>COMPLETE</v>
      </c>
      <c r="H698" s="9" t="str">
        <f t="array" ref="H698">IFERROR(INDEX(dataICM!F:F,match(Caseslist!B698,dataICM!D:D,0)), "INC")</f>
        <v>INC</v>
      </c>
      <c r="I698" s="10">
        <f t="shared" si="2"/>
        <v>555127</v>
      </c>
      <c r="J698" s="9" t="str">
        <f t="array" ref="J698">IF(
  AND(
    IFERROR(MATCH(B698, data!D:D, 0), 0) &gt; 0,
    IFERROR(INDEX(data!N:N, MATCH(B698, data!D:D, 0)) = 1, FALSE)
  ),
  INDEX(data!C:C, MATCH(B698, data!D:D, 0)),
  "INC"
)</f>
        <v>2025-09-08T14:23:55.813+08</v>
      </c>
      <c r="K698" s="9" t="str">
        <f t="array" ref="K698">IFERROR(INDEX(dataICM!C:C,match(Caseslist!B698,dataICM!D:D,0)), "INC")</f>
        <v>INC</v>
      </c>
      <c r="L698" s="10" t="str">
        <f t="array" ref="L698">IF(AND(G698="COMPLETE", OR(K698="INC", ISBLANK(INDEX(data!O:O, ROW())))), J698, K698)</f>
        <v>2025-09-08T14:23:55.813+08</v>
      </c>
      <c r="M698" s="2">
        <v>45908.0</v>
      </c>
      <c r="N698" s="2">
        <f t="array" ref="N698">IF(M698&lt;&gt;"INC", INDEX(data!M:M, MATCH(B698, data!D:D, 0)), "")</f>
        <v>0</v>
      </c>
      <c r="O698" s="2">
        <f t="shared" si="3"/>
        <v>0</v>
      </c>
    </row>
    <row r="699">
      <c r="A699" s="2" t="str">
        <f t="shared" si="1"/>
        <v>H019227</v>
      </c>
      <c r="B699" s="1" t="s">
        <v>4587</v>
      </c>
      <c r="C699" s="9" t="str">
        <f t="array" ref="C699">IF(
  AND(
    IFERROR(MATCH(Caseslist!B699, data!D:D, 0), 0) &gt; 0,
    IFERROR(INDEX(data!N:N, MATCH(Caseslist!B699, data!D:D, 0)) = 1, FALSE)
  ),
  "COMPLETE",
  "INC"
)</f>
        <v>COMPLETE</v>
      </c>
      <c r="D699" s="9">
        <f t="array" ref="D699">IFERROR(INDEX(data!$G:$G,match(Caseslist!B699,data!$D:$D,0)), "INC")</f>
        <v>455939</v>
      </c>
      <c r="E699" s="9" t="str">
        <f t="array" ref="E699">IFERROR(INDEX(data!H:H,match(Caseslist!B699,data!D:D,0)), "INC")</f>
        <v>Mary Jean Villaflor_2</v>
      </c>
      <c r="F699" s="10" t="str">
        <f t="array" ref="F699">IF(
    OR(
      IFNA(INDEX(data!M:M, MATCH(Caseslist!B699, data!D:D, 0)), "") = "",
      IFNA(INDEX(data!M:M, MATCH(Caseslist!B699, data!D:D, 0)), 0) = 0
    ),
    "COMPLETE",
    IF(
      IFNA(INDEX(dataICM!D:D, MATCH(Caseslist!B699, dataICM!D:D, 0)), "INC") = "INC",
      IFNA(INDEX(dataICM!D:D, MATCH(Caseslist!B699, dataICM!D:D, 0)), "INC"),
      "COMPLETE"
    )
  )</f>
        <v>COMPLETE</v>
      </c>
      <c r="G699" s="10" t="str">
        <f t="array" ref="G699">IF(IFERROR(INDEX(data!L:L,match(Caseslist!B699,data!D:D,0)),"INC")="","COMPLETE",F699)</f>
        <v>COMPLETE</v>
      </c>
      <c r="H699" s="9" t="str">
        <f t="array" ref="H699">IFERROR(INDEX(dataICM!F:F,match(Caseslist!B699,dataICM!D:D,0)), "INC")</f>
        <v>INC</v>
      </c>
      <c r="I699" s="10">
        <f t="shared" si="2"/>
        <v>455939</v>
      </c>
      <c r="J699" s="9" t="str">
        <f t="array" ref="J699">IF(
  AND(
    IFERROR(MATCH(B699, data!D:D, 0), 0) &gt; 0,
    IFERROR(INDEX(data!N:N, MATCH(B699, data!D:D, 0)) = 1, FALSE)
  ),
  INDEX(data!C:C, MATCH(B699, data!D:D, 0)),
  "INC"
)</f>
        <v>2025-09-08T10:44:19.335+08</v>
      </c>
      <c r="K699" s="9" t="str">
        <f t="array" ref="K699">IFERROR(INDEX(dataICM!C:C,match(Caseslist!B699,dataICM!D:D,0)), "INC")</f>
        <v>INC</v>
      </c>
      <c r="L699" s="10" t="str">
        <f t="array" ref="L699">IF(AND(G699="COMPLETE", OR(K699="INC", ISBLANK(INDEX(data!O:O, ROW())))), J699, K699)</f>
        <v>2025-09-08T10:44:19.335+08</v>
      </c>
      <c r="M699" s="2">
        <v>45908.0</v>
      </c>
      <c r="N699" s="2">
        <f t="array" ref="N699">IF(M699&lt;&gt;"INC", INDEX(data!M:M, MATCH(B699, data!D:D, 0)), "")</f>
        <v>0</v>
      </c>
      <c r="O699" s="2">
        <f t="shared" si="3"/>
        <v>0</v>
      </c>
    </row>
    <row r="700">
      <c r="A700" s="2" t="str">
        <f t="shared" si="1"/>
        <v>H019227</v>
      </c>
      <c r="B700" s="1" t="s">
        <v>4592</v>
      </c>
      <c r="C700" s="9" t="str">
        <f t="array" ref="C700">IF(
  AND(
    IFERROR(MATCH(Caseslist!B700, data!D:D, 0), 0) &gt; 0,
    IFERROR(INDEX(data!N:N, MATCH(Caseslist!B700, data!D:D, 0)) = 1, FALSE)
  ),
  "COMPLETE",
  "INC"
)</f>
        <v>COMPLETE</v>
      </c>
      <c r="D700" s="9">
        <f t="array" ref="D700">IFERROR(INDEX(data!$G:$G,match(Caseslist!B700,data!$D:$D,0)), "INC")</f>
        <v>455939</v>
      </c>
      <c r="E700" s="9" t="str">
        <f t="array" ref="E700">IFERROR(INDEX(data!H:H,match(Caseslist!B700,data!D:D,0)), "INC")</f>
        <v>Mary Jean Villaflor_2</v>
      </c>
      <c r="F700" s="10" t="str">
        <f t="array" ref="F700">IF(
    OR(
      IFNA(INDEX(data!M:M, MATCH(Caseslist!B700, data!D:D, 0)), "") = "",
      IFNA(INDEX(data!M:M, MATCH(Caseslist!B700, data!D:D, 0)), 0) = 0
    ),
    "COMPLETE",
    IF(
      IFNA(INDEX(dataICM!D:D, MATCH(Caseslist!B700, dataICM!D:D, 0)), "INC") = "INC",
      IFNA(INDEX(dataICM!D:D, MATCH(Caseslist!B700, dataICM!D:D, 0)), "INC"),
      "COMPLETE"
    )
  )</f>
        <v>COMPLETE</v>
      </c>
      <c r="G700" s="10" t="str">
        <f t="array" ref="G700">IF(IFERROR(INDEX(data!L:L,match(Caseslist!B700,data!D:D,0)),"INC")="","COMPLETE",F700)</f>
        <v>COMPLETE</v>
      </c>
      <c r="H700" s="9" t="str">
        <f t="array" ref="H700">IFERROR(INDEX(dataICM!F:F,match(Caseslist!B700,dataICM!D:D,0)), "INC")</f>
        <v>INC</v>
      </c>
      <c r="I700" s="10">
        <f t="shared" si="2"/>
        <v>455939</v>
      </c>
      <c r="J700" s="9" t="str">
        <f t="array" ref="J700">IF(
  AND(
    IFERROR(MATCH(B700, data!D:D, 0), 0) &gt; 0,
    IFERROR(INDEX(data!N:N, MATCH(B700, data!D:D, 0)) = 1, FALSE)
  ),
  INDEX(data!C:C, MATCH(B700, data!D:D, 0)),
  "INC"
)</f>
        <v>2025-09-08T11:46:08.674+08</v>
      </c>
      <c r="K700" s="9" t="str">
        <f t="array" ref="K700">IFERROR(INDEX(dataICM!C:C,match(Caseslist!B700,dataICM!D:D,0)), "INC")</f>
        <v>INC</v>
      </c>
      <c r="L700" s="10" t="str">
        <f t="array" ref="L700">IF(AND(G700="COMPLETE", OR(K700="INC", ISBLANK(INDEX(data!O:O, ROW())))), J700, K700)</f>
        <v>2025-09-08T11:46:08.674+08</v>
      </c>
      <c r="M700" s="2">
        <v>45908.0</v>
      </c>
      <c r="N700" s="2">
        <f t="array" ref="N700">IF(M700&lt;&gt;"INC", INDEX(data!M:M, MATCH(B700, data!D:D, 0)), "")</f>
        <v>0</v>
      </c>
      <c r="O700" s="2">
        <f t="shared" si="3"/>
        <v>0</v>
      </c>
    </row>
    <row r="701">
      <c r="A701" s="2" t="str">
        <f t="shared" si="1"/>
        <v>H019227</v>
      </c>
      <c r="B701" s="1" t="s">
        <v>4382</v>
      </c>
      <c r="C701" s="9" t="str">
        <f t="array" ref="C701">IF(
  AND(
    IFERROR(MATCH(Caseslist!B701, data!D:D, 0), 0) &gt; 0,
    IFERROR(INDEX(data!N:N, MATCH(Caseslist!B701, data!D:D, 0)) = 1, FALSE)
  ),
  "COMPLETE",
  "INC"
)</f>
        <v>COMPLETE</v>
      </c>
      <c r="D701" s="9">
        <f t="array" ref="D701">IFERROR(INDEX(data!$G:$G,match(Caseslist!B701,data!$D:$D,0)), "INC")</f>
        <v>841329</v>
      </c>
      <c r="E701" s="9" t="str">
        <f t="array" ref="E701">IFERROR(INDEX(data!H:H,match(Caseslist!B701,data!D:D,0)), "INC")</f>
        <v>Aila Eli_2</v>
      </c>
      <c r="F701" s="10" t="str">
        <f t="array" ref="F701">IF(
    OR(
      IFNA(INDEX(data!M:M, MATCH(Caseslist!B701, data!D:D, 0)), "") = "",
      IFNA(INDEX(data!M:M, MATCH(Caseslist!B701, data!D:D, 0)), 0) = 0
    ),
    "COMPLETE",
    IF(
      IFNA(INDEX(dataICM!D:D, MATCH(Caseslist!B701, dataICM!D:D, 0)), "INC") = "INC",
      IFNA(INDEX(dataICM!D:D, MATCH(Caseslist!B701, dataICM!D:D, 0)), "INC"),
      "COMPLETE"
    )
  )</f>
        <v>COMPLETE</v>
      </c>
      <c r="G701" s="10" t="str">
        <f t="array" ref="G701">IF(IFERROR(INDEX(data!L:L,match(Caseslist!B701,data!D:D,0)),"INC")="","COMPLETE",F701)</f>
        <v>COMPLETE</v>
      </c>
      <c r="H701" s="9" t="str">
        <f t="array" ref="H701">IFERROR(INDEX(dataICM!F:F,match(Caseslist!B701,dataICM!D:D,0)), "INC")</f>
        <v>INC</v>
      </c>
      <c r="I701" s="10">
        <f t="shared" si="2"/>
        <v>841329</v>
      </c>
      <c r="J701" s="9" t="str">
        <f t="array" ref="J701">IF(
  AND(
    IFERROR(MATCH(B701, data!D:D, 0), 0) &gt; 0,
    IFERROR(INDEX(data!N:N, MATCH(B701, data!D:D, 0)) = 1, FALSE)
  ),
  INDEX(data!C:C, MATCH(B701, data!D:D, 0)),
  "INC"
)</f>
        <v>2025-09-08T11:00:11.166+08</v>
      </c>
      <c r="K701" s="9" t="str">
        <f t="array" ref="K701">IFERROR(INDEX(dataICM!C:C,match(Caseslist!B701,dataICM!D:D,0)), "INC")</f>
        <v>INC</v>
      </c>
      <c r="L701" s="10" t="str">
        <f t="array" ref="L701">IF(AND(G701="COMPLETE", OR(K701="INC", ISBLANK(INDEX(data!O:O, ROW())))), J701, K701)</f>
        <v>2025-09-08T11:00:11.166+08</v>
      </c>
      <c r="M701" s="2">
        <v>45908.0</v>
      </c>
      <c r="N701" s="2">
        <f t="array" ref="N701">IF(M701&lt;&gt;"INC", INDEX(data!M:M, MATCH(B701, data!D:D, 0)), "")</f>
        <v>0</v>
      </c>
      <c r="O701" s="2">
        <f t="shared" si="3"/>
        <v>0</v>
      </c>
    </row>
    <row r="702">
      <c r="A702" s="2" t="str">
        <f t="shared" si="1"/>
        <v>H019227</v>
      </c>
      <c r="B702" s="1" t="s">
        <v>4622</v>
      </c>
      <c r="C702" s="9" t="str">
        <f t="array" ref="C702">IF(
  AND(
    IFERROR(MATCH(Caseslist!B702, data!D:D, 0), 0) &gt; 0,
    IFERROR(INDEX(data!N:N, MATCH(Caseslist!B702, data!D:D, 0)) = 1, FALSE)
  ),
  "COMPLETE",
  "INC"
)</f>
        <v>COMPLETE</v>
      </c>
      <c r="D702" s="9">
        <f t="array" ref="D702">IFERROR(INDEX(data!$G:$G,match(Caseslist!B702,data!$D:$D,0)), "INC")</f>
        <v>555127</v>
      </c>
      <c r="E702" s="9" t="str">
        <f t="array" ref="E702">IFERROR(INDEX(data!H:H,match(Caseslist!B702,data!D:D,0)), "INC")</f>
        <v>Mary May_2</v>
      </c>
      <c r="F702" s="10" t="str">
        <f t="array" ref="F702">IF(
    OR(
      IFNA(INDEX(data!M:M, MATCH(Caseslist!B702, data!D:D, 0)), "") = "",
      IFNA(INDEX(data!M:M, MATCH(Caseslist!B702, data!D:D, 0)), 0) = 0
    ),
    "COMPLETE",
    IF(
      IFNA(INDEX(dataICM!D:D, MATCH(Caseslist!B702, dataICM!D:D, 0)), "INC") = "INC",
      IFNA(INDEX(dataICM!D:D, MATCH(Caseslist!B702, dataICM!D:D, 0)), "INC"),
      "COMPLETE"
    )
  )</f>
        <v>COMPLETE</v>
      </c>
      <c r="G702" s="10" t="str">
        <f t="array" ref="G702">IF(IFERROR(INDEX(data!L:L,match(Caseslist!B702,data!D:D,0)),"INC")="","COMPLETE",F702)</f>
        <v>COMPLETE</v>
      </c>
      <c r="H702" s="9" t="str">
        <f t="array" ref="H702">IFERROR(INDEX(dataICM!F:F,match(Caseslist!B702,dataICM!D:D,0)), "INC")</f>
        <v>INC</v>
      </c>
      <c r="I702" s="10">
        <f t="shared" si="2"/>
        <v>555127</v>
      </c>
      <c r="J702" s="9" t="str">
        <f t="array" ref="J702">IF(
  AND(
    IFERROR(MATCH(B702, data!D:D, 0), 0) &gt; 0,
    IFERROR(INDEX(data!N:N, MATCH(B702, data!D:D, 0)) = 1, FALSE)
  ),
  INDEX(data!C:C, MATCH(B702, data!D:D, 0)),
  "INC"
)</f>
        <v>2025-09-08T15:50:45.953+08</v>
      </c>
      <c r="K702" s="9" t="str">
        <f t="array" ref="K702">IFERROR(INDEX(dataICM!C:C,match(Caseslist!B702,dataICM!D:D,0)), "INC")</f>
        <v>INC</v>
      </c>
      <c r="L702" s="10" t="str">
        <f t="array" ref="L702">IF(AND(G702="COMPLETE", OR(K702="INC", ISBLANK(INDEX(data!O:O, ROW())))), J702, K702)</f>
        <v>2025-09-08T15:50:45.953+08</v>
      </c>
      <c r="M702" s="2">
        <v>45908.0</v>
      </c>
      <c r="N702" s="2">
        <f t="array" ref="N702">IF(M702&lt;&gt;"INC", INDEX(data!M:M, MATCH(B702, data!D:D, 0)), "")</f>
        <v>0</v>
      </c>
      <c r="O702" s="2">
        <f t="shared" si="3"/>
        <v>0</v>
      </c>
    </row>
    <row r="703">
      <c r="A703" s="2" t="str">
        <f t="shared" si="1"/>
        <v>H019227</v>
      </c>
      <c r="B703" s="1" t="s">
        <v>4377</v>
      </c>
      <c r="C703" s="9" t="str">
        <f t="array" ref="C703">IF(
  AND(
    IFERROR(MATCH(Caseslist!B703, data!D:D, 0), 0) &gt; 0,
    IFERROR(INDEX(data!N:N, MATCH(Caseslist!B703, data!D:D, 0)) = 1, FALSE)
  ),
  "COMPLETE",
  "INC"
)</f>
        <v>COMPLETE</v>
      </c>
      <c r="D703" s="9">
        <f t="array" ref="D703">IFERROR(INDEX(data!$G:$G,match(Caseslist!B703,data!$D:$D,0)), "INC")</f>
        <v>555127</v>
      </c>
      <c r="E703" s="9" t="str">
        <f t="array" ref="E703">IFERROR(INDEX(data!H:H,match(Caseslist!B703,data!D:D,0)), "INC")</f>
        <v>Mary May_2</v>
      </c>
      <c r="F703" s="10" t="str">
        <f t="array" ref="F703">IF(
    OR(
      IFNA(INDEX(data!M:M, MATCH(Caseslist!B703, data!D:D, 0)), "") = "",
      IFNA(INDEX(data!M:M, MATCH(Caseslist!B703, data!D:D, 0)), 0) = 0
    ),
    "COMPLETE",
    IF(
      IFNA(INDEX(dataICM!D:D, MATCH(Caseslist!B703, dataICM!D:D, 0)), "INC") = "INC",
      IFNA(INDEX(dataICM!D:D, MATCH(Caseslist!B703, dataICM!D:D, 0)), "INC"),
      "COMPLETE"
    )
  )</f>
        <v>COMPLETE</v>
      </c>
      <c r="G703" s="10" t="str">
        <f t="array" ref="G703">IF(IFERROR(INDEX(data!L:L,match(Caseslist!B703,data!D:D,0)),"INC")="","COMPLETE",F703)</f>
        <v>COMPLETE</v>
      </c>
      <c r="H703" s="9" t="str">
        <f t="array" ref="H703">IFERROR(INDEX(dataICM!F:F,match(Caseslist!B703,dataICM!D:D,0)), "INC")</f>
        <v>INC</v>
      </c>
      <c r="I703" s="10">
        <f t="shared" si="2"/>
        <v>555127</v>
      </c>
      <c r="J703" s="9" t="str">
        <f t="array" ref="J703">IF(
  AND(
    IFERROR(MATCH(B703, data!D:D, 0), 0) &gt; 0,
    IFERROR(INDEX(data!N:N, MATCH(B703, data!D:D, 0)) = 1, FALSE)
  ),
  INDEX(data!C:C, MATCH(B703, data!D:D, 0)),
  "INC"
)</f>
        <v>2025-09-25T14:49:05.648+08</v>
      </c>
      <c r="K703" s="9" t="str">
        <f t="array" ref="K703">IFERROR(INDEX(dataICM!C:C,match(Caseslist!B703,dataICM!D:D,0)), "INC")</f>
        <v>INC</v>
      </c>
      <c r="L703" s="10" t="str">
        <f t="array" ref="L703">IF(AND(G703="COMPLETE", OR(K703="INC", ISBLANK(INDEX(data!O:O, ROW())))), J703, K703)</f>
        <v>2025-09-25T14:49:05.648+08</v>
      </c>
      <c r="M703" s="2">
        <v>45925.0</v>
      </c>
      <c r="N703" s="2">
        <f t="array" ref="N703">IF(M703&lt;&gt;"INC", INDEX(data!M:M, MATCH(B703, data!D:D, 0)), "")</f>
        <v>0</v>
      </c>
      <c r="O703" s="2">
        <f t="shared" si="3"/>
        <v>0</v>
      </c>
    </row>
    <row r="704">
      <c r="A704" s="2" t="str">
        <f t="shared" si="1"/>
        <v>H019227</v>
      </c>
      <c r="B704" s="1" t="s">
        <v>8508</v>
      </c>
      <c r="C704" s="9" t="str">
        <f t="array" ref="C704">IF(
  AND(
    IFERROR(MATCH(Caseslist!B704, data!D:D, 0), 0) &gt; 0,
    IFERROR(INDEX(data!N:N, MATCH(Caseslist!B704, data!D:D, 0)) = 1, FALSE)
  ),
  "COMPLETE",
  "INC"
)</f>
        <v>COMPLETE</v>
      </c>
      <c r="D704" s="9">
        <f t="array" ref="D704">IFERROR(INDEX(data!$G:$G,match(Caseslist!B704,data!$D:$D,0)), "INC")</f>
        <v>555127</v>
      </c>
      <c r="E704" s="9" t="str">
        <f t="array" ref="E704">IFERROR(INDEX(data!H:H,match(Caseslist!B704,data!D:D,0)), "INC")</f>
        <v>Mary May_2</v>
      </c>
      <c r="F704" s="10" t="str">
        <f t="array" ref="F704">IF(
    OR(
      IFNA(INDEX(data!M:M, MATCH(Caseslist!B704, data!D:D, 0)), "") = "",
      IFNA(INDEX(data!M:M, MATCH(Caseslist!B704, data!D:D, 0)), 0) = 0
    ),
    "COMPLETE",
    IF(
      IFNA(INDEX(dataICM!D:D, MATCH(Caseslist!B704, dataICM!D:D, 0)), "INC") = "INC",
      IFNA(INDEX(dataICM!D:D, MATCH(Caseslist!B704, dataICM!D:D, 0)), "INC"),
      "COMPLETE"
    )
  )</f>
        <v>COMPLETE</v>
      </c>
      <c r="G704" s="10" t="str">
        <f t="array" ref="G704">IF(IFERROR(INDEX(data!L:L,match(Caseslist!B704,data!D:D,0)),"INC")="","COMPLETE",F704)</f>
        <v>COMPLETE</v>
      </c>
      <c r="H704" s="9" t="str">
        <f t="array" ref="H704">IFERROR(INDEX(dataICM!F:F,match(Caseslist!B704,dataICM!D:D,0)), "INC")</f>
        <v>INC</v>
      </c>
      <c r="I704" s="10">
        <f t="shared" si="2"/>
        <v>555127</v>
      </c>
      <c r="J704" s="9" t="str">
        <f t="array" ref="J704">IF(
  AND(
    IFERROR(MATCH(B704, data!D:D, 0), 0) &gt; 0,
    IFERROR(INDEX(data!N:N, MATCH(B704, data!D:D, 0)) = 1, FALSE)
  ),
  INDEX(data!C:C, MATCH(B704, data!D:D, 0)),
  "INC"
)</f>
        <v>2025-09-25T09:30:18.404+08</v>
      </c>
      <c r="K704" s="9" t="str">
        <f t="array" ref="K704">IFERROR(INDEX(dataICM!C:C,match(Caseslist!B704,dataICM!D:D,0)), "INC")</f>
        <v>INC</v>
      </c>
      <c r="L704" s="10" t="str">
        <f t="array" ref="L704">IF(AND(G704="COMPLETE", OR(K704="INC", ISBLANK(INDEX(data!O:O, ROW())))), J704, K704)</f>
        <v>2025-09-25T09:30:18.404+08</v>
      </c>
      <c r="M704" s="2">
        <v>45925.0</v>
      </c>
      <c r="N704" s="2">
        <f t="array" ref="N704">IF(M704&lt;&gt;"INC", INDEX(data!M:M, MATCH(B704, data!D:D, 0)), "")</f>
        <v>0</v>
      </c>
      <c r="O704" s="2">
        <f t="shared" si="3"/>
        <v>0</v>
      </c>
    </row>
    <row r="705">
      <c r="A705" s="2" t="str">
        <f t="shared" si="1"/>
        <v>H019227</v>
      </c>
      <c r="B705" s="1" t="s">
        <v>4372</v>
      </c>
      <c r="C705" s="9" t="str">
        <f t="array" ref="C705">IF(
  AND(
    IFERROR(MATCH(Caseslist!B705, data!D:D, 0), 0) &gt; 0,
    IFERROR(INDEX(data!N:N, MATCH(Caseslist!B705, data!D:D, 0)) = 1, FALSE)
  ),
  "COMPLETE",
  "INC"
)</f>
        <v>COMPLETE</v>
      </c>
      <c r="D705" s="9">
        <f t="array" ref="D705">IFERROR(INDEX(data!$G:$G,match(Caseslist!B705,data!$D:$D,0)), "INC")</f>
        <v>841329</v>
      </c>
      <c r="E705" s="9" t="str">
        <f t="array" ref="E705">IFERROR(INDEX(data!H:H,match(Caseslist!B705,data!D:D,0)), "INC")</f>
        <v>Aila Eli_2</v>
      </c>
      <c r="F705" s="10" t="str">
        <f t="array" ref="F705">IF(
    OR(
      IFNA(INDEX(data!M:M, MATCH(Caseslist!B705, data!D:D, 0)), "") = "",
      IFNA(INDEX(data!M:M, MATCH(Caseslist!B705, data!D:D, 0)), 0) = 0
    ),
    "COMPLETE",
    IF(
      IFNA(INDEX(dataICM!D:D, MATCH(Caseslist!B705, dataICM!D:D, 0)), "INC") = "INC",
      IFNA(INDEX(dataICM!D:D, MATCH(Caseslist!B705, dataICM!D:D, 0)), "INC"),
      "COMPLETE"
    )
  )</f>
        <v>COMPLETE</v>
      </c>
      <c r="G705" s="10" t="str">
        <f t="array" ref="G705">IF(IFERROR(INDEX(data!L:L,match(Caseslist!B705,data!D:D,0)),"INC")="","COMPLETE",F705)</f>
        <v>COMPLETE</v>
      </c>
      <c r="H705" s="9" t="str">
        <f t="array" ref="H705">IFERROR(INDEX(dataICM!F:F,match(Caseslist!B705,dataICM!D:D,0)), "INC")</f>
        <v>INC</v>
      </c>
      <c r="I705" s="10">
        <f t="shared" si="2"/>
        <v>841329</v>
      </c>
      <c r="J705" s="9" t="str">
        <f t="array" ref="J705">IF(
  AND(
    IFERROR(MATCH(B705, data!D:D, 0), 0) &gt; 0,
    IFERROR(INDEX(data!N:N, MATCH(B705, data!D:D, 0)) = 1, FALSE)
  ),
  INDEX(data!C:C, MATCH(B705, data!D:D, 0)),
  "INC"
)</f>
        <v>2025-09-08T14:23:59.104+08</v>
      </c>
      <c r="K705" s="9" t="str">
        <f t="array" ref="K705">IFERROR(INDEX(dataICM!C:C,match(Caseslist!B705,dataICM!D:D,0)), "INC")</f>
        <v>INC</v>
      </c>
      <c r="L705" s="10" t="str">
        <f t="array" ref="L705">IF(AND(G705="COMPLETE", OR(K705="INC", ISBLANK(INDEX(data!O:O, ROW())))), J705, K705)</f>
        <v>2025-09-08T14:23:59.104+08</v>
      </c>
      <c r="M705" s="2">
        <v>45908.0</v>
      </c>
      <c r="N705" s="2">
        <f t="array" ref="N705">IF(M705&lt;&gt;"INC", INDEX(data!M:M, MATCH(B705, data!D:D, 0)), "")</f>
        <v>0</v>
      </c>
      <c r="O705" s="2">
        <f t="shared" si="3"/>
        <v>0</v>
      </c>
    </row>
    <row r="706">
      <c r="A706" s="2" t="str">
        <f t="shared" si="1"/>
        <v>H019227</v>
      </c>
      <c r="B706" s="1" t="s">
        <v>4367</v>
      </c>
      <c r="C706" s="9" t="str">
        <f t="array" ref="C706">IF(
  AND(
    IFERROR(MATCH(Caseslist!B706, data!D:D, 0), 0) &gt; 0,
    IFERROR(INDEX(data!N:N, MATCH(Caseslist!B706, data!D:D, 0)) = 1, FALSE)
  ),
  "COMPLETE",
  "INC"
)</f>
        <v>COMPLETE</v>
      </c>
      <c r="D706" s="9">
        <f t="array" ref="D706">IFERROR(INDEX(data!$G:$G,match(Caseslist!B706,data!$D:$D,0)), "INC")</f>
        <v>841329</v>
      </c>
      <c r="E706" s="9" t="str">
        <f t="array" ref="E706">IFERROR(INDEX(data!H:H,match(Caseslist!B706,data!D:D,0)), "INC")</f>
        <v>Aila Eli_2</v>
      </c>
      <c r="F706" s="10" t="str">
        <f t="array" ref="F706">IF(
    OR(
      IFNA(INDEX(data!M:M, MATCH(Caseslist!B706, data!D:D, 0)), "") = "",
      IFNA(INDEX(data!M:M, MATCH(Caseslist!B706, data!D:D, 0)), 0) = 0
    ),
    "COMPLETE",
    IF(
      IFNA(INDEX(dataICM!D:D, MATCH(Caseslist!B706, dataICM!D:D, 0)), "INC") = "INC",
      IFNA(INDEX(dataICM!D:D, MATCH(Caseslist!B706, dataICM!D:D, 0)), "INC"),
      "COMPLETE"
    )
  )</f>
        <v>COMPLETE</v>
      </c>
      <c r="G706" s="10" t="str">
        <f t="array" ref="G706">IF(IFERROR(INDEX(data!L:L,match(Caseslist!B706,data!D:D,0)),"INC")="","COMPLETE",F706)</f>
        <v>COMPLETE</v>
      </c>
      <c r="H706" s="9" t="str">
        <f t="array" ref="H706">IFERROR(INDEX(dataICM!F:F,match(Caseslist!B706,dataICM!D:D,0)), "INC")</f>
        <v>INC</v>
      </c>
      <c r="I706" s="10">
        <f t="shared" si="2"/>
        <v>841329</v>
      </c>
      <c r="J706" s="9" t="str">
        <f t="array" ref="J706">IF(
  AND(
    IFERROR(MATCH(B706, data!D:D, 0), 0) &gt; 0,
    IFERROR(INDEX(data!N:N, MATCH(B706, data!D:D, 0)) = 1, FALSE)
  ),
  INDEX(data!C:C, MATCH(B706, data!D:D, 0)),
  "INC"
)</f>
        <v>2025-09-08T13:18:57.742+08</v>
      </c>
      <c r="K706" s="9" t="str">
        <f t="array" ref="K706">IFERROR(INDEX(dataICM!C:C,match(Caseslist!B706,dataICM!D:D,0)), "INC")</f>
        <v>INC</v>
      </c>
      <c r="L706" s="10" t="str">
        <f t="array" ref="L706">IF(AND(G706="COMPLETE", OR(K706="INC", ISBLANK(INDEX(data!O:O, ROW())))), J706, K706)</f>
        <v>2025-09-08T13:18:57.742+08</v>
      </c>
      <c r="M706" s="2">
        <v>45908.0</v>
      </c>
      <c r="N706" s="2">
        <f t="array" ref="N706">IF(M706&lt;&gt;"INC", INDEX(data!M:M, MATCH(B706, data!D:D, 0)), "")</f>
        <v>0</v>
      </c>
      <c r="O706" s="2">
        <f t="shared" si="3"/>
        <v>0</v>
      </c>
    </row>
    <row r="707">
      <c r="A707" s="2" t="str">
        <f t="shared" si="1"/>
        <v>H019227</v>
      </c>
      <c r="B707" s="1" t="s">
        <v>4607</v>
      </c>
      <c r="C707" s="9" t="str">
        <f t="array" ref="C707">IF(
  AND(
    IFERROR(MATCH(Caseslist!B707, data!D:D, 0), 0) &gt; 0,
    IFERROR(INDEX(data!N:N, MATCH(Caseslist!B707, data!D:D, 0)) = 1, FALSE)
  ),
  "COMPLETE",
  "INC"
)</f>
        <v>COMPLETE</v>
      </c>
      <c r="D707" s="9">
        <f t="array" ref="D707">IFERROR(INDEX(data!$G:$G,match(Caseslist!B707,data!$D:$D,0)), "INC")</f>
        <v>555127</v>
      </c>
      <c r="E707" s="9" t="str">
        <f t="array" ref="E707">IFERROR(INDEX(data!H:H,match(Caseslist!B707,data!D:D,0)), "INC")</f>
        <v>Mary May_2</v>
      </c>
      <c r="F707" s="10" t="str">
        <f t="array" ref="F707">IF(
    OR(
      IFNA(INDEX(data!M:M, MATCH(Caseslist!B707, data!D:D, 0)), "") = "",
      IFNA(INDEX(data!M:M, MATCH(Caseslist!B707, data!D:D, 0)), 0) = 0
    ),
    "COMPLETE",
    IF(
      IFNA(INDEX(dataICM!D:D, MATCH(Caseslist!B707, dataICM!D:D, 0)), "INC") = "INC",
      IFNA(INDEX(dataICM!D:D, MATCH(Caseslist!B707, dataICM!D:D, 0)), "INC"),
      "COMPLETE"
    )
  )</f>
        <v>COMPLETE</v>
      </c>
      <c r="G707" s="10" t="str">
        <f t="array" ref="G707">IF(IFERROR(INDEX(data!L:L,match(Caseslist!B707,data!D:D,0)),"INC")="","COMPLETE",F707)</f>
        <v>COMPLETE</v>
      </c>
      <c r="H707" s="9" t="str">
        <f t="array" ref="H707">IFERROR(INDEX(dataICM!F:F,match(Caseslist!B707,dataICM!D:D,0)), "INC")</f>
        <v>INC</v>
      </c>
      <c r="I707" s="10">
        <f t="shared" si="2"/>
        <v>555127</v>
      </c>
      <c r="J707" s="9" t="str">
        <f t="array" ref="J707">IF(
  AND(
    IFERROR(MATCH(B707, data!D:D, 0), 0) &gt; 0,
    IFERROR(INDEX(data!N:N, MATCH(B707, data!D:D, 0)) = 1, FALSE)
  ),
  INDEX(data!C:C, MATCH(B707, data!D:D, 0)),
  "INC"
)</f>
        <v>2025-09-08T11:50:41.168+08</v>
      </c>
      <c r="K707" s="9" t="str">
        <f t="array" ref="K707">IFERROR(INDEX(dataICM!C:C,match(Caseslist!B707,dataICM!D:D,0)), "INC")</f>
        <v>INC</v>
      </c>
      <c r="L707" s="10" t="str">
        <f t="array" ref="L707">IF(AND(G707="COMPLETE", OR(K707="INC", ISBLANK(INDEX(data!O:O, ROW())))), J707, K707)</f>
        <v>2025-09-08T11:50:41.168+08</v>
      </c>
      <c r="M707" s="2">
        <v>45908.0</v>
      </c>
      <c r="N707" s="2">
        <f t="array" ref="N707">IF(M707&lt;&gt;"INC", INDEX(data!M:M, MATCH(B707, data!D:D, 0)), "")</f>
        <v>0</v>
      </c>
      <c r="O707" s="2">
        <f t="shared" si="3"/>
        <v>0</v>
      </c>
    </row>
    <row r="708">
      <c r="A708" s="2" t="str">
        <f t="shared" si="1"/>
        <v>H019227</v>
      </c>
      <c r="B708" s="1" t="s">
        <v>4602</v>
      </c>
      <c r="C708" s="9" t="str">
        <f t="array" ref="C708">IF(
  AND(
    IFERROR(MATCH(Caseslist!B708, data!D:D, 0), 0) &gt; 0,
    IFERROR(INDEX(data!N:N, MATCH(Caseslist!B708, data!D:D, 0)) = 1, FALSE)
  ),
  "COMPLETE",
  "INC"
)</f>
        <v>COMPLETE</v>
      </c>
      <c r="D708" s="9">
        <f t="array" ref="D708">IFERROR(INDEX(data!$G:$G,match(Caseslist!B708,data!$D:$D,0)), "INC")</f>
        <v>455939</v>
      </c>
      <c r="E708" s="9" t="str">
        <f t="array" ref="E708">IFERROR(INDEX(data!H:H,match(Caseslist!B708,data!D:D,0)), "INC")</f>
        <v>Mary Jean Villaflor_2</v>
      </c>
      <c r="F708" s="10" t="str">
        <f t="array" ref="F708">IF(
    OR(
      IFNA(INDEX(data!M:M, MATCH(Caseslist!B708, data!D:D, 0)), "") = "",
      IFNA(INDEX(data!M:M, MATCH(Caseslist!B708, data!D:D, 0)), 0) = 0
    ),
    "COMPLETE",
    IF(
      IFNA(INDEX(dataICM!D:D, MATCH(Caseslist!B708, dataICM!D:D, 0)), "INC") = "INC",
      IFNA(INDEX(dataICM!D:D, MATCH(Caseslist!B708, dataICM!D:D, 0)), "INC"),
      "COMPLETE"
    )
  )</f>
        <v>COMPLETE</v>
      </c>
      <c r="G708" s="10" t="str">
        <f t="array" ref="G708">IF(IFERROR(INDEX(data!L:L,match(Caseslist!B708,data!D:D,0)),"INC")="","COMPLETE",F708)</f>
        <v>COMPLETE</v>
      </c>
      <c r="H708" s="9" t="str">
        <f t="array" ref="H708">IFERROR(INDEX(dataICM!F:F,match(Caseslist!B708,dataICM!D:D,0)), "INC")</f>
        <v>INC</v>
      </c>
      <c r="I708" s="10">
        <f t="shared" si="2"/>
        <v>455939</v>
      </c>
      <c r="J708" s="9" t="str">
        <f t="array" ref="J708">IF(
  AND(
    IFERROR(MATCH(B708, data!D:D, 0), 0) &gt; 0,
    IFERROR(INDEX(data!N:N, MATCH(B708, data!D:D, 0)) = 1, FALSE)
  ),
  INDEX(data!C:C, MATCH(B708, data!D:D, 0)),
  "INC"
)</f>
        <v>2025-09-08T13:59:02.787+08</v>
      </c>
      <c r="K708" s="9" t="str">
        <f t="array" ref="K708">IFERROR(INDEX(dataICM!C:C,match(Caseslist!B708,dataICM!D:D,0)), "INC")</f>
        <v>INC</v>
      </c>
      <c r="L708" s="10" t="str">
        <f t="array" ref="L708">IF(AND(G708="COMPLETE", OR(K708="INC", ISBLANK(INDEX(data!O:O, ROW())))), J708, K708)</f>
        <v>2025-09-08T13:59:02.787+08</v>
      </c>
      <c r="M708" s="2">
        <v>45908.0</v>
      </c>
      <c r="N708" s="2">
        <f t="array" ref="N708">IF(M708&lt;&gt;"INC", INDEX(data!M:M, MATCH(B708, data!D:D, 0)), "")</f>
        <v>0</v>
      </c>
      <c r="O708" s="2">
        <f t="shared" si="3"/>
        <v>0</v>
      </c>
    </row>
    <row r="709">
      <c r="A709" s="2" t="str">
        <f t="shared" si="1"/>
        <v>H019227</v>
      </c>
      <c r="B709" s="1" t="s">
        <v>4597</v>
      </c>
      <c r="C709" s="9" t="str">
        <f t="array" ref="C709">IF(
  AND(
    IFERROR(MATCH(Caseslist!B709, data!D:D, 0), 0) &gt; 0,
    IFERROR(INDEX(data!N:N, MATCH(Caseslist!B709, data!D:D, 0)) = 1, FALSE)
  ),
  "COMPLETE",
  "INC"
)</f>
        <v>COMPLETE</v>
      </c>
      <c r="D709" s="9">
        <f t="array" ref="D709">IFERROR(INDEX(data!$G:$G,match(Caseslist!B709,data!$D:$D,0)), "INC")</f>
        <v>455939</v>
      </c>
      <c r="E709" s="9" t="str">
        <f t="array" ref="E709">IFERROR(INDEX(data!H:H,match(Caseslist!B709,data!D:D,0)), "INC")</f>
        <v>Mary Jean Villaflor_2</v>
      </c>
      <c r="F709" s="10" t="str">
        <f t="array" ref="F709">IF(
    OR(
      IFNA(INDEX(data!M:M, MATCH(Caseslist!B709, data!D:D, 0)), "") = "",
      IFNA(INDEX(data!M:M, MATCH(Caseslist!B709, data!D:D, 0)), 0) = 0
    ),
    "COMPLETE",
    IF(
      IFNA(INDEX(dataICM!D:D, MATCH(Caseslist!B709, dataICM!D:D, 0)), "INC") = "INC",
      IFNA(INDEX(dataICM!D:D, MATCH(Caseslist!B709, dataICM!D:D, 0)), "INC"),
      "COMPLETE"
    )
  )</f>
        <v>COMPLETE</v>
      </c>
      <c r="G709" s="10" t="str">
        <f t="array" ref="G709">IF(IFERROR(INDEX(data!L:L,match(Caseslist!B709,data!D:D,0)),"INC")="","COMPLETE",F709)</f>
        <v>COMPLETE</v>
      </c>
      <c r="H709" s="9" t="str">
        <f t="array" ref="H709">IFERROR(INDEX(dataICM!F:F,match(Caseslist!B709,dataICM!D:D,0)), "INC")</f>
        <v>INC</v>
      </c>
      <c r="I709" s="10">
        <f t="shared" si="2"/>
        <v>455939</v>
      </c>
      <c r="J709" s="9" t="str">
        <f t="array" ref="J709">IF(
  AND(
    IFERROR(MATCH(B709, data!D:D, 0), 0) &gt; 0,
    IFERROR(INDEX(data!N:N, MATCH(B709, data!D:D, 0)) = 1, FALSE)
  ),
  INDEX(data!C:C, MATCH(B709, data!D:D, 0)),
  "INC"
)</f>
        <v>2025-09-08T12:59:05.331+08</v>
      </c>
      <c r="K709" s="9" t="str">
        <f t="array" ref="K709">IFERROR(INDEX(dataICM!C:C,match(Caseslist!B709,dataICM!D:D,0)), "INC")</f>
        <v>INC</v>
      </c>
      <c r="L709" s="10" t="str">
        <f t="array" ref="L709">IF(AND(G709="COMPLETE", OR(K709="INC", ISBLANK(INDEX(data!O:O, ROW())))), J709, K709)</f>
        <v>2025-09-08T12:59:05.331+08</v>
      </c>
      <c r="M709" s="2">
        <v>45908.0</v>
      </c>
      <c r="N709" s="2">
        <f t="array" ref="N709">IF(M709&lt;&gt;"INC", INDEX(data!M:M, MATCH(B709, data!D:D, 0)), "")</f>
        <v>0</v>
      </c>
      <c r="O709" s="2">
        <f t="shared" si="3"/>
        <v>0</v>
      </c>
    </row>
    <row r="710">
      <c r="A710" s="2" t="str">
        <f t="shared" si="1"/>
        <v>H019227</v>
      </c>
      <c r="B710" s="1" t="s">
        <v>4362</v>
      </c>
      <c r="C710" s="9" t="str">
        <f t="array" ref="C710">IF(
  AND(
    IFERROR(MATCH(Caseslist!B710, data!D:D, 0), 0) &gt; 0,
    IFERROR(INDEX(data!N:N, MATCH(Caseslist!B710, data!D:D, 0)) = 1, FALSE)
  ),
  "COMPLETE",
  "INC"
)</f>
        <v>COMPLETE</v>
      </c>
      <c r="D710" s="9">
        <f t="array" ref="D710">IFERROR(INDEX(data!$G:$G,match(Caseslist!B710,data!$D:$D,0)), "INC")</f>
        <v>841329</v>
      </c>
      <c r="E710" s="9" t="str">
        <f t="array" ref="E710">IFERROR(INDEX(data!H:H,match(Caseslist!B710,data!D:D,0)), "INC")</f>
        <v>Aila Eli_2</v>
      </c>
      <c r="F710" s="10" t="str">
        <f t="array" ref="F710">IF(
    OR(
      IFNA(INDEX(data!M:M, MATCH(Caseslist!B710, data!D:D, 0)), "") = "",
      IFNA(INDEX(data!M:M, MATCH(Caseslist!B710, data!D:D, 0)), 0) = 0
    ),
    "COMPLETE",
    IF(
      IFNA(INDEX(dataICM!D:D, MATCH(Caseslist!B710, dataICM!D:D, 0)), "INC") = "INC",
      IFNA(INDEX(dataICM!D:D, MATCH(Caseslist!B710, dataICM!D:D, 0)), "INC"),
      "COMPLETE"
    )
  )</f>
        <v>COMPLETE</v>
      </c>
      <c r="G710" s="10" t="str">
        <f t="array" ref="G710">IF(IFERROR(INDEX(data!L:L,match(Caseslist!B710,data!D:D,0)),"INC")="","COMPLETE",F710)</f>
        <v>COMPLETE</v>
      </c>
      <c r="H710" s="9" t="str">
        <f t="array" ref="H710">IFERROR(INDEX(dataICM!F:F,match(Caseslist!B710,dataICM!D:D,0)), "INC")</f>
        <v>INC</v>
      </c>
      <c r="I710" s="10">
        <f t="shared" si="2"/>
        <v>841329</v>
      </c>
      <c r="J710" s="9" t="str">
        <f t="array" ref="J710">IF(
  AND(
    IFERROR(MATCH(B710, data!D:D, 0), 0) &gt; 0,
    IFERROR(INDEX(data!N:N, MATCH(B710, data!D:D, 0)) = 1, FALSE)
  ),
  INDEX(data!C:C, MATCH(B710, data!D:D, 0)),
  "INC"
)</f>
        <v>2025-09-08T12:16:37.191+08</v>
      </c>
      <c r="K710" s="9" t="str">
        <f t="array" ref="K710">IFERROR(INDEX(dataICM!C:C,match(Caseslist!B710,dataICM!D:D,0)), "INC")</f>
        <v>INC</v>
      </c>
      <c r="L710" s="10" t="str">
        <f t="array" ref="L710">IF(AND(G710="COMPLETE", OR(K710="INC", ISBLANK(INDEX(data!O:O, ROW())))), J710, K710)</f>
        <v>2025-09-08T12:16:37.191+08</v>
      </c>
      <c r="M710" s="2">
        <v>45908.0</v>
      </c>
      <c r="N710" s="2">
        <f t="array" ref="N710">IF(M710&lt;&gt;"INC", INDEX(data!M:M, MATCH(B710, data!D:D, 0)), "")</f>
        <v>0</v>
      </c>
      <c r="O710" s="2">
        <f t="shared" si="3"/>
        <v>0</v>
      </c>
    </row>
    <row r="711">
      <c r="A711" s="2" t="str">
        <f t="shared" si="1"/>
        <v>H019277</v>
      </c>
      <c r="B711" s="1" t="s">
        <v>3172</v>
      </c>
      <c r="C711" s="9" t="str">
        <f t="array" ref="C711">IF(
  AND(
    IFERROR(MATCH(Caseslist!B711, data!D:D, 0), 0) &gt; 0,
    IFERROR(INDEX(data!N:N, MATCH(Caseslist!B711, data!D:D, 0)) = 1, FALSE)
  ),
  "COMPLETE",
  "INC"
)</f>
        <v>COMPLETE</v>
      </c>
      <c r="D711" s="9">
        <f t="array" ref="D711">IFERROR(INDEX(data!$G:$G,match(Caseslist!B711,data!$D:$D,0)), "INC")</f>
        <v>455939</v>
      </c>
      <c r="E711" s="9" t="str">
        <f t="array" ref="E711">IFERROR(INDEX(data!H:H,match(Caseslist!B711,data!D:D,0)), "INC")</f>
        <v>Mary Jean Villaflor_2</v>
      </c>
      <c r="F711" s="10" t="str">
        <f t="array" ref="F711">IF(
    OR(
      IFNA(INDEX(data!M:M, MATCH(Caseslist!B711, data!D:D, 0)), "") = "",
      IFNA(INDEX(data!M:M, MATCH(Caseslist!B711, data!D:D, 0)), 0) = 0
    ),
    "COMPLETE",
    IF(
      IFNA(INDEX(dataICM!D:D, MATCH(Caseslist!B711, dataICM!D:D, 0)), "INC") = "INC",
      IFNA(INDEX(dataICM!D:D, MATCH(Caseslist!B711, dataICM!D:D, 0)), "INC"),
      "COMPLETE"
    )
  )</f>
        <v>COMPLETE</v>
      </c>
      <c r="G711" s="10" t="str">
        <f t="array" ref="G711">IF(IFERROR(INDEX(data!L:L,match(Caseslist!B711,data!D:D,0)),"INC")="","COMPLETE",F711)</f>
        <v>COMPLETE</v>
      </c>
      <c r="H711" s="9" t="str">
        <f t="array" ref="H711">IFERROR(INDEX(dataICM!F:F,match(Caseslist!B711,dataICM!D:D,0)), "INC")</f>
        <v>Mary Jean Villaflor_2</v>
      </c>
      <c r="I711" s="10">
        <f t="shared" si="2"/>
        <v>455939</v>
      </c>
      <c r="J711" s="9" t="str">
        <f t="array" ref="J711">IF(
  AND(
    IFERROR(MATCH(B711, data!D:D, 0), 0) &gt; 0,
    IFERROR(INDEX(data!N:N, MATCH(B711, data!D:D, 0)) = 1, FALSE)
  ),
  INDEX(data!C:C, MATCH(B711, data!D:D, 0)),
  "INC"
)</f>
        <v>2025-09-03T13:19:25.222+08</v>
      </c>
      <c r="K711" s="9" t="str">
        <f t="array" ref="K711">IFERROR(INDEX(dataICM!C:C,match(Caseslist!B711,dataICM!D:D,0)), "INC")</f>
        <v>2025-09-03T13:22:25.659+08</v>
      </c>
      <c r="L711" s="10" t="str">
        <f t="array" ref="L711">IF(AND(G711="COMPLETE", OR(K711="INC", ISBLANK(INDEX(data!O:O, ROW())))), J711, K711)</f>
        <v>2025-09-03T13:22:25.659+08</v>
      </c>
      <c r="M711" s="2">
        <v>45903.0</v>
      </c>
      <c r="N711" s="2">
        <f t="array" ref="N711">IF(M711&lt;&gt;"INC", INDEX(data!M:M, MATCH(B711, data!D:D, 0)), "")</f>
        <v>3</v>
      </c>
      <c r="O711" s="2">
        <f t="shared" si="3"/>
        <v>3</v>
      </c>
    </row>
    <row r="712">
      <c r="A712" s="2" t="str">
        <f t="shared" si="1"/>
        <v>H019277</v>
      </c>
      <c r="B712" s="1" t="s">
        <v>2996</v>
      </c>
      <c r="C712" s="9" t="str">
        <f t="array" ref="C712">IF(
  AND(
    IFERROR(MATCH(Caseslist!B712, data!D:D, 0), 0) &gt; 0,
    IFERROR(INDEX(data!N:N, MATCH(Caseslist!B712, data!D:D, 0)) = 1, FALSE)
  ),
  "COMPLETE",
  "INC"
)</f>
        <v>COMPLETE</v>
      </c>
      <c r="D712" s="9">
        <f t="array" ref="D712">IFERROR(INDEX(data!$G:$G,match(Caseslist!B712,data!$D:$D,0)), "INC")</f>
        <v>455939</v>
      </c>
      <c r="E712" s="9" t="str">
        <f t="array" ref="E712">IFERROR(INDEX(data!H:H,match(Caseslist!B712,data!D:D,0)), "INC")</f>
        <v>Mary Jean Villaflor_2</v>
      </c>
      <c r="F712" s="10" t="str">
        <f t="array" ref="F712">IF(
    OR(
      IFNA(INDEX(data!M:M, MATCH(Caseslist!B712, data!D:D, 0)), "") = "",
      IFNA(INDEX(data!M:M, MATCH(Caseslist!B712, data!D:D, 0)), 0) = 0
    ),
    "COMPLETE",
    IF(
      IFNA(INDEX(dataICM!D:D, MATCH(Caseslist!B712, dataICM!D:D, 0)), "INC") = "INC",
      IFNA(INDEX(dataICM!D:D, MATCH(Caseslist!B712, dataICM!D:D, 0)), "INC"),
      "COMPLETE"
    )
  )</f>
        <v>COMPLETE</v>
      </c>
      <c r="G712" s="10" t="str">
        <f t="array" ref="G712">IF(IFERROR(INDEX(data!L:L,match(Caseslist!B712,data!D:D,0)),"INC")="","COMPLETE",F712)</f>
        <v>COMPLETE</v>
      </c>
      <c r="H712" s="9" t="str">
        <f t="array" ref="H712">IFERROR(INDEX(dataICM!F:F,match(Caseslist!B712,dataICM!D:D,0)), "INC")</f>
        <v>Mary Jean Villaflor_2</v>
      </c>
      <c r="I712" s="10">
        <f t="shared" si="2"/>
        <v>455939</v>
      </c>
      <c r="J712" s="9" t="str">
        <f t="array" ref="J712">IF(
  AND(
    IFERROR(MATCH(B712, data!D:D, 0), 0) &gt; 0,
    IFERROR(INDEX(data!N:N, MATCH(B712, data!D:D, 0)) = 1, FALSE)
  ),
  INDEX(data!C:C, MATCH(B712, data!D:D, 0)),
  "INC"
)</f>
        <v>2025-09-25T12:56:56.762+08</v>
      </c>
      <c r="K712" s="9" t="str">
        <f t="array" ref="K712">IFERROR(INDEX(dataICM!C:C,match(Caseslist!B712,dataICM!D:D,0)), "INC")</f>
        <v>2025-09-25T12:59:54.431+08</v>
      </c>
      <c r="L712" s="10" t="str">
        <f t="array" ref="L712">IF(AND(G712="COMPLETE", OR(K712="INC", ISBLANK(INDEX(data!O:O, ROW())))), J712, K712)</f>
        <v>2025-09-25T12:59:54.431+08</v>
      </c>
      <c r="M712" s="2">
        <v>45925.0</v>
      </c>
      <c r="N712" s="2">
        <f t="array" ref="N712">IF(M712&lt;&gt;"INC", INDEX(data!M:M, MATCH(B712, data!D:D, 0)), "")</f>
        <v>3</v>
      </c>
      <c r="O712" s="2">
        <f t="shared" si="3"/>
        <v>3</v>
      </c>
    </row>
    <row r="713">
      <c r="A713" s="2" t="str">
        <f t="shared" si="1"/>
        <v>H019277</v>
      </c>
      <c r="B713" s="1" t="s">
        <v>3182</v>
      </c>
      <c r="C713" s="9" t="str">
        <f t="array" ref="C713">IF(
  AND(
    IFERROR(MATCH(Caseslist!B713, data!D:D, 0), 0) &gt; 0,
    IFERROR(INDEX(data!N:N, MATCH(Caseslist!B713, data!D:D, 0)) = 1, FALSE)
  ),
  "COMPLETE",
  "INC"
)</f>
        <v>COMPLETE</v>
      </c>
      <c r="D713" s="9">
        <f t="array" ref="D713">IFERROR(INDEX(data!$G:$G,match(Caseslist!B713,data!$D:$D,0)), "INC")</f>
        <v>455939</v>
      </c>
      <c r="E713" s="9" t="str">
        <f t="array" ref="E713">IFERROR(INDEX(data!H:H,match(Caseslist!B713,data!D:D,0)), "INC")</f>
        <v>Mary Jean Villaflor_2</v>
      </c>
      <c r="F713" s="10" t="str">
        <f t="array" ref="F713">IF(
    OR(
      IFNA(INDEX(data!M:M, MATCH(Caseslist!B713, data!D:D, 0)), "") = "",
      IFNA(INDEX(data!M:M, MATCH(Caseslist!B713, data!D:D, 0)), 0) = 0
    ),
    "COMPLETE",
    IF(
      IFNA(INDEX(dataICM!D:D, MATCH(Caseslist!B713, dataICM!D:D, 0)), "INC") = "INC",
      IFNA(INDEX(dataICM!D:D, MATCH(Caseslist!B713, dataICM!D:D, 0)), "INC"),
      "COMPLETE"
    )
  )</f>
        <v>COMPLETE</v>
      </c>
      <c r="G713" s="10" t="str">
        <f t="array" ref="G713">IF(IFERROR(INDEX(data!L:L,match(Caseslist!B713,data!D:D,0)),"INC")="","COMPLETE",F713)</f>
        <v>COMPLETE</v>
      </c>
      <c r="H713" s="9" t="str">
        <f t="array" ref="H713">IFERROR(INDEX(dataICM!F:F,match(Caseslist!B713,dataICM!D:D,0)), "INC")</f>
        <v>Mary Jean Villaflor_2</v>
      </c>
      <c r="I713" s="10">
        <f t="shared" si="2"/>
        <v>455939</v>
      </c>
      <c r="J713" s="9" t="str">
        <f t="array" ref="J713">IF(
  AND(
    IFERROR(MATCH(B713, data!D:D, 0), 0) &gt; 0,
    IFERROR(INDEX(data!N:N, MATCH(B713, data!D:D, 0)) = 1, FALSE)
  ),
  INDEX(data!C:C, MATCH(B713, data!D:D, 0)),
  "INC"
)</f>
        <v>2025-09-03T14:13:49.777+08</v>
      </c>
      <c r="K713" s="9" t="str">
        <f t="array" ref="K713">IFERROR(INDEX(dataICM!C:C,match(Caseslist!B713,dataICM!D:D,0)), "INC")</f>
        <v>2025-09-03T14:16:20.879+08</v>
      </c>
      <c r="L713" s="10" t="str">
        <f t="array" ref="L713">IF(AND(G713="COMPLETE", OR(K713="INC", ISBLANK(INDEX(data!O:O, ROW())))), J713, K713)</f>
        <v>2025-09-03T14:16:20.879+08</v>
      </c>
      <c r="M713" s="2">
        <v>45903.0</v>
      </c>
      <c r="N713" s="2">
        <f t="array" ref="N713">IF(M713&lt;&gt;"INC", INDEX(data!M:M, MATCH(B713, data!D:D, 0)), "")</f>
        <v>3</v>
      </c>
      <c r="O713" s="2">
        <f t="shared" si="3"/>
        <v>3</v>
      </c>
    </row>
    <row r="714">
      <c r="A714" s="2" t="str">
        <f t="shared" si="1"/>
        <v>H019277</v>
      </c>
      <c r="B714" s="1" t="s">
        <v>3187</v>
      </c>
      <c r="C714" s="9" t="str">
        <f t="array" ref="C714">IF(
  AND(
    IFERROR(MATCH(Caseslist!B714, data!D:D, 0), 0) &gt; 0,
    IFERROR(INDEX(data!N:N, MATCH(Caseslist!B714, data!D:D, 0)) = 1, FALSE)
  ),
  "COMPLETE",
  "INC"
)</f>
        <v>COMPLETE</v>
      </c>
      <c r="D714" s="9">
        <f t="array" ref="D714">IFERROR(INDEX(data!$G:$G,match(Caseslist!B714,data!$D:$D,0)), "INC")</f>
        <v>555127</v>
      </c>
      <c r="E714" s="9" t="str">
        <f t="array" ref="E714">IFERROR(INDEX(data!H:H,match(Caseslist!B714,data!D:D,0)), "INC")</f>
        <v>Mary May_2</v>
      </c>
      <c r="F714" s="10" t="str">
        <f t="array" ref="F714">IF(
    OR(
      IFNA(INDEX(data!M:M, MATCH(Caseslist!B714, data!D:D, 0)), "") = "",
      IFNA(INDEX(data!M:M, MATCH(Caseslist!B714, data!D:D, 0)), 0) = 0
    ),
    "COMPLETE",
    IF(
      IFNA(INDEX(dataICM!D:D, MATCH(Caseslist!B714, dataICM!D:D, 0)), "INC") = "INC",
      IFNA(INDEX(dataICM!D:D, MATCH(Caseslist!B714, dataICM!D:D, 0)), "INC"),
      "COMPLETE"
    )
  )</f>
        <v>COMPLETE</v>
      </c>
      <c r="G714" s="10" t="str">
        <f t="array" ref="G714">IF(IFERROR(INDEX(data!L:L,match(Caseslist!B714,data!D:D,0)),"INC")="","COMPLETE",F714)</f>
        <v>COMPLETE</v>
      </c>
      <c r="H714" s="9" t="str">
        <f t="array" ref="H714">IFERROR(INDEX(dataICM!F:F,match(Caseslist!B714,dataICM!D:D,0)), "INC")</f>
        <v>Mary May_2</v>
      </c>
      <c r="I714" s="10">
        <f t="shared" si="2"/>
        <v>555127</v>
      </c>
      <c r="J714" s="9" t="str">
        <f t="array" ref="J714">IF(
  AND(
    IFERROR(MATCH(B714, data!D:D, 0), 0) &gt; 0,
    IFERROR(INDEX(data!N:N, MATCH(B714, data!D:D, 0)) = 1, FALSE)
  ),
  INDEX(data!C:C, MATCH(B714, data!D:D, 0)),
  "INC"
)</f>
        <v>2025-09-24T11:08:49.886+08</v>
      </c>
      <c r="K714" s="9" t="str">
        <f t="array" ref="K714">IFERROR(INDEX(dataICM!C:C,match(Caseslist!B714,dataICM!D:D,0)), "INC")</f>
        <v>2025-09-24T11:12:34.625+08</v>
      </c>
      <c r="L714" s="10" t="str">
        <f t="array" ref="L714">IF(AND(G714="COMPLETE", OR(K714="INC", ISBLANK(INDEX(data!O:O, ROW())))), J714, K714)</f>
        <v>2025-09-24T11:12:34.625+08</v>
      </c>
      <c r="M714" s="2">
        <v>45924.0</v>
      </c>
      <c r="N714" s="2">
        <f t="array" ref="N714">IF(M714&lt;&gt;"INC", INDEX(data!M:M, MATCH(B714, data!D:D, 0)), "")</f>
        <v>3</v>
      </c>
      <c r="O714" s="2">
        <f t="shared" si="3"/>
        <v>3</v>
      </c>
    </row>
    <row r="715">
      <c r="A715" s="2" t="str">
        <f t="shared" si="1"/>
        <v>H019277</v>
      </c>
      <c r="B715" s="1" t="s">
        <v>8915</v>
      </c>
      <c r="C715" s="9" t="str">
        <f t="array" ref="C715">IF(
  AND(
    IFERROR(MATCH(Caseslist!B715, data!D:D, 0), 0) &gt; 0,
    IFERROR(INDEX(data!N:N, MATCH(Caseslist!B715, data!D:D, 0)) = 1, FALSE)
  ),
  "COMPLETE",
  "INC"
)</f>
        <v>INC</v>
      </c>
      <c r="D715" s="9" t="str">
        <f t="array" ref="D715">IFERROR(INDEX(data!$G:$G,match(Caseslist!B715,data!$D:$D,0)), "INC")</f>
        <v>INC</v>
      </c>
      <c r="E715" s="9" t="str">
        <f t="array" ref="E715">IFERROR(INDEX(data!H:H,match(Caseslist!B715,data!D:D,0)), "INC")</f>
        <v>INC</v>
      </c>
      <c r="F715" s="10" t="str">
        <f t="array" ref="F715">IF(
    OR(
      IFNA(INDEX(data!M:M, MATCH(Caseslist!B715, data!D:D, 0)), "") = "",
      IFNA(INDEX(data!M:M, MATCH(Caseslist!B715, data!D:D, 0)), 0) = 0
    ),
    "COMPLETE",
    IF(
      IFNA(INDEX(dataICM!D:D, MATCH(Caseslist!B715, dataICM!D:D, 0)), "INC") = "INC",
      IFNA(INDEX(dataICM!D:D, MATCH(Caseslist!B715, dataICM!D:D, 0)), "INC"),
      "COMPLETE"
    )
  )</f>
        <v>COMPLETE</v>
      </c>
      <c r="G715" s="10" t="str">
        <f t="array" ref="G715">IF(IFERROR(INDEX(data!L:L,match(Caseslist!B715,data!D:D,0)),"INC")="","COMPLETE",F715)</f>
        <v>COMPLETE</v>
      </c>
      <c r="H715" s="9" t="str">
        <f t="array" ref="H715">IFERROR(INDEX(dataICM!F:F,match(Caseslist!B715,dataICM!D:D,0)), "INC")</f>
        <v>INC</v>
      </c>
      <c r="I715" s="10" t="str">
        <f t="shared" si="2"/>
        <v>INC</v>
      </c>
      <c r="J715" s="9" t="str">
        <f t="array" ref="J715">IF(
  AND(
    IFERROR(MATCH(B715, data!D:D, 0), 0) &gt; 0,
    IFERROR(INDEX(data!N:N, MATCH(B715, data!D:D, 0)) = 1, FALSE)
  ),
  INDEX(data!C:C, MATCH(B715, data!D:D, 0)),
  "INC"
)</f>
        <v>INC</v>
      </c>
      <c r="K715" s="9" t="str">
        <f t="array" ref="K715">IFERROR(INDEX(dataICM!C:C,match(Caseslist!B715,dataICM!D:D,0)), "INC")</f>
        <v>INC</v>
      </c>
      <c r="L715" s="10" t="str">
        <f t="array" ref="L715">IF(AND(G715="COMPLETE", OR(K715="INC", ISBLANK(INDEX(data!O:O, ROW())))), J715, K715)</f>
        <v>INC</v>
      </c>
      <c r="M715" s="2" t="s">
        <v>8886</v>
      </c>
      <c r="N715" s="2" t="str">
        <f t="array" ref="N715">IF(M715&lt;&gt;"INC", INDEX(data!M:M, MATCH(B715, data!D:D, 0)), "")</f>
        <v/>
      </c>
      <c r="O715" s="2" t="str">
        <f t="shared" si="3"/>
        <v/>
      </c>
    </row>
    <row r="716">
      <c r="A716" s="2" t="str">
        <f t="shared" si="1"/>
        <v>H019277</v>
      </c>
      <c r="B716" s="1" t="s">
        <v>2986</v>
      </c>
      <c r="C716" s="9" t="str">
        <f t="array" ref="C716">IF(
  AND(
    IFERROR(MATCH(Caseslist!B716, data!D:D, 0), 0) &gt; 0,
    IFERROR(INDEX(data!N:N, MATCH(Caseslist!B716, data!D:D, 0)) = 1, FALSE)
  ),
  "COMPLETE",
  "INC"
)</f>
        <v>COMPLETE</v>
      </c>
      <c r="D716" s="9">
        <f t="array" ref="D716">IFERROR(INDEX(data!$G:$G,match(Caseslist!B716,data!$D:$D,0)), "INC")</f>
        <v>841329</v>
      </c>
      <c r="E716" s="9" t="str">
        <f t="array" ref="E716">IFERROR(INDEX(data!H:H,match(Caseslist!B716,data!D:D,0)), "INC")</f>
        <v>Aila Eli_2</v>
      </c>
      <c r="F716" s="10" t="str">
        <f t="array" ref="F716">IF(
    OR(
      IFNA(INDEX(data!M:M, MATCH(Caseslist!B716, data!D:D, 0)), "") = "",
      IFNA(INDEX(data!M:M, MATCH(Caseslist!B716, data!D:D, 0)), 0) = 0
    ),
    "COMPLETE",
    IF(
      IFNA(INDEX(dataICM!D:D, MATCH(Caseslist!B716, dataICM!D:D, 0)), "INC") = "INC",
      IFNA(INDEX(dataICM!D:D, MATCH(Caseslist!B716, dataICM!D:D, 0)), "INC"),
      "COMPLETE"
    )
  )</f>
        <v>COMPLETE</v>
      </c>
      <c r="G716" s="10" t="str">
        <f t="array" ref="G716">IF(IFERROR(INDEX(data!L:L,match(Caseslist!B716,data!D:D,0)),"INC")="","COMPLETE",F716)</f>
        <v>COMPLETE</v>
      </c>
      <c r="H716" s="9" t="str">
        <f t="array" ref="H716">IFERROR(INDEX(dataICM!F:F,match(Caseslist!B716,dataICM!D:D,0)), "INC")</f>
        <v>Aila Eli_2</v>
      </c>
      <c r="I716" s="10">
        <f t="shared" si="2"/>
        <v>841329</v>
      </c>
      <c r="J716" s="9" t="str">
        <f t="array" ref="J716">IF(
  AND(
    IFERROR(MATCH(B716, data!D:D, 0), 0) &gt; 0,
    IFERROR(INDEX(data!N:N, MATCH(B716, data!D:D, 0)) = 1, FALSE)
  ),
  INDEX(data!C:C, MATCH(B716, data!D:D, 0)),
  "INC"
)</f>
        <v>2025-09-03T11:37:48.937+08</v>
      </c>
      <c r="K716" s="9" t="str">
        <f t="array" ref="K716">IFERROR(INDEX(dataICM!C:C,match(Caseslist!B716,dataICM!D:D,0)), "INC")</f>
        <v>2025-09-03T15:46:46.239+08</v>
      </c>
      <c r="L716" s="10" t="str">
        <f t="array" ref="L716">IF(AND(G716="COMPLETE", OR(K716="INC", ISBLANK(INDEX(data!O:O, ROW())))), J716, K716)</f>
        <v>2025-09-03T15:46:46.239+08</v>
      </c>
      <c r="M716" s="2">
        <v>45903.0</v>
      </c>
      <c r="N716" s="2">
        <f t="array" ref="N716">IF(M716&lt;&gt;"INC", INDEX(data!M:M, MATCH(B716, data!D:D, 0)), "")</f>
        <v>3</v>
      </c>
      <c r="O716" s="2">
        <f t="shared" si="3"/>
        <v>3</v>
      </c>
    </row>
    <row r="717">
      <c r="A717" s="2" t="str">
        <f t="shared" si="1"/>
        <v>H019277</v>
      </c>
      <c r="B717" s="1" t="s">
        <v>3167</v>
      </c>
      <c r="C717" s="9" t="str">
        <f t="array" ref="C717">IF(
  AND(
    IFERROR(MATCH(Caseslist!B717, data!D:D, 0), 0) &gt; 0,
    IFERROR(INDEX(data!N:N, MATCH(Caseslist!B717, data!D:D, 0)) = 1, FALSE)
  ),
  "COMPLETE",
  "INC"
)</f>
        <v>COMPLETE</v>
      </c>
      <c r="D717" s="9">
        <f t="array" ref="D717">IFERROR(INDEX(data!$G:$G,match(Caseslist!B717,data!$D:$D,0)), "INC")</f>
        <v>455939</v>
      </c>
      <c r="E717" s="9" t="str">
        <f t="array" ref="E717">IFERROR(INDEX(data!H:H,match(Caseslist!B717,data!D:D,0)), "INC")</f>
        <v>Mary Jean Villaflor_2</v>
      </c>
      <c r="F717" s="10" t="str">
        <f t="array" ref="F717">IF(
    OR(
      IFNA(INDEX(data!M:M, MATCH(Caseslist!B717, data!D:D, 0)), "") = "",
      IFNA(INDEX(data!M:M, MATCH(Caseslist!B717, data!D:D, 0)), 0) = 0
    ),
    "COMPLETE",
    IF(
      IFNA(INDEX(dataICM!D:D, MATCH(Caseslist!B717, dataICM!D:D, 0)), "INC") = "INC",
      IFNA(INDEX(dataICM!D:D, MATCH(Caseslist!B717, dataICM!D:D, 0)), "INC"),
      "COMPLETE"
    )
  )</f>
        <v>COMPLETE</v>
      </c>
      <c r="G717" s="10" t="str">
        <f t="array" ref="G717">IF(IFERROR(INDEX(data!L:L,match(Caseslist!B717,data!D:D,0)),"INC")="","COMPLETE",F717)</f>
        <v>COMPLETE</v>
      </c>
      <c r="H717" s="9" t="str">
        <f t="array" ref="H717">IFERROR(INDEX(dataICM!F:F,match(Caseslist!B717,dataICM!D:D,0)), "INC")</f>
        <v>Mary Jean Villaflor_2</v>
      </c>
      <c r="I717" s="10">
        <f t="shared" si="2"/>
        <v>455939</v>
      </c>
      <c r="J717" s="9" t="str">
        <f t="array" ref="J717">IF(
  AND(
    IFERROR(MATCH(B717, data!D:D, 0), 0) &gt; 0,
    IFERROR(INDEX(data!N:N, MATCH(B717, data!D:D, 0)) = 1, FALSE)
  ),
  INDEX(data!C:C, MATCH(B717, data!D:D, 0)),
  "INC"
)</f>
        <v>2025-09-03T10:26:15.061+08</v>
      </c>
      <c r="K717" s="9" t="str">
        <f t="array" ref="K717">IFERROR(INDEX(dataICM!C:C,match(Caseslist!B717,dataICM!D:D,0)), "INC")</f>
        <v>2025-09-03T10:30:14.329+08</v>
      </c>
      <c r="L717" s="10" t="str">
        <f t="array" ref="L717">IF(AND(G717="COMPLETE", OR(K717="INC", ISBLANK(INDEX(data!O:O, ROW())))), J717, K717)</f>
        <v>2025-09-03T10:30:14.329+08</v>
      </c>
      <c r="M717" s="2">
        <v>45903.0</v>
      </c>
      <c r="N717" s="2">
        <f t="array" ref="N717">IF(M717&lt;&gt;"INC", INDEX(data!M:M, MATCH(B717, data!D:D, 0)), "")</f>
        <v>3</v>
      </c>
      <c r="O717" s="2">
        <f t="shared" si="3"/>
        <v>3</v>
      </c>
    </row>
    <row r="718">
      <c r="A718" s="2" t="str">
        <f t="shared" si="1"/>
        <v>H019277</v>
      </c>
      <c r="B718" s="1" t="s">
        <v>3052</v>
      </c>
      <c r="C718" s="9" t="str">
        <f t="array" ref="C718">IF(
  AND(
    IFERROR(MATCH(Caseslist!B718, data!D:D, 0), 0) &gt; 0,
    IFERROR(INDEX(data!N:N, MATCH(Caseslist!B718, data!D:D, 0)) = 1, FALSE)
  ),
  "COMPLETE",
  "INC"
)</f>
        <v>COMPLETE</v>
      </c>
      <c r="D718" s="9">
        <f t="array" ref="D718">IFERROR(INDEX(data!$G:$G,match(Caseslist!B718,data!$D:$D,0)), "INC")</f>
        <v>555127</v>
      </c>
      <c r="E718" s="9" t="str">
        <f t="array" ref="E718">IFERROR(INDEX(data!H:H,match(Caseslist!B718,data!D:D,0)), "INC")</f>
        <v>Mary May_2</v>
      </c>
      <c r="F718" s="10" t="str">
        <f t="array" ref="F718">IF(
    OR(
      IFNA(INDEX(data!M:M, MATCH(Caseslist!B718, data!D:D, 0)), "") = "",
      IFNA(INDEX(data!M:M, MATCH(Caseslist!B718, data!D:D, 0)), 0) = 0
    ),
    "COMPLETE",
    IF(
      IFNA(INDEX(dataICM!D:D, MATCH(Caseslist!B718, dataICM!D:D, 0)), "INC") = "INC",
      IFNA(INDEX(dataICM!D:D, MATCH(Caseslist!B718, dataICM!D:D, 0)), "INC"),
      "COMPLETE"
    )
  )</f>
        <v>COMPLETE</v>
      </c>
      <c r="G718" s="10" t="str">
        <f t="array" ref="G718">IF(IFERROR(INDEX(data!L:L,match(Caseslist!B718,data!D:D,0)),"INC")="","COMPLETE",F718)</f>
        <v>COMPLETE</v>
      </c>
      <c r="H718" s="9" t="str">
        <f t="array" ref="H718">IFERROR(INDEX(dataICM!F:F,match(Caseslist!B718,dataICM!D:D,0)), "INC")</f>
        <v>Mary May_2</v>
      </c>
      <c r="I718" s="10">
        <f t="shared" si="2"/>
        <v>555127</v>
      </c>
      <c r="J718" s="9" t="str">
        <f t="array" ref="J718">IF(
  AND(
    IFERROR(MATCH(B718, data!D:D, 0), 0) &gt; 0,
    IFERROR(INDEX(data!N:N, MATCH(B718, data!D:D, 0)) = 1, FALSE)
  ),
  INDEX(data!C:C, MATCH(B718, data!D:D, 0)),
  "INC"
)</f>
        <v>2025-09-03T11:41:14.777+08</v>
      </c>
      <c r="K718" s="9" t="str">
        <f t="array" ref="K718">IFERROR(INDEX(dataICM!C:C,match(Caseslist!B718,dataICM!D:D,0)), "INC")</f>
        <v>2025-09-03T11:46:30.049+08</v>
      </c>
      <c r="L718" s="10" t="str">
        <f t="array" ref="L718">IF(AND(G718="COMPLETE", OR(K718="INC", ISBLANK(INDEX(data!O:O, ROW())))), J718, K718)</f>
        <v>2025-09-03T11:46:30.049+08</v>
      </c>
      <c r="M718" s="2">
        <v>45903.0</v>
      </c>
      <c r="N718" s="2">
        <f t="array" ref="N718">IF(M718&lt;&gt;"INC", INDEX(data!M:M, MATCH(B718, data!D:D, 0)), "")</f>
        <v>3</v>
      </c>
      <c r="O718" s="2">
        <f t="shared" si="3"/>
        <v>3</v>
      </c>
    </row>
    <row r="719">
      <c r="A719" s="2" t="str">
        <f t="shared" si="1"/>
        <v>H019277</v>
      </c>
      <c r="B719" s="1" t="s">
        <v>8916</v>
      </c>
      <c r="C719" s="9" t="str">
        <f t="array" ref="C719">IF(
  AND(
    IFERROR(MATCH(Caseslist!B719, data!D:D, 0), 0) &gt; 0,
    IFERROR(INDEX(data!N:N, MATCH(Caseslist!B719, data!D:D, 0)) = 1, FALSE)
  ),
  "COMPLETE",
  "INC"
)</f>
        <v>INC</v>
      </c>
      <c r="D719" s="9" t="str">
        <f t="array" ref="D719">IFERROR(INDEX(data!$G:$G,match(Caseslist!B719,data!$D:$D,0)), "INC")</f>
        <v>INC</v>
      </c>
      <c r="E719" s="9" t="str">
        <f t="array" ref="E719">IFERROR(INDEX(data!H:H,match(Caseslist!B719,data!D:D,0)), "INC")</f>
        <v>INC</v>
      </c>
      <c r="F719" s="10" t="str">
        <f t="array" ref="F719">IF(
    OR(
      IFNA(INDEX(data!M:M, MATCH(Caseslist!B719, data!D:D, 0)), "") = "",
      IFNA(INDEX(data!M:M, MATCH(Caseslist!B719, data!D:D, 0)), 0) = 0
    ),
    "COMPLETE",
    IF(
      IFNA(INDEX(dataICM!D:D, MATCH(Caseslist!B719, dataICM!D:D, 0)), "INC") = "INC",
      IFNA(INDEX(dataICM!D:D, MATCH(Caseslist!B719, dataICM!D:D, 0)), "INC"),
      "COMPLETE"
    )
  )</f>
        <v>COMPLETE</v>
      </c>
      <c r="G719" s="10" t="str">
        <f t="array" ref="G719">IF(IFERROR(INDEX(data!L:L,match(Caseslist!B719,data!D:D,0)),"INC")="","COMPLETE",F719)</f>
        <v>COMPLETE</v>
      </c>
      <c r="H719" s="9" t="str">
        <f t="array" ref="H719">IFERROR(INDEX(dataICM!F:F,match(Caseslist!B719,dataICM!D:D,0)), "INC")</f>
        <v>INC</v>
      </c>
      <c r="I719" s="10" t="str">
        <f t="shared" si="2"/>
        <v>INC</v>
      </c>
      <c r="J719" s="9" t="str">
        <f t="array" ref="J719">IF(
  AND(
    IFERROR(MATCH(B719, data!D:D, 0), 0) &gt; 0,
    IFERROR(INDEX(data!N:N, MATCH(B719, data!D:D, 0)) = 1, FALSE)
  ),
  INDEX(data!C:C, MATCH(B719, data!D:D, 0)),
  "INC"
)</f>
        <v>INC</v>
      </c>
      <c r="K719" s="9" t="str">
        <f t="array" ref="K719">IFERROR(INDEX(dataICM!C:C,match(Caseslist!B719,dataICM!D:D,0)), "INC")</f>
        <v>INC</v>
      </c>
      <c r="L719" s="10" t="str">
        <f t="array" ref="L719">IF(AND(G719="COMPLETE", OR(K719="INC", ISBLANK(INDEX(data!O:O, ROW())))), J719, K719)</f>
        <v>INC</v>
      </c>
      <c r="M719" s="2" t="s">
        <v>8886</v>
      </c>
      <c r="N719" s="2" t="str">
        <f t="array" ref="N719">IF(M719&lt;&gt;"INC", INDEX(data!M:M, MATCH(B719, data!D:D, 0)), "")</f>
        <v/>
      </c>
      <c r="O719" s="2" t="str">
        <f t="shared" si="3"/>
        <v/>
      </c>
    </row>
    <row r="720">
      <c r="A720" s="2" t="str">
        <f t="shared" si="1"/>
        <v>H019277</v>
      </c>
      <c r="B720" s="1" t="s">
        <v>3046</v>
      </c>
      <c r="C720" s="9" t="str">
        <f t="array" ref="C720">IF(
  AND(
    IFERROR(MATCH(Caseslist!B720, data!D:D, 0), 0) &gt; 0,
    IFERROR(INDEX(data!N:N, MATCH(Caseslist!B720, data!D:D, 0)) = 1, FALSE)
  ),
  "COMPLETE",
  "INC"
)</f>
        <v>COMPLETE</v>
      </c>
      <c r="D720" s="9">
        <f t="array" ref="D720">IFERROR(INDEX(data!$G:$G,match(Caseslist!B720,data!$D:$D,0)), "INC")</f>
        <v>555127</v>
      </c>
      <c r="E720" s="9" t="str">
        <f t="array" ref="E720">IFERROR(INDEX(data!H:H,match(Caseslist!B720,data!D:D,0)), "INC")</f>
        <v>Mary May_2</v>
      </c>
      <c r="F720" s="10" t="str">
        <f t="array" ref="F720">IF(
    OR(
      IFNA(INDEX(data!M:M, MATCH(Caseslist!B720, data!D:D, 0)), "") = "",
      IFNA(INDEX(data!M:M, MATCH(Caseslist!B720, data!D:D, 0)), 0) = 0
    ),
    "COMPLETE",
    IF(
      IFNA(INDEX(dataICM!D:D, MATCH(Caseslist!B720, dataICM!D:D, 0)), "INC") = "INC",
      IFNA(INDEX(dataICM!D:D, MATCH(Caseslist!B720, dataICM!D:D, 0)), "INC"),
      "COMPLETE"
    )
  )</f>
        <v>COMPLETE</v>
      </c>
      <c r="G720" s="10" t="str">
        <f t="array" ref="G720">IF(IFERROR(INDEX(data!L:L,match(Caseslist!B720,data!D:D,0)),"INC")="","COMPLETE",F720)</f>
        <v>COMPLETE</v>
      </c>
      <c r="H720" s="9" t="str">
        <f t="array" ref="H720">IFERROR(INDEX(dataICM!F:F,match(Caseslist!B720,dataICM!D:D,0)), "INC")</f>
        <v>Mary May_2</v>
      </c>
      <c r="I720" s="10">
        <f t="shared" si="2"/>
        <v>555127</v>
      </c>
      <c r="J720" s="9" t="str">
        <f t="array" ref="J720">IF(
  AND(
    IFERROR(MATCH(B720, data!D:D, 0), 0) &gt; 0,
    IFERROR(INDEX(data!N:N, MATCH(B720, data!D:D, 0)) = 1, FALSE)
  ),
  INDEX(data!C:C, MATCH(B720, data!D:D, 0)),
  "INC"
)</f>
        <v>2025-09-03T10:33:08.973+08</v>
      </c>
      <c r="K720" s="9" t="str">
        <f t="array" ref="K720">IFERROR(INDEX(dataICM!C:C,match(Caseslist!B720,dataICM!D:D,0)), "INC")</f>
        <v>2025-09-03T10:37:11.011+08</v>
      </c>
      <c r="L720" s="10" t="str">
        <f t="array" ref="L720">IF(AND(G720="COMPLETE", OR(K720="INC", ISBLANK(INDEX(data!O:O, ROW())))), J720, K720)</f>
        <v>2025-09-03T10:37:11.011+08</v>
      </c>
      <c r="M720" s="2">
        <v>45903.0</v>
      </c>
      <c r="N720" s="2">
        <f t="array" ref="N720">IF(M720&lt;&gt;"INC", INDEX(data!M:M, MATCH(B720, data!D:D, 0)), "")</f>
        <v>3</v>
      </c>
      <c r="O720" s="2">
        <f t="shared" si="3"/>
        <v>3</v>
      </c>
    </row>
    <row r="721">
      <c r="A721" s="2" t="str">
        <f t="shared" si="1"/>
        <v>H019277</v>
      </c>
      <c r="B721" s="1" t="s">
        <v>2981</v>
      </c>
      <c r="C721" s="9" t="str">
        <f t="array" ref="C721">IF(
  AND(
    IFERROR(MATCH(Caseslist!B721, data!D:D, 0), 0) &gt; 0,
    IFERROR(INDEX(data!N:N, MATCH(Caseslist!B721, data!D:D, 0)) = 1, FALSE)
  ),
  "COMPLETE",
  "INC"
)</f>
        <v>COMPLETE</v>
      </c>
      <c r="D721" s="9">
        <f t="array" ref="D721">IFERROR(INDEX(data!$G:$G,match(Caseslist!B721,data!$D:$D,0)), "INC")</f>
        <v>841329</v>
      </c>
      <c r="E721" s="9" t="str">
        <f t="array" ref="E721">IFERROR(INDEX(data!H:H,match(Caseslist!B721,data!D:D,0)), "INC")</f>
        <v>Aila Eli_2</v>
      </c>
      <c r="F721" s="10" t="str">
        <f t="array" ref="F721">IF(
    OR(
      IFNA(INDEX(data!M:M, MATCH(Caseslist!B721, data!D:D, 0)), "") = "",
      IFNA(INDEX(data!M:M, MATCH(Caseslist!B721, data!D:D, 0)), 0) = 0
    ),
    "COMPLETE",
    IF(
      IFNA(INDEX(dataICM!D:D, MATCH(Caseslist!B721, dataICM!D:D, 0)), "INC") = "INC",
      IFNA(INDEX(dataICM!D:D, MATCH(Caseslist!B721, dataICM!D:D, 0)), "INC"),
      "COMPLETE"
    )
  )</f>
        <v>COMPLETE</v>
      </c>
      <c r="G721" s="10" t="str">
        <f t="array" ref="G721">IF(IFERROR(INDEX(data!L:L,match(Caseslist!B721,data!D:D,0)),"INC")="","COMPLETE",F721)</f>
        <v>COMPLETE</v>
      </c>
      <c r="H721" s="9" t="str">
        <f t="array" ref="H721">IFERROR(INDEX(dataICM!F:F,match(Caseslist!B721,dataICM!D:D,0)), "INC")</f>
        <v>Aila Eli_2</v>
      </c>
      <c r="I721" s="10">
        <f t="shared" si="2"/>
        <v>841329</v>
      </c>
      <c r="J721" s="9" t="str">
        <f t="array" ref="J721">IF(
  AND(
    IFERROR(MATCH(B721, data!D:D, 0), 0) &gt; 0,
    IFERROR(INDEX(data!N:N, MATCH(B721, data!D:D, 0)) = 1, FALSE)
  ),
  INDEX(data!C:C, MATCH(B721, data!D:D, 0)),
  "INC"
)</f>
        <v>2025-09-03T10:27:33.052+08</v>
      </c>
      <c r="K721" s="9" t="str">
        <f t="array" ref="K721">IFERROR(INDEX(dataICM!C:C,match(Caseslist!B721,dataICM!D:D,0)), "INC")</f>
        <v>2025-09-03T10:27:06.227+08</v>
      </c>
      <c r="L721" s="10" t="str">
        <f t="array" ref="L721">IF(AND(G721="COMPLETE", OR(K721="INC", ISBLANK(INDEX(data!O:O, ROW())))), J721, K721)</f>
        <v>2025-09-03T10:27:06.227+08</v>
      </c>
      <c r="M721" s="2">
        <v>45903.0</v>
      </c>
      <c r="N721" s="2">
        <f t="array" ref="N721">IF(M721&lt;&gt;"INC", INDEX(data!M:M, MATCH(B721, data!D:D, 0)), "")</f>
        <v>3</v>
      </c>
      <c r="O721" s="2">
        <f t="shared" si="3"/>
        <v>3</v>
      </c>
    </row>
    <row r="722">
      <c r="A722" s="2" t="str">
        <f t="shared" si="1"/>
        <v>H019277</v>
      </c>
      <c r="B722" s="1" t="s">
        <v>2991</v>
      </c>
      <c r="C722" s="9" t="str">
        <f t="array" ref="C722">IF(
  AND(
    IFERROR(MATCH(Caseslist!B722, data!D:D, 0), 0) &gt; 0,
    IFERROR(INDEX(data!N:N, MATCH(Caseslist!B722, data!D:D, 0)) = 1, FALSE)
  ),
  "COMPLETE",
  "INC"
)</f>
        <v>COMPLETE</v>
      </c>
      <c r="D722" s="9">
        <f t="array" ref="D722">IFERROR(INDEX(data!$G:$G,match(Caseslist!B722,data!$D:$D,0)), "INC")</f>
        <v>841329</v>
      </c>
      <c r="E722" s="9" t="str">
        <f t="array" ref="E722">IFERROR(INDEX(data!H:H,match(Caseslist!B722,data!D:D,0)), "INC")</f>
        <v>Aila Eli_2</v>
      </c>
      <c r="F722" s="10" t="str">
        <f t="array" ref="F722">IF(
    OR(
      IFNA(INDEX(data!M:M, MATCH(Caseslist!B722, data!D:D, 0)), "") = "",
      IFNA(INDEX(data!M:M, MATCH(Caseslist!B722, data!D:D, 0)), 0) = 0
    ),
    "COMPLETE",
    IF(
      IFNA(INDEX(dataICM!D:D, MATCH(Caseslist!B722, dataICM!D:D, 0)), "INC") = "INC",
      IFNA(INDEX(dataICM!D:D, MATCH(Caseslist!B722, dataICM!D:D, 0)), "INC"),
      "COMPLETE"
    )
  )</f>
        <v>COMPLETE</v>
      </c>
      <c r="G722" s="10" t="str">
        <f t="array" ref="G722">IF(IFERROR(INDEX(data!L:L,match(Caseslist!B722,data!D:D,0)),"INC")="","COMPLETE",F722)</f>
        <v>COMPLETE</v>
      </c>
      <c r="H722" s="9" t="str">
        <f t="array" ref="H722">IFERROR(INDEX(dataICM!F:F,match(Caseslist!B722,dataICM!D:D,0)), "INC")</f>
        <v>Aila Eli_2</v>
      </c>
      <c r="I722" s="10">
        <f t="shared" si="2"/>
        <v>841329</v>
      </c>
      <c r="J722" s="9" t="str">
        <f t="array" ref="J722">IF(
  AND(
    IFERROR(MATCH(B722, data!D:D, 0), 0) &gt; 0,
    IFERROR(INDEX(data!N:N, MATCH(B722, data!D:D, 0)) = 1, FALSE)
  ),
  INDEX(data!C:C, MATCH(B722, data!D:D, 0)),
  "INC"
)</f>
        <v>2025-09-03T13:55:52.455+08</v>
      </c>
      <c r="K722" s="9" t="str">
        <f t="array" ref="K722">IFERROR(INDEX(dataICM!C:C,match(Caseslist!B722,dataICM!D:D,0)), "INC")</f>
        <v>2025-09-03T14:04:30.858+08</v>
      </c>
      <c r="L722" s="10" t="str">
        <f t="array" ref="L722">IF(AND(G722="COMPLETE", OR(K722="INC", ISBLANK(INDEX(data!O:O, ROW())))), J722, K722)</f>
        <v>2025-09-03T14:04:30.858+08</v>
      </c>
      <c r="M722" s="2">
        <v>45903.0</v>
      </c>
      <c r="N722" s="2">
        <f t="array" ref="N722">IF(M722&lt;&gt;"INC", INDEX(data!M:M, MATCH(B722, data!D:D, 0)), "")</f>
        <v>3</v>
      </c>
      <c r="O722" s="2">
        <f t="shared" si="3"/>
        <v>3</v>
      </c>
    </row>
    <row r="723">
      <c r="A723" s="2" t="str">
        <f t="shared" si="1"/>
        <v>H019277</v>
      </c>
      <c r="B723" s="1" t="s">
        <v>3057</v>
      </c>
      <c r="C723" s="9" t="str">
        <f t="array" ref="C723">IF(
  AND(
    IFERROR(MATCH(Caseslist!B723, data!D:D, 0), 0) &gt; 0,
    IFERROR(INDEX(data!N:N, MATCH(Caseslist!B723, data!D:D, 0)) = 1, FALSE)
  ),
  "COMPLETE",
  "INC"
)</f>
        <v>COMPLETE</v>
      </c>
      <c r="D723" s="9">
        <f t="array" ref="D723">IFERROR(INDEX(data!$G:$G,match(Caseslist!B723,data!$D:$D,0)), "INC")</f>
        <v>555127</v>
      </c>
      <c r="E723" s="9" t="str">
        <f t="array" ref="E723">IFERROR(INDEX(data!H:H,match(Caseslist!B723,data!D:D,0)), "INC")</f>
        <v>Mary May_2</v>
      </c>
      <c r="F723" s="10" t="str">
        <f t="array" ref="F723">IF(
    OR(
      IFNA(INDEX(data!M:M, MATCH(Caseslist!B723, data!D:D, 0)), "") = "",
      IFNA(INDEX(data!M:M, MATCH(Caseslist!B723, data!D:D, 0)), 0) = 0
    ),
    "COMPLETE",
    IF(
      IFNA(INDEX(dataICM!D:D, MATCH(Caseslist!B723, dataICM!D:D, 0)), "INC") = "INC",
      IFNA(INDEX(dataICM!D:D, MATCH(Caseslist!B723, dataICM!D:D, 0)), "INC"),
      "COMPLETE"
    )
  )</f>
        <v>COMPLETE</v>
      </c>
      <c r="G723" s="10" t="str">
        <f t="array" ref="G723">IF(IFERROR(INDEX(data!L:L,match(Caseslist!B723,data!D:D,0)),"INC")="","COMPLETE",F723)</f>
        <v>COMPLETE</v>
      </c>
      <c r="H723" s="9" t="str">
        <f t="array" ref="H723">IFERROR(INDEX(dataICM!F:F,match(Caseslist!B723,dataICM!D:D,0)), "INC")</f>
        <v>Mary May_2</v>
      </c>
      <c r="I723" s="10">
        <f t="shared" si="2"/>
        <v>555127</v>
      </c>
      <c r="J723" s="9" t="str">
        <f t="array" ref="J723">IF(
  AND(
    IFERROR(MATCH(B723, data!D:D, 0), 0) &gt; 0,
    IFERROR(INDEX(data!N:N, MATCH(B723, data!D:D, 0)) = 1, FALSE)
  ),
  INDEX(data!C:C, MATCH(B723, data!D:D, 0)),
  "INC"
)</f>
        <v>2025-09-03T13:39:18.640+08</v>
      </c>
      <c r="K723" s="9" t="str">
        <f t="array" ref="K723">IFERROR(INDEX(dataICM!C:C,match(Caseslist!B723,dataICM!D:D,0)), "INC")</f>
        <v>2025-09-03T17:18:11.580+08</v>
      </c>
      <c r="L723" s="10" t="str">
        <f t="array" ref="L723">IF(AND(G723="COMPLETE", OR(K723="INC", ISBLANK(INDEX(data!O:O, ROW())))), J723, K723)</f>
        <v>2025-09-03T17:18:11.580+08</v>
      </c>
      <c r="M723" s="2">
        <v>45903.0</v>
      </c>
      <c r="N723" s="2">
        <f t="array" ref="N723">IF(M723&lt;&gt;"INC", INDEX(data!M:M, MATCH(B723, data!D:D, 0)), "")</f>
        <v>3</v>
      </c>
      <c r="O723" s="2">
        <f t="shared" si="3"/>
        <v>3</v>
      </c>
    </row>
    <row r="724">
      <c r="A724" s="2" t="str">
        <f t="shared" si="1"/>
        <v>H019277</v>
      </c>
      <c r="B724" s="1" t="s">
        <v>3062</v>
      </c>
      <c r="C724" s="9" t="str">
        <f t="array" ref="C724">IF(
  AND(
    IFERROR(MATCH(Caseslist!B724, data!D:D, 0), 0) &gt; 0,
    IFERROR(INDEX(data!N:N, MATCH(Caseslist!B724, data!D:D, 0)) = 1, FALSE)
  ),
  "COMPLETE",
  "INC"
)</f>
        <v>COMPLETE</v>
      </c>
      <c r="D724" s="9">
        <f t="array" ref="D724">IFERROR(INDEX(data!$G:$G,match(Caseslist!B724,data!$D:$D,0)), "INC")</f>
        <v>555127</v>
      </c>
      <c r="E724" s="9" t="str">
        <f t="array" ref="E724">IFERROR(INDEX(data!H:H,match(Caseslist!B724,data!D:D,0)), "INC")</f>
        <v>Mary May_2</v>
      </c>
      <c r="F724" s="10" t="str">
        <f t="array" ref="F724">IF(
    OR(
      IFNA(INDEX(data!M:M, MATCH(Caseslist!B724, data!D:D, 0)), "") = "",
      IFNA(INDEX(data!M:M, MATCH(Caseslist!B724, data!D:D, 0)), 0) = 0
    ),
    "COMPLETE",
    IF(
      IFNA(INDEX(dataICM!D:D, MATCH(Caseslist!B724, dataICM!D:D, 0)), "INC") = "INC",
      IFNA(INDEX(dataICM!D:D, MATCH(Caseslist!B724, dataICM!D:D, 0)), "INC"),
      "COMPLETE"
    )
  )</f>
        <v>COMPLETE</v>
      </c>
      <c r="G724" s="10" t="str">
        <f t="array" ref="G724">IF(IFERROR(INDEX(data!L:L,match(Caseslist!B724,data!D:D,0)),"INC")="","COMPLETE",F724)</f>
        <v>COMPLETE</v>
      </c>
      <c r="H724" s="9" t="str">
        <f t="array" ref="H724">IFERROR(INDEX(dataICM!F:F,match(Caseslist!B724,dataICM!D:D,0)), "INC")</f>
        <v>Mary May_2</v>
      </c>
      <c r="I724" s="10">
        <f t="shared" si="2"/>
        <v>555127</v>
      </c>
      <c r="J724" s="9" t="str">
        <f t="array" ref="J724">IF(
  AND(
    IFERROR(MATCH(B724, data!D:D, 0), 0) &gt; 0,
    IFERROR(INDEX(data!N:N, MATCH(B724, data!D:D, 0)) = 1, FALSE)
  ),
  INDEX(data!C:C, MATCH(B724, data!D:D, 0)),
  "INC"
)</f>
        <v>2025-09-03T14:50:36.459+08</v>
      </c>
      <c r="K724" s="9" t="str">
        <f t="array" ref="K724">IFERROR(INDEX(dataICM!C:C,match(Caseslist!B724,dataICM!D:D,0)), "INC")</f>
        <v>2025-09-03T14:56:43.768+08</v>
      </c>
      <c r="L724" s="10" t="str">
        <f t="array" ref="L724">IF(AND(G724="COMPLETE", OR(K724="INC", ISBLANK(INDEX(data!O:O, ROW())))), J724, K724)</f>
        <v>2025-09-03T14:56:43.768+08</v>
      </c>
      <c r="M724" s="2">
        <v>45903.0</v>
      </c>
      <c r="N724" s="2">
        <f t="array" ref="N724">IF(M724&lt;&gt;"INC", INDEX(data!M:M, MATCH(B724, data!D:D, 0)), "")</f>
        <v>3</v>
      </c>
      <c r="O724" s="2">
        <f t="shared" si="3"/>
        <v>3</v>
      </c>
    </row>
    <row r="725">
      <c r="A725" s="2" t="str">
        <f t="shared" si="1"/>
        <v>H019277</v>
      </c>
      <c r="B725" s="1" t="s">
        <v>8917</v>
      </c>
      <c r="C725" s="9" t="str">
        <f t="array" ref="C725">IF(
  AND(
    IFERROR(MATCH(Caseslist!B725, data!D:D, 0), 0) &gt; 0,
    IFERROR(INDEX(data!N:N, MATCH(Caseslist!B725, data!D:D, 0)) = 1, FALSE)
  ),
  "COMPLETE",
  "INC"
)</f>
        <v>INC</v>
      </c>
      <c r="D725" s="9" t="str">
        <f t="array" ref="D725">IFERROR(INDEX(data!$G:$G,match(Caseslist!B725,data!$D:$D,0)), "INC")</f>
        <v>INC</v>
      </c>
      <c r="E725" s="9" t="str">
        <f t="array" ref="E725">IFERROR(INDEX(data!H:H,match(Caseslist!B725,data!D:D,0)), "INC")</f>
        <v>INC</v>
      </c>
      <c r="F725" s="10" t="str">
        <f t="array" ref="F725">IF(
    OR(
      IFNA(INDEX(data!M:M, MATCH(Caseslist!B725, data!D:D, 0)), "") = "",
      IFNA(INDEX(data!M:M, MATCH(Caseslist!B725, data!D:D, 0)), 0) = 0
    ),
    "COMPLETE",
    IF(
      IFNA(INDEX(dataICM!D:D, MATCH(Caseslist!B725, dataICM!D:D, 0)), "INC") = "INC",
      IFNA(INDEX(dataICM!D:D, MATCH(Caseslist!B725, dataICM!D:D, 0)), "INC"),
      "COMPLETE"
    )
  )</f>
        <v>COMPLETE</v>
      </c>
      <c r="G725" s="10" t="str">
        <f t="array" ref="G725">IF(IFERROR(INDEX(data!L:L,match(Caseslist!B725,data!D:D,0)),"INC")="","COMPLETE",F725)</f>
        <v>COMPLETE</v>
      </c>
      <c r="H725" s="9" t="str">
        <f t="array" ref="H725">IFERROR(INDEX(dataICM!F:F,match(Caseslist!B725,dataICM!D:D,0)), "INC")</f>
        <v>INC</v>
      </c>
      <c r="I725" s="10" t="str">
        <f t="shared" si="2"/>
        <v>INC</v>
      </c>
      <c r="J725" s="9" t="str">
        <f t="array" ref="J725">IF(
  AND(
    IFERROR(MATCH(B725, data!D:D, 0), 0) &gt; 0,
    IFERROR(INDEX(data!N:N, MATCH(B725, data!D:D, 0)) = 1, FALSE)
  ),
  INDEX(data!C:C, MATCH(B725, data!D:D, 0)),
  "INC"
)</f>
        <v>INC</v>
      </c>
      <c r="K725" s="9" t="str">
        <f t="array" ref="K725">IFERROR(INDEX(dataICM!C:C,match(Caseslist!B725,dataICM!D:D,0)), "INC")</f>
        <v>INC</v>
      </c>
      <c r="L725" s="10" t="str">
        <f t="array" ref="L725">IF(AND(G725="COMPLETE", OR(K725="INC", ISBLANK(INDEX(data!O:O, ROW())))), J725, K725)</f>
        <v>INC</v>
      </c>
      <c r="M725" s="2" t="s">
        <v>8886</v>
      </c>
      <c r="N725" s="2" t="str">
        <f t="array" ref="N725">IF(M725&lt;&gt;"INC", INDEX(data!M:M, MATCH(B725, data!D:D, 0)), "")</f>
        <v/>
      </c>
      <c r="O725" s="2" t="str">
        <f t="shared" si="3"/>
        <v/>
      </c>
    </row>
    <row r="726">
      <c r="A726" s="2" t="str">
        <f t="shared" si="1"/>
        <v>H019412</v>
      </c>
      <c r="B726" s="1" t="s">
        <v>2585</v>
      </c>
      <c r="C726" s="9" t="str">
        <f t="array" ref="C726">IF(
  AND(
    IFERROR(MATCH(Caseslist!B726, data!D:D, 0), 0) &gt; 0,
    IFERROR(INDEX(data!N:N, MATCH(Caseslist!B726, data!D:D, 0)) = 1, FALSE)
  ),
  "COMPLETE",
  "INC"
)</f>
        <v>COMPLETE</v>
      </c>
      <c r="D726" s="9">
        <f t="array" ref="D726">IFERROR(INDEX(data!$G:$G,match(Caseslist!B726,data!$D:$D,0)), "INC")</f>
        <v>859767</v>
      </c>
      <c r="E726" s="9" t="str">
        <f t="array" ref="E726">IFERROR(INDEX(data!H:H,match(Caseslist!B726,data!D:D,0)), "INC")</f>
        <v>Ramie De Pedro Jr._2</v>
      </c>
      <c r="F726" s="10" t="str">
        <f t="array" ref="F726">IF(
    OR(
      IFNA(INDEX(data!M:M, MATCH(Caseslist!B726, data!D:D, 0)), "") = "",
      IFNA(INDEX(data!M:M, MATCH(Caseslist!B726, data!D:D, 0)), 0) = 0
    ),
    "COMPLETE",
    IF(
      IFNA(INDEX(dataICM!D:D, MATCH(Caseslist!B726, dataICM!D:D, 0)), "INC") = "INC",
      IFNA(INDEX(dataICM!D:D, MATCH(Caseslist!B726, dataICM!D:D, 0)), "INC"),
      "COMPLETE"
    )
  )</f>
        <v>COMPLETE</v>
      </c>
      <c r="G726" s="10" t="str">
        <f t="array" ref="G726">IF(IFERROR(INDEX(data!L:L,match(Caseslist!B726,data!D:D,0)),"INC")="","COMPLETE",F726)</f>
        <v>COMPLETE</v>
      </c>
      <c r="H726" s="9" t="str">
        <f t="array" ref="H726">IFERROR(INDEX(dataICM!F:F,match(Caseslist!B726,dataICM!D:D,0)), "INC")</f>
        <v>Ramie De Pedro Jr._2</v>
      </c>
      <c r="I726" s="10">
        <f t="shared" si="2"/>
        <v>859767</v>
      </c>
      <c r="J726" s="9" t="str">
        <f t="array" ref="J726">IF(
  AND(
    IFERROR(MATCH(B726, data!D:D, 0), 0) &gt; 0,
    IFERROR(INDEX(data!N:N, MATCH(B726, data!D:D, 0)) = 1, FALSE)
  ),
  INDEX(data!C:C, MATCH(B726, data!D:D, 0)),
  "INC"
)</f>
        <v>2025-09-02T16:09:47.056+08</v>
      </c>
      <c r="K726" s="9" t="str">
        <f t="array" ref="K726">IFERROR(INDEX(dataICM!C:C,match(Caseslist!B726,dataICM!D:D,0)), "INC")</f>
        <v>2025-09-02T16:15:19.282+08</v>
      </c>
      <c r="L726" s="10" t="str">
        <f t="array" ref="L726">IF(AND(G726="COMPLETE", OR(K726="INC", ISBLANK(INDEX(data!O:O, ROW())))), J726, K726)</f>
        <v>2025-09-02T16:15:19.282+08</v>
      </c>
      <c r="M726" s="2">
        <v>45902.0</v>
      </c>
      <c r="N726" s="2">
        <f t="array" ref="N726">IF(M726&lt;&gt;"INC", INDEX(data!M:M, MATCH(B726, data!D:D, 0)), "")</f>
        <v>2</v>
      </c>
      <c r="O726" s="2">
        <f t="shared" si="3"/>
        <v>2</v>
      </c>
    </row>
    <row r="727">
      <c r="A727" s="2" t="str">
        <f t="shared" si="1"/>
        <v>H019412</v>
      </c>
      <c r="B727" s="1" t="s">
        <v>2575</v>
      </c>
      <c r="C727" s="9" t="str">
        <f t="array" ref="C727">IF(
  AND(
    IFERROR(MATCH(Caseslist!B727, data!D:D, 0), 0) &gt; 0,
    IFERROR(INDEX(data!N:N, MATCH(Caseslist!B727, data!D:D, 0)) = 1, FALSE)
  ),
  "COMPLETE",
  "INC"
)</f>
        <v>COMPLETE</v>
      </c>
      <c r="D727" s="9">
        <f t="array" ref="D727">IFERROR(INDEX(data!$G:$G,match(Caseslist!B727,data!$D:$D,0)), "INC")</f>
        <v>859767</v>
      </c>
      <c r="E727" s="9" t="str">
        <f t="array" ref="E727">IFERROR(INDEX(data!H:H,match(Caseslist!B727,data!D:D,0)), "INC")</f>
        <v>Ramie De Pedro Jr._2</v>
      </c>
      <c r="F727" s="10" t="str">
        <f t="array" ref="F727">IF(
    OR(
      IFNA(INDEX(data!M:M, MATCH(Caseslist!B727, data!D:D, 0)), "") = "",
      IFNA(INDEX(data!M:M, MATCH(Caseslist!B727, data!D:D, 0)), 0) = 0
    ),
    "COMPLETE",
    IF(
      IFNA(INDEX(dataICM!D:D, MATCH(Caseslist!B727, dataICM!D:D, 0)), "INC") = "INC",
      IFNA(INDEX(dataICM!D:D, MATCH(Caseslist!B727, dataICM!D:D, 0)), "INC"),
      "COMPLETE"
    )
  )</f>
        <v>COMPLETE</v>
      </c>
      <c r="G727" s="10" t="str">
        <f t="array" ref="G727">IF(IFERROR(INDEX(data!L:L,match(Caseslist!B727,data!D:D,0)),"INC")="","COMPLETE",F727)</f>
        <v>COMPLETE</v>
      </c>
      <c r="H727" s="9" t="str">
        <f t="array" ref="H727">IFERROR(INDEX(dataICM!F:F,match(Caseslist!B727,dataICM!D:D,0)), "INC")</f>
        <v>Ramie De Pedro Jr._2</v>
      </c>
      <c r="I727" s="10">
        <f t="shared" si="2"/>
        <v>859767</v>
      </c>
      <c r="J727" s="9" t="str">
        <f t="array" ref="J727">IF(
  AND(
    IFERROR(MATCH(B727, data!D:D, 0), 0) &gt; 0,
    IFERROR(INDEX(data!N:N, MATCH(B727, data!D:D, 0)) = 1, FALSE)
  ),
  INDEX(data!C:C, MATCH(B727, data!D:D, 0)),
  "INC"
)</f>
        <v>2025-09-02T14:48:33.846+08</v>
      </c>
      <c r="K727" s="9" t="str">
        <f t="array" ref="K727">IFERROR(INDEX(dataICM!C:C,match(Caseslist!B727,dataICM!D:D,0)), "INC")</f>
        <v>2025-09-02T14:53:25.842+08</v>
      </c>
      <c r="L727" s="10" t="str">
        <f t="array" ref="L727">IF(AND(G727="COMPLETE", OR(K727="INC", ISBLANK(INDEX(data!O:O, ROW())))), J727, K727)</f>
        <v>2025-09-02T14:53:25.842+08</v>
      </c>
      <c r="M727" s="2">
        <v>45902.0</v>
      </c>
      <c r="N727" s="2">
        <f t="array" ref="N727">IF(M727&lt;&gt;"INC", INDEX(data!M:M, MATCH(B727, data!D:D, 0)), "")</f>
        <v>2</v>
      </c>
      <c r="O727" s="2">
        <f t="shared" si="3"/>
        <v>2</v>
      </c>
    </row>
    <row r="728">
      <c r="A728" s="2" t="str">
        <f t="shared" si="1"/>
        <v>H019412</v>
      </c>
      <c r="B728" s="1" t="s">
        <v>2570</v>
      </c>
      <c r="C728" s="9" t="str">
        <f t="array" ref="C728">IF(
  AND(
    IFERROR(MATCH(Caseslist!B728, data!D:D, 0), 0) &gt; 0,
    IFERROR(INDEX(data!N:N, MATCH(Caseslist!B728, data!D:D, 0)) = 1, FALSE)
  ),
  "COMPLETE",
  "INC"
)</f>
        <v>COMPLETE</v>
      </c>
      <c r="D728" s="9">
        <f t="array" ref="D728">IFERROR(INDEX(data!$G:$G,match(Caseslist!B728,data!$D:$D,0)), "INC")</f>
        <v>859767</v>
      </c>
      <c r="E728" s="9" t="str">
        <f t="array" ref="E728">IFERROR(INDEX(data!H:H,match(Caseslist!B728,data!D:D,0)), "INC")</f>
        <v>Ramie De Pedro Jr._2</v>
      </c>
      <c r="F728" s="10" t="str">
        <f t="array" ref="F728">IF(
    OR(
      IFNA(INDEX(data!M:M, MATCH(Caseslist!B728, data!D:D, 0)), "") = "",
      IFNA(INDEX(data!M:M, MATCH(Caseslist!B728, data!D:D, 0)), 0) = 0
    ),
    "COMPLETE",
    IF(
      IFNA(INDEX(dataICM!D:D, MATCH(Caseslist!B728, dataICM!D:D, 0)), "INC") = "INC",
      IFNA(INDEX(dataICM!D:D, MATCH(Caseslist!B728, dataICM!D:D, 0)), "INC"),
      "COMPLETE"
    )
  )</f>
        <v>COMPLETE</v>
      </c>
      <c r="G728" s="10" t="str">
        <f t="array" ref="G728">IF(IFERROR(INDEX(data!L:L,match(Caseslist!B728,data!D:D,0)),"INC")="","COMPLETE",F728)</f>
        <v>COMPLETE</v>
      </c>
      <c r="H728" s="9" t="str">
        <f t="array" ref="H728">IFERROR(INDEX(dataICM!F:F,match(Caseslist!B728,dataICM!D:D,0)), "INC")</f>
        <v>Ramie De Pedro Jr._2</v>
      </c>
      <c r="I728" s="10">
        <f t="shared" si="2"/>
        <v>859767</v>
      </c>
      <c r="J728" s="9" t="str">
        <f t="array" ref="J728">IF(
  AND(
    IFERROR(MATCH(B728, data!D:D, 0), 0) &gt; 0,
    IFERROR(INDEX(data!N:N, MATCH(B728, data!D:D, 0)) = 1, FALSE)
  ),
  INDEX(data!C:C, MATCH(B728, data!D:D, 0)),
  "INC"
)</f>
        <v>2025-09-02T14:58:19.781+08</v>
      </c>
      <c r="K728" s="9" t="str">
        <f t="array" ref="K728">IFERROR(INDEX(dataICM!C:C,match(Caseslist!B728,dataICM!D:D,0)), "INC")</f>
        <v>2025-09-02T15:01:43.627+08</v>
      </c>
      <c r="L728" s="10" t="str">
        <f t="array" ref="L728">IF(AND(G728="COMPLETE", OR(K728="INC", ISBLANK(INDEX(data!O:O, ROW())))), J728, K728)</f>
        <v>2025-09-02T15:01:43.627+08</v>
      </c>
      <c r="M728" s="2">
        <v>45902.0</v>
      </c>
      <c r="N728" s="2">
        <f t="array" ref="N728">IF(M728&lt;&gt;"INC", INDEX(data!M:M, MATCH(B728, data!D:D, 0)), "")</f>
        <v>2</v>
      </c>
      <c r="O728" s="2">
        <f t="shared" si="3"/>
        <v>2</v>
      </c>
    </row>
    <row r="729">
      <c r="A729" s="2" t="str">
        <f t="shared" si="1"/>
        <v>H019412</v>
      </c>
      <c r="B729" s="1" t="s">
        <v>2580</v>
      </c>
      <c r="C729" s="9" t="str">
        <f t="array" ref="C729">IF(
  AND(
    IFERROR(MATCH(Caseslist!B729, data!D:D, 0), 0) &gt; 0,
    IFERROR(INDEX(data!N:N, MATCH(Caseslist!B729, data!D:D, 0)) = 1, FALSE)
  ),
  "COMPLETE",
  "INC"
)</f>
        <v>COMPLETE</v>
      </c>
      <c r="D729" s="9">
        <f t="array" ref="D729">IFERROR(INDEX(data!$G:$G,match(Caseslist!B729,data!$D:$D,0)), "INC")</f>
        <v>859767</v>
      </c>
      <c r="E729" s="9" t="str">
        <f t="array" ref="E729">IFERROR(INDEX(data!H:H,match(Caseslist!B729,data!D:D,0)), "INC")</f>
        <v>Ramie De Pedro Jr._2</v>
      </c>
      <c r="F729" s="10" t="str">
        <f t="array" ref="F729">IF(
    OR(
      IFNA(INDEX(data!M:M, MATCH(Caseslist!B729, data!D:D, 0)), "") = "",
      IFNA(INDEX(data!M:M, MATCH(Caseslist!B729, data!D:D, 0)), 0) = 0
    ),
    "COMPLETE",
    IF(
      IFNA(INDEX(dataICM!D:D, MATCH(Caseslist!B729, dataICM!D:D, 0)), "INC") = "INC",
      IFNA(INDEX(dataICM!D:D, MATCH(Caseslist!B729, dataICM!D:D, 0)), "INC"),
      "COMPLETE"
    )
  )</f>
        <v>COMPLETE</v>
      </c>
      <c r="G729" s="10" t="str">
        <f t="array" ref="G729">IF(IFERROR(INDEX(data!L:L,match(Caseslist!B729,data!D:D,0)),"INC")="","COMPLETE",F729)</f>
        <v>COMPLETE</v>
      </c>
      <c r="H729" s="9" t="str">
        <f t="array" ref="H729">IFERROR(INDEX(dataICM!F:F,match(Caseslist!B729,dataICM!D:D,0)), "INC")</f>
        <v>Ramie De Pedro Jr._2</v>
      </c>
      <c r="I729" s="10">
        <f t="shared" si="2"/>
        <v>859767</v>
      </c>
      <c r="J729" s="9" t="str">
        <f t="array" ref="J729">IF(
  AND(
    IFERROR(MATCH(B729, data!D:D, 0), 0) &gt; 0,
    IFERROR(INDEX(data!N:N, MATCH(B729, data!D:D, 0)) = 1, FALSE)
  ),
  INDEX(data!C:C, MATCH(B729, data!D:D, 0)),
  "INC"
)</f>
        <v>2025-09-02T12:29:30.188+08</v>
      </c>
      <c r="K729" s="9" t="str">
        <f t="array" ref="K729">IFERROR(INDEX(dataICM!C:C,match(Caseslist!B729,dataICM!D:D,0)), "INC")</f>
        <v>2025-09-02T12:45:37.694+08</v>
      </c>
      <c r="L729" s="10" t="str">
        <f t="array" ref="L729">IF(AND(G729="COMPLETE", OR(K729="INC", ISBLANK(INDEX(data!O:O, ROW())))), J729, K729)</f>
        <v>2025-09-02T12:45:37.694+08</v>
      </c>
      <c r="M729" s="2">
        <v>45902.0</v>
      </c>
      <c r="N729" s="2">
        <f t="array" ref="N729">IF(M729&lt;&gt;"INC", INDEX(data!M:M, MATCH(B729, data!D:D, 0)), "")</f>
        <v>2</v>
      </c>
      <c r="O729" s="2">
        <f t="shared" si="3"/>
        <v>2</v>
      </c>
    </row>
    <row r="730">
      <c r="A730" s="2" t="str">
        <f t="shared" si="1"/>
        <v>H019412</v>
      </c>
      <c r="B730" s="1" t="s">
        <v>2564</v>
      </c>
      <c r="C730" s="9" t="str">
        <f t="array" ref="C730">IF(
  AND(
    IFERROR(MATCH(Caseslist!B730, data!D:D, 0), 0) &gt; 0,
    IFERROR(INDEX(data!N:N, MATCH(Caseslist!B730, data!D:D, 0)) = 1, FALSE)
  ),
  "COMPLETE",
  "INC"
)</f>
        <v>COMPLETE</v>
      </c>
      <c r="D730" s="9">
        <f t="array" ref="D730">IFERROR(INDEX(data!$G:$G,match(Caseslist!B730,data!$D:$D,0)), "INC")</f>
        <v>859767</v>
      </c>
      <c r="E730" s="9" t="str">
        <f t="array" ref="E730">IFERROR(INDEX(data!H:H,match(Caseslist!B730,data!D:D,0)), "INC")</f>
        <v>Ramie De Pedro Jr._2</v>
      </c>
      <c r="F730" s="10" t="str">
        <f t="array" ref="F730">IF(
    OR(
      IFNA(INDEX(data!M:M, MATCH(Caseslist!B730, data!D:D, 0)), "") = "",
      IFNA(INDEX(data!M:M, MATCH(Caseslist!B730, data!D:D, 0)), 0) = 0
    ),
    "COMPLETE",
    IF(
      IFNA(INDEX(dataICM!D:D, MATCH(Caseslist!B730, dataICM!D:D, 0)), "INC") = "INC",
      IFNA(INDEX(dataICM!D:D, MATCH(Caseslist!B730, dataICM!D:D, 0)), "INC"),
      "COMPLETE"
    )
  )</f>
        <v>COMPLETE</v>
      </c>
      <c r="G730" s="10" t="str">
        <f t="array" ref="G730">IF(IFERROR(INDEX(data!L:L,match(Caseslist!B730,data!D:D,0)),"INC")="","COMPLETE",F730)</f>
        <v>COMPLETE</v>
      </c>
      <c r="H730" s="9" t="str">
        <f t="array" ref="H730">IFERROR(INDEX(dataICM!F:F,match(Caseslist!B730,dataICM!D:D,0)), "INC")</f>
        <v>Ramie De Pedro Jr._2</v>
      </c>
      <c r="I730" s="10">
        <f t="shared" si="2"/>
        <v>859767</v>
      </c>
      <c r="J730" s="9" t="str">
        <f t="array" ref="J730">IF(
  AND(
    IFERROR(MATCH(B730, data!D:D, 0), 0) &gt; 0,
    IFERROR(INDEX(data!N:N, MATCH(B730, data!D:D, 0)) = 1, FALSE)
  ),
  INDEX(data!C:C, MATCH(B730, data!D:D, 0)),
  "INC"
)</f>
        <v>2025-09-02T10:36:42.310+08</v>
      </c>
      <c r="K730" s="9" t="str">
        <f t="array" ref="K730">IFERROR(INDEX(dataICM!C:C,match(Caseslist!B730,dataICM!D:D,0)), "INC")</f>
        <v>2025-09-02T10:47:03.572+08</v>
      </c>
      <c r="L730" s="10" t="str">
        <f t="array" ref="L730">IF(AND(G730="COMPLETE", OR(K730="INC", ISBLANK(INDEX(data!O:O, ROW())))), J730, K730)</f>
        <v>2025-09-02T10:47:03.572+08</v>
      </c>
      <c r="M730" s="2">
        <v>45902.0</v>
      </c>
      <c r="N730" s="2">
        <f t="array" ref="N730">IF(M730&lt;&gt;"INC", INDEX(data!M:M, MATCH(B730, data!D:D, 0)), "")</f>
        <v>2</v>
      </c>
      <c r="O730" s="2">
        <f t="shared" si="3"/>
        <v>2</v>
      </c>
    </row>
    <row r="731">
      <c r="A731" s="2" t="str">
        <f t="shared" si="1"/>
        <v>H019412</v>
      </c>
      <c r="B731" s="1" t="s">
        <v>2866</v>
      </c>
      <c r="C731" s="9" t="str">
        <f t="array" ref="C731">IF(
  AND(
    IFERROR(MATCH(Caseslist!B731, data!D:D, 0), 0) &gt; 0,
    IFERROR(INDEX(data!N:N, MATCH(Caseslist!B731, data!D:D, 0)) = 1, FALSE)
  ),
  "COMPLETE",
  "INC"
)</f>
        <v>COMPLETE</v>
      </c>
      <c r="D731" s="9" t="str">
        <f t="array" ref="D731">IFERROR(INDEX(data!$G:$G,match(Caseslist!B731,data!$D:$D,0)), "INC")</f>
        <v>S2671943</v>
      </c>
      <c r="E731" s="9" t="str">
        <f t="array" ref="E731">IFERROR(INDEX(data!H:H,match(Caseslist!B731,data!D:D,0)), "INC")</f>
        <v>Marvin Mondia</v>
      </c>
      <c r="F731" s="10" t="str">
        <f t="array" ref="F731">IF(
    OR(
      IFNA(INDEX(data!M:M, MATCH(Caseslist!B731, data!D:D, 0)), "") = "",
      IFNA(INDEX(data!M:M, MATCH(Caseslist!B731, data!D:D, 0)), 0) = 0
    ),
    "COMPLETE",
    IF(
      IFNA(INDEX(dataICM!D:D, MATCH(Caseslist!B731, dataICM!D:D, 0)), "INC") = "INC",
      IFNA(INDEX(dataICM!D:D, MATCH(Caseslist!B731, dataICM!D:D, 0)), "INC"),
      "COMPLETE"
    )
  )</f>
        <v>INC</v>
      </c>
      <c r="G731" s="10" t="str">
        <f t="array" ref="G731">IF(IFERROR(INDEX(data!L:L,match(Caseslist!B731,data!D:D,0)),"INC")="","COMPLETE",F731)</f>
        <v>INC</v>
      </c>
      <c r="H731" s="9" t="str">
        <f t="array" ref="H731">IFERROR(INDEX(dataICM!F:F,match(Caseslist!B731,dataICM!D:D,0)), "INC")</f>
        <v>INC</v>
      </c>
      <c r="I731" s="10" t="str">
        <f t="shared" si="2"/>
        <v>INC</v>
      </c>
      <c r="J731" s="9" t="str">
        <f t="array" ref="J731">IF(
  AND(
    IFERROR(MATCH(B731, data!D:D, 0), 0) &gt; 0,
    IFERROR(INDEX(data!N:N, MATCH(B731, data!D:D, 0)) = 1, FALSE)
  ),
  INDEX(data!C:C, MATCH(B731, data!D:D, 0)),
  "INC"
)</f>
        <v>2025-09-24T11:40:55.898+08</v>
      </c>
      <c r="K731" s="9" t="str">
        <f t="array" ref="K731">IFERROR(INDEX(dataICM!C:C,match(Caseslist!B731,dataICM!D:D,0)), "INC")</f>
        <v>INC</v>
      </c>
      <c r="L731" s="10" t="str">
        <f t="array" ref="L731">IF(AND(G731="COMPLETE", OR(K731="INC", ISBLANK(INDEX(data!O:O, ROW())))), J731, K731)</f>
        <v>INC</v>
      </c>
      <c r="M731" s="2" t="s">
        <v>8886</v>
      </c>
      <c r="N731" s="2" t="str">
        <f t="array" ref="N731">IF(M731&lt;&gt;"INC", INDEX(data!M:M, MATCH(B731, data!D:D, 0)), "")</f>
        <v/>
      </c>
      <c r="O731" s="2" t="str">
        <f t="shared" si="3"/>
        <v/>
      </c>
    </row>
    <row r="732">
      <c r="A732" s="2" t="str">
        <f t="shared" si="1"/>
        <v>H019412</v>
      </c>
      <c r="B732" s="1" t="s">
        <v>2856</v>
      </c>
      <c r="C732" s="9" t="str">
        <f t="array" ref="C732">IF(
  AND(
    IFERROR(MATCH(Caseslist!B732, data!D:D, 0), 0) &gt; 0,
    IFERROR(INDEX(data!N:N, MATCH(Caseslist!B732, data!D:D, 0)) = 1, FALSE)
  ),
  "COMPLETE",
  "INC"
)</f>
        <v>COMPLETE</v>
      </c>
      <c r="D732" s="9" t="str">
        <f t="array" ref="D732">IFERROR(INDEX(data!$G:$G,match(Caseslist!B732,data!$D:$D,0)), "INC")</f>
        <v>S2671943</v>
      </c>
      <c r="E732" s="9" t="str">
        <f t="array" ref="E732">IFERROR(INDEX(data!H:H,match(Caseslist!B732,data!D:D,0)), "INC")</f>
        <v>Marvin Mondia</v>
      </c>
      <c r="F732" s="10" t="str">
        <f t="array" ref="F732">IF(
    OR(
      IFNA(INDEX(data!M:M, MATCH(Caseslist!B732, data!D:D, 0)), "") = "",
      IFNA(INDEX(data!M:M, MATCH(Caseslist!B732, data!D:D, 0)), 0) = 0
    ),
    "COMPLETE",
    IF(
      IFNA(INDEX(dataICM!D:D, MATCH(Caseslist!B732, dataICM!D:D, 0)), "INC") = "INC",
      IFNA(INDEX(dataICM!D:D, MATCH(Caseslist!B732, dataICM!D:D, 0)), "INC"),
      "COMPLETE"
    )
  )</f>
        <v>COMPLETE</v>
      </c>
      <c r="G732" s="10" t="str">
        <f t="array" ref="G732">IF(IFERROR(INDEX(data!L:L,match(Caseslist!B732,data!D:D,0)),"INC")="","COMPLETE",F732)</f>
        <v>COMPLETE</v>
      </c>
      <c r="H732" s="9" t="str">
        <f t="array" ref="H732">IFERROR(INDEX(dataICM!F:F,match(Caseslist!B732,dataICM!D:D,0)), "INC")</f>
        <v>Marvin Mondia</v>
      </c>
      <c r="I732" s="10" t="str">
        <f t="shared" si="2"/>
        <v>S2671943</v>
      </c>
      <c r="J732" s="9" t="str">
        <f t="array" ref="J732">IF(
  AND(
    IFERROR(MATCH(B732, data!D:D, 0), 0) &gt; 0,
    IFERROR(INDEX(data!N:N, MATCH(B732, data!D:D, 0)) = 1, FALSE)
  ),
  INDEX(data!C:C, MATCH(B732, data!D:D, 0)),
  "INC"
)</f>
        <v>2025-09-02T13:08:57.994+08</v>
      </c>
      <c r="K732" s="9" t="str">
        <f t="array" ref="K732">IFERROR(INDEX(dataICM!C:C,match(Caseslist!B732,dataICM!D:D,0)), "INC")</f>
        <v>2025-09-24T11:56:39.454+08</v>
      </c>
      <c r="L732" s="10" t="str">
        <f t="array" ref="L732">IF(AND(G732="COMPLETE", OR(K732="INC", ISBLANK(INDEX(data!O:O, ROW())))), J732, K732)</f>
        <v>2025-09-24T11:56:39.454+08</v>
      </c>
      <c r="M732" s="2">
        <v>45924.0</v>
      </c>
      <c r="N732" s="2">
        <f t="array" ref="N732">IF(M732&lt;&gt;"INC", INDEX(data!M:M, MATCH(B732, data!D:D, 0)), "")</f>
        <v>2</v>
      </c>
      <c r="O732" s="2">
        <f t="shared" si="3"/>
        <v>2</v>
      </c>
    </row>
    <row r="733">
      <c r="A733" s="2" t="str">
        <f t="shared" si="1"/>
        <v>H019412</v>
      </c>
      <c r="B733" s="1" t="s">
        <v>2846</v>
      </c>
      <c r="C733" s="9" t="str">
        <f t="array" ref="C733">IF(
  AND(
    IFERROR(MATCH(Caseslist!B733, data!D:D, 0), 0) &gt; 0,
    IFERROR(INDEX(data!N:N, MATCH(Caseslist!B733, data!D:D, 0)) = 1, FALSE)
  ),
  "COMPLETE",
  "INC"
)</f>
        <v>COMPLETE</v>
      </c>
      <c r="D733" s="9" t="str">
        <f t="array" ref="D733">IFERROR(INDEX(data!$G:$G,match(Caseslist!B733,data!$D:$D,0)), "INC")</f>
        <v>S2671943</v>
      </c>
      <c r="E733" s="9" t="str">
        <f t="array" ref="E733">IFERROR(INDEX(data!H:H,match(Caseslist!B733,data!D:D,0)), "INC")</f>
        <v>Marvin Mondia</v>
      </c>
      <c r="F733" s="10" t="str">
        <f t="array" ref="F733">IF(
    OR(
      IFNA(INDEX(data!M:M, MATCH(Caseslist!B733, data!D:D, 0)), "") = "",
      IFNA(INDEX(data!M:M, MATCH(Caseslist!B733, data!D:D, 0)), 0) = 0
    ),
    "COMPLETE",
    IF(
      IFNA(INDEX(dataICM!D:D, MATCH(Caseslist!B733, dataICM!D:D, 0)), "INC") = "INC",
      IFNA(INDEX(dataICM!D:D, MATCH(Caseslist!B733, dataICM!D:D, 0)), "INC"),
      "COMPLETE"
    )
  )</f>
        <v>COMPLETE</v>
      </c>
      <c r="G733" s="10" t="str">
        <f t="array" ref="G733">IF(IFERROR(INDEX(data!L:L,match(Caseslist!B733,data!D:D,0)),"INC")="","COMPLETE",F733)</f>
        <v>COMPLETE</v>
      </c>
      <c r="H733" s="9" t="str">
        <f t="array" ref="H733">IFERROR(INDEX(dataICM!F:F,match(Caseslist!B733,dataICM!D:D,0)), "INC")</f>
        <v>Marvin Mondia</v>
      </c>
      <c r="I733" s="10" t="str">
        <f t="shared" si="2"/>
        <v>S2671943</v>
      </c>
      <c r="J733" s="9" t="str">
        <f t="array" ref="J733">IF(
  AND(
    IFERROR(MATCH(B733, data!D:D, 0), 0) &gt; 0,
    IFERROR(INDEX(data!N:N, MATCH(B733, data!D:D, 0)) = 1, FALSE)
  ),
  INDEX(data!C:C, MATCH(B733, data!D:D, 0)),
  "INC"
)</f>
        <v>2025-09-02T10:52:16.686+08</v>
      </c>
      <c r="K733" s="9" t="str">
        <f t="array" ref="K733">IFERROR(INDEX(dataICM!C:C,match(Caseslist!B733,dataICM!D:D,0)), "INC")</f>
        <v>2025-09-02T11:02:29.908+08</v>
      </c>
      <c r="L733" s="10" t="str">
        <f t="array" ref="L733">IF(AND(G733="COMPLETE", OR(K733="INC", ISBLANK(INDEX(data!O:O, ROW())))), J733, K733)</f>
        <v>2025-09-02T11:02:29.908+08</v>
      </c>
      <c r="M733" s="2">
        <v>45902.0</v>
      </c>
      <c r="N733" s="2">
        <f t="array" ref="N733">IF(M733&lt;&gt;"INC", INDEX(data!M:M, MATCH(B733, data!D:D, 0)), "")</f>
        <v>2</v>
      </c>
      <c r="O733" s="2">
        <f t="shared" si="3"/>
        <v>2</v>
      </c>
    </row>
    <row r="734">
      <c r="A734" s="2" t="str">
        <f t="shared" si="1"/>
        <v>H019412</v>
      </c>
      <c r="B734" s="1" t="s">
        <v>2861</v>
      </c>
      <c r="C734" s="9" t="str">
        <f t="array" ref="C734">IF(
  AND(
    IFERROR(MATCH(Caseslist!B734, data!D:D, 0), 0) &gt; 0,
    IFERROR(INDEX(data!N:N, MATCH(Caseslist!B734, data!D:D, 0)) = 1, FALSE)
  ),
  "COMPLETE",
  "INC"
)</f>
        <v>COMPLETE</v>
      </c>
      <c r="D734" s="9" t="str">
        <f t="array" ref="D734">IFERROR(INDEX(data!$G:$G,match(Caseslist!B734,data!$D:$D,0)), "INC")</f>
        <v>S2671943</v>
      </c>
      <c r="E734" s="9" t="str">
        <f t="array" ref="E734">IFERROR(INDEX(data!H:H,match(Caseslist!B734,data!D:D,0)), "INC")</f>
        <v>Marvin Mondia</v>
      </c>
      <c r="F734" s="10" t="str">
        <f t="array" ref="F734">IF(
    OR(
      IFNA(INDEX(data!M:M, MATCH(Caseslist!B734, data!D:D, 0)), "") = "",
      IFNA(INDEX(data!M:M, MATCH(Caseslist!B734, data!D:D, 0)), 0) = 0
    ),
    "COMPLETE",
    IF(
      IFNA(INDEX(dataICM!D:D, MATCH(Caseslist!B734, dataICM!D:D, 0)), "INC") = "INC",
      IFNA(INDEX(dataICM!D:D, MATCH(Caseslist!B734, dataICM!D:D, 0)), "INC"),
      "COMPLETE"
    )
  )</f>
        <v>INC</v>
      </c>
      <c r="G734" s="10" t="str">
        <f t="array" ref="G734">IF(IFERROR(INDEX(data!L:L,match(Caseslist!B734,data!D:D,0)),"INC")="","COMPLETE",F734)</f>
        <v>INC</v>
      </c>
      <c r="H734" s="9" t="str">
        <f t="array" ref="H734">IFERROR(INDEX(dataICM!F:F,match(Caseslist!B734,dataICM!D:D,0)), "INC")</f>
        <v>INC</v>
      </c>
      <c r="I734" s="10" t="str">
        <f t="shared" si="2"/>
        <v>INC</v>
      </c>
      <c r="J734" s="9" t="str">
        <f t="array" ref="J734">IF(
  AND(
    IFERROR(MATCH(B734, data!D:D, 0), 0) &gt; 0,
    IFERROR(INDEX(data!N:N, MATCH(B734, data!D:D, 0)) = 1, FALSE)
  ),
  INDEX(data!C:C, MATCH(B734, data!D:D, 0)),
  "INC"
)</f>
        <v>2025-09-24T12:23:29.783+08</v>
      </c>
      <c r="K734" s="9" t="str">
        <f t="array" ref="K734">IFERROR(INDEX(dataICM!C:C,match(Caseslist!B734,dataICM!D:D,0)), "INC")</f>
        <v>INC</v>
      </c>
      <c r="L734" s="10" t="str">
        <f t="array" ref="L734">IF(AND(G734="COMPLETE", OR(K734="INC", ISBLANK(INDEX(data!O:O, ROW())))), J734, K734)</f>
        <v>INC</v>
      </c>
      <c r="M734" s="2" t="s">
        <v>8886</v>
      </c>
      <c r="N734" s="2" t="str">
        <f t="array" ref="N734">IF(M734&lt;&gt;"INC", INDEX(data!M:M, MATCH(B734, data!D:D, 0)), "")</f>
        <v/>
      </c>
      <c r="O734" s="2" t="str">
        <f t="shared" si="3"/>
        <v/>
      </c>
    </row>
    <row r="735">
      <c r="A735" s="2" t="str">
        <f t="shared" si="1"/>
        <v>H019412</v>
      </c>
      <c r="B735" s="1" t="s">
        <v>2851</v>
      </c>
      <c r="C735" s="9" t="str">
        <f t="array" ref="C735">IF(
  AND(
    IFERROR(MATCH(Caseslist!B735, data!D:D, 0), 0) &gt; 0,
    IFERROR(INDEX(data!N:N, MATCH(Caseslist!B735, data!D:D, 0)) = 1, FALSE)
  ),
  "COMPLETE",
  "INC"
)</f>
        <v>COMPLETE</v>
      </c>
      <c r="D735" s="9" t="str">
        <f t="array" ref="D735">IFERROR(INDEX(data!$G:$G,match(Caseslist!B735,data!$D:$D,0)), "INC")</f>
        <v>S2671943</v>
      </c>
      <c r="E735" s="9" t="str">
        <f t="array" ref="E735">IFERROR(INDEX(data!H:H,match(Caseslist!B735,data!D:D,0)), "INC")</f>
        <v>Marvin Mondia</v>
      </c>
      <c r="F735" s="10" t="str">
        <f t="array" ref="F735">IF(
    OR(
      IFNA(INDEX(data!M:M, MATCH(Caseslist!B735, data!D:D, 0)), "") = "",
      IFNA(INDEX(data!M:M, MATCH(Caseslist!B735, data!D:D, 0)), 0) = 0
    ),
    "COMPLETE",
    IF(
      IFNA(INDEX(dataICM!D:D, MATCH(Caseslist!B735, dataICM!D:D, 0)), "INC") = "INC",
      IFNA(INDEX(dataICM!D:D, MATCH(Caseslist!B735, dataICM!D:D, 0)), "INC"),
      "COMPLETE"
    )
  )</f>
        <v>COMPLETE</v>
      </c>
      <c r="G735" s="10" t="str">
        <f t="array" ref="G735">IF(IFERROR(INDEX(data!L:L,match(Caseslist!B735,data!D:D,0)),"INC")="","COMPLETE",F735)</f>
        <v>COMPLETE</v>
      </c>
      <c r="H735" s="9" t="str">
        <f t="array" ref="H735">IFERROR(INDEX(dataICM!F:F,match(Caseslist!B735,dataICM!D:D,0)), "INC")</f>
        <v>Marvin Mondia</v>
      </c>
      <c r="I735" s="10" t="str">
        <f t="shared" si="2"/>
        <v>S2671943</v>
      </c>
      <c r="J735" s="9" t="str">
        <f t="array" ref="J735">IF(
  AND(
    IFERROR(MATCH(B735, data!D:D, 0), 0) &gt; 0,
    IFERROR(INDEX(data!N:N, MATCH(B735, data!D:D, 0)) = 1, FALSE)
  ),
  INDEX(data!C:C, MATCH(B735, data!D:D, 0)),
  "INC"
)</f>
        <v>2025-09-02T12:10:51.505+08</v>
      </c>
      <c r="K735" s="9" t="str">
        <f t="array" ref="K735">IFERROR(INDEX(dataICM!C:C,match(Caseslist!B735,dataICM!D:D,0)), "INC")</f>
        <v>2025-09-02T12:17:04.641+08</v>
      </c>
      <c r="L735" s="10" t="str">
        <f t="array" ref="L735">IF(AND(G735="COMPLETE", OR(K735="INC", ISBLANK(INDEX(data!O:O, ROW())))), J735, K735)</f>
        <v>2025-09-02T12:17:04.641+08</v>
      </c>
      <c r="M735" s="2">
        <v>45902.0</v>
      </c>
      <c r="N735" s="2">
        <f t="array" ref="N735">IF(M735&lt;&gt;"INC", INDEX(data!M:M, MATCH(B735, data!D:D, 0)), "")</f>
        <v>2</v>
      </c>
      <c r="O735" s="2">
        <f t="shared" si="3"/>
        <v>2</v>
      </c>
    </row>
    <row r="736">
      <c r="A736" s="2" t="str">
        <f t="shared" si="1"/>
        <v>H019412</v>
      </c>
      <c r="B736" s="1" t="s">
        <v>2791</v>
      </c>
      <c r="C736" s="9" t="str">
        <f t="array" ref="C736">IF(
  AND(
    IFERROR(MATCH(Caseslist!B736, data!D:D, 0), 0) &gt; 0,
    IFERROR(INDEX(data!N:N, MATCH(Caseslist!B736, data!D:D, 0)) = 1, FALSE)
  ),
  "COMPLETE",
  "INC"
)</f>
        <v>COMPLETE</v>
      </c>
      <c r="D736" s="9" t="str">
        <f t="array" ref="D736">IFERROR(INDEX(data!$G:$G,match(Caseslist!B736,data!$D:$D,0)), "INC")</f>
        <v>S2671943</v>
      </c>
      <c r="E736" s="9" t="str">
        <f t="array" ref="E736">IFERROR(INDEX(data!H:H,match(Caseslist!B736,data!D:D,0)), "INC")</f>
        <v>Marvin Mondia</v>
      </c>
      <c r="F736" s="10" t="str">
        <f t="array" ref="F736">IF(
    OR(
      IFNA(INDEX(data!M:M, MATCH(Caseslist!B736, data!D:D, 0)), "") = "",
      IFNA(INDEX(data!M:M, MATCH(Caseslist!B736, data!D:D, 0)), 0) = 0
    ),
    "COMPLETE",
    IF(
      IFNA(INDEX(dataICM!D:D, MATCH(Caseslist!B736, dataICM!D:D, 0)), "INC") = "INC",
      IFNA(INDEX(dataICM!D:D, MATCH(Caseslist!B736, dataICM!D:D, 0)), "INC"),
      "COMPLETE"
    )
  )</f>
        <v>COMPLETE</v>
      </c>
      <c r="G736" s="10" t="str">
        <f t="array" ref="G736">IF(IFERROR(INDEX(data!L:L,match(Caseslist!B736,data!D:D,0)),"INC")="","COMPLETE",F736)</f>
        <v>COMPLETE</v>
      </c>
      <c r="H736" s="9" t="str">
        <f t="array" ref="H736">IFERROR(INDEX(dataICM!F:F,match(Caseslist!B736,dataICM!D:D,0)), "INC")</f>
        <v>Marvin Mondia</v>
      </c>
      <c r="I736" s="10" t="str">
        <f t="shared" si="2"/>
        <v>S2671943</v>
      </c>
      <c r="J736" s="9" t="str">
        <f t="array" ref="J736">IF(
  AND(
    IFERROR(MATCH(B736, data!D:D, 0), 0) &gt; 0,
    IFERROR(INDEX(data!N:N, MATCH(B736, data!D:D, 0)) = 1, FALSE)
  ),
  INDEX(data!C:C, MATCH(B736, data!D:D, 0)),
  "INC"
)</f>
        <v>2025-09-24T10:49:09.179+08</v>
      </c>
      <c r="K736" s="9" t="str">
        <f t="array" ref="K736">IFERROR(INDEX(dataICM!C:C,match(Caseslist!B736,dataICM!D:D,0)), "INC")</f>
        <v>2025-09-24T10:50:44.873+08</v>
      </c>
      <c r="L736" s="10" t="str">
        <f t="array" ref="L736">IF(AND(G736="COMPLETE", OR(K736="INC", ISBLANK(INDEX(data!O:O, ROW())))), J736, K736)</f>
        <v>2025-09-24T10:50:44.873+08</v>
      </c>
      <c r="M736" s="2">
        <v>45924.0</v>
      </c>
      <c r="N736" s="2">
        <f t="array" ref="N736">IF(M736&lt;&gt;"INC", INDEX(data!M:M, MATCH(B736, data!D:D, 0)), "")</f>
        <v>2</v>
      </c>
      <c r="O736" s="2">
        <f t="shared" si="3"/>
        <v>2</v>
      </c>
    </row>
    <row r="737">
      <c r="A737" s="2" t="str">
        <f t="shared" si="1"/>
        <v>H019412</v>
      </c>
      <c r="B737" s="1" t="s">
        <v>2786</v>
      </c>
      <c r="C737" s="9" t="str">
        <f t="array" ref="C737">IF(
  AND(
    IFERROR(MATCH(Caseslist!B737, data!D:D, 0), 0) &gt; 0,
    IFERROR(INDEX(data!N:N, MATCH(Caseslist!B737, data!D:D, 0)) = 1, FALSE)
  ),
  "COMPLETE",
  "INC"
)</f>
        <v>COMPLETE</v>
      </c>
      <c r="D737" s="9" t="str">
        <f t="array" ref="D737">IFERROR(INDEX(data!$G:$G,match(Caseslist!B737,data!$D:$D,0)), "INC")</f>
        <v>S2671943</v>
      </c>
      <c r="E737" s="9" t="str">
        <f t="array" ref="E737">IFERROR(INDEX(data!H:H,match(Caseslist!B737,data!D:D,0)), "INC")</f>
        <v>Marvin Mondia</v>
      </c>
      <c r="F737" s="10" t="str">
        <f t="array" ref="F737">IF(
    OR(
      IFNA(INDEX(data!M:M, MATCH(Caseslist!B737, data!D:D, 0)), "") = "",
      IFNA(INDEX(data!M:M, MATCH(Caseslist!B737, data!D:D, 0)), 0) = 0
    ),
    "COMPLETE",
    IF(
      IFNA(INDEX(dataICM!D:D, MATCH(Caseslist!B737, dataICM!D:D, 0)), "INC") = "INC",
      IFNA(INDEX(dataICM!D:D, MATCH(Caseslist!B737, dataICM!D:D, 0)), "INC"),
      "COMPLETE"
    )
  )</f>
        <v>INC</v>
      </c>
      <c r="G737" s="10" t="str">
        <f t="array" ref="G737">IF(IFERROR(INDEX(data!L:L,match(Caseslist!B737,data!D:D,0)),"INC")="","COMPLETE",F737)</f>
        <v>INC</v>
      </c>
      <c r="H737" s="9" t="str">
        <f t="array" ref="H737">IFERROR(INDEX(dataICM!F:F,match(Caseslist!B737,dataICM!D:D,0)), "INC")</f>
        <v>INC</v>
      </c>
      <c r="I737" s="10" t="str">
        <f t="shared" si="2"/>
        <v>INC</v>
      </c>
      <c r="J737" s="9" t="str">
        <f t="array" ref="J737">IF(
  AND(
    IFERROR(MATCH(B737, data!D:D, 0), 0) &gt; 0,
    IFERROR(INDEX(data!N:N, MATCH(B737, data!D:D, 0)) = 1, FALSE)
  ),
  INDEX(data!C:C, MATCH(B737, data!D:D, 0)),
  "INC"
)</f>
        <v>2025-09-28T12:30:27.602+08</v>
      </c>
      <c r="K737" s="9" t="str">
        <f t="array" ref="K737">IFERROR(INDEX(dataICM!C:C,match(Caseslist!B737,dataICM!D:D,0)), "INC")</f>
        <v>INC</v>
      </c>
      <c r="L737" s="10" t="str">
        <f t="array" ref="L737">IF(AND(G737="COMPLETE", OR(K737="INC", ISBLANK(INDEX(data!O:O, ROW())))), J737, K737)</f>
        <v>INC</v>
      </c>
      <c r="M737" s="2" t="s">
        <v>8886</v>
      </c>
      <c r="N737" s="2" t="str">
        <f t="array" ref="N737">IF(M737&lt;&gt;"INC", INDEX(data!M:M, MATCH(B737, data!D:D, 0)), "")</f>
        <v/>
      </c>
      <c r="O737" s="2" t="str">
        <f t="shared" si="3"/>
        <v/>
      </c>
    </row>
    <row r="738">
      <c r="A738" s="2" t="str">
        <f t="shared" si="1"/>
        <v>H019412</v>
      </c>
      <c r="B738" s="1" t="s">
        <v>2776</v>
      </c>
      <c r="C738" s="9" t="str">
        <f t="array" ref="C738">IF(
  AND(
    IFERROR(MATCH(Caseslist!B738, data!D:D, 0), 0) &gt; 0,
    IFERROR(INDEX(data!N:N, MATCH(Caseslist!B738, data!D:D, 0)) = 1, FALSE)
  ),
  "COMPLETE",
  "INC"
)</f>
        <v>COMPLETE</v>
      </c>
      <c r="D738" s="9">
        <f t="array" ref="D738">IFERROR(INDEX(data!$G:$G,match(Caseslist!B738,data!$D:$D,0)), "INC")</f>
        <v>729375</v>
      </c>
      <c r="E738" s="9" t="str">
        <f t="array" ref="E738">IFERROR(INDEX(data!H:H,match(Caseslist!B738,data!D:D,0)), "INC")</f>
        <v>Janet Serafica_2</v>
      </c>
      <c r="F738" s="10" t="str">
        <f t="array" ref="F738">IF(
    OR(
      IFNA(INDEX(data!M:M, MATCH(Caseslist!B738, data!D:D, 0)), "") = "",
      IFNA(INDEX(data!M:M, MATCH(Caseslist!B738, data!D:D, 0)), 0) = 0
    ),
    "COMPLETE",
    IF(
      IFNA(INDEX(dataICM!D:D, MATCH(Caseslist!B738, dataICM!D:D, 0)), "INC") = "INC",
      IFNA(INDEX(dataICM!D:D, MATCH(Caseslist!B738, dataICM!D:D, 0)), "INC"),
      "COMPLETE"
    )
  )</f>
        <v>COMPLETE</v>
      </c>
      <c r="G738" s="10" t="str">
        <f t="array" ref="G738">IF(IFERROR(INDEX(data!L:L,match(Caseslist!B738,data!D:D,0)),"INC")="","COMPLETE",F738)</f>
        <v>COMPLETE</v>
      </c>
      <c r="H738" s="9" t="str">
        <f t="array" ref="H738">IFERROR(INDEX(dataICM!F:F,match(Caseslist!B738,dataICM!D:D,0)), "INC")</f>
        <v>Janet Serafica_2</v>
      </c>
      <c r="I738" s="10">
        <f t="shared" si="2"/>
        <v>729375</v>
      </c>
      <c r="J738" s="9" t="str">
        <f t="array" ref="J738">IF(
  AND(
    IFERROR(MATCH(B738, data!D:D, 0), 0) &gt; 0,
    IFERROR(INDEX(data!N:N, MATCH(B738, data!D:D, 0)) = 1, FALSE)
  ),
  INDEX(data!C:C, MATCH(B738, data!D:D, 0)),
  "INC"
)</f>
        <v>2025-09-02T11:01:07.075+08</v>
      </c>
      <c r="K738" s="9" t="str">
        <f t="array" ref="K738">IFERROR(INDEX(dataICM!C:C,match(Caseslist!B738,dataICM!D:D,0)), "INC")</f>
        <v>2025-09-02T11:04:31.179+08</v>
      </c>
      <c r="L738" s="10" t="str">
        <f t="array" ref="L738">IF(AND(G738="COMPLETE", OR(K738="INC", ISBLANK(INDEX(data!O:O, ROW())))), J738, K738)</f>
        <v>2025-09-02T11:04:31.179+08</v>
      </c>
      <c r="M738" s="2">
        <v>45902.0</v>
      </c>
      <c r="N738" s="2">
        <f t="array" ref="N738">IF(M738&lt;&gt;"INC", INDEX(data!M:M, MATCH(B738, data!D:D, 0)), "")</f>
        <v>2</v>
      </c>
      <c r="O738" s="2">
        <f t="shared" si="3"/>
        <v>2</v>
      </c>
    </row>
    <row r="739">
      <c r="A739" s="2" t="str">
        <f t="shared" si="1"/>
        <v>H019412</v>
      </c>
      <c r="B739" s="1" t="s">
        <v>2771</v>
      </c>
      <c r="C739" s="9" t="str">
        <f t="array" ref="C739">IF(
  AND(
    IFERROR(MATCH(Caseslist!B739, data!D:D, 0), 0) &gt; 0,
    IFERROR(INDEX(data!N:N, MATCH(Caseslist!B739, data!D:D, 0)) = 1, FALSE)
  ),
  "COMPLETE",
  "INC"
)</f>
        <v>COMPLETE</v>
      </c>
      <c r="D739" s="9">
        <f t="array" ref="D739">IFERROR(INDEX(data!$G:$G,match(Caseslist!B739,data!$D:$D,0)), "INC")</f>
        <v>729375</v>
      </c>
      <c r="E739" s="9" t="str">
        <f t="array" ref="E739">IFERROR(INDEX(data!H:H,match(Caseslist!B739,data!D:D,0)), "INC")</f>
        <v>Janet Serafica_2</v>
      </c>
      <c r="F739" s="10" t="str">
        <f t="array" ref="F739">IF(
    OR(
      IFNA(INDEX(data!M:M, MATCH(Caseslist!B739, data!D:D, 0)), "") = "",
      IFNA(INDEX(data!M:M, MATCH(Caseslist!B739, data!D:D, 0)), 0) = 0
    ),
    "COMPLETE",
    IF(
      IFNA(INDEX(dataICM!D:D, MATCH(Caseslist!B739, dataICM!D:D, 0)), "INC") = "INC",
      IFNA(INDEX(dataICM!D:D, MATCH(Caseslist!B739, dataICM!D:D, 0)), "INC"),
      "COMPLETE"
    )
  )</f>
        <v>COMPLETE</v>
      </c>
      <c r="G739" s="10" t="str">
        <f t="array" ref="G739">IF(IFERROR(INDEX(data!L:L,match(Caseslist!B739,data!D:D,0)),"INC")="","COMPLETE",F739)</f>
        <v>COMPLETE</v>
      </c>
      <c r="H739" s="9" t="str">
        <f t="array" ref="H739">IFERROR(INDEX(dataICM!F:F,match(Caseslist!B739,dataICM!D:D,0)), "INC")</f>
        <v>Janet Serafica_2</v>
      </c>
      <c r="I739" s="10">
        <f t="shared" si="2"/>
        <v>729375</v>
      </c>
      <c r="J739" s="9" t="str">
        <f t="array" ref="J739">IF(
  AND(
    IFERROR(MATCH(B739, data!D:D, 0), 0) &gt; 0,
    IFERROR(INDEX(data!N:N, MATCH(B739, data!D:D, 0)) = 1, FALSE)
  ),
  INDEX(data!C:C, MATCH(B739, data!D:D, 0)),
  "INC"
)</f>
        <v>2025-09-02T10:17:45.290+08</v>
      </c>
      <c r="K739" s="9" t="str">
        <f t="array" ref="K739">IFERROR(INDEX(dataICM!C:C,match(Caseslist!B739,dataICM!D:D,0)), "INC")</f>
        <v>2025-09-02T10:21:49.706+08</v>
      </c>
      <c r="L739" s="10" t="str">
        <f t="array" ref="L739">IF(AND(G739="COMPLETE", OR(K739="INC", ISBLANK(INDEX(data!O:O, ROW())))), J739, K739)</f>
        <v>2025-09-02T10:21:49.706+08</v>
      </c>
      <c r="M739" s="2">
        <v>45902.0</v>
      </c>
      <c r="N739" s="2">
        <f t="array" ref="N739">IF(M739&lt;&gt;"INC", INDEX(data!M:M, MATCH(B739, data!D:D, 0)), "")</f>
        <v>2</v>
      </c>
      <c r="O739" s="2">
        <f t="shared" si="3"/>
        <v>2</v>
      </c>
    </row>
    <row r="740">
      <c r="A740" s="2" t="str">
        <f t="shared" si="1"/>
        <v>H019412</v>
      </c>
      <c r="B740" s="1" t="s">
        <v>2781</v>
      </c>
      <c r="C740" s="9" t="str">
        <f t="array" ref="C740">IF(
  AND(
    IFERROR(MATCH(Caseslist!B740, data!D:D, 0), 0) &gt; 0,
    IFERROR(INDEX(data!N:N, MATCH(Caseslist!B740, data!D:D, 0)) = 1, FALSE)
  ),
  "COMPLETE",
  "INC"
)</f>
        <v>COMPLETE</v>
      </c>
      <c r="D740" s="9">
        <f t="array" ref="D740">IFERROR(INDEX(data!$G:$G,match(Caseslist!B740,data!$D:$D,0)), "INC")</f>
        <v>729375</v>
      </c>
      <c r="E740" s="9" t="str">
        <f t="array" ref="E740">IFERROR(INDEX(data!H:H,match(Caseslist!B740,data!D:D,0)), "INC")</f>
        <v>Janet Serafica_2</v>
      </c>
      <c r="F740" s="10" t="str">
        <f t="array" ref="F740">IF(
    OR(
      IFNA(INDEX(data!M:M, MATCH(Caseslist!B740, data!D:D, 0)), "") = "",
      IFNA(INDEX(data!M:M, MATCH(Caseslist!B740, data!D:D, 0)), 0) = 0
    ),
    "COMPLETE",
    IF(
      IFNA(INDEX(dataICM!D:D, MATCH(Caseslist!B740, dataICM!D:D, 0)), "INC") = "INC",
      IFNA(INDEX(dataICM!D:D, MATCH(Caseslist!B740, dataICM!D:D, 0)), "INC"),
      "COMPLETE"
    )
  )</f>
        <v>COMPLETE</v>
      </c>
      <c r="G740" s="10" t="str">
        <f t="array" ref="G740">IF(IFERROR(INDEX(data!L:L,match(Caseslist!B740,data!D:D,0)),"INC")="","COMPLETE",F740)</f>
        <v>COMPLETE</v>
      </c>
      <c r="H740" s="9" t="str">
        <f t="array" ref="H740">IFERROR(INDEX(dataICM!F:F,match(Caseslist!B740,dataICM!D:D,0)), "INC")</f>
        <v>Janet Serafica_2</v>
      </c>
      <c r="I740" s="10">
        <f t="shared" si="2"/>
        <v>729375</v>
      </c>
      <c r="J740" s="9" t="str">
        <f t="array" ref="J740">IF(
  AND(
    IFERROR(MATCH(B740, data!D:D, 0), 0) &gt; 0,
    IFERROR(INDEX(data!N:N, MATCH(B740, data!D:D, 0)) = 1, FALSE)
  ),
  INDEX(data!C:C, MATCH(B740, data!D:D, 0)),
  "INC"
)</f>
        <v>2025-09-02T12:01:23.398+08</v>
      </c>
      <c r="K740" s="9" t="str">
        <f t="array" ref="K740">IFERROR(INDEX(dataICM!C:C,match(Caseslist!B740,dataICM!D:D,0)), "INC")</f>
        <v>2025-09-02T12:03:28.305+08</v>
      </c>
      <c r="L740" s="10" t="str">
        <f t="array" ref="L740">IF(AND(G740="COMPLETE", OR(K740="INC", ISBLANK(INDEX(data!O:O, ROW())))), J740, K740)</f>
        <v>2025-09-02T12:03:28.305+08</v>
      </c>
      <c r="M740" s="2">
        <v>45902.0</v>
      </c>
      <c r="N740" s="2">
        <f t="array" ref="N740">IF(M740&lt;&gt;"INC", INDEX(data!M:M, MATCH(B740, data!D:D, 0)), "")</f>
        <v>2</v>
      </c>
      <c r="O740" s="2">
        <f t="shared" si="3"/>
        <v>2</v>
      </c>
    </row>
    <row r="741">
      <c r="A741" s="2" t="str">
        <f t="shared" si="1"/>
        <v>H019423</v>
      </c>
      <c r="B741" s="1" t="s">
        <v>5012</v>
      </c>
      <c r="C741" s="9" t="str">
        <f t="array" ref="C741">IF(
  AND(
    IFERROR(MATCH(Caseslist!B741, data!D:D, 0), 0) &gt; 0,
    IFERROR(INDEX(data!N:N, MATCH(Caseslist!B741, data!D:D, 0)) = 1, FALSE)
  ),
  "COMPLETE",
  "INC"
)</f>
        <v>COMPLETE</v>
      </c>
      <c r="D741" s="9" t="str">
        <f t="array" ref="D741">IFERROR(INDEX(data!$G:$G,match(Caseslist!B741,data!$D:$D,0)), "INC")</f>
        <v>S2671943</v>
      </c>
      <c r="E741" s="9" t="str">
        <f t="array" ref="E741">IFERROR(INDEX(data!H:H,match(Caseslist!B741,data!D:D,0)), "INC")</f>
        <v>Marvin Mondia</v>
      </c>
      <c r="F741" s="10" t="str">
        <f t="array" ref="F741">IF(
    OR(
      IFNA(INDEX(data!M:M, MATCH(Caseslist!B741, data!D:D, 0)), "") = "",
      IFNA(INDEX(data!M:M, MATCH(Caseslist!B741, data!D:D, 0)), 0) = 0
    ),
    "COMPLETE",
    IF(
      IFNA(INDEX(dataICM!D:D, MATCH(Caseslist!B741, dataICM!D:D, 0)), "INC") = "INC",
      IFNA(INDEX(dataICM!D:D, MATCH(Caseslist!B741, dataICM!D:D, 0)), "INC"),
      "COMPLETE"
    )
  )</f>
        <v>COMPLETE</v>
      </c>
      <c r="G741" s="10" t="str">
        <f t="array" ref="G741">IF(IFERROR(INDEX(data!L:L,match(Caseslist!B741,data!D:D,0)),"INC")="","COMPLETE",F741)</f>
        <v>COMPLETE</v>
      </c>
      <c r="H741" s="9" t="str">
        <f t="array" ref="H741">IFERROR(INDEX(dataICM!F:F,match(Caseslist!B741,dataICM!D:D,0)), "INC")</f>
        <v>Marvin Mondia</v>
      </c>
      <c r="I741" s="10" t="str">
        <f t="shared" si="2"/>
        <v>S2671943</v>
      </c>
      <c r="J741" s="9" t="str">
        <f t="array" ref="J741">IF(
  AND(
    IFERROR(MATCH(B741, data!D:D, 0), 0) &gt; 0,
    IFERROR(INDEX(data!N:N, MATCH(B741, data!D:D, 0)) = 1, FALSE)
  ),
  INDEX(data!C:C, MATCH(B741, data!D:D, 0)),
  "INC"
)</f>
        <v>2025-09-09T10:25:27.886+08</v>
      </c>
      <c r="K741" s="9" t="str">
        <f t="array" ref="K741">IFERROR(INDEX(dataICM!C:C,match(Caseslist!B741,dataICM!D:D,0)), "INC")</f>
        <v>2025-09-09T10:36:33.814+08</v>
      </c>
      <c r="L741" s="10" t="str">
        <f t="array" ref="L741">IF(AND(G741="COMPLETE", OR(K741="INC", ISBLANK(INDEX(data!O:O, ROW())))), J741, K741)</f>
        <v>2025-09-09T10:36:33.814+08</v>
      </c>
      <c r="M741" s="2">
        <v>45909.0</v>
      </c>
      <c r="N741" s="2">
        <f t="array" ref="N741">IF(M741&lt;&gt;"INC", INDEX(data!M:M, MATCH(B741, data!D:D, 0)), "")</f>
        <v>1</v>
      </c>
      <c r="O741" s="2">
        <f t="shared" si="3"/>
        <v>1</v>
      </c>
    </row>
    <row r="742">
      <c r="A742" s="2" t="str">
        <f t="shared" si="1"/>
        <v>H019423</v>
      </c>
      <c r="B742" s="1" t="s">
        <v>4962</v>
      </c>
      <c r="C742" s="9" t="str">
        <f t="array" ref="C742">IF(
  AND(
    IFERROR(MATCH(Caseslist!B742, data!D:D, 0), 0) &gt; 0,
    IFERROR(INDEX(data!N:N, MATCH(Caseslist!B742, data!D:D, 0)) = 1, FALSE)
  ),
  "COMPLETE",
  "INC"
)</f>
        <v>COMPLETE</v>
      </c>
      <c r="D742" s="9">
        <f t="array" ref="D742">IFERROR(INDEX(data!$G:$G,match(Caseslist!B742,data!$D:$D,0)), "INC")</f>
        <v>859767</v>
      </c>
      <c r="E742" s="9" t="str">
        <f t="array" ref="E742">IFERROR(INDEX(data!H:H,match(Caseslist!B742,data!D:D,0)), "INC")</f>
        <v>Ramie De Pedro Jr._2</v>
      </c>
      <c r="F742" s="10" t="str">
        <f t="array" ref="F742">IF(
    OR(
      IFNA(INDEX(data!M:M, MATCH(Caseslist!B742, data!D:D, 0)), "") = "",
      IFNA(INDEX(data!M:M, MATCH(Caseslist!B742, data!D:D, 0)), 0) = 0
    ),
    "COMPLETE",
    IF(
      IFNA(INDEX(dataICM!D:D, MATCH(Caseslist!B742, dataICM!D:D, 0)), "INC") = "INC",
      IFNA(INDEX(dataICM!D:D, MATCH(Caseslist!B742, dataICM!D:D, 0)), "INC"),
      "COMPLETE"
    )
  )</f>
        <v>COMPLETE</v>
      </c>
      <c r="G742" s="10" t="str">
        <f t="array" ref="G742">IF(IFERROR(INDEX(data!L:L,match(Caseslist!B742,data!D:D,0)),"INC")="","COMPLETE",F742)</f>
        <v>COMPLETE</v>
      </c>
      <c r="H742" s="9" t="str">
        <f t="array" ref="H742">IFERROR(INDEX(dataICM!F:F,match(Caseslist!B742,dataICM!D:D,0)), "INC")</f>
        <v>Ramie De Pedro Jr._2</v>
      </c>
      <c r="I742" s="10">
        <f t="shared" si="2"/>
        <v>859767</v>
      </c>
      <c r="J742" s="9" t="str">
        <f t="array" ref="J742">IF(
  AND(
    IFERROR(MATCH(B742, data!D:D, 0), 0) &gt; 0,
    IFERROR(INDEX(data!N:N, MATCH(B742, data!D:D, 0)) = 1, FALSE)
  ),
  INDEX(data!C:C, MATCH(B742, data!D:D, 0)),
  "INC"
)</f>
        <v>2025-09-09T16:01:26.190+08</v>
      </c>
      <c r="K742" s="9" t="str">
        <f t="array" ref="K742">IFERROR(INDEX(dataICM!C:C,match(Caseslist!B742,dataICM!D:D,0)), "INC")</f>
        <v>2025-09-09T20:02:36.600+08</v>
      </c>
      <c r="L742" s="10" t="str">
        <f t="array" ref="L742">IF(AND(G742="COMPLETE", OR(K742="INC", ISBLANK(INDEX(data!O:O, ROW())))), J742, K742)</f>
        <v>2025-09-09T20:02:36.600+08</v>
      </c>
      <c r="M742" s="2">
        <v>45909.0</v>
      </c>
      <c r="N742" s="2">
        <f t="array" ref="N742">IF(M742&lt;&gt;"INC", INDEX(data!M:M, MATCH(B742, data!D:D, 0)), "")</f>
        <v>1</v>
      </c>
      <c r="O742" s="2">
        <f t="shared" si="3"/>
        <v>1</v>
      </c>
    </row>
    <row r="743">
      <c r="A743" s="2" t="str">
        <f t="shared" si="1"/>
        <v>H019423</v>
      </c>
      <c r="B743" s="1" t="s">
        <v>5032</v>
      </c>
      <c r="C743" s="9" t="str">
        <f t="array" ref="C743">IF(
  AND(
    IFERROR(MATCH(Caseslist!B743, data!D:D, 0), 0) &gt; 0,
    IFERROR(INDEX(data!N:N, MATCH(Caseslist!B743, data!D:D, 0)) = 1, FALSE)
  ),
  "COMPLETE",
  "INC"
)</f>
        <v>COMPLETE</v>
      </c>
      <c r="D743" s="9" t="str">
        <f t="array" ref="D743">IFERROR(INDEX(data!$G:$G,match(Caseslist!B743,data!$D:$D,0)), "INC")</f>
        <v>S2671943</v>
      </c>
      <c r="E743" s="9" t="str">
        <f t="array" ref="E743">IFERROR(INDEX(data!H:H,match(Caseslist!B743,data!D:D,0)), "INC")</f>
        <v>Marvin Mondia</v>
      </c>
      <c r="F743" s="10" t="str">
        <f t="array" ref="F743">IF(
    OR(
      IFNA(INDEX(data!M:M, MATCH(Caseslist!B743, data!D:D, 0)), "") = "",
      IFNA(INDEX(data!M:M, MATCH(Caseslist!B743, data!D:D, 0)), 0) = 0
    ),
    "COMPLETE",
    IF(
      IFNA(INDEX(dataICM!D:D, MATCH(Caseslist!B743, dataICM!D:D, 0)), "INC") = "INC",
      IFNA(INDEX(dataICM!D:D, MATCH(Caseslist!B743, dataICM!D:D, 0)), "INC"),
      "COMPLETE"
    )
  )</f>
        <v>COMPLETE</v>
      </c>
      <c r="G743" s="10" t="str">
        <f t="array" ref="G743">IF(IFERROR(INDEX(data!L:L,match(Caseslist!B743,data!D:D,0)),"INC")="","COMPLETE",F743)</f>
        <v>COMPLETE</v>
      </c>
      <c r="H743" s="9" t="str">
        <f t="array" ref="H743">IFERROR(INDEX(dataICM!F:F,match(Caseslist!B743,dataICM!D:D,0)), "INC")</f>
        <v>Marvin Mondia</v>
      </c>
      <c r="I743" s="10" t="str">
        <f t="shared" si="2"/>
        <v>S2671943</v>
      </c>
      <c r="J743" s="9" t="str">
        <f t="array" ref="J743">IF(
  AND(
    IFERROR(MATCH(B743, data!D:D, 0), 0) &gt; 0,
    IFERROR(INDEX(data!N:N, MATCH(B743, data!D:D, 0)) = 1, FALSE)
  ),
  INDEX(data!C:C, MATCH(B743, data!D:D, 0)),
  "INC"
)</f>
        <v>2025-09-09T17:17:38.407+08</v>
      </c>
      <c r="K743" s="9" t="str">
        <f t="array" ref="K743">IFERROR(INDEX(dataICM!C:C,match(Caseslist!B743,dataICM!D:D,0)), "INC")</f>
        <v>2025-09-09T17:27:39.452+08</v>
      </c>
      <c r="L743" s="10" t="str">
        <f t="array" ref="L743">IF(AND(G743="COMPLETE", OR(K743="INC", ISBLANK(INDEX(data!O:O, ROW())))), J743, K743)</f>
        <v>2025-09-09T17:27:39.452+08</v>
      </c>
      <c r="M743" s="2">
        <v>45909.0</v>
      </c>
      <c r="N743" s="2">
        <f t="array" ref="N743">IF(M743&lt;&gt;"INC", INDEX(data!M:M, MATCH(B743, data!D:D, 0)), "")</f>
        <v>1</v>
      </c>
      <c r="O743" s="2">
        <f t="shared" si="3"/>
        <v>1</v>
      </c>
    </row>
    <row r="744">
      <c r="A744" s="2" t="str">
        <f t="shared" si="1"/>
        <v>H019423</v>
      </c>
      <c r="B744" s="1" t="s">
        <v>4987</v>
      </c>
      <c r="C744" s="9" t="str">
        <f t="array" ref="C744">IF(
  AND(
    IFERROR(MATCH(Caseslist!B744, data!D:D, 0), 0) &gt; 0,
    IFERROR(INDEX(data!N:N, MATCH(Caseslist!B744, data!D:D, 0)) = 1, FALSE)
  ),
  "COMPLETE",
  "INC"
)</f>
        <v>COMPLETE</v>
      </c>
      <c r="D744" s="9">
        <f t="array" ref="D744">IFERROR(INDEX(data!$G:$G,match(Caseslist!B744,data!$D:$D,0)), "INC")</f>
        <v>729375</v>
      </c>
      <c r="E744" s="9" t="str">
        <f t="array" ref="E744">IFERROR(INDEX(data!H:H,match(Caseslist!B744,data!D:D,0)), "INC")</f>
        <v>Janet Serafica_2</v>
      </c>
      <c r="F744" s="10" t="str">
        <f t="array" ref="F744">IF(
    OR(
      IFNA(INDEX(data!M:M, MATCH(Caseslist!B744, data!D:D, 0)), "") = "",
      IFNA(INDEX(data!M:M, MATCH(Caseslist!B744, data!D:D, 0)), 0) = 0
    ),
    "COMPLETE",
    IF(
      IFNA(INDEX(dataICM!D:D, MATCH(Caseslist!B744, dataICM!D:D, 0)), "INC") = "INC",
      IFNA(INDEX(dataICM!D:D, MATCH(Caseslist!B744, dataICM!D:D, 0)), "INC"),
      "COMPLETE"
    )
  )</f>
        <v>COMPLETE</v>
      </c>
      <c r="G744" s="10" t="str">
        <f t="array" ref="G744">IF(IFERROR(INDEX(data!L:L,match(Caseslist!B744,data!D:D,0)),"INC")="","COMPLETE",F744)</f>
        <v>COMPLETE</v>
      </c>
      <c r="H744" s="9" t="str">
        <f t="array" ref="H744">IFERROR(INDEX(dataICM!F:F,match(Caseslist!B744,dataICM!D:D,0)), "INC")</f>
        <v>Janet Serafica_2</v>
      </c>
      <c r="I744" s="10">
        <f t="shared" si="2"/>
        <v>729375</v>
      </c>
      <c r="J744" s="9" t="str">
        <f t="array" ref="J744">IF(
  AND(
    IFERROR(MATCH(B744, data!D:D, 0), 0) &gt; 0,
    IFERROR(INDEX(data!N:N, MATCH(B744, data!D:D, 0)) = 1, FALSE)
  ),
  INDEX(data!C:C, MATCH(B744, data!D:D, 0)),
  "INC"
)</f>
        <v>2025-09-09T15:07:38.036+08</v>
      </c>
      <c r="K744" s="9" t="str">
        <f t="array" ref="K744">IFERROR(INDEX(dataICM!C:C,match(Caseslist!B744,dataICM!D:D,0)), "INC")</f>
        <v>2025-09-09T15:13:13.312+08</v>
      </c>
      <c r="L744" s="10" t="str">
        <f t="array" ref="L744">IF(AND(G744="COMPLETE", OR(K744="INC", ISBLANK(INDEX(data!O:O, ROW())))), J744, K744)</f>
        <v>2025-09-09T15:13:13.312+08</v>
      </c>
      <c r="M744" s="2">
        <v>45909.0</v>
      </c>
      <c r="N744" s="2">
        <f t="array" ref="N744">IF(M744&lt;&gt;"INC", INDEX(data!M:M, MATCH(B744, data!D:D, 0)), "")</f>
        <v>1</v>
      </c>
      <c r="O744" s="2">
        <f t="shared" si="3"/>
        <v>1</v>
      </c>
    </row>
    <row r="745">
      <c r="A745" s="2" t="str">
        <f t="shared" si="1"/>
        <v>H019423</v>
      </c>
      <c r="B745" s="1" t="s">
        <v>5017</v>
      </c>
      <c r="C745" s="9" t="str">
        <f t="array" ref="C745">IF(
  AND(
    IFERROR(MATCH(Caseslist!B745, data!D:D, 0), 0) &gt; 0,
    IFERROR(INDEX(data!N:N, MATCH(Caseslist!B745, data!D:D, 0)) = 1, FALSE)
  ),
  "COMPLETE",
  "INC"
)</f>
        <v>COMPLETE</v>
      </c>
      <c r="D745" s="9" t="str">
        <f t="array" ref="D745">IFERROR(INDEX(data!$G:$G,match(Caseslist!B745,data!$D:$D,0)), "INC")</f>
        <v>S2671943</v>
      </c>
      <c r="E745" s="9" t="str">
        <f t="array" ref="E745">IFERROR(INDEX(data!H:H,match(Caseslist!B745,data!D:D,0)), "INC")</f>
        <v>Marvin Mondia</v>
      </c>
      <c r="F745" s="10" t="str">
        <f t="array" ref="F745">IF(
    OR(
      IFNA(INDEX(data!M:M, MATCH(Caseslist!B745, data!D:D, 0)), "") = "",
      IFNA(INDEX(data!M:M, MATCH(Caseslist!B745, data!D:D, 0)), 0) = 0
    ),
    "COMPLETE",
    IF(
      IFNA(INDEX(dataICM!D:D, MATCH(Caseslist!B745, dataICM!D:D, 0)), "INC") = "INC",
      IFNA(INDEX(dataICM!D:D, MATCH(Caseslist!B745, dataICM!D:D, 0)), "INC"),
      "COMPLETE"
    )
  )</f>
        <v>COMPLETE</v>
      </c>
      <c r="G745" s="10" t="str">
        <f t="array" ref="G745">IF(IFERROR(INDEX(data!L:L,match(Caseslist!B745,data!D:D,0)),"INC")="","COMPLETE",F745)</f>
        <v>COMPLETE</v>
      </c>
      <c r="H745" s="9" t="str">
        <f t="array" ref="H745">IFERROR(INDEX(dataICM!F:F,match(Caseslist!B745,dataICM!D:D,0)), "INC")</f>
        <v>Marvin Mondia</v>
      </c>
      <c r="I745" s="10" t="str">
        <f t="shared" si="2"/>
        <v>S2671943</v>
      </c>
      <c r="J745" s="9" t="str">
        <f t="array" ref="J745">IF(
  AND(
    IFERROR(MATCH(B745, data!D:D, 0), 0) &gt; 0,
    IFERROR(INDEX(data!N:N, MATCH(B745, data!D:D, 0)) = 1, FALSE)
  ),
  INDEX(data!C:C, MATCH(B745, data!D:D, 0)),
  "INC"
)</f>
        <v>2025-09-09T11:33:50.604+08</v>
      </c>
      <c r="K745" s="9" t="str">
        <f t="array" ref="K745">IFERROR(INDEX(dataICM!C:C,match(Caseslist!B745,dataICM!D:D,0)), "INC")</f>
        <v>2025-09-09T11:36:08.898+08</v>
      </c>
      <c r="L745" s="10" t="str">
        <f t="array" ref="L745">IF(AND(G745="COMPLETE", OR(K745="INC", ISBLANK(INDEX(data!O:O, ROW())))), J745, K745)</f>
        <v>2025-09-09T11:36:08.898+08</v>
      </c>
      <c r="M745" s="2">
        <v>45909.0</v>
      </c>
      <c r="N745" s="2">
        <f t="array" ref="N745">IF(M745&lt;&gt;"INC", INDEX(data!M:M, MATCH(B745, data!D:D, 0)), "")</f>
        <v>1</v>
      </c>
      <c r="O745" s="2">
        <f t="shared" si="3"/>
        <v>1</v>
      </c>
    </row>
    <row r="746">
      <c r="A746" s="2" t="str">
        <f t="shared" si="1"/>
        <v>H019423</v>
      </c>
      <c r="B746" s="1" t="s">
        <v>4967</v>
      </c>
      <c r="C746" s="9" t="str">
        <f t="array" ref="C746">IF(
  AND(
    IFERROR(MATCH(Caseslist!B746, data!D:D, 0), 0) &gt; 0,
    IFERROR(INDEX(data!N:N, MATCH(Caseslist!B746, data!D:D, 0)) = 1, FALSE)
  ),
  "COMPLETE",
  "INC"
)</f>
        <v>COMPLETE</v>
      </c>
      <c r="D746" s="9">
        <f t="array" ref="D746">IFERROR(INDEX(data!$G:$G,match(Caseslist!B746,data!$D:$D,0)), "INC")</f>
        <v>859767</v>
      </c>
      <c r="E746" s="9" t="str">
        <f t="array" ref="E746">IFERROR(INDEX(data!H:H,match(Caseslist!B746,data!D:D,0)), "INC")</f>
        <v>Ramie De Pedro Jr._2</v>
      </c>
      <c r="F746" s="10" t="str">
        <f t="array" ref="F746">IF(
    OR(
      IFNA(INDEX(data!M:M, MATCH(Caseslist!B746, data!D:D, 0)), "") = "",
      IFNA(INDEX(data!M:M, MATCH(Caseslist!B746, data!D:D, 0)), 0) = 0
    ),
    "COMPLETE",
    IF(
      IFNA(INDEX(dataICM!D:D, MATCH(Caseslist!B746, dataICM!D:D, 0)), "INC") = "INC",
      IFNA(INDEX(dataICM!D:D, MATCH(Caseslist!B746, dataICM!D:D, 0)), "INC"),
      "COMPLETE"
    )
  )</f>
        <v>COMPLETE</v>
      </c>
      <c r="G746" s="10" t="str">
        <f t="array" ref="G746">IF(IFERROR(INDEX(data!L:L,match(Caseslist!B746,data!D:D,0)),"INC")="","COMPLETE",F746)</f>
        <v>COMPLETE</v>
      </c>
      <c r="H746" s="9" t="str">
        <f t="array" ref="H746">IFERROR(INDEX(dataICM!F:F,match(Caseslist!B746,dataICM!D:D,0)), "INC")</f>
        <v>Ramie De Pedro Jr._2</v>
      </c>
      <c r="I746" s="10">
        <f t="shared" si="2"/>
        <v>859767</v>
      </c>
      <c r="J746" s="9" t="str">
        <f t="array" ref="J746">IF(
  AND(
    IFERROR(MATCH(B746, data!D:D, 0), 0) &gt; 0,
    IFERROR(INDEX(data!N:N, MATCH(B746, data!D:D, 0)) = 1, FALSE)
  ),
  INDEX(data!C:C, MATCH(B746, data!D:D, 0)),
  "INC"
)</f>
        <v>2025-09-09T14:36:28.575+08</v>
      </c>
      <c r="K746" s="9" t="str">
        <f t="array" ref="K746">IFERROR(INDEX(dataICM!C:C,match(Caseslist!B746,dataICM!D:D,0)), "INC")</f>
        <v>2025-09-09T20:03:29.479+08</v>
      </c>
      <c r="L746" s="10" t="str">
        <f t="array" ref="L746">IF(AND(G746="COMPLETE", OR(K746="INC", ISBLANK(INDEX(data!O:O, ROW())))), J746, K746)</f>
        <v>2025-09-09T20:03:29.479+08</v>
      </c>
      <c r="M746" s="2">
        <v>45909.0</v>
      </c>
      <c r="N746" s="2">
        <f t="array" ref="N746">IF(M746&lt;&gt;"INC", INDEX(data!M:M, MATCH(B746, data!D:D, 0)), "")</f>
        <v>1</v>
      </c>
      <c r="O746" s="2">
        <f t="shared" si="3"/>
        <v>1</v>
      </c>
    </row>
    <row r="747">
      <c r="A747" s="2" t="str">
        <f t="shared" si="1"/>
        <v>H019423</v>
      </c>
      <c r="B747" s="1" t="s">
        <v>5083</v>
      </c>
      <c r="C747" s="9" t="str">
        <f t="array" ref="C747">IF(
  AND(
    IFERROR(MATCH(Caseslist!B747, data!D:D, 0), 0) &gt; 0,
    IFERROR(INDEX(data!N:N, MATCH(Caseslist!B747, data!D:D, 0)) = 1, FALSE)
  ),
  "COMPLETE",
  "INC"
)</f>
        <v>COMPLETE</v>
      </c>
      <c r="D747" s="9" t="str">
        <f t="array" ref="D747">IFERROR(INDEX(data!$G:$G,match(Caseslist!B747,data!$D:$D,0)), "INC")</f>
        <v>S2671943</v>
      </c>
      <c r="E747" s="9" t="str">
        <f t="array" ref="E747">IFERROR(INDEX(data!H:H,match(Caseslist!B747,data!D:D,0)), "INC")</f>
        <v>Marvin Mondia</v>
      </c>
      <c r="F747" s="10" t="str">
        <f t="array" ref="F747">IF(
    OR(
      IFNA(INDEX(data!M:M, MATCH(Caseslist!B747, data!D:D, 0)), "") = "",
      IFNA(INDEX(data!M:M, MATCH(Caseslist!B747, data!D:D, 0)), 0) = 0
    ),
    "COMPLETE",
    IF(
      IFNA(INDEX(dataICM!D:D, MATCH(Caseslist!B747, dataICM!D:D, 0)), "INC") = "INC",
      IFNA(INDEX(dataICM!D:D, MATCH(Caseslist!B747, dataICM!D:D, 0)), "INC"),
      "COMPLETE"
    )
  )</f>
        <v>COMPLETE</v>
      </c>
      <c r="G747" s="10" t="str">
        <f t="array" ref="G747">IF(IFERROR(INDEX(data!L:L,match(Caseslist!B747,data!D:D,0)),"INC")="","COMPLETE",F747)</f>
        <v>COMPLETE</v>
      </c>
      <c r="H747" s="9" t="str">
        <f t="array" ref="H747">IFERROR(INDEX(dataICM!F:F,match(Caseslist!B747,dataICM!D:D,0)), "INC")</f>
        <v>Marvin Mondia</v>
      </c>
      <c r="I747" s="10" t="str">
        <f t="shared" si="2"/>
        <v>S2671943</v>
      </c>
      <c r="J747" s="9" t="str">
        <f t="array" ref="J747">IF(
  AND(
    IFERROR(MATCH(B747, data!D:D, 0), 0) &gt; 0,
    IFERROR(INDEX(data!N:N, MATCH(B747, data!D:D, 0)) = 1, FALSE)
  ),
  INDEX(data!C:C, MATCH(B747, data!D:D, 0)),
  "INC"
)</f>
        <v>2025-09-29T09:54:48.381+08</v>
      </c>
      <c r="K747" s="9" t="str">
        <f t="array" ref="K747">IFERROR(INDEX(dataICM!C:C,match(Caseslist!B747,dataICM!D:D,0)), "INC")</f>
        <v>2025-09-29T09:58:46.440+08</v>
      </c>
      <c r="L747" s="10" t="str">
        <f t="array" ref="L747">IF(AND(G747="COMPLETE", OR(K747="INC", ISBLANK(INDEX(data!O:O, ROW())))), J747, K747)</f>
        <v>2025-09-29T09:58:46.440+08</v>
      </c>
      <c r="M747" s="2">
        <v>45929.0</v>
      </c>
      <c r="N747" s="2">
        <f t="array" ref="N747">IF(M747&lt;&gt;"INC", INDEX(data!M:M, MATCH(B747, data!D:D, 0)), "")</f>
        <v>1</v>
      </c>
      <c r="O747" s="2">
        <f t="shared" si="3"/>
        <v>1</v>
      </c>
    </row>
    <row r="748">
      <c r="A748" s="2" t="str">
        <f t="shared" si="1"/>
        <v>H019423</v>
      </c>
      <c r="B748" s="1" t="s">
        <v>4992</v>
      </c>
      <c r="C748" s="9" t="str">
        <f t="array" ref="C748">IF(
  AND(
    IFERROR(MATCH(Caseslist!B748, data!D:D, 0), 0) &gt; 0,
    IFERROR(INDEX(data!N:N, MATCH(Caseslist!B748, data!D:D, 0)) = 1, FALSE)
  ),
  "COMPLETE",
  "INC"
)</f>
        <v>COMPLETE</v>
      </c>
      <c r="D748" s="9">
        <f t="array" ref="D748">IFERROR(INDEX(data!$G:$G,match(Caseslist!B748,data!$D:$D,0)), "INC")</f>
        <v>729375</v>
      </c>
      <c r="E748" s="9" t="str">
        <f t="array" ref="E748">IFERROR(INDEX(data!H:H,match(Caseslist!B748,data!D:D,0)), "INC")</f>
        <v>Janet Serafica_2</v>
      </c>
      <c r="F748" s="10" t="str">
        <f t="array" ref="F748">IF(
    OR(
      IFNA(INDEX(data!M:M, MATCH(Caseslist!B748, data!D:D, 0)), "") = "",
      IFNA(INDEX(data!M:M, MATCH(Caseslist!B748, data!D:D, 0)), 0) = 0
    ),
    "COMPLETE",
    IF(
      IFNA(INDEX(dataICM!D:D, MATCH(Caseslist!B748, dataICM!D:D, 0)), "INC") = "INC",
      IFNA(INDEX(dataICM!D:D, MATCH(Caseslist!B748, dataICM!D:D, 0)), "INC"),
      "COMPLETE"
    )
  )</f>
        <v>COMPLETE</v>
      </c>
      <c r="G748" s="10" t="str">
        <f t="array" ref="G748">IF(IFERROR(INDEX(data!L:L,match(Caseslist!B748,data!D:D,0)),"INC")="","COMPLETE",F748)</f>
        <v>COMPLETE</v>
      </c>
      <c r="H748" s="9" t="str">
        <f t="array" ref="H748">IFERROR(INDEX(dataICM!F:F,match(Caseslist!B748,dataICM!D:D,0)), "INC")</f>
        <v>Janet Serafica_2</v>
      </c>
      <c r="I748" s="10">
        <f t="shared" si="2"/>
        <v>729375</v>
      </c>
      <c r="J748" s="9" t="str">
        <f t="array" ref="J748">IF(
  AND(
    IFERROR(MATCH(B748, data!D:D, 0), 0) &gt; 0,
    IFERROR(INDEX(data!N:N, MATCH(B748, data!D:D, 0)) = 1, FALSE)
  ),
  INDEX(data!C:C, MATCH(B748, data!D:D, 0)),
  "INC"
)</f>
        <v>2025-09-09T15:35:55.881+08</v>
      </c>
      <c r="K748" s="9" t="str">
        <f t="array" ref="K748">IFERROR(INDEX(dataICM!C:C,match(Caseslist!B748,dataICM!D:D,0)), "INC")</f>
        <v>2025-09-09T15:38:43.841+08</v>
      </c>
      <c r="L748" s="10" t="str">
        <f t="array" ref="L748">IF(AND(G748="COMPLETE", OR(K748="INC", ISBLANK(INDEX(data!O:O, ROW())))), J748, K748)</f>
        <v>2025-09-09T15:38:43.841+08</v>
      </c>
      <c r="M748" s="2">
        <v>45909.0</v>
      </c>
      <c r="N748" s="2">
        <f t="array" ref="N748">IF(M748&lt;&gt;"INC", INDEX(data!M:M, MATCH(B748, data!D:D, 0)), "")</f>
        <v>1</v>
      </c>
      <c r="O748" s="2">
        <f t="shared" si="3"/>
        <v>1</v>
      </c>
    </row>
    <row r="749">
      <c r="A749" s="2" t="str">
        <f t="shared" si="1"/>
        <v>H019423</v>
      </c>
      <c r="B749" s="1" t="s">
        <v>4972</v>
      </c>
      <c r="C749" s="9" t="str">
        <f t="array" ref="C749">IF(
  AND(
    IFERROR(MATCH(Caseslist!B749, data!D:D, 0), 0) &gt; 0,
    IFERROR(INDEX(data!N:N, MATCH(Caseslist!B749, data!D:D, 0)) = 1, FALSE)
  ),
  "COMPLETE",
  "INC"
)</f>
        <v>COMPLETE</v>
      </c>
      <c r="D749" s="9">
        <f t="array" ref="D749">IFERROR(INDEX(data!$G:$G,match(Caseslist!B749,data!$D:$D,0)), "INC")</f>
        <v>729375</v>
      </c>
      <c r="E749" s="9" t="str">
        <f t="array" ref="E749">IFERROR(INDEX(data!H:H,match(Caseslist!B749,data!D:D,0)), "INC")</f>
        <v>Janet Serafica_2</v>
      </c>
      <c r="F749" s="10" t="str">
        <f t="array" ref="F749">IF(
    OR(
      IFNA(INDEX(data!M:M, MATCH(Caseslist!B749, data!D:D, 0)), "") = "",
      IFNA(INDEX(data!M:M, MATCH(Caseslist!B749, data!D:D, 0)), 0) = 0
    ),
    "COMPLETE",
    IF(
      IFNA(INDEX(dataICM!D:D, MATCH(Caseslist!B749, dataICM!D:D, 0)), "INC") = "INC",
      IFNA(INDEX(dataICM!D:D, MATCH(Caseslist!B749, dataICM!D:D, 0)), "INC"),
      "COMPLETE"
    )
  )</f>
        <v>COMPLETE</v>
      </c>
      <c r="G749" s="10" t="str">
        <f t="array" ref="G749">IF(IFERROR(INDEX(data!L:L,match(Caseslist!B749,data!D:D,0)),"INC")="","COMPLETE",F749)</f>
        <v>COMPLETE</v>
      </c>
      <c r="H749" s="9" t="str">
        <f t="array" ref="H749">IFERROR(INDEX(dataICM!F:F,match(Caseslist!B749,dataICM!D:D,0)), "INC")</f>
        <v>Janet Serafica_2</v>
      </c>
      <c r="I749" s="10">
        <f t="shared" si="2"/>
        <v>729375</v>
      </c>
      <c r="J749" s="9" t="str">
        <f t="array" ref="J749">IF(
  AND(
    IFERROR(MATCH(B749, data!D:D, 0), 0) &gt; 0,
    IFERROR(INDEX(data!N:N, MATCH(B749, data!D:D, 0)) = 1, FALSE)
  ),
  INDEX(data!C:C, MATCH(B749, data!D:D, 0)),
  "INC"
)</f>
        <v>2025-09-09T10:16:38.454+08</v>
      </c>
      <c r="K749" s="9" t="str">
        <f t="array" ref="K749">IFERROR(INDEX(dataICM!C:C,match(Caseslist!B749,dataICM!D:D,0)), "INC")</f>
        <v>2025-09-09T10:21:16.305+08</v>
      </c>
      <c r="L749" s="10" t="str">
        <f t="array" ref="L749">IF(AND(G749="COMPLETE", OR(K749="INC", ISBLANK(INDEX(data!O:O, ROW())))), J749, K749)</f>
        <v>2025-09-09T10:21:16.305+08</v>
      </c>
      <c r="M749" s="2">
        <v>45909.0</v>
      </c>
      <c r="N749" s="2">
        <f t="array" ref="N749">IF(M749&lt;&gt;"INC", INDEX(data!M:M, MATCH(B749, data!D:D, 0)), "")</f>
        <v>1</v>
      </c>
      <c r="O749" s="2">
        <f t="shared" si="3"/>
        <v>1</v>
      </c>
    </row>
    <row r="750">
      <c r="A750" s="2" t="str">
        <f t="shared" si="1"/>
        <v>H019423</v>
      </c>
      <c r="B750" s="1" t="s">
        <v>4977</v>
      </c>
      <c r="C750" s="9" t="str">
        <f t="array" ref="C750">IF(
  AND(
    IFERROR(MATCH(Caseslist!B750, data!D:D, 0), 0) &gt; 0,
    IFERROR(INDEX(data!N:N, MATCH(Caseslist!B750, data!D:D, 0)) = 1, FALSE)
  ),
  "COMPLETE",
  "INC"
)</f>
        <v>COMPLETE</v>
      </c>
      <c r="D750" s="9">
        <f t="array" ref="D750">IFERROR(INDEX(data!$G:$G,match(Caseslist!B750,data!$D:$D,0)), "INC")</f>
        <v>729375</v>
      </c>
      <c r="E750" s="9" t="str">
        <f t="array" ref="E750">IFERROR(INDEX(data!H:H,match(Caseslist!B750,data!D:D,0)), "INC")</f>
        <v>Janet Serafica_2</v>
      </c>
      <c r="F750" s="10" t="str">
        <f t="array" ref="F750">IF(
    OR(
      IFNA(INDEX(data!M:M, MATCH(Caseslist!B750, data!D:D, 0)), "") = "",
      IFNA(INDEX(data!M:M, MATCH(Caseslist!B750, data!D:D, 0)), 0) = 0
    ),
    "COMPLETE",
    IF(
      IFNA(INDEX(dataICM!D:D, MATCH(Caseslist!B750, dataICM!D:D, 0)), "INC") = "INC",
      IFNA(INDEX(dataICM!D:D, MATCH(Caseslist!B750, dataICM!D:D, 0)), "INC"),
      "COMPLETE"
    )
  )</f>
        <v>COMPLETE</v>
      </c>
      <c r="G750" s="10" t="str">
        <f t="array" ref="G750">IF(IFERROR(INDEX(data!L:L,match(Caseslist!B750,data!D:D,0)),"INC")="","COMPLETE",F750)</f>
        <v>COMPLETE</v>
      </c>
      <c r="H750" s="9" t="str">
        <f t="array" ref="H750">IFERROR(INDEX(dataICM!F:F,match(Caseslist!B750,dataICM!D:D,0)), "INC")</f>
        <v>Janet Serafica_2</v>
      </c>
      <c r="I750" s="10">
        <f t="shared" si="2"/>
        <v>729375</v>
      </c>
      <c r="J750" s="9" t="str">
        <f t="array" ref="J750">IF(
  AND(
    IFERROR(MATCH(B750, data!D:D, 0), 0) &gt; 0,
    IFERROR(INDEX(data!N:N, MATCH(B750, data!D:D, 0)) = 1, FALSE)
  ),
  INDEX(data!C:C, MATCH(B750, data!D:D, 0)),
  "INC"
)</f>
        <v>2025-09-09T11:43:19.651+08</v>
      </c>
      <c r="K750" s="9" t="str">
        <f t="array" ref="K750">IFERROR(INDEX(dataICM!C:C,match(Caseslist!B750,dataICM!D:D,0)), "INC")</f>
        <v>2025-09-09T11:46:54.743+08</v>
      </c>
      <c r="L750" s="10" t="str">
        <f t="array" ref="L750">IF(AND(G750="COMPLETE", OR(K750="INC", ISBLANK(INDEX(data!O:O, ROW())))), J750, K750)</f>
        <v>2025-09-09T11:46:54.743+08</v>
      </c>
      <c r="M750" s="2">
        <v>45909.0</v>
      </c>
      <c r="N750" s="2">
        <f t="array" ref="N750">IF(M750&lt;&gt;"INC", INDEX(data!M:M, MATCH(B750, data!D:D, 0)), "")</f>
        <v>1</v>
      </c>
      <c r="O750" s="2">
        <f t="shared" si="3"/>
        <v>1</v>
      </c>
    </row>
    <row r="751">
      <c r="A751" s="2" t="str">
        <f t="shared" si="1"/>
        <v>H019423</v>
      </c>
      <c r="B751" s="1" t="s">
        <v>4952</v>
      </c>
      <c r="C751" s="9" t="str">
        <f t="array" ref="C751">IF(
  AND(
    IFERROR(MATCH(Caseslist!B751, data!D:D, 0), 0) &gt; 0,
    IFERROR(INDEX(data!N:N, MATCH(Caseslist!B751, data!D:D, 0)) = 1, FALSE)
  ),
  "COMPLETE",
  "INC"
)</f>
        <v>COMPLETE</v>
      </c>
      <c r="D751" s="9">
        <f t="array" ref="D751">IFERROR(INDEX(data!$G:$G,match(Caseslist!B751,data!$D:$D,0)), "INC")</f>
        <v>859767</v>
      </c>
      <c r="E751" s="9" t="str">
        <f t="array" ref="E751">IFERROR(INDEX(data!H:H,match(Caseslist!B751,data!D:D,0)), "INC")</f>
        <v>Ramie De Pedro Jr._2</v>
      </c>
      <c r="F751" s="10" t="str">
        <f t="array" ref="F751">IF(
    OR(
      IFNA(INDEX(data!M:M, MATCH(Caseslist!B751, data!D:D, 0)), "") = "",
      IFNA(INDEX(data!M:M, MATCH(Caseslist!B751, data!D:D, 0)), 0) = 0
    ),
    "COMPLETE",
    IF(
      IFNA(INDEX(dataICM!D:D, MATCH(Caseslist!B751, dataICM!D:D, 0)), "INC") = "INC",
      IFNA(INDEX(dataICM!D:D, MATCH(Caseslist!B751, dataICM!D:D, 0)), "INC"),
      "COMPLETE"
    )
  )</f>
        <v>COMPLETE</v>
      </c>
      <c r="G751" s="10" t="str">
        <f t="array" ref="G751">IF(IFERROR(INDEX(data!L:L,match(Caseslist!B751,data!D:D,0)),"INC")="","COMPLETE",F751)</f>
        <v>COMPLETE</v>
      </c>
      <c r="H751" s="9" t="str">
        <f t="array" ref="H751">IFERROR(INDEX(dataICM!F:F,match(Caseslist!B751,dataICM!D:D,0)), "INC")</f>
        <v>Ramie De Pedro Jr._2</v>
      </c>
      <c r="I751" s="10">
        <f t="shared" si="2"/>
        <v>859767</v>
      </c>
      <c r="J751" s="9" t="str">
        <f t="array" ref="J751">IF(
  AND(
    IFERROR(MATCH(B751, data!D:D, 0), 0) &gt; 0,
    IFERROR(INDEX(data!N:N, MATCH(B751, data!D:D, 0)) = 1, FALSE)
  ),
  INDEX(data!C:C, MATCH(B751, data!D:D, 0)),
  "INC"
)</f>
        <v>2025-09-09T10:58:32.912+08</v>
      </c>
      <c r="K751" s="9" t="str">
        <f t="array" ref="K751">IFERROR(INDEX(dataICM!C:C,match(Caseslist!B751,dataICM!D:D,0)), "INC")</f>
        <v>2025-09-09T11:09:51.324+08</v>
      </c>
      <c r="L751" s="10" t="str">
        <f t="array" ref="L751">IF(AND(G751="COMPLETE", OR(K751="INC", ISBLANK(INDEX(data!O:O, ROW())))), J751, K751)</f>
        <v>2025-09-09T11:09:51.324+08</v>
      </c>
      <c r="M751" s="2">
        <v>45909.0</v>
      </c>
      <c r="N751" s="2">
        <f t="array" ref="N751">IF(M751&lt;&gt;"INC", INDEX(data!M:M, MATCH(B751, data!D:D, 0)), "")</f>
        <v>1</v>
      </c>
      <c r="O751" s="2">
        <f t="shared" si="3"/>
        <v>1</v>
      </c>
    </row>
    <row r="752">
      <c r="A752" s="2" t="str">
        <f t="shared" si="1"/>
        <v>H019423</v>
      </c>
      <c r="B752" s="1" t="s">
        <v>5022</v>
      </c>
      <c r="C752" s="9" t="str">
        <f t="array" ref="C752">IF(
  AND(
    IFERROR(MATCH(Caseslist!B752, data!D:D, 0), 0) &gt; 0,
    IFERROR(INDEX(data!N:N, MATCH(Caseslist!B752, data!D:D, 0)) = 1, FALSE)
  ),
  "COMPLETE",
  "INC"
)</f>
        <v>COMPLETE</v>
      </c>
      <c r="D752" s="9" t="str">
        <f t="array" ref="D752">IFERROR(INDEX(data!$G:$G,match(Caseslist!B752,data!$D:$D,0)), "INC")</f>
        <v>S2671943</v>
      </c>
      <c r="E752" s="9" t="str">
        <f t="array" ref="E752">IFERROR(INDEX(data!H:H,match(Caseslist!B752,data!D:D,0)), "INC")</f>
        <v>Marvin Mondia</v>
      </c>
      <c r="F752" s="10" t="str">
        <f t="array" ref="F752">IF(
    OR(
      IFNA(INDEX(data!M:M, MATCH(Caseslist!B752, data!D:D, 0)), "") = "",
      IFNA(INDEX(data!M:M, MATCH(Caseslist!B752, data!D:D, 0)), 0) = 0
    ),
    "COMPLETE",
    IF(
      IFNA(INDEX(dataICM!D:D, MATCH(Caseslist!B752, dataICM!D:D, 0)), "INC") = "INC",
      IFNA(INDEX(dataICM!D:D, MATCH(Caseslist!B752, dataICM!D:D, 0)), "INC"),
      "COMPLETE"
    )
  )</f>
        <v>COMPLETE</v>
      </c>
      <c r="G752" s="10" t="str">
        <f t="array" ref="G752">IF(IFERROR(INDEX(data!L:L,match(Caseslist!B752,data!D:D,0)),"INC")="","COMPLETE",F752)</f>
        <v>COMPLETE</v>
      </c>
      <c r="H752" s="9" t="str">
        <f t="array" ref="H752">IFERROR(INDEX(dataICM!F:F,match(Caseslist!B752,dataICM!D:D,0)), "INC")</f>
        <v>Marvin Mondia</v>
      </c>
      <c r="I752" s="10" t="str">
        <f t="shared" si="2"/>
        <v>S2671943</v>
      </c>
      <c r="J752" s="9" t="str">
        <f t="array" ref="J752">IF(
  AND(
    IFERROR(MATCH(B752, data!D:D, 0), 0) &gt; 0,
    IFERROR(INDEX(data!N:N, MATCH(B752, data!D:D, 0)) = 1, FALSE)
  ),
  INDEX(data!C:C, MATCH(B752, data!D:D, 0)),
  "INC"
)</f>
        <v>2025-09-09T14:53:38.236+08</v>
      </c>
      <c r="K752" s="9" t="str">
        <f t="array" ref="K752">IFERROR(INDEX(dataICM!C:C,match(Caseslist!B752,dataICM!D:D,0)), "INC")</f>
        <v>2025-09-09T14:55:20.728+08</v>
      </c>
      <c r="L752" s="10" t="str">
        <f t="array" ref="L752">IF(AND(G752="COMPLETE", OR(K752="INC", ISBLANK(INDEX(data!O:O, ROW())))), J752, K752)</f>
        <v>2025-09-09T14:55:20.728+08</v>
      </c>
      <c r="M752" s="2">
        <v>45909.0</v>
      </c>
      <c r="N752" s="2">
        <f t="array" ref="N752">IF(M752&lt;&gt;"INC", INDEX(data!M:M, MATCH(B752, data!D:D, 0)), "")</f>
        <v>1</v>
      </c>
      <c r="O752" s="2">
        <f t="shared" si="3"/>
        <v>1</v>
      </c>
    </row>
    <row r="753">
      <c r="A753" s="2" t="str">
        <f t="shared" si="1"/>
        <v>H019423</v>
      </c>
      <c r="B753" s="1" t="s">
        <v>4957</v>
      </c>
      <c r="C753" s="9" t="str">
        <f t="array" ref="C753">IF(
  AND(
    IFERROR(MATCH(Caseslist!B753, data!D:D, 0), 0) &gt; 0,
    IFERROR(INDEX(data!N:N, MATCH(Caseslist!B753, data!D:D, 0)) = 1, FALSE)
  ),
  "COMPLETE",
  "INC"
)</f>
        <v>COMPLETE</v>
      </c>
      <c r="D753" s="9">
        <f t="array" ref="D753">IFERROR(INDEX(data!$G:$G,match(Caseslist!B753,data!$D:$D,0)), "INC")</f>
        <v>859767</v>
      </c>
      <c r="E753" s="9" t="str">
        <f t="array" ref="E753">IFERROR(INDEX(data!H:H,match(Caseslist!B753,data!D:D,0)), "INC")</f>
        <v>Ramie De Pedro Jr._2</v>
      </c>
      <c r="F753" s="10" t="str">
        <f t="array" ref="F753">IF(
    OR(
      IFNA(INDEX(data!M:M, MATCH(Caseslist!B753, data!D:D, 0)), "") = "",
      IFNA(INDEX(data!M:M, MATCH(Caseslist!B753, data!D:D, 0)), 0) = 0
    ),
    "COMPLETE",
    IF(
      IFNA(INDEX(dataICM!D:D, MATCH(Caseslist!B753, dataICM!D:D, 0)), "INC") = "INC",
      IFNA(INDEX(dataICM!D:D, MATCH(Caseslist!B753, dataICM!D:D, 0)), "INC"),
      "COMPLETE"
    )
  )</f>
        <v>COMPLETE</v>
      </c>
      <c r="G753" s="10" t="str">
        <f t="array" ref="G753">IF(IFERROR(INDEX(data!L:L,match(Caseslist!B753,data!D:D,0)),"INC")="","COMPLETE",F753)</f>
        <v>COMPLETE</v>
      </c>
      <c r="H753" s="9" t="str">
        <f t="array" ref="H753">IFERROR(INDEX(dataICM!F:F,match(Caseslist!B753,dataICM!D:D,0)), "INC")</f>
        <v>Ramie De Pedro Jr._2</v>
      </c>
      <c r="I753" s="10">
        <f t="shared" si="2"/>
        <v>859767</v>
      </c>
      <c r="J753" s="9" t="str">
        <f t="array" ref="J753">IF(
  AND(
    IFERROR(MATCH(B753, data!D:D, 0), 0) &gt; 0,
    IFERROR(INDEX(data!N:N, MATCH(B753, data!D:D, 0)) = 1, FALSE)
  ),
  INDEX(data!C:C, MATCH(B753, data!D:D, 0)),
  "INC"
)</f>
        <v>2025-09-09T12:17:17.540+08</v>
      </c>
      <c r="K753" s="9" t="str">
        <f t="array" ref="K753">IFERROR(INDEX(dataICM!C:C,match(Caseslist!B753,dataICM!D:D,0)), "INC")</f>
        <v>2025-09-09T12:26:10.653+08</v>
      </c>
      <c r="L753" s="10" t="str">
        <f t="array" ref="L753">IF(AND(G753="COMPLETE", OR(K753="INC", ISBLANK(INDEX(data!O:O, ROW())))), J753, K753)</f>
        <v>2025-09-09T12:26:10.653+08</v>
      </c>
      <c r="M753" s="2">
        <v>45909.0</v>
      </c>
      <c r="N753" s="2">
        <f t="array" ref="N753">IF(M753&lt;&gt;"INC", INDEX(data!M:M, MATCH(B753, data!D:D, 0)), "")</f>
        <v>1</v>
      </c>
      <c r="O753" s="2">
        <f t="shared" si="3"/>
        <v>1</v>
      </c>
    </row>
    <row r="754">
      <c r="A754" s="2" t="str">
        <f t="shared" si="1"/>
        <v>H019423</v>
      </c>
      <c r="B754" s="1" t="s">
        <v>5027</v>
      </c>
      <c r="C754" s="9" t="str">
        <f t="array" ref="C754">IF(
  AND(
    IFERROR(MATCH(Caseslist!B754, data!D:D, 0), 0) &gt; 0,
    IFERROR(INDEX(data!N:N, MATCH(Caseslist!B754, data!D:D, 0)) = 1, FALSE)
  ),
  "COMPLETE",
  "INC"
)</f>
        <v>COMPLETE</v>
      </c>
      <c r="D754" s="9" t="str">
        <f t="array" ref="D754">IFERROR(INDEX(data!$G:$G,match(Caseslist!B754,data!$D:$D,0)), "INC")</f>
        <v>S2671943</v>
      </c>
      <c r="E754" s="9" t="str">
        <f t="array" ref="E754">IFERROR(INDEX(data!H:H,match(Caseslist!B754,data!D:D,0)), "INC")</f>
        <v>Marvin Mondia</v>
      </c>
      <c r="F754" s="10" t="str">
        <f t="array" ref="F754">IF(
    OR(
      IFNA(INDEX(data!M:M, MATCH(Caseslist!B754, data!D:D, 0)), "") = "",
      IFNA(INDEX(data!M:M, MATCH(Caseslist!B754, data!D:D, 0)), 0) = 0
    ),
    "COMPLETE",
    IF(
      IFNA(INDEX(dataICM!D:D, MATCH(Caseslist!B754, dataICM!D:D, 0)), "INC") = "INC",
      IFNA(INDEX(dataICM!D:D, MATCH(Caseslist!B754, dataICM!D:D, 0)), "INC"),
      "COMPLETE"
    )
  )</f>
        <v>COMPLETE</v>
      </c>
      <c r="G754" s="10" t="str">
        <f t="array" ref="G754">IF(IFERROR(INDEX(data!L:L,match(Caseslist!B754,data!D:D,0)),"INC")="","COMPLETE",F754)</f>
        <v>COMPLETE</v>
      </c>
      <c r="H754" s="9" t="str">
        <f t="array" ref="H754">IFERROR(INDEX(dataICM!F:F,match(Caseslist!B754,dataICM!D:D,0)), "INC")</f>
        <v>Marvin Mondia</v>
      </c>
      <c r="I754" s="10" t="str">
        <f t="shared" si="2"/>
        <v>S2671943</v>
      </c>
      <c r="J754" s="9" t="str">
        <f t="array" ref="J754">IF(
  AND(
    IFERROR(MATCH(B754, data!D:D, 0), 0) &gt; 0,
    IFERROR(INDEX(data!N:N, MATCH(B754, data!D:D, 0)) = 1, FALSE)
  ),
  INDEX(data!C:C, MATCH(B754, data!D:D, 0)),
  "INC"
)</f>
        <v>2025-09-09T16:00:33.511+08</v>
      </c>
      <c r="K754" s="9" t="str">
        <f t="array" ref="K754">IFERROR(INDEX(dataICM!C:C,match(Caseslist!B754,dataICM!D:D,0)), "INC")</f>
        <v>2025-09-09T16:07:25.767+08</v>
      </c>
      <c r="L754" s="10" t="str">
        <f t="array" ref="L754">IF(AND(G754="COMPLETE", OR(K754="INC", ISBLANK(INDEX(data!O:O, ROW())))), J754, K754)</f>
        <v>2025-09-09T16:07:25.767+08</v>
      </c>
      <c r="M754" s="2">
        <v>45909.0</v>
      </c>
      <c r="N754" s="2">
        <f t="array" ref="N754">IF(M754&lt;&gt;"INC", INDEX(data!M:M, MATCH(B754, data!D:D, 0)), "")</f>
        <v>1</v>
      </c>
      <c r="O754" s="2">
        <f t="shared" si="3"/>
        <v>1</v>
      </c>
    </row>
    <row r="755">
      <c r="A755" s="2" t="str">
        <f t="shared" si="1"/>
        <v>H019423</v>
      </c>
      <c r="B755" s="1" t="s">
        <v>4982</v>
      </c>
      <c r="C755" s="9" t="str">
        <f t="array" ref="C755">IF(
  AND(
    IFERROR(MATCH(Caseslist!B755, data!D:D, 0), 0) &gt; 0,
    IFERROR(INDEX(data!N:N, MATCH(Caseslist!B755, data!D:D, 0)) = 1, FALSE)
  ),
  "COMPLETE",
  "INC"
)</f>
        <v>COMPLETE</v>
      </c>
      <c r="D755" s="9" t="str">
        <f t="array" ref="D755">IFERROR(INDEX(data!$G:$G,match(Caseslist!B755,data!$D:$D,0)), "INC")</f>
        <v>S2671943</v>
      </c>
      <c r="E755" s="9" t="str">
        <f t="array" ref="E755">IFERROR(INDEX(data!H:H,match(Caseslist!B755,data!D:D,0)), "INC")</f>
        <v>Marvin Mondia</v>
      </c>
      <c r="F755" s="10" t="str">
        <f t="array" ref="F755">IF(
    OR(
      IFNA(INDEX(data!M:M, MATCH(Caseslist!B755, data!D:D, 0)), "") = "",
      IFNA(INDEX(data!M:M, MATCH(Caseslist!B755, data!D:D, 0)), 0) = 0
    ),
    "COMPLETE",
    IF(
      IFNA(INDEX(dataICM!D:D, MATCH(Caseslist!B755, dataICM!D:D, 0)), "INC") = "INC",
      IFNA(INDEX(dataICM!D:D, MATCH(Caseslist!B755, dataICM!D:D, 0)), "INC"),
      "COMPLETE"
    )
  )</f>
        <v>COMPLETE</v>
      </c>
      <c r="G755" s="10" t="str">
        <f t="array" ref="G755">IF(IFERROR(INDEX(data!L:L,match(Caseslist!B755,data!D:D,0)),"INC")="","COMPLETE",F755)</f>
        <v>COMPLETE</v>
      </c>
      <c r="H755" s="9" t="str">
        <f t="array" ref="H755">IFERROR(INDEX(dataICM!F:F,match(Caseslist!B755,dataICM!D:D,0)), "INC")</f>
        <v>Marvin Mondia</v>
      </c>
      <c r="I755" s="10" t="str">
        <f t="shared" si="2"/>
        <v>S2671943</v>
      </c>
      <c r="J755" s="9" t="str">
        <f t="array" ref="J755">IF(
  AND(
    IFERROR(MATCH(B755, data!D:D, 0), 0) &gt; 0,
    IFERROR(INDEX(data!N:N, MATCH(B755, data!D:D, 0)) = 1, FALSE)
  ),
  INDEX(data!C:C, MATCH(B755, data!D:D, 0)),
  "INC"
)</f>
        <v>2025-09-29T11:03:28.470+08</v>
      </c>
      <c r="K755" s="9" t="str">
        <f t="array" ref="K755">IFERROR(INDEX(dataICM!C:C,match(Caseslist!B755,dataICM!D:D,0)), "INC")</f>
        <v>2025-09-29T11:06:12.010+08</v>
      </c>
      <c r="L755" s="10" t="str">
        <f t="array" ref="L755">IF(AND(G755="COMPLETE", OR(K755="INC", ISBLANK(INDEX(data!O:O, ROW())))), J755, K755)</f>
        <v>2025-09-29T11:06:12.010+08</v>
      </c>
      <c r="M755" s="2">
        <v>45929.0</v>
      </c>
      <c r="N755" s="2">
        <f t="array" ref="N755">IF(M755&lt;&gt;"INC", INDEX(data!M:M, MATCH(B755, data!D:D, 0)), "")</f>
        <v>1</v>
      </c>
      <c r="O755" s="2">
        <f t="shared" si="3"/>
        <v>1</v>
      </c>
    </row>
    <row r="756">
      <c r="A756" s="2" t="str">
        <f t="shared" si="1"/>
        <v>H019429</v>
      </c>
      <c r="B756" s="1" t="s">
        <v>2374</v>
      </c>
      <c r="C756" s="9" t="str">
        <f t="array" ref="C756">IF(
  AND(
    IFERROR(MATCH(Caseslist!B756, data!D:D, 0), 0) &gt; 0,
    IFERROR(INDEX(data!N:N, MATCH(Caseslist!B756, data!D:D, 0)) = 1, FALSE)
  ),
  "COMPLETE",
  "INC"
)</f>
        <v>COMPLETE</v>
      </c>
      <c r="D756" s="9">
        <f t="array" ref="D756">IFERROR(INDEX(data!$G:$G,match(Caseslist!B756,data!$D:$D,0)), "INC")</f>
        <v>859767</v>
      </c>
      <c r="E756" s="9" t="str">
        <f t="array" ref="E756">IFERROR(INDEX(data!H:H,match(Caseslist!B756,data!D:D,0)), "INC")</f>
        <v>Ramie De Pedro Jr.</v>
      </c>
      <c r="F756" s="10" t="str">
        <f t="array" ref="F756">IF(
    OR(
      IFNA(INDEX(data!M:M, MATCH(Caseslist!B756, data!D:D, 0)), "") = "",
      IFNA(INDEX(data!M:M, MATCH(Caseslist!B756, data!D:D, 0)), 0) = 0
    ),
    "COMPLETE",
    IF(
      IFNA(INDEX(dataICM!D:D, MATCH(Caseslist!B756, dataICM!D:D, 0)), "INC") = "INC",
      IFNA(INDEX(dataICM!D:D, MATCH(Caseslist!B756, dataICM!D:D, 0)), "INC"),
      "COMPLETE"
    )
  )</f>
        <v>COMPLETE</v>
      </c>
      <c r="G756" s="10" t="str">
        <f t="array" ref="G756">IF(IFERROR(INDEX(data!L:L,match(Caseslist!B756,data!D:D,0)),"INC")="","COMPLETE",F756)</f>
        <v>COMPLETE</v>
      </c>
      <c r="H756" s="9" t="str">
        <f t="array" ref="H756">IFERROR(INDEX(dataICM!F:F,match(Caseslist!B756,dataICM!D:D,0)), "INC")</f>
        <v>INC</v>
      </c>
      <c r="I756" s="10">
        <f t="shared" si="2"/>
        <v>859767</v>
      </c>
      <c r="J756" s="9" t="str">
        <f t="array" ref="J756">IF(
  AND(
    IFERROR(MATCH(B756, data!D:D, 0), 0) &gt; 0,
    IFERROR(INDEX(data!N:N, MATCH(B756, data!D:D, 0)) = 1, FALSE)
  ),
  INDEX(data!C:C, MATCH(B756, data!D:D, 0)),
  "INC"
)</f>
        <v>2025-09-01T18:30:19.310+08</v>
      </c>
      <c r="K756" s="9" t="str">
        <f t="array" ref="K756">IFERROR(INDEX(dataICM!C:C,match(Caseslist!B756,dataICM!D:D,0)), "INC")</f>
        <v>INC</v>
      </c>
      <c r="L756" s="10" t="str">
        <f t="array" ref="L756">IF(AND(G756="COMPLETE", OR(K756="INC", ISBLANK(INDEX(data!O:O, ROW())))), J756, K756)</f>
        <v>2025-09-01T18:30:19.310+08</v>
      </c>
      <c r="M756" s="2">
        <v>45901.0</v>
      </c>
      <c r="N756" s="2">
        <f t="array" ref="N756">IF(M756&lt;&gt;"INC", INDEX(data!M:M, MATCH(B756, data!D:D, 0)), "")</f>
        <v>0</v>
      </c>
      <c r="O756" s="2">
        <f t="shared" si="3"/>
        <v>0</v>
      </c>
    </row>
    <row r="757">
      <c r="A757" s="2" t="str">
        <f t="shared" si="1"/>
        <v>H019429</v>
      </c>
      <c r="B757" s="1" t="s">
        <v>2389</v>
      </c>
      <c r="C757" s="9" t="str">
        <f t="array" ref="C757">IF(
  AND(
    IFERROR(MATCH(Caseslist!B757, data!D:D, 0), 0) &gt; 0,
    IFERROR(INDEX(data!N:N, MATCH(Caseslist!B757, data!D:D, 0)) = 1, FALSE)
  ),
  "COMPLETE",
  "INC"
)</f>
        <v>COMPLETE</v>
      </c>
      <c r="D757" s="9">
        <f t="array" ref="D757">IFERROR(INDEX(data!$G:$G,match(Caseslist!B757,data!$D:$D,0)), "INC")</f>
        <v>859767</v>
      </c>
      <c r="E757" s="9" t="str">
        <f t="array" ref="E757">IFERROR(INDEX(data!H:H,match(Caseslist!B757,data!D:D,0)), "INC")</f>
        <v>Ramie De Pedro Jr.</v>
      </c>
      <c r="F757" s="10" t="str">
        <f t="array" ref="F757">IF(
    OR(
      IFNA(INDEX(data!M:M, MATCH(Caseslist!B757, data!D:D, 0)), "") = "",
      IFNA(INDEX(data!M:M, MATCH(Caseslist!B757, data!D:D, 0)), 0) = 0
    ),
    "COMPLETE",
    IF(
      IFNA(INDEX(dataICM!D:D, MATCH(Caseslist!B757, dataICM!D:D, 0)), "INC") = "INC",
      IFNA(INDEX(dataICM!D:D, MATCH(Caseslist!B757, dataICM!D:D, 0)), "INC"),
      "COMPLETE"
    )
  )</f>
        <v>COMPLETE</v>
      </c>
      <c r="G757" s="10" t="str">
        <f t="array" ref="G757">IF(IFERROR(INDEX(data!L:L,match(Caseslist!B757,data!D:D,0)),"INC")="","COMPLETE",F757)</f>
        <v>COMPLETE</v>
      </c>
      <c r="H757" s="9" t="str">
        <f t="array" ref="H757">IFERROR(INDEX(dataICM!F:F,match(Caseslist!B757,dataICM!D:D,0)), "INC")</f>
        <v>INC</v>
      </c>
      <c r="I757" s="10">
        <f t="shared" si="2"/>
        <v>859767</v>
      </c>
      <c r="J757" s="9" t="str">
        <f t="array" ref="J757">IF(
  AND(
    IFERROR(MATCH(B757, data!D:D, 0), 0) &gt; 0,
    IFERROR(INDEX(data!N:N, MATCH(B757, data!D:D, 0)) = 1, FALSE)
  ),
  INDEX(data!C:C, MATCH(B757, data!D:D, 0)),
  "INC"
)</f>
        <v>2025-09-01T19:30:23.624+08</v>
      </c>
      <c r="K757" s="9" t="str">
        <f t="array" ref="K757">IFERROR(INDEX(dataICM!C:C,match(Caseslist!B757,dataICM!D:D,0)), "INC")</f>
        <v>INC</v>
      </c>
      <c r="L757" s="10" t="str">
        <f t="array" ref="L757">IF(AND(G757="COMPLETE", OR(K757="INC", ISBLANK(INDEX(data!O:O, ROW())))), J757, K757)</f>
        <v>2025-09-01T19:30:23.624+08</v>
      </c>
      <c r="M757" s="2">
        <v>45901.0</v>
      </c>
      <c r="N757" s="2">
        <f t="array" ref="N757">IF(M757&lt;&gt;"INC", INDEX(data!M:M, MATCH(B757, data!D:D, 0)), "")</f>
        <v>0</v>
      </c>
      <c r="O757" s="2">
        <f t="shared" si="3"/>
        <v>0</v>
      </c>
    </row>
    <row r="758">
      <c r="A758" s="2" t="str">
        <f t="shared" si="1"/>
        <v>H019429</v>
      </c>
      <c r="B758" s="1" t="s">
        <v>2369</v>
      </c>
      <c r="C758" s="9" t="str">
        <f t="array" ref="C758">IF(
  AND(
    IFERROR(MATCH(Caseslist!B758, data!D:D, 0), 0) &gt; 0,
    IFERROR(INDEX(data!N:N, MATCH(Caseslist!B758, data!D:D, 0)) = 1, FALSE)
  ),
  "COMPLETE",
  "INC"
)</f>
        <v>COMPLETE</v>
      </c>
      <c r="D758" s="9">
        <f t="array" ref="D758">IFERROR(INDEX(data!$G:$G,match(Caseslist!B758,data!$D:$D,0)), "INC")</f>
        <v>859767</v>
      </c>
      <c r="E758" s="9" t="str">
        <f t="array" ref="E758">IFERROR(INDEX(data!H:H,match(Caseslist!B758,data!D:D,0)), "INC")</f>
        <v>Ramie De Pedro Jr.</v>
      </c>
      <c r="F758" s="10" t="str">
        <f t="array" ref="F758">IF(
    OR(
      IFNA(INDEX(data!M:M, MATCH(Caseslist!B758, data!D:D, 0)), "") = "",
      IFNA(INDEX(data!M:M, MATCH(Caseslist!B758, data!D:D, 0)), 0) = 0
    ),
    "COMPLETE",
    IF(
      IFNA(INDEX(dataICM!D:D, MATCH(Caseslist!B758, dataICM!D:D, 0)), "INC") = "INC",
      IFNA(INDEX(dataICM!D:D, MATCH(Caseslist!B758, dataICM!D:D, 0)), "INC"),
      "COMPLETE"
    )
  )</f>
        <v>COMPLETE</v>
      </c>
      <c r="G758" s="10" t="str">
        <f t="array" ref="G758">IF(IFERROR(INDEX(data!L:L,match(Caseslist!B758,data!D:D,0)),"INC")="","COMPLETE",F758)</f>
        <v>COMPLETE</v>
      </c>
      <c r="H758" s="9" t="str">
        <f t="array" ref="H758">IFERROR(INDEX(dataICM!F:F,match(Caseslist!B758,dataICM!D:D,0)), "INC")</f>
        <v>INC</v>
      </c>
      <c r="I758" s="10">
        <f t="shared" si="2"/>
        <v>859767</v>
      </c>
      <c r="J758" s="9" t="str">
        <f t="array" ref="J758">IF(
  AND(
    IFERROR(MATCH(B758, data!D:D, 0), 0) &gt; 0,
    IFERROR(INDEX(data!N:N, MATCH(B758, data!D:D, 0)) = 1, FALSE)
  ),
  INDEX(data!C:C, MATCH(B758, data!D:D, 0)),
  "INC"
)</f>
        <v>2025-09-01T17:12:28.707+08</v>
      </c>
      <c r="K758" s="9" t="str">
        <f t="array" ref="K758">IFERROR(INDEX(dataICM!C:C,match(Caseslist!B758,dataICM!D:D,0)), "INC")</f>
        <v>INC</v>
      </c>
      <c r="L758" s="10" t="str">
        <f t="array" ref="L758">IF(AND(G758="COMPLETE", OR(K758="INC", ISBLANK(INDEX(data!O:O, ROW())))), J758, K758)</f>
        <v>2025-09-01T17:12:28.707+08</v>
      </c>
      <c r="M758" s="2">
        <v>45901.0</v>
      </c>
      <c r="N758" s="2">
        <f t="array" ref="N758">IF(M758&lt;&gt;"INC", INDEX(data!M:M, MATCH(B758, data!D:D, 0)), "")</f>
        <v>0</v>
      </c>
      <c r="O758" s="2">
        <f t="shared" si="3"/>
        <v>0</v>
      </c>
    </row>
    <row r="759">
      <c r="A759" s="2" t="str">
        <f t="shared" si="1"/>
        <v>H019429</v>
      </c>
      <c r="B759" s="1" t="s">
        <v>2439</v>
      </c>
      <c r="C759" s="9" t="str">
        <f t="array" ref="C759">IF(
  AND(
    IFERROR(MATCH(Caseslist!B759, data!D:D, 0), 0) &gt; 0,
    IFERROR(INDEX(data!N:N, MATCH(Caseslist!B759, data!D:D, 0)) = 1, FALSE)
  ),
  "COMPLETE",
  "INC"
)</f>
        <v>COMPLETE</v>
      </c>
      <c r="D759" s="9" t="str">
        <f t="array" ref="D759">IFERROR(INDEX(data!$G:$G,match(Caseslist!B759,data!$D:$D,0)), "INC")</f>
        <v>S2671943</v>
      </c>
      <c r="E759" s="9" t="str">
        <f t="array" ref="E759">IFERROR(INDEX(data!H:H,match(Caseslist!B759,data!D:D,0)), "INC")</f>
        <v>Marvin Mondia</v>
      </c>
      <c r="F759" s="10" t="str">
        <f t="array" ref="F759">IF(
    OR(
      IFNA(INDEX(data!M:M, MATCH(Caseslist!B759, data!D:D, 0)), "") = "",
      IFNA(INDEX(data!M:M, MATCH(Caseslist!B759, data!D:D, 0)), 0) = 0
    ),
    "COMPLETE",
    IF(
      IFNA(INDEX(dataICM!D:D, MATCH(Caseslist!B759, dataICM!D:D, 0)), "INC") = "INC",
      IFNA(INDEX(dataICM!D:D, MATCH(Caseslist!B759, dataICM!D:D, 0)), "INC"),
      "COMPLETE"
    )
  )</f>
        <v>COMPLETE</v>
      </c>
      <c r="G759" s="10" t="str">
        <f t="array" ref="G759">IF(IFERROR(INDEX(data!L:L,match(Caseslist!B759,data!D:D,0)),"INC")="","COMPLETE",F759)</f>
        <v>COMPLETE</v>
      </c>
      <c r="H759" s="9" t="str">
        <f t="array" ref="H759">IFERROR(INDEX(dataICM!F:F,match(Caseslist!B759,dataICM!D:D,0)), "INC")</f>
        <v>INC</v>
      </c>
      <c r="I759" s="10" t="str">
        <f t="shared" si="2"/>
        <v>S2671943</v>
      </c>
      <c r="J759" s="9" t="str">
        <f t="array" ref="J759">IF(
  AND(
    IFERROR(MATCH(B759, data!D:D, 0), 0) &gt; 0,
    IFERROR(INDEX(data!N:N, MATCH(B759, data!D:D, 0)) = 1, FALSE)
  ),
  INDEX(data!C:C, MATCH(B759, data!D:D, 0)),
  "INC"
)</f>
        <v>2025-09-01T11:43:56.438+08</v>
      </c>
      <c r="K759" s="9" t="str">
        <f t="array" ref="K759">IFERROR(INDEX(dataICM!C:C,match(Caseslist!B759,dataICM!D:D,0)), "INC")</f>
        <v>INC</v>
      </c>
      <c r="L759" s="10" t="str">
        <f t="array" ref="L759">IF(AND(G759="COMPLETE", OR(K759="INC", ISBLANK(INDEX(data!O:O, ROW())))), J759, K759)</f>
        <v>2025-09-01T11:43:56.438+08</v>
      </c>
      <c r="M759" s="2">
        <v>45901.0</v>
      </c>
      <c r="N759" s="2">
        <f t="array" ref="N759">IF(M759&lt;&gt;"INC", INDEX(data!M:M, MATCH(B759, data!D:D, 0)), "")</f>
        <v>0</v>
      </c>
      <c r="O759" s="2">
        <f t="shared" si="3"/>
        <v>0</v>
      </c>
    </row>
    <row r="760">
      <c r="A760" s="2" t="str">
        <f t="shared" si="1"/>
        <v>H019429</v>
      </c>
      <c r="B760" s="1" t="s">
        <v>2379</v>
      </c>
      <c r="C760" s="9" t="str">
        <f t="array" ref="C760">IF(
  AND(
    IFERROR(MATCH(Caseslist!B760, data!D:D, 0), 0) &gt; 0,
    IFERROR(INDEX(data!N:N, MATCH(Caseslist!B760, data!D:D, 0)) = 1, FALSE)
  ),
  "COMPLETE",
  "INC"
)</f>
        <v>COMPLETE</v>
      </c>
      <c r="D760" s="9">
        <f t="array" ref="D760">IFERROR(INDEX(data!$G:$G,match(Caseslist!B760,data!$D:$D,0)), "INC")</f>
        <v>859767</v>
      </c>
      <c r="E760" s="9" t="str">
        <f t="array" ref="E760">IFERROR(INDEX(data!H:H,match(Caseslist!B760,data!D:D,0)), "INC")</f>
        <v>Ramie De Pedro Jr.</v>
      </c>
      <c r="F760" s="10" t="str">
        <f t="array" ref="F760">IF(
    OR(
      IFNA(INDEX(data!M:M, MATCH(Caseslist!B760, data!D:D, 0)), "") = "",
      IFNA(INDEX(data!M:M, MATCH(Caseslist!B760, data!D:D, 0)), 0) = 0
    ),
    "COMPLETE",
    IF(
      IFNA(INDEX(dataICM!D:D, MATCH(Caseslist!B760, dataICM!D:D, 0)), "INC") = "INC",
      IFNA(INDEX(dataICM!D:D, MATCH(Caseslist!B760, dataICM!D:D, 0)), "INC"),
      "COMPLETE"
    )
  )</f>
        <v>COMPLETE</v>
      </c>
      <c r="G760" s="10" t="str">
        <f t="array" ref="G760">IF(IFERROR(INDEX(data!L:L,match(Caseslist!B760,data!D:D,0)),"INC")="","COMPLETE",F760)</f>
        <v>COMPLETE</v>
      </c>
      <c r="H760" s="9" t="str">
        <f t="array" ref="H760">IFERROR(INDEX(dataICM!F:F,match(Caseslist!B760,dataICM!D:D,0)), "INC")</f>
        <v>INC</v>
      </c>
      <c r="I760" s="10">
        <f t="shared" si="2"/>
        <v>859767</v>
      </c>
      <c r="J760" s="9" t="str">
        <f t="array" ref="J760">IF(
  AND(
    IFERROR(MATCH(B760, data!D:D, 0), 0) &gt; 0,
    IFERROR(INDEX(data!N:N, MATCH(B760, data!D:D, 0)) = 1, FALSE)
  ),
  INDEX(data!C:C, MATCH(B760, data!D:D, 0)),
  "INC"
)</f>
        <v>2025-09-01T18:35:01.172+08</v>
      </c>
      <c r="K760" s="9" t="str">
        <f t="array" ref="K760">IFERROR(INDEX(dataICM!C:C,match(Caseslist!B760,dataICM!D:D,0)), "INC")</f>
        <v>INC</v>
      </c>
      <c r="L760" s="10" t="str">
        <f t="array" ref="L760">IF(AND(G760="COMPLETE", OR(K760="INC", ISBLANK(INDEX(data!O:O, ROW())))), J760, K760)</f>
        <v>2025-09-01T18:35:01.172+08</v>
      </c>
      <c r="M760" s="2">
        <v>45901.0</v>
      </c>
      <c r="N760" s="2">
        <f t="array" ref="N760">IF(M760&lt;&gt;"INC", INDEX(data!M:M, MATCH(B760, data!D:D, 0)), "")</f>
        <v>0</v>
      </c>
      <c r="O760" s="2">
        <f t="shared" si="3"/>
        <v>0</v>
      </c>
    </row>
    <row r="761">
      <c r="A761" s="2" t="str">
        <f t="shared" si="1"/>
        <v>H019429</v>
      </c>
      <c r="B761" s="1" t="s">
        <v>2384</v>
      </c>
      <c r="C761" s="9" t="str">
        <f t="array" ref="C761">IF(
  AND(
    IFERROR(MATCH(Caseslist!B761, data!D:D, 0), 0) &gt; 0,
    IFERROR(INDEX(data!N:N, MATCH(Caseslist!B761, data!D:D, 0)) = 1, FALSE)
  ),
  "COMPLETE",
  "INC"
)</f>
        <v>COMPLETE</v>
      </c>
      <c r="D761" s="9">
        <f t="array" ref="D761">IFERROR(INDEX(data!$G:$G,match(Caseslist!B761,data!$D:$D,0)), "INC")</f>
        <v>729375</v>
      </c>
      <c r="E761" s="9" t="str">
        <f t="array" ref="E761">IFERROR(INDEX(data!H:H,match(Caseslist!B761,data!D:D,0)), "INC")</f>
        <v>Janet Serafica_2</v>
      </c>
      <c r="F761" s="10" t="str">
        <f t="array" ref="F761">IF(
    OR(
      IFNA(INDEX(data!M:M, MATCH(Caseslist!B761, data!D:D, 0)), "") = "",
      IFNA(INDEX(data!M:M, MATCH(Caseslist!B761, data!D:D, 0)), 0) = 0
    ),
    "COMPLETE",
    IF(
      IFNA(INDEX(dataICM!D:D, MATCH(Caseslist!B761, dataICM!D:D, 0)), "INC") = "INC",
      IFNA(INDEX(dataICM!D:D, MATCH(Caseslist!B761, dataICM!D:D, 0)), "INC"),
      "COMPLETE"
    )
  )</f>
        <v>COMPLETE</v>
      </c>
      <c r="G761" s="10" t="str">
        <f t="array" ref="G761">IF(IFERROR(INDEX(data!L:L,match(Caseslist!B761,data!D:D,0)),"INC")="","COMPLETE",F761)</f>
        <v>COMPLETE</v>
      </c>
      <c r="H761" s="9" t="str">
        <f t="array" ref="H761">IFERROR(INDEX(dataICM!F:F,match(Caseslist!B761,dataICM!D:D,0)), "INC")</f>
        <v>INC</v>
      </c>
      <c r="I761" s="10">
        <f t="shared" si="2"/>
        <v>729375</v>
      </c>
      <c r="J761" s="9" t="str">
        <f t="array" ref="J761">IF(
  AND(
    IFERROR(MATCH(B761, data!D:D, 0), 0) &gt; 0,
    IFERROR(INDEX(data!N:N, MATCH(B761, data!D:D, 0)) = 1, FALSE)
  ),
  INDEX(data!C:C, MATCH(B761, data!D:D, 0)),
  "INC"
)</f>
        <v>2025-10-02T11:17:01.154+08</v>
      </c>
      <c r="K761" s="9" t="str">
        <f t="array" ref="K761">IFERROR(INDEX(dataICM!C:C,match(Caseslist!B761,dataICM!D:D,0)), "INC")</f>
        <v>INC</v>
      </c>
      <c r="L761" s="10" t="str">
        <f t="array" ref="L761">IF(AND(G761="COMPLETE", OR(K761="INC", ISBLANK(INDEX(data!O:O, ROW())))), J761, K761)</f>
        <v>2025-10-02T11:17:01.154+08</v>
      </c>
      <c r="M761" s="2">
        <v>45932.0</v>
      </c>
      <c r="N761" s="2">
        <f t="array" ref="N761">IF(M761&lt;&gt;"INC", INDEX(data!M:M, MATCH(B761, data!D:D, 0)), "")</f>
        <v>0</v>
      </c>
      <c r="O761" s="2">
        <f t="shared" si="3"/>
        <v>0</v>
      </c>
    </row>
    <row r="762">
      <c r="A762" s="2" t="str">
        <f t="shared" si="1"/>
        <v>H019429</v>
      </c>
      <c r="B762" s="1" t="s">
        <v>2354</v>
      </c>
      <c r="C762" s="9" t="str">
        <f t="array" ref="C762">IF(
  AND(
    IFERROR(MATCH(Caseslist!B762, data!D:D, 0), 0) &gt; 0,
    IFERROR(INDEX(data!N:N, MATCH(Caseslist!B762, data!D:D, 0)) = 1, FALSE)
  ),
  "COMPLETE",
  "INC"
)</f>
        <v>COMPLETE</v>
      </c>
      <c r="D762" s="9">
        <f t="array" ref="D762">IFERROR(INDEX(data!$G:$G,match(Caseslist!B762,data!$D:$D,0)), "INC")</f>
        <v>729375</v>
      </c>
      <c r="E762" s="9" t="str">
        <f t="array" ref="E762">IFERROR(INDEX(data!H:H,match(Caseslist!B762,data!D:D,0)), "INC")</f>
        <v>Janet Serafica</v>
      </c>
      <c r="F762" s="10" t="str">
        <f t="array" ref="F762">IF(
    OR(
      IFNA(INDEX(data!M:M, MATCH(Caseslist!B762, data!D:D, 0)), "") = "",
      IFNA(INDEX(data!M:M, MATCH(Caseslist!B762, data!D:D, 0)), 0) = 0
    ),
    "COMPLETE",
    IF(
      IFNA(INDEX(dataICM!D:D, MATCH(Caseslist!B762, dataICM!D:D, 0)), "INC") = "INC",
      IFNA(INDEX(dataICM!D:D, MATCH(Caseslist!B762, dataICM!D:D, 0)), "INC"),
      "COMPLETE"
    )
  )</f>
        <v>COMPLETE</v>
      </c>
      <c r="G762" s="10" t="str">
        <f t="array" ref="G762">IF(IFERROR(INDEX(data!L:L,match(Caseslist!B762,data!D:D,0)),"INC")="","COMPLETE",F762)</f>
        <v>COMPLETE</v>
      </c>
      <c r="H762" s="9" t="str">
        <f t="array" ref="H762">IFERROR(INDEX(dataICM!F:F,match(Caseslist!B762,dataICM!D:D,0)), "INC")</f>
        <v>INC</v>
      </c>
      <c r="I762" s="10">
        <f t="shared" si="2"/>
        <v>729375</v>
      </c>
      <c r="J762" s="9" t="str">
        <f t="array" ref="J762">IF(
  AND(
    IFERROR(MATCH(B762, data!D:D, 0), 0) &gt; 0,
    IFERROR(INDEX(data!N:N, MATCH(B762, data!D:D, 0)) = 1, FALSE)
  ),
  INDEX(data!C:C, MATCH(B762, data!D:D, 0)),
  "INC"
)</f>
        <v>2025-09-01T11:24:39.303+08</v>
      </c>
      <c r="K762" s="9" t="str">
        <f t="array" ref="K762">IFERROR(INDEX(dataICM!C:C,match(Caseslist!B762,dataICM!D:D,0)), "INC")</f>
        <v>INC</v>
      </c>
      <c r="L762" s="10" t="str">
        <f t="array" ref="L762">IF(AND(G762="COMPLETE", OR(K762="INC", ISBLANK(INDEX(data!O:O, ROW())))), J762, K762)</f>
        <v>2025-09-01T11:24:39.303+08</v>
      </c>
      <c r="M762" s="2">
        <v>45901.0</v>
      </c>
      <c r="N762" s="2">
        <f t="array" ref="N762">IF(M762&lt;&gt;"INC", INDEX(data!M:M, MATCH(B762, data!D:D, 0)), "")</f>
        <v>0</v>
      </c>
      <c r="O762" s="2">
        <f t="shared" si="3"/>
        <v>0</v>
      </c>
    </row>
    <row r="763">
      <c r="A763" s="2" t="str">
        <f t="shared" si="1"/>
        <v>H019429</v>
      </c>
      <c r="B763" s="1" t="s">
        <v>2349</v>
      </c>
      <c r="C763" s="9" t="str">
        <f t="array" ref="C763">IF(
  AND(
    IFERROR(MATCH(Caseslist!B763, data!D:D, 0), 0) &gt; 0,
    IFERROR(INDEX(data!N:N, MATCH(Caseslist!B763, data!D:D, 0)) = 1, FALSE)
  ),
  "COMPLETE",
  "INC"
)</f>
        <v>COMPLETE</v>
      </c>
      <c r="D763" s="9">
        <f t="array" ref="D763">IFERROR(INDEX(data!$G:$G,match(Caseslist!B763,data!$D:$D,0)), "INC")</f>
        <v>729375</v>
      </c>
      <c r="E763" s="9" t="str">
        <f t="array" ref="E763">IFERROR(INDEX(data!H:H,match(Caseslist!B763,data!D:D,0)), "INC")</f>
        <v>Janet Serafica</v>
      </c>
      <c r="F763" s="10" t="str">
        <f t="array" ref="F763">IF(
    OR(
      IFNA(INDEX(data!M:M, MATCH(Caseslist!B763, data!D:D, 0)), "") = "",
      IFNA(INDEX(data!M:M, MATCH(Caseslist!B763, data!D:D, 0)), 0) = 0
    ),
    "COMPLETE",
    IF(
      IFNA(INDEX(dataICM!D:D, MATCH(Caseslist!B763, dataICM!D:D, 0)), "INC") = "INC",
      IFNA(INDEX(dataICM!D:D, MATCH(Caseslist!B763, dataICM!D:D, 0)), "INC"),
      "COMPLETE"
    )
  )</f>
        <v>COMPLETE</v>
      </c>
      <c r="G763" s="10" t="str">
        <f t="array" ref="G763">IF(IFERROR(INDEX(data!L:L,match(Caseslist!B763,data!D:D,0)),"INC")="","COMPLETE",F763)</f>
        <v>COMPLETE</v>
      </c>
      <c r="H763" s="9" t="str">
        <f t="array" ref="H763">IFERROR(INDEX(dataICM!F:F,match(Caseslist!B763,dataICM!D:D,0)), "INC")</f>
        <v>INC</v>
      </c>
      <c r="I763" s="10">
        <f t="shared" si="2"/>
        <v>729375</v>
      </c>
      <c r="J763" s="9" t="str">
        <f t="array" ref="J763">IF(
  AND(
    IFERROR(MATCH(B763, data!D:D, 0), 0) &gt; 0,
    IFERROR(INDEX(data!N:N, MATCH(B763, data!D:D, 0)) = 1, FALSE)
  ),
  INDEX(data!C:C, MATCH(B763, data!D:D, 0)),
  "INC"
)</f>
        <v>2025-09-01T10:59:37.495+08</v>
      </c>
      <c r="K763" s="9" t="str">
        <f t="array" ref="K763">IFERROR(INDEX(dataICM!C:C,match(Caseslist!B763,dataICM!D:D,0)), "INC")</f>
        <v>INC</v>
      </c>
      <c r="L763" s="10" t="str">
        <f t="array" ref="L763">IF(AND(G763="COMPLETE", OR(K763="INC", ISBLANK(INDEX(data!O:O, ROW())))), J763, K763)</f>
        <v>2025-09-01T10:59:37.495+08</v>
      </c>
      <c r="M763" s="2">
        <v>45901.0</v>
      </c>
      <c r="N763" s="2">
        <f t="array" ref="N763">IF(M763&lt;&gt;"INC", INDEX(data!M:M, MATCH(B763, data!D:D, 0)), "")</f>
        <v>0</v>
      </c>
      <c r="O763" s="2">
        <f t="shared" si="3"/>
        <v>0</v>
      </c>
    </row>
    <row r="764">
      <c r="A764" s="2" t="str">
        <f t="shared" si="1"/>
        <v>H019429</v>
      </c>
      <c r="B764" s="1" t="s">
        <v>2364</v>
      </c>
      <c r="C764" s="9" t="str">
        <f t="array" ref="C764">IF(
  AND(
    IFERROR(MATCH(Caseslist!B764, data!D:D, 0), 0) &gt; 0,
    IFERROR(INDEX(data!N:N, MATCH(Caseslist!B764, data!D:D, 0)) = 1, FALSE)
  ),
  "COMPLETE",
  "INC"
)</f>
        <v>COMPLETE</v>
      </c>
      <c r="D764" s="9">
        <f t="array" ref="D764">IFERROR(INDEX(data!$G:$G,match(Caseslist!B764,data!$D:$D,0)), "INC")</f>
        <v>729375</v>
      </c>
      <c r="E764" s="9" t="str">
        <f t="array" ref="E764">IFERROR(INDEX(data!H:H,match(Caseslist!B764,data!D:D,0)), "INC")</f>
        <v>Janet Serafica</v>
      </c>
      <c r="F764" s="10" t="str">
        <f t="array" ref="F764">IF(
    OR(
      IFNA(INDEX(data!M:M, MATCH(Caseslist!B764, data!D:D, 0)), "") = "",
      IFNA(INDEX(data!M:M, MATCH(Caseslist!B764, data!D:D, 0)), 0) = 0
    ),
    "COMPLETE",
    IF(
      IFNA(INDEX(dataICM!D:D, MATCH(Caseslist!B764, dataICM!D:D, 0)), "INC") = "INC",
      IFNA(INDEX(dataICM!D:D, MATCH(Caseslist!B764, dataICM!D:D, 0)), "INC"),
      "COMPLETE"
    )
  )</f>
        <v>COMPLETE</v>
      </c>
      <c r="G764" s="10" t="str">
        <f t="array" ref="G764">IF(IFERROR(INDEX(data!L:L,match(Caseslist!B764,data!D:D,0)),"INC")="","COMPLETE",F764)</f>
        <v>COMPLETE</v>
      </c>
      <c r="H764" s="9" t="str">
        <f t="array" ref="H764">IFERROR(INDEX(dataICM!F:F,match(Caseslist!B764,dataICM!D:D,0)), "INC")</f>
        <v>INC</v>
      </c>
      <c r="I764" s="10">
        <f t="shared" si="2"/>
        <v>729375</v>
      </c>
      <c r="J764" s="9" t="str">
        <f t="array" ref="J764">IF(
  AND(
    IFERROR(MATCH(B764, data!D:D, 0), 0) &gt; 0,
    IFERROR(INDEX(data!N:N, MATCH(B764, data!D:D, 0)) = 1, FALSE)
  ),
  INDEX(data!C:C, MATCH(B764, data!D:D, 0)),
  "INC"
)</f>
        <v>2025-09-01T14:51:13.556+08</v>
      </c>
      <c r="K764" s="9" t="str">
        <f t="array" ref="K764">IFERROR(INDEX(dataICM!C:C,match(Caseslist!B764,dataICM!D:D,0)), "INC")</f>
        <v>INC</v>
      </c>
      <c r="L764" s="10" t="str">
        <f t="array" ref="L764">IF(AND(G764="COMPLETE", OR(K764="INC", ISBLANK(INDEX(data!O:O, ROW())))), J764, K764)</f>
        <v>2025-09-01T14:51:13.556+08</v>
      </c>
      <c r="M764" s="2">
        <v>45901.0</v>
      </c>
      <c r="N764" s="2">
        <f t="array" ref="N764">IF(M764&lt;&gt;"INC", INDEX(data!M:M, MATCH(B764, data!D:D, 0)), "")</f>
        <v>0</v>
      </c>
      <c r="O764" s="2">
        <f t="shared" si="3"/>
        <v>0</v>
      </c>
    </row>
    <row r="765">
      <c r="A765" s="2" t="str">
        <f t="shared" si="1"/>
        <v>H019429</v>
      </c>
      <c r="B765" s="1" t="s">
        <v>2359</v>
      </c>
      <c r="C765" s="9" t="str">
        <f t="array" ref="C765">IF(
  AND(
    IFERROR(MATCH(Caseslist!B765, data!D:D, 0), 0) &gt; 0,
    IFERROR(INDEX(data!N:N, MATCH(Caseslist!B765, data!D:D, 0)) = 1, FALSE)
  ),
  "COMPLETE",
  "INC"
)</f>
        <v>COMPLETE</v>
      </c>
      <c r="D765" s="9">
        <f t="array" ref="D765">IFERROR(INDEX(data!$G:$G,match(Caseslist!B765,data!$D:$D,0)), "INC")</f>
        <v>729375</v>
      </c>
      <c r="E765" s="9" t="str">
        <f t="array" ref="E765">IFERROR(INDEX(data!H:H,match(Caseslist!B765,data!D:D,0)), "INC")</f>
        <v>Janet Serafica</v>
      </c>
      <c r="F765" s="10" t="str">
        <f t="array" ref="F765">IF(
    OR(
      IFNA(INDEX(data!M:M, MATCH(Caseslist!B765, data!D:D, 0)), "") = "",
      IFNA(INDEX(data!M:M, MATCH(Caseslist!B765, data!D:D, 0)), 0) = 0
    ),
    "COMPLETE",
    IF(
      IFNA(INDEX(dataICM!D:D, MATCH(Caseslist!B765, dataICM!D:D, 0)), "INC") = "INC",
      IFNA(INDEX(dataICM!D:D, MATCH(Caseslist!B765, dataICM!D:D, 0)), "INC"),
      "COMPLETE"
    )
  )</f>
        <v>COMPLETE</v>
      </c>
      <c r="G765" s="10" t="str">
        <f t="array" ref="G765">IF(IFERROR(INDEX(data!L:L,match(Caseslist!B765,data!D:D,0)),"INC")="","COMPLETE",F765)</f>
        <v>COMPLETE</v>
      </c>
      <c r="H765" s="9" t="str">
        <f t="array" ref="H765">IFERROR(INDEX(dataICM!F:F,match(Caseslist!B765,dataICM!D:D,0)), "INC")</f>
        <v>INC</v>
      </c>
      <c r="I765" s="10">
        <f t="shared" si="2"/>
        <v>729375</v>
      </c>
      <c r="J765" s="9" t="str">
        <f t="array" ref="J765">IF(
  AND(
    IFERROR(MATCH(B765, data!D:D, 0), 0) &gt; 0,
    IFERROR(INDEX(data!N:N, MATCH(B765, data!D:D, 0)) = 1, FALSE)
  ),
  INDEX(data!C:C, MATCH(B765, data!D:D, 0)),
  "INC"
)</f>
        <v>2025-09-01T12:08:36.570+08</v>
      </c>
      <c r="K765" s="9" t="str">
        <f t="array" ref="K765">IFERROR(INDEX(dataICM!C:C,match(Caseslist!B765,dataICM!D:D,0)), "INC")</f>
        <v>INC</v>
      </c>
      <c r="L765" s="10" t="str">
        <f t="array" ref="L765">IF(AND(G765="COMPLETE", OR(K765="INC", ISBLANK(INDEX(data!O:O, ROW())))), J765, K765)</f>
        <v>2025-09-01T12:08:36.570+08</v>
      </c>
      <c r="M765" s="2">
        <v>45901.0</v>
      </c>
      <c r="N765" s="2">
        <f t="array" ref="N765">IF(M765&lt;&gt;"INC", INDEX(data!M:M, MATCH(B765, data!D:D, 0)), "")</f>
        <v>0</v>
      </c>
      <c r="O765" s="2">
        <f t="shared" si="3"/>
        <v>0</v>
      </c>
    </row>
    <row r="766">
      <c r="A766" s="2" t="str">
        <f t="shared" si="1"/>
        <v>H019429</v>
      </c>
      <c r="B766" s="1" t="s">
        <v>2344</v>
      </c>
      <c r="C766" s="9" t="str">
        <f t="array" ref="C766">IF(
  AND(
    IFERROR(MATCH(Caseslist!B766, data!D:D, 0), 0) &gt; 0,
    IFERROR(INDEX(data!N:N, MATCH(Caseslist!B766, data!D:D, 0)) = 1, FALSE)
  ),
  "COMPLETE",
  "INC"
)</f>
        <v>COMPLETE</v>
      </c>
      <c r="D766" s="9">
        <f t="array" ref="D766">IFERROR(INDEX(data!$G:$G,match(Caseslist!B766,data!$D:$D,0)), "INC")</f>
        <v>729375</v>
      </c>
      <c r="E766" s="9" t="str">
        <f t="array" ref="E766">IFERROR(INDEX(data!H:H,match(Caseslist!B766,data!D:D,0)), "INC")</f>
        <v>Janet Serafica</v>
      </c>
      <c r="F766" s="10" t="str">
        <f t="array" ref="F766">IF(
    OR(
      IFNA(INDEX(data!M:M, MATCH(Caseslist!B766, data!D:D, 0)), "") = "",
      IFNA(INDEX(data!M:M, MATCH(Caseslist!B766, data!D:D, 0)), 0) = 0
    ),
    "COMPLETE",
    IF(
      IFNA(INDEX(dataICM!D:D, MATCH(Caseslist!B766, dataICM!D:D, 0)), "INC") = "INC",
      IFNA(INDEX(dataICM!D:D, MATCH(Caseslist!B766, dataICM!D:D, 0)), "INC"),
      "COMPLETE"
    )
  )</f>
        <v>COMPLETE</v>
      </c>
      <c r="G766" s="10" t="str">
        <f t="array" ref="G766">IF(IFERROR(INDEX(data!L:L,match(Caseslist!B766,data!D:D,0)),"INC")="","COMPLETE",F766)</f>
        <v>COMPLETE</v>
      </c>
      <c r="H766" s="9" t="str">
        <f t="array" ref="H766">IFERROR(INDEX(dataICM!F:F,match(Caseslist!B766,dataICM!D:D,0)), "INC")</f>
        <v>INC</v>
      </c>
      <c r="I766" s="10">
        <f t="shared" si="2"/>
        <v>729375</v>
      </c>
      <c r="J766" s="9" t="str">
        <f t="array" ref="J766">IF(
  AND(
    IFERROR(MATCH(B766, data!D:D, 0), 0) &gt; 0,
    IFERROR(INDEX(data!N:N, MATCH(B766, data!D:D, 0)) = 1, FALSE)
  ),
  INDEX(data!C:C, MATCH(B766, data!D:D, 0)),
  "INC"
)</f>
        <v>2025-09-01T09:56:48.909+08</v>
      </c>
      <c r="K766" s="9" t="str">
        <f t="array" ref="K766">IFERROR(INDEX(dataICM!C:C,match(Caseslist!B766,dataICM!D:D,0)), "INC")</f>
        <v>INC</v>
      </c>
      <c r="L766" s="10" t="str">
        <f t="array" ref="L766">IF(AND(G766="COMPLETE", OR(K766="INC", ISBLANK(INDEX(data!O:O, ROW())))), J766, K766)</f>
        <v>2025-09-01T09:56:48.909+08</v>
      </c>
      <c r="M766" s="2">
        <v>45901.0</v>
      </c>
      <c r="N766" s="2">
        <f t="array" ref="N766">IF(M766&lt;&gt;"INC", INDEX(data!M:M, MATCH(B766, data!D:D, 0)), "")</f>
        <v>0</v>
      </c>
      <c r="O766" s="2">
        <f t="shared" si="3"/>
        <v>0</v>
      </c>
    </row>
    <row r="767">
      <c r="A767" s="2" t="str">
        <f t="shared" si="1"/>
        <v>H019429</v>
      </c>
      <c r="B767" s="1" t="s">
        <v>2434</v>
      </c>
      <c r="C767" s="9" t="str">
        <f t="array" ref="C767">IF(
  AND(
    IFERROR(MATCH(Caseslist!B767, data!D:D, 0), 0) &gt; 0,
    IFERROR(INDEX(data!N:N, MATCH(Caseslist!B767, data!D:D, 0)) = 1, FALSE)
  ),
  "COMPLETE",
  "INC"
)</f>
        <v>COMPLETE</v>
      </c>
      <c r="D767" s="9" t="str">
        <f t="array" ref="D767">IFERROR(INDEX(data!$G:$G,match(Caseslist!B767,data!$D:$D,0)), "INC")</f>
        <v>S2671943</v>
      </c>
      <c r="E767" s="9" t="str">
        <f t="array" ref="E767">IFERROR(INDEX(data!H:H,match(Caseslist!B767,data!D:D,0)), "INC")</f>
        <v>Marvin Mondia</v>
      </c>
      <c r="F767" s="10" t="str">
        <f t="array" ref="F767">IF(
    OR(
      IFNA(INDEX(data!M:M, MATCH(Caseslist!B767, data!D:D, 0)), "") = "",
      IFNA(INDEX(data!M:M, MATCH(Caseslist!B767, data!D:D, 0)), 0) = 0
    ),
    "COMPLETE",
    IF(
      IFNA(INDEX(dataICM!D:D, MATCH(Caseslist!B767, dataICM!D:D, 0)), "INC") = "INC",
      IFNA(INDEX(dataICM!D:D, MATCH(Caseslist!B767, dataICM!D:D, 0)), "INC"),
      "COMPLETE"
    )
  )</f>
        <v>COMPLETE</v>
      </c>
      <c r="G767" s="10" t="str">
        <f t="array" ref="G767">IF(IFERROR(INDEX(data!L:L,match(Caseslist!B767,data!D:D,0)),"INC")="","COMPLETE",F767)</f>
        <v>COMPLETE</v>
      </c>
      <c r="H767" s="9" t="str">
        <f t="array" ref="H767">IFERROR(INDEX(dataICM!F:F,match(Caseslist!B767,dataICM!D:D,0)), "INC")</f>
        <v>INC</v>
      </c>
      <c r="I767" s="10" t="str">
        <f t="shared" si="2"/>
        <v>S2671943</v>
      </c>
      <c r="J767" s="9" t="str">
        <f t="array" ref="J767">IF(
  AND(
    IFERROR(MATCH(B767, data!D:D, 0), 0) &gt; 0,
    IFERROR(INDEX(data!N:N, MATCH(B767, data!D:D, 0)) = 1, FALSE)
  ),
  INDEX(data!C:C, MATCH(B767, data!D:D, 0)),
  "INC"
)</f>
        <v>2025-09-01T10:26:22.785+08</v>
      </c>
      <c r="K767" s="9" t="str">
        <f t="array" ref="K767">IFERROR(INDEX(dataICM!C:C,match(Caseslist!B767,dataICM!D:D,0)), "INC")</f>
        <v>INC</v>
      </c>
      <c r="L767" s="10" t="str">
        <f t="array" ref="L767">IF(AND(G767="COMPLETE", OR(K767="INC", ISBLANK(INDEX(data!O:O, ROW())))), J767, K767)</f>
        <v>2025-09-01T10:26:22.785+08</v>
      </c>
      <c r="M767" s="2">
        <v>45901.0</v>
      </c>
      <c r="N767" s="2">
        <f t="array" ref="N767">IF(M767&lt;&gt;"INC", INDEX(data!M:M, MATCH(B767, data!D:D, 0)), "")</f>
        <v>0</v>
      </c>
      <c r="O767" s="2">
        <f t="shared" si="3"/>
        <v>0</v>
      </c>
    </row>
    <row r="768">
      <c r="A768" s="2" t="str">
        <f t="shared" si="1"/>
        <v>H019429</v>
      </c>
      <c r="B768" s="1" t="s">
        <v>2444</v>
      </c>
      <c r="C768" s="9" t="str">
        <f t="array" ref="C768">IF(
  AND(
    IFERROR(MATCH(Caseslist!B768, data!D:D, 0), 0) &gt; 0,
    IFERROR(INDEX(data!N:N, MATCH(Caseslist!B768, data!D:D, 0)) = 1, FALSE)
  ),
  "COMPLETE",
  "INC"
)</f>
        <v>COMPLETE</v>
      </c>
      <c r="D768" s="9" t="str">
        <f t="array" ref="D768">IFERROR(INDEX(data!$G:$G,match(Caseslist!B768,data!$D:$D,0)), "INC")</f>
        <v>S2671943</v>
      </c>
      <c r="E768" s="9" t="str">
        <f t="array" ref="E768">IFERROR(INDEX(data!H:H,match(Caseslist!B768,data!D:D,0)), "INC")</f>
        <v>Marvin Mondia</v>
      </c>
      <c r="F768" s="10" t="str">
        <f t="array" ref="F768">IF(
    OR(
      IFNA(INDEX(data!M:M, MATCH(Caseslist!B768, data!D:D, 0)), "") = "",
      IFNA(INDEX(data!M:M, MATCH(Caseslist!B768, data!D:D, 0)), 0) = 0
    ),
    "COMPLETE",
    IF(
      IFNA(INDEX(dataICM!D:D, MATCH(Caseslist!B768, dataICM!D:D, 0)), "INC") = "INC",
      IFNA(INDEX(dataICM!D:D, MATCH(Caseslist!B768, dataICM!D:D, 0)), "INC"),
      "COMPLETE"
    )
  )</f>
        <v>COMPLETE</v>
      </c>
      <c r="G768" s="10" t="str">
        <f t="array" ref="G768">IF(IFERROR(INDEX(data!L:L,match(Caseslist!B768,data!D:D,0)),"INC")="","COMPLETE",F768)</f>
        <v>COMPLETE</v>
      </c>
      <c r="H768" s="9" t="str">
        <f t="array" ref="H768">IFERROR(INDEX(dataICM!F:F,match(Caseslist!B768,dataICM!D:D,0)), "INC")</f>
        <v>INC</v>
      </c>
      <c r="I768" s="10" t="str">
        <f t="shared" si="2"/>
        <v>S2671943</v>
      </c>
      <c r="J768" s="9" t="str">
        <f t="array" ref="J768">IF(
  AND(
    IFERROR(MATCH(B768, data!D:D, 0), 0) &gt; 0,
    IFERROR(INDEX(data!N:N, MATCH(B768, data!D:D, 0)) = 1, FALSE)
  ),
  INDEX(data!C:C, MATCH(B768, data!D:D, 0)),
  "INC"
)</f>
        <v>2025-09-01T12:53:06.507+08</v>
      </c>
      <c r="K768" s="9" t="str">
        <f t="array" ref="K768">IFERROR(INDEX(dataICM!C:C,match(Caseslist!B768,dataICM!D:D,0)), "INC")</f>
        <v>INC</v>
      </c>
      <c r="L768" s="10" t="str">
        <f t="array" ref="L768">IF(AND(G768="COMPLETE", OR(K768="INC", ISBLANK(INDEX(data!O:O, ROW())))), J768, K768)</f>
        <v>2025-09-01T12:53:06.507+08</v>
      </c>
      <c r="M768" s="2">
        <v>45901.0</v>
      </c>
      <c r="N768" s="2">
        <f t="array" ref="N768">IF(M768&lt;&gt;"INC", INDEX(data!M:M, MATCH(B768, data!D:D, 0)), "")</f>
        <v>0</v>
      </c>
      <c r="O768" s="2">
        <f t="shared" si="3"/>
        <v>0</v>
      </c>
    </row>
    <row r="769">
      <c r="A769" s="2" t="str">
        <f t="shared" si="1"/>
        <v>H019429</v>
      </c>
      <c r="B769" s="1" t="s">
        <v>2454</v>
      </c>
      <c r="C769" s="9" t="str">
        <f t="array" ref="C769">IF(
  AND(
    IFERROR(MATCH(Caseslist!B769, data!D:D, 0), 0) &gt; 0,
    IFERROR(INDEX(data!N:N, MATCH(Caseslist!B769, data!D:D, 0)) = 1, FALSE)
  ),
  "COMPLETE",
  "INC"
)</f>
        <v>COMPLETE</v>
      </c>
      <c r="D769" s="9" t="str">
        <f t="array" ref="D769">IFERROR(INDEX(data!$G:$G,match(Caseslist!B769,data!$D:$D,0)), "INC")</f>
        <v>S2671943</v>
      </c>
      <c r="E769" s="9" t="str">
        <f t="array" ref="E769">IFERROR(INDEX(data!H:H,match(Caseslist!B769,data!D:D,0)), "INC")</f>
        <v>Marvin Mondia</v>
      </c>
      <c r="F769" s="10" t="str">
        <f t="array" ref="F769">IF(
    OR(
      IFNA(INDEX(data!M:M, MATCH(Caseslist!B769, data!D:D, 0)), "") = "",
      IFNA(INDEX(data!M:M, MATCH(Caseslist!B769, data!D:D, 0)), 0) = 0
    ),
    "COMPLETE",
    IF(
      IFNA(INDEX(dataICM!D:D, MATCH(Caseslist!B769, dataICM!D:D, 0)), "INC") = "INC",
      IFNA(INDEX(dataICM!D:D, MATCH(Caseslist!B769, dataICM!D:D, 0)), "INC"),
      "COMPLETE"
    )
  )</f>
        <v>COMPLETE</v>
      </c>
      <c r="G769" s="10" t="str">
        <f t="array" ref="G769">IF(IFERROR(INDEX(data!L:L,match(Caseslist!B769,data!D:D,0)),"INC")="","COMPLETE",F769)</f>
        <v>COMPLETE</v>
      </c>
      <c r="H769" s="9" t="str">
        <f t="array" ref="H769">IFERROR(INDEX(dataICM!F:F,match(Caseslist!B769,dataICM!D:D,0)), "INC")</f>
        <v>INC</v>
      </c>
      <c r="I769" s="10" t="str">
        <f t="shared" si="2"/>
        <v>S2671943</v>
      </c>
      <c r="J769" s="9" t="str">
        <f t="array" ref="J769">IF(
  AND(
    IFERROR(MATCH(B769, data!D:D, 0), 0) &gt; 0,
    IFERROR(INDEX(data!N:N, MATCH(B769, data!D:D, 0)) = 1, FALSE)
  ),
  INDEX(data!C:C, MATCH(B769, data!D:D, 0)),
  "INC"
)</f>
        <v>2025-09-01T20:31:21.002+08</v>
      </c>
      <c r="K769" s="9" t="str">
        <f t="array" ref="K769">IFERROR(INDEX(dataICM!C:C,match(Caseslist!B769,dataICM!D:D,0)), "INC")</f>
        <v>INC</v>
      </c>
      <c r="L769" s="10" t="str">
        <f t="array" ref="L769">IF(AND(G769="COMPLETE", OR(K769="INC", ISBLANK(INDEX(data!O:O, ROW())))), J769, K769)</f>
        <v>2025-09-01T20:31:21.002+08</v>
      </c>
      <c r="M769" s="2">
        <v>45901.0</v>
      </c>
      <c r="N769" s="2">
        <f t="array" ref="N769">IF(M769&lt;&gt;"INC", INDEX(data!M:M, MATCH(B769, data!D:D, 0)), "")</f>
        <v>0</v>
      </c>
      <c r="O769" s="2">
        <f t="shared" si="3"/>
        <v>0</v>
      </c>
    </row>
    <row r="770">
      <c r="A770" s="2" t="str">
        <f t="shared" si="1"/>
        <v>H019429</v>
      </c>
      <c r="B770" s="1" t="s">
        <v>2449</v>
      </c>
      <c r="C770" s="9" t="str">
        <f t="array" ref="C770">IF(
  AND(
    IFERROR(MATCH(Caseslist!B770, data!D:D, 0), 0) &gt; 0,
    IFERROR(INDEX(data!N:N, MATCH(Caseslist!B770, data!D:D, 0)) = 1, FALSE)
  ),
  "COMPLETE",
  "INC"
)</f>
        <v>COMPLETE</v>
      </c>
      <c r="D770" s="9" t="str">
        <f t="array" ref="D770">IFERROR(INDEX(data!$G:$G,match(Caseslist!B770,data!$D:$D,0)), "INC")</f>
        <v>S2671943</v>
      </c>
      <c r="E770" s="9" t="str">
        <f t="array" ref="E770">IFERROR(INDEX(data!H:H,match(Caseslist!B770,data!D:D,0)), "INC")</f>
        <v>Marvin Mondia</v>
      </c>
      <c r="F770" s="10" t="str">
        <f t="array" ref="F770">IF(
    OR(
      IFNA(INDEX(data!M:M, MATCH(Caseslist!B770, data!D:D, 0)), "") = "",
      IFNA(INDEX(data!M:M, MATCH(Caseslist!B770, data!D:D, 0)), 0) = 0
    ),
    "COMPLETE",
    IF(
      IFNA(INDEX(dataICM!D:D, MATCH(Caseslist!B770, dataICM!D:D, 0)), "INC") = "INC",
      IFNA(INDEX(dataICM!D:D, MATCH(Caseslist!B770, dataICM!D:D, 0)), "INC"),
      "COMPLETE"
    )
  )</f>
        <v>COMPLETE</v>
      </c>
      <c r="G770" s="10" t="str">
        <f t="array" ref="G770">IF(IFERROR(INDEX(data!L:L,match(Caseslist!B770,data!D:D,0)),"INC")="","COMPLETE",F770)</f>
        <v>COMPLETE</v>
      </c>
      <c r="H770" s="9" t="str">
        <f t="array" ref="H770">IFERROR(INDEX(dataICM!F:F,match(Caseslist!B770,dataICM!D:D,0)), "INC")</f>
        <v>INC</v>
      </c>
      <c r="I770" s="10" t="str">
        <f t="shared" si="2"/>
        <v>S2671943</v>
      </c>
      <c r="J770" s="9" t="str">
        <f t="array" ref="J770">IF(
  AND(
    IFERROR(MATCH(B770, data!D:D, 0), 0) &gt; 0,
    IFERROR(INDEX(data!N:N, MATCH(B770, data!D:D, 0)) = 1, FALSE)
  ),
  INDEX(data!C:C, MATCH(B770, data!D:D, 0)),
  "INC"
)</f>
        <v>2025-09-01T15:40:47.063+08</v>
      </c>
      <c r="K770" s="9" t="str">
        <f t="array" ref="K770">IFERROR(INDEX(dataICM!C:C,match(Caseslist!B770,dataICM!D:D,0)), "INC")</f>
        <v>INC</v>
      </c>
      <c r="L770" s="10" t="str">
        <f t="array" ref="L770">IF(AND(G770="COMPLETE", OR(K770="INC", ISBLANK(INDEX(data!O:O, ROW())))), J770, K770)</f>
        <v>2025-09-01T15:40:47.063+08</v>
      </c>
      <c r="M770" s="2">
        <v>45901.0</v>
      </c>
      <c r="N770" s="2">
        <f t="array" ref="N770">IF(M770&lt;&gt;"INC", INDEX(data!M:M, MATCH(B770, data!D:D, 0)), "")</f>
        <v>0</v>
      </c>
      <c r="O770" s="2">
        <f t="shared" si="3"/>
        <v>0</v>
      </c>
    </row>
    <row r="771">
      <c r="A771" s="2" t="str">
        <f t="shared" si="1"/>
        <v>H019447</v>
      </c>
      <c r="B771" s="1" t="s">
        <v>2539</v>
      </c>
      <c r="C771" s="9" t="str">
        <f t="array" ref="C771">IF(
  AND(
    IFERROR(MATCH(Caseslist!B771, data!D:D, 0), 0) &gt; 0,
    IFERROR(INDEX(data!N:N, MATCH(Caseslist!B771, data!D:D, 0)) = 1, FALSE)
  ),
  "COMPLETE",
  "INC"
)</f>
        <v>COMPLETE</v>
      </c>
      <c r="D771" s="9">
        <f t="array" ref="D771">IFERROR(INDEX(data!$G:$G,match(Caseslist!B771,data!$D:$D,0)), "INC")</f>
        <v>555127</v>
      </c>
      <c r="E771" s="9" t="str">
        <f t="array" ref="E771">IFERROR(INDEX(data!H:H,match(Caseslist!B771,data!D:D,0)), "INC")</f>
        <v>Mary May</v>
      </c>
      <c r="F771" s="10" t="str">
        <f t="array" ref="F771">IF(
    OR(
      IFNA(INDEX(data!M:M, MATCH(Caseslist!B771, data!D:D, 0)), "") = "",
      IFNA(INDEX(data!M:M, MATCH(Caseslist!B771, data!D:D, 0)), 0) = 0
    ),
    "COMPLETE",
    IF(
      IFNA(INDEX(dataICM!D:D, MATCH(Caseslist!B771, dataICM!D:D, 0)), "INC") = "INC",
      IFNA(INDEX(dataICM!D:D, MATCH(Caseslist!B771, dataICM!D:D, 0)), "INC"),
      "COMPLETE"
    )
  )</f>
        <v>COMPLETE</v>
      </c>
      <c r="G771" s="10" t="str">
        <f t="array" ref="G771">IF(IFERROR(INDEX(data!L:L,match(Caseslist!B771,data!D:D,0)),"INC")="","COMPLETE",F771)</f>
        <v>COMPLETE</v>
      </c>
      <c r="H771" s="9" t="str">
        <f t="array" ref="H771">IFERROR(INDEX(dataICM!F:F,match(Caseslist!B771,dataICM!D:D,0)), "INC")</f>
        <v>INC</v>
      </c>
      <c r="I771" s="10">
        <f t="shared" si="2"/>
        <v>555127</v>
      </c>
      <c r="J771" s="9" t="str">
        <f t="array" ref="J771">IF(
  AND(
    IFERROR(MATCH(B771, data!D:D, 0), 0) &gt; 0,
    IFERROR(INDEX(data!N:N, MATCH(B771, data!D:D, 0)) = 1, FALSE)
  ),
  INDEX(data!C:C, MATCH(B771, data!D:D, 0)),
  "INC"
)</f>
        <v>2025-09-02T12:30:16.387+08</v>
      </c>
      <c r="K771" s="9" t="str">
        <f t="array" ref="K771">IFERROR(INDEX(dataICM!C:C,match(Caseslist!B771,dataICM!D:D,0)), "INC")</f>
        <v>INC</v>
      </c>
      <c r="L771" s="10" t="str">
        <f t="array" ref="L771">IF(AND(G771="COMPLETE", OR(K771="INC", ISBLANK(INDEX(data!O:O, ROW())))), J771, K771)</f>
        <v>2025-09-02T12:30:16.387+08</v>
      </c>
      <c r="M771" s="2">
        <v>45902.0</v>
      </c>
      <c r="N771" s="2">
        <f t="array" ref="N771">IF(M771&lt;&gt;"INC", INDEX(data!M:M, MATCH(B771, data!D:D, 0)), "")</f>
        <v>0</v>
      </c>
      <c r="O771" s="2">
        <f t="shared" si="3"/>
        <v>0</v>
      </c>
    </row>
    <row r="772">
      <c r="A772" s="2" t="str">
        <f t="shared" si="1"/>
        <v>H019447</v>
      </c>
      <c r="B772" s="1" t="s">
        <v>2544</v>
      </c>
      <c r="C772" s="9" t="str">
        <f t="array" ref="C772">IF(
  AND(
    IFERROR(MATCH(Caseslist!B772, data!D:D, 0), 0) &gt; 0,
    IFERROR(INDEX(data!N:N, MATCH(Caseslist!B772, data!D:D, 0)) = 1, FALSE)
  ),
  "COMPLETE",
  "INC"
)</f>
        <v>COMPLETE</v>
      </c>
      <c r="D772" s="9">
        <f t="array" ref="D772">IFERROR(INDEX(data!$G:$G,match(Caseslist!B772,data!$D:$D,0)), "INC")</f>
        <v>555127</v>
      </c>
      <c r="E772" s="9" t="str">
        <f t="array" ref="E772">IFERROR(INDEX(data!H:H,match(Caseslist!B772,data!D:D,0)), "INC")</f>
        <v>Mary May</v>
      </c>
      <c r="F772" s="10" t="str">
        <f t="array" ref="F772">IF(
    OR(
      IFNA(INDEX(data!M:M, MATCH(Caseslist!B772, data!D:D, 0)), "") = "",
      IFNA(INDEX(data!M:M, MATCH(Caseslist!B772, data!D:D, 0)), 0) = 0
    ),
    "COMPLETE",
    IF(
      IFNA(INDEX(dataICM!D:D, MATCH(Caseslist!B772, dataICM!D:D, 0)), "INC") = "INC",
      IFNA(INDEX(dataICM!D:D, MATCH(Caseslist!B772, dataICM!D:D, 0)), "INC"),
      "COMPLETE"
    )
  )</f>
        <v>COMPLETE</v>
      </c>
      <c r="G772" s="10" t="str">
        <f t="array" ref="G772">IF(IFERROR(INDEX(data!L:L,match(Caseslist!B772,data!D:D,0)),"INC")="","COMPLETE",F772)</f>
        <v>COMPLETE</v>
      </c>
      <c r="H772" s="9" t="str">
        <f t="array" ref="H772">IFERROR(INDEX(dataICM!F:F,match(Caseslist!B772,dataICM!D:D,0)), "INC")</f>
        <v>INC</v>
      </c>
      <c r="I772" s="10">
        <f t="shared" si="2"/>
        <v>555127</v>
      </c>
      <c r="J772" s="9" t="str">
        <f t="array" ref="J772">IF(
  AND(
    IFERROR(MATCH(B772, data!D:D, 0), 0) &gt; 0,
    IFERROR(INDEX(data!N:N, MATCH(B772, data!D:D, 0)) = 1, FALSE)
  ),
  INDEX(data!C:C, MATCH(B772, data!D:D, 0)),
  "INC"
)</f>
        <v>2025-09-02T12:30:50.093+08</v>
      </c>
      <c r="K772" s="9" t="str">
        <f t="array" ref="K772">IFERROR(INDEX(dataICM!C:C,match(Caseslist!B772,dataICM!D:D,0)), "INC")</f>
        <v>INC</v>
      </c>
      <c r="L772" s="10" t="str">
        <f t="array" ref="L772">IF(AND(G772="COMPLETE", OR(K772="INC", ISBLANK(INDEX(data!O:O, ROW())))), J772, K772)</f>
        <v>2025-09-02T12:30:50.093+08</v>
      </c>
      <c r="M772" s="2">
        <v>45902.0</v>
      </c>
      <c r="N772" s="2">
        <f t="array" ref="N772">IF(M772&lt;&gt;"INC", INDEX(data!M:M, MATCH(B772, data!D:D, 0)), "")</f>
        <v>0</v>
      </c>
      <c r="O772" s="2">
        <f t="shared" si="3"/>
        <v>0</v>
      </c>
    </row>
    <row r="773">
      <c r="A773" s="2" t="str">
        <f t="shared" si="1"/>
        <v>H019447</v>
      </c>
      <c r="B773" s="1" t="s">
        <v>2605</v>
      </c>
      <c r="C773" s="9" t="str">
        <f t="array" ref="C773">IF(
  AND(
    IFERROR(MATCH(Caseslist!B773, data!D:D, 0), 0) &gt; 0,
    IFERROR(INDEX(data!N:N, MATCH(Caseslist!B773, data!D:D, 0)) = 1, FALSE)
  ),
  "COMPLETE",
  "INC"
)</f>
        <v>COMPLETE</v>
      </c>
      <c r="D773" s="9">
        <f t="array" ref="D773">IFERROR(INDEX(data!$G:$G,match(Caseslist!B773,data!$D:$D,0)), "INC")</f>
        <v>841329</v>
      </c>
      <c r="E773" s="9" t="str">
        <f t="array" ref="E773">IFERROR(INDEX(data!H:H,match(Caseslist!B773,data!D:D,0)), "INC")</f>
        <v>Aila Eli_2</v>
      </c>
      <c r="F773" s="10" t="str">
        <f t="array" ref="F773">IF(
    OR(
      IFNA(INDEX(data!M:M, MATCH(Caseslist!B773, data!D:D, 0)), "") = "",
      IFNA(INDEX(data!M:M, MATCH(Caseslist!B773, data!D:D, 0)), 0) = 0
    ),
    "COMPLETE",
    IF(
      IFNA(INDEX(dataICM!D:D, MATCH(Caseslist!B773, dataICM!D:D, 0)), "INC") = "INC",
      IFNA(INDEX(dataICM!D:D, MATCH(Caseslist!B773, dataICM!D:D, 0)), "INC"),
      "COMPLETE"
    )
  )</f>
        <v>COMPLETE</v>
      </c>
      <c r="G773" s="10" t="str">
        <f t="array" ref="G773">IF(IFERROR(INDEX(data!L:L,match(Caseslist!B773,data!D:D,0)),"INC")="","COMPLETE",F773)</f>
        <v>COMPLETE</v>
      </c>
      <c r="H773" s="9" t="str">
        <f t="array" ref="H773">IFERROR(INDEX(dataICM!F:F,match(Caseslist!B773,dataICM!D:D,0)), "INC")</f>
        <v>INC</v>
      </c>
      <c r="I773" s="10">
        <f t="shared" si="2"/>
        <v>841329</v>
      </c>
      <c r="J773" s="9" t="str">
        <f t="array" ref="J773">IF(
  AND(
    IFERROR(MATCH(B773, data!D:D, 0), 0) &gt; 0,
    IFERROR(INDEX(data!N:N, MATCH(B773, data!D:D, 0)) = 1, FALSE)
  ),
  INDEX(data!C:C, MATCH(B773, data!D:D, 0)),
  "INC"
)</f>
        <v>2025-09-02T12:39:23.026+08</v>
      </c>
      <c r="K773" s="9" t="str">
        <f t="array" ref="K773">IFERROR(INDEX(dataICM!C:C,match(Caseslist!B773,dataICM!D:D,0)), "INC")</f>
        <v>INC</v>
      </c>
      <c r="L773" s="10" t="str">
        <f t="array" ref="L773">IF(AND(G773="COMPLETE", OR(K773="INC", ISBLANK(INDEX(data!O:O, ROW())))), J773, K773)</f>
        <v>2025-09-02T12:39:23.026+08</v>
      </c>
      <c r="M773" s="2">
        <v>45902.0</v>
      </c>
      <c r="N773" s="2">
        <f t="array" ref="N773">IF(M773&lt;&gt;"INC", INDEX(data!M:M, MATCH(B773, data!D:D, 0)), "")</f>
        <v>0</v>
      </c>
      <c r="O773" s="2">
        <f t="shared" si="3"/>
        <v>0</v>
      </c>
    </row>
    <row r="774">
      <c r="A774" s="2" t="str">
        <f t="shared" si="1"/>
        <v>H019447</v>
      </c>
      <c r="B774" s="1" t="s">
        <v>2756</v>
      </c>
      <c r="C774" s="9" t="str">
        <f t="array" ref="C774">IF(
  AND(
    IFERROR(MATCH(Caseslist!B774, data!D:D, 0), 0) &gt; 0,
    IFERROR(INDEX(data!N:N, MATCH(Caseslist!B774, data!D:D, 0)) = 1, FALSE)
  ),
  "COMPLETE",
  "INC"
)</f>
        <v>COMPLETE</v>
      </c>
      <c r="D774" s="9">
        <f t="array" ref="D774">IFERROR(INDEX(data!$G:$G,match(Caseslist!B774,data!$D:$D,0)), "INC")</f>
        <v>455939</v>
      </c>
      <c r="E774" s="9" t="str">
        <f t="array" ref="E774">IFERROR(INDEX(data!H:H,match(Caseslist!B774,data!D:D,0)), "INC")</f>
        <v>Mary Jean Villaflor_2</v>
      </c>
      <c r="F774" s="10" t="str">
        <f t="array" ref="F774">IF(
    OR(
      IFNA(INDEX(data!M:M, MATCH(Caseslist!B774, data!D:D, 0)), "") = "",
      IFNA(INDEX(data!M:M, MATCH(Caseslist!B774, data!D:D, 0)), 0) = 0
    ),
    "COMPLETE",
    IF(
      IFNA(INDEX(dataICM!D:D, MATCH(Caseslist!B774, dataICM!D:D, 0)), "INC") = "INC",
      IFNA(INDEX(dataICM!D:D, MATCH(Caseslist!B774, dataICM!D:D, 0)), "INC"),
      "COMPLETE"
    )
  )</f>
        <v>COMPLETE</v>
      </c>
      <c r="G774" s="10" t="str">
        <f t="array" ref="G774">IF(IFERROR(INDEX(data!L:L,match(Caseslist!B774,data!D:D,0)),"INC")="","COMPLETE",F774)</f>
        <v>COMPLETE</v>
      </c>
      <c r="H774" s="9" t="str">
        <f t="array" ref="H774">IFERROR(INDEX(dataICM!F:F,match(Caseslist!B774,dataICM!D:D,0)), "INC")</f>
        <v>INC</v>
      </c>
      <c r="I774" s="10">
        <f t="shared" si="2"/>
        <v>455939</v>
      </c>
      <c r="J774" s="9" t="str">
        <f t="array" ref="J774">IF(
  AND(
    IFERROR(MATCH(B774, data!D:D, 0), 0) &gt; 0,
    IFERROR(INDEX(data!N:N, MATCH(B774, data!D:D, 0)) = 1, FALSE)
  ),
  INDEX(data!C:C, MATCH(B774, data!D:D, 0)),
  "INC"
)</f>
        <v>2025-09-02T12:24:27.314+08</v>
      </c>
      <c r="K774" s="9" t="str">
        <f t="array" ref="K774">IFERROR(INDEX(dataICM!C:C,match(Caseslist!B774,dataICM!D:D,0)), "INC")</f>
        <v>INC</v>
      </c>
      <c r="L774" s="10" t="str">
        <f t="array" ref="L774">IF(AND(G774="COMPLETE", OR(K774="INC", ISBLANK(INDEX(data!O:O, ROW())))), J774, K774)</f>
        <v>2025-09-02T12:24:27.314+08</v>
      </c>
      <c r="M774" s="2">
        <v>45902.0</v>
      </c>
      <c r="N774" s="2">
        <f t="array" ref="N774">IF(M774&lt;&gt;"INC", INDEX(data!M:M, MATCH(B774, data!D:D, 0)), "")</f>
        <v>0</v>
      </c>
      <c r="O774" s="2">
        <f t="shared" si="3"/>
        <v>0</v>
      </c>
    </row>
    <row r="775">
      <c r="A775" s="2" t="str">
        <f t="shared" si="1"/>
        <v>H019447</v>
      </c>
      <c r="B775" s="1" t="s">
        <v>2615</v>
      </c>
      <c r="C775" s="9" t="str">
        <f t="array" ref="C775">IF(
  AND(
    IFERROR(MATCH(Caseslist!B775, data!D:D, 0), 0) &gt; 0,
    IFERROR(INDEX(data!N:N, MATCH(Caseslist!B775, data!D:D, 0)) = 1, FALSE)
  ),
  "COMPLETE",
  "INC"
)</f>
        <v>COMPLETE</v>
      </c>
      <c r="D775" s="9">
        <f t="array" ref="D775">IFERROR(INDEX(data!$G:$G,match(Caseslist!B775,data!$D:$D,0)), "INC")</f>
        <v>841329</v>
      </c>
      <c r="E775" s="9" t="str">
        <f t="array" ref="E775">IFERROR(INDEX(data!H:H,match(Caseslist!B775,data!D:D,0)), "INC")</f>
        <v>Aila Eli_2</v>
      </c>
      <c r="F775" s="10" t="str">
        <f t="array" ref="F775">IF(
    OR(
      IFNA(INDEX(data!M:M, MATCH(Caseslist!B775, data!D:D, 0)), "") = "",
      IFNA(INDEX(data!M:M, MATCH(Caseslist!B775, data!D:D, 0)), 0) = 0
    ),
    "COMPLETE",
    IF(
      IFNA(INDEX(dataICM!D:D, MATCH(Caseslist!B775, dataICM!D:D, 0)), "INC") = "INC",
      IFNA(INDEX(dataICM!D:D, MATCH(Caseslist!B775, dataICM!D:D, 0)), "INC"),
      "COMPLETE"
    )
  )</f>
        <v>COMPLETE</v>
      </c>
      <c r="G775" s="10" t="str">
        <f t="array" ref="G775">IF(IFERROR(INDEX(data!L:L,match(Caseslist!B775,data!D:D,0)),"INC")="","COMPLETE",F775)</f>
        <v>COMPLETE</v>
      </c>
      <c r="H775" s="9" t="str">
        <f t="array" ref="H775">IFERROR(INDEX(dataICM!F:F,match(Caseslist!B775,dataICM!D:D,0)), "INC")</f>
        <v>INC</v>
      </c>
      <c r="I775" s="10">
        <f t="shared" si="2"/>
        <v>841329</v>
      </c>
      <c r="J775" s="9" t="str">
        <f t="array" ref="J775">IF(
  AND(
    IFERROR(MATCH(B775, data!D:D, 0), 0) &gt; 0,
    IFERROR(INDEX(data!N:N, MATCH(B775, data!D:D, 0)) = 1, FALSE)
  ),
  INDEX(data!C:C, MATCH(B775, data!D:D, 0)),
  "INC"
)</f>
        <v>2025-09-02T09:53:38.004+08</v>
      </c>
      <c r="K775" s="9" t="str">
        <f t="array" ref="K775">IFERROR(INDEX(dataICM!C:C,match(Caseslist!B775,dataICM!D:D,0)), "INC")</f>
        <v>INC</v>
      </c>
      <c r="L775" s="10" t="str">
        <f t="array" ref="L775">IF(AND(G775="COMPLETE", OR(K775="INC", ISBLANK(INDEX(data!O:O, ROW())))), J775, K775)</f>
        <v>2025-09-02T09:53:38.004+08</v>
      </c>
      <c r="M775" s="2">
        <v>45902.0</v>
      </c>
      <c r="N775" s="2">
        <f t="array" ref="N775">IF(M775&lt;&gt;"INC", INDEX(data!M:M, MATCH(B775, data!D:D, 0)), "")</f>
        <v>0</v>
      </c>
      <c r="O775" s="2">
        <f t="shared" si="3"/>
        <v>0</v>
      </c>
    </row>
    <row r="776">
      <c r="A776" s="2" t="str">
        <f t="shared" si="1"/>
        <v>H019447</v>
      </c>
      <c r="B776" s="1" t="s">
        <v>2745</v>
      </c>
      <c r="C776" s="9" t="str">
        <f t="array" ref="C776">IF(
  AND(
    IFERROR(MATCH(Caseslist!B776, data!D:D, 0), 0) &gt; 0,
    IFERROR(INDEX(data!N:N, MATCH(Caseslist!B776, data!D:D, 0)) = 1, FALSE)
  ),
  "COMPLETE",
  "INC"
)</f>
        <v>COMPLETE</v>
      </c>
      <c r="D776" s="9">
        <f t="array" ref="D776">IFERROR(INDEX(data!$G:$G,match(Caseslist!B776,data!$D:$D,0)), "INC")</f>
        <v>455939</v>
      </c>
      <c r="E776" s="9" t="str">
        <f t="array" ref="E776">IFERROR(INDEX(data!H:H,match(Caseslist!B776,data!D:D,0)), "INC")</f>
        <v>Mary Jean Villaflor_2</v>
      </c>
      <c r="F776" s="10" t="str">
        <f t="array" ref="F776">IF(
    OR(
      IFNA(INDEX(data!M:M, MATCH(Caseslist!B776, data!D:D, 0)), "") = "",
      IFNA(INDEX(data!M:M, MATCH(Caseslist!B776, data!D:D, 0)), 0) = 0
    ),
    "COMPLETE",
    IF(
      IFNA(INDEX(dataICM!D:D, MATCH(Caseslist!B776, dataICM!D:D, 0)), "INC") = "INC",
      IFNA(INDEX(dataICM!D:D, MATCH(Caseslist!B776, dataICM!D:D, 0)), "INC"),
      "COMPLETE"
    )
  )</f>
        <v>COMPLETE</v>
      </c>
      <c r="G776" s="10" t="str">
        <f t="array" ref="G776">IF(IFERROR(INDEX(data!L:L,match(Caseslist!B776,data!D:D,0)),"INC")="","COMPLETE",F776)</f>
        <v>COMPLETE</v>
      </c>
      <c r="H776" s="9" t="str">
        <f t="array" ref="H776">IFERROR(INDEX(dataICM!F:F,match(Caseslist!B776,dataICM!D:D,0)), "INC")</f>
        <v>INC</v>
      </c>
      <c r="I776" s="10">
        <f t="shared" si="2"/>
        <v>455939</v>
      </c>
      <c r="J776" s="9" t="str">
        <f t="array" ref="J776">IF(
  AND(
    IFERROR(MATCH(B776, data!D:D, 0), 0) &gt; 0,
    IFERROR(INDEX(data!N:N, MATCH(B776, data!D:D, 0)) = 1, FALSE)
  ),
  INDEX(data!C:C, MATCH(B776, data!D:D, 0)),
  "INC"
)</f>
        <v>2025-09-02T09:31:37.667+08</v>
      </c>
      <c r="K776" s="9" t="str">
        <f t="array" ref="K776">IFERROR(INDEX(dataICM!C:C,match(Caseslist!B776,dataICM!D:D,0)), "INC")</f>
        <v>INC</v>
      </c>
      <c r="L776" s="10" t="str">
        <f t="array" ref="L776">IF(AND(G776="COMPLETE", OR(K776="INC", ISBLANK(INDEX(data!O:O, ROW())))), J776, K776)</f>
        <v>2025-09-02T09:31:37.667+08</v>
      </c>
      <c r="M776" s="2">
        <v>45902.0</v>
      </c>
      <c r="N776" s="2">
        <f t="array" ref="N776">IF(M776&lt;&gt;"INC", INDEX(data!M:M, MATCH(B776, data!D:D, 0)), "")</f>
        <v>0</v>
      </c>
      <c r="O776" s="2">
        <f t="shared" si="3"/>
        <v>0</v>
      </c>
    </row>
    <row r="777">
      <c r="A777" s="2" t="str">
        <f t="shared" si="1"/>
        <v>H019447</v>
      </c>
      <c r="B777" s="1" t="s">
        <v>2554</v>
      </c>
      <c r="C777" s="9" t="str">
        <f t="array" ref="C777">IF(
  AND(
    IFERROR(MATCH(Caseslist!B777, data!D:D, 0), 0) &gt; 0,
    IFERROR(INDEX(data!N:N, MATCH(Caseslist!B777, data!D:D, 0)) = 1, FALSE)
  ),
  "COMPLETE",
  "INC"
)</f>
        <v>COMPLETE</v>
      </c>
      <c r="D777" s="9">
        <f t="array" ref="D777">IFERROR(INDEX(data!$G:$G,match(Caseslist!B777,data!$D:$D,0)), "INC")</f>
        <v>555127</v>
      </c>
      <c r="E777" s="9" t="str">
        <f t="array" ref="E777">IFERROR(INDEX(data!H:H,match(Caseslist!B777,data!D:D,0)), "INC")</f>
        <v>Mary May</v>
      </c>
      <c r="F777" s="10" t="str">
        <f t="array" ref="F777">IF(
    OR(
      IFNA(INDEX(data!M:M, MATCH(Caseslist!B777, data!D:D, 0)), "") = "",
      IFNA(INDEX(data!M:M, MATCH(Caseslist!B777, data!D:D, 0)), 0) = 0
    ),
    "COMPLETE",
    IF(
      IFNA(INDEX(dataICM!D:D, MATCH(Caseslist!B777, dataICM!D:D, 0)), "INC") = "INC",
      IFNA(INDEX(dataICM!D:D, MATCH(Caseslist!B777, dataICM!D:D, 0)), "INC"),
      "COMPLETE"
    )
  )</f>
        <v>COMPLETE</v>
      </c>
      <c r="G777" s="10" t="str">
        <f t="array" ref="G777">IF(IFERROR(INDEX(data!L:L,match(Caseslist!B777,data!D:D,0)),"INC")="","COMPLETE",F777)</f>
        <v>COMPLETE</v>
      </c>
      <c r="H777" s="9" t="str">
        <f t="array" ref="H777">IFERROR(INDEX(dataICM!F:F,match(Caseslist!B777,dataICM!D:D,0)), "INC")</f>
        <v>INC</v>
      </c>
      <c r="I777" s="10">
        <f t="shared" si="2"/>
        <v>555127</v>
      </c>
      <c r="J777" s="9" t="str">
        <f t="array" ref="J777">IF(
  AND(
    IFERROR(MATCH(B777, data!D:D, 0), 0) &gt; 0,
    IFERROR(INDEX(data!N:N, MATCH(B777, data!D:D, 0)) = 1, FALSE)
  ),
  INDEX(data!C:C, MATCH(B777, data!D:D, 0)),
  "INC"
)</f>
        <v>2025-09-02T17:27:10.673+08</v>
      </c>
      <c r="K777" s="9" t="str">
        <f t="array" ref="K777">IFERROR(INDEX(dataICM!C:C,match(Caseslist!B777,dataICM!D:D,0)), "INC")</f>
        <v>INC</v>
      </c>
      <c r="L777" s="10" t="str">
        <f t="array" ref="L777">IF(AND(G777="COMPLETE", OR(K777="INC", ISBLANK(INDEX(data!O:O, ROW())))), J777, K777)</f>
        <v>2025-09-02T17:27:10.673+08</v>
      </c>
      <c r="M777" s="2">
        <v>45902.0</v>
      </c>
      <c r="N777" s="2">
        <f t="array" ref="N777">IF(M777&lt;&gt;"INC", INDEX(data!M:M, MATCH(B777, data!D:D, 0)), "")</f>
        <v>0</v>
      </c>
      <c r="O777" s="2">
        <f t="shared" si="3"/>
        <v>0</v>
      </c>
    </row>
    <row r="778">
      <c r="A778" s="2" t="str">
        <f t="shared" si="1"/>
        <v>H019447</v>
      </c>
      <c r="B778" s="1" t="s">
        <v>2610</v>
      </c>
      <c r="C778" s="9" t="str">
        <f t="array" ref="C778">IF(
  AND(
    IFERROR(MATCH(Caseslist!B778, data!D:D, 0), 0) &gt; 0,
    IFERROR(INDEX(data!N:N, MATCH(Caseslist!B778, data!D:D, 0)) = 1, FALSE)
  ),
  "COMPLETE",
  "INC"
)</f>
        <v>COMPLETE</v>
      </c>
      <c r="D778" s="9">
        <f t="array" ref="D778">IFERROR(INDEX(data!$G:$G,match(Caseslist!B778,data!$D:$D,0)), "INC")</f>
        <v>841329</v>
      </c>
      <c r="E778" s="9" t="str">
        <f t="array" ref="E778">IFERROR(INDEX(data!H:H,match(Caseslist!B778,data!D:D,0)), "INC")</f>
        <v>Aila Eli_2</v>
      </c>
      <c r="F778" s="10" t="str">
        <f t="array" ref="F778">IF(
    OR(
      IFNA(INDEX(data!M:M, MATCH(Caseslist!B778, data!D:D, 0)), "") = "",
      IFNA(INDEX(data!M:M, MATCH(Caseslist!B778, data!D:D, 0)), 0) = 0
    ),
    "COMPLETE",
    IF(
      IFNA(INDEX(dataICM!D:D, MATCH(Caseslist!B778, dataICM!D:D, 0)), "INC") = "INC",
      IFNA(INDEX(dataICM!D:D, MATCH(Caseslist!B778, dataICM!D:D, 0)), "INC"),
      "COMPLETE"
    )
  )</f>
        <v>COMPLETE</v>
      </c>
      <c r="G778" s="10" t="str">
        <f t="array" ref="G778">IF(IFERROR(INDEX(data!L:L,match(Caseslist!B778,data!D:D,0)),"INC")="","COMPLETE",F778)</f>
        <v>COMPLETE</v>
      </c>
      <c r="H778" s="9" t="str">
        <f t="array" ref="H778">IFERROR(INDEX(dataICM!F:F,match(Caseslist!B778,dataICM!D:D,0)), "INC")</f>
        <v>INC</v>
      </c>
      <c r="I778" s="10">
        <f t="shared" si="2"/>
        <v>841329</v>
      </c>
      <c r="J778" s="9" t="str">
        <f t="array" ref="J778">IF(
  AND(
    IFERROR(MATCH(B778, data!D:D, 0), 0) &gt; 0,
    IFERROR(INDEX(data!N:N, MATCH(B778, data!D:D, 0)) = 1, FALSE)
  ),
  INDEX(data!C:C, MATCH(B778, data!D:D, 0)),
  "INC"
)</f>
        <v>2025-09-02T14:47:26.335+08</v>
      </c>
      <c r="K778" s="9" t="str">
        <f t="array" ref="K778">IFERROR(INDEX(dataICM!C:C,match(Caseslist!B778,dataICM!D:D,0)), "INC")</f>
        <v>INC</v>
      </c>
      <c r="L778" s="10" t="str">
        <f t="array" ref="L778">IF(AND(G778="COMPLETE", OR(K778="INC", ISBLANK(INDEX(data!O:O, ROW())))), J778, K778)</f>
        <v>2025-09-02T14:47:26.335+08</v>
      </c>
      <c r="M778" s="2">
        <v>45902.0</v>
      </c>
      <c r="N778" s="2">
        <f t="array" ref="N778">IF(M778&lt;&gt;"INC", INDEX(data!M:M, MATCH(B778, data!D:D, 0)), "")</f>
        <v>0</v>
      </c>
      <c r="O778" s="2">
        <f t="shared" si="3"/>
        <v>0</v>
      </c>
    </row>
    <row r="779">
      <c r="A779" s="2" t="str">
        <f t="shared" si="1"/>
        <v>H019447</v>
      </c>
      <c r="B779" s="1" t="s">
        <v>2751</v>
      </c>
      <c r="C779" s="9" t="str">
        <f t="array" ref="C779">IF(
  AND(
    IFERROR(MATCH(Caseslist!B779, data!D:D, 0), 0) &gt; 0,
    IFERROR(INDEX(data!N:N, MATCH(Caseslist!B779, data!D:D, 0)) = 1, FALSE)
  ),
  "COMPLETE",
  "INC"
)</f>
        <v>COMPLETE</v>
      </c>
      <c r="D779" s="9">
        <f t="array" ref="D779">IFERROR(INDEX(data!$G:$G,match(Caseslist!B779,data!$D:$D,0)), "INC")</f>
        <v>455939</v>
      </c>
      <c r="E779" s="9" t="str">
        <f t="array" ref="E779">IFERROR(INDEX(data!H:H,match(Caseslist!B779,data!D:D,0)), "INC")</f>
        <v>Mary Jean Villaflor_2</v>
      </c>
      <c r="F779" s="10" t="str">
        <f t="array" ref="F779">IF(
    OR(
      IFNA(INDEX(data!M:M, MATCH(Caseslist!B779, data!D:D, 0)), "") = "",
      IFNA(INDEX(data!M:M, MATCH(Caseslist!B779, data!D:D, 0)), 0) = 0
    ),
    "COMPLETE",
    IF(
      IFNA(INDEX(dataICM!D:D, MATCH(Caseslist!B779, dataICM!D:D, 0)), "INC") = "INC",
      IFNA(INDEX(dataICM!D:D, MATCH(Caseslist!B779, dataICM!D:D, 0)), "INC"),
      "COMPLETE"
    )
  )</f>
        <v>COMPLETE</v>
      </c>
      <c r="G779" s="10" t="str">
        <f t="array" ref="G779">IF(IFERROR(INDEX(data!L:L,match(Caseslist!B779,data!D:D,0)),"INC")="","COMPLETE",F779)</f>
        <v>COMPLETE</v>
      </c>
      <c r="H779" s="9" t="str">
        <f t="array" ref="H779">IFERROR(INDEX(dataICM!F:F,match(Caseslist!B779,dataICM!D:D,0)), "INC")</f>
        <v>INC</v>
      </c>
      <c r="I779" s="10">
        <f t="shared" si="2"/>
        <v>455939</v>
      </c>
      <c r="J779" s="9" t="str">
        <f t="array" ref="J779">IF(
  AND(
    IFERROR(MATCH(B779, data!D:D, 0), 0) &gt; 0,
    IFERROR(INDEX(data!N:N, MATCH(B779, data!D:D, 0)) = 1, FALSE)
  ),
  INDEX(data!C:C, MATCH(B779, data!D:D, 0)),
  "INC"
)</f>
        <v>2025-09-02T11:00:38.209+08</v>
      </c>
      <c r="K779" s="9" t="str">
        <f t="array" ref="K779">IFERROR(INDEX(dataICM!C:C,match(Caseslist!B779,dataICM!D:D,0)), "INC")</f>
        <v>INC</v>
      </c>
      <c r="L779" s="10" t="str">
        <f t="array" ref="L779">IF(AND(G779="COMPLETE", OR(K779="INC", ISBLANK(INDEX(data!O:O, ROW())))), J779, K779)</f>
        <v>2025-09-02T11:00:38.209+08</v>
      </c>
      <c r="M779" s="2">
        <v>45902.0</v>
      </c>
      <c r="N779" s="2">
        <f t="array" ref="N779">IF(M779&lt;&gt;"INC", INDEX(data!M:M, MATCH(B779, data!D:D, 0)), "")</f>
        <v>0</v>
      </c>
      <c r="O779" s="2">
        <f t="shared" si="3"/>
        <v>0</v>
      </c>
    </row>
    <row r="780">
      <c r="A780" s="2" t="str">
        <f t="shared" si="1"/>
        <v>H019447</v>
      </c>
      <c r="B780" s="1" t="s">
        <v>2559</v>
      </c>
      <c r="C780" s="9" t="str">
        <f t="array" ref="C780">IF(
  AND(
    IFERROR(MATCH(Caseslist!B780, data!D:D, 0), 0) &gt; 0,
    IFERROR(INDEX(data!N:N, MATCH(Caseslist!B780, data!D:D, 0)) = 1, FALSE)
  ),
  "COMPLETE",
  "INC"
)</f>
        <v>COMPLETE</v>
      </c>
      <c r="D780" s="9">
        <f t="array" ref="D780">IFERROR(INDEX(data!$G:$G,match(Caseslist!B780,data!$D:$D,0)), "INC")</f>
        <v>555127</v>
      </c>
      <c r="E780" s="9" t="str">
        <f t="array" ref="E780">IFERROR(INDEX(data!H:H,match(Caseslist!B780,data!D:D,0)), "INC")</f>
        <v>Mary May</v>
      </c>
      <c r="F780" s="10" t="str">
        <f t="array" ref="F780">IF(
    OR(
      IFNA(INDEX(data!M:M, MATCH(Caseslist!B780, data!D:D, 0)), "") = "",
      IFNA(INDEX(data!M:M, MATCH(Caseslist!B780, data!D:D, 0)), 0) = 0
    ),
    "COMPLETE",
    IF(
      IFNA(INDEX(dataICM!D:D, MATCH(Caseslist!B780, dataICM!D:D, 0)), "INC") = "INC",
      IFNA(INDEX(dataICM!D:D, MATCH(Caseslist!B780, dataICM!D:D, 0)), "INC"),
      "COMPLETE"
    )
  )</f>
        <v>COMPLETE</v>
      </c>
      <c r="G780" s="10" t="str">
        <f t="array" ref="G780">IF(IFERROR(INDEX(data!L:L,match(Caseslist!B780,data!D:D,0)),"INC")="","COMPLETE",F780)</f>
        <v>COMPLETE</v>
      </c>
      <c r="H780" s="9" t="str">
        <f t="array" ref="H780">IFERROR(INDEX(dataICM!F:F,match(Caseslist!B780,dataICM!D:D,0)), "INC")</f>
        <v>INC</v>
      </c>
      <c r="I780" s="10">
        <f t="shared" si="2"/>
        <v>555127</v>
      </c>
      <c r="J780" s="9" t="str">
        <f t="array" ref="J780">IF(
  AND(
    IFERROR(MATCH(B780, data!D:D, 0), 0) &gt; 0,
    IFERROR(INDEX(data!N:N, MATCH(B780, data!D:D, 0)) = 1, FALSE)
  ),
  INDEX(data!C:C, MATCH(B780, data!D:D, 0)),
  "INC"
)</f>
        <v>2025-09-02T13:17:22.588+08</v>
      </c>
      <c r="K780" s="9" t="str">
        <f t="array" ref="K780">IFERROR(INDEX(dataICM!C:C,match(Caseslist!B780,dataICM!D:D,0)), "INC")</f>
        <v>INC</v>
      </c>
      <c r="L780" s="10" t="str">
        <f t="array" ref="L780">IF(AND(G780="COMPLETE", OR(K780="INC", ISBLANK(INDEX(data!O:O, ROW())))), J780, K780)</f>
        <v>2025-09-02T13:17:22.588+08</v>
      </c>
      <c r="M780" s="2">
        <v>45902.0</v>
      </c>
      <c r="N780" s="2">
        <f t="array" ref="N780">IF(M780&lt;&gt;"INC", INDEX(data!M:M, MATCH(B780, data!D:D, 0)), "")</f>
        <v>0</v>
      </c>
      <c r="O780" s="2">
        <f t="shared" si="3"/>
        <v>0</v>
      </c>
    </row>
    <row r="781">
      <c r="A781" s="2" t="str">
        <f t="shared" si="1"/>
        <v>H019447</v>
      </c>
      <c r="B781" s="1" t="s">
        <v>8743</v>
      </c>
      <c r="C781" s="9" t="str">
        <f t="array" ref="C781">IF(
  AND(
    IFERROR(MATCH(Caseslist!B781, data!D:D, 0), 0) &gt; 0,
    IFERROR(INDEX(data!N:N, MATCH(Caseslist!B781, data!D:D, 0)) = 1, FALSE)
  ),
  "COMPLETE",
  "INC"
)</f>
        <v>COMPLETE</v>
      </c>
      <c r="D781" s="9">
        <f t="array" ref="D781">IFERROR(INDEX(data!$G:$G,match(Caseslist!B781,data!$D:$D,0)), "INC")</f>
        <v>555127</v>
      </c>
      <c r="E781" s="9" t="str">
        <f t="array" ref="E781">IFERROR(INDEX(data!H:H,match(Caseslist!B781,data!D:D,0)), "INC")</f>
        <v>Mary May_2</v>
      </c>
      <c r="F781" s="10" t="str">
        <f t="array" ref="F781">IF(
    OR(
      IFNA(INDEX(data!M:M, MATCH(Caseslist!B781, data!D:D, 0)), "") = "",
      IFNA(INDEX(data!M:M, MATCH(Caseslist!B781, data!D:D, 0)), 0) = 0
    ),
    "COMPLETE",
    IF(
      IFNA(INDEX(dataICM!D:D, MATCH(Caseslist!B781, dataICM!D:D, 0)), "INC") = "INC",
      IFNA(INDEX(dataICM!D:D, MATCH(Caseslist!B781, dataICM!D:D, 0)), "INC"),
      "COMPLETE"
    )
  )</f>
        <v>COMPLETE</v>
      </c>
      <c r="G781" s="10" t="str">
        <f t="array" ref="G781">IF(IFERROR(INDEX(data!L:L,match(Caseslist!B781,data!D:D,0)),"INC")="","COMPLETE",F781)</f>
        <v>COMPLETE</v>
      </c>
      <c r="H781" s="9" t="str">
        <f t="array" ref="H781">IFERROR(INDEX(dataICM!F:F,match(Caseslist!B781,dataICM!D:D,0)), "INC")</f>
        <v>INC</v>
      </c>
      <c r="I781" s="10">
        <f t="shared" si="2"/>
        <v>555127</v>
      </c>
      <c r="J781" s="9" t="str">
        <f t="array" ref="J781">IF(
  AND(
    IFERROR(MATCH(B781, data!D:D, 0), 0) &gt; 0,
    IFERROR(INDEX(data!N:N, MATCH(B781, data!D:D, 0)) = 1, FALSE)
  ),
  INDEX(data!C:C, MATCH(B781, data!D:D, 0)),
  "INC"
)</f>
        <v>2025-09-29T10:25:29.353+08</v>
      </c>
      <c r="K781" s="9" t="str">
        <f t="array" ref="K781">IFERROR(INDEX(dataICM!C:C,match(Caseslist!B781,dataICM!D:D,0)), "INC")</f>
        <v>INC</v>
      </c>
      <c r="L781" s="10" t="str">
        <f t="array" ref="L781">IF(AND(G781="COMPLETE", OR(K781="INC", ISBLANK(INDEX(data!O:O, ROW())))), J781, K781)</f>
        <v>2025-09-29T10:25:29.353+08</v>
      </c>
      <c r="M781" s="2">
        <v>45929.0</v>
      </c>
      <c r="N781" s="2">
        <f t="array" ref="N781">IF(M781&lt;&gt;"INC", INDEX(data!M:M, MATCH(B781, data!D:D, 0)), "")</f>
        <v>0</v>
      </c>
      <c r="O781" s="2">
        <f t="shared" si="3"/>
        <v>0</v>
      </c>
    </row>
    <row r="782">
      <c r="A782" s="2" t="str">
        <f t="shared" si="1"/>
        <v>H019447</v>
      </c>
      <c r="B782" s="1" t="s">
        <v>2761</v>
      </c>
      <c r="C782" s="9" t="str">
        <f t="array" ref="C782">IF(
  AND(
    IFERROR(MATCH(Caseslist!B782, data!D:D, 0), 0) &gt; 0,
    IFERROR(INDEX(data!N:N, MATCH(Caseslist!B782, data!D:D, 0)) = 1, FALSE)
  ),
  "COMPLETE",
  "INC"
)</f>
        <v>COMPLETE</v>
      </c>
      <c r="D782" s="9">
        <f t="array" ref="D782">IFERROR(INDEX(data!$G:$G,match(Caseslist!B782,data!$D:$D,0)), "INC")</f>
        <v>455939</v>
      </c>
      <c r="E782" s="9" t="str">
        <f t="array" ref="E782">IFERROR(INDEX(data!H:H,match(Caseslist!B782,data!D:D,0)), "INC")</f>
        <v>Mary Jean Villaflor_2</v>
      </c>
      <c r="F782" s="10" t="str">
        <f t="array" ref="F782">IF(
    OR(
      IFNA(INDEX(data!M:M, MATCH(Caseslist!B782, data!D:D, 0)), "") = "",
      IFNA(INDEX(data!M:M, MATCH(Caseslist!B782, data!D:D, 0)), 0) = 0
    ),
    "COMPLETE",
    IF(
      IFNA(INDEX(dataICM!D:D, MATCH(Caseslist!B782, dataICM!D:D, 0)), "INC") = "INC",
      IFNA(INDEX(dataICM!D:D, MATCH(Caseslist!B782, dataICM!D:D, 0)), "INC"),
      "COMPLETE"
    )
  )</f>
        <v>COMPLETE</v>
      </c>
      <c r="G782" s="10" t="str">
        <f t="array" ref="G782">IF(IFERROR(INDEX(data!L:L,match(Caseslist!B782,data!D:D,0)),"INC")="","COMPLETE",F782)</f>
        <v>COMPLETE</v>
      </c>
      <c r="H782" s="9" t="str">
        <f t="array" ref="H782">IFERROR(INDEX(dataICM!F:F,match(Caseslist!B782,dataICM!D:D,0)), "INC")</f>
        <v>INC</v>
      </c>
      <c r="I782" s="10">
        <f t="shared" si="2"/>
        <v>455939</v>
      </c>
      <c r="J782" s="9" t="str">
        <f t="array" ref="J782">IF(
  AND(
    IFERROR(MATCH(B782, data!D:D, 0), 0) &gt; 0,
    IFERROR(INDEX(data!N:N, MATCH(B782, data!D:D, 0)) = 1, FALSE)
  ),
  INDEX(data!C:C, MATCH(B782, data!D:D, 0)),
  "INC"
)</f>
        <v>2025-09-02T11:42:16.136+08</v>
      </c>
      <c r="K782" s="9" t="str">
        <f t="array" ref="K782">IFERROR(INDEX(dataICM!C:C,match(Caseslist!B782,dataICM!D:D,0)), "INC")</f>
        <v>INC</v>
      </c>
      <c r="L782" s="10" t="str">
        <f t="array" ref="L782">IF(AND(G782="COMPLETE", OR(K782="INC", ISBLANK(INDEX(data!O:O, ROW())))), J782, K782)</f>
        <v>2025-09-02T11:42:16.136+08</v>
      </c>
      <c r="M782" s="2">
        <v>45902.0</v>
      </c>
      <c r="N782" s="2">
        <f t="array" ref="N782">IF(M782&lt;&gt;"INC", INDEX(data!M:M, MATCH(B782, data!D:D, 0)), "")</f>
        <v>0</v>
      </c>
      <c r="O782" s="2">
        <f t="shared" si="3"/>
        <v>0</v>
      </c>
    </row>
    <row r="783">
      <c r="A783" s="2" t="str">
        <f t="shared" si="1"/>
        <v>H019447</v>
      </c>
      <c r="B783" s="1" t="s">
        <v>2766</v>
      </c>
      <c r="C783" s="9" t="str">
        <f t="array" ref="C783">IF(
  AND(
    IFERROR(MATCH(Caseslist!B783, data!D:D, 0), 0) &gt; 0,
    IFERROR(INDEX(data!N:N, MATCH(Caseslist!B783, data!D:D, 0)) = 1, FALSE)
  ),
  "COMPLETE",
  "INC"
)</f>
        <v>COMPLETE</v>
      </c>
      <c r="D783" s="9">
        <f t="array" ref="D783">IFERROR(INDEX(data!$G:$G,match(Caseslist!B783,data!$D:$D,0)), "INC")</f>
        <v>455939</v>
      </c>
      <c r="E783" s="9" t="str">
        <f t="array" ref="E783">IFERROR(INDEX(data!H:H,match(Caseslist!B783,data!D:D,0)), "INC")</f>
        <v>Mary Jean Villaflor_2</v>
      </c>
      <c r="F783" s="10" t="str">
        <f t="array" ref="F783">IF(
    OR(
      IFNA(INDEX(data!M:M, MATCH(Caseslist!B783, data!D:D, 0)), "") = "",
      IFNA(INDEX(data!M:M, MATCH(Caseslist!B783, data!D:D, 0)), 0) = 0
    ),
    "COMPLETE",
    IF(
      IFNA(INDEX(dataICM!D:D, MATCH(Caseslist!B783, dataICM!D:D, 0)), "INC") = "INC",
      IFNA(INDEX(dataICM!D:D, MATCH(Caseslist!B783, dataICM!D:D, 0)), "INC"),
      "COMPLETE"
    )
  )</f>
        <v>COMPLETE</v>
      </c>
      <c r="G783" s="10" t="str">
        <f t="array" ref="G783">IF(IFERROR(INDEX(data!L:L,match(Caseslist!B783,data!D:D,0)),"INC")="","COMPLETE",F783)</f>
        <v>COMPLETE</v>
      </c>
      <c r="H783" s="9" t="str">
        <f t="array" ref="H783">IFERROR(INDEX(dataICM!F:F,match(Caseslist!B783,dataICM!D:D,0)), "INC")</f>
        <v>INC</v>
      </c>
      <c r="I783" s="10">
        <f t="shared" si="2"/>
        <v>455939</v>
      </c>
      <c r="J783" s="9" t="str">
        <f t="array" ref="J783">IF(
  AND(
    IFERROR(MATCH(B783, data!D:D, 0), 0) &gt; 0,
    IFERROR(INDEX(data!N:N, MATCH(B783, data!D:D, 0)) = 1, FALSE)
  ),
  INDEX(data!C:C, MATCH(B783, data!D:D, 0)),
  "INC"
)</f>
        <v>2025-09-02T15:21:59.930+08</v>
      </c>
      <c r="K783" s="9" t="str">
        <f t="array" ref="K783">IFERROR(INDEX(dataICM!C:C,match(Caseslist!B783,dataICM!D:D,0)), "INC")</f>
        <v>INC</v>
      </c>
      <c r="L783" s="10" t="str">
        <f t="array" ref="L783">IF(AND(G783="COMPLETE", OR(K783="INC", ISBLANK(INDEX(data!O:O, ROW())))), J783, K783)</f>
        <v>2025-09-02T15:21:59.930+08</v>
      </c>
      <c r="M783" s="2">
        <v>45902.0</v>
      </c>
      <c r="N783" s="2">
        <f t="array" ref="N783">IF(M783&lt;&gt;"INC", INDEX(data!M:M, MATCH(B783, data!D:D, 0)), "")</f>
        <v>0</v>
      </c>
      <c r="O783" s="2">
        <f t="shared" si="3"/>
        <v>0</v>
      </c>
    </row>
    <row r="784">
      <c r="A784" s="2" t="str">
        <f t="shared" si="1"/>
        <v>H019447</v>
      </c>
      <c r="B784" s="1" t="s">
        <v>2600</v>
      </c>
      <c r="C784" s="9" t="str">
        <f t="array" ref="C784">IF(
  AND(
    IFERROR(MATCH(Caseslist!B784, data!D:D, 0), 0) &gt; 0,
    IFERROR(INDEX(data!N:N, MATCH(Caseslist!B784, data!D:D, 0)) = 1, FALSE)
  ),
  "COMPLETE",
  "INC"
)</f>
        <v>COMPLETE</v>
      </c>
      <c r="D784" s="9">
        <f t="array" ref="D784">IFERROR(INDEX(data!$G:$G,match(Caseslist!B784,data!$D:$D,0)), "INC")</f>
        <v>841329</v>
      </c>
      <c r="E784" s="9" t="str">
        <f t="array" ref="E784">IFERROR(INDEX(data!H:H,match(Caseslist!B784,data!D:D,0)), "INC")</f>
        <v>Aila Eli_2</v>
      </c>
      <c r="F784" s="10" t="str">
        <f t="array" ref="F784">IF(
    OR(
      IFNA(INDEX(data!M:M, MATCH(Caseslist!B784, data!D:D, 0)), "") = "",
      IFNA(INDEX(data!M:M, MATCH(Caseslist!B784, data!D:D, 0)), 0) = 0
    ),
    "COMPLETE",
    IF(
      IFNA(INDEX(dataICM!D:D, MATCH(Caseslist!B784, dataICM!D:D, 0)), "INC") = "INC",
      IFNA(INDEX(dataICM!D:D, MATCH(Caseslist!B784, dataICM!D:D, 0)), "INC"),
      "COMPLETE"
    )
  )</f>
        <v>COMPLETE</v>
      </c>
      <c r="G784" s="10" t="str">
        <f t="array" ref="G784">IF(IFERROR(INDEX(data!L:L,match(Caseslist!B784,data!D:D,0)),"INC")="","COMPLETE",F784)</f>
        <v>COMPLETE</v>
      </c>
      <c r="H784" s="9" t="str">
        <f t="array" ref="H784">IFERROR(INDEX(dataICM!F:F,match(Caseslist!B784,dataICM!D:D,0)), "INC")</f>
        <v>INC</v>
      </c>
      <c r="I784" s="10">
        <f t="shared" si="2"/>
        <v>841329</v>
      </c>
      <c r="J784" s="9" t="str">
        <f t="array" ref="J784">IF(
  AND(
    IFERROR(MATCH(B784, data!D:D, 0), 0) &gt; 0,
    IFERROR(INDEX(data!N:N, MATCH(B784, data!D:D, 0)) = 1, FALSE)
  ),
  INDEX(data!C:C, MATCH(B784, data!D:D, 0)),
  "INC"
)</f>
        <v>2025-09-02T10:53:52.044+08</v>
      </c>
      <c r="K784" s="9" t="str">
        <f t="array" ref="K784">IFERROR(INDEX(dataICM!C:C,match(Caseslist!B784,dataICM!D:D,0)), "INC")</f>
        <v>INC</v>
      </c>
      <c r="L784" s="10" t="str">
        <f t="array" ref="L784">IF(AND(G784="COMPLETE", OR(K784="INC", ISBLANK(INDEX(data!O:O, ROW())))), J784, K784)</f>
        <v>2025-09-02T10:53:52.044+08</v>
      </c>
      <c r="M784" s="2">
        <v>45902.0</v>
      </c>
      <c r="N784" s="2">
        <f t="array" ref="N784">IF(M784&lt;&gt;"INC", INDEX(data!M:M, MATCH(B784, data!D:D, 0)), "")</f>
        <v>0</v>
      </c>
      <c r="O784" s="2">
        <f t="shared" si="3"/>
        <v>0</v>
      </c>
    </row>
    <row r="785">
      <c r="A785" s="2" t="str">
        <f t="shared" si="1"/>
        <v>H019447</v>
      </c>
      <c r="B785" s="1" t="s">
        <v>2549</v>
      </c>
      <c r="C785" s="9" t="str">
        <f t="array" ref="C785">IF(
  AND(
    IFERROR(MATCH(Caseslist!B785, data!D:D, 0), 0) &gt; 0,
    IFERROR(INDEX(data!N:N, MATCH(Caseslist!B785, data!D:D, 0)) = 1, FALSE)
  ),
  "COMPLETE",
  "INC"
)</f>
        <v>COMPLETE</v>
      </c>
      <c r="D785" s="9">
        <f t="array" ref="D785">IFERROR(INDEX(data!$G:$G,match(Caseslist!B785,data!$D:$D,0)), "INC")</f>
        <v>555127</v>
      </c>
      <c r="E785" s="9" t="str">
        <f t="array" ref="E785">IFERROR(INDEX(data!H:H,match(Caseslist!B785,data!D:D,0)), "INC")</f>
        <v>Mary May</v>
      </c>
      <c r="F785" s="10" t="str">
        <f t="array" ref="F785">IF(
    OR(
      IFNA(INDEX(data!M:M, MATCH(Caseslist!B785, data!D:D, 0)), "") = "",
      IFNA(INDEX(data!M:M, MATCH(Caseslist!B785, data!D:D, 0)), 0) = 0
    ),
    "COMPLETE",
    IF(
      IFNA(INDEX(dataICM!D:D, MATCH(Caseslist!B785, dataICM!D:D, 0)), "INC") = "INC",
      IFNA(INDEX(dataICM!D:D, MATCH(Caseslist!B785, dataICM!D:D, 0)), "INC"),
      "COMPLETE"
    )
  )</f>
        <v>COMPLETE</v>
      </c>
      <c r="G785" s="10" t="str">
        <f t="array" ref="G785">IF(IFERROR(INDEX(data!L:L,match(Caseslist!B785,data!D:D,0)),"INC")="","COMPLETE",F785)</f>
        <v>COMPLETE</v>
      </c>
      <c r="H785" s="9" t="str">
        <f t="array" ref="H785">IFERROR(INDEX(dataICM!F:F,match(Caseslist!B785,dataICM!D:D,0)), "INC")</f>
        <v>INC</v>
      </c>
      <c r="I785" s="10">
        <f t="shared" si="2"/>
        <v>555127</v>
      </c>
      <c r="J785" s="9" t="str">
        <f t="array" ref="J785">IF(
  AND(
    IFERROR(MATCH(B785, data!D:D, 0), 0) &gt; 0,
    IFERROR(INDEX(data!N:N, MATCH(B785, data!D:D, 0)) = 1, FALSE)
  ),
  INDEX(data!C:C, MATCH(B785, data!D:D, 0)),
  "INC"
)</f>
        <v>2025-09-02T17:20:05.874+08</v>
      </c>
      <c r="K785" s="9" t="str">
        <f t="array" ref="K785">IFERROR(INDEX(dataICM!C:C,match(Caseslist!B785,dataICM!D:D,0)), "INC")</f>
        <v>INC</v>
      </c>
      <c r="L785" s="10" t="str">
        <f t="array" ref="L785">IF(AND(G785="COMPLETE", OR(K785="INC", ISBLANK(INDEX(data!O:O, ROW())))), J785, K785)</f>
        <v>2025-09-02T17:20:05.874+08</v>
      </c>
      <c r="M785" s="2">
        <v>45902.0</v>
      </c>
      <c r="N785" s="2">
        <f t="array" ref="N785">IF(M785&lt;&gt;"INC", INDEX(data!M:M, MATCH(B785, data!D:D, 0)), "")</f>
        <v>0</v>
      </c>
      <c r="O785" s="2">
        <f t="shared" si="3"/>
        <v>0</v>
      </c>
    </row>
    <row r="786">
      <c r="A786" s="2" t="str">
        <f t="shared" si="1"/>
        <v>H019499</v>
      </c>
      <c r="B786" s="1" t="s">
        <v>3982</v>
      </c>
      <c r="C786" s="9" t="str">
        <f t="array" ref="C786">IF(
  AND(
    IFERROR(MATCH(Caseslist!B786, data!D:D, 0), 0) &gt; 0,
    IFERROR(INDEX(data!N:N, MATCH(Caseslist!B786, data!D:D, 0)) = 1, FALSE)
  ),
  "COMPLETE",
  "INC"
)</f>
        <v>COMPLETE</v>
      </c>
      <c r="D786" s="9">
        <f t="array" ref="D786">IFERROR(INDEX(data!$G:$G,match(Caseslist!B786,data!$D:$D,0)), "INC")</f>
        <v>841329</v>
      </c>
      <c r="E786" s="9" t="str">
        <f t="array" ref="E786">IFERROR(INDEX(data!H:H,match(Caseslist!B786,data!D:D,0)), "INC")</f>
        <v>Aila Eli_2</v>
      </c>
      <c r="F786" s="10" t="str">
        <f t="array" ref="F786">IF(
    OR(
      IFNA(INDEX(data!M:M, MATCH(Caseslist!B786, data!D:D, 0)), "") = "",
      IFNA(INDEX(data!M:M, MATCH(Caseslist!B786, data!D:D, 0)), 0) = 0
    ),
    "COMPLETE",
    IF(
      IFNA(INDEX(dataICM!D:D, MATCH(Caseslist!B786, dataICM!D:D, 0)), "INC") = "INC",
      IFNA(INDEX(dataICM!D:D, MATCH(Caseslist!B786, dataICM!D:D, 0)), "INC"),
      "COMPLETE"
    )
  )</f>
        <v>COMPLETE</v>
      </c>
      <c r="G786" s="10" t="str">
        <f t="array" ref="G786">IF(IFERROR(INDEX(data!L:L,match(Caseslist!B786,data!D:D,0)),"INC")="","COMPLETE",F786)</f>
        <v>COMPLETE</v>
      </c>
      <c r="H786" s="9" t="str">
        <f t="array" ref="H786">IFERROR(INDEX(dataICM!F:F,match(Caseslist!B786,dataICM!D:D,0)), "INC")</f>
        <v>Aila Eli_2</v>
      </c>
      <c r="I786" s="10">
        <f t="shared" si="2"/>
        <v>841329</v>
      </c>
      <c r="J786" s="9" t="str">
        <f t="array" ref="J786">IF(
  AND(
    IFERROR(MATCH(B786, data!D:D, 0), 0) &gt; 0,
    IFERROR(INDEX(data!N:N, MATCH(B786, data!D:D, 0)) = 1, FALSE)
  ),
  INDEX(data!C:C, MATCH(B786, data!D:D, 0)),
  "INC"
)</f>
        <v>2025-09-06T14:19:41.595+08</v>
      </c>
      <c r="K786" s="9" t="str">
        <f t="array" ref="K786">IFERROR(INDEX(dataICM!C:C,match(Caseslist!B786,dataICM!D:D,0)), "INC")</f>
        <v>2025-09-06T14:23:27.573+08</v>
      </c>
      <c r="L786" s="10" t="str">
        <f t="array" ref="L786">IF(AND(G786="COMPLETE", OR(K786="INC", ISBLANK(INDEX(data!O:O, ROW())))), J786, K786)</f>
        <v>2025-09-06T14:23:27.573+08</v>
      </c>
      <c r="M786" s="2">
        <v>45906.0</v>
      </c>
      <c r="N786" s="2">
        <f t="array" ref="N786">IF(M786&lt;&gt;"INC", INDEX(data!M:M, MATCH(B786, data!D:D, 0)), "")</f>
        <v>1</v>
      </c>
      <c r="O786" s="2">
        <f t="shared" si="3"/>
        <v>1</v>
      </c>
    </row>
    <row r="787">
      <c r="A787" s="2" t="str">
        <f t="shared" si="1"/>
        <v>H019499</v>
      </c>
      <c r="B787" s="1" t="s">
        <v>3792</v>
      </c>
      <c r="C787" s="9" t="str">
        <f t="array" ref="C787">IF(
  AND(
    IFERROR(MATCH(Caseslist!B787, data!D:D, 0), 0) &gt; 0,
    IFERROR(INDEX(data!N:N, MATCH(Caseslist!B787, data!D:D, 0)) = 1, FALSE)
  ),
  "COMPLETE",
  "INC"
)</f>
        <v>COMPLETE</v>
      </c>
      <c r="D787" s="9">
        <f t="array" ref="D787">IFERROR(INDEX(data!$G:$G,match(Caseslist!B787,data!$D:$D,0)), "INC")</f>
        <v>841329</v>
      </c>
      <c r="E787" s="9" t="str">
        <f t="array" ref="E787">IFERROR(INDEX(data!H:H,match(Caseslist!B787,data!D:D,0)), "INC")</f>
        <v>Aila Eli_2</v>
      </c>
      <c r="F787" s="10" t="str">
        <f t="array" ref="F787">IF(
    OR(
      IFNA(INDEX(data!M:M, MATCH(Caseslist!B787, data!D:D, 0)), "") = "",
      IFNA(INDEX(data!M:M, MATCH(Caseslist!B787, data!D:D, 0)), 0) = 0
    ),
    "COMPLETE",
    IF(
      IFNA(INDEX(dataICM!D:D, MATCH(Caseslist!B787, dataICM!D:D, 0)), "INC") = "INC",
      IFNA(INDEX(dataICM!D:D, MATCH(Caseslist!B787, dataICM!D:D, 0)), "INC"),
      "COMPLETE"
    )
  )</f>
        <v>COMPLETE</v>
      </c>
      <c r="G787" s="10" t="str">
        <f t="array" ref="G787">IF(IFERROR(INDEX(data!L:L,match(Caseslist!B787,data!D:D,0)),"INC")="","COMPLETE",F787)</f>
        <v>COMPLETE</v>
      </c>
      <c r="H787" s="9" t="str">
        <f t="array" ref="H787">IFERROR(INDEX(dataICM!F:F,match(Caseslist!B787,dataICM!D:D,0)), "INC")</f>
        <v>Aila Eli_2</v>
      </c>
      <c r="I787" s="10">
        <f t="shared" si="2"/>
        <v>841329</v>
      </c>
      <c r="J787" s="9" t="str">
        <f t="array" ref="J787">IF(
  AND(
    IFERROR(MATCH(B787, data!D:D, 0), 0) &gt; 0,
    IFERROR(INDEX(data!N:N, MATCH(B787, data!D:D, 0)) = 1, FALSE)
  ),
  INDEX(data!C:C, MATCH(B787, data!D:D, 0)),
  "INC"
)</f>
        <v>2025-09-05T12:36:43.912+08</v>
      </c>
      <c r="K787" s="9" t="str">
        <f t="array" ref="K787">IFERROR(INDEX(dataICM!C:C,match(Caseslist!B787,dataICM!D:D,0)), "INC")</f>
        <v>2025-09-05T12:43:57.444+08</v>
      </c>
      <c r="L787" s="10" t="str">
        <f t="array" ref="L787">IF(AND(G787="COMPLETE", OR(K787="INC", ISBLANK(INDEX(data!O:O, ROW())))), J787, K787)</f>
        <v>2025-09-05T12:43:57.444+08</v>
      </c>
      <c r="M787" s="2">
        <v>45905.0</v>
      </c>
      <c r="N787" s="2">
        <f t="array" ref="N787">IF(M787&lt;&gt;"INC", INDEX(data!M:M, MATCH(B787, data!D:D, 0)), "")</f>
        <v>1</v>
      </c>
      <c r="O787" s="2">
        <f t="shared" si="3"/>
        <v>1</v>
      </c>
    </row>
    <row r="788">
      <c r="A788" s="2" t="str">
        <f t="shared" si="1"/>
        <v>H019499</v>
      </c>
      <c r="B788" s="1" t="s">
        <v>4127</v>
      </c>
      <c r="C788" s="9" t="str">
        <f t="array" ref="C788">IF(
  AND(
    IFERROR(MATCH(Caseslist!B788, data!D:D, 0), 0) &gt; 0,
    IFERROR(INDEX(data!N:N, MATCH(Caseslist!B788, data!D:D, 0)) = 1, FALSE)
  ),
  "COMPLETE",
  "INC"
)</f>
        <v>COMPLETE</v>
      </c>
      <c r="D788" s="9">
        <f t="array" ref="D788">IFERROR(INDEX(data!$G:$G,match(Caseslist!B788,data!$D:$D,0)), "INC")</f>
        <v>455939</v>
      </c>
      <c r="E788" s="9" t="str">
        <f t="array" ref="E788">IFERROR(INDEX(data!H:H,match(Caseslist!B788,data!D:D,0)), "INC")</f>
        <v>Mary Jean Villaflor_2</v>
      </c>
      <c r="F788" s="10" t="str">
        <f t="array" ref="F788">IF(
    OR(
      IFNA(INDEX(data!M:M, MATCH(Caseslist!B788, data!D:D, 0)), "") = "",
      IFNA(INDEX(data!M:M, MATCH(Caseslist!B788, data!D:D, 0)), 0) = 0
    ),
    "COMPLETE",
    IF(
      IFNA(INDEX(dataICM!D:D, MATCH(Caseslist!B788, dataICM!D:D, 0)), "INC") = "INC",
      IFNA(INDEX(dataICM!D:D, MATCH(Caseslist!B788, dataICM!D:D, 0)), "INC"),
      "COMPLETE"
    )
  )</f>
        <v>COMPLETE</v>
      </c>
      <c r="G788" s="10" t="str">
        <f t="array" ref="G788">IF(IFERROR(INDEX(data!L:L,match(Caseslist!B788,data!D:D,0)),"INC")="","COMPLETE",F788)</f>
        <v>COMPLETE</v>
      </c>
      <c r="H788" s="9" t="str">
        <f t="array" ref="H788">IFERROR(INDEX(dataICM!F:F,match(Caseslist!B788,dataICM!D:D,0)), "INC")</f>
        <v>Mary Jean Villaflor_2</v>
      </c>
      <c r="I788" s="10">
        <f t="shared" si="2"/>
        <v>455939</v>
      </c>
      <c r="J788" s="9" t="str">
        <f t="array" ref="J788">IF(
  AND(
    IFERROR(MATCH(B788, data!D:D, 0), 0) &gt; 0,
    IFERROR(INDEX(data!N:N, MATCH(B788, data!D:D, 0)) = 1, FALSE)
  ),
  INDEX(data!C:C, MATCH(B788, data!D:D, 0)),
  "INC"
)</f>
        <v>2025-09-06T14:58:07.417+08</v>
      </c>
      <c r="K788" s="9" t="str">
        <f t="array" ref="K788">IFERROR(INDEX(dataICM!C:C,match(Caseslist!B788,dataICM!D:D,0)), "INC")</f>
        <v>2025-09-06T15:07:32.459+08</v>
      </c>
      <c r="L788" s="10" t="str">
        <f t="array" ref="L788">IF(AND(G788="COMPLETE", OR(K788="INC", ISBLANK(INDEX(data!O:O, ROW())))), J788, K788)</f>
        <v>2025-09-06T15:07:32.459+08</v>
      </c>
      <c r="M788" s="2">
        <v>45906.0</v>
      </c>
      <c r="N788" s="2">
        <f t="array" ref="N788">IF(M788&lt;&gt;"INC", INDEX(data!M:M, MATCH(B788, data!D:D, 0)), "")</f>
        <v>1</v>
      </c>
      <c r="O788" s="2">
        <f t="shared" si="3"/>
        <v>1</v>
      </c>
    </row>
    <row r="789">
      <c r="A789" s="2" t="str">
        <f t="shared" si="1"/>
        <v>H019499</v>
      </c>
      <c r="B789" s="1" t="s">
        <v>4002</v>
      </c>
      <c r="C789" s="9" t="str">
        <f t="array" ref="C789">IF(
  AND(
    IFERROR(MATCH(Caseslist!B789, data!D:D, 0), 0) &gt; 0,
    IFERROR(INDEX(data!N:N, MATCH(Caseslist!B789, data!D:D, 0)) = 1, FALSE)
  ),
  "COMPLETE",
  "INC"
)</f>
        <v>COMPLETE</v>
      </c>
      <c r="D789" s="9">
        <f t="array" ref="D789">IFERROR(INDEX(data!$G:$G,match(Caseslist!B789,data!$D:$D,0)), "INC")</f>
        <v>555127</v>
      </c>
      <c r="E789" s="9" t="str">
        <f t="array" ref="E789">IFERROR(INDEX(data!H:H,match(Caseslist!B789,data!D:D,0)), "INC")</f>
        <v>Mary May_2</v>
      </c>
      <c r="F789" s="10" t="str">
        <f t="array" ref="F789">IF(
    OR(
      IFNA(INDEX(data!M:M, MATCH(Caseslist!B789, data!D:D, 0)), "") = "",
      IFNA(INDEX(data!M:M, MATCH(Caseslist!B789, data!D:D, 0)), 0) = 0
    ),
    "COMPLETE",
    IF(
      IFNA(INDEX(dataICM!D:D, MATCH(Caseslist!B789, dataICM!D:D, 0)), "INC") = "INC",
      IFNA(INDEX(dataICM!D:D, MATCH(Caseslist!B789, dataICM!D:D, 0)), "INC"),
      "COMPLETE"
    )
  )</f>
        <v>COMPLETE</v>
      </c>
      <c r="G789" s="10" t="str">
        <f t="array" ref="G789">IF(IFERROR(INDEX(data!L:L,match(Caseslist!B789,data!D:D,0)),"INC")="","COMPLETE",F789)</f>
        <v>COMPLETE</v>
      </c>
      <c r="H789" s="9" t="str">
        <f t="array" ref="H789">IFERROR(INDEX(dataICM!F:F,match(Caseslist!B789,dataICM!D:D,0)), "INC")</f>
        <v>Mary May_2</v>
      </c>
      <c r="I789" s="10">
        <f t="shared" si="2"/>
        <v>555127</v>
      </c>
      <c r="J789" s="9" t="str">
        <f t="array" ref="J789">IF(
  AND(
    IFERROR(MATCH(B789, data!D:D, 0), 0) &gt; 0,
    IFERROR(INDEX(data!N:N, MATCH(B789, data!D:D, 0)) = 1, FALSE)
  ),
  INDEX(data!C:C, MATCH(B789, data!D:D, 0)),
  "INC"
)</f>
        <v>2025-09-05T14:49:03.274+08</v>
      </c>
      <c r="K789" s="9" t="str">
        <f t="array" ref="K789">IFERROR(INDEX(dataICM!C:C,match(Caseslist!B789,dataICM!D:D,0)), "INC")</f>
        <v>2025-09-05T15:02:52.937+08</v>
      </c>
      <c r="L789" s="10" t="str">
        <f t="array" ref="L789">IF(AND(G789="COMPLETE", OR(K789="INC", ISBLANK(INDEX(data!O:O, ROW())))), J789, K789)</f>
        <v>2025-09-05T15:02:52.937+08</v>
      </c>
      <c r="M789" s="2">
        <v>45905.0</v>
      </c>
      <c r="N789" s="2">
        <f t="array" ref="N789">IF(M789&lt;&gt;"INC", INDEX(data!M:M, MATCH(B789, data!D:D, 0)), "")</f>
        <v>1</v>
      </c>
      <c r="O789" s="2">
        <f t="shared" si="3"/>
        <v>1</v>
      </c>
    </row>
    <row r="790">
      <c r="A790" s="2" t="str">
        <f t="shared" si="1"/>
        <v>H019499</v>
      </c>
      <c r="B790" s="1" t="s">
        <v>3832</v>
      </c>
      <c r="C790" s="9" t="str">
        <f t="array" ref="C790">IF(
  AND(
    IFERROR(MATCH(Caseslist!B790, data!D:D, 0), 0) &gt; 0,
    IFERROR(INDEX(data!N:N, MATCH(Caseslist!B790, data!D:D, 0)) = 1, FALSE)
  ),
  "COMPLETE",
  "INC"
)</f>
        <v>COMPLETE</v>
      </c>
      <c r="D790" s="9">
        <f t="array" ref="D790">IFERROR(INDEX(data!$G:$G,match(Caseslist!B790,data!$D:$D,0)), "INC")</f>
        <v>455939</v>
      </c>
      <c r="E790" s="9" t="str">
        <f t="array" ref="E790">IFERROR(INDEX(data!H:H,match(Caseslist!B790,data!D:D,0)), "INC")</f>
        <v>Mary Jean Villaflor_2</v>
      </c>
      <c r="F790" s="10" t="str">
        <f t="array" ref="F790">IF(
    OR(
      IFNA(INDEX(data!M:M, MATCH(Caseslist!B790, data!D:D, 0)), "") = "",
      IFNA(INDEX(data!M:M, MATCH(Caseslist!B790, data!D:D, 0)), 0) = 0
    ),
    "COMPLETE",
    IF(
      IFNA(INDEX(dataICM!D:D, MATCH(Caseslist!B790, dataICM!D:D, 0)), "INC") = "INC",
      IFNA(INDEX(dataICM!D:D, MATCH(Caseslist!B790, dataICM!D:D, 0)), "INC"),
      "COMPLETE"
    )
  )</f>
        <v>COMPLETE</v>
      </c>
      <c r="G790" s="10" t="str">
        <f t="array" ref="G790">IF(IFERROR(INDEX(data!L:L,match(Caseslist!B790,data!D:D,0)),"INC")="","COMPLETE",F790)</f>
        <v>COMPLETE</v>
      </c>
      <c r="H790" s="9" t="str">
        <f t="array" ref="H790">IFERROR(INDEX(dataICM!F:F,match(Caseslist!B790,dataICM!D:D,0)), "INC")</f>
        <v>Mary Jean Villaflor_2</v>
      </c>
      <c r="I790" s="10">
        <f t="shared" si="2"/>
        <v>455939</v>
      </c>
      <c r="J790" s="9" t="str">
        <f t="array" ref="J790">IF(
  AND(
    IFERROR(MATCH(B790, data!D:D, 0), 0) &gt; 0,
    IFERROR(INDEX(data!N:N, MATCH(B790, data!D:D, 0)) = 1, FALSE)
  ),
  INDEX(data!C:C, MATCH(B790, data!D:D, 0)),
  "INC"
)</f>
        <v>2025-09-05T13:35:04.036+08</v>
      </c>
      <c r="K790" s="9" t="str">
        <f t="array" ref="K790">IFERROR(INDEX(dataICM!C:C,match(Caseslist!B790,dataICM!D:D,0)), "INC")</f>
        <v>2025-09-05T13:41:41.386+08</v>
      </c>
      <c r="L790" s="10" t="str">
        <f t="array" ref="L790">IF(AND(G790="COMPLETE", OR(K790="INC", ISBLANK(INDEX(data!O:O, ROW())))), J790, K790)</f>
        <v>2025-09-05T13:41:41.386+08</v>
      </c>
      <c r="M790" s="2">
        <v>45905.0</v>
      </c>
      <c r="N790" s="2">
        <f t="array" ref="N790">IF(M790&lt;&gt;"INC", INDEX(data!M:M, MATCH(B790, data!D:D, 0)), "")</f>
        <v>1</v>
      </c>
      <c r="O790" s="2">
        <f t="shared" si="3"/>
        <v>1</v>
      </c>
    </row>
    <row r="791">
      <c r="A791" s="2" t="str">
        <f t="shared" si="1"/>
        <v>H019499</v>
      </c>
      <c r="B791" s="1" t="s">
        <v>3997</v>
      </c>
      <c r="C791" s="9" t="str">
        <f t="array" ref="C791">IF(
  AND(
    IFERROR(MATCH(Caseslist!B791, data!D:D, 0), 0) &gt; 0,
    IFERROR(INDEX(data!N:N, MATCH(Caseslist!B791, data!D:D, 0)) = 1, FALSE)
  ),
  "COMPLETE",
  "INC"
)</f>
        <v>COMPLETE</v>
      </c>
      <c r="D791" s="9">
        <f t="array" ref="D791">IFERROR(INDEX(data!$G:$G,match(Caseslist!B791,data!$D:$D,0)), "INC")</f>
        <v>555127</v>
      </c>
      <c r="E791" s="9" t="str">
        <f t="array" ref="E791">IFERROR(INDEX(data!H:H,match(Caseslist!B791,data!D:D,0)), "INC")</f>
        <v>Mary May_2</v>
      </c>
      <c r="F791" s="10" t="str">
        <f t="array" ref="F791">IF(
    OR(
      IFNA(INDEX(data!M:M, MATCH(Caseslist!B791, data!D:D, 0)), "") = "",
      IFNA(INDEX(data!M:M, MATCH(Caseslist!B791, data!D:D, 0)), 0) = 0
    ),
    "COMPLETE",
    IF(
      IFNA(INDEX(dataICM!D:D, MATCH(Caseslist!B791, dataICM!D:D, 0)), "INC") = "INC",
      IFNA(INDEX(dataICM!D:D, MATCH(Caseslist!B791, dataICM!D:D, 0)), "INC"),
      "COMPLETE"
    )
  )</f>
        <v>COMPLETE</v>
      </c>
      <c r="G791" s="10" t="str">
        <f t="array" ref="G791">IF(IFERROR(INDEX(data!L:L,match(Caseslist!B791,data!D:D,0)),"INC")="","COMPLETE",F791)</f>
        <v>COMPLETE</v>
      </c>
      <c r="H791" s="9" t="str">
        <f t="array" ref="H791">IFERROR(INDEX(dataICM!F:F,match(Caseslist!B791,dataICM!D:D,0)), "INC")</f>
        <v>Mary May_2</v>
      </c>
      <c r="I791" s="10">
        <f t="shared" si="2"/>
        <v>555127</v>
      </c>
      <c r="J791" s="9" t="str">
        <f t="array" ref="J791">IF(
  AND(
    IFERROR(MATCH(B791, data!D:D, 0), 0) &gt; 0,
    IFERROR(INDEX(data!N:N, MATCH(B791, data!D:D, 0)) = 1, FALSE)
  ),
  INDEX(data!C:C, MATCH(B791, data!D:D, 0)),
  "INC"
)</f>
        <v>2025-09-05T13:36:27.509+08</v>
      </c>
      <c r="K791" s="9" t="str">
        <f t="array" ref="K791">IFERROR(INDEX(dataICM!C:C,match(Caseslist!B791,dataICM!D:D,0)), "INC")</f>
        <v>2025-09-05T13:48:53.527+08</v>
      </c>
      <c r="L791" s="10" t="str">
        <f t="array" ref="L791">IF(AND(G791="COMPLETE", OR(K791="INC", ISBLANK(INDEX(data!O:O, ROW())))), J791, K791)</f>
        <v>2025-09-05T13:48:53.527+08</v>
      </c>
      <c r="M791" s="2">
        <v>45905.0</v>
      </c>
      <c r="N791" s="2">
        <f t="array" ref="N791">IF(M791&lt;&gt;"INC", INDEX(data!M:M, MATCH(B791, data!D:D, 0)), "")</f>
        <v>1</v>
      </c>
      <c r="O791" s="2">
        <f t="shared" si="3"/>
        <v>1</v>
      </c>
    </row>
    <row r="792">
      <c r="A792" s="2" t="str">
        <f t="shared" si="1"/>
        <v>H019499</v>
      </c>
      <c r="B792" s="1" t="s">
        <v>3827</v>
      </c>
      <c r="C792" s="9" t="str">
        <f t="array" ref="C792">IF(
  AND(
    IFERROR(MATCH(Caseslist!B792, data!D:D, 0), 0) &gt; 0,
    IFERROR(INDEX(data!N:N, MATCH(Caseslist!B792, data!D:D, 0)) = 1, FALSE)
  ),
  "COMPLETE",
  "INC"
)</f>
        <v>COMPLETE</v>
      </c>
      <c r="D792" s="9">
        <f t="array" ref="D792">IFERROR(INDEX(data!$G:$G,match(Caseslist!B792,data!$D:$D,0)), "INC")</f>
        <v>455939</v>
      </c>
      <c r="E792" s="9" t="str">
        <f t="array" ref="E792">IFERROR(INDEX(data!H:H,match(Caseslist!B792,data!D:D,0)), "INC")</f>
        <v>Mary Jean Villaflor_2</v>
      </c>
      <c r="F792" s="10" t="str">
        <f t="array" ref="F792">IF(
    OR(
      IFNA(INDEX(data!M:M, MATCH(Caseslist!B792, data!D:D, 0)), "") = "",
      IFNA(INDEX(data!M:M, MATCH(Caseslist!B792, data!D:D, 0)), 0) = 0
    ),
    "COMPLETE",
    IF(
      IFNA(INDEX(dataICM!D:D, MATCH(Caseslist!B792, dataICM!D:D, 0)), "INC") = "INC",
      IFNA(INDEX(dataICM!D:D, MATCH(Caseslist!B792, dataICM!D:D, 0)), "INC"),
      "COMPLETE"
    )
  )</f>
        <v>COMPLETE</v>
      </c>
      <c r="G792" s="10" t="str">
        <f t="array" ref="G792">IF(IFERROR(INDEX(data!L:L,match(Caseslist!B792,data!D:D,0)),"INC")="","COMPLETE",F792)</f>
        <v>COMPLETE</v>
      </c>
      <c r="H792" s="9" t="str">
        <f t="array" ref="H792">IFERROR(INDEX(dataICM!F:F,match(Caseslist!B792,dataICM!D:D,0)), "INC")</f>
        <v>Mary Jean Villaflor_2</v>
      </c>
      <c r="I792" s="10">
        <f t="shared" si="2"/>
        <v>455939</v>
      </c>
      <c r="J792" s="9" t="str">
        <f t="array" ref="J792">IF(
  AND(
    IFERROR(MATCH(B792, data!D:D, 0), 0) &gt; 0,
    IFERROR(INDEX(data!N:N, MATCH(B792, data!D:D, 0)) = 1, FALSE)
  ),
  INDEX(data!C:C, MATCH(B792, data!D:D, 0)),
  "INC"
)</f>
        <v>2025-09-05T12:34:22.022+08</v>
      </c>
      <c r="K792" s="9" t="str">
        <f t="array" ref="K792">IFERROR(INDEX(dataICM!C:C,match(Caseslist!B792,dataICM!D:D,0)), "INC")</f>
        <v>2025-09-05T12:41:14.944+08</v>
      </c>
      <c r="L792" s="10" t="str">
        <f t="array" ref="L792">IF(AND(G792="COMPLETE", OR(K792="INC", ISBLANK(INDEX(data!O:O, ROW())))), J792, K792)</f>
        <v>2025-09-05T12:41:14.944+08</v>
      </c>
      <c r="M792" s="2">
        <v>45905.0</v>
      </c>
      <c r="N792" s="2">
        <f t="array" ref="N792">IF(M792&lt;&gt;"INC", INDEX(data!M:M, MATCH(B792, data!D:D, 0)), "")</f>
        <v>1</v>
      </c>
      <c r="O792" s="2">
        <f t="shared" si="3"/>
        <v>1</v>
      </c>
    </row>
    <row r="793">
      <c r="A793" s="2" t="str">
        <f t="shared" si="1"/>
        <v>H019499</v>
      </c>
      <c r="B793" s="1" t="s">
        <v>3822</v>
      </c>
      <c r="C793" s="9" t="str">
        <f t="array" ref="C793">IF(
  AND(
    IFERROR(MATCH(Caseslist!B793, data!D:D, 0), 0) &gt; 0,
    IFERROR(INDEX(data!N:N, MATCH(Caseslist!B793, data!D:D, 0)) = 1, FALSE)
  ),
  "COMPLETE",
  "INC"
)</f>
        <v>COMPLETE</v>
      </c>
      <c r="D793" s="9">
        <f t="array" ref="D793">IFERROR(INDEX(data!$G:$G,match(Caseslist!B793,data!$D:$D,0)), "INC")</f>
        <v>455939</v>
      </c>
      <c r="E793" s="9" t="str">
        <f t="array" ref="E793">IFERROR(INDEX(data!H:H,match(Caseslist!B793,data!D:D,0)), "INC")</f>
        <v>Mary Jean Villaflor_2</v>
      </c>
      <c r="F793" s="10" t="str">
        <f t="array" ref="F793">IF(
    OR(
      IFNA(INDEX(data!M:M, MATCH(Caseslist!B793, data!D:D, 0)), "") = "",
      IFNA(INDEX(data!M:M, MATCH(Caseslist!B793, data!D:D, 0)), 0) = 0
    ),
    "COMPLETE",
    IF(
      IFNA(INDEX(dataICM!D:D, MATCH(Caseslist!B793, dataICM!D:D, 0)), "INC") = "INC",
      IFNA(INDEX(dataICM!D:D, MATCH(Caseslist!B793, dataICM!D:D, 0)), "INC"),
      "COMPLETE"
    )
  )</f>
        <v>COMPLETE</v>
      </c>
      <c r="G793" s="10" t="str">
        <f t="array" ref="G793">IF(IFERROR(INDEX(data!L:L,match(Caseslist!B793,data!D:D,0)),"INC")="","COMPLETE",F793)</f>
        <v>COMPLETE</v>
      </c>
      <c r="H793" s="9" t="str">
        <f t="array" ref="H793">IFERROR(INDEX(dataICM!F:F,match(Caseslist!B793,dataICM!D:D,0)), "INC")</f>
        <v>Mary Jean Villaflor_2</v>
      </c>
      <c r="I793" s="10">
        <f t="shared" si="2"/>
        <v>455939</v>
      </c>
      <c r="J793" s="9" t="str">
        <f t="array" ref="J793">IF(
  AND(
    IFERROR(MATCH(B793, data!D:D, 0), 0) &gt; 0,
    IFERROR(INDEX(data!N:N, MATCH(B793, data!D:D, 0)) = 1, FALSE)
  ),
  INDEX(data!C:C, MATCH(B793, data!D:D, 0)),
  "INC"
)</f>
        <v>2025-09-05T11:51:02.824+08</v>
      </c>
      <c r="K793" s="9" t="str">
        <f t="array" ref="K793">IFERROR(INDEX(dataICM!C:C,match(Caseslist!B793,dataICM!D:D,0)), "INC")</f>
        <v>2025-09-05T11:53:54.387+08</v>
      </c>
      <c r="L793" s="10" t="str">
        <f t="array" ref="L793">IF(AND(G793="COMPLETE", OR(K793="INC", ISBLANK(INDEX(data!O:O, ROW())))), J793, K793)</f>
        <v>2025-09-05T11:53:54.387+08</v>
      </c>
      <c r="M793" s="2">
        <v>45905.0</v>
      </c>
      <c r="N793" s="2">
        <f t="array" ref="N793">IF(M793&lt;&gt;"INC", INDEX(data!M:M, MATCH(B793, data!D:D, 0)), "")</f>
        <v>1</v>
      </c>
      <c r="O793" s="2">
        <f t="shared" si="3"/>
        <v>1</v>
      </c>
    </row>
    <row r="794">
      <c r="A794" s="2" t="str">
        <f t="shared" si="1"/>
        <v>H019499</v>
      </c>
      <c r="B794" s="1" t="s">
        <v>3837</v>
      </c>
      <c r="C794" s="9" t="str">
        <f t="array" ref="C794">IF(
  AND(
    IFERROR(MATCH(Caseslist!B794, data!D:D, 0), 0) &gt; 0,
    IFERROR(INDEX(data!N:N, MATCH(Caseslist!B794, data!D:D, 0)) = 1, FALSE)
  ),
  "COMPLETE",
  "INC"
)</f>
        <v>COMPLETE</v>
      </c>
      <c r="D794" s="9">
        <f t="array" ref="D794">IFERROR(INDEX(data!$G:$G,match(Caseslist!B794,data!$D:$D,0)), "INC")</f>
        <v>455939</v>
      </c>
      <c r="E794" s="9" t="str">
        <f t="array" ref="E794">IFERROR(INDEX(data!H:H,match(Caseslist!B794,data!D:D,0)), "INC")</f>
        <v>Mary Jean Villaflor_2</v>
      </c>
      <c r="F794" s="10" t="str">
        <f t="array" ref="F794">IF(
    OR(
      IFNA(INDEX(data!M:M, MATCH(Caseslist!B794, data!D:D, 0)), "") = "",
      IFNA(INDEX(data!M:M, MATCH(Caseslist!B794, data!D:D, 0)), 0) = 0
    ),
    "COMPLETE",
    IF(
      IFNA(INDEX(dataICM!D:D, MATCH(Caseslist!B794, dataICM!D:D, 0)), "INC") = "INC",
      IFNA(INDEX(dataICM!D:D, MATCH(Caseslist!B794, dataICM!D:D, 0)), "INC"),
      "COMPLETE"
    )
  )</f>
        <v>COMPLETE</v>
      </c>
      <c r="G794" s="10" t="str">
        <f t="array" ref="G794">IF(IFERROR(INDEX(data!L:L,match(Caseslist!B794,data!D:D,0)),"INC")="","COMPLETE",F794)</f>
        <v>COMPLETE</v>
      </c>
      <c r="H794" s="9" t="str">
        <f t="array" ref="H794">IFERROR(INDEX(dataICM!F:F,match(Caseslist!B794,dataICM!D:D,0)), "INC")</f>
        <v>Mary Jean Villaflor_2</v>
      </c>
      <c r="I794" s="10">
        <f t="shared" si="2"/>
        <v>455939</v>
      </c>
      <c r="J794" s="9" t="str">
        <f t="array" ref="J794">IF(
  AND(
    IFERROR(MATCH(B794, data!D:D, 0), 0) &gt; 0,
    IFERROR(INDEX(data!N:N, MATCH(B794, data!D:D, 0)) = 1, FALSE)
  ),
  INDEX(data!C:C, MATCH(B794, data!D:D, 0)),
  "INC"
)</f>
        <v>2025-09-05T14:31:19.059+08</v>
      </c>
      <c r="K794" s="9" t="str">
        <f t="array" ref="K794">IFERROR(INDEX(dataICM!C:C,match(Caseslist!B794,dataICM!D:D,0)), "INC")</f>
        <v>2025-09-05T14:32:39.362+08</v>
      </c>
      <c r="L794" s="10" t="str">
        <f t="array" ref="L794">IF(AND(G794="COMPLETE", OR(K794="INC", ISBLANK(INDEX(data!O:O, ROW())))), J794, K794)</f>
        <v>2025-09-05T14:32:39.362+08</v>
      </c>
      <c r="M794" s="2">
        <v>45905.0</v>
      </c>
      <c r="N794" s="2">
        <f t="array" ref="N794">IF(M794&lt;&gt;"INC", INDEX(data!M:M, MATCH(B794, data!D:D, 0)), "")</f>
        <v>1</v>
      </c>
      <c r="O794" s="2">
        <f t="shared" si="3"/>
        <v>1</v>
      </c>
    </row>
    <row r="795">
      <c r="A795" s="2" t="str">
        <f t="shared" si="1"/>
        <v>H019499</v>
      </c>
      <c r="B795" s="1" t="s">
        <v>3987</v>
      </c>
      <c r="C795" s="9" t="str">
        <f t="array" ref="C795">IF(
  AND(
    IFERROR(MATCH(Caseslist!B795, data!D:D, 0), 0) &gt; 0,
    IFERROR(INDEX(data!N:N, MATCH(Caseslist!B795, data!D:D, 0)) = 1, FALSE)
  ),
  "COMPLETE",
  "INC"
)</f>
        <v>COMPLETE</v>
      </c>
      <c r="D795" s="9">
        <f t="array" ref="D795">IFERROR(INDEX(data!$G:$G,match(Caseslist!B795,data!$D:$D,0)), "INC")</f>
        <v>555127</v>
      </c>
      <c r="E795" s="9" t="str">
        <f t="array" ref="E795">IFERROR(INDEX(data!H:H,match(Caseslist!B795,data!D:D,0)), "INC")</f>
        <v>Mary May_2</v>
      </c>
      <c r="F795" s="10" t="str">
        <f t="array" ref="F795">IF(
    OR(
      IFNA(INDEX(data!M:M, MATCH(Caseslist!B795, data!D:D, 0)), "") = "",
      IFNA(INDEX(data!M:M, MATCH(Caseslist!B795, data!D:D, 0)), 0) = 0
    ),
    "COMPLETE",
    IF(
      IFNA(INDEX(dataICM!D:D, MATCH(Caseslist!B795, dataICM!D:D, 0)), "INC") = "INC",
      IFNA(INDEX(dataICM!D:D, MATCH(Caseslist!B795, dataICM!D:D, 0)), "INC"),
      "COMPLETE"
    )
  )</f>
        <v>COMPLETE</v>
      </c>
      <c r="G795" s="10" t="str">
        <f t="array" ref="G795">IF(IFERROR(INDEX(data!L:L,match(Caseslist!B795,data!D:D,0)),"INC")="","COMPLETE",F795)</f>
        <v>COMPLETE</v>
      </c>
      <c r="H795" s="9" t="str">
        <f t="array" ref="H795">IFERROR(INDEX(dataICM!F:F,match(Caseslist!B795,dataICM!D:D,0)), "INC")</f>
        <v>Mary May_2</v>
      </c>
      <c r="I795" s="10">
        <f t="shared" si="2"/>
        <v>555127</v>
      </c>
      <c r="J795" s="9" t="str">
        <f t="array" ref="J795">IF(
  AND(
    IFERROR(MATCH(B795, data!D:D, 0), 0) &gt; 0,
    IFERROR(INDEX(data!N:N, MATCH(B795, data!D:D, 0)) = 1, FALSE)
  ),
  INDEX(data!C:C, MATCH(B795, data!D:D, 0)),
  "INC"
)</f>
        <v>2025-09-05T10:26:46.058+08</v>
      </c>
      <c r="K795" s="9" t="str">
        <f t="array" ref="K795">IFERROR(INDEX(dataICM!C:C,match(Caseslist!B795,dataICM!D:D,0)), "INC")</f>
        <v>2025-09-05T18:32:32.470+08</v>
      </c>
      <c r="L795" s="10" t="str">
        <f t="array" ref="L795">IF(AND(G795="COMPLETE", OR(K795="INC", ISBLANK(INDEX(data!O:O, ROW())))), J795, K795)</f>
        <v>2025-09-05T18:32:32.470+08</v>
      </c>
      <c r="M795" s="2">
        <v>45905.0</v>
      </c>
      <c r="N795" s="2">
        <f t="array" ref="N795">IF(M795&lt;&gt;"INC", INDEX(data!M:M, MATCH(B795, data!D:D, 0)), "")</f>
        <v>1</v>
      </c>
      <c r="O795" s="2">
        <f t="shared" si="3"/>
        <v>1</v>
      </c>
    </row>
    <row r="796">
      <c r="A796" s="2" t="str">
        <f t="shared" si="1"/>
        <v>H019499</v>
      </c>
      <c r="B796" s="1" t="s">
        <v>8723</v>
      </c>
      <c r="C796" s="9" t="str">
        <f t="array" ref="C796">IF(
  AND(
    IFERROR(MATCH(Caseslist!B796, data!D:D, 0), 0) &gt; 0,
    IFERROR(INDEX(data!N:N, MATCH(Caseslist!B796, data!D:D, 0)) = 1, FALSE)
  ),
  "COMPLETE",
  "INC"
)</f>
        <v>COMPLETE</v>
      </c>
      <c r="D796" s="9">
        <f t="array" ref="D796">IFERROR(INDEX(data!$G:$G,match(Caseslist!B796,data!$D:$D,0)), "INC")</f>
        <v>841329</v>
      </c>
      <c r="E796" s="9" t="str">
        <f t="array" ref="E796">IFERROR(INDEX(data!H:H,match(Caseslist!B796,data!D:D,0)), "INC")</f>
        <v>Aila Eli_2</v>
      </c>
      <c r="F796" s="10" t="str">
        <f t="array" ref="F796">IF(
    OR(
      IFNA(INDEX(data!M:M, MATCH(Caseslist!B796, data!D:D, 0)), "") = "",
      IFNA(INDEX(data!M:M, MATCH(Caseslist!B796, data!D:D, 0)), 0) = 0
    ),
    "COMPLETE",
    IF(
      IFNA(INDEX(dataICM!D:D, MATCH(Caseslist!B796, dataICM!D:D, 0)), "INC") = "INC",
      IFNA(INDEX(dataICM!D:D, MATCH(Caseslist!B796, dataICM!D:D, 0)), "INC"),
      "COMPLETE"
    )
  )</f>
        <v>COMPLETE</v>
      </c>
      <c r="G796" s="10" t="str">
        <f t="array" ref="G796">IF(IFERROR(INDEX(data!L:L,match(Caseslist!B796,data!D:D,0)),"INC")="","COMPLETE",F796)</f>
        <v>COMPLETE</v>
      </c>
      <c r="H796" s="9" t="str">
        <f t="array" ref="H796">IFERROR(INDEX(dataICM!F:F,match(Caseslist!B796,dataICM!D:D,0)), "INC")</f>
        <v>Aila Eli_2</v>
      </c>
      <c r="I796" s="10">
        <f t="shared" si="2"/>
        <v>841329</v>
      </c>
      <c r="J796" s="9" t="str">
        <f t="array" ref="J796">IF(
  AND(
    IFERROR(MATCH(B796, data!D:D, 0), 0) &gt; 0,
    IFERROR(INDEX(data!N:N, MATCH(B796, data!D:D, 0)) = 1, FALSE)
  ),
  INDEX(data!C:C, MATCH(B796, data!D:D, 0)),
  "INC"
)</f>
        <v>2025-09-29T10:06:07.291+08</v>
      </c>
      <c r="K796" s="9" t="str">
        <f t="array" ref="K796">IFERROR(INDEX(dataICM!C:C,match(Caseslist!B796,dataICM!D:D,0)), "INC")</f>
        <v>2025-09-29T10:11:53.451+08</v>
      </c>
      <c r="L796" s="10" t="str">
        <f t="array" ref="L796">IF(AND(G796="COMPLETE", OR(K796="INC", ISBLANK(INDEX(data!O:O, ROW())))), J796, K796)</f>
        <v>2025-09-29T10:11:53.451+08</v>
      </c>
      <c r="M796" s="2">
        <v>45929.0</v>
      </c>
      <c r="N796" s="2">
        <f t="array" ref="N796">IF(M796&lt;&gt;"INC", INDEX(data!M:M, MATCH(B796, data!D:D, 0)), "")</f>
        <v>1</v>
      </c>
      <c r="O796" s="2">
        <f t="shared" si="3"/>
        <v>1</v>
      </c>
    </row>
    <row r="797">
      <c r="A797" s="2" t="str">
        <f t="shared" si="1"/>
        <v>H019499</v>
      </c>
      <c r="B797" s="1" t="s">
        <v>3992</v>
      </c>
      <c r="C797" s="9" t="str">
        <f t="array" ref="C797">IF(
  AND(
    IFERROR(MATCH(Caseslist!B797, data!D:D, 0), 0) &gt; 0,
    IFERROR(INDEX(data!N:N, MATCH(Caseslist!B797, data!D:D, 0)) = 1, FALSE)
  ),
  "COMPLETE",
  "INC"
)</f>
        <v>COMPLETE</v>
      </c>
      <c r="D797" s="9">
        <f t="array" ref="D797">IFERROR(INDEX(data!$G:$G,match(Caseslist!B797,data!$D:$D,0)), "INC")</f>
        <v>555127</v>
      </c>
      <c r="E797" s="9" t="str">
        <f t="array" ref="E797">IFERROR(INDEX(data!H:H,match(Caseslist!B797,data!D:D,0)), "INC")</f>
        <v>Mary May_2</v>
      </c>
      <c r="F797" s="10" t="str">
        <f t="array" ref="F797">IF(
    OR(
      IFNA(INDEX(data!M:M, MATCH(Caseslist!B797, data!D:D, 0)), "") = "",
      IFNA(INDEX(data!M:M, MATCH(Caseslist!B797, data!D:D, 0)), 0) = 0
    ),
    "COMPLETE",
    IF(
      IFNA(INDEX(dataICM!D:D, MATCH(Caseslist!B797, dataICM!D:D, 0)), "INC") = "INC",
      IFNA(INDEX(dataICM!D:D, MATCH(Caseslist!B797, dataICM!D:D, 0)), "INC"),
      "COMPLETE"
    )
  )</f>
        <v>COMPLETE</v>
      </c>
      <c r="G797" s="10" t="str">
        <f t="array" ref="G797">IF(IFERROR(INDEX(data!L:L,match(Caseslist!B797,data!D:D,0)),"INC")="","COMPLETE",F797)</f>
        <v>COMPLETE</v>
      </c>
      <c r="H797" s="9" t="str">
        <f t="array" ref="H797">IFERROR(INDEX(dataICM!F:F,match(Caseslist!B797,dataICM!D:D,0)), "INC")</f>
        <v>Mary May_2</v>
      </c>
      <c r="I797" s="10">
        <f t="shared" si="2"/>
        <v>555127</v>
      </c>
      <c r="J797" s="9" t="str">
        <f t="array" ref="J797">IF(
  AND(
    IFERROR(MATCH(B797, data!D:D, 0), 0) &gt; 0,
    IFERROR(INDEX(data!N:N, MATCH(B797, data!D:D, 0)) = 1, FALSE)
  ),
  INDEX(data!C:C, MATCH(B797, data!D:D, 0)),
  "INC"
)</f>
        <v>2025-09-05T11:42:57.926+08</v>
      </c>
      <c r="K797" s="9" t="str">
        <f t="array" ref="K797">IFERROR(INDEX(dataICM!C:C,match(Caseslist!B797,dataICM!D:D,0)), "INC")</f>
        <v>2025-09-05T11:45:05.544+08</v>
      </c>
      <c r="L797" s="10" t="str">
        <f t="array" ref="L797">IF(AND(G797="COMPLETE", OR(K797="INC", ISBLANK(INDEX(data!O:O, ROW())))), J797, K797)</f>
        <v>2025-09-05T11:45:05.544+08</v>
      </c>
      <c r="M797" s="2">
        <v>45905.0</v>
      </c>
      <c r="N797" s="2">
        <f t="array" ref="N797">IF(M797&lt;&gt;"INC", INDEX(data!M:M, MATCH(B797, data!D:D, 0)), "")</f>
        <v>1</v>
      </c>
      <c r="O797" s="2">
        <f t="shared" si="3"/>
        <v>1</v>
      </c>
    </row>
    <row r="798">
      <c r="A798" s="2" t="str">
        <f t="shared" si="1"/>
        <v>H019499</v>
      </c>
      <c r="B798" s="1" t="s">
        <v>3807</v>
      </c>
      <c r="C798" s="9" t="str">
        <f t="array" ref="C798">IF(
  AND(
    IFERROR(MATCH(Caseslist!B798, data!D:D, 0), 0) &gt; 0,
    IFERROR(INDEX(data!N:N, MATCH(Caseslist!B798, data!D:D, 0)) = 1, FALSE)
  ),
  "COMPLETE",
  "INC"
)</f>
        <v>COMPLETE</v>
      </c>
      <c r="D798" s="9">
        <f t="array" ref="D798">IFERROR(INDEX(data!$G:$G,match(Caseslist!B798,data!$D:$D,0)), "INC")</f>
        <v>841329</v>
      </c>
      <c r="E798" s="9" t="str">
        <f t="array" ref="E798">IFERROR(INDEX(data!H:H,match(Caseslist!B798,data!D:D,0)), "INC")</f>
        <v>Aila Eli_2</v>
      </c>
      <c r="F798" s="10" t="str">
        <f t="array" ref="F798">IF(
    OR(
      IFNA(INDEX(data!M:M, MATCH(Caseslist!B798, data!D:D, 0)), "") = "",
      IFNA(INDEX(data!M:M, MATCH(Caseslist!B798, data!D:D, 0)), 0) = 0
    ),
    "COMPLETE",
    IF(
      IFNA(INDEX(dataICM!D:D, MATCH(Caseslist!B798, dataICM!D:D, 0)), "INC") = "INC",
      IFNA(INDEX(dataICM!D:D, MATCH(Caseslist!B798, dataICM!D:D, 0)), "INC"),
      "COMPLETE"
    )
  )</f>
        <v>COMPLETE</v>
      </c>
      <c r="G798" s="10" t="str">
        <f t="array" ref="G798">IF(IFERROR(INDEX(data!L:L,match(Caseslist!B798,data!D:D,0)),"INC")="","COMPLETE",F798)</f>
        <v>COMPLETE</v>
      </c>
      <c r="H798" s="9" t="str">
        <f t="array" ref="H798">IFERROR(INDEX(dataICM!F:F,match(Caseslist!B798,dataICM!D:D,0)), "INC")</f>
        <v>Aila Eli_2</v>
      </c>
      <c r="I798" s="10">
        <f t="shared" si="2"/>
        <v>841329</v>
      </c>
      <c r="J798" s="9" t="str">
        <f t="array" ref="J798">IF(
  AND(
    IFERROR(MATCH(B798, data!D:D, 0), 0) &gt; 0,
    IFERROR(INDEX(data!N:N, MATCH(B798, data!D:D, 0)) = 1, FALSE)
  ),
  INDEX(data!C:C, MATCH(B798, data!D:D, 0)),
  "INC"
)</f>
        <v>2025-09-05T10:58:58.387+08</v>
      </c>
      <c r="K798" s="9" t="str">
        <f t="array" ref="K798">IFERROR(INDEX(dataICM!C:C,match(Caseslist!B798,dataICM!D:D,0)), "INC")</f>
        <v>2025-09-05T11:11:15.881+08</v>
      </c>
      <c r="L798" s="10" t="str">
        <f t="array" ref="L798">IF(AND(G798="COMPLETE", OR(K798="INC", ISBLANK(INDEX(data!O:O, ROW())))), J798, K798)</f>
        <v>2025-09-05T11:11:15.881+08</v>
      </c>
      <c r="M798" s="2">
        <v>45905.0</v>
      </c>
      <c r="N798" s="2">
        <f t="array" ref="N798">IF(M798&lt;&gt;"INC", INDEX(data!M:M, MATCH(B798, data!D:D, 0)), "")</f>
        <v>1</v>
      </c>
      <c r="O798" s="2">
        <f t="shared" si="3"/>
        <v>1</v>
      </c>
    </row>
    <row r="799">
      <c r="A799" s="2" t="str">
        <f t="shared" si="1"/>
        <v>H019499</v>
      </c>
      <c r="B799" s="1" t="s">
        <v>3797</v>
      </c>
      <c r="C799" s="9" t="str">
        <f t="array" ref="C799">IF(
  AND(
    IFERROR(MATCH(Caseslist!B799, data!D:D, 0), 0) &gt; 0,
    IFERROR(INDEX(data!N:N, MATCH(Caseslist!B799, data!D:D, 0)) = 1, FALSE)
  ),
  "COMPLETE",
  "INC"
)</f>
        <v>COMPLETE</v>
      </c>
      <c r="D799" s="9">
        <f t="array" ref="D799">IFERROR(INDEX(data!$G:$G,match(Caseslist!B799,data!$D:$D,0)), "INC")</f>
        <v>841329</v>
      </c>
      <c r="E799" s="9" t="str">
        <f t="array" ref="E799">IFERROR(INDEX(data!H:H,match(Caseslist!B799,data!D:D,0)), "INC")</f>
        <v>Aila Eli_2</v>
      </c>
      <c r="F799" s="10" t="str">
        <f t="array" ref="F799">IF(
    OR(
      IFNA(INDEX(data!M:M, MATCH(Caseslist!B799, data!D:D, 0)), "") = "",
      IFNA(INDEX(data!M:M, MATCH(Caseslist!B799, data!D:D, 0)), 0) = 0
    ),
    "COMPLETE",
    IF(
      IFNA(INDEX(dataICM!D:D, MATCH(Caseslist!B799, dataICM!D:D, 0)), "INC") = "INC",
      IFNA(INDEX(dataICM!D:D, MATCH(Caseslist!B799, dataICM!D:D, 0)), "INC"),
      "COMPLETE"
    )
  )</f>
        <v>COMPLETE</v>
      </c>
      <c r="G799" s="10" t="str">
        <f t="array" ref="G799">IF(IFERROR(INDEX(data!L:L,match(Caseslist!B799,data!D:D,0)),"INC")="","COMPLETE",F799)</f>
        <v>COMPLETE</v>
      </c>
      <c r="H799" s="9" t="str">
        <f t="array" ref="H799">IFERROR(INDEX(dataICM!F:F,match(Caseslist!B799,dataICM!D:D,0)), "INC")</f>
        <v>Aila Eli_2</v>
      </c>
      <c r="I799" s="10">
        <f t="shared" si="2"/>
        <v>841329</v>
      </c>
      <c r="J799" s="9" t="str">
        <f t="array" ref="J799">IF(
  AND(
    IFERROR(MATCH(B799, data!D:D, 0), 0) &gt; 0,
    IFERROR(INDEX(data!N:N, MATCH(B799, data!D:D, 0)) = 1, FALSE)
  ),
  INDEX(data!C:C, MATCH(B799, data!D:D, 0)),
  "INC"
)</f>
        <v>2025-09-05T13:48:41.347+08</v>
      </c>
      <c r="K799" s="9" t="str">
        <f t="array" ref="K799">IFERROR(INDEX(dataICM!C:C,match(Caseslist!B799,dataICM!D:D,0)), "INC")</f>
        <v>2025-09-05T13:52:27.357+08</v>
      </c>
      <c r="L799" s="10" t="str">
        <f t="array" ref="L799">IF(AND(G799="COMPLETE", OR(K799="INC", ISBLANK(INDEX(data!O:O, ROW())))), J799, K799)</f>
        <v>2025-09-05T13:52:27.357+08</v>
      </c>
      <c r="M799" s="2">
        <v>45905.0</v>
      </c>
      <c r="N799" s="2">
        <f t="array" ref="N799">IF(M799&lt;&gt;"INC", INDEX(data!M:M, MATCH(B799, data!D:D, 0)), "")</f>
        <v>1</v>
      </c>
      <c r="O799" s="2">
        <f t="shared" si="3"/>
        <v>1</v>
      </c>
    </row>
    <row r="800">
      <c r="A800" s="2" t="str">
        <f t="shared" si="1"/>
        <v>H019499</v>
      </c>
      <c r="B800" s="1" t="s">
        <v>3802</v>
      </c>
      <c r="C800" s="9" t="str">
        <f t="array" ref="C800">IF(
  AND(
    IFERROR(MATCH(Caseslist!B800, data!D:D, 0), 0) &gt; 0,
    IFERROR(INDEX(data!N:N, MATCH(Caseslist!B800, data!D:D, 0)) = 1, FALSE)
  ),
  "COMPLETE",
  "INC"
)</f>
        <v>COMPLETE</v>
      </c>
      <c r="D800" s="9">
        <f t="array" ref="D800">IFERROR(INDEX(data!$G:$G,match(Caseslist!B800,data!$D:$D,0)), "INC")</f>
        <v>841329</v>
      </c>
      <c r="E800" s="9" t="str">
        <f t="array" ref="E800">IFERROR(INDEX(data!H:H,match(Caseslist!B800,data!D:D,0)), "INC")</f>
        <v>Aila Eli_2</v>
      </c>
      <c r="F800" s="10" t="str">
        <f t="array" ref="F800">IF(
    OR(
      IFNA(INDEX(data!M:M, MATCH(Caseslist!B800, data!D:D, 0)), "") = "",
      IFNA(INDEX(data!M:M, MATCH(Caseslist!B800, data!D:D, 0)), 0) = 0
    ),
    "COMPLETE",
    IF(
      IFNA(INDEX(dataICM!D:D, MATCH(Caseslist!B800, dataICM!D:D, 0)), "INC") = "INC",
      IFNA(INDEX(dataICM!D:D, MATCH(Caseslist!B800, dataICM!D:D, 0)), "INC"),
      "COMPLETE"
    )
  )</f>
        <v>COMPLETE</v>
      </c>
      <c r="G800" s="10" t="str">
        <f t="array" ref="G800">IF(IFERROR(INDEX(data!L:L,match(Caseslist!B800,data!D:D,0)),"INC")="","COMPLETE",F800)</f>
        <v>COMPLETE</v>
      </c>
      <c r="H800" s="9" t="str">
        <f t="array" ref="H800">IFERROR(INDEX(dataICM!F:F,match(Caseslist!B800,dataICM!D:D,0)), "INC")</f>
        <v>Aila Eli_2</v>
      </c>
      <c r="I800" s="10">
        <f t="shared" si="2"/>
        <v>841329</v>
      </c>
      <c r="J800" s="9" t="str">
        <f t="array" ref="J800">IF(
  AND(
    IFERROR(MATCH(B800, data!D:D, 0), 0) &gt; 0,
    IFERROR(INDEX(data!N:N, MATCH(B800, data!D:D, 0)) = 1, FALSE)
  ),
  INDEX(data!C:C, MATCH(B800, data!D:D, 0)),
  "INC"
)</f>
        <v>2025-09-05T15:52:56.332+08</v>
      </c>
      <c r="K800" s="9" t="str">
        <f t="array" ref="K800">IFERROR(INDEX(dataICM!C:C,match(Caseslist!B800,dataICM!D:D,0)), "INC")</f>
        <v>2025-09-05T15:55:43.319+08</v>
      </c>
      <c r="L800" s="10" t="str">
        <f t="array" ref="L800">IF(AND(G800="COMPLETE", OR(K800="INC", ISBLANK(INDEX(data!O:O, ROW())))), J800, K800)</f>
        <v>2025-09-05T15:55:43.319+08</v>
      </c>
      <c r="M800" s="2">
        <v>45905.0</v>
      </c>
      <c r="N800" s="2">
        <f t="array" ref="N800">IF(M800&lt;&gt;"INC", INDEX(data!M:M, MATCH(B800, data!D:D, 0)), "")</f>
        <v>1</v>
      </c>
      <c r="O800" s="2">
        <f t="shared" si="3"/>
        <v>1</v>
      </c>
    </row>
    <row r="801">
      <c r="A801" s="2" t="str">
        <f t="shared" si="1"/>
        <v>H019500</v>
      </c>
      <c r="B801" s="1" t="s">
        <v>3207</v>
      </c>
      <c r="C801" s="9" t="str">
        <f t="array" ref="C801">IF(
  AND(
    IFERROR(MATCH(Caseslist!B801, data!D:D, 0), 0) &gt; 0,
    IFERROR(INDEX(data!N:N, MATCH(Caseslist!B801, data!D:D, 0)) = 1, FALSE)
  ),
  "COMPLETE",
  "INC"
)</f>
        <v>COMPLETE</v>
      </c>
      <c r="D801" s="9">
        <f t="array" ref="D801">IFERROR(INDEX(data!$G:$G,match(Caseslist!B801,data!$D:$D,0)), "INC")</f>
        <v>729375</v>
      </c>
      <c r="E801" s="9" t="str">
        <f t="array" ref="E801">IFERROR(INDEX(data!H:H,match(Caseslist!B801,data!D:D,0)), "INC")</f>
        <v>Janet Serafica_2</v>
      </c>
      <c r="F801" s="10" t="str">
        <f t="array" ref="F801">IF(
    OR(
      IFNA(INDEX(data!M:M, MATCH(Caseslist!B801, data!D:D, 0)), "") = "",
      IFNA(INDEX(data!M:M, MATCH(Caseslist!B801, data!D:D, 0)), 0) = 0
    ),
    "COMPLETE",
    IF(
      IFNA(INDEX(dataICM!D:D, MATCH(Caseslist!B801, dataICM!D:D, 0)), "INC") = "INC",
      IFNA(INDEX(dataICM!D:D, MATCH(Caseslist!B801, dataICM!D:D, 0)), "INC"),
      "COMPLETE"
    )
  )</f>
        <v>COMPLETE</v>
      </c>
      <c r="G801" s="10" t="str">
        <f t="array" ref="G801">IF(IFERROR(INDEX(data!L:L,match(Caseslist!B801,data!D:D,0)),"INC")="","COMPLETE",F801)</f>
        <v>COMPLETE</v>
      </c>
      <c r="H801" s="9" t="str">
        <f t="array" ref="H801">IFERROR(INDEX(dataICM!F:F,match(Caseslist!B801,dataICM!D:D,0)), "INC")</f>
        <v>Janet Serafica_2</v>
      </c>
      <c r="I801" s="10">
        <f t="shared" si="2"/>
        <v>729375</v>
      </c>
      <c r="J801" s="9" t="str">
        <f t="array" ref="J801">IF(
  AND(
    IFERROR(MATCH(B801, data!D:D, 0), 0) &gt; 0,
    IFERROR(INDEX(data!N:N, MATCH(B801, data!D:D, 0)) = 1, FALSE)
  ),
  INDEX(data!C:C, MATCH(B801, data!D:D, 0)),
  "INC"
)</f>
        <v>2025-09-29T12:44:03.680+08</v>
      </c>
      <c r="K801" s="9" t="str">
        <f t="array" ref="K801">IFERROR(INDEX(dataICM!C:C,match(Caseslist!B801,dataICM!D:D,0)), "INC")</f>
        <v>2025-09-29T12:47:08.039+08</v>
      </c>
      <c r="L801" s="10" t="str">
        <f t="array" ref="L801">IF(AND(G801="COMPLETE", OR(K801="INC", ISBLANK(INDEX(data!O:O, ROW())))), J801, K801)</f>
        <v>2025-09-29T12:47:08.039+08</v>
      </c>
      <c r="M801" s="2">
        <v>45929.0</v>
      </c>
      <c r="N801" s="2">
        <f t="array" ref="N801">IF(M801&lt;&gt;"INC", INDEX(data!M:M, MATCH(B801, data!D:D, 0)), "")</f>
        <v>1</v>
      </c>
      <c r="O801" s="2">
        <f t="shared" si="3"/>
        <v>1</v>
      </c>
    </row>
    <row r="802">
      <c r="A802" s="2" t="str">
        <f t="shared" si="1"/>
        <v>H019500</v>
      </c>
      <c r="B802" s="1" t="s">
        <v>3212</v>
      </c>
      <c r="C802" s="9" t="str">
        <f t="array" ref="C802">IF(
  AND(
    IFERROR(MATCH(Caseslist!B802, data!D:D, 0), 0) &gt; 0,
    IFERROR(INDEX(data!N:N, MATCH(Caseslist!B802, data!D:D, 0)) = 1, FALSE)
  ),
  "COMPLETE",
  "INC"
)</f>
        <v>COMPLETE</v>
      </c>
      <c r="D802" s="9">
        <f t="array" ref="D802">IFERROR(INDEX(data!$G:$G,match(Caseslist!B802,data!$D:$D,0)), "INC")</f>
        <v>859767</v>
      </c>
      <c r="E802" s="9" t="str">
        <f t="array" ref="E802">IFERROR(INDEX(data!H:H,match(Caseslist!B802,data!D:D,0)), "INC")</f>
        <v>Ramie De Pedro Jr._2</v>
      </c>
      <c r="F802" s="10" t="str">
        <f t="array" ref="F802">IF(
    OR(
      IFNA(INDEX(data!M:M, MATCH(Caseslist!B802, data!D:D, 0)), "") = "",
      IFNA(INDEX(data!M:M, MATCH(Caseslist!B802, data!D:D, 0)), 0) = 0
    ),
    "COMPLETE",
    IF(
      IFNA(INDEX(dataICM!D:D, MATCH(Caseslist!B802, dataICM!D:D, 0)), "INC") = "INC",
      IFNA(INDEX(dataICM!D:D, MATCH(Caseslist!B802, dataICM!D:D, 0)), "INC"),
      "COMPLETE"
    )
  )</f>
        <v>COMPLETE</v>
      </c>
      <c r="G802" s="10" t="str">
        <f t="array" ref="G802">IF(IFERROR(INDEX(data!L:L,match(Caseslist!B802,data!D:D,0)),"INC")="","COMPLETE",F802)</f>
        <v>COMPLETE</v>
      </c>
      <c r="H802" s="9" t="str">
        <f t="array" ref="H802">IFERROR(INDEX(dataICM!F:F,match(Caseslist!B802,dataICM!D:D,0)), "INC")</f>
        <v>Ramie De Pedro Jr._2</v>
      </c>
      <c r="I802" s="10">
        <f t="shared" si="2"/>
        <v>859767</v>
      </c>
      <c r="J802" s="9" t="str">
        <f t="array" ref="J802">IF(
  AND(
    IFERROR(MATCH(B802, data!D:D, 0), 0) &gt; 0,
    IFERROR(INDEX(data!N:N, MATCH(B802, data!D:D, 0)) = 1, FALSE)
  ),
  INDEX(data!C:C, MATCH(B802, data!D:D, 0)),
  "INC"
)</f>
        <v>2025-09-03T11:32:10.455+08</v>
      </c>
      <c r="K802" s="9" t="str">
        <f t="array" ref="K802">IFERROR(INDEX(dataICM!C:C,match(Caseslist!B802,dataICM!D:D,0)), "INC")</f>
        <v>2025-09-03T11:41:32.953+08</v>
      </c>
      <c r="L802" s="10" t="str">
        <f t="array" ref="L802">IF(AND(G802="COMPLETE", OR(K802="INC", ISBLANK(INDEX(data!O:O, ROW())))), J802, K802)</f>
        <v>2025-09-03T11:41:32.953+08</v>
      </c>
      <c r="M802" s="2">
        <v>45903.0</v>
      </c>
      <c r="N802" s="2">
        <f t="array" ref="N802">IF(M802&lt;&gt;"INC", INDEX(data!M:M, MATCH(B802, data!D:D, 0)), "")</f>
        <v>1</v>
      </c>
      <c r="O802" s="2">
        <f t="shared" si="3"/>
        <v>1</v>
      </c>
    </row>
    <row r="803">
      <c r="A803" s="2" t="str">
        <f t="shared" si="1"/>
        <v>H019500</v>
      </c>
      <c r="B803" s="1" t="s">
        <v>3342</v>
      </c>
      <c r="C803" s="9" t="str">
        <f t="array" ref="C803">IF(
  AND(
    IFERROR(MATCH(Caseslist!B803, data!D:D, 0), 0) &gt; 0,
    IFERROR(INDEX(data!N:N, MATCH(Caseslist!B803, data!D:D, 0)) = 1, FALSE)
  ),
  "COMPLETE",
  "INC"
)</f>
        <v>COMPLETE</v>
      </c>
      <c r="D803" s="9">
        <f t="array" ref="D803">IFERROR(INDEX(data!$G:$G,match(Caseslist!B803,data!$D:$D,0)), "INC")</f>
        <v>729375</v>
      </c>
      <c r="E803" s="9" t="str">
        <f t="array" ref="E803">IFERROR(INDEX(data!H:H,match(Caseslist!B803,data!D:D,0)), "INC")</f>
        <v>Janet Serafica_2</v>
      </c>
      <c r="F803" s="10" t="str">
        <f t="array" ref="F803">IF(
    OR(
      IFNA(INDEX(data!M:M, MATCH(Caseslist!B803, data!D:D, 0)), "") = "",
      IFNA(INDEX(data!M:M, MATCH(Caseslist!B803, data!D:D, 0)), 0) = 0
    ),
    "COMPLETE",
    IF(
      IFNA(INDEX(dataICM!D:D, MATCH(Caseslist!B803, dataICM!D:D, 0)), "INC") = "INC",
      IFNA(INDEX(dataICM!D:D, MATCH(Caseslist!B803, dataICM!D:D, 0)), "INC"),
      "COMPLETE"
    )
  )</f>
        <v>COMPLETE</v>
      </c>
      <c r="G803" s="10" t="str">
        <f t="array" ref="G803">IF(IFERROR(INDEX(data!L:L,match(Caseslist!B803,data!D:D,0)),"INC")="","COMPLETE",F803)</f>
        <v>COMPLETE</v>
      </c>
      <c r="H803" s="9" t="str">
        <f t="array" ref="H803">IFERROR(INDEX(dataICM!F:F,match(Caseslist!B803,dataICM!D:D,0)), "INC")</f>
        <v>Janet Serafica_2</v>
      </c>
      <c r="I803" s="10">
        <f t="shared" si="2"/>
        <v>729375</v>
      </c>
      <c r="J803" s="9" t="str">
        <f t="array" ref="J803">IF(
  AND(
    IFERROR(MATCH(B803, data!D:D, 0), 0) &gt; 0,
    IFERROR(INDEX(data!N:N, MATCH(B803, data!D:D, 0)) = 1, FALSE)
  ),
  INDEX(data!C:C, MATCH(B803, data!D:D, 0)),
  "INC"
)</f>
        <v>2025-09-03T10:59:36.108+08</v>
      </c>
      <c r="K803" s="9" t="str">
        <f t="array" ref="K803">IFERROR(INDEX(dataICM!C:C,match(Caseslist!B803,dataICM!D:D,0)), "INC")</f>
        <v>2025-09-03T11:03:29.709+08</v>
      </c>
      <c r="L803" s="10" t="str">
        <f t="array" ref="L803">IF(AND(G803="COMPLETE", OR(K803="INC", ISBLANK(INDEX(data!O:O, ROW())))), J803, K803)</f>
        <v>2025-09-03T11:03:29.709+08</v>
      </c>
      <c r="M803" s="2">
        <v>45903.0</v>
      </c>
      <c r="N803" s="2">
        <f t="array" ref="N803">IF(M803&lt;&gt;"INC", INDEX(data!M:M, MATCH(B803, data!D:D, 0)), "")</f>
        <v>1</v>
      </c>
      <c r="O803" s="2">
        <f t="shared" si="3"/>
        <v>1</v>
      </c>
    </row>
    <row r="804">
      <c r="A804" s="2" t="str">
        <f t="shared" si="1"/>
        <v>H019500</v>
      </c>
      <c r="B804" s="1" t="s">
        <v>3217</v>
      </c>
      <c r="C804" s="9" t="str">
        <f t="array" ref="C804">IF(
  AND(
    IFERROR(MATCH(Caseslist!B804, data!D:D, 0), 0) &gt; 0,
    IFERROR(INDEX(data!N:N, MATCH(Caseslist!B804, data!D:D, 0)) = 1, FALSE)
  ),
  "COMPLETE",
  "INC"
)</f>
        <v>COMPLETE</v>
      </c>
      <c r="D804" s="9">
        <f t="array" ref="D804">IFERROR(INDEX(data!$G:$G,match(Caseslist!B804,data!$D:$D,0)), "INC")</f>
        <v>859767</v>
      </c>
      <c r="E804" s="9" t="str">
        <f t="array" ref="E804">IFERROR(INDEX(data!H:H,match(Caseslist!B804,data!D:D,0)), "INC")</f>
        <v>Ramie De Pedro Jr._2</v>
      </c>
      <c r="F804" s="10" t="str">
        <f t="array" ref="F804">IF(
    OR(
      IFNA(INDEX(data!M:M, MATCH(Caseslist!B804, data!D:D, 0)), "") = "",
      IFNA(INDEX(data!M:M, MATCH(Caseslist!B804, data!D:D, 0)), 0) = 0
    ),
    "COMPLETE",
    IF(
      IFNA(INDEX(dataICM!D:D, MATCH(Caseslist!B804, dataICM!D:D, 0)), "INC") = "INC",
      IFNA(INDEX(dataICM!D:D, MATCH(Caseslist!B804, dataICM!D:D, 0)), "INC"),
      "COMPLETE"
    )
  )</f>
        <v>COMPLETE</v>
      </c>
      <c r="G804" s="10" t="str">
        <f t="array" ref="G804">IF(IFERROR(INDEX(data!L:L,match(Caseslist!B804,data!D:D,0)),"INC")="","COMPLETE",F804)</f>
        <v>COMPLETE</v>
      </c>
      <c r="H804" s="9" t="str">
        <f t="array" ref="H804">IFERROR(INDEX(dataICM!F:F,match(Caseslist!B804,dataICM!D:D,0)), "INC")</f>
        <v>Ramie De Pedro Jr._2</v>
      </c>
      <c r="I804" s="10">
        <f t="shared" si="2"/>
        <v>859767</v>
      </c>
      <c r="J804" s="9" t="str">
        <f t="array" ref="J804">IF(
  AND(
    IFERROR(MATCH(B804, data!D:D, 0), 0) &gt; 0,
    IFERROR(INDEX(data!N:N, MATCH(B804, data!D:D, 0)) = 1, FALSE)
  ),
  INDEX(data!C:C, MATCH(B804, data!D:D, 0)),
  "INC"
)</f>
        <v>2025-09-03T12:53:10.976+08</v>
      </c>
      <c r="K804" s="9" t="str">
        <f t="array" ref="K804">IFERROR(INDEX(dataICM!C:C,match(Caseslist!B804,dataICM!D:D,0)), "INC")</f>
        <v>2025-09-03T12:55:22.298+08</v>
      </c>
      <c r="L804" s="10" t="str">
        <f t="array" ref="L804">IF(AND(G804="COMPLETE", OR(K804="INC", ISBLANK(INDEX(data!O:O, ROW())))), J804, K804)</f>
        <v>2025-09-03T12:55:22.298+08</v>
      </c>
      <c r="M804" s="2">
        <v>45903.0</v>
      </c>
      <c r="N804" s="2">
        <f t="array" ref="N804">IF(M804&lt;&gt;"INC", INDEX(data!M:M, MATCH(B804, data!D:D, 0)), "")</f>
        <v>1</v>
      </c>
      <c r="O804" s="2">
        <f t="shared" si="3"/>
        <v>1</v>
      </c>
    </row>
    <row r="805">
      <c r="A805" s="2" t="str">
        <f t="shared" si="1"/>
        <v>H019500</v>
      </c>
      <c r="B805" s="1" t="s">
        <v>3222</v>
      </c>
      <c r="C805" s="9" t="str">
        <f t="array" ref="C805">IF(
  AND(
    IFERROR(MATCH(Caseslist!B805, data!D:D, 0), 0) &gt; 0,
    IFERROR(INDEX(data!N:N, MATCH(Caseslist!B805, data!D:D, 0)) = 1, FALSE)
  ),
  "COMPLETE",
  "INC"
)</f>
        <v>COMPLETE</v>
      </c>
      <c r="D805" s="9">
        <f t="array" ref="D805">IFERROR(INDEX(data!$G:$G,match(Caseslist!B805,data!$D:$D,0)), "INC")</f>
        <v>859767</v>
      </c>
      <c r="E805" s="9" t="str">
        <f t="array" ref="E805">IFERROR(INDEX(data!H:H,match(Caseslist!B805,data!D:D,0)), "INC")</f>
        <v>Ramie De Pedro Jr._2</v>
      </c>
      <c r="F805" s="10" t="str">
        <f t="array" ref="F805">IF(
    OR(
      IFNA(INDEX(data!M:M, MATCH(Caseslist!B805, data!D:D, 0)), "") = "",
      IFNA(INDEX(data!M:M, MATCH(Caseslist!B805, data!D:D, 0)), 0) = 0
    ),
    "COMPLETE",
    IF(
      IFNA(INDEX(dataICM!D:D, MATCH(Caseslist!B805, dataICM!D:D, 0)), "INC") = "INC",
      IFNA(INDEX(dataICM!D:D, MATCH(Caseslist!B805, dataICM!D:D, 0)), "INC"),
      "COMPLETE"
    )
  )</f>
        <v>COMPLETE</v>
      </c>
      <c r="G805" s="10" t="str">
        <f t="array" ref="G805">IF(IFERROR(INDEX(data!L:L,match(Caseslist!B805,data!D:D,0)),"INC")="","COMPLETE",F805)</f>
        <v>COMPLETE</v>
      </c>
      <c r="H805" s="9" t="str">
        <f t="array" ref="H805">IFERROR(INDEX(dataICM!F:F,match(Caseslist!B805,dataICM!D:D,0)), "INC")</f>
        <v>Ramie De Pedro Jr._2</v>
      </c>
      <c r="I805" s="10">
        <f t="shared" si="2"/>
        <v>859767</v>
      </c>
      <c r="J805" s="9" t="str">
        <f t="array" ref="J805">IF(
  AND(
    IFERROR(MATCH(B805, data!D:D, 0), 0) &gt; 0,
    IFERROR(INDEX(data!N:N, MATCH(B805, data!D:D, 0)) = 1, FALSE)
  ),
  INDEX(data!C:C, MATCH(B805, data!D:D, 0)),
  "INC"
)</f>
        <v>2025-09-03T13:43:32.279+08</v>
      </c>
      <c r="K805" s="9" t="str">
        <f t="array" ref="K805">IFERROR(INDEX(dataICM!C:C,match(Caseslist!B805,dataICM!D:D,0)), "INC")</f>
        <v>2025-09-03T14:13:40.598+08</v>
      </c>
      <c r="L805" s="10" t="str">
        <f t="array" ref="L805">IF(AND(G805="COMPLETE", OR(K805="INC", ISBLANK(INDEX(data!O:O, ROW())))), J805, K805)</f>
        <v>2025-09-03T14:13:40.598+08</v>
      </c>
      <c r="M805" s="2">
        <v>45903.0</v>
      </c>
      <c r="N805" s="2">
        <f t="array" ref="N805">IF(M805&lt;&gt;"INC", INDEX(data!M:M, MATCH(B805, data!D:D, 0)), "")</f>
        <v>1</v>
      </c>
      <c r="O805" s="2">
        <f t="shared" si="3"/>
        <v>1</v>
      </c>
    </row>
    <row r="806">
      <c r="A806" s="2" t="str">
        <f t="shared" si="1"/>
        <v>H019500</v>
      </c>
      <c r="B806" s="1" t="s">
        <v>3227</v>
      </c>
      <c r="C806" s="9" t="str">
        <f t="array" ref="C806">IF(
  AND(
    IFERROR(MATCH(Caseslist!B806, data!D:D, 0), 0) &gt; 0,
    IFERROR(INDEX(data!N:N, MATCH(Caseslist!B806, data!D:D, 0)) = 1, FALSE)
  ),
  "COMPLETE",
  "INC"
)</f>
        <v>COMPLETE</v>
      </c>
      <c r="D806" s="9">
        <f t="array" ref="D806">IFERROR(INDEX(data!$G:$G,match(Caseslist!B806,data!$D:$D,0)), "INC")</f>
        <v>859767</v>
      </c>
      <c r="E806" s="9" t="str">
        <f t="array" ref="E806">IFERROR(INDEX(data!H:H,match(Caseslist!B806,data!D:D,0)), "INC")</f>
        <v>Ramie De Pedro Jr._2</v>
      </c>
      <c r="F806" s="10" t="str">
        <f t="array" ref="F806">IF(
    OR(
      IFNA(INDEX(data!M:M, MATCH(Caseslist!B806, data!D:D, 0)), "") = "",
      IFNA(INDEX(data!M:M, MATCH(Caseslist!B806, data!D:D, 0)), 0) = 0
    ),
    "COMPLETE",
    IF(
      IFNA(INDEX(dataICM!D:D, MATCH(Caseslist!B806, dataICM!D:D, 0)), "INC") = "INC",
      IFNA(INDEX(dataICM!D:D, MATCH(Caseslist!B806, dataICM!D:D, 0)), "INC"),
      "COMPLETE"
    )
  )</f>
        <v>COMPLETE</v>
      </c>
      <c r="G806" s="10" t="str">
        <f t="array" ref="G806">IF(IFERROR(INDEX(data!L:L,match(Caseslist!B806,data!D:D,0)),"INC")="","COMPLETE",F806)</f>
        <v>COMPLETE</v>
      </c>
      <c r="H806" s="9" t="str">
        <f t="array" ref="H806">IFERROR(INDEX(dataICM!F:F,match(Caseslist!B806,dataICM!D:D,0)), "INC")</f>
        <v>Ramie De Pedro Jr._2</v>
      </c>
      <c r="I806" s="10">
        <f t="shared" si="2"/>
        <v>859767</v>
      </c>
      <c r="J806" s="9" t="str">
        <f t="array" ref="J806">IF(
  AND(
    IFERROR(MATCH(B806, data!D:D, 0), 0) &gt; 0,
    IFERROR(INDEX(data!N:N, MATCH(B806, data!D:D, 0)) = 1, FALSE)
  ),
  INDEX(data!C:C, MATCH(B806, data!D:D, 0)),
  "INC"
)</f>
        <v>2025-09-03T16:08:06.055+08</v>
      </c>
      <c r="K806" s="9" t="str">
        <f t="array" ref="K806">IFERROR(INDEX(dataICM!C:C,match(Caseslist!B806,dataICM!D:D,0)), "INC")</f>
        <v>2025-09-03T16:21:19.439+08</v>
      </c>
      <c r="L806" s="10" t="str">
        <f t="array" ref="L806">IF(AND(G806="COMPLETE", OR(K806="INC", ISBLANK(INDEX(data!O:O, ROW())))), J806, K806)</f>
        <v>2025-09-03T16:21:19.439+08</v>
      </c>
      <c r="M806" s="2">
        <v>45903.0</v>
      </c>
      <c r="N806" s="2">
        <f t="array" ref="N806">IF(M806&lt;&gt;"INC", INDEX(data!M:M, MATCH(B806, data!D:D, 0)), "")</f>
        <v>1</v>
      </c>
      <c r="O806" s="2">
        <f t="shared" si="3"/>
        <v>1</v>
      </c>
    </row>
    <row r="807">
      <c r="A807" s="2" t="str">
        <f t="shared" si="1"/>
        <v>H019500</v>
      </c>
      <c r="B807" s="1" t="s">
        <v>3347</v>
      </c>
      <c r="C807" s="9" t="str">
        <f t="array" ref="C807">IF(
  AND(
    IFERROR(MATCH(Caseslist!B807, data!D:D, 0), 0) &gt; 0,
    IFERROR(INDEX(data!N:N, MATCH(Caseslist!B807, data!D:D, 0)) = 1, FALSE)
  ),
  "COMPLETE",
  "INC"
)</f>
        <v>COMPLETE</v>
      </c>
      <c r="D807" s="9">
        <f t="array" ref="D807">IFERROR(INDEX(data!$G:$G,match(Caseslist!B807,data!$D:$D,0)), "INC")</f>
        <v>729375</v>
      </c>
      <c r="E807" s="9" t="str">
        <f t="array" ref="E807">IFERROR(INDEX(data!H:H,match(Caseslist!B807,data!D:D,0)), "INC")</f>
        <v>Janet Serafica_2</v>
      </c>
      <c r="F807" s="10" t="str">
        <f t="array" ref="F807">IF(
    OR(
      IFNA(INDEX(data!M:M, MATCH(Caseslist!B807, data!D:D, 0)), "") = "",
      IFNA(INDEX(data!M:M, MATCH(Caseslist!B807, data!D:D, 0)), 0) = 0
    ),
    "COMPLETE",
    IF(
      IFNA(INDEX(dataICM!D:D, MATCH(Caseslist!B807, dataICM!D:D, 0)), "INC") = "INC",
      IFNA(INDEX(dataICM!D:D, MATCH(Caseslist!B807, dataICM!D:D, 0)), "INC"),
      "COMPLETE"
    )
  )</f>
        <v>COMPLETE</v>
      </c>
      <c r="G807" s="10" t="str">
        <f t="array" ref="G807">IF(IFERROR(INDEX(data!L:L,match(Caseslist!B807,data!D:D,0)),"INC")="","COMPLETE",F807)</f>
        <v>COMPLETE</v>
      </c>
      <c r="H807" s="9" t="str">
        <f t="array" ref="H807">IFERROR(INDEX(dataICM!F:F,match(Caseslist!B807,dataICM!D:D,0)), "INC")</f>
        <v>Janet Serafica_2</v>
      </c>
      <c r="I807" s="10">
        <f t="shared" si="2"/>
        <v>729375</v>
      </c>
      <c r="J807" s="9" t="str">
        <f t="array" ref="J807">IF(
  AND(
    IFERROR(MATCH(B807, data!D:D, 0), 0) &gt; 0,
    IFERROR(INDEX(data!N:N, MATCH(B807, data!D:D, 0)) = 1, FALSE)
  ),
  INDEX(data!C:C, MATCH(B807, data!D:D, 0)),
  "INC"
)</f>
        <v>2025-09-03T11:56:49.714+08</v>
      </c>
      <c r="K807" s="9" t="str">
        <f t="array" ref="K807">IFERROR(INDEX(dataICM!C:C,match(Caseslist!B807,dataICM!D:D,0)), "INC")</f>
        <v>2025-09-03T12:05:04.469+08</v>
      </c>
      <c r="L807" s="10" t="str">
        <f t="array" ref="L807">IF(AND(G807="COMPLETE", OR(K807="INC", ISBLANK(INDEX(data!O:O, ROW())))), J807, K807)</f>
        <v>2025-09-03T12:05:04.469+08</v>
      </c>
      <c r="M807" s="2">
        <v>45903.0</v>
      </c>
      <c r="N807" s="2">
        <f t="array" ref="N807">IF(M807&lt;&gt;"INC", INDEX(data!M:M, MATCH(B807, data!D:D, 0)), "")</f>
        <v>1</v>
      </c>
      <c r="O807" s="2">
        <f t="shared" si="3"/>
        <v>1</v>
      </c>
    </row>
    <row r="808">
      <c r="A808" s="2" t="str">
        <f t="shared" si="1"/>
        <v>H019500</v>
      </c>
      <c r="B808" s="1" t="s">
        <v>3357</v>
      </c>
      <c r="C808" s="9" t="str">
        <f t="array" ref="C808">IF(
  AND(
    IFERROR(MATCH(Caseslist!B808, data!D:D, 0), 0) &gt; 0,
    IFERROR(INDEX(data!N:N, MATCH(Caseslist!B808, data!D:D, 0)) = 1, FALSE)
  ),
  "COMPLETE",
  "INC"
)</f>
        <v>COMPLETE</v>
      </c>
      <c r="D808" s="9">
        <f t="array" ref="D808">IFERROR(INDEX(data!$G:$G,match(Caseslist!B808,data!$D:$D,0)), "INC")</f>
        <v>729375</v>
      </c>
      <c r="E808" s="9" t="str">
        <f t="array" ref="E808">IFERROR(INDEX(data!H:H,match(Caseslist!B808,data!D:D,0)), "INC")</f>
        <v>Janet Serafica_2</v>
      </c>
      <c r="F808" s="10" t="str">
        <f t="array" ref="F808">IF(
    OR(
      IFNA(INDEX(data!M:M, MATCH(Caseslist!B808, data!D:D, 0)), "") = "",
      IFNA(INDEX(data!M:M, MATCH(Caseslist!B808, data!D:D, 0)), 0) = 0
    ),
    "COMPLETE",
    IF(
      IFNA(INDEX(dataICM!D:D, MATCH(Caseslist!B808, dataICM!D:D, 0)), "INC") = "INC",
      IFNA(INDEX(dataICM!D:D, MATCH(Caseslist!B808, dataICM!D:D, 0)), "INC"),
      "COMPLETE"
    )
  )</f>
        <v>COMPLETE</v>
      </c>
      <c r="G808" s="10" t="str">
        <f t="array" ref="G808">IF(IFERROR(INDEX(data!L:L,match(Caseslist!B808,data!D:D,0)),"INC")="","COMPLETE",F808)</f>
        <v>COMPLETE</v>
      </c>
      <c r="H808" s="9" t="str">
        <f t="array" ref="H808">IFERROR(INDEX(dataICM!F:F,match(Caseslist!B808,dataICM!D:D,0)), "INC")</f>
        <v>Janet Serafica_2</v>
      </c>
      <c r="I808" s="10">
        <f t="shared" si="2"/>
        <v>729375</v>
      </c>
      <c r="J808" s="9" t="str">
        <f t="array" ref="J808">IF(
  AND(
    IFERROR(MATCH(B808, data!D:D, 0), 0) &gt; 0,
    IFERROR(INDEX(data!N:N, MATCH(B808, data!D:D, 0)) = 1, FALSE)
  ),
  INDEX(data!C:C, MATCH(B808, data!D:D, 0)),
  "INC"
)</f>
        <v>2025-09-29T11:50:13.714+08</v>
      </c>
      <c r="K808" s="9" t="str">
        <f t="array" ref="K808">IFERROR(INDEX(dataICM!C:C,match(Caseslist!B808,dataICM!D:D,0)), "INC")</f>
        <v>2025-09-29T11:58:17.608+08</v>
      </c>
      <c r="L808" s="10" t="str">
        <f t="array" ref="L808">IF(AND(G808="COMPLETE", OR(K808="INC", ISBLANK(INDEX(data!O:O, ROW())))), J808, K808)</f>
        <v>2025-09-29T11:58:17.608+08</v>
      </c>
      <c r="M808" s="2">
        <v>45929.0</v>
      </c>
      <c r="N808" s="2">
        <f t="array" ref="N808">IF(M808&lt;&gt;"INC", INDEX(data!M:M, MATCH(B808, data!D:D, 0)), "")</f>
        <v>1</v>
      </c>
      <c r="O808" s="2">
        <f t="shared" si="3"/>
        <v>1</v>
      </c>
    </row>
    <row r="809">
      <c r="A809" s="2" t="str">
        <f t="shared" si="1"/>
        <v>H019500</v>
      </c>
      <c r="B809" s="1" t="s">
        <v>3352</v>
      </c>
      <c r="C809" s="9" t="str">
        <f t="array" ref="C809">IF(
  AND(
    IFERROR(MATCH(Caseslist!B809, data!D:D, 0), 0) &gt; 0,
    IFERROR(INDEX(data!N:N, MATCH(Caseslist!B809, data!D:D, 0)) = 1, FALSE)
  ),
  "COMPLETE",
  "INC"
)</f>
        <v>COMPLETE</v>
      </c>
      <c r="D809" s="9">
        <f t="array" ref="D809">IFERROR(INDEX(data!$G:$G,match(Caseslist!B809,data!$D:$D,0)), "INC")</f>
        <v>729375</v>
      </c>
      <c r="E809" s="9" t="str">
        <f t="array" ref="E809">IFERROR(INDEX(data!H:H,match(Caseslist!B809,data!D:D,0)), "INC")</f>
        <v>Janet Serafica_2</v>
      </c>
      <c r="F809" s="10" t="str">
        <f t="array" ref="F809">IF(
    OR(
      IFNA(INDEX(data!M:M, MATCH(Caseslist!B809, data!D:D, 0)), "") = "",
      IFNA(INDEX(data!M:M, MATCH(Caseslist!B809, data!D:D, 0)), 0) = 0
    ),
    "COMPLETE",
    IF(
      IFNA(INDEX(dataICM!D:D, MATCH(Caseslist!B809, dataICM!D:D, 0)), "INC") = "INC",
      IFNA(INDEX(dataICM!D:D, MATCH(Caseslist!B809, dataICM!D:D, 0)), "INC"),
      "COMPLETE"
    )
  )</f>
        <v>COMPLETE</v>
      </c>
      <c r="G809" s="10" t="str">
        <f t="array" ref="G809">IF(IFERROR(INDEX(data!L:L,match(Caseslist!B809,data!D:D,0)),"INC")="","COMPLETE",F809)</f>
        <v>COMPLETE</v>
      </c>
      <c r="H809" s="9" t="str">
        <f t="array" ref="H809">IFERROR(INDEX(dataICM!F:F,match(Caseslist!B809,dataICM!D:D,0)), "INC")</f>
        <v>Janet Serafica_2</v>
      </c>
      <c r="I809" s="10">
        <f t="shared" si="2"/>
        <v>729375</v>
      </c>
      <c r="J809" s="9" t="str">
        <f t="array" ref="J809">IF(
  AND(
    IFERROR(MATCH(B809, data!D:D, 0), 0) &gt; 0,
    IFERROR(INDEX(data!N:N, MATCH(B809, data!D:D, 0)) = 1, FALSE)
  ),
  INDEX(data!C:C, MATCH(B809, data!D:D, 0)),
  "INC"
)</f>
        <v>2025-09-03T12:57:24.421+08</v>
      </c>
      <c r="K809" s="9" t="str">
        <f t="array" ref="K809">IFERROR(INDEX(dataICM!C:C,match(Caseslist!B809,dataICM!D:D,0)), "INC")</f>
        <v>2025-09-03T13:02:28.637+08</v>
      </c>
      <c r="L809" s="10" t="str">
        <f t="array" ref="L809">IF(AND(G809="COMPLETE", OR(K809="INC", ISBLANK(INDEX(data!O:O, ROW())))), J809, K809)</f>
        <v>2025-09-03T13:02:28.637+08</v>
      </c>
      <c r="M809" s="2">
        <v>45903.0</v>
      </c>
      <c r="N809" s="2">
        <f t="array" ref="N809">IF(M809&lt;&gt;"INC", INDEX(data!M:M, MATCH(B809, data!D:D, 0)), "")</f>
        <v>1</v>
      </c>
      <c r="O809" s="2">
        <f t="shared" si="3"/>
        <v>1</v>
      </c>
    </row>
    <row r="810">
      <c r="A810" s="2" t="str">
        <f t="shared" si="1"/>
        <v>H019500</v>
      </c>
      <c r="B810" s="1" t="s">
        <v>3242</v>
      </c>
      <c r="C810" s="9" t="str">
        <f t="array" ref="C810">IF(
  AND(
    IFERROR(MATCH(Caseslist!B810, data!D:D, 0), 0) &gt; 0,
    IFERROR(INDEX(data!N:N, MATCH(Caseslist!B810, data!D:D, 0)) = 1, FALSE)
  ),
  "COMPLETE",
  "INC"
)</f>
        <v>COMPLETE</v>
      </c>
      <c r="D810" s="9" t="str">
        <f t="array" ref="D810">IFERROR(INDEX(data!$G:$G,match(Caseslist!B810,data!$D:$D,0)), "INC")</f>
        <v>S2671943</v>
      </c>
      <c r="E810" s="9" t="str">
        <f t="array" ref="E810">IFERROR(INDEX(data!H:H,match(Caseslist!B810,data!D:D,0)), "INC")</f>
        <v>Marvin Mondia</v>
      </c>
      <c r="F810" s="10" t="str">
        <f t="array" ref="F810">IF(
    OR(
      IFNA(INDEX(data!M:M, MATCH(Caseslist!B810, data!D:D, 0)), "") = "",
      IFNA(INDEX(data!M:M, MATCH(Caseslist!B810, data!D:D, 0)), 0) = 0
    ),
    "COMPLETE",
    IF(
      IFNA(INDEX(dataICM!D:D, MATCH(Caseslist!B810, dataICM!D:D, 0)), "INC") = "INC",
      IFNA(INDEX(dataICM!D:D, MATCH(Caseslist!B810, dataICM!D:D, 0)), "INC"),
      "COMPLETE"
    )
  )</f>
        <v>COMPLETE</v>
      </c>
      <c r="G810" s="10" t="str">
        <f t="array" ref="G810">IF(IFERROR(INDEX(data!L:L,match(Caseslist!B810,data!D:D,0)),"INC")="","COMPLETE",F810)</f>
        <v>COMPLETE</v>
      </c>
      <c r="H810" s="9" t="str">
        <f t="array" ref="H810">IFERROR(INDEX(dataICM!F:F,match(Caseslist!B810,dataICM!D:D,0)), "INC")</f>
        <v>Marvin Mondia</v>
      </c>
      <c r="I810" s="10" t="str">
        <f t="shared" si="2"/>
        <v>S2671943</v>
      </c>
      <c r="J810" s="9" t="str">
        <f t="array" ref="J810">IF(
  AND(
    IFERROR(MATCH(B810, data!D:D, 0), 0) &gt; 0,
    IFERROR(INDEX(data!N:N, MATCH(B810, data!D:D, 0)) = 1, FALSE)
  ),
  INDEX(data!C:C, MATCH(B810, data!D:D, 0)),
  "INC"
)</f>
        <v>2025-09-03T16:08:50.533+08</v>
      </c>
      <c r="K810" s="9" t="str">
        <f t="array" ref="K810">IFERROR(INDEX(dataICM!C:C,match(Caseslist!B810,dataICM!D:D,0)), "INC")</f>
        <v>2025-09-03T16:19:12.009+08</v>
      </c>
      <c r="L810" s="10" t="str">
        <f t="array" ref="L810">IF(AND(G810="COMPLETE", OR(K810="INC", ISBLANK(INDEX(data!O:O, ROW())))), J810, K810)</f>
        <v>2025-09-03T16:19:12.009+08</v>
      </c>
      <c r="M810" s="2">
        <v>45903.0</v>
      </c>
      <c r="N810" s="2">
        <f t="array" ref="N810">IF(M810&lt;&gt;"INC", INDEX(data!M:M, MATCH(B810, data!D:D, 0)), "")</f>
        <v>1</v>
      </c>
      <c r="O810" s="2">
        <f t="shared" si="3"/>
        <v>1</v>
      </c>
    </row>
    <row r="811">
      <c r="A811" s="2" t="str">
        <f t="shared" si="1"/>
        <v>H019500</v>
      </c>
      <c r="B811" s="1" t="s">
        <v>3247</v>
      </c>
      <c r="C811" s="9" t="str">
        <f t="array" ref="C811">IF(
  AND(
    IFERROR(MATCH(Caseslist!B811, data!D:D, 0), 0) &gt; 0,
    IFERROR(INDEX(data!N:N, MATCH(Caseslist!B811, data!D:D, 0)) = 1, FALSE)
  ),
  "COMPLETE",
  "INC"
)</f>
        <v>COMPLETE</v>
      </c>
      <c r="D811" s="9" t="str">
        <f t="array" ref="D811">IFERROR(INDEX(data!$G:$G,match(Caseslist!B811,data!$D:$D,0)), "INC")</f>
        <v>S2671943</v>
      </c>
      <c r="E811" s="9" t="str">
        <f t="array" ref="E811">IFERROR(INDEX(data!H:H,match(Caseslist!B811,data!D:D,0)), "INC")</f>
        <v>Marvin Mondia</v>
      </c>
      <c r="F811" s="10" t="str">
        <f t="array" ref="F811">IF(
    OR(
      IFNA(INDEX(data!M:M, MATCH(Caseslist!B811, data!D:D, 0)), "") = "",
      IFNA(INDEX(data!M:M, MATCH(Caseslist!B811, data!D:D, 0)), 0) = 0
    ),
    "COMPLETE",
    IF(
      IFNA(INDEX(dataICM!D:D, MATCH(Caseslist!B811, dataICM!D:D, 0)), "INC") = "INC",
      IFNA(INDEX(dataICM!D:D, MATCH(Caseslist!B811, dataICM!D:D, 0)), "INC"),
      "COMPLETE"
    )
  )</f>
        <v>COMPLETE</v>
      </c>
      <c r="G811" s="10" t="str">
        <f t="array" ref="G811">IF(IFERROR(INDEX(data!L:L,match(Caseslist!B811,data!D:D,0)),"INC")="","COMPLETE",F811)</f>
        <v>COMPLETE</v>
      </c>
      <c r="H811" s="9" t="str">
        <f t="array" ref="H811">IFERROR(INDEX(dataICM!F:F,match(Caseslist!B811,dataICM!D:D,0)), "INC")</f>
        <v>Marvin Mondia</v>
      </c>
      <c r="I811" s="10" t="str">
        <f t="shared" si="2"/>
        <v>S2671943</v>
      </c>
      <c r="J811" s="9" t="str">
        <f t="array" ref="J811">IF(
  AND(
    IFERROR(MATCH(B811, data!D:D, 0), 0) &gt; 0,
    IFERROR(INDEX(data!N:N, MATCH(B811, data!D:D, 0)) = 1, FALSE)
  ),
  INDEX(data!C:C, MATCH(B811, data!D:D, 0)),
  "INC"
)</f>
        <v>2025-09-03T13:01:06.606+08</v>
      </c>
      <c r="K811" s="9" t="str">
        <f t="array" ref="K811">IFERROR(INDEX(dataICM!C:C,match(Caseslist!B811,dataICM!D:D,0)), "INC")</f>
        <v>2025-09-03T13:11:50.038+08</v>
      </c>
      <c r="L811" s="10" t="str">
        <f t="array" ref="L811">IF(AND(G811="COMPLETE", OR(K811="INC", ISBLANK(INDEX(data!O:O, ROW())))), J811, K811)</f>
        <v>2025-09-03T13:11:50.038+08</v>
      </c>
      <c r="M811" s="2">
        <v>45903.0</v>
      </c>
      <c r="N811" s="2">
        <f t="array" ref="N811">IF(M811&lt;&gt;"INC", INDEX(data!M:M, MATCH(B811, data!D:D, 0)), "")</f>
        <v>1</v>
      </c>
      <c r="O811" s="2">
        <f t="shared" si="3"/>
        <v>1</v>
      </c>
    </row>
    <row r="812">
      <c r="A812" s="2" t="str">
        <f t="shared" si="1"/>
        <v>H019500</v>
      </c>
      <c r="B812" s="1" t="s">
        <v>3232</v>
      </c>
      <c r="C812" s="9" t="str">
        <f t="array" ref="C812">IF(
  AND(
    IFERROR(MATCH(Caseslist!B812, data!D:D, 0), 0) &gt; 0,
    IFERROR(INDEX(data!N:N, MATCH(Caseslist!B812, data!D:D, 0)) = 1, FALSE)
  ),
  "COMPLETE",
  "INC"
)</f>
        <v>COMPLETE</v>
      </c>
      <c r="D812" s="9" t="str">
        <f t="array" ref="D812">IFERROR(INDEX(data!$G:$G,match(Caseslist!B812,data!$D:$D,0)), "INC")</f>
        <v>S2671943</v>
      </c>
      <c r="E812" s="9" t="str">
        <f t="array" ref="E812">IFERROR(INDEX(data!H:H,match(Caseslist!B812,data!D:D,0)), "INC")</f>
        <v>Marvin Mondia</v>
      </c>
      <c r="F812" s="10" t="str">
        <f t="array" ref="F812">IF(
    OR(
      IFNA(INDEX(data!M:M, MATCH(Caseslist!B812, data!D:D, 0)), "") = "",
      IFNA(INDEX(data!M:M, MATCH(Caseslist!B812, data!D:D, 0)), 0) = 0
    ),
    "COMPLETE",
    IF(
      IFNA(INDEX(dataICM!D:D, MATCH(Caseslist!B812, dataICM!D:D, 0)), "INC") = "INC",
      IFNA(INDEX(dataICM!D:D, MATCH(Caseslist!B812, dataICM!D:D, 0)), "INC"),
      "COMPLETE"
    )
  )</f>
        <v>COMPLETE</v>
      </c>
      <c r="G812" s="10" t="str">
        <f t="array" ref="G812">IF(IFERROR(INDEX(data!L:L,match(Caseslist!B812,data!D:D,0)),"INC")="","COMPLETE",F812)</f>
        <v>COMPLETE</v>
      </c>
      <c r="H812" s="9" t="str">
        <f t="array" ref="H812">IFERROR(INDEX(dataICM!F:F,match(Caseslist!B812,dataICM!D:D,0)), "INC")</f>
        <v>Marvin Mondia</v>
      </c>
      <c r="I812" s="10" t="str">
        <f t="shared" si="2"/>
        <v>S2671943</v>
      </c>
      <c r="J812" s="9" t="str">
        <f t="array" ref="J812">IF(
  AND(
    IFERROR(MATCH(B812, data!D:D, 0), 0) &gt; 0,
    IFERROR(INDEX(data!N:N, MATCH(B812, data!D:D, 0)) = 1, FALSE)
  ),
  INDEX(data!C:C, MATCH(B812, data!D:D, 0)),
  "INC"
)</f>
        <v>2025-09-03T11:35:40.146+08</v>
      </c>
      <c r="K812" s="9" t="str">
        <f t="array" ref="K812">IFERROR(INDEX(dataICM!C:C,match(Caseslist!B812,dataICM!D:D,0)), "INC")</f>
        <v>2025-09-03T11:52:41.243+08</v>
      </c>
      <c r="L812" s="10" t="str">
        <f t="array" ref="L812">IF(AND(G812="COMPLETE", OR(K812="INC", ISBLANK(INDEX(data!O:O, ROW())))), J812, K812)</f>
        <v>2025-09-03T11:52:41.243+08</v>
      </c>
      <c r="M812" s="2">
        <v>45903.0</v>
      </c>
      <c r="N812" s="2">
        <f t="array" ref="N812">IF(M812&lt;&gt;"INC", INDEX(data!M:M, MATCH(B812, data!D:D, 0)), "")</f>
        <v>1</v>
      </c>
      <c r="O812" s="2">
        <f t="shared" si="3"/>
        <v>1</v>
      </c>
    </row>
    <row r="813">
      <c r="A813" s="2" t="str">
        <f t="shared" si="1"/>
        <v>H019500</v>
      </c>
      <c r="B813" s="1" t="s">
        <v>3312</v>
      </c>
      <c r="C813" s="9" t="str">
        <f t="array" ref="C813">IF(
  AND(
    IFERROR(MATCH(Caseslist!B813, data!D:D, 0), 0) &gt; 0,
    IFERROR(INDEX(data!N:N, MATCH(Caseslist!B813, data!D:D, 0)) = 1, FALSE)
  ),
  "COMPLETE",
  "INC"
)</f>
        <v>COMPLETE</v>
      </c>
      <c r="D813" s="9">
        <f t="array" ref="D813">IFERROR(INDEX(data!$G:$G,match(Caseslist!B813,data!$D:$D,0)), "INC")</f>
        <v>729375</v>
      </c>
      <c r="E813" s="9" t="str">
        <f t="array" ref="E813">IFERROR(INDEX(data!H:H,match(Caseslist!B813,data!D:D,0)), "INC")</f>
        <v>Janet Serafica_2</v>
      </c>
      <c r="F813" s="10" t="str">
        <f t="array" ref="F813">IF(
    OR(
      IFNA(INDEX(data!M:M, MATCH(Caseslist!B813, data!D:D, 0)), "") = "",
      IFNA(INDEX(data!M:M, MATCH(Caseslist!B813, data!D:D, 0)), 0) = 0
    ),
    "COMPLETE",
    IF(
      IFNA(INDEX(dataICM!D:D, MATCH(Caseslist!B813, dataICM!D:D, 0)), "INC") = "INC",
      IFNA(INDEX(dataICM!D:D, MATCH(Caseslist!B813, dataICM!D:D, 0)), "INC"),
      "COMPLETE"
    )
  )</f>
        <v>INC</v>
      </c>
      <c r="G813" s="10" t="str">
        <f t="array" ref="G813">IF(IFERROR(INDEX(data!L:L,match(Caseslist!B813,data!D:D,0)),"INC")="","COMPLETE",F813)</f>
        <v>INC</v>
      </c>
      <c r="H813" s="9" t="str">
        <f t="array" ref="H813">IFERROR(INDEX(dataICM!F:F,match(Caseslist!B813,dataICM!D:D,0)), "INC")</f>
        <v>INC</v>
      </c>
      <c r="I813" s="10" t="str">
        <f t="shared" si="2"/>
        <v>INC</v>
      </c>
      <c r="J813" s="9" t="str">
        <f t="array" ref="J813">IF(
  AND(
    IFERROR(MATCH(B813, data!D:D, 0), 0) &gt; 0,
    IFERROR(INDEX(data!N:N, MATCH(B813, data!D:D, 0)) = 1, FALSE)
  ),
  INDEX(data!C:C, MATCH(B813, data!D:D, 0)),
  "INC"
)</f>
        <v>2025-09-29T17:22:45.944+08</v>
      </c>
      <c r="K813" s="9" t="str">
        <f t="array" ref="K813">IFERROR(INDEX(dataICM!C:C,match(Caseslist!B813,dataICM!D:D,0)), "INC")</f>
        <v>INC</v>
      </c>
      <c r="L813" s="10" t="str">
        <f t="array" ref="L813">IF(AND(G813="COMPLETE", OR(K813="INC", ISBLANK(INDEX(data!O:O, ROW())))), J813, K813)</f>
        <v>INC</v>
      </c>
      <c r="M813" s="2" t="s">
        <v>8886</v>
      </c>
      <c r="N813" s="2" t="str">
        <f t="array" ref="N813">IF(M813&lt;&gt;"INC", INDEX(data!M:M, MATCH(B813, data!D:D, 0)), "")</f>
        <v/>
      </c>
      <c r="O813" s="2" t="str">
        <f t="shared" si="3"/>
        <v/>
      </c>
    </row>
    <row r="814">
      <c r="A814" s="2" t="str">
        <f t="shared" si="1"/>
        <v>H019500</v>
      </c>
      <c r="B814" s="1" t="s">
        <v>3317</v>
      </c>
      <c r="C814" s="9" t="str">
        <f t="array" ref="C814">IF(
  AND(
    IFERROR(MATCH(Caseslist!B814, data!D:D, 0), 0) &gt; 0,
    IFERROR(INDEX(data!N:N, MATCH(Caseslist!B814, data!D:D, 0)) = 1, FALSE)
  ),
  "COMPLETE",
  "INC"
)</f>
        <v>COMPLETE</v>
      </c>
      <c r="D814" s="9">
        <f t="array" ref="D814">IFERROR(INDEX(data!$G:$G,match(Caseslist!B814,data!$D:$D,0)), "INC")</f>
        <v>729375</v>
      </c>
      <c r="E814" s="9" t="str">
        <f t="array" ref="E814">IFERROR(INDEX(data!H:H,match(Caseslist!B814,data!D:D,0)), "INC")</f>
        <v>Janet Serafica_2</v>
      </c>
      <c r="F814" s="10" t="str">
        <f t="array" ref="F814">IF(
    OR(
      IFNA(INDEX(data!M:M, MATCH(Caseslist!B814, data!D:D, 0)), "") = "",
      IFNA(INDEX(data!M:M, MATCH(Caseslist!B814, data!D:D, 0)), 0) = 0
    ),
    "COMPLETE",
    IF(
      IFNA(INDEX(dataICM!D:D, MATCH(Caseslist!B814, dataICM!D:D, 0)), "INC") = "INC",
      IFNA(INDEX(dataICM!D:D, MATCH(Caseslist!B814, dataICM!D:D, 0)), "INC"),
      "COMPLETE"
    )
  )</f>
        <v>INC</v>
      </c>
      <c r="G814" s="10" t="str">
        <f t="array" ref="G814">IF(IFERROR(INDEX(data!L:L,match(Caseslist!B814,data!D:D,0)),"INC")="","COMPLETE",F814)</f>
        <v>INC</v>
      </c>
      <c r="H814" s="9" t="str">
        <f t="array" ref="H814">IFERROR(INDEX(dataICM!F:F,match(Caseslist!B814,dataICM!D:D,0)), "INC")</f>
        <v>INC</v>
      </c>
      <c r="I814" s="10" t="str">
        <f t="shared" si="2"/>
        <v>INC</v>
      </c>
      <c r="J814" s="9" t="str">
        <f t="array" ref="J814">IF(
  AND(
    IFERROR(MATCH(B814, data!D:D, 0), 0) &gt; 0,
    IFERROR(INDEX(data!N:N, MATCH(B814, data!D:D, 0)) = 1, FALSE)
  ),
  INDEX(data!C:C, MATCH(B814, data!D:D, 0)),
  "INC"
)</f>
        <v>2025-09-29T10:38:08.997+08</v>
      </c>
      <c r="K814" s="9" t="str">
        <f t="array" ref="K814">IFERROR(INDEX(dataICM!C:C,match(Caseslist!B814,dataICM!D:D,0)), "INC")</f>
        <v>INC</v>
      </c>
      <c r="L814" s="10" t="str">
        <f t="array" ref="L814">IF(AND(G814="COMPLETE", OR(K814="INC", ISBLANK(INDEX(data!O:O, ROW())))), J814, K814)</f>
        <v>INC</v>
      </c>
      <c r="M814" s="2" t="s">
        <v>8886</v>
      </c>
      <c r="N814" s="2" t="str">
        <f t="array" ref="N814">IF(M814&lt;&gt;"INC", INDEX(data!M:M, MATCH(B814, data!D:D, 0)), "")</f>
        <v/>
      </c>
      <c r="O814" s="2" t="str">
        <f t="shared" si="3"/>
        <v/>
      </c>
    </row>
    <row r="815">
      <c r="A815" s="2" t="str">
        <f t="shared" si="1"/>
        <v>H019500</v>
      </c>
      <c r="B815" s="1" t="s">
        <v>3237</v>
      </c>
      <c r="C815" s="9" t="str">
        <f t="array" ref="C815">IF(
  AND(
    IFERROR(MATCH(Caseslist!B815, data!D:D, 0), 0) &gt; 0,
    IFERROR(INDEX(data!N:N, MATCH(Caseslist!B815, data!D:D, 0)) = 1, FALSE)
  ),
  "COMPLETE",
  "INC"
)</f>
        <v>COMPLETE</v>
      </c>
      <c r="D815" s="9" t="str">
        <f t="array" ref="D815">IFERROR(INDEX(data!$G:$G,match(Caseslist!B815,data!$D:$D,0)), "INC")</f>
        <v>S2671943</v>
      </c>
      <c r="E815" s="9" t="str">
        <f t="array" ref="E815">IFERROR(INDEX(data!H:H,match(Caseslist!B815,data!D:D,0)), "INC")</f>
        <v>Marvin Mondia</v>
      </c>
      <c r="F815" s="10" t="str">
        <f t="array" ref="F815">IF(
    OR(
      IFNA(INDEX(data!M:M, MATCH(Caseslist!B815, data!D:D, 0)), "") = "",
      IFNA(INDEX(data!M:M, MATCH(Caseslist!B815, data!D:D, 0)), 0) = 0
    ),
    "COMPLETE",
    IF(
      IFNA(INDEX(dataICM!D:D, MATCH(Caseslist!B815, dataICM!D:D, 0)), "INC") = "INC",
      IFNA(INDEX(dataICM!D:D, MATCH(Caseslist!B815, dataICM!D:D, 0)), "INC"),
      "COMPLETE"
    )
  )</f>
        <v>COMPLETE</v>
      </c>
      <c r="G815" s="10" t="str">
        <f t="array" ref="G815">IF(IFERROR(INDEX(data!L:L,match(Caseslist!B815,data!D:D,0)),"INC")="","COMPLETE",F815)</f>
        <v>COMPLETE</v>
      </c>
      <c r="H815" s="9" t="str">
        <f t="array" ref="H815">IFERROR(INDEX(dataICM!F:F,match(Caseslist!B815,dataICM!D:D,0)), "INC")</f>
        <v>Marvin Mondia</v>
      </c>
      <c r="I815" s="10" t="str">
        <f t="shared" si="2"/>
        <v>S2671943</v>
      </c>
      <c r="J815" s="9" t="str">
        <f t="array" ref="J815">IF(
  AND(
    IFERROR(MATCH(B815, data!D:D, 0), 0) &gt; 0,
    IFERROR(INDEX(data!N:N, MATCH(B815, data!D:D, 0)) = 1, FALSE)
  ),
  INDEX(data!C:C, MATCH(B815, data!D:D, 0)),
  "INC"
)</f>
        <v>2025-09-03T14:56:59.999+08</v>
      </c>
      <c r="K815" s="9" t="str">
        <f t="array" ref="K815">IFERROR(INDEX(dataICM!C:C,match(Caseslist!B815,dataICM!D:D,0)), "INC")</f>
        <v>2025-09-03T15:07:55.042+08</v>
      </c>
      <c r="L815" s="10" t="str">
        <f t="array" ref="L815">IF(AND(G815="COMPLETE", OR(K815="INC", ISBLANK(INDEX(data!O:O, ROW())))), J815, K815)</f>
        <v>2025-09-03T15:07:55.042+08</v>
      </c>
      <c r="M815" s="2">
        <v>45903.0</v>
      </c>
      <c r="N815" s="2">
        <f t="array" ref="N815">IF(M815&lt;&gt;"INC", INDEX(data!M:M, MATCH(B815, data!D:D, 0)), "")</f>
        <v>1</v>
      </c>
      <c r="O815" s="2">
        <f t="shared" si="3"/>
        <v>1</v>
      </c>
    </row>
    <row r="816">
      <c r="A816" s="2" t="str">
        <f t="shared" si="1"/>
        <v>H019505</v>
      </c>
      <c r="B816" s="1" t="s">
        <v>814</v>
      </c>
      <c r="C816" s="9" t="str">
        <f t="array" ref="C816">IF(
  AND(
    IFERROR(MATCH(Caseslist!B816, data!D:D, 0), 0) &gt; 0,
    IFERROR(INDEX(data!N:N, MATCH(Caseslist!B816, data!D:D, 0)) = 1, FALSE)
  ),
  "COMPLETE",
  "INC"
)</f>
        <v>COMPLETE</v>
      </c>
      <c r="D816" s="9" t="str">
        <f t="array" ref="D816">IFERROR(INDEX(data!$G:$G,match(Caseslist!B816,data!$D:$D,0)), "INC")</f>
        <v>S2671943</v>
      </c>
      <c r="E816" s="9" t="str">
        <f t="array" ref="E816">IFERROR(INDEX(data!H:H,match(Caseslist!B816,data!D:D,0)), "INC")</f>
        <v>Marvin Mondia</v>
      </c>
      <c r="F816" s="10" t="str">
        <f t="array" ref="F816">IF(
    OR(
      IFNA(INDEX(data!M:M, MATCH(Caseslist!B816, data!D:D, 0)), "") = "",
      IFNA(INDEX(data!M:M, MATCH(Caseslist!B816, data!D:D, 0)), 0) = 0
    ),
    "COMPLETE",
    IF(
      IFNA(INDEX(dataICM!D:D, MATCH(Caseslist!B816, dataICM!D:D, 0)), "INC") = "INC",
      IFNA(INDEX(dataICM!D:D, MATCH(Caseslist!B816, dataICM!D:D, 0)), "INC"),
      "COMPLETE"
    )
  )</f>
        <v>COMPLETE</v>
      </c>
      <c r="G816" s="10" t="str">
        <f t="array" ref="G816">IF(IFERROR(INDEX(data!L:L,match(Caseslist!B816,data!D:D,0)),"INC")="","COMPLETE",F816)</f>
        <v>COMPLETE</v>
      </c>
      <c r="H816" s="9" t="str">
        <f t="array" ref="H816">IFERROR(INDEX(dataICM!F:F,match(Caseslist!B816,dataICM!D:D,0)), "INC")</f>
        <v>Marvin Mondia</v>
      </c>
      <c r="I816" s="10" t="str">
        <f t="shared" si="2"/>
        <v>S2671943</v>
      </c>
      <c r="J816" s="9" t="str">
        <f t="array" ref="J816">IF(
  AND(
    IFERROR(MATCH(B816, data!D:D, 0), 0) &gt; 0,
    IFERROR(INDEX(data!N:N, MATCH(B816, data!D:D, 0)) = 1, FALSE)
  ),
  INDEX(data!C:C, MATCH(B816, data!D:D, 0)),
  "INC"
)</f>
        <v>2025-08-27T09:00:37.678+08</v>
      </c>
      <c r="K816" s="9" t="str">
        <f t="array" ref="K816">IFERROR(INDEX(dataICM!C:C,match(Caseslist!B816,dataICM!D:D,0)), "INC")</f>
        <v>2025-08-27T19:44:29.903+08</v>
      </c>
      <c r="L816" s="10" t="str">
        <f t="array" ref="L816">IF(AND(G816="COMPLETE", OR(K816="INC", ISBLANK(INDEX(data!O:O, ROW())))), J816, K816)</f>
        <v>2025-08-27T19:44:29.903+08</v>
      </c>
      <c r="M816" s="2">
        <v>45896.0</v>
      </c>
      <c r="N816" s="2">
        <f t="array" ref="N816">IF(M816&lt;&gt;"INC", INDEX(data!M:M, MATCH(B816, data!D:D, 0)), "")</f>
        <v>1</v>
      </c>
      <c r="O816" s="2">
        <f t="shared" si="3"/>
        <v>1</v>
      </c>
    </row>
    <row r="817">
      <c r="A817" s="2" t="str">
        <f t="shared" si="1"/>
        <v>H019505</v>
      </c>
      <c r="B817" s="1" t="s">
        <v>293</v>
      </c>
      <c r="C817" s="9" t="str">
        <f t="array" ref="C817">IF(
  AND(
    IFERROR(MATCH(Caseslist!B817, data!D:D, 0), 0) &gt; 0,
    IFERROR(INDEX(data!N:N, MATCH(Caseslist!B817, data!D:D, 0)) = 1, FALSE)
  ),
  "COMPLETE",
  "INC"
)</f>
        <v>COMPLETE</v>
      </c>
      <c r="D817" s="9">
        <f t="array" ref="D817">IFERROR(INDEX(data!$G:$G,match(Caseslist!B817,data!$D:$D,0)), "INC")</f>
        <v>729375</v>
      </c>
      <c r="E817" s="9" t="str">
        <f t="array" ref="E817">IFERROR(INDEX(data!H:H,match(Caseslist!B817,data!D:D,0)), "INC")</f>
        <v>Janet Serafica</v>
      </c>
      <c r="F817" s="10" t="str">
        <f t="array" ref="F817">IF(
    OR(
      IFNA(INDEX(data!M:M, MATCH(Caseslist!B817, data!D:D, 0)), "") = "",
      IFNA(INDEX(data!M:M, MATCH(Caseslist!B817, data!D:D, 0)), 0) = 0
    ),
    "COMPLETE",
    IF(
      IFNA(INDEX(dataICM!D:D, MATCH(Caseslist!B817, dataICM!D:D, 0)), "INC") = "INC",
      IFNA(INDEX(dataICM!D:D, MATCH(Caseslist!B817, dataICM!D:D, 0)), "INC"),
      "COMPLETE"
    )
  )</f>
        <v>COMPLETE</v>
      </c>
      <c r="G817" s="10" t="str">
        <f t="array" ref="G817">IF(IFERROR(INDEX(data!L:L,match(Caseslist!B817,data!D:D,0)),"INC")="","COMPLETE",F817)</f>
        <v>COMPLETE</v>
      </c>
      <c r="H817" s="9" t="str">
        <f t="array" ref="H817">IFERROR(INDEX(dataICM!F:F,match(Caseslist!B817,dataICM!D:D,0)), "INC")</f>
        <v>Janet Serafica</v>
      </c>
      <c r="I817" s="10">
        <f t="shared" si="2"/>
        <v>729375</v>
      </c>
      <c r="J817" s="9" t="str">
        <f t="array" ref="J817">IF(
  AND(
    IFERROR(MATCH(B817, data!D:D, 0), 0) &gt; 0,
    IFERROR(INDEX(data!N:N, MATCH(B817, data!D:D, 0)) = 1, FALSE)
  ),
  INDEX(data!C:C, MATCH(B817, data!D:D, 0)),
  "INC"
)</f>
        <v>2025-08-26T11:55:14.432+08</v>
      </c>
      <c r="K817" s="9" t="str">
        <f t="array" ref="K817">IFERROR(INDEX(dataICM!C:C,match(Caseslist!B817,dataICM!D:D,0)), "INC")</f>
        <v>2025-08-26T12:05:20.601+08</v>
      </c>
      <c r="L817" s="10" t="str">
        <f t="array" ref="L817">IF(AND(G817="COMPLETE", OR(K817="INC", ISBLANK(INDEX(data!O:O, ROW())))), J817, K817)</f>
        <v>2025-08-26T12:05:20.601+08</v>
      </c>
      <c r="M817" s="2">
        <v>45895.0</v>
      </c>
      <c r="N817" s="2">
        <f t="array" ref="N817">IF(M817&lt;&gt;"INC", INDEX(data!M:M, MATCH(B817, data!D:D, 0)), "")</f>
        <v>1</v>
      </c>
      <c r="O817" s="2">
        <f t="shared" si="3"/>
        <v>1</v>
      </c>
    </row>
    <row r="818">
      <c r="A818" s="2" t="str">
        <f t="shared" si="1"/>
        <v>H019505</v>
      </c>
      <c r="B818" s="1" t="s">
        <v>335</v>
      </c>
      <c r="C818" s="9" t="str">
        <f t="array" ref="C818">IF(
  AND(
    IFERROR(MATCH(Caseslist!B818, data!D:D, 0), 0) &gt; 0,
    IFERROR(INDEX(data!N:N, MATCH(Caseslist!B818, data!D:D, 0)) = 1, FALSE)
  ),
  "COMPLETE",
  "INC"
)</f>
        <v>COMPLETE</v>
      </c>
      <c r="D818" s="9">
        <f t="array" ref="D818">IFERROR(INDEX(data!$G:$G,match(Caseslist!B818,data!$D:$D,0)), "INC")</f>
        <v>859767</v>
      </c>
      <c r="E818" s="9" t="str">
        <f t="array" ref="E818">IFERROR(INDEX(data!H:H,match(Caseslist!B818,data!D:D,0)), "INC")</f>
        <v>Ramie De Pedro Jr.</v>
      </c>
      <c r="F818" s="10" t="str">
        <f t="array" ref="F818">IF(
    OR(
      IFNA(INDEX(data!M:M, MATCH(Caseslist!B818, data!D:D, 0)), "") = "",
      IFNA(INDEX(data!M:M, MATCH(Caseslist!B818, data!D:D, 0)), 0) = 0
    ),
    "COMPLETE",
    IF(
      IFNA(INDEX(dataICM!D:D, MATCH(Caseslist!B818, dataICM!D:D, 0)), "INC") = "INC",
      IFNA(INDEX(dataICM!D:D, MATCH(Caseslist!B818, dataICM!D:D, 0)), "INC"),
      "COMPLETE"
    )
  )</f>
        <v>COMPLETE</v>
      </c>
      <c r="G818" s="10" t="str">
        <f t="array" ref="G818">IF(IFERROR(INDEX(data!L:L,match(Caseslist!B818,data!D:D,0)),"INC")="","COMPLETE",F818)</f>
        <v>COMPLETE</v>
      </c>
      <c r="H818" s="9" t="str">
        <f t="array" ref="H818">IFERROR(INDEX(dataICM!F:F,match(Caseslist!B818,dataICM!D:D,0)), "INC")</f>
        <v>Ramie De Pedro Jr.</v>
      </c>
      <c r="I818" s="10">
        <f t="shared" si="2"/>
        <v>859767</v>
      </c>
      <c r="J818" s="9" t="str">
        <f t="array" ref="J818">IF(
  AND(
    IFERROR(MATCH(B818, data!D:D, 0), 0) &gt; 0,
    IFERROR(INDEX(data!N:N, MATCH(B818, data!D:D, 0)) = 1, FALSE)
  ),
  INDEX(data!C:C, MATCH(B818, data!D:D, 0)),
  "INC"
)</f>
        <v>2025-08-26T11:52:13.389+08</v>
      </c>
      <c r="K818" s="9" t="str">
        <f t="array" ref="K818">IFERROR(INDEX(dataICM!C:C,match(Caseslist!B818,dataICM!D:D,0)), "INC")</f>
        <v>2025-08-26T12:11:44.487+08</v>
      </c>
      <c r="L818" s="10" t="str">
        <f t="array" ref="L818">IF(AND(G818="COMPLETE", OR(K818="INC", ISBLANK(INDEX(data!O:O, ROW())))), J818, K818)</f>
        <v>2025-08-26T12:11:44.487+08</v>
      </c>
      <c r="M818" s="2">
        <v>45895.0</v>
      </c>
      <c r="N818" s="2">
        <f t="array" ref="N818">IF(M818&lt;&gt;"INC", INDEX(data!M:M, MATCH(B818, data!D:D, 0)), "")</f>
        <v>1</v>
      </c>
      <c r="O818" s="2">
        <f t="shared" si="3"/>
        <v>1</v>
      </c>
    </row>
    <row r="819">
      <c r="A819" s="2" t="str">
        <f t="shared" si="1"/>
        <v>H019505</v>
      </c>
      <c r="B819" s="1" t="s">
        <v>340</v>
      </c>
      <c r="C819" s="9" t="str">
        <f t="array" ref="C819">IF(
  AND(
    IFERROR(MATCH(Caseslist!B819, data!D:D, 0), 0) &gt; 0,
    IFERROR(INDEX(data!N:N, MATCH(Caseslist!B819, data!D:D, 0)) = 1, FALSE)
  ),
  "COMPLETE",
  "INC"
)</f>
        <v>COMPLETE</v>
      </c>
      <c r="D819" s="9">
        <f t="array" ref="D819">IFERROR(INDEX(data!$G:$G,match(Caseslist!B819,data!$D:$D,0)), "INC")</f>
        <v>859767</v>
      </c>
      <c r="E819" s="9" t="str">
        <f t="array" ref="E819">IFERROR(INDEX(data!H:H,match(Caseslist!B819,data!D:D,0)), "INC")</f>
        <v>Ramie De Pedro Jr.</v>
      </c>
      <c r="F819" s="10" t="str">
        <f t="array" ref="F819">IF(
    OR(
      IFNA(INDEX(data!M:M, MATCH(Caseslist!B819, data!D:D, 0)), "") = "",
      IFNA(INDEX(data!M:M, MATCH(Caseslist!B819, data!D:D, 0)), 0) = 0
    ),
    "COMPLETE",
    IF(
      IFNA(INDEX(dataICM!D:D, MATCH(Caseslist!B819, dataICM!D:D, 0)), "INC") = "INC",
      IFNA(INDEX(dataICM!D:D, MATCH(Caseslist!B819, dataICM!D:D, 0)), "INC"),
      "COMPLETE"
    )
  )</f>
        <v>COMPLETE</v>
      </c>
      <c r="G819" s="10" t="str">
        <f t="array" ref="G819">IF(IFERROR(INDEX(data!L:L,match(Caseslist!B819,data!D:D,0)),"INC")="","COMPLETE",F819)</f>
        <v>COMPLETE</v>
      </c>
      <c r="H819" s="9" t="str">
        <f t="array" ref="H819">IFERROR(INDEX(dataICM!F:F,match(Caseslist!B819,dataICM!D:D,0)), "INC")</f>
        <v>Ramie De Pedro Jr.</v>
      </c>
      <c r="I819" s="10">
        <f t="shared" si="2"/>
        <v>859767</v>
      </c>
      <c r="J819" s="9" t="str">
        <f t="array" ref="J819">IF(
  AND(
    IFERROR(MATCH(B819, data!D:D, 0), 0) &gt; 0,
    IFERROR(INDEX(data!N:N, MATCH(B819, data!D:D, 0)) = 1, FALSE)
  ),
  INDEX(data!C:C, MATCH(B819, data!D:D, 0)),
  "INC"
)</f>
        <v>2025-08-26T14:34:06.869+08</v>
      </c>
      <c r="K819" s="9" t="str">
        <f t="array" ref="K819">IFERROR(INDEX(dataICM!C:C,match(Caseslist!B819,dataICM!D:D,0)), "INC")</f>
        <v>2025-08-26T17:59:38.649+08</v>
      </c>
      <c r="L819" s="10" t="str">
        <f t="array" ref="L819">IF(AND(G819="COMPLETE", OR(K819="INC", ISBLANK(INDEX(data!O:O, ROW())))), J819, K819)</f>
        <v>2025-08-26T17:59:38.649+08</v>
      </c>
      <c r="M819" s="2">
        <v>45895.0</v>
      </c>
      <c r="N819" s="2">
        <f t="array" ref="N819">IF(M819&lt;&gt;"INC", INDEX(data!M:M, MATCH(B819, data!D:D, 0)), "")</f>
        <v>1</v>
      </c>
      <c r="O819" s="2">
        <f t="shared" si="3"/>
        <v>1</v>
      </c>
    </row>
    <row r="820">
      <c r="A820" s="2" t="str">
        <f t="shared" si="1"/>
        <v>H019505</v>
      </c>
      <c r="B820" s="1" t="s">
        <v>345</v>
      </c>
      <c r="C820" s="9" t="str">
        <f t="array" ref="C820">IF(
  AND(
    IFERROR(MATCH(Caseslist!B820, data!D:D, 0), 0) &gt; 0,
    IFERROR(INDEX(data!N:N, MATCH(Caseslist!B820, data!D:D, 0)) = 1, FALSE)
  ),
  "COMPLETE",
  "INC"
)</f>
        <v>COMPLETE</v>
      </c>
      <c r="D820" s="9">
        <f t="array" ref="D820">IFERROR(INDEX(data!$G:$G,match(Caseslist!B820,data!$D:$D,0)), "INC")</f>
        <v>859767</v>
      </c>
      <c r="E820" s="9" t="str">
        <f t="array" ref="E820">IFERROR(INDEX(data!H:H,match(Caseslist!B820,data!D:D,0)), "INC")</f>
        <v>Ramie De Pedro Jr.</v>
      </c>
      <c r="F820" s="10" t="str">
        <f t="array" ref="F820">IF(
    OR(
      IFNA(INDEX(data!M:M, MATCH(Caseslist!B820, data!D:D, 0)), "") = "",
      IFNA(INDEX(data!M:M, MATCH(Caseslist!B820, data!D:D, 0)), 0) = 0
    ),
    "COMPLETE",
    IF(
      IFNA(INDEX(dataICM!D:D, MATCH(Caseslist!B820, dataICM!D:D, 0)), "INC") = "INC",
      IFNA(INDEX(dataICM!D:D, MATCH(Caseslist!B820, dataICM!D:D, 0)), "INC"),
      "COMPLETE"
    )
  )</f>
        <v>COMPLETE</v>
      </c>
      <c r="G820" s="10" t="str">
        <f t="array" ref="G820">IF(IFERROR(INDEX(data!L:L,match(Caseslist!B820,data!D:D,0)),"INC")="","COMPLETE",F820)</f>
        <v>COMPLETE</v>
      </c>
      <c r="H820" s="9" t="str">
        <f t="array" ref="H820">IFERROR(INDEX(dataICM!F:F,match(Caseslist!B820,dataICM!D:D,0)), "INC")</f>
        <v>Ramie De Pedro Jr.</v>
      </c>
      <c r="I820" s="10">
        <f t="shared" si="2"/>
        <v>859767</v>
      </c>
      <c r="J820" s="9" t="str">
        <f t="array" ref="J820">IF(
  AND(
    IFERROR(MATCH(B820, data!D:D, 0), 0) &gt; 0,
    IFERROR(INDEX(data!N:N, MATCH(B820, data!D:D, 0)) = 1, FALSE)
  ),
  INDEX(data!C:C, MATCH(B820, data!D:D, 0)),
  "INC"
)</f>
        <v>2025-08-26T17:10:13.856+08</v>
      </c>
      <c r="K820" s="9" t="str">
        <f t="array" ref="K820">IFERROR(INDEX(dataICM!C:C,match(Caseslist!B820,dataICM!D:D,0)), "INC")</f>
        <v>2025-08-26T17:20:09.891+08</v>
      </c>
      <c r="L820" s="10" t="str">
        <f t="array" ref="L820">IF(AND(G820="COMPLETE", OR(K820="INC", ISBLANK(INDEX(data!O:O, ROW())))), J820, K820)</f>
        <v>2025-08-26T17:20:09.891+08</v>
      </c>
      <c r="M820" s="2">
        <v>45895.0</v>
      </c>
      <c r="N820" s="2">
        <f t="array" ref="N820">IF(M820&lt;&gt;"INC", INDEX(data!M:M, MATCH(B820, data!D:D, 0)), "")</f>
        <v>1</v>
      </c>
      <c r="O820" s="2">
        <f t="shared" si="3"/>
        <v>1</v>
      </c>
    </row>
    <row r="821">
      <c r="A821" s="2" t="str">
        <f t="shared" si="1"/>
        <v>H019505</v>
      </c>
      <c r="B821" s="1" t="s">
        <v>764</v>
      </c>
      <c r="C821" s="9" t="str">
        <f t="array" ref="C821">IF(
  AND(
    IFERROR(MATCH(Caseslist!B821, data!D:D, 0), 0) &gt; 0,
    IFERROR(INDEX(data!N:N, MATCH(Caseslist!B821, data!D:D, 0)) = 1, FALSE)
  ),
  "COMPLETE",
  "INC"
)</f>
        <v>COMPLETE</v>
      </c>
      <c r="D821" s="9">
        <f t="array" ref="D821">IFERROR(INDEX(data!$G:$G,match(Caseslist!B821,data!$D:$D,0)), "INC")</f>
        <v>729375</v>
      </c>
      <c r="E821" s="9" t="str">
        <f t="array" ref="E821">IFERROR(INDEX(data!H:H,match(Caseslist!B821,data!D:D,0)), "INC")</f>
        <v>Janet Serafica</v>
      </c>
      <c r="F821" s="10" t="str">
        <f t="array" ref="F821">IF(
    OR(
      IFNA(INDEX(data!M:M, MATCH(Caseslist!B821, data!D:D, 0)), "") = "",
      IFNA(INDEX(data!M:M, MATCH(Caseslist!B821, data!D:D, 0)), 0) = 0
    ),
    "COMPLETE",
    IF(
      IFNA(INDEX(dataICM!D:D, MATCH(Caseslist!B821, dataICM!D:D, 0)), "INC") = "INC",
      IFNA(INDEX(dataICM!D:D, MATCH(Caseslist!B821, dataICM!D:D, 0)), "INC"),
      "COMPLETE"
    )
  )</f>
        <v>COMPLETE</v>
      </c>
      <c r="G821" s="10" t="str">
        <f t="array" ref="G821">IF(IFERROR(INDEX(data!L:L,match(Caseslist!B821,data!D:D,0)),"INC")="","COMPLETE",F821)</f>
        <v>COMPLETE</v>
      </c>
      <c r="H821" s="9" t="str">
        <f t="array" ref="H821">IFERROR(INDEX(dataICM!F:F,match(Caseslist!B821,dataICM!D:D,0)), "INC")</f>
        <v>Janet Serafica</v>
      </c>
      <c r="I821" s="10">
        <f t="shared" si="2"/>
        <v>729375</v>
      </c>
      <c r="J821" s="9" t="str">
        <f t="array" ref="J821">IF(
  AND(
    IFERROR(MATCH(B821, data!D:D, 0), 0) &gt; 0,
    IFERROR(INDEX(data!N:N, MATCH(B821, data!D:D, 0)) = 1, FALSE)
  ),
  INDEX(data!C:C, MATCH(B821, data!D:D, 0)),
  "INC"
)</f>
        <v>2025-08-27T10:32:26.234+08</v>
      </c>
      <c r="K821" s="9" t="str">
        <f t="array" ref="K821">IFERROR(INDEX(dataICM!C:C,match(Caseslist!B821,dataICM!D:D,0)), "INC")</f>
        <v>2025-08-27T10:43:21.733+08</v>
      </c>
      <c r="L821" s="10" t="str">
        <f t="array" ref="L821">IF(AND(G821="COMPLETE", OR(K821="INC", ISBLANK(INDEX(data!O:O, ROW())))), J821, K821)</f>
        <v>2025-08-27T10:43:21.733+08</v>
      </c>
      <c r="M821" s="2">
        <v>45896.0</v>
      </c>
      <c r="N821" s="2">
        <f t="array" ref="N821">IF(M821&lt;&gt;"INC", INDEX(data!M:M, MATCH(B821, data!D:D, 0)), "")</f>
        <v>1</v>
      </c>
      <c r="O821" s="2">
        <f t="shared" si="3"/>
        <v>1</v>
      </c>
    </row>
    <row r="822">
      <c r="A822" s="2" t="str">
        <f t="shared" si="1"/>
        <v>H019505</v>
      </c>
      <c r="B822" s="1" t="s">
        <v>8918</v>
      </c>
      <c r="C822" s="9" t="str">
        <f t="array" ref="C822">IF(
  AND(
    IFERROR(MATCH(Caseslist!B822, data!D:D, 0), 0) &gt; 0,
    IFERROR(INDEX(data!N:N, MATCH(Caseslist!B822, data!D:D, 0)) = 1, FALSE)
  ),
  "COMPLETE",
  "INC"
)</f>
        <v>INC</v>
      </c>
      <c r="D822" s="9" t="str">
        <f t="array" ref="D822">IFERROR(INDEX(data!$G:$G,match(Caseslist!B822,data!$D:$D,0)), "INC")</f>
        <v>INC</v>
      </c>
      <c r="E822" s="9" t="str">
        <f t="array" ref="E822">IFERROR(INDEX(data!H:H,match(Caseslist!B822,data!D:D,0)), "INC")</f>
        <v>INC</v>
      </c>
      <c r="F822" s="10" t="str">
        <f t="array" ref="F822">IF(
    OR(
      IFNA(INDEX(data!M:M, MATCH(Caseslist!B822, data!D:D, 0)), "") = "",
      IFNA(INDEX(data!M:M, MATCH(Caseslist!B822, data!D:D, 0)), 0) = 0
    ),
    "COMPLETE",
    IF(
      IFNA(INDEX(dataICM!D:D, MATCH(Caseslist!B822, dataICM!D:D, 0)), "INC") = "INC",
      IFNA(INDEX(dataICM!D:D, MATCH(Caseslist!B822, dataICM!D:D, 0)), "INC"),
      "COMPLETE"
    )
  )</f>
        <v>COMPLETE</v>
      </c>
      <c r="G822" s="10" t="str">
        <f t="array" ref="G822">IF(IFERROR(INDEX(data!L:L,match(Caseslist!B822,data!D:D,0)),"INC")="","COMPLETE",F822)</f>
        <v>COMPLETE</v>
      </c>
      <c r="H822" s="9" t="str">
        <f t="array" ref="H822">IFERROR(INDEX(dataICM!F:F,match(Caseslist!B822,dataICM!D:D,0)), "INC")</f>
        <v>INC</v>
      </c>
      <c r="I822" s="10" t="str">
        <f t="shared" si="2"/>
        <v>INC</v>
      </c>
      <c r="J822" s="9" t="str">
        <f t="array" ref="J822">IF(
  AND(
    IFERROR(MATCH(B822, data!D:D, 0), 0) &gt; 0,
    IFERROR(INDEX(data!N:N, MATCH(B822, data!D:D, 0)) = 1, FALSE)
  ),
  INDEX(data!C:C, MATCH(B822, data!D:D, 0)),
  "INC"
)</f>
        <v>INC</v>
      </c>
      <c r="K822" s="9" t="str">
        <f t="array" ref="K822">IFERROR(INDEX(dataICM!C:C,match(Caseslist!B822,dataICM!D:D,0)), "INC")</f>
        <v>INC</v>
      </c>
      <c r="L822" s="10" t="str">
        <f t="array" ref="L822">IF(AND(G822="COMPLETE", OR(K822="INC", ISBLANK(INDEX(data!O:O, ROW())))), J822, K822)</f>
        <v>INC</v>
      </c>
      <c r="M822" s="2" t="s">
        <v>8886</v>
      </c>
      <c r="N822" s="2" t="str">
        <f t="array" ref="N822">IF(M822&lt;&gt;"INC", INDEX(data!M:M, MATCH(B822, data!D:D, 0)), "")</f>
        <v/>
      </c>
      <c r="O822" s="2" t="str">
        <f t="shared" si="3"/>
        <v/>
      </c>
    </row>
    <row r="823">
      <c r="A823" s="2" t="str">
        <f t="shared" si="1"/>
        <v>H019505</v>
      </c>
      <c r="B823" s="1" t="s">
        <v>309</v>
      </c>
      <c r="C823" s="9" t="str">
        <f t="array" ref="C823">IF(
  AND(
    IFERROR(MATCH(Caseslist!B823, data!D:D, 0), 0) &gt; 0,
    IFERROR(INDEX(data!N:N, MATCH(Caseslist!B823, data!D:D, 0)) = 1, FALSE)
  ),
  "COMPLETE",
  "INC"
)</f>
        <v>COMPLETE</v>
      </c>
      <c r="D823" s="9" t="str">
        <f t="array" ref="D823">IFERROR(INDEX(data!$G:$G,match(Caseslist!B823,data!$D:$D,0)), "INC")</f>
        <v>S2671943</v>
      </c>
      <c r="E823" s="9" t="str">
        <f t="array" ref="E823">IFERROR(INDEX(data!H:H,match(Caseslist!B823,data!D:D,0)), "INC")</f>
        <v>Marvin Mondia</v>
      </c>
      <c r="F823" s="10" t="str">
        <f t="array" ref="F823">IF(
    OR(
      IFNA(INDEX(data!M:M, MATCH(Caseslist!B823, data!D:D, 0)), "") = "",
      IFNA(INDEX(data!M:M, MATCH(Caseslist!B823, data!D:D, 0)), 0) = 0
    ),
    "COMPLETE",
    IF(
      IFNA(INDEX(dataICM!D:D, MATCH(Caseslist!B823, dataICM!D:D, 0)), "INC") = "INC",
      IFNA(INDEX(dataICM!D:D, MATCH(Caseslist!B823, dataICM!D:D, 0)), "INC"),
      "COMPLETE"
    )
  )</f>
        <v>COMPLETE</v>
      </c>
      <c r="G823" s="10" t="str">
        <f t="array" ref="G823">IF(IFERROR(INDEX(data!L:L,match(Caseslist!B823,data!D:D,0)),"INC")="","COMPLETE",F823)</f>
        <v>COMPLETE</v>
      </c>
      <c r="H823" s="9" t="str">
        <f t="array" ref="H823">IFERROR(INDEX(dataICM!F:F,match(Caseslist!B823,dataICM!D:D,0)), "INC")</f>
        <v>Marvin Mondia</v>
      </c>
      <c r="I823" s="10" t="str">
        <f t="shared" si="2"/>
        <v>S2671943</v>
      </c>
      <c r="J823" s="9" t="str">
        <f t="array" ref="J823">IF(
  AND(
    IFERROR(MATCH(B823, data!D:D, 0), 0) &gt; 0,
    IFERROR(INDEX(data!N:N, MATCH(B823, data!D:D, 0)) = 1, FALSE)
  ),
  INDEX(data!C:C, MATCH(B823, data!D:D, 0)),
  "INC"
)</f>
        <v>2025-08-26T16:54:03.202+08</v>
      </c>
      <c r="K823" s="9" t="str">
        <f t="array" ref="K823">IFERROR(INDEX(dataICM!C:C,match(Caseslist!B823,dataICM!D:D,0)), "INC")</f>
        <v>2025-08-26T17:05:16.217+08</v>
      </c>
      <c r="L823" s="10" t="str">
        <f t="array" ref="L823">IF(AND(G823="COMPLETE", OR(K823="INC", ISBLANK(INDEX(data!O:O, ROW())))), J823, K823)</f>
        <v>2025-08-26T17:05:16.217+08</v>
      </c>
      <c r="M823" s="2">
        <v>45895.0</v>
      </c>
      <c r="N823" s="2">
        <f t="array" ref="N823">IF(M823&lt;&gt;"INC", INDEX(data!M:M, MATCH(B823, data!D:D, 0)), "")</f>
        <v>1</v>
      </c>
      <c r="O823" s="2">
        <f t="shared" si="3"/>
        <v>1</v>
      </c>
    </row>
    <row r="824">
      <c r="A824" s="2" t="str">
        <f t="shared" si="1"/>
        <v>H019505</v>
      </c>
      <c r="B824" s="1" t="s">
        <v>819</v>
      </c>
      <c r="C824" s="9" t="str">
        <f t="array" ref="C824">IF(
  AND(
    IFERROR(MATCH(Caseslist!B824, data!D:D, 0), 0) &gt; 0,
    IFERROR(INDEX(data!N:N, MATCH(Caseslist!B824, data!D:D, 0)) = 1, FALSE)
  ),
  "COMPLETE",
  "INC"
)</f>
        <v>COMPLETE</v>
      </c>
      <c r="D824" s="9" t="str">
        <f t="array" ref="D824">IFERROR(INDEX(data!$G:$G,match(Caseslist!B824,data!$D:$D,0)), "INC")</f>
        <v>S2671943</v>
      </c>
      <c r="E824" s="9" t="str">
        <f t="array" ref="E824">IFERROR(INDEX(data!H:H,match(Caseslist!B824,data!D:D,0)), "INC")</f>
        <v>Marvin Mondia</v>
      </c>
      <c r="F824" s="10" t="str">
        <f t="array" ref="F824">IF(
    OR(
      IFNA(INDEX(data!M:M, MATCH(Caseslist!B824, data!D:D, 0)), "") = "",
      IFNA(INDEX(data!M:M, MATCH(Caseslist!B824, data!D:D, 0)), 0) = 0
    ),
    "COMPLETE",
    IF(
      IFNA(INDEX(dataICM!D:D, MATCH(Caseslist!B824, dataICM!D:D, 0)), "INC") = "INC",
      IFNA(INDEX(dataICM!D:D, MATCH(Caseslist!B824, dataICM!D:D, 0)), "INC"),
      "COMPLETE"
    )
  )</f>
        <v>COMPLETE</v>
      </c>
      <c r="G824" s="10" t="str">
        <f t="array" ref="G824">IF(IFERROR(INDEX(data!L:L,match(Caseslist!B824,data!D:D,0)),"INC")="","COMPLETE",F824)</f>
        <v>COMPLETE</v>
      </c>
      <c r="H824" s="9" t="str">
        <f t="array" ref="H824">IFERROR(INDEX(dataICM!F:F,match(Caseslist!B824,dataICM!D:D,0)), "INC")</f>
        <v>Marvin Mondia</v>
      </c>
      <c r="I824" s="10" t="str">
        <f t="shared" si="2"/>
        <v>S2671943</v>
      </c>
      <c r="J824" s="9" t="str">
        <f t="array" ref="J824">IF(
  AND(
    IFERROR(MATCH(B824, data!D:D, 0), 0) &gt; 0,
    IFERROR(INDEX(data!N:N, MATCH(B824, data!D:D, 0)) = 1, FALSE)
  ),
  INDEX(data!C:C, MATCH(B824, data!D:D, 0)),
  "INC"
)</f>
        <v>2025-08-27T11:56:19.973+08</v>
      </c>
      <c r="K824" s="9" t="str">
        <f t="array" ref="K824">IFERROR(INDEX(dataICM!C:C,match(Caseslist!B824,dataICM!D:D,0)), "INC")</f>
        <v>2025-08-27T12:07:02.360+08</v>
      </c>
      <c r="L824" s="10" t="str">
        <f t="array" ref="L824">IF(AND(G824="COMPLETE", OR(K824="INC", ISBLANK(INDEX(data!O:O, ROW())))), J824, K824)</f>
        <v>2025-08-27T12:07:02.360+08</v>
      </c>
      <c r="M824" s="2">
        <v>45896.0</v>
      </c>
      <c r="N824" s="2">
        <f t="array" ref="N824">IF(M824&lt;&gt;"INC", INDEX(data!M:M, MATCH(B824, data!D:D, 0)), "")</f>
        <v>1</v>
      </c>
      <c r="O824" s="2">
        <f t="shared" si="3"/>
        <v>1</v>
      </c>
    </row>
    <row r="825">
      <c r="A825" s="2" t="str">
        <f t="shared" si="1"/>
        <v>H019505</v>
      </c>
      <c r="B825" s="1" t="s">
        <v>824</v>
      </c>
      <c r="C825" s="9" t="str">
        <f t="array" ref="C825">IF(
  AND(
    IFERROR(MATCH(Caseslist!B825, data!D:D, 0), 0) &gt; 0,
    IFERROR(INDEX(data!N:N, MATCH(Caseslist!B825, data!D:D, 0)) = 1, FALSE)
  ),
  "COMPLETE",
  "INC"
)</f>
        <v>COMPLETE</v>
      </c>
      <c r="D825" s="9" t="str">
        <f t="array" ref="D825">IFERROR(INDEX(data!$G:$G,match(Caseslist!B825,data!$D:$D,0)), "INC")</f>
        <v>S2671943</v>
      </c>
      <c r="E825" s="9" t="str">
        <f t="array" ref="E825">IFERROR(INDEX(data!H:H,match(Caseslist!B825,data!D:D,0)), "INC")</f>
        <v>Marvin Mondia</v>
      </c>
      <c r="F825" s="10" t="str">
        <f t="array" ref="F825">IF(
    OR(
      IFNA(INDEX(data!M:M, MATCH(Caseslist!B825, data!D:D, 0)), "") = "",
      IFNA(INDEX(data!M:M, MATCH(Caseslist!B825, data!D:D, 0)), 0) = 0
    ),
    "COMPLETE",
    IF(
      IFNA(INDEX(dataICM!D:D, MATCH(Caseslist!B825, dataICM!D:D, 0)), "INC") = "INC",
      IFNA(INDEX(dataICM!D:D, MATCH(Caseslist!B825, dataICM!D:D, 0)), "INC"),
      "COMPLETE"
    )
  )</f>
        <v>COMPLETE</v>
      </c>
      <c r="G825" s="10" t="str">
        <f t="array" ref="G825">IF(IFERROR(INDEX(data!L:L,match(Caseslist!B825,data!D:D,0)),"INC")="","COMPLETE",F825)</f>
        <v>COMPLETE</v>
      </c>
      <c r="H825" s="9" t="str">
        <f t="array" ref="H825">IFERROR(INDEX(dataICM!F:F,match(Caseslist!B825,dataICM!D:D,0)), "INC")</f>
        <v>Marvin Mondia</v>
      </c>
      <c r="I825" s="10" t="str">
        <f t="shared" si="2"/>
        <v>S2671943</v>
      </c>
      <c r="J825" s="9" t="str">
        <f t="array" ref="J825">IF(
  AND(
    IFERROR(MATCH(B825, data!D:D, 0), 0) &gt; 0,
    IFERROR(INDEX(data!N:N, MATCH(B825, data!D:D, 0)) = 1, FALSE)
  ),
  INDEX(data!C:C, MATCH(B825, data!D:D, 0)),
  "INC"
)</f>
        <v>2025-08-27T14:18:47.340+08</v>
      </c>
      <c r="K825" s="9" t="str">
        <f t="array" ref="K825">IFERROR(INDEX(dataICM!C:C,match(Caseslist!B825,dataICM!D:D,0)), "INC")</f>
        <v>2025-08-27T19:46:42.525+08</v>
      </c>
      <c r="L825" s="10" t="str">
        <f t="array" ref="L825">IF(AND(G825="COMPLETE", OR(K825="INC", ISBLANK(INDEX(data!O:O, ROW())))), J825, K825)</f>
        <v>2025-08-27T19:46:42.525+08</v>
      </c>
      <c r="M825" s="2">
        <v>45896.0</v>
      </c>
      <c r="N825" s="2">
        <f t="array" ref="N825">IF(M825&lt;&gt;"INC", INDEX(data!M:M, MATCH(B825, data!D:D, 0)), "")</f>
        <v>1</v>
      </c>
      <c r="O825" s="2">
        <f t="shared" si="3"/>
        <v>1</v>
      </c>
    </row>
    <row r="826">
      <c r="A826" s="2" t="str">
        <f t="shared" si="1"/>
        <v>H019505</v>
      </c>
      <c r="B826" s="1" t="s">
        <v>298</v>
      </c>
      <c r="C826" s="9" t="str">
        <f t="array" ref="C826">IF(
  AND(
    IFERROR(MATCH(Caseslist!B826, data!D:D, 0), 0) &gt; 0,
    IFERROR(INDEX(data!N:N, MATCH(Caseslist!B826, data!D:D, 0)) = 1, FALSE)
  ),
  "COMPLETE",
  "INC"
)</f>
        <v>COMPLETE</v>
      </c>
      <c r="D826" s="9">
        <f t="array" ref="D826">IFERROR(INDEX(data!$G:$G,match(Caseslist!B826,data!$D:$D,0)), "INC")</f>
        <v>729375</v>
      </c>
      <c r="E826" s="9" t="str">
        <f t="array" ref="E826">IFERROR(INDEX(data!H:H,match(Caseslist!B826,data!D:D,0)), "INC")</f>
        <v>Janet Serafica</v>
      </c>
      <c r="F826" s="10" t="str">
        <f t="array" ref="F826">IF(
    OR(
      IFNA(INDEX(data!M:M, MATCH(Caseslist!B826, data!D:D, 0)), "") = "",
      IFNA(INDEX(data!M:M, MATCH(Caseslist!B826, data!D:D, 0)), 0) = 0
    ),
    "COMPLETE",
    IF(
      IFNA(INDEX(dataICM!D:D, MATCH(Caseslist!B826, dataICM!D:D, 0)), "INC") = "INC",
      IFNA(INDEX(dataICM!D:D, MATCH(Caseslist!B826, dataICM!D:D, 0)), "INC"),
      "COMPLETE"
    )
  )</f>
        <v>COMPLETE</v>
      </c>
      <c r="G826" s="10" t="str">
        <f t="array" ref="G826">IF(IFERROR(INDEX(data!L:L,match(Caseslist!B826,data!D:D,0)),"INC")="","COMPLETE",F826)</f>
        <v>COMPLETE</v>
      </c>
      <c r="H826" s="9" t="str">
        <f t="array" ref="H826">IFERROR(INDEX(dataICM!F:F,match(Caseslist!B826,dataICM!D:D,0)), "INC")</f>
        <v>Janet Serafica</v>
      </c>
      <c r="I826" s="10">
        <f t="shared" si="2"/>
        <v>729375</v>
      </c>
      <c r="J826" s="9" t="str">
        <f t="array" ref="J826">IF(
  AND(
    IFERROR(MATCH(B826, data!D:D, 0), 0) &gt; 0,
    IFERROR(INDEX(data!N:N, MATCH(B826, data!D:D, 0)) = 1, FALSE)
  ),
  INDEX(data!C:C, MATCH(B826, data!D:D, 0)),
  "INC"
)</f>
        <v>2025-08-26T16:21:36.045+08</v>
      </c>
      <c r="K826" s="9" t="str">
        <f t="array" ref="K826">IFERROR(INDEX(dataICM!C:C,match(Caseslist!B826,dataICM!D:D,0)), "INC")</f>
        <v>2025-08-26T16:31:25.202+08</v>
      </c>
      <c r="L826" s="10" t="str">
        <f t="array" ref="L826">IF(AND(G826="COMPLETE", OR(K826="INC", ISBLANK(INDEX(data!O:O, ROW())))), J826, K826)</f>
        <v>2025-08-26T16:31:25.202+08</v>
      </c>
      <c r="M826" s="2">
        <v>45895.0</v>
      </c>
      <c r="N826" s="2">
        <f t="array" ref="N826">IF(M826&lt;&gt;"INC", INDEX(data!M:M, MATCH(B826, data!D:D, 0)), "")</f>
        <v>1</v>
      </c>
      <c r="O826" s="2">
        <f t="shared" si="3"/>
        <v>1</v>
      </c>
    </row>
    <row r="827">
      <c r="A827" s="2" t="str">
        <f t="shared" si="1"/>
        <v>H019505</v>
      </c>
      <c r="B827" s="1" t="s">
        <v>287</v>
      </c>
      <c r="C827" s="9" t="str">
        <f t="array" ref="C827">IF(
  AND(
    IFERROR(MATCH(Caseslist!B827, data!D:D, 0), 0) &gt; 0,
    IFERROR(INDEX(data!N:N, MATCH(Caseslist!B827, data!D:D, 0)) = 1, FALSE)
  ),
  "COMPLETE",
  "INC"
)</f>
        <v>COMPLETE</v>
      </c>
      <c r="D827" s="9">
        <f t="array" ref="D827">IFERROR(INDEX(data!$G:$G,match(Caseslist!B827,data!$D:$D,0)), "INC")</f>
        <v>729375</v>
      </c>
      <c r="E827" s="9" t="str">
        <f t="array" ref="E827">IFERROR(INDEX(data!H:H,match(Caseslist!B827,data!D:D,0)), "INC")</f>
        <v>Janet Serafica</v>
      </c>
      <c r="F827" s="10" t="str">
        <f t="array" ref="F827">IF(
    OR(
      IFNA(INDEX(data!M:M, MATCH(Caseslist!B827, data!D:D, 0)), "") = "",
      IFNA(INDEX(data!M:M, MATCH(Caseslist!B827, data!D:D, 0)), 0) = 0
    ),
    "COMPLETE",
    IF(
      IFNA(INDEX(dataICM!D:D, MATCH(Caseslist!B827, dataICM!D:D, 0)), "INC") = "INC",
      IFNA(INDEX(dataICM!D:D, MATCH(Caseslist!B827, dataICM!D:D, 0)), "INC"),
      "COMPLETE"
    )
  )</f>
        <v>COMPLETE</v>
      </c>
      <c r="G827" s="10" t="str">
        <f t="array" ref="G827">IF(IFERROR(INDEX(data!L:L,match(Caseslist!B827,data!D:D,0)),"INC")="","COMPLETE",F827)</f>
        <v>COMPLETE</v>
      </c>
      <c r="H827" s="9" t="str">
        <f t="array" ref="H827">IFERROR(INDEX(dataICM!F:F,match(Caseslist!B827,dataICM!D:D,0)), "INC")</f>
        <v>Janet Serafica</v>
      </c>
      <c r="I827" s="10">
        <f t="shared" si="2"/>
        <v>729375</v>
      </c>
      <c r="J827" s="9" t="str">
        <f t="array" ref="J827">IF(
  AND(
    IFERROR(MATCH(B827, data!D:D, 0), 0) &gt; 0,
    IFERROR(INDEX(data!N:N, MATCH(B827, data!D:D, 0)) = 1, FALSE)
  ),
  INDEX(data!C:C, MATCH(B827, data!D:D, 0)),
  "INC"
)</f>
        <v>2025-08-26T10:52:17.207+08</v>
      </c>
      <c r="K827" s="9" t="str">
        <f t="array" ref="K827">IFERROR(INDEX(dataICM!C:C,match(Caseslist!B827,dataICM!D:D,0)), "INC")</f>
        <v>2025-08-26T11:05:32.574+08</v>
      </c>
      <c r="L827" s="10" t="str">
        <f t="array" ref="L827">IF(AND(G827="COMPLETE", OR(K827="INC", ISBLANK(INDEX(data!O:O, ROW())))), J827, K827)</f>
        <v>2025-08-26T11:05:32.574+08</v>
      </c>
      <c r="M827" s="2">
        <v>45895.0</v>
      </c>
      <c r="N827" s="2">
        <f t="array" ref="N827">IF(M827&lt;&gt;"INC", INDEX(data!M:M, MATCH(B827, data!D:D, 0)), "")</f>
        <v>1</v>
      </c>
      <c r="O827" s="2">
        <f t="shared" si="3"/>
        <v>1</v>
      </c>
    </row>
    <row r="828">
      <c r="A828" s="2" t="str">
        <f t="shared" si="1"/>
        <v>H019505</v>
      </c>
      <c r="B828" s="1" t="s">
        <v>8919</v>
      </c>
      <c r="C828" s="9" t="str">
        <f t="array" ref="C828">IF(
  AND(
    IFERROR(MATCH(Caseslist!B828, data!D:D, 0), 0) &gt; 0,
    IFERROR(INDEX(data!N:N, MATCH(Caseslist!B828, data!D:D, 0)) = 1, FALSE)
  ),
  "COMPLETE",
  "INC"
)</f>
        <v>INC</v>
      </c>
      <c r="D828" s="9" t="str">
        <f t="array" ref="D828">IFERROR(INDEX(data!$G:$G,match(Caseslist!B828,data!$D:$D,0)), "INC")</f>
        <v>INC</v>
      </c>
      <c r="E828" s="9" t="str">
        <f t="array" ref="E828">IFERROR(INDEX(data!H:H,match(Caseslist!B828,data!D:D,0)), "INC")</f>
        <v>INC</v>
      </c>
      <c r="F828" s="10" t="str">
        <f t="array" ref="F828">IF(
    OR(
      IFNA(INDEX(data!M:M, MATCH(Caseslist!B828, data!D:D, 0)), "") = "",
      IFNA(INDEX(data!M:M, MATCH(Caseslist!B828, data!D:D, 0)), 0) = 0
    ),
    "COMPLETE",
    IF(
      IFNA(INDEX(dataICM!D:D, MATCH(Caseslist!B828, dataICM!D:D, 0)), "INC") = "INC",
      IFNA(INDEX(dataICM!D:D, MATCH(Caseslist!B828, dataICM!D:D, 0)), "INC"),
      "COMPLETE"
    )
  )</f>
        <v>COMPLETE</v>
      </c>
      <c r="G828" s="10" t="str">
        <f t="array" ref="G828">IF(IFERROR(INDEX(data!L:L,match(Caseslist!B828,data!D:D,0)),"INC")="","COMPLETE",F828)</f>
        <v>COMPLETE</v>
      </c>
      <c r="H828" s="9" t="str">
        <f t="array" ref="H828">IFERROR(INDEX(dataICM!F:F,match(Caseslist!B828,dataICM!D:D,0)), "INC")</f>
        <v>INC</v>
      </c>
      <c r="I828" s="10" t="str">
        <f t="shared" si="2"/>
        <v>INC</v>
      </c>
      <c r="J828" s="9" t="str">
        <f t="array" ref="J828">IF(
  AND(
    IFERROR(MATCH(B828, data!D:D, 0), 0) &gt; 0,
    IFERROR(INDEX(data!N:N, MATCH(B828, data!D:D, 0)) = 1, FALSE)
  ),
  INDEX(data!C:C, MATCH(B828, data!D:D, 0)),
  "INC"
)</f>
        <v>INC</v>
      </c>
      <c r="K828" s="9" t="str">
        <f t="array" ref="K828">IFERROR(INDEX(dataICM!C:C,match(Caseslist!B828,dataICM!D:D,0)), "INC")</f>
        <v>INC</v>
      </c>
      <c r="L828" s="10" t="str">
        <f t="array" ref="L828">IF(AND(G828="COMPLETE", OR(K828="INC", ISBLANK(INDEX(data!O:O, ROW())))), J828, K828)</f>
        <v>INC</v>
      </c>
      <c r="M828" s="2" t="s">
        <v>8886</v>
      </c>
      <c r="N828" s="2" t="str">
        <f t="array" ref="N828">IF(M828&lt;&gt;"INC", INDEX(data!M:M, MATCH(B828, data!D:D, 0)), "")</f>
        <v/>
      </c>
      <c r="O828" s="2" t="str">
        <f t="shared" si="3"/>
        <v/>
      </c>
    </row>
    <row r="829">
      <c r="A829" s="2" t="str">
        <f t="shared" si="1"/>
        <v>H019505</v>
      </c>
      <c r="B829" s="1" t="s">
        <v>754</v>
      </c>
      <c r="C829" s="9" t="str">
        <f t="array" ref="C829">IF(
  AND(
    IFERROR(MATCH(Caseslist!B829, data!D:D, 0), 0) &gt; 0,
    IFERROR(INDEX(data!N:N, MATCH(Caseslist!B829, data!D:D, 0)) = 1, FALSE)
  ),
  "COMPLETE",
  "INC"
)</f>
        <v>COMPLETE</v>
      </c>
      <c r="D829" s="9">
        <f t="array" ref="D829">IFERROR(INDEX(data!$G:$G,match(Caseslist!B829,data!$D:$D,0)), "INC")</f>
        <v>729375</v>
      </c>
      <c r="E829" s="9" t="str">
        <f t="array" ref="E829">IFERROR(INDEX(data!H:H,match(Caseslist!B829,data!D:D,0)), "INC")</f>
        <v>Janet Serafica</v>
      </c>
      <c r="F829" s="10" t="str">
        <f t="array" ref="F829">IF(
    OR(
      IFNA(INDEX(data!M:M, MATCH(Caseslist!B829, data!D:D, 0)), "") = "",
      IFNA(INDEX(data!M:M, MATCH(Caseslist!B829, data!D:D, 0)), 0) = 0
    ),
    "COMPLETE",
    IF(
      IFNA(INDEX(dataICM!D:D, MATCH(Caseslist!B829, dataICM!D:D, 0)), "INC") = "INC",
      IFNA(INDEX(dataICM!D:D, MATCH(Caseslist!B829, dataICM!D:D, 0)), "INC"),
      "COMPLETE"
    )
  )</f>
        <v>COMPLETE</v>
      </c>
      <c r="G829" s="10" t="str">
        <f t="array" ref="G829">IF(IFERROR(INDEX(data!L:L,match(Caseslist!B829,data!D:D,0)),"INC")="","COMPLETE",F829)</f>
        <v>COMPLETE</v>
      </c>
      <c r="H829" s="9" t="str">
        <f t="array" ref="H829">IFERROR(INDEX(dataICM!F:F,match(Caseslist!B829,dataICM!D:D,0)), "INC")</f>
        <v>Janet Serafica</v>
      </c>
      <c r="I829" s="10">
        <f t="shared" si="2"/>
        <v>729375</v>
      </c>
      <c r="J829" s="9" t="str">
        <f t="array" ref="J829">IF(
  AND(
    IFERROR(MATCH(B829, data!D:D, 0), 0) &gt; 0,
    IFERROR(INDEX(data!N:N, MATCH(B829, data!D:D, 0)) = 1, FALSE)
  ),
  INDEX(data!C:C, MATCH(B829, data!D:D, 0)),
  "INC"
)</f>
        <v>2025-08-27T11:33:03.066+08</v>
      </c>
      <c r="K829" s="9" t="str">
        <f t="array" ref="K829">IFERROR(INDEX(dataICM!C:C,match(Caseslist!B829,dataICM!D:D,0)), "INC")</f>
        <v>2025-08-27T11:39:30.098+08</v>
      </c>
      <c r="L829" s="10" t="str">
        <f t="array" ref="L829">IF(AND(G829="COMPLETE", OR(K829="INC", ISBLANK(INDEX(data!O:O, ROW())))), J829, K829)</f>
        <v>2025-08-27T11:39:30.098+08</v>
      </c>
      <c r="M829" s="2">
        <v>45896.0</v>
      </c>
      <c r="N829" s="2">
        <f t="array" ref="N829">IF(M829&lt;&gt;"INC", INDEX(data!M:M, MATCH(B829, data!D:D, 0)), "")</f>
        <v>1</v>
      </c>
      <c r="O829" s="2">
        <f t="shared" si="3"/>
        <v>1</v>
      </c>
    </row>
    <row r="830">
      <c r="A830" s="2" t="str">
        <f t="shared" si="1"/>
        <v>H019505</v>
      </c>
      <c r="B830" s="1" t="s">
        <v>303</v>
      </c>
      <c r="C830" s="9" t="str">
        <f t="array" ref="C830">IF(
  AND(
    IFERROR(MATCH(Caseslist!B830, data!D:D, 0), 0) &gt; 0,
    IFERROR(INDEX(data!N:N, MATCH(Caseslist!B830, data!D:D, 0)) = 1, FALSE)
  ),
  "COMPLETE",
  "INC"
)</f>
        <v>COMPLETE</v>
      </c>
      <c r="D830" s="9" t="str">
        <f t="array" ref="D830">IFERROR(INDEX(data!$G:$G,match(Caseslist!B830,data!$D:$D,0)), "INC")</f>
        <v>S2671943</v>
      </c>
      <c r="E830" s="9" t="str">
        <f t="array" ref="E830">IFERROR(INDEX(data!H:H,match(Caseslist!B830,data!D:D,0)), "INC")</f>
        <v>Marvin Mondia</v>
      </c>
      <c r="F830" s="10" t="str">
        <f t="array" ref="F830">IF(
    OR(
      IFNA(INDEX(data!M:M, MATCH(Caseslist!B830, data!D:D, 0)), "") = "",
      IFNA(INDEX(data!M:M, MATCH(Caseslist!B830, data!D:D, 0)), 0) = 0
    ),
    "COMPLETE",
    IF(
      IFNA(INDEX(dataICM!D:D, MATCH(Caseslist!B830, dataICM!D:D, 0)), "INC") = "INC",
      IFNA(INDEX(dataICM!D:D, MATCH(Caseslist!B830, dataICM!D:D, 0)), "INC"),
      "COMPLETE"
    )
  )</f>
        <v>COMPLETE</v>
      </c>
      <c r="G830" s="10" t="str">
        <f t="array" ref="G830">IF(IFERROR(INDEX(data!L:L,match(Caseslist!B830,data!D:D,0)),"INC")="","COMPLETE",F830)</f>
        <v>COMPLETE</v>
      </c>
      <c r="H830" s="9" t="str">
        <f t="array" ref="H830">IFERROR(INDEX(dataICM!F:F,match(Caseslist!B830,dataICM!D:D,0)), "INC")</f>
        <v>Marvin Mondia</v>
      </c>
      <c r="I830" s="10" t="str">
        <f t="shared" si="2"/>
        <v>S2671943</v>
      </c>
      <c r="J830" s="9" t="str">
        <f t="array" ref="J830">IF(
  AND(
    IFERROR(MATCH(B830, data!D:D, 0), 0) &gt; 0,
    IFERROR(INDEX(data!N:N, MATCH(B830, data!D:D, 0)) = 1, FALSE)
  ),
  INDEX(data!C:C, MATCH(B830, data!D:D, 0)),
  "INC"
)</f>
        <v>2025-08-26T12:44:02.164+08</v>
      </c>
      <c r="K830" s="9" t="str">
        <f t="array" ref="K830">IFERROR(INDEX(dataICM!C:C,match(Caseslist!B830,dataICM!D:D,0)), "INC")</f>
        <v>2025-08-26T13:11:38.183+08</v>
      </c>
      <c r="L830" s="10" t="str">
        <f t="array" ref="L830">IF(AND(G830="COMPLETE", OR(K830="INC", ISBLANK(INDEX(data!O:O, ROW())))), J830, K830)</f>
        <v>2025-08-26T13:11:38.183+08</v>
      </c>
      <c r="M830" s="2">
        <v>45895.0</v>
      </c>
      <c r="N830" s="2">
        <f t="array" ref="N830">IF(M830&lt;&gt;"INC", INDEX(data!M:M, MATCH(B830, data!D:D, 0)), "")</f>
        <v>1</v>
      </c>
      <c r="O830" s="2">
        <f t="shared" si="3"/>
        <v>1</v>
      </c>
    </row>
    <row r="831">
      <c r="A831" s="2" t="str">
        <f t="shared" si="1"/>
        <v>H019506</v>
      </c>
      <c r="B831" s="1" t="s">
        <v>4657</v>
      </c>
      <c r="C831" s="9" t="str">
        <f t="array" ref="C831">IF(
  AND(
    IFERROR(MATCH(Caseslist!B831, data!D:D, 0), 0) &gt; 0,
    IFERROR(INDEX(data!N:N, MATCH(Caseslist!B831, data!D:D, 0)) = 1, FALSE)
  ),
  "COMPLETE",
  "INC"
)</f>
        <v>COMPLETE</v>
      </c>
      <c r="D831" s="9" t="str">
        <f t="array" ref="D831">IFERROR(INDEX(data!$G:$G,match(Caseslist!B831,data!$D:$D,0)), "INC")</f>
        <v>S2671943</v>
      </c>
      <c r="E831" s="9" t="str">
        <f t="array" ref="E831">IFERROR(INDEX(data!H:H,match(Caseslist!B831,data!D:D,0)), "INC")</f>
        <v>Marvin Mondia</v>
      </c>
      <c r="F831" s="10" t="str">
        <f t="array" ref="F831">IF(
    OR(
      IFNA(INDEX(data!M:M, MATCH(Caseslist!B831, data!D:D, 0)), "") = "",
      IFNA(INDEX(data!M:M, MATCH(Caseslist!B831, data!D:D, 0)), 0) = 0
    ),
    "COMPLETE",
    IF(
      IFNA(INDEX(dataICM!D:D, MATCH(Caseslist!B831, dataICM!D:D, 0)), "INC") = "INC",
      IFNA(INDEX(dataICM!D:D, MATCH(Caseslist!B831, dataICM!D:D, 0)), "INC"),
      "COMPLETE"
    )
  )</f>
        <v>COMPLETE</v>
      </c>
      <c r="G831" s="10" t="str">
        <f t="array" ref="G831">IF(IFERROR(INDEX(data!L:L,match(Caseslist!B831,data!D:D,0)),"INC")="","COMPLETE",F831)</f>
        <v>COMPLETE</v>
      </c>
      <c r="H831" s="9" t="str">
        <f t="array" ref="H831">IFERROR(INDEX(dataICM!F:F,match(Caseslist!B831,dataICM!D:D,0)), "INC")</f>
        <v>Marvin Mondia</v>
      </c>
      <c r="I831" s="10" t="str">
        <f t="shared" si="2"/>
        <v>S2671943</v>
      </c>
      <c r="J831" s="9" t="str">
        <f t="array" ref="J831">IF(
  AND(
    IFERROR(MATCH(B831, data!D:D, 0), 0) &gt; 0,
    IFERROR(INDEX(data!N:N, MATCH(B831, data!D:D, 0)) = 1, FALSE)
  ),
  INDEX(data!C:C, MATCH(B831, data!D:D, 0)),
  "INC"
)</f>
        <v>2025-09-08T11:28:36.949+08</v>
      </c>
      <c r="K831" s="9" t="str">
        <f t="array" ref="K831">IFERROR(INDEX(dataICM!C:C,match(Caseslist!B831,dataICM!D:D,0)), "INC")</f>
        <v>2025-09-08T11:30:45.825+08</v>
      </c>
      <c r="L831" s="10" t="str">
        <f t="array" ref="L831">IF(AND(G831="COMPLETE", OR(K831="INC", ISBLANK(INDEX(data!O:O, ROW())))), J831, K831)</f>
        <v>2025-09-08T11:30:45.825+08</v>
      </c>
      <c r="M831" s="2">
        <v>45908.0</v>
      </c>
      <c r="N831" s="2">
        <f t="array" ref="N831">IF(M831&lt;&gt;"INC", INDEX(data!M:M, MATCH(B831, data!D:D, 0)), "")</f>
        <v>1</v>
      </c>
      <c r="O831" s="2">
        <f t="shared" si="3"/>
        <v>1</v>
      </c>
    </row>
    <row r="832">
      <c r="A832" s="2" t="str">
        <f t="shared" si="1"/>
        <v>H019506</v>
      </c>
      <c r="B832" s="1" t="s">
        <v>4642</v>
      </c>
      <c r="C832" s="9" t="str">
        <f t="array" ref="C832">IF(
  AND(
    IFERROR(MATCH(Caseslist!B832, data!D:D, 0), 0) &gt; 0,
    IFERROR(INDEX(data!N:N, MATCH(Caseslist!B832, data!D:D, 0)) = 1, FALSE)
  ),
  "COMPLETE",
  "INC"
)</f>
        <v>COMPLETE</v>
      </c>
      <c r="D832" s="9">
        <f t="array" ref="D832">IFERROR(INDEX(data!$G:$G,match(Caseslist!B832,data!$D:$D,0)), "INC")</f>
        <v>729375</v>
      </c>
      <c r="E832" s="9" t="str">
        <f t="array" ref="E832">IFERROR(INDEX(data!H:H,match(Caseslist!B832,data!D:D,0)), "INC")</f>
        <v>Janet Serafica_2</v>
      </c>
      <c r="F832" s="10" t="str">
        <f t="array" ref="F832">IF(
    OR(
      IFNA(INDEX(data!M:M, MATCH(Caseslist!B832, data!D:D, 0)), "") = "",
      IFNA(INDEX(data!M:M, MATCH(Caseslist!B832, data!D:D, 0)), 0) = 0
    ),
    "COMPLETE",
    IF(
      IFNA(INDEX(dataICM!D:D, MATCH(Caseslist!B832, dataICM!D:D, 0)), "INC") = "INC",
      IFNA(INDEX(dataICM!D:D, MATCH(Caseslist!B832, dataICM!D:D, 0)), "INC"),
      "COMPLETE"
    )
  )</f>
        <v>COMPLETE</v>
      </c>
      <c r="G832" s="10" t="str">
        <f t="array" ref="G832">IF(IFERROR(INDEX(data!L:L,match(Caseslist!B832,data!D:D,0)),"INC")="","COMPLETE",F832)</f>
        <v>COMPLETE</v>
      </c>
      <c r="H832" s="9" t="str">
        <f t="array" ref="H832">IFERROR(INDEX(dataICM!F:F,match(Caseslist!B832,dataICM!D:D,0)), "INC")</f>
        <v>Janet Serafica_2</v>
      </c>
      <c r="I832" s="10">
        <f t="shared" si="2"/>
        <v>729375</v>
      </c>
      <c r="J832" s="9" t="str">
        <f t="array" ref="J832">IF(
  AND(
    IFERROR(MATCH(B832, data!D:D, 0), 0) &gt; 0,
    IFERROR(INDEX(data!N:N, MATCH(B832, data!D:D, 0)) = 1, FALSE)
  ),
  INDEX(data!C:C, MATCH(B832, data!D:D, 0)),
  "INC"
)</f>
        <v>2025-09-08T11:13:46.702+08</v>
      </c>
      <c r="K832" s="9" t="str">
        <f t="array" ref="K832">IFERROR(INDEX(dataICM!C:C,match(Caseslist!B832,dataICM!D:D,0)), "INC")</f>
        <v>2025-09-08T11:20:33.388+08</v>
      </c>
      <c r="L832" s="10" t="str">
        <f t="array" ref="L832">IF(AND(G832="COMPLETE", OR(K832="INC", ISBLANK(INDEX(data!O:O, ROW())))), J832, K832)</f>
        <v>2025-09-08T11:20:33.388+08</v>
      </c>
      <c r="M832" s="2">
        <v>45908.0</v>
      </c>
      <c r="N832" s="2">
        <f t="array" ref="N832">IF(M832&lt;&gt;"INC", INDEX(data!M:M, MATCH(B832, data!D:D, 0)), "")</f>
        <v>1</v>
      </c>
      <c r="O832" s="2">
        <f t="shared" si="3"/>
        <v>1</v>
      </c>
    </row>
    <row r="833">
      <c r="A833" s="2" t="str">
        <f t="shared" si="1"/>
        <v>H019506</v>
      </c>
      <c r="B833" s="1" t="s">
        <v>4667</v>
      </c>
      <c r="C833" s="9" t="str">
        <f t="array" ref="C833">IF(
  AND(
    IFERROR(MATCH(Caseslist!B833, data!D:D, 0), 0) &gt; 0,
    IFERROR(INDEX(data!N:N, MATCH(Caseslist!B833, data!D:D, 0)) = 1, FALSE)
  ),
  "COMPLETE",
  "INC"
)</f>
        <v>COMPLETE</v>
      </c>
      <c r="D833" s="9">
        <f t="array" ref="D833">IFERROR(INDEX(data!$G:$G,match(Caseslist!B833,data!$D:$D,0)), "INC")</f>
        <v>859767</v>
      </c>
      <c r="E833" s="9" t="str">
        <f t="array" ref="E833">IFERROR(INDEX(data!H:H,match(Caseslist!B833,data!D:D,0)), "INC")</f>
        <v>Ramie De Pedro Jr._2</v>
      </c>
      <c r="F833" s="10" t="str">
        <f t="array" ref="F833">IF(
    OR(
      IFNA(INDEX(data!M:M, MATCH(Caseslist!B833, data!D:D, 0)), "") = "",
      IFNA(INDEX(data!M:M, MATCH(Caseslist!B833, data!D:D, 0)), 0) = 0
    ),
    "COMPLETE",
    IF(
      IFNA(INDEX(dataICM!D:D, MATCH(Caseslist!B833, dataICM!D:D, 0)), "INC") = "INC",
      IFNA(INDEX(dataICM!D:D, MATCH(Caseslist!B833, dataICM!D:D, 0)), "INC"),
      "COMPLETE"
    )
  )</f>
        <v>INC</v>
      </c>
      <c r="G833" s="10" t="str">
        <f t="array" ref="G833">IF(IFERROR(INDEX(data!L:L,match(Caseslist!B833,data!D:D,0)),"INC")="","COMPLETE",F833)</f>
        <v>INC</v>
      </c>
      <c r="H833" s="9" t="str">
        <f t="array" ref="H833">IFERROR(INDEX(dataICM!F:F,match(Caseslist!B833,dataICM!D:D,0)), "INC")</f>
        <v>INC</v>
      </c>
      <c r="I833" s="10" t="str">
        <f t="shared" si="2"/>
        <v>INC</v>
      </c>
      <c r="J833" s="9" t="str">
        <f t="array" ref="J833">IF(
  AND(
    IFERROR(MATCH(B833, data!D:D, 0), 0) &gt; 0,
    IFERROR(INDEX(data!N:N, MATCH(B833, data!D:D, 0)) = 1, FALSE)
  ),
  INDEX(data!C:C, MATCH(B833, data!D:D, 0)),
  "INC"
)</f>
        <v>2025-09-30T17:31:11.788+08</v>
      </c>
      <c r="K833" s="9" t="str">
        <f t="array" ref="K833">IFERROR(INDEX(dataICM!C:C,match(Caseslist!B833,dataICM!D:D,0)), "INC")</f>
        <v>INC</v>
      </c>
      <c r="L833" s="10" t="str">
        <f t="array" ref="L833">IF(AND(G833="COMPLETE", OR(K833="INC", ISBLANK(INDEX(data!O:O, ROW())))), J833, K833)</f>
        <v>INC</v>
      </c>
      <c r="M833" s="2" t="s">
        <v>8886</v>
      </c>
      <c r="N833" s="2" t="str">
        <f t="array" ref="N833">IF(M833&lt;&gt;"INC", INDEX(data!M:M, MATCH(B833, data!D:D, 0)), "")</f>
        <v/>
      </c>
      <c r="O833" s="2" t="str">
        <f t="shared" si="3"/>
        <v/>
      </c>
    </row>
    <row r="834">
      <c r="A834" s="2" t="str">
        <f t="shared" si="1"/>
        <v>H019506</v>
      </c>
      <c r="B834" s="1" t="s">
        <v>4647</v>
      </c>
      <c r="C834" s="9" t="str">
        <f t="array" ref="C834">IF(
  AND(
    IFERROR(MATCH(Caseslist!B834, data!D:D, 0), 0) &gt; 0,
    IFERROR(INDEX(data!N:N, MATCH(Caseslist!B834, data!D:D, 0)) = 1, FALSE)
  ),
  "COMPLETE",
  "INC"
)</f>
        <v>COMPLETE</v>
      </c>
      <c r="D834" s="9">
        <f t="array" ref="D834">IFERROR(INDEX(data!$G:$G,match(Caseslist!B834,data!$D:$D,0)), "INC")</f>
        <v>729375</v>
      </c>
      <c r="E834" s="9" t="str">
        <f t="array" ref="E834">IFERROR(INDEX(data!H:H,match(Caseslist!B834,data!D:D,0)), "INC")</f>
        <v>Janet Serafica_2</v>
      </c>
      <c r="F834" s="10" t="str">
        <f t="array" ref="F834">IF(
    OR(
      IFNA(INDEX(data!M:M, MATCH(Caseslist!B834, data!D:D, 0)), "") = "",
      IFNA(INDEX(data!M:M, MATCH(Caseslist!B834, data!D:D, 0)), 0) = 0
    ),
    "COMPLETE",
    IF(
      IFNA(INDEX(dataICM!D:D, MATCH(Caseslist!B834, dataICM!D:D, 0)), "INC") = "INC",
      IFNA(INDEX(dataICM!D:D, MATCH(Caseslist!B834, dataICM!D:D, 0)), "INC"),
      "COMPLETE"
    )
  )</f>
        <v>COMPLETE</v>
      </c>
      <c r="G834" s="10" t="str">
        <f t="array" ref="G834">IF(IFERROR(INDEX(data!L:L,match(Caseslist!B834,data!D:D,0)),"INC")="","COMPLETE",F834)</f>
        <v>COMPLETE</v>
      </c>
      <c r="H834" s="9" t="str">
        <f t="array" ref="H834">IFERROR(INDEX(dataICM!F:F,match(Caseslist!B834,dataICM!D:D,0)), "INC")</f>
        <v>Janet Serafica_2</v>
      </c>
      <c r="I834" s="10">
        <f t="shared" si="2"/>
        <v>729375</v>
      </c>
      <c r="J834" s="9" t="str">
        <f t="array" ref="J834">IF(
  AND(
    IFERROR(MATCH(B834, data!D:D, 0), 0) &gt; 0,
    IFERROR(INDEX(data!N:N, MATCH(B834, data!D:D, 0)) = 1, FALSE)
  ),
  INDEX(data!C:C, MATCH(B834, data!D:D, 0)),
  "INC"
)</f>
        <v>2025-09-08T13:53:56.396+08</v>
      </c>
      <c r="K834" s="9" t="str">
        <f t="array" ref="K834">IFERROR(INDEX(dataICM!C:C,match(Caseslist!B834,dataICM!D:D,0)), "INC")</f>
        <v>2025-09-08T13:59:38.929+08</v>
      </c>
      <c r="L834" s="10" t="str">
        <f t="array" ref="L834">IF(AND(G834="COMPLETE", OR(K834="INC", ISBLANK(INDEX(data!O:O, ROW())))), J834, K834)</f>
        <v>2025-09-08T13:59:38.929+08</v>
      </c>
      <c r="M834" s="2">
        <v>45908.0</v>
      </c>
      <c r="N834" s="2">
        <f t="array" ref="N834">IF(M834&lt;&gt;"INC", INDEX(data!M:M, MATCH(B834, data!D:D, 0)), "")</f>
        <v>1</v>
      </c>
      <c r="O834" s="2">
        <f t="shared" si="3"/>
        <v>1</v>
      </c>
    </row>
    <row r="835">
      <c r="A835" s="2" t="str">
        <f t="shared" si="1"/>
        <v>H019506</v>
      </c>
      <c r="B835" s="1" t="s">
        <v>8858</v>
      </c>
      <c r="C835" s="9" t="str">
        <f t="array" ref="C835">IF(
  AND(
    IFERROR(MATCH(Caseslist!B835, data!D:D, 0), 0) &gt; 0,
    IFERROR(INDEX(data!N:N, MATCH(Caseslist!B835, data!D:D, 0)) = 1, FALSE)
  ),
  "COMPLETE",
  "INC"
)</f>
        <v>INC</v>
      </c>
      <c r="D835" s="9" t="str">
        <f t="array" ref="D835">IFERROR(INDEX(data!$G:$G,match(Caseslist!B835,data!$D:$D,0)), "INC")</f>
        <v>S2671943</v>
      </c>
      <c r="E835" s="9" t="str">
        <f t="array" ref="E835">IFERROR(INDEX(data!H:H,match(Caseslist!B835,data!D:D,0)), "INC")</f>
        <v>Marvin Mondia</v>
      </c>
      <c r="F835" s="10" t="str">
        <f t="array" ref="F835">IF(
    OR(
      IFNA(INDEX(data!M:M, MATCH(Caseslist!B835, data!D:D, 0)), "") = "",
      IFNA(INDEX(data!M:M, MATCH(Caseslist!B835, data!D:D, 0)), 0) = 0
    ),
    "COMPLETE",
    IF(
      IFNA(INDEX(dataICM!D:D, MATCH(Caseslist!B835, dataICM!D:D, 0)), "INC") = "INC",
      IFNA(INDEX(dataICM!D:D, MATCH(Caseslist!B835, dataICM!D:D, 0)), "INC"),
      "COMPLETE"
    )
  )</f>
        <v>INC</v>
      </c>
      <c r="G835" s="10" t="str">
        <f t="array" ref="G835">IF(IFERROR(INDEX(data!L:L,match(Caseslist!B835,data!D:D,0)),"INC")="","COMPLETE",F835)</f>
        <v>INC</v>
      </c>
      <c r="H835" s="9" t="str">
        <f t="array" ref="H835">IFERROR(INDEX(dataICM!F:F,match(Caseslist!B835,dataICM!D:D,0)), "INC")</f>
        <v>INC</v>
      </c>
      <c r="I835" s="10" t="str">
        <f t="shared" si="2"/>
        <v>INC</v>
      </c>
      <c r="J835" s="9" t="str">
        <f t="array" ref="J835">IF(
  AND(
    IFERROR(MATCH(B835, data!D:D, 0), 0) &gt; 0,
    IFERROR(INDEX(data!N:N, MATCH(B835, data!D:D, 0)) = 1, FALSE)
  ),
  INDEX(data!C:C, MATCH(B835, data!D:D, 0)),
  "INC"
)</f>
        <v>INC</v>
      </c>
      <c r="K835" s="9" t="str">
        <f t="array" ref="K835">IFERROR(INDEX(dataICM!C:C,match(Caseslist!B835,dataICM!D:D,0)), "INC")</f>
        <v>INC</v>
      </c>
      <c r="L835" s="10" t="str">
        <f t="array" ref="L835">IF(AND(G835="COMPLETE", OR(K835="INC", ISBLANK(INDEX(data!O:O, ROW())))), J835, K835)</f>
        <v>INC</v>
      </c>
      <c r="M835" s="2" t="s">
        <v>8886</v>
      </c>
      <c r="N835" s="2" t="str">
        <f t="array" ref="N835">IF(M835&lt;&gt;"INC", INDEX(data!M:M, MATCH(B835, data!D:D, 0)), "")</f>
        <v/>
      </c>
      <c r="O835" s="2" t="str">
        <f t="shared" si="3"/>
        <v/>
      </c>
    </row>
    <row r="836">
      <c r="A836" s="2" t="str">
        <f t="shared" si="1"/>
        <v>H019506</v>
      </c>
      <c r="B836" s="1" t="s">
        <v>7068</v>
      </c>
      <c r="C836" s="9" t="str">
        <f t="array" ref="C836">IF(
  AND(
    IFERROR(MATCH(Caseslist!B836, data!D:D, 0), 0) &gt; 0,
    IFERROR(INDEX(data!N:N, MATCH(Caseslist!B836, data!D:D, 0)) = 1, FALSE)
  ),
  "COMPLETE",
  "INC"
)</f>
        <v>COMPLETE</v>
      </c>
      <c r="D836" s="9">
        <f t="array" ref="D836">IFERROR(INDEX(data!$G:$G,match(Caseslist!B836,data!$D:$D,0)), "INC")</f>
        <v>859767</v>
      </c>
      <c r="E836" s="9" t="str">
        <f t="array" ref="E836">IFERROR(INDEX(data!H:H,match(Caseslist!B836,data!D:D,0)), "INC")</f>
        <v>Ramie De Pedro Jr._2</v>
      </c>
      <c r="F836" s="10" t="str">
        <f t="array" ref="F836">IF(
    OR(
      IFNA(INDEX(data!M:M, MATCH(Caseslist!B836, data!D:D, 0)), "") = "",
      IFNA(INDEX(data!M:M, MATCH(Caseslist!B836, data!D:D, 0)), 0) = 0
    ),
    "COMPLETE",
    IF(
      IFNA(INDEX(dataICM!D:D, MATCH(Caseslist!B836, dataICM!D:D, 0)), "INC") = "INC",
      IFNA(INDEX(dataICM!D:D, MATCH(Caseslist!B836, dataICM!D:D, 0)), "INC"),
      "COMPLETE"
    )
  )</f>
        <v>COMPLETE</v>
      </c>
      <c r="G836" s="10" t="str">
        <f t="array" ref="G836">IF(IFERROR(INDEX(data!L:L,match(Caseslist!B836,data!D:D,0)),"INC")="","COMPLETE",F836)</f>
        <v>COMPLETE</v>
      </c>
      <c r="H836" s="9" t="str">
        <f t="array" ref="H836">IFERROR(INDEX(dataICM!F:F,match(Caseslist!B836,dataICM!D:D,0)), "INC")</f>
        <v>Ramie De Pedro Jr._2</v>
      </c>
      <c r="I836" s="10">
        <f t="shared" si="2"/>
        <v>859767</v>
      </c>
      <c r="J836" s="9" t="str">
        <f t="array" ref="J836">IF(
  AND(
    IFERROR(MATCH(B836, data!D:D, 0), 0) &gt; 0,
    IFERROR(INDEX(data!N:N, MATCH(B836, data!D:D, 0)) = 1, FALSE)
  ),
  INDEX(data!C:C, MATCH(B836, data!D:D, 0)),
  "INC"
)</f>
        <v>2025-09-30T13:19:19.382+08</v>
      </c>
      <c r="K836" s="9" t="str">
        <f t="array" ref="K836">IFERROR(INDEX(dataICM!C:C,match(Caseslist!B836,dataICM!D:D,0)), "INC")</f>
        <v>2025-09-30T17:29:01.715+08</v>
      </c>
      <c r="L836" s="10" t="str">
        <f t="array" ref="L836">IF(AND(G836="COMPLETE", OR(K836="INC", ISBLANK(INDEX(data!O:O, ROW())))), J836, K836)</f>
        <v>2025-09-30T17:29:01.715+08</v>
      </c>
      <c r="M836" s="2">
        <v>45930.0</v>
      </c>
      <c r="N836" s="2">
        <f t="array" ref="N836">IF(M836&lt;&gt;"INC", INDEX(data!M:M, MATCH(B836, data!D:D, 0)), "")</f>
        <v>1</v>
      </c>
      <c r="O836" s="2">
        <f t="shared" si="3"/>
        <v>1</v>
      </c>
    </row>
    <row r="837">
      <c r="A837" s="2" t="str">
        <f t="shared" si="1"/>
        <v>H019506</v>
      </c>
      <c r="B837" s="1" t="s">
        <v>7063</v>
      </c>
      <c r="C837" s="9" t="str">
        <f t="array" ref="C837">IF(
  AND(
    IFERROR(MATCH(Caseslist!B837, data!D:D, 0), 0) &gt; 0,
    IFERROR(INDEX(data!N:N, MATCH(Caseslist!B837, data!D:D, 0)) = 1, FALSE)
  ),
  "COMPLETE",
  "INC"
)</f>
        <v>COMPLETE</v>
      </c>
      <c r="D837" s="9" t="str">
        <f t="array" ref="D837">IFERROR(INDEX(data!$G:$G,match(Caseslist!B837,data!$D:$D,0)), "INC")</f>
        <v>S2671943</v>
      </c>
      <c r="E837" s="9" t="str">
        <f t="array" ref="E837">IFERROR(INDEX(data!H:H,match(Caseslist!B837,data!D:D,0)), "INC")</f>
        <v>Marvin Mondia</v>
      </c>
      <c r="F837" s="10" t="str">
        <f t="array" ref="F837">IF(
    OR(
      IFNA(INDEX(data!M:M, MATCH(Caseslist!B837, data!D:D, 0)), "") = "",
      IFNA(INDEX(data!M:M, MATCH(Caseslist!B837, data!D:D, 0)), 0) = 0
    ),
    "COMPLETE",
    IF(
      IFNA(INDEX(dataICM!D:D, MATCH(Caseslist!B837, dataICM!D:D, 0)), "INC") = "INC",
      IFNA(INDEX(dataICM!D:D, MATCH(Caseslist!B837, dataICM!D:D, 0)), "INC"),
      "COMPLETE"
    )
  )</f>
        <v>COMPLETE</v>
      </c>
      <c r="G837" s="10" t="str">
        <f t="array" ref="G837">IF(IFERROR(INDEX(data!L:L,match(Caseslist!B837,data!D:D,0)),"INC")="","COMPLETE",F837)</f>
        <v>COMPLETE</v>
      </c>
      <c r="H837" s="9" t="str">
        <f t="array" ref="H837">IFERROR(INDEX(dataICM!F:F,match(Caseslist!B837,dataICM!D:D,0)), "INC")</f>
        <v>Marvin Mondia</v>
      </c>
      <c r="I837" s="10" t="str">
        <f t="shared" si="2"/>
        <v>S2671943</v>
      </c>
      <c r="J837" s="9" t="str">
        <f t="array" ref="J837">IF(
  AND(
    IFERROR(MATCH(B837, data!D:D, 0), 0) &gt; 0,
    IFERROR(INDEX(data!N:N, MATCH(B837, data!D:D, 0)) = 1, FALSE)
  ),
  INDEX(data!C:C, MATCH(B837, data!D:D, 0)),
  "INC"
)</f>
        <v>2025-10-02T10:06:20.113+08</v>
      </c>
      <c r="K837" s="9" t="str">
        <f t="array" ref="K837">IFERROR(INDEX(dataICM!C:C,match(Caseslist!B837,dataICM!D:D,0)), "INC")</f>
        <v>2025-10-02T10:10:30.944+08</v>
      </c>
      <c r="L837" s="10" t="str">
        <f t="array" ref="L837">IF(AND(G837="COMPLETE", OR(K837="INC", ISBLANK(INDEX(data!O:O, ROW())))), J837, K837)</f>
        <v>2025-10-02T10:10:30.944+08</v>
      </c>
      <c r="M837" s="2">
        <v>45932.0</v>
      </c>
      <c r="N837" s="2">
        <f t="array" ref="N837">IF(M837&lt;&gt;"INC", INDEX(data!M:M, MATCH(B837, data!D:D, 0)), "")</f>
        <v>1</v>
      </c>
      <c r="O837" s="2">
        <f t="shared" si="3"/>
        <v>1</v>
      </c>
    </row>
    <row r="838">
      <c r="A838" s="2" t="str">
        <f t="shared" si="1"/>
        <v>H019506</v>
      </c>
      <c r="B838" s="1" t="s">
        <v>4662</v>
      </c>
      <c r="C838" s="9" t="str">
        <f t="array" ref="C838">IF(
  AND(
    IFERROR(MATCH(Caseslist!B838, data!D:D, 0), 0) &gt; 0,
    IFERROR(INDEX(data!N:N, MATCH(Caseslist!B838, data!D:D, 0)) = 1, FALSE)
  ),
  "COMPLETE",
  "INC"
)</f>
        <v>COMPLETE</v>
      </c>
      <c r="D838" s="9" t="str">
        <f t="array" ref="D838">IFERROR(INDEX(data!$G:$G,match(Caseslist!B838,data!$D:$D,0)), "INC")</f>
        <v>S2671943</v>
      </c>
      <c r="E838" s="9" t="str">
        <f t="array" ref="E838">IFERROR(INDEX(data!H:H,match(Caseslist!B838,data!D:D,0)), "INC")</f>
        <v>Marvin Mondia</v>
      </c>
      <c r="F838" s="10" t="str">
        <f t="array" ref="F838">IF(
    OR(
      IFNA(INDEX(data!M:M, MATCH(Caseslist!B838, data!D:D, 0)), "") = "",
      IFNA(INDEX(data!M:M, MATCH(Caseslist!B838, data!D:D, 0)), 0) = 0
    ),
    "COMPLETE",
    IF(
      IFNA(INDEX(dataICM!D:D, MATCH(Caseslist!B838, dataICM!D:D, 0)), "INC") = "INC",
      IFNA(INDEX(dataICM!D:D, MATCH(Caseslist!B838, dataICM!D:D, 0)), "INC"),
      "COMPLETE"
    )
  )</f>
        <v>COMPLETE</v>
      </c>
      <c r="G838" s="10" t="str">
        <f t="array" ref="G838">IF(IFERROR(INDEX(data!L:L,match(Caseslist!B838,data!D:D,0)),"INC")="","COMPLETE",F838)</f>
        <v>COMPLETE</v>
      </c>
      <c r="H838" s="9" t="str">
        <f t="array" ref="H838">IFERROR(INDEX(dataICM!F:F,match(Caseslist!B838,dataICM!D:D,0)), "INC")</f>
        <v>Marvin Mondia</v>
      </c>
      <c r="I838" s="10" t="str">
        <f t="shared" si="2"/>
        <v>S2671943</v>
      </c>
      <c r="J838" s="9" t="str">
        <f t="array" ref="J838">IF(
  AND(
    IFERROR(MATCH(B838, data!D:D, 0), 0) &gt; 0,
    IFERROR(INDEX(data!N:N, MATCH(B838, data!D:D, 0)) = 1, FALSE)
  ),
  INDEX(data!C:C, MATCH(B838, data!D:D, 0)),
  "INC"
)</f>
        <v>2025-09-08T14:09:48.411+08</v>
      </c>
      <c r="K838" s="9" t="str">
        <f t="array" ref="K838">IFERROR(INDEX(dataICM!C:C,match(Caseslist!B838,dataICM!D:D,0)), "INC")</f>
        <v>2025-09-08T21:55:23.664+08</v>
      </c>
      <c r="L838" s="10" t="str">
        <f t="array" ref="L838">IF(AND(G838="COMPLETE", OR(K838="INC", ISBLANK(INDEX(data!O:O, ROW())))), J838, K838)</f>
        <v>2025-09-08T21:55:23.664+08</v>
      </c>
      <c r="M838" s="2">
        <v>45908.0</v>
      </c>
      <c r="N838" s="2">
        <f t="array" ref="N838">IF(M838&lt;&gt;"INC", INDEX(data!M:M, MATCH(B838, data!D:D, 0)), "")</f>
        <v>1</v>
      </c>
      <c r="O838" s="2">
        <f t="shared" si="3"/>
        <v>1</v>
      </c>
    </row>
    <row r="839">
      <c r="A839" s="2" t="str">
        <f t="shared" si="1"/>
        <v>H019506</v>
      </c>
      <c r="B839" s="1" t="s">
        <v>4637</v>
      </c>
      <c r="C839" s="9" t="str">
        <f t="array" ref="C839">IF(
  AND(
    IFERROR(MATCH(Caseslist!B839, data!D:D, 0), 0) &gt; 0,
    IFERROR(INDEX(data!N:N, MATCH(Caseslist!B839, data!D:D, 0)) = 1, FALSE)
  ),
  "COMPLETE",
  "INC"
)</f>
        <v>COMPLETE</v>
      </c>
      <c r="D839" s="9">
        <f t="array" ref="D839">IFERROR(INDEX(data!$G:$G,match(Caseslist!B839,data!$D:$D,0)), "INC")</f>
        <v>859767</v>
      </c>
      <c r="E839" s="9" t="str">
        <f t="array" ref="E839">IFERROR(INDEX(data!H:H,match(Caseslist!B839,data!D:D,0)), "INC")</f>
        <v>Ramie De Pedro Jr._2</v>
      </c>
      <c r="F839" s="10" t="str">
        <f t="array" ref="F839">IF(
    OR(
      IFNA(INDEX(data!M:M, MATCH(Caseslist!B839, data!D:D, 0)), "") = "",
      IFNA(INDEX(data!M:M, MATCH(Caseslist!B839, data!D:D, 0)), 0) = 0
    ),
    "COMPLETE",
    IF(
      IFNA(INDEX(dataICM!D:D, MATCH(Caseslist!B839, dataICM!D:D, 0)), "INC") = "INC",
      IFNA(INDEX(dataICM!D:D, MATCH(Caseslist!B839, dataICM!D:D, 0)), "INC"),
      "COMPLETE"
    )
  )</f>
        <v>COMPLETE</v>
      </c>
      <c r="G839" s="10" t="str">
        <f t="array" ref="G839">IF(IFERROR(INDEX(data!L:L,match(Caseslist!B839,data!D:D,0)),"INC")="","COMPLETE",F839)</f>
        <v>COMPLETE</v>
      </c>
      <c r="H839" s="9" t="str">
        <f t="array" ref="H839">IFERROR(INDEX(dataICM!F:F,match(Caseslist!B839,dataICM!D:D,0)), "INC")</f>
        <v>Ramie De Pedro Jr._2</v>
      </c>
      <c r="I839" s="10">
        <f t="shared" si="2"/>
        <v>859767</v>
      </c>
      <c r="J839" s="9" t="str">
        <f t="array" ref="J839">IF(
  AND(
    IFERROR(MATCH(B839, data!D:D, 0), 0) &gt; 0,
    IFERROR(INDEX(data!N:N, MATCH(B839, data!D:D, 0)) = 1, FALSE)
  ),
  INDEX(data!C:C, MATCH(B839, data!D:D, 0)),
  "INC"
)</f>
        <v>2025-09-08T14:31:37.325+08</v>
      </c>
      <c r="K839" s="9" t="str">
        <f t="array" ref="K839">IFERROR(INDEX(dataICM!C:C,match(Caseslist!B839,dataICM!D:D,0)), "INC")</f>
        <v>2025-09-08T14:42:53.304+08</v>
      </c>
      <c r="L839" s="10" t="str">
        <f t="array" ref="L839">IF(AND(G839="COMPLETE", OR(K839="INC", ISBLANK(INDEX(data!O:O, ROW())))), J839, K839)</f>
        <v>2025-09-08T14:42:53.304+08</v>
      </c>
      <c r="M839" s="2">
        <v>45908.0</v>
      </c>
      <c r="N839" s="2">
        <f t="array" ref="N839">IF(M839&lt;&gt;"INC", INDEX(data!M:M, MATCH(B839, data!D:D, 0)), "")</f>
        <v>1</v>
      </c>
      <c r="O839" s="2">
        <f t="shared" si="3"/>
        <v>1</v>
      </c>
    </row>
    <row r="840">
      <c r="A840" s="2" t="str">
        <f t="shared" si="1"/>
        <v>H019506</v>
      </c>
      <c r="B840" s="1" t="s">
        <v>7043</v>
      </c>
      <c r="C840" s="9" t="str">
        <f t="array" ref="C840">IF(
  AND(
    IFERROR(MATCH(Caseslist!B840, data!D:D, 0), 0) &gt; 0,
    IFERROR(INDEX(data!N:N, MATCH(Caseslist!B840, data!D:D, 0)) = 1, FALSE)
  ),
  "COMPLETE",
  "INC"
)</f>
        <v>COMPLETE</v>
      </c>
      <c r="D840" s="9" t="str">
        <f t="array" ref="D840">IFERROR(INDEX(data!$G:$G,match(Caseslist!B840,data!$D:$D,0)), "INC")</f>
        <v>S2671943</v>
      </c>
      <c r="E840" s="9" t="str">
        <f t="array" ref="E840">IFERROR(INDEX(data!H:H,match(Caseslist!B840,data!D:D,0)), "INC")</f>
        <v>Marvin Mondia</v>
      </c>
      <c r="F840" s="10" t="str">
        <f t="array" ref="F840">IF(
    OR(
      IFNA(INDEX(data!M:M, MATCH(Caseslist!B840, data!D:D, 0)), "") = "",
      IFNA(INDEX(data!M:M, MATCH(Caseslist!B840, data!D:D, 0)), 0) = 0
    ),
    "COMPLETE",
    IF(
      IFNA(INDEX(dataICM!D:D, MATCH(Caseslist!B840, dataICM!D:D, 0)), "INC") = "INC",
      IFNA(INDEX(dataICM!D:D, MATCH(Caseslist!B840, dataICM!D:D, 0)), "INC"),
      "COMPLETE"
    )
  )</f>
        <v>COMPLETE</v>
      </c>
      <c r="G840" s="10" t="str">
        <f t="array" ref="G840">IF(IFERROR(INDEX(data!L:L,match(Caseslist!B840,data!D:D,0)),"INC")="","COMPLETE",F840)</f>
        <v>COMPLETE</v>
      </c>
      <c r="H840" s="9" t="str">
        <f t="array" ref="H840">IFERROR(INDEX(dataICM!F:F,match(Caseslist!B840,dataICM!D:D,0)), "INC")</f>
        <v>Marvin Mondia</v>
      </c>
      <c r="I840" s="10" t="str">
        <f t="shared" si="2"/>
        <v>S2671943</v>
      </c>
      <c r="J840" s="9" t="str">
        <f t="array" ref="J840">IF(
  AND(
    IFERROR(MATCH(B840, data!D:D, 0), 0) &gt; 0,
    IFERROR(INDEX(data!N:N, MATCH(B840, data!D:D, 0)) = 1, FALSE)
  ),
  INDEX(data!C:C, MATCH(B840, data!D:D, 0)),
  "INC"
)</f>
        <v>2025-09-30T16:09:31.901+08</v>
      </c>
      <c r="K840" s="9" t="str">
        <f t="array" ref="K840">IFERROR(INDEX(dataICM!C:C,match(Caseslist!B840,dataICM!D:D,0)), "INC")</f>
        <v>2025-09-30T16:11:04.250+08</v>
      </c>
      <c r="L840" s="10" t="str">
        <f t="array" ref="L840">IF(AND(G840="COMPLETE", OR(K840="INC", ISBLANK(INDEX(data!O:O, ROW())))), J840, K840)</f>
        <v>2025-09-30T16:11:04.250+08</v>
      </c>
      <c r="M840" s="2">
        <v>45930.0</v>
      </c>
      <c r="N840" s="2">
        <f t="array" ref="N840">IF(M840&lt;&gt;"INC", INDEX(data!M:M, MATCH(B840, data!D:D, 0)), "")</f>
        <v>1</v>
      </c>
      <c r="O840" s="2">
        <f t="shared" si="3"/>
        <v>1</v>
      </c>
    </row>
    <row r="841">
      <c r="A841" s="2" t="str">
        <f t="shared" si="1"/>
        <v>H019506</v>
      </c>
      <c r="B841" s="1" t="s">
        <v>4627</v>
      </c>
      <c r="C841" s="9" t="str">
        <f t="array" ref="C841">IF(
  AND(
    IFERROR(MATCH(Caseslist!B841, data!D:D, 0), 0) &gt; 0,
    IFERROR(INDEX(data!N:N, MATCH(Caseslist!B841, data!D:D, 0)) = 1, FALSE)
  ),
  "COMPLETE",
  "INC"
)</f>
        <v>COMPLETE</v>
      </c>
      <c r="D841" s="9">
        <f t="array" ref="D841">IFERROR(INDEX(data!$G:$G,match(Caseslist!B841,data!$D:$D,0)), "INC")</f>
        <v>859767</v>
      </c>
      <c r="E841" s="9" t="str">
        <f t="array" ref="E841">IFERROR(INDEX(data!H:H,match(Caseslist!B841,data!D:D,0)), "INC")</f>
        <v>Ramie De Pedro Jr._2</v>
      </c>
      <c r="F841" s="10" t="str">
        <f t="array" ref="F841">IF(
    OR(
      IFNA(INDEX(data!M:M, MATCH(Caseslist!B841, data!D:D, 0)), "") = "",
      IFNA(INDEX(data!M:M, MATCH(Caseslist!B841, data!D:D, 0)), 0) = 0
    ),
    "COMPLETE",
    IF(
      IFNA(INDEX(dataICM!D:D, MATCH(Caseslist!B841, dataICM!D:D, 0)), "INC") = "INC",
      IFNA(INDEX(dataICM!D:D, MATCH(Caseslist!B841, dataICM!D:D, 0)), "INC"),
      "COMPLETE"
    )
  )</f>
        <v>COMPLETE</v>
      </c>
      <c r="G841" s="10" t="str">
        <f t="array" ref="G841">IF(IFERROR(INDEX(data!L:L,match(Caseslist!B841,data!D:D,0)),"INC")="","COMPLETE",F841)</f>
        <v>COMPLETE</v>
      </c>
      <c r="H841" s="9" t="str">
        <f t="array" ref="H841">IFERROR(INDEX(dataICM!F:F,match(Caseslist!B841,dataICM!D:D,0)), "INC")</f>
        <v>Ramie De Pedro Jr._2</v>
      </c>
      <c r="I841" s="10">
        <f t="shared" si="2"/>
        <v>859767</v>
      </c>
      <c r="J841" s="9" t="str">
        <f t="array" ref="J841">IF(
  AND(
    IFERROR(MATCH(B841, data!D:D, 0), 0) &gt; 0,
    IFERROR(INDEX(data!N:N, MATCH(B841, data!D:D, 0)) = 1, FALSE)
  ),
  INDEX(data!C:C, MATCH(B841, data!D:D, 0)),
  "INC"
)</f>
        <v>2025-09-08T16:34:29.335+08</v>
      </c>
      <c r="K841" s="9" t="str">
        <f t="array" ref="K841">IFERROR(INDEX(dataICM!C:C,match(Caseslist!B841,dataICM!D:D,0)), "INC")</f>
        <v>2025-09-08T16:41:23.783+08</v>
      </c>
      <c r="L841" s="10" t="str">
        <f t="array" ref="L841">IF(AND(G841="COMPLETE", OR(K841="INC", ISBLANK(INDEX(data!O:O, ROW())))), J841, K841)</f>
        <v>2025-09-08T16:41:23.783+08</v>
      </c>
      <c r="M841" s="2">
        <v>45908.0</v>
      </c>
      <c r="N841" s="2">
        <f t="array" ref="N841">IF(M841&lt;&gt;"INC", INDEX(data!M:M, MATCH(B841, data!D:D, 0)), "")</f>
        <v>1</v>
      </c>
      <c r="O841" s="2">
        <f t="shared" si="3"/>
        <v>1</v>
      </c>
    </row>
    <row r="842">
      <c r="A842" s="2" t="str">
        <f t="shared" si="1"/>
        <v>H019506</v>
      </c>
      <c r="B842" s="1" t="s">
        <v>5078</v>
      </c>
      <c r="C842" s="9" t="str">
        <f t="array" ref="C842">IF(
  AND(
    IFERROR(MATCH(Caseslist!B842, data!D:D, 0), 0) &gt; 0,
    IFERROR(INDEX(data!N:N, MATCH(Caseslist!B842, data!D:D, 0)) = 1, FALSE)
  ),
  "COMPLETE",
  "INC"
)</f>
        <v>INC</v>
      </c>
      <c r="D842" s="9">
        <f t="array" ref="D842">IFERROR(INDEX(data!$G:$G,match(Caseslist!B842,data!$D:$D,0)), "INC")</f>
        <v>859767</v>
      </c>
      <c r="E842" s="9" t="str">
        <f t="array" ref="E842">IFERROR(INDEX(data!H:H,match(Caseslist!B842,data!D:D,0)), "INC")</f>
        <v>Ramie De Pedro Jr._2</v>
      </c>
      <c r="F842" s="10" t="str">
        <f t="array" ref="F842">IF(
    OR(
      IFNA(INDEX(data!M:M, MATCH(Caseslist!B842, data!D:D, 0)), "") = "",
      IFNA(INDEX(data!M:M, MATCH(Caseslist!B842, data!D:D, 0)), 0) = 0
    ),
    "COMPLETE",
    IF(
      IFNA(INDEX(dataICM!D:D, MATCH(Caseslist!B842, dataICM!D:D, 0)), "INC") = "INC",
      IFNA(INDEX(dataICM!D:D, MATCH(Caseslist!B842, dataICM!D:D, 0)), "INC"),
      "COMPLETE"
    )
  )</f>
        <v>INC</v>
      </c>
      <c r="G842" s="10" t="str">
        <f t="array" ref="G842">IF(IFERROR(INDEX(data!L:L,match(Caseslist!B842,data!D:D,0)),"INC")="","COMPLETE",F842)</f>
        <v>INC</v>
      </c>
      <c r="H842" s="9" t="str">
        <f t="array" ref="H842">IFERROR(INDEX(dataICM!F:F,match(Caseslist!B842,dataICM!D:D,0)), "INC")</f>
        <v>INC</v>
      </c>
      <c r="I842" s="10" t="str">
        <f t="shared" si="2"/>
        <v>INC</v>
      </c>
      <c r="J842" s="9" t="str">
        <f t="array" ref="J842">IF(
  AND(
    IFERROR(MATCH(B842, data!D:D, 0), 0) &gt; 0,
    IFERROR(INDEX(data!N:N, MATCH(B842, data!D:D, 0)) = 1, FALSE)
  ),
  INDEX(data!C:C, MATCH(B842, data!D:D, 0)),
  "INC"
)</f>
        <v>INC</v>
      </c>
      <c r="K842" s="9" t="str">
        <f t="array" ref="K842">IFERROR(INDEX(dataICM!C:C,match(Caseslist!B842,dataICM!D:D,0)), "INC")</f>
        <v>INC</v>
      </c>
      <c r="L842" s="10" t="str">
        <f t="array" ref="L842">IF(AND(G842="COMPLETE", OR(K842="INC", ISBLANK(INDEX(data!O:O, ROW())))), J842, K842)</f>
        <v>INC</v>
      </c>
      <c r="M842" s="2" t="s">
        <v>8886</v>
      </c>
      <c r="N842" s="2" t="str">
        <f t="array" ref="N842">IF(M842&lt;&gt;"INC", INDEX(data!M:M, MATCH(B842, data!D:D, 0)), "")</f>
        <v/>
      </c>
      <c r="O842" s="2" t="str">
        <f t="shared" si="3"/>
        <v/>
      </c>
    </row>
    <row r="843">
      <c r="A843" s="2" t="str">
        <f t="shared" si="1"/>
        <v>H019506</v>
      </c>
      <c r="B843" s="1" t="s">
        <v>4632</v>
      </c>
      <c r="C843" s="9" t="str">
        <f t="array" ref="C843">IF(
  AND(
    IFERROR(MATCH(Caseslist!B843, data!D:D, 0), 0) &gt; 0,
    IFERROR(INDEX(data!N:N, MATCH(Caseslist!B843, data!D:D, 0)) = 1, FALSE)
  ),
  "COMPLETE",
  "INC"
)</f>
        <v>COMPLETE</v>
      </c>
      <c r="D843" s="9">
        <f t="array" ref="D843">IFERROR(INDEX(data!$G:$G,match(Caseslist!B843,data!$D:$D,0)), "INC")</f>
        <v>859767</v>
      </c>
      <c r="E843" s="9" t="str">
        <f t="array" ref="E843">IFERROR(INDEX(data!H:H,match(Caseslist!B843,data!D:D,0)), "INC")</f>
        <v>Ramie De Pedro Jr._2</v>
      </c>
      <c r="F843" s="10" t="str">
        <f t="array" ref="F843">IF(
    OR(
      IFNA(INDEX(data!M:M, MATCH(Caseslist!B843, data!D:D, 0)), "") = "",
      IFNA(INDEX(data!M:M, MATCH(Caseslist!B843, data!D:D, 0)), 0) = 0
    ),
    "COMPLETE",
    IF(
      IFNA(INDEX(dataICM!D:D, MATCH(Caseslist!B843, dataICM!D:D, 0)), "INC") = "INC",
      IFNA(INDEX(dataICM!D:D, MATCH(Caseslist!B843, dataICM!D:D, 0)), "INC"),
      "COMPLETE"
    )
  )</f>
        <v>COMPLETE</v>
      </c>
      <c r="G843" s="10" t="str">
        <f t="array" ref="G843">IF(IFERROR(INDEX(data!L:L,match(Caseslist!B843,data!D:D,0)),"INC")="","COMPLETE",F843)</f>
        <v>COMPLETE</v>
      </c>
      <c r="H843" s="9" t="str">
        <f t="array" ref="H843">IFERROR(INDEX(dataICM!F:F,match(Caseslist!B843,dataICM!D:D,0)), "INC")</f>
        <v>Ramie De Pedro Jr._2</v>
      </c>
      <c r="I843" s="10">
        <f t="shared" si="2"/>
        <v>859767</v>
      </c>
      <c r="J843" s="9" t="str">
        <f t="array" ref="J843">IF(
  AND(
    IFERROR(MATCH(B843, data!D:D, 0), 0) &gt; 0,
    IFERROR(INDEX(data!N:N, MATCH(B843, data!D:D, 0)) = 1, FALSE)
  ),
  INDEX(data!C:C, MATCH(B843, data!D:D, 0)),
  "INC"
)</f>
        <v>2025-09-08T11:38:46.964+08</v>
      </c>
      <c r="K843" s="9" t="str">
        <f t="array" ref="K843">IFERROR(INDEX(dataICM!C:C,match(Caseslist!B843,dataICM!D:D,0)), "INC")</f>
        <v>2025-09-08T20:08:39.083+08</v>
      </c>
      <c r="L843" s="10" t="str">
        <f t="array" ref="L843">IF(AND(G843="COMPLETE", OR(K843="INC", ISBLANK(INDEX(data!O:O, ROW())))), J843, K843)</f>
        <v>2025-09-08T20:08:39.083+08</v>
      </c>
      <c r="M843" s="2">
        <v>45908.0</v>
      </c>
      <c r="N843" s="2">
        <f t="array" ref="N843">IF(M843&lt;&gt;"INC", INDEX(data!M:M, MATCH(B843, data!D:D, 0)), "")</f>
        <v>1</v>
      </c>
      <c r="O843" s="2">
        <f t="shared" si="3"/>
        <v>1</v>
      </c>
    </row>
    <row r="844">
      <c r="A844" s="2" t="str">
        <f t="shared" si="1"/>
        <v>H019506</v>
      </c>
      <c r="B844" s="1" t="s">
        <v>4672</v>
      </c>
      <c r="C844" s="9" t="str">
        <f t="array" ref="C844">IF(
  AND(
    IFERROR(MATCH(Caseslist!B844, data!D:D, 0), 0) &gt; 0,
    IFERROR(INDEX(data!N:N, MATCH(Caseslist!B844, data!D:D, 0)) = 1, FALSE)
  ),
  "COMPLETE",
  "INC"
)</f>
        <v>COMPLETE</v>
      </c>
      <c r="D844" s="9" t="str">
        <f t="array" ref="D844">IFERROR(INDEX(data!$G:$G,match(Caseslist!B844,data!$D:$D,0)), "INC")</f>
        <v>S2671943</v>
      </c>
      <c r="E844" s="9" t="str">
        <f t="array" ref="E844">IFERROR(INDEX(data!H:H,match(Caseslist!B844,data!D:D,0)), "INC")</f>
        <v>Marvin Mondia</v>
      </c>
      <c r="F844" s="10" t="str">
        <f t="array" ref="F844">IF(
    OR(
      IFNA(INDEX(data!M:M, MATCH(Caseslist!B844, data!D:D, 0)), "") = "",
      IFNA(INDEX(data!M:M, MATCH(Caseslist!B844, data!D:D, 0)), 0) = 0
    ),
    "COMPLETE",
    IF(
      IFNA(INDEX(dataICM!D:D, MATCH(Caseslist!B844, dataICM!D:D, 0)), "INC") = "INC",
      IFNA(INDEX(dataICM!D:D, MATCH(Caseslist!B844, dataICM!D:D, 0)), "INC"),
      "COMPLETE"
    )
  )</f>
        <v>COMPLETE</v>
      </c>
      <c r="G844" s="10" t="str">
        <f t="array" ref="G844">IF(IFERROR(INDEX(data!L:L,match(Caseslist!B844,data!D:D,0)),"INC")="","COMPLETE",F844)</f>
        <v>COMPLETE</v>
      </c>
      <c r="H844" s="9" t="str">
        <f t="array" ref="H844">IFERROR(INDEX(dataICM!F:F,match(Caseslist!B844,dataICM!D:D,0)), "INC")</f>
        <v>Marvin Mondia</v>
      </c>
      <c r="I844" s="10" t="str">
        <f t="shared" si="2"/>
        <v>S2671943</v>
      </c>
      <c r="J844" s="9" t="str">
        <f t="array" ref="J844">IF(
  AND(
    IFERROR(MATCH(B844, data!D:D, 0), 0) &gt; 0,
    IFERROR(INDEX(data!N:N, MATCH(B844, data!D:D, 0)) = 1, FALSE)
  ),
  INDEX(data!C:C, MATCH(B844, data!D:D, 0)),
  "INC"
)</f>
        <v>2025-09-08T16:33:12.404+08</v>
      </c>
      <c r="K844" s="9" t="str">
        <f t="array" ref="K844">IFERROR(INDEX(dataICM!C:C,match(Caseslist!B844,dataICM!D:D,0)), "INC")</f>
        <v>2025-09-30T12:01:52.275+08</v>
      </c>
      <c r="L844" s="10" t="str">
        <f t="array" ref="L844">IF(AND(G844="COMPLETE", OR(K844="INC", ISBLANK(INDEX(data!O:O, ROW())))), J844, K844)</f>
        <v>2025-09-30T12:01:52.275+08</v>
      </c>
      <c r="M844" s="2">
        <v>45930.0</v>
      </c>
      <c r="N844" s="2">
        <f t="array" ref="N844">IF(M844&lt;&gt;"INC", INDEX(data!M:M, MATCH(B844, data!D:D, 0)), "")</f>
        <v>1</v>
      </c>
      <c r="O844" s="2">
        <f t="shared" si="3"/>
        <v>1</v>
      </c>
    </row>
    <row r="845">
      <c r="A845" s="2" t="str">
        <f t="shared" si="1"/>
        <v>H019506</v>
      </c>
      <c r="B845" s="1" t="s">
        <v>4652</v>
      </c>
      <c r="C845" s="9" t="str">
        <f t="array" ref="C845">IF(
  AND(
    IFERROR(MATCH(Caseslist!B845, data!D:D, 0), 0) &gt; 0,
    IFERROR(INDEX(data!N:N, MATCH(Caseslist!B845, data!D:D, 0)) = 1, FALSE)
  ),
  "COMPLETE",
  "INC"
)</f>
        <v>COMPLETE</v>
      </c>
      <c r="D845" s="9">
        <f t="array" ref="D845">IFERROR(INDEX(data!$G:$G,match(Caseslist!B845,data!$D:$D,0)), "INC")</f>
        <v>729375</v>
      </c>
      <c r="E845" s="9" t="str">
        <f t="array" ref="E845">IFERROR(INDEX(data!H:H,match(Caseslist!B845,data!D:D,0)), "INC")</f>
        <v>Janet Serafica_2</v>
      </c>
      <c r="F845" s="10" t="str">
        <f t="array" ref="F845">IF(
    OR(
      IFNA(INDEX(data!M:M, MATCH(Caseslist!B845, data!D:D, 0)), "") = "",
      IFNA(INDEX(data!M:M, MATCH(Caseslist!B845, data!D:D, 0)), 0) = 0
    ),
    "COMPLETE",
    IF(
      IFNA(INDEX(dataICM!D:D, MATCH(Caseslist!B845, dataICM!D:D, 0)), "INC") = "INC",
      IFNA(INDEX(dataICM!D:D, MATCH(Caseslist!B845, dataICM!D:D, 0)), "INC"),
      "COMPLETE"
    )
  )</f>
        <v>COMPLETE</v>
      </c>
      <c r="G845" s="10" t="str">
        <f t="array" ref="G845">IF(IFERROR(INDEX(data!L:L,match(Caseslist!B845,data!D:D,0)),"INC")="","COMPLETE",F845)</f>
        <v>COMPLETE</v>
      </c>
      <c r="H845" s="9" t="str">
        <f t="array" ref="H845">IFERROR(INDEX(dataICM!F:F,match(Caseslist!B845,dataICM!D:D,0)), "INC")</f>
        <v>Janet Serafica_2</v>
      </c>
      <c r="I845" s="10">
        <f t="shared" si="2"/>
        <v>729375</v>
      </c>
      <c r="J845" s="9" t="str">
        <f t="array" ref="J845">IF(
  AND(
    IFERROR(MATCH(B845, data!D:D, 0), 0) &gt; 0,
    IFERROR(INDEX(data!N:N, MATCH(B845, data!D:D, 0)) = 1, FALSE)
  ),
  INDEX(data!C:C, MATCH(B845, data!D:D, 0)),
  "INC"
)</f>
        <v>2025-09-08T15:01:14.450+08</v>
      </c>
      <c r="K845" s="9" t="str">
        <f t="array" ref="K845">IFERROR(INDEX(dataICM!C:C,match(Caseslist!B845,dataICM!D:D,0)), "INC")</f>
        <v>2025-09-08T15:04:27.287+08</v>
      </c>
      <c r="L845" s="10" t="str">
        <f t="array" ref="L845">IF(AND(G845="COMPLETE", OR(K845="INC", ISBLANK(INDEX(data!O:O, ROW())))), J845, K845)</f>
        <v>2025-09-08T15:04:27.287+08</v>
      </c>
      <c r="M845" s="2">
        <v>45908.0</v>
      </c>
      <c r="N845" s="2">
        <f t="array" ref="N845">IF(M845&lt;&gt;"INC", INDEX(data!M:M, MATCH(B845, data!D:D, 0)), "")</f>
        <v>1</v>
      </c>
      <c r="O845" s="2">
        <f t="shared" si="3"/>
        <v>1</v>
      </c>
    </row>
    <row r="846">
      <c r="A846" s="2" t="str">
        <f t="shared" si="1"/>
        <v>H019559</v>
      </c>
      <c r="B846" s="1" t="s">
        <v>648</v>
      </c>
      <c r="C846" s="9" t="str">
        <f t="array" ref="C846">IF(
  AND(
    IFERROR(MATCH(Caseslist!B846, data!D:D, 0), 0) &gt; 0,
    IFERROR(INDEX(data!N:N, MATCH(Caseslist!B846, data!D:D, 0)) = 1, FALSE)
  ),
  "COMPLETE",
  "INC"
)</f>
        <v>COMPLETE</v>
      </c>
      <c r="D846" s="9">
        <f t="array" ref="D846">IFERROR(INDEX(data!$G:$G,match(Caseslist!B846,data!$D:$D,0)), "INC")</f>
        <v>859767</v>
      </c>
      <c r="E846" s="9" t="str">
        <f t="array" ref="E846">IFERROR(INDEX(data!H:H,match(Caseslist!B846,data!D:D,0)), "INC")</f>
        <v>Ramie De Pedro Jr.</v>
      </c>
      <c r="F846" s="10" t="str">
        <f t="array" ref="F846">IF(
    OR(
      IFNA(INDEX(data!M:M, MATCH(Caseslist!B846, data!D:D, 0)), "") = "",
      IFNA(INDEX(data!M:M, MATCH(Caseslist!B846, data!D:D, 0)), 0) = 0
    ),
    "COMPLETE",
    IF(
      IFNA(INDEX(dataICM!D:D, MATCH(Caseslist!B846, dataICM!D:D, 0)), "INC") = "INC",
      IFNA(INDEX(dataICM!D:D, MATCH(Caseslist!B846, dataICM!D:D, 0)), "INC"),
      "COMPLETE"
    )
  )</f>
        <v>COMPLETE</v>
      </c>
      <c r="G846" s="10" t="str">
        <f t="array" ref="G846">IF(IFERROR(INDEX(data!L:L,match(Caseslist!B846,data!D:D,0)),"INC")="","COMPLETE",F846)</f>
        <v>COMPLETE</v>
      </c>
      <c r="H846" s="9" t="str">
        <f t="array" ref="H846">IFERROR(INDEX(dataICM!F:F,match(Caseslist!B846,dataICM!D:D,0)), "INC")</f>
        <v>Ramie De Pedro Jr.</v>
      </c>
      <c r="I846" s="10">
        <f t="shared" si="2"/>
        <v>859767</v>
      </c>
      <c r="J846" s="9" t="str">
        <f t="array" ref="J846">IF(
  AND(
    IFERROR(MATCH(B846, data!D:D, 0), 0) &gt; 0,
    IFERROR(INDEX(data!N:N, MATCH(B846, data!D:D, 0)) = 1, FALSE)
  ),
  INDEX(data!C:C, MATCH(B846, data!D:D, 0)),
  "INC"
)</f>
        <v>2025-08-27T16:26:47.915+08</v>
      </c>
      <c r="K846" s="9" t="str">
        <f t="array" ref="K846">IFERROR(INDEX(dataICM!C:C,match(Caseslist!B846,dataICM!D:D,0)), "INC")</f>
        <v>2025-08-27T17:54:56.552+08</v>
      </c>
      <c r="L846" s="10" t="str">
        <f t="array" ref="L846">IF(AND(G846="COMPLETE", OR(K846="INC", ISBLANK(INDEX(data!O:O, ROW())))), J846, K846)</f>
        <v>2025-08-27T17:54:56.552+08</v>
      </c>
      <c r="M846" s="2">
        <v>45896.0</v>
      </c>
      <c r="N846" s="2">
        <f t="array" ref="N846">IF(M846&lt;&gt;"INC", INDEX(data!M:M, MATCH(B846, data!D:D, 0)), "")</f>
        <v>1</v>
      </c>
      <c r="O846" s="2">
        <f t="shared" si="3"/>
        <v>1</v>
      </c>
    </row>
    <row r="847">
      <c r="A847" s="2" t="str">
        <f t="shared" si="1"/>
        <v>H019559</v>
      </c>
      <c r="B847" s="1" t="s">
        <v>1287</v>
      </c>
      <c r="C847" s="9" t="str">
        <f t="array" ref="C847">IF(
  AND(
    IFERROR(MATCH(Caseslist!B847, data!D:D, 0), 0) &gt; 0,
    IFERROR(INDEX(data!N:N, MATCH(Caseslist!B847, data!D:D, 0)) = 1, FALSE)
  ),
  "COMPLETE",
  "INC"
)</f>
        <v>COMPLETE</v>
      </c>
      <c r="D847" s="9" t="str">
        <f t="array" ref="D847">IFERROR(INDEX(data!$G:$G,match(Caseslist!B847,data!$D:$D,0)), "INC")</f>
        <v>S2671943</v>
      </c>
      <c r="E847" s="9" t="str">
        <f t="array" ref="E847">IFERROR(INDEX(data!H:H,match(Caseslist!B847,data!D:D,0)), "INC")</f>
        <v>Marvin Mondia</v>
      </c>
      <c r="F847" s="10" t="str">
        <f t="array" ref="F847">IF(
    OR(
      IFNA(INDEX(data!M:M, MATCH(Caseslist!B847, data!D:D, 0)), "") = "",
      IFNA(INDEX(data!M:M, MATCH(Caseslist!B847, data!D:D, 0)), 0) = 0
    ),
    "COMPLETE",
    IF(
      IFNA(INDEX(dataICM!D:D, MATCH(Caseslist!B847, dataICM!D:D, 0)), "INC") = "INC",
      IFNA(INDEX(dataICM!D:D, MATCH(Caseslist!B847, dataICM!D:D, 0)), "INC"),
      "COMPLETE"
    )
  )</f>
        <v>INC</v>
      </c>
      <c r="G847" s="10" t="str">
        <f t="array" ref="G847">IF(IFERROR(INDEX(data!L:L,match(Caseslist!B847,data!D:D,0)),"INC")="","COMPLETE",F847)</f>
        <v>INC</v>
      </c>
      <c r="H847" s="9" t="str">
        <f t="array" ref="H847">IFERROR(INDEX(dataICM!F:F,match(Caseslist!B847,dataICM!D:D,0)), "INC")</f>
        <v>INC</v>
      </c>
      <c r="I847" s="10" t="str">
        <f t="shared" si="2"/>
        <v>INC</v>
      </c>
      <c r="J847" s="9" t="str">
        <f t="array" ref="J847">IF(
  AND(
    IFERROR(MATCH(B847, data!D:D, 0), 0) &gt; 0,
    IFERROR(INDEX(data!N:N, MATCH(B847, data!D:D, 0)) = 1, FALSE)
  ),
  INDEX(data!C:C, MATCH(B847, data!D:D, 0)),
  "INC"
)</f>
        <v>2025-08-28T16:36:07.575+08</v>
      </c>
      <c r="K847" s="9" t="str">
        <f t="array" ref="K847">IFERROR(INDEX(dataICM!C:C,match(Caseslist!B847,dataICM!D:D,0)), "INC")</f>
        <v>INC</v>
      </c>
      <c r="L847" s="10" t="str">
        <f t="array" ref="L847">IF(AND(G847="COMPLETE", OR(K847="INC", ISBLANK(INDEX(data!O:O, ROW())))), J847, K847)</f>
        <v>INC</v>
      </c>
      <c r="M847" s="2" t="s">
        <v>8886</v>
      </c>
      <c r="N847" s="2" t="str">
        <f t="array" ref="N847">IF(M847&lt;&gt;"INC", INDEX(data!M:M, MATCH(B847, data!D:D, 0)), "")</f>
        <v/>
      </c>
      <c r="O847" s="2" t="str">
        <f t="shared" si="3"/>
        <v/>
      </c>
    </row>
    <row r="848">
      <c r="A848" s="2" t="str">
        <f t="shared" si="1"/>
        <v>H019559</v>
      </c>
      <c r="B848" s="1" t="s">
        <v>759</v>
      </c>
      <c r="C848" s="9" t="str">
        <f t="array" ref="C848">IF(
  AND(
    IFERROR(MATCH(Caseslist!B848, data!D:D, 0), 0) &gt; 0,
    IFERROR(INDEX(data!N:N, MATCH(Caseslist!B848, data!D:D, 0)) = 1, FALSE)
  ),
  "COMPLETE",
  "INC"
)</f>
        <v>COMPLETE</v>
      </c>
      <c r="D848" s="9">
        <f t="array" ref="D848">IFERROR(INDEX(data!$G:$G,match(Caseslist!B848,data!$D:$D,0)), "INC")</f>
        <v>729375</v>
      </c>
      <c r="E848" s="9" t="str">
        <f t="array" ref="E848">IFERROR(INDEX(data!H:H,match(Caseslist!B848,data!D:D,0)), "INC")</f>
        <v>Janet Serafica</v>
      </c>
      <c r="F848" s="10" t="str">
        <f t="array" ref="F848">IF(
    OR(
      IFNA(INDEX(data!M:M, MATCH(Caseslist!B848, data!D:D, 0)), "") = "",
      IFNA(INDEX(data!M:M, MATCH(Caseslist!B848, data!D:D, 0)), 0) = 0
    ),
    "COMPLETE",
    IF(
      IFNA(INDEX(dataICM!D:D, MATCH(Caseslist!B848, dataICM!D:D, 0)), "INC") = "INC",
      IFNA(INDEX(dataICM!D:D, MATCH(Caseslist!B848, dataICM!D:D, 0)), "INC"),
      "COMPLETE"
    )
  )</f>
        <v>COMPLETE</v>
      </c>
      <c r="G848" s="10" t="str">
        <f t="array" ref="G848">IF(IFERROR(INDEX(data!L:L,match(Caseslist!B848,data!D:D,0)),"INC")="","COMPLETE",F848)</f>
        <v>COMPLETE</v>
      </c>
      <c r="H848" s="9" t="str">
        <f t="array" ref="H848">IFERROR(INDEX(dataICM!F:F,match(Caseslist!B848,dataICM!D:D,0)), "INC")</f>
        <v>Janet Serafica</v>
      </c>
      <c r="I848" s="10">
        <f t="shared" si="2"/>
        <v>729375</v>
      </c>
      <c r="J848" s="9" t="str">
        <f t="array" ref="J848">IF(
  AND(
    IFERROR(MATCH(B848, data!D:D, 0), 0) &gt; 0,
    IFERROR(INDEX(data!N:N, MATCH(B848, data!D:D, 0)) = 1, FALSE)
  ),
  INDEX(data!C:C, MATCH(B848, data!D:D, 0)),
  "INC"
)</f>
        <v>2025-08-27T16:06:40.383+08</v>
      </c>
      <c r="K848" s="9" t="str">
        <f t="array" ref="K848">IFERROR(INDEX(dataICM!C:C,match(Caseslist!B848,dataICM!D:D,0)), "INC")</f>
        <v>2025-08-27T16:10:09.452+08</v>
      </c>
      <c r="L848" s="10" t="str">
        <f t="array" ref="L848">IF(AND(G848="COMPLETE", OR(K848="INC", ISBLANK(INDEX(data!O:O, ROW())))), J848, K848)</f>
        <v>2025-08-27T16:10:09.452+08</v>
      </c>
      <c r="M848" s="2">
        <v>45896.0</v>
      </c>
      <c r="N848" s="2">
        <f t="array" ref="N848">IF(M848&lt;&gt;"INC", INDEX(data!M:M, MATCH(B848, data!D:D, 0)), "")</f>
        <v>1</v>
      </c>
      <c r="O848" s="2">
        <f t="shared" si="3"/>
        <v>1</v>
      </c>
    </row>
    <row r="849">
      <c r="A849" s="2" t="str">
        <f t="shared" si="1"/>
        <v>H019559</v>
      </c>
      <c r="B849" s="1" t="s">
        <v>1282</v>
      </c>
      <c r="C849" s="9" t="str">
        <f t="array" ref="C849">IF(
  AND(
    IFERROR(MATCH(Caseslist!B849, data!D:D, 0), 0) &gt; 0,
    IFERROR(INDEX(data!N:N, MATCH(Caseslist!B849, data!D:D, 0)) = 1, FALSE)
  ),
  "COMPLETE",
  "INC"
)</f>
        <v>COMPLETE</v>
      </c>
      <c r="D849" s="9" t="str">
        <f t="array" ref="D849">IFERROR(INDEX(data!$G:$G,match(Caseslist!B849,data!$D:$D,0)), "INC")</f>
        <v>S2671943</v>
      </c>
      <c r="E849" s="9" t="str">
        <f t="array" ref="E849">IFERROR(INDEX(data!H:H,match(Caseslist!B849,data!D:D,0)), "INC")</f>
        <v>Marvin Mondia</v>
      </c>
      <c r="F849" s="10" t="str">
        <f t="array" ref="F849">IF(
    OR(
      IFNA(INDEX(data!M:M, MATCH(Caseslist!B849, data!D:D, 0)), "") = "",
      IFNA(INDEX(data!M:M, MATCH(Caseslist!B849, data!D:D, 0)), 0) = 0
    ),
    "COMPLETE",
    IF(
      IFNA(INDEX(dataICM!D:D, MATCH(Caseslist!B849, dataICM!D:D, 0)), "INC") = "INC",
      IFNA(INDEX(dataICM!D:D, MATCH(Caseslist!B849, dataICM!D:D, 0)), "INC"),
      "COMPLETE"
    )
  )</f>
        <v>COMPLETE</v>
      </c>
      <c r="G849" s="10" t="str">
        <f t="array" ref="G849">IF(IFERROR(INDEX(data!L:L,match(Caseslist!B849,data!D:D,0)),"INC")="","COMPLETE",F849)</f>
        <v>COMPLETE</v>
      </c>
      <c r="H849" s="9" t="str">
        <f t="array" ref="H849">IFERROR(INDEX(dataICM!F:F,match(Caseslist!B849,dataICM!D:D,0)), "INC")</f>
        <v>Marvin Mondia</v>
      </c>
      <c r="I849" s="10" t="str">
        <f t="shared" si="2"/>
        <v>S2671943</v>
      </c>
      <c r="J849" s="9" t="str">
        <f t="array" ref="J849">IF(
  AND(
    IFERROR(MATCH(B849, data!D:D, 0), 0) &gt; 0,
    IFERROR(INDEX(data!N:N, MATCH(B849, data!D:D, 0)) = 1, FALSE)
  ),
  INDEX(data!C:C, MATCH(B849, data!D:D, 0)),
  "INC"
)</f>
        <v>2025-08-28T12:44:38.258+08</v>
      </c>
      <c r="K849" s="9" t="str">
        <f t="array" ref="K849">IFERROR(INDEX(dataICM!C:C,match(Caseslist!B849,dataICM!D:D,0)), "INC")</f>
        <v>2025-08-28T12:50:06.018+08</v>
      </c>
      <c r="L849" s="10" t="str">
        <f t="array" ref="L849">IF(AND(G849="COMPLETE", OR(K849="INC", ISBLANK(INDEX(data!O:O, ROW())))), J849, K849)</f>
        <v>2025-08-28T12:50:06.018+08</v>
      </c>
      <c r="M849" s="2">
        <v>45897.0</v>
      </c>
      <c r="N849" s="2">
        <f t="array" ref="N849">IF(M849&lt;&gt;"INC", INDEX(data!M:M, MATCH(B849, data!D:D, 0)), "")</f>
        <v>1</v>
      </c>
      <c r="O849" s="2">
        <f t="shared" si="3"/>
        <v>1</v>
      </c>
    </row>
    <row r="850">
      <c r="A850" s="2" t="str">
        <f t="shared" si="1"/>
        <v>H019559</v>
      </c>
      <c r="B850" s="1" t="s">
        <v>1049</v>
      </c>
      <c r="C850" s="9" t="str">
        <f t="array" ref="C850">IF(
  AND(
    IFERROR(MATCH(Caseslist!B850, data!D:D, 0), 0) &gt; 0,
    IFERROR(INDEX(data!N:N, MATCH(Caseslist!B850, data!D:D, 0)) = 1, FALSE)
  ),
  "COMPLETE",
  "INC"
)</f>
        <v>COMPLETE</v>
      </c>
      <c r="D850" s="9">
        <f t="array" ref="D850">IFERROR(INDEX(data!$G:$G,match(Caseslist!B850,data!$D:$D,0)), "INC")</f>
        <v>729375</v>
      </c>
      <c r="E850" s="9" t="str">
        <f t="array" ref="E850">IFERROR(INDEX(data!H:H,match(Caseslist!B850,data!D:D,0)), "INC")</f>
        <v>Janet Serafica_2</v>
      </c>
      <c r="F850" s="10" t="str">
        <f t="array" ref="F850">IF(
    OR(
      IFNA(INDEX(data!M:M, MATCH(Caseslist!B850, data!D:D, 0)), "") = "",
      IFNA(INDEX(data!M:M, MATCH(Caseslist!B850, data!D:D, 0)), 0) = 0
    ),
    "COMPLETE",
    IF(
      IFNA(INDEX(dataICM!D:D, MATCH(Caseslist!B850, dataICM!D:D, 0)), "INC") = "INC",
      IFNA(INDEX(dataICM!D:D, MATCH(Caseslist!B850, dataICM!D:D, 0)), "INC"),
      "COMPLETE"
    )
  )</f>
        <v>COMPLETE</v>
      </c>
      <c r="G850" s="10" t="str">
        <f t="array" ref="G850">IF(IFERROR(INDEX(data!L:L,match(Caseslist!B850,data!D:D,0)),"INC")="","COMPLETE",F850)</f>
        <v>COMPLETE</v>
      </c>
      <c r="H850" s="9" t="str">
        <f t="array" ref="H850">IFERROR(INDEX(dataICM!F:F,match(Caseslist!B850,dataICM!D:D,0)), "INC")</f>
        <v>Janet Serafica_2</v>
      </c>
      <c r="I850" s="10">
        <f t="shared" si="2"/>
        <v>729375</v>
      </c>
      <c r="J850" s="9" t="str">
        <f t="array" ref="J850">IF(
  AND(
    IFERROR(MATCH(B850, data!D:D, 0), 0) &gt; 0,
    IFERROR(INDEX(data!N:N, MATCH(B850, data!D:D, 0)) = 1, FALSE)
  ),
  INDEX(data!C:C, MATCH(B850, data!D:D, 0)),
  "INC"
)</f>
        <v>2025-09-28T09:58:00.998+08</v>
      </c>
      <c r="K850" s="9" t="str">
        <f t="array" ref="K850">IFERROR(INDEX(dataICM!C:C,match(Caseslist!B850,dataICM!D:D,0)), "INC")</f>
        <v>2025-09-28T10:04:29.422+08</v>
      </c>
      <c r="L850" s="10" t="str">
        <f t="array" ref="L850">IF(AND(G850="COMPLETE", OR(K850="INC", ISBLANK(INDEX(data!O:O, ROW())))), J850, K850)</f>
        <v>2025-09-28T10:04:29.422+08</v>
      </c>
      <c r="M850" s="2">
        <v>45928.0</v>
      </c>
      <c r="N850" s="2">
        <f t="array" ref="N850">IF(M850&lt;&gt;"INC", INDEX(data!M:M, MATCH(B850, data!D:D, 0)), "")</f>
        <v>1</v>
      </c>
      <c r="O850" s="2">
        <f t="shared" si="3"/>
        <v>1</v>
      </c>
    </row>
    <row r="851">
      <c r="A851" s="2" t="str">
        <f t="shared" si="1"/>
        <v>H019559</v>
      </c>
      <c r="B851" s="1" t="s">
        <v>1277</v>
      </c>
      <c r="C851" s="9" t="str">
        <f t="array" ref="C851">IF(
  AND(
    IFERROR(MATCH(Caseslist!B851, data!D:D, 0), 0) &gt; 0,
    IFERROR(INDEX(data!N:N, MATCH(Caseslist!B851, data!D:D, 0)) = 1, FALSE)
  ),
  "COMPLETE",
  "INC"
)</f>
        <v>COMPLETE</v>
      </c>
      <c r="D851" s="9" t="str">
        <f t="array" ref="D851">IFERROR(INDEX(data!$G:$G,match(Caseslist!B851,data!$D:$D,0)), "INC")</f>
        <v>S2671943</v>
      </c>
      <c r="E851" s="9" t="str">
        <f t="array" ref="E851">IFERROR(INDEX(data!H:H,match(Caseslist!B851,data!D:D,0)), "INC")</f>
        <v>Marvin Mondia</v>
      </c>
      <c r="F851" s="10" t="str">
        <f t="array" ref="F851">IF(
    OR(
      IFNA(INDEX(data!M:M, MATCH(Caseslist!B851, data!D:D, 0)), "") = "",
      IFNA(INDEX(data!M:M, MATCH(Caseslist!B851, data!D:D, 0)), 0) = 0
    ),
    "COMPLETE",
    IF(
      IFNA(INDEX(dataICM!D:D, MATCH(Caseslist!B851, dataICM!D:D, 0)), "INC") = "INC",
      IFNA(INDEX(dataICM!D:D, MATCH(Caseslist!B851, dataICM!D:D, 0)), "INC"),
      "COMPLETE"
    )
  )</f>
        <v>COMPLETE</v>
      </c>
      <c r="G851" s="10" t="str">
        <f t="array" ref="G851">IF(IFERROR(INDEX(data!L:L,match(Caseslist!B851,data!D:D,0)),"INC")="","COMPLETE",F851)</f>
        <v>COMPLETE</v>
      </c>
      <c r="H851" s="9" t="str">
        <f t="array" ref="H851">IFERROR(INDEX(dataICM!F:F,match(Caseslist!B851,dataICM!D:D,0)), "INC")</f>
        <v>Marvin Mondia</v>
      </c>
      <c r="I851" s="10" t="str">
        <f t="shared" si="2"/>
        <v>S2671943</v>
      </c>
      <c r="J851" s="9" t="str">
        <f t="array" ref="J851">IF(
  AND(
    IFERROR(MATCH(B851, data!D:D, 0), 0) &gt; 0,
    IFERROR(INDEX(data!N:N, MATCH(B851, data!D:D, 0)) = 1, FALSE)
  ),
  INDEX(data!C:C, MATCH(B851, data!D:D, 0)),
  "INC"
)</f>
        <v>2025-08-28T10:50:14.408+08</v>
      </c>
      <c r="K851" s="9" t="str">
        <f t="array" ref="K851">IFERROR(INDEX(dataICM!C:C,match(Caseslist!B851,dataICM!D:D,0)), "INC")</f>
        <v>2025-08-28T10:56:02.517+08</v>
      </c>
      <c r="L851" s="10" t="str">
        <f t="array" ref="L851">IF(AND(G851="COMPLETE", OR(K851="INC", ISBLANK(INDEX(data!O:O, ROW())))), J851, K851)</f>
        <v>2025-08-28T10:56:02.517+08</v>
      </c>
      <c r="M851" s="2">
        <v>45897.0</v>
      </c>
      <c r="N851" s="2">
        <f t="array" ref="N851">IF(M851&lt;&gt;"INC", INDEX(data!M:M, MATCH(B851, data!D:D, 0)), "")</f>
        <v>1</v>
      </c>
      <c r="O851" s="2">
        <f t="shared" si="3"/>
        <v>1</v>
      </c>
    </row>
    <row r="852">
      <c r="A852" s="2" t="str">
        <f t="shared" si="1"/>
        <v>H019559</v>
      </c>
      <c r="B852" s="1" t="s">
        <v>1039</v>
      </c>
      <c r="C852" s="9" t="str">
        <f t="array" ref="C852">IF(
  AND(
    IFERROR(MATCH(Caseslist!B852, data!D:D, 0), 0) &gt; 0,
    IFERROR(INDEX(data!N:N, MATCH(Caseslist!B852, data!D:D, 0)) = 1, FALSE)
  ),
  "COMPLETE",
  "INC"
)</f>
        <v>COMPLETE</v>
      </c>
      <c r="D852" s="9">
        <f t="array" ref="D852">IFERROR(INDEX(data!$G:$G,match(Caseslist!B852,data!$D:$D,0)), "INC")</f>
        <v>729375</v>
      </c>
      <c r="E852" s="9" t="str">
        <f t="array" ref="E852">IFERROR(INDEX(data!H:H,match(Caseslist!B852,data!D:D,0)), "INC")</f>
        <v>Janet Serafica</v>
      </c>
      <c r="F852" s="10" t="str">
        <f t="array" ref="F852">IF(
    OR(
      IFNA(INDEX(data!M:M, MATCH(Caseslist!B852, data!D:D, 0)), "") = "",
      IFNA(INDEX(data!M:M, MATCH(Caseslist!B852, data!D:D, 0)), 0) = 0
    ),
    "COMPLETE",
    IF(
      IFNA(INDEX(dataICM!D:D, MATCH(Caseslist!B852, dataICM!D:D, 0)), "INC") = "INC",
      IFNA(INDEX(dataICM!D:D, MATCH(Caseslist!B852, dataICM!D:D, 0)), "INC"),
      "COMPLETE"
    )
  )</f>
        <v>COMPLETE</v>
      </c>
      <c r="G852" s="10" t="str">
        <f t="array" ref="G852">IF(IFERROR(INDEX(data!L:L,match(Caseslist!B852,data!D:D,0)),"INC")="","COMPLETE",F852)</f>
        <v>COMPLETE</v>
      </c>
      <c r="H852" s="9" t="str">
        <f t="array" ref="H852">IFERROR(INDEX(dataICM!F:F,match(Caseslist!B852,dataICM!D:D,0)), "INC")</f>
        <v>Janet Serafica</v>
      </c>
      <c r="I852" s="10">
        <f t="shared" si="2"/>
        <v>729375</v>
      </c>
      <c r="J852" s="9" t="str">
        <f t="array" ref="J852">IF(
  AND(
    IFERROR(MATCH(B852, data!D:D, 0), 0) &gt; 0,
    IFERROR(INDEX(data!N:N, MATCH(B852, data!D:D, 0)) = 1, FALSE)
  ),
  INDEX(data!C:C, MATCH(B852, data!D:D, 0)),
  "INC"
)</f>
        <v>2025-08-28T14:42:30.692+08</v>
      </c>
      <c r="K852" s="9" t="str">
        <f t="array" ref="K852">IFERROR(INDEX(dataICM!C:C,match(Caseslist!B852,dataICM!D:D,0)), "INC")</f>
        <v>2025-08-28T14:50:51.655+08</v>
      </c>
      <c r="L852" s="10" t="str">
        <f t="array" ref="L852">IF(AND(G852="COMPLETE", OR(K852="INC", ISBLANK(INDEX(data!O:O, ROW())))), J852, K852)</f>
        <v>2025-08-28T14:50:51.655+08</v>
      </c>
      <c r="M852" s="2">
        <v>45897.0</v>
      </c>
      <c r="N852" s="2">
        <f t="array" ref="N852">IF(M852&lt;&gt;"INC", INDEX(data!M:M, MATCH(B852, data!D:D, 0)), "")</f>
        <v>1</v>
      </c>
      <c r="O852" s="2">
        <f t="shared" si="3"/>
        <v>1</v>
      </c>
    </row>
    <row r="853">
      <c r="A853" s="2" t="str">
        <f t="shared" si="1"/>
        <v>H019559</v>
      </c>
      <c r="B853" s="1" t="s">
        <v>633</v>
      </c>
      <c r="C853" s="9" t="str">
        <f t="array" ref="C853">IF(
  AND(
    IFERROR(MATCH(Caseslist!B853, data!D:D, 0), 0) &gt; 0,
    IFERROR(INDEX(data!N:N, MATCH(Caseslist!B853, data!D:D, 0)) = 1, FALSE)
  ),
  "COMPLETE",
  "INC"
)</f>
        <v>COMPLETE</v>
      </c>
      <c r="D853" s="9">
        <f t="array" ref="D853">IFERROR(INDEX(data!$G:$G,match(Caseslist!B853,data!$D:$D,0)), "INC")</f>
        <v>859767</v>
      </c>
      <c r="E853" s="9" t="str">
        <f t="array" ref="E853">IFERROR(INDEX(data!H:H,match(Caseslist!B853,data!D:D,0)), "INC")</f>
        <v>Ramie De Pedro Jr.</v>
      </c>
      <c r="F853" s="10" t="str">
        <f t="array" ref="F853">IF(
    OR(
      IFNA(INDEX(data!M:M, MATCH(Caseslist!B853, data!D:D, 0)), "") = "",
      IFNA(INDEX(data!M:M, MATCH(Caseslist!B853, data!D:D, 0)), 0) = 0
    ),
    "COMPLETE",
    IF(
      IFNA(INDEX(dataICM!D:D, MATCH(Caseslist!B853, dataICM!D:D, 0)), "INC") = "INC",
      IFNA(INDEX(dataICM!D:D, MATCH(Caseslist!B853, dataICM!D:D, 0)), "INC"),
      "COMPLETE"
    )
  )</f>
        <v>COMPLETE</v>
      </c>
      <c r="G853" s="10" t="str">
        <f t="array" ref="G853">IF(IFERROR(INDEX(data!L:L,match(Caseslist!B853,data!D:D,0)),"INC")="","COMPLETE",F853)</f>
        <v>COMPLETE</v>
      </c>
      <c r="H853" s="9" t="str">
        <f t="array" ref="H853">IFERROR(INDEX(dataICM!F:F,match(Caseslist!B853,dataICM!D:D,0)), "INC")</f>
        <v>Ramie De Pedro Jr.</v>
      </c>
      <c r="I853" s="10">
        <f t="shared" si="2"/>
        <v>859767</v>
      </c>
      <c r="J853" s="9" t="str">
        <f t="array" ref="J853">IF(
  AND(
    IFERROR(MATCH(B853, data!D:D, 0), 0) &gt; 0,
    IFERROR(INDEX(data!N:N, MATCH(B853, data!D:D, 0)) = 1, FALSE)
  ),
  INDEX(data!C:C, MATCH(B853, data!D:D, 0)),
  "INC"
)</f>
        <v>2025-08-27T10:32:51.804+08</v>
      </c>
      <c r="K853" s="9" t="str">
        <f t="array" ref="K853">IFERROR(INDEX(dataICM!C:C,match(Caseslist!B853,dataICM!D:D,0)), "INC")</f>
        <v>2025-08-27T12:43:36.980+08</v>
      </c>
      <c r="L853" s="10" t="str">
        <f t="array" ref="L853">IF(AND(G853="COMPLETE", OR(K853="INC", ISBLANK(INDEX(data!O:O, ROW())))), J853, K853)</f>
        <v>2025-08-27T12:43:36.980+08</v>
      </c>
      <c r="M853" s="2">
        <v>45896.0</v>
      </c>
      <c r="N853" s="2">
        <f t="array" ref="N853">IF(M853&lt;&gt;"INC", INDEX(data!M:M, MATCH(B853, data!D:D, 0)), "")</f>
        <v>1</v>
      </c>
      <c r="O853" s="2">
        <f t="shared" si="3"/>
        <v>1</v>
      </c>
    </row>
    <row r="854">
      <c r="A854" s="2" t="str">
        <f t="shared" si="1"/>
        <v>H019559</v>
      </c>
      <c r="B854" s="1" t="s">
        <v>643</v>
      </c>
      <c r="C854" s="9" t="str">
        <f t="array" ref="C854">IF(
  AND(
    IFERROR(MATCH(Caseslist!B854, data!D:D, 0), 0) &gt; 0,
    IFERROR(INDEX(data!N:N, MATCH(Caseslist!B854, data!D:D, 0)) = 1, FALSE)
  ),
  "COMPLETE",
  "INC"
)</f>
        <v>COMPLETE</v>
      </c>
      <c r="D854" s="9">
        <f t="array" ref="D854">IFERROR(INDEX(data!$G:$G,match(Caseslist!B854,data!$D:$D,0)), "INC")</f>
        <v>859767</v>
      </c>
      <c r="E854" s="9" t="str">
        <f t="array" ref="E854">IFERROR(INDEX(data!H:H,match(Caseslist!B854,data!D:D,0)), "INC")</f>
        <v>Ramie De Pedro Jr.</v>
      </c>
      <c r="F854" s="10" t="str">
        <f t="array" ref="F854">IF(
    OR(
      IFNA(INDEX(data!M:M, MATCH(Caseslist!B854, data!D:D, 0)), "") = "",
      IFNA(INDEX(data!M:M, MATCH(Caseslist!B854, data!D:D, 0)), 0) = 0
    ),
    "COMPLETE",
    IF(
      IFNA(INDEX(dataICM!D:D, MATCH(Caseslist!B854, dataICM!D:D, 0)), "INC") = "INC",
      IFNA(INDEX(dataICM!D:D, MATCH(Caseslist!B854, dataICM!D:D, 0)), "INC"),
      "COMPLETE"
    )
  )</f>
        <v>COMPLETE</v>
      </c>
      <c r="G854" s="10" t="str">
        <f t="array" ref="G854">IF(IFERROR(INDEX(data!L:L,match(Caseslist!B854,data!D:D,0)),"INC")="","COMPLETE",F854)</f>
        <v>COMPLETE</v>
      </c>
      <c r="H854" s="9" t="str">
        <f t="array" ref="H854">IFERROR(INDEX(dataICM!F:F,match(Caseslist!B854,dataICM!D:D,0)), "INC")</f>
        <v>Ramie De Pedro Jr.</v>
      </c>
      <c r="I854" s="10">
        <f t="shared" si="2"/>
        <v>859767</v>
      </c>
      <c r="J854" s="9" t="str">
        <f t="array" ref="J854">IF(
  AND(
    IFERROR(MATCH(B854, data!D:D, 0), 0) &gt; 0,
    IFERROR(INDEX(data!N:N, MATCH(B854, data!D:D, 0)) = 1, FALSE)
  ),
  INDEX(data!C:C, MATCH(B854, data!D:D, 0)),
  "INC"
)</f>
        <v>2025-08-27T14:31:47.673+08</v>
      </c>
      <c r="K854" s="9" t="str">
        <f t="array" ref="K854">IFERROR(INDEX(dataICM!C:C,match(Caseslist!B854,dataICM!D:D,0)), "INC")</f>
        <v>2025-08-27T14:34:35.015+08</v>
      </c>
      <c r="L854" s="10" t="str">
        <f t="array" ref="L854">IF(AND(G854="COMPLETE", OR(K854="INC", ISBLANK(INDEX(data!O:O, ROW())))), J854, K854)</f>
        <v>2025-08-27T14:34:35.015+08</v>
      </c>
      <c r="M854" s="2">
        <v>45896.0</v>
      </c>
      <c r="N854" s="2">
        <f t="array" ref="N854">IF(M854&lt;&gt;"INC", INDEX(data!M:M, MATCH(B854, data!D:D, 0)), "")</f>
        <v>1</v>
      </c>
      <c r="O854" s="2">
        <f t="shared" si="3"/>
        <v>1</v>
      </c>
    </row>
    <row r="855">
      <c r="A855" s="2" t="str">
        <f t="shared" si="1"/>
        <v>H019559</v>
      </c>
      <c r="B855" s="1" t="s">
        <v>638</v>
      </c>
      <c r="C855" s="9" t="str">
        <f t="array" ref="C855">IF(
  AND(
    IFERROR(MATCH(Caseslist!B855, data!D:D, 0), 0) &gt; 0,
    IFERROR(INDEX(data!N:N, MATCH(Caseslist!B855, data!D:D, 0)) = 1, FALSE)
  ),
  "COMPLETE",
  "INC"
)</f>
        <v>COMPLETE</v>
      </c>
      <c r="D855" s="9">
        <f t="array" ref="D855">IFERROR(INDEX(data!$G:$G,match(Caseslist!B855,data!$D:$D,0)), "INC")</f>
        <v>859767</v>
      </c>
      <c r="E855" s="9" t="str">
        <f t="array" ref="E855">IFERROR(INDEX(data!H:H,match(Caseslist!B855,data!D:D,0)), "INC")</f>
        <v>Ramie De Pedro Jr.</v>
      </c>
      <c r="F855" s="10" t="str">
        <f t="array" ref="F855">IF(
    OR(
      IFNA(INDEX(data!M:M, MATCH(Caseslist!B855, data!D:D, 0)), "") = "",
      IFNA(INDEX(data!M:M, MATCH(Caseslist!B855, data!D:D, 0)), 0) = 0
    ),
    "COMPLETE",
    IF(
      IFNA(INDEX(dataICM!D:D, MATCH(Caseslist!B855, dataICM!D:D, 0)), "INC") = "INC",
      IFNA(INDEX(dataICM!D:D, MATCH(Caseslist!B855, dataICM!D:D, 0)), "INC"),
      "COMPLETE"
    )
  )</f>
        <v>COMPLETE</v>
      </c>
      <c r="G855" s="10" t="str">
        <f t="array" ref="G855">IF(IFERROR(INDEX(data!L:L,match(Caseslist!B855,data!D:D,0)),"INC")="","COMPLETE",F855)</f>
        <v>COMPLETE</v>
      </c>
      <c r="H855" s="9" t="str">
        <f t="array" ref="H855">IFERROR(INDEX(dataICM!F:F,match(Caseslist!B855,dataICM!D:D,0)), "INC")</f>
        <v>Ramie De Pedro Jr.</v>
      </c>
      <c r="I855" s="10">
        <f t="shared" si="2"/>
        <v>859767</v>
      </c>
      <c r="J855" s="9" t="str">
        <f t="array" ref="J855">IF(
  AND(
    IFERROR(MATCH(B855, data!D:D, 0), 0) &gt; 0,
    IFERROR(INDEX(data!N:N, MATCH(B855, data!D:D, 0)) = 1, FALSE)
  ),
  INDEX(data!C:C, MATCH(B855, data!D:D, 0)),
  "INC"
)</f>
        <v>2025-08-27T12:11:07.132+08</v>
      </c>
      <c r="K855" s="9" t="str">
        <f t="array" ref="K855">IFERROR(INDEX(dataICM!C:C,match(Caseslist!B855,dataICM!D:D,0)), "INC")</f>
        <v>2025-08-27T12:29:51.392+08</v>
      </c>
      <c r="L855" s="10" t="str">
        <f t="array" ref="L855">IF(AND(G855="COMPLETE", OR(K855="INC", ISBLANK(INDEX(data!O:O, ROW())))), J855, K855)</f>
        <v>2025-08-27T12:29:51.392+08</v>
      </c>
      <c r="M855" s="2">
        <v>45896.0</v>
      </c>
      <c r="N855" s="2">
        <f t="array" ref="N855">IF(M855&lt;&gt;"INC", INDEX(data!M:M, MATCH(B855, data!D:D, 0)), "")</f>
        <v>1</v>
      </c>
      <c r="O855" s="2">
        <f t="shared" si="3"/>
        <v>1</v>
      </c>
    </row>
    <row r="856">
      <c r="A856" s="2" t="str">
        <f t="shared" si="1"/>
        <v>H019559</v>
      </c>
      <c r="B856" s="1" t="s">
        <v>1024</v>
      </c>
      <c r="C856" s="9" t="str">
        <f t="array" ref="C856">IF(
  AND(
    IFERROR(MATCH(Caseslist!B856, data!D:D, 0), 0) &gt; 0,
    IFERROR(INDEX(data!N:N, MATCH(Caseslist!B856, data!D:D, 0)) = 1, FALSE)
  ),
  "COMPLETE",
  "INC"
)</f>
        <v>COMPLETE</v>
      </c>
      <c r="D856" s="9">
        <f t="array" ref="D856">IFERROR(INDEX(data!$G:$G,match(Caseslist!B856,data!$D:$D,0)), "INC")</f>
        <v>729375</v>
      </c>
      <c r="E856" s="9" t="str">
        <f t="array" ref="E856">IFERROR(INDEX(data!H:H,match(Caseslist!B856,data!D:D,0)), "INC")</f>
        <v>Janet Serafica</v>
      </c>
      <c r="F856" s="10" t="str">
        <f t="array" ref="F856">IF(
    OR(
      IFNA(INDEX(data!M:M, MATCH(Caseslist!B856, data!D:D, 0)), "") = "",
      IFNA(INDEX(data!M:M, MATCH(Caseslist!B856, data!D:D, 0)), 0) = 0
    ),
    "COMPLETE",
    IF(
      IFNA(INDEX(dataICM!D:D, MATCH(Caseslist!B856, dataICM!D:D, 0)), "INC") = "INC",
      IFNA(INDEX(dataICM!D:D, MATCH(Caseslist!B856, dataICM!D:D, 0)), "INC"),
      "COMPLETE"
    )
  )</f>
        <v>COMPLETE</v>
      </c>
      <c r="G856" s="10" t="str">
        <f t="array" ref="G856">IF(IFERROR(INDEX(data!L:L,match(Caseslist!B856,data!D:D,0)),"INC")="","COMPLETE",F856)</f>
        <v>COMPLETE</v>
      </c>
      <c r="H856" s="9" t="str">
        <f t="array" ref="H856">IFERROR(INDEX(dataICM!F:F,match(Caseslist!B856,dataICM!D:D,0)), "INC")</f>
        <v>Janet Serafica</v>
      </c>
      <c r="I856" s="10">
        <f t="shared" si="2"/>
        <v>729375</v>
      </c>
      <c r="J856" s="9" t="str">
        <f t="array" ref="J856">IF(
  AND(
    IFERROR(MATCH(B856, data!D:D, 0), 0) &gt; 0,
    IFERROR(INDEX(data!N:N, MATCH(B856, data!D:D, 0)) = 1, FALSE)
  ),
  INDEX(data!C:C, MATCH(B856, data!D:D, 0)),
  "INC"
)</f>
        <v>2025-08-28T09:59:41.113+08</v>
      </c>
      <c r="K856" s="9" t="str">
        <f t="array" ref="K856">IFERROR(INDEX(dataICM!C:C,match(Caseslist!B856,dataICM!D:D,0)), "INC")</f>
        <v>2025-08-28T10:05:29.169+08</v>
      </c>
      <c r="L856" s="10" t="str">
        <f t="array" ref="L856">IF(AND(G856="COMPLETE", OR(K856="INC", ISBLANK(INDEX(data!O:O, ROW())))), J856, K856)</f>
        <v>2025-08-28T10:05:29.169+08</v>
      </c>
      <c r="M856" s="2">
        <v>45897.0</v>
      </c>
      <c r="N856" s="2">
        <f t="array" ref="N856">IF(M856&lt;&gt;"INC", INDEX(data!M:M, MATCH(B856, data!D:D, 0)), "")</f>
        <v>1</v>
      </c>
      <c r="O856" s="2">
        <f t="shared" si="3"/>
        <v>1</v>
      </c>
    </row>
    <row r="857">
      <c r="A857" s="2" t="str">
        <f t="shared" si="1"/>
        <v>H019559</v>
      </c>
      <c r="B857" s="1" t="s">
        <v>8658</v>
      </c>
      <c r="C857" s="9" t="str">
        <f t="array" ref="C857">IF(
  AND(
    IFERROR(MATCH(Caseslist!B857, data!D:D, 0), 0) &gt; 0,
    IFERROR(INDEX(data!N:N, MATCH(Caseslist!B857, data!D:D, 0)) = 1, FALSE)
  ),
  "COMPLETE",
  "INC"
)</f>
        <v>COMPLETE</v>
      </c>
      <c r="D857" s="9" t="str">
        <f t="array" ref="D857">IFERROR(INDEX(data!$G:$G,match(Caseslist!B857,data!$D:$D,0)), "INC")</f>
        <v>S2671943</v>
      </c>
      <c r="E857" s="9" t="str">
        <f t="array" ref="E857">IFERROR(INDEX(data!H:H,match(Caseslist!B857,data!D:D,0)), "INC")</f>
        <v>Marvin Mondia</v>
      </c>
      <c r="F857" s="10" t="str">
        <f t="array" ref="F857">IF(
    OR(
      IFNA(INDEX(data!M:M, MATCH(Caseslist!B857, data!D:D, 0)), "") = "",
      IFNA(INDEX(data!M:M, MATCH(Caseslist!B857, data!D:D, 0)), 0) = 0
    ),
    "COMPLETE",
    IF(
      IFNA(INDEX(dataICM!D:D, MATCH(Caseslist!B857, dataICM!D:D, 0)), "INC") = "INC",
      IFNA(INDEX(dataICM!D:D, MATCH(Caseslist!B857, dataICM!D:D, 0)), "INC"),
      "COMPLETE"
    )
  )</f>
        <v>COMPLETE</v>
      </c>
      <c r="G857" s="10" t="str">
        <f t="array" ref="G857">IF(IFERROR(INDEX(data!L:L,match(Caseslist!B857,data!D:D,0)),"INC")="","COMPLETE",F857)</f>
        <v>COMPLETE</v>
      </c>
      <c r="H857" s="9" t="str">
        <f t="array" ref="H857">IFERROR(INDEX(dataICM!F:F,match(Caseslist!B857,dataICM!D:D,0)), "INC")</f>
        <v>Marvin Mondia</v>
      </c>
      <c r="I857" s="10" t="str">
        <f t="shared" si="2"/>
        <v>S2671943</v>
      </c>
      <c r="J857" s="9" t="str">
        <f t="array" ref="J857">IF(
  AND(
    IFERROR(MATCH(B857, data!D:D, 0), 0) &gt; 0,
    IFERROR(INDEX(data!N:N, MATCH(B857, data!D:D, 0)) = 1, FALSE)
  ),
  INDEX(data!C:C, MATCH(B857, data!D:D, 0)),
  "INC"
)</f>
        <v>2025-09-28T08:47:02.742+08</v>
      </c>
      <c r="K857" s="9" t="str">
        <f t="array" ref="K857">IFERROR(INDEX(dataICM!C:C,match(Caseslist!B857,dataICM!D:D,0)), "INC")</f>
        <v>2025-09-28T08:51:43.296+08</v>
      </c>
      <c r="L857" s="10" t="str">
        <f t="array" ref="L857">IF(AND(G857="COMPLETE", OR(K857="INC", ISBLANK(INDEX(data!O:O, ROW())))), J857, K857)</f>
        <v>2025-09-28T08:51:43.296+08</v>
      </c>
      <c r="M857" s="2">
        <v>45928.0</v>
      </c>
      <c r="N857" s="2">
        <f t="array" ref="N857">IF(M857&lt;&gt;"INC", INDEX(data!M:M, MATCH(B857, data!D:D, 0)), "")</f>
        <v>1</v>
      </c>
      <c r="O857" s="2">
        <f t="shared" si="3"/>
        <v>1</v>
      </c>
    </row>
    <row r="858">
      <c r="A858" s="2" t="str">
        <f t="shared" si="1"/>
        <v>H019559</v>
      </c>
      <c r="B858" s="1" t="s">
        <v>809</v>
      </c>
      <c r="C858" s="9" t="str">
        <f t="array" ref="C858">IF(
  AND(
    IFERROR(MATCH(Caseslist!B858, data!D:D, 0), 0) &gt; 0,
    IFERROR(INDEX(data!N:N, MATCH(Caseslist!B858, data!D:D, 0)) = 1, FALSE)
  ),
  "COMPLETE",
  "INC"
)</f>
        <v>COMPLETE</v>
      </c>
      <c r="D858" s="9" t="str">
        <f t="array" ref="D858">IFERROR(INDEX(data!$G:$G,match(Caseslist!B858,data!$D:$D,0)), "INC")</f>
        <v>S2671943</v>
      </c>
      <c r="E858" s="9" t="str">
        <f t="array" ref="E858">IFERROR(INDEX(data!H:H,match(Caseslist!B858,data!D:D,0)), "INC")</f>
        <v>Marvin Mondia</v>
      </c>
      <c r="F858" s="10" t="str">
        <f t="array" ref="F858">IF(
    OR(
      IFNA(INDEX(data!M:M, MATCH(Caseslist!B858, data!D:D, 0)), "") = "",
      IFNA(INDEX(data!M:M, MATCH(Caseslist!B858, data!D:D, 0)), 0) = 0
    ),
    "COMPLETE",
    IF(
      IFNA(INDEX(dataICM!D:D, MATCH(Caseslist!B858, dataICM!D:D, 0)), "INC") = "INC",
      IFNA(INDEX(dataICM!D:D, MATCH(Caseslist!B858, dataICM!D:D, 0)), "INC"),
      "COMPLETE"
    )
  )</f>
        <v>INC</v>
      </c>
      <c r="G858" s="10" t="str">
        <f t="array" ref="G858">IF(IFERROR(INDEX(data!L:L,match(Caseslist!B858,data!D:D,0)),"INC")="","COMPLETE",F858)</f>
        <v>INC</v>
      </c>
      <c r="H858" s="9" t="str">
        <f t="array" ref="H858">IFERROR(INDEX(dataICM!F:F,match(Caseslist!B858,dataICM!D:D,0)), "INC")</f>
        <v>INC</v>
      </c>
      <c r="I858" s="10" t="str">
        <f t="shared" si="2"/>
        <v>INC</v>
      </c>
      <c r="J858" s="9" t="str">
        <f t="array" ref="J858">IF(
  AND(
    IFERROR(MATCH(B858, data!D:D, 0), 0) &gt; 0,
    IFERROR(INDEX(data!N:N, MATCH(B858, data!D:D, 0)) = 1, FALSE)
  ),
  INDEX(data!C:C, MATCH(B858, data!D:D, 0)),
  "INC"
)</f>
        <v>2025-08-27T19:31:54.467+08</v>
      </c>
      <c r="K858" s="9" t="str">
        <f t="array" ref="K858">IFERROR(INDEX(dataICM!C:C,match(Caseslist!B858,dataICM!D:D,0)), "INC")</f>
        <v>INC</v>
      </c>
      <c r="L858" s="10" t="str">
        <f t="array" ref="L858">IF(AND(G858="COMPLETE", OR(K858="INC", ISBLANK(INDEX(data!O:O, ROW())))), J858, K858)</f>
        <v>INC</v>
      </c>
      <c r="M858" s="2" t="s">
        <v>8886</v>
      </c>
      <c r="N858" s="2" t="str">
        <f t="array" ref="N858">IF(M858&lt;&gt;"INC", INDEX(data!M:M, MATCH(B858, data!D:D, 0)), "")</f>
        <v/>
      </c>
      <c r="O858" s="2" t="str">
        <f t="shared" si="3"/>
        <v/>
      </c>
    </row>
    <row r="859">
      <c r="A859" s="2" t="str">
        <f t="shared" si="1"/>
        <v>H019575</v>
      </c>
      <c r="B859" s="1" t="s">
        <v>366</v>
      </c>
      <c r="C859" s="9" t="str">
        <f t="array" ref="C859">IF(
  AND(
    IFERROR(MATCH(Caseslist!B859, data!D:D, 0), 0) &gt; 0,
    IFERROR(INDEX(data!N:N, MATCH(Caseslist!B859, data!D:D, 0)) = 1, FALSE)
  ),
  "COMPLETE",
  "INC"
)</f>
        <v>COMPLETE</v>
      </c>
      <c r="D859" s="9">
        <f t="array" ref="D859">IFERROR(INDEX(data!$G:$G,match(Caseslist!B859,data!$D:$D,0)), "INC")</f>
        <v>841329</v>
      </c>
      <c r="E859" s="9" t="str">
        <f t="array" ref="E859">IFERROR(INDEX(data!H:H,match(Caseslist!B859,data!D:D,0)), "INC")</f>
        <v>Aila Eli</v>
      </c>
      <c r="F859" s="10" t="str">
        <f t="array" ref="F859">IF(
    OR(
      IFNA(INDEX(data!M:M, MATCH(Caseslist!B859, data!D:D, 0)), "") = "",
      IFNA(INDEX(data!M:M, MATCH(Caseslist!B859, data!D:D, 0)), 0) = 0
    ),
    "COMPLETE",
    IF(
      IFNA(INDEX(dataICM!D:D, MATCH(Caseslist!B859, dataICM!D:D, 0)), "INC") = "INC",
      IFNA(INDEX(dataICM!D:D, MATCH(Caseslist!B859, dataICM!D:D, 0)), "INC"),
      "COMPLETE"
    )
  )</f>
        <v>COMPLETE</v>
      </c>
      <c r="G859" s="10" t="str">
        <f t="array" ref="G859">IF(IFERROR(INDEX(data!L:L,match(Caseslist!B859,data!D:D,0)),"INC")="","COMPLETE",F859)</f>
        <v>COMPLETE</v>
      </c>
      <c r="H859" s="9" t="str">
        <f t="array" ref="H859">IFERROR(INDEX(dataICM!F:F,match(Caseslist!B859,dataICM!D:D,0)), "INC")</f>
        <v>Aila Eli</v>
      </c>
      <c r="I859" s="10">
        <f t="shared" si="2"/>
        <v>841329</v>
      </c>
      <c r="J859" s="9" t="str">
        <f t="array" ref="J859">IF(
  AND(
    IFERROR(MATCH(B859, data!D:D, 0), 0) &gt; 0,
    IFERROR(INDEX(data!N:N, MATCH(B859, data!D:D, 0)) = 1, FALSE)
  ),
  INDEX(data!C:C, MATCH(B859, data!D:D, 0)),
  "INC"
)</f>
        <v>2025-08-26T10:55:35.602+08</v>
      </c>
      <c r="K859" s="9" t="str">
        <f t="array" ref="K859">IFERROR(INDEX(dataICM!C:C,match(Caseslist!B859,dataICM!D:D,0)), "INC")</f>
        <v>2025-08-26T14:04:13.411+08</v>
      </c>
      <c r="L859" s="10" t="str">
        <f t="array" ref="L859">IF(AND(G859="COMPLETE", OR(K859="INC", ISBLANK(INDEX(data!O:O, ROW())))), J859, K859)</f>
        <v>2025-08-26T14:04:13.411+08</v>
      </c>
      <c r="M859" s="2">
        <v>45895.0</v>
      </c>
      <c r="N859" s="2">
        <f t="array" ref="N859">IF(M859&lt;&gt;"INC", INDEX(data!M:M, MATCH(B859, data!D:D, 0)), "")</f>
        <v>2</v>
      </c>
      <c r="O859" s="2">
        <f t="shared" si="3"/>
        <v>2</v>
      </c>
    </row>
    <row r="860">
      <c r="A860" s="2" t="str">
        <f t="shared" si="1"/>
        <v>H019575</v>
      </c>
      <c r="B860" s="1" t="s">
        <v>5063</v>
      </c>
      <c r="C860" s="9" t="str">
        <f t="array" ref="C860">IF(
  AND(
    IFERROR(MATCH(Caseslist!B860, data!D:D, 0), 0) &gt; 0,
    IFERROR(INDEX(data!N:N, MATCH(Caseslist!B860, data!D:D, 0)) = 1, FALSE)
  ),
  "COMPLETE",
  "INC"
)</f>
        <v>INC</v>
      </c>
      <c r="D860" s="9">
        <f t="array" ref="D860">IFERROR(INDEX(data!$G:$G,match(Caseslist!B860,data!$D:$D,0)), "INC")</f>
        <v>555127</v>
      </c>
      <c r="E860" s="9" t="str">
        <f t="array" ref="E860">IFERROR(INDEX(data!H:H,match(Caseslist!B860,data!D:D,0)), "INC")</f>
        <v>Mary May_2</v>
      </c>
      <c r="F860" s="10" t="str">
        <f t="array" ref="F860">IF(
    OR(
      IFNA(INDEX(data!M:M, MATCH(Caseslist!B860, data!D:D, 0)), "") = "",
      IFNA(INDEX(data!M:M, MATCH(Caseslist!B860, data!D:D, 0)), 0) = 0
    ),
    "COMPLETE",
    IF(
      IFNA(INDEX(dataICM!D:D, MATCH(Caseslist!B860, dataICM!D:D, 0)), "INC") = "INC",
      IFNA(INDEX(dataICM!D:D, MATCH(Caseslist!B860, dataICM!D:D, 0)), "INC"),
      "COMPLETE"
    )
  )</f>
        <v>INC</v>
      </c>
      <c r="G860" s="10" t="str">
        <f t="array" ref="G860">IF(IFERROR(INDEX(data!L:L,match(Caseslist!B860,data!D:D,0)),"INC")="","COMPLETE",F860)</f>
        <v>INC</v>
      </c>
      <c r="H860" s="9" t="str">
        <f t="array" ref="H860">IFERROR(INDEX(dataICM!F:F,match(Caseslist!B860,dataICM!D:D,0)), "INC")</f>
        <v>INC</v>
      </c>
      <c r="I860" s="10" t="str">
        <f t="shared" si="2"/>
        <v>INC</v>
      </c>
      <c r="J860" s="9" t="str">
        <f t="array" ref="J860">IF(
  AND(
    IFERROR(MATCH(B860, data!D:D, 0), 0) &gt; 0,
    IFERROR(INDEX(data!N:N, MATCH(B860, data!D:D, 0)) = 1, FALSE)
  ),
  INDEX(data!C:C, MATCH(B860, data!D:D, 0)),
  "INC"
)</f>
        <v>INC</v>
      </c>
      <c r="K860" s="9" t="str">
        <f t="array" ref="K860">IFERROR(INDEX(dataICM!C:C,match(Caseslist!B860,dataICM!D:D,0)), "INC")</f>
        <v>INC</v>
      </c>
      <c r="L860" s="10" t="str">
        <f t="array" ref="L860">IF(AND(G860="COMPLETE", OR(K860="INC", ISBLANK(INDEX(data!O:O, ROW())))), J860, K860)</f>
        <v>INC</v>
      </c>
      <c r="M860" s="2" t="s">
        <v>8886</v>
      </c>
      <c r="N860" s="2" t="str">
        <f t="array" ref="N860">IF(M860&lt;&gt;"INC", INDEX(data!M:M, MATCH(B860, data!D:D, 0)), "")</f>
        <v/>
      </c>
      <c r="O860" s="2" t="str">
        <f t="shared" si="3"/>
        <v/>
      </c>
    </row>
    <row r="861">
      <c r="A861" s="2" t="str">
        <f t="shared" si="1"/>
        <v>H019575</v>
      </c>
      <c r="B861" s="1" t="s">
        <v>314</v>
      </c>
      <c r="C861" s="9" t="str">
        <f t="array" ref="C861">IF(
  AND(
    IFERROR(MATCH(Caseslist!B861, data!D:D, 0), 0) &gt; 0,
    IFERROR(INDEX(data!N:N, MATCH(Caseslist!B861, data!D:D, 0)) = 1, FALSE)
  ),
  "COMPLETE",
  "INC"
)</f>
        <v>COMPLETE</v>
      </c>
      <c r="D861" s="9">
        <f t="array" ref="D861">IFERROR(INDEX(data!$G:$G,match(Caseslist!B861,data!$D:$D,0)), "INC")</f>
        <v>555127</v>
      </c>
      <c r="E861" s="9" t="str">
        <f t="array" ref="E861">IFERROR(INDEX(data!H:H,match(Caseslist!B861,data!D:D,0)), "INC")</f>
        <v>Mary May</v>
      </c>
      <c r="F861" s="10" t="str">
        <f t="array" ref="F861">IF(
    OR(
      IFNA(INDEX(data!M:M, MATCH(Caseslist!B861, data!D:D, 0)), "") = "",
      IFNA(INDEX(data!M:M, MATCH(Caseslist!B861, data!D:D, 0)), 0) = 0
    ),
    "COMPLETE",
    IF(
      IFNA(INDEX(dataICM!D:D, MATCH(Caseslist!B861, dataICM!D:D, 0)), "INC") = "INC",
      IFNA(INDEX(dataICM!D:D, MATCH(Caseslist!B861, dataICM!D:D, 0)), "INC"),
      "COMPLETE"
    )
  )</f>
        <v>COMPLETE</v>
      </c>
      <c r="G861" s="10" t="str">
        <f t="array" ref="G861">IF(IFERROR(INDEX(data!L:L,match(Caseslist!B861,data!D:D,0)),"INC")="","COMPLETE",F861)</f>
        <v>COMPLETE</v>
      </c>
      <c r="H861" s="9" t="str">
        <f t="array" ref="H861">IFERROR(INDEX(dataICM!F:F,match(Caseslist!B861,dataICM!D:D,0)), "INC")</f>
        <v>Mary May</v>
      </c>
      <c r="I861" s="10">
        <f t="shared" si="2"/>
        <v>555127</v>
      </c>
      <c r="J861" s="9" t="str">
        <f t="array" ref="J861">IF(
  AND(
    IFERROR(MATCH(B861, data!D:D, 0), 0) &gt; 0,
    IFERROR(INDEX(data!N:N, MATCH(B861, data!D:D, 0)) = 1, FALSE)
  ),
  INDEX(data!C:C, MATCH(B861, data!D:D, 0)),
  "INC"
)</f>
        <v>2025-08-26T10:29:49.024+08</v>
      </c>
      <c r="K861" s="9" t="str">
        <f t="array" ref="K861">IFERROR(INDEX(dataICM!C:C,match(Caseslist!B861,dataICM!D:D,0)), "INC")</f>
        <v>2025-08-26T10:36:51.866+08</v>
      </c>
      <c r="L861" s="10" t="str">
        <f t="array" ref="L861">IF(AND(G861="COMPLETE", OR(K861="INC", ISBLANK(INDEX(data!O:O, ROW())))), J861, K861)</f>
        <v>2025-08-26T10:36:51.866+08</v>
      </c>
      <c r="M861" s="2">
        <v>45895.0</v>
      </c>
      <c r="N861" s="2">
        <f t="array" ref="N861">IF(M861&lt;&gt;"INC", INDEX(data!M:M, MATCH(B861, data!D:D, 0)), "")</f>
        <v>2</v>
      </c>
      <c r="O861" s="2">
        <f t="shared" si="3"/>
        <v>2</v>
      </c>
    </row>
    <row r="862">
      <c r="A862" s="2" t="str">
        <f t="shared" si="1"/>
        <v>H019575</v>
      </c>
      <c r="B862" s="1" t="s">
        <v>371</v>
      </c>
      <c r="C862" s="9" t="str">
        <f t="array" ref="C862">IF(
  AND(
    IFERROR(MATCH(Caseslist!B862, data!D:D, 0), 0) &gt; 0,
    IFERROR(INDEX(data!N:N, MATCH(Caseslist!B862, data!D:D, 0)) = 1, FALSE)
  ),
  "COMPLETE",
  "INC"
)</f>
        <v>COMPLETE</v>
      </c>
      <c r="D862" s="9">
        <f t="array" ref="D862">IFERROR(INDEX(data!$G:$G,match(Caseslist!B862,data!$D:$D,0)), "INC")</f>
        <v>841329</v>
      </c>
      <c r="E862" s="9" t="str">
        <f t="array" ref="E862">IFERROR(INDEX(data!H:H,match(Caseslist!B862,data!D:D,0)), "INC")</f>
        <v>Aila Eli</v>
      </c>
      <c r="F862" s="10" t="str">
        <f t="array" ref="F862">IF(
    OR(
      IFNA(INDEX(data!M:M, MATCH(Caseslist!B862, data!D:D, 0)), "") = "",
      IFNA(INDEX(data!M:M, MATCH(Caseslist!B862, data!D:D, 0)), 0) = 0
    ),
    "COMPLETE",
    IF(
      IFNA(INDEX(dataICM!D:D, MATCH(Caseslist!B862, dataICM!D:D, 0)), "INC") = "INC",
      IFNA(INDEX(dataICM!D:D, MATCH(Caseslist!B862, dataICM!D:D, 0)), "INC"),
      "COMPLETE"
    )
  )</f>
        <v>COMPLETE</v>
      </c>
      <c r="G862" s="10" t="str">
        <f t="array" ref="G862">IF(IFERROR(INDEX(data!L:L,match(Caseslist!B862,data!D:D,0)),"INC")="","COMPLETE",F862)</f>
        <v>COMPLETE</v>
      </c>
      <c r="H862" s="9" t="str">
        <f t="array" ref="H862">IFERROR(INDEX(dataICM!F:F,match(Caseslist!B862,dataICM!D:D,0)), "INC")</f>
        <v>Aila Eli</v>
      </c>
      <c r="I862" s="10">
        <f t="shared" si="2"/>
        <v>841329</v>
      </c>
      <c r="J862" s="9" t="str">
        <f t="array" ref="J862">IF(
  AND(
    IFERROR(MATCH(B862, data!D:D, 0), 0) &gt; 0,
    IFERROR(INDEX(data!N:N, MATCH(B862, data!D:D, 0)) = 1, FALSE)
  ),
  INDEX(data!C:C, MATCH(B862, data!D:D, 0)),
  "INC"
)</f>
        <v>2025-08-26T14:03:44.150+08</v>
      </c>
      <c r="K862" s="9" t="str">
        <f t="array" ref="K862">IFERROR(INDEX(dataICM!C:C,match(Caseslist!B862,dataICM!D:D,0)), "INC")</f>
        <v>2025-08-26T14:03:22.477+08</v>
      </c>
      <c r="L862" s="10" t="str">
        <f t="array" ref="L862">IF(AND(G862="COMPLETE", OR(K862="INC", ISBLANK(INDEX(data!O:O, ROW())))), J862, K862)</f>
        <v>2025-08-26T14:03:22.477+08</v>
      </c>
      <c r="M862" s="2">
        <v>45895.0</v>
      </c>
      <c r="N862" s="2">
        <f t="array" ref="N862">IF(M862&lt;&gt;"INC", INDEX(data!M:M, MATCH(B862, data!D:D, 0)), "")</f>
        <v>2</v>
      </c>
      <c r="O862" s="2">
        <f t="shared" si="3"/>
        <v>2</v>
      </c>
    </row>
    <row r="863">
      <c r="A863" s="2" t="str">
        <f t="shared" si="1"/>
        <v>H019575</v>
      </c>
      <c r="B863" s="1" t="s">
        <v>433</v>
      </c>
      <c r="C863" s="9" t="str">
        <f t="array" ref="C863">IF(
  AND(
    IFERROR(MATCH(Caseslist!B863, data!D:D, 0), 0) &gt; 0,
    IFERROR(INDEX(data!N:N, MATCH(Caseslist!B863, data!D:D, 0)) = 1, FALSE)
  ),
  "COMPLETE",
  "INC"
)</f>
        <v>COMPLETE</v>
      </c>
      <c r="D863" s="9">
        <f t="array" ref="D863">IFERROR(INDEX(data!$G:$G,match(Caseslist!B863,data!$D:$D,0)), "INC")</f>
        <v>455939</v>
      </c>
      <c r="E863" s="9" t="str">
        <f t="array" ref="E863">IFERROR(INDEX(data!H:H,match(Caseslist!B863,data!D:D,0)), "INC")</f>
        <v>Mary Jean Villaflor</v>
      </c>
      <c r="F863" s="10" t="str">
        <f t="array" ref="F863">IF(
    OR(
      IFNA(INDEX(data!M:M, MATCH(Caseslist!B863, data!D:D, 0)), "") = "",
      IFNA(INDEX(data!M:M, MATCH(Caseslist!B863, data!D:D, 0)), 0) = 0
    ),
    "COMPLETE",
    IF(
      IFNA(INDEX(dataICM!D:D, MATCH(Caseslist!B863, dataICM!D:D, 0)), "INC") = "INC",
      IFNA(INDEX(dataICM!D:D, MATCH(Caseslist!B863, dataICM!D:D, 0)), "INC"),
      "COMPLETE"
    )
  )</f>
        <v>COMPLETE</v>
      </c>
      <c r="G863" s="10" t="str">
        <f t="array" ref="G863">IF(IFERROR(INDEX(data!L:L,match(Caseslist!B863,data!D:D,0)),"INC")="","COMPLETE",F863)</f>
        <v>COMPLETE</v>
      </c>
      <c r="H863" s="9" t="str">
        <f t="array" ref="H863">IFERROR(INDEX(dataICM!F:F,match(Caseslist!B863,dataICM!D:D,0)), "INC")</f>
        <v>Mary Jean Villaflor</v>
      </c>
      <c r="I863" s="10">
        <f t="shared" si="2"/>
        <v>455939</v>
      </c>
      <c r="J863" s="9" t="str">
        <f t="array" ref="J863">IF(
  AND(
    IFERROR(MATCH(B863, data!D:D, 0), 0) &gt; 0,
    IFERROR(INDEX(data!N:N, MATCH(B863, data!D:D, 0)) = 1, FALSE)
  ),
  INDEX(data!C:C, MATCH(B863, data!D:D, 0)),
  "INC"
)</f>
        <v>2025-08-26T10:19:12.659+08</v>
      </c>
      <c r="K863" s="9" t="str">
        <f t="array" ref="K863">IFERROR(INDEX(dataICM!C:C,match(Caseslist!B863,dataICM!D:D,0)), "INC")</f>
        <v>2025-08-26T10:26:10.243+08</v>
      </c>
      <c r="L863" s="10" t="str">
        <f t="array" ref="L863">IF(AND(G863="COMPLETE", OR(K863="INC", ISBLANK(INDEX(data!O:O, ROW())))), J863, K863)</f>
        <v>2025-08-26T10:26:10.243+08</v>
      </c>
      <c r="M863" s="2">
        <v>45895.0</v>
      </c>
      <c r="N863" s="2">
        <f t="array" ref="N863">IF(M863&lt;&gt;"INC", INDEX(data!M:M, MATCH(B863, data!D:D, 0)), "")</f>
        <v>2</v>
      </c>
      <c r="O863" s="2">
        <f t="shared" si="3"/>
        <v>2</v>
      </c>
    </row>
    <row r="864">
      <c r="A864" s="2" t="str">
        <f t="shared" si="1"/>
        <v>H019575</v>
      </c>
      <c r="B864" s="1" t="s">
        <v>320</v>
      </c>
      <c r="C864" s="9" t="str">
        <f t="array" ref="C864">IF(
  AND(
    IFERROR(MATCH(Caseslist!B864, data!D:D, 0), 0) &gt; 0,
    IFERROR(INDEX(data!N:N, MATCH(Caseslist!B864, data!D:D, 0)) = 1, FALSE)
  ),
  "COMPLETE",
  "INC"
)</f>
        <v>COMPLETE</v>
      </c>
      <c r="D864" s="9">
        <f t="array" ref="D864">IFERROR(INDEX(data!$G:$G,match(Caseslist!B864,data!$D:$D,0)), "INC")</f>
        <v>555127</v>
      </c>
      <c r="E864" s="9" t="str">
        <f t="array" ref="E864">IFERROR(INDEX(data!H:H,match(Caseslist!B864,data!D:D,0)), "INC")</f>
        <v>Mary May</v>
      </c>
      <c r="F864" s="10" t="str">
        <f t="array" ref="F864">IF(
    OR(
      IFNA(INDEX(data!M:M, MATCH(Caseslist!B864, data!D:D, 0)), "") = "",
      IFNA(INDEX(data!M:M, MATCH(Caseslist!B864, data!D:D, 0)), 0) = 0
    ),
    "COMPLETE",
    IF(
      IFNA(INDEX(dataICM!D:D, MATCH(Caseslist!B864, dataICM!D:D, 0)), "INC") = "INC",
      IFNA(INDEX(dataICM!D:D, MATCH(Caseslist!B864, dataICM!D:D, 0)), "INC"),
      "COMPLETE"
    )
  )</f>
        <v>COMPLETE</v>
      </c>
      <c r="G864" s="10" t="str">
        <f t="array" ref="G864">IF(IFERROR(INDEX(data!L:L,match(Caseslist!B864,data!D:D,0)),"INC")="","COMPLETE",F864)</f>
        <v>COMPLETE</v>
      </c>
      <c r="H864" s="9" t="str">
        <f t="array" ref="H864">IFERROR(INDEX(dataICM!F:F,match(Caseslist!B864,dataICM!D:D,0)), "INC")</f>
        <v>Mary May</v>
      </c>
      <c r="I864" s="10">
        <f t="shared" si="2"/>
        <v>555127</v>
      </c>
      <c r="J864" s="9" t="str">
        <f t="array" ref="J864">IF(
  AND(
    IFERROR(MATCH(B864, data!D:D, 0), 0) &gt; 0,
    IFERROR(INDEX(data!N:N, MATCH(B864, data!D:D, 0)) = 1, FALSE)
  ),
  INDEX(data!C:C, MATCH(B864, data!D:D, 0)),
  "INC"
)</f>
        <v>2025-08-26T13:04:02.387+08</v>
      </c>
      <c r="K864" s="9" t="str">
        <f t="array" ref="K864">IFERROR(INDEX(dataICM!C:C,match(Caseslist!B864,dataICM!D:D,0)), "INC")</f>
        <v>2025-08-26T13:08:22.483+08</v>
      </c>
      <c r="L864" s="10" t="str">
        <f t="array" ref="L864">IF(AND(G864="COMPLETE", OR(K864="INC", ISBLANK(INDEX(data!O:O, ROW())))), J864, K864)</f>
        <v>2025-08-26T13:08:22.483+08</v>
      </c>
      <c r="M864" s="2">
        <v>45895.0</v>
      </c>
      <c r="N864" s="2">
        <f t="array" ref="N864">IF(M864&lt;&gt;"INC", INDEX(data!M:M, MATCH(B864, data!D:D, 0)), "")</f>
        <v>2</v>
      </c>
      <c r="O864" s="2">
        <f t="shared" si="3"/>
        <v>2</v>
      </c>
    </row>
    <row r="865">
      <c r="A865" s="2" t="str">
        <f t="shared" si="1"/>
        <v>H019575</v>
      </c>
      <c r="B865" s="1" t="s">
        <v>2309</v>
      </c>
      <c r="C865" s="9" t="str">
        <f t="array" ref="C865">IF(
  AND(
    IFERROR(MATCH(Caseslist!B865, data!D:D, 0), 0) &gt; 0,
    IFERROR(INDEX(data!N:N, MATCH(Caseslist!B865, data!D:D, 0)) = 1, FALSE)
  ),
  "COMPLETE",
  "INC"
)</f>
        <v>COMPLETE</v>
      </c>
      <c r="D865" s="9">
        <f t="array" ref="D865">IFERROR(INDEX(data!$G:$G,match(Caseslist!B865,data!$D:$D,0)), "INC")</f>
        <v>841329</v>
      </c>
      <c r="E865" s="9" t="str">
        <f t="array" ref="E865">IFERROR(INDEX(data!H:H,match(Caseslist!B865,data!D:D,0)), "INC")</f>
        <v>Aila Eli</v>
      </c>
      <c r="F865" s="10" t="str">
        <f t="array" ref="F865">IF(
    OR(
      IFNA(INDEX(data!M:M, MATCH(Caseslist!B865, data!D:D, 0)), "") = "",
      IFNA(INDEX(data!M:M, MATCH(Caseslist!B865, data!D:D, 0)), 0) = 0
    ),
    "COMPLETE",
    IF(
      IFNA(INDEX(dataICM!D:D, MATCH(Caseslist!B865, dataICM!D:D, 0)), "INC") = "INC",
      IFNA(INDEX(dataICM!D:D, MATCH(Caseslist!B865, dataICM!D:D, 0)), "INC"),
      "COMPLETE"
    )
  )</f>
        <v>COMPLETE</v>
      </c>
      <c r="G865" s="10" t="str">
        <f t="array" ref="G865">IF(IFERROR(INDEX(data!L:L,match(Caseslist!B865,data!D:D,0)),"INC")="","COMPLETE",F865)</f>
        <v>COMPLETE</v>
      </c>
      <c r="H865" s="9" t="str">
        <f t="array" ref="H865">IFERROR(INDEX(dataICM!F:F,match(Caseslist!B865,dataICM!D:D,0)), "INC")</f>
        <v>Aila Eli</v>
      </c>
      <c r="I865" s="10">
        <f t="shared" si="2"/>
        <v>841329</v>
      </c>
      <c r="J865" s="9" t="str">
        <f t="array" ref="J865">IF(
  AND(
    IFERROR(MATCH(B865, data!D:D, 0), 0) &gt; 0,
    IFERROR(INDEX(data!N:N, MATCH(B865, data!D:D, 0)) = 1, FALSE)
  ),
  INDEX(data!C:C, MATCH(B865, data!D:D, 0)),
  "INC"
)</f>
        <v>2025-09-01T17:07:54.827+08</v>
      </c>
      <c r="K865" s="9" t="str">
        <f t="array" ref="K865">IFERROR(INDEX(dataICM!C:C,match(Caseslist!B865,dataICM!D:D,0)), "INC")</f>
        <v>2025-09-01T17:15:55.944+08</v>
      </c>
      <c r="L865" s="10" t="str">
        <f t="array" ref="L865">IF(AND(G865="COMPLETE", OR(K865="INC", ISBLANK(INDEX(data!O:O, ROW())))), J865, K865)</f>
        <v>2025-09-01T17:15:55.944+08</v>
      </c>
      <c r="M865" s="2">
        <v>45901.0</v>
      </c>
      <c r="N865" s="2">
        <f t="array" ref="N865">IF(M865&lt;&gt;"INC", INDEX(data!M:M, MATCH(B865, data!D:D, 0)), "")</f>
        <v>2</v>
      </c>
      <c r="O865" s="2">
        <f t="shared" si="3"/>
        <v>2</v>
      </c>
    </row>
    <row r="866">
      <c r="A866" s="2" t="str">
        <f t="shared" si="1"/>
        <v>H019575</v>
      </c>
      <c r="B866" s="1" t="s">
        <v>376</v>
      </c>
      <c r="C866" s="9" t="str">
        <f t="array" ref="C866">IF(
  AND(
    IFERROR(MATCH(Caseslist!B866, data!D:D, 0), 0) &gt; 0,
    IFERROR(INDEX(data!N:N, MATCH(Caseslist!B866, data!D:D, 0)) = 1, FALSE)
  ),
  "COMPLETE",
  "INC"
)</f>
        <v>COMPLETE</v>
      </c>
      <c r="D866" s="9">
        <f t="array" ref="D866">IFERROR(INDEX(data!$G:$G,match(Caseslist!B866,data!$D:$D,0)), "INC")</f>
        <v>841329</v>
      </c>
      <c r="E866" s="9" t="str">
        <f t="array" ref="E866">IFERROR(INDEX(data!H:H,match(Caseslist!B866,data!D:D,0)), "INC")</f>
        <v>Aila Eli</v>
      </c>
      <c r="F866" s="10" t="str">
        <f t="array" ref="F866">IF(
    OR(
      IFNA(INDEX(data!M:M, MATCH(Caseslist!B866, data!D:D, 0)), "") = "",
      IFNA(INDEX(data!M:M, MATCH(Caseslist!B866, data!D:D, 0)), 0) = 0
    ),
    "COMPLETE",
    IF(
      IFNA(INDEX(dataICM!D:D, MATCH(Caseslist!B866, dataICM!D:D, 0)), "INC") = "INC",
      IFNA(INDEX(dataICM!D:D, MATCH(Caseslist!B866, dataICM!D:D, 0)), "INC"),
      "COMPLETE"
    )
  )</f>
        <v>COMPLETE</v>
      </c>
      <c r="G866" s="10" t="str">
        <f t="array" ref="G866">IF(IFERROR(INDEX(data!L:L,match(Caseslist!B866,data!D:D,0)),"INC")="","COMPLETE",F866)</f>
        <v>COMPLETE</v>
      </c>
      <c r="H866" s="9" t="str">
        <f t="array" ref="H866">IFERROR(INDEX(dataICM!F:F,match(Caseslist!B866,dataICM!D:D,0)), "INC")</f>
        <v>Aila Eli</v>
      </c>
      <c r="I866" s="10">
        <f t="shared" si="2"/>
        <v>841329</v>
      </c>
      <c r="J866" s="9" t="str">
        <f t="array" ref="J866">IF(
  AND(
    IFERROR(MATCH(B866, data!D:D, 0), 0) &gt; 0,
    IFERROR(INDEX(data!N:N, MATCH(B866, data!D:D, 0)) = 1, FALSE)
  ),
  INDEX(data!C:C, MATCH(B866, data!D:D, 0)),
  "INC"
)</f>
        <v>2025-08-26T15:22:29.017+08</v>
      </c>
      <c r="K866" s="9" t="str">
        <f t="array" ref="K866">IFERROR(INDEX(dataICM!C:C,match(Caseslist!B866,dataICM!D:D,0)), "INC")</f>
        <v>2025-08-26T15:28:49.232+08</v>
      </c>
      <c r="L866" s="10" t="str">
        <f t="array" ref="L866">IF(AND(G866="COMPLETE", OR(K866="INC", ISBLANK(INDEX(data!O:O, ROW())))), J866, K866)</f>
        <v>2025-08-26T15:28:49.232+08</v>
      </c>
      <c r="M866" s="2">
        <v>45895.0</v>
      </c>
      <c r="N866" s="2">
        <f t="array" ref="N866">IF(M866&lt;&gt;"INC", INDEX(data!M:M, MATCH(B866, data!D:D, 0)), "")</f>
        <v>2</v>
      </c>
      <c r="O866" s="2">
        <f t="shared" si="3"/>
        <v>2</v>
      </c>
    </row>
    <row r="867">
      <c r="A867" s="2" t="str">
        <f t="shared" si="1"/>
        <v>H019575</v>
      </c>
      <c r="B867" s="1" t="s">
        <v>438</v>
      </c>
      <c r="C867" s="9" t="str">
        <f t="array" ref="C867">IF(
  AND(
    IFERROR(MATCH(Caseslist!B867, data!D:D, 0), 0) &gt; 0,
    IFERROR(INDEX(data!N:N, MATCH(Caseslist!B867, data!D:D, 0)) = 1, FALSE)
  ),
  "COMPLETE",
  "INC"
)</f>
        <v>COMPLETE</v>
      </c>
      <c r="D867" s="9">
        <f t="array" ref="D867">IFERROR(INDEX(data!$G:$G,match(Caseslist!B867,data!$D:$D,0)), "INC")</f>
        <v>455939</v>
      </c>
      <c r="E867" s="9" t="str">
        <f t="array" ref="E867">IFERROR(INDEX(data!H:H,match(Caseslist!B867,data!D:D,0)), "INC")</f>
        <v>Mary Jean Villaflor</v>
      </c>
      <c r="F867" s="10" t="str">
        <f t="array" ref="F867">IF(
    OR(
      IFNA(INDEX(data!M:M, MATCH(Caseslist!B867, data!D:D, 0)), "") = "",
      IFNA(INDEX(data!M:M, MATCH(Caseslist!B867, data!D:D, 0)), 0) = 0
    ),
    "COMPLETE",
    IF(
      IFNA(INDEX(dataICM!D:D, MATCH(Caseslist!B867, dataICM!D:D, 0)), "INC") = "INC",
      IFNA(INDEX(dataICM!D:D, MATCH(Caseslist!B867, dataICM!D:D, 0)), "INC"),
      "COMPLETE"
    )
  )</f>
        <v>COMPLETE</v>
      </c>
      <c r="G867" s="10" t="str">
        <f t="array" ref="G867">IF(IFERROR(INDEX(data!L:L,match(Caseslist!B867,data!D:D,0)),"INC")="","COMPLETE",F867)</f>
        <v>COMPLETE</v>
      </c>
      <c r="H867" s="9" t="str">
        <f t="array" ref="H867">IFERROR(INDEX(dataICM!F:F,match(Caseslist!B867,dataICM!D:D,0)), "INC")</f>
        <v>Mary Jean Villaflor</v>
      </c>
      <c r="I867" s="10">
        <f t="shared" si="2"/>
        <v>455939</v>
      </c>
      <c r="J867" s="9" t="str">
        <f t="array" ref="J867">IF(
  AND(
    IFERROR(MATCH(B867, data!D:D, 0), 0) &gt; 0,
    IFERROR(INDEX(data!N:N, MATCH(B867, data!D:D, 0)) = 1, FALSE)
  ),
  INDEX(data!C:C, MATCH(B867, data!D:D, 0)),
  "INC"
)</f>
        <v>2025-08-26T11:26:02.653+08</v>
      </c>
      <c r="K867" s="9" t="str">
        <f t="array" ref="K867">IFERROR(INDEX(dataICM!C:C,match(Caseslist!B867,dataICM!D:D,0)), "INC")</f>
        <v>2025-08-26T11:29:09.895+08</v>
      </c>
      <c r="L867" s="10" t="str">
        <f t="array" ref="L867">IF(AND(G867="COMPLETE", OR(K867="INC", ISBLANK(INDEX(data!O:O, ROW())))), J867, K867)</f>
        <v>2025-08-26T11:29:09.895+08</v>
      </c>
      <c r="M867" s="2">
        <v>45895.0</v>
      </c>
      <c r="N867" s="2">
        <f t="array" ref="N867">IF(M867&lt;&gt;"INC", INDEX(data!M:M, MATCH(B867, data!D:D, 0)), "")</f>
        <v>2</v>
      </c>
      <c r="O867" s="2">
        <f t="shared" si="3"/>
        <v>2</v>
      </c>
    </row>
    <row r="868">
      <c r="A868" s="2" t="str">
        <f t="shared" si="1"/>
        <v>H019575</v>
      </c>
      <c r="B868" s="1" t="s">
        <v>330</v>
      </c>
      <c r="C868" s="9" t="str">
        <f t="array" ref="C868">IF(
  AND(
    IFERROR(MATCH(Caseslist!B868, data!D:D, 0), 0) &gt; 0,
    IFERROR(INDEX(data!N:N, MATCH(Caseslist!B868, data!D:D, 0)) = 1, FALSE)
  ),
  "COMPLETE",
  "INC"
)</f>
        <v>COMPLETE</v>
      </c>
      <c r="D868" s="9">
        <f t="array" ref="D868">IFERROR(INDEX(data!$G:$G,match(Caseslist!B868,data!$D:$D,0)), "INC")</f>
        <v>555127</v>
      </c>
      <c r="E868" s="9" t="str">
        <f t="array" ref="E868">IFERROR(INDEX(data!H:H,match(Caseslist!B868,data!D:D,0)), "INC")</f>
        <v>Mary May</v>
      </c>
      <c r="F868" s="10" t="str">
        <f t="array" ref="F868">IF(
    OR(
      IFNA(INDEX(data!M:M, MATCH(Caseslist!B868, data!D:D, 0)), "") = "",
      IFNA(INDEX(data!M:M, MATCH(Caseslist!B868, data!D:D, 0)), 0) = 0
    ),
    "COMPLETE",
    IF(
      IFNA(INDEX(dataICM!D:D, MATCH(Caseslist!B868, dataICM!D:D, 0)), "INC") = "INC",
      IFNA(INDEX(dataICM!D:D, MATCH(Caseslist!B868, dataICM!D:D, 0)), "INC"),
      "COMPLETE"
    )
  )</f>
        <v>COMPLETE</v>
      </c>
      <c r="G868" s="10" t="str">
        <f t="array" ref="G868">IF(IFERROR(INDEX(data!L:L,match(Caseslist!B868,data!D:D,0)),"INC")="","COMPLETE",F868)</f>
        <v>COMPLETE</v>
      </c>
      <c r="H868" s="9" t="str">
        <f t="array" ref="H868">IFERROR(INDEX(dataICM!F:F,match(Caseslist!B868,dataICM!D:D,0)), "INC")</f>
        <v>Mary May</v>
      </c>
      <c r="I868" s="10">
        <f t="shared" si="2"/>
        <v>555127</v>
      </c>
      <c r="J868" s="9" t="str">
        <f t="array" ref="J868">IF(
  AND(
    IFERROR(MATCH(B868, data!D:D, 0), 0) &gt; 0,
    IFERROR(INDEX(data!N:N, MATCH(B868, data!D:D, 0)) = 1, FALSE)
  ),
  INDEX(data!C:C, MATCH(B868, data!D:D, 0)),
  "INC"
)</f>
        <v>2025-08-26T15:25:24.651+08</v>
      </c>
      <c r="K868" s="9" t="str">
        <f t="array" ref="K868">IFERROR(INDEX(dataICM!C:C,match(Caseslist!B868,dataICM!D:D,0)), "INC")</f>
        <v>2025-08-26T17:59:33.431+08</v>
      </c>
      <c r="L868" s="10" t="str">
        <f t="array" ref="L868">IF(AND(G868="COMPLETE", OR(K868="INC", ISBLANK(INDEX(data!O:O, ROW())))), J868, K868)</f>
        <v>2025-08-26T17:59:33.431+08</v>
      </c>
      <c r="M868" s="2">
        <v>45895.0</v>
      </c>
      <c r="N868" s="2">
        <f t="array" ref="N868">IF(M868&lt;&gt;"INC", INDEX(data!M:M, MATCH(B868, data!D:D, 0)), "")</f>
        <v>2</v>
      </c>
      <c r="O868" s="2">
        <f t="shared" si="3"/>
        <v>2</v>
      </c>
    </row>
    <row r="869">
      <c r="A869" s="2" t="str">
        <f t="shared" si="1"/>
        <v>H019575</v>
      </c>
      <c r="B869" s="1" t="s">
        <v>8920</v>
      </c>
      <c r="C869" s="9" t="str">
        <f t="array" ref="C869">IF(
  AND(
    IFERROR(MATCH(Caseslist!B869, data!D:D, 0), 0) &gt; 0,
    IFERROR(INDEX(data!N:N, MATCH(Caseslist!B869, data!D:D, 0)) = 1, FALSE)
  ),
  "COMPLETE",
  "INC"
)</f>
        <v>INC</v>
      </c>
      <c r="D869" s="9" t="str">
        <f t="array" ref="D869">IFERROR(INDEX(data!$G:$G,match(Caseslist!B869,data!$D:$D,0)), "INC")</f>
        <v>INC</v>
      </c>
      <c r="E869" s="9" t="str">
        <f t="array" ref="E869">IFERROR(INDEX(data!H:H,match(Caseslist!B869,data!D:D,0)), "INC")</f>
        <v>INC</v>
      </c>
      <c r="F869" s="10" t="str">
        <f t="array" ref="F869">IF(
    OR(
      IFNA(INDEX(data!M:M, MATCH(Caseslist!B869, data!D:D, 0)), "") = "",
      IFNA(INDEX(data!M:M, MATCH(Caseslist!B869, data!D:D, 0)), 0) = 0
    ),
    "COMPLETE",
    IF(
      IFNA(INDEX(dataICM!D:D, MATCH(Caseslist!B869, dataICM!D:D, 0)), "INC") = "INC",
      IFNA(INDEX(dataICM!D:D, MATCH(Caseslist!B869, dataICM!D:D, 0)), "INC"),
      "COMPLETE"
    )
  )</f>
        <v>COMPLETE</v>
      </c>
      <c r="G869" s="10" t="str">
        <f t="array" ref="G869">IF(IFERROR(INDEX(data!L:L,match(Caseslist!B869,data!D:D,0)),"INC")="","COMPLETE",F869)</f>
        <v>COMPLETE</v>
      </c>
      <c r="H869" s="9" t="str">
        <f t="array" ref="H869">IFERROR(INDEX(dataICM!F:F,match(Caseslist!B869,dataICM!D:D,0)), "INC")</f>
        <v>INC</v>
      </c>
      <c r="I869" s="10" t="str">
        <f t="shared" si="2"/>
        <v>INC</v>
      </c>
      <c r="J869" s="9" t="str">
        <f t="array" ref="J869">IF(
  AND(
    IFERROR(MATCH(B869, data!D:D, 0), 0) &gt; 0,
    IFERROR(INDEX(data!N:N, MATCH(B869, data!D:D, 0)) = 1, FALSE)
  ),
  INDEX(data!C:C, MATCH(B869, data!D:D, 0)),
  "INC"
)</f>
        <v>INC</v>
      </c>
      <c r="K869" s="9" t="str">
        <f t="array" ref="K869">IFERROR(INDEX(dataICM!C:C,match(Caseslist!B869,dataICM!D:D,0)), "INC")</f>
        <v>INC</v>
      </c>
      <c r="L869" s="10" t="str">
        <f t="array" ref="L869">IF(AND(G869="COMPLETE", OR(K869="INC", ISBLANK(INDEX(data!O:O, ROW())))), J869, K869)</f>
        <v>INC</v>
      </c>
      <c r="M869" s="2" t="s">
        <v>8886</v>
      </c>
      <c r="N869" s="2" t="str">
        <f t="array" ref="N869">IF(M869&lt;&gt;"INC", INDEX(data!M:M, MATCH(B869, data!D:D, 0)), "")</f>
        <v/>
      </c>
      <c r="O869" s="2" t="str">
        <f t="shared" si="3"/>
        <v/>
      </c>
    </row>
    <row r="870">
      <c r="A870" s="2" t="str">
        <f t="shared" si="1"/>
        <v>H019575</v>
      </c>
      <c r="B870" s="1" t="s">
        <v>448</v>
      </c>
      <c r="C870" s="9" t="str">
        <f t="array" ref="C870">IF(
  AND(
    IFERROR(MATCH(Caseslist!B870, data!D:D, 0), 0) &gt; 0,
    IFERROR(INDEX(data!N:N, MATCH(Caseslist!B870, data!D:D, 0)) = 1, FALSE)
  ),
  "COMPLETE",
  "INC"
)</f>
        <v>COMPLETE</v>
      </c>
      <c r="D870" s="9">
        <f t="array" ref="D870">IFERROR(INDEX(data!$G:$G,match(Caseslist!B870,data!$D:$D,0)), "INC")</f>
        <v>455939</v>
      </c>
      <c r="E870" s="9" t="str">
        <f t="array" ref="E870">IFERROR(INDEX(data!H:H,match(Caseslist!B870,data!D:D,0)), "INC")</f>
        <v>Mary Jean Villaflor</v>
      </c>
      <c r="F870" s="10" t="str">
        <f t="array" ref="F870">IF(
    OR(
      IFNA(INDEX(data!M:M, MATCH(Caseslist!B870, data!D:D, 0)), "") = "",
      IFNA(INDEX(data!M:M, MATCH(Caseslist!B870, data!D:D, 0)), 0) = 0
    ),
    "COMPLETE",
    IF(
      IFNA(INDEX(dataICM!D:D, MATCH(Caseslist!B870, dataICM!D:D, 0)), "INC") = "INC",
      IFNA(INDEX(dataICM!D:D, MATCH(Caseslist!B870, dataICM!D:D, 0)), "INC"),
      "COMPLETE"
    )
  )</f>
        <v>COMPLETE</v>
      </c>
      <c r="G870" s="10" t="str">
        <f t="array" ref="G870">IF(IFERROR(INDEX(data!L:L,match(Caseslist!B870,data!D:D,0)),"INC")="","COMPLETE",F870)</f>
        <v>COMPLETE</v>
      </c>
      <c r="H870" s="9" t="str">
        <f t="array" ref="H870">IFERROR(INDEX(dataICM!F:F,match(Caseslist!B870,dataICM!D:D,0)), "INC")</f>
        <v>Mary Jean Villaflor</v>
      </c>
      <c r="I870" s="10">
        <f t="shared" si="2"/>
        <v>455939</v>
      </c>
      <c r="J870" s="9" t="str">
        <f t="array" ref="J870">IF(
  AND(
    IFERROR(MATCH(B870, data!D:D, 0), 0) &gt; 0,
    IFERROR(INDEX(data!N:N, MATCH(B870, data!D:D, 0)) = 1, FALSE)
  ),
  INDEX(data!C:C, MATCH(B870, data!D:D, 0)),
  "INC"
)</f>
        <v>2025-08-26T13:31:09.495+08</v>
      </c>
      <c r="K870" s="9" t="str">
        <f t="array" ref="K870">IFERROR(INDEX(dataICM!C:C,match(Caseslist!B870,dataICM!D:D,0)), "INC")</f>
        <v>2025-08-26T13:33:48.061+08</v>
      </c>
      <c r="L870" s="10" t="str">
        <f t="array" ref="L870">IF(AND(G870="COMPLETE", OR(K870="INC", ISBLANK(INDEX(data!O:O, ROW())))), J870, K870)</f>
        <v>2025-08-26T13:33:48.061+08</v>
      </c>
      <c r="M870" s="2">
        <v>45895.0</v>
      </c>
      <c r="N870" s="2">
        <f t="array" ref="N870">IF(M870&lt;&gt;"INC", INDEX(data!M:M, MATCH(B870, data!D:D, 0)), "")</f>
        <v>2</v>
      </c>
      <c r="O870" s="2">
        <f t="shared" si="3"/>
        <v>2</v>
      </c>
    </row>
    <row r="871">
      <c r="A871" s="2" t="str">
        <f t="shared" si="1"/>
        <v>H019575</v>
      </c>
      <c r="B871" s="1" t="s">
        <v>325</v>
      </c>
      <c r="C871" s="9" t="str">
        <f t="array" ref="C871">IF(
  AND(
    IFERROR(MATCH(Caseslist!B871, data!D:D, 0), 0) &gt; 0,
    IFERROR(INDEX(data!N:N, MATCH(Caseslist!B871, data!D:D, 0)) = 1, FALSE)
  ),
  "COMPLETE",
  "INC"
)</f>
        <v>COMPLETE</v>
      </c>
      <c r="D871" s="9">
        <f t="array" ref="D871">IFERROR(INDEX(data!$G:$G,match(Caseslist!B871,data!$D:$D,0)), "INC")</f>
        <v>555127</v>
      </c>
      <c r="E871" s="9" t="str">
        <f t="array" ref="E871">IFERROR(INDEX(data!H:H,match(Caseslist!B871,data!D:D,0)), "INC")</f>
        <v>Mary May</v>
      </c>
      <c r="F871" s="10" t="str">
        <f t="array" ref="F871">IF(
    OR(
      IFNA(INDEX(data!M:M, MATCH(Caseslist!B871, data!D:D, 0)), "") = "",
      IFNA(INDEX(data!M:M, MATCH(Caseslist!B871, data!D:D, 0)), 0) = 0
    ),
    "COMPLETE",
    IF(
      IFNA(INDEX(dataICM!D:D, MATCH(Caseslist!B871, dataICM!D:D, 0)), "INC") = "INC",
      IFNA(INDEX(dataICM!D:D, MATCH(Caseslist!B871, dataICM!D:D, 0)), "INC"),
      "COMPLETE"
    )
  )</f>
        <v>COMPLETE</v>
      </c>
      <c r="G871" s="10" t="str">
        <f t="array" ref="G871">IF(IFERROR(INDEX(data!L:L,match(Caseslist!B871,data!D:D,0)),"INC")="","COMPLETE",F871)</f>
        <v>COMPLETE</v>
      </c>
      <c r="H871" s="9" t="str">
        <f t="array" ref="H871">IFERROR(INDEX(dataICM!F:F,match(Caseslist!B871,dataICM!D:D,0)), "INC")</f>
        <v>Mary May</v>
      </c>
      <c r="I871" s="10">
        <f t="shared" si="2"/>
        <v>555127</v>
      </c>
      <c r="J871" s="9" t="str">
        <f t="array" ref="J871">IF(
  AND(
    IFERROR(MATCH(B871, data!D:D, 0), 0) &gt; 0,
    IFERROR(INDEX(data!N:N, MATCH(B871, data!D:D, 0)) = 1, FALSE)
  ),
  INDEX(data!C:C, MATCH(B871, data!D:D, 0)),
  "INC"
)</f>
        <v>2025-08-26T11:40:32.851+08</v>
      </c>
      <c r="K871" s="9" t="str">
        <f t="array" ref="K871">IFERROR(INDEX(dataICM!C:C,match(Caseslist!B871,dataICM!D:D,0)), "INC")</f>
        <v>2025-08-26T11:44:30.838+08</v>
      </c>
      <c r="L871" s="10" t="str">
        <f t="array" ref="L871">IF(AND(G871="COMPLETE", OR(K871="INC", ISBLANK(INDEX(data!O:O, ROW())))), J871, K871)</f>
        <v>2025-08-26T11:44:30.838+08</v>
      </c>
      <c r="M871" s="2">
        <v>45895.0</v>
      </c>
      <c r="N871" s="2">
        <f t="array" ref="N871">IF(M871&lt;&gt;"INC", INDEX(data!M:M, MATCH(B871, data!D:D, 0)), "")</f>
        <v>2</v>
      </c>
      <c r="O871" s="2">
        <f t="shared" si="3"/>
        <v>2</v>
      </c>
    </row>
    <row r="872">
      <c r="A872" s="2" t="str">
        <f t="shared" si="1"/>
        <v>H019575</v>
      </c>
      <c r="B872" s="1" t="s">
        <v>8921</v>
      </c>
      <c r="C872" s="9" t="str">
        <f t="array" ref="C872">IF(
  AND(
    IFERROR(MATCH(Caseslist!B872, data!D:D, 0), 0) &gt; 0,
    IFERROR(INDEX(data!N:N, MATCH(Caseslist!B872, data!D:D, 0)) = 1, FALSE)
  ),
  "COMPLETE",
  "INC"
)</f>
        <v>INC</v>
      </c>
      <c r="D872" s="9" t="str">
        <f t="array" ref="D872">IFERROR(INDEX(data!$G:$G,match(Caseslist!B872,data!$D:$D,0)), "INC")</f>
        <v>INC</v>
      </c>
      <c r="E872" s="9" t="str">
        <f t="array" ref="E872">IFERROR(INDEX(data!H:H,match(Caseslist!B872,data!D:D,0)), "INC")</f>
        <v>INC</v>
      </c>
      <c r="F872" s="10" t="str">
        <f t="array" ref="F872">IF(
    OR(
      IFNA(INDEX(data!M:M, MATCH(Caseslist!B872, data!D:D, 0)), "") = "",
      IFNA(INDEX(data!M:M, MATCH(Caseslist!B872, data!D:D, 0)), 0) = 0
    ),
    "COMPLETE",
    IF(
      IFNA(INDEX(dataICM!D:D, MATCH(Caseslist!B872, dataICM!D:D, 0)), "INC") = "INC",
      IFNA(INDEX(dataICM!D:D, MATCH(Caseslist!B872, dataICM!D:D, 0)), "INC"),
      "COMPLETE"
    )
  )</f>
        <v>COMPLETE</v>
      </c>
      <c r="G872" s="10" t="str">
        <f t="array" ref="G872">IF(IFERROR(INDEX(data!L:L,match(Caseslist!B872,data!D:D,0)),"INC")="","COMPLETE",F872)</f>
        <v>COMPLETE</v>
      </c>
      <c r="H872" s="9" t="str">
        <f t="array" ref="H872">IFERROR(INDEX(dataICM!F:F,match(Caseslist!B872,dataICM!D:D,0)), "INC")</f>
        <v>INC</v>
      </c>
      <c r="I872" s="10" t="str">
        <f t="shared" si="2"/>
        <v>INC</v>
      </c>
      <c r="J872" s="9" t="str">
        <f t="array" ref="J872">IF(
  AND(
    IFERROR(MATCH(B872, data!D:D, 0), 0) &gt; 0,
    IFERROR(INDEX(data!N:N, MATCH(B872, data!D:D, 0)) = 1, FALSE)
  ),
  INDEX(data!C:C, MATCH(B872, data!D:D, 0)),
  "INC"
)</f>
        <v>INC</v>
      </c>
      <c r="K872" s="9" t="str">
        <f t="array" ref="K872">IFERROR(INDEX(dataICM!C:C,match(Caseslist!B872,dataICM!D:D,0)), "INC")</f>
        <v>INC</v>
      </c>
      <c r="L872" s="10" t="str">
        <f t="array" ref="L872">IF(AND(G872="COMPLETE", OR(K872="INC", ISBLANK(INDEX(data!O:O, ROW())))), J872, K872)</f>
        <v>INC</v>
      </c>
      <c r="M872" s="2" t="s">
        <v>8886</v>
      </c>
      <c r="N872" s="2" t="str">
        <f t="array" ref="N872">IF(M872&lt;&gt;"INC", INDEX(data!M:M, MATCH(B872, data!D:D, 0)), "")</f>
        <v/>
      </c>
      <c r="O872" s="2" t="str">
        <f t="shared" si="3"/>
        <v/>
      </c>
    </row>
    <row r="873">
      <c r="A873" s="2" t="str">
        <f t="shared" si="1"/>
        <v>H019575</v>
      </c>
      <c r="B873" s="1" t="s">
        <v>443</v>
      </c>
      <c r="C873" s="9" t="str">
        <f t="array" ref="C873">IF(
  AND(
    IFERROR(MATCH(Caseslist!B873, data!D:D, 0), 0) &gt; 0,
    IFERROR(INDEX(data!N:N, MATCH(Caseslist!B873, data!D:D, 0)) = 1, FALSE)
  ),
  "COMPLETE",
  "INC"
)</f>
        <v>COMPLETE</v>
      </c>
      <c r="D873" s="9">
        <f t="array" ref="D873">IFERROR(INDEX(data!$G:$G,match(Caseslist!B873,data!$D:$D,0)), "INC")</f>
        <v>455939</v>
      </c>
      <c r="E873" s="9" t="str">
        <f t="array" ref="E873">IFERROR(INDEX(data!H:H,match(Caseslist!B873,data!D:D,0)), "INC")</f>
        <v>Mary Jean Villaflor</v>
      </c>
      <c r="F873" s="10" t="str">
        <f t="array" ref="F873">IF(
    OR(
      IFNA(INDEX(data!M:M, MATCH(Caseslist!B873, data!D:D, 0)), "") = "",
      IFNA(INDEX(data!M:M, MATCH(Caseslist!B873, data!D:D, 0)), 0) = 0
    ),
    "COMPLETE",
    IF(
      IFNA(INDEX(dataICM!D:D, MATCH(Caseslist!B873, dataICM!D:D, 0)), "INC") = "INC",
      IFNA(INDEX(dataICM!D:D, MATCH(Caseslist!B873, dataICM!D:D, 0)), "INC"),
      "COMPLETE"
    )
  )</f>
        <v>COMPLETE</v>
      </c>
      <c r="G873" s="10" t="str">
        <f t="array" ref="G873">IF(IFERROR(INDEX(data!L:L,match(Caseslist!B873,data!D:D,0)),"INC")="","COMPLETE",F873)</f>
        <v>COMPLETE</v>
      </c>
      <c r="H873" s="9" t="str">
        <f t="array" ref="H873">IFERROR(INDEX(dataICM!F:F,match(Caseslist!B873,dataICM!D:D,0)), "INC")</f>
        <v>Mary Jean Villaflor</v>
      </c>
      <c r="I873" s="10">
        <f t="shared" si="2"/>
        <v>455939</v>
      </c>
      <c r="J873" s="9" t="str">
        <f t="array" ref="J873">IF(
  AND(
    IFERROR(MATCH(B873, data!D:D, 0), 0) &gt; 0,
    IFERROR(INDEX(data!N:N, MATCH(B873, data!D:D, 0)) = 1, FALSE)
  ),
  INDEX(data!C:C, MATCH(B873, data!D:D, 0)),
  "INC"
)</f>
        <v>2025-08-26T12:45:40.651+08</v>
      </c>
      <c r="K873" s="9" t="str">
        <f t="array" ref="K873">IFERROR(INDEX(dataICM!C:C,match(Caseslist!B873,dataICM!D:D,0)), "INC")</f>
        <v>2025-08-26T12:47:38.108+08</v>
      </c>
      <c r="L873" s="10" t="str">
        <f t="array" ref="L873">IF(AND(G873="COMPLETE", OR(K873="INC", ISBLANK(INDEX(data!O:O, ROW())))), J873, K873)</f>
        <v>2025-08-26T12:47:38.108+08</v>
      </c>
      <c r="M873" s="2">
        <v>45895.0</v>
      </c>
      <c r="N873" s="2">
        <f t="array" ref="N873">IF(M873&lt;&gt;"INC", INDEX(data!M:M, MATCH(B873, data!D:D, 0)), "")</f>
        <v>2</v>
      </c>
      <c r="O873" s="2">
        <f t="shared" si="3"/>
        <v>2</v>
      </c>
    </row>
    <row r="874">
      <c r="A874" s="2" t="str">
        <f t="shared" si="1"/>
        <v>H019589</v>
      </c>
      <c r="B874" s="1" t="s">
        <v>2294</v>
      </c>
      <c r="C874" s="9" t="str">
        <f t="array" ref="C874">IF(
  AND(
    IFERROR(MATCH(Caseslist!B874, data!D:D, 0), 0) &gt; 0,
    IFERROR(INDEX(data!N:N, MATCH(Caseslist!B874, data!D:D, 0)) = 1, FALSE)
  ),
  "COMPLETE",
  "INC"
)</f>
        <v>COMPLETE</v>
      </c>
      <c r="D874" s="9">
        <f t="array" ref="D874">IFERROR(INDEX(data!$G:$G,match(Caseslist!B874,data!$D:$D,0)), "INC")</f>
        <v>841329</v>
      </c>
      <c r="E874" s="9" t="str">
        <f t="array" ref="E874">IFERROR(INDEX(data!H:H,match(Caseslist!B874,data!D:D,0)), "INC")</f>
        <v>Aila Eli</v>
      </c>
      <c r="F874" s="10" t="str">
        <f t="array" ref="F874">IF(
    OR(
      IFNA(INDEX(data!M:M, MATCH(Caseslist!B874, data!D:D, 0)), "") = "",
      IFNA(INDEX(data!M:M, MATCH(Caseslist!B874, data!D:D, 0)), 0) = 0
    ),
    "COMPLETE",
    IF(
      IFNA(INDEX(dataICM!D:D, MATCH(Caseslist!B874, dataICM!D:D, 0)), "INC") = "INC",
      IFNA(INDEX(dataICM!D:D, MATCH(Caseslist!B874, dataICM!D:D, 0)), "INC"),
      "COMPLETE"
    )
  )</f>
        <v>COMPLETE</v>
      </c>
      <c r="G874" s="10" t="str">
        <f t="array" ref="G874">IF(IFERROR(INDEX(data!L:L,match(Caseslist!B874,data!D:D,0)),"INC")="","COMPLETE",F874)</f>
        <v>COMPLETE</v>
      </c>
      <c r="H874" s="9" t="str">
        <f t="array" ref="H874">IFERROR(INDEX(dataICM!F:F,match(Caseslist!B874,dataICM!D:D,0)), "INC")</f>
        <v>INC</v>
      </c>
      <c r="I874" s="10">
        <f t="shared" si="2"/>
        <v>841329</v>
      </c>
      <c r="J874" s="9" t="str">
        <f t="array" ref="J874">IF(
  AND(
    IFERROR(MATCH(B874, data!D:D, 0), 0) &gt; 0,
    IFERROR(INDEX(data!N:N, MATCH(B874, data!D:D, 0)) = 1, FALSE)
  ),
  INDEX(data!C:C, MATCH(B874, data!D:D, 0)),
  "INC"
)</f>
        <v>2025-09-01T15:06:46.471+08</v>
      </c>
      <c r="K874" s="9" t="str">
        <f t="array" ref="K874">IFERROR(INDEX(dataICM!C:C,match(Caseslist!B874,dataICM!D:D,0)), "INC")</f>
        <v>INC</v>
      </c>
      <c r="L874" s="10" t="str">
        <f t="array" ref="L874">IF(AND(G874="COMPLETE", OR(K874="INC", ISBLANK(INDEX(data!O:O, ROW())))), J874, K874)</f>
        <v>2025-09-01T15:06:46.471+08</v>
      </c>
      <c r="M874" s="2">
        <v>45901.0</v>
      </c>
      <c r="N874" s="2">
        <f t="array" ref="N874">IF(M874&lt;&gt;"INC", INDEX(data!M:M, MATCH(B874, data!D:D, 0)), "")</f>
        <v>0</v>
      </c>
      <c r="O874" s="2">
        <f t="shared" si="3"/>
        <v>0</v>
      </c>
    </row>
    <row r="875">
      <c r="A875" s="2" t="str">
        <f t="shared" si="1"/>
        <v>H019589</v>
      </c>
      <c r="B875" s="1" t="s">
        <v>2113</v>
      </c>
      <c r="C875" s="9" t="str">
        <f t="array" ref="C875">IF(
  AND(
    IFERROR(MATCH(Caseslist!B875, data!D:D, 0), 0) &gt; 0,
    IFERROR(INDEX(data!N:N, MATCH(Caseslist!B875, data!D:D, 0)) = 1, FALSE)
  ),
  "COMPLETE",
  "INC"
)</f>
        <v>COMPLETE</v>
      </c>
      <c r="D875" s="9">
        <f t="array" ref="D875">IFERROR(INDEX(data!$G:$G,match(Caseslist!B875,data!$D:$D,0)), "INC")</f>
        <v>555127</v>
      </c>
      <c r="E875" s="9" t="str">
        <f t="array" ref="E875">IFERROR(INDEX(data!H:H,match(Caseslist!B875,data!D:D,0)), "INC")</f>
        <v>Mary May</v>
      </c>
      <c r="F875" s="10" t="str">
        <f t="array" ref="F875">IF(
    OR(
      IFNA(INDEX(data!M:M, MATCH(Caseslist!B875, data!D:D, 0)), "") = "",
      IFNA(INDEX(data!M:M, MATCH(Caseslist!B875, data!D:D, 0)), 0) = 0
    ),
    "COMPLETE",
    IF(
      IFNA(INDEX(dataICM!D:D, MATCH(Caseslist!B875, dataICM!D:D, 0)), "INC") = "INC",
      IFNA(INDEX(dataICM!D:D, MATCH(Caseslist!B875, dataICM!D:D, 0)), "INC"),
      "COMPLETE"
    )
  )</f>
        <v>COMPLETE</v>
      </c>
      <c r="G875" s="10" t="str">
        <f t="array" ref="G875">IF(IFERROR(INDEX(data!L:L,match(Caseslist!B875,data!D:D,0)),"INC")="","COMPLETE",F875)</f>
        <v>COMPLETE</v>
      </c>
      <c r="H875" s="9" t="str">
        <f t="array" ref="H875">IFERROR(INDEX(dataICM!F:F,match(Caseslist!B875,dataICM!D:D,0)), "INC")</f>
        <v>INC</v>
      </c>
      <c r="I875" s="10">
        <f t="shared" si="2"/>
        <v>555127</v>
      </c>
      <c r="J875" s="9" t="str">
        <f t="array" ref="J875">IF(
  AND(
    IFERROR(MATCH(B875, data!D:D, 0), 0) &gt; 0,
    IFERROR(INDEX(data!N:N, MATCH(B875, data!D:D, 0)) = 1, FALSE)
  ),
  INDEX(data!C:C, MATCH(B875, data!D:D, 0)),
  "INC"
)</f>
        <v>2025-09-01T17:50:04.724+08</v>
      </c>
      <c r="K875" s="9" t="str">
        <f t="array" ref="K875">IFERROR(INDEX(dataICM!C:C,match(Caseslist!B875,dataICM!D:D,0)), "INC")</f>
        <v>INC</v>
      </c>
      <c r="L875" s="10" t="str">
        <f t="array" ref="L875">IF(AND(G875="COMPLETE", OR(K875="INC", ISBLANK(INDEX(data!O:O, ROW())))), J875, K875)</f>
        <v>2025-09-01T17:50:04.724+08</v>
      </c>
      <c r="M875" s="2">
        <v>45901.0</v>
      </c>
      <c r="N875" s="2">
        <f t="array" ref="N875">IF(M875&lt;&gt;"INC", INDEX(data!M:M, MATCH(B875, data!D:D, 0)), "")</f>
        <v>0</v>
      </c>
      <c r="O875" s="2">
        <f t="shared" si="3"/>
        <v>0</v>
      </c>
    </row>
    <row r="876">
      <c r="A876" s="2" t="str">
        <f t="shared" si="1"/>
        <v>H019589</v>
      </c>
      <c r="B876" s="1" t="s">
        <v>2334</v>
      </c>
      <c r="C876" s="9" t="str">
        <f t="array" ref="C876">IF(
  AND(
    IFERROR(MATCH(Caseslist!B876, data!D:D, 0), 0) &gt; 0,
    IFERROR(INDEX(data!N:N, MATCH(Caseslist!B876, data!D:D, 0)) = 1, FALSE)
  ),
  "COMPLETE",
  "INC"
)</f>
        <v>COMPLETE</v>
      </c>
      <c r="D876" s="9">
        <f t="array" ref="D876">IFERROR(INDEX(data!$G:$G,match(Caseslist!B876,data!$D:$D,0)), "INC")</f>
        <v>841329</v>
      </c>
      <c r="E876" s="9" t="str">
        <f t="array" ref="E876">IFERROR(INDEX(data!H:H,match(Caseslist!B876,data!D:D,0)), "INC")</f>
        <v>Aila Eli</v>
      </c>
      <c r="F876" s="10" t="str">
        <f t="array" ref="F876">IF(
    OR(
      IFNA(INDEX(data!M:M, MATCH(Caseslist!B876, data!D:D, 0)), "") = "",
      IFNA(INDEX(data!M:M, MATCH(Caseslist!B876, data!D:D, 0)), 0) = 0
    ),
    "COMPLETE",
    IF(
      IFNA(INDEX(dataICM!D:D, MATCH(Caseslist!B876, dataICM!D:D, 0)), "INC") = "INC",
      IFNA(INDEX(dataICM!D:D, MATCH(Caseslist!B876, dataICM!D:D, 0)), "INC"),
      "COMPLETE"
    )
  )</f>
        <v>COMPLETE</v>
      </c>
      <c r="G876" s="10" t="str">
        <f t="array" ref="G876">IF(IFERROR(INDEX(data!L:L,match(Caseslist!B876,data!D:D,0)),"INC")="","COMPLETE",F876)</f>
        <v>COMPLETE</v>
      </c>
      <c r="H876" s="9" t="str">
        <f t="array" ref="H876">IFERROR(INDEX(dataICM!F:F,match(Caseslist!B876,dataICM!D:D,0)), "INC")</f>
        <v>INC</v>
      </c>
      <c r="I876" s="10">
        <f t="shared" si="2"/>
        <v>841329</v>
      </c>
      <c r="J876" s="9" t="str">
        <f t="array" ref="J876">IF(
  AND(
    IFERROR(MATCH(B876, data!D:D, 0), 0) &gt; 0,
    IFERROR(INDEX(data!N:N, MATCH(B876, data!D:D, 0)) = 1, FALSE)
  ),
  INDEX(data!C:C, MATCH(B876, data!D:D, 0)),
  "INC"
)</f>
        <v>2025-09-01T11:26:16.654+08</v>
      </c>
      <c r="K876" s="9" t="str">
        <f t="array" ref="K876">IFERROR(INDEX(dataICM!C:C,match(Caseslist!B876,dataICM!D:D,0)), "INC")</f>
        <v>INC</v>
      </c>
      <c r="L876" s="10" t="str">
        <f t="array" ref="L876">IF(AND(G876="COMPLETE", OR(K876="INC", ISBLANK(INDEX(data!O:O, ROW())))), J876, K876)</f>
        <v>2025-09-01T11:26:16.654+08</v>
      </c>
      <c r="M876" s="2">
        <v>45901.0</v>
      </c>
      <c r="N876" s="2">
        <f t="array" ref="N876">IF(M876&lt;&gt;"INC", INDEX(data!M:M, MATCH(B876, data!D:D, 0)), "")</f>
        <v>0</v>
      </c>
      <c r="O876" s="2">
        <f t="shared" si="3"/>
        <v>0</v>
      </c>
    </row>
    <row r="877">
      <c r="A877" s="2" t="str">
        <f t="shared" si="1"/>
        <v>H019589</v>
      </c>
      <c r="B877" s="1" t="s">
        <v>2304</v>
      </c>
      <c r="C877" s="9" t="str">
        <f t="array" ref="C877">IF(
  AND(
    IFERROR(MATCH(Caseslist!B877, data!D:D, 0), 0) &gt; 0,
    IFERROR(INDEX(data!N:N, MATCH(Caseslist!B877, data!D:D, 0)) = 1, FALSE)
  ),
  "COMPLETE",
  "INC"
)</f>
        <v>COMPLETE</v>
      </c>
      <c r="D877" s="9">
        <f t="array" ref="D877">IFERROR(INDEX(data!$G:$G,match(Caseslist!B877,data!$D:$D,0)), "INC")</f>
        <v>455939</v>
      </c>
      <c r="E877" s="9" t="str">
        <f t="array" ref="E877">IFERROR(INDEX(data!H:H,match(Caseslist!B877,data!D:D,0)), "INC")</f>
        <v>Mary Jean Villaflor (duplicate name received from ICM_follow_up_launch on August 26, 2025 11:49 UTC+00:00; submission key: uuid:58eb9512-174e-4e57-ac68-bdc54e35ccff)</v>
      </c>
      <c r="F877" s="10" t="str">
        <f t="array" ref="F877">IF(
    OR(
      IFNA(INDEX(data!M:M, MATCH(Caseslist!B877, data!D:D, 0)), "") = "",
      IFNA(INDEX(data!M:M, MATCH(Caseslist!B877, data!D:D, 0)), 0) = 0
    ),
    "COMPLETE",
    IF(
      IFNA(INDEX(dataICM!D:D, MATCH(Caseslist!B877, dataICM!D:D, 0)), "INC") = "INC",
      IFNA(INDEX(dataICM!D:D, MATCH(Caseslist!B877, dataICM!D:D, 0)), "INC"),
      "COMPLETE"
    )
  )</f>
        <v>COMPLETE</v>
      </c>
      <c r="G877" s="10" t="str">
        <f t="array" ref="G877">IF(IFERROR(INDEX(data!L:L,match(Caseslist!B877,data!D:D,0)),"INC")="","COMPLETE",F877)</f>
        <v>COMPLETE</v>
      </c>
      <c r="H877" s="9" t="str">
        <f t="array" ref="H877">IFERROR(INDEX(dataICM!F:F,match(Caseslist!B877,dataICM!D:D,0)), "INC")</f>
        <v>INC</v>
      </c>
      <c r="I877" s="10">
        <f t="shared" si="2"/>
        <v>455939</v>
      </c>
      <c r="J877" s="9" t="str">
        <f t="array" ref="J877">IF(
  AND(
    IFERROR(MATCH(B877, data!D:D, 0), 0) &gt; 0,
    IFERROR(INDEX(data!N:N, MATCH(B877, data!D:D, 0)) = 1, FALSE)
  ),
  INDEX(data!C:C, MATCH(B877, data!D:D, 0)),
  "INC"
)</f>
        <v>2025-09-01T13:51:42.698+08</v>
      </c>
      <c r="K877" s="9" t="str">
        <f t="array" ref="K877">IFERROR(INDEX(dataICM!C:C,match(Caseslist!B877,dataICM!D:D,0)), "INC")</f>
        <v>INC</v>
      </c>
      <c r="L877" s="10" t="str">
        <f t="array" ref="L877">IF(AND(G877="COMPLETE", OR(K877="INC", ISBLANK(INDEX(data!O:O, ROW())))), J877, K877)</f>
        <v>2025-09-01T13:51:42.698+08</v>
      </c>
      <c r="M877" s="2">
        <v>45901.0</v>
      </c>
      <c r="N877" s="2">
        <f t="array" ref="N877">IF(M877&lt;&gt;"INC", INDEX(data!M:M, MATCH(B877, data!D:D, 0)), "")</f>
        <v>0</v>
      </c>
      <c r="O877" s="2">
        <f t="shared" si="3"/>
        <v>0</v>
      </c>
    </row>
    <row r="878">
      <c r="A878" s="2" t="str">
        <f t="shared" si="1"/>
        <v>H019589</v>
      </c>
      <c r="B878" s="1" t="s">
        <v>2319</v>
      </c>
      <c r="C878" s="9" t="str">
        <f t="array" ref="C878">IF(
  AND(
    IFERROR(MATCH(Caseslist!B878, data!D:D, 0), 0) &gt; 0,
    IFERROR(INDEX(data!N:N, MATCH(Caseslist!B878, data!D:D, 0)) = 1, FALSE)
  ),
  "COMPLETE",
  "INC"
)</f>
        <v>COMPLETE</v>
      </c>
      <c r="D878" s="9">
        <f t="array" ref="D878">IFERROR(INDEX(data!$G:$G,match(Caseslist!B878,data!$D:$D,0)), "INC")</f>
        <v>841329</v>
      </c>
      <c r="E878" s="9" t="str">
        <f t="array" ref="E878">IFERROR(INDEX(data!H:H,match(Caseslist!B878,data!D:D,0)), "INC")</f>
        <v>Aila Eli</v>
      </c>
      <c r="F878" s="10" t="str">
        <f t="array" ref="F878">IF(
    OR(
      IFNA(INDEX(data!M:M, MATCH(Caseslist!B878, data!D:D, 0)), "") = "",
      IFNA(INDEX(data!M:M, MATCH(Caseslist!B878, data!D:D, 0)), 0) = 0
    ),
    "COMPLETE",
    IF(
      IFNA(INDEX(dataICM!D:D, MATCH(Caseslist!B878, dataICM!D:D, 0)), "INC") = "INC",
      IFNA(INDEX(dataICM!D:D, MATCH(Caseslist!B878, dataICM!D:D, 0)), "INC"),
      "COMPLETE"
    )
  )</f>
        <v>COMPLETE</v>
      </c>
      <c r="G878" s="10" t="str">
        <f t="array" ref="G878">IF(IFERROR(INDEX(data!L:L,match(Caseslist!B878,data!D:D,0)),"INC")="","COMPLETE",F878)</f>
        <v>COMPLETE</v>
      </c>
      <c r="H878" s="9" t="str">
        <f t="array" ref="H878">IFERROR(INDEX(dataICM!F:F,match(Caseslist!B878,dataICM!D:D,0)), "INC")</f>
        <v>INC</v>
      </c>
      <c r="I878" s="10">
        <f t="shared" si="2"/>
        <v>841329</v>
      </c>
      <c r="J878" s="9" t="str">
        <f t="array" ref="J878">IF(
  AND(
    IFERROR(MATCH(B878, data!D:D, 0), 0) &gt; 0,
    IFERROR(INDEX(data!N:N, MATCH(B878, data!D:D, 0)) = 1, FALSE)
  ),
  INDEX(data!C:C, MATCH(B878, data!D:D, 0)),
  "INC"
)</f>
        <v>2025-09-01T10:42:37.878+08</v>
      </c>
      <c r="K878" s="9" t="str">
        <f t="array" ref="K878">IFERROR(INDEX(dataICM!C:C,match(Caseslist!B878,dataICM!D:D,0)), "INC")</f>
        <v>INC</v>
      </c>
      <c r="L878" s="10" t="str">
        <f t="array" ref="L878">IF(AND(G878="COMPLETE", OR(K878="INC", ISBLANK(INDEX(data!O:O, ROW())))), J878, K878)</f>
        <v>2025-09-01T10:42:37.878+08</v>
      </c>
      <c r="M878" s="2">
        <v>45901.0</v>
      </c>
      <c r="N878" s="2">
        <f t="array" ref="N878">IF(M878&lt;&gt;"INC", INDEX(data!M:M, MATCH(B878, data!D:D, 0)), "")</f>
        <v>0</v>
      </c>
      <c r="O878" s="2">
        <f t="shared" si="3"/>
        <v>0</v>
      </c>
    </row>
    <row r="879">
      <c r="A879" s="2" t="str">
        <f t="shared" si="1"/>
        <v>H019589</v>
      </c>
      <c r="B879" s="1" t="s">
        <v>2324</v>
      </c>
      <c r="C879" s="9" t="str">
        <f t="array" ref="C879">IF(
  AND(
    IFERROR(MATCH(Caseslist!B879, data!D:D, 0), 0) &gt; 0,
    IFERROR(INDEX(data!N:N, MATCH(Caseslist!B879, data!D:D, 0)) = 1, FALSE)
  ),
  "COMPLETE",
  "INC"
)</f>
        <v>COMPLETE</v>
      </c>
      <c r="D879" s="9">
        <f t="array" ref="D879">IFERROR(INDEX(data!$G:$G,match(Caseslist!B879,data!$D:$D,0)), "INC")</f>
        <v>455939</v>
      </c>
      <c r="E879" s="9" t="str">
        <f t="array" ref="E879">IFERROR(INDEX(data!H:H,match(Caseslist!B879,data!D:D,0)), "INC")</f>
        <v>Mary Jean Villaflor (duplicate name received from ICM_follow_up_launch on August 26, 2025 11:49 UTC+00:00; submission key: uuid:58eb9512-174e-4e57-ac68-bdc54e35ccff)</v>
      </c>
      <c r="F879" s="10" t="str">
        <f t="array" ref="F879">IF(
    OR(
      IFNA(INDEX(data!M:M, MATCH(Caseslist!B879, data!D:D, 0)), "") = "",
      IFNA(INDEX(data!M:M, MATCH(Caseslist!B879, data!D:D, 0)), 0) = 0
    ),
    "COMPLETE",
    IF(
      IFNA(INDEX(dataICM!D:D, MATCH(Caseslist!B879, dataICM!D:D, 0)), "INC") = "INC",
      IFNA(INDEX(dataICM!D:D, MATCH(Caseslist!B879, dataICM!D:D, 0)), "INC"),
      "COMPLETE"
    )
  )</f>
        <v>COMPLETE</v>
      </c>
      <c r="G879" s="10" t="str">
        <f t="array" ref="G879">IF(IFERROR(INDEX(data!L:L,match(Caseslist!B879,data!D:D,0)),"INC")="","COMPLETE",F879)</f>
        <v>COMPLETE</v>
      </c>
      <c r="H879" s="9" t="str">
        <f t="array" ref="H879">IFERROR(INDEX(dataICM!F:F,match(Caseslist!B879,dataICM!D:D,0)), "INC")</f>
        <v>INC</v>
      </c>
      <c r="I879" s="10">
        <f t="shared" si="2"/>
        <v>455939</v>
      </c>
      <c r="J879" s="9" t="str">
        <f t="array" ref="J879">IF(
  AND(
    IFERROR(MATCH(B879, data!D:D, 0), 0) &gt; 0,
    IFERROR(INDEX(data!N:N, MATCH(B879, data!D:D, 0)) = 1, FALSE)
  ),
  INDEX(data!C:C, MATCH(B879, data!D:D, 0)),
  "INC"
)</f>
        <v>2025-09-01T14:56:21.430+08</v>
      </c>
      <c r="K879" s="9" t="str">
        <f t="array" ref="K879">IFERROR(INDEX(dataICM!C:C,match(Caseslist!B879,dataICM!D:D,0)), "INC")</f>
        <v>INC</v>
      </c>
      <c r="L879" s="10" t="str">
        <f t="array" ref="L879">IF(AND(G879="COMPLETE", OR(K879="INC", ISBLANK(INDEX(data!O:O, ROW())))), J879, K879)</f>
        <v>2025-09-01T14:56:21.430+08</v>
      </c>
      <c r="M879" s="2">
        <v>45901.0</v>
      </c>
      <c r="N879" s="2">
        <f t="array" ref="N879">IF(M879&lt;&gt;"INC", INDEX(data!M:M, MATCH(B879, data!D:D, 0)), "")</f>
        <v>0</v>
      </c>
      <c r="O879" s="2">
        <f t="shared" si="3"/>
        <v>0</v>
      </c>
    </row>
    <row r="880">
      <c r="A880" s="2" t="str">
        <f t="shared" si="1"/>
        <v>H019589</v>
      </c>
      <c r="B880" s="1" t="s">
        <v>2299</v>
      </c>
      <c r="C880" s="9" t="str">
        <f t="array" ref="C880">IF(
  AND(
    IFERROR(MATCH(Caseslist!B880, data!D:D, 0), 0) &gt; 0,
    IFERROR(INDEX(data!N:N, MATCH(Caseslist!B880, data!D:D, 0)) = 1, FALSE)
  ),
  "COMPLETE",
  "INC"
)</f>
        <v>COMPLETE</v>
      </c>
      <c r="D880" s="9">
        <f t="array" ref="D880">IFERROR(INDEX(data!$G:$G,match(Caseslist!B880,data!$D:$D,0)), "INC")</f>
        <v>455939</v>
      </c>
      <c r="E880" s="9" t="str">
        <f t="array" ref="E880">IFERROR(INDEX(data!H:H,match(Caseslist!B880,data!D:D,0)), "INC")</f>
        <v>Mary Jean Villaflor (duplicate name received from ICM_follow_up_launch on August 26, 2025 11:49 UTC+00:00; submission key: uuid:58eb9512-174e-4e57-ac68-bdc54e35ccff)</v>
      </c>
      <c r="F880" s="10" t="str">
        <f t="array" ref="F880">IF(
    OR(
      IFNA(INDEX(data!M:M, MATCH(Caseslist!B880, data!D:D, 0)), "") = "",
      IFNA(INDEX(data!M:M, MATCH(Caseslist!B880, data!D:D, 0)), 0) = 0
    ),
    "COMPLETE",
    IF(
      IFNA(INDEX(dataICM!D:D, MATCH(Caseslist!B880, dataICM!D:D, 0)), "INC") = "INC",
      IFNA(INDEX(dataICM!D:D, MATCH(Caseslist!B880, dataICM!D:D, 0)), "INC"),
      "COMPLETE"
    )
  )</f>
        <v>COMPLETE</v>
      </c>
      <c r="G880" s="10" t="str">
        <f t="array" ref="G880">IF(IFERROR(INDEX(data!L:L,match(Caseslist!B880,data!D:D,0)),"INC")="","COMPLETE",F880)</f>
        <v>COMPLETE</v>
      </c>
      <c r="H880" s="9" t="str">
        <f t="array" ref="H880">IFERROR(INDEX(dataICM!F:F,match(Caseslist!B880,dataICM!D:D,0)), "INC")</f>
        <v>INC</v>
      </c>
      <c r="I880" s="10">
        <f t="shared" si="2"/>
        <v>455939</v>
      </c>
      <c r="J880" s="9" t="str">
        <f t="array" ref="J880">IF(
  AND(
    IFERROR(MATCH(B880, data!D:D, 0), 0) &gt; 0,
    IFERROR(INDEX(data!N:N, MATCH(B880, data!D:D, 0)) = 1, FALSE)
  ),
  INDEX(data!C:C, MATCH(B880, data!D:D, 0)),
  "INC"
)</f>
        <v>2025-09-01T10:13:55.024+08</v>
      </c>
      <c r="K880" s="9" t="str">
        <f t="array" ref="K880">IFERROR(INDEX(dataICM!C:C,match(Caseslist!B880,dataICM!D:D,0)), "INC")</f>
        <v>INC</v>
      </c>
      <c r="L880" s="10" t="str">
        <f t="array" ref="L880">IF(AND(G880="COMPLETE", OR(K880="INC", ISBLANK(INDEX(data!O:O, ROW())))), J880, K880)</f>
        <v>2025-09-01T10:13:55.024+08</v>
      </c>
      <c r="M880" s="2">
        <v>45901.0</v>
      </c>
      <c r="N880" s="2">
        <f t="array" ref="N880">IF(M880&lt;&gt;"INC", INDEX(data!M:M, MATCH(B880, data!D:D, 0)), "")</f>
        <v>0</v>
      </c>
      <c r="O880" s="2">
        <f t="shared" si="3"/>
        <v>0</v>
      </c>
    </row>
    <row r="881">
      <c r="A881" s="2" t="str">
        <f t="shared" si="1"/>
        <v>H019589</v>
      </c>
      <c r="B881" s="1" t="s">
        <v>2108</v>
      </c>
      <c r="C881" s="9" t="str">
        <f t="array" ref="C881">IF(
  AND(
    IFERROR(MATCH(Caseslist!B881, data!D:D, 0), 0) &gt; 0,
    IFERROR(INDEX(data!N:N, MATCH(Caseslist!B881, data!D:D, 0)) = 1, FALSE)
  ),
  "COMPLETE",
  "INC"
)</f>
        <v>COMPLETE</v>
      </c>
      <c r="D881" s="9">
        <f t="array" ref="D881">IFERROR(INDEX(data!$G:$G,match(Caseslist!B881,data!$D:$D,0)), "INC")</f>
        <v>555127</v>
      </c>
      <c r="E881" s="9" t="str">
        <f t="array" ref="E881">IFERROR(INDEX(data!H:H,match(Caseslist!B881,data!D:D,0)), "INC")</f>
        <v>Mary May</v>
      </c>
      <c r="F881" s="10" t="str">
        <f t="array" ref="F881">IF(
    OR(
      IFNA(INDEX(data!M:M, MATCH(Caseslist!B881, data!D:D, 0)), "") = "",
      IFNA(INDEX(data!M:M, MATCH(Caseslist!B881, data!D:D, 0)), 0) = 0
    ),
    "COMPLETE",
    IF(
      IFNA(INDEX(dataICM!D:D, MATCH(Caseslist!B881, dataICM!D:D, 0)), "INC") = "INC",
      IFNA(INDEX(dataICM!D:D, MATCH(Caseslist!B881, dataICM!D:D, 0)), "INC"),
      "COMPLETE"
    )
  )</f>
        <v>COMPLETE</v>
      </c>
      <c r="G881" s="10" t="str">
        <f t="array" ref="G881">IF(IFERROR(INDEX(data!L:L,match(Caseslist!B881,data!D:D,0)),"INC")="","COMPLETE",F881)</f>
        <v>COMPLETE</v>
      </c>
      <c r="H881" s="9" t="str">
        <f t="array" ref="H881">IFERROR(INDEX(dataICM!F:F,match(Caseslist!B881,dataICM!D:D,0)), "INC")</f>
        <v>INC</v>
      </c>
      <c r="I881" s="10">
        <f t="shared" si="2"/>
        <v>555127</v>
      </c>
      <c r="J881" s="9" t="str">
        <f t="array" ref="J881">IF(
  AND(
    IFERROR(MATCH(B881, data!D:D, 0), 0) &gt; 0,
    IFERROR(INDEX(data!N:N, MATCH(B881, data!D:D, 0)) = 1, FALSE)
  ),
  INDEX(data!C:C, MATCH(B881, data!D:D, 0)),
  "INC"
)</f>
        <v>2025-09-01T10:31:58.610+08</v>
      </c>
      <c r="K881" s="9" t="str">
        <f t="array" ref="K881">IFERROR(INDEX(dataICM!C:C,match(Caseslist!B881,dataICM!D:D,0)), "INC")</f>
        <v>INC</v>
      </c>
      <c r="L881" s="10" t="str">
        <f t="array" ref="L881">IF(AND(G881="COMPLETE", OR(K881="INC", ISBLANK(INDEX(data!O:O, ROW())))), J881, K881)</f>
        <v>2025-09-01T10:31:58.610+08</v>
      </c>
      <c r="M881" s="2">
        <v>45901.0</v>
      </c>
      <c r="N881" s="2">
        <f t="array" ref="N881">IF(M881&lt;&gt;"INC", INDEX(data!M:M, MATCH(B881, data!D:D, 0)), "")</f>
        <v>0</v>
      </c>
      <c r="O881" s="2">
        <f t="shared" si="3"/>
        <v>0</v>
      </c>
    </row>
    <row r="882">
      <c r="A882" s="2" t="str">
        <f t="shared" si="1"/>
        <v>H019589</v>
      </c>
      <c r="B882" s="1" t="s">
        <v>2329</v>
      </c>
      <c r="C882" s="9" t="str">
        <f t="array" ref="C882">IF(
  AND(
    IFERROR(MATCH(Caseslist!B882, data!D:D, 0), 0) &gt; 0,
    IFERROR(INDEX(data!N:N, MATCH(Caseslist!B882, data!D:D, 0)) = 1, FALSE)
  ),
  "COMPLETE",
  "INC"
)</f>
        <v>COMPLETE</v>
      </c>
      <c r="D882" s="9">
        <f t="array" ref="D882">IFERROR(INDEX(data!$G:$G,match(Caseslist!B882,data!$D:$D,0)), "INC")</f>
        <v>455939</v>
      </c>
      <c r="E882" s="9" t="str">
        <f t="array" ref="E882">IFERROR(INDEX(data!H:H,match(Caseslist!B882,data!D:D,0)), "INC")</f>
        <v>Mary Jean Villaflor (duplicate name received from ICM_follow_up_launch on August 26, 2025 11:49 UTC+00:00; submission key: uuid:58eb9512-174e-4e57-ac68-bdc54e35ccff)</v>
      </c>
      <c r="F882" s="10" t="str">
        <f t="array" ref="F882">IF(
    OR(
      IFNA(INDEX(data!M:M, MATCH(Caseslist!B882, data!D:D, 0)), "") = "",
      IFNA(INDEX(data!M:M, MATCH(Caseslist!B882, data!D:D, 0)), 0) = 0
    ),
    "COMPLETE",
    IF(
      IFNA(INDEX(dataICM!D:D, MATCH(Caseslist!B882, dataICM!D:D, 0)), "INC") = "INC",
      IFNA(INDEX(dataICM!D:D, MATCH(Caseslist!B882, dataICM!D:D, 0)), "INC"),
      "COMPLETE"
    )
  )</f>
        <v>COMPLETE</v>
      </c>
      <c r="G882" s="10" t="str">
        <f t="array" ref="G882">IF(IFERROR(INDEX(data!L:L,match(Caseslist!B882,data!D:D,0)),"INC")="","COMPLETE",F882)</f>
        <v>COMPLETE</v>
      </c>
      <c r="H882" s="9" t="str">
        <f t="array" ref="H882">IFERROR(INDEX(dataICM!F:F,match(Caseslist!B882,dataICM!D:D,0)), "INC")</f>
        <v>INC</v>
      </c>
      <c r="I882" s="10">
        <f t="shared" si="2"/>
        <v>455939</v>
      </c>
      <c r="J882" s="9" t="str">
        <f t="array" ref="J882">IF(
  AND(
    IFERROR(MATCH(B882, data!D:D, 0), 0) &gt; 0,
    IFERROR(INDEX(data!N:N, MATCH(B882, data!D:D, 0)) = 1, FALSE)
  ),
  INDEX(data!C:C, MATCH(B882, data!D:D, 0)),
  "INC"
)</f>
        <v>2025-09-01T15:30:52.798+08</v>
      </c>
      <c r="K882" s="9" t="str">
        <f t="array" ref="K882">IFERROR(INDEX(dataICM!C:C,match(Caseslist!B882,dataICM!D:D,0)), "INC")</f>
        <v>INC</v>
      </c>
      <c r="L882" s="10" t="str">
        <f t="array" ref="L882">IF(AND(G882="COMPLETE", OR(K882="INC", ISBLANK(INDEX(data!O:O, ROW())))), J882, K882)</f>
        <v>2025-09-01T15:30:52.798+08</v>
      </c>
      <c r="M882" s="2">
        <v>45901.0</v>
      </c>
      <c r="N882" s="2">
        <f t="array" ref="N882">IF(M882&lt;&gt;"INC", INDEX(data!M:M, MATCH(B882, data!D:D, 0)), "")</f>
        <v>0</v>
      </c>
      <c r="O882" s="2">
        <f t="shared" si="3"/>
        <v>0</v>
      </c>
    </row>
    <row r="883">
      <c r="A883" s="2" t="str">
        <f t="shared" si="1"/>
        <v>H019589</v>
      </c>
      <c r="B883" s="1" t="s">
        <v>5068</v>
      </c>
      <c r="C883" s="9" t="str">
        <f t="array" ref="C883">IF(
  AND(
    IFERROR(MATCH(Caseslist!B883, data!D:D, 0), 0) &gt; 0,
    IFERROR(INDEX(data!N:N, MATCH(Caseslist!B883, data!D:D, 0)) = 1, FALSE)
  ),
  "COMPLETE",
  "INC"
)</f>
        <v>INC</v>
      </c>
      <c r="D883" s="9">
        <f t="array" ref="D883">IFERROR(INDEX(data!$G:$G,match(Caseslist!B883,data!$D:$D,0)), "INC")</f>
        <v>555127</v>
      </c>
      <c r="E883" s="9" t="str">
        <f t="array" ref="E883">IFERROR(INDEX(data!H:H,match(Caseslist!B883,data!D:D,0)), "INC")</f>
        <v>Mary May_2</v>
      </c>
      <c r="F883" s="10" t="str">
        <f t="array" ref="F883">IF(
    OR(
      IFNA(INDEX(data!M:M, MATCH(Caseslist!B883, data!D:D, 0)), "") = "",
      IFNA(INDEX(data!M:M, MATCH(Caseslist!B883, data!D:D, 0)), 0) = 0
    ),
    "COMPLETE",
    IF(
      IFNA(INDEX(dataICM!D:D, MATCH(Caseslist!B883, dataICM!D:D, 0)), "INC") = "INC",
      IFNA(INDEX(dataICM!D:D, MATCH(Caseslist!B883, dataICM!D:D, 0)), "INC"),
      "COMPLETE"
    )
  )</f>
        <v>COMPLETE</v>
      </c>
      <c r="G883" s="10" t="str">
        <f t="array" ref="G883">IF(IFERROR(INDEX(data!L:L,match(Caseslist!B883,data!D:D,0)),"INC")="","COMPLETE",F883)</f>
        <v>COMPLETE</v>
      </c>
      <c r="H883" s="9" t="str">
        <f t="array" ref="H883">IFERROR(INDEX(dataICM!F:F,match(Caseslist!B883,dataICM!D:D,0)), "INC")</f>
        <v>INC</v>
      </c>
      <c r="I883" s="10">
        <f t="shared" si="2"/>
        <v>555127</v>
      </c>
      <c r="J883" s="9" t="str">
        <f t="array" ref="J883">IF(
  AND(
    IFERROR(MATCH(B883, data!D:D, 0), 0) &gt; 0,
    IFERROR(INDEX(data!N:N, MATCH(B883, data!D:D, 0)) = 1, FALSE)
  ),
  INDEX(data!C:C, MATCH(B883, data!D:D, 0)),
  "INC"
)</f>
        <v>INC</v>
      </c>
      <c r="K883" s="9" t="str">
        <f t="array" ref="K883">IFERROR(INDEX(dataICM!C:C,match(Caseslist!B883,dataICM!D:D,0)), "INC")</f>
        <v>INC</v>
      </c>
      <c r="L883" s="10" t="str">
        <f t="array" ref="L883">IF(AND(G883="COMPLETE", OR(K883="INC", ISBLANK(INDEX(data!O:O, ROW())))), J883, K883)</f>
        <v>INC</v>
      </c>
      <c r="M883" s="2" t="s">
        <v>8886</v>
      </c>
      <c r="N883" s="2" t="str">
        <f t="array" ref="N883">IF(M883&lt;&gt;"INC", INDEX(data!M:M, MATCH(B883, data!D:D, 0)), "")</f>
        <v/>
      </c>
      <c r="O883" s="2" t="str">
        <f t="shared" si="3"/>
        <v/>
      </c>
    </row>
    <row r="884">
      <c r="A884" s="2" t="str">
        <f t="shared" si="1"/>
        <v>H019589</v>
      </c>
      <c r="B884" s="1" t="s">
        <v>2339</v>
      </c>
      <c r="C884" s="9" t="str">
        <f t="array" ref="C884">IF(
  AND(
    IFERROR(MATCH(Caseslist!B884, data!D:D, 0), 0) &gt; 0,
    IFERROR(INDEX(data!N:N, MATCH(Caseslist!B884, data!D:D, 0)) = 1, FALSE)
  ),
  "COMPLETE",
  "INC"
)</f>
        <v>COMPLETE</v>
      </c>
      <c r="D884" s="9">
        <f t="array" ref="D884">IFERROR(INDEX(data!$G:$G,match(Caseslist!B884,data!$D:$D,0)), "INC")</f>
        <v>841329</v>
      </c>
      <c r="E884" s="9" t="str">
        <f t="array" ref="E884">IFERROR(INDEX(data!H:H,match(Caseslist!B884,data!D:D,0)), "INC")</f>
        <v>Aila Eli</v>
      </c>
      <c r="F884" s="10" t="str">
        <f t="array" ref="F884">IF(
    OR(
      IFNA(INDEX(data!M:M, MATCH(Caseslist!B884, data!D:D, 0)), "") = "",
      IFNA(INDEX(data!M:M, MATCH(Caseslist!B884, data!D:D, 0)), 0) = 0
    ),
    "COMPLETE",
    IF(
      IFNA(INDEX(dataICM!D:D, MATCH(Caseslist!B884, dataICM!D:D, 0)), "INC") = "INC",
      IFNA(INDEX(dataICM!D:D, MATCH(Caseslist!B884, dataICM!D:D, 0)), "INC"),
      "COMPLETE"
    )
  )</f>
        <v>COMPLETE</v>
      </c>
      <c r="G884" s="10" t="str">
        <f t="array" ref="G884">IF(IFERROR(INDEX(data!L:L,match(Caseslist!B884,data!D:D,0)),"INC")="","COMPLETE",F884)</f>
        <v>COMPLETE</v>
      </c>
      <c r="H884" s="9" t="str">
        <f t="array" ref="H884">IFERROR(INDEX(dataICM!F:F,match(Caseslist!B884,dataICM!D:D,0)), "INC")</f>
        <v>INC</v>
      </c>
      <c r="I884" s="10">
        <f t="shared" si="2"/>
        <v>841329</v>
      </c>
      <c r="J884" s="9" t="str">
        <f t="array" ref="J884">IF(
  AND(
    IFERROR(MATCH(B884, data!D:D, 0), 0) &gt; 0,
    IFERROR(INDEX(data!N:N, MATCH(B884, data!D:D, 0)) = 1, FALSE)
  ),
  INDEX(data!C:C, MATCH(B884, data!D:D, 0)),
  "INC"
)</f>
        <v>2025-09-01T12:59:43.393+08</v>
      </c>
      <c r="K884" s="9" t="str">
        <f t="array" ref="K884">IFERROR(INDEX(dataICM!C:C,match(Caseslist!B884,dataICM!D:D,0)), "INC")</f>
        <v>INC</v>
      </c>
      <c r="L884" s="10" t="str">
        <f t="array" ref="L884">IF(AND(G884="COMPLETE", OR(K884="INC", ISBLANK(INDEX(data!O:O, ROW())))), J884, K884)</f>
        <v>2025-09-01T12:59:43.393+08</v>
      </c>
      <c r="M884" s="2">
        <v>45901.0</v>
      </c>
      <c r="N884" s="2">
        <f t="array" ref="N884">IF(M884&lt;&gt;"INC", INDEX(data!M:M, MATCH(B884, data!D:D, 0)), "")</f>
        <v>0</v>
      </c>
      <c r="O884" s="2">
        <f t="shared" si="3"/>
        <v>0</v>
      </c>
    </row>
    <row r="885">
      <c r="A885" s="2" t="str">
        <f t="shared" si="1"/>
        <v>H019589</v>
      </c>
      <c r="B885" s="1" t="s">
        <v>5073</v>
      </c>
      <c r="C885" s="9" t="str">
        <f t="array" ref="C885">IF(
  AND(
    IFERROR(MATCH(Caseslist!B885, data!D:D, 0), 0) &gt; 0,
    IFERROR(INDEX(data!N:N, MATCH(Caseslist!B885, data!D:D, 0)) = 1, FALSE)
  ),
  "COMPLETE",
  "INC"
)</f>
        <v>INC</v>
      </c>
      <c r="D885" s="9">
        <f t="array" ref="D885">IFERROR(INDEX(data!$G:$G,match(Caseslist!B885,data!$D:$D,0)), "INC")</f>
        <v>555127</v>
      </c>
      <c r="E885" s="9" t="str">
        <f t="array" ref="E885">IFERROR(INDEX(data!H:H,match(Caseslist!B885,data!D:D,0)), "INC")</f>
        <v>Mary May_2</v>
      </c>
      <c r="F885" s="10" t="str">
        <f t="array" ref="F885">IF(
    OR(
      IFNA(INDEX(data!M:M, MATCH(Caseslist!B885, data!D:D, 0)), "") = "",
      IFNA(INDEX(data!M:M, MATCH(Caseslist!B885, data!D:D, 0)), 0) = 0
    ),
    "COMPLETE",
    IF(
      IFNA(INDEX(dataICM!D:D, MATCH(Caseslist!B885, dataICM!D:D, 0)), "INC") = "INC",
      IFNA(INDEX(dataICM!D:D, MATCH(Caseslist!B885, dataICM!D:D, 0)), "INC"),
      "COMPLETE"
    )
  )</f>
        <v>COMPLETE</v>
      </c>
      <c r="G885" s="10" t="str">
        <f t="array" ref="G885">IF(IFERROR(INDEX(data!L:L,match(Caseslist!B885,data!D:D,0)),"INC")="","COMPLETE",F885)</f>
        <v>COMPLETE</v>
      </c>
      <c r="H885" s="9" t="str">
        <f t="array" ref="H885">IFERROR(INDEX(dataICM!F:F,match(Caseslist!B885,dataICM!D:D,0)), "INC")</f>
        <v>INC</v>
      </c>
      <c r="I885" s="10">
        <f t="shared" si="2"/>
        <v>555127</v>
      </c>
      <c r="J885" s="9" t="str">
        <f t="array" ref="J885">IF(
  AND(
    IFERROR(MATCH(B885, data!D:D, 0), 0) &gt; 0,
    IFERROR(INDEX(data!N:N, MATCH(B885, data!D:D, 0)) = 1, FALSE)
  ),
  INDEX(data!C:C, MATCH(B885, data!D:D, 0)),
  "INC"
)</f>
        <v>INC</v>
      </c>
      <c r="K885" s="9" t="str">
        <f t="array" ref="K885">IFERROR(INDEX(dataICM!C:C,match(Caseslist!B885,dataICM!D:D,0)), "INC")</f>
        <v>INC</v>
      </c>
      <c r="L885" s="10" t="str">
        <f t="array" ref="L885">IF(AND(G885="COMPLETE", OR(K885="INC", ISBLANK(INDEX(data!O:O, ROW())))), J885, K885)</f>
        <v>INC</v>
      </c>
      <c r="M885" s="2" t="s">
        <v>8886</v>
      </c>
      <c r="N885" s="2" t="str">
        <f t="array" ref="N885">IF(M885&lt;&gt;"INC", INDEX(data!M:M, MATCH(B885, data!D:D, 0)), "")</f>
        <v/>
      </c>
      <c r="O885" s="2" t="str">
        <f t="shared" si="3"/>
        <v/>
      </c>
    </row>
    <row r="886">
      <c r="A886" s="2" t="str">
        <f t="shared" si="1"/>
        <v>H019589</v>
      </c>
      <c r="B886" s="1" t="s">
        <v>2314</v>
      </c>
      <c r="C886" s="9" t="str">
        <f t="array" ref="C886">IF(
  AND(
    IFERROR(MATCH(Caseslist!B886, data!D:D, 0), 0) &gt; 0,
    IFERROR(INDEX(data!N:N, MATCH(Caseslist!B886, data!D:D, 0)) = 1, FALSE)
  ),
  "COMPLETE",
  "INC"
)</f>
        <v>COMPLETE</v>
      </c>
      <c r="D886" s="9">
        <f t="array" ref="D886">IFERROR(INDEX(data!$G:$G,match(Caseslist!B886,data!$D:$D,0)), "INC")</f>
        <v>455939</v>
      </c>
      <c r="E886" s="9" t="str">
        <f t="array" ref="E886">IFERROR(INDEX(data!H:H,match(Caseslist!B886,data!D:D,0)), "INC")</f>
        <v>Mary Jean Villaflor (duplicate name received from ICM_follow_up_launch on August 26, 2025 11:49 UTC+00:00; submission key: uuid:58eb9512-174e-4e57-ac68-bdc54e35ccff)</v>
      </c>
      <c r="F886" s="10" t="str">
        <f t="array" ref="F886">IF(
    OR(
      IFNA(INDEX(data!M:M, MATCH(Caseslist!B886, data!D:D, 0)), "") = "",
      IFNA(INDEX(data!M:M, MATCH(Caseslist!B886, data!D:D, 0)), 0) = 0
    ),
    "COMPLETE",
    IF(
      IFNA(INDEX(dataICM!D:D, MATCH(Caseslist!B886, dataICM!D:D, 0)), "INC") = "INC",
      IFNA(INDEX(dataICM!D:D, MATCH(Caseslist!B886, dataICM!D:D, 0)), "INC"),
      "COMPLETE"
    )
  )</f>
        <v>COMPLETE</v>
      </c>
      <c r="G886" s="10" t="str">
        <f t="array" ref="G886">IF(IFERROR(INDEX(data!L:L,match(Caseslist!B886,data!D:D,0)),"INC")="","COMPLETE",F886)</f>
        <v>COMPLETE</v>
      </c>
      <c r="H886" s="9" t="str">
        <f t="array" ref="H886">IFERROR(INDEX(dataICM!F:F,match(Caseslist!B886,dataICM!D:D,0)), "INC")</f>
        <v>INC</v>
      </c>
      <c r="I886" s="10">
        <f t="shared" si="2"/>
        <v>455939</v>
      </c>
      <c r="J886" s="9" t="str">
        <f t="array" ref="J886">IF(
  AND(
    IFERROR(MATCH(B886, data!D:D, 0), 0) &gt; 0,
    IFERROR(INDEX(data!N:N, MATCH(B886, data!D:D, 0)) = 1, FALSE)
  ),
  INDEX(data!C:C, MATCH(B886, data!D:D, 0)),
  "INC"
)</f>
        <v>2025-09-01T12:39:22.644+08</v>
      </c>
      <c r="K886" s="9" t="str">
        <f t="array" ref="K886">IFERROR(INDEX(dataICM!C:C,match(Caseslist!B886,dataICM!D:D,0)), "INC")</f>
        <v>INC</v>
      </c>
      <c r="L886" s="10" t="str">
        <f t="array" ref="L886">IF(AND(G886="COMPLETE", OR(K886="INC", ISBLANK(INDEX(data!O:O, ROW())))), J886, K886)</f>
        <v>2025-09-01T12:39:22.644+08</v>
      </c>
      <c r="M886" s="2">
        <v>45901.0</v>
      </c>
      <c r="N886" s="2">
        <f t="array" ref="N886">IF(M886&lt;&gt;"INC", INDEX(data!M:M, MATCH(B886, data!D:D, 0)), "")</f>
        <v>0</v>
      </c>
      <c r="O886" s="2">
        <f t="shared" si="3"/>
        <v>0</v>
      </c>
    </row>
    <row r="887">
      <c r="A887" s="2" t="str">
        <f t="shared" si="1"/>
        <v>H019589</v>
      </c>
      <c r="B887" s="1" t="s">
        <v>2103</v>
      </c>
      <c r="C887" s="9" t="str">
        <f t="array" ref="C887">IF(
  AND(
    IFERROR(MATCH(Caseslist!B887, data!D:D, 0), 0) &gt; 0,
    IFERROR(INDEX(data!N:N, MATCH(Caseslist!B887, data!D:D, 0)) = 1, FALSE)
  ),
  "COMPLETE",
  "INC"
)</f>
        <v>COMPLETE</v>
      </c>
      <c r="D887" s="9">
        <f t="array" ref="D887">IFERROR(INDEX(data!$G:$G,match(Caseslist!B887,data!$D:$D,0)), "INC")</f>
        <v>555127</v>
      </c>
      <c r="E887" s="9" t="str">
        <f t="array" ref="E887">IFERROR(INDEX(data!H:H,match(Caseslist!B887,data!D:D,0)), "INC")</f>
        <v>Mary May</v>
      </c>
      <c r="F887" s="10" t="str">
        <f t="array" ref="F887">IF(
    OR(
      IFNA(INDEX(data!M:M, MATCH(Caseslist!B887, data!D:D, 0)), "") = "",
      IFNA(INDEX(data!M:M, MATCH(Caseslist!B887, data!D:D, 0)), 0) = 0
    ),
    "COMPLETE",
    IF(
      IFNA(INDEX(dataICM!D:D, MATCH(Caseslist!B887, dataICM!D:D, 0)), "INC") = "INC",
      IFNA(INDEX(dataICM!D:D, MATCH(Caseslist!B887, dataICM!D:D, 0)), "INC"),
      "COMPLETE"
    )
  )</f>
        <v>COMPLETE</v>
      </c>
      <c r="G887" s="10" t="str">
        <f t="array" ref="G887">IF(IFERROR(INDEX(data!L:L,match(Caseslist!B887,data!D:D,0)),"INC")="","COMPLETE",F887)</f>
        <v>COMPLETE</v>
      </c>
      <c r="H887" s="9" t="str">
        <f t="array" ref="H887">IFERROR(INDEX(dataICM!F:F,match(Caseslist!B887,dataICM!D:D,0)), "INC")</f>
        <v>INC</v>
      </c>
      <c r="I887" s="10">
        <f t="shared" si="2"/>
        <v>555127</v>
      </c>
      <c r="J887" s="9" t="str">
        <f t="array" ref="J887">IF(
  AND(
    IFERROR(MATCH(B887, data!D:D, 0), 0) &gt; 0,
    IFERROR(INDEX(data!N:N, MATCH(B887, data!D:D, 0)) = 1, FALSE)
  ),
  INDEX(data!C:C, MATCH(B887, data!D:D, 0)),
  "INC"
)</f>
        <v>2025-09-01T13:44:18.179+08</v>
      </c>
      <c r="K887" s="9" t="str">
        <f t="array" ref="K887">IFERROR(INDEX(dataICM!C:C,match(Caseslist!B887,dataICM!D:D,0)), "INC")</f>
        <v>INC</v>
      </c>
      <c r="L887" s="10" t="str">
        <f t="array" ref="L887">IF(AND(G887="COMPLETE", OR(K887="INC", ISBLANK(INDEX(data!O:O, ROW())))), J887, K887)</f>
        <v>2025-09-01T13:44:18.179+08</v>
      </c>
      <c r="M887" s="2">
        <v>45901.0</v>
      </c>
      <c r="N887" s="2">
        <f t="array" ref="N887">IF(M887&lt;&gt;"INC", INDEX(data!M:M, MATCH(B887, data!D:D, 0)), "")</f>
        <v>0</v>
      </c>
      <c r="O887" s="2">
        <f t="shared" si="3"/>
        <v>0</v>
      </c>
    </row>
    <row r="888">
      <c r="A888" s="2" t="str">
        <f t="shared" si="1"/>
        <v>H019589</v>
      </c>
      <c r="B888" s="1" t="s">
        <v>2098</v>
      </c>
      <c r="C888" s="9" t="str">
        <f t="array" ref="C888">IF(
  AND(
    IFERROR(MATCH(Caseslist!B888, data!D:D, 0), 0) &gt; 0,
    IFERROR(INDEX(data!N:N, MATCH(Caseslist!B888, data!D:D, 0)) = 1, FALSE)
  ),
  "COMPLETE",
  "INC"
)</f>
        <v>COMPLETE</v>
      </c>
      <c r="D888" s="9">
        <f t="array" ref="D888">IFERROR(INDEX(data!$G:$G,match(Caseslist!B888,data!$D:$D,0)), "INC")</f>
        <v>555127</v>
      </c>
      <c r="E888" s="9" t="str">
        <f t="array" ref="E888">IFERROR(INDEX(data!H:H,match(Caseslist!B888,data!D:D,0)), "INC")</f>
        <v>Mary May</v>
      </c>
      <c r="F888" s="10" t="str">
        <f t="array" ref="F888">IF(
    OR(
      IFNA(INDEX(data!M:M, MATCH(Caseslist!B888, data!D:D, 0)), "") = "",
      IFNA(INDEX(data!M:M, MATCH(Caseslist!B888, data!D:D, 0)), 0) = 0
    ),
    "COMPLETE",
    IF(
      IFNA(INDEX(dataICM!D:D, MATCH(Caseslist!B888, dataICM!D:D, 0)), "INC") = "INC",
      IFNA(INDEX(dataICM!D:D, MATCH(Caseslist!B888, dataICM!D:D, 0)), "INC"),
      "COMPLETE"
    )
  )</f>
        <v>COMPLETE</v>
      </c>
      <c r="G888" s="10" t="str">
        <f t="array" ref="G888">IF(IFERROR(INDEX(data!L:L,match(Caseslist!B888,data!D:D,0)),"INC")="","COMPLETE",F888)</f>
        <v>COMPLETE</v>
      </c>
      <c r="H888" s="9" t="str">
        <f t="array" ref="H888">IFERROR(INDEX(dataICM!F:F,match(Caseslist!B888,dataICM!D:D,0)), "INC")</f>
        <v>INC</v>
      </c>
      <c r="I888" s="10">
        <f t="shared" si="2"/>
        <v>555127</v>
      </c>
      <c r="J888" s="9" t="str">
        <f t="array" ref="J888">IF(
  AND(
    IFERROR(MATCH(B888, data!D:D, 0), 0) &gt; 0,
    IFERROR(INDEX(data!N:N, MATCH(B888, data!D:D, 0)) = 1, FALSE)
  ),
  INDEX(data!C:C, MATCH(B888, data!D:D, 0)),
  "INC"
)</f>
        <v>2025-09-01T13:43:32.323+08</v>
      </c>
      <c r="K888" s="9" t="str">
        <f t="array" ref="K888">IFERROR(INDEX(dataICM!C:C,match(Caseslist!B888,dataICM!D:D,0)), "INC")</f>
        <v>INC</v>
      </c>
      <c r="L888" s="10" t="str">
        <f t="array" ref="L888">IF(AND(G888="COMPLETE", OR(K888="INC", ISBLANK(INDEX(data!O:O, ROW())))), J888, K888)</f>
        <v>2025-09-01T13:43:32.323+08</v>
      </c>
      <c r="M888" s="2">
        <v>45901.0</v>
      </c>
      <c r="N888" s="2">
        <f t="array" ref="N888">IF(M888&lt;&gt;"INC", INDEX(data!M:M, MATCH(B888, data!D:D, 0)), "")</f>
        <v>0</v>
      </c>
      <c r="O888" s="2">
        <f t="shared" si="3"/>
        <v>0</v>
      </c>
    </row>
    <row r="889">
      <c r="A889" s="2" t="str">
        <f t="shared" si="1"/>
        <v>H019591</v>
      </c>
      <c r="B889" s="1" t="s">
        <v>4867</v>
      </c>
      <c r="C889" s="9" t="str">
        <f t="array" ref="C889">IF(
  AND(
    IFERROR(MATCH(Caseslist!B889, data!D:D, 0), 0) &gt; 0,
    IFERROR(INDEX(data!N:N, MATCH(Caseslist!B889, data!D:D, 0)) = 1, FALSE)
  ),
  "COMPLETE",
  "INC"
)</f>
        <v>COMPLETE</v>
      </c>
      <c r="D889" s="9">
        <f t="array" ref="D889">IFERROR(INDEX(data!$G:$G,match(Caseslist!B889,data!$D:$D,0)), "INC")</f>
        <v>841329</v>
      </c>
      <c r="E889" s="9" t="str">
        <f t="array" ref="E889">IFERROR(INDEX(data!H:H,match(Caseslist!B889,data!D:D,0)), "INC")</f>
        <v>Aila Eli_2</v>
      </c>
      <c r="F889" s="10" t="str">
        <f t="array" ref="F889">IF(
    OR(
      IFNA(INDEX(data!M:M, MATCH(Caseslist!B889, data!D:D, 0)), "") = "",
      IFNA(INDEX(data!M:M, MATCH(Caseslist!B889, data!D:D, 0)), 0) = 0
    ),
    "COMPLETE",
    IF(
      IFNA(INDEX(dataICM!D:D, MATCH(Caseslist!B889, dataICM!D:D, 0)), "INC") = "INC",
      IFNA(INDEX(dataICM!D:D, MATCH(Caseslist!B889, dataICM!D:D, 0)), "INC"),
      "COMPLETE"
    )
  )</f>
        <v>COMPLETE</v>
      </c>
      <c r="G889" s="10" t="str">
        <f t="array" ref="G889">IF(IFERROR(INDEX(data!L:L,match(Caseslist!B889,data!D:D,0)),"INC")="","COMPLETE",F889)</f>
        <v>COMPLETE</v>
      </c>
      <c r="H889" s="9" t="str">
        <f t="array" ref="H889">IFERROR(INDEX(dataICM!F:F,match(Caseslist!B889,dataICM!D:D,0)), "INC")</f>
        <v>Aila Eli_2</v>
      </c>
      <c r="I889" s="10">
        <f t="shared" si="2"/>
        <v>841329</v>
      </c>
      <c r="J889" s="9" t="str">
        <f t="array" ref="J889">IF(
  AND(
    IFERROR(MATCH(B889, data!D:D, 0), 0) &gt; 0,
    IFERROR(INDEX(data!N:N, MATCH(B889, data!D:D, 0)) = 1, FALSE)
  ),
  INDEX(data!C:C, MATCH(B889, data!D:D, 0)),
  "INC"
)</f>
        <v>2025-09-09T12:17:30.586+08</v>
      </c>
      <c r="K889" s="9" t="str">
        <f t="array" ref="K889">IFERROR(INDEX(dataICM!C:C,match(Caseslist!B889,dataICM!D:D,0)), "INC")</f>
        <v>2025-09-09T12:18:30.863+08</v>
      </c>
      <c r="L889" s="10" t="str">
        <f t="array" ref="L889">IF(AND(G889="COMPLETE", OR(K889="INC", ISBLANK(INDEX(data!O:O, ROW())))), J889, K889)</f>
        <v>2025-09-09T12:18:30.863+08</v>
      </c>
      <c r="M889" s="2">
        <v>45909.0</v>
      </c>
      <c r="N889" s="2">
        <f t="array" ref="N889">IF(M889&lt;&gt;"INC", INDEX(data!M:M, MATCH(B889, data!D:D, 0)), "")</f>
        <v>2</v>
      </c>
      <c r="O889" s="2">
        <f t="shared" si="3"/>
        <v>2</v>
      </c>
    </row>
    <row r="890">
      <c r="A890" s="2" t="str">
        <f t="shared" si="1"/>
        <v>H019591</v>
      </c>
      <c r="B890" s="1" t="s">
        <v>4862</v>
      </c>
      <c r="C890" s="9" t="str">
        <f t="array" ref="C890">IF(
  AND(
    IFERROR(MATCH(Caseslist!B890, data!D:D, 0), 0) &gt; 0,
    IFERROR(INDEX(data!N:N, MATCH(Caseslist!B890, data!D:D, 0)) = 1, FALSE)
  ),
  "COMPLETE",
  "INC"
)</f>
        <v>COMPLETE</v>
      </c>
      <c r="D890" s="9">
        <f t="array" ref="D890">IFERROR(INDEX(data!$G:$G,match(Caseslist!B890,data!$D:$D,0)), "INC")</f>
        <v>841329</v>
      </c>
      <c r="E890" s="9" t="str">
        <f t="array" ref="E890">IFERROR(INDEX(data!H:H,match(Caseslist!B890,data!D:D,0)), "INC")</f>
        <v>Aila Eli_2</v>
      </c>
      <c r="F890" s="10" t="str">
        <f t="array" ref="F890">IF(
    OR(
      IFNA(INDEX(data!M:M, MATCH(Caseslist!B890, data!D:D, 0)), "") = "",
      IFNA(INDEX(data!M:M, MATCH(Caseslist!B890, data!D:D, 0)), 0) = 0
    ),
    "COMPLETE",
    IF(
      IFNA(INDEX(dataICM!D:D, MATCH(Caseslist!B890, dataICM!D:D, 0)), "INC") = "INC",
      IFNA(INDEX(dataICM!D:D, MATCH(Caseslist!B890, dataICM!D:D, 0)), "INC"),
      "COMPLETE"
    )
  )</f>
        <v>COMPLETE</v>
      </c>
      <c r="G890" s="10" t="str">
        <f t="array" ref="G890">IF(IFERROR(INDEX(data!L:L,match(Caseslist!B890,data!D:D,0)),"INC")="","COMPLETE",F890)</f>
        <v>COMPLETE</v>
      </c>
      <c r="H890" s="9" t="str">
        <f t="array" ref="H890">IFERROR(INDEX(dataICM!F:F,match(Caseslist!B890,dataICM!D:D,0)), "INC")</f>
        <v>Aila Eli_2</v>
      </c>
      <c r="I890" s="10">
        <f t="shared" si="2"/>
        <v>841329</v>
      </c>
      <c r="J890" s="9" t="str">
        <f t="array" ref="J890">IF(
  AND(
    IFERROR(MATCH(B890, data!D:D, 0), 0) &gt; 0,
    IFERROR(INDEX(data!N:N, MATCH(B890, data!D:D, 0)) = 1, FALSE)
  ),
  INDEX(data!C:C, MATCH(B890, data!D:D, 0)),
  "INC"
)</f>
        <v>2025-09-09T11:42:32.847+08</v>
      </c>
      <c r="K890" s="9" t="str">
        <f t="array" ref="K890">IFERROR(INDEX(dataICM!C:C,match(Caseslist!B890,dataICM!D:D,0)), "INC")</f>
        <v>2025-09-09T11:51:22.540+08</v>
      </c>
      <c r="L890" s="10" t="str">
        <f t="array" ref="L890">IF(AND(G890="COMPLETE", OR(K890="INC", ISBLANK(INDEX(data!O:O, ROW())))), J890, K890)</f>
        <v>2025-09-09T11:51:22.540+08</v>
      </c>
      <c r="M890" s="2">
        <v>45909.0</v>
      </c>
      <c r="N890" s="2">
        <f t="array" ref="N890">IF(M890&lt;&gt;"INC", INDEX(data!M:M, MATCH(B890, data!D:D, 0)), "")</f>
        <v>2</v>
      </c>
      <c r="O890" s="2">
        <f t="shared" si="3"/>
        <v>2</v>
      </c>
    </row>
    <row r="891">
      <c r="A891" s="2" t="str">
        <f t="shared" si="1"/>
        <v>H019591</v>
      </c>
      <c r="B891" s="1" t="s">
        <v>8663</v>
      </c>
      <c r="C891" s="9" t="str">
        <f t="array" ref="C891">IF(
  AND(
    IFERROR(MATCH(Caseslist!B891, data!D:D, 0), 0) &gt; 0,
    IFERROR(INDEX(data!N:N, MATCH(Caseslist!B891, data!D:D, 0)) = 1, FALSE)
  ),
  "COMPLETE",
  "INC"
)</f>
        <v>COMPLETE</v>
      </c>
      <c r="D891" s="9">
        <f t="array" ref="D891">IFERROR(INDEX(data!$G:$G,match(Caseslist!B891,data!$D:$D,0)), "INC")</f>
        <v>555127</v>
      </c>
      <c r="E891" s="9" t="str">
        <f t="array" ref="E891">IFERROR(INDEX(data!H:H,match(Caseslist!B891,data!D:D,0)), "INC")</f>
        <v>Mary May_2</v>
      </c>
      <c r="F891" s="10" t="str">
        <f t="array" ref="F891">IF(
    OR(
      IFNA(INDEX(data!M:M, MATCH(Caseslist!B891, data!D:D, 0)), "") = "",
      IFNA(INDEX(data!M:M, MATCH(Caseslist!B891, data!D:D, 0)), 0) = 0
    ),
    "COMPLETE",
    IF(
      IFNA(INDEX(dataICM!D:D, MATCH(Caseslist!B891, dataICM!D:D, 0)), "INC") = "INC",
      IFNA(INDEX(dataICM!D:D, MATCH(Caseslist!B891, dataICM!D:D, 0)), "INC"),
      "COMPLETE"
    )
  )</f>
        <v>COMPLETE</v>
      </c>
      <c r="G891" s="10" t="str">
        <f t="array" ref="G891">IF(IFERROR(INDEX(data!L:L,match(Caseslist!B891,data!D:D,0)),"INC")="","COMPLETE",F891)</f>
        <v>COMPLETE</v>
      </c>
      <c r="H891" s="9" t="str">
        <f t="array" ref="H891">IFERROR(INDEX(dataICM!F:F,match(Caseslist!B891,dataICM!D:D,0)), "INC")</f>
        <v>Mary May_2</v>
      </c>
      <c r="I891" s="10">
        <f t="shared" si="2"/>
        <v>555127</v>
      </c>
      <c r="J891" s="9" t="str">
        <f t="array" ref="J891">IF(
  AND(
    IFERROR(MATCH(B891, data!D:D, 0), 0) &gt; 0,
    IFERROR(INDEX(data!N:N, MATCH(B891, data!D:D, 0)) = 1, FALSE)
  ),
  INDEX(data!C:C, MATCH(B891, data!D:D, 0)),
  "INC"
)</f>
        <v>2025-09-28T09:41:18.699+08</v>
      </c>
      <c r="K891" s="9" t="str">
        <f t="array" ref="K891">IFERROR(INDEX(dataICM!C:C,match(Caseslist!B891,dataICM!D:D,0)), "INC")</f>
        <v>2025-09-28T18:11:31.154+08</v>
      </c>
      <c r="L891" s="10" t="str">
        <f t="array" ref="L891">IF(AND(G891="COMPLETE", OR(K891="INC", ISBLANK(INDEX(data!O:O, ROW())))), J891, K891)</f>
        <v>2025-09-28T18:11:31.154+08</v>
      </c>
      <c r="M891" s="2">
        <v>45928.0</v>
      </c>
      <c r="N891" s="2">
        <f t="array" ref="N891">IF(M891&lt;&gt;"INC", INDEX(data!M:M, MATCH(B891, data!D:D, 0)), "")</f>
        <v>2</v>
      </c>
      <c r="O891" s="2">
        <f t="shared" si="3"/>
        <v>2</v>
      </c>
    </row>
    <row r="892">
      <c r="A892" s="2" t="str">
        <f t="shared" si="1"/>
        <v>H019591</v>
      </c>
      <c r="B892" s="1" t="s">
        <v>5057</v>
      </c>
      <c r="C892" s="9" t="str">
        <f t="array" ref="C892">IF(
  AND(
    IFERROR(MATCH(Caseslist!B892, data!D:D, 0), 0) &gt; 0,
    IFERROR(INDEX(data!N:N, MATCH(Caseslist!B892, data!D:D, 0)) = 1, FALSE)
  ),
  "COMPLETE",
  "INC"
)</f>
        <v>INC</v>
      </c>
      <c r="D892" s="9">
        <f t="array" ref="D892">IFERROR(INDEX(data!$G:$G,match(Caseslist!B892,data!$D:$D,0)), "INC")</f>
        <v>555127</v>
      </c>
      <c r="E892" s="9" t="str">
        <f t="array" ref="E892">IFERROR(INDEX(data!H:H,match(Caseslist!B892,data!D:D,0)), "INC")</f>
        <v>Mary May_2</v>
      </c>
      <c r="F892" s="10" t="str">
        <f t="array" ref="F892">IF(
    OR(
      IFNA(INDEX(data!M:M, MATCH(Caseslist!B892, data!D:D, 0)), "") = "",
      IFNA(INDEX(data!M:M, MATCH(Caseslist!B892, data!D:D, 0)), 0) = 0
    ),
    "COMPLETE",
    IF(
      IFNA(INDEX(dataICM!D:D, MATCH(Caseslist!B892, dataICM!D:D, 0)), "INC") = "INC",
      IFNA(INDEX(dataICM!D:D, MATCH(Caseslist!B892, dataICM!D:D, 0)), "INC"),
      "COMPLETE"
    )
  )</f>
        <v>INC</v>
      </c>
      <c r="G892" s="10" t="str">
        <f t="array" ref="G892">IF(IFERROR(INDEX(data!L:L,match(Caseslist!B892,data!D:D,0)),"INC")="","COMPLETE",F892)</f>
        <v>INC</v>
      </c>
      <c r="H892" s="9" t="str">
        <f t="array" ref="H892">IFERROR(INDEX(dataICM!F:F,match(Caseslist!B892,dataICM!D:D,0)), "INC")</f>
        <v>INC</v>
      </c>
      <c r="I892" s="10" t="str">
        <f t="shared" si="2"/>
        <v>INC</v>
      </c>
      <c r="J892" s="9" t="str">
        <f t="array" ref="J892">IF(
  AND(
    IFERROR(MATCH(B892, data!D:D, 0), 0) &gt; 0,
    IFERROR(INDEX(data!N:N, MATCH(B892, data!D:D, 0)) = 1, FALSE)
  ),
  INDEX(data!C:C, MATCH(B892, data!D:D, 0)),
  "INC"
)</f>
        <v>INC</v>
      </c>
      <c r="K892" s="9" t="str">
        <f t="array" ref="K892">IFERROR(INDEX(dataICM!C:C,match(Caseslist!B892,dataICM!D:D,0)), "INC")</f>
        <v>INC</v>
      </c>
      <c r="L892" s="10" t="str">
        <f t="array" ref="L892">IF(AND(G892="COMPLETE", OR(K892="INC", ISBLANK(INDEX(data!O:O, ROW())))), J892, K892)</f>
        <v>INC</v>
      </c>
      <c r="M892" s="2" t="s">
        <v>8886</v>
      </c>
      <c r="N892" s="2" t="str">
        <f t="array" ref="N892">IF(M892&lt;&gt;"INC", INDEX(data!M:M, MATCH(B892, data!D:D, 0)), "")</f>
        <v/>
      </c>
      <c r="O892" s="2" t="str">
        <f t="shared" si="3"/>
        <v/>
      </c>
    </row>
    <row r="893">
      <c r="A893" s="2" t="str">
        <f t="shared" si="1"/>
        <v>H019591</v>
      </c>
      <c r="B893" s="1" t="s">
        <v>4882</v>
      </c>
      <c r="C893" s="9" t="str">
        <f t="array" ref="C893">IF(
  AND(
    IFERROR(MATCH(Caseslist!B893, data!D:D, 0), 0) &gt; 0,
    IFERROR(INDEX(data!N:N, MATCH(Caseslist!B893, data!D:D, 0)) = 1, FALSE)
  ),
  "COMPLETE",
  "INC"
)</f>
        <v>COMPLETE</v>
      </c>
      <c r="D893" s="9">
        <f t="array" ref="D893">IFERROR(INDEX(data!$G:$G,match(Caseslist!B893,data!$D:$D,0)), "INC")</f>
        <v>841329</v>
      </c>
      <c r="E893" s="9" t="str">
        <f t="array" ref="E893">IFERROR(INDEX(data!H:H,match(Caseslist!B893,data!D:D,0)), "INC")</f>
        <v>Aila Eli_2</v>
      </c>
      <c r="F893" s="10" t="str">
        <f t="array" ref="F893">IF(
    OR(
      IFNA(INDEX(data!M:M, MATCH(Caseslist!B893, data!D:D, 0)), "") = "",
      IFNA(INDEX(data!M:M, MATCH(Caseslist!B893, data!D:D, 0)), 0) = 0
    ),
    "COMPLETE",
    IF(
      IFNA(INDEX(dataICM!D:D, MATCH(Caseslist!B893, dataICM!D:D, 0)), "INC") = "INC",
      IFNA(INDEX(dataICM!D:D, MATCH(Caseslist!B893, dataICM!D:D, 0)), "INC"),
      "COMPLETE"
    )
  )</f>
        <v>COMPLETE</v>
      </c>
      <c r="G893" s="10" t="str">
        <f t="array" ref="G893">IF(IFERROR(INDEX(data!L:L,match(Caseslist!B893,data!D:D,0)),"INC")="","COMPLETE",F893)</f>
        <v>COMPLETE</v>
      </c>
      <c r="H893" s="9" t="str">
        <f t="array" ref="H893">IFERROR(INDEX(dataICM!F:F,match(Caseslist!B893,dataICM!D:D,0)), "INC")</f>
        <v>Aila Eli_2</v>
      </c>
      <c r="I893" s="10">
        <f t="shared" si="2"/>
        <v>841329</v>
      </c>
      <c r="J893" s="9" t="str">
        <f t="array" ref="J893">IF(
  AND(
    IFERROR(MATCH(B893, data!D:D, 0), 0) &gt; 0,
    IFERROR(INDEX(data!N:N, MATCH(B893, data!D:D, 0)) = 1, FALSE)
  ),
  INDEX(data!C:C, MATCH(B893, data!D:D, 0)),
  "INC"
)</f>
        <v>2025-09-09T15:42:10.580+08</v>
      </c>
      <c r="K893" s="9" t="str">
        <f t="array" ref="K893">IFERROR(INDEX(dataICM!C:C,match(Caseslist!B893,dataICM!D:D,0)), "INC")</f>
        <v>2025-09-09T15:42:22.457+08</v>
      </c>
      <c r="L893" s="10" t="str">
        <f t="array" ref="L893">IF(AND(G893="COMPLETE", OR(K893="INC", ISBLANK(INDEX(data!O:O, ROW())))), J893, K893)</f>
        <v>2025-09-09T15:42:22.457+08</v>
      </c>
      <c r="M893" s="2">
        <v>45909.0</v>
      </c>
      <c r="N893" s="2">
        <f t="array" ref="N893">IF(M893&lt;&gt;"INC", INDEX(data!M:M, MATCH(B893, data!D:D, 0)), "")</f>
        <v>2</v>
      </c>
      <c r="O893" s="2">
        <f t="shared" si="3"/>
        <v>2</v>
      </c>
    </row>
    <row r="894">
      <c r="A894" s="2" t="str">
        <f t="shared" si="1"/>
        <v>H019591</v>
      </c>
      <c r="B894" s="1" t="s">
        <v>4872</v>
      </c>
      <c r="C894" s="9" t="str">
        <f t="array" ref="C894">IF(
  AND(
    IFERROR(MATCH(Caseslist!B894, data!D:D, 0), 0) &gt; 0,
    IFERROR(INDEX(data!N:N, MATCH(Caseslist!B894, data!D:D, 0)) = 1, FALSE)
  ),
  "COMPLETE",
  "INC"
)</f>
        <v>COMPLETE</v>
      </c>
      <c r="D894" s="9">
        <f t="array" ref="D894">IFERROR(INDEX(data!$G:$G,match(Caseslist!B894,data!$D:$D,0)), "INC")</f>
        <v>841329</v>
      </c>
      <c r="E894" s="9" t="str">
        <f t="array" ref="E894">IFERROR(INDEX(data!H:H,match(Caseslist!B894,data!D:D,0)), "INC")</f>
        <v>Aila Eli_2</v>
      </c>
      <c r="F894" s="10" t="str">
        <f t="array" ref="F894">IF(
    OR(
      IFNA(INDEX(data!M:M, MATCH(Caseslist!B894, data!D:D, 0)), "") = "",
      IFNA(INDEX(data!M:M, MATCH(Caseslist!B894, data!D:D, 0)), 0) = 0
    ),
    "COMPLETE",
    IF(
      IFNA(INDEX(dataICM!D:D, MATCH(Caseslist!B894, dataICM!D:D, 0)), "INC") = "INC",
      IFNA(INDEX(dataICM!D:D, MATCH(Caseslist!B894, dataICM!D:D, 0)), "INC"),
      "COMPLETE"
    )
  )</f>
        <v>COMPLETE</v>
      </c>
      <c r="G894" s="10" t="str">
        <f t="array" ref="G894">IF(IFERROR(INDEX(data!L:L,match(Caseslist!B894,data!D:D,0)),"INC")="","COMPLETE",F894)</f>
        <v>COMPLETE</v>
      </c>
      <c r="H894" s="9" t="str">
        <f t="array" ref="H894">IFERROR(INDEX(dataICM!F:F,match(Caseslist!B894,dataICM!D:D,0)), "INC")</f>
        <v>Aila Eli_2</v>
      </c>
      <c r="I894" s="10">
        <f t="shared" si="2"/>
        <v>841329</v>
      </c>
      <c r="J894" s="9" t="str">
        <f t="array" ref="J894">IF(
  AND(
    IFERROR(MATCH(B894, data!D:D, 0), 0) &gt; 0,
    IFERROR(INDEX(data!N:N, MATCH(B894, data!D:D, 0)) = 1, FALSE)
  ),
  INDEX(data!C:C, MATCH(B894, data!D:D, 0)),
  "INC"
)</f>
        <v>2025-09-09T13:26:10.426+08</v>
      </c>
      <c r="K894" s="9" t="str">
        <f t="array" ref="K894">IFERROR(INDEX(dataICM!C:C,match(Caseslist!B894,dataICM!D:D,0)), "INC")</f>
        <v>2025-09-09T13:30:38.791+08</v>
      </c>
      <c r="L894" s="10" t="str">
        <f t="array" ref="L894">IF(AND(G894="COMPLETE", OR(K894="INC", ISBLANK(INDEX(data!O:O, ROW())))), J894, K894)</f>
        <v>2025-09-09T13:30:38.791+08</v>
      </c>
      <c r="M894" s="2">
        <v>45909.0</v>
      </c>
      <c r="N894" s="2">
        <f t="array" ref="N894">IF(M894&lt;&gt;"INC", INDEX(data!M:M, MATCH(B894, data!D:D, 0)), "")</f>
        <v>2</v>
      </c>
      <c r="O894" s="2">
        <f t="shared" si="3"/>
        <v>2</v>
      </c>
    </row>
    <row r="895">
      <c r="A895" s="2" t="str">
        <f t="shared" si="1"/>
        <v>H019591</v>
      </c>
      <c r="B895" s="1" t="s">
        <v>4902</v>
      </c>
      <c r="C895" s="9" t="str">
        <f t="array" ref="C895">IF(
  AND(
    IFERROR(MATCH(Caseslist!B895, data!D:D, 0), 0) &gt; 0,
    IFERROR(INDEX(data!N:N, MATCH(Caseslist!B895, data!D:D, 0)) = 1, FALSE)
  ),
  "COMPLETE",
  "INC"
)</f>
        <v>COMPLETE</v>
      </c>
      <c r="D895" s="9">
        <f t="array" ref="D895">IFERROR(INDEX(data!$G:$G,match(Caseslist!B895,data!$D:$D,0)), "INC")</f>
        <v>555127</v>
      </c>
      <c r="E895" s="9" t="str">
        <f t="array" ref="E895">IFERROR(INDEX(data!H:H,match(Caseslist!B895,data!D:D,0)), "INC")</f>
        <v>Mary May_2</v>
      </c>
      <c r="F895" s="10" t="str">
        <f t="array" ref="F895">IF(
    OR(
      IFNA(INDEX(data!M:M, MATCH(Caseslist!B895, data!D:D, 0)), "") = "",
      IFNA(INDEX(data!M:M, MATCH(Caseslist!B895, data!D:D, 0)), 0) = 0
    ),
    "COMPLETE",
    IF(
      IFNA(INDEX(dataICM!D:D, MATCH(Caseslist!B895, dataICM!D:D, 0)), "INC") = "INC",
      IFNA(INDEX(dataICM!D:D, MATCH(Caseslist!B895, dataICM!D:D, 0)), "INC"),
      "COMPLETE"
    )
  )</f>
        <v>COMPLETE</v>
      </c>
      <c r="G895" s="10" t="str">
        <f t="array" ref="G895">IF(IFERROR(INDEX(data!L:L,match(Caseslist!B895,data!D:D,0)),"INC")="","COMPLETE",F895)</f>
        <v>COMPLETE</v>
      </c>
      <c r="H895" s="9" t="str">
        <f t="array" ref="H895">IFERROR(INDEX(dataICM!F:F,match(Caseslist!B895,dataICM!D:D,0)), "INC")</f>
        <v>Mary May_2</v>
      </c>
      <c r="I895" s="10">
        <f t="shared" si="2"/>
        <v>555127</v>
      </c>
      <c r="J895" s="9" t="str">
        <f t="array" ref="J895">IF(
  AND(
    IFERROR(MATCH(B895, data!D:D, 0), 0) &gt; 0,
    IFERROR(INDEX(data!N:N, MATCH(B895, data!D:D, 0)) = 1, FALSE)
  ),
  INDEX(data!C:C, MATCH(B895, data!D:D, 0)),
  "INC"
)</f>
        <v>2025-09-09T14:37:07.517+08</v>
      </c>
      <c r="K895" s="9" t="str">
        <f t="array" ref="K895">IFERROR(INDEX(dataICM!C:C,match(Caseslist!B895,dataICM!D:D,0)), "INC")</f>
        <v>2025-09-09T14:56:05.612+08</v>
      </c>
      <c r="L895" s="10" t="str">
        <f t="array" ref="L895">IF(AND(G895="COMPLETE", OR(K895="INC", ISBLANK(INDEX(data!O:O, ROW())))), J895, K895)</f>
        <v>2025-09-09T14:56:05.612+08</v>
      </c>
      <c r="M895" s="2">
        <v>45909.0</v>
      </c>
      <c r="N895" s="2">
        <f t="array" ref="N895">IF(M895&lt;&gt;"INC", INDEX(data!M:M, MATCH(B895, data!D:D, 0)), "")</f>
        <v>2</v>
      </c>
      <c r="O895" s="2">
        <f t="shared" si="3"/>
        <v>2</v>
      </c>
    </row>
    <row r="896">
      <c r="A896" s="2" t="str">
        <f t="shared" si="1"/>
        <v>H019591</v>
      </c>
      <c r="B896" s="1" t="s">
        <v>4887</v>
      </c>
      <c r="C896" s="9" t="str">
        <f t="array" ref="C896">IF(
  AND(
    IFERROR(MATCH(Caseslist!B896, data!D:D, 0), 0) &gt; 0,
    IFERROR(INDEX(data!N:N, MATCH(Caseslist!B896, data!D:D, 0)) = 1, FALSE)
  ),
  "COMPLETE",
  "INC"
)</f>
        <v>COMPLETE</v>
      </c>
      <c r="D896" s="9">
        <f t="array" ref="D896">IFERROR(INDEX(data!$G:$G,match(Caseslist!B896,data!$D:$D,0)), "INC")</f>
        <v>555127</v>
      </c>
      <c r="E896" s="9" t="str">
        <f t="array" ref="E896">IFERROR(INDEX(data!H:H,match(Caseslist!B896,data!D:D,0)), "INC")</f>
        <v>Mary May_2</v>
      </c>
      <c r="F896" s="10" t="str">
        <f t="array" ref="F896">IF(
    OR(
      IFNA(INDEX(data!M:M, MATCH(Caseslist!B896, data!D:D, 0)), "") = "",
      IFNA(INDEX(data!M:M, MATCH(Caseslist!B896, data!D:D, 0)), 0) = 0
    ),
    "COMPLETE",
    IF(
      IFNA(INDEX(dataICM!D:D, MATCH(Caseslist!B896, dataICM!D:D, 0)), "INC") = "INC",
      IFNA(INDEX(dataICM!D:D, MATCH(Caseslist!B896, dataICM!D:D, 0)), "INC"),
      "COMPLETE"
    )
  )</f>
        <v>COMPLETE</v>
      </c>
      <c r="G896" s="10" t="str">
        <f t="array" ref="G896">IF(IFERROR(INDEX(data!L:L,match(Caseslist!B896,data!D:D,0)),"INC")="","COMPLETE",F896)</f>
        <v>COMPLETE</v>
      </c>
      <c r="H896" s="9" t="str">
        <f t="array" ref="H896">IFERROR(INDEX(dataICM!F:F,match(Caseslist!B896,dataICM!D:D,0)), "INC")</f>
        <v>Mary May_2</v>
      </c>
      <c r="I896" s="10">
        <f t="shared" si="2"/>
        <v>555127</v>
      </c>
      <c r="J896" s="9" t="str">
        <f t="array" ref="J896">IF(
  AND(
    IFERROR(MATCH(B896, data!D:D, 0), 0) &gt; 0,
    IFERROR(INDEX(data!N:N, MATCH(B896, data!D:D, 0)) = 1, FALSE)
  ),
  INDEX(data!C:C, MATCH(B896, data!D:D, 0)),
  "INC"
)</f>
        <v>2025-09-09T11:20:27.918+08</v>
      </c>
      <c r="K896" s="9" t="str">
        <f t="array" ref="K896">IFERROR(INDEX(dataICM!C:C,match(Caseslist!B896,dataICM!D:D,0)), "INC")</f>
        <v>2025-09-09T11:23:27.644+08</v>
      </c>
      <c r="L896" s="10" t="str">
        <f t="array" ref="L896">IF(AND(G896="COMPLETE", OR(K896="INC", ISBLANK(INDEX(data!O:O, ROW())))), J896, K896)</f>
        <v>2025-09-09T11:23:27.644+08</v>
      </c>
      <c r="M896" s="2">
        <v>45909.0</v>
      </c>
      <c r="N896" s="2">
        <f t="array" ref="N896">IF(M896&lt;&gt;"INC", INDEX(data!M:M, MATCH(B896, data!D:D, 0)), "")</f>
        <v>2</v>
      </c>
      <c r="O896" s="2">
        <f t="shared" si="3"/>
        <v>2</v>
      </c>
    </row>
    <row r="897">
      <c r="A897" s="2" t="str">
        <f t="shared" si="1"/>
        <v>H019591</v>
      </c>
      <c r="B897" s="1" t="s">
        <v>4897</v>
      </c>
      <c r="C897" s="9" t="str">
        <f t="array" ref="C897">IF(
  AND(
    IFERROR(MATCH(Caseslist!B897, data!D:D, 0), 0) &gt; 0,
    IFERROR(INDEX(data!N:N, MATCH(Caseslist!B897, data!D:D, 0)) = 1, FALSE)
  ),
  "COMPLETE",
  "INC"
)</f>
        <v>COMPLETE</v>
      </c>
      <c r="D897" s="9">
        <f t="array" ref="D897">IFERROR(INDEX(data!$G:$G,match(Caseslist!B897,data!$D:$D,0)), "INC")</f>
        <v>555127</v>
      </c>
      <c r="E897" s="9" t="str">
        <f t="array" ref="E897">IFERROR(INDEX(data!H:H,match(Caseslist!B897,data!D:D,0)), "INC")</f>
        <v>Mary May_2</v>
      </c>
      <c r="F897" s="10" t="str">
        <f t="array" ref="F897">IF(
    OR(
      IFNA(INDEX(data!M:M, MATCH(Caseslist!B897, data!D:D, 0)), "") = "",
      IFNA(INDEX(data!M:M, MATCH(Caseslist!B897, data!D:D, 0)), 0) = 0
    ),
    "COMPLETE",
    IF(
      IFNA(INDEX(dataICM!D:D, MATCH(Caseslist!B897, dataICM!D:D, 0)), "INC") = "INC",
      IFNA(INDEX(dataICM!D:D, MATCH(Caseslist!B897, dataICM!D:D, 0)), "INC"),
      "COMPLETE"
    )
  )</f>
        <v>COMPLETE</v>
      </c>
      <c r="G897" s="10" t="str">
        <f t="array" ref="G897">IF(IFERROR(INDEX(data!L:L,match(Caseslist!B897,data!D:D,0)),"INC")="","COMPLETE",F897)</f>
        <v>COMPLETE</v>
      </c>
      <c r="H897" s="9" t="str">
        <f t="array" ref="H897">IFERROR(INDEX(dataICM!F:F,match(Caseslist!B897,dataICM!D:D,0)), "INC")</f>
        <v>Mary May_2</v>
      </c>
      <c r="I897" s="10">
        <f t="shared" si="2"/>
        <v>555127</v>
      </c>
      <c r="J897" s="9" t="str">
        <f t="array" ref="J897">IF(
  AND(
    IFERROR(MATCH(B897, data!D:D, 0), 0) &gt; 0,
    IFERROR(INDEX(data!N:N, MATCH(B897, data!D:D, 0)) = 1, FALSE)
  ),
  INDEX(data!C:C, MATCH(B897, data!D:D, 0)),
  "INC"
)</f>
        <v>2025-09-09T13:31:00.475+08</v>
      </c>
      <c r="K897" s="9" t="str">
        <f t="array" ref="K897">IFERROR(INDEX(dataICM!C:C,match(Caseslist!B897,dataICM!D:D,0)), "INC")</f>
        <v>2025-09-09T13:35:08.422+08</v>
      </c>
      <c r="L897" s="10" t="str">
        <f t="array" ref="L897">IF(AND(G897="COMPLETE", OR(K897="INC", ISBLANK(INDEX(data!O:O, ROW())))), J897, K897)</f>
        <v>2025-09-09T13:35:08.422+08</v>
      </c>
      <c r="M897" s="2">
        <v>45909.0</v>
      </c>
      <c r="N897" s="2">
        <f t="array" ref="N897">IF(M897&lt;&gt;"INC", INDEX(data!M:M, MATCH(B897, data!D:D, 0)), "")</f>
        <v>2</v>
      </c>
      <c r="O897" s="2">
        <f t="shared" si="3"/>
        <v>2</v>
      </c>
    </row>
    <row r="898">
      <c r="A898" s="2" t="str">
        <f t="shared" si="1"/>
        <v>H019591</v>
      </c>
      <c r="B898" s="1" t="s">
        <v>4877</v>
      </c>
      <c r="C898" s="9" t="str">
        <f t="array" ref="C898">IF(
  AND(
    IFERROR(MATCH(Caseslist!B898, data!D:D, 0), 0) &gt; 0,
    IFERROR(INDEX(data!N:N, MATCH(Caseslist!B898, data!D:D, 0)) = 1, FALSE)
  ),
  "COMPLETE",
  "INC"
)</f>
        <v>COMPLETE</v>
      </c>
      <c r="D898" s="9">
        <f t="array" ref="D898">IFERROR(INDEX(data!$G:$G,match(Caseslist!B898,data!$D:$D,0)), "INC")</f>
        <v>841329</v>
      </c>
      <c r="E898" s="9" t="str">
        <f t="array" ref="E898">IFERROR(INDEX(data!H:H,match(Caseslist!B898,data!D:D,0)), "INC")</f>
        <v>Aila Eli_2</v>
      </c>
      <c r="F898" s="10" t="str">
        <f t="array" ref="F898">IF(
    OR(
      IFNA(INDEX(data!M:M, MATCH(Caseslist!B898, data!D:D, 0)), "") = "",
      IFNA(INDEX(data!M:M, MATCH(Caseslist!B898, data!D:D, 0)), 0) = 0
    ),
    "COMPLETE",
    IF(
      IFNA(INDEX(dataICM!D:D, MATCH(Caseslist!B898, dataICM!D:D, 0)), "INC") = "INC",
      IFNA(INDEX(dataICM!D:D, MATCH(Caseslist!B898, dataICM!D:D, 0)), "INC"),
      "COMPLETE"
    )
  )</f>
        <v>COMPLETE</v>
      </c>
      <c r="G898" s="10" t="str">
        <f t="array" ref="G898">IF(IFERROR(INDEX(data!L:L,match(Caseslist!B898,data!D:D,0)),"INC")="","COMPLETE",F898)</f>
        <v>COMPLETE</v>
      </c>
      <c r="H898" s="9" t="str">
        <f t="array" ref="H898">IFERROR(INDEX(dataICM!F:F,match(Caseslist!B898,dataICM!D:D,0)), "INC")</f>
        <v>Aila Eli_2</v>
      </c>
      <c r="I898" s="10">
        <f t="shared" si="2"/>
        <v>841329</v>
      </c>
      <c r="J898" s="9" t="str">
        <f t="array" ref="J898">IF(
  AND(
    IFERROR(MATCH(B898, data!D:D, 0), 0) &gt; 0,
    IFERROR(INDEX(data!N:N, MATCH(B898, data!D:D, 0)) = 1, FALSE)
  ),
  INDEX(data!C:C, MATCH(B898, data!D:D, 0)),
  "INC"
)</f>
        <v>2025-09-09T14:26:53.222+08</v>
      </c>
      <c r="K898" s="9" t="str">
        <f t="array" ref="K898">IFERROR(INDEX(dataICM!C:C,match(Caseslist!B898,dataICM!D:D,0)), "INC")</f>
        <v>2025-09-09T16:37:15.763+08</v>
      </c>
      <c r="L898" s="10" t="str">
        <f t="array" ref="L898">IF(AND(G898="COMPLETE", OR(K898="INC", ISBLANK(INDEX(data!O:O, ROW())))), J898, K898)</f>
        <v>2025-09-09T16:37:15.763+08</v>
      </c>
      <c r="M898" s="2">
        <v>45909.0</v>
      </c>
      <c r="N898" s="2">
        <f t="array" ref="N898">IF(M898&lt;&gt;"INC", INDEX(data!M:M, MATCH(B898, data!D:D, 0)), "")</f>
        <v>2</v>
      </c>
      <c r="O898" s="2">
        <f t="shared" si="3"/>
        <v>2</v>
      </c>
    </row>
    <row r="899">
      <c r="A899" s="2" t="str">
        <f t="shared" si="1"/>
        <v>H019591</v>
      </c>
      <c r="B899" s="1" t="s">
        <v>4917</v>
      </c>
      <c r="C899" s="9" t="str">
        <f t="array" ref="C899">IF(
  AND(
    IFERROR(MATCH(Caseslist!B899, data!D:D, 0), 0) &gt; 0,
    IFERROR(INDEX(data!N:N, MATCH(Caseslist!B899, data!D:D, 0)) = 1, FALSE)
  ),
  "COMPLETE",
  "INC"
)</f>
        <v>COMPLETE</v>
      </c>
      <c r="D899" s="9">
        <f t="array" ref="D899">IFERROR(INDEX(data!$G:$G,match(Caseslist!B899,data!$D:$D,0)), "INC")</f>
        <v>455939</v>
      </c>
      <c r="E899" s="9" t="str">
        <f t="array" ref="E899">IFERROR(INDEX(data!H:H,match(Caseslist!B899,data!D:D,0)), "INC")</f>
        <v>Mary Jean Villaflor_2</v>
      </c>
      <c r="F899" s="10" t="str">
        <f t="array" ref="F899">IF(
    OR(
      IFNA(INDEX(data!M:M, MATCH(Caseslist!B899, data!D:D, 0)), "") = "",
      IFNA(INDEX(data!M:M, MATCH(Caseslist!B899, data!D:D, 0)), 0) = 0
    ),
    "COMPLETE",
    IF(
      IFNA(INDEX(dataICM!D:D, MATCH(Caseslist!B899, dataICM!D:D, 0)), "INC") = "INC",
      IFNA(INDEX(dataICM!D:D, MATCH(Caseslist!B899, dataICM!D:D, 0)), "INC"),
      "COMPLETE"
    )
  )</f>
        <v>COMPLETE</v>
      </c>
      <c r="G899" s="10" t="str">
        <f t="array" ref="G899">IF(IFERROR(INDEX(data!L:L,match(Caseslist!B899,data!D:D,0)),"INC")="","COMPLETE",F899)</f>
        <v>COMPLETE</v>
      </c>
      <c r="H899" s="9" t="str">
        <f t="array" ref="H899">IFERROR(INDEX(dataICM!F:F,match(Caseslist!B899,dataICM!D:D,0)), "INC")</f>
        <v>Mary Jean Villaflor_2</v>
      </c>
      <c r="I899" s="10">
        <f t="shared" si="2"/>
        <v>455939</v>
      </c>
      <c r="J899" s="9" t="str">
        <f t="array" ref="J899">IF(
  AND(
    IFERROR(MATCH(B899, data!D:D, 0), 0) &gt; 0,
    IFERROR(INDEX(data!N:N, MATCH(B899, data!D:D, 0)) = 1, FALSE)
  ),
  INDEX(data!C:C, MATCH(B899, data!D:D, 0)),
  "INC"
)</f>
        <v>2025-09-09T13:27:32.257+08</v>
      </c>
      <c r="K899" s="9" t="str">
        <f t="array" ref="K899">IFERROR(INDEX(dataICM!C:C,match(Caseslist!B899,dataICM!D:D,0)), "INC")</f>
        <v>2025-09-09T13:31:20.461+08</v>
      </c>
      <c r="L899" s="10" t="str">
        <f t="array" ref="L899">IF(AND(G899="COMPLETE", OR(K899="INC", ISBLANK(INDEX(data!O:O, ROW())))), J899, K899)</f>
        <v>2025-09-09T13:31:20.461+08</v>
      </c>
      <c r="M899" s="2">
        <v>45909.0</v>
      </c>
      <c r="N899" s="2">
        <f t="array" ref="N899">IF(M899&lt;&gt;"INC", INDEX(data!M:M, MATCH(B899, data!D:D, 0)), "")</f>
        <v>2</v>
      </c>
      <c r="O899" s="2">
        <f t="shared" si="3"/>
        <v>2</v>
      </c>
    </row>
    <row r="900">
      <c r="A900" s="2" t="str">
        <f t="shared" si="1"/>
        <v>H019591</v>
      </c>
      <c r="B900" s="1" t="s">
        <v>4907</v>
      </c>
      <c r="C900" s="9" t="str">
        <f t="array" ref="C900">IF(
  AND(
    IFERROR(MATCH(Caseslist!B900, data!D:D, 0), 0) &gt; 0,
    IFERROR(INDEX(data!N:N, MATCH(Caseslist!B900, data!D:D, 0)) = 1, FALSE)
  ),
  "COMPLETE",
  "INC"
)</f>
        <v>COMPLETE</v>
      </c>
      <c r="D900" s="9">
        <f t="array" ref="D900">IFERROR(INDEX(data!$G:$G,match(Caseslist!B900,data!$D:$D,0)), "INC")</f>
        <v>455939</v>
      </c>
      <c r="E900" s="9" t="str">
        <f t="array" ref="E900">IFERROR(INDEX(data!H:H,match(Caseslist!B900,data!D:D,0)), "INC")</f>
        <v>Mary Jean Villaflor_2</v>
      </c>
      <c r="F900" s="10" t="str">
        <f t="array" ref="F900">IF(
    OR(
      IFNA(INDEX(data!M:M, MATCH(Caseslist!B900, data!D:D, 0)), "") = "",
      IFNA(INDEX(data!M:M, MATCH(Caseslist!B900, data!D:D, 0)), 0) = 0
    ),
    "COMPLETE",
    IF(
      IFNA(INDEX(dataICM!D:D, MATCH(Caseslist!B900, dataICM!D:D, 0)), "INC") = "INC",
      IFNA(INDEX(dataICM!D:D, MATCH(Caseslist!B900, dataICM!D:D, 0)), "INC"),
      "COMPLETE"
    )
  )</f>
        <v>COMPLETE</v>
      </c>
      <c r="G900" s="10" t="str">
        <f t="array" ref="G900">IF(IFERROR(INDEX(data!L:L,match(Caseslist!B900,data!D:D,0)),"INC")="","COMPLETE",F900)</f>
        <v>COMPLETE</v>
      </c>
      <c r="H900" s="9" t="str">
        <f t="array" ref="H900">IFERROR(INDEX(dataICM!F:F,match(Caseslist!B900,dataICM!D:D,0)), "INC")</f>
        <v>Mary Jean Villaflor_2</v>
      </c>
      <c r="I900" s="10">
        <f t="shared" si="2"/>
        <v>455939</v>
      </c>
      <c r="J900" s="9" t="str">
        <f t="array" ref="J900">IF(
  AND(
    IFERROR(MATCH(B900, data!D:D, 0), 0) &gt; 0,
    IFERROR(INDEX(data!N:N, MATCH(B900, data!D:D, 0)) = 1, FALSE)
  ),
  INDEX(data!C:C, MATCH(B900, data!D:D, 0)),
  "INC"
)</f>
        <v>2025-09-09T09:53:46.863+08</v>
      </c>
      <c r="K900" s="9" t="str">
        <f t="array" ref="K900">IFERROR(INDEX(dataICM!C:C,match(Caseslist!B900,dataICM!D:D,0)), "INC")</f>
        <v>2025-09-09T09:57:40.910+08</v>
      </c>
      <c r="L900" s="10" t="str">
        <f t="array" ref="L900">IF(AND(G900="COMPLETE", OR(K900="INC", ISBLANK(INDEX(data!O:O, ROW())))), J900, K900)</f>
        <v>2025-09-09T09:57:40.910+08</v>
      </c>
      <c r="M900" s="2">
        <v>45909.0</v>
      </c>
      <c r="N900" s="2">
        <f t="array" ref="N900">IF(M900&lt;&gt;"INC", INDEX(data!M:M, MATCH(B900, data!D:D, 0)), "")</f>
        <v>2</v>
      </c>
      <c r="O900" s="2">
        <f t="shared" si="3"/>
        <v>2</v>
      </c>
    </row>
    <row r="901">
      <c r="A901" s="2" t="str">
        <f t="shared" si="1"/>
        <v>H019591</v>
      </c>
      <c r="B901" s="1" t="s">
        <v>4912</v>
      </c>
      <c r="C901" s="9" t="str">
        <f t="array" ref="C901">IF(
  AND(
    IFERROR(MATCH(Caseslist!B901, data!D:D, 0), 0) &gt; 0,
    IFERROR(INDEX(data!N:N, MATCH(Caseslist!B901, data!D:D, 0)) = 1, FALSE)
  ),
  "COMPLETE",
  "INC"
)</f>
        <v>COMPLETE</v>
      </c>
      <c r="D901" s="9">
        <f t="array" ref="D901">IFERROR(INDEX(data!$G:$G,match(Caseslist!B901,data!$D:$D,0)), "INC")</f>
        <v>455939</v>
      </c>
      <c r="E901" s="9" t="str">
        <f t="array" ref="E901">IFERROR(INDEX(data!H:H,match(Caseslist!B901,data!D:D,0)), "INC")</f>
        <v>Mary Jean Villaflor_2</v>
      </c>
      <c r="F901" s="10" t="str">
        <f t="array" ref="F901">IF(
    OR(
      IFNA(INDEX(data!M:M, MATCH(Caseslist!B901, data!D:D, 0)), "") = "",
      IFNA(INDEX(data!M:M, MATCH(Caseslist!B901, data!D:D, 0)), 0) = 0
    ),
    "COMPLETE",
    IF(
      IFNA(INDEX(dataICM!D:D, MATCH(Caseslist!B901, dataICM!D:D, 0)), "INC") = "INC",
      IFNA(INDEX(dataICM!D:D, MATCH(Caseslist!B901, dataICM!D:D, 0)), "INC"),
      "COMPLETE"
    )
  )</f>
        <v>COMPLETE</v>
      </c>
      <c r="G901" s="10" t="str">
        <f t="array" ref="G901">IF(IFERROR(INDEX(data!L:L,match(Caseslist!B901,data!D:D,0)),"INC")="","COMPLETE",F901)</f>
        <v>COMPLETE</v>
      </c>
      <c r="H901" s="9" t="str">
        <f t="array" ref="H901">IFERROR(INDEX(dataICM!F:F,match(Caseslist!B901,dataICM!D:D,0)), "INC")</f>
        <v>Mary Jean Villaflor_2</v>
      </c>
      <c r="I901" s="10">
        <f t="shared" si="2"/>
        <v>455939</v>
      </c>
      <c r="J901" s="9" t="str">
        <f t="array" ref="J901">IF(
  AND(
    IFERROR(MATCH(B901, data!D:D, 0), 0) &gt; 0,
    IFERROR(INDEX(data!N:N, MATCH(B901, data!D:D, 0)) = 1, FALSE)
  ),
  INDEX(data!C:C, MATCH(B901, data!D:D, 0)),
  "INC"
)</f>
        <v>2025-09-09T11:16:35.264+08</v>
      </c>
      <c r="K901" s="9" t="str">
        <f t="array" ref="K901">IFERROR(INDEX(dataICM!C:C,match(Caseslist!B901,dataICM!D:D,0)), "INC")</f>
        <v>2025-09-09T11:20:05.495+08</v>
      </c>
      <c r="L901" s="10" t="str">
        <f t="array" ref="L901">IF(AND(G901="COMPLETE", OR(K901="INC", ISBLANK(INDEX(data!O:O, ROW())))), J901, K901)</f>
        <v>2025-09-09T11:20:05.495+08</v>
      </c>
      <c r="M901" s="2">
        <v>45909.0</v>
      </c>
      <c r="N901" s="2">
        <f t="array" ref="N901">IF(M901&lt;&gt;"INC", INDEX(data!M:M, MATCH(B901, data!D:D, 0)), "")</f>
        <v>2</v>
      </c>
      <c r="O901" s="2">
        <f t="shared" si="3"/>
        <v>2</v>
      </c>
    </row>
    <row r="902">
      <c r="A902" s="2" t="str">
        <f t="shared" si="1"/>
        <v>H019591</v>
      </c>
      <c r="B902" s="1" t="s">
        <v>4922</v>
      </c>
      <c r="C902" s="9" t="str">
        <f t="array" ref="C902">IF(
  AND(
    IFERROR(MATCH(Caseslist!B902, data!D:D, 0), 0) &gt; 0,
    IFERROR(INDEX(data!N:N, MATCH(Caseslist!B902, data!D:D, 0)) = 1, FALSE)
  ),
  "COMPLETE",
  "INC"
)</f>
        <v>COMPLETE</v>
      </c>
      <c r="D902" s="9">
        <f t="array" ref="D902">IFERROR(INDEX(data!$G:$G,match(Caseslist!B902,data!$D:$D,0)), "INC")</f>
        <v>455939</v>
      </c>
      <c r="E902" s="9" t="str">
        <f t="array" ref="E902">IFERROR(INDEX(data!H:H,match(Caseslist!B902,data!D:D,0)), "INC")</f>
        <v>Mary Jean Villaflor_2</v>
      </c>
      <c r="F902" s="10" t="str">
        <f t="array" ref="F902">IF(
    OR(
      IFNA(INDEX(data!M:M, MATCH(Caseslist!B902, data!D:D, 0)), "") = "",
      IFNA(INDEX(data!M:M, MATCH(Caseslist!B902, data!D:D, 0)), 0) = 0
    ),
    "COMPLETE",
    IF(
      IFNA(INDEX(dataICM!D:D, MATCH(Caseslist!B902, dataICM!D:D, 0)), "INC") = "INC",
      IFNA(INDEX(dataICM!D:D, MATCH(Caseslist!B902, dataICM!D:D, 0)), "INC"),
      "COMPLETE"
    )
  )</f>
        <v>COMPLETE</v>
      </c>
      <c r="G902" s="10" t="str">
        <f t="array" ref="G902">IF(IFERROR(INDEX(data!L:L,match(Caseslist!B902,data!D:D,0)),"INC")="","COMPLETE",F902)</f>
        <v>COMPLETE</v>
      </c>
      <c r="H902" s="9" t="str">
        <f t="array" ref="H902">IFERROR(INDEX(dataICM!F:F,match(Caseslist!B902,dataICM!D:D,0)), "INC")</f>
        <v>Mary Jean Villaflor_2</v>
      </c>
      <c r="I902" s="10">
        <f t="shared" si="2"/>
        <v>455939</v>
      </c>
      <c r="J902" s="9" t="str">
        <f t="array" ref="J902">IF(
  AND(
    IFERROR(MATCH(B902, data!D:D, 0), 0) &gt; 0,
    IFERROR(INDEX(data!N:N, MATCH(B902, data!D:D, 0)) = 1, FALSE)
  ),
  INDEX(data!C:C, MATCH(B902, data!D:D, 0)),
  "INC"
)</f>
        <v>2025-09-09T14:19:44.571+08</v>
      </c>
      <c r="K902" s="9" t="str">
        <f t="array" ref="K902">IFERROR(INDEX(dataICM!C:C,match(Caseslist!B902,dataICM!D:D,0)), "INC")</f>
        <v>2025-09-09T14:23:47.432+08</v>
      </c>
      <c r="L902" s="10" t="str">
        <f t="array" ref="L902">IF(AND(G902="COMPLETE", OR(K902="INC", ISBLANK(INDEX(data!O:O, ROW())))), J902, K902)</f>
        <v>2025-09-09T14:23:47.432+08</v>
      </c>
      <c r="M902" s="2">
        <v>45909.0</v>
      </c>
      <c r="N902" s="2">
        <f t="array" ref="N902">IF(M902&lt;&gt;"INC", INDEX(data!M:M, MATCH(B902, data!D:D, 0)), "")</f>
        <v>2</v>
      </c>
      <c r="O902" s="2">
        <f t="shared" si="3"/>
        <v>2</v>
      </c>
    </row>
    <row r="903">
      <c r="A903" s="2" t="str">
        <f t="shared" si="1"/>
        <v>H019591</v>
      </c>
      <c r="B903" s="1" t="s">
        <v>4892</v>
      </c>
      <c r="C903" s="9" t="str">
        <f t="array" ref="C903">IF(
  AND(
    IFERROR(MATCH(Caseslist!B903, data!D:D, 0), 0) &gt; 0,
    IFERROR(INDEX(data!N:N, MATCH(Caseslist!B903, data!D:D, 0)) = 1, FALSE)
  ),
  "COMPLETE",
  "INC"
)</f>
        <v>COMPLETE</v>
      </c>
      <c r="D903" s="9">
        <f t="array" ref="D903">IFERROR(INDEX(data!$G:$G,match(Caseslist!B903,data!$D:$D,0)), "INC")</f>
        <v>555127</v>
      </c>
      <c r="E903" s="9" t="str">
        <f t="array" ref="E903">IFERROR(INDEX(data!H:H,match(Caseslist!B903,data!D:D,0)), "INC")</f>
        <v>Mary May_2</v>
      </c>
      <c r="F903" s="10" t="str">
        <f t="array" ref="F903">IF(
    OR(
      IFNA(INDEX(data!M:M, MATCH(Caseslist!B903, data!D:D, 0)), "") = "",
      IFNA(INDEX(data!M:M, MATCH(Caseslist!B903, data!D:D, 0)), 0) = 0
    ),
    "COMPLETE",
    IF(
      IFNA(INDEX(dataICM!D:D, MATCH(Caseslist!B903, dataICM!D:D, 0)), "INC") = "INC",
      IFNA(INDEX(dataICM!D:D, MATCH(Caseslist!B903, dataICM!D:D, 0)), "INC"),
      "COMPLETE"
    )
  )</f>
        <v>COMPLETE</v>
      </c>
      <c r="G903" s="10" t="str">
        <f t="array" ref="G903">IF(IFERROR(INDEX(data!L:L,match(Caseslist!B903,data!D:D,0)),"INC")="","COMPLETE",F903)</f>
        <v>COMPLETE</v>
      </c>
      <c r="H903" s="9" t="str">
        <f t="array" ref="H903">IFERROR(INDEX(dataICM!F:F,match(Caseslist!B903,dataICM!D:D,0)), "INC")</f>
        <v>Mary May_2</v>
      </c>
      <c r="I903" s="10">
        <f t="shared" si="2"/>
        <v>555127</v>
      </c>
      <c r="J903" s="9" t="str">
        <f t="array" ref="J903">IF(
  AND(
    IFERROR(MATCH(B903, data!D:D, 0), 0) &gt; 0,
    IFERROR(INDEX(data!N:N, MATCH(B903, data!D:D, 0)) = 1, FALSE)
  ),
  INDEX(data!C:C, MATCH(B903, data!D:D, 0)),
  "INC"
)</f>
        <v>2025-09-09T10:16:38.429+08</v>
      </c>
      <c r="K903" s="9" t="str">
        <f t="array" ref="K903">IFERROR(INDEX(dataICM!C:C,match(Caseslist!B903,dataICM!D:D,0)), "INC")</f>
        <v>2025-09-09T10:20:40.894+08</v>
      </c>
      <c r="L903" s="10" t="str">
        <f t="array" ref="L903">IF(AND(G903="COMPLETE", OR(K903="INC", ISBLANK(INDEX(data!O:O, ROW())))), J903, K903)</f>
        <v>2025-09-09T10:20:40.894+08</v>
      </c>
      <c r="M903" s="2">
        <v>45909.0</v>
      </c>
      <c r="N903" s="2">
        <f t="array" ref="N903">IF(M903&lt;&gt;"INC", INDEX(data!M:M, MATCH(B903, data!D:D, 0)), "")</f>
        <v>2</v>
      </c>
      <c r="O903" s="2">
        <f t="shared" si="3"/>
        <v>2</v>
      </c>
    </row>
    <row r="904">
      <c r="A904" s="2" t="str">
        <f t="shared" si="1"/>
        <v>H019611</v>
      </c>
      <c r="B904" s="1" t="s">
        <v>8838</v>
      </c>
      <c r="C904" s="9" t="str">
        <f t="array" ref="C904">IF(
  AND(
    IFERROR(MATCH(Caseslist!B904, data!D:D, 0), 0) &gt; 0,
    IFERROR(INDEX(data!N:N, MATCH(Caseslist!B904, data!D:D, 0)) = 1, FALSE)
  ),
  "COMPLETE",
  "INC"
)</f>
        <v>COMPLETE</v>
      </c>
      <c r="D904" s="9" t="str">
        <f t="array" ref="D904">IFERROR(INDEX(data!$G:$G,match(Caseslist!B904,data!$D:$D,0)), "INC")</f>
        <v>S2671943</v>
      </c>
      <c r="E904" s="9" t="str">
        <f t="array" ref="E904">IFERROR(INDEX(data!H:H,match(Caseslist!B904,data!D:D,0)), "INC")</f>
        <v>Marvin Mondia</v>
      </c>
      <c r="F904" s="10" t="str">
        <f t="array" ref="F904">IF(
    OR(
      IFNA(INDEX(data!M:M, MATCH(Caseslist!B904, data!D:D, 0)), "") = "",
      IFNA(INDEX(data!M:M, MATCH(Caseslist!B904, data!D:D, 0)), 0) = 0
    ),
    "COMPLETE",
    IF(
      IFNA(INDEX(dataICM!D:D, MATCH(Caseslist!B904, dataICM!D:D, 0)), "INC") = "INC",
      IFNA(INDEX(dataICM!D:D, MATCH(Caseslist!B904, dataICM!D:D, 0)), "INC"),
      "COMPLETE"
    )
  )</f>
        <v>COMPLETE</v>
      </c>
      <c r="G904" s="10" t="str">
        <f t="array" ref="G904">IF(IFERROR(INDEX(data!L:L,match(Caseslist!B904,data!D:D,0)),"INC")="","COMPLETE",F904)</f>
        <v>COMPLETE</v>
      </c>
      <c r="H904" s="9" t="str">
        <f t="array" ref="H904">IFERROR(INDEX(dataICM!F:F,match(Caseslist!B904,dataICM!D:D,0)), "INC")</f>
        <v>Marvin Mondia</v>
      </c>
      <c r="I904" s="10" t="str">
        <f t="shared" si="2"/>
        <v>S2671943</v>
      </c>
      <c r="J904" s="9" t="str">
        <f t="array" ref="J904">IF(
  AND(
    IFERROR(MATCH(B904, data!D:D, 0), 0) &gt; 0,
    IFERROR(INDEX(data!N:N, MATCH(B904, data!D:D, 0)) = 1, FALSE)
  ),
  INDEX(data!C:C, MATCH(B904, data!D:D, 0)),
  "INC"
)</f>
        <v>2025-10-01T11:40:17.400+08</v>
      </c>
      <c r="K904" s="9" t="str">
        <f t="array" ref="K904">IFERROR(INDEX(dataICM!C:C,match(Caseslist!B904,dataICM!D:D,0)), "INC")</f>
        <v>2025-10-01T11:47:11.888+08</v>
      </c>
      <c r="L904" s="10" t="str">
        <f t="array" ref="L904">IF(AND(G904="COMPLETE", OR(K904="INC", ISBLANK(INDEX(data!O:O, ROW())))), J904, K904)</f>
        <v>2025-10-01T11:47:11.888+08</v>
      </c>
      <c r="M904" s="2">
        <v>45931.0</v>
      </c>
      <c r="N904" s="2">
        <f t="array" ref="N904">IF(M904&lt;&gt;"INC", INDEX(data!M:M, MATCH(B904, data!D:D, 0)), "")</f>
        <v>2</v>
      </c>
      <c r="O904" s="2">
        <f t="shared" si="3"/>
        <v>2</v>
      </c>
    </row>
    <row r="905">
      <c r="A905" s="2" t="str">
        <f t="shared" si="1"/>
        <v>H019611</v>
      </c>
      <c r="B905" s="1" t="s">
        <v>4062</v>
      </c>
      <c r="C905" s="9" t="str">
        <f t="array" ref="C905">IF(
  AND(
    IFERROR(MATCH(Caseslist!B905, data!D:D, 0), 0) &gt; 0,
    IFERROR(INDEX(data!N:N, MATCH(Caseslist!B905, data!D:D, 0)) = 1, FALSE)
  ),
  "COMPLETE",
  "INC"
)</f>
        <v>COMPLETE</v>
      </c>
      <c r="D905" s="9">
        <f t="array" ref="D905">IFERROR(INDEX(data!$G:$G,match(Caseslist!B905,data!$D:$D,0)), "INC")</f>
        <v>859767</v>
      </c>
      <c r="E905" s="9" t="str">
        <f t="array" ref="E905">IFERROR(INDEX(data!H:H,match(Caseslist!B905,data!D:D,0)), "INC")</f>
        <v>Ramie De Pedro Jr._2</v>
      </c>
      <c r="F905" s="10" t="str">
        <f t="array" ref="F905">IF(
    OR(
      IFNA(INDEX(data!M:M, MATCH(Caseslist!B905, data!D:D, 0)), "") = "",
      IFNA(INDEX(data!M:M, MATCH(Caseslist!B905, data!D:D, 0)), 0) = 0
    ),
    "COMPLETE",
    IF(
      IFNA(INDEX(dataICM!D:D, MATCH(Caseslist!B905, dataICM!D:D, 0)), "INC") = "INC",
      IFNA(INDEX(dataICM!D:D, MATCH(Caseslist!B905, dataICM!D:D, 0)), "INC"),
      "COMPLETE"
    )
  )</f>
        <v>COMPLETE</v>
      </c>
      <c r="G905" s="10" t="str">
        <f t="array" ref="G905">IF(IFERROR(INDEX(data!L:L,match(Caseslist!B905,data!D:D,0)),"INC")="","COMPLETE",F905)</f>
        <v>COMPLETE</v>
      </c>
      <c r="H905" s="9" t="str">
        <f t="array" ref="H905">IFERROR(INDEX(dataICM!F:F,match(Caseslist!B905,dataICM!D:D,0)), "INC")</f>
        <v>Ramie De Pedro Jr._2</v>
      </c>
      <c r="I905" s="10">
        <f t="shared" si="2"/>
        <v>859767</v>
      </c>
      <c r="J905" s="9" t="str">
        <f t="array" ref="J905">IF(
  AND(
    IFERROR(MATCH(B905, data!D:D, 0), 0) &gt; 0,
    IFERROR(INDEX(data!N:N, MATCH(B905, data!D:D, 0)) = 1, FALSE)
  ),
  INDEX(data!C:C, MATCH(B905, data!D:D, 0)),
  "INC"
)</f>
        <v>2025-09-05T14:21:43.649+08</v>
      </c>
      <c r="K905" s="9" t="str">
        <f t="array" ref="K905">IFERROR(INDEX(dataICM!C:C,match(Caseslist!B905,dataICM!D:D,0)), "INC")</f>
        <v>2025-09-05T14:32:54.201+08</v>
      </c>
      <c r="L905" s="10" t="str">
        <f t="array" ref="L905">IF(AND(G905="COMPLETE", OR(K905="INC", ISBLANK(INDEX(data!O:O, ROW())))), J905, K905)</f>
        <v>2025-09-05T14:32:54.201+08</v>
      </c>
      <c r="M905" s="2">
        <v>45905.0</v>
      </c>
      <c r="N905" s="2">
        <f t="array" ref="N905">IF(M905&lt;&gt;"INC", INDEX(data!M:M, MATCH(B905, data!D:D, 0)), "")</f>
        <v>2</v>
      </c>
      <c r="O905" s="2">
        <f t="shared" si="3"/>
        <v>2</v>
      </c>
    </row>
    <row r="906">
      <c r="A906" s="2" t="str">
        <f t="shared" si="1"/>
        <v>H019611</v>
      </c>
      <c r="B906" s="1" t="s">
        <v>4087</v>
      </c>
      <c r="C906" s="9" t="str">
        <f t="array" ref="C906">IF(
  AND(
    IFERROR(MATCH(Caseslist!B906, data!D:D, 0), 0) &gt; 0,
    IFERROR(INDEX(data!N:N, MATCH(Caseslist!B906, data!D:D, 0)) = 1, FALSE)
  ),
  "COMPLETE",
  "INC"
)</f>
        <v>COMPLETE</v>
      </c>
      <c r="D906" s="9" t="str">
        <f t="array" ref="D906">IFERROR(INDEX(data!$G:$G,match(Caseslist!B906,data!$D:$D,0)), "INC")</f>
        <v>S2671943</v>
      </c>
      <c r="E906" s="9" t="str">
        <f t="array" ref="E906">IFERROR(INDEX(data!H:H,match(Caseslist!B906,data!D:D,0)), "INC")</f>
        <v>Marvin Mondia</v>
      </c>
      <c r="F906" s="10" t="str">
        <f t="array" ref="F906">IF(
    OR(
      IFNA(INDEX(data!M:M, MATCH(Caseslist!B906, data!D:D, 0)), "") = "",
      IFNA(INDEX(data!M:M, MATCH(Caseslist!B906, data!D:D, 0)), 0) = 0
    ),
    "COMPLETE",
    IF(
      IFNA(INDEX(dataICM!D:D, MATCH(Caseslist!B906, dataICM!D:D, 0)), "INC") = "INC",
      IFNA(INDEX(dataICM!D:D, MATCH(Caseslist!B906, dataICM!D:D, 0)), "INC"),
      "COMPLETE"
    )
  )</f>
        <v>COMPLETE</v>
      </c>
      <c r="G906" s="10" t="str">
        <f t="array" ref="G906">IF(IFERROR(INDEX(data!L:L,match(Caseslist!B906,data!D:D,0)),"INC")="","COMPLETE",F906)</f>
        <v>COMPLETE</v>
      </c>
      <c r="H906" s="9" t="str">
        <f t="array" ref="H906">IFERROR(INDEX(dataICM!F:F,match(Caseslist!B906,dataICM!D:D,0)), "INC")</f>
        <v>Marvin Mondia</v>
      </c>
      <c r="I906" s="10" t="str">
        <f t="shared" si="2"/>
        <v>S2671943</v>
      </c>
      <c r="J906" s="9" t="str">
        <f t="array" ref="J906">IF(
  AND(
    IFERROR(MATCH(B906, data!D:D, 0), 0) &gt; 0,
    IFERROR(INDEX(data!N:N, MATCH(B906, data!D:D, 0)) = 1, FALSE)
  ),
  INDEX(data!C:C, MATCH(B906, data!D:D, 0)),
  "INC"
)</f>
        <v>2025-09-05T10:53:49.660+08</v>
      </c>
      <c r="K906" s="9" t="str">
        <f t="array" ref="K906">IFERROR(INDEX(dataICM!C:C,match(Caseslist!B906,dataICM!D:D,0)), "INC")</f>
        <v>2025-09-05T11:01:09.890+08</v>
      </c>
      <c r="L906" s="10" t="str">
        <f t="array" ref="L906">IF(AND(G906="COMPLETE", OR(K906="INC", ISBLANK(INDEX(data!O:O, ROW())))), J906, K906)</f>
        <v>2025-09-05T11:01:09.890+08</v>
      </c>
      <c r="M906" s="2">
        <v>45905.0</v>
      </c>
      <c r="N906" s="2">
        <f t="array" ref="N906">IF(M906&lt;&gt;"INC", INDEX(data!M:M, MATCH(B906, data!D:D, 0)), "")</f>
        <v>2</v>
      </c>
      <c r="O906" s="2">
        <f t="shared" si="3"/>
        <v>2</v>
      </c>
    </row>
    <row r="907">
      <c r="A907" s="2" t="str">
        <f t="shared" si="1"/>
        <v>H019611</v>
      </c>
      <c r="B907" s="1" t="s">
        <v>4047</v>
      </c>
      <c r="C907" s="9" t="str">
        <f t="array" ref="C907">IF(
  AND(
    IFERROR(MATCH(Caseslist!B907, data!D:D, 0), 0) &gt; 0,
    IFERROR(INDEX(data!N:N, MATCH(Caseslist!B907, data!D:D, 0)) = 1, FALSE)
  ),
  "COMPLETE",
  "INC"
)</f>
        <v>COMPLETE</v>
      </c>
      <c r="D907" s="9">
        <f t="array" ref="D907">IFERROR(INDEX(data!$G:$G,match(Caseslist!B907,data!$D:$D,0)), "INC")</f>
        <v>859767</v>
      </c>
      <c r="E907" s="9" t="str">
        <f t="array" ref="E907">IFERROR(INDEX(data!H:H,match(Caseslist!B907,data!D:D,0)), "INC")</f>
        <v>Ramie De Pedro Jr._2</v>
      </c>
      <c r="F907" s="10" t="str">
        <f t="array" ref="F907">IF(
    OR(
      IFNA(INDEX(data!M:M, MATCH(Caseslist!B907, data!D:D, 0)), "") = "",
      IFNA(INDEX(data!M:M, MATCH(Caseslist!B907, data!D:D, 0)), 0) = 0
    ),
    "COMPLETE",
    IF(
      IFNA(INDEX(dataICM!D:D, MATCH(Caseslist!B907, dataICM!D:D, 0)), "INC") = "INC",
      IFNA(INDEX(dataICM!D:D, MATCH(Caseslist!B907, dataICM!D:D, 0)), "INC"),
      "COMPLETE"
    )
  )</f>
        <v>INC</v>
      </c>
      <c r="G907" s="10" t="str">
        <f t="array" ref="G907">IF(IFERROR(INDEX(data!L:L,match(Caseslist!B907,data!D:D,0)),"INC")="","COMPLETE",F907)</f>
        <v>INC</v>
      </c>
      <c r="H907" s="9" t="str">
        <f t="array" ref="H907">IFERROR(INDEX(dataICM!F:F,match(Caseslist!B907,dataICM!D:D,0)), "INC")</f>
        <v>INC</v>
      </c>
      <c r="I907" s="10" t="str">
        <f t="shared" si="2"/>
        <v>INC</v>
      </c>
      <c r="J907" s="9" t="str">
        <f t="array" ref="J907">IF(
  AND(
    IFERROR(MATCH(B907, data!D:D, 0), 0) &gt; 0,
    IFERROR(INDEX(data!N:N, MATCH(B907, data!D:D, 0)) = 1, FALSE)
  ),
  INDEX(data!C:C, MATCH(B907, data!D:D, 0)),
  "INC"
)</f>
        <v>2025-10-01T14:45:59.432+08</v>
      </c>
      <c r="K907" s="9" t="str">
        <f t="array" ref="K907">IFERROR(INDEX(dataICM!C:C,match(Caseslist!B907,dataICM!D:D,0)), "INC")</f>
        <v>INC</v>
      </c>
      <c r="L907" s="10" t="str">
        <f t="array" ref="L907">IF(AND(G907="COMPLETE", OR(K907="INC", ISBLANK(INDEX(data!O:O, ROW())))), J907, K907)</f>
        <v>INC</v>
      </c>
      <c r="M907" s="2" t="s">
        <v>8886</v>
      </c>
      <c r="N907" s="2" t="str">
        <f t="array" ref="N907">IF(M907&lt;&gt;"INC", INDEX(data!M:M, MATCH(B907, data!D:D, 0)), "")</f>
        <v/>
      </c>
      <c r="O907" s="2" t="str">
        <f t="shared" si="3"/>
        <v/>
      </c>
    </row>
    <row r="908">
      <c r="A908" s="2" t="str">
        <f t="shared" si="1"/>
        <v>H019611</v>
      </c>
      <c r="B908" s="1" t="s">
        <v>4092</v>
      </c>
      <c r="C908" s="9" t="str">
        <f t="array" ref="C908">IF(
  AND(
    IFERROR(MATCH(Caseslist!B908, data!D:D, 0), 0) &gt; 0,
    IFERROR(INDEX(data!N:N, MATCH(Caseslist!B908, data!D:D, 0)) = 1, FALSE)
  ),
  "COMPLETE",
  "INC"
)</f>
        <v>COMPLETE</v>
      </c>
      <c r="D908" s="9" t="str">
        <f t="array" ref="D908">IFERROR(INDEX(data!$G:$G,match(Caseslist!B908,data!$D:$D,0)), "INC")</f>
        <v>S2671943</v>
      </c>
      <c r="E908" s="9" t="str">
        <f t="array" ref="E908">IFERROR(INDEX(data!H:H,match(Caseslist!B908,data!D:D,0)), "INC")</f>
        <v>Marvin Mondia</v>
      </c>
      <c r="F908" s="10" t="str">
        <f t="array" ref="F908">IF(
    OR(
      IFNA(INDEX(data!M:M, MATCH(Caseslist!B908, data!D:D, 0)), "") = "",
      IFNA(INDEX(data!M:M, MATCH(Caseslist!B908, data!D:D, 0)), 0) = 0
    ),
    "COMPLETE",
    IF(
      IFNA(INDEX(dataICM!D:D, MATCH(Caseslist!B908, dataICM!D:D, 0)), "INC") = "INC",
      IFNA(INDEX(dataICM!D:D, MATCH(Caseslist!B908, dataICM!D:D, 0)), "INC"),
      "COMPLETE"
    )
  )</f>
        <v>COMPLETE</v>
      </c>
      <c r="G908" s="10" t="str">
        <f t="array" ref="G908">IF(IFERROR(INDEX(data!L:L,match(Caseslist!B908,data!D:D,0)),"INC")="","COMPLETE",F908)</f>
        <v>COMPLETE</v>
      </c>
      <c r="H908" s="9" t="str">
        <f t="array" ref="H908">IFERROR(INDEX(dataICM!F:F,match(Caseslist!B908,dataICM!D:D,0)), "INC")</f>
        <v>Marvin Mondia</v>
      </c>
      <c r="I908" s="10" t="str">
        <f t="shared" si="2"/>
        <v>S2671943</v>
      </c>
      <c r="J908" s="9" t="str">
        <f t="array" ref="J908">IF(
  AND(
    IFERROR(MATCH(B908, data!D:D, 0), 0) &gt; 0,
    IFERROR(INDEX(data!N:N, MATCH(B908, data!D:D, 0)) = 1, FALSE)
  ),
  INDEX(data!C:C, MATCH(B908, data!D:D, 0)),
  "INC"
)</f>
        <v>2025-09-05T13:28:12.052+08</v>
      </c>
      <c r="K908" s="9" t="str">
        <f t="array" ref="K908">IFERROR(INDEX(dataICM!C:C,match(Caseslist!B908,dataICM!D:D,0)), "INC")</f>
        <v>2025-09-05T21:29:43.272+08</v>
      </c>
      <c r="L908" s="10" t="str">
        <f t="array" ref="L908">IF(AND(G908="COMPLETE", OR(K908="INC", ISBLANK(INDEX(data!O:O, ROW())))), J908, K908)</f>
        <v>2025-09-05T21:29:43.272+08</v>
      </c>
      <c r="M908" s="2">
        <v>45905.0</v>
      </c>
      <c r="N908" s="2">
        <f t="array" ref="N908">IF(M908&lt;&gt;"INC", INDEX(data!M:M, MATCH(B908, data!D:D, 0)), "")</f>
        <v>2</v>
      </c>
      <c r="O908" s="2">
        <f t="shared" si="3"/>
        <v>2</v>
      </c>
    </row>
    <row r="909">
      <c r="A909" s="2" t="str">
        <f t="shared" si="1"/>
        <v>H019611</v>
      </c>
      <c r="B909" s="1" t="s">
        <v>4142</v>
      </c>
      <c r="C909" s="9" t="str">
        <f t="array" ref="C909">IF(
  AND(
    IFERROR(MATCH(Caseslist!B909, data!D:D, 0), 0) &gt; 0,
    IFERROR(INDEX(data!N:N, MATCH(Caseslist!B909, data!D:D, 0)) = 1, FALSE)
  ),
  "COMPLETE",
  "INC"
)</f>
        <v>COMPLETE</v>
      </c>
      <c r="D909" s="9" t="str">
        <f t="array" ref="D909">IFERROR(INDEX(data!$G:$G,match(Caseslist!B909,data!$D:$D,0)), "INC")</f>
        <v>S2671943</v>
      </c>
      <c r="E909" s="9" t="str">
        <f t="array" ref="E909">IFERROR(INDEX(data!H:H,match(Caseslist!B909,data!D:D,0)), "INC")</f>
        <v>Marvin Mondia</v>
      </c>
      <c r="F909" s="10" t="str">
        <f t="array" ref="F909">IF(
    OR(
      IFNA(INDEX(data!M:M, MATCH(Caseslist!B909, data!D:D, 0)), "") = "",
      IFNA(INDEX(data!M:M, MATCH(Caseslist!B909, data!D:D, 0)), 0) = 0
    ),
    "COMPLETE",
    IF(
      IFNA(INDEX(dataICM!D:D, MATCH(Caseslist!B909, dataICM!D:D, 0)), "INC") = "INC",
      IFNA(INDEX(dataICM!D:D, MATCH(Caseslist!B909, dataICM!D:D, 0)), "INC"),
      "COMPLETE"
    )
  )</f>
        <v>COMPLETE</v>
      </c>
      <c r="G909" s="10" t="str">
        <f t="array" ref="G909">IF(IFERROR(INDEX(data!L:L,match(Caseslist!B909,data!D:D,0)),"INC")="","COMPLETE",F909)</f>
        <v>COMPLETE</v>
      </c>
      <c r="H909" s="9" t="str">
        <f t="array" ref="H909">IFERROR(INDEX(dataICM!F:F,match(Caseslist!B909,dataICM!D:D,0)), "INC")</f>
        <v>Marvin Mondia</v>
      </c>
      <c r="I909" s="10" t="str">
        <f t="shared" si="2"/>
        <v>S2671943</v>
      </c>
      <c r="J909" s="9" t="str">
        <f t="array" ref="J909">IF(
  AND(
    IFERROR(MATCH(B909, data!D:D, 0), 0) &gt; 0,
    IFERROR(INDEX(data!N:N, MATCH(B909, data!D:D, 0)) = 1, FALSE)
  ),
  INDEX(data!C:C, MATCH(B909, data!D:D, 0)),
  "INC"
)</f>
        <v>2025-09-06T14:26:57.823+08</v>
      </c>
      <c r="K909" s="9" t="str">
        <f t="array" ref="K909">IFERROR(INDEX(dataICM!C:C,match(Caseslist!B909,dataICM!D:D,0)), "INC")</f>
        <v>2025-10-01T16:46:01.730+08</v>
      </c>
      <c r="L909" s="10" t="str">
        <f t="array" ref="L909">IF(AND(G909="COMPLETE", OR(K909="INC", ISBLANK(INDEX(data!O:O, ROW())))), J909, K909)</f>
        <v>2025-10-01T16:46:01.730+08</v>
      </c>
      <c r="M909" s="2">
        <v>45931.0</v>
      </c>
      <c r="N909" s="2">
        <f t="array" ref="N909">IF(M909&lt;&gt;"INC", INDEX(data!M:M, MATCH(B909, data!D:D, 0)), "")</f>
        <v>2</v>
      </c>
      <c r="O909" s="2">
        <f t="shared" si="3"/>
        <v>2</v>
      </c>
    </row>
    <row r="910">
      <c r="A910" s="2" t="str">
        <f t="shared" si="1"/>
        <v>H019611</v>
      </c>
      <c r="B910" s="1" t="s">
        <v>8808</v>
      </c>
      <c r="C910" s="9" t="str">
        <f t="array" ref="C910">IF(
  AND(
    IFERROR(MATCH(Caseslist!B910, data!D:D, 0), 0) &gt; 0,
    IFERROR(INDEX(data!N:N, MATCH(Caseslist!B910, data!D:D, 0)) = 1, FALSE)
  ),
  "COMPLETE",
  "INC"
)</f>
        <v>COMPLETE</v>
      </c>
      <c r="D910" s="9">
        <f t="array" ref="D910">IFERROR(INDEX(data!$G:$G,match(Caseslist!B910,data!$D:$D,0)), "INC")</f>
        <v>859767</v>
      </c>
      <c r="E910" s="9" t="str">
        <f t="array" ref="E910">IFERROR(INDEX(data!H:H,match(Caseslist!B910,data!D:D,0)), "INC")</f>
        <v>Ramie De Pedro Jr._2</v>
      </c>
      <c r="F910" s="10" t="str">
        <f t="array" ref="F910">IF(
    OR(
      IFNA(INDEX(data!M:M, MATCH(Caseslist!B910, data!D:D, 0)), "") = "",
      IFNA(INDEX(data!M:M, MATCH(Caseslist!B910, data!D:D, 0)), 0) = 0
    ),
    "COMPLETE",
    IF(
      IFNA(INDEX(dataICM!D:D, MATCH(Caseslist!B910, dataICM!D:D, 0)), "INC") = "INC",
      IFNA(INDEX(dataICM!D:D, MATCH(Caseslist!B910, dataICM!D:D, 0)), "INC"),
      "COMPLETE"
    )
  )</f>
        <v>COMPLETE</v>
      </c>
      <c r="G910" s="10" t="str">
        <f t="array" ref="G910">IF(IFERROR(INDEX(data!L:L,match(Caseslist!B910,data!D:D,0)),"INC")="","COMPLETE",F910)</f>
        <v>COMPLETE</v>
      </c>
      <c r="H910" s="9" t="str">
        <f t="array" ref="H910">IFERROR(INDEX(dataICM!F:F,match(Caseslist!B910,dataICM!D:D,0)), "INC")</f>
        <v>Ramie De Pedro Jr._2</v>
      </c>
      <c r="I910" s="10">
        <f t="shared" si="2"/>
        <v>859767</v>
      </c>
      <c r="J910" s="9" t="str">
        <f t="array" ref="J910">IF(
  AND(
    IFERROR(MATCH(B910, data!D:D, 0), 0) &gt; 0,
    IFERROR(INDEX(data!N:N, MATCH(B910, data!D:D, 0)) = 1, FALSE)
  ),
  INDEX(data!C:C, MATCH(B910, data!D:D, 0)),
  "INC"
)</f>
        <v>2025-10-01T17:38:18.792+08</v>
      </c>
      <c r="K910" s="9" t="str">
        <f t="array" ref="K910">IFERROR(INDEX(dataICM!C:C,match(Caseslist!B910,dataICM!D:D,0)), "INC")</f>
        <v>2025-10-01T17:44:40.337+08</v>
      </c>
      <c r="L910" s="10" t="str">
        <f t="array" ref="L910">IF(AND(G910="COMPLETE", OR(K910="INC", ISBLANK(INDEX(data!O:O, ROW())))), J910, K910)</f>
        <v>2025-10-01T17:44:40.337+08</v>
      </c>
      <c r="M910" s="2">
        <v>45931.0</v>
      </c>
      <c r="N910" s="2">
        <f t="array" ref="N910">IF(M910&lt;&gt;"INC", INDEX(data!M:M, MATCH(B910, data!D:D, 0)), "")</f>
        <v>2</v>
      </c>
      <c r="O910" s="2">
        <f t="shared" si="3"/>
        <v>2</v>
      </c>
    </row>
    <row r="911">
      <c r="A911" s="2" t="str">
        <f t="shared" si="1"/>
        <v>H019611</v>
      </c>
      <c r="B911" s="1" t="s">
        <v>4077</v>
      </c>
      <c r="C911" s="9" t="str">
        <f t="array" ref="C911">IF(
  AND(
    IFERROR(MATCH(Caseslist!B911, data!D:D, 0), 0) &gt; 0,
    IFERROR(INDEX(data!N:N, MATCH(Caseslist!B911, data!D:D, 0)) = 1, FALSE)
  ),
  "COMPLETE",
  "INC"
)</f>
        <v>COMPLETE</v>
      </c>
      <c r="D911" s="9">
        <f t="array" ref="D911">IFERROR(INDEX(data!$G:$G,match(Caseslist!B911,data!$D:$D,0)), "INC")</f>
        <v>729375</v>
      </c>
      <c r="E911" s="9" t="str">
        <f t="array" ref="E911">IFERROR(INDEX(data!H:H,match(Caseslist!B911,data!D:D,0)), "INC")</f>
        <v>Janet Serafica_2</v>
      </c>
      <c r="F911" s="10" t="str">
        <f t="array" ref="F911">IF(
    OR(
      IFNA(INDEX(data!M:M, MATCH(Caseslist!B911, data!D:D, 0)), "") = "",
      IFNA(INDEX(data!M:M, MATCH(Caseslist!B911, data!D:D, 0)), 0) = 0
    ),
    "COMPLETE",
    IF(
      IFNA(INDEX(dataICM!D:D, MATCH(Caseslist!B911, dataICM!D:D, 0)), "INC") = "INC",
      IFNA(INDEX(dataICM!D:D, MATCH(Caseslist!B911, dataICM!D:D, 0)), "INC"),
      "COMPLETE"
    )
  )</f>
        <v>COMPLETE</v>
      </c>
      <c r="G911" s="10" t="str">
        <f t="array" ref="G911">IF(IFERROR(INDEX(data!L:L,match(Caseslist!B911,data!D:D,0)),"INC")="","COMPLETE",F911)</f>
        <v>COMPLETE</v>
      </c>
      <c r="H911" s="9" t="str">
        <f t="array" ref="H911">IFERROR(INDEX(dataICM!F:F,match(Caseslist!B911,dataICM!D:D,0)), "INC")</f>
        <v>Janet Serafica_2</v>
      </c>
      <c r="I911" s="10">
        <f t="shared" si="2"/>
        <v>729375</v>
      </c>
      <c r="J911" s="9" t="str">
        <f t="array" ref="J911">IF(
  AND(
    IFERROR(MATCH(B911, data!D:D, 0), 0) &gt; 0,
    IFERROR(INDEX(data!N:N, MATCH(B911, data!D:D, 0)) = 1, FALSE)
  ),
  INDEX(data!C:C, MATCH(B911, data!D:D, 0)),
  "INC"
)</f>
        <v>2025-09-05T15:02:35.239+08</v>
      </c>
      <c r="K911" s="9" t="str">
        <f t="array" ref="K911">IFERROR(INDEX(dataICM!C:C,match(Caseslist!B911,dataICM!D:D,0)), "INC")</f>
        <v>2025-09-05T15:08:33.096+08</v>
      </c>
      <c r="L911" s="10" t="str">
        <f t="array" ref="L911">IF(AND(G911="COMPLETE", OR(K911="INC", ISBLANK(INDEX(data!O:O, ROW())))), J911, K911)</f>
        <v>2025-09-05T15:08:33.096+08</v>
      </c>
      <c r="M911" s="2">
        <v>45905.0</v>
      </c>
      <c r="N911" s="2">
        <f t="array" ref="N911">IF(M911&lt;&gt;"INC", INDEX(data!M:M, MATCH(B911, data!D:D, 0)), "")</f>
        <v>2</v>
      </c>
      <c r="O911" s="2">
        <f t="shared" si="3"/>
        <v>2</v>
      </c>
    </row>
    <row r="912">
      <c r="A912" s="2" t="str">
        <f t="shared" si="1"/>
        <v>H019611</v>
      </c>
      <c r="B912" s="1" t="s">
        <v>4072</v>
      </c>
      <c r="C912" s="9" t="str">
        <f t="array" ref="C912">IF(
  AND(
    IFERROR(MATCH(Caseslist!B912, data!D:D, 0), 0) &gt; 0,
    IFERROR(INDEX(data!N:N, MATCH(Caseslist!B912, data!D:D, 0)) = 1, FALSE)
  ),
  "COMPLETE",
  "INC"
)</f>
        <v>COMPLETE</v>
      </c>
      <c r="D912" s="9">
        <f t="array" ref="D912">IFERROR(INDEX(data!$G:$G,match(Caseslist!B912,data!$D:$D,0)), "INC")</f>
        <v>729375</v>
      </c>
      <c r="E912" s="9" t="str">
        <f t="array" ref="E912">IFERROR(INDEX(data!H:H,match(Caseslist!B912,data!D:D,0)), "INC")</f>
        <v>Janet Serafica_2</v>
      </c>
      <c r="F912" s="10" t="str">
        <f t="array" ref="F912">IF(
    OR(
      IFNA(INDEX(data!M:M, MATCH(Caseslist!B912, data!D:D, 0)), "") = "",
      IFNA(INDEX(data!M:M, MATCH(Caseslist!B912, data!D:D, 0)), 0) = 0
    ),
    "COMPLETE",
    IF(
      IFNA(INDEX(dataICM!D:D, MATCH(Caseslist!B912, dataICM!D:D, 0)), "INC") = "INC",
      IFNA(INDEX(dataICM!D:D, MATCH(Caseslist!B912, dataICM!D:D, 0)), "INC"),
      "COMPLETE"
    )
  )</f>
        <v>COMPLETE</v>
      </c>
      <c r="G912" s="10" t="str">
        <f t="array" ref="G912">IF(IFERROR(INDEX(data!L:L,match(Caseslist!B912,data!D:D,0)),"INC")="","COMPLETE",F912)</f>
        <v>COMPLETE</v>
      </c>
      <c r="H912" s="9" t="str">
        <f t="array" ref="H912">IFERROR(INDEX(dataICM!F:F,match(Caseslist!B912,dataICM!D:D,0)), "INC")</f>
        <v>Janet Serafica_2</v>
      </c>
      <c r="I912" s="10">
        <f t="shared" si="2"/>
        <v>729375</v>
      </c>
      <c r="J912" s="9" t="str">
        <f t="array" ref="J912">IF(
  AND(
    IFERROR(MATCH(B912, data!D:D, 0), 0) &gt; 0,
    IFERROR(INDEX(data!N:N, MATCH(B912, data!D:D, 0)) = 1, FALSE)
  ),
  INDEX(data!C:C, MATCH(B912, data!D:D, 0)),
  "INC"
)</f>
        <v>2025-09-05T13:54:06.744+08</v>
      </c>
      <c r="K912" s="9" t="str">
        <f t="array" ref="K912">IFERROR(INDEX(dataICM!C:C,match(Caseslist!B912,dataICM!D:D,0)), "INC")</f>
        <v>2025-09-05T14:01:35.142+08</v>
      </c>
      <c r="L912" s="10" t="str">
        <f t="array" ref="L912">IF(AND(G912="COMPLETE", OR(K912="INC", ISBLANK(INDEX(data!O:O, ROW())))), J912, K912)</f>
        <v>2025-09-05T14:01:35.142+08</v>
      </c>
      <c r="M912" s="2">
        <v>45905.0</v>
      </c>
      <c r="N912" s="2">
        <f t="array" ref="N912">IF(M912&lt;&gt;"INC", INDEX(data!M:M, MATCH(B912, data!D:D, 0)), "")</f>
        <v>2</v>
      </c>
      <c r="O912" s="2">
        <f t="shared" si="3"/>
        <v>2</v>
      </c>
    </row>
    <row r="913">
      <c r="A913" s="2" t="str">
        <f t="shared" si="1"/>
        <v>H019611</v>
      </c>
      <c r="B913" s="1" t="s">
        <v>4052</v>
      </c>
      <c r="C913" s="9" t="str">
        <f t="array" ref="C913">IF(
  AND(
    IFERROR(MATCH(Caseslist!B913, data!D:D, 0), 0) &gt; 0,
    IFERROR(INDEX(data!N:N, MATCH(Caseslist!B913, data!D:D, 0)) = 1, FALSE)
  ),
  "COMPLETE",
  "INC"
)</f>
        <v>COMPLETE</v>
      </c>
      <c r="D913" s="9">
        <f t="array" ref="D913">IFERROR(INDEX(data!$G:$G,match(Caseslist!B913,data!$D:$D,0)), "INC")</f>
        <v>859767</v>
      </c>
      <c r="E913" s="9" t="str">
        <f t="array" ref="E913">IFERROR(INDEX(data!H:H,match(Caseslist!B913,data!D:D,0)), "INC")</f>
        <v>Ramie De Pedro Jr._2</v>
      </c>
      <c r="F913" s="10" t="str">
        <f t="array" ref="F913">IF(
    OR(
      IFNA(INDEX(data!M:M, MATCH(Caseslist!B913, data!D:D, 0)), "") = "",
      IFNA(INDEX(data!M:M, MATCH(Caseslist!B913, data!D:D, 0)), 0) = 0
    ),
    "COMPLETE",
    IF(
      IFNA(INDEX(dataICM!D:D, MATCH(Caseslist!B913, dataICM!D:D, 0)), "INC") = "INC",
      IFNA(INDEX(dataICM!D:D, MATCH(Caseslist!B913, dataICM!D:D, 0)), "INC"),
      "COMPLETE"
    )
  )</f>
        <v>COMPLETE</v>
      </c>
      <c r="G913" s="10" t="str">
        <f t="array" ref="G913">IF(IFERROR(INDEX(data!L:L,match(Caseslist!B913,data!D:D,0)),"INC")="","COMPLETE",F913)</f>
        <v>COMPLETE</v>
      </c>
      <c r="H913" s="9" t="str">
        <f t="array" ref="H913">IFERROR(INDEX(dataICM!F:F,match(Caseslist!B913,dataICM!D:D,0)), "INC")</f>
        <v>Ramie De Pedro Jr._2</v>
      </c>
      <c r="I913" s="10">
        <f t="shared" si="2"/>
        <v>859767</v>
      </c>
      <c r="J913" s="9" t="str">
        <f t="array" ref="J913">IF(
  AND(
    IFERROR(MATCH(B913, data!D:D, 0), 0) &gt; 0,
    IFERROR(INDEX(data!N:N, MATCH(B913, data!D:D, 0)) = 1, FALSE)
  ),
  INDEX(data!C:C, MATCH(B913, data!D:D, 0)),
  "INC"
)</f>
        <v>2025-09-05T10:57:03.702+08</v>
      </c>
      <c r="K913" s="9" t="str">
        <f t="array" ref="K913">IFERROR(INDEX(dataICM!C:C,match(Caseslist!B913,dataICM!D:D,0)), "INC")</f>
        <v>2025-09-05T11:11:28.358+08</v>
      </c>
      <c r="L913" s="10" t="str">
        <f t="array" ref="L913">IF(AND(G913="COMPLETE", OR(K913="INC", ISBLANK(INDEX(data!O:O, ROW())))), J913, K913)</f>
        <v>2025-09-05T11:11:28.358+08</v>
      </c>
      <c r="M913" s="2">
        <v>45905.0</v>
      </c>
      <c r="N913" s="2">
        <f t="array" ref="N913">IF(M913&lt;&gt;"INC", INDEX(data!M:M, MATCH(B913, data!D:D, 0)), "")</f>
        <v>2</v>
      </c>
      <c r="O913" s="2">
        <f t="shared" si="3"/>
        <v>2</v>
      </c>
    </row>
    <row r="914">
      <c r="A914" s="2" t="str">
        <f t="shared" si="1"/>
        <v>H019611</v>
      </c>
      <c r="B914" s="1" t="s">
        <v>4082</v>
      </c>
      <c r="C914" s="9" t="str">
        <f t="array" ref="C914">IF(
  AND(
    IFERROR(MATCH(Caseslist!B914, data!D:D, 0), 0) &gt; 0,
    IFERROR(INDEX(data!N:N, MATCH(Caseslist!B914, data!D:D, 0)) = 1, FALSE)
  ),
  "COMPLETE",
  "INC"
)</f>
        <v>COMPLETE</v>
      </c>
      <c r="D914" s="9">
        <f t="array" ref="D914">IFERROR(INDEX(data!$G:$G,match(Caseslist!B914,data!$D:$D,0)), "INC")</f>
        <v>729375</v>
      </c>
      <c r="E914" s="9" t="str">
        <f t="array" ref="E914">IFERROR(INDEX(data!H:H,match(Caseslist!B914,data!D:D,0)), "INC")</f>
        <v>Janet Serafica_2</v>
      </c>
      <c r="F914" s="10" t="str">
        <f t="array" ref="F914">IF(
    OR(
      IFNA(INDEX(data!M:M, MATCH(Caseslist!B914, data!D:D, 0)), "") = "",
      IFNA(INDEX(data!M:M, MATCH(Caseslist!B914, data!D:D, 0)), 0) = 0
    ),
    "COMPLETE",
    IF(
      IFNA(INDEX(dataICM!D:D, MATCH(Caseslist!B914, dataICM!D:D, 0)), "INC") = "INC",
      IFNA(INDEX(dataICM!D:D, MATCH(Caseslist!B914, dataICM!D:D, 0)), "INC"),
      "COMPLETE"
    )
  )</f>
        <v>COMPLETE</v>
      </c>
      <c r="G914" s="10" t="str">
        <f t="array" ref="G914">IF(IFERROR(INDEX(data!L:L,match(Caseslist!B914,data!D:D,0)),"INC")="","COMPLETE",F914)</f>
        <v>COMPLETE</v>
      </c>
      <c r="H914" s="9" t="str">
        <f t="array" ref="H914">IFERROR(INDEX(dataICM!F:F,match(Caseslist!B914,dataICM!D:D,0)), "INC")</f>
        <v>Janet Serafica_2</v>
      </c>
      <c r="I914" s="10">
        <f t="shared" si="2"/>
        <v>729375</v>
      </c>
      <c r="J914" s="9" t="str">
        <f t="array" ref="J914">IF(
  AND(
    IFERROR(MATCH(B914, data!D:D, 0), 0) &gt; 0,
    IFERROR(INDEX(data!N:N, MATCH(B914, data!D:D, 0)) = 1, FALSE)
  ),
  INDEX(data!C:C, MATCH(B914, data!D:D, 0)),
  "INC"
)</f>
        <v>2025-09-05T16:41:50.851+08</v>
      </c>
      <c r="K914" s="9" t="str">
        <f t="array" ref="K914">IFERROR(INDEX(dataICM!C:C,match(Caseslist!B914,dataICM!D:D,0)), "INC")</f>
        <v>2025-09-05T16:49:22.551+08</v>
      </c>
      <c r="L914" s="10" t="str">
        <f t="array" ref="L914">IF(AND(G914="COMPLETE", OR(K914="INC", ISBLANK(INDEX(data!O:O, ROW())))), J914, K914)</f>
        <v>2025-09-05T16:49:22.551+08</v>
      </c>
      <c r="M914" s="2">
        <v>45905.0</v>
      </c>
      <c r="N914" s="2">
        <f t="array" ref="N914">IF(M914&lt;&gt;"INC", INDEX(data!M:M, MATCH(B914, data!D:D, 0)), "")</f>
        <v>2</v>
      </c>
      <c r="O914" s="2">
        <f t="shared" si="3"/>
        <v>2</v>
      </c>
    </row>
    <row r="915">
      <c r="A915" s="2" t="str">
        <f t="shared" si="1"/>
        <v>H019611</v>
      </c>
      <c r="B915" s="1" t="s">
        <v>4067</v>
      </c>
      <c r="C915" s="9" t="str">
        <f t="array" ref="C915">IF(
  AND(
    IFERROR(MATCH(Caseslist!B915, data!D:D, 0), 0) &gt; 0,
    IFERROR(INDEX(data!N:N, MATCH(Caseslist!B915, data!D:D, 0)) = 1, FALSE)
  ),
  "COMPLETE",
  "INC"
)</f>
        <v>COMPLETE</v>
      </c>
      <c r="D915" s="9">
        <f t="array" ref="D915">IFERROR(INDEX(data!$G:$G,match(Caseslist!B915,data!$D:$D,0)), "INC")</f>
        <v>729375</v>
      </c>
      <c r="E915" s="9" t="str">
        <f t="array" ref="E915">IFERROR(INDEX(data!H:H,match(Caseslist!B915,data!D:D,0)), "INC")</f>
        <v>Janet Serafica_2</v>
      </c>
      <c r="F915" s="10" t="str">
        <f t="array" ref="F915">IF(
    OR(
      IFNA(INDEX(data!M:M, MATCH(Caseslist!B915, data!D:D, 0)), "") = "",
      IFNA(INDEX(data!M:M, MATCH(Caseslist!B915, data!D:D, 0)), 0) = 0
    ),
    "COMPLETE",
    IF(
      IFNA(INDEX(dataICM!D:D, MATCH(Caseslist!B915, dataICM!D:D, 0)), "INC") = "INC",
      IFNA(INDEX(dataICM!D:D, MATCH(Caseslist!B915, dataICM!D:D, 0)), "INC"),
      "COMPLETE"
    )
  )</f>
        <v>COMPLETE</v>
      </c>
      <c r="G915" s="10" t="str">
        <f t="array" ref="G915">IF(IFERROR(INDEX(data!L:L,match(Caseslist!B915,data!D:D,0)),"INC")="","COMPLETE",F915)</f>
        <v>COMPLETE</v>
      </c>
      <c r="H915" s="9" t="str">
        <f t="array" ref="H915">IFERROR(INDEX(dataICM!F:F,match(Caseslist!B915,dataICM!D:D,0)), "INC")</f>
        <v>Janet Serafica_2</v>
      </c>
      <c r="I915" s="10">
        <f t="shared" si="2"/>
        <v>729375</v>
      </c>
      <c r="J915" s="9" t="str">
        <f t="array" ref="J915">IF(
  AND(
    IFERROR(MATCH(B915, data!D:D, 0), 0) &gt; 0,
    IFERROR(INDEX(data!N:N, MATCH(B915, data!D:D, 0)) = 1, FALSE)
  ),
  INDEX(data!C:C, MATCH(B915, data!D:D, 0)),
  "INC"
)</f>
        <v>2025-09-05T10:33:46.302+08</v>
      </c>
      <c r="K915" s="9" t="str">
        <f t="array" ref="K915">IFERROR(INDEX(dataICM!C:C,match(Caseslist!B915,dataICM!D:D,0)), "INC")</f>
        <v>2025-09-05T10:40:03.761+08</v>
      </c>
      <c r="L915" s="10" t="str">
        <f t="array" ref="L915">IF(AND(G915="COMPLETE", OR(K915="INC", ISBLANK(INDEX(data!O:O, ROW())))), J915, K915)</f>
        <v>2025-09-05T10:40:03.761+08</v>
      </c>
      <c r="M915" s="2">
        <v>45905.0</v>
      </c>
      <c r="N915" s="2">
        <f t="array" ref="N915">IF(M915&lt;&gt;"INC", INDEX(data!M:M, MATCH(B915, data!D:D, 0)), "")</f>
        <v>2</v>
      </c>
      <c r="O915" s="2">
        <f t="shared" si="3"/>
        <v>2</v>
      </c>
    </row>
    <row r="916">
      <c r="A916" s="2" t="str">
        <f t="shared" si="1"/>
        <v>H019611</v>
      </c>
      <c r="B916" s="1" t="s">
        <v>4097</v>
      </c>
      <c r="C916" s="9" t="str">
        <f t="array" ref="C916">IF(
  AND(
    IFERROR(MATCH(Caseslist!B916, data!D:D, 0), 0) &gt; 0,
    IFERROR(INDEX(data!N:N, MATCH(Caseslist!B916, data!D:D, 0)) = 1, FALSE)
  ),
  "COMPLETE",
  "INC"
)</f>
        <v>COMPLETE</v>
      </c>
      <c r="D916" s="9" t="str">
        <f t="array" ref="D916">IFERROR(INDEX(data!$G:$G,match(Caseslist!B916,data!$D:$D,0)), "INC")</f>
        <v>S2671943</v>
      </c>
      <c r="E916" s="9" t="str">
        <f t="array" ref="E916">IFERROR(INDEX(data!H:H,match(Caseslist!B916,data!D:D,0)), "INC")</f>
        <v>Marvin Mondia</v>
      </c>
      <c r="F916" s="10" t="str">
        <f t="array" ref="F916">IF(
    OR(
      IFNA(INDEX(data!M:M, MATCH(Caseslist!B916, data!D:D, 0)), "") = "",
      IFNA(INDEX(data!M:M, MATCH(Caseslist!B916, data!D:D, 0)), 0) = 0
    ),
    "COMPLETE",
    IF(
      IFNA(INDEX(dataICM!D:D, MATCH(Caseslist!B916, dataICM!D:D, 0)), "INC") = "INC",
      IFNA(INDEX(dataICM!D:D, MATCH(Caseslist!B916, dataICM!D:D, 0)), "INC"),
      "COMPLETE"
    )
  )</f>
        <v>COMPLETE</v>
      </c>
      <c r="G916" s="10" t="str">
        <f t="array" ref="G916">IF(IFERROR(INDEX(data!L:L,match(Caseslist!B916,data!D:D,0)),"INC")="","COMPLETE",F916)</f>
        <v>COMPLETE</v>
      </c>
      <c r="H916" s="9" t="str">
        <f t="array" ref="H916">IFERROR(INDEX(dataICM!F:F,match(Caseslist!B916,dataICM!D:D,0)), "INC")</f>
        <v>Marvin Mondia</v>
      </c>
      <c r="I916" s="10" t="str">
        <f t="shared" si="2"/>
        <v>S2671943</v>
      </c>
      <c r="J916" s="9" t="str">
        <f t="array" ref="J916">IF(
  AND(
    IFERROR(MATCH(B916, data!D:D, 0), 0) &gt; 0,
    IFERROR(INDEX(data!N:N, MATCH(B916, data!D:D, 0)) = 1, FALSE)
  ),
  INDEX(data!C:C, MATCH(B916, data!D:D, 0)),
  "INC"
)</f>
        <v>2025-09-05T15:45:43.213+08</v>
      </c>
      <c r="K916" s="9" t="str">
        <f t="array" ref="K916">IFERROR(INDEX(dataICM!C:C,match(Caseslist!B916,dataICM!D:D,0)), "INC")</f>
        <v>2025-09-05T15:51:44.728+08</v>
      </c>
      <c r="L916" s="10" t="str">
        <f t="array" ref="L916">IF(AND(G916="COMPLETE", OR(K916="INC", ISBLANK(INDEX(data!O:O, ROW())))), J916, K916)</f>
        <v>2025-09-05T15:51:44.728+08</v>
      </c>
      <c r="M916" s="2">
        <v>45905.0</v>
      </c>
      <c r="N916" s="2">
        <f t="array" ref="N916">IF(M916&lt;&gt;"INC", INDEX(data!M:M, MATCH(B916, data!D:D, 0)), "")</f>
        <v>2</v>
      </c>
      <c r="O916" s="2">
        <f t="shared" si="3"/>
        <v>2</v>
      </c>
    </row>
    <row r="917">
      <c r="A917" s="2" t="str">
        <f t="shared" si="1"/>
        <v>H019611</v>
      </c>
      <c r="B917" s="1" t="s">
        <v>4102</v>
      </c>
      <c r="C917" s="9" t="str">
        <f t="array" ref="C917">IF(
  AND(
    IFERROR(MATCH(Caseslist!B917, data!D:D, 0), 0) &gt; 0,
    IFERROR(INDEX(data!N:N, MATCH(Caseslist!B917, data!D:D, 0)) = 1, FALSE)
  ),
  "COMPLETE",
  "INC"
)</f>
        <v>COMPLETE</v>
      </c>
      <c r="D917" s="9" t="str">
        <f t="array" ref="D917">IFERROR(INDEX(data!$G:$G,match(Caseslist!B917,data!$D:$D,0)), "INC")</f>
        <v>S2671943</v>
      </c>
      <c r="E917" s="9" t="str">
        <f t="array" ref="E917">IFERROR(INDEX(data!H:H,match(Caseslist!B917,data!D:D,0)), "INC")</f>
        <v>Marvin Mondia</v>
      </c>
      <c r="F917" s="10" t="str">
        <f t="array" ref="F917">IF(
    OR(
      IFNA(INDEX(data!M:M, MATCH(Caseslist!B917, data!D:D, 0)), "") = "",
      IFNA(INDEX(data!M:M, MATCH(Caseslist!B917, data!D:D, 0)), 0) = 0
    ),
    "COMPLETE",
    IF(
      IFNA(INDEX(dataICM!D:D, MATCH(Caseslist!B917, dataICM!D:D, 0)), "INC") = "INC",
      IFNA(INDEX(dataICM!D:D, MATCH(Caseslist!B917, dataICM!D:D, 0)), "INC"),
      "COMPLETE"
    )
  )</f>
        <v>COMPLETE</v>
      </c>
      <c r="G917" s="10" t="str">
        <f t="array" ref="G917">IF(IFERROR(INDEX(data!L:L,match(Caseslist!B917,data!D:D,0)),"INC")="","COMPLETE",F917)</f>
        <v>COMPLETE</v>
      </c>
      <c r="H917" s="9" t="str">
        <f t="array" ref="H917">IFERROR(INDEX(dataICM!F:F,match(Caseslist!B917,dataICM!D:D,0)), "INC")</f>
        <v>Marvin Mondia</v>
      </c>
      <c r="I917" s="10" t="str">
        <f t="shared" si="2"/>
        <v>S2671943</v>
      </c>
      <c r="J917" s="9" t="str">
        <f t="array" ref="J917">IF(
  AND(
    IFERROR(MATCH(B917, data!D:D, 0), 0) &gt; 0,
    IFERROR(INDEX(data!N:N, MATCH(B917, data!D:D, 0)) = 1, FALSE)
  ),
  INDEX(data!C:C, MATCH(B917, data!D:D, 0)),
  "INC"
)</f>
        <v>2025-09-05T16:54:32.711+08</v>
      </c>
      <c r="K917" s="9" t="str">
        <f t="array" ref="K917">IFERROR(INDEX(dataICM!C:C,match(Caseslist!B917,dataICM!D:D,0)), "INC")</f>
        <v>2025-09-05T21:17:08.349+08</v>
      </c>
      <c r="L917" s="10" t="str">
        <f t="array" ref="L917">IF(AND(G917="COMPLETE", OR(K917="INC", ISBLANK(INDEX(data!O:O, ROW())))), J917, K917)</f>
        <v>2025-09-05T21:17:08.349+08</v>
      </c>
      <c r="M917" s="2">
        <v>45905.0</v>
      </c>
      <c r="N917" s="2">
        <f t="array" ref="N917">IF(M917&lt;&gt;"INC", INDEX(data!M:M, MATCH(B917, data!D:D, 0)), "")</f>
        <v>2</v>
      </c>
      <c r="O917" s="2">
        <f t="shared" si="3"/>
        <v>2</v>
      </c>
    </row>
    <row r="918">
      <c r="A918" s="2" t="str">
        <f t="shared" si="1"/>
        <v>H019611</v>
      </c>
      <c r="B918" s="1" t="s">
        <v>4057</v>
      </c>
      <c r="C918" s="9" t="str">
        <f t="array" ref="C918">IF(
  AND(
    IFERROR(MATCH(Caseslist!B918, data!D:D, 0), 0) &gt; 0,
    IFERROR(INDEX(data!N:N, MATCH(Caseslist!B918, data!D:D, 0)) = 1, FALSE)
  ),
  "COMPLETE",
  "INC"
)</f>
        <v>COMPLETE</v>
      </c>
      <c r="D918" s="9">
        <f t="array" ref="D918">IFERROR(INDEX(data!$G:$G,match(Caseslist!B918,data!$D:$D,0)), "INC")</f>
        <v>859767</v>
      </c>
      <c r="E918" s="9" t="str">
        <f t="array" ref="E918">IFERROR(INDEX(data!H:H,match(Caseslist!B918,data!D:D,0)), "INC")</f>
        <v>Ramie De Pedro Jr._2</v>
      </c>
      <c r="F918" s="10" t="str">
        <f t="array" ref="F918">IF(
    OR(
      IFNA(INDEX(data!M:M, MATCH(Caseslist!B918, data!D:D, 0)), "") = "",
      IFNA(INDEX(data!M:M, MATCH(Caseslist!B918, data!D:D, 0)), 0) = 0
    ),
    "COMPLETE",
    IF(
      IFNA(INDEX(dataICM!D:D, MATCH(Caseslist!B918, dataICM!D:D, 0)), "INC") = "INC",
      IFNA(INDEX(dataICM!D:D, MATCH(Caseslist!B918, dataICM!D:D, 0)), "INC"),
      "COMPLETE"
    )
  )</f>
        <v>COMPLETE</v>
      </c>
      <c r="G918" s="10" t="str">
        <f t="array" ref="G918">IF(IFERROR(INDEX(data!L:L,match(Caseslist!B918,data!D:D,0)),"INC")="","COMPLETE",F918)</f>
        <v>COMPLETE</v>
      </c>
      <c r="H918" s="9" t="str">
        <f t="array" ref="H918">IFERROR(INDEX(dataICM!F:F,match(Caseslist!B918,dataICM!D:D,0)), "INC")</f>
        <v>Ramie De Pedro Jr._2</v>
      </c>
      <c r="I918" s="10">
        <f t="shared" si="2"/>
        <v>859767</v>
      </c>
      <c r="J918" s="9" t="str">
        <f t="array" ref="J918">IF(
  AND(
    IFERROR(MATCH(B918, data!D:D, 0), 0) &gt; 0,
    IFERROR(INDEX(data!N:N, MATCH(B918, data!D:D, 0)) = 1, FALSE)
  ),
  INDEX(data!C:C, MATCH(B918, data!D:D, 0)),
  "INC"
)</f>
        <v>2025-09-05T12:19:10.372+08</v>
      </c>
      <c r="K918" s="9" t="str">
        <f t="array" ref="K918">IFERROR(INDEX(dataICM!C:C,match(Caseslist!B918,dataICM!D:D,0)), "INC")</f>
        <v>2025-09-05T12:24:51.971+08</v>
      </c>
      <c r="L918" s="10" t="str">
        <f t="array" ref="L918">IF(AND(G918="COMPLETE", OR(K918="INC", ISBLANK(INDEX(data!O:O, ROW())))), J918, K918)</f>
        <v>2025-09-05T12:24:51.971+08</v>
      </c>
      <c r="M918" s="2">
        <v>45905.0</v>
      </c>
      <c r="N918" s="2">
        <f t="array" ref="N918">IF(M918&lt;&gt;"INC", INDEX(data!M:M, MATCH(B918, data!D:D, 0)), "")</f>
        <v>2</v>
      </c>
      <c r="O918" s="2">
        <f t="shared" si="3"/>
        <v>2</v>
      </c>
    </row>
    <row r="919">
      <c r="A919" s="2" t="str">
        <f t="shared" si="1"/>
        <v>H019625</v>
      </c>
      <c r="B919" s="1" t="s">
        <v>1442</v>
      </c>
      <c r="C919" s="9" t="str">
        <f t="array" ref="C919">IF(
  AND(
    IFERROR(MATCH(Caseslist!B919, data!D:D, 0), 0) &gt; 0,
    IFERROR(INDEX(data!N:N, MATCH(Caseslist!B919, data!D:D, 0)) = 1, FALSE)
  ),
  "COMPLETE",
  "INC"
)</f>
        <v>COMPLETE</v>
      </c>
      <c r="D919" s="9">
        <f t="array" ref="D919">IFERROR(INDEX(data!$G:$G,match(Caseslist!B919,data!$D:$D,0)), "INC")</f>
        <v>841329</v>
      </c>
      <c r="E919" s="9" t="str">
        <f t="array" ref="E919">IFERROR(INDEX(data!H:H,match(Caseslist!B919,data!D:D,0)), "INC")</f>
        <v>Aila Eli</v>
      </c>
      <c r="F919" s="10" t="str">
        <f t="array" ref="F919">IF(
    OR(
      IFNA(INDEX(data!M:M, MATCH(Caseslist!B919, data!D:D, 0)), "") = "",
      IFNA(INDEX(data!M:M, MATCH(Caseslist!B919, data!D:D, 0)), 0) = 0
    ),
    "COMPLETE",
    IF(
      IFNA(INDEX(dataICM!D:D, MATCH(Caseslist!B919, dataICM!D:D, 0)), "INC") = "INC",
      IFNA(INDEX(dataICM!D:D, MATCH(Caseslist!B919, dataICM!D:D, 0)), "INC"),
      "COMPLETE"
    )
  )</f>
        <v>COMPLETE</v>
      </c>
      <c r="G919" s="10" t="str">
        <f t="array" ref="G919">IF(IFERROR(INDEX(data!L:L,match(Caseslist!B919,data!D:D,0)),"INC")="","COMPLETE",F919)</f>
        <v>COMPLETE</v>
      </c>
      <c r="H919" s="9" t="str">
        <f t="array" ref="H919">IFERROR(INDEX(dataICM!F:F,match(Caseslist!B919,dataICM!D:D,0)), "INC")</f>
        <v>INC</v>
      </c>
      <c r="I919" s="10">
        <f t="shared" si="2"/>
        <v>841329</v>
      </c>
      <c r="J919" s="9" t="str">
        <f t="array" ref="J919">IF(
  AND(
    IFERROR(MATCH(B919, data!D:D, 0), 0) &gt; 0,
    IFERROR(INDEX(data!N:N, MATCH(B919, data!D:D, 0)) = 1, FALSE)
  ),
  INDEX(data!C:C, MATCH(B919, data!D:D, 0)),
  "INC"
)</f>
        <v>2025-08-29T12:13:14.781+08</v>
      </c>
      <c r="K919" s="9" t="str">
        <f t="array" ref="K919">IFERROR(INDEX(dataICM!C:C,match(Caseslist!B919,dataICM!D:D,0)), "INC")</f>
        <v>INC</v>
      </c>
      <c r="L919" s="10" t="str">
        <f t="array" ref="L919">IF(AND(G919="COMPLETE", OR(K919="INC", ISBLANK(INDEX(data!O:O, ROW())))), J919, K919)</f>
        <v>2025-08-29T12:13:14.781+08</v>
      </c>
      <c r="M919" s="2">
        <v>45898.0</v>
      </c>
      <c r="N919" s="2">
        <f t="array" ref="N919">IF(M919&lt;&gt;"INC", INDEX(data!M:M, MATCH(B919, data!D:D, 0)), "")</f>
        <v>0</v>
      </c>
      <c r="O919" s="2">
        <f t="shared" si="3"/>
        <v>0</v>
      </c>
    </row>
    <row r="920">
      <c r="A920" s="2" t="str">
        <f t="shared" si="1"/>
        <v>H019625</v>
      </c>
      <c r="B920" s="1" t="s">
        <v>1512</v>
      </c>
      <c r="C920" s="9" t="str">
        <f t="array" ref="C920">IF(
  AND(
    IFERROR(MATCH(Caseslist!B920, data!D:D, 0), 0) &gt; 0,
    IFERROR(INDEX(data!N:N, MATCH(Caseslist!B920, data!D:D, 0)) = 1, FALSE)
  ),
  "COMPLETE",
  "INC"
)</f>
        <v>COMPLETE</v>
      </c>
      <c r="D920" s="9">
        <f t="array" ref="D920">IFERROR(INDEX(data!$G:$G,match(Caseslist!B920,data!$D:$D,0)), "INC")</f>
        <v>455939</v>
      </c>
      <c r="E920" s="9" t="str">
        <f t="array" ref="E920">IFERROR(INDEX(data!H:H,match(Caseslist!B920,data!D:D,0)), "INC")</f>
        <v>Mary Jean Villaflor (duplicate name received from ICM_follow_up_launch on August 26, 2025 11:49 UTC+00:00; submission key: uuid:58eb9512-174e-4e57-ac68-bdc54e35ccff)</v>
      </c>
      <c r="F920" s="10" t="str">
        <f t="array" ref="F920">IF(
    OR(
      IFNA(INDEX(data!M:M, MATCH(Caseslist!B920, data!D:D, 0)), "") = "",
      IFNA(INDEX(data!M:M, MATCH(Caseslist!B920, data!D:D, 0)), 0) = 0
    ),
    "COMPLETE",
    IF(
      IFNA(INDEX(dataICM!D:D, MATCH(Caseslist!B920, dataICM!D:D, 0)), "INC") = "INC",
      IFNA(INDEX(dataICM!D:D, MATCH(Caseslist!B920, dataICM!D:D, 0)), "INC"),
      "COMPLETE"
    )
  )</f>
        <v>COMPLETE</v>
      </c>
      <c r="G920" s="10" t="str">
        <f t="array" ref="G920">IF(IFERROR(INDEX(data!L:L,match(Caseslist!B920,data!D:D,0)),"INC")="","COMPLETE",F920)</f>
        <v>COMPLETE</v>
      </c>
      <c r="H920" s="9" t="str">
        <f t="array" ref="H920">IFERROR(INDEX(dataICM!F:F,match(Caseslist!B920,dataICM!D:D,0)), "INC")</f>
        <v>INC</v>
      </c>
      <c r="I920" s="10">
        <f t="shared" si="2"/>
        <v>455939</v>
      </c>
      <c r="J920" s="9" t="str">
        <f t="array" ref="J920">IF(
  AND(
    IFERROR(MATCH(B920, data!D:D, 0), 0) &gt; 0,
    IFERROR(INDEX(data!N:N, MATCH(B920, data!D:D, 0)) = 1, FALSE)
  ),
  INDEX(data!C:C, MATCH(B920, data!D:D, 0)),
  "INC"
)</f>
        <v>2025-08-29T12:56:22.395+08</v>
      </c>
      <c r="K920" s="9" t="str">
        <f t="array" ref="K920">IFERROR(INDEX(dataICM!C:C,match(Caseslist!B920,dataICM!D:D,0)), "INC")</f>
        <v>INC</v>
      </c>
      <c r="L920" s="10" t="str">
        <f t="array" ref="L920">IF(AND(G920="COMPLETE", OR(K920="INC", ISBLANK(INDEX(data!O:O, ROW())))), J920, K920)</f>
        <v>2025-08-29T12:56:22.395+08</v>
      </c>
      <c r="M920" s="2">
        <v>45898.0</v>
      </c>
      <c r="N920" s="2">
        <f t="array" ref="N920">IF(M920&lt;&gt;"INC", INDEX(data!M:M, MATCH(B920, data!D:D, 0)), "")</f>
        <v>0</v>
      </c>
      <c r="O920" s="2">
        <f t="shared" si="3"/>
        <v>0</v>
      </c>
    </row>
    <row r="921">
      <c r="A921" s="2" t="str">
        <f t="shared" si="1"/>
        <v>H019625</v>
      </c>
      <c r="B921" s="1" t="s">
        <v>1457</v>
      </c>
      <c r="C921" s="9" t="str">
        <f t="array" ref="C921">IF(
  AND(
    IFERROR(MATCH(Caseslist!B921, data!D:D, 0), 0) &gt; 0,
    IFERROR(INDEX(data!N:N, MATCH(Caseslist!B921, data!D:D, 0)) = 1, FALSE)
  ),
  "COMPLETE",
  "INC"
)</f>
        <v>COMPLETE</v>
      </c>
      <c r="D921" s="9">
        <f t="array" ref="D921">IFERROR(INDEX(data!$G:$G,match(Caseslist!B921,data!$D:$D,0)), "INC")</f>
        <v>841329</v>
      </c>
      <c r="E921" s="9" t="str">
        <f t="array" ref="E921">IFERROR(INDEX(data!H:H,match(Caseslist!B921,data!D:D,0)), "INC")</f>
        <v>Aila Eli</v>
      </c>
      <c r="F921" s="10" t="str">
        <f t="array" ref="F921">IF(
    OR(
      IFNA(INDEX(data!M:M, MATCH(Caseslist!B921, data!D:D, 0)), "") = "",
      IFNA(INDEX(data!M:M, MATCH(Caseslist!B921, data!D:D, 0)), 0) = 0
    ),
    "COMPLETE",
    IF(
      IFNA(INDEX(dataICM!D:D, MATCH(Caseslist!B921, dataICM!D:D, 0)), "INC") = "INC",
      IFNA(INDEX(dataICM!D:D, MATCH(Caseslist!B921, dataICM!D:D, 0)), "INC"),
      "COMPLETE"
    )
  )</f>
        <v>COMPLETE</v>
      </c>
      <c r="G921" s="10" t="str">
        <f t="array" ref="G921">IF(IFERROR(INDEX(data!L:L,match(Caseslist!B921,data!D:D,0)),"INC")="","COMPLETE",F921)</f>
        <v>COMPLETE</v>
      </c>
      <c r="H921" s="9" t="str">
        <f t="array" ref="H921">IFERROR(INDEX(dataICM!F:F,match(Caseslist!B921,dataICM!D:D,0)), "INC")</f>
        <v>INC</v>
      </c>
      <c r="I921" s="10">
        <f t="shared" si="2"/>
        <v>841329</v>
      </c>
      <c r="J921" s="9" t="str">
        <f t="array" ref="J921">IF(
  AND(
    IFERROR(MATCH(B921, data!D:D, 0), 0) &gt; 0,
    IFERROR(INDEX(data!N:N, MATCH(B921, data!D:D, 0)) = 1, FALSE)
  ),
  INDEX(data!C:C, MATCH(B921, data!D:D, 0)),
  "INC"
)</f>
        <v>2025-08-29T13:06:31.034+08</v>
      </c>
      <c r="K921" s="9" t="str">
        <f t="array" ref="K921">IFERROR(INDEX(dataICM!C:C,match(Caseslist!B921,dataICM!D:D,0)), "INC")</f>
        <v>INC</v>
      </c>
      <c r="L921" s="10" t="str">
        <f t="array" ref="L921">IF(AND(G921="COMPLETE", OR(K921="INC", ISBLANK(INDEX(data!O:O, ROW())))), J921, K921)</f>
        <v>2025-08-29T13:06:31.034+08</v>
      </c>
      <c r="M921" s="2">
        <v>45898.0</v>
      </c>
      <c r="N921" s="2">
        <f t="array" ref="N921">IF(M921&lt;&gt;"INC", INDEX(data!M:M, MATCH(B921, data!D:D, 0)), "")</f>
        <v>0</v>
      </c>
      <c r="O921" s="2">
        <f t="shared" si="3"/>
        <v>0</v>
      </c>
    </row>
    <row r="922">
      <c r="A922" s="2" t="str">
        <f t="shared" si="1"/>
        <v>H019625</v>
      </c>
      <c r="B922" s="1" t="s">
        <v>1432</v>
      </c>
      <c r="C922" s="9" t="str">
        <f t="array" ref="C922">IF(
  AND(
    IFERROR(MATCH(Caseslist!B922, data!D:D, 0), 0) &gt; 0,
    IFERROR(INDEX(data!N:N, MATCH(Caseslist!B922, data!D:D, 0)) = 1, FALSE)
  ),
  "COMPLETE",
  "INC"
)</f>
        <v>COMPLETE</v>
      </c>
      <c r="D922" s="9">
        <f t="array" ref="D922">IFERROR(INDEX(data!$G:$G,match(Caseslist!B922,data!$D:$D,0)), "INC")</f>
        <v>555127</v>
      </c>
      <c r="E922" s="9" t="str">
        <f t="array" ref="E922">IFERROR(INDEX(data!H:H,match(Caseslist!B922,data!D:D,0)), "INC")</f>
        <v>Mary May</v>
      </c>
      <c r="F922" s="10" t="str">
        <f t="array" ref="F922">IF(
    OR(
      IFNA(INDEX(data!M:M, MATCH(Caseslist!B922, data!D:D, 0)), "") = "",
      IFNA(INDEX(data!M:M, MATCH(Caseslist!B922, data!D:D, 0)), 0) = 0
    ),
    "COMPLETE",
    IF(
      IFNA(INDEX(dataICM!D:D, MATCH(Caseslist!B922, dataICM!D:D, 0)), "INC") = "INC",
      IFNA(INDEX(dataICM!D:D, MATCH(Caseslist!B922, dataICM!D:D, 0)), "INC"),
      "COMPLETE"
    )
  )</f>
        <v>COMPLETE</v>
      </c>
      <c r="G922" s="10" t="str">
        <f t="array" ref="G922">IF(IFERROR(INDEX(data!L:L,match(Caseslist!B922,data!D:D,0)),"INC")="","COMPLETE",F922)</f>
        <v>COMPLETE</v>
      </c>
      <c r="H922" s="9" t="str">
        <f t="array" ref="H922">IFERROR(INDEX(dataICM!F:F,match(Caseslist!B922,dataICM!D:D,0)), "INC")</f>
        <v>INC</v>
      </c>
      <c r="I922" s="10">
        <f t="shared" si="2"/>
        <v>555127</v>
      </c>
      <c r="J922" s="9" t="str">
        <f t="array" ref="J922">IF(
  AND(
    IFERROR(MATCH(B922, data!D:D, 0), 0) &gt; 0,
    IFERROR(INDEX(data!N:N, MATCH(B922, data!D:D, 0)) = 1, FALSE)
  ),
  INDEX(data!C:C, MATCH(B922, data!D:D, 0)),
  "INC"
)</f>
        <v>2025-08-29T10:54:30.465+08</v>
      </c>
      <c r="K922" s="9" t="str">
        <f t="array" ref="K922">IFERROR(INDEX(dataICM!C:C,match(Caseslist!B922,dataICM!D:D,0)), "INC")</f>
        <v>INC</v>
      </c>
      <c r="L922" s="10" t="str">
        <f t="array" ref="L922">IF(AND(G922="COMPLETE", OR(K922="INC", ISBLANK(INDEX(data!O:O, ROW())))), J922, K922)</f>
        <v>2025-08-29T10:54:30.465+08</v>
      </c>
      <c r="M922" s="2">
        <v>45898.0</v>
      </c>
      <c r="N922" s="2">
        <f t="array" ref="N922">IF(M922&lt;&gt;"INC", INDEX(data!M:M, MATCH(B922, data!D:D, 0)), "")</f>
        <v>0</v>
      </c>
      <c r="O922" s="2">
        <f t="shared" si="3"/>
        <v>0</v>
      </c>
    </row>
    <row r="923">
      <c r="A923" s="2" t="str">
        <f t="shared" si="1"/>
        <v>H019625</v>
      </c>
      <c r="B923" s="1" t="s">
        <v>1422</v>
      </c>
      <c r="C923" s="9" t="str">
        <f t="array" ref="C923">IF(
  AND(
    IFERROR(MATCH(Caseslist!B923, data!D:D, 0), 0) &gt; 0,
    IFERROR(INDEX(data!N:N, MATCH(Caseslist!B923, data!D:D, 0)) = 1, FALSE)
  ),
  "COMPLETE",
  "INC"
)</f>
        <v>COMPLETE</v>
      </c>
      <c r="D923" s="9">
        <f t="array" ref="D923">IFERROR(INDEX(data!$G:$G,match(Caseslist!B923,data!$D:$D,0)), "INC")</f>
        <v>555127</v>
      </c>
      <c r="E923" s="9" t="str">
        <f t="array" ref="E923">IFERROR(INDEX(data!H:H,match(Caseslist!B923,data!D:D,0)), "INC")</f>
        <v>Mary May</v>
      </c>
      <c r="F923" s="10" t="str">
        <f t="array" ref="F923">IF(
    OR(
      IFNA(INDEX(data!M:M, MATCH(Caseslist!B923, data!D:D, 0)), "") = "",
      IFNA(INDEX(data!M:M, MATCH(Caseslist!B923, data!D:D, 0)), 0) = 0
    ),
    "COMPLETE",
    IF(
      IFNA(INDEX(dataICM!D:D, MATCH(Caseslist!B923, dataICM!D:D, 0)), "INC") = "INC",
      IFNA(INDEX(dataICM!D:D, MATCH(Caseslist!B923, dataICM!D:D, 0)), "INC"),
      "COMPLETE"
    )
  )</f>
        <v>COMPLETE</v>
      </c>
      <c r="G923" s="10" t="str">
        <f t="array" ref="G923">IF(IFERROR(INDEX(data!L:L,match(Caseslist!B923,data!D:D,0)),"INC")="","COMPLETE",F923)</f>
        <v>COMPLETE</v>
      </c>
      <c r="H923" s="9" t="str">
        <f t="array" ref="H923">IFERROR(INDEX(dataICM!F:F,match(Caseslist!B923,dataICM!D:D,0)), "INC")</f>
        <v>INC</v>
      </c>
      <c r="I923" s="10">
        <f t="shared" si="2"/>
        <v>555127</v>
      </c>
      <c r="J923" s="9" t="str">
        <f t="array" ref="J923">IF(
  AND(
    IFERROR(MATCH(B923, data!D:D, 0), 0) &gt; 0,
    IFERROR(INDEX(data!N:N, MATCH(B923, data!D:D, 0)) = 1, FALSE)
  ),
  INDEX(data!C:C, MATCH(B923, data!D:D, 0)),
  "INC"
)</f>
        <v>2025-08-29T14:48:03.297+08</v>
      </c>
      <c r="K923" s="9" t="str">
        <f t="array" ref="K923">IFERROR(INDEX(dataICM!C:C,match(Caseslist!B923,dataICM!D:D,0)), "INC")</f>
        <v>INC</v>
      </c>
      <c r="L923" s="10" t="str">
        <f t="array" ref="L923">IF(AND(G923="COMPLETE", OR(K923="INC", ISBLANK(INDEX(data!O:O, ROW())))), J923, K923)</f>
        <v>2025-08-29T14:48:03.297+08</v>
      </c>
      <c r="M923" s="2">
        <v>45898.0</v>
      </c>
      <c r="N923" s="2">
        <f t="array" ref="N923">IF(M923&lt;&gt;"INC", INDEX(data!M:M, MATCH(B923, data!D:D, 0)), "")</f>
        <v>0</v>
      </c>
      <c r="O923" s="2">
        <f t="shared" si="3"/>
        <v>0</v>
      </c>
    </row>
    <row r="924">
      <c r="A924" s="2" t="str">
        <f t="shared" si="1"/>
        <v>H019625</v>
      </c>
      <c r="B924" s="1" t="s">
        <v>1842</v>
      </c>
      <c r="C924" s="9" t="str">
        <f t="array" ref="C924">IF(
  AND(
    IFERROR(MATCH(Caseslist!B924, data!D:D, 0), 0) &gt; 0,
    IFERROR(INDEX(data!N:N, MATCH(Caseslist!B924, data!D:D, 0)) = 1, FALSE)
  ),
  "COMPLETE",
  "INC"
)</f>
        <v>COMPLETE</v>
      </c>
      <c r="D924" s="9">
        <f t="array" ref="D924">IFERROR(INDEX(data!$G:$G,match(Caseslist!B924,data!$D:$D,0)), "INC")</f>
        <v>455939</v>
      </c>
      <c r="E924" s="9" t="str">
        <f t="array" ref="E924">IFERROR(INDEX(data!H:H,match(Caseslist!B924,data!D:D,0)), "INC")</f>
        <v>Mary Jean Villaflor (duplicate name received from ICM_follow_up_launch on August 26, 2025 11:49 UTC+00:00; submission key: uuid:58eb9512-174e-4e57-ac68-bdc54e35ccff)</v>
      </c>
      <c r="F924" s="10" t="str">
        <f t="array" ref="F924">IF(
    OR(
      IFNA(INDEX(data!M:M, MATCH(Caseslist!B924, data!D:D, 0)), "") = "",
      IFNA(INDEX(data!M:M, MATCH(Caseslist!B924, data!D:D, 0)), 0) = 0
    ),
    "COMPLETE",
    IF(
      IFNA(INDEX(dataICM!D:D, MATCH(Caseslist!B924, dataICM!D:D, 0)), "INC") = "INC",
      IFNA(INDEX(dataICM!D:D, MATCH(Caseslist!B924, dataICM!D:D, 0)), "INC"),
      "COMPLETE"
    )
  )</f>
        <v>COMPLETE</v>
      </c>
      <c r="G924" s="10" t="str">
        <f t="array" ref="G924">IF(IFERROR(INDEX(data!L:L,match(Caseslist!B924,data!D:D,0)),"INC")="","COMPLETE",F924)</f>
        <v>COMPLETE</v>
      </c>
      <c r="H924" s="9" t="str">
        <f t="array" ref="H924">IFERROR(INDEX(dataICM!F:F,match(Caseslist!B924,dataICM!D:D,0)), "INC")</f>
        <v>INC</v>
      </c>
      <c r="I924" s="10">
        <f t="shared" si="2"/>
        <v>455939</v>
      </c>
      <c r="J924" s="9" t="str">
        <f t="array" ref="J924">IF(
  AND(
    IFERROR(MATCH(B924, data!D:D, 0), 0) &gt; 0,
    IFERROR(INDEX(data!N:N, MATCH(B924, data!D:D, 0)) = 1, FALSE)
  ),
  INDEX(data!C:C, MATCH(B924, data!D:D, 0)),
  "INC"
)</f>
        <v>2025-08-30T10:24:20.067+08</v>
      </c>
      <c r="K924" s="9" t="str">
        <f t="array" ref="K924">IFERROR(INDEX(dataICM!C:C,match(Caseslist!B924,dataICM!D:D,0)), "INC")</f>
        <v>INC</v>
      </c>
      <c r="L924" s="10" t="str">
        <f t="array" ref="L924">IF(AND(G924="COMPLETE", OR(K924="INC", ISBLANK(INDEX(data!O:O, ROW())))), J924, K924)</f>
        <v>2025-08-30T10:24:20.067+08</v>
      </c>
      <c r="M924" s="2">
        <v>45899.0</v>
      </c>
      <c r="N924" s="2">
        <f t="array" ref="N924">IF(M924&lt;&gt;"INC", INDEX(data!M:M, MATCH(B924, data!D:D, 0)), "")</f>
        <v>0</v>
      </c>
      <c r="O924" s="2">
        <f t="shared" si="3"/>
        <v>0</v>
      </c>
    </row>
    <row r="925">
      <c r="A925" s="2" t="str">
        <f t="shared" si="1"/>
        <v>H019625</v>
      </c>
      <c r="B925" s="1" t="s">
        <v>1747</v>
      </c>
      <c r="C925" s="9" t="str">
        <f t="array" ref="C925">IF(
  AND(
    IFERROR(MATCH(Caseslist!B925, data!D:D, 0), 0) &gt; 0,
    IFERROR(INDEX(data!N:N, MATCH(Caseslist!B925, data!D:D, 0)) = 1, FALSE)
  ),
  "COMPLETE",
  "INC"
)</f>
        <v>COMPLETE</v>
      </c>
      <c r="D925" s="9">
        <f t="array" ref="D925">IFERROR(INDEX(data!$G:$G,match(Caseslist!B925,data!$D:$D,0)), "INC")</f>
        <v>555127</v>
      </c>
      <c r="E925" s="9" t="str">
        <f t="array" ref="E925">IFERROR(INDEX(data!H:H,match(Caseslist!B925,data!D:D,0)), "INC")</f>
        <v>Mary May</v>
      </c>
      <c r="F925" s="10" t="str">
        <f t="array" ref="F925">IF(
    OR(
      IFNA(INDEX(data!M:M, MATCH(Caseslist!B925, data!D:D, 0)), "") = "",
      IFNA(INDEX(data!M:M, MATCH(Caseslist!B925, data!D:D, 0)), 0) = 0
    ),
    "COMPLETE",
    IF(
      IFNA(INDEX(dataICM!D:D, MATCH(Caseslist!B925, dataICM!D:D, 0)), "INC") = "INC",
      IFNA(INDEX(dataICM!D:D, MATCH(Caseslist!B925, dataICM!D:D, 0)), "INC"),
      "COMPLETE"
    )
  )</f>
        <v>COMPLETE</v>
      </c>
      <c r="G925" s="10" t="str">
        <f t="array" ref="G925">IF(IFERROR(INDEX(data!L:L,match(Caseslist!B925,data!D:D,0)),"INC")="","COMPLETE",F925)</f>
        <v>COMPLETE</v>
      </c>
      <c r="H925" s="9" t="str">
        <f t="array" ref="H925">IFERROR(INDEX(dataICM!F:F,match(Caseslist!B925,dataICM!D:D,0)), "INC")</f>
        <v>INC</v>
      </c>
      <c r="I925" s="10">
        <f t="shared" si="2"/>
        <v>555127</v>
      </c>
      <c r="J925" s="9" t="str">
        <f t="array" ref="J925">IF(
  AND(
    IFERROR(MATCH(B925, data!D:D, 0), 0) &gt; 0,
    IFERROR(INDEX(data!N:N, MATCH(B925, data!D:D, 0)) = 1, FALSE)
  ),
  INDEX(data!C:C, MATCH(B925, data!D:D, 0)),
  "INC"
)</f>
        <v>2025-08-30T14:11:23.329+08</v>
      </c>
      <c r="K925" s="9" t="str">
        <f t="array" ref="K925">IFERROR(INDEX(dataICM!C:C,match(Caseslist!B925,dataICM!D:D,0)), "INC")</f>
        <v>INC</v>
      </c>
      <c r="L925" s="10" t="str">
        <f t="array" ref="L925">IF(AND(G925="COMPLETE", OR(K925="INC", ISBLANK(INDEX(data!O:O, ROW())))), J925, K925)</f>
        <v>2025-08-30T14:11:23.329+08</v>
      </c>
      <c r="M925" s="2">
        <v>45899.0</v>
      </c>
      <c r="N925" s="2">
        <f t="array" ref="N925">IF(M925&lt;&gt;"INC", INDEX(data!M:M, MATCH(B925, data!D:D, 0)), "")</f>
        <v>0</v>
      </c>
      <c r="O925" s="2">
        <f t="shared" si="3"/>
        <v>0</v>
      </c>
    </row>
    <row r="926">
      <c r="A926" s="2" t="str">
        <f t="shared" si="1"/>
        <v>H019625</v>
      </c>
      <c r="B926" s="1" t="s">
        <v>1447</v>
      </c>
      <c r="C926" s="9" t="str">
        <f t="array" ref="C926">IF(
  AND(
    IFERROR(MATCH(Caseslist!B926, data!D:D, 0), 0) &gt; 0,
    IFERROR(INDEX(data!N:N, MATCH(Caseslist!B926, data!D:D, 0)) = 1, FALSE)
  ),
  "COMPLETE",
  "INC"
)</f>
        <v>COMPLETE</v>
      </c>
      <c r="D926" s="9">
        <f t="array" ref="D926">IFERROR(INDEX(data!$G:$G,match(Caseslist!B926,data!$D:$D,0)), "INC")</f>
        <v>841329</v>
      </c>
      <c r="E926" s="9" t="str">
        <f t="array" ref="E926">IFERROR(INDEX(data!H:H,match(Caseslist!B926,data!D:D,0)), "INC")</f>
        <v>Aila Eli</v>
      </c>
      <c r="F926" s="10" t="str">
        <f t="array" ref="F926">IF(
    OR(
      IFNA(INDEX(data!M:M, MATCH(Caseslist!B926, data!D:D, 0)), "") = "",
      IFNA(INDEX(data!M:M, MATCH(Caseslist!B926, data!D:D, 0)), 0) = 0
    ),
    "COMPLETE",
    IF(
      IFNA(INDEX(dataICM!D:D, MATCH(Caseslist!B926, dataICM!D:D, 0)), "INC") = "INC",
      IFNA(INDEX(dataICM!D:D, MATCH(Caseslist!B926, dataICM!D:D, 0)), "INC"),
      "COMPLETE"
    )
  )</f>
        <v>COMPLETE</v>
      </c>
      <c r="G926" s="10" t="str">
        <f t="array" ref="G926">IF(IFERROR(INDEX(data!L:L,match(Caseslist!B926,data!D:D,0)),"INC")="","COMPLETE",F926)</f>
        <v>COMPLETE</v>
      </c>
      <c r="H926" s="9" t="str">
        <f t="array" ref="H926">IFERROR(INDEX(dataICM!F:F,match(Caseslist!B926,dataICM!D:D,0)), "INC")</f>
        <v>INC</v>
      </c>
      <c r="I926" s="10">
        <f t="shared" si="2"/>
        <v>841329</v>
      </c>
      <c r="J926" s="9" t="str">
        <f t="array" ref="J926">IF(
  AND(
    IFERROR(MATCH(B926, data!D:D, 0), 0) &gt; 0,
    IFERROR(INDEX(data!N:N, MATCH(B926, data!D:D, 0)) = 1, FALSE)
  ),
  INDEX(data!C:C, MATCH(B926, data!D:D, 0)),
  "INC"
)</f>
        <v>2025-08-29T11:22:56.080+08</v>
      </c>
      <c r="K926" s="9" t="str">
        <f t="array" ref="K926">IFERROR(INDEX(dataICM!C:C,match(Caseslist!B926,dataICM!D:D,0)), "INC")</f>
        <v>INC</v>
      </c>
      <c r="L926" s="10" t="str">
        <f t="array" ref="L926">IF(AND(G926="COMPLETE", OR(K926="INC", ISBLANK(INDEX(data!O:O, ROW())))), J926, K926)</f>
        <v>2025-08-29T11:22:56.080+08</v>
      </c>
      <c r="M926" s="2">
        <v>45898.0</v>
      </c>
      <c r="N926" s="2">
        <f t="array" ref="N926">IF(M926&lt;&gt;"INC", INDEX(data!M:M, MATCH(B926, data!D:D, 0)), "")</f>
        <v>0</v>
      </c>
      <c r="O926" s="2">
        <f t="shared" si="3"/>
        <v>0</v>
      </c>
    </row>
    <row r="927">
      <c r="A927" s="2" t="str">
        <f t="shared" si="1"/>
        <v>H019625</v>
      </c>
      <c r="B927" s="1" t="s">
        <v>1507</v>
      </c>
      <c r="C927" s="9" t="str">
        <f t="array" ref="C927">IF(
  AND(
    IFERROR(MATCH(Caseslist!B927, data!D:D, 0), 0) &gt; 0,
    IFERROR(INDEX(data!N:N, MATCH(Caseslist!B927, data!D:D, 0)) = 1, FALSE)
  ),
  "COMPLETE",
  "INC"
)</f>
        <v>COMPLETE</v>
      </c>
      <c r="D927" s="9">
        <f t="array" ref="D927">IFERROR(INDEX(data!$G:$G,match(Caseslist!B927,data!$D:$D,0)), "INC")</f>
        <v>455939</v>
      </c>
      <c r="E927" s="9" t="str">
        <f t="array" ref="E927">IFERROR(INDEX(data!H:H,match(Caseslist!B927,data!D:D,0)), "INC")</f>
        <v>Mary Jean Villaflor (duplicate name received from ICM_follow_up_launch on August 26, 2025 11:49 UTC+00:00; submission key: uuid:58eb9512-174e-4e57-ac68-bdc54e35ccff)</v>
      </c>
      <c r="F927" s="10" t="str">
        <f t="array" ref="F927">IF(
    OR(
      IFNA(INDEX(data!M:M, MATCH(Caseslist!B927, data!D:D, 0)), "") = "",
      IFNA(INDEX(data!M:M, MATCH(Caseslist!B927, data!D:D, 0)), 0) = 0
    ),
    "COMPLETE",
    IF(
      IFNA(INDEX(dataICM!D:D, MATCH(Caseslist!B927, dataICM!D:D, 0)), "INC") = "INC",
      IFNA(INDEX(dataICM!D:D, MATCH(Caseslist!B927, dataICM!D:D, 0)), "INC"),
      "COMPLETE"
    )
  )</f>
        <v>COMPLETE</v>
      </c>
      <c r="G927" s="10" t="str">
        <f t="array" ref="G927">IF(IFERROR(INDEX(data!L:L,match(Caseslist!B927,data!D:D,0)),"INC")="","COMPLETE",F927)</f>
        <v>COMPLETE</v>
      </c>
      <c r="H927" s="9" t="str">
        <f t="array" ref="H927">IFERROR(INDEX(dataICM!F:F,match(Caseslist!B927,dataICM!D:D,0)), "INC")</f>
        <v>INC</v>
      </c>
      <c r="I927" s="10">
        <f t="shared" si="2"/>
        <v>455939</v>
      </c>
      <c r="J927" s="9" t="str">
        <f t="array" ref="J927">IF(
  AND(
    IFERROR(MATCH(B927, data!D:D, 0), 0) &gt; 0,
    IFERROR(INDEX(data!N:N, MATCH(B927, data!D:D, 0)) = 1, FALSE)
  ),
  INDEX(data!C:C, MATCH(B927, data!D:D, 0)),
  "INC"
)</f>
        <v>2025-08-29T11:56:34.085+08</v>
      </c>
      <c r="K927" s="9" t="str">
        <f t="array" ref="K927">IFERROR(INDEX(dataICM!C:C,match(Caseslist!B927,dataICM!D:D,0)), "INC")</f>
        <v>INC</v>
      </c>
      <c r="L927" s="10" t="str">
        <f t="array" ref="L927">IF(AND(G927="COMPLETE", OR(K927="INC", ISBLANK(INDEX(data!O:O, ROW())))), J927, K927)</f>
        <v>2025-08-29T11:56:34.085+08</v>
      </c>
      <c r="M927" s="2">
        <v>45898.0</v>
      </c>
      <c r="N927" s="2">
        <f t="array" ref="N927">IF(M927&lt;&gt;"INC", INDEX(data!M:M, MATCH(B927, data!D:D, 0)), "")</f>
        <v>0</v>
      </c>
      <c r="O927" s="2">
        <f t="shared" si="3"/>
        <v>0</v>
      </c>
    </row>
    <row r="928">
      <c r="A928" s="2" t="str">
        <f t="shared" si="1"/>
        <v>H019625</v>
      </c>
      <c r="B928" s="1" t="s">
        <v>1497</v>
      </c>
      <c r="C928" s="9" t="str">
        <f t="array" ref="C928">IF(
  AND(
    IFERROR(MATCH(Caseslist!B928, data!D:D, 0), 0) &gt; 0,
    IFERROR(INDEX(data!N:N, MATCH(Caseslist!B928, data!D:D, 0)) = 1, FALSE)
  ),
  "COMPLETE",
  "INC"
)</f>
        <v>COMPLETE</v>
      </c>
      <c r="D928" s="9">
        <f t="array" ref="D928">IFERROR(INDEX(data!$G:$G,match(Caseslist!B928,data!$D:$D,0)), "INC")</f>
        <v>455939</v>
      </c>
      <c r="E928" s="9" t="str">
        <f t="array" ref="E928">IFERROR(INDEX(data!H:H,match(Caseslist!B928,data!D:D,0)), "INC")</f>
        <v>Mary Jean Villaflor (duplicate name received from ICM_follow_up_launch on August 26, 2025 11:49 UTC+00:00; submission key: uuid:58eb9512-174e-4e57-ac68-bdc54e35ccff)</v>
      </c>
      <c r="F928" s="10" t="str">
        <f t="array" ref="F928">IF(
    OR(
      IFNA(INDEX(data!M:M, MATCH(Caseslist!B928, data!D:D, 0)), "") = "",
      IFNA(INDEX(data!M:M, MATCH(Caseslist!B928, data!D:D, 0)), 0) = 0
    ),
    "COMPLETE",
    IF(
      IFNA(INDEX(dataICM!D:D, MATCH(Caseslist!B928, dataICM!D:D, 0)), "INC") = "INC",
      IFNA(INDEX(dataICM!D:D, MATCH(Caseslist!B928, dataICM!D:D, 0)), "INC"),
      "COMPLETE"
    )
  )</f>
        <v>COMPLETE</v>
      </c>
      <c r="G928" s="10" t="str">
        <f t="array" ref="G928">IF(IFERROR(INDEX(data!L:L,match(Caseslist!B928,data!D:D,0)),"INC")="","COMPLETE",F928)</f>
        <v>COMPLETE</v>
      </c>
      <c r="H928" s="9" t="str">
        <f t="array" ref="H928">IFERROR(INDEX(dataICM!F:F,match(Caseslist!B928,dataICM!D:D,0)), "INC")</f>
        <v>INC</v>
      </c>
      <c r="I928" s="10">
        <f t="shared" si="2"/>
        <v>455939</v>
      </c>
      <c r="J928" s="9" t="str">
        <f t="array" ref="J928">IF(
  AND(
    IFERROR(MATCH(B928, data!D:D, 0), 0) &gt; 0,
    IFERROR(INDEX(data!N:N, MATCH(B928, data!D:D, 0)) = 1, FALSE)
  ),
  INDEX(data!C:C, MATCH(B928, data!D:D, 0)),
  "INC"
)</f>
        <v>2025-08-29T10:55:49.332+08</v>
      </c>
      <c r="K928" s="9" t="str">
        <f t="array" ref="K928">IFERROR(INDEX(dataICM!C:C,match(Caseslist!B928,dataICM!D:D,0)), "INC")</f>
        <v>INC</v>
      </c>
      <c r="L928" s="10" t="str">
        <f t="array" ref="L928">IF(AND(G928="COMPLETE", OR(K928="INC", ISBLANK(INDEX(data!O:O, ROW())))), J928, K928)</f>
        <v>2025-08-29T10:55:49.332+08</v>
      </c>
      <c r="M928" s="2">
        <v>45898.0</v>
      </c>
      <c r="N928" s="2">
        <f t="array" ref="N928">IF(M928&lt;&gt;"INC", INDEX(data!M:M, MATCH(B928, data!D:D, 0)), "")</f>
        <v>0</v>
      </c>
      <c r="O928" s="2">
        <f t="shared" si="3"/>
        <v>0</v>
      </c>
    </row>
    <row r="929">
      <c r="A929" s="2" t="str">
        <f t="shared" si="1"/>
        <v>H019625</v>
      </c>
      <c r="B929" s="1" t="s">
        <v>1452</v>
      </c>
      <c r="C929" s="9" t="str">
        <f t="array" ref="C929">IF(
  AND(
    IFERROR(MATCH(Caseslist!B929, data!D:D, 0), 0) &gt; 0,
    IFERROR(INDEX(data!N:N, MATCH(Caseslist!B929, data!D:D, 0)) = 1, FALSE)
  ),
  "COMPLETE",
  "INC"
)</f>
        <v>COMPLETE</v>
      </c>
      <c r="D929" s="9">
        <f t="array" ref="D929">IFERROR(INDEX(data!$G:$G,match(Caseslist!B929,data!$D:$D,0)), "INC")</f>
        <v>841329</v>
      </c>
      <c r="E929" s="9" t="str">
        <f t="array" ref="E929">IFERROR(INDEX(data!H:H,match(Caseslist!B929,data!D:D,0)), "INC")</f>
        <v>Aila Eli</v>
      </c>
      <c r="F929" s="10" t="str">
        <f t="array" ref="F929">IF(
    OR(
      IFNA(INDEX(data!M:M, MATCH(Caseslist!B929, data!D:D, 0)), "") = "",
      IFNA(INDEX(data!M:M, MATCH(Caseslist!B929, data!D:D, 0)), 0) = 0
    ),
    "COMPLETE",
    IF(
      IFNA(INDEX(dataICM!D:D, MATCH(Caseslist!B929, dataICM!D:D, 0)), "INC") = "INC",
      IFNA(INDEX(dataICM!D:D, MATCH(Caseslist!B929, dataICM!D:D, 0)), "INC"),
      "COMPLETE"
    )
  )</f>
        <v>COMPLETE</v>
      </c>
      <c r="G929" s="10" t="str">
        <f t="array" ref="G929">IF(IFERROR(INDEX(data!L:L,match(Caseslist!B929,data!D:D,0)),"INC")="","COMPLETE",F929)</f>
        <v>COMPLETE</v>
      </c>
      <c r="H929" s="9" t="str">
        <f t="array" ref="H929">IFERROR(INDEX(dataICM!F:F,match(Caseslist!B929,dataICM!D:D,0)), "INC")</f>
        <v>INC</v>
      </c>
      <c r="I929" s="10">
        <f t="shared" si="2"/>
        <v>841329</v>
      </c>
      <c r="J929" s="9" t="str">
        <f t="array" ref="J929">IF(
  AND(
    IFERROR(MATCH(B929, data!D:D, 0), 0) &gt; 0,
    IFERROR(INDEX(data!N:N, MATCH(B929, data!D:D, 0)) = 1, FALSE)
  ),
  INDEX(data!C:C, MATCH(B929, data!D:D, 0)),
  "INC"
)</f>
        <v>2025-08-30T10:36:03.173+08</v>
      </c>
      <c r="K929" s="9" t="str">
        <f t="array" ref="K929">IFERROR(INDEX(dataICM!C:C,match(Caseslist!B929,dataICM!D:D,0)), "INC")</f>
        <v>INC</v>
      </c>
      <c r="L929" s="10" t="str">
        <f t="array" ref="L929">IF(AND(G929="COMPLETE", OR(K929="INC", ISBLANK(INDEX(data!O:O, ROW())))), J929, K929)</f>
        <v>2025-08-30T10:36:03.173+08</v>
      </c>
      <c r="M929" s="2">
        <v>45899.0</v>
      </c>
      <c r="N929" s="2">
        <f t="array" ref="N929">IF(M929&lt;&gt;"INC", INDEX(data!M:M, MATCH(B929, data!D:D, 0)), "")</f>
        <v>0</v>
      </c>
      <c r="O929" s="2">
        <f t="shared" si="3"/>
        <v>0</v>
      </c>
    </row>
    <row r="930">
      <c r="A930" s="2" t="str">
        <f t="shared" si="1"/>
        <v>H019625</v>
      </c>
      <c r="B930" s="1" t="s">
        <v>1437</v>
      </c>
      <c r="C930" s="9" t="str">
        <f t="array" ref="C930">IF(
  AND(
    IFERROR(MATCH(Caseslist!B930, data!D:D, 0), 0) &gt; 0,
    IFERROR(INDEX(data!N:N, MATCH(Caseslist!B930, data!D:D, 0)) = 1, FALSE)
  ),
  "COMPLETE",
  "INC"
)</f>
        <v>COMPLETE</v>
      </c>
      <c r="D930" s="9">
        <f t="array" ref="D930">IFERROR(INDEX(data!$G:$G,match(Caseslist!B930,data!$D:$D,0)), "INC")</f>
        <v>555127</v>
      </c>
      <c r="E930" s="9" t="str">
        <f t="array" ref="E930">IFERROR(INDEX(data!H:H,match(Caseslist!B930,data!D:D,0)), "INC")</f>
        <v>Mary May</v>
      </c>
      <c r="F930" s="10" t="str">
        <f t="array" ref="F930">IF(
    OR(
      IFNA(INDEX(data!M:M, MATCH(Caseslist!B930, data!D:D, 0)), "") = "",
      IFNA(INDEX(data!M:M, MATCH(Caseslist!B930, data!D:D, 0)), 0) = 0
    ),
    "COMPLETE",
    IF(
      IFNA(INDEX(dataICM!D:D, MATCH(Caseslist!B930, dataICM!D:D, 0)), "INC") = "INC",
      IFNA(INDEX(dataICM!D:D, MATCH(Caseslist!B930, dataICM!D:D, 0)), "INC"),
      "COMPLETE"
    )
  )</f>
        <v>COMPLETE</v>
      </c>
      <c r="G930" s="10" t="str">
        <f t="array" ref="G930">IF(IFERROR(INDEX(data!L:L,match(Caseslist!B930,data!D:D,0)),"INC")="","COMPLETE",F930)</f>
        <v>COMPLETE</v>
      </c>
      <c r="H930" s="9" t="str">
        <f t="array" ref="H930">IFERROR(INDEX(dataICM!F:F,match(Caseslist!B930,dataICM!D:D,0)), "INC")</f>
        <v>INC</v>
      </c>
      <c r="I930" s="10">
        <f t="shared" si="2"/>
        <v>555127</v>
      </c>
      <c r="J930" s="9" t="str">
        <f t="array" ref="J930">IF(
  AND(
    IFERROR(MATCH(B930, data!D:D, 0), 0) &gt; 0,
    IFERROR(INDEX(data!N:N, MATCH(B930, data!D:D, 0)) = 1, FALSE)
  ),
  INDEX(data!C:C, MATCH(B930, data!D:D, 0)),
  "INC"
)</f>
        <v>2025-08-29T13:24:32.996+08</v>
      </c>
      <c r="K930" s="9" t="str">
        <f t="array" ref="K930">IFERROR(INDEX(dataICM!C:C,match(Caseslist!B930,dataICM!D:D,0)), "INC")</f>
        <v>INC</v>
      </c>
      <c r="L930" s="10" t="str">
        <f t="array" ref="L930">IF(AND(G930="COMPLETE", OR(K930="INC", ISBLANK(INDEX(data!O:O, ROW())))), J930, K930)</f>
        <v>2025-08-29T13:24:32.996+08</v>
      </c>
      <c r="M930" s="2">
        <v>45898.0</v>
      </c>
      <c r="N930" s="2">
        <f t="array" ref="N930">IF(M930&lt;&gt;"INC", INDEX(data!M:M, MATCH(B930, data!D:D, 0)), "")</f>
        <v>0</v>
      </c>
      <c r="O930" s="2">
        <f t="shared" si="3"/>
        <v>0</v>
      </c>
    </row>
    <row r="931">
      <c r="A931" s="2" t="str">
        <f t="shared" si="1"/>
        <v>H019625</v>
      </c>
      <c r="B931" s="1" t="s">
        <v>1502</v>
      </c>
      <c r="C931" s="9" t="str">
        <f t="array" ref="C931">IF(
  AND(
    IFERROR(MATCH(Caseslist!B931, data!D:D, 0), 0) &gt; 0,
    IFERROR(INDEX(data!N:N, MATCH(Caseslist!B931, data!D:D, 0)) = 1, FALSE)
  ),
  "COMPLETE",
  "INC"
)</f>
        <v>COMPLETE</v>
      </c>
      <c r="D931" s="9">
        <f t="array" ref="D931">IFERROR(INDEX(data!$G:$G,match(Caseslist!B931,data!$D:$D,0)), "INC")</f>
        <v>455939</v>
      </c>
      <c r="E931" s="9" t="str">
        <f t="array" ref="E931">IFERROR(INDEX(data!H:H,match(Caseslist!B931,data!D:D,0)), "INC")</f>
        <v>Mary Jean Villaflor (duplicate name received from ICM_follow_up_launch on August 26, 2025 11:49 UTC+00:00; submission key: uuid:58eb9512-174e-4e57-ac68-bdc54e35ccff)</v>
      </c>
      <c r="F931" s="10" t="str">
        <f t="array" ref="F931">IF(
    OR(
      IFNA(INDEX(data!M:M, MATCH(Caseslist!B931, data!D:D, 0)), "") = "",
      IFNA(INDEX(data!M:M, MATCH(Caseslist!B931, data!D:D, 0)), 0) = 0
    ),
    "COMPLETE",
    IF(
      IFNA(INDEX(dataICM!D:D, MATCH(Caseslist!B931, dataICM!D:D, 0)), "INC") = "INC",
      IFNA(INDEX(dataICM!D:D, MATCH(Caseslist!B931, dataICM!D:D, 0)), "INC"),
      "COMPLETE"
    )
  )</f>
        <v>COMPLETE</v>
      </c>
      <c r="G931" s="10" t="str">
        <f t="array" ref="G931">IF(IFERROR(INDEX(data!L:L,match(Caseslist!B931,data!D:D,0)),"INC")="","COMPLETE",F931)</f>
        <v>COMPLETE</v>
      </c>
      <c r="H931" s="9" t="str">
        <f t="array" ref="H931">IFERROR(INDEX(dataICM!F:F,match(Caseslist!B931,dataICM!D:D,0)), "INC")</f>
        <v>INC</v>
      </c>
      <c r="I931" s="10">
        <f t="shared" si="2"/>
        <v>455939</v>
      </c>
      <c r="J931" s="9" t="str">
        <f t="array" ref="J931">IF(
  AND(
    IFERROR(MATCH(B931, data!D:D, 0), 0) &gt; 0,
    IFERROR(INDEX(data!N:N, MATCH(B931, data!D:D, 0)) = 1, FALSE)
  ),
  INDEX(data!C:C, MATCH(B931, data!D:D, 0)),
  "INC"
)</f>
        <v>2025-08-29T09:50:32.728+08</v>
      </c>
      <c r="K931" s="9" t="str">
        <f t="array" ref="K931">IFERROR(INDEX(dataICM!C:C,match(Caseslist!B931,dataICM!D:D,0)), "INC")</f>
        <v>INC</v>
      </c>
      <c r="L931" s="10" t="str">
        <f t="array" ref="L931">IF(AND(G931="COMPLETE", OR(K931="INC", ISBLANK(INDEX(data!O:O, ROW())))), J931, K931)</f>
        <v>2025-08-29T09:50:32.728+08</v>
      </c>
      <c r="M931" s="2">
        <v>45898.0</v>
      </c>
      <c r="N931" s="2">
        <f t="array" ref="N931">IF(M931&lt;&gt;"INC", INDEX(data!M:M, MATCH(B931, data!D:D, 0)), "")</f>
        <v>0</v>
      </c>
      <c r="O931" s="2">
        <f t="shared" si="3"/>
        <v>0</v>
      </c>
    </row>
    <row r="932">
      <c r="A932" s="2" t="str">
        <f t="shared" si="1"/>
        <v>H019625</v>
      </c>
      <c r="B932" s="1" t="s">
        <v>1462</v>
      </c>
      <c r="C932" s="9" t="str">
        <f t="array" ref="C932">IF(
  AND(
    IFERROR(MATCH(Caseslist!B932, data!D:D, 0), 0) &gt; 0,
    IFERROR(INDEX(data!N:N, MATCH(Caseslist!B932, data!D:D, 0)) = 1, FALSE)
  ),
  "COMPLETE",
  "INC"
)</f>
        <v>COMPLETE</v>
      </c>
      <c r="D932" s="9">
        <f t="array" ref="D932">IFERROR(INDEX(data!$G:$G,match(Caseslist!B932,data!$D:$D,0)), "INC")</f>
        <v>841329</v>
      </c>
      <c r="E932" s="9" t="str">
        <f t="array" ref="E932">IFERROR(INDEX(data!H:H,match(Caseslist!B932,data!D:D,0)), "INC")</f>
        <v>Aila Eli</v>
      </c>
      <c r="F932" s="10" t="str">
        <f t="array" ref="F932">IF(
    OR(
      IFNA(INDEX(data!M:M, MATCH(Caseslist!B932, data!D:D, 0)), "") = "",
      IFNA(INDEX(data!M:M, MATCH(Caseslist!B932, data!D:D, 0)), 0) = 0
    ),
    "COMPLETE",
    IF(
      IFNA(INDEX(dataICM!D:D, MATCH(Caseslist!B932, dataICM!D:D, 0)), "INC") = "INC",
      IFNA(INDEX(dataICM!D:D, MATCH(Caseslist!B932, dataICM!D:D, 0)), "INC"),
      "COMPLETE"
    )
  )</f>
        <v>COMPLETE</v>
      </c>
      <c r="G932" s="10" t="str">
        <f t="array" ref="G932">IF(IFERROR(INDEX(data!L:L,match(Caseslist!B932,data!D:D,0)),"INC")="","COMPLETE",F932)</f>
        <v>COMPLETE</v>
      </c>
      <c r="H932" s="9" t="str">
        <f t="array" ref="H932">IFERROR(INDEX(dataICM!F:F,match(Caseslist!B932,dataICM!D:D,0)), "INC")</f>
        <v>INC</v>
      </c>
      <c r="I932" s="10">
        <f t="shared" si="2"/>
        <v>841329</v>
      </c>
      <c r="J932" s="9" t="str">
        <f t="array" ref="J932">IF(
  AND(
    IFERROR(MATCH(B932, data!D:D, 0), 0) &gt; 0,
    IFERROR(INDEX(data!N:N, MATCH(B932, data!D:D, 0)) = 1, FALSE)
  ),
  INDEX(data!C:C, MATCH(B932, data!D:D, 0)),
  "INC"
)</f>
        <v>2025-08-29T10:01:21.867+08</v>
      </c>
      <c r="K932" s="9" t="str">
        <f t="array" ref="K932">IFERROR(INDEX(dataICM!C:C,match(Caseslist!B932,dataICM!D:D,0)), "INC")</f>
        <v>INC</v>
      </c>
      <c r="L932" s="10" t="str">
        <f t="array" ref="L932">IF(AND(G932="COMPLETE", OR(K932="INC", ISBLANK(INDEX(data!O:O, ROW())))), J932, K932)</f>
        <v>2025-08-29T10:01:21.867+08</v>
      </c>
      <c r="M932" s="2">
        <v>45898.0</v>
      </c>
      <c r="N932" s="2">
        <f t="array" ref="N932">IF(M932&lt;&gt;"INC", INDEX(data!M:M, MATCH(B932, data!D:D, 0)), "")</f>
        <v>0</v>
      </c>
      <c r="O932" s="2">
        <f t="shared" si="3"/>
        <v>0</v>
      </c>
    </row>
    <row r="933">
      <c r="A933" s="2" t="str">
        <f t="shared" si="1"/>
        <v>H019625</v>
      </c>
      <c r="B933" s="1" t="s">
        <v>1427</v>
      </c>
      <c r="C933" s="9" t="str">
        <f t="array" ref="C933">IF(
  AND(
    IFERROR(MATCH(Caseslist!B933, data!D:D, 0), 0) &gt; 0,
    IFERROR(INDEX(data!N:N, MATCH(Caseslist!B933, data!D:D, 0)) = 1, FALSE)
  ),
  "COMPLETE",
  "INC"
)</f>
        <v>COMPLETE</v>
      </c>
      <c r="D933" s="9">
        <f t="array" ref="D933">IFERROR(INDEX(data!$G:$G,match(Caseslist!B933,data!$D:$D,0)), "INC")</f>
        <v>555127</v>
      </c>
      <c r="E933" s="9" t="str">
        <f t="array" ref="E933">IFERROR(INDEX(data!H:H,match(Caseslist!B933,data!D:D,0)), "INC")</f>
        <v>Mary May</v>
      </c>
      <c r="F933" s="10" t="str">
        <f t="array" ref="F933">IF(
    OR(
      IFNA(INDEX(data!M:M, MATCH(Caseslist!B933, data!D:D, 0)), "") = "",
      IFNA(INDEX(data!M:M, MATCH(Caseslist!B933, data!D:D, 0)), 0) = 0
    ),
    "COMPLETE",
    IF(
      IFNA(INDEX(dataICM!D:D, MATCH(Caseslist!B933, dataICM!D:D, 0)), "INC") = "INC",
      IFNA(INDEX(dataICM!D:D, MATCH(Caseslist!B933, dataICM!D:D, 0)), "INC"),
      "COMPLETE"
    )
  )</f>
        <v>COMPLETE</v>
      </c>
      <c r="G933" s="10" t="str">
        <f t="array" ref="G933">IF(IFERROR(INDEX(data!L:L,match(Caseslist!B933,data!D:D,0)),"INC")="","COMPLETE",F933)</f>
        <v>COMPLETE</v>
      </c>
      <c r="H933" s="9" t="str">
        <f t="array" ref="H933">IFERROR(INDEX(dataICM!F:F,match(Caseslist!B933,dataICM!D:D,0)), "INC")</f>
        <v>INC</v>
      </c>
      <c r="I933" s="10">
        <f t="shared" si="2"/>
        <v>555127</v>
      </c>
      <c r="J933" s="9" t="str">
        <f t="array" ref="J933">IF(
  AND(
    IFERROR(MATCH(B933, data!D:D, 0), 0) &gt; 0,
    IFERROR(INDEX(data!N:N, MATCH(B933, data!D:D, 0)) = 1, FALSE)
  ),
  INDEX(data!C:C, MATCH(B933, data!D:D, 0)),
  "INC"
)</f>
        <v>2025-08-29T10:13:47.083+08</v>
      </c>
      <c r="K933" s="9" t="str">
        <f t="array" ref="K933">IFERROR(INDEX(dataICM!C:C,match(Caseslist!B933,dataICM!D:D,0)), "INC")</f>
        <v>INC</v>
      </c>
      <c r="L933" s="10" t="str">
        <f t="array" ref="L933">IF(AND(G933="COMPLETE", OR(K933="INC", ISBLANK(INDEX(data!O:O, ROW())))), J933, K933)</f>
        <v>2025-08-29T10:13:47.083+08</v>
      </c>
      <c r="M933" s="2">
        <v>45898.0</v>
      </c>
      <c r="N933" s="2">
        <f t="array" ref="N933">IF(M933&lt;&gt;"INC", INDEX(data!M:M, MATCH(B933, data!D:D, 0)), "")</f>
        <v>0</v>
      </c>
      <c r="O933" s="2">
        <f t="shared" si="3"/>
        <v>0</v>
      </c>
    </row>
    <row r="934">
      <c r="A934" s="2" t="str">
        <f t="shared" si="1"/>
        <v>H019687</v>
      </c>
      <c r="B934" s="1" t="s">
        <v>1367</v>
      </c>
      <c r="C934" s="9" t="str">
        <f t="array" ref="C934">IF(
  AND(
    IFERROR(MATCH(Caseslist!B934, data!D:D, 0), 0) &gt; 0,
    IFERROR(INDEX(data!N:N, MATCH(Caseslist!B934, data!D:D, 0)) = 1, FALSE)
  ),
  "COMPLETE",
  "INC"
)</f>
        <v>COMPLETE</v>
      </c>
      <c r="D934" s="9">
        <f t="array" ref="D934">IFERROR(INDEX(data!$G:$G,match(Caseslist!B934,data!$D:$D,0)), "INC")</f>
        <v>859767</v>
      </c>
      <c r="E934" s="9" t="str">
        <f t="array" ref="E934">IFERROR(INDEX(data!H:H,match(Caseslist!B934,data!D:D,0)), "INC")</f>
        <v>Ramie De Pedro Jr.</v>
      </c>
      <c r="F934" s="10" t="str">
        <f t="array" ref="F934">IF(
    OR(
      IFNA(INDEX(data!M:M, MATCH(Caseslist!B934, data!D:D, 0)), "") = "",
      IFNA(INDEX(data!M:M, MATCH(Caseslist!B934, data!D:D, 0)), 0) = 0
    ),
    "COMPLETE",
    IF(
      IFNA(INDEX(dataICM!D:D, MATCH(Caseslist!B934, dataICM!D:D, 0)), "INC") = "INC",
      IFNA(INDEX(dataICM!D:D, MATCH(Caseslist!B934, dataICM!D:D, 0)), "INC"),
      "COMPLETE"
    )
  )</f>
        <v>COMPLETE</v>
      </c>
      <c r="G934" s="10" t="str">
        <f t="array" ref="G934">IF(IFERROR(INDEX(data!L:L,match(Caseslist!B934,data!D:D,0)),"INC")="","COMPLETE",F934)</f>
        <v>COMPLETE</v>
      </c>
      <c r="H934" s="9" t="str">
        <f t="array" ref="H934">IFERROR(INDEX(dataICM!F:F,match(Caseslist!B934,dataICM!D:D,0)), "INC")</f>
        <v>INC</v>
      </c>
      <c r="I934" s="10">
        <f t="shared" si="2"/>
        <v>859767</v>
      </c>
      <c r="J934" s="9" t="str">
        <f t="array" ref="J934">IF(
  AND(
    IFERROR(MATCH(B934, data!D:D, 0), 0) &gt; 0,
    IFERROR(INDEX(data!N:N, MATCH(B934, data!D:D, 0)) = 1, FALSE)
  ),
  INDEX(data!C:C, MATCH(B934, data!D:D, 0)),
  "INC"
)</f>
        <v>2025-08-29T09:45:11.635+08</v>
      </c>
      <c r="K934" s="9" t="str">
        <f t="array" ref="K934">IFERROR(INDEX(dataICM!C:C,match(Caseslist!B934,dataICM!D:D,0)), "INC")</f>
        <v>INC</v>
      </c>
      <c r="L934" s="10" t="str">
        <f t="array" ref="L934">IF(AND(G934="COMPLETE", OR(K934="INC", ISBLANK(INDEX(data!O:O, ROW())))), J934, K934)</f>
        <v>2025-08-29T09:45:11.635+08</v>
      </c>
      <c r="M934" s="2">
        <v>45898.0</v>
      </c>
      <c r="N934" s="2">
        <f t="array" ref="N934">IF(M934&lt;&gt;"INC", INDEX(data!M:M, MATCH(B934, data!D:D, 0)), "")</f>
        <v>0</v>
      </c>
      <c r="O934" s="2">
        <f t="shared" si="3"/>
        <v>0</v>
      </c>
    </row>
    <row r="935">
      <c r="A935" s="2" t="str">
        <f t="shared" si="1"/>
        <v>H019687</v>
      </c>
      <c r="B935" s="1" t="s">
        <v>994</v>
      </c>
      <c r="C935" s="9" t="str">
        <f t="array" ref="C935">IF(
  AND(
    IFERROR(MATCH(Caseslist!B935, data!D:D, 0), 0) &gt; 0,
    IFERROR(INDEX(data!N:N, MATCH(Caseslist!B935, data!D:D, 0)) = 1, FALSE)
  ),
  "COMPLETE",
  "INC"
)</f>
        <v>COMPLETE</v>
      </c>
      <c r="D935" s="9">
        <f t="array" ref="D935">IFERROR(INDEX(data!$G:$G,match(Caseslist!B935,data!$D:$D,0)), "INC")</f>
        <v>859767</v>
      </c>
      <c r="E935" s="9" t="str">
        <f t="array" ref="E935">IFERROR(INDEX(data!H:H,match(Caseslist!B935,data!D:D,0)), "INC")</f>
        <v>Ramie De Pedro Jr.</v>
      </c>
      <c r="F935" s="10" t="str">
        <f t="array" ref="F935">IF(
    OR(
      IFNA(INDEX(data!M:M, MATCH(Caseslist!B935, data!D:D, 0)), "") = "",
      IFNA(INDEX(data!M:M, MATCH(Caseslist!B935, data!D:D, 0)), 0) = 0
    ),
    "COMPLETE",
    IF(
      IFNA(INDEX(dataICM!D:D, MATCH(Caseslist!B935, dataICM!D:D, 0)), "INC") = "INC",
      IFNA(INDEX(dataICM!D:D, MATCH(Caseslist!B935, dataICM!D:D, 0)), "INC"),
      "COMPLETE"
    )
  )</f>
        <v>COMPLETE</v>
      </c>
      <c r="G935" s="10" t="str">
        <f t="array" ref="G935">IF(IFERROR(INDEX(data!L:L,match(Caseslist!B935,data!D:D,0)),"INC")="","COMPLETE",F935)</f>
        <v>COMPLETE</v>
      </c>
      <c r="H935" s="9" t="str">
        <f t="array" ref="H935">IFERROR(INDEX(dataICM!F:F,match(Caseslist!B935,dataICM!D:D,0)), "INC")</f>
        <v>INC</v>
      </c>
      <c r="I935" s="10">
        <f t="shared" si="2"/>
        <v>859767</v>
      </c>
      <c r="J935" s="9" t="str">
        <f t="array" ref="J935">IF(
  AND(
    IFERROR(MATCH(B935, data!D:D, 0), 0) &gt; 0,
    IFERROR(INDEX(data!N:N, MATCH(B935, data!D:D, 0)) = 1, FALSE)
  ),
  INDEX(data!C:C, MATCH(B935, data!D:D, 0)),
  "INC"
)</f>
        <v>2025-08-28T14:49:55.547+08</v>
      </c>
      <c r="K935" s="9" t="str">
        <f t="array" ref="K935">IFERROR(INDEX(dataICM!C:C,match(Caseslist!B935,dataICM!D:D,0)), "INC")</f>
        <v>INC</v>
      </c>
      <c r="L935" s="10" t="str">
        <f t="array" ref="L935">IF(AND(G935="COMPLETE", OR(K935="INC", ISBLANK(INDEX(data!O:O, ROW())))), J935, K935)</f>
        <v>2025-08-28T14:49:55.547+08</v>
      </c>
      <c r="M935" s="2">
        <v>45897.0</v>
      </c>
      <c r="N935" s="2">
        <f t="array" ref="N935">IF(M935&lt;&gt;"INC", INDEX(data!M:M, MATCH(B935, data!D:D, 0)), "")</f>
        <v>0</v>
      </c>
      <c r="O935" s="2">
        <f t="shared" si="3"/>
        <v>0</v>
      </c>
    </row>
    <row r="936">
      <c r="A936" s="2" t="str">
        <f t="shared" si="1"/>
        <v>H019687</v>
      </c>
      <c r="B936" s="1" t="s">
        <v>979</v>
      </c>
      <c r="C936" s="9" t="str">
        <f t="array" ref="C936">IF(
  AND(
    IFERROR(MATCH(Caseslist!B936, data!D:D, 0), 0) &gt; 0,
    IFERROR(INDEX(data!N:N, MATCH(Caseslist!B936, data!D:D, 0)) = 1, FALSE)
  ),
  "COMPLETE",
  "INC"
)</f>
        <v>COMPLETE</v>
      </c>
      <c r="D936" s="9">
        <f t="array" ref="D936">IFERROR(INDEX(data!$G:$G,match(Caseslist!B936,data!$D:$D,0)), "INC")</f>
        <v>859767</v>
      </c>
      <c r="E936" s="9" t="str">
        <f t="array" ref="E936">IFERROR(INDEX(data!H:H,match(Caseslist!B936,data!D:D,0)), "INC")</f>
        <v>Ramie De Pedro Jr.</v>
      </c>
      <c r="F936" s="10" t="str">
        <f t="array" ref="F936">IF(
    OR(
      IFNA(INDEX(data!M:M, MATCH(Caseslist!B936, data!D:D, 0)), "") = "",
      IFNA(INDEX(data!M:M, MATCH(Caseslist!B936, data!D:D, 0)), 0) = 0
    ),
    "COMPLETE",
    IF(
      IFNA(INDEX(dataICM!D:D, MATCH(Caseslist!B936, dataICM!D:D, 0)), "INC") = "INC",
      IFNA(INDEX(dataICM!D:D, MATCH(Caseslist!B936, dataICM!D:D, 0)), "INC"),
      "COMPLETE"
    )
  )</f>
        <v>COMPLETE</v>
      </c>
      <c r="G936" s="10" t="str">
        <f t="array" ref="G936">IF(IFERROR(INDEX(data!L:L,match(Caseslist!B936,data!D:D,0)),"INC")="","COMPLETE",F936)</f>
        <v>COMPLETE</v>
      </c>
      <c r="H936" s="9" t="str">
        <f t="array" ref="H936">IFERROR(INDEX(dataICM!F:F,match(Caseslist!B936,dataICM!D:D,0)), "INC")</f>
        <v>INC</v>
      </c>
      <c r="I936" s="10">
        <f t="shared" si="2"/>
        <v>859767</v>
      </c>
      <c r="J936" s="9" t="str">
        <f t="array" ref="J936">IF(
  AND(
    IFERROR(MATCH(B936, data!D:D, 0), 0) &gt; 0,
    IFERROR(INDEX(data!N:N, MATCH(B936, data!D:D, 0)) = 1, FALSE)
  ),
  INDEX(data!C:C, MATCH(B936, data!D:D, 0)),
  "INC"
)</f>
        <v>2025-08-28T10:50:22.462+08</v>
      </c>
      <c r="K936" s="9" t="str">
        <f t="array" ref="K936">IFERROR(INDEX(dataICM!C:C,match(Caseslist!B936,dataICM!D:D,0)), "INC")</f>
        <v>INC</v>
      </c>
      <c r="L936" s="10" t="str">
        <f t="array" ref="L936">IF(AND(G936="COMPLETE", OR(K936="INC", ISBLANK(INDEX(data!O:O, ROW())))), J936, K936)</f>
        <v>2025-08-28T10:50:22.462+08</v>
      </c>
      <c r="M936" s="2">
        <v>45897.0</v>
      </c>
      <c r="N936" s="2">
        <f t="array" ref="N936">IF(M936&lt;&gt;"INC", INDEX(data!M:M, MATCH(B936, data!D:D, 0)), "")</f>
        <v>0</v>
      </c>
      <c r="O936" s="2">
        <f t="shared" si="3"/>
        <v>0</v>
      </c>
    </row>
    <row r="937">
      <c r="A937" s="2" t="str">
        <f t="shared" si="1"/>
        <v>H019687</v>
      </c>
      <c r="B937" s="1" t="s">
        <v>999</v>
      </c>
      <c r="C937" s="9" t="str">
        <f t="array" ref="C937">IF(
  AND(
    IFERROR(MATCH(Caseslist!B937, data!D:D, 0), 0) &gt; 0,
    IFERROR(INDEX(data!N:N, MATCH(Caseslist!B937, data!D:D, 0)) = 1, FALSE)
  ),
  "COMPLETE",
  "INC"
)</f>
        <v>COMPLETE</v>
      </c>
      <c r="D937" s="9">
        <f t="array" ref="D937">IFERROR(INDEX(data!$G:$G,match(Caseslist!B937,data!$D:$D,0)), "INC")</f>
        <v>859767</v>
      </c>
      <c r="E937" s="9" t="str">
        <f t="array" ref="E937">IFERROR(INDEX(data!H:H,match(Caseslist!B937,data!D:D,0)), "INC")</f>
        <v>Ramie De Pedro Jr.</v>
      </c>
      <c r="F937" s="10" t="str">
        <f t="array" ref="F937">IF(
    OR(
      IFNA(INDEX(data!M:M, MATCH(Caseslist!B937, data!D:D, 0)), "") = "",
      IFNA(INDEX(data!M:M, MATCH(Caseslist!B937, data!D:D, 0)), 0) = 0
    ),
    "COMPLETE",
    IF(
      IFNA(INDEX(dataICM!D:D, MATCH(Caseslist!B937, dataICM!D:D, 0)), "INC") = "INC",
      IFNA(INDEX(dataICM!D:D, MATCH(Caseslist!B937, dataICM!D:D, 0)), "INC"),
      "COMPLETE"
    )
  )</f>
        <v>COMPLETE</v>
      </c>
      <c r="G937" s="10" t="str">
        <f t="array" ref="G937">IF(IFERROR(INDEX(data!L:L,match(Caseslist!B937,data!D:D,0)),"INC")="","COMPLETE",F937)</f>
        <v>COMPLETE</v>
      </c>
      <c r="H937" s="9" t="str">
        <f t="array" ref="H937">IFERROR(INDEX(dataICM!F:F,match(Caseslist!B937,dataICM!D:D,0)), "INC")</f>
        <v>INC</v>
      </c>
      <c r="I937" s="10">
        <f t="shared" si="2"/>
        <v>859767</v>
      </c>
      <c r="J937" s="9" t="str">
        <f t="array" ref="J937">IF(
  AND(
    IFERROR(MATCH(B937, data!D:D, 0), 0) &gt; 0,
    IFERROR(INDEX(data!N:N, MATCH(B937, data!D:D, 0)) = 1, FALSE)
  ),
  INDEX(data!C:C, MATCH(B937, data!D:D, 0)),
  "INC"
)</f>
        <v>2025-08-29T13:23:35.369+08</v>
      </c>
      <c r="K937" s="9" t="str">
        <f t="array" ref="K937">IFERROR(INDEX(dataICM!C:C,match(Caseslist!B937,dataICM!D:D,0)), "INC")</f>
        <v>INC</v>
      </c>
      <c r="L937" s="10" t="str">
        <f t="array" ref="L937">IF(AND(G937="COMPLETE", OR(K937="INC", ISBLANK(INDEX(data!O:O, ROW())))), J937, K937)</f>
        <v>2025-08-29T13:23:35.369+08</v>
      </c>
      <c r="M937" s="2">
        <v>45898.0</v>
      </c>
      <c r="N937" s="2">
        <f t="array" ref="N937">IF(M937&lt;&gt;"INC", INDEX(data!M:M, MATCH(B937, data!D:D, 0)), "")</f>
        <v>0</v>
      </c>
      <c r="O937" s="2">
        <f t="shared" si="3"/>
        <v>0</v>
      </c>
    </row>
    <row r="938">
      <c r="A938" s="2" t="str">
        <f t="shared" si="1"/>
        <v>H019687</v>
      </c>
      <c r="B938" s="1" t="s">
        <v>1372</v>
      </c>
      <c r="C938" s="9" t="str">
        <f t="array" ref="C938">IF(
  AND(
    IFERROR(MATCH(Caseslist!B938, data!D:D, 0), 0) &gt; 0,
    IFERROR(INDEX(data!N:N, MATCH(Caseslist!B938, data!D:D, 0)) = 1, FALSE)
  ),
  "COMPLETE",
  "INC"
)</f>
        <v>COMPLETE</v>
      </c>
      <c r="D938" s="9">
        <f t="array" ref="D938">IFERROR(INDEX(data!$G:$G,match(Caseslist!B938,data!$D:$D,0)), "INC")</f>
        <v>859767</v>
      </c>
      <c r="E938" s="9" t="str">
        <f t="array" ref="E938">IFERROR(INDEX(data!H:H,match(Caseslist!B938,data!D:D,0)), "INC")</f>
        <v>Ramie De Pedro Jr.</v>
      </c>
      <c r="F938" s="10" t="str">
        <f t="array" ref="F938">IF(
    OR(
      IFNA(INDEX(data!M:M, MATCH(Caseslist!B938, data!D:D, 0)), "") = "",
      IFNA(INDEX(data!M:M, MATCH(Caseslist!B938, data!D:D, 0)), 0) = 0
    ),
    "COMPLETE",
    IF(
      IFNA(INDEX(dataICM!D:D, MATCH(Caseslist!B938, dataICM!D:D, 0)), "INC") = "INC",
      IFNA(INDEX(dataICM!D:D, MATCH(Caseslist!B938, dataICM!D:D, 0)), "INC"),
      "COMPLETE"
    )
  )</f>
        <v>COMPLETE</v>
      </c>
      <c r="G938" s="10" t="str">
        <f t="array" ref="G938">IF(IFERROR(INDEX(data!L:L,match(Caseslist!B938,data!D:D,0)),"INC")="","COMPLETE",F938)</f>
        <v>COMPLETE</v>
      </c>
      <c r="H938" s="9" t="str">
        <f t="array" ref="H938">IFERROR(INDEX(dataICM!F:F,match(Caseslist!B938,dataICM!D:D,0)), "INC")</f>
        <v>INC</v>
      </c>
      <c r="I938" s="10">
        <f t="shared" si="2"/>
        <v>859767</v>
      </c>
      <c r="J938" s="9" t="str">
        <f t="array" ref="J938">IF(
  AND(
    IFERROR(MATCH(B938, data!D:D, 0), 0) &gt; 0,
    IFERROR(INDEX(data!N:N, MATCH(B938, data!D:D, 0)) = 1, FALSE)
  ),
  INDEX(data!C:C, MATCH(B938, data!D:D, 0)),
  "INC"
)</f>
        <v>2025-08-29T11:38:46.875+08</v>
      </c>
      <c r="K938" s="9" t="str">
        <f t="array" ref="K938">IFERROR(INDEX(dataICM!C:C,match(Caseslist!B938,dataICM!D:D,0)), "INC")</f>
        <v>INC</v>
      </c>
      <c r="L938" s="10" t="str">
        <f t="array" ref="L938">IF(AND(G938="COMPLETE", OR(K938="INC", ISBLANK(INDEX(data!O:O, ROW())))), J938, K938)</f>
        <v>2025-08-29T11:38:46.875+08</v>
      </c>
      <c r="M938" s="2">
        <v>45898.0</v>
      </c>
      <c r="N938" s="2">
        <f t="array" ref="N938">IF(M938&lt;&gt;"INC", INDEX(data!M:M, MATCH(B938, data!D:D, 0)), "")</f>
        <v>0</v>
      </c>
      <c r="O938" s="2">
        <f t="shared" si="3"/>
        <v>0</v>
      </c>
    </row>
    <row r="939">
      <c r="A939" s="2" t="str">
        <f t="shared" si="1"/>
        <v>H019687</v>
      </c>
      <c r="B939" s="1" t="s">
        <v>984</v>
      </c>
      <c r="C939" s="9" t="str">
        <f t="array" ref="C939">IF(
  AND(
    IFERROR(MATCH(Caseslist!B939, data!D:D, 0), 0) &gt; 0,
    IFERROR(INDEX(data!N:N, MATCH(Caseslist!B939, data!D:D, 0)) = 1, FALSE)
  ),
  "COMPLETE",
  "INC"
)</f>
        <v>COMPLETE</v>
      </c>
      <c r="D939" s="9">
        <f t="array" ref="D939">IFERROR(INDEX(data!$G:$G,match(Caseslist!B939,data!$D:$D,0)), "INC")</f>
        <v>859767</v>
      </c>
      <c r="E939" s="9" t="str">
        <f t="array" ref="E939">IFERROR(INDEX(data!H:H,match(Caseslist!B939,data!D:D,0)), "INC")</f>
        <v>Ramie De Pedro Jr.</v>
      </c>
      <c r="F939" s="10" t="str">
        <f t="array" ref="F939">IF(
    OR(
      IFNA(INDEX(data!M:M, MATCH(Caseslist!B939, data!D:D, 0)), "") = "",
      IFNA(INDEX(data!M:M, MATCH(Caseslist!B939, data!D:D, 0)), 0) = 0
    ),
    "COMPLETE",
    IF(
      IFNA(INDEX(dataICM!D:D, MATCH(Caseslist!B939, dataICM!D:D, 0)), "INC") = "INC",
      IFNA(INDEX(dataICM!D:D, MATCH(Caseslist!B939, dataICM!D:D, 0)), "INC"),
      "COMPLETE"
    )
  )</f>
        <v>COMPLETE</v>
      </c>
      <c r="G939" s="10" t="str">
        <f t="array" ref="G939">IF(IFERROR(INDEX(data!L:L,match(Caseslist!B939,data!D:D,0)),"INC")="","COMPLETE",F939)</f>
        <v>COMPLETE</v>
      </c>
      <c r="H939" s="9" t="str">
        <f t="array" ref="H939">IFERROR(INDEX(dataICM!F:F,match(Caseslist!B939,dataICM!D:D,0)), "INC")</f>
        <v>INC</v>
      </c>
      <c r="I939" s="10">
        <f t="shared" si="2"/>
        <v>859767</v>
      </c>
      <c r="J939" s="9" t="str">
        <f t="array" ref="J939">IF(
  AND(
    IFERROR(MATCH(B939, data!D:D, 0), 0) &gt; 0,
    IFERROR(INDEX(data!N:N, MATCH(B939, data!D:D, 0)) = 1, FALSE)
  ),
  INDEX(data!C:C, MATCH(B939, data!D:D, 0)),
  "INC"
)</f>
        <v>2025-08-28T12:14:35.984+08</v>
      </c>
      <c r="K939" s="9" t="str">
        <f t="array" ref="K939">IFERROR(INDEX(dataICM!C:C,match(Caseslist!B939,dataICM!D:D,0)), "INC")</f>
        <v>INC</v>
      </c>
      <c r="L939" s="10" t="str">
        <f t="array" ref="L939">IF(AND(G939="COMPLETE", OR(K939="INC", ISBLANK(INDEX(data!O:O, ROW())))), J939, K939)</f>
        <v>2025-08-28T12:14:35.984+08</v>
      </c>
      <c r="M939" s="2">
        <v>45897.0</v>
      </c>
      <c r="N939" s="2">
        <f t="array" ref="N939">IF(M939&lt;&gt;"INC", INDEX(data!M:M, MATCH(B939, data!D:D, 0)), "")</f>
        <v>0</v>
      </c>
      <c r="O939" s="2">
        <f t="shared" si="3"/>
        <v>0</v>
      </c>
    </row>
    <row r="940">
      <c r="A940" s="2" t="str">
        <f t="shared" si="1"/>
        <v>H019687</v>
      </c>
      <c r="B940" s="1" t="s">
        <v>1687</v>
      </c>
      <c r="C940" s="9" t="str">
        <f t="array" ref="C940">IF(
  AND(
    IFERROR(MATCH(Caseslist!B940, data!D:D, 0), 0) &gt; 0,
    IFERROR(INDEX(data!N:N, MATCH(Caseslist!B940, data!D:D, 0)) = 1, FALSE)
  ),
  "COMPLETE",
  "INC"
)</f>
        <v>COMPLETE</v>
      </c>
      <c r="D940" s="9">
        <f t="array" ref="D940">IFERROR(INDEX(data!$G:$G,match(Caseslist!B940,data!$D:$D,0)), "INC")</f>
        <v>729375</v>
      </c>
      <c r="E940" s="9" t="str">
        <f t="array" ref="E940">IFERROR(INDEX(data!H:H,match(Caseslist!B940,data!D:D,0)), "INC")</f>
        <v>Janet Serafica</v>
      </c>
      <c r="F940" s="10" t="str">
        <f t="array" ref="F940">IF(
    OR(
      IFNA(INDEX(data!M:M, MATCH(Caseslist!B940, data!D:D, 0)), "") = "",
      IFNA(INDEX(data!M:M, MATCH(Caseslist!B940, data!D:D, 0)), 0) = 0
    ),
    "COMPLETE",
    IF(
      IFNA(INDEX(dataICM!D:D, MATCH(Caseslist!B940, dataICM!D:D, 0)), "INC") = "INC",
      IFNA(INDEX(dataICM!D:D, MATCH(Caseslist!B940, dataICM!D:D, 0)), "INC"),
      "COMPLETE"
    )
  )</f>
        <v>COMPLETE</v>
      </c>
      <c r="G940" s="10" t="str">
        <f t="array" ref="G940">IF(IFERROR(INDEX(data!L:L,match(Caseslist!B940,data!D:D,0)),"INC")="","COMPLETE",F940)</f>
        <v>COMPLETE</v>
      </c>
      <c r="H940" s="9" t="str">
        <f t="array" ref="H940">IFERROR(INDEX(dataICM!F:F,match(Caseslist!B940,dataICM!D:D,0)), "INC")</f>
        <v>INC</v>
      </c>
      <c r="I940" s="10">
        <f t="shared" si="2"/>
        <v>729375</v>
      </c>
      <c r="J940" s="9" t="str">
        <f t="array" ref="J940">IF(
  AND(
    IFERROR(MATCH(B940, data!D:D, 0), 0) &gt; 0,
    IFERROR(INDEX(data!N:N, MATCH(B940, data!D:D, 0)) = 1, FALSE)
  ),
  INDEX(data!C:C, MATCH(B940, data!D:D, 0)),
  "INC"
)</f>
        <v>2025-08-29T11:51:12.984+08</v>
      </c>
      <c r="K940" s="9" t="str">
        <f t="array" ref="K940">IFERROR(INDEX(dataICM!C:C,match(Caseslist!B940,dataICM!D:D,0)), "INC")</f>
        <v>INC</v>
      </c>
      <c r="L940" s="10" t="str">
        <f t="array" ref="L940">IF(AND(G940="COMPLETE", OR(K940="INC", ISBLANK(INDEX(data!O:O, ROW())))), J940, K940)</f>
        <v>2025-08-29T11:51:12.984+08</v>
      </c>
      <c r="M940" s="2">
        <v>45898.0</v>
      </c>
      <c r="N940" s="2">
        <f t="array" ref="N940">IF(M940&lt;&gt;"INC", INDEX(data!M:M, MATCH(B940, data!D:D, 0)), "")</f>
        <v>0</v>
      </c>
      <c r="O940" s="2">
        <f t="shared" si="3"/>
        <v>0</v>
      </c>
    </row>
    <row r="941">
      <c r="A941" s="2" t="str">
        <f t="shared" si="1"/>
        <v>H019687</v>
      </c>
      <c r="B941" s="1" t="s">
        <v>989</v>
      </c>
      <c r="C941" s="9" t="str">
        <f t="array" ref="C941">IF(
  AND(
    IFERROR(MATCH(Caseslist!B941, data!D:D, 0), 0) &gt; 0,
    IFERROR(INDEX(data!N:N, MATCH(Caseslist!B941, data!D:D, 0)) = 1, FALSE)
  ),
  "COMPLETE",
  "INC"
)</f>
        <v>COMPLETE</v>
      </c>
      <c r="D941" s="9">
        <f t="array" ref="D941">IFERROR(INDEX(data!$G:$G,match(Caseslist!B941,data!$D:$D,0)), "INC")</f>
        <v>859767</v>
      </c>
      <c r="E941" s="9" t="str">
        <f t="array" ref="E941">IFERROR(INDEX(data!H:H,match(Caseslist!B941,data!D:D,0)), "INC")</f>
        <v>Ramie De Pedro Jr.</v>
      </c>
      <c r="F941" s="10" t="str">
        <f t="array" ref="F941">IF(
    OR(
      IFNA(INDEX(data!M:M, MATCH(Caseslist!B941, data!D:D, 0)), "") = "",
      IFNA(INDEX(data!M:M, MATCH(Caseslist!B941, data!D:D, 0)), 0) = 0
    ),
    "COMPLETE",
    IF(
      IFNA(INDEX(dataICM!D:D, MATCH(Caseslist!B941, dataICM!D:D, 0)), "INC") = "INC",
      IFNA(INDEX(dataICM!D:D, MATCH(Caseslist!B941, dataICM!D:D, 0)), "INC"),
      "COMPLETE"
    )
  )</f>
        <v>COMPLETE</v>
      </c>
      <c r="G941" s="10" t="str">
        <f t="array" ref="G941">IF(IFERROR(INDEX(data!L:L,match(Caseslist!B941,data!D:D,0)),"INC")="","COMPLETE",F941)</f>
        <v>COMPLETE</v>
      </c>
      <c r="H941" s="9" t="str">
        <f t="array" ref="H941">IFERROR(INDEX(dataICM!F:F,match(Caseslist!B941,dataICM!D:D,0)), "INC")</f>
        <v>INC</v>
      </c>
      <c r="I941" s="10">
        <f t="shared" si="2"/>
        <v>859767</v>
      </c>
      <c r="J941" s="9" t="str">
        <f t="array" ref="J941">IF(
  AND(
    IFERROR(MATCH(B941, data!D:D, 0), 0) &gt; 0,
    IFERROR(INDEX(data!N:N, MATCH(B941, data!D:D, 0)) = 1, FALSE)
  ),
  INDEX(data!C:C, MATCH(B941, data!D:D, 0)),
  "INC"
)</f>
        <v>2025-08-28T13:55:19.429+08</v>
      </c>
      <c r="K941" s="9" t="str">
        <f t="array" ref="K941">IFERROR(INDEX(dataICM!C:C,match(Caseslist!B941,dataICM!D:D,0)), "INC")</f>
        <v>INC</v>
      </c>
      <c r="L941" s="10" t="str">
        <f t="array" ref="L941">IF(AND(G941="COMPLETE", OR(K941="INC", ISBLANK(INDEX(data!O:O, ROW())))), J941, K941)</f>
        <v>2025-08-28T13:55:19.429+08</v>
      </c>
      <c r="M941" s="2">
        <v>45897.0</v>
      </c>
      <c r="N941" s="2">
        <f t="array" ref="N941">IF(M941&lt;&gt;"INC", INDEX(data!M:M, MATCH(B941, data!D:D, 0)), "")</f>
        <v>0</v>
      </c>
      <c r="O941" s="2">
        <f t="shared" si="3"/>
        <v>0</v>
      </c>
    </row>
    <row r="942">
      <c r="A942" s="2" t="str">
        <f t="shared" si="1"/>
        <v>H019687</v>
      </c>
      <c r="B942" s="1" t="s">
        <v>1672</v>
      </c>
      <c r="C942" s="9" t="str">
        <f t="array" ref="C942">IF(
  AND(
    IFERROR(MATCH(Caseslist!B942, data!D:D, 0), 0) &gt; 0,
    IFERROR(INDEX(data!N:N, MATCH(Caseslist!B942, data!D:D, 0)) = 1, FALSE)
  ),
  "COMPLETE",
  "INC"
)</f>
        <v>COMPLETE</v>
      </c>
      <c r="D942" s="9" t="str">
        <f t="array" ref="D942">IFERROR(INDEX(data!$G:$G,match(Caseslist!B942,data!$D:$D,0)), "INC")</f>
        <v>S2671943</v>
      </c>
      <c r="E942" s="9" t="str">
        <f t="array" ref="E942">IFERROR(INDEX(data!H:H,match(Caseslist!B942,data!D:D,0)), "INC")</f>
        <v>Marvin Mondia</v>
      </c>
      <c r="F942" s="10" t="str">
        <f t="array" ref="F942">IF(
    OR(
      IFNA(INDEX(data!M:M, MATCH(Caseslist!B942, data!D:D, 0)), "") = "",
      IFNA(INDEX(data!M:M, MATCH(Caseslist!B942, data!D:D, 0)), 0) = 0
    ),
    "COMPLETE",
    IF(
      IFNA(INDEX(dataICM!D:D, MATCH(Caseslist!B942, dataICM!D:D, 0)), "INC") = "INC",
      IFNA(INDEX(dataICM!D:D, MATCH(Caseslist!B942, dataICM!D:D, 0)), "INC"),
      "COMPLETE"
    )
  )</f>
        <v>COMPLETE</v>
      </c>
      <c r="G942" s="10" t="str">
        <f t="array" ref="G942">IF(IFERROR(INDEX(data!L:L,match(Caseslist!B942,data!D:D,0)),"INC")="","COMPLETE",F942)</f>
        <v>COMPLETE</v>
      </c>
      <c r="H942" s="9" t="str">
        <f t="array" ref="H942">IFERROR(INDEX(dataICM!F:F,match(Caseslist!B942,dataICM!D:D,0)), "INC")</f>
        <v>INC</v>
      </c>
      <c r="I942" s="10" t="str">
        <f t="shared" si="2"/>
        <v>S2671943</v>
      </c>
      <c r="J942" s="9" t="str">
        <f t="array" ref="J942">IF(
  AND(
    IFERROR(MATCH(B942, data!D:D, 0), 0) &gt; 0,
    IFERROR(INDEX(data!N:N, MATCH(B942, data!D:D, 0)) = 1, FALSE)
  ),
  INDEX(data!C:C, MATCH(B942, data!D:D, 0)),
  "INC"
)</f>
        <v>2025-08-29T11:59:13.752+08</v>
      </c>
      <c r="K942" s="9" t="str">
        <f t="array" ref="K942">IFERROR(INDEX(dataICM!C:C,match(Caseslist!B942,dataICM!D:D,0)), "INC")</f>
        <v>INC</v>
      </c>
      <c r="L942" s="10" t="str">
        <f t="array" ref="L942">IF(AND(G942="COMPLETE", OR(K942="INC", ISBLANK(INDEX(data!O:O, ROW())))), J942, K942)</f>
        <v>2025-08-29T11:59:13.752+08</v>
      </c>
      <c r="M942" s="2">
        <v>45898.0</v>
      </c>
      <c r="N942" s="2">
        <f t="array" ref="N942">IF(M942&lt;&gt;"INC", INDEX(data!M:M, MATCH(B942, data!D:D, 0)), "")</f>
        <v>0</v>
      </c>
      <c r="O942" s="2">
        <f t="shared" si="3"/>
        <v>0</v>
      </c>
    </row>
    <row r="943">
      <c r="A943" s="2" t="str">
        <f t="shared" si="1"/>
        <v>H019687</v>
      </c>
      <c r="B943" s="1" t="s">
        <v>1657</v>
      </c>
      <c r="C943" s="9" t="str">
        <f t="array" ref="C943">IF(
  AND(
    IFERROR(MATCH(Caseslist!B943, data!D:D, 0), 0) &gt; 0,
    IFERROR(INDEX(data!N:N, MATCH(Caseslist!B943, data!D:D, 0)) = 1, FALSE)
  ),
  "COMPLETE",
  "INC"
)</f>
        <v>COMPLETE</v>
      </c>
      <c r="D943" s="9" t="str">
        <f t="array" ref="D943">IFERROR(INDEX(data!$G:$G,match(Caseslist!B943,data!$D:$D,0)), "INC")</f>
        <v>S2671943</v>
      </c>
      <c r="E943" s="9" t="str">
        <f t="array" ref="E943">IFERROR(INDEX(data!H:H,match(Caseslist!B943,data!D:D,0)), "INC")</f>
        <v>Marvin Mondia</v>
      </c>
      <c r="F943" s="10" t="str">
        <f t="array" ref="F943">IF(
    OR(
      IFNA(INDEX(data!M:M, MATCH(Caseslist!B943, data!D:D, 0)), "") = "",
      IFNA(INDEX(data!M:M, MATCH(Caseslist!B943, data!D:D, 0)), 0) = 0
    ),
    "COMPLETE",
    IF(
      IFNA(INDEX(dataICM!D:D, MATCH(Caseslist!B943, dataICM!D:D, 0)), "INC") = "INC",
      IFNA(INDEX(dataICM!D:D, MATCH(Caseslist!B943, dataICM!D:D, 0)), "INC"),
      "COMPLETE"
    )
  )</f>
        <v>COMPLETE</v>
      </c>
      <c r="G943" s="10" t="str">
        <f t="array" ref="G943">IF(IFERROR(INDEX(data!L:L,match(Caseslist!B943,data!D:D,0)),"INC")="","COMPLETE",F943)</f>
        <v>COMPLETE</v>
      </c>
      <c r="H943" s="9" t="str">
        <f t="array" ref="H943">IFERROR(INDEX(dataICM!F:F,match(Caseslist!B943,dataICM!D:D,0)), "INC")</f>
        <v>INC</v>
      </c>
      <c r="I943" s="10" t="str">
        <f t="shared" si="2"/>
        <v>S2671943</v>
      </c>
      <c r="J943" s="9" t="str">
        <f t="array" ref="J943">IF(
  AND(
    IFERROR(MATCH(B943, data!D:D, 0), 0) &gt; 0,
    IFERROR(INDEX(data!N:N, MATCH(B943, data!D:D, 0)) = 1, FALSE)
  ),
  INDEX(data!C:C, MATCH(B943, data!D:D, 0)),
  "INC"
)</f>
        <v>2025-08-29T12:57:07.506+08</v>
      </c>
      <c r="K943" s="9" t="str">
        <f t="array" ref="K943">IFERROR(INDEX(dataICM!C:C,match(Caseslist!B943,dataICM!D:D,0)), "INC")</f>
        <v>INC</v>
      </c>
      <c r="L943" s="10" t="str">
        <f t="array" ref="L943">IF(AND(G943="COMPLETE", OR(K943="INC", ISBLANK(INDEX(data!O:O, ROW())))), J943, K943)</f>
        <v>2025-08-29T12:57:07.506+08</v>
      </c>
      <c r="M943" s="2">
        <v>45898.0</v>
      </c>
      <c r="N943" s="2">
        <f t="array" ref="N943">IF(M943&lt;&gt;"INC", INDEX(data!M:M, MATCH(B943, data!D:D, 0)), "")</f>
        <v>0</v>
      </c>
      <c r="O943" s="2">
        <f t="shared" si="3"/>
        <v>0</v>
      </c>
    </row>
    <row r="944">
      <c r="A944" s="2" t="str">
        <f t="shared" si="1"/>
        <v>H019687</v>
      </c>
      <c r="B944" s="1" t="s">
        <v>1667</v>
      </c>
      <c r="C944" s="9" t="str">
        <f t="array" ref="C944">IF(
  AND(
    IFERROR(MATCH(Caseslist!B944, data!D:D, 0), 0) &gt; 0,
    IFERROR(INDEX(data!N:N, MATCH(Caseslist!B944, data!D:D, 0)) = 1, FALSE)
  ),
  "COMPLETE",
  "INC"
)</f>
        <v>COMPLETE</v>
      </c>
      <c r="D944" s="9" t="str">
        <f t="array" ref="D944">IFERROR(INDEX(data!$G:$G,match(Caseslist!B944,data!$D:$D,0)), "INC")</f>
        <v>S2671943</v>
      </c>
      <c r="E944" s="9" t="str">
        <f t="array" ref="E944">IFERROR(INDEX(data!H:H,match(Caseslist!B944,data!D:D,0)), "INC")</f>
        <v>Marvin Mondia</v>
      </c>
      <c r="F944" s="10" t="str">
        <f t="array" ref="F944">IF(
    OR(
      IFNA(INDEX(data!M:M, MATCH(Caseslist!B944, data!D:D, 0)), "") = "",
      IFNA(INDEX(data!M:M, MATCH(Caseslist!B944, data!D:D, 0)), 0) = 0
    ),
    "COMPLETE",
    IF(
      IFNA(INDEX(dataICM!D:D, MATCH(Caseslist!B944, dataICM!D:D, 0)), "INC") = "INC",
      IFNA(INDEX(dataICM!D:D, MATCH(Caseslist!B944, dataICM!D:D, 0)), "INC"),
      "COMPLETE"
    )
  )</f>
        <v>COMPLETE</v>
      </c>
      <c r="G944" s="10" t="str">
        <f t="array" ref="G944">IF(IFERROR(INDEX(data!L:L,match(Caseslist!B944,data!D:D,0)),"INC")="","COMPLETE",F944)</f>
        <v>COMPLETE</v>
      </c>
      <c r="H944" s="9" t="str">
        <f t="array" ref="H944">IFERROR(INDEX(dataICM!F:F,match(Caseslist!B944,dataICM!D:D,0)), "INC")</f>
        <v>INC</v>
      </c>
      <c r="I944" s="10" t="str">
        <f t="shared" si="2"/>
        <v>S2671943</v>
      </c>
      <c r="J944" s="9" t="str">
        <f t="array" ref="J944">IF(
  AND(
    IFERROR(MATCH(B944, data!D:D, 0), 0) &gt; 0,
    IFERROR(INDEX(data!N:N, MATCH(B944, data!D:D, 0)) = 1, FALSE)
  ),
  INDEX(data!C:C, MATCH(B944, data!D:D, 0)),
  "INC"
)</f>
        <v>2025-08-29T20:33:48.933+08</v>
      </c>
      <c r="K944" s="9" t="str">
        <f t="array" ref="K944">IFERROR(INDEX(dataICM!C:C,match(Caseslist!B944,dataICM!D:D,0)), "INC")</f>
        <v>INC</v>
      </c>
      <c r="L944" s="10" t="str">
        <f t="array" ref="L944">IF(AND(G944="COMPLETE", OR(K944="INC", ISBLANK(INDEX(data!O:O, ROW())))), J944, K944)</f>
        <v>2025-08-29T20:33:48.933+08</v>
      </c>
      <c r="M944" s="2">
        <v>45898.0</v>
      </c>
      <c r="N944" s="2">
        <f t="array" ref="N944">IF(M944&lt;&gt;"INC", INDEX(data!M:M, MATCH(B944, data!D:D, 0)), "")</f>
        <v>0</v>
      </c>
      <c r="O944" s="2">
        <f t="shared" si="3"/>
        <v>0</v>
      </c>
    </row>
    <row r="945">
      <c r="A945" s="2" t="str">
        <f t="shared" si="1"/>
        <v>H019687</v>
      </c>
      <c r="B945" s="1" t="s">
        <v>1692</v>
      </c>
      <c r="C945" s="9" t="str">
        <f t="array" ref="C945">IF(
  AND(
    IFERROR(MATCH(Caseslist!B945, data!D:D, 0), 0) &gt; 0,
    IFERROR(INDEX(data!N:N, MATCH(Caseslist!B945, data!D:D, 0)) = 1, FALSE)
  ),
  "COMPLETE",
  "INC"
)</f>
        <v>COMPLETE</v>
      </c>
      <c r="D945" s="9">
        <f t="array" ref="D945">IFERROR(INDEX(data!$G:$G,match(Caseslist!B945,data!$D:$D,0)), "INC")</f>
        <v>729375</v>
      </c>
      <c r="E945" s="9" t="str">
        <f t="array" ref="E945">IFERROR(INDEX(data!H:H,match(Caseslist!B945,data!D:D,0)), "INC")</f>
        <v>Janet Serafica</v>
      </c>
      <c r="F945" s="10" t="str">
        <f t="array" ref="F945">IF(
    OR(
      IFNA(INDEX(data!M:M, MATCH(Caseslist!B945, data!D:D, 0)), "") = "",
      IFNA(INDEX(data!M:M, MATCH(Caseslist!B945, data!D:D, 0)), 0) = 0
    ),
    "COMPLETE",
    IF(
      IFNA(INDEX(dataICM!D:D, MATCH(Caseslist!B945, dataICM!D:D, 0)), "INC") = "INC",
      IFNA(INDEX(dataICM!D:D, MATCH(Caseslist!B945, dataICM!D:D, 0)), "INC"),
      "COMPLETE"
    )
  )</f>
        <v>COMPLETE</v>
      </c>
      <c r="G945" s="10" t="str">
        <f t="array" ref="G945">IF(IFERROR(INDEX(data!L:L,match(Caseslist!B945,data!D:D,0)),"INC")="","COMPLETE",F945)</f>
        <v>COMPLETE</v>
      </c>
      <c r="H945" s="9" t="str">
        <f t="array" ref="H945">IFERROR(INDEX(dataICM!F:F,match(Caseslist!B945,dataICM!D:D,0)), "INC")</f>
        <v>INC</v>
      </c>
      <c r="I945" s="10">
        <f t="shared" si="2"/>
        <v>729375</v>
      </c>
      <c r="J945" s="9" t="str">
        <f t="array" ref="J945">IF(
  AND(
    IFERROR(MATCH(B945, data!D:D, 0), 0) &gt; 0,
    IFERROR(INDEX(data!N:N, MATCH(B945, data!D:D, 0)) = 1, FALSE)
  ),
  INDEX(data!C:C, MATCH(B945, data!D:D, 0)),
  "INC"
)</f>
        <v>2025-08-29T12:38:35.308+08</v>
      </c>
      <c r="K945" s="9" t="str">
        <f t="array" ref="K945">IFERROR(INDEX(dataICM!C:C,match(Caseslist!B945,dataICM!D:D,0)), "INC")</f>
        <v>INC</v>
      </c>
      <c r="L945" s="10" t="str">
        <f t="array" ref="L945">IF(AND(G945="COMPLETE", OR(K945="INC", ISBLANK(INDEX(data!O:O, ROW())))), J945, K945)</f>
        <v>2025-08-29T12:38:35.308+08</v>
      </c>
      <c r="M945" s="2">
        <v>45898.0</v>
      </c>
      <c r="N945" s="2">
        <f t="array" ref="N945">IF(M945&lt;&gt;"INC", INDEX(data!M:M, MATCH(B945, data!D:D, 0)), "")</f>
        <v>0</v>
      </c>
      <c r="O945" s="2">
        <f t="shared" si="3"/>
        <v>0</v>
      </c>
    </row>
    <row r="946">
      <c r="A946" s="2" t="str">
        <f t="shared" si="1"/>
        <v>H019687</v>
      </c>
      <c r="B946" s="1" t="s">
        <v>1677</v>
      </c>
      <c r="C946" s="9" t="str">
        <f t="array" ref="C946">IF(
  AND(
    IFERROR(MATCH(Caseslist!B946, data!D:D, 0), 0) &gt; 0,
    IFERROR(INDEX(data!N:N, MATCH(Caseslist!B946, data!D:D, 0)) = 1, FALSE)
  ),
  "COMPLETE",
  "INC"
)</f>
        <v>COMPLETE</v>
      </c>
      <c r="D946" s="9">
        <f t="array" ref="D946">IFERROR(INDEX(data!$G:$G,match(Caseslist!B946,data!$D:$D,0)), "INC")</f>
        <v>729375</v>
      </c>
      <c r="E946" s="9" t="str">
        <f t="array" ref="E946">IFERROR(INDEX(data!H:H,match(Caseslist!B946,data!D:D,0)), "INC")</f>
        <v>Janet Serafica</v>
      </c>
      <c r="F946" s="10" t="str">
        <f t="array" ref="F946">IF(
    OR(
      IFNA(INDEX(data!M:M, MATCH(Caseslist!B946, data!D:D, 0)), "") = "",
      IFNA(INDEX(data!M:M, MATCH(Caseslist!B946, data!D:D, 0)), 0) = 0
    ),
    "COMPLETE",
    IF(
      IFNA(INDEX(dataICM!D:D, MATCH(Caseslist!B946, dataICM!D:D, 0)), "INC") = "INC",
      IFNA(INDEX(dataICM!D:D, MATCH(Caseslist!B946, dataICM!D:D, 0)), "INC"),
      "COMPLETE"
    )
  )</f>
        <v>COMPLETE</v>
      </c>
      <c r="G946" s="10" t="str">
        <f t="array" ref="G946">IF(IFERROR(INDEX(data!L:L,match(Caseslist!B946,data!D:D,0)),"INC")="","COMPLETE",F946)</f>
        <v>COMPLETE</v>
      </c>
      <c r="H946" s="9" t="str">
        <f t="array" ref="H946">IFERROR(INDEX(dataICM!F:F,match(Caseslist!B946,dataICM!D:D,0)), "INC")</f>
        <v>INC</v>
      </c>
      <c r="I946" s="10">
        <f t="shared" si="2"/>
        <v>729375</v>
      </c>
      <c r="J946" s="9" t="str">
        <f t="array" ref="J946">IF(
  AND(
    IFERROR(MATCH(B946, data!D:D, 0), 0) &gt; 0,
    IFERROR(INDEX(data!N:N, MATCH(B946, data!D:D, 0)) = 1, FALSE)
  ),
  INDEX(data!C:C, MATCH(B946, data!D:D, 0)),
  "INC"
)</f>
        <v>2025-08-29T09:46:15.260+08</v>
      </c>
      <c r="K946" s="9" t="str">
        <f t="array" ref="K946">IFERROR(INDEX(dataICM!C:C,match(Caseslist!B946,dataICM!D:D,0)), "INC")</f>
        <v>INC</v>
      </c>
      <c r="L946" s="10" t="str">
        <f t="array" ref="L946">IF(AND(G946="COMPLETE", OR(K946="INC", ISBLANK(INDEX(data!O:O, ROW())))), J946, K946)</f>
        <v>2025-08-29T09:46:15.260+08</v>
      </c>
      <c r="M946" s="2">
        <v>45898.0</v>
      </c>
      <c r="N946" s="2">
        <f t="array" ref="N946">IF(M946&lt;&gt;"INC", INDEX(data!M:M, MATCH(B946, data!D:D, 0)), "")</f>
        <v>0</v>
      </c>
      <c r="O946" s="2">
        <f t="shared" si="3"/>
        <v>0</v>
      </c>
    </row>
    <row r="947">
      <c r="A947" s="2" t="str">
        <f t="shared" si="1"/>
        <v>H019687</v>
      </c>
      <c r="B947" s="1" t="s">
        <v>1682</v>
      </c>
      <c r="C947" s="9" t="str">
        <f t="array" ref="C947">IF(
  AND(
    IFERROR(MATCH(Caseslist!B947, data!D:D, 0), 0) &gt; 0,
    IFERROR(INDEX(data!N:N, MATCH(Caseslist!B947, data!D:D, 0)) = 1, FALSE)
  ),
  "COMPLETE",
  "INC"
)</f>
        <v>COMPLETE</v>
      </c>
      <c r="D947" s="9">
        <f t="array" ref="D947">IFERROR(INDEX(data!$G:$G,match(Caseslist!B947,data!$D:$D,0)), "INC")</f>
        <v>729375</v>
      </c>
      <c r="E947" s="9" t="str">
        <f t="array" ref="E947">IFERROR(INDEX(data!H:H,match(Caseslist!B947,data!D:D,0)), "INC")</f>
        <v>Janet Serafica</v>
      </c>
      <c r="F947" s="10" t="str">
        <f t="array" ref="F947">IF(
    OR(
      IFNA(INDEX(data!M:M, MATCH(Caseslist!B947, data!D:D, 0)), "") = "",
      IFNA(INDEX(data!M:M, MATCH(Caseslist!B947, data!D:D, 0)), 0) = 0
    ),
    "COMPLETE",
    IF(
      IFNA(INDEX(dataICM!D:D, MATCH(Caseslist!B947, dataICM!D:D, 0)), "INC") = "INC",
      IFNA(INDEX(dataICM!D:D, MATCH(Caseslist!B947, dataICM!D:D, 0)), "INC"),
      "COMPLETE"
    )
  )</f>
        <v>COMPLETE</v>
      </c>
      <c r="G947" s="10" t="str">
        <f t="array" ref="G947">IF(IFERROR(INDEX(data!L:L,match(Caseslist!B947,data!D:D,0)),"INC")="","COMPLETE",F947)</f>
        <v>COMPLETE</v>
      </c>
      <c r="H947" s="9" t="str">
        <f t="array" ref="H947">IFERROR(INDEX(dataICM!F:F,match(Caseslist!B947,dataICM!D:D,0)), "INC")</f>
        <v>INC</v>
      </c>
      <c r="I947" s="10">
        <f t="shared" si="2"/>
        <v>729375</v>
      </c>
      <c r="J947" s="9" t="str">
        <f t="array" ref="J947">IF(
  AND(
    IFERROR(MATCH(B947, data!D:D, 0), 0) &gt; 0,
    IFERROR(INDEX(data!N:N, MATCH(B947, data!D:D, 0)) = 1, FALSE)
  ),
  INDEX(data!C:C, MATCH(B947, data!D:D, 0)),
  "INC"
)</f>
        <v>2025-08-29T11:14:12.205+08</v>
      </c>
      <c r="K947" s="9" t="str">
        <f t="array" ref="K947">IFERROR(INDEX(dataICM!C:C,match(Caseslist!B947,dataICM!D:D,0)), "INC")</f>
        <v>INC</v>
      </c>
      <c r="L947" s="10" t="str">
        <f t="array" ref="L947">IF(AND(G947="COMPLETE", OR(K947="INC", ISBLANK(INDEX(data!O:O, ROW())))), J947, K947)</f>
        <v>2025-08-29T11:14:12.205+08</v>
      </c>
      <c r="M947" s="2">
        <v>45898.0</v>
      </c>
      <c r="N947" s="2">
        <f t="array" ref="N947">IF(M947&lt;&gt;"INC", INDEX(data!M:M, MATCH(B947, data!D:D, 0)), "")</f>
        <v>0</v>
      </c>
      <c r="O947" s="2">
        <f t="shared" si="3"/>
        <v>0</v>
      </c>
    </row>
    <row r="948">
      <c r="A948" s="2" t="str">
        <f t="shared" si="1"/>
        <v>H019687</v>
      </c>
      <c r="B948" s="1" t="s">
        <v>1662</v>
      </c>
      <c r="C948" s="9" t="str">
        <f t="array" ref="C948">IF(
  AND(
    IFERROR(MATCH(Caseslist!B948, data!D:D, 0), 0) &gt; 0,
    IFERROR(INDEX(data!N:N, MATCH(Caseslist!B948, data!D:D, 0)) = 1, FALSE)
  ),
  "COMPLETE",
  "INC"
)</f>
        <v>COMPLETE</v>
      </c>
      <c r="D948" s="9" t="str">
        <f t="array" ref="D948">IFERROR(INDEX(data!$G:$G,match(Caseslist!B948,data!$D:$D,0)), "INC")</f>
        <v>S2671943</v>
      </c>
      <c r="E948" s="9" t="str">
        <f t="array" ref="E948">IFERROR(INDEX(data!H:H,match(Caseslist!B948,data!D:D,0)), "INC")</f>
        <v>Marvin Mondia</v>
      </c>
      <c r="F948" s="10" t="str">
        <f t="array" ref="F948">IF(
    OR(
      IFNA(INDEX(data!M:M, MATCH(Caseslist!B948, data!D:D, 0)), "") = "",
      IFNA(INDEX(data!M:M, MATCH(Caseslist!B948, data!D:D, 0)), 0) = 0
    ),
    "COMPLETE",
    IF(
      IFNA(INDEX(dataICM!D:D, MATCH(Caseslist!B948, dataICM!D:D, 0)), "INC") = "INC",
      IFNA(INDEX(dataICM!D:D, MATCH(Caseslist!B948, dataICM!D:D, 0)), "INC"),
      "COMPLETE"
    )
  )</f>
        <v>COMPLETE</v>
      </c>
      <c r="G948" s="10" t="str">
        <f t="array" ref="G948">IF(IFERROR(INDEX(data!L:L,match(Caseslist!B948,data!D:D,0)),"INC")="","COMPLETE",F948)</f>
        <v>COMPLETE</v>
      </c>
      <c r="H948" s="9" t="str">
        <f t="array" ref="H948">IFERROR(INDEX(dataICM!F:F,match(Caseslist!B948,dataICM!D:D,0)), "INC")</f>
        <v>INC</v>
      </c>
      <c r="I948" s="10" t="str">
        <f t="shared" si="2"/>
        <v>S2671943</v>
      </c>
      <c r="J948" s="9" t="str">
        <f t="array" ref="J948">IF(
  AND(
    IFERROR(MATCH(B948, data!D:D, 0), 0) &gt; 0,
    IFERROR(INDEX(data!N:N, MATCH(B948, data!D:D, 0)) = 1, FALSE)
  ),
  INDEX(data!C:C, MATCH(B948, data!D:D, 0)),
  "INC"
)</f>
        <v>2025-08-29T19:56:29.251+08</v>
      </c>
      <c r="K948" s="9" t="str">
        <f t="array" ref="K948">IFERROR(INDEX(dataICM!C:C,match(Caseslist!B948,dataICM!D:D,0)), "INC")</f>
        <v>INC</v>
      </c>
      <c r="L948" s="10" t="str">
        <f t="array" ref="L948">IF(AND(G948="COMPLETE", OR(K948="INC", ISBLANK(INDEX(data!O:O, ROW())))), J948, K948)</f>
        <v>2025-08-29T19:56:29.251+08</v>
      </c>
      <c r="M948" s="2">
        <v>45898.0</v>
      </c>
      <c r="N948" s="2">
        <f t="array" ref="N948">IF(M948&lt;&gt;"INC", INDEX(data!M:M, MATCH(B948, data!D:D, 0)), "")</f>
        <v>0</v>
      </c>
      <c r="O948" s="2">
        <f t="shared" si="3"/>
        <v>0</v>
      </c>
    </row>
    <row r="949">
      <c r="A949" s="2" t="str">
        <f t="shared" si="1"/>
        <v>H019728</v>
      </c>
      <c r="B949" s="1" t="s">
        <v>683</v>
      </c>
      <c r="C949" s="9" t="str">
        <f t="array" ref="C949">IF(
  AND(
    IFERROR(MATCH(Caseslist!B949, data!D:D, 0), 0) &gt; 0,
    IFERROR(INDEX(data!N:N, MATCH(Caseslist!B949, data!D:D, 0)) = 1, FALSE)
  ),
  "COMPLETE",
  "INC"
)</f>
        <v>COMPLETE</v>
      </c>
      <c r="D949" s="9">
        <f t="array" ref="D949">IFERROR(INDEX(data!$G:$G,match(Caseslist!B949,data!$D:$D,0)), "INC")</f>
        <v>841329</v>
      </c>
      <c r="E949" s="9" t="str">
        <f t="array" ref="E949">IFERROR(INDEX(data!H:H,match(Caseslist!B949,data!D:D,0)), "INC")</f>
        <v>Aila Eli</v>
      </c>
      <c r="F949" s="10" t="str">
        <f t="array" ref="F949">IF(
    OR(
      IFNA(INDEX(data!M:M, MATCH(Caseslist!B949, data!D:D, 0)), "") = "",
      IFNA(INDEX(data!M:M, MATCH(Caseslist!B949, data!D:D, 0)), 0) = 0
    ),
    "COMPLETE",
    IF(
      IFNA(INDEX(dataICM!D:D, MATCH(Caseslist!B949, dataICM!D:D, 0)), "INC") = "INC",
      IFNA(INDEX(dataICM!D:D, MATCH(Caseslist!B949, dataICM!D:D, 0)), "INC"),
      "COMPLETE"
    )
  )</f>
        <v>COMPLETE</v>
      </c>
      <c r="G949" s="10" t="str">
        <f t="array" ref="G949">IF(IFERROR(INDEX(data!L:L,match(Caseslist!B949,data!D:D,0)),"INC")="","COMPLETE",F949)</f>
        <v>COMPLETE</v>
      </c>
      <c r="H949" s="9" t="str">
        <f t="array" ref="H949">IFERROR(INDEX(dataICM!F:F,match(Caseslist!B949,dataICM!D:D,0)), "INC")</f>
        <v>Aila Eli</v>
      </c>
      <c r="I949" s="10">
        <f t="shared" si="2"/>
        <v>841329</v>
      </c>
      <c r="J949" s="9" t="str">
        <f t="array" ref="J949">IF(
  AND(
    IFERROR(MATCH(B949, data!D:D, 0), 0) &gt; 0,
    IFERROR(INDEX(data!N:N, MATCH(B949, data!D:D, 0)) = 1, FALSE)
  ),
  INDEX(data!C:C, MATCH(B949, data!D:D, 0)),
  "INC"
)</f>
        <v>2025-08-27T10:39:16.377+08</v>
      </c>
      <c r="K949" s="9" t="str">
        <f t="array" ref="K949">IFERROR(INDEX(dataICM!C:C,match(Caseslist!B949,dataICM!D:D,0)), "INC")</f>
        <v>2025-08-27T10:57:33.818+08</v>
      </c>
      <c r="L949" s="10" t="str">
        <f t="array" ref="L949">IF(AND(G949="COMPLETE", OR(K949="INC", ISBLANK(INDEX(data!O:O, ROW())))), J949, K949)</f>
        <v>2025-08-27T10:57:33.818+08</v>
      </c>
      <c r="M949" s="2">
        <v>45896.0</v>
      </c>
      <c r="N949" s="2">
        <f t="array" ref="N949">IF(M949&lt;&gt;"INC", INDEX(data!M:M, MATCH(B949, data!D:D, 0)), "")</f>
        <v>3</v>
      </c>
      <c r="O949" s="2">
        <f t="shared" si="3"/>
        <v>3</v>
      </c>
    </row>
    <row r="950">
      <c r="A950" s="2" t="str">
        <f t="shared" si="1"/>
        <v>H019728</v>
      </c>
      <c r="B950" s="1" t="s">
        <v>1847</v>
      </c>
      <c r="C950" s="9" t="str">
        <f t="array" ref="C950">IF(
  AND(
    IFERROR(MATCH(Caseslist!B950, data!D:D, 0), 0) &gt; 0,
    IFERROR(INDEX(data!N:N, MATCH(Caseslist!B950, data!D:D, 0)) = 1, FALSE)
  ),
  "COMPLETE",
  "INC"
)</f>
        <v>COMPLETE</v>
      </c>
      <c r="D950" s="9">
        <f t="array" ref="D950">IFERROR(INDEX(data!$G:$G,match(Caseslist!B950,data!$D:$D,0)), "INC")</f>
        <v>841329</v>
      </c>
      <c r="E950" s="9" t="str">
        <f t="array" ref="E950">IFERROR(INDEX(data!H:H,match(Caseslist!B950,data!D:D,0)), "INC")</f>
        <v>Aila Eli_2</v>
      </c>
      <c r="F950" s="10" t="str">
        <f t="array" ref="F950">IF(
    OR(
      IFNA(INDEX(data!M:M, MATCH(Caseslist!B950, data!D:D, 0)), "") = "",
      IFNA(INDEX(data!M:M, MATCH(Caseslist!B950, data!D:D, 0)), 0) = 0
    ),
    "COMPLETE",
    IF(
      IFNA(INDEX(dataICM!D:D, MATCH(Caseslist!B950, dataICM!D:D, 0)), "INC") = "INC",
      IFNA(INDEX(dataICM!D:D, MATCH(Caseslist!B950, dataICM!D:D, 0)), "INC"),
      "COMPLETE"
    )
  )</f>
        <v>COMPLETE</v>
      </c>
      <c r="G950" s="10" t="str">
        <f t="array" ref="G950">IF(IFERROR(INDEX(data!L:L,match(Caseslist!B950,data!D:D,0)),"INC")="","COMPLETE",F950)</f>
        <v>COMPLETE</v>
      </c>
      <c r="H950" s="9" t="str">
        <f t="array" ref="H950">IFERROR(INDEX(dataICM!F:F,match(Caseslist!B950,dataICM!D:D,0)), "INC")</f>
        <v>Aila Eli_2</v>
      </c>
      <c r="I950" s="10">
        <f t="shared" si="2"/>
        <v>841329</v>
      </c>
      <c r="J950" s="9" t="str">
        <f t="array" ref="J950">IF(
  AND(
    IFERROR(MATCH(B950, data!D:D, 0), 0) &gt; 0,
    IFERROR(INDEX(data!N:N, MATCH(B950, data!D:D, 0)) = 1, FALSE)
  ),
  INDEX(data!C:C, MATCH(B950, data!D:D, 0)),
  "INC"
)</f>
        <v>2025-09-25T13:31:06.245+08</v>
      </c>
      <c r="K950" s="9" t="str">
        <f t="array" ref="K950">IFERROR(INDEX(dataICM!C:C,match(Caseslist!B950,dataICM!D:D,0)), "INC")</f>
        <v>2025-09-28T06:42:57.961+08</v>
      </c>
      <c r="L950" s="10" t="str">
        <f t="array" ref="L950">IF(AND(G950="COMPLETE", OR(K950="INC", ISBLANK(INDEX(data!O:O, ROW())))), J950, K950)</f>
        <v>2025-09-28T06:42:57.961+08</v>
      </c>
      <c r="M950" s="2">
        <v>45928.0</v>
      </c>
      <c r="N950" s="2">
        <f t="array" ref="N950">IF(M950&lt;&gt;"INC", INDEX(data!M:M, MATCH(B950, data!D:D, 0)), "")</f>
        <v>3</v>
      </c>
      <c r="O950" s="2">
        <f t="shared" si="3"/>
        <v>3</v>
      </c>
    </row>
    <row r="951">
      <c r="A951" s="2" t="str">
        <f t="shared" si="1"/>
        <v>H019728</v>
      </c>
      <c r="B951" s="1" t="s">
        <v>698</v>
      </c>
      <c r="C951" s="9" t="str">
        <f t="array" ref="C951">IF(
  AND(
    IFERROR(MATCH(Caseslist!B951, data!D:D, 0), 0) &gt; 0,
    IFERROR(INDEX(data!N:N, MATCH(Caseslist!B951, data!D:D, 0)) = 1, FALSE)
  ),
  "COMPLETE",
  "INC"
)</f>
        <v>COMPLETE</v>
      </c>
      <c r="D951" s="9">
        <f t="array" ref="D951">IFERROR(INDEX(data!$G:$G,match(Caseslist!B951,data!$D:$D,0)), "INC")</f>
        <v>841329</v>
      </c>
      <c r="E951" s="9" t="str">
        <f t="array" ref="E951">IFERROR(INDEX(data!H:H,match(Caseslist!B951,data!D:D,0)), "INC")</f>
        <v>Aila Eli</v>
      </c>
      <c r="F951" s="10" t="str">
        <f t="array" ref="F951">IF(
    OR(
      IFNA(INDEX(data!M:M, MATCH(Caseslist!B951, data!D:D, 0)), "") = "",
      IFNA(INDEX(data!M:M, MATCH(Caseslist!B951, data!D:D, 0)), 0) = 0
    ),
    "COMPLETE",
    IF(
      IFNA(INDEX(dataICM!D:D, MATCH(Caseslist!B951, dataICM!D:D, 0)), "INC") = "INC",
      IFNA(INDEX(dataICM!D:D, MATCH(Caseslist!B951, dataICM!D:D, 0)), "INC"),
      "COMPLETE"
    )
  )</f>
        <v>COMPLETE</v>
      </c>
      <c r="G951" s="10" t="str">
        <f t="array" ref="G951">IF(IFERROR(INDEX(data!L:L,match(Caseslist!B951,data!D:D,0)),"INC")="","COMPLETE",F951)</f>
        <v>COMPLETE</v>
      </c>
      <c r="H951" s="9" t="str">
        <f t="array" ref="H951">IFERROR(INDEX(dataICM!F:F,match(Caseslist!B951,dataICM!D:D,0)), "INC")</f>
        <v>Aila Eli</v>
      </c>
      <c r="I951" s="10">
        <f t="shared" si="2"/>
        <v>841329</v>
      </c>
      <c r="J951" s="9" t="str">
        <f t="array" ref="J951">IF(
  AND(
    IFERROR(MATCH(B951, data!D:D, 0), 0) &gt; 0,
    IFERROR(INDEX(data!N:N, MATCH(B951, data!D:D, 0)) = 1, FALSE)
  ),
  INDEX(data!C:C, MATCH(B951, data!D:D, 0)),
  "INC"
)</f>
        <v>2025-08-27T11:51:33.176+08</v>
      </c>
      <c r="K951" s="9" t="str">
        <f t="array" ref="K951">IFERROR(INDEX(dataICM!C:C,match(Caseslist!B951,dataICM!D:D,0)), "INC")</f>
        <v>2025-08-27T12:03:14.502+08</v>
      </c>
      <c r="L951" s="10" t="str">
        <f t="array" ref="L951">IF(AND(G951="COMPLETE", OR(K951="INC", ISBLANK(INDEX(data!O:O, ROW())))), J951, K951)</f>
        <v>2025-08-27T12:03:14.502+08</v>
      </c>
      <c r="M951" s="2">
        <v>45896.0</v>
      </c>
      <c r="N951" s="2">
        <f t="array" ref="N951">IF(M951&lt;&gt;"INC", INDEX(data!M:M, MATCH(B951, data!D:D, 0)), "")</f>
        <v>3</v>
      </c>
      <c r="O951" s="2">
        <f t="shared" si="3"/>
        <v>3</v>
      </c>
    </row>
    <row r="952">
      <c r="A952" s="2" t="str">
        <f t="shared" si="1"/>
        <v>H019728</v>
      </c>
      <c r="B952" s="1" t="s">
        <v>688</v>
      </c>
      <c r="C952" s="9" t="str">
        <f t="array" ref="C952">IF(
  AND(
    IFERROR(MATCH(Caseslist!B952, data!D:D, 0), 0) &gt; 0,
    IFERROR(INDEX(data!N:N, MATCH(Caseslist!B952, data!D:D, 0)) = 1, FALSE)
  ),
  "COMPLETE",
  "INC"
)</f>
        <v>COMPLETE</v>
      </c>
      <c r="D952" s="9">
        <f t="array" ref="D952">IFERROR(INDEX(data!$G:$G,match(Caseslist!B952,data!$D:$D,0)), "INC")</f>
        <v>841329</v>
      </c>
      <c r="E952" s="9" t="str">
        <f t="array" ref="E952">IFERROR(INDEX(data!H:H,match(Caseslist!B952,data!D:D,0)), "INC")</f>
        <v>Aila Eli</v>
      </c>
      <c r="F952" s="10" t="str">
        <f t="array" ref="F952">IF(
    OR(
      IFNA(INDEX(data!M:M, MATCH(Caseslist!B952, data!D:D, 0)), "") = "",
      IFNA(INDEX(data!M:M, MATCH(Caseslist!B952, data!D:D, 0)), 0) = 0
    ),
    "COMPLETE",
    IF(
      IFNA(INDEX(dataICM!D:D, MATCH(Caseslist!B952, dataICM!D:D, 0)), "INC") = "INC",
      IFNA(INDEX(dataICM!D:D, MATCH(Caseslist!B952, dataICM!D:D, 0)), "INC"),
      "COMPLETE"
    )
  )</f>
        <v>COMPLETE</v>
      </c>
      <c r="G952" s="10" t="str">
        <f t="array" ref="G952">IF(IFERROR(INDEX(data!L:L,match(Caseslist!B952,data!D:D,0)),"INC")="","COMPLETE",F952)</f>
        <v>COMPLETE</v>
      </c>
      <c r="H952" s="9" t="str">
        <f t="array" ref="H952">IFERROR(INDEX(dataICM!F:F,match(Caseslist!B952,dataICM!D:D,0)), "INC")</f>
        <v>Aila Eli</v>
      </c>
      <c r="I952" s="10">
        <f t="shared" si="2"/>
        <v>841329</v>
      </c>
      <c r="J952" s="9" t="str">
        <f t="array" ref="J952">IF(
  AND(
    IFERROR(MATCH(B952, data!D:D, 0), 0) &gt; 0,
    IFERROR(INDEX(data!N:N, MATCH(B952, data!D:D, 0)) = 1, FALSE)
  ),
  INDEX(data!C:C, MATCH(B952, data!D:D, 0)),
  "INC"
)</f>
        <v>2025-08-27T09:37:20.913+08</v>
      </c>
      <c r="K952" s="9" t="str">
        <f t="array" ref="K952">IFERROR(INDEX(dataICM!C:C,match(Caseslist!B952,dataICM!D:D,0)), "INC")</f>
        <v>2025-08-27T09:40:21.651+08</v>
      </c>
      <c r="L952" s="10" t="str">
        <f t="array" ref="L952">IF(AND(G952="COMPLETE", OR(K952="INC", ISBLANK(INDEX(data!O:O, ROW())))), J952, K952)</f>
        <v>2025-08-27T09:40:21.651+08</v>
      </c>
      <c r="M952" s="2">
        <v>45896.0</v>
      </c>
      <c r="N952" s="2">
        <f t="array" ref="N952">IF(M952&lt;&gt;"INC", INDEX(data!M:M, MATCH(B952, data!D:D, 0)), "")</f>
        <v>3</v>
      </c>
      <c r="O952" s="2">
        <f t="shared" si="3"/>
        <v>3</v>
      </c>
    </row>
    <row r="953">
      <c r="A953" s="2" t="str">
        <f t="shared" si="1"/>
        <v>H019728</v>
      </c>
      <c r="B953" s="1" t="s">
        <v>8922</v>
      </c>
      <c r="C953" s="9" t="str">
        <f t="array" ref="C953">IF(
  AND(
    IFERROR(MATCH(Caseslist!B953, data!D:D, 0), 0) &gt; 0,
    IFERROR(INDEX(data!N:N, MATCH(Caseslist!B953, data!D:D, 0)) = 1, FALSE)
  ),
  "COMPLETE",
  "INC"
)</f>
        <v>INC</v>
      </c>
      <c r="D953" s="9" t="str">
        <f t="array" ref="D953">IFERROR(INDEX(data!$G:$G,match(Caseslist!B953,data!$D:$D,0)), "INC")</f>
        <v>INC</v>
      </c>
      <c r="E953" s="9" t="str">
        <f t="array" ref="E953">IFERROR(INDEX(data!H:H,match(Caseslist!B953,data!D:D,0)), "INC")</f>
        <v>INC</v>
      </c>
      <c r="F953" s="10" t="str">
        <f t="array" ref="F953">IF(
    OR(
      IFNA(INDEX(data!M:M, MATCH(Caseslist!B953, data!D:D, 0)), "") = "",
      IFNA(INDEX(data!M:M, MATCH(Caseslist!B953, data!D:D, 0)), 0) = 0
    ),
    "COMPLETE",
    IF(
      IFNA(INDEX(dataICM!D:D, MATCH(Caseslist!B953, dataICM!D:D, 0)), "INC") = "INC",
      IFNA(INDEX(dataICM!D:D, MATCH(Caseslist!B953, dataICM!D:D, 0)), "INC"),
      "COMPLETE"
    )
  )</f>
        <v>COMPLETE</v>
      </c>
      <c r="G953" s="10" t="str">
        <f t="array" ref="G953">IF(IFERROR(INDEX(data!L:L,match(Caseslist!B953,data!D:D,0)),"INC")="","COMPLETE",F953)</f>
        <v>COMPLETE</v>
      </c>
      <c r="H953" s="9" t="str">
        <f t="array" ref="H953">IFERROR(INDEX(dataICM!F:F,match(Caseslist!B953,dataICM!D:D,0)), "INC")</f>
        <v>INC</v>
      </c>
      <c r="I953" s="10" t="str">
        <f t="shared" si="2"/>
        <v>INC</v>
      </c>
      <c r="J953" s="9" t="str">
        <f t="array" ref="J953">IF(
  AND(
    IFERROR(MATCH(B953, data!D:D, 0), 0) &gt; 0,
    IFERROR(INDEX(data!N:N, MATCH(B953, data!D:D, 0)) = 1, FALSE)
  ),
  INDEX(data!C:C, MATCH(B953, data!D:D, 0)),
  "INC"
)</f>
        <v>INC</v>
      </c>
      <c r="K953" s="9" t="str">
        <f t="array" ref="K953">IFERROR(INDEX(dataICM!C:C,match(Caseslist!B953,dataICM!D:D,0)), "INC")</f>
        <v>INC</v>
      </c>
      <c r="L953" s="10" t="str">
        <f t="array" ref="L953">IF(AND(G953="COMPLETE", OR(K953="INC", ISBLANK(INDEX(data!O:O, ROW())))), J953, K953)</f>
        <v>INC</v>
      </c>
      <c r="M953" s="2" t="s">
        <v>8886</v>
      </c>
      <c r="N953" s="2" t="str">
        <f t="array" ref="N953">IF(M953&lt;&gt;"INC", INDEX(data!M:M, MATCH(B953, data!D:D, 0)), "")</f>
        <v/>
      </c>
      <c r="O953" s="2" t="str">
        <f t="shared" si="3"/>
        <v/>
      </c>
    </row>
    <row r="954">
      <c r="A954" s="2" t="str">
        <f t="shared" si="1"/>
        <v>H019728</v>
      </c>
      <c r="B954" s="1" t="s">
        <v>714</v>
      </c>
      <c r="C954" s="9" t="str">
        <f t="array" ref="C954">IF(
  AND(
    IFERROR(MATCH(Caseslist!B954, data!D:D, 0), 0) &gt; 0,
    IFERROR(INDEX(data!N:N, MATCH(Caseslist!B954, data!D:D, 0)) = 1, FALSE)
  ),
  "COMPLETE",
  "INC"
)</f>
        <v>COMPLETE</v>
      </c>
      <c r="D954" s="9">
        <f t="array" ref="D954">IFERROR(INDEX(data!$G:$G,match(Caseslist!B954,data!$D:$D,0)), "INC")</f>
        <v>455939</v>
      </c>
      <c r="E954" s="9" t="str">
        <f t="array" ref="E954">IFERROR(INDEX(data!H:H,match(Caseslist!B954,data!D:D,0)), "INC")</f>
        <v>Mary Jean Villaflor (duplicate name received from ICM_follow_up_launch on August 26, 2025 11:49 UTC+00:00; submission key: uuid:58eb9512-174e-4e57-ac68-bdc54e35ccff)</v>
      </c>
      <c r="F954" s="10" t="str">
        <f t="array" ref="F954">IF(
    OR(
      IFNA(INDEX(data!M:M, MATCH(Caseslist!B954, data!D:D, 0)), "") = "",
      IFNA(INDEX(data!M:M, MATCH(Caseslist!B954, data!D:D, 0)), 0) = 0
    ),
    "COMPLETE",
    IF(
      IFNA(INDEX(dataICM!D:D, MATCH(Caseslist!B954, dataICM!D:D, 0)), "INC") = "INC",
      IFNA(INDEX(dataICM!D:D, MATCH(Caseslist!B954, dataICM!D:D, 0)), "INC"),
      "COMPLETE"
    )
  )</f>
        <v>COMPLETE</v>
      </c>
      <c r="G954" s="10" t="str">
        <f t="array" ref="G954">IF(IFERROR(INDEX(data!L:L,match(Caseslist!B954,data!D:D,0)),"INC")="","COMPLETE",F954)</f>
        <v>COMPLETE</v>
      </c>
      <c r="H954" s="9" t="str">
        <f t="array" ref="H954">IFERROR(INDEX(dataICM!F:F,match(Caseslist!B954,dataICM!D:D,0)), "INC")</f>
        <v>Mary Jean Villaflor (duplicate name received from ICM_follow_up_launch on August 26, 2025 11:49 UTC+00:00; submission key: uuid:58eb9512-174e-4e57-ac68-bdc54e35ccff)</v>
      </c>
      <c r="I954" s="10">
        <f t="shared" si="2"/>
        <v>455939</v>
      </c>
      <c r="J954" s="9" t="str">
        <f t="array" ref="J954">IF(
  AND(
    IFERROR(MATCH(B954, data!D:D, 0), 0) &gt; 0,
    IFERROR(INDEX(data!N:N, MATCH(B954, data!D:D, 0)) = 1, FALSE)
  ),
  INDEX(data!C:C, MATCH(B954, data!D:D, 0)),
  "INC"
)</f>
        <v>2025-08-27T12:09:27.612+08</v>
      </c>
      <c r="K954" s="9" t="str">
        <f t="array" ref="K954">IFERROR(INDEX(dataICM!C:C,match(Caseslist!B954,dataICM!D:D,0)), "INC")</f>
        <v>2025-08-27T12:12:58.847+08</v>
      </c>
      <c r="L954" s="10" t="str">
        <f t="array" ref="L954">IF(AND(G954="COMPLETE", OR(K954="INC", ISBLANK(INDEX(data!O:O, ROW())))), J954, K954)</f>
        <v>2025-08-27T12:12:58.847+08</v>
      </c>
      <c r="M954" s="2">
        <v>45896.0</v>
      </c>
      <c r="N954" s="2">
        <f t="array" ref="N954">IF(M954&lt;&gt;"INC", INDEX(data!M:M, MATCH(B954, data!D:D, 0)), "")</f>
        <v>3</v>
      </c>
      <c r="O954" s="2">
        <f t="shared" si="3"/>
        <v>3</v>
      </c>
    </row>
    <row r="955">
      <c r="A955" s="2" t="str">
        <f t="shared" si="1"/>
        <v>H019728</v>
      </c>
      <c r="B955" s="1" t="s">
        <v>739</v>
      </c>
      <c r="C955" s="9" t="str">
        <f t="array" ref="C955">IF(
  AND(
    IFERROR(MATCH(Caseslist!B955, data!D:D, 0), 0) &gt; 0,
    IFERROR(INDEX(data!N:N, MATCH(Caseslist!B955, data!D:D, 0)) = 1, FALSE)
  ),
  "COMPLETE",
  "INC"
)</f>
        <v>COMPLETE</v>
      </c>
      <c r="D955" s="9">
        <f t="array" ref="D955">IFERROR(INDEX(data!$G:$G,match(Caseslist!B955,data!$D:$D,0)), "INC")</f>
        <v>555127</v>
      </c>
      <c r="E955" s="9" t="str">
        <f t="array" ref="E955">IFERROR(INDEX(data!H:H,match(Caseslist!B955,data!D:D,0)), "INC")</f>
        <v>Mary May</v>
      </c>
      <c r="F955" s="10" t="str">
        <f t="array" ref="F955">IF(
    OR(
      IFNA(INDEX(data!M:M, MATCH(Caseslist!B955, data!D:D, 0)), "") = "",
      IFNA(INDEX(data!M:M, MATCH(Caseslist!B955, data!D:D, 0)), 0) = 0
    ),
    "COMPLETE",
    IF(
      IFNA(INDEX(dataICM!D:D, MATCH(Caseslist!B955, dataICM!D:D, 0)), "INC") = "INC",
      IFNA(INDEX(dataICM!D:D, MATCH(Caseslist!B955, dataICM!D:D, 0)), "INC"),
      "COMPLETE"
    )
  )</f>
        <v>COMPLETE</v>
      </c>
      <c r="G955" s="10" t="str">
        <f t="array" ref="G955">IF(IFERROR(INDEX(data!L:L,match(Caseslist!B955,data!D:D,0)),"INC")="","COMPLETE",F955)</f>
        <v>COMPLETE</v>
      </c>
      <c r="H955" s="9" t="str">
        <f t="array" ref="H955">IFERROR(INDEX(dataICM!F:F,match(Caseslist!B955,dataICM!D:D,0)), "INC")</f>
        <v>Mary May</v>
      </c>
      <c r="I955" s="10">
        <f t="shared" si="2"/>
        <v>555127</v>
      </c>
      <c r="J955" s="9" t="str">
        <f t="array" ref="J955">IF(
  AND(
    IFERROR(MATCH(B955, data!D:D, 0), 0) &gt; 0,
    IFERROR(INDEX(data!N:N, MATCH(B955, data!D:D, 0)) = 1, FALSE)
  ),
  INDEX(data!C:C, MATCH(B955, data!D:D, 0)),
  "INC"
)</f>
        <v>2025-08-27T09:25:15.801+08</v>
      </c>
      <c r="K955" s="9" t="str">
        <f t="array" ref="K955">IFERROR(INDEX(dataICM!C:C,match(Caseslist!B955,dataICM!D:D,0)), "INC")</f>
        <v>2025-08-27T09:29:01.834+08</v>
      </c>
      <c r="L955" s="10" t="str">
        <f t="array" ref="L955">IF(AND(G955="COMPLETE", OR(K955="INC", ISBLANK(INDEX(data!O:O, ROW())))), J955, K955)</f>
        <v>2025-08-27T09:29:01.834+08</v>
      </c>
      <c r="M955" s="2">
        <v>45896.0</v>
      </c>
      <c r="N955" s="2">
        <f t="array" ref="N955">IF(M955&lt;&gt;"INC", INDEX(data!M:M, MATCH(B955, data!D:D, 0)), "")</f>
        <v>3</v>
      </c>
      <c r="O955" s="2">
        <f t="shared" si="3"/>
        <v>3</v>
      </c>
    </row>
    <row r="956">
      <c r="A956" s="2" t="str">
        <f t="shared" si="1"/>
        <v>H019728</v>
      </c>
      <c r="B956" s="1" t="s">
        <v>678</v>
      </c>
      <c r="C956" s="9" t="str">
        <f t="array" ref="C956">IF(
  AND(
    IFERROR(MATCH(Caseslist!B956, data!D:D, 0), 0) &gt; 0,
    IFERROR(INDEX(data!N:N, MATCH(Caseslist!B956, data!D:D, 0)) = 1, FALSE)
  ),
  "COMPLETE",
  "INC"
)</f>
        <v>COMPLETE</v>
      </c>
      <c r="D956" s="9">
        <f t="array" ref="D956">IFERROR(INDEX(data!$G:$G,match(Caseslist!B956,data!$D:$D,0)), "INC")</f>
        <v>841329</v>
      </c>
      <c r="E956" s="9" t="str">
        <f t="array" ref="E956">IFERROR(INDEX(data!H:H,match(Caseslist!B956,data!D:D,0)), "INC")</f>
        <v>Aila Eli</v>
      </c>
      <c r="F956" s="10" t="str">
        <f t="array" ref="F956">IF(
    OR(
      IFNA(INDEX(data!M:M, MATCH(Caseslist!B956, data!D:D, 0)), "") = "",
      IFNA(INDEX(data!M:M, MATCH(Caseslist!B956, data!D:D, 0)), 0) = 0
    ),
    "COMPLETE",
    IF(
      IFNA(INDEX(dataICM!D:D, MATCH(Caseslist!B956, dataICM!D:D, 0)), "INC") = "INC",
      IFNA(INDEX(dataICM!D:D, MATCH(Caseslist!B956, dataICM!D:D, 0)), "INC"),
      "COMPLETE"
    )
  )</f>
        <v>COMPLETE</v>
      </c>
      <c r="G956" s="10" t="str">
        <f t="array" ref="G956">IF(IFERROR(INDEX(data!L:L,match(Caseslist!B956,data!D:D,0)),"INC")="","COMPLETE",F956)</f>
        <v>COMPLETE</v>
      </c>
      <c r="H956" s="9" t="str">
        <f t="array" ref="H956">IFERROR(INDEX(dataICM!F:F,match(Caseslist!B956,dataICM!D:D,0)), "INC")</f>
        <v>Aila Eli</v>
      </c>
      <c r="I956" s="10">
        <f t="shared" si="2"/>
        <v>841329</v>
      </c>
      <c r="J956" s="9" t="str">
        <f t="array" ref="J956">IF(
  AND(
    IFERROR(MATCH(B956, data!D:D, 0), 0) &gt; 0,
    IFERROR(INDEX(data!N:N, MATCH(B956, data!D:D, 0)) = 1, FALSE)
  ),
  INDEX(data!C:C, MATCH(B956, data!D:D, 0)),
  "INC"
)</f>
        <v>2025-08-27T13:02:33.952+08</v>
      </c>
      <c r="K956" s="9" t="str">
        <f t="array" ref="K956">IFERROR(INDEX(dataICM!C:C,match(Caseslist!B956,dataICM!D:D,0)), "INC")</f>
        <v>2025-08-27T13:08:03.991+08</v>
      </c>
      <c r="L956" s="10" t="str">
        <f t="array" ref="L956">IF(AND(G956="COMPLETE", OR(K956="INC", ISBLANK(INDEX(data!O:O, ROW())))), J956, K956)</f>
        <v>2025-08-27T13:08:03.991+08</v>
      </c>
      <c r="M956" s="2">
        <v>45896.0</v>
      </c>
      <c r="N956" s="2">
        <f t="array" ref="N956">IF(M956&lt;&gt;"INC", INDEX(data!M:M, MATCH(B956, data!D:D, 0)), "")</f>
        <v>3</v>
      </c>
      <c r="O956" s="2">
        <f t="shared" si="3"/>
        <v>3</v>
      </c>
    </row>
    <row r="957">
      <c r="A957" s="2" t="str">
        <f t="shared" si="1"/>
        <v>H019728</v>
      </c>
      <c r="B957" s="1" t="s">
        <v>8923</v>
      </c>
      <c r="C957" s="9" t="str">
        <f t="array" ref="C957">IF(
  AND(
    IFERROR(MATCH(Caseslist!B957, data!D:D, 0), 0) &gt; 0,
    IFERROR(INDEX(data!N:N, MATCH(Caseslist!B957, data!D:D, 0)) = 1, FALSE)
  ),
  "COMPLETE",
  "INC"
)</f>
        <v>INC</v>
      </c>
      <c r="D957" s="9" t="str">
        <f t="array" ref="D957">IFERROR(INDEX(data!$G:$G,match(Caseslist!B957,data!$D:$D,0)), "INC")</f>
        <v>INC</v>
      </c>
      <c r="E957" s="9" t="str">
        <f t="array" ref="E957">IFERROR(INDEX(data!H:H,match(Caseslist!B957,data!D:D,0)), "INC")</f>
        <v>INC</v>
      </c>
      <c r="F957" s="10" t="str">
        <f t="array" ref="F957">IF(
    OR(
      IFNA(INDEX(data!M:M, MATCH(Caseslist!B957, data!D:D, 0)), "") = "",
      IFNA(INDEX(data!M:M, MATCH(Caseslist!B957, data!D:D, 0)), 0) = 0
    ),
    "COMPLETE",
    IF(
      IFNA(INDEX(dataICM!D:D, MATCH(Caseslist!B957, dataICM!D:D, 0)), "INC") = "INC",
      IFNA(INDEX(dataICM!D:D, MATCH(Caseslist!B957, dataICM!D:D, 0)), "INC"),
      "COMPLETE"
    )
  )</f>
        <v>COMPLETE</v>
      </c>
      <c r="G957" s="10" t="str">
        <f t="array" ref="G957">IF(IFERROR(INDEX(data!L:L,match(Caseslist!B957,data!D:D,0)),"INC")="","COMPLETE",F957)</f>
        <v>COMPLETE</v>
      </c>
      <c r="H957" s="9" t="str">
        <f t="array" ref="H957">IFERROR(INDEX(dataICM!F:F,match(Caseslist!B957,dataICM!D:D,0)), "INC")</f>
        <v>INC</v>
      </c>
      <c r="I957" s="10" t="str">
        <f t="shared" si="2"/>
        <v>INC</v>
      </c>
      <c r="J957" s="9" t="str">
        <f t="array" ref="J957">IF(
  AND(
    IFERROR(MATCH(B957, data!D:D, 0), 0) &gt; 0,
    IFERROR(INDEX(data!N:N, MATCH(B957, data!D:D, 0)) = 1, FALSE)
  ),
  INDEX(data!C:C, MATCH(B957, data!D:D, 0)),
  "INC"
)</f>
        <v>INC</v>
      </c>
      <c r="K957" s="9" t="str">
        <f t="array" ref="K957">IFERROR(INDEX(dataICM!C:C,match(Caseslist!B957,dataICM!D:D,0)), "INC")</f>
        <v>INC</v>
      </c>
      <c r="L957" s="10" t="str">
        <f t="array" ref="L957">IF(AND(G957="COMPLETE", OR(K957="INC", ISBLANK(INDEX(data!O:O, ROW())))), J957, K957)</f>
        <v>INC</v>
      </c>
      <c r="M957" s="2" t="s">
        <v>8886</v>
      </c>
      <c r="N957" s="2" t="str">
        <f t="array" ref="N957">IF(M957&lt;&gt;"INC", INDEX(data!M:M, MATCH(B957, data!D:D, 0)), "")</f>
        <v/>
      </c>
      <c r="O957" s="2" t="str">
        <f t="shared" si="3"/>
        <v/>
      </c>
    </row>
    <row r="958">
      <c r="A958" s="2" t="str">
        <f t="shared" si="1"/>
        <v>H019728</v>
      </c>
      <c r="B958" s="1" t="s">
        <v>749</v>
      </c>
      <c r="C958" s="9" t="str">
        <f t="array" ref="C958">IF(
  AND(
    IFERROR(MATCH(Caseslist!B958, data!D:D, 0), 0) &gt; 0,
    IFERROR(INDEX(data!N:N, MATCH(Caseslist!B958, data!D:D, 0)) = 1, FALSE)
  ),
  "COMPLETE",
  "INC"
)</f>
        <v>COMPLETE</v>
      </c>
      <c r="D958" s="9">
        <f t="array" ref="D958">IFERROR(INDEX(data!$G:$G,match(Caseslist!B958,data!$D:$D,0)), "INC")</f>
        <v>555127</v>
      </c>
      <c r="E958" s="9" t="str">
        <f t="array" ref="E958">IFERROR(INDEX(data!H:H,match(Caseslist!B958,data!D:D,0)), "INC")</f>
        <v>Mary May</v>
      </c>
      <c r="F958" s="10" t="str">
        <f t="array" ref="F958">IF(
    OR(
      IFNA(INDEX(data!M:M, MATCH(Caseslist!B958, data!D:D, 0)), "") = "",
      IFNA(INDEX(data!M:M, MATCH(Caseslist!B958, data!D:D, 0)), 0) = 0
    ),
    "COMPLETE",
    IF(
      IFNA(INDEX(dataICM!D:D, MATCH(Caseslist!B958, dataICM!D:D, 0)), "INC") = "INC",
      IFNA(INDEX(dataICM!D:D, MATCH(Caseslist!B958, dataICM!D:D, 0)), "INC"),
      "COMPLETE"
    )
  )</f>
        <v>COMPLETE</v>
      </c>
      <c r="G958" s="10" t="str">
        <f t="array" ref="G958">IF(IFERROR(INDEX(data!L:L,match(Caseslist!B958,data!D:D,0)),"INC")="","COMPLETE",F958)</f>
        <v>COMPLETE</v>
      </c>
      <c r="H958" s="9" t="str">
        <f t="array" ref="H958">IFERROR(INDEX(dataICM!F:F,match(Caseslist!B958,dataICM!D:D,0)), "INC")</f>
        <v>Mary May</v>
      </c>
      <c r="I958" s="10">
        <f t="shared" si="2"/>
        <v>555127</v>
      </c>
      <c r="J958" s="9" t="str">
        <f t="array" ref="J958">IF(
  AND(
    IFERROR(MATCH(B958, data!D:D, 0), 0) &gt; 0,
    IFERROR(INDEX(data!N:N, MATCH(B958, data!D:D, 0)) = 1, FALSE)
  ),
  INDEX(data!C:C, MATCH(B958, data!D:D, 0)),
  "INC"
)</f>
        <v>2025-08-27T17:23:32.121+08</v>
      </c>
      <c r="K958" s="9" t="str">
        <f t="array" ref="K958">IFERROR(INDEX(dataICM!C:C,match(Caseslist!B958,dataICM!D:D,0)), "INC")</f>
        <v>2025-08-27T19:09:40.385+08</v>
      </c>
      <c r="L958" s="10" t="str">
        <f t="array" ref="L958">IF(AND(G958="COMPLETE", OR(K958="INC", ISBLANK(INDEX(data!O:O, ROW())))), J958, K958)</f>
        <v>2025-08-27T19:09:40.385+08</v>
      </c>
      <c r="M958" s="2">
        <v>45896.0</v>
      </c>
      <c r="N958" s="2">
        <f t="array" ref="N958">IF(M958&lt;&gt;"INC", INDEX(data!M:M, MATCH(B958, data!D:D, 0)), "")</f>
        <v>3</v>
      </c>
      <c r="O958" s="2">
        <f t="shared" si="3"/>
        <v>3</v>
      </c>
    </row>
    <row r="959">
      <c r="A959" s="2" t="str">
        <f t="shared" si="1"/>
        <v>H019728</v>
      </c>
      <c r="B959" s="1" t="s">
        <v>744</v>
      </c>
      <c r="C959" s="9" t="str">
        <f t="array" ref="C959">IF(
  AND(
    IFERROR(MATCH(Caseslist!B959, data!D:D, 0), 0) &gt; 0,
    IFERROR(INDEX(data!N:N, MATCH(Caseslist!B959, data!D:D, 0)) = 1, FALSE)
  ),
  "COMPLETE",
  "INC"
)</f>
        <v>COMPLETE</v>
      </c>
      <c r="D959" s="9">
        <f t="array" ref="D959">IFERROR(INDEX(data!$G:$G,match(Caseslist!B959,data!$D:$D,0)), "INC")</f>
        <v>555127</v>
      </c>
      <c r="E959" s="9" t="str">
        <f t="array" ref="E959">IFERROR(INDEX(data!H:H,match(Caseslist!B959,data!D:D,0)), "INC")</f>
        <v>Mary May</v>
      </c>
      <c r="F959" s="10" t="str">
        <f t="array" ref="F959">IF(
    OR(
      IFNA(INDEX(data!M:M, MATCH(Caseslist!B959, data!D:D, 0)), "") = "",
      IFNA(INDEX(data!M:M, MATCH(Caseslist!B959, data!D:D, 0)), 0) = 0
    ),
    "COMPLETE",
    IF(
      IFNA(INDEX(dataICM!D:D, MATCH(Caseslist!B959, dataICM!D:D, 0)), "INC") = "INC",
      IFNA(INDEX(dataICM!D:D, MATCH(Caseslist!B959, dataICM!D:D, 0)), "INC"),
      "COMPLETE"
    )
  )</f>
        <v>COMPLETE</v>
      </c>
      <c r="G959" s="10" t="str">
        <f t="array" ref="G959">IF(IFERROR(INDEX(data!L:L,match(Caseslist!B959,data!D:D,0)),"INC")="","COMPLETE",F959)</f>
        <v>COMPLETE</v>
      </c>
      <c r="H959" s="9" t="str">
        <f t="array" ref="H959">IFERROR(INDEX(dataICM!F:F,match(Caseslist!B959,dataICM!D:D,0)), "INC")</f>
        <v>Mary May</v>
      </c>
      <c r="I959" s="10">
        <f t="shared" si="2"/>
        <v>555127</v>
      </c>
      <c r="J959" s="9" t="str">
        <f t="array" ref="J959">IF(
  AND(
    IFERROR(MATCH(B959, data!D:D, 0), 0) &gt; 0,
    IFERROR(INDEX(data!N:N, MATCH(B959, data!D:D, 0)) = 1, FALSE)
  ),
  INDEX(data!C:C, MATCH(B959, data!D:D, 0)),
  "INC"
)</f>
        <v>2025-08-27T11:18:24.530+08</v>
      </c>
      <c r="K959" s="9" t="str">
        <f t="array" ref="K959">IFERROR(INDEX(dataICM!C:C,match(Caseslist!B959,dataICM!D:D,0)), "INC")</f>
        <v>2025-08-27T11:23:27.934+08</v>
      </c>
      <c r="L959" s="10" t="str">
        <f t="array" ref="L959">IF(AND(G959="COMPLETE", OR(K959="INC", ISBLANK(INDEX(data!O:O, ROW())))), J959, K959)</f>
        <v>2025-08-27T11:23:27.934+08</v>
      </c>
      <c r="M959" s="2">
        <v>45896.0</v>
      </c>
      <c r="N959" s="2">
        <f t="array" ref="N959">IF(M959&lt;&gt;"INC", INDEX(data!M:M, MATCH(B959, data!D:D, 0)), "")</f>
        <v>3</v>
      </c>
      <c r="O959" s="2">
        <f t="shared" si="3"/>
        <v>3</v>
      </c>
    </row>
    <row r="960">
      <c r="A960" s="2" t="str">
        <f t="shared" si="1"/>
        <v>H019728</v>
      </c>
      <c r="B960" s="1" t="s">
        <v>703</v>
      </c>
      <c r="C960" s="9" t="str">
        <f t="array" ref="C960">IF(
  AND(
    IFERROR(MATCH(Caseslist!B960, data!D:D, 0), 0) &gt; 0,
    IFERROR(INDEX(data!N:N, MATCH(Caseslist!B960, data!D:D, 0)) = 1, FALSE)
  ),
  "COMPLETE",
  "INC"
)</f>
        <v>COMPLETE</v>
      </c>
      <c r="D960" s="9">
        <f t="array" ref="D960">IFERROR(INDEX(data!$G:$G,match(Caseslist!B960,data!$D:$D,0)), "INC")</f>
        <v>455939</v>
      </c>
      <c r="E960" s="9" t="str">
        <f t="array" ref="E960">IFERROR(INDEX(data!H:H,match(Caseslist!B960,data!D:D,0)), "INC")</f>
        <v>Mary Jean Villaflor (duplicate name received from ICM_follow_up_launch on August 26, 2025 11:49 UTC+00:00; submission key: uuid:58eb9512-174e-4e57-ac68-bdc54e35ccff)</v>
      </c>
      <c r="F960" s="10" t="str">
        <f t="array" ref="F960">IF(
    OR(
      IFNA(INDEX(data!M:M, MATCH(Caseslist!B960, data!D:D, 0)), "") = "",
      IFNA(INDEX(data!M:M, MATCH(Caseslist!B960, data!D:D, 0)), 0) = 0
    ),
    "COMPLETE",
    IF(
      IFNA(INDEX(dataICM!D:D, MATCH(Caseslist!B960, dataICM!D:D, 0)), "INC") = "INC",
      IFNA(INDEX(dataICM!D:D, MATCH(Caseslist!B960, dataICM!D:D, 0)), "INC"),
      "COMPLETE"
    )
  )</f>
        <v>COMPLETE</v>
      </c>
      <c r="G960" s="10" t="str">
        <f t="array" ref="G960">IF(IFERROR(INDEX(data!L:L,match(Caseslist!B960,data!D:D,0)),"INC")="","COMPLETE",F960)</f>
        <v>COMPLETE</v>
      </c>
      <c r="H960" s="9" t="str">
        <f t="array" ref="H960">IFERROR(INDEX(dataICM!F:F,match(Caseslist!B960,dataICM!D:D,0)), "INC")</f>
        <v>Mary Jean Villaflor (duplicate name received from ICM_follow_up_launch on August 26, 2025 11:49 UTC+00:00; submission key: uuid:58eb9512-174e-4e57-ac68-bdc54e35ccff)</v>
      </c>
      <c r="I960" s="10">
        <f t="shared" si="2"/>
        <v>455939</v>
      </c>
      <c r="J960" s="9" t="str">
        <f t="array" ref="J960">IF(
  AND(
    IFERROR(MATCH(B960, data!D:D, 0), 0) &gt; 0,
    IFERROR(INDEX(data!N:N, MATCH(B960, data!D:D, 0)) = 1, FALSE)
  ),
  INDEX(data!C:C, MATCH(B960, data!D:D, 0)),
  "INC"
)</f>
        <v>2025-08-27T09:46:49.402+08</v>
      </c>
      <c r="K960" s="9" t="str">
        <f t="array" ref="K960">IFERROR(INDEX(dataICM!C:C,match(Caseslist!B960,dataICM!D:D,0)), "INC")</f>
        <v>2025-08-27T09:51:54.756+08</v>
      </c>
      <c r="L960" s="10" t="str">
        <f t="array" ref="L960">IF(AND(G960="COMPLETE", OR(K960="INC", ISBLANK(INDEX(data!O:O, ROW())))), J960, K960)</f>
        <v>2025-08-27T09:51:54.756+08</v>
      </c>
      <c r="M960" s="2">
        <v>45896.0</v>
      </c>
      <c r="N960" s="2">
        <f t="array" ref="N960">IF(M960&lt;&gt;"INC", INDEX(data!M:M, MATCH(B960, data!D:D, 0)), "")</f>
        <v>3</v>
      </c>
      <c r="O960" s="2">
        <f t="shared" si="3"/>
        <v>3</v>
      </c>
    </row>
    <row r="961">
      <c r="A961" s="2" t="str">
        <f t="shared" si="1"/>
        <v>H019728</v>
      </c>
      <c r="B961" s="1" t="s">
        <v>693</v>
      </c>
      <c r="C961" s="9" t="str">
        <f t="array" ref="C961">IF(
  AND(
    IFERROR(MATCH(Caseslist!B961, data!D:D, 0), 0) &gt; 0,
    IFERROR(INDEX(data!N:N, MATCH(Caseslist!B961, data!D:D, 0)) = 1, FALSE)
  ),
  "COMPLETE",
  "INC"
)</f>
        <v>COMPLETE</v>
      </c>
      <c r="D961" s="9">
        <f t="array" ref="D961">IFERROR(INDEX(data!$G:$G,match(Caseslist!B961,data!$D:$D,0)), "INC")</f>
        <v>841329</v>
      </c>
      <c r="E961" s="9" t="str">
        <f t="array" ref="E961">IFERROR(INDEX(data!H:H,match(Caseslist!B961,data!D:D,0)), "INC")</f>
        <v>Aila Eli</v>
      </c>
      <c r="F961" s="10" t="str">
        <f t="array" ref="F961">IF(
    OR(
      IFNA(INDEX(data!M:M, MATCH(Caseslist!B961, data!D:D, 0)), "") = "",
      IFNA(INDEX(data!M:M, MATCH(Caseslist!B961, data!D:D, 0)), 0) = 0
    ),
    "COMPLETE",
    IF(
      IFNA(INDEX(dataICM!D:D, MATCH(Caseslist!B961, dataICM!D:D, 0)), "INC") = "INC",
      IFNA(INDEX(dataICM!D:D, MATCH(Caseslist!B961, dataICM!D:D, 0)), "INC"),
      "COMPLETE"
    )
  )</f>
        <v>COMPLETE</v>
      </c>
      <c r="G961" s="10" t="str">
        <f t="array" ref="G961">IF(IFERROR(INDEX(data!L:L,match(Caseslist!B961,data!D:D,0)),"INC")="","COMPLETE",F961)</f>
        <v>COMPLETE</v>
      </c>
      <c r="H961" s="9" t="str">
        <f t="array" ref="H961">IFERROR(INDEX(dataICM!F:F,match(Caseslist!B961,dataICM!D:D,0)), "INC")</f>
        <v>Aila Eli</v>
      </c>
      <c r="I961" s="10">
        <f t="shared" si="2"/>
        <v>841329</v>
      </c>
      <c r="J961" s="9" t="str">
        <f t="array" ref="J961">IF(
  AND(
    IFERROR(MATCH(B961, data!D:D, 0), 0) &gt; 0,
    IFERROR(INDEX(data!N:N, MATCH(B961, data!D:D, 0)) = 1, FALSE)
  ),
  INDEX(data!C:C, MATCH(B961, data!D:D, 0)),
  "INC"
)</f>
        <v>2025-08-27T14:42:45.305+08</v>
      </c>
      <c r="K961" s="9" t="str">
        <f t="array" ref="K961">IFERROR(INDEX(dataICM!C:C,match(Caseslist!B961,dataICM!D:D,0)), "INC")</f>
        <v>2025-08-27T14:56:22.389+08</v>
      </c>
      <c r="L961" s="10" t="str">
        <f t="array" ref="L961">IF(AND(G961="COMPLETE", OR(K961="INC", ISBLANK(INDEX(data!O:O, ROW())))), J961, K961)</f>
        <v>2025-08-27T14:56:22.389+08</v>
      </c>
      <c r="M961" s="2">
        <v>45896.0</v>
      </c>
      <c r="N961" s="2">
        <f t="array" ref="N961">IF(M961&lt;&gt;"INC", INDEX(data!M:M, MATCH(B961, data!D:D, 0)), "")</f>
        <v>3</v>
      </c>
      <c r="O961" s="2">
        <f t="shared" si="3"/>
        <v>3</v>
      </c>
    </row>
    <row r="962">
      <c r="A962" s="2" t="str">
        <f t="shared" si="1"/>
        <v>H019728</v>
      </c>
      <c r="B962" s="1" t="s">
        <v>719</v>
      </c>
      <c r="C962" s="9" t="str">
        <f t="array" ref="C962">IF(
  AND(
    IFERROR(MATCH(Caseslist!B962, data!D:D, 0), 0) &gt; 0,
    IFERROR(INDEX(data!N:N, MATCH(Caseslist!B962, data!D:D, 0)) = 1, FALSE)
  ),
  "COMPLETE",
  "INC"
)</f>
        <v>COMPLETE</v>
      </c>
      <c r="D962" s="9">
        <f t="array" ref="D962">IFERROR(INDEX(data!$G:$G,match(Caseslist!B962,data!$D:$D,0)), "INC")</f>
        <v>455939</v>
      </c>
      <c r="E962" s="9" t="str">
        <f t="array" ref="E962">IFERROR(INDEX(data!H:H,match(Caseslist!B962,data!D:D,0)), "INC")</f>
        <v>Mary Jean Villaflor (duplicate name received from ICM_follow_up_launch on August 26, 2025 11:49 UTC+00:00; submission key: uuid:58eb9512-174e-4e57-ac68-bdc54e35ccff)</v>
      </c>
      <c r="F962" s="10" t="str">
        <f t="array" ref="F962">IF(
    OR(
      IFNA(INDEX(data!M:M, MATCH(Caseslist!B962, data!D:D, 0)), "") = "",
      IFNA(INDEX(data!M:M, MATCH(Caseslist!B962, data!D:D, 0)), 0) = 0
    ),
    "COMPLETE",
    IF(
      IFNA(INDEX(dataICM!D:D, MATCH(Caseslist!B962, dataICM!D:D, 0)), "INC") = "INC",
      IFNA(INDEX(dataICM!D:D, MATCH(Caseslist!B962, dataICM!D:D, 0)), "INC"),
      "COMPLETE"
    )
  )</f>
        <v>COMPLETE</v>
      </c>
      <c r="G962" s="10" t="str">
        <f t="array" ref="G962">IF(IFERROR(INDEX(data!L:L,match(Caseslist!B962,data!D:D,0)),"INC")="","COMPLETE",F962)</f>
        <v>COMPLETE</v>
      </c>
      <c r="H962" s="9" t="str">
        <f t="array" ref="H962">IFERROR(INDEX(dataICM!F:F,match(Caseslist!B962,dataICM!D:D,0)), "INC")</f>
        <v>Mary Jean Villaflor (duplicate name received from ICM_follow_up_launch on August 26, 2025 11:49 UTC+00:00; submission key: uuid:58eb9512-174e-4e57-ac68-bdc54e35ccff)</v>
      </c>
      <c r="I962" s="10">
        <f t="shared" si="2"/>
        <v>455939</v>
      </c>
      <c r="J962" s="9" t="str">
        <f t="array" ref="J962">IF(
  AND(
    IFERROR(MATCH(B962, data!D:D, 0), 0) &gt; 0,
    IFERROR(INDEX(data!N:N, MATCH(B962, data!D:D, 0)) = 1, FALSE)
  ),
  INDEX(data!C:C, MATCH(B962, data!D:D, 0)),
  "INC"
)</f>
        <v>2025-08-27T11:18:31.337+08</v>
      </c>
      <c r="K962" s="9" t="str">
        <f t="array" ref="K962">IFERROR(INDEX(dataICM!C:C,match(Caseslist!B962,dataICM!D:D,0)), "INC")</f>
        <v>2025-08-27T11:25:15.575+08</v>
      </c>
      <c r="L962" s="10" t="str">
        <f t="array" ref="L962">IF(AND(G962="COMPLETE", OR(K962="INC", ISBLANK(INDEX(data!O:O, ROW())))), J962, K962)</f>
        <v>2025-08-27T11:25:15.575+08</v>
      </c>
      <c r="M962" s="2">
        <v>45896.0</v>
      </c>
      <c r="N962" s="2">
        <f t="array" ref="N962">IF(M962&lt;&gt;"INC", INDEX(data!M:M, MATCH(B962, data!D:D, 0)), "")</f>
        <v>3</v>
      </c>
      <c r="O962" s="2">
        <f t="shared" si="3"/>
        <v>3</v>
      </c>
    </row>
    <row r="963">
      <c r="A963" s="2" t="str">
        <f t="shared" si="1"/>
        <v>H019728</v>
      </c>
      <c r="B963" s="1" t="s">
        <v>709</v>
      </c>
      <c r="C963" s="9" t="str">
        <f t="array" ref="C963">IF(
  AND(
    IFERROR(MATCH(Caseslist!B963, data!D:D, 0), 0) &gt; 0,
    IFERROR(INDEX(data!N:N, MATCH(Caseslist!B963, data!D:D, 0)) = 1, FALSE)
  ),
  "COMPLETE",
  "INC"
)</f>
        <v>COMPLETE</v>
      </c>
      <c r="D963" s="9">
        <f t="array" ref="D963">IFERROR(INDEX(data!$G:$G,match(Caseslist!B963,data!$D:$D,0)), "INC")</f>
        <v>455939</v>
      </c>
      <c r="E963" s="9" t="str">
        <f t="array" ref="E963">IFERROR(INDEX(data!H:H,match(Caseslist!B963,data!D:D,0)), "INC")</f>
        <v>Mary Jean Villaflor (duplicate name received from ICM_follow_up_launch on August 26, 2025 11:49 UTC+00:00; submission key: uuid:58eb9512-174e-4e57-ac68-bdc54e35ccff)</v>
      </c>
      <c r="F963" s="10" t="str">
        <f t="array" ref="F963">IF(
    OR(
      IFNA(INDEX(data!M:M, MATCH(Caseslist!B963, data!D:D, 0)), "") = "",
      IFNA(INDEX(data!M:M, MATCH(Caseslist!B963, data!D:D, 0)), 0) = 0
    ),
    "COMPLETE",
    IF(
      IFNA(INDEX(dataICM!D:D, MATCH(Caseslist!B963, dataICM!D:D, 0)), "INC") = "INC",
      IFNA(INDEX(dataICM!D:D, MATCH(Caseslist!B963, dataICM!D:D, 0)), "INC"),
      "COMPLETE"
    )
  )</f>
        <v>COMPLETE</v>
      </c>
      <c r="G963" s="10" t="str">
        <f t="array" ref="G963">IF(IFERROR(INDEX(data!L:L,match(Caseslist!B963,data!D:D,0)),"INC")="","COMPLETE",F963)</f>
        <v>COMPLETE</v>
      </c>
      <c r="H963" s="9" t="str">
        <f t="array" ref="H963">IFERROR(INDEX(dataICM!F:F,match(Caseslist!B963,dataICM!D:D,0)), "INC")</f>
        <v>Mary Jean Villaflor (duplicate name received from ICM_follow_up_launch on August 26, 2025 11:49 UTC+00:00; submission key: uuid:58eb9512-174e-4e57-ac68-bdc54e35ccff)</v>
      </c>
      <c r="I963" s="10">
        <f t="shared" si="2"/>
        <v>455939</v>
      </c>
      <c r="J963" s="9" t="str">
        <f t="array" ref="J963">IF(
  AND(
    IFERROR(MATCH(B963, data!D:D, 0), 0) &gt; 0,
    IFERROR(INDEX(data!N:N, MATCH(B963, data!D:D, 0)) = 1, FALSE)
  ),
  INDEX(data!C:C, MATCH(B963, data!D:D, 0)),
  "INC"
)</f>
        <v>2025-08-27T10:32:44.919+08</v>
      </c>
      <c r="K963" s="9" t="str">
        <f t="array" ref="K963">IFERROR(INDEX(dataICM!C:C,match(Caseslist!B963,dataICM!D:D,0)), "INC")</f>
        <v>2025-08-27T10:40:24.186+08</v>
      </c>
      <c r="L963" s="10" t="str">
        <f t="array" ref="L963">IF(AND(G963="COMPLETE", OR(K963="INC", ISBLANK(INDEX(data!O:O, ROW())))), J963, K963)</f>
        <v>2025-08-27T10:40:24.186+08</v>
      </c>
      <c r="M963" s="2">
        <v>45896.0</v>
      </c>
      <c r="N963" s="2">
        <f t="array" ref="N963">IF(M963&lt;&gt;"INC", INDEX(data!M:M, MATCH(B963, data!D:D, 0)), "")</f>
        <v>3</v>
      </c>
      <c r="O963" s="2">
        <f t="shared" si="3"/>
        <v>3</v>
      </c>
    </row>
    <row r="964">
      <c r="A964" s="2" t="str">
        <f t="shared" si="1"/>
        <v>H019820</v>
      </c>
      <c r="B964" s="1" t="s">
        <v>1044</v>
      </c>
      <c r="C964" s="9" t="str">
        <f t="array" ref="C964">IF(
  AND(
    IFERROR(MATCH(Caseslist!B964, data!D:D, 0), 0) &gt; 0,
    IFERROR(INDEX(data!N:N, MATCH(Caseslist!B964, data!D:D, 0)) = 1, FALSE)
  ),
  "COMPLETE",
  "INC"
)</f>
        <v>COMPLETE</v>
      </c>
      <c r="D964" s="9">
        <f t="array" ref="D964">IFERROR(INDEX(data!$G:$G,match(Caseslist!B964,data!$D:$D,0)), "INC")</f>
        <v>841329</v>
      </c>
      <c r="E964" s="9" t="str">
        <f t="array" ref="E964">IFERROR(INDEX(data!H:H,match(Caseslist!B964,data!D:D,0)), "INC")</f>
        <v>Aila Eli</v>
      </c>
      <c r="F964" s="10" t="str">
        <f t="array" ref="F964">IF(
    OR(
      IFNA(INDEX(data!M:M, MATCH(Caseslist!B964, data!D:D, 0)), "") = "",
      IFNA(INDEX(data!M:M, MATCH(Caseslist!B964, data!D:D, 0)), 0) = 0
    ),
    "COMPLETE",
    IF(
      IFNA(INDEX(dataICM!D:D, MATCH(Caseslist!B964, dataICM!D:D, 0)), "INC") = "INC",
      IFNA(INDEX(dataICM!D:D, MATCH(Caseslist!B964, dataICM!D:D, 0)), "INC"),
      "COMPLETE"
    )
  )</f>
        <v>COMPLETE</v>
      </c>
      <c r="G964" s="10" t="str">
        <f t="array" ref="G964">IF(IFERROR(INDEX(data!L:L,match(Caseslist!B964,data!D:D,0)),"INC")="","COMPLETE",F964)</f>
        <v>COMPLETE</v>
      </c>
      <c r="H964" s="9" t="str">
        <f t="array" ref="H964">IFERROR(INDEX(dataICM!F:F,match(Caseslist!B964,dataICM!D:D,0)), "INC")</f>
        <v>Aila Eli_2</v>
      </c>
      <c r="I964" s="10">
        <f t="shared" si="2"/>
        <v>841329</v>
      </c>
      <c r="J964" s="9" t="str">
        <f t="array" ref="J964">IF(
  AND(
    IFERROR(MATCH(B964, data!D:D, 0), 0) &gt; 0,
    IFERROR(INDEX(data!N:N, MATCH(B964, data!D:D, 0)) = 1, FALSE)
  ),
  INDEX(data!C:C, MATCH(B964, data!D:D, 0)),
  "INC"
)</f>
        <v>2025-08-30T09:01:51.727+08</v>
      </c>
      <c r="K964" s="9" t="str">
        <f t="array" ref="K964">IFERROR(INDEX(dataICM!C:C,match(Caseslist!B964,dataICM!D:D,0)), "INC")</f>
        <v>2025-09-25T11:13:57.476+08</v>
      </c>
      <c r="L964" s="10" t="str">
        <f t="array" ref="L964">IF(AND(G964="COMPLETE", OR(K964="INC", ISBLANK(INDEX(data!O:O, ROW())))), J964, K964)</f>
        <v>2025-09-25T11:13:57.476+08</v>
      </c>
      <c r="M964" s="2">
        <v>45925.0</v>
      </c>
      <c r="N964" s="2">
        <f t="array" ref="N964">IF(M964&lt;&gt;"INC", INDEX(data!M:M, MATCH(B964, data!D:D, 0)), "")</f>
        <v>3</v>
      </c>
      <c r="O964" s="2">
        <f t="shared" si="3"/>
        <v>3</v>
      </c>
    </row>
    <row r="965">
      <c r="A965" s="2" t="str">
        <f t="shared" si="1"/>
        <v>H019820</v>
      </c>
      <c r="B965" s="1" t="s">
        <v>8924</v>
      </c>
      <c r="C965" s="9" t="str">
        <f t="array" ref="C965">IF(
  AND(
    IFERROR(MATCH(Caseslist!B965, data!D:D, 0), 0) &gt; 0,
    IFERROR(INDEX(data!N:N, MATCH(Caseslist!B965, data!D:D, 0)) = 1, FALSE)
  ),
  "COMPLETE",
  "INC"
)</f>
        <v>INC</v>
      </c>
      <c r="D965" s="9" t="str">
        <f t="array" ref="D965">IFERROR(INDEX(data!$G:$G,match(Caseslist!B965,data!$D:$D,0)), "INC")</f>
        <v>INC</v>
      </c>
      <c r="E965" s="9" t="str">
        <f t="array" ref="E965">IFERROR(INDEX(data!H:H,match(Caseslist!B965,data!D:D,0)), "INC")</f>
        <v>INC</v>
      </c>
      <c r="F965" s="10" t="str">
        <f t="array" ref="F965">IF(
    OR(
      IFNA(INDEX(data!M:M, MATCH(Caseslist!B965, data!D:D, 0)), "") = "",
      IFNA(INDEX(data!M:M, MATCH(Caseslist!B965, data!D:D, 0)), 0) = 0
    ),
    "COMPLETE",
    IF(
      IFNA(INDEX(dataICM!D:D, MATCH(Caseslist!B965, dataICM!D:D, 0)), "INC") = "INC",
      IFNA(INDEX(dataICM!D:D, MATCH(Caseslist!B965, dataICM!D:D, 0)), "INC"),
      "COMPLETE"
    )
  )</f>
        <v>COMPLETE</v>
      </c>
      <c r="G965" s="10" t="str">
        <f t="array" ref="G965">IF(IFERROR(INDEX(data!L:L,match(Caseslist!B965,data!D:D,0)),"INC")="","COMPLETE",F965)</f>
        <v>COMPLETE</v>
      </c>
      <c r="H965" s="9" t="str">
        <f t="array" ref="H965">IFERROR(INDEX(dataICM!F:F,match(Caseslist!B965,dataICM!D:D,0)), "INC")</f>
        <v>INC</v>
      </c>
      <c r="I965" s="10" t="str">
        <f t="shared" si="2"/>
        <v>INC</v>
      </c>
      <c r="J965" s="9" t="str">
        <f t="array" ref="J965">IF(
  AND(
    IFERROR(MATCH(B965, data!D:D, 0), 0) &gt; 0,
    IFERROR(INDEX(data!N:N, MATCH(B965, data!D:D, 0)) = 1, FALSE)
  ),
  INDEX(data!C:C, MATCH(B965, data!D:D, 0)),
  "INC"
)</f>
        <v>INC</v>
      </c>
      <c r="K965" s="9" t="str">
        <f t="array" ref="K965">IFERROR(INDEX(dataICM!C:C,match(Caseslist!B965,dataICM!D:D,0)), "INC")</f>
        <v>INC</v>
      </c>
      <c r="L965" s="10" t="str">
        <f t="array" ref="L965">IF(AND(G965="COMPLETE", OR(K965="INC", ISBLANK(INDEX(data!O:O, ROW())))), J965, K965)</f>
        <v>INC</v>
      </c>
      <c r="M965" s="2" t="s">
        <v>8886</v>
      </c>
      <c r="N965" s="2" t="str">
        <f t="array" ref="N965">IF(M965&lt;&gt;"INC", INDEX(data!M:M, MATCH(B965, data!D:D, 0)), "")</f>
        <v/>
      </c>
      <c r="O965" s="2" t="str">
        <f t="shared" si="3"/>
        <v/>
      </c>
    </row>
    <row r="966">
      <c r="A966" s="2" t="str">
        <f t="shared" si="1"/>
        <v>H019820</v>
      </c>
      <c r="B966" s="1" t="s">
        <v>1034</v>
      </c>
      <c r="C966" s="9" t="str">
        <f t="array" ref="C966">IF(
  AND(
    IFERROR(MATCH(Caseslist!B966, data!D:D, 0), 0) &gt; 0,
    IFERROR(INDEX(data!N:N, MATCH(Caseslist!B966, data!D:D, 0)) = 1, FALSE)
  ),
  "COMPLETE",
  "INC"
)</f>
        <v>COMPLETE</v>
      </c>
      <c r="D966" s="9">
        <f t="array" ref="D966">IFERROR(INDEX(data!$G:$G,match(Caseslist!B966,data!$D:$D,0)), "INC")</f>
        <v>841329</v>
      </c>
      <c r="E966" s="9" t="str">
        <f t="array" ref="E966">IFERROR(INDEX(data!H:H,match(Caseslist!B966,data!D:D,0)), "INC")</f>
        <v>Aila Eli</v>
      </c>
      <c r="F966" s="10" t="str">
        <f t="array" ref="F966">IF(
    OR(
      IFNA(INDEX(data!M:M, MATCH(Caseslist!B966, data!D:D, 0)), "") = "",
      IFNA(INDEX(data!M:M, MATCH(Caseslist!B966, data!D:D, 0)), 0) = 0
    ),
    "COMPLETE",
    IF(
      IFNA(INDEX(dataICM!D:D, MATCH(Caseslist!B966, dataICM!D:D, 0)), "INC") = "INC",
      IFNA(INDEX(dataICM!D:D, MATCH(Caseslist!B966, dataICM!D:D, 0)), "INC"),
      "COMPLETE"
    )
  )</f>
        <v>COMPLETE</v>
      </c>
      <c r="G966" s="10" t="str">
        <f t="array" ref="G966">IF(IFERROR(INDEX(data!L:L,match(Caseslist!B966,data!D:D,0)),"INC")="","COMPLETE",F966)</f>
        <v>COMPLETE</v>
      </c>
      <c r="H966" s="9" t="str">
        <f t="array" ref="H966">IFERROR(INDEX(dataICM!F:F,match(Caseslist!B966,dataICM!D:D,0)), "INC")</f>
        <v>Aila Eli</v>
      </c>
      <c r="I966" s="10">
        <f t="shared" si="2"/>
        <v>841329</v>
      </c>
      <c r="J966" s="9" t="str">
        <f t="array" ref="J966">IF(
  AND(
    IFERROR(MATCH(B966, data!D:D, 0), 0) &gt; 0,
    IFERROR(INDEX(data!N:N, MATCH(B966, data!D:D, 0)) = 1, FALSE)
  ),
  INDEX(data!C:C, MATCH(B966, data!D:D, 0)),
  "INC"
)</f>
        <v>2025-08-28T17:45:25.872+08</v>
      </c>
      <c r="K966" s="9" t="str">
        <f t="array" ref="K966">IFERROR(INDEX(dataICM!C:C,match(Caseslist!B966,dataICM!D:D,0)), "INC")</f>
        <v>2025-08-28T17:45:51.128+08</v>
      </c>
      <c r="L966" s="10" t="str">
        <f t="array" ref="L966">IF(AND(G966="COMPLETE", OR(K966="INC", ISBLANK(INDEX(data!O:O, ROW())))), J966, K966)</f>
        <v>2025-08-28T17:45:51.128+08</v>
      </c>
      <c r="M966" s="2">
        <v>45897.0</v>
      </c>
      <c r="N966" s="2">
        <f t="array" ref="N966">IF(M966&lt;&gt;"INC", INDEX(data!M:M, MATCH(B966, data!D:D, 0)), "")</f>
        <v>3</v>
      </c>
      <c r="O966" s="2">
        <f t="shared" si="3"/>
        <v>3</v>
      </c>
    </row>
    <row r="967">
      <c r="A967" s="2" t="str">
        <f t="shared" si="1"/>
        <v>H019820</v>
      </c>
      <c r="B967" s="1" t="s">
        <v>1029</v>
      </c>
      <c r="C967" s="9" t="str">
        <f t="array" ref="C967">IF(
  AND(
    IFERROR(MATCH(Caseslist!B967, data!D:D, 0), 0) &gt; 0,
    IFERROR(INDEX(data!N:N, MATCH(Caseslist!B967, data!D:D, 0)) = 1, FALSE)
  ),
  "COMPLETE",
  "INC"
)</f>
        <v>COMPLETE</v>
      </c>
      <c r="D967" s="9">
        <f t="array" ref="D967">IFERROR(INDEX(data!$G:$G,match(Caseslist!B967,data!$D:$D,0)), "INC")</f>
        <v>841329</v>
      </c>
      <c r="E967" s="9" t="str">
        <f t="array" ref="E967">IFERROR(INDEX(data!H:H,match(Caseslist!B967,data!D:D,0)), "INC")</f>
        <v>Aila Eli</v>
      </c>
      <c r="F967" s="10" t="str">
        <f t="array" ref="F967">IF(
    OR(
      IFNA(INDEX(data!M:M, MATCH(Caseslist!B967, data!D:D, 0)), "") = "",
      IFNA(INDEX(data!M:M, MATCH(Caseslist!B967, data!D:D, 0)), 0) = 0
    ),
    "COMPLETE",
    IF(
      IFNA(INDEX(dataICM!D:D, MATCH(Caseslist!B967, dataICM!D:D, 0)), "INC") = "INC",
      IFNA(INDEX(dataICM!D:D, MATCH(Caseslist!B967, dataICM!D:D, 0)), "INC"),
      "COMPLETE"
    )
  )</f>
        <v>COMPLETE</v>
      </c>
      <c r="G967" s="10" t="str">
        <f t="array" ref="G967">IF(IFERROR(INDEX(data!L:L,match(Caseslist!B967,data!D:D,0)),"INC")="","COMPLETE",F967)</f>
        <v>COMPLETE</v>
      </c>
      <c r="H967" s="9" t="str">
        <f t="array" ref="H967">IFERROR(INDEX(dataICM!F:F,match(Caseslist!B967,dataICM!D:D,0)), "INC")</f>
        <v>Aila Eli</v>
      </c>
      <c r="I967" s="10">
        <f t="shared" si="2"/>
        <v>841329</v>
      </c>
      <c r="J967" s="9" t="str">
        <f t="array" ref="J967">IF(
  AND(
    IFERROR(MATCH(B967, data!D:D, 0), 0) &gt; 0,
    IFERROR(INDEX(data!N:N, MATCH(B967, data!D:D, 0)) = 1, FALSE)
  ),
  INDEX(data!C:C, MATCH(B967, data!D:D, 0)),
  "INC"
)</f>
        <v>2025-08-28T12:05:57.146+08</v>
      </c>
      <c r="K967" s="9" t="str">
        <f t="array" ref="K967">IFERROR(INDEX(dataICM!C:C,match(Caseslist!B967,dataICM!D:D,0)), "INC")</f>
        <v>2025-08-28T12:34:13.342+08</v>
      </c>
      <c r="L967" s="10" t="str">
        <f t="array" ref="L967">IF(AND(G967="COMPLETE", OR(K967="INC", ISBLANK(INDEX(data!O:O, ROW())))), J967, K967)</f>
        <v>2025-08-28T12:34:13.342+08</v>
      </c>
      <c r="M967" s="2">
        <v>45897.0</v>
      </c>
      <c r="N967" s="2">
        <f t="array" ref="N967">IF(M967&lt;&gt;"INC", INDEX(data!M:M, MATCH(B967, data!D:D, 0)), "")</f>
        <v>3</v>
      </c>
      <c r="O967" s="2">
        <f t="shared" si="3"/>
        <v>3</v>
      </c>
    </row>
    <row r="968">
      <c r="A968" s="2" t="str">
        <f t="shared" si="1"/>
        <v>H019820</v>
      </c>
      <c r="B968" s="1" t="s">
        <v>964</v>
      </c>
      <c r="C968" s="9" t="str">
        <f t="array" ref="C968">IF(
  AND(
    IFERROR(MATCH(Caseslist!B968, data!D:D, 0), 0) &gt; 0,
    IFERROR(INDEX(data!N:N, MATCH(Caseslist!B968, data!D:D, 0)) = 1, FALSE)
  ),
  "COMPLETE",
  "INC"
)</f>
        <v>COMPLETE</v>
      </c>
      <c r="D968" s="9">
        <f t="array" ref="D968">IFERROR(INDEX(data!$G:$G,match(Caseslist!B968,data!$D:$D,0)), "INC")</f>
        <v>555127</v>
      </c>
      <c r="E968" s="9" t="str">
        <f t="array" ref="E968">IFERROR(INDEX(data!H:H,match(Caseslist!B968,data!D:D,0)), "INC")</f>
        <v>Mary May</v>
      </c>
      <c r="F968" s="10" t="str">
        <f t="array" ref="F968">IF(
    OR(
      IFNA(INDEX(data!M:M, MATCH(Caseslist!B968, data!D:D, 0)), "") = "",
      IFNA(INDEX(data!M:M, MATCH(Caseslist!B968, data!D:D, 0)), 0) = 0
    ),
    "COMPLETE",
    IF(
      IFNA(INDEX(dataICM!D:D, MATCH(Caseslist!B968, dataICM!D:D, 0)), "INC") = "INC",
      IFNA(INDEX(dataICM!D:D, MATCH(Caseslist!B968, dataICM!D:D, 0)), "INC"),
      "COMPLETE"
    )
  )</f>
        <v>COMPLETE</v>
      </c>
      <c r="G968" s="10" t="str">
        <f t="array" ref="G968">IF(IFERROR(INDEX(data!L:L,match(Caseslist!B968,data!D:D,0)),"INC")="","COMPLETE",F968)</f>
        <v>COMPLETE</v>
      </c>
      <c r="H968" s="9" t="str">
        <f t="array" ref="H968">IFERROR(INDEX(dataICM!F:F,match(Caseslist!B968,dataICM!D:D,0)), "INC")</f>
        <v>Mary May</v>
      </c>
      <c r="I968" s="10">
        <f t="shared" si="2"/>
        <v>555127</v>
      </c>
      <c r="J968" s="9" t="str">
        <f t="array" ref="J968">IF(
  AND(
    IFERROR(MATCH(B968, data!D:D, 0), 0) &gt; 0,
    IFERROR(INDEX(data!N:N, MATCH(B968, data!D:D, 0)) = 1, FALSE)
  ),
  INDEX(data!C:C, MATCH(B968, data!D:D, 0)),
  "INC"
)</f>
        <v>2025-08-28T11:32:14.141+08</v>
      </c>
      <c r="K968" s="9" t="str">
        <f t="array" ref="K968">IFERROR(INDEX(dataICM!C:C,match(Caseslist!B968,dataICM!D:D,0)), "INC")</f>
        <v>2025-08-28T18:02:59.030+08</v>
      </c>
      <c r="L968" s="10" t="str">
        <f t="array" ref="L968">IF(AND(G968="COMPLETE", OR(K968="INC", ISBLANK(INDEX(data!O:O, ROW())))), J968, K968)</f>
        <v>2025-08-28T18:02:59.030+08</v>
      </c>
      <c r="M968" s="2">
        <v>45897.0</v>
      </c>
      <c r="N968" s="2">
        <f t="array" ref="N968">IF(M968&lt;&gt;"INC", INDEX(data!M:M, MATCH(B968, data!D:D, 0)), "")</f>
        <v>3</v>
      </c>
      <c r="O968" s="2">
        <f t="shared" si="3"/>
        <v>3</v>
      </c>
    </row>
    <row r="969">
      <c r="A969" s="2" t="str">
        <f t="shared" si="1"/>
        <v>H019820</v>
      </c>
      <c r="B969" s="1" t="s">
        <v>1086</v>
      </c>
      <c r="C969" s="9" t="str">
        <f t="array" ref="C969">IF(
  AND(
    IFERROR(MATCH(Caseslist!B969, data!D:D, 0), 0) &gt; 0,
    IFERROR(INDEX(data!N:N, MATCH(Caseslist!B969, data!D:D, 0)) = 1, FALSE)
  ),
  "COMPLETE",
  "INC"
)</f>
        <v>COMPLETE</v>
      </c>
      <c r="D969" s="9">
        <f t="array" ref="D969">IFERROR(INDEX(data!$G:$G,match(Caseslist!B969,data!$D:$D,0)), "INC")</f>
        <v>455939</v>
      </c>
      <c r="E969" s="9" t="str">
        <f t="array" ref="E969">IFERROR(INDEX(data!H:H,match(Caseslist!B969,data!D:D,0)), "INC")</f>
        <v>Mary Jean Villaflor (duplicate name received from ICM_follow_up_launch on August 26, 2025 11:49 UTC+00:00; submission key: uuid:58eb9512-174e-4e57-ac68-bdc54e35ccff)</v>
      </c>
      <c r="F969" s="10" t="str">
        <f t="array" ref="F969">IF(
    OR(
      IFNA(INDEX(data!M:M, MATCH(Caseslist!B969, data!D:D, 0)), "") = "",
      IFNA(INDEX(data!M:M, MATCH(Caseslist!B969, data!D:D, 0)), 0) = 0
    ),
    "COMPLETE",
    IF(
      IFNA(INDEX(dataICM!D:D, MATCH(Caseslist!B969, dataICM!D:D, 0)), "INC") = "INC",
      IFNA(INDEX(dataICM!D:D, MATCH(Caseslist!B969, dataICM!D:D, 0)), "INC"),
      "COMPLETE"
    )
  )</f>
        <v>COMPLETE</v>
      </c>
      <c r="G969" s="10" t="str">
        <f t="array" ref="G969">IF(IFERROR(INDEX(data!L:L,match(Caseslist!B969,data!D:D,0)),"INC")="","COMPLETE",F969)</f>
        <v>COMPLETE</v>
      </c>
      <c r="H969" s="9" t="str">
        <f t="array" ref="H969">IFERROR(INDEX(dataICM!F:F,match(Caseslist!B969,dataICM!D:D,0)), "INC")</f>
        <v>Mary Jean Villaflor (duplicate name received from ICM_follow_up_launch on August 26, 2025 11:49 UTC+00:00; submission key: uuid:58eb9512-174e-4e57-ac68-bdc54e35ccff)</v>
      </c>
      <c r="I969" s="10">
        <f t="shared" si="2"/>
        <v>455939</v>
      </c>
      <c r="J969" s="9" t="str">
        <f t="array" ref="J969">IF(
  AND(
    IFERROR(MATCH(B969, data!D:D, 0), 0) &gt; 0,
    IFERROR(INDEX(data!N:N, MATCH(B969, data!D:D, 0)) = 1, FALSE)
  ),
  INDEX(data!C:C, MATCH(B969, data!D:D, 0)),
  "INC"
)</f>
        <v>2025-08-28T09:53:44.730+08</v>
      </c>
      <c r="K969" s="9" t="str">
        <f t="array" ref="K969">IFERROR(INDEX(dataICM!C:C,match(Caseslist!B969,dataICM!D:D,0)), "INC")</f>
        <v>2025-08-28T09:58:50.477+08</v>
      </c>
      <c r="L969" s="10" t="str">
        <f t="array" ref="L969">IF(AND(G969="COMPLETE", OR(K969="INC", ISBLANK(INDEX(data!O:O, ROW())))), J969, K969)</f>
        <v>2025-08-28T09:58:50.477+08</v>
      </c>
      <c r="M969" s="2">
        <v>45897.0</v>
      </c>
      <c r="N969" s="2">
        <f t="array" ref="N969">IF(M969&lt;&gt;"INC", INDEX(data!M:M, MATCH(B969, data!D:D, 0)), "")</f>
        <v>3</v>
      </c>
      <c r="O969" s="2">
        <f t="shared" si="3"/>
        <v>3</v>
      </c>
    </row>
    <row r="970">
      <c r="A970" s="2" t="str">
        <f t="shared" si="1"/>
        <v>H019820</v>
      </c>
      <c r="B970" s="1" t="s">
        <v>954</v>
      </c>
      <c r="C970" s="9" t="str">
        <f t="array" ref="C970">IF(
  AND(
    IFERROR(MATCH(Caseslist!B970, data!D:D, 0), 0) &gt; 0,
    IFERROR(INDEX(data!N:N, MATCH(Caseslist!B970, data!D:D, 0)) = 1, FALSE)
  ),
  "COMPLETE",
  "INC"
)</f>
        <v>COMPLETE</v>
      </c>
      <c r="D970" s="9">
        <f t="array" ref="D970">IFERROR(INDEX(data!$G:$G,match(Caseslist!B970,data!$D:$D,0)), "INC")</f>
        <v>555127</v>
      </c>
      <c r="E970" s="9" t="str">
        <f t="array" ref="E970">IFERROR(INDEX(data!H:H,match(Caseslist!B970,data!D:D,0)), "INC")</f>
        <v>Mary May</v>
      </c>
      <c r="F970" s="10" t="str">
        <f t="array" ref="F970">IF(
    OR(
      IFNA(INDEX(data!M:M, MATCH(Caseslist!B970, data!D:D, 0)), "") = "",
      IFNA(INDEX(data!M:M, MATCH(Caseslist!B970, data!D:D, 0)), 0) = 0
    ),
    "COMPLETE",
    IF(
      IFNA(INDEX(dataICM!D:D, MATCH(Caseslist!B970, dataICM!D:D, 0)), "INC") = "INC",
      IFNA(INDEX(dataICM!D:D, MATCH(Caseslist!B970, dataICM!D:D, 0)), "INC"),
      "COMPLETE"
    )
  )</f>
        <v>COMPLETE</v>
      </c>
      <c r="G970" s="10" t="str">
        <f t="array" ref="G970">IF(IFERROR(INDEX(data!L:L,match(Caseslist!B970,data!D:D,0)),"INC")="","COMPLETE",F970)</f>
        <v>COMPLETE</v>
      </c>
      <c r="H970" s="9" t="str">
        <f t="array" ref="H970">IFERROR(INDEX(dataICM!F:F,match(Caseslist!B970,dataICM!D:D,0)), "INC")</f>
        <v>Mary May</v>
      </c>
      <c r="I970" s="10">
        <f t="shared" si="2"/>
        <v>555127</v>
      </c>
      <c r="J970" s="9" t="str">
        <f t="array" ref="J970">IF(
  AND(
    IFERROR(MATCH(B970, data!D:D, 0), 0) &gt; 0,
    IFERROR(INDEX(data!N:N, MATCH(B970, data!D:D, 0)) = 1, FALSE)
  ),
  INDEX(data!C:C, MATCH(B970, data!D:D, 0)),
  "INC"
)</f>
        <v>2025-08-30T08:59:08.628+08</v>
      </c>
      <c r="K970" s="9" t="str">
        <f t="array" ref="K970">IFERROR(INDEX(dataICM!C:C,match(Caseslist!B970,dataICM!D:D,0)), "INC")</f>
        <v>2025-08-30T10:41:56.369+08</v>
      </c>
      <c r="L970" s="10" t="str">
        <f t="array" ref="L970">IF(AND(G970="COMPLETE", OR(K970="INC", ISBLANK(INDEX(data!O:O, ROW())))), J970, K970)</f>
        <v>2025-08-30T10:41:56.369+08</v>
      </c>
      <c r="M970" s="2">
        <v>45899.0</v>
      </c>
      <c r="N970" s="2">
        <f t="array" ref="N970">IF(M970&lt;&gt;"INC", INDEX(data!M:M, MATCH(B970, data!D:D, 0)), "")</f>
        <v>3</v>
      </c>
      <c r="O970" s="2">
        <f t="shared" si="3"/>
        <v>3</v>
      </c>
    </row>
    <row r="971">
      <c r="A971" s="2" t="str">
        <f t="shared" si="1"/>
        <v>H019820</v>
      </c>
      <c r="B971" s="1" t="s">
        <v>1056</v>
      </c>
      <c r="C971" s="9" t="str">
        <f t="array" ref="C971">IF(
  AND(
    IFERROR(MATCH(Caseslist!B971, data!D:D, 0), 0) &gt; 0,
    IFERROR(INDEX(data!N:N, MATCH(Caseslist!B971, data!D:D, 0)) = 1, FALSE)
  ),
  "COMPLETE",
  "INC"
)</f>
        <v>COMPLETE</v>
      </c>
      <c r="D971" s="9">
        <f t="array" ref="D971">IFERROR(INDEX(data!$G:$G,match(Caseslist!B971,data!$D:$D,0)), "INC")</f>
        <v>841329</v>
      </c>
      <c r="E971" s="9" t="str">
        <f t="array" ref="E971">IFERROR(INDEX(data!H:H,match(Caseslist!B971,data!D:D,0)), "INC")</f>
        <v>Aila Eli</v>
      </c>
      <c r="F971" s="10" t="str">
        <f t="array" ref="F971">IF(
    OR(
      IFNA(INDEX(data!M:M, MATCH(Caseslist!B971, data!D:D, 0)), "") = "",
      IFNA(INDEX(data!M:M, MATCH(Caseslist!B971, data!D:D, 0)), 0) = 0
    ),
    "COMPLETE",
    IF(
      IFNA(INDEX(dataICM!D:D, MATCH(Caseslist!B971, dataICM!D:D, 0)), "INC") = "INC",
      IFNA(INDEX(dataICM!D:D, MATCH(Caseslist!B971, dataICM!D:D, 0)), "INC"),
      "COMPLETE"
    )
  )</f>
        <v>COMPLETE</v>
      </c>
      <c r="G971" s="10" t="str">
        <f t="array" ref="G971">IF(IFERROR(INDEX(data!L:L,match(Caseslist!B971,data!D:D,0)),"INC")="","COMPLETE",F971)</f>
        <v>COMPLETE</v>
      </c>
      <c r="H971" s="9" t="str">
        <f t="array" ref="H971">IFERROR(INDEX(dataICM!F:F,match(Caseslist!B971,dataICM!D:D,0)), "INC")</f>
        <v>Aila Eli</v>
      </c>
      <c r="I971" s="10">
        <f t="shared" si="2"/>
        <v>841329</v>
      </c>
      <c r="J971" s="9" t="str">
        <f t="array" ref="J971">IF(
  AND(
    IFERROR(MATCH(B971, data!D:D, 0), 0) &gt; 0,
    IFERROR(INDEX(data!N:N, MATCH(B971, data!D:D, 0)) = 1, FALSE)
  ),
  INDEX(data!C:C, MATCH(B971, data!D:D, 0)),
  "INC"
)</f>
        <v>2025-08-28T10:24:10.462+08</v>
      </c>
      <c r="K971" s="9" t="str">
        <f t="array" ref="K971">IFERROR(INDEX(dataICM!C:C,match(Caseslist!B971,dataICM!D:D,0)), "INC")</f>
        <v>2025-08-28T10:32:36.410+08</v>
      </c>
      <c r="L971" s="10" t="str">
        <f t="array" ref="L971">IF(AND(G971="COMPLETE", OR(K971="INC", ISBLANK(INDEX(data!O:O, ROW())))), J971, K971)</f>
        <v>2025-08-28T10:32:36.410+08</v>
      </c>
      <c r="M971" s="2">
        <v>45897.0</v>
      </c>
      <c r="N971" s="2">
        <f t="array" ref="N971">IF(M971&lt;&gt;"INC", INDEX(data!M:M, MATCH(B971, data!D:D, 0)), "")</f>
        <v>3</v>
      </c>
      <c r="O971" s="2">
        <f t="shared" si="3"/>
        <v>3</v>
      </c>
    </row>
    <row r="972">
      <c r="A972" s="2" t="str">
        <f t="shared" si="1"/>
        <v>H019820</v>
      </c>
      <c r="B972" s="1" t="s">
        <v>1081</v>
      </c>
      <c r="C972" s="9" t="str">
        <f t="array" ref="C972">IF(
  AND(
    IFERROR(MATCH(Caseslist!B972, data!D:D, 0), 0) &gt; 0,
    IFERROR(INDEX(data!N:N, MATCH(Caseslist!B972, data!D:D, 0)) = 1, FALSE)
  ),
  "COMPLETE",
  "INC"
)</f>
        <v>COMPLETE</v>
      </c>
      <c r="D972" s="9">
        <f t="array" ref="D972">IFERROR(INDEX(data!$G:$G,match(Caseslist!B972,data!$D:$D,0)), "INC")</f>
        <v>455939</v>
      </c>
      <c r="E972" s="9" t="str">
        <f t="array" ref="E972">IFERROR(INDEX(data!H:H,match(Caseslist!B972,data!D:D,0)), "INC")</f>
        <v>Mary Jean Villaflor (duplicate name received from ICM_follow_up_launch on August 26, 2025 11:49 UTC+00:00; submission key: uuid:58eb9512-174e-4e57-ac68-bdc54e35ccff)</v>
      </c>
      <c r="F972" s="10" t="str">
        <f t="array" ref="F972">IF(
    OR(
      IFNA(INDEX(data!M:M, MATCH(Caseslist!B972, data!D:D, 0)), "") = "",
      IFNA(INDEX(data!M:M, MATCH(Caseslist!B972, data!D:D, 0)), 0) = 0
    ),
    "COMPLETE",
    IF(
      IFNA(INDEX(dataICM!D:D, MATCH(Caseslist!B972, dataICM!D:D, 0)), "INC") = "INC",
      IFNA(INDEX(dataICM!D:D, MATCH(Caseslist!B972, dataICM!D:D, 0)), "INC"),
      "COMPLETE"
    )
  )</f>
        <v>COMPLETE</v>
      </c>
      <c r="G972" s="10" t="str">
        <f t="array" ref="G972">IF(IFERROR(INDEX(data!L:L,match(Caseslist!B972,data!D:D,0)),"INC")="","COMPLETE",F972)</f>
        <v>COMPLETE</v>
      </c>
      <c r="H972" s="9" t="str">
        <f t="array" ref="H972">IFERROR(INDEX(dataICM!F:F,match(Caseslist!B972,dataICM!D:D,0)), "INC")</f>
        <v>Mary Jean Villaflor (duplicate name received from ICM_follow_up_launch on August 26, 2025 11:49 UTC+00:00; submission key: uuid:58eb9512-174e-4e57-ac68-bdc54e35ccff)</v>
      </c>
      <c r="I972" s="10">
        <f t="shared" si="2"/>
        <v>455939</v>
      </c>
      <c r="J972" s="9" t="str">
        <f t="array" ref="J972">IF(
  AND(
    IFERROR(MATCH(B972, data!D:D, 0), 0) &gt; 0,
    IFERROR(INDEX(data!N:N, MATCH(B972, data!D:D, 0)) = 1, FALSE)
  ),
  INDEX(data!C:C, MATCH(B972, data!D:D, 0)),
  "INC"
)</f>
        <v>2025-08-28T12:13:06.034+08</v>
      </c>
      <c r="K972" s="9" t="str">
        <f t="array" ref="K972">IFERROR(INDEX(dataICM!C:C,match(Caseslist!B972,dataICM!D:D,0)), "INC")</f>
        <v>2025-08-28T12:17:43.133+08</v>
      </c>
      <c r="L972" s="10" t="str">
        <f t="array" ref="L972">IF(AND(G972="COMPLETE", OR(K972="INC", ISBLANK(INDEX(data!O:O, ROW())))), J972, K972)</f>
        <v>2025-08-28T12:17:43.133+08</v>
      </c>
      <c r="M972" s="2">
        <v>45897.0</v>
      </c>
      <c r="N972" s="2">
        <f t="array" ref="N972">IF(M972&lt;&gt;"INC", INDEX(data!M:M, MATCH(B972, data!D:D, 0)), "")</f>
        <v>3</v>
      </c>
      <c r="O972" s="2">
        <f t="shared" si="3"/>
        <v>3</v>
      </c>
    </row>
    <row r="973">
      <c r="A973" s="2" t="str">
        <f t="shared" si="1"/>
        <v>H019820</v>
      </c>
      <c r="B973" s="1" t="s">
        <v>1091</v>
      </c>
      <c r="C973" s="9" t="str">
        <f t="array" ref="C973">IF(
  AND(
    IFERROR(MATCH(Caseslist!B973, data!D:D, 0), 0) &gt; 0,
    IFERROR(INDEX(data!N:N, MATCH(Caseslist!B973, data!D:D, 0)) = 1, FALSE)
  ),
  "COMPLETE",
  "INC"
)</f>
        <v>COMPLETE</v>
      </c>
      <c r="D973" s="9">
        <f t="array" ref="D973">IFERROR(INDEX(data!$G:$G,match(Caseslist!B973,data!$D:$D,0)), "INC")</f>
        <v>455939</v>
      </c>
      <c r="E973" s="9" t="str">
        <f t="array" ref="E973">IFERROR(INDEX(data!H:H,match(Caseslist!B973,data!D:D,0)), "INC")</f>
        <v>Mary Jean Villaflor (duplicate name received from ICM_follow_up_launch on August 26, 2025 11:49 UTC+00:00; submission key: uuid:58eb9512-174e-4e57-ac68-bdc54e35ccff)</v>
      </c>
      <c r="F973" s="10" t="str">
        <f t="array" ref="F973">IF(
    OR(
      IFNA(INDEX(data!M:M, MATCH(Caseslist!B973, data!D:D, 0)), "") = "",
      IFNA(INDEX(data!M:M, MATCH(Caseslist!B973, data!D:D, 0)), 0) = 0
    ),
    "COMPLETE",
    IF(
      IFNA(INDEX(dataICM!D:D, MATCH(Caseslist!B973, dataICM!D:D, 0)), "INC") = "INC",
      IFNA(INDEX(dataICM!D:D, MATCH(Caseslist!B973, dataICM!D:D, 0)), "INC"),
      "COMPLETE"
    )
  )</f>
        <v>COMPLETE</v>
      </c>
      <c r="G973" s="10" t="str">
        <f t="array" ref="G973">IF(IFERROR(INDEX(data!L:L,match(Caseslist!B973,data!D:D,0)),"INC")="","COMPLETE",F973)</f>
        <v>COMPLETE</v>
      </c>
      <c r="H973" s="9" t="str">
        <f t="array" ref="H973">IFERROR(INDEX(dataICM!F:F,match(Caseslist!B973,dataICM!D:D,0)), "INC")</f>
        <v>Mary Jean Villaflor (duplicate name received from ICM_follow_up_launch on August 26, 2025 11:49 UTC+00:00; submission key: uuid:58eb9512-174e-4e57-ac68-bdc54e35ccff)</v>
      </c>
      <c r="I973" s="10">
        <f t="shared" si="2"/>
        <v>455939</v>
      </c>
      <c r="J973" s="9" t="str">
        <f t="array" ref="J973">IF(
  AND(
    IFERROR(MATCH(B973, data!D:D, 0), 0) &gt; 0,
    IFERROR(INDEX(data!N:N, MATCH(B973, data!D:D, 0)) = 1, FALSE)
  ),
  INDEX(data!C:C, MATCH(B973, data!D:D, 0)),
  "INC"
)</f>
        <v>2025-08-28T11:01:20.899+08</v>
      </c>
      <c r="K973" s="9" t="str">
        <f t="array" ref="K973">IFERROR(INDEX(dataICM!C:C,match(Caseslist!B973,dataICM!D:D,0)), "INC")</f>
        <v>2025-08-28T11:04:56.038+08</v>
      </c>
      <c r="L973" s="10" t="str">
        <f t="array" ref="L973">IF(AND(G973="COMPLETE", OR(K973="INC", ISBLANK(INDEX(data!O:O, ROW())))), J973, K973)</f>
        <v>2025-08-28T11:04:56.038+08</v>
      </c>
      <c r="M973" s="2">
        <v>45897.0</v>
      </c>
      <c r="N973" s="2">
        <f t="array" ref="N973">IF(M973&lt;&gt;"INC", INDEX(data!M:M, MATCH(B973, data!D:D, 0)), "")</f>
        <v>3</v>
      </c>
      <c r="O973" s="2">
        <f t="shared" si="3"/>
        <v>3</v>
      </c>
    </row>
    <row r="974">
      <c r="A974" s="2" t="str">
        <f t="shared" si="1"/>
        <v>H019820</v>
      </c>
      <c r="B974" s="1" t="s">
        <v>974</v>
      </c>
      <c r="C974" s="9" t="str">
        <f t="array" ref="C974">IF(
  AND(
    IFERROR(MATCH(Caseslist!B974, data!D:D, 0), 0) &gt; 0,
    IFERROR(INDEX(data!N:N, MATCH(Caseslist!B974, data!D:D, 0)) = 1, FALSE)
  ),
  "COMPLETE",
  "INC"
)</f>
        <v>COMPLETE</v>
      </c>
      <c r="D974" s="9">
        <f t="array" ref="D974">IFERROR(INDEX(data!$G:$G,match(Caseslist!B974,data!$D:$D,0)), "INC")</f>
        <v>555127</v>
      </c>
      <c r="E974" s="9" t="str">
        <f t="array" ref="E974">IFERROR(INDEX(data!H:H,match(Caseslist!B974,data!D:D,0)), "INC")</f>
        <v>Mary May</v>
      </c>
      <c r="F974" s="10" t="str">
        <f t="array" ref="F974">IF(
    OR(
      IFNA(INDEX(data!M:M, MATCH(Caseslist!B974, data!D:D, 0)), "") = "",
      IFNA(INDEX(data!M:M, MATCH(Caseslist!B974, data!D:D, 0)), 0) = 0
    ),
    "COMPLETE",
    IF(
      IFNA(INDEX(dataICM!D:D, MATCH(Caseslist!B974, dataICM!D:D, 0)), "INC") = "INC",
      IFNA(INDEX(dataICM!D:D, MATCH(Caseslist!B974, dataICM!D:D, 0)), "INC"),
      "COMPLETE"
    )
  )</f>
        <v>COMPLETE</v>
      </c>
      <c r="G974" s="10" t="str">
        <f t="array" ref="G974">IF(IFERROR(INDEX(data!L:L,match(Caseslist!B974,data!D:D,0)),"INC")="","COMPLETE",F974)</f>
        <v>COMPLETE</v>
      </c>
      <c r="H974" s="9" t="str">
        <f t="array" ref="H974">IFERROR(INDEX(dataICM!F:F,match(Caseslist!B974,dataICM!D:D,0)), "INC")</f>
        <v>Mary May</v>
      </c>
      <c r="I974" s="10">
        <f t="shared" si="2"/>
        <v>555127</v>
      </c>
      <c r="J974" s="9" t="str">
        <f t="array" ref="J974">IF(
  AND(
    IFERROR(MATCH(B974, data!D:D, 0), 0) &gt; 0,
    IFERROR(INDEX(data!N:N, MATCH(B974, data!D:D, 0)) = 1, FALSE)
  ),
  INDEX(data!C:C, MATCH(B974, data!D:D, 0)),
  "INC"
)</f>
        <v>2025-08-28T15:10:37.883+08</v>
      </c>
      <c r="K974" s="9" t="str">
        <f t="array" ref="K974">IFERROR(INDEX(dataICM!C:C,match(Caseslist!B974,dataICM!D:D,0)), "INC")</f>
        <v>2025-08-28T16:10:20.237+08</v>
      </c>
      <c r="L974" s="10" t="str">
        <f t="array" ref="L974">IF(AND(G974="COMPLETE", OR(K974="INC", ISBLANK(INDEX(data!O:O, ROW())))), J974, K974)</f>
        <v>2025-08-28T16:10:20.237+08</v>
      </c>
      <c r="M974" s="2">
        <v>45897.0</v>
      </c>
      <c r="N974" s="2">
        <f t="array" ref="N974">IF(M974&lt;&gt;"INC", INDEX(data!M:M, MATCH(B974, data!D:D, 0)), "")</f>
        <v>3</v>
      </c>
      <c r="O974" s="2">
        <f t="shared" si="3"/>
        <v>3</v>
      </c>
    </row>
    <row r="975">
      <c r="A975" s="2" t="str">
        <f t="shared" si="1"/>
        <v>H019820</v>
      </c>
      <c r="B975" s="1" t="s">
        <v>969</v>
      </c>
      <c r="C975" s="9" t="str">
        <f t="array" ref="C975">IF(
  AND(
    IFERROR(MATCH(Caseslist!B975, data!D:D, 0), 0) &gt; 0,
    IFERROR(INDEX(data!N:N, MATCH(Caseslist!B975, data!D:D, 0)) = 1, FALSE)
  ),
  "COMPLETE",
  "INC"
)</f>
        <v>COMPLETE</v>
      </c>
      <c r="D975" s="9">
        <f t="array" ref="D975">IFERROR(INDEX(data!$G:$G,match(Caseslist!B975,data!$D:$D,0)), "INC")</f>
        <v>555127</v>
      </c>
      <c r="E975" s="9" t="str">
        <f t="array" ref="E975">IFERROR(INDEX(data!H:H,match(Caseslist!B975,data!D:D,0)), "INC")</f>
        <v>Mary May</v>
      </c>
      <c r="F975" s="10" t="str">
        <f t="array" ref="F975">IF(
    OR(
      IFNA(INDEX(data!M:M, MATCH(Caseslist!B975, data!D:D, 0)), "") = "",
      IFNA(INDEX(data!M:M, MATCH(Caseslist!B975, data!D:D, 0)), 0) = 0
    ),
    "COMPLETE",
    IF(
      IFNA(INDEX(dataICM!D:D, MATCH(Caseslist!B975, dataICM!D:D, 0)), "INC") = "INC",
      IFNA(INDEX(dataICM!D:D, MATCH(Caseslist!B975, dataICM!D:D, 0)), "INC"),
      "COMPLETE"
    )
  )</f>
        <v>COMPLETE</v>
      </c>
      <c r="G975" s="10" t="str">
        <f t="array" ref="G975">IF(IFERROR(INDEX(data!L:L,match(Caseslist!B975,data!D:D,0)),"INC")="","COMPLETE",F975)</f>
        <v>COMPLETE</v>
      </c>
      <c r="H975" s="9" t="str">
        <f t="array" ref="H975">IFERROR(INDEX(dataICM!F:F,match(Caseslist!B975,dataICM!D:D,0)), "INC")</f>
        <v>Mary May</v>
      </c>
      <c r="I975" s="10">
        <f t="shared" si="2"/>
        <v>555127</v>
      </c>
      <c r="J975" s="9" t="str">
        <f t="array" ref="J975">IF(
  AND(
    IFERROR(MATCH(B975, data!D:D, 0), 0) &gt; 0,
    IFERROR(INDEX(data!N:N, MATCH(B975, data!D:D, 0)) = 1, FALSE)
  ),
  INDEX(data!C:C, MATCH(B975, data!D:D, 0)),
  "INC"
)</f>
        <v>2025-08-28T14:02:12.526+08</v>
      </c>
      <c r="K975" s="9" t="str">
        <f t="array" ref="K975">IFERROR(INDEX(dataICM!C:C,match(Caseslist!B975,dataICM!D:D,0)), "INC")</f>
        <v>2025-08-28T14:08:59.693+08</v>
      </c>
      <c r="L975" s="10" t="str">
        <f t="array" ref="L975">IF(AND(G975="COMPLETE", OR(K975="INC", ISBLANK(INDEX(data!O:O, ROW())))), J975, K975)</f>
        <v>2025-08-28T14:08:59.693+08</v>
      </c>
      <c r="M975" s="2">
        <v>45897.0</v>
      </c>
      <c r="N975" s="2">
        <f t="array" ref="N975">IF(M975&lt;&gt;"INC", INDEX(data!M:M, MATCH(B975, data!D:D, 0)), "")</f>
        <v>3</v>
      </c>
      <c r="O975" s="2">
        <f t="shared" si="3"/>
        <v>3</v>
      </c>
    </row>
    <row r="976">
      <c r="A976" s="2" t="str">
        <f t="shared" si="1"/>
        <v>H019820</v>
      </c>
      <c r="B976" s="1" t="s">
        <v>1096</v>
      </c>
      <c r="C976" s="9" t="str">
        <f t="array" ref="C976">IF(
  AND(
    IFERROR(MATCH(Caseslist!B976, data!D:D, 0), 0) &gt; 0,
    IFERROR(INDEX(data!N:N, MATCH(Caseslist!B976, data!D:D, 0)) = 1, FALSE)
  ),
  "COMPLETE",
  "INC"
)</f>
        <v>COMPLETE</v>
      </c>
      <c r="D976" s="9">
        <f t="array" ref="D976">IFERROR(INDEX(data!$G:$G,match(Caseslist!B976,data!$D:$D,0)), "INC")</f>
        <v>455939</v>
      </c>
      <c r="E976" s="9" t="str">
        <f t="array" ref="E976">IFERROR(INDEX(data!H:H,match(Caseslist!B976,data!D:D,0)), "INC")</f>
        <v>Mary Jean Villaflor (duplicate name received from ICM_follow_up_launch on August 26, 2025 11:49 UTC+00:00; submission key: uuid:58eb9512-174e-4e57-ac68-bdc54e35ccff)</v>
      </c>
      <c r="F976" s="10" t="str">
        <f t="array" ref="F976">IF(
    OR(
      IFNA(INDEX(data!M:M, MATCH(Caseslist!B976, data!D:D, 0)), "") = "",
      IFNA(INDEX(data!M:M, MATCH(Caseslist!B976, data!D:D, 0)), 0) = 0
    ),
    "COMPLETE",
    IF(
      IFNA(INDEX(dataICM!D:D, MATCH(Caseslist!B976, dataICM!D:D, 0)), "INC") = "INC",
      IFNA(INDEX(dataICM!D:D, MATCH(Caseslist!B976, dataICM!D:D, 0)), "INC"),
      "COMPLETE"
    )
  )</f>
        <v>COMPLETE</v>
      </c>
      <c r="G976" s="10" t="str">
        <f t="array" ref="G976">IF(IFERROR(INDEX(data!L:L,match(Caseslist!B976,data!D:D,0)),"INC")="","COMPLETE",F976)</f>
        <v>COMPLETE</v>
      </c>
      <c r="H976" s="9" t="str">
        <f t="array" ref="H976">IFERROR(INDEX(dataICM!F:F,match(Caseslist!B976,dataICM!D:D,0)), "INC")</f>
        <v>Mary Jean Villaflor (duplicate name received from ICM_follow_up_launch on August 26, 2025 11:49 UTC+00:00; submission key: uuid:58eb9512-174e-4e57-ac68-bdc54e35ccff)</v>
      </c>
      <c r="I976" s="10">
        <f t="shared" si="2"/>
        <v>455939</v>
      </c>
      <c r="J976" s="9" t="str">
        <f t="array" ref="J976">IF(
  AND(
    IFERROR(MATCH(B976, data!D:D, 0), 0) &gt; 0,
    IFERROR(INDEX(data!N:N, MATCH(B976, data!D:D, 0)) = 1, FALSE)
  ),
  INDEX(data!C:C, MATCH(B976, data!D:D, 0)),
  "INC"
)</f>
        <v>2025-08-28T14:51:36.187+08</v>
      </c>
      <c r="K976" s="9" t="str">
        <f t="array" ref="K976">IFERROR(INDEX(dataICM!C:C,match(Caseslist!B976,dataICM!D:D,0)), "INC")</f>
        <v>2025-08-28T14:54:32.032+08</v>
      </c>
      <c r="L976" s="10" t="str">
        <f t="array" ref="L976">IF(AND(G976="COMPLETE", OR(K976="INC", ISBLANK(INDEX(data!O:O, ROW())))), J976, K976)</f>
        <v>2025-08-28T14:54:32.032+08</v>
      </c>
      <c r="M976" s="2">
        <v>45897.0</v>
      </c>
      <c r="N976" s="2">
        <f t="array" ref="N976">IF(M976&lt;&gt;"INC", INDEX(data!M:M, MATCH(B976, data!D:D, 0)), "")</f>
        <v>3</v>
      </c>
      <c r="O976" s="2">
        <f t="shared" si="3"/>
        <v>3</v>
      </c>
    </row>
    <row r="977">
      <c r="A977" s="2" t="str">
        <f t="shared" si="1"/>
        <v>H019820</v>
      </c>
      <c r="B977" s="1" t="s">
        <v>8925</v>
      </c>
      <c r="C977" s="9" t="str">
        <f t="array" ref="C977">IF(
  AND(
    IFERROR(MATCH(Caseslist!B977, data!D:D, 0), 0) &gt; 0,
    IFERROR(INDEX(data!N:N, MATCH(Caseslist!B977, data!D:D, 0)) = 1, FALSE)
  ),
  "COMPLETE",
  "INC"
)</f>
        <v>INC</v>
      </c>
      <c r="D977" s="9" t="str">
        <f t="array" ref="D977">IFERROR(INDEX(data!$G:$G,match(Caseslist!B977,data!$D:$D,0)), "INC")</f>
        <v>INC</v>
      </c>
      <c r="E977" s="9" t="str">
        <f t="array" ref="E977">IFERROR(INDEX(data!H:H,match(Caseslist!B977,data!D:D,0)), "INC")</f>
        <v>INC</v>
      </c>
      <c r="F977" s="10" t="str">
        <f t="array" ref="F977">IF(
    OR(
      IFNA(INDEX(data!M:M, MATCH(Caseslist!B977, data!D:D, 0)), "") = "",
      IFNA(INDEX(data!M:M, MATCH(Caseslist!B977, data!D:D, 0)), 0) = 0
    ),
    "COMPLETE",
    IF(
      IFNA(INDEX(dataICM!D:D, MATCH(Caseslist!B977, dataICM!D:D, 0)), "INC") = "INC",
      IFNA(INDEX(dataICM!D:D, MATCH(Caseslist!B977, dataICM!D:D, 0)), "INC"),
      "COMPLETE"
    )
  )</f>
        <v>COMPLETE</v>
      </c>
      <c r="G977" s="10" t="str">
        <f t="array" ref="G977">IF(IFERROR(INDEX(data!L:L,match(Caseslist!B977,data!D:D,0)),"INC")="","COMPLETE",F977)</f>
        <v>COMPLETE</v>
      </c>
      <c r="H977" s="9" t="str">
        <f t="array" ref="H977">IFERROR(INDEX(dataICM!F:F,match(Caseslist!B977,dataICM!D:D,0)), "INC")</f>
        <v>INC</v>
      </c>
      <c r="I977" s="10" t="str">
        <f t="shared" si="2"/>
        <v>INC</v>
      </c>
      <c r="J977" s="9" t="str">
        <f t="array" ref="J977">IF(
  AND(
    IFERROR(MATCH(B977, data!D:D, 0), 0) &gt; 0,
    IFERROR(INDEX(data!N:N, MATCH(B977, data!D:D, 0)) = 1, FALSE)
  ),
  INDEX(data!C:C, MATCH(B977, data!D:D, 0)),
  "INC"
)</f>
        <v>INC</v>
      </c>
      <c r="K977" s="9" t="str">
        <f t="array" ref="K977">IFERROR(INDEX(dataICM!C:C,match(Caseslist!B977,dataICM!D:D,0)), "INC")</f>
        <v>INC</v>
      </c>
      <c r="L977" s="10" t="str">
        <f t="array" ref="L977">IF(AND(G977="COMPLETE", OR(K977="INC", ISBLANK(INDEX(data!O:O, ROW())))), J977, K977)</f>
        <v>INC</v>
      </c>
      <c r="M977" s="2" t="s">
        <v>8886</v>
      </c>
      <c r="N977" s="2" t="str">
        <f t="array" ref="N977">IF(M977&lt;&gt;"INC", INDEX(data!M:M, MATCH(B977, data!D:D, 0)), "")</f>
        <v/>
      </c>
      <c r="O977" s="2" t="str">
        <f t="shared" si="3"/>
        <v/>
      </c>
    </row>
    <row r="978">
      <c r="A978" s="2" t="str">
        <f t="shared" si="1"/>
        <v>H019820</v>
      </c>
      <c r="B978" s="1" t="s">
        <v>959</v>
      </c>
      <c r="C978" s="9" t="str">
        <f t="array" ref="C978">IF(
  AND(
    IFERROR(MATCH(Caseslist!B978, data!D:D, 0), 0) &gt; 0,
    IFERROR(INDEX(data!N:N, MATCH(Caseslist!B978, data!D:D, 0)) = 1, FALSE)
  ),
  "COMPLETE",
  "INC"
)</f>
        <v>COMPLETE</v>
      </c>
      <c r="D978" s="9">
        <f t="array" ref="D978">IFERROR(INDEX(data!$G:$G,match(Caseslist!B978,data!$D:$D,0)), "INC")</f>
        <v>555127</v>
      </c>
      <c r="E978" s="9" t="str">
        <f t="array" ref="E978">IFERROR(INDEX(data!H:H,match(Caseslist!B978,data!D:D,0)), "INC")</f>
        <v>Mary May</v>
      </c>
      <c r="F978" s="10" t="str">
        <f t="array" ref="F978">IF(
    OR(
      IFNA(INDEX(data!M:M, MATCH(Caseslist!B978, data!D:D, 0)), "") = "",
      IFNA(INDEX(data!M:M, MATCH(Caseslist!B978, data!D:D, 0)), 0) = 0
    ),
    "COMPLETE",
    IF(
      IFNA(INDEX(dataICM!D:D, MATCH(Caseslist!B978, dataICM!D:D, 0)), "INC") = "INC",
      IFNA(INDEX(dataICM!D:D, MATCH(Caseslist!B978, dataICM!D:D, 0)), "INC"),
      "COMPLETE"
    )
  )</f>
        <v>INC</v>
      </c>
      <c r="G978" s="10" t="str">
        <f t="array" ref="G978">IF(IFERROR(INDEX(data!L:L,match(Caseslist!B978,data!D:D,0)),"INC")="","COMPLETE",F978)</f>
        <v>INC</v>
      </c>
      <c r="H978" s="9" t="str">
        <f t="array" ref="H978">IFERROR(INDEX(dataICM!F:F,match(Caseslist!B978,dataICM!D:D,0)), "INC")</f>
        <v>INC</v>
      </c>
      <c r="I978" s="10" t="str">
        <f t="shared" si="2"/>
        <v>INC</v>
      </c>
      <c r="J978" s="9" t="str">
        <f t="array" ref="J978">IF(
  AND(
    IFERROR(MATCH(B978, data!D:D, 0), 0) &gt; 0,
    IFERROR(INDEX(data!N:N, MATCH(B978, data!D:D, 0)) = 1, FALSE)
  ),
  INDEX(data!C:C, MATCH(B978, data!D:D, 0)),
  "INC"
)</f>
        <v>2025-08-28T10:31:24.464+08</v>
      </c>
      <c r="K978" s="9" t="str">
        <f t="array" ref="K978">IFERROR(INDEX(dataICM!C:C,match(Caseslist!B978,dataICM!D:D,0)), "INC")</f>
        <v>INC</v>
      </c>
      <c r="L978" s="10" t="str">
        <f t="array" ref="L978">IF(AND(G978="COMPLETE", OR(K978="INC", ISBLANK(INDEX(data!O:O, ROW())))), J978, K978)</f>
        <v>INC</v>
      </c>
      <c r="M978" s="2" t="s">
        <v>8886</v>
      </c>
      <c r="N978" s="2" t="str">
        <f t="array" ref="N978">IF(M978&lt;&gt;"INC", INDEX(data!M:M, MATCH(B978, data!D:D, 0)), "")</f>
        <v/>
      </c>
      <c r="O978" s="2" t="str">
        <f t="shared" si="3"/>
        <v/>
      </c>
    </row>
    <row r="979">
      <c r="A979" s="2" t="str">
        <f t="shared" si="1"/>
        <v>H019838</v>
      </c>
      <c r="B979" s="1" t="s">
        <v>3662</v>
      </c>
      <c r="C979" s="9" t="str">
        <f t="array" ref="C979">IF(
  AND(
    IFERROR(MATCH(Caseslist!B979, data!D:D, 0), 0) &gt; 0,
    IFERROR(INDEX(data!N:N, MATCH(Caseslist!B979, data!D:D, 0)) = 1, FALSE)
  ),
  "COMPLETE",
  "INC"
)</f>
        <v>COMPLETE</v>
      </c>
      <c r="D979" s="9">
        <f t="array" ref="D979">IFERROR(INDEX(data!$G:$G,match(Caseslist!B979,data!$D:$D,0)), "INC")</f>
        <v>455939</v>
      </c>
      <c r="E979" s="9" t="str">
        <f t="array" ref="E979">IFERROR(INDEX(data!H:H,match(Caseslist!B979,data!D:D,0)), "INC")</f>
        <v>Mary Jean Villaflor_2</v>
      </c>
      <c r="F979" s="10" t="str">
        <f t="array" ref="F979">IF(
    OR(
      IFNA(INDEX(data!M:M, MATCH(Caseslist!B979, data!D:D, 0)), "") = "",
      IFNA(INDEX(data!M:M, MATCH(Caseslist!B979, data!D:D, 0)), 0) = 0
    ),
    "COMPLETE",
    IF(
      IFNA(INDEX(dataICM!D:D, MATCH(Caseslist!B979, dataICM!D:D, 0)), "INC") = "INC",
      IFNA(INDEX(dataICM!D:D, MATCH(Caseslist!B979, dataICM!D:D, 0)), "INC"),
      "COMPLETE"
    )
  )</f>
        <v>COMPLETE</v>
      </c>
      <c r="G979" s="10" t="str">
        <f t="array" ref="G979">IF(IFERROR(INDEX(data!L:L,match(Caseslist!B979,data!D:D,0)),"INC")="","COMPLETE",F979)</f>
        <v>COMPLETE</v>
      </c>
      <c r="H979" s="9" t="str">
        <f t="array" ref="H979">IFERROR(INDEX(dataICM!F:F,match(Caseslist!B979,dataICM!D:D,0)), "INC")</f>
        <v>Mary Jean Villaflor_2</v>
      </c>
      <c r="I979" s="10">
        <f t="shared" si="2"/>
        <v>455939</v>
      </c>
      <c r="J979" s="9" t="str">
        <f t="array" ref="J979">IF(
  AND(
    IFERROR(MATCH(B979, data!D:D, 0), 0) &gt; 0,
    IFERROR(INDEX(data!N:N, MATCH(B979, data!D:D, 0)) = 1, FALSE)
  ),
  INDEX(data!C:C, MATCH(B979, data!D:D, 0)),
  "INC"
)</f>
        <v>2025-09-04T11:26:50.369+08</v>
      </c>
      <c r="K979" s="9" t="str">
        <f t="array" ref="K979">IFERROR(INDEX(dataICM!C:C,match(Caseslist!B979,dataICM!D:D,0)), "INC")</f>
        <v>2025-09-04T11:32:26.856+08</v>
      </c>
      <c r="L979" s="10" t="str">
        <f t="array" ref="L979">IF(AND(G979="COMPLETE", OR(K979="INC", ISBLANK(INDEX(data!O:O, ROW())))), J979, K979)</f>
        <v>2025-09-04T11:32:26.856+08</v>
      </c>
      <c r="M979" s="2">
        <v>45904.0</v>
      </c>
      <c r="N979" s="2">
        <f t="array" ref="N979">IF(M979&lt;&gt;"INC", INDEX(data!M:M, MATCH(B979, data!D:D, 0)), "")</f>
        <v>3</v>
      </c>
      <c r="O979" s="2">
        <f t="shared" si="3"/>
        <v>3</v>
      </c>
    </row>
    <row r="980">
      <c r="A980" s="2" t="str">
        <f t="shared" si="1"/>
        <v>H019838</v>
      </c>
      <c r="B980" s="1" t="s">
        <v>3502</v>
      </c>
      <c r="C980" s="9" t="str">
        <f t="array" ref="C980">IF(
  AND(
    IFERROR(MATCH(Caseslist!B980, data!D:D, 0), 0) &gt; 0,
    IFERROR(INDEX(data!N:N, MATCH(Caseslist!B980, data!D:D, 0)) = 1, FALSE)
  ),
  "COMPLETE",
  "INC"
)</f>
        <v>COMPLETE</v>
      </c>
      <c r="D980" s="9">
        <f t="array" ref="D980">IFERROR(INDEX(data!$G:$G,match(Caseslist!B980,data!$D:$D,0)), "INC")</f>
        <v>555127</v>
      </c>
      <c r="E980" s="9" t="str">
        <f t="array" ref="E980">IFERROR(INDEX(data!H:H,match(Caseslist!B980,data!D:D,0)), "INC")</f>
        <v>Mary May_2</v>
      </c>
      <c r="F980" s="10" t="str">
        <f t="array" ref="F980">IF(
    OR(
      IFNA(INDEX(data!M:M, MATCH(Caseslist!B980, data!D:D, 0)), "") = "",
      IFNA(INDEX(data!M:M, MATCH(Caseslist!B980, data!D:D, 0)), 0) = 0
    ),
    "COMPLETE",
    IF(
      IFNA(INDEX(dataICM!D:D, MATCH(Caseslist!B980, dataICM!D:D, 0)), "INC") = "INC",
      IFNA(INDEX(dataICM!D:D, MATCH(Caseslist!B980, dataICM!D:D, 0)), "INC"),
      "COMPLETE"
    )
  )</f>
        <v>COMPLETE</v>
      </c>
      <c r="G980" s="10" t="str">
        <f t="array" ref="G980">IF(IFERROR(INDEX(data!L:L,match(Caseslist!B980,data!D:D,0)),"INC")="","COMPLETE",F980)</f>
        <v>COMPLETE</v>
      </c>
      <c r="H980" s="9" t="str">
        <f t="array" ref="H980">IFERROR(INDEX(dataICM!F:F,match(Caseslist!B980,dataICM!D:D,0)), "INC")</f>
        <v>Mary May_2</v>
      </c>
      <c r="I980" s="10">
        <f t="shared" si="2"/>
        <v>555127</v>
      </c>
      <c r="J980" s="9" t="str">
        <f t="array" ref="J980">IF(
  AND(
    IFERROR(MATCH(B980, data!D:D, 0), 0) &gt; 0,
    IFERROR(INDEX(data!N:N, MATCH(B980, data!D:D, 0)) = 1, FALSE)
  ),
  INDEX(data!C:C, MATCH(B980, data!D:D, 0)),
  "INC"
)</f>
        <v>2025-09-04T10:22:51.177+08</v>
      </c>
      <c r="K980" s="9" t="str">
        <f t="array" ref="K980">IFERROR(INDEX(dataICM!C:C,match(Caseslist!B980,dataICM!D:D,0)), "INC")</f>
        <v>2025-09-04T10:29:01.213+08</v>
      </c>
      <c r="L980" s="10" t="str">
        <f t="array" ref="L980">IF(AND(G980="COMPLETE", OR(K980="INC", ISBLANK(INDEX(data!O:O, ROW())))), J980, K980)</f>
        <v>2025-09-04T10:29:01.213+08</v>
      </c>
      <c r="M980" s="2">
        <v>45904.0</v>
      </c>
      <c r="N980" s="2">
        <f t="array" ref="N980">IF(M980&lt;&gt;"INC", INDEX(data!M:M, MATCH(B980, data!D:D, 0)), "")</f>
        <v>3</v>
      </c>
      <c r="O980" s="2">
        <f t="shared" si="3"/>
        <v>3</v>
      </c>
    </row>
    <row r="981">
      <c r="A981" s="2" t="str">
        <f t="shared" si="1"/>
        <v>H019838</v>
      </c>
      <c r="B981" s="1" t="s">
        <v>3682</v>
      </c>
      <c r="C981" s="9" t="str">
        <f t="array" ref="C981">IF(
  AND(
    IFERROR(MATCH(Caseslist!B981, data!D:D, 0), 0) &gt; 0,
    IFERROR(INDEX(data!N:N, MATCH(Caseslist!B981, data!D:D, 0)) = 1, FALSE)
  ),
  "COMPLETE",
  "INC"
)</f>
        <v>COMPLETE</v>
      </c>
      <c r="D981" s="9">
        <f t="array" ref="D981">IFERROR(INDEX(data!$G:$G,match(Caseslist!B981,data!$D:$D,0)), "INC")</f>
        <v>455939</v>
      </c>
      <c r="E981" s="9" t="str">
        <f t="array" ref="E981">IFERROR(INDEX(data!H:H,match(Caseslist!B981,data!D:D,0)), "INC")</f>
        <v>Mary Jean Villaflor_2</v>
      </c>
      <c r="F981" s="10" t="str">
        <f t="array" ref="F981">IF(
    OR(
      IFNA(INDEX(data!M:M, MATCH(Caseslist!B981, data!D:D, 0)), "") = "",
      IFNA(INDEX(data!M:M, MATCH(Caseslist!B981, data!D:D, 0)), 0) = 0
    ),
    "COMPLETE",
    IF(
      IFNA(INDEX(dataICM!D:D, MATCH(Caseslist!B981, dataICM!D:D, 0)), "INC") = "INC",
      IFNA(INDEX(dataICM!D:D, MATCH(Caseslist!B981, dataICM!D:D, 0)), "INC"),
      "COMPLETE"
    )
  )</f>
        <v>COMPLETE</v>
      </c>
      <c r="G981" s="10" t="str">
        <f t="array" ref="G981">IF(IFERROR(INDEX(data!L:L,match(Caseslist!B981,data!D:D,0)),"INC")="","COMPLETE",F981)</f>
        <v>COMPLETE</v>
      </c>
      <c r="H981" s="9" t="str">
        <f t="array" ref="H981">IFERROR(INDEX(dataICM!F:F,match(Caseslist!B981,dataICM!D:D,0)), "INC")</f>
        <v>Mary Jean Villaflor_2</v>
      </c>
      <c r="I981" s="10">
        <f t="shared" si="2"/>
        <v>455939</v>
      </c>
      <c r="J981" s="9" t="str">
        <f t="array" ref="J981">IF(
  AND(
    IFERROR(MATCH(B981, data!D:D, 0), 0) &gt; 0,
    IFERROR(INDEX(data!N:N, MATCH(B981, data!D:D, 0)) = 1, FALSE)
  ),
  INDEX(data!C:C, MATCH(B981, data!D:D, 0)),
  "INC"
)</f>
        <v>2025-09-04T16:23:00.488+08</v>
      </c>
      <c r="K981" s="9" t="str">
        <f t="array" ref="K981">IFERROR(INDEX(dataICM!C:C,match(Caseslist!B981,dataICM!D:D,0)), "INC")</f>
        <v>2025-09-04T16:28:23.938+08</v>
      </c>
      <c r="L981" s="10" t="str">
        <f t="array" ref="L981">IF(AND(G981="COMPLETE", OR(K981="INC", ISBLANK(INDEX(data!O:O, ROW())))), J981, K981)</f>
        <v>2025-09-04T16:28:23.938+08</v>
      </c>
      <c r="M981" s="2">
        <v>45904.0</v>
      </c>
      <c r="N981" s="2">
        <f t="array" ref="N981">IF(M981&lt;&gt;"INC", INDEX(data!M:M, MATCH(B981, data!D:D, 0)), "")</f>
        <v>3</v>
      </c>
      <c r="O981" s="2">
        <f t="shared" si="3"/>
        <v>3</v>
      </c>
    </row>
    <row r="982">
      <c r="A982" s="2" t="str">
        <f t="shared" si="1"/>
        <v>H019838</v>
      </c>
      <c r="B982" s="1" t="s">
        <v>3677</v>
      </c>
      <c r="C982" s="9" t="str">
        <f t="array" ref="C982">IF(
  AND(
    IFERROR(MATCH(Caseslist!B982, data!D:D, 0), 0) &gt; 0,
    IFERROR(INDEX(data!N:N, MATCH(Caseslist!B982, data!D:D, 0)) = 1, FALSE)
  ),
  "COMPLETE",
  "INC"
)</f>
        <v>COMPLETE</v>
      </c>
      <c r="D982" s="9">
        <f t="array" ref="D982">IFERROR(INDEX(data!$G:$G,match(Caseslist!B982,data!$D:$D,0)), "INC")</f>
        <v>455939</v>
      </c>
      <c r="E982" s="9" t="str">
        <f t="array" ref="E982">IFERROR(INDEX(data!H:H,match(Caseslist!B982,data!D:D,0)), "INC")</f>
        <v>Mary Jean Villaflor_2</v>
      </c>
      <c r="F982" s="10" t="str">
        <f t="array" ref="F982">IF(
    OR(
      IFNA(INDEX(data!M:M, MATCH(Caseslist!B982, data!D:D, 0)), "") = "",
      IFNA(INDEX(data!M:M, MATCH(Caseslist!B982, data!D:D, 0)), 0) = 0
    ),
    "COMPLETE",
    IF(
      IFNA(INDEX(dataICM!D:D, MATCH(Caseslist!B982, dataICM!D:D, 0)), "INC") = "INC",
      IFNA(INDEX(dataICM!D:D, MATCH(Caseslist!B982, dataICM!D:D, 0)), "INC"),
      "COMPLETE"
    )
  )</f>
        <v>COMPLETE</v>
      </c>
      <c r="G982" s="10" t="str">
        <f t="array" ref="G982">IF(IFERROR(INDEX(data!L:L,match(Caseslist!B982,data!D:D,0)),"INC")="","COMPLETE",F982)</f>
        <v>COMPLETE</v>
      </c>
      <c r="H982" s="9" t="str">
        <f t="array" ref="H982">IFERROR(INDEX(dataICM!F:F,match(Caseslist!B982,dataICM!D:D,0)), "INC")</f>
        <v>Mary Jean Villaflor_2</v>
      </c>
      <c r="I982" s="10">
        <f t="shared" si="2"/>
        <v>455939</v>
      </c>
      <c r="J982" s="9" t="str">
        <f t="array" ref="J982">IF(
  AND(
    IFERROR(MATCH(B982, data!D:D, 0), 0) &gt; 0,
    IFERROR(INDEX(data!N:N, MATCH(B982, data!D:D, 0)) = 1, FALSE)
  ),
  INDEX(data!C:C, MATCH(B982, data!D:D, 0)),
  "INC"
)</f>
        <v>2025-09-06T10:28:59.914+08</v>
      </c>
      <c r="K982" s="9" t="str">
        <f t="array" ref="K982">IFERROR(INDEX(dataICM!C:C,match(Caseslist!B982,dataICM!D:D,0)), "INC")</f>
        <v>2025-09-06T10:38:04.407+08</v>
      </c>
      <c r="L982" s="10" t="str">
        <f t="array" ref="L982">IF(AND(G982="COMPLETE", OR(K982="INC", ISBLANK(INDEX(data!O:O, ROW())))), J982, K982)</f>
        <v>2025-09-06T10:38:04.407+08</v>
      </c>
      <c r="M982" s="2">
        <v>45906.0</v>
      </c>
      <c r="N982" s="2">
        <f t="array" ref="N982">IF(M982&lt;&gt;"INC", INDEX(data!M:M, MATCH(B982, data!D:D, 0)), "")</f>
        <v>3</v>
      </c>
      <c r="O982" s="2">
        <f t="shared" si="3"/>
        <v>3</v>
      </c>
    </row>
    <row r="983">
      <c r="A983" s="2" t="str">
        <f t="shared" si="1"/>
        <v>H019838</v>
      </c>
      <c r="B983" s="1" t="s">
        <v>3672</v>
      </c>
      <c r="C983" s="9" t="str">
        <f t="array" ref="C983">IF(
  AND(
    IFERROR(MATCH(Caseslist!B983, data!D:D, 0), 0) &gt; 0,
    IFERROR(INDEX(data!N:N, MATCH(Caseslist!B983, data!D:D, 0)) = 1, FALSE)
  ),
  "COMPLETE",
  "INC"
)</f>
        <v>COMPLETE</v>
      </c>
      <c r="D983" s="9">
        <f t="array" ref="D983">IFERROR(INDEX(data!$G:$G,match(Caseslist!B983,data!$D:$D,0)), "INC")</f>
        <v>841329</v>
      </c>
      <c r="E983" s="9" t="str">
        <f t="array" ref="E983">IFERROR(INDEX(data!H:H,match(Caseslist!B983,data!D:D,0)), "INC")</f>
        <v>Aila Eli_2</v>
      </c>
      <c r="F983" s="10" t="str">
        <f t="array" ref="F983">IF(
    OR(
      IFNA(INDEX(data!M:M, MATCH(Caseslist!B983, data!D:D, 0)), "") = "",
      IFNA(INDEX(data!M:M, MATCH(Caseslist!B983, data!D:D, 0)), 0) = 0
    ),
    "COMPLETE",
    IF(
      IFNA(INDEX(dataICM!D:D, MATCH(Caseslist!B983, dataICM!D:D, 0)), "INC") = "INC",
      IFNA(INDEX(dataICM!D:D, MATCH(Caseslist!B983, dataICM!D:D, 0)), "INC"),
      "COMPLETE"
    )
  )</f>
        <v>COMPLETE</v>
      </c>
      <c r="G983" s="10" t="str">
        <f t="array" ref="G983">IF(IFERROR(INDEX(data!L:L,match(Caseslist!B983,data!D:D,0)),"INC")="","COMPLETE",F983)</f>
        <v>COMPLETE</v>
      </c>
      <c r="H983" s="9" t="str">
        <f t="array" ref="H983">IFERROR(INDEX(dataICM!F:F,match(Caseslist!B983,dataICM!D:D,0)), "INC")</f>
        <v>Aila Eli_2</v>
      </c>
      <c r="I983" s="10">
        <f t="shared" si="2"/>
        <v>841329</v>
      </c>
      <c r="J983" s="9" t="str">
        <f t="array" ref="J983">IF(
  AND(
    IFERROR(MATCH(B983, data!D:D, 0), 0) &gt; 0,
    IFERROR(INDEX(data!N:N, MATCH(B983, data!D:D, 0)) = 1, FALSE)
  ),
  INDEX(data!C:C, MATCH(B983, data!D:D, 0)),
  "INC"
)</f>
        <v>2025-09-06T10:35:23.012+08</v>
      </c>
      <c r="K983" s="9" t="str">
        <f t="array" ref="K983">IFERROR(INDEX(dataICM!C:C,match(Caseslist!B983,dataICM!D:D,0)), "INC")</f>
        <v>2025-09-06T10:42:08.113+08</v>
      </c>
      <c r="L983" s="10" t="str">
        <f t="array" ref="L983">IF(AND(G983="COMPLETE", OR(K983="INC", ISBLANK(INDEX(data!O:O, ROW())))), J983, K983)</f>
        <v>2025-09-06T10:42:08.113+08</v>
      </c>
      <c r="M983" s="2">
        <v>45906.0</v>
      </c>
      <c r="N983" s="2">
        <f t="array" ref="N983">IF(M983&lt;&gt;"INC", INDEX(data!M:M, MATCH(B983, data!D:D, 0)), "")</f>
        <v>3</v>
      </c>
      <c r="O983" s="2">
        <f t="shared" si="3"/>
        <v>3</v>
      </c>
    </row>
    <row r="984">
      <c r="A984" s="2" t="str">
        <f t="shared" si="1"/>
        <v>H019838</v>
      </c>
      <c r="B984" s="1" t="s">
        <v>3527</v>
      </c>
      <c r="C984" s="9" t="str">
        <f t="array" ref="C984">IF(
  AND(
    IFERROR(MATCH(Caseslist!B984, data!D:D, 0), 0) &gt; 0,
    IFERROR(INDEX(data!N:N, MATCH(Caseslist!B984, data!D:D, 0)) = 1, FALSE)
  ),
  "COMPLETE",
  "INC"
)</f>
        <v>COMPLETE</v>
      </c>
      <c r="D984" s="9">
        <f t="array" ref="D984">IFERROR(INDEX(data!$G:$G,match(Caseslist!B984,data!$D:$D,0)), "INC")</f>
        <v>841329</v>
      </c>
      <c r="E984" s="9" t="str">
        <f t="array" ref="E984">IFERROR(INDEX(data!H:H,match(Caseslist!B984,data!D:D,0)), "INC")</f>
        <v>Aila Eli_2</v>
      </c>
      <c r="F984" s="10" t="str">
        <f t="array" ref="F984">IF(
    OR(
      IFNA(INDEX(data!M:M, MATCH(Caseslist!B984, data!D:D, 0)), "") = "",
      IFNA(INDEX(data!M:M, MATCH(Caseslist!B984, data!D:D, 0)), 0) = 0
    ),
    "COMPLETE",
    IF(
      IFNA(INDEX(dataICM!D:D, MATCH(Caseslist!B984, dataICM!D:D, 0)), "INC") = "INC",
      IFNA(INDEX(dataICM!D:D, MATCH(Caseslist!B984, dataICM!D:D, 0)), "INC"),
      "COMPLETE"
    )
  )</f>
        <v>COMPLETE</v>
      </c>
      <c r="G984" s="10" t="str">
        <f t="array" ref="G984">IF(IFERROR(INDEX(data!L:L,match(Caseslist!B984,data!D:D,0)),"INC")="","COMPLETE",F984)</f>
        <v>COMPLETE</v>
      </c>
      <c r="H984" s="9" t="str">
        <f t="array" ref="H984">IFERROR(INDEX(dataICM!F:F,match(Caseslist!B984,dataICM!D:D,0)), "INC")</f>
        <v>Aila Eli_2</v>
      </c>
      <c r="I984" s="10">
        <f t="shared" si="2"/>
        <v>841329</v>
      </c>
      <c r="J984" s="9" t="str">
        <f t="array" ref="J984">IF(
  AND(
    IFERROR(MATCH(B984, data!D:D, 0), 0) &gt; 0,
    IFERROR(INDEX(data!N:N, MATCH(B984, data!D:D, 0)) = 1, FALSE)
  ),
  INDEX(data!C:C, MATCH(B984, data!D:D, 0)),
  "INC"
)</f>
        <v>2025-09-04T15:04:03.900+08</v>
      </c>
      <c r="K984" s="9" t="str">
        <f t="array" ref="K984">IFERROR(INDEX(dataICM!C:C,match(Caseslist!B984,dataICM!D:D,0)), "INC")</f>
        <v>2025-09-04T15:14:53.907+08</v>
      </c>
      <c r="L984" s="10" t="str">
        <f t="array" ref="L984">IF(AND(G984="COMPLETE", OR(K984="INC", ISBLANK(INDEX(data!O:O, ROW())))), J984, K984)</f>
        <v>2025-09-04T15:14:53.907+08</v>
      </c>
      <c r="M984" s="2">
        <v>45904.0</v>
      </c>
      <c r="N984" s="2">
        <f t="array" ref="N984">IF(M984&lt;&gt;"INC", INDEX(data!M:M, MATCH(B984, data!D:D, 0)), "")</f>
        <v>3</v>
      </c>
      <c r="O984" s="2">
        <f t="shared" si="3"/>
        <v>3</v>
      </c>
    </row>
    <row r="985">
      <c r="A985" s="2" t="str">
        <f t="shared" si="1"/>
        <v>H019838</v>
      </c>
      <c r="B985" s="1" t="s">
        <v>3667</v>
      </c>
      <c r="C985" s="9" t="str">
        <f t="array" ref="C985">IF(
  AND(
    IFERROR(MATCH(Caseslist!B985, data!D:D, 0), 0) &gt; 0,
    IFERROR(INDEX(data!N:N, MATCH(Caseslist!B985, data!D:D, 0)) = 1, FALSE)
  ),
  "COMPLETE",
  "INC"
)</f>
        <v>COMPLETE</v>
      </c>
      <c r="D985" s="9">
        <f t="array" ref="D985">IFERROR(INDEX(data!$G:$G,match(Caseslist!B985,data!$D:$D,0)), "INC")</f>
        <v>555127</v>
      </c>
      <c r="E985" s="9" t="str">
        <f t="array" ref="E985">IFERROR(INDEX(data!H:H,match(Caseslist!B985,data!D:D,0)), "INC")</f>
        <v>Mary May_2</v>
      </c>
      <c r="F985" s="10" t="str">
        <f t="array" ref="F985">IF(
    OR(
      IFNA(INDEX(data!M:M, MATCH(Caseslist!B985, data!D:D, 0)), "") = "",
      IFNA(INDEX(data!M:M, MATCH(Caseslist!B985, data!D:D, 0)), 0) = 0
    ),
    "COMPLETE",
    IF(
      IFNA(INDEX(dataICM!D:D, MATCH(Caseslist!B985, dataICM!D:D, 0)), "INC") = "INC",
      IFNA(INDEX(dataICM!D:D, MATCH(Caseslist!B985, dataICM!D:D, 0)), "INC"),
      "COMPLETE"
    )
  )</f>
        <v>COMPLETE</v>
      </c>
      <c r="G985" s="10" t="str">
        <f t="array" ref="G985">IF(IFERROR(INDEX(data!L:L,match(Caseslist!B985,data!D:D,0)),"INC")="","COMPLETE",F985)</f>
        <v>COMPLETE</v>
      </c>
      <c r="H985" s="9" t="str">
        <f t="array" ref="H985">IFERROR(INDEX(dataICM!F:F,match(Caseslist!B985,dataICM!D:D,0)), "INC")</f>
        <v>Mary May_2</v>
      </c>
      <c r="I985" s="10">
        <f t="shared" si="2"/>
        <v>555127</v>
      </c>
      <c r="J985" s="9" t="str">
        <f t="array" ref="J985">IF(
  AND(
    IFERROR(MATCH(B985, data!D:D, 0), 0) &gt; 0,
    IFERROR(INDEX(data!N:N, MATCH(B985, data!D:D, 0)) = 1, FALSE)
  ),
  INDEX(data!C:C, MATCH(B985, data!D:D, 0)),
  "INC"
)</f>
        <v>2025-09-06T12:03:15.684+08</v>
      </c>
      <c r="K985" s="9" t="str">
        <f t="array" ref="K985">IFERROR(INDEX(dataICM!C:C,match(Caseslist!B985,dataICM!D:D,0)), "INC")</f>
        <v>2025-09-06T12:10:41.100+08</v>
      </c>
      <c r="L985" s="10" t="str">
        <f t="array" ref="L985">IF(AND(G985="COMPLETE", OR(K985="INC", ISBLANK(INDEX(data!O:O, ROW())))), J985, K985)</f>
        <v>2025-09-06T12:10:41.100+08</v>
      </c>
      <c r="M985" s="2">
        <v>45906.0</v>
      </c>
      <c r="N985" s="2">
        <f t="array" ref="N985">IF(M985&lt;&gt;"INC", INDEX(data!M:M, MATCH(B985, data!D:D, 0)), "")</f>
        <v>3</v>
      </c>
      <c r="O985" s="2">
        <f t="shared" si="3"/>
        <v>3</v>
      </c>
    </row>
    <row r="986">
      <c r="A986" s="2" t="str">
        <f t="shared" si="1"/>
        <v>H019838</v>
      </c>
      <c r="B986" s="1" t="s">
        <v>3492</v>
      </c>
      <c r="C986" s="9" t="str">
        <f t="array" ref="C986">IF(
  AND(
    IFERROR(MATCH(Caseslist!B986, data!D:D, 0), 0) &gt; 0,
    IFERROR(INDEX(data!N:N, MATCH(Caseslist!B986, data!D:D, 0)) = 1, FALSE)
  ),
  "COMPLETE",
  "INC"
)</f>
        <v>COMPLETE</v>
      </c>
      <c r="D986" s="9">
        <f t="array" ref="D986">IFERROR(INDEX(data!$G:$G,match(Caseslist!B986,data!$D:$D,0)), "INC")</f>
        <v>841329</v>
      </c>
      <c r="E986" s="9" t="str">
        <f t="array" ref="E986">IFERROR(INDEX(data!H:H,match(Caseslist!B986,data!D:D,0)), "INC")</f>
        <v>Aila Eli_2</v>
      </c>
      <c r="F986" s="10" t="str">
        <f t="array" ref="F986">IF(
    OR(
      IFNA(INDEX(data!M:M, MATCH(Caseslist!B986, data!D:D, 0)), "") = "",
      IFNA(INDEX(data!M:M, MATCH(Caseslist!B986, data!D:D, 0)), 0) = 0
    ),
    "COMPLETE",
    IF(
      IFNA(INDEX(dataICM!D:D, MATCH(Caseslist!B986, dataICM!D:D, 0)), "INC") = "INC",
      IFNA(INDEX(dataICM!D:D, MATCH(Caseslist!B986, dataICM!D:D, 0)), "INC"),
      "COMPLETE"
    )
  )</f>
        <v>COMPLETE</v>
      </c>
      <c r="G986" s="10" t="str">
        <f t="array" ref="G986">IF(IFERROR(INDEX(data!L:L,match(Caseslist!B986,data!D:D,0)),"INC")="","COMPLETE",F986)</f>
        <v>COMPLETE</v>
      </c>
      <c r="H986" s="9" t="str">
        <f t="array" ref="H986">IFERROR(INDEX(dataICM!F:F,match(Caseslist!B986,dataICM!D:D,0)), "INC")</f>
        <v>Aila Eli_2</v>
      </c>
      <c r="I986" s="10">
        <f t="shared" si="2"/>
        <v>841329</v>
      </c>
      <c r="J986" s="9" t="str">
        <f t="array" ref="J986">IF(
  AND(
    IFERROR(MATCH(B986, data!D:D, 0), 0) &gt; 0,
    IFERROR(INDEX(data!N:N, MATCH(B986, data!D:D, 0)) = 1, FALSE)
  ),
  INDEX(data!C:C, MATCH(B986, data!D:D, 0)),
  "INC"
)</f>
        <v>2025-09-04T13:54:25.747+08</v>
      </c>
      <c r="K986" s="9" t="str">
        <f t="array" ref="K986">IFERROR(INDEX(dataICM!C:C,match(Caseslist!B986,dataICM!D:D,0)), "INC")</f>
        <v>2025-09-04T14:00:55.398+08</v>
      </c>
      <c r="L986" s="10" t="str">
        <f t="array" ref="L986">IF(AND(G986="COMPLETE", OR(K986="INC", ISBLANK(INDEX(data!O:O, ROW())))), J986, K986)</f>
        <v>2025-09-04T14:00:55.398+08</v>
      </c>
      <c r="M986" s="2">
        <v>45904.0</v>
      </c>
      <c r="N986" s="2">
        <f t="array" ref="N986">IF(M986&lt;&gt;"INC", INDEX(data!M:M, MATCH(B986, data!D:D, 0)), "")</f>
        <v>3</v>
      </c>
      <c r="O986" s="2">
        <f t="shared" si="3"/>
        <v>3</v>
      </c>
    </row>
    <row r="987">
      <c r="A987" s="2" t="str">
        <f t="shared" si="1"/>
        <v>H019838</v>
      </c>
      <c r="B987" s="1" t="s">
        <v>3497</v>
      </c>
      <c r="C987" s="9" t="str">
        <f t="array" ref="C987">IF(
  AND(
    IFERROR(MATCH(Caseslist!B987, data!D:D, 0), 0) &gt; 0,
    IFERROR(INDEX(data!N:N, MATCH(Caseslist!B987, data!D:D, 0)) = 1, FALSE)
  ),
  "COMPLETE",
  "INC"
)</f>
        <v>COMPLETE</v>
      </c>
      <c r="D987" s="9">
        <f t="array" ref="D987">IFERROR(INDEX(data!$G:$G,match(Caseslist!B987,data!$D:$D,0)), "INC")</f>
        <v>555127</v>
      </c>
      <c r="E987" s="9" t="str">
        <f t="array" ref="E987">IFERROR(INDEX(data!H:H,match(Caseslist!B987,data!D:D,0)), "INC")</f>
        <v>Mary May_2</v>
      </c>
      <c r="F987" s="10" t="str">
        <f t="array" ref="F987">IF(
    OR(
      IFNA(INDEX(data!M:M, MATCH(Caseslist!B987, data!D:D, 0)), "") = "",
      IFNA(INDEX(data!M:M, MATCH(Caseslist!B987, data!D:D, 0)), 0) = 0
    ),
    "COMPLETE",
    IF(
      IFNA(INDEX(dataICM!D:D, MATCH(Caseslist!B987, dataICM!D:D, 0)), "INC") = "INC",
      IFNA(INDEX(dataICM!D:D, MATCH(Caseslist!B987, dataICM!D:D, 0)), "INC"),
      "COMPLETE"
    )
  )</f>
        <v>COMPLETE</v>
      </c>
      <c r="G987" s="10" t="str">
        <f t="array" ref="G987">IF(IFERROR(INDEX(data!L:L,match(Caseslist!B987,data!D:D,0)),"INC")="","COMPLETE",F987)</f>
        <v>COMPLETE</v>
      </c>
      <c r="H987" s="9" t="str">
        <f t="array" ref="H987">IFERROR(INDEX(dataICM!F:F,match(Caseslist!B987,dataICM!D:D,0)), "INC")</f>
        <v>Mary May_2</v>
      </c>
      <c r="I987" s="10">
        <f t="shared" si="2"/>
        <v>555127</v>
      </c>
      <c r="J987" s="9" t="str">
        <f t="array" ref="J987">IF(
  AND(
    IFERROR(MATCH(B987, data!D:D, 0), 0) &gt; 0,
    IFERROR(INDEX(data!N:N, MATCH(B987, data!D:D, 0)) = 1, FALSE)
  ),
  INDEX(data!C:C, MATCH(B987, data!D:D, 0)),
  "INC"
)</f>
        <v>2025-09-04T09:41:48.793+08</v>
      </c>
      <c r="K987" s="9" t="str">
        <f t="array" ref="K987">IFERROR(INDEX(dataICM!C:C,match(Caseslist!B987,dataICM!D:D,0)), "INC")</f>
        <v>2025-09-04T09:46:28.190+08</v>
      </c>
      <c r="L987" s="10" t="str">
        <f t="array" ref="L987">IF(AND(G987="COMPLETE", OR(K987="INC", ISBLANK(INDEX(data!O:O, ROW())))), J987, K987)</f>
        <v>2025-09-04T09:46:28.190+08</v>
      </c>
      <c r="M987" s="2">
        <v>45904.0</v>
      </c>
      <c r="N987" s="2">
        <f t="array" ref="N987">IF(M987&lt;&gt;"INC", INDEX(data!M:M, MATCH(B987, data!D:D, 0)), "")</f>
        <v>3</v>
      </c>
      <c r="O987" s="2">
        <f t="shared" si="3"/>
        <v>3</v>
      </c>
    </row>
    <row r="988">
      <c r="A988" s="2" t="str">
        <f t="shared" si="1"/>
        <v>H019838</v>
      </c>
      <c r="B988" s="1" t="s">
        <v>3507</v>
      </c>
      <c r="C988" s="9" t="str">
        <f t="array" ref="C988">IF(
  AND(
    IFERROR(MATCH(Caseslist!B988, data!D:D, 0), 0) &gt; 0,
    IFERROR(INDEX(data!N:N, MATCH(Caseslist!B988, data!D:D, 0)) = 1, FALSE)
  ),
  "COMPLETE",
  "INC"
)</f>
        <v>COMPLETE</v>
      </c>
      <c r="D988" s="9">
        <f t="array" ref="D988">IFERROR(INDEX(data!$G:$G,match(Caseslist!B988,data!$D:$D,0)), "INC")</f>
        <v>841329</v>
      </c>
      <c r="E988" s="9" t="str">
        <f t="array" ref="E988">IFERROR(INDEX(data!H:H,match(Caseslist!B988,data!D:D,0)), "INC")</f>
        <v>Aila Eli_2</v>
      </c>
      <c r="F988" s="10" t="str">
        <f t="array" ref="F988">IF(
    OR(
      IFNA(INDEX(data!M:M, MATCH(Caseslist!B988, data!D:D, 0)), "") = "",
      IFNA(INDEX(data!M:M, MATCH(Caseslist!B988, data!D:D, 0)), 0) = 0
    ),
    "COMPLETE",
    IF(
      IFNA(INDEX(dataICM!D:D, MATCH(Caseslist!B988, dataICM!D:D, 0)), "INC") = "INC",
      IFNA(INDEX(dataICM!D:D, MATCH(Caseslist!B988, dataICM!D:D, 0)), "INC"),
      "COMPLETE"
    )
  )</f>
        <v>COMPLETE</v>
      </c>
      <c r="G988" s="10" t="str">
        <f t="array" ref="G988">IF(IFERROR(INDEX(data!L:L,match(Caseslist!B988,data!D:D,0)),"INC")="","COMPLETE",F988)</f>
        <v>COMPLETE</v>
      </c>
      <c r="H988" s="9" t="str">
        <f t="array" ref="H988">IFERROR(INDEX(dataICM!F:F,match(Caseslist!B988,dataICM!D:D,0)), "INC")</f>
        <v>Aila Eli_2</v>
      </c>
      <c r="I988" s="10">
        <f t="shared" si="2"/>
        <v>841329</v>
      </c>
      <c r="J988" s="9" t="str">
        <f t="array" ref="J988">IF(
  AND(
    IFERROR(MATCH(B988, data!D:D, 0), 0) &gt; 0,
    IFERROR(INDEX(data!N:N, MATCH(B988, data!D:D, 0)) = 1, FALSE)
  ),
  INDEX(data!C:C, MATCH(B988, data!D:D, 0)),
  "INC"
)</f>
        <v>2025-09-04T15:46:16.627+08</v>
      </c>
      <c r="K988" s="9" t="str">
        <f t="array" ref="K988">IFERROR(INDEX(dataICM!C:C,match(Caseslist!B988,dataICM!D:D,0)), "INC")</f>
        <v>2025-09-04T15:47:20.358+08</v>
      </c>
      <c r="L988" s="10" t="str">
        <f t="array" ref="L988">IF(AND(G988="COMPLETE", OR(K988="INC", ISBLANK(INDEX(data!O:O, ROW())))), J988, K988)</f>
        <v>2025-09-04T15:47:20.358+08</v>
      </c>
      <c r="M988" s="2">
        <v>45904.0</v>
      </c>
      <c r="N988" s="2">
        <f t="array" ref="N988">IF(M988&lt;&gt;"INC", INDEX(data!M:M, MATCH(B988, data!D:D, 0)), "")</f>
        <v>3</v>
      </c>
      <c r="O988" s="2">
        <f t="shared" si="3"/>
        <v>3</v>
      </c>
    </row>
    <row r="989">
      <c r="A989" s="2" t="str">
        <f t="shared" si="1"/>
        <v>H019838</v>
      </c>
      <c r="B989" s="1" t="s">
        <v>3522</v>
      </c>
      <c r="C989" s="9" t="str">
        <f t="array" ref="C989">IF(
  AND(
    IFERROR(MATCH(Caseslist!B989, data!D:D, 0), 0) &gt; 0,
    IFERROR(INDEX(data!N:N, MATCH(Caseslist!B989, data!D:D, 0)) = 1, FALSE)
  ),
  "COMPLETE",
  "INC"
)</f>
        <v>COMPLETE</v>
      </c>
      <c r="D989" s="9">
        <f t="array" ref="D989">IFERROR(INDEX(data!$G:$G,match(Caseslist!B989,data!$D:$D,0)), "INC")</f>
        <v>555127</v>
      </c>
      <c r="E989" s="9" t="str">
        <f t="array" ref="E989">IFERROR(INDEX(data!H:H,match(Caseslist!B989,data!D:D,0)), "INC")</f>
        <v>Mary May_2</v>
      </c>
      <c r="F989" s="10" t="str">
        <f t="array" ref="F989">IF(
    OR(
      IFNA(INDEX(data!M:M, MATCH(Caseslist!B989, data!D:D, 0)), "") = "",
      IFNA(INDEX(data!M:M, MATCH(Caseslist!B989, data!D:D, 0)), 0) = 0
    ),
    "COMPLETE",
    IF(
      IFNA(INDEX(dataICM!D:D, MATCH(Caseslist!B989, dataICM!D:D, 0)), "INC") = "INC",
      IFNA(INDEX(dataICM!D:D, MATCH(Caseslist!B989, dataICM!D:D, 0)), "INC"),
      "COMPLETE"
    )
  )</f>
        <v>COMPLETE</v>
      </c>
      <c r="G989" s="10" t="str">
        <f t="array" ref="G989">IF(IFERROR(INDEX(data!L:L,match(Caseslist!B989,data!D:D,0)),"INC")="","COMPLETE",F989)</f>
        <v>COMPLETE</v>
      </c>
      <c r="H989" s="9" t="str">
        <f t="array" ref="H989">IFERROR(INDEX(dataICM!F:F,match(Caseslist!B989,dataICM!D:D,0)), "INC")</f>
        <v>Mary May_2</v>
      </c>
      <c r="I989" s="10">
        <f t="shared" si="2"/>
        <v>555127</v>
      </c>
      <c r="J989" s="9" t="str">
        <f t="array" ref="J989">IF(
  AND(
    IFERROR(MATCH(B989, data!D:D, 0), 0) &gt; 0,
    IFERROR(INDEX(data!N:N, MATCH(B989, data!D:D, 0)) = 1, FALSE)
  ),
  INDEX(data!C:C, MATCH(B989, data!D:D, 0)),
  "INC"
)</f>
        <v>2025-09-04T12:50:55.072+08</v>
      </c>
      <c r="K989" s="9" t="str">
        <f t="array" ref="K989">IFERROR(INDEX(dataICM!C:C,match(Caseslist!B989,dataICM!D:D,0)), "INC")</f>
        <v>2025-09-04T12:54:22.016+08</v>
      </c>
      <c r="L989" s="10" t="str">
        <f t="array" ref="L989">IF(AND(G989="COMPLETE", OR(K989="INC", ISBLANK(INDEX(data!O:O, ROW())))), J989, K989)</f>
        <v>2025-09-04T12:54:22.016+08</v>
      </c>
      <c r="M989" s="2">
        <v>45904.0</v>
      </c>
      <c r="N989" s="2">
        <f t="array" ref="N989">IF(M989&lt;&gt;"INC", INDEX(data!M:M, MATCH(B989, data!D:D, 0)), "")</f>
        <v>3</v>
      </c>
      <c r="O989" s="2">
        <f t="shared" si="3"/>
        <v>3</v>
      </c>
    </row>
    <row r="990">
      <c r="A990" s="2" t="str">
        <f t="shared" si="1"/>
        <v>H019838</v>
      </c>
      <c r="B990" s="1" t="s">
        <v>3657</v>
      </c>
      <c r="C990" s="9" t="str">
        <f t="array" ref="C990">IF(
  AND(
    IFERROR(MATCH(Caseslist!B990, data!D:D, 0), 0) &gt; 0,
    IFERROR(INDEX(data!N:N, MATCH(Caseslist!B990, data!D:D, 0)) = 1, FALSE)
  ),
  "COMPLETE",
  "INC"
)</f>
        <v>COMPLETE</v>
      </c>
      <c r="D990" s="9">
        <f t="array" ref="D990">IFERROR(INDEX(data!$G:$G,match(Caseslist!B990,data!$D:$D,0)), "INC")</f>
        <v>455939</v>
      </c>
      <c r="E990" s="9" t="str">
        <f t="array" ref="E990">IFERROR(INDEX(data!H:H,match(Caseslist!B990,data!D:D,0)), "INC")</f>
        <v>Mary Jean Villaflor_2</v>
      </c>
      <c r="F990" s="10" t="str">
        <f t="array" ref="F990">IF(
    OR(
      IFNA(INDEX(data!M:M, MATCH(Caseslist!B990, data!D:D, 0)), "") = "",
      IFNA(INDEX(data!M:M, MATCH(Caseslist!B990, data!D:D, 0)), 0) = 0
    ),
    "COMPLETE",
    IF(
      IFNA(INDEX(dataICM!D:D, MATCH(Caseslist!B990, dataICM!D:D, 0)), "INC") = "INC",
      IFNA(INDEX(dataICM!D:D, MATCH(Caseslist!B990, dataICM!D:D, 0)), "INC"),
      "COMPLETE"
    )
  )</f>
        <v>COMPLETE</v>
      </c>
      <c r="G990" s="10" t="str">
        <f t="array" ref="G990">IF(IFERROR(INDEX(data!L:L,match(Caseslist!B990,data!D:D,0)),"INC")="","COMPLETE",F990)</f>
        <v>COMPLETE</v>
      </c>
      <c r="H990" s="9" t="str">
        <f t="array" ref="H990">IFERROR(INDEX(dataICM!F:F,match(Caseslist!B990,dataICM!D:D,0)), "INC")</f>
        <v>Mary Jean Villaflor_2</v>
      </c>
      <c r="I990" s="10">
        <f t="shared" si="2"/>
        <v>455939</v>
      </c>
      <c r="J990" s="9" t="str">
        <f t="array" ref="J990">IF(
  AND(
    IFERROR(MATCH(B990, data!D:D, 0), 0) &gt; 0,
    IFERROR(INDEX(data!N:N, MATCH(B990, data!D:D, 0)) = 1, FALSE)
  ),
  INDEX(data!C:C, MATCH(B990, data!D:D, 0)),
  "INC"
)</f>
        <v>2025-09-04T09:59:45.220+08</v>
      </c>
      <c r="K990" s="9" t="str">
        <f t="array" ref="K990">IFERROR(INDEX(dataICM!C:C,match(Caseslist!B990,dataICM!D:D,0)), "INC")</f>
        <v>2025-09-04T10:06:20.539+08</v>
      </c>
      <c r="L990" s="10" t="str">
        <f t="array" ref="L990">IF(AND(G990="COMPLETE", OR(K990="INC", ISBLANK(INDEX(data!O:O, ROW())))), J990, K990)</f>
        <v>2025-09-04T10:06:20.539+08</v>
      </c>
      <c r="M990" s="2">
        <v>45904.0</v>
      </c>
      <c r="N990" s="2">
        <f t="array" ref="N990">IF(M990&lt;&gt;"INC", INDEX(data!M:M, MATCH(B990, data!D:D, 0)), "")</f>
        <v>3</v>
      </c>
      <c r="O990" s="2">
        <f t="shared" si="3"/>
        <v>3</v>
      </c>
    </row>
    <row r="991">
      <c r="A991" s="2" t="str">
        <f t="shared" si="1"/>
        <v>H019838</v>
      </c>
      <c r="B991" s="1" t="s">
        <v>3512</v>
      </c>
      <c r="C991" s="9" t="str">
        <f t="array" ref="C991">IF(
  AND(
    IFERROR(MATCH(Caseslist!B991, data!D:D, 0), 0) &gt; 0,
    IFERROR(INDEX(data!N:N, MATCH(Caseslist!B991, data!D:D, 0)) = 1, FALSE)
  ),
  "COMPLETE",
  "INC"
)</f>
        <v>COMPLETE</v>
      </c>
      <c r="D991" s="9">
        <f t="array" ref="D991">IFERROR(INDEX(data!$G:$G,match(Caseslist!B991,data!$D:$D,0)), "INC")</f>
        <v>555127</v>
      </c>
      <c r="E991" s="9" t="str">
        <f t="array" ref="E991">IFERROR(INDEX(data!H:H,match(Caseslist!B991,data!D:D,0)), "INC")</f>
        <v>Mary May_2</v>
      </c>
      <c r="F991" s="10" t="str">
        <f t="array" ref="F991">IF(
    OR(
      IFNA(INDEX(data!M:M, MATCH(Caseslist!B991, data!D:D, 0)), "") = "",
      IFNA(INDEX(data!M:M, MATCH(Caseslist!B991, data!D:D, 0)), 0) = 0
    ),
    "COMPLETE",
    IF(
      IFNA(INDEX(dataICM!D:D, MATCH(Caseslist!B991, dataICM!D:D, 0)), "INC") = "INC",
      IFNA(INDEX(dataICM!D:D, MATCH(Caseslist!B991, dataICM!D:D, 0)), "INC"),
      "COMPLETE"
    )
  )</f>
        <v>COMPLETE</v>
      </c>
      <c r="G991" s="10" t="str">
        <f t="array" ref="G991">IF(IFERROR(INDEX(data!L:L,match(Caseslist!B991,data!D:D,0)),"INC")="","COMPLETE",F991)</f>
        <v>COMPLETE</v>
      </c>
      <c r="H991" s="9" t="str">
        <f t="array" ref="H991">IFERROR(INDEX(dataICM!F:F,match(Caseslist!B991,dataICM!D:D,0)), "INC")</f>
        <v>Mary May_2</v>
      </c>
      <c r="I991" s="10">
        <f t="shared" si="2"/>
        <v>555127</v>
      </c>
      <c r="J991" s="9" t="str">
        <f t="array" ref="J991">IF(
  AND(
    IFERROR(MATCH(B991, data!D:D, 0), 0) &gt; 0,
    IFERROR(INDEX(data!N:N, MATCH(B991, data!D:D, 0)) = 1, FALSE)
  ),
  INDEX(data!C:C, MATCH(B991, data!D:D, 0)),
  "INC"
)</f>
        <v>2025-09-04T11:50:39.748+08</v>
      </c>
      <c r="K991" s="9" t="str">
        <f t="array" ref="K991">IFERROR(INDEX(dataICM!C:C,match(Caseslist!B991,dataICM!D:D,0)), "INC")</f>
        <v>2025-09-04T12:00:07.788+08</v>
      </c>
      <c r="L991" s="10" t="str">
        <f t="array" ref="L991">IF(AND(G991="COMPLETE", OR(K991="INC", ISBLANK(INDEX(data!O:O, ROW())))), J991, K991)</f>
        <v>2025-09-04T12:00:07.788+08</v>
      </c>
      <c r="M991" s="2">
        <v>45904.0</v>
      </c>
      <c r="N991" s="2">
        <f t="array" ref="N991">IF(M991&lt;&gt;"INC", INDEX(data!M:M, MATCH(B991, data!D:D, 0)), "")</f>
        <v>3</v>
      </c>
      <c r="O991" s="2">
        <f t="shared" si="3"/>
        <v>3</v>
      </c>
    </row>
    <row r="992">
      <c r="A992" s="2" t="str">
        <f t="shared" si="1"/>
        <v>H019838</v>
      </c>
      <c r="B992" s="1" t="s">
        <v>3517</v>
      </c>
      <c r="C992" s="9" t="str">
        <f t="array" ref="C992">IF(
  AND(
    IFERROR(MATCH(Caseslist!B992, data!D:D, 0), 0) &gt; 0,
    IFERROR(INDEX(data!N:N, MATCH(Caseslist!B992, data!D:D, 0)) = 1, FALSE)
  ),
  "COMPLETE",
  "INC"
)</f>
        <v>COMPLETE</v>
      </c>
      <c r="D992" s="9">
        <f t="array" ref="D992">IFERROR(INDEX(data!$G:$G,match(Caseslist!B992,data!$D:$D,0)), "INC")</f>
        <v>841329</v>
      </c>
      <c r="E992" s="9" t="str">
        <f t="array" ref="E992">IFERROR(INDEX(data!H:H,match(Caseslist!B992,data!D:D,0)), "INC")</f>
        <v>Aila Eli_2</v>
      </c>
      <c r="F992" s="10" t="str">
        <f t="array" ref="F992">IF(
    OR(
      IFNA(INDEX(data!M:M, MATCH(Caseslist!B992, data!D:D, 0)), "") = "",
      IFNA(INDEX(data!M:M, MATCH(Caseslist!B992, data!D:D, 0)), 0) = 0
    ),
    "COMPLETE",
    IF(
      IFNA(INDEX(dataICM!D:D, MATCH(Caseslist!B992, dataICM!D:D, 0)), "INC") = "INC",
      IFNA(INDEX(dataICM!D:D, MATCH(Caseslist!B992, dataICM!D:D, 0)), "INC"),
      "COMPLETE"
    )
  )</f>
        <v>COMPLETE</v>
      </c>
      <c r="G992" s="10" t="str">
        <f t="array" ref="G992">IF(IFERROR(INDEX(data!L:L,match(Caseslist!B992,data!D:D,0)),"INC")="","COMPLETE",F992)</f>
        <v>COMPLETE</v>
      </c>
      <c r="H992" s="9" t="str">
        <f t="array" ref="H992">IFERROR(INDEX(dataICM!F:F,match(Caseslist!B992,dataICM!D:D,0)), "INC")</f>
        <v>Aila Eli_2</v>
      </c>
      <c r="I992" s="10">
        <f t="shared" si="2"/>
        <v>841329</v>
      </c>
      <c r="J992" s="9" t="str">
        <f t="array" ref="J992">IF(
  AND(
    IFERROR(MATCH(B992, data!D:D, 0), 0) &gt; 0,
    IFERROR(INDEX(data!N:N, MATCH(B992, data!D:D, 0)) = 1, FALSE)
  ),
  INDEX(data!C:C, MATCH(B992, data!D:D, 0)),
  "INC"
)</f>
        <v>2025-09-04T15:56:32.349+08</v>
      </c>
      <c r="K992" s="9" t="str">
        <f t="array" ref="K992">IFERROR(INDEX(dataICM!C:C,match(Caseslist!B992,dataICM!D:D,0)), "INC")</f>
        <v>2025-09-04T15:56:50.214+08</v>
      </c>
      <c r="L992" s="10" t="str">
        <f t="array" ref="L992">IF(AND(G992="COMPLETE", OR(K992="INC", ISBLANK(INDEX(data!O:O, ROW())))), J992, K992)</f>
        <v>2025-09-04T15:56:50.214+08</v>
      </c>
      <c r="M992" s="2">
        <v>45904.0</v>
      </c>
      <c r="N992" s="2">
        <f t="array" ref="N992">IF(M992&lt;&gt;"INC", INDEX(data!M:M, MATCH(B992, data!D:D, 0)), "")</f>
        <v>3</v>
      </c>
      <c r="O992" s="2">
        <f t="shared" si="3"/>
        <v>3</v>
      </c>
    </row>
    <row r="993">
      <c r="A993" s="2" t="str">
        <f t="shared" si="1"/>
        <v>H019838</v>
      </c>
      <c r="B993" s="1" t="s">
        <v>3532</v>
      </c>
      <c r="C993" s="9" t="str">
        <f t="array" ref="C993">IF(
  AND(
    IFERROR(MATCH(Caseslist!B993, data!D:D, 0), 0) &gt; 0,
    IFERROR(INDEX(data!N:N, MATCH(Caseslist!B993, data!D:D, 0)) = 1, FALSE)
  ),
  "COMPLETE",
  "INC"
)</f>
        <v>COMPLETE</v>
      </c>
      <c r="D993" s="9">
        <f t="array" ref="D993">IFERROR(INDEX(data!$G:$G,match(Caseslist!B993,data!$D:$D,0)), "INC")</f>
        <v>841329</v>
      </c>
      <c r="E993" s="9" t="str">
        <f t="array" ref="E993">IFERROR(INDEX(data!H:H,match(Caseslist!B993,data!D:D,0)), "INC")</f>
        <v>Aila Eli_2</v>
      </c>
      <c r="F993" s="10" t="str">
        <f t="array" ref="F993">IF(
    OR(
      IFNA(INDEX(data!M:M, MATCH(Caseslist!B993, data!D:D, 0)), "") = "",
      IFNA(INDEX(data!M:M, MATCH(Caseslist!B993, data!D:D, 0)), 0) = 0
    ),
    "COMPLETE",
    IF(
      IFNA(INDEX(dataICM!D:D, MATCH(Caseslist!B993, dataICM!D:D, 0)), "INC") = "INC",
      IFNA(INDEX(dataICM!D:D, MATCH(Caseslist!B993, dataICM!D:D, 0)), "INC"),
      "COMPLETE"
    )
  )</f>
        <v>COMPLETE</v>
      </c>
      <c r="G993" s="10" t="str">
        <f t="array" ref="G993">IF(IFERROR(INDEX(data!L:L,match(Caseslist!B993,data!D:D,0)),"INC")="","COMPLETE",F993)</f>
        <v>COMPLETE</v>
      </c>
      <c r="H993" s="9" t="str">
        <f t="array" ref="H993">IFERROR(INDEX(dataICM!F:F,match(Caseslist!B993,dataICM!D:D,0)), "INC")</f>
        <v>Aila Eli_2</v>
      </c>
      <c r="I993" s="10">
        <f t="shared" si="2"/>
        <v>841329</v>
      </c>
      <c r="J993" s="9" t="str">
        <f t="array" ref="J993">IF(
  AND(
    IFERROR(MATCH(B993, data!D:D, 0), 0) &gt; 0,
    IFERROR(INDEX(data!N:N, MATCH(B993, data!D:D, 0)) = 1, FALSE)
  ),
  INDEX(data!C:C, MATCH(B993, data!D:D, 0)),
  "INC"
)</f>
        <v>2025-09-04T13:08:28.592+08</v>
      </c>
      <c r="K993" s="9" t="str">
        <f t="array" ref="K993">IFERROR(INDEX(dataICM!C:C,match(Caseslist!B993,dataICM!D:D,0)), "INC")</f>
        <v>2025-09-28T08:39:12.316+08</v>
      </c>
      <c r="L993" s="10" t="str">
        <f t="array" ref="L993">IF(AND(G993="COMPLETE", OR(K993="INC", ISBLANK(INDEX(data!O:O, ROW())))), J993, K993)</f>
        <v>2025-09-28T08:39:12.316+08</v>
      </c>
      <c r="M993" s="2">
        <v>45928.0</v>
      </c>
      <c r="N993" s="2">
        <f t="array" ref="N993">IF(M993&lt;&gt;"INC", INDEX(data!M:M, MATCH(B993, data!D:D, 0)), "")</f>
        <v>3</v>
      </c>
      <c r="O993" s="2">
        <f t="shared" si="3"/>
        <v>3</v>
      </c>
    </row>
    <row r="994">
      <c r="A994" s="2" t="str">
        <f t="shared" si="1"/>
        <v>H030004</v>
      </c>
      <c r="B994" s="1" t="s">
        <v>2811</v>
      </c>
      <c r="C994" s="9" t="str">
        <f t="array" ref="C994">IF(
  AND(
    IFERROR(MATCH(Caseslist!B994, data!D:D, 0), 0) &gt; 0,
    IFERROR(INDEX(data!N:N, MATCH(Caseslist!B994, data!D:D, 0)) = 1, FALSE)
  ),
  "COMPLETE",
  "INC"
)</f>
        <v>COMPLETE</v>
      </c>
      <c r="D994" s="9" t="str">
        <f t="array" ref="D994">IFERROR(INDEX(data!$G:$G,match(Caseslist!B994,data!$D:$D,0)), "INC")</f>
        <v>O3925718</v>
      </c>
      <c r="E994" s="9" t="str">
        <f t="array" ref="E994">IFERROR(INDEX(data!H:H,match(Caseslist!B994,data!D:D,0)), "INC")</f>
        <v>Adrian Montecastro Ferrer</v>
      </c>
      <c r="F994" s="10" t="str">
        <f t="array" ref="F994">IF(
    OR(
      IFNA(INDEX(data!M:M, MATCH(Caseslist!B994, data!D:D, 0)), "") = "",
      IFNA(INDEX(data!M:M, MATCH(Caseslist!B994, data!D:D, 0)), 0) = 0
    ),
    "COMPLETE",
    IF(
      IFNA(INDEX(dataICM!D:D, MATCH(Caseslist!B994, dataICM!D:D, 0)), "INC") = "INC",
      IFNA(INDEX(dataICM!D:D, MATCH(Caseslist!B994, dataICM!D:D, 0)), "INC"),
      "COMPLETE"
    )
  )</f>
        <v>COMPLETE</v>
      </c>
      <c r="G994" s="10" t="str">
        <f t="array" ref="G994">IF(IFERROR(INDEX(data!L:L,match(Caseslist!B994,data!D:D,0)),"INC")="","COMPLETE",F994)</f>
        <v>COMPLETE</v>
      </c>
      <c r="H994" s="9" t="str">
        <f t="array" ref="H994">IFERROR(INDEX(dataICM!F:F,match(Caseslist!B994,dataICM!D:D,0)), "INC")</f>
        <v>INC</v>
      </c>
      <c r="I994" s="10" t="str">
        <f t="shared" si="2"/>
        <v>O3925718</v>
      </c>
      <c r="J994" s="9" t="str">
        <f t="array" ref="J994">IF(
  AND(
    IFERROR(MATCH(B994, data!D:D, 0), 0) &gt; 0,
    IFERROR(INDEX(data!N:N, MATCH(B994, data!D:D, 0)) = 1, FALSE)
  ),
  INDEX(data!C:C, MATCH(B994, data!D:D, 0)),
  "INC"
)</f>
        <v>2025-09-02T14:36:16.175+08</v>
      </c>
      <c r="K994" s="9" t="str">
        <f t="array" ref="K994">IFERROR(INDEX(dataICM!C:C,match(Caseslist!B994,dataICM!D:D,0)), "INC")</f>
        <v>INC</v>
      </c>
      <c r="L994" s="10" t="str">
        <f t="array" ref="L994">IF(AND(G994="COMPLETE", OR(K994="INC", ISBLANK(INDEX(data!O:O, ROW())))), J994, K994)</f>
        <v>2025-09-02T14:36:16.175+08</v>
      </c>
      <c r="M994" s="2">
        <v>45902.0</v>
      </c>
      <c r="N994" s="2">
        <f t="array" ref="N994">IF(M994&lt;&gt;"INC", INDEX(data!M:M, MATCH(B994, data!D:D, 0)), "")</f>
        <v>0</v>
      </c>
      <c r="O994" s="2">
        <f t="shared" si="3"/>
        <v>0</v>
      </c>
    </row>
    <row r="995">
      <c r="A995" s="2" t="str">
        <f t="shared" si="1"/>
        <v>H030004</v>
      </c>
      <c r="B995" s="1" t="s">
        <v>2826</v>
      </c>
      <c r="C995" s="9" t="str">
        <f t="array" ref="C995">IF(
  AND(
    IFERROR(MATCH(Caseslist!B995, data!D:D, 0), 0) &gt; 0,
    IFERROR(INDEX(data!N:N, MATCH(Caseslist!B995, data!D:D, 0)) = 1, FALSE)
  ),
  "COMPLETE",
  "INC"
)</f>
        <v>COMPLETE</v>
      </c>
      <c r="D995" s="9" t="str">
        <f t="array" ref="D995">IFERROR(INDEX(data!$G:$G,match(Caseslist!B995,data!$D:$D,0)), "INC")</f>
        <v>P1068432</v>
      </c>
      <c r="E995" s="9" t="str">
        <f t="array" ref="E995">IFERROR(INDEX(data!H:H,match(Caseslist!B995,data!D:D,0)), "INC")</f>
        <v>Mark Daniel Balagao Benson</v>
      </c>
      <c r="F995" s="10" t="str">
        <f t="array" ref="F995">IF(
    OR(
      IFNA(INDEX(data!M:M, MATCH(Caseslist!B995, data!D:D, 0)), "") = "",
      IFNA(INDEX(data!M:M, MATCH(Caseslist!B995, data!D:D, 0)), 0) = 0
    ),
    "COMPLETE",
    IF(
      IFNA(INDEX(dataICM!D:D, MATCH(Caseslist!B995, dataICM!D:D, 0)), "INC") = "INC",
      IFNA(INDEX(dataICM!D:D, MATCH(Caseslist!B995, dataICM!D:D, 0)), "INC"),
      "COMPLETE"
    )
  )</f>
        <v>COMPLETE</v>
      </c>
      <c r="G995" s="10" t="str">
        <f t="array" ref="G995">IF(IFERROR(INDEX(data!L:L,match(Caseslist!B995,data!D:D,0)),"INC")="","COMPLETE",F995)</f>
        <v>COMPLETE</v>
      </c>
      <c r="H995" s="9" t="str">
        <f t="array" ref="H995">IFERROR(INDEX(dataICM!F:F,match(Caseslist!B995,dataICM!D:D,0)), "INC")</f>
        <v>INC</v>
      </c>
      <c r="I995" s="10" t="str">
        <f t="shared" si="2"/>
        <v>P1068432</v>
      </c>
      <c r="J995" s="9" t="str">
        <f t="array" ref="J995">IF(
  AND(
    IFERROR(MATCH(B995, data!D:D, 0), 0) &gt; 0,
    IFERROR(INDEX(data!N:N, MATCH(B995, data!D:D, 0)) = 1, FALSE)
  ),
  INDEX(data!C:C, MATCH(B995, data!D:D, 0)),
  "INC"
)</f>
        <v>2025-09-02T13:55:21.333+08</v>
      </c>
      <c r="K995" s="9" t="str">
        <f t="array" ref="K995">IFERROR(INDEX(dataICM!C:C,match(Caseslist!B995,dataICM!D:D,0)), "INC")</f>
        <v>INC</v>
      </c>
      <c r="L995" s="10" t="str">
        <f t="array" ref="L995">IF(AND(G995="COMPLETE", OR(K995="INC", ISBLANK(INDEX(data!O:O, ROW())))), J995, K995)</f>
        <v>2025-09-02T13:55:21.333+08</v>
      </c>
      <c r="M995" s="2">
        <v>45902.0</v>
      </c>
      <c r="N995" s="2">
        <f t="array" ref="N995">IF(M995&lt;&gt;"INC", INDEX(data!M:M, MATCH(B995, data!D:D, 0)), "")</f>
        <v>0</v>
      </c>
      <c r="O995" s="2">
        <f t="shared" si="3"/>
        <v>0</v>
      </c>
    </row>
    <row r="996">
      <c r="A996" s="2" t="str">
        <f t="shared" si="1"/>
        <v>H030004</v>
      </c>
      <c r="B996" s="1" t="s">
        <v>2524</v>
      </c>
      <c r="C996" s="9" t="str">
        <f t="array" ref="C996">IF(
  AND(
    IFERROR(MATCH(Caseslist!B996, data!D:D, 0), 0) &gt; 0,
    IFERROR(INDEX(data!N:N, MATCH(Caseslist!B996, data!D:D, 0)) = 1, FALSE)
  ),
  "COMPLETE",
  "INC"
)</f>
        <v>COMPLETE</v>
      </c>
      <c r="D996" s="9" t="str">
        <f t="array" ref="D996">IFERROR(INDEX(data!$G:$G,match(Caseslist!B996,data!$D:$D,0)), "INC")</f>
        <v>N7814260</v>
      </c>
      <c r="E996" s="9" t="str">
        <f t="array" ref="E996">IFERROR(INDEX(data!H:H,match(Caseslist!B996,data!D:D,0)), "INC")</f>
        <v>Jemma Marie Tillo</v>
      </c>
      <c r="F996" s="10" t="str">
        <f t="array" ref="F996">IF(
    OR(
      IFNA(INDEX(data!M:M, MATCH(Caseslist!B996, data!D:D, 0)), "") = "",
      IFNA(INDEX(data!M:M, MATCH(Caseslist!B996, data!D:D, 0)), 0) = 0
    ),
    "COMPLETE",
    IF(
      IFNA(INDEX(dataICM!D:D, MATCH(Caseslist!B996, dataICM!D:D, 0)), "INC") = "INC",
      IFNA(INDEX(dataICM!D:D, MATCH(Caseslist!B996, dataICM!D:D, 0)), "INC"),
      "COMPLETE"
    )
  )</f>
        <v>COMPLETE</v>
      </c>
      <c r="G996" s="10" t="str">
        <f t="array" ref="G996">IF(IFERROR(INDEX(data!L:L,match(Caseslist!B996,data!D:D,0)),"INC")="","COMPLETE",F996)</f>
        <v>COMPLETE</v>
      </c>
      <c r="H996" s="9" t="str">
        <f t="array" ref="H996">IFERROR(INDEX(dataICM!F:F,match(Caseslist!B996,dataICM!D:D,0)), "INC")</f>
        <v>INC</v>
      </c>
      <c r="I996" s="10" t="str">
        <f t="shared" si="2"/>
        <v>N7814260</v>
      </c>
      <c r="J996" s="9" t="str">
        <f t="array" ref="J996">IF(
  AND(
    IFERROR(MATCH(B996, data!D:D, 0), 0) &gt; 0,
    IFERROR(INDEX(data!N:N, MATCH(B996, data!D:D, 0)) = 1, FALSE)
  ),
  INDEX(data!C:C, MATCH(B996, data!D:D, 0)),
  "INC"
)</f>
        <v>2025-09-02T17:17:38.599+08</v>
      </c>
      <c r="K996" s="9" t="str">
        <f t="array" ref="K996">IFERROR(INDEX(dataICM!C:C,match(Caseslist!B996,dataICM!D:D,0)), "INC")</f>
        <v>INC</v>
      </c>
      <c r="L996" s="10" t="str">
        <f t="array" ref="L996">IF(AND(G996="COMPLETE", OR(K996="INC", ISBLANK(INDEX(data!O:O, ROW())))), J996, K996)</f>
        <v>2025-09-02T17:17:38.599+08</v>
      </c>
      <c r="M996" s="2">
        <v>45902.0</v>
      </c>
      <c r="N996" s="2">
        <f t="array" ref="N996">IF(M996&lt;&gt;"INC", INDEX(data!M:M, MATCH(B996, data!D:D, 0)), "")</f>
        <v>0</v>
      </c>
      <c r="O996" s="2">
        <f t="shared" si="3"/>
        <v>0</v>
      </c>
    </row>
    <row r="997">
      <c r="A997" s="2" t="str">
        <f t="shared" si="1"/>
        <v>H030004</v>
      </c>
      <c r="B997" s="1" t="s">
        <v>2796</v>
      </c>
      <c r="C997" s="9" t="str">
        <f t="array" ref="C997">IF(
  AND(
    IFERROR(MATCH(Caseslist!B997, data!D:D, 0), 0) &gt; 0,
    IFERROR(INDEX(data!N:N, MATCH(Caseslist!B997, data!D:D, 0)) = 1, FALSE)
  ),
  "COMPLETE",
  "INC"
)</f>
        <v>COMPLETE</v>
      </c>
      <c r="D997" s="9" t="str">
        <f t="array" ref="D997">IFERROR(INDEX(data!$G:$G,match(Caseslist!B997,data!$D:$D,0)), "INC")</f>
        <v>O3925718</v>
      </c>
      <c r="E997" s="9" t="str">
        <f t="array" ref="E997">IFERROR(INDEX(data!H:H,match(Caseslist!B997,data!D:D,0)), "INC")</f>
        <v>Adrian Montecastro Ferrer</v>
      </c>
      <c r="F997" s="10" t="str">
        <f t="array" ref="F997">IF(
    OR(
      IFNA(INDEX(data!M:M, MATCH(Caseslist!B997, data!D:D, 0)), "") = "",
      IFNA(INDEX(data!M:M, MATCH(Caseslist!B997, data!D:D, 0)), 0) = 0
    ),
    "COMPLETE",
    IF(
      IFNA(INDEX(dataICM!D:D, MATCH(Caseslist!B997, dataICM!D:D, 0)), "INC") = "INC",
      IFNA(INDEX(dataICM!D:D, MATCH(Caseslist!B997, dataICM!D:D, 0)), "INC"),
      "COMPLETE"
    )
  )</f>
        <v>COMPLETE</v>
      </c>
      <c r="G997" s="10" t="str">
        <f t="array" ref="G997">IF(IFERROR(INDEX(data!L:L,match(Caseslist!B997,data!D:D,0)),"INC")="","COMPLETE",F997)</f>
        <v>COMPLETE</v>
      </c>
      <c r="H997" s="9" t="str">
        <f t="array" ref="H997">IFERROR(INDEX(dataICM!F:F,match(Caseslist!B997,dataICM!D:D,0)), "INC")</f>
        <v>INC</v>
      </c>
      <c r="I997" s="10" t="str">
        <f t="shared" si="2"/>
        <v>O3925718</v>
      </c>
      <c r="J997" s="9" t="str">
        <f t="array" ref="J997">IF(
  AND(
    IFERROR(MATCH(B997, data!D:D, 0), 0) &gt; 0,
    IFERROR(INDEX(data!N:N, MATCH(B997, data!D:D, 0)) = 1, FALSE)
  ),
  INDEX(data!C:C, MATCH(B997, data!D:D, 0)),
  "INC"
)</f>
        <v>2025-09-02T09:45:09.773+08</v>
      </c>
      <c r="K997" s="9" t="str">
        <f t="array" ref="K997">IFERROR(INDEX(dataICM!C:C,match(Caseslist!B997,dataICM!D:D,0)), "INC")</f>
        <v>INC</v>
      </c>
      <c r="L997" s="10" t="str">
        <f t="array" ref="L997">IF(AND(G997="COMPLETE", OR(K997="INC", ISBLANK(INDEX(data!O:O, ROW())))), J997, K997)</f>
        <v>2025-09-02T09:45:09.773+08</v>
      </c>
      <c r="M997" s="2">
        <v>45902.0</v>
      </c>
      <c r="N997" s="2">
        <f t="array" ref="N997">IF(M997&lt;&gt;"INC", INDEX(data!M:M, MATCH(B997, data!D:D, 0)), "")</f>
        <v>0</v>
      </c>
      <c r="O997" s="2">
        <f t="shared" si="3"/>
        <v>0</v>
      </c>
    </row>
    <row r="998">
      <c r="A998" s="2" t="str">
        <f t="shared" si="1"/>
        <v>H030004</v>
      </c>
      <c r="B998" s="1" t="s">
        <v>2801</v>
      </c>
      <c r="C998" s="9" t="str">
        <f t="array" ref="C998">IF(
  AND(
    IFERROR(MATCH(Caseslist!B998, data!D:D, 0), 0) &gt; 0,
    IFERROR(INDEX(data!N:N, MATCH(Caseslist!B998, data!D:D, 0)) = 1, FALSE)
  ),
  "COMPLETE",
  "INC"
)</f>
        <v>COMPLETE</v>
      </c>
      <c r="D998" s="9" t="str">
        <f t="array" ref="D998">IFERROR(INDEX(data!$G:$G,match(Caseslist!B998,data!$D:$D,0)), "INC")</f>
        <v>O3925718</v>
      </c>
      <c r="E998" s="9" t="str">
        <f t="array" ref="E998">IFERROR(INDEX(data!H:H,match(Caseslist!B998,data!D:D,0)), "INC")</f>
        <v>Adrian Montecastro Ferrer</v>
      </c>
      <c r="F998" s="10" t="str">
        <f t="array" ref="F998">IF(
    OR(
      IFNA(INDEX(data!M:M, MATCH(Caseslist!B998, data!D:D, 0)), "") = "",
      IFNA(INDEX(data!M:M, MATCH(Caseslist!B998, data!D:D, 0)), 0) = 0
    ),
    "COMPLETE",
    IF(
      IFNA(INDEX(dataICM!D:D, MATCH(Caseslist!B998, dataICM!D:D, 0)), "INC") = "INC",
      IFNA(INDEX(dataICM!D:D, MATCH(Caseslist!B998, dataICM!D:D, 0)), "INC"),
      "COMPLETE"
    )
  )</f>
        <v>COMPLETE</v>
      </c>
      <c r="G998" s="10" t="str">
        <f t="array" ref="G998">IF(IFERROR(INDEX(data!L:L,match(Caseslist!B998,data!D:D,0)),"INC")="","COMPLETE",F998)</f>
        <v>COMPLETE</v>
      </c>
      <c r="H998" s="9" t="str">
        <f t="array" ref="H998">IFERROR(INDEX(dataICM!F:F,match(Caseslist!B998,dataICM!D:D,0)), "INC")</f>
        <v>INC</v>
      </c>
      <c r="I998" s="10" t="str">
        <f t="shared" si="2"/>
        <v>O3925718</v>
      </c>
      <c r="J998" s="9" t="str">
        <f t="array" ref="J998">IF(
  AND(
    IFERROR(MATCH(B998, data!D:D, 0), 0) &gt; 0,
    IFERROR(INDEX(data!N:N, MATCH(B998, data!D:D, 0)) = 1, FALSE)
  ),
  INDEX(data!C:C, MATCH(B998, data!D:D, 0)),
  "INC"
)</f>
        <v>2025-09-02T10:57:40.893+08</v>
      </c>
      <c r="K998" s="9" t="str">
        <f t="array" ref="K998">IFERROR(INDEX(dataICM!C:C,match(Caseslist!B998,dataICM!D:D,0)), "INC")</f>
        <v>INC</v>
      </c>
      <c r="L998" s="10" t="str">
        <f t="array" ref="L998">IF(AND(G998="COMPLETE", OR(K998="INC", ISBLANK(INDEX(data!O:O, ROW())))), J998, K998)</f>
        <v>2025-09-02T10:57:40.893+08</v>
      </c>
      <c r="M998" s="2">
        <v>45902.0</v>
      </c>
      <c r="N998" s="2">
        <f t="array" ref="N998">IF(M998&lt;&gt;"INC", INDEX(data!M:M, MATCH(B998, data!D:D, 0)), "")</f>
        <v>0</v>
      </c>
      <c r="O998" s="2">
        <f t="shared" si="3"/>
        <v>0</v>
      </c>
    </row>
    <row r="999">
      <c r="A999" s="2" t="str">
        <f t="shared" si="1"/>
        <v>H030004</v>
      </c>
      <c r="B999" s="1" t="s">
        <v>2836</v>
      </c>
      <c r="C999" s="9" t="str">
        <f t="array" ref="C999">IF(
  AND(
    IFERROR(MATCH(Caseslist!B999, data!D:D, 0), 0) &gt; 0,
    IFERROR(INDEX(data!N:N, MATCH(Caseslist!B999, data!D:D, 0)) = 1, FALSE)
  ),
  "COMPLETE",
  "INC"
)</f>
        <v>COMPLETE</v>
      </c>
      <c r="D999" s="9" t="str">
        <f t="array" ref="D999">IFERROR(INDEX(data!$G:$G,match(Caseslist!B999,data!$D:$D,0)), "INC")</f>
        <v>N7814260</v>
      </c>
      <c r="E999" s="9" t="str">
        <f t="array" ref="E999">IFERROR(INDEX(data!H:H,match(Caseslist!B999,data!D:D,0)), "INC")</f>
        <v>Jemma Marie Tillo</v>
      </c>
      <c r="F999" s="10" t="str">
        <f t="array" ref="F999">IF(
    OR(
      IFNA(INDEX(data!M:M, MATCH(Caseslist!B999, data!D:D, 0)), "") = "",
      IFNA(INDEX(data!M:M, MATCH(Caseslist!B999, data!D:D, 0)), 0) = 0
    ),
    "COMPLETE",
    IF(
      IFNA(INDEX(dataICM!D:D, MATCH(Caseslist!B999, dataICM!D:D, 0)), "INC") = "INC",
      IFNA(INDEX(dataICM!D:D, MATCH(Caseslist!B999, dataICM!D:D, 0)), "INC"),
      "COMPLETE"
    )
  )</f>
        <v>COMPLETE</v>
      </c>
      <c r="G999" s="10" t="str">
        <f t="array" ref="G999">IF(IFERROR(INDEX(data!L:L,match(Caseslist!B999,data!D:D,0)),"INC")="","COMPLETE",F999)</f>
        <v>COMPLETE</v>
      </c>
      <c r="H999" s="9" t="str">
        <f t="array" ref="H999">IFERROR(INDEX(dataICM!F:F,match(Caseslist!B999,dataICM!D:D,0)), "INC")</f>
        <v>INC</v>
      </c>
      <c r="I999" s="10" t="str">
        <f t="shared" si="2"/>
        <v>N7814260</v>
      </c>
      <c r="J999" s="9" t="str">
        <f t="array" ref="J999">IF(
  AND(
    IFERROR(MATCH(B999, data!D:D, 0), 0) &gt; 0,
    IFERROR(INDEX(data!N:N, MATCH(B999, data!D:D, 0)) = 1, FALSE)
  ),
  INDEX(data!C:C, MATCH(B999, data!D:D, 0)),
  "INC"
)</f>
        <v>2025-09-28T11:51:10.372+08</v>
      </c>
      <c r="K999" s="9" t="str">
        <f t="array" ref="K999">IFERROR(INDEX(dataICM!C:C,match(Caseslist!B999,dataICM!D:D,0)), "INC")</f>
        <v>INC</v>
      </c>
      <c r="L999" s="10" t="str">
        <f t="array" ref="L999">IF(AND(G999="COMPLETE", OR(K999="INC", ISBLANK(INDEX(data!O:O, ROW())))), J999, K999)</f>
        <v>2025-09-28T11:51:10.372+08</v>
      </c>
      <c r="M999" s="2">
        <v>45928.0</v>
      </c>
      <c r="N999" s="2">
        <f t="array" ref="N999">IF(M999&lt;&gt;"INC", INDEX(data!M:M, MATCH(B999, data!D:D, 0)), "")</f>
        <v>0</v>
      </c>
      <c r="O999" s="2">
        <f t="shared" si="3"/>
        <v>0</v>
      </c>
    </row>
    <row r="1000">
      <c r="A1000" s="2" t="str">
        <f t="shared" si="1"/>
        <v>H030004</v>
      </c>
      <c r="B1000" s="1" t="s">
        <v>2529</v>
      </c>
      <c r="C1000" s="9" t="str">
        <f t="array" ref="C1000">IF(
  AND(
    IFERROR(MATCH(Caseslist!B1000, data!D:D, 0), 0) &gt; 0,
    IFERROR(INDEX(data!N:N, MATCH(Caseslist!B1000, data!D:D, 0)) = 1, FALSE)
  ),
  "COMPLETE",
  "INC"
)</f>
        <v>COMPLETE</v>
      </c>
      <c r="D1000" s="9" t="str">
        <f t="array" ref="D1000">IFERROR(INDEX(data!$G:$G,match(Caseslist!B1000,data!$D:$D,0)), "INC")</f>
        <v>N7814260</v>
      </c>
      <c r="E1000" s="9" t="str">
        <f t="array" ref="E1000">IFERROR(INDEX(data!H:H,match(Caseslist!B1000,data!D:D,0)), "INC")</f>
        <v>Jemma Marie Tillo</v>
      </c>
      <c r="F1000" s="10" t="str">
        <f t="array" ref="F1000">IF(
    OR(
      IFNA(INDEX(data!M:M, MATCH(Caseslist!B1000, data!D:D, 0)), "") = "",
      IFNA(INDEX(data!M:M, MATCH(Caseslist!B1000, data!D:D, 0)), 0) = 0
    ),
    "COMPLETE",
    IF(
      IFNA(INDEX(dataICM!D:D, MATCH(Caseslist!B1000, dataICM!D:D, 0)), "INC") = "INC",
      IFNA(INDEX(dataICM!D:D, MATCH(Caseslist!B1000, dataICM!D:D, 0)), "INC"),
      "COMPLETE"
    )
  )</f>
        <v>COMPLETE</v>
      </c>
      <c r="G1000" s="10" t="str">
        <f t="array" ref="G1000">IF(IFERROR(INDEX(data!L:L,match(Caseslist!B1000,data!D:D,0)),"INC")="","COMPLETE",F1000)</f>
        <v>COMPLETE</v>
      </c>
      <c r="H1000" s="9" t="str">
        <f t="array" ref="H1000">IFERROR(INDEX(dataICM!F:F,match(Caseslist!B1000,dataICM!D:D,0)), "INC")</f>
        <v>INC</v>
      </c>
      <c r="I1000" s="10" t="str">
        <f t="shared" si="2"/>
        <v>N7814260</v>
      </c>
      <c r="J1000" s="9" t="str">
        <f t="array" ref="J1000">IF(
  AND(
    IFERROR(MATCH(B1000, data!D:D, 0), 0) &gt; 0,
    IFERROR(INDEX(data!N:N, MATCH(B1000, data!D:D, 0)) = 1, FALSE)
  ),
  INDEX(data!C:C, MATCH(B1000, data!D:D, 0)),
  "INC"
)</f>
        <v>2025-09-02T11:14:06.338+08</v>
      </c>
      <c r="K1000" s="9" t="str">
        <f t="array" ref="K1000">IFERROR(INDEX(dataICM!C:C,match(Caseslist!B1000,dataICM!D:D,0)), "INC")</f>
        <v>INC</v>
      </c>
      <c r="L1000" s="10" t="str">
        <f t="array" ref="L1000">IF(AND(G1000="COMPLETE", OR(K1000="INC", ISBLANK(INDEX(data!O:O, ROW())))), J1000, K1000)</f>
        <v>2025-09-02T11:14:06.338+08</v>
      </c>
      <c r="M1000" s="2">
        <v>45902.0</v>
      </c>
      <c r="N1000" s="2">
        <f t="array" ref="N1000">IF(M1000&lt;&gt;"INC", INDEX(data!M:M, MATCH(B1000, data!D:D, 0)), "")</f>
        <v>0</v>
      </c>
      <c r="O1000" s="2">
        <f t="shared" si="3"/>
        <v>0</v>
      </c>
    </row>
    <row r="1001">
      <c r="A1001" s="2" t="str">
        <f t="shared" si="1"/>
        <v>H030004</v>
      </c>
      <c r="B1001" s="1" t="s">
        <v>2519</v>
      </c>
      <c r="C1001" s="9" t="str">
        <f t="array" ref="C1001">IF(
  AND(
    IFERROR(MATCH(Caseslist!B1001, data!D:D, 0), 0) &gt; 0,
    IFERROR(INDEX(data!N:N, MATCH(Caseslist!B1001, data!D:D, 0)) = 1, FALSE)
  ),
  "COMPLETE",
  "INC"
)</f>
        <v>COMPLETE</v>
      </c>
      <c r="D1001" s="9" t="str">
        <f t="array" ref="D1001">IFERROR(INDEX(data!$G:$G,match(Caseslist!B1001,data!$D:$D,0)), "INC")</f>
        <v>N7814260</v>
      </c>
      <c r="E1001" s="9" t="str">
        <f t="array" ref="E1001">IFERROR(INDEX(data!H:H,match(Caseslist!B1001,data!D:D,0)), "INC")</f>
        <v>Jemma Marie Tillo</v>
      </c>
      <c r="F1001" s="10" t="str">
        <f t="array" ref="F1001">IF(
    OR(
      IFNA(INDEX(data!M:M, MATCH(Caseslist!B1001, data!D:D, 0)), "") = "",
      IFNA(INDEX(data!M:M, MATCH(Caseslist!B1001, data!D:D, 0)), 0) = 0
    ),
    "COMPLETE",
    IF(
      IFNA(INDEX(dataICM!D:D, MATCH(Caseslist!B1001, dataICM!D:D, 0)), "INC") = "INC",
      IFNA(INDEX(dataICM!D:D, MATCH(Caseslist!B1001, dataICM!D:D, 0)), "INC"),
      "COMPLETE"
    )
  )</f>
        <v>COMPLETE</v>
      </c>
      <c r="G1001" s="10" t="str">
        <f t="array" ref="G1001">IF(IFERROR(INDEX(data!L:L,match(Caseslist!B1001,data!D:D,0)),"INC")="","COMPLETE",F1001)</f>
        <v>COMPLETE</v>
      </c>
      <c r="H1001" s="9" t="str">
        <f t="array" ref="H1001">IFERROR(INDEX(dataICM!F:F,match(Caseslist!B1001,dataICM!D:D,0)), "INC")</f>
        <v>INC</v>
      </c>
      <c r="I1001" s="10" t="str">
        <f t="shared" si="2"/>
        <v>N7814260</v>
      </c>
      <c r="J1001" s="9" t="str">
        <f t="array" ref="J1001">IF(
  AND(
    IFERROR(MATCH(B1001, data!D:D, 0), 0) &gt; 0,
    IFERROR(INDEX(data!N:N, MATCH(B1001, data!D:D, 0)) = 1, FALSE)
  ),
  INDEX(data!C:C, MATCH(B1001, data!D:D, 0)),
  "INC"
)</f>
        <v>2025-09-28T10:00:59.825+08</v>
      </c>
      <c r="K1001" s="9" t="str">
        <f t="array" ref="K1001">IFERROR(INDEX(dataICM!C:C,match(Caseslist!B1001,dataICM!D:D,0)), "INC")</f>
        <v>INC</v>
      </c>
      <c r="L1001" s="10" t="str">
        <f t="array" ref="L1001">IF(AND(G1001="COMPLETE", OR(K1001="INC", ISBLANK(INDEX(data!O:O, ROW())))), J1001, K1001)</f>
        <v>2025-09-28T10:00:59.825+08</v>
      </c>
      <c r="M1001" s="2">
        <v>45928.0</v>
      </c>
      <c r="N1001" s="2">
        <f t="array" ref="N1001">IF(M1001&lt;&gt;"INC", INDEX(data!M:M, MATCH(B1001, data!D:D, 0)), "")</f>
        <v>0</v>
      </c>
      <c r="O1001" s="2">
        <f t="shared" si="3"/>
        <v>0</v>
      </c>
    </row>
    <row r="1002">
      <c r="A1002" s="2" t="str">
        <f t="shared" si="1"/>
        <v>H030004</v>
      </c>
      <c r="B1002" s="1" t="s">
        <v>2806</v>
      </c>
      <c r="C1002" s="9" t="str">
        <f t="array" ref="C1002">IF(
  AND(
    IFERROR(MATCH(Caseslist!B1002, data!D:D, 0), 0) &gt; 0,
    IFERROR(INDEX(data!N:N, MATCH(Caseslist!B1002, data!D:D, 0)) = 1, FALSE)
  ),
  "COMPLETE",
  "INC"
)</f>
        <v>COMPLETE</v>
      </c>
      <c r="D1002" s="9" t="str">
        <f t="array" ref="D1002">IFERROR(INDEX(data!$G:$G,match(Caseslist!B1002,data!$D:$D,0)), "INC")</f>
        <v>N7814260</v>
      </c>
      <c r="E1002" s="9" t="str">
        <f t="array" ref="E1002">IFERROR(INDEX(data!H:H,match(Caseslist!B1002,data!D:D,0)), "INC")</f>
        <v>Jemma Marie Tillo</v>
      </c>
      <c r="F1002" s="10" t="str">
        <f t="array" ref="F1002">IF(
    OR(
      IFNA(INDEX(data!M:M, MATCH(Caseslist!B1002, data!D:D, 0)), "") = "",
      IFNA(INDEX(data!M:M, MATCH(Caseslist!B1002, data!D:D, 0)), 0) = 0
    ),
    "COMPLETE",
    IF(
      IFNA(INDEX(dataICM!D:D, MATCH(Caseslist!B1002, dataICM!D:D, 0)), "INC") = "INC",
      IFNA(INDEX(dataICM!D:D, MATCH(Caseslist!B1002, dataICM!D:D, 0)), "INC"),
      "COMPLETE"
    )
  )</f>
        <v>COMPLETE</v>
      </c>
      <c r="G1002" s="10" t="str">
        <f t="array" ref="G1002">IF(IFERROR(INDEX(data!L:L,match(Caseslist!B1002,data!D:D,0)),"INC")="","COMPLETE",F1002)</f>
        <v>COMPLETE</v>
      </c>
      <c r="H1002" s="9" t="str">
        <f t="array" ref="H1002">IFERROR(INDEX(dataICM!F:F,match(Caseslist!B1002,dataICM!D:D,0)), "INC")</f>
        <v>INC</v>
      </c>
      <c r="I1002" s="10" t="str">
        <f t="shared" si="2"/>
        <v>N7814260</v>
      </c>
      <c r="J1002" s="9" t="str">
        <f t="array" ref="J1002">IF(
  AND(
    IFERROR(MATCH(B1002, data!D:D, 0), 0) &gt; 0,
    IFERROR(INDEX(data!N:N, MATCH(B1002, data!D:D, 0)) = 1, FALSE)
  ),
  INDEX(data!C:C, MATCH(B1002, data!D:D, 0)),
  "INC"
)</f>
        <v>2025-09-28T09:02:29.892+08</v>
      </c>
      <c r="K1002" s="9" t="str">
        <f t="array" ref="K1002">IFERROR(INDEX(dataICM!C:C,match(Caseslist!B1002,dataICM!D:D,0)), "INC")</f>
        <v>INC</v>
      </c>
      <c r="L1002" s="10" t="str">
        <f t="array" ref="L1002">IF(AND(G1002="COMPLETE", OR(K1002="INC", ISBLANK(INDEX(data!O:O, ROW())))), J1002, K1002)</f>
        <v>2025-09-28T09:02:29.892+08</v>
      </c>
      <c r="M1002" s="2">
        <v>45928.0</v>
      </c>
      <c r="N1002" s="2">
        <f t="array" ref="N1002">IF(M1002&lt;&gt;"INC", INDEX(data!M:M, MATCH(B1002, data!D:D, 0)), "")</f>
        <v>0</v>
      </c>
      <c r="O1002" s="2">
        <f t="shared" si="3"/>
        <v>0</v>
      </c>
    </row>
    <row r="1003">
      <c r="A1003" s="2" t="str">
        <f t="shared" si="1"/>
        <v>H030004</v>
      </c>
      <c r="B1003" s="1" t="s">
        <v>2534</v>
      </c>
      <c r="C1003" s="9" t="str">
        <f t="array" ref="C1003">IF(
  AND(
    IFERROR(MATCH(Caseslist!B1003, data!D:D, 0), 0) &gt; 0,
    IFERROR(INDEX(data!N:N, MATCH(Caseslist!B1003, data!D:D, 0)) = 1, FALSE)
  ),
  "COMPLETE",
  "INC"
)</f>
        <v>COMPLETE</v>
      </c>
      <c r="D1003" s="9" t="str">
        <f t="array" ref="D1003">IFERROR(INDEX(data!$G:$G,match(Caseslist!B1003,data!$D:$D,0)), "INC")</f>
        <v>N7814260</v>
      </c>
      <c r="E1003" s="9" t="str">
        <f t="array" ref="E1003">IFERROR(INDEX(data!H:H,match(Caseslist!B1003,data!D:D,0)), "INC")</f>
        <v>Jemma Marie Tillo</v>
      </c>
      <c r="F1003" s="10" t="str">
        <f t="array" ref="F1003">IF(
    OR(
      IFNA(INDEX(data!M:M, MATCH(Caseslist!B1003, data!D:D, 0)), "") = "",
      IFNA(INDEX(data!M:M, MATCH(Caseslist!B1003, data!D:D, 0)), 0) = 0
    ),
    "COMPLETE",
    IF(
      IFNA(INDEX(dataICM!D:D, MATCH(Caseslist!B1003, dataICM!D:D, 0)), "INC") = "INC",
      IFNA(INDEX(dataICM!D:D, MATCH(Caseslist!B1003, dataICM!D:D, 0)), "INC"),
      "COMPLETE"
    )
  )</f>
        <v>COMPLETE</v>
      </c>
      <c r="G1003" s="10" t="str">
        <f t="array" ref="G1003">IF(IFERROR(INDEX(data!L:L,match(Caseslist!B1003,data!D:D,0)),"INC")="","COMPLETE",F1003)</f>
        <v>COMPLETE</v>
      </c>
      <c r="H1003" s="9" t="str">
        <f t="array" ref="H1003">IFERROR(INDEX(dataICM!F:F,match(Caseslist!B1003,dataICM!D:D,0)), "INC")</f>
        <v>INC</v>
      </c>
      <c r="I1003" s="10" t="str">
        <f t="shared" si="2"/>
        <v>N7814260</v>
      </c>
      <c r="J1003" s="9" t="str">
        <f t="array" ref="J1003">IF(
  AND(
    IFERROR(MATCH(B1003, data!D:D, 0), 0) &gt; 0,
    IFERROR(INDEX(data!N:N, MATCH(B1003, data!D:D, 0)) = 1, FALSE)
  ),
  INDEX(data!C:C, MATCH(B1003, data!D:D, 0)),
  "INC"
)</f>
        <v>2025-09-02T13:52:27.329+08</v>
      </c>
      <c r="K1003" s="9" t="str">
        <f t="array" ref="K1003">IFERROR(INDEX(dataICM!C:C,match(Caseslist!B1003,dataICM!D:D,0)), "INC")</f>
        <v>INC</v>
      </c>
      <c r="L1003" s="10" t="str">
        <f t="array" ref="L1003">IF(AND(G1003="COMPLETE", OR(K1003="INC", ISBLANK(INDEX(data!O:O, ROW())))), J1003, K1003)</f>
        <v>2025-09-02T13:52:27.329+08</v>
      </c>
      <c r="M1003" s="2">
        <v>45902.0</v>
      </c>
      <c r="N1003" s="2">
        <f t="array" ref="N1003">IF(M1003&lt;&gt;"INC", INDEX(data!M:M, MATCH(B1003, data!D:D, 0)), "")</f>
        <v>0</v>
      </c>
      <c r="O1003" s="2">
        <f t="shared" si="3"/>
        <v>0</v>
      </c>
    </row>
    <row r="1004">
      <c r="A1004" s="2" t="str">
        <f t="shared" si="1"/>
        <v>H030004</v>
      </c>
      <c r="B1004" s="1" t="s">
        <v>2514</v>
      </c>
      <c r="C1004" s="9" t="str">
        <f t="array" ref="C1004">IF(
  AND(
    IFERROR(MATCH(Caseslist!B1004, data!D:D, 0), 0) &gt; 0,
    IFERROR(INDEX(data!N:N, MATCH(Caseslist!B1004, data!D:D, 0)) = 1, FALSE)
  ),
  "COMPLETE",
  "INC"
)</f>
        <v>COMPLETE</v>
      </c>
      <c r="D1004" s="9" t="str">
        <f t="array" ref="D1004">IFERROR(INDEX(data!$G:$G,match(Caseslist!B1004,data!$D:$D,0)), "INC")</f>
        <v>N7814260</v>
      </c>
      <c r="E1004" s="9" t="str">
        <f t="array" ref="E1004">IFERROR(INDEX(data!H:H,match(Caseslist!B1004,data!D:D,0)), "INC")</f>
        <v>Jemma Marie Tillo</v>
      </c>
      <c r="F1004" s="10" t="str">
        <f t="array" ref="F1004">IF(
    OR(
      IFNA(INDEX(data!M:M, MATCH(Caseslist!B1004, data!D:D, 0)), "") = "",
      IFNA(INDEX(data!M:M, MATCH(Caseslist!B1004, data!D:D, 0)), 0) = 0
    ),
    "COMPLETE",
    IF(
      IFNA(INDEX(dataICM!D:D, MATCH(Caseslist!B1004, dataICM!D:D, 0)), "INC") = "INC",
      IFNA(INDEX(dataICM!D:D, MATCH(Caseslist!B1004, dataICM!D:D, 0)), "INC"),
      "COMPLETE"
    )
  )</f>
        <v>COMPLETE</v>
      </c>
      <c r="G1004" s="10" t="str">
        <f t="array" ref="G1004">IF(IFERROR(INDEX(data!L:L,match(Caseslist!B1004,data!D:D,0)),"INC")="","COMPLETE",F1004)</f>
        <v>COMPLETE</v>
      </c>
      <c r="H1004" s="9" t="str">
        <f t="array" ref="H1004">IFERROR(INDEX(dataICM!F:F,match(Caseslist!B1004,dataICM!D:D,0)), "INC")</f>
        <v>INC</v>
      </c>
      <c r="I1004" s="10" t="str">
        <f t="shared" si="2"/>
        <v>N7814260</v>
      </c>
      <c r="J1004" s="9" t="str">
        <f t="array" ref="J1004">IF(
  AND(
    IFERROR(MATCH(B1004, data!D:D, 0), 0) &gt; 0,
    IFERROR(INDEX(data!N:N, MATCH(B1004, data!D:D, 0)) = 1, FALSE)
  ),
  INDEX(data!C:C, MATCH(B1004, data!D:D, 0)),
  "INC"
)</f>
        <v>2025-09-02T15:10:14.874+08</v>
      </c>
      <c r="K1004" s="9" t="str">
        <f t="array" ref="K1004">IFERROR(INDEX(dataICM!C:C,match(Caseslist!B1004,dataICM!D:D,0)), "INC")</f>
        <v>INC</v>
      </c>
      <c r="L1004" s="10" t="str">
        <f t="array" ref="L1004">IF(AND(G1004="COMPLETE", OR(K1004="INC", ISBLANK(INDEX(data!O:O, ROW())))), J1004, K1004)</f>
        <v>2025-09-02T15:10:14.874+08</v>
      </c>
      <c r="M1004" s="2">
        <v>45902.0</v>
      </c>
      <c r="N1004" s="2">
        <f t="array" ref="N1004">IF(M1004&lt;&gt;"INC", INDEX(data!M:M, MATCH(B1004, data!D:D, 0)), "")</f>
        <v>0</v>
      </c>
      <c r="O1004" s="2">
        <f t="shared" si="3"/>
        <v>0</v>
      </c>
    </row>
    <row r="1005">
      <c r="A1005" s="2" t="str">
        <f t="shared" si="1"/>
        <v>H030004</v>
      </c>
      <c r="B1005" s="1" t="s">
        <v>2841</v>
      </c>
      <c r="C1005" s="9" t="str">
        <f t="array" ref="C1005">IF(
  AND(
    IFERROR(MATCH(Caseslist!B1005, data!D:D, 0), 0) &gt; 0,
    IFERROR(INDEX(data!N:N, MATCH(Caseslist!B1005, data!D:D, 0)) = 1, FALSE)
  ),
  "COMPLETE",
  "INC"
)</f>
        <v>COMPLETE</v>
      </c>
      <c r="D1005" s="9" t="str">
        <f t="array" ref="D1005">IFERROR(INDEX(data!$G:$G,match(Caseslist!B1005,data!$D:$D,0)), "INC")</f>
        <v>N7814260</v>
      </c>
      <c r="E1005" s="9" t="str">
        <f t="array" ref="E1005">IFERROR(INDEX(data!H:H,match(Caseslist!B1005,data!D:D,0)), "INC")</f>
        <v>Jemma Marie Tillo</v>
      </c>
      <c r="F1005" s="10" t="str">
        <f t="array" ref="F1005">IF(
    OR(
      IFNA(INDEX(data!M:M, MATCH(Caseslist!B1005, data!D:D, 0)), "") = "",
      IFNA(INDEX(data!M:M, MATCH(Caseslist!B1005, data!D:D, 0)), 0) = 0
    ),
    "COMPLETE",
    IF(
      IFNA(INDEX(dataICM!D:D, MATCH(Caseslist!B1005, dataICM!D:D, 0)), "INC") = "INC",
      IFNA(INDEX(dataICM!D:D, MATCH(Caseslist!B1005, dataICM!D:D, 0)), "INC"),
      "COMPLETE"
    )
  )</f>
        <v>COMPLETE</v>
      </c>
      <c r="G1005" s="10" t="str">
        <f t="array" ref="G1005">IF(IFERROR(INDEX(data!L:L,match(Caseslist!B1005,data!D:D,0)),"INC")="","COMPLETE",F1005)</f>
        <v>COMPLETE</v>
      </c>
      <c r="H1005" s="9" t="str">
        <f t="array" ref="H1005">IFERROR(INDEX(dataICM!F:F,match(Caseslist!B1005,dataICM!D:D,0)), "INC")</f>
        <v>INC</v>
      </c>
      <c r="I1005" s="10" t="str">
        <f t="shared" si="2"/>
        <v>N7814260</v>
      </c>
      <c r="J1005" s="9" t="str">
        <f t="array" ref="J1005">IF(
  AND(
    IFERROR(MATCH(B1005, data!D:D, 0), 0) &gt; 0,
    IFERROR(INDEX(data!N:N, MATCH(B1005, data!D:D, 0)) = 1, FALSE)
  ),
  INDEX(data!C:C, MATCH(B1005, data!D:D, 0)),
  "INC"
)</f>
        <v>2025-09-28T15:25:13.743+08</v>
      </c>
      <c r="K1005" s="9" t="str">
        <f t="array" ref="K1005">IFERROR(INDEX(dataICM!C:C,match(Caseslist!B1005,dataICM!D:D,0)), "INC")</f>
        <v>INC</v>
      </c>
      <c r="L1005" s="10" t="str">
        <f t="array" ref="L1005">IF(AND(G1005="COMPLETE", OR(K1005="INC", ISBLANK(INDEX(data!O:O, ROW())))), J1005, K1005)</f>
        <v>2025-09-28T15:25:13.743+08</v>
      </c>
      <c r="M1005" s="2">
        <v>45928.0</v>
      </c>
      <c r="N1005" s="2">
        <f t="array" ref="N1005">IF(M1005&lt;&gt;"INC", INDEX(data!M:M, MATCH(B1005, data!D:D, 0)), "")</f>
        <v>0</v>
      </c>
      <c r="O1005" s="2">
        <f t="shared" si="3"/>
        <v>0</v>
      </c>
    </row>
    <row r="1006">
      <c r="A1006" s="2" t="str">
        <f t="shared" si="1"/>
        <v>H030004</v>
      </c>
      <c r="B1006" s="1" t="s">
        <v>2816</v>
      </c>
      <c r="C1006" s="9" t="str">
        <f t="array" ref="C1006">IF(
  AND(
    IFERROR(MATCH(Caseslist!B1006, data!D:D, 0), 0) &gt; 0,
    IFERROR(INDEX(data!N:N, MATCH(Caseslist!B1006, data!D:D, 0)) = 1, FALSE)
  ),
  "COMPLETE",
  "INC"
)</f>
        <v>COMPLETE</v>
      </c>
      <c r="D1006" s="9" t="str">
        <f t="array" ref="D1006">IFERROR(INDEX(data!$G:$G,match(Caseslist!B1006,data!$D:$D,0)), "INC")</f>
        <v>O3925718</v>
      </c>
      <c r="E1006" s="9" t="str">
        <f t="array" ref="E1006">IFERROR(INDEX(data!H:H,match(Caseslist!B1006,data!D:D,0)), "INC")</f>
        <v>Adrian Montecastro Ferrer</v>
      </c>
      <c r="F1006" s="10" t="str">
        <f t="array" ref="F1006">IF(
    OR(
      IFNA(INDEX(data!M:M, MATCH(Caseslist!B1006, data!D:D, 0)), "") = "",
      IFNA(INDEX(data!M:M, MATCH(Caseslist!B1006, data!D:D, 0)), 0) = 0
    ),
    "COMPLETE",
    IF(
      IFNA(INDEX(dataICM!D:D, MATCH(Caseslist!B1006, dataICM!D:D, 0)), "INC") = "INC",
      IFNA(INDEX(dataICM!D:D, MATCH(Caseslist!B1006, dataICM!D:D, 0)), "INC"),
      "COMPLETE"
    )
  )</f>
        <v>COMPLETE</v>
      </c>
      <c r="G1006" s="10" t="str">
        <f t="array" ref="G1006">IF(IFERROR(INDEX(data!L:L,match(Caseslist!B1006,data!D:D,0)),"INC")="","COMPLETE",F1006)</f>
        <v>COMPLETE</v>
      </c>
      <c r="H1006" s="9" t="str">
        <f t="array" ref="H1006">IFERROR(INDEX(dataICM!F:F,match(Caseslist!B1006,dataICM!D:D,0)), "INC")</f>
        <v>INC</v>
      </c>
      <c r="I1006" s="10" t="str">
        <f t="shared" si="2"/>
        <v>O3925718</v>
      </c>
      <c r="J1006" s="9" t="str">
        <f t="array" ref="J1006">IF(
  AND(
    IFERROR(MATCH(B1006, data!D:D, 0), 0) &gt; 0,
    IFERROR(INDEX(data!N:N, MATCH(B1006, data!D:D, 0)) = 1, FALSE)
  ),
  INDEX(data!C:C, MATCH(B1006, data!D:D, 0)),
  "INC"
)</f>
        <v>2025-09-02T12:57:31.565+08</v>
      </c>
      <c r="K1006" s="9" t="str">
        <f t="array" ref="K1006">IFERROR(INDEX(dataICM!C:C,match(Caseslist!B1006,dataICM!D:D,0)), "INC")</f>
        <v>INC</v>
      </c>
      <c r="L1006" s="10" t="str">
        <f t="array" ref="L1006">IF(AND(G1006="COMPLETE", OR(K1006="INC", ISBLANK(INDEX(data!O:O, ROW())))), J1006, K1006)</f>
        <v>2025-09-02T12:57:31.565+08</v>
      </c>
      <c r="M1006" s="2">
        <v>45902.0</v>
      </c>
      <c r="N1006" s="2">
        <f t="array" ref="N1006">IF(M1006&lt;&gt;"INC", INDEX(data!M:M, MATCH(B1006, data!D:D, 0)), "")</f>
        <v>0</v>
      </c>
      <c r="O1006" s="2">
        <f t="shared" si="3"/>
        <v>0</v>
      </c>
    </row>
    <row r="1007">
      <c r="A1007" s="2" t="str">
        <f t="shared" si="1"/>
        <v>H030004</v>
      </c>
      <c r="B1007" s="1" t="s">
        <v>2831</v>
      </c>
      <c r="C1007" s="9" t="str">
        <f t="array" ref="C1007">IF(
  AND(
    IFERROR(MATCH(Caseslist!B1007, data!D:D, 0), 0) &gt; 0,
    IFERROR(INDEX(data!N:N, MATCH(Caseslist!B1007, data!D:D, 0)) = 1, FALSE)
  ),
  "COMPLETE",
  "INC"
)</f>
        <v>COMPLETE</v>
      </c>
      <c r="D1007" s="9" t="str">
        <f t="array" ref="D1007">IFERROR(INDEX(data!$G:$G,match(Caseslist!B1007,data!$D:$D,0)), "INC")</f>
        <v>P1068432</v>
      </c>
      <c r="E1007" s="9" t="str">
        <f t="array" ref="E1007">IFERROR(INDEX(data!H:H,match(Caseslist!B1007,data!D:D,0)), "INC")</f>
        <v>Mark Daniel Balagao Benson</v>
      </c>
      <c r="F1007" s="10" t="str">
        <f t="array" ref="F1007">IF(
    OR(
      IFNA(INDEX(data!M:M, MATCH(Caseslist!B1007, data!D:D, 0)), "") = "",
      IFNA(INDEX(data!M:M, MATCH(Caseslist!B1007, data!D:D, 0)), 0) = 0
    ),
    "COMPLETE",
    IF(
      IFNA(INDEX(dataICM!D:D, MATCH(Caseslist!B1007, dataICM!D:D, 0)), "INC") = "INC",
      IFNA(INDEX(dataICM!D:D, MATCH(Caseslist!B1007, dataICM!D:D, 0)), "INC"),
      "COMPLETE"
    )
  )</f>
        <v>COMPLETE</v>
      </c>
      <c r="G1007" s="10" t="str">
        <f t="array" ref="G1007">IF(IFERROR(INDEX(data!L:L,match(Caseslist!B1007,data!D:D,0)),"INC")="","COMPLETE",F1007)</f>
        <v>COMPLETE</v>
      </c>
      <c r="H1007" s="9" t="str">
        <f t="array" ref="H1007">IFERROR(INDEX(dataICM!F:F,match(Caseslist!B1007,dataICM!D:D,0)), "INC")</f>
        <v>INC</v>
      </c>
      <c r="I1007" s="10" t="str">
        <f t="shared" si="2"/>
        <v>P1068432</v>
      </c>
      <c r="J1007" s="9" t="str">
        <f t="array" ref="J1007">IF(
  AND(
    IFERROR(MATCH(B1007, data!D:D, 0), 0) &gt; 0,
    IFERROR(INDEX(data!N:N, MATCH(B1007, data!D:D, 0)) = 1, FALSE)
  ),
  INDEX(data!C:C, MATCH(B1007, data!D:D, 0)),
  "INC"
)</f>
        <v>2025-09-02T11:00:56.692+08</v>
      </c>
      <c r="K1007" s="9" t="str">
        <f t="array" ref="K1007">IFERROR(INDEX(dataICM!C:C,match(Caseslist!B1007,dataICM!D:D,0)), "INC")</f>
        <v>INC</v>
      </c>
      <c r="L1007" s="10" t="str">
        <f t="array" ref="L1007">IF(AND(G1007="COMPLETE", OR(K1007="INC", ISBLANK(INDEX(data!O:O, ROW())))), J1007, K1007)</f>
        <v>2025-09-02T11:00:56.692+08</v>
      </c>
      <c r="M1007" s="2">
        <v>45902.0</v>
      </c>
      <c r="N1007" s="2">
        <f t="array" ref="N1007">IF(M1007&lt;&gt;"INC", INDEX(data!M:M, MATCH(B1007, data!D:D, 0)), "")</f>
        <v>0</v>
      </c>
      <c r="O1007" s="2">
        <f t="shared" si="3"/>
        <v>0</v>
      </c>
    </row>
    <row r="1008">
      <c r="A1008" s="2" t="str">
        <f t="shared" si="1"/>
        <v>H030004</v>
      </c>
      <c r="B1008" s="1" t="s">
        <v>2821</v>
      </c>
      <c r="C1008" s="9" t="str">
        <f t="array" ref="C1008">IF(
  AND(
    IFERROR(MATCH(Caseslist!B1008, data!D:D, 0), 0) &gt; 0,
    IFERROR(INDEX(data!N:N, MATCH(Caseslist!B1008, data!D:D, 0)) = 1, FALSE)
  ),
  "COMPLETE",
  "INC"
)</f>
        <v>COMPLETE</v>
      </c>
      <c r="D1008" s="9" t="str">
        <f t="array" ref="D1008">IFERROR(INDEX(data!$G:$G,match(Caseslist!B1008,data!$D:$D,0)), "INC")</f>
        <v>P1068432</v>
      </c>
      <c r="E1008" s="9" t="str">
        <f t="array" ref="E1008">IFERROR(INDEX(data!H:H,match(Caseslist!B1008,data!D:D,0)), "INC")</f>
        <v>Mark Daniel Balagao Benson</v>
      </c>
      <c r="F1008" s="10" t="str">
        <f t="array" ref="F1008">IF(
    OR(
      IFNA(INDEX(data!M:M, MATCH(Caseslist!B1008, data!D:D, 0)), "") = "",
      IFNA(INDEX(data!M:M, MATCH(Caseslist!B1008, data!D:D, 0)), 0) = 0
    ),
    "COMPLETE",
    IF(
      IFNA(INDEX(dataICM!D:D, MATCH(Caseslist!B1008, dataICM!D:D, 0)), "INC") = "INC",
      IFNA(INDEX(dataICM!D:D, MATCH(Caseslist!B1008, dataICM!D:D, 0)), "INC"),
      "COMPLETE"
    )
  )</f>
        <v>COMPLETE</v>
      </c>
      <c r="G1008" s="10" t="str">
        <f t="array" ref="G1008">IF(IFERROR(INDEX(data!L:L,match(Caseslist!B1008,data!D:D,0)),"INC")="","COMPLETE",F1008)</f>
        <v>COMPLETE</v>
      </c>
      <c r="H1008" s="9" t="str">
        <f t="array" ref="H1008">IFERROR(INDEX(dataICM!F:F,match(Caseslist!B1008,dataICM!D:D,0)), "INC")</f>
        <v>INC</v>
      </c>
      <c r="I1008" s="10" t="str">
        <f t="shared" si="2"/>
        <v>P1068432</v>
      </c>
      <c r="J1008" s="9" t="str">
        <f t="array" ref="J1008">IF(
  AND(
    IFERROR(MATCH(B1008, data!D:D, 0), 0) &gt; 0,
    IFERROR(INDEX(data!N:N, MATCH(B1008, data!D:D, 0)) = 1, FALSE)
  ),
  INDEX(data!C:C, MATCH(B1008, data!D:D, 0)),
  "INC"
)</f>
        <v>2025-09-02T09:41:22.348+08</v>
      </c>
      <c r="K1008" s="9" t="str">
        <f t="array" ref="K1008">IFERROR(INDEX(dataICM!C:C,match(Caseslist!B1008,dataICM!D:D,0)), "INC")</f>
        <v>INC</v>
      </c>
      <c r="L1008" s="10" t="str">
        <f t="array" ref="L1008">IF(AND(G1008="COMPLETE", OR(K1008="INC", ISBLANK(INDEX(data!O:O, ROW())))), J1008, K1008)</f>
        <v>2025-09-02T09:41:22.348+08</v>
      </c>
      <c r="M1008" s="2">
        <v>45902.0</v>
      </c>
      <c r="N1008" s="2">
        <f t="array" ref="N1008">IF(M1008&lt;&gt;"INC", INDEX(data!M:M, MATCH(B1008, data!D:D, 0)), "")</f>
        <v>0</v>
      </c>
      <c r="O1008" s="2">
        <f t="shared" si="3"/>
        <v>0</v>
      </c>
    </row>
    <row r="1009">
      <c r="A1009" s="2" t="str">
        <f t="shared" si="1"/>
        <v>H030015</v>
      </c>
      <c r="B1009" s="1" t="s">
        <v>1537</v>
      </c>
      <c r="C1009" s="9" t="str">
        <f t="array" ref="C1009">IF(
  AND(
    IFERROR(MATCH(Caseslist!B1009, data!D:D, 0), 0) &gt; 0,
    IFERROR(INDEX(data!N:N, MATCH(Caseslist!B1009, data!D:D, 0)) = 1, FALSE)
  ),
  "COMPLETE",
  "INC"
)</f>
        <v>COMPLETE</v>
      </c>
      <c r="D1009" s="9" t="str">
        <f t="array" ref="D1009">IFERROR(INDEX(data!$G:$G,match(Caseslist!B1009,data!$D:$D,0)), "INC")</f>
        <v>H2846135</v>
      </c>
      <c r="E1009" s="9" t="str">
        <f t="array" ref="E1009">IFERROR(INDEX(data!H:H,match(Caseslist!B1009,data!D:D,0)), "INC")</f>
        <v>Annalou Empanado Encontro</v>
      </c>
      <c r="F1009" s="10" t="str">
        <f t="array" ref="F1009">IF(
    OR(
      IFNA(INDEX(data!M:M, MATCH(Caseslist!B1009, data!D:D, 0)), "") = "",
      IFNA(INDEX(data!M:M, MATCH(Caseslist!B1009, data!D:D, 0)), 0) = 0
    ),
    "COMPLETE",
    IF(
      IFNA(INDEX(dataICM!D:D, MATCH(Caseslist!B1009, dataICM!D:D, 0)), "INC") = "INC",
      IFNA(INDEX(dataICM!D:D, MATCH(Caseslist!B1009, dataICM!D:D, 0)), "INC"),
      "COMPLETE"
    )
  )</f>
        <v>COMPLETE</v>
      </c>
      <c r="G1009" s="10" t="str">
        <f t="array" ref="G1009">IF(IFERROR(INDEX(data!L:L,match(Caseslist!B1009,data!D:D,0)),"INC")="","COMPLETE",F1009)</f>
        <v>COMPLETE</v>
      </c>
      <c r="H1009" s="9" t="str">
        <f t="array" ref="H1009">IFERROR(INDEX(dataICM!F:F,match(Caseslist!B1009,dataICM!D:D,0)), "INC")</f>
        <v>Annalou Empanado Encontro</v>
      </c>
      <c r="I1009" s="10" t="str">
        <f t="shared" si="2"/>
        <v>H2846135</v>
      </c>
      <c r="J1009" s="9" t="str">
        <f t="array" ref="J1009">IF(
  AND(
    IFERROR(MATCH(B1009, data!D:D, 0), 0) &gt; 0,
    IFERROR(INDEX(data!N:N, MATCH(B1009, data!D:D, 0)) = 1, FALSE)
  ),
  INDEX(data!C:C, MATCH(B1009, data!D:D, 0)),
  "INC"
)</f>
        <v>2025-08-29T09:10:17.269+08</v>
      </c>
      <c r="K1009" s="9" t="str">
        <f t="array" ref="K1009">IFERROR(INDEX(dataICM!C:C,match(Caseslist!B1009,dataICM!D:D,0)), "INC")</f>
        <v>2025-08-29T09:50:02.614+08</v>
      </c>
      <c r="L1009" s="10" t="str">
        <f t="array" ref="L1009">IF(AND(G1009="COMPLETE", OR(K1009="INC", ISBLANK(INDEX(data!O:O, ROW())))), J1009, K1009)</f>
        <v>2025-08-29T09:50:02.614+08</v>
      </c>
      <c r="M1009" s="2">
        <v>45898.0</v>
      </c>
      <c r="N1009" s="2">
        <f t="array" ref="N1009">IF(M1009&lt;&gt;"INC", INDEX(data!M:M, MATCH(B1009, data!D:D, 0)), "")</f>
        <v>1</v>
      </c>
      <c r="O1009" s="2">
        <f t="shared" si="3"/>
        <v>1</v>
      </c>
    </row>
    <row r="1010">
      <c r="A1010" s="2" t="str">
        <f t="shared" si="1"/>
        <v>H030015</v>
      </c>
      <c r="B1010" s="1" t="s">
        <v>1152</v>
      </c>
      <c r="C1010" s="9" t="str">
        <f t="array" ref="C1010">IF(
  AND(
    IFERROR(MATCH(Caseslist!B1010, data!D:D, 0), 0) &gt; 0,
    IFERROR(INDEX(data!N:N, MATCH(Caseslist!B1010, data!D:D, 0)) = 1, FALSE)
  ),
  "COMPLETE",
  "INC"
)</f>
        <v>COMPLETE</v>
      </c>
      <c r="D1010" s="9" t="str">
        <f t="array" ref="D1010">IFERROR(INDEX(data!$G:$G,match(Caseslist!B1010,data!$D:$D,0)), "INC")</f>
        <v>F3051749</v>
      </c>
      <c r="E1010" s="9" t="str">
        <f t="array" ref="E1010">IFERROR(INDEX(data!H:H,match(Caseslist!B1010,data!D:D,0)), "INC")</f>
        <v>Elenita Gicos De La Pe�a</v>
      </c>
      <c r="F1010" s="10" t="str">
        <f t="array" ref="F1010">IF(
    OR(
      IFNA(INDEX(data!M:M, MATCH(Caseslist!B1010, data!D:D, 0)), "") = "",
      IFNA(INDEX(data!M:M, MATCH(Caseslist!B1010, data!D:D, 0)), 0) = 0
    ),
    "COMPLETE",
    IF(
      IFNA(INDEX(dataICM!D:D, MATCH(Caseslist!B1010, dataICM!D:D, 0)), "INC") = "INC",
      IFNA(INDEX(dataICM!D:D, MATCH(Caseslist!B1010, dataICM!D:D, 0)), "INC"),
      "COMPLETE"
    )
  )</f>
        <v>COMPLETE</v>
      </c>
      <c r="G1010" s="10" t="str">
        <f t="array" ref="G1010">IF(IFERROR(INDEX(data!L:L,match(Caseslist!B1010,data!D:D,0)),"INC")="","COMPLETE",F1010)</f>
        <v>COMPLETE</v>
      </c>
      <c r="H1010" s="9" t="str">
        <f t="array" ref="H1010">IFERROR(INDEX(dataICM!F:F,match(Caseslist!B1010,dataICM!D:D,0)), "INC")</f>
        <v>Elenita Gicos De La Pe�a</v>
      </c>
      <c r="I1010" s="10" t="str">
        <f t="shared" si="2"/>
        <v>F3051749</v>
      </c>
      <c r="J1010" s="9" t="str">
        <f t="array" ref="J1010">IF(
  AND(
    IFERROR(MATCH(B1010, data!D:D, 0), 0) &gt; 0,
    IFERROR(INDEX(data!N:N, MATCH(B1010, data!D:D, 0)) = 1, FALSE)
  ),
  INDEX(data!C:C, MATCH(B1010, data!D:D, 0)),
  "INC"
)</f>
        <v>2025-08-28T12:58:46.349+08</v>
      </c>
      <c r="K1010" s="9" t="str">
        <f t="array" ref="K1010">IFERROR(INDEX(dataICM!C:C,match(Caseslist!B1010,dataICM!D:D,0)), "INC")</f>
        <v>2025-08-28T13:13:20.708+08</v>
      </c>
      <c r="L1010" s="10" t="str">
        <f t="array" ref="L1010">IF(AND(G1010="COMPLETE", OR(K1010="INC", ISBLANK(INDEX(data!O:O, ROW())))), J1010, K1010)</f>
        <v>2025-08-28T13:13:20.708+08</v>
      </c>
      <c r="M1010" s="2">
        <v>45897.0</v>
      </c>
      <c r="N1010" s="2">
        <f t="array" ref="N1010">IF(M1010&lt;&gt;"INC", INDEX(data!M:M, MATCH(B1010, data!D:D, 0)), "")</f>
        <v>1</v>
      </c>
      <c r="O1010" s="2">
        <f t="shared" si="3"/>
        <v>1</v>
      </c>
    </row>
    <row r="1011">
      <c r="A1011" s="2" t="str">
        <f t="shared" si="1"/>
        <v>H030015</v>
      </c>
      <c r="B1011" s="1" t="s">
        <v>8926</v>
      </c>
      <c r="C1011" s="9" t="str">
        <f t="array" ref="C1011">IF(
  AND(
    IFERROR(MATCH(Caseslist!B1011, data!D:D, 0), 0) &gt; 0,
    IFERROR(INDEX(data!N:N, MATCH(Caseslist!B1011, data!D:D, 0)) = 1, FALSE)
  ),
  "COMPLETE",
  "INC"
)</f>
        <v>INC</v>
      </c>
      <c r="D1011" s="9" t="str">
        <f t="array" ref="D1011">IFERROR(INDEX(data!$G:$G,match(Caseslist!B1011,data!$D:$D,0)), "INC")</f>
        <v>INC</v>
      </c>
      <c r="E1011" s="9" t="str">
        <f t="array" ref="E1011">IFERROR(INDEX(data!H:H,match(Caseslist!B1011,data!D:D,0)), "INC")</f>
        <v>INC</v>
      </c>
      <c r="F1011" s="10" t="str">
        <f t="array" ref="F1011">IF(
    OR(
      IFNA(INDEX(data!M:M, MATCH(Caseslist!B1011, data!D:D, 0)), "") = "",
      IFNA(INDEX(data!M:M, MATCH(Caseslist!B1011, data!D:D, 0)), 0) = 0
    ),
    "COMPLETE",
    IF(
      IFNA(INDEX(dataICM!D:D, MATCH(Caseslist!B1011, dataICM!D:D, 0)), "INC") = "INC",
      IFNA(INDEX(dataICM!D:D, MATCH(Caseslist!B1011, dataICM!D:D, 0)), "INC"),
      "COMPLETE"
    )
  )</f>
        <v>COMPLETE</v>
      </c>
      <c r="G1011" s="10" t="str">
        <f t="array" ref="G1011">IF(IFERROR(INDEX(data!L:L,match(Caseslist!B1011,data!D:D,0)),"INC")="","COMPLETE",F1011)</f>
        <v>COMPLETE</v>
      </c>
      <c r="H1011" s="9" t="str">
        <f t="array" ref="H1011">IFERROR(INDEX(dataICM!F:F,match(Caseslist!B1011,dataICM!D:D,0)), "INC")</f>
        <v>INC</v>
      </c>
      <c r="I1011" s="10" t="str">
        <f t="shared" si="2"/>
        <v>INC</v>
      </c>
      <c r="J1011" s="9" t="str">
        <f t="array" ref="J1011">IF(
  AND(
    IFERROR(MATCH(B1011, data!D:D, 0), 0) &gt; 0,
    IFERROR(INDEX(data!N:N, MATCH(B1011, data!D:D, 0)) = 1, FALSE)
  ),
  INDEX(data!C:C, MATCH(B1011, data!D:D, 0)),
  "INC"
)</f>
        <v>INC</v>
      </c>
      <c r="K1011" s="9" t="str">
        <f t="array" ref="K1011">IFERROR(INDEX(dataICM!C:C,match(Caseslist!B1011,dataICM!D:D,0)), "INC")</f>
        <v>INC</v>
      </c>
      <c r="L1011" s="10" t="str">
        <f t="array" ref="L1011">IF(AND(G1011="COMPLETE", OR(K1011="INC", ISBLANK(INDEX(data!O:O, ROW())))), J1011, K1011)</f>
        <v>INC</v>
      </c>
      <c r="M1011" s="2" t="s">
        <v>8886</v>
      </c>
      <c r="N1011" s="2" t="str">
        <f t="array" ref="N1011">IF(M1011&lt;&gt;"INC", INDEX(data!M:M, MATCH(B1011, data!D:D, 0)), "")</f>
        <v/>
      </c>
      <c r="O1011" s="2" t="str">
        <f t="shared" si="3"/>
        <v/>
      </c>
    </row>
    <row r="1012">
      <c r="A1012" s="2" t="str">
        <f t="shared" si="1"/>
        <v>H030015</v>
      </c>
      <c r="B1012" s="1" t="s">
        <v>1101</v>
      </c>
      <c r="C1012" s="9" t="str">
        <f t="array" ref="C1012">IF(
  AND(
    IFERROR(MATCH(Caseslist!B1012, data!D:D, 0), 0) &gt; 0,
    IFERROR(INDEX(data!N:N, MATCH(Caseslist!B1012, data!D:D, 0)) = 1, FALSE)
  ),
  "COMPLETE",
  "INC"
)</f>
        <v>COMPLETE</v>
      </c>
      <c r="D1012" s="9" t="str">
        <f t="array" ref="D1012">IFERROR(INDEX(data!$G:$G,match(Caseslist!B1012,data!$D:$D,0)), "INC")</f>
        <v>H2846135</v>
      </c>
      <c r="E1012" s="9" t="str">
        <f t="array" ref="E1012">IFERROR(INDEX(data!H:H,match(Caseslist!B1012,data!D:D,0)), "INC")</f>
        <v>Annalou Empanado Encontro</v>
      </c>
      <c r="F1012" s="10" t="str">
        <f t="array" ref="F1012">IF(
    OR(
      IFNA(INDEX(data!M:M, MATCH(Caseslist!B1012, data!D:D, 0)), "") = "",
      IFNA(INDEX(data!M:M, MATCH(Caseslist!B1012, data!D:D, 0)), 0) = 0
    ),
    "COMPLETE",
    IF(
      IFNA(INDEX(dataICM!D:D, MATCH(Caseslist!B1012, dataICM!D:D, 0)), "INC") = "INC",
      IFNA(INDEX(dataICM!D:D, MATCH(Caseslist!B1012, dataICM!D:D, 0)), "INC"),
      "COMPLETE"
    )
  )</f>
        <v>COMPLETE</v>
      </c>
      <c r="G1012" s="10" t="str">
        <f t="array" ref="G1012">IF(IFERROR(INDEX(data!L:L,match(Caseslist!B1012,data!D:D,0)),"INC")="","COMPLETE",F1012)</f>
        <v>COMPLETE</v>
      </c>
      <c r="H1012" s="9" t="str">
        <f t="array" ref="H1012">IFERROR(INDEX(dataICM!F:F,match(Caseslist!B1012,dataICM!D:D,0)), "INC")</f>
        <v>Annalou Empanado Encontro</v>
      </c>
      <c r="I1012" s="10" t="str">
        <f t="shared" si="2"/>
        <v>H2846135</v>
      </c>
      <c r="J1012" s="9" t="str">
        <f t="array" ref="J1012">IF(
  AND(
    IFERROR(MATCH(B1012, data!D:D, 0), 0) &gt; 0,
    IFERROR(INDEX(data!N:N, MATCH(B1012, data!D:D, 0)) = 1, FALSE)
  ),
  INDEX(data!C:C, MATCH(B1012, data!D:D, 0)),
  "INC"
)</f>
        <v>2025-08-28T10:56:31.724+08</v>
      </c>
      <c r="K1012" s="9" t="str">
        <f t="array" ref="K1012">IFERROR(INDEX(dataICM!C:C,match(Caseslist!B1012,dataICM!D:D,0)), "INC")</f>
        <v>2025-08-29T13:47:16.970+08</v>
      </c>
      <c r="L1012" s="10" t="str">
        <f t="array" ref="L1012">IF(AND(G1012="COMPLETE", OR(K1012="INC", ISBLANK(INDEX(data!O:O, ROW())))), J1012, K1012)</f>
        <v>2025-08-29T13:47:16.970+08</v>
      </c>
      <c r="M1012" s="2">
        <v>45898.0</v>
      </c>
      <c r="N1012" s="2">
        <f t="array" ref="N1012">IF(M1012&lt;&gt;"INC", INDEX(data!M:M, MATCH(B1012, data!D:D, 0)), "")</f>
        <v>1</v>
      </c>
      <c r="O1012" s="2">
        <f t="shared" si="3"/>
        <v>1</v>
      </c>
    </row>
    <row r="1013">
      <c r="A1013" s="2" t="str">
        <f t="shared" si="1"/>
        <v>H030015</v>
      </c>
      <c r="B1013" s="1" t="s">
        <v>1106</v>
      </c>
      <c r="C1013" s="9" t="str">
        <f t="array" ref="C1013">IF(
  AND(
    IFERROR(MATCH(Caseslist!B1013, data!D:D, 0), 0) &gt; 0,
    IFERROR(INDEX(data!N:N, MATCH(Caseslist!B1013, data!D:D, 0)) = 1, FALSE)
  ),
  "COMPLETE",
  "INC"
)</f>
        <v>COMPLETE</v>
      </c>
      <c r="D1013" s="9" t="str">
        <f t="array" ref="D1013">IFERROR(INDEX(data!$G:$G,match(Caseslist!B1013,data!$D:$D,0)), "INC")</f>
        <v>H2846135</v>
      </c>
      <c r="E1013" s="9" t="str">
        <f t="array" ref="E1013">IFERROR(INDEX(data!H:H,match(Caseslist!B1013,data!D:D,0)), "INC")</f>
        <v>Annalou Empanado Encontro</v>
      </c>
      <c r="F1013" s="10" t="str">
        <f t="array" ref="F1013">IF(
    OR(
      IFNA(INDEX(data!M:M, MATCH(Caseslist!B1013, data!D:D, 0)), "") = "",
      IFNA(INDEX(data!M:M, MATCH(Caseslist!B1013, data!D:D, 0)), 0) = 0
    ),
    "COMPLETE",
    IF(
      IFNA(INDEX(dataICM!D:D, MATCH(Caseslist!B1013, dataICM!D:D, 0)), "INC") = "INC",
      IFNA(INDEX(dataICM!D:D, MATCH(Caseslist!B1013, dataICM!D:D, 0)), "INC"),
      "COMPLETE"
    )
  )</f>
        <v>COMPLETE</v>
      </c>
      <c r="G1013" s="10" t="str">
        <f t="array" ref="G1013">IF(IFERROR(INDEX(data!L:L,match(Caseslist!B1013,data!D:D,0)),"INC")="","COMPLETE",F1013)</f>
        <v>COMPLETE</v>
      </c>
      <c r="H1013" s="9" t="str">
        <f t="array" ref="H1013">IFERROR(INDEX(dataICM!F:F,match(Caseslist!B1013,dataICM!D:D,0)), "INC")</f>
        <v>Annalou Empanado Encontro</v>
      </c>
      <c r="I1013" s="10" t="str">
        <f t="shared" si="2"/>
        <v>H2846135</v>
      </c>
      <c r="J1013" s="9" t="str">
        <f t="array" ref="J1013">IF(
  AND(
    IFERROR(MATCH(B1013, data!D:D, 0), 0) &gt; 0,
    IFERROR(INDEX(data!N:N, MATCH(B1013, data!D:D, 0)) = 1, FALSE)
  ),
  INDEX(data!C:C, MATCH(B1013, data!D:D, 0)),
  "INC"
)</f>
        <v>2025-08-28T13:02:14.522+08</v>
      </c>
      <c r="K1013" s="9" t="str">
        <f t="array" ref="K1013">IFERROR(INDEX(dataICM!C:C,match(Caseslist!B1013,dataICM!D:D,0)), "INC")</f>
        <v>2025-08-28T13:37:27.699+08</v>
      </c>
      <c r="L1013" s="10" t="str">
        <f t="array" ref="L1013">IF(AND(G1013="COMPLETE", OR(K1013="INC", ISBLANK(INDEX(data!O:O, ROW())))), J1013, K1013)</f>
        <v>2025-08-28T13:37:27.699+08</v>
      </c>
      <c r="M1013" s="2">
        <v>45897.0</v>
      </c>
      <c r="N1013" s="2">
        <f t="array" ref="N1013">IF(M1013&lt;&gt;"INC", INDEX(data!M:M, MATCH(B1013, data!D:D, 0)), "")</f>
        <v>1</v>
      </c>
      <c r="O1013" s="2">
        <f t="shared" si="3"/>
        <v>1</v>
      </c>
    </row>
    <row r="1014">
      <c r="A1014" s="2" t="str">
        <f t="shared" si="1"/>
        <v>H030015</v>
      </c>
      <c r="B1014" s="1" t="s">
        <v>1542</v>
      </c>
      <c r="C1014" s="9" t="str">
        <f t="array" ref="C1014">IF(
  AND(
    IFERROR(MATCH(Caseslist!B1014, data!D:D, 0), 0) &gt; 0,
    IFERROR(INDEX(data!N:N, MATCH(Caseslist!B1014, data!D:D, 0)) = 1, FALSE)
  ),
  "COMPLETE",
  "INC"
)</f>
        <v>COMPLETE</v>
      </c>
      <c r="D1014" s="9" t="str">
        <f t="array" ref="D1014">IFERROR(INDEX(data!$G:$G,match(Caseslist!B1014,data!$D:$D,0)), "INC")</f>
        <v>F3051749</v>
      </c>
      <c r="E1014" s="9" t="str">
        <f t="array" ref="E1014">IFERROR(INDEX(data!H:H,match(Caseslist!B1014,data!D:D,0)), "INC")</f>
        <v>Elenita Gicos De La Pe�a</v>
      </c>
      <c r="F1014" s="10" t="str">
        <f t="array" ref="F1014">IF(
    OR(
      IFNA(INDEX(data!M:M, MATCH(Caseslist!B1014, data!D:D, 0)), "") = "",
      IFNA(INDEX(data!M:M, MATCH(Caseslist!B1014, data!D:D, 0)), 0) = 0
    ),
    "COMPLETE",
    IF(
      IFNA(INDEX(dataICM!D:D, MATCH(Caseslist!B1014, dataICM!D:D, 0)), "INC") = "INC",
      IFNA(INDEX(dataICM!D:D, MATCH(Caseslist!B1014, dataICM!D:D, 0)), "INC"),
      "COMPLETE"
    )
  )</f>
        <v>COMPLETE</v>
      </c>
      <c r="G1014" s="10" t="str">
        <f t="array" ref="G1014">IF(IFERROR(INDEX(data!L:L,match(Caseslist!B1014,data!D:D,0)),"INC")="","COMPLETE",F1014)</f>
        <v>COMPLETE</v>
      </c>
      <c r="H1014" s="9" t="str">
        <f t="array" ref="H1014">IFERROR(INDEX(dataICM!F:F,match(Caseslist!B1014,dataICM!D:D,0)), "INC")</f>
        <v>Elenita Gicos De La Pe�a</v>
      </c>
      <c r="I1014" s="10" t="str">
        <f t="shared" si="2"/>
        <v>F3051749</v>
      </c>
      <c r="J1014" s="9" t="str">
        <f t="array" ref="J1014">IF(
  AND(
    IFERROR(MATCH(B1014, data!D:D, 0), 0) &gt; 0,
    IFERROR(INDEX(data!N:N, MATCH(B1014, data!D:D, 0)) = 1, FALSE)
  ),
  INDEX(data!C:C, MATCH(B1014, data!D:D, 0)),
  "INC"
)</f>
        <v>2025-09-29T14:16:31.101+08</v>
      </c>
      <c r="K1014" s="9" t="str">
        <f t="array" ref="K1014">IFERROR(INDEX(dataICM!C:C,match(Caseslist!B1014,dataICM!D:D,0)), "INC")</f>
        <v>2025-09-29T14:25:45.009+08</v>
      </c>
      <c r="L1014" s="10" t="str">
        <f t="array" ref="L1014">IF(AND(G1014="COMPLETE", OR(K1014="INC", ISBLANK(INDEX(data!O:O, ROW())))), J1014, K1014)</f>
        <v>2025-09-29T14:25:45.009+08</v>
      </c>
      <c r="M1014" s="2">
        <v>45929.0</v>
      </c>
      <c r="N1014" s="2">
        <f t="array" ref="N1014">IF(M1014&lt;&gt;"INC", INDEX(data!M:M, MATCH(B1014, data!D:D, 0)), "")</f>
        <v>1</v>
      </c>
      <c r="O1014" s="2">
        <f t="shared" si="3"/>
        <v>1</v>
      </c>
    </row>
    <row r="1015">
      <c r="A1015" s="2" t="str">
        <f t="shared" si="1"/>
        <v>H030015</v>
      </c>
      <c r="B1015" s="1" t="s">
        <v>8927</v>
      </c>
      <c r="C1015" s="9" t="str">
        <f t="array" ref="C1015">IF(
  AND(
    IFERROR(MATCH(Caseslist!B1015, data!D:D, 0), 0) &gt; 0,
    IFERROR(INDEX(data!N:N, MATCH(Caseslist!B1015, data!D:D, 0)) = 1, FALSE)
  ),
  "COMPLETE",
  "INC"
)</f>
        <v>INC</v>
      </c>
      <c r="D1015" s="9" t="str">
        <f t="array" ref="D1015">IFERROR(INDEX(data!$G:$G,match(Caseslist!B1015,data!$D:$D,0)), "INC")</f>
        <v>INC</v>
      </c>
      <c r="E1015" s="9" t="str">
        <f t="array" ref="E1015">IFERROR(INDEX(data!H:H,match(Caseslist!B1015,data!D:D,0)), "INC")</f>
        <v>INC</v>
      </c>
      <c r="F1015" s="10" t="str">
        <f t="array" ref="F1015">IF(
    OR(
      IFNA(INDEX(data!M:M, MATCH(Caseslist!B1015, data!D:D, 0)), "") = "",
      IFNA(INDEX(data!M:M, MATCH(Caseslist!B1015, data!D:D, 0)), 0) = 0
    ),
    "COMPLETE",
    IF(
      IFNA(INDEX(dataICM!D:D, MATCH(Caseslist!B1015, dataICM!D:D, 0)), "INC") = "INC",
      IFNA(INDEX(dataICM!D:D, MATCH(Caseslist!B1015, dataICM!D:D, 0)), "INC"),
      "COMPLETE"
    )
  )</f>
        <v>COMPLETE</v>
      </c>
      <c r="G1015" s="10" t="str">
        <f t="array" ref="G1015">IF(IFERROR(INDEX(data!L:L,match(Caseslist!B1015,data!D:D,0)),"INC")="","COMPLETE",F1015)</f>
        <v>COMPLETE</v>
      </c>
      <c r="H1015" s="9" t="str">
        <f t="array" ref="H1015">IFERROR(INDEX(dataICM!F:F,match(Caseslist!B1015,dataICM!D:D,0)), "INC")</f>
        <v>INC</v>
      </c>
      <c r="I1015" s="10" t="str">
        <f t="shared" si="2"/>
        <v>INC</v>
      </c>
      <c r="J1015" s="9" t="str">
        <f t="array" ref="J1015">IF(
  AND(
    IFERROR(MATCH(B1015, data!D:D, 0), 0) &gt; 0,
    IFERROR(INDEX(data!N:N, MATCH(B1015, data!D:D, 0)) = 1, FALSE)
  ),
  INDEX(data!C:C, MATCH(B1015, data!D:D, 0)),
  "INC"
)</f>
        <v>INC</v>
      </c>
      <c r="K1015" s="9" t="str">
        <f t="array" ref="K1015">IFERROR(INDEX(dataICM!C:C,match(Caseslist!B1015,dataICM!D:D,0)), "INC")</f>
        <v>INC</v>
      </c>
      <c r="L1015" s="10" t="str">
        <f t="array" ref="L1015">IF(AND(G1015="COMPLETE", OR(K1015="INC", ISBLANK(INDEX(data!O:O, ROW())))), J1015, K1015)</f>
        <v>INC</v>
      </c>
      <c r="M1015" s="2" t="s">
        <v>8886</v>
      </c>
      <c r="N1015" s="2" t="str">
        <f t="array" ref="N1015">IF(M1015&lt;&gt;"INC", INDEX(data!M:M, MATCH(B1015, data!D:D, 0)), "")</f>
        <v/>
      </c>
      <c r="O1015" s="2" t="str">
        <f t="shared" si="3"/>
        <v/>
      </c>
    </row>
    <row r="1016">
      <c r="A1016" s="2" t="str">
        <f t="shared" si="1"/>
        <v>H030015</v>
      </c>
      <c r="B1016" s="1" t="s">
        <v>1147</v>
      </c>
      <c r="C1016" s="9" t="str">
        <f t="array" ref="C1016">IF(
  AND(
    IFERROR(MATCH(Caseslist!B1016, data!D:D, 0), 0) &gt; 0,
    IFERROR(INDEX(data!N:N, MATCH(Caseslist!B1016, data!D:D, 0)) = 1, FALSE)
  ),
  "COMPLETE",
  "INC"
)</f>
        <v>COMPLETE</v>
      </c>
      <c r="D1016" s="9" t="str">
        <f t="array" ref="D1016">IFERROR(INDEX(data!$G:$G,match(Caseslist!B1016,data!$D:$D,0)), "INC")</f>
        <v>F3051749</v>
      </c>
      <c r="E1016" s="9" t="str">
        <f t="array" ref="E1016">IFERROR(INDEX(data!H:H,match(Caseslist!B1016,data!D:D,0)), "INC")</f>
        <v>Elenita Gicos De La Pe�a</v>
      </c>
      <c r="F1016" s="10" t="str">
        <f t="array" ref="F1016">IF(
    OR(
      IFNA(INDEX(data!M:M, MATCH(Caseslist!B1016, data!D:D, 0)), "") = "",
      IFNA(INDEX(data!M:M, MATCH(Caseslist!B1016, data!D:D, 0)), 0) = 0
    ),
    "COMPLETE",
    IF(
      IFNA(INDEX(dataICM!D:D, MATCH(Caseslist!B1016, dataICM!D:D, 0)), "INC") = "INC",
      IFNA(INDEX(dataICM!D:D, MATCH(Caseslist!B1016, dataICM!D:D, 0)), "INC"),
      "COMPLETE"
    )
  )</f>
        <v>COMPLETE</v>
      </c>
      <c r="G1016" s="10" t="str">
        <f t="array" ref="G1016">IF(IFERROR(INDEX(data!L:L,match(Caseslist!B1016,data!D:D,0)),"INC")="","COMPLETE",F1016)</f>
        <v>COMPLETE</v>
      </c>
      <c r="H1016" s="9" t="str">
        <f t="array" ref="H1016">IFERROR(INDEX(dataICM!F:F,match(Caseslist!B1016,dataICM!D:D,0)), "INC")</f>
        <v>Elenita Gicos De La Pe�a</v>
      </c>
      <c r="I1016" s="10" t="str">
        <f t="shared" si="2"/>
        <v>F3051749</v>
      </c>
      <c r="J1016" s="9" t="str">
        <f t="array" ref="J1016">IF(
  AND(
    IFERROR(MATCH(B1016, data!D:D, 0), 0) &gt; 0,
    IFERROR(INDEX(data!N:N, MATCH(B1016, data!D:D, 0)) = 1, FALSE)
  ),
  INDEX(data!C:C, MATCH(B1016, data!D:D, 0)),
  "INC"
)</f>
        <v>2025-08-28T10:41:14.315+08</v>
      </c>
      <c r="K1016" s="9" t="str">
        <f t="array" ref="K1016">IFERROR(INDEX(dataICM!C:C,match(Caseslist!B1016,dataICM!D:D,0)), "INC")</f>
        <v>2025-08-28T11:08:30.042+08</v>
      </c>
      <c r="L1016" s="10" t="str">
        <f t="array" ref="L1016">IF(AND(G1016="COMPLETE", OR(K1016="INC", ISBLANK(INDEX(data!O:O, ROW())))), J1016, K1016)</f>
        <v>2025-08-28T11:08:30.042+08</v>
      </c>
      <c r="M1016" s="2">
        <v>45897.0</v>
      </c>
      <c r="N1016" s="2">
        <f t="array" ref="N1016">IF(M1016&lt;&gt;"INC", INDEX(data!M:M, MATCH(B1016, data!D:D, 0)), "")</f>
        <v>1</v>
      </c>
      <c r="O1016" s="2">
        <f t="shared" si="3"/>
        <v>1</v>
      </c>
    </row>
    <row r="1017">
      <c r="A1017" s="2" t="str">
        <f t="shared" si="1"/>
        <v>H030015</v>
      </c>
      <c r="B1017" s="1" t="s">
        <v>1122</v>
      </c>
      <c r="C1017" s="9" t="str">
        <f t="array" ref="C1017">IF(
  AND(
    IFERROR(MATCH(Caseslist!B1017, data!D:D, 0), 0) &gt; 0,
    IFERROR(INDEX(data!N:N, MATCH(Caseslist!B1017, data!D:D, 0)) = 1, FALSE)
  ),
  "COMPLETE",
  "INC"
)</f>
        <v>INC</v>
      </c>
      <c r="D1017" s="9" t="str">
        <f t="array" ref="D1017">IFERROR(INDEX(data!$G:$G,match(Caseslist!B1017,data!$D:$D,0)), "INC")</f>
        <v>H2846135</v>
      </c>
      <c r="E1017" s="9" t="str">
        <f t="array" ref="E1017">IFERROR(INDEX(data!H:H,match(Caseslist!B1017,data!D:D,0)), "INC")</f>
        <v>Annalou Empanado Encontro</v>
      </c>
      <c r="F1017" s="10" t="str">
        <f t="array" ref="F1017">IF(
    OR(
      IFNA(INDEX(data!M:M, MATCH(Caseslist!B1017, data!D:D, 0)), "") = "",
      IFNA(INDEX(data!M:M, MATCH(Caseslist!B1017, data!D:D, 0)), 0) = 0
    ),
    "COMPLETE",
    IF(
      IFNA(INDEX(dataICM!D:D, MATCH(Caseslist!B1017, dataICM!D:D, 0)), "INC") = "INC",
      IFNA(INDEX(dataICM!D:D, MATCH(Caseslist!B1017, dataICM!D:D, 0)), "INC"),
      "COMPLETE"
    )
  )</f>
        <v>INC</v>
      </c>
      <c r="G1017" s="10" t="str">
        <f t="array" ref="G1017">IF(IFERROR(INDEX(data!L:L,match(Caseslist!B1017,data!D:D,0)),"INC")="","COMPLETE",F1017)</f>
        <v>INC</v>
      </c>
      <c r="H1017" s="9" t="str">
        <f t="array" ref="H1017">IFERROR(INDEX(dataICM!F:F,match(Caseslist!B1017,dataICM!D:D,0)), "INC")</f>
        <v>INC</v>
      </c>
      <c r="I1017" s="10" t="str">
        <f t="shared" si="2"/>
        <v>INC</v>
      </c>
      <c r="J1017" s="9" t="str">
        <f t="array" ref="J1017">IF(
  AND(
    IFERROR(MATCH(B1017, data!D:D, 0), 0) &gt; 0,
    IFERROR(INDEX(data!N:N, MATCH(B1017, data!D:D, 0)) = 1, FALSE)
  ),
  INDEX(data!C:C, MATCH(B1017, data!D:D, 0)),
  "INC"
)</f>
        <v>INC</v>
      </c>
      <c r="K1017" s="9" t="str">
        <f t="array" ref="K1017">IFERROR(INDEX(dataICM!C:C,match(Caseslist!B1017,dataICM!D:D,0)), "INC")</f>
        <v>INC</v>
      </c>
      <c r="L1017" s="10" t="str">
        <f t="array" ref="L1017">IF(AND(G1017="COMPLETE", OR(K1017="INC", ISBLANK(INDEX(data!O:O, ROW())))), J1017, K1017)</f>
        <v>INC</v>
      </c>
      <c r="M1017" s="2" t="s">
        <v>8886</v>
      </c>
      <c r="N1017" s="2" t="str">
        <f t="array" ref="N1017">IF(M1017&lt;&gt;"INC", INDEX(data!M:M, MATCH(B1017, data!D:D, 0)), "")</f>
        <v/>
      </c>
      <c r="O1017" s="2" t="str">
        <f t="shared" si="3"/>
        <v/>
      </c>
    </row>
    <row r="1018">
      <c r="A1018" s="2" t="str">
        <f t="shared" si="1"/>
        <v>H030015</v>
      </c>
      <c r="B1018" s="1" t="s">
        <v>1117</v>
      </c>
      <c r="C1018" s="9" t="str">
        <f t="array" ref="C1018">IF(
  AND(
    IFERROR(MATCH(Caseslist!B1018, data!D:D, 0), 0) &gt; 0,
    IFERROR(INDEX(data!N:N, MATCH(Caseslist!B1018, data!D:D, 0)) = 1, FALSE)
  ),
  "COMPLETE",
  "INC"
)</f>
        <v>COMPLETE</v>
      </c>
      <c r="D1018" s="9" t="str">
        <f t="array" ref="D1018">IFERROR(INDEX(data!$G:$G,match(Caseslist!B1018,data!$D:$D,0)), "INC")</f>
        <v>H2846135</v>
      </c>
      <c r="E1018" s="9" t="str">
        <f t="array" ref="E1018">IFERROR(INDEX(data!H:H,match(Caseslist!B1018,data!D:D,0)), "INC")</f>
        <v>Annalou Empanado Encontro</v>
      </c>
      <c r="F1018" s="10" t="str">
        <f t="array" ref="F1018">IF(
    OR(
      IFNA(INDEX(data!M:M, MATCH(Caseslist!B1018, data!D:D, 0)), "") = "",
      IFNA(INDEX(data!M:M, MATCH(Caseslist!B1018, data!D:D, 0)), 0) = 0
    ),
    "COMPLETE",
    IF(
      IFNA(INDEX(dataICM!D:D, MATCH(Caseslist!B1018, dataICM!D:D, 0)), "INC") = "INC",
      IFNA(INDEX(dataICM!D:D, MATCH(Caseslist!B1018, dataICM!D:D, 0)), "INC"),
      "COMPLETE"
    )
  )</f>
        <v>COMPLETE</v>
      </c>
      <c r="G1018" s="10" t="str">
        <f t="array" ref="G1018">IF(IFERROR(INDEX(data!L:L,match(Caseslist!B1018,data!D:D,0)),"INC")="","COMPLETE",F1018)</f>
        <v>COMPLETE</v>
      </c>
      <c r="H1018" s="9" t="str">
        <f t="array" ref="H1018">IFERROR(INDEX(dataICM!F:F,match(Caseslist!B1018,dataICM!D:D,0)), "INC")</f>
        <v>Annalou Empanado Encontro</v>
      </c>
      <c r="I1018" s="10" t="str">
        <f t="shared" si="2"/>
        <v>H2846135</v>
      </c>
      <c r="J1018" s="9" t="str">
        <f t="array" ref="J1018">IF(
  AND(
    IFERROR(MATCH(B1018, data!D:D, 0), 0) &gt; 0,
    IFERROR(INDEX(data!N:N, MATCH(B1018, data!D:D, 0)) = 1, FALSE)
  ),
  INDEX(data!C:C, MATCH(B1018, data!D:D, 0)),
  "INC"
)</f>
        <v>2025-08-28T15:04:22.063+08</v>
      </c>
      <c r="K1018" s="9" t="str">
        <f t="array" ref="K1018">IFERROR(INDEX(dataICM!C:C,match(Caseslist!B1018,dataICM!D:D,0)), "INC")</f>
        <v>2025-08-28T15:08:33.741+08</v>
      </c>
      <c r="L1018" s="10" t="str">
        <f t="array" ref="L1018">IF(AND(G1018="COMPLETE", OR(K1018="INC", ISBLANK(INDEX(data!O:O, ROW())))), J1018, K1018)</f>
        <v>2025-08-28T15:08:33.741+08</v>
      </c>
      <c r="M1018" s="2">
        <v>45897.0</v>
      </c>
      <c r="N1018" s="2">
        <f t="array" ref="N1018">IF(M1018&lt;&gt;"INC", INDEX(data!M:M, MATCH(B1018, data!D:D, 0)), "")</f>
        <v>1</v>
      </c>
      <c r="O1018" s="2">
        <f t="shared" si="3"/>
        <v>1</v>
      </c>
    </row>
    <row r="1019">
      <c r="A1019" s="2" t="str">
        <f t="shared" si="1"/>
        <v>H030015</v>
      </c>
      <c r="B1019" s="1" t="s">
        <v>1162</v>
      </c>
      <c r="C1019" s="9" t="str">
        <f t="array" ref="C1019">IF(
  AND(
    IFERROR(MATCH(Caseslist!B1019, data!D:D, 0), 0) &gt; 0,
    IFERROR(INDEX(data!N:N, MATCH(Caseslist!B1019, data!D:D, 0)) = 1, FALSE)
  ),
  "COMPLETE",
  "INC"
)</f>
        <v>COMPLETE</v>
      </c>
      <c r="D1019" s="9" t="str">
        <f t="array" ref="D1019">IFERROR(INDEX(data!$G:$G,match(Caseslist!B1019,data!$D:$D,0)), "INC")</f>
        <v>F3051749</v>
      </c>
      <c r="E1019" s="9" t="str">
        <f t="array" ref="E1019">IFERROR(INDEX(data!H:H,match(Caseslist!B1019,data!D:D,0)), "INC")</f>
        <v>Elenita Gicos De La Pe�a</v>
      </c>
      <c r="F1019" s="10" t="str">
        <f t="array" ref="F1019">IF(
    OR(
      IFNA(INDEX(data!M:M, MATCH(Caseslist!B1019, data!D:D, 0)), "") = "",
      IFNA(INDEX(data!M:M, MATCH(Caseslist!B1019, data!D:D, 0)), 0) = 0
    ),
    "COMPLETE",
    IF(
      IFNA(INDEX(dataICM!D:D, MATCH(Caseslist!B1019, dataICM!D:D, 0)), "INC") = "INC",
      IFNA(INDEX(dataICM!D:D, MATCH(Caseslist!B1019, dataICM!D:D, 0)), "INC"),
      "COMPLETE"
    )
  )</f>
        <v>COMPLETE</v>
      </c>
      <c r="G1019" s="10" t="str">
        <f t="array" ref="G1019">IF(IFERROR(INDEX(data!L:L,match(Caseslist!B1019,data!D:D,0)),"INC")="","COMPLETE",F1019)</f>
        <v>COMPLETE</v>
      </c>
      <c r="H1019" s="9" t="str">
        <f t="array" ref="H1019">IFERROR(INDEX(dataICM!F:F,match(Caseslist!B1019,dataICM!D:D,0)), "INC")</f>
        <v>Elenita Gicos De La Pe�a</v>
      </c>
      <c r="I1019" s="10" t="str">
        <f t="shared" si="2"/>
        <v>F3051749</v>
      </c>
      <c r="J1019" s="9" t="str">
        <f t="array" ref="J1019">IF(
  AND(
    IFERROR(MATCH(B1019, data!D:D, 0), 0) &gt; 0,
    IFERROR(INDEX(data!N:N, MATCH(B1019, data!D:D, 0)) = 1, FALSE)
  ),
  INDEX(data!C:C, MATCH(B1019, data!D:D, 0)),
  "INC"
)</f>
        <v>2025-08-28T17:00:48.235+08</v>
      </c>
      <c r="K1019" s="9" t="str">
        <f t="array" ref="K1019">IFERROR(INDEX(dataICM!C:C,match(Caseslist!B1019,dataICM!D:D,0)), "INC")</f>
        <v>2025-08-28T17:06:40.503+08</v>
      </c>
      <c r="L1019" s="10" t="str">
        <f t="array" ref="L1019">IF(AND(G1019="COMPLETE", OR(K1019="INC", ISBLANK(INDEX(data!O:O, ROW())))), J1019, K1019)</f>
        <v>2025-08-28T17:06:40.503+08</v>
      </c>
      <c r="M1019" s="2">
        <v>45897.0</v>
      </c>
      <c r="N1019" s="2">
        <f t="array" ref="N1019">IF(M1019&lt;&gt;"INC", INDEX(data!M:M, MATCH(B1019, data!D:D, 0)), "")</f>
        <v>1</v>
      </c>
      <c r="O1019" s="2">
        <f t="shared" si="3"/>
        <v>1</v>
      </c>
    </row>
    <row r="1020">
      <c r="A1020" s="2" t="str">
        <f t="shared" si="1"/>
        <v>H030015</v>
      </c>
      <c r="B1020" s="1" t="s">
        <v>1111</v>
      </c>
      <c r="C1020" s="9" t="str">
        <f t="array" ref="C1020">IF(
  AND(
    IFERROR(MATCH(Caseslist!B1020, data!D:D, 0), 0) &gt; 0,
    IFERROR(INDEX(data!N:N, MATCH(Caseslist!B1020, data!D:D, 0)) = 1, FALSE)
  ),
  "COMPLETE",
  "INC"
)</f>
        <v>INC</v>
      </c>
      <c r="D1020" s="9" t="str">
        <f t="array" ref="D1020">IFERROR(INDEX(data!$G:$G,match(Caseslist!B1020,data!$D:$D,0)), "INC")</f>
        <v>F3051749</v>
      </c>
      <c r="E1020" s="9" t="str">
        <f t="array" ref="E1020">IFERROR(INDEX(data!H:H,match(Caseslist!B1020,data!D:D,0)), "INC")</f>
        <v>Elenita Gicos De La Pe�a</v>
      </c>
      <c r="F1020" s="10" t="str">
        <f t="array" ref="F1020">IF(
    OR(
      IFNA(INDEX(data!M:M, MATCH(Caseslist!B1020, data!D:D, 0)), "") = "",
      IFNA(INDEX(data!M:M, MATCH(Caseslist!B1020, data!D:D, 0)), 0) = 0
    ),
    "COMPLETE",
    IF(
      IFNA(INDEX(dataICM!D:D, MATCH(Caseslist!B1020, dataICM!D:D, 0)), "INC") = "INC",
      IFNA(INDEX(dataICM!D:D, MATCH(Caseslist!B1020, dataICM!D:D, 0)), "INC"),
      "COMPLETE"
    )
  )</f>
        <v>INC</v>
      </c>
      <c r="G1020" s="10" t="str">
        <f t="array" ref="G1020">IF(IFERROR(INDEX(data!L:L,match(Caseslist!B1020,data!D:D,0)),"INC")="","COMPLETE",F1020)</f>
        <v>INC</v>
      </c>
      <c r="H1020" s="9" t="str">
        <f t="array" ref="H1020">IFERROR(INDEX(dataICM!F:F,match(Caseslist!B1020,dataICM!D:D,0)), "INC")</f>
        <v>INC</v>
      </c>
      <c r="I1020" s="10" t="str">
        <f t="shared" si="2"/>
        <v>INC</v>
      </c>
      <c r="J1020" s="9" t="str">
        <f t="array" ref="J1020">IF(
  AND(
    IFERROR(MATCH(B1020, data!D:D, 0), 0) &gt; 0,
    IFERROR(INDEX(data!N:N, MATCH(B1020, data!D:D, 0)) = 1, FALSE)
  ),
  INDEX(data!C:C, MATCH(B1020, data!D:D, 0)),
  "INC"
)</f>
        <v>INC</v>
      </c>
      <c r="K1020" s="9" t="str">
        <f t="array" ref="K1020">IFERROR(INDEX(dataICM!C:C,match(Caseslist!B1020,dataICM!D:D,0)), "INC")</f>
        <v>INC</v>
      </c>
      <c r="L1020" s="10" t="str">
        <f t="array" ref="L1020">IF(AND(G1020="COMPLETE", OR(K1020="INC", ISBLANK(INDEX(data!O:O, ROW())))), J1020, K1020)</f>
        <v>INC</v>
      </c>
      <c r="M1020" s="2" t="s">
        <v>8886</v>
      </c>
      <c r="N1020" s="2" t="str">
        <f t="array" ref="N1020">IF(M1020&lt;&gt;"INC", INDEX(data!M:M, MATCH(B1020, data!D:D, 0)), "")</f>
        <v/>
      </c>
      <c r="O1020" s="2" t="str">
        <f t="shared" si="3"/>
        <v/>
      </c>
    </row>
    <row r="1021">
      <c r="A1021" s="2" t="str">
        <f t="shared" si="1"/>
        <v>H030015</v>
      </c>
      <c r="B1021" s="1" t="s">
        <v>1547</v>
      </c>
      <c r="C1021" s="9" t="str">
        <f t="array" ref="C1021">IF(
  AND(
    IFERROR(MATCH(Caseslist!B1021, data!D:D, 0), 0) &gt; 0,
    IFERROR(INDEX(data!N:N, MATCH(Caseslist!B1021, data!D:D, 0)) = 1, FALSE)
  ),
  "COMPLETE",
  "INC"
)</f>
        <v>COMPLETE</v>
      </c>
      <c r="D1021" s="9" t="str">
        <f t="array" ref="D1021">IFERROR(INDEX(data!$G:$G,match(Caseslist!B1021,data!$D:$D,0)), "INC")</f>
        <v>F3051749</v>
      </c>
      <c r="E1021" s="9" t="str">
        <f t="array" ref="E1021">IFERROR(INDEX(data!H:H,match(Caseslist!B1021,data!D:D,0)), "INC")</f>
        <v>Elenita Gicos De La Pe�a</v>
      </c>
      <c r="F1021" s="10" t="str">
        <f t="array" ref="F1021">IF(
    OR(
      IFNA(INDEX(data!M:M, MATCH(Caseslist!B1021, data!D:D, 0)), "") = "",
      IFNA(INDEX(data!M:M, MATCH(Caseslist!B1021, data!D:D, 0)), 0) = 0
    ),
    "COMPLETE",
    IF(
      IFNA(INDEX(dataICM!D:D, MATCH(Caseslist!B1021, dataICM!D:D, 0)), "INC") = "INC",
      IFNA(INDEX(dataICM!D:D, MATCH(Caseslist!B1021, dataICM!D:D, 0)), "INC"),
      "COMPLETE"
    )
  )</f>
        <v>INC</v>
      </c>
      <c r="G1021" s="10" t="str">
        <f t="array" ref="G1021">IF(IFERROR(INDEX(data!L:L,match(Caseslist!B1021,data!D:D,0)),"INC")="","COMPLETE",F1021)</f>
        <v>INC</v>
      </c>
      <c r="H1021" s="9" t="str">
        <f t="array" ref="H1021">IFERROR(INDEX(dataICM!F:F,match(Caseslist!B1021,dataICM!D:D,0)), "INC")</f>
        <v>INC</v>
      </c>
      <c r="I1021" s="10" t="str">
        <f t="shared" si="2"/>
        <v>INC</v>
      </c>
      <c r="J1021" s="9" t="str">
        <f t="array" ref="J1021">IF(
  AND(
    IFERROR(MATCH(B1021, data!D:D, 0), 0) &gt; 0,
    IFERROR(INDEX(data!N:N, MATCH(B1021, data!D:D, 0)) = 1, FALSE)
  ),
  INDEX(data!C:C, MATCH(B1021, data!D:D, 0)),
  "INC"
)</f>
        <v>2025-09-30T11:26:04.866+08</v>
      </c>
      <c r="K1021" s="9" t="str">
        <f t="array" ref="K1021">IFERROR(INDEX(dataICM!C:C,match(Caseslist!B1021,dataICM!D:D,0)), "INC")</f>
        <v>INC</v>
      </c>
      <c r="L1021" s="10" t="str">
        <f t="array" ref="L1021">IF(AND(G1021="COMPLETE", OR(K1021="INC", ISBLANK(INDEX(data!O:O, ROW())))), J1021, K1021)</f>
        <v>INC</v>
      </c>
      <c r="M1021" s="2" t="s">
        <v>8886</v>
      </c>
      <c r="N1021" s="2" t="str">
        <f t="array" ref="N1021">IF(M1021&lt;&gt;"INC", INDEX(data!M:M, MATCH(B1021, data!D:D, 0)), "")</f>
        <v/>
      </c>
      <c r="O1021" s="2" t="str">
        <f t="shared" si="3"/>
        <v/>
      </c>
    </row>
    <row r="1022">
      <c r="A1022" s="2" t="str">
        <f t="shared" si="1"/>
        <v>H030015</v>
      </c>
      <c r="B1022" s="1" t="s">
        <v>1127</v>
      </c>
      <c r="C1022" s="9" t="str">
        <f t="array" ref="C1022">IF(
  AND(
    IFERROR(MATCH(Caseslist!B1022, data!D:D, 0), 0) &gt; 0,
    IFERROR(INDEX(data!N:N, MATCH(Caseslist!B1022, data!D:D, 0)) = 1, FALSE)
  ),
  "COMPLETE",
  "INC"
)</f>
        <v>COMPLETE</v>
      </c>
      <c r="D1022" s="9" t="str">
        <f t="array" ref="D1022">IFERROR(INDEX(data!$G:$G,match(Caseslist!B1022,data!$D:$D,0)), "INC")</f>
        <v>H2846135</v>
      </c>
      <c r="E1022" s="9" t="str">
        <f t="array" ref="E1022">IFERROR(INDEX(data!H:H,match(Caseslist!B1022,data!D:D,0)), "INC")</f>
        <v>Annalou Empanado Encontro</v>
      </c>
      <c r="F1022" s="10" t="str">
        <f t="array" ref="F1022">IF(
    OR(
      IFNA(INDEX(data!M:M, MATCH(Caseslist!B1022, data!D:D, 0)), "") = "",
      IFNA(INDEX(data!M:M, MATCH(Caseslist!B1022, data!D:D, 0)), 0) = 0
    ),
    "COMPLETE",
    IF(
      IFNA(INDEX(dataICM!D:D, MATCH(Caseslist!B1022, dataICM!D:D, 0)), "INC") = "INC",
      IFNA(INDEX(dataICM!D:D, MATCH(Caseslist!B1022, dataICM!D:D, 0)), "INC"),
      "COMPLETE"
    )
  )</f>
        <v>COMPLETE</v>
      </c>
      <c r="G1022" s="10" t="str">
        <f t="array" ref="G1022">IF(IFERROR(INDEX(data!L:L,match(Caseslist!B1022,data!D:D,0)),"INC")="","COMPLETE",F1022)</f>
        <v>COMPLETE</v>
      </c>
      <c r="H1022" s="9" t="str">
        <f t="array" ref="H1022">IFERROR(INDEX(dataICM!F:F,match(Caseslist!B1022,dataICM!D:D,0)), "INC")</f>
        <v>Annalou Empanado Encontro</v>
      </c>
      <c r="I1022" s="10" t="str">
        <f t="shared" si="2"/>
        <v>H2846135</v>
      </c>
      <c r="J1022" s="9" t="str">
        <f t="array" ref="J1022">IF(
  AND(
    IFERROR(MATCH(B1022, data!D:D, 0), 0) &gt; 0,
    IFERROR(INDEX(data!N:N, MATCH(B1022, data!D:D, 0)) = 1, FALSE)
  ),
  INDEX(data!C:C, MATCH(B1022, data!D:D, 0)),
  "INC"
)</f>
        <v>2025-08-28T17:02:14.015+08</v>
      </c>
      <c r="K1022" s="9" t="str">
        <f t="array" ref="K1022">IFERROR(INDEX(dataICM!C:C,match(Caseslist!B1022,dataICM!D:D,0)), "INC")</f>
        <v>2025-08-28T17:14:45.014+08</v>
      </c>
      <c r="L1022" s="10" t="str">
        <f t="array" ref="L1022">IF(AND(G1022="COMPLETE", OR(K1022="INC", ISBLANK(INDEX(data!O:O, ROW())))), J1022, K1022)</f>
        <v>2025-08-28T17:14:45.014+08</v>
      </c>
      <c r="M1022" s="2">
        <v>45897.0</v>
      </c>
      <c r="N1022" s="2">
        <f t="array" ref="N1022">IF(M1022&lt;&gt;"INC", INDEX(data!M:M, MATCH(B1022, data!D:D, 0)), "")</f>
        <v>1</v>
      </c>
      <c r="O1022" s="2">
        <f t="shared" si="3"/>
        <v>1</v>
      </c>
    </row>
    <row r="1023">
      <c r="A1023" s="2" t="str">
        <f t="shared" si="1"/>
        <v>H030015</v>
      </c>
      <c r="B1023" s="1" t="s">
        <v>1157</v>
      </c>
      <c r="C1023" s="9" t="str">
        <f t="array" ref="C1023">IF(
  AND(
    IFERROR(MATCH(Caseslist!B1023, data!D:D, 0), 0) &gt; 0,
    IFERROR(INDEX(data!N:N, MATCH(Caseslist!B1023, data!D:D, 0)) = 1, FALSE)
  ),
  "COMPLETE",
  "INC"
)</f>
        <v>COMPLETE</v>
      </c>
      <c r="D1023" s="9" t="str">
        <f t="array" ref="D1023">IFERROR(INDEX(data!$G:$G,match(Caseslist!B1023,data!$D:$D,0)), "INC")</f>
        <v>F3051749</v>
      </c>
      <c r="E1023" s="9" t="str">
        <f t="array" ref="E1023">IFERROR(INDEX(data!H:H,match(Caseslist!B1023,data!D:D,0)), "INC")</f>
        <v>Elenita Gicos De La Pe�a</v>
      </c>
      <c r="F1023" s="10" t="str">
        <f t="array" ref="F1023">IF(
    OR(
      IFNA(INDEX(data!M:M, MATCH(Caseslist!B1023, data!D:D, 0)), "") = "",
      IFNA(INDEX(data!M:M, MATCH(Caseslist!B1023, data!D:D, 0)), 0) = 0
    ),
    "COMPLETE",
    IF(
      IFNA(INDEX(dataICM!D:D, MATCH(Caseslist!B1023, dataICM!D:D, 0)), "INC") = "INC",
      IFNA(INDEX(dataICM!D:D, MATCH(Caseslist!B1023, dataICM!D:D, 0)), "INC"),
      "COMPLETE"
    )
  )</f>
        <v>COMPLETE</v>
      </c>
      <c r="G1023" s="10" t="str">
        <f t="array" ref="G1023">IF(IFERROR(INDEX(data!L:L,match(Caseslist!B1023,data!D:D,0)),"INC")="","COMPLETE",F1023)</f>
        <v>COMPLETE</v>
      </c>
      <c r="H1023" s="9" t="str">
        <f t="array" ref="H1023">IFERROR(INDEX(dataICM!F:F,match(Caseslist!B1023,dataICM!D:D,0)), "INC")</f>
        <v>Elenita Gicos De La Pe�a</v>
      </c>
      <c r="I1023" s="10" t="str">
        <f t="shared" si="2"/>
        <v>F3051749</v>
      </c>
      <c r="J1023" s="9" t="str">
        <f t="array" ref="J1023">IF(
  AND(
    IFERROR(MATCH(B1023, data!D:D, 0), 0) &gt; 0,
    IFERROR(INDEX(data!N:N, MATCH(B1023, data!D:D, 0)) = 1, FALSE)
  ),
  INDEX(data!C:C, MATCH(B1023, data!D:D, 0)),
  "INC"
)</f>
        <v>2025-08-28T15:20:01.777+08</v>
      </c>
      <c r="K1023" s="9" t="str">
        <f t="array" ref="K1023">IFERROR(INDEX(dataICM!C:C,match(Caseslist!B1023,dataICM!D:D,0)), "INC")</f>
        <v>2025-08-28T15:54:01.513+08</v>
      </c>
      <c r="L1023" s="10" t="str">
        <f t="array" ref="L1023">IF(AND(G1023="COMPLETE", OR(K1023="INC", ISBLANK(INDEX(data!O:O, ROW())))), J1023, K1023)</f>
        <v>2025-08-28T15:54:01.513+08</v>
      </c>
      <c r="M1023" s="2">
        <v>45897.0</v>
      </c>
      <c r="N1023" s="2">
        <f t="array" ref="N1023">IF(M1023&lt;&gt;"INC", INDEX(data!M:M, MATCH(B1023, data!D:D, 0)), "")</f>
        <v>1</v>
      </c>
      <c r="O1023" s="2">
        <f t="shared" si="3"/>
        <v>1</v>
      </c>
    </row>
    <row r="1024">
      <c r="A1024" s="2" t="str">
        <f t="shared" si="1"/>
        <v>H030031</v>
      </c>
      <c r="B1024" s="1" t="s">
        <v>6918</v>
      </c>
      <c r="C1024" s="9" t="str">
        <f t="array" ref="C1024">IF(
  AND(
    IFERROR(MATCH(Caseslist!B1024, data!D:D, 0), 0) &gt; 0,
    IFERROR(INDEX(data!N:N, MATCH(Caseslist!B1024, data!D:D, 0)) = 1, FALSE)
  ),
  "COMPLETE",
  "INC"
)</f>
        <v>COMPLETE</v>
      </c>
      <c r="D1024" s="9" t="str">
        <f t="array" ref="D1024">IFERROR(INDEX(data!$G:$G,match(Caseslist!B1024,data!$D:$D,0)), "INC")</f>
        <v>C7502931</v>
      </c>
      <c r="E1024" s="9" t="str">
        <f t="array" ref="E1024">IFERROR(INDEX(data!H:H,match(Caseslist!B1024,data!D:D,0)), "INC")</f>
        <v>Jenny Lou Toles Estacio</v>
      </c>
      <c r="F1024" s="10" t="str">
        <f t="array" ref="F1024">IF(
    OR(
      IFNA(INDEX(data!M:M, MATCH(Caseslist!B1024, data!D:D, 0)), "") = "",
      IFNA(INDEX(data!M:M, MATCH(Caseslist!B1024, data!D:D, 0)), 0) = 0
    ),
    "COMPLETE",
    IF(
      IFNA(INDEX(dataICM!D:D, MATCH(Caseslist!B1024, dataICM!D:D, 0)), "INC") = "INC",
      IFNA(INDEX(dataICM!D:D, MATCH(Caseslist!B1024, dataICM!D:D, 0)), "INC"),
      "COMPLETE"
    )
  )</f>
        <v>COMPLETE</v>
      </c>
      <c r="G1024" s="10" t="str">
        <f t="array" ref="G1024">IF(IFERROR(INDEX(data!L:L,match(Caseslist!B1024,data!D:D,0)),"INC")="","COMPLETE",F1024)</f>
        <v>COMPLETE</v>
      </c>
      <c r="H1024" s="9" t="str">
        <f t="array" ref="H1024">IFERROR(INDEX(dataICM!F:F,match(Caseslist!B1024,dataICM!D:D,0)), "INC")</f>
        <v>Jenny Lou Toles Estacio</v>
      </c>
      <c r="I1024" s="10" t="str">
        <f t="shared" si="2"/>
        <v>C7502931</v>
      </c>
      <c r="J1024" s="9" t="str">
        <f t="array" ref="J1024">IF(
  AND(
    IFERROR(MATCH(B1024, data!D:D, 0), 0) &gt; 0,
    IFERROR(INDEX(data!N:N, MATCH(B1024, data!D:D, 0)) = 1, FALSE)
  ),
  INDEX(data!C:C, MATCH(B1024, data!D:D, 0)),
  "INC"
)</f>
        <v>2025-09-18T09:57:21.384+08</v>
      </c>
      <c r="K1024" s="9" t="str">
        <f t="array" ref="K1024">IFERROR(INDEX(dataICM!C:C,match(Caseslist!B1024,dataICM!D:D,0)), "INC")</f>
        <v>2025-09-18T16:58:35.772+08</v>
      </c>
      <c r="L1024" s="10" t="str">
        <f t="array" ref="L1024">IF(AND(G1024="COMPLETE", OR(K1024="INC", ISBLANK(INDEX(data!O:O, ROW())))), J1024, K1024)</f>
        <v>2025-09-18T16:58:35.772+08</v>
      </c>
      <c r="M1024" s="2">
        <v>45918.0</v>
      </c>
      <c r="N1024" s="2">
        <f t="array" ref="N1024">IF(M1024&lt;&gt;"INC", INDEX(data!M:M, MATCH(B1024, data!D:D, 0)), "")</f>
        <v>2</v>
      </c>
      <c r="O1024" s="2">
        <f t="shared" si="3"/>
        <v>2</v>
      </c>
    </row>
    <row r="1025">
      <c r="A1025" s="2" t="str">
        <f t="shared" si="1"/>
        <v>H030031</v>
      </c>
      <c r="B1025" s="1" t="s">
        <v>6923</v>
      </c>
      <c r="C1025" s="9" t="str">
        <f t="array" ref="C1025">IF(
  AND(
    IFERROR(MATCH(Caseslist!B1025, data!D:D, 0), 0) &gt; 0,
    IFERROR(INDEX(data!N:N, MATCH(Caseslist!B1025, data!D:D, 0)) = 1, FALSE)
  ),
  "COMPLETE",
  "INC"
)</f>
        <v>COMPLETE</v>
      </c>
      <c r="D1025" s="9">
        <f t="array" ref="D1025">IFERROR(INDEX(data!$G:$G,match(Caseslist!B1025,data!$D:$D,0)), "INC")</f>
        <v>896791</v>
      </c>
      <c r="E1025" s="9" t="str">
        <f t="array" ref="E1025">IFERROR(INDEX(data!H:H,match(Caseslist!B1025,data!D:D,0)), "INC")</f>
        <v>Roland A. Bandiola jr_2</v>
      </c>
      <c r="F1025" s="10" t="str">
        <f t="array" ref="F1025">IF(
    OR(
      IFNA(INDEX(data!M:M, MATCH(Caseslist!B1025, data!D:D, 0)), "") = "",
      IFNA(INDEX(data!M:M, MATCH(Caseslist!B1025, data!D:D, 0)), 0) = 0
    ),
    "COMPLETE",
    IF(
      IFNA(INDEX(dataICM!D:D, MATCH(Caseslist!B1025, dataICM!D:D, 0)), "INC") = "INC",
      IFNA(INDEX(dataICM!D:D, MATCH(Caseslist!B1025, dataICM!D:D, 0)), "INC"),
      "COMPLETE"
    )
  )</f>
        <v>COMPLETE</v>
      </c>
      <c r="G1025" s="10" t="str">
        <f t="array" ref="G1025">IF(IFERROR(INDEX(data!L:L,match(Caseslist!B1025,data!D:D,0)),"INC")="","COMPLETE",F1025)</f>
        <v>COMPLETE</v>
      </c>
      <c r="H1025" s="9" t="str">
        <f t="array" ref="H1025">IFERROR(INDEX(dataICM!F:F,match(Caseslist!B1025,dataICM!D:D,0)), "INC")</f>
        <v>Roland A. Bandiola jr_2</v>
      </c>
      <c r="I1025" s="10">
        <f t="shared" si="2"/>
        <v>896791</v>
      </c>
      <c r="J1025" s="9" t="str">
        <f t="array" ref="J1025">IF(
  AND(
    IFERROR(MATCH(B1025, data!D:D, 0), 0) &gt; 0,
    IFERROR(INDEX(data!N:N, MATCH(B1025, data!D:D, 0)) = 1, FALSE)
  ),
  INDEX(data!C:C, MATCH(B1025, data!D:D, 0)),
  "INC"
)</f>
        <v>2025-09-18T12:41:58.259+08</v>
      </c>
      <c r="K1025" s="9" t="str">
        <f t="array" ref="K1025">IFERROR(INDEX(dataICM!C:C,match(Caseslist!B1025,dataICM!D:D,0)), "INC")</f>
        <v>2025-09-18T12:53:07.749+08</v>
      </c>
      <c r="L1025" s="10" t="str">
        <f t="array" ref="L1025">IF(AND(G1025="COMPLETE", OR(K1025="INC", ISBLANK(INDEX(data!O:O, ROW())))), J1025, K1025)</f>
        <v>2025-09-18T12:53:07.749+08</v>
      </c>
      <c r="M1025" s="2">
        <v>45918.0</v>
      </c>
      <c r="N1025" s="2">
        <f t="array" ref="N1025">IF(M1025&lt;&gt;"INC", INDEX(data!M:M, MATCH(B1025, data!D:D, 0)), "")</f>
        <v>2</v>
      </c>
      <c r="O1025" s="2">
        <f t="shared" si="3"/>
        <v>2</v>
      </c>
    </row>
    <row r="1026">
      <c r="A1026" s="2" t="str">
        <f t="shared" si="1"/>
        <v>H030031</v>
      </c>
      <c r="B1026" s="1" t="s">
        <v>6968</v>
      </c>
      <c r="C1026" s="9" t="str">
        <f t="array" ref="C1026">IF(
  AND(
    IFERROR(MATCH(Caseslist!B1026, data!D:D, 0), 0) &gt; 0,
    IFERROR(INDEX(data!N:N, MATCH(Caseslist!B1026, data!D:D, 0)) = 1, FALSE)
  ),
  "COMPLETE",
  "INC"
)</f>
        <v>COMPLETE</v>
      </c>
      <c r="D1026" s="9" t="str">
        <f t="array" ref="D1026">IFERROR(INDEX(data!$G:$G,match(Caseslist!B1026,data!$D:$D,0)), "INC")</f>
        <v>B8193462</v>
      </c>
      <c r="E1026" s="9" t="str">
        <f t="array" ref="E1026">IFERROR(INDEX(data!H:H,match(Caseslist!B1026,data!D:D,0)), "INC")</f>
        <v>Mark Lorens Mendoza Gilongo</v>
      </c>
      <c r="F1026" s="10" t="str">
        <f t="array" ref="F1026">IF(
    OR(
      IFNA(INDEX(data!M:M, MATCH(Caseslist!B1026, data!D:D, 0)), "") = "",
      IFNA(INDEX(data!M:M, MATCH(Caseslist!B1026, data!D:D, 0)), 0) = 0
    ),
    "COMPLETE",
    IF(
      IFNA(INDEX(dataICM!D:D, MATCH(Caseslist!B1026, dataICM!D:D, 0)), "INC") = "INC",
      IFNA(INDEX(dataICM!D:D, MATCH(Caseslist!B1026, dataICM!D:D, 0)), "INC"),
      "COMPLETE"
    )
  )</f>
        <v>COMPLETE</v>
      </c>
      <c r="G1026" s="10" t="str">
        <f t="array" ref="G1026">IF(IFERROR(INDEX(data!L:L,match(Caseslist!B1026,data!D:D,0)),"INC")="","COMPLETE",F1026)</f>
        <v>COMPLETE</v>
      </c>
      <c r="H1026" s="9" t="str">
        <f t="array" ref="H1026">IFERROR(INDEX(dataICM!F:F,match(Caseslist!B1026,dataICM!D:D,0)), "INC")</f>
        <v>Mark Lorens Mendoza Gilongo</v>
      </c>
      <c r="I1026" s="10" t="str">
        <f t="shared" si="2"/>
        <v>B8193462</v>
      </c>
      <c r="J1026" s="9" t="str">
        <f t="array" ref="J1026">IF(
  AND(
    IFERROR(MATCH(B1026, data!D:D, 0), 0) &gt; 0,
    IFERROR(INDEX(data!N:N, MATCH(B1026, data!D:D, 0)) = 1, FALSE)
  ),
  INDEX(data!C:C, MATCH(B1026, data!D:D, 0)),
  "INC"
)</f>
        <v>2025-09-18T14:28:47.304+08</v>
      </c>
      <c r="K1026" s="9" t="str">
        <f t="array" ref="K1026">IFERROR(INDEX(dataICM!C:C,match(Caseslist!B1026,dataICM!D:D,0)), "INC")</f>
        <v>2025-09-18T18:53:34.090+08</v>
      </c>
      <c r="L1026" s="10" t="str">
        <f t="array" ref="L1026">IF(AND(G1026="COMPLETE", OR(K1026="INC", ISBLANK(INDEX(data!O:O, ROW())))), J1026, K1026)</f>
        <v>2025-09-18T18:53:34.090+08</v>
      </c>
      <c r="M1026" s="2">
        <v>45918.0</v>
      </c>
      <c r="N1026" s="2">
        <f t="array" ref="N1026">IF(M1026&lt;&gt;"INC", INDEX(data!M:M, MATCH(B1026, data!D:D, 0)), "")</f>
        <v>2</v>
      </c>
      <c r="O1026" s="2">
        <f t="shared" si="3"/>
        <v>2</v>
      </c>
    </row>
    <row r="1027">
      <c r="A1027" s="2" t="str">
        <f t="shared" si="1"/>
        <v>H030031</v>
      </c>
      <c r="B1027" s="1" t="s">
        <v>6933</v>
      </c>
      <c r="C1027" s="9" t="str">
        <f t="array" ref="C1027">IF(
  AND(
    IFERROR(MATCH(Caseslist!B1027, data!D:D, 0), 0) &gt; 0,
    IFERROR(INDEX(data!N:N, MATCH(Caseslist!B1027, data!D:D, 0)) = 1, FALSE)
  ),
  "COMPLETE",
  "INC"
)</f>
        <v>COMPLETE</v>
      </c>
      <c r="D1027" s="9">
        <f t="array" ref="D1027">IFERROR(INDEX(data!$G:$G,match(Caseslist!B1027,data!$D:$D,0)), "INC")</f>
        <v>896791</v>
      </c>
      <c r="E1027" s="9" t="str">
        <f t="array" ref="E1027">IFERROR(INDEX(data!H:H,match(Caseslist!B1027,data!D:D,0)), "INC")</f>
        <v>Roland A. Bandiola jr_2</v>
      </c>
      <c r="F1027" s="10" t="str">
        <f t="array" ref="F1027">IF(
    OR(
      IFNA(INDEX(data!M:M, MATCH(Caseslist!B1027, data!D:D, 0)), "") = "",
      IFNA(INDEX(data!M:M, MATCH(Caseslist!B1027, data!D:D, 0)), 0) = 0
    ),
    "COMPLETE",
    IF(
      IFNA(INDEX(dataICM!D:D, MATCH(Caseslist!B1027, dataICM!D:D, 0)), "INC") = "INC",
      IFNA(INDEX(dataICM!D:D, MATCH(Caseslist!B1027, dataICM!D:D, 0)), "INC"),
      "COMPLETE"
    )
  )</f>
        <v>COMPLETE</v>
      </c>
      <c r="G1027" s="10" t="str">
        <f t="array" ref="G1027">IF(IFERROR(INDEX(data!L:L,match(Caseslist!B1027,data!D:D,0)),"INC")="","COMPLETE",F1027)</f>
        <v>COMPLETE</v>
      </c>
      <c r="H1027" s="9" t="str">
        <f t="array" ref="H1027">IFERROR(INDEX(dataICM!F:F,match(Caseslist!B1027,dataICM!D:D,0)), "INC")</f>
        <v>Roland A. Bandiola jr_2</v>
      </c>
      <c r="I1027" s="10">
        <f t="shared" si="2"/>
        <v>896791</v>
      </c>
      <c r="J1027" s="9" t="str">
        <f t="array" ref="J1027">IF(
  AND(
    IFERROR(MATCH(B1027, data!D:D, 0), 0) &gt; 0,
    IFERROR(INDEX(data!N:N, MATCH(B1027, data!D:D, 0)) = 1, FALSE)
  ),
  INDEX(data!C:C, MATCH(B1027, data!D:D, 0)),
  "INC"
)</f>
        <v>2025-09-17T12:05:12.860+08</v>
      </c>
      <c r="K1027" s="9" t="str">
        <f t="array" ref="K1027">IFERROR(INDEX(dataICM!C:C,match(Caseslist!B1027,dataICM!D:D,0)), "INC")</f>
        <v>2025-09-17T12:08:36.052+08</v>
      </c>
      <c r="L1027" s="10" t="str">
        <f t="array" ref="L1027">IF(AND(G1027="COMPLETE", OR(K1027="INC", ISBLANK(INDEX(data!O:O, ROW())))), J1027, K1027)</f>
        <v>2025-09-17T12:08:36.052+08</v>
      </c>
      <c r="M1027" s="2">
        <v>45917.0</v>
      </c>
      <c r="N1027" s="2">
        <f t="array" ref="N1027">IF(M1027&lt;&gt;"INC", INDEX(data!M:M, MATCH(B1027, data!D:D, 0)), "")</f>
        <v>2</v>
      </c>
      <c r="O1027" s="2">
        <f t="shared" si="3"/>
        <v>2</v>
      </c>
    </row>
    <row r="1028">
      <c r="A1028" s="2" t="str">
        <f t="shared" si="1"/>
        <v>H030031</v>
      </c>
      <c r="B1028" s="1" t="s">
        <v>6973</v>
      </c>
      <c r="C1028" s="9" t="str">
        <f t="array" ref="C1028">IF(
  AND(
    IFERROR(MATCH(Caseslist!B1028, data!D:D, 0), 0) &gt; 0,
    IFERROR(INDEX(data!N:N, MATCH(Caseslist!B1028, data!D:D, 0)) = 1, FALSE)
  ),
  "COMPLETE",
  "INC"
)</f>
        <v>COMPLETE</v>
      </c>
      <c r="D1028" s="9" t="str">
        <f t="array" ref="D1028">IFERROR(INDEX(data!$G:$G,match(Caseslist!B1028,data!$D:$D,0)), "INC")</f>
        <v>D1284067</v>
      </c>
      <c r="E1028" s="9" t="str">
        <f t="array" ref="E1028">IFERROR(INDEX(data!H:H,match(Caseslist!B1028,data!D:D,0)), "INC")</f>
        <v>Mariel Del Rio</v>
      </c>
      <c r="F1028" s="10" t="str">
        <f t="array" ref="F1028">IF(
    OR(
      IFNA(INDEX(data!M:M, MATCH(Caseslist!B1028, data!D:D, 0)), "") = "",
      IFNA(INDEX(data!M:M, MATCH(Caseslist!B1028, data!D:D, 0)), 0) = 0
    ),
    "COMPLETE",
    IF(
      IFNA(INDEX(dataICM!D:D, MATCH(Caseslist!B1028, dataICM!D:D, 0)), "INC") = "INC",
      IFNA(INDEX(dataICM!D:D, MATCH(Caseslist!B1028, dataICM!D:D, 0)), "INC"),
      "COMPLETE"
    )
  )</f>
        <v>COMPLETE</v>
      </c>
      <c r="G1028" s="10" t="str">
        <f t="array" ref="G1028">IF(IFERROR(INDEX(data!L:L,match(Caseslist!B1028,data!D:D,0)),"INC")="","COMPLETE",F1028)</f>
        <v>COMPLETE</v>
      </c>
      <c r="H1028" s="9" t="str">
        <f t="array" ref="H1028">IFERROR(INDEX(dataICM!F:F,match(Caseslist!B1028,dataICM!D:D,0)), "INC")</f>
        <v>Mariel Del Rio</v>
      </c>
      <c r="I1028" s="10" t="str">
        <f t="shared" si="2"/>
        <v>D1284067</v>
      </c>
      <c r="J1028" s="9" t="str">
        <f t="array" ref="J1028">IF(
  AND(
    IFERROR(MATCH(B1028, data!D:D, 0), 0) &gt; 0,
    IFERROR(INDEX(data!N:N, MATCH(B1028, data!D:D, 0)) = 1, FALSE)
  ),
  INDEX(data!C:C, MATCH(B1028, data!D:D, 0)),
  "INC"
)</f>
        <v>2025-09-18T15:33:31.966+08</v>
      </c>
      <c r="K1028" s="9" t="str">
        <f t="array" ref="K1028">IFERROR(INDEX(dataICM!C:C,match(Caseslist!B1028,dataICM!D:D,0)), "INC")</f>
        <v>2025-09-18T16:55:57.980+08</v>
      </c>
      <c r="L1028" s="10" t="str">
        <f t="array" ref="L1028">IF(AND(G1028="COMPLETE", OR(K1028="INC", ISBLANK(INDEX(data!O:O, ROW())))), J1028, K1028)</f>
        <v>2025-09-18T16:55:57.980+08</v>
      </c>
      <c r="M1028" s="2">
        <v>45918.0</v>
      </c>
      <c r="N1028" s="2">
        <f t="array" ref="N1028">IF(M1028&lt;&gt;"INC", INDEX(data!M:M, MATCH(B1028, data!D:D, 0)), "")</f>
        <v>2</v>
      </c>
      <c r="O1028" s="2">
        <f t="shared" si="3"/>
        <v>2</v>
      </c>
    </row>
    <row r="1029">
      <c r="A1029" s="2" t="str">
        <f t="shared" si="1"/>
        <v>H030031</v>
      </c>
      <c r="B1029" s="1" t="s">
        <v>6978</v>
      </c>
      <c r="C1029" s="9" t="str">
        <f t="array" ref="C1029">IF(
  AND(
    IFERROR(MATCH(Caseslist!B1029, data!D:D, 0), 0) &gt; 0,
    IFERROR(INDEX(data!N:N, MATCH(Caseslist!B1029, data!D:D, 0)) = 1, FALSE)
  ),
  "COMPLETE",
  "INC"
)</f>
        <v>COMPLETE</v>
      </c>
      <c r="D1029" s="9" t="str">
        <f t="array" ref="D1029">IFERROR(INDEX(data!$G:$G,match(Caseslist!B1029,data!$D:$D,0)), "INC")</f>
        <v>C7502931</v>
      </c>
      <c r="E1029" s="9" t="str">
        <f t="array" ref="E1029">IFERROR(INDEX(data!H:H,match(Caseslist!B1029,data!D:D,0)), "INC")</f>
        <v>Jenny Lou Toles Estacio</v>
      </c>
      <c r="F1029" s="10" t="str">
        <f t="array" ref="F1029">IF(
    OR(
      IFNA(INDEX(data!M:M, MATCH(Caseslist!B1029, data!D:D, 0)), "") = "",
      IFNA(INDEX(data!M:M, MATCH(Caseslist!B1029, data!D:D, 0)), 0) = 0
    ),
    "COMPLETE",
    IF(
      IFNA(INDEX(dataICM!D:D, MATCH(Caseslist!B1029, dataICM!D:D, 0)), "INC") = "INC",
      IFNA(INDEX(dataICM!D:D, MATCH(Caseslist!B1029, dataICM!D:D, 0)), "INC"),
      "COMPLETE"
    )
  )</f>
        <v>COMPLETE</v>
      </c>
      <c r="G1029" s="10" t="str">
        <f t="array" ref="G1029">IF(IFERROR(INDEX(data!L:L,match(Caseslist!B1029,data!D:D,0)),"INC")="","COMPLETE",F1029)</f>
        <v>COMPLETE</v>
      </c>
      <c r="H1029" s="9" t="str">
        <f t="array" ref="H1029">IFERROR(INDEX(dataICM!F:F,match(Caseslist!B1029,dataICM!D:D,0)), "INC")</f>
        <v>Jenny Lou Toles Estacio</v>
      </c>
      <c r="I1029" s="10" t="str">
        <f t="shared" si="2"/>
        <v>C7502931</v>
      </c>
      <c r="J1029" s="9" t="str">
        <f t="array" ref="J1029">IF(
  AND(
    IFERROR(MATCH(B1029, data!D:D, 0), 0) &gt; 0,
    IFERROR(INDEX(data!N:N, MATCH(B1029, data!D:D, 0)) = 1, FALSE)
  ),
  INDEX(data!C:C, MATCH(B1029, data!D:D, 0)),
  "INC"
)</f>
        <v>2025-09-18T12:31:27.514+08</v>
      </c>
      <c r="K1029" s="9" t="str">
        <f t="array" ref="K1029">IFERROR(INDEX(dataICM!C:C,match(Caseslist!B1029,dataICM!D:D,0)), "INC")</f>
        <v>2025-09-18T16:59:30.881+08</v>
      </c>
      <c r="L1029" s="10" t="str">
        <f t="array" ref="L1029">IF(AND(G1029="COMPLETE", OR(K1029="INC", ISBLANK(INDEX(data!O:O, ROW())))), J1029, K1029)</f>
        <v>2025-09-18T16:59:30.881+08</v>
      </c>
      <c r="M1029" s="2">
        <v>45918.0</v>
      </c>
      <c r="N1029" s="2">
        <f t="array" ref="N1029">IF(M1029&lt;&gt;"INC", INDEX(data!M:M, MATCH(B1029, data!D:D, 0)), "")</f>
        <v>2</v>
      </c>
      <c r="O1029" s="2">
        <f t="shared" si="3"/>
        <v>2</v>
      </c>
    </row>
    <row r="1030">
      <c r="A1030" s="2" t="str">
        <f t="shared" si="1"/>
        <v>H030031</v>
      </c>
      <c r="B1030" s="1" t="s">
        <v>6938</v>
      </c>
      <c r="C1030" s="9" t="str">
        <f t="array" ref="C1030">IF(
  AND(
    IFERROR(MATCH(Caseslist!B1030, data!D:D, 0), 0) &gt; 0,
    IFERROR(INDEX(data!N:N, MATCH(Caseslist!B1030, data!D:D, 0)) = 1, FALSE)
  ),
  "COMPLETE",
  "INC"
)</f>
        <v>COMPLETE</v>
      </c>
      <c r="D1030" s="9" t="str">
        <f t="array" ref="D1030">IFERROR(INDEX(data!$G:$G,match(Caseslist!B1030,data!$D:$D,0)), "INC")</f>
        <v>C7502931</v>
      </c>
      <c r="E1030" s="9" t="str">
        <f t="array" ref="E1030">IFERROR(INDEX(data!H:H,match(Caseslist!B1030,data!D:D,0)), "INC")</f>
        <v>Jenny Lou Toles Estacio</v>
      </c>
      <c r="F1030" s="10" t="str">
        <f t="array" ref="F1030">IF(
    OR(
      IFNA(INDEX(data!M:M, MATCH(Caseslist!B1030, data!D:D, 0)), "") = "",
      IFNA(INDEX(data!M:M, MATCH(Caseslist!B1030, data!D:D, 0)), 0) = 0
    ),
    "COMPLETE",
    IF(
      IFNA(INDEX(dataICM!D:D, MATCH(Caseslist!B1030, dataICM!D:D, 0)), "INC") = "INC",
      IFNA(INDEX(dataICM!D:D, MATCH(Caseslist!B1030, dataICM!D:D, 0)), "INC"),
      "COMPLETE"
    )
  )</f>
        <v>COMPLETE</v>
      </c>
      <c r="G1030" s="10" t="str">
        <f t="array" ref="G1030">IF(IFERROR(INDEX(data!L:L,match(Caseslist!B1030,data!D:D,0)),"INC")="","COMPLETE",F1030)</f>
        <v>COMPLETE</v>
      </c>
      <c r="H1030" s="9" t="str">
        <f t="array" ref="H1030">IFERROR(INDEX(dataICM!F:F,match(Caseslist!B1030,dataICM!D:D,0)), "INC")</f>
        <v>Jenny Lou Toles Estacio</v>
      </c>
      <c r="I1030" s="10" t="str">
        <f t="shared" si="2"/>
        <v>C7502931</v>
      </c>
      <c r="J1030" s="9" t="str">
        <f t="array" ref="J1030">IF(
  AND(
    IFERROR(MATCH(B1030, data!D:D, 0), 0) &gt; 0,
    IFERROR(INDEX(data!N:N, MATCH(B1030, data!D:D, 0)) = 1, FALSE)
  ),
  INDEX(data!C:C, MATCH(B1030, data!D:D, 0)),
  "INC"
)</f>
        <v>2025-09-18T16:08:40.469+08</v>
      </c>
      <c r="K1030" s="9" t="str">
        <f t="array" ref="K1030">IFERROR(INDEX(dataICM!C:C,match(Caseslist!B1030,dataICM!D:D,0)), "INC")</f>
        <v>2025-09-18T16:56:57.164+08</v>
      </c>
      <c r="L1030" s="10" t="str">
        <f t="array" ref="L1030">IF(AND(G1030="COMPLETE", OR(K1030="INC", ISBLANK(INDEX(data!O:O, ROW())))), J1030, K1030)</f>
        <v>2025-09-18T16:56:57.164+08</v>
      </c>
      <c r="M1030" s="2">
        <v>45918.0</v>
      </c>
      <c r="N1030" s="2">
        <f t="array" ref="N1030">IF(M1030&lt;&gt;"INC", INDEX(data!M:M, MATCH(B1030, data!D:D, 0)), "")</f>
        <v>2</v>
      </c>
      <c r="O1030" s="2">
        <f t="shared" si="3"/>
        <v>2</v>
      </c>
    </row>
    <row r="1031">
      <c r="A1031" s="2" t="str">
        <f t="shared" si="1"/>
        <v>H030031</v>
      </c>
      <c r="B1031" s="1" t="s">
        <v>6943</v>
      </c>
      <c r="C1031" s="9" t="str">
        <f t="array" ref="C1031">IF(
  AND(
    IFERROR(MATCH(Caseslist!B1031, data!D:D, 0), 0) &gt; 0,
    IFERROR(INDEX(data!N:N, MATCH(Caseslist!B1031, data!D:D, 0)) = 1, FALSE)
  ),
  "COMPLETE",
  "INC"
)</f>
        <v>COMPLETE</v>
      </c>
      <c r="D1031" s="9" t="str">
        <f t="array" ref="D1031">IFERROR(INDEX(data!$G:$G,match(Caseslist!B1031,data!$D:$D,0)), "INC")</f>
        <v>B8193462</v>
      </c>
      <c r="E1031" s="9" t="str">
        <f t="array" ref="E1031">IFERROR(INDEX(data!H:H,match(Caseslist!B1031,data!D:D,0)), "INC")</f>
        <v>Mark Lorens Mendoza Gilongo</v>
      </c>
      <c r="F1031" s="10" t="str">
        <f t="array" ref="F1031">IF(
    OR(
      IFNA(INDEX(data!M:M, MATCH(Caseslist!B1031, data!D:D, 0)), "") = "",
      IFNA(INDEX(data!M:M, MATCH(Caseslist!B1031, data!D:D, 0)), 0) = 0
    ),
    "COMPLETE",
    IF(
      IFNA(INDEX(dataICM!D:D, MATCH(Caseslist!B1031, dataICM!D:D, 0)), "INC") = "INC",
      IFNA(INDEX(dataICM!D:D, MATCH(Caseslist!B1031, dataICM!D:D, 0)), "INC"),
      "COMPLETE"
    )
  )</f>
        <v>COMPLETE</v>
      </c>
      <c r="G1031" s="10" t="str">
        <f t="array" ref="G1031">IF(IFERROR(INDEX(data!L:L,match(Caseslist!B1031,data!D:D,0)),"INC")="","COMPLETE",F1031)</f>
        <v>COMPLETE</v>
      </c>
      <c r="H1031" s="9" t="str">
        <f t="array" ref="H1031">IFERROR(INDEX(dataICM!F:F,match(Caseslist!B1031,dataICM!D:D,0)), "INC")</f>
        <v>Mark Lorens Mendoza Gilongo</v>
      </c>
      <c r="I1031" s="10" t="str">
        <f t="shared" si="2"/>
        <v>B8193462</v>
      </c>
      <c r="J1031" s="9" t="str">
        <f t="array" ref="J1031">IF(
  AND(
    IFERROR(MATCH(B1031, data!D:D, 0), 0) &gt; 0,
    IFERROR(INDEX(data!N:N, MATCH(B1031, data!D:D, 0)) = 1, FALSE)
  ),
  INDEX(data!C:C, MATCH(B1031, data!D:D, 0)),
  "INC"
)</f>
        <v>2025-09-18T10:18:54.907+08</v>
      </c>
      <c r="K1031" s="9" t="str">
        <f t="array" ref="K1031">IFERROR(INDEX(dataICM!C:C,match(Caseslist!B1031,dataICM!D:D,0)), "INC")</f>
        <v>2025-09-18T18:49:29.598+08</v>
      </c>
      <c r="L1031" s="10" t="str">
        <f t="array" ref="L1031">IF(AND(G1031="COMPLETE", OR(K1031="INC", ISBLANK(INDEX(data!O:O, ROW())))), J1031, K1031)</f>
        <v>2025-09-18T18:49:29.598+08</v>
      </c>
      <c r="M1031" s="2">
        <v>45918.0</v>
      </c>
      <c r="N1031" s="2">
        <f t="array" ref="N1031">IF(M1031&lt;&gt;"INC", INDEX(data!M:M, MATCH(B1031, data!D:D, 0)), "")</f>
        <v>2</v>
      </c>
      <c r="O1031" s="2">
        <f t="shared" si="3"/>
        <v>2</v>
      </c>
    </row>
    <row r="1032">
      <c r="A1032" s="2" t="str">
        <f t="shared" si="1"/>
        <v>H030031</v>
      </c>
      <c r="B1032" s="1" t="s">
        <v>6963</v>
      </c>
      <c r="C1032" s="9" t="str">
        <f t="array" ref="C1032">IF(
  AND(
    IFERROR(MATCH(Caseslist!B1032, data!D:D, 0), 0) &gt; 0,
    IFERROR(INDEX(data!N:N, MATCH(Caseslist!B1032, data!D:D, 0)) = 1, FALSE)
  ),
  "COMPLETE",
  "INC"
)</f>
        <v>COMPLETE</v>
      </c>
      <c r="D1032" s="9" t="str">
        <f t="array" ref="D1032">IFERROR(INDEX(data!$G:$G,match(Caseslist!B1032,data!$D:$D,0)), "INC")</f>
        <v>D1284067</v>
      </c>
      <c r="E1032" s="9" t="str">
        <f t="array" ref="E1032">IFERROR(INDEX(data!H:H,match(Caseslist!B1032,data!D:D,0)), "INC")</f>
        <v>Mariel Del Rio</v>
      </c>
      <c r="F1032" s="10" t="str">
        <f t="array" ref="F1032">IF(
    OR(
      IFNA(INDEX(data!M:M, MATCH(Caseslist!B1032, data!D:D, 0)), "") = "",
      IFNA(INDEX(data!M:M, MATCH(Caseslist!B1032, data!D:D, 0)), 0) = 0
    ),
    "COMPLETE",
    IF(
      IFNA(INDEX(dataICM!D:D, MATCH(Caseslist!B1032, dataICM!D:D, 0)), "INC") = "INC",
      IFNA(INDEX(dataICM!D:D, MATCH(Caseslist!B1032, dataICM!D:D, 0)), "INC"),
      "COMPLETE"
    )
  )</f>
        <v>COMPLETE</v>
      </c>
      <c r="G1032" s="10" t="str">
        <f t="array" ref="G1032">IF(IFERROR(INDEX(data!L:L,match(Caseslist!B1032,data!D:D,0)),"INC")="","COMPLETE",F1032)</f>
        <v>COMPLETE</v>
      </c>
      <c r="H1032" s="9" t="str">
        <f t="array" ref="H1032">IFERROR(INDEX(dataICM!F:F,match(Caseslist!B1032,dataICM!D:D,0)), "INC")</f>
        <v>Mariel Del Rio</v>
      </c>
      <c r="I1032" s="10" t="str">
        <f t="shared" si="2"/>
        <v>D1284067</v>
      </c>
      <c r="J1032" s="9" t="str">
        <f t="array" ref="J1032">IF(
  AND(
    IFERROR(MATCH(B1032, data!D:D, 0), 0) &gt; 0,
    IFERROR(INDEX(data!N:N, MATCH(B1032, data!D:D, 0)) = 1, FALSE)
  ),
  INDEX(data!C:C, MATCH(B1032, data!D:D, 0)),
  "INC"
)</f>
        <v>2025-09-17T12:12:51.063+08</v>
      </c>
      <c r="K1032" s="9" t="str">
        <f t="array" ref="K1032">IFERROR(INDEX(dataICM!C:C,match(Caseslist!B1032,dataICM!D:D,0)), "INC")</f>
        <v>2025-09-17T13:07:21.238+08</v>
      </c>
      <c r="L1032" s="10" t="str">
        <f t="array" ref="L1032">IF(AND(G1032="COMPLETE", OR(K1032="INC", ISBLANK(INDEX(data!O:O, ROW())))), J1032, K1032)</f>
        <v>2025-09-17T13:07:21.238+08</v>
      </c>
      <c r="M1032" s="2">
        <v>45917.0</v>
      </c>
      <c r="N1032" s="2">
        <f t="array" ref="N1032">IF(M1032&lt;&gt;"INC", INDEX(data!M:M, MATCH(B1032, data!D:D, 0)), "")</f>
        <v>2</v>
      </c>
      <c r="O1032" s="2">
        <f t="shared" si="3"/>
        <v>2</v>
      </c>
    </row>
    <row r="1033">
      <c r="A1033" s="2" t="str">
        <f t="shared" si="1"/>
        <v>H030031</v>
      </c>
      <c r="B1033" s="1" t="s">
        <v>7213</v>
      </c>
      <c r="C1033" s="9" t="str">
        <f t="array" ref="C1033">IF(
  AND(
    IFERROR(MATCH(Caseslist!B1033, data!D:D, 0), 0) &gt; 0,
    IFERROR(INDEX(data!N:N, MATCH(Caseslist!B1033, data!D:D, 0)) = 1, FALSE)
  ),
  "COMPLETE",
  "INC"
)</f>
        <v>COMPLETE</v>
      </c>
      <c r="D1033" s="9" t="str">
        <f t="array" ref="D1033">IFERROR(INDEX(data!$G:$G,match(Caseslist!B1033,data!$D:$D,0)), "INC")</f>
        <v>D1284067</v>
      </c>
      <c r="E1033" s="9" t="str">
        <f t="array" ref="E1033">IFERROR(INDEX(data!H:H,match(Caseslist!B1033,data!D:D,0)), "INC")</f>
        <v>Mariel Del Rio</v>
      </c>
      <c r="F1033" s="10" t="str">
        <f t="array" ref="F1033">IF(
    OR(
      IFNA(INDEX(data!M:M, MATCH(Caseslist!B1033, data!D:D, 0)), "") = "",
      IFNA(INDEX(data!M:M, MATCH(Caseslist!B1033, data!D:D, 0)), 0) = 0
    ),
    "COMPLETE",
    IF(
      IFNA(INDEX(dataICM!D:D, MATCH(Caseslist!B1033, dataICM!D:D, 0)), "INC") = "INC",
      IFNA(INDEX(dataICM!D:D, MATCH(Caseslist!B1033, dataICM!D:D, 0)), "INC"),
      "COMPLETE"
    )
  )</f>
        <v>COMPLETE</v>
      </c>
      <c r="G1033" s="10" t="str">
        <f t="array" ref="G1033">IF(IFERROR(INDEX(data!L:L,match(Caseslist!B1033,data!D:D,0)),"INC")="","COMPLETE",F1033)</f>
        <v>COMPLETE</v>
      </c>
      <c r="H1033" s="9" t="str">
        <f t="array" ref="H1033">IFERROR(INDEX(dataICM!F:F,match(Caseslist!B1033,dataICM!D:D,0)), "INC")</f>
        <v>Mariel Del Rio</v>
      </c>
      <c r="I1033" s="10" t="str">
        <f t="shared" si="2"/>
        <v>D1284067</v>
      </c>
      <c r="J1033" s="9" t="str">
        <f t="array" ref="J1033">IF(
  AND(
    IFERROR(MATCH(B1033, data!D:D, 0), 0) &gt; 0,
    IFERROR(INDEX(data!N:N, MATCH(B1033, data!D:D, 0)) = 1, FALSE)
  ),
  INDEX(data!C:C, MATCH(B1033, data!D:D, 0)),
  "INC"
)</f>
        <v>2025-09-18T11:57:04.170+08</v>
      </c>
      <c r="K1033" s="9" t="str">
        <f t="array" ref="K1033">IFERROR(INDEX(dataICM!C:C,match(Caseslist!B1033,dataICM!D:D,0)), "INC")</f>
        <v>2025-09-18T17:16:27.117+08</v>
      </c>
      <c r="L1033" s="10" t="str">
        <f t="array" ref="L1033">IF(AND(G1033="COMPLETE", OR(K1033="INC", ISBLANK(INDEX(data!O:O, ROW())))), J1033, K1033)</f>
        <v>2025-09-18T17:16:27.117+08</v>
      </c>
      <c r="M1033" s="2">
        <v>45918.0</v>
      </c>
      <c r="N1033" s="2">
        <f t="array" ref="N1033">IF(M1033&lt;&gt;"INC", INDEX(data!M:M, MATCH(B1033, data!D:D, 0)), "")</f>
        <v>2</v>
      </c>
      <c r="O1033" s="2">
        <f t="shared" si="3"/>
        <v>2</v>
      </c>
    </row>
    <row r="1034">
      <c r="A1034" s="2" t="str">
        <f t="shared" si="1"/>
        <v>H030031</v>
      </c>
      <c r="B1034" s="1" t="s">
        <v>7013</v>
      </c>
      <c r="C1034" s="9" t="str">
        <f t="array" ref="C1034">IF(
  AND(
    IFERROR(MATCH(Caseslist!B1034, data!D:D, 0), 0) &gt; 0,
    IFERROR(INDEX(data!N:N, MATCH(Caseslist!B1034, data!D:D, 0)) = 1, FALSE)
  ),
  "COMPLETE",
  "INC"
)</f>
        <v>COMPLETE</v>
      </c>
      <c r="D1034" s="9" t="str">
        <f t="array" ref="D1034">IFERROR(INDEX(data!$G:$G,match(Caseslist!B1034,data!$D:$D,0)), "INC")</f>
        <v>D1284067</v>
      </c>
      <c r="E1034" s="9" t="str">
        <f t="array" ref="E1034">IFERROR(INDEX(data!H:H,match(Caseslist!B1034,data!D:D,0)), "INC")</f>
        <v>Mariel Del Rio</v>
      </c>
      <c r="F1034" s="10" t="str">
        <f t="array" ref="F1034">IF(
    OR(
      IFNA(INDEX(data!M:M, MATCH(Caseslist!B1034, data!D:D, 0)), "") = "",
      IFNA(INDEX(data!M:M, MATCH(Caseslist!B1034, data!D:D, 0)), 0) = 0
    ),
    "COMPLETE",
    IF(
      IFNA(INDEX(dataICM!D:D, MATCH(Caseslist!B1034, dataICM!D:D, 0)), "INC") = "INC",
      IFNA(INDEX(dataICM!D:D, MATCH(Caseslist!B1034, dataICM!D:D, 0)), "INC"),
      "COMPLETE"
    )
  )</f>
        <v>COMPLETE</v>
      </c>
      <c r="G1034" s="10" t="str">
        <f t="array" ref="G1034">IF(IFERROR(INDEX(data!L:L,match(Caseslist!B1034,data!D:D,0)),"INC")="","COMPLETE",F1034)</f>
        <v>COMPLETE</v>
      </c>
      <c r="H1034" s="9" t="str">
        <f t="array" ref="H1034">IFERROR(INDEX(dataICM!F:F,match(Caseslist!B1034,dataICM!D:D,0)), "INC")</f>
        <v>Mariel Del Rio</v>
      </c>
      <c r="I1034" s="10" t="str">
        <f t="shared" si="2"/>
        <v>D1284067</v>
      </c>
      <c r="J1034" s="9" t="str">
        <f t="array" ref="J1034">IF(
  AND(
    IFERROR(MATCH(B1034, data!D:D, 0), 0) &gt; 0,
    IFERROR(INDEX(data!N:N, MATCH(B1034, data!D:D, 0)) = 1, FALSE)
  ),
  INDEX(data!C:C, MATCH(B1034, data!D:D, 0)),
  "INC"
)</f>
        <v>2025-09-18T10:08:15.281+08</v>
      </c>
      <c r="K1034" s="9" t="str">
        <f t="array" ref="K1034">IFERROR(INDEX(dataICM!C:C,match(Caseslist!B1034,dataICM!D:D,0)), "INC")</f>
        <v>2025-09-18T17:07:25.542+08</v>
      </c>
      <c r="L1034" s="10" t="str">
        <f t="array" ref="L1034">IF(AND(G1034="COMPLETE", OR(K1034="INC", ISBLANK(INDEX(data!O:O, ROW())))), J1034, K1034)</f>
        <v>2025-09-18T17:07:25.542+08</v>
      </c>
      <c r="M1034" s="2">
        <v>45918.0</v>
      </c>
      <c r="N1034" s="2">
        <f t="array" ref="N1034">IF(M1034&lt;&gt;"INC", INDEX(data!M:M, MATCH(B1034, data!D:D, 0)), "")</f>
        <v>2</v>
      </c>
      <c r="O1034" s="2">
        <f t="shared" si="3"/>
        <v>2</v>
      </c>
    </row>
    <row r="1035">
      <c r="A1035" s="2" t="str">
        <f t="shared" si="1"/>
        <v>H030031</v>
      </c>
      <c r="B1035" s="1" t="s">
        <v>6913</v>
      </c>
      <c r="C1035" s="9" t="str">
        <f t="array" ref="C1035">IF(
  AND(
    IFERROR(MATCH(Caseslist!B1035, data!D:D, 0), 0) &gt; 0,
    IFERROR(INDEX(data!N:N, MATCH(Caseslist!B1035, data!D:D, 0)) = 1, FALSE)
  ),
  "COMPLETE",
  "INC"
)</f>
        <v>COMPLETE</v>
      </c>
      <c r="D1035" s="9" t="str">
        <f t="array" ref="D1035">IFERROR(INDEX(data!$G:$G,match(Caseslist!B1035,data!$D:$D,0)), "INC")</f>
        <v>C7502931</v>
      </c>
      <c r="E1035" s="9" t="str">
        <f t="array" ref="E1035">IFERROR(INDEX(data!H:H,match(Caseslist!B1035,data!D:D,0)), "INC")</f>
        <v>Jenny Lou Toles Estacio</v>
      </c>
      <c r="F1035" s="10" t="str">
        <f t="array" ref="F1035">IF(
    OR(
      IFNA(INDEX(data!M:M, MATCH(Caseslist!B1035, data!D:D, 0)), "") = "",
      IFNA(INDEX(data!M:M, MATCH(Caseslist!B1035, data!D:D, 0)), 0) = 0
    ),
    "COMPLETE",
    IF(
      IFNA(INDEX(dataICM!D:D, MATCH(Caseslist!B1035, dataICM!D:D, 0)), "INC") = "INC",
      IFNA(INDEX(dataICM!D:D, MATCH(Caseslist!B1035, dataICM!D:D, 0)), "INC"),
      "COMPLETE"
    )
  )</f>
        <v>COMPLETE</v>
      </c>
      <c r="G1035" s="10" t="str">
        <f t="array" ref="G1035">IF(IFERROR(INDEX(data!L:L,match(Caseslist!B1035,data!D:D,0)),"INC")="","COMPLETE",F1035)</f>
        <v>COMPLETE</v>
      </c>
      <c r="H1035" s="9" t="str">
        <f t="array" ref="H1035">IFERROR(INDEX(dataICM!F:F,match(Caseslist!B1035,dataICM!D:D,0)), "INC")</f>
        <v>Jenny Lou Toles Estacio</v>
      </c>
      <c r="I1035" s="10" t="str">
        <f t="shared" si="2"/>
        <v>C7502931</v>
      </c>
      <c r="J1035" s="9" t="str">
        <f t="array" ref="J1035">IF(
  AND(
    IFERROR(MATCH(B1035, data!D:D, 0), 0) &gt; 0,
    IFERROR(INDEX(data!N:N, MATCH(B1035, data!D:D, 0)) = 1, FALSE)
  ),
  INDEX(data!C:C, MATCH(B1035, data!D:D, 0)),
  "INC"
)</f>
        <v>2025-09-17T12:21:20.596+08</v>
      </c>
      <c r="K1035" s="9" t="str">
        <f t="array" ref="K1035">IFERROR(INDEX(dataICM!C:C,match(Caseslist!B1035,dataICM!D:D,0)), "INC")</f>
        <v>2025-09-17T16:17:55.759+08</v>
      </c>
      <c r="L1035" s="10" t="str">
        <f t="array" ref="L1035">IF(AND(G1035="COMPLETE", OR(K1035="INC", ISBLANK(INDEX(data!O:O, ROW())))), J1035, K1035)</f>
        <v>2025-09-17T16:17:55.759+08</v>
      </c>
      <c r="M1035" s="2">
        <v>45917.0</v>
      </c>
      <c r="N1035" s="2">
        <f t="array" ref="N1035">IF(M1035&lt;&gt;"INC", INDEX(data!M:M, MATCH(B1035, data!D:D, 0)), "")</f>
        <v>2</v>
      </c>
      <c r="O1035" s="2">
        <f t="shared" si="3"/>
        <v>2</v>
      </c>
    </row>
    <row r="1036">
      <c r="A1036" s="2" t="str">
        <f t="shared" si="1"/>
        <v>H030031</v>
      </c>
      <c r="B1036" s="1" t="s">
        <v>7023</v>
      </c>
      <c r="C1036" s="9" t="str">
        <f t="array" ref="C1036">IF(
  AND(
    IFERROR(MATCH(Caseslist!B1036, data!D:D, 0), 0) &gt; 0,
    IFERROR(INDEX(data!N:N, MATCH(Caseslist!B1036, data!D:D, 0)) = 1, FALSE)
  ),
  "COMPLETE",
  "INC"
)</f>
        <v>COMPLETE</v>
      </c>
      <c r="D1036" s="9">
        <f t="array" ref="D1036">IFERROR(INDEX(data!$G:$G,match(Caseslist!B1036,data!$D:$D,0)), "INC")</f>
        <v>896791</v>
      </c>
      <c r="E1036" s="9" t="str">
        <f t="array" ref="E1036">IFERROR(INDEX(data!H:H,match(Caseslist!B1036,data!D:D,0)), "INC")</f>
        <v>Roland A. Bandiola jr_2</v>
      </c>
      <c r="F1036" s="10" t="str">
        <f t="array" ref="F1036">IF(
    OR(
      IFNA(INDEX(data!M:M, MATCH(Caseslist!B1036, data!D:D, 0)), "") = "",
      IFNA(INDEX(data!M:M, MATCH(Caseslist!B1036, data!D:D, 0)), 0) = 0
    ),
    "COMPLETE",
    IF(
      IFNA(INDEX(dataICM!D:D, MATCH(Caseslist!B1036, dataICM!D:D, 0)), "INC") = "INC",
      IFNA(INDEX(dataICM!D:D, MATCH(Caseslist!B1036, dataICM!D:D, 0)), "INC"),
      "COMPLETE"
    )
  )</f>
        <v>COMPLETE</v>
      </c>
      <c r="G1036" s="10" t="str">
        <f t="array" ref="G1036">IF(IFERROR(INDEX(data!L:L,match(Caseslist!B1036,data!D:D,0)),"INC")="","COMPLETE",F1036)</f>
        <v>COMPLETE</v>
      </c>
      <c r="H1036" s="9" t="str">
        <f t="array" ref="H1036">IFERROR(INDEX(dataICM!F:F,match(Caseslist!B1036,dataICM!D:D,0)), "INC")</f>
        <v>Roland A. Bandiola jr_2</v>
      </c>
      <c r="I1036" s="10">
        <f t="shared" si="2"/>
        <v>896791</v>
      </c>
      <c r="J1036" s="9" t="str">
        <f t="array" ref="J1036">IF(
  AND(
    IFERROR(MATCH(B1036, data!D:D, 0), 0) &gt; 0,
    IFERROR(INDEX(data!N:N, MATCH(B1036, data!D:D, 0)) = 1, FALSE)
  ),
  INDEX(data!C:C, MATCH(B1036, data!D:D, 0)),
  "INC"
)</f>
        <v>2025-09-18T11:25:16.318+08</v>
      </c>
      <c r="K1036" s="9" t="str">
        <f t="array" ref="K1036">IFERROR(INDEX(dataICM!C:C,match(Caseslist!B1036,dataICM!D:D,0)), "INC")</f>
        <v>2025-09-18T15:22:02.509+08</v>
      </c>
      <c r="L1036" s="10" t="str">
        <f t="array" ref="L1036">IF(AND(G1036="COMPLETE", OR(K1036="INC", ISBLANK(INDEX(data!O:O, ROW())))), J1036, K1036)</f>
        <v>2025-09-18T15:22:02.509+08</v>
      </c>
      <c r="M1036" s="2">
        <v>45918.0</v>
      </c>
      <c r="N1036" s="2">
        <f t="array" ref="N1036">IF(M1036&lt;&gt;"INC", INDEX(data!M:M, MATCH(B1036, data!D:D, 0)), "")</f>
        <v>2</v>
      </c>
      <c r="O1036" s="2">
        <f t="shared" si="3"/>
        <v>2</v>
      </c>
    </row>
    <row r="1037">
      <c r="A1037" s="2" t="str">
        <f t="shared" si="1"/>
        <v>H030031</v>
      </c>
      <c r="B1037" s="1" t="s">
        <v>6928</v>
      </c>
      <c r="C1037" s="9" t="str">
        <f t="array" ref="C1037">IF(
  AND(
    IFERROR(MATCH(Caseslist!B1037, data!D:D, 0), 0) &gt; 0,
    IFERROR(INDEX(data!N:N, MATCH(Caseslist!B1037, data!D:D, 0)) = 1, FALSE)
  ),
  "COMPLETE",
  "INC"
)</f>
        <v>COMPLETE</v>
      </c>
      <c r="D1037" s="9">
        <f t="array" ref="D1037">IFERROR(INDEX(data!$G:$G,match(Caseslist!B1037,data!$D:$D,0)), "INC")</f>
        <v>896791</v>
      </c>
      <c r="E1037" s="9" t="str">
        <f t="array" ref="E1037">IFERROR(INDEX(data!H:H,match(Caseslist!B1037,data!D:D,0)), "INC")</f>
        <v>Roland A. Bandiola jr_2</v>
      </c>
      <c r="F1037" s="10" t="str">
        <f t="array" ref="F1037">IF(
    OR(
      IFNA(INDEX(data!M:M, MATCH(Caseslist!B1037, data!D:D, 0)), "") = "",
      IFNA(INDEX(data!M:M, MATCH(Caseslist!B1037, data!D:D, 0)), 0) = 0
    ),
    "COMPLETE",
    IF(
      IFNA(INDEX(dataICM!D:D, MATCH(Caseslist!B1037, dataICM!D:D, 0)), "INC") = "INC",
      IFNA(INDEX(dataICM!D:D, MATCH(Caseslist!B1037, dataICM!D:D, 0)), "INC"),
      "COMPLETE"
    )
  )</f>
        <v>COMPLETE</v>
      </c>
      <c r="G1037" s="10" t="str">
        <f t="array" ref="G1037">IF(IFERROR(INDEX(data!L:L,match(Caseslist!B1037,data!D:D,0)),"INC")="","COMPLETE",F1037)</f>
        <v>COMPLETE</v>
      </c>
      <c r="H1037" s="9" t="str">
        <f t="array" ref="H1037">IFERROR(INDEX(dataICM!F:F,match(Caseslist!B1037,dataICM!D:D,0)), "INC")</f>
        <v>Roland A. Bandiola jr_2</v>
      </c>
      <c r="I1037" s="10">
        <f t="shared" si="2"/>
        <v>896791</v>
      </c>
      <c r="J1037" s="9" t="str">
        <f t="array" ref="J1037">IF(
  AND(
    IFERROR(MATCH(B1037, data!D:D, 0), 0) &gt; 0,
    IFERROR(INDEX(data!N:N, MATCH(B1037, data!D:D, 0)) = 1, FALSE)
  ),
  INDEX(data!C:C, MATCH(B1037, data!D:D, 0)),
  "INC"
)</f>
        <v>2025-09-18T10:31:55.175+08</v>
      </c>
      <c r="K1037" s="9" t="str">
        <f t="array" ref="K1037">IFERROR(INDEX(dataICM!C:C,match(Caseslist!B1037,dataICM!D:D,0)), "INC")</f>
        <v>2025-09-18T15:21:32.392+08</v>
      </c>
      <c r="L1037" s="10" t="str">
        <f t="array" ref="L1037">IF(AND(G1037="COMPLETE", OR(K1037="INC", ISBLANK(INDEX(data!O:O, ROW())))), J1037, K1037)</f>
        <v>2025-09-18T15:21:32.392+08</v>
      </c>
      <c r="M1037" s="2">
        <v>45918.0</v>
      </c>
      <c r="N1037" s="2">
        <f t="array" ref="N1037">IF(M1037&lt;&gt;"INC", INDEX(data!M:M, MATCH(B1037, data!D:D, 0)), "")</f>
        <v>2</v>
      </c>
      <c r="O1037" s="2">
        <f t="shared" si="3"/>
        <v>2</v>
      </c>
    </row>
    <row r="1038">
      <c r="A1038" s="2" t="str">
        <f t="shared" si="1"/>
        <v>H030031</v>
      </c>
      <c r="B1038" s="1" t="s">
        <v>7008</v>
      </c>
      <c r="C1038" s="9" t="str">
        <f t="array" ref="C1038">IF(
  AND(
    IFERROR(MATCH(Caseslist!B1038, data!D:D, 0), 0) &gt; 0,
    IFERROR(INDEX(data!N:N, MATCH(Caseslist!B1038, data!D:D, 0)) = 1, FALSE)
  ),
  "COMPLETE",
  "INC"
)</f>
        <v>COMPLETE</v>
      </c>
      <c r="D1038" s="9" t="str">
        <f t="array" ref="D1038">IFERROR(INDEX(data!$G:$G,match(Caseslist!B1038,data!$D:$D,0)), "INC")</f>
        <v>B8193462</v>
      </c>
      <c r="E1038" s="9" t="str">
        <f t="array" ref="E1038">IFERROR(INDEX(data!H:H,match(Caseslist!B1038,data!D:D,0)), "INC")</f>
        <v>Mark Lorens Mendoza Gilongo</v>
      </c>
      <c r="F1038" s="10" t="str">
        <f t="array" ref="F1038">IF(
    OR(
      IFNA(INDEX(data!M:M, MATCH(Caseslist!B1038, data!D:D, 0)), "") = "",
      IFNA(INDEX(data!M:M, MATCH(Caseslist!B1038, data!D:D, 0)), 0) = 0
    ),
    "COMPLETE",
    IF(
      IFNA(INDEX(dataICM!D:D, MATCH(Caseslist!B1038, dataICM!D:D, 0)), "INC") = "INC",
      IFNA(INDEX(dataICM!D:D, MATCH(Caseslist!B1038, dataICM!D:D, 0)), "INC"),
      "COMPLETE"
    )
  )</f>
        <v>COMPLETE</v>
      </c>
      <c r="G1038" s="10" t="str">
        <f t="array" ref="G1038">IF(IFERROR(INDEX(data!L:L,match(Caseslist!B1038,data!D:D,0)),"INC")="","COMPLETE",F1038)</f>
        <v>COMPLETE</v>
      </c>
      <c r="H1038" s="9" t="str">
        <f t="array" ref="H1038">IFERROR(INDEX(dataICM!F:F,match(Caseslist!B1038,dataICM!D:D,0)), "INC")</f>
        <v>Mark Lorens Mendoza Gilongo</v>
      </c>
      <c r="I1038" s="10" t="str">
        <f t="shared" si="2"/>
        <v>B8193462</v>
      </c>
      <c r="J1038" s="9" t="str">
        <f t="array" ref="J1038">IF(
  AND(
    IFERROR(MATCH(B1038, data!D:D, 0), 0) &gt; 0,
    IFERROR(INDEX(data!N:N, MATCH(B1038, data!D:D, 0)) = 1, FALSE)
  ),
  INDEX(data!C:C, MATCH(B1038, data!D:D, 0)),
  "INC"
)</f>
        <v>2025-09-17T12:00:10.159+08</v>
      </c>
      <c r="K1038" s="9" t="str">
        <f t="array" ref="K1038">IFERROR(INDEX(dataICM!C:C,match(Caseslist!B1038,dataICM!D:D,0)), "INC")</f>
        <v>2025-09-17T15:31:10.826+08</v>
      </c>
      <c r="L1038" s="10" t="str">
        <f t="array" ref="L1038">IF(AND(G1038="COMPLETE", OR(K1038="INC", ISBLANK(INDEX(data!O:O, ROW())))), J1038, K1038)</f>
        <v>2025-09-17T15:31:10.826+08</v>
      </c>
      <c r="M1038" s="2">
        <v>45917.0</v>
      </c>
      <c r="N1038" s="2">
        <f t="array" ref="N1038">IF(M1038&lt;&gt;"INC", INDEX(data!M:M, MATCH(B1038, data!D:D, 0)), "")</f>
        <v>2</v>
      </c>
      <c r="O1038" s="2">
        <f t="shared" si="3"/>
        <v>2</v>
      </c>
    </row>
    <row r="1039">
      <c r="A1039" s="2" t="str">
        <f t="shared" si="1"/>
        <v>H030048</v>
      </c>
      <c r="B1039" s="1" t="s">
        <v>1858</v>
      </c>
      <c r="C1039" s="9" t="str">
        <f t="array" ref="C1039">IF(
  AND(
    IFERROR(MATCH(Caseslist!B1039, data!D:D, 0), 0) &gt; 0,
    IFERROR(INDEX(data!N:N, MATCH(Caseslist!B1039, data!D:D, 0)) = 1, FALSE)
  ),
  "COMPLETE",
  "INC"
)</f>
        <v>COMPLETE</v>
      </c>
      <c r="D1039" s="9" t="str">
        <f t="array" ref="D1039">IFERROR(INDEX(data!$G:$G,match(Caseslist!B1039,data!$D:$D,0)), "INC")</f>
        <v>H2846135</v>
      </c>
      <c r="E1039" s="9" t="str">
        <f t="array" ref="E1039">IFERROR(INDEX(data!H:H,match(Caseslist!B1039,data!D:D,0)), "INC")</f>
        <v>Annalou Empanado Encontro</v>
      </c>
      <c r="F1039" s="10" t="str">
        <f t="array" ref="F1039">IF(
    OR(
      IFNA(INDEX(data!M:M, MATCH(Caseslist!B1039, data!D:D, 0)), "") = "",
      IFNA(INDEX(data!M:M, MATCH(Caseslist!B1039, data!D:D, 0)), 0) = 0
    ),
    "COMPLETE",
    IF(
      IFNA(INDEX(dataICM!D:D, MATCH(Caseslist!B1039, dataICM!D:D, 0)), "INC") = "INC",
      IFNA(INDEX(dataICM!D:D, MATCH(Caseslist!B1039, dataICM!D:D, 0)), "INC"),
      "COMPLETE"
    )
  )</f>
        <v>COMPLETE</v>
      </c>
      <c r="G1039" s="10" t="str">
        <f t="array" ref="G1039">IF(IFERROR(INDEX(data!L:L,match(Caseslist!B1039,data!D:D,0)),"INC")="","COMPLETE",F1039)</f>
        <v>COMPLETE</v>
      </c>
      <c r="H1039" s="9" t="str">
        <f t="array" ref="H1039">IFERROR(INDEX(dataICM!F:F,match(Caseslist!B1039,dataICM!D:D,0)), "INC")</f>
        <v>INC</v>
      </c>
      <c r="I1039" s="10" t="str">
        <f t="shared" si="2"/>
        <v>H2846135</v>
      </c>
      <c r="J1039" s="9" t="str">
        <f t="array" ref="J1039">IF(
  AND(
    IFERROR(MATCH(B1039, data!D:D, 0), 0) &gt; 0,
    IFERROR(INDEX(data!N:N, MATCH(B1039, data!D:D, 0)) = 1, FALSE)
  ),
  INDEX(data!C:C, MATCH(B1039, data!D:D, 0)),
  "INC"
)</f>
        <v>2025-08-30T15:20:59.389+08</v>
      </c>
      <c r="K1039" s="9" t="str">
        <f t="array" ref="K1039">IFERROR(INDEX(dataICM!C:C,match(Caseslist!B1039,dataICM!D:D,0)), "INC")</f>
        <v>INC</v>
      </c>
      <c r="L1039" s="10" t="str">
        <f t="array" ref="L1039">IF(AND(G1039="COMPLETE", OR(K1039="INC", ISBLANK(INDEX(data!O:O, ROW())))), J1039, K1039)</f>
        <v>2025-08-30T15:20:59.389+08</v>
      </c>
      <c r="M1039" s="2">
        <v>45899.0</v>
      </c>
      <c r="N1039" s="2">
        <f t="array" ref="N1039">IF(M1039&lt;&gt;"INC", INDEX(data!M:M, MATCH(B1039, data!D:D, 0)), "")</f>
        <v>0</v>
      </c>
      <c r="O1039" s="2">
        <f t="shared" si="3"/>
        <v>0</v>
      </c>
    </row>
    <row r="1040">
      <c r="A1040" s="2" t="str">
        <f t="shared" si="1"/>
        <v>H030048</v>
      </c>
      <c r="B1040" s="1" t="s">
        <v>2144</v>
      </c>
      <c r="C1040" s="9" t="str">
        <f t="array" ref="C1040">IF(
  AND(
    IFERROR(MATCH(Caseslist!B1040, data!D:D, 0), 0) &gt; 0,
    IFERROR(INDEX(data!N:N, MATCH(Caseslist!B1040, data!D:D, 0)) = 1, FALSE)
  ),
  "COMPLETE",
  "INC"
)</f>
        <v>COMPLETE</v>
      </c>
      <c r="D1040" s="9" t="str">
        <f t="array" ref="D1040">IFERROR(INDEX(data!$G:$G,match(Caseslist!B1040,data!$D:$D,0)), "INC")</f>
        <v>H2846135</v>
      </c>
      <c r="E1040" s="9" t="str">
        <f t="array" ref="E1040">IFERROR(INDEX(data!H:H,match(Caseslist!B1040,data!D:D,0)), "INC")</f>
        <v>Annalou Empanado Encontro</v>
      </c>
      <c r="F1040" s="10" t="str">
        <f t="array" ref="F1040">IF(
    OR(
      IFNA(INDEX(data!M:M, MATCH(Caseslist!B1040, data!D:D, 0)), "") = "",
      IFNA(INDEX(data!M:M, MATCH(Caseslist!B1040, data!D:D, 0)), 0) = 0
    ),
    "COMPLETE",
    IF(
      IFNA(INDEX(dataICM!D:D, MATCH(Caseslist!B1040, dataICM!D:D, 0)), "INC") = "INC",
      IFNA(INDEX(dataICM!D:D, MATCH(Caseslist!B1040, dataICM!D:D, 0)), "INC"),
      "COMPLETE"
    )
  )</f>
        <v>COMPLETE</v>
      </c>
      <c r="G1040" s="10" t="str">
        <f t="array" ref="G1040">IF(IFERROR(INDEX(data!L:L,match(Caseslist!B1040,data!D:D,0)),"INC")="","COMPLETE",F1040)</f>
        <v>COMPLETE</v>
      </c>
      <c r="H1040" s="9" t="str">
        <f t="array" ref="H1040">IFERROR(INDEX(dataICM!F:F,match(Caseslist!B1040,dataICM!D:D,0)), "INC")</f>
        <v>INC</v>
      </c>
      <c r="I1040" s="10" t="str">
        <f t="shared" si="2"/>
        <v>H2846135</v>
      </c>
      <c r="J1040" s="9" t="str">
        <f t="array" ref="J1040">IF(
  AND(
    IFERROR(MATCH(B1040, data!D:D, 0), 0) &gt; 0,
    IFERROR(INDEX(data!N:N, MATCH(B1040, data!D:D, 0)) = 1, FALSE)
  ),
  INDEX(data!C:C, MATCH(B1040, data!D:D, 0)),
  "INC"
)</f>
        <v>2025-09-01T13:31:35.194+08</v>
      </c>
      <c r="K1040" s="9" t="str">
        <f t="array" ref="K1040">IFERROR(INDEX(dataICM!C:C,match(Caseslist!B1040,dataICM!D:D,0)), "INC")</f>
        <v>INC</v>
      </c>
      <c r="L1040" s="10" t="str">
        <f t="array" ref="L1040">IF(AND(G1040="COMPLETE", OR(K1040="INC", ISBLANK(INDEX(data!O:O, ROW())))), J1040, K1040)</f>
        <v>2025-09-01T13:31:35.194+08</v>
      </c>
      <c r="M1040" s="2">
        <v>45901.0</v>
      </c>
      <c r="N1040" s="2">
        <f t="array" ref="N1040">IF(M1040&lt;&gt;"INC", INDEX(data!M:M, MATCH(B1040, data!D:D, 0)), "")</f>
        <v>0</v>
      </c>
      <c r="O1040" s="2">
        <f t="shared" si="3"/>
        <v>0</v>
      </c>
    </row>
    <row r="1041">
      <c r="A1041" s="2" t="str">
        <f t="shared" si="1"/>
        <v>H030048</v>
      </c>
      <c r="B1041" s="1" t="s">
        <v>2164</v>
      </c>
      <c r="C1041" s="9" t="str">
        <f t="array" ref="C1041">IF(
  AND(
    IFERROR(MATCH(Caseslist!B1041, data!D:D, 0), 0) &gt; 0,
    IFERROR(INDEX(data!N:N, MATCH(Caseslist!B1041, data!D:D, 0)) = 1, FALSE)
  ),
  "COMPLETE",
  "INC"
)</f>
        <v>COMPLETE</v>
      </c>
      <c r="D1041" s="9" t="str">
        <f t="array" ref="D1041">IFERROR(INDEX(data!$G:$G,match(Caseslist!B1041,data!$D:$D,0)), "INC")</f>
        <v>G5472901</v>
      </c>
      <c r="E1041" s="9" t="str">
        <f t="array" ref="E1041">IFERROR(INDEX(data!H:H,match(Caseslist!B1041,data!D:D,0)), "INC")</f>
        <v>Wellyn Grace Alaban Parcia</v>
      </c>
      <c r="F1041" s="10" t="str">
        <f t="array" ref="F1041">IF(
    OR(
      IFNA(INDEX(data!M:M, MATCH(Caseslist!B1041, data!D:D, 0)), "") = "",
      IFNA(INDEX(data!M:M, MATCH(Caseslist!B1041, data!D:D, 0)), 0) = 0
    ),
    "COMPLETE",
    IF(
      IFNA(INDEX(dataICM!D:D, MATCH(Caseslist!B1041, dataICM!D:D, 0)), "INC") = "INC",
      IFNA(INDEX(dataICM!D:D, MATCH(Caseslist!B1041, dataICM!D:D, 0)), "INC"),
      "COMPLETE"
    )
  )</f>
        <v>COMPLETE</v>
      </c>
      <c r="G1041" s="10" t="str">
        <f t="array" ref="G1041">IF(IFERROR(INDEX(data!L:L,match(Caseslist!B1041,data!D:D,0)),"INC")="","COMPLETE",F1041)</f>
        <v>COMPLETE</v>
      </c>
      <c r="H1041" s="9" t="str">
        <f t="array" ref="H1041">IFERROR(INDEX(dataICM!F:F,match(Caseslist!B1041,dataICM!D:D,0)), "INC")</f>
        <v>INC</v>
      </c>
      <c r="I1041" s="10" t="str">
        <f t="shared" si="2"/>
        <v>G5472901</v>
      </c>
      <c r="J1041" s="9" t="str">
        <f t="array" ref="J1041">IF(
  AND(
    IFERROR(MATCH(B1041, data!D:D, 0), 0) &gt; 0,
    IFERROR(INDEX(data!N:N, MATCH(B1041, data!D:D, 0)) = 1, FALSE)
  ),
  INDEX(data!C:C, MATCH(B1041, data!D:D, 0)),
  "INC"
)</f>
        <v>2025-09-01T11:30:05.206+08</v>
      </c>
      <c r="K1041" s="9" t="str">
        <f t="array" ref="K1041">IFERROR(INDEX(dataICM!C:C,match(Caseslist!B1041,dataICM!D:D,0)), "INC")</f>
        <v>INC</v>
      </c>
      <c r="L1041" s="10" t="str">
        <f t="array" ref="L1041">IF(AND(G1041="COMPLETE", OR(K1041="INC", ISBLANK(INDEX(data!O:O, ROW())))), J1041, K1041)</f>
        <v>2025-09-01T11:30:05.206+08</v>
      </c>
      <c r="M1041" s="2">
        <v>45901.0</v>
      </c>
      <c r="N1041" s="2">
        <f t="array" ref="N1041">IF(M1041&lt;&gt;"INC", INDEX(data!M:M, MATCH(B1041, data!D:D, 0)), "")</f>
        <v>0</v>
      </c>
      <c r="O1041" s="2">
        <f t="shared" si="3"/>
        <v>0</v>
      </c>
    </row>
    <row r="1042">
      <c r="A1042" s="2" t="str">
        <f t="shared" si="1"/>
        <v>H030048</v>
      </c>
      <c r="B1042" s="1" t="s">
        <v>1868</v>
      </c>
      <c r="C1042" s="9" t="str">
        <f t="array" ref="C1042">IF(
  AND(
    IFERROR(MATCH(Caseslist!B1042, data!D:D, 0), 0) &gt; 0,
    IFERROR(INDEX(data!N:N, MATCH(Caseslist!B1042, data!D:D, 0)) = 1, FALSE)
  ),
  "COMPLETE",
  "INC"
)</f>
        <v>COMPLETE</v>
      </c>
      <c r="D1042" s="9" t="str">
        <f t="array" ref="D1042">IFERROR(INDEX(data!$G:$G,match(Caseslist!B1042,data!$D:$D,0)), "INC")</f>
        <v>H2846135</v>
      </c>
      <c r="E1042" s="9" t="str">
        <f t="array" ref="E1042">IFERROR(INDEX(data!H:H,match(Caseslist!B1042,data!D:D,0)), "INC")</f>
        <v>Annalou Empanado Encontro</v>
      </c>
      <c r="F1042" s="10" t="str">
        <f t="array" ref="F1042">IF(
    OR(
      IFNA(INDEX(data!M:M, MATCH(Caseslist!B1042, data!D:D, 0)), "") = "",
      IFNA(INDEX(data!M:M, MATCH(Caseslist!B1042, data!D:D, 0)), 0) = 0
    ),
    "COMPLETE",
    IF(
      IFNA(INDEX(dataICM!D:D, MATCH(Caseslist!B1042, dataICM!D:D, 0)), "INC") = "INC",
      IFNA(INDEX(dataICM!D:D, MATCH(Caseslist!B1042, dataICM!D:D, 0)), "INC"),
      "COMPLETE"
    )
  )</f>
        <v>COMPLETE</v>
      </c>
      <c r="G1042" s="10" t="str">
        <f t="array" ref="G1042">IF(IFERROR(INDEX(data!L:L,match(Caseslist!B1042,data!D:D,0)),"INC")="","COMPLETE",F1042)</f>
        <v>COMPLETE</v>
      </c>
      <c r="H1042" s="9" t="str">
        <f t="array" ref="H1042">IFERROR(INDEX(dataICM!F:F,match(Caseslist!B1042,dataICM!D:D,0)), "INC")</f>
        <v>INC</v>
      </c>
      <c r="I1042" s="10" t="str">
        <f t="shared" si="2"/>
        <v>H2846135</v>
      </c>
      <c r="J1042" s="9" t="str">
        <f t="array" ref="J1042">IF(
  AND(
    IFERROR(MATCH(B1042, data!D:D, 0), 0) &gt; 0,
    IFERROR(INDEX(data!N:N, MATCH(B1042, data!D:D, 0)) = 1, FALSE)
  ),
  INDEX(data!C:C, MATCH(B1042, data!D:D, 0)),
  "INC"
)</f>
        <v>2025-08-30T12:52:16.547+08</v>
      </c>
      <c r="K1042" s="9" t="str">
        <f t="array" ref="K1042">IFERROR(INDEX(dataICM!C:C,match(Caseslist!B1042,dataICM!D:D,0)), "INC")</f>
        <v>INC</v>
      </c>
      <c r="L1042" s="10" t="str">
        <f t="array" ref="L1042">IF(AND(G1042="COMPLETE", OR(K1042="INC", ISBLANK(INDEX(data!O:O, ROW())))), J1042, K1042)</f>
        <v>2025-08-30T12:52:16.547+08</v>
      </c>
      <c r="M1042" s="2">
        <v>45899.0</v>
      </c>
      <c r="N1042" s="2">
        <f t="array" ref="N1042">IF(M1042&lt;&gt;"INC", INDEX(data!M:M, MATCH(B1042, data!D:D, 0)), "")</f>
        <v>0</v>
      </c>
      <c r="O1042" s="2">
        <f t="shared" si="3"/>
        <v>0</v>
      </c>
    </row>
    <row r="1043">
      <c r="A1043" s="2" t="str">
        <f t="shared" si="1"/>
        <v>H030048</v>
      </c>
      <c r="B1043" s="1" t="s">
        <v>1963</v>
      </c>
      <c r="C1043" s="9" t="str">
        <f t="array" ref="C1043">IF(
  AND(
    IFERROR(MATCH(Caseslist!B1043, data!D:D, 0), 0) &gt; 0,
    IFERROR(INDEX(data!N:N, MATCH(Caseslist!B1043, data!D:D, 0)) = 1, FALSE)
  ),
  "COMPLETE",
  "INC"
)</f>
        <v>COMPLETE</v>
      </c>
      <c r="D1043" s="9" t="str">
        <f t="array" ref="D1043">IFERROR(INDEX(data!$G:$G,match(Caseslist!B1043,data!$D:$D,0)), "INC")</f>
        <v>G5472901</v>
      </c>
      <c r="E1043" s="9" t="str">
        <f t="array" ref="E1043">IFERROR(INDEX(data!H:H,match(Caseslist!B1043,data!D:D,0)), "INC")</f>
        <v>Wellyn Grace Alaban Parcia</v>
      </c>
      <c r="F1043" s="10" t="str">
        <f t="array" ref="F1043">IF(
    OR(
      IFNA(INDEX(data!M:M, MATCH(Caseslist!B1043, data!D:D, 0)), "") = "",
      IFNA(INDEX(data!M:M, MATCH(Caseslist!B1043, data!D:D, 0)), 0) = 0
    ),
    "COMPLETE",
    IF(
      IFNA(INDEX(dataICM!D:D, MATCH(Caseslist!B1043, dataICM!D:D, 0)), "INC") = "INC",
      IFNA(INDEX(dataICM!D:D, MATCH(Caseslist!B1043, dataICM!D:D, 0)), "INC"),
      "COMPLETE"
    )
  )</f>
        <v>COMPLETE</v>
      </c>
      <c r="G1043" s="10" t="str">
        <f t="array" ref="G1043">IF(IFERROR(INDEX(data!L:L,match(Caseslist!B1043,data!D:D,0)),"INC")="","COMPLETE",F1043)</f>
        <v>COMPLETE</v>
      </c>
      <c r="H1043" s="9" t="str">
        <f t="array" ref="H1043">IFERROR(INDEX(dataICM!F:F,match(Caseslist!B1043,dataICM!D:D,0)), "INC")</f>
        <v>INC</v>
      </c>
      <c r="I1043" s="10" t="str">
        <f t="shared" si="2"/>
        <v>G5472901</v>
      </c>
      <c r="J1043" s="9" t="str">
        <f t="array" ref="J1043">IF(
  AND(
    IFERROR(MATCH(B1043, data!D:D, 0), 0) &gt; 0,
    IFERROR(INDEX(data!N:N, MATCH(B1043, data!D:D, 0)) = 1, FALSE)
  ),
  INDEX(data!C:C, MATCH(B1043, data!D:D, 0)),
  "INC"
)</f>
        <v>2025-08-30T13:30:02.720+08</v>
      </c>
      <c r="K1043" s="9" t="str">
        <f t="array" ref="K1043">IFERROR(INDEX(dataICM!C:C,match(Caseslist!B1043,dataICM!D:D,0)), "INC")</f>
        <v>INC</v>
      </c>
      <c r="L1043" s="10" t="str">
        <f t="array" ref="L1043">IF(AND(G1043="COMPLETE", OR(K1043="INC", ISBLANK(INDEX(data!O:O, ROW())))), J1043, K1043)</f>
        <v>2025-08-30T13:30:02.720+08</v>
      </c>
      <c r="M1043" s="2">
        <v>45899.0</v>
      </c>
      <c r="N1043" s="2">
        <f t="array" ref="N1043">IF(M1043&lt;&gt;"INC", INDEX(data!M:M, MATCH(B1043, data!D:D, 0)), "")</f>
        <v>0</v>
      </c>
      <c r="O1043" s="2">
        <f t="shared" si="3"/>
        <v>0</v>
      </c>
    </row>
    <row r="1044">
      <c r="A1044" s="2" t="str">
        <f t="shared" si="1"/>
        <v>H030048</v>
      </c>
      <c r="B1044" s="1" t="s">
        <v>2149</v>
      </c>
      <c r="C1044" s="9" t="str">
        <f t="array" ref="C1044">IF(
  AND(
    IFERROR(MATCH(Caseslist!B1044, data!D:D, 0), 0) &gt; 0,
    IFERROR(INDEX(data!N:N, MATCH(Caseslist!B1044, data!D:D, 0)) = 1, FALSE)
  ),
  "COMPLETE",
  "INC"
)</f>
        <v>COMPLETE</v>
      </c>
      <c r="D1044" s="9" t="str">
        <f t="array" ref="D1044">IFERROR(INDEX(data!$G:$G,match(Caseslist!B1044,data!$D:$D,0)), "INC")</f>
        <v>H2846135</v>
      </c>
      <c r="E1044" s="9" t="str">
        <f t="array" ref="E1044">IFERROR(INDEX(data!H:H,match(Caseslist!B1044,data!D:D,0)), "INC")</f>
        <v>Annalou Empanado Encontro</v>
      </c>
      <c r="F1044" s="10" t="str">
        <f t="array" ref="F1044">IF(
    OR(
      IFNA(INDEX(data!M:M, MATCH(Caseslist!B1044, data!D:D, 0)), "") = "",
      IFNA(INDEX(data!M:M, MATCH(Caseslist!B1044, data!D:D, 0)), 0) = 0
    ),
    "COMPLETE",
    IF(
      IFNA(INDEX(dataICM!D:D, MATCH(Caseslist!B1044, dataICM!D:D, 0)), "INC") = "INC",
      IFNA(INDEX(dataICM!D:D, MATCH(Caseslist!B1044, dataICM!D:D, 0)), "INC"),
      "COMPLETE"
    )
  )</f>
        <v>COMPLETE</v>
      </c>
      <c r="G1044" s="10" t="str">
        <f t="array" ref="G1044">IF(IFERROR(INDEX(data!L:L,match(Caseslist!B1044,data!D:D,0)),"INC")="","COMPLETE",F1044)</f>
        <v>COMPLETE</v>
      </c>
      <c r="H1044" s="9" t="str">
        <f t="array" ref="H1044">IFERROR(INDEX(dataICM!F:F,match(Caseslist!B1044,dataICM!D:D,0)), "INC")</f>
        <v>INC</v>
      </c>
      <c r="I1044" s="10" t="str">
        <f t="shared" si="2"/>
        <v>H2846135</v>
      </c>
      <c r="J1044" s="9" t="str">
        <f t="array" ref="J1044">IF(
  AND(
    IFERROR(MATCH(B1044, data!D:D, 0), 0) &gt; 0,
    IFERROR(INDEX(data!N:N, MATCH(B1044, data!D:D, 0)) = 1, FALSE)
  ),
  INDEX(data!C:C, MATCH(B1044, data!D:D, 0)),
  "INC"
)</f>
        <v>2025-09-01T10:06:43.947+08</v>
      </c>
      <c r="K1044" s="9" t="str">
        <f t="array" ref="K1044">IFERROR(INDEX(dataICM!C:C,match(Caseslist!B1044,dataICM!D:D,0)), "INC")</f>
        <v>INC</v>
      </c>
      <c r="L1044" s="10" t="str">
        <f t="array" ref="L1044">IF(AND(G1044="COMPLETE", OR(K1044="INC", ISBLANK(INDEX(data!O:O, ROW())))), J1044, K1044)</f>
        <v>2025-09-01T10:06:43.947+08</v>
      </c>
      <c r="M1044" s="2">
        <v>45901.0</v>
      </c>
      <c r="N1044" s="2">
        <f t="array" ref="N1044">IF(M1044&lt;&gt;"INC", INDEX(data!M:M, MATCH(B1044, data!D:D, 0)), "")</f>
        <v>0</v>
      </c>
      <c r="O1044" s="2">
        <f t="shared" si="3"/>
        <v>0</v>
      </c>
    </row>
    <row r="1045">
      <c r="A1045" s="2" t="str">
        <f t="shared" si="1"/>
        <v>H030048</v>
      </c>
      <c r="B1045" s="1" t="s">
        <v>1958</v>
      </c>
      <c r="C1045" s="9" t="str">
        <f t="array" ref="C1045">IF(
  AND(
    IFERROR(MATCH(Caseslist!B1045, data!D:D, 0), 0) &gt; 0,
    IFERROR(INDEX(data!N:N, MATCH(Caseslist!B1045, data!D:D, 0)) = 1, FALSE)
  ),
  "COMPLETE",
  "INC"
)</f>
        <v>COMPLETE</v>
      </c>
      <c r="D1045" s="9" t="str">
        <f t="array" ref="D1045">IFERROR(INDEX(data!$G:$G,match(Caseslist!B1045,data!$D:$D,0)), "INC")</f>
        <v>G5472901</v>
      </c>
      <c r="E1045" s="9" t="str">
        <f t="array" ref="E1045">IFERROR(INDEX(data!H:H,match(Caseslist!B1045,data!D:D,0)), "INC")</f>
        <v>Wellyn Grace Alaban Parcia</v>
      </c>
      <c r="F1045" s="10" t="str">
        <f t="array" ref="F1045">IF(
    OR(
      IFNA(INDEX(data!M:M, MATCH(Caseslist!B1045, data!D:D, 0)), "") = "",
      IFNA(INDEX(data!M:M, MATCH(Caseslist!B1045, data!D:D, 0)), 0) = 0
    ),
    "COMPLETE",
    IF(
      IFNA(INDEX(dataICM!D:D, MATCH(Caseslist!B1045, dataICM!D:D, 0)), "INC") = "INC",
      IFNA(INDEX(dataICM!D:D, MATCH(Caseslist!B1045, dataICM!D:D, 0)), "INC"),
      "COMPLETE"
    )
  )</f>
        <v>COMPLETE</v>
      </c>
      <c r="G1045" s="10" t="str">
        <f t="array" ref="G1045">IF(IFERROR(INDEX(data!L:L,match(Caseslist!B1045,data!D:D,0)),"INC")="","COMPLETE",F1045)</f>
        <v>COMPLETE</v>
      </c>
      <c r="H1045" s="9" t="str">
        <f t="array" ref="H1045">IFERROR(INDEX(dataICM!F:F,match(Caseslist!B1045,dataICM!D:D,0)), "INC")</f>
        <v>INC</v>
      </c>
      <c r="I1045" s="10" t="str">
        <f t="shared" si="2"/>
        <v>G5472901</v>
      </c>
      <c r="J1045" s="9" t="str">
        <f t="array" ref="J1045">IF(
  AND(
    IFERROR(MATCH(B1045, data!D:D, 0), 0) &gt; 0,
    IFERROR(INDEX(data!N:N, MATCH(B1045, data!D:D, 0)) = 1, FALSE)
  ),
  INDEX(data!C:C, MATCH(B1045, data!D:D, 0)),
  "INC"
)</f>
        <v>2025-08-30T10:43:17.762+08</v>
      </c>
      <c r="K1045" s="9" t="str">
        <f t="array" ref="K1045">IFERROR(INDEX(dataICM!C:C,match(Caseslist!B1045,dataICM!D:D,0)), "INC")</f>
        <v>INC</v>
      </c>
      <c r="L1045" s="10" t="str">
        <f t="array" ref="L1045">IF(AND(G1045="COMPLETE", OR(K1045="INC", ISBLANK(INDEX(data!O:O, ROW())))), J1045, K1045)</f>
        <v>2025-08-30T10:43:17.762+08</v>
      </c>
      <c r="M1045" s="2">
        <v>45899.0</v>
      </c>
      <c r="N1045" s="2">
        <f t="array" ref="N1045">IF(M1045&lt;&gt;"INC", INDEX(data!M:M, MATCH(B1045, data!D:D, 0)), "")</f>
        <v>0</v>
      </c>
      <c r="O1045" s="2">
        <f t="shared" si="3"/>
        <v>0</v>
      </c>
    </row>
    <row r="1046">
      <c r="A1046" s="2" t="str">
        <f t="shared" si="1"/>
        <v>H030048</v>
      </c>
      <c r="B1046" s="1" t="s">
        <v>2154</v>
      </c>
      <c r="C1046" s="9" t="str">
        <f t="array" ref="C1046">IF(
  AND(
    IFERROR(MATCH(Caseslist!B1046, data!D:D, 0), 0) &gt; 0,
    IFERROR(INDEX(data!N:N, MATCH(Caseslist!B1046, data!D:D, 0)) = 1, FALSE)
  ),
  "COMPLETE",
  "INC"
)</f>
        <v>COMPLETE</v>
      </c>
      <c r="D1046" s="9" t="str">
        <f t="array" ref="D1046">IFERROR(INDEX(data!$G:$G,match(Caseslist!B1046,data!$D:$D,0)), "INC")</f>
        <v>G5472901</v>
      </c>
      <c r="E1046" s="9" t="str">
        <f t="array" ref="E1046">IFERROR(INDEX(data!H:H,match(Caseslist!B1046,data!D:D,0)), "INC")</f>
        <v>Wellyn Grace Alaban Parcia</v>
      </c>
      <c r="F1046" s="10" t="str">
        <f t="array" ref="F1046">IF(
    OR(
      IFNA(INDEX(data!M:M, MATCH(Caseslist!B1046, data!D:D, 0)), "") = "",
      IFNA(INDEX(data!M:M, MATCH(Caseslist!B1046, data!D:D, 0)), 0) = 0
    ),
    "COMPLETE",
    IF(
      IFNA(INDEX(dataICM!D:D, MATCH(Caseslist!B1046, dataICM!D:D, 0)), "INC") = "INC",
      IFNA(INDEX(dataICM!D:D, MATCH(Caseslist!B1046, dataICM!D:D, 0)), "INC"),
      "COMPLETE"
    )
  )</f>
        <v>COMPLETE</v>
      </c>
      <c r="G1046" s="10" t="str">
        <f t="array" ref="G1046">IF(IFERROR(INDEX(data!L:L,match(Caseslist!B1046,data!D:D,0)),"INC")="","COMPLETE",F1046)</f>
        <v>COMPLETE</v>
      </c>
      <c r="H1046" s="9" t="str">
        <f t="array" ref="H1046">IFERROR(INDEX(dataICM!F:F,match(Caseslist!B1046,dataICM!D:D,0)), "INC")</f>
        <v>INC</v>
      </c>
      <c r="I1046" s="10" t="str">
        <f t="shared" si="2"/>
        <v>G5472901</v>
      </c>
      <c r="J1046" s="9" t="str">
        <f t="array" ref="J1046">IF(
  AND(
    IFERROR(MATCH(B1046, data!D:D, 0), 0) &gt; 0,
    IFERROR(INDEX(data!N:N, MATCH(B1046, data!D:D, 0)) = 1, FALSE)
  ),
  INDEX(data!C:C, MATCH(B1046, data!D:D, 0)),
  "INC"
)</f>
        <v>2025-09-01T10:12:12.431+08</v>
      </c>
      <c r="K1046" s="9" t="str">
        <f t="array" ref="K1046">IFERROR(INDEX(dataICM!C:C,match(Caseslist!B1046,dataICM!D:D,0)), "INC")</f>
        <v>INC</v>
      </c>
      <c r="L1046" s="10" t="str">
        <f t="array" ref="L1046">IF(AND(G1046="COMPLETE", OR(K1046="INC", ISBLANK(INDEX(data!O:O, ROW())))), J1046, K1046)</f>
        <v>2025-09-01T10:12:12.431+08</v>
      </c>
      <c r="M1046" s="2">
        <v>45901.0</v>
      </c>
      <c r="N1046" s="2">
        <f t="array" ref="N1046">IF(M1046&lt;&gt;"INC", INDEX(data!M:M, MATCH(B1046, data!D:D, 0)), "")</f>
        <v>0</v>
      </c>
      <c r="O1046" s="2">
        <f t="shared" si="3"/>
        <v>0</v>
      </c>
    </row>
    <row r="1047">
      <c r="A1047" s="2" t="str">
        <f t="shared" si="1"/>
        <v>H030048</v>
      </c>
      <c r="B1047" s="1" t="s">
        <v>1853</v>
      </c>
      <c r="C1047" s="9" t="str">
        <f t="array" ref="C1047">IF(
  AND(
    IFERROR(MATCH(Caseslist!B1047, data!D:D, 0), 0) &gt; 0,
    IFERROR(INDEX(data!N:N, MATCH(Caseslist!B1047, data!D:D, 0)) = 1, FALSE)
  ),
  "COMPLETE",
  "INC"
)</f>
        <v>COMPLETE</v>
      </c>
      <c r="D1047" s="9" t="str">
        <f t="array" ref="D1047">IFERROR(INDEX(data!$G:$G,match(Caseslist!B1047,data!$D:$D,0)), "INC")</f>
        <v>H2846135</v>
      </c>
      <c r="E1047" s="9" t="str">
        <f t="array" ref="E1047">IFERROR(INDEX(data!H:H,match(Caseslist!B1047,data!D:D,0)), "INC")</f>
        <v>Annalou Empanado Encontro</v>
      </c>
      <c r="F1047" s="10" t="str">
        <f t="array" ref="F1047">IF(
    OR(
      IFNA(INDEX(data!M:M, MATCH(Caseslist!B1047, data!D:D, 0)), "") = "",
      IFNA(INDEX(data!M:M, MATCH(Caseslist!B1047, data!D:D, 0)), 0) = 0
    ),
    "COMPLETE",
    IF(
      IFNA(INDEX(dataICM!D:D, MATCH(Caseslist!B1047, dataICM!D:D, 0)), "INC") = "INC",
      IFNA(INDEX(dataICM!D:D, MATCH(Caseslist!B1047, dataICM!D:D, 0)), "INC"),
      "COMPLETE"
    )
  )</f>
        <v>COMPLETE</v>
      </c>
      <c r="G1047" s="10" t="str">
        <f t="array" ref="G1047">IF(IFERROR(INDEX(data!L:L,match(Caseslist!B1047,data!D:D,0)),"INC")="","COMPLETE",F1047)</f>
        <v>COMPLETE</v>
      </c>
      <c r="H1047" s="9" t="str">
        <f t="array" ref="H1047">IFERROR(INDEX(dataICM!F:F,match(Caseslist!B1047,dataICM!D:D,0)), "INC")</f>
        <v>INC</v>
      </c>
      <c r="I1047" s="10" t="str">
        <f t="shared" si="2"/>
        <v>H2846135</v>
      </c>
      <c r="J1047" s="9" t="str">
        <f t="array" ref="J1047">IF(
  AND(
    IFERROR(MATCH(B1047, data!D:D, 0), 0) &gt; 0,
    IFERROR(INDEX(data!N:N, MATCH(B1047, data!D:D, 0)) = 1, FALSE)
  ),
  INDEX(data!C:C, MATCH(B1047, data!D:D, 0)),
  "INC"
)</f>
        <v>2025-08-30T11:45:47.892+08</v>
      </c>
      <c r="K1047" s="9" t="str">
        <f t="array" ref="K1047">IFERROR(INDEX(dataICM!C:C,match(Caseslist!B1047,dataICM!D:D,0)), "INC")</f>
        <v>INC</v>
      </c>
      <c r="L1047" s="10" t="str">
        <f t="array" ref="L1047">IF(AND(G1047="COMPLETE", OR(K1047="INC", ISBLANK(INDEX(data!O:O, ROW())))), J1047, K1047)</f>
        <v>2025-08-30T11:45:47.892+08</v>
      </c>
      <c r="M1047" s="2">
        <v>45899.0</v>
      </c>
      <c r="N1047" s="2">
        <f t="array" ref="N1047">IF(M1047&lt;&gt;"INC", INDEX(data!M:M, MATCH(B1047, data!D:D, 0)), "")</f>
        <v>0</v>
      </c>
      <c r="O1047" s="2">
        <f t="shared" si="3"/>
        <v>0</v>
      </c>
    </row>
    <row r="1048">
      <c r="A1048" s="2" t="str">
        <f t="shared" si="1"/>
        <v>H030048</v>
      </c>
      <c r="B1048" s="1" t="s">
        <v>1968</v>
      </c>
      <c r="C1048" s="9" t="str">
        <f t="array" ref="C1048">IF(
  AND(
    IFERROR(MATCH(Caseslist!B1048, data!D:D, 0), 0) &gt; 0,
    IFERROR(INDEX(data!N:N, MATCH(Caseslist!B1048, data!D:D, 0)) = 1, FALSE)
  ),
  "COMPLETE",
  "INC"
)</f>
        <v>COMPLETE</v>
      </c>
      <c r="D1048" s="9" t="str">
        <f t="array" ref="D1048">IFERROR(INDEX(data!$G:$G,match(Caseslist!B1048,data!$D:$D,0)), "INC")</f>
        <v>G5472901</v>
      </c>
      <c r="E1048" s="9" t="str">
        <f t="array" ref="E1048">IFERROR(INDEX(data!H:H,match(Caseslist!B1048,data!D:D,0)), "INC")</f>
        <v>Wellyn Grace Alaban Parcia</v>
      </c>
      <c r="F1048" s="10" t="str">
        <f t="array" ref="F1048">IF(
    OR(
      IFNA(INDEX(data!M:M, MATCH(Caseslist!B1048, data!D:D, 0)), "") = "",
      IFNA(INDEX(data!M:M, MATCH(Caseslist!B1048, data!D:D, 0)), 0) = 0
    ),
    "COMPLETE",
    IF(
      IFNA(INDEX(dataICM!D:D, MATCH(Caseslist!B1048, dataICM!D:D, 0)), "INC") = "INC",
      IFNA(INDEX(dataICM!D:D, MATCH(Caseslist!B1048, dataICM!D:D, 0)), "INC"),
      "COMPLETE"
    )
  )</f>
        <v>COMPLETE</v>
      </c>
      <c r="G1048" s="10" t="str">
        <f t="array" ref="G1048">IF(IFERROR(INDEX(data!L:L,match(Caseslist!B1048,data!D:D,0)),"INC")="","COMPLETE",F1048)</f>
        <v>COMPLETE</v>
      </c>
      <c r="H1048" s="9" t="str">
        <f t="array" ref="H1048">IFERROR(INDEX(dataICM!F:F,match(Caseslist!B1048,dataICM!D:D,0)), "INC")</f>
        <v>INC</v>
      </c>
      <c r="I1048" s="10" t="str">
        <f t="shared" si="2"/>
        <v>G5472901</v>
      </c>
      <c r="J1048" s="9" t="str">
        <f t="array" ref="J1048">IF(
  AND(
    IFERROR(MATCH(B1048, data!D:D, 0), 0) &gt; 0,
    IFERROR(INDEX(data!N:N, MATCH(B1048, data!D:D, 0)) = 1, FALSE)
  ),
  INDEX(data!C:C, MATCH(B1048, data!D:D, 0)),
  "INC"
)</f>
        <v>2025-10-03T12:34:19.837+08</v>
      </c>
      <c r="K1048" s="9" t="str">
        <f t="array" ref="K1048">IFERROR(INDEX(dataICM!C:C,match(Caseslist!B1048,dataICM!D:D,0)), "INC")</f>
        <v>INC</v>
      </c>
      <c r="L1048" s="10" t="str">
        <f t="array" ref="L1048">IF(AND(G1048="COMPLETE", OR(K1048="INC", ISBLANK(INDEX(data!O:O, ROW())))), J1048, K1048)</f>
        <v>2025-10-03T12:34:19.837+08</v>
      </c>
      <c r="M1048" s="2">
        <v>45933.0</v>
      </c>
      <c r="N1048" s="2">
        <f t="array" ref="N1048">IF(M1048&lt;&gt;"INC", INDEX(data!M:M, MATCH(B1048, data!D:D, 0)), "")</f>
        <v>0</v>
      </c>
      <c r="O1048" s="2">
        <f t="shared" si="3"/>
        <v>0</v>
      </c>
    </row>
    <row r="1049">
      <c r="A1049" s="2" t="str">
        <f t="shared" si="1"/>
        <v>H030048</v>
      </c>
      <c r="B1049" s="1" t="s">
        <v>1873</v>
      </c>
      <c r="C1049" s="9" t="str">
        <f t="array" ref="C1049">IF(
  AND(
    IFERROR(MATCH(Caseslist!B1049, data!D:D, 0), 0) &gt; 0,
    IFERROR(INDEX(data!N:N, MATCH(Caseslist!B1049, data!D:D, 0)) = 1, FALSE)
  ),
  "COMPLETE",
  "INC"
)</f>
        <v>COMPLETE</v>
      </c>
      <c r="D1049" s="9" t="str">
        <f t="array" ref="D1049">IFERROR(INDEX(data!$G:$G,match(Caseslist!B1049,data!$D:$D,0)), "INC")</f>
        <v>H2846135</v>
      </c>
      <c r="E1049" s="9" t="str">
        <f t="array" ref="E1049">IFERROR(INDEX(data!H:H,match(Caseslist!B1049,data!D:D,0)), "INC")</f>
        <v>Annalou Empanado Encontro</v>
      </c>
      <c r="F1049" s="10" t="str">
        <f t="array" ref="F1049">IF(
    OR(
      IFNA(INDEX(data!M:M, MATCH(Caseslist!B1049, data!D:D, 0)), "") = "",
      IFNA(INDEX(data!M:M, MATCH(Caseslist!B1049, data!D:D, 0)), 0) = 0
    ),
    "COMPLETE",
    IF(
      IFNA(INDEX(dataICM!D:D, MATCH(Caseslist!B1049, dataICM!D:D, 0)), "INC") = "INC",
      IFNA(INDEX(dataICM!D:D, MATCH(Caseslist!B1049, dataICM!D:D, 0)), "INC"),
      "COMPLETE"
    )
  )</f>
        <v>COMPLETE</v>
      </c>
      <c r="G1049" s="10" t="str">
        <f t="array" ref="G1049">IF(IFERROR(INDEX(data!L:L,match(Caseslist!B1049,data!D:D,0)),"INC")="","COMPLETE",F1049)</f>
        <v>COMPLETE</v>
      </c>
      <c r="H1049" s="9" t="str">
        <f t="array" ref="H1049">IFERROR(INDEX(dataICM!F:F,match(Caseslist!B1049,dataICM!D:D,0)), "INC")</f>
        <v>INC</v>
      </c>
      <c r="I1049" s="10" t="str">
        <f t="shared" si="2"/>
        <v>H2846135</v>
      </c>
      <c r="J1049" s="9" t="str">
        <f t="array" ref="J1049">IF(
  AND(
    IFERROR(MATCH(B1049, data!D:D, 0), 0) &gt; 0,
    IFERROR(INDEX(data!N:N, MATCH(B1049, data!D:D, 0)) = 1, FALSE)
  ),
  INDEX(data!C:C, MATCH(B1049, data!D:D, 0)),
  "INC"
)</f>
        <v>2025-08-30T10:49:15.513+08</v>
      </c>
      <c r="K1049" s="9" t="str">
        <f t="array" ref="K1049">IFERROR(INDEX(dataICM!C:C,match(Caseslist!B1049,dataICM!D:D,0)), "INC")</f>
        <v>INC</v>
      </c>
      <c r="L1049" s="10" t="str">
        <f t="array" ref="L1049">IF(AND(G1049="COMPLETE", OR(K1049="INC", ISBLANK(INDEX(data!O:O, ROW())))), J1049, K1049)</f>
        <v>2025-08-30T10:49:15.513+08</v>
      </c>
      <c r="M1049" s="2">
        <v>45899.0</v>
      </c>
      <c r="N1049" s="2">
        <f t="array" ref="N1049">IF(M1049&lt;&gt;"INC", INDEX(data!M:M, MATCH(B1049, data!D:D, 0)), "")</f>
        <v>0</v>
      </c>
      <c r="O1049" s="2">
        <f t="shared" si="3"/>
        <v>0</v>
      </c>
    </row>
    <row r="1050">
      <c r="A1050" s="2" t="str">
        <f t="shared" si="1"/>
        <v>H030048</v>
      </c>
      <c r="B1050" s="1" t="s">
        <v>1973</v>
      </c>
      <c r="C1050" s="9" t="str">
        <f t="array" ref="C1050">IF(
  AND(
    IFERROR(MATCH(Caseslist!B1050, data!D:D, 0), 0) &gt; 0,
    IFERROR(INDEX(data!N:N, MATCH(Caseslist!B1050, data!D:D, 0)) = 1, FALSE)
  ),
  "COMPLETE",
  "INC"
)</f>
        <v>COMPLETE</v>
      </c>
      <c r="D1050" s="9" t="str">
        <f t="array" ref="D1050">IFERROR(INDEX(data!$G:$G,match(Caseslist!B1050,data!$D:$D,0)), "INC")</f>
        <v>G5472901</v>
      </c>
      <c r="E1050" s="9" t="str">
        <f t="array" ref="E1050">IFERROR(INDEX(data!H:H,match(Caseslist!B1050,data!D:D,0)), "INC")</f>
        <v>Wellyn Grace Alaban Parcia</v>
      </c>
      <c r="F1050" s="10" t="str">
        <f t="array" ref="F1050">IF(
    OR(
      IFNA(INDEX(data!M:M, MATCH(Caseslist!B1050, data!D:D, 0)), "") = "",
      IFNA(INDEX(data!M:M, MATCH(Caseslist!B1050, data!D:D, 0)), 0) = 0
    ),
    "COMPLETE",
    IF(
      IFNA(INDEX(dataICM!D:D, MATCH(Caseslist!B1050, dataICM!D:D, 0)), "INC") = "INC",
      IFNA(INDEX(dataICM!D:D, MATCH(Caseslist!B1050, dataICM!D:D, 0)), "INC"),
      "COMPLETE"
    )
  )</f>
        <v>COMPLETE</v>
      </c>
      <c r="G1050" s="10" t="str">
        <f t="array" ref="G1050">IF(IFERROR(INDEX(data!L:L,match(Caseslist!B1050,data!D:D,0)),"INC")="","COMPLETE",F1050)</f>
        <v>COMPLETE</v>
      </c>
      <c r="H1050" s="9" t="str">
        <f t="array" ref="H1050">IFERROR(INDEX(dataICM!F:F,match(Caseslist!B1050,dataICM!D:D,0)), "INC")</f>
        <v>INC</v>
      </c>
      <c r="I1050" s="10" t="str">
        <f t="shared" si="2"/>
        <v>G5472901</v>
      </c>
      <c r="J1050" s="9" t="str">
        <f t="array" ref="J1050">IF(
  AND(
    IFERROR(MATCH(B1050, data!D:D, 0), 0) &gt; 0,
    IFERROR(INDEX(data!N:N, MATCH(B1050, data!D:D, 0)) = 1, FALSE)
  ),
  INDEX(data!C:C, MATCH(B1050, data!D:D, 0)),
  "INC"
)</f>
        <v>2025-08-30T11:49:44.943+08</v>
      </c>
      <c r="K1050" s="9" t="str">
        <f t="array" ref="K1050">IFERROR(INDEX(dataICM!C:C,match(Caseslist!B1050,dataICM!D:D,0)), "INC")</f>
        <v>INC</v>
      </c>
      <c r="L1050" s="10" t="str">
        <f t="array" ref="L1050">IF(AND(G1050="COMPLETE", OR(K1050="INC", ISBLANK(INDEX(data!O:O, ROW())))), J1050, K1050)</f>
        <v>2025-08-30T11:49:44.943+08</v>
      </c>
      <c r="M1050" s="2">
        <v>45899.0</v>
      </c>
      <c r="N1050" s="2">
        <f t="array" ref="N1050">IF(M1050&lt;&gt;"INC", INDEX(data!M:M, MATCH(B1050, data!D:D, 0)), "")</f>
        <v>0</v>
      </c>
      <c r="O1050" s="2">
        <f t="shared" si="3"/>
        <v>0</v>
      </c>
    </row>
    <row r="1051">
      <c r="A1051" s="2" t="str">
        <f t="shared" si="1"/>
        <v>H030048</v>
      </c>
      <c r="B1051" s="1" t="s">
        <v>1863</v>
      </c>
      <c r="C1051" s="9" t="str">
        <f t="array" ref="C1051">IF(
  AND(
    IFERROR(MATCH(Caseslist!B1051, data!D:D, 0), 0) &gt; 0,
    IFERROR(INDEX(data!N:N, MATCH(Caseslist!B1051, data!D:D, 0)) = 1, FALSE)
  ),
  "COMPLETE",
  "INC"
)</f>
        <v>COMPLETE</v>
      </c>
      <c r="D1051" s="9" t="str">
        <f t="array" ref="D1051">IFERROR(INDEX(data!$G:$G,match(Caseslist!B1051,data!$D:$D,0)), "INC")</f>
        <v>H2846135</v>
      </c>
      <c r="E1051" s="9" t="str">
        <f t="array" ref="E1051">IFERROR(INDEX(data!H:H,match(Caseslist!B1051,data!D:D,0)), "INC")</f>
        <v>Annalou Empanado Encontro</v>
      </c>
      <c r="F1051" s="10" t="str">
        <f t="array" ref="F1051">IF(
    OR(
      IFNA(INDEX(data!M:M, MATCH(Caseslist!B1051, data!D:D, 0)), "") = "",
      IFNA(INDEX(data!M:M, MATCH(Caseslist!B1051, data!D:D, 0)), 0) = 0
    ),
    "COMPLETE",
    IF(
      IFNA(INDEX(dataICM!D:D, MATCH(Caseslist!B1051, dataICM!D:D, 0)), "INC") = "INC",
      IFNA(INDEX(dataICM!D:D, MATCH(Caseslist!B1051, dataICM!D:D, 0)), "INC"),
      "COMPLETE"
    )
  )</f>
        <v>COMPLETE</v>
      </c>
      <c r="G1051" s="10" t="str">
        <f t="array" ref="G1051">IF(IFERROR(INDEX(data!L:L,match(Caseslist!B1051,data!D:D,0)),"INC")="","COMPLETE",F1051)</f>
        <v>COMPLETE</v>
      </c>
      <c r="H1051" s="9" t="str">
        <f t="array" ref="H1051">IFERROR(INDEX(dataICM!F:F,match(Caseslist!B1051,dataICM!D:D,0)), "INC")</f>
        <v>INC</v>
      </c>
      <c r="I1051" s="10" t="str">
        <f t="shared" si="2"/>
        <v>H2846135</v>
      </c>
      <c r="J1051" s="9" t="str">
        <f t="array" ref="J1051">IF(
  AND(
    IFERROR(MATCH(B1051, data!D:D, 0), 0) &gt; 0,
    IFERROR(INDEX(data!N:N, MATCH(B1051, data!D:D, 0)) = 1, FALSE)
  ),
  INDEX(data!C:C, MATCH(B1051, data!D:D, 0)),
  "INC"
)</f>
        <v>2025-10-03T12:38:04.070+08</v>
      </c>
      <c r="K1051" s="9" t="str">
        <f t="array" ref="K1051">IFERROR(INDEX(dataICM!C:C,match(Caseslist!B1051,dataICM!D:D,0)), "INC")</f>
        <v>INC</v>
      </c>
      <c r="L1051" s="10" t="str">
        <f t="array" ref="L1051">IF(AND(G1051="COMPLETE", OR(K1051="INC", ISBLANK(INDEX(data!O:O, ROW())))), J1051, K1051)</f>
        <v>2025-10-03T12:38:04.070+08</v>
      </c>
      <c r="M1051" s="2">
        <v>45933.0</v>
      </c>
      <c r="N1051" s="2">
        <f t="array" ref="N1051">IF(M1051&lt;&gt;"INC", INDEX(data!M:M, MATCH(B1051, data!D:D, 0)), "")</f>
        <v>0</v>
      </c>
      <c r="O1051" s="2">
        <f t="shared" si="3"/>
        <v>0</v>
      </c>
    </row>
    <row r="1052">
      <c r="A1052" s="2" t="str">
        <f t="shared" si="1"/>
        <v>H030048</v>
      </c>
      <c r="B1052" s="1" t="s">
        <v>2159</v>
      </c>
      <c r="C1052" s="9" t="str">
        <f t="array" ref="C1052">IF(
  AND(
    IFERROR(MATCH(Caseslist!B1052, data!D:D, 0), 0) &gt; 0,
    IFERROR(INDEX(data!N:N, MATCH(Caseslist!B1052, data!D:D, 0)) = 1, FALSE)
  ),
  "COMPLETE",
  "INC"
)</f>
        <v>COMPLETE</v>
      </c>
      <c r="D1052" s="9" t="str">
        <f t="array" ref="D1052">IFERROR(INDEX(data!$G:$G,match(Caseslist!B1052,data!$D:$D,0)), "INC")</f>
        <v>G5472901</v>
      </c>
      <c r="E1052" s="9" t="str">
        <f t="array" ref="E1052">IFERROR(INDEX(data!H:H,match(Caseslist!B1052,data!D:D,0)), "INC")</f>
        <v>Wellyn Grace Alaban Parcia</v>
      </c>
      <c r="F1052" s="10" t="str">
        <f t="array" ref="F1052">IF(
    OR(
      IFNA(INDEX(data!M:M, MATCH(Caseslist!B1052, data!D:D, 0)), "") = "",
      IFNA(INDEX(data!M:M, MATCH(Caseslist!B1052, data!D:D, 0)), 0) = 0
    ),
    "COMPLETE",
    IF(
      IFNA(INDEX(dataICM!D:D, MATCH(Caseslist!B1052, dataICM!D:D, 0)), "INC") = "INC",
      IFNA(INDEX(dataICM!D:D, MATCH(Caseslist!B1052, dataICM!D:D, 0)), "INC"),
      "COMPLETE"
    )
  )</f>
        <v>COMPLETE</v>
      </c>
      <c r="G1052" s="10" t="str">
        <f t="array" ref="G1052">IF(IFERROR(INDEX(data!L:L,match(Caseslist!B1052,data!D:D,0)),"INC")="","COMPLETE",F1052)</f>
        <v>COMPLETE</v>
      </c>
      <c r="H1052" s="9" t="str">
        <f t="array" ref="H1052">IFERROR(INDEX(dataICM!F:F,match(Caseslist!B1052,dataICM!D:D,0)), "INC")</f>
        <v>INC</v>
      </c>
      <c r="I1052" s="10" t="str">
        <f t="shared" si="2"/>
        <v>G5472901</v>
      </c>
      <c r="J1052" s="9" t="str">
        <f t="array" ref="J1052">IF(
  AND(
    IFERROR(MATCH(B1052, data!D:D, 0), 0) &gt; 0,
    IFERROR(INDEX(data!N:N, MATCH(B1052, data!D:D, 0)) = 1, FALSE)
  ),
  INDEX(data!C:C, MATCH(B1052, data!D:D, 0)),
  "INC"
)</f>
        <v>2025-09-01T12:40:43.221+08</v>
      </c>
      <c r="K1052" s="9" t="str">
        <f t="array" ref="K1052">IFERROR(INDEX(dataICM!C:C,match(Caseslist!B1052,dataICM!D:D,0)), "INC")</f>
        <v>INC</v>
      </c>
      <c r="L1052" s="10" t="str">
        <f t="array" ref="L1052">IF(AND(G1052="COMPLETE", OR(K1052="INC", ISBLANK(INDEX(data!O:O, ROW())))), J1052, K1052)</f>
        <v>2025-09-01T12:40:43.221+08</v>
      </c>
      <c r="M1052" s="2">
        <v>45901.0</v>
      </c>
      <c r="N1052" s="2">
        <f t="array" ref="N1052">IF(M1052&lt;&gt;"INC", INDEX(data!M:M, MATCH(B1052, data!D:D, 0)), "")</f>
        <v>0</v>
      </c>
      <c r="O1052" s="2">
        <f t="shared" si="3"/>
        <v>0</v>
      </c>
    </row>
    <row r="1053">
      <c r="A1053" s="2" t="str">
        <f t="shared" si="1"/>
        <v>H030048</v>
      </c>
      <c r="B1053" s="1" t="s">
        <v>2139</v>
      </c>
      <c r="C1053" s="9" t="str">
        <f t="array" ref="C1053">IF(
  AND(
    IFERROR(MATCH(Caseslist!B1053, data!D:D, 0), 0) &gt; 0,
    IFERROR(INDEX(data!N:N, MATCH(Caseslist!B1053, data!D:D, 0)) = 1, FALSE)
  ),
  "COMPLETE",
  "INC"
)</f>
        <v>INC</v>
      </c>
      <c r="D1053" s="9" t="str">
        <f t="array" ref="D1053">IFERROR(INDEX(data!$G:$G,match(Caseslist!B1053,data!$D:$D,0)), "INC")</f>
        <v>F3051749</v>
      </c>
      <c r="E1053" s="9" t="str">
        <f t="array" ref="E1053">IFERROR(INDEX(data!H:H,match(Caseslist!B1053,data!D:D,0)), "INC")</f>
        <v>Elenita Gicos De La Pe�a</v>
      </c>
      <c r="F1053" s="10" t="str">
        <f t="array" ref="F1053">IF(
    OR(
      IFNA(INDEX(data!M:M, MATCH(Caseslist!B1053, data!D:D, 0)), "") = "",
      IFNA(INDEX(data!M:M, MATCH(Caseslist!B1053, data!D:D, 0)), 0) = 0
    ),
    "COMPLETE",
    IF(
      IFNA(INDEX(dataICM!D:D, MATCH(Caseslist!B1053, dataICM!D:D, 0)), "INC") = "INC",
      IFNA(INDEX(dataICM!D:D, MATCH(Caseslist!B1053, dataICM!D:D, 0)), "INC"),
      "COMPLETE"
    )
  )</f>
        <v>COMPLETE</v>
      </c>
      <c r="G1053" s="10" t="str">
        <f t="array" ref="G1053">IF(IFERROR(INDEX(data!L:L,match(Caseslist!B1053,data!D:D,0)),"INC")="","COMPLETE",F1053)</f>
        <v>COMPLETE</v>
      </c>
      <c r="H1053" s="9" t="str">
        <f t="array" ref="H1053">IFERROR(INDEX(dataICM!F:F,match(Caseslist!B1053,dataICM!D:D,0)), "INC")</f>
        <v>INC</v>
      </c>
      <c r="I1053" s="10" t="str">
        <f t="shared" si="2"/>
        <v>F3051749</v>
      </c>
      <c r="J1053" s="9" t="str">
        <f t="array" ref="J1053">IF(
  AND(
    IFERROR(MATCH(B1053, data!D:D, 0), 0) &gt; 0,
    IFERROR(INDEX(data!N:N, MATCH(B1053, data!D:D, 0)) = 1, FALSE)
  ),
  INDEX(data!C:C, MATCH(B1053, data!D:D, 0)),
  "INC"
)</f>
        <v>INC</v>
      </c>
      <c r="K1053" s="9" t="str">
        <f t="array" ref="K1053">IFERROR(INDEX(dataICM!C:C,match(Caseslist!B1053,dataICM!D:D,0)), "INC")</f>
        <v>INC</v>
      </c>
      <c r="L1053" s="10" t="str">
        <f t="array" ref="L1053">IF(AND(G1053="COMPLETE", OR(K1053="INC", ISBLANK(INDEX(data!O:O, ROW())))), J1053, K1053)</f>
        <v>INC</v>
      </c>
      <c r="M1053" s="2" t="s">
        <v>8886</v>
      </c>
      <c r="N1053" s="2" t="str">
        <f t="array" ref="N1053">IF(M1053&lt;&gt;"INC", INDEX(data!M:M, MATCH(B1053, data!D:D, 0)), "")</f>
        <v/>
      </c>
      <c r="O1053" s="2" t="str">
        <f t="shared" si="3"/>
        <v/>
      </c>
    </row>
    <row r="1054">
      <c r="A1054" s="2" t="str">
        <f t="shared" si="1"/>
        <v>H030060</v>
      </c>
      <c r="B1054" s="1" t="s">
        <v>4687</v>
      </c>
      <c r="C1054" s="9" t="str">
        <f t="array" ref="C1054">IF(
  AND(
    IFERROR(MATCH(Caseslist!B1054, data!D:D, 0), 0) &gt; 0,
    IFERROR(INDEX(data!N:N, MATCH(Caseslist!B1054, data!D:D, 0)) = 1, FALSE)
  ),
  "COMPLETE",
  "INC"
)</f>
        <v>COMPLETE</v>
      </c>
      <c r="D1054" s="9">
        <f t="array" ref="D1054">IFERROR(INDEX(data!$G:$G,match(Caseslist!B1054,data!$D:$D,0)), "INC")</f>
        <v>896791</v>
      </c>
      <c r="E1054" s="9" t="str">
        <f t="array" ref="E1054">IFERROR(INDEX(data!H:H,match(Caseslist!B1054,data!D:D,0)), "INC")</f>
        <v>Roland A. Bandiola jr_2</v>
      </c>
      <c r="F1054" s="10" t="str">
        <f t="array" ref="F1054">IF(
    OR(
      IFNA(INDEX(data!M:M, MATCH(Caseslist!B1054, data!D:D, 0)), "") = "",
      IFNA(INDEX(data!M:M, MATCH(Caseslist!B1054, data!D:D, 0)), 0) = 0
    ),
    "COMPLETE",
    IF(
      IFNA(INDEX(dataICM!D:D, MATCH(Caseslist!B1054, dataICM!D:D, 0)), "INC") = "INC",
      IFNA(INDEX(dataICM!D:D, MATCH(Caseslist!B1054, dataICM!D:D, 0)), "INC"),
      "COMPLETE"
    )
  )</f>
        <v>COMPLETE</v>
      </c>
      <c r="G1054" s="10" t="str">
        <f t="array" ref="G1054">IF(IFERROR(INDEX(data!L:L,match(Caseslist!B1054,data!D:D,0)),"INC")="","COMPLETE",F1054)</f>
        <v>COMPLETE</v>
      </c>
      <c r="H1054" s="9" t="str">
        <f t="array" ref="H1054">IFERROR(INDEX(dataICM!F:F,match(Caseslist!B1054,dataICM!D:D,0)), "INC")</f>
        <v>Roland A. Bandiola jr_2</v>
      </c>
      <c r="I1054" s="10">
        <f t="shared" si="2"/>
        <v>896791</v>
      </c>
      <c r="J1054" s="9" t="str">
        <f t="array" ref="J1054">IF(
  AND(
    IFERROR(MATCH(B1054, data!D:D, 0), 0) &gt; 0,
    IFERROR(INDEX(data!N:N, MATCH(B1054, data!D:D, 0)) = 1, FALSE)
  ),
  INDEX(data!C:C, MATCH(B1054, data!D:D, 0)),
  "INC"
)</f>
        <v>2025-09-09T12:19:39.601+08</v>
      </c>
      <c r="K1054" s="9" t="str">
        <f t="array" ref="K1054">IFERROR(INDEX(dataICM!C:C,match(Caseslist!B1054,dataICM!D:D,0)), "INC")</f>
        <v>2025-09-09T18:36:51.951+08</v>
      </c>
      <c r="L1054" s="10" t="str">
        <f t="array" ref="L1054">IF(AND(G1054="COMPLETE", OR(K1054="INC", ISBLANK(INDEX(data!O:O, ROW())))), J1054, K1054)</f>
        <v>2025-09-09T18:36:51.951+08</v>
      </c>
      <c r="M1054" s="2">
        <v>45909.0</v>
      </c>
      <c r="N1054" s="2">
        <f t="array" ref="N1054">IF(M1054&lt;&gt;"INC", INDEX(data!M:M, MATCH(B1054, data!D:D, 0)), "")</f>
        <v>2</v>
      </c>
      <c r="O1054" s="2">
        <f t="shared" si="3"/>
        <v>2</v>
      </c>
    </row>
    <row r="1055">
      <c r="A1055" s="2" t="str">
        <f t="shared" si="1"/>
        <v>H030060</v>
      </c>
      <c r="B1055" s="1" t="s">
        <v>4697</v>
      </c>
      <c r="C1055" s="9" t="str">
        <f t="array" ref="C1055">IF(
  AND(
    IFERROR(MATCH(Caseslist!B1055, data!D:D, 0), 0) &gt; 0,
    IFERROR(INDEX(data!N:N, MATCH(Caseslist!B1055, data!D:D, 0)) = 1, FALSE)
  ),
  "COMPLETE",
  "INC"
)</f>
        <v>COMPLETE</v>
      </c>
      <c r="D1055" s="9" t="str">
        <f t="array" ref="D1055">IFERROR(INDEX(data!$G:$G,match(Caseslist!B1055,data!$D:$D,0)), "INC")</f>
        <v>C7502931</v>
      </c>
      <c r="E1055" s="9" t="str">
        <f t="array" ref="E1055">IFERROR(INDEX(data!H:H,match(Caseslist!B1055,data!D:D,0)), "INC")</f>
        <v>Jenny Lou Toles Estacio</v>
      </c>
      <c r="F1055" s="10" t="str">
        <f t="array" ref="F1055">IF(
    OR(
      IFNA(INDEX(data!M:M, MATCH(Caseslist!B1055, data!D:D, 0)), "") = "",
      IFNA(INDEX(data!M:M, MATCH(Caseslist!B1055, data!D:D, 0)), 0) = 0
    ),
    "COMPLETE",
    IF(
      IFNA(INDEX(dataICM!D:D, MATCH(Caseslist!B1055, dataICM!D:D, 0)), "INC") = "INC",
      IFNA(INDEX(dataICM!D:D, MATCH(Caseslist!B1055, dataICM!D:D, 0)), "INC"),
      "COMPLETE"
    )
  )</f>
        <v>COMPLETE</v>
      </c>
      <c r="G1055" s="10" t="str">
        <f t="array" ref="G1055">IF(IFERROR(INDEX(data!L:L,match(Caseslist!B1055,data!D:D,0)),"INC")="","COMPLETE",F1055)</f>
        <v>COMPLETE</v>
      </c>
      <c r="H1055" s="9" t="str">
        <f t="array" ref="H1055">IFERROR(INDEX(dataICM!F:F,match(Caseslist!B1055,dataICM!D:D,0)), "INC")</f>
        <v>Jenny Lou Toles Estacio</v>
      </c>
      <c r="I1055" s="10" t="str">
        <f t="shared" si="2"/>
        <v>C7502931</v>
      </c>
      <c r="J1055" s="9" t="str">
        <f t="array" ref="J1055">IF(
  AND(
    IFERROR(MATCH(B1055, data!D:D, 0), 0) &gt; 0,
    IFERROR(INDEX(data!N:N, MATCH(B1055, data!D:D, 0)) = 1, FALSE)
  ),
  INDEX(data!C:C, MATCH(B1055, data!D:D, 0)),
  "INC"
)</f>
        <v>2025-09-09T10:29:42.550+08</v>
      </c>
      <c r="K1055" s="9" t="str">
        <f t="array" ref="K1055">IFERROR(INDEX(dataICM!C:C,match(Caseslist!B1055,dataICM!D:D,0)), "INC")</f>
        <v>2025-09-09T18:43:04.433+08</v>
      </c>
      <c r="L1055" s="10" t="str">
        <f t="array" ref="L1055">IF(AND(G1055="COMPLETE", OR(K1055="INC", ISBLANK(INDEX(data!O:O, ROW())))), J1055, K1055)</f>
        <v>2025-09-09T18:43:04.433+08</v>
      </c>
      <c r="M1055" s="2">
        <v>45909.0</v>
      </c>
      <c r="N1055" s="2">
        <f t="array" ref="N1055">IF(M1055&lt;&gt;"INC", INDEX(data!M:M, MATCH(B1055, data!D:D, 0)), "")</f>
        <v>2</v>
      </c>
      <c r="O1055" s="2">
        <f t="shared" si="3"/>
        <v>2</v>
      </c>
    </row>
    <row r="1056">
      <c r="A1056" s="2" t="str">
        <f t="shared" si="1"/>
        <v>H030060</v>
      </c>
      <c r="B1056" s="1" t="s">
        <v>4707</v>
      </c>
      <c r="C1056" s="9" t="str">
        <f t="array" ref="C1056">IF(
  AND(
    IFERROR(MATCH(Caseslist!B1056, data!D:D, 0), 0) &gt; 0,
    IFERROR(INDEX(data!N:N, MATCH(Caseslist!B1056, data!D:D, 0)) = 1, FALSE)
  ),
  "COMPLETE",
  "INC"
)</f>
        <v>COMPLETE</v>
      </c>
      <c r="D1056" s="9" t="str">
        <f t="array" ref="D1056">IFERROR(INDEX(data!$G:$G,match(Caseslist!B1056,data!$D:$D,0)), "INC")</f>
        <v>C7502931</v>
      </c>
      <c r="E1056" s="9" t="str">
        <f t="array" ref="E1056">IFERROR(INDEX(data!H:H,match(Caseslist!B1056,data!D:D,0)), "INC")</f>
        <v>Jenny Lou Toles Estacio</v>
      </c>
      <c r="F1056" s="10" t="str">
        <f t="array" ref="F1056">IF(
    OR(
      IFNA(INDEX(data!M:M, MATCH(Caseslist!B1056, data!D:D, 0)), "") = "",
      IFNA(INDEX(data!M:M, MATCH(Caseslist!B1056, data!D:D, 0)), 0) = 0
    ),
    "COMPLETE",
    IF(
      IFNA(INDEX(dataICM!D:D, MATCH(Caseslist!B1056, dataICM!D:D, 0)), "INC") = "INC",
      IFNA(INDEX(dataICM!D:D, MATCH(Caseslist!B1056, dataICM!D:D, 0)), "INC"),
      "COMPLETE"
    )
  )</f>
        <v>COMPLETE</v>
      </c>
      <c r="G1056" s="10" t="str">
        <f t="array" ref="G1056">IF(IFERROR(INDEX(data!L:L,match(Caseslist!B1056,data!D:D,0)),"INC")="","COMPLETE",F1056)</f>
        <v>COMPLETE</v>
      </c>
      <c r="H1056" s="9" t="str">
        <f t="array" ref="H1056">IFERROR(INDEX(dataICM!F:F,match(Caseslist!B1056,dataICM!D:D,0)), "INC")</f>
        <v>Jenny Lou Toles Estacio</v>
      </c>
      <c r="I1056" s="10" t="str">
        <f t="shared" si="2"/>
        <v>C7502931</v>
      </c>
      <c r="J1056" s="9" t="str">
        <f t="array" ref="J1056">IF(
  AND(
    IFERROR(MATCH(B1056, data!D:D, 0), 0) &gt; 0,
    IFERROR(INDEX(data!N:N, MATCH(B1056, data!D:D, 0)) = 1, FALSE)
  ),
  INDEX(data!C:C, MATCH(B1056, data!D:D, 0)),
  "INC"
)</f>
        <v>2025-09-09T14:22:00.547+08</v>
      </c>
      <c r="K1056" s="9" t="str">
        <f t="array" ref="K1056">IFERROR(INDEX(dataICM!C:C,match(Caseslist!B1056,dataICM!D:D,0)), "INC")</f>
        <v>2025-09-09T18:33:12.574+08</v>
      </c>
      <c r="L1056" s="10" t="str">
        <f t="array" ref="L1056">IF(AND(G1056="COMPLETE", OR(K1056="INC", ISBLANK(INDEX(data!O:O, ROW())))), J1056, K1056)</f>
        <v>2025-09-09T18:33:12.574+08</v>
      </c>
      <c r="M1056" s="2">
        <v>45909.0</v>
      </c>
      <c r="N1056" s="2">
        <f t="array" ref="N1056">IF(M1056&lt;&gt;"INC", INDEX(data!M:M, MATCH(B1056, data!D:D, 0)), "")</f>
        <v>2</v>
      </c>
      <c r="O1056" s="2">
        <f t="shared" si="3"/>
        <v>2</v>
      </c>
    </row>
    <row r="1057">
      <c r="A1057" s="2" t="str">
        <f t="shared" si="1"/>
        <v>H030060</v>
      </c>
      <c r="B1057" s="1" t="s">
        <v>4737</v>
      </c>
      <c r="C1057" s="9" t="str">
        <f t="array" ref="C1057">IF(
  AND(
    IFERROR(MATCH(Caseslist!B1057, data!D:D, 0), 0) &gt; 0,
    IFERROR(INDEX(data!N:N, MATCH(Caseslist!B1057, data!D:D, 0)) = 1, FALSE)
  ),
  "COMPLETE",
  "INC"
)</f>
        <v>COMPLETE</v>
      </c>
      <c r="D1057" s="9" t="str">
        <f t="array" ref="D1057">IFERROR(INDEX(data!$G:$G,match(Caseslist!B1057,data!$D:$D,0)), "INC")</f>
        <v>D1284067</v>
      </c>
      <c r="E1057" s="9" t="str">
        <f t="array" ref="E1057">IFERROR(INDEX(data!H:H,match(Caseslist!B1057,data!D:D,0)), "INC")</f>
        <v>Mariel Del Rio</v>
      </c>
      <c r="F1057" s="10" t="str">
        <f t="array" ref="F1057">IF(
    OR(
      IFNA(INDEX(data!M:M, MATCH(Caseslist!B1057, data!D:D, 0)), "") = "",
      IFNA(INDEX(data!M:M, MATCH(Caseslist!B1057, data!D:D, 0)), 0) = 0
    ),
    "COMPLETE",
    IF(
      IFNA(INDEX(dataICM!D:D, MATCH(Caseslist!B1057, dataICM!D:D, 0)), "INC") = "INC",
      IFNA(INDEX(dataICM!D:D, MATCH(Caseslist!B1057, dataICM!D:D, 0)), "INC"),
      "COMPLETE"
    )
  )</f>
        <v>COMPLETE</v>
      </c>
      <c r="G1057" s="10" t="str">
        <f t="array" ref="G1057">IF(IFERROR(INDEX(data!L:L,match(Caseslist!B1057,data!D:D,0)),"INC")="","COMPLETE",F1057)</f>
        <v>COMPLETE</v>
      </c>
      <c r="H1057" s="9" t="str">
        <f t="array" ref="H1057">IFERROR(INDEX(dataICM!F:F,match(Caseslist!B1057,dataICM!D:D,0)), "INC")</f>
        <v>Mariel Del Rio</v>
      </c>
      <c r="I1057" s="10" t="str">
        <f t="shared" si="2"/>
        <v>D1284067</v>
      </c>
      <c r="J1057" s="9" t="str">
        <f t="array" ref="J1057">IF(
  AND(
    IFERROR(MATCH(B1057, data!D:D, 0), 0) &gt; 0,
    IFERROR(INDEX(data!N:N, MATCH(B1057, data!D:D, 0)) = 1, FALSE)
  ),
  INDEX(data!C:C, MATCH(B1057, data!D:D, 0)),
  "INC"
)</f>
        <v>2025-09-09T15:16:47.874+08</v>
      </c>
      <c r="K1057" s="9" t="str">
        <f t="array" ref="K1057">IFERROR(INDEX(dataICM!C:C,match(Caseslist!B1057,dataICM!D:D,0)), "INC")</f>
        <v>2025-09-09T18:40:02.548+08</v>
      </c>
      <c r="L1057" s="10" t="str">
        <f t="array" ref="L1057">IF(AND(G1057="COMPLETE", OR(K1057="INC", ISBLANK(INDEX(data!O:O, ROW())))), J1057, K1057)</f>
        <v>2025-09-09T18:40:02.548+08</v>
      </c>
      <c r="M1057" s="2">
        <v>45909.0</v>
      </c>
      <c r="N1057" s="2">
        <f t="array" ref="N1057">IF(M1057&lt;&gt;"INC", INDEX(data!M:M, MATCH(B1057, data!D:D, 0)), "")</f>
        <v>2</v>
      </c>
      <c r="O1057" s="2">
        <f t="shared" si="3"/>
        <v>2</v>
      </c>
    </row>
    <row r="1058">
      <c r="A1058" s="2" t="str">
        <f t="shared" si="1"/>
        <v>H030060</v>
      </c>
      <c r="B1058" s="1" t="s">
        <v>8928</v>
      </c>
      <c r="C1058" s="9" t="str">
        <f t="array" ref="C1058">IF(
  AND(
    IFERROR(MATCH(Caseslist!B1058, data!D:D, 0), 0) &gt; 0,
    IFERROR(INDEX(data!N:N, MATCH(Caseslist!B1058, data!D:D, 0)) = 1, FALSE)
  ),
  "COMPLETE",
  "INC"
)</f>
        <v>INC</v>
      </c>
      <c r="D1058" s="9" t="str">
        <f t="array" ref="D1058">IFERROR(INDEX(data!$G:$G,match(Caseslist!B1058,data!$D:$D,0)), "INC")</f>
        <v>INC</v>
      </c>
      <c r="E1058" s="9" t="str">
        <f t="array" ref="E1058">IFERROR(INDEX(data!H:H,match(Caseslist!B1058,data!D:D,0)), "INC")</f>
        <v>INC</v>
      </c>
      <c r="F1058" s="10" t="str">
        <f t="array" ref="F1058">IF(
    OR(
      IFNA(INDEX(data!M:M, MATCH(Caseslist!B1058, data!D:D, 0)), "") = "",
      IFNA(INDEX(data!M:M, MATCH(Caseslist!B1058, data!D:D, 0)), 0) = 0
    ),
    "COMPLETE",
    IF(
      IFNA(INDEX(dataICM!D:D, MATCH(Caseslist!B1058, dataICM!D:D, 0)), "INC") = "INC",
      IFNA(INDEX(dataICM!D:D, MATCH(Caseslist!B1058, dataICM!D:D, 0)), "INC"),
      "COMPLETE"
    )
  )</f>
        <v>COMPLETE</v>
      </c>
      <c r="G1058" s="10" t="str">
        <f t="array" ref="G1058">IF(IFERROR(INDEX(data!L:L,match(Caseslist!B1058,data!D:D,0)),"INC")="","COMPLETE",F1058)</f>
        <v>COMPLETE</v>
      </c>
      <c r="H1058" s="9" t="str">
        <f t="array" ref="H1058">IFERROR(INDEX(dataICM!F:F,match(Caseslist!B1058,dataICM!D:D,0)), "INC")</f>
        <v>INC</v>
      </c>
      <c r="I1058" s="10" t="str">
        <f t="shared" si="2"/>
        <v>INC</v>
      </c>
      <c r="J1058" s="9" t="str">
        <f t="array" ref="J1058">IF(
  AND(
    IFERROR(MATCH(B1058, data!D:D, 0), 0) &gt; 0,
    IFERROR(INDEX(data!N:N, MATCH(B1058, data!D:D, 0)) = 1, FALSE)
  ),
  INDEX(data!C:C, MATCH(B1058, data!D:D, 0)),
  "INC"
)</f>
        <v>INC</v>
      </c>
      <c r="K1058" s="9" t="str">
        <f t="array" ref="K1058">IFERROR(INDEX(dataICM!C:C,match(Caseslist!B1058,dataICM!D:D,0)), "INC")</f>
        <v>INC</v>
      </c>
      <c r="L1058" s="10" t="str">
        <f t="array" ref="L1058">IF(AND(G1058="COMPLETE", OR(K1058="INC", ISBLANK(INDEX(data!O:O, ROW())))), J1058, K1058)</f>
        <v>INC</v>
      </c>
      <c r="M1058" s="2" t="s">
        <v>8886</v>
      </c>
      <c r="N1058" s="2" t="str">
        <f t="array" ref="N1058">IF(M1058&lt;&gt;"INC", INDEX(data!M:M, MATCH(B1058, data!D:D, 0)), "")</f>
        <v/>
      </c>
      <c r="O1058" s="2" t="str">
        <f t="shared" si="3"/>
        <v/>
      </c>
    </row>
    <row r="1059">
      <c r="A1059" s="2" t="str">
        <f t="shared" si="1"/>
        <v>H030060</v>
      </c>
      <c r="B1059" s="1" t="s">
        <v>4692</v>
      </c>
      <c r="C1059" s="9" t="str">
        <f t="array" ref="C1059">IF(
  AND(
    IFERROR(MATCH(Caseslist!B1059, data!D:D, 0), 0) &gt; 0,
    IFERROR(INDEX(data!N:N, MATCH(Caseslist!B1059, data!D:D, 0)) = 1, FALSE)
  ),
  "COMPLETE",
  "INC"
)</f>
        <v>COMPLETE</v>
      </c>
      <c r="D1059" s="9">
        <f t="array" ref="D1059">IFERROR(INDEX(data!$G:$G,match(Caseslist!B1059,data!$D:$D,0)), "INC")</f>
        <v>896791</v>
      </c>
      <c r="E1059" s="9" t="str">
        <f t="array" ref="E1059">IFERROR(INDEX(data!H:H,match(Caseslist!B1059,data!D:D,0)), "INC")</f>
        <v>Roland A. Bandiola jr_2</v>
      </c>
      <c r="F1059" s="10" t="str">
        <f t="array" ref="F1059">IF(
    OR(
      IFNA(INDEX(data!M:M, MATCH(Caseslist!B1059, data!D:D, 0)), "") = "",
      IFNA(INDEX(data!M:M, MATCH(Caseslist!B1059, data!D:D, 0)), 0) = 0
    ),
    "COMPLETE",
    IF(
      IFNA(INDEX(dataICM!D:D, MATCH(Caseslist!B1059, dataICM!D:D, 0)), "INC") = "INC",
      IFNA(INDEX(dataICM!D:D, MATCH(Caseslist!B1059, dataICM!D:D, 0)), "INC"),
      "COMPLETE"
    )
  )</f>
        <v>COMPLETE</v>
      </c>
      <c r="G1059" s="10" t="str">
        <f t="array" ref="G1059">IF(IFERROR(INDEX(data!L:L,match(Caseslist!B1059,data!D:D,0)),"INC")="","COMPLETE",F1059)</f>
        <v>COMPLETE</v>
      </c>
      <c r="H1059" s="9" t="str">
        <f t="array" ref="H1059">IFERROR(INDEX(dataICM!F:F,match(Caseslist!B1059,dataICM!D:D,0)), "INC")</f>
        <v>Roland A. Bandiola jr_2</v>
      </c>
      <c r="I1059" s="10">
        <f t="shared" si="2"/>
        <v>896791</v>
      </c>
      <c r="J1059" s="9" t="str">
        <f t="array" ref="J1059">IF(
  AND(
    IFERROR(MATCH(B1059, data!D:D, 0), 0) &gt; 0,
    IFERROR(INDEX(data!N:N, MATCH(B1059, data!D:D, 0)) = 1, FALSE)
  ),
  INDEX(data!C:C, MATCH(B1059, data!D:D, 0)),
  "INC"
)</f>
        <v>2025-09-09T15:25:39.502+08</v>
      </c>
      <c r="K1059" s="9" t="str">
        <f t="array" ref="K1059">IFERROR(INDEX(dataICM!C:C,match(Caseslist!B1059,dataICM!D:D,0)), "INC")</f>
        <v>2025-09-09T18:27:30.133+08</v>
      </c>
      <c r="L1059" s="10" t="str">
        <f t="array" ref="L1059">IF(AND(G1059="COMPLETE", OR(K1059="INC", ISBLANK(INDEX(data!O:O, ROW())))), J1059, K1059)</f>
        <v>2025-09-09T18:27:30.133+08</v>
      </c>
      <c r="M1059" s="2">
        <v>45909.0</v>
      </c>
      <c r="N1059" s="2">
        <f t="array" ref="N1059">IF(M1059&lt;&gt;"INC", INDEX(data!M:M, MATCH(B1059, data!D:D, 0)), "")</f>
        <v>2</v>
      </c>
      <c r="O1059" s="2">
        <f t="shared" si="3"/>
        <v>2</v>
      </c>
    </row>
    <row r="1060">
      <c r="A1060" s="2" t="str">
        <f t="shared" si="1"/>
        <v>H030060</v>
      </c>
      <c r="B1060" s="1" t="s">
        <v>4732</v>
      </c>
      <c r="C1060" s="9" t="str">
        <f t="array" ref="C1060">IF(
  AND(
    IFERROR(MATCH(Caseslist!B1060, data!D:D, 0), 0) &gt; 0,
    IFERROR(INDEX(data!N:N, MATCH(Caseslist!B1060, data!D:D, 0)) = 1, FALSE)
  ),
  "COMPLETE",
  "INC"
)</f>
        <v>COMPLETE</v>
      </c>
      <c r="D1060" s="9" t="str">
        <f t="array" ref="D1060">IFERROR(INDEX(data!$G:$G,match(Caseslist!B1060,data!$D:$D,0)), "INC")</f>
        <v>D1284067</v>
      </c>
      <c r="E1060" s="9" t="str">
        <f t="array" ref="E1060">IFERROR(INDEX(data!H:H,match(Caseslist!B1060,data!D:D,0)), "INC")</f>
        <v>Mariel Del Rio</v>
      </c>
      <c r="F1060" s="10" t="str">
        <f t="array" ref="F1060">IF(
    OR(
      IFNA(INDEX(data!M:M, MATCH(Caseslist!B1060, data!D:D, 0)), "") = "",
      IFNA(INDEX(data!M:M, MATCH(Caseslist!B1060, data!D:D, 0)), 0) = 0
    ),
    "COMPLETE",
    IF(
      IFNA(INDEX(dataICM!D:D, MATCH(Caseslist!B1060, dataICM!D:D, 0)), "INC") = "INC",
      IFNA(INDEX(dataICM!D:D, MATCH(Caseslist!B1060, dataICM!D:D, 0)), "INC"),
      "COMPLETE"
    )
  )</f>
        <v>COMPLETE</v>
      </c>
      <c r="G1060" s="10" t="str">
        <f t="array" ref="G1060">IF(IFERROR(INDEX(data!L:L,match(Caseslist!B1060,data!D:D,0)),"INC")="","COMPLETE",F1060)</f>
        <v>COMPLETE</v>
      </c>
      <c r="H1060" s="9" t="str">
        <f t="array" ref="H1060">IFERROR(INDEX(dataICM!F:F,match(Caseslist!B1060,dataICM!D:D,0)), "INC")</f>
        <v>Mariel Del Rio</v>
      </c>
      <c r="I1060" s="10" t="str">
        <f t="shared" si="2"/>
        <v>D1284067</v>
      </c>
      <c r="J1060" s="9" t="str">
        <f t="array" ref="J1060">IF(
  AND(
    IFERROR(MATCH(B1060, data!D:D, 0), 0) &gt; 0,
    IFERROR(INDEX(data!N:N, MATCH(B1060, data!D:D, 0)) = 1, FALSE)
  ),
  INDEX(data!C:C, MATCH(B1060, data!D:D, 0)),
  "INC"
)</f>
        <v>2025-09-09T11:38:23.775+08</v>
      </c>
      <c r="K1060" s="9" t="str">
        <f t="array" ref="K1060">IFERROR(INDEX(dataICM!C:C,match(Caseslist!B1060,dataICM!D:D,0)), "INC")</f>
        <v>2025-09-09T13:36:55.677+08</v>
      </c>
      <c r="L1060" s="10" t="str">
        <f t="array" ref="L1060">IF(AND(G1060="COMPLETE", OR(K1060="INC", ISBLANK(INDEX(data!O:O, ROW())))), J1060, K1060)</f>
        <v>2025-09-09T13:36:55.677+08</v>
      </c>
      <c r="M1060" s="2">
        <v>45909.0</v>
      </c>
      <c r="N1060" s="2">
        <f t="array" ref="N1060">IF(M1060&lt;&gt;"INC", INDEX(data!M:M, MATCH(B1060, data!D:D, 0)), "")</f>
        <v>2</v>
      </c>
      <c r="O1060" s="2">
        <f t="shared" si="3"/>
        <v>2</v>
      </c>
    </row>
    <row r="1061">
      <c r="A1061" s="2" t="str">
        <f t="shared" si="1"/>
        <v>H030060</v>
      </c>
      <c r="B1061" s="1" t="s">
        <v>4712</v>
      </c>
      <c r="C1061" s="9" t="str">
        <f t="array" ref="C1061">IF(
  AND(
    IFERROR(MATCH(Caseslist!B1061, data!D:D, 0), 0) &gt; 0,
    IFERROR(INDEX(data!N:N, MATCH(Caseslist!B1061, data!D:D, 0)) = 1, FALSE)
  ),
  "COMPLETE",
  "INC"
)</f>
        <v>COMPLETE</v>
      </c>
      <c r="D1061" s="9" t="str">
        <f t="array" ref="D1061">IFERROR(INDEX(data!$G:$G,match(Caseslist!B1061,data!$D:$D,0)), "INC")</f>
        <v>B8193462</v>
      </c>
      <c r="E1061" s="9" t="str">
        <f t="array" ref="E1061">IFERROR(INDEX(data!H:H,match(Caseslist!B1061,data!D:D,0)), "INC")</f>
        <v>Mark Lorens Mendoza Gilongo</v>
      </c>
      <c r="F1061" s="10" t="str">
        <f t="array" ref="F1061">IF(
    OR(
      IFNA(INDEX(data!M:M, MATCH(Caseslist!B1061, data!D:D, 0)), "") = "",
      IFNA(INDEX(data!M:M, MATCH(Caseslist!B1061, data!D:D, 0)), 0) = 0
    ),
    "COMPLETE",
    IF(
      IFNA(INDEX(dataICM!D:D, MATCH(Caseslist!B1061, dataICM!D:D, 0)), "INC") = "INC",
      IFNA(INDEX(dataICM!D:D, MATCH(Caseslist!B1061, dataICM!D:D, 0)), "INC"),
      "COMPLETE"
    )
  )</f>
        <v>COMPLETE</v>
      </c>
      <c r="G1061" s="10" t="str">
        <f t="array" ref="G1061">IF(IFERROR(INDEX(data!L:L,match(Caseslist!B1061,data!D:D,0)),"INC")="","COMPLETE",F1061)</f>
        <v>COMPLETE</v>
      </c>
      <c r="H1061" s="9" t="str">
        <f t="array" ref="H1061">IFERROR(INDEX(dataICM!F:F,match(Caseslist!B1061,dataICM!D:D,0)), "INC")</f>
        <v>Mark Lorens Mendoza Gilongo</v>
      </c>
      <c r="I1061" s="10" t="str">
        <f t="shared" si="2"/>
        <v>B8193462</v>
      </c>
      <c r="J1061" s="9" t="str">
        <f t="array" ref="J1061">IF(
  AND(
    IFERROR(MATCH(B1061, data!D:D, 0), 0) &gt; 0,
    IFERROR(INDEX(data!N:N, MATCH(B1061, data!D:D, 0)) = 1, FALSE)
  ),
  INDEX(data!C:C, MATCH(B1061, data!D:D, 0)),
  "INC"
)</f>
        <v>2025-09-09T14:54:51.429+08</v>
      </c>
      <c r="K1061" s="9" t="str">
        <f t="array" ref="K1061">IFERROR(INDEX(dataICM!C:C,match(Caseslist!B1061,dataICM!D:D,0)), "INC")</f>
        <v>2025-09-09T18:27:40.788+08</v>
      </c>
      <c r="L1061" s="10" t="str">
        <f t="array" ref="L1061">IF(AND(G1061="COMPLETE", OR(K1061="INC", ISBLANK(INDEX(data!O:O, ROW())))), J1061, K1061)</f>
        <v>2025-09-09T18:27:40.788+08</v>
      </c>
      <c r="M1061" s="2">
        <v>45909.0</v>
      </c>
      <c r="N1061" s="2">
        <f t="array" ref="N1061">IF(M1061&lt;&gt;"INC", INDEX(data!M:M, MATCH(B1061, data!D:D, 0)), "")</f>
        <v>2</v>
      </c>
      <c r="O1061" s="2">
        <f t="shared" si="3"/>
        <v>2</v>
      </c>
    </row>
    <row r="1062">
      <c r="A1062" s="2" t="str">
        <f t="shared" si="1"/>
        <v>H030060</v>
      </c>
      <c r="B1062" s="1" t="s">
        <v>4727</v>
      </c>
      <c r="C1062" s="9" t="str">
        <f t="array" ref="C1062">IF(
  AND(
    IFERROR(MATCH(Caseslist!B1062, data!D:D, 0), 0) &gt; 0,
    IFERROR(INDEX(data!N:N, MATCH(Caseslist!B1062, data!D:D, 0)) = 1, FALSE)
  ),
  "COMPLETE",
  "INC"
)</f>
        <v>COMPLETE</v>
      </c>
      <c r="D1062" s="9" t="str">
        <f t="array" ref="D1062">IFERROR(INDEX(data!$G:$G,match(Caseslist!B1062,data!$D:$D,0)), "INC")</f>
        <v>D1284067</v>
      </c>
      <c r="E1062" s="9" t="str">
        <f t="array" ref="E1062">IFERROR(INDEX(data!H:H,match(Caseslist!B1062,data!D:D,0)), "INC")</f>
        <v>Mariel Del Rio</v>
      </c>
      <c r="F1062" s="10" t="str">
        <f t="array" ref="F1062">IF(
    OR(
      IFNA(INDEX(data!M:M, MATCH(Caseslist!B1062, data!D:D, 0)), "") = "",
      IFNA(INDEX(data!M:M, MATCH(Caseslist!B1062, data!D:D, 0)), 0) = 0
    ),
    "COMPLETE",
    IF(
      IFNA(INDEX(dataICM!D:D, MATCH(Caseslist!B1062, dataICM!D:D, 0)), "INC") = "INC",
      IFNA(INDEX(dataICM!D:D, MATCH(Caseslist!B1062, dataICM!D:D, 0)), "INC"),
      "COMPLETE"
    )
  )</f>
        <v>COMPLETE</v>
      </c>
      <c r="G1062" s="10" t="str">
        <f t="array" ref="G1062">IF(IFERROR(INDEX(data!L:L,match(Caseslist!B1062,data!D:D,0)),"INC")="","COMPLETE",F1062)</f>
        <v>COMPLETE</v>
      </c>
      <c r="H1062" s="9" t="str">
        <f t="array" ref="H1062">IFERROR(INDEX(dataICM!F:F,match(Caseslist!B1062,dataICM!D:D,0)), "INC")</f>
        <v>Mariel Del Rio</v>
      </c>
      <c r="I1062" s="10" t="str">
        <f t="shared" si="2"/>
        <v>D1284067</v>
      </c>
      <c r="J1062" s="9" t="str">
        <f t="array" ref="J1062">IF(
  AND(
    IFERROR(MATCH(B1062, data!D:D, 0), 0) &gt; 0,
    IFERROR(INDEX(data!N:N, MATCH(B1062, data!D:D, 0)) = 1, FALSE)
  ),
  INDEX(data!C:C, MATCH(B1062, data!D:D, 0)),
  "INC"
)</f>
        <v>2025-09-09T10:08:59.415+08</v>
      </c>
      <c r="K1062" s="9" t="str">
        <f t="array" ref="K1062">IFERROR(INDEX(dataICM!C:C,match(Caseslist!B1062,dataICM!D:D,0)), "INC")</f>
        <v>2025-09-09T10:15:40.496+08</v>
      </c>
      <c r="L1062" s="10" t="str">
        <f t="array" ref="L1062">IF(AND(G1062="COMPLETE", OR(K1062="INC", ISBLANK(INDEX(data!O:O, ROW())))), J1062, K1062)</f>
        <v>2025-09-09T10:15:40.496+08</v>
      </c>
      <c r="M1062" s="2">
        <v>45909.0</v>
      </c>
      <c r="N1062" s="2">
        <f t="array" ref="N1062">IF(M1062&lt;&gt;"INC", INDEX(data!M:M, MATCH(B1062, data!D:D, 0)), "")</f>
        <v>2</v>
      </c>
      <c r="O1062" s="2">
        <f t="shared" si="3"/>
        <v>2</v>
      </c>
    </row>
    <row r="1063">
      <c r="A1063" s="2" t="str">
        <f t="shared" si="1"/>
        <v>H030060</v>
      </c>
      <c r="B1063" s="1" t="s">
        <v>4682</v>
      </c>
      <c r="C1063" s="9" t="str">
        <f t="array" ref="C1063">IF(
  AND(
    IFERROR(MATCH(Caseslist!B1063, data!D:D, 0), 0) &gt; 0,
    IFERROR(INDEX(data!N:N, MATCH(Caseslist!B1063, data!D:D, 0)) = 1, FALSE)
  ),
  "COMPLETE",
  "INC"
)</f>
        <v>COMPLETE</v>
      </c>
      <c r="D1063" s="9">
        <f t="array" ref="D1063">IFERROR(INDEX(data!$G:$G,match(Caseslist!B1063,data!$D:$D,0)), "INC")</f>
        <v>896791</v>
      </c>
      <c r="E1063" s="9" t="str">
        <f t="array" ref="E1063">IFERROR(INDEX(data!H:H,match(Caseslist!B1063,data!D:D,0)), "INC")</f>
        <v>Roland A. Bandiola jr_2</v>
      </c>
      <c r="F1063" s="10" t="str">
        <f t="array" ref="F1063">IF(
    OR(
      IFNA(INDEX(data!M:M, MATCH(Caseslist!B1063, data!D:D, 0)), "") = "",
      IFNA(INDEX(data!M:M, MATCH(Caseslist!B1063, data!D:D, 0)), 0) = 0
    ),
    "COMPLETE",
    IF(
      IFNA(INDEX(dataICM!D:D, MATCH(Caseslist!B1063, dataICM!D:D, 0)), "INC") = "INC",
      IFNA(INDEX(dataICM!D:D, MATCH(Caseslist!B1063, dataICM!D:D, 0)), "INC"),
      "COMPLETE"
    )
  )</f>
        <v>COMPLETE</v>
      </c>
      <c r="G1063" s="10" t="str">
        <f t="array" ref="G1063">IF(IFERROR(INDEX(data!L:L,match(Caseslist!B1063,data!D:D,0)),"INC")="","COMPLETE",F1063)</f>
        <v>COMPLETE</v>
      </c>
      <c r="H1063" s="9" t="str">
        <f t="array" ref="H1063">IFERROR(INDEX(dataICM!F:F,match(Caseslist!B1063,dataICM!D:D,0)), "INC")</f>
        <v>Roland A. Bandiola jr_2</v>
      </c>
      <c r="I1063" s="10">
        <f t="shared" si="2"/>
        <v>896791</v>
      </c>
      <c r="J1063" s="9" t="str">
        <f t="array" ref="J1063">IF(
  AND(
    IFERROR(MATCH(B1063, data!D:D, 0), 0) &gt; 0,
    IFERROR(INDEX(data!N:N, MATCH(B1063, data!D:D, 0)) = 1, FALSE)
  ),
  INDEX(data!C:C, MATCH(B1063, data!D:D, 0)),
  "INC"
)</f>
        <v>2025-09-09T11:09:26.443+08</v>
      </c>
      <c r="K1063" s="9" t="str">
        <f t="array" ref="K1063">IFERROR(INDEX(dataICM!C:C,match(Caseslist!B1063,dataICM!D:D,0)), "INC")</f>
        <v>2025-09-09T18:33:03.140+08</v>
      </c>
      <c r="L1063" s="10" t="str">
        <f t="array" ref="L1063">IF(AND(G1063="COMPLETE", OR(K1063="INC", ISBLANK(INDEX(data!O:O, ROW())))), J1063, K1063)</f>
        <v>2025-09-09T18:33:03.140+08</v>
      </c>
      <c r="M1063" s="2">
        <v>45909.0</v>
      </c>
      <c r="N1063" s="2">
        <f t="array" ref="N1063">IF(M1063&lt;&gt;"INC", INDEX(data!M:M, MATCH(B1063, data!D:D, 0)), "")</f>
        <v>2</v>
      </c>
      <c r="O1063" s="2">
        <f t="shared" si="3"/>
        <v>2</v>
      </c>
    </row>
    <row r="1064">
      <c r="A1064" s="2" t="str">
        <f t="shared" si="1"/>
        <v>H030060</v>
      </c>
      <c r="B1064" s="1" t="s">
        <v>4722</v>
      </c>
      <c r="C1064" s="9" t="str">
        <f t="array" ref="C1064">IF(
  AND(
    IFERROR(MATCH(Caseslist!B1064, data!D:D, 0), 0) &gt; 0,
    IFERROR(INDEX(data!N:N, MATCH(Caseslist!B1064, data!D:D, 0)) = 1, FALSE)
  ),
  "COMPLETE",
  "INC"
)</f>
        <v>COMPLETE</v>
      </c>
      <c r="D1064" s="9" t="str">
        <f t="array" ref="D1064">IFERROR(INDEX(data!$G:$G,match(Caseslist!B1064,data!$D:$D,0)), "INC")</f>
        <v>B8193462</v>
      </c>
      <c r="E1064" s="9" t="str">
        <f t="array" ref="E1064">IFERROR(INDEX(data!H:H,match(Caseslist!B1064,data!D:D,0)), "INC")</f>
        <v>Mark Lorens Mendoza Gilongo</v>
      </c>
      <c r="F1064" s="10" t="str">
        <f t="array" ref="F1064">IF(
    OR(
      IFNA(INDEX(data!M:M, MATCH(Caseslist!B1064, data!D:D, 0)), "") = "",
      IFNA(INDEX(data!M:M, MATCH(Caseslist!B1064, data!D:D, 0)), 0) = 0
    ),
    "COMPLETE",
    IF(
      IFNA(INDEX(dataICM!D:D, MATCH(Caseslist!B1064, dataICM!D:D, 0)), "INC") = "INC",
      IFNA(INDEX(dataICM!D:D, MATCH(Caseslist!B1064, dataICM!D:D, 0)), "INC"),
      "COMPLETE"
    )
  )</f>
        <v>COMPLETE</v>
      </c>
      <c r="G1064" s="10" t="str">
        <f t="array" ref="G1064">IF(IFERROR(INDEX(data!L:L,match(Caseslist!B1064,data!D:D,0)),"INC")="","COMPLETE",F1064)</f>
        <v>COMPLETE</v>
      </c>
      <c r="H1064" s="9" t="str">
        <f t="array" ref="H1064">IFERROR(INDEX(dataICM!F:F,match(Caseslist!B1064,dataICM!D:D,0)), "INC")</f>
        <v>Mark Lorens Mendoza Gilongo</v>
      </c>
      <c r="I1064" s="10" t="str">
        <f t="shared" si="2"/>
        <v>B8193462</v>
      </c>
      <c r="J1064" s="9" t="str">
        <f t="array" ref="J1064">IF(
  AND(
    IFERROR(MATCH(B1064, data!D:D, 0), 0) &gt; 0,
    IFERROR(INDEX(data!N:N, MATCH(B1064, data!D:D, 0)) = 1, FALSE)
  ),
  INDEX(data!C:C, MATCH(B1064, data!D:D, 0)),
  "INC"
)</f>
        <v>2025-09-09T13:01:04.308+08</v>
      </c>
      <c r="K1064" s="9" t="str">
        <f t="array" ref="K1064">IFERROR(INDEX(dataICM!C:C,match(Caseslist!B1064,dataICM!D:D,0)), "INC")</f>
        <v>2025-09-09T13:29:13.056+08</v>
      </c>
      <c r="L1064" s="10" t="str">
        <f t="array" ref="L1064">IF(AND(G1064="COMPLETE", OR(K1064="INC", ISBLANK(INDEX(data!O:O, ROW())))), J1064, K1064)</f>
        <v>2025-09-09T13:29:13.056+08</v>
      </c>
      <c r="M1064" s="2">
        <v>45909.0</v>
      </c>
      <c r="N1064" s="2">
        <f t="array" ref="N1064">IF(M1064&lt;&gt;"INC", INDEX(data!M:M, MATCH(B1064, data!D:D, 0)), "")</f>
        <v>2</v>
      </c>
      <c r="O1064" s="2">
        <f t="shared" si="3"/>
        <v>2</v>
      </c>
    </row>
    <row r="1065">
      <c r="A1065" s="2" t="str">
        <f t="shared" si="1"/>
        <v>H030060</v>
      </c>
      <c r="B1065" s="1" t="s">
        <v>4677</v>
      </c>
      <c r="C1065" s="9" t="str">
        <f t="array" ref="C1065">IF(
  AND(
    IFERROR(MATCH(Caseslist!B1065, data!D:D, 0), 0) &gt; 0,
    IFERROR(INDEX(data!N:N, MATCH(Caseslist!B1065, data!D:D, 0)) = 1, FALSE)
  ),
  "COMPLETE",
  "INC"
)</f>
        <v>COMPLETE</v>
      </c>
      <c r="D1065" s="9">
        <f t="array" ref="D1065">IFERROR(INDEX(data!$G:$G,match(Caseslist!B1065,data!$D:$D,0)), "INC")</f>
        <v>896791</v>
      </c>
      <c r="E1065" s="9" t="str">
        <f t="array" ref="E1065">IFERROR(INDEX(data!H:H,match(Caseslist!B1065,data!D:D,0)), "INC")</f>
        <v>Roland A. Bandiola jr_2</v>
      </c>
      <c r="F1065" s="10" t="str">
        <f t="array" ref="F1065">IF(
    OR(
      IFNA(INDEX(data!M:M, MATCH(Caseslist!B1065, data!D:D, 0)), "") = "",
      IFNA(INDEX(data!M:M, MATCH(Caseslist!B1065, data!D:D, 0)), 0) = 0
    ),
    "COMPLETE",
    IF(
      IFNA(INDEX(dataICM!D:D, MATCH(Caseslist!B1065, dataICM!D:D, 0)), "INC") = "INC",
      IFNA(INDEX(dataICM!D:D, MATCH(Caseslist!B1065, dataICM!D:D, 0)), "INC"),
      "COMPLETE"
    )
  )</f>
        <v>COMPLETE</v>
      </c>
      <c r="G1065" s="10" t="str">
        <f t="array" ref="G1065">IF(IFERROR(INDEX(data!L:L,match(Caseslist!B1065,data!D:D,0)),"INC")="","COMPLETE",F1065)</f>
        <v>COMPLETE</v>
      </c>
      <c r="H1065" s="9" t="str">
        <f t="array" ref="H1065">IFERROR(INDEX(dataICM!F:F,match(Caseslist!B1065,dataICM!D:D,0)), "INC")</f>
        <v>Roland A. Bandiola jr_2</v>
      </c>
      <c r="I1065" s="10">
        <f t="shared" si="2"/>
        <v>896791</v>
      </c>
      <c r="J1065" s="9" t="str">
        <f t="array" ref="J1065">IF(
  AND(
    IFERROR(MATCH(B1065, data!D:D, 0), 0) &gt; 0,
    IFERROR(INDEX(data!N:N, MATCH(B1065, data!D:D, 0)) = 1, FALSE)
  ),
  INDEX(data!C:C, MATCH(B1065, data!D:D, 0)),
  "INC"
)</f>
        <v>2025-09-09T09:40:22.282+08</v>
      </c>
      <c r="K1065" s="9" t="str">
        <f t="array" ref="K1065">IFERROR(INDEX(dataICM!C:C,match(Caseslist!B1065,dataICM!D:D,0)), "INC")</f>
        <v>2025-09-09T18:31:21.187+08</v>
      </c>
      <c r="L1065" s="10" t="str">
        <f t="array" ref="L1065">IF(AND(G1065="COMPLETE", OR(K1065="INC", ISBLANK(INDEX(data!O:O, ROW())))), J1065, K1065)</f>
        <v>2025-09-09T18:31:21.187+08</v>
      </c>
      <c r="M1065" s="2">
        <v>45909.0</v>
      </c>
      <c r="N1065" s="2">
        <f t="array" ref="N1065">IF(M1065&lt;&gt;"INC", INDEX(data!M:M, MATCH(B1065, data!D:D, 0)), "")</f>
        <v>2</v>
      </c>
      <c r="O1065" s="2">
        <f t="shared" si="3"/>
        <v>2</v>
      </c>
    </row>
    <row r="1066">
      <c r="A1066" s="2" t="str">
        <f t="shared" si="1"/>
        <v>H030060</v>
      </c>
      <c r="B1066" s="1" t="s">
        <v>4702</v>
      </c>
      <c r="C1066" s="9" t="str">
        <f t="array" ref="C1066">IF(
  AND(
    IFERROR(MATCH(Caseslist!B1066, data!D:D, 0), 0) &gt; 0,
    IFERROR(INDEX(data!N:N, MATCH(Caseslist!B1066, data!D:D, 0)) = 1, FALSE)
  ),
  "COMPLETE",
  "INC"
)</f>
        <v>COMPLETE</v>
      </c>
      <c r="D1066" s="9" t="str">
        <f t="array" ref="D1066">IFERROR(INDEX(data!$G:$G,match(Caseslist!B1066,data!$D:$D,0)), "INC")</f>
        <v>C7502931</v>
      </c>
      <c r="E1066" s="9" t="str">
        <f t="array" ref="E1066">IFERROR(INDEX(data!H:H,match(Caseslist!B1066,data!D:D,0)), "INC")</f>
        <v>Jenny Lou Toles Estacio</v>
      </c>
      <c r="F1066" s="10" t="str">
        <f t="array" ref="F1066">IF(
    OR(
      IFNA(INDEX(data!M:M, MATCH(Caseslist!B1066, data!D:D, 0)), "") = "",
      IFNA(INDEX(data!M:M, MATCH(Caseslist!B1066, data!D:D, 0)), 0) = 0
    ),
    "COMPLETE",
    IF(
      IFNA(INDEX(dataICM!D:D, MATCH(Caseslist!B1066, dataICM!D:D, 0)), "INC") = "INC",
      IFNA(INDEX(dataICM!D:D, MATCH(Caseslist!B1066, dataICM!D:D, 0)), "INC"),
      "COMPLETE"
    )
  )</f>
        <v>COMPLETE</v>
      </c>
      <c r="G1066" s="10" t="str">
        <f t="array" ref="G1066">IF(IFERROR(INDEX(data!L:L,match(Caseslist!B1066,data!D:D,0)),"INC")="","COMPLETE",F1066)</f>
        <v>COMPLETE</v>
      </c>
      <c r="H1066" s="9" t="str">
        <f t="array" ref="H1066">IFERROR(INDEX(dataICM!F:F,match(Caseslist!B1066,dataICM!D:D,0)), "INC")</f>
        <v>Jenny Lou Toles Estacio</v>
      </c>
      <c r="I1066" s="10" t="str">
        <f t="shared" si="2"/>
        <v>C7502931</v>
      </c>
      <c r="J1066" s="9" t="str">
        <f t="array" ref="J1066">IF(
  AND(
    IFERROR(MATCH(B1066, data!D:D, 0), 0) &gt; 0,
    IFERROR(INDEX(data!N:N, MATCH(B1066, data!D:D, 0)) = 1, FALSE)
  ),
  INDEX(data!C:C, MATCH(B1066, data!D:D, 0)),
  "INC"
)</f>
        <v>2025-09-09T16:19:15.560+08</v>
      </c>
      <c r="K1066" s="9" t="str">
        <f t="array" ref="K1066">IFERROR(INDEX(dataICM!C:C,match(Caseslist!B1066,dataICM!D:D,0)), "INC")</f>
        <v>2025-09-09T18:45:02.212+08</v>
      </c>
      <c r="L1066" s="10" t="str">
        <f t="array" ref="L1066">IF(AND(G1066="COMPLETE", OR(K1066="INC", ISBLANK(INDEX(data!O:O, ROW())))), J1066, K1066)</f>
        <v>2025-09-09T18:45:02.212+08</v>
      </c>
      <c r="M1066" s="2">
        <v>45909.0</v>
      </c>
      <c r="N1066" s="2">
        <f t="array" ref="N1066">IF(M1066&lt;&gt;"INC", INDEX(data!M:M, MATCH(B1066, data!D:D, 0)), "")</f>
        <v>2</v>
      </c>
      <c r="O1066" s="2">
        <f t="shared" si="3"/>
        <v>2</v>
      </c>
    </row>
    <row r="1067">
      <c r="A1067" s="2" t="str">
        <f t="shared" si="1"/>
        <v>H030060</v>
      </c>
      <c r="B1067" s="1" t="s">
        <v>4717</v>
      </c>
      <c r="C1067" s="9" t="str">
        <f t="array" ref="C1067">IF(
  AND(
    IFERROR(MATCH(Caseslist!B1067, data!D:D, 0), 0) &gt; 0,
    IFERROR(INDEX(data!N:N, MATCH(Caseslist!B1067, data!D:D, 0)) = 1, FALSE)
  ),
  "COMPLETE",
  "INC"
)</f>
        <v>COMPLETE</v>
      </c>
      <c r="D1067" s="9" t="str">
        <f t="array" ref="D1067">IFERROR(INDEX(data!$G:$G,match(Caseslist!B1067,data!$D:$D,0)), "INC")</f>
        <v>B8193462</v>
      </c>
      <c r="E1067" s="9" t="str">
        <f t="array" ref="E1067">IFERROR(INDEX(data!H:H,match(Caseslist!B1067,data!D:D,0)), "INC")</f>
        <v>Mark Lorens Mendoza Gilongo</v>
      </c>
      <c r="F1067" s="10" t="str">
        <f t="array" ref="F1067">IF(
    OR(
      IFNA(INDEX(data!M:M, MATCH(Caseslist!B1067, data!D:D, 0)), "") = "",
      IFNA(INDEX(data!M:M, MATCH(Caseslist!B1067, data!D:D, 0)), 0) = 0
    ),
    "COMPLETE",
    IF(
      IFNA(INDEX(dataICM!D:D, MATCH(Caseslist!B1067, dataICM!D:D, 0)), "INC") = "INC",
      IFNA(INDEX(dataICM!D:D, MATCH(Caseslist!B1067, dataICM!D:D, 0)), "INC"),
      "COMPLETE"
    )
  )</f>
        <v>COMPLETE</v>
      </c>
      <c r="G1067" s="10" t="str">
        <f t="array" ref="G1067">IF(IFERROR(INDEX(data!L:L,match(Caseslist!B1067,data!D:D,0)),"INC")="","COMPLETE",F1067)</f>
        <v>COMPLETE</v>
      </c>
      <c r="H1067" s="9" t="str">
        <f t="array" ref="H1067">IFERROR(INDEX(dataICM!F:F,match(Caseslist!B1067,dataICM!D:D,0)), "INC")</f>
        <v>Mark Lorens Mendoza Gilongo</v>
      </c>
      <c r="I1067" s="10" t="str">
        <f t="shared" si="2"/>
        <v>B8193462</v>
      </c>
      <c r="J1067" s="9" t="str">
        <f t="array" ref="J1067">IF(
  AND(
    IFERROR(MATCH(B1067, data!D:D, 0), 0) &gt; 0,
    IFERROR(INDEX(data!N:N, MATCH(B1067, data!D:D, 0)) = 1, FALSE)
  ),
  INDEX(data!C:C, MATCH(B1067, data!D:D, 0)),
  "INC"
)</f>
        <v>2025-09-09T17:13:59.659+08</v>
      </c>
      <c r="K1067" s="9" t="str">
        <f t="array" ref="K1067">IFERROR(INDEX(dataICM!C:C,match(Caseslist!B1067,dataICM!D:D,0)), "INC")</f>
        <v>2025-09-09T18:11:02.670+08</v>
      </c>
      <c r="L1067" s="10" t="str">
        <f t="array" ref="L1067">IF(AND(G1067="COMPLETE", OR(K1067="INC", ISBLANK(INDEX(data!O:O, ROW())))), J1067, K1067)</f>
        <v>2025-09-09T18:11:02.670+08</v>
      </c>
      <c r="M1067" s="2">
        <v>45909.0</v>
      </c>
      <c r="N1067" s="2">
        <f t="array" ref="N1067">IF(M1067&lt;&gt;"INC", INDEX(data!M:M, MATCH(B1067, data!D:D, 0)), "")</f>
        <v>2</v>
      </c>
      <c r="O1067" s="2">
        <f t="shared" si="3"/>
        <v>2</v>
      </c>
    </row>
    <row r="1068">
      <c r="A1068" s="2" t="str">
        <f t="shared" si="1"/>
        <v>H030076</v>
      </c>
      <c r="B1068" s="1" t="s">
        <v>3267</v>
      </c>
      <c r="C1068" s="9" t="str">
        <f t="array" ref="C1068">IF(
  AND(
    IFERROR(MATCH(Caseslist!B1068, data!D:D, 0), 0) &gt; 0,
    IFERROR(INDEX(data!N:N, MATCH(Caseslist!B1068, data!D:D, 0)) = 1, FALSE)
  ),
  "COMPLETE",
  "INC"
)</f>
        <v>COMPLETE</v>
      </c>
      <c r="D1068" s="9" t="str">
        <f t="array" ref="D1068">IFERROR(INDEX(data!$G:$G,match(Caseslist!B1068,data!$D:$D,0)), "INC")</f>
        <v>M6491032</v>
      </c>
      <c r="E1068" s="9" t="str">
        <f t="array" ref="E1068">IFERROR(INDEX(data!H:H,match(Caseslist!B1068,data!D:D,0)), "INC")</f>
        <v>Rosevil Tayo Desamparado</v>
      </c>
      <c r="F1068" s="10" t="str">
        <f t="array" ref="F1068">IF(
    OR(
      IFNA(INDEX(data!M:M, MATCH(Caseslist!B1068, data!D:D, 0)), "") = "",
      IFNA(INDEX(data!M:M, MATCH(Caseslist!B1068, data!D:D, 0)), 0) = 0
    ),
    "COMPLETE",
    IF(
      IFNA(INDEX(dataICM!D:D, MATCH(Caseslist!B1068, dataICM!D:D, 0)), "INC") = "INC",
      IFNA(INDEX(dataICM!D:D, MATCH(Caseslist!B1068, dataICM!D:D, 0)), "INC"),
      "COMPLETE"
    )
  )</f>
        <v>COMPLETE</v>
      </c>
      <c r="G1068" s="10" t="str">
        <f t="array" ref="G1068">IF(IFERROR(INDEX(data!L:L,match(Caseslist!B1068,data!D:D,0)),"INC")="","COMPLETE",F1068)</f>
        <v>COMPLETE</v>
      </c>
      <c r="H1068" s="9" t="str">
        <f t="array" ref="H1068">IFERROR(INDEX(dataICM!F:F,match(Caseslist!B1068,dataICM!D:D,0)), "INC")</f>
        <v>Rosevil Tayo Desamparado</v>
      </c>
      <c r="I1068" s="10" t="str">
        <f t="shared" si="2"/>
        <v>M6491032</v>
      </c>
      <c r="J1068" s="9" t="str">
        <f t="array" ref="J1068">IF(
  AND(
    IFERROR(MATCH(B1068, data!D:D, 0), 0) &gt; 0,
    IFERROR(INDEX(data!N:N, MATCH(B1068, data!D:D, 0)) = 1, FALSE)
  ),
  INDEX(data!C:C, MATCH(B1068, data!D:D, 0)),
  "INC"
)</f>
        <v>2025-09-03T12:57:35.289+08</v>
      </c>
      <c r="K1068" s="9" t="str">
        <f t="array" ref="K1068">IFERROR(INDEX(dataICM!C:C,match(Caseslist!B1068,dataICM!D:D,0)), "INC")</f>
        <v>2025-09-03T12:58:06.373+08</v>
      </c>
      <c r="L1068" s="10" t="str">
        <f t="array" ref="L1068">IF(AND(G1068="COMPLETE", OR(K1068="INC", ISBLANK(INDEX(data!O:O, ROW())))), J1068, K1068)</f>
        <v>2025-09-03T12:58:06.373+08</v>
      </c>
      <c r="M1068" s="2">
        <v>45903.0</v>
      </c>
      <c r="N1068" s="2">
        <f t="array" ref="N1068">IF(M1068&lt;&gt;"INC", INDEX(data!M:M, MATCH(B1068, data!D:D, 0)), "")</f>
        <v>2</v>
      </c>
      <c r="O1068" s="2">
        <f t="shared" si="3"/>
        <v>2</v>
      </c>
    </row>
    <row r="1069">
      <c r="A1069" s="2" t="str">
        <f t="shared" si="1"/>
        <v>H030076</v>
      </c>
      <c r="B1069" s="1" t="s">
        <v>3262</v>
      </c>
      <c r="C1069" s="9" t="str">
        <f t="array" ref="C1069">IF(
  AND(
    IFERROR(MATCH(Caseslist!B1069, data!D:D, 0), 0) &gt; 0,
    IFERROR(INDEX(data!N:N, MATCH(Caseslist!B1069, data!D:D, 0)) = 1, FALSE)
  ),
  "COMPLETE",
  "INC"
)</f>
        <v>COMPLETE</v>
      </c>
      <c r="D1069" s="9" t="str">
        <f t="array" ref="D1069">IFERROR(INDEX(data!$G:$G,match(Caseslist!B1069,data!$D:$D,0)), "INC")</f>
        <v>L2057896</v>
      </c>
      <c r="E1069" s="9" t="str">
        <f t="array" ref="E1069">IFERROR(INDEX(data!H:H,match(Caseslist!B1069,data!D:D,0)), "INC")</f>
        <v>Franz Reoben Posadas Geneblaza</v>
      </c>
      <c r="F1069" s="10" t="str">
        <f t="array" ref="F1069">IF(
    OR(
      IFNA(INDEX(data!M:M, MATCH(Caseslist!B1069, data!D:D, 0)), "") = "",
      IFNA(INDEX(data!M:M, MATCH(Caseslist!B1069, data!D:D, 0)), 0) = 0
    ),
    "COMPLETE",
    IF(
      IFNA(INDEX(dataICM!D:D, MATCH(Caseslist!B1069, dataICM!D:D, 0)), "INC") = "INC",
      IFNA(INDEX(dataICM!D:D, MATCH(Caseslist!B1069, dataICM!D:D, 0)), "INC"),
      "COMPLETE"
    )
  )</f>
        <v>COMPLETE</v>
      </c>
      <c r="G1069" s="10" t="str">
        <f t="array" ref="G1069">IF(IFERROR(INDEX(data!L:L,match(Caseslist!B1069,data!D:D,0)),"INC")="","COMPLETE",F1069)</f>
        <v>COMPLETE</v>
      </c>
      <c r="H1069" s="9" t="str">
        <f t="array" ref="H1069">IFERROR(INDEX(dataICM!F:F,match(Caseslist!B1069,dataICM!D:D,0)), "INC")</f>
        <v>Franz Reoben Posadas Geneblaza</v>
      </c>
      <c r="I1069" s="10" t="str">
        <f t="shared" si="2"/>
        <v>L2057896</v>
      </c>
      <c r="J1069" s="9" t="str">
        <f t="array" ref="J1069">IF(
  AND(
    IFERROR(MATCH(B1069, data!D:D, 0), 0) &gt; 0,
    IFERROR(INDEX(data!N:N, MATCH(B1069, data!D:D, 0)) = 1, FALSE)
  ),
  INDEX(data!C:C, MATCH(B1069, data!D:D, 0)),
  "INC"
)</f>
        <v>2025-09-03T13:44:12.468+08</v>
      </c>
      <c r="K1069" s="9" t="str">
        <f t="array" ref="K1069">IFERROR(INDEX(dataICM!C:C,match(Caseslist!B1069,dataICM!D:D,0)), "INC")</f>
        <v>2025-09-03T14:36:58.644+08</v>
      </c>
      <c r="L1069" s="10" t="str">
        <f t="array" ref="L1069">IF(AND(G1069="COMPLETE", OR(K1069="INC", ISBLANK(INDEX(data!O:O, ROW())))), J1069, K1069)</f>
        <v>2025-09-03T14:36:58.644+08</v>
      </c>
      <c r="M1069" s="2">
        <v>45903.0</v>
      </c>
      <c r="N1069" s="2">
        <f t="array" ref="N1069">IF(M1069&lt;&gt;"INC", INDEX(data!M:M, MATCH(B1069, data!D:D, 0)), "")</f>
        <v>2</v>
      </c>
      <c r="O1069" s="2">
        <f t="shared" si="3"/>
        <v>2</v>
      </c>
    </row>
    <row r="1070">
      <c r="A1070" s="2" t="str">
        <f t="shared" si="1"/>
        <v>H030076</v>
      </c>
      <c r="B1070" s="1" t="s">
        <v>3282</v>
      </c>
      <c r="C1070" s="9" t="str">
        <f t="array" ref="C1070">IF(
  AND(
    IFERROR(MATCH(Caseslist!B1070, data!D:D, 0), 0) &gt; 0,
    IFERROR(INDEX(data!N:N, MATCH(Caseslist!B1070, data!D:D, 0)) = 1, FALSE)
  ),
  "COMPLETE",
  "INC"
)</f>
        <v>COMPLETE</v>
      </c>
      <c r="D1070" s="9" t="str">
        <f t="array" ref="D1070">IFERROR(INDEX(data!$G:$G,match(Caseslist!B1070,data!$D:$D,0)), "INC")</f>
        <v>M6491032</v>
      </c>
      <c r="E1070" s="9" t="str">
        <f t="array" ref="E1070">IFERROR(INDEX(data!H:H,match(Caseslist!B1070,data!D:D,0)), "INC")</f>
        <v>Rosevil Tayo Desamparado</v>
      </c>
      <c r="F1070" s="10" t="str">
        <f t="array" ref="F1070">IF(
    OR(
      IFNA(INDEX(data!M:M, MATCH(Caseslist!B1070, data!D:D, 0)), "") = "",
      IFNA(INDEX(data!M:M, MATCH(Caseslist!B1070, data!D:D, 0)), 0) = 0
    ),
    "COMPLETE",
    IF(
      IFNA(INDEX(dataICM!D:D, MATCH(Caseslist!B1070, dataICM!D:D, 0)), "INC") = "INC",
      IFNA(INDEX(dataICM!D:D, MATCH(Caseslist!B1070, dataICM!D:D, 0)), "INC"),
      "COMPLETE"
    )
  )</f>
        <v>COMPLETE</v>
      </c>
      <c r="G1070" s="10" t="str">
        <f t="array" ref="G1070">IF(IFERROR(INDEX(data!L:L,match(Caseslist!B1070,data!D:D,0)),"INC")="","COMPLETE",F1070)</f>
        <v>COMPLETE</v>
      </c>
      <c r="H1070" s="9" t="str">
        <f t="array" ref="H1070">IFERROR(INDEX(dataICM!F:F,match(Caseslist!B1070,dataICM!D:D,0)), "INC")</f>
        <v>Rosevil Tayo Desamparado</v>
      </c>
      <c r="I1070" s="10" t="str">
        <f t="shared" si="2"/>
        <v>M6491032</v>
      </c>
      <c r="J1070" s="9" t="str">
        <f t="array" ref="J1070">IF(
  AND(
    IFERROR(MATCH(B1070, data!D:D, 0), 0) &gt; 0,
    IFERROR(INDEX(data!N:N, MATCH(B1070, data!D:D, 0)) = 1, FALSE)
  ),
  INDEX(data!C:C, MATCH(B1070, data!D:D, 0)),
  "INC"
)</f>
        <v>2025-10-05T20:30:38.380+08</v>
      </c>
      <c r="K1070" s="9" t="str">
        <f t="array" ref="K1070">IFERROR(INDEX(dataICM!C:C,match(Caseslist!B1070,dataICM!D:D,0)), "INC")</f>
        <v>2025-10-05T20:31:12.498+08</v>
      </c>
      <c r="L1070" s="10" t="str">
        <f t="array" ref="L1070">IF(AND(G1070="COMPLETE", OR(K1070="INC", ISBLANK(INDEX(data!O:O, ROW())))), J1070, K1070)</f>
        <v>2025-10-05T20:31:12.498+08</v>
      </c>
      <c r="M1070" s="2">
        <v>45935.0</v>
      </c>
      <c r="N1070" s="2">
        <f t="array" ref="N1070">IF(M1070&lt;&gt;"INC", INDEX(data!M:M, MATCH(B1070, data!D:D, 0)), "")</f>
        <v>2</v>
      </c>
      <c r="O1070" s="2">
        <f t="shared" si="3"/>
        <v>2</v>
      </c>
    </row>
    <row r="1071">
      <c r="A1071" s="2" t="str">
        <f t="shared" si="1"/>
        <v>H030076</v>
      </c>
      <c r="B1071" s="1" t="s">
        <v>3252</v>
      </c>
      <c r="C1071" s="9" t="str">
        <f t="array" ref="C1071">IF(
  AND(
    IFERROR(MATCH(Caseslist!B1071, data!D:D, 0), 0) &gt; 0,
    IFERROR(INDEX(data!N:N, MATCH(Caseslist!B1071, data!D:D, 0)) = 1, FALSE)
  ),
  "COMPLETE",
  "INC"
)</f>
        <v>COMPLETE</v>
      </c>
      <c r="D1071" s="9" t="str">
        <f t="array" ref="D1071">IFERROR(INDEX(data!$G:$G,match(Caseslist!B1071,data!$D:$D,0)), "INC")</f>
        <v>L2057896</v>
      </c>
      <c r="E1071" s="9" t="str">
        <f t="array" ref="E1071">IFERROR(INDEX(data!H:H,match(Caseslist!B1071,data!D:D,0)), "INC")</f>
        <v>Franz Reoben Posadas Geneblaza</v>
      </c>
      <c r="F1071" s="10" t="str">
        <f t="array" ref="F1071">IF(
    OR(
      IFNA(INDEX(data!M:M, MATCH(Caseslist!B1071, data!D:D, 0)), "") = "",
      IFNA(INDEX(data!M:M, MATCH(Caseslist!B1071, data!D:D, 0)), 0) = 0
    ),
    "COMPLETE",
    IF(
      IFNA(INDEX(dataICM!D:D, MATCH(Caseslist!B1071, dataICM!D:D, 0)), "INC") = "INC",
      IFNA(INDEX(dataICM!D:D, MATCH(Caseslist!B1071, dataICM!D:D, 0)), "INC"),
      "COMPLETE"
    )
  )</f>
        <v>COMPLETE</v>
      </c>
      <c r="G1071" s="10" t="str">
        <f t="array" ref="G1071">IF(IFERROR(INDEX(data!L:L,match(Caseslist!B1071,data!D:D,0)),"INC")="","COMPLETE",F1071)</f>
        <v>COMPLETE</v>
      </c>
      <c r="H1071" s="9" t="str">
        <f t="array" ref="H1071">IFERROR(INDEX(dataICM!F:F,match(Caseslist!B1071,dataICM!D:D,0)), "INC")</f>
        <v>Franz Reoben Posadas Geneblaza</v>
      </c>
      <c r="I1071" s="10" t="str">
        <f t="shared" si="2"/>
        <v>L2057896</v>
      </c>
      <c r="J1071" s="9" t="str">
        <f t="array" ref="J1071">IF(
  AND(
    IFERROR(MATCH(B1071, data!D:D, 0), 0) &gt; 0,
    IFERROR(INDEX(data!N:N, MATCH(B1071, data!D:D, 0)) = 1, FALSE)
  ),
  INDEX(data!C:C, MATCH(B1071, data!D:D, 0)),
  "INC"
)</f>
        <v>2025-09-03T08:21:42.997+08</v>
      </c>
      <c r="K1071" s="9" t="str">
        <f t="array" ref="K1071">IFERROR(INDEX(dataICM!C:C,match(Caseslist!B1071,dataICM!D:D,0)), "INC")</f>
        <v>2025-09-03T08:35:46.603+08</v>
      </c>
      <c r="L1071" s="10" t="str">
        <f t="array" ref="L1071">IF(AND(G1071="COMPLETE", OR(K1071="INC", ISBLANK(INDEX(data!O:O, ROW())))), J1071, K1071)</f>
        <v>2025-09-03T08:35:46.603+08</v>
      </c>
      <c r="M1071" s="2">
        <v>45903.0</v>
      </c>
      <c r="N1071" s="2">
        <f t="array" ref="N1071">IF(M1071&lt;&gt;"INC", INDEX(data!M:M, MATCH(B1071, data!D:D, 0)), "")</f>
        <v>2</v>
      </c>
      <c r="O1071" s="2">
        <f t="shared" si="3"/>
        <v>2</v>
      </c>
    </row>
    <row r="1072">
      <c r="A1072" s="2" t="str">
        <f t="shared" si="1"/>
        <v>H030076</v>
      </c>
      <c r="B1072" s="1" t="s">
        <v>3272</v>
      </c>
      <c r="C1072" s="9" t="str">
        <f t="array" ref="C1072">IF(
  AND(
    IFERROR(MATCH(Caseslist!B1072, data!D:D, 0), 0) &gt; 0,
    IFERROR(INDEX(data!N:N, MATCH(Caseslist!B1072, data!D:D, 0)) = 1, FALSE)
  ),
  "COMPLETE",
  "INC"
)</f>
        <v>COMPLETE</v>
      </c>
      <c r="D1072" s="9" t="str">
        <f t="array" ref="D1072">IFERROR(INDEX(data!$G:$G,match(Caseslist!B1072,data!$D:$D,0)), "INC")</f>
        <v>M6491032</v>
      </c>
      <c r="E1072" s="9" t="str">
        <f t="array" ref="E1072">IFERROR(INDEX(data!H:H,match(Caseslist!B1072,data!D:D,0)), "INC")</f>
        <v>Rosevil Tayo Desamparado</v>
      </c>
      <c r="F1072" s="10" t="str">
        <f t="array" ref="F1072">IF(
    OR(
      IFNA(INDEX(data!M:M, MATCH(Caseslist!B1072, data!D:D, 0)), "") = "",
      IFNA(INDEX(data!M:M, MATCH(Caseslist!B1072, data!D:D, 0)), 0) = 0
    ),
    "COMPLETE",
    IF(
      IFNA(INDEX(dataICM!D:D, MATCH(Caseslist!B1072, dataICM!D:D, 0)), "INC") = "INC",
      IFNA(INDEX(dataICM!D:D, MATCH(Caseslist!B1072, dataICM!D:D, 0)), "INC"),
      "COMPLETE"
    )
  )</f>
        <v>COMPLETE</v>
      </c>
      <c r="G1072" s="10" t="str">
        <f t="array" ref="G1072">IF(IFERROR(INDEX(data!L:L,match(Caseslist!B1072,data!D:D,0)),"INC")="","COMPLETE",F1072)</f>
        <v>COMPLETE</v>
      </c>
      <c r="H1072" s="9" t="str">
        <f t="array" ref="H1072">IFERROR(INDEX(dataICM!F:F,match(Caseslist!B1072,dataICM!D:D,0)), "INC")</f>
        <v>Rosevil Tayo Desamparado</v>
      </c>
      <c r="I1072" s="10" t="str">
        <f t="shared" si="2"/>
        <v>M6491032</v>
      </c>
      <c r="J1072" s="9" t="str">
        <f t="array" ref="J1072">IF(
  AND(
    IFERROR(MATCH(B1072, data!D:D, 0), 0) &gt; 0,
    IFERROR(INDEX(data!N:N, MATCH(B1072, data!D:D, 0)) = 1, FALSE)
  ),
  INDEX(data!C:C, MATCH(B1072, data!D:D, 0)),
  "INC"
)</f>
        <v>2025-09-03T12:58:55.187+08</v>
      </c>
      <c r="K1072" s="9" t="str">
        <f t="array" ref="K1072">IFERROR(INDEX(dataICM!C:C,match(Caseslist!B1072,dataICM!D:D,0)), "INC")</f>
        <v>2025-09-03T12:59:07.655+08</v>
      </c>
      <c r="L1072" s="10" t="str">
        <f t="array" ref="L1072">IF(AND(G1072="COMPLETE", OR(K1072="INC", ISBLANK(INDEX(data!O:O, ROW())))), J1072, K1072)</f>
        <v>2025-09-03T12:59:07.655+08</v>
      </c>
      <c r="M1072" s="2">
        <v>45903.0</v>
      </c>
      <c r="N1072" s="2">
        <f t="array" ref="N1072">IF(M1072&lt;&gt;"INC", INDEX(data!M:M, MATCH(B1072, data!D:D, 0)), "")</f>
        <v>2</v>
      </c>
      <c r="O1072" s="2">
        <f t="shared" si="3"/>
        <v>2</v>
      </c>
    </row>
    <row r="1073">
      <c r="A1073" s="2" t="str">
        <f t="shared" si="1"/>
        <v>H030076</v>
      </c>
      <c r="B1073" s="1" t="s">
        <v>3277</v>
      </c>
      <c r="C1073" s="9" t="str">
        <f t="array" ref="C1073">IF(
  AND(
    IFERROR(MATCH(Caseslist!B1073, data!D:D, 0), 0) &gt; 0,
    IFERROR(INDEX(data!N:N, MATCH(Caseslist!B1073, data!D:D, 0)) = 1, FALSE)
  ),
  "COMPLETE",
  "INC"
)</f>
        <v>COMPLETE</v>
      </c>
      <c r="D1073" s="9" t="str">
        <f t="array" ref="D1073">IFERROR(INDEX(data!$G:$G,match(Caseslist!B1073,data!$D:$D,0)), "INC")</f>
        <v>M6491032</v>
      </c>
      <c r="E1073" s="9" t="str">
        <f t="array" ref="E1073">IFERROR(INDEX(data!H:H,match(Caseslist!B1073,data!D:D,0)), "INC")</f>
        <v>Rosevil Tayo Desamparado</v>
      </c>
      <c r="F1073" s="10" t="str">
        <f t="array" ref="F1073">IF(
    OR(
      IFNA(INDEX(data!M:M, MATCH(Caseslist!B1073, data!D:D, 0)), "") = "",
      IFNA(INDEX(data!M:M, MATCH(Caseslist!B1073, data!D:D, 0)), 0) = 0
    ),
    "COMPLETE",
    IF(
      IFNA(INDEX(dataICM!D:D, MATCH(Caseslist!B1073, dataICM!D:D, 0)), "INC") = "INC",
      IFNA(INDEX(dataICM!D:D, MATCH(Caseslist!B1073, dataICM!D:D, 0)), "INC"),
      "COMPLETE"
    )
  )</f>
        <v>COMPLETE</v>
      </c>
      <c r="G1073" s="10" t="str">
        <f t="array" ref="G1073">IF(IFERROR(INDEX(data!L:L,match(Caseslist!B1073,data!D:D,0)),"INC")="","COMPLETE",F1073)</f>
        <v>COMPLETE</v>
      </c>
      <c r="H1073" s="9" t="str">
        <f t="array" ref="H1073">IFERROR(INDEX(dataICM!F:F,match(Caseslist!B1073,dataICM!D:D,0)), "INC")</f>
        <v>Rosevil Tayo Desamparado</v>
      </c>
      <c r="I1073" s="10" t="str">
        <f t="shared" si="2"/>
        <v>M6491032</v>
      </c>
      <c r="J1073" s="9" t="str">
        <f t="array" ref="J1073">IF(
  AND(
    IFERROR(MATCH(B1073, data!D:D, 0), 0) &gt; 0,
    IFERROR(INDEX(data!N:N, MATCH(B1073, data!D:D, 0)) = 1, FALSE)
  ),
  INDEX(data!C:C, MATCH(B1073, data!D:D, 0)),
  "INC"
)</f>
        <v>2025-09-03T13:06:43.114+08</v>
      </c>
      <c r="K1073" s="9" t="str">
        <f t="array" ref="K1073">IFERROR(INDEX(dataICM!C:C,match(Caseslist!B1073,dataICM!D:D,0)), "INC")</f>
        <v>2025-09-03T13:06:57.413+08</v>
      </c>
      <c r="L1073" s="10" t="str">
        <f t="array" ref="L1073">IF(AND(G1073="COMPLETE", OR(K1073="INC", ISBLANK(INDEX(data!O:O, ROW())))), J1073, K1073)</f>
        <v>2025-09-03T13:06:57.413+08</v>
      </c>
      <c r="M1073" s="2">
        <v>45903.0</v>
      </c>
      <c r="N1073" s="2">
        <f t="array" ref="N1073">IF(M1073&lt;&gt;"INC", INDEX(data!M:M, MATCH(B1073, data!D:D, 0)), "")</f>
        <v>2</v>
      </c>
      <c r="O1073" s="2">
        <f t="shared" si="3"/>
        <v>2</v>
      </c>
    </row>
    <row r="1074">
      <c r="A1074" s="2" t="str">
        <f t="shared" si="1"/>
        <v>H030076</v>
      </c>
      <c r="B1074" s="1" t="s">
        <v>3297</v>
      </c>
      <c r="C1074" s="9" t="str">
        <f t="array" ref="C1074">IF(
  AND(
    IFERROR(MATCH(Caseslist!B1074, data!D:D, 0), 0) &gt; 0,
    IFERROR(INDEX(data!N:N, MATCH(Caseslist!B1074, data!D:D, 0)) = 1, FALSE)
  ),
  "COMPLETE",
  "INC"
)</f>
        <v>COMPLETE</v>
      </c>
      <c r="D1074" s="9" t="str">
        <f t="array" ref="D1074">IFERROR(INDEX(data!$G:$G,match(Caseslist!B1074,data!$D:$D,0)), "INC")</f>
        <v>K8623174</v>
      </c>
      <c r="E1074" s="9" t="str">
        <f t="array" ref="E1074">IFERROR(INDEX(data!H:H,match(Caseslist!B1074,data!D:D,0)), "INC")</f>
        <v>Marielle Kaye Ignacio Alonzo</v>
      </c>
      <c r="F1074" s="10" t="str">
        <f t="array" ref="F1074">IF(
    OR(
      IFNA(INDEX(data!M:M, MATCH(Caseslist!B1074, data!D:D, 0)), "") = "",
      IFNA(INDEX(data!M:M, MATCH(Caseslist!B1074, data!D:D, 0)), 0) = 0
    ),
    "COMPLETE",
    IF(
      IFNA(INDEX(dataICM!D:D, MATCH(Caseslist!B1074, dataICM!D:D, 0)), "INC") = "INC",
      IFNA(INDEX(dataICM!D:D, MATCH(Caseslist!B1074, dataICM!D:D, 0)), "INC"),
      "COMPLETE"
    )
  )</f>
        <v>COMPLETE</v>
      </c>
      <c r="G1074" s="10" t="str">
        <f t="array" ref="G1074">IF(IFERROR(INDEX(data!L:L,match(Caseslist!B1074,data!D:D,0)),"INC")="","COMPLETE",F1074)</f>
        <v>COMPLETE</v>
      </c>
      <c r="H1074" s="9" t="str">
        <f t="array" ref="H1074">IFERROR(INDEX(dataICM!F:F,match(Caseslist!B1074,dataICM!D:D,0)), "INC")</f>
        <v>Marielle Kaye Ignacio Alonzo</v>
      </c>
      <c r="I1074" s="10" t="str">
        <f t="shared" si="2"/>
        <v>K8623174</v>
      </c>
      <c r="J1074" s="9" t="str">
        <f t="array" ref="J1074">IF(
  AND(
    IFERROR(MATCH(B1074, data!D:D, 0), 0) &gt; 0,
    IFERROR(INDEX(data!N:N, MATCH(B1074, data!D:D, 0)) = 1, FALSE)
  ),
  INDEX(data!C:C, MATCH(B1074, data!D:D, 0)),
  "INC"
)</f>
        <v>2025-09-03T08:39:48.215+08</v>
      </c>
      <c r="K1074" s="9" t="str">
        <f t="array" ref="K1074">IFERROR(INDEX(dataICM!C:C,match(Caseslist!B1074,dataICM!D:D,0)), "INC")</f>
        <v>2025-09-03T09:19:03.785+08</v>
      </c>
      <c r="L1074" s="10" t="str">
        <f t="array" ref="L1074">IF(AND(G1074="COMPLETE", OR(K1074="INC", ISBLANK(INDEX(data!O:O, ROW())))), J1074, K1074)</f>
        <v>2025-09-03T09:19:03.785+08</v>
      </c>
      <c r="M1074" s="2">
        <v>45903.0</v>
      </c>
      <c r="N1074" s="2">
        <f t="array" ref="N1074">IF(M1074&lt;&gt;"INC", INDEX(data!M:M, MATCH(B1074, data!D:D, 0)), "")</f>
        <v>2</v>
      </c>
      <c r="O1074" s="2">
        <f t="shared" si="3"/>
        <v>2</v>
      </c>
    </row>
    <row r="1075">
      <c r="A1075" s="2" t="str">
        <f t="shared" si="1"/>
        <v>H030076</v>
      </c>
      <c r="B1075" s="1" t="s">
        <v>3287</v>
      </c>
      <c r="C1075" s="9" t="str">
        <f t="array" ref="C1075">IF(
  AND(
    IFERROR(MATCH(Caseslist!B1075, data!D:D, 0), 0) &gt; 0,
    IFERROR(INDEX(data!N:N, MATCH(Caseslist!B1075, data!D:D, 0)) = 1, FALSE)
  ),
  "COMPLETE",
  "INC"
)</f>
        <v>COMPLETE</v>
      </c>
      <c r="D1075" s="9" t="str">
        <f t="array" ref="D1075">IFERROR(INDEX(data!$G:$G,match(Caseslist!B1075,data!$D:$D,0)), "INC")</f>
        <v>L2057896</v>
      </c>
      <c r="E1075" s="9" t="str">
        <f t="array" ref="E1075">IFERROR(INDEX(data!H:H,match(Caseslist!B1075,data!D:D,0)), "INC")</f>
        <v>Franz Reoben Posadas Geneblaza</v>
      </c>
      <c r="F1075" s="10" t="str">
        <f t="array" ref="F1075">IF(
    OR(
      IFNA(INDEX(data!M:M, MATCH(Caseslist!B1075, data!D:D, 0)), "") = "",
      IFNA(INDEX(data!M:M, MATCH(Caseslist!B1075, data!D:D, 0)), 0) = 0
    ),
    "COMPLETE",
    IF(
      IFNA(INDEX(dataICM!D:D, MATCH(Caseslist!B1075, dataICM!D:D, 0)), "INC") = "INC",
      IFNA(INDEX(dataICM!D:D, MATCH(Caseslist!B1075, dataICM!D:D, 0)), "INC"),
      "COMPLETE"
    )
  )</f>
        <v>COMPLETE</v>
      </c>
      <c r="G1075" s="10" t="str">
        <f t="array" ref="G1075">IF(IFERROR(INDEX(data!L:L,match(Caseslist!B1075,data!D:D,0)),"INC")="","COMPLETE",F1075)</f>
        <v>COMPLETE</v>
      </c>
      <c r="H1075" s="9" t="str">
        <f t="array" ref="H1075">IFERROR(INDEX(dataICM!F:F,match(Caseslist!B1075,dataICM!D:D,0)), "INC")</f>
        <v>Franz Reoben Posadas Geneblaza</v>
      </c>
      <c r="I1075" s="10" t="str">
        <f t="shared" si="2"/>
        <v>L2057896</v>
      </c>
      <c r="J1075" s="9" t="str">
        <f t="array" ref="J1075">IF(
  AND(
    IFERROR(MATCH(B1075, data!D:D, 0), 0) &gt; 0,
    IFERROR(INDEX(data!N:N, MATCH(B1075, data!D:D, 0)) = 1, FALSE)
  ),
  INDEX(data!C:C, MATCH(B1075, data!D:D, 0)),
  "INC"
)</f>
        <v>2025-10-02T09:40:51.881+08</v>
      </c>
      <c r="K1075" s="9" t="str">
        <f t="array" ref="K1075">IFERROR(INDEX(dataICM!C:C,match(Caseslist!B1075,dataICM!D:D,0)), "INC")</f>
        <v>2025-10-02T09:54:38.633+08</v>
      </c>
      <c r="L1075" s="10" t="str">
        <f t="array" ref="L1075">IF(AND(G1075="COMPLETE", OR(K1075="INC", ISBLANK(INDEX(data!O:O, ROW())))), J1075, K1075)</f>
        <v>2025-10-02T09:54:38.633+08</v>
      </c>
      <c r="M1075" s="2">
        <v>45932.0</v>
      </c>
      <c r="N1075" s="2">
        <f t="array" ref="N1075">IF(M1075&lt;&gt;"INC", INDEX(data!M:M, MATCH(B1075, data!D:D, 0)), "")</f>
        <v>2</v>
      </c>
      <c r="O1075" s="2">
        <f t="shared" si="3"/>
        <v>2</v>
      </c>
    </row>
    <row r="1076">
      <c r="A1076" s="2" t="str">
        <f t="shared" si="1"/>
        <v>H030076</v>
      </c>
      <c r="B1076" s="1" t="s">
        <v>3337</v>
      </c>
      <c r="C1076" s="9" t="str">
        <f t="array" ref="C1076">IF(
  AND(
    IFERROR(MATCH(Caseslist!B1076, data!D:D, 0), 0) &gt; 0,
    IFERROR(INDEX(data!N:N, MATCH(Caseslist!B1076, data!D:D, 0)) = 1, FALSE)
  ),
  "COMPLETE",
  "INC"
)</f>
        <v>COMPLETE</v>
      </c>
      <c r="D1076" s="9" t="str">
        <f t="array" ref="D1076">IFERROR(INDEX(data!$G:$G,match(Caseslist!B1076,data!$D:$D,0)), "INC")</f>
        <v>J4315980</v>
      </c>
      <c r="E1076" s="9" t="str">
        <f t="array" ref="E1076">IFERROR(INDEX(data!H:H,match(Caseslist!B1076,data!D:D,0)), "INC")</f>
        <v>Trixie Marie Jardeleza Saber</v>
      </c>
      <c r="F1076" s="10" t="str">
        <f t="array" ref="F1076">IF(
    OR(
      IFNA(INDEX(data!M:M, MATCH(Caseslist!B1076, data!D:D, 0)), "") = "",
      IFNA(INDEX(data!M:M, MATCH(Caseslist!B1076, data!D:D, 0)), 0) = 0
    ),
    "COMPLETE",
    IF(
      IFNA(INDEX(dataICM!D:D, MATCH(Caseslist!B1076, dataICM!D:D, 0)), "INC") = "INC",
      IFNA(INDEX(dataICM!D:D, MATCH(Caseslist!B1076, dataICM!D:D, 0)), "INC"),
      "COMPLETE"
    )
  )</f>
        <v>COMPLETE</v>
      </c>
      <c r="G1076" s="10" t="str">
        <f t="array" ref="G1076">IF(IFERROR(INDEX(data!L:L,match(Caseslist!B1076,data!D:D,0)),"INC")="","COMPLETE",F1076)</f>
        <v>COMPLETE</v>
      </c>
      <c r="H1076" s="9" t="str">
        <f t="array" ref="H1076">IFERROR(INDEX(dataICM!F:F,match(Caseslist!B1076,dataICM!D:D,0)), "INC")</f>
        <v>Trixie Marie Jardeleza Saber</v>
      </c>
      <c r="I1076" s="10" t="str">
        <f t="shared" si="2"/>
        <v>J4315980</v>
      </c>
      <c r="J1076" s="9" t="str">
        <f t="array" ref="J1076">IF(
  AND(
    IFERROR(MATCH(B1076, data!D:D, 0), 0) &gt; 0,
    IFERROR(INDEX(data!N:N, MATCH(B1076, data!D:D, 0)) = 1, FALSE)
  ),
  INDEX(data!C:C, MATCH(B1076, data!D:D, 0)),
  "INC"
)</f>
        <v>2025-09-03T13:46:20.971+08</v>
      </c>
      <c r="K1076" s="9" t="str">
        <f t="array" ref="K1076">IFERROR(INDEX(dataICM!C:C,match(Caseslist!B1076,dataICM!D:D,0)), "INC")</f>
        <v>2025-09-03T13:52:57.749+08</v>
      </c>
      <c r="L1076" s="10" t="str">
        <f t="array" ref="L1076">IF(AND(G1076="COMPLETE", OR(K1076="INC", ISBLANK(INDEX(data!O:O, ROW())))), J1076, K1076)</f>
        <v>2025-09-03T13:52:57.749+08</v>
      </c>
      <c r="M1076" s="2">
        <v>45903.0</v>
      </c>
      <c r="N1076" s="2">
        <f t="array" ref="N1076">IF(M1076&lt;&gt;"INC", INDEX(data!M:M, MATCH(B1076, data!D:D, 0)), "")</f>
        <v>2</v>
      </c>
      <c r="O1076" s="2">
        <f t="shared" si="3"/>
        <v>2</v>
      </c>
    </row>
    <row r="1077">
      <c r="A1077" s="2" t="str">
        <f t="shared" si="1"/>
        <v>H030076</v>
      </c>
      <c r="B1077" s="1" t="s">
        <v>3307</v>
      </c>
      <c r="C1077" s="9" t="str">
        <f t="array" ref="C1077">IF(
  AND(
    IFERROR(MATCH(Caseslist!B1077, data!D:D, 0), 0) &gt; 0,
    IFERROR(INDEX(data!N:N, MATCH(Caseslist!B1077, data!D:D, 0)) = 1, FALSE)
  ),
  "COMPLETE",
  "INC"
)</f>
        <v>COMPLETE</v>
      </c>
      <c r="D1077" s="9" t="str">
        <f t="array" ref="D1077">IFERROR(INDEX(data!$G:$G,match(Caseslist!B1077,data!$D:$D,0)), "INC")</f>
        <v>K8623174</v>
      </c>
      <c r="E1077" s="9" t="str">
        <f t="array" ref="E1077">IFERROR(INDEX(data!H:H,match(Caseslist!B1077,data!D:D,0)), "INC")</f>
        <v>Marielle Kaye Ignacio Alonzo</v>
      </c>
      <c r="F1077" s="10" t="str">
        <f t="array" ref="F1077">IF(
    OR(
      IFNA(INDEX(data!M:M, MATCH(Caseslist!B1077, data!D:D, 0)), "") = "",
      IFNA(INDEX(data!M:M, MATCH(Caseslist!B1077, data!D:D, 0)), 0) = 0
    ),
    "COMPLETE",
    IF(
      IFNA(INDEX(dataICM!D:D, MATCH(Caseslist!B1077, dataICM!D:D, 0)), "INC") = "INC",
      IFNA(INDEX(dataICM!D:D, MATCH(Caseslist!B1077, dataICM!D:D, 0)), "INC"),
      "COMPLETE"
    )
  )</f>
        <v>COMPLETE</v>
      </c>
      <c r="G1077" s="10" t="str">
        <f t="array" ref="G1077">IF(IFERROR(INDEX(data!L:L,match(Caseslist!B1077,data!D:D,0)),"INC")="","COMPLETE",F1077)</f>
        <v>COMPLETE</v>
      </c>
      <c r="H1077" s="9" t="str">
        <f t="array" ref="H1077">IFERROR(INDEX(dataICM!F:F,match(Caseslist!B1077,dataICM!D:D,0)), "INC")</f>
        <v>Marielle Kaye Ignacio Alonzo</v>
      </c>
      <c r="I1077" s="10" t="str">
        <f t="shared" si="2"/>
        <v>K8623174</v>
      </c>
      <c r="J1077" s="9" t="str">
        <f t="array" ref="J1077">IF(
  AND(
    IFERROR(MATCH(B1077, data!D:D, 0), 0) &gt; 0,
    IFERROR(INDEX(data!N:N, MATCH(B1077, data!D:D, 0)) = 1, FALSE)
  ),
  INDEX(data!C:C, MATCH(B1077, data!D:D, 0)),
  "INC"
)</f>
        <v>2025-09-03T13:15:33.713+08</v>
      </c>
      <c r="K1077" s="9" t="str">
        <f t="array" ref="K1077">IFERROR(INDEX(dataICM!C:C,match(Caseslist!B1077,dataICM!D:D,0)), "INC")</f>
        <v>2025-09-03T13:20:51.125+08</v>
      </c>
      <c r="L1077" s="10" t="str">
        <f t="array" ref="L1077">IF(AND(G1077="COMPLETE", OR(K1077="INC", ISBLANK(INDEX(data!O:O, ROW())))), J1077, K1077)</f>
        <v>2025-09-03T13:20:51.125+08</v>
      </c>
      <c r="M1077" s="2">
        <v>45903.0</v>
      </c>
      <c r="N1077" s="2">
        <f t="array" ref="N1077">IF(M1077&lt;&gt;"INC", INDEX(data!M:M, MATCH(B1077, data!D:D, 0)), "")</f>
        <v>2</v>
      </c>
      <c r="O1077" s="2">
        <f t="shared" si="3"/>
        <v>2</v>
      </c>
    </row>
    <row r="1078">
      <c r="A1078" s="2" t="str">
        <f t="shared" si="1"/>
        <v>H030076</v>
      </c>
      <c r="B1078" s="1" t="s">
        <v>3302</v>
      </c>
      <c r="C1078" s="9" t="str">
        <f t="array" ref="C1078">IF(
  AND(
    IFERROR(MATCH(Caseslist!B1078, data!D:D, 0), 0) &gt; 0,
    IFERROR(INDEX(data!N:N, MATCH(Caseslist!B1078, data!D:D, 0)) = 1, FALSE)
  ),
  "COMPLETE",
  "INC"
)</f>
        <v>COMPLETE</v>
      </c>
      <c r="D1078" s="9" t="str">
        <f t="array" ref="D1078">IFERROR(INDEX(data!$G:$G,match(Caseslist!B1078,data!$D:$D,0)), "INC")</f>
        <v>K8623174</v>
      </c>
      <c r="E1078" s="9" t="str">
        <f t="array" ref="E1078">IFERROR(INDEX(data!H:H,match(Caseslist!B1078,data!D:D,0)), "INC")</f>
        <v>Marielle Kaye Ignacio Alonzo</v>
      </c>
      <c r="F1078" s="10" t="str">
        <f t="array" ref="F1078">IF(
    OR(
      IFNA(INDEX(data!M:M, MATCH(Caseslist!B1078, data!D:D, 0)), "") = "",
      IFNA(INDEX(data!M:M, MATCH(Caseslist!B1078, data!D:D, 0)), 0) = 0
    ),
    "COMPLETE",
    IF(
      IFNA(INDEX(dataICM!D:D, MATCH(Caseslist!B1078, dataICM!D:D, 0)), "INC") = "INC",
      IFNA(INDEX(dataICM!D:D, MATCH(Caseslist!B1078, dataICM!D:D, 0)), "INC"),
      "COMPLETE"
    )
  )</f>
        <v>COMPLETE</v>
      </c>
      <c r="G1078" s="10" t="str">
        <f t="array" ref="G1078">IF(IFERROR(INDEX(data!L:L,match(Caseslist!B1078,data!D:D,0)),"INC")="","COMPLETE",F1078)</f>
        <v>COMPLETE</v>
      </c>
      <c r="H1078" s="9" t="str">
        <f t="array" ref="H1078">IFERROR(INDEX(dataICM!F:F,match(Caseslist!B1078,dataICM!D:D,0)), "INC")</f>
        <v>Marielle Kaye Ignacio Alonzo</v>
      </c>
      <c r="I1078" s="10" t="str">
        <f t="shared" si="2"/>
        <v>K8623174</v>
      </c>
      <c r="J1078" s="9" t="str">
        <f t="array" ref="J1078">IF(
  AND(
    IFERROR(MATCH(B1078, data!D:D, 0), 0) &gt; 0,
    IFERROR(INDEX(data!N:N, MATCH(B1078, data!D:D, 0)) = 1, FALSE)
  ),
  INDEX(data!C:C, MATCH(B1078, data!D:D, 0)),
  "INC"
)</f>
        <v>2025-09-03T10:28:07.468+08</v>
      </c>
      <c r="K1078" s="9" t="str">
        <f t="array" ref="K1078">IFERROR(INDEX(dataICM!C:C,match(Caseslist!B1078,dataICM!D:D,0)), "INC")</f>
        <v>2025-09-03T12:33:46.355+08</v>
      </c>
      <c r="L1078" s="10" t="str">
        <f t="array" ref="L1078">IF(AND(G1078="COMPLETE", OR(K1078="INC", ISBLANK(INDEX(data!O:O, ROW())))), J1078, K1078)</f>
        <v>2025-09-03T12:33:46.355+08</v>
      </c>
      <c r="M1078" s="2">
        <v>45903.0</v>
      </c>
      <c r="N1078" s="2">
        <f t="array" ref="N1078">IF(M1078&lt;&gt;"INC", INDEX(data!M:M, MATCH(B1078, data!D:D, 0)), "")</f>
        <v>2</v>
      </c>
      <c r="O1078" s="2">
        <f t="shared" si="3"/>
        <v>2</v>
      </c>
    </row>
    <row r="1079">
      <c r="A1079" s="2" t="str">
        <f t="shared" si="1"/>
        <v>H030076</v>
      </c>
      <c r="B1079" s="1" t="s">
        <v>3327</v>
      </c>
      <c r="C1079" s="9" t="str">
        <f t="array" ref="C1079">IF(
  AND(
    IFERROR(MATCH(Caseslist!B1079, data!D:D, 0), 0) &gt; 0,
    IFERROR(INDEX(data!N:N, MATCH(Caseslist!B1079, data!D:D, 0)) = 1, FALSE)
  ),
  "COMPLETE",
  "INC"
)</f>
        <v>COMPLETE</v>
      </c>
      <c r="D1079" s="9" t="str">
        <f t="array" ref="D1079">IFERROR(INDEX(data!$G:$G,match(Caseslist!B1079,data!$D:$D,0)), "INC")</f>
        <v>J4315980</v>
      </c>
      <c r="E1079" s="9" t="str">
        <f t="array" ref="E1079">IFERROR(INDEX(data!H:H,match(Caseslist!B1079,data!D:D,0)), "INC")</f>
        <v>Trixie Marie Jardeleza Saber</v>
      </c>
      <c r="F1079" s="10" t="str">
        <f t="array" ref="F1079">IF(
    OR(
      IFNA(INDEX(data!M:M, MATCH(Caseslist!B1079, data!D:D, 0)), "") = "",
      IFNA(INDEX(data!M:M, MATCH(Caseslist!B1079, data!D:D, 0)), 0) = 0
    ),
    "COMPLETE",
    IF(
      IFNA(INDEX(dataICM!D:D, MATCH(Caseslist!B1079, dataICM!D:D, 0)), "INC") = "INC",
      IFNA(INDEX(dataICM!D:D, MATCH(Caseslist!B1079, dataICM!D:D, 0)), "INC"),
      "COMPLETE"
    )
  )</f>
        <v>COMPLETE</v>
      </c>
      <c r="G1079" s="10" t="str">
        <f t="array" ref="G1079">IF(IFERROR(INDEX(data!L:L,match(Caseslist!B1079,data!D:D,0)),"INC")="","COMPLETE",F1079)</f>
        <v>COMPLETE</v>
      </c>
      <c r="H1079" s="9" t="str">
        <f t="array" ref="H1079">IFERROR(INDEX(dataICM!F:F,match(Caseslist!B1079,dataICM!D:D,0)), "INC")</f>
        <v>Trixie Marie Jardeleza Saber</v>
      </c>
      <c r="I1079" s="10" t="str">
        <f t="shared" si="2"/>
        <v>J4315980</v>
      </c>
      <c r="J1079" s="9" t="str">
        <f t="array" ref="J1079">IF(
  AND(
    IFERROR(MATCH(B1079, data!D:D, 0), 0) &gt; 0,
    IFERROR(INDEX(data!N:N, MATCH(B1079, data!D:D, 0)) = 1, FALSE)
  ),
  INDEX(data!C:C, MATCH(B1079, data!D:D, 0)),
  "INC"
)</f>
        <v>2025-09-03T09:54:25.076+08</v>
      </c>
      <c r="K1079" s="9" t="str">
        <f t="array" ref="K1079">IFERROR(INDEX(dataICM!C:C,match(Caseslist!B1079,dataICM!D:D,0)), "INC")</f>
        <v>2025-09-03T10:00:08.943+08</v>
      </c>
      <c r="L1079" s="10" t="str">
        <f t="array" ref="L1079">IF(AND(G1079="COMPLETE", OR(K1079="INC", ISBLANK(INDEX(data!O:O, ROW())))), J1079, K1079)</f>
        <v>2025-09-03T10:00:08.943+08</v>
      </c>
      <c r="M1079" s="2">
        <v>45903.0</v>
      </c>
      <c r="N1079" s="2">
        <f t="array" ref="N1079">IF(M1079&lt;&gt;"INC", INDEX(data!M:M, MATCH(B1079, data!D:D, 0)), "")</f>
        <v>2</v>
      </c>
      <c r="O1079" s="2">
        <f t="shared" si="3"/>
        <v>2</v>
      </c>
    </row>
    <row r="1080">
      <c r="A1080" s="2" t="str">
        <f t="shared" si="1"/>
        <v>H030076</v>
      </c>
      <c r="B1080" s="1" t="s">
        <v>3257</v>
      </c>
      <c r="C1080" s="9" t="str">
        <f t="array" ref="C1080">IF(
  AND(
    IFERROR(MATCH(Caseslist!B1080, data!D:D, 0), 0) &gt; 0,
    IFERROR(INDEX(data!N:N, MATCH(Caseslist!B1080, data!D:D, 0)) = 1, FALSE)
  ),
  "COMPLETE",
  "INC"
)</f>
        <v>COMPLETE</v>
      </c>
      <c r="D1080" s="9" t="str">
        <f t="array" ref="D1080">IFERROR(INDEX(data!$G:$G,match(Caseslist!B1080,data!$D:$D,0)), "INC")</f>
        <v>L2057896</v>
      </c>
      <c r="E1080" s="9" t="str">
        <f t="array" ref="E1080">IFERROR(INDEX(data!H:H,match(Caseslist!B1080,data!D:D,0)), "INC")</f>
        <v>Franz Reoben Posadas Geneblaza</v>
      </c>
      <c r="F1080" s="10" t="str">
        <f t="array" ref="F1080">IF(
    OR(
      IFNA(INDEX(data!M:M, MATCH(Caseslist!B1080, data!D:D, 0)), "") = "",
      IFNA(INDEX(data!M:M, MATCH(Caseslist!B1080, data!D:D, 0)), 0) = 0
    ),
    "COMPLETE",
    IF(
      IFNA(INDEX(dataICM!D:D, MATCH(Caseslist!B1080, dataICM!D:D, 0)), "INC") = "INC",
      IFNA(INDEX(dataICM!D:D, MATCH(Caseslist!B1080, dataICM!D:D, 0)), "INC"),
      "COMPLETE"
    )
  )</f>
        <v>COMPLETE</v>
      </c>
      <c r="G1080" s="10" t="str">
        <f t="array" ref="G1080">IF(IFERROR(INDEX(data!L:L,match(Caseslist!B1080,data!D:D,0)),"INC")="","COMPLETE",F1080)</f>
        <v>COMPLETE</v>
      </c>
      <c r="H1080" s="9" t="str">
        <f t="array" ref="H1080">IFERROR(INDEX(dataICM!F:F,match(Caseslist!B1080,dataICM!D:D,0)), "INC")</f>
        <v>Franz Reoben Posadas Geneblaza</v>
      </c>
      <c r="I1080" s="10" t="str">
        <f t="shared" si="2"/>
        <v>L2057896</v>
      </c>
      <c r="J1080" s="9" t="str">
        <f t="array" ref="J1080">IF(
  AND(
    IFERROR(MATCH(B1080, data!D:D, 0), 0) &gt; 0,
    IFERROR(INDEX(data!N:N, MATCH(B1080, data!D:D, 0)) = 1, FALSE)
  ),
  INDEX(data!C:C, MATCH(B1080, data!D:D, 0)),
  "INC"
)</f>
        <v>2025-09-03T09:07:14.646+08</v>
      </c>
      <c r="K1080" s="9" t="str">
        <f t="array" ref="K1080">IFERROR(INDEX(dataICM!C:C,match(Caseslist!B1080,dataICM!D:D,0)), "INC")</f>
        <v>2025-09-03T09:44:21.933+08</v>
      </c>
      <c r="L1080" s="10" t="str">
        <f t="array" ref="L1080">IF(AND(G1080="COMPLETE", OR(K1080="INC", ISBLANK(INDEX(data!O:O, ROW())))), J1080, K1080)</f>
        <v>2025-09-03T09:44:21.933+08</v>
      </c>
      <c r="M1080" s="2">
        <v>45903.0</v>
      </c>
      <c r="N1080" s="2">
        <f t="array" ref="N1080">IF(M1080&lt;&gt;"INC", INDEX(data!M:M, MATCH(B1080, data!D:D, 0)), "")</f>
        <v>2</v>
      </c>
      <c r="O1080" s="2">
        <f t="shared" si="3"/>
        <v>2</v>
      </c>
    </row>
    <row r="1081">
      <c r="A1081" s="2" t="str">
        <f t="shared" si="1"/>
        <v>H030076</v>
      </c>
      <c r="B1081" s="1" t="s">
        <v>3322</v>
      </c>
      <c r="C1081" s="9" t="str">
        <f t="array" ref="C1081">IF(
  AND(
    IFERROR(MATCH(Caseslist!B1081, data!D:D, 0), 0) &gt; 0,
    IFERROR(INDEX(data!N:N, MATCH(Caseslist!B1081, data!D:D, 0)) = 1, FALSE)
  ),
  "COMPLETE",
  "INC"
)</f>
        <v>COMPLETE</v>
      </c>
      <c r="D1081" s="9" t="str">
        <f t="array" ref="D1081">IFERROR(INDEX(data!$G:$G,match(Caseslist!B1081,data!$D:$D,0)), "INC")</f>
        <v>J4315980</v>
      </c>
      <c r="E1081" s="9" t="str">
        <f t="array" ref="E1081">IFERROR(INDEX(data!H:H,match(Caseslist!B1081,data!D:D,0)), "INC")</f>
        <v>Trixie Marie Jardeleza Saber</v>
      </c>
      <c r="F1081" s="10" t="str">
        <f t="array" ref="F1081">IF(
    OR(
      IFNA(INDEX(data!M:M, MATCH(Caseslist!B1081, data!D:D, 0)), "") = "",
      IFNA(INDEX(data!M:M, MATCH(Caseslist!B1081, data!D:D, 0)), 0) = 0
    ),
    "COMPLETE",
    IF(
      IFNA(INDEX(dataICM!D:D, MATCH(Caseslist!B1081, dataICM!D:D, 0)), "INC") = "INC",
      IFNA(INDEX(dataICM!D:D, MATCH(Caseslist!B1081, dataICM!D:D, 0)), "INC"),
      "COMPLETE"
    )
  )</f>
        <v>COMPLETE</v>
      </c>
      <c r="G1081" s="10" t="str">
        <f t="array" ref="G1081">IF(IFERROR(INDEX(data!L:L,match(Caseslist!B1081,data!D:D,0)),"INC")="","COMPLETE",F1081)</f>
        <v>COMPLETE</v>
      </c>
      <c r="H1081" s="9" t="str">
        <f t="array" ref="H1081">IFERROR(INDEX(dataICM!F:F,match(Caseslist!B1081,dataICM!D:D,0)), "INC")</f>
        <v>Trixie Marie Jardeleza Saber</v>
      </c>
      <c r="I1081" s="10" t="str">
        <f t="shared" si="2"/>
        <v>J4315980</v>
      </c>
      <c r="J1081" s="9" t="str">
        <f t="array" ref="J1081">IF(
  AND(
    IFERROR(MATCH(B1081, data!D:D, 0), 0) &gt; 0,
    IFERROR(INDEX(data!N:N, MATCH(B1081, data!D:D, 0)) = 1, FALSE)
  ),
  INDEX(data!C:C, MATCH(B1081, data!D:D, 0)),
  "INC"
)</f>
        <v>2025-09-03T09:32:09.642+08</v>
      </c>
      <c r="K1081" s="9" t="str">
        <f t="array" ref="K1081">IFERROR(INDEX(dataICM!C:C,match(Caseslist!B1081,dataICM!D:D,0)), "INC")</f>
        <v>2025-09-03T09:36:00.576+08</v>
      </c>
      <c r="L1081" s="10" t="str">
        <f t="array" ref="L1081">IF(AND(G1081="COMPLETE", OR(K1081="INC", ISBLANK(INDEX(data!O:O, ROW())))), J1081, K1081)</f>
        <v>2025-09-03T09:36:00.576+08</v>
      </c>
      <c r="M1081" s="2">
        <v>45903.0</v>
      </c>
      <c r="N1081" s="2">
        <f t="array" ref="N1081">IF(M1081&lt;&gt;"INC", INDEX(data!M:M, MATCH(B1081, data!D:D, 0)), "")</f>
        <v>2</v>
      </c>
      <c r="O1081" s="2">
        <f t="shared" si="3"/>
        <v>2</v>
      </c>
    </row>
    <row r="1082">
      <c r="A1082" s="2" t="str">
        <f t="shared" si="1"/>
        <v>H030076</v>
      </c>
      <c r="B1082" s="1" t="s">
        <v>3332</v>
      </c>
      <c r="C1082" s="9" t="str">
        <f t="array" ref="C1082">IF(
  AND(
    IFERROR(MATCH(Caseslist!B1082, data!D:D, 0), 0) &gt; 0,
    IFERROR(INDEX(data!N:N, MATCH(Caseslist!B1082, data!D:D, 0)) = 1, FALSE)
  ),
  "COMPLETE",
  "INC"
)</f>
        <v>INC</v>
      </c>
      <c r="D1082" s="9" t="str">
        <f t="array" ref="D1082">IFERROR(INDEX(data!$G:$G,match(Caseslist!B1082,data!$D:$D,0)), "INC")</f>
        <v>J4315980</v>
      </c>
      <c r="E1082" s="9" t="str">
        <f t="array" ref="E1082">IFERROR(INDEX(data!H:H,match(Caseslist!B1082,data!D:D,0)), "INC")</f>
        <v>Trixie Marie Jardeleza Saber</v>
      </c>
      <c r="F1082" s="10" t="str">
        <f t="array" ref="F1082">IF(
    OR(
      IFNA(INDEX(data!M:M, MATCH(Caseslist!B1082, data!D:D, 0)), "") = "",
      IFNA(INDEX(data!M:M, MATCH(Caseslist!B1082, data!D:D, 0)), 0) = 0
    ),
    "COMPLETE",
    IF(
      IFNA(INDEX(dataICM!D:D, MATCH(Caseslist!B1082, dataICM!D:D, 0)), "INC") = "INC",
      IFNA(INDEX(dataICM!D:D, MATCH(Caseslist!B1082, dataICM!D:D, 0)), "INC"),
      "COMPLETE"
    )
  )</f>
        <v>INC</v>
      </c>
      <c r="G1082" s="10" t="str">
        <f t="array" ref="G1082">IF(IFERROR(INDEX(data!L:L,match(Caseslist!B1082,data!D:D,0)),"INC")="","COMPLETE",F1082)</f>
        <v>INC</v>
      </c>
      <c r="H1082" s="9" t="str">
        <f t="array" ref="H1082">IFERROR(INDEX(dataICM!F:F,match(Caseslist!B1082,dataICM!D:D,0)), "INC")</f>
        <v>INC</v>
      </c>
      <c r="I1082" s="10" t="str">
        <f t="shared" si="2"/>
        <v>INC</v>
      </c>
      <c r="J1082" s="9" t="str">
        <f t="array" ref="J1082">IF(
  AND(
    IFERROR(MATCH(B1082, data!D:D, 0), 0) &gt; 0,
    IFERROR(INDEX(data!N:N, MATCH(B1082, data!D:D, 0)) = 1, FALSE)
  ),
  INDEX(data!C:C, MATCH(B1082, data!D:D, 0)),
  "INC"
)</f>
        <v>INC</v>
      </c>
      <c r="K1082" s="9" t="str">
        <f t="array" ref="K1082">IFERROR(INDEX(dataICM!C:C,match(Caseslist!B1082,dataICM!D:D,0)), "INC")</f>
        <v>INC</v>
      </c>
      <c r="L1082" s="10" t="str">
        <f t="array" ref="L1082">IF(AND(G1082="COMPLETE", OR(K1082="INC", ISBLANK(INDEX(data!O:O, ROW())))), J1082, K1082)</f>
        <v>INC</v>
      </c>
      <c r="M1082" s="2" t="s">
        <v>8886</v>
      </c>
      <c r="N1082" s="2" t="str">
        <f t="array" ref="N1082">IF(M1082&lt;&gt;"INC", INDEX(data!M:M, MATCH(B1082, data!D:D, 0)), "")</f>
        <v/>
      </c>
      <c r="O1082" s="2" t="str">
        <f t="shared" si="3"/>
        <v/>
      </c>
    </row>
    <row r="1083">
      <c r="A1083" s="2" t="str">
        <f t="shared" si="1"/>
        <v>H030106</v>
      </c>
      <c r="B1083" s="1" t="s">
        <v>8818</v>
      </c>
      <c r="C1083" s="9" t="str">
        <f t="array" ref="C1083">IF(
  AND(
    IFERROR(MATCH(Caseslist!B1083, data!D:D, 0), 0) &gt; 0,
    IFERROR(INDEX(data!N:N, MATCH(Caseslist!B1083, data!D:D, 0)) = 1, FALSE)
  ),
  "COMPLETE",
  "INC"
)</f>
        <v>COMPLETE</v>
      </c>
      <c r="D1083" s="9" t="str">
        <f t="array" ref="D1083">IFERROR(INDEX(data!$G:$G,match(Caseslist!B1083,data!$D:$D,0)), "INC")</f>
        <v>O3925718</v>
      </c>
      <c r="E1083" s="9" t="str">
        <f t="array" ref="E1083">IFERROR(INDEX(data!H:H,match(Caseslist!B1083,data!D:D,0)), "INC")</f>
        <v>Adrian Montecastro Ferrer</v>
      </c>
      <c r="F1083" s="10" t="str">
        <f t="array" ref="F1083">IF(
    OR(
      IFNA(INDEX(data!M:M, MATCH(Caseslist!B1083, data!D:D, 0)), "") = "",
      IFNA(INDEX(data!M:M, MATCH(Caseslist!B1083, data!D:D, 0)), 0) = 0
    ),
    "COMPLETE",
    IF(
      IFNA(INDEX(dataICM!D:D, MATCH(Caseslist!B1083, dataICM!D:D, 0)), "INC") = "INC",
      IFNA(INDEX(dataICM!D:D, MATCH(Caseslist!B1083, dataICM!D:D, 0)), "INC"),
      "COMPLETE"
    )
  )</f>
        <v>INC</v>
      </c>
      <c r="G1083" s="10" t="str">
        <f t="array" ref="G1083">IF(IFERROR(INDEX(data!L:L,match(Caseslist!B1083,data!D:D,0)),"INC")="","COMPLETE",F1083)</f>
        <v>INC</v>
      </c>
      <c r="H1083" s="9" t="str">
        <f t="array" ref="H1083">IFERROR(INDEX(dataICM!F:F,match(Caseslist!B1083,dataICM!D:D,0)), "INC")</f>
        <v>INC</v>
      </c>
      <c r="I1083" s="10" t="str">
        <f t="shared" si="2"/>
        <v>INC</v>
      </c>
      <c r="J1083" s="9" t="str">
        <f t="array" ref="J1083">IF(
  AND(
    IFERROR(MATCH(B1083, data!D:D, 0), 0) &gt; 0,
    IFERROR(INDEX(data!N:N, MATCH(B1083, data!D:D, 0)) = 1, FALSE)
  ),
  INDEX(data!C:C, MATCH(B1083, data!D:D, 0)),
  "INC"
)</f>
        <v>2025-10-05T09:16:25.618+08</v>
      </c>
      <c r="K1083" s="9" t="str">
        <f t="array" ref="K1083">IFERROR(INDEX(dataICM!C:C,match(Caseslist!B1083,dataICM!D:D,0)), "INC")</f>
        <v>INC</v>
      </c>
      <c r="L1083" s="10" t="str">
        <f t="array" ref="L1083">IF(AND(G1083="COMPLETE", OR(K1083="INC", ISBLANK(INDEX(data!O:O, ROW())))), J1083, K1083)</f>
        <v>INC</v>
      </c>
      <c r="M1083" s="2" t="s">
        <v>8886</v>
      </c>
      <c r="N1083" s="2" t="str">
        <f t="array" ref="N1083">IF(M1083&lt;&gt;"INC", INDEX(data!M:M, MATCH(B1083, data!D:D, 0)), "")</f>
        <v/>
      </c>
      <c r="O1083" s="2" t="str">
        <f t="shared" si="3"/>
        <v/>
      </c>
    </row>
    <row r="1084">
      <c r="A1084" s="2" t="str">
        <f t="shared" si="1"/>
        <v>H030106</v>
      </c>
      <c r="B1084" s="1" t="s">
        <v>1382</v>
      </c>
      <c r="C1084" s="9" t="str">
        <f t="array" ref="C1084">IF(
  AND(
    IFERROR(MATCH(Caseslist!B1084, data!D:D, 0), 0) &gt; 0,
    IFERROR(INDEX(data!N:N, MATCH(Caseslist!B1084, data!D:D, 0)) = 1, FALSE)
  ),
  "COMPLETE",
  "INC"
)</f>
        <v>INC</v>
      </c>
      <c r="D1084" s="9" t="str">
        <f t="array" ref="D1084">IFERROR(INDEX(data!$G:$G,match(Caseslist!B1084,data!$D:$D,0)), "INC")</f>
        <v>N7814260</v>
      </c>
      <c r="E1084" s="9" t="str">
        <f t="array" ref="E1084">IFERROR(INDEX(data!H:H,match(Caseslist!B1084,data!D:D,0)), "INC")</f>
        <v>Jemma Marie Tillo</v>
      </c>
      <c r="F1084" s="10" t="str">
        <f t="array" ref="F1084">IF(
    OR(
      IFNA(INDEX(data!M:M, MATCH(Caseslist!B1084, data!D:D, 0)), "") = "",
      IFNA(INDEX(data!M:M, MATCH(Caseslist!B1084, data!D:D, 0)), 0) = 0
    ),
    "COMPLETE",
    IF(
      IFNA(INDEX(dataICM!D:D, MATCH(Caseslist!B1084, dataICM!D:D, 0)), "INC") = "INC",
      IFNA(INDEX(dataICM!D:D, MATCH(Caseslist!B1084, dataICM!D:D, 0)), "INC"),
      "COMPLETE"
    )
  )</f>
        <v>INC</v>
      </c>
      <c r="G1084" s="10" t="str">
        <f t="array" ref="G1084">IF(IFERROR(INDEX(data!L:L,match(Caseslist!B1084,data!D:D,0)),"INC")="","COMPLETE",F1084)</f>
        <v>INC</v>
      </c>
      <c r="H1084" s="9" t="str">
        <f t="array" ref="H1084">IFERROR(INDEX(dataICM!F:F,match(Caseslist!B1084,dataICM!D:D,0)), "INC")</f>
        <v>INC</v>
      </c>
      <c r="I1084" s="10" t="str">
        <f t="shared" si="2"/>
        <v>INC</v>
      </c>
      <c r="J1084" s="9" t="str">
        <f t="array" ref="J1084">IF(
  AND(
    IFERROR(MATCH(B1084, data!D:D, 0), 0) &gt; 0,
    IFERROR(INDEX(data!N:N, MATCH(B1084, data!D:D, 0)) = 1, FALSE)
  ),
  INDEX(data!C:C, MATCH(B1084, data!D:D, 0)),
  "INC"
)</f>
        <v>INC</v>
      </c>
      <c r="K1084" s="9" t="str">
        <f t="array" ref="K1084">IFERROR(INDEX(dataICM!C:C,match(Caseslist!B1084,dataICM!D:D,0)), "INC")</f>
        <v>INC</v>
      </c>
      <c r="L1084" s="10" t="str">
        <f t="array" ref="L1084">IF(AND(G1084="COMPLETE", OR(K1084="INC", ISBLANK(INDEX(data!O:O, ROW())))), J1084, K1084)</f>
        <v>INC</v>
      </c>
      <c r="M1084" s="2" t="s">
        <v>8886</v>
      </c>
      <c r="N1084" s="2" t="str">
        <f t="array" ref="N1084">IF(M1084&lt;&gt;"INC", INDEX(data!M:M, MATCH(B1084, data!D:D, 0)), "")</f>
        <v/>
      </c>
      <c r="O1084" s="2" t="str">
        <f t="shared" si="3"/>
        <v/>
      </c>
    </row>
    <row r="1085">
      <c r="A1085" s="2" t="str">
        <f t="shared" si="1"/>
        <v>H030106</v>
      </c>
      <c r="B1085" s="1" t="s">
        <v>1412</v>
      </c>
      <c r="C1085" s="9" t="str">
        <f t="array" ref="C1085">IF(
  AND(
    IFERROR(MATCH(Caseslist!B1085, data!D:D, 0), 0) &gt; 0,
    IFERROR(INDEX(data!N:N, MATCH(Caseslist!B1085, data!D:D, 0)) = 1, FALSE)
  ),
  "COMPLETE",
  "INC"
)</f>
        <v>COMPLETE</v>
      </c>
      <c r="D1085" s="9" t="str">
        <f t="array" ref="D1085">IFERROR(INDEX(data!$G:$G,match(Caseslist!B1085,data!$D:$D,0)), "INC")</f>
        <v>O3925718</v>
      </c>
      <c r="E1085" s="9" t="str">
        <f t="array" ref="E1085">IFERROR(INDEX(data!H:H,match(Caseslist!B1085,data!D:D,0)), "INC")</f>
        <v>Adrian Montecastro Ferrer</v>
      </c>
      <c r="F1085" s="10" t="str">
        <f t="array" ref="F1085">IF(
    OR(
      IFNA(INDEX(data!M:M, MATCH(Caseslist!B1085, data!D:D, 0)), "") = "",
      IFNA(INDEX(data!M:M, MATCH(Caseslist!B1085, data!D:D, 0)), 0) = 0
    ),
    "COMPLETE",
    IF(
      IFNA(INDEX(dataICM!D:D, MATCH(Caseslist!B1085, dataICM!D:D, 0)), "INC") = "INC",
      IFNA(INDEX(dataICM!D:D, MATCH(Caseslist!B1085, dataICM!D:D, 0)), "INC"),
      "COMPLETE"
    )
  )</f>
        <v>COMPLETE</v>
      </c>
      <c r="G1085" s="10" t="str">
        <f t="array" ref="G1085">IF(IFERROR(INDEX(data!L:L,match(Caseslist!B1085,data!D:D,0)),"INC")="","COMPLETE",F1085)</f>
        <v>COMPLETE</v>
      </c>
      <c r="H1085" s="9" t="str">
        <f t="array" ref="H1085">IFERROR(INDEX(dataICM!F:F,match(Caseslist!B1085,dataICM!D:D,0)), "INC")</f>
        <v>Adrian Montecastro Ferrer</v>
      </c>
      <c r="I1085" s="10" t="str">
        <f t="shared" si="2"/>
        <v>O3925718</v>
      </c>
      <c r="J1085" s="9" t="str">
        <f t="array" ref="J1085">IF(
  AND(
    IFERROR(MATCH(B1085, data!D:D, 0), 0) &gt; 0,
    IFERROR(INDEX(data!N:N, MATCH(B1085, data!D:D, 0)) = 1, FALSE)
  ),
  INDEX(data!C:C, MATCH(B1085, data!D:D, 0)),
  "INC"
)</f>
        <v>2025-08-29T10:38:39.060+08</v>
      </c>
      <c r="K1085" s="9" t="str">
        <f t="array" ref="K1085">IFERROR(INDEX(dataICM!C:C,match(Caseslist!B1085,dataICM!D:D,0)), "INC")</f>
        <v>2025-08-29T10:56:55.740+08</v>
      </c>
      <c r="L1085" s="10" t="str">
        <f t="array" ref="L1085">IF(AND(G1085="COMPLETE", OR(K1085="INC", ISBLANK(INDEX(data!O:O, ROW())))), J1085, K1085)</f>
        <v>2025-08-29T10:56:55.740+08</v>
      </c>
      <c r="M1085" s="2">
        <v>45898.0</v>
      </c>
      <c r="N1085" s="2">
        <f t="array" ref="N1085">IF(M1085&lt;&gt;"INC", INDEX(data!M:M, MATCH(B1085, data!D:D, 0)), "")</f>
        <v>1</v>
      </c>
      <c r="O1085" s="2">
        <f t="shared" si="3"/>
        <v>1</v>
      </c>
    </row>
    <row r="1086">
      <c r="A1086" s="2" t="str">
        <f t="shared" si="1"/>
        <v>H030106</v>
      </c>
      <c r="B1086" s="1" t="s">
        <v>1402</v>
      </c>
      <c r="C1086" s="9" t="str">
        <f t="array" ref="C1086">IF(
  AND(
    IFERROR(MATCH(Caseslist!B1086, data!D:D, 0), 0) &gt; 0,
    IFERROR(INDEX(data!N:N, MATCH(Caseslist!B1086, data!D:D, 0)) = 1, FALSE)
  ),
  "COMPLETE",
  "INC"
)</f>
        <v>COMPLETE</v>
      </c>
      <c r="D1086" s="9" t="str">
        <f t="array" ref="D1086">IFERROR(INDEX(data!$G:$G,match(Caseslist!B1086,data!$D:$D,0)), "INC")</f>
        <v>O3925718</v>
      </c>
      <c r="E1086" s="9" t="str">
        <f t="array" ref="E1086">IFERROR(INDEX(data!H:H,match(Caseslist!B1086,data!D:D,0)), "INC")</f>
        <v>Adrian Montecastro Ferrer</v>
      </c>
      <c r="F1086" s="10" t="str">
        <f t="array" ref="F1086">IF(
    OR(
      IFNA(INDEX(data!M:M, MATCH(Caseslist!B1086, data!D:D, 0)), "") = "",
      IFNA(INDEX(data!M:M, MATCH(Caseslist!B1086, data!D:D, 0)), 0) = 0
    ),
    "COMPLETE",
    IF(
      IFNA(INDEX(dataICM!D:D, MATCH(Caseslist!B1086, dataICM!D:D, 0)), "INC") = "INC",
      IFNA(INDEX(dataICM!D:D, MATCH(Caseslist!B1086, dataICM!D:D, 0)), "INC"),
      "COMPLETE"
    )
  )</f>
        <v>COMPLETE</v>
      </c>
      <c r="G1086" s="10" t="str">
        <f t="array" ref="G1086">IF(IFERROR(INDEX(data!L:L,match(Caseslist!B1086,data!D:D,0)),"INC")="","COMPLETE",F1086)</f>
        <v>COMPLETE</v>
      </c>
      <c r="H1086" s="9" t="str">
        <f t="array" ref="H1086">IFERROR(INDEX(dataICM!F:F,match(Caseslist!B1086,dataICM!D:D,0)), "INC")</f>
        <v>Adrian Montecastro Ferrer</v>
      </c>
      <c r="I1086" s="10" t="str">
        <f t="shared" si="2"/>
        <v>O3925718</v>
      </c>
      <c r="J1086" s="9" t="str">
        <f t="array" ref="J1086">IF(
  AND(
    IFERROR(MATCH(B1086, data!D:D, 0), 0) &gt; 0,
    IFERROR(INDEX(data!N:N, MATCH(B1086, data!D:D, 0)) = 1, FALSE)
  ),
  INDEX(data!C:C, MATCH(B1086, data!D:D, 0)),
  "INC"
)</f>
        <v>2025-08-29T14:41:34.085+08</v>
      </c>
      <c r="K1086" s="9" t="str">
        <f t="array" ref="K1086">IFERROR(INDEX(dataICM!C:C,match(Caseslist!B1086,dataICM!D:D,0)), "INC")</f>
        <v>2025-10-05T09:28:59.243+08</v>
      </c>
      <c r="L1086" s="10" t="str">
        <f t="array" ref="L1086">IF(AND(G1086="COMPLETE", OR(K1086="INC", ISBLANK(INDEX(data!O:O, ROW())))), J1086, K1086)</f>
        <v>2025-10-05T09:28:59.243+08</v>
      </c>
      <c r="M1086" s="2">
        <v>45935.0</v>
      </c>
      <c r="N1086" s="2">
        <f t="array" ref="N1086">IF(M1086&lt;&gt;"INC", INDEX(data!M:M, MATCH(B1086, data!D:D, 0)), "")</f>
        <v>1</v>
      </c>
      <c r="O1086" s="2">
        <f t="shared" si="3"/>
        <v>1</v>
      </c>
    </row>
    <row r="1087">
      <c r="A1087" s="2" t="str">
        <f t="shared" si="1"/>
        <v>H030106</v>
      </c>
      <c r="B1087" s="1" t="s">
        <v>1417</v>
      </c>
      <c r="C1087" s="9" t="str">
        <f t="array" ref="C1087">IF(
  AND(
    IFERROR(MATCH(Caseslist!B1087, data!D:D, 0), 0) &gt; 0,
    IFERROR(INDEX(data!N:N, MATCH(Caseslist!B1087, data!D:D, 0)) = 1, FALSE)
  ),
  "COMPLETE",
  "INC"
)</f>
        <v>COMPLETE</v>
      </c>
      <c r="D1087" s="9" t="str">
        <f t="array" ref="D1087">IFERROR(INDEX(data!$G:$G,match(Caseslist!B1087,data!$D:$D,0)), "INC")</f>
        <v>O3925718</v>
      </c>
      <c r="E1087" s="9" t="str">
        <f t="array" ref="E1087">IFERROR(INDEX(data!H:H,match(Caseslist!B1087,data!D:D,0)), "INC")</f>
        <v>Adrian Montecastro Ferrer</v>
      </c>
      <c r="F1087" s="10" t="str">
        <f t="array" ref="F1087">IF(
    OR(
      IFNA(INDEX(data!M:M, MATCH(Caseslist!B1087, data!D:D, 0)), "") = "",
      IFNA(INDEX(data!M:M, MATCH(Caseslist!B1087, data!D:D, 0)), 0) = 0
    ),
    "COMPLETE",
    IF(
      IFNA(INDEX(dataICM!D:D, MATCH(Caseslist!B1087, dataICM!D:D, 0)), "INC") = "INC",
      IFNA(INDEX(dataICM!D:D, MATCH(Caseslist!B1087, dataICM!D:D, 0)), "INC"),
      "COMPLETE"
    )
  )</f>
        <v>COMPLETE</v>
      </c>
      <c r="G1087" s="10" t="str">
        <f t="array" ref="G1087">IF(IFERROR(INDEX(data!L:L,match(Caseslist!B1087,data!D:D,0)),"INC")="","COMPLETE",F1087)</f>
        <v>COMPLETE</v>
      </c>
      <c r="H1087" s="9" t="str">
        <f t="array" ref="H1087">IFERROR(INDEX(dataICM!F:F,match(Caseslist!B1087,dataICM!D:D,0)), "INC")</f>
        <v>Adrian Montecastro Ferrer</v>
      </c>
      <c r="I1087" s="10" t="str">
        <f t="shared" si="2"/>
        <v>O3925718</v>
      </c>
      <c r="J1087" s="9" t="str">
        <f t="array" ref="J1087">IF(
  AND(
    IFERROR(MATCH(B1087, data!D:D, 0), 0) &gt; 0,
    IFERROR(INDEX(data!N:N, MATCH(B1087, data!D:D, 0)) = 1, FALSE)
  ),
  INDEX(data!C:C, MATCH(B1087, data!D:D, 0)),
  "INC"
)</f>
        <v>2025-08-29T09:16:36.823+08</v>
      </c>
      <c r="K1087" s="9" t="str">
        <f t="array" ref="K1087">IFERROR(INDEX(dataICM!C:C,match(Caseslist!B1087,dataICM!D:D,0)), "INC")</f>
        <v>2025-08-29T09:24:57.734+08</v>
      </c>
      <c r="L1087" s="10" t="str">
        <f t="array" ref="L1087">IF(AND(G1087="COMPLETE", OR(K1087="INC", ISBLANK(INDEX(data!O:O, ROW())))), J1087, K1087)</f>
        <v>2025-08-29T09:24:57.734+08</v>
      </c>
      <c r="M1087" s="2">
        <v>45898.0</v>
      </c>
      <c r="N1087" s="2">
        <f t="array" ref="N1087">IF(M1087&lt;&gt;"INC", INDEX(data!M:M, MATCH(B1087, data!D:D, 0)), "")</f>
        <v>1</v>
      </c>
      <c r="O1087" s="2">
        <f t="shared" si="3"/>
        <v>1</v>
      </c>
    </row>
    <row r="1088">
      <c r="A1088" s="2" t="str">
        <f t="shared" si="1"/>
        <v>H030106</v>
      </c>
      <c r="B1088" s="1" t="s">
        <v>1527</v>
      </c>
      <c r="C1088" s="9" t="str">
        <f t="array" ref="C1088">IF(
  AND(
    IFERROR(MATCH(Caseslist!B1088, data!D:D, 0), 0) &gt; 0,
    IFERROR(INDEX(data!N:N, MATCH(Caseslist!B1088, data!D:D, 0)) = 1, FALSE)
  ),
  "COMPLETE",
  "INC"
)</f>
        <v>COMPLETE</v>
      </c>
      <c r="D1088" s="9" t="str">
        <f t="array" ref="D1088">IFERROR(INDEX(data!$G:$G,match(Caseslist!B1088,data!$D:$D,0)), "INC")</f>
        <v>P1068432</v>
      </c>
      <c r="E1088" s="9" t="str">
        <f t="array" ref="E1088">IFERROR(INDEX(data!H:H,match(Caseslist!B1088,data!D:D,0)), "INC")</f>
        <v>Mark Daniel Balagao Benson</v>
      </c>
      <c r="F1088" s="10" t="str">
        <f t="array" ref="F1088">IF(
    OR(
      IFNA(INDEX(data!M:M, MATCH(Caseslist!B1088, data!D:D, 0)), "") = "",
      IFNA(INDEX(data!M:M, MATCH(Caseslist!B1088, data!D:D, 0)), 0) = 0
    ),
    "COMPLETE",
    IF(
      IFNA(INDEX(dataICM!D:D, MATCH(Caseslist!B1088, dataICM!D:D, 0)), "INC") = "INC",
      IFNA(INDEX(dataICM!D:D, MATCH(Caseslist!B1088, dataICM!D:D, 0)), "INC"),
      "COMPLETE"
    )
  )</f>
        <v>COMPLETE</v>
      </c>
      <c r="G1088" s="10" t="str">
        <f t="array" ref="G1088">IF(IFERROR(INDEX(data!L:L,match(Caseslist!B1088,data!D:D,0)),"INC")="","COMPLETE",F1088)</f>
        <v>COMPLETE</v>
      </c>
      <c r="H1088" s="9" t="str">
        <f t="array" ref="H1088">IFERROR(INDEX(dataICM!F:F,match(Caseslist!B1088,dataICM!D:D,0)), "INC")</f>
        <v>Mark Daniel Balagao Benson</v>
      </c>
      <c r="I1088" s="10" t="str">
        <f t="shared" si="2"/>
        <v>P1068432</v>
      </c>
      <c r="J1088" s="9" t="str">
        <f t="array" ref="J1088">IF(
  AND(
    IFERROR(MATCH(B1088, data!D:D, 0), 0) &gt; 0,
    IFERROR(INDEX(data!N:N, MATCH(B1088, data!D:D, 0)) = 1, FALSE)
  ),
  INDEX(data!C:C, MATCH(B1088, data!D:D, 0)),
  "INC"
)</f>
        <v>2025-08-29T13:22:08.077+08</v>
      </c>
      <c r="K1088" s="9" t="str">
        <f t="array" ref="K1088">IFERROR(INDEX(dataICM!C:C,match(Caseslist!B1088,dataICM!D:D,0)), "INC")</f>
        <v>2025-10-01T09:19:10.516+08</v>
      </c>
      <c r="L1088" s="10" t="str">
        <f t="array" ref="L1088">IF(AND(G1088="COMPLETE", OR(K1088="INC", ISBLANK(INDEX(data!O:O, ROW())))), J1088, K1088)</f>
        <v>2025-10-01T09:19:10.516+08</v>
      </c>
      <c r="M1088" s="2">
        <v>45931.0</v>
      </c>
      <c r="N1088" s="2">
        <f t="array" ref="N1088">IF(M1088&lt;&gt;"INC", INDEX(data!M:M, MATCH(B1088, data!D:D, 0)), "")</f>
        <v>1</v>
      </c>
      <c r="O1088" s="2">
        <f t="shared" si="3"/>
        <v>1</v>
      </c>
    </row>
    <row r="1089">
      <c r="A1089" s="2" t="str">
        <f t="shared" si="1"/>
        <v>H030106</v>
      </c>
      <c r="B1089" s="1" t="s">
        <v>1532</v>
      </c>
      <c r="C1089" s="9" t="str">
        <f t="array" ref="C1089">IF(
  AND(
    IFERROR(MATCH(Caseslist!B1089, data!D:D, 0), 0) &gt; 0,
    IFERROR(INDEX(data!N:N, MATCH(Caseslist!B1089, data!D:D, 0)) = 1, FALSE)
  ),
  "COMPLETE",
  "INC"
)</f>
        <v>COMPLETE</v>
      </c>
      <c r="D1089" s="9" t="str">
        <f t="array" ref="D1089">IFERROR(INDEX(data!$G:$G,match(Caseslist!B1089,data!$D:$D,0)), "INC")</f>
        <v>P1068432</v>
      </c>
      <c r="E1089" s="9" t="str">
        <f t="array" ref="E1089">IFERROR(INDEX(data!H:H,match(Caseslist!B1089,data!D:D,0)), "INC")</f>
        <v>Mark Daniel Balagao Benson</v>
      </c>
      <c r="F1089" s="10" t="str">
        <f t="array" ref="F1089">IF(
    OR(
      IFNA(INDEX(data!M:M, MATCH(Caseslist!B1089, data!D:D, 0)), "") = "",
      IFNA(INDEX(data!M:M, MATCH(Caseslist!B1089, data!D:D, 0)), 0) = 0
    ),
    "COMPLETE",
    IF(
      IFNA(INDEX(dataICM!D:D, MATCH(Caseslist!B1089, dataICM!D:D, 0)), "INC") = "INC",
      IFNA(INDEX(dataICM!D:D, MATCH(Caseslist!B1089, dataICM!D:D, 0)), "INC"),
      "COMPLETE"
    )
  )</f>
        <v>COMPLETE</v>
      </c>
      <c r="G1089" s="10" t="str">
        <f t="array" ref="G1089">IF(IFERROR(INDEX(data!L:L,match(Caseslist!B1089,data!D:D,0)),"INC")="","COMPLETE",F1089)</f>
        <v>COMPLETE</v>
      </c>
      <c r="H1089" s="9" t="str">
        <f t="array" ref="H1089">IFERROR(INDEX(dataICM!F:F,match(Caseslist!B1089,dataICM!D:D,0)), "INC")</f>
        <v>Mark Daniel Balagao Benson</v>
      </c>
      <c r="I1089" s="10" t="str">
        <f t="shared" si="2"/>
        <v>P1068432</v>
      </c>
      <c r="J1089" s="9" t="str">
        <f t="array" ref="J1089">IF(
  AND(
    IFERROR(MATCH(B1089, data!D:D, 0), 0) &gt; 0,
    IFERROR(INDEX(data!N:N, MATCH(B1089, data!D:D, 0)) = 1, FALSE)
  ),
  INDEX(data!C:C, MATCH(B1089, data!D:D, 0)),
  "INC"
)</f>
        <v>2025-08-29T14:57:36.983+08</v>
      </c>
      <c r="K1089" s="9" t="str">
        <f t="array" ref="K1089">IFERROR(INDEX(dataICM!C:C,match(Caseslist!B1089,dataICM!D:D,0)), "INC")</f>
        <v>2025-08-29T15:05:19.589+08</v>
      </c>
      <c r="L1089" s="10" t="str">
        <f t="array" ref="L1089">IF(AND(G1089="COMPLETE", OR(K1089="INC", ISBLANK(INDEX(data!O:O, ROW())))), J1089, K1089)</f>
        <v>2025-08-29T15:05:19.589+08</v>
      </c>
      <c r="M1089" s="2">
        <v>45898.0</v>
      </c>
      <c r="N1089" s="2">
        <f t="array" ref="N1089">IF(M1089&lt;&gt;"INC", INDEX(data!M:M, MATCH(B1089, data!D:D, 0)), "")</f>
        <v>1</v>
      </c>
      <c r="O1089" s="2">
        <f t="shared" si="3"/>
        <v>1</v>
      </c>
    </row>
    <row r="1090">
      <c r="A1090" s="2" t="str">
        <f t="shared" si="1"/>
        <v>H030106</v>
      </c>
      <c r="B1090" s="1" t="s">
        <v>1397</v>
      </c>
      <c r="C1090" s="9" t="str">
        <f t="array" ref="C1090">IF(
  AND(
    IFERROR(MATCH(Caseslist!B1090, data!D:D, 0), 0) &gt; 0,
    IFERROR(INDEX(data!N:N, MATCH(Caseslist!B1090, data!D:D, 0)) = 1, FALSE)
  ),
  "COMPLETE",
  "INC"
)</f>
        <v>COMPLETE</v>
      </c>
      <c r="D1090" s="9" t="str">
        <f t="array" ref="D1090">IFERROR(INDEX(data!$G:$G,match(Caseslist!B1090,data!$D:$D,0)), "INC")</f>
        <v>N7814260</v>
      </c>
      <c r="E1090" s="9" t="str">
        <f t="array" ref="E1090">IFERROR(INDEX(data!H:H,match(Caseslist!B1090,data!D:D,0)), "INC")</f>
        <v>Jemma Marie Tillo</v>
      </c>
      <c r="F1090" s="10" t="str">
        <f t="array" ref="F1090">IF(
    OR(
      IFNA(INDEX(data!M:M, MATCH(Caseslist!B1090, data!D:D, 0)), "") = "",
      IFNA(INDEX(data!M:M, MATCH(Caseslist!B1090, data!D:D, 0)), 0) = 0
    ),
    "COMPLETE",
    IF(
      IFNA(INDEX(dataICM!D:D, MATCH(Caseslist!B1090, dataICM!D:D, 0)), "INC") = "INC",
      IFNA(INDEX(dataICM!D:D, MATCH(Caseslist!B1090, dataICM!D:D, 0)), "INC"),
      "COMPLETE"
    )
  )</f>
        <v>COMPLETE</v>
      </c>
      <c r="G1090" s="10" t="str">
        <f t="array" ref="G1090">IF(IFERROR(INDEX(data!L:L,match(Caseslist!B1090,data!D:D,0)),"INC")="","COMPLETE",F1090)</f>
        <v>COMPLETE</v>
      </c>
      <c r="H1090" s="9" t="str">
        <f t="array" ref="H1090">IFERROR(INDEX(dataICM!F:F,match(Caseslist!B1090,dataICM!D:D,0)), "INC")</f>
        <v>Jemma Marie Tillo</v>
      </c>
      <c r="I1090" s="10" t="str">
        <f t="shared" si="2"/>
        <v>N7814260</v>
      </c>
      <c r="J1090" s="9" t="str">
        <f t="array" ref="J1090">IF(
  AND(
    IFERROR(MATCH(B1090, data!D:D, 0), 0) &gt; 0,
    IFERROR(INDEX(data!N:N, MATCH(B1090, data!D:D, 0)) = 1, FALSE)
  ),
  INDEX(data!C:C, MATCH(B1090, data!D:D, 0)),
  "INC"
)</f>
        <v>2025-08-29T14:18:53.349+08</v>
      </c>
      <c r="K1090" s="9" t="str">
        <f t="array" ref="K1090">IFERROR(INDEX(dataICM!C:C,match(Caseslist!B1090,dataICM!D:D,0)), "INC")</f>
        <v>2025-08-29T14:41:01.639+08</v>
      </c>
      <c r="L1090" s="10" t="str">
        <f t="array" ref="L1090">IF(AND(G1090="COMPLETE", OR(K1090="INC", ISBLANK(INDEX(data!O:O, ROW())))), J1090, K1090)</f>
        <v>2025-08-29T14:41:01.639+08</v>
      </c>
      <c r="M1090" s="2">
        <v>45898.0</v>
      </c>
      <c r="N1090" s="2">
        <f t="array" ref="N1090">IF(M1090&lt;&gt;"INC", INDEX(data!M:M, MATCH(B1090, data!D:D, 0)), "")</f>
        <v>1</v>
      </c>
      <c r="O1090" s="2">
        <f t="shared" si="3"/>
        <v>1</v>
      </c>
    </row>
    <row r="1091">
      <c r="A1091" s="2" t="str">
        <f t="shared" si="1"/>
        <v>H030106</v>
      </c>
      <c r="B1091" s="1" t="s">
        <v>1522</v>
      </c>
      <c r="C1091" s="9" t="str">
        <f t="array" ref="C1091">IF(
  AND(
    IFERROR(MATCH(Caseslist!B1091, data!D:D, 0), 0) &gt; 0,
    IFERROR(INDEX(data!N:N, MATCH(Caseslist!B1091, data!D:D, 0)) = 1, FALSE)
  ),
  "COMPLETE",
  "INC"
)</f>
        <v>COMPLETE</v>
      </c>
      <c r="D1091" s="9" t="str">
        <f t="array" ref="D1091">IFERROR(INDEX(data!$G:$G,match(Caseslist!B1091,data!$D:$D,0)), "INC")</f>
        <v>P1068432</v>
      </c>
      <c r="E1091" s="9" t="str">
        <f t="array" ref="E1091">IFERROR(INDEX(data!H:H,match(Caseslist!B1091,data!D:D,0)), "INC")</f>
        <v>Mark Daniel Balagao Benson</v>
      </c>
      <c r="F1091" s="10" t="str">
        <f t="array" ref="F1091">IF(
    OR(
      IFNA(INDEX(data!M:M, MATCH(Caseslist!B1091, data!D:D, 0)), "") = "",
      IFNA(INDEX(data!M:M, MATCH(Caseslist!B1091, data!D:D, 0)), 0) = 0
    ),
    "COMPLETE",
    IF(
      IFNA(INDEX(dataICM!D:D, MATCH(Caseslist!B1091, dataICM!D:D, 0)), "INC") = "INC",
      IFNA(INDEX(dataICM!D:D, MATCH(Caseslist!B1091, dataICM!D:D, 0)), "INC"),
      "COMPLETE"
    )
  )</f>
        <v>COMPLETE</v>
      </c>
      <c r="G1091" s="10" t="str">
        <f t="array" ref="G1091">IF(IFERROR(INDEX(data!L:L,match(Caseslist!B1091,data!D:D,0)),"INC")="","COMPLETE",F1091)</f>
        <v>COMPLETE</v>
      </c>
      <c r="H1091" s="9" t="str">
        <f t="array" ref="H1091">IFERROR(INDEX(dataICM!F:F,match(Caseslist!B1091,dataICM!D:D,0)), "INC")</f>
        <v>Mark Daniel Balagao Benson</v>
      </c>
      <c r="I1091" s="10" t="str">
        <f t="shared" si="2"/>
        <v>P1068432</v>
      </c>
      <c r="J1091" s="9" t="str">
        <f t="array" ref="J1091">IF(
  AND(
    IFERROR(MATCH(B1091, data!D:D, 0), 0) &gt; 0,
    IFERROR(INDEX(data!N:N, MATCH(B1091, data!D:D, 0)) = 1, FALSE)
  ),
  INDEX(data!C:C, MATCH(B1091, data!D:D, 0)),
  "INC"
)</f>
        <v>2025-08-29T11:15:32.103+08</v>
      </c>
      <c r="K1091" s="9" t="str">
        <f t="array" ref="K1091">IFERROR(INDEX(dataICM!C:C,match(Caseslist!B1091,dataICM!D:D,0)), "INC")</f>
        <v>2025-08-29T11:29:44.641+08</v>
      </c>
      <c r="L1091" s="10" t="str">
        <f t="array" ref="L1091">IF(AND(G1091="COMPLETE", OR(K1091="INC", ISBLANK(INDEX(data!O:O, ROW())))), J1091, K1091)</f>
        <v>2025-08-29T11:29:44.641+08</v>
      </c>
      <c r="M1091" s="2">
        <v>45898.0</v>
      </c>
      <c r="N1091" s="2">
        <f t="array" ref="N1091">IF(M1091&lt;&gt;"INC", INDEX(data!M:M, MATCH(B1091, data!D:D, 0)), "")</f>
        <v>1</v>
      </c>
      <c r="O1091" s="2">
        <f t="shared" si="3"/>
        <v>1</v>
      </c>
    </row>
    <row r="1092">
      <c r="A1092" s="2" t="str">
        <f t="shared" si="1"/>
        <v>H030106</v>
      </c>
      <c r="B1092" s="1" t="s">
        <v>1407</v>
      </c>
      <c r="C1092" s="9" t="str">
        <f t="array" ref="C1092">IF(
  AND(
    IFERROR(MATCH(Caseslist!B1092, data!D:D, 0), 0) &gt; 0,
    IFERROR(INDEX(data!N:N, MATCH(Caseslist!B1092, data!D:D, 0)) = 1, FALSE)
  ),
  "COMPLETE",
  "INC"
)</f>
        <v>COMPLETE</v>
      </c>
      <c r="D1092" s="9" t="str">
        <f t="array" ref="D1092">IFERROR(INDEX(data!$G:$G,match(Caseslist!B1092,data!$D:$D,0)), "INC")</f>
        <v>O3925718</v>
      </c>
      <c r="E1092" s="9" t="str">
        <f t="array" ref="E1092">IFERROR(INDEX(data!H:H,match(Caseslist!B1092,data!D:D,0)), "INC")</f>
        <v>Adrian Montecastro Ferrer</v>
      </c>
      <c r="F1092" s="10" t="str">
        <f t="array" ref="F1092">IF(
    OR(
      IFNA(INDEX(data!M:M, MATCH(Caseslist!B1092, data!D:D, 0)), "") = "",
      IFNA(INDEX(data!M:M, MATCH(Caseslist!B1092, data!D:D, 0)), 0) = 0
    ),
    "COMPLETE",
    IF(
      IFNA(INDEX(dataICM!D:D, MATCH(Caseslist!B1092, dataICM!D:D, 0)), "INC") = "INC",
      IFNA(INDEX(dataICM!D:D, MATCH(Caseslist!B1092, dataICM!D:D, 0)), "INC"),
      "COMPLETE"
    )
  )</f>
        <v>COMPLETE</v>
      </c>
      <c r="G1092" s="10" t="str">
        <f t="array" ref="G1092">IF(IFERROR(INDEX(data!L:L,match(Caseslist!B1092,data!D:D,0)),"INC")="","COMPLETE",F1092)</f>
        <v>COMPLETE</v>
      </c>
      <c r="H1092" s="9" t="str">
        <f t="array" ref="H1092">IFERROR(INDEX(dataICM!F:F,match(Caseslist!B1092,dataICM!D:D,0)), "INC")</f>
        <v>Adrian Montecastro Ferrer</v>
      </c>
      <c r="I1092" s="10" t="str">
        <f t="shared" si="2"/>
        <v>O3925718</v>
      </c>
      <c r="J1092" s="9" t="str">
        <f t="array" ref="J1092">IF(
  AND(
    IFERROR(MATCH(B1092, data!D:D, 0), 0) &gt; 0,
    IFERROR(INDEX(data!N:N, MATCH(B1092, data!D:D, 0)) = 1, FALSE)
  ),
  INDEX(data!C:C, MATCH(B1092, data!D:D, 0)),
  "INC"
)</f>
        <v>2025-08-29T12:09:56.332+08</v>
      </c>
      <c r="K1092" s="9" t="str">
        <f t="array" ref="K1092">IFERROR(INDEX(dataICM!C:C,match(Caseslist!B1092,dataICM!D:D,0)), "INC")</f>
        <v>2025-08-29T12:22:23.250+08</v>
      </c>
      <c r="L1092" s="10" t="str">
        <f t="array" ref="L1092">IF(AND(G1092="COMPLETE", OR(K1092="INC", ISBLANK(INDEX(data!O:O, ROW())))), J1092, K1092)</f>
        <v>2025-08-29T12:22:23.250+08</v>
      </c>
      <c r="M1092" s="2">
        <v>45898.0</v>
      </c>
      <c r="N1092" s="2">
        <f t="array" ref="N1092">IF(M1092&lt;&gt;"INC", INDEX(data!M:M, MATCH(B1092, data!D:D, 0)), "")</f>
        <v>1</v>
      </c>
      <c r="O1092" s="2">
        <f t="shared" si="3"/>
        <v>1</v>
      </c>
    </row>
    <row r="1093">
      <c r="A1093" s="2" t="str">
        <f t="shared" si="1"/>
        <v>H030106</v>
      </c>
      <c r="B1093" s="1" t="s">
        <v>1392</v>
      </c>
      <c r="C1093" s="9" t="str">
        <f t="array" ref="C1093">IF(
  AND(
    IFERROR(MATCH(Caseslist!B1093, data!D:D, 0), 0) &gt; 0,
    IFERROR(INDEX(data!N:N, MATCH(Caseslist!B1093, data!D:D, 0)) = 1, FALSE)
  ),
  "COMPLETE",
  "INC"
)</f>
        <v>COMPLETE</v>
      </c>
      <c r="D1093" s="9" t="str">
        <f t="array" ref="D1093">IFERROR(INDEX(data!$G:$G,match(Caseslist!B1093,data!$D:$D,0)), "INC")</f>
        <v>N7814260</v>
      </c>
      <c r="E1093" s="9" t="str">
        <f t="array" ref="E1093">IFERROR(INDEX(data!H:H,match(Caseslist!B1093,data!D:D,0)), "INC")</f>
        <v>Jemma Marie Tillo</v>
      </c>
      <c r="F1093" s="10" t="str">
        <f t="array" ref="F1093">IF(
    OR(
      IFNA(INDEX(data!M:M, MATCH(Caseslist!B1093, data!D:D, 0)), "") = "",
      IFNA(INDEX(data!M:M, MATCH(Caseslist!B1093, data!D:D, 0)), 0) = 0
    ),
    "COMPLETE",
    IF(
      IFNA(INDEX(dataICM!D:D, MATCH(Caseslist!B1093, dataICM!D:D, 0)), "INC") = "INC",
      IFNA(INDEX(dataICM!D:D, MATCH(Caseslist!B1093, dataICM!D:D, 0)), "INC"),
      "COMPLETE"
    )
  )</f>
        <v>COMPLETE</v>
      </c>
      <c r="G1093" s="10" t="str">
        <f t="array" ref="G1093">IF(IFERROR(INDEX(data!L:L,match(Caseslist!B1093,data!D:D,0)),"INC")="","COMPLETE",F1093)</f>
        <v>COMPLETE</v>
      </c>
      <c r="H1093" s="9" t="str">
        <f t="array" ref="H1093">IFERROR(INDEX(dataICM!F:F,match(Caseslist!B1093,dataICM!D:D,0)), "INC")</f>
        <v>Jemma Marie Tillo</v>
      </c>
      <c r="I1093" s="10" t="str">
        <f t="shared" si="2"/>
        <v>N7814260</v>
      </c>
      <c r="J1093" s="9" t="str">
        <f t="array" ref="J1093">IF(
  AND(
    IFERROR(MATCH(B1093, data!D:D, 0), 0) &gt; 0,
    IFERROR(INDEX(data!N:N, MATCH(B1093, data!D:D, 0)) = 1, FALSE)
  ),
  INDEX(data!C:C, MATCH(B1093, data!D:D, 0)),
  "INC"
)</f>
        <v>2025-08-29T12:12:37.367+08</v>
      </c>
      <c r="K1093" s="9" t="str">
        <f t="array" ref="K1093">IFERROR(INDEX(dataICM!C:C,match(Caseslist!B1093,dataICM!D:D,0)), "INC")</f>
        <v>2025-08-29T12:27:01.450+08</v>
      </c>
      <c r="L1093" s="10" t="str">
        <f t="array" ref="L1093">IF(AND(G1093="COMPLETE", OR(K1093="INC", ISBLANK(INDEX(data!O:O, ROW())))), J1093, K1093)</f>
        <v>2025-08-29T12:27:01.450+08</v>
      </c>
      <c r="M1093" s="2">
        <v>45898.0</v>
      </c>
      <c r="N1093" s="2">
        <f t="array" ref="N1093">IF(M1093&lt;&gt;"INC", INDEX(data!M:M, MATCH(B1093, data!D:D, 0)), "")</f>
        <v>1</v>
      </c>
      <c r="O1093" s="2">
        <f t="shared" si="3"/>
        <v>1</v>
      </c>
    </row>
    <row r="1094">
      <c r="A1094" s="2" t="str">
        <f t="shared" si="1"/>
        <v>H030106</v>
      </c>
      <c r="B1094" s="1" t="s">
        <v>1377</v>
      </c>
      <c r="C1094" s="9" t="str">
        <f t="array" ref="C1094">IF(
  AND(
    IFERROR(MATCH(Caseslist!B1094, data!D:D, 0), 0) &gt; 0,
    IFERROR(INDEX(data!N:N, MATCH(Caseslist!B1094, data!D:D, 0)) = 1, FALSE)
  ),
  "COMPLETE",
  "INC"
)</f>
        <v>COMPLETE</v>
      </c>
      <c r="D1094" s="9" t="str">
        <f t="array" ref="D1094">IFERROR(INDEX(data!$G:$G,match(Caseslist!B1094,data!$D:$D,0)), "INC")</f>
        <v>N7814260</v>
      </c>
      <c r="E1094" s="9" t="str">
        <f t="array" ref="E1094">IFERROR(INDEX(data!H:H,match(Caseslist!B1094,data!D:D,0)), "INC")</f>
        <v>Jemma Marie Tillo</v>
      </c>
      <c r="F1094" s="10" t="str">
        <f t="array" ref="F1094">IF(
    OR(
      IFNA(INDEX(data!M:M, MATCH(Caseslist!B1094, data!D:D, 0)), "") = "",
      IFNA(INDEX(data!M:M, MATCH(Caseslist!B1094, data!D:D, 0)), 0) = 0
    ),
    "COMPLETE",
    IF(
      IFNA(INDEX(dataICM!D:D, MATCH(Caseslist!B1094, dataICM!D:D, 0)), "INC") = "INC",
      IFNA(INDEX(dataICM!D:D, MATCH(Caseslist!B1094, dataICM!D:D, 0)), "INC"),
      "COMPLETE"
    )
  )</f>
        <v>COMPLETE</v>
      </c>
      <c r="G1094" s="10" t="str">
        <f t="array" ref="G1094">IF(IFERROR(INDEX(data!L:L,match(Caseslist!B1094,data!D:D,0)),"INC")="","COMPLETE",F1094)</f>
        <v>COMPLETE</v>
      </c>
      <c r="H1094" s="9" t="str">
        <f t="array" ref="H1094">IFERROR(INDEX(dataICM!F:F,match(Caseslist!B1094,dataICM!D:D,0)), "INC")</f>
        <v>Jemma Marie Tillo</v>
      </c>
      <c r="I1094" s="10" t="str">
        <f t="shared" si="2"/>
        <v>N7814260</v>
      </c>
      <c r="J1094" s="9" t="str">
        <f t="array" ref="J1094">IF(
  AND(
    IFERROR(MATCH(B1094, data!D:D, 0), 0) &gt; 0,
    IFERROR(INDEX(data!N:N, MATCH(B1094, data!D:D, 0)) = 1, FALSE)
  ),
  INDEX(data!C:C, MATCH(B1094, data!D:D, 0)),
  "INC"
)</f>
        <v>2025-08-29T09:20:05.808+08</v>
      </c>
      <c r="K1094" s="9" t="str">
        <f t="array" ref="K1094">IFERROR(INDEX(dataICM!C:C,match(Caseslist!B1094,dataICM!D:D,0)), "INC")</f>
        <v>2025-08-29T09:23:15.421+08</v>
      </c>
      <c r="L1094" s="10" t="str">
        <f t="array" ref="L1094">IF(AND(G1094="COMPLETE", OR(K1094="INC", ISBLANK(INDEX(data!O:O, ROW())))), J1094, K1094)</f>
        <v>2025-08-29T09:23:15.421+08</v>
      </c>
      <c r="M1094" s="2">
        <v>45898.0</v>
      </c>
      <c r="N1094" s="2">
        <f t="array" ref="N1094">IF(M1094&lt;&gt;"INC", INDEX(data!M:M, MATCH(B1094, data!D:D, 0)), "")</f>
        <v>1</v>
      </c>
      <c r="O1094" s="2">
        <f t="shared" si="3"/>
        <v>1</v>
      </c>
    </row>
    <row r="1095">
      <c r="A1095" s="2" t="str">
        <f t="shared" si="1"/>
        <v>H030106</v>
      </c>
      <c r="B1095" s="1" t="s">
        <v>1387</v>
      </c>
      <c r="C1095" s="9" t="str">
        <f t="array" ref="C1095">IF(
  AND(
    IFERROR(MATCH(Caseslist!B1095, data!D:D, 0), 0) &gt; 0,
    IFERROR(INDEX(data!N:N, MATCH(Caseslist!B1095, data!D:D, 0)) = 1, FALSE)
  ),
  "COMPLETE",
  "INC"
)</f>
        <v>COMPLETE</v>
      </c>
      <c r="D1095" s="9" t="str">
        <f t="array" ref="D1095">IFERROR(INDEX(data!$G:$G,match(Caseslist!B1095,data!$D:$D,0)), "INC")</f>
        <v>N7814260</v>
      </c>
      <c r="E1095" s="9" t="str">
        <f t="array" ref="E1095">IFERROR(INDEX(data!H:H,match(Caseslist!B1095,data!D:D,0)), "INC")</f>
        <v>Jemma Marie Tillo</v>
      </c>
      <c r="F1095" s="10" t="str">
        <f t="array" ref="F1095">IF(
    OR(
      IFNA(INDEX(data!M:M, MATCH(Caseslist!B1095, data!D:D, 0)), "") = "",
      IFNA(INDEX(data!M:M, MATCH(Caseslist!B1095, data!D:D, 0)), 0) = 0
    ),
    "COMPLETE",
    IF(
      IFNA(INDEX(dataICM!D:D, MATCH(Caseslist!B1095, dataICM!D:D, 0)), "INC") = "INC",
      IFNA(INDEX(dataICM!D:D, MATCH(Caseslist!B1095, dataICM!D:D, 0)), "INC"),
      "COMPLETE"
    )
  )</f>
        <v>COMPLETE</v>
      </c>
      <c r="G1095" s="10" t="str">
        <f t="array" ref="G1095">IF(IFERROR(INDEX(data!L:L,match(Caseslist!B1095,data!D:D,0)),"INC")="","COMPLETE",F1095)</f>
        <v>COMPLETE</v>
      </c>
      <c r="H1095" s="9" t="str">
        <f t="array" ref="H1095">IFERROR(INDEX(dataICM!F:F,match(Caseslist!B1095,dataICM!D:D,0)), "INC")</f>
        <v>Jemma Marie Tillo</v>
      </c>
      <c r="I1095" s="10" t="str">
        <f t="shared" si="2"/>
        <v>N7814260</v>
      </c>
      <c r="J1095" s="9" t="str">
        <f t="array" ref="J1095">IF(
  AND(
    IFERROR(MATCH(B1095, data!D:D, 0), 0) &gt; 0,
    IFERROR(INDEX(data!N:N, MATCH(B1095, data!D:D, 0)) = 1, FALSE)
  ),
  INDEX(data!C:C, MATCH(B1095, data!D:D, 0)),
  "INC"
)</f>
        <v>2025-08-29T10:39:26.336+08</v>
      </c>
      <c r="K1095" s="9" t="str">
        <f t="array" ref="K1095">IFERROR(INDEX(dataICM!C:C,match(Caseslist!B1095,dataICM!D:D,0)), "INC")</f>
        <v>2025-08-29T10:42:40.082+08</v>
      </c>
      <c r="L1095" s="10" t="str">
        <f t="array" ref="L1095">IF(AND(G1095="COMPLETE", OR(K1095="INC", ISBLANK(INDEX(data!O:O, ROW())))), J1095, K1095)</f>
        <v>2025-08-29T10:42:40.082+08</v>
      </c>
      <c r="M1095" s="2">
        <v>45898.0</v>
      </c>
      <c r="N1095" s="2">
        <f t="array" ref="N1095">IF(M1095&lt;&gt;"INC", INDEX(data!M:M, MATCH(B1095, data!D:D, 0)), "")</f>
        <v>1</v>
      </c>
      <c r="O1095" s="2">
        <f t="shared" si="3"/>
        <v>1</v>
      </c>
    </row>
    <row r="1096">
      <c r="A1096" s="2" t="str">
        <f t="shared" si="1"/>
        <v>H030106</v>
      </c>
      <c r="B1096" s="1" t="s">
        <v>1517</v>
      </c>
      <c r="C1096" s="9" t="str">
        <f t="array" ref="C1096">IF(
  AND(
    IFERROR(MATCH(Caseslist!B1096, data!D:D, 0), 0) &gt; 0,
    IFERROR(INDEX(data!N:N, MATCH(Caseslist!B1096, data!D:D, 0)) = 1, FALSE)
  ),
  "COMPLETE",
  "INC"
)</f>
        <v>COMPLETE</v>
      </c>
      <c r="D1096" s="9" t="str">
        <f t="array" ref="D1096">IFERROR(INDEX(data!$G:$G,match(Caseslist!B1096,data!$D:$D,0)), "INC")</f>
        <v>P1068432</v>
      </c>
      <c r="E1096" s="9" t="str">
        <f t="array" ref="E1096">IFERROR(INDEX(data!H:H,match(Caseslist!B1096,data!D:D,0)), "INC")</f>
        <v>Mark Daniel Balagao Benson</v>
      </c>
      <c r="F1096" s="10" t="str">
        <f t="array" ref="F1096">IF(
    OR(
      IFNA(INDEX(data!M:M, MATCH(Caseslist!B1096, data!D:D, 0)), "") = "",
      IFNA(INDEX(data!M:M, MATCH(Caseslist!B1096, data!D:D, 0)), 0) = 0
    ),
    "COMPLETE",
    IF(
      IFNA(INDEX(dataICM!D:D, MATCH(Caseslist!B1096, dataICM!D:D, 0)), "INC") = "INC",
      IFNA(INDEX(dataICM!D:D, MATCH(Caseslist!B1096, dataICM!D:D, 0)), "INC"),
      "COMPLETE"
    )
  )</f>
        <v>COMPLETE</v>
      </c>
      <c r="G1096" s="10" t="str">
        <f t="array" ref="G1096">IF(IFERROR(INDEX(data!L:L,match(Caseslist!B1096,data!D:D,0)),"INC")="","COMPLETE",F1096)</f>
        <v>COMPLETE</v>
      </c>
      <c r="H1096" s="9" t="str">
        <f t="array" ref="H1096">IFERROR(INDEX(dataICM!F:F,match(Caseslist!B1096,dataICM!D:D,0)), "INC")</f>
        <v>Mark Daniel Balagao Benson</v>
      </c>
      <c r="I1096" s="10" t="str">
        <f t="shared" si="2"/>
        <v>P1068432</v>
      </c>
      <c r="J1096" s="9" t="str">
        <f t="array" ref="J1096">IF(
  AND(
    IFERROR(MATCH(B1096, data!D:D, 0), 0) &gt; 0,
    IFERROR(INDEX(data!N:N, MATCH(B1096, data!D:D, 0)) = 1, FALSE)
  ),
  INDEX(data!C:C, MATCH(B1096, data!D:D, 0)),
  "INC"
)</f>
        <v>2025-08-29T09:17:42.166+08</v>
      </c>
      <c r="K1096" s="9" t="str">
        <f t="array" ref="K1096">IFERROR(INDEX(dataICM!C:C,match(Caseslist!B1096,dataICM!D:D,0)), "INC")</f>
        <v>2025-08-29T09:29:05.268+08</v>
      </c>
      <c r="L1096" s="10" t="str">
        <f t="array" ref="L1096">IF(AND(G1096="COMPLETE", OR(K1096="INC", ISBLANK(INDEX(data!O:O, ROW())))), J1096, K1096)</f>
        <v>2025-08-29T09:29:05.268+08</v>
      </c>
      <c r="M1096" s="2">
        <v>45898.0</v>
      </c>
      <c r="N1096" s="2">
        <f t="array" ref="N1096">IF(M1096&lt;&gt;"INC", INDEX(data!M:M, MATCH(B1096, data!D:D, 0)), "")</f>
        <v>1</v>
      </c>
      <c r="O1096" s="2">
        <f t="shared" si="3"/>
        <v>1</v>
      </c>
    </row>
    <row r="1097">
      <c r="A1097" s="2" t="str">
        <f t="shared" si="1"/>
        <v>H030129</v>
      </c>
      <c r="B1097" s="1" t="s">
        <v>513</v>
      </c>
      <c r="C1097" s="9" t="str">
        <f t="array" ref="C1097">IF(
  AND(
    IFERROR(MATCH(Caseslist!B1097, data!D:D, 0), 0) &gt; 0,
    IFERROR(INDEX(data!N:N, MATCH(Caseslist!B1097, data!D:D, 0)) = 1, FALSE)
  ),
  "COMPLETE",
  "INC"
)</f>
        <v>COMPLETE</v>
      </c>
      <c r="D1097" s="9">
        <f t="array" ref="D1097">IFERROR(INDEX(data!$G:$G,match(Caseslist!B1097,data!$D:$D,0)), "INC")</f>
        <v>896791</v>
      </c>
      <c r="E1097" s="9" t="str">
        <f t="array" ref="E1097">IFERROR(INDEX(data!H:H,match(Caseslist!B1097,data!D:D,0)), "INC")</f>
        <v>Roland A. Bandiola jr</v>
      </c>
      <c r="F1097" s="10" t="str">
        <f t="array" ref="F1097">IF(
    OR(
      IFNA(INDEX(data!M:M, MATCH(Caseslist!B1097, data!D:D, 0)), "") = "",
      IFNA(INDEX(data!M:M, MATCH(Caseslist!B1097, data!D:D, 0)), 0) = 0
    ),
    "COMPLETE",
    IF(
      IFNA(INDEX(dataICM!D:D, MATCH(Caseslist!B1097, dataICM!D:D, 0)), "INC") = "INC",
      IFNA(INDEX(dataICM!D:D, MATCH(Caseslist!B1097, dataICM!D:D, 0)), "INC"),
      "COMPLETE"
    )
  )</f>
        <v>COMPLETE</v>
      </c>
      <c r="G1097" s="10" t="str">
        <f t="array" ref="G1097">IF(IFERROR(INDEX(data!L:L,match(Caseslist!B1097,data!D:D,0)),"INC")="","COMPLETE",F1097)</f>
        <v>COMPLETE</v>
      </c>
      <c r="H1097" s="9" t="str">
        <f t="array" ref="H1097">IFERROR(INDEX(dataICM!F:F,match(Caseslist!B1097,dataICM!D:D,0)), "INC")</f>
        <v>INC</v>
      </c>
      <c r="I1097" s="10">
        <f t="shared" si="2"/>
        <v>896791</v>
      </c>
      <c r="J1097" s="9" t="str">
        <f t="array" ref="J1097">IF(
  AND(
    IFERROR(MATCH(B1097, data!D:D, 0), 0) &gt; 0,
    IFERROR(INDEX(data!N:N, MATCH(B1097, data!D:D, 0)) = 1, FALSE)
  ),
  INDEX(data!C:C, MATCH(B1097, data!D:D, 0)),
  "INC"
)</f>
        <v>2025-08-26T19:38:47.654+08</v>
      </c>
      <c r="K1097" s="9" t="str">
        <f t="array" ref="K1097">IFERROR(INDEX(dataICM!C:C,match(Caseslist!B1097,dataICM!D:D,0)), "INC")</f>
        <v>INC</v>
      </c>
      <c r="L1097" s="10" t="str">
        <f t="array" ref="L1097">IF(AND(G1097="COMPLETE", OR(K1097="INC", ISBLANK(INDEX(data!O:O, ROW())))), J1097, K1097)</f>
        <v>2025-08-26T19:38:47.654+08</v>
      </c>
      <c r="M1097" s="2">
        <v>45895.0</v>
      </c>
      <c r="N1097" s="2">
        <f t="array" ref="N1097">IF(M1097&lt;&gt;"INC", INDEX(data!M:M, MATCH(B1097, data!D:D, 0)), "")</f>
        <v>0</v>
      </c>
      <c r="O1097" s="2">
        <f t="shared" si="3"/>
        <v>0</v>
      </c>
    </row>
    <row r="1098">
      <c r="A1098" s="2" t="str">
        <f t="shared" si="1"/>
        <v>H030129</v>
      </c>
      <c r="B1098" s="1" t="s">
        <v>503</v>
      </c>
      <c r="C1098" s="9" t="str">
        <f t="array" ref="C1098">IF(
  AND(
    IFERROR(MATCH(Caseslist!B1098, data!D:D, 0), 0) &gt; 0,
    IFERROR(INDEX(data!N:N, MATCH(Caseslist!B1098, data!D:D, 0)) = 1, FALSE)
  ),
  "COMPLETE",
  "INC"
)</f>
        <v>COMPLETE</v>
      </c>
      <c r="D1098" s="9" t="str">
        <f t="array" ref="D1098">IFERROR(INDEX(data!$G:$G,match(Caseslist!B1098,data!$D:$D,0)), "INC")</f>
        <v>D1284067</v>
      </c>
      <c r="E1098" s="9" t="str">
        <f t="array" ref="E1098">IFERROR(INDEX(data!H:H,match(Caseslist!B1098,data!D:D,0)), "INC")</f>
        <v>Mariel Del Rio</v>
      </c>
      <c r="F1098" s="10" t="str">
        <f t="array" ref="F1098">IF(
    OR(
      IFNA(INDEX(data!M:M, MATCH(Caseslist!B1098, data!D:D, 0)), "") = "",
      IFNA(INDEX(data!M:M, MATCH(Caseslist!B1098, data!D:D, 0)), 0) = 0
    ),
    "COMPLETE",
    IF(
      IFNA(INDEX(dataICM!D:D, MATCH(Caseslist!B1098, dataICM!D:D, 0)), "INC") = "INC",
      IFNA(INDEX(dataICM!D:D, MATCH(Caseslist!B1098, dataICM!D:D, 0)), "INC"),
      "COMPLETE"
    )
  )</f>
        <v>COMPLETE</v>
      </c>
      <c r="G1098" s="10" t="str">
        <f t="array" ref="G1098">IF(IFERROR(INDEX(data!L:L,match(Caseslist!B1098,data!D:D,0)),"INC")="","COMPLETE",F1098)</f>
        <v>COMPLETE</v>
      </c>
      <c r="H1098" s="9" t="str">
        <f t="array" ref="H1098">IFERROR(INDEX(dataICM!F:F,match(Caseslist!B1098,dataICM!D:D,0)), "INC")</f>
        <v>INC</v>
      </c>
      <c r="I1098" s="10" t="str">
        <f t="shared" si="2"/>
        <v>D1284067</v>
      </c>
      <c r="J1098" s="9" t="str">
        <f t="array" ref="J1098">IF(
  AND(
    IFERROR(MATCH(B1098, data!D:D, 0), 0) &gt; 0,
    IFERROR(INDEX(data!N:N, MATCH(B1098, data!D:D, 0)) = 1, FALSE)
  ),
  INDEX(data!C:C, MATCH(B1098, data!D:D, 0)),
  "INC"
)</f>
        <v>2025-08-26T20:03:59.758+08</v>
      </c>
      <c r="K1098" s="9" t="str">
        <f t="array" ref="K1098">IFERROR(INDEX(dataICM!C:C,match(Caseslist!B1098,dataICM!D:D,0)), "INC")</f>
        <v>INC</v>
      </c>
      <c r="L1098" s="10" t="str">
        <f t="array" ref="L1098">IF(AND(G1098="COMPLETE", OR(K1098="INC", ISBLANK(INDEX(data!O:O, ROW())))), J1098, K1098)</f>
        <v>2025-08-26T20:03:59.758+08</v>
      </c>
      <c r="M1098" s="2">
        <v>45895.0</v>
      </c>
      <c r="N1098" s="2">
        <f t="array" ref="N1098">IF(M1098&lt;&gt;"INC", INDEX(data!M:M, MATCH(B1098, data!D:D, 0)), "")</f>
        <v>0</v>
      </c>
      <c r="O1098" s="2">
        <f t="shared" si="3"/>
        <v>0</v>
      </c>
    </row>
    <row r="1099">
      <c r="A1099" s="2" t="str">
        <f t="shared" si="1"/>
        <v>H030129</v>
      </c>
      <c r="B1099" s="1" t="s">
        <v>518</v>
      </c>
      <c r="C1099" s="9" t="str">
        <f t="array" ref="C1099">IF(
  AND(
    IFERROR(MATCH(Caseslist!B1099, data!D:D, 0), 0) &gt; 0,
    IFERROR(INDEX(data!N:N, MATCH(Caseslist!B1099, data!D:D, 0)) = 1, FALSE)
  ),
  "COMPLETE",
  "INC"
)</f>
        <v>COMPLETE</v>
      </c>
      <c r="D1099" s="9">
        <f t="array" ref="D1099">IFERROR(INDEX(data!$G:$G,match(Caseslist!B1099,data!$D:$D,0)), "INC")</f>
        <v>896791</v>
      </c>
      <c r="E1099" s="9" t="str">
        <f t="array" ref="E1099">IFERROR(INDEX(data!H:H,match(Caseslist!B1099,data!D:D,0)), "INC")</f>
        <v>Roland A. Bandiola jr</v>
      </c>
      <c r="F1099" s="10" t="str">
        <f t="array" ref="F1099">IF(
    OR(
      IFNA(INDEX(data!M:M, MATCH(Caseslist!B1099, data!D:D, 0)), "") = "",
      IFNA(INDEX(data!M:M, MATCH(Caseslist!B1099, data!D:D, 0)), 0) = 0
    ),
    "COMPLETE",
    IF(
      IFNA(INDEX(dataICM!D:D, MATCH(Caseslist!B1099, dataICM!D:D, 0)), "INC") = "INC",
      IFNA(INDEX(dataICM!D:D, MATCH(Caseslist!B1099, dataICM!D:D, 0)), "INC"),
      "COMPLETE"
    )
  )</f>
        <v>COMPLETE</v>
      </c>
      <c r="G1099" s="10" t="str">
        <f t="array" ref="G1099">IF(IFERROR(INDEX(data!L:L,match(Caseslist!B1099,data!D:D,0)),"INC")="","COMPLETE",F1099)</f>
        <v>COMPLETE</v>
      </c>
      <c r="H1099" s="9" t="str">
        <f t="array" ref="H1099">IFERROR(INDEX(dataICM!F:F,match(Caseslist!B1099,dataICM!D:D,0)), "INC")</f>
        <v>INC</v>
      </c>
      <c r="I1099" s="10">
        <f t="shared" si="2"/>
        <v>896791</v>
      </c>
      <c r="J1099" s="9" t="str">
        <f t="array" ref="J1099">IF(
  AND(
    IFERROR(MATCH(B1099, data!D:D, 0), 0) &gt; 0,
    IFERROR(INDEX(data!N:N, MATCH(B1099, data!D:D, 0)) = 1, FALSE)
  ),
  INDEX(data!C:C, MATCH(B1099, data!D:D, 0)),
  "INC"
)</f>
        <v>2025-08-26T20:02:36.509+08</v>
      </c>
      <c r="K1099" s="9" t="str">
        <f t="array" ref="K1099">IFERROR(INDEX(dataICM!C:C,match(Caseslist!B1099,dataICM!D:D,0)), "INC")</f>
        <v>INC</v>
      </c>
      <c r="L1099" s="10" t="str">
        <f t="array" ref="L1099">IF(AND(G1099="COMPLETE", OR(K1099="INC", ISBLANK(INDEX(data!O:O, ROW())))), J1099, K1099)</f>
        <v>2025-08-26T20:02:36.509+08</v>
      </c>
      <c r="M1099" s="2">
        <v>45895.0</v>
      </c>
      <c r="N1099" s="2">
        <f t="array" ref="N1099">IF(M1099&lt;&gt;"INC", INDEX(data!M:M, MATCH(B1099, data!D:D, 0)), "")</f>
        <v>0</v>
      </c>
      <c r="O1099" s="2">
        <f t="shared" si="3"/>
        <v>0</v>
      </c>
    </row>
    <row r="1100">
      <c r="A1100" s="2" t="str">
        <f t="shared" si="1"/>
        <v>H030129</v>
      </c>
      <c r="B1100" s="1" t="s">
        <v>533</v>
      </c>
      <c r="C1100" s="9" t="str">
        <f t="array" ref="C1100">IF(
  AND(
    IFERROR(MATCH(Caseslist!B1100, data!D:D, 0), 0) &gt; 0,
    IFERROR(INDEX(data!N:N, MATCH(Caseslist!B1100, data!D:D, 0)) = 1, FALSE)
  ),
  "COMPLETE",
  "INC"
)</f>
        <v>COMPLETE</v>
      </c>
      <c r="D1100" s="9" t="str">
        <f t="array" ref="D1100">IFERROR(INDEX(data!$G:$G,match(Caseslist!B1100,data!$D:$D,0)), "INC")</f>
        <v>B8193462</v>
      </c>
      <c r="E1100" s="9" t="str">
        <f t="array" ref="E1100">IFERROR(INDEX(data!H:H,match(Caseslist!B1100,data!D:D,0)), "INC")</f>
        <v>Mark Lorens Mendoza Gilongo</v>
      </c>
      <c r="F1100" s="10" t="str">
        <f t="array" ref="F1100">IF(
    OR(
      IFNA(INDEX(data!M:M, MATCH(Caseslist!B1100, data!D:D, 0)), "") = "",
      IFNA(INDEX(data!M:M, MATCH(Caseslist!B1100, data!D:D, 0)), 0) = 0
    ),
    "COMPLETE",
    IF(
      IFNA(INDEX(dataICM!D:D, MATCH(Caseslist!B1100, dataICM!D:D, 0)), "INC") = "INC",
      IFNA(INDEX(dataICM!D:D, MATCH(Caseslist!B1100, dataICM!D:D, 0)), "INC"),
      "COMPLETE"
    )
  )</f>
        <v>COMPLETE</v>
      </c>
      <c r="G1100" s="10" t="str">
        <f t="array" ref="G1100">IF(IFERROR(INDEX(data!L:L,match(Caseslist!B1100,data!D:D,0)),"INC")="","COMPLETE",F1100)</f>
        <v>COMPLETE</v>
      </c>
      <c r="H1100" s="9" t="str">
        <f t="array" ref="H1100">IFERROR(INDEX(dataICM!F:F,match(Caseslist!B1100,dataICM!D:D,0)), "INC")</f>
        <v>INC</v>
      </c>
      <c r="I1100" s="10" t="str">
        <f t="shared" si="2"/>
        <v>B8193462</v>
      </c>
      <c r="J1100" s="9" t="str">
        <f t="array" ref="J1100">IF(
  AND(
    IFERROR(MATCH(B1100, data!D:D, 0), 0) &gt; 0,
    IFERROR(INDEX(data!N:N, MATCH(B1100, data!D:D, 0)) = 1, FALSE)
  ),
  INDEX(data!C:C, MATCH(B1100, data!D:D, 0)),
  "INC"
)</f>
        <v>2025-08-26T11:32:03.006+08</v>
      </c>
      <c r="K1100" s="9" t="str">
        <f t="array" ref="K1100">IFERROR(INDEX(dataICM!C:C,match(Caseslist!B1100,dataICM!D:D,0)), "INC")</f>
        <v>INC</v>
      </c>
      <c r="L1100" s="10" t="str">
        <f t="array" ref="L1100">IF(AND(G1100="COMPLETE", OR(K1100="INC", ISBLANK(INDEX(data!O:O, ROW())))), J1100, K1100)</f>
        <v>2025-08-26T11:32:03.006+08</v>
      </c>
      <c r="M1100" s="2">
        <v>45895.0</v>
      </c>
      <c r="N1100" s="2">
        <f t="array" ref="N1100">IF(M1100&lt;&gt;"INC", INDEX(data!M:M, MATCH(B1100, data!D:D, 0)), "")</f>
        <v>0</v>
      </c>
      <c r="O1100" s="2">
        <f t="shared" si="3"/>
        <v>0</v>
      </c>
    </row>
    <row r="1101">
      <c r="A1101" s="2" t="str">
        <f t="shared" si="1"/>
        <v>H030129</v>
      </c>
      <c r="B1101" s="1" t="s">
        <v>789</v>
      </c>
      <c r="C1101" s="9" t="str">
        <f t="array" ref="C1101">IF(
  AND(
    IFERROR(MATCH(Caseslist!B1101, data!D:D, 0), 0) &gt; 0,
    IFERROR(INDEX(data!N:N, MATCH(Caseslist!B1101, data!D:D, 0)) = 1, FALSE)
  ),
  "COMPLETE",
  "INC"
)</f>
        <v>COMPLETE</v>
      </c>
      <c r="D1101" s="9" t="str">
        <f t="array" ref="D1101">IFERROR(INDEX(data!$G:$G,match(Caseslist!B1101,data!$D:$D,0)), "INC")</f>
        <v>D1284067</v>
      </c>
      <c r="E1101" s="9" t="str">
        <f t="array" ref="E1101">IFERROR(INDEX(data!H:H,match(Caseslist!B1101,data!D:D,0)), "INC")</f>
        <v>Mariel Del Rio</v>
      </c>
      <c r="F1101" s="10" t="str">
        <f t="array" ref="F1101">IF(
    OR(
      IFNA(INDEX(data!M:M, MATCH(Caseslist!B1101, data!D:D, 0)), "") = "",
      IFNA(INDEX(data!M:M, MATCH(Caseslist!B1101, data!D:D, 0)), 0) = 0
    ),
    "COMPLETE",
    IF(
      IFNA(INDEX(dataICM!D:D, MATCH(Caseslist!B1101, dataICM!D:D, 0)), "INC") = "INC",
      IFNA(INDEX(dataICM!D:D, MATCH(Caseslist!B1101, dataICM!D:D, 0)), "INC"),
      "COMPLETE"
    )
  )</f>
        <v>COMPLETE</v>
      </c>
      <c r="G1101" s="10" t="str">
        <f t="array" ref="G1101">IF(IFERROR(INDEX(data!L:L,match(Caseslist!B1101,data!D:D,0)),"INC")="","COMPLETE",F1101)</f>
        <v>COMPLETE</v>
      </c>
      <c r="H1101" s="9" t="str">
        <f t="array" ref="H1101">IFERROR(INDEX(dataICM!F:F,match(Caseslist!B1101,dataICM!D:D,0)), "INC")</f>
        <v>INC</v>
      </c>
      <c r="I1101" s="10" t="str">
        <f t="shared" si="2"/>
        <v>D1284067</v>
      </c>
      <c r="J1101" s="9" t="str">
        <f t="array" ref="J1101">IF(
  AND(
    IFERROR(MATCH(B1101, data!D:D, 0), 0) &gt; 0,
    IFERROR(INDEX(data!N:N, MATCH(B1101, data!D:D, 0)) = 1, FALSE)
  ),
  INDEX(data!C:C, MATCH(B1101, data!D:D, 0)),
  "INC"
)</f>
        <v>2025-08-27T10:01:10.187+08</v>
      </c>
      <c r="K1101" s="9" t="str">
        <f t="array" ref="K1101">IFERROR(INDEX(dataICM!C:C,match(Caseslist!B1101,dataICM!D:D,0)), "INC")</f>
        <v>INC</v>
      </c>
      <c r="L1101" s="10" t="str">
        <f t="array" ref="L1101">IF(AND(G1101="COMPLETE", OR(K1101="INC", ISBLANK(INDEX(data!O:O, ROW())))), J1101, K1101)</f>
        <v>2025-08-27T10:01:10.187+08</v>
      </c>
      <c r="M1101" s="2">
        <v>45896.0</v>
      </c>
      <c r="N1101" s="2">
        <f t="array" ref="N1101">IF(M1101&lt;&gt;"INC", INDEX(data!M:M, MATCH(B1101, data!D:D, 0)), "")</f>
        <v>0</v>
      </c>
      <c r="O1101" s="2">
        <f t="shared" si="3"/>
        <v>0</v>
      </c>
    </row>
    <row r="1102">
      <c r="A1102" s="2" t="str">
        <f t="shared" si="1"/>
        <v>H030129</v>
      </c>
      <c r="B1102" s="1" t="s">
        <v>523</v>
      </c>
      <c r="C1102" s="9" t="str">
        <f t="array" ref="C1102">IF(
  AND(
    IFERROR(MATCH(Caseslist!B1102, data!D:D, 0), 0) &gt; 0,
    IFERROR(INDEX(data!N:N, MATCH(Caseslist!B1102, data!D:D, 0)) = 1, FALSE)
  ),
  "COMPLETE",
  "INC"
)</f>
        <v>COMPLETE</v>
      </c>
      <c r="D1102" s="9" t="str">
        <f t="array" ref="D1102">IFERROR(INDEX(data!$G:$G,match(Caseslist!B1102,data!$D:$D,0)), "INC")</f>
        <v>B8193462</v>
      </c>
      <c r="E1102" s="9" t="str">
        <f t="array" ref="E1102">IFERROR(INDEX(data!H:H,match(Caseslist!B1102,data!D:D,0)), "INC")</f>
        <v>Mark Lorens Mendoza Gilongo</v>
      </c>
      <c r="F1102" s="10" t="str">
        <f t="array" ref="F1102">IF(
    OR(
      IFNA(INDEX(data!M:M, MATCH(Caseslist!B1102, data!D:D, 0)), "") = "",
      IFNA(INDEX(data!M:M, MATCH(Caseslist!B1102, data!D:D, 0)), 0) = 0
    ),
    "COMPLETE",
    IF(
      IFNA(INDEX(dataICM!D:D, MATCH(Caseslist!B1102, dataICM!D:D, 0)), "INC") = "INC",
      IFNA(INDEX(dataICM!D:D, MATCH(Caseslist!B1102, dataICM!D:D, 0)), "INC"),
      "COMPLETE"
    )
  )</f>
        <v>COMPLETE</v>
      </c>
      <c r="G1102" s="10" t="str">
        <f t="array" ref="G1102">IF(IFERROR(INDEX(data!L:L,match(Caseslist!B1102,data!D:D,0)),"INC")="","COMPLETE",F1102)</f>
        <v>COMPLETE</v>
      </c>
      <c r="H1102" s="9" t="str">
        <f t="array" ref="H1102">IFERROR(INDEX(dataICM!F:F,match(Caseslist!B1102,dataICM!D:D,0)), "INC")</f>
        <v>INC</v>
      </c>
      <c r="I1102" s="10" t="str">
        <f t="shared" si="2"/>
        <v>B8193462</v>
      </c>
      <c r="J1102" s="9" t="str">
        <f t="array" ref="J1102">IF(
  AND(
    IFERROR(MATCH(B1102, data!D:D, 0), 0) &gt; 0,
    IFERROR(INDEX(data!N:N, MATCH(B1102, data!D:D, 0)) = 1, FALSE)
  ),
  INDEX(data!C:C, MATCH(B1102, data!D:D, 0)),
  "INC"
)</f>
        <v>2025-08-26T10:03:25.058+08</v>
      </c>
      <c r="K1102" s="9" t="str">
        <f t="array" ref="K1102">IFERROR(INDEX(dataICM!C:C,match(Caseslist!B1102,dataICM!D:D,0)), "INC")</f>
        <v>INC</v>
      </c>
      <c r="L1102" s="10" t="str">
        <f t="array" ref="L1102">IF(AND(G1102="COMPLETE", OR(K1102="INC", ISBLANK(INDEX(data!O:O, ROW())))), J1102, K1102)</f>
        <v>2025-08-26T10:03:25.058+08</v>
      </c>
      <c r="M1102" s="2">
        <v>45895.0</v>
      </c>
      <c r="N1102" s="2">
        <f t="array" ref="N1102">IF(M1102&lt;&gt;"INC", INDEX(data!M:M, MATCH(B1102, data!D:D, 0)), "")</f>
        <v>0</v>
      </c>
      <c r="O1102" s="2">
        <f t="shared" si="3"/>
        <v>0</v>
      </c>
    </row>
    <row r="1103">
      <c r="A1103" s="2" t="str">
        <f t="shared" si="1"/>
        <v>H030129</v>
      </c>
      <c r="B1103" s="1" t="s">
        <v>528</v>
      </c>
      <c r="C1103" s="9" t="str">
        <f t="array" ref="C1103">IF(
  AND(
    IFERROR(MATCH(Caseslist!B1103, data!D:D, 0), 0) &gt; 0,
    IFERROR(INDEX(data!N:N, MATCH(Caseslist!B1103, data!D:D, 0)) = 1, FALSE)
  ),
  "COMPLETE",
  "INC"
)</f>
        <v>COMPLETE</v>
      </c>
      <c r="D1103" s="9" t="str">
        <f t="array" ref="D1103">IFERROR(INDEX(data!$G:$G,match(Caseslist!B1103,data!$D:$D,0)), "INC")</f>
        <v>B8193462</v>
      </c>
      <c r="E1103" s="9" t="str">
        <f t="array" ref="E1103">IFERROR(INDEX(data!H:H,match(Caseslist!B1103,data!D:D,0)), "INC")</f>
        <v>Mark Lorens Mendoza Gilongo</v>
      </c>
      <c r="F1103" s="10" t="str">
        <f t="array" ref="F1103">IF(
    OR(
      IFNA(INDEX(data!M:M, MATCH(Caseslist!B1103, data!D:D, 0)), "") = "",
      IFNA(INDEX(data!M:M, MATCH(Caseslist!B1103, data!D:D, 0)), 0) = 0
    ),
    "COMPLETE",
    IF(
      IFNA(INDEX(dataICM!D:D, MATCH(Caseslist!B1103, dataICM!D:D, 0)), "INC") = "INC",
      IFNA(INDEX(dataICM!D:D, MATCH(Caseslist!B1103, dataICM!D:D, 0)), "INC"),
      "COMPLETE"
    )
  )</f>
        <v>COMPLETE</v>
      </c>
      <c r="G1103" s="10" t="str">
        <f t="array" ref="G1103">IF(IFERROR(INDEX(data!L:L,match(Caseslist!B1103,data!D:D,0)),"INC")="","COMPLETE",F1103)</f>
        <v>COMPLETE</v>
      </c>
      <c r="H1103" s="9" t="str">
        <f t="array" ref="H1103">IFERROR(INDEX(dataICM!F:F,match(Caseslist!B1103,dataICM!D:D,0)), "INC")</f>
        <v>INC</v>
      </c>
      <c r="I1103" s="10" t="str">
        <f t="shared" si="2"/>
        <v>B8193462</v>
      </c>
      <c r="J1103" s="9" t="str">
        <f t="array" ref="J1103">IF(
  AND(
    IFERROR(MATCH(B1103, data!D:D, 0), 0) &gt; 0,
    IFERROR(INDEX(data!N:N, MATCH(B1103, data!D:D, 0)) = 1, FALSE)
  ),
  INDEX(data!C:C, MATCH(B1103, data!D:D, 0)),
  "INC"
)</f>
        <v>2025-08-26T20:04:49.525+08</v>
      </c>
      <c r="K1103" s="9" t="str">
        <f t="array" ref="K1103">IFERROR(INDEX(dataICM!C:C,match(Caseslist!B1103,dataICM!D:D,0)), "INC")</f>
        <v>INC</v>
      </c>
      <c r="L1103" s="10" t="str">
        <f t="array" ref="L1103">IF(AND(G1103="COMPLETE", OR(K1103="INC", ISBLANK(INDEX(data!O:O, ROW())))), J1103, K1103)</f>
        <v>2025-08-26T20:04:49.525+08</v>
      </c>
      <c r="M1103" s="2">
        <v>45895.0</v>
      </c>
      <c r="N1103" s="2">
        <f t="array" ref="N1103">IF(M1103&lt;&gt;"INC", INDEX(data!M:M, MATCH(B1103, data!D:D, 0)), "")</f>
        <v>0</v>
      </c>
      <c r="O1103" s="2">
        <f t="shared" si="3"/>
        <v>0</v>
      </c>
    </row>
    <row r="1104">
      <c r="A1104" s="2" t="str">
        <f t="shared" si="1"/>
        <v>H030129</v>
      </c>
      <c r="B1104" s="1" t="s">
        <v>588</v>
      </c>
      <c r="C1104" s="9" t="str">
        <f t="array" ref="C1104">IF(
  AND(
    IFERROR(MATCH(Caseslist!B1104, data!D:D, 0), 0) &gt; 0,
    IFERROR(INDEX(data!N:N, MATCH(Caseslist!B1104, data!D:D, 0)) = 1, FALSE)
  ),
  "COMPLETE",
  "INC"
)</f>
        <v>COMPLETE</v>
      </c>
      <c r="D1104" s="9" t="str">
        <f t="array" ref="D1104">IFERROR(INDEX(data!$G:$G,match(Caseslist!B1104,data!$D:$D,0)), "INC")</f>
        <v>C7502931</v>
      </c>
      <c r="E1104" s="9" t="str">
        <f t="array" ref="E1104">IFERROR(INDEX(data!H:H,match(Caseslist!B1104,data!D:D,0)), "INC")</f>
        <v>Jenny Lou Toles Estacio</v>
      </c>
      <c r="F1104" s="10" t="str">
        <f t="array" ref="F1104">IF(
    OR(
      IFNA(INDEX(data!M:M, MATCH(Caseslist!B1104, data!D:D, 0)), "") = "",
      IFNA(INDEX(data!M:M, MATCH(Caseslist!B1104, data!D:D, 0)), 0) = 0
    ),
    "COMPLETE",
    IF(
      IFNA(INDEX(dataICM!D:D, MATCH(Caseslist!B1104, dataICM!D:D, 0)), "INC") = "INC",
      IFNA(INDEX(dataICM!D:D, MATCH(Caseslist!B1104, dataICM!D:D, 0)), "INC"),
      "COMPLETE"
    )
  )</f>
        <v>COMPLETE</v>
      </c>
      <c r="G1104" s="10" t="str">
        <f t="array" ref="G1104">IF(IFERROR(INDEX(data!L:L,match(Caseslist!B1104,data!D:D,0)),"INC")="","COMPLETE",F1104)</f>
        <v>COMPLETE</v>
      </c>
      <c r="H1104" s="9" t="str">
        <f t="array" ref="H1104">IFERROR(INDEX(dataICM!F:F,match(Caseslist!B1104,dataICM!D:D,0)), "INC")</f>
        <v>INC</v>
      </c>
      <c r="I1104" s="10" t="str">
        <f t="shared" si="2"/>
        <v>C7502931</v>
      </c>
      <c r="J1104" s="9" t="str">
        <f t="array" ref="J1104">IF(
  AND(
    IFERROR(MATCH(B1104, data!D:D, 0), 0) &gt; 0,
    IFERROR(INDEX(data!N:N, MATCH(B1104, data!D:D, 0)) = 1, FALSE)
  ),
  INDEX(data!C:C, MATCH(B1104, data!D:D, 0)),
  "INC"
)</f>
        <v>2025-08-26T20:04:03.240+08</v>
      </c>
      <c r="K1104" s="9" t="str">
        <f t="array" ref="K1104">IFERROR(INDEX(dataICM!C:C,match(Caseslist!B1104,dataICM!D:D,0)), "INC")</f>
        <v>INC</v>
      </c>
      <c r="L1104" s="10" t="str">
        <f t="array" ref="L1104">IF(AND(G1104="COMPLETE", OR(K1104="INC", ISBLANK(INDEX(data!O:O, ROW())))), J1104, K1104)</f>
        <v>2025-08-26T20:04:03.240+08</v>
      </c>
      <c r="M1104" s="2">
        <v>45895.0</v>
      </c>
      <c r="N1104" s="2">
        <f t="array" ref="N1104">IF(M1104&lt;&gt;"INC", INDEX(data!M:M, MATCH(B1104, data!D:D, 0)), "")</f>
        <v>0</v>
      </c>
      <c r="O1104" s="2">
        <f t="shared" si="3"/>
        <v>0</v>
      </c>
    </row>
    <row r="1105">
      <c r="A1105" s="2" t="str">
        <f t="shared" si="1"/>
        <v>H030129</v>
      </c>
      <c r="B1105" s="1" t="s">
        <v>799</v>
      </c>
      <c r="C1105" s="9" t="str">
        <f t="array" ref="C1105">IF(
  AND(
    IFERROR(MATCH(Caseslist!B1105, data!D:D, 0), 0) &gt; 0,
    IFERROR(INDEX(data!N:N, MATCH(Caseslist!B1105, data!D:D, 0)) = 1, FALSE)
  ),
  "COMPLETE",
  "INC"
)</f>
        <v>COMPLETE</v>
      </c>
      <c r="D1105" s="9" t="str">
        <f t="array" ref="D1105">IFERROR(INDEX(data!$G:$G,match(Caseslist!B1105,data!$D:$D,0)), "INC")</f>
        <v>D1284067</v>
      </c>
      <c r="E1105" s="9" t="str">
        <f t="array" ref="E1105">IFERROR(INDEX(data!H:H,match(Caseslist!B1105,data!D:D,0)), "INC")</f>
        <v>Mariel Del Rio</v>
      </c>
      <c r="F1105" s="10" t="str">
        <f t="array" ref="F1105">IF(
    OR(
      IFNA(INDEX(data!M:M, MATCH(Caseslist!B1105, data!D:D, 0)), "") = "",
      IFNA(INDEX(data!M:M, MATCH(Caseslist!B1105, data!D:D, 0)), 0) = 0
    ),
    "COMPLETE",
    IF(
      IFNA(INDEX(dataICM!D:D, MATCH(Caseslist!B1105, dataICM!D:D, 0)), "INC") = "INC",
      IFNA(INDEX(dataICM!D:D, MATCH(Caseslist!B1105, dataICM!D:D, 0)), "INC"),
      "COMPLETE"
    )
  )</f>
        <v>COMPLETE</v>
      </c>
      <c r="G1105" s="10" t="str">
        <f t="array" ref="G1105">IF(IFERROR(INDEX(data!L:L,match(Caseslist!B1105,data!D:D,0)),"INC")="","COMPLETE",F1105)</f>
        <v>COMPLETE</v>
      </c>
      <c r="H1105" s="9" t="str">
        <f t="array" ref="H1105">IFERROR(INDEX(dataICM!F:F,match(Caseslist!B1105,dataICM!D:D,0)), "INC")</f>
        <v>INC</v>
      </c>
      <c r="I1105" s="10" t="str">
        <f t="shared" si="2"/>
        <v>D1284067</v>
      </c>
      <c r="J1105" s="9" t="str">
        <f t="array" ref="J1105">IF(
  AND(
    IFERROR(MATCH(B1105, data!D:D, 0), 0) &gt; 0,
    IFERROR(INDEX(data!N:N, MATCH(B1105, data!D:D, 0)) = 1, FALSE)
  ),
  INDEX(data!C:C, MATCH(B1105, data!D:D, 0)),
  "INC"
)</f>
        <v>2025-08-27T12:27:19.329+08</v>
      </c>
      <c r="K1105" s="9" t="str">
        <f t="array" ref="K1105">IFERROR(INDEX(dataICM!C:C,match(Caseslist!B1105,dataICM!D:D,0)), "INC")</f>
        <v>INC</v>
      </c>
      <c r="L1105" s="10" t="str">
        <f t="array" ref="L1105">IF(AND(G1105="COMPLETE", OR(K1105="INC", ISBLANK(INDEX(data!O:O, ROW())))), J1105, K1105)</f>
        <v>2025-08-27T12:27:19.329+08</v>
      </c>
      <c r="M1105" s="2">
        <v>45896.0</v>
      </c>
      <c r="N1105" s="2">
        <f t="array" ref="N1105">IF(M1105&lt;&gt;"INC", INDEX(data!M:M, MATCH(B1105, data!D:D, 0)), "")</f>
        <v>0</v>
      </c>
      <c r="O1105" s="2">
        <f t="shared" si="3"/>
        <v>0</v>
      </c>
    </row>
    <row r="1106">
      <c r="A1106" s="2" t="str">
        <f t="shared" si="1"/>
        <v>H030129</v>
      </c>
      <c r="B1106" s="1" t="s">
        <v>794</v>
      </c>
      <c r="C1106" s="9" t="str">
        <f t="array" ref="C1106">IF(
  AND(
    IFERROR(MATCH(Caseslist!B1106, data!D:D, 0), 0) &gt; 0,
    IFERROR(INDEX(data!N:N, MATCH(Caseslist!B1106, data!D:D, 0)) = 1, FALSE)
  ),
  "COMPLETE",
  "INC"
)</f>
        <v>COMPLETE</v>
      </c>
      <c r="D1106" s="9" t="str">
        <f t="array" ref="D1106">IFERROR(INDEX(data!$G:$G,match(Caseslist!B1106,data!$D:$D,0)), "INC")</f>
        <v>D1284067</v>
      </c>
      <c r="E1106" s="9" t="str">
        <f t="array" ref="E1106">IFERROR(INDEX(data!H:H,match(Caseslist!B1106,data!D:D,0)), "INC")</f>
        <v>Mariel Del Rio</v>
      </c>
      <c r="F1106" s="10" t="str">
        <f t="array" ref="F1106">IF(
    OR(
      IFNA(INDEX(data!M:M, MATCH(Caseslist!B1106, data!D:D, 0)), "") = "",
      IFNA(INDEX(data!M:M, MATCH(Caseslist!B1106, data!D:D, 0)), 0) = 0
    ),
    "COMPLETE",
    IF(
      IFNA(INDEX(dataICM!D:D, MATCH(Caseslist!B1106, dataICM!D:D, 0)), "INC") = "INC",
      IFNA(INDEX(dataICM!D:D, MATCH(Caseslist!B1106, dataICM!D:D, 0)), "INC"),
      "COMPLETE"
    )
  )</f>
        <v>COMPLETE</v>
      </c>
      <c r="G1106" s="10" t="str">
        <f t="array" ref="G1106">IF(IFERROR(INDEX(data!L:L,match(Caseslist!B1106,data!D:D,0)),"INC")="","COMPLETE",F1106)</f>
        <v>COMPLETE</v>
      </c>
      <c r="H1106" s="9" t="str">
        <f t="array" ref="H1106">IFERROR(INDEX(dataICM!F:F,match(Caseslist!B1106,dataICM!D:D,0)), "INC")</f>
        <v>INC</v>
      </c>
      <c r="I1106" s="10" t="str">
        <f t="shared" si="2"/>
        <v>D1284067</v>
      </c>
      <c r="J1106" s="9" t="str">
        <f t="array" ref="J1106">IF(
  AND(
    IFERROR(MATCH(B1106, data!D:D, 0), 0) &gt; 0,
    IFERROR(INDEX(data!N:N, MATCH(B1106, data!D:D, 0)) = 1, FALSE)
  ),
  INDEX(data!C:C, MATCH(B1106, data!D:D, 0)),
  "INC"
)</f>
        <v>2025-08-27T11:15:00.304+08</v>
      </c>
      <c r="K1106" s="9" t="str">
        <f t="array" ref="K1106">IFERROR(INDEX(dataICM!C:C,match(Caseslist!B1106,dataICM!D:D,0)), "INC")</f>
        <v>INC</v>
      </c>
      <c r="L1106" s="10" t="str">
        <f t="array" ref="L1106">IF(AND(G1106="COMPLETE", OR(K1106="INC", ISBLANK(INDEX(data!O:O, ROW())))), J1106, K1106)</f>
        <v>2025-08-27T11:15:00.304+08</v>
      </c>
      <c r="M1106" s="2">
        <v>45896.0</v>
      </c>
      <c r="N1106" s="2">
        <f t="array" ref="N1106">IF(M1106&lt;&gt;"INC", INDEX(data!M:M, MATCH(B1106, data!D:D, 0)), "")</f>
        <v>0</v>
      </c>
      <c r="O1106" s="2">
        <f t="shared" si="3"/>
        <v>0</v>
      </c>
    </row>
    <row r="1107">
      <c r="A1107" s="2" t="str">
        <f t="shared" si="1"/>
        <v>H030129</v>
      </c>
      <c r="B1107" s="1" t="s">
        <v>583</v>
      </c>
      <c r="C1107" s="9" t="str">
        <f t="array" ref="C1107">IF(
  AND(
    IFERROR(MATCH(Caseslist!B1107, data!D:D, 0), 0) &gt; 0,
    IFERROR(INDEX(data!N:N, MATCH(Caseslist!B1107, data!D:D, 0)) = 1, FALSE)
  ),
  "COMPLETE",
  "INC"
)</f>
        <v>COMPLETE</v>
      </c>
      <c r="D1107" s="9" t="str">
        <f t="array" ref="D1107">IFERROR(INDEX(data!$G:$G,match(Caseslist!B1107,data!$D:$D,0)), "INC")</f>
        <v>C7502931</v>
      </c>
      <c r="E1107" s="9" t="str">
        <f t="array" ref="E1107">IFERROR(INDEX(data!H:H,match(Caseslist!B1107,data!D:D,0)), "INC")</f>
        <v>Jenny Lou Toles Estacio</v>
      </c>
      <c r="F1107" s="10" t="str">
        <f t="array" ref="F1107">IF(
    OR(
      IFNA(INDEX(data!M:M, MATCH(Caseslist!B1107, data!D:D, 0)), "") = "",
      IFNA(INDEX(data!M:M, MATCH(Caseslist!B1107, data!D:D, 0)), 0) = 0
    ),
    "COMPLETE",
    IF(
      IFNA(INDEX(dataICM!D:D, MATCH(Caseslist!B1107, dataICM!D:D, 0)), "INC") = "INC",
      IFNA(INDEX(dataICM!D:D, MATCH(Caseslist!B1107, dataICM!D:D, 0)), "INC"),
      "COMPLETE"
    )
  )</f>
        <v>COMPLETE</v>
      </c>
      <c r="G1107" s="10" t="str">
        <f t="array" ref="G1107">IF(IFERROR(INDEX(data!L:L,match(Caseslist!B1107,data!D:D,0)),"INC")="","COMPLETE",F1107)</f>
        <v>COMPLETE</v>
      </c>
      <c r="H1107" s="9" t="str">
        <f t="array" ref="H1107">IFERROR(INDEX(dataICM!F:F,match(Caseslist!B1107,dataICM!D:D,0)), "INC")</f>
        <v>INC</v>
      </c>
      <c r="I1107" s="10" t="str">
        <f t="shared" si="2"/>
        <v>C7502931</v>
      </c>
      <c r="J1107" s="9" t="str">
        <f t="array" ref="J1107">IF(
  AND(
    IFERROR(MATCH(B1107, data!D:D, 0), 0) &gt; 0,
    IFERROR(INDEX(data!N:N, MATCH(B1107, data!D:D, 0)) = 1, FALSE)
  ),
  INDEX(data!C:C, MATCH(B1107, data!D:D, 0)),
  "INC"
)</f>
        <v>2025-08-26T19:48:18.882+08</v>
      </c>
      <c r="K1107" s="9" t="str">
        <f t="array" ref="K1107">IFERROR(INDEX(dataICM!C:C,match(Caseslist!B1107,dataICM!D:D,0)), "INC")</f>
        <v>INC</v>
      </c>
      <c r="L1107" s="10" t="str">
        <f t="array" ref="L1107">IF(AND(G1107="COMPLETE", OR(K1107="INC", ISBLANK(INDEX(data!O:O, ROW())))), J1107, K1107)</f>
        <v>2025-08-26T19:48:18.882+08</v>
      </c>
      <c r="M1107" s="2">
        <v>45895.0</v>
      </c>
      <c r="N1107" s="2">
        <f t="array" ref="N1107">IF(M1107&lt;&gt;"INC", INDEX(data!M:M, MATCH(B1107, data!D:D, 0)), "")</f>
        <v>0</v>
      </c>
      <c r="O1107" s="2">
        <f t="shared" si="3"/>
        <v>0</v>
      </c>
    </row>
    <row r="1108">
      <c r="A1108" s="2" t="str">
        <f t="shared" si="1"/>
        <v>H030129</v>
      </c>
      <c r="B1108" s="1" t="s">
        <v>593</v>
      </c>
      <c r="C1108" s="9" t="str">
        <f t="array" ref="C1108">IF(
  AND(
    IFERROR(MATCH(Caseslist!B1108, data!D:D, 0), 0) &gt; 0,
    IFERROR(INDEX(data!N:N, MATCH(Caseslist!B1108, data!D:D, 0)) = 1, FALSE)
  ),
  "COMPLETE",
  "INC"
)</f>
        <v>COMPLETE</v>
      </c>
      <c r="D1108" s="9" t="str">
        <f t="array" ref="D1108">IFERROR(INDEX(data!$G:$G,match(Caseslist!B1108,data!$D:$D,0)), "INC")</f>
        <v>C7502931</v>
      </c>
      <c r="E1108" s="9" t="str">
        <f t="array" ref="E1108">IFERROR(INDEX(data!H:H,match(Caseslist!B1108,data!D:D,0)), "INC")</f>
        <v>Jenny Lou Toles Estacio</v>
      </c>
      <c r="F1108" s="10" t="str">
        <f t="array" ref="F1108">IF(
    OR(
      IFNA(INDEX(data!M:M, MATCH(Caseslist!B1108, data!D:D, 0)), "") = "",
      IFNA(INDEX(data!M:M, MATCH(Caseslist!B1108, data!D:D, 0)), 0) = 0
    ),
    "COMPLETE",
    IF(
      IFNA(INDEX(dataICM!D:D, MATCH(Caseslist!B1108, dataICM!D:D, 0)), "INC") = "INC",
      IFNA(INDEX(dataICM!D:D, MATCH(Caseslist!B1108, dataICM!D:D, 0)), "INC"),
      "COMPLETE"
    )
  )</f>
        <v>COMPLETE</v>
      </c>
      <c r="G1108" s="10" t="str">
        <f t="array" ref="G1108">IF(IFERROR(INDEX(data!L:L,match(Caseslist!B1108,data!D:D,0)),"INC")="","COMPLETE",F1108)</f>
        <v>COMPLETE</v>
      </c>
      <c r="H1108" s="9" t="str">
        <f t="array" ref="H1108">IFERROR(INDEX(dataICM!F:F,match(Caseslist!B1108,dataICM!D:D,0)), "INC")</f>
        <v>INC</v>
      </c>
      <c r="I1108" s="10" t="str">
        <f t="shared" si="2"/>
        <v>C7502931</v>
      </c>
      <c r="J1108" s="9" t="str">
        <f t="array" ref="J1108">IF(
  AND(
    IFERROR(MATCH(B1108, data!D:D, 0), 0) &gt; 0,
    IFERROR(INDEX(data!N:N, MATCH(B1108, data!D:D, 0)) = 1, FALSE)
  ),
  INDEX(data!C:C, MATCH(B1108, data!D:D, 0)),
  "INC"
)</f>
        <v>2025-08-26T20:19:46.614+08</v>
      </c>
      <c r="K1108" s="9" t="str">
        <f t="array" ref="K1108">IFERROR(INDEX(dataICM!C:C,match(Caseslist!B1108,dataICM!D:D,0)), "INC")</f>
        <v>INC</v>
      </c>
      <c r="L1108" s="10" t="str">
        <f t="array" ref="L1108">IF(AND(G1108="COMPLETE", OR(K1108="INC", ISBLANK(INDEX(data!O:O, ROW())))), J1108, K1108)</f>
        <v>2025-08-26T20:19:46.614+08</v>
      </c>
      <c r="M1108" s="2">
        <v>45895.0</v>
      </c>
      <c r="N1108" s="2">
        <f t="array" ref="N1108">IF(M1108&lt;&gt;"INC", INDEX(data!M:M, MATCH(B1108, data!D:D, 0)), "")</f>
        <v>0</v>
      </c>
      <c r="O1108" s="2">
        <f t="shared" si="3"/>
        <v>0</v>
      </c>
    </row>
    <row r="1109">
      <c r="A1109" s="2" t="str">
        <f t="shared" si="1"/>
        <v>H030129</v>
      </c>
      <c r="B1109" s="1" t="s">
        <v>508</v>
      </c>
      <c r="C1109" s="9" t="str">
        <f t="array" ref="C1109">IF(
  AND(
    IFERROR(MATCH(Caseslist!B1109, data!D:D, 0), 0) &gt; 0,
    IFERROR(INDEX(data!N:N, MATCH(Caseslist!B1109, data!D:D, 0)) = 1, FALSE)
  ),
  "COMPLETE",
  "INC"
)</f>
        <v>COMPLETE</v>
      </c>
      <c r="D1109" s="9">
        <f t="array" ref="D1109">IFERROR(INDEX(data!$G:$G,match(Caseslist!B1109,data!$D:$D,0)), "INC")</f>
        <v>896791</v>
      </c>
      <c r="E1109" s="9" t="str">
        <f t="array" ref="E1109">IFERROR(INDEX(data!H:H,match(Caseslist!B1109,data!D:D,0)), "INC")</f>
        <v>Roland A. Bandiola jr</v>
      </c>
      <c r="F1109" s="10" t="str">
        <f t="array" ref="F1109">IF(
    OR(
      IFNA(INDEX(data!M:M, MATCH(Caseslist!B1109, data!D:D, 0)), "") = "",
      IFNA(INDEX(data!M:M, MATCH(Caseslist!B1109, data!D:D, 0)), 0) = 0
    ),
    "COMPLETE",
    IF(
      IFNA(INDEX(dataICM!D:D, MATCH(Caseslist!B1109, dataICM!D:D, 0)), "INC") = "INC",
      IFNA(INDEX(dataICM!D:D, MATCH(Caseslist!B1109, dataICM!D:D, 0)), "INC"),
      "COMPLETE"
    )
  )</f>
        <v>COMPLETE</v>
      </c>
      <c r="G1109" s="10" t="str">
        <f t="array" ref="G1109">IF(IFERROR(INDEX(data!L:L,match(Caseslist!B1109,data!D:D,0)),"INC")="","COMPLETE",F1109)</f>
        <v>COMPLETE</v>
      </c>
      <c r="H1109" s="9" t="str">
        <f t="array" ref="H1109">IFERROR(INDEX(dataICM!F:F,match(Caseslist!B1109,dataICM!D:D,0)), "INC")</f>
        <v>INC</v>
      </c>
      <c r="I1109" s="10">
        <f t="shared" si="2"/>
        <v>896791</v>
      </c>
      <c r="J1109" s="9" t="str">
        <f t="array" ref="J1109">IF(
  AND(
    IFERROR(MATCH(B1109, data!D:D, 0), 0) &gt; 0,
    IFERROR(INDEX(data!N:N, MATCH(B1109, data!D:D, 0)) = 1, FALSE)
  ),
  INDEX(data!C:C, MATCH(B1109, data!D:D, 0)),
  "INC"
)</f>
        <v>2025-08-26T17:26:01.246+08</v>
      </c>
      <c r="K1109" s="9" t="str">
        <f t="array" ref="K1109">IFERROR(INDEX(dataICM!C:C,match(Caseslist!B1109,dataICM!D:D,0)), "INC")</f>
        <v>INC</v>
      </c>
      <c r="L1109" s="10" t="str">
        <f t="array" ref="L1109">IF(AND(G1109="COMPLETE", OR(K1109="INC", ISBLANK(INDEX(data!O:O, ROW())))), J1109, K1109)</f>
        <v>2025-08-26T17:26:01.246+08</v>
      </c>
      <c r="M1109" s="2">
        <v>45895.0</v>
      </c>
      <c r="N1109" s="2">
        <f t="array" ref="N1109">IF(M1109&lt;&gt;"INC", INDEX(data!M:M, MATCH(B1109, data!D:D, 0)), "")</f>
        <v>0</v>
      </c>
      <c r="O1109" s="2">
        <f t="shared" si="3"/>
        <v>0</v>
      </c>
    </row>
    <row r="1110">
      <c r="A1110" s="2" t="str">
        <f t="shared" si="1"/>
        <v>H030129</v>
      </c>
      <c r="B1110" s="1" t="s">
        <v>497</v>
      </c>
      <c r="C1110" s="9" t="str">
        <f t="array" ref="C1110">IF(
  AND(
    IFERROR(MATCH(Caseslist!B1110, data!D:D, 0), 0) &gt; 0,
    IFERROR(INDEX(data!N:N, MATCH(Caseslist!B1110, data!D:D, 0)) = 1, FALSE)
  ),
  "COMPLETE",
  "INC"
)</f>
        <v>COMPLETE</v>
      </c>
      <c r="D1110" s="9" t="str">
        <f t="array" ref="D1110">IFERROR(INDEX(data!$G:$G,match(Caseslist!B1110,data!$D:$D,0)), "INC")</f>
        <v>D1284067</v>
      </c>
      <c r="E1110" s="9" t="str">
        <f t="array" ref="E1110">IFERROR(INDEX(data!H:H,match(Caseslist!B1110,data!D:D,0)), "INC")</f>
        <v>Mariel Del Rio</v>
      </c>
      <c r="F1110" s="10" t="str">
        <f t="array" ref="F1110">IF(
    OR(
      IFNA(INDEX(data!M:M, MATCH(Caseslist!B1110, data!D:D, 0)), "") = "",
      IFNA(INDEX(data!M:M, MATCH(Caseslist!B1110, data!D:D, 0)), 0) = 0
    ),
    "COMPLETE",
    IF(
      IFNA(INDEX(dataICM!D:D, MATCH(Caseslist!B1110, dataICM!D:D, 0)), "INC") = "INC",
      IFNA(INDEX(dataICM!D:D, MATCH(Caseslist!B1110, dataICM!D:D, 0)), "INC"),
      "COMPLETE"
    )
  )</f>
        <v>COMPLETE</v>
      </c>
      <c r="G1110" s="10" t="str">
        <f t="array" ref="G1110">IF(IFERROR(INDEX(data!L:L,match(Caseslist!B1110,data!D:D,0)),"INC")="","COMPLETE",F1110)</f>
        <v>COMPLETE</v>
      </c>
      <c r="H1110" s="9" t="str">
        <f t="array" ref="H1110">IFERROR(INDEX(dataICM!F:F,match(Caseslist!B1110,dataICM!D:D,0)), "INC")</f>
        <v>INC</v>
      </c>
      <c r="I1110" s="10" t="str">
        <f t="shared" si="2"/>
        <v>D1284067</v>
      </c>
      <c r="J1110" s="9" t="str">
        <f t="array" ref="J1110">IF(
  AND(
    IFERROR(MATCH(B1110, data!D:D, 0), 0) &gt; 0,
    IFERROR(INDEX(data!N:N, MATCH(B1110, data!D:D, 0)) = 1, FALSE)
  ),
  INDEX(data!C:C, MATCH(B1110, data!D:D, 0)),
  "INC"
)</f>
        <v>2025-08-26T10:19:07.314+08</v>
      </c>
      <c r="K1110" s="9" t="str">
        <f t="array" ref="K1110">IFERROR(INDEX(dataICM!C:C,match(Caseslist!B1110,dataICM!D:D,0)), "INC")</f>
        <v>INC</v>
      </c>
      <c r="L1110" s="10" t="str">
        <f t="array" ref="L1110">IF(AND(G1110="COMPLETE", OR(K1110="INC", ISBLANK(INDEX(data!O:O, ROW())))), J1110, K1110)</f>
        <v>2025-08-26T10:19:07.314+08</v>
      </c>
      <c r="M1110" s="2">
        <v>45895.0</v>
      </c>
      <c r="N1110" s="2">
        <f t="array" ref="N1110">IF(M1110&lt;&gt;"INC", INDEX(data!M:M, MATCH(B1110, data!D:D, 0)), "")</f>
        <v>0</v>
      </c>
      <c r="O1110" s="2">
        <f t="shared" si="3"/>
        <v>0</v>
      </c>
    </row>
    <row r="1111">
      <c r="A1111" s="2" t="str">
        <f t="shared" si="1"/>
        <v>H030129</v>
      </c>
      <c r="B1111" s="1" t="s">
        <v>804</v>
      </c>
      <c r="C1111" s="9" t="str">
        <f t="array" ref="C1111">IF(
  AND(
    IFERROR(MATCH(Caseslist!B1111, data!D:D, 0), 0) &gt; 0,
    IFERROR(INDEX(data!N:N, MATCH(Caseslist!B1111, data!D:D, 0)) = 1, FALSE)
  ),
  "COMPLETE",
  "INC"
)</f>
        <v>COMPLETE</v>
      </c>
      <c r="D1111" s="9" t="str">
        <f t="array" ref="D1111">IFERROR(INDEX(data!$G:$G,match(Caseslist!B1111,data!$D:$D,0)), "INC")</f>
        <v>D1284067</v>
      </c>
      <c r="E1111" s="9" t="str">
        <f t="array" ref="E1111">IFERROR(INDEX(data!H:H,match(Caseslist!B1111,data!D:D,0)), "INC")</f>
        <v>Mariel Del Rio</v>
      </c>
      <c r="F1111" s="10" t="str">
        <f t="array" ref="F1111">IF(
    OR(
      IFNA(INDEX(data!M:M, MATCH(Caseslist!B1111, data!D:D, 0)), "") = "",
      IFNA(INDEX(data!M:M, MATCH(Caseslist!B1111, data!D:D, 0)), 0) = 0
    ),
    "COMPLETE",
    IF(
      IFNA(INDEX(dataICM!D:D, MATCH(Caseslist!B1111, dataICM!D:D, 0)), "INC") = "INC",
      IFNA(INDEX(dataICM!D:D, MATCH(Caseslist!B1111, dataICM!D:D, 0)), "INC"),
      "COMPLETE"
    )
  )</f>
        <v>COMPLETE</v>
      </c>
      <c r="G1111" s="10" t="str">
        <f t="array" ref="G1111">IF(IFERROR(INDEX(data!L:L,match(Caseslist!B1111,data!D:D,0)),"INC")="","COMPLETE",F1111)</f>
        <v>COMPLETE</v>
      </c>
      <c r="H1111" s="9" t="str">
        <f t="array" ref="H1111">IFERROR(INDEX(dataICM!F:F,match(Caseslist!B1111,dataICM!D:D,0)), "INC")</f>
        <v>INC</v>
      </c>
      <c r="I1111" s="10" t="str">
        <f t="shared" si="2"/>
        <v>D1284067</v>
      </c>
      <c r="J1111" s="9" t="str">
        <f t="array" ref="J1111">IF(
  AND(
    IFERROR(MATCH(B1111, data!D:D, 0), 0) &gt; 0,
    IFERROR(INDEX(data!N:N, MATCH(B1111, data!D:D, 0)) = 1, FALSE)
  ),
  INDEX(data!C:C, MATCH(B1111, data!D:D, 0)),
  "INC"
)</f>
        <v>2025-08-27T13:46:27.095+08</v>
      </c>
      <c r="K1111" s="9" t="str">
        <f t="array" ref="K1111">IFERROR(INDEX(dataICM!C:C,match(Caseslist!B1111,dataICM!D:D,0)), "INC")</f>
        <v>INC</v>
      </c>
      <c r="L1111" s="10" t="str">
        <f t="array" ref="L1111">IF(AND(G1111="COMPLETE", OR(K1111="INC", ISBLANK(INDEX(data!O:O, ROW())))), J1111, K1111)</f>
        <v>2025-08-27T13:46:27.095+08</v>
      </c>
      <c r="M1111" s="2">
        <v>45896.0</v>
      </c>
      <c r="N1111" s="2">
        <f t="array" ref="N1111">IF(M1111&lt;&gt;"INC", INDEX(data!M:M, MATCH(B1111, data!D:D, 0)), "")</f>
        <v>0</v>
      </c>
      <c r="O1111" s="2">
        <f t="shared" si="3"/>
        <v>0</v>
      </c>
    </row>
    <row r="1112">
      <c r="A1112" s="2" t="str">
        <f t="shared" si="1"/>
        <v>H030160</v>
      </c>
      <c r="B1112" s="1" t="s">
        <v>4022</v>
      </c>
      <c r="C1112" s="9" t="str">
        <f t="array" ref="C1112">IF(
  AND(
    IFERROR(MATCH(Caseslist!B1112, data!D:D, 0), 0) &gt; 0,
    IFERROR(INDEX(data!N:N, MATCH(Caseslist!B1112, data!D:D, 0)) = 1, FALSE)
  ),
  "COMPLETE",
  "INC"
)</f>
        <v>COMPLETE</v>
      </c>
      <c r="D1112" s="9" t="str">
        <f t="array" ref="D1112">IFERROR(INDEX(data!$G:$G,match(Caseslist!B1112,data!$D:$D,0)), "INC")</f>
        <v>F3051749</v>
      </c>
      <c r="E1112" s="9" t="str">
        <f t="array" ref="E1112">IFERROR(INDEX(data!H:H,match(Caseslist!B1112,data!D:D,0)), "INC")</f>
        <v>Elenita Gicos De La Pe�a</v>
      </c>
      <c r="F1112" s="10" t="str">
        <f t="array" ref="F1112">IF(
    OR(
      IFNA(INDEX(data!M:M, MATCH(Caseslist!B1112, data!D:D, 0)), "") = "",
      IFNA(INDEX(data!M:M, MATCH(Caseslist!B1112, data!D:D, 0)), 0) = 0
    ),
    "COMPLETE",
    IF(
      IFNA(INDEX(dataICM!D:D, MATCH(Caseslist!B1112, dataICM!D:D, 0)), "INC") = "INC",
      IFNA(INDEX(dataICM!D:D, MATCH(Caseslist!B1112, dataICM!D:D, 0)), "INC"),
      "COMPLETE"
    )
  )</f>
        <v>COMPLETE</v>
      </c>
      <c r="G1112" s="10" t="str">
        <f t="array" ref="G1112">IF(IFERROR(INDEX(data!L:L,match(Caseslist!B1112,data!D:D,0)),"INC")="","COMPLETE",F1112)</f>
        <v>COMPLETE</v>
      </c>
      <c r="H1112" s="9" t="str">
        <f t="array" ref="H1112">IFERROR(INDEX(dataICM!F:F,match(Caseslist!B1112,dataICM!D:D,0)), "INC")</f>
        <v>Elenita Gicos De La Pe�a</v>
      </c>
      <c r="I1112" s="10" t="str">
        <f t="shared" si="2"/>
        <v>F3051749</v>
      </c>
      <c r="J1112" s="9" t="str">
        <f t="array" ref="J1112">IF(
  AND(
    IFERROR(MATCH(B1112, data!D:D, 0), 0) &gt; 0,
    IFERROR(INDEX(data!N:N, MATCH(B1112, data!D:D, 0)) = 1, FALSE)
  ),
  INDEX(data!C:C, MATCH(B1112, data!D:D, 0)),
  "INC"
)</f>
        <v>2025-09-05T10:25:24.486+08</v>
      </c>
      <c r="K1112" s="9" t="str">
        <f t="array" ref="K1112">IFERROR(INDEX(dataICM!C:C,match(Caseslist!B1112,dataICM!D:D,0)), "INC")</f>
        <v>2025-09-05T10:30:23.647+08</v>
      </c>
      <c r="L1112" s="10" t="str">
        <f t="array" ref="L1112">IF(AND(G1112="COMPLETE", OR(K1112="INC", ISBLANK(INDEX(data!O:O, ROW())))), J1112, K1112)</f>
        <v>2025-09-05T10:30:23.647+08</v>
      </c>
      <c r="M1112" s="2">
        <v>45905.0</v>
      </c>
      <c r="N1112" s="2">
        <f t="array" ref="N1112">IF(M1112&lt;&gt;"INC", INDEX(data!M:M, MATCH(B1112, data!D:D, 0)), "")</f>
        <v>2</v>
      </c>
      <c r="O1112" s="2">
        <f t="shared" si="3"/>
        <v>2</v>
      </c>
    </row>
    <row r="1113">
      <c r="A1113" s="2" t="str">
        <f t="shared" si="1"/>
        <v>H030160</v>
      </c>
      <c r="B1113" s="1" t="s">
        <v>3927</v>
      </c>
      <c r="C1113" s="9" t="str">
        <f t="array" ref="C1113">IF(
  AND(
    IFERROR(MATCH(Caseslist!B1113, data!D:D, 0), 0) &gt; 0,
    IFERROR(INDEX(data!N:N, MATCH(Caseslist!B1113, data!D:D, 0)) = 1, FALSE)
  ),
  "COMPLETE",
  "INC"
)</f>
        <v>COMPLETE</v>
      </c>
      <c r="D1113" s="9" t="str">
        <f t="array" ref="D1113">IFERROR(INDEX(data!$G:$G,match(Caseslist!B1113,data!$D:$D,0)), "INC")</f>
        <v>G5472901</v>
      </c>
      <c r="E1113" s="9" t="str">
        <f t="array" ref="E1113">IFERROR(INDEX(data!H:H,match(Caseslist!B1113,data!D:D,0)), "INC")</f>
        <v>Wellyn Grace Alaban Parcia</v>
      </c>
      <c r="F1113" s="10" t="str">
        <f t="array" ref="F1113">IF(
    OR(
      IFNA(INDEX(data!M:M, MATCH(Caseslist!B1113, data!D:D, 0)), "") = "",
      IFNA(INDEX(data!M:M, MATCH(Caseslist!B1113, data!D:D, 0)), 0) = 0
    ),
    "COMPLETE",
    IF(
      IFNA(INDEX(dataICM!D:D, MATCH(Caseslist!B1113, dataICM!D:D, 0)), "INC") = "INC",
      IFNA(INDEX(dataICM!D:D, MATCH(Caseslist!B1113, dataICM!D:D, 0)), "INC"),
      "COMPLETE"
    )
  )</f>
        <v>COMPLETE</v>
      </c>
      <c r="G1113" s="10" t="str">
        <f t="array" ref="G1113">IF(IFERROR(INDEX(data!L:L,match(Caseslist!B1113,data!D:D,0)),"INC")="","COMPLETE",F1113)</f>
        <v>COMPLETE</v>
      </c>
      <c r="H1113" s="9" t="str">
        <f t="array" ref="H1113">IFERROR(INDEX(dataICM!F:F,match(Caseslist!B1113,dataICM!D:D,0)), "INC")</f>
        <v>Wellyn Grace Alaban Parcia</v>
      </c>
      <c r="I1113" s="10" t="str">
        <f t="shared" si="2"/>
        <v>G5472901</v>
      </c>
      <c r="J1113" s="9" t="str">
        <f t="array" ref="J1113">IF(
  AND(
    IFERROR(MATCH(B1113, data!D:D, 0), 0) &gt; 0,
    IFERROR(INDEX(data!N:N, MATCH(B1113, data!D:D, 0)) = 1, FALSE)
  ),
  INDEX(data!C:C, MATCH(B1113, data!D:D, 0)),
  "INC"
)</f>
        <v>2025-09-05T12:09:16.274+08</v>
      </c>
      <c r="K1113" s="9" t="str">
        <f t="array" ref="K1113">IFERROR(INDEX(dataICM!C:C,match(Caseslist!B1113,dataICM!D:D,0)), "INC")</f>
        <v>2025-09-05T12:14:21.023+08</v>
      </c>
      <c r="L1113" s="10" t="str">
        <f t="array" ref="L1113">IF(AND(G1113="COMPLETE", OR(K1113="INC", ISBLANK(INDEX(data!O:O, ROW())))), J1113, K1113)</f>
        <v>2025-09-05T12:14:21.023+08</v>
      </c>
      <c r="M1113" s="2">
        <v>45905.0</v>
      </c>
      <c r="N1113" s="2">
        <f t="array" ref="N1113">IF(M1113&lt;&gt;"INC", INDEX(data!M:M, MATCH(B1113, data!D:D, 0)), "")</f>
        <v>2</v>
      </c>
      <c r="O1113" s="2">
        <f t="shared" si="3"/>
        <v>2</v>
      </c>
    </row>
    <row r="1114">
      <c r="A1114" s="2" t="str">
        <f t="shared" si="1"/>
        <v>H030160</v>
      </c>
      <c r="B1114" s="1" t="s">
        <v>3967</v>
      </c>
      <c r="C1114" s="9" t="str">
        <f t="array" ref="C1114">IF(
  AND(
    IFERROR(MATCH(Caseslist!B1114, data!D:D, 0), 0) &gt; 0,
    IFERROR(INDEX(data!N:N, MATCH(Caseslist!B1114, data!D:D, 0)) = 1, FALSE)
  ),
  "COMPLETE",
  "INC"
)</f>
        <v>COMPLETE</v>
      </c>
      <c r="D1114" s="9" t="str">
        <f t="array" ref="D1114">IFERROR(INDEX(data!$G:$G,match(Caseslist!B1114,data!$D:$D,0)), "INC")</f>
        <v>H2846135</v>
      </c>
      <c r="E1114" s="9" t="str">
        <f t="array" ref="E1114">IFERROR(INDEX(data!H:H,match(Caseslist!B1114,data!D:D,0)), "INC")</f>
        <v>Annalou Empanado Encontro</v>
      </c>
      <c r="F1114" s="10" t="str">
        <f t="array" ref="F1114">IF(
    OR(
      IFNA(INDEX(data!M:M, MATCH(Caseslist!B1114, data!D:D, 0)), "") = "",
      IFNA(INDEX(data!M:M, MATCH(Caseslist!B1114, data!D:D, 0)), 0) = 0
    ),
    "COMPLETE",
    IF(
      IFNA(INDEX(dataICM!D:D, MATCH(Caseslist!B1114, dataICM!D:D, 0)), "INC") = "INC",
      IFNA(INDEX(dataICM!D:D, MATCH(Caseslist!B1114, dataICM!D:D, 0)), "INC"),
      "COMPLETE"
    )
  )</f>
        <v>COMPLETE</v>
      </c>
      <c r="G1114" s="10" t="str">
        <f t="array" ref="G1114">IF(IFERROR(INDEX(data!L:L,match(Caseslist!B1114,data!D:D,0)),"INC")="","COMPLETE",F1114)</f>
        <v>COMPLETE</v>
      </c>
      <c r="H1114" s="9" t="str">
        <f t="array" ref="H1114">IFERROR(INDEX(dataICM!F:F,match(Caseslist!B1114,dataICM!D:D,0)), "INC")</f>
        <v>Annalou Empanado Encontro</v>
      </c>
      <c r="I1114" s="10" t="str">
        <f t="shared" si="2"/>
        <v>H2846135</v>
      </c>
      <c r="J1114" s="9" t="str">
        <f t="array" ref="J1114">IF(
  AND(
    IFERROR(MATCH(B1114, data!D:D, 0), 0) &gt; 0,
    IFERROR(INDEX(data!N:N, MATCH(B1114, data!D:D, 0)) = 1, FALSE)
  ),
  INDEX(data!C:C, MATCH(B1114, data!D:D, 0)),
  "INC"
)</f>
        <v>2025-09-07T16:02:48.268+08</v>
      </c>
      <c r="K1114" s="9" t="str">
        <f t="array" ref="K1114">IFERROR(INDEX(dataICM!C:C,match(Caseslist!B1114,dataICM!D:D,0)), "INC")</f>
        <v>2025-09-07T16:08:48.627+08</v>
      </c>
      <c r="L1114" s="10" t="str">
        <f t="array" ref="L1114">IF(AND(G1114="COMPLETE", OR(K1114="INC", ISBLANK(INDEX(data!O:O, ROW())))), J1114, K1114)</f>
        <v>2025-09-07T16:08:48.627+08</v>
      </c>
      <c r="M1114" s="2">
        <v>45907.0</v>
      </c>
      <c r="N1114" s="2">
        <f t="array" ref="N1114">IF(M1114&lt;&gt;"INC", INDEX(data!M:M, MATCH(B1114, data!D:D, 0)), "")</f>
        <v>2</v>
      </c>
      <c r="O1114" s="2">
        <f t="shared" si="3"/>
        <v>2</v>
      </c>
    </row>
    <row r="1115">
      <c r="A1115" s="2" t="str">
        <f t="shared" si="1"/>
        <v>H030160</v>
      </c>
      <c r="B1115" s="1" t="s">
        <v>3917</v>
      </c>
      <c r="C1115" s="9" t="str">
        <f t="array" ref="C1115">IF(
  AND(
    IFERROR(MATCH(Caseslist!B1115, data!D:D, 0), 0) &gt; 0,
    IFERROR(INDEX(data!N:N, MATCH(Caseslist!B1115, data!D:D, 0)) = 1, FALSE)
  ),
  "COMPLETE",
  "INC"
)</f>
        <v>INC</v>
      </c>
      <c r="D1115" s="9" t="str">
        <f t="array" ref="D1115">IFERROR(INDEX(data!$G:$G,match(Caseslist!B1115,data!$D:$D,0)), "INC")</f>
        <v>H2846135</v>
      </c>
      <c r="E1115" s="9" t="str">
        <f t="array" ref="E1115">IFERROR(INDEX(data!H:H,match(Caseslist!B1115,data!D:D,0)), "INC")</f>
        <v>Annalou Empanado Encontro</v>
      </c>
      <c r="F1115" s="10" t="str">
        <f t="array" ref="F1115">IF(
    OR(
      IFNA(INDEX(data!M:M, MATCH(Caseslist!B1115, data!D:D, 0)), "") = "",
      IFNA(INDEX(data!M:M, MATCH(Caseslist!B1115, data!D:D, 0)), 0) = 0
    ),
    "COMPLETE",
    IF(
      IFNA(INDEX(dataICM!D:D, MATCH(Caseslist!B1115, dataICM!D:D, 0)), "INC") = "INC",
      IFNA(INDEX(dataICM!D:D, MATCH(Caseslist!B1115, dataICM!D:D, 0)), "INC"),
      "COMPLETE"
    )
  )</f>
        <v>INC</v>
      </c>
      <c r="G1115" s="10" t="str">
        <f t="array" ref="G1115">IF(IFERROR(INDEX(data!L:L,match(Caseslist!B1115,data!D:D,0)),"INC")="","COMPLETE",F1115)</f>
        <v>INC</v>
      </c>
      <c r="H1115" s="9" t="str">
        <f t="array" ref="H1115">IFERROR(INDEX(dataICM!F:F,match(Caseslist!B1115,dataICM!D:D,0)), "INC")</f>
        <v>INC</v>
      </c>
      <c r="I1115" s="10" t="str">
        <f t="shared" si="2"/>
        <v>INC</v>
      </c>
      <c r="J1115" s="9" t="str">
        <f t="array" ref="J1115">IF(
  AND(
    IFERROR(MATCH(B1115, data!D:D, 0), 0) &gt; 0,
    IFERROR(INDEX(data!N:N, MATCH(B1115, data!D:D, 0)) = 1, FALSE)
  ),
  INDEX(data!C:C, MATCH(B1115, data!D:D, 0)),
  "INC"
)</f>
        <v>INC</v>
      </c>
      <c r="K1115" s="9" t="str">
        <f t="array" ref="K1115">IFERROR(INDEX(dataICM!C:C,match(Caseslist!B1115,dataICM!D:D,0)), "INC")</f>
        <v>INC</v>
      </c>
      <c r="L1115" s="10" t="str">
        <f t="array" ref="L1115">IF(AND(G1115="COMPLETE", OR(K1115="INC", ISBLANK(INDEX(data!O:O, ROW())))), J1115, K1115)</f>
        <v>INC</v>
      </c>
      <c r="M1115" s="2" t="s">
        <v>8886</v>
      </c>
      <c r="N1115" s="2" t="str">
        <f t="array" ref="N1115">IF(M1115&lt;&gt;"INC", INDEX(data!M:M, MATCH(B1115, data!D:D, 0)), "")</f>
        <v/>
      </c>
      <c r="O1115" s="2" t="str">
        <f t="shared" si="3"/>
        <v/>
      </c>
    </row>
    <row r="1116">
      <c r="A1116" s="2" t="str">
        <f t="shared" si="1"/>
        <v>H030160</v>
      </c>
      <c r="B1116" s="1" t="s">
        <v>3972</v>
      </c>
      <c r="C1116" s="9" t="str">
        <f t="array" ref="C1116">IF(
  AND(
    IFERROR(MATCH(Caseslist!B1116, data!D:D, 0), 0) &gt; 0,
    IFERROR(INDEX(data!N:N, MATCH(Caseslist!B1116, data!D:D, 0)) = 1, FALSE)
  ),
  "COMPLETE",
  "INC"
)</f>
        <v>COMPLETE</v>
      </c>
      <c r="D1116" s="9" t="str">
        <f t="array" ref="D1116">IFERROR(INDEX(data!$G:$G,match(Caseslist!B1116,data!$D:$D,0)), "INC")</f>
        <v>H2846135</v>
      </c>
      <c r="E1116" s="9" t="str">
        <f t="array" ref="E1116">IFERROR(INDEX(data!H:H,match(Caseslist!B1116,data!D:D,0)), "INC")</f>
        <v>Annalou Empanado Encontro</v>
      </c>
      <c r="F1116" s="10" t="str">
        <f t="array" ref="F1116">IF(
    OR(
      IFNA(INDEX(data!M:M, MATCH(Caseslist!B1116, data!D:D, 0)), "") = "",
      IFNA(INDEX(data!M:M, MATCH(Caseslist!B1116, data!D:D, 0)), 0) = 0
    ),
    "COMPLETE",
    IF(
      IFNA(INDEX(dataICM!D:D, MATCH(Caseslist!B1116, dataICM!D:D, 0)), "INC") = "INC",
      IFNA(INDEX(dataICM!D:D, MATCH(Caseslist!B1116, dataICM!D:D, 0)), "INC"),
      "COMPLETE"
    )
  )</f>
        <v>COMPLETE</v>
      </c>
      <c r="G1116" s="10" t="str">
        <f t="array" ref="G1116">IF(IFERROR(INDEX(data!L:L,match(Caseslist!B1116,data!D:D,0)),"INC")="","COMPLETE",F1116)</f>
        <v>COMPLETE</v>
      </c>
      <c r="H1116" s="9" t="str">
        <f t="array" ref="H1116">IFERROR(INDEX(dataICM!F:F,match(Caseslist!B1116,dataICM!D:D,0)), "INC")</f>
        <v>Annalou Empanado Encontro</v>
      </c>
      <c r="I1116" s="10" t="str">
        <f t="shared" si="2"/>
        <v>H2846135</v>
      </c>
      <c r="J1116" s="9" t="str">
        <f t="array" ref="J1116">IF(
  AND(
    IFERROR(MATCH(B1116, data!D:D, 0), 0) &gt; 0,
    IFERROR(INDEX(data!N:N, MATCH(B1116, data!D:D, 0)) = 1, FALSE)
  ),
  INDEX(data!C:C, MATCH(B1116, data!D:D, 0)),
  "INC"
)</f>
        <v>2025-09-05T11:51:13.396+08</v>
      </c>
      <c r="K1116" s="9" t="str">
        <f t="array" ref="K1116">IFERROR(INDEX(dataICM!C:C,match(Caseslist!B1116,dataICM!D:D,0)), "INC")</f>
        <v>2025-09-05T11:55:17.948+08</v>
      </c>
      <c r="L1116" s="10" t="str">
        <f t="array" ref="L1116">IF(AND(G1116="COMPLETE", OR(K1116="INC", ISBLANK(INDEX(data!O:O, ROW())))), J1116, K1116)</f>
        <v>2025-09-05T11:55:17.948+08</v>
      </c>
      <c r="M1116" s="2">
        <v>45905.0</v>
      </c>
      <c r="N1116" s="2">
        <f t="array" ref="N1116">IF(M1116&lt;&gt;"INC", INDEX(data!M:M, MATCH(B1116, data!D:D, 0)), "")</f>
        <v>2</v>
      </c>
      <c r="O1116" s="2">
        <f t="shared" si="3"/>
        <v>2</v>
      </c>
    </row>
    <row r="1117">
      <c r="A1117" s="2" t="str">
        <f t="shared" si="1"/>
        <v>H030160</v>
      </c>
      <c r="B1117" s="1" t="s">
        <v>3922</v>
      </c>
      <c r="C1117" s="9" t="str">
        <f t="array" ref="C1117">IF(
  AND(
    IFERROR(MATCH(Caseslist!B1117, data!D:D, 0), 0) &gt; 0,
    IFERROR(INDEX(data!N:N, MATCH(Caseslist!B1117, data!D:D, 0)) = 1, FALSE)
  ),
  "COMPLETE",
  "INC"
)</f>
        <v>COMPLETE</v>
      </c>
      <c r="D1117" s="9" t="str">
        <f t="array" ref="D1117">IFERROR(INDEX(data!$G:$G,match(Caseslist!B1117,data!$D:$D,0)), "INC")</f>
        <v>G5472901</v>
      </c>
      <c r="E1117" s="9" t="str">
        <f t="array" ref="E1117">IFERROR(INDEX(data!H:H,match(Caseslist!B1117,data!D:D,0)), "INC")</f>
        <v>Wellyn Grace Alaban Parcia</v>
      </c>
      <c r="F1117" s="10" t="str">
        <f t="array" ref="F1117">IF(
    OR(
      IFNA(INDEX(data!M:M, MATCH(Caseslist!B1117, data!D:D, 0)), "") = "",
      IFNA(INDEX(data!M:M, MATCH(Caseslist!B1117, data!D:D, 0)), 0) = 0
    ),
    "COMPLETE",
    IF(
      IFNA(INDEX(dataICM!D:D, MATCH(Caseslist!B1117, dataICM!D:D, 0)), "INC") = "INC",
      IFNA(INDEX(dataICM!D:D, MATCH(Caseslist!B1117, dataICM!D:D, 0)), "INC"),
      "COMPLETE"
    )
  )</f>
        <v>COMPLETE</v>
      </c>
      <c r="G1117" s="10" t="str">
        <f t="array" ref="G1117">IF(IFERROR(INDEX(data!L:L,match(Caseslist!B1117,data!D:D,0)),"INC")="","COMPLETE",F1117)</f>
        <v>COMPLETE</v>
      </c>
      <c r="H1117" s="9" t="str">
        <f t="array" ref="H1117">IFERROR(INDEX(dataICM!F:F,match(Caseslist!B1117,dataICM!D:D,0)), "INC")</f>
        <v>Wellyn Grace Alaban Parcia</v>
      </c>
      <c r="I1117" s="10" t="str">
        <f t="shared" si="2"/>
        <v>G5472901</v>
      </c>
      <c r="J1117" s="9" t="str">
        <f t="array" ref="J1117">IF(
  AND(
    IFERROR(MATCH(B1117, data!D:D, 0), 0) &gt; 0,
    IFERROR(INDEX(data!N:N, MATCH(B1117, data!D:D, 0)) = 1, FALSE)
  ),
  INDEX(data!C:C, MATCH(B1117, data!D:D, 0)),
  "INC"
)</f>
        <v>2025-09-05T14:25:13.836+08</v>
      </c>
      <c r="K1117" s="9" t="str">
        <f t="array" ref="K1117">IFERROR(INDEX(dataICM!C:C,match(Caseslist!B1117,dataICM!D:D,0)), "INC")</f>
        <v>2025-09-05T14:32:42.172+08</v>
      </c>
      <c r="L1117" s="10" t="str">
        <f t="array" ref="L1117">IF(AND(G1117="COMPLETE", OR(K1117="INC", ISBLANK(INDEX(data!O:O, ROW())))), J1117, K1117)</f>
        <v>2025-09-05T14:32:42.172+08</v>
      </c>
      <c r="M1117" s="2">
        <v>45905.0</v>
      </c>
      <c r="N1117" s="2">
        <f t="array" ref="N1117">IF(M1117&lt;&gt;"INC", INDEX(data!M:M, MATCH(B1117, data!D:D, 0)), "")</f>
        <v>2</v>
      </c>
      <c r="O1117" s="2">
        <f t="shared" si="3"/>
        <v>2</v>
      </c>
    </row>
    <row r="1118">
      <c r="A1118" s="2" t="str">
        <f t="shared" si="1"/>
        <v>H030160</v>
      </c>
      <c r="B1118" s="1" t="s">
        <v>4257</v>
      </c>
      <c r="C1118" s="9" t="str">
        <f t="array" ref="C1118">IF(
  AND(
    IFERROR(MATCH(Caseslist!B1118, data!D:D, 0), 0) &gt; 0,
    IFERROR(INDEX(data!N:N, MATCH(Caseslist!B1118, data!D:D, 0)) = 1, FALSE)
  ),
  "COMPLETE",
  "INC"
)</f>
        <v>COMPLETE</v>
      </c>
      <c r="D1118" s="9" t="str">
        <f t="array" ref="D1118">IFERROR(INDEX(data!$G:$G,match(Caseslist!B1118,data!$D:$D,0)), "INC")</f>
        <v>H2846135</v>
      </c>
      <c r="E1118" s="9" t="str">
        <f t="array" ref="E1118">IFERROR(INDEX(data!H:H,match(Caseslist!B1118,data!D:D,0)), "INC")</f>
        <v>Annalou Empanado Encontro</v>
      </c>
      <c r="F1118" s="10" t="str">
        <f t="array" ref="F1118">IF(
    OR(
      IFNA(INDEX(data!M:M, MATCH(Caseslist!B1118, data!D:D, 0)), "") = "",
      IFNA(INDEX(data!M:M, MATCH(Caseslist!B1118, data!D:D, 0)), 0) = 0
    ),
    "COMPLETE",
    IF(
      IFNA(INDEX(dataICM!D:D, MATCH(Caseslist!B1118, dataICM!D:D, 0)), "INC") = "INC",
      IFNA(INDEX(dataICM!D:D, MATCH(Caseslist!B1118, dataICM!D:D, 0)), "INC"),
      "COMPLETE"
    )
  )</f>
        <v>COMPLETE</v>
      </c>
      <c r="G1118" s="10" t="str">
        <f t="array" ref="G1118">IF(IFERROR(INDEX(data!L:L,match(Caseslist!B1118,data!D:D,0)),"INC")="","COMPLETE",F1118)</f>
        <v>COMPLETE</v>
      </c>
      <c r="H1118" s="9" t="str">
        <f t="array" ref="H1118">IFERROR(INDEX(dataICM!F:F,match(Caseslist!B1118,dataICM!D:D,0)), "INC")</f>
        <v>Annalou Empanado Encontro</v>
      </c>
      <c r="I1118" s="10" t="str">
        <f t="shared" si="2"/>
        <v>H2846135</v>
      </c>
      <c r="J1118" s="9" t="str">
        <f t="array" ref="J1118">IF(
  AND(
    IFERROR(MATCH(B1118, data!D:D, 0), 0) &gt; 0,
    IFERROR(INDEX(data!N:N, MATCH(B1118, data!D:D, 0)) = 1, FALSE)
  ),
  INDEX(data!C:C, MATCH(B1118, data!D:D, 0)),
  "INC"
)</f>
        <v>2025-09-06T10:17:13.723+08</v>
      </c>
      <c r="K1118" s="9" t="str">
        <f t="array" ref="K1118">IFERROR(INDEX(dataICM!C:C,match(Caseslist!B1118,dataICM!D:D,0)), "INC")</f>
        <v>2025-09-06T10:25:17.466+08</v>
      </c>
      <c r="L1118" s="10" t="str">
        <f t="array" ref="L1118">IF(AND(G1118="COMPLETE", OR(K1118="INC", ISBLANK(INDEX(data!O:O, ROW())))), J1118, K1118)</f>
        <v>2025-09-06T10:25:17.466+08</v>
      </c>
      <c r="M1118" s="2">
        <v>45906.0</v>
      </c>
      <c r="N1118" s="2">
        <f t="array" ref="N1118">IF(M1118&lt;&gt;"INC", INDEX(data!M:M, MATCH(B1118, data!D:D, 0)), "")</f>
        <v>2</v>
      </c>
      <c r="O1118" s="2">
        <f t="shared" si="3"/>
        <v>2</v>
      </c>
    </row>
    <row r="1119">
      <c r="A1119" s="2" t="str">
        <f t="shared" si="1"/>
        <v>H030160</v>
      </c>
      <c r="B1119" s="1" t="s">
        <v>4012</v>
      </c>
      <c r="C1119" s="9" t="str">
        <f t="array" ref="C1119">IF(
  AND(
    IFERROR(MATCH(Caseslist!B1119, data!D:D, 0), 0) &gt; 0,
    IFERROR(INDEX(data!N:N, MATCH(Caseslist!B1119, data!D:D, 0)) = 1, FALSE)
  ),
  "COMPLETE",
  "INC"
)</f>
        <v>COMPLETE</v>
      </c>
      <c r="D1119" s="9" t="str">
        <f t="array" ref="D1119">IFERROR(INDEX(data!$G:$G,match(Caseslist!B1119,data!$D:$D,0)), "INC")</f>
        <v>F3051749</v>
      </c>
      <c r="E1119" s="9" t="str">
        <f t="array" ref="E1119">IFERROR(INDEX(data!H:H,match(Caseslist!B1119,data!D:D,0)), "INC")</f>
        <v>Elenita Gicos De La Pe�a</v>
      </c>
      <c r="F1119" s="10" t="str">
        <f t="array" ref="F1119">IF(
    OR(
      IFNA(INDEX(data!M:M, MATCH(Caseslist!B1119, data!D:D, 0)), "") = "",
      IFNA(INDEX(data!M:M, MATCH(Caseslist!B1119, data!D:D, 0)), 0) = 0
    ),
    "COMPLETE",
    IF(
      IFNA(INDEX(dataICM!D:D, MATCH(Caseslist!B1119, dataICM!D:D, 0)), "INC") = "INC",
      IFNA(INDEX(dataICM!D:D, MATCH(Caseslist!B1119, dataICM!D:D, 0)), "INC"),
      "COMPLETE"
    )
  )</f>
        <v>COMPLETE</v>
      </c>
      <c r="G1119" s="10" t="str">
        <f t="array" ref="G1119">IF(IFERROR(INDEX(data!L:L,match(Caseslist!B1119,data!D:D,0)),"INC")="","COMPLETE",F1119)</f>
        <v>COMPLETE</v>
      </c>
      <c r="H1119" s="9" t="str">
        <f t="array" ref="H1119">IFERROR(INDEX(dataICM!F:F,match(Caseslist!B1119,dataICM!D:D,0)), "INC")</f>
        <v>Elenita Gicos De La Pe�a</v>
      </c>
      <c r="I1119" s="10" t="str">
        <f t="shared" si="2"/>
        <v>F3051749</v>
      </c>
      <c r="J1119" s="9" t="str">
        <f t="array" ref="J1119">IF(
  AND(
    IFERROR(MATCH(B1119, data!D:D, 0), 0) &gt; 0,
    IFERROR(INDEX(data!N:N, MATCH(B1119, data!D:D, 0)) = 1, FALSE)
  ),
  INDEX(data!C:C, MATCH(B1119, data!D:D, 0)),
  "INC"
)</f>
        <v>2025-09-05T14:43:17.784+08</v>
      </c>
      <c r="K1119" s="9" t="str">
        <f t="array" ref="K1119">IFERROR(INDEX(dataICM!C:C,match(Caseslist!B1119,dataICM!D:D,0)), "INC")</f>
        <v>2025-09-05T14:52:33.803+08</v>
      </c>
      <c r="L1119" s="10" t="str">
        <f t="array" ref="L1119">IF(AND(G1119="COMPLETE", OR(K1119="INC", ISBLANK(INDEX(data!O:O, ROW())))), J1119, K1119)</f>
        <v>2025-09-05T14:52:33.803+08</v>
      </c>
      <c r="M1119" s="2">
        <v>45905.0</v>
      </c>
      <c r="N1119" s="2">
        <f t="array" ref="N1119">IF(M1119&lt;&gt;"INC", INDEX(data!M:M, MATCH(B1119, data!D:D, 0)), "")</f>
        <v>2</v>
      </c>
      <c r="O1119" s="2">
        <f t="shared" si="3"/>
        <v>2</v>
      </c>
    </row>
    <row r="1120">
      <c r="A1120" s="2" t="str">
        <f t="shared" si="1"/>
        <v>H030160</v>
      </c>
      <c r="B1120" s="1" t="s">
        <v>3977</v>
      </c>
      <c r="C1120" s="9" t="str">
        <f t="array" ref="C1120">IF(
  AND(
    IFERROR(MATCH(Caseslist!B1120, data!D:D, 0), 0) &gt; 0,
    IFERROR(INDEX(data!N:N, MATCH(Caseslist!B1120, data!D:D, 0)) = 1, FALSE)
  ),
  "COMPLETE",
  "INC"
)</f>
        <v>COMPLETE</v>
      </c>
      <c r="D1120" s="9" t="str">
        <f t="array" ref="D1120">IFERROR(INDEX(data!$G:$G,match(Caseslist!B1120,data!$D:$D,0)), "INC")</f>
        <v>H2846135</v>
      </c>
      <c r="E1120" s="9" t="str">
        <f t="array" ref="E1120">IFERROR(INDEX(data!H:H,match(Caseslist!B1120,data!D:D,0)), "INC")</f>
        <v>Annalou Empanado Encontro</v>
      </c>
      <c r="F1120" s="10" t="str">
        <f t="array" ref="F1120">IF(
    OR(
      IFNA(INDEX(data!M:M, MATCH(Caseslist!B1120, data!D:D, 0)), "") = "",
      IFNA(INDEX(data!M:M, MATCH(Caseslist!B1120, data!D:D, 0)), 0) = 0
    ),
    "COMPLETE",
    IF(
      IFNA(INDEX(dataICM!D:D, MATCH(Caseslist!B1120, dataICM!D:D, 0)), "INC") = "INC",
      IFNA(INDEX(dataICM!D:D, MATCH(Caseslist!B1120, dataICM!D:D, 0)), "INC"),
      "COMPLETE"
    )
  )</f>
        <v>COMPLETE</v>
      </c>
      <c r="G1120" s="10" t="str">
        <f t="array" ref="G1120">IF(IFERROR(INDEX(data!L:L,match(Caseslist!B1120,data!D:D,0)),"INC")="","COMPLETE",F1120)</f>
        <v>COMPLETE</v>
      </c>
      <c r="H1120" s="9" t="str">
        <f t="array" ref="H1120">IFERROR(INDEX(dataICM!F:F,match(Caseslist!B1120,dataICM!D:D,0)), "INC")</f>
        <v>Annalou Empanado Encontro</v>
      </c>
      <c r="I1120" s="10" t="str">
        <f t="shared" si="2"/>
        <v>H2846135</v>
      </c>
      <c r="J1120" s="9" t="str">
        <f t="array" ref="J1120">IF(
  AND(
    IFERROR(MATCH(B1120, data!D:D, 0), 0) &gt; 0,
    IFERROR(INDEX(data!N:N, MATCH(B1120, data!D:D, 0)) = 1, FALSE)
  ),
  INDEX(data!C:C, MATCH(B1120, data!D:D, 0)),
  "INC"
)</f>
        <v>2025-09-05T14:03:35.260+08</v>
      </c>
      <c r="K1120" s="9" t="str">
        <f t="array" ref="K1120">IFERROR(INDEX(dataICM!C:C,match(Caseslist!B1120,dataICM!D:D,0)), "INC")</f>
        <v>2025-09-05T14:12:08.074+08</v>
      </c>
      <c r="L1120" s="10" t="str">
        <f t="array" ref="L1120">IF(AND(G1120="COMPLETE", OR(K1120="INC", ISBLANK(INDEX(data!O:O, ROW())))), J1120, K1120)</f>
        <v>2025-09-05T14:12:08.074+08</v>
      </c>
      <c r="M1120" s="2">
        <v>45905.0</v>
      </c>
      <c r="N1120" s="2">
        <f t="array" ref="N1120">IF(M1120&lt;&gt;"INC", INDEX(data!M:M, MATCH(B1120, data!D:D, 0)), "")</f>
        <v>2</v>
      </c>
      <c r="O1120" s="2">
        <f t="shared" si="3"/>
        <v>2</v>
      </c>
    </row>
    <row r="1121">
      <c r="A1121" s="2" t="str">
        <f t="shared" si="1"/>
        <v>H030160</v>
      </c>
      <c r="B1121" s="1" t="s">
        <v>4262</v>
      </c>
      <c r="C1121" s="9" t="str">
        <f t="array" ref="C1121">IF(
  AND(
    IFERROR(MATCH(Caseslist!B1121, data!D:D, 0), 0) &gt; 0,
    IFERROR(INDEX(data!N:N, MATCH(Caseslist!B1121, data!D:D, 0)) = 1, FALSE)
  ),
  "COMPLETE",
  "INC"
)</f>
        <v>COMPLETE</v>
      </c>
      <c r="D1121" s="9" t="str">
        <f t="array" ref="D1121">IFERROR(INDEX(data!$G:$G,match(Caseslist!B1121,data!$D:$D,0)), "INC")</f>
        <v>H2846135</v>
      </c>
      <c r="E1121" s="9" t="str">
        <f t="array" ref="E1121">IFERROR(INDEX(data!H:H,match(Caseslist!B1121,data!D:D,0)), "INC")</f>
        <v>Annalou Empanado Encontro</v>
      </c>
      <c r="F1121" s="10" t="str">
        <f t="array" ref="F1121">IF(
    OR(
      IFNA(INDEX(data!M:M, MATCH(Caseslist!B1121, data!D:D, 0)), "") = "",
      IFNA(INDEX(data!M:M, MATCH(Caseslist!B1121, data!D:D, 0)), 0) = 0
    ),
    "COMPLETE",
    IF(
      IFNA(INDEX(dataICM!D:D, MATCH(Caseslist!B1121, dataICM!D:D, 0)), "INC") = "INC",
      IFNA(INDEX(dataICM!D:D, MATCH(Caseslist!B1121, dataICM!D:D, 0)), "INC"),
      "COMPLETE"
    )
  )</f>
        <v>COMPLETE</v>
      </c>
      <c r="G1121" s="10" t="str">
        <f t="array" ref="G1121">IF(IFERROR(INDEX(data!L:L,match(Caseslist!B1121,data!D:D,0)),"INC")="","COMPLETE",F1121)</f>
        <v>COMPLETE</v>
      </c>
      <c r="H1121" s="9" t="str">
        <f t="array" ref="H1121">IFERROR(INDEX(dataICM!F:F,match(Caseslist!B1121,dataICM!D:D,0)), "INC")</f>
        <v>Annalou Empanado Encontro</v>
      </c>
      <c r="I1121" s="10" t="str">
        <f t="shared" si="2"/>
        <v>H2846135</v>
      </c>
      <c r="J1121" s="9" t="str">
        <f t="array" ref="J1121">IF(
  AND(
    IFERROR(MATCH(B1121, data!D:D, 0), 0) &gt; 0,
    IFERROR(INDEX(data!N:N, MATCH(B1121, data!D:D, 0)) = 1, FALSE)
  ),
  INDEX(data!C:C, MATCH(B1121, data!D:D, 0)),
  "INC"
)</f>
        <v>2025-09-06T13:23:11.768+08</v>
      </c>
      <c r="K1121" s="9" t="str">
        <f t="array" ref="K1121">IFERROR(INDEX(dataICM!C:C,match(Caseslist!B1121,dataICM!D:D,0)), "INC")</f>
        <v>2025-09-06T13:38:47.390+08</v>
      </c>
      <c r="L1121" s="10" t="str">
        <f t="array" ref="L1121">IF(AND(G1121="COMPLETE", OR(K1121="INC", ISBLANK(INDEX(data!O:O, ROW())))), J1121, K1121)</f>
        <v>2025-09-06T13:38:47.390+08</v>
      </c>
      <c r="M1121" s="2">
        <v>45906.0</v>
      </c>
      <c r="N1121" s="2">
        <f t="array" ref="N1121">IF(M1121&lt;&gt;"INC", INDEX(data!M:M, MATCH(B1121, data!D:D, 0)), "")</f>
        <v>2</v>
      </c>
      <c r="O1121" s="2">
        <f t="shared" si="3"/>
        <v>2</v>
      </c>
    </row>
    <row r="1122">
      <c r="A1122" s="2" t="str">
        <f t="shared" si="1"/>
        <v>H030160</v>
      </c>
      <c r="B1122" s="1" t="s">
        <v>3942</v>
      </c>
      <c r="C1122" s="9" t="str">
        <f t="array" ref="C1122">IF(
  AND(
    IFERROR(MATCH(Caseslist!B1122, data!D:D, 0), 0) &gt; 0,
    IFERROR(INDEX(data!N:N, MATCH(Caseslist!B1122, data!D:D, 0)) = 1, FALSE)
  ),
  "COMPLETE",
  "INC"
)</f>
        <v>COMPLETE</v>
      </c>
      <c r="D1122" s="9" t="str">
        <f t="array" ref="D1122">IFERROR(INDEX(data!$G:$G,match(Caseslist!B1122,data!$D:$D,0)), "INC")</f>
        <v>G5472901</v>
      </c>
      <c r="E1122" s="9" t="str">
        <f t="array" ref="E1122">IFERROR(INDEX(data!H:H,match(Caseslist!B1122,data!D:D,0)), "INC")</f>
        <v>Wellyn Grace Alaban Parcia</v>
      </c>
      <c r="F1122" s="10" t="str">
        <f t="array" ref="F1122">IF(
    OR(
      IFNA(INDEX(data!M:M, MATCH(Caseslist!B1122, data!D:D, 0)), "") = "",
      IFNA(INDEX(data!M:M, MATCH(Caseslist!B1122, data!D:D, 0)), 0) = 0
    ),
    "COMPLETE",
    IF(
      IFNA(INDEX(dataICM!D:D, MATCH(Caseslist!B1122, dataICM!D:D, 0)), "INC") = "INC",
      IFNA(INDEX(dataICM!D:D, MATCH(Caseslist!B1122, dataICM!D:D, 0)), "INC"),
      "COMPLETE"
    )
  )</f>
        <v>COMPLETE</v>
      </c>
      <c r="G1122" s="10" t="str">
        <f t="array" ref="G1122">IF(IFERROR(INDEX(data!L:L,match(Caseslist!B1122,data!D:D,0)),"INC")="","COMPLETE",F1122)</f>
        <v>COMPLETE</v>
      </c>
      <c r="H1122" s="9" t="str">
        <f t="array" ref="H1122">IFERROR(INDEX(dataICM!F:F,match(Caseslist!B1122,dataICM!D:D,0)), "INC")</f>
        <v>Wellyn Grace Alaban Parcia</v>
      </c>
      <c r="I1122" s="10" t="str">
        <f t="shared" si="2"/>
        <v>G5472901</v>
      </c>
      <c r="J1122" s="9" t="str">
        <f t="array" ref="J1122">IF(
  AND(
    IFERROR(MATCH(B1122, data!D:D, 0), 0) &gt; 0,
    IFERROR(INDEX(data!N:N, MATCH(B1122, data!D:D, 0)) = 1, FALSE)
  ),
  INDEX(data!C:C, MATCH(B1122, data!D:D, 0)),
  "INC"
)</f>
        <v>2025-09-05T10:40:54.955+08</v>
      </c>
      <c r="K1122" s="9" t="str">
        <f t="array" ref="K1122">IFERROR(INDEX(dataICM!C:C,match(Caseslist!B1122,dataICM!D:D,0)), "INC")</f>
        <v>2025-09-05T10:47:18.918+08</v>
      </c>
      <c r="L1122" s="10" t="str">
        <f t="array" ref="L1122">IF(AND(G1122="COMPLETE", OR(K1122="INC", ISBLANK(INDEX(data!O:O, ROW())))), J1122, K1122)</f>
        <v>2025-09-05T10:47:18.918+08</v>
      </c>
      <c r="M1122" s="2">
        <v>45905.0</v>
      </c>
      <c r="N1122" s="2">
        <f t="array" ref="N1122">IF(M1122&lt;&gt;"INC", INDEX(data!M:M, MATCH(B1122, data!D:D, 0)), "")</f>
        <v>2</v>
      </c>
      <c r="O1122" s="2">
        <f t="shared" si="3"/>
        <v>2</v>
      </c>
    </row>
    <row r="1123">
      <c r="A1123" s="2" t="str">
        <f t="shared" si="1"/>
        <v>H030160</v>
      </c>
      <c r="B1123" s="1" t="s">
        <v>3962</v>
      </c>
      <c r="C1123" s="9" t="str">
        <f t="array" ref="C1123">IF(
  AND(
    IFERROR(MATCH(Caseslist!B1123, data!D:D, 0), 0) &gt; 0,
    IFERROR(INDEX(data!N:N, MATCH(Caseslist!B1123, data!D:D, 0)) = 1, FALSE)
  ),
  "COMPLETE",
  "INC"
)</f>
        <v>COMPLETE</v>
      </c>
      <c r="D1123" s="9" t="str">
        <f t="array" ref="D1123">IFERROR(INDEX(data!$G:$G,match(Caseslist!B1123,data!$D:$D,0)), "INC")</f>
        <v>H2846135</v>
      </c>
      <c r="E1123" s="9" t="str">
        <f t="array" ref="E1123">IFERROR(INDEX(data!H:H,match(Caseslist!B1123,data!D:D,0)), "INC")</f>
        <v>Annalou Empanado Encontro</v>
      </c>
      <c r="F1123" s="10" t="str">
        <f t="array" ref="F1123">IF(
    OR(
      IFNA(INDEX(data!M:M, MATCH(Caseslist!B1123, data!D:D, 0)), "") = "",
      IFNA(INDEX(data!M:M, MATCH(Caseslist!B1123, data!D:D, 0)), 0) = 0
    ),
    "COMPLETE",
    IF(
      IFNA(INDEX(dataICM!D:D, MATCH(Caseslist!B1123, dataICM!D:D, 0)), "INC") = "INC",
      IFNA(INDEX(dataICM!D:D, MATCH(Caseslist!B1123, dataICM!D:D, 0)), "INC"),
      "COMPLETE"
    )
  )</f>
        <v>COMPLETE</v>
      </c>
      <c r="G1123" s="10" t="str">
        <f t="array" ref="G1123">IF(IFERROR(INDEX(data!L:L,match(Caseslist!B1123,data!D:D,0)),"INC")="","COMPLETE",F1123)</f>
        <v>COMPLETE</v>
      </c>
      <c r="H1123" s="9" t="str">
        <f t="array" ref="H1123">IFERROR(INDEX(dataICM!F:F,match(Caseslist!B1123,dataICM!D:D,0)), "INC")</f>
        <v>Annalou Empanado Encontro</v>
      </c>
      <c r="I1123" s="10" t="str">
        <f t="shared" si="2"/>
        <v>H2846135</v>
      </c>
      <c r="J1123" s="9" t="str">
        <f t="array" ref="J1123">IF(
  AND(
    IFERROR(MATCH(B1123, data!D:D, 0), 0) &gt; 0,
    IFERROR(INDEX(data!N:N, MATCH(B1123, data!D:D, 0)) = 1, FALSE)
  ),
  INDEX(data!C:C, MATCH(B1123, data!D:D, 0)),
  "INC"
)</f>
        <v>2025-09-05T10:19:00.871+08</v>
      </c>
      <c r="K1123" s="9" t="str">
        <f t="array" ref="K1123">IFERROR(INDEX(dataICM!C:C,match(Caseslist!B1123,dataICM!D:D,0)), "INC")</f>
        <v>2025-09-05T10:25:47.202+08</v>
      </c>
      <c r="L1123" s="10" t="str">
        <f t="array" ref="L1123">IF(AND(G1123="COMPLETE", OR(K1123="INC", ISBLANK(INDEX(data!O:O, ROW())))), J1123, K1123)</f>
        <v>2025-09-05T10:25:47.202+08</v>
      </c>
      <c r="M1123" s="2">
        <v>45905.0</v>
      </c>
      <c r="N1123" s="2">
        <f t="array" ref="N1123">IF(M1123&lt;&gt;"INC", INDEX(data!M:M, MATCH(B1123, data!D:D, 0)), "")</f>
        <v>2</v>
      </c>
      <c r="O1123" s="2">
        <f t="shared" si="3"/>
        <v>2</v>
      </c>
    </row>
    <row r="1124">
      <c r="A1124" s="2" t="str">
        <f t="shared" si="1"/>
        <v>H030160</v>
      </c>
      <c r="B1124" s="1" t="s">
        <v>4267</v>
      </c>
      <c r="C1124" s="9" t="str">
        <f t="array" ref="C1124">IF(
  AND(
    IFERROR(MATCH(Caseslist!B1124, data!D:D, 0), 0) &gt; 0,
    IFERROR(INDEX(data!N:N, MATCH(Caseslist!B1124, data!D:D, 0)) = 1, FALSE)
  ),
  "COMPLETE",
  "INC"
)</f>
        <v>COMPLETE</v>
      </c>
      <c r="D1124" s="9" t="str">
        <f t="array" ref="D1124">IFERROR(INDEX(data!$G:$G,match(Caseslist!B1124,data!$D:$D,0)), "INC")</f>
        <v>H2846135</v>
      </c>
      <c r="E1124" s="9" t="str">
        <f t="array" ref="E1124">IFERROR(INDEX(data!H:H,match(Caseslist!B1124,data!D:D,0)), "INC")</f>
        <v>Annalou Empanado Encontro</v>
      </c>
      <c r="F1124" s="10" t="str">
        <f t="array" ref="F1124">IF(
    OR(
      IFNA(INDEX(data!M:M, MATCH(Caseslist!B1124, data!D:D, 0)), "") = "",
      IFNA(INDEX(data!M:M, MATCH(Caseslist!B1124, data!D:D, 0)), 0) = 0
    ),
    "COMPLETE",
    IF(
      IFNA(INDEX(dataICM!D:D, MATCH(Caseslist!B1124, dataICM!D:D, 0)), "INC") = "INC",
      IFNA(INDEX(dataICM!D:D, MATCH(Caseslist!B1124, dataICM!D:D, 0)), "INC"),
      "COMPLETE"
    )
  )</f>
        <v>COMPLETE</v>
      </c>
      <c r="G1124" s="10" t="str">
        <f t="array" ref="G1124">IF(IFERROR(INDEX(data!L:L,match(Caseslist!B1124,data!D:D,0)),"INC")="","COMPLETE",F1124)</f>
        <v>COMPLETE</v>
      </c>
      <c r="H1124" s="9" t="str">
        <f t="array" ref="H1124">IFERROR(INDEX(dataICM!F:F,match(Caseslist!B1124,dataICM!D:D,0)), "INC")</f>
        <v>Annalou Empanado Encontro</v>
      </c>
      <c r="I1124" s="10" t="str">
        <f t="shared" si="2"/>
        <v>H2846135</v>
      </c>
      <c r="J1124" s="9" t="str">
        <f t="array" ref="J1124">IF(
  AND(
    IFERROR(MATCH(B1124, data!D:D, 0), 0) &gt; 0,
    IFERROR(INDEX(data!N:N, MATCH(B1124, data!D:D, 0)) = 1, FALSE)
  ),
  INDEX(data!C:C, MATCH(B1124, data!D:D, 0)),
  "INC"
)</f>
        <v>2025-09-06T12:08:49.270+08</v>
      </c>
      <c r="K1124" s="9" t="str">
        <f t="array" ref="K1124">IFERROR(INDEX(dataICM!C:C,match(Caseslist!B1124,dataICM!D:D,0)), "INC")</f>
        <v>2025-09-06T12:13:51.122+08</v>
      </c>
      <c r="L1124" s="10" t="str">
        <f t="array" ref="L1124">IF(AND(G1124="COMPLETE", OR(K1124="INC", ISBLANK(INDEX(data!O:O, ROW())))), J1124, K1124)</f>
        <v>2025-09-06T12:13:51.122+08</v>
      </c>
      <c r="M1124" s="2">
        <v>45906.0</v>
      </c>
      <c r="N1124" s="2">
        <f t="array" ref="N1124">IF(M1124&lt;&gt;"INC", INDEX(data!M:M, MATCH(B1124, data!D:D, 0)), "")</f>
        <v>2</v>
      </c>
      <c r="O1124" s="2">
        <f t="shared" si="3"/>
        <v>2</v>
      </c>
    </row>
    <row r="1125">
      <c r="A1125" s="2" t="str">
        <f t="shared" si="1"/>
        <v>H030160</v>
      </c>
      <c r="B1125" s="1" t="s">
        <v>4007</v>
      </c>
      <c r="C1125" s="9" t="str">
        <f t="array" ref="C1125">IF(
  AND(
    IFERROR(MATCH(Caseslist!B1125, data!D:D, 0), 0) &gt; 0,
    IFERROR(INDEX(data!N:N, MATCH(Caseslist!B1125, data!D:D, 0)) = 1, FALSE)
  ),
  "COMPLETE",
  "INC"
)</f>
        <v>COMPLETE</v>
      </c>
      <c r="D1125" s="9" t="str">
        <f t="array" ref="D1125">IFERROR(INDEX(data!$G:$G,match(Caseslist!B1125,data!$D:$D,0)), "INC")</f>
        <v>F3051749</v>
      </c>
      <c r="E1125" s="9" t="str">
        <f t="array" ref="E1125">IFERROR(INDEX(data!H:H,match(Caseslist!B1125,data!D:D,0)), "INC")</f>
        <v>Elenita Gicos De La Pe�a</v>
      </c>
      <c r="F1125" s="10" t="str">
        <f t="array" ref="F1125">IF(
    OR(
      IFNA(INDEX(data!M:M, MATCH(Caseslist!B1125, data!D:D, 0)), "") = "",
      IFNA(INDEX(data!M:M, MATCH(Caseslist!B1125, data!D:D, 0)), 0) = 0
    ),
    "COMPLETE",
    IF(
      IFNA(INDEX(dataICM!D:D, MATCH(Caseslist!B1125, dataICM!D:D, 0)), "INC") = "INC",
      IFNA(INDEX(dataICM!D:D, MATCH(Caseslist!B1125, dataICM!D:D, 0)), "INC"),
      "COMPLETE"
    )
  )</f>
        <v>COMPLETE</v>
      </c>
      <c r="G1125" s="10" t="str">
        <f t="array" ref="G1125">IF(IFERROR(INDEX(data!L:L,match(Caseslist!B1125,data!D:D,0)),"INC")="","COMPLETE",F1125)</f>
        <v>COMPLETE</v>
      </c>
      <c r="H1125" s="9" t="str">
        <f t="array" ref="H1125">IFERROR(INDEX(dataICM!F:F,match(Caseslist!B1125,dataICM!D:D,0)), "INC")</f>
        <v>Elenita Gicos De La Pe�a</v>
      </c>
      <c r="I1125" s="10" t="str">
        <f t="shared" si="2"/>
        <v>F3051749</v>
      </c>
      <c r="J1125" s="9" t="str">
        <f t="array" ref="J1125">IF(
  AND(
    IFERROR(MATCH(B1125, data!D:D, 0), 0) &gt; 0,
    IFERROR(INDEX(data!N:N, MATCH(B1125, data!D:D, 0)) = 1, FALSE)
  ),
  INDEX(data!C:C, MATCH(B1125, data!D:D, 0)),
  "INC"
)</f>
        <v>2025-09-05T12:26:50.257+08</v>
      </c>
      <c r="K1125" s="9" t="str">
        <f t="array" ref="K1125">IFERROR(INDEX(dataICM!C:C,match(Caseslist!B1125,dataICM!D:D,0)), "INC")</f>
        <v>2025-09-05T12:35:19.435+08</v>
      </c>
      <c r="L1125" s="10" t="str">
        <f t="array" ref="L1125">IF(AND(G1125="COMPLETE", OR(K1125="INC", ISBLANK(INDEX(data!O:O, ROW())))), J1125, K1125)</f>
        <v>2025-09-05T12:35:19.435+08</v>
      </c>
      <c r="M1125" s="2">
        <v>45905.0</v>
      </c>
      <c r="N1125" s="2">
        <f t="array" ref="N1125">IF(M1125&lt;&gt;"INC", INDEX(data!M:M, MATCH(B1125, data!D:D, 0)), "")</f>
        <v>2</v>
      </c>
      <c r="O1125" s="2">
        <f t="shared" si="3"/>
        <v>2</v>
      </c>
    </row>
    <row r="1126">
      <c r="A1126" s="2" t="str">
        <f t="shared" si="1"/>
        <v>H030160</v>
      </c>
      <c r="B1126" s="1" t="s">
        <v>4017</v>
      </c>
      <c r="C1126" s="9" t="str">
        <f t="array" ref="C1126">IF(
  AND(
    IFERROR(MATCH(Caseslist!B1126, data!D:D, 0), 0) &gt; 0,
    IFERROR(INDEX(data!N:N, MATCH(Caseslist!B1126, data!D:D, 0)) = 1, FALSE)
  ),
  "COMPLETE",
  "INC"
)</f>
        <v>COMPLETE</v>
      </c>
      <c r="D1126" s="9" t="str">
        <f t="array" ref="D1126">IFERROR(INDEX(data!$G:$G,match(Caseslist!B1126,data!$D:$D,0)), "INC")</f>
        <v>F3051749</v>
      </c>
      <c r="E1126" s="9" t="str">
        <f t="array" ref="E1126">IFERROR(INDEX(data!H:H,match(Caseslist!B1126,data!D:D,0)), "INC")</f>
        <v>Elenita Gicos De La Pe�a</v>
      </c>
      <c r="F1126" s="10" t="str">
        <f t="array" ref="F1126">IF(
    OR(
      IFNA(INDEX(data!M:M, MATCH(Caseslist!B1126, data!D:D, 0)), "") = "",
      IFNA(INDEX(data!M:M, MATCH(Caseslist!B1126, data!D:D, 0)), 0) = 0
    ),
    "COMPLETE",
    IF(
      IFNA(INDEX(dataICM!D:D, MATCH(Caseslist!B1126, dataICM!D:D, 0)), "INC") = "INC",
      IFNA(INDEX(dataICM!D:D, MATCH(Caseslist!B1126, dataICM!D:D, 0)), "INC"),
      "COMPLETE"
    )
  )</f>
        <v>COMPLETE</v>
      </c>
      <c r="G1126" s="10" t="str">
        <f t="array" ref="G1126">IF(IFERROR(INDEX(data!L:L,match(Caseslist!B1126,data!D:D,0)),"INC")="","COMPLETE",F1126)</f>
        <v>COMPLETE</v>
      </c>
      <c r="H1126" s="9" t="str">
        <f t="array" ref="H1126">IFERROR(INDEX(dataICM!F:F,match(Caseslist!B1126,dataICM!D:D,0)), "INC")</f>
        <v>Elenita Gicos De La Pe�a</v>
      </c>
      <c r="I1126" s="10" t="str">
        <f t="shared" si="2"/>
        <v>F3051749</v>
      </c>
      <c r="J1126" s="9" t="str">
        <f t="array" ref="J1126">IF(
  AND(
    IFERROR(MATCH(B1126, data!D:D, 0), 0) &gt; 0,
    IFERROR(INDEX(data!N:N, MATCH(B1126, data!D:D, 0)) = 1, FALSE)
  ),
  INDEX(data!C:C, MATCH(B1126, data!D:D, 0)),
  "INC"
)</f>
        <v>2025-09-05T16:34:14.571+08</v>
      </c>
      <c r="K1126" s="9" t="str">
        <f t="array" ref="K1126">IFERROR(INDEX(dataICM!C:C,match(Caseslist!B1126,dataICM!D:D,0)), "INC")</f>
        <v>2025-09-05T16:41:28.445+08</v>
      </c>
      <c r="L1126" s="10" t="str">
        <f t="array" ref="L1126">IF(AND(G1126="COMPLETE", OR(K1126="INC", ISBLANK(INDEX(data!O:O, ROW())))), J1126, K1126)</f>
        <v>2025-09-05T16:41:28.445+08</v>
      </c>
      <c r="M1126" s="2">
        <v>45905.0</v>
      </c>
      <c r="N1126" s="2">
        <f t="array" ref="N1126">IF(M1126&lt;&gt;"INC", INDEX(data!M:M, MATCH(B1126, data!D:D, 0)), "")</f>
        <v>2</v>
      </c>
      <c r="O1126" s="2">
        <f t="shared" si="3"/>
        <v>2</v>
      </c>
    </row>
    <row r="1127">
      <c r="A1127" s="2" t="str">
        <f t="shared" si="1"/>
        <v>H030173</v>
      </c>
      <c r="B1127" s="1" t="s">
        <v>4167</v>
      </c>
      <c r="C1127" s="9" t="str">
        <f t="array" ref="C1127">IF(
  AND(
    IFERROR(MATCH(Caseslist!B1127, data!D:D, 0), 0) &gt; 0,
    IFERROR(INDEX(data!N:N, MATCH(Caseslist!B1127, data!D:D, 0)) = 1, FALSE)
  ),
  "COMPLETE",
  "INC"
)</f>
        <v>COMPLETE</v>
      </c>
      <c r="D1127" s="9" t="str">
        <f t="array" ref="D1127">IFERROR(INDEX(data!$G:$G,match(Caseslist!B1127,data!$D:$D,0)), "INC")</f>
        <v>B8193462</v>
      </c>
      <c r="E1127" s="9" t="str">
        <f t="array" ref="E1127">IFERROR(INDEX(data!H:H,match(Caseslist!B1127,data!D:D,0)), "INC")</f>
        <v>Mark Lorens Mendoza Gilongo</v>
      </c>
      <c r="F1127" s="10" t="str">
        <f t="array" ref="F1127">IF(
    OR(
      IFNA(INDEX(data!M:M, MATCH(Caseslist!B1127, data!D:D, 0)), "") = "",
      IFNA(INDEX(data!M:M, MATCH(Caseslist!B1127, data!D:D, 0)), 0) = 0
    ),
    "COMPLETE",
    IF(
      IFNA(INDEX(dataICM!D:D, MATCH(Caseslist!B1127, dataICM!D:D, 0)), "INC") = "INC",
      IFNA(INDEX(dataICM!D:D, MATCH(Caseslist!B1127, dataICM!D:D, 0)), "INC"),
      "COMPLETE"
    )
  )</f>
        <v>COMPLETE</v>
      </c>
      <c r="G1127" s="10" t="str">
        <f t="array" ref="G1127">IF(IFERROR(INDEX(data!L:L,match(Caseslist!B1127,data!D:D,0)),"INC")="","COMPLETE",F1127)</f>
        <v>COMPLETE</v>
      </c>
      <c r="H1127" s="9" t="str">
        <f t="array" ref="H1127">IFERROR(INDEX(dataICM!F:F,match(Caseslist!B1127,dataICM!D:D,0)), "INC")</f>
        <v>INC</v>
      </c>
      <c r="I1127" s="10" t="str">
        <f t="shared" si="2"/>
        <v>B8193462</v>
      </c>
      <c r="J1127" s="9" t="str">
        <f t="array" ref="J1127">IF(
  AND(
    IFERROR(MATCH(B1127, data!D:D, 0), 0) &gt; 0,
    IFERROR(INDEX(data!N:N, MATCH(B1127, data!D:D, 0)) = 1, FALSE)
  ),
  INDEX(data!C:C, MATCH(B1127, data!D:D, 0)),
  "INC"
)</f>
        <v>2025-09-06T17:18:32.039+08</v>
      </c>
      <c r="K1127" s="9" t="str">
        <f t="array" ref="K1127">IFERROR(INDEX(dataICM!C:C,match(Caseslist!B1127,dataICM!D:D,0)), "INC")</f>
        <v>INC</v>
      </c>
      <c r="L1127" s="10" t="str">
        <f t="array" ref="L1127">IF(AND(G1127="COMPLETE", OR(K1127="INC", ISBLANK(INDEX(data!O:O, ROW())))), J1127, K1127)</f>
        <v>2025-09-06T17:18:32.039+08</v>
      </c>
      <c r="M1127" s="2">
        <v>45906.0</v>
      </c>
      <c r="N1127" s="2">
        <f t="array" ref="N1127">IF(M1127&lt;&gt;"INC", INDEX(data!M:M, MATCH(B1127, data!D:D, 0)), "")</f>
        <v>0</v>
      </c>
      <c r="O1127" s="2">
        <f t="shared" si="3"/>
        <v>0</v>
      </c>
    </row>
    <row r="1128">
      <c r="A1128" s="2" t="str">
        <f t="shared" si="1"/>
        <v>H030173</v>
      </c>
      <c r="B1128" s="1" t="s">
        <v>4282</v>
      </c>
      <c r="C1128" s="9" t="str">
        <f t="array" ref="C1128">IF(
  AND(
    IFERROR(MATCH(Caseslist!B1128, data!D:D, 0), 0) &gt; 0,
    IFERROR(INDEX(data!N:N, MATCH(Caseslist!B1128, data!D:D, 0)) = 1, FALSE)
  ),
  "COMPLETE",
  "INC"
)</f>
        <v>COMPLETE</v>
      </c>
      <c r="D1128" s="9" t="str">
        <f t="array" ref="D1128">IFERROR(INDEX(data!$G:$G,match(Caseslist!B1128,data!$D:$D,0)), "INC")</f>
        <v>D1284067</v>
      </c>
      <c r="E1128" s="9" t="str">
        <f t="array" ref="E1128">IFERROR(INDEX(data!H:H,match(Caseslist!B1128,data!D:D,0)), "INC")</f>
        <v>Mariel Del Rio</v>
      </c>
      <c r="F1128" s="10" t="str">
        <f t="array" ref="F1128">IF(
    OR(
      IFNA(INDEX(data!M:M, MATCH(Caseslist!B1128, data!D:D, 0)), "") = "",
      IFNA(INDEX(data!M:M, MATCH(Caseslist!B1128, data!D:D, 0)), 0) = 0
    ),
    "COMPLETE",
    IF(
      IFNA(INDEX(dataICM!D:D, MATCH(Caseslist!B1128, dataICM!D:D, 0)), "INC") = "INC",
      IFNA(INDEX(dataICM!D:D, MATCH(Caseslist!B1128, dataICM!D:D, 0)), "INC"),
      "COMPLETE"
    )
  )</f>
        <v>COMPLETE</v>
      </c>
      <c r="G1128" s="10" t="str">
        <f t="array" ref="G1128">IF(IFERROR(INDEX(data!L:L,match(Caseslist!B1128,data!D:D,0)),"INC")="","COMPLETE",F1128)</f>
        <v>COMPLETE</v>
      </c>
      <c r="H1128" s="9" t="str">
        <f t="array" ref="H1128">IFERROR(INDEX(dataICM!F:F,match(Caseslist!B1128,dataICM!D:D,0)), "INC")</f>
        <v>INC</v>
      </c>
      <c r="I1128" s="10" t="str">
        <f t="shared" si="2"/>
        <v>D1284067</v>
      </c>
      <c r="J1128" s="9" t="str">
        <f t="array" ref="J1128">IF(
  AND(
    IFERROR(MATCH(B1128, data!D:D, 0), 0) &gt; 0,
    IFERROR(INDEX(data!N:N, MATCH(B1128, data!D:D, 0)) = 1, FALSE)
  ),
  INDEX(data!C:C, MATCH(B1128, data!D:D, 0)),
  "INC"
)</f>
        <v>2025-09-06T13:50:55.676+08</v>
      </c>
      <c r="K1128" s="9" t="str">
        <f t="array" ref="K1128">IFERROR(INDEX(dataICM!C:C,match(Caseslist!B1128,dataICM!D:D,0)), "INC")</f>
        <v>INC</v>
      </c>
      <c r="L1128" s="10" t="str">
        <f t="array" ref="L1128">IF(AND(G1128="COMPLETE", OR(K1128="INC", ISBLANK(INDEX(data!O:O, ROW())))), J1128, K1128)</f>
        <v>2025-09-06T13:50:55.676+08</v>
      </c>
      <c r="M1128" s="2">
        <v>45906.0</v>
      </c>
      <c r="N1128" s="2">
        <f t="array" ref="N1128">IF(M1128&lt;&gt;"INC", INDEX(data!M:M, MATCH(B1128, data!D:D, 0)), "")</f>
        <v>0</v>
      </c>
      <c r="O1128" s="2">
        <f t="shared" si="3"/>
        <v>0</v>
      </c>
    </row>
    <row r="1129">
      <c r="A1129" s="2" t="str">
        <f t="shared" si="1"/>
        <v>H030173</v>
      </c>
      <c r="B1129" s="1" t="s">
        <v>4277</v>
      </c>
      <c r="C1129" s="9" t="str">
        <f t="array" ref="C1129">IF(
  AND(
    IFERROR(MATCH(Caseslist!B1129, data!D:D, 0), 0) &gt; 0,
    IFERROR(INDEX(data!N:N, MATCH(Caseslist!B1129, data!D:D, 0)) = 1, FALSE)
  ),
  "COMPLETE",
  "INC"
)</f>
        <v>COMPLETE</v>
      </c>
      <c r="D1129" s="9" t="str">
        <f t="array" ref="D1129">IFERROR(INDEX(data!$G:$G,match(Caseslist!B1129,data!$D:$D,0)), "INC")</f>
        <v>D1284067</v>
      </c>
      <c r="E1129" s="9" t="str">
        <f t="array" ref="E1129">IFERROR(INDEX(data!H:H,match(Caseslist!B1129,data!D:D,0)), "INC")</f>
        <v>Mariel Del Rio</v>
      </c>
      <c r="F1129" s="10" t="str">
        <f t="array" ref="F1129">IF(
    OR(
      IFNA(INDEX(data!M:M, MATCH(Caseslist!B1129, data!D:D, 0)), "") = "",
      IFNA(INDEX(data!M:M, MATCH(Caseslist!B1129, data!D:D, 0)), 0) = 0
    ),
    "COMPLETE",
    IF(
      IFNA(INDEX(dataICM!D:D, MATCH(Caseslist!B1129, dataICM!D:D, 0)), "INC") = "INC",
      IFNA(INDEX(dataICM!D:D, MATCH(Caseslist!B1129, dataICM!D:D, 0)), "INC"),
      "COMPLETE"
    )
  )</f>
        <v>COMPLETE</v>
      </c>
      <c r="G1129" s="10" t="str">
        <f t="array" ref="G1129">IF(IFERROR(INDEX(data!L:L,match(Caseslist!B1129,data!D:D,0)),"INC")="","COMPLETE",F1129)</f>
        <v>COMPLETE</v>
      </c>
      <c r="H1129" s="9" t="str">
        <f t="array" ref="H1129">IFERROR(INDEX(dataICM!F:F,match(Caseslist!B1129,dataICM!D:D,0)), "INC")</f>
        <v>INC</v>
      </c>
      <c r="I1129" s="10" t="str">
        <f t="shared" si="2"/>
        <v>D1284067</v>
      </c>
      <c r="J1129" s="9" t="str">
        <f t="array" ref="J1129">IF(
  AND(
    IFERROR(MATCH(B1129, data!D:D, 0), 0) &gt; 0,
    IFERROR(INDEX(data!N:N, MATCH(B1129, data!D:D, 0)) = 1, FALSE)
  ),
  INDEX(data!C:C, MATCH(B1129, data!D:D, 0)),
  "INC"
)</f>
        <v>2025-09-06T12:10:50.649+08</v>
      </c>
      <c r="K1129" s="9" t="str">
        <f t="array" ref="K1129">IFERROR(INDEX(dataICM!C:C,match(Caseslist!B1129,dataICM!D:D,0)), "INC")</f>
        <v>INC</v>
      </c>
      <c r="L1129" s="10" t="str">
        <f t="array" ref="L1129">IF(AND(G1129="COMPLETE", OR(K1129="INC", ISBLANK(INDEX(data!O:O, ROW())))), J1129, K1129)</f>
        <v>2025-09-06T12:10:50.649+08</v>
      </c>
      <c r="M1129" s="2">
        <v>45906.0</v>
      </c>
      <c r="N1129" s="2">
        <f t="array" ref="N1129">IF(M1129&lt;&gt;"INC", INDEX(data!M:M, MATCH(B1129, data!D:D, 0)), "")</f>
        <v>0</v>
      </c>
      <c r="O1129" s="2">
        <f t="shared" si="3"/>
        <v>0</v>
      </c>
    </row>
    <row r="1130">
      <c r="A1130" s="2" t="str">
        <f t="shared" si="1"/>
        <v>H030173</v>
      </c>
      <c r="B1130" s="1" t="s">
        <v>4297</v>
      </c>
      <c r="C1130" s="9" t="str">
        <f t="array" ref="C1130">IF(
  AND(
    IFERROR(MATCH(Caseslist!B1130, data!D:D, 0), 0) &gt; 0,
    IFERROR(INDEX(data!N:N, MATCH(Caseslist!B1130, data!D:D, 0)) = 1, FALSE)
  ),
  "COMPLETE",
  "INC"
)</f>
        <v>COMPLETE</v>
      </c>
      <c r="D1130" s="9" t="str">
        <f t="array" ref="D1130">IFERROR(INDEX(data!$G:$G,match(Caseslist!B1130,data!$D:$D,0)), "INC")</f>
        <v>D1284067</v>
      </c>
      <c r="E1130" s="9" t="str">
        <f t="array" ref="E1130">IFERROR(INDEX(data!H:H,match(Caseslist!B1130,data!D:D,0)), "INC")</f>
        <v>Mariel Del Rio</v>
      </c>
      <c r="F1130" s="10" t="str">
        <f t="array" ref="F1130">IF(
    OR(
      IFNA(INDEX(data!M:M, MATCH(Caseslist!B1130, data!D:D, 0)), "") = "",
      IFNA(INDEX(data!M:M, MATCH(Caseslist!B1130, data!D:D, 0)), 0) = 0
    ),
    "COMPLETE",
    IF(
      IFNA(INDEX(dataICM!D:D, MATCH(Caseslist!B1130, dataICM!D:D, 0)), "INC") = "INC",
      IFNA(INDEX(dataICM!D:D, MATCH(Caseslist!B1130, dataICM!D:D, 0)), "INC"),
      "COMPLETE"
    )
  )</f>
        <v>COMPLETE</v>
      </c>
      <c r="G1130" s="10" t="str">
        <f t="array" ref="G1130">IF(IFERROR(INDEX(data!L:L,match(Caseslist!B1130,data!D:D,0)),"INC")="","COMPLETE",F1130)</f>
        <v>COMPLETE</v>
      </c>
      <c r="H1130" s="9" t="str">
        <f t="array" ref="H1130">IFERROR(INDEX(dataICM!F:F,match(Caseslist!B1130,dataICM!D:D,0)), "INC")</f>
        <v>INC</v>
      </c>
      <c r="I1130" s="10" t="str">
        <f t="shared" si="2"/>
        <v>D1284067</v>
      </c>
      <c r="J1130" s="9" t="str">
        <f t="array" ref="J1130">IF(
  AND(
    IFERROR(MATCH(B1130, data!D:D, 0), 0) &gt; 0,
    IFERROR(INDEX(data!N:N, MATCH(B1130, data!D:D, 0)) = 1, FALSE)
  ),
  INDEX(data!C:C, MATCH(B1130, data!D:D, 0)),
  "INC"
)</f>
        <v>2025-09-06T18:11:27.863+08</v>
      </c>
      <c r="K1130" s="9" t="str">
        <f t="array" ref="K1130">IFERROR(INDEX(dataICM!C:C,match(Caseslist!B1130,dataICM!D:D,0)), "INC")</f>
        <v>INC</v>
      </c>
      <c r="L1130" s="10" t="str">
        <f t="array" ref="L1130">IF(AND(G1130="COMPLETE", OR(K1130="INC", ISBLANK(INDEX(data!O:O, ROW())))), J1130, K1130)</f>
        <v>2025-09-06T18:11:27.863+08</v>
      </c>
      <c r="M1130" s="2">
        <v>45906.0</v>
      </c>
      <c r="N1130" s="2">
        <f t="array" ref="N1130">IF(M1130&lt;&gt;"INC", INDEX(data!M:M, MATCH(B1130, data!D:D, 0)), "")</f>
        <v>0</v>
      </c>
      <c r="O1130" s="2">
        <f t="shared" si="3"/>
        <v>0</v>
      </c>
    </row>
    <row r="1131">
      <c r="A1131" s="2" t="str">
        <f t="shared" si="1"/>
        <v>H030173</v>
      </c>
      <c r="B1131" s="1" t="s">
        <v>4162</v>
      </c>
      <c r="C1131" s="9" t="str">
        <f t="array" ref="C1131">IF(
  AND(
    IFERROR(MATCH(Caseslist!B1131, data!D:D, 0), 0) &gt; 0,
    IFERROR(INDEX(data!N:N, MATCH(Caseslist!B1131, data!D:D, 0)) = 1, FALSE)
  ),
  "COMPLETE",
  "INC"
)</f>
        <v>COMPLETE</v>
      </c>
      <c r="D1131" s="9" t="str">
        <f t="array" ref="D1131">IFERROR(INDEX(data!$G:$G,match(Caseslist!B1131,data!$D:$D,0)), "INC")</f>
        <v>D1284067</v>
      </c>
      <c r="E1131" s="9" t="str">
        <f t="array" ref="E1131">IFERROR(INDEX(data!H:H,match(Caseslist!B1131,data!D:D,0)), "INC")</f>
        <v>Mariel Del Rio</v>
      </c>
      <c r="F1131" s="10" t="str">
        <f t="array" ref="F1131">IF(
    OR(
      IFNA(INDEX(data!M:M, MATCH(Caseslist!B1131, data!D:D, 0)), "") = "",
      IFNA(INDEX(data!M:M, MATCH(Caseslist!B1131, data!D:D, 0)), 0) = 0
    ),
    "COMPLETE",
    IF(
      IFNA(INDEX(dataICM!D:D, MATCH(Caseslist!B1131, dataICM!D:D, 0)), "INC") = "INC",
      IFNA(INDEX(dataICM!D:D, MATCH(Caseslist!B1131, dataICM!D:D, 0)), "INC"),
      "COMPLETE"
    )
  )</f>
        <v>COMPLETE</v>
      </c>
      <c r="G1131" s="10" t="str">
        <f t="array" ref="G1131">IF(IFERROR(INDEX(data!L:L,match(Caseslist!B1131,data!D:D,0)),"INC")="","COMPLETE",F1131)</f>
        <v>COMPLETE</v>
      </c>
      <c r="H1131" s="9" t="str">
        <f t="array" ref="H1131">IFERROR(INDEX(dataICM!F:F,match(Caseslist!B1131,dataICM!D:D,0)), "INC")</f>
        <v>INC</v>
      </c>
      <c r="I1131" s="10" t="str">
        <f t="shared" si="2"/>
        <v>D1284067</v>
      </c>
      <c r="J1131" s="9" t="str">
        <f t="array" ref="J1131">IF(
  AND(
    IFERROR(MATCH(B1131, data!D:D, 0), 0) &gt; 0,
    IFERROR(INDEX(data!N:N, MATCH(B1131, data!D:D, 0)) = 1, FALSE)
  ),
  INDEX(data!C:C, MATCH(B1131, data!D:D, 0)),
  "INC"
)</f>
        <v>2025-09-08T11:32:49.568+08</v>
      </c>
      <c r="K1131" s="9" t="str">
        <f t="array" ref="K1131">IFERROR(INDEX(dataICM!C:C,match(Caseslist!B1131,dataICM!D:D,0)), "INC")</f>
        <v>INC</v>
      </c>
      <c r="L1131" s="10" t="str">
        <f t="array" ref="L1131">IF(AND(G1131="COMPLETE", OR(K1131="INC", ISBLANK(INDEX(data!O:O, ROW())))), J1131, K1131)</f>
        <v>2025-09-08T11:32:49.568+08</v>
      </c>
      <c r="M1131" s="2">
        <v>45908.0</v>
      </c>
      <c r="N1131" s="2">
        <f t="array" ref="N1131">IF(M1131&lt;&gt;"INC", INDEX(data!M:M, MATCH(B1131, data!D:D, 0)), "")</f>
        <v>0</v>
      </c>
      <c r="O1131" s="2">
        <f t="shared" si="3"/>
        <v>0</v>
      </c>
    </row>
    <row r="1132">
      <c r="A1132" s="2" t="str">
        <f t="shared" si="1"/>
        <v>H030173</v>
      </c>
      <c r="B1132" s="1" t="s">
        <v>4582</v>
      </c>
      <c r="C1132" s="9" t="str">
        <f t="array" ref="C1132">IF(
  AND(
    IFERROR(MATCH(Caseslist!B1132, data!D:D, 0), 0) &gt; 0,
    IFERROR(INDEX(data!N:N, MATCH(Caseslist!B1132, data!D:D, 0)) = 1, FALSE)
  ),
  "COMPLETE",
  "INC"
)</f>
        <v>COMPLETE</v>
      </c>
      <c r="D1132" s="9" t="str">
        <f t="array" ref="D1132">IFERROR(INDEX(data!$G:$G,match(Caseslist!B1132,data!$D:$D,0)), "INC")</f>
        <v>D1284067</v>
      </c>
      <c r="E1132" s="9" t="str">
        <f t="array" ref="E1132">IFERROR(INDEX(data!H:H,match(Caseslist!B1132,data!D:D,0)), "INC")</f>
        <v>Mariel Del Rio</v>
      </c>
      <c r="F1132" s="10" t="str">
        <f t="array" ref="F1132">IF(
    OR(
      IFNA(INDEX(data!M:M, MATCH(Caseslist!B1132, data!D:D, 0)), "") = "",
      IFNA(INDEX(data!M:M, MATCH(Caseslist!B1132, data!D:D, 0)), 0) = 0
    ),
    "COMPLETE",
    IF(
      IFNA(INDEX(dataICM!D:D, MATCH(Caseslist!B1132, dataICM!D:D, 0)), "INC") = "INC",
      IFNA(INDEX(dataICM!D:D, MATCH(Caseslist!B1132, dataICM!D:D, 0)), "INC"),
      "COMPLETE"
    )
  )</f>
        <v>COMPLETE</v>
      </c>
      <c r="G1132" s="10" t="str">
        <f t="array" ref="G1132">IF(IFERROR(INDEX(data!L:L,match(Caseslist!B1132,data!D:D,0)),"INC")="","COMPLETE",F1132)</f>
        <v>COMPLETE</v>
      </c>
      <c r="H1132" s="9" t="str">
        <f t="array" ref="H1132">IFERROR(INDEX(dataICM!F:F,match(Caseslist!B1132,dataICM!D:D,0)), "INC")</f>
        <v>INC</v>
      </c>
      <c r="I1132" s="10" t="str">
        <f t="shared" si="2"/>
        <v>D1284067</v>
      </c>
      <c r="J1132" s="9" t="str">
        <f t="array" ref="J1132">IF(
  AND(
    IFERROR(MATCH(B1132, data!D:D, 0), 0) &gt; 0,
    IFERROR(INDEX(data!N:N, MATCH(B1132, data!D:D, 0)) = 1, FALSE)
  ),
  INDEX(data!C:C, MATCH(B1132, data!D:D, 0)),
  "INC"
)</f>
        <v>2025-09-08T13:12:30.151+08</v>
      </c>
      <c r="K1132" s="9" t="str">
        <f t="array" ref="K1132">IFERROR(INDEX(dataICM!C:C,match(Caseslist!B1132,dataICM!D:D,0)), "INC")</f>
        <v>INC</v>
      </c>
      <c r="L1132" s="10" t="str">
        <f t="array" ref="L1132">IF(AND(G1132="COMPLETE", OR(K1132="INC", ISBLANK(INDEX(data!O:O, ROW())))), J1132, K1132)</f>
        <v>2025-09-08T13:12:30.151+08</v>
      </c>
      <c r="M1132" s="2">
        <v>45908.0</v>
      </c>
      <c r="N1132" s="2">
        <f t="array" ref="N1132">IF(M1132&lt;&gt;"INC", INDEX(data!M:M, MATCH(B1132, data!D:D, 0)), "")</f>
        <v>0</v>
      </c>
      <c r="O1132" s="2">
        <f t="shared" si="3"/>
        <v>0</v>
      </c>
    </row>
    <row r="1133">
      <c r="A1133" s="2" t="str">
        <f t="shared" si="1"/>
        <v>H030173</v>
      </c>
      <c r="B1133" s="1" t="s">
        <v>4157</v>
      </c>
      <c r="C1133" s="9" t="str">
        <f t="array" ref="C1133">IF(
  AND(
    IFERROR(MATCH(Caseslist!B1133, data!D:D, 0), 0) &gt; 0,
    IFERROR(INDEX(data!N:N, MATCH(Caseslist!B1133, data!D:D, 0)) = 1, FALSE)
  ),
  "COMPLETE",
  "INC"
)</f>
        <v>COMPLETE</v>
      </c>
      <c r="D1133" s="9" t="str">
        <f t="array" ref="D1133">IFERROR(INDEX(data!$G:$G,match(Caseslist!B1133,data!$D:$D,0)), "INC")</f>
        <v>B8193462</v>
      </c>
      <c r="E1133" s="9" t="str">
        <f t="array" ref="E1133">IFERROR(INDEX(data!H:H,match(Caseslist!B1133,data!D:D,0)), "INC")</f>
        <v>Mark Lorens Mendoza Gilongo</v>
      </c>
      <c r="F1133" s="10" t="str">
        <f t="array" ref="F1133">IF(
    OR(
      IFNA(INDEX(data!M:M, MATCH(Caseslist!B1133, data!D:D, 0)), "") = "",
      IFNA(INDEX(data!M:M, MATCH(Caseslist!B1133, data!D:D, 0)), 0) = 0
    ),
    "COMPLETE",
    IF(
      IFNA(INDEX(dataICM!D:D, MATCH(Caseslist!B1133, dataICM!D:D, 0)), "INC") = "INC",
      IFNA(INDEX(dataICM!D:D, MATCH(Caseslist!B1133, dataICM!D:D, 0)), "INC"),
      "COMPLETE"
    )
  )</f>
        <v>COMPLETE</v>
      </c>
      <c r="G1133" s="10" t="str">
        <f t="array" ref="G1133">IF(IFERROR(INDEX(data!L:L,match(Caseslist!B1133,data!D:D,0)),"INC")="","COMPLETE",F1133)</f>
        <v>COMPLETE</v>
      </c>
      <c r="H1133" s="9" t="str">
        <f t="array" ref="H1133">IFERROR(INDEX(dataICM!F:F,match(Caseslist!B1133,dataICM!D:D,0)), "INC")</f>
        <v>INC</v>
      </c>
      <c r="I1133" s="10" t="str">
        <f t="shared" si="2"/>
        <v>B8193462</v>
      </c>
      <c r="J1133" s="9" t="str">
        <f t="array" ref="J1133">IF(
  AND(
    IFERROR(MATCH(B1133, data!D:D, 0), 0) &gt; 0,
    IFERROR(INDEX(data!N:N, MATCH(B1133, data!D:D, 0)) = 1, FALSE)
  ),
  INDEX(data!C:C, MATCH(B1133, data!D:D, 0)),
  "INC"
)</f>
        <v>2025-09-06T13:55:56.698+08</v>
      </c>
      <c r="K1133" s="9" t="str">
        <f t="array" ref="K1133">IFERROR(INDEX(dataICM!C:C,match(Caseslist!B1133,dataICM!D:D,0)), "INC")</f>
        <v>INC</v>
      </c>
      <c r="L1133" s="10" t="str">
        <f t="array" ref="L1133">IF(AND(G1133="COMPLETE", OR(K1133="INC", ISBLANK(INDEX(data!O:O, ROW())))), J1133, K1133)</f>
        <v>2025-09-06T13:55:56.698+08</v>
      </c>
      <c r="M1133" s="2">
        <v>45906.0</v>
      </c>
      <c r="N1133" s="2">
        <f t="array" ref="N1133">IF(M1133&lt;&gt;"INC", INDEX(data!M:M, MATCH(B1133, data!D:D, 0)), "")</f>
        <v>0</v>
      </c>
      <c r="O1133" s="2">
        <f t="shared" si="3"/>
        <v>0</v>
      </c>
    </row>
    <row r="1134">
      <c r="A1134" s="2" t="str">
        <f t="shared" si="1"/>
        <v>H030173</v>
      </c>
      <c r="B1134" s="1" t="s">
        <v>4272</v>
      </c>
      <c r="C1134" s="9" t="str">
        <f t="array" ref="C1134">IF(
  AND(
    IFERROR(MATCH(Caseslist!B1134, data!D:D, 0), 0) &gt; 0,
    IFERROR(INDEX(data!N:N, MATCH(Caseslist!B1134, data!D:D, 0)) = 1, FALSE)
  ),
  "COMPLETE",
  "INC"
)</f>
        <v>INC</v>
      </c>
      <c r="D1134" s="9" t="str">
        <f t="array" ref="D1134">IFERROR(INDEX(data!$G:$G,match(Caseslist!B1134,data!$D:$D,0)), "INC")</f>
        <v>B8193462</v>
      </c>
      <c r="E1134" s="9" t="str">
        <f t="array" ref="E1134">IFERROR(INDEX(data!H:H,match(Caseslist!B1134,data!D:D,0)), "INC")</f>
        <v>Mark Lorens Mendoza Gilongo</v>
      </c>
      <c r="F1134" s="10" t="str">
        <f t="array" ref="F1134">IF(
    OR(
      IFNA(INDEX(data!M:M, MATCH(Caseslist!B1134, data!D:D, 0)), "") = "",
      IFNA(INDEX(data!M:M, MATCH(Caseslist!B1134, data!D:D, 0)), 0) = 0
    ),
    "COMPLETE",
    IF(
      IFNA(INDEX(dataICM!D:D, MATCH(Caseslist!B1134, dataICM!D:D, 0)), "INC") = "INC",
      IFNA(INDEX(dataICM!D:D, MATCH(Caseslist!B1134, dataICM!D:D, 0)), "INC"),
      "COMPLETE"
    )
  )</f>
        <v>COMPLETE</v>
      </c>
      <c r="G1134" s="10" t="str">
        <f t="array" ref="G1134">IF(IFERROR(INDEX(data!L:L,match(Caseslist!B1134,data!D:D,0)),"INC")="","COMPLETE",F1134)</f>
        <v>COMPLETE</v>
      </c>
      <c r="H1134" s="9" t="str">
        <f t="array" ref="H1134">IFERROR(INDEX(dataICM!F:F,match(Caseslist!B1134,dataICM!D:D,0)), "INC")</f>
        <v>INC</v>
      </c>
      <c r="I1134" s="10" t="str">
        <f t="shared" si="2"/>
        <v>B8193462</v>
      </c>
      <c r="J1134" s="9" t="str">
        <f t="array" ref="J1134">IF(
  AND(
    IFERROR(MATCH(B1134, data!D:D, 0), 0) &gt; 0,
    IFERROR(INDEX(data!N:N, MATCH(B1134, data!D:D, 0)) = 1, FALSE)
  ),
  INDEX(data!C:C, MATCH(B1134, data!D:D, 0)),
  "INC"
)</f>
        <v>INC</v>
      </c>
      <c r="K1134" s="9" t="str">
        <f t="array" ref="K1134">IFERROR(INDEX(dataICM!C:C,match(Caseslist!B1134,dataICM!D:D,0)), "INC")</f>
        <v>INC</v>
      </c>
      <c r="L1134" s="10" t="str">
        <f t="array" ref="L1134">IF(AND(G1134="COMPLETE", OR(K1134="INC", ISBLANK(INDEX(data!O:O, ROW())))), J1134, K1134)</f>
        <v>INC</v>
      </c>
      <c r="M1134" s="2" t="s">
        <v>8886</v>
      </c>
      <c r="N1134" s="2" t="str">
        <f t="array" ref="N1134">IF(M1134&lt;&gt;"INC", INDEX(data!M:M, MATCH(B1134, data!D:D, 0)), "")</f>
        <v/>
      </c>
      <c r="O1134" s="2" t="str">
        <f t="shared" si="3"/>
        <v/>
      </c>
    </row>
    <row r="1135">
      <c r="A1135" s="2" t="str">
        <f t="shared" si="1"/>
        <v>H030173</v>
      </c>
      <c r="B1135" s="1" t="s">
        <v>4152</v>
      </c>
      <c r="C1135" s="9" t="str">
        <f t="array" ref="C1135">IF(
  AND(
    IFERROR(MATCH(Caseslist!B1135, data!D:D, 0), 0) &gt; 0,
    IFERROR(INDEX(data!N:N, MATCH(Caseslist!B1135, data!D:D, 0)) = 1, FALSE)
  ),
  "COMPLETE",
  "INC"
)</f>
        <v>COMPLETE</v>
      </c>
      <c r="D1135" s="9" t="str">
        <f t="array" ref="D1135">IFERROR(INDEX(data!$G:$G,match(Caseslist!B1135,data!$D:$D,0)), "INC")</f>
        <v>B8193462</v>
      </c>
      <c r="E1135" s="9" t="str">
        <f t="array" ref="E1135">IFERROR(INDEX(data!H:H,match(Caseslist!B1135,data!D:D,0)), "INC")</f>
        <v>Mark Lorens Mendoza Gilongo</v>
      </c>
      <c r="F1135" s="10" t="str">
        <f t="array" ref="F1135">IF(
    OR(
      IFNA(INDEX(data!M:M, MATCH(Caseslist!B1135, data!D:D, 0)), "") = "",
      IFNA(INDEX(data!M:M, MATCH(Caseslist!B1135, data!D:D, 0)), 0) = 0
    ),
    "COMPLETE",
    IF(
      IFNA(INDEX(dataICM!D:D, MATCH(Caseslist!B1135, dataICM!D:D, 0)), "INC") = "INC",
      IFNA(INDEX(dataICM!D:D, MATCH(Caseslist!B1135, dataICM!D:D, 0)), "INC"),
      "COMPLETE"
    )
  )</f>
        <v>COMPLETE</v>
      </c>
      <c r="G1135" s="10" t="str">
        <f t="array" ref="G1135">IF(IFERROR(INDEX(data!L:L,match(Caseslist!B1135,data!D:D,0)),"INC")="","COMPLETE",F1135)</f>
        <v>COMPLETE</v>
      </c>
      <c r="H1135" s="9" t="str">
        <f t="array" ref="H1135">IFERROR(INDEX(dataICM!F:F,match(Caseslist!B1135,dataICM!D:D,0)), "INC")</f>
        <v>INC</v>
      </c>
      <c r="I1135" s="10" t="str">
        <f t="shared" si="2"/>
        <v>B8193462</v>
      </c>
      <c r="J1135" s="9" t="str">
        <f t="array" ref="J1135">IF(
  AND(
    IFERROR(MATCH(B1135, data!D:D, 0), 0) &gt; 0,
    IFERROR(INDEX(data!N:N, MATCH(B1135, data!D:D, 0)) = 1, FALSE)
  ),
  INDEX(data!C:C, MATCH(B1135, data!D:D, 0)),
  "INC"
)</f>
        <v>2025-09-06T09:44:42.838+08</v>
      </c>
      <c r="K1135" s="9" t="str">
        <f t="array" ref="K1135">IFERROR(INDEX(dataICM!C:C,match(Caseslist!B1135,dataICM!D:D,0)), "INC")</f>
        <v>INC</v>
      </c>
      <c r="L1135" s="10" t="str">
        <f t="array" ref="L1135">IF(AND(G1135="COMPLETE", OR(K1135="INC", ISBLANK(INDEX(data!O:O, ROW())))), J1135, K1135)</f>
        <v>2025-09-06T09:44:42.838+08</v>
      </c>
      <c r="M1135" s="2">
        <v>45906.0</v>
      </c>
      <c r="N1135" s="2">
        <f t="array" ref="N1135">IF(M1135&lt;&gt;"INC", INDEX(data!M:M, MATCH(B1135, data!D:D, 0)), "")</f>
        <v>0</v>
      </c>
      <c r="O1135" s="2">
        <f t="shared" si="3"/>
        <v>0</v>
      </c>
    </row>
    <row r="1136">
      <c r="A1136" s="2" t="str">
        <f t="shared" si="1"/>
        <v>H030173</v>
      </c>
      <c r="B1136" s="1" t="s">
        <v>4577</v>
      </c>
      <c r="C1136" s="9" t="str">
        <f t="array" ref="C1136">IF(
  AND(
    IFERROR(MATCH(Caseslist!B1136, data!D:D, 0), 0) &gt; 0,
    IFERROR(INDEX(data!N:N, MATCH(Caseslist!B1136, data!D:D, 0)) = 1, FALSE)
  ),
  "COMPLETE",
  "INC"
)</f>
        <v>COMPLETE</v>
      </c>
      <c r="D1136" s="9" t="str">
        <f t="array" ref="D1136">IFERROR(INDEX(data!$G:$G,match(Caseslist!B1136,data!$D:$D,0)), "INC")</f>
        <v>D1284067</v>
      </c>
      <c r="E1136" s="9" t="str">
        <f t="array" ref="E1136">IFERROR(INDEX(data!H:H,match(Caseslist!B1136,data!D:D,0)), "INC")</f>
        <v>Mariel Del Rio</v>
      </c>
      <c r="F1136" s="10" t="str">
        <f t="array" ref="F1136">IF(
    OR(
      IFNA(INDEX(data!M:M, MATCH(Caseslist!B1136, data!D:D, 0)), "") = "",
      IFNA(INDEX(data!M:M, MATCH(Caseslist!B1136, data!D:D, 0)), 0) = 0
    ),
    "COMPLETE",
    IF(
      IFNA(INDEX(dataICM!D:D, MATCH(Caseslist!B1136, dataICM!D:D, 0)), "INC") = "INC",
      IFNA(INDEX(dataICM!D:D, MATCH(Caseslist!B1136, dataICM!D:D, 0)), "INC"),
      "COMPLETE"
    )
  )</f>
        <v>COMPLETE</v>
      </c>
      <c r="G1136" s="10" t="str">
        <f t="array" ref="G1136">IF(IFERROR(INDEX(data!L:L,match(Caseslist!B1136,data!D:D,0)),"INC")="","COMPLETE",F1136)</f>
        <v>COMPLETE</v>
      </c>
      <c r="H1136" s="9" t="str">
        <f t="array" ref="H1136">IFERROR(INDEX(dataICM!F:F,match(Caseslist!B1136,dataICM!D:D,0)), "INC")</f>
        <v>INC</v>
      </c>
      <c r="I1136" s="10" t="str">
        <f t="shared" si="2"/>
        <v>D1284067</v>
      </c>
      <c r="J1136" s="9" t="str">
        <f t="array" ref="J1136">IF(
  AND(
    IFERROR(MATCH(B1136, data!D:D, 0), 0) &gt; 0,
    IFERROR(INDEX(data!N:N, MATCH(B1136, data!D:D, 0)) = 1, FALSE)
  ),
  INDEX(data!C:C, MATCH(B1136, data!D:D, 0)),
  "INC"
)</f>
        <v>2025-09-08T10:13:17.558+08</v>
      </c>
      <c r="K1136" s="9" t="str">
        <f t="array" ref="K1136">IFERROR(INDEX(dataICM!C:C,match(Caseslist!B1136,dataICM!D:D,0)), "INC")</f>
        <v>INC</v>
      </c>
      <c r="L1136" s="10" t="str">
        <f t="array" ref="L1136">IF(AND(G1136="COMPLETE", OR(K1136="INC", ISBLANK(INDEX(data!O:O, ROW())))), J1136, K1136)</f>
        <v>2025-09-08T10:13:17.558+08</v>
      </c>
      <c r="M1136" s="2">
        <v>45908.0</v>
      </c>
      <c r="N1136" s="2">
        <f t="array" ref="N1136">IF(M1136&lt;&gt;"INC", INDEX(data!M:M, MATCH(B1136, data!D:D, 0)), "")</f>
        <v>0</v>
      </c>
      <c r="O1136" s="2">
        <f t="shared" si="3"/>
        <v>0</v>
      </c>
    </row>
    <row r="1137">
      <c r="A1137" s="2" t="str">
        <f t="shared" si="1"/>
        <v>H030173</v>
      </c>
      <c r="B1137" s="1" t="s">
        <v>4287</v>
      </c>
      <c r="C1137" s="9" t="str">
        <f t="array" ref="C1137">IF(
  AND(
    IFERROR(MATCH(Caseslist!B1137, data!D:D, 0), 0) &gt; 0,
    IFERROR(INDEX(data!N:N, MATCH(Caseslist!B1137, data!D:D, 0)) = 1, FALSE)
  ),
  "COMPLETE",
  "INC"
)</f>
        <v>COMPLETE</v>
      </c>
      <c r="D1137" s="9" t="str">
        <f t="array" ref="D1137">IFERROR(INDEX(data!$G:$G,match(Caseslist!B1137,data!$D:$D,0)), "INC")</f>
        <v>B8193462</v>
      </c>
      <c r="E1137" s="9" t="str">
        <f t="array" ref="E1137">IFERROR(INDEX(data!H:H,match(Caseslist!B1137,data!D:D,0)), "INC")</f>
        <v>Mark Lorens Mendoza Gilongo</v>
      </c>
      <c r="F1137" s="10" t="str">
        <f t="array" ref="F1137">IF(
    OR(
      IFNA(INDEX(data!M:M, MATCH(Caseslist!B1137, data!D:D, 0)), "") = "",
      IFNA(INDEX(data!M:M, MATCH(Caseslist!B1137, data!D:D, 0)), 0) = 0
    ),
    "COMPLETE",
    IF(
      IFNA(INDEX(dataICM!D:D, MATCH(Caseslist!B1137, dataICM!D:D, 0)), "INC") = "INC",
      IFNA(INDEX(dataICM!D:D, MATCH(Caseslist!B1137, dataICM!D:D, 0)), "INC"),
      "COMPLETE"
    )
  )</f>
        <v>COMPLETE</v>
      </c>
      <c r="G1137" s="10" t="str">
        <f t="array" ref="G1137">IF(IFERROR(INDEX(data!L:L,match(Caseslist!B1137,data!D:D,0)),"INC")="","COMPLETE",F1137)</f>
        <v>COMPLETE</v>
      </c>
      <c r="H1137" s="9" t="str">
        <f t="array" ref="H1137">IFERROR(INDEX(dataICM!F:F,match(Caseslist!B1137,dataICM!D:D,0)), "INC")</f>
        <v>INC</v>
      </c>
      <c r="I1137" s="10" t="str">
        <f t="shared" si="2"/>
        <v>B8193462</v>
      </c>
      <c r="J1137" s="9" t="str">
        <f t="array" ref="J1137">IF(
  AND(
    IFERROR(MATCH(B1137, data!D:D, 0), 0) &gt; 0,
    IFERROR(INDEX(data!N:N, MATCH(B1137, data!D:D, 0)) = 1, FALSE)
  ),
  INDEX(data!C:C, MATCH(B1137, data!D:D, 0)),
  "INC"
)</f>
        <v>2025-09-08T10:24:36.535+08</v>
      </c>
      <c r="K1137" s="9" t="str">
        <f t="array" ref="K1137">IFERROR(INDEX(dataICM!C:C,match(Caseslist!B1137,dataICM!D:D,0)), "INC")</f>
        <v>INC</v>
      </c>
      <c r="L1137" s="10" t="str">
        <f t="array" ref="L1137">IF(AND(G1137="COMPLETE", OR(K1137="INC", ISBLANK(INDEX(data!O:O, ROW())))), J1137, K1137)</f>
        <v>2025-09-08T10:24:36.535+08</v>
      </c>
      <c r="M1137" s="2">
        <v>45908.0</v>
      </c>
      <c r="N1137" s="2">
        <f t="array" ref="N1137">IF(M1137&lt;&gt;"INC", INDEX(data!M:M, MATCH(B1137, data!D:D, 0)), "")</f>
        <v>0</v>
      </c>
      <c r="O1137" s="2">
        <f t="shared" si="3"/>
        <v>0</v>
      </c>
    </row>
    <row r="1138">
      <c r="A1138" s="2" t="str">
        <f t="shared" si="1"/>
        <v>H030173</v>
      </c>
      <c r="B1138" s="1" t="s">
        <v>4172</v>
      </c>
      <c r="C1138" s="9" t="str">
        <f t="array" ref="C1138">IF(
  AND(
    IFERROR(MATCH(Caseslist!B1138, data!D:D, 0), 0) &gt; 0,
    IFERROR(INDEX(data!N:N, MATCH(Caseslist!B1138, data!D:D, 0)) = 1, FALSE)
  ),
  "COMPLETE",
  "INC"
)</f>
        <v>COMPLETE</v>
      </c>
      <c r="D1138" s="9" t="str">
        <f t="array" ref="D1138">IFERROR(INDEX(data!$G:$G,match(Caseslist!B1138,data!$D:$D,0)), "INC")</f>
        <v>B8193462</v>
      </c>
      <c r="E1138" s="9" t="str">
        <f t="array" ref="E1138">IFERROR(INDEX(data!H:H,match(Caseslist!B1138,data!D:D,0)), "INC")</f>
        <v>Mark Lorens Mendoza Gilongo</v>
      </c>
      <c r="F1138" s="10" t="str">
        <f t="array" ref="F1138">IF(
    OR(
      IFNA(INDEX(data!M:M, MATCH(Caseslist!B1138, data!D:D, 0)), "") = "",
      IFNA(INDEX(data!M:M, MATCH(Caseslist!B1138, data!D:D, 0)), 0) = 0
    ),
    "COMPLETE",
    IF(
      IFNA(INDEX(dataICM!D:D, MATCH(Caseslist!B1138, dataICM!D:D, 0)), "INC") = "INC",
      IFNA(INDEX(dataICM!D:D, MATCH(Caseslist!B1138, dataICM!D:D, 0)), "INC"),
      "COMPLETE"
    )
  )</f>
        <v>COMPLETE</v>
      </c>
      <c r="G1138" s="10" t="str">
        <f t="array" ref="G1138">IF(IFERROR(INDEX(data!L:L,match(Caseslist!B1138,data!D:D,0)),"INC")="","COMPLETE",F1138)</f>
        <v>COMPLETE</v>
      </c>
      <c r="H1138" s="9" t="str">
        <f t="array" ref="H1138">IFERROR(INDEX(dataICM!F:F,match(Caseslist!B1138,dataICM!D:D,0)), "INC")</f>
        <v>INC</v>
      </c>
      <c r="I1138" s="10" t="str">
        <f t="shared" si="2"/>
        <v>B8193462</v>
      </c>
      <c r="J1138" s="9" t="str">
        <f t="array" ref="J1138">IF(
  AND(
    IFERROR(MATCH(B1138, data!D:D, 0), 0) &gt; 0,
    IFERROR(INDEX(data!N:N, MATCH(B1138, data!D:D, 0)) = 1, FALSE)
  ),
  INDEX(data!C:C, MATCH(B1138, data!D:D, 0)),
  "INC"
)</f>
        <v>2025-09-06T17:30:19.098+08</v>
      </c>
      <c r="K1138" s="9" t="str">
        <f t="array" ref="K1138">IFERROR(INDEX(dataICM!C:C,match(Caseslist!B1138,dataICM!D:D,0)), "INC")</f>
        <v>INC</v>
      </c>
      <c r="L1138" s="10" t="str">
        <f t="array" ref="L1138">IF(AND(G1138="COMPLETE", OR(K1138="INC", ISBLANK(INDEX(data!O:O, ROW())))), J1138, K1138)</f>
        <v>2025-09-06T17:30:19.098+08</v>
      </c>
      <c r="M1138" s="2">
        <v>45906.0</v>
      </c>
      <c r="N1138" s="2">
        <f t="array" ref="N1138">IF(M1138&lt;&gt;"INC", INDEX(data!M:M, MATCH(B1138, data!D:D, 0)), "")</f>
        <v>0</v>
      </c>
      <c r="O1138" s="2">
        <f t="shared" si="3"/>
        <v>0</v>
      </c>
    </row>
    <row r="1139">
      <c r="A1139" s="2" t="str">
        <f t="shared" si="1"/>
        <v>H030173</v>
      </c>
      <c r="B1139" s="1" t="s">
        <v>4292</v>
      </c>
      <c r="C1139" s="9" t="str">
        <f t="array" ref="C1139">IF(
  AND(
    IFERROR(MATCH(Caseslist!B1139, data!D:D, 0), 0) &gt; 0,
    IFERROR(INDEX(data!N:N, MATCH(Caseslist!B1139, data!D:D, 0)) = 1, FALSE)
  ),
  "COMPLETE",
  "INC"
)</f>
        <v>COMPLETE</v>
      </c>
      <c r="D1139" s="9" t="str">
        <f t="array" ref="D1139">IFERROR(INDEX(data!$G:$G,match(Caseslist!B1139,data!$D:$D,0)), "INC")</f>
        <v>D1284067</v>
      </c>
      <c r="E1139" s="9" t="str">
        <f t="array" ref="E1139">IFERROR(INDEX(data!H:H,match(Caseslist!B1139,data!D:D,0)), "INC")</f>
        <v>Mariel Del Rio</v>
      </c>
      <c r="F1139" s="10" t="str">
        <f t="array" ref="F1139">IF(
    OR(
      IFNA(INDEX(data!M:M, MATCH(Caseslist!B1139, data!D:D, 0)), "") = "",
      IFNA(INDEX(data!M:M, MATCH(Caseslist!B1139, data!D:D, 0)), 0) = 0
    ),
    "COMPLETE",
    IF(
      IFNA(INDEX(dataICM!D:D, MATCH(Caseslist!B1139, dataICM!D:D, 0)), "INC") = "INC",
      IFNA(INDEX(dataICM!D:D, MATCH(Caseslist!B1139, dataICM!D:D, 0)), "INC"),
      "COMPLETE"
    )
  )</f>
        <v>COMPLETE</v>
      </c>
      <c r="G1139" s="10" t="str">
        <f t="array" ref="G1139">IF(IFERROR(INDEX(data!L:L,match(Caseslist!B1139,data!D:D,0)),"INC")="","COMPLETE",F1139)</f>
        <v>COMPLETE</v>
      </c>
      <c r="H1139" s="9" t="str">
        <f t="array" ref="H1139">IFERROR(INDEX(dataICM!F:F,match(Caseslist!B1139,dataICM!D:D,0)), "INC")</f>
        <v>INC</v>
      </c>
      <c r="I1139" s="10" t="str">
        <f t="shared" si="2"/>
        <v>D1284067</v>
      </c>
      <c r="J1139" s="9" t="str">
        <f t="array" ref="J1139">IF(
  AND(
    IFERROR(MATCH(B1139, data!D:D, 0), 0) &gt; 0,
    IFERROR(INDEX(data!N:N, MATCH(B1139, data!D:D, 0)) = 1, FALSE)
  ),
  INDEX(data!C:C, MATCH(B1139, data!D:D, 0)),
  "INC"
)</f>
        <v>2025-09-06T16:20:21.643+08</v>
      </c>
      <c r="K1139" s="9" t="str">
        <f t="array" ref="K1139">IFERROR(INDEX(dataICM!C:C,match(Caseslist!B1139,dataICM!D:D,0)), "INC")</f>
        <v>INC</v>
      </c>
      <c r="L1139" s="10" t="str">
        <f t="array" ref="L1139">IF(AND(G1139="COMPLETE", OR(K1139="INC", ISBLANK(INDEX(data!O:O, ROW())))), J1139, K1139)</f>
        <v>2025-09-06T16:20:21.643+08</v>
      </c>
      <c r="M1139" s="2">
        <v>45906.0</v>
      </c>
      <c r="N1139" s="2">
        <f t="array" ref="N1139">IF(M1139&lt;&gt;"INC", INDEX(data!M:M, MATCH(B1139, data!D:D, 0)), "")</f>
        <v>0</v>
      </c>
      <c r="O1139" s="2">
        <f t="shared" si="3"/>
        <v>0</v>
      </c>
    </row>
    <row r="1140">
      <c r="A1140" s="2" t="str">
        <f t="shared" si="1"/>
        <v>H030173</v>
      </c>
      <c r="B1140" s="1" t="s">
        <v>4437</v>
      </c>
      <c r="C1140" s="9" t="str">
        <f t="array" ref="C1140">IF(
  AND(
    IFERROR(MATCH(Caseslist!B1140, data!D:D, 0), 0) &gt; 0,
    IFERROR(INDEX(data!N:N, MATCH(Caseslist!B1140, data!D:D, 0)) = 1, FALSE)
  ),
  "COMPLETE",
  "INC"
)</f>
        <v>COMPLETE</v>
      </c>
      <c r="D1140" s="9" t="str">
        <f t="array" ref="D1140">IFERROR(INDEX(data!$G:$G,match(Caseslist!B1140,data!$D:$D,0)), "INC")</f>
        <v>B8193462</v>
      </c>
      <c r="E1140" s="9" t="str">
        <f t="array" ref="E1140">IFERROR(INDEX(data!H:H,match(Caseslist!B1140,data!D:D,0)), "INC")</f>
        <v>Mark Lorens Mendoza Gilongo</v>
      </c>
      <c r="F1140" s="10" t="str">
        <f t="array" ref="F1140">IF(
    OR(
      IFNA(INDEX(data!M:M, MATCH(Caseslist!B1140, data!D:D, 0)), "") = "",
      IFNA(INDEX(data!M:M, MATCH(Caseslist!B1140, data!D:D, 0)), 0) = 0
    ),
    "COMPLETE",
    IF(
      IFNA(INDEX(dataICM!D:D, MATCH(Caseslist!B1140, dataICM!D:D, 0)), "INC") = "INC",
      IFNA(INDEX(dataICM!D:D, MATCH(Caseslist!B1140, dataICM!D:D, 0)), "INC"),
      "COMPLETE"
    )
  )</f>
        <v>COMPLETE</v>
      </c>
      <c r="G1140" s="10" t="str">
        <f t="array" ref="G1140">IF(IFERROR(INDEX(data!L:L,match(Caseslist!B1140,data!D:D,0)),"INC")="","COMPLETE",F1140)</f>
        <v>COMPLETE</v>
      </c>
      <c r="H1140" s="9" t="str">
        <f t="array" ref="H1140">IFERROR(INDEX(dataICM!F:F,match(Caseslist!B1140,dataICM!D:D,0)), "INC")</f>
        <v>INC</v>
      </c>
      <c r="I1140" s="10" t="str">
        <f t="shared" si="2"/>
        <v>B8193462</v>
      </c>
      <c r="J1140" s="9" t="str">
        <f t="array" ref="J1140">IF(
  AND(
    IFERROR(MATCH(B1140, data!D:D, 0), 0) &gt; 0,
    IFERROR(INDEX(data!N:N, MATCH(B1140, data!D:D, 0)) = 1, FALSE)
  ),
  INDEX(data!C:C, MATCH(B1140, data!D:D, 0)),
  "INC"
)</f>
        <v>2025-09-08T16:26:43.037+08</v>
      </c>
      <c r="K1140" s="9" t="str">
        <f t="array" ref="K1140">IFERROR(INDEX(dataICM!C:C,match(Caseslist!B1140,dataICM!D:D,0)), "INC")</f>
        <v>INC</v>
      </c>
      <c r="L1140" s="10" t="str">
        <f t="array" ref="L1140">IF(AND(G1140="COMPLETE", OR(K1140="INC", ISBLANK(INDEX(data!O:O, ROW())))), J1140, K1140)</f>
        <v>2025-09-08T16:26:43.037+08</v>
      </c>
      <c r="M1140" s="2">
        <v>45908.0</v>
      </c>
      <c r="N1140" s="2">
        <f t="array" ref="N1140">IF(M1140&lt;&gt;"INC", INDEX(data!M:M, MATCH(B1140, data!D:D, 0)), "")</f>
        <v>0</v>
      </c>
      <c r="O1140" s="2">
        <f t="shared" si="3"/>
        <v>0</v>
      </c>
    </row>
    <row r="1141">
      <c r="A1141" s="2" t="str">
        <f t="shared" si="1"/>
        <v>H030173</v>
      </c>
      <c r="B1141" s="1" t="s">
        <v>4432</v>
      </c>
      <c r="C1141" s="9" t="str">
        <f t="array" ref="C1141">IF(
  AND(
    IFERROR(MATCH(Caseslist!B1141, data!D:D, 0), 0) &gt; 0,
    IFERROR(INDEX(data!N:N, MATCH(Caseslist!B1141, data!D:D, 0)) = 1, FALSE)
  ),
  "COMPLETE",
  "INC"
)</f>
        <v>COMPLETE</v>
      </c>
      <c r="D1141" s="9" t="str">
        <f t="array" ref="D1141">IFERROR(INDEX(data!$G:$G,match(Caseslist!B1141,data!$D:$D,0)), "INC")</f>
        <v>B8193462</v>
      </c>
      <c r="E1141" s="9" t="str">
        <f t="array" ref="E1141">IFERROR(INDEX(data!H:H,match(Caseslist!B1141,data!D:D,0)), "INC")</f>
        <v>Mark Lorens Mendoza Gilongo</v>
      </c>
      <c r="F1141" s="10" t="str">
        <f t="array" ref="F1141">IF(
    OR(
      IFNA(INDEX(data!M:M, MATCH(Caseslist!B1141, data!D:D, 0)), "") = "",
      IFNA(INDEX(data!M:M, MATCH(Caseslist!B1141, data!D:D, 0)), 0) = 0
    ),
    "COMPLETE",
    IF(
      IFNA(INDEX(dataICM!D:D, MATCH(Caseslist!B1141, dataICM!D:D, 0)), "INC") = "INC",
      IFNA(INDEX(dataICM!D:D, MATCH(Caseslist!B1141, dataICM!D:D, 0)), "INC"),
      "COMPLETE"
    )
  )</f>
        <v>COMPLETE</v>
      </c>
      <c r="G1141" s="10" t="str">
        <f t="array" ref="G1141">IF(IFERROR(INDEX(data!L:L,match(Caseslist!B1141,data!D:D,0)),"INC")="","COMPLETE",F1141)</f>
        <v>COMPLETE</v>
      </c>
      <c r="H1141" s="9" t="str">
        <f t="array" ref="H1141">IFERROR(INDEX(dataICM!F:F,match(Caseslist!B1141,dataICM!D:D,0)), "INC")</f>
        <v>INC</v>
      </c>
      <c r="I1141" s="10" t="str">
        <f t="shared" si="2"/>
        <v>B8193462</v>
      </c>
      <c r="J1141" s="9" t="str">
        <f t="array" ref="J1141">IF(
  AND(
    IFERROR(MATCH(B1141, data!D:D, 0), 0) &gt; 0,
    IFERROR(INDEX(data!N:N, MATCH(B1141, data!D:D, 0)) = 1, FALSE)
  ),
  INDEX(data!C:C, MATCH(B1141, data!D:D, 0)),
  "INC"
)</f>
        <v>2025-09-08T14:06:47.806+08</v>
      </c>
      <c r="K1141" s="9" t="str">
        <f t="array" ref="K1141">IFERROR(INDEX(dataICM!C:C,match(Caseslist!B1141,dataICM!D:D,0)), "INC")</f>
        <v>INC</v>
      </c>
      <c r="L1141" s="10" t="str">
        <f t="array" ref="L1141">IF(AND(G1141="COMPLETE", OR(K1141="INC", ISBLANK(INDEX(data!O:O, ROW())))), J1141, K1141)</f>
        <v>2025-09-08T14:06:47.806+08</v>
      </c>
      <c r="M1141" s="2">
        <v>45908.0</v>
      </c>
      <c r="N1141" s="2">
        <f t="array" ref="N1141">IF(M1141&lt;&gt;"INC", INDEX(data!M:M, MATCH(B1141, data!D:D, 0)), "")</f>
        <v>0</v>
      </c>
      <c r="O1141" s="2">
        <f t="shared" si="3"/>
        <v>0</v>
      </c>
    </row>
    <row r="1142">
      <c r="A1142" s="2" t="str">
        <f t="shared" si="1"/>
        <v>H030179</v>
      </c>
      <c r="B1142" s="1" t="s">
        <v>1782</v>
      </c>
      <c r="C1142" s="9" t="str">
        <f t="array" ref="C1142">IF(
  AND(
    IFERROR(MATCH(Caseslist!B1142, data!D:D, 0), 0) &gt; 0,
    IFERROR(INDEX(data!N:N, MATCH(Caseslist!B1142, data!D:D, 0)) = 1, FALSE)
  ),
  "COMPLETE",
  "INC"
)</f>
        <v>COMPLETE</v>
      </c>
      <c r="D1142" s="9" t="str">
        <f t="array" ref="D1142">IFERROR(INDEX(data!$G:$G,match(Caseslist!B1142,data!$D:$D,0)), "INC")</f>
        <v>P1068432</v>
      </c>
      <c r="E1142" s="9" t="str">
        <f t="array" ref="E1142">IFERROR(INDEX(data!H:H,match(Caseslist!B1142,data!D:D,0)), "INC")</f>
        <v>Mark Daniel Balagao Benson</v>
      </c>
      <c r="F1142" s="10" t="str">
        <f t="array" ref="F1142">IF(
    OR(
      IFNA(INDEX(data!M:M, MATCH(Caseslist!B1142, data!D:D, 0)), "") = "",
      IFNA(INDEX(data!M:M, MATCH(Caseslist!B1142, data!D:D, 0)), 0) = 0
    ),
    "COMPLETE",
    IF(
      IFNA(INDEX(dataICM!D:D, MATCH(Caseslist!B1142, dataICM!D:D, 0)), "INC") = "INC",
      IFNA(INDEX(dataICM!D:D, MATCH(Caseslist!B1142, dataICM!D:D, 0)), "INC"),
      "COMPLETE"
    )
  )</f>
        <v>COMPLETE</v>
      </c>
      <c r="G1142" s="10" t="str">
        <f t="array" ref="G1142">IF(IFERROR(INDEX(data!L:L,match(Caseslist!B1142,data!D:D,0)),"INC")="","COMPLETE",F1142)</f>
        <v>COMPLETE</v>
      </c>
      <c r="H1142" s="9" t="str">
        <f t="array" ref="H1142">IFERROR(INDEX(dataICM!F:F,match(Caseslist!B1142,dataICM!D:D,0)), "INC")</f>
        <v>INC</v>
      </c>
      <c r="I1142" s="10" t="str">
        <f t="shared" si="2"/>
        <v>P1068432</v>
      </c>
      <c r="J1142" s="9" t="str">
        <f t="array" ref="J1142">IF(
  AND(
    IFERROR(MATCH(B1142, data!D:D, 0), 0) &gt; 0,
    IFERROR(INDEX(data!N:N, MATCH(B1142, data!D:D, 0)) = 1, FALSE)
  ),
  INDEX(data!C:C, MATCH(B1142, data!D:D, 0)),
  "INC"
)</f>
        <v>2025-10-05T15:35:54.091+08</v>
      </c>
      <c r="K1142" s="9" t="str">
        <f t="array" ref="K1142">IFERROR(INDEX(dataICM!C:C,match(Caseslist!B1142,dataICM!D:D,0)), "INC")</f>
        <v>INC</v>
      </c>
      <c r="L1142" s="10" t="str">
        <f t="array" ref="L1142">IF(AND(G1142="COMPLETE", OR(K1142="INC", ISBLANK(INDEX(data!O:O, ROW())))), J1142, K1142)</f>
        <v>2025-10-05T15:35:54.091+08</v>
      </c>
      <c r="M1142" s="2">
        <v>45935.0</v>
      </c>
      <c r="N1142" s="2">
        <f t="array" ref="N1142">IF(M1142&lt;&gt;"INC", INDEX(data!M:M, MATCH(B1142, data!D:D, 0)), "")</f>
        <v>0</v>
      </c>
      <c r="O1142" s="2">
        <f t="shared" si="3"/>
        <v>0</v>
      </c>
    </row>
    <row r="1143">
      <c r="A1143" s="2" t="str">
        <f t="shared" si="1"/>
        <v>H030179</v>
      </c>
      <c r="B1143" s="1" t="s">
        <v>1787</v>
      </c>
      <c r="C1143" s="9" t="str">
        <f t="array" ref="C1143">IF(
  AND(
    IFERROR(MATCH(Caseslist!B1143, data!D:D, 0), 0) &gt; 0,
    IFERROR(INDEX(data!N:N, MATCH(Caseslist!B1143, data!D:D, 0)) = 1, FALSE)
  ),
  "COMPLETE",
  "INC"
)</f>
        <v>COMPLETE</v>
      </c>
      <c r="D1143" s="9" t="str">
        <f t="array" ref="D1143">IFERROR(INDEX(data!$G:$G,match(Caseslist!B1143,data!$D:$D,0)), "INC")</f>
        <v>N7814260</v>
      </c>
      <c r="E1143" s="9" t="str">
        <f t="array" ref="E1143">IFERROR(INDEX(data!H:H,match(Caseslist!B1143,data!D:D,0)), "INC")</f>
        <v>Jemma Marie Tillo</v>
      </c>
      <c r="F1143" s="10" t="str">
        <f t="array" ref="F1143">IF(
    OR(
      IFNA(INDEX(data!M:M, MATCH(Caseslist!B1143, data!D:D, 0)), "") = "",
      IFNA(INDEX(data!M:M, MATCH(Caseslist!B1143, data!D:D, 0)), 0) = 0
    ),
    "COMPLETE",
    IF(
      IFNA(INDEX(dataICM!D:D, MATCH(Caseslist!B1143, dataICM!D:D, 0)), "INC") = "INC",
      IFNA(INDEX(dataICM!D:D, MATCH(Caseslist!B1143, dataICM!D:D, 0)), "INC"),
      "COMPLETE"
    )
  )</f>
        <v>COMPLETE</v>
      </c>
      <c r="G1143" s="10" t="str">
        <f t="array" ref="G1143">IF(IFERROR(INDEX(data!L:L,match(Caseslist!B1143,data!D:D,0)),"INC")="","COMPLETE",F1143)</f>
        <v>COMPLETE</v>
      </c>
      <c r="H1143" s="9" t="str">
        <f t="array" ref="H1143">IFERROR(INDEX(dataICM!F:F,match(Caseslist!B1143,dataICM!D:D,0)), "INC")</f>
        <v>INC</v>
      </c>
      <c r="I1143" s="10" t="str">
        <f t="shared" si="2"/>
        <v>N7814260</v>
      </c>
      <c r="J1143" s="9" t="str">
        <f t="array" ref="J1143">IF(
  AND(
    IFERROR(MATCH(B1143, data!D:D, 0), 0) &gt; 0,
    IFERROR(INDEX(data!N:N, MATCH(B1143, data!D:D, 0)) = 1, FALSE)
  ),
  INDEX(data!C:C, MATCH(B1143, data!D:D, 0)),
  "INC"
)</f>
        <v>2025-08-30T10:09:40.106+08</v>
      </c>
      <c r="K1143" s="9" t="str">
        <f t="array" ref="K1143">IFERROR(INDEX(dataICM!C:C,match(Caseslist!B1143,dataICM!D:D,0)), "INC")</f>
        <v>INC</v>
      </c>
      <c r="L1143" s="10" t="str">
        <f t="array" ref="L1143">IF(AND(G1143="COMPLETE", OR(K1143="INC", ISBLANK(INDEX(data!O:O, ROW())))), J1143, K1143)</f>
        <v>2025-08-30T10:09:40.106+08</v>
      </c>
      <c r="M1143" s="2">
        <v>45899.0</v>
      </c>
      <c r="N1143" s="2">
        <f t="array" ref="N1143">IF(M1143&lt;&gt;"INC", INDEX(data!M:M, MATCH(B1143, data!D:D, 0)), "")</f>
        <v>0</v>
      </c>
      <c r="O1143" s="2">
        <f t="shared" si="3"/>
        <v>0</v>
      </c>
    </row>
    <row r="1144">
      <c r="A1144" s="2" t="str">
        <f t="shared" si="1"/>
        <v>H030179</v>
      </c>
      <c r="B1144" s="1" t="s">
        <v>1777</v>
      </c>
      <c r="C1144" s="9" t="str">
        <f t="array" ref="C1144">IF(
  AND(
    IFERROR(MATCH(Caseslist!B1144, data!D:D, 0), 0) &gt; 0,
    IFERROR(INDEX(data!N:N, MATCH(Caseslist!B1144, data!D:D, 0)) = 1, FALSE)
  ),
  "COMPLETE",
  "INC"
)</f>
        <v>COMPLETE</v>
      </c>
      <c r="D1144" s="9" t="str">
        <f t="array" ref="D1144">IFERROR(INDEX(data!$G:$G,match(Caseslist!B1144,data!$D:$D,0)), "INC")</f>
        <v>N7814260</v>
      </c>
      <c r="E1144" s="9" t="str">
        <f t="array" ref="E1144">IFERROR(INDEX(data!H:H,match(Caseslist!B1144,data!D:D,0)), "INC")</f>
        <v>Jemma Marie Tillo</v>
      </c>
      <c r="F1144" s="10" t="str">
        <f t="array" ref="F1144">IF(
    OR(
      IFNA(INDEX(data!M:M, MATCH(Caseslist!B1144, data!D:D, 0)), "") = "",
      IFNA(INDEX(data!M:M, MATCH(Caseslist!B1144, data!D:D, 0)), 0) = 0
    ),
    "COMPLETE",
    IF(
      IFNA(INDEX(dataICM!D:D, MATCH(Caseslist!B1144, dataICM!D:D, 0)), "INC") = "INC",
      IFNA(INDEX(dataICM!D:D, MATCH(Caseslist!B1144, dataICM!D:D, 0)), "INC"),
      "COMPLETE"
    )
  )</f>
        <v>COMPLETE</v>
      </c>
      <c r="G1144" s="10" t="str">
        <f t="array" ref="G1144">IF(IFERROR(INDEX(data!L:L,match(Caseslist!B1144,data!D:D,0)),"INC")="","COMPLETE",F1144)</f>
        <v>COMPLETE</v>
      </c>
      <c r="H1144" s="9" t="str">
        <f t="array" ref="H1144">IFERROR(INDEX(dataICM!F:F,match(Caseslist!B1144,dataICM!D:D,0)), "INC")</f>
        <v>INC</v>
      </c>
      <c r="I1144" s="10" t="str">
        <f t="shared" si="2"/>
        <v>N7814260</v>
      </c>
      <c r="J1144" s="9" t="str">
        <f t="array" ref="J1144">IF(
  AND(
    IFERROR(MATCH(B1144, data!D:D, 0), 0) &gt; 0,
    IFERROR(INDEX(data!N:N, MATCH(B1144, data!D:D, 0)) = 1, FALSE)
  ),
  INDEX(data!C:C, MATCH(B1144, data!D:D, 0)),
  "INC"
)</f>
        <v>2025-08-30T11:29:45.802+08</v>
      </c>
      <c r="K1144" s="9" t="str">
        <f t="array" ref="K1144">IFERROR(INDEX(dataICM!C:C,match(Caseslist!B1144,dataICM!D:D,0)), "INC")</f>
        <v>INC</v>
      </c>
      <c r="L1144" s="10" t="str">
        <f t="array" ref="L1144">IF(AND(G1144="COMPLETE", OR(K1144="INC", ISBLANK(INDEX(data!O:O, ROW())))), J1144, K1144)</f>
        <v>2025-08-30T11:29:45.802+08</v>
      </c>
      <c r="M1144" s="2">
        <v>45899.0</v>
      </c>
      <c r="N1144" s="2">
        <f t="array" ref="N1144">IF(M1144&lt;&gt;"INC", INDEX(data!M:M, MATCH(B1144, data!D:D, 0)), "")</f>
        <v>0</v>
      </c>
      <c r="O1144" s="2">
        <f t="shared" si="3"/>
        <v>0</v>
      </c>
    </row>
    <row r="1145">
      <c r="A1145" s="2" t="str">
        <f t="shared" si="1"/>
        <v>H030179</v>
      </c>
      <c r="B1145" s="1" t="s">
        <v>1757</v>
      </c>
      <c r="C1145" s="9" t="str">
        <f t="array" ref="C1145">IF(
  AND(
    IFERROR(MATCH(Caseslist!B1145, data!D:D, 0), 0) &gt; 0,
    IFERROR(INDEX(data!N:N, MATCH(Caseslist!B1145, data!D:D, 0)) = 1, FALSE)
  ),
  "COMPLETE",
  "INC"
)</f>
        <v>COMPLETE</v>
      </c>
      <c r="D1145" s="9" t="str">
        <f t="array" ref="D1145">IFERROR(INDEX(data!$G:$G,match(Caseslist!B1145,data!$D:$D,0)), "INC")</f>
        <v>O3925718</v>
      </c>
      <c r="E1145" s="9" t="str">
        <f t="array" ref="E1145">IFERROR(INDEX(data!H:H,match(Caseslist!B1145,data!D:D,0)), "INC")</f>
        <v>Adrian Montecastro Ferrer</v>
      </c>
      <c r="F1145" s="10" t="str">
        <f t="array" ref="F1145">IF(
    OR(
      IFNA(INDEX(data!M:M, MATCH(Caseslist!B1145, data!D:D, 0)), "") = "",
      IFNA(INDEX(data!M:M, MATCH(Caseslist!B1145, data!D:D, 0)), 0) = 0
    ),
    "COMPLETE",
    IF(
      IFNA(INDEX(dataICM!D:D, MATCH(Caseslist!B1145, dataICM!D:D, 0)), "INC") = "INC",
      IFNA(INDEX(dataICM!D:D, MATCH(Caseslist!B1145, dataICM!D:D, 0)), "INC"),
      "COMPLETE"
    )
  )</f>
        <v>COMPLETE</v>
      </c>
      <c r="G1145" s="10" t="str">
        <f t="array" ref="G1145">IF(IFERROR(INDEX(data!L:L,match(Caseslist!B1145,data!D:D,0)),"INC")="","COMPLETE",F1145)</f>
        <v>COMPLETE</v>
      </c>
      <c r="H1145" s="9" t="str">
        <f t="array" ref="H1145">IFERROR(INDEX(dataICM!F:F,match(Caseslist!B1145,dataICM!D:D,0)), "INC")</f>
        <v>INC</v>
      </c>
      <c r="I1145" s="10" t="str">
        <f t="shared" si="2"/>
        <v>O3925718</v>
      </c>
      <c r="J1145" s="9" t="str">
        <f t="array" ref="J1145">IF(
  AND(
    IFERROR(MATCH(B1145, data!D:D, 0), 0) &gt; 0,
    IFERROR(INDEX(data!N:N, MATCH(B1145, data!D:D, 0)) = 1, FALSE)
  ),
  INDEX(data!C:C, MATCH(B1145, data!D:D, 0)),
  "INC"
)</f>
        <v>2025-08-30T15:27:08.353+08</v>
      </c>
      <c r="K1145" s="9" t="str">
        <f t="array" ref="K1145">IFERROR(INDEX(dataICM!C:C,match(Caseslist!B1145,dataICM!D:D,0)), "INC")</f>
        <v>INC</v>
      </c>
      <c r="L1145" s="10" t="str">
        <f t="array" ref="L1145">IF(AND(G1145="COMPLETE", OR(K1145="INC", ISBLANK(INDEX(data!O:O, ROW())))), J1145, K1145)</f>
        <v>2025-08-30T15:27:08.353+08</v>
      </c>
      <c r="M1145" s="2">
        <v>45899.0</v>
      </c>
      <c r="N1145" s="2">
        <f t="array" ref="N1145">IF(M1145&lt;&gt;"INC", INDEX(data!M:M, MATCH(B1145, data!D:D, 0)), "")</f>
        <v>0</v>
      </c>
      <c r="O1145" s="2">
        <f t="shared" si="3"/>
        <v>0</v>
      </c>
    </row>
    <row r="1146">
      <c r="A1146" s="2" t="str">
        <f t="shared" si="1"/>
        <v>H030179</v>
      </c>
      <c r="B1146" s="1" t="s">
        <v>1988</v>
      </c>
      <c r="C1146" s="9" t="str">
        <f t="array" ref="C1146">IF(
  AND(
    IFERROR(MATCH(Caseslist!B1146, data!D:D, 0), 0) &gt; 0,
    IFERROR(INDEX(data!N:N, MATCH(Caseslist!B1146, data!D:D, 0)) = 1, FALSE)
  ),
  "COMPLETE",
  "INC"
)</f>
        <v>COMPLETE</v>
      </c>
      <c r="D1146" s="9" t="str">
        <f t="array" ref="D1146">IFERROR(INDEX(data!$G:$G,match(Caseslist!B1146,data!$D:$D,0)), "INC")</f>
        <v>P1068432</v>
      </c>
      <c r="E1146" s="9" t="str">
        <f t="array" ref="E1146">IFERROR(INDEX(data!H:H,match(Caseslist!B1146,data!D:D,0)), "INC")</f>
        <v>Mark Daniel Balagao Benson</v>
      </c>
      <c r="F1146" s="10" t="str">
        <f t="array" ref="F1146">IF(
    OR(
      IFNA(INDEX(data!M:M, MATCH(Caseslist!B1146, data!D:D, 0)), "") = "",
      IFNA(INDEX(data!M:M, MATCH(Caseslist!B1146, data!D:D, 0)), 0) = 0
    ),
    "COMPLETE",
    IF(
      IFNA(INDEX(dataICM!D:D, MATCH(Caseslist!B1146, dataICM!D:D, 0)), "INC") = "INC",
      IFNA(INDEX(dataICM!D:D, MATCH(Caseslist!B1146, dataICM!D:D, 0)), "INC"),
      "COMPLETE"
    )
  )</f>
        <v>COMPLETE</v>
      </c>
      <c r="G1146" s="10" t="str">
        <f t="array" ref="G1146">IF(IFERROR(INDEX(data!L:L,match(Caseslist!B1146,data!D:D,0)),"INC")="","COMPLETE",F1146)</f>
        <v>COMPLETE</v>
      </c>
      <c r="H1146" s="9" t="str">
        <f t="array" ref="H1146">IFERROR(INDEX(dataICM!F:F,match(Caseslist!B1146,dataICM!D:D,0)), "INC")</f>
        <v>INC</v>
      </c>
      <c r="I1146" s="10" t="str">
        <f t="shared" si="2"/>
        <v>P1068432</v>
      </c>
      <c r="J1146" s="9" t="str">
        <f t="array" ref="J1146">IF(
  AND(
    IFERROR(MATCH(B1146, data!D:D, 0), 0) &gt; 0,
    IFERROR(INDEX(data!N:N, MATCH(B1146, data!D:D, 0)) = 1, FALSE)
  ),
  INDEX(data!C:C, MATCH(B1146, data!D:D, 0)),
  "INC"
)</f>
        <v>2025-08-30T11:39:58.895+08</v>
      </c>
      <c r="K1146" s="9" t="str">
        <f t="array" ref="K1146">IFERROR(INDEX(dataICM!C:C,match(Caseslist!B1146,dataICM!D:D,0)), "INC")</f>
        <v>INC</v>
      </c>
      <c r="L1146" s="10" t="str">
        <f t="array" ref="L1146">IF(AND(G1146="COMPLETE", OR(K1146="INC", ISBLANK(INDEX(data!O:O, ROW())))), J1146, K1146)</f>
        <v>2025-08-30T11:39:58.895+08</v>
      </c>
      <c r="M1146" s="2">
        <v>45899.0</v>
      </c>
      <c r="N1146" s="2">
        <f t="array" ref="N1146">IF(M1146&lt;&gt;"INC", INDEX(data!M:M, MATCH(B1146, data!D:D, 0)), "")</f>
        <v>0</v>
      </c>
      <c r="O1146" s="2">
        <f t="shared" si="3"/>
        <v>0</v>
      </c>
    </row>
    <row r="1147">
      <c r="A1147" s="2" t="str">
        <f t="shared" si="1"/>
        <v>H030179</v>
      </c>
      <c r="B1147" s="1" t="s">
        <v>1752</v>
      </c>
      <c r="C1147" s="9" t="str">
        <f t="array" ref="C1147">IF(
  AND(
    IFERROR(MATCH(Caseslist!B1147, data!D:D, 0), 0) &gt; 0,
    IFERROR(INDEX(data!N:N, MATCH(Caseslist!B1147, data!D:D, 0)) = 1, FALSE)
  ),
  "COMPLETE",
  "INC"
)</f>
        <v>COMPLETE</v>
      </c>
      <c r="D1147" s="9" t="str">
        <f t="array" ref="D1147">IFERROR(INDEX(data!$G:$G,match(Caseslist!B1147,data!$D:$D,0)), "INC")</f>
        <v>P1068432</v>
      </c>
      <c r="E1147" s="9" t="str">
        <f t="array" ref="E1147">IFERROR(INDEX(data!H:H,match(Caseslist!B1147,data!D:D,0)), "INC")</f>
        <v>Mark Daniel Balagao Benson</v>
      </c>
      <c r="F1147" s="10" t="str">
        <f t="array" ref="F1147">IF(
    OR(
      IFNA(INDEX(data!M:M, MATCH(Caseslist!B1147, data!D:D, 0)), "") = "",
      IFNA(INDEX(data!M:M, MATCH(Caseslist!B1147, data!D:D, 0)), 0) = 0
    ),
    "COMPLETE",
    IF(
      IFNA(INDEX(dataICM!D:D, MATCH(Caseslist!B1147, dataICM!D:D, 0)), "INC") = "INC",
      IFNA(INDEX(dataICM!D:D, MATCH(Caseslist!B1147, dataICM!D:D, 0)), "INC"),
      "COMPLETE"
    )
  )</f>
        <v>COMPLETE</v>
      </c>
      <c r="G1147" s="10" t="str">
        <f t="array" ref="G1147">IF(IFERROR(INDEX(data!L:L,match(Caseslist!B1147,data!D:D,0)),"INC")="","COMPLETE",F1147)</f>
        <v>COMPLETE</v>
      </c>
      <c r="H1147" s="9" t="str">
        <f t="array" ref="H1147">IFERROR(INDEX(dataICM!F:F,match(Caseslist!B1147,dataICM!D:D,0)), "INC")</f>
        <v>INC</v>
      </c>
      <c r="I1147" s="10" t="str">
        <f t="shared" si="2"/>
        <v>P1068432</v>
      </c>
      <c r="J1147" s="9" t="str">
        <f t="array" ref="J1147">IF(
  AND(
    IFERROR(MATCH(B1147, data!D:D, 0), 0) &gt; 0,
    IFERROR(INDEX(data!N:N, MATCH(B1147, data!D:D, 0)) = 1, FALSE)
  ),
  INDEX(data!C:C, MATCH(B1147, data!D:D, 0)),
  "INC"
)</f>
        <v>2025-10-05T11:33:04.098+08</v>
      </c>
      <c r="K1147" s="9" t="str">
        <f t="array" ref="K1147">IFERROR(INDEX(dataICM!C:C,match(Caseslist!B1147,dataICM!D:D,0)), "INC")</f>
        <v>INC</v>
      </c>
      <c r="L1147" s="10" t="str">
        <f t="array" ref="L1147">IF(AND(G1147="COMPLETE", OR(K1147="INC", ISBLANK(INDEX(data!O:O, ROW())))), J1147, K1147)</f>
        <v>2025-10-05T11:33:04.098+08</v>
      </c>
      <c r="M1147" s="2">
        <v>45935.0</v>
      </c>
      <c r="N1147" s="2">
        <f t="array" ref="N1147">IF(M1147&lt;&gt;"INC", INDEX(data!M:M, MATCH(B1147, data!D:D, 0)), "")</f>
        <v>0</v>
      </c>
      <c r="O1147" s="2">
        <f t="shared" si="3"/>
        <v>0</v>
      </c>
    </row>
    <row r="1148">
      <c r="A1148" s="2" t="str">
        <f t="shared" si="1"/>
        <v>H030179</v>
      </c>
      <c r="B1148" s="1" t="s">
        <v>1792</v>
      </c>
      <c r="C1148" s="9" t="str">
        <f t="array" ref="C1148">IF(
  AND(
    IFERROR(MATCH(Caseslist!B1148, data!D:D, 0), 0) &gt; 0,
    IFERROR(INDEX(data!N:N, MATCH(Caseslist!B1148, data!D:D, 0)) = 1, FALSE)
  ),
  "COMPLETE",
  "INC"
)</f>
        <v>COMPLETE</v>
      </c>
      <c r="D1148" s="9" t="str">
        <f t="array" ref="D1148">IFERROR(INDEX(data!$G:$G,match(Caseslist!B1148,data!$D:$D,0)), "INC")</f>
        <v>N7814260</v>
      </c>
      <c r="E1148" s="9" t="str">
        <f t="array" ref="E1148">IFERROR(INDEX(data!H:H,match(Caseslist!B1148,data!D:D,0)), "INC")</f>
        <v>Jemma Marie Tillo</v>
      </c>
      <c r="F1148" s="10" t="str">
        <f t="array" ref="F1148">IF(
    OR(
      IFNA(INDEX(data!M:M, MATCH(Caseslist!B1148, data!D:D, 0)), "") = "",
      IFNA(INDEX(data!M:M, MATCH(Caseslist!B1148, data!D:D, 0)), 0) = 0
    ),
    "COMPLETE",
    IF(
      IFNA(INDEX(dataICM!D:D, MATCH(Caseslist!B1148, dataICM!D:D, 0)), "INC") = "INC",
      IFNA(INDEX(dataICM!D:D, MATCH(Caseslist!B1148, dataICM!D:D, 0)), "INC"),
      "COMPLETE"
    )
  )</f>
        <v>COMPLETE</v>
      </c>
      <c r="G1148" s="10" t="str">
        <f t="array" ref="G1148">IF(IFERROR(INDEX(data!L:L,match(Caseslist!B1148,data!D:D,0)),"INC")="","COMPLETE",F1148)</f>
        <v>COMPLETE</v>
      </c>
      <c r="H1148" s="9" t="str">
        <f t="array" ref="H1148">IFERROR(INDEX(dataICM!F:F,match(Caseslist!B1148,dataICM!D:D,0)), "INC")</f>
        <v>INC</v>
      </c>
      <c r="I1148" s="10" t="str">
        <f t="shared" si="2"/>
        <v>N7814260</v>
      </c>
      <c r="J1148" s="9" t="str">
        <f t="array" ref="J1148">IF(
  AND(
    IFERROR(MATCH(B1148, data!D:D, 0), 0) &gt; 0,
    IFERROR(INDEX(data!N:N, MATCH(B1148, data!D:D, 0)) = 1, FALSE)
  ),
  INDEX(data!C:C, MATCH(B1148, data!D:D, 0)),
  "INC"
)</f>
        <v>2025-08-30T13:12:39.820+08</v>
      </c>
      <c r="K1148" s="9" t="str">
        <f t="array" ref="K1148">IFERROR(INDEX(dataICM!C:C,match(Caseslist!B1148,dataICM!D:D,0)), "INC")</f>
        <v>INC</v>
      </c>
      <c r="L1148" s="10" t="str">
        <f t="array" ref="L1148">IF(AND(G1148="COMPLETE", OR(K1148="INC", ISBLANK(INDEX(data!O:O, ROW())))), J1148, K1148)</f>
        <v>2025-08-30T13:12:39.820+08</v>
      </c>
      <c r="M1148" s="2">
        <v>45899.0</v>
      </c>
      <c r="N1148" s="2">
        <f t="array" ref="N1148">IF(M1148&lt;&gt;"INC", INDEX(data!M:M, MATCH(B1148, data!D:D, 0)), "")</f>
        <v>0</v>
      </c>
      <c r="O1148" s="2">
        <f t="shared" si="3"/>
        <v>0</v>
      </c>
    </row>
    <row r="1149">
      <c r="A1149" s="2" t="str">
        <f t="shared" si="1"/>
        <v>H030179</v>
      </c>
      <c r="B1149" s="1" t="s">
        <v>1978</v>
      </c>
      <c r="C1149" s="9" t="str">
        <f t="array" ref="C1149">IF(
  AND(
    IFERROR(MATCH(Caseslist!B1149, data!D:D, 0), 0) &gt; 0,
    IFERROR(INDEX(data!N:N, MATCH(Caseslist!B1149, data!D:D, 0)) = 1, FALSE)
  ),
  "COMPLETE",
  "INC"
)</f>
        <v>COMPLETE</v>
      </c>
      <c r="D1149" s="9" t="str">
        <f t="array" ref="D1149">IFERROR(INDEX(data!$G:$G,match(Caseslist!B1149,data!$D:$D,0)), "INC")</f>
        <v>P1068432</v>
      </c>
      <c r="E1149" s="9" t="str">
        <f t="array" ref="E1149">IFERROR(INDEX(data!H:H,match(Caseslist!B1149,data!D:D,0)), "INC")</f>
        <v>Mark Daniel Balagao Benson</v>
      </c>
      <c r="F1149" s="10" t="str">
        <f t="array" ref="F1149">IF(
    OR(
      IFNA(INDEX(data!M:M, MATCH(Caseslist!B1149, data!D:D, 0)), "") = "",
      IFNA(INDEX(data!M:M, MATCH(Caseslist!B1149, data!D:D, 0)), 0) = 0
    ),
    "COMPLETE",
    IF(
      IFNA(INDEX(dataICM!D:D, MATCH(Caseslist!B1149, dataICM!D:D, 0)), "INC") = "INC",
      IFNA(INDEX(dataICM!D:D, MATCH(Caseslist!B1149, dataICM!D:D, 0)), "INC"),
      "COMPLETE"
    )
  )</f>
        <v>COMPLETE</v>
      </c>
      <c r="G1149" s="10" t="str">
        <f t="array" ref="G1149">IF(IFERROR(INDEX(data!L:L,match(Caseslist!B1149,data!D:D,0)),"INC")="","COMPLETE",F1149)</f>
        <v>COMPLETE</v>
      </c>
      <c r="H1149" s="9" t="str">
        <f t="array" ref="H1149">IFERROR(INDEX(dataICM!F:F,match(Caseslist!B1149,dataICM!D:D,0)), "INC")</f>
        <v>INC</v>
      </c>
      <c r="I1149" s="10" t="str">
        <f t="shared" si="2"/>
        <v>P1068432</v>
      </c>
      <c r="J1149" s="9" t="str">
        <f t="array" ref="J1149">IF(
  AND(
    IFERROR(MATCH(B1149, data!D:D, 0), 0) &gt; 0,
    IFERROR(INDEX(data!N:N, MATCH(B1149, data!D:D, 0)) = 1, FALSE)
  ),
  INDEX(data!C:C, MATCH(B1149, data!D:D, 0)),
  "INC"
)</f>
        <v>2025-08-30T10:12:15.753+08</v>
      </c>
      <c r="K1149" s="9" t="str">
        <f t="array" ref="K1149">IFERROR(INDEX(dataICM!C:C,match(Caseslist!B1149,dataICM!D:D,0)), "INC")</f>
        <v>INC</v>
      </c>
      <c r="L1149" s="10" t="str">
        <f t="array" ref="L1149">IF(AND(G1149="COMPLETE", OR(K1149="INC", ISBLANK(INDEX(data!O:O, ROW())))), J1149, K1149)</f>
        <v>2025-08-30T10:12:15.753+08</v>
      </c>
      <c r="M1149" s="2">
        <v>45899.0</v>
      </c>
      <c r="N1149" s="2">
        <f t="array" ref="N1149">IF(M1149&lt;&gt;"INC", INDEX(data!M:M, MATCH(B1149, data!D:D, 0)), "")</f>
        <v>0</v>
      </c>
      <c r="O1149" s="2">
        <f t="shared" si="3"/>
        <v>0</v>
      </c>
    </row>
    <row r="1150">
      <c r="A1150" s="2" t="str">
        <f t="shared" si="1"/>
        <v>H030179</v>
      </c>
      <c r="B1150" s="1" t="s">
        <v>1998</v>
      </c>
      <c r="C1150" s="9" t="str">
        <f t="array" ref="C1150">IF(
  AND(
    IFERROR(MATCH(Caseslist!B1150, data!D:D, 0), 0) &gt; 0,
    IFERROR(INDEX(data!N:N, MATCH(Caseslist!B1150, data!D:D, 0)) = 1, FALSE)
  ),
  "COMPLETE",
  "INC"
)</f>
        <v>INC</v>
      </c>
      <c r="D1150" s="9" t="str">
        <f t="array" ref="D1150">IFERROR(INDEX(data!$G:$G,match(Caseslist!B1150,data!$D:$D,0)), "INC")</f>
        <v>P1068432</v>
      </c>
      <c r="E1150" s="9" t="str">
        <f t="array" ref="E1150">IFERROR(INDEX(data!H:H,match(Caseslist!B1150,data!D:D,0)), "INC")</f>
        <v>Mark Daniel Balagao Benson</v>
      </c>
      <c r="F1150" s="10" t="str">
        <f t="array" ref="F1150">IF(
    OR(
      IFNA(INDEX(data!M:M, MATCH(Caseslist!B1150, data!D:D, 0)), "") = "",
      IFNA(INDEX(data!M:M, MATCH(Caseslist!B1150, data!D:D, 0)), 0) = 0
    ),
    "COMPLETE",
    IF(
      IFNA(INDEX(dataICM!D:D, MATCH(Caseslist!B1150, dataICM!D:D, 0)), "INC") = "INC",
      IFNA(INDEX(dataICM!D:D, MATCH(Caseslist!B1150, dataICM!D:D, 0)), "INC"),
      "COMPLETE"
    )
  )</f>
        <v>COMPLETE</v>
      </c>
      <c r="G1150" s="10" t="str">
        <f t="array" ref="G1150">IF(IFERROR(INDEX(data!L:L,match(Caseslist!B1150,data!D:D,0)),"INC")="","COMPLETE",F1150)</f>
        <v>COMPLETE</v>
      </c>
      <c r="H1150" s="9" t="str">
        <f t="array" ref="H1150">IFERROR(INDEX(dataICM!F:F,match(Caseslist!B1150,dataICM!D:D,0)), "INC")</f>
        <v>INC</v>
      </c>
      <c r="I1150" s="10" t="str">
        <f t="shared" si="2"/>
        <v>P1068432</v>
      </c>
      <c r="J1150" s="9" t="str">
        <f t="array" ref="J1150">IF(
  AND(
    IFERROR(MATCH(B1150, data!D:D, 0), 0) &gt; 0,
    IFERROR(INDEX(data!N:N, MATCH(B1150, data!D:D, 0)) = 1, FALSE)
  ),
  INDEX(data!C:C, MATCH(B1150, data!D:D, 0)),
  "INC"
)</f>
        <v>INC</v>
      </c>
      <c r="K1150" s="9" t="str">
        <f t="array" ref="K1150">IFERROR(INDEX(dataICM!C:C,match(Caseslist!B1150,dataICM!D:D,0)), "INC")</f>
        <v>INC</v>
      </c>
      <c r="L1150" s="10" t="str">
        <f t="array" ref="L1150">IF(AND(G1150="COMPLETE", OR(K1150="INC", ISBLANK(INDEX(data!O:O, ROW())))), J1150, K1150)</f>
        <v>INC</v>
      </c>
      <c r="M1150" s="2" t="s">
        <v>8886</v>
      </c>
      <c r="N1150" s="2" t="str">
        <f t="array" ref="N1150">IF(M1150&lt;&gt;"INC", INDEX(data!M:M, MATCH(B1150, data!D:D, 0)), "")</f>
        <v/>
      </c>
      <c r="O1150" s="2" t="str">
        <f t="shared" si="3"/>
        <v/>
      </c>
    </row>
    <row r="1151">
      <c r="A1151" s="2" t="str">
        <f t="shared" si="1"/>
        <v>H030179</v>
      </c>
      <c r="B1151" s="1" t="s">
        <v>1772</v>
      </c>
      <c r="C1151" s="9" t="str">
        <f t="array" ref="C1151">IF(
  AND(
    IFERROR(MATCH(Caseslist!B1151, data!D:D, 0), 0) &gt; 0,
    IFERROR(INDEX(data!N:N, MATCH(Caseslist!B1151, data!D:D, 0)) = 1, FALSE)
  ),
  "COMPLETE",
  "INC"
)</f>
        <v>COMPLETE</v>
      </c>
      <c r="D1151" s="9" t="str">
        <f t="array" ref="D1151">IFERROR(INDEX(data!$G:$G,match(Caseslist!B1151,data!$D:$D,0)), "INC")</f>
        <v>O3925718</v>
      </c>
      <c r="E1151" s="9" t="str">
        <f t="array" ref="E1151">IFERROR(INDEX(data!H:H,match(Caseslist!B1151,data!D:D,0)), "INC")</f>
        <v>Adrian Montecastro Ferrer</v>
      </c>
      <c r="F1151" s="10" t="str">
        <f t="array" ref="F1151">IF(
    OR(
      IFNA(INDEX(data!M:M, MATCH(Caseslist!B1151, data!D:D, 0)), "") = "",
      IFNA(INDEX(data!M:M, MATCH(Caseslist!B1151, data!D:D, 0)), 0) = 0
    ),
    "COMPLETE",
    IF(
      IFNA(INDEX(dataICM!D:D, MATCH(Caseslist!B1151, dataICM!D:D, 0)), "INC") = "INC",
      IFNA(INDEX(dataICM!D:D, MATCH(Caseslist!B1151, dataICM!D:D, 0)), "INC"),
      "COMPLETE"
    )
  )</f>
        <v>COMPLETE</v>
      </c>
      <c r="G1151" s="10" t="str">
        <f t="array" ref="G1151">IF(IFERROR(INDEX(data!L:L,match(Caseslist!B1151,data!D:D,0)),"INC")="","COMPLETE",F1151)</f>
        <v>COMPLETE</v>
      </c>
      <c r="H1151" s="9" t="str">
        <f t="array" ref="H1151">IFERROR(INDEX(dataICM!F:F,match(Caseslist!B1151,dataICM!D:D,0)), "INC")</f>
        <v>INC</v>
      </c>
      <c r="I1151" s="10" t="str">
        <f t="shared" si="2"/>
        <v>O3925718</v>
      </c>
      <c r="J1151" s="9" t="str">
        <f t="array" ref="J1151">IF(
  AND(
    IFERROR(MATCH(B1151, data!D:D, 0), 0) &gt; 0,
    IFERROR(INDEX(data!N:N, MATCH(B1151, data!D:D, 0)) = 1, FALSE)
  ),
  INDEX(data!C:C, MATCH(B1151, data!D:D, 0)),
  "INC"
)</f>
        <v>2025-08-30T12:22:45.355+08</v>
      </c>
      <c r="K1151" s="9" t="str">
        <f t="array" ref="K1151">IFERROR(INDEX(dataICM!C:C,match(Caseslist!B1151,dataICM!D:D,0)), "INC")</f>
        <v>INC</v>
      </c>
      <c r="L1151" s="10" t="str">
        <f t="array" ref="L1151">IF(AND(G1151="COMPLETE", OR(K1151="INC", ISBLANK(INDEX(data!O:O, ROW())))), J1151, K1151)</f>
        <v>2025-08-30T12:22:45.355+08</v>
      </c>
      <c r="M1151" s="2">
        <v>45899.0</v>
      </c>
      <c r="N1151" s="2">
        <f t="array" ref="N1151">IF(M1151&lt;&gt;"INC", INDEX(data!M:M, MATCH(B1151, data!D:D, 0)), "")</f>
        <v>0</v>
      </c>
      <c r="O1151" s="2">
        <f t="shared" si="3"/>
        <v>0</v>
      </c>
    </row>
    <row r="1152">
      <c r="A1152" s="2" t="str">
        <f t="shared" si="1"/>
        <v>H030179</v>
      </c>
      <c r="B1152" s="1" t="s">
        <v>1983</v>
      </c>
      <c r="C1152" s="9" t="str">
        <f t="array" ref="C1152">IF(
  AND(
    IFERROR(MATCH(Caseslist!B1152, data!D:D, 0), 0) &gt; 0,
    IFERROR(INDEX(data!N:N, MATCH(Caseslist!B1152, data!D:D, 0)) = 1, FALSE)
  ),
  "COMPLETE",
  "INC"
)</f>
        <v>COMPLETE</v>
      </c>
      <c r="D1152" s="9" t="str">
        <f t="array" ref="D1152">IFERROR(INDEX(data!$G:$G,match(Caseslist!B1152,data!$D:$D,0)), "INC")</f>
        <v>P1068432</v>
      </c>
      <c r="E1152" s="9" t="str">
        <f t="array" ref="E1152">IFERROR(INDEX(data!H:H,match(Caseslist!B1152,data!D:D,0)), "INC")</f>
        <v>Mark Daniel Balagao Benson</v>
      </c>
      <c r="F1152" s="10" t="str">
        <f t="array" ref="F1152">IF(
    OR(
      IFNA(INDEX(data!M:M, MATCH(Caseslist!B1152, data!D:D, 0)), "") = "",
      IFNA(INDEX(data!M:M, MATCH(Caseslist!B1152, data!D:D, 0)), 0) = 0
    ),
    "COMPLETE",
    IF(
      IFNA(INDEX(dataICM!D:D, MATCH(Caseslist!B1152, dataICM!D:D, 0)), "INC") = "INC",
      IFNA(INDEX(dataICM!D:D, MATCH(Caseslist!B1152, dataICM!D:D, 0)), "INC"),
      "COMPLETE"
    )
  )</f>
        <v>COMPLETE</v>
      </c>
      <c r="G1152" s="10" t="str">
        <f t="array" ref="G1152">IF(IFERROR(INDEX(data!L:L,match(Caseslist!B1152,data!D:D,0)),"INC")="","COMPLETE",F1152)</f>
        <v>COMPLETE</v>
      </c>
      <c r="H1152" s="9" t="str">
        <f t="array" ref="H1152">IFERROR(INDEX(dataICM!F:F,match(Caseslist!B1152,dataICM!D:D,0)), "INC")</f>
        <v>INC</v>
      </c>
      <c r="I1152" s="10" t="str">
        <f t="shared" si="2"/>
        <v>P1068432</v>
      </c>
      <c r="J1152" s="9" t="str">
        <f t="array" ref="J1152">IF(
  AND(
    IFERROR(MATCH(B1152, data!D:D, 0), 0) &gt; 0,
    IFERROR(INDEX(data!N:N, MATCH(B1152, data!D:D, 0)) = 1, FALSE)
  ),
  INDEX(data!C:C, MATCH(B1152, data!D:D, 0)),
  "INC"
)</f>
        <v>2025-08-30T14:13:04.530+08</v>
      </c>
      <c r="K1152" s="9" t="str">
        <f t="array" ref="K1152">IFERROR(INDEX(dataICM!C:C,match(Caseslist!B1152,dataICM!D:D,0)), "INC")</f>
        <v>INC</v>
      </c>
      <c r="L1152" s="10" t="str">
        <f t="array" ref="L1152">IF(AND(G1152="COMPLETE", OR(K1152="INC", ISBLANK(INDEX(data!O:O, ROW())))), J1152, K1152)</f>
        <v>2025-08-30T14:13:04.530+08</v>
      </c>
      <c r="M1152" s="2">
        <v>45899.0</v>
      </c>
      <c r="N1152" s="2">
        <f t="array" ref="N1152">IF(M1152&lt;&gt;"INC", INDEX(data!M:M, MATCH(B1152, data!D:D, 0)), "")</f>
        <v>0</v>
      </c>
      <c r="O1152" s="2">
        <f t="shared" si="3"/>
        <v>0</v>
      </c>
    </row>
    <row r="1153">
      <c r="A1153" s="2" t="str">
        <f t="shared" si="1"/>
        <v>H030179</v>
      </c>
      <c r="B1153" s="1" t="s">
        <v>1762</v>
      </c>
      <c r="C1153" s="9" t="str">
        <f t="array" ref="C1153">IF(
  AND(
    IFERROR(MATCH(Caseslist!B1153, data!D:D, 0), 0) &gt; 0,
    IFERROR(INDEX(data!N:N, MATCH(Caseslist!B1153, data!D:D, 0)) = 1, FALSE)
  ),
  "COMPLETE",
  "INC"
)</f>
        <v>COMPLETE</v>
      </c>
      <c r="D1153" s="9" t="str">
        <f t="array" ref="D1153">IFERROR(INDEX(data!$G:$G,match(Caseslist!B1153,data!$D:$D,0)), "INC")</f>
        <v>O3925718</v>
      </c>
      <c r="E1153" s="9" t="str">
        <f t="array" ref="E1153">IFERROR(INDEX(data!H:H,match(Caseslist!B1153,data!D:D,0)), "INC")</f>
        <v>Adrian Montecastro Ferrer</v>
      </c>
      <c r="F1153" s="10" t="str">
        <f t="array" ref="F1153">IF(
    OR(
      IFNA(INDEX(data!M:M, MATCH(Caseslist!B1153, data!D:D, 0)), "") = "",
      IFNA(INDEX(data!M:M, MATCH(Caseslist!B1153, data!D:D, 0)), 0) = 0
    ),
    "COMPLETE",
    IF(
      IFNA(INDEX(dataICM!D:D, MATCH(Caseslist!B1153, dataICM!D:D, 0)), "INC") = "INC",
      IFNA(INDEX(dataICM!D:D, MATCH(Caseslist!B1153, dataICM!D:D, 0)), "INC"),
      "COMPLETE"
    )
  )</f>
        <v>COMPLETE</v>
      </c>
      <c r="G1153" s="10" t="str">
        <f t="array" ref="G1153">IF(IFERROR(INDEX(data!L:L,match(Caseslist!B1153,data!D:D,0)),"INC")="","COMPLETE",F1153)</f>
        <v>COMPLETE</v>
      </c>
      <c r="H1153" s="9" t="str">
        <f t="array" ref="H1153">IFERROR(INDEX(dataICM!F:F,match(Caseslist!B1153,dataICM!D:D,0)), "INC")</f>
        <v>INC</v>
      </c>
      <c r="I1153" s="10" t="str">
        <f t="shared" si="2"/>
        <v>O3925718</v>
      </c>
      <c r="J1153" s="9" t="str">
        <f t="array" ref="J1153">IF(
  AND(
    IFERROR(MATCH(B1153, data!D:D, 0), 0) &gt; 0,
    IFERROR(INDEX(data!N:N, MATCH(B1153, data!D:D, 0)) = 1, FALSE)
  ),
  INDEX(data!C:C, MATCH(B1153, data!D:D, 0)),
  "INC"
)</f>
        <v>2025-08-30T09:35:47.039+08</v>
      </c>
      <c r="K1153" s="9" t="str">
        <f t="array" ref="K1153">IFERROR(INDEX(dataICM!C:C,match(Caseslist!B1153,dataICM!D:D,0)), "INC")</f>
        <v>INC</v>
      </c>
      <c r="L1153" s="10" t="str">
        <f t="array" ref="L1153">IF(AND(G1153="COMPLETE", OR(K1153="INC", ISBLANK(INDEX(data!O:O, ROW())))), J1153, K1153)</f>
        <v>2025-08-30T09:35:47.039+08</v>
      </c>
      <c r="M1153" s="2">
        <v>45899.0</v>
      </c>
      <c r="N1153" s="2">
        <f t="array" ref="N1153">IF(M1153&lt;&gt;"INC", INDEX(data!M:M, MATCH(B1153, data!D:D, 0)), "")</f>
        <v>0</v>
      </c>
      <c r="O1153" s="2">
        <f t="shared" si="3"/>
        <v>0</v>
      </c>
    </row>
    <row r="1154">
      <c r="A1154" s="2" t="str">
        <f t="shared" si="1"/>
        <v>H030179</v>
      </c>
      <c r="B1154" s="1" t="s">
        <v>1993</v>
      </c>
      <c r="C1154" s="9" t="str">
        <f t="array" ref="C1154">IF(
  AND(
    IFERROR(MATCH(Caseslist!B1154, data!D:D, 0), 0) &gt; 0,
    IFERROR(INDEX(data!N:N, MATCH(Caseslist!B1154, data!D:D, 0)) = 1, FALSE)
  ),
  "COMPLETE",
  "INC"
)</f>
        <v>COMPLETE</v>
      </c>
      <c r="D1154" s="9" t="str">
        <f t="array" ref="D1154">IFERROR(INDEX(data!$G:$G,match(Caseslist!B1154,data!$D:$D,0)), "INC")</f>
        <v>P1068432</v>
      </c>
      <c r="E1154" s="9" t="str">
        <f t="array" ref="E1154">IFERROR(INDEX(data!H:H,match(Caseslist!B1154,data!D:D,0)), "INC")</f>
        <v>Mark Daniel Balagao Benson</v>
      </c>
      <c r="F1154" s="10" t="str">
        <f t="array" ref="F1154">IF(
    OR(
      IFNA(INDEX(data!M:M, MATCH(Caseslist!B1154, data!D:D, 0)), "") = "",
      IFNA(INDEX(data!M:M, MATCH(Caseslist!B1154, data!D:D, 0)), 0) = 0
    ),
    "COMPLETE",
    IF(
      IFNA(INDEX(dataICM!D:D, MATCH(Caseslist!B1154, dataICM!D:D, 0)), "INC") = "INC",
      IFNA(INDEX(dataICM!D:D, MATCH(Caseslist!B1154, dataICM!D:D, 0)), "INC"),
      "COMPLETE"
    )
  )</f>
        <v>COMPLETE</v>
      </c>
      <c r="G1154" s="10" t="str">
        <f t="array" ref="G1154">IF(IFERROR(INDEX(data!L:L,match(Caseslist!B1154,data!D:D,0)),"INC")="","COMPLETE",F1154)</f>
        <v>COMPLETE</v>
      </c>
      <c r="H1154" s="9" t="str">
        <f t="array" ref="H1154">IFERROR(INDEX(dataICM!F:F,match(Caseslist!B1154,dataICM!D:D,0)), "INC")</f>
        <v>INC</v>
      </c>
      <c r="I1154" s="10" t="str">
        <f t="shared" si="2"/>
        <v>P1068432</v>
      </c>
      <c r="J1154" s="9" t="str">
        <f t="array" ref="J1154">IF(
  AND(
    IFERROR(MATCH(B1154, data!D:D, 0), 0) &gt; 0,
    IFERROR(INDEX(data!N:N, MATCH(B1154, data!D:D, 0)) = 1, FALSE)
  ),
  INDEX(data!C:C, MATCH(B1154, data!D:D, 0)),
  "INC"
)</f>
        <v>2025-10-05T10:08:22.821+08</v>
      </c>
      <c r="K1154" s="9" t="str">
        <f t="array" ref="K1154">IFERROR(INDEX(dataICM!C:C,match(Caseslist!B1154,dataICM!D:D,0)), "INC")</f>
        <v>INC</v>
      </c>
      <c r="L1154" s="10" t="str">
        <f t="array" ref="L1154">IF(AND(G1154="COMPLETE", OR(K1154="INC", ISBLANK(INDEX(data!O:O, ROW())))), J1154, K1154)</f>
        <v>2025-10-05T10:08:22.821+08</v>
      </c>
      <c r="M1154" s="2">
        <v>45935.0</v>
      </c>
      <c r="N1154" s="2">
        <f t="array" ref="N1154">IF(M1154&lt;&gt;"INC", INDEX(data!M:M, MATCH(B1154, data!D:D, 0)), "")</f>
        <v>0</v>
      </c>
      <c r="O1154" s="2">
        <f t="shared" si="3"/>
        <v>0</v>
      </c>
    </row>
    <row r="1155">
      <c r="A1155" s="2" t="str">
        <f t="shared" si="1"/>
        <v>H030179</v>
      </c>
      <c r="B1155" s="1" t="s">
        <v>1767</v>
      </c>
      <c r="C1155" s="9" t="str">
        <f t="array" ref="C1155">IF(
  AND(
    IFERROR(MATCH(Caseslist!B1155, data!D:D, 0), 0) &gt; 0,
    IFERROR(INDEX(data!N:N, MATCH(Caseslist!B1155, data!D:D, 0)) = 1, FALSE)
  ),
  "COMPLETE",
  "INC"
)</f>
        <v>COMPLETE</v>
      </c>
      <c r="D1155" s="9" t="str">
        <f t="array" ref="D1155">IFERROR(INDEX(data!$G:$G,match(Caseslist!B1155,data!$D:$D,0)), "INC")</f>
        <v>O3925718</v>
      </c>
      <c r="E1155" s="9" t="str">
        <f t="array" ref="E1155">IFERROR(INDEX(data!H:H,match(Caseslist!B1155,data!D:D,0)), "INC")</f>
        <v>Adrian Montecastro Ferrer</v>
      </c>
      <c r="F1155" s="10" t="str">
        <f t="array" ref="F1155">IF(
    OR(
      IFNA(INDEX(data!M:M, MATCH(Caseslist!B1155, data!D:D, 0)), "") = "",
      IFNA(INDEX(data!M:M, MATCH(Caseslist!B1155, data!D:D, 0)), 0) = 0
    ),
    "COMPLETE",
    IF(
      IFNA(INDEX(dataICM!D:D, MATCH(Caseslist!B1155, dataICM!D:D, 0)), "INC") = "INC",
      IFNA(INDEX(dataICM!D:D, MATCH(Caseslist!B1155, dataICM!D:D, 0)), "INC"),
      "COMPLETE"
    )
  )</f>
        <v>COMPLETE</v>
      </c>
      <c r="G1155" s="10" t="str">
        <f t="array" ref="G1155">IF(IFERROR(INDEX(data!L:L,match(Caseslist!B1155,data!D:D,0)),"INC")="","COMPLETE",F1155)</f>
        <v>COMPLETE</v>
      </c>
      <c r="H1155" s="9" t="str">
        <f t="array" ref="H1155">IFERROR(INDEX(dataICM!F:F,match(Caseslist!B1155,dataICM!D:D,0)), "INC")</f>
        <v>INC</v>
      </c>
      <c r="I1155" s="10" t="str">
        <f t="shared" si="2"/>
        <v>O3925718</v>
      </c>
      <c r="J1155" s="9" t="str">
        <f t="array" ref="J1155">IF(
  AND(
    IFERROR(MATCH(B1155, data!D:D, 0), 0) &gt; 0,
    IFERROR(INDEX(data!N:N, MATCH(B1155, data!D:D, 0)) = 1, FALSE)
  ),
  INDEX(data!C:C, MATCH(B1155, data!D:D, 0)),
  "INC"
)</f>
        <v>2025-08-30T10:59:50.364+08</v>
      </c>
      <c r="K1155" s="9" t="str">
        <f t="array" ref="K1155">IFERROR(INDEX(dataICM!C:C,match(Caseslist!B1155,dataICM!D:D,0)), "INC")</f>
        <v>INC</v>
      </c>
      <c r="L1155" s="10" t="str">
        <f t="array" ref="L1155">IF(AND(G1155="COMPLETE", OR(K1155="INC", ISBLANK(INDEX(data!O:O, ROW())))), J1155, K1155)</f>
        <v>2025-08-30T10:59:50.364+08</v>
      </c>
      <c r="M1155" s="2">
        <v>45899.0</v>
      </c>
      <c r="N1155" s="2">
        <f t="array" ref="N1155">IF(M1155&lt;&gt;"INC", INDEX(data!M:M, MATCH(B1155, data!D:D, 0)), "")</f>
        <v>0</v>
      </c>
      <c r="O1155" s="2">
        <f t="shared" si="3"/>
        <v>0</v>
      </c>
    </row>
    <row r="1156">
      <c r="A1156" s="2" t="str">
        <f t="shared" si="1"/>
        <v>H030195</v>
      </c>
      <c r="B1156" s="1" t="s">
        <v>5133</v>
      </c>
      <c r="C1156" s="9" t="str">
        <f t="array" ref="C1156">IF(
  AND(
    IFERROR(MATCH(Caseslist!B1156, data!D:D, 0), 0) &gt; 0,
    IFERROR(INDEX(data!N:N, MATCH(Caseslist!B1156, data!D:D, 0)) = 1, FALSE)
  ),
  "COMPLETE",
  "INC"
)</f>
        <v>COMPLETE</v>
      </c>
      <c r="D1156" s="9">
        <f t="array" ref="D1156">IFERROR(INDEX(data!$G:$G,match(Caseslist!B1156,data!$D:$D,0)), "INC")</f>
        <v>896791</v>
      </c>
      <c r="E1156" s="9" t="str">
        <f t="array" ref="E1156">IFERROR(INDEX(data!H:H,match(Caseslist!B1156,data!D:D,0)), "INC")</f>
        <v>Roland A. Bandiola jr_2</v>
      </c>
      <c r="F1156" s="10" t="str">
        <f t="array" ref="F1156">IF(
    OR(
      IFNA(INDEX(data!M:M, MATCH(Caseslist!B1156, data!D:D, 0)), "") = "",
      IFNA(INDEX(data!M:M, MATCH(Caseslist!B1156, data!D:D, 0)), 0) = 0
    ),
    "COMPLETE",
    IF(
      IFNA(INDEX(dataICM!D:D, MATCH(Caseslist!B1156, dataICM!D:D, 0)), "INC") = "INC",
      IFNA(INDEX(dataICM!D:D, MATCH(Caseslist!B1156, dataICM!D:D, 0)), "INC"),
      "COMPLETE"
    )
  )</f>
        <v>COMPLETE</v>
      </c>
      <c r="G1156" s="10" t="str">
        <f t="array" ref="G1156">IF(IFERROR(INDEX(data!L:L,match(Caseslist!B1156,data!D:D,0)),"INC")="","COMPLETE",F1156)</f>
        <v>COMPLETE</v>
      </c>
      <c r="H1156" s="9" t="str">
        <f t="array" ref="H1156">IFERROR(INDEX(dataICM!F:F,match(Caseslist!B1156,dataICM!D:D,0)), "INC")</f>
        <v>INC</v>
      </c>
      <c r="I1156" s="10">
        <f t="shared" si="2"/>
        <v>896791</v>
      </c>
      <c r="J1156" s="9" t="str">
        <f t="array" ref="J1156">IF(
  AND(
    IFERROR(MATCH(B1156, data!D:D, 0), 0) &gt; 0,
    IFERROR(INDEX(data!N:N, MATCH(B1156, data!D:D, 0)) = 1, FALSE)
  ),
  INDEX(data!C:C, MATCH(B1156, data!D:D, 0)),
  "INC"
)</f>
        <v>2025-09-11T10:30:19.225+08</v>
      </c>
      <c r="K1156" s="9" t="str">
        <f t="array" ref="K1156">IFERROR(INDEX(dataICM!C:C,match(Caseslist!B1156,dataICM!D:D,0)), "INC")</f>
        <v>INC</v>
      </c>
      <c r="L1156" s="10" t="str">
        <f t="array" ref="L1156">IF(AND(G1156="COMPLETE", OR(K1156="INC", ISBLANK(INDEX(data!O:O, ROW())))), J1156, K1156)</f>
        <v>2025-09-11T10:30:19.225+08</v>
      </c>
      <c r="M1156" s="2">
        <v>45911.0</v>
      </c>
      <c r="N1156" s="2">
        <f t="array" ref="N1156">IF(M1156&lt;&gt;"INC", INDEX(data!M:M, MATCH(B1156, data!D:D, 0)), "")</f>
        <v>0</v>
      </c>
      <c r="O1156" s="2">
        <f t="shared" si="3"/>
        <v>0</v>
      </c>
    </row>
    <row r="1157">
      <c r="A1157" s="2" t="str">
        <f t="shared" si="1"/>
        <v>H030195</v>
      </c>
      <c r="B1157" s="1" t="s">
        <v>5138</v>
      </c>
      <c r="C1157" s="9" t="str">
        <f t="array" ref="C1157">IF(
  AND(
    IFERROR(MATCH(Caseslist!B1157, data!D:D, 0), 0) &gt; 0,
    IFERROR(INDEX(data!N:N, MATCH(Caseslist!B1157, data!D:D, 0)) = 1, FALSE)
  ),
  "COMPLETE",
  "INC"
)</f>
        <v>COMPLETE</v>
      </c>
      <c r="D1157" s="9" t="str">
        <f t="array" ref="D1157">IFERROR(INDEX(data!$G:$G,match(Caseslist!B1157,data!$D:$D,0)), "INC")</f>
        <v>B8193462</v>
      </c>
      <c r="E1157" s="9" t="str">
        <f t="array" ref="E1157">IFERROR(INDEX(data!H:H,match(Caseslist!B1157,data!D:D,0)), "INC")</f>
        <v>Mark Lorens Mendoza Gilongo</v>
      </c>
      <c r="F1157" s="10" t="str">
        <f t="array" ref="F1157">IF(
    OR(
      IFNA(INDEX(data!M:M, MATCH(Caseslist!B1157, data!D:D, 0)), "") = "",
      IFNA(INDEX(data!M:M, MATCH(Caseslist!B1157, data!D:D, 0)), 0) = 0
    ),
    "COMPLETE",
    IF(
      IFNA(INDEX(dataICM!D:D, MATCH(Caseslist!B1157, dataICM!D:D, 0)), "INC") = "INC",
      IFNA(INDEX(dataICM!D:D, MATCH(Caseslist!B1157, dataICM!D:D, 0)), "INC"),
      "COMPLETE"
    )
  )</f>
        <v>COMPLETE</v>
      </c>
      <c r="G1157" s="10" t="str">
        <f t="array" ref="G1157">IF(IFERROR(INDEX(data!L:L,match(Caseslist!B1157,data!D:D,0)),"INC")="","COMPLETE",F1157)</f>
        <v>COMPLETE</v>
      </c>
      <c r="H1157" s="9" t="str">
        <f t="array" ref="H1157">IFERROR(INDEX(dataICM!F:F,match(Caseslist!B1157,dataICM!D:D,0)), "INC")</f>
        <v>INC</v>
      </c>
      <c r="I1157" s="10" t="str">
        <f t="shared" si="2"/>
        <v>B8193462</v>
      </c>
      <c r="J1157" s="9" t="str">
        <f t="array" ref="J1157">IF(
  AND(
    IFERROR(MATCH(B1157, data!D:D, 0), 0) &gt; 0,
    IFERROR(INDEX(data!N:N, MATCH(B1157, data!D:D, 0)) = 1, FALSE)
  ),
  INDEX(data!C:C, MATCH(B1157, data!D:D, 0)),
  "INC"
)</f>
        <v>2025-09-11T11:41:19.898+08</v>
      </c>
      <c r="K1157" s="9" t="str">
        <f t="array" ref="K1157">IFERROR(INDEX(dataICM!C:C,match(Caseslist!B1157,dataICM!D:D,0)), "INC")</f>
        <v>INC</v>
      </c>
      <c r="L1157" s="10" t="str">
        <f t="array" ref="L1157">IF(AND(G1157="COMPLETE", OR(K1157="INC", ISBLANK(INDEX(data!O:O, ROW())))), J1157, K1157)</f>
        <v>2025-09-11T11:41:19.898+08</v>
      </c>
      <c r="M1157" s="2">
        <v>45911.0</v>
      </c>
      <c r="N1157" s="2">
        <f t="array" ref="N1157">IF(M1157&lt;&gt;"INC", INDEX(data!M:M, MATCH(B1157, data!D:D, 0)), "")</f>
        <v>0</v>
      </c>
      <c r="O1157" s="2">
        <f t="shared" si="3"/>
        <v>0</v>
      </c>
    </row>
    <row r="1158">
      <c r="A1158" s="2" t="str">
        <f t="shared" si="1"/>
        <v>H030195</v>
      </c>
      <c r="B1158" s="1" t="s">
        <v>5168</v>
      </c>
      <c r="C1158" s="9" t="str">
        <f t="array" ref="C1158">IF(
  AND(
    IFERROR(MATCH(Caseslist!B1158, data!D:D, 0), 0) &gt; 0,
    IFERROR(INDEX(data!N:N, MATCH(Caseslist!B1158, data!D:D, 0)) = 1, FALSE)
  ),
  "COMPLETE",
  "INC"
)</f>
        <v>COMPLETE</v>
      </c>
      <c r="D1158" s="9" t="str">
        <f t="array" ref="D1158">IFERROR(INDEX(data!$G:$G,match(Caseslist!B1158,data!$D:$D,0)), "INC")</f>
        <v>D1284067</v>
      </c>
      <c r="E1158" s="9" t="str">
        <f t="array" ref="E1158">IFERROR(INDEX(data!H:H,match(Caseslist!B1158,data!D:D,0)), "INC")</f>
        <v>Mariel Del Rio</v>
      </c>
      <c r="F1158" s="10" t="str">
        <f t="array" ref="F1158">IF(
    OR(
      IFNA(INDEX(data!M:M, MATCH(Caseslist!B1158, data!D:D, 0)), "") = "",
      IFNA(INDEX(data!M:M, MATCH(Caseslist!B1158, data!D:D, 0)), 0) = 0
    ),
    "COMPLETE",
    IF(
      IFNA(INDEX(dataICM!D:D, MATCH(Caseslist!B1158, dataICM!D:D, 0)), "INC") = "INC",
      IFNA(INDEX(dataICM!D:D, MATCH(Caseslist!B1158, dataICM!D:D, 0)), "INC"),
      "COMPLETE"
    )
  )</f>
        <v>COMPLETE</v>
      </c>
      <c r="G1158" s="10" t="str">
        <f t="array" ref="G1158">IF(IFERROR(INDEX(data!L:L,match(Caseslist!B1158,data!D:D,0)),"INC")="","COMPLETE",F1158)</f>
        <v>COMPLETE</v>
      </c>
      <c r="H1158" s="9" t="str">
        <f t="array" ref="H1158">IFERROR(INDEX(dataICM!F:F,match(Caseslist!B1158,dataICM!D:D,0)), "INC")</f>
        <v>INC</v>
      </c>
      <c r="I1158" s="10" t="str">
        <f t="shared" si="2"/>
        <v>D1284067</v>
      </c>
      <c r="J1158" s="9" t="str">
        <f t="array" ref="J1158">IF(
  AND(
    IFERROR(MATCH(B1158, data!D:D, 0), 0) &gt; 0,
    IFERROR(INDEX(data!N:N, MATCH(B1158, data!D:D, 0)) = 1, FALSE)
  ),
  INDEX(data!C:C, MATCH(B1158, data!D:D, 0)),
  "INC"
)</f>
        <v>2025-09-10T12:44:51.844+08</v>
      </c>
      <c r="K1158" s="9" t="str">
        <f t="array" ref="K1158">IFERROR(INDEX(dataICM!C:C,match(Caseslist!B1158,dataICM!D:D,0)), "INC")</f>
        <v>INC</v>
      </c>
      <c r="L1158" s="10" t="str">
        <f t="array" ref="L1158">IF(AND(G1158="COMPLETE", OR(K1158="INC", ISBLANK(INDEX(data!O:O, ROW())))), J1158, K1158)</f>
        <v>2025-09-10T12:44:51.844+08</v>
      </c>
      <c r="M1158" s="2">
        <v>45910.0</v>
      </c>
      <c r="N1158" s="2">
        <f t="array" ref="N1158">IF(M1158&lt;&gt;"INC", INDEX(data!M:M, MATCH(B1158, data!D:D, 0)), "")</f>
        <v>0</v>
      </c>
      <c r="O1158" s="2">
        <f t="shared" si="3"/>
        <v>0</v>
      </c>
    </row>
    <row r="1159">
      <c r="A1159" s="2" t="str">
        <f t="shared" si="1"/>
        <v>H030195</v>
      </c>
      <c r="B1159" s="1" t="s">
        <v>5123</v>
      </c>
      <c r="C1159" s="9" t="str">
        <f t="array" ref="C1159">IF(
  AND(
    IFERROR(MATCH(Caseslist!B1159, data!D:D, 0), 0) &gt; 0,
    IFERROR(INDEX(data!N:N, MATCH(Caseslist!B1159, data!D:D, 0)) = 1, FALSE)
  ),
  "COMPLETE",
  "INC"
)</f>
        <v>COMPLETE</v>
      </c>
      <c r="D1159" s="9" t="str">
        <f t="array" ref="D1159">IFERROR(INDEX(data!$G:$G,match(Caseslist!B1159,data!$D:$D,0)), "INC")</f>
        <v>B8193462</v>
      </c>
      <c r="E1159" s="9" t="str">
        <f t="array" ref="E1159">IFERROR(INDEX(data!H:H,match(Caseslist!B1159,data!D:D,0)), "INC")</f>
        <v>Mark Lorens Mendoza Gilongo</v>
      </c>
      <c r="F1159" s="10" t="str">
        <f t="array" ref="F1159">IF(
    OR(
      IFNA(INDEX(data!M:M, MATCH(Caseslist!B1159, data!D:D, 0)), "") = "",
      IFNA(INDEX(data!M:M, MATCH(Caseslist!B1159, data!D:D, 0)), 0) = 0
    ),
    "COMPLETE",
    IF(
      IFNA(INDEX(dataICM!D:D, MATCH(Caseslist!B1159, dataICM!D:D, 0)), "INC") = "INC",
      IFNA(INDEX(dataICM!D:D, MATCH(Caseslist!B1159, dataICM!D:D, 0)), "INC"),
      "COMPLETE"
    )
  )</f>
        <v>COMPLETE</v>
      </c>
      <c r="G1159" s="10" t="str">
        <f t="array" ref="G1159">IF(IFERROR(INDEX(data!L:L,match(Caseslist!B1159,data!D:D,0)),"INC")="","COMPLETE",F1159)</f>
        <v>COMPLETE</v>
      </c>
      <c r="H1159" s="9" t="str">
        <f t="array" ref="H1159">IFERROR(INDEX(dataICM!F:F,match(Caseslist!B1159,dataICM!D:D,0)), "INC")</f>
        <v>INC</v>
      </c>
      <c r="I1159" s="10" t="str">
        <f t="shared" si="2"/>
        <v>B8193462</v>
      </c>
      <c r="J1159" s="9" t="str">
        <f t="array" ref="J1159">IF(
  AND(
    IFERROR(MATCH(B1159, data!D:D, 0), 0) &gt; 0,
    IFERROR(INDEX(data!N:N, MATCH(B1159, data!D:D, 0)) = 1, FALSE)
  ),
  INDEX(data!C:C, MATCH(B1159, data!D:D, 0)),
  "INC"
)</f>
        <v>2025-09-10T13:09:47.825+08</v>
      </c>
      <c r="K1159" s="9" t="str">
        <f t="array" ref="K1159">IFERROR(INDEX(dataICM!C:C,match(Caseslist!B1159,dataICM!D:D,0)), "INC")</f>
        <v>INC</v>
      </c>
      <c r="L1159" s="10" t="str">
        <f t="array" ref="L1159">IF(AND(G1159="COMPLETE", OR(K1159="INC", ISBLANK(INDEX(data!O:O, ROW())))), J1159, K1159)</f>
        <v>2025-09-10T13:09:47.825+08</v>
      </c>
      <c r="M1159" s="2">
        <v>45910.0</v>
      </c>
      <c r="N1159" s="2">
        <f t="array" ref="N1159">IF(M1159&lt;&gt;"INC", INDEX(data!M:M, MATCH(B1159, data!D:D, 0)), "")</f>
        <v>0</v>
      </c>
      <c r="O1159" s="2">
        <f t="shared" si="3"/>
        <v>0</v>
      </c>
    </row>
    <row r="1160">
      <c r="A1160" s="2" t="str">
        <f t="shared" si="1"/>
        <v>H030195</v>
      </c>
      <c r="B1160" s="1" t="s">
        <v>5148</v>
      </c>
      <c r="C1160" s="9" t="str">
        <f t="array" ref="C1160">IF(
  AND(
    IFERROR(MATCH(Caseslist!B1160, data!D:D, 0), 0) &gt; 0,
    IFERROR(INDEX(data!N:N, MATCH(Caseslist!B1160, data!D:D, 0)) = 1, FALSE)
  ),
  "COMPLETE",
  "INC"
)</f>
        <v>COMPLETE</v>
      </c>
      <c r="D1160" s="9" t="str">
        <f t="array" ref="D1160">IFERROR(INDEX(data!$G:$G,match(Caseslist!B1160,data!$D:$D,0)), "INC")</f>
        <v>C7502931</v>
      </c>
      <c r="E1160" s="9" t="str">
        <f t="array" ref="E1160">IFERROR(INDEX(data!H:H,match(Caseslist!B1160,data!D:D,0)), "INC")</f>
        <v>Jenny Lou Toles Estacio</v>
      </c>
      <c r="F1160" s="10" t="str">
        <f t="array" ref="F1160">IF(
    OR(
      IFNA(INDEX(data!M:M, MATCH(Caseslist!B1160, data!D:D, 0)), "") = "",
      IFNA(INDEX(data!M:M, MATCH(Caseslist!B1160, data!D:D, 0)), 0) = 0
    ),
    "COMPLETE",
    IF(
      IFNA(INDEX(dataICM!D:D, MATCH(Caseslist!B1160, dataICM!D:D, 0)), "INC") = "INC",
      IFNA(INDEX(dataICM!D:D, MATCH(Caseslist!B1160, dataICM!D:D, 0)), "INC"),
      "COMPLETE"
    )
  )</f>
        <v>COMPLETE</v>
      </c>
      <c r="G1160" s="10" t="str">
        <f t="array" ref="G1160">IF(IFERROR(INDEX(data!L:L,match(Caseslist!B1160,data!D:D,0)),"INC")="","COMPLETE",F1160)</f>
        <v>COMPLETE</v>
      </c>
      <c r="H1160" s="9" t="str">
        <f t="array" ref="H1160">IFERROR(INDEX(dataICM!F:F,match(Caseslist!B1160,dataICM!D:D,0)), "INC")</f>
        <v>INC</v>
      </c>
      <c r="I1160" s="10" t="str">
        <f t="shared" si="2"/>
        <v>C7502931</v>
      </c>
      <c r="J1160" s="9" t="str">
        <f t="array" ref="J1160">IF(
  AND(
    IFERROR(MATCH(B1160, data!D:D, 0), 0) &gt; 0,
    IFERROR(INDEX(data!N:N, MATCH(B1160, data!D:D, 0)) = 1, FALSE)
  ),
  INDEX(data!C:C, MATCH(B1160, data!D:D, 0)),
  "INC"
)</f>
        <v>2025-09-11T17:47:05.137+08</v>
      </c>
      <c r="K1160" s="9" t="str">
        <f t="array" ref="K1160">IFERROR(INDEX(dataICM!C:C,match(Caseslist!B1160,dataICM!D:D,0)), "INC")</f>
        <v>INC</v>
      </c>
      <c r="L1160" s="10" t="str">
        <f t="array" ref="L1160">IF(AND(G1160="COMPLETE", OR(K1160="INC", ISBLANK(INDEX(data!O:O, ROW())))), J1160, K1160)</f>
        <v>2025-09-11T17:47:05.137+08</v>
      </c>
      <c r="M1160" s="2">
        <v>45911.0</v>
      </c>
      <c r="N1160" s="2">
        <f t="array" ref="N1160">IF(M1160&lt;&gt;"INC", INDEX(data!M:M, MATCH(B1160, data!D:D, 0)), "")</f>
        <v>0</v>
      </c>
      <c r="O1160" s="2">
        <f t="shared" si="3"/>
        <v>0</v>
      </c>
    </row>
    <row r="1161">
      <c r="A1161" s="2" t="str">
        <f t="shared" si="1"/>
        <v>H030195</v>
      </c>
      <c r="B1161" s="1" t="s">
        <v>5153</v>
      </c>
      <c r="C1161" s="9" t="str">
        <f t="array" ref="C1161">IF(
  AND(
    IFERROR(MATCH(Caseslist!B1161, data!D:D, 0), 0) &gt; 0,
    IFERROR(INDEX(data!N:N, MATCH(Caseslist!B1161, data!D:D, 0)) = 1, FALSE)
  ),
  "COMPLETE",
  "INC"
)</f>
        <v>COMPLETE</v>
      </c>
      <c r="D1161" s="9" t="str">
        <f t="array" ref="D1161">IFERROR(INDEX(data!$G:$G,match(Caseslist!B1161,data!$D:$D,0)), "INC")</f>
        <v>D1284067</v>
      </c>
      <c r="E1161" s="9" t="str">
        <f t="array" ref="E1161">IFERROR(INDEX(data!H:H,match(Caseslist!B1161,data!D:D,0)), "INC")</f>
        <v>Mariel Del Rio</v>
      </c>
      <c r="F1161" s="10" t="str">
        <f t="array" ref="F1161">IF(
    OR(
      IFNA(INDEX(data!M:M, MATCH(Caseslist!B1161, data!D:D, 0)), "") = "",
      IFNA(INDEX(data!M:M, MATCH(Caseslist!B1161, data!D:D, 0)), 0) = 0
    ),
    "COMPLETE",
    IF(
      IFNA(INDEX(dataICM!D:D, MATCH(Caseslist!B1161, dataICM!D:D, 0)), "INC") = "INC",
      IFNA(INDEX(dataICM!D:D, MATCH(Caseslist!B1161, dataICM!D:D, 0)), "INC"),
      "COMPLETE"
    )
  )</f>
        <v>COMPLETE</v>
      </c>
      <c r="G1161" s="10" t="str">
        <f t="array" ref="G1161">IF(IFERROR(INDEX(data!L:L,match(Caseslist!B1161,data!D:D,0)),"INC")="","COMPLETE",F1161)</f>
        <v>COMPLETE</v>
      </c>
      <c r="H1161" s="9" t="str">
        <f t="array" ref="H1161">IFERROR(INDEX(dataICM!F:F,match(Caseslist!B1161,dataICM!D:D,0)), "INC")</f>
        <v>INC</v>
      </c>
      <c r="I1161" s="10" t="str">
        <f t="shared" si="2"/>
        <v>D1284067</v>
      </c>
      <c r="J1161" s="9" t="str">
        <f t="array" ref="J1161">IF(
  AND(
    IFERROR(MATCH(B1161, data!D:D, 0), 0) &gt; 0,
    IFERROR(INDEX(data!N:N, MATCH(B1161, data!D:D, 0)) = 1, FALSE)
  ),
  INDEX(data!C:C, MATCH(B1161, data!D:D, 0)),
  "INC"
)</f>
        <v>2025-09-11T18:14:28.869+08</v>
      </c>
      <c r="K1161" s="9" t="str">
        <f t="array" ref="K1161">IFERROR(INDEX(dataICM!C:C,match(Caseslist!B1161,dataICM!D:D,0)), "INC")</f>
        <v>INC</v>
      </c>
      <c r="L1161" s="10" t="str">
        <f t="array" ref="L1161">IF(AND(G1161="COMPLETE", OR(K1161="INC", ISBLANK(INDEX(data!O:O, ROW())))), J1161, K1161)</f>
        <v>2025-09-11T18:14:28.869+08</v>
      </c>
      <c r="M1161" s="2">
        <v>45911.0</v>
      </c>
      <c r="N1161" s="2">
        <f t="array" ref="N1161">IF(M1161&lt;&gt;"INC", INDEX(data!M:M, MATCH(B1161, data!D:D, 0)), "")</f>
        <v>0</v>
      </c>
      <c r="O1161" s="2">
        <f t="shared" si="3"/>
        <v>0</v>
      </c>
    </row>
    <row r="1162">
      <c r="A1162" s="2" t="str">
        <f t="shared" si="1"/>
        <v>H030195</v>
      </c>
      <c r="B1162" s="1" t="s">
        <v>5173</v>
      </c>
      <c r="C1162" s="9" t="str">
        <f t="array" ref="C1162">IF(
  AND(
    IFERROR(MATCH(Caseslist!B1162, data!D:D, 0), 0) &gt; 0,
    IFERROR(INDEX(data!N:N, MATCH(Caseslist!B1162, data!D:D, 0)) = 1, FALSE)
  ),
  "COMPLETE",
  "INC"
)</f>
        <v>INC</v>
      </c>
      <c r="D1162" s="9" t="str">
        <f t="array" ref="D1162">IFERROR(INDEX(data!$G:$G,match(Caseslist!B1162,data!$D:$D,0)), "INC")</f>
        <v>D1284067</v>
      </c>
      <c r="E1162" s="9" t="str">
        <f t="array" ref="E1162">IFERROR(INDEX(data!H:H,match(Caseslist!B1162,data!D:D,0)), "INC")</f>
        <v>Mariel Del Rio</v>
      </c>
      <c r="F1162" s="10" t="str">
        <f t="array" ref="F1162">IF(
    OR(
      IFNA(INDEX(data!M:M, MATCH(Caseslist!B1162, data!D:D, 0)), "") = "",
      IFNA(INDEX(data!M:M, MATCH(Caseslist!B1162, data!D:D, 0)), 0) = 0
    ),
    "COMPLETE",
    IF(
      IFNA(INDEX(dataICM!D:D, MATCH(Caseslist!B1162, dataICM!D:D, 0)), "INC") = "INC",
      IFNA(INDEX(dataICM!D:D, MATCH(Caseslist!B1162, dataICM!D:D, 0)), "INC"),
      "COMPLETE"
    )
  )</f>
        <v>COMPLETE</v>
      </c>
      <c r="G1162" s="10" t="str">
        <f t="array" ref="G1162">IF(IFERROR(INDEX(data!L:L,match(Caseslist!B1162,data!D:D,0)),"INC")="","COMPLETE",F1162)</f>
        <v>COMPLETE</v>
      </c>
      <c r="H1162" s="9" t="str">
        <f t="array" ref="H1162">IFERROR(INDEX(dataICM!F:F,match(Caseslist!B1162,dataICM!D:D,0)), "INC")</f>
        <v>INC</v>
      </c>
      <c r="I1162" s="10" t="str">
        <f t="shared" si="2"/>
        <v>D1284067</v>
      </c>
      <c r="J1162" s="9" t="str">
        <f t="array" ref="J1162">IF(
  AND(
    IFERROR(MATCH(B1162, data!D:D, 0), 0) &gt; 0,
    IFERROR(INDEX(data!N:N, MATCH(B1162, data!D:D, 0)) = 1, FALSE)
  ),
  INDEX(data!C:C, MATCH(B1162, data!D:D, 0)),
  "INC"
)</f>
        <v>INC</v>
      </c>
      <c r="K1162" s="9" t="str">
        <f t="array" ref="K1162">IFERROR(INDEX(dataICM!C:C,match(Caseslist!B1162,dataICM!D:D,0)), "INC")</f>
        <v>INC</v>
      </c>
      <c r="L1162" s="10" t="str">
        <f t="array" ref="L1162">IF(AND(G1162="COMPLETE", OR(K1162="INC", ISBLANK(INDEX(data!O:O, ROW())))), J1162, K1162)</f>
        <v>INC</v>
      </c>
      <c r="M1162" s="2" t="s">
        <v>8886</v>
      </c>
      <c r="N1162" s="2" t="str">
        <f t="array" ref="N1162">IF(M1162&lt;&gt;"INC", INDEX(data!M:M, MATCH(B1162, data!D:D, 0)), "")</f>
        <v/>
      </c>
      <c r="O1162" s="2" t="str">
        <f t="shared" si="3"/>
        <v/>
      </c>
    </row>
    <row r="1163">
      <c r="A1163" s="2" t="str">
        <f t="shared" si="1"/>
        <v>H030195</v>
      </c>
      <c r="B1163" s="1" t="s">
        <v>5178</v>
      </c>
      <c r="C1163" s="9" t="str">
        <f t="array" ref="C1163">IF(
  AND(
    IFERROR(MATCH(Caseslist!B1163, data!D:D, 0), 0) &gt; 0,
    IFERROR(INDEX(data!N:N, MATCH(Caseslist!B1163, data!D:D, 0)) = 1, FALSE)
  ),
  "COMPLETE",
  "INC"
)</f>
        <v>COMPLETE</v>
      </c>
      <c r="D1163" s="9" t="str">
        <f t="array" ref="D1163">IFERROR(INDEX(data!$G:$G,match(Caseslist!B1163,data!$D:$D,0)), "INC")</f>
        <v>C7502931</v>
      </c>
      <c r="E1163" s="9" t="str">
        <f t="array" ref="E1163">IFERROR(INDEX(data!H:H,match(Caseslist!B1163,data!D:D,0)), "INC")</f>
        <v>Jenny Lou Toles Estacio</v>
      </c>
      <c r="F1163" s="10" t="str">
        <f t="array" ref="F1163">IF(
    OR(
      IFNA(INDEX(data!M:M, MATCH(Caseslist!B1163, data!D:D, 0)), "") = "",
      IFNA(INDEX(data!M:M, MATCH(Caseslist!B1163, data!D:D, 0)), 0) = 0
    ),
    "COMPLETE",
    IF(
      IFNA(INDEX(dataICM!D:D, MATCH(Caseslist!B1163, dataICM!D:D, 0)), "INC") = "INC",
      IFNA(INDEX(dataICM!D:D, MATCH(Caseslist!B1163, dataICM!D:D, 0)), "INC"),
      "COMPLETE"
    )
  )</f>
        <v>COMPLETE</v>
      </c>
      <c r="G1163" s="10" t="str">
        <f t="array" ref="G1163">IF(IFERROR(INDEX(data!L:L,match(Caseslist!B1163,data!D:D,0)),"INC")="","COMPLETE",F1163)</f>
        <v>COMPLETE</v>
      </c>
      <c r="H1163" s="9" t="str">
        <f t="array" ref="H1163">IFERROR(INDEX(dataICM!F:F,match(Caseslist!B1163,dataICM!D:D,0)), "INC")</f>
        <v>INC</v>
      </c>
      <c r="I1163" s="10" t="str">
        <f t="shared" si="2"/>
        <v>C7502931</v>
      </c>
      <c r="J1163" s="9" t="str">
        <f t="array" ref="J1163">IF(
  AND(
    IFERROR(MATCH(B1163, data!D:D, 0), 0) &gt; 0,
    IFERROR(INDEX(data!N:N, MATCH(B1163, data!D:D, 0)) = 1, FALSE)
  ),
  INDEX(data!C:C, MATCH(B1163, data!D:D, 0)),
  "INC"
)</f>
        <v>2025-09-11T17:33:13.709+08</v>
      </c>
      <c r="K1163" s="9" t="str">
        <f t="array" ref="K1163">IFERROR(INDEX(dataICM!C:C,match(Caseslist!B1163,dataICM!D:D,0)), "INC")</f>
        <v>INC</v>
      </c>
      <c r="L1163" s="10" t="str">
        <f t="array" ref="L1163">IF(AND(G1163="COMPLETE", OR(K1163="INC", ISBLANK(INDEX(data!O:O, ROW())))), J1163, K1163)</f>
        <v>2025-09-11T17:33:13.709+08</v>
      </c>
      <c r="M1163" s="2">
        <v>45911.0</v>
      </c>
      <c r="N1163" s="2">
        <f t="array" ref="N1163">IF(M1163&lt;&gt;"INC", INDEX(data!M:M, MATCH(B1163, data!D:D, 0)), "")</f>
        <v>0</v>
      </c>
      <c r="O1163" s="2">
        <f t="shared" si="3"/>
        <v>0</v>
      </c>
    </row>
    <row r="1164">
      <c r="A1164" s="2" t="str">
        <f t="shared" si="1"/>
        <v>H030195</v>
      </c>
      <c r="B1164" s="1" t="s">
        <v>5358</v>
      </c>
      <c r="C1164" s="9" t="str">
        <f t="array" ref="C1164">IF(
  AND(
    IFERROR(MATCH(Caseslist!B1164, data!D:D, 0), 0) &gt; 0,
    IFERROR(INDEX(data!N:N, MATCH(Caseslist!B1164, data!D:D, 0)) = 1, FALSE)
  ),
  "COMPLETE",
  "INC"
)</f>
        <v>COMPLETE</v>
      </c>
      <c r="D1164" s="9" t="str">
        <f t="array" ref="D1164">IFERROR(INDEX(data!$G:$G,match(Caseslist!B1164,data!$D:$D,0)), "INC")</f>
        <v>D1284067</v>
      </c>
      <c r="E1164" s="9" t="str">
        <f t="array" ref="E1164">IFERROR(INDEX(data!H:H,match(Caseslist!B1164,data!D:D,0)), "INC")</f>
        <v>Mariel Del Rio</v>
      </c>
      <c r="F1164" s="10" t="str">
        <f t="array" ref="F1164">IF(
    OR(
      IFNA(INDEX(data!M:M, MATCH(Caseslist!B1164, data!D:D, 0)), "") = "",
      IFNA(INDEX(data!M:M, MATCH(Caseslist!B1164, data!D:D, 0)), 0) = 0
    ),
    "COMPLETE",
    IF(
      IFNA(INDEX(dataICM!D:D, MATCH(Caseslist!B1164, dataICM!D:D, 0)), "INC") = "INC",
      IFNA(INDEX(dataICM!D:D, MATCH(Caseslist!B1164, dataICM!D:D, 0)), "INC"),
      "COMPLETE"
    )
  )</f>
        <v>COMPLETE</v>
      </c>
      <c r="G1164" s="10" t="str">
        <f t="array" ref="G1164">IF(IFERROR(INDEX(data!L:L,match(Caseslist!B1164,data!D:D,0)),"INC")="","COMPLETE",F1164)</f>
        <v>COMPLETE</v>
      </c>
      <c r="H1164" s="9" t="str">
        <f t="array" ref="H1164">IFERROR(INDEX(dataICM!F:F,match(Caseslist!B1164,dataICM!D:D,0)), "INC")</f>
        <v>INC</v>
      </c>
      <c r="I1164" s="10" t="str">
        <f t="shared" si="2"/>
        <v>D1284067</v>
      </c>
      <c r="J1164" s="9" t="str">
        <f t="array" ref="J1164">IF(
  AND(
    IFERROR(MATCH(B1164, data!D:D, 0), 0) &gt; 0,
    IFERROR(INDEX(data!N:N, MATCH(B1164, data!D:D, 0)) = 1, FALSE)
  ),
  INDEX(data!C:C, MATCH(B1164, data!D:D, 0)),
  "INC"
)</f>
        <v>2025-09-11T18:22:04.535+08</v>
      </c>
      <c r="K1164" s="9" t="str">
        <f t="array" ref="K1164">IFERROR(INDEX(dataICM!C:C,match(Caseslist!B1164,dataICM!D:D,0)), "INC")</f>
        <v>INC</v>
      </c>
      <c r="L1164" s="10" t="str">
        <f t="array" ref="L1164">IF(AND(G1164="COMPLETE", OR(K1164="INC", ISBLANK(INDEX(data!O:O, ROW())))), J1164, K1164)</f>
        <v>2025-09-11T18:22:04.535+08</v>
      </c>
      <c r="M1164" s="2">
        <v>45911.0</v>
      </c>
      <c r="N1164" s="2">
        <f t="array" ref="N1164">IF(M1164&lt;&gt;"INC", INDEX(data!M:M, MATCH(B1164, data!D:D, 0)), "")</f>
        <v>0</v>
      </c>
      <c r="O1164" s="2">
        <f t="shared" si="3"/>
        <v>0</v>
      </c>
    </row>
    <row r="1165">
      <c r="A1165" s="2" t="str">
        <f t="shared" si="1"/>
        <v>H030195</v>
      </c>
      <c r="B1165" s="1" t="s">
        <v>5268</v>
      </c>
      <c r="C1165" s="9" t="str">
        <f t="array" ref="C1165">IF(
  AND(
    IFERROR(MATCH(Caseslist!B1165, data!D:D, 0), 0) &gt; 0,
    IFERROR(INDEX(data!N:N, MATCH(Caseslist!B1165, data!D:D, 0)) = 1, FALSE)
  ),
  "COMPLETE",
  "INC"
)</f>
        <v>COMPLETE</v>
      </c>
      <c r="D1165" s="9" t="str">
        <f t="array" ref="D1165">IFERROR(INDEX(data!$G:$G,match(Caseslist!B1165,data!$D:$D,0)), "INC")</f>
        <v>C7502931</v>
      </c>
      <c r="E1165" s="9" t="str">
        <f t="array" ref="E1165">IFERROR(INDEX(data!H:H,match(Caseslist!B1165,data!D:D,0)), "INC")</f>
        <v>Jenny Lou Toles Estacio</v>
      </c>
      <c r="F1165" s="10" t="str">
        <f t="array" ref="F1165">IF(
    OR(
      IFNA(INDEX(data!M:M, MATCH(Caseslist!B1165, data!D:D, 0)), "") = "",
      IFNA(INDEX(data!M:M, MATCH(Caseslist!B1165, data!D:D, 0)), 0) = 0
    ),
    "COMPLETE",
    IF(
      IFNA(INDEX(dataICM!D:D, MATCH(Caseslist!B1165, dataICM!D:D, 0)), "INC") = "INC",
      IFNA(INDEX(dataICM!D:D, MATCH(Caseslist!B1165, dataICM!D:D, 0)), "INC"),
      "COMPLETE"
    )
  )</f>
        <v>COMPLETE</v>
      </c>
      <c r="G1165" s="10" t="str">
        <f t="array" ref="G1165">IF(IFERROR(INDEX(data!L:L,match(Caseslist!B1165,data!D:D,0)),"INC")="","COMPLETE",F1165)</f>
        <v>COMPLETE</v>
      </c>
      <c r="H1165" s="9" t="str">
        <f t="array" ref="H1165">IFERROR(INDEX(dataICM!F:F,match(Caseslist!B1165,dataICM!D:D,0)), "INC")</f>
        <v>INC</v>
      </c>
      <c r="I1165" s="10" t="str">
        <f t="shared" si="2"/>
        <v>C7502931</v>
      </c>
      <c r="J1165" s="9" t="str">
        <f t="array" ref="J1165">IF(
  AND(
    IFERROR(MATCH(B1165, data!D:D, 0), 0) &gt; 0,
    IFERROR(INDEX(data!N:N, MATCH(B1165, data!D:D, 0)) = 1, FALSE)
  ),
  INDEX(data!C:C, MATCH(B1165, data!D:D, 0)),
  "INC"
)</f>
        <v>2025-09-11T17:53:08.624+08</v>
      </c>
      <c r="K1165" s="9" t="str">
        <f t="array" ref="K1165">IFERROR(INDEX(dataICM!C:C,match(Caseslist!B1165,dataICM!D:D,0)), "INC")</f>
        <v>INC</v>
      </c>
      <c r="L1165" s="10" t="str">
        <f t="array" ref="L1165">IF(AND(G1165="COMPLETE", OR(K1165="INC", ISBLANK(INDEX(data!O:O, ROW())))), J1165, K1165)</f>
        <v>2025-09-11T17:53:08.624+08</v>
      </c>
      <c r="M1165" s="2">
        <v>45911.0</v>
      </c>
      <c r="N1165" s="2">
        <f t="array" ref="N1165">IF(M1165&lt;&gt;"INC", INDEX(data!M:M, MATCH(B1165, data!D:D, 0)), "")</f>
        <v>0</v>
      </c>
      <c r="O1165" s="2">
        <f t="shared" si="3"/>
        <v>0</v>
      </c>
    </row>
    <row r="1166">
      <c r="A1166" s="2" t="str">
        <f t="shared" si="1"/>
        <v>H030195</v>
      </c>
      <c r="B1166" s="1" t="s">
        <v>5248</v>
      </c>
      <c r="C1166" s="9" t="str">
        <f t="array" ref="C1166">IF(
  AND(
    IFERROR(MATCH(Caseslist!B1166, data!D:D, 0), 0) &gt; 0,
    IFERROR(INDEX(data!N:N, MATCH(Caseslist!B1166, data!D:D, 0)) = 1, FALSE)
  ),
  "COMPLETE",
  "INC"
)</f>
        <v>COMPLETE</v>
      </c>
      <c r="D1166" s="9" t="str">
        <f t="array" ref="D1166">IFERROR(INDEX(data!$G:$G,match(Caseslist!B1166,data!$D:$D,0)), "INC")</f>
        <v>B8193462</v>
      </c>
      <c r="E1166" s="9" t="str">
        <f t="array" ref="E1166">IFERROR(INDEX(data!H:H,match(Caseslist!B1166,data!D:D,0)), "INC")</f>
        <v>Mark Lorens Mendoza Gilongo</v>
      </c>
      <c r="F1166" s="10" t="str">
        <f t="array" ref="F1166">IF(
    OR(
      IFNA(INDEX(data!M:M, MATCH(Caseslist!B1166, data!D:D, 0)), "") = "",
      IFNA(INDEX(data!M:M, MATCH(Caseslist!B1166, data!D:D, 0)), 0) = 0
    ),
    "COMPLETE",
    IF(
      IFNA(INDEX(dataICM!D:D, MATCH(Caseslist!B1166, dataICM!D:D, 0)), "INC") = "INC",
      IFNA(INDEX(dataICM!D:D, MATCH(Caseslist!B1166, dataICM!D:D, 0)), "INC"),
      "COMPLETE"
    )
  )</f>
        <v>COMPLETE</v>
      </c>
      <c r="G1166" s="10" t="str">
        <f t="array" ref="G1166">IF(IFERROR(INDEX(data!L:L,match(Caseslist!B1166,data!D:D,0)),"INC")="","COMPLETE",F1166)</f>
        <v>COMPLETE</v>
      </c>
      <c r="H1166" s="9" t="str">
        <f t="array" ref="H1166">IFERROR(INDEX(dataICM!F:F,match(Caseslist!B1166,dataICM!D:D,0)), "INC")</f>
        <v>INC</v>
      </c>
      <c r="I1166" s="10" t="str">
        <f t="shared" si="2"/>
        <v>B8193462</v>
      </c>
      <c r="J1166" s="9" t="str">
        <f t="array" ref="J1166">IF(
  AND(
    IFERROR(MATCH(B1166, data!D:D, 0), 0) &gt; 0,
    IFERROR(INDEX(data!N:N, MATCH(B1166, data!D:D, 0)) = 1, FALSE)
  ),
  INDEX(data!C:C, MATCH(B1166, data!D:D, 0)),
  "INC"
)</f>
        <v>2025-09-11T17:12:46.077+08</v>
      </c>
      <c r="K1166" s="9" t="str">
        <f t="array" ref="K1166">IFERROR(INDEX(dataICM!C:C,match(Caseslist!B1166,dataICM!D:D,0)), "INC")</f>
        <v>INC</v>
      </c>
      <c r="L1166" s="10" t="str">
        <f t="array" ref="L1166">IF(AND(G1166="COMPLETE", OR(K1166="INC", ISBLANK(INDEX(data!O:O, ROW())))), J1166, K1166)</f>
        <v>2025-09-11T17:12:46.077+08</v>
      </c>
      <c r="M1166" s="2">
        <v>45911.0</v>
      </c>
      <c r="N1166" s="2">
        <f t="array" ref="N1166">IF(M1166&lt;&gt;"INC", INDEX(data!M:M, MATCH(B1166, data!D:D, 0)), "")</f>
        <v>0</v>
      </c>
      <c r="O1166" s="2">
        <f t="shared" si="3"/>
        <v>0</v>
      </c>
    </row>
    <row r="1167">
      <c r="A1167" s="2" t="str">
        <f t="shared" si="1"/>
        <v>H030195</v>
      </c>
      <c r="B1167" s="1" t="s">
        <v>5253</v>
      </c>
      <c r="C1167" s="9" t="str">
        <f t="array" ref="C1167">IF(
  AND(
    IFERROR(MATCH(Caseslist!B1167, data!D:D, 0), 0) &gt; 0,
    IFERROR(INDEX(data!N:N, MATCH(Caseslist!B1167, data!D:D, 0)) = 1, FALSE)
  ),
  "COMPLETE",
  "INC"
)</f>
        <v>COMPLETE</v>
      </c>
      <c r="D1167" s="9">
        <f t="array" ref="D1167">IFERROR(INDEX(data!$G:$G,match(Caseslist!B1167,data!$D:$D,0)), "INC")</f>
        <v>896791</v>
      </c>
      <c r="E1167" s="9" t="str">
        <f t="array" ref="E1167">IFERROR(INDEX(data!H:H,match(Caseslist!B1167,data!D:D,0)), "INC")</f>
        <v>Roland A. Bandiola jr_2</v>
      </c>
      <c r="F1167" s="10" t="str">
        <f t="array" ref="F1167">IF(
    OR(
      IFNA(INDEX(data!M:M, MATCH(Caseslist!B1167, data!D:D, 0)), "") = "",
      IFNA(INDEX(data!M:M, MATCH(Caseslist!B1167, data!D:D, 0)), 0) = 0
    ),
    "COMPLETE",
    IF(
      IFNA(INDEX(dataICM!D:D, MATCH(Caseslist!B1167, dataICM!D:D, 0)), "INC") = "INC",
      IFNA(INDEX(dataICM!D:D, MATCH(Caseslist!B1167, dataICM!D:D, 0)), "INC"),
      "COMPLETE"
    )
  )</f>
        <v>COMPLETE</v>
      </c>
      <c r="G1167" s="10" t="str">
        <f t="array" ref="G1167">IF(IFERROR(INDEX(data!L:L,match(Caseslist!B1167,data!D:D,0)),"INC")="","COMPLETE",F1167)</f>
        <v>COMPLETE</v>
      </c>
      <c r="H1167" s="9" t="str">
        <f t="array" ref="H1167">IFERROR(INDEX(dataICM!F:F,match(Caseslist!B1167,dataICM!D:D,0)), "INC")</f>
        <v>INC</v>
      </c>
      <c r="I1167" s="10">
        <f t="shared" si="2"/>
        <v>896791</v>
      </c>
      <c r="J1167" s="9" t="str">
        <f t="array" ref="J1167">IF(
  AND(
    IFERROR(MATCH(B1167, data!D:D, 0), 0) &gt; 0,
    IFERROR(INDEX(data!N:N, MATCH(B1167, data!D:D, 0)) = 1, FALSE)
  ),
  INDEX(data!C:C, MATCH(B1167, data!D:D, 0)),
  "INC"
)</f>
        <v>2025-09-10T14:38:23.061+08</v>
      </c>
      <c r="K1167" s="9" t="str">
        <f t="array" ref="K1167">IFERROR(INDEX(dataICM!C:C,match(Caseslist!B1167,dataICM!D:D,0)), "INC")</f>
        <v>INC</v>
      </c>
      <c r="L1167" s="10" t="str">
        <f t="array" ref="L1167">IF(AND(G1167="COMPLETE", OR(K1167="INC", ISBLANK(INDEX(data!O:O, ROW())))), J1167, K1167)</f>
        <v>2025-09-10T14:38:23.061+08</v>
      </c>
      <c r="M1167" s="2">
        <v>45910.0</v>
      </c>
      <c r="N1167" s="2">
        <f t="array" ref="N1167">IF(M1167&lt;&gt;"INC", INDEX(data!M:M, MATCH(B1167, data!D:D, 0)), "")</f>
        <v>0</v>
      </c>
      <c r="O1167" s="2">
        <f t="shared" si="3"/>
        <v>0</v>
      </c>
    </row>
    <row r="1168">
      <c r="A1168" s="2" t="str">
        <f t="shared" si="1"/>
        <v>H030195</v>
      </c>
      <c r="B1168" s="1" t="s">
        <v>5158</v>
      </c>
      <c r="C1168" s="9" t="str">
        <f t="array" ref="C1168">IF(
  AND(
    IFERROR(MATCH(Caseslist!B1168, data!D:D, 0), 0) &gt; 0,
    IFERROR(INDEX(data!N:N, MATCH(Caseslist!B1168, data!D:D, 0)) = 1, FALSE)
  ),
  "COMPLETE",
  "INC"
)</f>
        <v>COMPLETE</v>
      </c>
      <c r="D1168" s="9" t="str">
        <f t="array" ref="D1168">IFERROR(INDEX(data!$G:$G,match(Caseslist!B1168,data!$D:$D,0)), "INC")</f>
        <v>C7502931</v>
      </c>
      <c r="E1168" s="9" t="str">
        <f t="array" ref="E1168">IFERROR(INDEX(data!H:H,match(Caseslist!B1168,data!D:D,0)), "INC")</f>
        <v>Jenny Lou Toles Estacio</v>
      </c>
      <c r="F1168" s="10" t="str">
        <f t="array" ref="F1168">IF(
    OR(
      IFNA(INDEX(data!M:M, MATCH(Caseslist!B1168, data!D:D, 0)), "") = "",
      IFNA(INDEX(data!M:M, MATCH(Caseslist!B1168, data!D:D, 0)), 0) = 0
    ),
    "COMPLETE",
    IF(
      IFNA(INDEX(dataICM!D:D, MATCH(Caseslist!B1168, dataICM!D:D, 0)), "INC") = "INC",
      IFNA(INDEX(dataICM!D:D, MATCH(Caseslist!B1168, dataICM!D:D, 0)), "INC"),
      "COMPLETE"
    )
  )</f>
        <v>COMPLETE</v>
      </c>
      <c r="G1168" s="10" t="str">
        <f t="array" ref="G1168">IF(IFERROR(INDEX(data!L:L,match(Caseslist!B1168,data!D:D,0)),"INC")="","COMPLETE",F1168)</f>
        <v>COMPLETE</v>
      </c>
      <c r="H1168" s="9" t="str">
        <f t="array" ref="H1168">IFERROR(INDEX(dataICM!F:F,match(Caseslist!B1168,dataICM!D:D,0)), "INC")</f>
        <v>INC</v>
      </c>
      <c r="I1168" s="10" t="str">
        <f t="shared" si="2"/>
        <v>C7502931</v>
      </c>
      <c r="J1168" s="9" t="str">
        <f t="array" ref="J1168">IF(
  AND(
    IFERROR(MATCH(B1168, data!D:D, 0), 0) &gt; 0,
    IFERROR(INDEX(data!N:N, MATCH(B1168, data!D:D, 0)) = 1, FALSE)
  ),
  INDEX(data!C:C, MATCH(B1168, data!D:D, 0)),
  "INC"
)</f>
        <v>2025-09-10T18:54:16.190+08</v>
      </c>
      <c r="K1168" s="9" t="str">
        <f t="array" ref="K1168">IFERROR(INDEX(dataICM!C:C,match(Caseslist!B1168,dataICM!D:D,0)), "INC")</f>
        <v>INC</v>
      </c>
      <c r="L1168" s="10" t="str">
        <f t="array" ref="L1168">IF(AND(G1168="COMPLETE", OR(K1168="INC", ISBLANK(INDEX(data!O:O, ROW())))), J1168, K1168)</f>
        <v>2025-09-10T18:54:16.190+08</v>
      </c>
      <c r="M1168" s="2">
        <v>45910.0</v>
      </c>
      <c r="N1168" s="2">
        <f t="array" ref="N1168">IF(M1168&lt;&gt;"INC", INDEX(data!M:M, MATCH(B1168, data!D:D, 0)), "")</f>
        <v>0</v>
      </c>
      <c r="O1168" s="2">
        <f t="shared" si="3"/>
        <v>0</v>
      </c>
    </row>
    <row r="1169">
      <c r="A1169" s="2" t="str">
        <f t="shared" si="1"/>
        <v>H030195</v>
      </c>
      <c r="B1169" s="1" t="s">
        <v>5243</v>
      </c>
      <c r="C1169" s="9" t="str">
        <f t="array" ref="C1169">IF(
  AND(
    IFERROR(MATCH(Caseslist!B1169, data!D:D, 0), 0) &gt; 0,
    IFERROR(INDEX(data!N:N, MATCH(Caseslist!B1169, data!D:D, 0)) = 1, FALSE)
  ),
  "COMPLETE",
  "INC"
)</f>
        <v>COMPLETE</v>
      </c>
      <c r="D1169" s="9" t="str">
        <f t="array" ref="D1169">IFERROR(INDEX(data!$G:$G,match(Caseslist!B1169,data!$D:$D,0)), "INC")</f>
        <v>B8193462</v>
      </c>
      <c r="E1169" s="9" t="str">
        <f t="array" ref="E1169">IFERROR(INDEX(data!H:H,match(Caseslist!B1169,data!D:D,0)), "INC")</f>
        <v>Mark Lorens Mendoza Gilongo</v>
      </c>
      <c r="F1169" s="10" t="str">
        <f t="array" ref="F1169">IF(
    OR(
      IFNA(INDEX(data!M:M, MATCH(Caseslist!B1169, data!D:D, 0)), "") = "",
      IFNA(INDEX(data!M:M, MATCH(Caseslist!B1169, data!D:D, 0)), 0) = 0
    ),
    "COMPLETE",
    IF(
      IFNA(INDEX(dataICM!D:D, MATCH(Caseslist!B1169, dataICM!D:D, 0)), "INC") = "INC",
      IFNA(INDEX(dataICM!D:D, MATCH(Caseslist!B1169, dataICM!D:D, 0)), "INC"),
      "COMPLETE"
    )
  )</f>
        <v>COMPLETE</v>
      </c>
      <c r="G1169" s="10" t="str">
        <f t="array" ref="G1169">IF(IFERROR(INDEX(data!L:L,match(Caseslist!B1169,data!D:D,0)),"INC")="","COMPLETE",F1169)</f>
        <v>COMPLETE</v>
      </c>
      <c r="H1169" s="9" t="str">
        <f t="array" ref="H1169">IFERROR(INDEX(dataICM!F:F,match(Caseslist!B1169,dataICM!D:D,0)), "INC")</f>
        <v>INC</v>
      </c>
      <c r="I1169" s="10" t="str">
        <f t="shared" si="2"/>
        <v>B8193462</v>
      </c>
      <c r="J1169" s="9" t="str">
        <f t="array" ref="J1169">IF(
  AND(
    IFERROR(MATCH(B1169, data!D:D, 0), 0) &gt; 0,
    IFERROR(INDEX(data!N:N, MATCH(B1169, data!D:D, 0)) = 1, FALSE)
  ),
  INDEX(data!C:C, MATCH(B1169, data!D:D, 0)),
  "INC"
)</f>
        <v>2025-09-11T17:25:48.772+08</v>
      </c>
      <c r="K1169" s="9" t="str">
        <f t="array" ref="K1169">IFERROR(INDEX(dataICM!C:C,match(Caseslist!B1169,dataICM!D:D,0)), "INC")</f>
        <v>INC</v>
      </c>
      <c r="L1169" s="10" t="str">
        <f t="array" ref="L1169">IF(AND(G1169="COMPLETE", OR(K1169="INC", ISBLANK(INDEX(data!O:O, ROW())))), J1169, K1169)</f>
        <v>2025-09-11T17:25:48.772+08</v>
      </c>
      <c r="M1169" s="2">
        <v>45911.0</v>
      </c>
      <c r="N1169" s="2">
        <f t="array" ref="N1169">IF(M1169&lt;&gt;"INC", INDEX(data!M:M, MATCH(B1169, data!D:D, 0)), "")</f>
        <v>0</v>
      </c>
      <c r="O1169" s="2">
        <f t="shared" si="3"/>
        <v>0</v>
      </c>
    </row>
    <row r="1170">
      <c r="A1170" s="2" t="str">
        <f t="shared" si="1"/>
        <v>H030195</v>
      </c>
      <c r="B1170" s="1" t="s">
        <v>5163</v>
      </c>
      <c r="C1170" s="9" t="str">
        <f t="array" ref="C1170">IF(
  AND(
    IFERROR(MATCH(Caseslist!B1170, data!D:D, 0), 0) &gt; 0,
    IFERROR(INDEX(data!N:N, MATCH(Caseslist!B1170, data!D:D, 0)) = 1, FALSE)
  ),
  "COMPLETE",
  "INC"
)</f>
        <v>COMPLETE</v>
      </c>
      <c r="D1170" s="9">
        <f t="array" ref="D1170">IFERROR(INDEX(data!$G:$G,match(Caseslist!B1170,data!$D:$D,0)), "INC")</f>
        <v>896791</v>
      </c>
      <c r="E1170" s="9" t="str">
        <f t="array" ref="E1170">IFERROR(INDEX(data!H:H,match(Caseslist!B1170,data!D:D,0)), "INC")</f>
        <v>Roland A. Bandiola jr_2</v>
      </c>
      <c r="F1170" s="10" t="str">
        <f t="array" ref="F1170">IF(
    OR(
      IFNA(INDEX(data!M:M, MATCH(Caseslist!B1170, data!D:D, 0)), "") = "",
      IFNA(INDEX(data!M:M, MATCH(Caseslist!B1170, data!D:D, 0)), 0) = 0
    ),
    "COMPLETE",
    IF(
      IFNA(INDEX(dataICM!D:D, MATCH(Caseslist!B1170, dataICM!D:D, 0)), "INC") = "INC",
      IFNA(INDEX(dataICM!D:D, MATCH(Caseslist!B1170, dataICM!D:D, 0)), "INC"),
      "COMPLETE"
    )
  )</f>
        <v>COMPLETE</v>
      </c>
      <c r="G1170" s="10" t="str">
        <f t="array" ref="G1170">IF(IFERROR(INDEX(data!L:L,match(Caseslist!B1170,data!D:D,0)),"INC")="","COMPLETE",F1170)</f>
        <v>COMPLETE</v>
      </c>
      <c r="H1170" s="9" t="str">
        <f t="array" ref="H1170">IFERROR(INDEX(dataICM!F:F,match(Caseslist!B1170,dataICM!D:D,0)), "INC")</f>
        <v>INC</v>
      </c>
      <c r="I1170" s="10">
        <f t="shared" si="2"/>
        <v>896791</v>
      </c>
      <c r="J1170" s="9" t="str">
        <f t="array" ref="J1170">IF(
  AND(
    IFERROR(MATCH(B1170, data!D:D, 0), 0) &gt; 0,
    IFERROR(INDEX(data!N:N, MATCH(B1170, data!D:D, 0)) = 1, FALSE)
  ),
  INDEX(data!C:C, MATCH(B1170, data!D:D, 0)),
  "INC"
)</f>
        <v>2025-09-11T17:08:26.161+08</v>
      </c>
      <c r="K1170" s="9" t="str">
        <f t="array" ref="K1170">IFERROR(INDEX(dataICM!C:C,match(Caseslist!B1170,dataICM!D:D,0)), "INC")</f>
        <v>INC</v>
      </c>
      <c r="L1170" s="10" t="str">
        <f t="array" ref="L1170">IF(AND(G1170="COMPLETE", OR(K1170="INC", ISBLANK(INDEX(data!O:O, ROW())))), J1170, K1170)</f>
        <v>2025-09-11T17:08:26.161+08</v>
      </c>
      <c r="M1170" s="2">
        <v>45911.0</v>
      </c>
      <c r="N1170" s="2">
        <f t="array" ref="N1170">IF(M1170&lt;&gt;"INC", INDEX(data!M:M, MATCH(B1170, data!D:D, 0)), "")</f>
        <v>0</v>
      </c>
      <c r="O1170" s="2">
        <f t="shared" si="3"/>
        <v>0</v>
      </c>
    </row>
    <row r="1171">
      <c r="A1171" s="2" t="str">
        <f t="shared" si="1"/>
        <v>H030200</v>
      </c>
      <c r="B1171" s="1" t="s">
        <v>6378</v>
      </c>
      <c r="C1171" s="9" t="str">
        <f t="array" ref="C1171">IF(
  AND(
    IFERROR(MATCH(Caseslist!B1171, data!D:D, 0), 0) &gt; 0,
    IFERROR(INDEX(data!N:N, MATCH(Caseslist!B1171, data!D:D, 0)) = 1, FALSE)
  ),
  "COMPLETE",
  "INC"
)</f>
        <v>COMPLETE</v>
      </c>
      <c r="D1171" s="9" t="str">
        <f t="array" ref="D1171">IFERROR(INDEX(data!$G:$G,match(Caseslist!B1171,data!$D:$D,0)), "INC")</f>
        <v>G5472901</v>
      </c>
      <c r="E1171" s="9" t="str">
        <f t="array" ref="E1171">IFERROR(INDEX(data!H:H,match(Caseslist!B1171,data!D:D,0)), "INC")</f>
        <v>Wellyn Grace Alaban Parcia</v>
      </c>
      <c r="F1171" s="10" t="str">
        <f t="array" ref="F1171">IF(
    OR(
      IFNA(INDEX(data!M:M, MATCH(Caseslist!B1171, data!D:D, 0)), "") = "",
      IFNA(INDEX(data!M:M, MATCH(Caseslist!B1171, data!D:D, 0)), 0) = 0
    ),
    "COMPLETE",
    IF(
      IFNA(INDEX(dataICM!D:D, MATCH(Caseslist!B1171, dataICM!D:D, 0)), "INC") = "INC",
      IFNA(INDEX(dataICM!D:D, MATCH(Caseslist!B1171, dataICM!D:D, 0)), "INC"),
      "COMPLETE"
    )
  )</f>
        <v>COMPLETE</v>
      </c>
      <c r="G1171" s="10" t="str">
        <f t="array" ref="G1171">IF(IFERROR(INDEX(data!L:L,match(Caseslist!B1171,data!D:D,0)),"INC")="","COMPLETE",F1171)</f>
        <v>COMPLETE</v>
      </c>
      <c r="H1171" s="9" t="str">
        <f t="array" ref="H1171">IFERROR(INDEX(dataICM!F:F,match(Caseslist!B1171,dataICM!D:D,0)), "INC")</f>
        <v>INC</v>
      </c>
      <c r="I1171" s="10" t="str">
        <f t="shared" si="2"/>
        <v>G5472901</v>
      </c>
      <c r="J1171" s="9" t="str">
        <f t="array" ref="J1171">IF(
  AND(
    IFERROR(MATCH(B1171, data!D:D, 0), 0) &gt; 0,
    IFERROR(INDEX(data!N:N, MATCH(B1171, data!D:D, 0)) = 1, FALSE)
  ),
  INDEX(data!C:C, MATCH(B1171, data!D:D, 0)),
  "INC"
)</f>
        <v>2025-09-15T12:11:40.825+08</v>
      </c>
      <c r="K1171" s="9" t="str">
        <f t="array" ref="K1171">IFERROR(INDEX(dataICM!C:C,match(Caseslist!B1171,dataICM!D:D,0)), "INC")</f>
        <v>INC</v>
      </c>
      <c r="L1171" s="10" t="str">
        <f t="array" ref="L1171">IF(AND(G1171="COMPLETE", OR(K1171="INC", ISBLANK(INDEX(data!O:O, ROW())))), J1171, K1171)</f>
        <v>2025-09-15T12:11:40.825+08</v>
      </c>
      <c r="M1171" s="2">
        <v>45915.0</v>
      </c>
      <c r="N1171" s="2">
        <f t="array" ref="N1171">IF(M1171&lt;&gt;"INC", INDEX(data!M:M, MATCH(B1171, data!D:D, 0)), "")</f>
        <v>0</v>
      </c>
      <c r="O1171" s="2">
        <f t="shared" si="3"/>
        <v>0</v>
      </c>
    </row>
    <row r="1172">
      <c r="A1172" s="2" t="str">
        <f t="shared" si="1"/>
        <v>H030200</v>
      </c>
      <c r="B1172" s="1" t="s">
        <v>6383</v>
      </c>
      <c r="C1172" s="9" t="str">
        <f t="array" ref="C1172">IF(
  AND(
    IFERROR(MATCH(Caseslist!B1172, data!D:D, 0), 0) &gt; 0,
    IFERROR(INDEX(data!N:N, MATCH(Caseslist!B1172, data!D:D, 0)) = 1, FALSE)
  ),
  "COMPLETE",
  "INC"
)</f>
        <v>COMPLETE</v>
      </c>
      <c r="D1172" s="9" t="str">
        <f t="array" ref="D1172">IFERROR(INDEX(data!$G:$G,match(Caseslist!B1172,data!$D:$D,0)), "INC")</f>
        <v>G5472901</v>
      </c>
      <c r="E1172" s="9" t="str">
        <f t="array" ref="E1172">IFERROR(INDEX(data!H:H,match(Caseslist!B1172,data!D:D,0)), "INC")</f>
        <v>Wellyn Grace Alaban Parcia</v>
      </c>
      <c r="F1172" s="10" t="str">
        <f t="array" ref="F1172">IF(
    OR(
      IFNA(INDEX(data!M:M, MATCH(Caseslist!B1172, data!D:D, 0)), "") = "",
      IFNA(INDEX(data!M:M, MATCH(Caseslist!B1172, data!D:D, 0)), 0) = 0
    ),
    "COMPLETE",
    IF(
      IFNA(INDEX(dataICM!D:D, MATCH(Caseslist!B1172, dataICM!D:D, 0)), "INC") = "INC",
      IFNA(INDEX(dataICM!D:D, MATCH(Caseslist!B1172, dataICM!D:D, 0)), "INC"),
      "COMPLETE"
    )
  )</f>
        <v>COMPLETE</v>
      </c>
      <c r="G1172" s="10" t="str">
        <f t="array" ref="G1172">IF(IFERROR(INDEX(data!L:L,match(Caseslist!B1172,data!D:D,0)),"INC")="","COMPLETE",F1172)</f>
        <v>COMPLETE</v>
      </c>
      <c r="H1172" s="9" t="str">
        <f t="array" ref="H1172">IFERROR(INDEX(dataICM!F:F,match(Caseslist!B1172,dataICM!D:D,0)), "INC")</f>
        <v>INC</v>
      </c>
      <c r="I1172" s="10" t="str">
        <f t="shared" si="2"/>
        <v>G5472901</v>
      </c>
      <c r="J1172" s="9" t="str">
        <f t="array" ref="J1172">IF(
  AND(
    IFERROR(MATCH(B1172, data!D:D, 0), 0) &gt; 0,
    IFERROR(INDEX(data!N:N, MATCH(B1172, data!D:D, 0)) = 1, FALSE)
  ),
  INDEX(data!C:C, MATCH(B1172, data!D:D, 0)),
  "INC"
)</f>
        <v>2025-09-15T10:57:43.880+08</v>
      </c>
      <c r="K1172" s="9" t="str">
        <f t="array" ref="K1172">IFERROR(INDEX(dataICM!C:C,match(Caseslist!B1172,dataICM!D:D,0)), "INC")</f>
        <v>INC</v>
      </c>
      <c r="L1172" s="10" t="str">
        <f t="array" ref="L1172">IF(AND(G1172="COMPLETE", OR(K1172="INC", ISBLANK(INDEX(data!O:O, ROW())))), J1172, K1172)</f>
        <v>2025-09-15T10:57:43.880+08</v>
      </c>
      <c r="M1172" s="2">
        <v>45915.0</v>
      </c>
      <c r="N1172" s="2">
        <f t="array" ref="N1172">IF(M1172&lt;&gt;"INC", INDEX(data!M:M, MATCH(B1172, data!D:D, 0)), "")</f>
        <v>0</v>
      </c>
      <c r="O1172" s="2">
        <f t="shared" si="3"/>
        <v>0</v>
      </c>
    </row>
    <row r="1173">
      <c r="A1173" s="2" t="str">
        <f t="shared" si="1"/>
        <v>H030200</v>
      </c>
      <c r="B1173" s="1" t="s">
        <v>6298</v>
      </c>
      <c r="C1173" s="9" t="str">
        <f t="array" ref="C1173">IF(
  AND(
    IFERROR(MATCH(Caseslist!B1173, data!D:D, 0), 0) &gt; 0,
    IFERROR(INDEX(data!N:N, MATCH(Caseslist!B1173, data!D:D, 0)) = 1, FALSE)
  ),
  "COMPLETE",
  "INC"
)</f>
        <v>COMPLETE</v>
      </c>
      <c r="D1173" s="9" t="str">
        <f t="array" ref="D1173">IFERROR(INDEX(data!$G:$G,match(Caseslist!B1173,data!$D:$D,0)), "INC")</f>
        <v>F3051749</v>
      </c>
      <c r="E1173" s="9" t="str">
        <f t="array" ref="E1173">IFERROR(INDEX(data!H:H,match(Caseslist!B1173,data!D:D,0)), "INC")</f>
        <v>Elenita Gicos De La Pe�a</v>
      </c>
      <c r="F1173" s="10" t="str">
        <f t="array" ref="F1173">IF(
    OR(
      IFNA(INDEX(data!M:M, MATCH(Caseslist!B1173, data!D:D, 0)), "") = "",
      IFNA(INDEX(data!M:M, MATCH(Caseslist!B1173, data!D:D, 0)), 0) = 0
    ),
    "COMPLETE",
    IF(
      IFNA(INDEX(dataICM!D:D, MATCH(Caseslist!B1173, dataICM!D:D, 0)), "INC") = "INC",
      IFNA(INDEX(dataICM!D:D, MATCH(Caseslist!B1173, dataICM!D:D, 0)), "INC"),
      "COMPLETE"
    )
  )</f>
        <v>COMPLETE</v>
      </c>
      <c r="G1173" s="10" t="str">
        <f t="array" ref="G1173">IF(IFERROR(INDEX(data!L:L,match(Caseslist!B1173,data!D:D,0)),"INC")="","COMPLETE",F1173)</f>
        <v>COMPLETE</v>
      </c>
      <c r="H1173" s="9" t="str">
        <f t="array" ref="H1173">IFERROR(INDEX(dataICM!F:F,match(Caseslist!B1173,dataICM!D:D,0)), "INC")</f>
        <v>INC</v>
      </c>
      <c r="I1173" s="10" t="str">
        <f t="shared" si="2"/>
        <v>F3051749</v>
      </c>
      <c r="J1173" s="9" t="str">
        <f t="array" ref="J1173">IF(
  AND(
    IFERROR(MATCH(B1173, data!D:D, 0), 0) &gt; 0,
    IFERROR(INDEX(data!N:N, MATCH(B1173, data!D:D, 0)) = 1, FALSE)
  ),
  INDEX(data!C:C, MATCH(B1173, data!D:D, 0)),
  "INC"
)</f>
        <v>2025-09-15T14:31:56.287+08</v>
      </c>
      <c r="K1173" s="9" t="str">
        <f t="array" ref="K1173">IFERROR(INDEX(dataICM!C:C,match(Caseslist!B1173,dataICM!D:D,0)), "INC")</f>
        <v>INC</v>
      </c>
      <c r="L1173" s="10" t="str">
        <f t="array" ref="L1173">IF(AND(G1173="COMPLETE", OR(K1173="INC", ISBLANK(INDEX(data!O:O, ROW())))), J1173, K1173)</f>
        <v>2025-09-15T14:31:56.287+08</v>
      </c>
      <c r="M1173" s="2">
        <v>45915.0</v>
      </c>
      <c r="N1173" s="2">
        <f t="array" ref="N1173">IF(M1173&lt;&gt;"INC", INDEX(data!M:M, MATCH(B1173, data!D:D, 0)), "")</f>
        <v>0</v>
      </c>
      <c r="O1173" s="2">
        <f t="shared" si="3"/>
        <v>0</v>
      </c>
    </row>
    <row r="1174">
      <c r="A1174" s="2" t="str">
        <f t="shared" si="1"/>
        <v>H030200</v>
      </c>
      <c r="B1174" s="1" t="s">
        <v>6698</v>
      </c>
      <c r="C1174" s="9" t="str">
        <f t="array" ref="C1174">IF(
  AND(
    IFERROR(MATCH(Caseslist!B1174, data!D:D, 0), 0) &gt; 0,
    IFERROR(INDEX(data!N:N, MATCH(Caseslist!B1174, data!D:D, 0)) = 1, FALSE)
  ),
  "COMPLETE",
  "INC"
)</f>
        <v>COMPLETE</v>
      </c>
      <c r="D1174" s="9" t="str">
        <f t="array" ref="D1174">IFERROR(INDEX(data!$G:$G,match(Caseslist!B1174,data!$D:$D,0)), "INC")</f>
        <v>H2846135</v>
      </c>
      <c r="E1174" s="9" t="str">
        <f t="array" ref="E1174">IFERROR(INDEX(data!H:H,match(Caseslist!B1174,data!D:D,0)), "INC")</f>
        <v>Annalou Empanado Encontro</v>
      </c>
      <c r="F1174" s="10" t="str">
        <f t="array" ref="F1174">IF(
    OR(
      IFNA(INDEX(data!M:M, MATCH(Caseslist!B1174, data!D:D, 0)), "") = "",
      IFNA(INDEX(data!M:M, MATCH(Caseslist!B1174, data!D:D, 0)), 0) = 0
    ),
    "COMPLETE",
    IF(
      IFNA(INDEX(dataICM!D:D, MATCH(Caseslist!B1174, dataICM!D:D, 0)), "INC") = "INC",
      IFNA(INDEX(dataICM!D:D, MATCH(Caseslist!B1174, dataICM!D:D, 0)), "INC"),
      "COMPLETE"
    )
  )</f>
        <v>COMPLETE</v>
      </c>
      <c r="G1174" s="10" t="str">
        <f t="array" ref="G1174">IF(IFERROR(INDEX(data!L:L,match(Caseslist!B1174,data!D:D,0)),"INC")="","COMPLETE",F1174)</f>
        <v>COMPLETE</v>
      </c>
      <c r="H1174" s="9" t="str">
        <f t="array" ref="H1174">IFERROR(INDEX(dataICM!F:F,match(Caseslist!B1174,dataICM!D:D,0)), "INC")</f>
        <v>INC</v>
      </c>
      <c r="I1174" s="10" t="str">
        <f t="shared" si="2"/>
        <v>H2846135</v>
      </c>
      <c r="J1174" s="9" t="str">
        <f t="array" ref="J1174">IF(
  AND(
    IFERROR(MATCH(B1174, data!D:D, 0), 0) &gt; 0,
    IFERROR(INDEX(data!N:N, MATCH(B1174, data!D:D, 0)) = 1, FALSE)
  ),
  INDEX(data!C:C, MATCH(B1174, data!D:D, 0)),
  "INC"
)</f>
        <v>2025-09-16T12:45:50.893+08</v>
      </c>
      <c r="K1174" s="9" t="str">
        <f t="array" ref="K1174">IFERROR(INDEX(dataICM!C:C,match(Caseslist!B1174,dataICM!D:D,0)), "INC")</f>
        <v>INC</v>
      </c>
      <c r="L1174" s="10" t="str">
        <f t="array" ref="L1174">IF(AND(G1174="COMPLETE", OR(K1174="INC", ISBLANK(INDEX(data!O:O, ROW())))), J1174, K1174)</f>
        <v>2025-09-16T12:45:50.893+08</v>
      </c>
      <c r="M1174" s="2">
        <v>45916.0</v>
      </c>
      <c r="N1174" s="2">
        <f t="array" ref="N1174">IF(M1174&lt;&gt;"INC", INDEX(data!M:M, MATCH(B1174, data!D:D, 0)), "")</f>
        <v>0</v>
      </c>
      <c r="O1174" s="2">
        <f t="shared" si="3"/>
        <v>0</v>
      </c>
    </row>
    <row r="1175">
      <c r="A1175" s="2" t="str">
        <f t="shared" si="1"/>
        <v>H030200</v>
      </c>
      <c r="B1175" s="1" t="s">
        <v>6303</v>
      </c>
      <c r="C1175" s="9" t="str">
        <f t="array" ref="C1175">IF(
  AND(
    IFERROR(MATCH(Caseslist!B1175, data!D:D, 0), 0) &gt; 0,
    IFERROR(INDEX(data!N:N, MATCH(Caseslist!B1175, data!D:D, 0)) = 1, FALSE)
  ),
  "COMPLETE",
  "INC"
)</f>
        <v>COMPLETE</v>
      </c>
      <c r="D1175" s="9" t="str">
        <f t="array" ref="D1175">IFERROR(INDEX(data!$G:$G,match(Caseslist!B1175,data!$D:$D,0)), "INC")</f>
        <v>F3051749</v>
      </c>
      <c r="E1175" s="9" t="str">
        <f t="array" ref="E1175">IFERROR(INDEX(data!H:H,match(Caseslist!B1175,data!D:D,0)), "INC")</f>
        <v>Elenita Gicos De La Pe�a</v>
      </c>
      <c r="F1175" s="10" t="str">
        <f t="array" ref="F1175">IF(
    OR(
      IFNA(INDEX(data!M:M, MATCH(Caseslist!B1175, data!D:D, 0)), "") = "",
      IFNA(INDEX(data!M:M, MATCH(Caseslist!B1175, data!D:D, 0)), 0) = 0
    ),
    "COMPLETE",
    IF(
      IFNA(INDEX(dataICM!D:D, MATCH(Caseslist!B1175, dataICM!D:D, 0)), "INC") = "INC",
      IFNA(INDEX(dataICM!D:D, MATCH(Caseslist!B1175, dataICM!D:D, 0)), "INC"),
      "COMPLETE"
    )
  )</f>
        <v>COMPLETE</v>
      </c>
      <c r="G1175" s="10" t="str">
        <f t="array" ref="G1175">IF(IFERROR(INDEX(data!L:L,match(Caseslist!B1175,data!D:D,0)),"INC")="","COMPLETE",F1175)</f>
        <v>COMPLETE</v>
      </c>
      <c r="H1175" s="9" t="str">
        <f t="array" ref="H1175">IFERROR(INDEX(dataICM!F:F,match(Caseslist!B1175,dataICM!D:D,0)), "INC")</f>
        <v>INC</v>
      </c>
      <c r="I1175" s="10" t="str">
        <f t="shared" si="2"/>
        <v>F3051749</v>
      </c>
      <c r="J1175" s="9" t="str">
        <f t="array" ref="J1175">IF(
  AND(
    IFERROR(MATCH(B1175, data!D:D, 0), 0) &gt; 0,
    IFERROR(INDEX(data!N:N, MATCH(B1175, data!D:D, 0)) = 1, FALSE)
  ),
  INDEX(data!C:C, MATCH(B1175, data!D:D, 0)),
  "INC"
)</f>
        <v>2025-09-15T17:14:06.730+08</v>
      </c>
      <c r="K1175" s="9" t="str">
        <f t="array" ref="K1175">IFERROR(INDEX(dataICM!C:C,match(Caseslist!B1175,dataICM!D:D,0)), "INC")</f>
        <v>INC</v>
      </c>
      <c r="L1175" s="10" t="str">
        <f t="array" ref="L1175">IF(AND(G1175="COMPLETE", OR(K1175="INC", ISBLANK(INDEX(data!O:O, ROW())))), J1175, K1175)</f>
        <v>2025-09-15T17:14:06.730+08</v>
      </c>
      <c r="M1175" s="2">
        <v>45915.0</v>
      </c>
      <c r="N1175" s="2">
        <f t="array" ref="N1175">IF(M1175&lt;&gt;"INC", INDEX(data!M:M, MATCH(B1175, data!D:D, 0)), "")</f>
        <v>0</v>
      </c>
      <c r="O1175" s="2">
        <f t="shared" si="3"/>
        <v>0</v>
      </c>
    </row>
    <row r="1176">
      <c r="A1176" s="2" t="str">
        <f t="shared" si="1"/>
        <v>H030200</v>
      </c>
      <c r="B1176" s="1" t="s">
        <v>6693</v>
      </c>
      <c r="C1176" s="9" t="str">
        <f t="array" ref="C1176">IF(
  AND(
    IFERROR(MATCH(Caseslist!B1176, data!D:D, 0), 0) &gt; 0,
    IFERROR(INDEX(data!N:N, MATCH(Caseslist!B1176, data!D:D, 0)) = 1, FALSE)
  ),
  "COMPLETE",
  "INC"
)</f>
        <v>COMPLETE</v>
      </c>
      <c r="D1176" s="9" t="str">
        <f t="array" ref="D1176">IFERROR(INDEX(data!$G:$G,match(Caseslist!B1176,data!$D:$D,0)), "INC")</f>
        <v>H2846135</v>
      </c>
      <c r="E1176" s="9" t="str">
        <f t="array" ref="E1176">IFERROR(INDEX(data!H:H,match(Caseslist!B1176,data!D:D,0)), "INC")</f>
        <v>Annalou Empanado Encontro</v>
      </c>
      <c r="F1176" s="10" t="str">
        <f t="array" ref="F1176">IF(
    OR(
      IFNA(INDEX(data!M:M, MATCH(Caseslist!B1176, data!D:D, 0)), "") = "",
      IFNA(INDEX(data!M:M, MATCH(Caseslist!B1176, data!D:D, 0)), 0) = 0
    ),
    "COMPLETE",
    IF(
      IFNA(INDEX(dataICM!D:D, MATCH(Caseslist!B1176, dataICM!D:D, 0)), "INC") = "INC",
      IFNA(INDEX(dataICM!D:D, MATCH(Caseslist!B1176, dataICM!D:D, 0)), "INC"),
      "COMPLETE"
    )
  )</f>
        <v>COMPLETE</v>
      </c>
      <c r="G1176" s="10" t="str">
        <f t="array" ref="G1176">IF(IFERROR(INDEX(data!L:L,match(Caseslist!B1176,data!D:D,0)),"INC")="","COMPLETE",F1176)</f>
        <v>COMPLETE</v>
      </c>
      <c r="H1176" s="9" t="str">
        <f t="array" ref="H1176">IFERROR(INDEX(dataICM!F:F,match(Caseslist!B1176,dataICM!D:D,0)), "INC")</f>
        <v>INC</v>
      </c>
      <c r="I1176" s="10" t="str">
        <f t="shared" si="2"/>
        <v>H2846135</v>
      </c>
      <c r="J1176" s="9" t="str">
        <f t="array" ref="J1176">IF(
  AND(
    IFERROR(MATCH(B1176, data!D:D, 0), 0) &gt; 0,
    IFERROR(INDEX(data!N:N, MATCH(B1176, data!D:D, 0)) = 1, FALSE)
  ),
  INDEX(data!C:C, MATCH(B1176, data!D:D, 0)),
  "INC"
)</f>
        <v>2025-09-16T10:21:11.147+08</v>
      </c>
      <c r="K1176" s="9" t="str">
        <f t="array" ref="K1176">IFERROR(INDEX(dataICM!C:C,match(Caseslist!B1176,dataICM!D:D,0)), "INC")</f>
        <v>INC</v>
      </c>
      <c r="L1176" s="10" t="str">
        <f t="array" ref="L1176">IF(AND(G1176="COMPLETE", OR(K1176="INC", ISBLANK(INDEX(data!O:O, ROW())))), J1176, K1176)</f>
        <v>2025-09-16T10:21:11.147+08</v>
      </c>
      <c r="M1176" s="2">
        <v>45916.0</v>
      </c>
      <c r="N1176" s="2">
        <f t="array" ref="N1176">IF(M1176&lt;&gt;"INC", INDEX(data!M:M, MATCH(B1176, data!D:D, 0)), "")</f>
        <v>0</v>
      </c>
      <c r="O1176" s="2">
        <f t="shared" si="3"/>
        <v>0</v>
      </c>
    </row>
    <row r="1177">
      <c r="A1177" s="2" t="str">
        <f t="shared" si="1"/>
        <v>H030200</v>
      </c>
      <c r="B1177" s="1" t="s">
        <v>6373</v>
      </c>
      <c r="C1177" s="9" t="str">
        <f t="array" ref="C1177">IF(
  AND(
    IFERROR(MATCH(Caseslist!B1177, data!D:D, 0), 0) &gt; 0,
    IFERROR(INDEX(data!N:N, MATCH(Caseslist!B1177, data!D:D, 0)) = 1, FALSE)
  ),
  "COMPLETE",
  "INC"
)</f>
        <v>COMPLETE</v>
      </c>
      <c r="D1177" s="9" t="str">
        <f t="array" ref="D1177">IFERROR(INDEX(data!$G:$G,match(Caseslist!B1177,data!$D:$D,0)), "INC")</f>
        <v>G5472901</v>
      </c>
      <c r="E1177" s="9" t="str">
        <f t="array" ref="E1177">IFERROR(INDEX(data!H:H,match(Caseslist!B1177,data!D:D,0)), "INC")</f>
        <v>Wellyn Grace Alaban Parcia</v>
      </c>
      <c r="F1177" s="10" t="str">
        <f t="array" ref="F1177">IF(
    OR(
      IFNA(INDEX(data!M:M, MATCH(Caseslist!B1177, data!D:D, 0)), "") = "",
      IFNA(INDEX(data!M:M, MATCH(Caseslist!B1177, data!D:D, 0)), 0) = 0
    ),
    "COMPLETE",
    IF(
      IFNA(INDEX(dataICM!D:D, MATCH(Caseslist!B1177, dataICM!D:D, 0)), "INC") = "INC",
      IFNA(INDEX(dataICM!D:D, MATCH(Caseslist!B1177, dataICM!D:D, 0)), "INC"),
      "COMPLETE"
    )
  )</f>
        <v>COMPLETE</v>
      </c>
      <c r="G1177" s="10" t="str">
        <f t="array" ref="G1177">IF(IFERROR(INDEX(data!L:L,match(Caseslist!B1177,data!D:D,0)),"INC")="","COMPLETE",F1177)</f>
        <v>COMPLETE</v>
      </c>
      <c r="H1177" s="9" t="str">
        <f t="array" ref="H1177">IFERROR(INDEX(dataICM!F:F,match(Caseslist!B1177,dataICM!D:D,0)), "INC")</f>
        <v>INC</v>
      </c>
      <c r="I1177" s="10" t="str">
        <f t="shared" si="2"/>
        <v>G5472901</v>
      </c>
      <c r="J1177" s="9" t="str">
        <f t="array" ref="J1177">IF(
  AND(
    IFERROR(MATCH(B1177, data!D:D, 0), 0) &gt; 0,
    IFERROR(INDEX(data!N:N, MATCH(B1177, data!D:D, 0)) = 1, FALSE)
  ),
  INDEX(data!C:C, MATCH(B1177, data!D:D, 0)),
  "INC"
)</f>
        <v>2025-09-15T13:28:46.480+08</v>
      </c>
      <c r="K1177" s="9" t="str">
        <f t="array" ref="K1177">IFERROR(INDEX(dataICM!C:C,match(Caseslist!B1177,dataICM!D:D,0)), "INC")</f>
        <v>INC</v>
      </c>
      <c r="L1177" s="10" t="str">
        <f t="array" ref="L1177">IF(AND(G1177="COMPLETE", OR(K1177="INC", ISBLANK(INDEX(data!O:O, ROW())))), J1177, K1177)</f>
        <v>2025-09-15T13:28:46.480+08</v>
      </c>
      <c r="M1177" s="2">
        <v>45915.0</v>
      </c>
      <c r="N1177" s="2">
        <f t="array" ref="N1177">IF(M1177&lt;&gt;"INC", INDEX(data!M:M, MATCH(B1177, data!D:D, 0)), "")</f>
        <v>0</v>
      </c>
      <c r="O1177" s="2">
        <f t="shared" si="3"/>
        <v>0</v>
      </c>
    </row>
    <row r="1178">
      <c r="A1178" s="2" t="str">
        <f t="shared" si="1"/>
        <v>H030200</v>
      </c>
      <c r="B1178" s="1" t="s">
        <v>6293</v>
      </c>
      <c r="C1178" s="9" t="str">
        <f t="array" ref="C1178">IF(
  AND(
    IFERROR(MATCH(Caseslist!B1178, data!D:D, 0), 0) &gt; 0,
    IFERROR(INDEX(data!N:N, MATCH(Caseslist!B1178, data!D:D, 0)) = 1, FALSE)
  ),
  "COMPLETE",
  "INC"
)</f>
        <v>COMPLETE</v>
      </c>
      <c r="D1178" s="9" t="str">
        <f t="array" ref="D1178">IFERROR(INDEX(data!$G:$G,match(Caseslist!B1178,data!$D:$D,0)), "INC")</f>
        <v>F3051749</v>
      </c>
      <c r="E1178" s="9" t="str">
        <f t="array" ref="E1178">IFERROR(INDEX(data!H:H,match(Caseslist!B1178,data!D:D,0)), "INC")</f>
        <v>Elenita Gicos De La Pe�a</v>
      </c>
      <c r="F1178" s="10" t="str">
        <f t="array" ref="F1178">IF(
    OR(
      IFNA(INDEX(data!M:M, MATCH(Caseslist!B1178, data!D:D, 0)), "") = "",
      IFNA(INDEX(data!M:M, MATCH(Caseslist!B1178, data!D:D, 0)), 0) = 0
    ),
    "COMPLETE",
    IF(
      IFNA(INDEX(dataICM!D:D, MATCH(Caseslist!B1178, dataICM!D:D, 0)), "INC") = "INC",
      IFNA(INDEX(dataICM!D:D, MATCH(Caseslist!B1178, dataICM!D:D, 0)), "INC"),
      "COMPLETE"
    )
  )</f>
        <v>COMPLETE</v>
      </c>
      <c r="G1178" s="10" t="str">
        <f t="array" ref="G1178">IF(IFERROR(INDEX(data!L:L,match(Caseslist!B1178,data!D:D,0)),"INC")="","COMPLETE",F1178)</f>
        <v>COMPLETE</v>
      </c>
      <c r="H1178" s="9" t="str">
        <f t="array" ref="H1178">IFERROR(INDEX(dataICM!F:F,match(Caseslist!B1178,dataICM!D:D,0)), "INC")</f>
        <v>INC</v>
      </c>
      <c r="I1178" s="10" t="str">
        <f t="shared" si="2"/>
        <v>F3051749</v>
      </c>
      <c r="J1178" s="9" t="str">
        <f t="array" ref="J1178">IF(
  AND(
    IFERROR(MATCH(B1178, data!D:D, 0), 0) &gt; 0,
    IFERROR(INDEX(data!N:N, MATCH(B1178, data!D:D, 0)) = 1, FALSE)
  ),
  INDEX(data!C:C, MATCH(B1178, data!D:D, 0)),
  "INC"
)</f>
        <v>2025-09-15T10:54:06.886+08</v>
      </c>
      <c r="K1178" s="9" t="str">
        <f t="array" ref="K1178">IFERROR(INDEX(dataICM!C:C,match(Caseslist!B1178,dataICM!D:D,0)), "INC")</f>
        <v>INC</v>
      </c>
      <c r="L1178" s="10" t="str">
        <f t="array" ref="L1178">IF(AND(G1178="COMPLETE", OR(K1178="INC", ISBLANK(INDEX(data!O:O, ROW())))), J1178, K1178)</f>
        <v>2025-09-15T10:54:06.886+08</v>
      </c>
      <c r="M1178" s="2">
        <v>45915.0</v>
      </c>
      <c r="N1178" s="2">
        <f t="array" ref="N1178">IF(M1178&lt;&gt;"INC", INDEX(data!M:M, MATCH(B1178, data!D:D, 0)), "")</f>
        <v>0</v>
      </c>
      <c r="O1178" s="2">
        <f t="shared" si="3"/>
        <v>0</v>
      </c>
    </row>
    <row r="1179">
      <c r="A1179" s="2" t="str">
        <f t="shared" si="1"/>
        <v>H030200</v>
      </c>
      <c r="B1179" s="1" t="s">
        <v>6388</v>
      </c>
      <c r="C1179" s="9" t="str">
        <f t="array" ref="C1179">IF(
  AND(
    IFERROR(MATCH(Caseslist!B1179, data!D:D, 0), 0) &gt; 0,
    IFERROR(INDEX(data!N:N, MATCH(Caseslist!B1179, data!D:D, 0)) = 1, FALSE)
  ),
  "COMPLETE",
  "INC"
)</f>
        <v>COMPLETE</v>
      </c>
      <c r="D1179" s="9" t="str">
        <f t="array" ref="D1179">IFERROR(INDEX(data!$G:$G,match(Caseslist!B1179,data!$D:$D,0)), "INC")</f>
        <v>G5472901</v>
      </c>
      <c r="E1179" s="9" t="str">
        <f t="array" ref="E1179">IFERROR(INDEX(data!H:H,match(Caseslist!B1179,data!D:D,0)), "INC")</f>
        <v>Wellyn Grace Alaban Parcia</v>
      </c>
      <c r="F1179" s="10" t="str">
        <f t="array" ref="F1179">IF(
    OR(
      IFNA(INDEX(data!M:M, MATCH(Caseslist!B1179, data!D:D, 0)), "") = "",
      IFNA(INDEX(data!M:M, MATCH(Caseslist!B1179, data!D:D, 0)), 0) = 0
    ),
    "COMPLETE",
    IF(
      IFNA(INDEX(dataICM!D:D, MATCH(Caseslist!B1179, dataICM!D:D, 0)), "INC") = "INC",
      IFNA(INDEX(dataICM!D:D, MATCH(Caseslist!B1179, dataICM!D:D, 0)), "INC"),
      "COMPLETE"
    )
  )</f>
        <v>COMPLETE</v>
      </c>
      <c r="G1179" s="10" t="str">
        <f t="array" ref="G1179">IF(IFERROR(INDEX(data!L:L,match(Caseslist!B1179,data!D:D,0)),"INC")="","COMPLETE",F1179)</f>
        <v>COMPLETE</v>
      </c>
      <c r="H1179" s="9" t="str">
        <f t="array" ref="H1179">IFERROR(INDEX(dataICM!F:F,match(Caseslist!B1179,dataICM!D:D,0)), "INC")</f>
        <v>INC</v>
      </c>
      <c r="I1179" s="10" t="str">
        <f t="shared" si="2"/>
        <v>G5472901</v>
      </c>
      <c r="J1179" s="9" t="str">
        <f t="array" ref="J1179">IF(
  AND(
    IFERROR(MATCH(B1179, data!D:D, 0), 0) &gt; 0,
    IFERROR(INDEX(data!N:N, MATCH(B1179, data!D:D, 0)) = 1, FALSE)
  ),
  INDEX(data!C:C, MATCH(B1179, data!D:D, 0)),
  "INC"
)</f>
        <v>2025-09-15T14:45:45.134+08</v>
      </c>
      <c r="K1179" s="9" t="str">
        <f t="array" ref="K1179">IFERROR(INDEX(dataICM!C:C,match(Caseslist!B1179,dataICM!D:D,0)), "INC")</f>
        <v>INC</v>
      </c>
      <c r="L1179" s="10" t="str">
        <f t="array" ref="L1179">IF(AND(G1179="COMPLETE", OR(K1179="INC", ISBLANK(INDEX(data!O:O, ROW())))), J1179, K1179)</f>
        <v>2025-09-15T14:45:45.134+08</v>
      </c>
      <c r="M1179" s="2">
        <v>45915.0</v>
      </c>
      <c r="N1179" s="2">
        <f t="array" ref="N1179">IF(M1179&lt;&gt;"INC", INDEX(data!M:M, MATCH(B1179, data!D:D, 0)), "")</f>
        <v>0</v>
      </c>
      <c r="O1179" s="2">
        <f t="shared" si="3"/>
        <v>0</v>
      </c>
    </row>
    <row r="1180">
      <c r="A1180" s="2" t="str">
        <f t="shared" si="1"/>
        <v>H030200</v>
      </c>
      <c r="B1180" s="1" t="s">
        <v>6308</v>
      </c>
      <c r="C1180" s="9" t="str">
        <f t="array" ref="C1180">IF(
  AND(
    IFERROR(MATCH(Caseslist!B1180, data!D:D, 0), 0) &gt; 0,
    IFERROR(INDEX(data!N:N, MATCH(Caseslist!B1180, data!D:D, 0)) = 1, FALSE)
  ),
  "COMPLETE",
  "INC"
)</f>
        <v>COMPLETE</v>
      </c>
      <c r="D1180" s="9" t="str">
        <f t="array" ref="D1180">IFERROR(INDEX(data!$G:$G,match(Caseslist!B1180,data!$D:$D,0)), "INC")</f>
        <v>F3051749</v>
      </c>
      <c r="E1180" s="9" t="str">
        <f t="array" ref="E1180">IFERROR(INDEX(data!H:H,match(Caseslist!B1180,data!D:D,0)), "INC")</f>
        <v>Elenita Gicos De La Pe�a</v>
      </c>
      <c r="F1180" s="10" t="str">
        <f t="array" ref="F1180">IF(
    OR(
      IFNA(INDEX(data!M:M, MATCH(Caseslist!B1180, data!D:D, 0)), "") = "",
      IFNA(INDEX(data!M:M, MATCH(Caseslist!B1180, data!D:D, 0)), 0) = 0
    ),
    "COMPLETE",
    IF(
      IFNA(INDEX(dataICM!D:D, MATCH(Caseslist!B1180, dataICM!D:D, 0)), "INC") = "INC",
      IFNA(INDEX(dataICM!D:D, MATCH(Caseslist!B1180, dataICM!D:D, 0)), "INC"),
      "COMPLETE"
    )
  )</f>
        <v>COMPLETE</v>
      </c>
      <c r="G1180" s="10" t="str">
        <f t="array" ref="G1180">IF(IFERROR(INDEX(data!L:L,match(Caseslist!B1180,data!D:D,0)),"INC")="","COMPLETE",F1180)</f>
        <v>COMPLETE</v>
      </c>
      <c r="H1180" s="9" t="str">
        <f t="array" ref="H1180">IFERROR(INDEX(dataICM!F:F,match(Caseslist!B1180,dataICM!D:D,0)), "INC")</f>
        <v>INC</v>
      </c>
      <c r="I1180" s="10" t="str">
        <f t="shared" si="2"/>
        <v>F3051749</v>
      </c>
      <c r="J1180" s="9" t="str">
        <f t="array" ref="J1180">IF(
  AND(
    IFERROR(MATCH(B1180, data!D:D, 0), 0) &gt; 0,
    IFERROR(INDEX(data!N:N, MATCH(B1180, data!D:D, 0)) = 1, FALSE)
  ),
  INDEX(data!C:C, MATCH(B1180, data!D:D, 0)),
  "INC"
)</f>
        <v>2025-09-15T16:10:16.314+08</v>
      </c>
      <c r="K1180" s="9" t="str">
        <f t="array" ref="K1180">IFERROR(INDEX(dataICM!C:C,match(Caseslist!B1180,dataICM!D:D,0)), "INC")</f>
        <v>INC</v>
      </c>
      <c r="L1180" s="10" t="str">
        <f t="array" ref="L1180">IF(AND(G1180="COMPLETE", OR(K1180="INC", ISBLANK(INDEX(data!O:O, ROW())))), J1180, K1180)</f>
        <v>2025-09-15T16:10:16.314+08</v>
      </c>
      <c r="M1180" s="2">
        <v>45915.0</v>
      </c>
      <c r="N1180" s="2">
        <f t="array" ref="N1180">IF(M1180&lt;&gt;"INC", INDEX(data!M:M, MATCH(B1180, data!D:D, 0)), "")</f>
        <v>0</v>
      </c>
      <c r="O1180" s="2">
        <f t="shared" si="3"/>
        <v>0</v>
      </c>
    </row>
    <row r="1181">
      <c r="A1181" s="2" t="str">
        <f t="shared" si="1"/>
        <v>H030200</v>
      </c>
      <c r="B1181" s="1" t="s">
        <v>6273</v>
      </c>
      <c r="C1181" s="9" t="str">
        <f t="array" ref="C1181">IF(
  AND(
    IFERROR(MATCH(Caseslist!B1181, data!D:D, 0), 0) &gt; 0,
    IFERROR(INDEX(data!N:N, MATCH(Caseslist!B1181, data!D:D, 0)) = 1, FALSE)
  ),
  "COMPLETE",
  "INC"
)</f>
        <v>COMPLETE</v>
      </c>
      <c r="D1181" s="9" t="str">
        <f t="array" ref="D1181">IFERROR(INDEX(data!$G:$G,match(Caseslist!B1181,data!$D:$D,0)), "INC")</f>
        <v>H2846135</v>
      </c>
      <c r="E1181" s="9" t="str">
        <f t="array" ref="E1181">IFERROR(INDEX(data!H:H,match(Caseslist!B1181,data!D:D,0)), "INC")</f>
        <v>Annalou Empanado Encontro</v>
      </c>
      <c r="F1181" s="10" t="str">
        <f t="array" ref="F1181">IF(
    OR(
      IFNA(INDEX(data!M:M, MATCH(Caseslist!B1181, data!D:D, 0)), "") = "",
      IFNA(INDEX(data!M:M, MATCH(Caseslist!B1181, data!D:D, 0)), 0) = 0
    ),
    "COMPLETE",
    IF(
      IFNA(INDEX(dataICM!D:D, MATCH(Caseslist!B1181, dataICM!D:D, 0)), "INC") = "INC",
      IFNA(INDEX(dataICM!D:D, MATCH(Caseslist!B1181, dataICM!D:D, 0)), "INC"),
      "COMPLETE"
    )
  )</f>
        <v>COMPLETE</v>
      </c>
      <c r="G1181" s="10" t="str">
        <f t="array" ref="G1181">IF(IFERROR(INDEX(data!L:L,match(Caseslist!B1181,data!D:D,0)),"INC")="","COMPLETE",F1181)</f>
        <v>COMPLETE</v>
      </c>
      <c r="H1181" s="9" t="str">
        <f t="array" ref="H1181">IFERROR(INDEX(dataICM!F:F,match(Caseslist!B1181,dataICM!D:D,0)), "INC")</f>
        <v>INC</v>
      </c>
      <c r="I1181" s="10" t="str">
        <f t="shared" si="2"/>
        <v>H2846135</v>
      </c>
      <c r="J1181" s="9" t="str">
        <f t="array" ref="J1181">IF(
  AND(
    IFERROR(MATCH(B1181, data!D:D, 0), 0) &gt; 0,
    IFERROR(INDEX(data!N:N, MATCH(B1181, data!D:D, 0)) = 1, FALSE)
  ),
  INDEX(data!C:C, MATCH(B1181, data!D:D, 0)),
  "INC"
)</f>
        <v>2025-09-15T10:25:28.200+08</v>
      </c>
      <c r="K1181" s="9" t="str">
        <f t="array" ref="K1181">IFERROR(INDEX(dataICM!C:C,match(Caseslist!B1181,dataICM!D:D,0)), "INC")</f>
        <v>INC</v>
      </c>
      <c r="L1181" s="10" t="str">
        <f t="array" ref="L1181">IF(AND(G1181="COMPLETE", OR(K1181="INC", ISBLANK(INDEX(data!O:O, ROW())))), J1181, K1181)</f>
        <v>2025-09-15T10:25:28.200+08</v>
      </c>
      <c r="M1181" s="2">
        <v>45915.0</v>
      </c>
      <c r="N1181" s="2">
        <f t="array" ref="N1181">IF(M1181&lt;&gt;"INC", INDEX(data!M:M, MATCH(B1181, data!D:D, 0)), "")</f>
        <v>0</v>
      </c>
      <c r="O1181" s="2">
        <f t="shared" si="3"/>
        <v>0</v>
      </c>
    </row>
    <row r="1182">
      <c r="A1182" s="2" t="str">
        <f t="shared" si="1"/>
        <v>H030200</v>
      </c>
      <c r="B1182" s="1" t="s">
        <v>6713</v>
      </c>
      <c r="C1182" s="9" t="str">
        <f t="array" ref="C1182">IF(
  AND(
    IFERROR(MATCH(Caseslist!B1182, data!D:D, 0), 0) &gt; 0,
    IFERROR(INDEX(data!N:N, MATCH(Caseslist!B1182, data!D:D, 0)) = 1, FALSE)
  ),
  "COMPLETE",
  "INC"
)</f>
        <v>COMPLETE</v>
      </c>
      <c r="D1182" s="9" t="str">
        <f t="array" ref="D1182">IFERROR(INDEX(data!$G:$G,match(Caseslist!B1182,data!$D:$D,0)), "INC")</f>
        <v>H2846135</v>
      </c>
      <c r="E1182" s="9" t="str">
        <f t="array" ref="E1182">IFERROR(INDEX(data!H:H,match(Caseslist!B1182,data!D:D,0)), "INC")</f>
        <v>Annalou Empanado Encontro</v>
      </c>
      <c r="F1182" s="10" t="str">
        <f t="array" ref="F1182">IF(
    OR(
      IFNA(INDEX(data!M:M, MATCH(Caseslist!B1182, data!D:D, 0)), "") = "",
      IFNA(INDEX(data!M:M, MATCH(Caseslist!B1182, data!D:D, 0)), 0) = 0
    ),
    "COMPLETE",
    IF(
      IFNA(INDEX(dataICM!D:D, MATCH(Caseslist!B1182, dataICM!D:D, 0)), "INC") = "INC",
      IFNA(INDEX(dataICM!D:D, MATCH(Caseslist!B1182, dataICM!D:D, 0)), "INC"),
      "COMPLETE"
    )
  )</f>
        <v>COMPLETE</v>
      </c>
      <c r="G1182" s="10" t="str">
        <f t="array" ref="G1182">IF(IFERROR(INDEX(data!L:L,match(Caseslist!B1182,data!D:D,0)),"INC")="","COMPLETE",F1182)</f>
        <v>COMPLETE</v>
      </c>
      <c r="H1182" s="9" t="str">
        <f t="array" ref="H1182">IFERROR(INDEX(dataICM!F:F,match(Caseslist!B1182,dataICM!D:D,0)), "INC")</f>
        <v>INC</v>
      </c>
      <c r="I1182" s="10" t="str">
        <f t="shared" si="2"/>
        <v>H2846135</v>
      </c>
      <c r="J1182" s="9" t="str">
        <f t="array" ref="J1182">IF(
  AND(
    IFERROR(MATCH(B1182, data!D:D, 0), 0) &gt; 0,
    IFERROR(INDEX(data!N:N, MATCH(B1182, data!D:D, 0)) = 1, FALSE)
  ),
  INDEX(data!C:C, MATCH(B1182, data!D:D, 0)),
  "INC"
)</f>
        <v>2025-09-16T11:17:18.114+08</v>
      </c>
      <c r="K1182" s="9" t="str">
        <f t="array" ref="K1182">IFERROR(INDEX(dataICM!C:C,match(Caseslist!B1182,dataICM!D:D,0)), "INC")</f>
        <v>INC</v>
      </c>
      <c r="L1182" s="10" t="str">
        <f t="array" ref="L1182">IF(AND(G1182="COMPLETE", OR(K1182="INC", ISBLANK(INDEX(data!O:O, ROW())))), J1182, K1182)</f>
        <v>2025-09-16T11:17:18.114+08</v>
      </c>
      <c r="M1182" s="2">
        <v>45916.0</v>
      </c>
      <c r="N1182" s="2">
        <f t="array" ref="N1182">IF(M1182&lt;&gt;"INC", INDEX(data!M:M, MATCH(B1182, data!D:D, 0)), "")</f>
        <v>0</v>
      </c>
      <c r="O1182" s="2">
        <f t="shared" si="3"/>
        <v>0</v>
      </c>
    </row>
    <row r="1183">
      <c r="A1183" s="2" t="str">
        <f t="shared" si="1"/>
        <v>H030200</v>
      </c>
      <c r="B1183" s="1" t="s">
        <v>6283</v>
      </c>
      <c r="C1183" s="9" t="str">
        <f t="array" ref="C1183">IF(
  AND(
    IFERROR(MATCH(Caseslist!B1183, data!D:D, 0), 0) &gt; 0,
    IFERROR(INDEX(data!N:N, MATCH(Caseslist!B1183, data!D:D, 0)) = 1, FALSE)
  ),
  "COMPLETE",
  "INC"
)</f>
        <v>COMPLETE</v>
      </c>
      <c r="D1183" s="9" t="str">
        <f t="array" ref="D1183">IFERROR(INDEX(data!$G:$G,match(Caseslist!B1183,data!$D:$D,0)), "INC")</f>
        <v>H2846135</v>
      </c>
      <c r="E1183" s="9" t="str">
        <f t="array" ref="E1183">IFERROR(INDEX(data!H:H,match(Caseslist!B1183,data!D:D,0)), "INC")</f>
        <v>Annalou Empanado Encontro</v>
      </c>
      <c r="F1183" s="10" t="str">
        <f t="array" ref="F1183">IF(
    OR(
      IFNA(INDEX(data!M:M, MATCH(Caseslist!B1183, data!D:D, 0)), "") = "",
      IFNA(INDEX(data!M:M, MATCH(Caseslist!B1183, data!D:D, 0)), 0) = 0
    ),
    "COMPLETE",
    IF(
      IFNA(INDEX(dataICM!D:D, MATCH(Caseslist!B1183, dataICM!D:D, 0)), "INC") = "INC",
      IFNA(INDEX(dataICM!D:D, MATCH(Caseslist!B1183, dataICM!D:D, 0)), "INC"),
      "COMPLETE"
    )
  )</f>
        <v>COMPLETE</v>
      </c>
      <c r="G1183" s="10" t="str">
        <f t="array" ref="G1183">IF(IFERROR(INDEX(data!L:L,match(Caseslist!B1183,data!D:D,0)),"INC")="","COMPLETE",F1183)</f>
        <v>COMPLETE</v>
      </c>
      <c r="H1183" s="9" t="str">
        <f t="array" ref="H1183">IFERROR(INDEX(dataICM!F:F,match(Caseslist!B1183,dataICM!D:D,0)), "INC")</f>
        <v>INC</v>
      </c>
      <c r="I1183" s="10" t="str">
        <f t="shared" si="2"/>
        <v>H2846135</v>
      </c>
      <c r="J1183" s="9" t="str">
        <f t="array" ref="J1183">IF(
  AND(
    IFERROR(MATCH(B1183, data!D:D, 0), 0) &gt; 0,
    IFERROR(INDEX(data!N:N, MATCH(B1183, data!D:D, 0)) = 1, FALSE)
  ),
  INDEX(data!C:C, MATCH(B1183, data!D:D, 0)),
  "INC"
)</f>
        <v>2025-09-15T14:28:34.792+08</v>
      </c>
      <c r="K1183" s="9" t="str">
        <f t="array" ref="K1183">IFERROR(INDEX(dataICM!C:C,match(Caseslist!B1183,dataICM!D:D,0)), "INC")</f>
        <v>INC</v>
      </c>
      <c r="L1183" s="10" t="str">
        <f t="array" ref="L1183">IF(AND(G1183="COMPLETE", OR(K1183="INC", ISBLANK(INDEX(data!O:O, ROW())))), J1183, K1183)</f>
        <v>2025-09-15T14:28:34.792+08</v>
      </c>
      <c r="M1183" s="2">
        <v>45915.0</v>
      </c>
      <c r="N1183" s="2">
        <f t="array" ref="N1183">IF(M1183&lt;&gt;"INC", INDEX(data!M:M, MATCH(B1183, data!D:D, 0)), "")</f>
        <v>0</v>
      </c>
      <c r="O1183" s="2">
        <f t="shared" si="3"/>
        <v>0</v>
      </c>
    </row>
    <row r="1184">
      <c r="A1184" s="2" t="str">
        <f t="shared" si="1"/>
        <v>H030200</v>
      </c>
      <c r="B1184" s="1" t="s">
        <v>6288</v>
      </c>
      <c r="C1184" s="9" t="str">
        <f t="array" ref="C1184">IF(
  AND(
    IFERROR(MATCH(Caseslist!B1184, data!D:D, 0), 0) &gt; 0,
    IFERROR(INDEX(data!N:N, MATCH(Caseslist!B1184, data!D:D, 0)) = 1, FALSE)
  ),
  "COMPLETE",
  "INC"
)</f>
        <v>COMPLETE</v>
      </c>
      <c r="D1184" s="9" t="str">
        <f t="array" ref="D1184">IFERROR(INDEX(data!$G:$G,match(Caseslist!B1184,data!$D:$D,0)), "INC")</f>
        <v>H2846135</v>
      </c>
      <c r="E1184" s="9" t="str">
        <f t="array" ref="E1184">IFERROR(INDEX(data!H:H,match(Caseslist!B1184,data!D:D,0)), "INC")</f>
        <v>Annalou Empanado Encontro</v>
      </c>
      <c r="F1184" s="10" t="str">
        <f t="array" ref="F1184">IF(
    OR(
      IFNA(INDEX(data!M:M, MATCH(Caseslist!B1184, data!D:D, 0)), "") = "",
      IFNA(INDEX(data!M:M, MATCH(Caseslist!B1184, data!D:D, 0)), 0) = 0
    ),
    "COMPLETE",
    IF(
      IFNA(INDEX(dataICM!D:D, MATCH(Caseslist!B1184, dataICM!D:D, 0)), "INC") = "INC",
      IFNA(INDEX(dataICM!D:D, MATCH(Caseslist!B1184, dataICM!D:D, 0)), "INC"),
      "COMPLETE"
    )
  )</f>
        <v>COMPLETE</v>
      </c>
      <c r="G1184" s="10" t="str">
        <f t="array" ref="G1184">IF(IFERROR(INDEX(data!L:L,match(Caseslist!B1184,data!D:D,0)),"INC")="","COMPLETE",F1184)</f>
        <v>COMPLETE</v>
      </c>
      <c r="H1184" s="9" t="str">
        <f t="array" ref="H1184">IFERROR(INDEX(dataICM!F:F,match(Caseslist!B1184,dataICM!D:D,0)), "INC")</f>
        <v>INC</v>
      </c>
      <c r="I1184" s="10" t="str">
        <f t="shared" si="2"/>
        <v>H2846135</v>
      </c>
      <c r="J1184" s="9" t="str">
        <f t="array" ref="J1184">IF(
  AND(
    IFERROR(MATCH(B1184, data!D:D, 0), 0) &gt; 0,
    IFERROR(INDEX(data!N:N, MATCH(B1184, data!D:D, 0)) = 1, FALSE)
  ),
  INDEX(data!C:C, MATCH(B1184, data!D:D, 0)),
  "INC"
)</f>
        <v>2025-09-15T11:41:11.190+08</v>
      </c>
      <c r="K1184" s="9" t="str">
        <f t="array" ref="K1184">IFERROR(INDEX(dataICM!C:C,match(Caseslist!B1184,dataICM!D:D,0)), "INC")</f>
        <v>INC</v>
      </c>
      <c r="L1184" s="10" t="str">
        <f t="array" ref="L1184">IF(AND(G1184="COMPLETE", OR(K1184="INC", ISBLANK(INDEX(data!O:O, ROW())))), J1184, K1184)</f>
        <v>2025-09-15T11:41:11.190+08</v>
      </c>
      <c r="M1184" s="2">
        <v>45915.0</v>
      </c>
      <c r="N1184" s="2">
        <f t="array" ref="N1184">IF(M1184&lt;&gt;"INC", INDEX(data!M:M, MATCH(B1184, data!D:D, 0)), "")</f>
        <v>0</v>
      </c>
      <c r="O1184" s="2">
        <f t="shared" si="3"/>
        <v>0</v>
      </c>
    </row>
    <row r="1185">
      <c r="A1185" s="2" t="str">
        <f t="shared" si="1"/>
        <v>H030200</v>
      </c>
      <c r="B1185" s="1" t="s">
        <v>6278</v>
      </c>
      <c r="C1185" s="9" t="str">
        <f t="array" ref="C1185">IF(
  AND(
    IFERROR(MATCH(Caseslist!B1185, data!D:D, 0), 0) &gt; 0,
    IFERROR(INDEX(data!N:N, MATCH(Caseslist!B1185, data!D:D, 0)) = 1, FALSE)
  ),
  "COMPLETE",
  "INC"
)</f>
        <v>INC</v>
      </c>
      <c r="D1185" s="9" t="str">
        <f t="array" ref="D1185">IFERROR(INDEX(data!$G:$G,match(Caseslist!B1185,data!$D:$D,0)), "INC")</f>
        <v>G5472901</v>
      </c>
      <c r="E1185" s="9" t="str">
        <f t="array" ref="E1185">IFERROR(INDEX(data!H:H,match(Caseslist!B1185,data!D:D,0)), "INC")</f>
        <v>Wellyn Grace Alaban Parcia</v>
      </c>
      <c r="F1185" s="10" t="str">
        <f t="array" ref="F1185">IF(
    OR(
      IFNA(INDEX(data!M:M, MATCH(Caseslist!B1185, data!D:D, 0)), "") = "",
      IFNA(INDEX(data!M:M, MATCH(Caseslist!B1185, data!D:D, 0)), 0) = 0
    ),
    "COMPLETE",
    IF(
      IFNA(INDEX(dataICM!D:D, MATCH(Caseslist!B1185, dataICM!D:D, 0)), "INC") = "INC",
      IFNA(INDEX(dataICM!D:D, MATCH(Caseslist!B1185, dataICM!D:D, 0)), "INC"),
      "COMPLETE"
    )
  )</f>
        <v>COMPLETE</v>
      </c>
      <c r="G1185" s="10" t="str">
        <f t="array" ref="G1185">IF(IFERROR(INDEX(data!L:L,match(Caseslist!B1185,data!D:D,0)),"INC")="","COMPLETE",F1185)</f>
        <v>COMPLETE</v>
      </c>
      <c r="H1185" s="9" t="str">
        <f t="array" ref="H1185">IFERROR(INDEX(dataICM!F:F,match(Caseslist!B1185,dataICM!D:D,0)), "INC")</f>
        <v>INC</v>
      </c>
      <c r="I1185" s="10" t="str">
        <f t="shared" si="2"/>
        <v>G5472901</v>
      </c>
      <c r="J1185" s="9" t="str">
        <f t="array" ref="J1185">IF(
  AND(
    IFERROR(MATCH(B1185, data!D:D, 0), 0) &gt; 0,
    IFERROR(INDEX(data!N:N, MATCH(B1185, data!D:D, 0)) = 1, FALSE)
  ),
  INDEX(data!C:C, MATCH(B1185, data!D:D, 0)),
  "INC"
)</f>
        <v>INC</v>
      </c>
      <c r="K1185" s="9" t="str">
        <f t="array" ref="K1185">IFERROR(INDEX(dataICM!C:C,match(Caseslist!B1185,dataICM!D:D,0)), "INC")</f>
        <v>INC</v>
      </c>
      <c r="L1185" s="10" t="str">
        <f t="array" ref="L1185">IF(AND(G1185="COMPLETE", OR(K1185="INC", ISBLANK(INDEX(data!O:O, ROW())))), J1185, K1185)</f>
        <v>INC</v>
      </c>
      <c r="M1185" s="2" t="s">
        <v>8886</v>
      </c>
      <c r="N1185" s="2" t="str">
        <f t="array" ref="N1185">IF(M1185&lt;&gt;"INC", INDEX(data!M:M, MATCH(B1185, data!D:D, 0)), "")</f>
        <v/>
      </c>
      <c r="O1185" s="2" t="str">
        <f t="shared" si="3"/>
        <v/>
      </c>
    </row>
    <row r="1186">
      <c r="A1186" s="2" t="str">
        <f t="shared" si="1"/>
        <v>H030214</v>
      </c>
      <c r="B1186" s="1" t="s">
        <v>6213</v>
      </c>
      <c r="C1186" s="9" t="str">
        <f t="array" ref="C1186">IF(
  AND(
    IFERROR(MATCH(Caseslist!B1186, data!D:D, 0), 0) &gt; 0,
    IFERROR(INDEX(data!N:N, MATCH(Caseslist!B1186, data!D:D, 0)) = 1, FALSE)
  ),
  "COMPLETE",
  "INC"
)</f>
        <v>COMPLETE</v>
      </c>
      <c r="D1186" s="9" t="str">
        <f t="array" ref="D1186">IFERROR(INDEX(data!$G:$G,match(Caseslist!B1186,data!$D:$D,0)), "INC")</f>
        <v>C7502931</v>
      </c>
      <c r="E1186" s="9" t="str">
        <f t="array" ref="E1186">IFERROR(INDEX(data!H:H,match(Caseslist!B1186,data!D:D,0)), "INC")</f>
        <v>Jenny Lou Toles Estacio</v>
      </c>
      <c r="F1186" s="10" t="str">
        <f t="array" ref="F1186">IF(
    OR(
      IFNA(INDEX(data!M:M, MATCH(Caseslist!B1186, data!D:D, 0)), "") = "",
      IFNA(INDEX(data!M:M, MATCH(Caseslist!B1186, data!D:D, 0)), 0) = 0
    ),
    "COMPLETE",
    IF(
      IFNA(INDEX(dataICM!D:D, MATCH(Caseslist!B1186, dataICM!D:D, 0)), "INC") = "INC",
      IFNA(INDEX(dataICM!D:D, MATCH(Caseslist!B1186, dataICM!D:D, 0)), "INC"),
      "COMPLETE"
    )
  )</f>
        <v>COMPLETE</v>
      </c>
      <c r="G1186" s="10" t="str">
        <f t="array" ref="G1186">IF(IFERROR(INDEX(data!L:L,match(Caseslist!B1186,data!D:D,0)),"INC")="","COMPLETE",F1186)</f>
        <v>COMPLETE</v>
      </c>
      <c r="H1186" s="9" t="str">
        <f t="array" ref="H1186">IFERROR(INDEX(dataICM!F:F,match(Caseslist!B1186,dataICM!D:D,0)), "INC")</f>
        <v>Jenny Lou Toles Estacio</v>
      </c>
      <c r="I1186" s="10" t="str">
        <f t="shared" si="2"/>
        <v>C7502931</v>
      </c>
      <c r="J1186" s="9" t="str">
        <f t="array" ref="J1186">IF(
  AND(
    IFERROR(MATCH(B1186, data!D:D, 0), 0) &gt; 0,
    IFERROR(INDEX(data!N:N, MATCH(B1186, data!D:D, 0)) = 1, FALSE)
  ),
  INDEX(data!C:C, MATCH(B1186, data!D:D, 0)),
  "INC"
)</f>
        <v>2025-09-15T11:23:46.586+08</v>
      </c>
      <c r="K1186" s="9" t="str">
        <f t="array" ref="K1186">IFERROR(INDEX(dataICM!C:C,match(Caseslist!B1186,dataICM!D:D,0)), "INC")</f>
        <v>2025-09-15T11:32:16.038+08</v>
      </c>
      <c r="L1186" s="10" t="str">
        <f t="array" ref="L1186">IF(AND(G1186="COMPLETE", OR(K1186="INC", ISBLANK(INDEX(data!O:O, ROW())))), J1186, K1186)</f>
        <v>2025-09-15T11:32:16.038+08</v>
      </c>
      <c r="M1186" s="2">
        <v>45915.0</v>
      </c>
      <c r="N1186" s="2">
        <f t="array" ref="N1186">IF(M1186&lt;&gt;"INC", INDEX(data!M:M, MATCH(B1186, data!D:D, 0)), "")</f>
        <v>2</v>
      </c>
      <c r="O1186" s="2">
        <f t="shared" si="3"/>
        <v>2</v>
      </c>
    </row>
    <row r="1187">
      <c r="A1187" s="2" t="str">
        <f t="shared" si="1"/>
        <v>H030214</v>
      </c>
      <c r="B1187" s="1" t="s">
        <v>6268</v>
      </c>
      <c r="C1187" s="9" t="str">
        <f t="array" ref="C1187">IF(
  AND(
    IFERROR(MATCH(Caseslist!B1187, data!D:D, 0), 0) &gt; 0,
    IFERROR(INDEX(data!N:N, MATCH(Caseslist!B1187, data!D:D, 0)) = 1, FALSE)
  ),
  "COMPLETE",
  "INC"
)</f>
        <v>INC</v>
      </c>
      <c r="D1187" s="9" t="str">
        <f t="array" ref="D1187">IFERROR(INDEX(data!$G:$G,match(Caseslist!B1187,data!$D:$D,0)), "INC")</f>
        <v>D1284067</v>
      </c>
      <c r="E1187" s="9" t="str">
        <f t="array" ref="E1187">IFERROR(INDEX(data!H:H,match(Caseslist!B1187,data!D:D,0)), "INC")</f>
        <v>Mariel Del Rio</v>
      </c>
      <c r="F1187" s="10" t="str">
        <f t="array" ref="F1187">IF(
    OR(
      IFNA(INDEX(data!M:M, MATCH(Caseslist!B1187, data!D:D, 0)), "") = "",
      IFNA(INDEX(data!M:M, MATCH(Caseslist!B1187, data!D:D, 0)), 0) = 0
    ),
    "COMPLETE",
    IF(
      IFNA(INDEX(dataICM!D:D, MATCH(Caseslist!B1187, dataICM!D:D, 0)), "INC") = "INC",
      IFNA(INDEX(dataICM!D:D, MATCH(Caseslist!B1187, dataICM!D:D, 0)), "INC"),
      "COMPLETE"
    )
  )</f>
        <v>INC</v>
      </c>
      <c r="G1187" s="10" t="str">
        <f t="array" ref="G1187">IF(IFERROR(INDEX(data!L:L,match(Caseslist!B1187,data!D:D,0)),"INC")="","COMPLETE",F1187)</f>
        <v>INC</v>
      </c>
      <c r="H1187" s="9" t="str">
        <f t="array" ref="H1187">IFERROR(INDEX(dataICM!F:F,match(Caseslist!B1187,dataICM!D:D,0)), "INC")</f>
        <v>INC</v>
      </c>
      <c r="I1187" s="10" t="str">
        <f t="shared" si="2"/>
        <v>INC</v>
      </c>
      <c r="J1187" s="9" t="str">
        <f t="array" ref="J1187">IF(
  AND(
    IFERROR(MATCH(B1187, data!D:D, 0), 0) &gt; 0,
    IFERROR(INDEX(data!N:N, MATCH(B1187, data!D:D, 0)) = 1, FALSE)
  ),
  INDEX(data!C:C, MATCH(B1187, data!D:D, 0)),
  "INC"
)</f>
        <v>INC</v>
      </c>
      <c r="K1187" s="9" t="str">
        <f t="array" ref="K1187">IFERROR(INDEX(dataICM!C:C,match(Caseslist!B1187,dataICM!D:D,0)), "INC")</f>
        <v>INC</v>
      </c>
      <c r="L1187" s="10" t="str">
        <f t="array" ref="L1187">IF(AND(G1187="COMPLETE", OR(K1187="INC", ISBLANK(INDEX(data!O:O, ROW())))), J1187, K1187)</f>
        <v>INC</v>
      </c>
      <c r="M1187" s="2" t="s">
        <v>8886</v>
      </c>
      <c r="N1187" s="2" t="str">
        <f t="array" ref="N1187">IF(M1187&lt;&gt;"INC", INDEX(data!M:M, MATCH(B1187, data!D:D, 0)), "")</f>
        <v/>
      </c>
      <c r="O1187" s="2" t="str">
        <f t="shared" si="3"/>
        <v/>
      </c>
    </row>
    <row r="1188">
      <c r="A1188" s="2" t="str">
        <f t="shared" si="1"/>
        <v>H030214</v>
      </c>
      <c r="B1188" s="1" t="s">
        <v>6338</v>
      </c>
      <c r="C1188" s="9" t="str">
        <f t="array" ref="C1188">IF(
  AND(
    IFERROR(MATCH(Caseslist!B1188, data!D:D, 0), 0) &gt; 0,
    IFERROR(INDEX(data!N:N, MATCH(Caseslist!B1188, data!D:D, 0)) = 1, FALSE)
  ),
  "COMPLETE",
  "INC"
)</f>
        <v>COMPLETE</v>
      </c>
      <c r="D1188" s="9">
        <f t="array" ref="D1188">IFERROR(INDEX(data!$G:$G,match(Caseslist!B1188,data!$D:$D,0)), "INC")</f>
        <v>896791</v>
      </c>
      <c r="E1188" s="9" t="str">
        <f t="array" ref="E1188">IFERROR(INDEX(data!H:H,match(Caseslist!B1188,data!D:D,0)), "INC")</f>
        <v>Roland A. Bandiola jr_2</v>
      </c>
      <c r="F1188" s="10" t="str">
        <f t="array" ref="F1188">IF(
    OR(
      IFNA(INDEX(data!M:M, MATCH(Caseslist!B1188, data!D:D, 0)), "") = "",
      IFNA(INDEX(data!M:M, MATCH(Caseslist!B1188, data!D:D, 0)), 0) = 0
    ),
    "COMPLETE",
    IF(
      IFNA(INDEX(dataICM!D:D, MATCH(Caseslist!B1188, dataICM!D:D, 0)), "INC") = "INC",
      IFNA(INDEX(dataICM!D:D, MATCH(Caseslist!B1188, dataICM!D:D, 0)), "INC"),
      "COMPLETE"
    )
  )</f>
        <v>INC</v>
      </c>
      <c r="G1188" s="10" t="str">
        <f t="array" ref="G1188">IF(IFERROR(INDEX(data!L:L,match(Caseslist!B1188,data!D:D,0)),"INC")="","COMPLETE",F1188)</f>
        <v>INC</v>
      </c>
      <c r="H1188" s="9" t="str">
        <f t="array" ref="H1188">IFERROR(INDEX(dataICM!F:F,match(Caseslist!B1188,dataICM!D:D,0)), "INC")</f>
        <v>INC</v>
      </c>
      <c r="I1188" s="10" t="str">
        <f t="shared" si="2"/>
        <v>INC</v>
      </c>
      <c r="J1188" s="9" t="str">
        <f t="array" ref="J1188">IF(
  AND(
    IFERROR(MATCH(B1188, data!D:D, 0), 0) &gt; 0,
    IFERROR(INDEX(data!N:N, MATCH(B1188, data!D:D, 0)) = 1, FALSE)
  ),
  INDEX(data!C:C, MATCH(B1188, data!D:D, 0)),
  "INC"
)</f>
        <v>2025-10-01T18:30:02.244+08</v>
      </c>
      <c r="K1188" s="9" t="str">
        <f t="array" ref="K1188">IFERROR(INDEX(dataICM!C:C,match(Caseslist!B1188,dataICM!D:D,0)), "INC")</f>
        <v>INC</v>
      </c>
      <c r="L1188" s="10" t="str">
        <f t="array" ref="L1188">IF(AND(G1188="COMPLETE", OR(K1188="INC", ISBLANK(INDEX(data!O:O, ROW())))), J1188, K1188)</f>
        <v>INC</v>
      </c>
      <c r="M1188" s="2" t="s">
        <v>8886</v>
      </c>
      <c r="N1188" s="2" t="str">
        <f t="array" ref="N1188">IF(M1188&lt;&gt;"INC", INDEX(data!M:M, MATCH(B1188, data!D:D, 0)), "")</f>
        <v/>
      </c>
      <c r="O1188" s="2" t="str">
        <f t="shared" si="3"/>
        <v/>
      </c>
    </row>
    <row r="1189">
      <c r="A1189" s="2" t="str">
        <f t="shared" si="1"/>
        <v>H030214</v>
      </c>
      <c r="B1189" s="1" t="s">
        <v>6258</v>
      </c>
      <c r="C1189" s="9" t="str">
        <f t="array" ref="C1189">IF(
  AND(
    IFERROR(MATCH(Caseslist!B1189, data!D:D, 0), 0) &gt; 0,
    IFERROR(INDEX(data!N:N, MATCH(Caseslist!B1189, data!D:D, 0)) = 1, FALSE)
  ),
  "COMPLETE",
  "INC"
)</f>
        <v>COMPLETE</v>
      </c>
      <c r="D1189" s="9" t="str">
        <f t="array" ref="D1189">IFERROR(INDEX(data!$G:$G,match(Caseslist!B1189,data!$D:$D,0)), "INC")</f>
        <v>D1284067</v>
      </c>
      <c r="E1189" s="9" t="str">
        <f t="array" ref="E1189">IFERROR(INDEX(data!H:H,match(Caseslist!B1189,data!D:D,0)), "INC")</f>
        <v>Mariel Del Rio</v>
      </c>
      <c r="F1189" s="10" t="str">
        <f t="array" ref="F1189">IF(
    OR(
      IFNA(INDEX(data!M:M, MATCH(Caseslist!B1189, data!D:D, 0)), "") = "",
      IFNA(INDEX(data!M:M, MATCH(Caseslist!B1189, data!D:D, 0)), 0) = 0
    ),
    "COMPLETE",
    IF(
      IFNA(INDEX(dataICM!D:D, MATCH(Caseslist!B1189, dataICM!D:D, 0)), "INC") = "INC",
      IFNA(INDEX(dataICM!D:D, MATCH(Caseslist!B1189, dataICM!D:D, 0)), "INC"),
      "COMPLETE"
    )
  )</f>
        <v>COMPLETE</v>
      </c>
      <c r="G1189" s="10" t="str">
        <f t="array" ref="G1189">IF(IFERROR(INDEX(data!L:L,match(Caseslist!B1189,data!D:D,0)),"INC")="","COMPLETE",F1189)</f>
        <v>COMPLETE</v>
      </c>
      <c r="H1189" s="9" t="str">
        <f t="array" ref="H1189">IFERROR(INDEX(dataICM!F:F,match(Caseslist!B1189,dataICM!D:D,0)), "INC")</f>
        <v>Mariel Del Rio</v>
      </c>
      <c r="I1189" s="10" t="str">
        <f t="shared" si="2"/>
        <v>D1284067</v>
      </c>
      <c r="J1189" s="9" t="str">
        <f t="array" ref="J1189">IF(
  AND(
    IFERROR(MATCH(B1189, data!D:D, 0), 0) &gt; 0,
    IFERROR(INDEX(data!N:N, MATCH(B1189, data!D:D, 0)) = 1, FALSE)
  ),
  INDEX(data!C:C, MATCH(B1189, data!D:D, 0)),
  "INC"
)</f>
        <v>2025-09-15T13:23:00.344+08</v>
      </c>
      <c r="K1189" s="9" t="str">
        <f t="array" ref="K1189">IFERROR(INDEX(dataICM!C:C,match(Caseslist!B1189,dataICM!D:D,0)), "INC")</f>
        <v>2025-09-15T17:12:55.499+08</v>
      </c>
      <c r="L1189" s="10" t="str">
        <f t="array" ref="L1189">IF(AND(G1189="COMPLETE", OR(K1189="INC", ISBLANK(INDEX(data!O:O, ROW())))), J1189, K1189)</f>
        <v>2025-09-15T17:12:55.499+08</v>
      </c>
      <c r="M1189" s="2">
        <v>45915.0</v>
      </c>
      <c r="N1189" s="2">
        <f t="array" ref="N1189">IF(M1189&lt;&gt;"INC", INDEX(data!M:M, MATCH(B1189, data!D:D, 0)), "")</f>
        <v>2</v>
      </c>
      <c r="O1189" s="2">
        <f t="shared" si="3"/>
        <v>2</v>
      </c>
    </row>
    <row r="1190">
      <c r="A1190" s="2" t="str">
        <f t="shared" si="1"/>
        <v>H030214</v>
      </c>
      <c r="B1190" s="1" t="s">
        <v>6263</v>
      </c>
      <c r="C1190" s="9" t="str">
        <f t="array" ref="C1190">IF(
  AND(
    IFERROR(MATCH(Caseslist!B1190, data!D:D, 0), 0) &gt; 0,
    IFERROR(INDEX(data!N:N, MATCH(Caseslist!B1190, data!D:D, 0)) = 1, FALSE)
  ),
  "COMPLETE",
  "INC"
)</f>
        <v>COMPLETE</v>
      </c>
      <c r="D1190" s="9" t="str">
        <f t="array" ref="D1190">IFERROR(INDEX(data!$G:$G,match(Caseslist!B1190,data!$D:$D,0)), "INC")</f>
        <v>D1284067</v>
      </c>
      <c r="E1190" s="9" t="str">
        <f t="array" ref="E1190">IFERROR(INDEX(data!H:H,match(Caseslist!B1190,data!D:D,0)), "INC")</f>
        <v>Mariel Del Rio</v>
      </c>
      <c r="F1190" s="10" t="str">
        <f t="array" ref="F1190">IF(
    OR(
      IFNA(INDEX(data!M:M, MATCH(Caseslist!B1190, data!D:D, 0)), "") = "",
      IFNA(INDEX(data!M:M, MATCH(Caseslist!B1190, data!D:D, 0)), 0) = 0
    ),
    "COMPLETE",
    IF(
      IFNA(INDEX(dataICM!D:D, MATCH(Caseslist!B1190, dataICM!D:D, 0)), "INC") = "INC",
      IFNA(INDEX(dataICM!D:D, MATCH(Caseslist!B1190, dataICM!D:D, 0)), "INC"),
      "COMPLETE"
    )
  )</f>
        <v>INC</v>
      </c>
      <c r="G1190" s="10" t="str">
        <f t="array" ref="G1190">IF(IFERROR(INDEX(data!L:L,match(Caseslist!B1190,data!D:D,0)),"INC")="","COMPLETE",F1190)</f>
        <v>INC</v>
      </c>
      <c r="H1190" s="9" t="str">
        <f t="array" ref="H1190">IFERROR(INDEX(dataICM!F:F,match(Caseslist!B1190,dataICM!D:D,0)), "INC")</f>
        <v>INC</v>
      </c>
      <c r="I1190" s="10" t="str">
        <f t="shared" si="2"/>
        <v>INC</v>
      </c>
      <c r="J1190" s="9" t="str">
        <f t="array" ref="J1190">IF(
  AND(
    IFERROR(MATCH(B1190, data!D:D, 0), 0) &gt; 0,
    IFERROR(INDEX(data!N:N, MATCH(B1190, data!D:D, 0)) = 1, FALSE)
  ),
  INDEX(data!C:C, MATCH(B1190, data!D:D, 0)),
  "INC"
)</f>
        <v>2025-10-01T17:36:58.057+08</v>
      </c>
      <c r="K1190" s="9" t="str">
        <f t="array" ref="K1190">IFERROR(INDEX(dataICM!C:C,match(Caseslist!B1190,dataICM!D:D,0)), "INC")</f>
        <v>INC</v>
      </c>
      <c r="L1190" s="10" t="str">
        <f t="array" ref="L1190">IF(AND(G1190="COMPLETE", OR(K1190="INC", ISBLANK(INDEX(data!O:O, ROW())))), J1190, K1190)</f>
        <v>INC</v>
      </c>
      <c r="M1190" s="2" t="s">
        <v>8886</v>
      </c>
      <c r="N1190" s="2" t="str">
        <f t="array" ref="N1190">IF(M1190&lt;&gt;"INC", INDEX(data!M:M, MATCH(B1190, data!D:D, 0)), "")</f>
        <v/>
      </c>
      <c r="O1190" s="2" t="str">
        <f t="shared" si="3"/>
        <v/>
      </c>
    </row>
    <row r="1191">
      <c r="A1191" s="2" t="str">
        <f t="shared" si="1"/>
        <v>H030214</v>
      </c>
      <c r="B1191" s="1" t="s">
        <v>6313</v>
      </c>
      <c r="C1191" s="9" t="str">
        <f t="array" ref="C1191">IF(
  AND(
    IFERROR(MATCH(Caseslist!B1191, data!D:D, 0), 0) &gt; 0,
    IFERROR(INDEX(data!N:N, MATCH(Caseslist!B1191, data!D:D, 0)) = 1, FALSE)
  ),
  "COMPLETE",
  "INC"
)</f>
        <v>COMPLETE</v>
      </c>
      <c r="D1191" s="9" t="str">
        <f t="array" ref="D1191">IFERROR(INDEX(data!$G:$G,match(Caseslist!B1191,data!$D:$D,0)), "INC")</f>
        <v>B8193462</v>
      </c>
      <c r="E1191" s="9" t="str">
        <f t="array" ref="E1191">IFERROR(INDEX(data!H:H,match(Caseslist!B1191,data!D:D,0)), "INC")</f>
        <v>Mark Lorens Mendoza Gilongo</v>
      </c>
      <c r="F1191" s="10" t="str">
        <f t="array" ref="F1191">IF(
    OR(
      IFNA(INDEX(data!M:M, MATCH(Caseslist!B1191, data!D:D, 0)), "") = "",
      IFNA(INDEX(data!M:M, MATCH(Caseslist!B1191, data!D:D, 0)), 0) = 0
    ),
    "COMPLETE",
    IF(
      IFNA(INDEX(dataICM!D:D, MATCH(Caseslist!B1191, dataICM!D:D, 0)), "INC") = "INC",
      IFNA(INDEX(dataICM!D:D, MATCH(Caseslist!B1191, dataICM!D:D, 0)), "INC"),
      "COMPLETE"
    )
  )</f>
        <v>COMPLETE</v>
      </c>
      <c r="G1191" s="10" t="str">
        <f t="array" ref="G1191">IF(IFERROR(INDEX(data!L:L,match(Caseslist!B1191,data!D:D,0)),"INC")="","COMPLETE",F1191)</f>
        <v>COMPLETE</v>
      </c>
      <c r="H1191" s="9" t="str">
        <f t="array" ref="H1191">IFERROR(INDEX(dataICM!F:F,match(Caseslist!B1191,dataICM!D:D,0)), "INC")</f>
        <v>Mark Lorens Mendoza Gilongo</v>
      </c>
      <c r="I1191" s="10" t="str">
        <f t="shared" si="2"/>
        <v>B8193462</v>
      </c>
      <c r="J1191" s="9" t="str">
        <f t="array" ref="J1191">IF(
  AND(
    IFERROR(MATCH(B1191, data!D:D, 0), 0) &gt; 0,
    IFERROR(INDEX(data!N:N, MATCH(B1191, data!D:D, 0)) = 1, FALSE)
  ),
  INDEX(data!C:C, MATCH(B1191, data!D:D, 0)),
  "INC"
)</f>
        <v>2025-09-15T13:07:41.553+08</v>
      </c>
      <c r="K1191" s="9" t="str">
        <f t="array" ref="K1191">IFERROR(INDEX(dataICM!C:C,match(Caseslist!B1191,dataICM!D:D,0)), "INC")</f>
        <v>2025-09-15T15:28:55.670+08</v>
      </c>
      <c r="L1191" s="10" t="str">
        <f t="array" ref="L1191">IF(AND(G1191="COMPLETE", OR(K1191="INC", ISBLANK(INDEX(data!O:O, ROW())))), J1191, K1191)</f>
        <v>2025-09-15T15:28:55.670+08</v>
      </c>
      <c r="M1191" s="2">
        <v>45915.0</v>
      </c>
      <c r="N1191" s="2">
        <f t="array" ref="N1191">IF(M1191&lt;&gt;"INC", INDEX(data!M:M, MATCH(B1191, data!D:D, 0)), "")</f>
        <v>2</v>
      </c>
      <c r="O1191" s="2">
        <f t="shared" si="3"/>
        <v>2</v>
      </c>
    </row>
    <row r="1192">
      <c r="A1192" s="2" t="str">
        <f t="shared" si="1"/>
        <v>H030214</v>
      </c>
      <c r="B1192" s="1" t="s">
        <v>6343</v>
      </c>
      <c r="C1192" s="9" t="str">
        <f t="array" ref="C1192">IF(
  AND(
    IFERROR(MATCH(Caseslist!B1192, data!D:D, 0), 0) &gt; 0,
    IFERROR(INDEX(data!N:N, MATCH(Caseslist!B1192, data!D:D, 0)) = 1, FALSE)
  ),
  "COMPLETE",
  "INC"
)</f>
        <v>COMPLETE</v>
      </c>
      <c r="D1192" s="9">
        <f t="array" ref="D1192">IFERROR(INDEX(data!$G:$G,match(Caseslist!B1192,data!$D:$D,0)), "INC")</f>
        <v>555127</v>
      </c>
      <c r="E1192" s="9" t="str">
        <f t="array" ref="E1192">IFERROR(INDEX(data!H:H,match(Caseslist!B1192,data!D:D,0)), "INC")</f>
        <v>Mary May_2</v>
      </c>
      <c r="F1192" s="10" t="str">
        <f t="array" ref="F1192">IF(
    OR(
      IFNA(INDEX(data!M:M, MATCH(Caseslist!B1192, data!D:D, 0)), "") = "",
      IFNA(INDEX(data!M:M, MATCH(Caseslist!B1192, data!D:D, 0)), 0) = 0
    ),
    "COMPLETE",
    IF(
      IFNA(INDEX(dataICM!D:D, MATCH(Caseslist!B1192, dataICM!D:D, 0)), "INC") = "INC",
      IFNA(INDEX(dataICM!D:D, MATCH(Caseslist!B1192, dataICM!D:D, 0)), "INC"),
      "COMPLETE"
    )
  )</f>
        <v>COMPLETE</v>
      </c>
      <c r="G1192" s="10" t="str">
        <f t="array" ref="G1192">IF(IFERROR(INDEX(data!L:L,match(Caseslist!B1192,data!D:D,0)),"INC")="","COMPLETE",F1192)</f>
        <v>COMPLETE</v>
      </c>
      <c r="H1192" s="9" t="str">
        <f t="array" ref="H1192">IFERROR(INDEX(dataICM!F:F,match(Caseslist!B1192,dataICM!D:D,0)), "INC")</f>
        <v>Mary May_2</v>
      </c>
      <c r="I1192" s="10">
        <f t="shared" si="2"/>
        <v>555127</v>
      </c>
      <c r="J1192" s="9" t="str">
        <f t="array" ref="J1192">IF(
  AND(
    IFERROR(MATCH(B1192, data!D:D, 0), 0) &gt; 0,
    IFERROR(INDEX(data!N:N, MATCH(B1192, data!D:D, 0)) = 1, FALSE)
  ),
  INDEX(data!C:C, MATCH(B1192, data!D:D, 0)),
  "INC"
)</f>
        <v>2025-10-03T07:27:37.635+08</v>
      </c>
      <c r="K1192" s="9" t="str">
        <f t="array" ref="K1192">IFERROR(INDEX(dataICM!C:C,match(Caseslist!B1192,dataICM!D:D,0)), "INC")</f>
        <v>2025-10-03T07:32:33.646+08</v>
      </c>
      <c r="L1192" s="10" t="str">
        <f t="array" ref="L1192">IF(AND(G1192="COMPLETE", OR(K1192="INC", ISBLANK(INDEX(data!O:O, ROW())))), J1192, K1192)</f>
        <v>2025-10-03T07:32:33.646+08</v>
      </c>
      <c r="M1192" s="2">
        <v>45933.0</v>
      </c>
      <c r="N1192" s="2">
        <f t="array" ref="N1192">IF(M1192&lt;&gt;"INC", INDEX(data!M:M, MATCH(B1192, data!D:D, 0)), "")</f>
        <v>2</v>
      </c>
      <c r="O1192" s="2">
        <f t="shared" si="3"/>
        <v>2</v>
      </c>
    </row>
    <row r="1193">
      <c r="A1193" s="2" t="str">
        <f t="shared" si="1"/>
        <v>H030214</v>
      </c>
      <c r="B1193" s="1" t="s">
        <v>6318</v>
      </c>
      <c r="C1193" s="9" t="str">
        <f t="array" ref="C1193">IF(
  AND(
    IFERROR(MATCH(Caseslist!B1193, data!D:D, 0), 0) &gt; 0,
    IFERROR(INDEX(data!N:N, MATCH(Caseslist!B1193, data!D:D, 0)) = 1, FALSE)
  ),
  "COMPLETE",
  "INC"
)</f>
        <v>COMPLETE</v>
      </c>
      <c r="D1193" s="9" t="str">
        <f t="array" ref="D1193">IFERROR(INDEX(data!$G:$G,match(Caseslist!B1193,data!$D:$D,0)), "INC")</f>
        <v>B8193462</v>
      </c>
      <c r="E1193" s="9" t="str">
        <f t="array" ref="E1193">IFERROR(INDEX(data!H:H,match(Caseslist!B1193,data!D:D,0)), "INC")</f>
        <v>Mark Lorens Mendoza Gilongo</v>
      </c>
      <c r="F1193" s="10" t="str">
        <f t="array" ref="F1193">IF(
    OR(
      IFNA(INDEX(data!M:M, MATCH(Caseslist!B1193, data!D:D, 0)), "") = "",
      IFNA(INDEX(data!M:M, MATCH(Caseslist!B1193, data!D:D, 0)), 0) = 0
    ),
    "COMPLETE",
    IF(
      IFNA(INDEX(dataICM!D:D, MATCH(Caseslist!B1193, dataICM!D:D, 0)), "INC") = "INC",
      IFNA(INDEX(dataICM!D:D, MATCH(Caseslist!B1193, dataICM!D:D, 0)), "INC"),
      "COMPLETE"
    )
  )</f>
        <v>COMPLETE</v>
      </c>
      <c r="G1193" s="10" t="str">
        <f t="array" ref="G1193">IF(IFERROR(INDEX(data!L:L,match(Caseslist!B1193,data!D:D,0)),"INC")="","COMPLETE",F1193)</f>
        <v>COMPLETE</v>
      </c>
      <c r="H1193" s="9" t="str">
        <f t="array" ref="H1193">IFERROR(INDEX(dataICM!F:F,match(Caseslist!B1193,dataICM!D:D,0)), "INC")</f>
        <v>Mark Lorens Mendoza Gilongo</v>
      </c>
      <c r="I1193" s="10" t="str">
        <f t="shared" si="2"/>
        <v>B8193462</v>
      </c>
      <c r="J1193" s="9" t="str">
        <f t="array" ref="J1193">IF(
  AND(
    IFERROR(MATCH(B1193, data!D:D, 0), 0) &gt; 0,
    IFERROR(INDEX(data!N:N, MATCH(B1193, data!D:D, 0)) = 1, FALSE)
  ),
  INDEX(data!C:C, MATCH(B1193, data!D:D, 0)),
  "INC"
)</f>
        <v>2025-10-01T10:22:51.511+08</v>
      </c>
      <c r="K1193" s="9" t="str">
        <f t="array" ref="K1193">IFERROR(INDEX(dataICM!C:C,match(Caseslist!B1193,dataICM!D:D,0)), "INC")</f>
        <v>2025-10-01T16:04:59.620+08</v>
      </c>
      <c r="L1193" s="10" t="str">
        <f t="array" ref="L1193">IF(AND(G1193="COMPLETE", OR(K1193="INC", ISBLANK(INDEX(data!O:O, ROW())))), J1193, K1193)</f>
        <v>2025-10-01T16:04:59.620+08</v>
      </c>
      <c r="M1193" s="2">
        <v>45931.0</v>
      </c>
      <c r="N1193" s="2">
        <f t="array" ref="N1193">IF(M1193&lt;&gt;"INC", INDEX(data!M:M, MATCH(B1193, data!D:D, 0)), "")</f>
        <v>2</v>
      </c>
      <c r="O1193" s="2">
        <f t="shared" si="3"/>
        <v>2</v>
      </c>
    </row>
    <row r="1194">
      <c r="A1194" s="2" t="str">
        <f t="shared" si="1"/>
        <v>H030214</v>
      </c>
      <c r="B1194" s="1" t="s">
        <v>6328</v>
      </c>
      <c r="C1194" s="9" t="str">
        <f t="array" ref="C1194">IF(
  AND(
    IFERROR(MATCH(Caseslist!B1194, data!D:D, 0), 0) &gt; 0,
    IFERROR(INDEX(data!N:N, MATCH(Caseslist!B1194, data!D:D, 0)) = 1, FALSE)
  ),
  "COMPLETE",
  "INC"
)</f>
        <v>COMPLETE</v>
      </c>
      <c r="D1194" s="9">
        <f t="array" ref="D1194">IFERROR(INDEX(data!$G:$G,match(Caseslist!B1194,data!$D:$D,0)), "INC")</f>
        <v>896791</v>
      </c>
      <c r="E1194" s="9" t="str">
        <f t="array" ref="E1194">IFERROR(INDEX(data!H:H,match(Caseslist!B1194,data!D:D,0)), "INC")</f>
        <v>Roland A. Bandiola jr_2</v>
      </c>
      <c r="F1194" s="10" t="str">
        <f t="array" ref="F1194">IF(
    OR(
      IFNA(INDEX(data!M:M, MATCH(Caseslist!B1194, data!D:D, 0)), "") = "",
      IFNA(INDEX(data!M:M, MATCH(Caseslist!B1194, data!D:D, 0)), 0) = 0
    ),
    "COMPLETE",
    IF(
      IFNA(INDEX(dataICM!D:D, MATCH(Caseslist!B1194, dataICM!D:D, 0)), "INC") = "INC",
      IFNA(INDEX(dataICM!D:D, MATCH(Caseslist!B1194, dataICM!D:D, 0)), "INC"),
      "COMPLETE"
    )
  )</f>
        <v>COMPLETE</v>
      </c>
      <c r="G1194" s="10" t="str">
        <f t="array" ref="G1194">IF(IFERROR(INDEX(data!L:L,match(Caseslist!B1194,data!D:D,0)),"INC")="","COMPLETE",F1194)</f>
        <v>COMPLETE</v>
      </c>
      <c r="H1194" s="9" t="str">
        <f t="array" ref="H1194">IFERROR(INDEX(dataICM!F:F,match(Caseslist!B1194,dataICM!D:D,0)), "INC")</f>
        <v>Roland A. Bandiola jr_2</v>
      </c>
      <c r="I1194" s="10">
        <f t="shared" si="2"/>
        <v>896791</v>
      </c>
      <c r="J1194" s="9" t="str">
        <f t="array" ref="J1194">IF(
  AND(
    IFERROR(MATCH(B1194, data!D:D, 0), 0) &gt; 0,
    IFERROR(INDEX(data!N:N, MATCH(B1194, data!D:D, 0)) = 1, FALSE)
  ),
  INDEX(data!C:C, MATCH(B1194, data!D:D, 0)),
  "INC"
)</f>
        <v>2025-09-15T10:56:52.553+08</v>
      </c>
      <c r="K1194" s="9" t="str">
        <f t="array" ref="K1194">IFERROR(INDEX(dataICM!C:C,match(Caseslist!B1194,dataICM!D:D,0)), "INC")</f>
        <v>2025-09-15T11:06:18.669+08</v>
      </c>
      <c r="L1194" s="10" t="str">
        <f t="array" ref="L1194">IF(AND(G1194="COMPLETE", OR(K1194="INC", ISBLANK(INDEX(data!O:O, ROW())))), J1194, K1194)</f>
        <v>2025-09-15T11:06:18.669+08</v>
      </c>
      <c r="M1194" s="2">
        <v>45915.0</v>
      </c>
      <c r="N1194" s="2">
        <f t="array" ref="N1194">IF(M1194&lt;&gt;"INC", INDEX(data!M:M, MATCH(B1194, data!D:D, 0)), "")</f>
        <v>2</v>
      </c>
      <c r="O1194" s="2">
        <f t="shared" si="3"/>
        <v>2</v>
      </c>
    </row>
    <row r="1195">
      <c r="A1195" s="2" t="str">
        <f t="shared" si="1"/>
        <v>H030214</v>
      </c>
      <c r="B1195" s="1" t="s">
        <v>6323</v>
      </c>
      <c r="C1195" s="9" t="str">
        <f t="array" ref="C1195">IF(
  AND(
    IFERROR(MATCH(Caseslist!B1195, data!D:D, 0), 0) &gt; 0,
    IFERROR(INDEX(data!N:N, MATCH(Caseslist!B1195, data!D:D, 0)) = 1, FALSE)
  ),
  "COMPLETE",
  "INC"
)</f>
        <v>COMPLETE</v>
      </c>
      <c r="D1195" s="9" t="str">
        <f t="array" ref="D1195">IFERROR(INDEX(data!$G:$G,match(Caseslist!B1195,data!$D:$D,0)), "INC")</f>
        <v>B8193462</v>
      </c>
      <c r="E1195" s="9" t="str">
        <f t="array" ref="E1195">IFERROR(INDEX(data!H:H,match(Caseslist!B1195,data!D:D,0)), "INC")</f>
        <v>Mark Lorens Mendoza Gilongo</v>
      </c>
      <c r="F1195" s="10" t="str">
        <f t="array" ref="F1195">IF(
    OR(
      IFNA(INDEX(data!M:M, MATCH(Caseslist!B1195, data!D:D, 0)), "") = "",
      IFNA(INDEX(data!M:M, MATCH(Caseslist!B1195, data!D:D, 0)), 0) = 0
    ),
    "COMPLETE",
    IF(
      IFNA(INDEX(dataICM!D:D, MATCH(Caseslist!B1195, dataICM!D:D, 0)), "INC") = "INC",
      IFNA(INDEX(dataICM!D:D, MATCH(Caseslist!B1195, dataICM!D:D, 0)), "INC"),
      "COMPLETE"
    )
  )</f>
        <v>COMPLETE</v>
      </c>
      <c r="G1195" s="10" t="str">
        <f t="array" ref="G1195">IF(IFERROR(INDEX(data!L:L,match(Caseslist!B1195,data!D:D,0)),"INC")="","COMPLETE",F1195)</f>
        <v>COMPLETE</v>
      </c>
      <c r="H1195" s="9" t="str">
        <f t="array" ref="H1195">IFERROR(INDEX(dataICM!F:F,match(Caseslist!B1195,dataICM!D:D,0)), "INC")</f>
        <v>Mark Lorens Mendoza Gilongo</v>
      </c>
      <c r="I1195" s="10" t="str">
        <f t="shared" si="2"/>
        <v>B8193462</v>
      </c>
      <c r="J1195" s="9" t="str">
        <f t="array" ref="J1195">IF(
  AND(
    IFERROR(MATCH(B1195, data!D:D, 0), 0) &gt; 0,
    IFERROR(INDEX(data!N:N, MATCH(B1195, data!D:D, 0)) = 1, FALSE)
  ),
  INDEX(data!C:C, MATCH(B1195, data!D:D, 0)),
  "INC"
)</f>
        <v>2025-09-15T11:25:39.853+08</v>
      </c>
      <c r="K1195" s="9" t="str">
        <f t="array" ref="K1195">IFERROR(INDEX(dataICM!C:C,match(Caseslist!B1195,dataICM!D:D,0)), "INC")</f>
        <v>2025-09-15T16:54:27.389+08</v>
      </c>
      <c r="L1195" s="10" t="str">
        <f t="array" ref="L1195">IF(AND(G1195="COMPLETE", OR(K1195="INC", ISBLANK(INDEX(data!O:O, ROW())))), J1195, K1195)</f>
        <v>2025-09-15T16:54:27.389+08</v>
      </c>
      <c r="M1195" s="2">
        <v>45915.0</v>
      </c>
      <c r="N1195" s="2">
        <f t="array" ref="N1195">IF(M1195&lt;&gt;"INC", INDEX(data!M:M, MATCH(B1195, data!D:D, 0)), "")</f>
        <v>2</v>
      </c>
      <c r="O1195" s="2">
        <f t="shared" si="3"/>
        <v>2</v>
      </c>
    </row>
    <row r="1196">
      <c r="A1196" s="2" t="str">
        <f t="shared" si="1"/>
        <v>H030214</v>
      </c>
      <c r="B1196" s="1" t="s">
        <v>6333</v>
      </c>
      <c r="C1196" s="9" t="str">
        <f t="array" ref="C1196">IF(
  AND(
    IFERROR(MATCH(Caseslist!B1196, data!D:D, 0), 0) &gt; 0,
    IFERROR(INDEX(data!N:N, MATCH(Caseslist!B1196, data!D:D, 0)) = 1, FALSE)
  ),
  "COMPLETE",
  "INC"
)</f>
        <v>COMPLETE</v>
      </c>
      <c r="D1196" s="9">
        <f t="array" ref="D1196">IFERROR(INDEX(data!$G:$G,match(Caseslist!B1196,data!$D:$D,0)), "INC")</f>
        <v>896791</v>
      </c>
      <c r="E1196" s="9" t="str">
        <f t="array" ref="E1196">IFERROR(INDEX(data!H:H,match(Caseslist!B1196,data!D:D,0)), "INC")</f>
        <v>Roland A. Bandiola jr_2</v>
      </c>
      <c r="F1196" s="10" t="str">
        <f t="array" ref="F1196">IF(
    OR(
      IFNA(INDEX(data!M:M, MATCH(Caseslist!B1196, data!D:D, 0)), "") = "",
      IFNA(INDEX(data!M:M, MATCH(Caseslist!B1196, data!D:D, 0)), 0) = 0
    ),
    "COMPLETE",
    IF(
      IFNA(INDEX(dataICM!D:D, MATCH(Caseslist!B1196, dataICM!D:D, 0)), "INC") = "INC",
      IFNA(INDEX(dataICM!D:D, MATCH(Caseslist!B1196, dataICM!D:D, 0)), "INC"),
      "COMPLETE"
    )
  )</f>
        <v>COMPLETE</v>
      </c>
      <c r="G1196" s="10" t="str">
        <f t="array" ref="G1196">IF(IFERROR(INDEX(data!L:L,match(Caseslist!B1196,data!D:D,0)),"INC")="","COMPLETE",F1196)</f>
        <v>COMPLETE</v>
      </c>
      <c r="H1196" s="9" t="str">
        <f t="array" ref="H1196">IFERROR(INDEX(dataICM!F:F,match(Caseslist!B1196,dataICM!D:D,0)), "INC")</f>
        <v>Roland A. Bandiola jr_2</v>
      </c>
      <c r="I1196" s="10">
        <f t="shared" si="2"/>
        <v>896791</v>
      </c>
      <c r="J1196" s="9" t="str">
        <f t="array" ref="J1196">IF(
  AND(
    IFERROR(MATCH(B1196, data!D:D, 0), 0) &gt; 0,
    IFERROR(INDEX(data!N:N, MATCH(B1196, data!D:D, 0)) = 1, FALSE)
  ),
  INDEX(data!C:C, MATCH(B1196, data!D:D, 0)),
  "INC"
)</f>
        <v>2025-09-15T12:46:08.176+08</v>
      </c>
      <c r="K1196" s="9" t="str">
        <f t="array" ref="K1196">IFERROR(INDEX(dataICM!C:C,match(Caseslist!B1196,dataICM!D:D,0)), "INC")</f>
        <v>2025-09-15T12:51:43.200+08</v>
      </c>
      <c r="L1196" s="10" t="str">
        <f t="array" ref="L1196">IF(AND(G1196="COMPLETE", OR(K1196="INC", ISBLANK(INDEX(data!O:O, ROW())))), J1196, K1196)</f>
        <v>2025-09-15T12:51:43.200+08</v>
      </c>
      <c r="M1196" s="2">
        <v>45915.0</v>
      </c>
      <c r="N1196" s="2">
        <f t="array" ref="N1196">IF(M1196&lt;&gt;"INC", INDEX(data!M:M, MATCH(B1196, data!D:D, 0)), "")</f>
        <v>2</v>
      </c>
      <c r="O1196" s="2">
        <f t="shared" si="3"/>
        <v>2</v>
      </c>
    </row>
    <row r="1197">
      <c r="A1197" s="2" t="str">
        <f t="shared" si="1"/>
        <v>H030214</v>
      </c>
      <c r="B1197" s="1" t="s">
        <v>6218</v>
      </c>
      <c r="C1197" s="9" t="str">
        <f t="array" ref="C1197">IF(
  AND(
    IFERROR(MATCH(Caseslist!B1197, data!D:D, 0), 0) &gt; 0,
    IFERROR(INDEX(data!N:N, MATCH(Caseslist!B1197, data!D:D, 0)) = 1, FALSE)
  ),
  "COMPLETE",
  "INC"
)</f>
        <v>COMPLETE</v>
      </c>
      <c r="D1197" s="9" t="str">
        <f t="array" ref="D1197">IFERROR(INDEX(data!$G:$G,match(Caseslist!B1197,data!$D:$D,0)), "INC")</f>
        <v>C7502931</v>
      </c>
      <c r="E1197" s="9" t="str">
        <f t="array" ref="E1197">IFERROR(INDEX(data!H:H,match(Caseslist!B1197,data!D:D,0)), "INC")</f>
        <v>Jenny Lou Toles Estacio</v>
      </c>
      <c r="F1197" s="10" t="str">
        <f t="array" ref="F1197">IF(
    OR(
      IFNA(INDEX(data!M:M, MATCH(Caseslist!B1197, data!D:D, 0)), "") = "",
      IFNA(INDEX(data!M:M, MATCH(Caseslist!B1197, data!D:D, 0)), 0) = 0
    ),
    "COMPLETE",
    IF(
      IFNA(INDEX(dataICM!D:D, MATCH(Caseslist!B1197, dataICM!D:D, 0)), "INC") = "INC",
      IFNA(INDEX(dataICM!D:D, MATCH(Caseslist!B1197, dataICM!D:D, 0)), "INC"),
      "COMPLETE"
    )
  )</f>
        <v>COMPLETE</v>
      </c>
      <c r="G1197" s="10" t="str">
        <f t="array" ref="G1197">IF(IFERROR(INDEX(data!L:L,match(Caseslist!B1197,data!D:D,0)),"INC")="","COMPLETE",F1197)</f>
        <v>COMPLETE</v>
      </c>
      <c r="H1197" s="9" t="str">
        <f t="array" ref="H1197">IFERROR(INDEX(dataICM!F:F,match(Caseslist!B1197,dataICM!D:D,0)), "INC")</f>
        <v>Jenny Lou Toles Estacio</v>
      </c>
      <c r="I1197" s="10" t="str">
        <f t="shared" si="2"/>
        <v>C7502931</v>
      </c>
      <c r="J1197" s="9" t="str">
        <f t="array" ref="J1197">IF(
  AND(
    IFERROR(MATCH(B1197, data!D:D, 0), 0) &gt; 0,
    IFERROR(INDEX(data!N:N, MATCH(B1197, data!D:D, 0)) = 1, FALSE)
  ),
  INDEX(data!C:C, MATCH(B1197, data!D:D, 0)),
  "INC"
)</f>
        <v>2025-09-15T12:46:20.448+08</v>
      </c>
      <c r="K1197" s="9" t="str">
        <f t="array" ref="K1197">IFERROR(INDEX(dataICM!C:C,match(Caseslist!B1197,dataICM!D:D,0)), "INC")</f>
        <v>2025-09-15T17:13:10.124+08</v>
      </c>
      <c r="L1197" s="10" t="str">
        <f t="array" ref="L1197">IF(AND(G1197="COMPLETE", OR(K1197="INC", ISBLANK(INDEX(data!O:O, ROW())))), J1197, K1197)</f>
        <v>2025-09-15T17:13:10.124+08</v>
      </c>
      <c r="M1197" s="2">
        <v>45915.0</v>
      </c>
      <c r="N1197" s="2">
        <f t="array" ref="N1197">IF(M1197&lt;&gt;"INC", INDEX(data!M:M, MATCH(B1197, data!D:D, 0)), "")</f>
        <v>2</v>
      </c>
      <c r="O1197" s="2">
        <f t="shared" si="3"/>
        <v>2</v>
      </c>
    </row>
    <row r="1198">
      <c r="A1198" s="2" t="str">
        <f t="shared" si="1"/>
        <v>H030214</v>
      </c>
      <c r="B1198" s="1" t="s">
        <v>6228</v>
      </c>
      <c r="C1198" s="9" t="str">
        <f t="array" ref="C1198">IF(
  AND(
    IFERROR(MATCH(Caseslist!B1198, data!D:D, 0), 0) &gt; 0,
    IFERROR(INDEX(data!N:N, MATCH(Caseslist!B1198, data!D:D, 0)) = 1, FALSE)
  ),
  "COMPLETE",
  "INC"
)</f>
        <v>COMPLETE</v>
      </c>
      <c r="D1198" s="9" t="str">
        <f t="array" ref="D1198">IFERROR(INDEX(data!$G:$G,match(Caseslist!B1198,data!$D:$D,0)), "INC")</f>
        <v>C7502931</v>
      </c>
      <c r="E1198" s="9" t="str">
        <f t="array" ref="E1198">IFERROR(INDEX(data!H:H,match(Caseslist!B1198,data!D:D,0)), "INC")</f>
        <v>Jenny Lou Toles Estacio</v>
      </c>
      <c r="F1198" s="10" t="str">
        <f t="array" ref="F1198">IF(
    OR(
      IFNA(INDEX(data!M:M, MATCH(Caseslist!B1198, data!D:D, 0)), "") = "",
      IFNA(INDEX(data!M:M, MATCH(Caseslist!B1198, data!D:D, 0)), 0) = 0
    ),
    "COMPLETE",
    IF(
      IFNA(INDEX(dataICM!D:D, MATCH(Caseslist!B1198, dataICM!D:D, 0)), "INC") = "INC",
      IFNA(INDEX(dataICM!D:D, MATCH(Caseslist!B1198, dataICM!D:D, 0)), "INC"),
      "COMPLETE"
    )
  )</f>
        <v>COMPLETE</v>
      </c>
      <c r="G1198" s="10" t="str">
        <f t="array" ref="G1198">IF(IFERROR(INDEX(data!L:L,match(Caseslist!B1198,data!D:D,0)),"INC")="","COMPLETE",F1198)</f>
        <v>COMPLETE</v>
      </c>
      <c r="H1198" s="9" t="str">
        <f t="array" ref="H1198">IFERROR(INDEX(dataICM!F:F,match(Caseslist!B1198,dataICM!D:D,0)), "INC")</f>
        <v>Jenny Lou Toles Estacio</v>
      </c>
      <c r="I1198" s="10" t="str">
        <f t="shared" si="2"/>
        <v>C7502931</v>
      </c>
      <c r="J1198" s="9" t="str">
        <f t="array" ref="J1198">IF(
  AND(
    IFERROR(MATCH(B1198, data!D:D, 0), 0) &gt; 0,
    IFERROR(INDEX(data!N:N, MATCH(B1198, data!D:D, 0)) = 1, FALSE)
  ),
  INDEX(data!C:C, MATCH(B1198, data!D:D, 0)),
  "INC"
)</f>
        <v>2025-09-15T14:06:09.106+08</v>
      </c>
      <c r="K1198" s="9" t="str">
        <f t="array" ref="K1198">IFERROR(INDEX(dataICM!C:C,match(Caseslist!B1198,dataICM!D:D,0)), "INC")</f>
        <v>2025-09-15T17:41:56.578+08</v>
      </c>
      <c r="L1198" s="10" t="str">
        <f t="array" ref="L1198">IF(AND(G1198="COMPLETE", OR(K1198="INC", ISBLANK(INDEX(data!O:O, ROW())))), J1198, K1198)</f>
        <v>2025-09-15T17:41:56.578+08</v>
      </c>
      <c r="M1198" s="2">
        <v>45915.0</v>
      </c>
      <c r="N1198" s="2">
        <f t="array" ref="N1198">IF(M1198&lt;&gt;"INC", INDEX(data!M:M, MATCH(B1198, data!D:D, 0)), "")</f>
        <v>2</v>
      </c>
      <c r="O1198" s="2">
        <f t="shared" si="3"/>
        <v>2</v>
      </c>
    </row>
    <row r="1199">
      <c r="A1199" s="2" t="str">
        <f t="shared" si="1"/>
        <v>H030214</v>
      </c>
      <c r="B1199" s="1" t="s">
        <v>6253</v>
      </c>
      <c r="C1199" s="9" t="str">
        <f t="array" ref="C1199">IF(
  AND(
    IFERROR(MATCH(Caseslist!B1199, data!D:D, 0), 0) &gt; 0,
    IFERROR(INDEX(data!N:N, MATCH(Caseslist!B1199, data!D:D, 0)) = 1, FALSE)
  ),
  "COMPLETE",
  "INC"
)</f>
        <v>COMPLETE</v>
      </c>
      <c r="D1199" s="9" t="str">
        <f t="array" ref="D1199">IFERROR(INDEX(data!$G:$G,match(Caseslist!B1199,data!$D:$D,0)), "INC")</f>
        <v>D1284067</v>
      </c>
      <c r="E1199" s="9" t="str">
        <f t="array" ref="E1199">IFERROR(INDEX(data!H:H,match(Caseslist!B1199,data!D:D,0)), "INC")</f>
        <v>Mariel Del Rio</v>
      </c>
      <c r="F1199" s="10" t="str">
        <f t="array" ref="F1199">IF(
    OR(
      IFNA(INDEX(data!M:M, MATCH(Caseslist!B1199, data!D:D, 0)), "") = "",
      IFNA(INDEX(data!M:M, MATCH(Caseslist!B1199, data!D:D, 0)), 0) = 0
    ),
    "COMPLETE",
    IF(
      IFNA(INDEX(dataICM!D:D, MATCH(Caseslist!B1199, dataICM!D:D, 0)), "INC") = "INC",
      IFNA(INDEX(dataICM!D:D, MATCH(Caseslist!B1199, dataICM!D:D, 0)), "INC"),
      "COMPLETE"
    )
  )</f>
        <v>COMPLETE</v>
      </c>
      <c r="G1199" s="10" t="str">
        <f t="array" ref="G1199">IF(IFERROR(INDEX(data!L:L,match(Caseslist!B1199,data!D:D,0)),"INC")="","COMPLETE",F1199)</f>
        <v>COMPLETE</v>
      </c>
      <c r="H1199" s="9" t="str">
        <f t="array" ref="H1199">IFERROR(INDEX(dataICM!F:F,match(Caseslist!B1199,dataICM!D:D,0)), "INC")</f>
        <v>Mariel Del Rio</v>
      </c>
      <c r="I1199" s="10" t="str">
        <f t="shared" si="2"/>
        <v>D1284067</v>
      </c>
      <c r="J1199" s="9" t="str">
        <f t="array" ref="J1199">IF(
  AND(
    IFERROR(MATCH(B1199, data!D:D, 0), 0) &gt; 0,
    IFERROR(INDEX(data!N:N, MATCH(B1199, data!D:D, 0)) = 1, FALSE)
  ),
  INDEX(data!C:C, MATCH(B1199, data!D:D, 0)),
  "INC"
)</f>
        <v>2025-09-15T11:45:22.823+08</v>
      </c>
      <c r="K1199" s="9" t="str">
        <f t="array" ref="K1199">IFERROR(INDEX(dataICM!C:C,match(Caseslist!B1199,dataICM!D:D,0)), "INC")</f>
        <v>2025-09-15T11:49:03.377+08</v>
      </c>
      <c r="L1199" s="10" t="str">
        <f t="array" ref="L1199">IF(AND(G1199="COMPLETE", OR(K1199="INC", ISBLANK(INDEX(data!O:O, ROW())))), J1199, K1199)</f>
        <v>2025-09-15T11:49:03.377+08</v>
      </c>
      <c r="M1199" s="2">
        <v>45915.0</v>
      </c>
      <c r="N1199" s="2">
        <f t="array" ref="N1199">IF(M1199&lt;&gt;"INC", INDEX(data!M:M, MATCH(B1199, data!D:D, 0)), "")</f>
        <v>2</v>
      </c>
      <c r="O1199" s="2">
        <f t="shared" si="3"/>
        <v>2</v>
      </c>
    </row>
    <row r="1200">
      <c r="A1200" s="2" t="str">
        <f t="shared" si="1"/>
        <v>H030214</v>
      </c>
      <c r="B1200" s="1" t="s">
        <v>6223</v>
      </c>
      <c r="C1200" s="9" t="str">
        <f t="array" ref="C1200">IF(
  AND(
    IFERROR(MATCH(Caseslist!B1200, data!D:D, 0), 0) &gt; 0,
    IFERROR(INDEX(data!N:N, MATCH(Caseslist!B1200, data!D:D, 0)) = 1, FALSE)
  ),
  "COMPLETE",
  "INC"
)</f>
        <v>COMPLETE</v>
      </c>
      <c r="D1200" s="9" t="str">
        <f t="array" ref="D1200">IFERROR(INDEX(data!$G:$G,match(Caseslist!B1200,data!$D:$D,0)), "INC")</f>
        <v>C7502931</v>
      </c>
      <c r="E1200" s="9" t="str">
        <f t="array" ref="E1200">IFERROR(INDEX(data!H:H,match(Caseslist!B1200,data!D:D,0)), "INC")</f>
        <v>Jenny Lou Toles Estacio</v>
      </c>
      <c r="F1200" s="10" t="str">
        <f t="array" ref="F1200">IF(
    OR(
      IFNA(INDEX(data!M:M, MATCH(Caseslist!B1200, data!D:D, 0)), "") = "",
      IFNA(INDEX(data!M:M, MATCH(Caseslist!B1200, data!D:D, 0)), 0) = 0
    ),
    "COMPLETE",
    IF(
      IFNA(INDEX(dataICM!D:D, MATCH(Caseslist!B1200, dataICM!D:D, 0)), "INC") = "INC",
      IFNA(INDEX(dataICM!D:D, MATCH(Caseslist!B1200, dataICM!D:D, 0)), "INC"),
      "COMPLETE"
    )
  )</f>
        <v>INC</v>
      </c>
      <c r="G1200" s="10" t="str">
        <f t="array" ref="G1200">IF(IFERROR(INDEX(data!L:L,match(Caseslist!B1200,data!D:D,0)),"INC")="","COMPLETE",F1200)</f>
        <v>INC</v>
      </c>
      <c r="H1200" s="9" t="str">
        <f t="array" ref="H1200">IFERROR(INDEX(dataICM!F:F,match(Caseslist!B1200,dataICM!D:D,0)), "INC")</f>
        <v>INC</v>
      </c>
      <c r="I1200" s="10" t="str">
        <f t="shared" si="2"/>
        <v>INC</v>
      </c>
      <c r="J1200" s="9" t="str">
        <f t="array" ref="J1200">IF(
  AND(
    IFERROR(MATCH(B1200, data!D:D, 0), 0) &gt; 0,
    IFERROR(INDEX(data!N:N, MATCH(B1200, data!D:D, 0)) = 1, FALSE)
  ),
  INDEX(data!C:C, MATCH(B1200, data!D:D, 0)),
  "INC"
)</f>
        <v>2025-10-01T16:14:13.267+08</v>
      </c>
      <c r="K1200" s="9" t="str">
        <f t="array" ref="K1200">IFERROR(INDEX(dataICM!C:C,match(Caseslist!B1200,dataICM!D:D,0)), "INC")</f>
        <v>INC</v>
      </c>
      <c r="L1200" s="10" t="str">
        <f t="array" ref="L1200">IF(AND(G1200="COMPLETE", OR(K1200="INC", ISBLANK(INDEX(data!O:O, ROW())))), J1200, K1200)</f>
        <v>INC</v>
      </c>
      <c r="M1200" s="2" t="s">
        <v>8886</v>
      </c>
      <c r="N1200" s="2" t="str">
        <f t="array" ref="N1200">IF(M1200&lt;&gt;"INC", INDEX(data!M:M, MATCH(B1200, data!D:D, 0)), "")</f>
        <v/>
      </c>
      <c r="O1200" s="2" t="str">
        <f t="shared" si="3"/>
        <v/>
      </c>
    </row>
    <row r="1201">
      <c r="A1201" s="2" t="str">
        <f t="shared" si="1"/>
        <v>H030244</v>
      </c>
      <c r="B1201" s="1" t="s">
        <v>7803</v>
      </c>
      <c r="C1201" s="9" t="str">
        <f t="array" ref="C1201">IF(
  AND(
    IFERROR(MATCH(Caseslist!B1201, data!D:D, 0), 0) &gt; 0,
    IFERROR(INDEX(data!N:N, MATCH(Caseslist!B1201, data!D:D, 0)) = 1, FALSE)
  ),
  "COMPLETE",
  "INC"
)</f>
        <v>COMPLETE</v>
      </c>
      <c r="D1201" s="9" t="str">
        <f t="array" ref="D1201">IFERROR(INDEX(data!$G:$G,match(Caseslist!B1201,data!$D:$D,0)), "INC")</f>
        <v>D1284067</v>
      </c>
      <c r="E1201" s="9" t="str">
        <f t="array" ref="E1201">IFERROR(INDEX(data!H:H,match(Caseslist!B1201,data!D:D,0)), "INC")</f>
        <v>Mariel Del Rio</v>
      </c>
      <c r="F1201" s="10" t="str">
        <f t="array" ref="F1201">IF(
    OR(
      IFNA(INDEX(data!M:M, MATCH(Caseslist!B1201, data!D:D, 0)), "") = "",
      IFNA(INDEX(data!M:M, MATCH(Caseslist!B1201, data!D:D, 0)), 0) = 0
    ),
    "COMPLETE",
    IF(
      IFNA(INDEX(dataICM!D:D, MATCH(Caseslist!B1201, dataICM!D:D, 0)), "INC") = "INC",
      IFNA(INDEX(dataICM!D:D, MATCH(Caseslist!B1201, dataICM!D:D, 0)), "INC"),
      "COMPLETE"
    )
  )</f>
        <v>COMPLETE</v>
      </c>
      <c r="G1201" s="10" t="str">
        <f t="array" ref="G1201">IF(IFERROR(INDEX(data!L:L,match(Caseslist!B1201,data!D:D,0)),"INC")="","COMPLETE",F1201)</f>
        <v>COMPLETE</v>
      </c>
      <c r="H1201" s="9" t="str">
        <f t="array" ref="H1201">IFERROR(INDEX(dataICM!F:F,match(Caseslist!B1201,dataICM!D:D,0)), "INC")</f>
        <v>INC</v>
      </c>
      <c r="I1201" s="10" t="str">
        <f t="shared" si="2"/>
        <v>D1284067</v>
      </c>
      <c r="J1201" s="9" t="str">
        <f t="array" ref="J1201">IF(
  AND(
    IFERROR(MATCH(B1201, data!D:D, 0), 0) &gt; 0,
    IFERROR(INDEX(data!N:N, MATCH(B1201, data!D:D, 0)) = 1, FALSE)
  ),
  INDEX(data!C:C, MATCH(B1201, data!D:D, 0)),
  "INC"
)</f>
        <v>2025-09-20T10:44:28.548+08</v>
      </c>
      <c r="K1201" s="9" t="str">
        <f t="array" ref="K1201">IFERROR(INDEX(dataICM!C:C,match(Caseslist!B1201,dataICM!D:D,0)), "INC")</f>
        <v>INC</v>
      </c>
      <c r="L1201" s="10" t="str">
        <f t="array" ref="L1201">IF(AND(G1201="COMPLETE", OR(K1201="INC", ISBLANK(INDEX(data!O:O, ROW())))), J1201, K1201)</f>
        <v>2025-09-20T10:44:28.548+08</v>
      </c>
      <c r="M1201" s="2">
        <v>45920.0</v>
      </c>
      <c r="N1201" s="2">
        <f t="array" ref="N1201">IF(M1201&lt;&gt;"INC", INDEX(data!M:M, MATCH(B1201, data!D:D, 0)), "")</f>
        <v>0</v>
      </c>
      <c r="O1201" s="2">
        <f t="shared" si="3"/>
        <v>0</v>
      </c>
    </row>
    <row r="1202">
      <c r="A1202" s="2" t="str">
        <f t="shared" si="1"/>
        <v>H030244</v>
      </c>
      <c r="B1202" s="1" t="s">
        <v>7733</v>
      </c>
      <c r="C1202" s="9" t="str">
        <f t="array" ref="C1202">IF(
  AND(
    IFERROR(MATCH(Caseslist!B1202, data!D:D, 0), 0) &gt; 0,
    IFERROR(INDEX(data!N:N, MATCH(Caseslist!B1202, data!D:D, 0)) = 1, FALSE)
  ),
  "COMPLETE",
  "INC"
)</f>
        <v>COMPLETE</v>
      </c>
      <c r="D1202" s="9" t="str">
        <f t="array" ref="D1202">IFERROR(INDEX(data!$G:$G,match(Caseslist!B1202,data!$D:$D,0)), "INC")</f>
        <v>C7502931</v>
      </c>
      <c r="E1202" s="9" t="str">
        <f t="array" ref="E1202">IFERROR(INDEX(data!H:H,match(Caseslist!B1202,data!D:D,0)), "INC")</f>
        <v>Jenny Lou Toles Estacio</v>
      </c>
      <c r="F1202" s="10" t="str">
        <f t="array" ref="F1202">IF(
    OR(
      IFNA(INDEX(data!M:M, MATCH(Caseslist!B1202, data!D:D, 0)), "") = "",
      IFNA(INDEX(data!M:M, MATCH(Caseslist!B1202, data!D:D, 0)), 0) = 0
    ),
    "COMPLETE",
    IF(
      IFNA(INDEX(dataICM!D:D, MATCH(Caseslist!B1202, dataICM!D:D, 0)), "INC") = "INC",
      IFNA(INDEX(dataICM!D:D, MATCH(Caseslist!B1202, dataICM!D:D, 0)), "INC"),
      "COMPLETE"
    )
  )</f>
        <v>COMPLETE</v>
      </c>
      <c r="G1202" s="10" t="str">
        <f t="array" ref="G1202">IF(IFERROR(INDEX(data!L:L,match(Caseslist!B1202,data!D:D,0)),"INC")="","COMPLETE",F1202)</f>
        <v>COMPLETE</v>
      </c>
      <c r="H1202" s="9" t="str">
        <f t="array" ref="H1202">IFERROR(INDEX(dataICM!F:F,match(Caseslist!B1202,dataICM!D:D,0)), "INC")</f>
        <v>INC</v>
      </c>
      <c r="I1202" s="10" t="str">
        <f t="shared" si="2"/>
        <v>C7502931</v>
      </c>
      <c r="J1202" s="9" t="str">
        <f t="array" ref="J1202">IF(
  AND(
    IFERROR(MATCH(B1202, data!D:D, 0), 0) &gt; 0,
    IFERROR(INDEX(data!N:N, MATCH(B1202, data!D:D, 0)) = 1, FALSE)
  ),
  INDEX(data!C:C, MATCH(B1202, data!D:D, 0)),
  "INC"
)</f>
        <v>2025-09-20T17:03:42.704+08</v>
      </c>
      <c r="K1202" s="9" t="str">
        <f t="array" ref="K1202">IFERROR(INDEX(dataICM!C:C,match(Caseslist!B1202,dataICM!D:D,0)), "INC")</f>
        <v>INC</v>
      </c>
      <c r="L1202" s="10" t="str">
        <f t="array" ref="L1202">IF(AND(G1202="COMPLETE", OR(K1202="INC", ISBLANK(INDEX(data!O:O, ROW())))), J1202, K1202)</f>
        <v>2025-09-20T17:03:42.704+08</v>
      </c>
      <c r="M1202" s="2">
        <v>45920.0</v>
      </c>
      <c r="N1202" s="2">
        <f t="array" ref="N1202">IF(M1202&lt;&gt;"INC", INDEX(data!M:M, MATCH(B1202, data!D:D, 0)), "")</f>
        <v>0</v>
      </c>
      <c r="O1202" s="2">
        <f t="shared" si="3"/>
        <v>0</v>
      </c>
    </row>
    <row r="1203">
      <c r="A1203" s="2" t="str">
        <f t="shared" si="1"/>
        <v>H030244</v>
      </c>
      <c r="B1203" s="1" t="s">
        <v>7558</v>
      </c>
      <c r="C1203" s="9" t="str">
        <f t="array" ref="C1203">IF(
  AND(
    IFERROR(MATCH(Caseslist!B1203, data!D:D, 0), 0) &gt; 0,
    IFERROR(INDEX(data!N:N, MATCH(Caseslist!B1203, data!D:D, 0)) = 1, FALSE)
  ),
  "COMPLETE",
  "INC"
)</f>
        <v>COMPLETE</v>
      </c>
      <c r="D1203" s="9" t="str">
        <f t="array" ref="D1203">IFERROR(INDEX(data!$G:$G,match(Caseslist!B1203,data!$D:$D,0)), "INC")</f>
        <v>C7502931</v>
      </c>
      <c r="E1203" s="9" t="str">
        <f t="array" ref="E1203">IFERROR(INDEX(data!H:H,match(Caseslist!B1203,data!D:D,0)), "INC")</f>
        <v>Jenny Lou Toles Estacio</v>
      </c>
      <c r="F1203" s="10" t="str">
        <f t="array" ref="F1203">IF(
    OR(
      IFNA(INDEX(data!M:M, MATCH(Caseslist!B1203, data!D:D, 0)), "") = "",
      IFNA(INDEX(data!M:M, MATCH(Caseslist!B1203, data!D:D, 0)), 0) = 0
    ),
    "COMPLETE",
    IF(
      IFNA(INDEX(dataICM!D:D, MATCH(Caseslist!B1203, dataICM!D:D, 0)), "INC") = "INC",
      IFNA(INDEX(dataICM!D:D, MATCH(Caseslist!B1203, dataICM!D:D, 0)), "INC"),
      "COMPLETE"
    )
  )</f>
        <v>COMPLETE</v>
      </c>
      <c r="G1203" s="10" t="str">
        <f t="array" ref="G1203">IF(IFERROR(INDEX(data!L:L,match(Caseslist!B1203,data!D:D,0)),"INC")="","COMPLETE",F1203)</f>
        <v>COMPLETE</v>
      </c>
      <c r="H1203" s="9" t="str">
        <f t="array" ref="H1203">IFERROR(INDEX(dataICM!F:F,match(Caseslist!B1203,dataICM!D:D,0)), "INC")</f>
        <v>INC</v>
      </c>
      <c r="I1203" s="10" t="str">
        <f t="shared" si="2"/>
        <v>C7502931</v>
      </c>
      <c r="J1203" s="9" t="str">
        <f t="array" ref="J1203">IF(
  AND(
    IFERROR(MATCH(B1203, data!D:D, 0), 0) &gt; 0,
    IFERROR(INDEX(data!N:N, MATCH(B1203, data!D:D, 0)) = 1, FALSE)
  ),
  INDEX(data!C:C, MATCH(B1203, data!D:D, 0)),
  "INC"
)</f>
        <v>2025-09-19T19:02:49.783+08</v>
      </c>
      <c r="K1203" s="9" t="str">
        <f t="array" ref="K1203">IFERROR(INDEX(dataICM!C:C,match(Caseslist!B1203,dataICM!D:D,0)), "INC")</f>
        <v>INC</v>
      </c>
      <c r="L1203" s="10" t="str">
        <f t="array" ref="L1203">IF(AND(G1203="COMPLETE", OR(K1203="INC", ISBLANK(INDEX(data!O:O, ROW())))), J1203, K1203)</f>
        <v>2025-09-19T19:02:49.783+08</v>
      </c>
      <c r="M1203" s="2">
        <v>45919.0</v>
      </c>
      <c r="N1203" s="2">
        <f t="array" ref="N1203">IF(M1203&lt;&gt;"INC", INDEX(data!M:M, MATCH(B1203, data!D:D, 0)), "")</f>
        <v>0</v>
      </c>
      <c r="O1203" s="2">
        <f t="shared" si="3"/>
        <v>0</v>
      </c>
    </row>
    <row r="1204">
      <c r="A1204" s="2" t="str">
        <f t="shared" si="1"/>
        <v>H030244</v>
      </c>
      <c r="B1204" s="1" t="s">
        <v>7468</v>
      </c>
      <c r="C1204" s="9" t="str">
        <f t="array" ref="C1204">IF(
  AND(
    IFERROR(MATCH(Caseslist!B1204, data!D:D, 0), 0) &gt; 0,
    IFERROR(INDEX(data!N:N, MATCH(Caseslist!B1204, data!D:D, 0)) = 1, FALSE)
  ),
  "COMPLETE",
  "INC"
)</f>
        <v>COMPLETE</v>
      </c>
      <c r="D1204" s="9" t="str">
        <f t="array" ref="D1204">IFERROR(INDEX(data!$G:$G,match(Caseslist!B1204,data!$D:$D,0)), "INC")</f>
        <v>D1284067</v>
      </c>
      <c r="E1204" s="9" t="str">
        <f t="array" ref="E1204">IFERROR(INDEX(data!H:H,match(Caseslist!B1204,data!D:D,0)), "INC")</f>
        <v>Mariel Del Rio</v>
      </c>
      <c r="F1204" s="10" t="str">
        <f t="array" ref="F1204">IF(
    OR(
      IFNA(INDEX(data!M:M, MATCH(Caseslist!B1204, data!D:D, 0)), "") = "",
      IFNA(INDEX(data!M:M, MATCH(Caseslist!B1204, data!D:D, 0)), 0) = 0
    ),
    "COMPLETE",
    IF(
      IFNA(INDEX(dataICM!D:D, MATCH(Caseslist!B1204, dataICM!D:D, 0)), "INC") = "INC",
      IFNA(INDEX(dataICM!D:D, MATCH(Caseslist!B1204, dataICM!D:D, 0)), "INC"),
      "COMPLETE"
    )
  )</f>
        <v>COMPLETE</v>
      </c>
      <c r="G1204" s="10" t="str">
        <f t="array" ref="G1204">IF(IFERROR(INDEX(data!L:L,match(Caseslist!B1204,data!D:D,0)),"INC")="","COMPLETE",F1204)</f>
        <v>COMPLETE</v>
      </c>
      <c r="H1204" s="9" t="str">
        <f t="array" ref="H1204">IFERROR(INDEX(dataICM!F:F,match(Caseslist!B1204,dataICM!D:D,0)), "INC")</f>
        <v>INC</v>
      </c>
      <c r="I1204" s="10" t="str">
        <f t="shared" si="2"/>
        <v>D1284067</v>
      </c>
      <c r="J1204" s="9" t="str">
        <f t="array" ref="J1204">IF(
  AND(
    IFERROR(MATCH(B1204, data!D:D, 0), 0) &gt; 0,
    IFERROR(INDEX(data!N:N, MATCH(B1204, data!D:D, 0)) = 1, FALSE)
  ),
  INDEX(data!C:C, MATCH(B1204, data!D:D, 0)),
  "INC"
)</f>
        <v>2025-09-19T11:47:05.450+08</v>
      </c>
      <c r="K1204" s="9" t="str">
        <f t="array" ref="K1204">IFERROR(INDEX(dataICM!C:C,match(Caseslist!B1204,dataICM!D:D,0)), "INC")</f>
        <v>INC</v>
      </c>
      <c r="L1204" s="10" t="str">
        <f t="array" ref="L1204">IF(AND(G1204="COMPLETE", OR(K1204="INC", ISBLANK(INDEX(data!O:O, ROW())))), J1204, K1204)</f>
        <v>2025-09-19T11:47:05.450+08</v>
      </c>
      <c r="M1204" s="2">
        <v>45919.0</v>
      </c>
      <c r="N1204" s="2">
        <f t="array" ref="N1204">IF(M1204&lt;&gt;"INC", INDEX(data!M:M, MATCH(B1204, data!D:D, 0)), "")</f>
        <v>0</v>
      </c>
      <c r="O1204" s="2">
        <f t="shared" si="3"/>
        <v>0</v>
      </c>
    </row>
    <row r="1205">
      <c r="A1205" s="2" t="str">
        <f t="shared" si="1"/>
        <v>H030244</v>
      </c>
      <c r="B1205" s="1" t="s">
        <v>7583</v>
      </c>
      <c r="C1205" s="9" t="str">
        <f t="array" ref="C1205">IF(
  AND(
    IFERROR(MATCH(Caseslist!B1205, data!D:D, 0), 0) &gt; 0,
    IFERROR(INDEX(data!N:N, MATCH(Caseslist!B1205, data!D:D, 0)) = 1, FALSE)
  ),
  "COMPLETE",
  "INC"
)</f>
        <v>COMPLETE</v>
      </c>
      <c r="D1205" s="9" t="str">
        <f t="array" ref="D1205">IFERROR(INDEX(data!$G:$G,match(Caseslist!B1205,data!$D:$D,0)), "INC")</f>
        <v>C7502931</v>
      </c>
      <c r="E1205" s="9" t="str">
        <f t="array" ref="E1205">IFERROR(INDEX(data!H:H,match(Caseslist!B1205,data!D:D,0)), "INC")</f>
        <v>Jenny Lou Toles Estacio</v>
      </c>
      <c r="F1205" s="10" t="str">
        <f t="array" ref="F1205">IF(
    OR(
      IFNA(INDEX(data!M:M, MATCH(Caseslist!B1205, data!D:D, 0)), "") = "",
      IFNA(INDEX(data!M:M, MATCH(Caseslist!B1205, data!D:D, 0)), 0) = 0
    ),
    "COMPLETE",
    IF(
      IFNA(INDEX(dataICM!D:D, MATCH(Caseslist!B1205, dataICM!D:D, 0)), "INC") = "INC",
      IFNA(INDEX(dataICM!D:D, MATCH(Caseslist!B1205, dataICM!D:D, 0)), "INC"),
      "COMPLETE"
    )
  )</f>
        <v>COMPLETE</v>
      </c>
      <c r="G1205" s="10" t="str">
        <f t="array" ref="G1205">IF(IFERROR(INDEX(data!L:L,match(Caseslist!B1205,data!D:D,0)),"INC")="","COMPLETE",F1205)</f>
        <v>COMPLETE</v>
      </c>
      <c r="H1205" s="9" t="str">
        <f t="array" ref="H1205">IFERROR(INDEX(dataICM!F:F,match(Caseslist!B1205,dataICM!D:D,0)), "INC")</f>
        <v>INC</v>
      </c>
      <c r="I1205" s="10" t="str">
        <f t="shared" si="2"/>
        <v>C7502931</v>
      </c>
      <c r="J1205" s="9" t="str">
        <f t="array" ref="J1205">IF(
  AND(
    IFERROR(MATCH(B1205, data!D:D, 0), 0) &gt; 0,
    IFERROR(INDEX(data!N:N, MATCH(B1205, data!D:D, 0)) = 1, FALSE)
  ),
  INDEX(data!C:C, MATCH(B1205, data!D:D, 0)),
  "INC"
)</f>
        <v>2025-09-19T19:09:45.583+08</v>
      </c>
      <c r="K1205" s="9" t="str">
        <f t="array" ref="K1205">IFERROR(INDEX(dataICM!C:C,match(Caseslist!B1205,dataICM!D:D,0)), "INC")</f>
        <v>INC</v>
      </c>
      <c r="L1205" s="10" t="str">
        <f t="array" ref="L1205">IF(AND(G1205="COMPLETE", OR(K1205="INC", ISBLANK(INDEX(data!O:O, ROW())))), J1205, K1205)</f>
        <v>2025-09-19T19:09:45.583+08</v>
      </c>
      <c r="M1205" s="2">
        <v>45919.0</v>
      </c>
      <c r="N1205" s="2">
        <f t="array" ref="N1205">IF(M1205&lt;&gt;"INC", INDEX(data!M:M, MATCH(B1205, data!D:D, 0)), "")</f>
        <v>0</v>
      </c>
      <c r="O1205" s="2">
        <f t="shared" si="3"/>
        <v>0</v>
      </c>
    </row>
    <row r="1206">
      <c r="A1206" s="2" t="str">
        <f t="shared" si="1"/>
        <v>H030244</v>
      </c>
      <c r="B1206" s="1" t="s">
        <v>7768</v>
      </c>
      <c r="C1206" s="9" t="str">
        <f t="array" ref="C1206">IF(
  AND(
    IFERROR(MATCH(Caseslist!B1206, data!D:D, 0), 0) &gt; 0,
    IFERROR(INDEX(data!N:N, MATCH(Caseslist!B1206, data!D:D, 0)) = 1, FALSE)
  ),
  "COMPLETE",
  "INC"
)</f>
        <v>INC</v>
      </c>
      <c r="D1206" s="9" t="str">
        <f t="array" ref="D1206">IFERROR(INDEX(data!$G:$G,match(Caseslist!B1206,data!$D:$D,0)), "INC")</f>
        <v>D1284067</v>
      </c>
      <c r="E1206" s="9" t="str">
        <f t="array" ref="E1206">IFERROR(INDEX(data!H:H,match(Caseslist!B1206,data!D:D,0)), "INC")</f>
        <v>Mariel Del Rio</v>
      </c>
      <c r="F1206" s="10" t="str">
        <f t="array" ref="F1206">IF(
    OR(
      IFNA(INDEX(data!M:M, MATCH(Caseslist!B1206, data!D:D, 0)), "") = "",
      IFNA(INDEX(data!M:M, MATCH(Caseslist!B1206, data!D:D, 0)), 0) = 0
    ),
    "COMPLETE",
    IF(
      IFNA(INDEX(dataICM!D:D, MATCH(Caseslist!B1206, dataICM!D:D, 0)), "INC") = "INC",
      IFNA(INDEX(dataICM!D:D, MATCH(Caseslist!B1206, dataICM!D:D, 0)), "INC"),
      "COMPLETE"
    )
  )</f>
        <v>COMPLETE</v>
      </c>
      <c r="G1206" s="10" t="str">
        <f t="array" ref="G1206">IF(IFERROR(INDEX(data!L:L,match(Caseslist!B1206,data!D:D,0)),"INC")="","COMPLETE",F1206)</f>
        <v>COMPLETE</v>
      </c>
      <c r="H1206" s="9" t="str">
        <f t="array" ref="H1206">IFERROR(INDEX(dataICM!F:F,match(Caseslist!B1206,dataICM!D:D,0)), "INC")</f>
        <v>INC</v>
      </c>
      <c r="I1206" s="10" t="str">
        <f t="shared" si="2"/>
        <v>D1284067</v>
      </c>
      <c r="J1206" s="9" t="str">
        <f t="array" ref="J1206">IF(
  AND(
    IFERROR(MATCH(B1206, data!D:D, 0), 0) &gt; 0,
    IFERROR(INDEX(data!N:N, MATCH(B1206, data!D:D, 0)) = 1, FALSE)
  ),
  INDEX(data!C:C, MATCH(B1206, data!D:D, 0)),
  "INC"
)</f>
        <v>INC</v>
      </c>
      <c r="K1206" s="9" t="str">
        <f t="array" ref="K1206">IFERROR(INDEX(dataICM!C:C,match(Caseslist!B1206,dataICM!D:D,0)), "INC")</f>
        <v>INC</v>
      </c>
      <c r="L1206" s="10" t="str">
        <f t="array" ref="L1206">IF(AND(G1206="COMPLETE", OR(K1206="INC", ISBLANK(INDEX(data!O:O, ROW())))), J1206, K1206)</f>
        <v>INC</v>
      </c>
      <c r="M1206" s="2" t="s">
        <v>8886</v>
      </c>
      <c r="N1206" s="2" t="str">
        <f t="array" ref="N1206">IF(M1206&lt;&gt;"INC", INDEX(data!M:M, MATCH(B1206, data!D:D, 0)), "")</f>
        <v/>
      </c>
      <c r="O1206" s="2" t="str">
        <f t="shared" si="3"/>
        <v/>
      </c>
    </row>
    <row r="1207">
      <c r="A1207" s="2" t="str">
        <f t="shared" si="1"/>
        <v>H030244</v>
      </c>
      <c r="B1207" s="1" t="s">
        <v>7798</v>
      </c>
      <c r="C1207" s="9" t="str">
        <f t="array" ref="C1207">IF(
  AND(
    IFERROR(MATCH(Caseslist!B1207, data!D:D, 0), 0) &gt; 0,
    IFERROR(INDEX(data!N:N, MATCH(Caseslist!B1207, data!D:D, 0)) = 1, FALSE)
  ),
  "COMPLETE",
  "INC"
)</f>
        <v>COMPLETE</v>
      </c>
      <c r="D1207" s="9" t="str">
        <f t="array" ref="D1207">IFERROR(INDEX(data!$G:$G,match(Caseslist!B1207,data!$D:$D,0)), "INC")</f>
        <v>B8193462</v>
      </c>
      <c r="E1207" s="9" t="str">
        <f t="array" ref="E1207">IFERROR(INDEX(data!H:H,match(Caseslist!B1207,data!D:D,0)), "INC")</f>
        <v>Mark Lorens Mendoza Gilongo</v>
      </c>
      <c r="F1207" s="10" t="str">
        <f t="array" ref="F1207">IF(
    OR(
      IFNA(INDEX(data!M:M, MATCH(Caseslist!B1207, data!D:D, 0)), "") = "",
      IFNA(INDEX(data!M:M, MATCH(Caseslist!B1207, data!D:D, 0)), 0) = 0
    ),
    "COMPLETE",
    IF(
      IFNA(INDEX(dataICM!D:D, MATCH(Caseslist!B1207, dataICM!D:D, 0)), "INC") = "INC",
      IFNA(INDEX(dataICM!D:D, MATCH(Caseslist!B1207, dataICM!D:D, 0)), "INC"),
      "COMPLETE"
    )
  )</f>
        <v>COMPLETE</v>
      </c>
      <c r="G1207" s="10" t="str">
        <f t="array" ref="G1207">IF(IFERROR(INDEX(data!L:L,match(Caseslist!B1207,data!D:D,0)),"INC")="","COMPLETE",F1207)</f>
        <v>COMPLETE</v>
      </c>
      <c r="H1207" s="9" t="str">
        <f t="array" ref="H1207">IFERROR(INDEX(dataICM!F:F,match(Caseslist!B1207,dataICM!D:D,0)), "INC")</f>
        <v>INC</v>
      </c>
      <c r="I1207" s="10" t="str">
        <f t="shared" si="2"/>
        <v>B8193462</v>
      </c>
      <c r="J1207" s="9" t="str">
        <f t="array" ref="J1207">IF(
  AND(
    IFERROR(MATCH(B1207, data!D:D, 0), 0) &gt; 0,
    IFERROR(INDEX(data!N:N, MATCH(B1207, data!D:D, 0)) = 1, FALSE)
  ),
  INDEX(data!C:C, MATCH(B1207, data!D:D, 0)),
  "INC"
)</f>
        <v>2025-09-20T15:53:49.763+08</v>
      </c>
      <c r="K1207" s="9" t="str">
        <f t="array" ref="K1207">IFERROR(INDEX(dataICM!C:C,match(Caseslist!B1207,dataICM!D:D,0)), "INC")</f>
        <v>INC</v>
      </c>
      <c r="L1207" s="10" t="str">
        <f t="array" ref="L1207">IF(AND(G1207="COMPLETE", OR(K1207="INC", ISBLANK(INDEX(data!O:O, ROW())))), J1207, K1207)</f>
        <v>2025-09-20T15:53:49.763+08</v>
      </c>
      <c r="M1207" s="2">
        <v>45920.0</v>
      </c>
      <c r="N1207" s="2">
        <f t="array" ref="N1207">IF(M1207&lt;&gt;"INC", INDEX(data!M:M, MATCH(B1207, data!D:D, 0)), "")</f>
        <v>0</v>
      </c>
      <c r="O1207" s="2">
        <f t="shared" si="3"/>
        <v>0</v>
      </c>
    </row>
    <row r="1208">
      <c r="A1208" s="2" t="str">
        <f t="shared" si="1"/>
        <v>H030244</v>
      </c>
      <c r="B1208" s="1" t="s">
        <v>7763</v>
      </c>
      <c r="C1208" s="9" t="str">
        <f t="array" ref="C1208">IF(
  AND(
    IFERROR(MATCH(Caseslist!B1208, data!D:D, 0), 0) &gt; 0,
    IFERROR(INDEX(data!N:N, MATCH(Caseslist!B1208, data!D:D, 0)) = 1, FALSE)
  ),
  "COMPLETE",
  "INC"
)</f>
        <v>COMPLETE</v>
      </c>
      <c r="D1208" s="9">
        <f t="array" ref="D1208">IFERROR(INDEX(data!$G:$G,match(Caseslist!B1208,data!$D:$D,0)), "INC")</f>
        <v>896791</v>
      </c>
      <c r="E1208" s="9" t="str">
        <f t="array" ref="E1208">IFERROR(INDEX(data!H:H,match(Caseslist!B1208,data!D:D,0)), "INC")</f>
        <v>Roland A. Bandiola jr_2</v>
      </c>
      <c r="F1208" s="10" t="str">
        <f t="array" ref="F1208">IF(
    OR(
      IFNA(INDEX(data!M:M, MATCH(Caseslist!B1208, data!D:D, 0)), "") = "",
      IFNA(INDEX(data!M:M, MATCH(Caseslist!B1208, data!D:D, 0)), 0) = 0
    ),
    "COMPLETE",
    IF(
      IFNA(INDEX(dataICM!D:D, MATCH(Caseslist!B1208, dataICM!D:D, 0)), "INC") = "INC",
      IFNA(INDEX(dataICM!D:D, MATCH(Caseslist!B1208, dataICM!D:D, 0)), "INC"),
      "COMPLETE"
    )
  )</f>
        <v>COMPLETE</v>
      </c>
      <c r="G1208" s="10" t="str">
        <f t="array" ref="G1208">IF(IFERROR(INDEX(data!L:L,match(Caseslist!B1208,data!D:D,0)),"INC")="","COMPLETE",F1208)</f>
        <v>COMPLETE</v>
      </c>
      <c r="H1208" s="9" t="str">
        <f t="array" ref="H1208">IFERROR(INDEX(dataICM!F:F,match(Caseslist!B1208,dataICM!D:D,0)), "INC")</f>
        <v>INC</v>
      </c>
      <c r="I1208" s="10">
        <f t="shared" si="2"/>
        <v>896791</v>
      </c>
      <c r="J1208" s="9" t="str">
        <f t="array" ref="J1208">IF(
  AND(
    IFERROR(MATCH(B1208, data!D:D, 0), 0) &gt; 0,
    IFERROR(INDEX(data!N:N, MATCH(B1208, data!D:D, 0)) = 1, FALSE)
  ),
  INDEX(data!C:C, MATCH(B1208, data!D:D, 0)),
  "INC"
)</f>
        <v>2025-09-20T15:37:00.184+08</v>
      </c>
      <c r="K1208" s="9" t="str">
        <f t="array" ref="K1208">IFERROR(INDEX(dataICM!C:C,match(Caseslist!B1208,dataICM!D:D,0)), "INC")</f>
        <v>INC</v>
      </c>
      <c r="L1208" s="10" t="str">
        <f t="array" ref="L1208">IF(AND(G1208="COMPLETE", OR(K1208="INC", ISBLANK(INDEX(data!O:O, ROW())))), J1208, K1208)</f>
        <v>2025-09-20T15:37:00.184+08</v>
      </c>
      <c r="M1208" s="2">
        <v>45920.0</v>
      </c>
      <c r="N1208" s="2">
        <f t="array" ref="N1208">IF(M1208&lt;&gt;"INC", INDEX(data!M:M, MATCH(B1208, data!D:D, 0)), "")</f>
        <v>0</v>
      </c>
      <c r="O1208" s="2">
        <f t="shared" si="3"/>
        <v>0</v>
      </c>
    </row>
    <row r="1209">
      <c r="A1209" s="2" t="str">
        <f t="shared" si="1"/>
        <v>H030244</v>
      </c>
      <c r="B1209" s="1" t="s">
        <v>7473</v>
      </c>
      <c r="C1209" s="9" t="str">
        <f t="array" ref="C1209">IF(
  AND(
    IFERROR(MATCH(Caseslist!B1209, data!D:D, 0), 0) &gt; 0,
    IFERROR(INDEX(data!N:N, MATCH(Caseslist!B1209, data!D:D, 0)) = 1, FALSE)
  ),
  "COMPLETE",
  "INC"
)</f>
        <v>COMPLETE</v>
      </c>
      <c r="D1209" s="9" t="str">
        <f t="array" ref="D1209">IFERROR(INDEX(data!$G:$G,match(Caseslist!B1209,data!$D:$D,0)), "INC")</f>
        <v>D1284067</v>
      </c>
      <c r="E1209" s="9" t="str">
        <f t="array" ref="E1209">IFERROR(INDEX(data!H:H,match(Caseslist!B1209,data!D:D,0)), "INC")</f>
        <v>Mariel Del Rio</v>
      </c>
      <c r="F1209" s="10" t="str">
        <f t="array" ref="F1209">IF(
    OR(
      IFNA(INDEX(data!M:M, MATCH(Caseslist!B1209, data!D:D, 0)), "") = "",
      IFNA(INDEX(data!M:M, MATCH(Caseslist!B1209, data!D:D, 0)), 0) = 0
    ),
    "COMPLETE",
    IF(
      IFNA(INDEX(dataICM!D:D, MATCH(Caseslist!B1209, dataICM!D:D, 0)), "INC") = "INC",
      IFNA(INDEX(dataICM!D:D, MATCH(Caseslist!B1209, dataICM!D:D, 0)), "INC"),
      "COMPLETE"
    )
  )</f>
        <v>COMPLETE</v>
      </c>
      <c r="G1209" s="10" t="str">
        <f t="array" ref="G1209">IF(IFERROR(INDEX(data!L:L,match(Caseslist!B1209,data!D:D,0)),"INC")="","COMPLETE",F1209)</f>
        <v>COMPLETE</v>
      </c>
      <c r="H1209" s="9" t="str">
        <f t="array" ref="H1209">IFERROR(INDEX(dataICM!F:F,match(Caseslist!B1209,dataICM!D:D,0)), "INC")</f>
        <v>INC</v>
      </c>
      <c r="I1209" s="10" t="str">
        <f t="shared" si="2"/>
        <v>D1284067</v>
      </c>
      <c r="J1209" s="9" t="str">
        <f t="array" ref="J1209">IF(
  AND(
    IFERROR(MATCH(B1209, data!D:D, 0), 0) &gt; 0,
    IFERROR(INDEX(data!N:N, MATCH(B1209, data!D:D, 0)) = 1, FALSE)
  ),
  INDEX(data!C:C, MATCH(B1209, data!D:D, 0)),
  "INC"
)</f>
        <v>2025-09-19T14:16:56.494+08</v>
      </c>
      <c r="K1209" s="9" t="str">
        <f t="array" ref="K1209">IFERROR(INDEX(dataICM!C:C,match(Caseslist!B1209,dataICM!D:D,0)), "INC")</f>
        <v>INC</v>
      </c>
      <c r="L1209" s="10" t="str">
        <f t="array" ref="L1209">IF(AND(G1209="COMPLETE", OR(K1209="INC", ISBLANK(INDEX(data!O:O, ROW())))), J1209, K1209)</f>
        <v>2025-09-19T14:16:56.494+08</v>
      </c>
      <c r="M1209" s="2">
        <v>45919.0</v>
      </c>
      <c r="N1209" s="2">
        <f t="array" ref="N1209">IF(M1209&lt;&gt;"INC", INDEX(data!M:M, MATCH(B1209, data!D:D, 0)), "")</f>
        <v>0</v>
      </c>
      <c r="O1209" s="2">
        <f t="shared" si="3"/>
        <v>0</v>
      </c>
    </row>
    <row r="1210">
      <c r="A1210" s="2" t="str">
        <f t="shared" si="1"/>
        <v>H030244</v>
      </c>
      <c r="B1210" s="1" t="s">
        <v>7518</v>
      </c>
      <c r="C1210" s="9" t="str">
        <f t="array" ref="C1210">IF(
  AND(
    IFERROR(MATCH(Caseslist!B1210, data!D:D, 0), 0) &gt; 0,
    IFERROR(INDEX(data!N:N, MATCH(Caseslist!B1210, data!D:D, 0)) = 1, FALSE)
  ),
  "COMPLETE",
  "INC"
)</f>
        <v>COMPLETE</v>
      </c>
      <c r="D1210" s="9">
        <f t="array" ref="D1210">IFERROR(INDEX(data!$G:$G,match(Caseslist!B1210,data!$D:$D,0)), "INC")</f>
        <v>896791</v>
      </c>
      <c r="E1210" s="9" t="str">
        <f t="array" ref="E1210">IFERROR(INDEX(data!H:H,match(Caseslist!B1210,data!D:D,0)), "INC")</f>
        <v>Roland A. Bandiola jr_2</v>
      </c>
      <c r="F1210" s="10" t="str">
        <f t="array" ref="F1210">IF(
    OR(
      IFNA(INDEX(data!M:M, MATCH(Caseslist!B1210, data!D:D, 0)), "") = "",
      IFNA(INDEX(data!M:M, MATCH(Caseslist!B1210, data!D:D, 0)), 0) = 0
    ),
    "COMPLETE",
    IF(
      IFNA(INDEX(dataICM!D:D, MATCH(Caseslist!B1210, dataICM!D:D, 0)), "INC") = "INC",
      IFNA(INDEX(dataICM!D:D, MATCH(Caseslist!B1210, dataICM!D:D, 0)), "INC"),
      "COMPLETE"
    )
  )</f>
        <v>COMPLETE</v>
      </c>
      <c r="G1210" s="10" t="str">
        <f t="array" ref="G1210">IF(IFERROR(INDEX(data!L:L,match(Caseslist!B1210,data!D:D,0)),"INC")="","COMPLETE",F1210)</f>
        <v>COMPLETE</v>
      </c>
      <c r="H1210" s="9" t="str">
        <f t="array" ref="H1210">IFERROR(INDEX(dataICM!F:F,match(Caseslist!B1210,dataICM!D:D,0)), "INC")</f>
        <v>INC</v>
      </c>
      <c r="I1210" s="10">
        <f t="shared" si="2"/>
        <v>896791</v>
      </c>
      <c r="J1210" s="9" t="str">
        <f t="array" ref="J1210">IF(
  AND(
    IFERROR(MATCH(B1210, data!D:D, 0), 0) &gt; 0,
    IFERROR(INDEX(data!N:N, MATCH(B1210, data!D:D, 0)) = 1, FALSE)
  ),
  INDEX(data!C:C, MATCH(B1210, data!D:D, 0)),
  "INC"
)</f>
        <v>2025-09-19T18:48:20.768+08</v>
      </c>
      <c r="K1210" s="9" t="str">
        <f t="array" ref="K1210">IFERROR(INDEX(dataICM!C:C,match(Caseslist!B1210,dataICM!D:D,0)), "INC")</f>
        <v>INC</v>
      </c>
      <c r="L1210" s="10" t="str">
        <f t="array" ref="L1210">IF(AND(G1210="COMPLETE", OR(K1210="INC", ISBLANK(INDEX(data!O:O, ROW())))), J1210, K1210)</f>
        <v>2025-09-19T18:48:20.768+08</v>
      </c>
      <c r="M1210" s="2">
        <v>45919.0</v>
      </c>
      <c r="N1210" s="2">
        <f t="array" ref="N1210">IF(M1210&lt;&gt;"INC", INDEX(data!M:M, MATCH(B1210, data!D:D, 0)), "")</f>
        <v>0</v>
      </c>
      <c r="O1210" s="2">
        <f t="shared" si="3"/>
        <v>0</v>
      </c>
    </row>
    <row r="1211">
      <c r="A1211" s="2" t="str">
        <f t="shared" si="1"/>
        <v>H030244</v>
      </c>
      <c r="B1211" s="1" t="s">
        <v>7523</v>
      </c>
      <c r="C1211" s="9" t="str">
        <f t="array" ref="C1211">IF(
  AND(
    IFERROR(MATCH(Caseslist!B1211, data!D:D, 0), 0) &gt; 0,
    IFERROR(INDEX(data!N:N, MATCH(Caseslist!B1211, data!D:D, 0)) = 1, FALSE)
  ),
  "COMPLETE",
  "INC"
)</f>
        <v>COMPLETE</v>
      </c>
      <c r="D1211" s="9">
        <f t="array" ref="D1211">IFERROR(INDEX(data!$G:$G,match(Caseslist!B1211,data!$D:$D,0)), "INC")</f>
        <v>896791</v>
      </c>
      <c r="E1211" s="9" t="str">
        <f t="array" ref="E1211">IFERROR(INDEX(data!H:H,match(Caseslist!B1211,data!D:D,0)), "INC")</f>
        <v>Roland A. Bandiola jr_2</v>
      </c>
      <c r="F1211" s="10" t="str">
        <f t="array" ref="F1211">IF(
    OR(
      IFNA(INDEX(data!M:M, MATCH(Caseslist!B1211, data!D:D, 0)), "") = "",
      IFNA(INDEX(data!M:M, MATCH(Caseslist!B1211, data!D:D, 0)), 0) = 0
    ),
    "COMPLETE",
    IF(
      IFNA(INDEX(dataICM!D:D, MATCH(Caseslist!B1211, dataICM!D:D, 0)), "INC") = "INC",
      IFNA(INDEX(dataICM!D:D, MATCH(Caseslist!B1211, dataICM!D:D, 0)), "INC"),
      "COMPLETE"
    )
  )</f>
        <v>COMPLETE</v>
      </c>
      <c r="G1211" s="10" t="str">
        <f t="array" ref="G1211">IF(IFERROR(INDEX(data!L:L,match(Caseslist!B1211,data!D:D,0)),"INC")="","COMPLETE",F1211)</f>
        <v>COMPLETE</v>
      </c>
      <c r="H1211" s="9" t="str">
        <f t="array" ref="H1211">IFERROR(INDEX(dataICM!F:F,match(Caseslist!B1211,dataICM!D:D,0)), "INC")</f>
        <v>INC</v>
      </c>
      <c r="I1211" s="10">
        <f t="shared" si="2"/>
        <v>896791</v>
      </c>
      <c r="J1211" s="9" t="str">
        <f t="array" ref="J1211">IF(
  AND(
    IFERROR(MATCH(B1211, data!D:D, 0), 0) &gt; 0,
    IFERROR(INDEX(data!N:N, MATCH(B1211, data!D:D, 0)) = 1, FALSE)
  ),
  INDEX(data!C:C, MATCH(B1211, data!D:D, 0)),
  "INC"
)</f>
        <v>2025-09-19T18:54:03.931+08</v>
      </c>
      <c r="K1211" s="9" t="str">
        <f t="array" ref="K1211">IFERROR(INDEX(dataICM!C:C,match(Caseslist!B1211,dataICM!D:D,0)), "INC")</f>
        <v>INC</v>
      </c>
      <c r="L1211" s="10" t="str">
        <f t="array" ref="L1211">IF(AND(G1211="COMPLETE", OR(K1211="INC", ISBLANK(INDEX(data!O:O, ROW())))), J1211, K1211)</f>
        <v>2025-09-19T18:54:03.931+08</v>
      </c>
      <c r="M1211" s="2">
        <v>45919.0</v>
      </c>
      <c r="N1211" s="2">
        <f t="array" ref="N1211">IF(M1211&lt;&gt;"INC", INDEX(data!M:M, MATCH(B1211, data!D:D, 0)), "")</f>
        <v>0</v>
      </c>
      <c r="O1211" s="2">
        <f t="shared" si="3"/>
        <v>0</v>
      </c>
    </row>
    <row r="1212">
      <c r="A1212" s="2" t="str">
        <f t="shared" si="1"/>
        <v>H030244</v>
      </c>
      <c r="B1212" s="1" t="s">
        <v>7563</v>
      </c>
      <c r="C1212" s="9" t="str">
        <f t="array" ref="C1212">IF(
  AND(
    IFERROR(MATCH(Caseslist!B1212, data!D:D, 0), 0) &gt; 0,
    IFERROR(INDEX(data!N:N, MATCH(Caseslist!B1212, data!D:D, 0)) = 1, FALSE)
  ),
  "COMPLETE",
  "INC"
)</f>
        <v>COMPLETE</v>
      </c>
      <c r="D1212" s="9" t="str">
        <f t="array" ref="D1212">IFERROR(INDEX(data!$G:$G,match(Caseslist!B1212,data!$D:$D,0)), "INC")</f>
        <v>B8193462</v>
      </c>
      <c r="E1212" s="9" t="str">
        <f t="array" ref="E1212">IFERROR(INDEX(data!H:H,match(Caseslist!B1212,data!D:D,0)), "INC")</f>
        <v>Mark Lorens Mendoza Gilongo</v>
      </c>
      <c r="F1212" s="10" t="str">
        <f t="array" ref="F1212">IF(
    OR(
      IFNA(INDEX(data!M:M, MATCH(Caseslist!B1212, data!D:D, 0)), "") = "",
      IFNA(INDEX(data!M:M, MATCH(Caseslist!B1212, data!D:D, 0)), 0) = 0
    ),
    "COMPLETE",
    IF(
      IFNA(INDEX(dataICM!D:D, MATCH(Caseslist!B1212, dataICM!D:D, 0)), "INC") = "INC",
      IFNA(INDEX(dataICM!D:D, MATCH(Caseslist!B1212, dataICM!D:D, 0)), "INC"),
      "COMPLETE"
    )
  )</f>
        <v>COMPLETE</v>
      </c>
      <c r="G1212" s="10" t="str">
        <f t="array" ref="G1212">IF(IFERROR(INDEX(data!L:L,match(Caseslist!B1212,data!D:D,0)),"INC")="","COMPLETE",F1212)</f>
        <v>COMPLETE</v>
      </c>
      <c r="H1212" s="9" t="str">
        <f t="array" ref="H1212">IFERROR(INDEX(dataICM!F:F,match(Caseslist!B1212,dataICM!D:D,0)), "INC")</f>
        <v>INC</v>
      </c>
      <c r="I1212" s="10" t="str">
        <f t="shared" si="2"/>
        <v>B8193462</v>
      </c>
      <c r="J1212" s="9" t="str">
        <f t="array" ref="J1212">IF(
  AND(
    IFERROR(MATCH(B1212, data!D:D, 0), 0) &gt; 0,
    IFERROR(INDEX(data!N:N, MATCH(B1212, data!D:D, 0)) = 1, FALSE)
  ),
  INDEX(data!C:C, MATCH(B1212, data!D:D, 0)),
  "INC"
)</f>
        <v>2025-09-19T18:54:33.072+08</v>
      </c>
      <c r="K1212" s="9" t="str">
        <f t="array" ref="K1212">IFERROR(INDEX(dataICM!C:C,match(Caseslist!B1212,dataICM!D:D,0)), "INC")</f>
        <v>INC</v>
      </c>
      <c r="L1212" s="10" t="str">
        <f t="array" ref="L1212">IF(AND(G1212="COMPLETE", OR(K1212="INC", ISBLANK(INDEX(data!O:O, ROW())))), J1212, K1212)</f>
        <v>2025-09-19T18:54:33.072+08</v>
      </c>
      <c r="M1212" s="2">
        <v>45919.0</v>
      </c>
      <c r="N1212" s="2">
        <f t="array" ref="N1212">IF(M1212&lt;&gt;"INC", INDEX(data!M:M, MATCH(B1212, data!D:D, 0)), "")</f>
        <v>0</v>
      </c>
      <c r="O1212" s="2">
        <f t="shared" si="3"/>
        <v>0</v>
      </c>
    </row>
    <row r="1213">
      <c r="A1213" s="2" t="str">
        <f t="shared" si="1"/>
        <v>H030244</v>
      </c>
      <c r="B1213" s="1" t="s">
        <v>7773</v>
      </c>
      <c r="C1213" s="9" t="str">
        <f t="array" ref="C1213">IF(
  AND(
    IFERROR(MATCH(Caseslist!B1213, data!D:D, 0), 0) &gt; 0,
    IFERROR(INDEX(data!N:N, MATCH(Caseslist!B1213, data!D:D, 0)) = 1, FALSE)
  ),
  "COMPLETE",
  "INC"
)</f>
        <v>COMPLETE</v>
      </c>
      <c r="D1213" s="9">
        <f t="array" ref="D1213">IFERROR(INDEX(data!$G:$G,match(Caseslist!B1213,data!$D:$D,0)), "INC")</f>
        <v>896791</v>
      </c>
      <c r="E1213" s="9" t="str">
        <f t="array" ref="E1213">IFERROR(INDEX(data!H:H,match(Caseslist!B1213,data!D:D,0)), "INC")</f>
        <v>Roland A. Bandiola jr_2</v>
      </c>
      <c r="F1213" s="10" t="str">
        <f t="array" ref="F1213">IF(
    OR(
      IFNA(INDEX(data!M:M, MATCH(Caseslist!B1213, data!D:D, 0)), "") = "",
      IFNA(INDEX(data!M:M, MATCH(Caseslist!B1213, data!D:D, 0)), 0) = 0
    ),
    "COMPLETE",
    IF(
      IFNA(INDEX(dataICM!D:D, MATCH(Caseslist!B1213, dataICM!D:D, 0)), "INC") = "INC",
      IFNA(INDEX(dataICM!D:D, MATCH(Caseslist!B1213, dataICM!D:D, 0)), "INC"),
      "COMPLETE"
    )
  )</f>
        <v>COMPLETE</v>
      </c>
      <c r="G1213" s="10" t="str">
        <f t="array" ref="G1213">IF(IFERROR(INDEX(data!L:L,match(Caseslist!B1213,data!D:D,0)),"INC")="","COMPLETE",F1213)</f>
        <v>COMPLETE</v>
      </c>
      <c r="H1213" s="9" t="str">
        <f t="array" ref="H1213">IFERROR(INDEX(dataICM!F:F,match(Caseslist!B1213,dataICM!D:D,0)), "INC")</f>
        <v>INC</v>
      </c>
      <c r="I1213" s="10">
        <f t="shared" si="2"/>
        <v>896791</v>
      </c>
      <c r="J1213" s="9" t="str">
        <f t="array" ref="J1213">IF(
  AND(
    IFERROR(MATCH(B1213, data!D:D, 0), 0) &gt; 0,
    IFERROR(INDEX(data!N:N, MATCH(B1213, data!D:D, 0)) = 1, FALSE)
  ),
  INDEX(data!C:C, MATCH(B1213, data!D:D, 0)),
  "INC"
)</f>
        <v>2025-09-20T15:51:44.313+08</v>
      </c>
      <c r="K1213" s="9" t="str">
        <f t="array" ref="K1213">IFERROR(INDEX(dataICM!C:C,match(Caseslist!B1213,dataICM!D:D,0)), "INC")</f>
        <v>INC</v>
      </c>
      <c r="L1213" s="10" t="str">
        <f t="array" ref="L1213">IF(AND(G1213="COMPLETE", OR(K1213="INC", ISBLANK(INDEX(data!O:O, ROW())))), J1213, K1213)</f>
        <v>2025-09-20T15:51:44.313+08</v>
      </c>
      <c r="M1213" s="2">
        <v>45920.0</v>
      </c>
      <c r="N1213" s="2">
        <f t="array" ref="N1213">IF(M1213&lt;&gt;"INC", INDEX(data!M:M, MATCH(B1213, data!D:D, 0)), "")</f>
        <v>0</v>
      </c>
      <c r="O1213" s="2">
        <f t="shared" si="3"/>
        <v>0</v>
      </c>
    </row>
    <row r="1214">
      <c r="A1214" s="2" t="str">
        <f t="shared" si="1"/>
        <v>H030244</v>
      </c>
      <c r="B1214" s="1" t="s">
        <v>7568</v>
      </c>
      <c r="C1214" s="9" t="str">
        <f t="array" ref="C1214">IF(
  AND(
    IFERROR(MATCH(Caseslist!B1214, data!D:D, 0), 0) &gt; 0,
    IFERROR(INDEX(data!N:N, MATCH(Caseslist!B1214, data!D:D, 0)) = 1, FALSE)
  ),
  "COMPLETE",
  "INC"
)</f>
        <v>COMPLETE</v>
      </c>
      <c r="D1214" s="9" t="str">
        <f t="array" ref="D1214">IFERROR(INDEX(data!$G:$G,match(Caseslist!B1214,data!$D:$D,0)), "INC")</f>
        <v>B8193462</v>
      </c>
      <c r="E1214" s="9" t="str">
        <f t="array" ref="E1214">IFERROR(INDEX(data!H:H,match(Caseslist!B1214,data!D:D,0)), "INC")</f>
        <v>Mark Lorens Mendoza Gilongo</v>
      </c>
      <c r="F1214" s="10" t="str">
        <f t="array" ref="F1214">IF(
    OR(
      IFNA(INDEX(data!M:M, MATCH(Caseslist!B1214, data!D:D, 0)), "") = "",
      IFNA(INDEX(data!M:M, MATCH(Caseslist!B1214, data!D:D, 0)), 0) = 0
    ),
    "COMPLETE",
    IF(
      IFNA(INDEX(dataICM!D:D, MATCH(Caseslist!B1214, dataICM!D:D, 0)), "INC") = "INC",
      IFNA(INDEX(dataICM!D:D, MATCH(Caseslist!B1214, dataICM!D:D, 0)), "INC"),
      "COMPLETE"
    )
  )</f>
        <v>COMPLETE</v>
      </c>
      <c r="G1214" s="10" t="str">
        <f t="array" ref="G1214">IF(IFERROR(INDEX(data!L:L,match(Caseslist!B1214,data!D:D,0)),"INC")="","COMPLETE",F1214)</f>
        <v>COMPLETE</v>
      </c>
      <c r="H1214" s="9" t="str">
        <f t="array" ref="H1214">IFERROR(INDEX(dataICM!F:F,match(Caseslist!B1214,dataICM!D:D,0)), "INC")</f>
        <v>INC</v>
      </c>
      <c r="I1214" s="10" t="str">
        <f t="shared" si="2"/>
        <v>B8193462</v>
      </c>
      <c r="J1214" s="9" t="str">
        <f t="array" ref="J1214">IF(
  AND(
    IFERROR(MATCH(B1214, data!D:D, 0), 0) &gt; 0,
    IFERROR(INDEX(data!N:N, MATCH(B1214, data!D:D, 0)) = 1, FALSE)
  ),
  INDEX(data!C:C, MATCH(B1214, data!D:D, 0)),
  "INC"
)</f>
        <v>2025-09-19T19:08:10.452+08</v>
      </c>
      <c r="K1214" s="9" t="str">
        <f t="array" ref="K1214">IFERROR(INDEX(dataICM!C:C,match(Caseslist!B1214,dataICM!D:D,0)), "INC")</f>
        <v>INC</v>
      </c>
      <c r="L1214" s="10" t="str">
        <f t="array" ref="L1214">IF(AND(G1214="COMPLETE", OR(K1214="INC", ISBLANK(INDEX(data!O:O, ROW())))), J1214, K1214)</f>
        <v>2025-09-19T19:08:10.452+08</v>
      </c>
      <c r="M1214" s="2">
        <v>45919.0</v>
      </c>
      <c r="N1214" s="2">
        <f t="array" ref="N1214">IF(M1214&lt;&gt;"INC", INDEX(data!M:M, MATCH(B1214, data!D:D, 0)), "")</f>
        <v>0</v>
      </c>
      <c r="O1214" s="2">
        <f t="shared" si="3"/>
        <v>0</v>
      </c>
    </row>
    <row r="1215">
      <c r="A1215" s="2" t="str">
        <f t="shared" si="1"/>
        <v>H030244</v>
      </c>
      <c r="B1215" s="1" t="s">
        <v>7728</v>
      </c>
      <c r="C1215" s="9" t="str">
        <f t="array" ref="C1215">IF(
  AND(
    IFERROR(MATCH(Caseslist!B1215, data!D:D, 0), 0) &gt; 0,
    IFERROR(INDEX(data!N:N, MATCH(Caseslist!B1215, data!D:D, 0)) = 1, FALSE)
  ),
  "COMPLETE",
  "INC"
)</f>
        <v>COMPLETE</v>
      </c>
      <c r="D1215" s="9">
        <f t="array" ref="D1215">IFERROR(INDEX(data!$G:$G,match(Caseslist!B1215,data!$D:$D,0)), "INC")</f>
        <v>896791</v>
      </c>
      <c r="E1215" s="9" t="str">
        <f t="array" ref="E1215">IFERROR(INDEX(data!H:H,match(Caseslist!B1215,data!D:D,0)), "INC")</f>
        <v>Roland A. Bandiola jr_2</v>
      </c>
      <c r="F1215" s="10" t="str">
        <f t="array" ref="F1215">IF(
    OR(
      IFNA(INDEX(data!M:M, MATCH(Caseslist!B1215, data!D:D, 0)), "") = "",
      IFNA(INDEX(data!M:M, MATCH(Caseslist!B1215, data!D:D, 0)), 0) = 0
    ),
    "COMPLETE",
    IF(
      IFNA(INDEX(dataICM!D:D, MATCH(Caseslist!B1215, dataICM!D:D, 0)), "INC") = "INC",
      IFNA(INDEX(dataICM!D:D, MATCH(Caseslist!B1215, dataICM!D:D, 0)), "INC"),
      "COMPLETE"
    )
  )</f>
        <v>COMPLETE</v>
      </c>
      <c r="G1215" s="10" t="str">
        <f t="array" ref="G1215">IF(IFERROR(INDEX(data!L:L,match(Caseslist!B1215,data!D:D,0)),"INC")="","COMPLETE",F1215)</f>
        <v>COMPLETE</v>
      </c>
      <c r="H1215" s="9" t="str">
        <f t="array" ref="H1215">IFERROR(INDEX(dataICM!F:F,match(Caseslist!B1215,dataICM!D:D,0)), "INC")</f>
        <v>INC</v>
      </c>
      <c r="I1215" s="10">
        <f t="shared" si="2"/>
        <v>896791</v>
      </c>
      <c r="J1215" s="9" t="str">
        <f t="array" ref="J1215">IF(
  AND(
    IFERROR(MATCH(B1215, data!D:D, 0), 0) &gt; 0,
    IFERROR(INDEX(data!N:N, MATCH(B1215, data!D:D, 0)) = 1, FALSE)
  ),
  INDEX(data!C:C, MATCH(B1215, data!D:D, 0)),
  "INC"
)</f>
        <v>2025-10-02T20:07:30.094+08</v>
      </c>
      <c r="K1215" s="9" t="str">
        <f t="array" ref="K1215">IFERROR(INDEX(dataICM!C:C,match(Caseslist!B1215,dataICM!D:D,0)), "INC")</f>
        <v>INC</v>
      </c>
      <c r="L1215" s="10" t="str">
        <f t="array" ref="L1215">IF(AND(G1215="COMPLETE", OR(K1215="INC", ISBLANK(INDEX(data!O:O, ROW())))), J1215, K1215)</f>
        <v>2025-10-02T20:07:30.094+08</v>
      </c>
      <c r="M1215" s="2">
        <v>45932.0</v>
      </c>
      <c r="N1215" s="2">
        <f t="array" ref="N1215">IF(M1215&lt;&gt;"INC", INDEX(data!M:M, MATCH(B1215, data!D:D, 0)), "")</f>
        <v>0</v>
      </c>
      <c r="O1215" s="2">
        <f t="shared" si="3"/>
        <v>0</v>
      </c>
    </row>
    <row r="1216">
      <c r="A1216" s="2" t="str">
        <f t="shared" si="1"/>
        <v>H030255</v>
      </c>
      <c r="B1216" s="1" t="s">
        <v>8929</v>
      </c>
      <c r="C1216" s="9" t="str">
        <f t="array" ref="C1216">IF(
  AND(
    IFERROR(MATCH(Caseslist!B1216, data!D:D, 0), 0) &gt; 0,
    IFERROR(INDEX(data!N:N, MATCH(Caseslist!B1216, data!D:D, 0)) = 1, FALSE)
  ),
  "COMPLETE",
  "INC"
)</f>
        <v>INC</v>
      </c>
      <c r="D1216" s="9" t="str">
        <f t="array" ref="D1216">IFERROR(INDEX(data!$G:$G,match(Caseslist!B1216,data!$D:$D,0)), "INC")</f>
        <v>INC</v>
      </c>
      <c r="E1216" s="9" t="str">
        <f t="array" ref="E1216">IFERROR(INDEX(data!H:H,match(Caseslist!B1216,data!D:D,0)), "INC")</f>
        <v>INC</v>
      </c>
      <c r="F1216" s="10" t="str">
        <f t="array" ref="F1216">IF(
    OR(
      IFNA(INDEX(data!M:M, MATCH(Caseslist!B1216, data!D:D, 0)), "") = "",
      IFNA(INDEX(data!M:M, MATCH(Caseslist!B1216, data!D:D, 0)), 0) = 0
    ),
    "COMPLETE",
    IF(
      IFNA(INDEX(dataICM!D:D, MATCH(Caseslist!B1216, dataICM!D:D, 0)), "INC") = "INC",
      IFNA(INDEX(dataICM!D:D, MATCH(Caseslist!B1216, dataICM!D:D, 0)), "INC"),
      "COMPLETE"
    )
  )</f>
        <v>COMPLETE</v>
      </c>
      <c r="G1216" s="10" t="str">
        <f t="array" ref="G1216">IF(IFERROR(INDEX(data!L:L,match(Caseslist!B1216,data!D:D,0)),"INC")="","COMPLETE",F1216)</f>
        <v>COMPLETE</v>
      </c>
      <c r="H1216" s="9" t="str">
        <f t="array" ref="H1216">IFERROR(INDEX(dataICM!F:F,match(Caseslist!B1216,dataICM!D:D,0)), "INC")</f>
        <v>INC</v>
      </c>
      <c r="I1216" s="10" t="str">
        <f t="shared" si="2"/>
        <v>INC</v>
      </c>
      <c r="J1216" s="9" t="str">
        <f t="array" ref="J1216">IF(
  AND(
    IFERROR(MATCH(B1216, data!D:D, 0), 0) &gt; 0,
    IFERROR(INDEX(data!N:N, MATCH(B1216, data!D:D, 0)) = 1, FALSE)
  ),
  INDEX(data!C:C, MATCH(B1216, data!D:D, 0)),
  "INC"
)</f>
        <v>INC</v>
      </c>
      <c r="K1216" s="9" t="str">
        <f t="array" ref="K1216">IFERROR(INDEX(dataICM!C:C,match(Caseslist!B1216,dataICM!D:D,0)), "INC")</f>
        <v>INC</v>
      </c>
      <c r="L1216" s="10" t="str">
        <f t="array" ref="L1216">IF(AND(G1216="COMPLETE", OR(K1216="INC", ISBLANK(INDEX(data!O:O, ROW())))), J1216, K1216)</f>
        <v>INC</v>
      </c>
      <c r="M1216" s="2" t="s">
        <v>8886</v>
      </c>
      <c r="N1216" s="2" t="str">
        <f t="array" ref="N1216">IF(M1216&lt;&gt;"INC", INDEX(data!M:M, MATCH(B1216, data!D:D, 0)), "")</f>
        <v/>
      </c>
      <c r="O1216" s="2" t="str">
        <f t="shared" si="3"/>
        <v/>
      </c>
    </row>
    <row r="1217">
      <c r="A1217" s="2" t="str">
        <f t="shared" si="1"/>
        <v>H030255</v>
      </c>
      <c r="B1217" s="1" t="s">
        <v>361</v>
      </c>
      <c r="C1217" s="9" t="str">
        <f t="array" ref="C1217">IF(
  AND(
    IFERROR(MATCH(Caseslist!B1217, data!D:D, 0), 0) &gt; 0,
    IFERROR(INDEX(data!N:N, MATCH(Caseslist!B1217, data!D:D, 0)) = 1, FALSE)
  ),
  "COMPLETE",
  "INC"
)</f>
        <v>COMPLETE</v>
      </c>
      <c r="D1217" s="9" t="str">
        <f t="array" ref="D1217">IFERROR(INDEX(data!$G:$G,match(Caseslist!B1217,data!$D:$D,0)), "INC")</f>
        <v>N7814260</v>
      </c>
      <c r="E1217" s="9" t="str">
        <f t="array" ref="E1217">IFERROR(INDEX(data!H:H,match(Caseslist!B1217,data!D:D,0)), "INC")</f>
        <v>Jemma Marie Tillo</v>
      </c>
      <c r="F1217" s="10" t="str">
        <f t="array" ref="F1217">IF(
    OR(
      IFNA(INDEX(data!M:M, MATCH(Caseslist!B1217, data!D:D, 0)), "") = "",
      IFNA(INDEX(data!M:M, MATCH(Caseslist!B1217, data!D:D, 0)), 0) = 0
    ),
    "COMPLETE",
    IF(
      IFNA(INDEX(dataICM!D:D, MATCH(Caseslist!B1217, dataICM!D:D, 0)), "INC") = "INC",
      IFNA(INDEX(dataICM!D:D, MATCH(Caseslist!B1217, dataICM!D:D, 0)), "INC"),
      "COMPLETE"
    )
  )</f>
        <v>COMPLETE</v>
      </c>
      <c r="G1217" s="10" t="str">
        <f t="array" ref="G1217">IF(IFERROR(INDEX(data!L:L,match(Caseslist!B1217,data!D:D,0)),"INC")="","COMPLETE",F1217)</f>
        <v>COMPLETE</v>
      </c>
      <c r="H1217" s="9" t="str">
        <f t="array" ref="H1217">IFERROR(INDEX(dataICM!F:F,match(Caseslist!B1217,dataICM!D:D,0)), "INC")</f>
        <v>Jemma Marie Tillo</v>
      </c>
      <c r="I1217" s="10" t="str">
        <f t="shared" si="2"/>
        <v>N7814260</v>
      </c>
      <c r="J1217" s="9" t="str">
        <f t="array" ref="J1217">IF(
  AND(
    IFERROR(MATCH(B1217, data!D:D, 0), 0) &gt; 0,
    IFERROR(INDEX(data!N:N, MATCH(B1217, data!D:D, 0)) = 1, FALSE)
  ),
  INDEX(data!C:C, MATCH(B1217, data!D:D, 0)),
  "INC"
)</f>
        <v>2025-08-26T11:38:27.251+08</v>
      </c>
      <c r="K1217" s="9" t="str">
        <f t="array" ref="K1217">IFERROR(INDEX(dataICM!C:C,match(Caseslist!B1217,dataICM!D:D,0)), "INC")</f>
        <v>2025-08-26T12:08:26.330+08</v>
      </c>
      <c r="L1217" s="10" t="str">
        <f t="array" ref="L1217">IF(AND(G1217="COMPLETE", OR(K1217="INC", ISBLANK(INDEX(data!O:O, ROW())))), J1217, K1217)</f>
        <v>2025-08-26T12:08:26.330+08</v>
      </c>
      <c r="M1217" s="2">
        <v>45895.0</v>
      </c>
      <c r="N1217" s="2">
        <f t="array" ref="N1217">IF(M1217&lt;&gt;"INC", INDEX(data!M:M, MATCH(B1217, data!D:D, 0)), "")</f>
        <v>3</v>
      </c>
      <c r="O1217" s="2">
        <f t="shared" si="3"/>
        <v>3</v>
      </c>
    </row>
    <row r="1218">
      <c r="A1218" s="2" t="str">
        <f t="shared" si="1"/>
        <v>H030255</v>
      </c>
      <c r="B1218" s="1" t="s">
        <v>608</v>
      </c>
      <c r="C1218" s="9" t="str">
        <f t="array" ref="C1218">IF(
  AND(
    IFERROR(MATCH(Caseslist!B1218, data!D:D, 0), 0) &gt; 0,
    IFERROR(INDEX(data!N:N, MATCH(Caseslist!B1218, data!D:D, 0)) = 1, FALSE)
  ),
  "COMPLETE",
  "INC"
)</f>
        <v>COMPLETE</v>
      </c>
      <c r="D1218" s="9" t="str">
        <f t="array" ref="D1218">IFERROR(INDEX(data!$G:$G,match(Caseslist!B1218,data!$D:$D,0)), "INC")</f>
        <v>P1068432</v>
      </c>
      <c r="E1218" s="9" t="str">
        <f t="array" ref="E1218">IFERROR(INDEX(data!H:H,match(Caseslist!B1218,data!D:D,0)), "INC")</f>
        <v>Mark Daniel Balagao Benson</v>
      </c>
      <c r="F1218" s="10" t="str">
        <f t="array" ref="F1218">IF(
    OR(
      IFNA(INDEX(data!M:M, MATCH(Caseslist!B1218, data!D:D, 0)), "") = "",
      IFNA(INDEX(data!M:M, MATCH(Caseslist!B1218, data!D:D, 0)), 0) = 0
    ),
    "COMPLETE",
    IF(
      IFNA(INDEX(dataICM!D:D, MATCH(Caseslist!B1218, dataICM!D:D, 0)), "INC") = "INC",
      IFNA(INDEX(dataICM!D:D, MATCH(Caseslist!B1218, dataICM!D:D, 0)), "INC"),
      "COMPLETE"
    )
  )</f>
        <v>COMPLETE</v>
      </c>
      <c r="G1218" s="10" t="str">
        <f t="array" ref="G1218">IF(IFERROR(INDEX(data!L:L,match(Caseslist!B1218,data!D:D,0)),"INC")="","COMPLETE",F1218)</f>
        <v>COMPLETE</v>
      </c>
      <c r="H1218" s="9" t="str">
        <f t="array" ref="H1218">IFERROR(INDEX(dataICM!F:F,match(Caseslist!B1218,dataICM!D:D,0)), "INC")</f>
        <v>Mark Daniel Balagao Benson</v>
      </c>
      <c r="I1218" s="10" t="str">
        <f t="shared" si="2"/>
        <v>P1068432</v>
      </c>
      <c r="J1218" s="9" t="str">
        <f t="array" ref="J1218">IF(
  AND(
    IFERROR(MATCH(B1218, data!D:D, 0), 0) &gt; 0,
    IFERROR(INDEX(data!N:N, MATCH(B1218, data!D:D, 0)) = 1, FALSE)
  ),
  INDEX(data!C:C, MATCH(B1218, data!D:D, 0)),
  "INC"
)</f>
        <v>2025-08-26T14:48:30.983+08</v>
      </c>
      <c r="K1218" s="9" t="str">
        <f t="array" ref="K1218">IFERROR(INDEX(dataICM!C:C,match(Caseslist!B1218,dataICM!D:D,0)), "INC")</f>
        <v>2025-08-26T15:03:16.960+08</v>
      </c>
      <c r="L1218" s="10" t="str">
        <f t="array" ref="L1218">IF(AND(G1218="COMPLETE", OR(K1218="INC", ISBLANK(INDEX(data!O:O, ROW())))), J1218, K1218)</f>
        <v>2025-08-26T15:03:16.960+08</v>
      </c>
      <c r="M1218" s="2">
        <v>45895.0</v>
      </c>
      <c r="N1218" s="2">
        <f t="array" ref="N1218">IF(M1218&lt;&gt;"INC", INDEX(data!M:M, MATCH(B1218, data!D:D, 0)), "")</f>
        <v>3</v>
      </c>
      <c r="O1218" s="2">
        <f t="shared" si="3"/>
        <v>3</v>
      </c>
    </row>
    <row r="1219">
      <c r="A1219" s="2" t="str">
        <f t="shared" si="1"/>
        <v>H030255</v>
      </c>
      <c r="B1219" s="1" t="s">
        <v>350</v>
      </c>
      <c r="C1219" s="9" t="str">
        <f t="array" ref="C1219">IF(
  AND(
    IFERROR(MATCH(Caseslist!B1219, data!D:D, 0), 0) &gt; 0,
    IFERROR(INDEX(data!N:N, MATCH(Caseslist!B1219, data!D:D, 0)) = 1, FALSE)
  ),
  "COMPLETE",
  "INC"
)</f>
        <v>COMPLETE</v>
      </c>
      <c r="D1219" s="9" t="str">
        <f t="array" ref="D1219">IFERROR(INDEX(data!$G:$G,match(Caseslist!B1219,data!$D:$D,0)), "INC")</f>
        <v>N7814260</v>
      </c>
      <c r="E1219" s="9" t="str">
        <f t="array" ref="E1219">IFERROR(INDEX(data!H:H,match(Caseslist!B1219,data!D:D,0)), "INC")</f>
        <v>Jemma Marie Tillo</v>
      </c>
      <c r="F1219" s="10" t="str">
        <f t="array" ref="F1219">IF(
    OR(
      IFNA(INDEX(data!M:M, MATCH(Caseslist!B1219, data!D:D, 0)), "") = "",
      IFNA(INDEX(data!M:M, MATCH(Caseslist!B1219, data!D:D, 0)), 0) = 0
    ),
    "COMPLETE",
    IF(
      IFNA(INDEX(dataICM!D:D, MATCH(Caseslist!B1219, dataICM!D:D, 0)), "INC") = "INC",
      IFNA(INDEX(dataICM!D:D, MATCH(Caseslist!B1219, dataICM!D:D, 0)), "INC"),
      "COMPLETE"
    )
  )</f>
        <v>COMPLETE</v>
      </c>
      <c r="G1219" s="10" t="str">
        <f t="array" ref="G1219">IF(IFERROR(INDEX(data!L:L,match(Caseslist!B1219,data!D:D,0)),"INC")="","COMPLETE",F1219)</f>
        <v>COMPLETE</v>
      </c>
      <c r="H1219" s="9" t="str">
        <f t="array" ref="H1219">IFERROR(INDEX(dataICM!F:F,match(Caseslist!B1219,dataICM!D:D,0)), "INC")</f>
        <v>Jemma Marie Tillo</v>
      </c>
      <c r="I1219" s="10" t="str">
        <f t="shared" si="2"/>
        <v>N7814260</v>
      </c>
      <c r="J1219" s="9" t="str">
        <f t="array" ref="J1219">IF(
  AND(
    IFERROR(MATCH(B1219, data!D:D, 0), 0) &gt; 0,
    IFERROR(INDEX(data!N:N, MATCH(B1219, data!D:D, 0)) = 1, FALSE)
  ),
  INDEX(data!C:C, MATCH(B1219, data!D:D, 0)),
  "INC"
)</f>
        <v>2025-08-26T10:09:21.905+08</v>
      </c>
      <c r="K1219" s="9" t="str">
        <f t="array" ref="K1219">IFERROR(INDEX(dataICM!C:C,match(Caseslist!B1219,dataICM!D:D,0)), "INC")</f>
        <v>2025-08-26T10:26:28.988+08</v>
      </c>
      <c r="L1219" s="10" t="str">
        <f t="array" ref="L1219">IF(AND(G1219="COMPLETE", OR(K1219="INC", ISBLANK(INDEX(data!O:O, ROW())))), J1219, K1219)</f>
        <v>2025-08-26T10:26:28.988+08</v>
      </c>
      <c r="M1219" s="2">
        <v>45895.0</v>
      </c>
      <c r="N1219" s="2">
        <f t="array" ref="N1219">IF(M1219&lt;&gt;"INC", INDEX(data!M:M, MATCH(B1219, data!D:D, 0)), "")</f>
        <v>3</v>
      </c>
      <c r="O1219" s="2">
        <f t="shared" si="3"/>
        <v>3</v>
      </c>
    </row>
    <row r="1220">
      <c r="A1220" s="2" t="str">
        <f t="shared" si="1"/>
        <v>H030255</v>
      </c>
      <c r="B1220" s="1" t="s">
        <v>468</v>
      </c>
      <c r="C1220" s="9" t="str">
        <f t="array" ref="C1220">IF(
  AND(
    IFERROR(MATCH(Caseslist!B1220, data!D:D, 0), 0) &gt; 0,
    IFERROR(INDEX(data!N:N, MATCH(Caseslist!B1220, data!D:D, 0)) = 1, FALSE)
  ),
  "COMPLETE",
  "INC"
)</f>
        <v>COMPLETE</v>
      </c>
      <c r="D1220" s="9" t="str">
        <f t="array" ref="D1220">IFERROR(INDEX(data!$G:$G,match(Caseslist!B1220,data!$D:$D,0)), "INC")</f>
        <v>O3925718</v>
      </c>
      <c r="E1220" s="9" t="str">
        <f t="array" ref="E1220">IFERROR(INDEX(data!H:H,match(Caseslist!B1220,data!D:D,0)), "INC")</f>
        <v>Adrian Montecastro Ferrer</v>
      </c>
      <c r="F1220" s="10" t="str">
        <f t="array" ref="F1220">IF(
    OR(
      IFNA(INDEX(data!M:M, MATCH(Caseslist!B1220, data!D:D, 0)), "") = "",
      IFNA(INDEX(data!M:M, MATCH(Caseslist!B1220, data!D:D, 0)), 0) = 0
    ),
    "COMPLETE",
    IF(
      IFNA(INDEX(dataICM!D:D, MATCH(Caseslist!B1220, dataICM!D:D, 0)), "INC") = "INC",
      IFNA(INDEX(dataICM!D:D, MATCH(Caseslist!B1220, dataICM!D:D, 0)), "INC"),
      "COMPLETE"
    )
  )</f>
        <v>COMPLETE</v>
      </c>
      <c r="G1220" s="10" t="str">
        <f t="array" ref="G1220">IF(IFERROR(INDEX(data!L:L,match(Caseslist!B1220,data!D:D,0)),"INC")="","COMPLETE",F1220)</f>
        <v>COMPLETE</v>
      </c>
      <c r="H1220" s="9" t="str">
        <f t="array" ref="H1220">IFERROR(INDEX(dataICM!F:F,match(Caseslist!B1220,dataICM!D:D,0)), "INC")</f>
        <v>Adrian Montecastro Ferrer</v>
      </c>
      <c r="I1220" s="10" t="str">
        <f t="shared" si="2"/>
        <v>O3925718</v>
      </c>
      <c r="J1220" s="9" t="str">
        <f t="array" ref="J1220">IF(
  AND(
    IFERROR(MATCH(B1220, data!D:D, 0), 0) &gt; 0,
    IFERROR(INDEX(data!N:N, MATCH(B1220, data!D:D, 0)) = 1, FALSE)
  ),
  INDEX(data!C:C, MATCH(B1220, data!D:D, 0)),
  "INC"
)</f>
        <v>2025-08-26T11:48:11.933+08</v>
      </c>
      <c r="K1220" s="9" t="str">
        <f t="array" ref="K1220">IFERROR(INDEX(dataICM!C:C,match(Caseslist!B1220,dataICM!D:D,0)), "INC")</f>
        <v>2025-08-26T12:01:20.586+08</v>
      </c>
      <c r="L1220" s="10" t="str">
        <f t="array" ref="L1220">IF(AND(G1220="COMPLETE", OR(K1220="INC", ISBLANK(INDEX(data!O:O, ROW())))), J1220, K1220)</f>
        <v>2025-08-26T12:01:20.586+08</v>
      </c>
      <c r="M1220" s="2">
        <v>45895.0</v>
      </c>
      <c r="N1220" s="2">
        <f t="array" ref="N1220">IF(M1220&lt;&gt;"INC", INDEX(data!M:M, MATCH(B1220, data!D:D, 0)), "")</f>
        <v>3</v>
      </c>
      <c r="O1220" s="2">
        <f t="shared" si="3"/>
        <v>3</v>
      </c>
    </row>
    <row r="1221">
      <c r="A1221" s="2" t="str">
        <f t="shared" si="1"/>
        <v>H030255</v>
      </c>
      <c r="B1221" s="1" t="s">
        <v>453</v>
      </c>
      <c r="C1221" s="9" t="str">
        <f t="array" ref="C1221">IF(
  AND(
    IFERROR(MATCH(Caseslist!B1221, data!D:D, 0), 0) &gt; 0,
    IFERROR(INDEX(data!N:N, MATCH(Caseslist!B1221, data!D:D, 0)) = 1, FALSE)
  ),
  "COMPLETE",
  "INC"
)</f>
        <v>COMPLETE</v>
      </c>
      <c r="D1221" s="9" t="str">
        <f t="array" ref="D1221">IFERROR(INDEX(data!$G:$G,match(Caseslist!B1221,data!$D:$D,0)), "INC")</f>
        <v>O3925718</v>
      </c>
      <c r="E1221" s="9" t="str">
        <f t="array" ref="E1221">IFERROR(INDEX(data!H:H,match(Caseslist!B1221,data!D:D,0)), "INC")</f>
        <v>Adrian Montecastro Ferrer</v>
      </c>
      <c r="F1221" s="10" t="str">
        <f t="array" ref="F1221">IF(
    OR(
      IFNA(INDEX(data!M:M, MATCH(Caseslist!B1221, data!D:D, 0)), "") = "",
      IFNA(INDEX(data!M:M, MATCH(Caseslist!B1221, data!D:D, 0)), 0) = 0
    ),
    "COMPLETE",
    IF(
      IFNA(INDEX(dataICM!D:D, MATCH(Caseslist!B1221, dataICM!D:D, 0)), "INC") = "INC",
      IFNA(INDEX(dataICM!D:D, MATCH(Caseslist!B1221, dataICM!D:D, 0)), "INC"),
      "COMPLETE"
    )
  )</f>
        <v>COMPLETE</v>
      </c>
      <c r="G1221" s="10" t="str">
        <f t="array" ref="G1221">IF(IFERROR(INDEX(data!L:L,match(Caseslist!B1221,data!D:D,0)),"INC")="","COMPLETE",F1221)</f>
        <v>COMPLETE</v>
      </c>
      <c r="H1221" s="9" t="str">
        <f t="array" ref="H1221">IFERROR(INDEX(dataICM!F:F,match(Caseslist!B1221,dataICM!D:D,0)), "INC")</f>
        <v>Adrian Montecastro Ferrer</v>
      </c>
      <c r="I1221" s="10" t="str">
        <f t="shared" si="2"/>
        <v>O3925718</v>
      </c>
      <c r="J1221" s="9" t="str">
        <f t="array" ref="J1221">IF(
  AND(
    IFERROR(MATCH(B1221, data!D:D, 0), 0) &gt; 0,
    IFERROR(INDEX(data!N:N, MATCH(B1221, data!D:D, 0)) = 1, FALSE)
  ),
  INDEX(data!C:C, MATCH(B1221, data!D:D, 0)),
  "INC"
)</f>
        <v>2025-08-26T09:32:21.149+08</v>
      </c>
      <c r="K1221" s="9" t="str">
        <f t="array" ref="K1221">IFERROR(INDEX(dataICM!C:C,match(Caseslist!B1221,dataICM!D:D,0)), "INC")</f>
        <v>2025-08-26T10:09:40.043+08</v>
      </c>
      <c r="L1221" s="10" t="str">
        <f t="array" ref="L1221">IF(AND(G1221="COMPLETE", OR(K1221="INC", ISBLANK(INDEX(data!O:O, ROW())))), J1221, K1221)</f>
        <v>2025-08-26T10:09:40.043+08</v>
      </c>
      <c r="M1221" s="2">
        <v>45895.0</v>
      </c>
      <c r="N1221" s="2">
        <f t="array" ref="N1221">IF(M1221&lt;&gt;"INC", INDEX(data!M:M, MATCH(B1221, data!D:D, 0)), "")</f>
        <v>3</v>
      </c>
      <c r="O1221" s="2">
        <f t="shared" si="3"/>
        <v>3</v>
      </c>
    </row>
    <row r="1222">
      <c r="A1222" s="2" t="str">
        <f t="shared" si="1"/>
        <v>H030255</v>
      </c>
      <c r="B1222" s="1" t="s">
        <v>356</v>
      </c>
      <c r="C1222" s="9" t="str">
        <f t="array" ref="C1222">IF(
  AND(
    IFERROR(MATCH(Caseslist!B1222, data!D:D, 0), 0) &gt; 0,
    IFERROR(INDEX(data!N:N, MATCH(Caseslist!B1222, data!D:D, 0)) = 1, FALSE)
  ),
  "COMPLETE",
  "INC"
)</f>
        <v>COMPLETE</v>
      </c>
      <c r="D1222" s="9" t="str">
        <f t="array" ref="D1222">IFERROR(INDEX(data!$G:$G,match(Caseslist!B1222,data!$D:$D,0)), "INC")</f>
        <v>N7814260</v>
      </c>
      <c r="E1222" s="9" t="str">
        <f t="array" ref="E1222">IFERROR(INDEX(data!H:H,match(Caseslist!B1222,data!D:D,0)), "INC")</f>
        <v>Jemma Marie Tillo</v>
      </c>
      <c r="F1222" s="10" t="str">
        <f t="array" ref="F1222">IF(
    OR(
      IFNA(INDEX(data!M:M, MATCH(Caseslist!B1222, data!D:D, 0)), "") = "",
      IFNA(INDEX(data!M:M, MATCH(Caseslist!B1222, data!D:D, 0)), 0) = 0
    ),
    "COMPLETE",
    IF(
      IFNA(INDEX(dataICM!D:D, MATCH(Caseslist!B1222, dataICM!D:D, 0)), "INC") = "INC",
      IFNA(INDEX(dataICM!D:D, MATCH(Caseslist!B1222, dataICM!D:D, 0)), "INC"),
      "COMPLETE"
    )
  )</f>
        <v>COMPLETE</v>
      </c>
      <c r="G1222" s="10" t="str">
        <f t="array" ref="G1222">IF(IFERROR(INDEX(data!L:L,match(Caseslist!B1222,data!D:D,0)),"INC")="","COMPLETE",F1222)</f>
        <v>COMPLETE</v>
      </c>
      <c r="H1222" s="9" t="str">
        <f t="array" ref="H1222">IFERROR(INDEX(dataICM!F:F,match(Caseslist!B1222,dataICM!D:D,0)), "INC")</f>
        <v>Jemma Marie Tillo</v>
      </c>
      <c r="I1222" s="10" t="str">
        <f t="shared" si="2"/>
        <v>N7814260</v>
      </c>
      <c r="J1222" s="9" t="str">
        <f t="array" ref="J1222">IF(
  AND(
    IFERROR(MATCH(B1222, data!D:D, 0), 0) &gt; 0,
    IFERROR(INDEX(data!N:N, MATCH(B1222, data!D:D, 0)) = 1, FALSE)
  ),
  INDEX(data!C:C, MATCH(B1222, data!D:D, 0)),
  "INC"
)</f>
        <v>2025-08-26T13:34:39.925+08</v>
      </c>
      <c r="K1222" s="9" t="str">
        <f t="array" ref="K1222">IFERROR(INDEX(dataICM!C:C,match(Caseslist!B1222,dataICM!D:D,0)), "INC")</f>
        <v>2025-08-26T13:50:26.407+08</v>
      </c>
      <c r="L1222" s="10" t="str">
        <f t="array" ref="L1222">IF(AND(G1222="COMPLETE", OR(K1222="INC", ISBLANK(INDEX(data!O:O, ROW())))), J1222, K1222)</f>
        <v>2025-08-26T13:50:26.407+08</v>
      </c>
      <c r="M1222" s="2">
        <v>45895.0</v>
      </c>
      <c r="N1222" s="2">
        <f t="array" ref="N1222">IF(M1222&lt;&gt;"INC", INDEX(data!M:M, MATCH(B1222, data!D:D, 0)), "")</f>
        <v>3</v>
      </c>
      <c r="O1222" s="2">
        <f t="shared" si="3"/>
        <v>3</v>
      </c>
    </row>
    <row r="1223">
      <c r="A1223" s="2" t="str">
        <f t="shared" si="1"/>
        <v>H030255</v>
      </c>
      <c r="B1223" s="1" t="s">
        <v>603</v>
      </c>
      <c r="C1223" s="9" t="str">
        <f t="array" ref="C1223">IF(
  AND(
    IFERROR(MATCH(Caseslist!B1223, data!D:D, 0), 0) &gt; 0,
    IFERROR(INDEX(data!N:N, MATCH(Caseslist!B1223, data!D:D, 0)) = 1, FALSE)
  ),
  "COMPLETE",
  "INC"
)</f>
        <v>COMPLETE</v>
      </c>
      <c r="D1223" s="9" t="str">
        <f t="array" ref="D1223">IFERROR(INDEX(data!$G:$G,match(Caseslist!B1223,data!$D:$D,0)), "INC")</f>
        <v>P1068432</v>
      </c>
      <c r="E1223" s="9" t="str">
        <f t="array" ref="E1223">IFERROR(INDEX(data!H:H,match(Caseslist!B1223,data!D:D,0)), "INC")</f>
        <v>Mark Daniel Balagao Benson</v>
      </c>
      <c r="F1223" s="10" t="str">
        <f t="array" ref="F1223">IF(
    OR(
      IFNA(INDEX(data!M:M, MATCH(Caseslist!B1223, data!D:D, 0)), "") = "",
      IFNA(INDEX(data!M:M, MATCH(Caseslist!B1223, data!D:D, 0)), 0) = 0
    ),
    "COMPLETE",
    IF(
      IFNA(INDEX(dataICM!D:D, MATCH(Caseslist!B1223, dataICM!D:D, 0)), "INC") = "INC",
      IFNA(INDEX(dataICM!D:D, MATCH(Caseslist!B1223, dataICM!D:D, 0)), "INC"),
      "COMPLETE"
    )
  )</f>
        <v>COMPLETE</v>
      </c>
      <c r="G1223" s="10" t="str">
        <f t="array" ref="G1223">IF(IFERROR(INDEX(data!L:L,match(Caseslist!B1223,data!D:D,0)),"INC")="","COMPLETE",F1223)</f>
        <v>COMPLETE</v>
      </c>
      <c r="H1223" s="9" t="str">
        <f t="array" ref="H1223">IFERROR(INDEX(dataICM!F:F,match(Caseslist!B1223,dataICM!D:D,0)), "INC")</f>
        <v>Mark Daniel Balagao Benson</v>
      </c>
      <c r="I1223" s="10" t="str">
        <f t="shared" si="2"/>
        <v>P1068432</v>
      </c>
      <c r="J1223" s="9" t="str">
        <f t="array" ref="J1223">IF(
  AND(
    IFERROR(MATCH(B1223, data!D:D, 0), 0) &gt; 0,
    IFERROR(INDEX(data!N:N, MATCH(B1223, data!D:D, 0)) = 1, FALSE)
  ),
  INDEX(data!C:C, MATCH(B1223, data!D:D, 0)),
  "INC"
)</f>
        <v>2025-08-26T12:05:54.451+08</v>
      </c>
      <c r="K1223" s="9" t="str">
        <f t="array" ref="K1223">IFERROR(INDEX(dataICM!C:C,match(Caseslist!B1223,dataICM!D:D,0)), "INC")</f>
        <v>2025-08-26T12:32:47.046+08</v>
      </c>
      <c r="L1223" s="10" t="str">
        <f t="array" ref="L1223">IF(AND(G1223="COMPLETE", OR(K1223="INC", ISBLANK(INDEX(data!O:O, ROW())))), J1223, K1223)</f>
        <v>2025-08-26T12:32:47.046+08</v>
      </c>
      <c r="M1223" s="2">
        <v>45895.0</v>
      </c>
      <c r="N1223" s="2">
        <f t="array" ref="N1223">IF(M1223&lt;&gt;"INC", INDEX(data!M:M, MATCH(B1223, data!D:D, 0)), "")</f>
        <v>3</v>
      </c>
      <c r="O1223" s="2">
        <f t="shared" si="3"/>
        <v>3</v>
      </c>
    </row>
    <row r="1224">
      <c r="A1224" s="2" t="str">
        <f t="shared" si="1"/>
        <v>H030255</v>
      </c>
      <c r="B1224" s="1" t="s">
        <v>458</v>
      </c>
      <c r="C1224" s="9" t="str">
        <f t="array" ref="C1224">IF(
  AND(
    IFERROR(MATCH(Caseslist!B1224, data!D:D, 0), 0) &gt; 0,
    IFERROR(INDEX(data!N:N, MATCH(Caseslist!B1224, data!D:D, 0)) = 1, FALSE)
  ),
  "COMPLETE",
  "INC"
)</f>
        <v>COMPLETE</v>
      </c>
      <c r="D1224" s="9" t="str">
        <f t="array" ref="D1224">IFERROR(INDEX(data!$G:$G,match(Caseslist!B1224,data!$D:$D,0)), "INC")</f>
        <v>O3925718</v>
      </c>
      <c r="E1224" s="9" t="str">
        <f t="array" ref="E1224">IFERROR(INDEX(data!H:H,match(Caseslist!B1224,data!D:D,0)), "INC")</f>
        <v>Adrian Montecastro Ferrer</v>
      </c>
      <c r="F1224" s="10" t="str">
        <f t="array" ref="F1224">IF(
    OR(
      IFNA(INDEX(data!M:M, MATCH(Caseslist!B1224, data!D:D, 0)), "") = "",
      IFNA(INDEX(data!M:M, MATCH(Caseslist!B1224, data!D:D, 0)), 0) = 0
    ),
    "COMPLETE",
    IF(
      IFNA(INDEX(dataICM!D:D, MATCH(Caseslist!B1224, dataICM!D:D, 0)), "INC") = "INC",
      IFNA(INDEX(dataICM!D:D, MATCH(Caseslist!B1224, dataICM!D:D, 0)), "INC"),
      "COMPLETE"
    )
  )</f>
        <v>COMPLETE</v>
      </c>
      <c r="G1224" s="10" t="str">
        <f t="array" ref="G1224">IF(IFERROR(INDEX(data!L:L,match(Caseslist!B1224,data!D:D,0)),"INC")="","COMPLETE",F1224)</f>
        <v>COMPLETE</v>
      </c>
      <c r="H1224" s="9" t="str">
        <f t="array" ref="H1224">IFERROR(INDEX(dataICM!F:F,match(Caseslist!B1224,dataICM!D:D,0)), "INC")</f>
        <v>Adrian Montecastro Ferrer</v>
      </c>
      <c r="I1224" s="10" t="str">
        <f t="shared" si="2"/>
        <v>O3925718</v>
      </c>
      <c r="J1224" s="9" t="str">
        <f t="array" ref="J1224">IF(
  AND(
    IFERROR(MATCH(B1224, data!D:D, 0), 0) &gt; 0,
    IFERROR(INDEX(data!N:N, MATCH(B1224, data!D:D, 0)) = 1, FALSE)
  ),
  INDEX(data!C:C, MATCH(B1224, data!D:D, 0)),
  "INC"
)</f>
        <v>2025-08-26T13:42:00.082+08</v>
      </c>
      <c r="K1224" s="9" t="str">
        <f t="array" ref="K1224">IFERROR(INDEX(dataICM!C:C,match(Caseslist!B1224,dataICM!D:D,0)), "INC")</f>
        <v>2025-08-26T13:51:31.185+08</v>
      </c>
      <c r="L1224" s="10" t="str">
        <f t="array" ref="L1224">IF(AND(G1224="COMPLETE", OR(K1224="INC", ISBLANK(INDEX(data!O:O, ROW())))), J1224, K1224)</f>
        <v>2025-08-26T13:51:31.185+08</v>
      </c>
      <c r="M1224" s="2">
        <v>45895.0</v>
      </c>
      <c r="N1224" s="2">
        <f t="array" ref="N1224">IF(M1224&lt;&gt;"INC", INDEX(data!M:M, MATCH(B1224, data!D:D, 0)), "")</f>
        <v>3</v>
      </c>
      <c r="O1224" s="2">
        <f t="shared" si="3"/>
        <v>3</v>
      </c>
    </row>
    <row r="1225">
      <c r="A1225" s="2" t="str">
        <f t="shared" si="1"/>
        <v>H030255</v>
      </c>
      <c r="B1225" s="1" t="s">
        <v>598</v>
      </c>
      <c r="C1225" s="9" t="str">
        <f t="array" ref="C1225">IF(
  AND(
    IFERROR(MATCH(Caseslist!B1225, data!D:D, 0), 0) &gt; 0,
    IFERROR(INDEX(data!N:N, MATCH(Caseslist!B1225, data!D:D, 0)) = 1, FALSE)
  ),
  "COMPLETE",
  "INC"
)</f>
        <v>COMPLETE</v>
      </c>
      <c r="D1225" s="9" t="str">
        <f t="array" ref="D1225">IFERROR(INDEX(data!$G:$G,match(Caseslist!B1225,data!$D:$D,0)), "INC")</f>
        <v>P1068432</v>
      </c>
      <c r="E1225" s="9" t="str">
        <f t="array" ref="E1225">IFERROR(INDEX(data!H:H,match(Caseslist!B1225,data!D:D,0)), "INC")</f>
        <v>Mark Daniel Balagao Benson</v>
      </c>
      <c r="F1225" s="10" t="str">
        <f t="array" ref="F1225">IF(
    OR(
      IFNA(INDEX(data!M:M, MATCH(Caseslist!B1225, data!D:D, 0)), "") = "",
      IFNA(INDEX(data!M:M, MATCH(Caseslist!B1225, data!D:D, 0)), 0) = 0
    ),
    "COMPLETE",
    IF(
      IFNA(INDEX(dataICM!D:D, MATCH(Caseslist!B1225, dataICM!D:D, 0)), "INC") = "INC",
      IFNA(INDEX(dataICM!D:D, MATCH(Caseslist!B1225, dataICM!D:D, 0)), "INC"),
      "COMPLETE"
    )
  )</f>
        <v>COMPLETE</v>
      </c>
      <c r="G1225" s="10" t="str">
        <f t="array" ref="G1225">IF(IFERROR(INDEX(data!L:L,match(Caseslist!B1225,data!D:D,0)),"INC")="","COMPLETE",F1225)</f>
        <v>COMPLETE</v>
      </c>
      <c r="H1225" s="9" t="str">
        <f t="array" ref="H1225">IFERROR(INDEX(dataICM!F:F,match(Caseslist!B1225,dataICM!D:D,0)), "INC")</f>
        <v>Mark Daniel Balagao Benson</v>
      </c>
      <c r="I1225" s="10" t="str">
        <f t="shared" si="2"/>
        <v>P1068432</v>
      </c>
      <c r="J1225" s="9" t="str">
        <f t="array" ref="J1225">IF(
  AND(
    IFERROR(MATCH(B1225, data!D:D, 0), 0) &gt; 0,
    IFERROR(INDEX(data!N:N, MATCH(B1225, data!D:D, 0)) = 1, FALSE)
  ),
  INDEX(data!C:C, MATCH(B1225, data!D:D, 0)),
  "INC"
)</f>
        <v>2025-08-26T10:21:23.045+08</v>
      </c>
      <c r="K1225" s="9" t="str">
        <f t="array" ref="K1225">IFERROR(INDEX(dataICM!C:C,match(Caseslist!B1225,dataICM!D:D,0)), "INC")</f>
        <v>2025-08-26T10:38:04.051+08</v>
      </c>
      <c r="L1225" s="10" t="str">
        <f t="array" ref="L1225">IF(AND(G1225="COMPLETE", OR(K1225="INC", ISBLANK(INDEX(data!O:O, ROW())))), J1225, K1225)</f>
        <v>2025-08-26T10:38:04.051+08</v>
      </c>
      <c r="M1225" s="2">
        <v>45895.0</v>
      </c>
      <c r="N1225" s="2">
        <f t="array" ref="N1225">IF(M1225&lt;&gt;"INC", INDEX(data!M:M, MATCH(B1225, data!D:D, 0)), "")</f>
        <v>3</v>
      </c>
      <c r="O1225" s="2">
        <f t="shared" si="3"/>
        <v>3</v>
      </c>
    </row>
    <row r="1226">
      <c r="A1226" s="2" t="str">
        <f t="shared" si="1"/>
        <v>H030255</v>
      </c>
      <c r="B1226" s="1" t="s">
        <v>8823</v>
      </c>
      <c r="C1226" s="9" t="str">
        <f t="array" ref="C1226">IF(
  AND(
    IFERROR(MATCH(Caseslist!B1226, data!D:D, 0), 0) &gt; 0,
    IFERROR(INDEX(data!N:N, MATCH(Caseslist!B1226, data!D:D, 0)) = 1, FALSE)
  ),
  "COMPLETE",
  "INC"
)</f>
        <v>INC</v>
      </c>
      <c r="D1226" s="9" t="str">
        <f t="array" ref="D1226">IFERROR(INDEX(data!$G:$G,match(Caseslist!B1226,data!$D:$D,0)), "INC")</f>
        <v>P1068432</v>
      </c>
      <c r="E1226" s="9" t="str">
        <f t="array" ref="E1226">IFERROR(INDEX(data!H:H,match(Caseslist!B1226,data!D:D,0)), "INC")</f>
        <v>Mark Daniel Balagao Benson</v>
      </c>
      <c r="F1226" s="10" t="str">
        <f t="array" ref="F1226">IF(
    OR(
      IFNA(INDEX(data!M:M, MATCH(Caseslist!B1226, data!D:D, 0)), "") = "",
      IFNA(INDEX(data!M:M, MATCH(Caseslist!B1226, data!D:D, 0)), 0) = 0
    ),
    "COMPLETE",
    IF(
      IFNA(INDEX(dataICM!D:D, MATCH(Caseslist!B1226, dataICM!D:D, 0)), "INC") = "INC",
      IFNA(INDEX(dataICM!D:D, MATCH(Caseslist!B1226, dataICM!D:D, 0)), "INC"),
      "COMPLETE"
    )
  )</f>
        <v>INC</v>
      </c>
      <c r="G1226" s="10" t="str">
        <f t="array" ref="G1226">IF(IFERROR(INDEX(data!L:L,match(Caseslist!B1226,data!D:D,0)),"INC")="","COMPLETE",F1226)</f>
        <v>INC</v>
      </c>
      <c r="H1226" s="9" t="str">
        <f t="array" ref="H1226">IFERROR(INDEX(dataICM!F:F,match(Caseslist!B1226,dataICM!D:D,0)), "INC")</f>
        <v>INC</v>
      </c>
      <c r="I1226" s="10" t="str">
        <f t="shared" si="2"/>
        <v>INC</v>
      </c>
      <c r="J1226" s="9" t="str">
        <f t="array" ref="J1226">IF(
  AND(
    IFERROR(MATCH(B1226, data!D:D, 0), 0) &gt; 0,
    IFERROR(INDEX(data!N:N, MATCH(B1226, data!D:D, 0)) = 1, FALSE)
  ),
  INDEX(data!C:C, MATCH(B1226, data!D:D, 0)),
  "INC"
)</f>
        <v>INC</v>
      </c>
      <c r="K1226" s="9" t="str">
        <f t="array" ref="K1226">IFERROR(INDEX(dataICM!C:C,match(Caseslist!B1226,dataICM!D:D,0)), "INC")</f>
        <v>INC</v>
      </c>
      <c r="L1226" s="10" t="str">
        <f t="array" ref="L1226">IF(AND(G1226="COMPLETE", OR(K1226="INC", ISBLANK(INDEX(data!O:O, ROW())))), J1226, K1226)</f>
        <v>INC</v>
      </c>
      <c r="M1226" s="2" t="s">
        <v>8886</v>
      </c>
      <c r="N1226" s="2" t="str">
        <f t="array" ref="N1226">IF(M1226&lt;&gt;"INC", INDEX(data!M:M, MATCH(B1226, data!D:D, 0)), "")</f>
        <v/>
      </c>
      <c r="O1226" s="2" t="str">
        <f t="shared" si="3"/>
        <v/>
      </c>
    </row>
    <row r="1227">
      <c r="A1227" s="2" t="str">
        <f t="shared" si="1"/>
        <v>H030255</v>
      </c>
      <c r="B1227" s="1" t="s">
        <v>463</v>
      </c>
      <c r="C1227" s="9" t="str">
        <f t="array" ref="C1227">IF(
  AND(
    IFERROR(MATCH(Caseslist!B1227, data!D:D, 0), 0) &gt; 0,
    IFERROR(INDEX(data!N:N, MATCH(Caseslist!B1227, data!D:D, 0)) = 1, FALSE)
  ),
  "COMPLETE",
  "INC"
)</f>
        <v>COMPLETE</v>
      </c>
      <c r="D1227" s="9" t="str">
        <f t="array" ref="D1227">IFERROR(INDEX(data!$G:$G,match(Caseslist!B1227,data!$D:$D,0)), "INC")</f>
        <v>O3925718</v>
      </c>
      <c r="E1227" s="9" t="str">
        <f t="array" ref="E1227">IFERROR(INDEX(data!H:H,match(Caseslist!B1227,data!D:D,0)), "INC")</f>
        <v>Adrian Montecastro Ferrer</v>
      </c>
      <c r="F1227" s="10" t="str">
        <f t="array" ref="F1227">IF(
    OR(
      IFNA(INDEX(data!M:M, MATCH(Caseslist!B1227, data!D:D, 0)), "") = "",
      IFNA(INDEX(data!M:M, MATCH(Caseslist!B1227, data!D:D, 0)), 0) = 0
    ),
    "COMPLETE",
    IF(
      IFNA(INDEX(dataICM!D:D, MATCH(Caseslist!B1227, dataICM!D:D, 0)), "INC") = "INC",
      IFNA(INDEX(dataICM!D:D, MATCH(Caseslist!B1227, dataICM!D:D, 0)), "INC"),
      "COMPLETE"
    )
  )</f>
        <v>COMPLETE</v>
      </c>
      <c r="G1227" s="10" t="str">
        <f t="array" ref="G1227">IF(IFERROR(INDEX(data!L:L,match(Caseslist!B1227,data!D:D,0)),"INC")="","COMPLETE",F1227)</f>
        <v>COMPLETE</v>
      </c>
      <c r="H1227" s="9" t="str">
        <f t="array" ref="H1227">IFERROR(INDEX(dataICM!F:F,match(Caseslist!B1227,dataICM!D:D,0)), "INC")</f>
        <v>Adrian Montecastro Ferrer</v>
      </c>
      <c r="I1227" s="10" t="str">
        <f t="shared" si="2"/>
        <v>O3925718</v>
      </c>
      <c r="J1227" s="9" t="str">
        <f t="array" ref="J1227">IF(
  AND(
    IFERROR(MATCH(B1227, data!D:D, 0), 0) &gt; 0,
    IFERROR(INDEX(data!N:N, MATCH(B1227, data!D:D, 0)) = 1, FALSE)
  ),
  INDEX(data!C:C, MATCH(B1227, data!D:D, 0)),
  "INC"
)</f>
        <v>2025-08-26T20:01:22.378+08</v>
      </c>
      <c r="K1227" s="9" t="str">
        <f t="array" ref="K1227">IFERROR(INDEX(dataICM!C:C,match(Caseslist!B1227,dataICM!D:D,0)), "INC")</f>
        <v>2025-08-27T08:13:43.629+08</v>
      </c>
      <c r="L1227" s="10" t="str">
        <f t="array" ref="L1227">IF(AND(G1227="COMPLETE", OR(K1227="INC", ISBLANK(INDEX(data!O:O, ROW())))), J1227, K1227)</f>
        <v>2025-08-27T08:13:43.629+08</v>
      </c>
      <c r="M1227" s="2">
        <v>45896.0</v>
      </c>
      <c r="N1227" s="2">
        <f t="array" ref="N1227">IF(M1227&lt;&gt;"INC", INDEX(data!M:M, MATCH(B1227, data!D:D, 0)), "")</f>
        <v>3</v>
      </c>
      <c r="O1227" s="2">
        <f t="shared" si="3"/>
        <v>3</v>
      </c>
    </row>
    <row r="1228">
      <c r="A1228" s="2" t="str">
        <f t="shared" si="1"/>
        <v>H030255</v>
      </c>
      <c r="B1228" s="1" t="s">
        <v>8930</v>
      </c>
      <c r="C1228" s="9" t="str">
        <f t="array" ref="C1228">IF(
  AND(
    IFERROR(MATCH(Caseslist!B1228, data!D:D, 0), 0) &gt; 0,
    IFERROR(INDEX(data!N:N, MATCH(Caseslist!B1228, data!D:D, 0)) = 1, FALSE)
  ),
  "COMPLETE",
  "INC"
)</f>
        <v>INC</v>
      </c>
      <c r="D1228" s="9" t="str">
        <f t="array" ref="D1228">IFERROR(INDEX(data!$G:$G,match(Caseslist!B1228,data!$D:$D,0)), "INC")</f>
        <v>INC</v>
      </c>
      <c r="E1228" s="9" t="str">
        <f t="array" ref="E1228">IFERROR(INDEX(data!H:H,match(Caseslist!B1228,data!D:D,0)), "INC")</f>
        <v>INC</v>
      </c>
      <c r="F1228" s="10" t="str">
        <f t="array" ref="F1228">IF(
    OR(
      IFNA(INDEX(data!M:M, MATCH(Caseslist!B1228, data!D:D, 0)), "") = "",
      IFNA(INDEX(data!M:M, MATCH(Caseslist!B1228, data!D:D, 0)), 0) = 0
    ),
    "COMPLETE",
    IF(
      IFNA(INDEX(dataICM!D:D, MATCH(Caseslist!B1228, dataICM!D:D, 0)), "INC") = "INC",
      IFNA(INDEX(dataICM!D:D, MATCH(Caseslist!B1228, dataICM!D:D, 0)), "INC"),
      "COMPLETE"
    )
  )</f>
        <v>COMPLETE</v>
      </c>
      <c r="G1228" s="10" t="str">
        <f t="array" ref="G1228">IF(IFERROR(INDEX(data!L:L,match(Caseslist!B1228,data!D:D,0)),"INC")="","COMPLETE",F1228)</f>
        <v>COMPLETE</v>
      </c>
      <c r="H1228" s="9" t="str">
        <f t="array" ref="H1228">IFERROR(INDEX(dataICM!F:F,match(Caseslist!B1228,dataICM!D:D,0)), "INC")</f>
        <v>INC</v>
      </c>
      <c r="I1228" s="10" t="str">
        <f t="shared" si="2"/>
        <v>INC</v>
      </c>
      <c r="J1228" s="9" t="str">
        <f t="array" ref="J1228">IF(
  AND(
    IFERROR(MATCH(B1228, data!D:D, 0), 0) &gt; 0,
    IFERROR(INDEX(data!N:N, MATCH(B1228, data!D:D, 0)) = 1, FALSE)
  ),
  INDEX(data!C:C, MATCH(B1228, data!D:D, 0)),
  "INC"
)</f>
        <v>INC</v>
      </c>
      <c r="K1228" s="9" t="str">
        <f t="array" ref="K1228">IFERROR(INDEX(dataICM!C:C,match(Caseslist!B1228,dataICM!D:D,0)), "INC")</f>
        <v>INC</v>
      </c>
      <c r="L1228" s="10" t="str">
        <f t="array" ref="L1228">IF(AND(G1228="COMPLETE", OR(K1228="INC", ISBLANK(INDEX(data!O:O, ROW())))), J1228, K1228)</f>
        <v>INC</v>
      </c>
      <c r="M1228" s="2" t="s">
        <v>8886</v>
      </c>
      <c r="N1228" s="2" t="str">
        <f t="array" ref="N1228">IF(M1228&lt;&gt;"INC", INDEX(data!M:M, MATCH(B1228, data!D:D, 0)), "")</f>
        <v/>
      </c>
      <c r="O1228" s="2" t="str">
        <f t="shared" si="3"/>
        <v/>
      </c>
    </row>
    <row r="1229">
      <c r="A1229" s="2" t="str">
        <f t="shared" si="1"/>
        <v>H030255</v>
      </c>
      <c r="B1229" s="1" t="s">
        <v>8931</v>
      </c>
      <c r="C1229" s="9" t="str">
        <f t="array" ref="C1229">IF(
  AND(
    IFERROR(MATCH(Caseslist!B1229, data!D:D, 0), 0) &gt; 0,
    IFERROR(INDEX(data!N:N, MATCH(Caseslist!B1229, data!D:D, 0)) = 1, FALSE)
  ),
  "COMPLETE",
  "INC"
)</f>
        <v>INC</v>
      </c>
      <c r="D1229" s="9" t="str">
        <f t="array" ref="D1229">IFERROR(INDEX(data!$G:$G,match(Caseslist!B1229,data!$D:$D,0)), "INC")</f>
        <v>INC</v>
      </c>
      <c r="E1229" s="9" t="str">
        <f t="array" ref="E1229">IFERROR(INDEX(data!H:H,match(Caseslist!B1229,data!D:D,0)), "INC")</f>
        <v>INC</v>
      </c>
      <c r="F1229" s="10" t="str">
        <f t="array" ref="F1229">IF(
    OR(
      IFNA(INDEX(data!M:M, MATCH(Caseslist!B1229, data!D:D, 0)), "") = "",
      IFNA(INDEX(data!M:M, MATCH(Caseslist!B1229, data!D:D, 0)), 0) = 0
    ),
    "COMPLETE",
    IF(
      IFNA(INDEX(dataICM!D:D, MATCH(Caseslist!B1229, dataICM!D:D, 0)), "INC") = "INC",
      IFNA(INDEX(dataICM!D:D, MATCH(Caseslist!B1229, dataICM!D:D, 0)), "INC"),
      "COMPLETE"
    )
  )</f>
        <v>COMPLETE</v>
      </c>
      <c r="G1229" s="10" t="str">
        <f t="array" ref="G1229">IF(IFERROR(INDEX(data!L:L,match(Caseslist!B1229,data!D:D,0)),"INC")="","COMPLETE",F1229)</f>
        <v>COMPLETE</v>
      </c>
      <c r="H1229" s="9" t="str">
        <f t="array" ref="H1229">IFERROR(INDEX(dataICM!F:F,match(Caseslist!B1229,dataICM!D:D,0)), "INC")</f>
        <v>INC</v>
      </c>
      <c r="I1229" s="10" t="str">
        <f t="shared" si="2"/>
        <v>INC</v>
      </c>
      <c r="J1229" s="9" t="str">
        <f t="array" ref="J1229">IF(
  AND(
    IFERROR(MATCH(B1229, data!D:D, 0), 0) &gt; 0,
    IFERROR(INDEX(data!N:N, MATCH(B1229, data!D:D, 0)) = 1, FALSE)
  ),
  INDEX(data!C:C, MATCH(B1229, data!D:D, 0)),
  "INC"
)</f>
        <v>INC</v>
      </c>
      <c r="K1229" s="9" t="str">
        <f t="array" ref="K1229">IFERROR(INDEX(dataICM!C:C,match(Caseslist!B1229,dataICM!D:D,0)), "INC")</f>
        <v>INC</v>
      </c>
      <c r="L1229" s="10" t="str">
        <f t="array" ref="L1229">IF(AND(G1229="COMPLETE", OR(K1229="INC", ISBLANK(INDEX(data!O:O, ROW())))), J1229, K1229)</f>
        <v>INC</v>
      </c>
      <c r="M1229" s="2" t="s">
        <v>8886</v>
      </c>
      <c r="N1229" s="2" t="str">
        <f t="array" ref="N1229">IF(M1229&lt;&gt;"INC", INDEX(data!M:M, MATCH(B1229, data!D:D, 0)), "")</f>
        <v/>
      </c>
      <c r="O1229" s="2" t="str">
        <f t="shared" si="3"/>
        <v/>
      </c>
    </row>
    <row r="1230">
      <c r="A1230" s="2" t="str">
        <f t="shared" si="1"/>
        <v>H030264</v>
      </c>
      <c r="B1230" s="1" t="s">
        <v>1307</v>
      </c>
      <c r="C1230" s="9" t="str">
        <f t="array" ref="C1230">IF(
  AND(
    IFERROR(MATCH(Caseslist!B1230, data!D:D, 0), 0) &gt; 0,
    IFERROR(INDEX(data!N:N, MATCH(Caseslist!B1230, data!D:D, 0)) = 1, FALSE)
  ),
  "COMPLETE",
  "INC"
)</f>
        <v>COMPLETE</v>
      </c>
      <c r="D1230" s="9" t="str">
        <f t="array" ref="D1230">IFERROR(INDEX(data!$G:$G,match(Caseslist!B1230,data!$D:$D,0)), "INC")</f>
        <v>M6491032</v>
      </c>
      <c r="E1230" s="9" t="str">
        <f t="array" ref="E1230">IFERROR(INDEX(data!H:H,match(Caseslist!B1230,data!D:D,0)), "INC")</f>
        <v>Rosevil Tayo Desamparado</v>
      </c>
      <c r="F1230" s="10" t="str">
        <f t="array" ref="F1230">IF(
    OR(
      IFNA(INDEX(data!M:M, MATCH(Caseslist!B1230, data!D:D, 0)), "") = "",
      IFNA(INDEX(data!M:M, MATCH(Caseslist!B1230, data!D:D, 0)), 0) = 0
    ),
    "COMPLETE",
    IF(
      IFNA(INDEX(dataICM!D:D, MATCH(Caseslist!B1230, dataICM!D:D, 0)), "INC") = "INC",
      IFNA(INDEX(dataICM!D:D, MATCH(Caseslist!B1230, dataICM!D:D, 0)), "INC"),
      "COMPLETE"
    )
  )</f>
        <v>COMPLETE</v>
      </c>
      <c r="G1230" s="10" t="str">
        <f t="array" ref="G1230">IF(IFERROR(INDEX(data!L:L,match(Caseslist!B1230,data!D:D,0)),"INC")="","COMPLETE",F1230)</f>
        <v>COMPLETE</v>
      </c>
      <c r="H1230" s="9" t="str">
        <f t="array" ref="H1230">IFERROR(INDEX(dataICM!F:F,match(Caseslist!B1230,dataICM!D:D,0)), "INC")</f>
        <v>INC</v>
      </c>
      <c r="I1230" s="10" t="str">
        <f t="shared" si="2"/>
        <v>M6491032</v>
      </c>
      <c r="J1230" s="9" t="str">
        <f t="array" ref="J1230">IF(
  AND(
    IFERROR(MATCH(B1230, data!D:D, 0), 0) &gt; 0,
    IFERROR(INDEX(data!N:N, MATCH(B1230, data!D:D, 0)) = 1, FALSE)
  ),
  INDEX(data!C:C, MATCH(B1230, data!D:D, 0)),
  "INC"
)</f>
        <v>2025-08-28T10:38:03.139+08</v>
      </c>
      <c r="K1230" s="9" t="str">
        <f t="array" ref="K1230">IFERROR(INDEX(dataICM!C:C,match(Caseslist!B1230,dataICM!D:D,0)), "INC")</f>
        <v>INC</v>
      </c>
      <c r="L1230" s="10" t="str">
        <f t="array" ref="L1230">IF(AND(G1230="COMPLETE", OR(K1230="INC", ISBLANK(INDEX(data!O:O, ROW())))), J1230, K1230)</f>
        <v>2025-08-28T10:38:03.139+08</v>
      </c>
      <c r="M1230" s="2">
        <v>45897.0</v>
      </c>
      <c r="N1230" s="2">
        <f t="array" ref="N1230">IF(M1230&lt;&gt;"INC", INDEX(data!M:M, MATCH(B1230, data!D:D, 0)), "")</f>
        <v>0</v>
      </c>
      <c r="O1230" s="2">
        <f t="shared" si="3"/>
        <v>0</v>
      </c>
    </row>
    <row r="1231">
      <c r="A1231" s="2" t="str">
        <f t="shared" si="1"/>
        <v>H030264</v>
      </c>
      <c r="B1231" s="1" t="s">
        <v>1322</v>
      </c>
      <c r="C1231" s="9" t="str">
        <f t="array" ref="C1231">IF(
  AND(
    IFERROR(MATCH(Caseslist!B1231, data!D:D, 0), 0) &gt; 0,
    IFERROR(INDEX(data!N:N, MATCH(Caseslist!B1231, data!D:D, 0)) = 1, FALSE)
  ),
  "COMPLETE",
  "INC"
)</f>
        <v>COMPLETE</v>
      </c>
      <c r="D1231" s="9" t="str">
        <f t="array" ref="D1231">IFERROR(INDEX(data!$G:$G,match(Caseslist!B1231,data!$D:$D,0)), "INC")</f>
        <v>K8623174</v>
      </c>
      <c r="E1231" s="9" t="str">
        <f t="array" ref="E1231">IFERROR(INDEX(data!H:H,match(Caseslist!B1231,data!D:D,0)), "INC")</f>
        <v>Marielle Kaye Ignacio Alonzo</v>
      </c>
      <c r="F1231" s="10" t="str">
        <f t="array" ref="F1231">IF(
    OR(
      IFNA(INDEX(data!M:M, MATCH(Caseslist!B1231, data!D:D, 0)), "") = "",
      IFNA(INDEX(data!M:M, MATCH(Caseslist!B1231, data!D:D, 0)), 0) = 0
    ),
    "COMPLETE",
    IF(
      IFNA(INDEX(dataICM!D:D, MATCH(Caseslist!B1231, dataICM!D:D, 0)), "INC") = "INC",
      IFNA(INDEX(dataICM!D:D, MATCH(Caseslist!B1231, dataICM!D:D, 0)), "INC"),
      "COMPLETE"
    )
  )</f>
        <v>COMPLETE</v>
      </c>
      <c r="G1231" s="10" t="str">
        <f t="array" ref="G1231">IF(IFERROR(INDEX(data!L:L,match(Caseslist!B1231,data!D:D,0)),"INC")="","COMPLETE",F1231)</f>
        <v>COMPLETE</v>
      </c>
      <c r="H1231" s="9" t="str">
        <f t="array" ref="H1231">IFERROR(INDEX(dataICM!F:F,match(Caseslist!B1231,dataICM!D:D,0)), "INC")</f>
        <v>INC</v>
      </c>
      <c r="I1231" s="10" t="str">
        <f t="shared" si="2"/>
        <v>K8623174</v>
      </c>
      <c r="J1231" s="9" t="str">
        <f t="array" ref="J1231">IF(
  AND(
    IFERROR(MATCH(B1231, data!D:D, 0), 0) &gt; 0,
    IFERROR(INDEX(data!N:N, MATCH(B1231, data!D:D, 0)) = 1, FALSE)
  ),
  INDEX(data!C:C, MATCH(B1231, data!D:D, 0)),
  "INC"
)</f>
        <v>2025-08-28T13:36:22.300+08</v>
      </c>
      <c r="K1231" s="9" t="str">
        <f t="array" ref="K1231">IFERROR(INDEX(dataICM!C:C,match(Caseslist!B1231,dataICM!D:D,0)), "INC")</f>
        <v>INC</v>
      </c>
      <c r="L1231" s="10" t="str">
        <f t="array" ref="L1231">IF(AND(G1231="COMPLETE", OR(K1231="INC", ISBLANK(INDEX(data!O:O, ROW())))), J1231, K1231)</f>
        <v>2025-08-28T13:36:22.300+08</v>
      </c>
      <c r="M1231" s="2">
        <v>45897.0</v>
      </c>
      <c r="N1231" s="2">
        <f t="array" ref="N1231">IF(M1231&lt;&gt;"INC", INDEX(data!M:M, MATCH(B1231, data!D:D, 0)), "")</f>
        <v>0</v>
      </c>
      <c r="O1231" s="2">
        <f t="shared" si="3"/>
        <v>0</v>
      </c>
    </row>
    <row r="1232">
      <c r="A1232" s="2" t="str">
        <f t="shared" si="1"/>
        <v>H030264</v>
      </c>
      <c r="B1232" s="1" t="s">
        <v>1267</v>
      </c>
      <c r="C1232" s="9" t="str">
        <f t="array" ref="C1232">IF(
  AND(
    IFERROR(MATCH(Caseslist!B1232, data!D:D, 0), 0) &gt; 0,
    IFERROR(INDEX(data!N:N, MATCH(Caseslist!B1232, data!D:D, 0)) = 1, FALSE)
  ),
  "COMPLETE",
  "INC"
)</f>
        <v>COMPLETE</v>
      </c>
      <c r="D1232" s="9" t="str">
        <f t="array" ref="D1232">IFERROR(INDEX(data!$G:$G,match(Caseslist!B1232,data!$D:$D,0)), "INC")</f>
        <v>L2057896</v>
      </c>
      <c r="E1232" s="9" t="str">
        <f t="array" ref="E1232">IFERROR(INDEX(data!H:H,match(Caseslist!B1232,data!D:D,0)), "INC")</f>
        <v>Franz Reoben Posadas Geneblaza</v>
      </c>
      <c r="F1232" s="10" t="str">
        <f t="array" ref="F1232">IF(
    OR(
      IFNA(INDEX(data!M:M, MATCH(Caseslist!B1232, data!D:D, 0)), "") = "",
      IFNA(INDEX(data!M:M, MATCH(Caseslist!B1232, data!D:D, 0)), 0) = 0
    ),
    "COMPLETE",
    IF(
      IFNA(INDEX(dataICM!D:D, MATCH(Caseslist!B1232, dataICM!D:D, 0)), "INC") = "INC",
      IFNA(INDEX(dataICM!D:D, MATCH(Caseslist!B1232, dataICM!D:D, 0)), "INC"),
      "COMPLETE"
    )
  )</f>
        <v>COMPLETE</v>
      </c>
      <c r="G1232" s="10" t="str">
        <f t="array" ref="G1232">IF(IFERROR(INDEX(data!L:L,match(Caseslist!B1232,data!D:D,0)),"INC")="","COMPLETE",F1232)</f>
        <v>COMPLETE</v>
      </c>
      <c r="H1232" s="9" t="str">
        <f t="array" ref="H1232">IFERROR(INDEX(dataICM!F:F,match(Caseslist!B1232,dataICM!D:D,0)), "INC")</f>
        <v>INC</v>
      </c>
      <c r="I1232" s="10" t="str">
        <f t="shared" si="2"/>
        <v>L2057896</v>
      </c>
      <c r="J1232" s="9" t="str">
        <f t="array" ref="J1232">IF(
  AND(
    IFERROR(MATCH(B1232, data!D:D, 0), 0) &gt; 0,
    IFERROR(INDEX(data!N:N, MATCH(B1232, data!D:D, 0)) = 1, FALSE)
  ),
  INDEX(data!C:C, MATCH(B1232, data!D:D, 0)),
  "INC"
)</f>
        <v>2025-08-28T10:43:33.143+08</v>
      </c>
      <c r="K1232" s="9" t="str">
        <f t="array" ref="K1232">IFERROR(INDEX(dataICM!C:C,match(Caseslist!B1232,dataICM!D:D,0)), "INC")</f>
        <v>INC</v>
      </c>
      <c r="L1232" s="10" t="str">
        <f t="array" ref="L1232">IF(AND(G1232="COMPLETE", OR(K1232="INC", ISBLANK(INDEX(data!O:O, ROW())))), J1232, K1232)</f>
        <v>2025-08-28T10:43:33.143+08</v>
      </c>
      <c r="M1232" s="2">
        <v>45897.0</v>
      </c>
      <c r="N1232" s="2">
        <f t="array" ref="N1232">IF(M1232&lt;&gt;"INC", INDEX(data!M:M, MATCH(B1232, data!D:D, 0)), "")</f>
        <v>0</v>
      </c>
      <c r="O1232" s="2">
        <f t="shared" si="3"/>
        <v>0</v>
      </c>
    </row>
    <row r="1233">
      <c r="A1233" s="2" t="str">
        <f t="shared" si="1"/>
        <v>H030264</v>
      </c>
      <c r="B1233" s="1" t="s">
        <v>1342</v>
      </c>
      <c r="C1233" s="9" t="str">
        <f t="array" ref="C1233">IF(
  AND(
    IFERROR(MATCH(Caseslist!B1233, data!D:D, 0), 0) &gt; 0,
    IFERROR(INDEX(data!N:N, MATCH(Caseslist!B1233, data!D:D, 0)) = 1, FALSE)
  ),
  "COMPLETE",
  "INC"
)</f>
        <v>COMPLETE</v>
      </c>
      <c r="D1233" s="9" t="str">
        <f t="array" ref="D1233">IFERROR(INDEX(data!$G:$G,match(Caseslist!B1233,data!$D:$D,0)), "INC")</f>
        <v>J4315980</v>
      </c>
      <c r="E1233" s="9" t="str">
        <f t="array" ref="E1233">IFERROR(INDEX(data!H:H,match(Caseslist!B1233,data!D:D,0)), "INC")</f>
        <v>Trixie Marie Jardeleza Saber</v>
      </c>
      <c r="F1233" s="10" t="str">
        <f t="array" ref="F1233">IF(
    OR(
      IFNA(INDEX(data!M:M, MATCH(Caseslist!B1233, data!D:D, 0)), "") = "",
      IFNA(INDEX(data!M:M, MATCH(Caseslist!B1233, data!D:D, 0)), 0) = 0
    ),
    "COMPLETE",
    IF(
      IFNA(INDEX(dataICM!D:D, MATCH(Caseslist!B1233, dataICM!D:D, 0)), "INC") = "INC",
      IFNA(INDEX(dataICM!D:D, MATCH(Caseslist!B1233, dataICM!D:D, 0)), "INC"),
      "COMPLETE"
    )
  )</f>
        <v>COMPLETE</v>
      </c>
      <c r="G1233" s="10" t="str">
        <f t="array" ref="G1233">IF(IFERROR(INDEX(data!L:L,match(Caseslist!B1233,data!D:D,0)),"INC")="","COMPLETE",F1233)</f>
        <v>COMPLETE</v>
      </c>
      <c r="H1233" s="9" t="str">
        <f t="array" ref="H1233">IFERROR(INDEX(dataICM!F:F,match(Caseslist!B1233,dataICM!D:D,0)), "INC")</f>
        <v>INC</v>
      </c>
      <c r="I1233" s="10" t="str">
        <f t="shared" si="2"/>
        <v>J4315980</v>
      </c>
      <c r="J1233" s="9" t="str">
        <f t="array" ref="J1233">IF(
  AND(
    IFERROR(MATCH(B1233, data!D:D, 0), 0) &gt; 0,
    IFERROR(INDEX(data!N:N, MATCH(B1233, data!D:D, 0)) = 1, FALSE)
  ),
  INDEX(data!C:C, MATCH(B1233, data!D:D, 0)),
  "INC"
)</f>
        <v>2025-08-28T11:21:45.374+08</v>
      </c>
      <c r="K1233" s="9" t="str">
        <f t="array" ref="K1233">IFERROR(INDEX(dataICM!C:C,match(Caseslist!B1233,dataICM!D:D,0)), "INC")</f>
        <v>INC</v>
      </c>
      <c r="L1233" s="10" t="str">
        <f t="array" ref="L1233">IF(AND(G1233="COMPLETE", OR(K1233="INC", ISBLANK(INDEX(data!O:O, ROW())))), J1233, K1233)</f>
        <v>2025-08-28T11:21:45.374+08</v>
      </c>
      <c r="M1233" s="2">
        <v>45897.0</v>
      </c>
      <c r="N1233" s="2">
        <f t="array" ref="N1233">IF(M1233&lt;&gt;"INC", INDEX(data!M:M, MATCH(B1233, data!D:D, 0)), "")</f>
        <v>0</v>
      </c>
      <c r="O1233" s="2">
        <f t="shared" si="3"/>
        <v>0</v>
      </c>
    </row>
    <row r="1234">
      <c r="A1234" s="2" t="str">
        <f t="shared" si="1"/>
        <v>H030264</v>
      </c>
      <c r="B1234" s="1" t="s">
        <v>1347</v>
      </c>
      <c r="C1234" s="9" t="str">
        <f t="array" ref="C1234">IF(
  AND(
    IFERROR(MATCH(Caseslist!B1234, data!D:D, 0), 0) &gt; 0,
    IFERROR(INDEX(data!N:N, MATCH(Caseslist!B1234, data!D:D, 0)) = 1, FALSE)
  ),
  "COMPLETE",
  "INC"
)</f>
        <v>COMPLETE</v>
      </c>
      <c r="D1234" s="9" t="str">
        <f t="array" ref="D1234">IFERROR(INDEX(data!$G:$G,match(Caseslist!B1234,data!$D:$D,0)), "INC")</f>
        <v>J4315980</v>
      </c>
      <c r="E1234" s="9" t="str">
        <f t="array" ref="E1234">IFERROR(INDEX(data!H:H,match(Caseslist!B1234,data!D:D,0)), "INC")</f>
        <v>Trixie Marie Jardeleza Saber</v>
      </c>
      <c r="F1234" s="10" t="str">
        <f t="array" ref="F1234">IF(
    OR(
      IFNA(INDEX(data!M:M, MATCH(Caseslist!B1234, data!D:D, 0)), "") = "",
      IFNA(INDEX(data!M:M, MATCH(Caseslist!B1234, data!D:D, 0)), 0) = 0
    ),
    "COMPLETE",
    IF(
      IFNA(INDEX(dataICM!D:D, MATCH(Caseslist!B1234, dataICM!D:D, 0)), "INC") = "INC",
      IFNA(INDEX(dataICM!D:D, MATCH(Caseslist!B1234, dataICM!D:D, 0)), "INC"),
      "COMPLETE"
    )
  )</f>
        <v>COMPLETE</v>
      </c>
      <c r="G1234" s="10" t="str">
        <f t="array" ref="G1234">IF(IFERROR(INDEX(data!L:L,match(Caseslist!B1234,data!D:D,0)),"INC")="","COMPLETE",F1234)</f>
        <v>COMPLETE</v>
      </c>
      <c r="H1234" s="9" t="str">
        <f t="array" ref="H1234">IFERROR(INDEX(dataICM!F:F,match(Caseslist!B1234,dataICM!D:D,0)), "INC")</f>
        <v>INC</v>
      </c>
      <c r="I1234" s="10" t="str">
        <f t="shared" si="2"/>
        <v>J4315980</v>
      </c>
      <c r="J1234" s="9" t="str">
        <f t="array" ref="J1234">IF(
  AND(
    IFERROR(MATCH(B1234, data!D:D, 0), 0) &gt; 0,
    IFERROR(INDEX(data!N:N, MATCH(B1234, data!D:D, 0)) = 1, FALSE)
  ),
  INDEX(data!C:C, MATCH(B1234, data!D:D, 0)),
  "INC"
)</f>
        <v>2025-08-28T09:44:09.870+08</v>
      </c>
      <c r="K1234" s="9" t="str">
        <f t="array" ref="K1234">IFERROR(INDEX(dataICM!C:C,match(Caseslist!B1234,dataICM!D:D,0)), "INC")</f>
        <v>INC</v>
      </c>
      <c r="L1234" s="10" t="str">
        <f t="array" ref="L1234">IF(AND(G1234="COMPLETE", OR(K1234="INC", ISBLANK(INDEX(data!O:O, ROW())))), J1234, K1234)</f>
        <v>2025-08-28T09:44:09.870+08</v>
      </c>
      <c r="M1234" s="2">
        <v>45897.0</v>
      </c>
      <c r="N1234" s="2">
        <f t="array" ref="N1234">IF(M1234&lt;&gt;"INC", INDEX(data!M:M, MATCH(B1234, data!D:D, 0)), "")</f>
        <v>0</v>
      </c>
      <c r="O1234" s="2">
        <f t="shared" si="3"/>
        <v>0</v>
      </c>
    </row>
    <row r="1235">
      <c r="A1235" s="2" t="str">
        <f t="shared" si="1"/>
        <v>H030264</v>
      </c>
      <c r="B1235" s="1" t="s">
        <v>1312</v>
      </c>
      <c r="C1235" s="9" t="str">
        <f t="array" ref="C1235">IF(
  AND(
    IFERROR(MATCH(Caseslist!B1235, data!D:D, 0), 0) &gt; 0,
    IFERROR(INDEX(data!N:N, MATCH(Caseslist!B1235, data!D:D, 0)) = 1, FALSE)
  ),
  "COMPLETE",
  "INC"
)</f>
        <v>COMPLETE</v>
      </c>
      <c r="D1235" s="9" t="str">
        <f t="array" ref="D1235">IFERROR(INDEX(data!$G:$G,match(Caseslist!B1235,data!$D:$D,0)), "INC")</f>
        <v>M6491032</v>
      </c>
      <c r="E1235" s="9" t="str">
        <f t="array" ref="E1235">IFERROR(INDEX(data!H:H,match(Caseslist!B1235,data!D:D,0)), "INC")</f>
        <v>Rosevil Tayo Desamparado</v>
      </c>
      <c r="F1235" s="10" t="str">
        <f t="array" ref="F1235">IF(
    OR(
      IFNA(INDEX(data!M:M, MATCH(Caseslist!B1235, data!D:D, 0)), "") = "",
      IFNA(INDEX(data!M:M, MATCH(Caseslist!B1235, data!D:D, 0)), 0) = 0
    ),
    "COMPLETE",
    IF(
      IFNA(INDEX(dataICM!D:D, MATCH(Caseslist!B1235, dataICM!D:D, 0)), "INC") = "INC",
      IFNA(INDEX(dataICM!D:D, MATCH(Caseslist!B1235, dataICM!D:D, 0)), "INC"),
      "COMPLETE"
    )
  )</f>
        <v>COMPLETE</v>
      </c>
      <c r="G1235" s="10" t="str">
        <f t="array" ref="G1235">IF(IFERROR(INDEX(data!L:L,match(Caseslist!B1235,data!D:D,0)),"INC")="","COMPLETE",F1235)</f>
        <v>COMPLETE</v>
      </c>
      <c r="H1235" s="9" t="str">
        <f t="array" ref="H1235">IFERROR(INDEX(dataICM!F:F,match(Caseslist!B1235,dataICM!D:D,0)), "INC")</f>
        <v>INC</v>
      </c>
      <c r="I1235" s="10" t="str">
        <f t="shared" si="2"/>
        <v>M6491032</v>
      </c>
      <c r="J1235" s="9" t="str">
        <f t="array" ref="J1235">IF(
  AND(
    IFERROR(MATCH(B1235, data!D:D, 0), 0) &gt; 0,
    IFERROR(INDEX(data!N:N, MATCH(B1235, data!D:D, 0)) = 1, FALSE)
  ),
  INDEX(data!C:C, MATCH(B1235, data!D:D, 0)),
  "INC"
)</f>
        <v>2025-08-28T19:01:28.447+08</v>
      </c>
      <c r="K1235" s="9" t="str">
        <f t="array" ref="K1235">IFERROR(INDEX(dataICM!C:C,match(Caseslist!B1235,dataICM!D:D,0)), "INC")</f>
        <v>INC</v>
      </c>
      <c r="L1235" s="10" t="str">
        <f t="array" ref="L1235">IF(AND(G1235="COMPLETE", OR(K1235="INC", ISBLANK(INDEX(data!O:O, ROW())))), J1235, K1235)</f>
        <v>2025-08-28T19:01:28.447+08</v>
      </c>
      <c r="M1235" s="2">
        <v>45897.0</v>
      </c>
      <c r="N1235" s="2">
        <f t="array" ref="N1235">IF(M1235&lt;&gt;"INC", INDEX(data!M:M, MATCH(B1235, data!D:D, 0)), "")</f>
        <v>0</v>
      </c>
      <c r="O1235" s="2">
        <f t="shared" si="3"/>
        <v>0</v>
      </c>
    </row>
    <row r="1236">
      <c r="A1236" s="2" t="str">
        <f t="shared" si="1"/>
        <v>H030264</v>
      </c>
      <c r="B1236" s="1" t="s">
        <v>1262</v>
      </c>
      <c r="C1236" s="9" t="str">
        <f t="array" ref="C1236">IF(
  AND(
    IFERROR(MATCH(Caseslist!B1236, data!D:D, 0), 0) &gt; 0,
    IFERROR(INDEX(data!N:N, MATCH(Caseslist!B1236, data!D:D, 0)) = 1, FALSE)
  ),
  "COMPLETE",
  "INC"
)</f>
        <v>COMPLETE</v>
      </c>
      <c r="D1236" s="9" t="str">
        <f t="array" ref="D1236">IFERROR(INDEX(data!$G:$G,match(Caseslist!B1236,data!$D:$D,0)), "INC")</f>
        <v>L2057896</v>
      </c>
      <c r="E1236" s="9" t="str">
        <f t="array" ref="E1236">IFERROR(INDEX(data!H:H,match(Caseslist!B1236,data!D:D,0)), "INC")</f>
        <v>Franz Reoben Posadas Geneblaza</v>
      </c>
      <c r="F1236" s="10" t="str">
        <f t="array" ref="F1236">IF(
    OR(
      IFNA(INDEX(data!M:M, MATCH(Caseslist!B1236, data!D:D, 0)), "") = "",
      IFNA(INDEX(data!M:M, MATCH(Caseslist!B1236, data!D:D, 0)), 0) = 0
    ),
    "COMPLETE",
    IF(
      IFNA(INDEX(dataICM!D:D, MATCH(Caseslist!B1236, dataICM!D:D, 0)), "INC") = "INC",
      IFNA(INDEX(dataICM!D:D, MATCH(Caseslist!B1236, dataICM!D:D, 0)), "INC"),
      "COMPLETE"
    )
  )</f>
        <v>COMPLETE</v>
      </c>
      <c r="G1236" s="10" t="str">
        <f t="array" ref="G1236">IF(IFERROR(INDEX(data!L:L,match(Caseslist!B1236,data!D:D,0)),"INC")="","COMPLETE",F1236)</f>
        <v>COMPLETE</v>
      </c>
      <c r="H1236" s="9" t="str">
        <f t="array" ref="H1236">IFERROR(INDEX(dataICM!F:F,match(Caseslist!B1236,dataICM!D:D,0)), "INC")</f>
        <v>INC</v>
      </c>
      <c r="I1236" s="10" t="str">
        <f t="shared" si="2"/>
        <v>L2057896</v>
      </c>
      <c r="J1236" s="9" t="str">
        <f t="array" ref="J1236">IF(
  AND(
    IFERROR(MATCH(B1236, data!D:D, 0), 0) &gt; 0,
    IFERROR(INDEX(data!N:N, MATCH(B1236, data!D:D, 0)) = 1, FALSE)
  ),
  INDEX(data!C:C, MATCH(B1236, data!D:D, 0)),
  "INC"
)</f>
        <v>2025-08-28T12:48:59.243+08</v>
      </c>
      <c r="K1236" s="9" t="str">
        <f t="array" ref="K1236">IFERROR(INDEX(dataICM!C:C,match(Caseslist!B1236,dataICM!D:D,0)), "INC")</f>
        <v>INC</v>
      </c>
      <c r="L1236" s="10" t="str">
        <f t="array" ref="L1236">IF(AND(G1236="COMPLETE", OR(K1236="INC", ISBLANK(INDEX(data!O:O, ROW())))), J1236, K1236)</f>
        <v>2025-08-28T12:48:59.243+08</v>
      </c>
      <c r="M1236" s="2">
        <v>45897.0</v>
      </c>
      <c r="N1236" s="2">
        <f t="array" ref="N1236">IF(M1236&lt;&gt;"INC", INDEX(data!M:M, MATCH(B1236, data!D:D, 0)), "")</f>
        <v>0</v>
      </c>
      <c r="O1236" s="2">
        <f t="shared" si="3"/>
        <v>0</v>
      </c>
    </row>
    <row r="1237">
      <c r="A1237" s="2" t="str">
        <f t="shared" si="1"/>
        <v>H030264</v>
      </c>
      <c r="B1237" s="1" t="s">
        <v>8833</v>
      </c>
      <c r="C1237" s="9" t="str">
        <f t="array" ref="C1237">IF(
  AND(
    IFERROR(MATCH(Caseslist!B1237, data!D:D, 0), 0) &gt; 0,
    IFERROR(INDEX(data!N:N, MATCH(Caseslist!B1237, data!D:D, 0)) = 1, FALSE)
  ),
  "COMPLETE",
  "INC"
)</f>
        <v>COMPLETE</v>
      </c>
      <c r="D1237" s="9" t="str">
        <f t="array" ref="D1237">IFERROR(INDEX(data!$G:$G,match(Caseslist!B1237,data!$D:$D,0)), "INC")</f>
        <v>J4315980</v>
      </c>
      <c r="E1237" s="9" t="str">
        <f t="array" ref="E1237">IFERROR(INDEX(data!H:H,match(Caseslist!B1237,data!D:D,0)), "INC")</f>
        <v>Trixie Marie Jardeleza Saber</v>
      </c>
      <c r="F1237" s="10" t="str">
        <f t="array" ref="F1237">IF(
    OR(
      IFNA(INDEX(data!M:M, MATCH(Caseslist!B1237, data!D:D, 0)), "") = "",
      IFNA(INDEX(data!M:M, MATCH(Caseslist!B1237, data!D:D, 0)), 0) = 0
    ),
    "COMPLETE",
    IF(
      IFNA(INDEX(dataICM!D:D, MATCH(Caseslist!B1237, dataICM!D:D, 0)), "INC") = "INC",
      IFNA(INDEX(dataICM!D:D, MATCH(Caseslist!B1237, dataICM!D:D, 0)), "INC"),
      "COMPLETE"
    )
  )</f>
        <v>COMPLETE</v>
      </c>
      <c r="G1237" s="10" t="str">
        <f t="array" ref="G1237">IF(IFERROR(INDEX(data!L:L,match(Caseslist!B1237,data!D:D,0)),"INC")="","COMPLETE",F1237)</f>
        <v>COMPLETE</v>
      </c>
      <c r="H1237" s="9" t="str">
        <f t="array" ref="H1237">IFERROR(INDEX(dataICM!F:F,match(Caseslist!B1237,dataICM!D:D,0)), "INC")</f>
        <v>INC</v>
      </c>
      <c r="I1237" s="10" t="str">
        <f t="shared" si="2"/>
        <v>J4315980</v>
      </c>
      <c r="J1237" s="9" t="str">
        <f t="array" ref="J1237">IF(
  AND(
    IFERROR(MATCH(B1237, data!D:D, 0), 0) &gt; 0,
    IFERROR(INDEX(data!N:N, MATCH(B1237, data!D:D, 0)) = 1, FALSE)
  ),
  INDEX(data!C:C, MATCH(B1237, data!D:D, 0)),
  "INC"
)</f>
        <v>2025-10-01T09:14:35.940+08</v>
      </c>
      <c r="K1237" s="9" t="str">
        <f t="array" ref="K1237">IFERROR(INDEX(dataICM!C:C,match(Caseslist!B1237,dataICM!D:D,0)), "INC")</f>
        <v>INC</v>
      </c>
      <c r="L1237" s="10" t="str">
        <f t="array" ref="L1237">IF(AND(G1237="COMPLETE", OR(K1237="INC", ISBLANK(INDEX(data!O:O, ROW())))), J1237, K1237)</f>
        <v>2025-10-01T09:14:35.940+08</v>
      </c>
      <c r="M1237" s="2">
        <v>45931.0</v>
      </c>
      <c r="N1237" s="2">
        <f t="array" ref="N1237">IF(M1237&lt;&gt;"INC", INDEX(data!M:M, MATCH(B1237, data!D:D, 0)), "")</f>
        <v>0</v>
      </c>
      <c r="O1237" s="2">
        <f t="shared" si="3"/>
        <v>0</v>
      </c>
    </row>
    <row r="1238">
      <c r="A1238" s="2" t="str">
        <f t="shared" si="1"/>
        <v>H030264</v>
      </c>
      <c r="B1238" s="1" t="s">
        <v>1332</v>
      </c>
      <c r="C1238" s="9" t="str">
        <f t="array" ref="C1238">IF(
  AND(
    IFERROR(MATCH(Caseslist!B1238, data!D:D, 0), 0) &gt; 0,
    IFERROR(INDEX(data!N:N, MATCH(Caseslist!B1238, data!D:D, 0)) = 1, FALSE)
  ),
  "COMPLETE",
  "INC"
)</f>
        <v>COMPLETE</v>
      </c>
      <c r="D1238" s="9" t="str">
        <f t="array" ref="D1238">IFERROR(INDEX(data!$G:$G,match(Caseslist!B1238,data!$D:$D,0)), "INC")</f>
        <v>K8623174</v>
      </c>
      <c r="E1238" s="9" t="str">
        <f t="array" ref="E1238">IFERROR(INDEX(data!H:H,match(Caseslist!B1238,data!D:D,0)), "INC")</f>
        <v>Marielle Kaye Ignacio Alonzo</v>
      </c>
      <c r="F1238" s="10" t="str">
        <f t="array" ref="F1238">IF(
    OR(
      IFNA(INDEX(data!M:M, MATCH(Caseslist!B1238, data!D:D, 0)), "") = "",
      IFNA(INDEX(data!M:M, MATCH(Caseslist!B1238, data!D:D, 0)), 0) = 0
    ),
    "COMPLETE",
    IF(
      IFNA(INDEX(dataICM!D:D, MATCH(Caseslist!B1238, dataICM!D:D, 0)), "INC") = "INC",
      IFNA(INDEX(dataICM!D:D, MATCH(Caseslist!B1238, dataICM!D:D, 0)), "INC"),
      "COMPLETE"
    )
  )</f>
        <v>COMPLETE</v>
      </c>
      <c r="G1238" s="10" t="str">
        <f t="array" ref="G1238">IF(IFERROR(INDEX(data!L:L,match(Caseslist!B1238,data!D:D,0)),"INC")="","COMPLETE",F1238)</f>
        <v>COMPLETE</v>
      </c>
      <c r="H1238" s="9" t="str">
        <f t="array" ref="H1238">IFERROR(INDEX(dataICM!F:F,match(Caseslist!B1238,dataICM!D:D,0)), "INC")</f>
        <v>INC</v>
      </c>
      <c r="I1238" s="10" t="str">
        <f t="shared" si="2"/>
        <v>K8623174</v>
      </c>
      <c r="J1238" s="9" t="str">
        <f t="array" ref="J1238">IF(
  AND(
    IFERROR(MATCH(B1238, data!D:D, 0), 0) &gt; 0,
    IFERROR(INDEX(data!N:N, MATCH(B1238, data!D:D, 0)) = 1, FALSE)
  ),
  INDEX(data!C:C, MATCH(B1238, data!D:D, 0)),
  "INC"
)</f>
        <v>2025-08-28T15:04:27.531+08</v>
      </c>
      <c r="K1238" s="9" t="str">
        <f t="array" ref="K1238">IFERROR(INDEX(dataICM!C:C,match(Caseslist!B1238,dataICM!D:D,0)), "INC")</f>
        <v>INC</v>
      </c>
      <c r="L1238" s="10" t="str">
        <f t="array" ref="L1238">IF(AND(G1238="COMPLETE", OR(K1238="INC", ISBLANK(INDEX(data!O:O, ROW())))), J1238, K1238)</f>
        <v>2025-08-28T15:04:27.531+08</v>
      </c>
      <c r="M1238" s="2">
        <v>45897.0</v>
      </c>
      <c r="N1238" s="2">
        <f t="array" ref="N1238">IF(M1238&lt;&gt;"INC", INDEX(data!M:M, MATCH(B1238, data!D:D, 0)), "")</f>
        <v>0</v>
      </c>
      <c r="O1238" s="2">
        <f t="shared" si="3"/>
        <v>0</v>
      </c>
    </row>
    <row r="1239">
      <c r="A1239" s="2" t="str">
        <f t="shared" si="1"/>
        <v>H030264</v>
      </c>
      <c r="B1239" s="1" t="s">
        <v>1272</v>
      </c>
      <c r="C1239" s="9" t="str">
        <f t="array" ref="C1239">IF(
  AND(
    IFERROR(MATCH(Caseslist!B1239, data!D:D, 0), 0) &gt; 0,
    IFERROR(INDEX(data!N:N, MATCH(Caseslist!B1239, data!D:D, 0)) = 1, FALSE)
  ),
  "COMPLETE",
  "INC"
)</f>
        <v>INC</v>
      </c>
      <c r="D1239" s="9" t="str">
        <f t="array" ref="D1239">IFERROR(INDEX(data!$G:$G,match(Caseslist!B1239,data!$D:$D,0)), "INC")</f>
        <v>J4315980</v>
      </c>
      <c r="E1239" s="9" t="str">
        <f t="array" ref="E1239">IFERROR(INDEX(data!H:H,match(Caseslist!B1239,data!D:D,0)), "INC")</f>
        <v>Trixie Marie Jardeleza Saber</v>
      </c>
      <c r="F1239" s="10" t="str">
        <f t="array" ref="F1239">IF(
    OR(
      IFNA(INDEX(data!M:M, MATCH(Caseslist!B1239, data!D:D, 0)), "") = "",
      IFNA(INDEX(data!M:M, MATCH(Caseslist!B1239, data!D:D, 0)), 0) = 0
    ),
    "COMPLETE",
    IF(
      IFNA(INDEX(dataICM!D:D, MATCH(Caseslist!B1239, dataICM!D:D, 0)), "INC") = "INC",
      IFNA(INDEX(dataICM!D:D, MATCH(Caseslist!B1239, dataICM!D:D, 0)), "INC"),
      "COMPLETE"
    )
  )</f>
        <v>COMPLETE</v>
      </c>
      <c r="G1239" s="10" t="str">
        <f t="array" ref="G1239">IF(IFERROR(INDEX(data!L:L,match(Caseslist!B1239,data!D:D,0)),"INC")="","COMPLETE",F1239)</f>
        <v>COMPLETE</v>
      </c>
      <c r="H1239" s="9" t="str">
        <f t="array" ref="H1239">IFERROR(INDEX(dataICM!F:F,match(Caseslist!B1239,dataICM!D:D,0)), "INC")</f>
        <v>INC</v>
      </c>
      <c r="I1239" s="10" t="str">
        <f t="shared" si="2"/>
        <v>J4315980</v>
      </c>
      <c r="J1239" s="9" t="str">
        <f t="array" ref="J1239">IF(
  AND(
    IFERROR(MATCH(B1239, data!D:D, 0), 0) &gt; 0,
    IFERROR(INDEX(data!N:N, MATCH(B1239, data!D:D, 0)) = 1, FALSE)
  ),
  INDEX(data!C:C, MATCH(B1239, data!D:D, 0)),
  "INC"
)</f>
        <v>INC</v>
      </c>
      <c r="K1239" s="9" t="str">
        <f t="array" ref="K1239">IFERROR(INDEX(dataICM!C:C,match(Caseslist!B1239,dataICM!D:D,0)), "INC")</f>
        <v>INC</v>
      </c>
      <c r="L1239" s="10" t="str">
        <f t="array" ref="L1239">IF(AND(G1239="COMPLETE", OR(K1239="INC", ISBLANK(INDEX(data!O:O, ROW())))), J1239, K1239)</f>
        <v>INC</v>
      </c>
      <c r="M1239" s="2" t="s">
        <v>8886</v>
      </c>
      <c r="N1239" s="2" t="str">
        <f t="array" ref="N1239">IF(M1239&lt;&gt;"INC", INDEX(data!M:M, MATCH(B1239, data!D:D, 0)), "")</f>
        <v/>
      </c>
      <c r="O1239" s="2" t="str">
        <f t="shared" si="3"/>
        <v/>
      </c>
    </row>
    <row r="1240">
      <c r="A1240" s="2" t="str">
        <f t="shared" si="1"/>
        <v>H030264</v>
      </c>
      <c r="B1240" s="1" t="s">
        <v>1327</v>
      </c>
      <c r="C1240" s="9" t="str">
        <f t="array" ref="C1240">IF(
  AND(
    IFERROR(MATCH(Caseslist!B1240, data!D:D, 0), 0) &gt; 0,
    IFERROR(INDEX(data!N:N, MATCH(Caseslist!B1240, data!D:D, 0)) = 1, FALSE)
  ),
  "COMPLETE",
  "INC"
)</f>
        <v>COMPLETE</v>
      </c>
      <c r="D1240" s="9" t="str">
        <f t="array" ref="D1240">IFERROR(INDEX(data!$G:$G,match(Caseslist!B1240,data!$D:$D,0)), "INC")</f>
        <v>K8623174</v>
      </c>
      <c r="E1240" s="9" t="str">
        <f t="array" ref="E1240">IFERROR(INDEX(data!H:H,match(Caseslist!B1240,data!D:D,0)), "INC")</f>
        <v>Marielle Kaye Ignacio Alonzo</v>
      </c>
      <c r="F1240" s="10" t="str">
        <f t="array" ref="F1240">IF(
    OR(
      IFNA(INDEX(data!M:M, MATCH(Caseslist!B1240, data!D:D, 0)), "") = "",
      IFNA(INDEX(data!M:M, MATCH(Caseslist!B1240, data!D:D, 0)), 0) = 0
    ),
    "COMPLETE",
    IF(
      IFNA(INDEX(dataICM!D:D, MATCH(Caseslist!B1240, dataICM!D:D, 0)), "INC") = "INC",
      IFNA(INDEX(dataICM!D:D, MATCH(Caseslist!B1240, dataICM!D:D, 0)), "INC"),
      "COMPLETE"
    )
  )</f>
        <v>COMPLETE</v>
      </c>
      <c r="G1240" s="10" t="str">
        <f t="array" ref="G1240">IF(IFERROR(INDEX(data!L:L,match(Caseslist!B1240,data!D:D,0)),"INC")="","COMPLETE",F1240)</f>
        <v>COMPLETE</v>
      </c>
      <c r="H1240" s="9" t="str">
        <f t="array" ref="H1240">IFERROR(INDEX(dataICM!F:F,match(Caseslist!B1240,dataICM!D:D,0)), "INC")</f>
        <v>INC</v>
      </c>
      <c r="I1240" s="10" t="str">
        <f t="shared" si="2"/>
        <v>K8623174</v>
      </c>
      <c r="J1240" s="9" t="str">
        <f t="array" ref="J1240">IF(
  AND(
    IFERROR(MATCH(B1240, data!D:D, 0), 0) &gt; 0,
    IFERROR(INDEX(data!N:N, MATCH(B1240, data!D:D, 0)) = 1, FALSE)
  ),
  INDEX(data!C:C, MATCH(B1240, data!D:D, 0)),
  "INC"
)</f>
        <v>2025-08-28T11:08:26.424+08</v>
      </c>
      <c r="K1240" s="9" t="str">
        <f t="array" ref="K1240">IFERROR(INDEX(dataICM!C:C,match(Caseslist!B1240,dataICM!D:D,0)), "INC")</f>
        <v>INC</v>
      </c>
      <c r="L1240" s="10" t="str">
        <f t="array" ref="L1240">IF(AND(G1240="COMPLETE", OR(K1240="INC", ISBLANK(INDEX(data!O:O, ROW())))), J1240, K1240)</f>
        <v>2025-08-28T11:08:26.424+08</v>
      </c>
      <c r="M1240" s="2">
        <v>45897.0</v>
      </c>
      <c r="N1240" s="2">
        <f t="array" ref="N1240">IF(M1240&lt;&gt;"INC", INDEX(data!M:M, MATCH(B1240, data!D:D, 0)), "")</f>
        <v>0</v>
      </c>
      <c r="O1240" s="2">
        <f t="shared" si="3"/>
        <v>0</v>
      </c>
    </row>
    <row r="1241">
      <c r="A1241" s="2" t="str">
        <f t="shared" si="1"/>
        <v>H030264</v>
      </c>
      <c r="B1241" s="1" t="s">
        <v>1317</v>
      </c>
      <c r="C1241" s="9" t="str">
        <f t="array" ref="C1241">IF(
  AND(
    IFERROR(MATCH(Caseslist!B1241, data!D:D, 0), 0) &gt; 0,
    IFERROR(INDEX(data!N:N, MATCH(Caseslist!B1241, data!D:D, 0)) = 1, FALSE)
  ),
  "COMPLETE",
  "INC"
)</f>
        <v>COMPLETE</v>
      </c>
      <c r="D1241" s="9" t="str">
        <f t="array" ref="D1241">IFERROR(INDEX(data!$G:$G,match(Caseslist!B1241,data!$D:$D,0)), "INC")</f>
        <v>M6491032</v>
      </c>
      <c r="E1241" s="9" t="str">
        <f t="array" ref="E1241">IFERROR(INDEX(data!H:H,match(Caseslist!B1241,data!D:D,0)), "INC")</f>
        <v>Rosevil Tayo Desamparado</v>
      </c>
      <c r="F1241" s="10" t="str">
        <f t="array" ref="F1241">IF(
    OR(
      IFNA(INDEX(data!M:M, MATCH(Caseslist!B1241, data!D:D, 0)), "") = "",
      IFNA(INDEX(data!M:M, MATCH(Caseslist!B1241, data!D:D, 0)), 0) = 0
    ),
    "COMPLETE",
    IF(
      IFNA(INDEX(dataICM!D:D, MATCH(Caseslist!B1241, dataICM!D:D, 0)), "INC") = "INC",
      IFNA(INDEX(dataICM!D:D, MATCH(Caseslist!B1241, dataICM!D:D, 0)), "INC"),
      "COMPLETE"
    )
  )</f>
        <v>COMPLETE</v>
      </c>
      <c r="G1241" s="10" t="str">
        <f t="array" ref="G1241">IF(IFERROR(INDEX(data!L:L,match(Caseslist!B1241,data!D:D,0)),"INC")="","COMPLETE",F1241)</f>
        <v>COMPLETE</v>
      </c>
      <c r="H1241" s="9" t="str">
        <f t="array" ref="H1241">IFERROR(INDEX(dataICM!F:F,match(Caseslist!B1241,dataICM!D:D,0)), "INC")</f>
        <v>INC</v>
      </c>
      <c r="I1241" s="10" t="str">
        <f t="shared" si="2"/>
        <v>M6491032</v>
      </c>
      <c r="J1241" s="9" t="str">
        <f t="array" ref="J1241">IF(
  AND(
    IFERROR(MATCH(B1241, data!D:D, 0), 0) &gt; 0,
    IFERROR(INDEX(data!N:N, MATCH(B1241, data!D:D, 0)) = 1, FALSE)
  ),
  INDEX(data!C:C, MATCH(B1241, data!D:D, 0)),
  "INC"
)</f>
        <v>2025-08-28T11:43:59.943+08</v>
      </c>
      <c r="K1241" s="9" t="str">
        <f t="array" ref="K1241">IFERROR(INDEX(dataICM!C:C,match(Caseslist!B1241,dataICM!D:D,0)), "INC")</f>
        <v>INC</v>
      </c>
      <c r="L1241" s="10" t="str">
        <f t="array" ref="L1241">IF(AND(G1241="COMPLETE", OR(K1241="INC", ISBLANK(INDEX(data!O:O, ROW())))), J1241, K1241)</f>
        <v>2025-08-28T11:43:59.943+08</v>
      </c>
      <c r="M1241" s="2">
        <v>45897.0</v>
      </c>
      <c r="N1241" s="2">
        <f t="array" ref="N1241">IF(M1241&lt;&gt;"INC", INDEX(data!M:M, MATCH(B1241, data!D:D, 0)), "")</f>
        <v>0</v>
      </c>
      <c r="O1241" s="2">
        <f t="shared" si="3"/>
        <v>0</v>
      </c>
    </row>
    <row r="1242">
      <c r="A1242" s="2" t="str">
        <f t="shared" si="1"/>
        <v>H030264</v>
      </c>
      <c r="B1242" s="1" t="s">
        <v>1337</v>
      </c>
      <c r="C1242" s="9" t="str">
        <f t="array" ref="C1242">IF(
  AND(
    IFERROR(MATCH(Caseslist!B1242, data!D:D, 0), 0) &gt; 0,
    IFERROR(INDEX(data!N:N, MATCH(Caseslist!B1242, data!D:D, 0)) = 1, FALSE)
  ),
  "COMPLETE",
  "INC"
)</f>
        <v>COMPLETE</v>
      </c>
      <c r="D1242" s="9" t="str">
        <f t="array" ref="D1242">IFERROR(INDEX(data!$G:$G,match(Caseslist!B1242,data!$D:$D,0)), "INC")</f>
        <v>J4315980</v>
      </c>
      <c r="E1242" s="9" t="str">
        <f t="array" ref="E1242">IFERROR(INDEX(data!H:H,match(Caseslist!B1242,data!D:D,0)), "INC")</f>
        <v>Trixie Marie Jardeleza Saber</v>
      </c>
      <c r="F1242" s="10" t="str">
        <f t="array" ref="F1242">IF(
    OR(
      IFNA(INDEX(data!M:M, MATCH(Caseslist!B1242, data!D:D, 0)), "") = "",
      IFNA(INDEX(data!M:M, MATCH(Caseslist!B1242, data!D:D, 0)), 0) = 0
    ),
    "COMPLETE",
    IF(
      IFNA(INDEX(dataICM!D:D, MATCH(Caseslist!B1242, dataICM!D:D, 0)), "INC") = "INC",
      IFNA(INDEX(dataICM!D:D, MATCH(Caseslist!B1242, dataICM!D:D, 0)), "INC"),
      "COMPLETE"
    )
  )</f>
        <v>COMPLETE</v>
      </c>
      <c r="G1242" s="10" t="str">
        <f t="array" ref="G1242">IF(IFERROR(INDEX(data!L:L,match(Caseslist!B1242,data!D:D,0)),"INC")="","COMPLETE",F1242)</f>
        <v>COMPLETE</v>
      </c>
      <c r="H1242" s="9" t="str">
        <f t="array" ref="H1242">IFERROR(INDEX(dataICM!F:F,match(Caseslist!B1242,dataICM!D:D,0)), "INC")</f>
        <v>INC</v>
      </c>
      <c r="I1242" s="10" t="str">
        <f t="shared" si="2"/>
        <v>J4315980</v>
      </c>
      <c r="J1242" s="9" t="str">
        <f t="array" ref="J1242">IF(
  AND(
    IFERROR(MATCH(B1242, data!D:D, 0), 0) &gt; 0,
    IFERROR(INDEX(data!N:N, MATCH(B1242, data!D:D, 0)) = 1, FALSE)
  ),
  INDEX(data!C:C, MATCH(B1242, data!D:D, 0)),
  "INC"
)</f>
        <v>2025-08-28T16:43:03.339+08</v>
      </c>
      <c r="K1242" s="9" t="str">
        <f t="array" ref="K1242">IFERROR(INDEX(dataICM!C:C,match(Caseslist!B1242,dataICM!D:D,0)), "INC")</f>
        <v>INC</v>
      </c>
      <c r="L1242" s="10" t="str">
        <f t="array" ref="L1242">IF(AND(G1242="COMPLETE", OR(K1242="INC", ISBLANK(INDEX(data!O:O, ROW())))), J1242, K1242)</f>
        <v>2025-08-28T16:43:03.339+08</v>
      </c>
      <c r="M1242" s="2">
        <v>45897.0</v>
      </c>
      <c r="N1242" s="2">
        <f t="array" ref="N1242">IF(M1242&lt;&gt;"INC", INDEX(data!M:M, MATCH(B1242, data!D:D, 0)), "")</f>
        <v>0</v>
      </c>
      <c r="O1242" s="2">
        <f t="shared" si="3"/>
        <v>0</v>
      </c>
    </row>
    <row r="1243">
      <c r="A1243" s="2" t="str">
        <f t="shared" si="1"/>
        <v>H030264</v>
      </c>
      <c r="B1243" s="1" t="s">
        <v>1352</v>
      </c>
      <c r="C1243" s="9" t="str">
        <f t="array" ref="C1243">IF(
  AND(
    IFERROR(MATCH(Caseslist!B1243, data!D:D, 0), 0) &gt; 0,
    IFERROR(INDEX(data!N:N, MATCH(Caseslist!B1243, data!D:D, 0)) = 1, FALSE)
  ),
  "COMPLETE",
  "INC"
)</f>
        <v>COMPLETE</v>
      </c>
      <c r="D1243" s="9" t="str">
        <f t="array" ref="D1243">IFERROR(INDEX(data!$G:$G,match(Caseslist!B1243,data!$D:$D,0)), "INC")</f>
        <v>J4315980</v>
      </c>
      <c r="E1243" s="9" t="str">
        <f t="array" ref="E1243">IFERROR(INDEX(data!H:H,match(Caseslist!B1243,data!D:D,0)), "INC")</f>
        <v>Trixie Marie Jardeleza Saber</v>
      </c>
      <c r="F1243" s="10" t="str">
        <f t="array" ref="F1243">IF(
    OR(
      IFNA(INDEX(data!M:M, MATCH(Caseslist!B1243, data!D:D, 0)), "") = "",
      IFNA(INDEX(data!M:M, MATCH(Caseslist!B1243, data!D:D, 0)), 0) = 0
    ),
    "COMPLETE",
    IF(
      IFNA(INDEX(dataICM!D:D, MATCH(Caseslist!B1243, dataICM!D:D, 0)), "INC") = "INC",
      IFNA(INDEX(dataICM!D:D, MATCH(Caseslist!B1243, dataICM!D:D, 0)), "INC"),
      "COMPLETE"
    )
  )</f>
        <v>COMPLETE</v>
      </c>
      <c r="G1243" s="10" t="str">
        <f t="array" ref="G1243">IF(IFERROR(INDEX(data!L:L,match(Caseslist!B1243,data!D:D,0)),"INC")="","COMPLETE",F1243)</f>
        <v>COMPLETE</v>
      </c>
      <c r="H1243" s="9" t="str">
        <f t="array" ref="H1243">IFERROR(INDEX(dataICM!F:F,match(Caseslist!B1243,dataICM!D:D,0)), "INC")</f>
        <v>INC</v>
      </c>
      <c r="I1243" s="10" t="str">
        <f t="shared" si="2"/>
        <v>J4315980</v>
      </c>
      <c r="J1243" s="9" t="str">
        <f t="array" ref="J1243">IF(
  AND(
    IFERROR(MATCH(B1243, data!D:D, 0), 0) &gt; 0,
    IFERROR(INDEX(data!N:N, MATCH(B1243, data!D:D, 0)) = 1, FALSE)
  ),
  INDEX(data!C:C, MATCH(B1243, data!D:D, 0)),
  "INC"
)</f>
        <v>2025-08-28T15:38:15.777+08</v>
      </c>
      <c r="K1243" s="9" t="str">
        <f t="array" ref="K1243">IFERROR(INDEX(dataICM!C:C,match(Caseslist!B1243,dataICM!D:D,0)), "INC")</f>
        <v>INC</v>
      </c>
      <c r="L1243" s="10" t="str">
        <f t="array" ref="L1243">IF(AND(G1243="COMPLETE", OR(K1243="INC", ISBLANK(INDEX(data!O:O, ROW())))), J1243, K1243)</f>
        <v>2025-08-28T15:38:15.777+08</v>
      </c>
      <c r="M1243" s="2">
        <v>45897.0</v>
      </c>
      <c r="N1243" s="2">
        <f t="array" ref="N1243">IF(M1243&lt;&gt;"INC", INDEX(data!M:M, MATCH(B1243, data!D:D, 0)), "")</f>
        <v>0</v>
      </c>
      <c r="O1243" s="2">
        <f t="shared" si="3"/>
        <v>0</v>
      </c>
    </row>
    <row r="1244">
      <c r="A1244" s="2" t="str">
        <f t="shared" si="1"/>
        <v>H030264</v>
      </c>
      <c r="B1244" s="1" t="s">
        <v>1257</v>
      </c>
      <c r="C1244" s="9" t="str">
        <f t="array" ref="C1244">IF(
  AND(
    IFERROR(MATCH(Caseslist!B1244, data!D:D, 0), 0) &gt; 0,
    IFERROR(INDEX(data!N:N, MATCH(Caseslist!B1244, data!D:D, 0)) = 1, FALSE)
  ),
  "COMPLETE",
  "INC"
)</f>
        <v>COMPLETE</v>
      </c>
      <c r="D1244" s="9" t="str">
        <f t="array" ref="D1244">IFERROR(INDEX(data!$G:$G,match(Caseslist!B1244,data!$D:$D,0)), "INC")</f>
        <v>L2057896</v>
      </c>
      <c r="E1244" s="9" t="str">
        <f t="array" ref="E1244">IFERROR(INDEX(data!H:H,match(Caseslist!B1244,data!D:D,0)), "INC")</f>
        <v>Franz Reoben Posadas Geneblaza</v>
      </c>
      <c r="F1244" s="10" t="str">
        <f t="array" ref="F1244">IF(
    OR(
      IFNA(INDEX(data!M:M, MATCH(Caseslist!B1244, data!D:D, 0)), "") = "",
      IFNA(INDEX(data!M:M, MATCH(Caseslist!B1244, data!D:D, 0)), 0) = 0
    ),
    "COMPLETE",
    IF(
      IFNA(INDEX(dataICM!D:D, MATCH(Caseslist!B1244, dataICM!D:D, 0)), "INC") = "INC",
      IFNA(INDEX(dataICM!D:D, MATCH(Caseslist!B1244, dataICM!D:D, 0)), "INC"),
      "COMPLETE"
    )
  )</f>
        <v>COMPLETE</v>
      </c>
      <c r="G1244" s="10" t="str">
        <f t="array" ref="G1244">IF(IFERROR(INDEX(data!L:L,match(Caseslist!B1244,data!D:D,0)),"INC")="","COMPLETE",F1244)</f>
        <v>COMPLETE</v>
      </c>
      <c r="H1244" s="9" t="str">
        <f t="array" ref="H1244">IFERROR(INDEX(dataICM!F:F,match(Caseslist!B1244,dataICM!D:D,0)), "INC")</f>
        <v>INC</v>
      </c>
      <c r="I1244" s="10" t="str">
        <f t="shared" si="2"/>
        <v>L2057896</v>
      </c>
      <c r="J1244" s="9" t="str">
        <f t="array" ref="J1244">IF(
  AND(
    IFERROR(MATCH(B1244, data!D:D, 0), 0) &gt; 0,
    IFERROR(INDEX(data!N:N, MATCH(B1244, data!D:D, 0)) = 1, FALSE)
  ),
  INDEX(data!C:C, MATCH(B1244, data!D:D, 0)),
  "INC"
)</f>
        <v>2025-08-28T09:45:34.646+08</v>
      </c>
      <c r="K1244" s="9" t="str">
        <f t="array" ref="K1244">IFERROR(INDEX(dataICM!C:C,match(Caseslist!B1244,dataICM!D:D,0)), "INC")</f>
        <v>INC</v>
      </c>
      <c r="L1244" s="10" t="str">
        <f t="array" ref="L1244">IF(AND(G1244="COMPLETE", OR(K1244="INC", ISBLANK(INDEX(data!O:O, ROW())))), J1244, K1244)</f>
        <v>2025-08-28T09:45:34.646+08</v>
      </c>
      <c r="M1244" s="2">
        <v>45897.0</v>
      </c>
      <c r="N1244" s="2">
        <f t="array" ref="N1244">IF(M1244&lt;&gt;"INC", INDEX(data!M:M, MATCH(B1244, data!D:D, 0)), "")</f>
        <v>0</v>
      </c>
      <c r="O1244" s="2">
        <f t="shared" si="3"/>
        <v>0</v>
      </c>
    </row>
    <row r="1245">
      <c r="A1245" s="2" t="str">
        <f t="shared" si="1"/>
        <v>H030270</v>
      </c>
      <c r="B1245" s="1" t="s">
        <v>1557</v>
      </c>
      <c r="C1245" s="9" t="str">
        <f t="array" ref="C1245">IF(
  AND(
    IFERROR(MATCH(Caseslist!B1245, data!D:D, 0), 0) &gt; 0,
    IFERROR(INDEX(data!N:N, MATCH(Caseslist!B1245, data!D:D, 0)) = 1, FALSE)
  ),
  "COMPLETE",
  "INC"
)</f>
        <v>COMPLETE</v>
      </c>
      <c r="D1245" s="9">
        <f t="array" ref="D1245">IFERROR(INDEX(data!$G:$G,match(Caseslist!B1245,data!$D:$D,0)), "INC")</f>
        <v>896791</v>
      </c>
      <c r="E1245" s="9" t="str">
        <f t="array" ref="E1245">IFERROR(INDEX(data!H:H,match(Caseslist!B1245,data!D:D,0)), "INC")</f>
        <v>Roland A. Bandiola jr</v>
      </c>
      <c r="F1245" s="10" t="str">
        <f t="array" ref="F1245">IF(
    OR(
      IFNA(INDEX(data!M:M, MATCH(Caseslist!B1245, data!D:D, 0)), "") = "",
      IFNA(INDEX(data!M:M, MATCH(Caseslist!B1245, data!D:D, 0)), 0) = 0
    ),
    "COMPLETE",
    IF(
      IFNA(INDEX(dataICM!D:D, MATCH(Caseslist!B1245, dataICM!D:D, 0)), "INC") = "INC",
      IFNA(INDEX(dataICM!D:D, MATCH(Caseslist!B1245, dataICM!D:D, 0)), "INC"),
      "COMPLETE"
    )
  )</f>
        <v>COMPLETE</v>
      </c>
      <c r="G1245" s="10" t="str">
        <f t="array" ref="G1245">IF(IFERROR(INDEX(data!L:L,match(Caseslist!B1245,data!D:D,0)),"INC")="","COMPLETE",F1245)</f>
        <v>COMPLETE</v>
      </c>
      <c r="H1245" s="9" t="str">
        <f t="array" ref="H1245">IFERROR(INDEX(dataICM!F:F,match(Caseslist!B1245,dataICM!D:D,0)), "INC")</f>
        <v>Roland A. Bandiola jr</v>
      </c>
      <c r="I1245" s="10">
        <f t="shared" si="2"/>
        <v>896791</v>
      </c>
      <c r="J1245" s="9" t="str">
        <f t="array" ref="J1245">IF(
  AND(
    IFERROR(MATCH(B1245, data!D:D, 0), 0) &gt; 0,
    IFERROR(INDEX(data!N:N, MATCH(B1245, data!D:D, 0)) = 1, FALSE)
  ),
  INDEX(data!C:C, MATCH(B1245, data!D:D, 0)),
  "INC"
)</f>
        <v>2025-08-29T11:53:23.924+08</v>
      </c>
      <c r="K1245" s="9" t="str">
        <f t="array" ref="K1245">IFERROR(INDEX(dataICM!C:C,match(Caseslist!B1245,dataICM!D:D,0)), "INC")</f>
        <v>2025-08-29T12:00:55.097+08</v>
      </c>
      <c r="L1245" s="10" t="str">
        <f t="array" ref="L1245">IF(AND(G1245="COMPLETE", OR(K1245="INC", ISBLANK(INDEX(data!O:O, ROW())))), J1245, K1245)</f>
        <v>2025-08-29T12:00:55.097+08</v>
      </c>
      <c r="M1245" s="2">
        <v>45898.0</v>
      </c>
      <c r="N1245" s="2">
        <f t="array" ref="N1245">IF(M1245&lt;&gt;"INC", INDEX(data!M:M, MATCH(B1245, data!D:D, 0)), "")</f>
        <v>3</v>
      </c>
      <c r="O1245" s="2">
        <f t="shared" si="3"/>
        <v>3</v>
      </c>
    </row>
    <row r="1246">
      <c r="A1246" s="2" t="str">
        <f t="shared" si="1"/>
        <v>H030270</v>
      </c>
      <c r="B1246" s="1" t="s">
        <v>1933</v>
      </c>
      <c r="C1246" s="9" t="str">
        <f t="array" ref="C1246">IF(
  AND(
    IFERROR(MATCH(Caseslist!B1246, data!D:D, 0), 0) &gt; 0,
    IFERROR(INDEX(data!N:N, MATCH(Caseslist!B1246, data!D:D, 0)) = 1, FALSE)
  ),
  "COMPLETE",
  "INC"
)</f>
        <v>COMPLETE</v>
      </c>
      <c r="D1246" s="9" t="str">
        <f t="array" ref="D1246">IFERROR(INDEX(data!$G:$G,match(Caseslist!B1246,data!$D:$D,0)), "INC")</f>
        <v>B8193462</v>
      </c>
      <c r="E1246" s="9" t="str">
        <f t="array" ref="E1246">IFERROR(INDEX(data!H:H,match(Caseslist!B1246,data!D:D,0)), "INC")</f>
        <v>Mark Lorens Mendoza Gilongo</v>
      </c>
      <c r="F1246" s="10" t="str">
        <f t="array" ref="F1246">IF(
    OR(
      IFNA(INDEX(data!M:M, MATCH(Caseslist!B1246, data!D:D, 0)), "") = "",
      IFNA(INDEX(data!M:M, MATCH(Caseslist!B1246, data!D:D, 0)), 0) = 0
    ),
    "COMPLETE",
    IF(
      IFNA(INDEX(dataICM!D:D, MATCH(Caseslist!B1246, dataICM!D:D, 0)), "INC") = "INC",
      IFNA(INDEX(dataICM!D:D, MATCH(Caseslist!B1246, dataICM!D:D, 0)), "INC"),
      "COMPLETE"
    )
  )</f>
        <v>COMPLETE</v>
      </c>
      <c r="G1246" s="10" t="str">
        <f t="array" ref="G1246">IF(IFERROR(INDEX(data!L:L,match(Caseslist!B1246,data!D:D,0)),"INC")="","COMPLETE",F1246)</f>
        <v>COMPLETE</v>
      </c>
      <c r="H1246" s="9" t="str">
        <f t="array" ref="H1246">IFERROR(INDEX(dataICM!F:F,match(Caseslist!B1246,dataICM!D:D,0)), "INC")</f>
        <v>Mark Lorens Mendoza Gilongo</v>
      </c>
      <c r="I1246" s="10" t="str">
        <f t="shared" si="2"/>
        <v>B8193462</v>
      </c>
      <c r="J1246" s="9" t="str">
        <f t="array" ref="J1246">IF(
  AND(
    IFERROR(MATCH(B1246, data!D:D, 0), 0) &gt; 0,
    IFERROR(INDEX(data!N:N, MATCH(B1246, data!D:D, 0)) = 1, FALSE)
  ),
  INDEX(data!C:C, MATCH(B1246, data!D:D, 0)),
  "INC"
)</f>
        <v>2025-08-30T15:44:42.743+08</v>
      </c>
      <c r="K1246" s="9" t="str">
        <f t="array" ref="K1246">IFERROR(INDEX(dataICM!C:C,match(Caseslist!B1246,dataICM!D:D,0)), "INC")</f>
        <v>2025-08-30T16:03:01.988+08</v>
      </c>
      <c r="L1246" s="10" t="str">
        <f t="array" ref="L1246">IF(AND(G1246="COMPLETE", OR(K1246="INC", ISBLANK(INDEX(data!O:O, ROW())))), J1246, K1246)</f>
        <v>2025-08-30T16:03:01.988+08</v>
      </c>
      <c r="M1246" s="2">
        <v>45899.0</v>
      </c>
      <c r="N1246" s="2">
        <f t="array" ref="N1246">IF(M1246&lt;&gt;"INC", INDEX(data!M:M, MATCH(B1246, data!D:D, 0)), "")</f>
        <v>3</v>
      </c>
      <c r="O1246" s="2">
        <f t="shared" si="3"/>
        <v>3</v>
      </c>
    </row>
    <row r="1247">
      <c r="A1247" s="2" t="str">
        <f t="shared" si="1"/>
        <v>H030270</v>
      </c>
      <c r="B1247" s="1" t="s">
        <v>1918</v>
      </c>
      <c r="C1247" s="9" t="str">
        <f t="array" ref="C1247">IF(
  AND(
    IFERROR(MATCH(Caseslist!B1247, data!D:D, 0), 0) &gt; 0,
    IFERROR(INDEX(data!N:N, MATCH(Caseslist!B1247, data!D:D, 0)) = 1, FALSE)
  ),
  "COMPLETE",
  "INC"
)</f>
        <v>COMPLETE</v>
      </c>
      <c r="D1247" s="9" t="str">
        <f t="array" ref="D1247">IFERROR(INDEX(data!$G:$G,match(Caseslist!B1247,data!$D:$D,0)), "INC")</f>
        <v>B8193462</v>
      </c>
      <c r="E1247" s="9" t="str">
        <f t="array" ref="E1247">IFERROR(INDEX(data!H:H,match(Caseslist!B1247,data!D:D,0)), "INC")</f>
        <v>Mark Lorens Mendoza Gilongo</v>
      </c>
      <c r="F1247" s="10" t="str">
        <f t="array" ref="F1247">IF(
    OR(
      IFNA(INDEX(data!M:M, MATCH(Caseslist!B1247, data!D:D, 0)), "") = "",
      IFNA(INDEX(data!M:M, MATCH(Caseslist!B1247, data!D:D, 0)), 0) = 0
    ),
    "COMPLETE",
    IF(
      IFNA(INDEX(dataICM!D:D, MATCH(Caseslist!B1247, dataICM!D:D, 0)), "INC") = "INC",
      IFNA(INDEX(dataICM!D:D, MATCH(Caseslist!B1247, dataICM!D:D, 0)), "INC"),
      "COMPLETE"
    )
  )</f>
        <v>COMPLETE</v>
      </c>
      <c r="G1247" s="10" t="str">
        <f t="array" ref="G1247">IF(IFERROR(INDEX(data!L:L,match(Caseslist!B1247,data!D:D,0)),"INC")="","COMPLETE",F1247)</f>
        <v>COMPLETE</v>
      </c>
      <c r="H1247" s="9" t="str">
        <f t="array" ref="H1247">IFERROR(INDEX(dataICM!F:F,match(Caseslist!B1247,dataICM!D:D,0)), "INC")</f>
        <v>Mark Lorens Mendoza Gilongo</v>
      </c>
      <c r="I1247" s="10" t="str">
        <f t="shared" si="2"/>
        <v>B8193462</v>
      </c>
      <c r="J1247" s="9" t="str">
        <f t="array" ref="J1247">IF(
  AND(
    IFERROR(MATCH(B1247, data!D:D, 0), 0) &gt; 0,
    IFERROR(INDEX(data!N:N, MATCH(B1247, data!D:D, 0)) = 1, FALSE)
  ),
  INDEX(data!C:C, MATCH(B1247, data!D:D, 0)),
  "INC"
)</f>
        <v>2025-08-30T10:54:53.896+08</v>
      </c>
      <c r="K1247" s="9" t="str">
        <f t="array" ref="K1247">IFERROR(INDEX(dataICM!C:C,match(Caseslist!B1247,dataICM!D:D,0)), "INC")</f>
        <v>2025-08-30T11:06:43.710+08</v>
      </c>
      <c r="L1247" s="10" t="str">
        <f t="array" ref="L1247">IF(AND(G1247="COMPLETE", OR(K1247="INC", ISBLANK(INDEX(data!O:O, ROW())))), J1247, K1247)</f>
        <v>2025-08-30T11:06:43.710+08</v>
      </c>
      <c r="M1247" s="2">
        <v>45899.0</v>
      </c>
      <c r="N1247" s="2">
        <f t="array" ref="N1247">IF(M1247&lt;&gt;"INC", INDEX(data!M:M, MATCH(B1247, data!D:D, 0)), "")</f>
        <v>3</v>
      </c>
      <c r="O1247" s="2">
        <f t="shared" si="3"/>
        <v>3</v>
      </c>
    </row>
    <row r="1248">
      <c r="A1248" s="2" t="str">
        <f t="shared" si="1"/>
        <v>H030270</v>
      </c>
      <c r="B1248" s="1" t="s">
        <v>1562</v>
      </c>
      <c r="C1248" s="9" t="str">
        <f t="array" ref="C1248">IF(
  AND(
    IFERROR(MATCH(Caseslist!B1248, data!D:D, 0), 0) &gt; 0,
    IFERROR(INDEX(data!N:N, MATCH(Caseslist!B1248, data!D:D, 0)) = 1, FALSE)
  ),
  "COMPLETE",
  "INC"
)</f>
        <v>COMPLETE</v>
      </c>
      <c r="D1248" s="9">
        <f t="array" ref="D1248">IFERROR(INDEX(data!$G:$G,match(Caseslist!B1248,data!$D:$D,0)), "INC")</f>
        <v>896791</v>
      </c>
      <c r="E1248" s="9" t="str">
        <f t="array" ref="E1248">IFERROR(INDEX(data!H:H,match(Caseslist!B1248,data!D:D,0)), "INC")</f>
        <v>Roland A. Bandiola jr</v>
      </c>
      <c r="F1248" s="10" t="str">
        <f t="array" ref="F1248">IF(
    OR(
      IFNA(INDEX(data!M:M, MATCH(Caseslist!B1248, data!D:D, 0)), "") = "",
      IFNA(INDEX(data!M:M, MATCH(Caseslist!B1248, data!D:D, 0)), 0) = 0
    ),
    "COMPLETE",
    IF(
      IFNA(INDEX(dataICM!D:D, MATCH(Caseslist!B1248, dataICM!D:D, 0)), "INC") = "INC",
      IFNA(INDEX(dataICM!D:D, MATCH(Caseslist!B1248, dataICM!D:D, 0)), "INC"),
      "COMPLETE"
    )
  )</f>
        <v>COMPLETE</v>
      </c>
      <c r="G1248" s="10" t="str">
        <f t="array" ref="G1248">IF(IFERROR(INDEX(data!L:L,match(Caseslist!B1248,data!D:D,0)),"INC")="","COMPLETE",F1248)</f>
        <v>COMPLETE</v>
      </c>
      <c r="H1248" s="9" t="str">
        <f t="array" ref="H1248">IFERROR(INDEX(dataICM!F:F,match(Caseslist!B1248,dataICM!D:D,0)), "INC")</f>
        <v>Roland A. Bandiola jr</v>
      </c>
      <c r="I1248" s="10">
        <f t="shared" si="2"/>
        <v>896791</v>
      </c>
      <c r="J1248" s="9" t="str">
        <f t="array" ref="J1248">IF(
  AND(
    IFERROR(MATCH(B1248, data!D:D, 0), 0) &gt; 0,
    IFERROR(INDEX(data!N:N, MATCH(B1248, data!D:D, 0)) = 1, FALSE)
  ),
  INDEX(data!C:C, MATCH(B1248, data!D:D, 0)),
  "INC"
)</f>
        <v>2025-08-29T13:59:45.708+08</v>
      </c>
      <c r="K1248" s="9" t="str">
        <f t="array" ref="K1248">IFERROR(INDEX(dataICM!C:C,match(Caseslist!B1248,dataICM!D:D,0)), "INC")</f>
        <v>2025-08-29T14:09:32.282+08</v>
      </c>
      <c r="L1248" s="10" t="str">
        <f t="array" ref="L1248">IF(AND(G1248="COMPLETE", OR(K1248="INC", ISBLANK(INDEX(data!O:O, ROW())))), J1248, K1248)</f>
        <v>2025-08-29T14:09:32.282+08</v>
      </c>
      <c r="M1248" s="2">
        <v>45898.0</v>
      </c>
      <c r="N1248" s="2">
        <f t="array" ref="N1248">IF(M1248&lt;&gt;"INC", INDEX(data!M:M, MATCH(B1248, data!D:D, 0)), "")</f>
        <v>3</v>
      </c>
      <c r="O1248" s="2">
        <f t="shared" si="3"/>
        <v>3</v>
      </c>
    </row>
    <row r="1249">
      <c r="A1249" s="2" t="str">
        <f t="shared" si="1"/>
        <v>H030270</v>
      </c>
      <c r="B1249" s="1" t="s">
        <v>1622</v>
      </c>
      <c r="C1249" s="9" t="str">
        <f t="array" ref="C1249">IF(
  AND(
    IFERROR(MATCH(Caseslist!B1249, data!D:D, 0), 0) &gt; 0,
    IFERROR(INDEX(data!N:N, MATCH(Caseslist!B1249, data!D:D, 0)) = 1, FALSE)
  ),
  "COMPLETE",
  "INC"
)</f>
        <v>COMPLETE</v>
      </c>
      <c r="D1249" s="9" t="str">
        <f t="array" ref="D1249">IFERROR(INDEX(data!$G:$G,match(Caseslist!B1249,data!$D:$D,0)), "INC")</f>
        <v>D1284067</v>
      </c>
      <c r="E1249" s="9" t="str">
        <f t="array" ref="E1249">IFERROR(INDEX(data!H:H,match(Caseslist!B1249,data!D:D,0)), "INC")</f>
        <v>Mariel Del Rio</v>
      </c>
      <c r="F1249" s="10" t="str">
        <f t="array" ref="F1249">IF(
    OR(
      IFNA(INDEX(data!M:M, MATCH(Caseslist!B1249, data!D:D, 0)), "") = "",
      IFNA(INDEX(data!M:M, MATCH(Caseslist!B1249, data!D:D, 0)), 0) = 0
    ),
    "COMPLETE",
    IF(
      IFNA(INDEX(dataICM!D:D, MATCH(Caseslist!B1249, dataICM!D:D, 0)), "INC") = "INC",
      IFNA(INDEX(dataICM!D:D, MATCH(Caseslist!B1249, dataICM!D:D, 0)), "INC"),
      "COMPLETE"
    )
  )</f>
        <v>COMPLETE</v>
      </c>
      <c r="G1249" s="10" t="str">
        <f t="array" ref="G1249">IF(IFERROR(INDEX(data!L:L,match(Caseslist!B1249,data!D:D,0)),"INC")="","COMPLETE",F1249)</f>
        <v>COMPLETE</v>
      </c>
      <c r="H1249" s="9" t="str">
        <f t="array" ref="H1249">IFERROR(INDEX(dataICM!F:F,match(Caseslist!B1249,dataICM!D:D,0)), "INC")</f>
        <v>Mariel Del Rio</v>
      </c>
      <c r="I1249" s="10" t="str">
        <f t="shared" si="2"/>
        <v>D1284067</v>
      </c>
      <c r="J1249" s="9" t="str">
        <f t="array" ref="J1249">IF(
  AND(
    IFERROR(MATCH(B1249, data!D:D, 0), 0) &gt; 0,
    IFERROR(INDEX(data!N:N, MATCH(B1249, data!D:D, 0)) = 1, FALSE)
  ),
  INDEX(data!C:C, MATCH(B1249, data!D:D, 0)),
  "INC"
)</f>
        <v>2025-08-29T12:24:28.513+08</v>
      </c>
      <c r="K1249" s="9" t="str">
        <f t="array" ref="K1249">IFERROR(INDEX(dataICM!C:C,match(Caseslist!B1249,dataICM!D:D,0)), "INC")</f>
        <v>2025-08-29T14:22:36.424+08</v>
      </c>
      <c r="L1249" s="10" t="str">
        <f t="array" ref="L1249">IF(AND(G1249="COMPLETE", OR(K1249="INC", ISBLANK(INDEX(data!O:O, ROW())))), J1249, K1249)</f>
        <v>2025-08-29T14:22:36.424+08</v>
      </c>
      <c r="M1249" s="2">
        <v>45898.0</v>
      </c>
      <c r="N1249" s="2">
        <f t="array" ref="N1249">IF(M1249&lt;&gt;"INC", INDEX(data!M:M, MATCH(B1249, data!D:D, 0)), "")</f>
        <v>3</v>
      </c>
      <c r="O1249" s="2">
        <f t="shared" si="3"/>
        <v>3</v>
      </c>
    </row>
    <row r="1250">
      <c r="A1250" s="2" t="str">
        <f t="shared" si="1"/>
        <v>H030270</v>
      </c>
      <c r="B1250" s="1" t="s">
        <v>1898</v>
      </c>
      <c r="C1250" s="9" t="str">
        <f t="array" ref="C1250">IF(
  AND(
    IFERROR(MATCH(Caseslist!B1250, data!D:D, 0), 0) &gt; 0,
    IFERROR(INDEX(data!N:N, MATCH(Caseslist!B1250, data!D:D, 0)) = 1, FALSE)
  ),
  "COMPLETE",
  "INC"
)</f>
        <v>COMPLETE</v>
      </c>
      <c r="D1250" s="9" t="str">
        <f t="array" ref="D1250">IFERROR(INDEX(data!$G:$G,match(Caseslist!B1250,data!$D:$D,0)), "INC")</f>
        <v>D1284067</v>
      </c>
      <c r="E1250" s="9" t="str">
        <f t="array" ref="E1250">IFERROR(INDEX(data!H:H,match(Caseslist!B1250,data!D:D,0)), "INC")</f>
        <v>Mariel Del Rio</v>
      </c>
      <c r="F1250" s="10" t="str">
        <f t="array" ref="F1250">IF(
    OR(
      IFNA(INDEX(data!M:M, MATCH(Caseslist!B1250, data!D:D, 0)), "") = "",
      IFNA(INDEX(data!M:M, MATCH(Caseslist!B1250, data!D:D, 0)), 0) = 0
    ),
    "COMPLETE",
    IF(
      IFNA(INDEX(dataICM!D:D, MATCH(Caseslist!B1250, dataICM!D:D, 0)), "INC") = "INC",
      IFNA(INDEX(dataICM!D:D, MATCH(Caseslist!B1250, dataICM!D:D, 0)), "INC"),
      "COMPLETE"
    )
  )</f>
        <v>INC</v>
      </c>
      <c r="G1250" s="10" t="str">
        <f t="array" ref="G1250">IF(IFERROR(INDEX(data!L:L,match(Caseslist!B1250,data!D:D,0)),"INC")="","COMPLETE",F1250)</f>
        <v>INC</v>
      </c>
      <c r="H1250" s="9" t="str">
        <f t="array" ref="H1250">IFERROR(INDEX(dataICM!F:F,match(Caseslist!B1250,dataICM!D:D,0)), "INC")</f>
        <v>INC</v>
      </c>
      <c r="I1250" s="10" t="str">
        <f t="shared" si="2"/>
        <v>INC</v>
      </c>
      <c r="J1250" s="9" t="str">
        <f t="array" ref="J1250">IF(
  AND(
    IFERROR(MATCH(B1250, data!D:D, 0), 0) &gt; 0,
    IFERROR(INDEX(data!N:N, MATCH(B1250, data!D:D, 0)) = 1, FALSE)
  ),
  INDEX(data!C:C, MATCH(B1250, data!D:D, 0)),
  "INC"
)</f>
        <v>2025-09-29T19:43:06.523+08</v>
      </c>
      <c r="K1250" s="9" t="str">
        <f t="array" ref="K1250">IFERROR(INDEX(dataICM!C:C,match(Caseslist!B1250,dataICM!D:D,0)), "INC")</f>
        <v>INC</v>
      </c>
      <c r="L1250" s="10" t="str">
        <f t="array" ref="L1250">IF(AND(G1250="COMPLETE", OR(K1250="INC", ISBLANK(INDEX(data!O:O, ROW())))), J1250, K1250)</f>
        <v>INC</v>
      </c>
      <c r="M1250" s="2" t="s">
        <v>8886</v>
      </c>
      <c r="N1250" s="2" t="str">
        <f t="array" ref="N1250">IF(M1250&lt;&gt;"INC", INDEX(data!M:M, MATCH(B1250, data!D:D, 0)), "")</f>
        <v/>
      </c>
      <c r="O1250" s="2" t="str">
        <f t="shared" si="3"/>
        <v/>
      </c>
    </row>
    <row r="1251">
      <c r="A1251" s="2" t="str">
        <f t="shared" si="1"/>
        <v>H030270</v>
      </c>
      <c r="B1251" s="1" t="s">
        <v>1632</v>
      </c>
      <c r="C1251" s="9" t="str">
        <f t="array" ref="C1251">IF(
  AND(
    IFERROR(MATCH(Caseslist!B1251, data!D:D, 0), 0) &gt; 0,
    IFERROR(INDEX(data!N:N, MATCH(Caseslist!B1251, data!D:D, 0)) = 1, FALSE)
  ),
  "COMPLETE",
  "INC"
)</f>
        <v>COMPLETE</v>
      </c>
      <c r="D1251" s="9" t="str">
        <f t="array" ref="D1251">IFERROR(INDEX(data!$G:$G,match(Caseslist!B1251,data!$D:$D,0)), "INC")</f>
        <v>D1284067</v>
      </c>
      <c r="E1251" s="9" t="str">
        <f t="array" ref="E1251">IFERROR(INDEX(data!H:H,match(Caseslist!B1251,data!D:D,0)), "INC")</f>
        <v>Mariel Del Rio</v>
      </c>
      <c r="F1251" s="10" t="str">
        <f t="array" ref="F1251">IF(
    OR(
      IFNA(INDEX(data!M:M, MATCH(Caseslist!B1251, data!D:D, 0)), "") = "",
      IFNA(INDEX(data!M:M, MATCH(Caseslist!B1251, data!D:D, 0)), 0) = 0
    ),
    "COMPLETE",
    IF(
      IFNA(INDEX(dataICM!D:D, MATCH(Caseslist!B1251, dataICM!D:D, 0)), "INC") = "INC",
      IFNA(INDEX(dataICM!D:D, MATCH(Caseslist!B1251, dataICM!D:D, 0)), "INC"),
      "COMPLETE"
    )
  )</f>
        <v>COMPLETE</v>
      </c>
      <c r="G1251" s="10" t="str">
        <f t="array" ref="G1251">IF(IFERROR(INDEX(data!L:L,match(Caseslist!B1251,data!D:D,0)),"INC")="","COMPLETE",F1251)</f>
        <v>COMPLETE</v>
      </c>
      <c r="H1251" s="9" t="str">
        <f t="array" ref="H1251">IFERROR(INDEX(dataICM!F:F,match(Caseslist!B1251,dataICM!D:D,0)), "INC")</f>
        <v>Mariel Del Rio</v>
      </c>
      <c r="I1251" s="10" t="str">
        <f t="shared" si="2"/>
        <v>D1284067</v>
      </c>
      <c r="J1251" s="9" t="str">
        <f t="array" ref="J1251">IF(
  AND(
    IFERROR(MATCH(B1251, data!D:D, 0), 0) &gt; 0,
    IFERROR(INDEX(data!N:N, MATCH(B1251, data!D:D, 0)) = 1, FALSE)
  ),
  INDEX(data!C:C, MATCH(B1251, data!D:D, 0)),
  "INC"
)</f>
        <v>2025-08-29T15:32:56.352+08</v>
      </c>
      <c r="K1251" s="9" t="str">
        <f t="array" ref="K1251">IFERROR(INDEX(dataICM!C:C,match(Caseslist!B1251,dataICM!D:D,0)), "INC")</f>
        <v>2025-08-29T15:56:25.526+08</v>
      </c>
      <c r="L1251" s="10" t="str">
        <f t="array" ref="L1251">IF(AND(G1251="COMPLETE", OR(K1251="INC", ISBLANK(INDEX(data!O:O, ROW())))), J1251, K1251)</f>
        <v>2025-08-29T15:56:25.526+08</v>
      </c>
      <c r="M1251" s="2">
        <v>45898.0</v>
      </c>
      <c r="N1251" s="2">
        <f t="array" ref="N1251">IF(M1251&lt;&gt;"INC", INDEX(data!M:M, MATCH(B1251, data!D:D, 0)), "")</f>
        <v>3</v>
      </c>
      <c r="O1251" s="2">
        <f t="shared" si="3"/>
        <v>3</v>
      </c>
    </row>
    <row r="1252">
      <c r="A1252" s="2" t="str">
        <f t="shared" si="1"/>
        <v>H030270</v>
      </c>
      <c r="B1252" s="1" t="s">
        <v>1888</v>
      </c>
      <c r="C1252" s="9" t="str">
        <f t="array" ref="C1252">IF(
  AND(
    IFERROR(MATCH(Caseslist!B1252, data!D:D, 0), 0) &gt; 0,
    IFERROR(INDEX(data!N:N, MATCH(Caseslist!B1252, data!D:D, 0)) = 1, FALSE)
  ),
  "COMPLETE",
  "INC"
)</f>
        <v>COMPLETE</v>
      </c>
      <c r="D1252" s="9" t="str">
        <f t="array" ref="D1252">IFERROR(INDEX(data!$G:$G,match(Caseslist!B1252,data!$D:$D,0)), "INC")</f>
        <v>D1284067</v>
      </c>
      <c r="E1252" s="9" t="str">
        <f t="array" ref="E1252">IFERROR(INDEX(data!H:H,match(Caseslist!B1252,data!D:D,0)), "INC")</f>
        <v>Mariel Del Rio</v>
      </c>
      <c r="F1252" s="10" t="str">
        <f t="array" ref="F1252">IF(
    OR(
      IFNA(INDEX(data!M:M, MATCH(Caseslist!B1252, data!D:D, 0)), "") = "",
      IFNA(INDEX(data!M:M, MATCH(Caseslist!B1252, data!D:D, 0)), 0) = 0
    ),
    "COMPLETE",
    IF(
      IFNA(INDEX(dataICM!D:D, MATCH(Caseslist!B1252, dataICM!D:D, 0)), "INC") = "INC",
      IFNA(INDEX(dataICM!D:D, MATCH(Caseslist!B1252, dataICM!D:D, 0)), "INC"),
      "COMPLETE"
    )
  )</f>
        <v>COMPLETE</v>
      </c>
      <c r="G1252" s="10" t="str">
        <f t="array" ref="G1252">IF(IFERROR(INDEX(data!L:L,match(Caseslist!B1252,data!D:D,0)),"INC")="","COMPLETE",F1252)</f>
        <v>COMPLETE</v>
      </c>
      <c r="H1252" s="9" t="str">
        <f t="array" ref="H1252">IFERROR(INDEX(dataICM!F:F,match(Caseslist!B1252,dataICM!D:D,0)), "INC")</f>
        <v>Mariel Del Rio</v>
      </c>
      <c r="I1252" s="10" t="str">
        <f t="shared" si="2"/>
        <v>D1284067</v>
      </c>
      <c r="J1252" s="9" t="str">
        <f t="array" ref="J1252">IF(
  AND(
    IFERROR(MATCH(B1252, data!D:D, 0), 0) &gt; 0,
    IFERROR(INDEX(data!N:N, MATCH(B1252, data!D:D, 0)) = 1, FALSE)
  ),
  INDEX(data!C:C, MATCH(B1252, data!D:D, 0)),
  "INC"
)</f>
        <v>2025-08-30T10:41:53.417+08</v>
      </c>
      <c r="K1252" s="9" t="str">
        <f t="array" ref="K1252">IFERROR(INDEX(dataICM!C:C,match(Caseslist!B1252,dataICM!D:D,0)), "INC")</f>
        <v>2025-08-30T10:51:58.623+08</v>
      </c>
      <c r="L1252" s="10" t="str">
        <f t="array" ref="L1252">IF(AND(G1252="COMPLETE", OR(K1252="INC", ISBLANK(INDEX(data!O:O, ROW())))), J1252, K1252)</f>
        <v>2025-08-30T10:51:58.623+08</v>
      </c>
      <c r="M1252" s="2">
        <v>45899.0</v>
      </c>
      <c r="N1252" s="2">
        <f t="array" ref="N1252">IF(M1252&lt;&gt;"INC", INDEX(data!M:M, MATCH(B1252, data!D:D, 0)), "")</f>
        <v>3</v>
      </c>
      <c r="O1252" s="2">
        <f t="shared" si="3"/>
        <v>3</v>
      </c>
    </row>
    <row r="1253">
      <c r="A1253" s="2" t="str">
        <f t="shared" si="1"/>
        <v>H030270</v>
      </c>
      <c r="B1253" s="1" t="s">
        <v>1893</v>
      </c>
      <c r="C1253" s="9" t="str">
        <f t="array" ref="C1253">IF(
  AND(
    IFERROR(MATCH(Caseslist!B1253, data!D:D, 0), 0) &gt; 0,
    IFERROR(INDEX(data!N:N, MATCH(Caseslist!B1253, data!D:D, 0)) = 1, FALSE)
  ),
  "COMPLETE",
  "INC"
)</f>
        <v>COMPLETE</v>
      </c>
      <c r="D1253" s="9" t="str">
        <f t="array" ref="D1253">IFERROR(INDEX(data!$G:$G,match(Caseslist!B1253,data!$D:$D,0)), "INC")</f>
        <v>D1284067</v>
      </c>
      <c r="E1253" s="9" t="str">
        <f t="array" ref="E1253">IFERROR(INDEX(data!H:H,match(Caseslist!B1253,data!D:D,0)), "INC")</f>
        <v>Mariel Del Rio</v>
      </c>
      <c r="F1253" s="10" t="str">
        <f t="array" ref="F1253">IF(
    OR(
      IFNA(INDEX(data!M:M, MATCH(Caseslist!B1253, data!D:D, 0)), "") = "",
      IFNA(INDEX(data!M:M, MATCH(Caseslist!B1253, data!D:D, 0)), 0) = 0
    ),
    "COMPLETE",
    IF(
      IFNA(INDEX(dataICM!D:D, MATCH(Caseslist!B1253, dataICM!D:D, 0)), "INC") = "INC",
      IFNA(INDEX(dataICM!D:D, MATCH(Caseslist!B1253, dataICM!D:D, 0)), "INC"),
      "COMPLETE"
    )
  )</f>
        <v>COMPLETE</v>
      </c>
      <c r="G1253" s="10" t="str">
        <f t="array" ref="G1253">IF(IFERROR(INDEX(data!L:L,match(Caseslist!B1253,data!D:D,0)),"INC")="","COMPLETE",F1253)</f>
        <v>COMPLETE</v>
      </c>
      <c r="H1253" s="9" t="str">
        <f t="array" ref="H1253">IFERROR(INDEX(dataICM!F:F,match(Caseslist!B1253,dataICM!D:D,0)), "INC")</f>
        <v>Mariel Del Rio</v>
      </c>
      <c r="I1253" s="10" t="str">
        <f t="shared" si="2"/>
        <v>D1284067</v>
      </c>
      <c r="J1253" s="9" t="str">
        <f t="array" ref="J1253">IF(
  AND(
    IFERROR(MATCH(B1253, data!D:D, 0), 0) &gt; 0,
    IFERROR(INDEX(data!N:N, MATCH(B1253, data!D:D, 0)) = 1, FALSE)
  ),
  INDEX(data!C:C, MATCH(B1253, data!D:D, 0)),
  "INC"
)</f>
        <v>2025-08-30T12:34:10.224+08</v>
      </c>
      <c r="K1253" s="9" t="str">
        <f t="array" ref="K1253">IFERROR(INDEX(dataICM!C:C,match(Caseslist!B1253,dataICM!D:D,0)), "INC")</f>
        <v>2025-08-30T12:48:16.884+08</v>
      </c>
      <c r="L1253" s="10" t="str">
        <f t="array" ref="L1253">IF(AND(G1253="COMPLETE", OR(K1253="INC", ISBLANK(INDEX(data!O:O, ROW())))), J1253, K1253)</f>
        <v>2025-08-30T12:48:16.884+08</v>
      </c>
      <c r="M1253" s="2">
        <v>45899.0</v>
      </c>
      <c r="N1253" s="2">
        <f t="array" ref="N1253">IF(M1253&lt;&gt;"INC", INDEX(data!M:M, MATCH(B1253, data!D:D, 0)), "")</f>
        <v>3</v>
      </c>
      <c r="O1253" s="2">
        <f t="shared" si="3"/>
        <v>3</v>
      </c>
    </row>
    <row r="1254">
      <c r="A1254" s="2" t="str">
        <f t="shared" si="1"/>
        <v>H030270</v>
      </c>
      <c r="B1254" s="1" t="s">
        <v>1923</v>
      </c>
      <c r="C1254" s="9" t="str">
        <f t="array" ref="C1254">IF(
  AND(
    IFERROR(MATCH(Caseslist!B1254, data!D:D, 0), 0) &gt; 0,
    IFERROR(INDEX(data!N:N, MATCH(Caseslist!B1254, data!D:D, 0)) = 1, FALSE)
  ),
  "COMPLETE",
  "INC"
)</f>
        <v>COMPLETE</v>
      </c>
      <c r="D1254" s="9" t="str">
        <f t="array" ref="D1254">IFERROR(INDEX(data!$G:$G,match(Caseslist!B1254,data!$D:$D,0)), "INC")</f>
        <v>B8193462</v>
      </c>
      <c r="E1254" s="9" t="str">
        <f t="array" ref="E1254">IFERROR(INDEX(data!H:H,match(Caseslist!B1254,data!D:D,0)), "INC")</f>
        <v>Mark Lorens Mendoza Gilongo</v>
      </c>
      <c r="F1254" s="10" t="str">
        <f t="array" ref="F1254">IF(
    OR(
      IFNA(INDEX(data!M:M, MATCH(Caseslist!B1254, data!D:D, 0)), "") = "",
      IFNA(INDEX(data!M:M, MATCH(Caseslist!B1254, data!D:D, 0)), 0) = 0
    ),
    "COMPLETE",
    IF(
      IFNA(INDEX(dataICM!D:D, MATCH(Caseslist!B1254, dataICM!D:D, 0)), "INC") = "INC",
      IFNA(INDEX(dataICM!D:D, MATCH(Caseslist!B1254, dataICM!D:D, 0)), "INC"),
      "COMPLETE"
    )
  )</f>
        <v>COMPLETE</v>
      </c>
      <c r="G1254" s="10" t="str">
        <f t="array" ref="G1254">IF(IFERROR(INDEX(data!L:L,match(Caseslist!B1254,data!D:D,0)),"INC")="","COMPLETE",F1254)</f>
        <v>COMPLETE</v>
      </c>
      <c r="H1254" s="9" t="str">
        <f t="array" ref="H1254">IFERROR(INDEX(dataICM!F:F,match(Caseslist!B1254,dataICM!D:D,0)), "INC")</f>
        <v>Mark Lorens Mendoza Gilongo</v>
      </c>
      <c r="I1254" s="10" t="str">
        <f t="shared" si="2"/>
        <v>B8193462</v>
      </c>
      <c r="J1254" s="9" t="str">
        <f t="array" ref="J1254">IF(
  AND(
    IFERROR(MATCH(B1254, data!D:D, 0), 0) &gt; 0,
    IFERROR(INDEX(data!N:N, MATCH(B1254, data!D:D, 0)) = 1, FALSE)
  ),
  INDEX(data!C:C, MATCH(B1254, data!D:D, 0)),
  "INC"
)</f>
        <v>2025-08-30T13:01:49.428+08</v>
      </c>
      <c r="K1254" s="9" t="str">
        <f t="array" ref="K1254">IFERROR(INDEX(dataICM!C:C,match(Caseslist!B1254,dataICM!D:D,0)), "INC")</f>
        <v>2025-08-30T13:28:21.698+08</v>
      </c>
      <c r="L1254" s="10" t="str">
        <f t="array" ref="L1254">IF(AND(G1254="COMPLETE", OR(K1254="INC", ISBLANK(INDEX(data!O:O, ROW())))), J1254, K1254)</f>
        <v>2025-08-30T13:28:21.698+08</v>
      </c>
      <c r="M1254" s="2">
        <v>45899.0</v>
      </c>
      <c r="N1254" s="2">
        <f t="array" ref="N1254">IF(M1254&lt;&gt;"INC", INDEX(data!M:M, MATCH(B1254, data!D:D, 0)), "")</f>
        <v>3</v>
      </c>
      <c r="O1254" s="2">
        <f t="shared" si="3"/>
        <v>3</v>
      </c>
    </row>
    <row r="1255">
      <c r="A1255" s="2" t="str">
        <f t="shared" si="1"/>
        <v>H030270</v>
      </c>
      <c r="B1255" s="1" t="s">
        <v>1627</v>
      </c>
      <c r="C1255" s="9" t="str">
        <f t="array" ref="C1255">IF(
  AND(
    IFERROR(MATCH(Caseslist!B1255, data!D:D, 0), 0) &gt; 0,
    IFERROR(INDEX(data!N:N, MATCH(Caseslist!B1255, data!D:D, 0)) = 1, FALSE)
  ),
  "COMPLETE",
  "INC"
)</f>
        <v>COMPLETE</v>
      </c>
      <c r="D1255" s="9" t="str">
        <f t="array" ref="D1255">IFERROR(INDEX(data!$G:$G,match(Caseslist!B1255,data!$D:$D,0)), "INC")</f>
        <v>D1284067</v>
      </c>
      <c r="E1255" s="9" t="str">
        <f t="array" ref="E1255">IFERROR(INDEX(data!H:H,match(Caseslist!B1255,data!D:D,0)), "INC")</f>
        <v>Mariel Del Rio</v>
      </c>
      <c r="F1255" s="10" t="str">
        <f t="array" ref="F1255">IF(
    OR(
      IFNA(INDEX(data!M:M, MATCH(Caseslist!B1255, data!D:D, 0)), "") = "",
      IFNA(INDEX(data!M:M, MATCH(Caseslist!B1255, data!D:D, 0)), 0) = 0
    ),
    "COMPLETE",
    IF(
      IFNA(INDEX(dataICM!D:D, MATCH(Caseslist!B1255, dataICM!D:D, 0)), "INC") = "INC",
      IFNA(INDEX(dataICM!D:D, MATCH(Caseslist!B1255, dataICM!D:D, 0)), "INC"),
      "COMPLETE"
    )
  )</f>
        <v>COMPLETE</v>
      </c>
      <c r="G1255" s="10" t="str">
        <f t="array" ref="G1255">IF(IFERROR(INDEX(data!L:L,match(Caseslist!B1255,data!D:D,0)),"INC")="","COMPLETE",F1255)</f>
        <v>COMPLETE</v>
      </c>
      <c r="H1255" s="9" t="str">
        <f t="array" ref="H1255">IFERROR(INDEX(dataICM!F:F,match(Caseslist!B1255,dataICM!D:D,0)), "INC")</f>
        <v>Mariel Del Rio</v>
      </c>
      <c r="I1255" s="10" t="str">
        <f t="shared" si="2"/>
        <v>D1284067</v>
      </c>
      <c r="J1255" s="9" t="str">
        <f t="array" ref="J1255">IF(
  AND(
    IFERROR(MATCH(B1255, data!D:D, 0), 0) &gt; 0,
    IFERROR(INDEX(data!N:N, MATCH(B1255, data!D:D, 0)) = 1, FALSE)
  ),
  INDEX(data!C:C, MATCH(B1255, data!D:D, 0)),
  "INC"
)</f>
        <v>2025-08-30T13:33:41.748+08</v>
      </c>
      <c r="K1255" s="9" t="str">
        <f t="array" ref="K1255">IFERROR(INDEX(dataICM!C:C,match(Caseslist!B1255,dataICM!D:D,0)), "INC")</f>
        <v>2025-08-30T13:46:11.288+08</v>
      </c>
      <c r="L1255" s="10" t="str">
        <f t="array" ref="L1255">IF(AND(G1255="COMPLETE", OR(K1255="INC", ISBLANK(INDEX(data!O:O, ROW())))), J1255, K1255)</f>
        <v>2025-08-30T13:46:11.288+08</v>
      </c>
      <c r="M1255" s="2">
        <v>45899.0</v>
      </c>
      <c r="N1255" s="2">
        <f t="array" ref="N1255">IF(M1255&lt;&gt;"INC", INDEX(data!M:M, MATCH(B1255, data!D:D, 0)), "")</f>
        <v>3</v>
      </c>
      <c r="O1255" s="2">
        <f t="shared" si="3"/>
        <v>3</v>
      </c>
    </row>
    <row r="1256">
      <c r="A1256" s="2" t="str">
        <f t="shared" si="1"/>
        <v>H030270</v>
      </c>
      <c r="B1256" s="1" t="s">
        <v>1567</v>
      </c>
      <c r="C1256" s="9" t="str">
        <f t="array" ref="C1256">IF(
  AND(
    IFERROR(MATCH(Caseslist!B1256, data!D:D, 0), 0) &gt; 0,
    IFERROR(INDEX(data!N:N, MATCH(Caseslist!B1256, data!D:D, 0)) = 1, FALSE)
  ),
  "COMPLETE",
  "INC"
)</f>
        <v>COMPLETE</v>
      </c>
      <c r="D1256" s="9" t="str">
        <f t="array" ref="D1256">IFERROR(INDEX(data!$G:$G,match(Caseslist!B1256,data!$D:$D,0)), "INC")</f>
        <v>D1284067</v>
      </c>
      <c r="E1256" s="9" t="str">
        <f t="array" ref="E1256">IFERROR(INDEX(data!H:H,match(Caseslist!B1256,data!D:D,0)), "INC")</f>
        <v>Mariel Del Rio</v>
      </c>
      <c r="F1256" s="10" t="str">
        <f t="array" ref="F1256">IF(
    OR(
      IFNA(INDEX(data!M:M, MATCH(Caseslist!B1256, data!D:D, 0)), "") = "",
      IFNA(INDEX(data!M:M, MATCH(Caseslist!B1256, data!D:D, 0)), 0) = 0
    ),
    "COMPLETE",
    IF(
      IFNA(INDEX(dataICM!D:D, MATCH(Caseslist!B1256, dataICM!D:D, 0)), "INC") = "INC",
      IFNA(INDEX(dataICM!D:D, MATCH(Caseslist!B1256, dataICM!D:D, 0)), "INC"),
      "COMPLETE"
    )
  )</f>
        <v>COMPLETE</v>
      </c>
      <c r="G1256" s="10" t="str">
        <f t="array" ref="G1256">IF(IFERROR(INDEX(data!L:L,match(Caseslist!B1256,data!D:D,0)),"INC")="","COMPLETE",F1256)</f>
        <v>COMPLETE</v>
      </c>
      <c r="H1256" s="9" t="str">
        <f t="array" ref="H1256">IFERROR(INDEX(dataICM!F:F,match(Caseslist!B1256,dataICM!D:D,0)), "INC")</f>
        <v>Mariel Del Rio</v>
      </c>
      <c r="I1256" s="10" t="str">
        <f t="shared" si="2"/>
        <v>D1284067</v>
      </c>
      <c r="J1256" s="9" t="str">
        <f t="array" ref="J1256">IF(
  AND(
    IFERROR(MATCH(B1256, data!D:D, 0), 0) &gt; 0,
    IFERROR(INDEX(data!N:N, MATCH(B1256, data!D:D, 0)) = 1, FALSE)
  ),
  INDEX(data!C:C, MATCH(B1256, data!D:D, 0)),
  "INC"
)</f>
        <v>2025-09-28T15:37:26.881+08</v>
      </c>
      <c r="K1256" s="9" t="str">
        <f t="array" ref="K1256">IFERROR(INDEX(dataICM!C:C,match(Caseslist!B1256,dataICM!D:D,0)), "INC")</f>
        <v>2025-09-28T18:07:59.294+08</v>
      </c>
      <c r="L1256" s="10" t="str">
        <f t="array" ref="L1256">IF(AND(G1256="COMPLETE", OR(K1256="INC", ISBLANK(INDEX(data!O:O, ROW())))), J1256, K1256)</f>
        <v>2025-09-28T18:07:59.294+08</v>
      </c>
      <c r="M1256" s="2">
        <v>45928.0</v>
      </c>
      <c r="N1256" s="2">
        <f t="array" ref="N1256">IF(M1256&lt;&gt;"INC", INDEX(data!M:M, MATCH(B1256, data!D:D, 0)), "")</f>
        <v>3</v>
      </c>
      <c r="O1256" s="2">
        <f t="shared" si="3"/>
        <v>3</v>
      </c>
    </row>
    <row r="1257">
      <c r="A1257" s="2" t="str">
        <f t="shared" si="1"/>
        <v>H030270</v>
      </c>
      <c r="B1257" s="1" t="s">
        <v>1552</v>
      </c>
      <c r="C1257" s="9" t="str">
        <f t="array" ref="C1257">IF(
  AND(
    IFERROR(MATCH(Caseslist!B1257, data!D:D, 0), 0) &gt; 0,
    IFERROR(INDEX(data!N:N, MATCH(Caseslist!B1257, data!D:D, 0)) = 1, FALSE)
  ),
  "COMPLETE",
  "INC"
)</f>
        <v>COMPLETE</v>
      </c>
      <c r="D1257" s="9">
        <f t="array" ref="D1257">IFERROR(INDEX(data!$G:$G,match(Caseslist!B1257,data!$D:$D,0)), "INC")</f>
        <v>896791</v>
      </c>
      <c r="E1257" s="9" t="str">
        <f t="array" ref="E1257">IFERROR(INDEX(data!H:H,match(Caseslist!B1257,data!D:D,0)), "INC")</f>
        <v>Roland A. Bandiola jr</v>
      </c>
      <c r="F1257" s="10" t="str">
        <f t="array" ref="F1257">IF(
    OR(
      IFNA(INDEX(data!M:M, MATCH(Caseslist!B1257, data!D:D, 0)), "") = "",
      IFNA(INDEX(data!M:M, MATCH(Caseslist!B1257, data!D:D, 0)), 0) = 0
    ),
    "COMPLETE",
    IF(
      IFNA(INDEX(dataICM!D:D, MATCH(Caseslist!B1257, dataICM!D:D, 0)), "INC") = "INC",
      IFNA(INDEX(dataICM!D:D, MATCH(Caseslist!B1257, dataICM!D:D, 0)), "INC"),
      "COMPLETE"
    )
  )</f>
        <v>COMPLETE</v>
      </c>
      <c r="G1257" s="10" t="str">
        <f t="array" ref="G1257">IF(IFERROR(INDEX(data!L:L,match(Caseslist!B1257,data!D:D,0)),"INC")="","COMPLETE",F1257)</f>
        <v>COMPLETE</v>
      </c>
      <c r="H1257" s="9" t="str">
        <f t="array" ref="H1257">IFERROR(INDEX(dataICM!F:F,match(Caseslist!B1257,dataICM!D:D,0)), "INC")</f>
        <v>Roland A. Bandiola jr</v>
      </c>
      <c r="I1257" s="10">
        <f t="shared" si="2"/>
        <v>896791</v>
      </c>
      <c r="J1257" s="9" t="str">
        <f t="array" ref="J1257">IF(
  AND(
    IFERROR(MATCH(B1257, data!D:D, 0), 0) &gt; 0,
    IFERROR(INDEX(data!N:N, MATCH(B1257, data!D:D, 0)) = 1, FALSE)
  ),
  INDEX(data!C:C, MATCH(B1257, data!D:D, 0)),
  "INC"
)</f>
        <v>2025-08-29T10:20:45.874+08</v>
      </c>
      <c r="K1257" s="9" t="str">
        <f t="array" ref="K1257">IFERROR(INDEX(dataICM!C:C,match(Caseslist!B1257,dataICM!D:D,0)), "INC")</f>
        <v>2025-08-29T10:46:57.945+08</v>
      </c>
      <c r="L1257" s="10" t="str">
        <f t="array" ref="L1257">IF(AND(G1257="COMPLETE", OR(K1257="INC", ISBLANK(INDEX(data!O:O, ROW())))), J1257, K1257)</f>
        <v>2025-08-29T10:46:57.945+08</v>
      </c>
      <c r="M1257" s="2">
        <v>45898.0</v>
      </c>
      <c r="N1257" s="2">
        <f t="array" ref="N1257">IF(M1257&lt;&gt;"INC", INDEX(data!M:M, MATCH(B1257, data!D:D, 0)), "")</f>
        <v>3</v>
      </c>
      <c r="O1257" s="2">
        <f t="shared" si="3"/>
        <v>3</v>
      </c>
    </row>
    <row r="1258">
      <c r="A1258" s="2" t="str">
        <f t="shared" si="1"/>
        <v>H030270</v>
      </c>
      <c r="B1258" s="1" t="s">
        <v>1617</v>
      </c>
      <c r="C1258" s="9" t="str">
        <f t="array" ref="C1258">IF(
  AND(
    IFERROR(MATCH(Caseslist!B1258, data!D:D, 0), 0) &gt; 0,
    IFERROR(INDEX(data!N:N, MATCH(Caseslist!B1258, data!D:D, 0)) = 1, FALSE)
  ),
  "COMPLETE",
  "INC"
)</f>
        <v>COMPLETE</v>
      </c>
      <c r="D1258" s="9" t="str">
        <f t="array" ref="D1258">IFERROR(INDEX(data!$G:$G,match(Caseslist!B1258,data!$D:$D,0)), "INC")</f>
        <v>D1284067</v>
      </c>
      <c r="E1258" s="9" t="str">
        <f t="array" ref="E1258">IFERROR(INDEX(data!H:H,match(Caseslist!B1258,data!D:D,0)), "INC")</f>
        <v>Mariel Del Rio</v>
      </c>
      <c r="F1258" s="10" t="str">
        <f t="array" ref="F1258">IF(
    OR(
      IFNA(INDEX(data!M:M, MATCH(Caseslist!B1258, data!D:D, 0)), "") = "",
      IFNA(INDEX(data!M:M, MATCH(Caseslist!B1258, data!D:D, 0)), 0) = 0
    ),
    "COMPLETE",
    IF(
      IFNA(INDEX(dataICM!D:D, MATCH(Caseslist!B1258, dataICM!D:D, 0)), "INC") = "INC",
      IFNA(INDEX(dataICM!D:D, MATCH(Caseslist!B1258, dataICM!D:D, 0)), "INC"),
      "COMPLETE"
    )
  )</f>
        <v>COMPLETE</v>
      </c>
      <c r="G1258" s="10" t="str">
        <f t="array" ref="G1258">IF(IFERROR(INDEX(data!L:L,match(Caseslist!B1258,data!D:D,0)),"INC")="","COMPLETE",F1258)</f>
        <v>COMPLETE</v>
      </c>
      <c r="H1258" s="9" t="str">
        <f t="array" ref="H1258">IFERROR(INDEX(dataICM!F:F,match(Caseslist!B1258,dataICM!D:D,0)), "INC")</f>
        <v>Mariel Del Rio</v>
      </c>
      <c r="I1258" s="10" t="str">
        <f t="shared" si="2"/>
        <v>D1284067</v>
      </c>
      <c r="J1258" s="9" t="str">
        <f t="array" ref="J1258">IF(
  AND(
    IFERROR(MATCH(B1258, data!D:D, 0), 0) &gt; 0,
    IFERROR(INDEX(data!N:N, MATCH(B1258, data!D:D, 0)) = 1, FALSE)
  ),
  INDEX(data!C:C, MATCH(B1258, data!D:D, 0)),
  "INC"
)</f>
        <v>2025-08-29T09:40:33.617+08</v>
      </c>
      <c r="K1258" s="9" t="str">
        <f t="array" ref="K1258">IFERROR(INDEX(dataICM!C:C,match(Caseslist!B1258,dataICM!D:D,0)), "INC")</f>
        <v>2025-08-29T10:03:15.053+08</v>
      </c>
      <c r="L1258" s="10" t="str">
        <f t="array" ref="L1258">IF(AND(G1258="COMPLETE", OR(K1258="INC", ISBLANK(INDEX(data!O:O, ROW())))), J1258, K1258)</f>
        <v>2025-08-29T10:03:15.053+08</v>
      </c>
      <c r="M1258" s="2">
        <v>45898.0</v>
      </c>
      <c r="N1258" s="2">
        <f t="array" ref="N1258">IF(M1258&lt;&gt;"INC", INDEX(data!M:M, MATCH(B1258, data!D:D, 0)), "")</f>
        <v>3</v>
      </c>
      <c r="O1258" s="2">
        <f t="shared" si="3"/>
        <v>3</v>
      </c>
    </row>
    <row r="1259">
      <c r="A1259" s="2" t="str">
        <f t="shared" si="1"/>
        <v>H030270</v>
      </c>
      <c r="B1259" s="1" t="s">
        <v>1928</v>
      </c>
      <c r="C1259" s="9" t="str">
        <f t="array" ref="C1259">IF(
  AND(
    IFERROR(MATCH(Caseslist!B1259, data!D:D, 0), 0) &gt; 0,
    IFERROR(INDEX(data!N:N, MATCH(Caseslist!B1259, data!D:D, 0)) = 1, FALSE)
  ),
  "COMPLETE",
  "INC"
)</f>
        <v>COMPLETE</v>
      </c>
      <c r="D1259" s="9" t="str">
        <f t="array" ref="D1259">IFERROR(INDEX(data!$G:$G,match(Caseslist!B1259,data!$D:$D,0)), "INC")</f>
        <v>B8193462</v>
      </c>
      <c r="E1259" s="9" t="str">
        <f t="array" ref="E1259">IFERROR(INDEX(data!H:H,match(Caseslist!B1259,data!D:D,0)), "INC")</f>
        <v>Mark Lorens Mendoza Gilongo</v>
      </c>
      <c r="F1259" s="10" t="str">
        <f t="array" ref="F1259">IF(
    OR(
      IFNA(INDEX(data!M:M, MATCH(Caseslist!B1259, data!D:D, 0)), "") = "",
      IFNA(INDEX(data!M:M, MATCH(Caseslist!B1259, data!D:D, 0)), 0) = 0
    ),
    "COMPLETE",
    IF(
      IFNA(INDEX(dataICM!D:D, MATCH(Caseslist!B1259, dataICM!D:D, 0)), "INC") = "INC",
      IFNA(INDEX(dataICM!D:D, MATCH(Caseslist!B1259, dataICM!D:D, 0)), "INC"),
      "COMPLETE"
    )
  )</f>
        <v>COMPLETE</v>
      </c>
      <c r="G1259" s="10" t="str">
        <f t="array" ref="G1259">IF(IFERROR(INDEX(data!L:L,match(Caseslist!B1259,data!D:D,0)),"INC")="","COMPLETE",F1259)</f>
        <v>COMPLETE</v>
      </c>
      <c r="H1259" s="9" t="str">
        <f t="array" ref="H1259">IFERROR(INDEX(dataICM!F:F,match(Caseslist!B1259,dataICM!D:D,0)), "INC")</f>
        <v>Mark Lorens Mendoza Gilongo</v>
      </c>
      <c r="I1259" s="10" t="str">
        <f t="shared" si="2"/>
        <v>B8193462</v>
      </c>
      <c r="J1259" s="9" t="str">
        <f t="array" ref="J1259">IF(
  AND(
    IFERROR(MATCH(B1259, data!D:D, 0), 0) &gt; 0,
    IFERROR(INDEX(data!N:N, MATCH(B1259, data!D:D, 0)) = 1, FALSE)
  ),
  INDEX(data!C:C, MATCH(B1259, data!D:D, 0)),
  "INC"
)</f>
        <v>2025-08-30T14:17:41.864+08</v>
      </c>
      <c r="K1259" s="9" t="str">
        <f t="array" ref="K1259">IFERROR(INDEX(dataICM!C:C,match(Caseslist!B1259,dataICM!D:D,0)), "INC")</f>
        <v>2025-08-30T14:34:34.988+08</v>
      </c>
      <c r="L1259" s="10" t="str">
        <f t="array" ref="L1259">IF(AND(G1259="COMPLETE", OR(K1259="INC", ISBLANK(INDEX(data!O:O, ROW())))), J1259, K1259)</f>
        <v>2025-08-30T14:34:34.988+08</v>
      </c>
      <c r="M1259" s="2">
        <v>45899.0</v>
      </c>
      <c r="N1259" s="2">
        <f t="array" ref="N1259">IF(M1259&lt;&gt;"INC", INDEX(data!M:M, MATCH(B1259, data!D:D, 0)), "")</f>
        <v>3</v>
      </c>
      <c r="O1259" s="2">
        <f t="shared" si="3"/>
        <v>3</v>
      </c>
    </row>
    <row r="1260">
      <c r="A1260" s="2" t="str">
        <f t="shared" si="1"/>
        <v>H030310</v>
      </c>
      <c r="B1260" s="1" t="s">
        <v>7033</v>
      </c>
      <c r="C1260" s="9" t="str">
        <f t="array" ref="C1260">IF(
  AND(
    IFERROR(MATCH(Caseslist!B1260, data!D:D, 0), 0) &gt; 0,
    IFERROR(INDEX(data!N:N, MATCH(Caseslist!B1260, data!D:D, 0)) = 1, FALSE)
  ),
  "COMPLETE",
  "INC"
)</f>
        <v>COMPLETE</v>
      </c>
      <c r="D1260" s="9" t="str">
        <f t="array" ref="D1260">IFERROR(INDEX(data!$G:$G,match(Caseslist!B1260,data!$D:$D,0)), "INC")</f>
        <v>G5472901</v>
      </c>
      <c r="E1260" s="9" t="str">
        <f t="array" ref="E1260">IFERROR(INDEX(data!H:H,match(Caseslist!B1260,data!D:D,0)), "INC")</f>
        <v>Wellyn Grace Alaban Parcia</v>
      </c>
      <c r="F1260" s="10" t="str">
        <f t="array" ref="F1260">IF(
    OR(
      IFNA(INDEX(data!M:M, MATCH(Caseslist!B1260, data!D:D, 0)), "") = "",
      IFNA(INDEX(data!M:M, MATCH(Caseslist!B1260, data!D:D, 0)), 0) = 0
    ),
    "COMPLETE",
    IF(
      IFNA(INDEX(dataICM!D:D, MATCH(Caseslist!B1260, dataICM!D:D, 0)), "INC") = "INC",
      IFNA(INDEX(dataICM!D:D, MATCH(Caseslist!B1260, dataICM!D:D, 0)), "INC"),
      "COMPLETE"
    )
  )</f>
        <v>COMPLETE</v>
      </c>
      <c r="G1260" s="10" t="str">
        <f t="array" ref="G1260">IF(IFERROR(INDEX(data!L:L,match(Caseslist!B1260,data!D:D,0)),"INC")="","COMPLETE",F1260)</f>
        <v>COMPLETE</v>
      </c>
      <c r="H1260" s="9" t="str">
        <f t="array" ref="H1260">IFERROR(INDEX(dataICM!F:F,match(Caseslist!B1260,dataICM!D:D,0)), "INC")</f>
        <v>Wellyn Grace Alaban Parcia</v>
      </c>
      <c r="I1260" s="10" t="str">
        <f t="shared" si="2"/>
        <v>G5472901</v>
      </c>
      <c r="J1260" s="9" t="str">
        <f t="array" ref="J1260">IF(
  AND(
    IFERROR(MATCH(B1260, data!D:D, 0), 0) &gt; 0,
    IFERROR(INDEX(data!N:N, MATCH(B1260, data!D:D, 0)) = 1, FALSE)
  ),
  INDEX(data!C:C, MATCH(B1260, data!D:D, 0)),
  "INC"
)</f>
        <v>2025-09-17T12:41:45.017+08</v>
      </c>
      <c r="K1260" s="9" t="str">
        <f t="array" ref="K1260">IFERROR(INDEX(dataICM!C:C,match(Caseslist!B1260,dataICM!D:D,0)), "INC")</f>
        <v>2025-09-17T13:09:05.777+08</v>
      </c>
      <c r="L1260" s="10" t="str">
        <f t="array" ref="L1260">IF(AND(G1260="COMPLETE", OR(K1260="INC", ISBLANK(INDEX(data!O:O, ROW())))), J1260, K1260)</f>
        <v>2025-09-17T13:09:05.777+08</v>
      </c>
      <c r="M1260" s="2">
        <v>45917.0</v>
      </c>
      <c r="N1260" s="2">
        <f t="array" ref="N1260">IF(M1260&lt;&gt;"INC", INDEX(data!M:M, MATCH(B1260, data!D:D, 0)), "")</f>
        <v>1</v>
      </c>
      <c r="O1260" s="2">
        <f t="shared" si="3"/>
        <v>1</v>
      </c>
    </row>
    <row r="1261">
      <c r="A1261" s="2" t="str">
        <f t="shared" si="1"/>
        <v>H030310</v>
      </c>
      <c r="B1261" s="1" t="s">
        <v>6953</v>
      </c>
      <c r="C1261" s="9" t="str">
        <f t="array" ref="C1261">IF(
  AND(
    IFERROR(MATCH(Caseslist!B1261, data!D:D, 0), 0) &gt; 0,
    IFERROR(INDEX(data!N:N, MATCH(Caseslist!B1261, data!D:D, 0)) = 1, FALSE)
  ),
  "COMPLETE",
  "INC"
)</f>
        <v>COMPLETE</v>
      </c>
      <c r="D1261" s="9" t="str">
        <f t="array" ref="D1261">IFERROR(INDEX(data!$G:$G,match(Caseslist!B1261,data!$D:$D,0)), "INC")</f>
        <v>F3051749</v>
      </c>
      <c r="E1261" s="9" t="str">
        <f t="array" ref="E1261">IFERROR(INDEX(data!H:H,match(Caseslist!B1261,data!D:D,0)), "INC")</f>
        <v>Elenita Gicos De La Pe�a</v>
      </c>
      <c r="F1261" s="10" t="str">
        <f t="array" ref="F1261">IF(
    OR(
      IFNA(INDEX(data!M:M, MATCH(Caseslist!B1261, data!D:D, 0)), "") = "",
      IFNA(INDEX(data!M:M, MATCH(Caseslist!B1261, data!D:D, 0)), 0) = 0
    ),
    "COMPLETE",
    IF(
      IFNA(INDEX(dataICM!D:D, MATCH(Caseslist!B1261, dataICM!D:D, 0)), "INC") = "INC",
      IFNA(INDEX(dataICM!D:D, MATCH(Caseslist!B1261, dataICM!D:D, 0)), "INC"),
      "COMPLETE"
    )
  )</f>
        <v>COMPLETE</v>
      </c>
      <c r="G1261" s="10" t="str">
        <f t="array" ref="G1261">IF(IFERROR(INDEX(data!L:L,match(Caseslist!B1261,data!D:D,0)),"INC")="","COMPLETE",F1261)</f>
        <v>COMPLETE</v>
      </c>
      <c r="H1261" s="9" t="str">
        <f t="array" ref="H1261">IFERROR(INDEX(dataICM!F:F,match(Caseslist!B1261,dataICM!D:D,0)), "INC")</f>
        <v>Elenita Gicos De La Pe�a</v>
      </c>
      <c r="I1261" s="10" t="str">
        <f t="shared" si="2"/>
        <v>F3051749</v>
      </c>
      <c r="J1261" s="9" t="str">
        <f t="array" ref="J1261">IF(
  AND(
    IFERROR(MATCH(B1261, data!D:D, 0), 0) &gt; 0,
    IFERROR(INDEX(data!N:N, MATCH(B1261, data!D:D, 0)) = 1, FALSE)
  ),
  INDEX(data!C:C, MATCH(B1261, data!D:D, 0)),
  "INC"
)</f>
        <v>2025-09-17T14:29:07.887+08</v>
      </c>
      <c r="K1261" s="9" t="str">
        <f t="array" ref="K1261">IFERROR(INDEX(dataICM!C:C,match(Caseslist!B1261,dataICM!D:D,0)), "INC")</f>
        <v>2025-09-28T18:45:35.301+08</v>
      </c>
      <c r="L1261" s="10" t="str">
        <f t="array" ref="L1261">IF(AND(G1261="COMPLETE", OR(K1261="INC", ISBLANK(INDEX(data!O:O, ROW())))), J1261, K1261)</f>
        <v>2025-09-28T18:45:35.301+08</v>
      </c>
      <c r="M1261" s="2">
        <v>45928.0</v>
      </c>
      <c r="N1261" s="2">
        <f t="array" ref="N1261">IF(M1261&lt;&gt;"INC", INDEX(data!M:M, MATCH(B1261, data!D:D, 0)), "")</f>
        <v>1</v>
      </c>
      <c r="O1261" s="2">
        <f t="shared" si="3"/>
        <v>1</v>
      </c>
    </row>
    <row r="1262">
      <c r="A1262" s="2" t="str">
        <f t="shared" si="1"/>
        <v>H030310</v>
      </c>
      <c r="B1262" s="1" t="s">
        <v>6948</v>
      </c>
      <c r="C1262" s="9" t="str">
        <f t="array" ref="C1262">IF(
  AND(
    IFERROR(MATCH(Caseslist!B1262, data!D:D, 0), 0) &gt; 0,
    IFERROR(INDEX(data!N:N, MATCH(Caseslist!B1262, data!D:D, 0)) = 1, FALSE)
  ),
  "COMPLETE",
  "INC"
)</f>
        <v>COMPLETE</v>
      </c>
      <c r="D1262" s="9" t="str">
        <f t="array" ref="D1262">IFERROR(INDEX(data!$G:$G,match(Caseslist!B1262,data!$D:$D,0)), "INC")</f>
        <v>F3051749</v>
      </c>
      <c r="E1262" s="9" t="str">
        <f t="array" ref="E1262">IFERROR(INDEX(data!H:H,match(Caseslist!B1262,data!D:D,0)), "INC")</f>
        <v>Elenita Gicos De La Pe�a</v>
      </c>
      <c r="F1262" s="10" t="str">
        <f t="array" ref="F1262">IF(
    OR(
      IFNA(INDEX(data!M:M, MATCH(Caseslist!B1262, data!D:D, 0)), "") = "",
      IFNA(INDEX(data!M:M, MATCH(Caseslist!B1262, data!D:D, 0)), 0) = 0
    ),
    "COMPLETE",
    IF(
      IFNA(INDEX(dataICM!D:D, MATCH(Caseslist!B1262, dataICM!D:D, 0)), "INC") = "INC",
      IFNA(INDEX(dataICM!D:D, MATCH(Caseslist!B1262, dataICM!D:D, 0)), "INC"),
      "COMPLETE"
    )
  )</f>
        <v>COMPLETE</v>
      </c>
      <c r="G1262" s="10" t="str">
        <f t="array" ref="G1262">IF(IFERROR(INDEX(data!L:L,match(Caseslist!B1262,data!D:D,0)),"INC")="","COMPLETE",F1262)</f>
        <v>COMPLETE</v>
      </c>
      <c r="H1262" s="9" t="str">
        <f t="array" ref="H1262">IFERROR(INDEX(dataICM!F:F,match(Caseslist!B1262,dataICM!D:D,0)), "INC")</f>
        <v>Elenita Gicos De La Pe�a</v>
      </c>
      <c r="I1262" s="10" t="str">
        <f t="shared" si="2"/>
        <v>F3051749</v>
      </c>
      <c r="J1262" s="9" t="str">
        <f t="array" ref="J1262">IF(
  AND(
    IFERROR(MATCH(B1262, data!D:D, 0), 0) &gt; 0,
    IFERROR(INDEX(data!N:N, MATCH(B1262, data!D:D, 0)) = 1, FALSE)
  ),
  INDEX(data!C:C, MATCH(B1262, data!D:D, 0)),
  "INC"
)</f>
        <v>2025-09-17T14:02:05.763+08</v>
      </c>
      <c r="K1262" s="9" t="str">
        <f t="array" ref="K1262">IFERROR(INDEX(dataICM!C:C,match(Caseslist!B1262,dataICM!D:D,0)), "INC")</f>
        <v>2025-09-17T14:12:18.454+08</v>
      </c>
      <c r="L1262" s="10" t="str">
        <f t="array" ref="L1262">IF(AND(G1262="COMPLETE", OR(K1262="INC", ISBLANK(INDEX(data!O:O, ROW())))), J1262, K1262)</f>
        <v>2025-09-17T14:12:18.454+08</v>
      </c>
      <c r="M1262" s="2">
        <v>45917.0</v>
      </c>
      <c r="N1262" s="2">
        <f t="array" ref="N1262">IF(M1262&lt;&gt;"INC", INDEX(data!M:M, MATCH(B1262, data!D:D, 0)), "")</f>
        <v>1</v>
      </c>
      <c r="O1262" s="2">
        <f t="shared" si="3"/>
        <v>1</v>
      </c>
    </row>
    <row r="1263">
      <c r="A1263" s="2" t="str">
        <f t="shared" si="1"/>
        <v>H030310</v>
      </c>
      <c r="B1263" s="1" t="s">
        <v>6663</v>
      </c>
      <c r="C1263" s="9" t="str">
        <f t="array" ref="C1263">IF(
  AND(
    IFERROR(MATCH(Caseslist!B1263, data!D:D, 0), 0) &gt; 0,
    IFERROR(INDEX(data!N:N, MATCH(Caseslist!B1263, data!D:D, 0)) = 1, FALSE)
  ),
  "COMPLETE",
  "INC"
)</f>
        <v>COMPLETE</v>
      </c>
      <c r="D1263" s="9" t="str">
        <f t="array" ref="D1263">IFERROR(INDEX(data!$G:$G,match(Caseslist!B1263,data!$D:$D,0)), "INC")</f>
        <v>F3051749</v>
      </c>
      <c r="E1263" s="9" t="str">
        <f t="array" ref="E1263">IFERROR(INDEX(data!H:H,match(Caseslist!B1263,data!D:D,0)), "INC")</f>
        <v>Elenita Gicos De La Pe�a</v>
      </c>
      <c r="F1263" s="10" t="str">
        <f t="array" ref="F1263">IF(
    OR(
      IFNA(INDEX(data!M:M, MATCH(Caseslist!B1263, data!D:D, 0)), "") = "",
      IFNA(INDEX(data!M:M, MATCH(Caseslist!B1263, data!D:D, 0)), 0) = 0
    ),
    "COMPLETE",
    IF(
      IFNA(INDEX(dataICM!D:D, MATCH(Caseslist!B1263, dataICM!D:D, 0)), "INC") = "INC",
      IFNA(INDEX(dataICM!D:D, MATCH(Caseslist!B1263, dataICM!D:D, 0)), "INC"),
      "COMPLETE"
    )
  )</f>
        <v>COMPLETE</v>
      </c>
      <c r="G1263" s="10" t="str">
        <f t="array" ref="G1263">IF(IFERROR(INDEX(data!L:L,match(Caseslist!B1263,data!D:D,0)),"INC")="","COMPLETE",F1263)</f>
        <v>COMPLETE</v>
      </c>
      <c r="H1263" s="9" t="str">
        <f t="array" ref="H1263">IFERROR(INDEX(dataICM!F:F,match(Caseslist!B1263,dataICM!D:D,0)), "INC")</f>
        <v>Elenita Gicos De La Pe�a</v>
      </c>
      <c r="I1263" s="10" t="str">
        <f t="shared" si="2"/>
        <v>F3051749</v>
      </c>
      <c r="J1263" s="9" t="str">
        <f t="array" ref="J1263">IF(
  AND(
    IFERROR(MATCH(B1263, data!D:D, 0), 0) &gt; 0,
    IFERROR(INDEX(data!N:N, MATCH(B1263, data!D:D, 0)) = 1, FALSE)
  ),
  INDEX(data!C:C, MATCH(B1263, data!D:D, 0)),
  "INC"
)</f>
        <v>2025-09-16T13:54:57.801+08</v>
      </c>
      <c r="K1263" s="9" t="str">
        <f t="array" ref="K1263">IFERROR(INDEX(dataICM!C:C,match(Caseslist!B1263,dataICM!D:D,0)), "INC")</f>
        <v>2025-09-16T14:26:38.733+08</v>
      </c>
      <c r="L1263" s="10" t="str">
        <f t="array" ref="L1263">IF(AND(G1263="COMPLETE", OR(K1263="INC", ISBLANK(INDEX(data!O:O, ROW())))), J1263, K1263)</f>
        <v>2025-09-16T14:26:38.733+08</v>
      </c>
      <c r="M1263" s="2">
        <v>45916.0</v>
      </c>
      <c r="N1263" s="2">
        <f t="array" ref="N1263">IF(M1263&lt;&gt;"INC", INDEX(data!M:M, MATCH(B1263, data!D:D, 0)), "")</f>
        <v>1</v>
      </c>
      <c r="O1263" s="2">
        <f t="shared" si="3"/>
        <v>1</v>
      </c>
    </row>
    <row r="1264">
      <c r="A1264" s="2" t="str">
        <f t="shared" si="1"/>
        <v>H030310</v>
      </c>
      <c r="B1264" s="1" t="s">
        <v>6733</v>
      </c>
      <c r="C1264" s="9" t="str">
        <f t="array" ref="C1264">IF(
  AND(
    IFERROR(MATCH(Caseslist!B1264, data!D:D, 0), 0) &gt; 0,
    IFERROR(INDEX(data!N:N, MATCH(Caseslist!B1264, data!D:D, 0)) = 1, FALSE)
  ),
  "COMPLETE",
  "INC"
)</f>
        <v>COMPLETE</v>
      </c>
      <c r="D1264" s="9" t="str">
        <f t="array" ref="D1264">IFERROR(INDEX(data!$G:$G,match(Caseslist!B1264,data!$D:$D,0)), "INC")</f>
        <v>G5472901</v>
      </c>
      <c r="E1264" s="9" t="str">
        <f t="array" ref="E1264">IFERROR(INDEX(data!H:H,match(Caseslist!B1264,data!D:D,0)), "INC")</f>
        <v>Wellyn Grace Alaban Parcia</v>
      </c>
      <c r="F1264" s="10" t="str">
        <f t="array" ref="F1264">IF(
    OR(
      IFNA(INDEX(data!M:M, MATCH(Caseslist!B1264, data!D:D, 0)), "") = "",
      IFNA(INDEX(data!M:M, MATCH(Caseslist!B1264, data!D:D, 0)), 0) = 0
    ),
    "COMPLETE",
    IF(
      IFNA(INDEX(dataICM!D:D, MATCH(Caseslist!B1264, dataICM!D:D, 0)), "INC") = "INC",
      IFNA(INDEX(dataICM!D:D, MATCH(Caseslist!B1264, dataICM!D:D, 0)), "INC"),
      "COMPLETE"
    )
  )</f>
        <v>COMPLETE</v>
      </c>
      <c r="G1264" s="10" t="str">
        <f t="array" ref="G1264">IF(IFERROR(INDEX(data!L:L,match(Caseslist!B1264,data!D:D,0)),"INC")="","COMPLETE",F1264)</f>
        <v>COMPLETE</v>
      </c>
      <c r="H1264" s="9" t="str">
        <f t="array" ref="H1264">IFERROR(INDEX(dataICM!F:F,match(Caseslist!B1264,dataICM!D:D,0)), "INC")</f>
        <v>Wellyn Grace Alaban Parcia</v>
      </c>
      <c r="I1264" s="10" t="str">
        <f t="shared" si="2"/>
        <v>G5472901</v>
      </c>
      <c r="J1264" s="9" t="str">
        <f t="array" ref="J1264">IF(
  AND(
    IFERROR(MATCH(B1264, data!D:D, 0), 0) &gt; 0,
    IFERROR(INDEX(data!N:N, MATCH(B1264, data!D:D, 0)) = 1, FALSE)
  ),
  INDEX(data!C:C, MATCH(B1264, data!D:D, 0)),
  "INC"
)</f>
        <v>2025-09-16T14:04:41.330+08</v>
      </c>
      <c r="K1264" s="9" t="str">
        <f t="array" ref="K1264">IFERROR(INDEX(dataICM!C:C,match(Caseslist!B1264,dataICM!D:D,0)), "INC")</f>
        <v>2025-09-16T14:12:26.575+08</v>
      </c>
      <c r="L1264" s="10" t="str">
        <f t="array" ref="L1264">IF(AND(G1264="COMPLETE", OR(K1264="INC", ISBLANK(INDEX(data!O:O, ROW())))), J1264, K1264)</f>
        <v>2025-09-16T14:12:26.575+08</v>
      </c>
      <c r="M1264" s="2">
        <v>45916.0</v>
      </c>
      <c r="N1264" s="2">
        <f t="array" ref="N1264">IF(M1264&lt;&gt;"INC", INDEX(data!M:M, MATCH(B1264, data!D:D, 0)), "")</f>
        <v>1</v>
      </c>
      <c r="O1264" s="2">
        <f t="shared" si="3"/>
        <v>1</v>
      </c>
    </row>
    <row r="1265">
      <c r="A1265" s="2" t="str">
        <f t="shared" si="1"/>
        <v>H030310</v>
      </c>
      <c r="B1265" s="1" t="s">
        <v>6703</v>
      </c>
      <c r="C1265" s="9" t="str">
        <f t="array" ref="C1265">IF(
  AND(
    IFERROR(MATCH(Caseslist!B1265, data!D:D, 0), 0) &gt; 0,
    IFERROR(INDEX(data!N:N, MATCH(Caseslist!B1265, data!D:D, 0)) = 1, FALSE)
  ),
  "COMPLETE",
  "INC"
)</f>
        <v>COMPLETE</v>
      </c>
      <c r="D1265" s="9" t="str">
        <f t="array" ref="D1265">IFERROR(INDEX(data!$G:$G,match(Caseslist!B1265,data!$D:$D,0)), "INC")</f>
        <v>H2846135</v>
      </c>
      <c r="E1265" s="9" t="str">
        <f t="array" ref="E1265">IFERROR(INDEX(data!H:H,match(Caseslist!B1265,data!D:D,0)), "INC")</f>
        <v>Annalou Empanado Encontro</v>
      </c>
      <c r="F1265" s="10" t="str">
        <f t="array" ref="F1265">IF(
    OR(
      IFNA(INDEX(data!M:M, MATCH(Caseslist!B1265, data!D:D, 0)), "") = "",
      IFNA(INDEX(data!M:M, MATCH(Caseslist!B1265, data!D:D, 0)), 0) = 0
    ),
    "COMPLETE",
    IF(
      IFNA(INDEX(dataICM!D:D, MATCH(Caseslist!B1265, dataICM!D:D, 0)), "INC") = "INC",
      IFNA(INDEX(dataICM!D:D, MATCH(Caseslist!B1265, dataICM!D:D, 0)), "INC"),
      "COMPLETE"
    )
  )</f>
        <v>COMPLETE</v>
      </c>
      <c r="G1265" s="10" t="str">
        <f t="array" ref="G1265">IF(IFERROR(INDEX(data!L:L,match(Caseslist!B1265,data!D:D,0)),"INC")="","COMPLETE",F1265)</f>
        <v>COMPLETE</v>
      </c>
      <c r="H1265" s="9" t="str">
        <f t="array" ref="H1265">IFERROR(INDEX(dataICM!F:F,match(Caseslist!B1265,dataICM!D:D,0)), "INC")</f>
        <v>Annalou Empanado Encontro</v>
      </c>
      <c r="I1265" s="10" t="str">
        <f t="shared" si="2"/>
        <v>H2846135</v>
      </c>
      <c r="J1265" s="9" t="str">
        <f t="array" ref="J1265">IF(
  AND(
    IFERROR(MATCH(B1265, data!D:D, 0), 0) &gt; 0,
    IFERROR(INDEX(data!N:N, MATCH(B1265, data!D:D, 0)) = 1, FALSE)
  ),
  INDEX(data!C:C, MATCH(B1265, data!D:D, 0)),
  "INC"
)</f>
        <v>2025-09-17T08:58:29.307+08</v>
      </c>
      <c r="K1265" s="9" t="str">
        <f t="array" ref="K1265">IFERROR(INDEX(dataICM!C:C,match(Caseslist!B1265,dataICM!D:D,0)), "INC")</f>
        <v>2025-09-17T09:39:38.489+08</v>
      </c>
      <c r="L1265" s="10" t="str">
        <f t="array" ref="L1265">IF(AND(G1265="COMPLETE", OR(K1265="INC", ISBLANK(INDEX(data!O:O, ROW())))), J1265, K1265)</f>
        <v>2025-09-17T09:39:38.489+08</v>
      </c>
      <c r="M1265" s="2">
        <v>45917.0</v>
      </c>
      <c r="N1265" s="2">
        <f t="array" ref="N1265">IF(M1265&lt;&gt;"INC", INDEX(data!M:M, MATCH(B1265, data!D:D, 0)), "")</f>
        <v>1</v>
      </c>
      <c r="O1265" s="2">
        <f t="shared" si="3"/>
        <v>1</v>
      </c>
    </row>
    <row r="1266">
      <c r="A1266" s="2" t="str">
        <f t="shared" si="1"/>
        <v>H030310</v>
      </c>
      <c r="B1266" s="1" t="s">
        <v>7038</v>
      </c>
      <c r="C1266" s="9" t="str">
        <f t="array" ref="C1266">IF(
  AND(
    IFERROR(MATCH(Caseslist!B1266, data!D:D, 0), 0) &gt; 0,
    IFERROR(INDEX(data!N:N, MATCH(Caseslist!B1266, data!D:D, 0)) = 1, FALSE)
  ),
  "COMPLETE",
  "INC"
)</f>
        <v>COMPLETE</v>
      </c>
      <c r="D1266" s="9" t="str">
        <f t="array" ref="D1266">IFERROR(INDEX(data!$G:$G,match(Caseslist!B1266,data!$D:$D,0)), "INC")</f>
        <v>G5472901</v>
      </c>
      <c r="E1266" s="9" t="str">
        <f t="array" ref="E1266">IFERROR(INDEX(data!H:H,match(Caseslist!B1266,data!D:D,0)), "INC")</f>
        <v>Wellyn Grace Alaban Parcia</v>
      </c>
      <c r="F1266" s="10" t="str">
        <f t="array" ref="F1266">IF(
    OR(
      IFNA(INDEX(data!M:M, MATCH(Caseslist!B1266, data!D:D, 0)), "") = "",
      IFNA(INDEX(data!M:M, MATCH(Caseslist!B1266, data!D:D, 0)), 0) = 0
    ),
    "COMPLETE",
    IF(
      IFNA(INDEX(dataICM!D:D, MATCH(Caseslist!B1266, dataICM!D:D, 0)), "INC") = "INC",
      IFNA(INDEX(dataICM!D:D, MATCH(Caseslist!B1266, dataICM!D:D, 0)), "INC"),
      "COMPLETE"
    )
  )</f>
        <v>COMPLETE</v>
      </c>
      <c r="G1266" s="10" t="str">
        <f t="array" ref="G1266">IF(IFERROR(INDEX(data!L:L,match(Caseslist!B1266,data!D:D,0)),"INC")="","COMPLETE",F1266)</f>
        <v>COMPLETE</v>
      </c>
      <c r="H1266" s="9" t="str">
        <f t="array" ref="H1266">IFERROR(INDEX(dataICM!F:F,match(Caseslist!B1266,dataICM!D:D,0)), "INC")</f>
        <v>Wellyn Grace Alaban Parcia</v>
      </c>
      <c r="I1266" s="10" t="str">
        <f t="shared" si="2"/>
        <v>G5472901</v>
      </c>
      <c r="J1266" s="9" t="str">
        <f t="array" ref="J1266">IF(
  AND(
    IFERROR(MATCH(B1266, data!D:D, 0), 0) &gt; 0,
    IFERROR(INDEX(data!N:N, MATCH(B1266, data!D:D, 0)) = 1, FALSE)
  ),
  INDEX(data!C:C, MATCH(B1266, data!D:D, 0)),
  "INC"
)</f>
        <v>2025-09-17T11:09:49.173+08</v>
      </c>
      <c r="K1266" s="9" t="str">
        <f t="array" ref="K1266">IFERROR(INDEX(dataICM!C:C,match(Caseslist!B1266,dataICM!D:D,0)), "INC")</f>
        <v>2025-09-17T11:14:56.939+08</v>
      </c>
      <c r="L1266" s="10" t="str">
        <f t="array" ref="L1266">IF(AND(G1266="COMPLETE", OR(K1266="INC", ISBLANK(INDEX(data!O:O, ROW())))), J1266, K1266)</f>
        <v>2025-09-17T11:14:56.939+08</v>
      </c>
      <c r="M1266" s="2">
        <v>45917.0</v>
      </c>
      <c r="N1266" s="2">
        <f t="array" ref="N1266">IF(M1266&lt;&gt;"INC", INDEX(data!M:M, MATCH(B1266, data!D:D, 0)), "")</f>
        <v>1</v>
      </c>
      <c r="O1266" s="2">
        <f t="shared" si="3"/>
        <v>1</v>
      </c>
    </row>
    <row r="1267">
      <c r="A1267" s="2" t="str">
        <f t="shared" si="1"/>
        <v>H030310</v>
      </c>
      <c r="B1267" s="1" t="s">
        <v>6658</v>
      </c>
      <c r="C1267" s="9" t="str">
        <f t="array" ref="C1267">IF(
  AND(
    IFERROR(MATCH(Caseslist!B1267, data!D:D, 0), 0) &gt; 0,
    IFERROR(INDEX(data!N:N, MATCH(Caseslist!B1267, data!D:D, 0)) = 1, FALSE)
  ),
  "COMPLETE",
  "INC"
)</f>
        <v>COMPLETE</v>
      </c>
      <c r="D1267" s="9" t="str">
        <f t="array" ref="D1267">IFERROR(INDEX(data!$G:$G,match(Caseslist!B1267,data!$D:$D,0)), "INC")</f>
        <v>F3051749</v>
      </c>
      <c r="E1267" s="9" t="str">
        <f t="array" ref="E1267">IFERROR(INDEX(data!H:H,match(Caseslist!B1267,data!D:D,0)), "INC")</f>
        <v>Elenita Gicos De La Pe�a</v>
      </c>
      <c r="F1267" s="10" t="str">
        <f t="array" ref="F1267">IF(
    OR(
      IFNA(INDEX(data!M:M, MATCH(Caseslist!B1267, data!D:D, 0)), "") = "",
      IFNA(INDEX(data!M:M, MATCH(Caseslist!B1267, data!D:D, 0)), 0) = 0
    ),
    "COMPLETE",
    IF(
      IFNA(INDEX(dataICM!D:D, MATCH(Caseslist!B1267, dataICM!D:D, 0)), "INC") = "INC",
      IFNA(INDEX(dataICM!D:D, MATCH(Caseslist!B1267, dataICM!D:D, 0)), "INC"),
      "COMPLETE"
    )
  )</f>
        <v>COMPLETE</v>
      </c>
      <c r="G1267" s="10" t="str">
        <f t="array" ref="G1267">IF(IFERROR(INDEX(data!L:L,match(Caseslist!B1267,data!D:D,0)),"INC")="","COMPLETE",F1267)</f>
        <v>COMPLETE</v>
      </c>
      <c r="H1267" s="9" t="str">
        <f t="array" ref="H1267">IFERROR(INDEX(dataICM!F:F,match(Caseslist!B1267,dataICM!D:D,0)), "INC")</f>
        <v>Elenita Gicos De La Pe�a</v>
      </c>
      <c r="I1267" s="10" t="str">
        <f t="shared" si="2"/>
        <v>F3051749</v>
      </c>
      <c r="J1267" s="9" t="str">
        <f t="array" ref="J1267">IF(
  AND(
    IFERROR(MATCH(B1267, data!D:D, 0), 0) &gt; 0,
    IFERROR(INDEX(data!N:N, MATCH(B1267, data!D:D, 0)) = 1, FALSE)
  ),
  INDEX(data!C:C, MATCH(B1267, data!D:D, 0)),
  "INC"
)</f>
        <v>2025-09-16T12:04:59.015+08</v>
      </c>
      <c r="K1267" s="9" t="str">
        <f t="array" ref="K1267">IFERROR(INDEX(dataICM!C:C,match(Caseslist!B1267,dataICM!D:D,0)), "INC")</f>
        <v>2025-09-16T12:15:27.832+08</v>
      </c>
      <c r="L1267" s="10" t="str">
        <f t="array" ref="L1267">IF(AND(G1267="COMPLETE", OR(K1267="INC", ISBLANK(INDEX(data!O:O, ROW())))), J1267, K1267)</f>
        <v>2025-09-16T12:15:27.832+08</v>
      </c>
      <c r="M1267" s="2">
        <v>45916.0</v>
      </c>
      <c r="N1267" s="2">
        <f t="array" ref="N1267">IF(M1267&lt;&gt;"INC", INDEX(data!M:M, MATCH(B1267, data!D:D, 0)), "")</f>
        <v>1</v>
      </c>
      <c r="O1267" s="2">
        <f t="shared" si="3"/>
        <v>1</v>
      </c>
    </row>
    <row r="1268">
      <c r="A1268" s="2" t="str">
        <f t="shared" si="1"/>
        <v>H030310</v>
      </c>
      <c r="B1268" s="1" t="s">
        <v>7028</v>
      </c>
      <c r="C1268" s="9" t="str">
        <f t="array" ref="C1268">IF(
  AND(
    IFERROR(MATCH(Caseslist!B1268, data!D:D, 0), 0) &gt; 0,
    IFERROR(INDEX(data!N:N, MATCH(Caseslist!B1268, data!D:D, 0)) = 1, FALSE)
  ),
  "COMPLETE",
  "INC"
)</f>
        <v>COMPLETE</v>
      </c>
      <c r="D1268" s="9" t="str">
        <f t="array" ref="D1268">IFERROR(INDEX(data!$G:$G,match(Caseslist!B1268,data!$D:$D,0)), "INC")</f>
        <v>G5472901</v>
      </c>
      <c r="E1268" s="9" t="str">
        <f t="array" ref="E1268">IFERROR(INDEX(data!H:H,match(Caseslist!B1268,data!D:D,0)), "INC")</f>
        <v>Wellyn Grace Alaban Parcia</v>
      </c>
      <c r="F1268" s="10" t="str">
        <f t="array" ref="F1268">IF(
    OR(
      IFNA(INDEX(data!M:M, MATCH(Caseslist!B1268, data!D:D, 0)), "") = "",
      IFNA(INDEX(data!M:M, MATCH(Caseslist!B1268, data!D:D, 0)), 0) = 0
    ),
    "COMPLETE",
    IF(
      IFNA(INDEX(dataICM!D:D, MATCH(Caseslist!B1268, dataICM!D:D, 0)), "INC") = "INC",
      IFNA(INDEX(dataICM!D:D, MATCH(Caseslist!B1268, dataICM!D:D, 0)), "INC"),
      "COMPLETE"
    )
  )</f>
        <v>COMPLETE</v>
      </c>
      <c r="G1268" s="10" t="str">
        <f t="array" ref="G1268">IF(IFERROR(INDEX(data!L:L,match(Caseslist!B1268,data!D:D,0)),"INC")="","COMPLETE",F1268)</f>
        <v>COMPLETE</v>
      </c>
      <c r="H1268" s="9" t="str">
        <f t="array" ref="H1268">IFERROR(INDEX(dataICM!F:F,match(Caseslist!B1268,dataICM!D:D,0)), "INC")</f>
        <v>Wellyn Grace Alaban Parcia</v>
      </c>
      <c r="I1268" s="10" t="str">
        <f t="shared" si="2"/>
        <v>G5472901</v>
      </c>
      <c r="J1268" s="9" t="str">
        <f t="array" ref="J1268">IF(
  AND(
    IFERROR(MATCH(B1268, data!D:D, 0), 0) &gt; 0,
    IFERROR(INDEX(data!N:N, MATCH(B1268, data!D:D, 0)) = 1, FALSE)
  ),
  INDEX(data!C:C, MATCH(B1268, data!D:D, 0)),
  "INC"
)</f>
        <v>2025-09-17T14:10:18.315+08</v>
      </c>
      <c r="K1268" s="9" t="str">
        <f t="array" ref="K1268">IFERROR(INDEX(dataICM!C:C,match(Caseslist!B1268,dataICM!D:D,0)), "INC")</f>
        <v>2025-09-17T14:14:14.727+08</v>
      </c>
      <c r="L1268" s="10" t="str">
        <f t="array" ref="L1268">IF(AND(G1268="COMPLETE", OR(K1268="INC", ISBLANK(INDEX(data!O:O, ROW())))), J1268, K1268)</f>
        <v>2025-09-17T14:14:14.727+08</v>
      </c>
      <c r="M1268" s="2">
        <v>45917.0</v>
      </c>
      <c r="N1268" s="2">
        <f t="array" ref="N1268">IF(M1268&lt;&gt;"INC", INDEX(data!M:M, MATCH(B1268, data!D:D, 0)), "")</f>
        <v>1</v>
      </c>
      <c r="O1268" s="2">
        <f t="shared" si="3"/>
        <v>1</v>
      </c>
    </row>
    <row r="1269">
      <c r="A1269" s="2" t="str">
        <f t="shared" si="1"/>
        <v>H030310</v>
      </c>
      <c r="B1269" s="1" t="s">
        <v>6738</v>
      </c>
      <c r="C1269" s="9" t="str">
        <f t="array" ref="C1269">IF(
  AND(
    IFERROR(MATCH(Caseslist!B1269, data!D:D, 0), 0) &gt; 0,
    IFERROR(INDEX(data!N:N, MATCH(Caseslist!B1269, data!D:D, 0)) = 1, FALSE)
  ),
  "COMPLETE",
  "INC"
)</f>
        <v>COMPLETE</v>
      </c>
      <c r="D1269" s="9" t="str">
        <f t="array" ref="D1269">IFERROR(INDEX(data!$G:$G,match(Caseslist!B1269,data!$D:$D,0)), "INC")</f>
        <v>G5472901</v>
      </c>
      <c r="E1269" s="9" t="str">
        <f t="array" ref="E1269">IFERROR(INDEX(data!H:H,match(Caseslist!B1269,data!D:D,0)), "INC")</f>
        <v>Wellyn Grace Alaban Parcia</v>
      </c>
      <c r="F1269" s="10" t="str">
        <f t="array" ref="F1269">IF(
    OR(
      IFNA(INDEX(data!M:M, MATCH(Caseslist!B1269, data!D:D, 0)), "") = "",
      IFNA(INDEX(data!M:M, MATCH(Caseslist!B1269, data!D:D, 0)), 0) = 0
    ),
    "COMPLETE",
    IF(
      IFNA(INDEX(dataICM!D:D, MATCH(Caseslist!B1269, dataICM!D:D, 0)), "INC") = "INC",
      IFNA(INDEX(dataICM!D:D, MATCH(Caseslist!B1269, dataICM!D:D, 0)), "INC"),
      "COMPLETE"
    )
  )</f>
        <v>COMPLETE</v>
      </c>
      <c r="G1269" s="10" t="str">
        <f t="array" ref="G1269">IF(IFERROR(INDEX(data!L:L,match(Caseslist!B1269,data!D:D,0)),"INC")="","COMPLETE",F1269)</f>
        <v>COMPLETE</v>
      </c>
      <c r="H1269" s="9" t="str">
        <f t="array" ref="H1269">IFERROR(INDEX(dataICM!F:F,match(Caseslist!B1269,dataICM!D:D,0)), "INC")</f>
        <v>Wellyn Grace Alaban Parcia</v>
      </c>
      <c r="I1269" s="10" t="str">
        <f t="shared" si="2"/>
        <v>G5472901</v>
      </c>
      <c r="J1269" s="9" t="str">
        <f t="array" ref="J1269">IF(
  AND(
    IFERROR(MATCH(B1269, data!D:D, 0), 0) &gt; 0,
    IFERROR(INDEX(data!N:N, MATCH(B1269, data!D:D, 0)) = 1, FALSE)
  ),
  INDEX(data!C:C, MATCH(B1269, data!D:D, 0)),
  "INC"
)</f>
        <v>2025-09-16T12:46:25.846+08</v>
      </c>
      <c r="K1269" s="9" t="str">
        <f t="array" ref="K1269">IFERROR(INDEX(dataICM!C:C,match(Caseslist!B1269,dataICM!D:D,0)), "INC")</f>
        <v>2025-09-16T13:06:59.706+08</v>
      </c>
      <c r="L1269" s="10" t="str">
        <f t="array" ref="L1269">IF(AND(G1269="COMPLETE", OR(K1269="INC", ISBLANK(INDEX(data!O:O, ROW())))), J1269, K1269)</f>
        <v>2025-09-16T13:06:59.706+08</v>
      </c>
      <c r="M1269" s="2">
        <v>45916.0</v>
      </c>
      <c r="N1269" s="2">
        <f t="array" ref="N1269">IF(M1269&lt;&gt;"INC", INDEX(data!M:M, MATCH(B1269, data!D:D, 0)), "")</f>
        <v>1</v>
      </c>
      <c r="O1269" s="2">
        <f t="shared" si="3"/>
        <v>1</v>
      </c>
    </row>
    <row r="1270">
      <c r="A1270" s="2" t="str">
        <f t="shared" si="1"/>
        <v>H030310</v>
      </c>
      <c r="B1270" s="1" t="s">
        <v>8803</v>
      </c>
      <c r="C1270" s="9" t="str">
        <f t="array" ref="C1270">IF(
  AND(
    IFERROR(MATCH(Caseslist!B1270, data!D:D, 0), 0) &gt; 0,
    IFERROR(INDEX(data!N:N, MATCH(Caseslist!B1270, data!D:D, 0)) = 1, FALSE)
  ),
  "COMPLETE",
  "INC"
)</f>
        <v>COMPLETE</v>
      </c>
      <c r="D1270" s="9" t="str">
        <f t="array" ref="D1270">IFERROR(INDEX(data!$G:$G,match(Caseslist!B1270,data!$D:$D,0)), "INC")</f>
        <v>G5472901</v>
      </c>
      <c r="E1270" s="9" t="str">
        <f t="array" ref="E1270">IFERROR(INDEX(data!H:H,match(Caseslist!B1270,data!D:D,0)), "INC")</f>
        <v>Wellyn Grace Alaban Parcia</v>
      </c>
      <c r="F1270" s="10" t="str">
        <f t="array" ref="F1270">IF(
    OR(
      IFNA(INDEX(data!M:M, MATCH(Caseslist!B1270, data!D:D, 0)), "") = "",
      IFNA(INDEX(data!M:M, MATCH(Caseslist!B1270, data!D:D, 0)), 0) = 0
    ),
    "COMPLETE",
    IF(
      IFNA(INDEX(dataICM!D:D, MATCH(Caseslist!B1270, dataICM!D:D, 0)), "INC") = "INC",
      IFNA(INDEX(dataICM!D:D, MATCH(Caseslist!B1270, dataICM!D:D, 0)), "INC"),
      "COMPLETE"
    )
  )</f>
        <v>COMPLETE</v>
      </c>
      <c r="G1270" s="10" t="str">
        <f t="array" ref="G1270">IF(IFERROR(INDEX(data!L:L,match(Caseslist!B1270,data!D:D,0)),"INC")="","COMPLETE",F1270)</f>
        <v>COMPLETE</v>
      </c>
      <c r="H1270" s="9" t="str">
        <f t="array" ref="H1270">IFERROR(INDEX(dataICM!F:F,match(Caseslist!B1270,dataICM!D:D,0)), "INC")</f>
        <v>Wellyn Grace Alaban Parcia</v>
      </c>
      <c r="I1270" s="10" t="str">
        <f t="shared" si="2"/>
        <v>G5472901</v>
      </c>
      <c r="J1270" s="9" t="str">
        <f t="array" ref="J1270">IF(
  AND(
    IFERROR(MATCH(B1270, data!D:D, 0), 0) &gt; 0,
    IFERROR(INDEX(data!N:N, MATCH(B1270, data!D:D, 0)) = 1, FALSE)
  ),
  INDEX(data!C:C, MATCH(B1270, data!D:D, 0)),
  "INC"
)</f>
        <v>2025-10-01T10:45:33.505+08</v>
      </c>
      <c r="K1270" s="9" t="str">
        <f t="array" ref="K1270">IFERROR(INDEX(dataICM!C:C,match(Caseslist!B1270,dataICM!D:D,0)), "INC")</f>
        <v>2025-10-01T11:00:54.183+08</v>
      </c>
      <c r="L1270" s="10" t="str">
        <f t="array" ref="L1270">IF(AND(G1270="COMPLETE", OR(K1270="INC", ISBLANK(INDEX(data!O:O, ROW())))), J1270, K1270)</f>
        <v>2025-10-01T11:00:54.183+08</v>
      </c>
      <c r="M1270" s="2">
        <v>45931.0</v>
      </c>
      <c r="N1270" s="2">
        <f t="array" ref="N1270">IF(M1270&lt;&gt;"INC", INDEX(data!M:M, MATCH(B1270, data!D:D, 0)), "")</f>
        <v>1</v>
      </c>
      <c r="O1270" s="2">
        <f t="shared" si="3"/>
        <v>1</v>
      </c>
    </row>
    <row r="1271">
      <c r="A1271" s="2" t="str">
        <f t="shared" si="1"/>
        <v>H030310</v>
      </c>
      <c r="B1271" s="1" t="s">
        <v>6743</v>
      </c>
      <c r="C1271" s="9" t="str">
        <f t="array" ref="C1271">IF(
  AND(
    IFERROR(MATCH(Caseslist!B1271, data!D:D, 0), 0) &gt; 0,
    IFERROR(INDEX(data!N:N, MATCH(Caseslist!B1271, data!D:D, 0)) = 1, FALSE)
  ),
  "COMPLETE",
  "INC"
)</f>
        <v>COMPLETE</v>
      </c>
      <c r="D1271" s="9" t="str">
        <f t="array" ref="D1271">IFERROR(INDEX(data!$G:$G,match(Caseslist!B1271,data!$D:$D,0)), "INC")</f>
        <v>G5472901</v>
      </c>
      <c r="E1271" s="9" t="str">
        <f t="array" ref="E1271">IFERROR(INDEX(data!H:H,match(Caseslist!B1271,data!D:D,0)), "INC")</f>
        <v>Wellyn Grace Alaban Parcia</v>
      </c>
      <c r="F1271" s="10" t="str">
        <f t="array" ref="F1271">IF(
    OR(
      IFNA(INDEX(data!M:M, MATCH(Caseslist!B1271, data!D:D, 0)), "") = "",
      IFNA(INDEX(data!M:M, MATCH(Caseslist!B1271, data!D:D, 0)), 0) = 0
    ),
    "COMPLETE",
    IF(
      IFNA(INDEX(dataICM!D:D, MATCH(Caseslist!B1271, dataICM!D:D, 0)), "INC") = "INC",
      IFNA(INDEX(dataICM!D:D, MATCH(Caseslist!B1271, dataICM!D:D, 0)), "INC"),
      "COMPLETE"
    )
  )</f>
        <v>COMPLETE</v>
      </c>
      <c r="G1271" s="10" t="str">
        <f t="array" ref="G1271">IF(IFERROR(INDEX(data!L:L,match(Caseslist!B1271,data!D:D,0)),"INC")="","COMPLETE",F1271)</f>
        <v>COMPLETE</v>
      </c>
      <c r="H1271" s="9" t="str">
        <f t="array" ref="H1271">IFERROR(INDEX(dataICM!F:F,match(Caseslist!B1271,dataICM!D:D,0)), "INC")</f>
        <v>Wellyn Grace Alaban Parcia</v>
      </c>
      <c r="I1271" s="10" t="str">
        <f t="shared" si="2"/>
        <v>G5472901</v>
      </c>
      <c r="J1271" s="9" t="str">
        <f t="array" ref="J1271">IF(
  AND(
    IFERROR(MATCH(B1271, data!D:D, 0), 0) &gt; 0,
    IFERROR(INDEX(data!N:N, MATCH(B1271, data!D:D, 0)) = 1, FALSE)
  ),
  INDEX(data!C:C, MATCH(B1271, data!D:D, 0)),
  "INC"
)</f>
        <v>2025-09-16T10:30:25.515+08</v>
      </c>
      <c r="K1271" s="9" t="str">
        <f t="array" ref="K1271">IFERROR(INDEX(dataICM!C:C,match(Caseslist!B1271,dataICM!D:D,0)), "INC")</f>
        <v>2025-09-16T11:01:43.620+08</v>
      </c>
      <c r="L1271" s="10" t="str">
        <f t="array" ref="L1271">IF(AND(G1271="COMPLETE", OR(K1271="INC", ISBLANK(INDEX(data!O:O, ROW())))), J1271, K1271)</f>
        <v>2025-09-16T11:01:43.620+08</v>
      </c>
      <c r="M1271" s="2">
        <v>45916.0</v>
      </c>
      <c r="N1271" s="2">
        <f t="array" ref="N1271">IF(M1271&lt;&gt;"INC", INDEX(data!M:M, MATCH(B1271, data!D:D, 0)), "")</f>
        <v>1</v>
      </c>
      <c r="O1271" s="2">
        <f t="shared" si="3"/>
        <v>1</v>
      </c>
    </row>
    <row r="1272">
      <c r="A1272" s="2" t="str">
        <f t="shared" si="1"/>
        <v>H030310</v>
      </c>
      <c r="B1272" s="1" t="s">
        <v>6653</v>
      </c>
      <c r="C1272" s="9" t="str">
        <f t="array" ref="C1272">IF(
  AND(
    IFERROR(MATCH(Caseslist!B1272, data!D:D, 0), 0) &gt; 0,
    IFERROR(INDEX(data!N:N, MATCH(Caseslist!B1272, data!D:D, 0)) = 1, FALSE)
  ),
  "COMPLETE",
  "INC"
)</f>
        <v>COMPLETE</v>
      </c>
      <c r="D1272" s="9" t="str">
        <f t="array" ref="D1272">IFERROR(INDEX(data!$G:$G,match(Caseslist!B1272,data!$D:$D,0)), "INC")</f>
        <v>F3051749</v>
      </c>
      <c r="E1272" s="9" t="str">
        <f t="array" ref="E1272">IFERROR(INDEX(data!H:H,match(Caseslist!B1272,data!D:D,0)), "INC")</f>
        <v>Elenita Gicos De La Pe�a</v>
      </c>
      <c r="F1272" s="10" t="str">
        <f t="array" ref="F1272">IF(
    OR(
      IFNA(INDEX(data!M:M, MATCH(Caseslist!B1272, data!D:D, 0)), "") = "",
      IFNA(INDEX(data!M:M, MATCH(Caseslist!B1272, data!D:D, 0)), 0) = 0
    ),
    "COMPLETE",
    IF(
      IFNA(INDEX(dataICM!D:D, MATCH(Caseslist!B1272, dataICM!D:D, 0)), "INC") = "INC",
      IFNA(INDEX(dataICM!D:D, MATCH(Caseslist!B1272, dataICM!D:D, 0)), "INC"),
      "COMPLETE"
    )
  )</f>
        <v>COMPLETE</v>
      </c>
      <c r="G1272" s="10" t="str">
        <f t="array" ref="G1272">IF(IFERROR(INDEX(data!L:L,match(Caseslist!B1272,data!D:D,0)),"INC")="","COMPLETE",F1272)</f>
        <v>COMPLETE</v>
      </c>
      <c r="H1272" s="9" t="str">
        <f t="array" ref="H1272">IFERROR(INDEX(dataICM!F:F,match(Caseslist!B1272,dataICM!D:D,0)), "INC")</f>
        <v>Elenita Gicos De La Pe�a</v>
      </c>
      <c r="I1272" s="10" t="str">
        <f t="shared" si="2"/>
        <v>F3051749</v>
      </c>
      <c r="J1272" s="9" t="str">
        <f t="array" ref="J1272">IF(
  AND(
    IFERROR(MATCH(B1272, data!D:D, 0), 0) &gt; 0,
    IFERROR(INDEX(data!N:N, MATCH(B1272, data!D:D, 0)) = 1, FALSE)
  ),
  INDEX(data!C:C, MATCH(B1272, data!D:D, 0)),
  "INC"
)</f>
        <v>2025-09-16T10:16:53.458+08</v>
      </c>
      <c r="K1272" s="9" t="str">
        <f t="array" ref="K1272">IFERROR(INDEX(dataICM!C:C,match(Caseslist!B1272,dataICM!D:D,0)), "INC")</f>
        <v>2025-09-16T10:32:01.460+08</v>
      </c>
      <c r="L1272" s="10" t="str">
        <f t="array" ref="L1272">IF(AND(G1272="COMPLETE", OR(K1272="INC", ISBLANK(INDEX(data!O:O, ROW())))), J1272, K1272)</f>
        <v>2025-09-16T10:32:01.460+08</v>
      </c>
      <c r="M1272" s="2">
        <v>45916.0</v>
      </c>
      <c r="N1272" s="2">
        <f t="array" ref="N1272">IF(M1272&lt;&gt;"INC", INDEX(data!M:M, MATCH(B1272, data!D:D, 0)), "")</f>
        <v>1</v>
      </c>
      <c r="O1272" s="2">
        <f t="shared" si="3"/>
        <v>1</v>
      </c>
    </row>
    <row r="1273">
      <c r="A1273" s="2" t="str">
        <f t="shared" si="1"/>
        <v>H030310</v>
      </c>
      <c r="B1273" s="1" t="s">
        <v>6983</v>
      </c>
      <c r="C1273" s="9" t="str">
        <f t="array" ref="C1273">IF(
  AND(
    IFERROR(MATCH(Caseslist!B1273, data!D:D, 0), 0) &gt; 0,
    IFERROR(INDEX(data!N:N, MATCH(Caseslist!B1273, data!D:D, 0)) = 1, FALSE)
  ),
  "COMPLETE",
  "INC"
)</f>
        <v>COMPLETE</v>
      </c>
      <c r="D1273" s="9" t="str">
        <f t="array" ref="D1273">IFERROR(INDEX(data!$G:$G,match(Caseslist!B1273,data!$D:$D,0)), "INC")</f>
        <v>H2846135</v>
      </c>
      <c r="E1273" s="9" t="str">
        <f t="array" ref="E1273">IFERROR(INDEX(data!H:H,match(Caseslist!B1273,data!D:D,0)), "INC")</f>
        <v>Annalou Empanado Encontro</v>
      </c>
      <c r="F1273" s="10" t="str">
        <f t="array" ref="F1273">IF(
    OR(
      IFNA(INDEX(data!M:M, MATCH(Caseslist!B1273, data!D:D, 0)), "") = "",
      IFNA(INDEX(data!M:M, MATCH(Caseslist!B1273, data!D:D, 0)), 0) = 0
    ),
    "COMPLETE",
    IF(
      IFNA(INDEX(dataICM!D:D, MATCH(Caseslist!B1273, dataICM!D:D, 0)), "INC") = "INC",
      IFNA(INDEX(dataICM!D:D, MATCH(Caseslist!B1273, dataICM!D:D, 0)), "INC"),
      "COMPLETE"
    )
  )</f>
        <v>COMPLETE</v>
      </c>
      <c r="G1273" s="10" t="str">
        <f t="array" ref="G1273">IF(IFERROR(INDEX(data!L:L,match(Caseslist!B1273,data!D:D,0)),"INC")="","COMPLETE",F1273)</f>
        <v>COMPLETE</v>
      </c>
      <c r="H1273" s="9" t="str">
        <f t="array" ref="H1273">IFERROR(INDEX(dataICM!F:F,match(Caseslist!B1273,dataICM!D:D,0)), "INC")</f>
        <v>Annalou Empanado Encontro</v>
      </c>
      <c r="I1273" s="10" t="str">
        <f t="shared" si="2"/>
        <v>H2846135</v>
      </c>
      <c r="J1273" s="9" t="str">
        <f t="array" ref="J1273">IF(
  AND(
    IFERROR(MATCH(B1273, data!D:D, 0), 0) &gt; 0,
    IFERROR(INDEX(data!N:N, MATCH(B1273, data!D:D, 0)) = 1, FALSE)
  ),
  INDEX(data!C:C, MATCH(B1273, data!D:D, 0)),
  "INC"
)</f>
        <v>2025-09-17T12:13:10.892+08</v>
      </c>
      <c r="K1273" s="9" t="str">
        <f t="array" ref="K1273">IFERROR(INDEX(dataICM!C:C,match(Caseslist!B1273,dataICM!D:D,0)), "INC")</f>
        <v>2025-09-17T12:38:31.121+08</v>
      </c>
      <c r="L1273" s="10" t="str">
        <f t="array" ref="L1273">IF(AND(G1273="COMPLETE", OR(K1273="INC", ISBLANK(INDEX(data!O:O, ROW())))), J1273, K1273)</f>
        <v>2025-09-17T12:38:31.121+08</v>
      </c>
      <c r="M1273" s="2">
        <v>45917.0</v>
      </c>
      <c r="N1273" s="2">
        <f t="array" ref="N1273">IF(M1273&lt;&gt;"INC", INDEX(data!M:M, MATCH(B1273, data!D:D, 0)), "")</f>
        <v>1</v>
      </c>
      <c r="O1273" s="2">
        <f t="shared" si="3"/>
        <v>1</v>
      </c>
    </row>
    <row r="1274">
      <c r="A1274" s="2" t="str">
        <f t="shared" si="1"/>
        <v>H030310</v>
      </c>
      <c r="B1274" s="1" t="s">
        <v>6988</v>
      </c>
      <c r="C1274" s="9" t="str">
        <f t="array" ref="C1274">IF(
  AND(
    IFERROR(MATCH(Caseslist!B1274, data!D:D, 0), 0) &gt; 0,
    IFERROR(INDEX(data!N:N, MATCH(Caseslist!B1274, data!D:D, 0)) = 1, FALSE)
  ),
  "COMPLETE",
  "INC"
)</f>
        <v>COMPLETE</v>
      </c>
      <c r="D1274" s="9" t="str">
        <f t="array" ref="D1274">IFERROR(INDEX(data!$G:$G,match(Caseslist!B1274,data!$D:$D,0)), "INC")</f>
        <v>H2846135</v>
      </c>
      <c r="E1274" s="9" t="str">
        <f t="array" ref="E1274">IFERROR(INDEX(data!H:H,match(Caseslist!B1274,data!D:D,0)), "INC")</f>
        <v>Annalou Empanado Encontro</v>
      </c>
      <c r="F1274" s="10" t="str">
        <f t="array" ref="F1274">IF(
    OR(
      IFNA(INDEX(data!M:M, MATCH(Caseslist!B1274, data!D:D, 0)), "") = "",
      IFNA(INDEX(data!M:M, MATCH(Caseslist!B1274, data!D:D, 0)), 0) = 0
    ),
    "COMPLETE",
    IF(
      IFNA(INDEX(dataICM!D:D, MATCH(Caseslist!B1274, dataICM!D:D, 0)), "INC") = "INC",
      IFNA(INDEX(dataICM!D:D, MATCH(Caseslist!B1274, dataICM!D:D, 0)), "INC"),
      "COMPLETE"
    )
  )</f>
        <v>COMPLETE</v>
      </c>
      <c r="G1274" s="10" t="str">
        <f t="array" ref="G1274">IF(IFERROR(INDEX(data!L:L,match(Caseslist!B1274,data!D:D,0)),"INC")="","COMPLETE",F1274)</f>
        <v>COMPLETE</v>
      </c>
      <c r="H1274" s="9" t="str">
        <f t="array" ref="H1274">IFERROR(INDEX(dataICM!F:F,match(Caseslist!B1274,dataICM!D:D,0)), "INC")</f>
        <v>Annalou Empanado Encontro</v>
      </c>
      <c r="I1274" s="10" t="str">
        <f t="shared" si="2"/>
        <v>H2846135</v>
      </c>
      <c r="J1274" s="9" t="str">
        <f t="array" ref="J1274">IF(
  AND(
    IFERROR(MATCH(B1274, data!D:D, 0), 0) &gt; 0,
    IFERROR(INDEX(data!N:N, MATCH(B1274, data!D:D, 0)) = 1, FALSE)
  ),
  INDEX(data!C:C, MATCH(B1274, data!D:D, 0)),
  "INC"
)</f>
        <v>2025-09-17T10:44:56.165+08</v>
      </c>
      <c r="K1274" s="9" t="str">
        <f t="array" ref="K1274">IFERROR(INDEX(dataICM!C:C,match(Caseslist!B1274,dataICM!D:D,0)), "INC")</f>
        <v>2025-09-17T11:08:15.083+08</v>
      </c>
      <c r="L1274" s="10" t="str">
        <f t="array" ref="L1274">IF(AND(G1274="COMPLETE", OR(K1274="INC", ISBLANK(INDEX(data!O:O, ROW())))), J1274, K1274)</f>
        <v>2025-09-17T11:08:15.083+08</v>
      </c>
      <c r="M1274" s="2">
        <v>45917.0</v>
      </c>
      <c r="N1274" s="2">
        <f t="array" ref="N1274">IF(M1274&lt;&gt;"INC", INDEX(data!M:M, MATCH(B1274, data!D:D, 0)), "")</f>
        <v>1</v>
      </c>
      <c r="O1274" s="2">
        <f t="shared" si="3"/>
        <v>1</v>
      </c>
    </row>
    <row r="1275">
      <c r="A1275" s="2" t="str">
        <f t="shared" si="1"/>
        <v>H030323</v>
      </c>
      <c r="B1275" s="1" t="s">
        <v>7778</v>
      </c>
      <c r="C1275" s="9" t="str">
        <f t="array" ref="C1275">IF(
  AND(
    IFERROR(MATCH(Caseslist!B1275, data!D:D, 0), 0) &gt; 0,
    IFERROR(INDEX(data!N:N, MATCH(Caseslist!B1275, data!D:D, 0)) = 1, FALSE)
  ),
  "COMPLETE",
  "INC"
)</f>
        <v>COMPLETE</v>
      </c>
      <c r="D1275" s="9" t="str">
        <f t="array" ref="D1275">IFERROR(INDEX(data!$G:$G,match(Caseslist!B1275,data!$D:$D,0)), "INC")</f>
        <v>H2846135</v>
      </c>
      <c r="E1275" s="9" t="str">
        <f t="array" ref="E1275">IFERROR(INDEX(data!H:H,match(Caseslist!B1275,data!D:D,0)), "INC")</f>
        <v>Annalou Empanado Encontro</v>
      </c>
      <c r="F1275" s="10" t="str">
        <f t="array" ref="F1275">IF(
    OR(
      IFNA(INDEX(data!M:M, MATCH(Caseslist!B1275, data!D:D, 0)), "") = "",
      IFNA(INDEX(data!M:M, MATCH(Caseslist!B1275, data!D:D, 0)), 0) = 0
    ),
    "COMPLETE",
    IF(
      IFNA(INDEX(dataICM!D:D, MATCH(Caseslist!B1275, dataICM!D:D, 0)), "INC") = "INC",
      IFNA(INDEX(dataICM!D:D, MATCH(Caseslist!B1275, dataICM!D:D, 0)), "INC"),
      "COMPLETE"
    )
  )</f>
        <v>COMPLETE</v>
      </c>
      <c r="G1275" s="10" t="str">
        <f t="array" ref="G1275">IF(IFERROR(INDEX(data!L:L,match(Caseslist!B1275,data!D:D,0)),"INC")="","COMPLETE",F1275)</f>
        <v>COMPLETE</v>
      </c>
      <c r="H1275" s="9" t="str">
        <f t="array" ref="H1275">IFERROR(INDEX(dataICM!F:F,match(Caseslist!B1275,dataICM!D:D,0)), "INC")</f>
        <v>Annalou Empanado Encontro</v>
      </c>
      <c r="I1275" s="10" t="str">
        <f t="shared" si="2"/>
        <v>H2846135</v>
      </c>
      <c r="J1275" s="9" t="str">
        <f t="array" ref="J1275">IF(
  AND(
    IFERROR(MATCH(B1275, data!D:D, 0), 0) &gt; 0,
    IFERROR(INDEX(data!N:N, MATCH(B1275, data!D:D, 0)) = 1, FALSE)
  ),
  INDEX(data!C:C, MATCH(B1275, data!D:D, 0)),
  "INC"
)</f>
        <v>2025-10-02T12:56:17.438+08</v>
      </c>
      <c r="K1275" s="9" t="str">
        <f t="array" ref="K1275">IFERROR(INDEX(dataICM!C:C,match(Caseslist!B1275,dataICM!D:D,0)), "INC")</f>
        <v>2025-10-02T13:02:20.957+08</v>
      </c>
      <c r="L1275" s="10" t="str">
        <f t="array" ref="L1275">IF(AND(G1275="COMPLETE", OR(K1275="INC", ISBLANK(INDEX(data!O:O, ROW())))), J1275, K1275)</f>
        <v>2025-10-02T13:02:20.957+08</v>
      </c>
      <c r="M1275" s="2">
        <v>45932.0</v>
      </c>
      <c r="N1275" s="2">
        <f t="array" ref="N1275">IF(M1275&lt;&gt;"INC", INDEX(data!M:M, MATCH(B1275, data!D:D, 0)), "")</f>
        <v>2</v>
      </c>
      <c r="O1275" s="2">
        <f t="shared" si="3"/>
        <v>2</v>
      </c>
    </row>
    <row r="1276">
      <c r="A1276" s="2" t="str">
        <f t="shared" si="1"/>
        <v>H030323</v>
      </c>
      <c r="B1276" s="1" t="s">
        <v>7488</v>
      </c>
      <c r="C1276" s="9" t="str">
        <f t="array" ref="C1276">IF(
  AND(
    IFERROR(MATCH(Caseslist!B1276, data!D:D, 0), 0) &gt; 0,
    IFERROR(INDEX(data!N:N, MATCH(Caseslist!B1276, data!D:D, 0)) = 1, FALSE)
  ),
  "COMPLETE",
  "INC"
)</f>
        <v>COMPLETE</v>
      </c>
      <c r="D1276" s="9" t="str">
        <f t="array" ref="D1276">IFERROR(INDEX(data!$G:$G,match(Caseslist!B1276,data!$D:$D,0)), "INC")</f>
        <v>H2846135</v>
      </c>
      <c r="E1276" s="9" t="str">
        <f t="array" ref="E1276">IFERROR(INDEX(data!H:H,match(Caseslist!B1276,data!D:D,0)), "INC")</f>
        <v>Annalou Empanado Encontro</v>
      </c>
      <c r="F1276" s="10" t="str">
        <f t="array" ref="F1276">IF(
    OR(
      IFNA(INDEX(data!M:M, MATCH(Caseslist!B1276, data!D:D, 0)), "") = "",
      IFNA(INDEX(data!M:M, MATCH(Caseslist!B1276, data!D:D, 0)), 0) = 0
    ),
    "COMPLETE",
    IF(
      IFNA(INDEX(dataICM!D:D, MATCH(Caseslist!B1276, dataICM!D:D, 0)), "INC") = "INC",
      IFNA(INDEX(dataICM!D:D, MATCH(Caseslist!B1276, dataICM!D:D, 0)), "INC"),
      "COMPLETE"
    )
  )</f>
        <v>COMPLETE</v>
      </c>
      <c r="G1276" s="10" t="str">
        <f t="array" ref="G1276">IF(IFERROR(INDEX(data!L:L,match(Caseslist!B1276,data!D:D,0)),"INC")="","COMPLETE",F1276)</f>
        <v>COMPLETE</v>
      </c>
      <c r="H1276" s="9" t="str">
        <f t="array" ref="H1276">IFERROR(INDEX(dataICM!F:F,match(Caseslist!B1276,dataICM!D:D,0)), "INC")</f>
        <v>Annalou Empanado Encontro</v>
      </c>
      <c r="I1276" s="10" t="str">
        <f t="shared" si="2"/>
        <v>H2846135</v>
      </c>
      <c r="J1276" s="9" t="str">
        <f t="array" ref="J1276">IF(
  AND(
    IFERROR(MATCH(B1276, data!D:D, 0), 0) &gt; 0,
    IFERROR(INDEX(data!N:N, MATCH(B1276, data!D:D, 0)) = 1, FALSE)
  ),
  INDEX(data!C:C, MATCH(B1276, data!D:D, 0)),
  "INC"
)</f>
        <v>2025-09-19T11:34:56.305+08</v>
      </c>
      <c r="K1276" s="9" t="str">
        <f t="array" ref="K1276">IFERROR(INDEX(dataICM!C:C,match(Caseslist!B1276,dataICM!D:D,0)), "INC")</f>
        <v>2025-09-19T11:48:55.031+08</v>
      </c>
      <c r="L1276" s="10" t="str">
        <f t="array" ref="L1276">IF(AND(G1276="COMPLETE", OR(K1276="INC", ISBLANK(INDEX(data!O:O, ROW())))), J1276, K1276)</f>
        <v>2025-09-19T11:48:55.031+08</v>
      </c>
      <c r="M1276" s="2">
        <v>45919.0</v>
      </c>
      <c r="N1276" s="2">
        <f t="array" ref="N1276">IF(M1276&lt;&gt;"INC", INDEX(data!M:M, MATCH(B1276, data!D:D, 0)), "")</f>
        <v>2</v>
      </c>
      <c r="O1276" s="2">
        <f t="shared" si="3"/>
        <v>2</v>
      </c>
    </row>
    <row r="1277">
      <c r="A1277" s="2" t="str">
        <f t="shared" si="1"/>
        <v>H030323</v>
      </c>
      <c r="B1277" s="1" t="s">
        <v>7448</v>
      </c>
      <c r="C1277" s="9" t="str">
        <f t="array" ref="C1277">IF(
  AND(
    IFERROR(MATCH(Caseslist!B1277, data!D:D, 0), 0) &gt; 0,
    IFERROR(INDEX(data!N:N, MATCH(Caseslist!B1277, data!D:D, 0)) = 1, FALSE)
  ),
  "COMPLETE",
  "INC"
)</f>
        <v>COMPLETE</v>
      </c>
      <c r="D1277" s="9" t="str">
        <f t="array" ref="D1277">IFERROR(INDEX(data!$G:$G,match(Caseslist!B1277,data!$D:$D,0)), "INC")</f>
        <v>G5472901</v>
      </c>
      <c r="E1277" s="9" t="str">
        <f t="array" ref="E1277">IFERROR(INDEX(data!H:H,match(Caseslist!B1277,data!D:D,0)), "INC")</f>
        <v>Wellyn Grace Alaban Parcia</v>
      </c>
      <c r="F1277" s="10" t="str">
        <f t="array" ref="F1277">IF(
    OR(
      IFNA(INDEX(data!M:M, MATCH(Caseslist!B1277, data!D:D, 0)), "") = "",
      IFNA(INDEX(data!M:M, MATCH(Caseslist!B1277, data!D:D, 0)), 0) = 0
    ),
    "COMPLETE",
    IF(
      IFNA(INDEX(dataICM!D:D, MATCH(Caseslist!B1277, dataICM!D:D, 0)), "INC") = "INC",
      IFNA(INDEX(dataICM!D:D, MATCH(Caseslist!B1277, dataICM!D:D, 0)), "INC"),
      "COMPLETE"
    )
  )</f>
        <v>COMPLETE</v>
      </c>
      <c r="G1277" s="10" t="str">
        <f t="array" ref="G1277">IF(IFERROR(INDEX(data!L:L,match(Caseslist!B1277,data!D:D,0)),"INC")="","COMPLETE",F1277)</f>
        <v>COMPLETE</v>
      </c>
      <c r="H1277" s="9" t="str">
        <f t="array" ref="H1277">IFERROR(INDEX(dataICM!F:F,match(Caseslist!B1277,dataICM!D:D,0)), "INC")</f>
        <v>Wellyn Grace Alaban Parcia</v>
      </c>
      <c r="I1277" s="10" t="str">
        <f t="shared" si="2"/>
        <v>G5472901</v>
      </c>
      <c r="J1277" s="9" t="str">
        <f t="array" ref="J1277">IF(
  AND(
    IFERROR(MATCH(B1277, data!D:D, 0), 0) &gt; 0,
    IFERROR(INDEX(data!N:N, MATCH(B1277, data!D:D, 0)) = 1, FALSE)
  ),
  INDEX(data!C:C, MATCH(B1277, data!D:D, 0)),
  "INC"
)</f>
        <v>2025-09-19T13:27:25.204+08</v>
      </c>
      <c r="K1277" s="9" t="str">
        <f t="array" ref="K1277">IFERROR(INDEX(dataICM!C:C,match(Caseslist!B1277,dataICM!D:D,0)), "INC")</f>
        <v>2025-09-19T13:47:44.804+08</v>
      </c>
      <c r="L1277" s="10" t="str">
        <f t="array" ref="L1277">IF(AND(G1277="COMPLETE", OR(K1277="INC", ISBLANK(INDEX(data!O:O, ROW())))), J1277, K1277)</f>
        <v>2025-09-19T13:47:44.804+08</v>
      </c>
      <c r="M1277" s="2">
        <v>45919.0</v>
      </c>
      <c r="N1277" s="2">
        <f t="array" ref="N1277">IF(M1277&lt;&gt;"INC", INDEX(data!M:M, MATCH(B1277, data!D:D, 0)), "")</f>
        <v>2</v>
      </c>
      <c r="O1277" s="2">
        <f t="shared" si="3"/>
        <v>2</v>
      </c>
    </row>
    <row r="1278">
      <c r="A1278" s="2" t="str">
        <f t="shared" si="1"/>
        <v>H030323</v>
      </c>
      <c r="B1278" s="1" t="s">
        <v>7783</v>
      </c>
      <c r="C1278" s="9" t="str">
        <f t="array" ref="C1278">IF(
  AND(
    IFERROR(MATCH(Caseslist!B1278, data!D:D, 0), 0) &gt; 0,
    IFERROR(INDEX(data!N:N, MATCH(Caseslist!B1278, data!D:D, 0)) = 1, FALSE)
  ),
  "COMPLETE",
  "INC"
)</f>
        <v>COMPLETE</v>
      </c>
      <c r="D1278" s="9" t="str">
        <f t="array" ref="D1278">IFERROR(INDEX(data!$G:$G,match(Caseslist!B1278,data!$D:$D,0)), "INC")</f>
        <v>G5472901</v>
      </c>
      <c r="E1278" s="9" t="str">
        <f t="array" ref="E1278">IFERROR(INDEX(data!H:H,match(Caseslist!B1278,data!D:D,0)), "INC")</f>
        <v>Wellyn Grace Alaban Parcia</v>
      </c>
      <c r="F1278" s="10" t="str">
        <f t="array" ref="F1278">IF(
    OR(
      IFNA(INDEX(data!M:M, MATCH(Caseslist!B1278, data!D:D, 0)), "") = "",
      IFNA(INDEX(data!M:M, MATCH(Caseslist!B1278, data!D:D, 0)), 0) = 0
    ),
    "COMPLETE",
    IF(
      IFNA(INDEX(dataICM!D:D, MATCH(Caseslist!B1278, dataICM!D:D, 0)), "INC") = "INC",
      IFNA(INDEX(dataICM!D:D, MATCH(Caseslist!B1278, dataICM!D:D, 0)), "INC"),
      "COMPLETE"
    )
  )</f>
        <v>COMPLETE</v>
      </c>
      <c r="G1278" s="10" t="str">
        <f t="array" ref="G1278">IF(IFERROR(INDEX(data!L:L,match(Caseslist!B1278,data!D:D,0)),"INC")="","COMPLETE",F1278)</f>
        <v>COMPLETE</v>
      </c>
      <c r="H1278" s="9" t="str">
        <f t="array" ref="H1278">IFERROR(INDEX(dataICM!F:F,match(Caseslist!B1278,dataICM!D:D,0)), "INC")</f>
        <v>Wellyn Grace Alaban Parcia</v>
      </c>
      <c r="I1278" s="10" t="str">
        <f t="shared" si="2"/>
        <v>G5472901</v>
      </c>
      <c r="J1278" s="9" t="str">
        <f t="array" ref="J1278">IF(
  AND(
    IFERROR(MATCH(B1278, data!D:D, 0), 0) &gt; 0,
    IFERROR(INDEX(data!N:N, MATCH(B1278, data!D:D, 0)) = 1, FALSE)
  ),
  INDEX(data!C:C, MATCH(B1278, data!D:D, 0)),
  "INC"
)</f>
        <v>2025-09-20T10:26:52.416+08</v>
      </c>
      <c r="K1278" s="9" t="str">
        <f t="array" ref="K1278">IFERROR(INDEX(dataICM!C:C,match(Caseslist!B1278,dataICM!D:D,0)), "INC")</f>
        <v>2025-09-20T10:33:52.935+08</v>
      </c>
      <c r="L1278" s="10" t="str">
        <f t="array" ref="L1278">IF(AND(G1278="COMPLETE", OR(K1278="INC", ISBLANK(INDEX(data!O:O, ROW())))), J1278, K1278)</f>
        <v>2025-09-20T10:33:52.935+08</v>
      </c>
      <c r="M1278" s="2">
        <v>45920.0</v>
      </c>
      <c r="N1278" s="2">
        <f t="array" ref="N1278">IF(M1278&lt;&gt;"INC", INDEX(data!M:M, MATCH(B1278, data!D:D, 0)), "")</f>
        <v>2</v>
      </c>
      <c r="O1278" s="2">
        <f t="shared" si="3"/>
        <v>2</v>
      </c>
    </row>
    <row r="1279">
      <c r="A1279" s="2" t="str">
        <f t="shared" si="1"/>
        <v>H030323</v>
      </c>
      <c r="B1279" s="1" t="s">
        <v>7463</v>
      </c>
      <c r="C1279" s="9" t="str">
        <f t="array" ref="C1279">IF(
  AND(
    IFERROR(MATCH(Caseslist!B1279, data!D:D, 0), 0) &gt; 0,
    IFERROR(INDEX(data!N:N, MATCH(Caseslist!B1279, data!D:D, 0)) = 1, FALSE)
  ),
  "COMPLETE",
  "INC"
)</f>
        <v>COMPLETE</v>
      </c>
      <c r="D1279" s="9" t="str">
        <f t="array" ref="D1279">IFERROR(INDEX(data!$G:$G,match(Caseslist!B1279,data!$D:$D,0)), "INC")</f>
        <v>F3051749</v>
      </c>
      <c r="E1279" s="9" t="str">
        <f t="array" ref="E1279">IFERROR(INDEX(data!H:H,match(Caseslist!B1279,data!D:D,0)), "INC")</f>
        <v>Elenita Gicos De La Pe�a</v>
      </c>
      <c r="F1279" s="10" t="str">
        <f t="array" ref="F1279">IF(
    OR(
      IFNA(INDEX(data!M:M, MATCH(Caseslist!B1279, data!D:D, 0)), "") = "",
      IFNA(INDEX(data!M:M, MATCH(Caseslist!B1279, data!D:D, 0)), 0) = 0
    ),
    "COMPLETE",
    IF(
      IFNA(INDEX(dataICM!D:D, MATCH(Caseslist!B1279, dataICM!D:D, 0)), "INC") = "INC",
      IFNA(INDEX(dataICM!D:D, MATCH(Caseslist!B1279, dataICM!D:D, 0)), "INC"),
      "COMPLETE"
    )
  )</f>
        <v>COMPLETE</v>
      </c>
      <c r="G1279" s="10" t="str">
        <f t="array" ref="G1279">IF(IFERROR(INDEX(data!L:L,match(Caseslist!B1279,data!D:D,0)),"INC")="","COMPLETE",F1279)</f>
        <v>COMPLETE</v>
      </c>
      <c r="H1279" s="9" t="str">
        <f t="array" ref="H1279">IFERROR(INDEX(dataICM!F:F,match(Caseslist!B1279,dataICM!D:D,0)), "INC")</f>
        <v>Elenita Gicos De La Pe�a</v>
      </c>
      <c r="I1279" s="10" t="str">
        <f t="shared" si="2"/>
        <v>F3051749</v>
      </c>
      <c r="J1279" s="9" t="str">
        <f t="array" ref="J1279">IF(
  AND(
    IFERROR(MATCH(B1279, data!D:D, 0), 0) &gt; 0,
    IFERROR(INDEX(data!N:N, MATCH(B1279, data!D:D, 0)) = 1, FALSE)
  ),
  INDEX(data!C:C, MATCH(B1279, data!D:D, 0)),
  "INC"
)</f>
        <v>2025-09-19T13:49:49.367+08</v>
      </c>
      <c r="K1279" s="9" t="str">
        <f t="array" ref="K1279">IFERROR(INDEX(dataICM!C:C,match(Caseslist!B1279,dataICM!D:D,0)), "INC")</f>
        <v>2025-09-19T13:54:33.277+08</v>
      </c>
      <c r="L1279" s="10" t="str">
        <f t="array" ref="L1279">IF(AND(G1279="COMPLETE", OR(K1279="INC", ISBLANK(INDEX(data!O:O, ROW())))), J1279, K1279)</f>
        <v>2025-09-19T13:54:33.277+08</v>
      </c>
      <c r="M1279" s="2">
        <v>45919.0</v>
      </c>
      <c r="N1279" s="2">
        <f t="array" ref="N1279">IF(M1279&lt;&gt;"INC", INDEX(data!M:M, MATCH(B1279, data!D:D, 0)), "")</f>
        <v>2</v>
      </c>
      <c r="O1279" s="2">
        <f t="shared" si="3"/>
        <v>2</v>
      </c>
    </row>
    <row r="1280">
      <c r="A1280" s="2" t="str">
        <f t="shared" si="1"/>
        <v>H030323</v>
      </c>
      <c r="B1280" s="1" t="s">
        <v>7793</v>
      </c>
      <c r="C1280" s="9" t="str">
        <f t="array" ref="C1280">IF(
  AND(
    IFERROR(MATCH(Caseslist!B1280, data!D:D, 0), 0) &gt; 0,
    IFERROR(INDEX(data!N:N, MATCH(Caseslist!B1280, data!D:D, 0)) = 1, FALSE)
  ),
  "COMPLETE",
  "INC"
)</f>
        <v>INC</v>
      </c>
      <c r="D1280" s="9" t="str">
        <f t="array" ref="D1280">IFERROR(INDEX(data!$G:$G,match(Caseslist!B1280,data!$D:$D,0)), "INC")</f>
        <v>G5472901</v>
      </c>
      <c r="E1280" s="9" t="str">
        <f t="array" ref="E1280">IFERROR(INDEX(data!H:H,match(Caseslist!B1280,data!D:D,0)), "INC")</f>
        <v>Wellyn Grace Alaban Parcia</v>
      </c>
      <c r="F1280" s="10" t="str">
        <f t="array" ref="F1280">IF(
    OR(
      IFNA(INDEX(data!M:M, MATCH(Caseslist!B1280, data!D:D, 0)), "") = "",
      IFNA(INDEX(data!M:M, MATCH(Caseslist!B1280, data!D:D, 0)), 0) = 0
    ),
    "COMPLETE",
    IF(
      IFNA(INDEX(dataICM!D:D, MATCH(Caseslist!B1280, dataICM!D:D, 0)), "INC") = "INC",
      IFNA(INDEX(dataICM!D:D, MATCH(Caseslist!B1280, dataICM!D:D, 0)), "INC"),
      "COMPLETE"
    )
  )</f>
        <v>INC</v>
      </c>
      <c r="G1280" s="10" t="str">
        <f t="array" ref="G1280">IF(IFERROR(INDEX(data!L:L,match(Caseslist!B1280,data!D:D,0)),"INC")="","COMPLETE",F1280)</f>
        <v>INC</v>
      </c>
      <c r="H1280" s="9" t="str">
        <f t="array" ref="H1280">IFERROR(INDEX(dataICM!F:F,match(Caseslist!B1280,dataICM!D:D,0)), "INC")</f>
        <v>INC</v>
      </c>
      <c r="I1280" s="10" t="str">
        <f t="shared" si="2"/>
        <v>INC</v>
      </c>
      <c r="J1280" s="9" t="str">
        <f t="array" ref="J1280">IF(
  AND(
    IFERROR(MATCH(B1280, data!D:D, 0), 0) &gt; 0,
    IFERROR(INDEX(data!N:N, MATCH(B1280, data!D:D, 0)) = 1, FALSE)
  ),
  INDEX(data!C:C, MATCH(B1280, data!D:D, 0)),
  "INC"
)</f>
        <v>INC</v>
      </c>
      <c r="K1280" s="9" t="str">
        <f t="array" ref="K1280">IFERROR(INDEX(dataICM!C:C,match(Caseslist!B1280,dataICM!D:D,0)), "INC")</f>
        <v>INC</v>
      </c>
      <c r="L1280" s="10" t="str">
        <f t="array" ref="L1280">IF(AND(G1280="COMPLETE", OR(K1280="INC", ISBLANK(INDEX(data!O:O, ROW())))), J1280, K1280)</f>
        <v>INC</v>
      </c>
      <c r="M1280" s="2" t="s">
        <v>8886</v>
      </c>
      <c r="N1280" s="2" t="str">
        <f t="array" ref="N1280">IF(M1280&lt;&gt;"INC", INDEX(data!M:M, MATCH(B1280, data!D:D, 0)), "")</f>
        <v/>
      </c>
      <c r="O1280" s="2" t="str">
        <f t="shared" si="3"/>
        <v/>
      </c>
    </row>
    <row r="1281">
      <c r="A1281" s="2" t="str">
        <f t="shared" si="1"/>
        <v>H030323</v>
      </c>
      <c r="B1281" s="1" t="s">
        <v>7788</v>
      </c>
      <c r="C1281" s="9" t="str">
        <f t="array" ref="C1281">IF(
  AND(
    IFERROR(MATCH(Caseslist!B1281, data!D:D, 0), 0) &gt; 0,
    IFERROR(INDEX(data!N:N, MATCH(Caseslist!B1281, data!D:D, 0)) = 1, FALSE)
  ),
  "COMPLETE",
  "INC"
)</f>
        <v>COMPLETE</v>
      </c>
      <c r="D1281" s="9" t="str">
        <f t="array" ref="D1281">IFERROR(INDEX(data!$G:$G,match(Caseslist!B1281,data!$D:$D,0)), "INC")</f>
        <v>G5472901</v>
      </c>
      <c r="E1281" s="9" t="str">
        <f t="array" ref="E1281">IFERROR(INDEX(data!H:H,match(Caseslist!B1281,data!D:D,0)), "INC")</f>
        <v>Wellyn Grace Alaban Parcia</v>
      </c>
      <c r="F1281" s="10" t="str">
        <f t="array" ref="F1281">IF(
    OR(
      IFNA(INDEX(data!M:M, MATCH(Caseslist!B1281, data!D:D, 0)), "") = "",
      IFNA(INDEX(data!M:M, MATCH(Caseslist!B1281, data!D:D, 0)), 0) = 0
    ),
    "COMPLETE",
    IF(
      IFNA(INDEX(dataICM!D:D, MATCH(Caseslist!B1281, dataICM!D:D, 0)), "INC") = "INC",
      IFNA(INDEX(dataICM!D:D, MATCH(Caseslist!B1281, dataICM!D:D, 0)), "INC"),
      "COMPLETE"
    )
  )</f>
        <v>COMPLETE</v>
      </c>
      <c r="G1281" s="10" t="str">
        <f t="array" ref="G1281">IF(IFERROR(INDEX(data!L:L,match(Caseslist!B1281,data!D:D,0)),"INC")="","COMPLETE",F1281)</f>
        <v>COMPLETE</v>
      </c>
      <c r="H1281" s="9" t="str">
        <f t="array" ref="H1281">IFERROR(INDEX(dataICM!F:F,match(Caseslist!B1281,dataICM!D:D,0)), "INC")</f>
        <v>Wellyn Grace Alaban Parcia</v>
      </c>
      <c r="I1281" s="10" t="str">
        <f t="shared" si="2"/>
        <v>G5472901</v>
      </c>
      <c r="J1281" s="9" t="str">
        <f t="array" ref="J1281">IF(
  AND(
    IFERROR(MATCH(B1281, data!D:D, 0), 0) &gt; 0,
    IFERROR(INDEX(data!N:N, MATCH(B1281, data!D:D, 0)) = 1, FALSE)
  ),
  INDEX(data!C:C, MATCH(B1281, data!D:D, 0)),
  "INC"
)</f>
        <v>2025-09-20T12:08:03.708+08</v>
      </c>
      <c r="K1281" s="9" t="str">
        <f t="array" ref="K1281">IFERROR(INDEX(dataICM!C:C,match(Caseslist!B1281,dataICM!D:D,0)), "INC")</f>
        <v>2025-09-20T12:14:40.553+08</v>
      </c>
      <c r="L1281" s="10" t="str">
        <f t="array" ref="L1281">IF(AND(G1281="COMPLETE", OR(K1281="INC", ISBLANK(INDEX(data!O:O, ROW())))), J1281, K1281)</f>
        <v>2025-09-20T12:14:40.553+08</v>
      </c>
      <c r="M1281" s="2">
        <v>45920.0</v>
      </c>
      <c r="N1281" s="2">
        <f t="array" ref="N1281">IF(M1281&lt;&gt;"INC", INDEX(data!M:M, MATCH(B1281, data!D:D, 0)), "")</f>
        <v>2</v>
      </c>
      <c r="O1281" s="2">
        <f t="shared" si="3"/>
        <v>2</v>
      </c>
    </row>
    <row r="1282">
      <c r="A1282" s="2" t="str">
        <f t="shared" si="1"/>
        <v>H030323</v>
      </c>
      <c r="B1282" s="1" t="s">
        <v>7813</v>
      </c>
      <c r="C1282" s="9" t="str">
        <f t="array" ref="C1282">IF(
  AND(
    IFERROR(MATCH(Caseslist!B1282, data!D:D, 0), 0) &gt; 0,
    IFERROR(INDEX(data!N:N, MATCH(Caseslist!B1282, data!D:D, 0)) = 1, FALSE)
  ),
  "COMPLETE",
  "INC"
)</f>
        <v>COMPLETE</v>
      </c>
      <c r="D1282" s="9" t="str">
        <f t="array" ref="D1282">IFERROR(INDEX(data!$G:$G,match(Caseslist!B1282,data!$D:$D,0)), "INC")</f>
        <v>F3051749</v>
      </c>
      <c r="E1282" s="9" t="str">
        <f t="array" ref="E1282">IFERROR(INDEX(data!H:H,match(Caseslist!B1282,data!D:D,0)), "INC")</f>
        <v>Elenita Gicos De La Pe�a</v>
      </c>
      <c r="F1282" s="10" t="str">
        <f t="array" ref="F1282">IF(
    OR(
      IFNA(INDEX(data!M:M, MATCH(Caseslist!B1282, data!D:D, 0)), "") = "",
      IFNA(INDEX(data!M:M, MATCH(Caseslist!B1282, data!D:D, 0)), 0) = 0
    ),
    "COMPLETE",
    IF(
      IFNA(INDEX(dataICM!D:D, MATCH(Caseslist!B1282, dataICM!D:D, 0)), "INC") = "INC",
      IFNA(INDEX(dataICM!D:D, MATCH(Caseslist!B1282, dataICM!D:D, 0)), "INC"),
      "COMPLETE"
    )
  )</f>
        <v>COMPLETE</v>
      </c>
      <c r="G1282" s="10" t="str">
        <f t="array" ref="G1282">IF(IFERROR(INDEX(data!L:L,match(Caseslist!B1282,data!D:D,0)),"INC")="","COMPLETE",F1282)</f>
        <v>COMPLETE</v>
      </c>
      <c r="H1282" s="9" t="str">
        <f t="array" ref="H1282">IFERROR(INDEX(dataICM!F:F,match(Caseslist!B1282,dataICM!D:D,0)), "INC")</f>
        <v>Elenita Gicos De La Pe�a</v>
      </c>
      <c r="I1282" s="10" t="str">
        <f t="shared" si="2"/>
        <v>F3051749</v>
      </c>
      <c r="J1282" s="9" t="str">
        <f t="array" ref="J1282">IF(
  AND(
    IFERROR(MATCH(B1282, data!D:D, 0), 0) &gt; 0,
    IFERROR(INDEX(data!N:N, MATCH(B1282, data!D:D, 0)) = 1, FALSE)
  ),
  INDEX(data!C:C, MATCH(B1282, data!D:D, 0)),
  "INC"
)</f>
        <v>2025-09-20T13:41:03.925+08</v>
      </c>
      <c r="K1282" s="9" t="str">
        <f t="array" ref="K1282">IFERROR(INDEX(dataICM!C:C,match(Caseslist!B1282,dataICM!D:D,0)), "INC")</f>
        <v>2025-09-20T13:50:59.958+08</v>
      </c>
      <c r="L1282" s="10" t="str">
        <f t="array" ref="L1282">IF(AND(G1282="COMPLETE", OR(K1282="INC", ISBLANK(INDEX(data!O:O, ROW())))), J1282, K1282)</f>
        <v>2025-09-20T13:50:59.958+08</v>
      </c>
      <c r="M1282" s="2">
        <v>45920.0</v>
      </c>
      <c r="N1282" s="2">
        <f t="array" ref="N1282">IF(M1282&lt;&gt;"INC", INDEX(data!M:M, MATCH(B1282, data!D:D, 0)), "")</f>
        <v>2</v>
      </c>
      <c r="O1282" s="2">
        <f t="shared" si="3"/>
        <v>2</v>
      </c>
    </row>
    <row r="1283">
      <c r="A1283" s="2" t="str">
        <f t="shared" si="1"/>
        <v>H030323</v>
      </c>
      <c r="B1283" s="1" t="s">
        <v>7458</v>
      </c>
      <c r="C1283" s="9" t="str">
        <f t="array" ref="C1283">IF(
  AND(
    IFERROR(MATCH(Caseslist!B1283, data!D:D, 0), 0) &gt; 0,
    IFERROR(INDEX(data!N:N, MATCH(Caseslist!B1283, data!D:D, 0)) = 1, FALSE)
  ),
  "COMPLETE",
  "INC"
)</f>
        <v>COMPLETE</v>
      </c>
      <c r="D1283" s="9" t="str">
        <f t="array" ref="D1283">IFERROR(INDEX(data!$G:$G,match(Caseslist!B1283,data!$D:$D,0)), "INC")</f>
        <v>F3051749</v>
      </c>
      <c r="E1283" s="9" t="str">
        <f t="array" ref="E1283">IFERROR(INDEX(data!H:H,match(Caseslist!B1283,data!D:D,0)), "INC")</f>
        <v>Elenita Gicos De La Pe�a</v>
      </c>
      <c r="F1283" s="10" t="str">
        <f t="array" ref="F1283">IF(
    OR(
      IFNA(INDEX(data!M:M, MATCH(Caseslist!B1283, data!D:D, 0)), "") = "",
      IFNA(INDEX(data!M:M, MATCH(Caseslist!B1283, data!D:D, 0)), 0) = 0
    ),
    "COMPLETE",
    IF(
      IFNA(INDEX(dataICM!D:D, MATCH(Caseslist!B1283, dataICM!D:D, 0)), "INC") = "INC",
      IFNA(INDEX(dataICM!D:D, MATCH(Caseslist!B1283, dataICM!D:D, 0)), "INC"),
      "COMPLETE"
    )
  )</f>
        <v>COMPLETE</v>
      </c>
      <c r="G1283" s="10" t="str">
        <f t="array" ref="G1283">IF(IFERROR(INDEX(data!L:L,match(Caseslist!B1283,data!D:D,0)),"INC")="","COMPLETE",F1283)</f>
        <v>COMPLETE</v>
      </c>
      <c r="H1283" s="9" t="str">
        <f t="array" ref="H1283">IFERROR(INDEX(dataICM!F:F,match(Caseslist!B1283,dataICM!D:D,0)), "INC")</f>
        <v>Elenita Gicos De La Pe�a</v>
      </c>
      <c r="I1283" s="10" t="str">
        <f t="shared" si="2"/>
        <v>F3051749</v>
      </c>
      <c r="J1283" s="9" t="str">
        <f t="array" ref="J1283">IF(
  AND(
    IFERROR(MATCH(B1283, data!D:D, 0), 0) &gt; 0,
    IFERROR(INDEX(data!N:N, MATCH(B1283, data!D:D, 0)) = 1, FALSE)
  ),
  INDEX(data!C:C, MATCH(B1283, data!D:D, 0)),
  "INC"
)</f>
        <v>2025-09-19T12:02:09.258+08</v>
      </c>
      <c r="K1283" s="9" t="str">
        <f t="array" ref="K1283">IFERROR(INDEX(dataICM!C:C,match(Caseslist!B1283,dataICM!D:D,0)), "INC")</f>
        <v>2025-09-19T12:07:36.994+08</v>
      </c>
      <c r="L1283" s="10" t="str">
        <f t="array" ref="L1283">IF(AND(G1283="COMPLETE", OR(K1283="INC", ISBLANK(INDEX(data!O:O, ROW())))), J1283, K1283)</f>
        <v>2025-09-19T12:07:36.994+08</v>
      </c>
      <c r="M1283" s="2">
        <v>45919.0</v>
      </c>
      <c r="N1283" s="2">
        <f t="array" ref="N1283">IF(M1283&lt;&gt;"INC", INDEX(data!M:M, MATCH(B1283, data!D:D, 0)), "")</f>
        <v>2</v>
      </c>
      <c r="O1283" s="2">
        <f t="shared" si="3"/>
        <v>2</v>
      </c>
    </row>
    <row r="1284">
      <c r="A1284" s="2" t="str">
        <f t="shared" si="1"/>
        <v>H030323</v>
      </c>
      <c r="B1284" s="1" t="s">
        <v>7453</v>
      </c>
      <c r="C1284" s="9" t="str">
        <f t="array" ref="C1284">IF(
  AND(
    IFERROR(MATCH(Caseslist!B1284, data!D:D, 0), 0) &gt; 0,
    IFERROR(INDEX(data!N:N, MATCH(Caseslist!B1284, data!D:D, 0)) = 1, FALSE)
  ),
  "COMPLETE",
  "INC"
)</f>
        <v>COMPLETE</v>
      </c>
      <c r="D1284" s="9" t="str">
        <f t="array" ref="D1284">IFERROR(INDEX(data!$G:$G,match(Caseslist!B1284,data!$D:$D,0)), "INC")</f>
        <v>G5472901</v>
      </c>
      <c r="E1284" s="9" t="str">
        <f t="array" ref="E1284">IFERROR(INDEX(data!H:H,match(Caseslist!B1284,data!D:D,0)), "INC")</f>
        <v>Wellyn Grace Alaban Parcia</v>
      </c>
      <c r="F1284" s="10" t="str">
        <f t="array" ref="F1284">IF(
    OR(
      IFNA(INDEX(data!M:M, MATCH(Caseslist!B1284, data!D:D, 0)), "") = "",
      IFNA(INDEX(data!M:M, MATCH(Caseslist!B1284, data!D:D, 0)), 0) = 0
    ),
    "COMPLETE",
    IF(
      IFNA(INDEX(dataICM!D:D, MATCH(Caseslist!B1284, dataICM!D:D, 0)), "INC") = "INC",
      IFNA(INDEX(dataICM!D:D, MATCH(Caseslist!B1284, dataICM!D:D, 0)), "INC"),
      "COMPLETE"
    )
  )</f>
        <v>COMPLETE</v>
      </c>
      <c r="G1284" s="10" t="str">
        <f t="array" ref="G1284">IF(IFERROR(INDEX(data!L:L,match(Caseslist!B1284,data!D:D,0)),"INC")="","COMPLETE",F1284)</f>
        <v>COMPLETE</v>
      </c>
      <c r="H1284" s="9" t="str">
        <f t="array" ref="H1284">IFERROR(INDEX(dataICM!F:F,match(Caseslist!B1284,dataICM!D:D,0)), "INC")</f>
        <v>Wellyn Grace Alaban Parcia</v>
      </c>
      <c r="I1284" s="10" t="str">
        <f t="shared" si="2"/>
        <v>G5472901</v>
      </c>
      <c r="J1284" s="9" t="str">
        <f t="array" ref="J1284">IF(
  AND(
    IFERROR(MATCH(B1284, data!D:D, 0), 0) &gt; 0,
    IFERROR(INDEX(data!N:N, MATCH(B1284, data!D:D, 0)) = 1, FALSE)
  ),
  INDEX(data!C:C, MATCH(B1284, data!D:D, 0)),
  "INC"
)</f>
        <v>2025-09-19T11:14:35.280+08</v>
      </c>
      <c r="K1284" s="9" t="str">
        <f t="array" ref="K1284">IFERROR(INDEX(dataICM!C:C,match(Caseslist!B1284,dataICM!D:D,0)), "INC")</f>
        <v>2025-09-19T11:31:55.661+08</v>
      </c>
      <c r="L1284" s="10" t="str">
        <f t="array" ref="L1284">IF(AND(G1284="COMPLETE", OR(K1284="INC", ISBLANK(INDEX(data!O:O, ROW())))), J1284, K1284)</f>
        <v>2025-09-19T11:31:55.661+08</v>
      </c>
      <c r="M1284" s="2">
        <v>45919.0</v>
      </c>
      <c r="N1284" s="2">
        <f t="array" ref="N1284">IF(M1284&lt;&gt;"INC", INDEX(data!M:M, MATCH(B1284, data!D:D, 0)), "")</f>
        <v>2</v>
      </c>
      <c r="O1284" s="2">
        <f t="shared" si="3"/>
        <v>2</v>
      </c>
    </row>
    <row r="1285">
      <c r="A1285" s="2" t="str">
        <f t="shared" si="1"/>
        <v>H030323</v>
      </c>
      <c r="B1285" s="1" t="s">
        <v>7808</v>
      </c>
      <c r="C1285" s="9" t="str">
        <f t="array" ref="C1285">IF(
  AND(
    IFERROR(MATCH(Caseslist!B1285, data!D:D, 0), 0) &gt; 0,
    IFERROR(INDEX(data!N:N, MATCH(Caseslist!B1285, data!D:D, 0)) = 1, FALSE)
  ),
  "COMPLETE",
  "INC"
)</f>
        <v>COMPLETE</v>
      </c>
      <c r="D1285" s="9" t="str">
        <f t="array" ref="D1285">IFERROR(INDEX(data!$G:$G,match(Caseslist!B1285,data!$D:$D,0)), "INC")</f>
        <v>F3051749</v>
      </c>
      <c r="E1285" s="9" t="str">
        <f t="array" ref="E1285">IFERROR(INDEX(data!H:H,match(Caseslist!B1285,data!D:D,0)), "INC")</f>
        <v>Elenita Gicos De La Pe�a</v>
      </c>
      <c r="F1285" s="10" t="str">
        <f t="array" ref="F1285">IF(
    OR(
      IFNA(INDEX(data!M:M, MATCH(Caseslist!B1285, data!D:D, 0)), "") = "",
      IFNA(INDEX(data!M:M, MATCH(Caseslist!B1285, data!D:D, 0)), 0) = 0
    ),
    "COMPLETE",
    IF(
      IFNA(INDEX(dataICM!D:D, MATCH(Caseslist!B1285, dataICM!D:D, 0)), "INC") = "INC",
      IFNA(INDEX(dataICM!D:D, MATCH(Caseslist!B1285, dataICM!D:D, 0)), "INC"),
      "COMPLETE"
    )
  )</f>
        <v>COMPLETE</v>
      </c>
      <c r="G1285" s="10" t="str">
        <f t="array" ref="G1285">IF(IFERROR(INDEX(data!L:L,match(Caseslist!B1285,data!D:D,0)),"INC")="","COMPLETE",F1285)</f>
        <v>COMPLETE</v>
      </c>
      <c r="H1285" s="9" t="str">
        <f t="array" ref="H1285">IFERROR(INDEX(dataICM!F:F,match(Caseslist!B1285,dataICM!D:D,0)), "INC")</f>
        <v>Elenita Gicos De La Pe�a</v>
      </c>
      <c r="I1285" s="10" t="str">
        <f t="shared" si="2"/>
        <v>F3051749</v>
      </c>
      <c r="J1285" s="9" t="str">
        <f t="array" ref="J1285">IF(
  AND(
    IFERROR(MATCH(B1285, data!D:D, 0), 0) &gt; 0,
    IFERROR(INDEX(data!N:N, MATCH(B1285, data!D:D, 0)) = 1, FALSE)
  ),
  INDEX(data!C:C, MATCH(B1285, data!D:D, 0)),
  "INC"
)</f>
        <v>2025-09-20T11:46:26.491+08</v>
      </c>
      <c r="K1285" s="9" t="str">
        <f t="array" ref="K1285">IFERROR(INDEX(dataICM!C:C,match(Caseslist!B1285,dataICM!D:D,0)), "INC")</f>
        <v>2025-09-20T11:58:11.569+08</v>
      </c>
      <c r="L1285" s="10" t="str">
        <f t="array" ref="L1285">IF(AND(G1285="COMPLETE", OR(K1285="INC", ISBLANK(INDEX(data!O:O, ROW())))), J1285, K1285)</f>
        <v>2025-09-20T11:58:11.569+08</v>
      </c>
      <c r="M1285" s="2">
        <v>45920.0</v>
      </c>
      <c r="N1285" s="2">
        <f t="array" ref="N1285">IF(M1285&lt;&gt;"INC", INDEX(data!M:M, MATCH(B1285, data!D:D, 0)), "")</f>
        <v>2</v>
      </c>
      <c r="O1285" s="2">
        <f t="shared" si="3"/>
        <v>2</v>
      </c>
    </row>
    <row r="1286">
      <c r="A1286" s="2" t="str">
        <f t="shared" si="1"/>
        <v>H030323</v>
      </c>
      <c r="B1286" s="1" t="s">
        <v>7498</v>
      </c>
      <c r="C1286" s="9" t="str">
        <f t="array" ref="C1286">IF(
  AND(
    IFERROR(MATCH(Caseslist!B1286, data!D:D, 0), 0) &gt; 0,
    IFERROR(INDEX(data!N:N, MATCH(Caseslist!B1286, data!D:D, 0)) = 1, FALSE)
  ),
  "COMPLETE",
  "INC"
)</f>
        <v>COMPLETE</v>
      </c>
      <c r="D1286" s="9" t="str">
        <f t="array" ref="D1286">IFERROR(INDEX(data!$G:$G,match(Caseslist!B1286,data!$D:$D,0)), "INC")</f>
        <v>H2846135</v>
      </c>
      <c r="E1286" s="9" t="str">
        <f t="array" ref="E1286">IFERROR(INDEX(data!H:H,match(Caseslist!B1286,data!D:D,0)), "INC")</f>
        <v>Annalou Empanado Encontro</v>
      </c>
      <c r="F1286" s="10" t="str">
        <f t="array" ref="F1286">IF(
    OR(
      IFNA(INDEX(data!M:M, MATCH(Caseslist!B1286, data!D:D, 0)), "") = "",
      IFNA(INDEX(data!M:M, MATCH(Caseslist!B1286, data!D:D, 0)), 0) = 0
    ),
    "COMPLETE",
    IF(
      IFNA(INDEX(dataICM!D:D, MATCH(Caseslist!B1286, dataICM!D:D, 0)), "INC") = "INC",
      IFNA(INDEX(dataICM!D:D, MATCH(Caseslist!B1286, dataICM!D:D, 0)), "INC"),
      "COMPLETE"
    )
  )</f>
        <v>COMPLETE</v>
      </c>
      <c r="G1286" s="10" t="str">
        <f t="array" ref="G1286">IF(IFERROR(INDEX(data!L:L,match(Caseslist!B1286,data!D:D,0)),"INC")="","COMPLETE",F1286)</f>
        <v>COMPLETE</v>
      </c>
      <c r="H1286" s="9" t="str">
        <f t="array" ref="H1286">IFERROR(INDEX(dataICM!F:F,match(Caseslist!B1286,dataICM!D:D,0)), "INC")</f>
        <v>Annalou Empanado Encontro</v>
      </c>
      <c r="I1286" s="10" t="str">
        <f t="shared" si="2"/>
        <v>H2846135</v>
      </c>
      <c r="J1286" s="9" t="str">
        <f t="array" ref="J1286">IF(
  AND(
    IFERROR(MATCH(B1286, data!D:D, 0), 0) &gt; 0,
    IFERROR(INDEX(data!N:N, MATCH(B1286, data!D:D, 0)) = 1, FALSE)
  ),
  INDEX(data!C:C, MATCH(B1286, data!D:D, 0)),
  "INC"
)</f>
        <v>2025-09-19T14:07:50.128+08</v>
      </c>
      <c r="K1286" s="9" t="str">
        <f t="array" ref="K1286">IFERROR(INDEX(dataICM!C:C,match(Caseslist!B1286,dataICM!D:D,0)), "INC")</f>
        <v>2025-09-19T14:13:30.689+08</v>
      </c>
      <c r="L1286" s="10" t="str">
        <f t="array" ref="L1286">IF(AND(G1286="COMPLETE", OR(K1286="INC", ISBLANK(INDEX(data!O:O, ROW())))), J1286, K1286)</f>
        <v>2025-09-19T14:13:30.689+08</v>
      </c>
      <c r="M1286" s="2">
        <v>45919.0</v>
      </c>
      <c r="N1286" s="2">
        <f t="array" ref="N1286">IF(M1286&lt;&gt;"INC", INDEX(data!M:M, MATCH(B1286, data!D:D, 0)), "")</f>
        <v>2</v>
      </c>
      <c r="O1286" s="2">
        <f t="shared" si="3"/>
        <v>2</v>
      </c>
    </row>
    <row r="1287">
      <c r="A1287" s="2" t="str">
        <f t="shared" si="1"/>
        <v>H030323</v>
      </c>
      <c r="B1287" s="1" t="s">
        <v>7493</v>
      </c>
      <c r="C1287" s="9" t="str">
        <f t="array" ref="C1287">IF(
  AND(
    IFERROR(MATCH(Caseslist!B1287, data!D:D, 0), 0) &gt; 0,
    IFERROR(INDEX(data!N:N, MATCH(Caseslist!B1287, data!D:D, 0)) = 1, FALSE)
  ),
  "COMPLETE",
  "INC"
)</f>
        <v>COMPLETE</v>
      </c>
      <c r="D1287" s="9" t="str">
        <f t="array" ref="D1287">IFERROR(INDEX(data!$G:$G,match(Caseslist!B1287,data!$D:$D,0)), "INC")</f>
        <v>H2846135</v>
      </c>
      <c r="E1287" s="9" t="str">
        <f t="array" ref="E1287">IFERROR(INDEX(data!H:H,match(Caseslist!B1287,data!D:D,0)), "INC")</f>
        <v>Annalou Empanado Encontro</v>
      </c>
      <c r="F1287" s="10" t="str">
        <f t="array" ref="F1287">IF(
    OR(
      IFNA(INDEX(data!M:M, MATCH(Caseslist!B1287, data!D:D, 0)), "") = "",
      IFNA(INDEX(data!M:M, MATCH(Caseslist!B1287, data!D:D, 0)), 0) = 0
    ),
    "COMPLETE",
    IF(
      IFNA(INDEX(dataICM!D:D, MATCH(Caseslist!B1287, dataICM!D:D, 0)), "INC") = "INC",
      IFNA(INDEX(dataICM!D:D, MATCH(Caseslist!B1287, dataICM!D:D, 0)), "INC"),
      "COMPLETE"
    )
  )</f>
        <v>COMPLETE</v>
      </c>
      <c r="G1287" s="10" t="str">
        <f t="array" ref="G1287">IF(IFERROR(INDEX(data!L:L,match(Caseslist!B1287,data!D:D,0)),"INC")="","COMPLETE",F1287)</f>
        <v>COMPLETE</v>
      </c>
      <c r="H1287" s="9" t="str">
        <f t="array" ref="H1287">IFERROR(INDEX(dataICM!F:F,match(Caseslist!B1287,dataICM!D:D,0)), "INC")</f>
        <v>Annalou Empanado Encontro</v>
      </c>
      <c r="I1287" s="10" t="str">
        <f t="shared" si="2"/>
        <v>H2846135</v>
      </c>
      <c r="J1287" s="9" t="str">
        <f t="array" ref="J1287">IF(
  AND(
    IFERROR(MATCH(B1287, data!D:D, 0), 0) &gt; 0,
    IFERROR(INDEX(data!N:N, MATCH(B1287, data!D:D, 0)) = 1, FALSE)
  ),
  INDEX(data!C:C, MATCH(B1287, data!D:D, 0)),
  "INC"
)</f>
        <v>2025-09-20T12:23:49.273+08</v>
      </c>
      <c r="K1287" s="9" t="str">
        <f t="array" ref="K1287">IFERROR(INDEX(dataICM!C:C,match(Caseslist!B1287,dataICM!D:D,0)), "INC")</f>
        <v>2025-09-20T12:28:55.780+08</v>
      </c>
      <c r="L1287" s="10" t="str">
        <f t="array" ref="L1287">IF(AND(G1287="COMPLETE", OR(K1287="INC", ISBLANK(INDEX(data!O:O, ROW())))), J1287, K1287)</f>
        <v>2025-09-20T12:28:55.780+08</v>
      </c>
      <c r="M1287" s="2">
        <v>45920.0</v>
      </c>
      <c r="N1287" s="2">
        <f t="array" ref="N1287">IF(M1287&lt;&gt;"INC", INDEX(data!M:M, MATCH(B1287, data!D:D, 0)), "")</f>
        <v>2</v>
      </c>
      <c r="O1287" s="2">
        <f t="shared" si="3"/>
        <v>2</v>
      </c>
    </row>
    <row r="1288">
      <c r="A1288" s="2" t="str">
        <f t="shared" si="1"/>
        <v>H030323</v>
      </c>
      <c r="B1288" s="1" t="s">
        <v>7503</v>
      </c>
      <c r="C1288" s="9" t="str">
        <f t="array" ref="C1288">IF(
  AND(
    IFERROR(MATCH(Caseslist!B1288, data!D:D, 0), 0) &gt; 0,
    IFERROR(INDEX(data!N:N, MATCH(Caseslist!B1288, data!D:D, 0)) = 1, FALSE)
  ),
  "COMPLETE",
  "INC"
)</f>
        <v>COMPLETE</v>
      </c>
      <c r="D1288" s="9" t="str">
        <f t="array" ref="D1288">IFERROR(INDEX(data!$G:$G,match(Caseslist!B1288,data!$D:$D,0)), "INC")</f>
        <v>H2846135</v>
      </c>
      <c r="E1288" s="9" t="str">
        <f t="array" ref="E1288">IFERROR(INDEX(data!H:H,match(Caseslist!B1288,data!D:D,0)), "INC")</f>
        <v>Annalou Empanado Encontro</v>
      </c>
      <c r="F1288" s="10" t="str">
        <f t="array" ref="F1288">IF(
    OR(
      IFNA(INDEX(data!M:M, MATCH(Caseslist!B1288, data!D:D, 0)), "") = "",
      IFNA(INDEX(data!M:M, MATCH(Caseslist!B1288, data!D:D, 0)), 0) = 0
    ),
    "COMPLETE",
    IF(
      IFNA(INDEX(dataICM!D:D, MATCH(Caseslist!B1288, dataICM!D:D, 0)), "INC") = "INC",
      IFNA(INDEX(dataICM!D:D, MATCH(Caseslist!B1288, dataICM!D:D, 0)), "INC"),
      "COMPLETE"
    )
  )</f>
        <v>COMPLETE</v>
      </c>
      <c r="G1288" s="10" t="str">
        <f t="array" ref="G1288">IF(IFERROR(INDEX(data!L:L,match(Caseslist!B1288,data!D:D,0)),"INC")="","COMPLETE",F1288)</f>
        <v>COMPLETE</v>
      </c>
      <c r="H1288" s="9" t="str">
        <f t="array" ref="H1288">IFERROR(INDEX(dataICM!F:F,match(Caseslist!B1288,dataICM!D:D,0)), "INC")</f>
        <v>Annalou Empanado Encontro</v>
      </c>
      <c r="I1288" s="10" t="str">
        <f t="shared" si="2"/>
        <v>H2846135</v>
      </c>
      <c r="J1288" s="9" t="str">
        <f t="array" ref="J1288">IF(
  AND(
    IFERROR(MATCH(B1288, data!D:D, 0), 0) &gt; 0,
    IFERROR(INDEX(data!N:N, MATCH(B1288, data!D:D, 0)) = 1, FALSE)
  ),
  INDEX(data!C:C, MATCH(B1288, data!D:D, 0)),
  "INC"
)</f>
        <v>2025-09-20T10:03:46.812+08</v>
      </c>
      <c r="K1288" s="9" t="str">
        <f t="array" ref="K1288">IFERROR(INDEX(dataICM!C:C,match(Caseslist!B1288,dataICM!D:D,0)), "INC")</f>
        <v>2025-09-20T10:09:47.879+08</v>
      </c>
      <c r="L1288" s="10" t="str">
        <f t="array" ref="L1288">IF(AND(G1288="COMPLETE", OR(K1288="INC", ISBLANK(INDEX(data!O:O, ROW())))), J1288, K1288)</f>
        <v>2025-09-20T10:09:47.879+08</v>
      </c>
      <c r="M1288" s="2">
        <v>45920.0</v>
      </c>
      <c r="N1288" s="2">
        <f t="array" ref="N1288">IF(M1288&lt;&gt;"INC", INDEX(data!M:M, MATCH(B1288, data!D:D, 0)), "")</f>
        <v>2</v>
      </c>
      <c r="O1288" s="2">
        <f t="shared" si="3"/>
        <v>2</v>
      </c>
    </row>
    <row r="1289">
      <c r="A1289" s="2" t="str">
        <f t="shared" si="1"/>
        <v>H030326</v>
      </c>
      <c r="B1289" s="1" t="s">
        <v>1482</v>
      </c>
      <c r="C1289" s="9" t="str">
        <f t="array" ref="C1289">IF(
  AND(
    IFERROR(MATCH(Caseslist!B1289, data!D:D, 0), 0) &gt; 0,
    IFERROR(INDEX(data!N:N, MATCH(Caseslist!B1289, data!D:D, 0)) = 1, FALSE)
  ),
  "COMPLETE",
  "INC"
)</f>
        <v>COMPLETE</v>
      </c>
      <c r="D1289" s="9" t="str">
        <f t="array" ref="D1289">IFERROR(INDEX(data!$G:$G,match(Caseslist!B1289,data!$D:$D,0)), "INC")</f>
        <v>F3051749</v>
      </c>
      <c r="E1289" s="9" t="str">
        <f t="array" ref="E1289">IFERROR(INDEX(data!H:H,match(Caseslist!B1289,data!D:D,0)), "INC")</f>
        <v>Elenita Gicos De La Pe�a</v>
      </c>
      <c r="F1289" s="10" t="str">
        <f t="array" ref="F1289">IF(
    OR(
      IFNA(INDEX(data!M:M, MATCH(Caseslist!B1289, data!D:D, 0)), "") = "",
      IFNA(INDEX(data!M:M, MATCH(Caseslist!B1289, data!D:D, 0)), 0) = 0
    ),
    "COMPLETE",
    IF(
      IFNA(INDEX(dataICM!D:D, MATCH(Caseslist!B1289, dataICM!D:D, 0)), "INC") = "INC",
      IFNA(INDEX(dataICM!D:D, MATCH(Caseslist!B1289, dataICM!D:D, 0)), "INC"),
      "COMPLETE"
    )
  )</f>
        <v>COMPLETE</v>
      </c>
      <c r="G1289" s="10" t="str">
        <f t="array" ref="G1289">IF(IFERROR(INDEX(data!L:L,match(Caseslist!B1289,data!D:D,0)),"INC")="","COMPLETE",F1289)</f>
        <v>COMPLETE</v>
      </c>
      <c r="H1289" s="9" t="str">
        <f t="array" ref="H1289">IFERROR(INDEX(dataICM!F:F,match(Caseslist!B1289,dataICM!D:D,0)), "INC")</f>
        <v>INC</v>
      </c>
      <c r="I1289" s="10" t="str">
        <f t="shared" si="2"/>
        <v>F3051749</v>
      </c>
      <c r="J1289" s="9" t="str">
        <f t="array" ref="J1289">IF(
  AND(
    IFERROR(MATCH(B1289, data!D:D, 0), 0) &gt; 0,
    IFERROR(INDEX(data!N:N, MATCH(B1289, data!D:D, 0)) = 1, FALSE)
  ),
  INDEX(data!C:C, MATCH(B1289, data!D:D, 0)),
  "INC"
)</f>
        <v>2025-08-30T13:10:47.533+08</v>
      </c>
      <c r="K1289" s="9" t="str">
        <f t="array" ref="K1289">IFERROR(INDEX(dataICM!C:C,match(Caseslist!B1289,dataICM!D:D,0)), "INC")</f>
        <v>INC</v>
      </c>
      <c r="L1289" s="10" t="str">
        <f t="array" ref="L1289">IF(AND(G1289="COMPLETE", OR(K1289="INC", ISBLANK(INDEX(data!O:O, ROW())))), J1289, K1289)</f>
        <v>2025-08-30T13:10:47.533+08</v>
      </c>
      <c r="M1289" s="2">
        <v>45899.0</v>
      </c>
      <c r="N1289" s="2">
        <f t="array" ref="N1289">IF(M1289&lt;&gt;"INC", INDEX(data!M:M, MATCH(B1289, data!D:D, 0)), "")</f>
        <v>0</v>
      </c>
      <c r="O1289" s="2">
        <f t="shared" si="3"/>
        <v>0</v>
      </c>
    </row>
    <row r="1290">
      <c r="A1290" s="2" t="str">
        <f t="shared" si="1"/>
        <v>H030326</v>
      </c>
      <c r="B1290" s="1" t="s">
        <v>1587</v>
      </c>
      <c r="C1290" s="9" t="str">
        <f t="array" ref="C1290">IF(
  AND(
    IFERROR(MATCH(Caseslist!B1290, data!D:D, 0), 0) &gt; 0,
    IFERROR(INDEX(data!N:N, MATCH(Caseslist!B1290, data!D:D, 0)) = 1, FALSE)
  ),
  "COMPLETE",
  "INC"
)</f>
        <v>COMPLETE</v>
      </c>
      <c r="D1290" s="9" t="str">
        <f t="array" ref="D1290">IFERROR(INDEX(data!$G:$G,match(Caseslist!B1290,data!$D:$D,0)), "INC")</f>
        <v>F3051749</v>
      </c>
      <c r="E1290" s="9" t="str">
        <f t="array" ref="E1290">IFERROR(INDEX(data!H:H,match(Caseslist!B1290,data!D:D,0)), "INC")</f>
        <v>Elenita Gicos De La Pe�a</v>
      </c>
      <c r="F1290" s="10" t="str">
        <f t="array" ref="F1290">IF(
    OR(
      IFNA(INDEX(data!M:M, MATCH(Caseslist!B1290, data!D:D, 0)), "") = "",
      IFNA(INDEX(data!M:M, MATCH(Caseslist!B1290, data!D:D, 0)), 0) = 0
    ),
    "COMPLETE",
    IF(
      IFNA(INDEX(dataICM!D:D, MATCH(Caseslist!B1290, dataICM!D:D, 0)), "INC") = "INC",
      IFNA(INDEX(dataICM!D:D, MATCH(Caseslist!B1290, dataICM!D:D, 0)), "INC"),
      "COMPLETE"
    )
  )</f>
        <v>COMPLETE</v>
      </c>
      <c r="G1290" s="10" t="str">
        <f t="array" ref="G1290">IF(IFERROR(INDEX(data!L:L,match(Caseslist!B1290,data!D:D,0)),"INC")="","COMPLETE",F1290)</f>
        <v>COMPLETE</v>
      </c>
      <c r="H1290" s="9" t="str">
        <f t="array" ref="H1290">IFERROR(INDEX(dataICM!F:F,match(Caseslist!B1290,dataICM!D:D,0)), "INC")</f>
        <v>INC</v>
      </c>
      <c r="I1290" s="10" t="str">
        <f t="shared" si="2"/>
        <v>F3051749</v>
      </c>
      <c r="J1290" s="9" t="str">
        <f t="array" ref="J1290">IF(
  AND(
    IFERROR(MATCH(B1290, data!D:D, 0), 0) &gt; 0,
    IFERROR(INDEX(data!N:N, MATCH(B1290, data!D:D, 0)) = 1, FALSE)
  ),
  INDEX(data!C:C, MATCH(B1290, data!D:D, 0)),
  "INC"
)</f>
        <v>2025-08-29T16:03:28.106+08</v>
      </c>
      <c r="K1290" s="9" t="str">
        <f t="array" ref="K1290">IFERROR(INDEX(dataICM!C:C,match(Caseslist!B1290,dataICM!D:D,0)), "INC")</f>
        <v>INC</v>
      </c>
      <c r="L1290" s="10" t="str">
        <f t="array" ref="L1290">IF(AND(G1290="COMPLETE", OR(K1290="INC", ISBLANK(INDEX(data!O:O, ROW())))), J1290, K1290)</f>
        <v>2025-08-29T16:03:28.106+08</v>
      </c>
      <c r="M1290" s="2">
        <v>45898.0</v>
      </c>
      <c r="N1290" s="2">
        <f t="array" ref="N1290">IF(M1290&lt;&gt;"INC", INDEX(data!M:M, MATCH(B1290, data!D:D, 0)), "")</f>
        <v>0</v>
      </c>
      <c r="O1290" s="2">
        <f t="shared" si="3"/>
        <v>0</v>
      </c>
    </row>
    <row r="1291">
      <c r="A1291" s="2" t="str">
        <f t="shared" si="1"/>
        <v>H030326</v>
      </c>
      <c r="B1291" s="1" t="s">
        <v>1597</v>
      </c>
      <c r="C1291" s="9" t="str">
        <f t="array" ref="C1291">IF(
  AND(
    IFERROR(MATCH(Caseslist!B1291, data!D:D, 0), 0) &gt; 0,
    IFERROR(INDEX(data!N:N, MATCH(Caseslist!B1291, data!D:D, 0)) = 1, FALSE)
  ),
  "COMPLETE",
  "INC"
)</f>
        <v>COMPLETE</v>
      </c>
      <c r="D1291" s="9" t="str">
        <f t="array" ref="D1291">IFERROR(INDEX(data!$G:$G,match(Caseslist!B1291,data!$D:$D,0)), "INC")</f>
        <v>F3051749</v>
      </c>
      <c r="E1291" s="9" t="str">
        <f t="array" ref="E1291">IFERROR(INDEX(data!H:H,match(Caseslist!B1291,data!D:D,0)), "INC")</f>
        <v>Elenita Gicos De La Pe�a</v>
      </c>
      <c r="F1291" s="10" t="str">
        <f t="array" ref="F1291">IF(
    OR(
      IFNA(INDEX(data!M:M, MATCH(Caseslist!B1291, data!D:D, 0)), "") = "",
      IFNA(INDEX(data!M:M, MATCH(Caseslist!B1291, data!D:D, 0)), 0) = 0
    ),
    "COMPLETE",
    IF(
      IFNA(INDEX(dataICM!D:D, MATCH(Caseslist!B1291, dataICM!D:D, 0)), "INC") = "INC",
      IFNA(INDEX(dataICM!D:D, MATCH(Caseslist!B1291, dataICM!D:D, 0)), "INC"),
      "COMPLETE"
    )
  )</f>
        <v>COMPLETE</v>
      </c>
      <c r="G1291" s="10" t="str">
        <f t="array" ref="G1291">IF(IFERROR(INDEX(data!L:L,match(Caseslist!B1291,data!D:D,0)),"INC")="","COMPLETE",F1291)</f>
        <v>COMPLETE</v>
      </c>
      <c r="H1291" s="9" t="str">
        <f t="array" ref="H1291">IFERROR(INDEX(dataICM!F:F,match(Caseslist!B1291,dataICM!D:D,0)), "INC")</f>
        <v>INC</v>
      </c>
      <c r="I1291" s="10" t="str">
        <f t="shared" si="2"/>
        <v>F3051749</v>
      </c>
      <c r="J1291" s="9" t="str">
        <f t="array" ref="J1291">IF(
  AND(
    IFERROR(MATCH(B1291, data!D:D, 0), 0) &gt; 0,
    IFERROR(INDEX(data!N:N, MATCH(B1291, data!D:D, 0)) = 1, FALSE)
  ),
  INDEX(data!C:C, MATCH(B1291, data!D:D, 0)),
  "INC"
)</f>
        <v>2025-08-30T10:35:02.327+08</v>
      </c>
      <c r="K1291" s="9" t="str">
        <f t="array" ref="K1291">IFERROR(INDEX(dataICM!C:C,match(Caseslist!B1291,dataICM!D:D,0)), "INC")</f>
        <v>INC</v>
      </c>
      <c r="L1291" s="10" t="str">
        <f t="array" ref="L1291">IF(AND(G1291="COMPLETE", OR(K1291="INC", ISBLANK(INDEX(data!O:O, ROW())))), J1291, K1291)</f>
        <v>2025-08-30T10:35:02.327+08</v>
      </c>
      <c r="M1291" s="2">
        <v>45899.0</v>
      </c>
      <c r="N1291" s="2">
        <f t="array" ref="N1291">IF(M1291&lt;&gt;"INC", INDEX(data!M:M, MATCH(B1291, data!D:D, 0)), "")</f>
        <v>0</v>
      </c>
      <c r="O1291" s="2">
        <f t="shared" si="3"/>
        <v>0</v>
      </c>
    </row>
    <row r="1292">
      <c r="A1292" s="2" t="str">
        <f t="shared" si="1"/>
        <v>H030326</v>
      </c>
      <c r="B1292" s="1" t="s">
        <v>1577</v>
      </c>
      <c r="C1292" s="9" t="str">
        <f t="array" ref="C1292">IF(
  AND(
    IFERROR(MATCH(Caseslist!B1292, data!D:D, 0), 0) &gt; 0,
    IFERROR(INDEX(data!N:N, MATCH(Caseslist!B1292, data!D:D, 0)) = 1, FALSE)
  ),
  "COMPLETE",
  "INC"
)</f>
        <v>COMPLETE</v>
      </c>
      <c r="D1292" s="9" t="str">
        <f t="array" ref="D1292">IFERROR(INDEX(data!$G:$G,match(Caseslist!B1292,data!$D:$D,0)), "INC")</f>
        <v>F3051749</v>
      </c>
      <c r="E1292" s="9" t="str">
        <f t="array" ref="E1292">IFERROR(INDEX(data!H:H,match(Caseslist!B1292,data!D:D,0)), "INC")</f>
        <v>Elenita Gicos De La Pe�a</v>
      </c>
      <c r="F1292" s="10" t="str">
        <f t="array" ref="F1292">IF(
    OR(
      IFNA(INDEX(data!M:M, MATCH(Caseslist!B1292, data!D:D, 0)), "") = "",
      IFNA(INDEX(data!M:M, MATCH(Caseslist!B1292, data!D:D, 0)), 0) = 0
    ),
    "COMPLETE",
    IF(
      IFNA(INDEX(dataICM!D:D, MATCH(Caseslist!B1292, dataICM!D:D, 0)), "INC") = "INC",
      IFNA(INDEX(dataICM!D:D, MATCH(Caseslist!B1292, dataICM!D:D, 0)), "INC"),
      "COMPLETE"
    )
  )</f>
        <v>COMPLETE</v>
      </c>
      <c r="G1292" s="10" t="str">
        <f t="array" ref="G1292">IF(IFERROR(INDEX(data!L:L,match(Caseslist!B1292,data!D:D,0)),"INC")="","COMPLETE",F1292)</f>
        <v>COMPLETE</v>
      </c>
      <c r="H1292" s="9" t="str">
        <f t="array" ref="H1292">IFERROR(INDEX(dataICM!F:F,match(Caseslist!B1292,dataICM!D:D,0)), "INC")</f>
        <v>INC</v>
      </c>
      <c r="I1292" s="10" t="str">
        <f t="shared" si="2"/>
        <v>F3051749</v>
      </c>
      <c r="J1292" s="9" t="str">
        <f t="array" ref="J1292">IF(
  AND(
    IFERROR(MATCH(B1292, data!D:D, 0), 0) &gt; 0,
    IFERROR(INDEX(data!N:N, MATCH(B1292, data!D:D, 0)) = 1, FALSE)
  ),
  INDEX(data!C:C, MATCH(B1292, data!D:D, 0)),
  "INC"
)</f>
        <v>2025-08-29T11:22:11.625+08</v>
      </c>
      <c r="K1292" s="9" t="str">
        <f t="array" ref="K1292">IFERROR(INDEX(dataICM!C:C,match(Caseslist!B1292,dataICM!D:D,0)), "INC")</f>
        <v>INC</v>
      </c>
      <c r="L1292" s="10" t="str">
        <f t="array" ref="L1292">IF(AND(G1292="COMPLETE", OR(K1292="INC", ISBLANK(INDEX(data!O:O, ROW())))), J1292, K1292)</f>
        <v>2025-08-29T11:22:11.625+08</v>
      </c>
      <c r="M1292" s="2">
        <v>45898.0</v>
      </c>
      <c r="N1292" s="2">
        <f t="array" ref="N1292">IF(M1292&lt;&gt;"INC", INDEX(data!M:M, MATCH(B1292, data!D:D, 0)), "")</f>
        <v>0</v>
      </c>
      <c r="O1292" s="2">
        <f t="shared" si="3"/>
        <v>0</v>
      </c>
    </row>
    <row r="1293">
      <c r="A1293" s="2" t="str">
        <f t="shared" si="1"/>
        <v>H030326</v>
      </c>
      <c r="B1293" s="1" t="s">
        <v>1592</v>
      </c>
      <c r="C1293" s="9" t="str">
        <f t="array" ref="C1293">IF(
  AND(
    IFERROR(MATCH(Caseslist!B1293, data!D:D, 0), 0) &gt; 0,
    IFERROR(INDEX(data!N:N, MATCH(Caseslist!B1293, data!D:D, 0)) = 1, FALSE)
  ),
  "COMPLETE",
  "INC"
)</f>
        <v>COMPLETE</v>
      </c>
      <c r="D1293" s="9" t="str">
        <f t="array" ref="D1293">IFERROR(INDEX(data!$G:$G,match(Caseslist!B1293,data!$D:$D,0)), "INC")</f>
        <v>F3051749</v>
      </c>
      <c r="E1293" s="9" t="str">
        <f t="array" ref="E1293">IFERROR(INDEX(data!H:H,match(Caseslist!B1293,data!D:D,0)), "INC")</f>
        <v>Elenita Gicos De La Pe�a</v>
      </c>
      <c r="F1293" s="10" t="str">
        <f t="array" ref="F1293">IF(
    OR(
      IFNA(INDEX(data!M:M, MATCH(Caseslist!B1293, data!D:D, 0)), "") = "",
      IFNA(INDEX(data!M:M, MATCH(Caseslist!B1293, data!D:D, 0)), 0) = 0
    ),
    "COMPLETE",
    IF(
      IFNA(INDEX(dataICM!D:D, MATCH(Caseslist!B1293, dataICM!D:D, 0)), "INC") = "INC",
      IFNA(INDEX(dataICM!D:D, MATCH(Caseslist!B1293, dataICM!D:D, 0)), "INC"),
      "COMPLETE"
    )
  )</f>
        <v>COMPLETE</v>
      </c>
      <c r="G1293" s="10" t="str">
        <f t="array" ref="G1293">IF(IFERROR(INDEX(data!L:L,match(Caseslist!B1293,data!D:D,0)),"INC")="","COMPLETE",F1293)</f>
        <v>COMPLETE</v>
      </c>
      <c r="H1293" s="9" t="str">
        <f t="array" ref="H1293">IFERROR(INDEX(dataICM!F:F,match(Caseslist!B1293,dataICM!D:D,0)), "INC")</f>
        <v>INC</v>
      </c>
      <c r="I1293" s="10" t="str">
        <f t="shared" si="2"/>
        <v>F3051749</v>
      </c>
      <c r="J1293" s="9" t="str">
        <f t="array" ref="J1293">IF(
  AND(
    IFERROR(MATCH(B1293, data!D:D, 0), 0) &gt; 0,
    IFERROR(INDEX(data!N:N, MATCH(B1293, data!D:D, 0)) = 1, FALSE)
  ),
  INDEX(data!C:C, MATCH(B1293, data!D:D, 0)),
  "INC"
)</f>
        <v>2025-08-29T14:37:04.353+08</v>
      </c>
      <c r="K1293" s="9" t="str">
        <f t="array" ref="K1293">IFERROR(INDEX(dataICM!C:C,match(Caseslist!B1293,dataICM!D:D,0)), "INC")</f>
        <v>INC</v>
      </c>
      <c r="L1293" s="10" t="str">
        <f t="array" ref="L1293">IF(AND(G1293="COMPLETE", OR(K1293="INC", ISBLANK(INDEX(data!O:O, ROW())))), J1293, K1293)</f>
        <v>2025-08-29T14:37:04.353+08</v>
      </c>
      <c r="M1293" s="2">
        <v>45898.0</v>
      </c>
      <c r="N1293" s="2">
        <f t="array" ref="N1293">IF(M1293&lt;&gt;"INC", INDEX(data!M:M, MATCH(B1293, data!D:D, 0)), "")</f>
        <v>0</v>
      </c>
      <c r="O1293" s="2">
        <f t="shared" si="3"/>
        <v>0</v>
      </c>
    </row>
    <row r="1294">
      <c r="A1294" s="2" t="str">
        <f t="shared" si="1"/>
        <v>H030326</v>
      </c>
      <c r="B1294" s="1" t="s">
        <v>1883</v>
      </c>
      <c r="C1294" s="9" t="str">
        <f t="array" ref="C1294">IF(
  AND(
    IFERROR(MATCH(Caseslist!B1294, data!D:D, 0), 0) &gt; 0,
    IFERROR(INDEX(data!N:N, MATCH(Caseslist!B1294, data!D:D, 0)) = 1, FALSE)
  ),
  "COMPLETE",
  "INC"
)</f>
        <v>COMPLETE</v>
      </c>
      <c r="D1294" s="9" t="str">
        <f t="array" ref="D1294">IFERROR(INDEX(data!$G:$G,match(Caseslist!B1294,data!$D:$D,0)), "INC")</f>
        <v>F3051749</v>
      </c>
      <c r="E1294" s="9" t="str">
        <f t="array" ref="E1294">IFERROR(INDEX(data!H:H,match(Caseslist!B1294,data!D:D,0)), "INC")</f>
        <v>Elenita Gicos De La Pe�a</v>
      </c>
      <c r="F1294" s="10" t="str">
        <f t="array" ref="F1294">IF(
    OR(
      IFNA(INDEX(data!M:M, MATCH(Caseslist!B1294, data!D:D, 0)), "") = "",
      IFNA(INDEX(data!M:M, MATCH(Caseslist!B1294, data!D:D, 0)), 0) = 0
    ),
    "COMPLETE",
    IF(
      IFNA(INDEX(dataICM!D:D, MATCH(Caseslist!B1294, dataICM!D:D, 0)), "INC") = "INC",
      IFNA(INDEX(dataICM!D:D, MATCH(Caseslist!B1294, dataICM!D:D, 0)), "INC"),
      "COMPLETE"
    )
  )</f>
        <v>COMPLETE</v>
      </c>
      <c r="G1294" s="10" t="str">
        <f t="array" ref="G1294">IF(IFERROR(INDEX(data!L:L,match(Caseslist!B1294,data!D:D,0)),"INC")="","COMPLETE",F1294)</f>
        <v>COMPLETE</v>
      </c>
      <c r="H1294" s="9" t="str">
        <f t="array" ref="H1294">IFERROR(INDEX(dataICM!F:F,match(Caseslist!B1294,dataICM!D:D,0)), "INC")</f>
        <v>INC</v>
      </c>
      <c r="I1294" s="10" t="str">
        <f t="shared" si="2"/>
        <v>F3051749</v>
      </c>
      <c r="J1294" s="9" t="str">
        <f t="array" ref="J1294">IF(
  AND(
    IFERROR(MATCH(B1294, data!D:D, 0), 0) &gt; 0,
    IFERROR(INDEX(data!N:N, MATCH(B1294, data!D:D, 0)) = 1, FALSE)
  ),
  INDEX(data!C:C, MATCH(B1294, data!D:D, 0)),
  "INC"
)</f>
        <v>2025-08-30T15:58:30.407+08</v>
      </c>
      <c r="K1294" s="9" t="str">
        <f t="array" ref="K1294">IFERROR(INDEX(dataICM!C:C,match(Caseslist!B1294,dataICM!D:D,0)), "INC")</f>
        <v>INC</v>
      </c>
      <c r="L1294" s="10" t="str">
        <f t="array" ref="L1294">IF(AND(G1294="COMPLETE", OR(K1294="INC", ISBLANK(INDEX(data!O:O, ROW())))), J1294, K1294)</f>
        <v>2025-08-30T15:58:30.407+08</v>
      </c>
      <c r="M1294" s="2">
        <v>45899.0</v>
      </c>
      <c r="N1294" s="2">
        <f t="array" ref="N1294">IF(M1294&lt;&gt;"INC", INDEX(data!M:M, MATCH(B1294, data!D:D, 0)), "")</f>
        <v>0</v>
      </c>
      <c r="O1294" s="2">
        <f t="shared" si="3"/>
        <v>0</v>
      </c>
    </row>
    <row r="1295">
      <c r="A1295" s="2" t="str">
        <f t="shared" si="1"/>
        <v>H030326</v>
      </c>
      <c r="B1295" s="1" t="s">
        <v>1582</v>
      </c>
      <c r="C1295" s="9" t="str">
        <f t="array" ref="C1295">IF(
  AND(
    IFERROR(MATCH(Caseslist!B1295, data!D:D, 0), 0) &gt; 0,
    IFERROR(INDEX(data!N:N, MATCH(Caseslist!B1295, data!D:D, 0)) = 1, FALSE)
  ),
  "COMPLETE",
  "INC"
)</f>
        <v>COMPLETE</v>
      </c>
      <c r="D1295" s="9" t="str">
        <f t="array" ref="D1295">IFERROR(INDEX(data!$G:$G,match(Caseslist!B1295,data!$D:$D,0)), "INC")</f>
        <v>F3051749</v>
      </c>
      <c r="E1295" s="9" t="str">
        <f t="array" ref="E1295">IFERROR(INDEX(data!H:H,match(Caseslist!B1295,data!D:D,0)), "INC")</f>
        <v>Elenita Gicos De La Pe�a</v>
      </c>
      <c r="F1295" s="10" t="str">
        <f t="array" ref="F1295">IF(
    OR(
      IFNA(INDEX(data!M:M, MATCH(Caseslist!B1295, data!D:D, 0)), "") = "",
      IFNA(INDEX(data!M:M, MATCH(Caseslist!B1295, data!D:D, 0)), 0) = 0
    ),
    "COMPLETE",
    IF(
      IFNA(INDEX(dataICM!D:D, MATCH(Caseslist!B1295, dataICM!D:D, 0)), "INC") = "INC",
      IFNA(INDEX(dataICM!D:D, MATCH(Caseslist!B1295, dataICM!D:D, 0)), "INC"),
      "COMPLETE"
    )
  )</f>
        <v>COMPLETE</v>
      </c>
      <c r="G1295" s="10" t="str">
        <f t="array" ref="G1295">IF(IFERROR(INDEX(data!L:L,match(Caseslist!B1295,data!D:D,0)),"INC")="","COMPLETE",F1295)</f>
        <v>COMPLETE</v>
      </c>
      <c r="H1295" s="9" t="str">
        <f t="array" ref="H1295">IFERROR(INDEX(dataICM!F:F,match(Caseslist!B1295,dataICM!D:D,0)), "INC")</f>
        <v>INC</v>
      </c>
      <c r="I1295" s="10" t="str">
        <f t="shared" si="2"/>
        <v>F3051749</v>
      </c>
      <c r="J1295" s="9" t="str">
        <f t="array" ref="J1295">IF(
  AND(
    IFERROR(MATCH(B1295, data!D:D, 0), 0) &gt; 0,
    IFERROR(INDEX(data!N:N, MATCH(B1295, data!D:D, 0)) = 1, FALSE)
  ),
  INDEX(data!C:C, MATCH(B1295, data!D:D, 0)),
  "INC"
)</f>
        <v>2025-08-30T14:20:32.636+08</v>
      </c>
      <c r="K1295" s="9" t="str">
        <f t="array" ref="K1295">IFERROR(INDEX(dataICM!C:C,match(Caseslist!B1295,dataICM!D:D,0)), "INC")</f>
        <v>INC</v>
      </c>
      <c r="L1295" s="10" t="str">
        <f t="array" ref="L1295">IF(AND(G1295="COMPLETE", OR(K1295="INC", ISBLANK(INDEX(data!O:O, ROW())))), J1295, K1295)</f>
        <v>2025-08-30T14:20:32.636+08</v>
      </c>
      <c r="M1295" s="2">
        <v>45899.0</v>
      </c>
      <c r="N1295" s="2">
        <f t="array" ref="N1295">IF(M1295&lt;&gt;"INC", INDEX(data!M:M, MATCH(B1295, data!D:D, 0)), "")</f>
        <v>0</v>
      </c>
      <c r="O1295" s="2">
        <f t="shared" si="3"/>
        <v>0</v>
      </c>
    </row>
    <row r="1296">
      <c r="A1296" s="2" t="str">
        <f t="shared" si="1"/>
        <v>H030326</v>
      </c>
      <c r="B1296" s="1" t="s">
        <v>1472</v>
      </c>
      <c r="C1296" s="9" t="str">
        <f t="array" ref="C1296">IF(
  AND(
    IFERROR(MATCH(Caseslist!B1296, data!D:D, 0), 0) &gt; 0,
    IFERROR(INDEX(data!N:N, MATCH(Caseslist!B1296, data!D:D, 0)) = 1, FALSE)
  ),
  "COMPLETE",
  "INC"
)</f>
        <v>COMPLETE</v>
      </c>
      <c r="D1296" s="9" t="str">
        <f t="array" ref="D1296">IFERROR(INDEX(data!$G:$G,match(Caseslist!B1296,data!$D:$D,0)), "INC")</f>
        <v>G5472901</v>
      </c>
      <c r="E1296" s="9" t="str">
        <f t="array" ref="E1296">IFERROR(INDEX(data!H:H,match(Caseslist!B1296,data!D:D,0)), "INC")</f>
        <v>Wellyn Grace Alaban Parcia</v>
      </c>
      <c r="F1296" s="10" t="str">
        <f t="array" ref="F1296">IF(
    OR(
      IFNA(INDEX(data!M:M, MATCH(Caseslist!B1296, data!D:D, 0)), "") = "",
      IFNA(INDEX(data!M:M, MATCH(Caseslist!B1296, data!D:D, 0)), 0) = 0
    ),
    "COMPLETE",
    IF(
      IFNA(INDEX(dataICM!D:D, MATCH(Caseslist!B1296, dataICM!D:D, 0)), "INC") = "INC",
      IFNA(INDEX(dataICM!D:D, MATCH(Caseslist!B1296, dataICM!D:D, 0)), "INC"),
      "COMPLETE"
    )
  )</f>
        <v>COMPLETE</v>
      </c>
      <c r="G1296" s="10" t="str">
        <f t="array" ref="G1296">IF(IFERROR(INDEX(data!L:L,match(Caseslist!B1296,data!D:D,0)),"INC")="","COMPLETE",F1296)</f>
        <v>COMPLETE</v>
      </c>
      <c r="H1296" s="9" t="str">
        <f t="array" ref="H1296">IFERROR(INDEX(dataICM!F:F,match(Caseslist!B1296,dataICM!D:D,0)), "INC")</f>
        <v>INC</v>
      </c>
      <c r="I1296" s="10" t="str">
        <f t="shared" si="2"/>
        <v>G5472901</v>
      </c>
      <c r="J1296" s="9" t="str">
        <f t="array" ref="J1296">IF(
  AND(
    IFERROR(MATCH(B1296, data!D:D, 0), 0) &gt; 0,
    IFERROR(INDEX(data!N:N, MATCH(B1296, data!D:D, 0)) = 1, FALSE)
  ),
  INDEX(data!C:C, MATCH(B1296, data!D:D, 0)),
  "INC"
)</f>
        <v>2025-08-29T11:10:38.310+08</v>
      </c>
      <c r="K1296" s="9" t="str">
        <f t="array" ref="K1296">IFERROR(INDEX(dataICM!C:C,match(Caseslist!B1296,dataICM!D:D,0)), "INC")</f>
        <v>INC</v>
      </c>
      <c r="L1296" s="10" t="str">
        <f t="array" ref="L1296">IF(AND(G1296="COMPLETE", OR(K1296="INC", ISBLANK(INDEX(data!O:O, ROW())))), J1296, K1296)</f>
        <v>2025-08-29T11:10:38.310+08</v>
      </c>
      <c r="M1296" s="2">
        <v>45898.0</v>
      </c>
      <c r="N1296" s="2">
        <f t="array" ref="N1296">IF(M1296&lt;&gt;"INC", INDEX(data!M:M, MATCH(B1296, data!D:D, 0)), "")</f>
        <v>0</v>
      </c>
      <c r="O1296" s="2">
        <f t="shared" si="3"/>
        <v>0</v>
      </c>
    </row>
    <row r="1297">
      <c r="A1297" s="2" t="str">
        <f t="shared" si="1"/>
        <v>H030326</v>
      </c>
      <c r="B1297" s="1" t="s">
        <v>1487</v>
      </c>
      <c r="C1297" s="9" t="str">
        <f t="array" ref="C1297">IF(
  AND(
    IFERROR(MATCH(Caseslist!B1297, data!D:D, 0), 0) &gt; 0,
    IFERROR(INDEX(data!N:N, MATCH(Caseslist!B1297, data!D:D, 0)) = 1, FALSE)
  ),
  "COMPLETE",
  "INC"
)</f>
        <v>COMPLETE</v>
      </c>
      <c r="D1297" s="9" t="str">
        <f t="array" ref="D1297">IFERROR(INDEX(data!$G:$G,match(Caseslist!B1297,data!$D:$D,0)), "INC")</f>
        <v>G5472901</v>
      </c>
      <c r="E1297" s="9" t="str">
        <f t="array" ref="E1297">IFERROR(INDEX(data!H:H,match(Caseslist!B1297,data!D:D,0)), "INC")</f>
        <v>Wellyn Grace Alaban Parcia</v>
      </c>
      <c r="F1297" s="10" t="str">
        <f t="array" ref="F1297">IF(
    OR(
      IFNA(INDEX(data!M:M, MATCH(Caseslist!B1297, data!D:D, 0)), "") = "",
      IFNA(INDEX(data!M:M, MATCH(Caseslist!B1297, data!D:D, 0)), 0) = 0
    ),
    "COMPLETE",
    IF(
      IFNA(INDEX(dataICM!D:D, MATCH(Caseslist!B1297, dataICM!D:D, 0)), "INC") = "INC",
      IFNA(INDEX(dataICM!D:D, MATCH(Caseslist!B1297, dataICM!D:D, 0)), "INC"),
      "COMPLETE"
    )
  )</f>
        <v>COMPLETE</v>
      </c>
      <c r="G1297" s="10" t="str">
        <f t="array" ref="G1297">IF(IFERROR(INDEX(data!L:L,match(Caseslist!B1297,data!D:D,0)),"INC")="","COMPLETE",F1297)</f>
        <v>COMPLETE</v>
      </c>
      <c r="H1297" s="9" t="str">
        <f t="array" ref="H1297">IFERROR(INDEX(dataICM!F:F,match(Caseslist!B1297,dataICM!D:D,0)), "INC")</f>
        <v>INC</v>
      </c>
      <c r="I1297" s="10" t="str">
        <f t="shared" si="2"/>
        <v>G5472901</v>
      </c>
      <c r="J1297" s="9" t="str">
        <f t="array" ref="J1297">IF(
  AND(
    IFERROR(MATCH(B1297, data!D:D, 0), 0) &gt; 0,
    IFERROR(INDEX(data!N:N, MATCH(B1297, data!D:D, 0)) = 1, FALSE)
  ),
  INDEX(data!C:C, MATCH(B1297, data!D:D, 0)),
  "INC"
)</f>
        <v>2025-08-29T14:25:39.582+08</v>
      </c>
      <c r="K1297" s="9" t="str">
        <f t="array" ref="K1297">IFERROR(INDEX(dataICM!C:C,match(Caseslist!B1297,dataICM!D:D,0)), "INC")</f>
        <v>INC</v>
      </c>
      <c r="L1297" s="10" t="str">
        <f t="array" ref="L1297">IF(AND(G1297="COMPLETE", OR(K1297="INC", ISBLANK(INDEX(data!O:O, ROW())))), J1297, K1297)</f>
        <v>2025-08-29T14:25:39.582+08</v>
      </c>
      <c r="M1297" s="2">
        <v>45898.0</v>
      </c>
      <c r="N1297" s="2">
        <f t="array" ref="N1297">IF(M1297&lt;&gt;"INC", INDEX(data!M:M, MATCH(B1297, data!D:D, 0)), "")</f>
        <v>0</v>
      </c>
      <c r="O1297" s="2">
        <f t="shared" si="3"/>
        <v>0</v>
      </c>
    </row>
    <row r="1298">
      <c r="A1298" s="2" t="str">
        <f t="shared" si="1"/>
        <v>H030326</v>
      </c>
      <c r="B1298" s="1" t="s">
        <v>1477</v>
      </c>
      <c r="C1298" s="9" t="str">
        <f t="array" ref="C1298">IF(
  AND(
    IFERROR(MATCH(Caseslist!B1298, data!D:D, 0), 0) &gt; 0,
    IFERROR(INDEX(data!N:N, MATCH(Caseslist!B1298, data!D:D, 0)) = 1, FALSE)
  ),
  "COMPLETE",
  "INC"
)</f>
        <v>COMPLETE</v>
      </c>
      <c r="D1298" s="9" t="str">
        <f t="array" ref="D1298">IFERROR(INDEX(data!$G:$G,match(Caseslist!B1298,data!$D:$D,0)), "INC")</f>
        <v>G5472901</v>
      </c>
      <c r="E1298" s="9" t="str">
        <f t="array" ref="E1298">IFERROR(INDEX(data!H:H,match(Caseslist!B1298,data!D:D,0)), "INC")</f>
        <v>Wellyn Grace Alaban Parcia</v>
      </c>
      <c r="F1298" s="10" t="str">
        <f t="array" ref="F1298">IF(
    OR(
      IFNA(INDEX(data!M:M, MATCH(Caseslist!B1298, data!D:D, 0)), "") = "",
      IFNA(INDEX(data!M:M, MATCH(Caseslist!B1298, data!D:D, 0)), 0) = 0
    ),
    "COMPLETE",
    IF(
      IFNA(INDEX(dataICM!D:D, MATCH(Caseslist!B1298, dataICM!D:D, 0)), "INC") = "INC",
      IFNA(INDEX(dataICM!D:D, MATCH(Caseslist!B1298, dataICM!D:D, 0)), "INC"),
      "COMPLETE"
    )
  )</f>
        <v>COMPLETE</v>
      </c>
      <c r="G1298" s="10" t="str">
        <f t="array" ref="G1298">IF(IFERROR(INDEX(data!L:L,match(Caseslist!B1298,data!D:D,0)),"INC")="","COMPLETE",F1298)</f>
        <v>COMPLETE</v>
      </c>
      <c r="H1298" s="9" t="str">
        <f t="array" ref="H1298">IFERROR(INDEX(dataICM!F:F,match(Caseslist!B1298,dataICM!D:D,0)), "INC")</f>
        <v>INC</v>
      </c>
      <c r="I1298" s="10" t="str">
        <f t="shared" si="2"/>
        <v>G5472901</v>
      </c>
      <c r="J1298" s="9" t="str">
        <f t="array" ref="J1298">IF(
  AND(
    IFERROR(MATCH(B1298, data!D:D, 0), 0) &gt; 0,
    IFERROR(INDEX(data!N:N, MATCH(B1298, data!D:D, 0)) = 1, FALSE)
  ),
  INDEX(data!C:C, MATCH(B1298, data!D:D, 0)),
  "INC"
)</f>
        <v>2025-08-29T13:20:41.719+08</v>
      </c>
      <c r="K1298" s="9" t="str">
        <f t="array" ref="K1298">IFERROR(INDEX(dataICM!C:C,match(Caseslist!B1298,dataICM!D:D,0)), "INC")</f>
        <v>INC</v>
      </c>
      <c r="L1298" s="10" t="str">
        <f t="array" ref="L1298">IF(AND(G1298="COMPLETE", OR(K1298="INC", ISBLANK(INDEX(data!O:O, ROW())))), J1298, K1298)</f>
        <v>2025-08-29T13:20:41.719+08</v>
      </c>
      <c r="M1298" s="2">
        <v>45898.0</v>
      </c>
      <c r="N1298" s="2">
        <f t="array" ref="N1298">IF(M1298&lt;&gt;"INC", INDEX(data!M:M, MATCH(B1298, data!D:D, 0)), "")</f>
        <v>0</v>
      </c>
      <c r="O1298" s="2">
        <f t="shared" si="3"/>
        <v>0</v>
      </c>
    </row>
    <row r="1299">
      <c r="A1299" s="2" t="str">
        <f t="shared" si="1"/>
        <v>H030326</v>
      </c>
      <c r="B1299" s="1" t="s">
        <v>1572</v>
      </c>
      <c r="C1299" s="9" t="str">
        <f t="array" ref="C1299">IF(
  AND(
    IFERROR(MATCH(Caseslist!B1299, data!D:D, 0), 0) &gt; 0,
    IFERROR(INDEX(data!N:N, MATCH(Caseslist!B1299, data!D:D, 0)) = 1, FALSE)
  ),
  "COMPLETE",
  "INC"
)</f>
        <v>COMPLETE</v>
      </c>
      <c r="D1299" s="9" t="str">
        <f t="array" ref="D1299">IFERROR(INDEX(data!$G:$G,match(Caseslist!B1299,data!$D:$D,0)), "INC")</f>
        <v>F3051749</v>
      </c>
      <c r="E1299" s="9" t="str">
        <f t="array" ref="E1299">IFERROR(INDEX(data!H:H,match(Caseslist!B1299,data!D:D,0)), "INC")</f>
        <v>Elenita Gicos De La Pe�a</v>
      </c>
      <c r="F1299" s="10" t="str">
        <f t="array" ref="F1299">IF(
    OR(
      IFNA(INDEX(data!M:M, MATCH(Caseslist!B1299, data!D:D, 0)), "") = "",
      IFNA(INDEX(data!M:M, MATCH(Caseslist!B1299, data!D:D, 0)), 0) = 0
    ),
    "COMPLETE",
    IF(
      IFNA(INDEX(dataICM!D:D, MATCH(Caseslist!B1299, dataICM!D:D, 0)), "INC") = "INC",
      IFNA(INDEX(dataICM!D:D, MATCH(Caseslist!B1299, dataICM!D:D, 0)), "INC"),
      "COMPLETE"
    )
  )</f>
        <v>COMPLETE</v>
      </c>
      <c r="G1299" s="10" t="str">
        <f t="array" ref="G1299">IF(IFERROR(INDEX(data!L:L,match(Caseslist!B1299,data!D:D,0)),"INC")="","COMPLETE",F1299)</f>
        <v>COMPLETE</v>
      </c>
      <c r="H1299" s="9" t="str">
        <f t="array" ref="H1299">IFERROR(INDEX(dataICM!F:F,match(Caseslist!B1299,dataICM!D:D,0)), "INC")</f>
        <v>INC</v>
      </c>
      <c r="I1299" s="10" t="str">
        <f t="shared" si="2"/>
        <v>F3051749</v>
      </c>
      <c r="J1299" s="9" t="str">
        <f t="array" ref="J1299">IF(
  AND(
    IFERROR(MATCH(B1299, data!D:D, 0), 0) &gt; 0,
    IFERROR(INDEX(data!N:N, MATCH(B1299, data!D:D, 0)) = 1, FALSE)
  ),
  INDEX(data!C:C, MATCH(B1299, data!D:D, 0)),
  "INC"
)</f>
        <v>2025-08-29T10:05:03.560+08</v>
      </c>
      <c r="K1299" s="9" t="str">
        <f t="array" ref="K1299">IFERROR(INDEX(dataICM!C:C,match(Caseslist!B1299,dataICM!D:D,0)), "INC")</f>
        <v>INC</v>
      </c>
      <c r="L1299" s="10" t="str">
        <f t="array" ref="L1299">IF(AND(G1299="COMPLETE", OR(K1299="INC", ISBLANK(INDEX(data!O:O, ROW())))), J1299, K1299)</f>
        <v>2025-08-29T10:05:03.560+08</v>
      </c>
      <c r="M1299" s="2">
        <v>45898.0</v>
      </c>
      <c r="N1299" s="2">
        <f t="array" ref="N1299">IF(M1299&lt;&gt;"INC", INDEX(data!M:M, MATCH(B1299, data!D:D, 0)), "")</f>
        <v>0</v>
      </c>
      <c r="O1299" s="2">
        <f t="shared" si="3"/>
        <v>0</v>
      </c>
    </row>
    <row r="1300">
      <c r="A1300" s="2" t="str">
        <f t="shared" si="1"/>
        <v>H030326</v>
      </c>
      <c r="B1300" s="1" t="s">
        <v>1492</v>
      </c>
      <c r="C1300" s="9" t="str">
        <f t="array" ref="C1300">IF(
  AND(
    IFERROR(MATCH(Caseslist!B1300, data!D:D, 0), 0) &gt; 0,
    IFERROR(INDEX(data!N:N, MATCH(Caseslist!B1300, data!D:D, 0)) = 1, FALSE)
  ),
  "COMPLETE",
  "INC"
)</f>
        <v>COMPLETE</v>
      </c>
      <c r="D1300" s="9" t="str">
        <f t="array" ref="D1300">IFERROR(INDEX(data!$G:$G,match(Caseslist!B1300,data!$D:$D,0)), "INC")</f>
        <v>G5472901</v>
      </c>
      <c r="E1300" s="9" t="str">
        <f t="array" ref="E1300">IFERROR(INDEX(data!H:H,match(Caseslist!B1300,data!D:D,0)), "INC")</f>
        <v>Wellyn Grace Alaban Parcia</v>
      </c>
      <c r="F1300" s="10" t="str">
        <f t="array" ref="F1300">IF(
    OR(
      IFNA(INDEX(data!M:M, MATCH(Caseslist!B1300, data!D:D, 0)), "") = "",
      IFNA(INDEX(data!M:M, MATCH(Caseslist!B1300, data!D:D, 0)), 0) = 0
    ),
    "COMPLETE",
    IF(
      IFNA(INDEX(dataICM!D:D, MATCH(Caseslist!B1300, dataICM!D:D, 0)), "INC") = "INC",
      IFNA(INDEX(dataICM!D:D, MATCH(Caseslist!B1300, dataICM!D:D, 0)), "INC"),
      "COMPLETE"
    )
  )</f>
        <v>COMPLETE</v>
      </c>
      <c r="G1300" s="10" t="str">
        <f t="array" ref="G1300">IF(IFERROR(INDEX(data!L:L,match(Caseslist!B1300,data!D:D,0)),"INC")="","COMPLETE",F1300)</f>
        <v>COMPLETE</v>
      </c>
      <c r="H1300" s="9" t="str">
        <f t="array" ref="H1300">IFERROR(INDEX(dataICM!F:F,match(Caseslist!B1300,dataICM!D:D,0)), "INC")</f>
        <v>INC</v>
      </c>
      <c r="I1300" s="10" t="str">
        <f t="shared" si="2"/>
        <v>G5472901</v>
      </c>
      <c r="J1300" s="9" t="str">
        <f t="array" ref="J1300">IF(
  AND(
    IFERROR(MATCH(B1300, data!D:D, 0), 0) &gt; 0,
    IFERROR(INDEX(data!N:N, MATCH(B1300, data!D:D, 0)) = 1, FALSE)
  ),
  INDEX(data!C:C, MATCH(B1300, data!D:D, 0)),
  "INC"
)</f>
        <v>2025-08-29T10:03:20.240+08</v>
      </c>
      <c r="K1300" s="9" t="str">
        <f t="array" ref="K1300">IFERROR(INDEX(dataICM!C:C,match(Caseslist!B1300,dataICM!D:D,0)), "INC")</f>
        <v>INC</v>
      </c>
      <c r="L1300" s="10" t="str">
        <f t="array" ref="L1300">IF(AND(G1300="COMPLETE", OR(K1300="INC", ISBLANK(INDEX(data!O:O, ROW())))), J1300, K1300)</f>
        <v>2025-08-29T10:03:20.240+08</v>
      </c>
      <c r="M1300" s="2">
        <v>45898.0</v>
      </c>
      <c r="N1300" s="2">
        <f t="array" ref="N1300">IF(M1300&lt;&gt;"INC", INDEX(data!M:M, MATCH(B1300, data!D:D, 0)), "")</f>
        <v>0</v>
      </c>
      <c r="O1300" s="2">
        <f t="shared" si="3"/>
        <v>0</v>
      </c>
    </row>
    <row r="1301">
      <c r="A1301" s="2" t="str">
        <f t="shared" si="1"/>
        <v>H030326</v>
      </c>
      <c r="B1301" s="1" t="s">
        <v>1878</v>
      </c>
      <c r="C1301" s="9" t="str">
        <f t="array" ref="C1301">IF(
  AND(
    IFERROR(MATCH(Caseslist!B1301, data!D:D, 0), 0) &gt; 0,
    IFERROR(INDEX(data!N:N, MATCH(Caseslist!B1301, data!D:D, 0)) = 1, FALSE)
  ),
  "COMPLETE",
  "INC"
)</f>
        <v>COMPLETE</v>
      </c>
      <c r="D1301" s="9" t="str">
        <f t="array" ref="D1301">IFERROR(INDEX(data!$G:$G,match(Caseslist!B1301,data!$D:$D,0)), "INC")</f>
        <v>F3051749</v>
      </c>
      <c r="E1301" s="9" t="str">
        <f t="array" ref="E1301">IFERROR(INDEX(data!H:H,match(Caseslist!B1301,data!D:D,0)), "INC")</f>
        <v>Elenita Gicos De La Pe�a</v>
      </c>
      <c r="F1301" s="10" t="str">
        <f t="array" ref="F1301">IF(
    OR(
      IFNA(INDEX(data!M:M, MATCH(Caseslist!B1301, data!D:D, 0)), "") = "",
      IFNA(INDEX(data!M:M, MATCH(Caseslist!B1301, data!D:D, 0)), 0) = 0
    ),
    "COMPLETE",
    IF(
      IFNA(INDEX(dataICM!D:D, MATCH(Caseslist!B1301, dataICM!D:D, 0)), "INC") = "INC",
      IFNA(INDEX(dataICM!D:D, MATCH(Caseslist!B1301, dataICM!D:D, 0)), "INC"),
      "COMPLETE"
    )
  )</f>
        <v>COMPLETE</v>
      </c>
      <c r="G1301" s="10" t="str">
        <f t="array" ref="G1301">IF(IFERROR(INDEX(data!L:L,match(Caseslist!B1301,data!D:D,0)),"INC")="","COMPLETE",F1301)</f>
        <v>COMPLETE</v>
      </c>
      <c r="H1301" s="9" t="str">
        <f t="array" ref="H1301">IFERROR(INDEX(dataICM!F:F,match(Caseslist!B1301,dataICM!D:D,0)), "INC")</f>
        <v>INC</v>
      </c>
      <c r="I1301" s="10" t="str">
        <f t="shared" si="2"/>
        <v>F3051749</v>
      </c>
      <c r="J1301" s="9" t="str">
        <f t="array" ref="J1301">IF(
  AND(
    IFERROR(MATCH(B1301, data!D:D, 0), 0) &gt; 0,
    IFERROR(INDEX(data!N:N, MATCH(B1301, data!D:D, 0)) = 1, FALSE)
  ),
  INDEX(data!C:C, MATCH(B1301, data!D:D, 0)),
  "INC"
)</f>
        <v>2025-08-30T11:43:10.075+08</v>
      </c>
      <c r="K1301" s="9" t="str">
        <f t="array" ref="K1301">IFERROR(INDEX(dataICM!C:C,match(Caseslist!B1301,dataICM!D:D,0)), "INC")</f>
        <v>INC</v>
      </c>
      <c r="L1301" s="10" t="str">
        <f t="array" ref="L1301">IF(AND(G1301="COMPLETE", OR(K1301="INC", ISBLANK(INDEX(data!O:O, ROW())))), J1301, K1301)</f>
        <v>2025-08-30T11:43:10.075+08</v>
      </c>
      <c r="M1301" s="2">
        <v>45899.0</v>
      </c>
      <c r="N1301" s="2">
        <f t="array" ref="N1301">IF(M1301&lt;&gt;"INC", INDEX(data!M:M, MATCH(B1301, data!D:D, 0)), "")</f>
        <v>0</v>
      </c>
      <c r="O1301" s="2">
        <f t="shared" si="3"/>
        <v>0</v>
      </c>
    </row>
    <row r="1302">
      <c r="A1302" s="2" t="str">
        <f t="shared" si="1"/>
        <v>H030326</v>
      </c>
      <c r="B1302" s="1" t="s">
        <v>1467</v>
      </c>
      <c r="C1302" s="9" t="str">
        <f t="array" ref="C1302">IF(
  AND(
    IFERROR(MATCH(Caseslist!B1302, data!D:D, 0), 0) &gt; 0,
    IFERROR(INDEX(data!N:N, MATCH(Caseslist!B1302, data!D:D, 0)) = 1, FALSE)
  ),
  "COMPLETE",
  "INC"
)</f>
        <v>COMPLETE</v>
      </c>
      <c r="D1302" s="9" t="str">
        <f t="array" ref="D1302">IFERROR(INDEX(data!$G:$G,match(Caseslist!B1302,data!$D:$D,0)), "INC")</f>
        <v>F3051749</v>
      </c>
      <c r="E1302" s="9" t="str">
        <f t="array" ref="E1302">IFERROR(INDEX(data!H:H,match(Caseslist!B1302,data!D:D,0)), "INC")</f>
        <v>Elenita Gicos De La Pe�a</v>
      </c>
      <c r="F1302" s="10" t="str">
        <f t="array" ref="F1302">IF(
    OR(
      IFNA(INDEX(data!M:M, MATCH(Caseslist!B1302, data!D:D, 0)), "") = "",
      IFNA(INDEX(data!M:M, MATCH(Caseslist!B1302, data!D:D, 0)), 0) = 0
    ),
    "COMPLETE",
    IF(
      IFNA(INDEX(dataICM!D:D, MATCH(Caseslist!B1302, dataICM!D:D, 0)), "INC") = "INC",
      IFNA(INDEX(dataICM!D:D, MATCH(Caseslist!B1302, dataICM!D:D, 0)), "INC"),
      "COMPLETE"
    )
  )</f>
        <v>COMPLETE</v>
      </c>
      <c r="G1302" s="10" t="str">
        <f t="array" ref="G1302">IF(IFERROR(INDEX(data!L:L,match(Caseslist!B1302,data!D:D,0)),"INC")="","COMPLETE",F1302)</f>
        <v>COMPLETE</v>
      </c>
      <c r="H1302" s="9" t="str">
        <f t="array" ref="H1302">IFERROR(INDEX(dataICM!F:F,match(Caseslist!B1302,dataICM!D:D,0)), "INC")</f>
        <v>INC</v>
      </c>
      <c r="I1302" s="10" t="str">
        <f t="shared" si="2"/>
        <v>F3051749</v>
      </c>
      <c r="J1302" s="9" t="str">
        <f t="array" ref="J1302">IF(
  AND(
    IFERROR(MATCH(B1302, data!D:D, 0), 0) &gt; 0,
    IFERROR(INDEX(data!N:N, MATCH(B1302, data!D:D, 0)) = 1, FALSE)
  ),
  INDEX(data!C:C, MATCH(B1302, data!D:D, 0)),
  "INC"
)</f>
        <v>2025-09-29T10:56:54.248+08</v>
      </c>
      <c r="K1302" s="9" t="str">
        <f t="array" ref="K1302">IFERROR(INDEX(dataICM!C:C,match(Caseslist!B1302,dataICM!D:D,0)), "INC")</f>
        <v>INC</v>
      </c>
      <c r="L1302" s="10" t="str">
        <f t="array" ref="L1302">IF(AND(G1302="COMPLETE", OR(K1302="INC", ISBLANK(INDEX(data!O:O, ROW())))), J1302, K1302)</f>
        <v>2025-09-29T10:56:54.248+08</v>
      </c>
      <c r="M1302" s="2">
        <v>45929.0</v>
      </c>
      <c r="N1302" s="2">
        <f t="array" ref="N1302">IF(M1302&lt;&gt;"INC", INDEX(data!M:M, MATCH(B1302, data!D:D, 0)), "")</f>
        <v>0</v>
      </c>
      <c r="O1302" s="2">
        <f t="shared" si="3"/>
        <v>0</v>
      </c>
    </row>
    <row r="1303">
      <c r="A1303" s="2" t="str">
        <f t="shared" si="1"/>
        <v>H030327</v>
      </c>
      <c r="B1303" s="1" t="s">
        <v>3367</v>
      </c>
      <c r="C1303" s="9" t="str">
        <f t="array" ref="C1303">IF(
  AND(
    IFERROR(MATCH(Caseslist!B1303, data!D:D, 0), 0) &gt; 0,
    IFERROR(INDEX(data!N:N, MATCH(Caseslist!B1303, data!D:D, 0)) = 1, FALSE)
  ),
  "COMPLETE",
  "INC"
)</f>
        <v>COMPLETE</v>
      </c>
      <c r="D1303" s="9" t="str">
        <f t="array" ref="D1303">IFERROR(INDEX(data!$G:$G,match(Caseslist!B1303,data!$D:$D,0)), "INC")</f>
        <v>C7502931</v>
      </c>
      <c r="E1303" s="9" t="str">
        <f t="array" ref="E1303">IFERROR(INDEX(data!H:H,match(Caseslist!B1303,data!D:D,0)), "INC")</f>
        <v>Jenny Lou Toles Estacio</v>
      </c>
      <c r="F1303" s="10" t="str">
        <f t="array" ref="F1303">IF(
    OR(
      IFNA(INDEX(data!M:M, MATCH(Caseslist!B1303, data!D:D, 0)), "") = "",
      IFNA(INDEX(data!M:M, MATCH(Caseslist!B1303, data!D:D, 0)), 0) = 0
    ),
    "COMPLETE",
    IF(
      IFNA(INDEX(dataICM!D:D, MATCH(Caseslist!B1303, dataICM!D:D, 0)), "INC") = "INC",
      IFNA(INDEX(dataICM!D:D, MATCH(Caseslist!B1303, dataICM!D:D, 0)), "INC"),
      "COMPLETE"
    )
  )</f>
        <v>COMPLETE</v>
      </c>
      <c r="G1303" s="10" t="str">
        <f t="array" ref="G1303">IF(IFERROR(INDEX(data!L:L,match(Caseslist!B1303,data!D:D,0)),"INC")="","COMPLETE",F1303)</f>
        <v>COMPLETE</v>
      </c>
      <c r="H1303" s="9" t="str">
        <f t="array" ref="H1303">IFERROR(INDEX(dataICM!F:F,match(Caseslist!B1303,dataICM!D:D,0)), "INC")</f>
        <v>Jenny Lou Toles Estacio</v>
      </c>
      <c r="I1303" s="10" t="str">
        <f t="shared" si="2"/>
        <v>C7502931</v>
      </c>
      <c r="J1303" s="9" t="str">
        <f t="array" ref="J1303">IF(
  AND(
    IFERROR(MATCH(B1303, data!D:D, 0), 0) &gt; 0,
    IFERROR(INDEX(data!N:N, MATCH(B1303, data!D:D, 0)) = 1, FALSE)
  ),
  INDEX(data!C:C, MATCH(B1303, data!D:D, 0)),
  "INC"
)</f>
        <v>2025-09-04T11:54:11.043+08</v>
      </c>
      <c r="K1303" s="9" t="str">
        <f t="array" ref="K1303">IFERROR(INDEX(dataICM!C:C,match(Caseslist!B1303,dataICM!D:D,0)), "INC")</f>
        <v>2025-09-04T18:37:15.558+08</v>
      </c>
      <c r="L1303" s="10" t="str">
        <f t="array" ref="L1303">IF(AND(G1303="COMPLETE", OR(K1303="INC", ISBLANK(INDEX(data!O:O, ROW())))), J1303, K1303)</f>
        <v>2025-09-04T18:37:15.558+08</v>
      </c>
      <c r="M1303" s="2">
        <v>45904.0</v>
      </c>
      <c r="N1303" s="2">
        <f t="array" ref="N1303">IF(M1303&lt;&gt;"INC", INDEX(data!M:M, MATCH(B1303, data!D:D, 0)), "")</f>
        <v>3</v>
      </c>
      <c r="O1303" s="2">
        <f t="shared" si="3"/>
        <v>3</v>
      </c>
    </row>
    <row r="1304">
      <c r="A1304" s="2" t="str">
        <f t="shared" si="1"/>
        <v>H030327</v>
      </c>
      <c r="B1304" s="1" t="s">
        <v>3372</v>
      </c>
      <c r="C1304" s="9" t="str">
        <f t="array" ref="C1304">IF(
  AND(
    IFERROR(MATCH(Caseslist!B1304, data!D:D, 0), 0) &gt; 0,
    IFERROR(INDEX(data!N:N, MATCH(Caseslist!B1304, data!D:D, 0)) = 1, FALSE)
  ),
  "COMPLETE",
  "INC"
)</f>
        <v>COMPLETE</v>
      </c>
      <c r="D1304" s="9" t="str">
        <f t="array" ref="D1304">IFERROR(INDEX(data!$G:$G,match(Caseslist!B1304,data!$D:$D,0)), "INC")</f>
        <v>C7502931</v>
      </c>
      <c r="E1304" s="9" t="str">
        <f t="array" ref="E1304">IFERROR(INDEX(data!H:H,match(Caseslist!B1304,data!D:D,0)), "INC")</f>
        <v>Jenny Lou Toles Estacio</v>
      </c>
      <c r="F1304" s="10" t="str">
        <f t="array" ref="F1304">IF(
    OR(
      IFNA(INDEX(data!M:M, MATCH(Caseslist!B1304, data!D:D, 0)), "") = "",
      IFNA(INDEX(data!M:M, MATCH(Caseslist!B1304, data!D:D, 0)), 0) = 0
    ),
    "COMPLETE",
    IF(
      IFNA(INDEX(dataICM!D:D, MATCH(Caseslist!B1304, dataICM!D:D, 0)), "INC") = "INC",
      IFNA(INDEX(dataICM!D:D, MATCH(Caseslist!B1304, dataICM!D:D, 0)), "INC"),
      "COMPLETE"
    )
  )</f>
        <v>COMPLETE</v>
      </c>
      <c r="G1304" s="10" t="str">
        <f t="array" ref="G1304">IF(IFERROR(INDEX(data!L:L,match(Caseslist!B1304,data!D:D,0)),"INC")="","COMPLETE",F1304)</f>
        <v>COMPLETE</v>
      </c>
      <c r="H1304" s="9" t="str">
        <f t="array" ref="H1304">IFERROR(INDEX(dataICM!F:F,match(Caseslist!B1304,dataICM!D:D,0)), "INC")</f>
        <v>Jenny Lou Toles Estacio</v>
      </c>
      <c r="I1304" s="10" t="str">
        <f t="shared" si="2"/>
        <v>C7502931</v>
      </c>
      <c r="J1304" s="9" t="str">
        <f t="array" ref="J1304">IF(
  AND(
    IFERROR(MATCH(B1304, data!D:D, 0), 0) &gt; 0,
    IFERROR(INDEX(data!N:N, MATCH(B1304, data!D:D, 0)) = 1, FALSE)
  ),
  INDEX(data!C:C, MATCH(B1304, data!D:D, 0)),
  "INC"
)</f>
        <v>2025-09-04T13:16:36.076+08</v>
      </c>
      <c r="K1304" s="9" t="str">
        <f t="array" ref="K1304">IFERROR(INDEX(dataICM!C:C,match(Caseslist!B1304,dataICM!D:D,0)), "INC")</f>
        <v>2025-09-04T18:24:56.762+08</v>
      </c>
      <c r="L1304" s="10" t="str">
        <f t="array" ref="L1304">IF(AND(G1304="COMPLETE", OR(K1304="INC", ISBLANK(INDEX(data!O:O, ROW())))), J1304, K1304)</f>
        <v>2025-09-04T18:24:56.762+08</v>
      </c>
      <c r="M1304" s="2">
        <v>45904.0</v>
      </c>
      <c r="N1304" s="2">
        <f t="array" ref="N1304">IF(M1304&lt;&gt;"INC", INDEX(data!M:M, MATCH(B1304, data!D:D, 0)), "")</f>
        <v>3</v>
      </c>
      <c r="O1304" s="2">
        <f t="shared" si="3"/>
        <v>3</v>
      </c>
    </row>
    <row r="1305">
      <c r="A1305" s="2" t="str">
        <f t="shared" si="1"/>
        <v>H030327</v>
      </c>
      <c r="B1305" s="1" t="s">
        <v>3021</v>
      </c>
      <c r="C1305" s="9" t="str">
        <f t="array" ref="C1305">IF(
  AND(
    IFERROR(MATCH(Caseslist!B1305, data!D:D, 0), 0) &gt; 0,
    IFERROR(INDEX(data!N:N, MATCH(Caseslist!B1305, data!D:D, 0)) = 1, FALSE)
  ),
  "COMPLETE",
  "INC"
)</f>
        <v>COMPLETE</v>
      </c>
      <c r="D1305" s="9" t="str">
        <f t="array" ref="D1305">IFERROR(INDEX(data!$G:$G,match(Caseslist!B1305,data!$D:$D,0)), "INC")</f>
        <v>C7502931</v>
      </c>
      <c r="E1305" s="9" t="str">
        <f t="array" ref="E1305">IFERROR(INDEX(data!H:H,match(Caseslist!B1305,data!D:D,0)), "INC")</f>
        <v>Jenny Lou Toles Estacio</v>
      </c>
      <c r="F1305" s="10" t="str">
        <f t="array" ref="F1305">IF(
    OR(
      IFNA(INDEX(data!M:M, MATCH(Caseslist!B1305, data!D:D, 0)), "") = "",
      IFNA(INDEX(data!M:M, MATCH(Caseslist!B1305, data!D:D, 0)), 0) = 0
    ),
    "COMPLETE",
    IF(
      IFNA(INDEX(dataICM!D:D, MATCH(Caseslist!B1305, dataICM!D:D, 0)), "INC") = "INC",
      IFNA(INDEX(dataICM!D:D, MATCH(Caseslist!B1305, dataICM!D:D, 0)), "INC"),
      "COMPLETE"
    )
  )</f>
        <v>COMPLETE</v>
      </c>
      <c r="G1305" s="10" t="str">
        <f t="array" ref="G1305">IF(IFERROR(INDEX(data!L:L,match(Caseslist!B1305,data!D:D,0)),"INC")="","COMPLETE",F1305)</f>
        <v>COMPLETE</v>
      </c>
      <c r="H1305" s="9" t="str">
        <f t="array" ref="H1305">IFERROR(INDEX(dataICM!F:F,match(Caseslist!B1305,dataICM!D:D,0)), "INC")</f>
        <v>Jenny Lou Toles Estacio</v>
      </c>
      <c r="I1305" s="10" t="str">
        <f t="shared" si="2"/>
        <v>C7502931</v>
      </c>
      <c r="J1305" s="9" t="str">
        <f t="array" ref="J1305">IF(
  AND(
    IFERROR(MATCH(B1305, data!D:D, 0), 0) &gt; 0,
    IFERROR(INDEX(data!N:N, MATCH(B1305, data!D:D, 0)) = 1, FALSE)
  ),
  INDEX(data!C:C, MATCH(B1305, data!D:D, 0)),
  "INC"
)</f>
        <v>2025-09-07T16:12:25.453+08</v>
      </c>
      <c r="K1305" s="9" t="str">
        <f t="array" ref="K1305">IFERROR(INDEX(dataICM!C:C,match(Caseslist!B1305,dataICM!D:D,0)), "INC")</f>
        <v>2025-09-07T20:49:14.452+08</v>
      </c>
      <c r="L1305" s="10" t="str">
        <f t="array" ref="L1305">IF(AND(G1305="COMPLETE", OR(K1305="INC", ISBLANK(INDEX(data!O:O, ROW())))), J1305, K1305)</f>
        <v>2025-09-07T20:49:14.452+08</v>
      </c>
      <c r="M1305" s="2">
        <v>45907.0</v>
      </c>
      <c r="N1305" s="2">
        <f t="array" ref="N1305">IF(M1305&lt;&gt;"INC", INDEX(data!M:M, MATCH(B1305, data!D:D, 0)), "")</f>
        <v>3</v>
      </c>
      <c r="O1305" s="2">
        <f t="shared" si="3"/>
        <v>3</v>
      </c>
    </row>
    <row r="1306">
      <c r="A1306" s="2" t="str">
        <f t="shared" si="1"/>
        <v>H030327</v>
      </c>
      <c r="B1306" s="1" t="s">
        <v>3067</v>
      </c>
      <c r="C1306" s="9" t="str">
        <f t="array" ref="C1306">IF(
  AND(
    IFERROR(MATCH(Caseslist!B1306, data!D:D, 0), 0) &gt; 0,
    IFERROR(INDEX(data!N:N, MATCH(Caseslist!B1306, data!D:D, 0)) = 1, FALSE)
  ),
  "COMPLETE",
  "INC"
)</f>
        <v>COMPLETE</v>
      </c>
      <c r="D1306" s="9">
        <f t="array" ref="D1306">IFERROR(INDEX(data!$G:$G,match(Caseslist!B1306,data!$D:$D,0)), "INC")</f>
        <v>896791</v>
      </c>
      <c r="E1306" s="9" t="str">
        <f t="array" ref="E1306">IFERROR(INDEX(data!H:H,match(Caseslist!B1306,data!D:D,0)), "INC")</f>
        <v>Roland A. Bandiola jr_2</v>
      </c>
      <c r="F1306" s="10" t="str">
        <f t="array" ref="F1306">IF(
    OR(
      IFNA(INDEX(data!M:M, MATCH(Caseslist!B1306, data!D:D, 0)), "") = "",
      IFNA(INDEX(data!M:M, MATCH(Caseslist!B1306, data!D:D, 0)), 0) = 0
    ),
    "COMPLETE",
    IF(
      IFNA(INDEX(dataICM!D:D, MATCH(Caseslist!B1306, dataICM!D:D, 0)), "INC") = "INC",
      IFNA(INDEX(dataICM!D:D, MATCH(Caseslist!B1306, dataICM!D:D, 0)), "INC"),
      "COMPLETE"
    )
  )</f>
        <v>COMPLETE</v>
      </c>
      <c r="G1306" s="10" t="str">
        <f t="array" ref="G1306">IF(IFERROR(INDEX(data!L:L,match(Caseslist!B1306,data!D:D,0)),"INC")="","COMPLETE",F1306)</f>
        <v>COMPLETE</v>
      </c>
      <c r="H1306" s="9" t="str">
        <f t="array" ref="H1306">IFERROR(INDEX(dataICM!F:F,match(Caseslist!B1306,dataICM!D:D,0)), "INC")</f>
        <v>Roland A. Bandiola jr_2</v>
      </c>
      <c r="I1306" s="10">
        <f t="shared" si="2"/>
        <v>896791</v>
      </c>
      <c r="J1306" s="9" t="str">
        <f t="array" ref="J1306">IF(
  AND(
    IFERROR(MATCH(B1306, data!D:D, 0), 0) &gt; 0,
    IFERROR(INDEX(data!N:N, MATCH(B1306, data!D:D, 0)) = 1, FALSE)
  ),
  INDEX(data!C:C, MATCH(B1306, data!D:D, 0)),
  "INC"
)</f>
        <v>2025-09-03T11:48:11.313+08</v>
      </c>
      <c r="K1306" s="9" t="str">
        <f t="array" ref="K1306">IFERROR(INDEX(dataICM!C:C,match(Caseslist!B1306,dataICM!D:D,0)), "INC")</f>
        <v>2025-09-03T11:58:22.830+08</v>
      </c>
      <c r="L1306" s="10" t="str">
        <f t="array" ref="L1306">IF(AND(G1306="COMPLETE", OR(K1306="INC", ISBLANK(INDEX(data!O:O, ROW())))), J1306, K1306)</f>
        <v>2025-09-03T11:58:22.830+08</v>
      </c>
      <c r="M1306" s="2">
        <v>45903.0</v>
      </c>
      <c r="N1306" s="2">
        <f t="array" ref="N1306">IF(M1306&lt;&gt;"INC", INDEX(data!M:M, MATCH(B1306, data!D:D, 0)), "")</f>
        <v>3</v>
      </c>
      <c r="O1306" s="2">
        <f t="shared" si="3"/>
        <v>3</v>
      </c>
    </row>
    <row r="1307">
      <c r="A1307" s="2" t="str">
        <f t="shared" si="1"/>
        <v>H030327</v>
      </c>
      <c r="B1307" s="1" t="s">
        <v>3087</v>
      </c>
      <c r="C1307" s="9" t="str">
        <f t="array" ref="C1307">IF(
  AND(
    IFERROR(MATCH(Caseslist!B1307, data!D:D, 0), 0) &gt; 0,
    IFERROR(INDEX(data!N:N, MATCH(Caseslist!B1307, data!D:D, 0)) = 1, FALSE)
  ),
  "COMPLETE",
  "INC"
)</f>
        <v>COMPLETE</v>
      </c>
      <c r="D1307" s="9">
        <f t="array" ref="D1307">IFERROR(INDEX(data!$G:$G,match(Caseslist!B1307,data!$D:$D,0)), "INC")</f>
        <v>896791</v>
      </c>
      <c r="E1307" s="9" t="str">
        <f t="array" ref="E1307">IFERROR(INDEX(data!H:H,match(Caseslist!B1307,data!D:D,0)), "INC")</f>
        <v>Roland A. Bandiola jr_2</v>
      </c>
      <c r="F1307" s="10" t="str">
        <f t="array" ref="F1307">IF(
    OR(
      IFNA(INDEX(data!M:M, MATCH(Caseslist!B1307, data!D:D, 0)), "") = "",
      IFNA(INDEX(data!M:M, MATCH(Caseslist!B1307, data!D:D, 0)), 0) = 0
    ),
    "COMPLETE",
    IF(
      IFNA(INDEX(dataICM!D:D, MATCH(Caseslist!B1307, dataICM!D:D, 0)), "INC") = "INC",
      IFNA(INDEX(dataICM!D:D, MATCH(Caseslist!B1307, dataICM!D:D, 0)), "INC"),
      "COMPLETE"
    )
  )</f>
        <v>COMPLETE</v>
      </c>
      <c r="G1307" s="10" t="str">
        <f t="array" ref="G1307">IF(IFERROR(INDEX(data!L:L,match(Caseslist!B1307,data!D:D,0)),"INC")="","COMPLETE",F1307)</f>
        <v>COMPLETE</v>
      </c>
      <c r="H1307" s="9" t="str">
        <f t="array" ref="H1307">IFERROR(INDEX(dataICM!F:F,match(Caseslist!B1307,dataICM!D:D,0)), "INC")</f>
        <v>Roland A. Bandiola jr_2</v>
      </c>
      <c r="I1307" s="10">
        <f t="shared" si="2"/>
        <v>896791</v>
      </c>
      <c r="J1307" s="9" t="str">
        <f t="array" ref="J1307">IF(
  AND(
    IFERROR(MATCH(B1307, data!D:D, 0), 0) &gt; 0,
    IFERROR(INDEX(data!N:N, MATCH(B1307, data!D:D, 0)) = 1, FALSE)
  ),
  INDEX(data!C:C, MATCH(B1307, data!D:D, 0)),
  "INC"
)</f>
        <v>2025-09-04T14:00:24.700+08</v>
      </c>
      <c r="K1307" s="9" t="str">
        <f t="array" ref="K1307">IFERROR(INDEX(dataICM!C:C,match(Caseslist!B1307,dataICM!D:D,0)), "INC")</f>
        <v>2025-09-04T14:18:47.639+08</v>
      </c>
      <c r="L1307" s="10" t="str">
        <f t="array" ref="L1307">IF(AND(G1307="COMPLETE", OR(K1307="INC", ISBLANK(INDEX(data!O:O, ROW())))), J1307, K1307)</f>
        <v>2025-09-04T14:18:47.639+08</v>
      </c>
      <c r="M1307" s="2">
        <v>45904.0</v>
      </c>
      <c r="N1307" s="2">
        <f t="array" ref="N1307">IF(M1307&lt;&gt;"INC", INDEX(data!M:M, MATCH(B1307, data!D:D, 0)), "")</f>
        <v>3</v>
      </c>
      <c r="O1307" s="2">
        <f t="shared" si="3"/>
        <v>3</v>
      </c>
    </row>
    <row r="1308">
      <c r="A1308" s="2" t="str">
        <f t="shared" si="1"/>
        <v>H030327</v>
      </c>
      <c r="B1308" s="1" t="s">
        <v>3362</v>
      </c>
      <c r="C1308" s="9" t="str">
        <f t="array" ref="C1308">IF(
  AND(
    IFERROR(MATCH(Caseslist!B1308, data!D:D, 0), 0) &gt; 0,
    IFERROR(INDEX(data!N:N, MATCH(Caseslist!B1308, data!D:D, 0)) = 1, FALSE)
  ),
  "COMPLETE",
  "INC"
)</f>
        <v>COMPLETE</v>
      </c>
      <c r="D1308" s="9" t="str">
        <f t="array" ref="D1308">IFERROR(INDEX(data!$G:$G,match(Caseslist!B1308,data!$D:$D,0)), "INC")</f>
        <v>C7502931</v>
      </c>
      <c r="E1308" s="9" t="str">
        <f t="array" ref="E1308">IFERROR(INDEX(data!H:H,match(Caseslist!B1308,data!D:D,0)), "INC")</f>
        <v>Jenny Lou Toles Estacio</v>
      </c>
      <c r="F1308" s="10" t="str">
        <f t="array" ref="F1308">IF(
    OR(
      IFNA(INDEX(data!M:M, MATCH(Caseslist!B1308, data!D:D, 0)), "") = "",
      IFNA(INDEX(data!M:M, MATCH(Caseslist!B1308, data!D:D, 0)), 0) = 0
    ),
    "COMPLETE",
    IF(
      IFNA(INDEX(dataICM!D:D, MATCH(Caseslist!B1308, dataICM!D:D, 0)), "INC") = "INC",
      IFNA(INDEX(dataICM!D:D, MATCH(Caseslist!B1308, dataICM!D:D, 0)), "INC"),
      "COMPLETE"
    )
  )</f>
        <v>COMPLETE</v>
      </c>
      <c r="G1308" s="10" t="str">
        <f t="array" ref="G1308">IF(IFERROR(INDEX(data!L:L,match(Caseslist!B1308,data!D:D,0)),"INC")="","COMPLETE",F1308)</f>
        <v>COMPLETE</v>
      </c>
      <c r="H1308" s="9" t="str">
        <f t="array" ref="H1308">IFERROR(INDEX(dataICM!F:F,match(Caseslist!B1308,dataICM!D:D,0)), "INC")</f>
        <v>Jenny Lou Toles Estacio</v>
      </c>
      <c r="I1308" s="10" t="str">
        <f t="shared" si="2"/>
        <v>C7502931</v>
      </c>
      <c r="J1308" s="9" t="str">
        <f t="array" ref="J1308">IF(
  AND(
    IFERROR(MATCH(B1308, data!D:D, 0), 0) &gt; 0,
    IFERROR(INDEX(data!N:N, MATCH(B1308, data!D:D, 0)) = 1, FALSE)
  ),
  INDEX(data!C:C, MATCH(B1308, data!D:D, 0)),
  "INC"
)</f>
        <v>2025-09-04T10:32:51.230+08</v>
      </c>
      <c r="K1308" s="9" t="str">
        <f t="array" ref="K1308">IFERROR(INDEX(dataICM!C:C,match(Caseslist!B1308,dataICM!D:D,0)), "INC")</f>
        <v>2025-09-04T18:35:16.520+08</v>
      </c>
      <c r="L1308" s="10" t="str">
        <f t="array" ref="L1308">IF(AND(G1308="COMPLETE", OR(K1308="INC", ISBLANK(INDEX(data!O:O, ROW())))), J1308, K1308)</f>
        <v>2025-09-04T18:35:16.520+08</v>
      </c>
      <c r="M1308" s="2">
        <v>45904.0</v>
      </c>
      <c r="N1308" s="2">
        <f t="array" ref="N1308">IF(M1308&lt;&gt;"INC", INDEX(data!M:M, MATCH(B1308, data!D:D, 0)), "")</f>
        <v>3</v>
      </c>
      <c r="O1308" s="2">
        <f t="shared" si="3"/>
        <v>3</v>
      </c>
    </row>
    <row r="1309">
      <c r="A1309" s="2" t="str">
        <f t="shared" si="1"/>
        <v>H030327</v>
      </c>
      <c r="B1309" s="1" t="s">
        <v>3482</v>
      </c>
      <c r="C1309" s="9" t="str">
        <f t="array" ref="C1309">IF(
  AND(
    IFERROR(MATCH(Caseslist!B1309, data!D:D, 0), 0) &gt; 0,
    IFERROR(INDEX(data!N:N, MATCH(Caseslist!B1309, data!D:D, 0)) = 1, FALSE)
  ),
  "COMPLETE",
  "INC"
)</f>
        <v>COMPLETE</v>
      </c>
      <c r="D1309" s="9">
        <f t="array" ref="D1309">IFERROR(INDEX(data!$G:$G,match(Caseslist!B1309,data!$D:$D,0)), "INC")</f>
        <v>896791</v>
      </c>
      <c r="E1309" s="9" t="str">
        <f t="array" ref="E1309">IFERROR(INDEX(data!H:H,match(Caseslist!B1309,data!D:D,0)), "INC")</f>
        <v>Roland A. Bandiola jr_2</v>
      </c>
      <c r="F1309" s="10" t="str">
        <f t="array" ref="F1309">IF(
    OR(
      IFNA(INDEX(data!M:M, MATCH(Caseslist!B1309, data!D:D, 0)), "") = "",
      IFNA(INDEX(data!M:M, MATCH(Caseslist!B1309, data!D:D, 0)), 0) = 0
    ),
    "COMPLETE",
    IF(
      IFNA(INDEX(dataICM!D:D, MATCH(Caseslist!B1309, dataICM!D:D, 0)), "INC") = "INC",
      IFNA(INDEX(dataICM!D:D, MATCH(Caseslist!B1309, dataICM!D:D, 0)), "INC"),
      "COMPLETE"
    )
  )</f>
        <v>COMPLETE</v>
      </c>
      <c r="G1309" s="10" t="str">
        <f t="array" ref="G1309">IF(IFERROR(INDEX(data!L:L,match(Caseslist!B1309,data!D:D,0)),"INC")="","COMPLETE",F1309)</f>
        <v>COMPLETE</v>
      </c>
      <c r="H1309" s="9" t="str">
        <f t="array" ref="H1309">IFERROR(INDEX(dataICM!F:F,match(Caseslist!B1309,dataICM!D:D,0)), "INC")</f>
        <v>Roland A. Bandiola jr_2</v>
      </c>
      <c r="I1309" s="10">
        <f t="shared" si="2"/>
        <v>896791</v>
      </c>
      <c r="J1309" s="9" t="str">
        <f t="array" ref="J1309">IF(
  AND(
    IFERROR(MATCH(B1309, data!D:D, 0), 0) &gt; 0,
    IFERROR(INDEX(data!N:N, MATCH(B1309, data!D:D, 0)) = 1, FALSE)
  ),
  INDEX(data!C:C, MATCH(B1309, data!D:D, 0)),
  "INC"
)</f>
        <v>2025-09-04T11:55:18.215+08</v>
      </c>
      <c r="K1309" s="9" t="str">
        <f t="array" ref="K1309">IFERROR(INDEX(dataICM!C:C,match(Caseslist!B1309,dataICM!D:D,0)), "INC")</f>
        <v>2025-09-04T12:06:48.876+08</v>
      </c>
      <c r="L1309" s="10" t="str">
        <f t="array" ref="L1309">IF(AND(G1309="COMPLETE", OR(K1309="INC", ISBLANK(INDEX(data!O:O, ROW())))), J1309, K1309)</f>
        <v>2025-09-04T12:06:48.876+08</v>
      </c>
      <c r="M1309" s="2">
        <v>45904.0</v>
      </c>
      <c r="N1309" s="2">
        <f t="array" ref="N1309">IF(M1309&lt;&gt;"INC", INDEX(data!M:M, MATCH(B1309, data!D:D, 0)), "")</f>
        <v>3</v>
      </c>
      <c r="O1309" s="2">
        <f t="shared" si="3"/>
        <v>3</v>
      </c>
    </row>
    <row r="1310">
      <c r="A1310" s="2" t="str">
        <f t="shared" si="1"/>
        <v>H030327</v>
      </c>
      <c r="B1310" s="1" t="s">
        <v>3487</v>
      </c>
      <c r="C1310" s="9" t="str">
        <f t="array" ref="C1310">IF(
  AND(
    IFERROR(MATCH(Caseslist!B1310, data!D:D, 0), 0) &gt; 0,
    IFERROR(INDEX(data!N:N, MATCH(Caseslist!B1310, data!D:D, 0)) = 1, FALSE)
  ),
  "COMPLETE",
  "INC"
)</f>
        <v>COMPLETE</v>
      </c>
      <c r="D1310" s="9">
        <f t="array" ref="D1310">IFERROR(INDEX(data!$G:$G,match(Caseslist!B1310,data!$D:$D,0)), "INC")</f>
        <v>896791</v>
      </c>
      <c r="E1310" s="9" t="str">
        <f t="array" ref="E1310">IFERROR(INDEX(data!H:H,match(Caseslist!B1310,data!D:D,0)), "INC")</f>
        <v>Roland A. Bandiola jr_2</v>
      </c>
      <c r="F1310" s="10" t="str">
        <f t="array" ref="F1310">IF(
    OR(
      IFNA(INDEX(data!M:M, MATCH(Caseslist!B1310, data!D:D, 0)), "") = "",
      IFNA(INDEX(data!M:M, MATCH(Caseslist!B1310, data!D:D, 0)), 0) = 0
    ),
    "COMPLETE",
    IF(
      IFNA(INDEX(dataICM!D:D, MATCH(Caseslist!B1310, dataICM!D:D, 0)), "INC") = "INC",
      IFNA(INDEX(dataICM!D:D, MATCH(Caseslist!B1310, dataICM!D:D, 0)), "INC"),
      "COMPLETE"
    )
  )</f>
        <v>COMPLETE</v>
      </c>
      <c r="G1310" s="10" t="str">
        <f t="array" ref="G1310">IF(IFERROR(INDEX(data!L:L,match(Caseslist!B1310,data!D:D,0)),"INC")="","COMPLETE",F1310)</f>
        <v>COMPLETE</v>
      </c>
      <c r="H1310" s="9" t="str">
        <f t="array" ref="H1310">IFERROR(INDEX(dataICM!F:F,match(Caseslist!B1310,dataICM!D:D,0)), "INC")</f>
        <v>Roland A. Bandiola jr_2</v>
      </c>
      <c r="I1310" s="10">
        <f t="shared" si="2"/>
        <v>896791</v>
      </c>
      <c r="J1310" s="9" t="str">
        <f t="array" ref="J1310">IF(
  AND(
    IFERROR(MATCH(B1310, data!D:D, 0), 0) &gt; 0,
    IFERROR(INDEX(data!N:N, MATCH(B1310, data!D:D, 0)) = 1, FALSE)
  ),
  INDEX(data!C:C, MATCH(B1310, data!D:D, 0)),
  "INC"
)</f>
        <v>2025-09-04T16:10:00.445+08</v>
      </c>
      <c r="K1310" s="9" t="str">
        <f t="array" ref="K1310">IFERROR(INDEX(dataICM!C:C,match(Caseslist!B1310,dataICM!D:D,0)), "INC")</f>
        <v>2025-09-04T16:22:57.672+08</v>
      </c>
      <c r="L1310" s="10" t="str">
        <f t="array" ref="L1310">IF(AND(G1310="COMPLETE", OR(K1310="INC", ISBLANK(INDEX(data!O:O, ROW())))), J1310, K1310)</f>
        <v>2025-09-04T16:22:57.672+08</v>
      </c>
      <c r="M1310" s="2">
        <v>45904.0</v>
      </c>
      <c r="N1310" s="2">
        <f t="array" ref="N1310">IF(M1310&lt;&gt;"INC", INDEX(data!M:M, MATCH(B1310, data!D:D, 0)), "")</f>
        <v>3</v>
      </c>
      <c r="O1310" s="2">
        <f t="shared" si="3"/>
        <v>3</v>
      </c>
    </row>
    <row r="1311">
      <c r="A1311" s="2" t="str">
        <f t="shared" si="1"/>
        <v>H030327</v>
      </c>
      <c r="B1311" s="1" t="s">
        <v>3072</v>
      </c>
      <c r="C1311" s="9" t="str">
        <f t="array" ref="C1311">IF(
  AND(
    IFERROR(MATCH(Caseslist!B1311, data!D:D, 0), 0) &gt; 0,
    IFERROR(INDEX(data!N:N, MATCH(Caseslist!B1311, data!D:D, 0)) = 1, FALSE)
  ),
  "COMPLETE",
  "INC"
)</f>
        <v>COMPLETE</v>
      </c>
      <c r="D1311" s="9">
        <f t="array" ref="D1311">IFERROR(INDEX(data!$G:$G,match(Caseslist!B1311,data!$D:$D,0)), "INC")</f>
        <v>896791</v>
      </c>
      <c r="E1311" s="9" t="str">
        <f t="array" ref="E1311">IFERROR(INDEX(data!H:H,match(Caseslist!B1311,data!D:D,0)), "INC")</f>
        <v>Roland A. Bandiola jr_2</v>
      </c>
      <c r="F1311" s="10" t="str">
        <f t="array" ref="F1311">IF(
    OR(
      IFNA(INDEX(data!M:M, MATCH(Caseslist!B1311, data!D:D, 0)), "") = "",
      IFNA(INDEX(data!M:M, MATCH(Caseslist!B1311, data!D:D, 0)), 0) = 0
    ),
    "COMPLETE",
    IF(
      IFNA(INDEX(dataICM!D:D, MATCH(Caseslist!B1311, dataICM!D:D, 0)), "INC") = "INC",
      IFNA(INDEX(dataICM!D:D, MATCH(Caseslist!B1311, dataICM!D:D, 0)), "INC"),
      "COMPLETE"
    )
  )</f>
        <v>COMPLETE</v>
      </c>
      <c r="G1311" s="10" t="str">
        <f t="array" ref="G1311">IF(IFERROR(INDEX(data!L:L,match(Caseslist!B1311,data!D:D,0)),"INC")="","COMPLETE",F1311)</f>
        <v>COMPLETE</v>
      </c>
      <c r="H1311" s="9" t="str">
        <f t="array" ref="H1311">IFERROR(INDEX(dataICM!F:F,match(Caseslist!B1311,dataICM!D:D,0)), "INC")</f>
        <v>Roland A. Bandiola jr_2</v>
      </c>
      <c r="I1311" s="10">
        <f t="shared" si="2"/>
        <v>896791</v>
      </c>
      <c r="J1311" s="9" t="str">
        <f t="array" ref="J1311">IF(
  AND(
    IFERROR(MATCH(B1311, data!D:D, 0), 0) &gt; 0,
    IFERROR(INDEX(data!N:N, MATCH(B1311, data!D:D, 0)) = 1, FALSE)
  ),
  INDEX(data!C:C, MATCH(B1311, data!D:D, 0)),
  "INC"
)</f>
        <v>2025-09-03T12:25:59.227+08</v>
      </c>
      <c r="K1311" s="9" t="str">
        <f t="array" ref="K1311">IFERROR(INDEX(dataICM!C:C,match(Caseslist!B1311,dataICM!D:D,0)), "INC")</f>
        <v>2025-09-03T12:34:18.992+08</v>
      </c>
      <c r="L1311" s="10" t="str">
        <f t="array" ref="L1311">IF(AND(G1311="COMPLETE", OR(K1311="INC", ISBLANK(INDEX(data!O:O, ROW())))), J1311, K1311)</f>
        <v>2025-09-03T12:34:18.992+08</v>
      </c>
      <c r="M1311" s="2">
        <v>45903.0</v>
      </c>
      <c r="N1311" s="2">
        <f t="array" ref="N1311">IF(M1311&lt;&gt;"INC", INDEX(data!M:M, MATCH(B1311, data!D:D, 0)), "")</f>
        <v>3</v>
      </c>
      <c r="O1311" s="2">
        <f t="shared" si="3"/>
        <v>3</v>
      </c>
    </row>
    <row r="1312">
      <c r="A1312" s="2" t="str">
        <f t="shared" si="1"/>
        <v>H030327</v>
      </c>
      <c r="B1312" s="1" t="s">
        <v>3016</v>
      </c>
      <c r="C1312" s="9" t="str">
        <f t="array" ref="C1312">IF(
  AND(
    IFERROR(MATCH(Caseslist!B1312, data!D:D, 0), 0) &gt; 0,
    IFERROR(INDEX(data!N:N, MATCH(Caseslist!B1312, data!D:D, 0)) = 1, FALSE)
  ),
  "COMPLETE",
  "INC"
)</f>
        <v>COMPLETE</v>
      </c>
      <c r="D1312" s="9" t="str">
        <f t="array" ref="D1312">IFERROR(INDEX(data!$G:$G,match(Caseslist!B1312,data!$D:$D,0)), "INC")</f>
        <v>C7502931</v>
      </c>
      <c r="E1312" s="9" t="str">
        <f t="array" ref="E1312">IFERROR(INDEX(data!H:H,match(Caseslist!B1312,data!D:D,0)), "INC")</f>
        <v>Jenny Lou Toles Estacio</v>
      </c>
      <c r="F1312" s="10" t="str">
        <f t="array" ref="F1312">IF(
    OR(
      IFNA(INDEX(data!M:M, MATCH(Caseslist!B1312, data!D:D, 0)), "") = "",
      IFNA(INDEX(data!M:M, MATCH(Caseslist!B1312, data!D:D, 0)), 0) = 0
    ),
    "COMPLETE",
    IF(
      IFNA(INDEX(dataICM!D:D, MATCH(Caseslist!B1312, dataICM!D:D, 0)), "INC") = "INC",
      IFNA(INDEX(dataICM!D:D, MATCH(Caseslist!B1312, dataICM!D:D, 0)), "INC"),
      "COMPLETE"
    )
  )</f>
        <v>COMPLETE</v>
      </c>
      <c r="G1312" s="10" t="str">
        <f t="array" ref="G1312">IF(IFERROR(INDEX(data!L:L,match(Caseslist!B1312,data!D:D,0)),"INC")="","COMPLETE",F1312)</f>
        <v>COMPLETE</v>
      </c>
      <c r="H1312" s="9" t="str">
        <f t="array" ref="H1312">IFERROR(INDEX(dataICM!F:F,match(Caseslist!B1312,dataICM!D:D,0)), "INC")</f>
        <v>Jenny Lou Toles Estacio</v>
      </c>
      <c r="I1312" s="10" t="str">
        <f t="shared" si="2"/>
        <v>C7502931</v>
      </c>
      <c r="J1312" s="9" t="str">
        <f t="array" ref="J1312">IF(
  AND(
    IFERROR(MATCH(B1312, data!D:D, 0), 0) &gt; 0,
    IFERROR(INDEX(data!N:N, MATCH(B1312, data!D:D, 0)) = 1, FALSE)
  ),
  INDEX(data!C:C, MATCH(B1312, data!D:D, 0)),
  "INC"
)</f>
        <v>2025-09-03T13:54:15.624+08</v>
      </c>
      <c r="K1312" s="9" t="str">
        <f t="array" ref="K1312">IFERROR(INDEX(dataICM!C:C,match(Caseslist!B1312,dataICM!D:D,0)), "INC")</f>
        <v>2025-09-03T19:13:17.710+08</v>
      </c>
      <c r="L1312" s="10" t="str">
        <f t="array" ref="L1312">IF(AND(G1312="COMPLETE", OR(K1312="INC", ISBLANK(INDEX(data!O:O, ROW())))), J1312, K1312)</f>
        <v>2025-09-03T19:13:17.710+08</v>
      </c>
      <c r="M1312" s="2">
        <v>45903.0</v>
      </c>
      <c r="N1312" s="2">
        <f t="array" ref="N1312">IF(M1312&lt;&gt;"INC", INDEX(data!M:M, MATCH(B1312, data!D:D, 0)), "")</f>
        <v>3</v>
      </c>
      <c r="O1312" s="2">
        <f t="shared" si="3"/>
        <v>3</v>
      </c>
    </row>
    <row r="1313">
      <c r="A1313" s="2" t="str">
        <f t="shared" si="1"/>
        <v>H030327</v>
      </c>
      <c r="B1313" s="1" t="s">
        <v>3001</v>
      </c>
      <c r="C1313" s="9" t="str">
        <f t="array" ref="C1313">IF(
  AND(
    IFERROR(MATCH(Caseslist!B1313, data!D:D, 0), 0) &gt; 0,
    IFERROR(INDEX(data!N:N, MATCH(Caseslist!B1313, data!D:D, 0)) = 1, FALSE)
  ),
  "COMPLETE",
  "INC"
)</f>
        <v>COMPLETE</v>
      </c>
      <c r="D1313" s="9" t="str">
        <f t="array" ref="D1313">IFERROR(INDEX(data!$G:$G,match(Caseslist!B1313,data!$D:$D,0)), "INC")</f>
        <v>C7502931</v>
      </c>
      <c r="E1313" s="9" t="str">
        <f t="array" ref="E1313">IFERROR(INDEX(data!H:H,match(Caseslist!B1313,data!D:D,0)), "INC")</f>
        <v>Jenny Lou Toles Estacio</v>
      </c>
      <c r="F1313" s="10" t="str">
        <f t="array" ref="F1313">IF(
    OR(
      IFNA(INDEX(data!M:M, MATCH(Caseslist!B1313, data!D:D, 0)), "") = "",
      IFNA(INDEX(data!M:M, MATCH(Caseslist!B1313, data!D:D, 0)), 0) = 0
    ),
    "COMPLETE",
    IF(
      IFNA(INDEX(dataICM!D:D, MATCH(Caseslist!B1313, dataICM!D:D, 0)), "INC") = "INC",
      IFNA(INDEX(dataICM!D:D, MATCH(Caseslist!B1313, dataICM!D:D, 0)), "INC"),
      "COMPLETE"
    )
  )</f>
        <v>COMPLETE</v>
      </c>
      <c r="G1313" s="10" t="str">
        <f t="array" ref="G1313">IF(IFERROR(INDEX(data!L:L,match(Caseslist!B1313,data!D:D,0)),"INC")="","COMPLETE",F1313)</f>
        <v>COMPLETE</v>
      </c>
      <c r="H1313" s="9" t="str">
        <f t="array" ref="H1313">IFERROR(INDEX(dataICM!F:F,match(Caseslist!B1313,dataICM!D:D,0)), "INC")</f>
        <v>Jenny Lou Toles Estacio</v>
      </c>
      <c r="I1313" s="10" t="str">
        <f t="shared" si="2"/>
        <v>C7502931</v>
      </c>
      <c r="J1313" s="9" t="str">
        <f t="array" ref="J1313">IF(
  AND(
    IFERROR(MATCH(B1313, data!D:D, 0), 0) &gt; 0,
    IFERROR(INDEX(data!N:N, MATCH(B1313, data!D:D, 0)) = 1, FALSE)
  ),
  INDEX(data!C:C, MATCH(B1313, data!D:D, 0)),
  "INC"
)</f>
        <v>2025-09-03T10:22:02.381+08</v>
      </c>
      <c r="K1313" s="9" t="str">
        <f t="array" ref="K1313">IFERROR(INDEX(dataICM!C:C,match(Caseslist!B1313,dataICM!D:D,0)), "INC")</f>
        <v>2025-09-03T19:14:47.500+08</v>
      </c>
      <c r="L1313" s="10" t="str">
        <f t="array" ref="L1313">IF(AND(G1313="COMPLETE", OR(K1313="INC", ISBLANK(INDEX(data!O:O, ROW())))), J1313, K1313)</f>
        <v>2025-09-03T19:14:47.500+08</v>
      </c>
      <c r="M1313" s="2">
        <v>45903.0</v>
      </c>
      <c r="N1313" s="2">
        <f t="array" ref="N1313">IF(M1313&lt;&gt;"INC", INDEX(data!M:M, MATCH(B1313, data!D:D, 0)), "")</f>
        <v>3</v>
      </c>
      <c r="O1313" s="2">
        <f t="shared" si="3"/>
        <v>3</v>
      </c>
    </row>
    <row r="1314">
      <c r="A1314" s="2" t="str">
        <f t="shared" si="1"/>
        <v>H030327</v>
      </c>
      <c r="B1314" s="1" t="s">
        <v>3077</v>
      </c>
      <c r="C1314" s="9" t="str">
        <f t="array" ref="C1314">IF(
  AND(
    IFERROR(MATCH(Caseslist!B1314, data!D:D, 0), 0) &gt; 0,
    IFERROR(INDEX(data!N:N, MATCH(Caseslist!B1314, data!D:D, 0)) = 1, FALSE)
  ),
  "COMPLETE",
  "INC"
)</f>
        <v>COMPLETE</v>
      </c>
      <c r="D1314" s="9">
        <f t="array" ref="D1314">IFERROR(INDEX(data!$G:$G,match(Caseslist!B1314,data!$D:$D,0)), "INC")</f>
        <v>896791</v>
      </c>
      <c r="E1314" s="9" t="str">
        <f t="array" ref="E1314">IFERROR(INDEX(data!H:H,match(Caseslist!B1314,data!D:D,0)), "INC")</f>
        <v>Roland A. Bandiola jr_2</v>
      </c>
      <c r="F1314" s="10" t="str">
        <f t="array" ref="F1314">IF(
    OR(
      IFNA(INDEX(data!M:M, MATCH(Caseslist!B1314, data!D:D, 0)), "") = "",
      IFNA(INDEX(data!M:M, MATCH(Caseslist!B1314, data!D:D, 0)), 0) = 0
    ),
    "COMPLETE",
    IF(
      IFNA(INDEX(dataICM!D:D, MATCH(Caseslist!B1314, dataICM!D:D, 0)), "INC") = "INC",
      IFNA(INDEX(dataICM!D:D, MATCH(Caseslist!B1314, dataICM!D:D, 0)), "INC"),
      "COMPLETE"
    )
  )</f>
        <v>COMPLETE</v>
      </c>
      <c r="G1314" s="10" t="str">
        <f t="array" ref="G1314">IF(IFERROR(INDEX(data!L:L,match(Caseslist!B1314,data!D:D,0)),"INC")="","COMPLETE",F1314)</f>
        <v>COMPLETE</v>
      </c>
      <c r="H1314" s="9" t="str">
        <f t="array" ref="H1314">IFERROR(INDEX(dataICM!F:F,match(Caseslist!B1314,dataICM!D:D,0)), "INC")</f>
        <v>Roland A. Bandiola jr_2</v>
      </c>
      <c r="I1314" s="10">
        <f t="shared" si="2"/>
        <v>896791</v>
      </c>
      <c r="J1314" s="9" t="str">
        <f t="array" ref="J1314">IF(
  AND(
    IFERROR(MATCH(B1314, data!D:D, 0), 0) &gt; 0,
    IFERROR(INDEX(data!N:N, MATCH(B1314, data!D:D, 0)) = 1, FALSE)
  ),
  INDEX(data!C:C, MATCH(B1314, data!D:D, 0)),
  "INC"
)</f>
        <v>2025-09-03T14:07:59.559+08</v>
      </c>
      <c r="K1314" s="9" t="str">
        <f t="array" ref="K1314">IFERROR(INDEX(dataICM!C:C,match(Caseslist!B1314,dataICM!D:D,0)), "INC")</f>
        <v>2025-09-03T14:22:55.418+08</v>
      </c>
      <c r="L1314" s="10" t="str">
        <f t="array" ref="L1314">IF(AND(G1314="COMPLETE", OR(K1314="INC", ISBLANK(INDEX(data!O:O, ROW())))), J1314, K1314)</f>
        <v>2025-09-03T14:22:55.418+08</v>
      </c>
      <c r="M1314" s="2">
        <v>45903.0</v>
      </c>
      <c r="N1314" s="2">
        <f t="array" ref="N1314">IF(M1314&lt;&gt;"INC", INDEX(data!M:M, MATCH(B1314, data!D:D, 0)), "")</f>
        <v>3</v>
      </c>
      <c r="O1314" s="2">
        <f t="shared" si="3"/>
        <v>3</v>
      </c>
    </row>
    <row r="1315">
      <c r="A1315" s="2" t="str">
        <f t="shared" si="1"/>
        <v>H030327</v>
      </c>
      <c r="B1315" s="1" t="s">
        <v>3006</v>
      </c>
      <c r="C1315" s="9" t="str">
        <f t="array" ref="C1315">IF(
  AND(
    IFERROR(MATCH(Caseslist!B1315, data!D:D, 0), 0) &gt; 0,
    IFERROR(INDEX(data!N:N, MATCH(Caseslist!B1315, data!D:D, 0)) = 1, FALSE)
  ),
  "COMPLETE",
  "INC"
)</f>
        <v>COMPLETE</v>
      </c>
      <c r="D1315" s="9" t="str">
        <f t="array" ref="D1315">IFERROR(INDEX(data!$G:$G,match(Caseslist!B1315,data!$D:$D,0)), "INC")</f>
        <v>C7502931</v>
      </c>
      <c r="E1315" s="9" t="str">
        <f t="array" ref="E1315">IFERROR(INDEX(data!H:H,match(Caseslist!B1315,data!D:D,0)), "INC")</f>
        <v>Jenny Lou Toles Estacio</v>
      </c>
      <c r="F1315" s="10" t="str">
        <f t="array" ref="F1315">IF(
    OR(
      IFNA(INDEX(data!M:M, MATCH(Caseslist!B1315, data!D:D, 0)), "") = "",
      IFNA(INDEX(data!M:M, MATCH(Caseslist!B1315, data!D:D, 0)), 0) = 0
    ),
    "COMPLETE",
    IF(
      IFNA(INDEX(dataICM!D:D, MATCH(Caseslist!B1315, dataICM!D:D, 0)), "INC") = "INC",
      IFNA(INDEX(dataICM!D:D, MATCH(Caseslist!B1315, dataICM!D:D, 0)), "INC"),
      "COMPLETE"
    )
  )</f>
        <v>COMPLETE</v>
      </c>
      <c r="G1315" s="10" t="str">
        <f t="array" ref="G1315">IF(IFERROR(INDEX(data!L:L,match(Caseslist!B1315,data!D:D,0)),"INC")="","COMPLETE",F1315)</f>
        <v>COMPLETE</v>
      </c>
      <c r="H1315" s="9" t="str">
        <f t="array" ref="H1315">IFERROR(INDEX(dataICM!F:F,match(Caseslist!B1315,dataICM!D:D,0)), "INC")</f>
        <v>Jenny Lou Toles Estacio</v>
      </c>
      <c r="I1315" s="10" t="str">
        <f t="shared" si="2"/>
        <v>C7502931</v>
      </c>
      <c r="J1315" s="9" t="str">
        <f t="array" ref="J1315">IF(
  AND(
    IFERROR(MATCH(B1315, data!D:D, 0), 0) &gt; 0,
    IFERROR(INDEX(data!N:N, MATCH(B1315, data!D:D, 0)) = 1, FALSE)
  ),
  INDEX(data!C:C, MATCH(B1315, data!D:D, 0)),
  "INC"
)</f>
        <v>2025-09-03T11:15:46.580+08</v>
      </c>
      <c r="K1315" s="9" t="str">
        <f t="array" ref="K1315">IFERROR(INDEX(dataICM!C:C,match(Caseslist!B1315,dataICM!D:D,0)), "INC")</f>
        <v>2025-09-03T19:10:59.706+08</v>
      </c>
      <c r="L1315" s="10" t="str">
        <f t="array" ref="L1315">IF(AND(G1315="COMPLETE", OR(K1315="INC", ISBLANK(INDEX(data!O:O, ROW())))), J1315, K1315)</f>
        <v>2025-09-03T19:10:59.706+08</v>
      </c>
      <c r="M1315" s="2">
        <v>45903.0</v>
      </c>
      <c r="N1315" s="2">
        <f t="array" ref="N1315">IF(M1315&lt;&gt;"INC", INDEX(data!M:M, MATCH(B1315, data!D:D, 0)), "")</f>
        <v>3</v>
      </c>
      <c r="O1315" s="2">
        <f t="shared" si="3"/>
        <v>3</v>
      </c>
    </row>
    <row r="1316">
      <c r="A1316" s="2" t="str">
        <f t="shared" si="1"/>
        <v>H030327</v>
      </c>
      <c r="B1316" s="1" t="s">
        <v>3082</v>
      </c>
      <c r="C1316" s="9" t="str">
        <f t="array" ref="C1316">IF(
  AND(
    IFERROR(MATCH(Caseslist!B1316, data!D:D, 0), 0) &gt; 0,
    IFERROR(INDEX(data!N:N, MATCH(Caseslist!B1316, data!D:D, 0)) = 1, FALSE)
  ),
  "COMPLETE",
  "INC"
)</f>
        <v>COMPLETE</v>
      </c>
      <c r="D1316" s="9">
        <f t="array" ref="D1316">IFERROR(INDEX(data!$G:$G,match(Caseslist!B1316,data!$D:$D,0)), "INC")</f>
        <v>896791</v>
      </c>
      <c r="E1316" s="9" t="str">
        <f t="array" ref="E1316">IFERROR(INDEX(data!H:H,match(Caseslist!B1316,data!D:D,0)), "INC")</f>
        <v>Roland A. Bandiola jr_2</v>
      </c>
      <c r="F1316" s="10" t="str">
        <f t="array" ref="F1316">IF(
    OR(
      IFNA(INDEX(data!M:M, MATCH(Caseslist!B1316, data!D:D, 0)), "") = "",
      IFNA(INDEX(data!M:M, MATCH(Caseslist!B1316, data!D:D, 0)), 0) = 0
    ),
    "COMPLETE",
    IF(
      IFNA(INDEX(dataICM!D:D, MATCH(Caseslist!B1316, dataICM!D:D, 0)), "INC") = "INC",
      IFNA(INDEX(dataICM!D:D, MATCH(Caseslist!B1316, dataICM!D:D, 0)), "INC"),
      "COMPLETE"
    )
  )</f>
        <v>COMPLETE</v>
      </c>
      <c r="G1316" s="10" t="str">
        <f t="array" ref="G1316">IF(IFERROR(INDEX(data!L:L,match(Caseslist!B1316,data!D:D,0)),"INC")="","COMPLETE",F1316)</f>
        <v>COMPLETE</v>
      </c>
      <c r="H1316" s="9" t="str">
        <f t="array" ref="H1316">IFERROR(INDEX(dataICM!F:F,match(Caseslist!B1316,dataICM!D:D,0)), "INC")</f>
        <v>Roland A. Bandiola jr_2</v>
      </c>
      <c r="I1316" s="10">
        <f t="shared" si="2"/>
        <v>896791</v>
      </c>
      <c r="J1316" s="9" t="str">
        <f t="array" ref="J1316">IF(
  AND(
    IFERROR(MATCH(B1316, data!D:D, 0), 0) &gt; 0,
    IFERROR(INDEX(data!N:N, MATCH(B1316, data!D:D, 0)) = 1, FALSE)
  ),
  INDEX(data!C:C, MATCH(B1316, data!D:D, 0)),
  "INC"
)</f>
        <v>2025-09-03T10:23:12.438+08</v>
      </c>
      <c r="K1316" s="9" t="str">
        <f t="array" ref="K1316">IFERROR(INDEX(dataICM!C:C,match(Caseslist!B1316,dataICM!D:D,0)), "INC")</f>
        <v>2025-09-03T10:39:55.191+08</v>
      </c>
      <c r="L1316" s="10" t="str">
        <f t="array" ref="L1316">IF(AND(G1316="COMPLETE", OR(K1316="INC", ISBLANK(INDEX(data!O:O, ROW())))), J1316, K1316)</f>
        <v>2025-09-03T10:39:55.191+08</v>
      </c>
      <c r="M1316" s="2">
        <v>45903.0</v>
      </c>
      <c r="N1316" s="2">
        <f t="array" ref="N1316">IF(M1316&lt;&gt;"INC", INDEX(data!M:M, MATCH(B1316, data!D:D, 0)), "")</f>
        <v>3</v>
      </c>
      <c r="O1316" s="2">
        <f t="shared" si="3"/>
        <v>3</v>
      </c>
    </row>
    <row r="1317">
      <c r="A1317" s="2" t="str">
        <f t="shared" si="1"/>
        <v>H030327</v>
      </c>
      <c r="B1317" s="1" t="s">
        <v>3011</v>
      </c>
      <c r="C1317" s="9" t="str">
        <f t="array" ref="C1317">IF(
  AND(
    IFERROR(MATCH(Caseslist!B1317, data!D:D, 0), 0) &gt; 0,
    IFERROR(INDEX(data!N:N, MATCH(Caseslist!B1317, data!D:D, 0)) = 1, FALSE)
  ),
  "COMPLETE",
  "INC"
)</f>
        <v>COMPLETE</v>
      </c>
      <c r="D1317" s="9" t="str">
        <f t="array" ref="D1317">IFERROR(INDEX(data!$G:$G,match(Caseslist!B1317,data!$D:$D,0)), "INC")</f>
        <v>C7502931</v>
      </c>
      <c r="E1317" s="9" t="str">
        <f t="array" ref="E1317">IFERROR(INDEX(data!H:H,match(Caseslist!B1317,data!D:D,0)), "INC")</f>
        <v>Jenny Lou Toles Estacio</v>
      </c>
      <c r="F1317" s="10" t="str">
        <f t="array" ref="F1317">IF(
    OR(
      IFNA(INDEX(data!M:M, MATCH(Caseslist!B1317, data!D:D, 0)), "") = "",
      IFNA(INDEX(data!M:M, MATCH(Caseslist!B1317, data!D:D, 0)), 0) = 0
    ),
    "COMPLETE",
    IF(
      IFNA(INDEX(dataICM!D:D, MATCH(Caseslist!B1317, dataICM!D:D, 0)), "INC") = "INC",
      IFNA(INDEX(dataICM!D:D, MATCH(Caseslist!B1317, dataICM!D:D, 0)), "INC"),
      "COMPLETE"
    )
  )</f>
        <v>COMPLETE</v>
      </c>
      <c r="G1317" s="10" t="str">
        <f t="array" ref="G1317">IF(IFERROR(INDEX(data!L:L,match(Caseslist!B1317,data!D:D,0)),"INC")="","COMPLETE",F1317)</f>
        <v>COMPLETE</v>
      </c>
      <c r="H1317" s="9" t="str">
        <f t="array" ref="H1317">IFERROR(INDEX(dataICM!F:F,match(Caseslist!B1317,dataICM!D:D,0)), "INC")</f>
        <v>Jenny Lou Toles Estacio</v>
      </c>
      <c r="I1317" s="10" t="str">
        <f t="shared" si="2"/>
        <v>C7502931</v>
      </c>
      <c r="J1317" s="9" t="str">
        <f t="array" ref="J1317">IF(
  AND(
    IFERROR(MATCH(B1317, data!D:D, 0), 0) &gt; 0,
    IFERROR(INDEX(data!N:N, MATCH(B1317, data!D:D, 0)) = 1, FALSE)
  ),
  INDEX(data!C:C, MATCH(B1317, data!D:D, 0)),
  "INC"
)</f>
        <v>2025-09-03T12:51:56.478+08</v>
      </c>
      <c r="K1317" s="9" t="str">
        <f t="array" ref="K1317">IFERROR(INDEX(dataICM!C:C,match(Caseslist!B1317,dataICM!D:D,0)), "INC")</f>
        <v>2025-09-03T19:10:36.926+08</v>
      </c>
      <c r="L1317" s="10" t="str">
        <f t="array" ref="L1317">IF(AND(G1317="COMPLETE", OR(K1317="INC", ISBLANK(INDEX(data!O:O, ROW())))), J1317, K1317)</f>
        <v>2025-09-03T19:10:36.926+08</v>
      </c>
      <c r="M1317" s="2">
        <v>45903.0</v>
      </c>
      <c r="N1317" s="2">
        <f t="array" ref="N1317">IF(M1317&lt;&gt;"INC", INDEX(data!M:M, MATCH(B1317, data!D:D, 0)), "")</f>
        <v>3</v>
      </c>
      <c r="O1317" s="2">
        <f t="shared" si="3"/>
        <v>3</v>
      </c>
    </row>
    <row r="1318">
      <c r="A1318" s="2" t="str">
        <f t="shared" si="1"/>
        <v>H030332</v>
      </c>
      <c r="B1318" s="1" t="s">
        <v>1943</v>
      </c>
      <c r="C1318" s="9" t="str">
        <f t="array" ref="C1318">IF(
  AND(
    IFERROR(MATCH(Caseslist!B1318, data!D:D, 0), 0) &gt; 0,
    IFERROR(INDEX(data!N:N, MATCH(Caseslist!B1318, data!D:D, 0)) = 1, FALSE)
  ),
  "COMPLETE",
  "INC"
)</f>
        <v>COMPLETE</v>
      </c>
      <c r="D1318" s="9" t="str">
        <f t="array" ref="D1318">IFERROR(INDEX(data!$G:$G,match(Caseslist!B1318,data!$D:$D,0)), "INC")</f>
        <v>C7502931</v>
      </c>
      <c r="E1318" s="9" t="str">
        <f t="array" ref="E1318">IFERROR(INDEX(data!H:H,match(Caseslist!B1318,data!D:D,0)), "INC")</f>
        <v>Jenny Lou Toles Estacio</v>
      </c>
      <c r="F1318" s="10" t="str">
        <f t="array" ref="F1318">IF(
    OR(
      IFNA(INDEX(data!M:M, MATCH(Caseslist!B1318, data!D:D, 0)), "") = "",
      IFNA(INDEX(data!M:M, MATCH(Caseslist!B1318, data!D:D, 0)), 0) = 0
    ),
    "COMPLETE",
    IF(
      IFNA(INDEX(dataICM!D:D, MATCH(Caseslist!B1318, dataICM!D:D, 0)), "INC") = "INC",
      IFNA(INDEX(dataICM!D:D, MATCH(Caseslist!B1318, dataICM!D:D, 0)), "INC"),
      "COMPLETE"
    )
  )</f>
        <v>COMPLETE</v>
      </c>
      <c r="G1318" s="10" t="str">
        <f t="array" ref="G1318">IF(IFERROR(INDEX(data!L:L,match(Caseslist!B1318,data!D:D,0)),"INC")="","COMPLETE",F1318)</f>
        <v>COMPLETE</v>
      </c>
      <c r="H1318" s="9" t="str">
        <f t="array" ref="H1318">IFERROR(INDEX(dataICM!F:F,match(Caseslist!B1318,dataICM!D:D,0)), "INC")</f>
        <v>Jenny Lou Toles Estacio</v>
      </c>
      <c r="I1318" s="10" t="str">
        <f t="shared" si="2"/>
        <v>C7502931</v>
      </c>
      <c r="J1318" s="9" t="str">
        <f t="array" ref="J1318">IF(
  AND(
    IFERROR(MATCH(B1318, data!D:D, 0), 0) &gt; 0,
    IFERROR(INDEX(data!N:N, MATCH(B1318, data!D:D, 0)) = 1, FALSE)
  ),
  INDEX(data!C:C, MATCH(B1318, data!D:D, 0)),
  "INC"
)</f>
        <v>2025-08-30T12:17:05.250+08</v>
      </c>
      <c r="K1318" s="9" t="str">
        <f t="array" ref="K1318">IFERROR(INDEX(dataICM!C:C,match(Caseslist!B1318,dataICM!D:D,0)), "INC")</f>
        <v>2025-08-30T19:18:44.017+08</v>
      </c>
      <c r="L1318" s="10" t="str">
        <f t="array" ref="L1318">IF(AND(G1318="COMPLETE", OR(K1318="INC", ISBLANK(INDEX(data!O:O, ROW())))), J1318, K1318)</f>
        <v>2025-08-30T19:18:44.017+08</v>
      </c>
      <c r="M1318" s="2">
        <v>45899.0</v>
      </c>
      <c r="N1318" s="2">
        <f t="array" ref="N1318">IF(M1318&lt;&gt;"INC", INDEX(data!M:M, MATCH(B1318, data!D:D, 0)), "")</f>
        <v>2</v>
      </c>
      <c r="O1318" s="2">
        <f t="shared" si="3"/>
        <v>2</v>
      </c>
    </row>
    <row r="1319">
      <c r="A1319" s="2" t="str">
        <f t="shared" si="1"/>
        <v>H030332</v>
      </c>
      <c r="B1319" s="1" t="s">
        <v>8932</v>
      </c>
      <c r="C1319" s="9" t="str">
        <f t="array" ref="C1319">IF(
  AND(
    IFERROR(MATCH(Caseslist!B1319, data!D:D, 0), 0) &gt; 0,
    IFERROR(INDEX(data!N:N, MATCH(Caseslist!B1319, data!D:D, 0)) = 1, FALSE)
  ),
  "COMPLETE",
  "INC"
)</f>
        <v>INC</v>
      </c>
      <c r="D1319" s="9" t="str">
        <f t="array" ref="D1319">IFERROR(INDEX(data!$G:$G,match(Caseslist!B1319,data!$D:$D,0)), "INC")</f>
        <v>INC</v>
      </c>
      <c r="E1319" s="9" t="str">
        <f t="array" ref="E1319">IFERROR(INDEX(data!H:H,match(Caseslist!B1319,data!D:D,0)), "INC")</f>
        <v>INC</v>
      </c>
      <c r="F1319" s="10" t="str">
        <f t="array" ref="F1319">IF(
    OR(
      IFNA(INDEX(data!M:M, MATCH(Caseslist!B1319, data!D:D, 0)), "") = "",
      IFNA(INDEX(data!M:M, MATCH(Caseslist!B1319, data!D:D, 0)), 0) = 0
    ),
    "COMPLETE",
    IF(
      IFNA(INDEX(dataICM!D:D, MATCH(Caseslist!B1319, dataICM!D:D, 0)), "INC") = "INC",
      IFNA(INDEX(dataICM!D:D, MATCH(Caseslist!B1319, dataICM!D:D, 0)), "INC"),
      "COMPLETE"
    )
  )</f>
        <v>COMPLETE</v>
      </c>
      <c r="G1319" s="10" t="str">
        <f t="array" ref="G1319">IF(IFERROR(INDEX(data!L:L,match(Caseslist!B1319,data!D:D,0)),"INC")="","COMPLETE",F1319)</f>
        <v>COMPLETE</v>
      </c>
      <c r="H1319" s="9" t="str">
        <f t="array" ref="H1319">IFERROR(INDEX(dataICM!F:F,match(Caseslist!B1319,dataICM!D:D,0)), "INC")</f>
        <v>INC</v>
      </c>
      <c r="I1319" s="10" t="str">
        <f t="shared" si="2"/>
        <v>INC</v>
      </c>
      <c r="J1319" s="9" t="str">
        <f t="array" ref="J1319">IF(
  AND(
    IFERROR(MATCH(B1319, data!D:D, 0), 0) &gt; 0,
    IFERROR(INDEX(data!N:N, MATCH(B1319, data!D:D, 0)) = 1, FALSE)
  ),
  INDEX(data!C:C, MATCH(B1319, data!D:D, 0)),
  "INC"
)</f>
        <v>INC</v>
      </c>
      <c r="K1319" s="9" t="str">
        <f t="array" ref="K1319">IFERROR(INDEX(dataICM!C:C,match(Caseslist!B1319,dataICM!D:D,0)), "INC")</f>
        <v>INC</v>
      </c>
      <c r="L1319" s="10" t="str">
        <f t="array" ref="L1319">IF(AND(G1319="COMPLETE", OR(K1319="INC", ISBLANK(INDEX(data!O:O, ROW())))), J1319, K1319)</f>
        <v>INC</v>
      </c>
      <c r="M1319" s="2" t="s">
        <v>8886</v>
      </c>
      <c r="N1319" s="2" t="str">
        <f t="array" ref="N1319">IF(M1319&lt;&gt;"INC", INDEX(data!M:M, MATCH(B1319, data!D:D, 0)), "")</f>
        <v/>
      </c>
      <c r="O1319" s="2" t="str">
        <f t="shared" si="3"/>
        <v/>
      </c>
    </row>
    <row r="1320">
      <c r="A1320" s="2" t="str">
        <f t="shared" si="1"/>
        <v>H030332</v>
      </c>
      <c r="B1320" s="1" t="s">
        <v>8933</v>
      </c>
      <c r="C1320" s="9" t="str">
        <f t="array" ref="C1320">IF(
  AND(
    IFERROR(MATCH(Caseslist!B1320, data!D:D, 0), 0) &gt; 0,
    IFERROR(INDEX(data!N:N, MATCH(Caseslist!B1320, data!D:D, 0)) = 1, FALSE)
  ),
  "COMPLETE",
  "INC"
)</f>
        <v>INC</v>
      </c>
      <c r="D1320" s="9" t="str">
        <f t="array" ref="D1320">IFERROR(INDEX(data!$G:$G,match(Caseslist!B1320,data!$D:$D,0)), "INC")</f>
        <v>INC</v>
      </c>
      <c r="E1320" s="9" t="str">
        <f t="array" ref="E1320">IFERROR(INDEX(data!H:H,match(Caseslist!B1320,data!D:D,0)), "INC")</f>
        <v>INC</v>
      </c>
      <c r="F1320" s="10" t="str">
        <f t="array" ref="F1320">IF(
    OR(
      IFNA(INDEX(data!M:M, MATCH(Caseslist!B1320, data!D:D, 0)), "") = "",
      IFNA(INDEX(data!M:M, MATCH(Caseslist!B1320, data!D:D, 0)), 0) = 0
    ),
    "COMPLETE",
    IF(
      IFNA(INDEX(dataICM!D:D, MATCH(Caseslist!B1320, dataICM!D:D, 0)), "INC") = "INC",
      IFNA(INDEX(dataICM!D:D, MATCH(Caseslist!B1320, dataICM!D:D, 0)), "INC"),
      "COMPLETE"
    )
  )</f>
        <v>COMPLETE</v>
      </c>
      <c r="G1320" s="10" t="str">
        <f t="array" ref="G1320">IF(IFERROR(INDEX(data!L:L,match(Caseslist!B1320,data!D:D,0)),"INC")="","COMPLETE",F1320)</f>
        <v>COMPLETE</v>
      </c>
      <c r="H1320" s="9" t="str">
        <f t="array" ref="H1320">IFERROR(INDEX(dataICM!F:F,match(Caseslist!B1320,dataICM!D:D,0)), "INC")</f>
        <v>INC</v>
      </c>
      <c r="I1320" s="10" t="str">
        <f t="shared" si="2"/>
        <v>INC</v>
      </c>
      <c r="J1320" s="9" t="str">
        <f t="array" ref="J1320">IF(
  AND(
    IFERROR(MATCH(B1320, data!D:D, 0), 0) &gt; 0,
    IFERROR(INDEX(data!N:N, MATCH(B1320, data!D:D, 0)) = 1, FALSE)
  ),
  INDEX(data!C:C, MATCH(B1320, data!D:D, 0)),
  "INC"
)</f>
        <v>INC</v>
      </c>
      <c r="K1320" s="9" t="str">
        <f t="array" ref="K1320">IFERROR(INDEX(dataICM!C:C,match(Caseslist!B1320,dataICM!D:D,0)), "INC")</f>
        <v>INC</v>
      </c>
      <c r="L1320" s="10" t="str">
        <f t="array" ref="L1320">IF(AND(G1320="COMPLETE", OR(K1320="INC", ISBLANK(INDEX(data!O:O, ROW())))), J1320, K1320)</f>
        <v>INC</v>
      </c>
      <c r="M1320" s="2" t="s">
        <v>8886</v>
      </c>
      <c r="N1320" s="2" t="str">
        <f t="array" ref="N1320">IF(M1320&lt;&gt;"INC", INDEX(data!M:M, MATCH(B1320, data!D:D, 0)), "")</f>
        <v/>
      </c>
      <c r="O1320" s="2" t="str">
        <f t="shared" si="3"/>
        <v/>
      </c>
    </row>
    <row r="1321">
      <c r="A1321" s="2" t="str">
        <f t="shared" si="1"/>
        <v>H030332</v>
      </c>
      <c r="B1321" s="1" t="s">
        <v>1903</v>
      </c>
      <c r="C1321" s="9" t="str">
        <f t="array" ref="C1321">IF(
  AND(
    IFERROR(MATCH(Caseslist!B1321, data!D:D, 0), 0) &gt; 0,
    IFERROR(INDEX(data!N:N, MATCH(Caseslist!B1321, data!D:D, 0)) = 1, FALSE)
  ),
  "COMPLETE",
  "INC"
)</f>
        <v>COMPLETE</v>
      </c>
      <c r="D1321" s="9">
        <f t="array" ref="D1321">IFERROR(INDEX(data!$G:$G,match(Caseslist!B1321,data!$D:$D,0)), "INC")</f>
        <v>896791</v>
      </c>
      <c r="E1321" s="9" t="str">
        <f t="array" ref="E1321">IFERROR(INDEX(data!H:H,match(Caseslist!B1321,data!D:D,0)), "INC")</f>
        <v>Roland A. Bandiola jr</v>
      </c>
      <c r="F1321" s="10" t="str">
        <f t="array" ref="F1321">IF(
    OR(
      IFNA(INDEX(data!M:M, MATCH(Caseslist!B1321, data!D:D, 0)), "") = "",
      IFNA(INDEX(data!M:M, MATCH(Caseslist!B1321, data!D:D, 0)), 0) = 0
    ),
    "COMPLETE",
    IF(
      IFNA(INDEX(dataICM!D:D, MATCH(Caseslist!B1321, dataICM!D:D, 0)), "INC") = "INC",
      IFNA(INDEX(dataICM!D:D, MATCH(Caseslist!B1321, dataICM!D:D, 0)), "INC"),
      "COMPLETE"
    )
  )</f>
        <v>COMPLETE</v>
      </c>
      <c r="G1321" s="10" t="str">
        <f t="array" ref="G1321">IF(IFERROR(INDEX(data!L:L,match(Caseslist!B1321,data!D:D,0)),"INC")="","COMPLETE",F1321)</f>
        <v>COMPLETE</v>
      </c>
      <c r="H1321" s="9" t="str">
        <f t="array" ref="H1321">IFERROR(INDEX(dataICM!F:F,match(Caseslist!B1321,dataICM!D:D,0)), "INC")</f>
        <v>Roland A. Bandiola jr</v>
      </c>
      <c r="I1321" s="10">
        <f t="shared" si="2"/>
        <v>896791</v>
      </c>
      <c r="J1321" s="9" t="str">
        <f t="array" ref="J1321">IF(
  AND(
    IFERROR(MATCH(B1321, data!D:D, 0), 0) &gt; 0,
    IFERROR(INDEX(data!N:N, MATCH(B1321, data!D:D, 0)) = 1, FALSE)
  ),
  INDEX(data!C:C, MATCH(B1321, data!D:D, 0)),
  "INC"
)</f>
        <v>2025-08-30T11:20:52.496+08</v>
      </c>
      <c r="K1321" s="9" t="str">
        <f t="array" ref="K1321">IFERROR(INDEX(dataICM!C:C,match(Caseslist!B1321,dataICM!D:D,0)), "INC")</f>
        <v>2025-08-30T11:35:07.177+08</v>
      </c>
      <c r="L1321" s="10" t="str">
        <f t="array" ref="L1321">IF(AND(G1321="COMPLETE", OR(K1321="INC", ISBLANK(INDEX(data!O:O, ROW())))), J1321, K1321)</f>
        <v>2025-08-30T11:35:07.177+08</v>
      </c>
      <c r="M1321" s="2">
        <v>45899.0</v>
      </c>
      <c r="N1321" s="2">
        <f t="array" ref="N1321">IF(M1321&lt;&gt;"INC", INDEX(data!M:M, MATCH(B1321, data!D:D, 0)), "")</f>
        <v>2</v>
      </c>
      <c r="O1321" s="2">
        <f t="shared" si="3"/>
        <v>2</v>
      </c>
    </row>
    <row r="1322">
      <c r="A1322" s="2" t="str">
        <f t="shared" si="1"/>
        <v>H030332</v>
      </c>
      <c r="B1322" s="1" t="s">
        <v>1938</v>
      </c>
      <c r="C1322" s="9" t="str">
        <f t="array" ref="C1322">IF(
  AND(
    IFERROR(MATCH(Caseslist!B1322, data!D:D, 0), 0) &gt; 0,
    IFERROR(INDEX(data!N:N, MATCH(Caseslist!B1322, data!D:D, 0)) = 1, FALSE)
  ),
  "COMPLETE",
  "INC"
)</f>
        <v>COMPLETE</v>
      </c>
      <c r="D1322" s="9" t="str">
        <f t="array" ref="D1322">IFERROR(INDEX(data!$G:$G,match(Caseslist!B1322,data!$D:$D,0)), "INC")</f>
        <v>C7502931</v>
      </c>
      <c r="E1322" s="9" t="str">
        <f t="array" ref="E1322">IFERROR(INDEX(data!H:H,match(Caseslist!B1322,data!D:D,0)), "INC")</f>
        <v>Jenny Lou Toles Estacio</v>
      </c>
      <c r="F1322" s="10" t="str">
        <f t="array" ref="F1322">IF(
    OR(
      IFNA(INDEX(data!M:M, MATCH(Caseslist!B1322, data!D:D, 0)), "") = "",
      IFNA(INDEX(data!M:M, MATCH(Caseslist!B1322, data!D:D, 0)), 0) = 0
    ),
    "COMPLETE",
    IF(
      IFNA(INDEX(dataICM!D:D, MATCH(Caseslist!B1322, dataICM!D:D, 0)), "INC") = "INC",
      IFNA(INDEX(dataICM!D:D, MATCH(Caseslist!B1322, dataICM!D:D, 0)), "INC"),
      "COMPLETE"
    )
  )</f>
        <v>COMPLETE</v>
      </c>
      <c r="G1322" s="10" t="str">
        <f t="array" ref="G1322">IF(IFERROR(INDEX(data!L:L,match(Caseslist!B1322,data!D:D,0)),"INC")="","COMPLETE",F1322)</f>
        <v>COMPLETE</v>
      </c>
      <c r="H1322" s="9" t="str">
        <f t="array" ref="H1322">IFERROR(INDEX(dataICM!F:F,match(Caseslist!B1322,dataICM!D:D,0)), "INC")</f>
        <v>Jenny Lou Toles Estacio</v>
      </c>
      <c r="I1322" s="10" t="str">
        <f t="shared" si="2"/>
        <v>C7502931</v>
      </c>
      <c r="J1322" s="9" t="str">
        <f t="array" ref="J1322">IF(
  AND(
    IFERROR(MATCH(B1322, data!D:D, 0), 0) &gt; 0,
    IFERROR(INDEX(data!N:N, MATCH(B1322, data!D:D, 0)) = 1, FALSE)
  ),
  INDEX(data!C:C, MATCH(B1322, data!D:D, 0)),
  "INC"
)</f>
        <v>2025-08-30T10:21:59.310+08</v>
      </c>
      <c r="K1322" s="9" t="str">
        <f t="array" ref="K1322">IFERROR(INDEX(dataICM!C:C,match(Caseslist!B1322,dataICM!D:D,0)), "INC")</f>
        <v>2025-08-30T19:20:10.659+08</v>
      </c>
      <c r="L1322" s="10" t="str">
        <f t="array" ref="L1322">IF(AND(G1322="COMPLETE", OR(K1322="INC", ISBLANK(INDEX(data!O:O, ROW())))), J1322, K1322)</f>
        <v>2025-08-30T19:20:10.659+08</v>
      </c>
      <c r="M1322" s="2">
        <v>45899.0</v>
      </c>
      <c r="N1322" s="2">
        <f t="array" ref="N1322">IF(M1322&lt;&gt;"INC", INDEX(data!M:M, MATCH(B1322, data!D:D, 0)), "")</f>
        <v>2</v>
      </c>
      <c r="O1322" s="2">
        <f t="shared" si="3"/>
        <v>2</v>
      </c>
    </row>
    <row r="1323">
      <c r="A1323" s="2" t="str">
        <f t="shared" si="1"/>
        <v>H030332</v>
      </c>
      <c r="B1323" s="1" t="s">
        <v>1908</v>
      </c>
      <c r="C1323" s="9" t="str">
        <f t="array" ref="C1323">IF(
  AND(
    IFERROR(MATCH(Caseslist!B1323, data!D:D, 0), 0) &gt; 0,
    IFERROR(INDEX(data!N:N, MATCH(Caseslist!B1323, data!D:D, 0)) = 1, FALSE)
  ),
  "COMPLETE",
  "INC"
)</f>
        <v>COMPLETE</v>
      </c>
      <c r="D1323" s="9">
        <f t="array" ref="D1323">IFERROR(INDEX(data!$G:$G,match(Caseslist!B1323,data!$D:$D,0)), "INC")</f>
        <v>896791</v>
      </c>
      <c r="E1323" s="9" t="str">
        <f t="array" ref="E1323">IFERROR(INDEX(data!H:H,match(Caseslist!B1323,data!D:D,0)), "INC")</f>
        <v>Roland A. Bandiola jr</v>
      </c>
      <c r="F1323" s="10" t="str">
        <f t="array" ref="F1323">IF(
    OR(
      IFNA(INDEX(data!M:M, MATCH(Caseslist!B1323, data!D:D, 0)), "") = "",
      IFNA(INDEX(data!M:M, MATCH(Caseslist!B1323, data!D:D, 0)), 0) = 0
    ),
    "COMPLETE",
    IF(
      IFNA(INDEX(dataICM!D:D, MATCH(Caseslist!B1323, dataICM!D:D, 0)), "INC") = "INC",
      IFNA(INDEX(dataICM!D:D, MATCH(Caseslist!B1323, dataICM!D:D, 0)), "INC"),
      "COMPLETE"
    )
  )</f>
        <v>COMPLETE</v>
      </c>
      <c r="G1323" s="10" t="str">
        <f t="array" ref="G1323">IF(IFERROR(INDEX(data!L:L,match(Caseslist!B1323,data!D:D,0)),"INC")="","COMPLETE",F1323)</f>
        <v>COMPLETE</v>
      </c>
      <c r="H1323" s="9" t="str">
        <f t="array" ref="H1323">IFERROR(INDEX(dataICM!F:F,match(Caseslist!B1323,dataICM!D:D,0)), "INC")</f>
        <v>Roland A. Bandiola jr</v>
      </c>
      <c r="I1323" s="10">
        <f t="shared" si="2"/>
        <v>896791</v>
      </c>
      <c r="J1323" s="9" t="str">
        <f t="array" ref="J1323">IF(
  AND(
    IFERROR(MATCH(B1323, data!D:D, 0), 0) &gt; 0,
    IFERROR(INDEX(data!N:N, MATCH(B1323, data!D:D, 0)) = 1, FALSE)
  ),
  INDEX(data!C:C, MATCH(B1323, data!D:D, 0)),
  "INC"
)</f>
        <v>2025-08-30T13:03:09.894+08</v>
      </c>
      <c r="K1323" s="9" t="str">
        <f t="array" ref="K1323">IFERROR(INDEX(dataICM!C:C,match(Caseslist!B1323,dataICM!D:D,0)), "INC")</f>
        <v>2025-08-30T13:06:20.536+08</v>
      </c>
      <c r="L1323" s="10" t="str">
        <f t="array" ref="L1323">IF(AND(G1323="COMPLETE", OR(K1323="INC", ISBLANK(INDEX(data!O:O, ROW())))), J1323, K1323)</f>
        <v>2025-08-30T13:06:20.536+08</v>
      </c>
      <c r="M1323" s="2">
        <v>45899.0</v>
      </c>
      <c r="N1323" s="2">
        <f t="array" ref="N1323">IF(M1323&lt;&gt;"INC", INDEX(data!M:M, MATCH(B1323, data!D:D, 0)), "")</f>
        <v>2</v>
      </c>
      <c r="O1323" s="2">
        <f t="shared" si="3"/>
        <v>2</v>
      </c>
    </row>
    <row r="1324">
      <c r="A1324" s="2" t="str">
        <f t="shared" si="1"/>
        <v>H030332</v>
      </c>
      <c r="B1324" s="1" t="s">
        <v>1953</v>
      </c>
      <c r="C1324" s="9" t="str">
        <f t="array" ref="C1324">IF(
  AND(
    IFERROR(MATCH(Caseslist!B1324, data!D:D, 0), 0) &gt; 0,
    IFERROR(INDEX(data!N:N, MATCH(Caseslist!B1324, data!D:D, 0)) = 1, FALSE)
  ),
  "COMPLETE",
  "INC"
)</f>
        <v>COMPLETE</v>
      </c>
      <c r="D1324" s="9" t="str">
        <f t="array" ref="D1324">IFERROR(INDEX(data!$G:$G,match(Caseslist!B1324,data!$D:$D,0)), "INC")</f>
        <v>C7502931</v>
      </c>
      <c r="E1324" s="9" t="str">
        <f t="array" ref="E1324">IFERROR(INDEX(data!H:H,match(Caseslist!B1324,data!D:D,0)), "INC")</f>
        <v>Jenny Lou Toles Estacio</v>
      </c>
      <c r="F1324" s="10" t="str">
        <f t="array" ref="F1324">IF(
    OR(
      IFNA(INDEX(data!M:M, MATCH(Caseslist!B1324, data!D:D, 0)), "") = "",
      IFNA(INDEX(data!M:M, MATCH(Caseslist!B1324, data!D:D, 0)), 0) = 0
    ),
    "COMPLETE",
    IF(
      IFNA(INDEX(dataICM!D:D, MATCH(Caseslist!B1324, dataICM!D:D, 0)), "INC") = "INC",
      IFNA(INDEX(dataICM!D:D, MATCH(Caseslist!B1324, dataICM!D:D, 0)), "INC"),
      "COMPLETE"
    )
  )</f>
        <v>COMPLETE</v>
      </c>
      <c r="G1324" s="10" t="str">
        <f t="array" ref="G1324">IF(IFERROR(INDEX(data!L:L,match(Caseslist!B1324,data!D:D,0)),"INC")="","COMPLETE",F1324)</f>
        <v>COMPLETE</v>
      </c>
      <c r="H1324" s="9" t="str">
        <f t="array" ref="H1324">IFERROR(INDEX(dataICM!F:F,match(Caseslist!B1324,dataICM!D:D,0)), "INC")</f>
        <v>Jenny Lou Toles Estacio</v>
      </c>
      <c r="I1324" s="10" t="str">
        <f t="shared" si="2"/>
        <v>C7502931</v>
      </c>
      <c r="J1324" s="9" t="str">
        <f t="array" ref="J1324">IF(
  AND(
    IFERROR(MATCH(B1324, data!D:D, 0), 0) &gt; 0,
    IFERROR(INDEX(data!N:N, MATCH(B1324, data!D:D, 0)) = 1, FALSE)
  ),
  INDEX(data!C:C, MATCH(B1324, data!D:D, 0)),
  "INC"
)</f>
        <v>2025-08-30T14:04:28.663+08</v>
      </c>
      <c r="K1324" s="9" t="str">
        <f t="array" ref="K1324">IFERROR(INDEX(dataICM!C:C,match(Caseslist!B1324,dataICM!D:D,0)), "INC")</f>
        <v>2025-08-30T19:17:18.884+08</v>
      </c>
      <c r="L1324" s="10" t="str">
        <f t="array" ref="L1324">IF(AND(G1324="COMPLETE", OR(K1324="INC", ISBLANK(INDEX(data!O:O, ROW())))), J1324, K1324)</f>
        <v>2025-08-30T19:17:18.884+08</v>
      </c>
      <c r="M1324" s="2">
        <v>45899.0</v>
      </c>
      <c r="N1324" s="2">
        <f t="array" ref="N1324">IF(M1324&lt;&gt;"INC", INDEX(data!M:M, MATCH(B1324, data!D:D, 0)), "")</f>
        <v>2</v>
      </c>
      <c r="O1324" s="2">
        <f t="shared" si="3"/>
        <v>2</v>
      </c>
    </row>
    <row r="1325">
      <c r="A1325" s="2" t="str">
        <f t="shared" si="1"/>
        <v>H030332</v>
      </c>
      <c r="B1325" s="1" t="s">
        <v>2184</v>
      </c>
      <c r="C1325" s="9" t="str">
        <f t="array" ref="C1325">IF(
  AND(
    IFERROR(MATCH(Caseslist!B1325, data!D:D, 0), 0) &gt; 0,
    IFERROR(INDEX(data!N:N, MATCH(Caseslist!B1325, data!D:D, 0)) = 1, FALSE)
  ),
  "COMPLETE",
  "INC"
)</f>
        <v>COMPLETE</v>
      </c>
      <c r="D1325" s="9" t="str">
        <f t="array" ref="D1325">IFERROR(INDEX(data!$G:$G,match(Caseslist!B1325,data!$D:$D,0)), "INC")</f>
        <v>D1284067</v>
      </c>
      <c r="E1325" s="9" t="str">
        <f t="array" ref="E1325">IFERROR(INDEX(data!H:H,match(Caseslist!B1325,data!D:D,0)), "INC")</f>
        <v>Mariel Del Rio</v>
      </c>
      <c r="F1325" s="10" t="str">
        <f t="array" ref="F1325">IF(
    OR(
      IFNA(INDEX(data!M:M, MATCH(Caseslist!B1325, data!D:D, 0)), "") = "",
      IFNA(INDEX(data!M:M, MATCH(Caseslist!B1325, data!D:D, 0)), 0) = 0
    ),
    "COMPLETE",
    IF(
      IFNA(INDEX(dataICM!D:D, MATCH(Caseslist!B1325, dataICM!D:D, 0)), "INC") = "INC",
      IFNA(INDEX(dataICM!D:D, MATCH(Caseslist!B1325, dataICM!D:D, 0)), "INC"),
      "COMPLETE"
    )
  )</f>
        <v>COMPLETE</v>
      </c>
      <c r="G1325" s="10" t="str">
        <f t="array" ref="G1325">IF(IFERROR(INDEX(data!L:L,match(Caseslist!B1325,data!D:D,0)),"INC")="","COMPLETE",F1325)</f>
        <v>COMPLETE</v>
      </c>
      <c r="H1325" s="9" t="str">
        <f t="array" ref="H1325">IFERROR(INDEX(dataICM!F:F,match(Caseslist!B1325,dataICM!D:D,0)), "INC")</f>
        <v>Mariel Del Rio</v>
      </c>
      <c r="I1325" s="10" t="str">
        <f t="shared" si="2"/>
        <v>D1284067</v>
      </c>
      <c r="J1325" s="9" t="str">
        <f t="array" ref="J1325">IF(
  AND(
    IFERROR(MATCH(B1325, data!D:D, 0), 0) &gt; 0,
    IFERROR(INDEX(data!N:N, MATCH(B1325, data!D:D, 0)) = 1, FALSE)
  ),
  INDEX(data!C:C, MATCH(B1325, data!D:D, 0)),
  "INC"
)</f>
        <v>2025-09-01T16:35:02.745+08</v>
      </c>
      <c r="K1325" s="9" t="str">
        <f t="array" ref="K1325">IFERROR(INDEX(dataICM!C:C,match(Caseslist!B1325,dataICM!D:D,0)), "INC")</f>
        <v>2025-09-01T16:44:13.774+08</v>
      </c>
      <c r="L1325" s="10" t="str">
        <f t="array" ref="L1325">IF(AND(G1325="COMPLETE", OR(K1325="INC", ISBLANK(INDEX(data!O:O, ROW())))), J1325, K1325)</f>
        <v>2025-09-01T16:44:13.774+08</v>
      </c>
      <c r="M1325" s="2">
        <v>45901.0</v>
      </c>
      <c r="N1325" s="2">
        <f t="array" ref="N1325">IF(M1325&lt;&gt;"INC", INDEX(data!M:M, MATCH(B1325, data!D:D, 0)), "")</f>
        <v>2</v>
      </c>
      <c r="O1325" s="2">
        <f t="shared" si="3"/>
        <v>2</v>
      </c>
    </row>
    <row r="1326">
      <c r="A1326" s="2" t="str">
        <f t="shared" si="1"/>
        <v>H030332</v>
      </c>
      <c r="B1326" s="1" t="s">
        <v>2169</v>
      </c>
      <c r="C1326" s="9" t="str">
        <f t="array" ref="C1326">IF(
  AND(
    IFERROR(MATCH(Caseslist!B1326, data!D:D, 0), 0) &gt; 0,
    IFERROR(INDEX(data!N:N, MATCH(Caseslist!B1326, data!D:D, 0)) = 1, FALSE)
  ),
  "COMPLETE",
  "INC"
)</f>
        <v>COMPLETE</v>
      </c>
      <c r="D1326" s="9" t="str">
        <f t="array" ref="D1326">IFERROR(INDEX(data!$G:$G,match(Caseslist!B1326,data!$D:$D,0)), "INC")</f>
        <v>D1284067</v>
      </c>
      <c r="E1326" s="9" t="str">
        <f t="array" ref="E1326">IFERROR(INDEX(data!H:H,match(Caseslist!B1326,data!D:D,0)), "INC")</f>
        <v>Mariel Del Rio</v>
      </c>
      <c r="F1326" s="10" t="str">
        <f t="array" ref="F1326">IF(
    OR(
      IFNA(INDEX(data!M:M, MATCH(Caseslist!B1326, data!D:D, 0)), "") = "",
      IFNA(INDEX(data!M:M, MATCH(Caseslist!B1326, data!D:D, 0)), 0) = 0
    ),
    "COMPLETE",
    IF(
      IFNA(INDEX(dataICM!D:D, MATCH(Caseslist!B1326, dataICM!D:D, 0)), "INC") = "INC",
      IFNA(INDEX(dataICM!D:D, MATCH(Caseslist!B1326, dataICM!D:D, 0)), "INC"),
      "COMPLETE"
    )
  )</f>
        <v>COMPLETE</v>
      </c>
      <c r="G1326" s="10" t="str">
        <f t="array" ref="G1326">IF(IFERROR(INDEX(data!L:L,match(Caseslist!B1326,data!D:D,0)),"INC")="","COMPLETE",F1326)</f>
        <v>COMPLETE</v>
      </c>
      <c r="H1326" s="9" t="str">
        <f t="array" ref="H1326">IFERROR(INDEX(dataICM!F:F,match(Caseslist!B1326,dataICM!D:D,0)), "INC")</f>
        <v>Mariel Del Rio</v>
      </c>
      <c r="I1326" s="10" t="str">
        <f t="shared" si="2"/>
        <v>D1284067</v>
      </c>
      <c r="J1326" s="9" t="str">
        <f t="array" ref="J1326">IF(
  AND(
    IFERROR(MATCH(B1326, data!D:D, 0), 0) &gt; 0,
    IFERROR(INDEX(data!N:N, MATCH(B1326, data!D:D, 0)) = 1, FALSE)
  ),
  INDEX(data!C:C, MATCH(B1326, data!D:D, 0)),
  "INC"
)</f>
        <v>2025-09-01T10:32:36.005+08</v>
      </c>
      <c r="K1326" s="9" t="str">
        <f t="array" ref="K1326">IFERROR(INDEX(dataICM!C:C,match(Caseslist!B1326,dataICM!D:D,0)), "INC")</f>
        <v>2025-09-01T10:39:09.361+08</v>
      </c>
      <c r="L1326" s="10" t="str">
        <f t="array" ref="L1326">IF(AND(G1326="COMPLETE", OR(K1326="INC", ISBLANK(INDEX(data!O:O, ROW())))), J1326, K1326)</f>
        <v>2025-09-01T10:39:09.361+08</v>
      </c>
      <c r="M1326" s="2">
        <v>45901.0</v>
      </c>
      <c r="N1326" s="2">
        <f t="array" ref="N1326">IF(M1326&lt;&gt;"INC", INDEX(data!M:M, MATCH(B1326, data!D:D, 0)), "")</f>
        <v>2</v>
      </c>
      <c r="O1326" s="2">
        <f t="shared" si="3"/>
        <v>2</v>
      </c>
    </row>
    <row r="1327">
      <c r="A1327" s="2" t="str">
        <f t="shared" si="1"/>
        <v>H030332</v>
      </c>
      <c r="B1327" s="1" t="s">
        <v>2194</v>
      </c>
      <c r="C1327" s="9" t="str">
        <f t="array" ref="C1327">IF(
  AND(
    IFERROR(MATCH(Caseslist!B1327, data!D:D, 0), 0) &gt; 0,
    IFERROR(INDEX(data!N:N, MATCH(Caseslist!B1327, data!D:D, 0)) = 1, FALSE)
  ),
  "COMPLETE",
  "INC"
)</f>
        <v>COMPLETE</v>
      </c>
      <c r="D1327" s="9" t="str">
        <f t="array" ref="D1327">IFERROR(INDEX(data!$G:$G,match(Caseslist!B1327,data!$D:$D,0)), "INC")</f>
        <v>B8193462</v>
      </c>
      <c r="E1327" s="9" t="str">
        <f t="array" ref="E1327">IFERROR(INDEX(data!H:H,match(Caseslist!B1327,data!D:D,0)), "INC")</f>
        <v>Mark Lorens Mendoza Gilongo</v>
      </c>
      <c r="F1327" s="10" t="str">
        <f t="array" ref="F1327">IF(
    OR(
      IFNA(INDEX(data!M:M, MATCH(Caseslist!B1327, data!D:D, 0)), "") = "",
      IFNA(INDEX(data!M:M, MATCH(Caseslist!B1327, data!D:D, 0)), 0) = 0
    ),
    "COMPLETE",
    IF(
      IFNA(INDEX(dataICM!D:D, MATCH(Caseslist!B1327, dataICM!D:D, 0)), "INC") = "INC",
      IFNA(INDEX(dataICM!D:D, MATCH(Caseslist!B1327, dataICM!D:D, 0)), "INC"),
      "COMPLETE"
    )
  )</f>
        <v>COMPLETE</v>
      </c>
      <c r="G1327" s="10" t="str">
        <f t="array" ref="G1327">IF(IFERROR(INDEX(data!L:L,match(Caseslist!B1327,data!D:D,0)),"INC")="","COMPLETE",F1327)</f>
        <v>COMPLETE</v>
      </c>
      <c r="H1327" s="9" t="str">
        <f t="array" ref="H1327">IFERROR(INDEX(dataICM!F:F,match(Caseslist!B1327,dataICM!D:D,0)), "INC")</f>
        <v>Mark Lorens Mendoza Gilongo</v>
      </c>
      <c r="I1327" s="10" t="str">
        <f t="shared" si="2"/>
        <v>B8193462</v>
      </c>
      <c r="J1327" s="9" t="str">
        <f t="array" ref="J1327">IF(
  AND(
    IFERROR(MATCH(B1327, data!D:D, 0), 0) &gt; 0,
    IFERROR(INDEX(data!N:N, MATCH(B1327, data!D:D, 0)) = 1, FALSE)
  ),
  INDEX(data!C:C, MATCH(B1327, data!D:D, 0)),
  "INC"
)</f>
        <v>2025-09-01T13:41:48.228+08</v>
      </c>
      <c r="K1327" s="9" t="str">
        <f t="array" ref="K1327">IFERROR(INDEX(dataICM!C:C,match(Caseslist!B1327,dataICM!D:D,0)), "INC")</f>
        <v>2025-09-01T14:15:32.902+08</v>
      </c>
      <c r="L1327" s="10" t="str">
        <f t="array" ref="L1327">IF(AND(G1327="COMPLETE", OR(K1327="INC", ISBLANK(INDEX(data!O:O, ROW())))), J1327, K1327)</f>
        <v>2025-09-01T14:15:32.902+08</v>
      </c>
      <c r="M1327" s="2">
        <v>45901.0</v>
      </c>
      <c r="N1327" s="2">
        <f t="array" ref="N1327">IF(M1327&lt;&gt;"INC", INDEX(data!M:M, MATCH(B1327, data!D:D, 0)), "")</f>
        <v>2</v>
      </c>
      <c r="O1327" s="2">
        <f t="shared" si="3"/>
        <v>2</v>
      </c>
    </row>
    <row r="1328">
      <c r="A1328" s="2" t="str">
        <f t="shared" si="1"/>
        <v>H030332</v>
      </c>
      <c r="B1328" s="1" t="s">
        <v>2174</v>
      </c>
      <c r="C1328" s="9" t="str">
        <f t="array" ref="C1328">IF(
  AND(
    IFERROR(MATCH(Caseslist!B1328, data!D:D, 0), 0) &gt; 0,
    IFERROR(INDEX(data!N:N, MATCH(Caseslist!B1328, data!D:D, 0)) = 1, FALSE)
  ),
  "COMPLETE",
  "INC"
)</f>
        <v>COMPLETE</v>
      </c>
      <c r="D1328" s="9" t="str">
        <f t="array" ref="D1328">IFERROR(INDEX(data!$G:$G,match(Caseslist!B1328,data!$D:$D,0)), "INC")</f>
        <v>D1284067</v>
      </c>
      <c r="E1328" s="9" t="str">
        <f t="array" ref="E1328">IFERROR(INDEX(data!H:H,match(Caseslist!B1328,data!D:D,0)), "INC")</f>
        <v>Mariel Del Rio</v>
      </c>
      <c r="F1328" s="10" t="str">
        <f t="array" ref="F1328">IF(
    OR(
      IFNA(INDEX(data!M:M, MATCH(Caseslist!B1328, data!D:D, 0)), "") = "",
      IFNA(INDEX(data!M:M, MATCH(Caseslist!B1328, data!D:D, 0)), 0) = 0
    ),
    "COMPLETE",
    IF(
      IFNA(INDEX(dataICM!D:D, MATCH(Caseslist!B1328, dataICM!D:D, 0)), "INC") = "INC",
      IFNA(INDEX(dataICM!D:D, MATCH(Caseslist!B1328, dataICM!D:D, 0)), "INC"),
      "COMPLETE"
    )
  )</f>
        <v>COMPLETE</v>
      </c>
      <c r="G1328" s="10" t="str">
        <f t="array" ref="G1328">IF(IFERROR(INDEX(data!L:L,match(Caseslist!B1328,data!D:D,0)),"INC")="","COMPLETE",F1328)</f>
        <v>COMPLETE</v>
      </c>
      <c r="H1328" s="9" t="str">
        <f t="array" ref="H1328">IFERROR(INDEX(dataICM!F:F,match(Caseslist!B1328,dataICM!D:D,0)), "INC")</f>
        <v>Mariel Del Rio</v>
      </c>
      <c r="I1328" s="10" t="str">
        <f t="shared" si="2"/>
        <v>D1284067</v>
      </c>
      <c r="J1328" s="9" t="str">
        <f t="array" ref="J1328">IF(
  AND(
    IFERROR(MATCH(B1328, data!D:D, 0), 0) &gt; 0,
    IFERROR(INDEX(data!N:N, MATCH(B1328, data!D:D, 0)) = 1, FALSE)
  ),
  INDEX(data!C:C, MATCH(B1328, data!D:D, 0)),
  "INC"
)</f>
        <v>2025-09-01T12:08:46.542+08</v>
      </c>
      <c r="K1328" s="9" t="str">
        <f t="array" ref="K1328">IFERROR(INDEX(dataICM!C:C,match(Caseslist!B1328,dataICM!D:D,0)), "INC")</f>
        <v>2025-09-01T12:13:43.396+08</v>
      </c>
      <c r="L1328" s="10" t="str">
        <f t="array" ref="L1328">IF(AND(G1328="COMPLETE", OR(K1328="INC", ISBLANK(INDEX(data!O:O, ROW())))), J1328, K1328)</f>
        <v>2025-09-01T12:13:43.396+08</v>
      </c>
      <c r="M1328" s="2">
        <v>45901.0</v>
      </c>
      <c r="N1328" s="2">
        <f t="array" ref="N1328">IF(M1328&lt;&gt;"INC", INDEX(data!M:M, MATCH(B1328, data!D:D, 0)), "")</f>
        <v>2</v>
      </c>
      <c r="O1328" s="2">
        <f t="shared" si="3"/>
        <v>2</v>
      </c>
    </row>
    <row r="1329">
      <c r="A1329" s="2" t="str">
        <f t="shared" si="1"/>
        <v>H030332</v>
      </c>
      <c r="B1329" s="1" t="s">
        <v>2189</v>
      </c>
      <c r="C1329" s="9" t="str">
        <f t="array" ref="C1329">IF(
  AND(
    IFERROR(MATCH(Caseslist!B1329, data!D:D, 0), 0) &gt; 0,
    IFERROR(INDEX(data!N:N, MATCH(Caseslist!B1329, data!D:D, 0)) = 1, FALSE)
  ),
  "COMPLETE",
  "INC"
)</f>
        <v>COMPLETE</v>
      </c>
      <c r="D1329" s="9" t="str">
        <f t="array" ref="D1329">IFERROR(INDEX(data!$G:$G,match(Caseslist!B1329,data!$D:$D,0)), "INC")</f>
        <v>B8193462</v>
      </c>
      <c r="E1329" s="9" t="str">
        <f t="array" ref="E1329">IFERROR(INDEX(data!H:H,match(Caseslist!B1329,data!D:D,0)), "INC")</f>
        <v>Mark Lorens Mendoza Gilongo</v>
      </c>
      <c r="F1329" s="10" t="str">
        <f t="array" ref="F1329">IF(
    OR(
      IFNA(INDEX(data!M:M, MATCH(Caseslist!B1329, data!D:D, 0)), "") = "",
      IFNA(INDEX(data!M:M, MATCH(Caseslist!B1329, data!D:D, 0)), 0) = 0
    ),
    "COMPLETE",
    IF(
      IFNA(INDEX(dataICM!D:D, MATCH(Caseslist!B1329, dataICM!D:D, 0)), "INC") = "INC",
      IFNA(INDEX(dataICM!D:D, MATCH(Caseslist!B1329, dataICM!D:D, 0)), "INC"),
      "COMPLETE"
    )
  )</f>
        <v>COMPLETE</v>
      </c>
      <c r="G1329" s="10" t="str">
        <f t="array" ref="G1329">IF(IFERROR(INDEX(data!L:L,match(Caseslist!B1329,data!D:D,0)),"INC")="","COMPLETE",F1329)</f>
        <v>COMPLETE</v>
      </c>
      <c r="H1329" s="9" t="str">
        <f t="array" ref="H1329">IFERROR(INDEX(dataICM!F:F,match(Caseslist!B1329,dataICM!D:D,0)), "INC")</f>
        <v>Mark Lorens Mendoza Gilongo</v>
      </c>
      <c r="I1329" s="10" t="str">
        <f t="shared" si="2"/>
        <v>B8193462</v>
      </c>
      <c r="J1329" s="9" t="str">
        <f t="array" ref="J1329">IF(
  AND(
    IFERROR(MATCH(B1329, data!D:D, 0), 0) &gt; 0,
    IFERROR(INDEX(data!N:N, MATCH(B1329, data!D:D, 0)) = 1, FALSE)
  ),
  INDEX(data!C:C, MATCH(B1329, data!D:D, 0)),
  "INC"
)</f>
        <v>2025-09-01T12:11:49.652+08</v>
      </c>
      <c r="K1329" s="9" t="str">
        <f t="array" ref="K1329">IFERROR(INDEX(dataICM!C:C,match(Caseslist!B1329,dataICM!D:D,0)), "INC")</f>
        <v>2025-09-01T12:40:53.347+08</v>
      </c>
      <c r="L1329" s="10" t="str">
        <f t="array" ref="L1329">IF(AND(G1329="COMPLETE", OR(K1329="INC", ISBLANK(INDEX(data!O:O, ROW())))), J1329, K1329)</f>
        <v>2025-09-01T12:40:53.347+08</v>
      </c>
      <c r="M1329" s="2">
        <v>45901.0</v>
      </c>
      <c r="N1329" s="2">
        <f t="array" ref="N1329">IF(M1329&lt;&gt;"INC", INDEX(data!M:M, MATCH(B1329, data!D:D, 0)), "")</f>
        <v>2</v>
      </c>
      <c r="O1329" s="2">
        <f t="shared" si="3"/>
        <v>2</v>
      </c>
    </row>
    <row r="1330">
      <c r="A1330" s="2" t="str">
        <f t="shared" si="1"/>
        <v>H030332</v>
      </c>
      <c r="B1330" s="1" t="s">
        <v>1913</v>
      </c>
      <c r="C1330" s="9" t="str">
        <f t="array" ref="C1330">IF(
  AND(
    IFERROR(MATCH(Caseslist!B1330, data!D:D, 0), 0) &gt; 0,
    IFERROR(INDEX(data!N:N, MATCH(Caseslist!B1330, data!D:D, 0)) = 1, FALSE)
  ),
  "COMPLETE",
  "INC"
)</f>
        <v>COMPLETE</v>
      </c>
      <c r="D1330" s="9">
        <f t="array" ref="D1330">IFERROR(INDEX(data!$G:$G,match(Caseslist!B1330,data!$D:$D,0)), "INC")</f>
        <v>896791</v>
      </c>
      <c r="E1330" s="9" t="str">
        <f t="array" ref="E1330">IFERROR(INDEX(data!H:H,match(Caseslist!B1330,data!D:D,0)), "INC")</f>
        <v>Roland A. Bandiola jr</v>
      </c>
      <c r="F1330" s="10" t="str">
        <f t="array" ref="F1330">IF(
    OR(
      IFNA(INDEX(data!M:M, MATCH(Caseslist!B1330, data!D:D, 0)), "") = "",
      IFNA(INDEX(data!M:M, MATCH(Caseslist!B1330, data!D:D, 0)), 0) = 0
    ),
    "COMPLETE",
    IF(
      IFNA(INDEX(dataICM!D:D, MATCH(Caseslist!B1330, dataICM!D:D, 0)), "INC") = "INC",
      IFNA(INDEX(dataICM!D:D, MATCH(Caseslist!B1330, dataICM!D:D, 0)), "INC"),
      "COMPLETE"
    )
  )</f>
        <v>COMPLETE</v>
      </c>
      <c r="G1330" s="10" t="str">
        <f t="array" ref="G1330">IF(IFERROR(INDEX(data!L:L,match(Caseslist!B1330,data!D:D,0)),"INC")="","COMPLETE",F1330)</f>
        <v>COMPLETE</v>
      </c>
      <c r="H1330" s="9" t="str">
        <f t="array" ref="H1330">IFERROR(INDEX(dataICM!F:F,match(Caseslist!B1330,dataICM!D:D,0)), "INC")</f>
        <v>Roland A. Bandiola jr</v>
      </c>
      <c r="I1330" s="10">
        <f t="shared" si="2"/>
        <v>896791</v>
      </c>
      <c r="J1330" s="9" t="str">
        <f t="array" ref="J1330">IF(
  AND(
    IFERROR(MATCH(B1330, data!D:D, 0), 0) &gt; 0,
    IFERROR(INDEX(data!N:N, MATCH(B1330, data!D:D, 0)) = 1, FALSE)
  ),
  INDEX(data!C:C, MATCH(B1330, data!D:D, 0)),
  "INC"
)</f>
        <v>2025-08-30T15:08:16.046+08</v>
      </c>
      <c r="K1330" s="9" t="str">
        <f t="array" ref="K1330">IFERROR(INDEX(dataICM!C:C,match(Caseslist!B1330,dataICM!D:D,0)), "INC")</f>
        <v>2025-08-30T15:16:09.243+08</v>
      </c>
      <c r="L1330" s="10" t="str">
        <f t="array" ref="L1330">IF(AND(G1330="COMPLETE", OR(K1330="INC", ISBLANK(INDEX(data!O:O, ROW())))), J1330, K1330)</f>
        <v>2025-08-30T15:16:09.243+08</v>
      </c>
      <c r="M1330" s="2">
        <v>45899.0</v>
      </c>
      <c r="N1330" s="2">
        <f t="array" ref="N1330">IF(M1330&lt;&gt;"INC", INDEX(data!M:M, MATCH(B1330, data!D:D, 0)), "")</f>
        <v>2</v>
      </c>
      <c r="O1330" s="2">
        <f t="shared" si="3"/>
        <v>2</v>
      </c>
    </row>
    <row r="1331">
      <c r="A1331" s="2" t="str">
        <f t="shared" si="1"/>
        <v>H030332</v>
      </c>
      <c r="B1331" s="1" t="s">
        <v>2179</v>
      </c>
      <c r="C1331" s="9" t="str">
        <f t="array" ref="C1331">IF(
  AND(
    IFERROR(MATCH(Caseslist!B1331, data!D:D, 0), 0) &gt; 0,
    IFERROR(INDEX(data!N:N, MATCH(Caseslist!B1331, data!D:D, 0)) = 1, FALSE)
  ),
  "COMPLETE",
  "INC"
)</f>
        <v>COMPLETE</v>
      </c>
      <c r="D1331" s="9" t="str">
        <f t="array" ref="D1331">IFERROR(INDEX(data!$G:$G,match(Caseslist!B1331,data!$D:$D,0)), "INC")</f>
        <v>D1284067</v>
      </c>
      <c r="E1331" s="9" t="str">
        <f t="array" ref="E1331">IFERROR(INDEX(data!H:H,match(Caseslist!B1331,data!D:D,0)), "INC")</f>
        <v>Mariel Del Rio</v>
      </c>
      <c r="F1331" s="10" t="str">
        <f t="array" ref="F1331">IF(
    OR(
      IFNA(INDEX(data!M:M, MATCH(Caseslist!B1331, data!D:D, 0)), "") = "",
      IFNA(INDEX(data!M:M, MATCH(Caseslist!B1331, data!D:D, 0)), 0) = 0
    ),
    "COMPLETE",
    IF(
      IFNA(INDEX(dataICM!D:D, MATCH(Caseslist!B1331, dataICM!D:D, 0)), "INC") = "INC",
      IFNA(INDEX(dataICM!D:D, MATCH(Caseslist!B1331, dataICM!D:D, 0)), "INC"),
      "COMPLETE"
    )
  )</f>
        <v>COMPLETE</v>
      </c>
      <c r="G1331" s="10" t="str">
        <f t="array" ref="G1331">IF(IFERROR(INDEX(data!L:L,match(Caseslist!B1331,data!D:D,0)),"INC")="","COMPLETE",F1331)</f>
        <v>COMPLETE</v>
      </c>
      <c r="H1331" s="9" t="str">
        <f t="array" ref="H1331">IFERROR(INDEX(dataICM!F:F,match(Caseslist!B1331,dataICM!D:D,0)), "INC")</f>
        <v>Mariel Del Rio</v>
      </c>
      <c r="I1331" s="10" t="str">
        <f t="shared" si="2"/>
        <v>D1284067</v>
      </c>
      <c r="J1331" s="9" t="str">
        <f t="array" ref="J1331">IF(
  AND(
    IFERROR(MATCH(B1331, data!D:D, 0), 0) &gt; 0,
    IFERROR(INDEX(data!N:N, MATCH(B1331, data!D:D, 0)) = 1, FALSE)
  ),
  INDEX(data!C:C, MATCH(B1331, data!D:D, 0)),
  "INC"
)</f>
        <v>2025-09-01T13:02:14.473+08</v>
      </c>
      <c r="K1331" s="9" t="str">
        <f t="array" ref="K1331">IFERROR(INDEX(dataICM!C:C,match(Caseslist!B1331,dataICM!D:D,0)), "INC")</f>
        <v>2025-09-01T13:14:17.568+08</v>
      </c>
      <c r="L1331" s="10" t="str">
        <f t="array" ref="L1331">IF(AND(G1331="COMPLETE", OR(K1331="INC", ISBLANK(INDEX(data!O:O, ROW())))), J1331, K1331)</f>
        <v>2025-09-01T13:14:17.568+08</v>
      </c>
      <c r="M1331" s="2">
        <v>45901.0</v>
      </c>
      <c r="N1331" s="2">
        <f t="array" ref="N1331">IF(M1331&lt;&gt;"INC", INDEX(data!M:M, MATCH(B1331, data!D:D, 0)), "")</f>
        <v>2</v>
      </c>
      <c r="O1331" s="2">
        <f t="shared" si="3"/>
        <v>2</v>
      </c>
    </row>
    <row r="1332">
      <c r="A1332" s="2" t="str">
        <f t="shared" si="1"/>
        <v>H030332</v>
      </c>
      <c r="B1332" s="1" t="s">
        <v>1948</v>
      </c>
      <c r="C1332" s="9" t="str">
        <f t="array" ref="C1332">IF(
  AND(
    IFERROR(MATCH(Caseslist!B1332, data!D:D, 0), 0) &gt; 0,
    IFERROR(INDEX(data!N:N, MATCH(Caseslist!B1332, data!D:D, 0)) = 1, FALSE)
  ),
  "COMPLETE",
  "INC"
)</f>
        <v>COMPLETE</v>
      </c>
      <c r="D1332" s="9" t="str">
        <f t="array" ref="D1332">IFERROR(INDEX(data!$G:$G,match(Caseslist!B1332,data!$D:$D,0)), "INC")</f>
        <v>B8193462</v>
      </c>
      <c r="E1332" s="9" t="str">
        <f t="array" ref="E1332">IFERROR(INDEX(data!H:H,match(Caseslist!B1332,data!D:D,0)), "INC")</f>
        <v>Mark Lorens Mendoza Gilongo</v>
      </c>
      <c r="F1332" s="10" t="str">
        <f t="array" ref="F1332">IF(
    OR(
      IFNA(INDEX(data!M:M, MATCH(Caseslist!B1332, data!D:D, 0)), "") = "",
      IFNA(INDEX(data!M:M, MATCH(Caseslist!B1332, data!D:D, 0)), 0) = 0
    ),
    "COMPLETE",
    IF(
      IFNA(INDEX(dataICM!D:D, MATCH(Caseslist!B1332, dataICM!D:D, 0)), "INC") = "INC",
      IFNA(INDEX(dataICM!D:D, MATCH(Caseslist!B1332, dataICM!D:D, 0)), "INC"),
      "COMPLETE"
    )
  )</f>
        <v>COMPLETE</v>
      </c>
      <c r="G1332" s="10" t="str">
        <f t="array" ref="G1332">IF(IFERROR(INDEX(data!L:L,match(Caseslist!B1332,data!D:D,0)),"INC")="","COMPLETE",F1332)</f>
        <v>COMPLETE</v>
      </c>
      <c r="H1332" s="9" t="str">
        <f t="array" ref="H1332">IFERROR(INDEX(dataICM!F:F,match(Caseslist!B1332,dataICM!D:D,0)), "INC")</f>
        <v>Mark Lorens Mendoza Gilongo</v>
      </c>
      <c r="I1332" s="10" t="str">
        <f t="shared" si="2"/>
        <v>B8193462</v>
      </c>
      <c r="J1332" s="9" t="str">
        <f t="array" ref="J1332">IF(
  AND(
    IFERROR(MATCH(B1332, data!D:D, 0), 0) &gt; 0,
    IFERROR(INDEX(data!N:N, MATCH(B1332, data!D:D, 0)) = 1, FALSE)
  ),
  INDEX(data!C:C, MATCH(B1332, data!D:D, 0)),
  "INC"
)</f>
        <v>2025-09-01T10:31:00.843+08</v>
      </c>
      <c r="K1332" s="9" t="str">
        <f t="array" ref="K1332">IFERROR(INDEX(dataICM!C:C,match(Caseslist!B1332,dataICM!D:D,0)), "INC")</f>
        <v>2025-09-01T10:59:05.799+08</v>
      </c>
      <c r="L1332" s="10" t="str">
        <f t="array" ref="L1332">IF(AND(G1332="COMPLETE", OR(K1332="INC", ISBLANK(INDEX(data!O:O, ROW())))), J1332, K1332)</f>
        <v>2025-09-01T10:59:05.799+08</v>
      </c>
      <c r="M1332" s="2">
        <v>45901.0</v>
      </c>
      <c r="N1332" s="2">
        <f t="array" ref="N1332">IF(M1332&lt;&gt;"INC", INDEX(data!M:M, MATCH(B1332, data!D:D, 0)), "")</f>
        <v>2</v>
      </c>
      <c r="O1332" s="2">
        <f t="shared" si="3"/>
        <v>2</v>
      </c>
    </row>
    <row r="1333">
      <c r="A1333" s="2" t="str">
        <f t="shared" si="1"/>
        <v>H030351</v>
      </c>
      <c r="B1333" s="1" t="s">
        <v>7218</v>
      </c>
      <c r="C1333" s="9" t="str">
        <f t="array" ref="C1333">IF(
  AND(
    IFERROR(MATCH(Caseslist!B1333, data!D:D, 0), 0) &gt; 0,
    IFERROR(INDEX(data!N:N, MATCH(Caseslist!B1333, data!D:D, 0)) = 1, FALSE)
  ),
  "COMPLETE",
  "INC"
)</f>
        <v>COMPLETE</v>
      </c>
      <c r="D1333" s="9" t="str">
        <f t="array" ref="D1333">IFERROR(INDEX(data!$G:$G,match(Caseslist!B1333,data!$D:$D,0)), "INC")</f>
        <v>H2846135</v>
      </c>
      <c r="E1333" s="9" t="str">
        <f t="array" ref="E1333">IFERROR(INDEX(data!H:H,match(Caseslist!B1333,data!D:D,0)), "INC")</f>
        <v>Annalou Empanado Encontro</v>
      </c>
      <c r="F1333" s="10" t="str">
        <f t="array" ref="F1333">IF(
    OR(
      IFNA(INDEX(data!M:M, MATCH(Caseslist!B1333, data!D:D, 0)), "") = "",
      IFNA(INDEX(data!M:M, MATCH(Caseslist!B1333, data!D:D, 0)), 0) = 0
    ),
    "COMPLETE",
    IF(
      IFNA(INDEX(dataICM!D:D, MATCH(Caseslist!B1333, dataICM!D:D, 0)), "INC") = "INC",
      IFNA(INDEX(dataICM!D:D, MATCH(Caseslist!B1333, dataICM!D:D, 0)), "INC"),
      "COMPLETE"
    )
  )</f>
        <v>COMPLETE</v>
      </c>
      <c r="G1333" s="10" t="str">
        <f t="array" ref="G1333">IF(IFERROR(INDEX(data!L:L,match(Caseslist!B1333,data!D:D,0)),"INC")="","COMPLETE",F1333)</f>
        <v>COMPLETE</v>
      </c>
      <c r="H1333" s="9" t="str">
        <f t="array" ref="H1333">IFERROR(INDEX(dataICM!F:F,match(Caseslist!B1333,dataICM!D:D,0)), "INC")</f>
        <v>INC</v>
      </c>
      <c r="I1333" s="10" t="str">
        <f t="shared" si="2"/>
        <v>H2846135</v>
      </c>
      <c r="J1333" s="9" t="str">
        <f t="array" ref="J1333">IF(
  AND(
    IFERROR(MATCH(B1333, data!D:D, 0), 0) &gt; 0,
    IFERROR(INDEX(data!N:N, MATCH(B1333, data!D:D, 0)) = 1, FALSE)
  ),
  INDEX(data!C:C, MATCH(B1333, data!D:D, 0)),
  "INC"
)</f>
        <v>2025-09-18T10:24:20.145+08</v>
      </c>
      <c r="K1333" s="9" t="str">
        <f t="array" ref="K1333">IFERROR(INDEX(dataICM!C:C,match(Caseslist!B1333,dataICM!D:D,0)), "INC")</f>
        <v>INC</v>
      </c>
      <c r="L1333" s="10" t="str">
        <f t="array" ref="L1333">IF(AND(G1333="COMPLETE", OR(K1333="INC", ISBLANK(INDEX(data!O:O, ROW())))), J1333, K1333)</f>
        <v>2025-09-18T10:24:20.145+08</v>
      </c>
      <c r="M1333" s="2">
        <v>45918.0</v>
      </c>
      <c r="N1333" s="2">
        <f t="array" ref="N1333">IF(M1333&lt;&gt;"INC", INDEX(data!M:M, MATCH(B1333, data!D:D, 0)), "")</f>
        <v>0</v>
      </c>
      <c r="O1333" s="2">
        <f t="shared" si="3"/>
        <v>0</v>
      </c>
    </row>
    <row r="1334">
      <c r="A1334" s="2" t="str">
        <f t="shared" si="1"/>
        <v>H030351</v>
      </c>
      <c r="B1334" s="1" t="s">
        <v>7233</v>
      </c>
      <c r="C1334" s="9" t="str">
        <f t="array" ref="C1334">IF(
  AND(
    IFERROR(MATCH(Caseslist!B1334, data!D:D, 0), 0) &gt; 0,
    IFERROR(INDEX(data!N:N, MATCH(Caseslist!B1334, data!D:D, 0)) = 1, FALSE)
  ),
  "COMPLETE",
  "INC"
)</f>
        <v>COMPLETE</v>
      </c>
      <c r="D1334" s="9" t="str">
        <f t="array" ref="D1334">IFERROR(INDEX(data!$G:$G,match(Caseslist!B1334,data!$D:$D,0)), "INC")</f>
        <v>F3051749</v>
      </c>
      <c r="E1334" s="9" t="str">
        <f t="array" ref="E1334">IFERROR(INDEX(data!H:H,match(Caseslist!B1334,data!D:D,0)), "INC")</f>
        <v>Elenita Gicos De La Pe�a</v>
      </c>
      <c r="F1334" s="10" t="str">
        <f t="array" ref="F1334">IF(
    OR(
      IFNA(INDEX(data!M:M, MATCH(Caseslist!B1334, data!D:D, 0)), "") = "",
      IFNA(INDEX(data!M:M, MATCH(Caseslist!B1334, data!D:D, 0)), 0) = 0
    ),
    "COMPLETE",
    IF(
      IFNA(INDEX(dataICM!D:D, MATCH(Caseslist!B1334, dataICM!D:D, 0)), "INC") = "INC",
      IFNA(INDEX(dataICM!D:D, MATCH(Caseslist!B1334, dataICM!D:D, 0)), "INC"),
      "COMPLETE"
    )
  )</f>
        <v>COMPLETE</v>
      </c>
      <c r="G1334" s="10" t="str">
        <f t="array" ref="G1334">IF(IFERROR(INDEX(data!L:L,match(Caseslist!B1334,data!D:D,0)),"INC")="","COMPLETE",F1334)</f>
        <v>COMPLETE</v>
      </c>
      <c r="H1334" s="9" t="str">
        <f t="array" ref="H1334">IFERROR(INDEX(dataICM!F:F,match(Caseslist!B1334,dataICM!D:D,0)), "INC")</f>
        <v>INC</v>
      </c>
      <c r="I1334" s="10" t="str">
        <f t="shared" si="2"/>
        <v>F3051749</v>
      </c>
      <c r="J1334" s="9" t="str">
        <f t="array" ref="J1334">IF(
  AND(
    IFERROR(MATCH(B1334, data!D:D, 0), 0) &gt; 0,
    IFERROR(INDEX(data!N:N, MATCH(B1334, data!D:D, 0)) = 1, FALSE)
  ),
  INDEX(data!C:C, MATCH(B1334, data!D:D, 0)),
  "INC"
)</f>
        <v>2025-10-02T20:09:09.681+08</v>
      </c>
      <c r="K1334" s="9" t="str">
        <f t="array" ref="K1334">IFERROR(INDEX(dataICM!C:C,match(Caseslist!B1334,dataICM!D:D,0)), "INC")</f>
        <v>INC</v>
      </c>
      <c r="L1334" s="10" t="str">
        <f t="array" ref="L1334">IF(AND(G1334="COMPLETE", OR(K1334="INC", ISBLANK(INDEX(data!O:O, ROW())))), J1334, K1334)</f>
        <v>2025-10-02T20:09:09.681+08</v>
      </c>
      <c r="M1334" s="2">
        <v>45932.0</v>
      </c>
      <c r="N1334" s="2">
        <f t="array" ref="N1334">IF(M1334&lt;&gt;"INC", INDEX(data!M:M, MATCH(B1334, data!D:D, 0)), "")</f>
        <v>0</v>
      </c>
      <c r="O1334" s="2">
        <f t="shared" si="3"/>
        <v>0</v>
      </c>
    </row>
    <row r="1335">
      <c r="A1335" s="2" t="str">
        <f t="shared" si="1"/>
        <v>H030351</v>
      </c>
      <c r="B1335" s="1" t="s">
        <v>7163</v>
      </c>
      <c r="C1335" s="9" t="str">
        <f t="array" ref="C1335">IF(
  AND(
    IFERROR(MATCH(Caseslist!B1335, data!D:D, 0), 0) &gt; 0,
    IFERROR(INDEX(data!N:N, MATCH(Caseslist!B1335, data!D:D, 0)) = 1, FALSE)
  ),
  "COMPLETE",
  "INC"
)</f>
        <v>COMPLETE</v>
      </c>
      <c r="D1335" s="9" t="str">
        <f t="array" ref="D1335">IFERROR(INDEX(data!$G:$G,match(Caseslist!B1335,data!$D:$D,0)), "INC")</f>
        <v>G5472901</v>
      </c>
      <c r="E1335" s="9" t="str">
        <f t="array" ref="E1335">IFERROR(INDEX(data!H:H,match(Caseslist!B1335,data!D:D,0)), "INC")</f>
        <v>Wellyn Grace Alaban Parcia</v>
      </c>
      <c r="F1335" s="10" t="str">
        <f t="array" ref="F1335">IF(
    OR(
      IFNA(INDEX(data!M:M, MATCH(Caseslist!B1335, data!D:D, 0)), "") = "",
      IFNA(INDEX(data!M:M, MATCH(Caseslist!B1335, data!D:D, 0)), 0) = 0
    ),
    "COMPLETE",
    IF(
      IFNA(INDEX(dataICM!D:D, MATCH(Caseslist!B1335, dataICM!D:D, 0)), "INC") = "INC",
      IFNA(INDEX(dataICM!D:D, MATCH(Caseslist!B1335, dataICM!D:D, 0)), "INC"),
      "COMPLETE"
    )
  )</f>
        <v>COMPLETE</v>
      </c>
      <c r="G1335" s="10" t="str">
        <f t="array" ref="G1335">IF(IFERROR(INDEX(data!L:L,match(Caseslist!B1335,data!D:D,0)),"INC")="","COMPLETE",F1335)</f>
        <v>COMPLETE</v>
      </c>
      <c r="H1335" s="9" t="str">
        <f t="array" ref="H1335">IFERROR(INDEX(dataICM!F:F,match(Caseslist!B1335,dataICM!D:D,0)), "INC")</f>
        <v>INC</v>
      </c>
      <c r="I1335" s="10" t="str">
        <f t="shared" si="2"/>
        <v>G5472901</v>
      </c>
      <c r="J1335" s="9" t="str">
        <f t="array" ref="J1335">IF(
  AND(
    IFERROR(MATCH(B1335, data!D:D, 0), 0) &gt; 0,
    IFERROR(INDEX(data!N:N, MATCH(B1335, data!D:D, 0)) = 1, FALSE)
  ),
  INDEX(data!C:C, MATCH(B1335, data!D:D, 0)),
  "INC"
)</f>
        <v>2025-09-18T15:11:40.945+08</v>
      </c>
      <c r="K1335" s="9" t="str">
        <f t="array" ref="K1335">IFERROR(INDEX(dataICM!C:C,match(Caseslist!B1335,dataICM!D:D,0)), "INC")</f>
        <v>INC</v>
      </c>
      <c r="L1335" s="10" t="str">
        <f t="array" ref="L1335">IF(AND(G1335="COMPLETE", OR(K1335="INC", ISBLANK(INDEX(data!O:O, ROW())))), J1335, K1335)</f>
        <v>2025-09-18T15:11:40.945+08</v>
      </c>
      <c r="M1335" s="2">
        <v>45918.0</v>
      </c>
      <c r="N1335" s="2">
        <f t="array" ref="N1335">IF(M1335&lt;&gt;"INC", INDEX(data!M:M, MATCH(B1335, data!D:D, 0)), "")</f>
        <v>0</v>
      </c>
      <c r="O1335" s="2">
        <f t="shared" si="3"/>
        <v>0</v>
      </c>
    </row>
    <row r="1336">
      <c r="A1336" s="2" t="str">
        <f t="shared" si="1"/>
        <v>H030351</v>
      </c>
      <c r="B1336" s="1" t="s">
        <v>7238</v>
      </c>
      <c r="C1336" s="9" t="str">
        <f t="array" ref="C1336">IF(
  AND(
    IFERROR(MATCH(Caseslist!B1336, data!D:D, 0), 0) &gt; 0,
    IFERROR(INDEX(data!N:N, MATCH(Caseslist!B1336, data!D:D, 0)) = 1, FALSE)
  ),
  "COMPLETE",
  "INC"
)</f>
        <v>COMPLETE</v>
      </c>
      <c r="D1336" s="9" t="str">
        <f t="array" ref="D1336">IFERROR(INDEX(data!$G:$G,match(Caseslist!B1336,data!$D:$D,0)), "INC")</f>
        <v>F3051749</v>
      </c>
      <c r="E1336" s="9" t="str">
        <f t="array" ref="E1336">IFERROR(INDEX(data!H:H,match(Caseslist!B1336,data!D:D,0)), "INC")</f>
        <v>Elenita Gicos De La Pe�a</v>
      </c>
      <c r="F1336" s="10" t="str">
        <f t="array" ref="F1336">IF(
    OR(
      IFNA(INDEX(data!M:M, MATCH(Caseslist!B1336, data!D:D, 0)), "") = "",
      IFNA(INDEX(data!M:M, MATCH(Caseslist!B1336, data!D:D, 0)), 0) = 0
    ),
    "COMPLETE",
    IF(
      IFNA(INDEX(dataICM!D:D, MATCH(Caseslist!B1336, dataICM!D:D, 0)), "INC") = "INC",
      IFNA(INDEX(dataICM!D:D, MATCH(Caseslist!B1336, dataICM!D:D, 0)), "INC"),
      "COMPLETE"
    )
  )</f>
        <v>COMPLETE</v>
      </c>
      <c r="G1336" s="10" t="str">
        <f t="array" ref="G1336">IF(IFERROR(INDEX(data!L:L,match(Caseslist!B1336,data!D:D,0)),"INC")="","COMPLETE",F1336)</f>
        <v>COMPLETE</v>
      </c>
      <c r="H1336" s="9" t="str">
        <f t="array" ref="H1336">IFERROR(INDEX(dataICM!F:F,match(Caseslist!B1336,dataICM!D:D,0)), "INC")</f>
        <v>INC</v>
      </c>
      <c r="I1336" s="10" t="str">
        <f t="shared" si="2"/>
        <v>F3051749</v>
      </c>
      <c r="J1336" s="9" t="str">
        <f t="array" ref="J1336">IF(
  AND(
    IFERROR(MATCH(B1336, data!D:D, 0), 0) &gt; 0,
    IFERROR(INDEX(data!N:N, MATCH(B1336, data!D:D, 0)) = 1, FALSE)
  ),
  INDEX(data!C:C, MATCH(B1336, data!D:D, 0)),
  "INC"
)</f>
        <v>2025-10-02T17:43:06.041+08</v>
      </c>
      <c r="K1336" s="9" t="str">
        <f t="array" ref="K1336">IFERROR(INDEX(dataICM!C:C,match(Caseslist!B1336,dataICM!D:D,0)), "INC")</f>
        <v>INC</v>
      </c>
      <c r="L1336" s="10" t="str">
        <f t="array" ref="L1336">IF(AND(G1336="COMPLETE", OR(K1336="INC", ISBLANK(INDEX(data!O:O, ROW())))), J1336, K1336)</f>
        <v>2025-10-02T17:43:06.041+08</v>
      </c>
      <c r="M1336" s="2">
        <v>45932.0</v>
      </c>
      <c r="N1336" s="2">
        <f t="array" ref="N1336">IF(M1336&lt;&gt;"INC", INDEX(data!M:M, MATCH(B1336, data!D:D, 0)), "")</f>
        <v>0</v>
      </c>
      <c r="O1336" s="2">
        <f t="shared" si="3"/>
        <v>0</v>
      </c>
    </row>
    <row r="1337">
      <c r="A1337" s="2" t="str">
        <f t="shared" si="1"/>
        <v>H030351</v>
      </c>
      <c r="B1337" s="1" t="s">
        <v>7168</v>
      </c>
      <c r="C1337" s="9" t="str">
        <f t="array" ref="C1337">IF(
  AND(
    IFERROR(MATCH(Caseslist!B1337, data!D:D, 0), 0) &gt; 0,
    IFERROR(INDEX(data!N:N, MATCH(Caseslist!B1337, data!D:D, 0)) = 1, FALSE)
  ),
  "COMPLETE",
  "INC"
)</f>
        <v>COMPLETE</v>
      </c>
      <c r="D1337" s="9" t="str">
        <f t="array" ref="D1337">IFERROR(INDEX(data!$G:$G,match(Caseslist!B1337,data!$D:$D,0)), "INC")</f>
        <v>G5472901</v>
      </c>
      <c r="E1337" s="9" t="str">
        <f t="array" ref="E1337">IFERROR(INDEX(data!H:H,match(Caseslist!B1337,data!D:D,0)), "INC")</f>
        <v>Wellyn Grace Alaban Parcia</v>
      </c>
      <c r="F1337" s="10" t="str">
        <f t="array" ref="F1337">IF(
    OR(
      IFNA(INDEX(data!M:M, MATCH(Caseslist!B1337, data!D:D, 0)), "") = "",
      IFNA(INDEX(data!M:M, MATCH(Caseslist!B1337, data!D:D, 0)), 0) = 0
    ),
    "COMPLETE",
    IF(
      IFNA(INDEX(dataICM!D:D, MATCH(Caseslist!B1337, dataICM!D:D, 0)), "INC") = "INC",
      IFNA(INDEX(dataICM!D:D, MATCH(Caseslist!B1337, dataICM!D:D, 0)), "INC"),
      "COMPLETE"
    )
  )</f>
        <v>COMPLETE</v>
      </c>
      <c r="G1337" s="10" t="str">
        <f t="array" ref="G1337">IF(IFERROR(INDEX(data!L:L,match(Caseslist!B1337,data!D:D,0)),"INC")="","COMPLETE",F1337)</f>
        <v>COMPLETE</v>
      </c>
      <c r="H1337" s="9" t="str">
        <f t="array" ref="H1337">IFERROR(INDEX(dataICM!F:F,match(Caseslist!B1337,dataICM!D:D,0)), "INC")</f>
        <v>INC</v>
      </c>
      <c r="I1337" s="10" t="str">
        <f t="shared" si="2"/>
        <v>G5472901</v>
      </c>
      <c r="J1337" s="9" t="str">
        <f t="array" ref="J1337">IF(
  AND(
    IFERROR(MATCH(B1337, data!D:D, 0), 0) &gt; 0,
    IFERROR(INDEX(data!N:N, MATCH(B1337, data!D:D, 0)) = 1, FALSE)
  ),
  INDEX(data!C:C, MATCH(B1337, data!D:D, 0)),
  "INC"
)</f>
        <v>2025-09-18T10:38:04.364+08</v>
      </c>
      <c r="K1337" s="9" t="str">
        <f t="array" ref="K1337">IFERROR(INDEX(dataICM!C:C,match(Caseslist!B1337,dataICM!D:D,0)), "INC")</f>
        <v>INC</v>
      </c>
      <c r="L1337" s="10" t="str">
        <f t="array" ref="L1337">IF(AND(G1337="COMPLETE", OR(K1337="INC", ISBLANK(INDEX(data!O:O, ROW())))), J1337, K1337)</f>
        <v>2025-09-18T10:38:04.364+08</v>
      </c>
      <c r="M1337" s="2">
        <v>45918.0</v>
      </c>
      <c r="N1337" s="2">
        <f t="array" ref="N1337">IF(M1337&lt;&gt;"INC", INDEX(data!M:M, MATCH(B1337, data!D:D, 0)), "")</f>
        <v>0</v>
      </c>
      <c r="O1337" s="2">
        <f t="shared" si="3"/>
        <v>0</v>
      </c>
    </row>
    <row r="1338">
      <c r="A1338" s="2" t="str">
        <f t="shared" si="1"/>
        <v>H030351</v>
      </c>
      <c r="B1338" s="1" t="s">
        <v>7193</v>
      </c>
      <c r="C1338" s="9" t="str">
        <f t="array" ref="C1338">IF(
  AND(
    IFERROR(MATCH(Caseslist!B1338, data!D:D, 0), 0) &gt; 0,
    IFERROR(INDEX(data!N:N, MATCH(Caseslist!B1338, data!D:D, 0)) = 1, FALSE)
  ),
  "COMPLETE",
  "INC"
)</f>
        <v>COMPLETE</v>
      </c>
      <c r="D1338" s="9" t="str">
        <f t="array" ref="D1338">IFERROR(INDEX(data!$G:$G,match(Caseslist!B1338,data!$D:$D,0)), "INC")</f>
        <v>F3051749</v>
      </c>
      <c r="E1338" s="9" t="str">
        <f t="array" ref="E1338">IFERROR(INDEX(data!H:H,match(Caseslist!B1338,data!D:D,0)), "INC")</f>
        <v>Elenita Gicos De La Pe�a</v>
      </c>
      <c r="F1338" s="10" t="str">
        <f t="array" ref="F1338">IF(
    OR(
      IFNA(INDEX(data!M:M, MATCH(Caseslist!B1338, data!D:D, 0)), "") = "",
      IFNA(INDEX(data!M:M, MATCH(Caseslist!B1338, data!D:D, 0)), 0) = 0
    ),
    "COMPLETE",
    IF(
      IFNA(INDEX(dataICM!D:D, MATCH(Caseslist!B1338, dataICM!D:D, 0)), "INC") = "INC",
      IFNA(INDEX(dataICM!D:D, MATCH(Caseslist!B1338, dataICM!D:D, 0)), "INC"),
      "COMPLETE"
    )
  )</f>
        <v>COMPLETE</v>
      </c>
      <c r="G1338" s="10" t="str">
        <f t="array" ref="G1338">IF(IFERROR(INDEX(data!L:L,match(Caseslist!B1338,data!D:D,0)),"INC")="","COMPLETE",F1338)</f>
        <v>COMPLETE</v>
      </c>
      <c r="H1338" s="9" t="str">
        <f t="array" ref="H1338">IFERROR(INDEX(dataICM!F:F,match(Caseslist!B1338,dataICM!D:D,0)), "INC")</f>
        <v>INC</v>
      </c>
      <c r="I1338" s="10" t="str">
        <f t="shared" si="2"/>
        <v>F3051749</v>
      </c>
      <c r="J1338" s="9" t="str">
        <f t="array" ref="J1338">IF(
  AND(
    IFERROR(MATCH(B1338, data!D:D, 0), 0) &gt; 0,
    IFERROR(INDEX(data!N:N, MATCH(B1338, data!D:D, 0)) = 1, FALSE)
  ),
  INDEX(data!C:C, MATCH(B1338, data!D:D, 0)),
  "INC"
)</f>
        <v>2025-09-18T17:18:19.510+08</v>
      </c>
      <c r="K1338" s="9" t="str">
        <f t="array" ref="K1338">IFERROR(INDEX(dataICM!C:C,match(Caseslist!B1338,dataICM!D:D,0)), "INC")</f>
        <v>INC</v>
      </c>
      <c r="L1338" s="10" t="str">
        <f t="array" ref="L1338">IF(AND(G1338="COMPLETE", OR(K1338="INC", ISBLANK(INDEX(data!O:O, ROW())))), J1338, K1338)</f>
        <v>2025-09-18T17:18:19.510+08</v>
      </c>
      <c r="M1338" s="2">
        <v>45918.0</v>
      </c>
      <c r="N1338" s="2">
        <f t="array" ref="N1338">IF(M1338&lt;&gt;"INC", INDEX(data!M:M, MATCH(B1338, data!D:D, 0)), "")</f>
        <v>0</v>
      </c>
      <c r="O1338" s="2">
        <f t="shared" si="3"/>
        <v>0</v>
      </c>
    </row>
    <row r="1339">
      <c r="A1339" s="2" t="str">
        <f t="shared" si="1"/>
        <v>H030351</v>
      </c>
      <c r="B1339" s="1" t="s">
        <v>7173</v>
      </c>
      <c r="C1339" s="9" t="str">
        <f t="array" ref="C1339">IF(
  AND(
    IFERROR(MATCH(Caseslist!B1339, data!D:D, 0), 0) &gt; 0,
    IFERROR(INDEX(data!N:N, MATCH(Caseslist!B1339, data!D:D, 0)) = 1, FALSE)
  ),
  "COMPLETE",
  "INC"
)</f>
        <v>COMPLETE</v>
      </c>
      <c r="D1339" s="9" t="str">
        <f t="array" ref="D1339">IFERROR(INDEX(data!$G:$G,match(Caseslist!B1339,data!$D:$D,0)), "INC")</f>
        <v>G5472901</v>
      </c>
      <c r="E1339" s="9" t="str">
        <f t="array" ref="E1339">IFERROR(INDEX(data!H:H,match(Caseslist!B1339,data!D:D,0)), "INC")</f>
        <v>Wellyn Grace Alaban Parcia</v>
      </c>
      <c r="F1339" s="10" t="str">
        <f t="array" ref="F1339">IF(
    OR(
      IFNA(INDEX(data!M:M, MATCH(Caseslist!B1339, data!D:D, 0)), "") = "",
      IFNA(INDEX(data!M:M, MATCH(Caseslist!B1339, data!D:D, 0)), 0) = 0
    ),
    "COMPLETE",
    IF(
      IFNA(INDEX(dataICM!D:D, MATCH(Caseslist!B1339, dataICM!D:D, 0)), "INC") = "INC",
      IFNA(INDEX(dataICM!D:D, MATCH(Caseslist!B1339, dataICM!D:D, 0)), "INC"),
      "COMPLETE"
    )
  )</f>
        <v>COMPLETE</v>
      </c>
      <c r="G1339" s="10" t="str">
        <f t="array" ref="G1339">IF(IFERROR(INDEX(data!L:L,match(Caseslist!B1339,data!D:D,0)),"INC")="","COMPLETE",F1339)</f>
        <v>COMPLETE</v>
      </c>
      <c r="H1339" s="9" t="str">
        <f t="array" ref="H1339">IFERROR(INDEX(dataICM!F:F,match(Caseslist!B1339,dataICM!D:D,0)), "INC")</f>
        <v>INC</v>
      </c>
      <c r="I1339" s="10" t="str">
        <f t="shared" si="2"/>
        <v>G5472901</v>
      </c>
      <c r="J1339" s="9" t="str">
        <f t="array" ref="J1339">IF(
  AND(
    IFERROR(MATCH(B1339, data!D:D, 0), 0) &gt; 0,
    IFERROR(INDEX(data!N:N, MATCH(B1339, data!D:D, 0)) = 1, FALSE)
  ),
  INDEX(data!C:C, MATCH(B1339, data!D:D, 0)),
  "INC"
)</f>
        <v>2025-09-18T13:10:10.186+08</v>
      </c>
      <c r="K1339" s="9" t="str">
        <f t="array" ref="K1339">IFERROR(INDEX(dataICM!C:C,match(Caseslist!B1339,dataICM!D:D,0)), "INC")</f>
        <v>INC</v>
      </c>
      <c r="L1339" s="10" t="str">
        <f t="array" ref="L1339">IF(AND(G1339="COMPLETE", OR(K1339="INC", ISBLANK(INDEX(data!O:O, ROW())))), J1339, K1339)</f>
        <v>2025-09-18T13:10:10.186+08</v>
      </c>
      <c r="M1339" s="2">
        <v>45918.0</v>
      </c>
      <c r="N1339" s="2">
        <f t="array" ref="N1339">IF(M1339&lt;&gt;"INC", INDEX(data!M:M, MATCH(B1339, data!D:D, 0)), "")</f>
        <v>0</v>
      </c>
      <c r="O1339" s="2">
        <f t="shared" si="3"/>
        <v>0</v>
      </c>
    </row>
    <row r="1340">
      <c r="A1340" s="2" t="str">
        <f t="shared" si="1"/>
        <v>H030351</v>
      </c>
      <c r="B1340" s="1" t="s">
        <v>7178</v>
      </c>
      <c r="C1340" s="9" t="str">
        <f t="array" ref="C1340">IF(
  AND(
    IFERROR(MATCH(Caseslist!B1340, data!D:D, 0), 0) &gt; 0,
    IFERROR(INDEX(data!N:N, MATCH(Caseslist!B1340, data!D:D, 0)) = 1, FALSE)
  ),
  "COMPLETE",
  "INC"
)</f>
        <v>COMPLETE</v>
      </c>
      <c r="D1340" s="9" t="str">
        <f t="array" ref="D1340">IFERROR(INDEX(data!$G:$G,match(Caseslist!B1340,data!$D:$D,0)), "INC")</f>
        <v>F3051749</v>
      </c>
      <c r="E1340" s="9" t="str">
        <f t="array" ref="E1340">IFERROR(INDEX(data!H:H,match(Caseslist!B1340,data!D:D,0)), "INC")</f>
        <v>Elenita Gicos De La Pe�a</v>
      </c>
      <c r="F1340" s="10" t="str">
        <f t="array" ref="F1340">IF(
    OR(
      IFNA(INDEX(data!M:M, MATCH(Caseslist!B1340, data!D:D, 0)), "") = "",
      IFNA(INDEX(data!M:M, MATCH(Caseslist!B1340, data!D:D, 0)), 0) = 0
    ),
    "COMPLETE",
    IF(
      IFNA(INDEX(dataICM!D:D, MATCH(Caseslist!B1340, dataICM!D:D, 0)), "INC") = "INC",
      IFNA(INDEX(dataICM!D:D, MATCH(Caseslist!B1340, dataICM!D:D, 0)), "INC"),
      "COMPLETE"
    )
  )</f>
        <v>COMPLETE</v>
      </c>
      <c r="G1340" s="10" t="str">
        <f t="array" ref="G1340">IF(IFERROR(INDEX(data!L:L,match(Caseslist!B1340,data!D:D,0)),"INC")="","COMPLETE",F1340)</f>
        <v>COMPLETE</v>
      </c>
      <c r="H1340" s="9" t="str">
        <f t="array" ref="H1340">IFERROR(INDEX(dataICM!F:F,match(Caseslist!B1340,dataICM!D:D,0)), "INC")</f>
        <v>INC</v>
      </c>
      <c r="I1340" s="10" t="str">
        <f t="shared" si="2"/>
        <v>F3051749</v>
      </c>
      <c r="J1340" s="9" t="str">
        <f t="array" ref="J1340">IF(
  AND(
    IFERROR(MATCH(B1340, data!D:D, 0), 0) &gt; 0,
    IFERROR(INDEX(data!N:N, MATCH(B1340, data!D:D, 0)) = 1, FALSE)
  ),
  INDEX(data!C:C, MATCH(B1340, data!D:D, 0)),
  "INC"
)</f>
        <v>2025-09-18T10:11:31.849+08</v>
      </c>
      <c r="K1340" s="9" t="str">
        <f t="array" ref="K1340">IFERROR(INDEX(dataICM!C:C,match(Caseslist!B1340,dataICM!D:D,0)), "INC")</f>
        <v>INC</v>
      </c>
      <c r="L1340" s="10" t="str">
        <f t="array" ref="L1340">IF(AND(G1340="COMPLETE", OR(K1340="INC", ISBLANK(INDEX(data!O:O, ROW())))), J1340, K1340)</f>
        <v>2025-09-18T10:11:31.849+08</v>
      </c>
      <c r="M1340" s="2">
        <v>45918.0</v>
      </c>
      <c r="N1340" s="2">
        <f t="array" ref="N1340">IF(M1340&lt;&gt;"INC", INDEX(data!M:M, MATCH(B1340, data!D:D, 0)), "")</f>
        <v>0</v>
      </c>
      <c r="O1340" s="2">
        <f t="shared" si="3"/>
        <v>0</v>
      </c>
    </row>
    <row r="1341">
      <c r="A1341" s="2" t="str">
        <f t="shared" si="1"/>
        <v>H030351</v>
      </c>
      <c r="B1341" s="1" t="s">
        <v>7183</v>
      </c>
      <c r="C1341" s="9" t="str">
        <f t="array" ref="C1341">IF(
  AND(
    IFERROR(MATCH(Caseslist!B1341, data!D:D, 0), 0) &gt; 0,
    IFERROR(INDEX(data!N:N, MATCH(Caseslist!B1341, data!D:D, 0)) = 1, FALSE)
  ),
  "COMPLETE",
  "INC"
)</f>
        <v>COMPLETE</v>
      </c>
      <c r="D1341" s="9" t="str">
        <f t="array" ref="D1341">IFERROR(INDEX(data!$G:$G,match(Caseslist!B1341,data!$D:$D,0)), "INC")</f>
        <v>F3051749</v>
      </c>
      <c r="E1341" s="9" t="str">
        <f t="array" ref="E1341">IFERROR(INDEX(data!H:H,match(Caseslist!B1341,data!D:D,0)), "INC")</f>
        <v>Elenita Gicos De La Pe�a</v>
      </c>
      <c r="F1341" s="10" t="str">
        <f t="array" ref="F1341">IF(
    OR(
      IFNA(INDEX(data!M:M, MATCH(Caseslist!B1341, data!D:D, 0)), "") = "",
      IFNA(INDEX(data!M:M, MATCH(Caseslist!B1341, data!D:D, 0)), 0) = 0
    ),
    "COMPLETE",
    IF(
      IFNA(INDEX(dataICM!D:D, MATCH(Caseslist!B1341, dataICM!D:D, 0)), "INC") = "INC",
      IFNA(INDEX(dataICM!D:D, MATCH(Caseslist!B1341, dataICM!D:D, 0)), "INC"),
      "COMPLETE"
    )
  )</f>
        <v>COMPLETE</v>
      </c>
      <c r="G1341" s="10" t="str">
        <f t="array" ref="G1341">IF(IFERROR(INDEX(data!L:L,match(Caseslist!B1341,data!D:D,0)),"INC")="","COMPLETE",F1341)</f>
        <v>COMPLETE</v>
      </c>
      <c r="H1341" s="9" t="str">
        <f t="array" ref="H1341">IFERROR(INDEX(dataICM!F:F,match(Caseslist!B1341,dataICM!D:D,0)), "INC")</f>
        <v>INC</v>
      </c>
      <c r="I1341" s="10" t="str">
        <f t="shared" si="2"/>
        <v>F3051749</v>
      </c>
      <c r="J1341" s="9" t="str">
        <f t="array" ref="J1341">IF(
  AND(
    IFERROR(MATCH(B1341, data!D:D, 0), 0) &gt; 0,
    IFERROR(INDEX(data!N:N, MATCH(B1341, data!D:D, 0)) = 1, FALSE)
  ),
  INDEX(data!C:C, MATCH(B1341, data!D:D, 0)),
  "INC"
)</f>
        <v>2025-09-18T11:55:18.853+08</v>
      </c>
      <c r="K1341" s="9" t="str">
        <f t="array" ref="K1341">IFERROR(INDEX(dataICM!C:C,match(Caseslist!B1341,dataICM!D:D,0)), "INC")</f>
        <v>INC</v>
      </c>
      <c r="L1341" s="10" t="str">
        <f t="array" ref="L1341">IF(AND(G1341="COMPLETE", OR(K1341="INC", ISBLANK(INDEX(data!O:O, ROW())))), J1341, K1341)</f>
        <v>2025-09-18T11:55:18.853+08</v>
      </c>
      <c r="M1341" s="2">
        <v>45918.0</v>
      </c>
      <c r="N1341" s="2">
        <f t="array" ref="N1341">IF(M1341&lt;&gt;"INC", INDEX(data!M:M, MATCH(B1341, data!D:D, 0)), "")</f>
        <v>0</v>
      </c>
      <c r="O1341" s="2">
        <f t="shared" si="3"/>
        <v>0</v>
      </c>
    </row>
    <row r="1342">
      <c r="A1342" s="2" t="str">
        <f t="shared" si="1"/>
        <v>H030351</v>
      </c>
      <c r="B1342" s="1" t="s">
        <v>7223</v>
      </c>
      <c r="C1342" s="9" t="str">
        <f t="array" ref="C1342">IF(
  AND(
    IFERROR(MATCH(Caseslist!B1342, data!D:D, 0), 0) &gt; 0,
    IFERROR(INDEX(data!N:N, MATCH(Caseslist!B1342, data!D:D, 0)) = 1, FALSE)
  ),
  "COMPLETE",
  "INC"
)</f>
        <v>COMPLETE</v>
      </c>
      <c r="D1342" s="9" t="str">
        <f t="array" ref="D1342">IFERROR(INDEX(data!$G:$G,match(Caseslist!B1342,data!$D:$D,0)), "INC")</f>
        <v>H2846135</v>
      </c>
      <c r="E1342" s="9" t="str">
        <f t="array" ref="E1342">IFERROR(INDEX(data!H:H,match(Caseslist!B1342,data!D:D,0)), "INC")</f>
        <v>Annalou Empanado Encontro</v>
      </c>
      <c r="F1342" s="10" t="str">
        <f t="array" ref="F1342">IF(
    OR(
      IFNA(INDEX(data!M:M, MATCH(Caseslist!B1342, data!D:D, 0)), "") = "",
      IFNA(INDEX(data!M:M, MATCH(Caseslist!B1342, data!D:D, 0)), 0) = 0
    ),
    "COMPLETE",
    IF(
      IFNA(INDEX(dataICM!D:D, MATCH(Caseslist!B1342, dataICM!D:D, 0)), "INC") = "INC",
      IFNA(INDEX(dataICM!D:D, MATCH(Caseslist!B1342, dataICM!D:D, 0)), "INC"),
      "COMPLETE"
    )
  )</f>
        <v>COMPLETE</v>
      </c>
      <c r="G1342" s="10" t="str">
        <f t="array" ref="G1342">IF(IFERROR(INDEX(data!L:L,match(Caseslist!B1342,data!D:D,0)),"INC")="","COMPLETE",F1342)</f>
        <v>COMPLETE</v>
      </c>
      <c r="H1342" s="9" t="str">
        <f t="array" ref="H1342">IFERROR(INDEX(dataICM!F:F,match(Caseslist!B1342,dataICM!D:D,0)), "INC")</f>
        <v>INC</v>
      </c>
      <c r="I1342" s="10" t="str">
        <f t="shared" si="2"/>
        <v>H2846135</v>
      </c>
      <c r="J1342" s="9" t="str">
        <f t="array" ref="J1342">IF(
  AND(
    IFERROR(MATCH(B1342, data!D:D, 0), 0) &gt; 0,
    IFERROR(INDEX(data!N:N, MATCH(B1342, data!D:D, 0)) = 1, FALSE)
  ),
  INDEX(data!C:C, MATCH(B1342, data!D:D, 0)),
  "INC"
)</f>
        <v>2025-09-18T12:48:00.870+08</v>
      </c>
      <c r="K1342" s="9" t="str">
        <f t="array" ref="K1342">IFERROR(INDEX(dataICM!C:C,match(Caseslist!B1342,dataICM!D:D,0)), "INC")</f>
        <v>INC</v>
      </c>
      <c r="L1342" s="10" t="str">
        <f t="array" ref="L1342">IF(AND(G1342="COMPLETE", OR(K1342="INC", ISBLANK(INDEX(data!O:O, ROW())))), J1342, K1342)</f>
        <v>2025-09-18T12:48:00.870+08</v>
      </c>
      <c r="M1342" s="2">
        <v>45918.0</v>
      </c>
      <c r="N1342" s="2">
        <f t="array" ref="N1342">IF(M1342&lt;&gt;"INC", INDEX(data!M:M, MATCH(B1342, data!D:D, 0)), "")</f>
        <v>0</v>
      </c>
      <c r="O1342" s="2">
        <f t="shared" si="3"/>
        <v>0</v>
      </c>
    </row>
    <row r="1343">
      <c r="A1343" s="2" t="str">
        <f t="shared" si="1"/>
        <v>H030351</v>
      </c>
      <c r="B1343" s="1" t="s">
        <v>7158</v>
      </c>
      <c r="C1343" s="9" t="str">
        <f t="array" ref="C1343">IF(
  AND(
    IFERROR(MATCH(Caseslist!B1343, data!D:D, 0), 0) &gt; 0,
    IFERROR(INDEX(data!N:N, MATCH(Caseslist!B1343, data!D:D, 0)) = 1, FALSE)
  ),
  "COMPLETE",
  "INC"
)</f>
        <v>COMPLETE</v>
      </c>
      <c r="D1343" s="9" t="str">
        <f t="array" ref="D1343">IFERROR(INDEX(data!$G:$G,match(Caseslist!B1343,data!$D:$D,0)), "INC")</f>
        <v>G5472901</v>
      </c>
      <c r="E1343" s="9" t="str">
        <f t="array" ref="E1343">IFERROR(INDEX(data!H:H,match(Caseslist!B1343,data!D:D,0)), "INC")</f>
        <v>Wellyn Grace Alaban Parcia</v>
      </c>
      <c r="F1343" s="10" t="str">
        <f t="array" ref="F1343">IF(
    OR(
      IFNA(INDEX(data!M:M, MATCH(Caseslist!B1343, data!D:D, 0)), "") = "",
      IFNA(INDEX(data!M:M, MATCH(Caseslist!B1343, data!D:D, 0)), 0) = 0
    ),
    "COMPLETE",
    IF(
      IFNA(INDEX(dataICM!D:D, MATCH(Caseslist!B1343, dataICM!D:D, 0)), "INC") = "INC",
      IFNA(INDEX(dataICM!D:D, MATCH(Caseslist!B1343, dataICM!D:D, 0)), "INC"),
      "COMPLETE"
    )
  )</f>
        <v>COMPLETE</v>
      </c>
      <c r="G1343" s="10" t="str">
        <f t="array" ref="G1343">IF(IFERROR(INDEX(data!L:L,match(Caseslist!B1343,data!D:D,0)),"INC")="","COMPLETE",F1343)</f>
        <v>COMPLETE</v>
      </c>
      <c r="H1343" s="9" t="str">
        <f t="array" ref="H1343">IFERROR(INDEX(dataICM!F:F,match(Caseslist!B1343,dataICM!D:D,0)), "INC")</f>
        <v>INC</v>
      </c>
      <c r="I1343" s="10" t="str">
        <f t="shared" si="2"/>
        <v>G5472901</v>
      </c>
      <c r="J1343" s="9" t="str">
        <f t="array" ref="J1343">IF(
  AND(
    IFERROR(MATCH(B1343, data!D:D, 0), 0) &gt; 0,
    IFERROR(INDEX(data!N:N, MATCH(B1343, data!D:D, 0)) = 1, FALSE)
  ),
  INDEX(data!C:C, MATCH(B1343, data!D:D, 0)),
  "INC"
)</f>
        <v>2025-09-18T11:48:07.679+08</v>
      </c>
      <c r="K1343" s="9" t="str">
        <f t="array" ref="K1343">IFERROR(INDEX(dataICM!C:C,match(Caseslist!B1343,dataICM!D:D,0)), "INC")</f>
        <v>INC</v>
      </c>
      <c r="L1343" s="10" t="str">
        <f t="array" ref="L1343">IF(AND(G1343="COMPLETE", OR(K1343="INC", ISBLANK(INDEX(data!O:O, ROW())))), J1343, K1343)</f>
        <v>2025-09-18T11:48:07.679+08</v>
      </c>
      <c r="M1343" s="2">
        <v>45918.0</v>
      </c>
      <c r="N1343" s="2">
        <f t="array" ref="N1343">IF(M1343&lt;&gt;"INC", INDEX(data!M:M, MATCH(B1343, data!D:D, 0)), "")</f>
        <v>0</v>
      </c>
      <c r="O1343" s="2">
        <f t="shared" si="3"/>
        <v>0</v>
      </c>
    </row>
    <row r="1344">
      <c r="A1344" s="2" t="str">
        <f t="shared" si="1"/>
        <v>H030351</v>
      </c>
      <c r="B1344" s="1" t="s">
        <v>7188</v>
      </c>
      <c r="C1344" s="9" t="str">
        <f t="array" ref="C1344">IF(
  AND(
    IFERROR(MATCH(Caseslist!B1344, data!D:D, 0), 0) &gt; 0,
    IFERROR(INDEX(data!N:N, MATCH(Caseslist!B1344, data!D:D, 0)) = 1, FALSE)
  ),
  "COMPLETE",
  "INC"
)</f>
        <v>COMPLETE</v>
      </c>
      <c r="D1344" s="9" t="str">
        <f t="array" ref="D1344">IFERROR(INDEX(data!$G:$G,match(Caseslist!B1344,data!$D:$D,0)), "INC")</f>
        <v>F3051749</v>
      </c>
      <c r="E1344" s="9" t="str">
        <f t="array" ref="E1344">IFERROR(INDEX(data!H:H,match(Caseslist!B1344,data!D:D,0)), "INC")</f>
        <v>Elenita Gicos De La Pe�a</v>
      </c>
      <c r="F1344" s="10" t="str">
        <f t="array" ref="F1344">IF(
    OR(
      IFNA(INDEX(data!M:M, MATCH(Caseslist!B1344, data!D:D, 0)), "") = "",
      IFNA(INDEX(data!M:M, MATCH(Caseslist!B1344, data!D:D, 0)), 0) = 0
    ),
    "COMPLETE",
    IF(
      IFNA(INDEX(dataICM!D:D, MATCH(Caseslist!B1344, dataICM!D:D, 0)), "INC") = "INC",
      IFNA(INDEX(dataICM!D:D, MATCH(Caseslist!B1344, dataICM!D:D, 0)), "INC"),
      "COMPLETE"
    )
  )</f>
        <v>COMPLETE</v>
      </c>
      <c r="G1344" s="10" t="str">
        <f t="array" ref="G1344">IF(IFERROR(INDEX(data!L:L,match(Caseslist!B1344,data!D:D,0)),"INC")="","COMPLETE",F1344)</f>
        <v>COMPLETE</v>
      </c>
      <c r="H1344" s="9" t="str">
        <f t="array" ref="H1344">IFERROR(INDEX(dataICM!F:F,match(Caseslist!B1344,dataICM!D:D,0)), "INC")</f>
        <v>INC</v>
      </c>
      <c r="I1344" s="10" t="str">
        <f t="shared" si="2"/>
        <v>F3051749</v>
      </c>
      <c r="J1344" s="9" t="str">
        <f t="array" ref="J1344">IF(
  AND(
    IFERROR(MATCH(B1344, data!D:D, 0), 0) &gt; 0,
    IFERROR(INDEX(data!N:N, MATCH(B1344, data!D:D, 0)) = 1, FALSE)
  ),
  INDEX(data!C:C, MATCH(B1344, data!D:D, 0)),
  "INC"
)</f>
        <v>2025-09-18T17:00:37.352+08</v>
      </c>
      <c r="K1344" s="9" t="str">
        <f t="array" ref="K1344">IFERROR(INDEX(dataICM!C:C,match(Caseslist!B1344,dataICM!D:D,0)), "INC")</f>
        <v>INC</v>
      </c>
      <c r="L1344" s="10" t="str">
        <f t="array" ref="L1344">IF(AND(G1344="COMPLETE", OR(K1344="INC", ISBLANK(INDEX(data!O:O, ROW())))), J1344, K1344)</f>
        <v>2025-09-18T17:00:37.352+08</v>
      </c>
      <c r="M1344" s="2">
        <v>45918.0</v>
      </c>
      <c r="N1344" s="2">
        <f t="array" ref="N1344">IF(M1344&lt;&gt;"INC", INDEX(data!M:M, MATCH(B1344, data!D:D, 0)), "")</f>
        <v>0</v>
      </c>
      <c r="O1344" s="2">
        <f t="shared" si="3"/>
        <v>0</v>
      </c>
    </row>
    <row r="1345">
      <c r="A1345" s="2" t="str">
        <f t="shared" si="1"/>
        <v>H030351</v>
      </c>
      <c r="B1345" s="1" t="s">
        <v>7228</v>
      </c>
      <c r="C1345" s="9" t="str">
        <f t="array" ref="C1345">IF(
  AND(
    IFERROR(MATCH(Caseslist!B1345, data!D:D, 0), 0) &gt; 0,
    IFERROR(INDEX(data!N:N, MATCH(Caseslist!B1345, data!D:D, 0)) = 1, FALSE)
  ),
  "COMPLETE",
  "INC"
)</f>
        <v>COMPLETE</v>
      </c>
      <c r="D1345" s="9" t="str">
        <f t="array" ref="D1345">IFERROR(INDEX(data!$G:$G,match(Caseslist!B1345,data!$D:$D,0)), "INC")</f>
        <v>H2846135</v>
      </c>
      <c r="E1345" s="9" t="str">
        <f t="array" ref="E1345">IFERROR(INDEX(data!H:H,match(Caseslist!B1345,data!D:D,0)), "INC")</f>
        <v>Annalou Empanado Encontro</v>
      </c>
      <c r="F1345" s="10" t="str">
        <f t="array" ref="F1345">IF(
    OR(
      IFNA(INDEX(data!M:M, MATCH(Caseslist!B1345, data!D:D, 0)), "") = "",
      IFNA(INDEX(data!M:M, MATCH(Caseslist!B1345, data!D:D, 0)), 0) = 0
    ),
    "COMPLETE",
    IF(
      IFNA(INDEX(dataICM!D:D, MATCH(Caseslist!B1345, dataICM!D:D, 0)), "INC") = "INC",
      IFNA(INDEX(dataICM!D:D, MATCH(Caseslist!B1345, dataICM!D:D, 0)), "INC"),
      "COMPLETE"
    )
  )</f>
        <v>COMPLETE</v>
      </c>
      <c r="G1345" s="10" t="str">
        <f t="array" ref="G1345">IF(IFERROR(INDEX(data!L:L,match(Caseslist!B1345,data!D:D,0)),"INC")="","COMPLETE",F1345)</f>
        <v>COMPLETE</v>
      </c>
      <c r="H1345" s="9" t="str">
        <f t="array" ref="H1345">IFERROR(INDEX(dataICM!F:F,match(Caseslist!B1345,dataICM!D:D,0)), "INC")</f>
        <v>INC</v>
      </c>
      <c r="I1345" s="10" t="str">
        <f t="shared" si="2"/>
        <v>H2846135</v>
      </c>
      <c r="J1345" s="9" t="str">
        <f t="array" ref="J1345">IF(
  AND(
    IFERROR(MATCH(B1345, data!D:D, 0), 0) &gt; 0,
    IFERROR(INDEX(data!N:N, MATCH(B1345, data!D:D, 0)) = 1, FALSE)
  ),
  INDEX(data!C:C, MATCH(B1345, data!D:D, 0)),
  "INC"
)</f>
        <v>2025-09-18T14:28:11.196+08</v>
      </c>
      <c r="K1345" s="9" t="str">
        <f t="array" ref="K1345">IFERROR(INDEX(dataICM!C:C,match(Caseslist!B1345,dataICM!D:D,0)), "INC")</f>
        <v>INC</v>
      </c>
      <c r="L1345" s="10" t="str">
        <f t="array" ref="L1345">IF(AND(G1345="COMPLETE", OR(K1345="INC", ISBLANK(INDEX(data!O:O, ROW())))), J1345, K1345)</f>
        <v>2025-09-18T14:28:11.196+08</v>
      </c>
      <c r="M1345" s="2">
        <v>45918.0</v>
      </c>
      <c r="N1345" s="2">
        <f t="array" ref="N1345">IF(M1345&lt;&gt;"INC", INDEX(data!M:M, MATCH(B1345, data!D:D, 0)), "")</f>
        <v>0</v>
      </c>
      <c r="O1345" s="2">
        <f t="shared" si="3"/>
        <v>0</v>
      </c>
    </row>
    <row r="1346">
      <c r="A1346" s="2" t="str">
        <f t="shared" si="1"/>
        <v>H030351</v>
      </c>
      <c r="B1346" s="1" t="s">
        <v>7243</v>
      </c>
      <c r="C1346" s="9" t="str">
        <f t="array" ref="C1346">IF(
  AND(
    IFERROR(MATCH(Caseslist!B1346, data!D:D, 0), 0) &gt; 0,
    IFERROR(INDEX(data!N:N, MATCH(Caseslist!B1346, data!D:D, 0)) = 1, FALSE)
  ),
  "COMPLETE",
  "INC"
)</f>
        <v>COMPLETE</v>
      </c>
      <c r="D1346" s="9" t="str">
        <f t="array" ref="D1346">IFERROR(INDEX(data!$G:$G,match(Caseslist!B1346,data!$D:$D,0)), "INC")</f>
        <v>H2846135</v>
      </c>
      <c r="E1346" s="9" t="str">
        <f t="array" ref="E1346">IFERROR(INDEX(data!H:H,match(Caseslist!B1346,data!D:D,0)), "INC")</f>
        <v>Annalou Empanado Encontro</v>
      </c>
      <c r="F1346" s="10" t="str">
        <f t="array" ref="F1346">IF(
    OR(
      IFNA(INDEX(data!M:M, MATCH(Caseslist!B1346, data!D:D, 0)), "") = "",
      IFNA(INDEX(data!M:M, MATCH(Caseslist!B1346, data!D:D, 0)), 0) = 0
    ),
    "COMPLETE",
    IF(
      IFNA(INDEX(dataICM!D:D, MATCH(Caseslist!B1346, dataICM!D:D, 0)), "INC") = "INC",
      IFNA(INDEX(dataICM!D:D, MATCH(Caseslist!B1346, dataICM!D:D, 0)), "INC"),
      "COMPLETE"
    )
  )</f>
        <v>COMPLETE</v>
      </c>
      <c r="G1346" s="10" t="str">
        <f t="array" ref="G1346">IF(IFERROR(INDEX(data!L:L,match(Caseslist!B1346,data!D:D,0)),"INC")="","COMPLETE",F1346)</f>
        <v>COMPLETE</v>
      </c>
      <c r="H1346" s="9" t="str">
        <f t="array" ref="H1346">IFERROR(INDEX(dataICM!F:F,match(Caseslist!B1346,dataICM!D:D,0)), "INC")</f>
        <v>INC</v>
      </c>
      <c r="I1346" s="10" t="str">
        <f t="shared" si="2"/>
        <v>H2846135</v>
      </c>
      <c r="J1346" s="9" t="str">
        <f t="array" ref="J1346">IF(
  AND(
    IFERROR(MATCH(B1346, data!D:D, 0), 0) &gt; 0,
    IFERROR(INDEX(data!N:N, MATCH(B1346, data!D:D, 0)) = 1, FALSE)
  ),
  INDEX(data!C:C, MATCH(B1346, data!D:D, 0)),
  "INC"
)</f>
        <v>2025-09-18T11:26:59.656+08</v>
      </c>
      <c r="K1346" s="9" t="str">
        <f t="array" ref="K1346">IFERROR(INDEX(dataICM!C:C,match(Caseslist!B1346,dataICM!D:D,0)), "INC")</f>
        <v>INC</v>
      </c>
      <c r="L1346" s="10" t="str">
        <f t="array" ref="L1346">IF(AND(G1346="COMPLETE", OR(K1346="INC", ISBLANK(INDEX(data!O:O, ROW())))), J1346, K1346)</f>
        <v>2025-09-18T11:26:59.656+08</v>
      </c>
      <c r="M1346" s="2">
        <v>45918.0</v>
      </c>
      <c r="N1346" s="2">
        <f t="array" ref="N1346">IF(M1346&lt;&gt;"INC", INDEX(data!M:M, MATCH(B1346, data!D:D, 0)), "")</f>
        <v>0</v>
      </c>
      <c r="O1346" s="2">
        <f t="shared" si="3"/>
        <v>0</v>
      </c>
    </row>
    <row r="1347">
      <c r="A1347" s="2" t="str">
        <f t="shared" si="1"/>
        <v>H030370</v>
      </c>
      <c r="B1347" s="1" t="s">
        <v>8198</v>
      </c>
      <c r="C1347" s="9" t="str">
        <f t="array" ref="C1347">IF(
  AND(
    IFERROR(MATCH(Caseslist!B1347, data!D:D, 0), 0) &gt; 0,
    IFERROR(INDEX(data!N:N, MATCH(Caseslist!B1347, data!D:D, 0)) = 1, FALSE)
  ),
  "COMPLETE",
  "INC"
)</f>
        <v>COMPLETE</v>
      </c>
      <c r="D1347" s="9" t="str">
        <f t="array" ref="D1347">IFERROR(INDEX(data!$G:$G,match(Caseslist!B1347,data!$D:$D,0)), "INC")</f>
        <v>C7502931</v>
      </c>
      <c r="E1347" s="9" t="str">
        <f t="array" ref="E1347">IFERROR(INDEX(data!H:H,match(Caseslist!B1347,data!D:D,0)), "INC")</f>
        <v>Jenny Lou Toles Estacio</v>
      </c>
      <c r="F1347" s="10" t="str">
        <f t="array" ref="F1347">IF(
    OR(
      IFNA(INDEX(data!M:M, MATCH(Caseslist!B1347, data!D:D, 0)), "") = "",
      IFNA(INDEX(data!M:M, MATCH(Caseslist!B1347, data!D:D, 0)), 0) = 0
    ),
    "COMPLETE",
    IF(
      IFNA(INDEX(dataICM!D:D, MATCH(Caseslist!B1347, dataICM!D:D, 0)), "INC") = "INC",
      IFNA(INDEX(dataICM!D:D, MATCH(Caseslist!B1347, dataICM!D:D, 0)), "INC"),
      "COMPLETE"
    )
  )</f>
        <v>COMPLETE</v>
      </c>
      <c r="G1347" s="10" t="str">
        <f t="array" ref="G1347">IF(IFERROR(INDEX(data!L:L,match(Caseslist!B1347,data!D:D,0)),"INC")="","COMPLETE",F1347)</f>
        <v>COMPLETE</v>
      </c>
      <c r="H1347" s="9" t="str">
        <f t="array" ref="H1347">IFERROR(INDEX(dataICM!F:F,match(Caseslist!B1347,dataICM!D:D,0)), "INC")</f>
        <v>Jenny Lou Toles Estacio</v>
      </c>
      <c r="I1347" s="10" t="str">
        <f t="shared" si="2"/>
        <v>C7502931</v>
      </c>
      <c r="J1347" s="9" t="str">
        <f t="array" ref="J1347">IF(
  AND(
    IFERROR(MATCH(B1347, data!D:D, 0), 0) &gt; 0,
    IFERROR(INDEX(data!N:N, MATCH(B1347, data!D:D, 0)) = 1, FALSE)
  ),
  INDEX(data!C:C, MATCH(B1347, data!D:D, 0)),
  "INC"
)</f>
        <v>2025-09-23T13:12:22.666+08</v>
      </c>
      <c r="K1347" s="9" t="str">
        <f t="array" ref="K1347">IFERROR(INDEX(dataICM!C:C,match(Caseslist!B1347,dataICM!D:D,0)), "INC")</f>
        <v>2025-09-23T18:09:48.376+08</v>
      </c>
      <c r="L1347" s="10" t="str">
        <f t="array" ref="L1347">IF(AND(G1347="COMPLETE", OR(K1347="INC", ISBLANK(INDEX(data!O:O, ROW())))), J1347, K1347)</f>
        <v>2025-09-23T18:09:48.376+08</v>
      </c>
      <c r="M1347" s="2">
        <v>45923.0</v>
      </c>
      <c r="N1347" s="2">
        <f t="array" ref="N1347">IF(M1347&lt;&gt;"INC", INDEX(data!M:M, MATCH(B1347, data!D:D, 0)), "")</f>
        <v>3</v>
      </c>
      <c r="O1347" s="2">
        <f t="shared" si="3"/>
        <v>3</v>
      </c>
    </row>
    <row r="1348">
      <c r="A1348" s="2" t="str">
        <f t="shared" si="1"/>
        <v>H030370</v>
      </c>
      <c r="B1348" s="1" t="s">
        <v>8298</v>
      </c>
      <c r="C1348" s="9" t="str">
        <f t="array" ref="C1348">IF(
  AND(
    IFERROR(MATCH(Caseslist!B1348, data!D:D, 0), 0) &gt; 0,
    IFERROR(INDEX(data!N:N, MATCH(Caseslist!B1348, data!D:D, 0)) = 1, FALSE)
  ),
  "COMPLETE",
  "INC"
)</f>
        <v>COMPLETE</v>
      </c>
      <c r="D1348" s="9" t="str">
        <f t="array" ref="D1348">IFERROR(INDEX(data!$G:$G,match(Caseslist!B1348,data!$D:$D,0)), "INC")</f>
        <v>B8193462</v>
      </c>
      <c r="E1348" s="9" t="str">
        <f t="array" ref="E1348">IFERROR(INDEX(data!H:H,match(Caseslist!B1348,data!D:D,0)), "INC")</f>
        <v>Mark Lorens Mendoza Gilongo</v>
      </c>
      <c r="F1348" s="10" t="str">
        <f t="array" ref="F1348">IF(
    OR(
      IFNA(INDEX(data!M:M, MATCH(Caseslist!B1348, data!D:D, 0)), "") = "",
      IFNA(INDEX(data!M:M, MATCH(Caseslist!B1348, data!D:D, 0)), 0) = 0
    ),
    "COMPLETE",
    IF(
      IFNA(INDEX(dataICM!D:D, MATCH(Caseslist!B1348, dataICM!D:D, 0)), "INC") = "INC",
      IFNA(INDEX(dataICM!D:D, MATCH(Caseslist!B1348, dataICM!D:D, 0)), "INC"),
      "COMPLETE"
    )
  )</f>
        <v>COMPLETE</v>
      </c>
      <c r="G1348" s="10" t="str">
        <f t="array" ref="G1348">IF(IFERROR(INDEX(data!L:L,match(Caseslist!B1348,data!D:D,0)),"INC")="","COMPLETE",F1348)</f>
        <v>COMPLETE</v>
      </c>
      <c r="H1348" s="9" t="str">
        <f t="array" ref="H1348">IFERROR(INDEX(dataICM!F:F,match(Caseslist!B1348,dataICM!D:D,0)), "INC")</f>
        <v>Mark Lorens Mendoza Gilongo</v>
      </c>
      <c r="I1348" s="10" t="str">
        <f t="shared" si="2"/>
        <v>B8193462</v>
      </c>
      <c r="J1348" s="9" t="str">
        <f t="array" ref="J1348">IF(
  AND(
    IFERROR(MATCH(B1348, data!D:D, 0), 0) &gt; 0,
    IFERROR(INDEX(data!N:N, MATCH(B1348, data!D:D, 0)) = 1, FALSE)
  ),
  INDEX(data!C:C, MATCH(B1348, data!D:D, 0)),
  "INC"
)</f>
        <v>2025-09-23T10:47:32.195+08</v>
      </c>
      <c r="K1348" s="9" t="str">
        <f t="array" ref="K1348">IFERROR(INDEX(dataICM!C:C,match(Caseslist!B1348,dataICM!D:D,0)), "INC")</f>
        <v>2025-09-23T16:32:04.326+08</v>
      </c>
      <c r="L1348" s="10" t="str">
        <f t="array" ref="L1348">IF(AND(G1348="COMPLETE", OR(K1348="INC", ISBLANK(INDEX(data!O:O, ROW())))), J1348, K1348)</f>
        <v>2025-09-23T16:32:04.326+08</v>
      </c>
      <c r="M1348" s="2">
        <v>45923.0</v>
      </c>
      <c r="N1348" s="2">
        <f t="array" ref="N1348">IF(M1348&lt;&gt;"INC", INDEX(data!M:M, MATCH(B1348, data!D:D, 0)), "")</f>
        <v>3</v>
      </c>
      <c r="O1348" s="2">
        <f t="shared" si="3"/>
        <v>3</v>
      </c>
    </row>
    <row r="1349">
      <c r="A1349" s="2" t="str">
        <f t="shared" si="1"/>
        <v>H030370</v>
      </c>
      <c r="B1349" s="1" t="s">
        <v>8218</v>
      </c>
      <c r="C1349" s="9" t="str">
        <f t="array" ref="C1349">IF(
  AND(
    IFERROR(MATCH(Caseslist!B1349, data!D:D, 0), 0) &gt; 0,
    IFERROR(INDEX(data!N:N, MATCH(Caseslist!B1349, data!D:D, 0)) = 1, FALSE)
  ),
  "COMPLETE",
  "INC"
)</f>
        <v>COMPLETE</v>
      </c>
      <c r="D1349" s="9" t="str">
        <f t="array" ref="D1349">IFERROR(INDEX(data!$G:$G,match(Caseslist!B1349,data!$D:$D,0)), "INC")</f>
        <v>D1284067</v>
      </c>
      <c r="E1349" s="9" t="str">
        <f t="array" ref="E1349">IFERROR(INDEX(data!H:H,match(Caseslist!B1349,data!D:D,0)), "INC")</f>
        <v>Mariel Del Rio</v>
      </c>
      <c r="F1349" s="10" t="str">
        <f t="array" ref="F1349">IF(
    OR(
      IFNA(INDEX(data!M:M, MATCH(Caseslist!B1349, data!D:D, 0)), "") = "",
      IFNA(INDEX(data!M:M, MATCH(Caseslist!B1349, data!D:D, 0)), 0) = 0
    ),
    "COMPLETE",
    IF(
      IFNA(INDEX(dataICM!D:D, MATCH(Caseslist!B1349, dataICM!D:D, 0)), "INC") = "INC",
      IFNA(INDEX(dataICM!D:D, MATCH(Caseslist!B1349, dataICM!D:D, 0)), "INC"),
      "COMPLETE"
    )
  )</f>
        <v>COMPLETE</v>
      </c>
      <c r="G1349" s="10" t="str">
        <f t="array" ref="G1349">IF(IFERROR(INDEX(data!L:L,match(Caseslist!B1349,data!D:D,0)),"INC")="","COMPLETE",F1349)</f>
        <v>COMPLETE</v>
      </c>
      <c r="H1349" s="9" t="str">
        <f t="array" ref="H1349">IFERROR(INDEX(dataICM!F:F,match(Caseslist!B1349,dataICM!D:D,0)), "INC")</f>
        <v>Mariel Del Rio</v>
      </c>
      <c r="I1349" s="10" t="str">
        <f t="shared" si="2"/>
        <v>D1284067</v>
      </c>
      <c r="J1349" s="9" t="str">
        <f t="array" ref="J1349">IF(
  AND(
    IFERROR(MATCH(B1349, data!D:D, 0), 0) &gt; 0,
    IFERROR(INDEX(data!N:N, MATCH(B1349, data!D:D, 0)) = 1, FALSE)
  ),
  INDEX(data!C:C, MATCH(B1349, data!D:D, 0)),
  "INC"
)</f>
        <v>2025-09-24T09:43:35.526+08</v>
      </c>
      <c r="K1349" s="9" t="str">
        <f t="array" ref="K1349">IFERROR(INDEX(dataICM!C:C,match(Caseslist!B1349,dataICM!D:D,0)), "INC")</f>
        <v>2025-09-24T17:21:52.057+08</v>
      </c>
      <c r="L1349" s="10" t="str">
        <f t="array" ref="L1349">IF(AND(G1349="COMPLETE", OR(K1349="INC", ISBLANK(INDEX(data!O:O, ROW())))), J1349, K1349)</f>
        <v>2025-09-24T17:21:52.057+08</v>
      </c>
      <c r="M1349" s="2">
        <v>45924.0</v>
      </c>
      <c r="N1349" s="2">
        <f t="array" ref="N1349">IF(M1349&lt;&gt;"INC", INDEX(data!M:M, MATCH(B1349, data!D:D, 0)), "")</f>
        <v>3</v>
      </c>
      <c r="O1349" s="2">
        <f t="shared" si="3"/>
        <v>3</v>
      </c>
    </row>
    <row r="1350">
      <c r="A1350" s="2" t="str">
        <f t="shared" si="1"/>
        <v>H030370</v>
      </c>
      <c r="B1350" s="1" t="s">
        <v>8208</v>
      </c>
      <c r="C1350" s="9" t="str">
        <f t="array" ref="C1350">IF(
  AND(
    IFERROR(MATCH(Caseslist!B1350, data!D:D, 0), 0) &gt; 0,
    IFERROR(INDEX(data!N:N, MATCH(Caseslist!B1350, data!D:D, 0)) = 1, FALSE)
  ),
  "COMPLETE",
  "INC"
)</f>
        <v>COMPLETE</v>
      </c>
      <c r="D1350" s="9">
        <f t="array" ref="D1350">IFERROR(INDEX(data!$G:$G,match(Caseslist!B1350,data!$D:$D,0)), "INC")</f>
        <v>896791</v>
      </c>
      <c r="E1350" s="9" t="str">
        <f t="array" ref="E1350">IFERROR(INDEX(data!H:H,match(Caseslist!B1350,data!D:D,0)), "INC")</f>
        <v>Roland A. Bandiola jr_2</v>
      </c>
      <c r="F1350" s="10" t="str">
        <f t="array" ref="F1350">IF(
    OR(
      IFNA(INDEX(data!M:M, MATCH(Caseslist!B1350, data!D:D, 0)), "") = "",
      IFNA(INDEX(data!M:M, MATCH(Caseslist!B1350, data!D:D, 0)), 0) = 0
    ),
    "COMPLETE",
    IF(
      IFNA(INDEX(dataICM!D:D, MATCH(Caseslist!B1350, dataICM!D:D, 0)), "INC") = "INC",
      IFNA(INDEX(dataICM!D:D, MATCH(Caseslist!B1350, dataICM!D:D, 0)), "INC"),
      "COMPLETE"
    )
  )</f>
        <v>COMPLETE</v>
      </c>
      <c r="G1350" s="10" t="str">
        <f t="array" ref="G1350">IF(IFERROR(INDEX(data!L:L,match(Caseslist!B1350,data!D:D,0)),"INC")="","COMPLETE",F1350)</f>
        <v>COMPLETE</v>
      </c>
      <c r="H1350" s="9" t="str">
        <f t="array" ref="H1350">IFERROR(INDEX(dataICM!F:F,match(Caseslist!B1350,dataICM!D:D,0)), "INC")</f>
        <v>Roland A. Bandiola jr_2</v>
      </c>
      <c r="I1350" s="10">
        <f t="shared" si="2"/>
        <v>896791</v>
      </c>
      <c r="J1350" s="9" t="str">
        <f t="array" ref="J1350">IF(
  AND(
    IFERROR(MATCH(B1350, data!D:D, 0), 0) &gt; 0,
    IFERROR(INDEX(data!N:N, MATCH(B1350, data!D:D, 0)) = 1, FALSE)
  ),
  INDEX(data!C:C, MATCH(B1350, data!D:D, 0)),
  "INC"
)</f>
        <v>2025-09-24T09:41:22.199+08</v>
      </c>
      <c r="K1350" s="9" t="str">
        <f t="array" ref="K1350">IFERROR(INDEX(dataICM!C:C,match(Caseslist!B1350,dataICM!D:D,0)), "INC")</f>
        <v>2025-09-24T19:06:28.653+08</v>
      </c>
      <c r="L1350" s="10" t="str">
        <f t="array" ref="L1350">IF(AND(G1350="COMPLETE", OR(K1350="INC", ISBLANK(INDEX(data!O:O, ROW())))), J1350, K1350)</f>
        <v>2025-09-24T19:06:28.653+08</v>
      </c>
      <c r="M1350" s="2">
        <v>45924.0</v>
      </c>
      <c r="N1350" s="2">
        <f t="array" ref="N1350">IF(M1350&lt;&gt;"INC", INDEX(data!M:M, MATCH(B1350, data!D:D, 0)), "")</f>
        <v>3</v>
      </c>
      <c r="O1350" s="2">
        <f t="shared" si="3"/>
        <v>3</v>
      </c>
    </row>
    <row r="1351">
      <c r="A1351" s="2" t="str">
        <f t="shared" si="1"/>
        <v>H030370</v>
      </c>
      <c r="B1351" s="1" t="s">
        <v>8313</v>
      </c>
      <c r="C1351" s="9" t="str">
        <f t="array" ref="C1351">IF(
  AND(
    IFERROR(MATCH(Caseslist!B1351, data!D:D, 0), 0) &gt; 0,
    IFERROR(INDEX(data!N:N, MATCH(Caseslist!B1351, data!D:D, 0)) = 1, FALSE)
  ),
  "COMPLETE",
  "INC"
)</f>
        <v>COMPLETE</v>
      </c>
      <c r="D1351" s="9" t="str">
        <f t="array" ref="D1351">IFERROR(INDEX(data!$G:$G,match(Caseslist!B1351,data!$D:$D,0)), "INC")</f>
        <v>B8193462</v>
      </c>
      <c r="E1351" s="9" t="str">
        <f t="array" ref="E1351">IFERROR(INDEX(data!H:H,match(Caseslist!B1351,data!D:D,0)), "INC")</f>
        <v>Mark Lorens Mendoza Gilongo</v>
      </c>
      <c r="F1351" s="10" t="str">
        <f t="array" ref="F1351">IF(
    OR(
      IFNA(INDEX(data!M:M, MATCH(Caseslist!B1351, data!D:D, 0)), "") = "",
      IFNA(INDEX(data!M:M, MATCH(Caseslist!B1351, data!D:D, 0)), 0) = 0
    ),
    "COMPLETE",
    IF(
      IFNA(INDEX(dataICM!D:D, MATCH(Caseslist!B1351, dataICM!D:D, 0)), "INC") = "INC",
      IFNA(INDEX(dataICM!D:D, MATCH(Caseslist!B1351, dataICM!D:D, 0)), "INC"),
      "COMPLETE"
    )
  )</f>
        <v>COMPLETE</v>
      </c>
      <c r="G1351" s="10" t="str">
        <f t="array" ref="G1351">IF(IFERROR(INDEX(data!L:L,match(Caseslist!B1351,data!D:D,0)),"INC")="","COMPLETE",F1351)</f>
        <v>COMPLETE</v>
      </c>
      <c r="H1351" s="9" t="str">
        <f t="array" ref="H1351">IFERROR(INDEX(dataICM!F:F,match(Caseslist!B1351,dataICM!D:D,0)), "INC")</f>
        <v>Mark Lorens Mendoza Gilongo</v>
      </c>
      <c r="I1351" s="10" t="str">
        <f t="shared" si="2"/>
        <v>B8193462</v>
      </c>
      <c r="J1351" s="9" t="str">
        <f t="array" ref="J1351">IF(
  AND(
    IFERROR(MATCH(B1351, data!D:D, 0), 0) &gt; 0,
    IFERROR(INDEX(data!N:N, MATCH(B1351, data!D:D, 0)) = 1, FALSE)
  ),
  INDEX(data!C:C, MATCH(B1351, data!D:D, 0)),
  "INC"
)</f>
        <v>2025-09-24T12:44:18.493+08</v>
      </c>
      <c r="K1351" s="9" t="str">
        <f t="array" ref="K1351">IFERROR(INDEX(dataICM!C:C,match(Caseslist!B1351,dataICM!D:D,0)), "INC")</f>
        <v>2025-09-24T12:51:17.998+08</v>
      </c>
      <c r="L1351" s="10" t="str">
        <f t="array" ref="L1351">IF(AND(G1351="COMPLETE", OR(K1351="INC", ISBLANK(INDEX(data!O:O, ROW())))), J1351, K1351)</f>
        <v>2025-09-24T12:51:17.998+08</v>
      </c>
      <c r="M1351" s="2">
        <v>45924.0</v>
      </c>
      <c r="N1351" s="2">
        <f t="array" ref="N1351">IF(M1351&lt;&gt;"INC", INDEX(data!M:M, MATCH(B1351, data!D:D, 0)), "")</f>
        <v>3</v>
      </c>
      <c r="O1351" s="2">
        <f t="shared" si="3"/>
        <v>3</v>
      </c>
    </row>
    <row r="1352">
      <c r="A1352" s="2" t="str">
        <f t="shared" si="1"/>
        <v>H030370</v>
      </c>
      <c r="B1352" s="1" t="s">
        <v>8308</v>
      </c>
      <c r="C1352" s="9" t="str">
        <f t="array" ref="C1352">IF(
  AND(
    IFERROR(MATCH(Caseslist!B1352, data!D:D, 0), 0) &gt; 0,
    IFERROR(INDEX(data!N:N, MATCH(Caseslist!B1352, data!D:D, 0)) = 1, FALSE)
  ),
  "COMPLETE",
  "INC"
)</f>
        <v>COMPLETE</v>
      </c>
      <c r="D1352" s="9" t="str">
        <f t="array" ref="D1352">IFERROR(INDEX(data!$G:$G,match(Caseslist!B1352,data!$D:$D,0)), "INC")</f>
        <v>C7502931</v>
      </c>
      <c r="E1352" s="9" t="str">
        <f t="array" ref="E1352">IFERROR(INDEX(data!H:H,match(Caseslist!B1352,data!D:D,0)), "INC")</f>
        <v>Jenny Lou Toles Estacio</v>
      </c>
      <c r="F1352" s="10" t="str">
        <f t="array" ref="F1352">IF(
    OR(
      IFNA(INDEX(data!M:M, MATCH(Caseslist!B1352, data!D:D, 0)), "") = "",
      IFNA(INDEX(data!M:M, MATCH(Caseslist!B1352, data!D:D, 0)), 0) = 0
    ),
    "COMPLETE",
    IF(
      IFNA(INDEX(dataICM!D:D, MATCH(Caseslist!B1352, dataICM!D:D, 0)), "INC") = "INC",
      IFNA(INDEX(dataICM!D:D, MATCH(Caseslist!B1352, dataICM!D:D, 0)), "INC"),
      "COMPLETE"
    )
  )</f>
        <v>COMPLETE</v>
      </c>
      <c r="G1352" s="10" t="str">
        <f t="array" ref="G1352">IF(IFERROR(INDEX(data!L:L,match(Caseslist!B1352,data!D:D,0)),"INC")="","COMPLETE",F1352)</f>
        <v>COMPLETE</v>
      </c>
      <c r="H1352" s="9" t="str">
        <f t="array" ref="H1352">IFERROR(INDEX(dataICM!F:F,match(Caseslist!B1352,dataICM!D:D,0)), "INC")</f>
        <v>Jenny Lou Toles Estacio</v>
      </c>
      <c r="I1352" s="10" t="str">
        <f t="shared" si="2"/>
        <v>C7502931</v>
      </c>
      <c r="J1352" s="9" t="str">
        <f t="array" ref="J1352">IF(
  AND(
    IFERROR(MATCH(B1352, data!D:D, 0), 0) &gt; 0,
    IFERROR(INDEX(data!N:N, MATCH(B1352, data!D:D, 0)) = 1, FALSE)
  ),
  INDEX(data!C:C, MATCH(B1352, data!D:D, 0)),
  "INC"
)</f>
        <v>2025-09-24T09:43:16.503+08</v>
      </c>
      <c r="K1352" s="9" t="str">
        <f t="array" ref="K1352">IFERROR(INDEX(dataICM!C:C,match(Caseslist!B1352,dataICM!D:D,0)), "INC")</f>
        <v>2025-09-24T19:04:42.068+08</v>
      </c>
      <c r="L1352" s="10" t="str">
        <f t="array" ref="L1352">IF(AND(G1352="COMPLETE", OR(K1352="INC", ISBLANK(INDEX(data!O:O, ROW())))), J1352, K1352)</f>
        <v>2025-09-24T19:04:42.068+08</v>
      </c>
      <c r="M1352" s="2">
        <v>45924.0</v>
      </c>
      <c r="N1352" s="2">
        <f t="array" ref="N1352">IF(M1352&lt;&gt;"INC", INDEX(data!M:M, MATCH(B1352, data!D:D, 0)), "")</f>
        <v>3</v>
      </c>
      <c r="O1352" s="2">
        <f t="shared" si="3"/>
        <v>3</v>
      </c>
    </row>
    <row r="1353">
      <c r="A1353" s="2" t="str">
        <f t="shared" si="1"/>
        <v>H030370</v>
      </c>
      <c r="B1353" s="1" t="s">
        <v>8318</v>
      </c>
      <c r="C1353" s="9" t="str">
        <f t="array" ref="C1353">IF(
  AND(
    IFERROR(MATCH(Caseslist!B1353, data!D:D, 0), 0) &gt; 0,
    IFERROR(INDEX(data!N:N, MATCH(Caseslist!B1353, data!D:D, 0)) = 1, FALSE)
  ),
  "COMPLETE",
  "INC"
)</f>
        <v>COMPLETE</v>
      </c>
      <c r="D1353" s="9" t="str">
        <f t="array" ref="D1353">IFERROR(INDEX(data!$G:$G,match(Caseslist!B1353,data!$D:$D,0)), "INC")</f>
        <v>D1284067</v>
      </c>
      <c r="E1353" s="9" t="str">
        <f t="array" ref="E1353">IFERROR(INDEX(data!H:H,match(Caseslist!B1353,data!D:D,0)), "INC")</f>
        <v>Mariel Del Rio</v>
      </c>
      <c r="F1353" s="10" t="str">
        <f t="array" ref="F1353">IF(
    OR(
      IFNA(INDEX(data!M:M, MATCH(Caseslist!B1353, data!D:D, 0)), "") = "",
      IFNA(INDEX(data!M:M, MATCH(Caseslist!B1353, data!D:D, 0)), 0) = 0
    ),
    "COMPLETE",
    IF(
      IFNA(INDEX(dataICM!D:D, MATCH(Caseslist!B1353, dataICM!D:D, 0)), "INC") = "INC",
      IFNA(INDEX(dataICM!D:D, MATCH(Caseslist!B1353, dataICM!D:D, 0)), "INC"),
      "COMPLETE"
    )
  )</f>
        <v>COMPLETE</v>
      </c>
      <c r="G1353" s="10" t="str">
        <f t="array" ref="G1353">IF(IFERROR(INDEX(data!L:L,match(Caseslist!B1353,data!D:D,0)),"INC")="","COMPLETE",F1353)</f>
        <v>COMPLETE</v>
      </c>
      <c r="H1353" s="9" t="str">
        <f t="array" ref="H1353">IFERROR(INDEX(dataICM!F:F,match(Caseslist!B1353,dataICM!D:D,0)), "INC")</f>
        <v>Mariel Del Rio</v>
      </c>
      <c r="I1353" s="10" t="str">
        <f t="shared" si="2"/>
        <v>D1284067</v>
      </c>
      <c r="J1353" s="9" t="str">
        <f t="array" ref="J1353">IF(
  AND(
    IFERROR(MATCH(B1353, data!D:D, 0), 0) &gt; 0,
    IFERROR(INDEX(data!N:N, MATCH(B1353, data!D:D, 0)) = 1, FALSE)
  ),
  INDEX(data!C:C, MATCH(B1353, data!D:D, 0)),
  "INC"
)</f>
        <v>2025-09-23T10:25:15.467+08</v>
      </c>
      <c r="K1353" s="9" t="str">
        <f t="array" ref="K1353">IFERROR(INDEX(dataICM!C:C,match(Caseslist!B1353,dataICM!D:D,0)), "INC")</f>
        <v>2025-09-23T16:37:05.738+08</v>
      </c>
      <c r="L1353" s="10" t="str">
        <f t="array" ref="L1353">IF(AND(G1353="COMPLETE", OR(K1353="INC", ISBLANK(INDEX(data!O:O, ROW())))), J1353, K1353)</f>
        <v>2025-09-23T16:37:05.738+08</v>
      </c>
      <c r="M1353" s="2">
        <v>45923.0</v>
      </c>
      <c r="N1353" s="2">
        <f t="array" ref="N1353">IF(M1353&lt;&gt;"INC", INDEX(data!M:M, MATCH(B1353, data!D:D, 0)), "")</f>
        <v>3</v>
      </c>
      <c r="O1353" s="2">
        <f t="shared" si="3"/>
        <v>3</v>
      </c>
    </row>
    <row r="1354">
      <c r="A1354" s="2" t="str">
        <f t="shared" si="1"/>
        <v>H030370</v>
      </c>
      <c r="B1354" s="1" t="s">
        <v>8203</v>
      </c>
      <c r="C1354" s="9" t="str">
        <f t="array" ref="C1354">IF(
  AND(
    IFERROR(MATCH(Caseslist!B1354, data!D:D, 0), 0) &gt; 0,
    IFERROR(INDEX(data!N:N, MATCH(Caseslist!B1354, data!D:D, 0)) = 1, FALSE)
  ),
  "COMPLETE",
  "INC"
)</f>
        <v>COMPLETE</v>
      </c>
      <c r="D1354" s="9" t="str">
        <f t="array" ref="D1354">IFERROR(INDEX(data!$G:$G,match(Caseslist!B1354,data!$D:$D,0)), "INC")</f>
        <v>C7502931</v>
      </c>
      <c r="E1354" s="9" t="str">
        <f t="array" ref="E1354">IFERROR(INDEX(data!H:H,match(Caseslist!B1354,data!D:D,0)), "INC")</f>
        <v>Jenny Lou Toles Estacio</v>
      </c>
      <c r="F1354" s="10" t="str">
        <f t="array" ref="F1354">IF(
    OR(
      IFNA(INDEX(data!M:M, MATCH(Caseslist!B1354, data!D:D, 0)), "") = "",
      IFNA(INDEX(data!M:M, MATCH(Caseslist!B1354, data!D:D, 0)), 0) = 0
    ),
    "COMPLETE",
    IF(
      IFNA(INDEX(dataICM!D:D, MATCH(Caseslist!B1354, dataICM!D:D, 0)), "INC") = "INC",
      IFNA(INDEX(dataICM!D:D, MATCH(Caseslist!B1354, dataICM!D:D, 0)), "INC"),
      "COMPLETE"
    )
  )</f>
        <v>COMPLETE</v>
      </c>
      <c r="G1354" s="10" t="str">
        <f t="array" ref="G1354">IF(IFERROR(INDEX(data!L:L,match(Caseslist!B1354,data!D:D,0)),"INC")="","COMPLETE",F1354)</f>
        <v>COMPLETE</v>
      </c>
      <c r="H1354" s="9" t="str">
        <f t="array" ref="H1354">IFERROR(INDEX(dataICM!F:F,match(Caseslist!B1354,dataICM!D:D,0)), "INC")</f>
        <v>Jenny Lou Toles Estacio</v>
      </c>
      <c r="I1354" s="10" t="str">
        <f t="shared" si="2"/>
        <v>C7502931</v>
      </c>
      <c r="J1354" s="9" t="str">
        <f t="array" ref="J1354">IF(
  AND(
    IFERROR(MATCH(B1354, data!D:D, 0), 0) &gt; 0,
    IFERROR(INDEX(data!N:N, MATCH(B1354, data!D:D, 0)) = 1, FALSE)
  ),
  INDEX(data!C:C, MATCH(B1354, data!D:D, 0)),
  "INC"
)</f>
        <v>2025-09-23T10:24:29.800+08</v>
      </c>
      <c r="K1354" s="9" t="str">
        <f t="array" ref="K1354">IFERROR(INDEX(dataICM!C:C,match(Caseslist!B1354,dataICM!D:D,0)), "INC")</f>
        <v>2025-09-23T18:13:35.526+08</v>
      </c>
      <c r="L1354" s="10" t="str">
        <f t="array" ref="L1354">IF(AND(G1354="COMPLETE", OR(K1354="INC", ISBLANK(INDEX(data!O:O, ROW())))), J1354, K1354)</f>
        <v>2025-09-23T18:13:35.526+08</v>
      </c>
      <c r="M1354" s="2">
        <v>45923.0</v>
      </c>
      <c r="N1354" s="2">
        <f t="array" ref="N1354">IF(M1354&lt;&gt;"INC", INDEX(data!M:M, MATCH(B1354, data!D:D, 0)), "")</f>
        <v>3</v>
      </c>
      <c r="O1354" s="2">
        <f t="shared" si="3"/>
        <v>3</v>
      </c>
    </row>
    <row r="1355">
      <c r="A1355" s="2" t="str">
        <f t="shared" si="1"/>
        <v>H030370</v>
      </c>
      <c r="B1355" s="1" t="s">
        <v>8934</v>
      </c>
      <c r="C1355" s="9" t="str">
        <f t="array" ref="C1355">IF(
  AND(
    IFERROR(MATCH(Caseslist!B1355, data!D:D, 0), 0) &gt; 0,
    IFERROR(INDEX(data!N:N, MATCH(Caseslist!B1355, data!D:D, 0)) = 1, FALSE)
  ),
  "COMPLETE",
  "INC"
)</f>
        <v>INC</v>
      </c>
      <c r="D1355" s="9" t="str">
        <f t="array" ref="D1355">IFERROR(INDEX(data!$G:$G,match(Caseslist!B1355,data!$D:$D,0)), "INC")</f>
        <v>INC</v>
      </c>
      <c r="E1355" s="9" t="str">
        <f t="array" ref="E1355">IFERROR(INDEX(data!H:H,match(Caseslist!B1355,data!D:D,0)), "INC")</f>
        <v>INC</v>
      </c>
      <c r="F1355" s="10" t="str">
        <f t="array" ref="F1355">IF(
    OR(
      IFNA(INDEX(data!M:M, MATCH(Caseslist!B1355, data!D:D, 0)), "") = "",
      IFNA(INDEX(data!M:M, MATCH(Caseslist!B1355, data!D:D, 0)), 0) = 0
    ),
    "COMPLETE",
    IF(
      IFNA(INDEX(dataICM!D:D, MATCH(Caseslist!B1355, dataICM!D:D, 0)), "INC") = "INC",
      IFNA(INDEX(dataICM!D:D, MATCH(Caseslist!B1355, dataICM!D:D, 0)), "INC"),
      "COMPLETE"
    )
  )</f>
        <v>COMPLETE</v>
      </c>
      <c r="G1355" s="10" t="str">
        <f t="array" ref="G1355">IF(IFERROR(INDEX(data!L:L,match(Caseslist!B1355,data!D:D,0)),"INC")="","COMPLETE",F1355)</f>
        <v>COMPLETE</v>
      </c>
      <c r="H1355" s="9" t="str">
        <f t="array" ref="H1355">IFERROR(INDEX(dataICM!F:F,match(Caseslist!B1355,dataICM!D:D,0)), "INC")</f>
        <v>INC</v>
      </c>
      <c r="I1355" s="10" t="str">
        <f t="shared" si="2"/>
        <v>INC</v>
      </c>
      <c r="J1355" s="9" t="str">
        <f t="array" ref="J1355">IF(
  AND(
    IFERROR(MATCH(B1355, data!D:D, 0), 0) &gt; 0,
    IFERROR(INDEX(data!N:N, MATCH(B1355, data!D:D, 0)) = 1, FALSE)
  ),
  INDEX(data!C:C, MATCH(B1355, data!D:D, 0)),
  "INC"
)</f>
        <v>INC</v>
      </c>
      <c r="K1355" s="9" t="str">
        <f t="array" ref="K1355">IFERROR(INDEX(dataICM!C:C,match(Caseslist!B1355,dataICM!D:D,0)), "INC")</f>
        <v>INC</v>
      </c>
      <c r="L1355" s="10" t="str">
        <f t="array" ref="L1355">IF(AND(G1355="COMPLETE", OR(K1355="INC", ISBLANK(INDEX(data!O:O, ROW())))), J1355, K1355)</f>
        <v>INC</v>
      </c>
      <c r="M1355" s="2" t="s">
        <v>8886</v>
      </c>
      <c r="N1355" s="2" t="str">
        <f t="array" ref="N1355">IF(M1355&lt;&gt;"INC", INDEX(data!M:M, MATCH(B1355, data!D:D, 0)), "")</f>
        <v/>
      </c>
      <c r="O1355" s="2" t="str">
        <f t="shared" si="3"/>
        <v/>
      </c>
    </row>
    <row r="1356">
      <c r="A1356" s="2" t="str">
        <f t="shared" si="1"/>
        <v>H030370</v>
      </c>
      <c r="B1356" s="1" t="s">
        <v>8288</v>
      </c>
      <c r="C1356" s="9" t="str">
        <f t="array" ref="C1356">IF(
  AND(
    IFERROR(MATCH(Caseslist!B1356, data!D:D, 0), 0) &gt; 0,
    IFERROR(INDEX(data!N:N, MATCH(Caseslist!B1356, data!D:D, 0)) = 1, FALSE)
  ),
  "COMPLETE",
  "INC"
)</f>
        <v>COMPLETE</v>
      </c>
      <c r="D1356" s="9" t="str">
        <f t="array" ref="D1356">IFERROR(INDEX(data!$G:$G,match(Caseslist!B1356,data!$D:$D,0)), "INC")</f>
        <v>C7502931</v>
      </c>
      <c r="E1356" s="9" t="str">
        <f t="array" ref="E1356">IFERROR(INDEX(data!H:H,match(Caseslist!B1356,data!D:D,0)), "INC")</f>
        <v>Jenny Lou Toles Estacio</v>
      </c>
      <c r="F1356" s="10" t="str">
        <f t="array" ref="F1356">IF(
    OR(
      IFNA(INDEX(data!M:M, MATCH(Caseslist!B1356, data!D:D, 0)), "") = "",
      IFNA(INDEX(data!M:M, MATCH(Caseslist!B1356, data!D:D, 0)), 0) = 0
    ),
    "COMPLETE",
    IF(
      IFNA(INDEX(dataICM!D:D, MATCH(Caseslist!B1356, dataICM!D:D, 0)), "INC") = "INC",
      IFNA(INDEX(dataICM!D:D, MATCH(Caseslist!B1356, dataICM!D:D, 0)), "INC"),
      "COMPLETE"
    )
  )</f>
        <v>COMPLETE</v>
      </c>
      <c r="G1356" s="10" t="str">
        <f t="array" ref="G1356">IF(IFERROR(INDEX(data!L:L,match(Caseslist!B1356,data!D:D,0)),"INC")="","COMPLETE",F1356)</f>
        <v>COMPLETE</v>
      </c>
      <c r="H1356" s="9" t="str">
        <f t="array" ref="H1356">IFERROR(INDEX(dataICM!F:F,match(Caseslist!B1356,dataICM!D:D,0)), "INC")</f>
        <v>Jenny Lou Toles Estacio</v>
      </c>
      <c r="I1356" s="10" t="str">
        <f t="shared" si="2"/>
        <v>C7502931</v>
      </c>
      <c r="J1356" s="9" t="str">
        <f t="array" ref="J1356">IF(
  AND(
    IFERROR(MATCH(B1356, data!D:D, 0), 0) &gt; 0,
    IFERROR(INDEX(data!N:N, MATCH(B1356, data!D:D, 0)) = 1, FALSE)
  ),
  INDEX(data!C:C, MATCH(B1356, data!D:D, 0)),
  "INC"
)</f>
        <v>2025-09-24T12:15:56.526+08</v>
      </c>
      <c r="K1356" s="9" t="str">
        <f t="array" ref="K1356">IFERROR(INDEX(dataICM!C:C,match(Caseslist!B1356,dataICM!D:D,0)), "INC")</f>
        <v>2025-09-24T19:05:43.015+08</v>
      </c>
      <c r="L1356" s="10" t="str">
        <f t="array" ref="L1356">IF(AND(G1356="COMPLETE", OR(K1356="INC", ISBLANK(INDEX(data!O:O, ROW())))), J1356, K1356)</f>
        <v>2025-09-24T19:05:43.015+08</v>
      </c>
      <c r="M1356" s="2">
        <v>45924.0</v>
      </c>
      <c r="N1356" s="2">
        <f t="array" ref="N1356">IF(M1356&lt;&gt;"INC", INDEX(data!M:M, MATCH(B1356, data!D:D, 0)), "")</f>
        <v>3</v>
      </c>
      <c r="O1356" s="2">
        <f t="shared" si="3"/>
        <v>3</v>
      </c>
    </row>
    <row r="1357">
      <c r="A1357" s="2" t="str">
        <f t="shared" si="1"/>
        <v>H030370</v>
      </c>
      <c r="B1357" s="1" t="s">
        <v>8328</v>
      </c>
      <c r="C1357" s="9" t="str">
        <f t="array" ref="C1357">IF(
  AND(
    IFERROR(MATCH(Caseslist!B1357, data!D:D, 0), 0) &gt; 0,
    IFERROR(INDEX(data!N:N, MATCH(Caseslist!B1357, data!D:D, 0)) = 1, FALSE)
  ),
  "COMPLETE",
  "INC"
)</f>
        <v>COMPLETE</v>
      </c>
      <c r="D1357" s="9" t="str">
        <f t="array" ref="D1357">IFERROR(INDEX(data!$G:$G,match(Caseslist!B1357,data!$D:$D,0)), "INC")</f>
        <v>D1284067</v>
      </c>
      <c r="E1357" s="9" t="str">
        <f t="array" ref="E1357">IFERROR(INDEX(data!H:H,match(Caseslist!B1357,data!D:D,0)), "INC")</f>
        <v>Mariel Del Rio</v>
      </c>
      <c r="F1357" s="10" t="str">
        <f t="array" ref="F1357">IF(
    OR(
      IFNA(INDEX(data!M:M, MATCH(Caseslist!B1357, data!D:D, 0)), "") = "",
      IFNA(INDEX(data!M:M, MATCH(Caseslist!B1357, data!D:D, 0)), 0) = 0
    ),
    "COMPLETE",
    IF(
      IFNA(INDEX(dataICM!D:D, MATCH(Caseslist!B1357, dataICM!D:D, 0)), "INC") = "INC",
      IFNA(INDEX(dataICM!D:D, MATCH(Caseslist!B1357, dataICM!D:D, 0)), "INC"),
      "COMPLETE"
    )
  )</f>
        <v>COMPLETE</v>
      </c>
      <c r="G1357" s="10" t="str">
        <f t="array" ref="G1357">IF(IFERROR(INDEX(data!L:L,match(Caseslist!B1357,data!D:D,0)),"INC")="","COMPLETE",F1357)</f>
        <v>COMPLETE</v>
      </c>
      <c r="H1357" s="9" t="str">
        <f t="array" ref="H1357">IFERROR(INDEX(dataICM!F:F,match(Caseslist!B1357,dataICM!D:D,0)), "INC")</f>
        <v>Mariel Del Rio</v>
      </c>
      <c r="I1357" s="10" t="str">
        <f t="shared" si="2"/>
        <v>D1284067</v>
      </c>
      <c r="J1357" s="9" t="str">
        <f t="array" ref="J1357">IF(
  AND(
    IFERROR(MATCH(B1357, data!D:D, 0), 0) &gt; 0,
    IFERROR(INDEX(data!N:N, MATCH(B1357, data!D:D, 0)) = 1, FALSE)
  ),
  INDEX(data!C:C, MATCH(B1357, data!D:D, 0)),
  "INC"
)</f>
        <v>2025-09-23T13:44:24.339+08</v>
      </c>
      <c r="K1357" s="9" t="str">
        <f t="array" ref="K1357">IFERROR(INDEX(dataICM!C:C,match(Caseslist!B1357,dataICM!D:D,0)), "INC")</f>
        <v>2025-09-23T16:34:14.230+08</v>
      </c>
      <c r="L1357" s="10" t="str">
        <f t="array" ref="L1357">IF(AND(G1357="COMPLETE", OR(K1357="INC", ISBLANK(INDEX(data!O:O, ROW())))), J1357, K1357)</f>
        <v>2025-09-23T16:34:14.230+08</v>
      </c>
      <c r="M1357" s="2">
        <v>45923.0</v>
      </c>
      <c r="N1357" s="2">
        <f t="array" ref="N1357">IF(M1357&lt;&gt;"INC", INDEX(data!M:M, MATCH(B1357, data!D:D, 0)), "")</f>
        <v>3</v>
      </c>
      <c r="O1357" s="2">
        <f t="shared" si="3"/>
        <v>3</v>
      </c>
    </row>
    <row r="1358">
      <c r="A1358" s="2" t="str">
        <f t="shared" si="1"/>
        <v>H030370</v>
      </c>
      <c r="B1358" s="1" t="s">
        <v>8303</v>
      </c>
      <c r="C1358" s="9" t="str">
        <f t="array" ref="C1358">IF(
  AND(
    IFERROR(MATCH(Caseslist!B1358, data!D:D, 0), 0) &gt; 0,
    IFERROR(INDEX(data!N:N, MATCH(Caseslist!B1358, data!D:D, 0)) = 1, FALSE)
  ),
  "COMPLETE",
  "INC"
)</f>
        <v>COMPLETE</v>
      </c>
      <c r="D1358" s="9" t="str">
        <f t="array" ref="D1358">IFERROR(INDEX(data!$G:$G,match(Caseslist!B1358,data!$D:$D,0)), "INC")</f>
        <v>B8193462</v>
      </c>
      <c r="E1358" s="9" t="str">
        <f t="array" ref="E1358">IFERROR(INDEX(data!H:H,match(Caseslist!B1358,data!D:D,0)), "INC")</f>
        <v>Mark Lorens Mendoza Gilongo</v>
      </c>
      <c r="F1358" s="10" t="str">
        <f t="array" ref="F1358">IF(
    OR(
      IFNA(INDEX(data!M:M, MATCH(Caseslist!B1358, data!D:D, 0)), "") = "",
      IFNA(INDEX(data!M:M, MATCH(Caseslist!B1358, data!D:D, 0)), 0) = 0
    ),
    "COMPLETE",
    IF(
      IFNA(INDEX(dataICM!D:D, MATCH(Caseslist!B1358, dataICM!D:D, 0)), "INC") = "INC",
      IFNA(INDEX(dataICM!D:D, MATCH(Caseslist!B1358, dataICM!D:D, 0)), "INC"),
      "COMPLETE"
    )
  )</f>
        <v>COMPLETE</v>
      </c>
      <c r="G1358" s="10" t="str">
        <f t="array" ref="G1358">IF(IFERROR(INDEX(data!L:L,match(Caseslist!B1358,data!D:D,0)),"INC")="","COMPLETE",F1358)</f>
        <v>COMPLETE</v>
      </c>
      <c r="H1358" s="9" t="str">
        <f t="array" ref="H1358">IFERROR(INDEX(dataICM!F:F,match(Caseslist!B1358,dataICM!D:D,0)), "INC")</f>
        <v>Mark Lorens Mendoza Gilongo</v>
      </c>
      <c r="I1358" s="10" t="str">
        <f t="shared" si="2"/>
        <v>B8193462</v>
      </c>
      <c r="J1358" s="9" t="str">
        <f t="array" ref="J1358">IF(
  AND(
    IFERROR(MATCH(B1358, data!D:D, 0), 0) &gt; 0,
    IFERROR(INDEX(data!N:N, MATCH(B1358, data!D:D, 0)) = 1, FALSE)
  ),
  INDEX(data!C:C, MATCH(B1358, data!D:D, 0)),
  "INC"
)</f>
        <v>2025-09-23T13:56:48.916+08</v>
      </c>
      <c r="K1358" s="9" t="str">
        <f t="array" ref="K1358">IFERROR(INDEX(dataICM!C:C,match(Caseslist!B1358,dataICM!D:D,0)), "INC")</f>
        <v>2025-09-23T16:59:57.263+08</v>
      </c>
      <c r="L1358" s="10" t="str">
        <f t="array" ref="L1358">IF(AND(G1358="COMPLETE", OR(K1358="INC", ISBLANK(INDEX(data!O:O, ROW())))), J1358, K1358)</f>
        <v>2025-09-23T16:59:57.263+08</v>
      </c>
      <c r="M1358" s="2">
        <v>45923.0</v>
      </c>
      <c r="N1358" s="2">
        <f t="array" ref="N1358">IF(M1358&lt;&gt;"INC", INDEX(data!M:M, MATCH(B1358, data!D:D, 0)), "")</f>
        <v>3</v>
      </c>
      <c r="O1358" s="2">
        <f t="shared" si="3"/>
        <v>3</v>
      </c>
    </row>
    <row r="1359">
      <c r="A1359" s="2" t="str">
        <f t="shared" si="1"/>
        <v>H030370</v>
      </c>
      <c r="B1359" s="1" t="s">
        <v>8213</v>
      </c>
      <c r="C1359" s="9" t="str">
        <f t="array" ref="C1359">IF(
  AND(
    IFERROR(MATCH(Caseslist!B1359, data!D:D, 0), 0) &gt; 0,
    IFERROR(INDEX(data!N:N, MATCH(Caseslist!B1359, data!D:D, 0)) = 1, FALSE)
  ),
  "COMPLETE",
  "INC"
)</f>
        <v>COMPLETE</v>
      </c>
      <c r="D1359" s="9" t="str">
        <f t="array" ref="D1359">IFERROR(INDEX(data!$G:$G,match(Caseslist!B1359,data!$D:$D,0)), "INC")</f>
        <v>B8193462</v>
      </c>
      <c r="E1359" s="9" t="str">
        <f t="array" ref="E1359">IFERROR(INDEX(data!H:H,match(Caseslist!B1359,data!D:D,0)), "INC")</f>
        <v>Mark Lorens Mendoza Gilongo</v>
      </c>
      <c r="F1359" s="10" t="str">
        <f t="array" ref="F1359">IF(
    OR(
      IFNA(INDEX(data!M:M, MATCH(Caseslist!B1359, data!D:D, 0)), "") = "",
      IFNA(INDEX(data!M:M, MATCH(Caseslist!B1359, data!D:D, 0)), 0) = 0
    ),
    "COMPLETE",
    IF(
      IFNA(INDEX(dataICM!D:D, MATCH(Caseslist!B1359, dataICM!D:D, 0)), "INC") = "INC",
      IFNA(INDEX(dataICM!D:D, MATCH(Caseslist!B1359, dataICM!D:D, 0)), "INC"),
      "COMPLETE"
    )
  )</f>
        <v>COMPLETE</v>
      </c>
      <c r="G1359" s="10" t="str">
        <f t="array" ref="G1359">IF(IFERROR(INDEX(data!L:L,match(Caseslist!B1359,data!D:D,0)),"INC")="","COMPLETE",F1359)</f>
        <v>COMPLETE</v>
      </c>
      <c r="H1359" s="9" t="str">
        <f t="array" ref="H1359">IFERROR(INDEX(dataICM!F:F,match(Caseslist!B1359,dataICM!D:D,0)), "INC")</f>
        <v>Mark Lorens Mendoza Gilongo</v>
      </c>
      <c r="I1359" s="10" t="str">
        <f t="shared" si="2"/>
        <v>B8193462</v>
      </c>
      <c r="J1359" s="9" t="str">
        <f t="array" ref="J1359">IF(
  AND(
    IFERROR(MATCH(B1359, data!D:D, 0), 0) &gt; 0,
    IFERROR(INDEX(data!N:N, MATCH(B1359, data!D:D, 0)) = 1, FALSE)
  ),
  INDEX(data!C:C, MATCH(B1359, data!D:D, 0)),
  "INC"
)</f>
        <v>2025-09-24T09:51:39.377+08</v>
      </c>
      <c r="K1359" s="9" t="str">
        <f t="array" ref="K1359">IFERROR(INDEX(dataICM!C:C,match(Caseslist!B1359,dataICM!D:D,0)), "INC")</f>
        <v>2025-09-24T14:21:13.614+08</v>
      </c>
      <c r="L1359" s="10" t="str">
        <f t="array" ref="L1359">IF(AND(G1359="COMPLETE", OR(K1359="INC", ISBLANK(INDEX(data!O:O, ROW())))), J1359, K1359)</f>
        <v>2025-09-24T14:21:13.614+08</v>
      </c>
      <c r="M1359" s="2">
        <v>45924.0</v>
      </c>
      <c r="N1359" s="2">
        <f t="array" ref="N1359">IF(M1359&lt;&gt;"INC", INDEX(data!M:M, MATCH(B1359, data!D:D, 0)), "")</f>
        <v>3</v>
      </c>
      <c r="O1359" s="2">
        <f t="shared" si="3"/>
        <v>3</v>
      </c>
    </row>
    <row r="1360">
      <c r="A1360" s="2" t="str">
        <f t="shared" si="1"/>
        <v>H030370</v>
      </c>
      <c r="B1360" s="1" t="s">
        <v>8293</v>
      </c>
      <c r="C1360" s="9" t="str">
        <f t="array" ref="C1360">IF(
  AND(
    IFERROR(MATCH(Caseslist!B1360, data!D:D, 0), 0) &gt; 0,
    IFERROR(INDEX(data!N:N, MATCH(Caseslist!B1360, data!D:D, 0)) = 1, FALSE)
  ),
  "COMPLETE",
  "INC"
)</f>
        <v>COMPLETE</v>
      </c>
      <c r="D1360" s="9" t="str">
        <f t="array" ref="D1360">IFERROR(INDEX(data!$G:$G,match(Caseslist!B1360,data!$D:$D,0)), "INC")</f>
        <v>B8193462</v>
      </c>
      <c r="E1360" s="9" t="str">
        <f t="array" ref="E1360">IFERROR(INDEX(data!H:H,match(Caseslist!B1360,data!D:D,0)), "INC")</f>
        <v>Mark Lorens Mendoza Gilongo</v>
      </c>
      <c r="F1360" s="10" t="str">
        <f t="array" ref="F1360">IF(
    OR(
      IFNA(INDEX(data!M:M, MATCH(Caseslist!B1360, data!D:D, 0)), "") = "",
      IFNA(INDEX(data!M:M, MATCH(Caseslist!B1360, data!D:D, 0)), 0) = 0
    ),
    "COMPLETE",
    IF(
      IFNA(INDEX(dataICM!D:D, MATCH(Caseslist!B1360, dataICM!D:D, 0)), "INC") = "INC",
      IFNA(INDEX(dataICM!D:D, MATCH(Caseslist!B1360, dataICM!D:D, 0)), "INC"),
      "COMPLETE"
    )
  )</f>
        <v>COMPLETE</v>
      </c>
      <c r="G1360" s="10" t="str">
        <f t="array" ref="G1360">IF(IFERROR(INDEX(data!L:L,match(Caseslist!B1360,data!D:D,0)),"INC")="","COMPLETE",F1360)</f>
        <v>COMPLETE</v>
      </c>
      <c r="H1360" s="9" t="str">
        <f t="array" ref="H1360">IFERROR(INDEX(dataICM!F:F,match(Caseslist!B1360,dataICM!D:D,0)), "INC")</f>
        <v>Mark Lorens Mendoza Gilongo</v>
      </c>
      <c r="I1360" s="10" t="str">
        <f t="shared" si="2"/>
        <v>B8193462</v>
      </c>
      <c r="J1360" s="9" t="str">
        <f t="array" ref="J1360">IF(
  AND(
    IFERROR(MATCH(B1360, data!D:D, 0), 0) &gt; 0,
    IFERROR(INDEX(data!N:N, MATCH(B1360, data!D:D, 0)) = 1, FALSE)
  ),
  INDEX(data!C:C, MATCH(B1360, data!D:D, 0)),
  "INC"
)</f>
        <v>2025-09-23T12:21:12.150+08</v>
      </c>
      <c r="K1360" s="9" t="str">
        <f t="array" ref="K1360">IFERROR(INDEX(dataICM!C:C,match(Caseslist!B1360,dataICM!D:D,0)), "INC")</f>
        <v>2025-09-23T16:57:12.226+08</v>
      </c>
      <c r="L1360" s="10" t="str">
        <f t="array" ref="L1360">IF(AND(G1360="COMPLETE", OR(K1360="INC", ISBLANK(INDEX(data!O:O, ROW())))), J1360, K1360)</f>
        <v>2025-09-23T16:57:12.226+08</v>
      </c>
      <c r="M1360" s="2">
        <v>45923.0</v>
      </c>
      <c r="N1360" s="2">
        <f t="array" ref="N1360">IF(M1360&lt;&gt;"INC", INDEX(data!M:M, MATCH(B1360, data!D:D, 0)), "")</f>
        <v>3</v>
      </c>
      <c r="O1360" s="2">
        <f t="shared" si="3"/>
        <v>3</v>
      </c>
    </row>
    <row r="1361">
      <c r="A1361" s="2" t="str">
        <f t="shared" si="1"/>
        <v>H030370</v>
      </c>
      <c r="B1361" s="1" t="s">
        <v>8323</v>
      </c>
      <c r="C1361" s="9" t="str">
        <f t="array" ref="C1361">IF(
  AND(
    IFERROR(MATCH(Caseslist!B1361, data!D:D, 0), 0) &gt; 0,
    IFERROR(INDEX(data!N:N, MATCH(Caseslist!B1361, data!D:D, 0)) = 1, FALSE)
  ),
  "COMPLETE",
  "INC"
)</f>
        <v>COMPLETE</v>
      </c>
      <c r="D1361" s="9" t="str">
        <f t="array" ref="D1361">IFERROR(INDEX(data!$G:$G,match(Caseslist!B1361,data!$D:$D,0)), "INC")</f>
        <v>D1284067</v>
      </c>
      <c r="E1361" s="9" t="str">
        <f t="array" ref="E1361">IFERROR(INDEX(data!H:H,match(Caseslist!B1361,data!D:D,0)), "INC")</f>
        <v>Mariel Del Rio</v>
      </c>
      <c r="F1361" s="10" t="str">
        <f t="array" ref="F1361">IF(
    OR(
      IFNA(INDEX(data!M:M, MATCH(Caseslist!B1361, data!D:D, 0)), "") = "",
      IFNA(INDEX(data!M:M, MATCH(Caseslist!B1361, data!D:D, 0)), 0) = 0
    ),
    "COMPLETE",
    IF(
      IFNA(INDEX(dataICM!D:D, MATCH(Caseslist!B1361, dataICM!D:D, 0)), "INC") = "INC",
      IFNA(INDEX(dataICM!D:D, MATCH(Caseslist!B1361, dataICM!D:D, 0)), "INC"),
      "COMPLETE"
    )
  )</f>
        <v>COMPLETE</v>
      </c>
      <c r="G1361" s="10" t="str">
        <f t="array" ref="G1361">IF(IFERROR(INDEX(data!L:L,match(Caseslist!B1361,data!D:D,0)),"INC")="","COMPLETE",F1361)</f>
        <v>COMPLETE</v>
      </c>
      <c r="H1361" s="9" t="str">
        <f t="array" ref="H1361">IFERROR(INDEX(dataICM!F:F,match(Caseslist!B1361,dataICM!D:D,0)), "INC")</f>
        <v>Mariel Del Rio</v>
      </c>
      <c r="I1361" s="10" t="str">
        <f t="shared" si="2"/>
        <v>D1284067</v>
      </c>
      <c r="J1361" s="9" t="str">
        <f t="array" ref="J1361">IF(
  AND(
    IFERROR(MATCH(B1361, data!D:D, 0), 0) &gt; 0,
    IFERROR(INDEX(data!N:N, MATCH(B1361, data!D:D, 0)) = 1, FALSE)
  ),
  INDEX(data!C:C, MATCH(B1361, data!D:D, 0)),
  "INC"
)</f>
        <v>2025-09-23T12:24:39.101+08</v>
      </c>
      <c r="K1361" s="9" t="str">
        <f t="array" ref="K1361">IFERROR(INDEX(dataICM!C:C,match(Caseslist!B1361,dataICM!D:D,0)), "INC")</f>
        <v>2025-09-23T16:42:51.648+08</v>
      </c>
      <c r="L1361" s="10" t="str">
        <f t="array" ref="L1361">IF(AND(G1361="COMPLETE", OR(K1361="INC", ISBLANK(INDEX(data!O:O, ROW())))), J1361, K1361)</f>
        <v>2025-09-23T16:42:51.648+08</v>
      </c>
      <c r="M1361" s="2">
        <v>45923.0</v>
      </c>
      <c r="N1361" s="2">
        <f t="array" ref="N1361">IF(M1361&lt;&gt;"INC", INDEX(data!M:M, MATCH(B1361, data!D:D, 0)), "")</f>
        <v>3</v>
      </c>
      <c r="O1361" s="2">
        <f t="shared" si="3"/>
        <v>3</v>
      </c>
    </row>
    <row r="1362">
      <c r="A1362" s="2" t="str">
        <f t="shared" si="1"/>
        <v>H030373</v>
      </c>
      <c r="B1362" s="1" t="s">
        <v>5473</v>
      </c>
      <c r="C1362" s="9" t="str">
        <f t="array" ref="C1362">IF(
  AND(
    IFERROR(MATCH(Caseslist!B1362, data!D:D, 0), 0) &gt; 0,
    IFERROR(INDEX(data!N:N, MATCH(Caseslist!B1362, data!D:D, 0)) = 1, FALSE)
  ),
  "COMPLETE",
  "INC"
)</f>
        <v>COMPLETE</v>
      </c>
      <c r="D1362" s="9" t="str">
        <f t="array" ref="D1362">IFERROR(INDEX(data!$G:$G,match(Caseslist!B1362,data!$D:$D,0)), "INC")</f>
        <v>F3051749</v>
      </c>
      <c r="E1362" s="9" t="str">
        <f t="array" ref="E1362">IFERROR(INDEX(data!H:H,match(Caseslist!B1362,data!D:D,0)), "INC")</f>
        <v>Elenita Gicos De La Pe�a</v>
      </c>
      <c r="F1362" s="10" t="str">
        <f t="array" ref="F1362">IF(
    OR(
      IFNA(INDEX(data!M:M, MATCH(Caseslist!B1362, data!D:D, 0)), "") = "",
      IFNA(INDEX(data!M:M, MATCH(Caseslist!B1362, data!D:D, 0)), 0) = 0
    ),
    "COMPLETE",
    IF(
      IFNA(INDEX(dataICM!D:D, MATCH(Caseslist!B1362, dataICM!D:D, 0)), "INC") = "INC",
      IFNA(INDEX(dataICM!D:D, MATCH(Caseslist!B1362, dataICM!D:D, 0)), "INC"),
      "COMPLETE"
    )
  )</f>
        <v>COMPLETE</v>
      </c>
      <c r="G1362" s="10" t="str">
        <f t="array" ref="G1362">IF(IFERROR(INDEX(data!L:L,match(Caseslist!B1362,data!D:D,0)),"INC")="","COMPLETE",F1362)</f>
        <v>COMPLETE</v>
      </c>
      <c r="H1362" s="9" t="str">
        <f t="array" ref="H1362">IFERROR(INDEX(dataICM!F:F,match(Caseslist!B1362,dataICM!D:D,0)), "INC")</f>
        <v>Elenita Gicos De La Pe�a</v>
      </c>
      <c r="I1362" s="10" t="str">
        <f t="shared" si="2"/>
        <v>F3051749</v>
      </c>
      <c r="J1362" s="9" t="str">
        <f t="array" ref="J1362">IF(
  AND(
    IFERROR(MATCH(B1362, data!D:D, 0), 0) &gt; 0,
    IFERROR(INDEX(data!N:N, MATCH(B1362, data!D:D, 0)) = 1, FALSE)
  ),
  INDEX(data!C:C, MATCH(B1362, data!D:D, 0)),
  "INC"
)</f>
        <v>2025-09-11T13:04:54.926+08</v>
      </c>
      <c r="K1362" s="9" t="str">
        <f t="array" ref="K1362">IFERROR(INDEX(dataICM!C:C,match(Caseslist!B1362,dataICM!D:D,0)), "INC")</f>
        <v>2025-09-11T13:26:03.091+08</v>
      </c>
      <c r="L1362" s="10" t="str">
        <f t="array" ref="L1362">IF(AND(G1362="COMPLETE", OR(K1362="INC", ISBLANK(INDEX(data!O:O, ROW())))), J1362, K1362)</f>
        <v>2025-09-11T13:26:03.091+08</v>
      </c>
      <c r="M1362" s="2">
        <v>45911.0</v>
      </c>
      <c r="N1362" s="2">
        <f t="array" ref="N1362">IF(M1362&lt;&gt;"INC", INDEX(data!M:M, MATCH(B1362, data!D:D, 0)), "")</f>
        <v>3</v>
      </c>
      <c r="O1362" s="2">
        <f t="shared" si="3"/>
        <v>3</v>
      </c>
    </row>
    <row r="1363">
      <c r="A1363" s="2" t="str">
        <f t="shared" si="1"/>
        <v>H030373</v>
      </c>
      <c r="B1363" s="1" t="s">
        <v>5218</v>
      </c>
      <c r="C1363" s="9" t="str">
        <f t="array" ref="C1363">IF(
  AND(
    IFERROR(MATCH(Caseslist!B1363, data!D:D, 0), 0) &gt; 0,
    IFERROR(INDEX(data!N:N, MATCH(Caseslist!B1363, data!D:D, 0)) = 1, FALSE)
  ),
  "COMPLETE",
  "INC"
)</f>
        <v>COMPLETE</v>
      </c>
      <c r="D1363" s="9" t="str">
        <f t="array" ref="D1363">IFERROR(INDEX(data!$G:$G,match(Caseslist!B1363,data!$D:$D,0)), "INC")</f>
        <v>G5472901</v>
      </c>
      <c r="E1363" s="9" t="str">
        <f t="array" ref="E1363">IFERROR(INDEX(data!H:H,match(Caseslist!B1363,data!D:D,0)), "INC")</f>
        <v>Wellyn Grace Alaban Parcia</v>
      </c>
      <c r="F1363" s="10" t="str">
        <f t="array" ref="F1363">IF(
    OR(
      IFNA(INDEX(data!M:M, MATCH(Caseslist!B1363, data!D:D, 0)), "") = "",
      IFNA(INDEX(data!M:M, MATCH(Caseslist!B1363, data!D:D, 0)), 0) = 0
    ),
    "COMPLETE",
    IF(
      IFNA(INDEX(dataICM!D:D, MATCH(Caseslist!B1363, dataICM!D:D, 0)), "INC") = "INC",
      IFNA(INDEX(dataICM!D:D, MATCH(Caseslist!B1363, dataICM!D:D, 0)), "INC"),
      "COMPLETE"
    )
  )</f>
        <v>COMPLETE</v>
      </c>
      <c r="G1363" s="10" t="str">
        <f t="array" ref="G1363">IF(IFERROR(INDEX(data!L:L,match(Caseslist!B1363,data!D:D,0)),"INC")="","COMPLETE",F1363)</f>
        <v>COMPLETE</v>
      </c>
      <c r="H1363" s="9" t="str">
        <f t="array" ref="H1363">IFERROR(INDEX(dataICM!F:F,match(Caseslist!B1363,dataICM!D:D,0)), "INC")</f>
        <v>Wellyn Grace Alaban Parcia</v>
      </c>
      <c r="I1363" s="10" t="str">
        <f t="shared" si="2"/>
        <v>G5472901</v>
      </c>
      <c r="J1363" s="9" t="str">
        <f t="array" ref="J1363">IF(
  AND(
    IFERROR(MATCH(B1363, data!D:D, 0), 0) &gt; 0,
    IFERROR(INDEX(data!N:N, MATCH(B1363, data!D:D, 0)) = 1, FALSE)
  ),
  INDEX(data!C:C, MATCH(B1363, data!D:D, 0)),
  "INC"
)</f>
        <v>2025-09-10T12:07:33.150+08</v>
      </c>
      <c r="K1363" s="9" t="str">
        <f t="array" ref="K1363">IFERROR(INDEX(dataICM!C:C,match(Caseslist!B1363,dataICM!D:D,0)), "INC")</f>
        <v>2025-09-10T12:35:17.870+08</v>
      </c>
      <c r="L1363" s="10" t="str">
        <f t="array" ref="L1363">IF(AND(G1363="COMPLETE", OR(K1363="INC", ISBLANK(INDEX(data!O:O, ROW())))), J1363, K1363)</f>
        <v>2025-09-10T12:35:17.870+08</v>
      </c>
      <c r="M1363" s="2">
        <v>45910.0</v>
      </c>
      <c r="N1363" s="2">
        <f t="array" ref="N1363">IF(M1363&lt;&gt;"INC", INDEX(data!M:M, MATCH(B1363, data!D:D, 0)), "")</f>
        <v>3</v>
      </c>
      <c r="O1363" s="2">
        <f t="shared" si="3"/>
        <v>3</v>
      </c>
    </row>
    <row r="1364">
      <c r="A1364" s="2" t="str">
        <f t="shared" si="1"/>
        <v>H030373</v>
      </c>
      <c r="B1364" s="1" t="s">
        <v>5288</v>
      </c>
      <c r="C1364" s="9" t="str">
        <f t="array" ref="C1364">IF(
  AND(
    IFERROR(MATCH(Caseslist!B1364, data!D:D, 0), 0) &gt; 0,
    IFERROR(INDEX(data!N:N, MATCH(Caseslist!B1364, data!D:D, 0)) = 1, FALSE)
  ),
  "COMPLETE",
  "INC"
)</f>
        <v>COMPLETE</v>
      </c>
      <c r="D1364" s="9" t="str">
        <f t="array" ref="D1364">IFERROR(INDEX(data!$G:$G,match(Caseslist!B1364,data!$D:$D,0)), "INC")</f>
        <v>H2846135</v>
      </c>
      <c r="E1364" s="9" t="str">
        <f t="array" ref="E1364">IFERROR(INDEX(data!H:H,match(Caseslist!B1364,data!D:D,0)), "INC")</f>
        <v>Annalou Empanado Encontro</v>
      </c>
      <c r="F1364" s="10" t="str">
        <f t="array" ref="F1364">IF(
    OR(
      IFNA(INDEX(data!M:M, MATCH(Caseslist!B1364, data!D:D, 0)), "") = "",
      IFNA(INDEX(data!M:M, MATCH(Caseslist!B1364, data!D:D, 0)), 0) = 0
    ),
    "COMPLETE",
    IF(
      IFNA(INDEX(dataICM!D:D, MATCH(Caseslist!B1364, dataICM!D:D, 0)), "INC") = "INC",
      IFNA(INDEX(dataICM!D:D, MATCH(Caseslist!B1364, dataICM!D:D, 0)), "INC"),
      "COMPLETE"
    )
  )</f>
        <v>COMPLETE</v>
      </c>
      <c r="G1364" s="10" t="str">
        <f t="array" ref="G1364">IF(IFERROR(INDEX(data!L:L,match(Caseslist!B1364,data!D:D,0)),"INC")="","COMPLETE",F1364)</f>
        <v>COMPLETE</v>
      </c>
      <c r="H1364" s="9" t="str">
        <f t="array" ref="H1364">IFERROR(INDEX(dataICM!F:F,match(Caseslist!B1364,dataICM!D:D,0)), "INC")</f>
        <v>Annalou Empanado Encontro</v>
      </c>
      <c r="I1364" s="10" t="str">
        <f t="shared" si="2"/>
        <v>H2846135</v>
      </c>
      <c r="J1364" s="9" t="str">
        <f t="array" ref="J1364">IF(
  AND(
    IFERROR(MATCH(B1364, data!D:D, 0), 0) &gt; 0,
    IFERROR(INDEX(data!N:N, MATCH(B1364, data!D:D, 0)) = 1, FALSE)
  ),
  INDEX(data!C:C, MATCH(B1364, data!D:D, 0)),
  "INC"
)</f>
        <v>2025-09-11T13:40:44.968+08</v>
      </c>
      <c r="K1364" s="9" t="str">
        <f t="array" ref="K1364">IFERROR(INDEX(dataICM!C:C,match(Caseslist!B1364,dataICM!D:D,0)), "INC")</f>
        <v>2025-09-11T13:56:45.336+08</v>
      </c>
      <c r="L1364" s="10" t="str">
        <f t="array" ref="L1364">IF(AND(G1364="COMPLETE", OR(K1364="INC", ISBLANK(INDEX(data!O:O, ROW())))), J1364, K1364)</f>
        <v>2025-09-11T13:56:45.336+08</v>
      </c>
      <c r="M1364" s="2">
        <v>45911.0</v>
      </c>
      <c r="N1364" s="2">
        <f t="array" ref="N1364">IF(M1364&lt;&gt;"INC", INDEX(data!M:M, MATCH(B1364, data!D:D, 0)), "")</f>
        <v>3</v>
      </c>
      <c r="O1364" s="2">
        <f t="shared" si="3"/>
        <v>3</v>
      </c>
    </row>
    <row r="1365">
      <c r="A1365" s="2" t="str">
        <f t="shared" si="1"/>
        <v>H030373</v>
      </c>
      <c r="B1365" s="1" t="s">
        <v>5223</v>
      </c>
      <c r="C1365" s="9" t="str">
        <f t="array" ref="C1365">IF(
  AND(
    IFERROR(MATCH(Caseslist!B1365, data!D:D, 0), 0) &gt; 0,
    IFERROR(INDEX(data!N:N, MATCH(Caseslist!B1365, data!D:D, 0)) = 1, FALSE)
  ),
  "COMPLETE",
  "INC"
)</f>
        <v>COMPLETE</v>
      </c>
      <c r="D1365" s="9" t="str">
        <f t="array" ref="D1365">IFERROR(INDEX(data!$G:$G,match(Caseslist!B1365,data!$D:$D,0)), "INC")</f>
        <v>H2846135</v>
      </c>
      <c r="E1365" s="9" t="str">
        <f t="array" ref="E1365">IFERROR(INDEX(data!H:H,match(Caseslist!B1365,data!D:D,0)), "INC")</f>
        <v>Annalou Empanado Encontro</v>
      </c>
      <c r="F1365" s="10" t="str">
        <f t="array" ref="F1365">IF(
    OR(
      IFNA(INDEX(data!M:M, MATCH(Caseslist!B1365, data!D:D, 0)), "") = "",
      IFNA(INDEX(data!M:M, MATCH(Caseslist!B1365, data!D:D, 0)), 0) = 0
    ),
    "COMPLETE",
    IF(
      IFNA(INDEX(dataICM!D:D, MATCH(Caseslist!B1365, dataICM!D:D, 0)), "INC") = "INC",
      IFNA(INDEX(dataICM!D:D, MATCH(Caseslist!B1365, dataICM!D:D, 0)), "INC"),
      "COMPLETE"
    )
  )</f>
        <v>COMPLETE</v>
      </c>
      <c r="G1365" s="10" t="str">
        <f t="array" ref="G1365">IF(IFERROR(INDEX(data!L:L,match(Caseslist!B1365,data!D:D,0)),"INC")="","COMPLETE",F1365)</f>
        <v>COMPLETE</v>
      </c>
      <c r="H1365" s="9" t="str">
        <f t="array" ref="H1365">IFERROR(INDEX(dataICM!F:F,match(Caseslist!B1365,dataICM!D:D,0)), "INC")</f>
        <v>Annalou Empanado Encontro</v>
      </c>
      <c r="I1365" s="10" t="str">
        <f t="shared" si="2"/>
        <v>H2846135</v>
      </c>
      <c r="J1365" s="9" t="str">
        <f t="array" ref="J1365">IF(
  AND(
    IFERROR(MATCH(B1365, data!D:D, 0), 0) &gt; 0,
    IFERROR(INDEX(data!N:N, MATCH(B1365, data!D:D, 0)) = 1, FALSE)
  ),
  INDEX(data!C:C, MATCH(B1365, data!D:D, 0)),
  "INC"
)</f>
        <v>2025-10-01T12:03:54.849+08</v>
      </c>
      <c r="K1365" s="9" t="str">
        <f t="array" ref="K1365">IFERROR(INDEX(dataICM!C:C,match(Caseslist!B1365,dataICM!D:D,0)), "INC")</f>
        <v>2025-10-01T12:14:03.493+08</v>
      </c>
      <c r="L1365" s="10" t="str">
        <f t="array" ref="L1365">IF(AND(G1365="COMPLETE", OR(K1365="INC", ISBLANK(INDEX(data!O:O, ROW())))), J1365, K1365)</f>
        <v>2025-10-01T12:14:03.493+08</v>
      </c>
      <c r="M1365" s="2">
        <v>45931.0</v>
      </c>
      <c r="N1365" s="2">
        <f t="array" ref="N1365">IF(M1365&lt;&gt;"INC", INDEX(data!M:M, MATCH(B1365, data!D:D, 0)), "")</f>
        <v>3</v>
      </c>
      <c r="O1365" s="2">
        <f t="shared" si="3"/>
        <v>3</v>
      </c>
    </row>
    <row r="1366">
      <c r="A1366" s="2" t="str">
        <f t="shared" si="1"/>
        <v>H030373</v>
      </c>
      <c r="B1366" s="1" t="s">
        <v>5278</v>
      </c>
      <c r="C1366" s="9" t="str">
        <f t="array" ref="C1366">IF(
  AND(
    IFERROR(MATCH(Caseslist!B1366, data!D:D, 0), 0) &gt; 0,
    IFERROR(INDEX(data!N:N, MATCH(Caseslist!B1366, data!D:D, 0)) = 1, FALSE)
  ),
  "COMPLETE",
  "INC"
)</f>
        <v>COMPLETE</v>
      </c>
      <c r="D1366" s="9" t="str">
        <f t="array" ref="D1366">IFERROR(INDEX(data!$G:$G,match(Caseslist!B1366,data!$D:$D,0)), "INC")</f>
        <v>H2846135</v>
      </c>
      <c r="E1366" s="9" t="str">
        <f t="array" ref="E1366">IFERROR(INDEX(data!H:H,match(Caseslist!B1366,data!D:D,0)), "INC")</f>
        <v>Annalou Empanado Encontro</v>
      </c>
      <c r="F1366" s="10" t="str">
        <f t="array" ref="F1366">IF(
    OR(
      IFNA(INDEX(data!M:M, MATCH(Caseslist!B1366, data!D:D, 0)), "") = "",
      IFNA(INDEX(data!M:M, MATCH(Caseslist!B1366, data!D:D, 0)), 0) = 0
    ),
    "COMPLETE",
    IF(
      IFNA(INDEX(dataICM!D:D, MATCH(Caseslist!B1366, dataICM!D:D, 0)), "INC") = "INC",
      IFNA(INDEX(dataICM!D:D, MATCH(Caseslist!B1366, dataICM!D:D, 0)), "INC"),
      "COMPLETE"
    )
  )</f>
        <v>COMPLETE</v>
      </c>
      <c r="G1366" s="10" t="str">
        <f t="array" ref="G1366">IF(IFERROR(INDEX(data!L:L,match(Caseslist!B1366,data!D:D,0)),"INC")="","COMPLETE",F1366)</f>
        <v>COMPLETE</v>
      </c>
      <c r="H1366" s="9" t="str">
        <f t="array" ref="H1366">IFERROR(INDEX(dataICM!F:F,match(Caseslist!B1366,dataICM!D:D,0)), "INC")</f>
        <v>Annalou Empanado Encontro</v>
      </c>
      <c r="I1366" s="10" t="str">
        <f t="shared" si="2"/>
        <v>H2846135</v>
      </c>
      <c r="J1366" s="9" t="str">
        <f t="array" ref="J1366">IF(
  AND(
    IFERROR(MATCH(B1366, data!D:D, 0), 0) &gt; 0,
    IFERROR(INDEX(data!N:N, MATCH(B1366, data!D:D, 0)) = 1, FALSE)
  ),
  INDEX(data!C:C, MATCH(B1366, data!D:D, 0)),
  "INC"
)</f>
        <v>2025-10-01T13:42:34.791+08</v>
      </c>
      <c r="K1366" s="9" t="str">
        <f t="array" ref="K1366">IFERROR(INDEX(dataICM!C:C,match(Caseslist!B1366,dataICM!D:D,0)), "INC")</f>
        <v>2025-10-01T13:49:29.489+08</v>
      </c>
      <c r="L1366" s="10" t="str">
        <f t="array" ref="L1366">IF(AND(G1366="COMPLETE", OR(K1366="INC", ISBLANK(INDEX(data!O:O, ROW())))), J1366, K1366)</f>
        <v>2025-10-01T13:49:29.489+08</v>
      </c>
      <c r="M1366" s="2">
        <v>45931.0</v>
      </c>
      <c r="N1366" s="2">
        <f t="array" ref="N1366">IF(M1366&lt;&gt;"INC", INDEX(data!M:M, MATCH(B1366, data!D:D, 0)), "")</f>
        <v>3</v>
      </c>
      <c r="O1366" s="2">
        <f t="shared" si="3"/>
        <v>3</v>
      </c>
    </row>
    <row r="1367">
      <c r="A1367" s="2" t="str">
        <f t="shared" si="1"/>
        <v>H030373</v>
      </c>
      <c r="B1367" s="1" t="s">
        <v>5293</v>
      </c>
      <c r="C1367" s="9" t="str">
        <f t="array" ref="C1367">IF(
  AND(
    IFERROR(MATCH(Caseslist!B1367, data!D:D, 0), 0) &gt; 0,
    IFERROR(INDEX(data!N:N, MATCH(Caseslist!B1367, data!D:D, 0)) = 1, FALSE)
  ),
  "COMPLETE",
  "INC"
)</f>
        <v>COMPLETE</v>
      </c>
      <c r="D1367" s="9" t="str">
        <f t="array" ref="D1367">IFERROR(INDEX(data!$G:$G,match(Caseslist!B1367,data!$D:$D,0)), "INC")</f>
        <v>H2846135</v>
      </c>
      <c r="E1367" s="9" t="str">
        <f t="array" ref="E1367">IFERROR(INDEX(data!H:H,match(Caseslist!B1367,data!D:D,0)), "INC")</f>
        <v>Annalou Empanado Encontro</v>
      </c>
      <c r="F1367" s="10" t="str">
        <f t="array" ref="F1367">IF(
    OR(
      IFNA(INDEX(data!M:M, MATCH(Caseslist!B1367, data!D:D, 0)), "") = "",
      IFNA(INDEX(data!M:M, MATCH(Caseslist!B1367, data!D:D, 0)), 0) = 0
    ),
    "COMPLETE",
    IF(
      IFNA(INDEX(dataICM!D:D, MATCH(Caseslist!B1367, dataICM!D:D, 0)), "INC") = "INC",
      IFNA(INDEX(dataICM!D:D, MATCH(Caseslist!B1367, dataICM!D:D, 0)), "INC"),
      "COMPLETE"
    )
  )</f>
        <v>COMPLETE</v>
      </c>
      <c r="G1367" s="10" t="str">
        <f t="array" ref="G1367">IF(IFERROR(INDEX(data!L:L,match(Caseslist!B1367,data!D:D,0)),"INC")="","COMPLETE",F1367)</f>
        <v>COMPLETE</v>
      </c>
      <c r="H1367" s="9" t="str">
        <f t="array" ref="H1367">IFERROR(INDEX(dataICM!F:F,match(Caseslist!B1367,dataICM!D:D,0)), "INC")</f>
        <v>Annalou Empanado Encontro</v>
      </c>
      <c r="I1367" s="10" t="str">
        <f t="shared" si="2"/>
        <v>H2846135</v>
      </c>
      <c r="J1367" s="9" t="str">
        <f t="array" ref="J1367">IF(
  AND(
    IFERROR(MATCH(B1367, data!D:D, 0), 0) &gt; 0,
    IFERROR(INDEX(data!N:N, MATCH(B1367, data!D:D, 0)) = 1, FALSE)
  ),
  INDEX(data!C:C, MATCH(B1367, data!D:D, 0)),
  "INC"
)</f>
        <v>2025-09-11T12:28:30.284+08</v>
      </c>
      <c r="K1367" s="9" t="str">
        <f t="array" ref="K1367">IFERROR(INDEX(dataICM!C:C,match(Caseslist!B1367,dataICM!D:D,0)), "INC")</f>
        <v>2025-09-11T12:38:31.584+08</v>
      </c>
      <c r="L1367" s="10" t="str">
        <f t="array" ref="L1367">IF(AND(G1367="COMPLETE", OR(K1367="INC", ISBLANK(INDEX(data!O:O, ROW())))), J1367, K1367)</f>
        <v>2025-09-11T12:38:31.584+08</v>
      </c>
      <c r="M1367" s="2">
        <v>45911.0</v>
      </c>
      <c r="N1367" s="2">
        <f t="array" ref="N1367">IF(M1367&lt;&gt;"INC", INDEX(data!M:M, MATCH(B1367, data!D:D, 0)), "")</f>
        <v>3</v>
      </c>
      <c r="O1367" s="2">
        <f t="shared" si="3"/>
        <v>3</v>
      </c>
    </row>
    <row r="1368">
      <c r="A1368" s="2" t="str">
        <f t="shared" si="1"/>
        <v>H030373</v>
      </c>
      <c r="B1368" s="1" t="s">
        <v>5188</v>
      </c>
      <c r="C1368" s="9" t="str">
        <f t="array" ref="C1368">IF(
  AND(
    IFERROR(MATCH(Caseslist!B1368, data!D:D, 0), 0) &gt; 0,
    IFERROR(INDEX(data!N:N, MATCH(Caseslist!B1368, data!D:D, 0)) = 1, FALSE)
  ),
  "COMPLETE",
  "INC"
)</f>
        <v>COMPLETE</v>
      </c>
      <c r="D1368" s="9" t="str">
        <f t="array" ref="D1368">IFERROR(INDEX(data!$G:$G,match(Caseslist!B1368,data!$D:$D,0)), "INC")</f>
        <v>H2846135</v>
      </c>
      <c r="E1368" s="9" t="str">
        <f t="array" ref="E1368">IFERROR(INDEX(data!H:H,match(Caseslist!B1368,data!D:D,0)), "INC")</f>
        <v>Annalou Empanado Encontro</v>
      </c>
      <c r="F1368" s="10" t="str">
        <f t="array" ref="F1368">IF(
    OR(
      IFNA(INDEX(data!M:M, MATCH(Caseslist!B1368, data!D:D, 0)), "") = "",
      IFNA(INDEX(data!M:M, MATCH(Caseslist!B1368, data!D:D, 0)), 0) = 0
    ),
    "COMPLETE",
    IF(
      IFNA(INDEX(dataICM!D:D, MATCH(Caseslist!B1368, dataICM!D:D, 0)), "INC") = "INC",
      IFNA(INDEX(dataICM!D:D, MATCH(Caseslist!B1368, dataICM!D:D, 0)), "INC"),
      "COMPLETE"
    )
  )</f>
        <v>COMPLETE</v>
      </c>
      <c r="G1368" s="10" t="str">
        <f t="array" ref="G1368">IF(IFERROR(INDEX(data!L:L,match(Caseslist!B1368,data!D:D,0)),"INC")="","COMPLETE",F1368)</f>
        <v>COMPLETE</v>
      </c>
      <c r="H1368" s="9" t="str">
        <f t="array" ref="H1368">IFERROR(INDEX(dataICM!F:F,match(Caseslist!B1368,dataICM!D:D,0)), "INC")</f>
        <v>Annalou Empanado Encontro</v>
      </c>
      <c r="I1368" s="10" t="str">
        <f t="shared" si="2"/>
        <v>H2846135</v>
      </c>
      <c r="J1368" s="9" t="str">
        <f t="array" ref="J1368">IF(
  AND(
    IFERROR(MATCH(B1368, data!D:D, 0), 0) &gt; 0,
    IFERROR(INDEX(data!N:N, MATCH(B1368, data!D:D, 0)) = 1, FALSE)
  ),
  INDEX(data!C:C, MATCH(B1368, data!D:D, 0)),
  "INC"
)</f>
        <v>2025-09-10T12:18:41.562+08</v>
      </c>
      <c r="K1368" s="9" t="str">
        <f t="array" ref="K1368">IFERROR(INDEX(dataICM!C:C,match(Caseslist!B1368,dataICM!D:D,0)), "INC")</f>
        <v>2025-09-10T12:30:56.692+08</v>
      </c>
      <c r="L1368" s="10" t="str">
        <f t="array" ref="L1368">IF(AND(G1368="COMPLETE", OR(K1368="INC", ISBLANK(INDEX(data!O:O, ROW())))), J1368, K1368)</f>
        <v>2025-09-10T12:30:56.692+08</v>
      </c>
      <c r="M1368" s="2">
        <v>45910.0</v>
      </c>
      <c r="N1368" s="2">
        <f t="array" ref="N1368">IF(M1368&lt;&gt;"INC", INDEX(data!M:M, MATCH(B1368, data!D:D, 0)), "")</f>
        <v>3</v>
      </c>
      <c r="O1368" s="2">
        <f t="shared" si="3"/>
        <v>3</v>
      </c>
    </row>
    <row r="1369">
      <c r="A1369" s="2" t="str">
        <f t="shared" si="1"/>
        <v>H030373</v>
      </c>
      <c r="B1369" s="1" t="s">
        <v>5468</v>
      </c>
      <c r="C1369" s="9" t="str">
        <f t="array" ref="C1369">IF(
  AND(
    IFERROR(MATCH(Caseslist!B1369, data!D:D, 0), 0) &gt; 0,
    IFERROR(INDEX(data!N:N, MATCH(Caseslist!B1369, data!D:D, 0)) = 1, FALSE)
  ),
  "COMPLETE",
  "INC"
)</f>
        <v>COMPLETE</v>
      </c>
      <c r="D1369" s="9" t="str">
        <f t="array" ref="D1369">IFERROR(INDEX(data!$G:$G,match(Caseslist!B1369,data!$D:$D,0)), "INC")</f>
        <v>F3051749</v>
      </c>
      <c r="E1369" s="9" t="str">
        <f t="array" ref="E1369">IFERROR(INDEX(data!H:H,match(Caseslist!B1369,data!D:D,0)), "INC")</f>
        <v>Elenita Gicos De La Pe�a</v>
      </c>
      <c r="F1369" s="10" t="str">
        <f t="array" ref="F1369">IF(
    OR(
      IFNA(INDEX(data!M:M, MATCH(Caseslist!B1369, data!D:D, 0)), "") = "",
      IFNA(INDEX(data!M:M, MATCH(Caseslist!B1369, data!D:D, 0)), 0) = 0
    ),
    "COMPLETE",
    IF(
      IFNA(INDEX(dataICM!D:D, MATCH(Caseslist!B1369, dataICM!D:D, 0)), "INC") = "INC",
      IFNA(INDEX(dataICM!D:D, MATCH(Caseslist!B1369, dataICM!D:D, 0)), "INC"),
      "COMPLETE"
    )
  )</f>
        <v>COMPLETE</v>
      </c>
      <c r="G1369" s="10" t="str">
        <f t="array" ref="G1369">IF(IFERROR(INDEX(data!L:L,match(Caseslist!B1369,data!D:D,0)),"INC")="","COMPLETE",F1369)</f>
        <v>COMPLETE</v>
      </c>
      <c r="H1369" s="9" t="str">
        <f t="array" ref="H1369">IFERROR(INDEX(dataICM!F:F,match(Caseslist!B1369,dataICM!D:D,0)), "INC")</f>
        <v>Elenita Gicos De La Pe�a</v>
      </c>
      <c r="I1369" s="10" t="str">
        <f t="shared" si="2"/>
        <v>F3051749</v>
      </c>
      <c r="J1369" s="9" t="str">
        <f t="array" ref="J1369">IF(
  AND(
    IFERROR(MATCH(B1369, data!D:D, 0), 0) &gt; 0,
    IFERROR(INDEX(data!N:N, MATCH(B1369, data!D:D, 0)) = 1, FALSE)
  ),
  INDEX(data!C:C, MATCH(B1369, data!D:D, 0)),
  "INC"
)</f>
        <v>2025-09-11T10:20:48.138+08</v>
      </c>
      <c r="K1369" s="9" t="str">
        <f t="array" ref="K1369">IFERROR(INDEX(dataICM!C:C,match(Caseslist!B1369,dataICM!D:D,0)), "INC")</f>
        <v>2025-09-11T10:30:54.363+08</v>
      </c>
      <c r="L1369" s="10" t="str">
        <f t="array" ref="L1369">IF(AND(G1369="COMPLETE", OR(K1369="INC", ISBLANK(INDEX(data!O:O, ROW())))), J1369, K1369)</f>
        <v>2025-09-11T10:30:54.363+08</v>
      </c>
      <c r="M1369" s="2">
        <v>45911.0</v>
      </c>
      <c r="N1369" s="2">
        <f t="array" ref="N1369">IF(M1369&lt;&gt;"INC", INDEX(data!M:M, MATCH(B1369, data!D:D, 0)), "")</f>
        <v>3</v>
      </c>
      <c r="O1369" s="2">
        <f t="shared" si="3"/>
        <v>3</v>
      </c>
    </row>
    <row r="1370">
      <c r="A1370" s="2" t="str">
        <f t="shared" si="1"/>
        <v>H030373</v>
      </c>
      <c r="B1370" s="1" t="s">
        <v>5183</v>
      </c>
      <c r="C1370" s="9" t="str">
        <f t="array" ref="C1370">IF(
  AND(
    IFERROR(MATCH(Caseslist!B1370, data!D:D, 0), 0) &gt; 0,
    IFERROR(INDEX(data!N:N, MATCH(Caseslist!B1370, data!D:D, 0)) = 1, FALSE)
  ),
  "COMPLETE",
  "INC"
)</f>
        <v>COMPLETE</v>
      </c>
      <c r="D1370" s="9" t="str">
        <f t="array" ref="D1370">IFERROR(INDEX(data!$G:$G,match(Caseslist!B1370,data!$D:$D,0)), "INC")</f>
        <v>H2846135</v>
      </c>
      <c r="E1370" s="9" t="str">
        <f t="array" ref="E1370">IFERROR(INDEX(data!H:H,match(Caseslist!B1370,data!D:D,0)), "INC")</f>
        <v>Annalou Empanado Encontro</v>
      </c>
      <c r="F1370" s="10" t="str">
        <f t="array" ref="F1370">IF(
    OR(
      IFNA(INDEX(data!M:M, MATCH(Caseslist!B1370, data!D:D, 0)), "") = "",
      IFNA(INDEX(data!M:M, MATCH(Caseslist!B1370, data!D:D, 0)), 0) = 0
    ),
    "COMPLETE",
    IF(
      IFNA(INDEX(dataICM!D:D, MATCH(Caseslist!B1370, dataICM!D:D, 0)), "INC") = "INC",
      IFNA(INDEX(dataICM!D:D, MATCH(Caseslist!B1370, dataICM!D:D, 0)), "INC"),
      "COMPLETE"
    )
  )</f>
        <v>COMPLETE</v>
      </c>
      <c r="G1370" s="10" t="str">
        <f t="array" ref="G1370">IF(IFERROR(INDEX(data!L:L,match(Caseslist!B1370,data!D:D,0)),"INC")="","COMPLETE",F1370)</f>
        <v>COMPLETE</v>
      </c>
      <c r="H1370" s="9" t="str">
        <f t="array" ref="H1370">IFERROR(INDEX(dataICM!F:F,match(Caseslist!B1370,dataICM!D:D,0)), "INC")</f>
        <v>Annalou Empanado Encontro</v>
      </c>
      <c r="I1370" s="10" t="str">
        <f t="shared" si="2"/>
        <v>H2846135</v>
      </c>
      <c r="J1370" s="9" t="str">
        <f t="array" ref="J1370">IF(
  AND(
    IFERROR(MATCH(B1370, data!D:D, 0), 0) &gt; 0,
    IFERROR(INDEX(data!N:N, MATCH(B1370, data!D:D, 0)) = 1, FALSE)
  ),
  INDEX(data!C:C, MATCH(B1370, data!D:D, 0)),
  "INC"
)</f>
        <v>2025-09-10T13:52:43.854+08</v>
      </c>
      <c r="K1370" s="9" t="str">
        <f t="array" ref="K1370">IFERROR(INDEX(dataICM!C:C,match(Caseslist!B1370,dataICM!D:D,0)), "INC")</f>
        <v>2025-09-10T14:03:04.416+08</v>
      </c>
      <c r="L1370" s="10" t="str">
        <f t="array" ref="L1370">IF(AND(G1370="COMPLETE", OR(K1370="INC", ISBLANK(INDEX(data!O:O, ROW())))), J1370, K1370)</f>
        <v>2025-09-10T14:03:04.416+08</v>
      </c>
      <c r="M1370" s="2">
        <v>45910.0</v>
      </c>
      <c r="N1370" s="2">
        <f t="array" ref="N1370">IF(M1370&lt;&gt;"INC", INDEX(data!M:M, MATCH(B1370, data!D:D, 0)), "")</f>
        <v>3</v>
      </c>
      <c r="O1370" s="2">
        <f t="shared" si="3"/>
        <v>3</v>
      </c>
    </row>
    <row r="1371">
      <c r="A1371" s="2" t="str">
        <f t="shared" si="1"/>
        <v>H030373</v>
      </c>
      <c r="B1371" s="1" t="s">
        <v>5273</v>
      </c>
      <c r="C1371" s="9" t="str">
        <f t="array" ref="C1371">IF(
  AND(
    IFERROR(MATCH(Caseslist!B1371, data!D:D, 0), 0) &gt; 0,
    IFERROR(INDEX(data!N:N, MATCH(Caseslist!B1371, data!D:D, 0)) = 1, FALSE)
  ),
  "COMPLETE",
  "INC"
)</f>
        <v>COMPLETE</v>
      </c>
      <c r="D1371" s="9" t="str">
        <f t="array" ref="D1371">IFERROR(INDEX(data!$G:$G,match(Caseslist!B1371,data!$D:$D,0)), "INC")</f>
        <v>G5472901</v>
      </c>
      <c r="E1371" s="9" t="str">
        <f t="array" ref="E1371">IFERROR(INDEX(data!H:H,match(Caseslist!B1371,data!D:D,0)), "INC")</f>
        <v>Wellyn Grace Alaban Parcia</v>
      </c>
      <c r="F1371" s="10" t="str">
        <f t="array" ref="F1371">IF(
    OR(
      IFNA(INDEX(data!M:M, MATCH(Caseslist!B1371, data!D:D, 0)), "") = "",
      IFNA(INDEX(data!M:M, MATCH(Caseslist!B1371, data!D:D, 0)), 0) = 0
    ),
    "COMPLETE",
    IF(
      IFNA(INDEX(dataICM!D:D, MATCH(Caseslist!B1371, dataICM!D:D, 0)), "INC") = "INC",
      IFNA(INDEX(dataICM!D:D, MATCH(Caseslist!B1371, dataICM!D:D, 0)), "INC"),
      "COMPLETE"
    )
  )</f>
        <v>COMPLETE</v>
      </c>
      <c r="G1371" s="10" t="str">
        <f t="array" ref="G1371">IF(IFERROR(INDEX(data!L:L,match(Caseslist!B1371,data!D:D,0)),"INC")="","COMPLETE",F1371)</f>
        <v>COMPLETE</v>
      </c>
      <c r="H1371" s="9" t="str">
        <f t="array" ref="H1371">IFERROR(INDEX(dataICM!F:F,match(Caseslist!B1371,dataICM!D:D,0)), "INC")</f>
        <v>Wellyn Grace Alaban Parcia</v>
      </c>
      <c r="I1371" s="10" t="str">
        <f t="shared" si="2"/>
        <v>G5472901</v>
      </c>
      <c r="J1371" s="9" t="str">
        <f t="array" ref="J1371">IF(
  AND(
    IFERROR(MATCH(B1371, data!D:D, 0), 0) &gt; 0,
    IFERROR(INDEX(data!N:N, MATCH(B1371, data!D:D, 0)) = 1, FALSE)
  ),
  INDEX(data!C:C, MATCH(B1371, data!D:D, 0)),
  "INC"
)</f>
        <v>2025-09-11T10:42:52.072+08</v>
      </c>
      <c r="K1371" s="9" t="str">
        <f t="array" ref="K1371">IFERROR(INDEX(dataICM!C:C,match(Caseslist!B1371,dataICM!D:D,0)), "INC")</f>
        <v>2025-09-11T11:04:02.925+08</v>
      </c>
      <c r="L1371" s="10" t="str">
        <f t="array" ref="L1371">IF(AND(G1371="COMPLETE", OR(K1371="INC", ISBLANK(INDEX(data!O:O, ROW())))), J1371, K1371)</f>
        <v>2025-09-11T11:04:02.925+08</v>
      </c>
      <c r="M1371" s="2">
        <v>45911.0</v>
      </c>
      <c r="N1371" s="2">
        <f t="array" ref="N1371">IF(M1371&lt;&gt;"INC", INDEX(data!M:M, MATCH(B1371, data!D:D, 0)), "")</f>
        <v>3</v>
      </c>
      <c r="O1371" s="2">
        <f t="shared" si="3"/>
        <v>3</v>
      </c>
    </row>
    <row r="1372">
      <c r="A1372" s="2" t="str">
        <f t="shared" si="1"/>
        <v>H030373</v>
      </c>
      <c r="B1372" s="1" t="s">
        <v>5283</v>
      </c>
      <c r="C1372" s="9" t="str">
        <f t="array" ref="C1372">IF(
  AND(
    IFERROR(MATCH(Caseslist!B1372, data!D:D, 0), 0) &gt; 0,
    IFERROR(INDEX(data!N:N, MATCH(Caseslist!B1372, data!D:D, 0)) = 1, FALSE)
  ),
  "COMPLETE",
  "INC"
)</f>
        <v>COMPLETE</v>
      </c>
      <c r="D1372" s="9" t="str">
        <f t="array" ref="D1372">IFERROR(INDEX(data!$G:$G,match(Caseslist!B1372,data!$D:$D,0)), "INC")</f>
        <v>G5472901</v>
      </c>
      <c r="E1372" s="9" t="str">
        <f t="array" ref="E1372">IFERROR(INDEX(data!H:H,match(Caseslist!B1372,data!D:D,0)), "INC")</f>
        <v>Wellyn Grace Alaban Parcia</v>
      </c>
      <c r="F1372" s="10" t="str">
        <f t="array" ref="F1372">IF(
    OR(
      IFNA(INDEX(data!M:M, MATCH(Caseslist!B1372, data!D:D, 0)), "") = "",
      IFNA(INDEX(data!M:M, MATCH(Caseslist!B1372, data!D:D, 0)), 0) = 0
    ),
    "COMPLETE",
    IF(
      IFNA(INDEX(dataICM!D:D, MATCH(Caseslist!B1372, dataICM!D:D, 0)), "INC") = "INC",
      IFNA(INDEX(dataICM!D:D, MATCH(Caseslist!B1372, dataICM!D:D, 0)), "INC"),
      "COMPLETE"
    )
  )</f>
        <v>COMPLETE</v>
      </c>
      <c r="G1372" s="10" t="str">
        <f t="array" ref="G1372">IF(IFERROR(INDEX(data!L:L,match(Caseslist!B1372,data!D:D,0)),"INC")="","COMPLETE",F1372)</f>
        <v>COMPLETE</v>
      </c>
      <c r="H1372" s="9" t="str">
        <f t="array" ref="H1372">IFERROR(INDEX(dataICM!F:F,match(Caseslist!B1372,dataICM!D:D,0)), "INC")</f>
        <v>Wellyn Grace Alaban Parcia</v>
      </c>
      <c r="I1372" s="10" t="str">
        <f t="shared" si="2"/>
        <v>G5472901</v>
      </c>
      <c r="J1372" s="9" t="str">
        <f t="array" ref="J1372">IF(
  AND(
    IFERROR(MATCH(B1372, data!D:D, 0), 0) &gt; 0,
    IFERROR(INDEX(data!N:N, MATCH(B1372, data!D:D, 0)) = 1, FALSE)
  ),
  INDEX(data!C:C, MATCH(B1372, data!D:D, 0)),
  "INC"
)</f>
        <v>2025-09-11T13:10:49.212+08</v>
      </c>
      <c r="K1372" s="9" t="str">
        <f t="array" ref="K1372">IFERROR(INDEX(dataICM!C:C,match(Caseslist!B1372,dataICM!D:D,0)), "INC")</f>
        <v>2025-09-11T13:27:41.280+08</v>
      </c>
      <c r="L1372" s="10" t="str">
        <f t="array" ref="L1372">IF(AND(G1372="COMPLETE", OR(K1372="INC", ISBLANK(INDEX(data!O:O, ROW())))), J1372, K1372)</f>
        <v>2025-09-11T13:27:41.280+08</v>
      </c>
      <c r="M1372" s="2">
        <v>45911.0</v>
      </c>
      <c r="N1372" s="2">
        <f t="array" ref="N1372">IF(M1372&lt;&gt;"INC", INDEX(data!M:M, MATCH(B1372, data!D:D, 0)), "")</f>
        <v>3</v>
      </c>
      <c r="O1372" s="2">
        <f t="shared" si="3"/>
        <v>3</v>
      </c>
    </row>
    <row r="1373">
      <c r="A1373" s="2" t="str">
        <f t="shared" si="1"/>
        <v>H030373</v>
      </c>
      <c r="B1373" s="1" t="s">
        <v>5213</v>
      </c>
      <c r="C1373" s="9" t="str">
        <f t="array" ref="C1373">IF(
  AND(
    IFERROR(MATCH(Caseslist!B1373, data!D:D, 0), 0) &gt; 0,
    IFERROR(INDEX(data!N:N, MATCH(Caseslist!B1373, data!D:D, 0)) = 1, FALSE)
  ),
  "COMPLETE",
  "INC"
)</f>
        <v>COMPLETE</v>
      </c>
      <c r="D1373" s="9" t="str">
        <f t="array" ref="D1373">IFERROR(INDEX(data!$G:$G,match(Caseslist!B1373,data!$D:$D,0)), "INC")</f>
        <v>F3051749</v>
      </c>
      <c r="E1373" s="9" t="str">
        <f t="array" ref="E1373">IFERROR(INDEX(data!H:H,match(Caseslist!B1373,data!D:D,0)), "INC")</f>
        <v>Elenita Gicos De La Pe�a</v>
      </c>
      <c r="F1373" s="10" t="str">
        <f t="array" ref="F1373">IF(
    OR(
      IFNA(INDEX(data!M:M, MATCH(Caseslist!B1373, data!D:D, 0)), "") = "",
      IFNA(INDEX(data!M:M, MATCH(Caseslist!B1373, data!D:D, 0)), 0) = 0
    ),
    "COMPLETE",
    IF(
      IFNA(INDEX(dataICM!D:D, MATCH(Caseslist!B1373, dataICM!D:D, 0)), "INC") = "INC",
      IFNA(INDEX(dataICM!D:D, MATCH(Caseslist!B1373, dataICM!D:D, 0)), "INC"),
      "COMPLETE"
    )
  )</f>
        <v>COMPLETE</v>
      </c>
      <c r="G1373" s="10" t="str">
        <f t="array" ref="G1373">IF(IFERROR(INDEX(data!L:L,match(Caseslist!B1373,data!D:D,0)),"INC")="","COMPLETE",F1373)</f>
        <v>COMPLETE</v>
      </c>
      <c r="H1373" s="9" t="str">
        <f t="array" ref="H1373">IFERROR(INDEX(dataICM!F:F,match(Caseslist!B1373,dataICM!D:D,0)), "INC")</f>
        <v>Elenita Gicos De La Pe�a</v>
      </c>
      <c r="I1373" s="10" t="str">
        <f t="shared" si="2"/>
        <v>F3051749</v>
      </c>
      <c r="J1373" s="9" t="str">
        <f t="array" ref="J1373">IF(
  AND(
    IFERROR(MATCH(B1373, data!D:D, 0), 0) &gt; 0,
    IFERROR(INDEX(data!N:N, MATCH(B1373, data!D:D, 0)) = 1, FALSE)
  ),
  INDEX(data!C:C, MATCH(B1373, data!D:D, 0)),
  "INC"
)</f>
        <v>2025-09-10T12:19:45.016+08</v>
      </c>
      <c r="K1373" s="9" t="str">
        <f t="array" ref="K1373">IFERROR(INDEX(dataICM!C:C,match(Caseslist!B1373,dataICM!D:D,0)), "INC")</f>
        <v>2025-09-10T12:30:24.251+08</v>
      </c>
      <c r="L1373" s="10" t="str">
        <f t="array" ref="L1373">IF(AND(G1373="COMPLETE", OR(K1373="INC", ISBLANK(INDEX(data!O:O, ROW())))), J1373, K1373)</f>
        <v>2025-09-10T12:30:24.251+08</v>
      </c>
      <c r="M1373" s="2">
        <v>45910.0</v>
      </c>
      <c r="N1373" s="2">
        <f t="array" ref="N1373">IF(M1373&lt;&gt;"INC", INDEX(data!M:M, MATCH(B1373, data!D:D, 0)), "")</f>
        <v>3</v>
      </c>
      <c r="O1373" s="2">
        <f t="shared" si="3"/>
        <v>3</v>
      </c>
    </row>
    <row r="1374">
      <c r="A1374" s="2" t="str">
        <f t="shared" si="1"/>
        <v>H030373</v>
      </c>
      <c r="B1374" s="1" t="s">
        <v>5298</v>
      </c>
      <c r="C1374" s="9" t="str">
        <f t="array" ref="C1374">IF(
  AND(
    IFERROR(MATCH(Caseslist!B1374, data!D:D, 0), 0) &gt; 0,
    IFERROR(INDEX(data!N:N, MATCH(Caseslist!B1374, data!D:D, 0)) = 1, FALSE)
  ),
  "COMPLETE",
  "INC"
)</f>
        <v>COMPLETE</v>
      </c>
      <c r="D1374" s="9" t="str">
        <f t="array" ref="D1374">IFERROR(INDEX(data!$G:$G,match(Caseslist!B1374,data!$D:$D,0)), "INC")</f>
        <v>H2846135</v>
      </c>
      <c r="E1374" s="9" t="str">
        <f t="array" ref="E1374">IFERROR(INDEX(data!H:H,match(Caseslist!B1374,data!D:D,0)), "INC")</f>
        <v>Annalou Empanado Encontro</v>
      </c>
      <c r="F1374" s="10" t="str">
        <f t="array" ref="F1374">IF(
    OR(
      IFNA(INDEX(data!M:M, MATCH(Caseslist!B1374, data!D:D, 0)), "") = "",
      IFNA(INDEX(data!M:M, MATCH(Caseslist!B1374, data!D:D, 0)), 0) = 0
    ),
    "COMPLETE",
    IF(
      IFNA(INDEX(dataICM!D:D, MATCH(Caseslist!B1374, dataICM!D:D, 0)), "INC") = "INC",
      IFNA(INDEX(dataICM!D:D, MATCH(Caseslist!B1374, dataICM!D:D, 0)), "INC"),
      "COMPLETE"
    )
  )</f>
        <v>COMPLETE</v>
      </c>
      <c r="G1374" s="10" t="str">
        <f t="array" ref="G1374">IF(IFERROR(INDEX(data!L:L,match(Caseslist!B1374,data!D:D,0)),"INC")="","COMPLETE",F1374)</f>
        <v>COMPLETE</v>
      </c>
      <c r="H1374" s="9" t="str">
        <f t="array" ref="H1374">IFERROR(INDEX(dataICM!F:F,match(Caseslist!B1374,dataICM!D:D,0)), "INC")</f>
        <v>Annalou Empanado Encontro</v>
      </c>
      <c r="I1374" s="10" t="str">
        <f t="shared" si="2"/>
        <v>H2846135</v>
      </c>
      <c r="J1374" s="9" t="str">
        <f t="array" ref="J1374">IF(
  AND(
    IFERROR(MATCH(B1374, data!D:D, 0), 0) &gt; 0,
    IFERROR(INDEX(data!N:N, MATCH(B1374, data!D:D, 0)) = 1, FALSE)
  ),
  INDEX(data!C:C, MATCH(B1374, data!D:D, 0)),
  "INC"
)</f>
        <v>2025-09-11T10:34:29.246+08</v>
      </c>
      <c r="K1374" s="9" t="str">
        <f t="array" ref="K1374">IFERROR(INDEX(dataICM!C:C,match(Caseslist!B1374,dataICM!D:D,0)), "INC")</f>
        <v>2025-09-11T10:47:47.221+08</v>
      </c>
      <c r="L1374" s="10" t="str">
        <f t="array" ref="L1374">IF(AND(G1374="COMPLETE", OR(K1374="INC", ISBLANK(INDEX(data!O:O, ROW())))), J1374, K1374)</f>
        <v>2025-09-11T10:47:47.221+08</v>
      </c>
      <c r="M1374" s="2">
        <v>45911.0</v>
      </c>
      <c r="N1374" s="2">
        <f t="array" ref="N1374">IF(M1374&lt;&gt;"INC", INDEX(data!M:M, MATCH(B1374, data!D:D, 0)), "")</f>
        <v>3</v>
      </c>
      <c r="O1374" s="2">
        <f t="shared" si="3"/>
        <v>3</v>
      </c>
    </row>
    <row r="1375">
      <c r="A1375" s="2" t="str">
        <f t="shared" si="1"/>
        <v>H030373</v>
      </c>
      <c r="B1375" s="1" t="s">
        <v>5478</v>
      </c>
      <c r="C1375" s="9" t="str">
        <f t="array" ref="C1375">IF(
  AND(
    IFERROR(MATCH(Caseslist!B1375, data!D:D, 0), 0) &gt; 0,
    IFERROR(INDEX(data!N:N, MATCH(Caseslist!B1375, data!D:D, 0)) = 1, FALSE)
  ),
  "COMPLETE",
  "INC"
)</f>
        <v>COMPLETE</v>
      </c>
      <c r="D1375" s="9" t="str">
        <f t="array" ref="D1375">IFERROR(INDEX(data!$G:$G,match(Caseslist!B1375,data!$D:$D,0)), "INC")</f>
        <v>F3051749</v>
      </c>
      <c r="E1375" s="9" t="str">
        <f t="array" ref="E1375">IFERROR(INDEX(data!H:H,match(Caseslist!B1375,data!D:D,0)), "INC")</f>
        <v>Elenita Gicos De La Pe�a</v>
      </c>
      <c r="F1375" s="10" t="str">
        <f t="array" ref="F1375">IF(
    OR(
      IFNA(INDEX(data!M:M, MATCH(Caseslist!B1375, data!D:D, 0)), "") = "",
      IFNA(INDEX(data!M:M, MATCH(Caseslist!B1375, data!D:D, 0)), 0) = 0
    ),
    "COMPLETE",
    IF(
      IFNA(INDEX(dataICM!D:D, MATCH(Caseslist!B1375, dataICM!D:D, 0)), "INC") = "INC",
      IFNA(INDEX(dataICM!D:D, MATCH(Caseslist!B1375, dataICM!D:D, 0)), "INC"),
      "COMPLETE"
    )
  )</f>
        <v>COMPLETE</v>
      </c>
      <c r="G1375" s="10" t="str">
        <f t="array" ref="G1375">IF(IFERROR(INDEX(data!L:L,match(Caseslist!B1375,data!D:D,0)),"INC")="","COMPLETE",F1375)</f>
        <v>COMPLETE</v>
      </c>
      <c r="H1375" s="9" t="str">
        <f t="array" ref="H1375">IFERROR(INDEX(dataICM!F:F,match(Caseslist!B1375,dataICM!D:D,0)), "INC")</f>
        <v>Elenita Gicos De La Pe�a</v>
      </c>
      <c r="I1375" s="10" t="str">
        <f t="shared" si="2"/>
        <v>F3051749</v>
      </c>
      <c r="J1375" s="9" t="str">
        <f t="array" ref="J1375">IF(
  AND(
    IFERROR(MATCH(B1375, data!D:D, 0), 0) &gt; 0,
    IFERROR(INDEX(data!N:N, MATCH(B1375, data!D:D, 0)) = 1, FALSE)
  ),
  INDEX(data!C:C, MATCH(B1375, data!D:D, 0)),
  "INC"
)</f>
        <v>2025-09-11T15:40:35.294+08</v>
      </c>
      <c r="K1375" s="9" t="str">
        <f t="array" ref="K1375">IFERROR(INDEX(dataICM!C:C,match(Caseslist!B1375,dataICM!D:D,0)), "INC")</f>
        <v>2025-09-11T15:44:27.831+08</v>
      </c>
      <c r="L1375" s="10" t="str">
        <f t="array" ref="L1375">IF(AND(G1375="COMPLETE", OR(K1375="INC", ISBLANK(INDEX(data!O:O, ROW())))), J1375, K1375)</f>
        <v>2025-09-11T15:44:27.831+08</v>
      </c>
      <c r="M1375" s="2">
        <v>45911.0</v>
      </c>
      <c r="N1375" s="2">
        <f t="array" ref="N1375">IF(M1375&lt;&gt;"INC", INDEX(data!M:M, MATCH(B1375, data!D:D, 0)), "")</f>
        <v>3</v>
      </c>
      <c r="O1375" s="2">
        <f t="shared" si="3"/>
        <v>3</v>
      </c>
    </row>
    <row r="1376">
      <c r="A1376" s="2" t="str">
        <f t="shared" si="1"/>
        <v>H030375</v>
      </c>
      <c r="B1376" s="1" t="s">
        <v>573</v>
      </c>
      <c r="C1376" s="9" t="str">
        <f t="array" ref="C1376">IF(
  AND(
    IFERROR(MATCH(Caseslist!B1376, data!D:D, 0), 0) &gt; 0,
    IFERROR(INDEX(data!N:N, MATCH(Caseslist!B1376, data!D:D, 0)) = 1, FALSE)
  ),
  "COMPLETE",
  "INC"
)</f>
        <v>COMPLETE</v>
      </c>
      <c r="D1376" s="9" t="str">
        <f t="array" ref="D1376">IFERROR(INDEX(data!$G:$G,match(Caseslist!B1376,data!$D:$D,0)), "INC")</f>
        <v>M6491032</v>
      </c>
      <c r="E1376" s="9" t="str">
        <f t="array" ref="E1376">IFERROR(INDEX(data!H:H,match(Caseslist!B1376,data!D:D,0)), "INC")</f>
        <v>Rosevil Tayo Desamparado</v>
      </c>
      <c r="F1376" s="10" t="str">
        <f t="array" ref="F1376">IF(
    OR(
      IFNA(INDEX(data!M:M, MATCH(Caseslist!B1376, data!D:D, 0)), "") = "",
      IFNA(INDEX(data!M:M, MATCH(Caseslist!B1376, data!D:D, 0)), 0) = 0
    ),
    "COMPLETE",
    IF(
      IFNA(INDEX(dataICM!D:D, MATCH(Caseslist!B1376, dataICM!D:D, 0)), "INC") = "INC",
      IFNA(INDEX(dataICM!D:D, MATCH(Caseslist!B1376, dataICM!D:D, 0)), "INC"),
      "COMPLETE"
    )
  )</f>
        <v>COMPLETE</v>
      </c>
      <c r="G1376" s="10" t="str">
        <f t="array" ref="G1376">IF(IFERROR(INDEX(data!L:L,match(Caseslist!B1376,data!D:D,0)),"INC")="","COMPLETE",F1376)</f>
        <v>COMPLETE</v>
      </c>
      <c r="H1376" s="9" t="str">
        <f t="array" ref="H1376">IFERROR(INDEX(dataICM!F:F,match(Caseslist!B1376,dataICM!D:D,0)), "INC")</f>
        <v>Rosevil Tayo Desamparado</v>
      </c>
      <c r="I1376" s="10" t="str">
        <f t="shared" si="2"/>
        <v>M6491032</v>
      </c>
      <c r="J1376" s="9" t="str">
        <f t="array" ref="J1376">IF(
  AND(
    IFERROR(MATCH(B1376, data!D:D, 0), 0) &gt; 0,
    IFERROR(INDEX(data!N:N, MATCH(B1376, data!D:D, 0)) = 1, FALSE)
  ),
  INDEX(data!C:C, MATCH(B1376, data!D:D, 0)),
  "INC"
)</f>
        <v>2025-08-26T11:33:26.078+08</v>
      </c>
      <c r="K1376" s="9" t="str">
        <f t="array" ref="K1376">IFERROR(INDEX(dataICM!C:C,match(Caseslist!B1376,dataICM!D:D,0)), "INC")</f>
        <v>2025-08-26T11:38:02.021+08</v>
      </c>
      <c r="L1376" s="10" t="str">
        <f t="array" ref="L1376">IF(AND(G1376="COMPLETE", OR(K1376="INC", ISBLANK(INDEX(data!O:O, ROW())))), J1376, K1376)</f>
        <v>2025-08-26T11:38:02.021+08</v>
      </c>
      <c r="M1376" s="2">
        <v>45895.0</v>
      </c>
      <c r="N1376" s="2">
        <f t="array" ref="N1376">IF(M1376&lt;&gt;"INC", INDEX(data!M:M, MATCH(B1376, data!D:D, 0)), "")</f>
        <v>1</v>
      </c>
      <c r="O1376" s="2">
        <f t="shared" si="3"/>
        <v>1</v>
      </c>
    </row>
    <row r="1377">
      <c r="A1377" s="2" t="str">
        <f t="shared" si="1"/>
        <v>H030375</v>
      </c>
      <c r="B1377" s="1" t="s">
        <v>568</v>
      </c>
      <c r="C1377" s="9" t="str">
        <f t="array" ref="C1377">IF(
  AND(
    IFERROR(MATCH(Caseslist!B1377, data!D:D, 0), 0) &gt; 0,
    IFERROR(INDEX(data!N:N, MATCH(Caseslist!B1377, data!D:D, 0)) = 1, FALSE)
  ),
  "COMPLETE",
  "INC"
)</f>
        <v>COMPLETE</v>
      </c>
      <c r="D1377" s="9" t="str">
        <f t="array" ref="D1377">IFERROR(INDEX(data!$G:$G,match(Caseslist!B1377,data!$D:$D,0)), "INC")</f>
        <v>M6491032</v>
      </c>
      <c r="E1377" s="9" t="str">
        <f t="array" ref="E1377">IFERROR(INDEX(data!H:H,match(Caseslist!B1377,data!D:D,0)), "INC")</f>
        <v>Rosevil Tayo Desamparado</v>
      </c>
      <c r="F1377" s="10" t="str">
        <f t="array" ref="F1377">IF(
    OR(
      IFNA(INDEX(data!M:M, MATCH(Caseslist!B1377, data!D:D, 0)), "") = "",
      IFNA(INDEX(data!M:M, MATCH(Caseslist!B1377, data!D:D, 0)), 0) = 0
    ),
    "COMPLETE",
    IF(
      IFNA(INDEX(dataICM!D:D, MATCH(Caseslist!B1377, dataICM!D:D, 0)), "INC") = "INC",
      IFNA(INDEX(dataICM!D:D, MATCH(Caseslist!B1377, dataICM!D:D, 0)), "INC"),
      "COMPLETE"
    )
  )</f>
        <v>COMPLETE</v>
      </c>
      <c r="G1377" s="10" t="str">
        <f t="array" ref="G1377">IF(IFERROR(INDEX(data!L:L,match(Caseslist!B1377,data!D:D,0)),"INC")="","COMPLETE",F1377)</f>
        <v>COMPLETE</v>
      </c>
      <c r="H1377" s="9" t="str">
        <f t="array" ref="H1377">IFERROR(INDEX(dataICM!F:F,match(Caseslist!B1377,dataICM!D:D,0)), "INC")</f>
        <v>Rosevil Tayo Desamparado</v>
      </c>
      <c r="I1377" s="10" t="str">
        <f t="shared" si="2"/>
        <v>M6491032</v>
      </c>
      <c r="J1377" s="9" t="str">
        <f t="array" ref="J1377">IF(
  AND(
    IFERROR(MATCH(B1377, data!D:D, 0), 0) &gt; 0,
    IFERROR(INDEX(data!N:N, MATCH(B1377, data!D:D, 0)) = 1, FALSE)
  ),
  INDEX(data!C:C, MATCH(B1377, data!D:D, 0)),
  "INC"
)</f>
        <v>2025-08-26T10:04:20.379+08</v>
      </c>
      <c r="K1377" s="9" t="str">
        <f t="array" ref="K1377">IFERROR(INDEX(dataICM!C:C,match(Caseslist!B1377,dataICM!D:D,0)), "INC")</f>
        <v>2025-08-26T10:10:19.823+08</v>
      </c>
      <c r="L1377" s="10" t="str">
        <f t="array" ref="L1377">IF(AND(G1377="COMPLETE", OR(K1377="INC", ISBLANK(INDEX(data!O:O, ROW())))), J1377, K1377)</f>
        <v>2025-08-26T10:10:19.823+08</v>
      </c>
      <c r="M1377" s="2">
        <v>45895.0</v>
      </c>
      <c r="N1377" s="2">
        <f t="array" ref="N1377">IF(M1377&lt;&gt;"INC", INDEX(data!M:M, MATCH(B1377, data!D:D, 0)), "")</f>
        <v>1</v>
      </c>
      <c r="O1377" s="2">
        <f t="shared" si="3"/>
        <v>1</v>
      </c>
    </row>
    <row r="1378">
      <c r="A1378" s="2" t="str">
        <f t="shared" si="1"/>
        <v>H030375</v>
      </c>
      <c r="B1378" s="1" t="s">
        <v>538</v>
      </c>
      <c r="C1378" s="9" t="str">
        <f t="array" ref="C1378">IF(
  AND(
    IFERROR(MATCH(Caseslist!B1378, data!D:D, 0), 0) &gt; 0,
    IFERROR(INDEX(data!N:N, MATCH(Caseslist!B1378, data!D:D, 0)) = 1, FALSE)
  ),
  "COMPLETE",
  "INC"
)</f>
        <v>COMPLETE</v>
      </c>
      <c r="D1378" s="9" t="str">
        <f t="array" ref="D1378">IFERROR(INDEX(data!$G:$G,match(Caseslist!B1378,data!$D:$D,0)), "INC")</f>
        <v>K8623174</v>
      </c>
      <c r="E1378" s="9" t="str">
        <f t="array" ref="E1378">IFERROR(INDEX(data!H:H,match(Caseslist!B1378,data!D:D,0)), "INC")</f>
        <v>Marielle Kaye Ignacio Alonzo</v>
      </c>
      <c r="F1378" s="10" t="str">
        <f t="array" ref="F1378">IF(
    OR(
      IFNA(INDEX(data!M:M, MATCH(Caseslist!B1378, data!D:D, 0)), "") = "",
      IFNA(INDEX(data!M:M, MATCH(Caseslist!B1378, data!D:D, 0)), 0) = 0
    ),
    "COMPLETE",
    IF(
      IFNA(INDEX(dataICM!D:D, MATCH(Caseslist!B1378, dataICM!D:D, 0)), "INC") = "INC",
      IFNA(INDEX(dataICM!D:D, MATCH(Caseslist!B1378, dataICM!D:D, 0)), "INC"),
      "COMPLETE"
    )
  )</f>
        <v>COMPLETE</v>
      </c>
      <c r="G1378" s="10" t="str">
        <f t="array" ref="G1378">IF(IFERROR(INDEX(data!L:L,match(Caseslist!B1378,data!D:D,0)),"INC")="","COMPLETE",F1378)</f>
        <v>COMPLETE</v>
      </c>
      <c r="H1378" s="9" t="str">
        <f t="array" ref="H1378">IFERROR(INDEX(dataICM!F:F,match(Caseslist!B1378,dataICM!D:D,0)), "INC")</f>
        <v>Marielle Kaye Ignacio Alonzo</v>
      </c>
      <c r="I1378" s="10" t="str">
        <f t="shared" si="2"/>
        <v>K8623174</v>
      </c>
      <c r="J1378" s="9" t="str">
        <f t="array" ref="J1378">IF(
  AND(
    IFERROR(MATCH(B1378, data!D:D, 0), 0) &gt; 0,
    IFERROR(INDEX(data!N:N, MATCH(B1378, data!D:D, 0)) = 1, FALSE)
  ),
  INDEX(data!C:C, MATCH(B1378, data!D:D, 0)),
  "INC"
)</f>
        <v>2025-08-26T10:02:57.412+08</v>
      </c>
      <c r="K1378" s="9" t="str">
        <f t="array" ref="K1378">IFERROR(INDEX(dataICM!C:C,match(Caseslist!B1378,dataICM!D:D,0)), "INC")</f>
        <v>2025-08-26T10:21:29.344+08</v>
      </c>
      <c r="L1378" s="10" t="str">
        <f t="array" ref="L1378">IF(AND(G1378="COMPLETE", OR(K1378="INC", ISBLANK(INDEX(data!O:O, ROW())))), J1378, K1378)</f>
        <v>2025-08-26T10:21:29.344+08</v>
      </c>
      <c r="M1378" s="2">
        <v>45895.0</v>
      </c>
      <c r="N1378" s="2">
        <f t="array" ref="N1378">IF(M1378&lt;&gt;"INC", INDEX(data!M:M, MATCH(B1378, data!D:D, 0)), "")</f>
        <v>1</v>
      </c>
      <c r="O1378" s="2">
        <f t="shared" si="3"/>
        <v>1</v>
      </c>
    </row>
    <row r="1379">
      <c r="A1379" s="2" t="str">
        <f t="shared" si="1"/>
        <v>H030375</v>
      </c>
      <c r="B1379" s="1" t="s">
        <v>543</v>
      </c>
      <c r="C1379" s="9" t="str">
        <f t="array" ref="C1379">IF(
  AND(
    IFERROR(MATCH(Caseslist!B1379, data!D:D, 0), 0) &gt; 0,
    IFERROR(INDEX(data!N:N, MATCH(Caseslist!B1379, data!D:D, 0)) = 1, FALSE)
  ),
  "COMPLETE",
  "INC"
)</f>
        <v>COMPLETE</v>
      </c>
      <c r="D1379" s="9" t="str">
        <f t="array" ref="D1379">IFERROR(INDEX(data!$G:$G,match(Caseslist!B1379,data!$D:$D,0)), "INC")</f>
        <v>K8623174</v>
      </c>
      <c r="E1379" s="9" t="str">
        <f t="array" ref="E1379">IFERROR(INDEX(data!H:H,match(Caseslist!B1379,data!D:D,0)), "INC")</f>
        <v>Marielle Kaye Ignacio Alonzo</v>
      </c>
      <c r="F1379" s="10" t="str">
        <f t="array" ref="F1379">IF(
    OR(
      IFNA(INDEX(data!M:M, MATCH(Caseslist!B1379, data!D:D, 0)), "") = "",
      IFNA(INDEX(data!M:M, MATCH(Caseslist!B1379, data!D:D, 0)), 0) = 0
    ),
    "COMPLETE",
    IF(
      IFNA(INDEX(dataICM!D:D, MATCH(Caseslist!B1379, dataICM!D:D, 0)), "INC") = "INC",
      IFNA(INDEX(dataICM!D:D, MATCH(Caseslist!B1379, dataICM!D:D, 0)), "INC"),
      "COMPLETE"
    )
  )</f>
        <v>COMPLETE</v>
      </c>
      <c r="G1379" s="10" t="str">
        <f t="array" ref="G1379">IF(IFERROR(INDEX(data!L:L,match(Caseslist!B1379,data!D:D,0)),"INC")="","COMPLETE",F1379)</f>
        <v>COMPLETE</v>
      </c>
      <c r="H1379" s="9" t="str">
        <f t="array" ref="H1379">IFERROR(INDEX(dataICM!F:F,match(Caseslist!B1379,dataICM!D:D,0)), "INC")</f>
        <v>Marielle Kaye Ignacio Alonzo</v>
      </c>
      <c r="I1379" s="10" t="str">
        <f t="shared" si="2"/>
        <v>K8623174</v>
      </c>
      <c r="J1379" s="9" t="str">
        <f t="array" ref="J1379">IF(
  AND(
    IFERROR(MATCH(B1379, data!D:D, 0), 0) &gt; 0,
    IFERROR(INDEX(data!N:N, MATCH(B1379, data!D:D, 0)) = 1, FALSE)
  ),
  INDEX(data!C:C, MATCH(B1379, data!D:D, 0)),
  "INC"
)</f>
        <v>2025-08-26T11:02:18.379+08</v>
      </c>
      <c r="K1379" s="9" t="str">
        <f t="array" ref="K1379">IFERROR(INDEX(dataICM!C:C,match(Caseslist!B1379,dataICM!D:D,0)), "INC")</f>
        <v>2025-08-26T11:53:07.327+08</v>
      </c>
      <c r="L1379" s="10" t="str">
        <f t="array" ref="L1379">IF(AND(G1379="COMPLETE", OR(K1379="INC", ISBLANK(INDEX(data!O:O, ROW())))), J1379, K1379)</f>
        <v>2025-08-26T11:53:07.327+08</v>
      </c>
      <c r="M1379" s="2">
        <v>45895.0</v>
      </c>
      <c r="N1379" s="2">
        <f t="array" ref="N1379">IF(M1379&lt;&gt;"INC", INDEX(data!M:M, MATCH(B1379, data!D:D, 0)), "")</f>
        <v>1</v>
      </c>
      <c r="O1379" s="2">
        <f t="shared" si="3"/>
        <v>1</v>
      </c>
    </row>
    <row r="1380">
      <c r="A1380" s="2" t="str">
        <f t="shared" si="1"/>
        <v>H030375</v>
      </c>
      <c r="B1380" s="1" t="s">
        <v>480</v>
      </c>
      <c r="C1380" s="9" t="str">
        <f t="array" ref="C1380">IF(
  AND(
    IFERROR(MATCH(Caseslist!B1380, data!D:D, 0), 0) &gt; 0,
    IFERROR(INDEX(data!N:N, MATCH(Caseslist!B1380, data!D:D, 0)) = 1, FALSE)
  ),
  "COMPLETE",
  "INC"
)</f>
        <v>COMPLETE</v>
      </c>
      <c r="D1380" s="9" t="str">
        <f t="array" ref="D1380">IFERROR(INDEX(data!$G:$G,match(Caseslist!B1380,data!$D:$D,0)), "INC")</f>
        <v>J4315980</v>
      </c>
      <c r="E1380" s="9" t="str">
        <f t="array" ref="E1380">IFERROR(INDEX(data!H:H,match(Caseslist!B1380,data!D:D,0)), "INC")</f>
        <v>Trixie Marie Jardeleza Saber</v>
      </c>
      <c r="F1380" s="10" t="str">
        <f t="array" ref="F1380">IF(
    OR(
      IFNA(INDEX(data!M:M, MATCH(Caseslist!B1380, data!D:D, 0)), "") = "",
      IFNA(INDEX(data!M:M, MATCH(Caseslist!B1380, data!D:D, 0)), 0) = 0
    ),
    "COMPLETE",
    IF(
      IFNA(INDEX(dataICM!D:D, MATCH(Caseslist!B1380, dataICM!D:D, 0)), "INC") = "INC",
      IFNA(INDEX(dataICM!D:D, MATCH(Caseslist!B1380, dataICM!D:D, 0)), "INC"),
      "COMPLETE"
    )
  )</f>
        <v>COMPLETE</v>
      </c>
      <c r="G1380" s="10" t="str">
        <f t="array" ref="G1380">IF(IFERROR(INDEX(data!L:L,match(Caseslist!B1380,data!D:D,0)),"INC")="","COMPLETE",F1380)</f>
        <v>COMPLETE</v>
      </c>
      <c r="H1380" s="9" t="str">
        <f t="array" ref="H1380">IFERROR(INDEX(dataICM!F:F,match(Caseslist!B1380,dataICM!D:D,0)), "INC")</f>
        <v>Trixie Marie Jardeleza Saber</v>
      </c>
      <c r="I1380" s="10" t="str">
        <f t="shared" si="2"/>
        <v>J4315980</v>
      </c>
      <c r="J1380" s="9" t="str">
        <f t="array" ref="J1380">IF(
  AND(
    IFERROR(MATCH(B1380, data!D:D, 0), 0) &gt; 0,
    IFERROR(INDEX(data!N:N, MATCH(B1380, data!D:D, 0)) = 1, FALSE)
  ),
  INDEX(data!C:C, MATCH(B1380, data!D:D, 0)),
  "INC"
)</f>
        <v>2025-08-26T14:10:02.029+08</v>
      </c>
      <c r="K1380" s="9" t="str">
        <f t="array" ref="K1380">IFERROR(INDEX(dataICM!C:C,match(Caseslist!B1380,dataICM!D:D,0)), "INC")</f>
        <v>2025-08-26T14:15:34.522+08</v>
      </c>
      <c r="L1380" s="10" t="str">
        <f t="array" ref="L1380">IF(AND(G1380="COMPLETE", OR(K1380="INC", ISBLANK(INDEX(data!O:O, ROW())))), J1380, K1380)</f>
        <v>2025-08-26T14:15:34.522+08</v>
      </c>
      <c r="M1380" s="2">
        <v>45895.0</v>
      </c>
      <c r="N1380" s="2">
        <f t="array" ref="N1380">IF(M1380&lt;&gt;"INC", INDEX(data!M:M, MATCH(B1380, data!D:D, 0)), "")</f>
        <v>1</v>
      </c>
      <c r="O1380" s="2">
        <f t="shared" si="3"/>
        <v>1</v>
      </c>
    </row>
    <row r="1381">
      <c r="A1381" s="2" t="str">
        <f t="shared" si="1"/>
        <v>H030375</v>
      </c>
      <c r="B1381" s="1" t="s">
        <v>492</v>
      </c>
      <c r="C1381" s="9" t="str">
        <f t="array" ref="C1381">IF(
  AND(
    IFERROR(MATCH(Caseslist!B1381, data!D:D, 0), 0) &gt; 0,
    IFERROR(INDEX(data!N:N, MATCH(Caseslist!B1381, data!D:D, 0)) = 1, FALSE)
  ),
  "COMPLETE",
  "INC"
)</f>
        <v>COMPLETE</v>
      </c>
      <c r="D1381" s="9" t="str">
        <f t="array" ref="D1381">IFERROR(INDEX(data!$G:$G,match(Caseslist!B1381,data!$D:$D,0)), "INC")</f>
        <v>J4315980</v>
      </c>
      <c r="E1381" s="9" t="str">
        <f t="array" ref="E1381">IFERROR(INDEX(data!H:H,match(Caseslist!B1381,data!D:D,0)), "INC")</f>
        <v>Trixie Marie Jardeleza Saber</v>
      </c>
      <c r="F1381" s="10" t="str">
        <f t="array" ref="F1381">IF(
    OR(
      IFNA(INDEX(data!M:M, MATCH(Caseslist!B1381, data!D:D, 0)), "") = "",
      IFNA(INDEX(data!M:M, MATCH(Caseslist!B1381, data!D:D, 0)), 0) = 0
    ),
    "COMPLETE",
    IF(
      IFNA(INDEX(dataICM!D:D, MATCH(Caseslist!B1381, dataICM!D:D, 0)), "INC") = "INC",
      IFNA(INDEX(dataICM!D:D, MATCH(Caseslist!B1381, dataICM!D:D, 0)), "INC"),
      "COMPLETE"
    )
  )</f>
        <v>COMPLETE</v>
      </c>
      <c r="G1381" s="10" t="str">
        <f t="array" ref="G1381">IF(IFERROR(INDEX(data!L:L,match(Caseslist!B1381,data!D:D,0)),"INC")="","COMPLETE",F1381)</f>
        <v>COMPLETE</v>
      </c>
      <c r="H1381" s="9" t="str">
        <f t="array" ref="H1381">IFERROR(INDEX(dataICM!F:F,match(Caseslist!B1381,dataICM!D:D,0)), "INC")</f>
        <v>Trixie Marie Jardeleza Saber</v>
      </c>
      <c r="I1381" s="10" t="str">
        <f t="shared" si="2"/>
        <v>J4315980</v>
      </c>
      <c r="J1381" s="9" t="str">
        <f t="array" ref="J1381">IF(
  AND(
    IFERROR(MATCH(B1381, data!D:D, 0), 0) &gt; 0,
    IFERROR(INDEX(data!N:N, MATCH(B1381, data!D:D, 0)) = 1, FALSE)
  ),
  INDEX(data!C:C, MATCH(B1381, data!D:D, 0)),
  "INC"
)</f>
        <v>2025-08-26T12:12:10.901+08</v>
      </c>
      <c r="K1381" s="9" t="str">
        <f t="array" ref="K1381">IFERROR(INDEX(dataICM!C:C,match(Caseslist!B1381,dataICM!D:D,0)), "INC")</f>
        <v>2025-08-26T12:17:18.156+08</v>
      </c>
      <c r="L1381" s="10" t="str">
        <f t="array" ref="L1381">IF(AND(G1381="COMPLETE", OR(K1381="INC", ISBLANK(INDEX(data!O:O, ROW())))), J1381, K1381)</f>
        <v>2025-08-26T12:17:18.156+08</v>
      </c>
      <c r="M1381" s="2">
        <v>45895.0</v>
      </c>
      <c r="N1381" s="2">
        <f t="array" ref="N1381">IF(M1381&lt;&gt;"INC", INDEX(data!M:M, MATCH(B1381, data!D:D, 0)), "")</f>
        <v>1</v>
      </c>
      <c r="O1381" s="2">
        <f t="shared" si="3"/>
        <v>1</v>
      </c>
    </row>
    <row r="1382">
      <c r="A1382" s="2" t="str">
        <f t="shared" si="1"/>
        <v>H030375</v>
      </c>
      <c r="B1382" s="1" t="s">
        <v>8863</v>
      </c>
      <c r="C1382" s="9" t="str">
        <f t="array" ref="C1382">IF(
  AND(
    IFERROR(MATCH(Caseslist!B1382, data!D:D, 0), 0) &gt; 0,
    IFERROR(INDEX(data!N:N, MATCH(Caseslist!B1382, data!D:D, 0)) = 1, FALSE)
  ),
  "COMPLETE",
  "INC"
)</f>
        <v>COMPLETE</v>
      </c>
      <c r="D1382" s="9" t="str">
        <f t="array" ref="D1382">IFERROR(INDEX(data!$G:$G,match(Caseslist!B1382,data!$D:$D,0)), "INC")</f>
        <v>M6491032</v>
      </c>
      <c r="E1382" s="9" t="str">
        <f t="array" ref="E1382">IFERROR(INDEX(data!H:H,match(Caseslist!B1382,data!D:D,0)), "INC")</f>
        <v>Rosevil Tayo Desamparado</v>
      </c>
      <c r="F1382" s="10" t="str">
        <f t="array" ref="F1382">IF(
    OR(
      IFNA(INDEX(data!M:M, MATCH(Caseslist!B1382, data!D:D, 0)), "") = "",
      IFNA(INDEX(data!M:M, MATCH(Caseslist!B1382, data!D:D, 0)), 0) = 0
    ),
    "COMPLETE",
    IF(
      IFNA(INDEX(dataICM!D:D, MATCH(Caseslist!B1382, dataICM!D:D, 0)), "INC") = "INC",
      IFNA(INDEX(dataICM!D:D, MATCH(Caseslist!B1382, dataICM!D:D, 0)), "INC"),
      "COMPLETE"
    )
  )</f>
        <v>COMPLETE</v>
      </c>
      <c r="G1382" s="10" t="str">
        <f t="array" ref="G1382">IF(IFERROR(INDEX(data!L:L,match(Caseslist!B1382,data!D:D,0)),"INC")="","COMPLETE",F1382)</f>
        <v>COMPLETE</v>
      </c>
      <c r="H1382" s="9" t="str">
        <f t="array" ref="H1382">IFERROR(INDEX(dataICM!F:F,match(Caseslist!B1382,dataICM!D:D,0)), "INC")</f>
        <v>Rosevil Tayo Desamparado</v>
      </c>
      <c r="I1382" s="10" t="str">
        <f t="shared" si="2"/>
        <v>M6491032</v>
      </c>
      <c r="J1382" s="9" t="str">
        <f t="array" ref="J1382">IF(
  AND(
    IFERROR(MATCH(B1382, data!D:D, 0), 0) &gt; 0,
    IFERROR(INDEX(data!N:N, MATCH(B1382, data!D:D, 0)) = 1, FALSE)
  ),
  INDEX(data!C:C, MATCH(B1382, data!D:D, 0)),
  "INC"
)</f>
        <v>2025-10-03T16:29:16.316+08</v>
      </c>
      <c r="K1382" s="9" t="str">
        <f t="array" ref="K1382">IFERROR(INDEX(dataICM!C:C,match(Caseslist!B1382,dataICM!D:D,0)), "INC")</f>
        <v>2025-10-03T16:29:56.929+08</v>
      </c>
      <c r="L1382" s="10" t="str">
        <f t="array" ref="L1382">IF(AND(G1382="COMPLETE", OR(K1382="INC", ISBLANK(INDEX(data!O:O, ROW())))), J1382, K1382)</f>
        <v>2025-10-03T16:29:56.929+08</v>
      </c>
      <c r="M1382" s="2">
        <v>45933.0</v>
      </c>
      <c r="N1382" s="2">
        <f t="array" ref="N1382">IF(M1382&lt;&gt;"INC", INDEX(data!M:M, MATCH(B1382, data!D:D, 0)), "")</f>
        <v>1</v>
      </c>
      <c r="O1382" s="2">
        <f t="shared" si="3"/>
        <v>1</v>
      </c>
    </row>
    <row r="1383">
      <c r="A1383" s="2" t="str">
        <f t="shared" si="1"/>
        <v>H030375</v>
      </c>
      <c r="B1383" s="1" t="s">
        <v>553</v>
      </c>
      <c r="C1383" s="9" t="str">
        <f t="array" ref="C1383">IF(
  AND(
    IFERROR(MATCH(Caseslist!B1383, data!D:D, 0), 0) &gt; 0,
    IFERROR(INDEX(data!N:N, MATCH(Caseslist!B1383, data!D:D, 0)) = 1, FALSE)
  ),
  "COMPLETE",
  "INC"
)</f>
        <v>COMPLETE</v>
      </c>
      <c r="D1383" s="9" t="str">
        <f t="array" ref="D1383">IFERROR(INDEX(data!$G:$G,match(Caseslist!B1383,data!$D:$D,0)), "INC")</f>
        <v>K8623174</v>
      </c>
      <c r="E1383" s="9" t="str">
        <f t="array" ref="E1383">IFERROR(INDEX(data!H:H,match(Caseslist!B1383,data!D:D,0)), "INC")</f>
        <v>Marielle Kaye Ignacio Alonzo</v>
      </c>
      <c r="F1383" s="10" t="str">
        <f t="array" ref="F1383">IF(
    OR(
      IFNA(INDEX(data!M:M, MATCH(Caseslist!B1383, data!D:D, 0)), "") = "",
      IFNA(INDEX(data!M:M, MATCH(Caseslist!B1383, data!D:D, 0)), 0) = 0
    ),
    "COMPLETE",
    IF(
      IFNA(INDEX(dataICM!D:D, MATCH(Caseslist!B1383, dataICM!D:D, 0)), "INC") = "INC",
      IFNA(INDEX(dataICM!D:D, MATCH(Caseslist!B1383, dataICM!D:D, 0)), "INC"),
      "COMPLETE"
    )
  )</f>
        <v>COMPLETE</v>
      </c>
      <c r="G1383" s="10" t="str">
        <f t="array" ref="G1383">IF(IFERROR(INDEX(data!L:L,match(Caseslist!B1383,data!D:D,0)),"INC")="","COMPLETE",F1383)</f>
        <v>COMPLETE</v>
      </c>
      <c r="H1383" s="9" t="str">
        <f t="array" ref="H1383">IFERROR(INDEX(dataICM!F:F,match(Caseslist!B1383,dataICM!D:D,0)), "INC")</f>
        <v>Marielle Kaye Ignacio Alonzo</v>
      </c>
      <c r="I1383" s="10" t="str">
        <f t="shared" si="2"/>
        <v>K8623174</v>
      </c>
      <c r="J1383" s="9" t="str">
        <f t="array" ref="J1383">IF(
  AND(
    IFERROR(MATCH(B1383, data!D:D, 0), 0) &gt; 0,
    IFERROR(INDEX(data!N:N, MATCH(B1383, data!D:D, 0)) = 1, FALSE)
  ),
  INDEX(data!C:C, MATCH(B1383, data!D:D, 0)),
  "INC"
)</f>
        <v>2025-08-26T16:40:45.377+08</v>
      </c>
      <c r="K1383" s="9" t="str">
        <f t="array" ref="K1383">IFERROR(INDEX(dataICM!C:C,match(Caseslist!B1383,dataICM!D:D,0)), "INC")</f>
        <v>2025-08-26T16:48:34.089+08</v>
      </c>
      <c r="L1383" s="10" t="str">
        <f t="array" ref="L1383">IF(AND(G1383="COMPLETE", OR(K1383="INC", ISBLANK(INDEX(data!O:O, ROW())))), J1383, K1383)</f>
        <v>2025-08-26T16:48:34.089+08</v>
      </c>
      <c r="M1383" s="2">
        <v>45895.0</v>
      </c>
      <c r="N1383" s="2">
        <f t="array" ref="N1383">IF(M1383&lt;&gt;"INC", INDEX(data!M:M, MATCH(B1383, data!D:D, 0)), "")</f>
        <v>1</v>
      </c>
      <c r="O1383" s="2">
        <f t="shared" si="3"/>
        <v>1</v>
      </c>
    </row>
    <row r="1384">
      <c r="A1384" s="2" t="str">
        <f t="shared" si="1"/>
        <v>H030375</v>
      </c>
      <c r="B1384" s="1" t="s">
        <v>485</v>
      </c>
      <c r="C1384" s="9" t="str">
        <f t="array" ref="C1384">IF(
  AND(
    IFERROR(MATCH(Caseslist!B1384, data!D:D, 0), 0) &gt; 0,
    IFERROR(INDEX(data!N:N, MATCH(Caseslist!B1384, data!D:D, 0)) = 1, FALSE)
  ),
  "COMPLETE",
  "INC"
)</f>
        <v>COMPLETE</v>
      </c>
      <c r="D1384" s="9" t="str">
        <f t="array" ref="D1384">IFERROR(INDEX(data!$G:$G,match(Caseslist!B1384,data!$D:$D,0)), "INC")</f>
        <v>J4315980</v>
      </c>
      <c r="E1384" s="9" t="str">
        <f t="array" ref="E1384">IFERROR(INDEX(data!H:H,match(Caseslist!B1384,data!D:D,0)), "INC")</f>
        <v>Trixie Marie Jardeleza Saber</v>
      </c>
      <c r="F1384" s="10" t="str">
        <f t="array" ref="F1384">IF(
    OR(
      IFNA(INDEX(data!M:M, MATCH(Caseslist!B1384, data!D:D, 0)), "") = "",
      IFNA(INDEX(data!M:M, MATCH(Caseslist!B1384, data!D:D, 0)), 0) = 0
    ),
    "COMPLETE",
    IF(
      IFNA(INDEX(dataICM!D:D, MATCH(Caseslist!B1384, dataICM!D:D, 0)), "INC") = "INC",
      IFNA(INDEX(dataICM!D:D, MATCH(Caseslist!B1384, dataICM!D:D, 0)), "INC"),
      "COMPLETE"
    )
  )</f>
        <v>COMPLETE</v>
      </c>
      <c r="G1384" s="10" t="str">
        <f t="array" ref="G1384">IF(IFERROR(INDEX(data!L:L,match(Caseslist!B1384,data!D:D,0)),"INC")="","COMPLETE",F1384)</f>
        <v>COMPLETE</v>
      </c>
      <c r="H1384" s="9" t="str">
        <f t="array" ref="H1384">IFERROR(INDEX(dataICM!F:F,match(Caseslist!B1384,dataICM!D:D,0)), "INC")</f>
        <v>Trixie Marie Jardeleza Saber</v>
      </c>
      <c r="I1384" s="10" t="str">
        <f t="shared" si="2"/>
        <v>J4315980</v>
      </c>
      <c r="J1384" s="9" t="str">
        <f t="array" ref="J1384">IF(
  AND(
    IFERROR(MATCH(B1384, data!D:D, 0), 0) &gt; 0,
    IFERROR(INDEX(data!N:N, MATCH(B1384, data!D:D, 0)) = 1, FALSE)
  ),
  INDEX(data!C:C, MATCH(B1384, data!D:D, 0)),
  "INC"
)</f>
        <v>2025-10-02T09:05:50.380+08</v>
      </c>
      <c r="K1384" s="9" t="str">
        <f t="array" ref="K1384">IFERROR(INDEX(dataICM!C:C,match(Caseslist!B1384,dataICM!D:D,0)), "INC")</f>
        <v>2025-10-02T09:19:46.386+08</v>
      </c>
      <c r="L1384" s="10" t="str">
        <f t="array" ref="L1384">IF(AND(G1384="COMPLETE", OR(K1384="INC", ISBLANK(INDEX(data!O:O, ROW())))), J1384, K1384)</f>
        <v>2025-10-02T09:19:46.386+08</v>
      </c>
      <c r="M1384" s="2">
        <v>45932.0</v>
      </c>
      <c r="N1384" s="2">
        <f t="array" ref="N1384">IF(M1384&lt;&gt;"INC", INDEX(data!M:M, MATCH(B1384, data!D:D, 0)), "")</f>
        <v>1</v>
      </c>
      <c r="O1384" s="2">
        <f t="shared" si="3"/>
        <v>1</v>
      </c>
    </row>
    <row r="1385">
      <c r="A1385" s="2" t="str">
        <f t="shared" si="1"/>
        <v>H030375</v>
      </c>
      <c r="B1385" s="1" t="s">
        <v>392</v>
      </c>
      <c r="C1385" s="9" t="str">
        <f t="array" ref="C1385">IF(
  AND(
    IFERROR(MATCH(Caseslist!B1385, data!D:D, 0), 0) &gt; 0,
    IFERROR(INDEX(data!N:N, MATCH(Caseslist!B1385, data!D:D, 0)) = 1, FALSE)
  ),
  "COMPLETE",
  "INC"
)</f>
        <v>COMPLETE</v>
      </c>
      <c r="D1385" s="9" t="str">
        <f t="array" ref="D1385">IFERROR(INDEX(data!$G:$G,match(Caseslist!B1385,data!$D:$D,0)), "INC")</f>
        <v>L2057896</v>
      </c>
      <c r="E1385" s="9" t="str">
        <f t="array" ref="E1385">IFERROR(INDEX(data!H:H,match(Caseslist!B1385,data!D:D,0)), "INC")</f>
        <v>Franz Reoben Posadas Geneblaza</v>
      </c>
      <c r="F1385" s="10" t="str">
        <f t="array" ref="F1385">IF(
    OR(
      IFNA(INDEX(data!M:M, MATCH(Caseslist!B1385, data!D:D, 0)), "") = "",
      IFNA(INDEX(data!M:M, MATCH(Caseslist!B1385, data!D:D, 0)), 0) = 0
    ),
    "COMPLETE",
    IF(
      IFNA(INDEX(dataICM!D:D, MATCH(Caseslist!B1385, dataICM!D:D, 0)), "INC") = "INC",
      IFNA(INDEX(dataICM!D:D, MATCH(Caseslist!B1385, dataICM!D:D, 0)), "INC"),
      "COMPLETE"
    )
  )</f>
        <v>COMPLETE</v>
      </c>
      <c r="G1385" s="10" t="str">
        <f t="array" ref="G1385">IF(IFERROR(INDEX(data!L:L,match(Caseslist!B1385,data!D:D,0)),"INC")="","COMPLETE",F1385)</f>
        <v>COMPLETE</v>
      </c>
      <c r="H1385" s="9" t="str">
        <f t="array" ref="H1385">IFERROR(INDEX(dataICM!F:F,match(Caseslist!B1385,dataICM!D:D,0)), "INC")</f>
        <v>Franz Reoben Posadas Geneblaza</v>
      </c>
      <c r="I1385" s="10" t="str">
        <f t="shared" si="2"/>
        <v>L2057896</v>
      </c>
      <c r="J1385" s="9" t="str">
        <f t="array" ref="J1385">IF(
  AND(
    IFERROR(MATCH(B1385, data!D:D, 0), 0) &gt; 0,
    IFERROR(INDEX(data!N:N, MATCH(B1385, data!D:D, 0)) = 1, FALSE)
  ),
  INDEX(data!C:C, MATCH(B1385, data!D:D, 0)),
  "INC"
)</f>
        <v>2025-08-26T15:04:47.241+08</v>
      </c>
      <c r="K1385" s="9" t="str">
        <f t="array" ref="K1385">IFERROR(INDEX(dataICM!C:C,match(Caseslist!B1385,dataICM!D:D,0)), "INC")</f>
        <v>2025-08-26T15:09:34.552+08</v>
      </c>
      <c r="L1385" s="10" t="str">
        <f t="array" ref="L1385">IF(AND(G1385="COMPLETE", OR(K1385="INC", ISBLANK(INDEX(data!O:O, ROW())))), J1385, K1385)</f>
        <v>2025-08-26T15:09:34.552+08</v>
      </c>
      <c r="M1385" s="2">
        <v>45895.0</v>
      </c>
      <c r="N1385" s="2">
        <f t="array" ref="N1385">IF(M1385&lt;&gt;"INC", INDEX(data!M:M, MATCH(B1385, data!D:D, 0)), "")</f>
        <v>1</v>
      </c>
      <c r="O1385" s="2">
        <f t="shared" si="3"/>
        <v>1</v>
      </c>
    </row>
    <row r="1386">
      <c r="A1386" s="2" t="str">
        <f t="shared" si="1"/>
        <v>H030375</v>
      </c>
      <c r="B1386" s="1" t="s">
        <v>548</v>
      </c>
      <c r="C1386" s="9" t="str">
        <f t="array" ref="C1386">IF(
  AND(
    IFERROR(MATCH(Caseslist!B1386, data!D:D, 0), 0) &gt; 0,
    IFERROR(INDEX(data!N:N, MATCH(Caseslist!B1386, data!D:D, 0)) = 1, FALSE)
  ),
  "COMPLETE",
  "INC"
)</f>
        <v>COMPLETE</v>
      </c>
      <c r="D1386" s="9" t="str">
        <f t="array" ref="D1386">IFERROR(INDEX(data!$G:$G,match(Caseslist!B1386,data!$D:$D,0)), "INC")</f>
        <v>K8623174</v>
      </c>
      <c r="E1386" s="9" t="str">
        <f t="array" ref="E1386">IFERROR(INDEX(data!H:H,match(Caseslist!B1386,data!D:D,0)), "INC")</f>
        <v>Marielle Kaye Ignacio Alonzo</v>
      </c>
      <c r="F1386" s="10" t="str">
        <f t="array" ref="F1386">IF(
    OR(
      IFNA(INDEX(data!M:M, MATCH(Caseslist!B1386, data!D:D, 0)), "") = "",
      IFNA(INDEX(data!M:M, MATCH(Caseslist!B1386, data!D:D, 0)), 0) = 0
    ),
    "COMPLETE",
    IF(
      IFNA(INDEX(dataICM!D:D, MATCH(Caseslist!B1386, dataICM!D:D, 0)), "INC") = "INC",
      IFNA(INDEX(dataICM!D:D, MATCH(Caseslist!B1386, dataICM!D:D, 0)), "INC"),
      "COMPLETE"
    )
  )</f>
        <v>COMPLETE</v>
      </c>
      <c r="G1386" s="10" t="str">
        <f t="array" ref="G1386">IF(IFERROR(INDEX(data!L:L,match(Caseslist!B1386,data!D:D,0)),"INC")="","COMPLETE",F1386)</f>
        <v>COMPLETE</v>
      </c>
      <c r="H1386" s="9" t="str">
        <f t="array" ref="H1386">IFERROR(INDEX(dataICM!F:F,match(Caseslist!B1386,dataICM!D:D,0)), "INC")</f>
        <v>Marielle Kaye Ignacio Alonzo</v>
      </c>
      <c r="I1386" s="10" t="str">
        <f t="shared" si="2"/>
        <v>K8623174</v>
      </c>
      <c r="J1386" s="9" t="str">
        <f t="array" ref="J1386">IF(
  AND(
    IFERROR(MATCH(B1386, data!D:D, 0), 0) &gt; 0,
    IFERROR(INDEX(data!N:N, MATCH(B1386, data!D:D, 0)) = 1, FALSE)
  ),
  INDEX(data!C:C, MATCH(B1386, data!D:D, 0)),
  "INC"
)</f>
        <v>2025-08-26T15:09:05.585+08</v>
      </c>
      <c r="K1386" s="9" t="str">
        <f t="array" ref="K1386">IFERROR(INDEX(dataICM!C:C,match(Caseslist!B1386,dataICM!D:D,0)), "INC")</f>
        <v>2025-08-26T15:50:22.741+08</v>
      </c>
      <c r="L1386" s="10" t="str">
        <f t="array" ref="L1386">IF(AND(G1386="COMPLETE", OR(K1386="INC", ISBLANK(INDEX(data!O:O, ROW())))), J1386, K1386)</f>
        <v>2025-08-26T15:50:22.741+08</v>
      </c>
      <c r="M1386" s="2">
        <v>45895.0</v>
      </c>
      <c r="N1386" s="2">
        <f t="array" ref="N1386">IF(M1386&lt;&gt;"INC", INDEX(data!M:M, MATCH(B1386, data!D:D, 0)), "")</f>
        <v>1</v>
      </c>
      <c r="O1386" s="2">
        <f t="shared" si="3"/>
        <v>1</v>
      </c>
    </row>
    <row r="1387">
      <c r="A1387" s="2" t="str">
        <f t="shared" si="1"/>
        <v>H030375</v>
      </c>
      <c r="B1387" s="1" t="s">
        <v>578</v>
      </c>
      <c r="C1387" s="9" t="str">
        <f t="array" ref="C1387">IF(
  AND(
    IFERROR(MATCH(Caseslist!B1387, data!D:D, 0), 0) &gt; 0,
    IFERROR(INDEX(data!N:N, MATCH(Caseslist!B1387, data!D:D, 0)) = 1, FALSE)
  ),
  "COMPLETE",
  "INC"
)</f>
        <v>COMPLETE</v>
      </c>
      <c r="D1387" s="9" t="str">
        <f t="array" ref="D1387">IFERROR(INDEX(data!$G:$G,match(Caseslist!B1387,data!$D:$D,0)), "INC")</f>
        <v>M6491032</v>
      </c>
      <c r="E1387" s="9" t="str">
        <f t="array" ref="E1387">IFERROR(INDEX(data!H:H,match(Caseslist!B1387,data!D:D,0)), "INC")</f>
        <v>Rosevil Tayo Desamparado</v>
      </c>
      <c r="F1387" s="10" t="str">
        <f t="array" ref="F1387">IF(
    OR(
      IFNA(INDEX(data!M:M, MATCH(Caseslist!B1387, data!D:D, 0)), "") = "",
      IFNA(INDEX(data!M:M, MATCH(Caseslist!B1387, data!D:D, 0)), 0) = 0
    ),
    "COMPLETE",
    IF(
      IFNA(INDEX(dataICM!D:D, MATCH(Caseslist!B1387, dataICM!D:D, 0)), "INC") = "INC",
      IFNA(INDEX(dataICM!D:D, MATCH(Caseslist!B1387, dataICM!D:D, 0)), "INC"),
      "COMPLETE"
    )
  )</f>
        <v>COMPLETE</v>
      </c>
      <c r="G1387" s="10" t="str">
        <f t="array" ref="G1387">IF(IFERROR(INDEX(data!L:L,match(Caseslist!B1387,data!D:D,0)),"INC")="","COMPLETE",F1387)</f>
        <v>COMPLETE</v>
      </c>
      <c r="H1387" s="9" t="str">
        <f t="array" ref="H1387">IFERROR(INDEX(dataICM!F:F,match(Caseslist!B1387,dataICM!D:D,0)), "INC")</f>
        <v>Rosevil Tayo Desamparado</v>
      </c>
      <c r="I1387" s="10" t="str">
        <f t="shared" si="2"/>
        <v>M6491032</v>
      </c>
      <c r="J1387" s="9" t="str">
        <f t="array" ref="J1387">IF(
  AND(
    IFERROR(MATCH(B1387, data!D:D, 0), 0) &gt; 0,
    IFERROR(INDEX(data!N:N, MATCH(B1387, data!D:D, 0)) = 1, FALSE)
  ),
  INDEX(data!C:C, MATCH(B1387, data!D:D, 0)),
  "INC"
)</f>
        <v>2025-08-26T14:52:41.379+08</v>
      </c>
      <c r="K1387" s="9" t="str">
        <f t="array" ref="K1387">IFERROR(INDEX(dataICM!C:C,match(Caseslist!B1387,dataICM!D:D,0)), "INC")</f>
        <v>2025-08-26T14:59:17.742+08</v>
      </c>
      <c r="L1387" s="10" t="str">
        <f t="array" ref="L1387">IF(AND(G1387="COMPLETE", OR(K1387="INC", ISBLANK(INDEX(data!O:O, ROW())))), J1387, K1387)</f>
        <v>2025-08-26T14:59:17.742+08</v>
      </c>
      <c r="M1387" s="2">
        <v>45895.0</v>
      </c>
      <c r="N1387" s="2">
        <f t="array" ref="N1387">IF(M1387&lt;&gt;"INC", INDEX(data!M:M, MATCH(B1387, data!D:D, 0)), "")</f>
        <v>1</v>
      </c>
      <c r="O1387" s="2">
        <f t="shared" si="3"/>
        <v>1</v>
      </c>
    </row>
    <row r="1388">
      <c r="A1388" s="2" t="str">
        <f t="shared" si="1"/>
        <v>H030375</v>
      </c>
      <c r="B1388" s="1" t="s">
        <v>381</v>
      </c>
      <c r="C1388" s="9" t="str">
        <f t="array" ref="C1388">IF(
  AND(
    IFERROR(MATCH(Caseslist!B1388, data!D:D, 0), 0) &gt; 0,
    IFERROR(INDEX(data!N:N, MATCH(Caseslist!B1388, data!D:D, 0)) = 1, FALSE)
  ),
  "COMPLETE",
  "INC"
)</f>
        <v>COMPLETE</v>
      </c>
      <c r="D1388" s="9" t="str">
        <f t="array" ref="D1388">IFERROR(INDEX(data!$G:$G,match(Caseslist!B1388,data!$D:$D,0)), "INC")</f>
        <v>L2057896</v>
      </c>
      <c r="E1388" s="9" t="str">
        <f t="array" ref="E1388">IFERROR(INDEX(data!H:H,match(Caseslist!B1388,data!D:D,0)), "INC")</f>
        <v>Franz Reoben Posadas Geneblaza</v>
      </c>
      <c r="F1388" s="10" t="str">
        <f t="array" ref="F1388">IF(
    OR(
      IFNA(INDEX(data!M:M, MATCH(Caseslist!B1388, data!D:D, 0)), "") = "",
      IFNA(INDEX(data!M:M, MATCH(Caseslist!B1388, data!D:D, 0)), 0) = 0
    ),
    "COMPLETE",
    IF(
      IFNA(INDEX(dataICM!D:D, MATCH(Caseslist!B1388, dataICM!D:D, 0)), "INC") = "INC",
      IFNA(INDEX(dataICM!D:D, MATCH(Caseslist!B1388, dataICM!D:D, 0)), "INC"),
      "COMPLETE"
    )
  )</f>
        <v>COMPLETE</v>
      </c>
      <c r="G1388" s="10" t="str">
        <f t="array" ref="G1388">IF(IFERROR(INDEX(data!L:L,match(Caseslist!B1388,data!D:D,0)),"INC")="","COMPLETE",F1388)</f>
        <v>COMPLETE</v>
      </c>
      <c r="H1388" s="9" t="str">
        <f t="array" ref="H1388">IFERROR(INDEX(dataICM!F:F,match(Caseslist!B1388,dataICM!D:D,0)), "INC")</f>
        <v>Franz Reoben Posadas Geneblaza</v>
      </c>
      <c r="I1388" s="10" t="str">
        <f t="shared" si="2"/>
        <v>L2057896</v>
      </c>
      <c r="J1388" s="9" t="str">
        <f t="array" ref="J1388">IF(
  AND(
    IFERROR(MATCH(B1388, data!D:D, 0), 0) &gt; 0,
    IFERROR(INDEX(data!N:N, MATCH(B1388, data!D:D, 0)) = 1, FALSE)
  ),
  INDEX(data!C:C, MATCH(B1388, data!D:D, 0)),
  "INC"
)</f>
        <v>2025-08-26T09:57:22.910+08</v>
      </c>
      <c r="K1388" s="9" t="str">
        <f t="array" ref="K1388">IFERROR(INDEX(dataICM!C:C,match(Caseslist!B1388,dataICM!D:D,0)), "INC")</f>
        <v>2025-08-26T10:00:38.591+08</v>
      </c>
      <c r="L1388" s="10" t="str">
        <f t="array" ref="L1388">IF(AND(G1388="COMPLETE", OR(K1388="INC", ISBLANK(INDEX(data!O:O, ROW())))), J1388, K1388)</f>
        <v>2025-08-26T10:00:38.591+08</v>
      </c>
      <c r="M1388" s="2">
        <v>45895.0</v>
      </c>
      <c r="N1388" s="2">
        <f t="array" ref="N1388">IF(M1388&lt;&gt;"INC", INDEX(data!M:M, MATCH(B1388, data!D:D, 0)), "")</f>
        <v>1</v>
      </c>
      <c r="O1388" s="2">
        <f t="shared" si="3"/>
        <v>1</v>
      </c>
    </row>
    <row r="1389">
      <c r="A1389" s="2" t="str">
        <f t="shared" si="1"/>
        <v>H030375</v>
      </c>
      <c r="B1389" s="1" t="s">
        <v>473</v>
      </c>
      <c r="C1389" s="9" t="str">
        <f t="array" ref="C1389">IF(
  AND(
    IFERROR(MATCH(Caseslist!B1389, data!D:D, 0), 0) &gt; 0,
    IFERROR(INDEX(data!N:N, MATCH(Caseslist!B1389, data!D:D, 0)) = 1, FALSE)
  ),
  "COMPLETE",
  "INC"
)</f>
        <v>COMPLETE</v>
      </c>
      <c r="D1389" s="9" t="str">
        <f t="array" ref="D1389">IFERROR(INDEX(data!$G:$G,match(Caseslist!B1389,data!$D:$D,0)), "INC")</f>
        <v>J4315980</v>
      </c>
      <c r="E1389" s="9" t="str">
        <f t="array" ref="E1389">IFERROR(INDEX(data!H:H,match(Caseslist!B1389,data!D:D,0)), "INC")</f>
        <v>Trixie Marie Jardeleza Saber</v>
      </c>
      <c r="F1389" s="10" t="str">
        <f t="array" ref="F1389">IF(
    OR(
      IFNA(INDEX(data!M:M, MATCH(Caseslist!B1389, data!D:D, 0)), "") = "",
      IFNA(INDEX(data!M:M, MATCH(Caseslist!B1389, data!D:D, 0)), 0) = 0
    ),
    "COMPLETE",
    IF(
      IFNA(INDEX(dataICM!D:D, MATCH(Caseslist!B1389, dataICM!D:D, 0)), "INC") = "INC",
      IFNA(INDEX(dataICM!D:D, MATCH(Caseslist!B1389, dataICM!D:D, 0)), "INC"),
      "COMPLETE"
    )
  )</f>
        <v>COMPLETE</v>
      </c>
      <c r="G1389" s="10" t="str">
        <f t="array" ref="G1389">IF(IFERROR(INDEX(data!L:L,match(Caseslist!B1389,data!D:D,0)),"INC")="","COMPLETE",F1389)</f>
        <v>COMPLETE</v>
      </c>
      <c r="H1389" s="9" t="str">
        <f t="array" ref="H1389">IFERROR(INDEX(dataICM!F:F,match(Caseslist!B1389,dataICM!D:D,0)), "INC")</f>
        <v>Trixie Marie Jardeleza Saber</v>
      </c>
      <c r="I1389" s="10" t="str">
        <f t="shared" si="2"/>
        <v>J4315980</v>
      </c>
      <c r="J1389" s="9" t="str">
        <f t="array" ref="J1389">IF(
  AND(
    IFERROR(MATCH(B1389, data!D:D, 0), 0) &gt; 0,
    IFERROR(INDEX(data!N:N, MATCH(B1389, data!D:D, 0)) = 1, FALSE)
  ),
  INDEX(data!C:C, MATCH(B1389, data!D:D, 0)),
  "INC"
)</f>
        <v>2025-08-26T10:09:58.704+08</v>
      </c>
      <c r="K1389" s="9" t="str">
        <f t="array" ref="K1389">IFERROR(INDEX(dataICM!C:C,match(Caseslist!B1389,dataICM!D:D,0)), "INC")</f>
        <v>2025-08-26T10:23:24.055+08</v>
      </c>
      <c r="L1389" s="10" t="str">
        <f t="array" ref="L1389">IF(AND(G1389="COMPLETE", OR(K1389="INC", ISBLANK(INDEX(data!O:O, ROW())))), J1389, K1389)</f>
        <v>2025-08-26T10:23:24.055+08</v>
      </c>
      <c r="M1389" s="2">
        <v>45895.0</v>
      </c>
      <c r="N1389" s="2">
        <f t="array" ref="N1389">IF(M1389&lt;&gt;"INC", INDEX(data!M:M, MATCH(B1389, data!D:D, 0)), "")</f>
        <v>1</v>
      </c>
      <c r="O1389" s="2">
        <f t="shared" si="3"/>
        <v>1</v>
      </c>
    </row>
    <row r="1390">
      <c r="A1390" s="2" t="str">
        <f t="shared" si="1"/>
        <v>H030375</v>
      </c>
      <c r="B1390" s="1" t="s">
        <v>387</v>
      </c>
      <c r="C1390" s="9" t="str">
        <f t="array" ref="C1390">IF(
  AND(
    IFERROR(MATCH(Caseslist!B1390, data!D:D, 0), 0) &gt; 0,
    IFERROR(INDEX(data!N:N, MATCH(Caseslist!B1390, data!D:D, 0)) = 1, FALSE)
  ),
  "COMPLETE",
  "INC"
)</f>
        <v>COMPLETE</v>
      </c>
      <c r="D1390" s="9" t="str">
        <f t="array" ref="D1390">IFERROR(INDEX(data!$G:$G,match(Caseslist!B1390,data!$D:$D,0)), "INC")</f>
        <v>L2057896</v>
      </c>
      <c r="E1390" s="9" t="str">
        <f t="array" ref="E1390">IFERROR(INDEX(data!H:H,match(Caseslist!B1390,data!D:D,0)), "INC")</f>
        <v>Franz Reoben Posadas Geneblaza</v>
      </c>
      <c r="F1390" s="10" t="str">
        <f t="array" ref="F1390">IF(
    OR(
      IFNA(INDEX(data!M:M, MATCH(Caseslist!B1390, data!D:D, 0)), "") = "",
      IFNA(INDEX(data!M:M, MATCH(Caseslist!B1390, data!D:D, 0)), 0) = 0
    ),
    "COMPLETE",
    IF(
      IFNA(INDEX(dataICM!D:D, MATCH(Caseslist!B1390, dataICM!D:D, 0)), "INC") = "INC",
      IFNA(INDEX(dataICM!D:D, MATCH(Caseslist!B1390, dataICM!D:D, 0)), "INC"),
      "COMPLETE"
    )
  )</f>
        <v>COMPLETE</v>
      </c>
      <c r="G1390" s="10" t="str">
        <f t="array" ref="G1390">IF(IFERROR(INDEX(data!L:L,match(Caseslist!B1390,data!D:D,0)),"INC")="","COMPLETE",F1390)</f>
        <v>COMPLETE</v>
      </c>
      <c r="H1390" s="9" t="str">
        <f t="array" ref="H1390">IFERROR(INDEX(dataICM!F:F,match(Caseslist!B1390,dataICM!D:D,0)), "INC")</f>
        <v>Franz Reoben Posadas Geneblaza</v>
      </c>
      <c r="I1390" s="10" t="str">
        <f t="shared" si="2"/>
        <v>L2057896</v>
      </c>
      <c r="J1390" s="9" t="str">
        <f t="array" ref="J1390">IF(
  AND(
    IFERROR(MATCH(B1390, data!D:D, 0), 0) &gt; 0,
    IFERROR(INDEX(data!N:N, MATCH(B1390, data!D:D, 0)) = 1, FALSE)
  ),
  INDEX(data!C:C, MATCH(B1390, data!D:D, 0)),
  "INC"
)</f>
        <v>2025-08-26T11:14:17.820+08</v>
      </c>
      <c r="K1390" s="9" t="str">
        <f t="array" ref="K1390">IFERROR(INDEX(dataICM!C:C,match(Caseslist!B1390,dataICM!D:D,0)), "INC")</f>
        <v>2025-08-26T12:17:41.823+08</v>
      </c>
      <c r="L1390" s="10" t="str">
        <f t="array" ref="L1390">IF(AND(G1390="COMPLETE", OR(K1390="INC", ISBLANK(INDEX(data!O:O, ROW())))), J1390, K1390)</f>
        <v>2025-08-26T12:17:41.823+08</v>
      </c>
      <c r="M1390" s="2">
        <v>45895.0</v>
      </c>
      <c r="N1390" s="2">
        <f t="array" ref="N1390">IF(M1390&lt;&gt;"INC", INDEX(data!M:M, MATCH(B1390, data!D:D, 0)), "")</f>
        <v>1</v>
      </c>
      <c r="O1390" s="2">
        <f t="shared" si="3"/>
        <v>1</v>
      </c>
    </row>
    <row r="1391">
      <c r="A1391" s="2" t="str">
        <f t="shared" si="1"/>
        <v>H030396</v>
      </c>
      <c r="B1391" s="1" t="s">
        <v>8058</v>
      </c>
      <c r="C1391" s="9" t="str">
        <f t="array" ref="C1391">IF(
  AND(
    IFERROR(MATCH(Caseslist!B1391, data!D:D, 0), 0) &gt; 0,
    IFERROR(INDEX(data!N:N, MATCH(Caseslist!B1391, data!D:D, 0)) = 1, FALSE)
  ),
  "COMPLETE",
  "INC"
)</f>
        <v>COMPLETE</v>
      </c>
      <c r="D1391" s="9" t="str">
        <f t="array" ref="D1391">IFERROR(INDEX(data!$G:$G,match(Caseslist!B1391,data!$D:$D,0)), "INC")</f>
        <v>F3051749</v>
      </c>
      <c r="E1391" s="9" t="str">
        <f t="array" ref="E1391">IFERROR(INDEX(data!H:H,match(Caseslist!B1391,data!D:D,0)), "INC")</f>
        <v>Elenita Gicos De La Pe�a</v>
      </c>
      <c r="F1391" s="10" t="str">
        <f t="array" ref="F1391">IF(
    OR(
      IFNA(INDEX(data!M:M, MATCH(Caseslist!B1391, data!D:D, 0)), "") = "",
      IFNA(INDEX(data!M:M, MATCH(Caseslist!B1391, data!D:D, 0)), 0) = 0
    ),
    "COMPLETE",
    IF(
      IFNA(INDEX(dataICM!D:D, MATCH(Caseslist!B1391, dataICM!D:D, 0)), "INC") = "INC",
      IFNA(INDEX(dataICM!D:D, MATCH(Caseslist!B1391, dataICM!D:D, 0)), "INC"),
      "COMPLETE"
    )
  )</f>
        <v>COMPLETE</v>
      </c>
      <c r="G1391" s="10" t="str">
        <f t="array" ref="G1391">IF(IFERROR(INDEX(data!L:L,match(Caseslist!B1391,data!D:D,0)),"INC")="","COMPLETE",F1391)</f>
        <v>COMPLETE</v>
      </c>
      <c r="H1391" s="9" t="str">
        <f t="array" ref="H1391">IFERROR(INDEX(dataICM!F:F,match(Caseslist!B1391,dataICM!D:D,0)), "INC")</f>
        <v>Elenita Gicos De La Pe�a</v>
      </c>
      <c r="I1391" s="10" t="str">
        <f t="shared" si="2"/>
        <v>F3051749</v>
      </c>
      <c r="J1391" s="9" t="str">
        <f t="array" ref="J1391">IF(
  AND(
    IFERROR(MATCH(B1391, data!D:D, 0), 0) &gt; 0,
    IFERROR(INDEX(data!N:N, MATCH(B1391, data!D:D, 0)) = 1, FALSE)
  ),
  INDEX(data!C:C, MATCH(B1391, data!D:D, 0)),
  "INC"
)</f>
        <v>2025-09-22T14:45:05.973+08</v>
      </c>
      <c r="K1391" s="9" t="str">
        <f t="array" ref="K1391">IFERROR(INDEX(dataICM!C:C,match(Caseslist!B1391,dataICM!D:D,0)), "INC")</f>
        <v>2025-09-22T14:50:44.983+08</v>
      </c>
      <c r="L1391" s="10" t="str">
        <f t="array" ref="L1391">IF(AND(G1391="COMPLETE", OR(K1391="INC", ISBLANK(INDEX(data!O:O, ROW())))), J1391, K1391)</f>
        <v>2025-09-22T14:50:44.983+08</v>
      </c>
      <c r="M1391" s="2">
        <v>45922.0</v>
      </c>
      <c r="N1391" s="2">
        <f t="array" ref="N1391">IF(M1391&lt;&gt;"INC", INDEX(data!M:M, MATCH(B1391, data!D:D, 0)), "")</f>
        <v>2</v>
      </c>
      <c r="O1391" s="2">
        <f t="shared" si="3"/>
        <v>2</v>
      </c>
    </row>
    <row r="1392">
      <c r="A1392" s="2" t="str">
        <f t="shared" si="1"/>
        <v>H030396</v>
      </c>
      <c r="B1392" s="1" t="s">
        <v>7908</v>
      </c>
      <c r="C1392" s="9" t="str">
        <f t="array" ref="C1392">IF(
  AND(
    IFERROR(MATCH(Caseslist!B1392, data!D:D, 0), 0) &gt; 0,
    IFERROR(INDEX(data!N:N, MATCH(Caseslist!B1392, data!D:D, 0)) = 1, FALSE)
  ),
  "COMPLETE",
  "INC"
)</f>
        <v>COMPLETE</v>
      </c>
      <c r="D1392" s="9" t="str">
        <f t="array" ref="D1392">IFERROR(INDEX(data!$G:$G,match(Caseslist!B1392,data!$D:$D,0)), "INC")</f>
        <v>H2846135</v>
      </c>
      <c r="E1392" s="9" t="str">
        <f t="array" ref="E1392">IFERROR(INDEX(data!H:H,match(Caseslist!B1392,data!D:D,0)), "INC")</f>
        <v>Annalou Empanado Encontro</v>
      </c>
      <c r="F1392" s="10" t="str">
        <f t="array" ref="F1392">IF(
    OR(
      IFNA(INDEX(data!M:M, MATCH(Caseslist!B1392, data!D:D, 0)), "") = "",
      IFNA(INDEX(data!M:M, MATCH(Caseslist!B1392, data!D:D, 0)), 0) = 0
    ),
    "COMPLETE",
    IF(
      IFNA(INDEX(dataICM!D:D, MATCH(Caseslist!B1392, dataICM!D:D, 0)), "INC") = "INC",
      IFNA(INDEX(dataICM!D:D, MATCH(Caseslist!B1392, dataICM!D:D, 0)), "INC"),
      "COMPLETE"
    )
  )</f>
        <v>COMPLETE</v>
      </c>
      <c r="G1392" s="10" t="str">
        <f t="array" ref="G1392">IF(IFERROR(INDEX(data!L:L,match(Caseslist!B1392,data!D:D,0)),"INC")="","COMPLETE",F1392)</f>
        <v>COMPLETE</v>
      </c>
      <c r="H1392" s="9" t="str">
        <f t="array" ref="H1392">IFERROR(INDEX(dataICM!F:F,match(Caseslist!B1392,dataICM!D:D,0)), "INC")</f>
        <v>Annalou Empanado Encontro</v>
      </c>
      <c r="I1392" s="10" t="str">
        <f t="shared" si="2"/>
        <v>H2846135</v>
      </c>
      <c r="J1392" s="9" t="str">
        <f t="array" ref="J1392">IF(
  AND(
    IFERROR(MATCH(B1392, data!D:D, 0), 0) &gt; 0,
    IFERROR(INDEX(data!N:N, MATCH(B1392, data!D:D, 0)) = 1, FALSE)
  ),
  INDEX(data!C:C, MATCH(B1392, data!D:D, 0)),
  "INC"
)</f>
        <v>2025-09-23T10:28:13.886+08</v>
      </c>
      <c r="K1392" s="9" t="str">
        <f t="array" ref="K1392">IFERROR(INDEX(dataICM!C:C,match(Caseslist!B1392,dataICM!D:D,0)), "INC")</f>
        <v>2025-09-23T10:33:45.326+08</v>
      </c>
      <c r="L1392" s="10" t="str">
        <f t="array" ref="L1392">IF(AND(G1392="COMPLETE", OR(K1392="INC", ISBLANK(INDEX(data!O:O, ROW())))), J1392, K1392)</f>
        <v>2025-09-23T10:33:45.326+08</v>
      </c>
      <c r="M1392" s="2">
        <v>45923.0</v>
      </c>
      <c r="N1392" s="2">
        <f t="array" ref="N1392">IF(M1392&lt;&gt;"INC", INDEX(data!M:M, MATCH(B1392, data!D:D, 0)), "")</f>
        <v>2</v>
      </c>
      <c r="O1392" s="2">
        <f t="shared" si="3"/>
        <v>2</v>
      </c>
    </row>
    <row r="1393">
      <c r="A1393" s="2" t="str">
        <f t="shared" si="1"/>
        <v>H030396</v>
      </c>
      <c r="B1393" s="1" t="s">
        <v>8078</v>
      </c>
      <c r="C1393" s="9" t="str">
        <f t="array" ref="C1393">IF(
  AND(
    IFERROR(MATCH(Caseslist!B1393, data!D:D, 0), 0) &gt; 0,
    IFERROR(INDEX(data!N:N, MATCH(Caseslist!B1393, data!D:D, 0)) = 1, FALSE)
  ),
  "COMPLETE",
  "INC"
)</f>
        <v>COMPLETE</v>
      </c>
      <c r="D1393" s="9" t="str">
        <f t="array" ref="D1393">IFERROR(INDEX(data!$G:$G,match(Caseslist!B1393,data!$D:$D,0)), "INC")</f>
        <v>G5472901</v>
      </c>
      <c r="E1393" s="9" t="str">
        <f t="array" ref="E1393">IFERROR(INDEX(data!H:H,match(Caseslist!B1393,data!D:D,0)), "INC")</f>
        <v>Wellyn Grace Alaban Parcia</v>
      </c>
      <c r="F1393" s="10" t="str">
        <f t="array" ref="F1393">IF(
    OR(
      IFNA(INDEX(data!M:M, MATCH(Caseslist!B1393, data!D:D, 0)), "") = "",
      IFNA(INDEX(data!M:M, MATCH(Caseslist!B1393, data!D:D, 0)), 0) = 0
    ),
    "COMPLETE",
    IF(
      IFNA(INDEX(dataICM!D:D, MATCH(Caseslist!B1393, dataICM!D:D, 0)), "INC") = "INC",
      IFNA(INDEX(dataICM!D:D, MATCH(Caseslist!B1393, dataICM!D:D, 0)), "INC"),
      "COMPLETE"
    )
  )</f>
        <v>COMPLETE</v>
      </c>
      <c r="G1393" s="10" t="str">
        <f t="array" ref="G1393">IF(IFERROR(INDEX(data!L:L,match(Caseslist!B1393,data!D:D,0)),"INC")="","COMPLETE",F1393)</f>
        <v>COMPLETE</v>
      </c>
      <c r="H1393" s="9" t="str">
        <f t="array" ref="H1393">IFERROR(INDEX(dataICM!F:F,match(Caseslist!B1393,dataICM!D:D,0)), "INC")</f>
        <v>Wellyn Grace Alaban Parcia</v>
      </c>
      <c r="I1393" s="10" t="str">
        <f t="shared" si="2"/>
        <v>G5472901</v>
      </c>
      <c r="J1393" s="9" t="str">
        <f t="array" ref="J1393">IF(
  AND(
    IFERROR(MATCH(B1393, data!D:D, 0), 0) &gt; 0,
    IFERROR(INDEX(data!N:N, MATCH(B1393, data!D:D, 0)) = 1, FALSE)
  ),
  INDEX(data!C:C, MATCH(B1393, data!D:D, 0)),
  "INC"
)</f>
        <v>2025-09-23T16:17:44.634+08</v>
      </c>
      <c r="K1393" s="9" t="str">
        <f t="array" ref="K1393">IFERROR(INDEX(dataICM!C:C,match(Caseslist!B1393,dataICM!D:D,0)), "INC")</f>
        <v>2025-09-23T16:27:43.989+08</v>
      </c>
      <c r="L1393" s="10" t="str">
        <f t="array" ref="L1393">IF(AND(G1393="COMPLETE", OR(K1393="INC", ISBLANK(INDEX(data!O:O, ROW())))), J1393, K1393)</f>
        <v>2025-09-23T16:27:43.989+08</v>
      </c>
      <c r="M1393" s="2">
        <v>45923.0</v>
      </c>
      <c r="N1393" s="2">
        <f t="array" ref="N1393">IF(M1393&lt;&gt;"INC", INDEX(data!M:M, MATCH(B1393, data!D:D, 0)), "")</f>
        <v>2</v>
      </c>
      <c r="O1393" s="2">
        <f t="shared" si="3"/>
        <v>2</v>
      </c>
    </row>
    <row r="1394">
      <c r="A1394" s="2" t="str">
        <f t="shared" si="1"/>
        <v>H030396</v>
      </c>
      <c r="B1394" s="1" t="s">
        <v>7918</v>
      </c>
      <c r="C1394" s="9" t="str">
        <f t="array" ref="C1394">IF(
  AND(
    IFERROR(MATCH(Caseslist!B1394, data!D:D, 0), 0) &gt; 0,
    IFERROR(INDEX(data!N:N, MATCH(Caseslist!B1394, data!D:D, 0)) = 1, FALSE)
  ),
  "COMPLETE",
  "INC"
)</f>
        <v>COMPLETE</v>
      </c>
      <c r="D1394" s="9" t="str">
        <f t="array" ref="D1394">IFERROR(INDEX(data!$G:$G,match(Caseslist!B1394,data!$D:$D,0)), "INC")</f>
        <v>H2846135</v>
      </c>
      <c r="E1394" s="9" t="str">
        <f t="array" ref="E1394">IFERROR(INDEX(data!H:H,match(Caseslist!B1394,data!D:D,0)), "INC")</f>
        <v>Annalou Empanado Encontro</v>
      </c>
      <c r="F1394" s="10" t="str">
        <f t="array" ref="F1394">IF(
    OR(
      IFNA(INDEX(data!M:M, MATCH(Caseslist!B1394, data!D:D, 0)), "") = "",
      IFNA(INDEX(data!M:M, MATCH(Caseslist!B1394, data!D:D, 0)), 0) = 0
    ),
    "COMPLETE",
    IF(
      IFNA(INDEX(dataICM!D:D, MATCH(Caseslist!B1394, dataICM!D:D, 0)), "INC") = "INC",
      IFNA(INDEX(dataICM!D:D, MATCH(Caseslist!B1394, dataICM!D:D, 0)), "INC"),
      "COMPLETE"
    )
  )</f>
        <v>COMPLETE</v>
      </c>
      <c r="G1394" s="10" t="str">
        <f t="array" ref="G1394">IF(IFERROR(INDEX(data!L:L,match(Caseslist!B1394,data!D:D,0)),"INC")="","COMPLETE",F1394)</f>
        <v>COMPLETE</v>
      </c>
      <c r="H1394" s="9" t="str">
        <f t="array" ref="H1394">IFERROR(INDEX(dataICM!F:F,match(Caseslist!B1394,dataICM!D:D,0)), "INC")</f>
        <v>Annalou Empanado Encontro</v>
      </c>
      <c r="I1394" s="10" t="str">
        <f t="shared" si="2"/>
        <v>H2846135</v>
      </c>
      <c r="J1394" s="9" t="str">
        <f t="array" ref="J1394">IF(
  AND(
    IFERROR(MATCH(B1394, data!D:D, 0), 0) &gt; 0,
    IFERROR(INDEX(data!N:N, MATCH(B1394, data!D:D, 0)) = 1, FALSE)
  ),
  INDEX(data!C:C, MATCH(B1394, data!D:D, 0)),
  "INC"
)</f>
        <v>2025-09-22T14:59:17.118+08</v>
      </c>
      <c r="K1394" s="9" t="str">
        <f t="array" ref="K1394">IFERROR(INDEX(dataICM!C:C,match(Caseslist!B1394,dataICM!D:D,0)), "INC")</f>
        <v>2025-09-22T15:12:51.780+08</v>
      </c>
      <c r="L1394" s="10" t="str">
        <f t="array" ref="L1394">IF(AND(G1394="COMPLETE", OR(K1394="INC", ISBLANK(INDEX(data!O:O, ROW())))), J1394, K1394)</f>
        <v>2025-09-22T15:12:51.780+08</v>
      </c>
      <c r="M1394" s="2">
        <v>45922.0</v>
      </c>
      <c r="N1394" s="2">
        <f t="array" ref="N1394">IF(M1394&lt;&gt;"INC", INDEX(data!M:M, MATCH(B1394, data!D:D, 0)), "")</f>
        <v>2</v>
      </c>
      <c r="O1394" s="2">
        <f t="shared" si="3"/>
        <v>2</v>
      </c>
    </row>
    <row r="1395">
      <c r="A1395" s="2" t="str">
        <f t="shared" si="1"/>
        <v>H030396</v>
      </c>
      <c r="B1395" s="1" t="s">
        <v>8273</v>
      </c>
      <c r="C1395" s="9" t="str">
        <f t="array" ref="C1395">IF(
  AND(
    IFERROR(MATCH(Caseslist!B1395, data!D:D, 0), 0) &gt; 0,
    IFERROR(INDEX(data!N:N, MATCH(Caseslist!B1395, data!D:D, 0)) = 1, FALSE)
  ),
  "COMPLETE",
  "INC"
)</f>
        <v>COMPLETE</v>
      </c>
      <c r="D1395" s="9" t="str">
        <f t="array" ref="D1395">IFERROR(INDEX(data!$G:$G,match(Caseslist!B1395,data!$D:$D,0)), "INC")</f>
        <v>G5472901</v>
      </c>
      <c r="E1395" s="9" t="str">
        <f t="array" ref="E1395">IFERROR(INDEX(data!H:H,match(Caseslist!B1395,data!D:D,0)), "INC")</f>
        <v>Wellyn Grace Alaban Parcia</v>
      </c>
      <c r="F1395" s="10" t="str">
        <f t="array" ref="F1395">IF(
    OR(
      IFNA(INDEX(data!M:M, MATCH(Caseslist!B1395, data!D:D, 0)), "") = "",
      IFNA(INDEX(data!M:M, MATCH(Caseslist!B1395, data!D:D, 0)), 0) = 0
    ),
    "COMPLETE",
    IF(
      IFNA(INDEX(dataICM!D:D, MATCH(Caseslist!B1395, dataICM!D:D, 0)), "INC") = "INC",
      IFNA(INDEX(dataICM!D:D, MATCH(Caseslist!B1395, dataICM!D:D, 0)), "INC"),
      "COMPLETE"
    )
  )</f>
        <v>COMPLETE</v>
      </c>
      <c r="G1395" s="10" t="str">
        <f t="array" ref="G1395">IF(IFERROR(INDEX(data!L:L,match(Caseslist!B1395,data!D:D,0)),"INC")="","COMPLETE",F1395)</f>
        <v>COMPLETE</v>
      </c>
      <c r="H1395" s="9" t="str">
        <f t="array" ref="H1395">IFERROR(INDEX(dataICM!F:F,match(Caseslist!B1395,dataICM!D:D,0)), "INC")</f>
        <v>Wellyn Grace Alaban Parcia</v>
      </c>
      <c r="I1395" s="10" t="str">
        <f t="shared" si="2"/>
        <v>G5472901</v>
      </c>
      <c r="J1395" s="9" t="str">
        <f t="array" ref="J1395">IF(
  AND(
    IFERROR(MATCH(B1395, data!D:D, 0), 0) &gt; 0,
    IFERROR(INDEX(data!N:N, MATCH(B1395, data!D:D, 0)) = 1, FALSE)
  ),
  INDEX(data!C:C, MATCH(B1395, data!D:D, 0)),
  "INC"
)</f>
        <v>2025-09-23T10:02:20.067+08</v>
      </c>
      <c r="K1395" s="9" t="str">
        <f t="array" ref="K1395">IFERROR(INDEX(dataICM!C:C,match(Caseslist!B1395,dataICM!D:D,0)), "INC")</f>
        <v>2025-09-23T10:15:41.045+08</v>
      </c>
      <c r="L1395" s="10" t="str">
        <f t="array" ref="L1395">IF(AND(G1395="COMPLETE", OR(K1395="INC", ISBLANK(INDEX(data!O:O, ROW())))), J1395, K1395)</f>
        <v>2025-09-23T10:15:41.045+08</v>
      </c>
      <c r="M1395" s="2">
        <v>45923.0</v>
      </c>
      <c r="N1395" s="2">
        <f t="array" ref="N1395">IF(M1395&lt;&gt;"INC", INDEX(data!M:M, MATCH(B1395, data!D:D, 0)), "")</f>
        <v>2</v>
      </c>
      <c r="O1395" s="2">
        <f t="shared" si="3"/>
        <v>2</v>
      </c>
    </row>
    <row r="1396">
      <c r="A1396" s="2" t="str">
        <f t="shared" si="1"/>
        <v>H030396</v>
      </c>
      <c r="B1396" s="1" t="s">
        <v>8083</v>
      </c>
      <c r="C1396" s="9" t="str">
        <f t="array" ref="C1396">IF(
  AND(
    IFERROR(MATCH(Caseslist!B1396, data!D:D, 0), 0) &gt; 0,
    IFERROR(INDEX(data!N:N, MATCH(Caseslist!B1396, data!D:D, 0)) = 1, FALSE)
  ),
  "COMPLETE",
  "INC"
)</f>
        <v>COMPLETE</v>
      </c>
      <c r="D1396" s="9" t="str">
        <f t="array" ref="D1396">IFERROR(INDEX(data!$G:$G,match(Caseslist!B1396,data!$D:$D,0)), "INC")</f>
        <v>F3051749</v>
      </c>
      <c r="E1396" s="9" t="str">
        <f t="array" ref="E1396">IFERROR(INDEX(data!H:H,match(Caseslist!B1396,data!D:D,0)), "INC")</f>
        <v>Elenita Gicos De La Pe�a</v>
      </c>
      <c r="F1396" s="10" t="str">
        <f t="array" ref="F1396">IF(
    OR(
      IFNA(INDEX(data!M:M, MATCH(Caseslist!B1396, data!D:D, 0)), "") = "",
      IFNA(INDEX(data!M:M, MATCH(Caseslist!B1396, data!D:D, 0)), 0) = 0
    ),
    "COMPLETE",
    IF(
      IFNA(INDEX(dataICM!D:D, MATCH(Caseslist!B1396, dataICM!D:D, 0)), "INC") = "INC",
      IFNA(INDEX(dataICM!D:D, MATCH(Caseslist!B1396, dataICM!D:D, 0)), "INC"),
      "COMPLETE"
    )
  )</f>
        <v>COMPLETE</v>
      </c>
      <c r="G1396" s="10" t="str">
        <f t="array" ref="G1396">IF(IFERROR(INDEX(data!L:L,match(Caseslist!B1396,data!D:D,0)),"INC")="","COMPLETE",F1396)</f>
        <v>COMPLETE</v>
      </c>
      <c r="H1396" s="9" t="str">
        <f t="array" ref="H1396">IFERROR(INDEX(dataICM!F:F,match(Caseslist!B1396,dataICM!D:D,0)), "INC")</f>
        <v>Elenita Gicos De La Pe�a</v>
      </c>
      <c r="I1396" s="10" t="str">
        <f t="shared" si="2"/>
        <v>F3051749</v>
      </c>
      <c r="J1396" s="9" t="str">
        <f t="array" ref="J1396">IF(
  AND(
    IFERROR(MATCH(B1396, data!D:D, 0), 0) &gt; 0,
    IFERROR(INDEX(data!N:N, MATCH(B1396, data!D:D, 0)) = 1, FALSE)
  ),
  INDEX(data!C:C, MATCH(B1396, data!D:D, 0)),
  "INC"
)</f>
        <v>2025-09-22T13:08:54.486+08</v>
      </c>
      <c r="K1396" s="9" t="str">
        <f t="array" ref="K1396">IFERROR(INDEX(dataICM!C:C,match(Caseslist!B1396,dataICM!D:D,0)), "INC")</f>
        <v>2025-09-22T13:22:16.575+08</v>
      </c>
      <c r="L1396" s="10" t="str">
        <f t="array" ref="L1396">IF(AND(G1396="COMPLETE", OR(K1396="INC", ISBLANK(INDEX(data!O:O, ROW())))), J1396, K1396)</f>
        <v>2025-09-22T13:22:16.575+08</v>
      </c>
      <c r="M1396" s="2">
        <v>45922.0</v>
      </c>
      <c r="N1396" s="2">
        <f t="array" ref="N1396">IF(M1396&lt;&gt;"INC", INDEX(data!M:M, MATCH(B1396, data!D:D, 0)), "")</f>
        <v>2</v>
      </c>
      <c r="O1396" s="2">
        <f t="shared" si="3"/>
        <v>2</v>
      </c>
    </row>
    <row r="1397">
      <c r="A1397" s="2" t="str">
        <f t="shared" si="1"/>
        <v>H030396</v>
      </c>
      <c r="B1397" s="1" t="s">
        <v>8063</v>
      </c>
      <c r="C1397" s="9" t="str">
        <f t="array" ref="C1397">IF(
  AND(
    IFERROR(MATCH(Caseslist!B1397, data!D:D, 0), 0) &gt; 0,
    IFERROR(INDEX(data!N:N, MATCH(Caseslist!B1397, data!D:D, 0)) = 1, FALSE)
  ),
  "COMPLETE",
  "INC"
)</f>
        <v>COMPLETE</v>
      </c>
      <c r="D1397" s="9" t="str">
        <f t="array" ref="D1397">IFERROR(INDEX(data!$G:$G,match(Caseslist!B1397,data!$D:$D,0)), "INC")</f>
        <v>G5472901</v>
      </c>
      <c r="E1397" s="9" t="str">
        <f t="array" ref="E1397">IFERROR(INDEX(data!H:H,match(Caseslist!B1397,data!D:D,0)), "INC")</f>
        <v>Wellyn Grace Alaban Parcia</v>
      </c>
      <c r="F1397" s="10" t="str">
        <f t="array" ref="F1397">IF(
    OR(
      IFNA(INDEX(data!M:M, MATCH(Caseslist!B1397, data!D:D, 0)), "") = "",
      IFNA(INDEX(data!M:M, MATCH(Caseslist!B1397, data!D:D, 0)), 0) = 0
    ),
    "COMPLETE",
    IF(
      IFNA(INDEX(dataICM!D:D, MATCH(Caseslist!B1397, dataICM!D:D, 0)), "INC") = "INC",
      IFNA(INDEX(dataICM!D:D, MATCH(Caseslist!B1397, dataICM!D:D, 0)), "INC"),
      "COMPLETE"
    )
  )</f>
        <v>COMPLETE</v>
      </c>
      <c r="G1397" s="10" t="str">
        <f t="array" ref="G1397">IF(IFERROR(INDEX(data!L:L,match(Caseslist!B1397,data!D:D,0)),"INC")="","COMPLETE",F1397)</f>
        <v>COMPLETE</v>
      </c>
      <c r="H1397" s="9" t="str">
        <f t="array" ref="H1397">IFERROR(INDEX(dataICM!F:F,match(Caseslist!B1397,dataICM!D:D,0)), "INC")</f>
        <v>Wellyn Grace Alaban Parcia</v>
      </c>
      <c r="I1397" s="10" t="str">
        <f t="shared" si="2"/>
        <v>G5472901</v>
      </c>
      <c r="J1397" s="9" t="str">
        <f t="array" ref="J1397">IF(
  AND(
    IFERROR(MATCH(B1397, data!D:D, 0), 0) &gt; 0,
    IFERROR(INDEX(data!N:N, MATCH(B1397, data!D:D, 0)) = 1, FALSE)
  ),
  INDEX(data!C:C, MATCH(B1397, data!D:D, 0)),
  "INC"
)</f>
        <v>2025-09-22T12:37:15.344+08</v>
      </c>
      <c r="K1397" s="9" t="str">
        <f t="array" ref="K1397">IFERROR(INDEX(dataICM!C:C,match(Caseslist!B1397,dataICM!D:D,0)), "INC")</f>
        <v>2025-09-22T12:51:26.852+08</v>
      </c>
      <c r="L1397" s="10" t="str">
        <f t="array" ref="L1397">IF(AND(G1397="COMPLETE", OR(K1397="INC", ISBLANK(INDEX(data!O:O, ROW())))), J1397, K1397)</f>
        <v>2025-09-22T12:51:26.852+08</v>
      </c>
      <c r="M1397" s="2">
        <v>45922.0</v>
      </c>
      <c r="N1397" s="2">
        <f t="array" ref="N1397">IF(M1397&lt;&gt;"INC", INDEX(data!M:M, MATCH(B1397, data!D:D, 0)), "")</f>
        <v>2</v>
      </c>
      <c r="O1397" s="2">
        <f t="shared" si="3"/>
        <v>2</v>
      </c>
    </row>
    <row r="1398">
      <c r="A1398" s="2" t="str">
        <f t="shared" si="1"/>
        <v>H030396</v>
      </c>
      <c r="B1398" s="1" t="s">
        <v>8278</v>
      </c>
      <c r="C1398" s="9" t="str">
        <f t="array" ref="C1398">IF(
  AND(
    IFERROR(MATCH(Caseslist!B1398, data!D:D, 0), 0) &gt; 0,
    IFERROR(INDEX(data!N:N, MATCH(Caseslist!B1398, data!D:D, 0)) = 1, FALSE)
  ),
  "COMPLETE",
  "INC"
)</f>
        <v>COMPLETE</v>
      </c>
      <c r="D1398" s="9" t="str">
        <f t="array" ref="D1398">IFERROR(INDEX(data!$G:$G,match(Caseslist!B1398,data!$D:$D,0)), "INC")</f>
        <v>G5472901</v>
      </c>
      <c r="E1398" s="9" t="str">
        <f t="array" ref="E1398">IFERROR(INDEX(data!H:H,match(Caseslist!B1398,data!D:D,0)), "INC")</f>
        <v>Wellyn Grace Alaban Parcia</v>
      </c>
      <c r="F1398" s="10" t="str">
        <f t="array" ref="F1398">IF(
    OR(
      IFNA(INDEX(data!M:M, MATCH(Caseslist!B1398, data!D:D, 0)), "") = "",
      IFNA(INDEX(data!M:M, MATCH(Caseslist!B1398, data!D:D, 0)), 0) = 0
    ),
    "COMPLETE",
    IF(
      IFNA(INDEX(dataICM!D:D, MATCH(Caseslist!B1398, dataICM!D:D, 0)), "INC") = "INC",
      IFNA(INDEX(dataICM!D:D, MATCH(Caseslist!B1398, dataICM!D:D, 0)), "INC"),
      "COMPLETE"
    )
  )</f>
        <v>COMPLETE</v>
      </c>
      <c r="G1398" s="10" t="str">
        <f t="array" ref="G1398">IF(IFERROR(INDEX(data!L:L,match(Caseslist!B1398,data!D:D,0)),"INC")="","COMPLETE",F1398)</f>
        <v>COMPLETE</v>
      </c>
      <c r="H1398" s="9" t="str">
        <f t="array" ref="H1398">IFERROR(INDEX(dataICM!F:F,match(Caseslist!B1398,dataICM!D:D,0)), "INC")</f>
        <v>Wellyn Grace Alaban Parcia</v>
      </c>
      <c r="I1398" s="10" t="str">
        <f t="shared" si="2"/>
        <v>G5472901</v>
      </c>
      <c r="J1398" s="9" t="str">
        <f t="array" ref="J1398">IF(
  AND(
    IFERROR(MATCH(B1398, data!D:D, 0), 0) &gt; 0,
    IFERROR(INDEX(data!N:N, MATCH(B1398, data!D:D, 0)) = 1, FALSE)
  ),
  INDEX(data!C:C, MATCH(B1398, data!D:D, 0)),
  "INC"
)</f>
        <v>2025-09-23T14:53:24.281+08</v>
      </c>
      <c r="K1398" s="9" t="str">
        <f t="array" ref="K1398">IFERROR(INDEX(dataICM!C:C,match(Caseslist!B1398,dataICM!D:D,0)), "INC")</f>
        <v>2025-09-23T14:57:39.159+08</v>
      </c>
      <c r="L1398" s="10" t="str">
        <f t="array" ref="L1398">IF(AND(G1398="COMPLETE", OR(K1398="INC", ISBLANK(INDEX(data!O:O, ROW())))), J1398, K1398)</f>
        <v>2025-09-23T14:57:39.159+08</v>
      </c>
      <c r="M1398" s="2">
        <v>45923.0</v>
      </c>
      <c r="N1398" s="2">
        <f t="array" ref="N1398">IF(M1398&lt;&gt;"INC", INDEX(data!M:M, MATCH(B1398, data!D:D, 0)), "")</f>
        <v>2</v>
      </c>
      <c r="O1398" s="2">
        <f t="shared" si="3"/>
        <v>2</v>
      </c>
    </row>
    <row r="1399">
      <c r="A1399" s="2" t="str">
        <f t="shared" si="1"/>
        <v>H030396</v>
      </c>
      <c r="B1399" s="1" t="s">
        <v>8073</v>
      </c>
      <c r="C1399" s="9" t="str">
        <f t="array" ref="C1399">IF(
  AND(
    IFERROR(MATCH(Caseslist!B1399, data!D:D, 0), 0) &gt; 0,
    IFERROR(INDEX(data!N:N, MATCH(Caseslist!B1399, data!D:D, 0)) = 1, FALSE)
  ),
  "COMPLETE",
  "INC"
)</f>
        <v>COMPLETE</v>
      </c>
      <c r="D1399" s="9" t="str">
        <f t="array" ref="D1399">IFERROR(INDEX(data!$G:$G,match(Caseslist!B1399,data!$D:$D,0)), "INC")</f>
        <v>G5472901</v>
      </c>
      <c r="E1399" s="9" t="str">
        <f t="array" ref="E1399">IFERROR(INDEX(data!H:H,match(Caseslist!B1399,data!D:D,0)), "INC")</f>
        <v>Wellyn Grace Alaban Parcia</v>
      </c>
      <c r="F1399" s="10" t="str">
        <f t="array" ref="F1399">IF(
    OR(
      IFNA(INDEX(data!M:M, MATCH(Caseslist!B1399, data!D:D, 0)), "") = "",
      IFNA(INDEX(data!M:M, MATCH(Caseslist!B1399, data!D:D, 0)), 0) = 0
    ),
    "COMPLETE",
    IF(
      IFNA(INDEX(dataICM!D:D, MATCH(Caseslist!B1399, dataICM!D:D, 0)), "INC") = "INC",
      IFNA(INDEX(dataICM!D:D, MATCH(Caseslist!B1399, dataICM!D:D, 0)), "INC"),
      "COMPLETE"
    )
  )</f>
        <v>COMPLETE</v>
      </c>
      <c r="G1399" s="10" t="str">
        <f t="array" ref="G1399">IF(IFERROR(INDEX(data!L:L,match(Caseslist!B1399,data!D:D,0)),"INC")="","COMPLETE",F1399)</f>
        <v>COMPLETE</v>
      </c>
      <c r="H1399" s="9" t="str">
        <f t="array" ref="H1399">IFERROR(INDEX(dataICM!F:F,match(Caseslist!B1399,dataICM!D:D,0)), "INC")</f>
        <v>Wellyn Grace Alaban Parcia</v>
      </c>
      <c r="I1399" s="10" t="str">
        <f t="shared" si="2"/>
        <v>G5472901</v>
      </c>
      <c r="J1399" s="9" t="str">
        <f t="array" ref="J1399">IF(
  AND(
    IFERROR(MATCH(B1399, data!D:D, 0), 0) &gt; 0,
    IFERROR(INDEX(data!N:N, MATCH(B1399, data!D:D, 0)) = 1, FALSE)
  ),
  INDEX(data!C:C, MATCH(B1399, data!D:D, 0)),
  "INC"
)</f>
        <v>2025-09-22T11:02:09.361+08</v>
      </c>
      <c r="K1399" s="9" t="str">
        <f t="array" ref="K1399">IFERROR(INDEX(dataICM!C:C,match(Caseslist!B1399,dataICM!D:D,0)), "INC")</f>
        <v>2025-09-22T11:07:50.004+08</v>
      </c>
      <c r="L1399" s="10" t="str">
        <f t="array" ref="L1399">IF(AND(G1399="COMPLETE", OR(K1399="INC", ISBLANK(INDEX(data!O:O, ROW())))), J1399, K1399)</f>
        <v>2025-09-22T11:07:50.004+08</v>
      </c>
      <c r="M1399" s="2">
        <v>45922.0</v>
      </c>
      <c r="N1399" s="2">
        <f t="array" ref="N1399">IF(M1399&lt;&gt;"INC", INDEX(data!M:M, MATCH(B1399, data!D:D, 0)), "")</f>
        <v>2</v>
      </c>
      <c r="O1399" s="2">
        <f t="shared" si="3"/>
        <v>2</v>
      </c>
    </row>
    <row r="1400">
      <c r="A1400" s="2" t="str">
        <f t="shared" si="1"/>
        <v>H030396</v>
      </c>
      <c r="B1400" s="1" t="s">
        <v>8283</v>
      </c>
      <c r="C1400" s="9" t="str">
        <f t="array" ref="C1400">IF(
  AND(
    IFERROR(MATCH(Caseslist!B1400, data!D:D, 0), 0) &gt; 0,
    IFERROR(INDEX(data!N:N, MATCH(Caseslist!B1400, data!D:D, 0)) = 1, FALSE)
  ),
  "COMPLETE",
  "INC"
)</f>
        <v>COMPLETE</v>
      </c>
      <c r="D1400" s="9" t="str">
        <f t="array" ref="D1400">IFERROR(INDEX(data!$G:$G,match(Caseslist!B1400,data!$D:$D,0)), "INC")</f>
        <v>G5472901</v>
      </c>
      <c r="E1400" s="9" t="str">
        <f t="array" ref="E1400">IFERROR(INDEX(data!H:H,match(Caseslist!B1400,data!D:D,0)), "INC")</f>
        <v>Wellyn Grace Alaban Parcia</v>
      </c>
      <c r="F1400" s="10" t="str">
        <f t="array" ref="F1400">IF(
    OR(
      IFNA(INDEX(data!M:M, MATCH(Caseslist!B1400, data!D:D, 0)), "") = "",
      IFNA(INDEX(data!M:M, MATCH(Caseslist!B1400, data!D:D, 0)), 0) = 0
    ),
    "COMPLETE",
    IF(
      IFNA(INDEX(dataICM!D:D, MATCH(Caseslist!B1400, dataICM!D:D, 0)), "INC") = "INC",
      IFNA(INDEX(dataICM!D:D, MATCH(Caseslist!B1400, dataICM!D:D, 0)), "INC"),
      "COMPLETE"
    )
  )</f>
        <v>COMPLETE</v>
      </c>
      <c r="G1400" s="10" t="str">
        <f t="array" ref="G1400">IF(IFERROR(INDEX(data!L:L,match(Caseslist!B1400,data!D:D,0)),"INC")="","COMPLETE",F1400)</f>
        <v>COMPLETE</v>
      </c>
      <c r="H1400" s="9" t="str">
        <f t="array" ref="H1400">IFERROR(INDEX(dataICM!F:F,match(Caseslist!B1400,dataICM!D:D,0)), "INC")</f>
        <v>Wellyn Grace Alaban Parcia</v>
      </c>
      <c r="I1400" s="10" t="str">
        <f t="shared" si="2"/>
        <v>G5472901</v>
      </c>
      <c r="J1400" s="9" t="str">
        <f t="array" ref="J1400">IF(
  AND(
    IFERROR(MATCH(B1400, data!D:D, 0), 0) &gt; 0,
    IFERROR(INDEX(data!N:N, MATCH(B1400, data!D:D, 0)) = 1, FALSE)
  ),
  INDEX(data!C:C, MATCH(B1400, data!D:D, 0)),
  "INC"
)</f>
        <v>2025-09-23T12:38:41.130+08</v>
      </c>
      <c r="K1400" s="9" t="str">
        <f t="array" ref="K1400">IFERROR(INDEX(dataICM!C:C,match(Caseslist!B1400,dataICM!D:D,0)), "INC")</f>
        <v>2025-09-23T12:44:58.726+08</v>
      </c>
      <c r="L1400" s="10" t="str">
        <f t="array" ref="L1400">IF(AND(G1400="COMPLETE", OR(K1400="INC", ISBLANK(INDEX(data!O:O, ROW())))), J1400, K1400)</f>
        <v>2025-09-23T12:44:58.726+08</v>
      </c>
      <c r="M1400" s="2">
        <v>45923.0</v>
      </c>
      <c r="N1400" s="2">
        <f t="array" ref="N1400">IF(M1400&lt;&gt;"INC", INDEX(data!M:M, MATCH(B1400, data!D:D, 0)), "")</f>
        <v>2</v>
      </c>
      <c r="O1400" s="2">
        <f t="shared" si="3"/>
        <v>2</v>
      </c>
    </row>
    <row r="1401">
      <c r="A1401" s="2" t="str">
        <f t="shared" si="1"/>
        <v>H030396</v>
      </c>
      <c r="B1401" s="1" t="s">
        <v>8338</v>
      </c>
      <c r="C1401" s="9" t="str">
        <f t="array" ref="C1401">IF(
  AND(
    IFERROR(MATCH(Caseslist!B1401, data!D:D, 0), 0) &gt; 0,
    IFERROR(INDEX(data!N:N, MATCH(Caseslist!B1401, data!D:D, 0)) = 1, FALSE)
  ),
  "COMPLETE",
  "INC"
)</f>
        <v>COMPLETE</v>
      </c>
      <c r="D1401" s="9" t="str">
        <f t="array" ref="D1401">IFERROR(INDEX(data!$G:$G,match(Caseslist!B1401,data!$D:$D,0)), "INC")</f>
        <v>H2846135</v>
      </c>
      <c r="E1401" s="9" t="str">
        <f t="array" ref="E1401">IFERROR(INDEX(data!H:H,match(Caseslist!B1401,data!D:D,0)), "INC")</f>
        <v>Annalou Empanado Encontro</v>
      </c>
      <c r="F1401" s="10" t="str">
        <f t="array" ref="F1401">IF(
    OR(
      IFNA(INDEX(data!M:M, MATCH(Caseslist!B1401, data!D:D, 0)), "") = "",
      IFNA(INDEX(data!M:M, MATCH(Caseslist!B1401, data!D:D, 0)), 0) = 0
    ),
    "COMPLETE",
    IF(
      IFNA(INDEX(dataICM!D:D, MATCH(Caseslist!B1401, dataICM!D:D, 0)), "INC") = "INC",
      IFNA(INDEX(dataICM!D:D, MATCH(Caseslist!B1401, dataICM!D:D, 0)), "INC"),
      "COMPLETE"
    )
  )</f>
        <v>COMPLETE</v>
      </c>
      <c r="G1401" s="10" t="str">
        <f t="array" ref="G1401">IF(IFERROR(INDEX(data!L:L,match(Caseslist!B1401,data!D:D,0)),"INC")="","COMPLETE",F1401)</f>
        <v>COMPLETE</v>
      </c>
      <c r="H1401" s="9" t="str">
        <f t="array" ref="H1401">IFERROR(INDEX(dataICM!F:F,match(Caseslist!B1401,dataICM!D:D,0)), "INC")</f>
        <v>Annalou Empanado Encontro</v>
      </c>
      <c r="I1401" s="10" t="str">
        <f t="shared" si="2"/>
        <v>H2846135</v>
      </c>
      <c r="J1401" s="9" t="str">
        <f t="array" ref="J1401">IF(
  AND(
    IFERROR(MATCH(B1401, data!D:D, 0), 0) &gt; 0,
    IFERROR(INDEX(data!N:N, MATCH(B1401, data!D:D, 0)) = 1, FALSE)
  ),
  INDEX(data!C:C, MATCH(B1401, data!D:D, 0)),
  "INC"
)</f>
        <v>2025-09-23T12:18:59.016+08</v>
      </c>
      <c r="K1401" s="9" t="str">
        <f t="array" ref="K1401">IFERROR(INDEX(dataICM!C:C,match(Caseslist!B1401,dataICM!D:D,0)), "INC")</f>
        <v>2025-09-23T12:24:01.848+08</v>
      </c>
      <c r="L1401" s="10" t="str">
        <f t="array" ref="L1401">IF(AND(G1401="COMPLETE", OR(K1401="INC", ISBLANK(INDEX(data!O:O, ROW())))), J1401, K1401)</f>
        <v>2025-09-23T12:24:01.848+08</v>
      </c>
      <c r="M1401" s="2">
        <v>45923.0</v>
      </c>
      <c r="N1401" s="2">
        <f t="array" ref="N1401">IF(M1401&lt;&gt;"INC", INDEX(data!M:M, MATCH(B1401, data!D:D, 0)), "")</f>
        <v>2</v>
      </c>
      <c r="O1401" s="2">
        <f t="shared" si="3"/>
        <v>2</v>
      </c>
    </row>
    <row r="1402">
      <c r="A1402" s="2" t="str">
        <f t="shared" si="1"/>
        <v>H030396</v>
      </c>
      <c r="B1402" s="1" t="s">
        <v>7913</v>
      </c>
      <c r="C1402" s="9" t="str">
        <f t="array" ref="C1402">IF(
  AND(
    IFERROR(MATCH(Caseslist!B1402, data!D:D, 0), 0) &gt; 0,
    IFERROR(INDEX(data!N:N, MATCH(Caseslist!B1402, data!D:D, 0)) = 1, FALSE)
  ),
  "COMPLETE",
  "INC"
)</f>
        <v>COMPLETE</v>
      </c>
      <c r="D1402" s="9" t="str">
        <f t="array" ref="D1402">IFERROR(INDEX(data!$G:$G,match(Caseslist!B1402,data!$D:$D,0)), "INC")</f>
        <v>H2846135</v>
      </c>
      <c r="E1402" s="9" t="str">
        <f t="array" ref="E1402">IFERROR(INDEX(data!H:H,match(Caseslist!B1402,data!D:D,0)), "INC")</f>
        <v>Annalou Empanado Encontro</v>
      </c>
      <c r="F1402" s="10" t="str">
        <f t="array" ref="F1402">IF(
    OR(
      IFNA(INDEX(data!M:M, MATCH(Caseslist!B1402, data!D:D, 0)), "") = "",
      IFNA(INDEX(data!M:M, MATCH(Caseslist!B1402, data!D:D, 0)), 0) = 0
    ),
    "COMPLETE",
    IF(
      IFNA(INDEX(dataICM!D:D, MATCH(Caseslist!B1402, dataICM!D:D, 0)), "INC") = "INC",
      IFNA(INDEX(dataICM!D:D, MATCH(Caseslist!B1402, dataICM!D:D, 0)), "INC"),
      "COMPLETE"
    )
  )</f>
        <v>COMPLETE</v>
      </c>
      <c r="G1402" s="10" t="str">
        <f t="array" ref="G1402">IF(IFERROR(INDEX(data!L:L,match(Caseslist!B1402,data!D:D,0)),"INC")="","COMPLETE",F1402)</f>
        <v>COMPLETE</v>
      </c>
      <c r="H1402" s="9" t="str">
        <f t="array" ref="H1402">IFERROR(INDEX(dataICM!F:F,match(Caseslist!B1402,dataICM!D:D,0)), "INC")</f>
        <v>Annalou Empanado Encontro</v>
      </c>
      <c r="I1402" s="10" t="str">
        <f t="shared" si="2"/>
        <v>H2846135</v>
      </c>
      <c r="J1402" s="9" t="str">
        <f t="array" ref="J1402">IF(
  AND(
    IFERROR(MATCH(B1402, data!D:D, 0), 0) &gt; 0,
    IFERROR(INDEX(data!N:N, MATCH(B1402, data!D:D, 0)) = 1, FALSE)
  ),
  INDEX(data!C:C, MATCH(B1402, data!D:D, 0)),
  "INC"
)</f>
        <v>2025-09-22T11:13:32.786+08</v>
      </c>
      <c r="K1402" s="9" t="str">
        <f t="array" ref="K1402">IFERROR(INDEX(dataICM!C:C,match(Caseslist!B1402,dataICM!D:D,0)), "INC")</f>
        <v>2025-09-22T11:24:30.871+08</v>
      </c>
      <c r="L1402" s="10" t="str">
        <f t="array" ref="L1402">IF(AND(G1402="COMPLETE", OR(K1402="INC", ISBLANK(INDEX(data!O:O, ROW())))), J1402, K1402)</f>
        <v>2025-09-22T11:24:30.871+08</v>
      </c>
      <c r="M1402" s="2">
        <v>45922.0</v>
      </c>
      <c r="N1402" s="2">
        <f t="array" ref="N1402">IF(M1402&lt;&gt;"INC", INDEX(data!M:M, MATCH(B1402, data!D:D, 0)), "")</f>
        <v>2</v>
      </c>
      <c r="O1402" s="2">
        <f t="shared" si="3"/>
        <v>2</v>
      </c>
    </row>
    <row r="1403">
      <c r="A1403" s="2" t="str">
        <f t="shared" si="1"/>
        <v>H030396</v>
      </c>
      <c r="B1403" s="1" t="s">
        <v>8068</v>
      </c>
      <c r="C1403" s="9" t="str">
        <f t="array" ref="C1403">IF(
  AND(
    IFERROR(MATCH(Caseslist!B1403, data!D:D, 0), 0) &gt; 0,
    IFERROR(INDEX(data!N:N, MATCH(Caseslist!B1403, data!D:D, 0)) = 1, FALSE)
  ),
  "COMPLETE",
  "INC"
)</f>
        <v>COMPLETE</v>
      </c>
      <c r="D1403" s="9" t="str">
        <f t="array" ref="D1403">IFERROR(INDEX(data!$G:$G,match(Caseslist!B1403,data!$D:$D,0)), "INC")</f>
        <v>H2846135</v>
      </c>
      <c r="E1403" s="9" t="str">
        <f t="array" ref="E1403">IFERROR(INDEX(data!H:H,match(Caseslist!B1403,data!D:D,0)), "INC")</f>
        <v>Annalou Empanado Encontro</v>
      </c>
      <c r="F1403" s="10" t="str">
        <f t="array" ref="F1403">IF(
    OR(
      IFNA(INDEX(data!M:M, MATCH(Caseslist!B1403, data!D:D, 0)), "") = "",
      IFNA(INDEX(data!M:M, MATCH(Caseslist!B1403, data!D:D, 0)), 0) = 0
    ),
    "COMPLETE",
    IF(
      IFNA(INDEX(dataICM!D:D, MATCH(Caseslist!B1403, dataICM!D:D, 0)), "INC") = "INC",
      IFNA(INDEX(dataICM!D:D, MATCH(Caseslist!B1403, dataICM!D:D, 0)), "INC"),
      "COMPLETE"
    )
  )</f>
        <v>COMPLETE</v>
      </c>
      <c r="G1403" s="10" t="str">
        <f t="array" ref="G1403">IF(IFERROR(INDEX(data!L:L,match(Caseslist!B1403,data!D:D,0)),"INC")="","COMPLETE",F1403)</f>
        <v>COMPLETE</v>
      </c>
      <c r="H1403" s="9" t="str">
        <f t="array" ref="H1403">IFERROR(INDEX(dataICM!F:F,match(Caseslist!B1403,dataICM!D:D,0)), "INC")</f>
        <v>Annalou Empanado Encontro</v>
      </c>
      <c r="I1403" s="10" t="str">
        <f t="shared" si="2"/>
        <v>H2846135</v>
      </c>
      <c r="J1403" s="9" t="str">
        <f t="array" ref="J1403">IF(
  AND(
    IFERROR(MATCH(B1403, data!D:D, 0), 0) &gt; 0,
    IFERROR(INDEX(data!N:N, MATCH(B1403, data!D:D, 0)) = 1, FALSE)
  ),
  INDEX(data!C:C, MATCH(B1403, data!D:D, 0)),
  "INC"
)</f>
        <v>2025-09-23T15:55:11.146+08</v>
      </c>
      <c r="K1403" s="9" t="str">
        <f t="array" ref="K1403">IFERROR(INDEX(dataICM!C:C,match(Caseslist!B1403,dataICM!D:D,0)), "INC")</f>
        <v>2025-09-28T15:15:02.993+08</v>
      </c>
      <c r="L1403" s="10" t="str">
        <f t="array" ref="L1403">IF(AND(G1403="COMPLETE", OR(K1403="INC", ISBLANK(INDEX(data!O:O, ROW())))), J1403, K1403)</f>
        <v>2025-09-28T15:15:02.993+08</v>
      </c>
      <c r="M1403" s="2">
        <v>45928.0</v>
      </c>
      <c r="N1403" s="2">
        <f t="array" ref="N1403">IF(M1403&lt;&gt;"INC", INDEX(data!M:M, MATCH(B1403, data!D:D, 0)), "")</f>
        <v>2</v>
      </c>
      <c r="O1403" s="2">
        <f t="shared" si="3"/>
        <v>2</v>
      </c>
    </row>
    <row r="1404">
      <c r="A1404" s="2" t="str">
        <f t="shared" si="1"/>
        <v>H030396</v>
      </c>
      <c r="B1404" s="1" t="s">
        <v>8343</v>
      </c>
      <c r="C1404" s="9" t="str">
        <f t="array" ref="C1404">IF(
  AND(
    IFERROR(MATCH(Caseslist!B1404, data!D:D, 0), 0) &gt; 0,
    IFERROR(INDEX(data!N:N, MATCH(Caseslist!B1404, data!D:D, 0)) = 1, FALSE)
  ),
  "COMPLETE",
  "INC"
)</f>
        <v>COMPLETE</v>
      </c>
      <c r="D1404" s="9" t="str">
        <f t="array" ref="D1404">IFERROR(INDEX(data!$G:$G,match(Caseslist!B1404,data!$D:$D,0)), "INC")</f>
        <v>H2846135</v>
      </c>
      <c r="E1404" s="9" t="str">
        <f t="array" ref="E1404">IFERROR(INDEX(data!H:H,match(Caseslist!B1404,data!D:D,0)), "INC")</f>
        <v>Annalou Empanado Encontro</v>
      </c>
      <c r="F1404" s="10" t="str">
        <f t="array" ref="F1404">IF(
    OR(
      IFNA(INDEX(data!M:M, MATCH(Caseslist!B1404, data!D:D, 0)), "") = "",
      IFNA(INDEX(data!M:M, MATCH(Caseslist!B1404, data!D:D, 0)), 0) = 0
    ),
    "COMPLETE",
    IF(
      IFNA(INDEX(dataICM!D:D, MATCH(Caseslist!B1404, dataICM!D:D, 0)), "INC") = "INC",
      IFNA(INDEX(dataICM!D:D, MATCH(Caseslist!B1404, dataICM!D:D, 0)), "INC"),
      "COMPLETE"
    )
  )</f>
        <v>COMPLETE</v>
      </c>
      <c r="G1404" s="10" t="str">
        <f t="array" ref="G1404">IF(IFERROR(INDEX(data!L:L,match(Caseslist!B1404,data!D:D,0)),"INC")="","COMPLETE",F1404)</f>
        <v>COMPLETE</v>
      </c>
      <c r="H1404" s="9" t="str">
        <f t="array" ref="H1404">IFERROR(INDEX(dataICM!F:F,match(Caseslist!B1404,dataICM!D:D,0)), "INC")</f>
        <v>Annalou Empanado Encontro</v>
      </c>
      <c r="I1404" s="10" t="str">
        <f t="shared" si="2"/>
        <v>H2846135</v>
      </c>
      <c r="J1404" s="9" t="str">
        <f t="array" ref="J1404">IF(
  AND(
    IFERROR(MATCH(B1404, data!D:D, 0), 0) &gt; 0,
    IFERROR(INDEX(data!N:N, MATCH(B1404, data!D:D, 0)) = 1, FALSE)
  ),
  INDEX(data!C:C, MATCH(B1404, data!D:D, 0)),
  "INC"
)</f>
        <v>2025-09-23T14:57:46.409+08</v>
      </c>
      <c r="K1404" s="9" t="str">
        <f t="array" ref="K1404">IFERROR(INDEX(dataICM!C:C,match(Caseslist!B1404,dataICM!D:D,0)), "INC")</f>
        <v>2025-09-23T15:02:14.826+08</v>
      </c>
      <c r="L1404" s="10" t="str">
        <f t="array" ref="L1404">IF(AND(G1404="COMPLETE", OR(K1404="INC", ISBLANK(INDEX(data!O:O, ROW())))), J1404, K1404)</f>
        <v>2025-09-23T15:02:14.826+08</v>
      </c>
      <c r="M1404" s="2">
        <v>45923.0</v>
      </c>
      <c r="N1404" s="2">
        <f t="array" ref="N1404">IF(M1404&lt;&gt;"INC", INDEX(data!M:M, MATCH(B1404, data!D:D, 0)), "")</f>
        <v>2</v>
      </c>
      <c r="O1404" s="2">
        <f t="shared" si="3"/>
        <v>2</v>
      </c>
    </row>
    <row r="1405">
      <c r="A1405" s="2" t="str">
        <f t="shared" si="1"/>
        <v>H030415</v>
      </c>
      <c r="B1405" s="1" t="s">
        <v>1076</v>
      </c>
      <c r="C1405" s="9" t="str">
        <f t="array" ref="C1405">IF(
  AND(
    IFERROR(MATCH(Caseslist!B1405, data!D:D, 0), 0) &gt; 0,
    IFERROR(INDEX(data!N:N, MATCH(Caseslist!B1405, data!D:D, 0)) = 1, FALSE)
  ),
  "COMPLETE",
  "INC"
)</f>
        <v>COMPLETE</v>
      </c>
      <c r="D1405" s="9" t="str">
        <f t="array" ref="D1405">IFERROR(INDEX(data!$G:$G,match(Caseslist!B1405,data!$D:$D,0)), "INC")</f>
        <v>N7814260</v>
      </c>
      <c r="E1405" s="9" t="str">
        <f t="array" ref="E1405">IFERROR(INDEX(data!H:H,match(Caseslist!B1405,data!D:D,0)), "INC")</f>
        <v>Jemma Marie Tillo</v>
      </c>
      <c r="F1405" s="10" t="str">
        <f t="array" ref="F1405">IF(
    OR(
      IFNA(INDEX(data!M:M, MATCH(Caseslist!B1405, data!D:D, 0)), "") = "",
      IFNA(INDEX(data!M:M, MATCH(Caseslist!B1405, data!D:D, 0)), 0) = 0
    ),
    "COMPLETE",
    IF(
      IFNA(INDEX(dataICM!D:D, MATCH(Caseslist!B1405, dataICM!D:D, 0)), "INC") = "INC",
      IFNA(INDEX(dataICM!D:D, MATCH(Caseslist!B1405, dataICM!D:D, 0)), "INC"),
      "COMPLETE"
    )
  )</f>
        <v>COMPLETE</v>
      </c>
      <c r="G1405" s="10" t="str">
        <f t="array" ref="G1405">IF(IFERROR(INDEX(data!L:L,match(Caseslist!B1405,data!D:D,0)),"INC")="","COMPLETE",F1405)</f>
        <v>COMPLETE</v>
      </c>
      <c r="H1405" s="9" t="str">
        <f t="array" ref="H1405">IFERROR(INDEX(dataICM!F:F,match(Caseslist!B1405,dataICM!D:D,0)), "INC")</f>
        <v>Jemma Marie Tillo</v>
      </c>
      <c r="I1405" s="10" t="str">
        <f t="shared" si="2"/>
        <v>N7814260</v>
      </c>
      <c r="J1405" s="9" t="str">
        <f t="array" ref="J1405">IF(
  AND(
    IFERROR(MATCH(B1405, data!D:D, 0), 0) &gt; 0,
    IFERROR(INDEX(data!N:N, MATCH(B1405, data!D:D, 0)) = 1, FALSE)
  ),
  INDEX(data!C:C, MATCH(B1405, data!D:D, 0)),
  "INC"
)</f>
        <v>2025-08-28T16:28:56.497+08</v>
      </c>
      <c r="K1405" s="9" t="str">
        <f t="array" ref="K1405">IFERROR(INDEX(dataICM!C:C,match(Caseslist!B1405,dataICM!D:D,0)), "INC")</f>
        <v>2025-08-28T16:34:37.616+08</v>
      </c>
      <c r="L1405" s="10" t="str">
        <f t="array" ref="L1405">IF(AND(G1405="COMPLETE", OR(K1405="INC", ISBLANK(INDEX(data!O:O, ROW())))), J1405, K1405)</f>
        <v>2025-08-28T16:34:37.616+08</v>
      </c>
      <c r="M1405" s="2">
        <v>45897.0</v>
      </c>
      <c r="N1405" s="2">
        <f t="array" ref="N1405">IF(M1405&lt;&gt;"INC", INDEX(data!M:M, MATCH(B1405, data!D:D, 0)), "")</f>
        <v>2</v>
      </c>
      <c r="O1405" s="2">
        <f t="shared" si="3"/>
        <v>2</v>
      </c>
    </row>
    <row r="1406">
      <c r="A1406" s="2" t="str">
        <f t="shared" si="1"/>
        <v>H030415</v>
      </c>
      <c r="B1406" s="1" t="s">
        <v>1066</v>
      </c>
      <c r="C1406" s="9" t="str">
        <f t="array" ref="C1406">IF(
  AND(
    IFERROR(MATCH(Caseslist!B1406, data!D:D, 0), 0) &gt; 0,
    IFERROR(INDEX(data!N:N, MATCH(Caseslist!B1406, data!D:D, 0)) = 1, FALSE)
  ),
  "COMPLETE",
  "INC"
)</f>
        <v>COMPLETE</v>
      </c>
      <c r="D1406" s="9" t="str">
        <f t="array" ref="D1406">IFERROR(INDEX(data!$G:$G,match(Caseslist!B1406,data!$D:$D,0)), "INC")</f>
        <v>N7814260</v>
      </c>
      <c r="E1406" s="9" t="str">
        <f t="array" ref="E1406">IFERROR(INDEX(data!H:H,match(Caseslist!B1406,data!D:D,0)), "INC")</f>
        <v>Jemma Marie Tillo</v>
      </c>
      <c r="F1406" s="10" t="str">
        <f t="array" ref="F1406">IF(
    OR(
      IFNA(INDEX(data!M:M, MATCH(Caseslist!B1406, data!D:D, 0)), "") = "",
      IFNA(INDEX(data!M:M, MATCH(Caseslist!B1406, data!D:D, 0)), 0) = 0
    ),
    "COMPLETE",
    IF(
      IFNA(INDEX(dataICM!D:D, MATCH(Caseslist!B1406, dataICM!D:D, 0)), "INC") = "INC",
      IFNA(INDEX(dataICM!D:D, MATCH(Caseslist!B1406, dataICM!D:D, 0)), "INC"),
      "COMPLETE"
    )
  )</f>
        <v>COMPLETE</v>
      </c>
      <c r="G1406" s="10" t="str">
        <f t="array" ref="G1406">IF(IFERROR(INDEX(data!L:L,match(Caseslist!B1406,data!D:D,0)),"INC")="","COMPLETE",F1406)</f>
        <v>COMPLETE</v>
      </c>
      <c r="H1406" s="9" t="str">
        <f t="array" ref="H1406">IFERROR(INDEX(dataICM!F:F,match(Caseslist!B1406,dataICM!D:D,0)), "INC")</f>
        <v>Jemma Marie Tillo</v>
      </c>
      <c r="I1406" s="10" t="str">
        <f t="shared" si="2"/>
        <v>N7814260</v>
      </c>
      <c r="J1406" s="9" t="str">
        <f t="array" ref="J1406">IF(
  AND(
    IFERROR(MATCH(B1406, data!D:D, 0), 0) &gt; 0,
    IFERROR(INDEX(data!N:N, MATCH(B1406, data!D:D, 0)) = 1, FALSE)
  ),
  INDEX(data!C:C, MATCH(B1406, data!D:D, 0)),
  "INC"
)</f>
        <v>2025-08-28T11:39:27.630+08</v>
      </c>
      <c r="K1406" s="9" t="str">
        <f t="array" ref="K1406">IFERROR(INDEX(dataICM!C:C,match(Caseslist!B1406,dataICM!D:D,0)), "INC")</f>
        <v>2025-08-28T12:15:43.321+08</v>
      </c>
      <c r="L1406" s="10" t="str">
        <f t="array" ref="L1406">IF(AND(G1406="COMPLETE", OR(K1406="INC", ISBLANK(INDEX(data!O:O, ROW())))), J1406, K1406)</f>
        <v>2025-08-28T12:15:43.321+08</v>
      </c>
      <c r="M1406" s="2">
        <v>45897.0</v>
      </c>
      <c r="N1406" s="2">
        <f t="array" ref="N1406">IF(M1406&lt;&gt;"INC", INDEX(data!M:M, MATCH(B1406, data!D:D, 0)), "")</f>
        <v>2</v>
      </c>
      <c r="O1406" s="2">
        <f t="shared" si="3"/>
        <v>2</v>
      </c>
    </row>
    <row r="1407">
      <c r="A1407" s="2" t="str">
        <f t="shared" si="1"/>
        <v>H030415</v>
      </c>
      <c r="B1407" s="1" t="s">
        <v>1014</v>
      </c>
      <c r="C1407" s="9" t="str">
        <f t="array" ref="C1407">IF(
  AND(
    IFERROR(MATCH(Caseslist!B1407, data!D:D, 0), 0) &gt; 0,
    IFERROR(INDEX(data!N:N, MATCH(Caseslist!B1407, data!D:D, 0)) = 1, FALSE)
  ),
  "COMPLETE",
  "INC"
)</f>
        <v>COMPLETE</v>
      </c>
      <c r="D1407" s="9" t="str">
        <f t="array" ref="D1407">IFERROR(INDEX(data!$G:$G,match(Caseslist!B1407,data!$D:$D,0)), "INC")</f>
        <v>O3925718</v>
      </c>
      <c r="E1407" s="9" t="str">
        <f t="array" ref="E1407">IFERROR(INDEX(data!H:H,match(Caseslist!B1407,data!D:D,0)), "INC")</f>
        <v>Adrian Montecastro Ferrer</v>
      </c>
      <c r="F1407" s="10" t="str">
        <f t="array" ref="F1407">IF(
    OR(
      IFNA(INDEX(data!M:M, MATCH(Caseslist!B1407, data!D:D, 0)), "") = "",
      IFNA(INDEX(data!M:M, MATCH(Caseslist!B1407, data!D:D, 0)), 0) = 0
    ),
    "COMPLETE",
    IF(
      IFNA(INDEX(dataICM!D:D, MATCH(Caseslist!B1407, dataICM!D:D, 0)), "INC") = "INC",
      IFNA(INDEX(dataICM!D:D, MATCH(Caseslist!B1407, dataICM!D:D, 0)), "INC"),
      "COMPLETE"
    )
  )</f>
        <v>COMPLETE</v>
      </c>
      <c r="G1407" s="10" t="str">
        <f t="array" ref="G1407">IF(IFERROR(INDEX(data!L:L,match(Caseslist!B1407,data!D:D,0)),"INC")="","COMPLETE",F1407)</f>
        <v>COMPLETE</v>
      </c>
      <c r="H1407" s="9" t="str">
        <f t="array" ref="H1407">IFERROR(INDEX(dataICM!F:F,match(Caseslist!B1407,dataICM!D:D,0)), "INC")</f>
        <v>Adrian Montecastro Ferrer</v>
      </c>
      <c r="I1407" s="10" t="str">
        <f t="shared" si="2"/>
        <v>O3925718</v>
      </c>
      <c r="J1407" s="9" t="str">
        <f t="array" ref="J1407">IF(
  AND(
    IFERROR(MATCH(B1407, data!D:D, 0), 0) &gt; 0,
    IFERROR(INDEX(data!N:N, MATCH(B1407, data!D:D, 0)) = 1, FALSE)
  ),
  INDEX(data!C:C, MATCH(B1407, data!D:D, 0)),
  "INC"
)</f>
        <v>2025-08-28T13:55:35.398+08</v>
      </c>
      <c r="K1407" s="9" t="str">
        <f t="array" ref="K1407">IFERROR(INDEX(dataICM!C:C,match(Caseslist!B1407,dataICM!D:D,0)), "INC")</f>
        <v>2025-08-28T14:00:50.898+08</v>
      </c>
      <c r="L1407" s="10" t="str">
        <f t="array" ref="L1407">IF(AND(G1407="COMPLETE", OR(K1407="INC", ISBLANK(INDEX(data!O:O, ROW())))), J1407, K1407)</f>
        <v>2025-08-28T14:00:50.898+08</v>
      </c>
      <c r="M1407" s="2">
        <v>45897.0</v>
      </c>
      <c r="N1407" s="2">
        <f t="array" ref="N1407">IF(M1407&lt;&gt;"INC", INDEX(data!M:M, MATCH(B1407, data!D:D, 0)), "")</f>
        <v>2</v>
      </c>
      <c r="O1407" s="2">
        <f t="shared" si="3"/>
        <v>2</v>
      </c>
    </row>
    <row r="1408">
      <c r="A1408" s="2" t="str">
        <f t="shared" si="1"/>
        <v>H030415</v>
      </c>
      <c r="B1408" s="1" t="s">
        <v>1071</v>
      </c>
      <c r="C1408" s="9" t="str">
        <f t="array" ref="C1408">IF(
  AND(
    IFERROR(MATCH(Caseslist!B1408, data!D:D, 0), 0) &gt; 0,
    IFERROR(INDEX(data!N:N, MATCH(Caseslist!B1408, data!D:D, 0)) = 1, FALSE)
  ),
  "COMPLETE",
  "INC"
)</f>
        <v>COMPLETE</v>
      </c>
      <c r="D1408" s="9" t="str">
        <f t="array" ref="D1408">IFERROR(INDEX(data!$G:$G,match(Caseslist!B1408,data!$D:$D,0)), "INC")</f>
        <v>N7814260</v>
      </c>
      <c r="E1408" s="9" t="str">
        <f t="array" ref="E1408">IFERROR(INDEX(data!H:H,match(Caseslist!B1408,data!D:D,0)), "INC")</f>
        <v>Jemma Marie Tillo</v>
      </c>
      <c r="F1408" s="10" t="str">
        <f t="array" ref="F1408">IF(
    OR(
      IFNA(INDEX(data!M:M, MATCH(Caseslist!B1408, data!D:D, 0)), "") = "",
      IFNA(INDEX(data!M:M, MATCH(Caseslist!B1408, data!D:D, 0)), 0) = 0
    ),
    "COMPLETE",
    IF(
      IFNA(INDEX(dataICM!D:D, MATCH(Caseslist!B1408, dataICM!D:D, 0)), "INC") = "INC",
      IFNA(INDEX(dataICM!D:D, MATCH(Caseslist!B1408, dataICM!D:D, 0)), "INC"),
      "COMPLETE"
    )
  )</f>
        <v>COMPLETE</v>
      </c>
      <c r="G1408" s="10" t="str">
        <f t="array" ref="G1408">IF(IFERROR(INDEX(data!L:L,match(Caseslist!B1408,data!D:D,0)),"INC")="","COMPLETE",F1408)</f>
        <v>COMPLETE</v>
      </c>
      <c r="H1408" s="9" t="str">
        <f t="array" ref="H1408">IFERROR(INDEX(dataICM!F:F,match(Caseslist!B1408,dataICM!D:D,0)), "INC")</f>
        <v>Jemma Marie Tillo</v>
      </c>
      <c r="I1408" s="10" t="str">
        <f t="shared" si="2"/>
        <v>N7814260</v>
      </c>
      <c r="J1408" s="9" t="str">
        <f t="array" ref="J1408">IF(
  AND(
    IFERROR(MATCH(B1408, data!D:D, 0), 0) &gt; 0,
    IFERROR(INDEX(data!N:N, MATCH(B1408, data!D:D, 0)) = 1, FALSE)
  ),
  INDEX(data!C:C, MATCH(B1408, data!D:D, 0)),
  "INC"
)</f>
        <v>2025-08-28T14:47:41.533+08</v>
      </c>
      <c r="K1408" s="9" t="str">
        <f t="array" ref="K1408">IFERROR(INDEX(dataICM!C:C,match(Caseslist!B1408,dataICM!D:D,0)), "INC")</f>
        <v>2025-08-28T14:53:08.072+08</v>
      </c>
      <c r="L1408" s="10" t="str">
        <f t="array" ref="L1408">IF(AND(G1408="COMPLETE", OR(K1408="INC", ISBLANK(INDEX(data!O:O, ROW())))), J1408, K1408)</f>
        <v>2025-08-28T14:53:08.072+08</v>
      </c>
      <c r="M1408" s="2">
        <v>45897.0</v>
      </c>
      <c r="N1408" s="2">
        <f t="array" ref="N1408">IF(M1408&lt;&gt;"INC", INDEX(data!M:M, MATCH(B1408, data!D:D, 0)), "")</f>
        <v>2</v>
      </c>
      <c r="O1408" s="2">
        <f t="shared" si="3"/>
        <v>2</v>
      </c>
    </row>
    <row r="1409">
      <c r="A1409" s="2" t="str">
        <f t="shared" si="1"/>
        <v>H030415</v>
      </c>
      <c r="B1409" s="1" t="s">
        <v>1004</v>
      </c>
      <c r="C1409" s="9" t="str">
        <f t="array" ref="C1409">IF(
  AND(
    IFERROR(MATCH(Caseslist!B1409, data!D:D, 0), 0) &gt; 0,
    IFERROR(INDEX(data!N:N, MATCH(Caseslist!B1409, data!D:D, 0)) = 1, FALSE)
  ),
  "COMPLETE",
  "INC"
)</f>
        <v>COMPLETE</v>
      </c>
      <c r="D1409" s="9" t="str">
        <f t="array" ref="D1409">IFERROR(INDEX(data!$G:$G,match(Caseslist!B1409,data!$D:$D,0)), "INC")</f>
        <v>O3925718</v>
      </c>
      <c r="E1409" s="9" t="str">
        <f t="array" ref="E1409">IFERROR(INDEX(data!H:H,match(Caseslist!B1409,data!D:D,0)), "INC")</f>
        <v>Adrian Montecastro Ferrer</v>
      </c>
      <c r="F1409" s="10" t="str">
        <f t="array" ref="F1409">IF(
    OR(
      IFNA(INDEX(data!M:M, MATCH(Caseslist!B1409, data!D:D, 0)), "") = "",
      IFNA(INDEX(data!M:M, MATCH(Caseslist!B1409, data!D:D, 0)), 0) = 0
    ),
    "COMPLETE",
    IF(
      IFNA(INDEX(dataICM!D:D, MATCH(Caseslist!B1409, dataICM!D:D, 0)), "INC") = "INC",
      IFNA(INDEX(dataICM!D:D, MATCH(Caseslist!B1409, dataICM!D:D, 0)), "INC"),
      "COMPLETE"
    )
  )</f>
        <v>COMPLETE</v>
      </c>
      <c r="G1409" s="10" t="str">
        <f t="array" ref="G1409">IF(IFERROR(INDEX(data!L:L,match(Caseslist!B1409,data!D:D,0)),"INC")="","COMPLETE",F1409)</f>
        <v>COMPLETE</v>
      </c>
      <c r="H1409" s="9" t="str">
        <f t="array" ref="H1409">IFERROR(INDEX(dataICM!F:F,match(Caseslist!B1409,dataICM!D:D,0)), "INC")</f>
        <v>Adrian Montecastro Ferrer</v>
      </c>
      <c r="I1409" s="10" t="str">
        <f t="shared" si="2"/>
        <v>O3925718</v>
      </c>
      <c r="J1409" s="9" t="str">
        <f t="array" ref="J1409">IF(
  AND(
    IFERROR(MATCH(B1409, data!D:D, 0), 0) &gt; 0,
    IFERROR(INDEX(data!N:N, MATCH(B1409, data!D:D, 0)) = 1, FALSE)
  ),
  INDEX(data!C:C, MATCH(B1409, data!D:D, 0)),
  "INC"
)</f>
        <v>2025-08-28T12:29:00.867+08</v>
      </c>
      <c r="K1409" s="9" t="str">
        <f t="array" ref="K1409">IFERROR(INDEX(dataICM!C:C,match(Caseslist!B1409,dataICM!D:D,0)), "INC")</f>
        <v>2025-08-28T12:39:58.597+08</v>
      </c>
      <c r="L1409" s="10" t="str">
        <f t="array" ref="L1409">IF(AND(G1409="COMPLETE", OR(K1409="INC", ISBLANK(INDEX(data!O:O, ROW())))), J1409, K1409)</f>
        <v>2025-08-28T12:39:58.597+08</v>
      </c>
      <c r="M1409" s="2">
        <v>45897.0</v>
      </c>
      <c r="N1409" s="2">
        <f t="array" ref="N1409">IF(M1409&lt;&gt;"INC", INDEX(data!M:M, MATCH(B1409, data!D:D, 0)), "")</f>
        <v>2</v>
      </c>
      <c r="O1409" s="2">
        <f t="shared" si="3"/>
        <v>2</v>
      </c>
    </row>
    <row r="1410">
      <c r="A1410" s="2" t="str">
        <f t="shared" si="1"/>
        <v>H030415</v>
      </c>
      <c r="B1410" s="1" t="s">
        <v>1019</v>
      </c>
      <c r="C1410" s="9" t="str">
        <f t="array" ref="C1410">IF(
  AND(
    IFERROR(MATCH(Caseslist!B1410, data!D:D, 0), 0) &gt; 0,
    IFERROR(INDEX(data!N:N, MATCH(Caseslist!B1410, data!D:D, 0)) = 1, FALSE)
  ),
  "COMPLETE",
  "INC"
)</f>
        <v>COMPLETE</v>
      </c>
      <c r="D1410" s="9" t="str">
        <f t="array" ref="D1410">IFERROR(INDEX(data!$G:$G,match(Caseslist!B1410,data!$D:$D,0)), "INC")</f>
        <v>O3925718</v>
      </c>
      <c r="E1410" s="9" t="str">
        <f t="array" ref="E1410">IFERROR(INDEX(data!H:H,match(Caseslist!B1410,data!D:D,0)), "INC")</f>
        <v>Adrian Montecastro Ferrer</v>
      </c>
      <c r="F1410" s="10" t="str">
        <f t="array" ref="F1410">IF(
    OR(
      IFNA(INDEX(data!M:M, MATCH(Caseslist!B1410, data!D:D, 0)), "") = "",
      IFNA(INDEX(data!M:M, MATCH(Caseslist!B1410, data!D:D, 0)), 0) = 0
    ),
    "COMPLETE",
    IF(
      IFNA(INDEX(dataICM!D:D, MATCH(Caseslist!B1410, dataICM!D:D, 0)), "INC") = "INC",
      IFNA(INDEX(dataICM!D:D, MATCH(Caseslist!B1410, dataICM!D:D, 0)), "INC"),
      "COMPLETE"
    )
  )</f>
        <v>COMPLETE</v>
      </c>
      <c r="G1410" s="10" t="str">
        <f t="array" ref="G1410">IF(IFERROR(INDEX(data!L:L,match(Caseslist!B1410,data!D:D,0)),"INC")="","COMPLETE",F1410)</f>
        <v>COMPLETE</v>
      </c>
      <c r="H1410" s="9" t="str">
        <f t="array" ref="H1410">IFERROR(INDEX(dataICM!F:F,match(Caseslist!B1410,dataICM!D:D,0)), "INC")</f>
        <v>Adrian Montecastro Ferrer</v>
      </c>
      <c r="I1410" s="10" t="str">
        <f t="shared" si="2"/>
        <v>O3925718</v>
      </c>
      <c r="J1410" s="9" t="str">
        <f t="array" ref="J1410">IF(
  AND(
    IFERROR(MATCH(B1410, data!D:D, 0), 0) &gt; 0,
    IFERROR(INDEX(data!N:N, MATCH(B1410, data!D:D, 0)) = 1, FALSE)
  ),
  INDEX(data!C:C, MATCH(B1410, data!D:D, 0)),
  "INC"
)</f>
        <v>2025-08-28T15:17:52.662+08</v>
      </c>
      <c r="K1410" s="9" t="str">
        <f t="array" ref="K1410">IFERROR(INDEX(dataICM!C:C,match(Caseslist!B1410,dataICM!D:D,0)), "INC")</f>
        <v>2025-08-28T15:31:40.193+08</v>
      </c>
      <c r="L1410" s="10" t="str">
        <f t="array" ref="L1410">IF(AND(G1410="COMPLETE", OR(K1410="INC", ISBLANK(INDEX(data!O:O, ROW())))), J1410, K1410)</f>
        <v>2025-08-28T15:31:40.193+08</v>
      </c>
      <c r="M1410" s="2">
        <v>45897.0</v>
      </c>
      <c r="N1410" s="2">
        <f t="array" ref="N1410">IF(M1410&lt;&gt;"INC", INDEX(data!M:M, MATCH(B1410, data!D:D, 0)), "")</f>
        <v>2</v>
      </c>
      <c r="O1410" s="2">
        <f t="shared" si="3"/>
        <v>2</v>
      </c>
    </row>
    <row r="1411">
      <c r="A1411" s="2" t="str">
        <f t="shared" si="1"/>
        <v>H030415</v>
      </c>
      <c r="B1411" s="1" t="s">
        <v>8738</v>
      </c>
      <c r="C1411" s="9" t="str">
        <f t="array" ref="C1411">IF(
  AND(
    IFERROR(MATCH(Caseslist!B1411, data!D:D, 0), 0) &gt; 0,
    IFERROR(INDEX(data!N:N, MATCH(Caseslist!B1411, data!D:D, 0)) = 1, FALSE)
  ),
  "COMPLETE",
  "INC"
)</f>
        <v>COMPLETE</v>
      </c>
      <c r="D1411" s="9" t="str">
        <f t="array" ref="D1411">IFERROR(INDEX(data!$G:$G,match(Caseslist!B1411,data!$D:$D,0)), "INC")</f>
        <v>N7814260</v>
      </c>
      <c r="E1411" s="9" t="str">
        <f t="array" ref="E1411">IFERROR(INDEX(data!H:H,match(Caseslist!B1411,data!D:D,0)), "INC")</f>
        <v>Jemma Marie Tillo</v>
      </c>
      <c r="F1411" s="10" t="str">
        <f t="array" ref="F1411">IF(
    OR(
      IFNA(INDEX(data!M:M, MATCH(Caseslist!B1411, data!D:D, 0)), "") = "",
      IFNA(INDEX(data!M:M, MATCH(Caseslist!B1411, data!D:D, 0)), 0) = 0
    ),
    "COMPLETE",
    IF(
      IFNA(INDEX(dataICM!D:D, MATCH(Caseslist!B1411, dataICM!D:D, 0)), "INC") = "INC",
      IFNA(INDEX(dataICM!D:D, MATCH(Caseslist!B1411, dataICM!D:D, 0)), "INC"),
      "COMPLETE"
    )
  )</f>
        <v>COMPLETE</v>
      </c>
      <c r="G1411" s="10" t="str">
        <f t="array" ref="G1411">IF(IFERROR(INDEX(data!L:L,match(Caseslist!B1411,data!D:D,0)),"INC")="","COMPLETE",F1411)</f>
        <v>COMPLETE</v>
      </c>
      <c r="H1411" s="9" t="str">
        <f t="array" ref="H1411">IFERROR(INDEX(dataICM!F:F,match(Caseslist!B1411,dataICM!D:D,0)), "INC")</f>
        <v>Jemma Marie Tillo</v>
      </c>
      <c r="I1411" s="10" t="str">
        <f t="shared" si="2"/>
        <v>N7814260</v>
      </c>
      <c r="J1411" s="9" t="str">
        <f t="array" ref="J1411">IF(
  AND(
    IFERROR(MATCH(B1411, data!D:D, 0), 0) &gt; 0,
    IFERROR(INDEX(data!N:N, MATCH(B1411, data!D:D, 0)) = 1, FALSE)
  ),
  INDEX(data!C:C, MATCH(B1411, data!D:D, 0)),
  "INC"
)</f>
        <v>2025-10-03T10:38:10.310+08</v>
      </c>
      <c r="K1411" s="9" t="str">
        <f t="array" ref="K1411">IFERROR(INDEX(dataICM!C:C,match(Caseslist!B1411,dataICM!D:D,0)), "INC")</f>
        <v>2025-10-03T10:50:07.815+08</v>
      </c>
      <c r="L1411" s="10" t="str">
        <f t="array" ref="L1411">IF(AND(G1411="COMPLETE", OR(K1411="INC", ISBLANK(INDEX(data!O:O, ROW())))), J1411, K1411)</f>
        <v>2025-10-03T10:50:07.815+08</v>
      </c>
      <c r="M1411" s="2">
        <v>45933.0</v>
      </c>
      <c r="N1411" s="2">
        <f t="array" ref="N1411">IF(M1411&lt;&gt;"INC", INDEX(data!M:M, MATCH(B1411, data!D:D, 0)), "")</f>
        <v>2</v>
      </c>
      <c r="O1411" s="2">
        <f t="shared" si="3"/>
        <v>2</v>
      </c>
    </row>
    <row r="1412">
      <c r="A1412" s="2" t="str">
        <f t="shared" si="1"/>
        <v>H030415</v>
      </c>
      <c r="B1412" s="1" t="s">
        <v>8733</v>
      </c>
      <c r="C1412" s="9" t="str">
        <f t="array" ref="C1412">IF(
  AND(
    IFERROR(MATCH(Caseslist!B1412, data!D:D, 0), 0) &gt; 0,
    IFERROR(INDEX(data!N:N, MATCH(Caseslist!B1412, data!D:D, 0)) = 1, FALSE)
  ),
  "COMPLETE",
  "INC"
)</f>
        <v>COMPLETE</v>
      </c>
      <c r="D1412" s="9" t="str">
        <f t="array" ref="D1412">IFERROR(INDEX(data!$G:$G,match(Caseslist!B1412,data!$D:$D,0)), "INC")</f>
        <v>O3925718</v>
      </c>
      <c r="E1412" s="9" t="str">
        <f t="array" ref="E1412">IFERROR(INDEX(data!H:H,match(Caseslist!B1412,data!D:D,0)), "INC")</f>
        <v>Adrian Montecastro Ferrer</v>
      </c>
      <c r="F1412" s="10" t="str">
        <f t="array" ref="F1412">IF(
    OR(
      IFNA(INDEX(data!M:M, MATCH(Caseslist!B1412, data!D:D, 0)), "") = "",
      IFNA(INDEX(data!M:M, MATCH(Caseslist!B1412, data!D:D, 0)), 0) = 0
    ),
    "COMPLETE",
    IF(
      IFNA(INDEX(dataICM!D:D, MATCH(Caseslist!B1412, dataICM!D:D, 0)), "INC") = "INC",
      IFNA(INDEX(dataICM!D:D, MATCH(Caseslist!B1412, dataICM!D:D, 0)), "INC"),
      "COMPLETE"
    )
  )</f>
        <v>COMPLETE</v>
      </c>
      <c r="G1412" s="10" t="str">
        <f t="array" ref="G1412">IF(IFERROR(INDEX(data!L:L,match(Caseslist!B1412,data!D:D,0)),"INC")="","COMPLETE",F1412)</f>
        <v>COMPLETE</v>
      </c>
      <c r="H1412" s="9" t="str">
        <f t="array" ref="H1412">IFERROR(INDEX(dataICM!F:F,match(Caseslist!B1412,dataICM!D:D,0)), "INC")</f>
        <v>Adrian Montecastro Ferrer</v>
      </c>
      <c r="I1412" s="10" t="str">
        <f t="shared" si="2"/>
        <v>O3925718</v>
      </c>
      <c r="J1412" s="9" t="str">
        <f t="array" ref="J1412">IF(
  AND(
    IFERROR(MATCH(B1412, data!D:D, 0), 0) &gt; 0,
    IFERROR(INDEX(data!N:N, MATCH(B1412, data!D:D, 0)) = 1, FALSE)
  ),
  INDEX(data!C:C, MATCH(B1412, data!D:D, 0)),
  "INC"
)</f>
        <v>2025-10-03T09:47:41.407+08</v>
      </c>
      <c r="K1412" s="9" t="str">
        <f t="array" ref="K1412">IFERROR(INDEX(dataICM!C:C,match(Caseslist!B1412,dataICM!D:D,0)), "INC")</f>
        <v>2025-10-03T10:28:57.770+08</v>
      </c>
      <c r="L1412" s="10" t="str">
        <f t="array" ref="L1412">IF(AND(G1412="COMPLETE", OR(K1412="INC", ISBLANK(INDEX(data!O:O, ROW())))), J1412, K1412)</f>
        <v>2025-10-03T10:28:57.770+08</v>
      </c>
      <c r="M1412" s="2">
        <v>45933.0</v>
      </c>
      <c r="N1412" s="2">
        <f t="array" ref="N1412">IF(M1412&lt;&gt;"INC", INDEX(data!M:M, MATCH(B1412, data!D:D, 0)), "")</f>
        <v>2</v>
      </c>
      <c r="O1412" s="2">
        <f t="shared" si="3"/>
        <v>2</v>
      </c>
    </row>
    <row r="1413">
      <c r="A1413" s="2" t="str">
        <f t="shared" si="1"/>
        <v>H030415</v>
      </c>
      <c r="B1413" s="1" t="s">
        <v>1357</v>
      </c>
      <c r="C1413" s="9" t="str">
        <f t="array" ref="C1413">IF(
  AND(
    IFERROR(MATCH(Caseslist!B1413, data!D:D, 0), 0) &gt; 0,
    IFERROR(INDEX(data!N:N, MATCH(Caseslist!B1413, data!D:D, 0)) = 1, FALSE)
  ),
  "COMPLETE",
  "INC"
)</f>
        <v>COMPLETE</v>
      </c>
      <c r="D1413" s="9" t="str">
        <f t="array" ref="D1413">IFERROR(INDEX(data!$G:$G,match(Caseslist!B1413,data!$D:$D,0)), "INC")</f>
        <v>N7814260</v>
      </c>
      <c r="E1413" s="9" t="str">
        <f t="array" ref="E1413">IFERROR(INDEX(data!H:H,match(Caseslist!B1413,data!D:D,0)), "INC")</f>
        <v>Jemma Marie Tillo</v>
      </c>
      <c r="F1413" s="10" t="str">
        <f t="array" ref="F1413">IF(
    OR(
      IFNA(INDEX(data!M:M, MATCH(Caseslist!B1413, data!D:D, 0)), "") = "",
      IFNA(INDEX(data!M:M, MATCH(Caseslist!B1413, data!D:D, 0)), 0) = 0
    ),
    "COMPLETE",
    IF(
      IFNA(INDEX(dataICM!D:D, MATCH(Caseslist!B1413, dataICM!D:D, 0)), "INC") = "INC",
      IFNA(INDEX(dataICM!D:D, MATCH(Caseslist!B1413, dataICM!D:D, 0)), "INC"),
      "COMPLETE"
    )
  )</f>
        <v>COMPLETE</v>
      </c>
      <c r="G1413" s="10" t="str">
        <f t="array" ref="G1413">IF(IFERROR(INDEX(data!L:L,match(Caseslist!B1413,data!D:D,0)),"INC")="","COMPLETE",F1413)</f>
        <v>COMPLETE</v>
      </c>
      <c r="H1413" s="9" t="str">
        <f t="array" ref="H1413">IFERROR(INDEX(dataICM!F:F,match(Caseslist!B1413,dataICM!D:D,0)), "INC")</f>
        <v>Jemma Marie Tillo</v>
      </c>
      <c r="I1413" s="10" t="str">
        <f t="shared" si="2"/>
        <v>N7814260</v>
      </c>
      <c r="J1413" s="9" t="str">
        <f t="array" ref="J1413">IF(
  AND(
    IFERROR(MATCH(B1413, data!D:D, 0), 0) &gt; 0,
    IFERROR(INDEX(data!N:N, MATCH(B1413, data!D:D, 0)) = 1, FALSE)
  ),
  INDEX(data!C:C, MATCH(B1413, data!D:D, 0)),
  "INC"
)</f>
        <v>2025-09-29T10:02:06.626+08</v>
      </c>
      <c r="K1413" s="9" t="str">
        <f t="array" ref="K1413">IFERROR(INDEX(dataICM!C:C,match(Caseslist!B1413,dataICM!D:D,0)), "INC")</f>
        <v>2025-09-29T10:08:22.738+08</v>
      </c>
      <c r="L1413" s="10" t="str">
        <f t="array" ref="L1413">IF(AND(G1413="COMPLETE", OR(K1413="INC", ISBLANK(INDEX(data!O:O, ROW())))), J1413, K1413)</f>
        <v>2025-09-29T10:08:22.738+08</v>
      </c>
      <c r="M1413" s="2">
        <v>45929.0</v>
      </c>
      <c r="N1413" s="2">
        <f t="array" ref="N1413">IF(M1413&lt;&gt;"INC", INDEX(data!M:M, MATCH(B1413, data!D:D, 0)), "")</f>
        <v>2</v>
      </c>
      <c r="O1413" s="2">
        <f t="shared" si="3"/>
        <v>2</v>
      </c>
    </row>
    <row r="1414">
      <c r="A1414" s="2" t="str">
        <f t="shared" si="1"/>
        <v>H030415</v>
      </c>
      <c r="B1414" s="1" t="s">
        <v>1009</v>
      </c>
      <c r="C1414" s="9" t="str">
        <f t="array" ref="C1414">IF(
  AND(
    IFERROR(MATCH(Caseslist!B1414, data!D:D, 0), 0) &gt; 0,
    IFERROR(INDEX(data!N:N, MATCH(Caseslist!B1414, data!D:D, 0)) = 1, FALSE)
  ),
  "COMPLETE",
  "INC"
)</f>
        <v>COMPLETE</v>
      </c>
      <c r="D1414" s="9" t="str">
        <f t="array" ref="D1414">IFERROR(INDEX(data!$G:$G,match(Caseslist!B1414,data!$D:$D,0)), "INC")</f>
        <v>O3925718</v>
      </c>
      <c r="E1414" s="9" t="str">
        <f t="array" ref="E1414">IFERROR(INDEX(data!H:H,match(Caseslist!B1414,data!D:D,0)), "INC")</f>
        <v>Adrian Montecastro Ferrer</v>
      </c>
      <c r="F1414" s="10" t="str">
        <f t="array" ref="F1414">IF(
    OR(
      IFNA(INDEX(data!M:M, MATCH(Caseslist!B1414, data!D:D, 0)), "") = "",
      IFNA(INDEX(data!M:M, MATCH(Caseslist!B1414, data!D:D, 0)), 0) = 0
    ),
    "COMPLETE",
    IF(
      IFNA(INDEX(dataICM!D:D, MATCH(Caseslist!B1414, dataICM!D:D, 0)), "INC") = "INC",
      IFNA(INDEX(dataICM!D:D, MATCH(Caseslist!B1414, dataICM!D:D, 0)), "INC"),
      "COMPLETE"
    )
  )</f>
        <v>COMPLETE</v>
      </c>
      <c r="G1414" s="10" t="str">
        <f t="array" ref="G1414">IF(IFERROR(INDEX(data!L:L,match(Caseslist!B1414,data!D:D,0)),"INC")="","COMPLETE",F1414)</f>
        <v>COMPLETE</v>
      </c>
      <c r="H1414" s="9" t="str">
        <f t="array" ref="H1414">IFERROR(INDEX(dataICM!F:F,match(Caseslist!B1414,dataICM!D:D,0)), "INC")</f>
        <v>Adrian Montecastro Ferrer</v>
      </c>
      <c r="I1414" s="10" t="str">
        <f t="shared" si="2"/>
        <v>O3925718</v>
      </c>
      <c r="J1414" s="9" t="str">
        <f t="array" ref="J1414">IF(
  AND(
    IFERROR(MATCH(B1414, data!D:D, 0), 0) &gt; 0,
    IFERROR(INDEX(data!N:N, MATCH(B1414, data!D:D, 0)) = 1, FALSE)
  ),
  INDEX(data!C:C, MATCH(B1414, data!D:D, 0)),
  "INC"
)</f>
        <v>2025-08-28T10:10:38.723+08</v>
      </c>
      <c r="K1414" s="9" t="str">
        <f t="array" ref="K1414">IFERROR(INDEX(dataICM!C:C,match(Caseslist!B1414,dataICM!D:D,0)), "INC")</f>
        <v>2025-08-28T21:17:16.418+08</v>
      </c>
      <c r="L1414" s="10" t="str">
        <f t="array" ref="L1414">IF(AND(G1414="COMPLETE", OR(K1414="INC", ISBLANK(INDEX(data!O:O, ROW())))), J1414, K1414)</f>
        <v>2025-08-28T21:17:16.418+08</v>
      </c>
      <c r="M1414" s="2">
        <v>45897.0</v>
      </c>
      <c r="N1414" s="2">
        <f t="array" ref="N1414">IF(M1414&lt;&gt;"INC", INDEX(data!M:M, MATCH(B1414, data!D:D, 0)), "")</f>
        <v>2</v>
      </c>
      <c r="O1414" s="2">
        <f t="shared" si="3"/>
        <v>2</v>
      </c>
    </row>
    <row r="1415">
      <c r="A1415" s="2" t="str">
        <f t="shared" si="1"/>
        <v>H030415</v>
      </c>
      <c r="B1415" s="1" t="s">
        <v>1247</v>
      </c>
      <c r="C1415" s="9" t="str">
        <f t="array" ref="C1415">IF(
  AND(
    IFERROR(MATCH(Caseslist!B1415, data!D:D, 0), 0) &gt; 0,
    IFERROR(INDEX(data!N:N, MATCH(Caseslist!B1415, data!D:D, 0)) = 1, FALSE)
  ),
  "COMPLETE",
  "INC"
)</f>
        <v>COMPLETE</v>
      </c>
      <c r="D1415" s="9" t="str">
        <f t="array" ref="D1415">IFERROR(INDEX(data!$G:$G,match(Caseslist!B1415,data!$D:$D,0)), "INC")</f>
        <v>P1068432</v>
      </c>
      <c r="E1415" s="9" t="str">
        <f t="array" ref="E1415">IFERROR(INDEX(data!H:H,match(Caseslist!B1415,data!D:D,0)), "INC")</f>
        <v>Mark Daniel Balagao Benson</v>
      </c>
      <c r="F1415" s="10" t="str">
        <f t="array" ref="F1415">IF(
    OR(
      IFNA(INDEX(data!M:M, MATCH(Caseslist!B1415, data!D:D, 0)), "") = "",
      IFNA(INDEX(data!M:M, MATCH(Caseslist!B1415, data!D:D, 0)), 0) = 0
    ),
    "COMPLETE",
    IF(
      IFNA(INDEX(dataICM!D:D, MATCH(Caseslist!B1415, dataICM!D:D, 0)), "INC") = "INC",
      IFNA(INDEX(dataICM!D:D, MATCH(Caseslist!B1415, dataICM!D:D, 0)), "INC"),
      "COMPLETE"
    )
  )</f>
        <v>COMPLETE</v>
      </c>
      <c r="G1415" s="10" t="str">
        <f t="array" ref="G1415">IF(IFERROR(INDEX(data!L:L,match(Caseslist!B1415,data!D:D,0)),"INC")="","COMPLETE",F1415)</f>
        <v>COMPLETE</v>
      </c>
      <c r="H1415" s="9" t="str">
        <f t="array" ref="H1415">IFERROR(INDEX(dataICM!F:F,match(Caseslist!B1415,dataICM!D:D,0)), "INC")</f>
        <v>Mark Daniel Balagao Benson</v>
      </c>
      <c r="I1415" s="10" t="str">
        <f t="shared" si="2"/>
        <v>P1068432</v>
      </c>
      <c r="J1415" s="9" t="str">
        <f t="array" ref="J1415">IF(
  AND(
    IFERROR(MATCH(B1415, data!D:D, 0), 0) &gt; 0,
    IFERROR(INDEX(data!N:N, MATCH(B1415, data!D:D, 0)) = 1, FALSE)
  ),
  INDEX(data!C:C, MATCH(B1415, data!D:D, 0)),
  "INC"
)</f>
        <v>2025-08-28T12:00:08.631+08</v>
      </c>
      <c r="K1415" s="9" t="str">
        <f t="array" ref="K1415">IFERROR(INDEX(dataICM!C:C,match(Caseslist!B1415,dataICM!D:D,0)), "INC")</f>
        <v>2025-08-28T12:10:50.195+08</v>
      </c>
      <c r="L1415" s="10" t="str">
        <f t="array" ref="L1415">IF(AND(G1415="COMPLETE", OR(K1415="INC", ISBLANK(INDEX(data!O:O, ROW())))), J1415, K1415)</f>
        <v>2025-08-28T12:10:50.195+08</v>
      </c>
      <c r="M1415" s="2">
        <v>45897.0</v>
      </c>
      <c r="N1415" s="2">
        <f t="array" ref="N1415">IF(M1415&lt;&gt;"INC", INDEX(data!M:M, MATCH(B1415, data!D:D, 0)), "")</f>
        <v>2</v>
      </c>
      <c r="O1415" s="2">
        <f t="shared" si="3"/>
        <v>2</v>
      </c>
    </row>
    <row r="1416">
      <c r="A1416" s="2" t="str">
        <f t="shared" si="1"/>
        <v>H030415</v>
      </c>
      <c r="B1416" s="1" t="s">
        <v>1242</v>
      </c>
      <c r="C1416" s="9" t="str">
        <f t="array" ref="C1416">IF(
  AND(
    IFERROR(MATCH(Caseslist!B1416, data!D:D, 0), 0) &gt; 0,
    IFERROR(INDEX(data!N:N, MATCH(Caseslist!B1416, data!D:D, 0)) = 1, FALSE)
  ),
  "COMPLETE",
  "INC"
)</f>
        <v>COMPLETE</v>
      </c>
      <c r="D1416" s="9" t="str">
        <f t="array" ref="D1416">IFERROR(INDEX(data!$G:$G,match(Caseslist!B1416,data!$D:$D,0)), "INC")</f>
        <v>P1068432</v>
      </c>
      <c r="E1416" s="9" t="str">
        <f t="array" ref="E1416">IFERROR(INDEX(data!H:H,match(Caseslist!B1416,data!D:D,0)), "INC")</f>
        <v>Mark Daniel Balagao Benson</v>
      </c>
      <c r="F1416" s="10" t="str">
        <f t="array" ref="F1416">IF(
    OR(
      IFNA(INDEX(data!M:M, MATCH(Caseslist!B1416, data!D:D, 0)), "") = "",
      IFNA(INDEX(data!M:M, MATCH(Caseslist!B1416, data!D:D, 0)), 0) = 0
    ),
    "COMPLETE",
    IF(
      IFNA(INDEX(dataICM!D:D, MATCH(Caseslist!B1416, dataICM!D:D, 0)), "INC") = "INC",
      IFNA(INDEX(dataICM!D:D, MATCH(Caseslist!B1416, dataICM!D:D, 0)), "INC"),
      "COMPLETE"
    )
  )</f>
        <v>COMPLETE</v>
      </c>
      <c r="G1416" s="10" t="str">
        <f t="array" ref="G1416">IF(IFERROR(INDEX(data!L:L,match(Caseslist!B1416,data!D:D,0)),"INC")="","COMPLETE",F1416)</f>
        <v>COMPLETE</v>
      </c>
      <c r="H1416" s="9" t="str">
        <f t="array" ref="H1416">IFERROR(INDEX(dataICM!F:F,match(Caseslist!B1416,dataICM!D:D,0)), "INC")</f>
        <v>Mark Daniel Balagao Benson</v>
      </c>
      <c r="I1416" s="10" t="str">
        <f t="shared" si="2"/>
        <v>P1068432</v>
      </c>
      <c r="J1416" s="9" t="str">
        <f t="array" ref="J1416">IF(
  AND(
    IFERROR(MATCH(B1416, data!D:D, 0), 0) &gt; 0,
    IFERROR(INDEX(data!N:N, MATCH(B1416, data!D:D, 0)) = 1, FALSE)
  ),
  INDEX(data!C:C, MATCH(B1416, data!D:D, 0)),
  "INC"
)</f>
        <v>2025-08-28T10:12:47.922+08</v>
      </c>
      <c r="K1416" s="9" t="str">
        <f t="array" ref="K1416">IFERROR(INDEX(dataICM!C:C,match(Caseslist!B1416,dataICM!D:D,0)), "INC")</f>
        <v>2025-08-28T10:20:55.406+08</v>
      </c>
      <c r="L1416" s="10" t="str">
        <f t="array" ref="L1416">IF(AND(G1416="COMPLETE", OR(K1416="INC", ISBLANK(INDEX(data!O:O, ROW())))), J1416, K1416)</f>
        <v>2025-08-28T10:20:55.406+08</v>
      </c>
      <c r="M1416" s="2">
        <v>45897.0</v>
      </c>
      <c r="N1416" s="2">
        <f t="array" ref="N1416">IF(M1416&lt;&gt;"INC", INDEX(data!M:M, MATCH(B1416, data!D:D, 0)), "")</f>
        <v>2</v>
      </c>
      <c r="O1416" s="2">
        <f t="shared" si="3"/>
        <v>2</v>
      </c>
    </row>
    <row r="1417">
      <c r="A1417" s="2" t="str">
        <f t="shared" si="1"/>
        <v>H030415</v>
      </c>
      <c r="B1417" s="1" t="s">
        <v>1362</v>
      </c>
      <c r="C1417" s="9" t="str">
        <f t="array" ref="C1417">IF(
  AND(
    IFERROR(MATCH(Caseslist!B1417, data!D:D, 0), 0) &gt; 0,
    IFERROR(INDEX(data!N:N, MATCH(Caseslist!B1417, data!D:D, 0)) = 1, FALSE)
  ),
  "COMPLETE",
  "INC"
)</f>
        <v>COMPLETE</v>
      </c>
      <c r="D1417" s="9" t="str">
        <f t="array" ref="D1417">IFERROR(INDEX(data!$G:$G,match(Caseslist!B1417,data!$D:$D,0)), "INC")</f>
        <v>N7814260</v>
      </c>
      <c r="E1417" s="9" t="str">
        <f t="array" ref="E1417">IFERROR(INDEX(data!H:H,match(Caseslist!B1417,data!D:D,0)), "INC")</f>
        <v>Jemma Marie Tillo</v>
      </c>
      <c r="F1417" s="10" t="str">
        <f t="array" ref="F1417">IF(
    OR(
      IFNA(INDEX(data!M:M, MATCH(Caseslist!B1417, data!D:D, 0)), "") = "",
      IFNA(INDEX(data!M:M, MATCH(Caseslist!B1417, data!D:D, 0)), 0) = 0
    ),
    "COMPLETE",
    IF(
      IFNA(INDEX(dataICM!D:D, MATCH(Caseslist!B1417, dataICM!D:D, 0)), "INC") = "INC",
      IFNA(INDEX(dataICM!D:D, MATCH(Caseslist!B1417, dataICM!D:D, 0)), "INC"),
      "COMPLETE"
    )
  )</f>
        <v>COMPLETE</v>
      </c>
      <c r="G1417" s="10" t="str">
        <f t="array" ref="G1417">IF(IFERROR(INDEX(data!L:L,match(Caseslist!B1417,data!D:D,0)),"INC")="","COMPLETE",F1417)</f>
        <v>COMPLETE</v>
      </c>
      <c r="H1417" s="9" t="str">
        <f t="array" ref="H1417">IFERROR(INDEX(dataICM!F:F,match(Caseslist!B1417,dataICM!D:D,0)), "INC")</f>
        <v>Jemma Marie Tillo</v>
      </c>
      <c r="I1417" s="10" t="str">
        <f t="shared" si="2"/>
        <v>N7814260</v>
      </c>
      <c r="J1417" s="9" t="str">
        <f t="array" ref="J1417">IF(
  AND(
    IFERROR(MATCH(B1417, data!D:D, 0), 0) &gt; 0,
    IFERROR(INDEX(data!N:N, MATCH(B1417, data!D:D, 0)) = 1, FALSE)
  ),
  INDEX(data!C:C, MATCH(B1417, data!D:D, 0)),
  "INC"
)</f>
        <v>2025-09-29T12:54:20.137+08</v>
      </c>
      <c r="K1417" s="9" t="str">
        <f t="array" ref="K1417">IFERROR(INDEX(dataICM!C:C,match(Caseslist!B1417,dataICM!D:D,0)), "INC")</f>
        <v>2025-09-29T13:06:52.545+08</v>
      </c>
      <c r="L1417" s="10" t="str">
        <f t="array" ref="L1417">IF(AND(G1417="COMPLETE", OR(K1417="INC", ISBLANK(INDEX(data!O:O, ROW())))), J1417, K1417)</f>
        <v>2025-09-29T13:06:52.545+08</v>
      </c>
      <c r="M1417" s="2">
        <v>45929.0</v>
      </c>
      <c r="N1417" s="2">
        <f t="array" ref="N1417">IF(M1417&lt;&gt;"INC", INDEX(data!M:M, MATCH(B1417, data!D:D, 0)), "")</f>
        <v>2</v>
      </c>
      <c r="O1417" s="2">
        <f t="shared" si="3"/>
        <v>2</v>
      </c>
    </row>
    <row r="1418">
      <c r="A1418" s="2" t="str">
        <f t="shared" si="1"/>
        <v>H030415</v>
      </c>
      <c r="B1418" s="1" t="s">
        <v>1252</v>
      </c>
      <c r="C1418" s="9" t="str">
        <f t="array" ref="C1418">IF(
  AND(
    IFERROR(MATCH(Caseslist!B1418, data!D:D, 0), 0) &gt; 0,
    IFERROR(INDEX(data!N:N, MATCH(Caseslist!B1418, data!D:D, 0)) = 1, FALSE)
  ),
  "COMPLETE",
  "INC"
)</f>
        <v>COMPLETE</v>
      </c>
      <c r="D1418" s="9" t="str">
        <f t="array" ref="D1418">IFERROR(INDEX(data!$G:$G,match(Caseslist!B1418,data!$D:$D,0)), "INC")</f>
        <v>P1068432</v>
      </c>
      <c r="E1418" s="9" t="str">
        <f t="array" ref="E1418">IFERROR(INDEX(data!H:H,match(Caseslist!B1418,data!D:D,0)), "INC")</f>
        <v>Mark Daniel Balagao Benson</v>
      </c>
      <c r="F1418" s="10" t="str">
        <f t="array" ref="F1418">IF(
    OR(
      IFNA(INDEX(data!M:M, MATCH(Caseslist!B1418, data!D:D, 0)), "") = "",
      IFNA(INDEX(data!M:M, MATCH(Caseslist!B1418, data!D:D, 0)), 0) = 0
    ),
    "COMPLETE",
    IF(
      IFNA(INDEX(dataICM!D:D, MATCH(Caseslist!B1418, dataICM!D:D, 0)), "INC") = "INC",
      IFNA(INDEX(dataICM!D:D, MATCH(Caseslist!B1418, dataICM!D:D, 0)), "INC"),
      "COMPLETE"
    )
  )</f>
        <v>COMPLETE</v>
      </c>
      <c r="G1418" s="10" t="str">
        <f t="array" ref="G1418">IF(IFERROR(INDEX(data!L:L,match(Caseslist!B1418,data!D:D,0)),"INC")="","COMPLETE",F1418)</f>
        <v>COMPLETE</v>
      </c>
      <c r="H1418" s="9" t="str">
        <f t="array" ref="H1418">IFERROR(INDEX(dataICM!F:F,match(Caseslist!B1418,dataICM!D:D,0)), "INC")</f>
        <v>Mark Daniel Balagao Benson</v>
      </c>
      <c r="I1418" s="10" t="str">
        <f t="shared" si="2"/>
        <v>P1068432</v>
      </c>
      <c r="J1418" s="9" t="str">
        <f t="array" ref="J1418">IF(
  AND(
    IFERROR(MATCH(B1418, data!D:D, 0), 0) &gt; 0,
    IFERROR(INDEX(data!N:N, MATCH(B1418, data!D:D, 0)) = 1, FALSE)
  ),
  INDEX(data!C:C, MATCH(B1418, data!D:D, 0)),
  "INC"
)</f>
        <v>2025-08-28T14:12:27.416+08</v>
      </c>
      <c r="K1418" s="9" t="str">
        <f t="array" ref="K1418">IFERROR(INDEX(dataICM!C:C,match(Caseslist!B1418,dataICM!D:D,0)), "INC")</f>
        <v>2025-08-28T14:22:53.953+08</v>
      </c>
      <c r="L1418" s="10" t="str">
        <f t="array" ref="L1418">IF(AND(G1418="COMPLETE", OR(K1418="INC", ISBLANK(INDEX(data!O:O, ROW())))), J1418, K1418)</f>
        <v>2025-08-28T14:22:53.953+08</v>
      </c>
      <c r="M1418" s="2">
        <v>45897.0</v>
      </c>
      <c r="N1418" s="2">
        <f t="array" ref="N1418">IF(M1418&lt;&gt;"INC", INDEX(data!M:M, MATCH(B1418, data!D:D, 0)), "")</f>
        <v>2</v>
      </c>
      <c r="O1418" s="2">
        <f t="shared" si="3"/>
        <v>2</v>
      </c>
    </row>
    <row r="1419">
      <c r="A1419" s="2" t="str">
        <f t="shared" si="1"/>
        <v>H030415</v>
      </c>
      <c r="B1419" s="1" t="s">
        <v>1061</v>
      </c>
      <c r="C1419" s="9" t="str">
        <f t="array" ref="C1419">IF(
  AND(
    IFERROR(MATCH(Caseslist!B1419, data!D:D, 0), 0) &gt; 0,
    IFERROR(INDEX(data!N:N, MATCH(Caseslist!B1419, data!D:D, 0)) = 1, FALSE)
  ),
  "COMPLETE",
  "INC"
)</f>
        <v>COMPLETE</v>
      </c>
      <c r="D1419" s="9" t="str">
        <f t="array" ref="D1419">IFERROR(INDEX(data!$G:$G,match(Caseslist!B1419,data!$D:$D,0)), "INC")</f>
        <v>N7814260</v>
      </c>
      <c r="E1419" s="9" t="str">
        <f t="array" ref="E1419">IFERROR(INDEX(data!H:H,match(Caseslist!B1419,data!D:D,0)), "INC")</f>
        <v>Jemma Marie Tillo</v>
      </c>
      <c r="F1419" s="10" t="str">
        <f t="array" ref="F1419">IF(
    OR(
      IFNA(INDEX(data!M:M, MATCH(Caseslist!B1419, data!D:D, 0)), "") = "",
      IFNA(INDEX(data!M:M, MATCH(Caseslist!B1419, data!D:D, 0)), 0) = 0
    ),
    "COMPLETE",
    IF(
      IFNA(INDEX(dataICM!D:D, MATCH(Caseslist!B1419, dataICM!D:D, 0)), "INC") = "INC",
      IFNA(INDEX(dataICM!D:D, MATCH(Caseslist!B1419, dataICM!D:D, 0)), "INC"),
      "COMPLETE"
    )
  )</f>
        <v>COMPLETE</v>
      </c>
      <c r="G1419" s="10" t="str">
        <f t="array" ref="G1419">IF(IFERROR(INDEX(data!L:L,match(Caseslist!B1419,data!D:D,0)),"INC")="","COMPLETE",F1419)</f>
        <v>COMPLETE</v>
      </c>
      <c r="H1419" s="9" t="str">
        <f t="array" ref="H1419">IFERROR(INDEX(dataICM!F:F,match(Caseslist!B1419,dataICM!D:D,0)), "INC")</f>
        <v>Jemma Marie Tillo</v>
      </c>
      <c r="I1419" s="10" t="str">
        <f t="shared" si="2"/>
        <v>N7814260</v>
      </c>
      <c r="J1419" s="9" t="str">
        <f t="array" ref="J1419">IF(
  AND(
    IFERROR(MATCH(B1419, data!D:D, 0), 0) &gt; 0,
    IFERROR(INDEX(data!N:N, MATCH(B1419, data!D:D, 0)) = 1, FALSE)
  ),
  INDEX(data!C:C, MATCH(B1419, data!D:D, 0)),
  "INC"
)</f>
        <v>2025-08-28T10:00:41.030+08</v>
      </c>
      <c r="K1419" s="9" t="str">
        <f t="array" ref="K1419">IFERROR(INDEX(dataICM!C:C,match(Caseslist!B1419,dataICM!D:D,0)), "INC")</f>
        <v>2025-09-29T13:46:15.083+08</v>
      </c>
      <c r="L1419" s="10" t="str">
        <f t="array" ref="L1419">IF(AND(G1419="COMPLETE", OR(K1419="INC", ISBLANK(INDEX(data!O:O, ROW())))), J1419, K1419)</f>
        <v>2025-09-29T13:46:15.083+08</v>
      </c>
      <c r="M1419" s="2">
        <v>45929.0</v>
      </c>
      <c r="N1419" s="2">
        <f t="array" ref="N1419">IF(M1419&lt;&gt;"INC", INDEX(data!M:M, MATCH(B1419, data!D:D, 0)), "")</f>
        <v>2</v>
      </c>
      <c r="O1419" s="2">
        <f t="shared" si="3"/>
        <v>2</v>
      </c>
    </row>
    <row r="1420">
      <c r="A1420" s="2" t="str">
        <f t="shared" si="1"/>
        <v>H030433</v>
      </c>
      <c r="B1420" s="1" t="s">
        <v>2264</v>
      </c>
      <c r="C1420" s="9" t="str">
        <f t="array" ref="C1420">IF(
  AND(
    IFERROR(MATCH(Caseslist!B1420, data!D:D, 0), 0) &gt; 0,
    IFERROR(INDEX(data!N:N, MATCH(Caseslist!B1420, data!D:D, 0)) = 1, FALSE)
  ),
  "COMPLETE",
  "INC"
)</f>
        <v>COMPLETE</v>
      </c>
      <c r="D1420" s="9" t="str">
        <f t="array" ref="D1420">IFERROR(INDEX(data!$G:$G,match(Caseslist!B1420,data!$D:$D,0)), "INC")</f>
        <v>N7814260</v>
      </c>
      <c r="E1420" s="9" t="str">
        <f t="array" ref="E1420">IFERROR(INDEX(data!H:H,match(Caseslist!B1420,data!D:D,0)), "INC")</f>
        <v>Jemma Marie Tillo</v>
      </c>
      <c r="F1420" s="10" t="str">
        <f t="array" ref="F1420">IF(
    OR(
      IFNA(INDEX(data!M:M, MATCH(Caseslist!B1420, data!D:D, 0)), "") = "",
      IFNA(INDEX(data!M:M, MATCH(Caseslist!B1420, data!D:D, 0)), 0) = 0
    ),
    "COMPLETE",
    IF(
      IFNA(INDEX(dataICM!D:D, MATCH(Caseslist!B1420, dataICM!D:D, 0)), "INC") = "INC",
      IFNA(INDEX(dataICM!D:D, MATCH(Caseslist!B1420, dataICM!D:D, 0)), "INC"),
      "COMPLETE"
    )
  )</f>
        <v>COMPLETE</v>
      </c>
      <c r="G1420" s="10" t="str">
        <f t="array" ref="G1420">IF(IFERROR(INDEX(data!L:L,match(Caseslist!B1420,data!D:D,0)),"INC")="","COMPLETE",F1420)</f>
        <v>COMPLETE</v>
      </c>
      <c r="H1420" s="9" t="str">
        <f t="array" ref="H1420">IFERROR(INDEX(dataICM!F:F,match(Caseslist!B1420,dataICM!D:D,0)), "INC")</f>
        <v>INC</v>
      </c>
      <c r="I1420" s="10" t="str">
        <f t="shared" si="2"/>
        <v>N7814260</v>
      </c>
      <c r="J1420" s="9" t="str">
        <f t="array" ref="J1420">IF(
  AND(
    IFERROR(MATCH(B1420, data!D:D, 0), 0) &gt; 0,
    IFERROR(INDEX(data!N:N, MATCH(B1420, data!D:D, 0)) = 1, FALSE)
  ),
  INDEX(data!C:C, MATCH(B1420, data!D:D, 0)),
  "INC"
)</f>
        <v>2025-09-01T15:52:11.584+08</v>
      </c>
      <c r="K1420" s="9" t="str">
        <f t="array" ref="K1420">IFERROR(INDEX(dataICM!C:C,match(Caseslist!B1420,dataICM!D:D,0)), "INC")</f>
        <v>INC</v>
      </c>
      <c r="L1420" s="10" t="str">
        <f t="array" ref="L1420">IF(AND(G1420="COMPLETE", OR(K1420="INC", ISBLANK(INDEX(data!O:O, ROW())))), J1420, K1420)</f>
        <v>2025-09-01T15:52:11.584+08</v>
      </c>
      <c r="M1420" s="2">
        <v>45901.0</v>
      </c>
      <c r="N1420" s="2">
        <f t="array" ref="N1420">IF(M1420&lt;&gt;"INC", INDEX(data!M:M, MATCH(B1420, data!D:D, 0)), "")</f>
        <v>0</v>
      </c>
      <c r="O1420" s="2">
        <f t="shared" si="3"/>
        <v>0</v>
      </c>
    </row>
    <row r="1421">
      <c r="A1421" s="2" t="str">
        <f t="shared" si="1"/>
        <v>H030433</v>
      </c>
      <c r="B1421" s="1" t="s">
        <v>2244</v>
      </c>
      <c r="C1421" s="9" t="str">
        <f t="array" ref="C1421">IF(
  AND(
    IFERROR(MATCH(Caseslist!B1421, data!D:D, 0), 0) &gt; 0,
    IFERROR(INDEX(data!N:N, MATCH(Caseslist!B1421, data!D:D, 0)) = 1, FALSE)
  ),
  "COMPLETE",
  "INC"
)</f>
        <v>COMPLETE</v>
      </c>
      <c r="D1421" s="9" t="str">
        <f t="array" ref="D1421">IFERROR(INDEX(data!$G:$G,match(Caseslist!B1421,data!$D:$D,0)), "INC")</f>
        <v>N7814260</v>
      </c>
      <c r="E1421" s="9" t="str">
        <f t="array" ref="E1421">IFERROR(INDEX(data!H:H,match(Caseslist!B1421,data!D:D,0)), "INC")</f>
        <v>Jemma Marie Tillo</v>
      </c>
      <c r="F1421" s="10" t="str">
        <f t="array" ref="F1421">IF(
    OR(
      IFNA(INDEX(data!M:M, MATCH(Caseslist!B1421, data!D:D, 0)), "") = "",
      IFNA(INDEX(data!M:M, MATCH(Caseslist!B1421, data!D:D, 0)), 0) = 0
    ),
    "COMPLETE",
    IF(
      IFNA(INDEX(dataICM!D:D, MATCH(Caseslist!B1421, dataICM!D:D, 0)), "INC") = "INC",
      IFNA(INDEX(dataICM!D:D, MATCH(Caseslist!B1421, dataICM!D:D, 0)), "INC"),
      "COMPLETE"
    )
  )</f>
        <v>COMPLETE</v>
      </c>
      <c r="G1421" s="10" t="str">
        <f t="array" ref="G1421">IF(IFERROR(INDEX(data!L:L,match(Caseslist!B1421,data!D:D,0)),"INC")="","COMPLETE",F1421)</f>
        <v>COMPLETE</v>
      </c>
      <c r="H1421" s="9" t="str">
        <f t="array" ref="H1421">IFERROR(INDEX(dataICM!F:F,match(Caseslist!B1421,dataICM!D:D,0)), "INC")</f>
        <v>INC</v>
      </c>
      <c r="I1421" s="10" t="str">
        <f t="shared" si="2"/>
        <v>N7814260</v>
      </c>
      <c r="J1421" s="9" t="str">
        <f t="array" ref="J1421">IF(
  AND(
    IFERROR(MATCH(B1421, data!D:D, 0), 0) &gt; 0,
    IFERROR(INDEX(data!N:N, MATCH(B1421, data!D:D, 0)) = 1, FALSE)
  ),
  INDEX(data!C:C, MATCH(B1421, data!D:D, 0)),
  "INC"
)</f>
        <v>2025-10-01T12:48:10.179+08</v>
      </c>
      <c r="K1421" s="9" t="str">
        <f t="array" ref="K1421">IFERROR(INDEX(dataICM!C:C,match(Caseslist!B1421,dataICM!D:D,0)), "INC")</f>
        <v>INC</v>
      </c>
      <c r="L1421" s="10" t="str">
        <f t="array" ref="L1421">IF(AND(G1421="COMPLETE", OR(K1421="INC", ISBLANK(INDEX(data!O:O, ROW())))), J1421, K1421)</f>
        <v>2025-10-01T12:48:10.179+08</v>
      </c>
      <c r="M1421" s="2">
        <v>45931.0</v>
      </c>
      <c r="N1421" s="2">
        <f t="array" ref="N1421">IF(M1421&lt;&gt;"INC", INDEX(data!M:M, MATCH(B1421, data!D:D, 0)), "")</f>
        <v>0</v>
      </c>
      <c r="O1421" s="2">
        <f t="shared" si="3"/>
        <v>0</v>
      </c>
    </row>
    <row r="1422">
      <c r="A1422" s="2" t="str">
        <f t="shared" si="1"/>
        <v>H030433</v>
      </c>
      <c r="B1422" s="1" t="s">
        <v>8798</v>
      </c>
      <c r="C1422" s="9" t="str">
        <f t="array" ref="C1422">IF(
  AND(
    IFERROR(MATCH(Caseslist!B1422, data!D:D, 0), 0) &gt; 0,
    IFERROR(INDEX(data!N:N, MATCH(Caseslist!B1422, data!D:D, 0)) = 1, FALSE)
  ),
  "COMPLETE",
  "INC"
)</f>
        <v>COMPLETE</v>
      </c>
      <c r="D1422" s="9" t="str">
        <f t="array" ref="D1422">IFERROR(INDEX(data!$G:$G,match(Caseslist!B1422,data!$D:$D,0)), "INC")</f>
        <v>N7814260</v>
      </c>
      <c r="E1422" s="9" t="str">
        <f t="array" ref="E1422">IFERROR(INDEX(data!H:H,match(Caseslist!B1422,data!D:D,0)), "INC")</f>
        <v>Jemma Marie Tillo</v>
      </c>
      <c r="F1422" s="10" t="str">
        <f t="array" ref="F1422">IF(
    OR(
      IFNA(INDEX(data!M:M, MATCH(Caseslist!B1422, data!D:D, 0)), "") = "",
      IFNA(INDEX(data!M:M, MATCH(Caseslist!B1422, data!D:D, 0)), 0) = 0
    ),
    "COMPLETE",
    IF(
      IFNA(INDEX(dataICM!D:D, MATCH(Caseslist!B1422, dataICM!D:D, 0)), "INC") = "INC",
      IFNA(INDEX(dataICM!D:D, MATCH(Caseslist!B1422, dataICM!D:D, 0)), "INC"),
      "COMPLETE"
    )
  )</f>
        <v>COMPLETE</v>
      </c>
      <c r="G1422" s="10" t="str">
        <f t="array" ref="G1422">IF(IFERROR(INDEX(data!L:L,match(Caseslist!B1422,data!D:D,0)),"INC")="","COMPLETE",F1422)</f>
        <v>COMPLETE</v>
      </c>
      <c r="H1422" s="9" t="str">
        <f t="array" ref="H1422">IFERROR(INDEX(dataICM!F:F,match(Caseslist!B1422,dataICM!D:D,0)), "INC")</f>
        <v>INC</v>
      </c>
      <c r="I1422" s="10" t="str">
        <f t="shared" si="2"/>
        <v>N7814260</v>
      </c>
      <c r="J1422" s="9" t="str">
        <f t="array" ref="J1422">IF(
  AND(
    IFERROR(MATCH(B1422, data!D:D, 0), 0) &gt; 0,
    IFERROR(INDEX(data!N:N, MATCH(B1422, data!D:D, 0)) = 1, FALSE)
  ),
  INDEX(data!C:C, MATCH(B1422, data!D:D, 0)),
  "INC"
)</f>
        <v>2025-10-05T12:16:46.785+08</v>
      </c>
      <c r="K1422" s="9" t="str">
        <f t="array" ref="K1422">IFERROR(INDEX(dataICM!C:C,match(Caseslist!B1422,dataICM!D:D,0)), "INC")</f>
        <v>INC</v>
      </c>
      <c r="L1422" s="10" t="str">
        <f t="array" ref="L1422">IF(AND(G1422="COMPLETE", OR(K1422="INC", ISBLANK(INDEX(data!O:O, ROW())))), J1422, K1422)</f>
        <v>2025-10-05T12:16:46.785+08</v>
      </c>
      <c r="M1422" s="2">
        <v>45935.0</v>
      </c>
      <c r="N1422" s="2">
        <f t="array" ref="N1422">IF(M1422&lt;&gt;"INC", INDEX(data!M:M, MATCH(B1422, data!D:D, 0)), "")</f>
        <v>0</v>
      </c>
      <c r="O1422" s="2">
        <f t="shared" si="3"/>
        <v>0</v>
      </c>
    </row>
    <row r="1423">
      <c r="A1423" s="2" t="str">
        <f t="shared" si="1"/>
        <v>H030433</v>
      </c>
      <c r="B1423" s="1" t="s">
        <v>2254</v>
      </c>
      <c r="C1423" s="9" t="str">
        <f t="array" ref="C1423">IF(
  AND(
    IFERROR(MATCH(Caseslist!B1423, data!D:D, 0), 0) &gt; 0,
    IFERROR(INDEX(data!N:N, MATCH(Caseslist!B1423, data!D:D, 0)) = 1, FALSE)
  ),
  "COMPLETE",
  "INC"
)</f>
        <v>COMPLETE</v>
      </c>
      <c r="D1423" s="9" t="str">
        <f t="array" ref="D1423">IFERROR(INDEX(data!$G:$G,match(Caseslist!B1423,data!$D:$D,0)), "INC")</f>
        <v>N7814260</v>
      </c>
      <c r="E1423" s="9" t="str">
        <f t="array" ref="E1423">IFERROR(INDEX(data!H:H,match(Caseslist!B1423,data!D:D,0)), "INC")</f>
        <v>Jemma Marie Tillo</v>
      </c>
      <c r="F1423" s="10" t="str">
        <f t="array" ref="F1423">IF(
    OR(
      IFNA(INDEX(data!M:M, MATCH(Caseslist!B1423, data!D:D, 0)), "") = "",
      IFNA(INDEX(data!M:M, MATCH(Caseslist!B1423, data!D:D, 0)), 0) = 0
    ),
    "COMPLETE",
    IF(
      IFNA(INDEX(dataICM!D:D, MATCH(Caseslist!B1423, dataICM!D:D, 0)), "INC") = "INC",
      IFNA(INDEX(dataICM!D:D, MATCH(Caseslist!B1423, dataICM!D:D, 0)), "INC"),
      "COMPLETE"
    )
  )</f>
        <v>COMPLETE</v>
      </c>
      <c r="G1423" s="10" t="str">
        <f t="array" ref="G1423">IF(IFERROR(INDEX(data!L:L,match(Caseslist!B1423,data!D:D,0)),"INC")="","COMPLETE",F1423)</f>
        <v>COMPLETE</v>
      </c>
      <c r="H1423" s="9" t="str">
        <f t="array" ref="H1423">IFERROR(INDEX(dataICM!F:F,match(Caseslist!B1423,dataICM!D:D,0)), "INC")</f>
        <v>INC</v>
      </c>
      <c r="I1423" s="10" t="str">
        <f t="shared" si="2"/>
        <v>N7814260</v>
      </c>
      <c r="J1423" s="9" t="str">
        <f t="array" ref="J1423">IF(
  AND(
    IFERROR(MATCH(B1423, data!D:D, 0), 0) &gt; 0,
    IFERROR(INDEX(data!N:N, MATCH(B1423, data!D:D, 0)) = 1, FALSE)
  ),
  INDEX(data!C:C, MATCH(B1423, data!D:D, 0)),
  "INC"
)</f>
        <v>2025-09-01T12:02:11.171+08</v>
      </c>
      <c r="K1423" s="9" t="str">
        <f t="array" ref="K1423">IFERROR(INDEX(dataICM!C:C,match(Caseslist!B1423,dataICM!D:D,0)), "INC")</f>
        <v>INC</v>
      </c>
      <c r="L1423" s="10" t="str">
        <f t="array" ref="L1423">IF(AND(G1423="COMPLETE", OR(K1423="INC", ISBLANK(INDEX(data!O:O, ROW())))), J1423, K1423)</f>
        <v>2025-09-01T12:02:11.171+08</v>
      </c>
      <c r="M1423" s="2">
        <v>45901.0</v>
      </c>
      <c r="N1423" s="2">
        <f t="array" ref="N1423">IF(M1423&lt;&gt;"INC", INDEX(data!M:M, MATCH(B1423, data!D:D, 0)), "")</f>
        <v>0</v>
      </c>
      <c r="O1423" s="2">
        <f t="shared" si="3"/>
        <v>0</v>
      </c>
    </row>
    <row r="1424">
      <c r="A1424" s="2" t="str">
        <f t="shared" si="1"/>
        <v>H030433</v>
      </c>
      <c r="B1424" s="1" t="s">
        <v>2259</v>
      </c>
      <c r="C1424" s="9" t="str">
        <f t="array" ref="C1424">IF(
  AND(
    IFERROR(MATCH(Caseslist!B1424, data!D:D, 0), 0) &gt; 0,
    IFERROR(INDEX(data!N:N, MATCH(Caseslist!B1424, data!D:D, 0)) = 1, FALSE)
  ),
  "COMPLETE",
  "INC"
)</f>
        <v>COMPLETE</v>
      </c>
      <c r="D1424" s="9" t="str">
        <f t="array" ref="D1424">IFERROR(INDEX(data!$G:$G,match(Caseslist!B1424,data!$D:$D,0)), "INC")</f>
        <v>N7814260</v>
      </c>
      <c r="E1424" s="9" t="str">
        <f t="array" ref="E1424">IFERROR(INDEX(data!H:H,match(Caseslist!B1424,data!D:D,0)), "INC")</f>
        <v>Jemma Marie Tillo</v>
      </c>
      <c r="F1424" s="10" t="str">
        <f t="array" ref="F1424">IF(
    OR(
      IFNA(INDEX(data!M:M, MATCH(Caseslist!B1424, data!D:D, 0)), "") = "",
      IFNA(INDEX(data!M:M, MATCH(Caseslist!B1424, data!D:D, 0)), 0) = 0
    ),
    "COMPLETE",
    IF(
      IFNA(INDEX(dataICM!D:D, MATCH(Caseslist!B1424, dataICM!D:D, 0)), "INC") = "INC",
      IFNA(INDEX(dataICM!D:D, MATCH(Caseslist!B1424, dataICM!D:D, 0)), "INC"),
      "COMPLETE"
    )
  )</f>
        <v>COMPLETE</v>
      </c>
      <c r="G1424" s="10" t="str">
        <f t="array" ref="G1424">IF(IFERROR(INDEX(data!L:L,match(Caseslist!B1424,data!D:D,0)),"INC")="","COMPLETE",F1424)</f>
        <v>COMPLETE</v>
      </c>
      <c r="H1424" s="9" t="str">
        <f t="array" ref="H1424">IFERROR(INDEX(dataICM!F:F,match(Caseslist!B1424,dataICM!D:D,0)), "INC")</f>
        <v>INC</v>
      </c>
      <c r="I1424" s="10" t="str">
        <f t="shared" si="2"/>
        <v>N7814260</v>
      </c>
      <c r="J1424" s="9" t="str">
        <f t="array" ref="J1424">IF(
  AND(
    IFERROR(MATCH(B1424, data!D:D, 0), 0) &gt; 0,
    IFERROR(INDEX(data!N:N, MATCH(B1424, data!D:D, 0)) = 1, FALSE)
  ),
  INDEX(data!C:C, MATCH(B1424, data!D:D, 0)),
  "INC"
)</f>
        <v>2025-09-01T14:12:56.018+08</v>
      </c>
      <c r="K1424" s="9" t="str">
        <f t="array" ref="K1424">IFERROR(INDEX(dataICM!C:C,match(Caseslist!B1424,dataICM!D:D,0)), "INC")</f>
        <v>INC</v>
      </c>
      <c r="L1424" s="10" t="str">
        <f t="array" ref="L1424">IF(AND(G1424="COMPLETE", OR(K1424="INC", ISBLANK(INDEX(data!O:O, ROW())))), J1424, K1424)</f>
        <v>2025-09-01T14:12:56.018+08</v>
      </c>
      <c r="M1424" s="2">
        <v>45901.0</v>
      </c>
      <c r="N1424" s="2">
        <f t="array" ref="N1424">IF(M1424&lt;&gt;"INC", INDEX(data!M:M, MATCH(B1424, data!D:D, 0)), "")</f>
        <v>0</v>
      </c>
      <c r="O1424" s="2">
        <f t="shared" si="3"/>
        <v>0</v>
      </c>
    </row>
    <row r="1425">
      <c r="A1425" s="2" t="str">
        <f t="shared" si="1"/>
        <v>H030433</v>
      </c>
      <c r="B1425" s="1" t="s">
        <v>2394</v>
      </c>
      <c r="C1425" s="9" t="str">
        <f t="array" ref="C1425">IF(
  AND(
    IFERROR(MATCH(Caseslist!B1425, data!D:D, 0), 0) &gt; 0,
    IFERROR(INDEX(data!N:N, MATCH(Caseslist!B1425, data!D:D, 0)) = 1, FALSE)
  ),
  "COMPLETE",
  "INC"
)</f>
        <v>COMPLETE</v>
      </c>
      <c r="D1425" s="9" t="str">
        <f t="array" ref="D1425">IFERROR(INDEX(data!$G:$G,match(Caseslist!B1425,data!$D:$D,0)), "INC")</f>
        <v>P1068432</v>
      </c>
      <c r="E1425" s="9" t="str">
        <f t="array" ref="E1425">IFERROR(INDEX(data!H:H,match(Caseslist!B1425,data!D:D,0)), "INC")</f>
        <v>Mark Daniel Balagao Benson</v>
      </c>
      <c r="F1425" s="10" t="str">
        <f t="array" ref="F1425">IF(
    OR(
      IFNA(INDEX(data!M:M, MATCH(Caseslist!B1425, data!D:D, 0)), "") = "",
      IFNA(INDEX(data!M:M, MATCH(Caseslist!B1425, data!D:D, 0)), 0) = 0
    ),
    "COMPLETE",
    IF(
      IFNA(INDEX(dataICM!D:D, MATCH(Caseslist!B1425, dataICM!D:D, 0)), "INC") = "INC",
      IFNA(INDEX(dataICM!D:D, MATCH(Caseslist!B1425, dataICM!D:D, 0)), "INC"),
      "COMPLETE"
    )
  )</f>
        <v>COMPLETE</v>
      </c>
      <c r="G1425" s="10" t="str">
        <f t="array" ref="G1425">IF(IFERROR(INDEX(data!L:L,match(Caseslist!B1425,data!D:D,0)),"INC")="","COMPLETE",F1425)</f>
        <v>COMPLETE</v>
      </c>
      <c r="H1425" s="9" t="str">
        <f t="array" ref="H1425">IFERROR(INDEX(dataICM!F:F,match(Caseslist!B1425,dataICM!D:D,0)), "INC")</f>
        <v>INC</v>
      </c>
      <c r="I1425" s="10" t="str">
        <f t="shared" si="2"/>
        <v>P1068432</v>
      </c>
      <c r="J1425" s="9" t="str">
        <f t="array" ref="J1425">IF(
  AND(
    IFERROR(MATCH(B1425, data!D:D, 0), 0) &gt; 0,
    IFERROR(INDEX(data!N:N, MATCH(B1425, data!D:D, 0)) = 1, FALSE)
  ),
  INDEX(data!C:C, MATCH(B1425, data!D:D, 0)),
  "INC"
)</f>
        <v>2025-09-01T10:36:28.861+08</v>
      </c>
      <c r="K1425" s="9" t="str">
        <f t="array" ref="K1425">IFERROR(INDEX(dataICM!C:C,match(Caseslist!B1425,dataICM!D:D,0)), "INC")</f>
        <v>INC</v>
      </c>
      <c r="L1425" s="10" t="str">
        <f t="array" ref="L1425">IF(AND(G1425="COMPLETE", OR(K1425="INC", ISBLANK(INDEX(data!O:O, ROW())))), J1425, K1425)</f>
        <v>2025-09-01T10:36:28.861+08</v>
      </c>
      <c r="M1425" s="2">
        <v>45901.0</v>
      </c>
      <c r="N1425" s="2">
        <f t="array" ref="N1425">IF(M1425&lt;&gt;"INC", INDEX(data!M:M, MATCH(B1425, data!D:D, 0)), "")</f>
        <v>0</v>
      </c>
      <c r="O1425" s="2">
        <f t="shared" si="3"/>
        <v>0</v>
      </c>
    </row>
    <row r="1426">
      <c r="A1426" s="2" t="str">
        <f t="shared" si="1"/>
        <v>H030433</v>
      </c>
      <c r="B1426" s="1" t="s">
        <v>2269</v>
      </c>
      <c r="C1426" s="9" t="str">
        <f t="array" ref="C1426">IF(
  AND(
    IFERROR(MATCH(Caseslist!B1426, data!D:D, 0), 0) &gt; 0,
    IFERROR(INDEX(data!N:N, MATCH(Caseslist!B1426, data!D:D, 0)) = 1, FALSE)
  ),
  "COMPLETE",
  "INC"
)</f>
        <v>COMPLETE</v>
      </c>
      <c r="D1426" s="9" t="str">
        <f t="array" ref="D1426">IFERROR(INDEX(data!$G:$G,match(Caseslist!B1426,data!$D:$D,0)), "INC")</f>
        <v>N7814260</v>
      </c>
      <c r="E1426" s="9" t="str">
        <f t="array" ref="E1426">IFERROR(INDEX(data!H:H,match(Caseslist!B1426,data!D:D,0)), "INC")</f>
        <v>Jemma Marie Tillo</v>
      </c>
      <c r="F1426" s="10" t="str">
        <f t="array" ref="F1426">IF(
    OR(
      IFNA(INDEX(data!M:M, MATCH(Caseslist!B1426, data!D:D, 0)), "") = "",
      IFNA(INDEX(data!M:M, MATCH(Caseslist!B1426, data!D:D, 0)), 0) = 0
    ),
    "COMPLETE",
    IF(
      IFNA(INDEX(dataICM!D:D, MATCH(Caseslist!B1426, dataICM!D:D, 0)), "INC") = "INC",
      IFNA(INDEX(dataICM!D:D, MATCH(Caseslist!B1426, dataICM!D:D, 0)), "INC"),
      "COMPLETE"
    )
  )</f>
        <v>COMPLETE</v>
      </c>
      <c r="G1426" s="10" t="str">
        <f t="array" ref="G1426">IF(IFERROR(INDEX(data!L:L,match(Caseslist!B1426,data!D:D,0)),"INC")="","COMPLETE",F1426)</f>
        <v>COMPLETE</v>
      </c>
      <c r="H1426" s="9" t="str">
        <f t="array" ref="H1426">IFERROR(INDEX(dataICM!F:F,match(Caseslist!B1426,dataICM!D:D,0)), "INC")</f>
        <v>INC</v>
      </c>
      <c r="I1426" s="10" t="str">
        <f t="shared" si="2"/>
        <v>N7814260</v>
      </c>
      <c r="J1426" s="9" t="str">
        <f t="array" ref="J1426">IF(
  AND(
    IFERROR(MATCH(B1426, data!D:D, 0), 0) &gt; 0,
    IFERROR(INDEX(data!N:N, MATCH(B1426, data!D:D, 0)) = 1, FALSE)
  ),
  INDEX(data!C:C, MATCH(B1426, data!D:D, 0)),
  "INC"
)</f>
        <v>2025-10-01T10:41:04.225+08</v>
      </c>
      <c r="K1426" s="9" t="str">
        <f t="array" ref="K1426">IFERROR(INDEX(dataICM!C:C,match(Caseslist!B1426,dataICM!D:D,0)), "INC")</f>
        <v>INC</v>
      </c>
      <c r="L1426" s="10" t="str">
        <f t="array" ref="L1426">IF(AND(G1426="COMPLETE", OR(K1426="INC", ISBLANK(INDEX(data!O:O, ROW())))), J1426, K1426)</f>
        <v>2025-10-01T10:41:04.225+08</v>
      </c>
      <c r="M1426" s="2">
        <v>45931.0</v>
      </c>
      <c r="N1426" s="2">
        <f t="array" ref="N1426">IF(M1426&lt;&gt;"INC", INDEX(data!M:M, MATCH(B1426, data!D:D, 0)), "")</f>
        <v>0</v>
      </c>
      <c r="O1426" s="2">
        <f t="shared" si="3"/>
        <v>0</v>
      </c>
    </row>
    <row r="1427">
      <c r="A1427" s="2" t="str">
        <f t="shared" si="1"/>
        <v>H030433</v>
      </c>
      <c r="B1427" s="1" t="s">
        <v>2409</v>
      </c>
      <c r="C1427" s="9" t="str">
        <f t="array" ref="C1427">IF(
  AND(
    IFERROR(MATCH(Caseslist!B1427, data!D:D, 0), 0) &gt; 0,
    IFERROR(INDEX(data!N:N, MATCH(Caseslist!B1427, data!D:D, 0)) = 1, FALSE)
  ),
  "COMPLETE",
  "INC"
)</f>
        <v>COMPLETE</v>
      </c>
      <c r="D1427" s="9" t="str">
        <f t="array" ref="D1427">IFERROR(INDEX(data!$G:$G,match(Caseslist!B1427,data!$D:$D,0)), "INC")</f>
        <v>P1068432</v>
      </c>
      <c r="E1427" s="9" t="str">
        <f t="array" ref="E1427">IFERROR(INDEX(data!H:H,match(Caseslist!B1427,data!D:D,0)), "INC")</f>
        <v>Mark Daniel Balagao Benson</v>
      </c>
      <c r="F1427" s="10" t="str">
        <f t="array" ref="F1427">IF(
    OR(
      IFNA(INDEX(data!M:M, MATCH(Caseslist!B1427, data!D:D, 0)), "") = "",
      IFNA(INDEX(data!M:M, MATCH(Caseslist!B1427, data!D:D, 0)), 0) = 0
    ),
    "COMPLETE",
    IF(
      IFNA(INDEX(dataICM!D:D, MATCH(Caseslist!B1427, dataICM!D:D, 0)), "INC") = "INC",
      IFNA(INDEX(dataICM!D:D, MATCH(Caseslist!B1427, dataICM!D:D, 0)), "INC"),
      "COMPLETE"
    )
  )</f>
        <v>COMPLETE</v>
      </c>
      <c r="G1427" s="10" t="str">
        <f t="array" ref="G1427">IF(IFERROR(INDEX(data!L:L,match(Caseslist!B1427,data!D:D,0)),"INC")="","COMPLETE",F1427)</f>
        <v>COMPLETE</v>
      </c>
      <c r="H1427" s="9" t="str">
        <f t="array" ref="H1427">IFERROR(INDEX(dataICM!F:F,match(Caseslist!B1427,dataICM!D:D,0)), "INC")</f>
        <v>INC</v>
      </c>
      <c r="I1427" s="10" t="str">
        <f t="shared" si="2"/>
        <v>P1068432</v>
      </c>
      <c r="J1427" s="9" t="str">
        <f t="array" ref="J1427">IF(
  AND(
    IFERROR(MATCH(B1427, data!D:D, 0), 0) &gt; 0,
    IFERROR(INDEX(data!N:N, MATCH(B1427, data!D:D, 0)) = 1, FALSE)
  ),
  INDEX(data!C:C, MATCH(B1427, data!D:D, 0)),
  "INC"
)</f>
        <v>2025-09-01T15:30:22.424+08</v>
      </c>
      <c r="K1427" s="9" t="str">
        <f t="array" ref="K1427">IFERROR(INDEX(dataICM!C:C,match(Caseslist!B1427,dataICM!D:D,0)), "INC")</f>
        <v>INC</v>
      </c>
      <c r="L1427" s="10" t="str">
        <f t="array" ref="L1427">IF(AND(G1427="COMPLETE", OR(K1427="INC", ISBLANK(INDEX(data!O:O, ROW())))), J1427, K1427)</f>
        <v>2025-09-01T15:30:22.424+08</v>
      </c>
      <c r="M1427" s="2">
        <v>45901.0</v>
      </c>
      <c r="N1427" s="2">
        <f t="array" ref="N1427">IF(M1427&lt;&gt;"INC", INDEX(data!M:M, MATCH(B1427, data!D:D, 0)), "")</f>
        <v>0</v>
      </c>
      <c r="O1427" s="2">
        <f t="shared" si="3"/>
        <v>0</v>
      </c>
    </row>
    <row r="1428">
      <c r="A1428" s="2" t="str">
        <f t="shared" si="1"/>
        <v>H030433</v>
      </c>
      <c r="B1428" s="1" t="s">
        <v>2249</v>
      </c>
      <c r="C1428" s="9" t="str">
        <f t="array" ref="C1428">IF(
  AND(
    IFERROR(MATCH(Caseslist!B1428, data!D:D, 0), 0) &gt; 0,
    IFERROR(INDEX(data!N:N, MATCH(Caseslist!B1428, data!D:D, 0)) = 1, FALSE)
  ),
  "COMPLETE",
  "INC"
)</f>
        <v>COMPLETE</v>
      </c>
      <c r="D1428" s="9" t="str">
        <f t="array" ref="D1428">IFERROR(INDEX(data!$G:$G,match(Caseslist!B1428,data!$D:$D,0)), "INC")</f>
        <v>N7814260</v>
      </c>
      <c r="E1428" s="9" t="str">
        <f t="array" ref="E1428">IFERROR(INDEX(data!H:H,match(Caseslist!B1428,data!D:D,0)), "INC")</f>
        <v>Jemma Marie Tillo</v>
      </c>
      <c r="F1428" s="10" t="str">
        <f t="array" ref="F1428">IF(
    OR(
      IFNA(INDEX(data!M:M, MATCH(Caseslist!B1428, data!D:D, 0)), "") = "",
      IFNA(INDEX(data!M:M, MATCH(Caseslist!B1428, data!D:D, 0)), 0) = 0
    ),
    "COMPLETE",
    IF(
      IFNA(INDEX(dataICM!D:D, MATCH(Caseslist!B1428, dataICM!D:D, 0)), "INC") = "INC",
      IFNA(INDEX(dataICM!D:D, MATCH(Caseslist!B1428, dataICM!D:D, 0)), "INC"),
      "COMPLETE"
    )
  )</f>
        <v>COMPLETE</v>
      </c>
      <c r="G1428" s="10" t="str">
        <f t="array" ref="G1428">IF(IFERROR(INDEX(data!L:L,match(Caseslist!B1428,data!D:D,0)),"INC")="","COMPLETE",F1428)</f>
        <v>COMPLETE</v>
      </c>
      <c r="H1428" s="9" t="str">
        <f t="array" ref="H1428">IFERROR(INDEX(dataICM!F:F,match(Caseslist!B1428,dataICM!D:D,0)), "INC")</f>
        <v>INC</v>
      </c>
      <c r="I1428" s="10" t="str">
        <f t="shared" si="2"/>
        <v>N7814260</v>
      </c>
      <c r="J1428" s="9" t="str">
        <f t="array" ref="J1428">IF(
  AND(
    IFERROR(MATCH(B1428, data!D:D, 0), 0) &gt; 0,
    IFERROR(INDEX(data!N:N, MATCH(B1428, data!D:D, 0)) = 1, FALSE)
  ),
  INDEX(data!C:C, MATCH(B1428, data!D:D, 0)),
  "INC"
)</f>
        <v>2025-09-01T10:27:30.609+08</v>
      </c>
      <c r="K1428" s="9" t="str">
        <f t="array" ref="K1428">IFERROR(INDEX(dataICM!C:C,match(Caseslist!B1428,dataICM!D:D,0)), "INC")</f>
        <v>INC</v>
      </c>
      <c r="L1428" s="10" t="str">
        <f t="array" ref="L1428">IF(AND(G1428="COMPLETE", OR(K1428="INC", ISBLANK(INDEX(data!O:O, ROW())))), J1428, K1428)</f>
        <v>2025-09-01T10:27:30.609+08</v>
      </c>
      <c r="M1428" s="2">
        <v>45901.0</v>
      </c>
      <c r="N1428" s="2">
        <f t="array" ref="N1428">IF(M1428&lt;&gt;"INC", INDEX(data!M:M, MATCH(B1428, data!D:D, 0)), "")</f>
        <v>0</v>
      </c>
      <c r="O1428" s="2">
        <f t="shared" si="3"/>
        <v>0</v>
      </c>
    </row>
    <row r="1429">
      <c r="A1429" s="2" t="str">
        <f t="shared" si="1"/>
        <v>H030433</v>
      </c>
      <c r="B1429" s="1" t="s">
        <v>2279</v>
      </c>
      <c r="C1429" s="9" t="str">
        <f t="array" ref="C1429">IF(
  AND(
    IFERROR(MATCH(Caseslist!B1429, data!D:D, 0), 0) &gt; 0,
    IFERROR(INDEX(data!N:N, MATCH(Caseslist!B1429, data!D:D, 0)) = 1, FALSE)
  ),
  "COMPLETE",
  "INC"
)</f>
        <v>COMPLETE</v>
      </c>
      <c r="D1429" s="9" t="str">
        <f t="array" ref="D1429">IFERROR(INDEX(data!$G:$G,match(Caseslist!B1429,data!$D:$D,0)), "INC")</f>
        <v>O3925718</v>
      </c>
      <c r="E1429" s="9" t="str">
        <f t="array" ref="E1429">IFERROR(INDEX(data!H:H,match(Caseslist!B1429,data!D:D,0)), "INC")</f>
        <v>Adrian Montecastro Ferrer</v>
      </c>
      <c r="F1429" s="10" t="str">
        <f t="array" ref="F1429">IF(
    OR(
      IFNA(INDEX(data!M:M, MATCH(Caseslist!B1429, data!D:D, 0)), "") = "",
      IFNA(INDEX(data!M:M, MATCH(Caseslist!B1429, data!D:D, 0)), 0) = 0
    ),
    "COMPLETE",
    IF(
      IFNA(INDEX(dataICM!D:D, MATCH(Caseslist!B1429, dataICM!D:D, 0)), "INC") = "INC",
      IFNA(INDEX(dataICM!D:D, MATCH(Caseslist!B1429, dataICM!D:D, 0)), "INC"),
      "COMPLETE"
    )
  )</f>
        <v>COMPLETE</v>
      </c>
      <c r="G1429" s="10" t="str">
        <f t="array" ref="G1429">IF(IFERROR(INDEX(data!L:L,match(Caseslist!B1429,data!D:D,0)),"INC")="","COMPLETE",F1429)</f>
        <v>COMPLETE</v>
      </c>
      <c r="H1429" s="9" t="str">
        <f t="array" ref="H1429">IFERROR(INDEX(dataICM!F:F,match(Caseslist!B1429,dataICM!D:D,0)), "INC")</f>
        <v>INC</v>
      </c>
      <c r="I1429" s="10" t="str">
        <f t="shared" si="2"/>
        <v>O3925718</v>
      </c>
      <c r="J1429" s="9" t="str">
        <f t="array" ref="J1429">IF(
  AND(
    IFERROR(MATCH(B1429, data!D:D, 0), 0) &gt; 0,
    IFERROR(INDEX(data!N:N, MATCH(B1429, data!D:D, 0)) = 1, FALSE)
  ),
  INDEX(data!C:C, MATCH(B1429, data!D:D, 0)),
  "INC"
)</f>
        <v>2025-09-01T14:16:20.457+08</v>
      </c>
      <c r="K1429" s="9" t="str">
        <f t="array" ref="K1429">IFERROR(INDEX(dataICM!C:C,match(Caseslist!B1429,dataICM!D:D,0)), "INC")</f>
        <v>INC</v>
      </c>
      <c r="L1429" s="10" t="str">
        <f t="array" ref="L1429">IF(AND(G1429="COMPLETE", OR(K1429="INC", ISBLANK(INDEX(data!O:O, ROW())))), J1429, K1429)</f>
        <v>2025-09-01T14:16:20.457+08</v>
      </c>
      <c r="M1429" s="2">
        <v>45901.0</v>
      </c>
      <c r="N1429" s="2">
        <f t="array" ref="N1429">IF(M1429&lt;&gt;"INC", INDEX(data!M:M, MATCH(B1429, data!D:D, 0)), "")</f>
        <v>0</v>
      </c>
      <c r="O1429" s="2">
        <f t="shared" si="3"/>
        <v>0</v>
      </c>
    </row>
    <row r="1430">
      <c r="A1430" s="2" t="str">
        <f t="shared" si="1"/>
        <v>H030433</v>
      </c>
      <c r="B1430" s="1" t="s">
        <v>2284</v>
      </c>
      <c r="C1430" s="9" t="str">
        <f t="array" ref="C1430">IF(
  AND(
    IFERROR(MATCH(Caseslist!B1430, data!D:D, 0), 0) &gt; 0,
    IFERROR(INDEX(data!N:N, MATCH(Caseslist!B1430, data!D:D, 0)) = 1, FALSE)
  ),
  "COMPLETE",
  "INC"
)</f>
        <v>COMPLETE</v>
      </c>
      <c r="D1430" s="9" t="str">
        <f t="array" ref="D1430">IFERROR(INDEX(data!$G:$G,match(Caseslist!B1430,data!$D:$D,0)), "INC")</f>
        <v>O3925718</v>
      </c>
      <c r="E1430" s="9" t="str">
        <f t="array" ref="E1430">IFERROR(INDEX(data!H:H,match(Caseslist!B1430,data!D:D,0)), "INC")</f>
        <v>Adrian Montecastro Ferrer</v>
      </c>
      <c r="F1430" s="10" t="str">
        <f t="array" ref="F1430">IF(
    OR(
      IFNA(INDEX(data!M:M, MATCH(Caseslist!B1430, data!D:D, 0)), "") = "",
      IFNA(INDEX(data!M:M, MATCH(Caseslist!B1430, data!D:D, 0)), 0) = 0
    ),
    "COMPLETE",
    IF(
      IFNA(INDEX(dataICM!D:D, MATCH(Caseslist!B1430, dataICM!D:D, 0)), "INC") = "INC",
      IFNA(INDEX(dataICM!D:D, MATCH(Caseslist!B1430, dataICM!D:D, 0)), "INC"),
      "COMPLETE"
    )
  )</f>
        <v>COMPLETE</v>
      </c>
      <c r="G1430" s="10" t="str">
        <f t="array" ref="G1430">IF(IFERROR(INDEX(data!L:L,match(Caseslist!B1430,data!D:D,0)),"INC")="","COMPLETE",F1430)</f>
        <v>COMPLETE</v>
      </c>
      <c r="H1430" s="9" t="str">
        <f t="array" ref="H1430">IFERROR(INDEX(dataICM!F:F,match(Caseslist!B1430,dataICM!D:D,0)), "INC")</f>
        <v>INC</v>
      </c>
      <c r="I1430" s="10" t="str">
        <f t="shared" si="2"/>
        <v>O3925718</v>
      </c>
      <c r="J1430" s="9" t="str">
        <f t="array" ref="J1430">IF(
  AND(
    IFERROR(MATCH(B1430, data!D:D, 0), 0) &gt; 0,
    IFERROR(INDEX(data!N:N, MATCH(B1430, data!D:D, 0)) = 1, FALSE)
  ),
  INDEX(data!C:C, MATCH(B1430, data!D:D, 0)),
  "INC"
)</f>
        <v>2025-09-01T11:25:48.321+08</v>
      </c>
      <c r="K1430" s="9" t="str">
        <f t="array" ref="K1430">IFERROR(INDEX(dataICM!C:C,match(Caseslist!B1430,dataICM!D:D,0)), "INC")</f>
        <v>INC</v>
      </c>
      <c r="L1430" s="10" t="str">
        <f t="array" ref="L1430">IF(AND(G1430="COMPLETE", OR(K1430="INC", ISBLANK(INDEX(data!O:O, ROW())))), J1430, K1430)</f>
        <v>2025-09-01T11:25:48.321+08</v>
      </c>
      <c r="M1430" s="2">
        <v>45901.0</v>
      </c>
      <c r="N1430" s="2">
        <f t="array" ref="N1430">IF(M1430&lt;&gt;"INC", INDEX(data!M:M, MATCH(B1430, data!D:D, 0)), "")</f>
        <v>0</v>
      </c>
      <c r="O1430" s="2">
        <f t="shared" si="3"/>
        <v>0</v>
      </c>
    </row>
    <row r="1431">
      <c r="A1431" s="2" t="str">
        <f t="shared" si="1"/>
        <v>H030433</v>
      </c>
      <c r="B1431" s="1" t="s">
        <v>2399</v>
      </c>
      <c r="C1431" s="9" t="str">
        <f t="array" ref="C1431">IF(
  AND(
    IFERROR(MATCH(Caseslist!B1431, data!D:D, 0), 0) &gt; 0,
    IFERROR(INDEX(data!N:N, MATCH(Caseslist!B1431, data!D:D, 0)) = 1, FALSE)
  ),
  "COMPLETE",
  "INC"
)</f>
        <v>COMPLETE</v>
      </c>
      <c r="D1431" s="9" t="str">
        <f t="array" ref="D1431">IFERROR(INDEX(data!$G:$G,match(Caseslist!B1431,data!$D:$D,0)), "INC")</f>
        <v>P1068432</v>
      </c>
      <c r="E1431" s="9" t="str">
        <f t="array" ref="E1431">IFERROR(INDEX(data!H:H,match(Caseslist!B1431,data!D:D,0)), "INC")</f>
        <v>Mark Daniel Balagao Benson</v>
      </c>
      <c r="F1431" s="10" t="str">
        <f t="array" ref="F1431">IF(
    OR(
      IFNA(INDEX(data!M:M, MATCH(Caseslist!B1431, data!D:D, 0)), "") = "",
      IFNA(INDEX(data!M:M, MATCH(Caseslist!B1431, data!D:D, 0)), 0) = 0
    ),
    "COMPLETE",
    IF(
      IFNA(INDEX(dataICM!D:D, MATCH(Caseslist!B1431, dataICM!D:D, 0)), "INC") = "INC",
      IFNA(INDEX(dataICM!D:D, MATCH(Caseslist!B1431, dataICM!D:D, 0)), "INC"),
      "COMPLETE"
    )
  )</f>
        <v>COMPLETE</v>
      </c>
      <c r="G1431" s="10" t="str">
        <f t="array" ref="G1431">IF(IFERROR(INDEX(data!L:L,match(Caseslist!B1431,data!D:D,0)),"INC")="","COMPLETE",F1431)</f>
        <v>COMPLETE</v>
      </c>
      <c r="H1431" s="9" t="str">
        <f t="array" ref="H1431">IFERROR(INDEX(dataICM!F:F,match(Caseslist!B1431,dataICM!D:D,0)), "INC")</f>
        <v>INC</v>
      </c>
      <c r="I1431" s="10" t="str">
        <f t="shared" si="2"/>
        <v>P1068432</v>
      </c>
      <c r="J1431" s="9" t="str">
        <f t="array" ref="J1431">IF(
  AND(
    IFERROR(MATCH(B1431, data!D:D, 0), 0) &gt; 0,
    IFERROR(INDEX(data!N:N, MATCH(B1431, data!D:D, 0)) = 1, FALSE)
  ),
  INDEX(data!C:C, MATCH(B1431, data!D:D, 0)),
  "INC"
)</f>
        <v>2025-09-01T14:12:16.731+08</v>
      </c>
      <c r="K1431" s="9" t="str">
        <f t="array" ref="K1431">IFERROR(INDEX(dataICM!C:C,match(Caseslist!B1431,dataICM!D:D,0)), "INC")</f>
        <v>INC</v>
      </c>
      <c r="L1431" s="10" t="str">
        <f t="array" ref="L1431">IF(AND(G1431="COMPLETE", OR(K1431="INC", ISBLANK(INDEX(data!O:O, ROW())))), J1431, K1431)</f>
        <v>2025-09-01T14:12:16.731+08</v>
      </c>
      <c r="M1431" s="2">
        <v>45901.0</v>
      </c>
      <c r="N1431" s="2">
        <f t="array" ref="N1431">IF(M1431&lt;&gt;"INC", INDEX(data!M:M, MATCH(B1431, data!D:D, 0)), "")</f>
        <v>0</v>
      </c>
      <c r="O1431" s="2">
        <f t="shared" si="3"/>
        <v>0</v>
      </c>
    </row>
    <row r="1432">
      <c r="A1432" s="2" t="str">
        <f t="shared" si="1"/>
        <v>H030433</v>
      </c>
      <c r="B1432" s="1" t="s">
        <v>2404</v>
      </c>
      <c r="C1432" s="9" t="str">
        <f t="array" ref="C1432">IF(
  AND(
    IFERROR(MATCH(Caseslist!B1432, data!D:D, 0), 0) &gt; 0,
    IFERROR(INDEX(data!N:N, MATCH(Caseslist!B1432, data!D:D, 0)) = 1, FALSE)
  ),
  "COMPLETE",
  "INC"
)</f>
        <v>COMPLETE</v>
      </c>
      <c r="D1432" s="9" t="str">
        <f t="array" ref="D1432">IFERROR(INDEX(data!$G:$G,match(Caseslist!B1432,data!$D:$D,0)), "INC")</f>
        <v>P1068432</v>
      </c>
      <c r="E1432" s="9" t="str">
        <f t="array" ref="E1432">IFERROR(INDEX(data!H:H,match(Caseslist!B1432,data!D:D,0)), "INC")</f>
        <v>Mark Daniel Balagao Benson</v>
      </c>
      <c r="F1432" s="10" t="str">
        <f t="array" ref="F1432">IF(
    OR(
      IFNA(INDEX(data!M:M, MATCH(Caseslist!B1432, data!D:D, 0)), "") = "",
      IFNA(INDEX(data!M:M, MATCH(Caseslist!B1432, data!D:D, 0)), 0) = 0
    ),
    "COMPLETE",
    IF(
      IFNA(INDEX(dataICM!D:D, MATCH(Caseslist!B1432, dataICM!D:D, 0)), "INC") = "INC",
      IFNA(INDEX(dataICM!D:D, MATCH(Caseslist!B1432, dataICM!D:D, 0)), "INC"),
      "COMPLETE"
    )
  )</f>
        <v>COMPLETE</v>
      </c>
      <c r="G1432" s="10" t="str">
        <f t="array" ref="G1432">IF(IFERROR(INDEX(data!L:L,match(Caseslist!B1432,data!D:D,0)),"INC")="","COMPLETE",F1432)</f>
        <v>COMPLETE</v>
      </c>
      <c r="H1432" s="9" t="str">
        <f t="array" ref="H1432">IFERROR(INDEX(dataICM!F:F,match(Caseslist!B1432,dataICM!D:D,0)), "INC")</f>
        <v>INC</v>
      </c>
      <c r="I1432" s="10" t="str">
        <f t="shared" si="2"/>
        <v>P1068432</v>
      </c>
      <c r="J1432" s="9" t="str">
        <f t="array" ref="J1432">IF(
  AND(
    IFERROR(MATCH(B1432, data!D:D, 0), 0) &gt; 0,
    IFERROR(INDEX(data!N:N, MATCH(B1432, data!D:D, 0)) = 1, FALSE)
  ),
  INDEX(data!C:C, MATCH(B1432, data!D:D, 0)),
  "INC"
)</f>
        <v>2025-09-01T11:50:29.432+08</v>
      </c>
      <c r="K1432" s="9" t="str">
        <f t="array" ref="K1432">IFERROR(INDEX(dataICM!C:C,match(Caseslist!B1432,dataICM!D:D,0)), "INC")</f>
        <v>INC</v>
      </c>
      <c r="L1432" s="10" t="str">
        <f t="array" ref="L1432">IF(AND(G1432="COMPLETE", OR(K1432="INC", ISBLANK(INDEX(data!O:O, ROW())))), J1432, K1432)</f>
        <v>2025-09-01T11:50:29.432+08</v>
      </c>
      <c r="M1432" s="2">
        <v>45901.0</v>
      </c>
      <c r="N1432" s="2">
        <f t="array" ref="N1432">IF(M1432&lt;&gt;"INC", INDEX(data!M:M, MATCH(B1432, data!D:D, 0)), "")</f>
        <v>0</v>
      </c>
      <c r="O1432" s="2">
        <f t="shared" si="3"/>
        <v>0</v>
      </c>
    </row>
    <row r="1433">
      <c r="A1433" s="2" t="str">
        <f t="shared" si="1"/>
        <v>H030433</v>
      </c>
      <c r="B1433" s="1" t="s">
        <v>2274</v>
      </c>
      <c r="C1433" s="9" t="str">
        <f t="array" ref="C1433">IF(
  AND(
    IFERROR(MATCH(Caseslist!B1433, data!D:D, 0), 0) &gt; 0,
    IFERROR(INDEX(data!N:N, MATCH(Caseslist!B1433, data!D:D, 0)) = 1, FALSE)
  ),
  "COMPLETE",
  "INC"
)</f>
        <v>INC</v>
      </c>
      <c r="D1433" s="9" t="str">
        <f t="array" ref="D1433">IFERROR(INDEX(data!$G:$G,match(Caseslist!B1433,data!$D:$D,0)), "INC")</f>
        <v>N7814260</v>
      </c>
      <c r="E1433" s="9" t="str">
        <f t="array" ref="E1433">IFERROR(INDEX(data!H:H,match(Caseslist!B1433,data!D:D,0)), "INC")</f>
        <v>Jemma Marie Tillo</v>
      </c>
      <c r="F1433" s="10" t="str">
        <f t="array" ref="F1433">IF(
    OR(
      IFNA(INDEX(data!M:M, MATCH(Caseslist!B1433, data!D:D, 0)), "") = "",
      IFNA(INDEX(data!M:M, MATCH(Caseslist!B1433, data!D:D, 0)), 0) = 0
    ),
    "COMPLETE",
    IF(
      IFNA(INDEX(dataICM!D:D, MATCH(Caseslist!B1433, dataICM!D:D, 0)), "INC") = "INC",
      IFNA(INDEX(dataICM!D:D, MATCH(Caseslist!B1433, dataICM!D:D, 0)), "INC"),
      "COMPLETE"
    )
  )</f>
        <v>COMPLETE</v>
      </c>
      <c r="G1433" s="10" t="str">
        <f t="array" ref="G1433">IF(IFERROR(INDEX(data!L:L,match(Caseslist!B1433,data!D:D,0)),"INC")="","COMPLETE",F1433)</f>
        <v>COMPLETE</v>
      </c>
      <c r="H1433" s="9" t="str">
        <f t="array" ref="H1433">IFERROR(INDEX(dataICM!F:F,match(Caseslist!B1433,dataICM!D:D,0)), "INC")</f>
        <v>INC</v>
      </c>
      <c r="I1433" s="10" t="str">
        <f t="shared" si="2"/>
        <v>N7814260</v>
      </c>
      <c r="J1433" s="9" t="str">
        <f t="array" ref="J1433">IF(
  AND(
    IFERROR(MATCH(B1433, data!D:D, 0), 0) &gt; 0,
    IFERROR(INDEX(data!N:N, MATCH(B1433, data!D:D, 0)) = 1, FALSE)
  ),
  INDEX(data!C:C, MATCH(B1433, data!D:D, 0)),
  "INC"
)</f>
        <v>INC</v>
      </c>
      <c r="K1433" s="9" t="str">
        <f t="array" ref="K1433">IFERROR(INDEX(dataICM!C:C,match(Caseslist!B1433,dataICM!D:D,0)), "INC")</f>
        <v>INC</v>
      </c>
      <c r="L1433" s="10" t="str">
        <f t="array" ref="L1433">IF(AND(G1433="COMPLETE", OR(K1433="INC", ISBLANK(INDEX(data!O:O, ROW())))), J1433, K1433)</f>
        <v>INC</v>
      </c>
      <c r="M1433" s="2" t="s">
        <v>8886</v>
      </c>
      <c r="N1433" s="2" t="str">
        <f t="array" ref="N1433">IF(M1433&lt;&gt;"INC", INDEX(data!M:M, MATCH(B1433, data!D:D, 0)), "")</f>
        <v/>
      </c>
      <c r="O1433" s="2" t="str">
        <f t="shared" si="3"/>
        <v/>
      </c>
    </row>
    <row r="1434">
      <c r="A1434" s="2" t="str">
        <f t="shared" si="1"/>
        <v>H030433</v>
      </c>
      <c r="B1434" s="1" t="s">
        <v>2289</v>
      </c>
      <c r="C1434" s="9" t="str">
        <f t="array" ref="C1434">IF(
  AND(
    IFERROR(MATCH(Caseslist!B1434, data!D:D, 0), 0) &gt; 0,
    IFERROR(INDEX(data!N:N, MATCH(Caseslist!B1434, data!D:D, 0)) = 1, FALSE)
  ),
  "COMPLETE",
  "INC"
)</f>
        <v>COMPLETE</v>
      </c>
      <c r="D1434" s="9" t="str">
        <f t="array" ref="D1434">IFERROR(INDEX(data!$G:$G,match(Caseslist!B1434,data!$D:$D,0)), "INC")</f>
        <v>O3925718</v>
      </c>
      <c r="E1434" s="9" t="str">
        <f t="array" ref="E1434">IFERROR(INDEX(data!H:H,match(Caseslist!B1434,data!D:D,0)), "INC")</f>
        <v>Adrian Montecastro Ferrer</v>
      </c>
      <c r="F1434" s="10" t="str">
        <f t="array" ref="F1434">IF(
    OR(
      IFNA(INDEX(data!M:M, MATCH(Caseslist!B1434, data!D:D, 0)), "") = "",
      IFNA(INDEX(data!M:M, MATCH(Caseslist!B1434, data!D:D, 0)), 0) = 0
    ),
    "COMPLETE",
    IF(
      IFNA(INDEX(dataICM!D:D, MATCH(Caseslist!B1434, dataICM!D:D, 0)), "INC") = "INC",
      IFNA(INDEX(dataICM!D:D, MATCH(Caseslist!B1434, dataICM!D:D, 0)), "INC"),
      "COMPLETE"
    )
  )</f>
        <v>COMPLETE</v>
      </c>
      <c r="G1434" s="10" t="str">
        <f t="array" ref="G1434">IF(IFERROR(INDEX(data!L:L,match(Caseslist!B1434,data!D:D,0)),"INC")="","COMPLETE",F1434)</f>
        <v>COMPLETE</v>
      </c>
      <c r="H1434" s="9" t="str">
        <f t="array" ref="H1434">IFERROR(INDEX(dataICM!F:F,match(Caseslist!B1434,dataICM!D:D,0)), "INC")</f>
        <v>INC</v>
      </c>
      <c r="I1434" s="10" t="str">
        <f t="shared" si="2"/>
        <v>O3925718</v>
      </c>
      <c r="J1434" s="9" t="str">
        <f t="array" ref="J1434">IF(
  AND(
    IFERROR(MATCH(B1434, data!D:D, 0), 0) &gt; 0,
    IFERROR(INDEX(data!N:N, MATCH(B1434, data!D:D, 0)) = 1, FALSE)
  ),
  INDEX(data!C:C, MATCH(B1434, data!D:D, 0)),
  "INC"
)</f>
        <v>2025-09-01T10:09:13.160+08</v>
      </c>
      <c r="K1434" s="9" t="str">
        <f t="array" ref="K1434">IFERROR(INDEX(dataICM!C:C,match(Caseslist!B1434,dataICM!D:D,0)), "INC")</f>
        <v>INC</v>
      </c>
      <c r="L1434" s="10" t="str">
        <f t="array" ref="L1434">IF(AND(G1434="COMPLETE", OR(K1434="INC", ISBLANK(INDEX(data!O:O, ROW())))), J1434, K1434)</f>
        <v>2025-09-01T10:09:13.160+08</v>
      </c>
      <c r="M1434" s="2">
        <v>45901.0</v>
      </c>
      <c r="N1434" s="2">
        <f t="array" ref="N1434">IF(M1434&lt;&gt;"INC", INDEX(data!M:M, MATCH(B1434, data!D:D, 0)), "")</f>
        <v>0</v>
      </c>
      <c r="O1434" s="2">
        <f t="shared" si="3"/>
        <v>0</v>
      </c>
    </row>
    <row r="1435">
      <c r="A1435" s="2" t="str">
        <f t="shared" si="1"/>
        <v>H030470</v>
      </c>
      <c r="B1435" s="1" t="s">
        <v>7948</v>
      </c>
      <c r="C1435" s="9" t="str">
        <f t="array" ref="C1435">IF(
  AND(
    IFERROR(MATCH(Caseslist!B1435, data!D:D, 0), 0) &gt; 0,
    IFERROR(INDEX(data!N:N, MATCH(Caseslist!B1435, data!D:D, 0)) = 1, FALSE)
  ),
  "COMPLETE",
  "INC"
)</f>
        <v>COMPLETE</v>
      </c>
      <c r="D1435" s="9" t="str">
        <f t="array" ref="D1435">IFERROR(INDEX(data!$G:$G,match(Caseslist!B1435,data!$D:$D,0)), "INC")</f>
        <v>B8193462</v>
      </c>
      <c r="E1435" s="9" t="str">
        <f t="array" ref="E1435">IFERROR(INDEX(data!H:H,match(Caseslist!B1435,data!D:D,0)), "INC")</f>
        <v>Mark Lorens Mendoza Gilongo</v>
      </c>
      <c r="F1435" s="10" t="str">
        <f t="array" ref="F1435">IF(
    OR(
      IFNA(INDEX(data!M:M, MATCH(Caseslist!B1435, data!D:D, 0)), "") = "",
      IFNA(INDEX(data!M:M, MATCH(Caseslist!B1435, data!D:D, 0)), 0) = 0
    ),
    "COMPLETE",
    IF(
      IFNA(INDEX(dataICM!D:D, MATCH(Caseslist!B1435, dataICM!D:D, 0)), "INC") = "INC",
      IFNA(INDEX(dataICM!D:D, MATCH(Caseslist!B1435, dataICM!D:D, 0)), "INC"),
      "COMPLETE"
    )
  )</f>
        <v>COMPLETE</v>
      </c>
      <c r="G1435" s="10" t="str">
        <f t="array" ref="G1435">IF(IFERROR(INDEX(data!L:L,match(Caseslist!B1435,data!D:D,0)),"INC")="","COMPLETE",F1435)</f>
        <v>COMPLETE</v>
      </c>
      <c r="H1435" s="9" t="str">
        <f t="array" ref="H1435">IFERROR(INDEX(dataICM!F:F,match(Caseslist!B1435,dataICM!D:D,0)), "INC")</f>
        <v>Mark Lorens Mendoza Gilongo</v>
      </c>
      <c r="I1435" s="10" t="str">
        <f t="shared" si="2"/>
        <v>B8193462</v>
      </c>
      <c r="J1435" s="9" t="str">
        <f t="array" ref="J1435">IF(
  AND(
    IFERROR(MATCH(B1435, data!D:D, 0), 0) &gt; 0,
    IFERROR(INDEX(data!N:N, MATCH(B1435, data!D:D, 0)) = 1, FALSE)
  ),
  INDEX(data!C:C, MATCH(B1435, data!D:D, 0)),
  "INC"
)</f>
        <v>2025-09-22T12:25:12.144+08</v>
      </c>
      <c r="K1435" s="9" t="str">
        <f t="array" ref="K1435">IFERROR(INDEX(dataICM!C:C,match(Caseslist!B1435,dataICM!D:D,0)), "INC")</f>
        <v>2025-09-22T15:22:40.607+08</v>
      </c>
      <c r="L1435" s="10" t="str">
        <f t="array" ref="L1435">IF(AND(G1435="COMPLETE", OR(K1435="INC", ISBLANK(INDEX(data!O:O, ROW())))), J1435, K1435)</f>
        <v>2025-09-22T15:22:40.607+08</v>
      </c>
      <c r="M1435" s="2">
        <v>45922.0</v>
      </c>
      <c r="N1435" s="2">
        <f t="array" ref="N1435">IF(M1435&lt;&gt;"INC", INDEX(data!M:M, MATCH(B1435, data!D:D, 0)), "")</f>
        <v>3</v>
      </c>
      <c r="O1435" s="2">
        <f t="shared" si="3"/>
        <v>3</v>
      </c>
    </row>
    <row r="1436">
      <c r="A1436" s="2" t="str">
        <f t="shared" si="1"/>
        <v>H030470</v>
      </c>
      <c r="B1436" s="1" t="s">
        <v>8053</v>
      </c>
      <c r="C1436" s="9" t="str">
        <f t="array" ref="C1436">IF(
  AND(
    IFERROR(MATCH(Caseslist!B1436, data!D:D, 0), 0) &gt; 0,
    IFERROR(INDEX(data!N:N, MATCH(Caseslist!B1436, data!D:D, 0)) = 1, FALSE)
  ),
  "COMPLETE",
  "INC"
)</f>
        <v>COMPLETE</v>
      </c>
      <c r="D1436" s="9" t="str">
        <f t="array" ref="D1436">IFERROR(INDEX(data!$G:$G,match(Caseslist!B1436,data!$D:$D,0)), "INC")</f>
        <v>D1284067</v>
      </c>
      <c r="E1436" s="9" t="str">
        <f t="array" ref="E1436">IFERROR(INDEX(data!H:H,match(Caseslist!B1436,data!D:D,0)), "INC")</f>
        <v>Mariel Del Rio</v>
      </c>
      <c r="F1436" s="10" t="str">
        <f t="array" ref="F1436">IF(
    OR(
      IFNA(INDEX(data!M:M, MATCH(Caseslist!B1436, data!D:D, 0)), "") = "",
      IFNA(INDEX(data!M:M, MATCH(Caseslist!B1436, data!D:D, 0)), 0) = 0
    ),
    "COMPLETE",
    IF(
      IFNA(INDEX(dataICM!D:D, MATCH(Caseslist!B1436, dataICM!D:D, 0)), "INC") = "INC",
      IFNA(INDEX(dataICM!D:D, MATCH(Caseslist!B1436, dataICM!D:D, 0)), "INC"),
      "COMPLETE"
    )
  )</f>
        <v>COMPLETE</v>
      </c>
      <c r="G1436" s="10" t="str">
        <f t="array" ref="G1436">IF(IFERROR(INDEX(data!L:L,match(Caseslist!B1436,data!D:D,0)),"INC")="","COMPLETE",F1436)</f>
        <v>COMPLETE</v>
      </c>
      <c r="H1436" s="9" t="str">
        <f t="array" ref="H1436">IFERROR(INDEX(dataICM!F:F,match(Caseslist!B1436,dataICM!D:D,0)), "INC")</f>
        <v>Mariel Del Rio</v>
      </c>
      <c r="I1436" s="10" t="str">
        <f t="shared" si="2"/>
        <v>D1284067</v>
      </c>
      <c r="J1436" s="9" t="str">
        <f t="array" ref="J1436">IF(
  AND(
    IFERROR(MATCH(B1436, data!D:D, 0), 0) &gt; 0,
    IFERROR(INDEX(data!N:N, MATCH(B1436, data!D:D, 0)) = 1, FALSE)
  ),
  INDEX(data!C:C, MATCH(B1436, data!D:D, 0)),
  "INC"
)</f>
        <v>2025-09-22T13:15:58.505+08</v>
      </c>
      <c r="K1436" s="9" t="str">
        <f t="array" ref="K1436">IFERROR(INDEX(dataICM!C:C,match(Caseslist!B1436,dataICM!D:D,0)), "INC")</f>
        <v>2025-09-22T15:31:35.141+08</v>
      </c>
      <c r="L1436" s="10" t="str">
        <f t="array" ref="L1436">IF(AND(G1436="COMPLETE", OR(K1436="INC", ISBLANK(INDEX(data!O:O, ROW())))), J1436, K1436)</f>
        <v>2025-09-22T15:31:35.141+08</v>
      </c>
      <c r="M1436" s="2">
        <v>45922.0</v>
      </c>
      <c r="N1436" s="2">
        <f t="array" ref="N1436">IF(M1436&lt;&gt;"INC", INDEX(data!M:M, MATCH(B1436, data!D:D, 0)), "")</f>
        <v>3</v>
      </c>
      <c r="O1436" s="2">
        <f t="shared" si="3"/>
        <v>3</v>
      </c>
    </row>
    <row r="1437">
      <c r="A1437" s="2" t="str">
        <f t="shared" si="1"/>
        <v>H030470</v>
      </c>
      <c r="B1437" s="1" t="s">
        <v>8773</v>
      </c>
      <c r="C1437" s="9" t="str">
        <f t="array" ref="C1437">IF(
  AND(
    IFERROR(MATCH(Caseslist!B1437, data!D:D, 0), 0) &gt; 0,
    IFERROR(INDEX(data!N:N, MATCH(Caseslist!B1437, data!D:D, 0)) = 1, FALSE)
  ),
  "COMPLETE",
  "INC"
)</f>
        <v>COMPLETE</v>
      </c>
      <c r="D1437" s="9">
        <f t="array" ref="D1437">IFERROR(INDEX(data!$G:$G,match(Caseslist!B1437,data!$D:$D,0)), "INC")</f>
        <v>896791</v>
      </c>
      <c r="E1437" s="9" t="str">
        <f t="array" ref="E1437">IFERROR(INDEX(data!H:H,match(Caseslist!B1437,data!D:D,0)), "INC")</f>
        <v>Roland A. Bandiola jr_2</v>
      </c>
      <c r="F1437" s="10" t="str">
        <f t="array" ref="F1437">IF(
    OR(
      IFNA(INDEX(data!M:M, MATCH(Caseslist!B1437, data!D:D, 0)), "") = "",
      IFNA(INDEX(data!M:M, MATCH(Caseslist!B1437, data!D:D, 0)), 0) = 0
    ),
    "COMPLETE",
    IF(
      IFNA(INDEX(dataICM!D:D, MATCH(Caseslist!B1437, dataICM!D:D, 0)), "INC") = "INC",
      IFNA(INDEX(dataICM!D:D, MATCH(Caseslist!B1437, dataICM!D:D, 0)), "INC"),
      "COMPLETE"
    )
  )</f>
        <v>COMPLETE</v>
      </c>
      <c r="G1437" s="10" t="str">
        <f t="array" ref="G1437">IF(IFERROR(INDEX(data!L:L,match(Caseslist!B1437,data!D:D,0)),"INC")="","COMPLETE",F1437)</f>
        <v>COMPLETE</v>
      </c>
      <c r="H1437" s="9" t="str">
        <f t="array" ref="H1437">IFERROR(INDEX(dataICM!F:F,match(Caseslist!B1437,dataICM!D:D,0)), "INC")</f>
        <v>Roland A. Bandiola jr_2</v>
      </c>
      <c r="I1437" s="10">
        <f t="shared" si="2"/>
        <v>896791</v>
      </c>
      <c r="J1437" s="9" t="str">
        <f t="array" ref="J1437">IF(
  AND(
    IFERROR(MATCH(B1437, data!D:D, 0), 0) &gt; 0,
    IFERROR(INDEX(data!N:N, MATCH(B1437, data!D:D, 0)) = 1, FALSE)
  ),
  INDEX(data!C:C, MATCH(B1437, data!D:D, 0)),
  "INC"
)</f>
        <v>2025-09-29T12:16:20.030+08</v>
      </c>
      <c r="K1437" s="9" t="str">
        <f t="array" ref="K1437">IFERROR(INDEX(dataICM!C:C,match(Caseslist!B1437,dataICM!D:D,0)), "INC")</f>
        <v>2025-09-29T20:50:57.909+08</v>
      </c>
      <c r="L1437" s="10" t="str">
        <f t="array" ref="L1437">IF(AND(G1437="COMPLETE", OR(K1437="INC", ISBLANK(INDEX(data!O:O, ROW())))), J1437, K1437)</f>
        <v>2025-09-29T20:50:57.909+08</v>
      </c>
      <c r="M1437" s="2">
        <v>45929.0</v>
      </c>
      <c r="N1437" s="2">
        <f t="array" ref="N1437">IF(M1437&lt;&gt;"INC", INDEX(data!M:M, MATCH(B1437, data!D:D, 0)), "")</f>
        <v>3</v>
      </c>
      <c r="O1437" s="2">
        <f t="shared" si="3"/>
        <v>3</v>
      </c>
    </row>
    <row r="1438">
      <c r="A1438" s="2" t="str">
        <f t="shared" si="1"/>
        <v>H030470</v>
      </c>
      <c r="B1438" s="1" t="s">
        <v>7903</v>
      </c>
      <c r="C1438" s="9" t="str">
        <f t="array" ref="C1438">IF(
  AND(
    IFERROR(MATCH(Caseslist!B1438, data!D:D, 0), 0) &gt; 0,
    IFERROR(INDEX(data!N:N, MATCH(Caseslist!B1438, data!D:D, 0)) = 1, FALSE)
  ),
  "COMPLETE",
  "INC"
)</f>
        <v>COMPLETE</v>
      </c>
      <c r="D1438" s="9" t="str">
        <f t="array" ref="D1438">IFERROR(INDEX(data!$G:$G,match(Caseslist!B1438,data!$D:$D,0)), "INC")</f>
        <v>C7502931</v>
      </c>
      <c r="E1438" s="9" t="str">
        <f t="array" ref="E1438">IFERROR(INDEX(data!H:H,match(Caseslist!B1438,data!D:D,0)), "INC")</f>
        <v>Jenny Lou Toles Estacio</v>
      </c>
      <c r="F1438" s="10" t="str">
        <f t="array" ref="F1438">IF(
    OR(
      IFNA(INDEX(data!M:M, MATCH(Caseslist!B1438, data!D:D, 0)), "") = "",
      IFNA(INDEX(data!M:M, MATCH(Caseslist!B1438, data!D:D, 0)), 0) = 0
    ),
    "COMPLETE",
    IF(
      IFNA(INDEX(dataICM!D:D, MATCH(Caseslist!B1438, dataICM!D:D, 0)), "INC") = "INC",
      IFNA(INDEX(dataICM!D:D, MATCH(Caseslist!B1438, dataICM!D:D, 0)), "INC"),
      "COMPLETE"
    )
  )</f>
        <v>COMPLETE</v>
      </c>
      <c r="G1438" s="10" t="str">
        <f t="array" ref="G1438">IF(IFERROR(INDEX(data!L:L,match(Caseslist!B1438,data!D:D,0)),"INC")="","COMPLETE",F1438)</f>
        <v>COMPLETE</v>
      </c>
      <c r="H1438" s="9" t="str">
        <f t="array" ref="H1438">IFERROR(INDEX(dataICM!F:F,match(Caseslist!B1438,dataICM!D:D,0)), "INC")</f>
        <v>Jenny Lou Toles Estacio</v>
      </c>
      <c r="I1438" s="10" t="str">
        <f t="shared" si="2"/>
        <v>C7502931</v>
      </c>
      <c r="J1438" s="9" t="str">
        <f t="array" ref="J1438">IF(
  AND(
    IFERROR(MATCH(B1438, data!D:D, 0), 0) &gt; 0,
    IFERROR(INDEX(data!N:N, MATCH(B1438, data!D:D, 0)) = 1, FALSE)
  ),
  INDEX(data!C:C, MATCH(B1438, data!D:D, 0)),
  "INC"
)</f>
        <v>2025-09-22T10:39:09.542+08</v>
      </c>
      <c r="K1438" s="9" t="str">
        <f t="array" ref="K1438">IFERROR(INDEX(dataICM!C:C,match(Caseslist!B1438,dataICM!D:D,0)), "INC")</f>
        <v>2025-09-22T10:48:34.309+08</v>
      </c>
      <c r="L1438" s="10" t="str">
        <f t="array" ref="L1438">IF(AND(G1438="COMPLETE", OR(K1438="INC", ISBLANK(INDEX(data!O:O, ROW())))), J1438, K1438)</f>
        <v>2025-09-22T10:48:34.309+08</v>
      </c>
      <c r="M1438" s="2">
        <v>45922.0</v>
      </c>
      <c r="N1438" s="2">
        <f t="array" ref="N1438">IF(M1438&lt;&gt;"INC", INDEX(data!M:M, MATCH(B1438, data!D:D, 0)), "")</f>
        <v>3</v>
      </c>
      <c r="O1438" s="2">
        <f t="shared" si="3"/>
        <v>3</v>
      </c>
    </row>
    <row r="1439">
      <c r="A1439" s="2" t="str">
        <f t="shared" si="1"/>
        <v>H030470</v>
      </c>
      <c r="B1439" s="1" t="s">
        <v>7943</v>
      </c>
      <c r="C1439" s="9" t="str">
        <f t="array" ref="C1439">IF(
  AND(
    IFERROR(MATCH(Caseslist!B1439, data!D:D, 0), 0) &gt; 0,
    IFERROR(INDEX(data!N:N, MATCH(Caseslist!B1439, data!D:D, 0)) = 1, FALSE)
  ),
  "COMPLETE",
  "INC"
)</f>
        <v>COMPLETE</v>
      </c>
      <c r="D1439" s="9" t="str">
        <f t="array" ref="D1439">IFERROR(INDEX(data!$G:$G,match(Caseslist!B1439,data!$D:$D,0)), "INC")</f>
        <v>B8193462</v>
      </c>
      <c r="E1439" s="9" t="str">
        <f t="array" ref="E1439">IFERROR(INDEX(data!H:H,match(Caseslist!B1439,data!D:D,0)), "INC")</f>
        <v>Mark Lorens Mendoza Gilongo</v>
      </c>
      <c r="F1439" s="10" t="str">
        <f t="array" ref="F1439">IF(
    OR(
      IFNA(INDEX(data!M:M, MATCH(Caseslist!B1439, data!D:D, 0)), "") = "",
      IFNA(INDEX(data!M:M, MATCH(Caseslist!B1439, data!D:D, 0)), 0) = 0
    ),
    "COMPLETE",
    IF(
      IFNA(INDEX(dataICM!D:D, MATCH(Caseslist!B1439, dataICM!D:D, 0)), "INC") = "INC",
      IFNA(INDEX(dataICM!D:D, MATCH(Caseslist!B1439, dataICM!D:D, 0)), "INC"),
      "COMPLETE"
    )
  )</f>
        <v>COMPLETE</v>
      </c>
      <c r="G1439" s="10" t="str">
        <f t="array" ref="G1439">IF(IFERROR(INDEX(data!L:L,match(Caseslist!B1439,data!D:D,0)),"INC")="","COMPLETE",F1439)</f>
        <v>COMPLETE</v>
      </c>
      <c r="H1439" s="9" t="str">
        <f t="array" ref="H1439">IFERROR(INDEX(dataICM!F:F,match(Caseslist!B1439,dataICM!D:D,0)), "INC")</f>
        <v>Mark Lorens Mendoza Gilongo</v>
      </c>
      <c r="I1439" s="10" t="str">
        <f t="shared" si="2"/>
        <v>B8193462</v>
      </c>
      <c r="J1439" s="9" t="str">
        <f t="array" ref="J1439">IF(
  AND(
    IFERROR(MATCH(B1439, data!D:D, 0), 0) &gt; 0,
    IFERROR(INDEX(data!N:N, MATCH(B1439, data!D:D, 0)) = 1, FALSE)
  ),
  INDEX(data!C:C, MATCH(B1439, data!D:D, 0)),
  "INC"
)</f>
        <v>2025-09-22T11:03:11.095+08</v>
      </c>
      <c r="K1439" s="9" t="str">
        <f t="array" ref="K1439">IFERROR(INDEX(dataICM!C:C,match(Caseslist!B1439,dataICM!D:D,0)), "INC")</f>
        <v>2025-09-22T12:52:03.215+08</v>
      </c>
      <c r="L1439" s="10" t="str">
        <f t="array" ref="L1439">IF(AND(G1439="COMPLETE", OR(K1439="INC", ISBLANK(INDEX(data!O:O, ROW())))), J1439, K1439)</f>
        <v>2025-09-22T12:52:03.215+08</v>
      </c>
      <c r="M1439" s="2">
        <v>45922.0</v>
      </c>
      <c r="N1439" s="2">
        <f t="array" ref="N1439">IF(M1439&lt;&gt;"INC", INDEX(data!M:M, MATCH(B1439, data!D:D, 0)), "")</f>
        <v>3</v>
      </c>
      <c r="O1439" s="2">
        <f t="shared" si="3"/>
        <v>3</v>
      </c>
    </row>
    <row r="1440">
      <c r="A1440" s="2" t="str">
        <f t="shared" si="1"/>
        <v>H030470</v>
      </c>
      <c r="B1440" s="1" t="s">
        <v>7893</v>
      </c>
      <c r="C1440" s="9" t="str">
        <f t="array" ref="C1440">IF(
  AND(
    IFERROR(MATCH(Caseslist!B1440, data!D:D, 0), 0) &gt; 0,
    IFERROR(INDEX(data!N:N, MATCH(Caseslist!B1440, data!D:D, 0)) = 1, FALSE)
  ),
  "COMPLETE",
  "INC"
)</f>
        <v>COMPLETE</v>
      </c>
      <c r="D1440" s="9" t="str">
        <f t="array" ref="D1440">IFERROR(INDEX(data!$G:$G,match(Caseslist!B1440,data!$D:$D,0)), "INC")</f>
        <v>C7502931</v>
      </c>
      <c r="E1440" s="9" t="str">
        <f t="array" ref="E1440">IFERROR(INDEX(data!H:H,match(Caseslist!B1440,data!D:D,0)), "INC")</f>
        <v>Jenny Lou Toles Estacio</v>
      </c>
      <c r="F1440" s="10" t="str">
        <f t="array" ref="F1440">IF(
    OR(
      IFNA(INDEX(data!M:M, MATCH(Caseslist!B1440, data!D:D, 0)), "") = "",
      IFNA(INDEX(data!M:M, MATCH(Caseslist!B1440, data!D:D, 0)), 0) = 0
    ),
    "COMPLETE",
    IF(
      IFNA(INDEX(dataICM!D:D, MATCH(Caseslist!B1440, dataICM!D:D, 0)), "INC") = "INC",
      IFNA(INDEX(dataICM!D:D, MATCH(Caseslist!B1440, dataICM!D:D, 0)), "INC"),
      "COMPLETE"
    )
  )</f>
        <v>COMPLETE</v>
      </c>
      <c r="G1440" s="10" t="str">
        <f t="array" ref="G1440">IF(IFERROR(INDEX(data!L:L,match(Caseslist!B1440,data!D:D,0)),"INC")="","COMPLETE",F1440)</f>
        <v>COMPLETE</v>
      </c>
      <c r="H1440" s="9" t="str">
        <f t="array" ref="H1440">IFERROR(INDEX(dataICM!F:F,match(Caseslist!B1440,dataICM!D:D,0)), "INC")</f>
        <v>Jenny Lou Toles Estacio</v>
      </c>
      <c r="I1440" s="10" t="str">
        <f t="shared" si="2"/>
        <v>C7502931</v>
      </c>
      <c r="J1440" s="9" t="str">
        <f t="array" ref="J1440">IF(
  AND(
    IFERROR(MATCH(B1440, data!D:D, 0), 0) &gt; 0,
    IFERROR(INDEX(data!N:N, MATCH(B1440, data!D:D, 0)) = 1, FALSE)
  ),
  INDEX(data!C:C, MATCH(B1440, data!D:D, 0)),
  "INC"
)</f>
        <v>2025-09-22T12:07:46.356+08</v>
      </c>
      <c r="K1440" s="9" t="str">
        <f t="array" ref="K1440">IFERROR(INDEX(dataICM!C:C,match(Caseslist!B1440,dataICM!D:D,0)), "INC")</f>
        <v>2025-09-22T12:51:07.032+08</v>
      </c>
      <c r="L1440" s="10" t="str">
        <f t="array" ref="L1440">IF(AND(G1440="COMPLETE", OR(K1440="INC", ISBLANK(INDEX(data!O:O, ROW())))), J1440, K1440)</f>
        <v>2025-09-22T12:51:07.032+08</v>
      </c>
      <c r="M1440" s="2">
        <v>45922.0</v>
      </c>
      <c r="N1440" s="2">
        <f t="array" ref="N1440">IF(M1440&lt;&gt;"INC", INDEX(data!M:M, MATCH(B1440, data!D:D, 0)), "")</f>
        <v>3</v>
      </c>
      <c r="O1440" s="2">
        <f t="shared" si="3"/>
        <v>3</v>
      </c>
    </row>
    <row r="1441">
      <c r="A1441" s="2" t="str">
        <f t="shared" si="1"/>
        <v>H030470</v>
      </c>
      <c r="B1441" s="1" t="s">
        <v>8048</v>
      </c>
      <c r="C1441" s="9" t="str">
        <f t="array" ref="C1441">IF(
  AND(
    IFERROR(MATCH(Caseslist!B1441, data!D:D, 0), 0) &gt; 0,
    IFERROR(INDEX(data!N:N, MATCH(Caseslist!B1441, data!D:D, 0)) = 1, FALSE)
  ),
  "COMPLETE",
  "INC"
)</f>
        <v>COMPLETE</v>
      </c>
      <c r="D1441" s="9" t="str">
        <f t="array" ref="D1441">IFERROR(INDEX(data!$G:$G,match(Caseslist!B1441,data!$D:$D,0)), "INC")</f>
        <v>D1284067</v>
      </c>
      <c r="E1441" s="9" t="str">
        <f t="array" ref="E1441">IFERROR(INDEX(data!H:H,match(Caseslist!B1441,data!D:D,0)), "INC")</f>
        <v>Mariel Del Rio</v>
      </c>
      <c r="F1441" s="10" t="str">
        <f t="array" ref="F1441">IF(
    OR(
      IFNA(INDEX(data!M:M, MATCH(Caseslist!B1441, data!D:D, 0)), "") = "",
      IFNA(INDEX(data!M:M, MATCH(Caseslist!B1441, data!D:D, 0)), 0) = 0
    ),
    "COMPLETE",
    IF(
      IFNA(INDEX(dataICM!D:D, MATCH(Caseslist!B1441, dataICM!D:D, 0)), "INC") = "INC",
      IFNA(INDEX(dataICM!D:D, MATCH(Caseslist!B1441, dataICM!D:D, 0)), "INC"),
      "COMPLETE"
    )
  )</f>
        <v>COMPLETE</v>
      </c>
      <c r="G1441" s="10" t="str">
        <f t="array" ref="G1441">IF(IFERROR(INDEX(data!L:L,match(Caseslist!B1441,data!D:D,0)),"INC")="","COMPLETE",F1441)</f>
        <v>COMPLETE</v>
      </c>
      <c r="H1441" s="9" t="str">
        <f t="array" ref="H1441">IFERROR(INDEX(dataICM!F:F,match(Caseslist!B1441,dataICM!D:D,0)), "INC")</f>
        <v>Mariel Del Rio</v>
      </c>
      <c r="I1441" s="10" t="str">
        <f t="shared" si="2"/>
        <v>D1284067</v>
      </c>
      <c r="J1441" s="9" t="str">
        <f t="array" ref="J1441">IF(
  AND(
    IFERROR(MATCH(B1441, data!D:D, 0), 0) &gt; 0,
    IFERROR(INDEX(data!N:N, MATCH(B1441, data!D:D, 0)) = 1, FALSE)
  ),
  INDEX(data!C:C, MATCH(B1441, data!D:D, 0)),
  "INC"
)</f>
        <v>2025-09-22T11:22:10.343+08</v>
      </c>
      <c r="K1441" s="9" t="str">
        <f t="array" ref="K1441">IFERROR(INDEX(dataICM!C:C,match(Caseslist!B1441,dataICM!D:D,0)), "INC")</f>
        <v>2025-09-22T11:34:15.227+08</v>
      </c>
      <c r="L1441" s="10" t="str">
        <f t="array" ref="L1441">IF(AND(G1441="COMPLETE", OR(K1441="INC", ISBLANK(INDEX(data!O:O, ROW())))), J1441, K1441)</f>
        <v>2025-09-22T11:34:15.227+08</v>
      </c>
      <c r="M1441" s="2">
        <v>45922.0</v>
      </c>
      <c r="N1441" s="2">
        <f t="array" ref="N1441">IF(M1441&lt;&gt;"INC", INDEX(data!M:M, MATCH(B1441, data!D:D, 0)), "")</f>
        <v>3</v>
      </c>
      <c r="O1441" s="2">
        <f t="shared" si="3"/>
        <v>3</v>
      </c>
    </row>
    <row r="1442">
      <c r="A1442" s="2" t="str">
        <f t="shared" si="1"/>
        <v>H030470</v>
      </c>
      <c r="B1442" s="1" t="s">
        <v>7953</v>
      </c>
      <c r="C1442" s="9" t="str">
        <f t="array" ref="C1442">IF(
  AND(
    IFERROR(MATCH(Caseslist!B1442, data!D:D, 0), 0) &gt; 0,
    IFERROR(INDEX(data!N:N, MATCH(Caseslist!B1442, data!D:D, 0)) = 1, FALSE)
  ),
  "COMPLETE",
  "INC"
)</f>
        <v>COMPLETE</v>
      </c>
      <c r="D1442" s="9">
        <f t="array" ref="D1442">IFERROR(INDEX(data!$G:$G,match(Caseslist!B1442,data!$D:$D,0)), "INC")</f>
        <v>896791</v>
      </c>
      <c r="E1442" s="9" t="str">
        <f t="array" ref="E1442">IFERROR(INDEX(data!H:H,match(Caseslist!B1442,data!D:D,0)), "INC")</f>
        <v>Roland A. Bandiola jr_2</v>
      </c>
      <c r="F1442" s="10" t="str">
        <f t="array" ref="F1442">IF(
    OR(
      IFNA(INDEX(data!M:M, MATCH(Caseslist!B1442, data!D:D, 0)), "") = "",
      IFNA(INDEX(data!M:M, MATCH(Caseslist!B1442, data!D:D, 0)), 0) = 0
    ),
    "COMPLETE",
    IF(
      IFNA(INDEX(dataICM!D:D, MATCH(Caseslist!B1442, dataICM!D:D, 0)), "INC") = "INC",
      IFNA(INDEX(dataICM!D:D, MATCH(Caseslist!B1442, dataICM!D:D, 0)), "INC"),
      "COMPLETE"
    )
  )</f>
        <v>COMPLETE</v>
      </c>
      <c r="G1442" s="10" t="str">
        <f t="array" ref="G1442">IF(IFERROR(INDEX(data!L:L,match(Caseslist!B1442,data!D:D,0)),"INC")="","COMPLETE",F1442)</f>
        <v>COMPLETE</v>
      </c>
      <c r="H1442" s="9" t="str">
        <f t="array" ref="H1442">IFERROR(INDEX(dataICM!F:F,match(Caseslist!B1442,dataICM!D:D,0)), "INC")</f>
        <v>Roland A. Bandiola jr_2</v>
      </c>
      <c r="I1442" s="10">
        <f t="shared" si="2"/>
        <v>896791</v>
      </c>
      <c r="J1442" s="9" t="str">
        <f t="array" ref="J1442">IF(
  AND(
    IFERROR(MATCH(B1442, data!D:D, 0), 0) &gt; 0,
    IFERROR(INDEX(data!N:N, MATCH(B1442, data!D:D, 0)) = 1, FALSE)
  ),
  INDEX(data!C:C, MATCH(B1442, data!D:D, 0)),
  "INC"
)</f>
        <v>2025-09-22T11:24:00.314+08</v>
      </c>
      <c r="K1442" s="9" t="str">
        <f t="array" ref="K1442">IFERROR(INDEX(dataICM!C:C,match(Caseslist!B1442,dataICM!D:D,0)), "INC")</f>
        <v>2025-09-22T11:32:18.044+08</v>
      </c>
      <c r="L1442" s="10" t="str">
        <f t="array" ref="L1442">IF(AND(G1442="COMPLETE", OR(K1442="INC", ISBLANK(INDEX(data!O:O, ROW())))), J1442, K1442)</f>
        <v>2025-09-22T11:32:18.044+08</v>
      </c>
      <c r="M1442" s="2">
        <v>45922.0</v>
      </c>
      <c r="N1442" s="2">
        <f t="array" ref="N1442">IF(M1442&lt;&gt;"INC", INDEX(data!M:M, MATCH(B1442, data!D:D, 0)), "")</f>
        <v>3</v>
      </c>
      <c r="O1442" s="2">
        <f t="shared" si="3"/>
        <v>3</v>
      </c>
    </row>
    <row r="1443">
      <c r="A1443" s="2" t="str">
        <f t="shared" si="1"/>
        <v>H030470</v>
      </c>
      <c r="B1443" s="1" t="s">
        <v>7958</v>
      </c>
      <c r="C1443" s="9" t="str">
        <f t="array" ref="C1443">IF(
  AND(
    IFERROR(MATCH(Caseslist!B1443, data!D:D, 0), 0) &gt; 0,
    IFERROR(INDEX(data!N:N, MATCH(Caseslist!B1443, data!D:D, 0)) = 1, FALSE)
  ),
  "COMPLETE",
  "INC"
)</f>
        <v>COMPLETE</v>
      </c>
      <c r="D1443" s="9">
        <f t="array" ref="D1443">IFERROR(INDEX(data!$G:$G,match(Caseslist!B1443,data!$D:$D,0)), "INC")</f>
        <v>896791</v>
      </c>
      <c r="E1443" s="9" t="str">
        <f t="array" ref="E1443">IFERROR(INDEX(data!H:H,match(Caseslist!B1443,data!D:D,0)), "INC")</f>
        <v>Roland A. Bandiola jr_2</v>
      </c>
      <c r="F1443" s="10" t="str">
        <f t="array" ref="F1443">IF(
    OR(
      IFNA(INDEX(data!M:M, MATCH(Caseslist!B1443, data!D:D, 0)), "") = "",
      IFNA(INDEX(data!M:M, MATCH(Caseslist!B1443, data!D:D, 0)), 0) = 0
    ),
    "COMPLETE",
    IF(
      IFNA(INDEX(dataICM!D:D, MATCH(Caseslist!B1443, dataICM!D:D, 0)), "INC") = "INC",
      IFNA(INDEX(dataICM!D:D, MATCH(Caseslist!B1443, dataICM!D:D, 0)), "INC"),
      "COMPLETE"
    )
  )</f>
        <v>COMPLETE</v>
      </c>
      <c r="G1443" s="10" t="str">
        <f t="array" ref="G1443">IF(IFERROR(INDEX(data!L:L,match(Caseslist!B1443,data!D:D,0)),"INC")="","COMPLETE",F1443)</f>
        <v>COMPLETE</v>
      </c>
      <c r="H1443" s="9" t="str">
        <f t="array" ref="H1443">IFERROR(INDEX(dataICM!F:F,match(Caseslist!B1443,dataICM!D:D,0)), "INC")</f>
        <v>Roland A. Bandiola jr_2</v>
      </c>
      <c r="I1443" s="10">
        <f t="shared" si="2"/>
        <v>896791</v>
      </c>
      <c r="J1443" s="9" t="str">
        <f t="array" ref="J1443">IF(
  AND(
    IFERROR(MATCH(B1443, data!D:D, 0), 0) &gt; 0,
    IFERROR(INDEX(data!N:N, MATCH(B1443, data!D:D, 0)) = 1, FALSE)
  ),
  INDEX(data!C:C, MATCH(B1443, data!D:D, 0)),
  "INC"
)</f>
        <v>2025-09-22T13:09:47.430+08</v>
      </c>
      <c r="K1443" s="9" t="str">
        <f t="array" ref="K1443">IFERROR(INDEX(dataICM!C:C,match(Caseslist!B1443,dataICM!D:D,0)), "INC")</f>
        <v>2025-09-22T13:20:40.870+08</v>
      </c>
      <c r="L1443" s="10" t="str">
        <f t="array" ref="L1443">IF(AND(G1443="COMPLETE", OR(K1443="INC", ISBLANK(INDEX(data!O:O, ROW())))), J1443, K1443)</f>
        <v>2025-09-22T13:20:40.870+08</v>
      </c>
      <c r="M1443" s="2">
        <v>45922.0</v>
      </c>
      <c r="N1443" s="2">
        <f t="array" ref="N1443">IF(M1443&lt;&gt;"INC", INDEX(data!M:M, MATCH(B1443, data!D:D, 0)), "")</f>
        <v>3</v>
      </c>
      <c r="O1443" s="2">
        <f t="shared" si="3"/>
        <v>3</v>
      </c>
    </row>
    <row r="1444">
      <c r="A1444" s="2" t="str">
        <f t="shared" si="1"/>
        <v>H030470</v>
      </c>
      <c r="B1444" s="1" t="s">
        <v>8238</v>
      </c>
      <c r="C1444" s="9" t="str">
        <f t="array" ref="C1444">IF(
  AND(
    IFERROR(MATCH(Caseslist!B1444, data!D:D, 0), 0) &gt; 0,
    IFERROR(INDEX(data!N:N, MATCH(Caseslist!B1444, data!D:D, 0)) = 1, FALSE)
  ),
  "COMPLETE",
  "INC"
)</f>
        <v>COMPLETE</v>
      </c>
      <c r="D1444" s="9">
        <f t="array" ref="D1444">IFERROR(INDEX(data!$G:$G,match(Caseslist!B1444,data!$D:$D,0)), "INC")</f>
        <v>896791</v>
      </c>
      <c r="E1444" s="9" t="str">
        <f t="array" ref="E1444">IFERROR(INDEX(data!H:H,match(Caseslist!B1444,data!D:D,0)), "INC")</f>
        <v>Roland A. Bandiola jr_2</v>
      </c>
      <c r="F1444" s="10" t="str">
        <f t="array" ref="F1444">IF(
    OR(
      IFNA(INDEX(data!M:M, MATCH(Caseslist!B1444, data!D:D, 0)), "") = "",
      IFNA(INDEX(data!M:M, MATCH(Caseslist!B1444, data!D:D, 0)), 0) = 0
    ),
    "COMPLETE",
    IF(
      IFNA(INDEX(dataICM!D:D, MATCH(Caseslist!B1444, dataICM!D:D, 0)), "INC") = "INC",
      IFNA(INDEX(dataICM!D:D, MATCH(Caseslist!B1444, dataICM!D:D, 0)), "INC"),
      "COMPLETE"
    )
  )</f>
        <v>COMPLETE</v>
      </c>
      <c r="G1444" s="10" t="str">
        <f t="array" ref="G1444">IF(IFERROR(INDEX(data!L:L,match(Caseslist!B1444,data!D:D,0)),"INC")="","COMPLETE",F1444)</f>
        <v>COMPLETE</v>
      </c>
      <c r="H1444" s="9" t="str">
        <f t="array" ref="H1444">IFERROR(INDEX(dataICM!F:F,match(Caseslist!B1444,dataICM!D:D,0)), "INC")</f>
        <v>Roland A. Bandiola jr_2</v>
      </c>
      <c r="I1444" s="10">
        <f t="shared" si="2"/>
        <v>896791</v>
      </c>
      <c r="J1444" s="9" t="str">
        <f t="array" ref="J1444">IF(
  AND(
    IFERROR(MATCH(B1444, data!D:D, 0), 0) &gt; 0,
    IFERROR(INDEX(data!N:N, MATCH(B1444, data!D:D, 0)) = 1, FALSE)
  ),
  INDEX(data!C:C, MATCH(B1444, data!D:D, 0)),
  "INC"
)</f>
        <v>2025-09-23T10:27:28.892+08</v>
      </c>
      <c r="K1444" s="9" t="str">
        <f t="array" ref="K1444">IFERROR(INDEX(dataICM!C:C,match(Caseslist!B1444,dataICM!D:D,0)), "INC")</f>
        <v>2025-09-23T10:40:10.551+08</v>
      </c>
      <c r="L1444" s="10" t="str">
        <f t="array" ref="L1444">IF(AND(G1444="COMPLETE", OR(K1444="INC", ISBLANK(INDEX(data!O:O, ROW())))), J1444, K1444)</f>
        <v>2025-09-23T10:40:10.551+08</v>
      </c>
      <c r="M1444" s="2">
        <v>45923.0</v>
      </c>
      <c r="N1444" s="2">
        <f t="array" ref="N1444">IF(M1444&lt;&gt;"INC", INDEX(data!M:M, MATCH(B1444, data!D:D, 0)), "")</f>
        <v>3</v>
      </c>
      <c r="O1444" s="2">
        <f t="shared" si="3"/>
        <v>3</v>
      </c>
    </row>
    <row r="1445">
      <c r="A1445" s="2" t="str">
        <f t="shared" si="1"/>
        <v>H030470</v>
      </c>
      <c r="B1445" s="1" t="s">
        <v>8243</v>
      </c>
      <c r="C1445" s="9" t="str">
        <f t="array" ref="C1445">IF(
  AND(
    IFERROR(MATCH(Caseslist!B1445, data!D:D, 0), 0) &gt; 0,
    IFERROR(INDEX(data!N:N, MATCH(Caseslist!B1445, data!D:D, 0)) = 1, FALSE)
  ),
  "COMPLETE",
  "INC"
)</f>
        <v>COMPLETE</v>
      </c>
      <c r="D1445" s="9">
        <f t="array" ref="D1445">IFERROR(INDEX(data!$G:$G,match(Caseslist!B1445,data!$D:$D,0)), "INC")</f>
        <v>896791</v>
      </c>
      <c r="E1445" s="9" t="str">
        <f t="array" ref="E1445">IFERROR(INDEX(data!H:H,match(Caseslist!B1445,data!D:D,0)), "INC")</f>
        <v>Roland A. Bandiola jr_2</v>
      </c>
      <c r="F1445" s="10" t="str">
        <f t="array" ref="F1445">IF(
    OR(
      IFNA(INDEX(data!M:M, MATCH(Caseslist!B1445, data!D:D, 0)), "") = "",
      IFNA(INDEX(data!M:M, MATCH(Caseslist!B1445, data!D:D, 0)), 0) = 0
    ),
    "COMPLETE",
    IF(
      IFNA(INDEX(dataICM!D:D, MATCH(Caseslist!B1445, dataICM!D:D, 0)), "INC") = "INC",
      IFNA(INDEX(dataICM!D:D, MATCH(Caseslist!B1445, dataICM!D:D, 0)), "INC"),
      "COMPLETE"
    )
  )</f>
        <v>COMPLETE</v>
      </c>
      <c r="G1445" s="10" t="str">
        <f t="array" ref="G1445">IF(IFERROR(INDEX(data!L:L,match(Caseslist!B1445,data!D:D,0)),"INC")="","COMPLETE",F1445)</f>
        <v>COMPLETE</v>
      </c>
      <c r="H1445" s="9" t="str">
        <f t="array" ref="H1445">IFERROR(INDEX(dataICM!F:F,match(Caseslist!B1445,dataICM!D:D,0)), "INC")</f>
        <v>Roland A. Bandiola jr_2</v>
      </c>
      <c r="I1445" s="10">
        <f t="shared" si="2"/>
        <v>896791</v>
      </c>
      <c r="J1445" s="9" t="str">
        <f t="array" ref="J1445">IF(
  AND(
    IFERROR(MATCH(B1445, data!D:D, 0), 0) &gt; 0,
    IFERROR(INDEX(data!N:N, MATCH(B1445, data!D:D, 0)) = 1, FALSE)
  ),
  INDEX(data!C:C, MATCH(B1445, data!D:D, 0)),
  "INC"
)</f>
        <v>2025-09-23T12:00:07.793+08</v>
      </c>
      <c r="K1445" s="9" t="str">
        <f t="array" ref="K1445">IFERROR(INDEX(dataICM!C:C,match(Caseslist!B1445,dataICM!D:D,0)), "INC")</f>
        <v>2025-09-23T12:19:05.871+08</v>
      </c>
      <c r="L1445" s="10" t="str">
        <f t="array" ref="L1445">IF(AND(G1445="COMPLETE", OR(K1445="INC", ISBLANK(INDEX(data!O:O, ROW())))), J1445, K1445)</f>
        <v>2025-09-23T12:19:05.871+08</v>
      </c>
      <c r="M1445" s="2">
        <v>45923.0</v>
      </c>
      <c r="N1445" s="2">
        <f t="array" ref="N1445">IF(M1445&lt;&gt;"INC", INDEX(data!M:M, MATCH(B1445, data!D:D, 0)), "")</f>
        <v>3</v>
      </c>
      <c r="O1445" s="2">
        <f t="shared" si="3"/>
        <v>3</v>
      </c>
    </row>
    <row r="1446">
      <c r="A1446" s="2" t="str">
        <f t="shared" si="1"/>
        <v>H030470</v>
      </c>
      <c r="B1446" s="1" t="s">
        <v>8248</v>
      </c>
      <c r="C1446" s="9" t="str">
        <f t="array" ref="C1446">IF(
  AND(
    IFERROR(MATCH(Caseslist!B1446, data!D:D, 0), 0) &gt; 0,
    IFERROR(INDEX(data!N:N, MATCH(Caseslist!B1446, data!D:D, 0)) = 1, FALSE)
  ),
  "COMPLETE",
  "INC"
)</f>
        <v>COMPLETE</v>
      </c>
      <c r="D1446" s="9">
        <f t="array" ref="D1446">IFERROR(INDEX(data!$G:$G,match(Caseslist!B1446,data!$D:$D,0)), "INC")</f>
        <v>896791</v>
      </c>
      <c r="E1446" s="9" t="str">
        <f t="array" ref="E1446">IFERROR(INDEX(data!H:H,match(Caseslist!B1446,data!D:D,0)), "INC")</f>
        <v>Roland A. Bandiola jr_2</v>
      </c>
      <c r="F1446" s="10" t="str">
        <f t="array" ref="F1446">IF(
    OR(
      IFNA(INDEX(data!M:M, MATCH(Caseslist!B1446, data!D:D, 0)), "") = "",
      IFNA(INDEX(data!M:M, MATCH(Caseslist!B1446, data!D:D, 0)), 0) = 0
    ),
    "COMPLETE",
    IF(
      IFNA(INDEX(dataICM!D:D, MATCH(Caseslist!B1446, dataICM!D:D, 0)), "INC") = "INC",
      IFNA(INDEX(dataICM!D:D, MATCH(Caseslist!B1446, dataICM!D:D, 0)), "INC"),
      "COMPLETE"
    )
  )</f>
        <v>COMPLETE</v>
      </c>
      <c r="G1446" s="10" t="str">
        <f t="array" ref="G1446">IF(IFERROR(INDEX(data!L:L,match(Caseslist!B1446,data!D:D,0)),"INC")="","COMPLETE",F1446)</f>
        <v>COMPLETE</v>
      </c>
      <c r="H1446" s="9" t="str">
        <f t="array" ref="H1446">IFERROR(INDEX(dataICM!F:F,match(Caseslist!B1446,dataICM!D:D,0)), "INC")</f>
        <v>Roland A. Bandiola jr_2</v>
      </c>
      <c r="I1446" s="10">
        <f t="shared" si="2"/>
        <v>896791</v>
      </c>
      <c r="J1446" s="9" t="str">
        <f t="array" ref="J1446">IF(
  AND(
    IFERROR(MATCH(B1446, data!D:D, 0), 0) &gt; 0,
    IFERROR(INDEX(data!N:N, MATCH(B1446, data!D:D, 0)) = 1, FALSE)
  ),
  INDEX(data!C:C, MATCH(B1446, data!D:D, 0)),
  "INC"
)</f>
        <v>2025-09-23T13:47:10.054+08</v>
      </c>
      <c r="K1446" s="9" t="str">
        <f t="array" ref="K1446">IFERROR(INDEX(dataICM!C:C,match(Caseslist!B1446,dataICM!D:D,0)), "INC")</f>
        <v>2025-09-23T13:55:47.099+08</v>
      </c>
      <c r="L1446" s="10" t="str">
        <f t="array" ref="L1446">IF(AND(G1446="COMPLETE", OR(K1446="INC", ISBLANK(INDEX(data!O:O, ROW())))), J1446, K1446)</f>
        <v>2025-09-23T13:55:47.099+08</v>
      </c>
      <c r="M1446" s="2">
        <v>45923.0</v>
      </c>
      <c r="N1446" s="2">
        <f t="array" ref="N1446">IF(M1446&lt;&gt;"INC", INDEX(data!M:M, MATCH(B1446, data!D:D, 0)), "")</f>
        <v>3</v>
      </c>
      <c r="O1446" s="2">
        <f t="shared" si="3"/>
        <v>3</v>
      </c>
    </row>
    <row r="1447">
      <c r="A1447" s="2" t="str">
        <f t="shared" si="1"/>
        <v>H030470</v>
      </c>
      <c r="B1447" s="1" t="s">
        <v>7898</v>
      </c>
      <c r="C1447" s="9" t="str">
        <f t="array" ref="C1447">IF(
  AND(
    IFERROR(MATCH(Caseslist!B1447, data!D:D, 0), 0) &gt; 0,
    IFERROR(INDEX(data!N:N, MATCH(Caseslist!B1447, data!D:D, 0)) = 1, FALSE)
  ),
  "COMPLETE",
  "INC"
)</f>
        <v>COMPLETE</v>
      </c>
      <c r="D1447" s="9">
        <f t="array" ref="D1447">IFERROR(INDEX(data!$G:$G,match(Caseslist!B1447,data!$D:$D,0)), "INC")</f>
        <v>896791</v>
      </c>
      <c r="E1447" s="9" t="str">
        <f t="array" ref="E1447">IFERROR(INDEX(data!H:H,match(Caseslist!B1447,data!D:D,0)), "INC")</f>
        <v>Roland A. Bandiola jr_2</v>
      </c>
      <c r="F1447" s="10" t="str">
        <f t="array" ref="F1447">IF(
    OR(
      IFNA(INDEX(data!M:M, MATCH(Caseslist!B1447, data!D:D, 0)), "") = "",
      IFNA(INDEX(data!M:M, MATCH(Caseslist!B1447, data!D:D, 0)), 0) = 0
    ),
    "COMPLETE",
    IF(
      IFNA(INDEX(dataICM!D:D, MATCH(Caseslist!B1447, dataICM!D:D, 0)), "INC") = "INC",
      IFNA(INDEX(dataICM!D:D, MATCH(Caseslist!B1447, dataICM!D:D, 0)), "INC"),
      "COMPLETE"
    )
  )</f>
        <v>COMPLETE</v>
      </c>
      <c r="G1447" s="10" t="str">
        <f t="array" ref="G1447">IF(IFERROR(INDEX(data!L:L,match(Caseslist!B1447,data!D:D,0)),"INC")="","COMPLETE",F1447)</f>
        <v>COMPLETE</v>
      </c>
      <c r="H1447" s="9" t="str">
        <f t="array" ref="H1447">IFERROR(INDEX(dataICM!F:F,match(Caseslist!B1447,dataICM!D:D,0)), "INC")</f>
        <v>Roland A. Bandiola jr_2</v>
      </c>
      <c r="I1447" s="10">
        <f t="shared" si="2"/>
        <v>896791</v>
      </c>
      <c r="J1447" s="9" t="str">
        <f t="array" ref="J1447">IF(
  AND(
    IFERROR(MATCH(B1447, data!D:D, 0), 0) &gt; 0,
    IFERROR(INDEX(data!N:N, MATCH(B1447, data!D:D, 0)) = 1, FALSE)
  ),
  INDEX(data!C:C, MATCH(B1447, data!D:D, 0)),
  "INC"
)</f>
        <v>2025-10-03T14:55:33.808+08</v>
      </c>
      <c r="K1447" s="9" t="str">
        <f t="array" ref="K1447">IFERROR(INDEX(dataICM!C:C,match(Caseslist!B1447,dataICM!D:D,0)), "INC")</f>
        <v>2025-10-03T15:06:07.513+08</v>
      </c>
      <c r="L1447" s="10" t="str">
        <f t="array" ref="L1447">IF(AND(G1447="COMPLETE", OR(K1447="INC", ISBLANK(INDEX(data!O:O, ROW())))), J1447, K1447)</f>
        <v>2025-10-03T15:06:07.513+08</v>
      </c>
      <c r="M1447" s="2">
        <v>45933.0</v>
      </c>
      <c r="N1447" s="2">
        <f t="array" ref="N1447">IF(M1447&lt;&gt;"INC", INDEX(data!M:M, MATCH(B1447, data!D:D, 0)), "")</f>
        <v>3</v>
      </c>
      <c r="O1447" s="2">
        <f t="shared" si="3"/>
        <v>3</v>
      </c>
    </row>
    <row r="1448">
      <c r="A1448" s="2" t="str">
        <f t="shared" si="1"/>
        <v>H030507</v>
      </c>
      <c r="B1448" s="1" t="s">
        <v>2048</v>
      </c>
      <c r="C1448" s="9" t="str">
        <f t="array" ref="C1448">IF(
  AND(
    IFERROR(MATCH(Caseslist!B1448, data!D:D, 0), 0) &gt; 0,
    IFERROR(INDEX(data!N:N, MATCH(Caseslist!B1448, data!D:D, 0)) = 1, FALSE)
  ),
  "COMPLETE",
  "INC"
)</f>
        <v>COMPLETE</v>
      </c>
      <c r="D1448" s="9" t="str">
        <f t="array" ref="D1448">IFERROR(INDEX(data!$G:$G,match(Caseslist!B1448,data!$D:$D,0)), "INC")</f>
        <v>J4315980</v>
      </c>
      <c r="E1448" s="9" t="str">
        <f t="array" ref="E1448">IFERROR(INDEX(data!H:H,match(Caseslist!B1448,data!D:D,0)), "INC")</f>
        <v>Trixie Marie Jardeleza Saber</v>
      </c>
      <c r="F1448" s="10" t="str">
        <f t="array" ref="F1448">IF(
    OR(
      IFNA(INDEX(data!M:M, MATCH(Caseslist!B1448, data!D:D, 0)), "") = "",
      IFNA(INDEX(data!M:M, MATCH(Caseslist!B1448, data!D:D, 0)), 0) = 0
    ),
    "COMPLETE",
    IF(
      IFNA(INDEX(dataICM!D:D, MATCH(Caseslist!B1448, dataICM!D:D, 0)), "INC") = "INC",
      IFNA(INDEX(dataICM!D:D, MATCH(Caseslist!B1448, dataICM!D:D, 0)), "INC"),
      "COMPLETE"
    )
  )</f>
        <v>COMPLETE</v>
      </c>
      <c r="G1448" s="10" t="str">
        <f t="array" ref="G1448">IF(IFERROR(INDEX(data!L:L,match(Caseslist!B1448,data!D:D,0)),"INC")="","COMPLETE",F1448)</f>
        <v>COMPLETE</v>
      </c>
      <c r="H1448" s="9" t="str">
        <f t="array" ref="H1448">IFERROR(INDEX(dataICM!F:F,match(Caseslist!B1448,dataICM!D:D,0)), "INC")</f>
        <v>Trixie Marie Jardeleza Saber</v>
      </c>
      <c r="I1448" s="10" t="str">
        <f t="shared" si="2"/>
        <v>J4315980</v>
      </c>
      <c r="J1448" s="9" t="str">
        <f t="array" ref="J1448">IF(
  AND(
    IFERROR(MATCH(B1448, data!D:D, 0), 0) &gt; 0,
    IFERROR(INDEX(data!N:N, MATCH(B1448, data!D:D, 0)) = 1, FALSE)
  ),
  INDEX(data!C:C, MATCH(B1448, data!D:D, 0)),
  "INC"
)</f>
        <v>2025-08-31T13:33:11.621+08</v>
      </c>
      <c r="K1448" s="9" t="str">
        <f t="array" ref="K1448">IFERROR(INDEX(dataICM!C:C,match(Caseslist!B1448,dataICM!D:D,0)), "INC")</f>
        <v>2025-08-31T13:51:23.527+08</v>
      </c>
      <c r="L1448" s="10" t="str">
        <f t="array" ref="L1448">IF(AND(G1448="COMPLETE", OR(K1448="INC", ISBLANK(INDEX(data!O:O, ROW())))), J1448, K1448)</f>
        <v>2025-08-31T13:51:23.527+08</v>
      </c>
      <c r="M1448" s="2">
        <v>45900.0</v>
      </c>
      <c r="N1448" s="2">
        <f t="array" ref="N1448">IF(M1448&lt;&gt;"INC", INDEX(data!M:M, MATCH(B1448, data!D:D, 0)), "")</f>
        <v>3</v>
      </c>
      <c r="O1448" s="2">
        <f t="shared" si="3"/>
        <v>3</v>
      </c>
    </row>
    <row r="1449">
      <c r="A1449" s="2" t="str">
        <f t="shared" si="1"/>
        <v>H030507</v>
      </c>
      <c r="B1449" s="1" t="s">
        <v>1727</v>
      </c>
      <c r="C1449" s="9" t="str">
        <f t="array" ref="C1449">IF(
  AND(
    IFERROR(MATCH(Caseslist!B1449, data!D:D, 0), 0) &gt; 0,
    IFERROR(INDEX(data!N:N, MATCH(Caseslist!B1449, data!D:D, 0)) = 1, FALSE)
  ),
  "COMPLETE",
  "INC"
)</f>
        <v>COMPLETE</v>
      </c>
      <c r="D1449" s="9" t="str">
        <f t="array" ref="D1449">IFERROR(INDEX(data!$G:$G,match(Caseslist!B1449,data!$D:$D,0)), "INC")</f>
        <v>M6491032</v>
      </c>
      <c r="E1449" s="9" t="str">
        <f t="array" ref="E1449">IFERROR(INDEX(data!H:H,match(Caseslist!B1449,data!D:D,0)), "INC")</f>
        <v>Rosevil Tayo Desamparado</v>
      </c>
      <c r="F1449" s="10" t="str">
        <f t="array" ref="F1449">IF(
    OR(
      IFNA(INDEX(data!M:M, MATCH(Caseslist!B1449, data!D:D, 0)), "") = "",
      IFNA(INDEX(data!M:M, MATCH(Caseslist!B1449, data!D:D, 0)), 0) = 0
    ),
    "COMPLETE",
    IF(
      IFNA(INDEX(dataICM!D:D, MATCH(Caseslist!B1449, dataICM!D:D, 0)), "INC") = "INC",
      IFNA(INDEX(dataICM!D:D, MATCH(Caseslist!B1449, dataICM!D:D, 0)), "INC"),
      "COMPLETE"
    )
  )</f>
        <v>COMPLETE</v>
      </c>
      <c r="G1449" s="10" t="str">
        <f t="array" ref="G1449">IF(IFERROR(INDEX(data!L:L,match(Caseslist!B1449,data!D:D,0)),"INC")="","COMPLETE",F1449)</f>
        <v>COMPLETE</v>
      </c>
      <c r="H1449" s="9" t="str">
        <f t="array" ref="H1449">IFERROR(INDEX(dataICM!F:F,match(Caseslist!B1449,dataICM!D:D,0)), "INC")</f>
        <v>Rosevil Tayo Desamparado</v>
      </c>
      <c r="I1449" s="10" t="str">
        <f t="shared" si="2"/>
        <v>M6491032</v>
      </c>
      <c r="J1449" s="9" t="str">
        <f t="array" ref="J1449">IF(
  AND(
    IFERROR(MATCH(B1449, data!D:D, 0), 0) &gt; 0,
    IFERROR(INDEX(data!N:N, MATCH(B1449, data!D:D, 0)) = 1, FALSE)
  ),
  INDEX(data!C:C, MATCH(B1449, data!D:D, 0)),
  "INC"
)</f>
        <v>2025-08-29T10:22:39.750+08</v>
      </c>
      <c r="K1449" s="9" t="str">
        <f t="array" ref="K1449">IFERROR(INDEX(dataICM!C:C,match(Caseslist!B1449,dataICM!D:D,0)), "INC")</f>
        <v>2025-08-29T10:35:22.307+08</v>
      </c>
      <c r="L1449" s="10" t="str">
        <f t="array" ref="L1449">IF(AND(G1449="COMPLETE", OR(K1449="INC", ISBLANK(INDEX(data!O:O, ROW())))), J1449, K1449)</f>
        <v>2025-08-29T10:35:22.307+08</v>
      </c>
      <c r="M1449" s="2">
        <v>45898.0</v>
      </c>
      <c r="N1449" s="2">
        <f t="array" ref="N1449">IF(M1449&lt;&gt;"INC", INDEX(data!M:M, MATCH(B1449, data!D:D, 0)), "")</f>
        <v>3</v>
      </c>
      <c r="O1449" s="2">
        <f t="shared" si="3"/>
        <v>3</v>
      </c>
    </row>
    <row r="1450">
      <c r="A1450" s="2" t="str">
        <f t="shared" si="1"/>
        <v>H030507</v>
      </c>
      <c r="B1450" s="1" t="s">
        <v>1732</v>
      </c>
      <c r="C1450" s="9" t="str">
        <f t="array" ref="C1450">IF(
  AND(
    IFERROR(MATCH(Caseslist!B1450, data!D:D, 0), 0) &gt; 0,
    IFERROR(INDEX(data!N:N, MATCH(Caseslist!B1450, data!D:D, 0)) = 1, FALSE)
  ),
  "COMPLETE",
  "INC"
)</f>
        <v>COMPLETE</v>
      </c>
      <c r="D1450" s="9" t="str">
        <f t="array" ref="D1450">IFERROR(INDEX(data!$G:$G,match(Caseslist!B1450,data!$D:$D,0)), "INC")</f>
        <v>M6491032</v>
      </c>
      <c r="E1450" s="9" t="str">
        <f t="array" ref="E1450">IFERROR(INDEX(data!H:H,match(Caseslist!B1450,data!D:D,0)), "INC")</f>
        <v>Rosevil Tayo Desamparado</v>
      </c>
      <c r="F1450" s="10" t="str">
        <f t="array" ref="F1450">IF(
    OR(
      IFNA(INDEX(data!M:M, MATCH(Caseslist!B1450, data!D:D, 0)), "") = "",
      IFNA(INDEX(data!M:M, MATCH(Caseslist!B1450, data!D:D, 0)), 0) = 0
    ),
    "COMPLETE",
    IF(
      IFNA(INDEX(dataICM!D:D, MATCH(Caseslist!B1450, dataICM!D:D, 0)), "INC") = "INC",
      IFNA(INDEX(dataICM!D:D, MATCH(Caseslist!B1450, dataICM!D:D, 0)), "INC"),
      "COMPLETE"
    )
  )</f>
        <v>COMPLETE</v>
      </c>
      <c r="G1450" s="10" t="str">
        <f t="array" ref="G1450">IF(IFERROR(INDEX(data!L:L,match(Caseslist!B1450,data!D:D,0)),"INC")="","COMPLETE",F1450)</f>
        <v>COMPLETE</v>
      </c>
      <c r="H1450" s="9" t="str">
        <f t="array" ref="H1450">IFERROR(INDEX(dataICM!F:F,match(Caseslist!B1450,dataICM!D:D,0)), "INC")</f>
        <v>Rosevil Tayo Desamparado</v>
      </c>
      <c r="I1450" s="10" t="str">
        <f t="shared" si="2"/>
        <v>M6491032</v>
      </c>
      <c r="J1450" s="9" t="str">
        <f t="array" ref="J1450">IF(
  AND(
    IFERROR(MATCH(B1450, data!D:D, 0), 0) &gt; 0,
    IFERROR(INDEX(data!N:N, MATCH(B1450, data!D:D, 0)) = 1, FALSE)
  ),
  INDEX(data!C:C, MATCH(B1450, data!D:D, 0)),
  "INC"
)</f>
        <v>2025-08-29T11:32:46.449+08</v>
      </c>
      <c r="K1450" s="9" t="str">
        <f t="array" ref="K1450">IFERROR(INDEX(dataICM!C:C,match(Caseslist!B1450,dataICM!D:D,0)), "INC")</f>
        <v>2025-08-29T11:42:09.919+08</v>
      </c>
      <c r="L1450" s="10" t="str">
        <f t="array" ref="L1450">IF(AND(G1450="COMPLETE", OR(K1450="INC", ISBLANK(INDEX(data!O:O, ROW())))), J1450, K1450)</f>
        <v>2025-08-29T11:42:09.919+08</v>
      </c>
      <c r="M1450" s="2">
        <v>45898.0</v>
      </c>
      <c r="N1450" s="2">
        <f t="array" ref="N1450">IF(M1450&lt;&gt;"INC", INDEX(data!M:M, MATCH(B1450, data!D:D, 0)), "")</f>
        <v>3</v>
      </c>
      <c r="O1450" s="2">
        <f t="shared" si="3"/>
        <v>3</v>
      </c>
    </row>
    <row r="1451">
      <c r="A1451" s="2" t="str">
        <f t="shared" si="1"/>
        <v>H030507</v>
      </c>
      <c r="B1451" s="1" t="s">
        <v>1697</v>
      </c>
      <c r="C1451" s="9" t="str">
        <f t="array" ref="C1451">IF(
  AND(
    IFERROR(MATCH(Caseslist!B1451, data!D:D, 0), 0) &gt; 0,
    IFERROR(INDEX(data!N:N, MATCH(Caseslist!B1451, data!D:D, 0)) = 1, FALSE)
  ),
  "COMPLETE",
  "INC"
)</f>
        <v>COMPLETE</v>
      </c>
      <c r="D1451" s="9" t="str">
        <f t="array" ref="D1451">IFERROR(INDEX(data!$G:$G,match(Caseslist!B1451,data!$D:$D,0)), "INC")</f>
        <v>K8623174</v>
      </c>
      <c r="E1451" s="9" t="str">
        <f t="array" ref="E1451">IFERROR(INDEX(data!H:H,match(Caseslist!B1451,data!D:D,0)), "INC")</f>
        <v>Marielle Kaye Ignacio Alonzo</v>
      </c>
      <c r="F1451" s="10" t="str">
        <f t="array" ref="F1451">IF(
    OR(
      IFNA(INDEX(data!M:M, MATCH(Caseslist!B1451, data!D:D, 0)), "") = "",
      IFNA(INDEX(data!M:M, MATCH(Caseslist!B1451, data!D:D, 0)), 0) = 0
    ),
    "COMPLETE",
    IF(
      IFNA(INDEX(dataICM!D:D, MATCH(Caseslist!B1451, dataICM!D:D, 0)), "INC") = "INC",
      IFNA(INDEX(dataICM!D:D, MATCH(Caseslist!B1451, dataICM!D:D, 0)), "INC"),
      "COMPLETE"
    )
  )</f>
        <v>COMPLETE</v>
      </c>
      <c r="G1451" s="10" t="str">
        <f t="array" ref="G1451">IF(IFERROR(INDEX(data!L:L,match(Caseslist!B1451,data!D:D,0)),"INC")="","COMPLETE",F1451)</f>
        <v>COMPLETE</v>
      </c>
      <c r="H1451" s="9" t="str">
        <f t="array" ref="H1451">IFERROR(INDEX(dataICM!F:F,match(Caseslist!B1451,dataICM!D:D,0)), "INC")</f>
        <v>Marielle Kaye Ignacio Alonzo</v>
      </c>
      <c r="I1451" s="10" t="str">
        <f t="shared" si="2"/>
        <v>K8623174</v>
      </c>
      <c r="J1451" s="9" t="str">
        <f t="array" ref="J1451">IF(
  AND(
    IFERROR(MATCH(B1451, data!D:D, 0), 0) &gt; 0,
    IFERROR(INDEX(data!N:N, MATCH(B1451, data!D:D, 0)) = 1, FALSE)
  ),
  INDEX(data!C:C, MATCH(B1451, data!D:D, 0)),
  "INC"
)</f>
        <v>2025-08-29T10:58:10.043+08</v>
      </c>
      <c r="K1451" s="9" t="str">
        <f t="array" ref="K1451">IFERROR(INDEX(dataICM!C:C,match(Caseslist!B1451,dataICM!D:D,0)), "INC")</f>
        <v>2025-08-29T12:49:24.302+08</v>
      </c>
      <c r="L1451" s="10" t="str">
        <f t="array" ref="L1451">IF(AND(G1451="COMPLETE", OR(K1451="INC", ISBLANK(INDEX(data!O:O, ROW())))), J1451, K1451)</f>
        <v>2025-08-29T12:49:24.302+08</v>
      </c>
      <c r="M1451" s="2">
        <v>45898.0</v>
      </c>
      <c r="N1451" s="2">
        <f t="array" ref="N1451">IF(M1451&lt;&gt;"INC", INDEX(data!M:M, MATCH(B1451, data!D:D, 0)), "")</f>
        <v>3</v>
      </c>
      <c r="O1451" s="2">
        <f t="shared" si="3"/>
        <v>3</v>
      </c>
    </row>
    <row r="1452">
      <c r="A1452" s="2" t="str">
        <f t="shared" si="1"/>
        <v>H030507</v>
      </c>
      <c r="B1452" s="1" t="s">
        <v>1737</v>
      </c>
      <c r="C1452" s="9" t="str">
        <f t="array" ref="C1452">IF(
  AND(
    IFERROR(MATCH(Caseslist!B1452, data!D:D, 0), 0) &gt; 0,
    IFERROR(INDEX(data!N:N, MATCH(Caseslist!B1452, data!D:D, 0)) = 1, FALSE)
  ),
  "COMPLETE",
  "INC"
)</f>
        <v>COMPLETE</v>
      </c>
      <c r="D1452" s="9" t="str">
        <f t="array" ref="D1452">IFERROR(INDEX(data!$G:$G,match(Caseslist!B1452,data!$D:$D,0)), "INC")</f>
        <v>M6491032</v>
      </c>
      <c r="E1452" s="9" t="str">
        <f t="array" ref="E1452">IFERROR(INDEX(data!H:H,match(Caseslist!B1452,data!D:D,0)), "INC")</f>
        <v>Rosevil Tayo Desamparado</v>
      </c>
      <c r="F1452" s="10" t="str">
        <f t="array" ref="F1452">IF(
    OR(
      IFNA(INDEX(data!M:M, MATCH(Caseslist!B1452, data!D:D, 0)), "") = "",
      IFNA(INDEX(data!M:M, MATCH(Caseslist!B1452, data!D:D, 0)), 0) = 0
    ),
    "COMPLETE",
    IF(
      IFNA(INDEX(dataICM!D:D, MATCH(Caseslist!B1452, dataICM!D:D, 0)), "INC") = "INC",
      IFNA(INDEX(dataICM!D:D, MATCH(Caseslist!B1452, dataICM!D:D, 0)), "INC"),
      "COMPLETE"
    )
  )</f>
        <v>COMPLETE</v>
      </c>
      <c r="G1452" s="10" t="str">
        <f t="array" ref="G1452">IF(IFERROR(INDEX(data!L:L,match(Caseslist!B1452,data!D:D,0)),"INC")="","COMPLETE",F1452)</f>
        <v>COMPLETE</v>
      </c>
      <c r="H1452" s="9" t="str">
        <f t="array" ref="H1452">IFERROR(INDEX(dataICM!F:F,match(Caseslist!B1452,dataICM!D:D,0)), "INC")</f>
        <v>Rosevil Tayo Desamparado</v>
      </c>
      <c r="I1452" s="10" t="str">
        <f t="shared" si="2"/>
        <v>M6491032</v>
      </c>
      <c r="J1452" s="9" t="str">
        <f t="array" ref="J1452">IF(
  AND(
    IFERROR(MATCH(B1452, data!D:D, 0), 0) &gt; 0,
    IFERROR(INDEX(data!N:N, MATCH(B1452, data!D:D, 0)) = 1, FALSE)
  ),
  INDEX(data!C:C, MATCH(B1452, data!D:D, 0)),
  "INC"
)</f>
        <v>2025-08-29T14:12:20.694+08</v>
      </c>
      <c r="K1452" s="9" t="str">
        <f t="array" ref="K1452">IFERROR(INDEX(dataICM!C:C,match(Caseslist!B1452,dataICM!D:D,0)), "INC")</f>
        <v>2025-08-29T20:30:44.397+08</v>
      </c>
      <c r="L1452" s="10" t="str">
        <f t="array" ref="L1452">IF(AND(G1452="COMPLETE", OR(K1452="INC", ISBLANK(INDEX(data!O:O, ROW())))), J1452, K1452)</f>
        <v>2025-08-29T20:30:44.397+08</v>
      </c>
      <c r="M1452" s="2">
        <v>45898.0</v>
      </c>
      <c r="N1452" s="2">
        <f t="array" ref="N1452">IF(M1452&lt;&gt;"INC", INDEX(data!M:M, MATCH(B1452, data!D:D, 0)), "")</f>
        <v>3</v>
      </c>
      <c r="O1452" s="2">
        <f t="shared" si="3"/>
        <v>3</v>
      </c>
    </row>
    <row r="1453">
      <c r="A1453" s="2" t="str">
        <f t="shared" si="1"/>
        <v>H030507</v>
      </c>
      <c r="B1453" s="1" t="s">
        <v>1742</v>
      </c>
      <c r="C1453" s="9" t="str">
        <f t="array" ref="C1453">IF(
  AND(
    IFERROR(MATCH(Caseslist!B1453, data!D:D, 0), 0) &gt; 0,
    IFERROR(INDEX(data!N:N, MATCH(Caseslist!B1453, data!D:D, 0)) = 1, FALSE)
  ),
  "COMPLETE",
  "INC"
)</f>
        <v>COMPLETE</v>
      </c>
      <c r="D1453" s="9" t="str">
        <f t="array" ref="D1453">IFERROR(INDEX(data!$G:$G,match(Caseslist!B1453,data!$D:$D,0)), "INC")</f>
        <v>M6491032</v>
      </c>
      <c r="E1453" s="9" t="str">
        <f t="array" ref="E1453">IFERROR(INDEX(data!H:H,match(Caseslist!B1453,data!D:D,0)), "INC")</f>
        <v>Rosevil Tayo Desamparado</v>
      </c>
      <c r="F1453" s="10" t="str">
        <f t="array" ref="F1453">IF(
    OR(
      IFNA(INDEX(data!M:M, MATCH(Caseslist!B1453, data!D:D, 0)), "") = "",
      IFNA(INDEX(data!M:M, MATCH(Caseslist!B1453, data!D:D, 0)), 0) = 0
    ),
    "COMPLETE",
    IF(
      IFNA(INDEX(dataICM!D:D, MATCH(Caseslist!B1453, dataICM!D:D, 0)), "INC") = "INC",
      IFNA(INDEX(dataICM!D:D, MATCH(Caseslist!B1453, dataICM!D:D, 0)), "INC"),
      "COMPLETE"
    )
  )</f>
        <v>COMPLETE</v>
      </c>
      <c r="G1453" s="10" t="str">
        <f t="array" ref="G1453">IF(IFERROR(INDEX(data!L:L,match(Caseslist!B1453,data!D:D,0)),"INC")="","COMPLETE",F1453)</f>
        <v>COMPLETE</v>
      </c>
      <c r="H1453" s="9" t="str">
        <f t="array" ref="H1453">IFERROR(INDEX(dataICM!F:F,match(Caseslist!B1453,dataICM!D:D,0)), "INC")</f>
        <v>Rosevil Tayo Desamparado</v>
      </c>
      <c r="I1453" s="10" t="str">
        <f t="shared" si="2"/>
        <v>M6491032</v>
      </c>
      <c r="J1453" s="9" t="str">
        <f t="array" ref="J1453">IF(
  AND(
    IFERROR(MATCH(B1453, data!D:D, 0), 0) &gt; 0,
    IFERROR(INDEX(data!N:N, MATCH(B1453, data!D:D, 0)) = 1, FALSE)
  ),
  INDEX(data!C:C, MATCH(B1453, data!D:D, 0)),
  "INC"
)</f>
        <v>2025-08-29T15:22:24.517+08</v>
      </c>
      <c r="K1453" s="9" t="str">
        <f t="array" ref="K1453">IFERROR(INDEX(dataICM!C:C,match(Caseslist!B1453,dataICM!D:D,0)), "INC")</f>
        <v>2025-08-29T20:29:51.042+08</v>
      </c>
      <c r="L1453" s="10" t="str">
        <f t="array" ref="L1453">IF(AND(G1453="COMPLETE", OR(K1453="INC", ISBLANK(INDEX(data!O:O, ROW())))), J1453, K1453)</f>
        <v>2025-08-29T20:29:51.042+08</v>
      </c>
      <c r="M1453" s="2">
        <v>45898.0</v>
      </c>
      <c r="N1453" s="2">
        <f t="array" ref="N1453">IF(M1453&lt;&gt;"INC", INDEX(data!M:M, MATCH(B1453, data!D:D, 0)), "")</f>
        <v>3</v>
      </c>
      <c r="O1453" s="2">
        <f t="shared" si="3"/>
        <v>3</v>
      </c>
    </row>
    <row r="1454">
      <c r="A1454" s="2" t="str">
        <f t="shared" si="1"/>
        <v>H030507</v>
      </c>
      <c r="B1454" s="1" t="s">
        <v>8853</v>
      </c>
      <c r="C1454" s="9" t="str">
        <f t="array" ref="C1454">IF(
  AND(
    IFERROR(MATCH(Caseslist!B1454, data!D:D, 0), 0) &gt; 0,
    IFERROR(INDEX(data!N:N, MATCH(Caseslist!B1454, data!D:D, 0)) = 1, FALSE)
  ),
  "COMPLETE",
  "INC"
)</f>
        <v>COMPLETE</v>
      </c>
      <c r="D1454" s="9" t="str">
        <f t="array" ref="D1454">IFERROR(INDEX(data!$G:$G,match(Caseslist!B1454,data!$D:$D,0)), "INC")</f>
        <v>K8623174</v>
      </c>
      <c r="E1454" s="9" t="str">
        <f t="array" ref="E1454">IFERROR(INDEX(data!H:H,match(Caseslist!B1454,data!D:D,0)), "INC")</f>
        <v>Marielle Kaye Ignacio Alonzo</v>
      </c>
      <c r="F1454" s="10" t="str">
        <f t="array" ref="F1454">IF(
    OR(
      IFNA(INDEX(data!M:M, MATCH(Caseslist!B1454, data!D:D, 0)), "") = "",
      IFNA(INDEX(data!M:M, MATCH(Caseslist!B1454, data!D:D, 0)), 0) = 0
    ),
    "COMPLETE",
    IF(
      IFNA(INDEX(dataICM!D:D, MATCH(Caseslist!B1454, dataICM!D:D, 0)), "INC") = "INC",
      IFNA(INDEX(dataICM!D:D, MATCH(Caseslist!B1454, dataICM!D:D, 0)), "INC"),
      "COMPLETE"
    )
  )</f>
        <v>COMPLETE</v>
      </c>
      <c r="G1454" s="10" t="str">
        <f t="array" ref="G1454">IF(IFERROR(INDEX(data!L:L,match(Caseslist!B1454,data!D:D,0)),"INC")="","COMPLETE",F1454)</f>
        <v>COMPLETE</v>
      </c>
      <c r="H1454" s="9" t="str">
        <f t="array" ref="H1454">IFERROR(INDEX(dataICM!F:F,match(Caseslist!B1454,dataICM!D:D,0)), "INC")</f>
        <v>Marielle Kaye Ignacio Alonzo</v>
      </c>
      <c r="I1454" s="10" t="str">
        <f t="shared" si="2"/>
        <v>K8623174</v>
      </c>
      <c r="J1454" s="9" t="str">
        <f t="array" ref="J1454">IF(
  AND(
    IFERROR(MATCH(B1454, data!D:D, 0), 0) &gt; 0,
    IFERROR(INDEX(data!N:N, MATCH(B1454, data!D:D, 0)) = 1, FALSE)
  ),
  INDEX(data!C:C, MATCH(B1454, data!D:D, 0)),
  "INC"
)</f>
        <v>2025-10-02T11:05:46.006+08</v>
      </c>
      <c r="K1454" s="9" t="str">
        <f t="array" ref="K1454">IFERROR(INDEX(dataICM!C:C,match(Caseslist!B1454,dataICM!D:D,0)), "INC")</f>
        <v>2025-10-02T11:30:39.039+08</v>
      </c>
      <c r="L1454" s="10" t="str">
        <f t="array" ref="L1454">IF(AND(G1454="COMPLETE", OR(K1454="INC", ISBLANK(INDEX(data!O:O, ROW())))), J1454, K1454)</f>
        <v>2025-10-02T11:30:39.039+08</v>
      </c>
      <c r="M1454" s="2">
        <v>45932.0</v>
      </c>
      <c r="N1454" s="2">
        <f t="array" ref="N1454">IF(M1454&lt;&gt;"INC", INDEX(data!M:M, MATCH(B1454, data!D:D, 0)), "")</f>
        <v>3</v>
      </c>
      <c r="O1454" s="2">
        <f t="shared" si="3"/>
        <v>3</v>
      </c>
    </row>
    <row r="1455">
      <c r="A1455" s="2" t="str">
        <f t="shared" si="1"/>
        <v>H030507</v>
      </c>
      <c r="B1455" s="1" t="s">
        <v>1702</v>
      </c>
      <c r="C1455" s="9" t="str">
        <f t="array" ref="C1455">IF(
  AND(
    IFERROR(MATCH(Caseslist!B1455, data!D:D, 0), 0) &gt; 0,
    IFERROR(INDEX(data!N:N, MATCH(Caseslist!B1455, data!D:D, 0)) = 1, FALSE)
  ),
  "COMPLETE",
  "INC"
)</f>
        <v>COMPLETE</v>
      </c>
      <c r="D1455" s="9" t="str">
        <f t="array" ref="D1455">IFERROR(INDEX(data!$G:$G,match(Caseslist!B1455,data!$D:$D,0)), "INC")</f>
        <v>K8623174</v>
      </c>
      <c r="E1455" s="9" t="str">
        <f t="array" ref="E1455">IFERROR(INDEX(data!H:H,match(Caseslist!B1455,data!D:D,0)), "INC")</f>
        <v>Marielle Kaye Ignacio Alonzo</v>
      </c>
      <c r="F1455" s="10" t="str">
        <f t="array" ref="F1455">IF(
    OR(
      IFNA(INDEX(data!M:M, MATCH(Caseslist!B1455, data!D:D, 0)), "") = "",
      IFNA(INDEX(data!M:M, MATCH(Caseslist!B1455, data!D:D, 0)), 0) = 0
    ),
    "COMPLETE",
    IF(
      IFNA(INDEX(dataICM!D:D, MATCH(Caseslist!B1455, dataICM!D:D, 0)), "INC") = "INC",
      IFNA(INDEX(dataICM!D:D, MATCH(Caseslist!B1455, dataICM!D:D, 0)), "INC"),
      "COMPLETE"
    )
  )</f>
        <v>COMPLETE</v>
      </c>
      <c r="G1455" s="10" t="str">
        <f t="array" ref="G1455">IF(IFERROR(INDEX(data!L:L,match(Caseslist!B1455,data!D:D,0)),"INC")="","COMPLETE",F1455)</f>
        <v>COMPLETE</v>
      </c>
      <c r="H1455" s="9" t="str">
        <f t="array" ref="H1455">IFERROR(INDEX(dataICM!F:F,match(Caseslist!B1455,dataICM!D:D,0)), "INC")</f>
        <v>Marielle Kaye Ignacio Alonzo</v>
      </c>
      <c r="I1455" s="10" t="str">
        <f t="shared" si="2"/>
        <v>K8623174</v>
      </c>
      <c r="J1455" s="9" t="str">
        <f t="array" ref="J1455">IF(
  AND(
    IFERROR(MATCH(B1455, data!D:D, 0), 0) &gt; 0,
    IFERROR(INDEX(data!N:N, MATCH(B1455, data!D:D, 0)) = 1, FALSE)
  ),
  INDEX(data!C:C, MATCH(B1455, data!D:D, 0)),
  "INC"
)</f>
        <v>2025-08-29T13:24:04.013+08</v>
      </c>
      <c r="K1455" s="9" t="str">
        <f t="array" ref="K1455">IFERROR(INDEX(dataICM!C:C,match(Caseslist!B1455,dataICM!D:D,0)), "INC")</f>
        <v>2025-08-29T15:12:56.302+08</v>
      </c>
      <c r="L1455" s="10" t="str">
        <f t="array" ref="L1455">IF(AND(G1455="COMPLETE", OR(K1455="INC", ISBLANK(INDEX(data!O:O, ROW())))), J1455, K1455)</f>
        <v>2025-08-29T15:12:56.302+08</v>
      </c>
      <c r="M1455" s="2">
        <v>45898.0</v>
      </c>
      <c r="N1455" s="2">
        <f t="array" ref="N1455">IF(M1455&lt;&gt;"INC", INDEX(data!M:M, MATCH(B1455, data!D:D, 0)), "")</f>
        <v>3</v>
      </c>
      <c r="O1455" s="2">
        <f t="shared" si="3"/>
        <v>3</v>
      </c>
    </row>
    <row r="1456">
      <c r="A1456" s="2" t="str">
        <f t="shared" si="1"/>
        <v>H030507</v>
      </c>
      <c r="B1456" s="1" t="s">
        <v>1652</v>
      </c>
      <c r="C1456" s="9" t="str">
        <f t="array" ref="C1456">IF(
  AND(
    IFERROR(MATCH(Caseslist!B1456, data!D:D, 0), 0) &gt; 0,
    IFERROR(INDEX(data!N:N, MATCH(Caseslist!B1456, data!D:D, 0)) = 1, FALSE)
  ),
  "COMPLETE",
  "INC"
)</f>
        <v>COMPLETE</v>
      </c>
      <c r="D1456" s="9" t="str">
        <f t="array" ref="D1456">IFERROR(INDEX(data!$G:$G,match(Caseslist!B1456,data!$D:$D,0)), "INC")</f>
        <v>L2057896</v>
      </c>
      <c r="E1456" s="9" t="str">
        <f t="array" ref="E1456">IFERROR(INDEX(data!H:H,match(Caseslist!B1456,data!D:D,0)), "INC")</f>
        <v>Franz Reoben Posadas Geneblaza</v>
      </c>
      <c r="F1456" s="10" t="str">
        <f t="array" ref="F1456">IF(
    OR(
      IFNA(INDEX(data!M:M, MATCH(Caseslist!B1456, data!D:D, 0)), "") = "",
      IFNA(INDEX(data!M:M, MATCH(Caseslist!B1456, data!D:D, 0)), 0) = 0
    ),
    "COMPLETE",
    IF(
      IFNA(INDEX(dataICM!D:D, MATCH(Caseslist!B1456, dataICM!D:D, 0)), "INC") = "INC",
      IFNA(INDEX(dataICM!D:D, MATCH(Caseslist!B1456, dataICM!D:D, 0)), "INC"),
      "COMPLETE"
    )
  )</f>
        <v>COMPLETE</v>
      </c>
      <c r="G1456" s="10" t="str">
        <f t="array" ref="G1456">IF(IFERROR(INDEX(data!L:L,match(Caseslist!B1456,data!D:D,0)),"INC")="","COMPLETE",F1456)</f>
        <v>COMPLETE</v>
      </c>
      <c r="H1456" s="9" t="str">
        <f t="array" ref="H1456">IFERROR(INDEX(dataICM!F:F,match(Caseslist!B1456,dataICM!D:D,0)), "INC")</f>
        <v>Franz Reoben Posadas Geneblaza</v>
      </c>
      <c r="I1456" s="10" t="str">
        <f t="shared" si="2"/>
        <v>L2057896</v>
      </c>
      <c r="J1456" s="9" t="str">
        <f t="array" ref="J1456">IF(
  AND(
    IFERROR(MATCH(B1456, data!D:D, 0), 0) &gt; 0,
    IFERROR(INDEX(data!N:N, MATCH(B1456, data!D:D, 0)) = 1, FALSE)
  ),
  INDEX(data!C:C, MATCH(B1456, data!D:D, 0)),
  "INC"
)</f>
        <v>2025-08-29T17:07:23.817+08</v>
      </c>
      <c r="K1456" s="9" t="str">
        <f t="array" ref="K1456">IFERROR(INDEX(dataICM!C:C,match(Caseslist!B1456,dataICM!D:D,0)), "INC")</f>
        <v>2025-08-29T17:26:44.764+08</v>
      </c>
      <c r="L1456" s="10" t="str">
        <f t="array" ref="L1456">IF(AND(G1456="COMPLETE", OR(K1456="INC", ISBLANK(INDEX(data!O:O, ROW())))), J1456, K1456)</f>
        <v>2025-08-29T17:26:44.764+08</v>
      </c>
      <c r="M1456" s="2">
        <v>45898.0</v>
      </c>
      <c r="N1456" s="2">
        <f t="array" ref="N1456">IF(M1456&lt;&gt;"INC", INDEX(data!M:M, MATCH(B1456, data!D:D, 0)), "")</f>
        <v>3</v>
      </c>
      <c r="O1456" s="2">
        <f t="shared" si="3"/>
        <v>3</v>
      </c>
    </row>
    <row r="1457">
      <c r="A1457" s="2" t="str">
        <f t="shared" si="1"/>
        <v>H030507</v>
      </c>
      <c r="B1457" s="1" t="s">
        <v>1642</v>
      </c>
      <c r="C1457" s="9" t="str">
        <f t="array" ref="C1457">IF(
  AND(
    IFERROR(MATCH(Caseslist!B1457, data!D:D, 0), 0) &gt; 0,
    IFERROR(INDEX(data!N:N, MATCH(Caseslist!B1457, data!D:D, 0)) = 1, FALSE)
  ),
  "COMPLETE",
  "INC"
)</f>
        <v>COMPLETE</v>
      </c>
      <c r="D1457" s="9" t="str">
        <f t="array" ref="D1457">IFERROR(INDEX(data!$G:$G,match(Caseslist!B1457,data!$D:$D,0)), "INC")</f>
        <v>L2057896</v>
      </c>
      <c r="E1457" s="9" t="str">
        <f t="array" ref="E1457">IFERROR(INDEX(data!H:H,match(Caseslist!B1457,data!D:D,0)), "INC")</f>
        <v>Franz Reoben Posadas Geneblaza</v>
      </c>
      <c r="F1457" s="10" t="str">
        <f t="array" ref="F1457">IF(
    OR(
      IFNA(INDEX(data!M:M, MATCH(Caseslist!B1457, data!D:D, 0)), "") = "",
      IFNA(INDEX(data!M:M, MATCH(Caseslist!B1457, data!D:D, 0)), 0) = 0
    ),
    "COMPLETE",
    IF(
      IFNA(INDEX(dataICM!D:D, MATCH(Caseslist!B1457, dataICM!D:D, 0)), "INC") = "INC",
      IFNA(INDEX(dataICM!D:D, MATCH(Caseslist!B1457, dataICM!D:D, 0)), "INC"),
      "COMPLETE"
    )
  )</f>
        <v>COMPLETE</v>
      </c>
      <c r="G1457" s="10" t="str">
        <f t="array" ref="G1457">IF(IFERROR(INDEX(data!L:L,match(Caseslist!B1457,data!D:D,0)),"INC")="","COMPLETE",F1457)</f>
        <v>COMPLETE</v>
      </c>
      <c r="H1457" s="9" t="str">
        <f t="array" ref="H1457">IFERROR(INDEX(dataICM!F:F,match(Caseslist!B1457,dataICM!D:D,0)), "INC")</f>
        <v>Franz Reoben Posadas Geneblaza</v>
      </c>
      <c r="I1457" s="10" t="str">
        <f t="shared" si="2"/>
        <v>L2057896</v>
      </c>
      <c r="J1457" s="9" t="str">
        <f t="array" ref="J1457">IF(
  AND(
    IFERROR(MATCH(B1457, data!D:D, 0), 0) &gt; 0,
    IFERROR(INDEX(data!N:N, MATCH(B1457, data!D:D, 0)) = 1, FALSE)
  ),
  INDEX(data!C:C, MATCH(B1457, data!D:D, 0)),
  "INC"
)</f>
        <v>2025-08-29T13:37:00.141+08</v>
      </c>
      <c r="K1457" s="9" t="str">
        <f t="array" ref="K1457">IFERROR(INDEX(dataICM!C:C,match(Caseslist!B1457,dataICM!D:D,0)), "INC")</f>
        <v>2025-08-29T13:52:33.160+08</v>
      </c>
      <c r="L1457" s="10" t="str">
        <f t="array" ref="L1457">IF(AND(G1457="COMPLETE", OR(K1457="INC", ISBLANK(INDEX(data!O:O, ROW())))), J1457, K1457)</f>
        <v>2025-08-29T13:52:33.160+08</v>
      </c>
      <c r="M1457" s="2">
        <v>45898.0</v>
      </c>
      <c r="N1457" s="2">
        <f t="array" ref="N1457">IF(M1457&lt;&gt;"INC", INDEX(data!M:M, MATCH(B1457, data!D:D, 0)), "")</f>
        <v>3</v>
      </c>
      <c r="O1457" s="2">
        <f t="shared" si="3"/>
        <v>3</v>
      </c>
    </row>
    <row r="1458">
      <c r="A1458" s="2" t="str">
        <f t="shared" si="1"/>
        <v>H030507</v>
      </c>
      <c r="B1458" s="1" t="s">
        <v>1712</v>
      </c>
      <c r="C1458" s="9" t="str">
        <f t="array" ref="C1458">IF(
  AND(
    IFERROR(MATCH(Caseslist!B1458, data!D:D, 0), 0) &gt; 0,
    IFERROR(INDEX(data!N:N, MATCH(Caseslist!B1458, data!D:D, 0)) = 1, FALSE)
  ),
  "COMPLETE",
  "INC"
)</f>
        <v>COMPLETE</v>
      </c>
      <c r="D1458" s="9" t="str">
        <f t="array" ref="D1458">IFERROR(INDEX(data!$G:$G,match(Caseslist!B1458,data!$D:$D,0)), "INC")</f>
        <v>K8623174</v>
      </c>
      <c r="E1458" s="9" t="str">
        <f t="array" ref="E1458">IFERROR(INDEX(data!H:H,match(Caseslist!B1458,data!D:D,0)), "INC")</f>
        <v>Marielle Kaye Ignacio Alonzo</v>
      </c>
      <c r="F1458" s="10" t="str">
        <f t="array" ref="F1458">IF(
    OR(
      IFNA(INDEX(data!M:M, MATCH(Caseslist!B1458, data!D:D, 0)), "") = "",
      IFNA(INDEX(data!M:M, MATCH(Caseslist!B1458, data!D:D, 0)), 0) = 0
    ),
    "COMPLETE",
    IF(
      IFNA(INDEX(dataICM!D:D, MATCH(Caseslist!B1458, dataICM!D:D, 0)), "INC") = "INC",
      IFNA(INDEX(dataICM!D:D, MATCH(Caseslist!B1458, dataICM!D:D, 0)), "INC"),
      "COMPLETE"
    )
  )</f>
        <v>COMPLETE</v>
      </c>
      <c r="G1458" s="10" t="str">
        <f t="array" ref="G1458">IF(IFERROR(INDEX(data!L:L,match(Caseslist!B1458,data!D:D,0)),"INC")="","COMPLETE",F1458)</f>
        <v>COMPLETE</v>
      </c>
      <c r="H1458" s="9" t="str">
        <f t="array" ref="H1458">IFERROR(INDEX(dataICM!F:F,match(Caseslist!B1458,dataICM!D:D,0)), "INC")</f>
        <v>Marielle Kaye Ignacio Alonzo</v>
      </c>
      <c r="I1458" s="10" t="str">
        <f t="shared" si="2"/>
        <v>K8623174</v>
      </c>
      <c r="J1458" s="9" t="str">
        <f t="array" ref="J1458">IF(
  AND(
    IFERROR(MATCH(B1458, data!D:D, 0), 0) &gt; 0,
    IFERROR(INDEX(data!N:N, MATCH(B1458, data!D:D, 0)) = 1, FALSE)
  ),
  INDEX(data!C:C, MATCH(B1458, data!D:D, 0)),
  "INC"
)</f>
        <v>2025-08-29T16:15:53.511+08</v>
      </c>
      <c r="K1458" s="9" t="str">
        <f t="array" ref="K1458">IFERROR(INDEX(dataICM!C:C,match(Caseslist!B1458,dataICM!D:D,0)), "INC")</f>
        <v>2025-08-29T16:43:14.179+08</v>
      </c>
      <c r="L1458" s="10" t="str">
        <f t="array" ref="L1458">IF(AND(G1458="COMPLETE", OR(K1458="INC", ISBLANK(INDEX(data!O:O, ROW())))), J1458, K1458)</f>
        <v>2025-08-29T16:43:14.179+08</v>
      </c>
      <c r="M1458" s="2">
        <v>45898.0</v>
      </c>
      <c r="N1458" s="2">
        <f t="array" ref="N1458">IF(M1458&lt;&gt;"INC", INDEX(data!M:M, MATCH(B1458, data!D:D, 0)), "")</f>
        <v>3</v>
      </c>
      <c r="O1458" s="2">
        <f t="shared" si="3"/>
        <v>3</v>
      </c>
    </row>
    <row r="1459">
      <c r="A1459" s="2" t="str">
        <f t="shared" si="1"/>
        <v>H030507</v>
      </c>
      <c r="B1459" s="1" t="s">
        <v>1647</v>
      </c>
      <c r="C1459" s="9" t="str">
        <f t="array" ref="C1459">IF(
  AND(
    IFERROR(MATCH(Caseslist!B1459, data!D:D, 0), 0) &gt; 0,
    IFERROR(INDEX(data!N:N, MATCH(Caseslist!B1459, data!D:D, 0)) = 1, FALSE)
  ),
  "COMPLETE",
  "INC"
)</f>
        <v>COMPLETE</v>
      </c>
      <c r="D1459" s="9" t="str">
        <f t="array" ref="D1459">IFERROR(INDEX(data!$G:$G,match(Caseslist!B1459,data!$D:$D,0)), "INC")</f>
        <v>L2057896</v>
      </c>
      <c r="E1459" s="9" t="str">
        <f t="array" ref="E1459">IFERROR(INDEX(data!H:H,match(Caseslist!B1459,data!D:D,0)), "INC")</f>
        <v>Franz Reoben Posadas Geneblaza</v>
      </c>
      <c r="F1459" s="10" t="str">
        <f t="array" ref="F1459">IF(
    OR(
      IFNA(INDEX(data!M:M, MATCH(Caseslist!B1459, data!D:D, 0)), "") = "",
      IFNA(INDEX(data!M:M, MATCH(Caseslist!B1459, data!D:D, 0)), 0) = 0
    ),
    "COMPLETE",
    IF(
      IFNA(INDEX(dataICM!D:D, MATCH(Caseslist!B1459, dataICM!D:D, 0)), "INC") = "INC",
      IFNA(INDEX(dataICM!D:D, MATCH(Caseslist!B1459, dataICM!D:D, 0)), "INC"),
      "COMPLETE"
    )
  )</f>
        <v>COMPLETE</v>
      </c>
      <c r="G1459" s="10" t="str">
        <f t="array" ref="G1459">IF(IFERROR(INDEX(data!L:L,match(Caseslist!B1459,data!D:D,0)),"INC")="","COMPLETE",F1459)</f>
        <v>COMPLETE</v>
      </c>
      <c r="H1459" s="9" t="str">
        <f t="array" ref="H1459">IFERROR(INDEX(dataICM!F:F,match(Caseslist!B1459,dataICM!D:D,0)), "INC")</f>
        <v>Franz Reoben Posadas Geneblaza</v>
      </c>
      <c r="I1459" s="10" t="str">
        <f t="shared" si="2"/>
        <v>L2057896</v>
      </c>
      <c r="J1459" s="9" t="str">
        <f t="array" ref="J1459">IF(
  AND(
    IFERROR(MATCH(B1459, data!D:D, 0), 0) &gt; 0,
    IFERROR(INDEX(data!N:N, MATCH(B1459, data!D:D, 0)) = 1, FALSE)
  ),
  INDEX(data!C:C, MATCH(B1459, data!D:D, 0)),
  "INC"
)</f>
        <v>2025-08-29T15:44:48.286+08</v>
      </c>
      <c r="K1459" s="9" t="str">
        <f t="array" ref="K1459">IFERROR(INDEX(dataICM!C:C,match(Caseslist!B1459,dataICM!D:D,0)), "INC")</f>
        <v>2025-08-29T16:01:59.683+08</v>
      </c>
      <c r="L1459" s="10" t="str">
        <f t="array" ref="L1459">IF(AND(G1459="COMPLETE", OR(K1459="INC", ISBLANK(INDEX(data!O:O, ROW())))), J1459, K1459)</f>
        <v>2025-08-29T16:01:59.683+08</v>
      </c>
      <c r="M1459" s="2">
        <v>45898.0</v>
      </c>
      <c r="N1459" s="2">
        <f t="array" ref="N1459">IF(M1459&lt;&gt;"INC", INDEX(data!M:M, MATCH(B1459, data!D:D, 0)), "")</f>
        <v>3</v>
      </c>
      <c r="O1459" s="2">
        <f t="shared" si="3"/>
        <v>3</v>
      </c>
    </row>
    <row r="1460">
      <c r="A1460" s="2" t="str">
        <f t="shared" si="1"/>
        <v>H030507</v>
      </c>
      <c r="B1460" s="1" t="s">
        <v>1717</v>
      </c>
      <c r="C1460" s="9" t="str">
        <f t="array" ref="C1460">IF(
  AND(
    IFERROR(MATCH(Caseslist!B1460, data!D:D, 0), 0) &gt; 0,
    IFERROR(INDEX(data!N:N, MATCH(Caseslist!B1460, data!D:D, 0)) = 1, FALSE)
  ),
  "COMPLETE",
  "INC"
)</f>
        <v>COMPLETE</v>
      </c>
      <c r="D1460" s="9" t="str">
        <f t="array" ref="D1460">IFERROR(INDEX(data!$G:$G,match(Caseslist!B1460,data!$D:$D,0)), "INC")</f>
        <v>J4315980</v>
      </c>
      <c r="E1460" s="9" t="str">
        <f t="array" ref="E1460">IFERROR(INDEX(data!H:H,match(Caseslist!B1460,data!D:D,0)), "INC")</f>
        <v>Trixie Marie Jardeleza Saber</v>
      </c>
      <c r="F1460" s="10" t="str">
        <f t="array" ref="F1460">IF(
    OR(
      IFNA(INDEX(data!M:M, MATCH(Caseslist!B1460, data!D:D, 0)), "") = "",
      IFNA(INDEX(data!M:M, MATCH(Caseslist!B1460, data!D:D, 0)), 0) = 0
    ),
    "COMPLETE",
    IF(
      IFNA(INDEX(dataICM!D:D, MATCH(Caseslist!B1460, dataICM!D:D, 0)), "INC") = "INC",
      IFNA(INDEX(dataICM!D:D, MATCH(Caseslist!B1460, dataICM!D:D, 0)), "INC"),
      "COMPLETE"
    )
  )</f>
        <v>COMPLETE</v>
      </c>
      <c r="G1460" s="10" t="str">
        <f t="array" ref="G1460">IF(IFERROR(INDEX(data!L:L,match(Caseslist!B1460,data!D:D,0)),"INC")="","COMPLETE",F1460)</f>
        <v>COMPLETE</v>
      </c>
      <c r="H1460" s="9" t="str">
        <f t="array" ref="H1460">IFERROR(INDEX(dataICM!F:F,match(Caseslist!B1460,dataICM!D:D,0)), "INC")</f>
        <v>Trixie Marie Jardeleza Saber</v>
      </c>
      <c r="I1460" s="10" t="str">
        <f t="shared" si="2"/>
        <v>J4315980</v>
      </c>
      <c r="J1460" s="9" t="str">
        <f t="array" ref="J1460">IF(
  AND(
    IFERROR(MATCH(B1460, data!D:D, 0), 0) &gt; 0,
    IFERROR(INDEX(data!N:N, MATCH(B1460, data!D:D, 0)) = 1, FALSE)
  ),
  INDEX(data!C:C, MATCH(B1460, data!D:D, 0)),
  "INC"
)</f>
        <v>2025-08-29T11:45:28.873+08</v>
      </c>
      <c r="K1460" s="9" t="str">
        <f t="array" ref="K1460">IFERROR(INDEX(dataICM!C:C,match(Caseslist!B1460,dataICM!D:D,0)), "INC")</f>
        <v>2025-08-29T12:33:13.668+08</v>
      </c>
      <c r="L1460" s="10" t="str">
        <f t="array" ref="L1460">IF(AND(G1460="COMPLETE", OR(K1460="INC", ISBLANK(INDEX(data!O:O, ROW())))), J1460, K1460)</f>
        <v>2025-08-29T12:33:13.668+08</v>
      </c>
      <c r="M1460" s="2">
        <v>45898.0</v>
      </c>
      <c r="N1460" s="2">
        <f t="array" ref="N1460">IF(M1460&lt;&gt;"INC", INDEX(data!M:M, MATCH(B1460, data!D:D, 0)), "")</f>
        <v>3</v>
      </c>
      <c r="O1460" s="2">
        <f t="shared" si="3"/>
        <v>3</v>
      </c>
    </row>
    <row r="1461">
      <c r="A1461" s="2" t="str">
        <f t="shared" si="1"/>
        <v>H030507</v>
      </c>
      <c r="B1461" s="1" t="s">
        <v>1722</v>
      </c>
      <c r="C1461" s="9" t="str">
        <f t="array" ref="C1461">IF(
  AND(
    IFERROR(MATCH(Caseslist!B1461, data!D:D, 0), 0) &gt; 0,
    IFERROR(INDEX(data!N:N, MATCH(Caseslist!B1461, data!D:D, 0)) = 1, FALSE)
  ),
  "COMPLETE",
  "INC"
)</f>
        <v>COMPLETE</v>
      </c>
      <c r="D1461" s="9" t="str">
        <f t="array" ref="D1461">IFERROR(INDEX(data!$G:$G,match(Caseslist!B1461,data!$D:$D,0)), "INC")</f>
        <v>J4315980</v>
      </c>
      <c r="E1461" s="9" t="str">
        <f t="array" ref="E1461">IFERROR(INDEX(data!H:H,match(Caseslist!B1461,data!D:D,0)), "INC")</f>
        <v>Trixie Marie Jardeleza Saber</v>
      </c>
      <c r="F1461" s="10" t="str">
        <f t="array" ref="F1461">IF(
    OR(
      IFNA(INDEX(data!M:M, MATCH(Caseslist!B1461, data!D:D, 0)), "") = "",
      IFNA(INDEX(data!M:M, MATCH(Caseslist!B1461, data!D:D, 0)), 0) = 0
    ),
    "COMPLETE",
    IF(
      IFNA(INDEX(dataICM!D:D, MATCH(Caseslist!B1461, dataICM!D:D, 0)), "INC") = "INC",
      IFNA(INDEX(dataICM!D:D, MATCH(Caseslist!B1461, dataICM!D:D, 0)), "INC"),
      "COMPLETE"
    )
  )</f>
        <v>COMPLETE</v>
      </c>
      <c r="G1461" s="10" t="str">
        <f t="array" ref="G1461">IF(IFERROR(INDEX(data!L:L,match(Caseslist!B1461,data!D:D,0)),"INC")="","COMPLETE",F1461)</f>
        <v>COMPLETE</v>
      </c>
      <c r="H1461" s="9" t="str">
        <f t="array" ref="H1461">IFERROR(INDEX(dataICM!F:F,match(Caseslist!B1461,dataICM!D:D,0)), "INC")</f>
        <v>Trixie Marie Jardeleza Saber</v>
      </c>
      <c r="I1461" s="10" t="str">
        <f t="shared" si="2"/>
        <v>J4315980</v>
      </c>
      <c r="J1461" s="9" t="str">
        <f t="array" ref="J1461">IF(
  AND(
    IFERROR(MATCH(B1461, data!D:D, 0), 0) &gt; 0,
    IFERROR(INDEX(data!N:N, MATCH(B1461, data!D:D, 0)) = 1, FALSE)
  ),
  INDEX(data!C:C, MATCH(B1461, data!D:D, 0)),
  "INC"
)</f>
        <v>2025-08-29T16:23:26.937+08</v>
      </c>
      <c r="K1461" s="9" t="str">
        <f t="array" ref="K1461">IFERROR(INDEX(dataICM!C:C,match(Caseslist!B1461,dataICM!D:D,0)), "INC")</f>
        <v>2025-08-29T16:30:00.520+08</v>
      </c>
      <c r="L1461" s="10" t="str">
        <f t="array" ref="L1461">IF(AND(G1461="COMPLETE", OR(K1461="INC", ISBLANK(INDEX(data!O:O, ROW())))), J1461, K1461)</f>
        <v>2025-08-29T16:30:00.520+08</v>
      </c>
      <c r="M1461" s="2">
        <v>45898.0</v>
      </c>
      <c r="N1461" s="2">
        <f t="array" ref="N1461">IF(M1461&lt;&gt;"INC", INDEX(data!M:M, MATCH(B1461, data!D:D, 0)), "")</f>
        <v>3</v>
      </c>
      <c r="O1461" s="2">
        <f t="shared" si="3"/>
        <v>3</v>
      </c>
    </row>
    <row r="1462">
      <c r="A1462" s="2" t="str">
        <f t="shared" si="1"/>
        <v>H030507</v>
      </c>
      <c r="B1462" s="1" t="s">
        <v>1707</v>
      </c>
      <c r="C1462" s="9" t="str">
        <f t="array" ref="C1462">IF(
  AND(
    IFERROR(MATCH(Caseslist!B1462, data!D:D, 0), 0) &gt; 0,
    IFERROR(INDEX(data!N:N, MATCH(Caseslist!B1462, data!D:D, 0)) = 1, FALSE)
  ),
  "COMPLETE",
  "INC"
)</f>
        <v>COMPLETE</v>
      </c>
      <c r="D1462" s="9" t="str">
        <f t="array" ref="D1462">IFERROR(INDEX(data!$G:$G,match(Caseslist!B1462,data!$D:$D,0)), "INC")</f>
        <v>K8623174</v>
      </c>
      <c r="E1462" s="9" t="str">
        <f t="array" ref="E1462">IFERROR(INDEX(data!H:H,match(Caseslist!B1462,data!D:D,0)), "INC")</f>
        <v>Marielle Kaye Ignacio Alonzo</v>
      </c>
      <c r="F1462" s="10" t="str">
        <f t="array" ref="F1462">IF(
    OR(
      IFNA(INDEX(data!M:M, MATCH(Caseslist!B1462, data!D:D, 0)), "") = "",
      IFNA(INDEX(data!M:M, MATCH(Caseslist!B1462, data!D:D, 0)), 0) = 0
    ),
    "COMPLETE",
    IF(
      IFNA(INDEX(dataICM!D:D, MATCH(Caseslist!B1462, dataICM!D:D, 0)), "INC") = "INC",
      IFNA(INDEX(dataICM!D:D, MATCH(Caseslist!B1462, dataICM!D:D, 0)), "INC"),
      "COMPLETE"
    )
  )</f>
        <v>COMPLETE</v>
      </c>
      <c r="G1462" s="10" t="str">
        <f t="array" ref="G1462">IF(IFERROR(INDEX(data!L:L,match(Caseslist!B1462,data!D:D,0)),"INC")="","COMPLETE",F1462)</f>
        <v>COMPLETE</v>
      </c>
      <c r="H1462" s="9" t="str">
        <f t="array" ref="H1462">IFERROR(INDEX(dataICM!F:F,match(Caseslist!B1462,dataICM!D:D,0)), "INC")</f>
        <v>Marielle Kaye Ignacio Alonzo</v>
      </c>
      <c r="I1462" s="10" t="str">
        <f t="shared" si="2"/>
        <v>K8623174</v>
      </c>
      <c r="J1462" s="9" t="str">
        <f t="array" ref="J1462">IF(
  AND(
    IFERROR(MATCH(B1462, data!D:D, 0), 0) &gt; 0,
    IFERROR(INDEX(data!N:N, MATCH(B1462, data!D:D, 0)) = 1, FALSE)
  ),
  INDEX(data!C:C, MATCH(B1462, data!D:D, 0)),
  "INC"
)</f>
        <v>2025-08-29T14:36:42.248+08</v>
      </c>
      <c r="K1462" s="9" t="str">
        <f t="array" ref="K1462">IFERROR(INDEX(dataICM!C:C,match(Caseslist!B1462,dataICM!D:D,0)), "INC")</f>
        <v>2025-08-29T14:51:30.160+08</v>
      </c>
      <c r="L1462" s="10" t="str">
        <f t="array" ref="L1462">IF(AND(G1462="COMPLETE", OR(K1462="INC", ISBLANK(INDEX(data!O:O, ROW())))), J1462, K1462)</f>
        <v>2025-08-29T14:51:30.160+08</v>
      </c>
      <c r="M1462" s="2">
        <v>45898.0</v>
      </c>
      <c r="N1462" s="2">
        <f t="array" ref="N1462">IF(M1462&lt;&gt;"INC", INDEX(data!M:M, MATCH(B1462, data!D:D, 0)), "")</f>
        <v>3</v>
      </c>
      <c r="O1462" s="2">
        <f t="shared" si="3"/>
        <v>3</v>
      </c>
    </row>
    <row r="1463">
      <c r="A1463" s="2" t="str">
        <f t="shared" si="1"/>
        <v>H030514</v>
      </c>
      <c r="B1463" s="1" t="s">
        <v>1292</v>
      </c>
      <c r="C1463" s="9" t="str">
        <f t="array" ref="C1463">IF(
  AND(
    IFERROR(MATCH(Caseslist!B1463, data!D:D, 0), 0) &gt; 0,
    IFERROR(INDEX(data!N:N, MATCH(Caseslist!B1463, data!D:D, 0)) = 1, FALSE)
  ),
  "COMPLETE",
  "INC"
)</f>
        <v>COMPLETE</v>
      </c>
      <c r="D1463" s="9" t="str">
        <f t="array" ref="D1463">IFERROR(INDEX(data!$G:$G,match(Caseslist!B1463,data!$D:$D,0)), "INC")</f>
        <v>C7502931</v>
      </c>
      <c r="E1463" s="9" t="str">
        <f t="array" ref="E1463">IFERROR(INDEX(data!H:H,match(Caseslist!B1463,data!D:D,0)), "INC")</f>
        <v>Jenny Lou Toles Estacio</v>
      </c>
      <c r="F1463" s="10" t="str">
        <f t="array" ref="F1463">IF(
    OR(
      IFNA(INDEX(data!M:M, MATCH(Caseslist!B1463, data!D:D, 0)), "") = "",
      IFNA(INDEX(data!M:M, MATCH(Caseslist!B1463, data!D:D, 0)), 0) = 0
    ),
    "COMPLETE",
    IF(
      IFNA(INDEX(dataICM!D:D, MATCH(Caseslist!B1463, dataICM!D:D, 0)), "INC") = "INC",
      IFNA(INDEX(dataICM!D:D, MATCH(Caseslist!B1463, dataICM!D:D, 0)), "INC"),
      "COMPLETE"
    )
  )</f>
        <v>COMPLETE</v>
      </c>
      <c r="G1463" s="10" t="str">
        <f t="array" ref="G1463">IF(IFERROR(INDEX(data!L:L,match(Caseslist!B1463,data!D:D,0)),"INC")="","COMPLETE",F1463)</f>
        <v>COMPLETE</v>
      </c>
      <c r="H1463" s="9" t="str">
        <f t="array" ref="H1463">IFERROR(INDEX(dataICM!F:F,match(Caseslist!B1463,dataICM!D:D,0)), "INC")</f>
        <v>Jenny Lou Toles Estacio</v>
      </c>
      <c r="I1463" s="10" t="str">
        <f t="shared" si="2"/>
        <v>C7502931</v>
      </c>
      <c r="J1463" s="9" t="str">
        <f t="array" ref="J1463">IF(
  AND(
    IFERROR(MATCH(B1463, data!D:D, 0), 0) &gt; 0,
    IFERROR(INDEX(data!N:N, MATCH(B1463, data!D:D, 0)) = 1, FALSE)
  ),
  INDEX(data!C:C, MATCH(B1463, data!D:D, 0)),
  "INC"
)</f>
        <v>2025-08-29T12:53:02.999+08</v>
      </c>
      <c r="K1463" s="9" t="str">
        <f t="array" ref="K1463">IFERROR(INDEX(dataICM!C:C,match(Caseslist!B1463,dataICM!D:D,0)), "INC")</f>
        <v>2025-08-29T19:58:17.875+08</v>
      </c>
      <c r="L1463" s="10" t="str">
        <f t="array" ref="L1463">IF(AND(G1463="COMPLETE", OR(K1463="INC", ISBLANK(INDEX(data!O:O, ROW())))), J1463, K1463)</f>
        <v>2025-08-29T19:58:17.875+08</v>
      </c>
      <c r="M1463" s="2">
        <v>45898.0</v>
      </c>
      <c r="N1463" s="2">
        <f t="array" ref="N1463">IF(M1463&lt;&gt;"INC", INDEX(data!M:M, MATCH(B1463, data!D:D, 0)), "")</f>
        <v>1</v>
      </c>
      <c r="O1463" s="2">
        <f t="shared" si="3"/>
        <v>1</v>
      </c>
    </row>
    <row r="1464">
      <c r="A1464" s="2" t="str">
        <f t="shared" si="1"/>
        <v>H030514</v>
      </c>
      <c r="B1464" s="1" t="s">
        <v>1602</v>
      </c>
      <c r="C1464" s="9" t="str">
        <f t="array" ref="C1464">IF(
  AND(
    IFERROR(MATCH(Caseslist!B1464, data!D:D, 0), 0) &gt; 0,
    IFERROR(INDEX(data!N:N, MATCH(Caseslist!B1464, data!D:D, 0)) = 1, FALSE)
  ),
  "COMPLETE",
  "INC"
)</f>
        <v>COMPLETE</v>
      </c>
      <c r="D1464" s="9" t="str">
        <f t="array" ref="D1464">IFERROR(INDEX(data!$G:$G,match(Caseslist!B1464,data!$D:$D,0)), "INC")</f>
        <v>B8193462</v>
      </c>
      <c r="E1464" s="9" t="str">
        <f t="array" ref="E1464">IFERROR(INDEX(data!H:H,match(Caseslist!B1464,data!D:D,0)), "INC")</f>
        <v>Mark Lorens Mendoza Gilongo</v>
      </c>
      <c r="F1464" s="10" t="str">
        <f t="array" ref="F1464">IF(
    OR(
      IFNA(INDEX(data!M:M, MATCH(Caseslist!B1464, data!D:D, 0)), "") = "",
      IFNA(INDEX(data!M:M, MATCH(Caseslist!B1464, data!D:D, 0)), 0) = 0
    ),
    "COMPLETE",
    IF(
      IFNA(INDEX(dataICM!D:D, MATCH(Caseslist!B1464, dataICM!D:D, 0)), "INC") = "INC",
      IFNA(INDEX(dataICM!D:D, MATCH(Caseslist!B1464, dataICM!D:D, 0)), "INC"),
      "COMPLETE"
    )
  )</f>
        <v>COMPLETE</v>
      </c>
      <c r="G1464" s="10" t="str">
        <f t="array" ref="G1464">IF(IFERROR(INDEX(data!L:L,match(Caseslist!B1464,data!D:D,0)),"INC")="","COMPLETE",F1464)</f>
        <v>COMPLETE</v>
      </c>
      <c r="H1464" s="9" t="str">
        <f t="array" ref="H1464">IFERROR(INDEX(dataICM!F:F,match(Caseslist!B1464,dataICM!D:D,0)), "INC")</f>
        <v>Mark Lorens Mendoza Gilongo</v>
      </c>
      <c r="I1464" s="10" t="str">
        <f t="shared" si="2"/>
        <v>B8193462</v>
      </c>
      <c r="J1464" s="9" t="str">
        <f t="array" ref="J1464">IF(
  AND(
    IFERROR(MATCH(B1464, data!D:D, 0), 0) &gt; 0,
    IFERROR(INDEX(data!N:N, MATCH(B1464, data!D:D, 0)) = 1, FALSE)
  ),
  INDEX(data!C:C, MATCH(B1464, data!D:D, 0)),
  "INC"
)</f>
        <v>2025-08-29T09:57:59.874+08</v>
      </c>
      <c r="K1464" s="9" t="str">
        <f t="array" ref="K1464">IFERROR(INDEX(dataICM!C:C,match(Caseslist!B1464,dataICM!D:D,0)), "INC")</f>
        <v>2025-08-29T11:03:29.337+08</v>
      </c>
      <c r="L1464" s="10" t="str">
        <f t="array" ref="L1464">IF(AND(G1464="COMPLETE", OR(K1464="INC", ISBLANK(INDEX(data!O:O, ROW())))), J1464, K1464)</f>
        <v>2025-08-29T11:03:29.337+08</v>
      </c>
      <c r="M1464" s="2">
        <v>45898.0</v>
      </c>
      <c r="N1464" s="2">
        <f t="array" ref="N1464">IF(M1464&lt;&gt;"INC", INDEX(data!M:M, MATCH(B1464, data!D:D, 0)), "")</f>
        <v>1</v>
      </c>
      <c r="O1464" s="2">
        <f t="shared" si="3"/>
        <v>1</v>
      </c>
    </row>
    <row r="1465">
      <c r="A1465" s="2" t="str">
        <f t="shared" si="1"/>
        <v>H030514</v>
      </c>
      <c r="B1465" s="1" t="s">
        <v>1222</v>
      </c>
      <c r="C1465" s="9" t="str">
        <f t="array" ref="C1465">IF(
  AND(
    IFERROR(MATCH(Caseslist!B1465, data!D:D, 0), 0) &gt; 0,
    IFERROR(INDEX(data!N:N, MATCH(Caseslist!B1465, data!D:D, 0)) = 1, FALSE)
  ),
  "COMPLETE",
  "INC"
)</f>
        <v>COMPLETE</v>
      </c>
      <c r="D1465" s="9" t="str">
        <f t="array" ref="D1465">IFERROR(INDEX(data!$G:$G,match(Caseslist!B1465,data!$D:$D,0)), "INC")</f>
        <v>C7502931</v>
      </c>
      <c r="E1465" s="9" t="str">
        <f t="array" ref="E1465">IFERROR(INDEX(data!H:H,match(Caseslist!B1465,data!D:D,0)), "INC")</f>
        <v>Jenny Lou Toles Estacio</v>
      </c>
      <c r="F1465" s="10" t="str">
        <f t="array" ref="F1465">IF(
    OR(
      IFNA(INDEX(data!M:M, MATCH(Caseslist!B1465, data!D:D, 0)), "") = "",
      IFNA(INDEX(data!M:M, MATCH(Caseslist!B1465, data!D:D, 0)), 0) = 0
    ),
    "COMPLETE",
    IF(
      IFNA(INDEX(dataICM!D:D, MATCH(Caseslist!B1465, dataICM!D:D, 0)), "INC") = "INC",
      IFNA(INDEX(dataICM!D:D, MATCH(Caseslist!B1465, dataICM!D:D, 0)), "INC"),
      "COMPLETE"
    )
  )</f>
        <v>COMPLETE</v>
      </c>
      <c r="G1465" s="10" t="str">
        <f t="array" ref="G1465">IF(IFERROR(INDEX(data!L:L,match(Caseslist!B1465,data!D:D,0)),"INC")="","COMPLETE",F1465)</f>
        <v>COMPLETE</v>
      </c>
      <c r="H1465" s="9" t="str">
        <f t="array" ref="H1465">IFERROR(INDEX(dataICM!F:F,match(Caseslist!B1465,dataICM!D:D,0)), "INC")</f>
        <v>Jenny Lou Toles Estacio</v>
      </c>
      <c r="I1465" s="10" t="str">
        <f t="shared" si="2"/>
        <v>C7502931</v>
      </c>
      <c r="J1465" s="9" t="str">
        <f t="array" ref="J1465">IF(
  AND(
    IFERROR(MATCH(B1465, data!D:D, 0), 0) &gt; 0,
    IFERROR(INDEX(data!N:N, MATCH(B1465, data!D:D, 0)) = 1, FALSE)
  ),
  INDEX(data!C:C, MATCH(B1465, data!D:D, 0)),
  "INC"
)</f>
        <v>2025-08-28T13:55:58.138+08</v>
      </c>
      <c r="K1465" s="9" t="str">
        <f t="array" ref="K1465">IFERROR(INDEX(dataICM!C:C,match(Caseslist!B1465,dataICM!D:D,0)), "INC")</f>
        <v>2025-08-28T19:59:12.408+08</v>
      </c>
      <c r="L1465" s="10" t="str">
        <f t="array" ref="L1465">IF(AND(G1465="COMPLETE", OR(K1465="INC", ISBLANK(INDEX(data!O:O, ROW())))), J1465, K1465)</f>
        <v>2025-08-28T19:59:12.408+08</v>
      </c>
      <c r="M1465" s="2">
        <v>45897.0</v>
      </c>
      <c r="N1465" s="2">
        <f t="array" ref="N1465">IF(M1465&lt;&gt;"INC", INDEX(data!M:M, MATCH(B1465, data!D:D, 0)), "")</f>
        <v>1</v>
      </c>
      <c r="O1465" s="2">
        <f t="shared" si="3"/>
        <v>1</v>
      </c>
    </row>
    <row r="1466">
      <c r="A1466" s="2" t="str">
        <f t="shared" si="1"/>
        <v>H030514</v>
      </c>
      <c r="B1466" s="1" t="s">
        <v>1612</v>
      </c>
      <c r="C1466" s="9" t="str">
        <f t="array" ref="C1466">IF(
  AND(
    IFERROR(MATCH(Caseslist!B1466, data!D:D, 0), 0) &gt; 0,
    IFERROR(INDEX(data!N:N, MATCH(Caseslist!B1466, data!D:D, 0)) = 1, FALSE)
  ),
  "COMPLETE",
  "INC"
)</f>
        <v>COMPLETE</v>
      </c>
      <c r="D1466" s="9" t="str">
        <f t="array" ref="D1466">IFERROR(INDEX(data!$G:$G,match(Caseslist!B1466,data!$D:$D,0)), "INC")</f>
        <v>B8193462</v>
      </c>
      <c r="E1466" s="9" t="str">
        <f t="array" ref="E1466">IFERROR(INDEX(data!H:H,match(Caseslist!B1466,data!D:D,0)), "INC")</f>
        <v>Mark Lorens Mendoza Gilongo</v>
      </c>
      <c r="F1466" s="10" t="str">
        <f t="array" ref="F1466">IF(
    OR(
      IFNA(INDEX(data!M:M, MATCH(Caseslist!B1466, data!D:D, 0)), "") = "",
      IFNA(INDEX(data!M:M, MATCH(Caseslist!B1466, data!D:D, 0)), 0) = 0
    ),
    "COMPLETE",
    IF(
      IFNA(INDEX(dataICM!D:D, MATCH(Caseslist!B1466, dataICM!D:D, 0)), "INC") = "INC",
      IFNA(INDEX(dataICM!D:D, MATCH(Caseslist!B1466, dataICM!D:D, 0)), "INC"),
      "COMPLETE"
    )
  )</f>
        <v>COMPLETE</v>
      </c>
      <c r="G1466" s="10" t="str">
        <f t="array" ref="G1466">IF(IFERROR(INDEX(data!L:L,match(Caseslist!B1466,data!D:D,0)),"INC")="","COMPLETE",F1466)</f>
        <v>COMPLETE</v>
      </c>
      <c r="H1466" s="9" t="str">
        <f t="array" ref="H1466">IFERROR(INDEX(dataICM!F:F,match(Caseslist!B1466,dataICM!D:D,0)), "INC")</f>
        <v>Mark Lorens Mendoza Gilongo</v>
      </c>
      <c r="I1466" s="10" t="str">
        <f t="shared" si="2"/>
        <v>B8193462</v>
      </c>
      <c r="J1466" s="9" t="str">
        <f t="array" ref="J1466">IF(
  AND(
    IFERROR(MATCH(B1466, data!D:D, 0), 0) &gt; 0,
    IFERROR(INDEX(data!N:N, MATCH(B1466, data!D:D, 0)) = 1, FALSE)
  ),
  INDEX(data!C:C, MATCH(B1466, data!D:D, 0)),
  "INC"
)</f>
        <v>2025-08-29T15:01:20.344+08</v>
      </c>
      <c r="K1466" s="9" t="str">
        <f t="array" ref="K1466">IFERROR(INDEX(dataICM!C:C,match(Caseslist!B1466,dataICM!D:D,0)), "INC")</f>
        <v>2025-08-29T19:35:33.866+08</v>
      </c>
      <c r="L1466" s="10" t="str">
        <f t="array" ref="L1466">IF(AND(G1466="COMPLETE", OR(K1466="INC", ISBLANK(INDEX(data!O:O, ROW())))), J1466, K1466)</f>
        <v>2025-08-29T19:35:33.866+08</v>
      </c>
      <c r="M1466" s="2">
        <v>45898.0</v>
      </c>
      <c r="N1466" s="2">
        <f t="array" ref="N1466">IF(M1466&lt;&gt;"INC", INDEX(data!M:M, MATCH(B1466, data!D:D, 0)), "")</f>
        <v>1</v>
      </c>
      <c r="O1466" s="2">
        <f t="shared" si="3"/>
        <v>1</v>
      </c>
    </row>
    <row r="1467">
      <c r="A1467" s="2" t="str">
        <f t="shared" si="1"/>
        <v>H030514</v>
      </c>
      <c r="B1467" s="1" t="s">
        <v>8935</v>
      </c>
      <c r="C1467" s="9" t="str">
        <f t="array" ref="C1467">IF(
  AND(
    IFERROR(MATCH(Caseslist!B1467, data!D:D, 0), 0) &gt; 0,
    IFERROR(INDEX(data!N:N, MATCH(Caseslist!B1467, data!D:D, 0)) = 1, FALSE)
  ),
  "COMPLETE",
  "INC"
)</f>
        <v>INC</v>
      </c>
      <c r="D1467" s="9" t="str">
        <f t="array" ref="D1467">IFERROR(INDEX(data!$G:$G,match(Caseslist!B1467,data!$D:$D,0)), "INC")</f>
        <v>INC</v>
      </c>
      <c r="E1467" s="9" t="str">
        <f t="array" ref="E1467">IFERROR(INDEX(data!H:H,match(Caseslist!B1467,data!D:D,0)), "INC")</f>
        <v>INC</v>
      </c>
      <c r="F1467" s="10" t="str">
        <f t="array" ref="F1467">IF(
    OR(
      IFNA(INDEX(data!M:M, MATCH(Caseslist!B1467, data!D:D, 0)), "") = "",
      IFNA(INDEX(data!M:M, MATCH(Caseslist!B1467, data!D:D, 0)), 0) = 0
    ),
    "COMPLETE",
    IF(
      IFNA(INDEX(dataICM!D:D, MATCH(Caseslist!B1467, dataICM!D:D, 0)), "INC") = "INC",
      IFNA(INDEX(dataICM!D:D, MATCH(Caseslist!B1467, dataICM!D:D, 0)), "INC"),
      "COMPLETE"
    )
  )</f>
        <v>COMPLETE</v>
      </c>
      <c r="G1467" s="10" t="str">
        <f t="array" ref="G1467">IF(IFERROR(INDEX(data!L:L,match(Caseslist!B1467,data!D:D,0)),"INC")="","COMPLETE",F1467)</f>
        <v>COMPLETE</v>
      </c>
      <c r="H1467" s="9" t="str">
        <f t="array" ref="H1467">IFERROR(INDEX(dataICM!F:F,match(Caseslist!B1467,dataICM!D:D,0)), "INC")</f>
        <v>INC</v>
      </c>
      <c r="I1467" s="10" t="str">
        <f t="shared" si="2"/>
        <v>INC</v>
      </c>
      <c r="J1467" s="9" t="str">
        <f t="array" ref="J1467">IF(
  AND(
    IFERROR(MATCH(B1467, data!D:D, 0), 0) &gt; 0,
    IFERROR(INDEX(data!N:N, MATCH(B1467, data!D:D, 0)) = 1, FALSE)
  ),
  INDEX(data!C:C, MATCH(B1467, data!D:D, 0)),
  "INC"
)</f>
        <v>INC</v>
      </c>
      <c r="K1467" s="9" t="str">
        <f t="array" ref="K1467">IFERROR(INDEX(dataICM!C:C,match(Caseslist!B1467,dataICM!D:D,0)), "INC")</f>
        <v>INC</v>
      </c>
      <c r="L1467" s="10" t="str">
        <f t="array" ref="L1467">IF(AND(G1467="COMPLETE", OR(K1467="INC", ISBLANK(INDEX(data!O:O, ROW())))), J1467, K1467)</f>
        <v>INC</v>
      </c>
      <c r="M1467" s="2" t="s">
        <v>8886</v>
      </c>
      <c r="N1467" s="2" t="str">
        <f t="array" ref="N1467">IF(M1467&lt;&gt;"INC", INDEX(data!M:M, MATCH(B1467, data!D:D, 0)), "")</f>
        <v/>
      </c>
      <c r="O1467" s="2" t="str">
        <f t="shared" si="3"/>
        <v/>
      </c>
    </row>
    <row r="1468">
      <c r="A1468" s="2" t="str">
        <f t="shared" si="1"/>
        <v>H030514</v>
      </c>
      <c r="B1468" s="1" t="s">
        <v>1212</v>
      </c>
      <c r="C1468" s="9" t="str">
        <f t="array" ref="C1468">IF(
  AND(
    IFERROR(MATCH(Caseslist!B1468, data!D:D, 0), 0) &gt; 0,
    IFERROR(INDEX(data!N:N, MATCH(Caseslist!B1468, data!D:D, 0)) = 1, FALSE)
  ),
  "COMPLETE",
  "INC"
)</f>
        <v>COMPLETE</v>
      </c>
      <c r="D1468" s="9" t="str">
        <f t="array" ref="D1468">IFERROR(INDEX(data!$G:$G,match(Caseslist!B1468,data!$D:$D,0)), "INC")</f>
        <v>C7502931</v>
      </c>
      <c r="E1468" s="9" t="str">
        <f t="array" ref="E1468">IFERROR(INDEX(data!H:H,match(Caseslist!B1468,data!D:D,0)), "INC")</f>
        <v>Jenny Lou Toles Estacio</v>
      </c>
      <c r="F1468" s="10" t="str">
        <f t="array" ref="F1468">IF(
    OR(
      IFNA(INDEX(data!M:M, MATCH(Caseslist!B1468, data!D:D, 0)), "") = "",
      IFNA(INDEX(data!M:M, MATCH(Caseslist!B1468, data!D:D, 0)), 0) = 0
    ),
    "COMPLETE",
    IF(
      IFNA(INDEX(dataICM!D:D, MATCH(Caseslist!B1468, dataICM!D:D, 0)), "INC") = "INC",
      IFNA(INDEX(dataICM!D:D, MATCH(Caseslist!B1468, dataICM!D:D, 0)), "INC"),
      "COMPLETE"
    )
  )</f>
        <v>COMPLETE</v>
      </c>
      <c r="G1468" s="10" t="str">
        <f t="array" ref="G1468">IF(IFERROR(INDEX(data!L:L,match(Caseslist!B1468,data!D:D,0)),"INC")="","COMPLETE",F1468)</f>
        <v>COMPLETE</v>
      </c>
      <c r="H1468" s="9" t="str">
        <f t="array" ref="H1468">IFERROR(INDEX(dataICM!F:F,match(Caseslist!B1468,dataICM!D:D,0)), "INC")</f>
        <v>Jenny Lou Toles Estacio</v>
      </c>
      <c r="I1468" s="10" t="str">
        <f t="shared" si="2"/>
        <v>C7502931</v>
      </c>
      <c r="J1468" s="9" t="str">
        <f t="array" ref="J1468">IF(
  AND(
    IFERROR(MATCH(B1468, data!D:D, 0), 0) &gt; 0,
    IFERROR(INDEX(data!N:N, MATCH(B1468, data!D:D, 0)) = 1, FALSE)
  ),
  INDEX(data!C:C, MATCH(B1468, data!D:D, 0)),
  "INC"
)</f>
        <v>2025-08-28T12:28:14.405+08</v>
      </c>
      <c r="K1468" s="9" t="str">
        <f t="array" ref="K1468">IFERROR(INDEX(dataICM!C:C,match(Caseslist!B1468,dataICM!D:D,0)), "INC")</f>
        <v>2025-08-28T20:02:54.665+08</v>
      </c>
      <c r="L1468" s="10" t="str">
        <f t="array" ref="L1468">IF(AND(G1468="COMPLETE", OR(K1468="INC", ISBLANK(INDEX(data!O:O, ROW())))), J1468, K1468)</f>
        <v>2025-08-28T20:02:54.665+08</v>
      </c>
      <c r="M1468" s="2">
        <v>45897.0</v>
      </c>
      <c r="N1468" s="2">
        <f t="array" ref="N1468">IF(M1468&lt;&gt;"INC", INDEX(data!M:M, MATCH(B1468, data!D:D, 0)), "")</f>
        <v>1</v>
      </c>
      <c r="O1468" s="2">
        <f t="shared" si="3"/>
        <v>1</v>
      </c>
    </row>
    <row r="1469">
      <c r="A1469" s="2" t="str">
        <f t="shared" si="1"/>
        <v>H030514</v>
      </c>
      <c r="B1469" s="1" t="s">
        <v>1637</v>
      </c>
      <c r="C1469" s="9" t="str">
        <f t="array" ref="C1469">IF(
  AND(
    IFERROR(MATCH(Caseslist!B1469, data!D:D, 0), 0) &gt; 0,
    IFERROR(INDEX(data!N:N, MATCH(Caseslist!B1469, data!D:D, 0)) = 1, FALSE)
  ),
  "COMPLETE",
  "INC"
)</f>
        <v>COMPLETE</v>
      </c>
      <c r="D1469" s="9" t="str">
        <f t="array" ref="D1469">IFERROR(INDEX(data!$G:$G,match(Caseslist!B1469,data!$D:$D,0)), "INC")</f>
        <v>C7502931</v>
      </c>
      <c r="E1469" s="9" t="str">
        <f t="array" ref="E1469">IFERROR(INDEX(data!H:H,match(Caseslist!B1469,data!D:D,0)), "INC")</f>
        <v>Jenny Lou Toles Estacio</v>
      </c>
      <c r="F1469" s="10" t="str">
        <f t="array" ref="F1469">IF(
    OR(
      IFNA(INDEX(data!M:M, MATCH(Caseslist!B1469, data!D:D, 0)), "") = "",
      IFNA(INDEX(data!M:M, MATCH(Caseslist!B1469, data!D:D, 0)), 0) = 0
    ),
    "COMPLETE",
    IF(
      IFNA(INDEX(dataICM!D:D, MATCH(Caseslist!B1469, dataICM!D:D, 0)), "INC") = "INC",
      IFNA(INDEX(dataICM!D:D, MATCH(Caseslist!B1469, dataICM!D:D, 0)), "INC"),
      "COMPLETE"
    )
  )</f>
        <v>COMPLETE</v>
      </c>
      <c r="G1469" s="10" t="str">
        <f t="array" ref="G1469">IF(IFERROR(INDEX(data!L:L,match(Caseslist!B1469,data!D:D,0)),"INC")="","COMPLETE",F1469)</f>
        <v>COMPLETE</v>
      </c>
      <c r="H1469" s="9" t="str">
        <f t="array" ref="H1469">IFERROR(INDEX(dataICM!F:F,match(Caseslist!B1469,dataICM!D:D,0)), "INC")</f>
        <v>Jenny Lou Toles Estacio</v>
      </c>
      <c r="I1469" s="10" t="str">
        <f t="shared" si="2"/>
        <v>C7502931</v>
      </c>
      <c r="J1469" s="9" t="str">
        <f t="array" ref="J1469">IF(
  AND(
    IFERROR(MATCH(B1469, data!D:D, 0), 0) &gt; 0,
    IFERROR(INDEX(data!N:N, MATCH(B1469, data!D:D, 0)) = 1, FALSE)
  ),
  INDEX(data!C:C, MATCH(B1469, data!D:D, 0)),
  "INC"
)</f>
        <v>2025-08-29T11:02:03.887+08</v>
      </c>
      <c r="K1469" s="9" t="str">
        <f t="array" ref="K1469">IFERROR(INDEX(dataICM!C:C,match(Caseslist!B1469,dataICM!D:D,0)), "INC")</f>
        <v>2025-08-29T19:57:39.888+08</v>
      </c>
      <c r="L1469" s="10" t="str">
        <f t="array" ref="L1469">IF(AND(G1469="COMPLETE", OR(K1469="INC", ISBLANK(INDEX(data!O:O, ROW())))), J1469, K1469)</f>
        <v>2025-08-29T19:57:39.888+08</v>
      </c>
      <c r="M1469" s="2">
        <v>45898.0</v>
      </c>
      <c r="N1469" s="2">
        <f t="array" ref="N1469">IF(M1469&lt;&gt;"INC", INDEX(data!M:M, MATCH(B1469, data!D:D, 0)), "")</f>
        <v>1</v>
      </c>
      <c r="O1469" s="2">
        <f t="shared" si="3"/>
        <v>1</v>
      </c>
    </row>
    <row r="1470">
      <c r="A1470" s="2" t="str">
        <f t="shared" si="1"/>
        <v>H030514</v>
      </c>
      <c r="B1470" s="1" t="s">
        <v>1232</v>
      </c>
      <c r="C1470" s="9" t="str">
        <f t="array" ref="C1470">IF(
  AND(
    IFERROR(MATCH(Caseslist!B1470, data!D:D, 0), 0) &gt; 0,
    IFERROR(INDEX(data!N:N, MATCH(Caseslist!B1470, data!D:D, 0)) = 1, FALSE)
  ),
  "COMPLETE",
  "INC"
)</f>
        <v>COMPLETE</v>
      </c>
      <c r="D1470" s="9" t="str">
        <f t="array" ref="D1470">IFERROR(INDEX(data!$G:$G,match(Caseslist!B1470,data!$D:$D,0)), "INC")</f>
        <v>B8193462</v>
      </c>
      <c r="E1470" s="9" t="str">
        <f t="array" ref="E1470">IFERROR(INDEX(data!H:H,match(Caseslist!B1470,data!D:D,0)), "INC")</f>
        <v>Mark Lorens Mendoza Gilongo</v>
      </c>
      <c r="F1470" s="10" t="str">
        <f t="array" ref="F1470">IF(
    OR(
      IFNA(INDEX(data!M:M, MATCH(Caseslist!B1470, data!D:D, 0)), "") = "",
      IFNA(INDEX(data!M:M, MATCH(Caseslist!B1470, data!D:D, 0)), 0) = 0
    ),
    "COMPLETE",
    IF(
      IFNA(INDEX(dataICM!D:D, MATCH(Caseslist!B1470, dataICM!D:D, 0)), "INC") = "INC",
      IFNA(INDEX(dataICM!D:D, MATCH(Caseslist!B1470, dataICM!D:D, 0)), "INC"),
      "COMPLETE"
    )
  )</f>
        <v>COMPLETE</v>
      </c>
      <c r="G1470" s="10" t="str">
        <f t="array" ref="G1470">IF(IFERROR(INDEX(data!L:L,match(Caseslist!B1470,data!D:D,0)),"INC")="","COMPLETE",F1470)</f>
        <v>COMPLETE</v>
      </c>
      <c r="H1470" s="9" t="str">
        <f t="array" ref="H1470">IFERROR(INDEX(dataICM!F:F,match(Caseslist!B1470,dataICM!D:D,0)), "INC")</f>
        <v>Mark Lorens Mendoza Gilongo</v>
      </c>
      <c r="I1470" s="10" t="str">
        <f t="shared" si="2"/>
        <v>B8193462</v>
      </c>
      <c r="J1470" s="9" t="str">
        <f t="array" ref="J1470">IF(
  AND(
    IFERROR(MATCH(B1470, data!D:D, 0), 0) &gt; 0,
    IFERROR(INDEX(data!N:N, MATCH(B1470, data!D:D, 0)) = 1, FALSE)
  ),
  INDEX(data!C:C, MATCH(B1470, data!D:D, 0)),
  "INC"
)</f>
        <v>2025-08-28T14:55:03.300+08</v>
      </c>
      <c r="K1470" s="9" t="str">
        <f t="array" ref="K1470">IFERROR(INDEX(dataICM!C:C,match(Caseslist!B1470,dataICM!D:D,0)), "INC")</f>
        <v>2025-08-28T15:17:37.458+08</v>
      </c>
      <c r="L1470" s="10" t="str">
        <f t="array" ref="L1470">IF(AND(G1470="COMPLETE", OR(K1470="INC", ISBLANK(INDEX(data!O:O, ROW())))), J1470, K1470)</f>
        <v>2025-08-28T15:17:37.458+08</v>
      </c>
      <c r="M1470" s="2">
        <v>45897.0</v>
      </c>
      <c r="N1470" s="2">
        <f t="array" ref="N1470">IF(M1470&lt;&gt;"INC", INDEX(data!M:M, MATCH(B1470, data!D:D, 0)), "")</f>
        <v>1</v>
      </c>
      <c r="O1470" s="2">
        <f t="shared" si="3"/>
        <v>1</v>
      </c>
    </row>
    <row r="1471">
      <c r="A1471" s="2" t="str">
        <f t="shared" si="1"/>
        <v>H030514</v>
      </c>
      <c r="B1471" s="1" t="s">
        <v>1607</v>
      </c>
      <c r="C1471" s="9" t="str">
        <f t="array" ref="C1471">IF(
  AND(
    IFERROR(MATCH(Caseslist!B1471, data!D:D, 0), 0) &gt; 0,
    IFERROR(INDEX(data!N:N, MATCH(Caseslist!B1471, data!D:D, 0)) = 1, FALSE)
  ),
  "COMPLETE",
  "INC"
)</f>
        <v>COMPLETE</v>
      </c>
      <c r="D1471" s="9" t="str">
        <f t="array" ref="D1471">IFERROR(INDEX(data!$G:$G,match(Caseslist!B1471,data!$D:$D,0)), "INC")</f>
        <v>B8193462</v>
      </c>
      <c r="E1471" s="9" t="str">
        <f t="array" ref="E1471">IFERROR(INDEX(data!H:H,match(Caseslist!B1471,data!D:D,0)), "INC")</f>
        <v>Mark Lorens Mendoza Gilongo</v>
      </c>
      <c r="F1471" s="10" t="str">
        <f t="array" ref="F1471">IF(
    OR(
      IFNA(INDEX(data!M:M, MATCH(Caseslist!B1471, data!D:D, 0)), "") = "",
      IFNA(INDEX(data!M:M, MATCH(Caseslist!B1471, data!D:D, 0)), 0) = 0
    ),
    "COMPLETE",
    IF(
      IFNA(INDEX(dataICM!D:D, MATCH(Caseslist!B1471, dataICM!D:D, 0)), "INC") = "INC",
      IFNA(INDEX(dataICM!D:D, MATCH(Caseslist!B1471, dataICM!D:D, 0)), "INC"),
      "COMPLETE"
    )
  )</f>
        <v>COMPLETE</v>
      </c>
      <c r="G1471" s="10" t="str">
        <f t="array" ref="G1471">IF(IFERROR(INDEX(data!L:L,match(Caseslist!B1471,data!D:D,0)),"INC")="","COMPLETE",F1471)</f>
        <v>COMPLETE</v>
      </c>
      <c r="H1471" s="9" t="str">
        <f t="array" ref="H1471">IFERROR(INDEX(dataICM!F:F,match(Caseslist!B1471,dataICM!D:D,0)), "INC")</f>
        <v>Mark Lorens Mendoza Gilongo</v>
      </c>
      <c r="I1471" s="10" t="str">
        <f t="shared" si="2"/>
        <v>B8193462</v>
      </c>
      <c r="J1471" s="9" t="str">
        <f t="array" ref="J1471">IF(
  AND(
    IFERROR(MATCH(B1471, data!D:D, 0), 0) &gt; 0,
    IFERROR(INDEX(data!N:N, MATCH(B1471, data!D:D, 0)) = 1, FALSE)
  ),
  INDEX(data!C:C, MATCH(B1471, data!D:D, 0)),
  "INC"
)</f>
        <v>2025-08-29T12:32:33.076+08</v>
      </c>
      <c r="K1471" s="9" t="str">
        <f t="array" ref="K1471">IFERROR(INDEX(dataICM!C:C,match(Caseslist!B1471,dataICM!D:D,0)), "INC")</f>
        <v>2025-08-29T13:29:22.156+08</v>
      </c>
      <c r="L1471" s="10" t="str">
        <f t="array" ref="L1471">IF(AND(G1471="COMPLETE", OR(K1471="INC", ISBLANK(INDEX(data!O:O, ROW())))), J1471, K1471)</f>
        <v>2025-08-29T13:29:22.156+08</v>
      </c>
      <c r="M1471" s="2">
        <v>45898.0</v>
      </c>
      <c r="N1471" s="2">
        <f t="array" ref="N1471">IF(M1471&lt;&gt;"INC", INDEX(data!M:M, MATCH(B1471, data!D:D, 0)), "")</f>
        <v>1</v>
      </c>
      <c r="O1471" s="2">
        <f t="shared" si="3"/>
        <v>1</v>
      </c>
    </row>
    <row r="1472">
      <c r="A1472" s="2" t="str">
        <f t="shared" si="1"/>
        <v>H030514</v>
      </c>
      <c r="B1472" s="1" t="s">
        <v>1227</v>
      </c>
      <c r="C1472" s="9" t="str">
        <f t="array" ref="C1472">IF(
  AND(
    IFERROR(MATCH(Caseslist!B1472, data!D:D, 0), 0) &gt; 0,
    IFERROR(INDEX(data!N:N, MATCH(Caseslist!B1472, data!D:D, 0)) = 1, FALSE)
  ),
  "COMPLETE",
  "INC"
)</f>
        <v>COMPLETE</v>
      </c>
      <c r="D1472" s="9" t="str">
        <f t="array" ref="D1472">IFERROR(INDEX(data!$G:$G,match(Caseslist!B1472,data!$D:$D,0)), "INC")</f>
        <v>B8193462</v>
      </c>
      <c r="E1472" s="9" t="str">
        <f t="array" ref="E1472">IFERROR(INDEX(data!H:H,match(Caseslist!B1472,data!D:D,0)), "INC")</f>
        <v>Mark Lorens Mendoza Gilongo</v>
      </c>
      <c r="F1472" s="10" t="str">
        <f t="array" ref="F1472">IF(
    OR(
      IFNA(INDEX(data!M:M, MATCH(Caseslist!B1472, data!D:D, 0)), "") = "",
      IFNA(INDEX(data!M:M, MATCH(Caseslist!B1472, data!D:D, 0)), 0) = 0
    ),
    "COMPLETE",
    IF(
      IFNA(INDEX(dataICM!D:D, MATCH(Caseslist!B1472, dataICM!D:D, 0)), "INC") = "INC",
      IFNA(INDEX(dataICM!D:D, MATCH(Caseslist!B1472, dataICM!D:D, 0)), "INC"),
      "COMPLETE"
    )
  )</f>
        <v>COMPLETE</v>
      </c>
      <c r="G1472" s="10" t="str">
        <f t="array" ref="G1472">IF(IFERROR(INDEX(data!L:L,match(Caseslist!B1472,data!D:D,0)),"INC")="","COMPLETE",F1472)</f>
        <v>COMPLETE</v>
      </c>
      <c r="H1472" s="9" t="str">
        <f t="array" ref="H1472">IFERROR(INDEX(dataICM!F:F,match(Caseslist!B1472,dataICM!D:D,0)), "INC")</f>
        <v>Mark Lorens Mendoza Gilongo</v>
      </c>
      <c r="I1472" s="10" t="str">
        <f t="shared" si="2"/>
        <v>B8193462</v>
      </c>
      <c r="J1472" s="9" t="str">
        <f t="array" ref="J1472">IF(
  AND(
    IFERROR(MATCH(B1472, data!D:D, 0), 0) &gt; 0,
    IFERROR(INDEX(data!N:N, MATCH(B1472, data!D:D, 0)) = 1, FALSE)
  ),
  INDEX(data!C:C, MATCH(B1472, data!D:D, 0)),
  "INC"
)</f>
        <v>2025-08-28T12:41:48.476+08</v>
      </c>
      <c r="K1472" s="9" t="str">
        <f t="array" ref="K1472">IFERROR(INDEX(dataICM!C:C,match(Caseslist!B1472,dataICM!D:D,0)), "INC")</f>
        <v>2025-08-28T13:41:49.301+08</v>
      </c>
      <c r="L1472" s="10" t="str">
        <f t="array" ref="L1472">IF(AND(G1472="COMPLETE", OR(K1472="INC", ISBLANK(INDEX(data!O:O, ROW())))), J1472, K1472)</f>
        <v>2025-08-28T13:41:49.301+08</v>
      </c>
      <c r="M1472" s="2">
        <v>45897.0</v>
      </c>
      <c r="N1472" s="2">
        <f t="array" ref="N1472">IF(M1472&lt;&gt;"INC", INDEX(data!M:M, MATCH(B1472, data!D:D, 0)), "")</f>
        <v>1</v>
      </c>
      <c r="O1472" s="2">
        <f t="shared" si="3"/>
        <v>1</v>
      </c>
    </row>
    <row r="1473">
      <c r="A1473" s="2" t="str">
        <f t="shared" si="1"/>
        <v>H030514</v>
      </c>
      <c r="B1473" s="1" t="s">
        <v>1297</v>
      </c>
      <c r="C1473" s="9" t="str">
        <f t="array" ref="C1473">IF(
  AND(
    IFERROR(MATCH(Caseslist!B1473, data!D:D, 0), 0) &gt; 0,
    IFERROR(INDEX(data!N:N, MATCH(Caseslist!B1473, data!D:D, 0)) = 1, FALSE)
  ),
  "COMPLETE",
  "INC"
)</f>
        <v>COMPLETE</v>
      </c>
      <c r="D1473" s="9" t="str">
        <f t="array" ref="D1473">IFERROR(INDEX(data!$G:$G,match(Caseslist!B1473,data!$D:$D,0)), "INC")</f>
        <v>C7502931</v>
      </c>
      <c r="E1473" s="9" t="str">
        <f t="array" ref="E1473">IFERROR(INDEX(data!H:H,match(Caseslist!B1473,data!D:D,0)), "INC")</f>
        <v>Jenny Lou Toles Estacio</v>
      </c>
      <c r="F1473" s="10" t="str">
        <f t="array" ref="F1473">IF(
    OR(
      IFNA(INDEX(data!M:M, MATCH(Caseslist!B1473, data!D:D, 0)), "") = "",
      IFNA(INDEX(data!M:M, MATCH(Caseslist!B1473, data!D:D, 0)), 0) = 0
    ),
    "COMPLETE",
    IF(
      IFNA(INDEX(dataICM!D:D, MATCH(Caseslist!B1473, dataICM!D:D, 0)), "INC") = "INC",
      IFNA(INDEX(dataICM!D:D, MATCH(Caseslist!B1473, dataICM!D:D, 0)), "INC"),
      "COMPLETE"
    )
  )</f>
        <v>COMPLETE</v>
      </c>
      <c r="G1473" s="10" t="str">
        <f t="array" ref="G1473">IF(IFERROR(INDEX(data!L:L,match(Caseslist!B1473,data!D:D,0)),"INC")="","COMPLETE",F1473)</f>
        <v>COMPLETE</v>
      </c>
      <c r="H1473" s="9" t="str">
        <f t="array" ref="H1473">IFERROR(INDEX(dataICM!F:F,match(Caseslist!B1473,dataICM!D:D,0)), "INC")</f>
        <v>Jenny Lou Toles Estacio</v>
      </c>
      <c r="I1473" s="10" t="str">
        <f t="shared" si="2"/>
        <v>C7502931</v>
      </c>
      <c r="J1473" s="9" t="str">
        <f t="array" ref="J1473">IF(
  AND(
    IFERROR(MATCH(B1473, data!D:D, 0), 0) &gt; 0,
    IFERROR(INDEX(data!N:N, MATCH(B1473, data!D:D, 0)) = 1, FALSE)
  ),
  INDEX(data!C:C, MATCH(B1473, data!D:D, 0)),
  "INC"
)</f>
        <v>2025-08-28T10:44:11.413+08</v>
      </c>
      <c r="K1473" s="9" t="str">
        <f t="array" ref="K1473">IFERROR(INDEX(dataICM!C:C,match(Caseslist!B1473,dataICM!D:D,0)), "INC")</f>
        <v>2025-08-28T11:05:22.671+08</v>
      </c>
      <c r="L1473" s="10" t="str">
        <f t="array" ref="L1473">IF(AND(G1473="COMPLETE", OR(K1473="INC", ISBLANK(INDEX(data!O:O, ROW())))), J1473, K1473)</f>
        <v>2025-08-28T11:05:22.671+08</v>
      </c>
      <c r="M1473" s="2">
        <v>45897.0</v>
      </c>
      <c r="N1473" s="2">
        <f t="array" ref="N1473">IF(M1473&lt;&gt;"INC", INDEX(data!M:M, MATCH(B1473, data!D:D, 0)), "")</f>
        <v>1</v>
      </c>
      <c r="O1473" s="2">
        <f t="shared" si="3"/>
        <v>1</v>
      </c>
    </row>
    <row r="1474">
      <c r="A1474" s="2" t="str">
        <f t="shared" si="1"/>
        <v>H030514</v>
      </c>
      <c r="B1474" s="1" t="s">
        <v>1237</v>
      </c>
      <c r="C1474" s="9" t="str">
        <f t="array" ref="C1474">IF(
  AND(
    IFERROR(MATCH(Caseslist!B1474, data!D:D, 0), 0) &gt; 0,
    IFERROR(INDEX(data!N:N, MATCH(Caseslist!B1474, data!D:D, 0)) = 1, FALSE)
  ),
  "COMPLETE",
  "INC"
)</f>
        <v>COMPLETE</v>
      </c>
      <c r="D1474" s="9" t="str">
        <f t="array" ref="D1474">IFERROR(INDEX(data!$G:$G,match(Caseslist!B1474,data!$D:$D,0)), "INC")</f>
        <v>C7502931</v>
      </c>
      <c r="E1474" s="9" t="str">
        <f t="array" ref="E1474">IFERROR(INDEX(data!H:H,match(Caseslist!B1474,data!D:D,0)), "INC")</f>
        <v>Jenny Lou Toles Estacio</v>
      </c>
      <c r="F1474" s="10" t="str">
        <f t="array" ref="F1474">IF(
    OR(
      IFNA(INDEX(data!M:M, MATCH(Caseslist!B1474, data!D:D, 0)), "") = "",
      IFNA(INDEX(data!M:M, MATCH(Caseslist!B1474, data!D:D, 0)), 0) = 0
    ),
    "COMPLETE",
    IF(
      IFNA(INDEX(dataICM!D:D, MATCH(Caseslist!B1474, dataICM!D:D, 0)), "INC") = "INC",
      IFNA(INDEX(dataICM!D:D, MATCH(Caseslist!B1474, dataICM!D:D, 0)), "INC"),
      "COMPLETE"
    )
  )</f>
        <v>COMPLETE</v>
      </c>
      <c r="G1474" s="10" t="str">
        <f t="array" ref="G1474">IF(IFERROR(INDEX(data!L:L,match(Caseslist!B1474,data!D:D,0)),"INC")="","COMPLETE",F1474)</f>
        <v>COMPLETE</v>
      </c>
      <c r="H1474" s="9" t="str">
        <f t="array" ref="H1474">IFERROR(INDEX(dataICM!F:F,match(Caseslist!B1474,dataICM!D:D,0)), "INC")</f>
        <v>Jenny Lou Toles Estacio</v>
      </c>
      <c r="I1474" s="10" t="str">
        <f t="shared" si="2"/>
        <v>C7502931</v>
      </c>
      <c r="J1474" s="9" t="str">
        <f t="array" ref="J1474">IF(
  AND(
    IFERROR(MATCH(B1474, data!D:D, 0), 0) &gt; 0,
    IFERROR(INDEX(data!N:N, MATCH(B1474, data!D:D, 0)) = 1, FALSE)
  ),
  INDEX(data!C:C, MATCH(B1474, data!D:D, 0)),
  "INC"
)</f>
        <v>2025-09-29T14:26:10.855+08</v>
      </c>
      <c r="K1474" s="9" t="str">
        <f t="array" ref="K1474">IFERROR(INDEX(dataICM!C:C,match(Caseslist!B1474,dataICM!D:D,0)), "INC")</f>
        <v>2025-09-29T19:54:51.518+08</v>
      </c>
      <c r="L1474" s="10" t="str">
        <f t="array" ref="L1474">IF(AND(G1474="COMPLETE", OR(K1474="INC", ISBLANK(INDEX(data!O:O, ROW())))), J1474, K1474)</f>
        <v>2025-09-29T19:54:51.518+08</v>
      </c>
      <c r="M1474" s="2">
        <v>45929.0</v>
      </c>
      <c r="N1474" s="2">
        <f t="array" ref="N1474">IF(M1474&lt;&gt;"INC", INDEX(data!M:M, MATCH(B1474, data!D:D, 0)), "")</f>
        <v>1</v>
      </c>
      <c r="O1474" s="2">
        <f t="shared" si="3"/>
        <v>1</v>
      </c>
    </row>
    <row r="1475">
      <c r="A1475" s="2" t="str">
        <f t="shared" si="1"/>
        <v>H030514</v>
      </c>
      <c r="B1475" s="1" t="s">
        <v>1217</v>
      </c>
      <c r="C1475" s="9" t="str">
        <f t="array" ref="C1475">IF(
  AND(
    IFERROR(MATCH(Caseslist!B1475, data!D:D, 0), 0) &gt; 0,
    IFERROR(INDEX(data!N:N, MATCH(Caseslist!B1475, data!D:D, 0)) = 1, FALSE)
  ),
  "COMPLETE",
  "INC"
)</f>
        <v>COMPLETE</v>
      </c>
      <c r="D1475" s="9" t="str">
        <f t="array" ref="D1475">IFERROR(INDEX(data!$G:$G,match(Caseslist!B1475,data!$D:$D,0)), "INC")</f>
        <v>B8193462</v>
      </c>
      <c r="E1475" s="9" t="str">
        <f t="array" ref="E1475">IFERROR(INDEX(data!H:H,match(Caseslist!B1475,data!D:D,0)), "INC")</f>
        <v>Mark Lorens Mendoza Gilongo</v>
      </c>
      <c r="F1475" s="10" t="str">
        <f t="array" ref="F1475">IF(
    OR(
      IFNA(INDEX(data!M:M, MATCH(Caseslist!B1475, data!D:D, 0)), "") = "",
      IFNA(INDEX(data!M:M, MATCH(Caseslist!B1475, data!D:D, 0)), 0) = 0
    ),
    "COMPLETE",
    IF(
      IFNA(INDEX(dataICM!D:D, MATCH(Caseslist!B1475, dataICM!D:D, 0)), "INC") = "INC",
      IFNA(INDEX(dataICM!D:D, MATCH(Caseslist!B1475, dataICM!D:D, 0)), "INC"),
      "COMPLETE"
    )
  )</f>
        <v>COMPLETE</v>
      </c>
      <c r="G1475" s="10" t="str">
        <f t="array" ref="G1475">IF(IFERROR(INDEX(data!L:L,match(Caseslist!B1475,data!D:D,0)),"INC")="","COMPLETE",F1475)</f>
        <v>COMPLETE</v>
      </c>
      <c r="H1475" s="9" t="str">
        <f t="array" ref="H1475">IFERROR(INDEX(dataICM!F:F,match(Caseslist!B1475,dataICM!D:D,0)), "INC")</f>
        <v>Mark Lorens Mendoza Gilongo</v>
      </c>
      <c r="I1475" s="10" t="str">
        <f t="shared" si="2"/>
        <v>B8193462</v>
      </c>
      <c r="J1475" s="9" t="str">
        <f t="array" ref="J1475">IF(
  AND(
    IFERROR(MATCH(B1475, data!D:D, 0), 0) &gt; 0,
    IFERROR(INDEX(data!N:N, MATCH(B1475, data!D:D, 0)) = 1, FALSE)
  ),
  INDEX(data!C:C, MATCH(B1475, data!D:D, 0)),
  "INC"
)</f>
        <v>2025-08-28T11:05:11.274+08</v>
      </c>
      <c r="K1475" s="9" t="str">
        <f t="array" ref="K1475">IFERROR(INDEX(dataICM!C:C,match(Caseslist!B1475,dataICM!D:D,0)), "INC")</f>
        <v>2025-08-28T11:27:28.536+08</v>
      </c>
      <c r="L1475" s="10" t="str">
        <f t="array" ref="L1475">IF(AND(G1475="COMPLETE", OR(K1475="INC", ISBLANK(INDEX(data!O:O, ROW())))), J1475, K1475)</f>
        <v>2025-08-28T11:27:28.536+08</v>
      </c>
      <c r="M1475" s="2">
        <v>45897.0</v>
      </c>
      <c r="N1475" s="2">
        <f t="array" ref="N1475">IF(M1475&lt;&gt;"INC", INDEX(data!M:M, MATCH(B1475, data!D:D, 0)), "")</f>
        <v>1</v>
      </c>
      <c r="O1475" s="2">
        <f t="shared" si="3"/>
        <v>1</v>
      </c>
    </row>
    <row r="1476">
      <c r="A1476" s="2" t="str">
        <f t="shared" si="1"/>
        <v>H030514</v>
      </c>
      <c r="B1476" s="1" t="s">
        <v>8936</v>
      </c>
      <c r="C1476" s="9" t="str">
        <f t="array" ref="C1476">IF(
  AND(
    IFERROR(MATCH(Caseslist!B1476, data!D:D, 0), 0) &gt; 0,
    IFERROR(INDEX(data!N:N, MATCH(Caseslist!B1476, data!D:D, 0)) = 1, FALSE)
  ),
  "COMPLETE",
  "INC"
)</f>
        <v>INC</v>
      </c>
      <c r="D1476" s="9" t="str">
        <f t="array" ref="D1476">IFERROR(INDEX(data!$G:$G,match(Caseslist!B1476,data!$D:$D,0)), "INC")</f>
        <v>INC</v>
      </c>
      <c r="E1476" s="9" t="str">
        <f t="array" ref="E1476">IFERROR(INDEX(data!H:H,match(Caseslist!B1476,data!D:D,0)), "INC")</f>
        <v>INC</v>
      </c>
      <c r="F1476" s="10" t="str">
        <f t="array" ref="F1476">IF(
    OR(
      IFNA(INDEX(data!M:M, MATCH(Caseslist!B1476, data!D:D, 0)), "") = "",
      IFNA(INDEX(data!M:M, MATCH(Caseslist!B1476, data!D:D, 0)), 0) = 0
    ),
    "COMPLETE",
    IF(
      IFNA(INDEX(dataICM!D:D, MATCH(Caseslist!B1476, dataICM!D:D, 0)), "INC") = "INC",
      IFNA(INDEX(dataICM!D:D, MATCH(Caseslist!B1476, dataICM!D:D, 0)), "INC"),
      "COMPLETE"
    )
  )</f>
        <v>COMPLETE</v>
      </c>
      <c r="G1476" s="10" t="str">
        <f t="array" ref="G1476">IF(IFERROR(INDEX(data!L:L,match(Caseslist!B1476,data!D:D,0)),"INC")="","COMPLETE",F1476)</f>
        <v>COMPLETE</v>
      </c>
      <c r="H1476" s="9" t="str">
        <f t="array" ref="H1476">IFERROR(INDEX(dataICM!F:F,match(Caseslist!B1476,dataICM!D:D,0)), "INC")</f>
        <v>INC</v>
      </c>
      <c r="I1476" s="10" t="str">
        <f t="shared" si="2"/>
        <v>INC</v>
      </c>
      <c r="J1476" s="9" t="str">
        <f t="array" ref="J1476">IF(
  AND(
    IFERROR(MATCH(B1476, data!D:D, 0), 0) &gt; 0,
    IFERROR(INDEX(data!N:N, MATCH(B1476, data!D:D, 0)) = 1, FALSE)
  ),
  INDEX(data!C:C, MATCH(B1476, data!D:D, 0)),
  "INC"
)</f>
        <v>INC</v>
      </c>
      <c r="K1476" s="9" t="str">
        <f t="array" ref="K1476">IFERROR(INDEX(dataICM!C:C,match(Caseslist!B1476,dataICM!D:D,0)), "INC")</f>
        <v>INC</v>
      </c>
      <c r="L1476" s="10" t="str">
        <f t="array" ref="L1476">IF(AND(G1476="COMPLETE", OR(K1476="INC", ISBLANK(INDEX(data!O:O, ROW())))), J1476, K1476)</f>
        <v>INC</v>
      </c>
      <c r="M1476" s="2" t="s">
        <v>8886</v>
      </c>
      <c r="N1476" s="2" t="str">
        <f t="array" ref="N1476">IF(M1476&lt;&gt;"INC", INDEX(data!M:M, MATCH(B1476, data!D:D, 0)), "")</f>
        <v/>
      </c>
      <c r="O1476" s="2" t="str">
        <f t="shared" si="3"/>
        <v/>
      </c>
    </row>
    <row r="1477">
      <c r="A1477" s="2" t="str">
        <f t="shared" si="1"/>
        <v>H030514</v>
      </c>
      <c r="B1477" s="1" t="s">
        <v>1302</v>
      </c>
      <c r="C1477" s="9" t="str">
        <f t="array" ref="C1477">IF(
  AND(
    IFERROR(MATCH(Caseslist!B1477, data!D:D, 0), 0) &gt; 0,
    IFERROR(INDEX(data!N:N, MATCH(Caseslist!B1477, data!D:D, 0)) = 1, FALSE)
  ),
  "COMPLETE",
  "INC"
)</f>
        <v>COMPLETE</v>
      </c>
      <c r="D1477" s="9" t="str">
        <f t="array" ref="D1477">IFERROR(INDEX(data!$G:$G,match(Caseslist!B1477,data!$D:$D,0)), "INC")</f>
        <v>C7502931</v>
      </c>
      <c r="E1477" s="9" t="str">
        <f t="array" ref="E1477">IFERROR(INDEX(data!H:H,match(Caseslist!B1477,data!D:D,0)), "INC")</f>
        <v>Jenny Lou Toles Estacio</v>
      </c>
      <c r="F1477" s="10" t="str">
        <f t="array" ref="F1477">IF(
    OR(
      IFNA(INDEX(data!M:M, MATCH(Caseslist!B1477, data!D:D, 0)), "") = "",
      IFNA(INDEX(data!M:M, MATCH(Caseslist!B1477, data!D:D, 0)), 0) = 0
    ),
    "COMPLETE",
    IF(
      IFNA(INDEX(dataICM!D:D, MATCH(Caseslist!B1477, dataICM!D:D, 0)), "INC") = "INC",
      IFNA(INDEX(dataICM!D:D, MATCH(Caseslist!B1477, dataICM!D:D, 0)), "INC"),
      "COMPLETE"
    )
  )</f>
        <v>COMPLETE</v>
      </c>
      <c r="G1477" s="10" t="str">
        <f t="array" ref="G1477">IF(IFERROR(INDEX(data!L:L,match(Caseslist!B1477,data!D:D,0)),"INC")="","COMPLETE",F1477)</f>
        <v>COMPLETE</v>
      </c>
      <c r="H1477" s="9" t="str">
        <f t="array" ref="H1477">IFERROR(INDEX(dataICM!F:F,match(Caseslist!B1477,dataICM!D:D,0)), "INC")</f>
        <v>Jenny Lou Toles Estacio</v>
      </c>
      <c r="I1477" s="10" t="str">
        <f t="shared" si="2"/>
        <v>C7502931</v>
      </c>
      <c r="J1477" s="9" t="str">
        <f t="array" ref="J1477">IF(
  AND(
    IFERROR(MATCH(B1477, data!D:D, 0), 0) &gt; 0,
    IFERROR(INDEX(data!N:N, MATCH(B1477, data!D:D, 0)) = 1, FALSE)
  ),
  INDEX(data!C:C, MATCH(B1477, data!D:D, 0)),
  "INC"
)</f>
        <v>2025-08-29T15:22:18.212+08</v>
      </c>
      <c r="K1477" s="9" t="str">
        <f t="array" ref="K1477">IFERROR(INDEX(dataICM!C:C,match(Caseslist!B1477,dataICM!D:D,0)), "INC")</f>
        <v>2025-08-29T19:53:28.266+08</v>
      </c>
      <c r="L1477" s="10" t="str">
        <f t="array" ref="L1477">IF(AND(G1477="COMPLETE", OR(K1477="INC", ISBLANK(INDEX(data!O:O, ROW())))), J1477, K1477)</f>
        <v>2025-08-29T19:53:28.266+08</v>
      </c>
      <c r="M1477" s="2">
        <v>45898.0</v>
      </c>
      <c r="N1477" s="2">
        <f t="array" ref="N1477">IF(M1477&lt;&gt;"INC", INDEX(data!M:M, MATCH(B1477, data!D:D, 0)), "")</f>
        <v>1</v>
      </c>
      <c r="O1477" s="2">
        <f t="shared" si="3"/>
        <v>1</v>
      </c>
    </row>
    <row r="1478">
      <c r="A1478" s="2" t="str">
        <f t="shared" si="1"/>
        <v>H030515</v>
      </c>
      <c r="B1478" s="1" t="s">
        <v>6673</v>
      </c>
      <c r="C1478" s="9" t="str">
        <f t="array" ref="C1478">IF(
  AND(
    IFERROR(MATCH(Caseslist!B1478, data!D:D, 0), 0) &gt; 0,
    IFERROR(INDEX(data!N:N, MATCH(Caseslist!B1478, data!D:D, 0)) = 1, FALSE)
  ),
  "COMPLETE",
  "INC"
)</f>
        <v>COMPLETE</v>
      </c>
      <c r="D1478" s="9">
        <f t="array" ref="D1478">IFERROR(INDEX(data!$G:$G,match(Caseslist!B1478,data!$D:$D,0)), "INC")</f>
        <v>896791</v>
      </c>
      <c r="E1478" s="9" t="str">
        <f t="array" ref="E1478">IFERROR(INDEX(data!H:H,match(Caseslist!B1478,data!D:D,0)), "INC")</f>
        <v>Roland A. Bandiola jr_2</v>
      </c>
      <c r="F1478" s="10" t="str">
        <f t="array" ref="F1478">IF(
    OR(
      IFNA(INDEX(data!M:M, MATCH(Caseslist!B1478, data!D:D, 0)), "") = "",
      IFNA(INDEX(data!M:M, MATCH(Caseslist!B1478, data!D:D, 0)), 0) = 0
    ),
    "COMPLETE",
    IF(
      IFNA(INDEX(dataICM!D:D, MATCH(Caseslist!B1478, dataICM!D:D, 0)), "INC") = "INC",
      IFNA(INDEX(dataICM!D:D, MATCH(Caseslist!B1478, dataICM!D:D, 0)), "INC"),
      "COMPLETE"
    )
  )</f>
        <v>COMPLETE</v>
      </c>
      <c r="G1478" s="10" t="str">
        <f t="array" ref="G1478">IF(IFERROR(INDEX(data!L:L,match(Caseslist!B1478,data!D:D,0)),"INC")="","COMPLETE",F1478)</f>
        <v>COMPLETE</v>
      </c>
      <c r="H1478" s="9" t="str">
        <f t="array" ref="H1478">IFERROR(INDEX(dataICM!F:F,match(Caseslist!B1478,dataICM!D:D,0)), "INC")</f>
        <v>INC</v>
      </c>
      <c r="I1478" s="10">
        <f t="shared" si="2"/>
        <v>896791</v>
      </c>
      <c r="J1478" s="9" t="str">
        <f t="array" ref="J1478">IF(
  AND(
    IFERROR(MATCH(B1478, data!D:D, 0), 0) &gt; 0,
    IFERROR(INDEX(data!N:N, MATCH(B1478, data!D:D, 0)) = 1, FALSE)
  ),
  INDEX(data!C:C, MATCH(B1478, data!D:D, 0)),
  "INC"
)</f>
        <v>2025-09-16T13:38:22.690+08</v>
      </c>
      <c r="K1478" s="9" t="str">
        <f t="array" ref="K1478">IFERROR(INDEX(dataICM!C:C,match(Caseslist!B1478,dataICM!D:D,0)), "INC")</f>
        <v>INC</v>
      </c>
      <c r="L1478" s="10" t="str">
        <f t="array" ref="L1478">IF(AND(G1478="COMPLETE", OR(K1478="INC", ISBLANK(INDEX(data!O:O, ROW())))), J1478, K1478)</f>
        <v>2025-09-16T13:38:22.690+08</v>
      </c>
      <c r="M1478" s="2">
        <v>45916.0</v>
      </c>
      <c r="N1478" s="2">
        <f t="array" ref="N1478">IF(M1478&lt;&gt;"INC", INDEX(data!M:M, MATCH(B1478, data!D:D, 0)), "")</f>
        <v>0</v>
      </c>
      <c r="O1478" s="2">
        <f t="shared" si="3"/>
        <v>0</v>
      </c>
    </row>
    <row r="1479">
      <c r="A1479" s="2" t="str">
        <f t="shared" si="1"/>
        <v>H030515</v>
      </c>
      <c r="B1479" s="1" t="s">
        <v>6638</v>
      </c>
      <c r="C1479" s="9" t="str">
        <f t="array" ref="C1479">IF(
  AND(
    IFERROR(MATCH(Caseslist!B1479, data!D:D, 0), 0) &gt; 0,
    IFERROR(INDEX(data!N:N, MATCH(Caseslist!B1479, data!D:D, 0)) = 1, FALSE)
  ),
  "COMPLETE",
  "INC"
)</f>
        <v>COMPLETE</v>
      </c>
      <c r="D1479" s="9" t="str">
        <f t="array" ref="D1479">IFERROR(INDEX(data!$G:$G,match(Caseslist!B1479,data!$D:$D,0)), "INC")</f>
        <v>B8193462</v>
      </c>
      <c r="E1479" s="9" t="str">
        <f t="array" ref="E1479">IFERROR(INDEX(data!H:H,match(Caseslist!B1479,data!D:D,0)), "INC")</f>
        <v>Mark Lorens Mendoza Gilongo</v>
      </c>
      <c r="F1479" s="10" t="str">
        <f t="array" ref="F1479">IF(
    OR(
      IFNA(INDEX(data!M:M, MATCH(Caseslist!B1479, data!D:D, 0)), "") = "",
      IFNA(INDEX(data!M:M, MATCH(Caseslist!B1479, data!D:D, 0)), 0) = 0
    ),
    "COMPLETE",
    IF(
      IFNA(INDEX(dataICM!D:D, MATCH(Caseslist!B1479, dataICM!D:D, 0)), "INC") = "INC",
      IFNA(INDEX(dataICM!D:D, MATCH(Caseslist!B1479, dataICM!D:D, 0)), "INC"),
      "COMPLETE"
    )
  )</f>
        <v>COMPLETE</v>
      </c>
      <c r="G1479" s="10" t="str">
        <f t="array" ref="G1479">IF(IFERROR(INDEX(data!L:L,match(Caseslist!B1479,data!D:D,0)),"INC")="","COMPLETE",F1479)</f>
        <v>COMPLETE</v>
      </c>
      <c r="H1479" s="9" t="str">
        <f t="array" ref="H1479">IFERROR(INDEX(dataICM!F:F,match(Caseslist!B1479,dataICM!D:D,0)), "INC")</f>
        <v>INC</v>
      </c>
      <c r="I1479" s="10" t="str">
        <f t="shared" si="2"/>
        <v>B8193462</v>
      </c>
      <c r="J1479" s="9" t="str">
        <f t="array" ref="J1479">IF(
  AND(
    IFERROR(MATCH(B1479, data!D:D, 0), 0) &gt; 0,
    IFERROR(INDEX(data!N:N, MATCH(B1479, data!D:D, 0)) = 1, FALSE)
  ),
  INDEX(data!C:C, MATCH(B1479, data!D:D, 0)),
  "INC"
)</f>
        <v>2025-09-16T11:56:22.201+08</v>
      </c>
      <c r="K1479" s="9" t="str">
        <f t="array" ref="K1479">IFERROR(INDEX(dataICM!C:C,match(Caseslist!B1479,dataICM!D:D,0)), "INC")</f>
        <v>INC</v>
      </c>
      <c r="L1479" s="10" t="str">
        <f t="array" ref="L1479">IF(AND(G1479="COMPLETE", OR(K1479="INC", ISBLANK(INDEX(data!O:O, ROW())))), J1479, K1479)</f>
        <v>2025-09-16T11:56:22.201+08</v>
      </c>
      <c r="M1479" s="2">
        <v>45916.0</v>
      </c>
      <c r="N1479" s="2">
        <f t="array" ref="N1479">IF(M1479&lt;&gt;"INC", INDEX(data!M:M, MATCH(B1479, data!D:D, 0)), "")</f>
        <v>0</v>
      </c>
      <c r="O1479" s="2">
        <f t="shared" si="3"/>
        <v>0</v>
      </c>
    </row>
    <row r="1480">
      <c r="A1480" s="2" t="str">
        <f t="shared" si="1"/>
        <v>H030515</v>
      </c>
      <c r="B1480" s="1" t="s">
        <v>6708</v>
      </c>
      <c r="C1480" s="9" t="str">
        <f t="array" ref="C1480">IF(
  AND(
    IFERROR(MATCH(Caseslist!B1480, data!D:D, 0), 0) &gt; 0,
    IFERROR(INDEX(data!N:N, MATCH(Caseslist!B1480, data!D:D, 0)) = 1, FALSE)
  ),
  "COMPLETE",
  "INC"
)</f>
        <v>INC</v>
      </c>
      <c r="D1480" s="9" t="str">
        <f t="array" ref="D1480">IFERROR(INDEX(data!$G:$G,match(Caseslist!B1480,data!$D:$D,0)), "INC")</f>
        <v>C7502931</v>
      </c>
      <c r="E1480" s="9" t="str">
        <f t="array" ref="E1480">IFERROR(INDEX(data!H:H,match(Caseslist!B1480,data!D:D,0)), "INC")</f>
        <v>Jenny Lou Toles Estacio</v>
      </c>
      <c r="F1480" s="10" t="str">
        <f t="array" ref="F1480">IF(
    OR(
      IFNA(INDEX(data!M:M, MATCH(Caseslist!B1480, data!D:D, 0)), "") = "",
      IFNA(INDEX(data!M:M, MATCH(Caseslist!B1480, data!D:D, 0)), 0) = 0
    ),
    "COMPLETE",
    IF(
      IFNA(INDEX(dataICM!D:D, MATCH(Caseslist!B1480, dataICM!D:D, 0)), "INC") = "INC",
      IFNA(INDEX(dataICM!D:D, MATCH(Caseslist!B1480, dataICM!D:D, 0)), "INC"),
      "COMPLETE"
    )
  )</f>
        <v>COMPLETE</v>
      </c>
      <c r="G1480" s="10" t="str">
        <f t="array" ref="G1480">IF(IFERROR(INDEX(data!L:L,match(Caseslist!B1480,data!D:D,0)),"INC")="","COMPLETE",F1480)</f>
        <v>COMPLETE</v>
      </c>
      <c r="H1480" s="9" t="str">
        <f t="array" ref="H1480">IFERROR(INDEX(dataICM!F:F,match(Caseslist!B1480,dataICM!D:D,0)), "INC")</f>
        <v>INC</v>
      </c>
      <c r="I1480" s="10" t="str">
        <f t="shared" si="2"/>
        <v>C7502931</v>
      </c>
      <c r="J1480" s="9" t="str">
        <f t="array" ref="J1480">IF(
  AND(
    IFERROR(MATCH(B1480, data!D:D, 0), 0) &gt; 0,
    IFERROR(INDEX(data!N:N, MATCH(B1480, data!D:D, 0)) = 1, FALSE)
  ),
  INDEX(data!C:C, MATCH(B1480, data!D:D, 0)),
  "INC"
)</f>
        <v>INC</v>
      </c>
      <c r="K1480" s="9" t="str">
        <f t="array" ref="K1480">IFERROR(INDEX(dataICM!C:C,match(Caseslist!B1480,dataICM!D:D,0)), "INC")</f>
        <v>INC</v>
      </c>
      <c r="L1480" s="10" t="str">
        <f t="array" ref="L1480">IF(AND(G1480="COMPLETE", OR(K1480="INC", ISBLANK(INDEX(data!O:O, ROW())))), J1480, K1480)</f>
        <v>INC</v>
      </c>
      <c r="M1480" s="2" t="s">
        <v>8886</v>
      </c>
      <c r="N1480" s="2" t="str">
        <f t="array" ref="N1480">IF(M1480&lt;&gt;"INC", INDEX(data!M:M, MATCH(B1480, data!D:D, 0)), "")</f>
        <v/>
      </c>
      <c r="O1480" s="2" t="str">
        <f t="shared" si="3"/>
        <v/>
      </c>
    </row>
    <row r="1481">
      <c r="A1481" s="2" t="str">
        <f t="shared" si="1"/>
        <v>H030515</v>
      </c>
      <c r="B1481" s="1" t="s">
        <v>6728</v>
      </c>
      <c r="C1481" s="9" t="str">
        <f t="array" ref="C1481">IF(
  AND(
    IFERROR(MATCH(Caseslist!B1481, data!D:D, 0), 0) &gt; 0,
    IFERROR(INDEX(data!N:N, MATCH(Caseslist!B1481, data!D:D, 0)) = 1, FALSE)
  ),
  "COMPLETE",
  "INC"
)</f>
        <v>COMPLETE</v>
      </c>
      <c r="D1481" s="9" t="str">
        <f t="array" ref="D1481">IFERROR(INDEX(data!$G:$G,match(Caseslist!B1481,data!$D:$D,0)), "INC")</f>
        <v>C7502931</v>
      </c>
      <c r="E1481" s="9" t="str">
        <f t="array" ref="E1481">IFERROR(INDEX(data!H:H,match(Caseslist!B1481,data!D:D,0)), "INC")</f>
        <v>Jenny Lou Toles Estacio</v>
      </c>
      <c r="F1481" s="10" t="str">
        <f t="array" ref="F1481">IF(
    OR(
      IFNA(INDEX(data!M:M, MATCH(Caseslist!B1481, data!D:D, 0)), "") = "",
      IFNA(INDEX(data!M:M, MATCH(Caseslist!B1481, data!D:D, 0)), 0) = 0
    ),
    "COMPLETE",
    IF(
      IFNA(INDEX(dataICM!D:D, MATCH(Caseslist!B1481, dataICM!D:D, 0)), "INC") = "INC",
      IFNA(INDEX(dataICM!D:D, MATCH(Caseslist!B1481, dataICM!D:D, 0)), "INC"),
      "COMPLETE"
    )
  )</f>
        <v>COMPLETE</v>
      </c>
      <c r="G1481" s="10" t="str">
        <f t="array" ref="G1481">IF(IFERROR(INDEX(data!L:L,match(Caseslist!B1481,data!D:D,0)),"INC")="","COMPLETE",F1481)</f>
        <v>COMPLETE</v>
      </c>
      <c r="H1481" s="9" t="str">
        <f t="array" ref="H1481">IFERROR(INDEX(dataICM!F:F,match(Caseslist!B1481,dataICM!D:D,0)), "INC")</f>
        <v>INC</v>
      </c>
      <c r="I1481" s="10" t="str">
        <f t="shared" si="2"/>
        <v>C7502931</v>
      </c>
      <c r="J1481" s="9" t="str">
        <f t="array" ref="J1481">IF(
  AND(
    IFERROR(MATCH(B1481, data!D:D, 0), 0) &gt; 0,
    IFERROR(INDEX(data!N:N, MATCH(B1481, data!D:D, 0)) = 1, FALSE)
  ),
  INDEX(data!C:C, MATCH(B1481, data!D:D, 0)),
  "INC"
)</f>
        <v>2025-09-16T17:30:18.416+08</v>
      </c>
      <c r="K1481" s="9" t="str">
        <f t="array" ref="K1481">IFERROR(INDEX(dataICM!C:C,match(Caseslist!B1481,dataICM!D:D,0)), "INC")</f>
        <v>INC</v>
      </c>
      <c r="L1481" s="10" t="str">
        <f t="array" ref="L1481">IF(AND(G1481="COMPLETE", OR(K1481="INC", ISBLANK(INDEX(data!O:O, ROW())))), J1481, K1481)</f>
        <v>2025-09-16T17:30:18.416+08</v>
      </c>
      <c r="M1481" s="2">
        <v>45916.0</v>
      </c>
      <c r="N1481" s="2">
        <f t="array" ref="N1481">IF(M1481&lt;&gt;"INC", INDEX(data!M:M, MATCH(B1481, data!D:D, 0)), "")</f>
        <v>0</v>
      </c>
      <c r="O1481" s="2">
        <f t="shared" si="3"/>
        <v>0</v>
      </c>
    </row>
    <row r="1482">
      <c r="A1482" s="2" t="str">
        <f t="shared" si="1"/>
        <v>H030515</v>
      </c>
      <c r="B1482" s="1" t="s">
        <v>8778</v>
      </c>
      <c r="C1482" s="9" t="str">
        <f t="array" ref="C1482">IF(
  AND(
    IFERROR(MATCH(Caseslist!B1482, data!D:D, 0), 0) &gt; 0,
    IFERROR(INDEX(data!N:N, MATCH(Caseslist!B1482, data!D:D, 0)) = 1, FALSE)
  ),
  "COMPLETE",
  "INC"
)</f>
        <v>COMPLETE</v>
      </c>
      <c r="D1482" s="9" t="str">
        <f t="array" ref="D1482">IFERROR(INDEX(data!$G:$G,match(Caseslist!B1482,data!$D:$D,0)), "INC")</f>
        <v>D1284067</v>
      </c>
      <c r="E1482" s="9" t="str">
        <f t="array" ref="E1482">IFERROR(INDEX(data!H:H,match(Caseslist!B1482,data!D:D,0)), "INC")</f>
        <v>Mariel Del Rio</v>
      </c>
      <c r="F1482" s="10" t="str">
        <f t="array" ref="F1482">IF(
    OR(
      IFNA(INDEX(data!M:M, MATCH(Caseslist!B1482, data!D:D, 0)), "") = "",
      IFNA(INDEX(data!M:M, MATCH(Caseslist!B1482, data!D:D, 0)), 0) = 0
    ),
    "COMPLETE",
    IF(
      IFNA(INDEX(dataICM!D:D, MATCH(Caseslist!B1482, dataICM!D:D, 0)), "INC") = "INC",
      IFNA(INDEX(dataICM!D:D, MATCH(Caseslist!B1482, dataICM!D:D, 0)), "INC"),
      "COMPLETE"
    )
  )</f>
        <v>COMPLETE</v>
      </c>
      <c r="G1482" s="10" t="str">
        <f t="array" ref="G1482">IF(IFERROR(INDEX(data!L:L,match(Caseslist!B1482,data!D:D,0)),"INC")="","COMPLETE",F1482)</f>
        <v>COMPLETE</v>
      </c>
      <c r="H1482" s="9" t="str">
        <f t="array" ref="H1482">IFERROR(INDEX(dataICM!F:F,match(Caseslist!B1482,dataICM!D:D,0)), "INC")</f>
        <v>INC</v>
      </c>
      <c r="I1482" s="10" t="str">
        <f t="shared" si="2"/>
        <v>D1284067</v>
      </c>
      <c r="J1482" s="9" t="str">
        <f t="array" ref="J1482">IF(
  AND(
    IFERROR(MATCH(B1482, data!D:D, 0), 0) &gt; 0,
    IFERROR(INDEX(data!N:N, MATCH(B1482, data!D:D, 0)) = 1, FALSE)
  ),
  INDEX(data!C:C, MATCH(B1482, data!D:D, 0)),
  "INC"
)</f>
        <v>2025-10-05T16:56:48.845+08</v>
      </c>
      <c r="K1482" s="9" t="str">
        <f t="array" ref="K1482">IFERROR(INDEX(dataICM!C:C,match(Caseslist!B1482,dataICM!D:D,0)), "INC")</f>
        <v>INC</v>
      </c>
      <c r="L1482" s="10" t="str">
        <f t="array" ref="L1482">IF(AND(G1482="COMPLETE", OR(K1482="INC", ISBLANK(INDEX(data!O:O, ROW())))), J1482, K1482)</f>
        <v>2025-10-05T16:56:48.845+08</v>
      </c>
      <c r="M1482" s="2">
        <v>45935.0</v>
      </c>
      <c r="N1482" s="2">
        <f t="array" ref="N1482">IF(M1482&lt;&gt;"INC", INDEX(data!M:M, MATCH(B1482, data!D:D, 0)), "")</f>
        <v>0</v>
      </c>
      <c r="O1482" s="2">
        <f t="shared" si="3"/>
        <v>0</v>
      </c>
    </row>
    <row r="1483">
      <c r="A1483" s="2" t="str">
        <f t="shared" si="1"/>
        <v>H030515</v>
      </c>
      <c r="B1483" s="1" t="s">
        <v>6723</v>
      </c>
      <c r="C1483" s="9" t="str">
        <f t="array" ref="C1483">IF(
  AND(
    IFERROR(MATCH(Caseslist!B1483, data!D:D, 0), 0) &gt; 0,
    IFERROR(INDEX(data!N:N, MATCH(Caseslist!B1483, data!D:D, 0)) = 1, FALSE)
  ),
  "COMPLETE",
  "INC"
)</f>
        <v>COMPLETE</v>
      </c>
      <c r="D1483" s="9" t="str">
        <f t="array" ref="D1483">IFERROR(INDEX(data!$G:$G,match(Caseslist!B1483,data!$D:$D,0)), "INC")</f>
        <v>C7502931</v>
      </c>
      <c r="E1483" s="9" t="str">
        <f t="array" ref="E1483">IFERROR(INDEX(data!H:H,match(Caseslist!B1483,data!D:D,0)), "INC")</f>
        <v>Jenny Lou Toles Estacio</v>
      </c>
      <c r="F1483" s="10" t="str">
        <f t="array" ref="F1483">IF(
    OR(
      IFNA(INDEX(data!M:M, MATCH(Caseslist!B1483, data!D:D, 0)), "") = "",
      IFNA(INDEX(data!M:M, MATCH(Caseslist!B1483, data!D:D, 0)), 0) = 0
    ),
    "COMPLETE",
    IF(
      IFNA(INDEX(dataICM!D:D, MATCH(Caseslist!B1483, dataICM!D:D, 0)), "INC") = "INC",
      IFNA(INDEX(dataICM!D:D, MATCH(Caseslist!B1483, dataICM!D:D, 0)), "INC"),
      "COMPLETE"
    )
  )</f>
        <v>COMPLETE</v>
      </c>
      <c r="G1483" s="10" t="str">
        <f t="array" ref="G1483">IF(IFERROR(INDEX(data!L:L,match(Caseslist!B1483,data!D:D,0)),"INC")="","COMPLETE",F1483)</f>
        <v>COMPLETE</v>
      </c>
      <c r="H1483" s="9" t="str">
        <f t="array" ref="H1483">IFERROR(INDEX(dataICM!F:F,match(Caseslist!B1483,dataICM!D:D,0)), "INC")</f>
        <v>INC</v>
      </c>
      <c r="I1483" s="10" t="str">
        <f t="shared" si="2"/>
        <v>C7502931</v>
      </c>
      <c r="J1483" s="9" t="str">
        <f t="array" ref="J1483">IF(
  AND(
    IFERROR(MATCH(B1483, data!D:D, 0), 0) &gt; 0,
    IFERROR(INDEX(data!N:N, MATCH(B1483, data!D:D, 0)) = 1, FALSE)
  ),
  INDEX(data!C:C, MATCH(B1483, data!D:D, 0)),
  "INC"
)</f>
        <v>2025-09-16T17:04:04.993+08</v>
      </c>
      <c r="K1483" s="9" t="str">
        <f t="array" ref="K1483">IFERROR(INDEX(dataICM!C:C,match(Caseslist!B1483,dataICM!D:D,0)), "INC")</f>
        <v>INC</v>
      </c>
      <c r="L1483" s="10" t="str">
        <f t="array" ref="L1483">IF(AND(G1483="COMPLETE", OR(K1483="INC", ISBLANK(INDEX(data!O:O, ROW())))), J1483, K1483)</f>
        <v>2025-09-16T17:04:04.993+08</v>
      </c>
      <c r="M1483" s="2">
        <v>45916.0</v>
      </c>
      <c r="N1483" s="2">
        <f t="array" ref="N1483">IF(M1483&lt;&gt;"INC", INDEX(data!M:M, MATCH(B1483, data!D:D, 0)), "")</f>
        <v>0</v>
      </c>
      <c r="O1483" s="2">
        <f t="shared" si="3"/>
        <v>0</v>
      </c>
    </row>
    <row r="1484">
      <c r="A1484" s="2" t="str">
        <f t="shared" si="1"/>
        <v>H030515</v>
      </c>
      <c r="B1484" s="1" t="s">
        <v>6718</v>
      </c>
      <c r="C1484" s="9" t="str">
        <f t="array" ref="C1484">IF(
  AND(
    IFERROR(MATCH(Caseslist!B1484, data!D:D, 0), 0) &gt; 0,
    IFERROR(INDEX(data!N:N, MATCH(Caseslist!B1484, data!D:D, 0)) = 1, FALSE)
  ),
  "COMPLETE",
  "INC"
)</f>
        <v>COMPLETE</v>
      </c>
      <c r="D1484" s="9" t="str">
        <f t="array" ref="D1484">IFERROR(INDEX(data!$G:$G,match(Caseslist!B1484,data!$D:$D,0)), "INC")</f>
        <v>C7502931</v>
      </c>
      <c r="E1484" s="9" t="str">
        <f t="array" ref="E1484">IFERROR(INDEX(data!H:H,match(Caseslist!B1484,data!D:D,0)), "INC")</f>
        <v>Jenny Lou Toles Estacio</v>
      </c>
      <c r="F1484" s="10" t="str">
        <f t="array" ref="F1484">IF(
    OR(
      IFNA(INDEX(data!M:M, MATCH(Caseslist!B1484, data!D:D, 0)), "") = "",
      IFNA(INDEX(data!M:M, MATCH(Caseslist!B1484, data!D:D, 0)), 0) = 0
    ),
    "COMPLETE",
    IF(
      IFNA(INDEX(dataICM!D:D, MATCH(Caseslist!B1484, dataICM!D:D, 0)), "INC") = "INC",
      IFNA(INDEX(dataICM!D:D, MATCH(Caseslist!B1484, dataICM!D:D, 0)), "INC"),
      "COMPLETE"
    )
  )</f>
        <v>COMPLETE</v>
      </c>
      <c r="G1484" s="10" t="str">
        <f t="array" ref="G1484">IF(IFERROR(INDEX(data!L:L,match(Caseslist!B1484,data!D:D,0)),"INC")="","COMPLETE",F1484)</f>
        <v>COMPLETE</v>
      </c>
      <c r="H1484" s="9" t="str">
        <f t="array" ref="H1484">IFERROR(INDEX(dataICM!F:F,match(Caseslist!B1484,dataICM!D:D,0)), "INC")</f>
        <v>INC</v>
      </c>
      <c r="I1484" s="10" t="str">
        <f t="shared" si="2"/>
        <v>C7502931</v>
      </c>
      <c r="J1484" s="9" t="str">
        <f t="array" ref="J1484">IF(
  AND(
    IFERROR(MATCH(B1484, data!D:D, 0), 0) &gt; 0,
    IFERROR(INDEX(data!N:N, MATCH(B1484, data!D:D, 0)) = 1, FALSE)
  ),
  INDEX(data!C:C, MATCH(B1484, data!D:D, 0)),
  "INC"
)</f>
        <v>2025-09-16T17:19:43.541+08</v>
      </c>
      <c r="K1484" s="9" t="str">
        <f t="array" ref="K1484">IFERROR(INDEX(dataICM!C:C,match(Caseslist!B1484,dataICM!D:D,0)), "INC")</f>
        <v>INC</v>
      </c>
      <c r="L1484" s="10" t="str">
        <f t="array" ref="L1484">IF(AND(G1484="COMPLETE", OR(K1484="INC", ISBLANK(INDEX(data!O:O, ROW())))), J1484, K1484)</f>
        <v>2025-09-16T17:19:43.541+08</v>
      </c>
      <c r="M1484" s="2">
        <v>45916.0</v>
      </c>
      <c r="N1484" s="2">
        <f t="array" ref="N1484">IF(M1484&lt;&gt;"INC", INDEX(data!M:M, MATCH(B1484, data!D:D, 0)), "")</f>
        <v>0</v>
      </c>
      <c r="O1484" s="2">
        <f t="shared" si="3"/>
        <v>0</v>
      </c>
    </row>
    <row r="1485">
      <c r="A1485" s="2" t="str">
        <f t="shared" si="1"/>
        <v>H030515</v>
      </c>
      <c r="B1485" s="1" t="s">
        <v>6683</v>
      </c>
      <c r="C1485" s="9" t="str">
        <f t="array" ref="C1485">IF(
  AND(
    IFERROR(MATCH(Caseslist!B1485, data!D:D, 0), 0) &gt; 0,
    IFERROR(INDEX(data!N:N, MATCH(Caseslist!B1485, data!D:D, 0)) = 1, FALSE)
  ),
  "COMPLETE",
  "INC"
)</f>
        <v>COMPLETE</v>
      </c>
      <c r="D1485" s="9" t="str">
        <f t="array" ref="D1485">IFERROR(INDEX(data!$G:$G,match(Caseslist!B1485,data!$D:$D,0)), "INC")</f>
        <v>D1284067</v>
      </c>
      <c r="E1485" s="9" t="str">
        <f t="array" ref="E1485">IFERROR(INDEX(data!H:H,match(Caseslist!B1485,data!D:D,0)), "INC")</f>
        <v>Mariel Del Rio</v>
      </c>
      <c r="F1485" s="10" t="str">
        <f t="array" ref="F1485">IF(
    OR(
      IFNA(INDEX(data!M:M, MATCH(Caseslist!B1485, data!D:D, 0)), "") = "",
      IFNA(INDEX(data!M:M, MATCH(Caseslist!B1485, data!D:D, 0)), 0) = 0
    ),
    "COMPLETE",
    IF(
      IFNA(INDEX(dataICM!D:D, MATCH(Caseslist!B1485, dataICM!D:D, 0)), "INC") = "INC",
      IFNA(INDEX(dataICM!D:D, MATCH(Caseslist!B1485, dataICM!D:D, 0)), "INC"),
      "COMPLETE"
    )
  )</f>
        <v>COMPLETE</v>
      </c>
      <c r="G1485" s="10" t="str">
        <f t="array" ref="G1485">IF(IFERROR(INDEX(data!L:L,match(Caseslist!B1485,data!D:D,0)),"INC")="","COMPLETE",F1485)</f>
        <v>COMPLETE</v>
      </c>
      <c r="H1485" s="9" t="str">
        <f t="array" ref="H1485">IFERROR(INDEX(dataICM!F:F,match(Caseslist!B1485,dataICM!D:D,0)), "INC")</f>
        <v>INC</v>
      </c>
      <c r="I1485" s="10" t="str">
        <f t="shared" si="2"/>
        <v>D1284067</v>
      </c>
      <c r="J1485" s="9" t="str">
        <f t="array" ref="J1485">IF(
  AND(
    IFERROR(MATCH(B1485, data!D:D, 0), 0) &gt; 0,
    IFERROR(INDEX(data!N:N, MATCH(B1485, data!D:D, 0)) = 1, FALSE)
  ),
  INDEX(data!C:C, MATCH(B1485, data!D:D, 0)),
  "INC"
)</f>
        <v>2025-09-16T16:23:57.633+08</v>
      </c>
      <c r="K1485" s="9" t="str">
        <f t="array" ref="K1485">IFERROR(INDEX(dataICM!C:C,match(Caseslist!B1485,dataICM!D:D,0)), "INC")</f>
        <v>INC</v>
      </c>
      <c r="L1485" s="10" t="str">
        <f t="array" ref="L1485">IF(AND(G1485="COMPLETE", OR(K1485="INC", ISBLANK(INDEX(data!O:O, ROW())))), J1485, K1485)</f>
        <v>2025-09-16T16:23:57.633+08</v>
      </c>
      <c r="M1485" s="2">
        <v>45916.0</v>
      </c>
      <c r="N1485" s="2">
        <f t="array" ref="N1485">IF(M1485&lt;&gt;"INC", INDEX(data!M:M, MATCH(B1485, data!D:D, 0)), "")</f>
        <v>0</v>
      </c>
      <c r="O1485" s="2">
        <f t="shared" si="3"/>
        <v>0</v>
      </c>
    </row>
    <row r="1486">
      <c r="A1486" s="2" t="str">
        <f t="shared" si="1"/>
        <v>H030515</v>
      </c>
      <c r="B1486" s="1" t="s">
        <v>6648</v>
      </c>
      <c r="C1486" s="9" t="str">
        <f t="array" ref="C1486">IF(
  AND(
    IFERROR(MATCH(Caseslist!B1486, data!D:D, 0), 0) &gt; 0,
    IFERROR(INDEX(data!N:N, MATCH(Caseslist!B1486, data!D:D, 0)) = 1, FALSE)
  ),
  "COMPLETE",
  "INC"
)</f>
        <v>COMPLETE</v>
      </c>
      <c r="D1486" s="9" t="str">
        <f t="array" ref="D1486">IFERROR(INDEX(data!$G:$G,match(Caseslist!B1486,data!$D:$D,0)), "INC")</f>
        <v>B8193462</v>
      </c>
      <c r="E1486" s="9" t="str">
        <f t="array" ref="E1486">IFERROR(INDEX(data!H:H,match(Caseslist!B1486,data!D:D,0)), "INC")</f>
        <v>Mark Lorens Mendoza Gilongo</v>
      </c>
      <c r="F1486" s="10" t="str">
        <f t="array" ref="F1486">IF(
    OR(
      IFNA(INDEX(data!M:M, MATCH(Caseslist!B1486, data!D:D, 0)), "") = "",
      IFNA(INDEX(data!M:M, MATCH(Caseslist!B1486, data!D:D, 0)), 0) = 0
    ),
    "COMPLETE",
    IF(
      IFNA(INDEX(dataICM!D:D, MATCH(Caseslist!B1486, dataICM!D:D, 0)), "INC") = "INC",
      IFNA(INDEX(dataICM!D:D, MATCH(Caseslist!B1486, dataICM!D:D, 0)), "INC"),
      "COMPLETE"
    )
  )</f>
        <v>COMPLETE</v>
      </c>
      <c r="G1486" s="10" t="str">
        <f t="array" ref="G1486">IF(IFERROR(INDEX(data!L:L,match(Caseslist!B1486,data!D:D,0)),"INC")="","COMPLETE",F1486)</f>
        <v>COMPLETE</v>
      </c>
      <c r="H1486" s="9" t="str">
        <f t="array" ref="H1486">IFERROR(INDEX(dataICM!F:F,match(Caseslist!B1486,dataICM!D:D,0)), "INC")</f>
        <v>INC</v>
      </c>
      <c r="I1486" s="10" t="str">
        <f t="shared" si="2"/>
        <v>B8193462</v>
      </c>
      <c r="J1486" s="9" t="str">
        <f t="array" ref="J1486">IF(
  AND(
    IFERROR(MATCH(B1486, data!D:D, 0), 0) &gt; 0,
    IFERROR(INDEX(data!N:N, MATCH(B1486, data!D:D, 0)) = 1, FALSE)
  ),
  INDEX(data!C:C, MATCH(B1486, data!D:D, 0)),
  "INC"
)</f>
        <v>2025-09-16T16:57:55.245+08</v>
      </c>
      <c r="K1486" s="9" t="str">
        <f t="array" ref="K1486">IFERROR(INDEX(dataICM!C:C,match(Caseslist!B1486,dataICM!D:D,0)), "INC")</f>
        <v>INC</v>
      </c>
      <c r="L1486" s="10" t="str">
        <f t="array" ref="L1486">IF(AND(G1486="COMPLETE", OR(K1486="INC", ISBLANK(INDEX(data!O:O, ROW())))), J1486, K1486)</f>
        <v>2025-09-16T16:57:55.245+08</v>
      </c>
      <c r="M1486" s="2">
        <v>45916.0</v>
      </c>
      <c r="N1486" s="2">
        <f t="array" ref="N1486">IF(M1486&lt;&gt;"INC", INDEX(data!M:M, MATCH(B1486, data!D:D, 0)), "")</f>
        <v>0</v>
      </c>
      <c r="O1486" s="2">
        <f t="shared" si="3"/>
        <v>0</v>
      </c>
    </row>
    <row r="1487">
      <c r="A1487" s="2" t="str">
        <f t="shared" si="1"/>
        <v>H030515</v>
      </c>
      <c r="B1487" s="1" t="s">
        <v>6668</v>
      </c>
      <c r="C1487" s="9" t="str">
        <f t="array" ref="C1487">IF(
  AND(
    IFERROR(MATCH(Caseslist!B1487, data!D:D, 0), 0) &gt; 0,
    IFERROR(INDEX(data!N:N, MATCH(Caseslist!B1487, data!D:D, 0)) = 1, FALSE)
  ),
  "COMPLETE",
  "INC"
)</f>
        <v>COMPLETE</v>
      </c>
      <c r="D1487" s="9">
        <f t="array" ref="D1487">IFERROR(INDEX(data!$G:$G,match(Caseslist!B1487,data!$D:$D,0)), "INC")</f>
        <v>896791</v>
      </c>
      <c r="E1487" s="9" t="str">
        <f t="array" ref="E1487">IFERROR(INDEX(data!H:H,match(Caseslist!B1487,data!D:D,0)), "INC")</f>
        <v>Roland A. Bandiola jr_2</v>
      </c>
      <c r="F1487" s="10" t="str">
        <f t="array" ref="F1487">IF(
    OR(
      IFNA(INDEX(data!M:M, MATCH(Caseslist!B1487, data!D:D, 0)), "") = "",
      IFNA(INDEX(data!M:M, MATCH(Caseslist!B1487, data!D:D, 0)), 0) = 0
    ),
    "COMPLETE",
    IF(
      IFNA(INDEX(dataICM!D:D, MATCH(Caseslist!B1487, dataICM!D:D, 0)), "INC") = "INC",
      IFNA(INDEX(dataICM!D:D, MATCH(Caseslist!B1487, dataICM!D:D, 0)), "INC"),
      "COMPLETE"
    )
  )</f>
        <v>COMPLETE</v>
      </c>
      <c r="G1487" s="10" t="str">
        <f t="array" ref="G1487">IF(IFERROR(INDEX(data!L:L,match(Caseslist!B1487,data!D:D,0)),"INC")="","COMPLETE",F1487)</f>
        <v>COMPLETE</v>
      </c>
      <c r="H1487" s="9" t="str">
        <f t="array" ref="H1487">IFERROR(INDEX(dataICM!F:F,match(Caseslist!B1487,dataICM!D:D,0)), "INC")</f>
        <v>INC</v>
      </c>
      <c r="I1487" s="10">
        <f t="shared" si="2"/>
        <v>896791</v>
      </c>
      <c r="J1487" s="9" t="str">
        <f t="array" ref="J1487">IF(
  AND(
    IFERROR(MATCH(B1487, data!D:D, 0), 0) &gt; 0,
    IFERROR(INDEX(data!N:N, MATCH(B1487, data!D:D, 0)) = 1, FALSE)
  ),
  INDEX(data!C:C, MATCH(B1487, data!D:D, 0)),
  "INC"
)</f>
        <v>2025-09-16T11:00:35.188+08</v>
      </c>
      <c r="K1487" s="9" t="str">
        <f t="array" ref="K1487">IFERROR(INDEX(dataICM!C:C,match(Caseslist!B1487,dataICM!D:D,0)), "INC")</f>
        <v>INC</v>
      </c>
      <c r="L1487" s="10" t="str">
        <f t="array" ref="L1487">IF(AND(G1487="COMPLETE", OR(K1487="INC", ISBLANK(INDEX(data!O:O, ROW())))), J1487, K1487)</f>
        <v>2025-09-16T11:00:35.188+08</v>
      </c>
      <c r="M1487" s="2">
        <v>45916.0</v>
      </c>
      <c r="N1487" s="2">
        <f t="array" ref="N1487">IF(M1487&lt;&gt;"INC", INDEX(data!M:M, MATCH(B1487, data!D:D, 0)), "")</f>
        <v>0</v>
      </c>
      <c r="O1487" s="2">
        <f t="shared" si="3"/>
        <v>0</v>
      </c>
    </row>
    <row r="1488">
      <c r="A1488" s="2" t="str">
        <f t="shared" si="1"/>
        <v>H030515</v>
      </c>
      <c r="B1488" s="1" t="s">
        <v>6643</v>
      </c>
      <c r="C1488" s="9" t="str">
        <f t="array" ref="C1488">IF(
  AND(
    IFERROR(MATCH(Caseslist!B1488, data!D:D, 0), 0) &gt; 0,
    IFERROR(INDEX(data!N:N, MATCH(Caseslist!B1488, data!D:D, 0)) = 1, FALSE)
  ),
  "COMPLETE",
  "INC"
)</f>
        <v>COMPLETE</v>
      </c>
      <c r="D1488" s="9" t="str">
        <f t="array" ref="D1488">IFERROR(INDEX(data!$G:$G,match(Caseslist!B1488,data!$D:$D,0)), "INC")</f>
        <v>B8193462</v>
      </c>
      <c r="E1488" s="9" t="str">
        <f t="array" ref="E1488">IFERROR(INDEX(data!H:H,match(Caseslist!B1488,data!D:D,0)), "INC")</f>
        <v>Mark Lorens Mendoza Gilongo</v>
      </c>
      <c r="F1488" s="10" t="str">
        <f t="array" ref="F1488">IF(
    OR(
      IFNA(INDEX(data!M:M, MATCH(Caseslist!B1488, data!D:D, 0)), "") = "",
      IFNA(INDEX(data!M:M, MATCH(Caseslist!B1488, data!D:D, 0)), 0) = 0
    ),
    "COMPLETE",
    IF(
      IFNA(INDEX(dataICM!D:D, MATCH(Caseslist!B1488, dataICM!D:D, 0)), "INC") = "INC",
      IFNA(INDEX(dataICM!D:D, MATCH(Caseslist!B1488, dataICM!D:D, 0)), "INC"),
      "COMPLETE"
    )
  )</f>
        <v>COMPLETE</v>
      </c>
      <c r="G1488" s="10" t="str">
        <f t="array" ref="G1488">IF(IFERROR(INDEX(data!L:L,match(Caseslist!B1488,data!D:D,0)),"INC")="","COMPLETE",F1488)</f>
        <v>COMPLETE</v>
      </c>
      <c r="H1488" s="9" t="str">
        <f t="array" ref="H1488">IFERROR(INDEX(dataICM!F:F,match(Caseslist!B1488,dataICM!D:D,0)), "INC")</f>
        <v>INC</v>
      </c>
      <c r="I1488" s="10" t="str">
        <f t="shared" si="2"/>
        <v>B8193462</v>
      </c>
      <c r="J1488" s="9" t="str">
        <f t="array" ref="J1488">IF(
  AND(
    IFERROR(MATCH(B1488, data!D:D, 0), 0) &gt; 0,
    IFERROR(INDEX(data!N:N, MATCH(B1488, data!D:D, 0)) = 1, FALSE)
  ),
  INDEX(data!C:C, MATCH(B1488, data!D:D, 0)),
  "INC"
)</f>
        <v>2025-09-16T16:57:22.039+08</v>
      </c>
      <c r="K1488" s="9" t="str">
        <f t="array" ref="K1488">IFERROR(INDEX(dataICM!C:C,match(Caseslist!B1488,dataICM!D:D,0)), "INC")</f>
        <v>INC</v>
      </c>
      <c r="L1488" s="10" t="str">
        <f t="array" ref="L1488">IF(AND(G1488="COMPLETE", OR(K1488="INC", ISBLANK(INDEX(data!O:O, ROW())))), J1488, K1488)</f>
        <v>2025-09-16T16:57:22.039+08</v>
      </c>
      <c r="M1488" s="2">
        <v>45916.0</v>
      </c>
      <c r="N1488" s="2">
        <f t="array" ref="N1488">IF(M1488&lt;&gt;"INC", INDEX(data!M:M, MATCH(B1488, data!D:D, 0)), "")</f>
        <v>0</v>
      </c>
      <c r="O1488" s="2">
        <f t="shared" si="3"/>
        <v>0</v>
      </c>
    </row>
    <row r="1489">
      <c r="A1489" s="2" t="str">
        <f t="shared" si="1"/>
        <v>H030515</v>
      </c>
      <c r="B1489" s="1" t="s">
        <v>6678</v>
      </c>
      <c r="C1489" s="9" t="str">
        <f t="array" ref="C1489">IF(
  AND(
    IFERROR(MATCH(Caseslist!B1489, data!D:D, 0), 0) &gt; 0,
    IFERROR(INDEX(data!N:N, MATCH(Caseslist!B1489, data!D:D, 0)) = 1, FALSE)
  ),
  "COMPLETE",
  "INC"
)</f>
        <v>COMPLETE</v>
      </c>
      <c r="D1489" s="9">
        <f t="array" ref="D1489">IFERROR(INDEX(data!$G:$G,match(Caseslist!B1489,data!$D:$D,0)), "INC")</f>
        <v>896791</v>
      </c>
      <c r="E1489" s="9" t="str">
        <f t="array" ref="E1489">IFERROR(INDEX(data!H:H,match(Caseslist!B1489,data!D:D,0)), "INC")</f>
        <v>Roland A. Bandiola jr_2</v>
      </c>
      <c r="F1489" s="10" t="str">
        <f t="array" ref="F1489">IF(
    OR(
      IFNA(INDEX(data!M:M, MATCH(Caseslist!B1489, data!D:D, 0)), "") = "",
      IFNA(INDEX(data!M:M, MATCH(Caseslist!B1489, data!D:D, 0)), 0) = 0
    ),
    "COMPLETE",
    IF(
      IFNA(INDEX(dataICM!D:D, MATCH(Caseslist!B1489, dataICM!D:D, 0)), "INC") = "INC",
      IFNA(INDEX(dataICM!D:D, MATCH(Caseslist!B1489, dataICM!D:D, 0)), "INC"),
      "COMPLETE"
    )
  )</f>
        <v>COMPLETE</v>
      </c>
      <c r="G1489" s="10" t="str">
        <f t="array" ref="G1489">IF(IFERROR(INDEX(data!L:L,match(Caseslist!B1489,data!D:D,0)),"INC")="","COMPLETE",F1489)</f>
        <v>COMPLETE</v>
      </c>
      <c r="H1489" s="9" t="str">
        <f t="array" ref="H1489">IFERROR(INDEX(dataICM!F:F,match(Caseslist!B1489,dataICM!D:D,0)), "INC")</f>
        <v>INC</v>
      </c>
      <c r="I1489" s="10">
        <f t="shared" si="2"/>
        <v>896791</v>
      </c>
      <c r="J1489" s="9" t="str">
        <f t="array" ref="J1489">IF(
  AND(
    IFERROR(MATCH(B1489, data!D:D, 0), 0) &gt; 0,
    IFERROR(INDEX(data!N:N, MATCH(B1489, data!D:D, 0)) = 1, FALSE)
  ),
  INDEX(data!C:C, MATCH(B1489, data!D:D, 0)),
  "INC"
)</f>
        <v>2025-09-16T15:28:08.830+08</v>
      </c>
      <c r="K1489" s="9" t="str">
        <f t="array" ref="K1489">IFERROR(INDEX(dataICM!C:C,match(Caseslist!B1489,dataICM!D:D,0)), "INC")</f>
        <v>INC</v>
      </c>
      <c r="L1489" s="10" t="str">
        <f t="array" ref="L1489">IF(AND(G1489="COMPLETE", OR(K1489="INC", ISBLANK(INDEX(data!O:O, ROW())))), J1489, K1489)</f>
        <v>2025-09-16T15:28:08.830+08</v>
      </c>
      <c r="M1489" s="2">
        <v>45916.0</v>
      </c>
      <c r="N1489" s="2">
        <f t="array" ref="N1489">IF(M1489&lt;&gt;"INC", INDEX(data!M:M, MATCH(B1489, data!D:D, 0)), "")</f>
        <v>0</v>
      </c>
      <c r="O1489" s="2">
        <f t="shared" si="3"/>
        <v>0</v>
      </c>
    </row>
    <row r="1490">
      <c r="A1490" s="2" t="str">
        <f t="shared" si="1"/>
        <v>H030515</v>
      </c>
      <c r="B1490" s="1" t="s">
        <v>8768</v>
      </c>
      <c r="C1490" s="9" t="str">
        <f t="array" ref="C1490">IF(
  AND(
    IFERROR(MATCH(Caseslist!B1490, data!D:D, 0), 0) &gt; 0,
    IFERROR(INDEX(data!N:N, MATCH(Caseslist!B1490, data!D:D, 0)) = 1, FALSE)
  ),
  "COMPLETE",
  "INC"
)</f>
        <v>COMPLETE</v>
      </c>
      <c r="D1490" s="9" t="str">
        <f t="array" ref="D1490">IFERROR(INDEX(data!$G:$G,match(Caseslist!B1490,data!$D:$D,0)), "INC")</f>
        <v>D1284067</v>
      </c>
      <c r="E1490" s="9" t="str">
        <f t="array" ref="E1490">IFERROR(INDEX(data!H:H,match(Caseslist!B1490,data!D:D,0)), "INC")</f>
        <v>Mariel Del Rio</v>
      </c>
      <c r="F1490" s="10" t="str">
        <f t="array" ref="F1490">IF(
    OR(
      IFNA(INDEX(data!M:M, MATCH(Caseslist!B1490, data!D:D, 0)), "") = "",
      IFNA(INDEX(data!M:M, MATCH(Caseslist!B1490, data!D:D, 0)), 0) = 0
    ),
    "COMPLETE",
    IF(
      IFNA(INDEX(dataICM!D:D, MATCH(Caseslist!B1490, dataICM!D:D, 0)), "INC") = "INC",
      IFNA(INDEX(dataICM!D:D, MATCH(Caseslist!B1490, dataICM!D:D, 0)), "INC"),
      "COMPLETE"
    )
  )</f>
        <v>COMPLETE</v>
      </c>
      <c r="G1490" s="10" t="str">
        <f t="array" ref="G1490">IF(IFERROR(INDEX(data!L:L,match(Caseslist!B1490,data!D:D,0)),"INC")="","COMPLETE",F1490)</f>
        <v>COMPLETE</v>
      </c>
      <c r="H1490" s="9" t="str">
        <f t="array" ref="H1490">IFERROR(INDEX(dataICM!F:F,match(Caseslist!B1490,dataICM!D:D,0)), "INC")</f>
        <v>INC</v>
      </c>
      <c r="I1490" s="10" t="str">
        <f t="shared" si="2"/>
        <v>D1284067</v>
      </c>
      <c r="J1490" s="9" t="str">
        <f t="array" ref="J1490">IF(
  AND(
    IFERROR(MATCH(B1490, data!D:D, 0), 0) &gt; 0,
    IFERROR(INDEX(data!N:N, MATCH(B1490, data!D:D, 0)) = 1, FALSE)
  ),
  INDEX(data!C:C, MATCH(B1490, data!D:D, 0)),
  "INC"
)</f>
        <v>2025-09-29T19:48:38.804+08</v>
      </c>
      <c r="K1490" s="9" t="str">
        <f t="array" ref="K1490">IFERROR(INDEX(dataICM!C:C,match(Caseslist!B1490,dataICM!D:D,0)), "INC")</f>
        <v>INC</v>
      </c>
      <c r="L1490" s="10" t="str">
        <f t="array" ref="L1490">IF(AND(G1490="COMPLETE", OR(K1490="INC", ISBLANK(INDEX(data!O:O, ROW())))), J1490, K1490)</f>
        <v>2025-09-29T19:48:38.804+08</v>
      </c>
      <c r="M1490" s="2">
        <v>45929.0</v>
      </c>
      <c r="N1490" s="2">
        <f t="array" ref="N1490">IF(M1490&lt;&gt;"INC", INDEX(data!M:M, MATCH(B1490, data!D:D, 0)), "")</f>
        <v>0</v>
      </c>
      <c r="O1490" s="2">
        <f t="shared" si="3"/>
        <v>0</v>
      </c>
    </row>
    <row r="1491">
      <c r="A1491" s="2" t="str">
        <f t="shared" si="1"/>
        <v>H030515</v>
      </c>
      <c r="B1491" s="1" t="s">
        <v>6688</v>
      </c>
      <c r="C1491" s="9" t="str">
        <f t="array" ref="C1491">IF(
  AND(
    IFERROR(MATCH(Caseslist!B1491, data!D:D, 0), 0) &gt; 0,
    IFERROR(INDEX(data!N:N, MATCH(Caseslist!B1491, data!D:D, 0)) = 1, FALSE)
  ),
  "COMPLETE",
  "INC"
)</f>
        <v>COMPLETE</v>
      </c>
      <c r="D1491" s="9" t="str">
        <f t="array" ref="D1491">IFERROR(INDEX(data!$G:$G,match(Caseslist!B1491,data!$D:$D,0)), "INC")</f>
        <v>D1284067</v>
      </c>
      <c r="E1491" s="9" t="str">
        <f t="array" ref="E1491">IFERROR(INDEX(data!H:H,match(Caseslist!B1491,data!D:D,0)), "INC")</f>
        <v>Mariel Del Rio</v>
      </c>
      <c r="F1491" s="10" t="str">
        <f t="array" ref="F1491">IF(
    OR(
      IFNA(INDEX(data!M:M, MATCH(Caseslist!B1491, data!D:D, 0)), "") = "",
      IFNA(INDEX(data!M:M, MATCH(Caseslist!B1491, data!D:D, 0)), 0) = 0
    ),
    "COMPLETE",
    IF(
      IFNA(INDEX(dataICM!D:D, MATCH(Caseslist!B1491, dataICM!D:D, 0)), "INC") = "INC",
      IFNA(INDEX(dataICM!D:D, MATCH(Caseslist!B1491, dataICM!D:D, 0)), "INC"),
      "COMPLETE"
    )
  )</f>
        <v>COMPLETE</v>
      </c>
      <c r="G1491" s="10" t="str">
        <f t="array" ref="G1491">IF(IFERROR(INDEX(data!L:L,match(Caseslist!B1491,data!D:D,0)),"INC")="","COMPLETE",F1491)</f>
        <v>COMPLETE</v>
      </c>
      <c r="H1491" s="9" t="str">
        <f t="array" ref="H1491">IFERROR(INDEX(dataICM!F:F,match(Caseslist!B1491,dataICM!D:D,0)), "INC")</f>
        <v>INC</v>
      </c>
      <c r="I1491" s="10" t="str">
        <f t="shared" si="2"/>
        <v>D1284067</v>
      </c>
      <c r="J1491" s="9" t="str">
        <f t="array" ref="J1491">IF(
  AND(
    IFERROR(MATCH(B1491, data!D:D, 0), 0) &gt; 0,
    IFERROR(INDEX(data!N:N, MATCH(B1491, data!D:D, 0)) = 1, FALSE)
  ),
  INDEX(data!C:C, MATCH(B1491, data!D:D, 0)),
  "INC"
)</f>
        <v>2025-09-16T16:29:10.244+08</v>
      </c>
      <c r="K1491" s="9" t="str">
        <f t="array" ref="K1491">IFERROR(INDEX(dataICM!C:C,match(Caseslist!B1491,dataICM!D:D,0)), "INC")</f>
        <v>INC</v>
      </c>
      <c r="L1491" s="10" t="str">
        <f t="array" ref="L1491">IF(AND(G1491="COMPLETE", OR(K1491="INC", ISBLANK(INDEX(data!O:O, ROW())))), J1491, K1491)</f>
        <v>2025-09-16T16:29:10.244+08</v>
      </c>
      <c r="M1491" s="2">
        <v>45916.0</v>
      </c>
      <c r="N1491" s="2">
        <f t="array" ref="N1491">IF(M1491&lt;&gt;"INC", INDEX(data!M:M, MATCH(B1491, data!D:D, 0)), "")</f>
        <v>0</v>
      </c>
      <c r="O1491" s="2">
        <f t="shared" si="3"/>
        <v>0</v>
      </c>
    </row>
    <row r="1492">
      <c r="A1492" s="2" t="str">
        <f t="shared" si="1"/>
        <v>H030517</v>
      </c>
      <c r="B1492" s="1" t="s">
        <v>2715</v>
      </c>
      <c r="C1492" s="9" t="str">
        <f t="array" ref="C1492">IF(
  AND(
    IFERROR(MATCH(Caseslist!B1492, data!D:D, 0), 0) &gt; 0,
    IFERROR(INDEX(data!N:N, MATCH(Caseslist!B1492, data!D:D, 0)) = 1, FALSE)
  ),
  "COMPLETE",
  "INC"
)</f>
        <v>COMPLETE</v>
      </c>
      <c r="D1492" s="9" t="str">
        <f t="array" ref="D1492">IFERROR(INDEX(data!$G:$G,match(Caseslist!B1492,data!$D:$D,0)), "INC")</f>
        <v>D1284067</v>
      </c>
      <c r="E1492" s="9" t="str">
        <f t="array" ref="E1492">IFERROR(INDEX(data!H:H,match(Caseslist!B1492,data!D:D,0)), "INC")</f>
        <v>Mariel Del Rio</v>
      </c>
      <c r="F1492" s="10" t="str">
        <f t="array" ref="F1492">IF(
    OR(
      IFNA(INDEX(data!M:M, MATCH(Caseslist!B1492, data!D:D, 0)), "") = "",
      IFNA(INDEX(data!M:M, MATCH(Caseslist!B1492, data!D:D, 0)), 0) = 0
    ),
    "COMPLETE",
    IF(
      IFNA(INDEX(dataICM!D:D, MATCH(Caseslist!B1492, dataICM!D:D, 0)), "INC") = "INC",
      IFNA(INDEX(dataICM!D:D, MATCH(Caseslist!B1492, dataICM!D:D, 0)), "INC"),
      "COMPLETE"
    )
  )</f>
        <v>COMPLETE</v>
      </c>
      <c r="G1492" s="10" t="str">
        <f t="array" ref="G1492">IF(IFERROR(INDEX(data!L:L,match(Caseslist!B1492,data!D:D,0)),"INC")="","COMPLETE",F1492)</f>
        <v>COMPLETE</v>
      </c>
      <c r="H1492" s="9" t="str">
        <f t="array" ref="H1492">IFERROR(INDEX(dataICM!F:F,match(Caseslist!B1492,dataICM!D:D,0)), "INC")</f>
        <v>Mariel Del Rio</v>
      </c>
      <c r="I1492" s="10" t="str">
        <f t="shared" si="2"/>
        <v>D1284067</v>
      </c>
      <c r="J1492" s="9" t="str">
        <f t="array" ref="J1492">IF(
  AND(
    IFERROR(MATCH(B1492, data!D:D, 0), 0) &gt; 0,
    IFERROR(INDEX(data!N:N, MATCH(B1492, data!D:D, 0)) = 1, FALSE)
  ),
  INDEX(data!C:C, MATCH(B1492, data!D:D, 0)),
  "INC"
)</f>
        <v>2025-09-03T18:52:30.591+08</v>
      </c>
      <c r="K1492" s="9" t="str">
        <f t="array" ref="K1492">IFERROR(INDEX(dataICM!C:C,match(Caseslist!B1492,dataICM!D:D,0)), "INC")</f>
        <v>2025-09-03T19:04:35.645+08</v>
      </c>
      <c r="L1492" s="10" t="str">
        <f t="array" ref="L1492">IF(AND(G1492="COMPLETE", OR(K1492="INC", ISBLANK(INDEX(data!O:O, ROW())))), J1492, K1492)</f>
        <v>2025-09-03T19:04:35.645+08</v>
      </c>
      <c r="M1492" s="2">
        <v>45903.0</v>
      </c>
      <c r="N1492" s="2">
        <f t="array" ref="N1492">IF(M1492&lt;&gt;"INC", INDEX(data!M:M, MATCH(B1492, data!D:D, 0)), "")</f>
        <v>3</v>
      </c>
      <c r="O1492" s="2">
        <f t="shared" si="3"/>
        <v>3</v>
      </c>
    </row>
    <row r="1493">
      <c r="A1493" s="2" t="str">
        <f t="shared" si="1"/>
        <v>H030517</v>
      </c>
      <c r="B1493" s="1" t="s">
        <v>2730</v>
      </c>
      <c r="C1493" s="9" t="str">
        <f t="array" ref="C1493">IF(
  AND(
    IFERROR(MATCH(Caseslist!B1493, data!D:D, 0), 0) &gt; 0,
    IFERROR(INDEX(data!N:N, MATCH(Caseslist!B1493, data!D:D, 0)) = 1, FALSE)
  ),
  "COMPLETE",
  "INC"
)</f>
        <v>COMPLETE</v>
      </c>
      <c r="D1493" s="9" t="str">
        <f t="array" ref="D1493">IFERROR(INDEX(data!$G:$G,match(Caseslist!B1493,data!$D:$D,0)), "INC")</f>
        <v>D1284067</v>
      </c>
      <c r="E1493" s="9" t="str">
        <f t="array" ref="E1493">IFERROR(INDEX(data!H:H,match(Caseslist!B1493,data!D:D,0)), "INC")</f>
        <v>Mariel Del Rio</v>
      </c>
      <c r="F1493" s="10" t="str">
        <f t="array" ref="F1493">IF(
    OR(
      IFNA(INDEX(data!M:M, MATCH(Caseslist!B1493, data!D:D, 0)), "") = "",
      IFNA(INDEX(data!M:M, MATCH(Caseslist!B1493, data!D:D, 0)), 0) = 0
    ),
    "COMPLETE",
    IF(
      IFNA(INDEX(dataICM!D:D, MATCH(Caseslist!B1493, dataICM!D:D, 0)), "INC") = "INC",
      IFNA(INDEX(dataICM!D:D, MATCH(Caseslist!B1493, dataICM!D:D, 0)), "INC"),
      "COMPLETE"
    )
  )</f>
        <v>COMPLETE</v>
      </c>
      <c r="G1493" s="10" t="str">
        <f t="array" ref="G1493">IF(IFERROR(INDEX(data!L:L,match(Caseslist!B1493,data!D:D,0)),"INC")="","COMPLETE",F1493)</f>
        <v>COMPLETE</v>
      </c>
      <c r="H1493" s="9" t="str">
        <f t="array" ref="H1493">IFERROR(INDEX(dataICM!F:F,match(Caseslist!B1493,dataICM!D:D,0)), "INC")</f>
        <v>Mariel Del Rio</v>
      </c>
      <c r="I1493" s="10" t="str">
        <f t="shared" si="2"/>
        <v>D1284067</v>
      </c>
      <c r="J1493" s="9" t="str">
        <f t="array" ref="J1493">IF(
  AND(
    IFERROR(MATCH(B1493, data!D:D, 0), 0) &gt; 0,
    IFERROR(INDEX(data!N:N, MATCH(B1493, data!D:D, 0)) = 1, FALSE)
  ),
  INDEX(data!C:C, MATCH(B1493, data!D:D, 0)),
  "INC"
)</f>
        <v>2025-09-03T11:09:21.746+08</v>
      </c>
      <c r="K1493" s="9" t="str">
        <f t="array" ref="K1493">IFERROR(INDEX(dataICM!C:C,match(Caseslist!B1493,dataICM!D:D,0)), "INC")</f>
        <v>2025-09-03T11:23:37.866+08</v>
      </c>
      <c r="L1493" s="10" t="str">
        <f t="array" ref="L1493">IF(AND(G1493="COMPLETE", OR(K1493="INC", ISBLANK(INDEX(data!O:O, ROW())))), J1493, K1493)</f>
        <v>2025-09-03T11:23:37.866+08</v>
      </c>
      <c r="M1493" s="2">
        <v>45903.0</v>
      </c>
      <c r="N1493" s="2">
        <f t="array" ref="N1493">IF(M1493&lt;&gt;"INC", INDEX(data!M:M, MATCH(B1493, data!D:D, 0)), "")</f>
        <v>3</v>
      </c>
      <c r="O1493" s="2">
        <f t="shared" si="3"/>
        <v>3</v>
      </c>
    </row>
    <row r="1494">
      <c r="A1494" s="2" t="str">
        <f t="shared" si="1"/>
        <v>H030517</v>
      </c>
      <c r="B1494" s="1" t="s">
        <v>2635</v>
      </c>
      <c r="C1494" s="9" t="str">
        <f t="array" ref="C1494">IF(
  AND(
    IFERROR(MATCH(Caseslist!B1494, data!D:D, 0), 0) &gt; 0,
    IFERROR(INDEX(data!N:N, MATCH(Caseslist!B1494, data!D:D, 0)) = 1, FALSE)
  ),
  "COMPLETE",
  "INC"
)</f>
        <v>COMPLETE</v>
      </c>
      <c r="D1494" s="9" t="str">
        <f t="array" ref="D1494">IFERROR(INDEX(data!$G:$G,match(Caseslist!B1494,data!$D:$D,0)), "INC")</f>
        <v>B8193462</v>
      </c>
      <c r="E1494" s="9" t="str">
        <f t="array" ref="E1494">IFERROR(INDEX(data!H:H,match(Caseslist!B1494,data!D:D,0)), "INC")</f>
        <v>Mark Lorens Mendoza Gilongo</v>
      </c>
      <c r="F1494" s="10" t="str">
        <f t="array" ref="F1494">IF(
    OR(
      IFNA(INDEX(data!M:M, MATCH(Caseslist!B1494, data!D:D, 0)), "") = "",
      IFNA(INDEX(data!M:M, MATCH(Caseslist!B1494, data!D:D, 0)), 0) = 0
    ),
    "COMPLETE",
    IF(
      IFNA(INDEX(dataICM!D:D, MATCH(Caseslist!B1494, dataICM!D:D, 0)), "INC") = "INC",
      IFNA(INDEX(dataICM!D:D, MATCH(Caseslist!B1494, dataICM!D:D, 0)), "INC"),
      "COMPLETE"
    )
  )</f>
        <v>COMPLETE</v>
      </c>
      <c r="G1494" s="10" t="str">
        <f t="array" ref="G1494">IF(IFERROR(INDEX(data!L:L,match(Caseslist!B1494,data!D:D,0)),"INC")="","COMPLETE",F1494)</f>
        <v>COMPLETE</v>
      </c>
      <c r="H1494" s="9" t="str">
        <f t="array" ref="H1494">IFERROR(INDEX(dataICM!F:F,match(Caseslist!B1494,dataICM!D:D,0)), "INC")</f>
        <v>Mark Lorens Mendoza Gilongo</v>
      </c>
      <c r="I1494" s="10" t="str">
        <f t="shared" si="2"/>
        <v>B8193462</v>
      </c>
      <c r="J1494" s="9" t="str">
        <f t="array" ref="J1494">IF(
  AND(
    IFERROR(MATCH(B1494, data!D:D, 0), 0) &gt; 0,
    IFERROR(INDEX(data!N:N, MATCH(B1494, data!D:D, 0)) = 1, FALSE)
  ),
  INDEX(data!C:C, MATCH(B1494, data!D:D, 0)),
  "INC"
)</f>
        <v>2025-09-03T12:13:40.777+08</v>
      </c>
      <c r="K1494" s="9" t="str">
        <f t="array" ref="K1494">IFERROR(INDEX(dataICM!C:C,match(Caseslist!B1494,dataICM!D:D,0)), "INC")</f>
        <v>2025-09-03T12:46:02.839+08</v>
      </c>
      <c r="L1494" s="10" t="str">
        <f t="array" ref="L1494">IF(AND(G1494="COMPLETE", OR(K1494="INC", ISBLANK(INDEX(data!O:O, ROW())))), J1494, K1494)</f>
        <v>2025-09-03T12:46:02.839+08</v>
      </c>
      <c r="M1494" s="2">
        <v>45903.0</v>
      </c>
      <c r="N1494" s="2">
        <f t="array" ref="N1494">IF(M1494&lt;&gt;"INC", INDEX(data!M:M, MATCH(B1494, data!D:D, 0)), "")</f>
        <v>3</v>
      </c>
      <c r="O1494" s="2">
        <f t="shared" si="3"/>
        <v>3</v>
      </c>
    </row>
    <row r="1495">
      <c r="A1495" s="2" t="str">
        <f t="shared" si="1"/>
        <v>H030517</v>
      </c>
      <c r="B1495" s="1" t="s">
        <v>2630</v>
      </c>
      <c r="C1495" s="9" t="str">
        <f t="array" ref="C1495">IF(
  AND(
    IFERROR(MATCH(Caseslist!B1495, data!D:D, 0), 0) &gt; 0,
    IFERROR(INDEX(data!N:N, MATCH(Caseslist!B1495, data!D:D, 0)) = 1, FALSE)
  ),
  "COMPLETE",
  "INC"
)</f>
        <v>COMPLETE</v>
      </c>
      <c r="D1495" s="9" t="str">
        <f t="array" ref="D1495">IFERROR(INDEX(data!$G:$G,match(Caseslist!B1495,data!$D:$D,0)), "INC")</f>
        <v>D1284067</v>
      </c>
      <c r="E1495" s="9" t="str">
        <f t="array" ref="E1495">IFERROR(INDEX(data!H:H,match(Caseslist!B1495,data!D:D,0)), "INC")</f>
        <v>Mariel Del Rio</v>
      </c>
      <c r="F1495" s="10" t="str">
        <f t="array" ref="F1495">IF(
    OR(
      IFNA(INDEX(data!M:M, MATCH(Caseslist!B1495, data!D:D, 0)), "") = "",
      IFNA(INDEX(data!M:M, MATCH(Caseslist!B1495, data!D:D, 0)), 0) = 0
    ),
    "COMPLETE",
    IF(
      IFNA(INDEX(dataICM!D:D, MATCH(Caseslist!B1495, dataICM!D:D, 0)), "INC") = "INC",
      IFNA(INDEX(dataICM!D:D, MATCH(Caseslist!B1495, dataICM!D:D, 0)), "INC"),
      "COMPLETE"
    )
  )</f>
        <v>COMPLETE</v>
      </c>
      <c r="G1495" s="10" t="str">
        <f t="array" ref="G1495">IF(IFERROR(INDEX(data!L:L,match(Caseslist!B1495,data!D:D,0)),"INC")="","COMPLETE",F1495)</f>
        <v>COMPLETE</v>
      </c>
      <c r="H1495" s="9" t="str">
        <f t="array" ref="H1495">IFERROR(INDEX(dataICM!F:F,match(Caseslist!B1495,dataICM!D:D,0)), "INC")</f>
        <v>Mariel Del Rio</v>
      </c>
      <c r="I1495" s="10" t="str">
        <f t="shared" si="2"/>
        <v>D1284067</v>
      </c>
      <c r="J1495" s="9" t="str">
        <f t="array" ref="J1495">IF(
  AND(
    IFERROR(MATCH(B1495, data!D:D, 0), 0) &gt; 0,
    IFERROR(INDEX(data!N:N, MATCH(B1495, data!D:D, 0)) = 1, FALSE)
  ),
  INDEX(data!C:C, MATCH(B1495, data!D:D, 0)),
  "INC"
)</f>
        <v>2025-09-03T11:43:38.445+08</v>
      </c>
      <c r="K1495" s="9" t="str">
        <f t="array" ref="K1495">IFERROR(INDEX(dataICM!C:C,match(Caseslist!B1495,dataICM!D:D,0)), "INC")</f>
        <v>2025-09-03T11:59:14.095+08</v>
      </c>
      <c r="L1495" s="10" t="str">
        <f t="array" ref="L1495">IF(AND(G1495="COMPLETE", OR(K1495="INC", ISBLANK(INDEX(data!O:O, ROW())))), J1495, K1495)</f>
        <v>2025-09-03T11:59:14.095+08</v>
      </c>
      <c r="M1495" s="2">
        <v>45903.0</v>
      </c>
      <c r="N1495" s="2">
        <f t="array" ref="N1495">IF(M1495&lt;&gt;"INC", INDEX(data!M:M, MATCH(B1495, data!D:D, 0)), "")</f>
        <v>3</v>
      </c>
      <c r="O1495" s="2">
        <f t="shared" si="3"/>
        <v>3</v>
      </c>
    </row>
    <row r="1496">
      <c r="A1496" s="2" t="str">
        <f t="shared" si="1"/>
        <v>H030517</v>
      </c>
      <c r="B1496" s="1" t="s">
        <v>3157</v>
      </c>
      <c r="C1496" s="9" t="str">
        <f t="array" ref="C1496">IF(
  AND(
    IFERROR(MATCH(Caseslist!B1496, data!D:D, 0), 0) &gt; 0,
    IFERROR(INDEX(data!N:N, MATCH(Caseslist!B1496, data!D:D, 0)) = 1, FALSE)
  ),
  "COMPLETE",
  "INC"
)</f>
        <v>COMPLETE</v>
      </c>
      <c r="D1496" s="9" t="str">
        <f t="array" ref="D1496">IFERROR(INDEX(data!$G:$G,match(Caseslist!B1496,data!$D:$D,0)), "INC")</f>
        <v>D1284067</v>
      </c>
      <c r="E1496" s="9" t="str">
        <f t="array" ref="E1496">IFERROR(INDEX(data!H:H,match(Caseslist!B1496,data!D:D,0)), "INC")</f>
        <v>Mariel Del Rio</v>
      </c>
      <c r="F1496" s="10" t="str">
        <f t="array" ref="F1496">IF(
    OR(
      IFNA(INDEX(data!M:M, MATCH(Caseslist!B1496, data!D:D, 0)), "") = "",
      IFNA(INDEX(data!M:M, MATCH(Caseslist!B1496, data!D:D, 0)), 0) = 0
    ),
    "COMPLETE",
    IF(
      IFNA(INDEX(dataICM!D:D, MATCH(Caseslist!B1496, dataICM!D:D, 0)), "INC") = "INC",
      IFNA(INDEX(dataICM!D:D, MATCH(Caseslist!B1496, dataICM!D:D, 0)), "INC"),
      "COMPLETE"
    )
  )</f>
        <v>INC</v>
      </c>
      <c r="G1496" s="10" t="str">
        <f t="array" ref="G1496">IF(IFERROR(INDEX(data!L:L,match(Caseslist!B1496,data!D:D,0)),"INC")="","COMPLETE",F1496)</f>
        <v>INC</v>
      </c>
      <c r="H1496" s="9" t="str">
        <f t="array" ref="H1496">IFERROR(INDEX(dataICM!F:F,match(Caseslist!B1496,dataICM!D:D,0)), "INC")</f>
        <v>INC</v>
      </c>
      <c r="I1496" s="10" t="str">
        <f t="shared" si="2"/>
        <v>INC</v>
      </c>
      <c r="J1496" s="9" t="str">
        <f t="array" ref="J1496">IF(
  AND(
    IFERROR(MATCH(B1496, data!D:D, 0), 0) &gt; 0,
    IFERROR(INDEX(data!N:N, MATCH(B1496, data!D:D, 0)) = 1, FALSE)
  ),
  INDEX(data!C:C, MATCH(B1496, data!D:D, 0)),
  "INC"
)</f>
        <v>2025-09-30T12:03:47.260+08</v>
      </c>
      <c r="K1496" s="9" t="str">
        <f t="array" ref="K1496">IFERROR(INDEX(dataICM!C:C,match(Caseslist!B1496,dataICM!D:D,0)), "INC")</f>
        <v>INC</v>
      </c>
      <c r="L1496" s="10" t="str">
        <f t="array" ref="L1496">IF(AND(G1496="COMPLETE", OR(K1496="INC", ISBLANK(INDEX(data!O:O, ROW())))), J1496, K1496)</f>
        <v>INC</v>
      </c>
      <c r="M1496" s="2" t="s">
        <v>8886</v>
      </c>
      <c r="N1496" s="2" t="str">
        <f t="array" ref="N1496">IF(M1496&lt;&gt;"INC", INDEX(data!M:M, MATCH(B1496, data!D:D, 0)), "")</f>
        <v/>
      </c>
      <c r="O1496" s="2" t="str">
        <f t="shared" si="3"/>
        <v/>
      </c>
    </row>
    <row r="1497">
      <c r="A1497" s="2" t="str">
        <f t="shared" si="1"/>
        <v>H030517</v>
      </c>
      <c r="B1497" s="1" t="s">
        <v>3197</v>
      </c>
      <c r="C1497" s="9" t="str">
        <f t="array" ref="C1497">IF(
  AND(
    IFERROR(MATCH(Caseslist!B1497, data!D:D, 0), 0) &gt; 0,
    IFERROR(INDEX(data!N:N, MATCH(Caseslist!B1497, data!D:D, 0)) = 1, FALSE)
  ),
  "COMPLETE",
  "INC"
)</f>
        <v>COMPLETE</v>
      </c>
      <c r="D1497" s="9" t="str">
        <f t="array" ref="D1497">IFERROR(INDEX(data!$G:$G,match(Caseslist!B1497,data!$D:$D,0)), "INC")</f>
        <v>B8193462</v>
      </c>
      <c r="E1497" s="9" t="str">
        <f t="array" ref="E1497">IFERROR(INDEX(data!H:H,match(Caseslist!B1497,data!D:D,0)), "INC")</f>
        <v>Mark Lorens Mendoza Gilongo</v>
      </c>
      <c r="F1497" s="10" t="str">
        <f t="array" ref="F1497">IF(
    OR(
      IFNA(INDEX(data!M:M, MATCH(Caseslist!B1497, data!D:D, 0)), "") = "",
      IFNA(INDEX(data!M:M, MATCH(Caseslist!B1497, data!D:D, 0)), 0) = 0
    ),
    "COMPLETE",
    IF(
      IFNA(INDEX(dataICM!D:D, MATCH(Caseslist!B1497, dataICM!D:D, 0)), "INC") = "INC",
      IFNA(INDEX(dataICM!D:D, MATCH(Caseslist!B1497, dataICM!D:D, 0)), "INC"),
      "COMPLETE"
    )
  )</f>
        <v>COMPLETE</v>
      </c>
      <c r="G1497" s="10" t="str">
        <f t="array" ref="G1497">IF(IFERROR(INDEX(data!L:L,match(Caseslist!B1497,data!D:D,0)),"INC")="","COMPLETE",F1497)</f>
        <v>COMPLETE</v>
      </c>
      <c r="H1497" s="9" t="str">
        <f t="array" ref="H1497">IFERROR(INDEX(dataICM!F:F,match(Caseslist!B1497,dataICM!D:D,0)), "INC")</f>
        <v>Mark Lorens Mendoza Gilongo</v>
      </c>
      <c r="I1497" s="10" t="str">
        <f t="shared" si="2"/>
        <v>B8193462</v>
      </c>
      <c r="J1497" s="9" t="str">
        <f t="array" ref="J1497">IF(
  AND(
    IFERROR(MATCH(B1497, data!D:D, 0), 0) &gt; 0,
    IFERROR(INDEX(data!N:N, MATCH(B1497, data!D:D, 0)) = 1, FALSE)
  ),
  INDEX(data!C:C, MATCH(B1497, data!D:D, 0)),
  "INC"
)</f>
        <v>2025-09-03T16:21:38.105+08</v>
      </c>
      <c r="K1497" s="9" t="str">
        <f t="array" ref="K1497">IFERROR(INDEX(dataICM!C:C,match(Caseslist!B1497,dataICM!D:D,0)), "INC")</f>
        <v>2025-09-03T17:28:16.973+08</v>
      </c>
      <c r="L1497" s="10" t="str">
        <f t="array" ref="L1497">IF(AND(G1497="COMPLETE", OR(K1497="INC", ISBLANK(INDEX(data!O:O, ROW())))), J1497, K1497)</f>
        <v>2025-09-03T17:28:16.973+08</v>
      </c>
      <c r="M1497" s="2">
        <v>45903.0</v>
      </c>
      <c r="N1497" s="2">
        <f t="array" ref="N1497">IF(M1497&lt;&gt;"INC", INDEX(data!M:M, MATCH(B1497, data!D:D, 0)), "")</f>
        <v>3</v>
      </c>
      <c r="O1497" s="2">
        <f t="shared" si="3"/>
        <v>3</v>
      </c>
    </row>
    <row r="1498">
      <c r="A1498" s="2" t="str">
        <f t="shared" si="1"/>
        <v>H030517</v>
      </c>
      <c r="B1498" s="1" t="s">
        <v>3177</v>
      </c>
      <c r="C1498" s="9" t="str">
        <f t="array" ref="C1498">IF(
  AND(
    IFERROR(MATCH(Caseslist!B1498, data!D:D, 0), 0) &gt; 0,
    IFERROR(INDEX(data!N:N, MATCH(Caseslist!B1498, data!D:D, 0)) = 1, FALSE)
  ),
  "COMPLETE",
  "INC"
)</f>
        <v>COMPLETE</v>
      </c>
      <c r="D1498" s="9" t="str">
        <f t="array" ref="D1498">IFERROR(INDEX(data!$G:$G,match(Caseslist!B1498,data!$D:$D,0)), "INC")</f>
        <v>B8193462</v>
      </c>
      <c r="E1498" s="9" t="str">
        <f t="array" ref="E1498">IFERROR(INDEX(data!H:H,match(Caseslist!B1498,data!D:D,0)), "INC")</f>
        <v>Mark Lorens Mendoza Gilongo</v>
      </c>
      <c r="F1498" s="10" t="str">
        <f t="array" ref="F1498">IF(
    OR(
      IFNA(INDEX(data!M:M, MATCH(Caseslist!B1498, data!D:D, 0)), "") = "",
      IFNA(INDEX(data!M:M, MATCH(Caseslist!B1498, data!D:D, 0)), 0) = 0
    ),
    "COMPLETE",
    IF(
      IFNA(INDEX(dataICM!D:D, MATCH(Caseslist!B1498, dataICM!D:D, 0)), "INC") = "INC",
      IFNA(INDEX(dataICM!D:D, MATCH(Caseslist!B1498, dataICM!D:D, 0)), "INC"),
      "COMPLETE"
    )
  )</f>
        <v>COMPLETE</v>
      </c>
      <c r="G1498" s="10" t="str">
        <f t="array" ref="G1498">IF(IFERROR(INDEX(data!L:L,match(Caseslist!B1498,data!D:D,0)),"INC")="","COMPLETE",F1498)</f>
        <v>COMPLETE</v>
      </c>
      <c r="H1498" s="9" t="str">
        <f t="array" ref="H1498">IFERROR(INDEX(dataICM!F:F,match(Caseslist!B1498,dataICM!D:D,0)), "INC")</f>
        <v>Mark Lorens Mendoza Gilongo</v>
      </c>
      <c r="I1498" s="10" t="str">
        <f t="shared" si="2"/>
        <v>B8193462</v>
      </c>
      <c r="J1498" s="9" t="str">
        <f t="array" ref="J1498">IF(
  AND(
    IFERROR(MATCH(B1498, data!D:D, 0), 0) &gt; 0,
    IFERROR(INDEX(data!N:N, MATCH(B1498, data!D:D, 0)) = 1, FALSE)
  ),
  INDEX(data!C:C, MATCH(B1498, data!D:D, 0)),
  "INC"
)</f>
        <v>2025-09-03T11:02:52.782+08</v>
      </c>
      <c r="K1498" s="9" t="str">
        <f t="array" ref="K1498">IFERROR(INDEX(dataICM!C:C,match(Caseslist!B1498,dataICM!D:D,0)), "INC")</f>
        <v>2025-09-03T11:14:48.384+08</v>
      </c>
      <c r="L1498" s="10" t="str">
        <f t="array" ref="L1498">IF(AND(G1498="COMPLETE", OR(K1498="INC", ISBLANK(INDEX(data!O:O, ROW())))), J1498, K1498)</f>
        <v>2025-09-03T11:14:48.384+08</v>
      </c>
      <c r="M1498" s="2">
        <v>45903.0</v>
      </c>
      <c r="N1498" s="2">
        <f t="array" ref="N1498">IF(M1498&lt;&gt;"INC", INDEX(data!M:M, MATCH(B1498, data!D:D, 0)), "")</f>
        <v>3</v>
      </c>
      <c r="O1498" s="2">
        <f t="shared" si="3"/>
        <v>3</v>
      </c>
    </row>
    <row r="1499">
      <c r="A1499" s="2" t="str">
        <f t="shared" si="1"/>
        <v>H030517</v>
      </c>
      <c r="B1499" s="1" t="s">
        <v>2620</v>
      </c>
      <c r="C1499" s="9" t="str">
        <f t="array" ref="C1499">IF(
  AND(
    IFERROR(MATCH(Caseslist!B1499, data!D:D, 0), 0) &gt; 0,
    IFERROR(INDEX(data!N:N, MATCH(Caseslist!B1499, data!D:D, 0)) = 1, FALSE)
  ),
  "COMPLETE",
  "INC"
)</f>
        <v>COMPLETE</v>
      </c>
      <c r="D1499" s="9" t="str">
        <f t="array" ref="D1499">IFERROR(INDEX(data!$G:$G,match(Caseslist!B1499,data!$D:$D,0)), "INC")</f>
        <v>B8193462</v>
      </c>
      <c r="E1499" s="9" t="str">
        <f t="array" ref="E1499">IFERROR(INDEX(data!H:H,match(Caseslist!B1499,data!D:D,0)), "INC")</f>
        <v>Mark Lorens Mendoza Gilongo</v>
      </c>
      <c r="F1499" s="10" t="str">
        <f t="array" ref="F1499">IF(
    OR(
      IFNA(INDEX(data!M:M, MATCH(Caseslist!B1499, data!D:D, 0)), "") = "",
      IFNA(INDEX(data!M:M, MATCH(Caseslist!B1499, data!D:D, 0)), 0) = 0
    ),
    "COMPLETE",
    IF(
      IFNA(INDEX(dataICM!D:D, MATCH(Caseslist!B1499, dataICM!D:D, 0)), "INC") = "INC",
      IFNA(INDEX(dataICM!D:D, MATCH(Caseslist!B1499, dataICM!D:D, 0)), "INC"),
      "COMPLETE"
    )
  )</f>
        <v>COMPLETE</v>
      </c>
      <c r="G1499" s="10" t="str">
        <f t="array" ref="G1499">IF(IFERROR(INDEX(data!L:L,match(Caseslist!B1499,data!D:D,0)),"INC")="","COMPLETE",F1499)</f>
        <v>COMPLETE</v>
      </c>
      <c r="H1499" s="9" t="str">
        <f t="array" ref="H1499">IFERROR(INDEX(dataICM!F:F,match(Caseslist!B1499,dataICM!D:D,0)), "INC")</f>
        <v>Mark Lorens Mendoza Gilongo</v>
      </c>
      <c r="I1499" s="10" t="str">
        <f t="shared" si="2"/>
        <v>B8193462</v>
      </c>
      <c r="J1499" s="9" t="str">
        <f t="array" ref="J1499">IF(
  AND(
    IFERROR(MATCH(B1499, data!D:D, 0), 0) &gt; 0,
    IFERROR(INDEX(data!N:N, MATCH(B1499, data!D:D, 0)) = 1, FALSE)
  ),
  INDEX(data!C:C, MATCH(B1499, data!D:D, 0)),
  "INC"
)</f>
        <v>2025-09-02T11:50:13.562+08</v>
      </c>
      <c r="K1499" s="9" t="str">
        <f t="array" ref="K1499">IFERROR(INDEX(dataICM!C:C,match(Caseslist!B1499,dataICM!D:D,0)), "INC")</f>
        <v>2025-09-02T12:32:10.619+08</v>
      </c>
      <c r="L1499" s="10" t="str">
        <f t="array" ref="L1499">IF(AND(G1499="COMPLETE", OR(K1499="INC", ISBLANK(INDEX(data!O:O, ROW())))), J1499, K1499)</f>
        <v>2025-09-02T12:32:10.619+08</v>
      </c>
      <c r="M1499" s="2">
        <v>45902.0</v>
      </c>
      <c r="N1499" s="2">
        <f t="array" ref="N1499">IF(M1499&lt;&gt;"INC", INDEX(data!M:M, MATCH(B1499, data!D:D, 0)), "")</f>
        <v>3</v>
      </c>
      <c r="O1499" s="2">
        <f t="shared" si="3"/>
        <v>3</v>
      </c>
    </row>
    <row r="1500">
      <c r="A1500" s="2" t="str">
        <f t="shared" si="1"/>
        <v>H030517</v>
      </c>
      <c r="B1500" s="1" t="s">
        <v>2720</v>
      </c>
      <c r="C1500" s="9" t="str">
        <f t="array" ref="C1500">IF(
  AND(
    IFERROR(MATCH(Caseslist!B1500, data!D:D, 0), 0) &gt; 0,
    IFERROR(INDEX(data!N:N, MATCH(Caseslist!B1500, data!D:D, 0)) = 1, FALSE)
  ),
  "COMPLETE",
  "INC"
)</f>
        <v>COMPLETE</v>
      </c>
      <c r="D1500" s="9" t="str">
        <f t="array" ref="D1500">IFERROR(INDEX(data!$G:$G,match(Caseslist!B1500,data!$D:$D,0)), "INC")</f>
        <v>D1284067</v>
      </c>
      <c r="E1500" s="9" t="str">
        <f t="array" ref="E1500">IFERROR(INDEX(data!H:H,match(Caseslist!B1500,data!D:D,0)), "INC")</f>
        <v>Mariel Del Rio</v>
      </c>
      <c r="F1500" s="10" t="str">
        <f t="array" ref="F1500">IF(
    OR(
      IFNA(INDEX(data!M:M, MATCH(Caseslist!B1500, data!D:D, 0)), "") = "",
      IFNA(INDEX(data!M:M, MATCH(Caseslist!B1500, data!D:D, 0)), 0) = 0
    ),
    "COMPLETE",
    IF(
      IFNA(INDEX(dataICM!D:D, MATCH(Caseslist!B1500, dataICM!D:D, 0)), "INC") = "INC",
      IFNA(INDEX(dataICM!D:D, MATCH(Caseslist!B1500, dataICM!D:D, 0)), "INC"),
      "COMPLETE"
    )
  )</f>
        <v>COMPLETE</v>
      </c>
      <c r="G1500" s="10" t="str">
        <f t="array" ref="G1500">IF(IFERROR(INDEX(data!L:L,match(Caseslist!B1500,data!D:D,0)),"INC")="","COMPLETE",F1500)</f>
        <v>COMPLETE</v>
      </c>
      <c r="H1500" s="9" t="str">
        <f t="array" ref="H1500">IFERROR(INDEX(dataICM!F:F,match(Caseslist!B1500,dataICM!D:D,0)), "INC")</f>
        <v>Mariel Del Rio</v>
      </c>
      <c r="I1500" s="10" t="str">
        <f t="shared" si="2"/>
        <v>D1284067</v>
      </c>
      <c r="J1500" s="9" t="str">
        <f t="array" ref="J1500">IF(
  AND(
    IFERROR(MATCH(B1500, data!D:D, 0), 0) &gt; 0,
    IFERROR(INDEX(data!N:N, MATCH(B1500, data!D:D, 0)) = 1, FALSE)
  ),
  INDEX(data!C:C, MATCH(B1500, data!D:D, 0)),
  "INC"
)</f>
        <v>2025-09-02T12:09:53.310+08</v>
      </c>
      <c r="K1500" s="9" t="str">
        <f t="array" ref="K1500">IFERROR(INDEX(dataICM!C:C,match(Caseslist!B1500,dataICM!D:D,0)), "INC")</f>
        <v>2025-09-02T12:22:50.443+08</v>
      </c>
      <c r="L1500" s="10" t="str">
        <f t="array" ref="L1500">IF(AND(G1500="COMPLETE", OR(K1500="INC", ISBLANK(INDEX(data!O:O, ROW())))), J1500, K1500)</f>
        <v>2025-09-02T12:22:50.443+08</v>
      </c>
      <c r="M1500" s="2">
        <v>45902.0</v>
      </c>
      <c r="N1500" s="2">
        <f t="array" ref="N1500">IF(M1500&lt;&gt;"INC", INDEX(data!M:M, MATCH(B1500, data!D:D, 0)), "")</f>
        <v>3</v>
      </c>
      <c r="O1500" s="2">
        <f t="shared" si="3"/>
        <v>3</v>
      </c>
    </row>
    <row r="1501">
      <c r="A1501" s="2" t="str">
        <f t="shared" si="1"/>
        <v>H030517</v>
      </c>
      <c r="B1501" s="1" t="s">
        <v>3192</v>
      </c>
      <c r="C1501" s="9" t="str">
        <f t="array" ref="C1501">IF(
  AND(
    IFERROR(MATCH(Caseslist!B1501, data!D:D, 0), 0) &gt; 0,
    IFERROR(INDEX(data!N:N, MATCH(Caseslist!B1501, data!D:D, 0)) = 1, FALSE)
  ),
  "COMPLETE",
  "INC"
)</f>
        <v>COMPLETE</v>
      </c>
      <c r="D1501" s="9" t="str">
        <f t="array" ref="D1501">IFERROR(INDEX(data!$G:$G,match(Caseslist!B1501,data!$D:$D,0)), "INC")</f>
        <v>B8193462</v>
      </c>
      <c r="E1501" s="9" t="str">
        <f t="array" ref="E1501">IFERROR(INDEX(data!H:H,match(Caseslist!B1501,data!D:D,0)), "INC")</f>
        <v>Mark Lorens Mendoza Gilongo</v>
      </c>
      <c r="F1501" s="10" t="str">
        <f t="array" ref="F1501">IF(
    OR(
      IFNA(INDEX(data!M:M, MATCH(Caseslist!B1501, data!D:D, 0)), "") = "",
      IFNA(INDEX(data!M:M, MATCH(Caseslist!B1501, data!D:D, 0)), 0) = 0
    ),
    "COMPLETE",
    IF(
      IFNA(INDEX(dataICM!D:D, MATCH(Caseslist!B1501, dataICM!D:D, 0)), "INC") = "INC",
      IFNA(INDEX(dataICM!D:D, MATCH(Caseslist!B1501, dataICM!D:D, 0)), "INC"),
      "COMPLETE"
    )
  )</f>
        <v>COMPLETE</v>
      </c>
      <c r="G1501" s="10" t="str">
        <f t="array" ref="G1501">IF(IFERROR(INDEX(data!L:L,match(Caseslist!B1501,data!D:D,0)),"INC")="","COMPLETE",F1501)</f>
        <v>COMPLETE</v>
      </c>
      <c r="H1501" s="9" t="str">
        <f t="array" ref="H1501">IFERROR(INDEX(dataICM!F:F,match(Caseslist!B1501,dataICM!D:D,0)), "INC")</f>
        <v>Mark Lorens Mendoza Gilongo</v>
      </c>
      <c r="I1501" s="10" t="str">
        <f t="shared" si="2"/>
        <v>B8193462</v>
      </c>
      <c r="J1501" s="9" t="str">
        <f t="array" ref="J1501">IF(
  AND(
    IFERROR(MATCH(B1501, data!D:D, 0), 0) &gt; 0,
    IFERROR(INDEX(data!N:N, MATCH(B1501, data!D:D, 0)) = 1, FALSE)
  ),
  INDEX(data!C:C, MATCH(B1501, data!D:D, 0)),
  "INC"
)</f>
        <v>2025-09-09T09:04:19.269+08</v>
      </c>
      <c r="K1501" s="9" t="str">
        <f t="array" ref="K1501">IFERROR(INDEX(dataICM!C:C,match(Caseslist!B1501,dataICM!D:D,0)), "INC")</f>
        <v>2025-09-09T09:55:34.176+08</v>
      </c>
      <c r="L1501" s="10" t="str">
        <f t="array" ref="L1501">IF(AND(G1501="COMPLETE", OR(K1501="INC", ISBLANK(INDEX(data!O:O, ROW())))), J1501, K1501)</f>
        <v>2025-09-09T09:55:34.176+08</v>
      </c>
      <c r="M1501" s="2">
        <v>45909.0</v>
      </c>
      <c r="N1501" s="2">
        <f t="array" ref="N1501">IF(M1501&lt;&gt;"INC", INDEX(data!M:M, MATCH(B1501, data!D:D, 0)), "")</f>
        <v>3</v>
      </c>
      <c r="O1501" s="2">
        <f t="shared" si="3"/>
        <v>3</v>
      </c>
    </row>
    <row r="1502">
      <c r="A1502" s="2" t="str">
        <f t="shared" si="1"/>
        <v>H030517</v>
      </c>
      <c r="B1502" s="1" t="s">
        <v>3162</v>
      </c>
      <c r="C1502" s="9" t="str">
        <f t="array" ref="C1502">IF(
  AND(
    IFERROR(MATCH(Caseslist!B1502, data!D:D, 0), 0) &gt; 0,
    IFERROR(INDEX(data!N:N, MATCH(Caseslist!B1502, data!D:D, 0)) = 1, FALSE)
  ),
  "COMPLETE",
  "INC"
)</f>
        <v>COMPLETE</v>
      </c>
      <c r="D1502" s="9" t="str">
        <f t="array" ref="D1502">IFERROR(INDEX(data!$G:$G,match(Caseslist!B1502,data!$D:$D,0)), "INC")</f>
        <v>D1284067</v>
      </c>
      <c r="E1502" s="9" t="str">
        <f t="array" ref="E1502">IFERROR(INDEX(data!H:H,match(Caseslist!B1502,data!D:D,0)), "INC")</f>
        <v>Mariel Del Rio</v>
      </c>
      <c r="F1502" s="10" t="str">
        <f t="array" ref="F1502">IF(
    OR(
      IFNA(INDEX(data!M:M, MATCH(Caseslist!B1502, data!D:D, 0)), "") = "",
      IFNA(INDEX(data!M:M, MATCH(Caseslist!B1502, data!D:D, 0)), 0) = 0
    ),
    "COMPLETE",
    IF(
      IFNA(INDEX(dataICM!D:D, MATCH(Caseslist!B1502, dataICM!D:D, 0)), "INC") = "INC",
      IFNA(INDEX(dataICM!D:D, MATCH(Caseslist!B1502, dataICM!D:D, 0)), "INC"),
      "COMPLETE"
    )
  )</f>
        <v>COMPLETE</v>
      </c>
      <c r="G1502" s="10" t="str">
        <f t="array" ref="G1502">IF(IFERROR(INDEX(data!L:L,match(Caseslist!B1502,data!D:D,0)),"INC")="","COMPLETE",F1502)</f>
        <v>COMPLETE</v>
      </c>
      <c r="H1502" s="9" t="str">
        <f t="array" ref="H1502">IFERROR(INDEX(dataICM!F:F,match(Caseslist!B1502,dataICM!D:D,0)), "INC")</f>
        <v>Mariel Del Rio</v>
      </c>
      <c r="I1502" s="10" t="str">
        <f t="shared" si="2"/>
        <v>D1284067</v>
      </c>
      <c r="J1502" s="9" t="str">
        <f t="array" ref="J1502">IF(
  AND(
    IFERROR(MATCH(B1502, data!D:D, 0), 0) &gt; 0,
    IFERROR(INDEX(data!N:N, MATCH(B1502, data!D:D, 0)) = 1, FALSE)
  ),
  INDEX(data!C:C, MATCH(B1502, data!D:D, 0)),
  "INC"
)</f>
        <v>2025-09-03T15:43:03.490+08</v>
      </c>
      <c r="K1502" s="9" t="str">
        <f t="array" ref="K1502">IFERROR(INDEX(dataICM!C:C,match(Caseslist!B1502,dataICM!D:D,0)), "INC")</f>
        <v>2025-09-03T15:59:08.465+08</v>
      </c>
      <c r="L1502" s="10" t="str">
        <f t="array" ref="L1502">IF(AND(G1502="COMPLETE", OR(K1502="INC", ISBLANK(INDEX(data!O:O, ROW())))), J1502, K1502)</f>
        <v>2025-09-03T15:59:08.465+08</v>
      </c>
      <c r="M1502" s="2">
        <v>45903.0</v>
      </c>
      <c r="N1502" s="2">
        <f t="array" ref="N1502">IF(M1502&lt;&gt;"INC", INDEX(data!M:M, MATCH(B1502, data!D:D, 0)), "")</f>
        <v>3</v>
      </c>
      <c r="O1502" s="2">
        <f t="shared" si="3"/>
        <v>3</v>
      </c>
    </row>
    <row r="1503">
      <c r="A1503" s="2" t="str">
        <f t="shared" si="1"/>
        <v>H030517</v>
      </c>
      <c r="B1503" s="1" t="s">
        <v>2625</v>
      </c>
      <c r="C1503" s="9" t="str">
        <f t="array" ref="C1503">IF(
  AND(
    IFERROR(MATCH(Caseslist!B1503, data!D:D, 0), 0) &gt; 0,
    IFERROR(INDEX(data!N:N, MATCH(Caseslist!B1503, data!D:D, 0)) = 1, FALSE)
  ),
  "COMPLETE",
  "INC"
)</f>
        <v>COMPLETE</v>
      </c>
      <c r="D1503" s="9" t="str">
        <f t="array" ref="D1503">IFERROR(INDEX(data!$G:$G,match(Caseslist!B1503,data!$D:$D,0)), "INC")</f>
        <v>B8193462</v>
      </c>
      <c r="E1503" s="9" t="str">
        <f t="array" ref="E1503">IFERROR(INDEX(data!H:H,match(Caseslist!B1503,data!D:D,0)), "INC")</f>
        <v>Mark Lorens Mendoza Gilongo</v>
      </c>
      <c r="F1503" s="10" t="str">
        <f t="array" ref="F1503">IF(
    OR(
      IFNA(INDEX(data!M:M, MATCH(Caseslist!B1503, data!D:D, 0)), "") = "",
      IFNA(INDEX(data!M:M, MATCH(Caseslist!B1503, data!D:D, 0)), 0) = 0
    ),
    "COMPLETE",
    IF(
      IFNA(INDEX(dataICM!D:D, MATCH(Caseslist!B1503, dataICM!D:D, 0)), "INC") = "INC",
      IFNA(INDEX(dataICM!D:D, MATCH(Caseslist!B1503, dataICM!D:D, 0)), "INC"),
      "COMPLETE"
    )
  )</f>
        <v>COMPLETE</v>
      </c>
      <c r="G1503" s="10" t="str">
        <f t="array" ref="G1503">IF(IFERROR(INDEX(data!L:L,match(Caseslist!B1503,data!D:D,0)),"INC")="","COMPLETE",F1503)</f>
        <v>COMPLETE</v>
      </c>
      <c r="H1503" s="9" t="str">
        <f t="array" ref="H1503">IFERROR(INDEX(dataICM!F:F,match(Caseslist!B1503,dataICM!D:D,0)), "INC")</f>
        <v>Mark Lorens Mendoza Gilongo</v>
      </c>
      <c r="I1503" s="10" t="str">
        <f t="shared" si="2"/>
        <v>B8193462</v>
      </c>
      <c r="J1503" s="9" t="str">
        <f t="array" ref="J1503">IF(
  AND(
    IFERROR(MATCH(B1503, data!D:D, 0), 0) &gt; 0,
    IFERROR(INDEX(data!N:N, MATCH(B1503, data!D:D, 0)) = 1, FALSE)
  ),
  INDEX(data!C:C, MATCH(B1503, data!D:D, 0)),
  "INC"
)</f>
        <v>2025-09-02T15:09:18.972+08</v>
      </c>
      <c r="K1503" s="9" t="str">
        <f t="array" ref="K1503">IFERROR(INDEX(dataICM!C:C,match(Caseslist!B1503,dataICM!D:D,0)), "INC")</f>
        <v>2025-09-02T16:52:41.001+08</v>
      </c>
      <c r="L1503" s="10" t="str">
        <f t="array" ref="L1503">IF(AND(G1503="COMPLETE", OR(K1503="INC", ISBLANK(INDEX(data!O:O, ROW())))), J1503, K1503)</f>
        <v>2025-09-02T16:52:41.001+08</v>
      </c>
      <c r="M1503" s="2">
        <v>45902.0</v>
      </c>
      <c r="N1503" s="2">
        <f t="array" ref="N1503">IF(M1503&lt;&gt;"INC", INDEX(data!M:M, MATCH(B1503, data!D:D, 0)), "")</f>
        <v>3</v>
      </c>
      <c r="O1503" s="2">
        <f t="shared" si="3"/>
        <v>3</v>
      </c>
    </row>
    <row r="1504">
      <c r="A1504" s="2" t="str">
        <f t="shared" si="1"/>
        <v>H030517</v>
      </c>
      <c r="B1504" s="1" t="s">
        <v>3202</v>
      </c>
      <c r="C1504" s="9" t="str">
        <f t="array" ref="C1504">IF(
  AND(
    IFERROR(MATCH(Caseslist!B1504, data!D:D, 0), 0) &gt; 0,
    IFERROR(INDEX(data!N:N, MATCH(Caseslist!B1504, data!D:D, 0)) = 1, FALSE)
  ),
  "COMPLETE",
  "INC"
)</f>
        <v>COMPLETE</v>
      </c>
      <c r="D1504" s="9" t="str">
        <f t="array" ref="D1504">IFERROR(INDEX(data!$G:$G,match(Caseslist!B1504,data!$D:$D,0)), "INC")</f>
        <v>B8193462</v>
      </c>
      <c r="E1504" s="9" t="str">
        <f t="array" ref="E1504">IFERROR(INDEX(data!H:H,match(Caseslist!B1504,data!D:D,0)), "INC")</f>
        <v>Mark Lorens Mendoza Gilongo</v>
      </c>
      <c r="F1504" s="10" t="str">
        <f t="array" ref="F1504">IF(
    OR(
      IFNA(INDEX(data!M:M, MATCH(Caseslist!B1504, data!D:D, 0)), "") = "",
      IFNA(INDEX(data!M:M, MATCH(Caseslist!B1504, data!D:D, 0)), 0) = 0
    ),
    "COMPLETE",
    IF(
      IFNA(INDEX(dataICM!D:D, MATCH(Caseslist!B1504, dataICM!D:D, 0)), "INC") = "INC",
      IFNA(INDEX(dataICM!D:D, MATCH(Caseslist!B1504, dataICM!D:D, 0)), "INC"),
      "COMPLETE"
    )
  )</f>
        <v>COMPLETE</v>
      </c>
      <c r="G1504" s="10" t="str">
        <f t="array" ref="G1504">IF(IFERROR(INDEX(data!L:L,match(Caseslist!B1504,data!D:D,0)),"INC")="","COMPLETE",F1504)</f>
        <v>COMPLETE</v>
      </c>
      <c r="H1504" s="9" t="str">
        <f t="array" ref="H1504">IFERROR(INDEX(dataICM!F:F,match(Caseslist!B1504,dataICM!D:D,0)), "INC")</f>
        <v>Mark Lorens Mendoza Gilongo</v>
      </c>
      <c r="I1504" s="10" t="str">
        <f t="shared" si="2"/>
        <v>B8193462</v>
      </c>
      <c r="J1504" s="9" t="str">
        <f t="array" ref="J1504">IF(
  AND(
    IFERROR(MATCH(B1504, data!D:D, 0), 0) &gt; 0,
    IFERROR(INDEX(data!N:N, MATCH(B1504, data!D:D, 0)) = 1, FALSE)
  ),
  INDEX(data!C:C, MATCH(B1504, data!D:D, 0)),
  "INC"
)</f>
        <v>2025-09-03T17:56:56.135+08</v>
      </c>
      <c r="K1504" s="9" t="str">
        <f t="array" ref="K1504">IFERROR(INDEX(dataICM!C:C,match(Caseslist!B1504,dataICM!D:D,0)), "INC")</f>
        <v>2025-09-03T18:20:24.443+08</v>
      </c>
      <c r="L1504" s="10" t="str">
        <f t="array" ref="L1504">IF(AND(G1504="COMPLETE", OR(K1504="INC", ISBLANK(INDEX(data!O:O, ROW())))), J1504, K1504)</f>
        <v>2025-09-03T18:20:24.443+08</v>
      </c>
      <c r="M1504" s="2">
        <v>45903.0</v>
      </c>
      <c r="N1504" s="2">
        <f t="array" ref="N1504">IF(M1504&lt;&gt;"INC", INDEX(data!M:M, MATCH(B1504, data!D:D, 0)), "")</f>
        <v>3</v>
      </c>
      <c r="O1504" s="2">
        <f t="shared" si="3"/>
        <v>3</v>
      </c>
    </row>
    <row r="1505">
      <c r="A1505" s="2" t="str">
        <f t="shared" si="1"/>
        <v>H030517</v>
      </c>
      <c r="B1505" s="1" t="s">
        <v>2725</v>
      </c>
      <c r="C1505" s="9" t="str">
        <f t="array" ref="C1505">IF(
  AND(
    IFERROR(MATCH(Caseslist!B1505, data!D:D, 0), 0) &gt; 0,
    IFERROR(INDEX(data!N:N, MATCH(Caseslist!B1505, data!D:D, 0)) = 1, FALSE)
  ),
  "COMPLETE",
  "INC"
)</f>
        <v>COMPLETE</v>
      </c>
      <c r="D1505" s="9" t="str">
        <f t="array" ref="D1505">IFERROR(INDEX(data!$G:$G,match(Caseslist!B1505,data!$D:$D,0)), "INC")</f>
        <v>D1284067</v>
      </c>
      <c r="E1505" s="9" t="str">
        <f t="array" ref="E1505">IFERROR(INDEX(data!H:H,match(Caseslist!B1505,data!D:D,0)), "INC")</f>
        <v>Mariel Del Rio</v>
      </c>
      <c r="F1505" s="10" t="str">
        <f t="array" ref="F1505">IF(
    OR(
      IFNA(INDEX(data!M:M, MATCH(Caseslist!B1505, data!D:D, 0)), "") = "",
      IFNA(INDEX(data!M:M, MATCH(Caseslist!B1505, data!D:D, 0)), 0) = 0
    ),
    "COMPLETE",
    IF(
      IFNA(INDEX(dataICM!D:D, MATCH(Caseslist!B1505, dataICM!D:D, 0)), "INC") = "INC",
      IFNA(INDEX(dataICM!D:D, MATCH(Caseslist!B1505, dataICM!D:D, 0)), "INC"),
      "COMPLETE"
    )
  )</f>
        <v>COMPLETE</v>
      </c>
      <c r="G1505" s="10" t="str">
        <f t="array" ref="G1505">IF(IFERROR(INDEX(data!L:L,match(Caseslist!B1505,data!D:D,0)),"INC")="","COMPLETE",F1505)</f>
        <v>COMPLETE</v>
      </c>
      <c r="H1505" s="9" t="str">
        <f t="array" ref="H1505">IFERROR(INDEX(dataICM!F:F,match(Caseslist!B1505,dataICM!D:D,0)), "INC")</f>
        <v>Mariel Del Rio</v>
      </c>
      <c r="I1505" s="10" t="str">
        <f t="shared" si="2"/>
        <v>D1284067</v>
      </c>
      <c r="J1505" s="9" t="str">
        <f t="array" ref="J1505">IF(
  AND(
    IFERROR(MATCH(B1505, data!D:D, 0), 0) &gt; 0,
    IFERROR(INDEX(data!N:N, MATCH(B1505, data!D:D, 0)) = 1, FALSE)
  ),
  INDEX(data!C:C, MATCH(B1505, data!D:D, 0)),
  "INC"
)</f>
        <v>2025-09-02T14:16:20.603+08</v>
      </c>
      <c r="K1505" s="9" t="str">
        <f t="array" ref="K1505">IFERROR(INDEX(dataICM!C:C,match(Caseslist!B1505,dataICM!D:D,0)), "INC")</f>
        <v>2025-09-02T16:49:35.137+08</v>
      </c>
      <c r="L1505" s="10" t="str">
        <f t="array" ref="L1505">IF(AND(G1505="COMPLETE", OR(K1505="INC", ISBLANK(INDEX(data!O:O, ROW())))), J1505, K1505)</f>
        <v>2025-09-02T16:49:35.137+08</v>
      </c>
      <c r="M1505" s="2">
        <v>45902.0</v>
      </c>
      <c r="N1505" s="2">
        <f t="array" ref="N1505">IF(M1505&lt;&gt;"INC", INDEX(data!M:M, MATCH(B1505, data!D:D, 0)), "")</f>
        <v>3</v>
      </c>
      <c r="O1505" s="2">
        <f t="shared" si="3"/>
        <v>3</v>
      </c>
    </row>
    <row r="1506">
      <c r="A1506" s="2" t="str">
        <f t="shared" si="1"/>
        <v>H030535</v>
      </c>
      <c r="B1506" s="1" t="s">
        <v>2509</v>
      </c>
      <c r="C1506" s="9" t="str">
        <f t="array" ref="C1506">IF(
  AND(
    IFERROR(MATCH(Caseslist!B1506, data!D:D, 0), 0) &gt; 0,
    IFERROR(INDEX(data!N:N, MATCH(Caseslist!B1506, data!D:D, 0)) = 1, FALSE)
  ),
  "COMPLETE",
  "INC"
)</f>
        <v>COMPLETE</v>
      </c>
      <c r="D1506" s="9">
        <f t="array" ref="D1506">IFERROR(INDEX(data!$G:$G,match(Caseslist!B1506,data!$D:$D,0)), "INC")</f>
        <v>896791</v>
      </c>
      <c r="E1506" s="9" t="str">
        <f t="array" ref="E1506">IFERROR(INDEX(data!H:H,match(Caseslist!B1506,data!D:D,0)), "INC")</f>
        <v>Roland A. Bandiola jr</v>
      </c>
      <c r="F1506" s="10" t="str">
        <f t="array" ref="F1506">IF(
    OR(
      IFNA(INDEX(data!M:M, MATCH(Caseslist!B1506, data!D:D, 0)), "") = "",
      IFNA(INDEX(data!M:M, MATCH(Caseslist!B1506, data!D:D, 0)), 0) = 0
    ),
    "COMPLETE",
    IF(
      IFNA(INDEX(dataICM!D:D, MATCH(Caseslist!B1506, dataICM!D:D, 0)), "INC") = "INC",
      IFNA(INDEX(dataICM!D:D, MATCH(Caseslist!B1506, dataICM!D:D, 0)), "INC"),
      "COMPLETE"
    )
  )</f>
        <v>COMPLETE</v>
      </c>
      <c r="G1506" s="10" t="str">
        <f t="array" ref="G1506">IF(IFERROR(INDEX(data!L:L,match(Caseslist!B1506,data!D:D,0)),"INC")="","COMPLETE",F1506)</f>
        <v>COMPLETE</v>
      </c>
      <c r="H1506" s="9" t="str">
        <f t="array" ref="H1506">IFERROR(INDEX(dataICM!F:F,match(Caseslist!B1506,dataICM!D:D,0)), "INC")</f>
        <v>Roland A. Bandiola jr_2</v>
      </c>
      <c r="I1506" s="10">
        <f t="shared" si="2"/>
        <v>896791</v>
      </c>
      <c r="J1506" s="9" t="str">
        <f t="array" ref="J1506">IF(
  AND(
    IFERROR(MATCH(B1506, data!D:D, 0), 0) &gt; 0,
    IFERROR(INDEX(data!N:N, MATCH(B1506, data!D:D, 0)) = 1, FALSE)
  ),
  INDEX(data!C:C, MATCH(B1506, data!D:D, 0)),
  "INC"
)</f>
        <v>2025-09-01T21:31:44.878+08</v>
      </c>
      <c r="K1506" s="9" t="str">
        <f t="array" ref="K1506">IFERROR(INDEX(dataICM!C:C,match(Caseslist!B1506,dataICM!D:D,0)), "INC")</f>
        <v>2025-09-07T15:20:05.758+08</v>
      </c>
      <c r="L1506" s="10" t="str">
        <f t="array" ref="L1506">IF(AND(G1506="COMPLETE", OR(K1506="INC", ISBLANK(INDEX(data!O:O, ROW())))), J1506, K1506)</f>
        <v>2025-09-07T15:20:05.758+08</v>
      </c>
      <c r="M1506" s="2">
        <v>45907.0</v>
      </c>
      <c r="N1506" s="2">
        <f t="array" ref="N1506">IF(M1506&lt;&gt;"INC", INDEX(data!M:M, MATCH(B1506, data!D:D, 0)), "")</f>
        <v>2</v>
      </c>
      <c r="O1506" s="2">
        <f t="shared" si="3"/>
        <v>2</v>
      </c>
    </row>
    <row r="1507">
      <c r="A1507" s="2" t="str">
        <f t="shared" si="1"/>
        <v>H030535</v>
      </c>
      <c r="B1507" s="1" t="s">
        <v>2129</v>
      </c>
      <c r="C1507" s="9" t="str">
        <f t="array" ref="C1507">IF(
  AND(
    IFERROR(MATCH(Caseslist!B1507, data!D:D, 0), 0) &gt; 0,
    IFERROR(INDEX(data!N:N, MATCH(Caseslist!B1507, data!D:D, 0)) = 1, FALSE)
  ),
  "COMPLETE",
  "INC"
)</f>
        <v>COMPLETE</v>
      </c>
      <c r="D1507" s="9" t="str">
        <f t="array" ref="D1507">IFERROR(INDEX(data!$G:$G,match(Caseslist!B1507,data!$D:$D,0)), "INC")</f>
        <v>C7502931</v>
      </c>
      <c r="E1507" s="9" t="str">
        <f t="array" ref="E1507">IFERROR(INDEX(data!H:H,match(Caseslist!B1507,data!D:D,0)), "INC")</f>
        <v>Jenny Lou Toles Estacio</v>
      </c>
      <c r="F1507" s="10" t="str">
        <f t="array" ref="F1507">IF(
    OR(
      IFNA(INDEX(data!M:M, MATCH(Caseslist!B1507, data!D:D, 0)), "") = "",
      IFNA(INDEX(data!M:M, MATCH(Caseslist!B1507, data!D:D, 0)), 0) = 0
    ),
    "COMPLETE",
    IF(
      IFNA(INDEX(dataICM!D:D, MATCH(Caseslist!B1507, dataICM!D:D, 0)), "INC") = "INC",
      IFNA(INDEX(dataICM!D:D, MATCH(Caseslist!B1507, dataICM!D:D, 0)), "INC"),
      "COMPLETE"
    )
  )</f>
        <v>COMPLETE</v>
      </c>
      <c r="G1507" s="10" t="str">
        <f t="array" ref="G1507">IF(IFERROR(INDEX(data!L:L,match(Caseslist!B1507,data!D:D,0)),"INC")="","COMPLETE",F1507)</f>
        <v>COMPLETE</v>
      </c>
      <c r="H1507" s="9" t="str">
        <f t="array" ref="H1507">IFERROR(INDEX(dataICM!F:F,match(Caseslist!B1507,dataICM!D:D,0)), "INC")</f>
        <v>Jenny Lou Toles Estacio</v>
      </c>
      <c r="I1507" s="10" t="str">
        <f t="shared" si="2"/>
        <v>C7502931</v>
      </c>
      <c r="J1507" s="9" t="str">
        <f t="array" ref="J1507">IF(
  AND(
    IFERROR(MATCH(B1507, data!D:D, 0), 0) &gt; 0,
    IFERROR(INDEX(data!N:N, MATCH(B1507, data!D:D, 0)) = 1, FALSE)
  ),
  INDEX(data!C:C, MATCH(B1507, data!D:D, 0)),
  "INC"
)</f>
        <v>2025-09-01T18:25:58.706+08</v>
      </c>
      <c r="K1507" s="9" t="str">
        <f t="array" ref="K1507">IFERROR(INDEX(dataICM!C:C,match(Caseslist!B1507,dataICM!D:D,0)), "INC")</f>
        <v>2025-09-07T19:12:53.363+08</v>
      </c>
      <c r="L1507" s="10" t="str">
        <f t="array" ref="L1507">IF(AND(G1507="COMPLETE", OR(K1507="INC", ISBLANK(INDEX(data!O:O, ROW())))), J1507, K1507)</f>
        <v>2025-09-07T19:12:53.363+08</v>
      </c>
      <c r="M1507" s="2">
        <v>45907.0</v>
      </c>
      <c r="N1507" s="2">
        <f t="array" ref="N1507">IF(M1507&lt;&gt;"INC", INDEX(data!M:M, MATCH(B1507, data!D:D, 0)), "")</f>
        <v>2</v>
      </c>
      <c r="O1507" s="2">
        <f t="shared" si="3"/>
        <v>2</v>
      </c>
    </row>
    <row r="1508">
      <c r="A1508" s="2" t="str">
        <f t="shared" si="1"/>
        <v>H030535</v>
      </c>
      <c r="B1508" s="1" t="s">
        <v>2134</v>
      </c>
      <c r="C1508" s="9" t="str">
        <f t="array" ref="C1508">IF(
  AND(
    IFERROR(MATCH(Caseslist!B1508, data!D:D, 0), 0) &gt; 0,
    IFERROR(INDEX(data!N:N, MATCH(Caseslist!B1508, data!D:D, 0)) = 1, FALSE)
  ),
  "COMPLETE",
  "INC"
)</f>
        <v>COMPLETE</v>
      </c>
      <c r="D1508" s="9" t="str">
        <f t="array" ref="D1508">IFERROR(INDEX(data!$G:$G,match(Caseslist!B1508,data!$D:$D,0)), "INC")</f>
        <v>C7502931</v>
      </c>
      <c r="E1508" s="9" t="str">
        <f t="array" ref="E1508">IFERROR(INDEX(data!H:H,match(Caseslist!B1508,data!D:D,0)), "INC")</f>
        <v>Jenny Lou Toles Estacio</v>
      </c>
      <c r="F1508" s="10" t="str">
        <f t="array" ref="F1508">IF(
    OR(
      IFNA(INDEX(data!M:M, MATCH(Caseslist!B1508, data!D:D, 0)), "") = "",
      IFNA(INDEX(data!M:M, MATCH(Caseslist!B1508, data!D:D, 0)), 0) = 0
    ),
    "COMPLETE",
    IF(
      IFNA(INDEX(dataICM!D:D, MATCH(Caseslist!B1508, dataICM!D:D, 0)), "INC") = "INC",
      IFNA(INDEX(dataICM!D:D, MATCH(Caseslist!B1508, dataICM!D:D, 0)), "INC"),
      "COMPLETE"
    )
  )</f>
        <v>COMPLETE</v>
      </c>
      <c r="G1508" s="10" t="str">
        <f t="array" ref="G1508">IF(IFERROR(INDEX(data!L:L,match(Caseslist!B1508,data!D:D,0)),"INC")="","COMPLETE",F1508)</f>
        <v>COMPLETE</v>
      </c>
      <c r="H1508" s="9" t="str">
        <f t="array" ref="H1508">IFERROR(INDEX(dataICM!F:F,match(Caseslist!B1508,dataICM!D:D,0)), "INC")</f>
        <v>Jenny Lou Toles Estacio</v>
      </c>
      <c r="I1508" s="10" t="str">
        <f t="shared" si="2"/>
        <v>C7502931</v>
      </c>
      <c r="J1508" s="9" t="str">
        <f t="array" ref="J1508">IF(
  AND(
    IFERROR(MATCH(B1508, data!D:D, 0), 0) &gt; 0,
    IFERROR(INDEX(data!N:N, MATCH(B1508, data!D:D, 0)) = 1, FALSE)
  ),
  INDEX(data!C:C, MATCH(B1508, data!D:D, 0)),
  "INC"
)</f>
        <v>2025-09-01T18:29:58.815+08</v>
      </c>
      <c r="K1508" s="9" t="str">
        <f t="array" ref="K1508">IFERROR(INDEX(dataICM!C:C,match(Caseslist!B1508,dataICM!D:D,0)), "INC")</f>
        <v>2025-09-07T19:13:33.109+08</v>
      </c>
      <c r="L1508" s="10" t="str">
        <f t="array" ref="L1508">IF(AND(G1508="COMPLETE", OR(K1508="INC", ISBLANK(INDEX(data!O:O, ROW())))), J1508, K1508)</f>
        <v>2025-09-07T19:13:33.109+08</v>
      </c>
      <c r="M1508" s="2">
        <v>45907.0</v>
      </c>
      <c r="N1508" s="2">
        <f t="array" ref="N1508">IF(M1508&lt;&gt;"INC", INDEX(data!M:M, MATCH(B1508, data!D:D, 0)), "")</f>
        <v>2</v>
      </c>
      <c r="O1508" s="2">
        <f t="shared" si="3"/>
        <v>2</v>
      </c>
    </row>
    <row r="1509">
      <c r="A1509" s="2" t="str">
        <f t="shared" si="1"/>
        <v>H030535</v>
      </c>
      <c r="B1509" s="1" t="s">
        <v>2229</v>
      </c>
      <c r="C1509" s="9" t="str">
        <f t="array" ref="C1509">IF(
  AND(
    IFERROR(MATCH(Caseslist!B1509, data!D:D, 0), 0) &gt; 0,
    IFERROR(INDEX(data!N:N, MATCH(Caseslist!B1509, data!D:D, 0)) = 1, FALSE)
  ),
  "COMPLETE",
  "INC"
)</f>
        <v>COMPLETE</v>
      </c>
      <c r="D1509" s="9">
        <f t="array" ref="D1509">IFERROR(INDEX(data!$G:$G,match(Caseslist!B1509,data!$D:$D,0)), "INC")</f>
        <v>896791</v>
      </c>
      <c r="E1509" s="9" t="str">
        <f t="array" ref="E1509">IFERROR(INDEX(data!H:H,match(Caseslist!B1509,data!D:D,0)), "INC")</f>
        <v>Roland A. Bandiola jr</v>
      </c>
      <c r="F1509" s="10" t="str">
        <f t="array" ref="F1509">IF(
    OR(
      IFNA(INDEX(data!M:M, MATCH(Caseslist!B1509, data!D:D, 0)), "") = "",
      IFNA(INDEX(data!M:M, MATCH(Caseslist!B1509, data!D:D, 0)), 0) = 0
    ),
    "COMPLETE",
    IF(
      IFNA(INDEX(dataICM!D:D, MATCH(Caseslist!B1509, dataICM!D:D, 0)), "INC") = "INC",
      IFNA(INDEX(dataICM!D:D, MATCH(Caseslist!B1509, dataICM!D:D, 0)), "INC"),
      "COMPLETE"
    )
  )</f>
        <v>COMPLETE</v>
      </c>
      <c r="G1509" s="10" t="str">
        <f t="array" ref="G1509">IF(IFERROR(INDEX(data!L:L,match(Caseslist!B1509,data!D:D,0)),"INC")="","COMPLETE",F1509)</f>
        <v>COMPLETE</v>
      </c>
      <c r="H1509" s="9" t="str">
        <f t="array" ref="H1509">IFERROR(INDEX(dataICM!F:F,match(Caseslist!B1509,dataICM!D:D,0)), "INC")</f>
        <v>Roland A. Bandiola jr</v>
      </c>
      <c r="I1509" s="10">
        <f t="shared" si="2"/>
        <v>896791</v>
      </c>
      <c r="J1509" s="9" t="str">
        <f t="array" ref="J1509">IF(
  AND(
    IFERROR(MATCH(B1509, data!D:D, 0), 0) &gt; 0,
    IFERROR(INDEX(data!N:N, MATCH(B1509, data!D:D, 0)) = 1, FALSE)
  ),
  INDEX(data!C:C, MATCH(B1509, data!D:D, 0)),
  "INC"
)</f>
        <v>2025-09-01T13:34:55.570+08</v>
      </c>
      <c r="K1509" s="9" t="str">
        <f t="array" ref="K1509">IFERROR(INDEX(dataICM!C:C,match(Caseslist!B1509,dataICM!D:D,0)), "INC")</f>
        <v>2025-09-01T13:41:20.898+08</v>
      </c>
      <c r="L1509" s="10" t="str">
        <f t="array" ref="L1509">IF(AND(G1509="COMPLETE", OR(K1509="INC", ISBLANK(INDEX(data!O:O, ROW())))), J1509, K1509)</f>
        <v>2025-09-01T13:41:20.898+08</v>
      </c>
      <c r="M1509" s="2">
        <v>45901.0</v>
      </c>
      <c r="N1509" s="2">
        <f t="array" ref="N1509">IF(M1509&lt;&gt;"INC", INDEX(data!M:M, MATCH(B1509, data!D:D, 0)), "")</f>
        <v>2</v>
      </c>
      <c r="O1509" s="2">
        <f t="shared" si="3"/>
        <v>2</v>
      </c>
    </row>
    <row r="1510">
      <c r="A1510" s="2" t="str">
        <f t="shared" si="1"/>
        <v>H030535</v>
      </c>
      <c r="B1510" s="1" t="s">
        <v>2224</v>
      </c>
      <c r="C1510" s="9" t="str">
        <f t="array" ref="C1510">IF(
  AND(
    IFERROR(MATCH(Caseslist!B1510, data!D:D, 0), 0) &gt; 0,
    IFERROR(INDEX(data!N:N, MATCH(Caseslist!B1510, data!D:D, 0)) = 1, FALSE)
  ),
  "COMPLETE",
  "INC"
)</f>
        <v>COMPLETE</v>
      </c>
      <c r="D1510" s="9">
        <f t="array" ref="D1510">IFERROR(INDEX(data!$G:$G,match(Caseslist!B1510,data!$D:$D,0)), "INC")</f>
        <v>896791</v>
      </c>
      <c r="E1510" s="9" t="str">
        <f t="array" ref="E1510">IFERROR(INDEX(data!H:H,match(Caseslist!B1510,data!D:D,0)), "INC")</f>
        <v>Roland A. Bandiola jr</v>
      </c>
      <c r="F1510" s="10" t="str">
        <f t="array" ref="F1510">IF(
    OR(
      IFNA(INDEX(data!M:M, MATCH(Caseslist!B1510, data!D:D, 0)), "") = "",
      IFNA(INDEX(data!M:M, MATCH(Caseslist!B1510, data!D:D, 0)), 0) = 0
    ),
    "COMPLETE",
    IF(
      IFNA(INDEX(dataICM!D:D, MATCH(Caseslist!B1510, dataICM!D:D, 0)), "INC") = "INC",
      IFNA(INDEX(dataICM!D:D, MATCH(Caseslist!B1510, dataICM!D:D, 0)), "INC"),
      "COMPLETE"
    )
  )</f>
        <v>COMPLETE</v>
      </c>
      <c r="G1510" s="10" t="str">
        <f t="array" ref="G1510">IF(IFERROR(INDEX(data!L:L,match(Caseslist!B1510,data!D:D,0)),"INC")="","COMPLETE",F1510)</f>
        <v>COMPLETE</v>
      </c>
      <c r="H1510" s="9" t="str">
        <f t="array" ref="H1510">IFERROR(INDEX(dataICM!F:F,match(Caseslist!B1510,dataICM!D:D,0)), "INC")</f>
        <v>Roland A. Bandiola jr</v>
      </c>
      <c r="I1510" s="10">
        <f t="shared" si="2"/>
        <v>896791</v>
      </c>
      <c r="J1510" s="9" t="str">
        <f t="array" ref="J1510">IF(
  AND(
    IFERROR(MATCH(B1510, data!D:D, 0), 0) &gt; 0,
    IFERROR(INDEX(data!N:N, MATCH(B1510, data!D:D, 0)) = 1, FALSE)
  ),
  INDEX(data!C:C, MATCH(B1510, data!D:D, 0)),
  "INC"
)</f>
        <v>2025-09-01T11:50:21.890+08</v>
      </c>
      <c r="K1510" s="9" t="str">
        <f t="array" ref="K1510">IFERROR(INDEX(dataICM!C:C,match(Caseslist!B1510,dataICM!D:D,0)), "INC")</f>
        <v>2025-09-01T11:59:53.483+08</v>
      </c>
      <c r="L1510" s="10" t="str">
        <f t="array" ref="L1510">IF(AND(G1510="COMPLETE", OR(K1510="INC", ISBLANK(INDEX(data!O:O, ROW())))), J1510, K1510)</f>
        <v>2025-09-01T11:59:53.483+08</v>
      </c>
      <c r="M1510" s="2">
        <v>45901.0</v>
      </c>
      <c r="N1510" s="2">
        <f t="array" ref="N1510">IF(M1510&lt;&gt;"INC", INDEX(data!M:M, MATCH(B1510, data!D:D, 0)), "")</f>
        <v>2</v>
      </c>
      <c r="O1510" s="2">
        <f t="shared" si="3"/>
        <v>2</v>
      </c>
    </row>
    <row r="1511">
      <c r="A1511" s="2" t="str">
        <f t="shared" si="1"/>
        <v>H030535</v>
      </c>
      <c r="B1511" s="1" t="s">
        <v>2118</v>
      </c>
      <c r="C1511" s="9" t="str">
        <f t="array" ref="C1511">IF(
  AND(
    IFERROR(MATCH(Caseslist!B1511, data!D:D, 0), 0) &gt; 0,
    IFERROR(INDEX(data!N:N, MATCH(Caseslist!B1511, data!D:D, 0)) = 1, FALSE)
  ),
  "COMPLETE",
  "INC"
)</f>
        <v>COMPLETE</v>
      </c>
      <c r="D1511" s="9" t="str">
        <f t="array" ref="D1511">IFERROR(INDEX(data!$G:$G,match(Caseslist!B1511,data!$D:$D,0)), "INC")</f>
        <v>C7502931</v>
      </c>
      <c r="E1511" s="9" t="str">
        <f t="array" ref="E1511">IFERROR(INDEX(data!H:H,match(Caseslist!B1511,data!D:D,0)), "INC")</f>
        <v>Jenny Lou Toles Estacio</v>
      </c>
      <c r="F1511" s="10" t="str">
        <f t="array" ref="F1511">IF(
    OR(
      IFNA(INDEX(data!M:M, MATCH(Caseslist!B1511, data!D:D, 0)), "") = "",
      IFNA(INDEX(data!M:M, MATCH(Caseslist!B1511, data!D:D, 0)), 0) = 0
    ),
    "COMPLETE",
    IF(
      IFNA(INDEX(dataICM!D:D, MATCH(Caseslist!B1511, dataICM!D:D, 0)), "INC") = "INC",
      IFNA(INDEX(dataICM!D:D, MATCH(Caseslist!B1511, dataICM!D:D, 0)), "INC"),
      "COMPLETE"
    )
  )</f>
        <v>COMPLETE</v>
      </c>
      <c r="G1511" s="10" t="str">
        <f t="array" ref="G1511">IF(IFERROR(INDEX(data!L:L,match(Caseslist!B1511,data!D:D,0)),"INC")="","COMPLETE",F1511)</f>
        <v>COMPLETE</v>
      </c>
      <c r="H1511" s="9" t="str">
        <f t="array" ref="H1511">IFERROR(INDEX(dataICM!F:F,match(Caseslist!B1511,dataICM!D:D,0)), "INC")</f>
        <v>Jenny Lou Toles Estacio</v>
      </c>
      <c r="I1511" s="10" t="str">
        <f t="shared" si="2"/>
        <v>C7502931</v>
      </c>
      <c r="J1511" s="9" t="str">
        <f t="array" ref="J1511">IF(
  AND(
    IFERROR(MATCH(B1511, data!D:D, 0), 0) &gt; 0,
    IFERROR(INDEX(data!N:N, MATCH(B1511, data!D:D, 0)) = 1, FALSE)
  ),
  INDEX(data!C:C, MATCH(B1511, data!D:D, 0)),
  "INC"
)</f>
        <v>2025-09-01T11:19:49.794+08</v>
      </c>
      <c r="K1511" s="9" t="str">
        <f t="array" ref="K1511">IFERROR(INDEX(dataICM!C:C,match(Caseslist!B1511,dataICM!D:D,0)), "INC")</f>
        <v>2025-09-01T18:31:27.859+08</v>
      </c>
      <c r="L1511" s="10" t="str">
        <f t="array" ref="L1511">IF(AND(G1511="COMPLETE", OR(K1511="INC", ISBLANK(INDEX(data!O:O, ROW())))), J1511, K1511)</f>
        <v>2025-09-01T18:31:27.859+08</v>
      </c>
      <c r="M1511" s="2">
        <v>45901.0</v>
      </c>
      <c r="N1511" s="2">
        <f t="array" ref="N1511">IF(M1511&lt;&gt;"INC", INDEX(data!M:M, MATCH(B1511, data!D:D, 0)), "")</f>
        <v>2</v>
      </c>
      <c r="O1511" s="2">
        <f t="shared" si="3"/>
        <v>2</v>
      </c>
    </row>
    <row r="1512">
      <c r="A1512" s="2" t="str">
        <f t="shared" si="1"/>
        <v>H030535</v>
      </c>
      <c r="B1512" s="1" t="s">
        <v>8937</v>
      </c>
      <c r="C1512" s="9" t="str">
        <f t="array" ref="C1512">IF(
  AND(
    IFERROR(MATCH(Caseslist!B1512, data!D:D, 0), 0) &gt; 0,
    IFERROR(INDEX(data!N:N, MATCH(Caseslist!B1512, data!D:D, 0)) = 1, FALSE)
  ),
  "COMPLETE",
  "INC"
)</f>
        <v>INC</v>
      </c>
      <c r="D1512" s="9" t="str">
        <f t="array" ref="D1512">IFERROR(INDEX(data!$G:$G,match(Caseslist!B1512,data!$D:$D,0)), "INC")</f>
        <v>INC</v>
      </c>
      <c r="E1512" s="9" t="str">
        <f t="array" ref="E1512">IFERROR(INDEX(data!H:H,match(Caseslist!B1512,data!D:D,0)), "INC")</f>
        <v>INC</v>
      </c>
      <c r="F1512" s="10" t="str">
        <f t="array" ref="F1512">IF(
    OR(
      IFNA(INDEX(data!M:M, MATCH(Caseslist!B1512, data!D:D, 0)), "") = "",
      IFNA(INDEX(data!M:M, MATCH(Caseslist!B1512, data!D:D, 0)), 0) = 0
    ),
    "COMPLETE",
    IF(
      IFNA(INDEX(dataICM!D:D, MATCH(Caseslist!B1512, dataICM!D:D, 0)), "INC") = "INC",
      IFNA(INDEX(dataICM!D:D, MATCH(Caseslist!B1512, dataICM!D:D, 0)), "INC"),
      "COMPLETE"
    )
  )</f>
        <v>COMPLETE</v>
      </c>
      <c r="G1512" s="10" t="str">
        <f t="array" ref="G1512">IF(IFERROR(INDEX(data!L:L,match(Caseslist!B1512,data!D:D,0)),"INC")="","COMPLETE",F1512)</f>
        <v>COMPLETE</v>
      </c>
      <c r="H1512" s="9" t="str">
        <f t="array" ref="H1512">IFERROR(INDEX(dataICM!F:F,match(Caseslist!B1512,dataICM!D:D,0)), "INC")</f>
        <v>INC</v>
      </c>
      <c r="I1512" s="10" t="str">
        <f t="shared" si="2"/>
        <v>INC</v>
      </c>
      <c r="J1512" s="9" t="str">
        <f t="array" ref="J1512">IF(
  AND(
    IFERROR(MATCH(B1512, data!D:D, 0), 0) &gt; 0,
    IFERROR(INDEX(data!N:N, MATCH(B1512, data!D:D, 0)) = 1, FALSE)
  ),
  INDEX(data!C:C, MATCH(B1512, data!D:D, 0)),
  "INC"
)</f>
        <v>INC</v>
      </c>
      <c r="K1512" s="9" t="str">
        <f t="array" ref="K1512">IFERROR(INDEX(dataICM!C:C,match(Caseslist!B1512,dataICM!D:D,0)), "INC")</f>
        <v>INC</v>
      </c>
      <c r="L1512" s="10" t="str">
        <f t="array" ref="L1512">IF(AND(G1512="COMPLETE", OR(K1512="INC", ISBLANK(INDEX(data!O:O, ROW())))), J1512, K1512)</f>
        <v>INC</v>
      </c>
      <c r="M1512" s="2" t="s">
        <v>8886</v>
      </c>
      <c r="N1512" s="2" t="str">
        <f t="array" ref="N1512">IF(M1512&lt;&gt;"INC", INDEX(data!M:M, MATCH(B1512, data!D:D, 0)), "")</f>
        <v/>
      </c>
      <c r="O1512" s="2" t="str">
        <f t="shared" si="3"/>
        <v/>
      </c>
    </row>
    <row r="1513">
      <c r="A1513" s="2" t="str">
        <f t="shared" si="1"/>
        <v>H030535</v>
      </c>
      <c r="B1513" s="1" t="s">
        <v>2234</v>
      </c>
      <c r="C1513" s="9" t="str">
        <f t="array" ref="C1513">IF(
  AND(
    IFERROR(MATCH(Caseslist!B1513, data!D:D, 0), 0) &gt; 0,
    IFERROR(INDEX(data!N:N, MATCH(Caseslist!B1513, data!D:D, 0)) = 1, FALSE)
  ),
  "COMPLETE",
  "INC"
)</f>
        <v>COMPLETE</v>
      </c>
      <c r="D1513" s="9">
        <f t="array" ref="D1513">IFERROR(INDEX(data!$G:$G,match(Caseslist!B1513,data!$D:$D,0)), "INC")</f>
        <v>896791</v>
      </c>
      <c r="E1513" s="9" t="str">
        <f t="array" ref="E1513">IFERROR(INDEX(data!H:H,match(Caseslist!B1513,data!D:D,0)), "INC")</f>
        <v>Roland A. Bandiola jr_2</v>
      </c>
      <c r="F1513" s="10" t="str">
        <f t="array" ref="F1513">IF(
    OR(
      IFNA(INDEX(data!M:M, MATCH(Caseslist!B1513, data!D:D, 0)), "") = "",
      IFNA(INDEX(data!M:M, MATCH(Caseslist!B1513, data!D:D, 0)), 0) = 0
    ),
    "COMPLETE",
    IF(
      IFNA(INDEX(dataICM!D:D, MATCH(Caseslist!B1513, dataICM!D:D, 0)), "INC") = "INC",
      IFNA(INDEX(dataICM!D:D, MATCH(Caseslist!B1513, dataICM!D:D, 0)), "INC"),
      "COMPLETE"
    )
  )</f>
        <v>COMPLETE</v>
      </c>
      <c r="G1513" s="10" t="str">
        <f t="array" ref="G1513">IF(IFERROR(INDEX(data!L:L,match(Caseslist!B1513,data!D:D,0)),"INC")="","COMPLETE",F1513)</f>
        <v>COMPLETE</v>
      </c>
      <c r="H1513" s="9" t="str">
        <f t="array" ref="H1513">IFERROR(INDEX(dataICM!F:F,match(Caseslist!B1513,dataICM!D:D,0)), "INC")</f>
        <v>Roland A. Bandiola jr_2</v>
      </c>
      <c r="I1513" s="10">
        <f t="shared" si="2"/>
        <v>896791</v>
      </c>
      <c r="J1513" s="9" t="str">
        <f t="array" ref="J1513">IF(
  AND(
    IFERROR(MATCH(B1513, data!D:D, 0), 0) &gt; 0,
    IFERROR(INDEX(data!N:N, MATCH(B1513, data!D:D, 0)) = 1, FALSE)
  ),
  INDEX(data!C:C, MATCH(B1513, data!D:D, 0)),
  "INC"
)</f>
        <v>2025-09-02T09:43:06.956+08</v>
      </c>
      <c r="K1513" s="9" t="str">
        <f t="array" ref="K1513">IFERROR(INDEX(dataICM!C:C,match(Caseslist!B1513,dataICM!D:D,0)), "INC")</f>
        <v>2025-09-07T15:30:12.688+08</v>
      </c>
      <c r="L1513" s="10" t="str">
        <f t="array" ref="L1513">IF(AND(G1513="COMPLETE", OR(K1513="INC", ISBLANK(INDEX(data!O:O, ROW())))), J1513, K1513)</f>
        <v>2025-09-07T15:30:12.688+08</v>
      </c>
      <c r="M1513" s="2">
        <v>45907.0</v>
      </c>
      <c r="N1513" s="2">
        <f t="array" ref="N1513">IF(M1513&lt;&gt;"INC", INDEX(data!M:M, MATCH(B1513, data!D:D, 0)), "")</f>
        <v>2</v>
      </c>
      <c r="O1513" s="2">
        <f t="shared" si="3"/>
        <v>2</v>
      </c>
    </row>
    <row r="1514">
      <c r="A1514" s="2" t="str">
        <f t="shared" si="1"/>
        <v>H030535</v>
      </c>
      <c r="B1514" s="1" t="s">
        <v>2590</v>
      </c>
      <c r="C1514" s="9" t="str">
        <f t="array" ref="C1514">IF(
  AND(
    IFERROR(MATCH(Caseslist!B1514, data!D:D, 0), 0) &gt; 0,
    IFERROR(INDEX(data!N:N, MATCH(Caseslist!B1514, data!D:D, 0)) = 1, FALSE)
  ),
  "COMPLETE",
  "INC"
)</f>
        <v>COMPLETE</v>
      </c>
      <c r="D1514" s="9" t="str">
        <f t="array" ref="D1514">IFERROR(INDEX(data!$G:$G,match(Caseslist!B1514,data!$D:$D,0)), "INC")</f>
        <v>C7502931</v>
      </c>
      <c r="E1514" s="9" t="str">
        <f t="array" ref="E1514">IFERROR(INDEX(data!H:H,match(Caseslist!B1514,data!D:D,0)), "INC")</f>
        <v>Jenny Lou Toles Estacio</v>
      </c>
      <c r="F1514" s="10" t="str">
        <f t="array" ref="F1514">IF(
    OR(
      IFNA(INDEX(data!M:M, MATCH(Caseslist!B1514, data!D:D, 0)), "") = "",
      IFNA(INDEX(data!M:M, MATCH(Caseslist!B1514, data!D:D, 0)), 0) = 0
    ),
    "COMPLETE",
    IF(
      IFNA(INDEX(dataICM!D:D, MATCH(Caseslist!B1514, dataICM!D:D, 0)), "INC") = "INC",
      IFNA(INDEX(dataICM!D:D, MATCH(Caseslist!B1514, dataICM!D:D, 0)), "INC"),
      "COMPLETE"
    )
  )</f>
        <v>COMPLETE</v>
      </c>
      <c r="G1514" s="10" t="str">
        <f t="array" ref="G1514">IF(IFERROR(INDEX(data!L:L,match(Caseslist!B1514,data!D:D,0)),"INC")="","COMPLETE",F1514)</f>
        <v>COMPLETE</v>
      </c>
      <c r="H1514" s="9" t="str">
        <f t="array" ref="H1514">IFERROR(INDEX(dataICM!F:F,match(Caseslist!B1514,dataICM!D:D,0)), "INC")</f>
        <v>Jenny Lou Toles Estacio</v>
      </c>
      <c r="I1514" s="10" t="str">
        <f t="shared" si="2"/>
        <v>C7502931</v>
      </c>
      <c r="J1514" s="9" t="str">
        <f t="array" ref="J1514">IF(
  AND(
    IFERROR(MATCH(B1514, data!D:D, 0), 0) &gt; 0,
    IFERROR(INDEX(data!N:N, MATCH(B1514, data!D:D, 0)) = 1, FALSE)
  ),
  INDEX(data!C:C, MATCH(B1514, data!D:D, 0)),
  "INC"
)</f>
        <v>2025-09-02T09:28:10.121+08</v>
      </c>
      <c r="K1514" s="9" t="str">
        <f t="array" ref="K1514">IFERROR(INDEX(dataICM!C:C,match(Caseslist!B1514,dataICM!D:D,0)), "INC")</f>
        <v>2025-09-02T09:34:22.711+08</v>
      </c>
      <c r="L1514" s="10" t="str">
        <f t="array" ref="L1514">IF(AND(G1514="COMPLETE", OR(K1514="INC", ISBLANK(INDEX(data!O:O, ROW())))), J1514, K1514)</f>
        <v>2025-09-02T09:34:22.711+08</v>
      </c>
      <c r="M1514" s="2">
        <v>45902.0</v>
      </c>
      <c r="N1514" s="2">
        <f t="array" ref="N1514">IF(M1514&lt;&gt;"INC", INDEX(data!M:M, MATCH(B1514, data!D:D, 0)), "")</f>
        <v>2</v>
      </c>
      <c r="O1514" s="2">
        <f t="shared" si="3"/>
        <v>2</v>
      </c>
    </row>
    <row r="1515">
      <c r="A1515" s="2" t="str">
        <f t="shared" si="1"/>
        <v>H030535</v>
      </c>
      <c r="B1515" s="1" t="s">
        <v>2595</v>
      </c>
      <c r="C1515" s="9" t="str">
        <f t="array" ref="C1515">IF(
  AND(
    IFERROR(MATCH(Caseslist!B1515, data!D:D, 0), 0) &gt; 0,
    IFERROR(INDEX(data!N:N, MATCH(Caseslist!B1515, data!D:D, 0)) = 1, FALSE)
  ),
  "COMPLETE",
  "INC"
)</f>
        <v>COMPLETE</v>
      </c>
      <c r="D1515" s="9" t="str">
        <f t="array" ref="D1515">IFERROR(INDEX(data!$G:$G,match(Caseslist!B1515,data!$D:$D,0)), "INC")</f>
        <v>C7502931</v>
      </c>
      <c r="E1515" s="9" t="str">
        <f t="array" ref="E1515">IFERROR(INDEX(data!H:H,match(Caseslist!B1515,data!D:D,0)), "INC")</f>
        <v>Jenny Lou Toles Estacio</v>
      </c>
      <c r="F1515" s="10" t="str">
        <f t="array" ref="F1515">IF(
    OR(
      IFNA(INDEX(data!M:M, MATCH(Caseslist!B1515, data!D:D, 0)), "") = "",
      IFNA(INDEX(data!M:M, MATCH(Caseslist!B1515, data!D:D, 0)), 0) = 0
    ),
    "COMPLETE",
    IF(
      IFNA(INDEX(dataICM!D:D, MATCH(Caseslist!B1515, dataICM!D:D, 0)), "INC") = "INC",
      IFNA(INDEX(dataICM!D:D, MATCH(Caseslist!B1515, dataICM!D:D, 0)), "INC"),
      "COMPLETE"
    )
  )</f>
        <v>COMPLETE</v>
      </c>
      <c r="G1515" s="10" t="str">
        <f t="array" ref="G1515">IF(IFERROR(INDEX(data!L:L,match(Caseslist!B1515,data!D:D,0)),"INC")="","COMPLETE",F1515)</f>
        <v>COMPLETE</v>
      </c>
      <c r="H1515" s="9" t="str">
        <f t="array" ref="H1515">IFERROR(INDEX(dataICM!F:F,match(Caseslist!B1515,dataICM!D:D,0)), "INC")</f>
        <v>Jenny Lou Toles Estacio</v>
      </c>
      <c r="I1515" s="10" t="str">
        <f t="shared" si="2"/>
        <v>C7502931</v>
      </c>
      <c r="J1515" s="9" t="str">
        <f t="array" ref="J1515">IF(
  AND(
    IFERROR(MATCH(B1515, data!D:D, 0), 0) &gt; 0,
    IFERROR(INDEX(data!N:N, MATCH(B1515, data!D:D, 0)) = 1, FALSE)
  ),
  INDEX(data!C:C, MATCH(B1515, data!D:D, 0)),
  "INC"
)</f>
        <v>2025-09-02T10:38:27.905+08</v>
      </c>
      <c r="K1515" s="9" t="str">
        <f t="array" ref="K1515">IFERROR(INDEX(dataICM!C:C,match(Caseslist!B1515,dataICM!D:D,0)), "INC")</f>
        <v>2025-09-02T14:09:55.054+08</v>
      </c>
      <c r="L1515" s="10" t="str">
        <f t="array" ref="L1515">IF(AND(G1515="COMPLETE", OR(K1515="INC", ISBLANK(INDEX(data!O:O, ROW())))), J1515, K1515)</f>
        <v>2025-09-02T14:09:55.054+08</v>
      </c>
      <c r="M1515" s="2">
        <v>45902.0</v>
      </c>
      <c r="N1515" s="2">
        <f t="array" ref="N1515">IF(M1515&lt;&gt;"INC", INDEX(data!M:M, MATCH(B1515, data!D:D, 0)), "")</f>
        <v>2</v>
      </c>
      <c r="O1515" s="2">
        <f t="shared" si="3"/>
        <v>2</v>
      </c>
    </row>
    <row r="1516">
      <c r="A1516" s="2" t="str">
        <f t="shared" si="1"/>
        <v>H030535</v>
      </c>
      <c r="B1516" s="1" t="s">
        <v>2735</v>
      </c>
      <c r="C1516" s="9" t="str">
        <f t="array" ref="C1516">IF(
  AND(
    IFERROR(MATCH(Caseslist!B1516, data!D:D, 0), 0) &gt; 0,
    IFERROR(INDEX(data!N:N, MATCH(Caseslist!B1516, data!D:D, 0)) = 1, FALSE)
  ),
  "COMPLETE",
  "INC"
)</f>
        <v>COMPLETE</v>
      </c>
      <c r="D1516" s="9">
        <f t="array" ref="D1516">IFERROR(INDEX(data!$G:$G,match(Caseslist!B1516,data!$D:$D,0)), "INC")</f>
        <v>896791</v>
      </c>
      <c r="E1516" s="9" t="str">
        <f t="array" ref="E1516">IFERROR(INDEX(data!H:H,match(Caseslist!B1516,data!D:D,0)), "INC")</f>
        <v>Roland A. Bandiola jr_2</v>
      </c>
      <c r="F1516" s="10" t="str">
        <f t="array" ref="F1516">IF(
    OR(
      IFNA(INDEX(data!M:M, MATCH(Caseslist!B1516, data!D:D, 0)), "") = "",
      IFNA(INDEX(data!M:M, MATCH(Caseslist!B1516, data!D:D, 0)), 0) = 0
    ),
    "COMPLETE",
    IF(
      IFNA(INDEX(dataICM!D:D, MATCH(Caseslist!B1516, dataICM!D:D, 0)), "INC") = "INC",
      IFNA(INDEX(dataICM!D:D, MATCH(Caseslist!B1516, dataICM!D:D, 0)), "INC"),
      "COMPLETE"
    )
  )</f>
        <v>COMPLETE</v>
      </c>
      <c r="G1516" s="10" t="str">
        <f t="array" ref="G1516">IF(IFERROR(INDEX(data!L:L,match(Caseslist!B1516,data!D:D,0)),"INC")="","COMPLETE",F1516)</f>
        <v>COMPLETE</v>
      </c>
      <c r="H1516" s="9" t="str">
        <f t="array" ref="H1516">IFERROR(INDEX(dataICM!F:F,match(Caseslist!B1516,dataICM!D:D,0)), "INC")</f>
        <v>Roland A. Bandiola jr_2</v>
      </c>
      <c r="I1516" s="10">
        <f t="shared" si="2"/>
        <v>896791</v>
      </c>
      <c r="J1516" s="9" t="str">
        <f t="array" ref="J1516">IF(
  AND(
    IFERROR(MATCH(B1516, data!D:D, 0), 0) &gt; 0,
    IFERROR(INDEX(data!N:N, MATCH(B1516, data!D:D, 0)) = 1, FALSE)
  ),
  INDEX(data!C:C, MATCH(B1516, data!D:D, 0)),
  "INC"
)</f>
        <v>2025-09-02T12:18:07.278+08</v>
      </c>
      <c r="K1516" s="9" t="str">
        <f t="array" ref="K1516">IFERROR(INDEX(dataICM!C:C,match(Caseslist!B1516,dataICM!D:D,0)), "INC")</f>
        <v>2025-09-02T12:22:00.042+08</v>
      </c>
      <c r="L1516" s="10" t="str">
        <f t="array" ref="L1516">IF(AND(G1516="COMPLETE", OR(K1516="INC", ISBLANK(INDEX(data!O:O, ROW())))), J1516, K1516)</f>
        <v>2025-09-02T12:22:00.042+08</v>
      </c>
      <c r="M1516" s="2">
        <v>45902.0</v>
      </c>
      <c r="N1516" s="2">
        <f t="array" ref="N1516">IF(M1516&lt;&gt;"INC", INDEX(data!M:M, MATCH(B1516, data!D:D, 0)), "")</f>
        <v>2</v>
      </c>
      <c r="O1516" s="2">
        <f t="shared" si="3"/>
        <v>2</v>
      </c>
    </row>
    <row r="1517">
      <c r="A1517" s="2" t="str">
        <f t="shared" si="1"/>
        <v>H030535</v>
      </c>
      <c r="B1517" s="1" t="s">
        <v>8938</v>
      </c>
      <c r="C1517" s="9" t="str">
        <f t="array" ref="C1517">IF(
  AND(
    IFERROR(MATCH(Caseslist!B1517, data!D:D, 0), 0) &gt; 0,
    IFERROR(INDEX(data!N:N, MATCH(Caseslist!B1517, data!D:D, 0)) = 1, FALSE)
  ),
  "COMPLETE",
  "INC"
)</f>
        <v>INC</v>
      </c>
      <c r="D1517" s="9" t="str">
        <f t="array" ref="D1517">IFERROR(INDEX(data!$G:$G,match(Caseslist!B1517,data!$D:$D,0)), "INC")</f>
        <v>INC</v>
      </c>
      <c r="E1517" s="9" t="str">
        <f t="array" ref="E1517">IFERROR(INDEX(data!H:H,match(Caseslist!B1517,data!D:D,0)), "INC")</f>
        <v>INC</v>
      </c>
      <c r="F1517" s="10" t="str">
        <f t="array" ref="F1517">IF(
    OR(
      IFNA(INDEX(data!M:M, MATCH(Caseslist!B1517, data!D:D, 0)), "") = "",
      IFNA(INDEX(data!M:M, MATCH(Caseslist!B1517, data!D:D, 0)), 0) = 0
    ),
    "COMPLETE",
    IF(
      IFNA(INDEX(dataICM!D:D, MATCH(Caseslist!B1517, dataICM!D:D, 0)), "INC") = "INC",
      IFNA(INDEX(dataICM!D:D, MATCH(Caseslist!B1517, dataICM!D:D, 0)), "INC"),
      "COMPLETE"
    )
  )</f>
        <v>COMPLETE</v>
      </c>
      <c r="G1517" s="10" t="str">
        <f t="array" ref="G1517">IF(IFERROR(INDEX(data!L:L,match(Caseslist!B1517,data!D:D,0)),"INC")="","COMPLETE",F1517)</f>
        <v>COMPLETE</v>
      </c>
      <c r="H1517" s="9" t="str">
        <f t="array" ref="H1517">IFERROR(INDEX(dataICM!F:F,match(Caseslist!B1517,dataICM!D:D,0)), "INC")</f>
        <v>INC</v>
      </c>
      <c r="I1517" s="10" t="str">
        <f t="shared" si="2"/>
        <v>INC</v>
      </c>
      <c r="J1517" s="9" t="str">
        <f t="array" ref="J1517">IF(
  AND(
    IFERROR(MATCH(B1517, data!D:D, 0), 0) &gt; 0,
    IFERROR(INDEX(data!N:N, MATCH(B1517, data!D:D, 0)) = 1, FALSE)
  ),
  INDEX(data!C:C, MATCH(B1517, data!D:D, 0)),
  "INC"
)</f>
        <v>INC</v>
      </c>
      <c r="K1517" s="9" t="str">
        <f t="array" ref="K1517">IFERROR(INDEX(dataICM!C:C,match(Caseslist!B1517,dataICM!D:D,0)), "INC")</f>
        <v>INC</v>
      </c>
      <c r="L1517" s="10" t="str">
        <f t="array" ref="L1517">IF(AND(G1517="COMPLETE", OR(K1517="INC", ISBLANK(INDEX(data!O:O, ROW())))), J1517, K1517)</f>
        <v>INC</v>
      </c>
      <c r="M1517" s="2" t="s">
        <v>8886</v>
      </c>
      <c r="N1517" s="2" t="str">
        <f t="array" ref="N1517">IF(M1517&lt;&gt;"INC", INDEX(data!M:M, MATCH(B1517, data!D:D, 0)), "")</f>
        <v/>
      </c>
      <c r="O1517" s="2" t="str">
        <f t="shared" si="3"/>
        <v/>
      </c>
    </row>
    <row r="1518">
      <c r="A1518" s="2" t="str">
        <f t="shared" si="1"/>
        <v>H030535</v>
      </c>
      <c r="B1518" s="1" t="s">
        <v>2740</v>
      </c>
      <c r="C1518" s="9" t="str">
        <f t="array" ref="C1518">IF(
  AND(
    IFERROR(MATCH(Caseslist!B1518, data!D:D, 0), 0) &gt; 0,
    IFERROR(INDEX(data!N:N, MATCH(Caseslist!B1518, data!D:D, 0)) = 1, FALSE)
  ),
  "COMPLETE",
  "INC"
)</f>
        <v>COMPLETE</v>
      </c>
      <c r="D1518" s="9">
        <f t="array" ref="D1518">IFERROR(INDEX(data!$G:$G,match(Caseslist!B1518,data!$D:$D,0)), "INC")</f>
        <v>896791</v>
      </c>
      <c r="E1518" s="9" t="str">
        <f t="array" ref="E1518">IFERROR(INDEX(data!H:H,match(Caseslist!B1518,data!D:D,0)), "INC")</f>
        <v>Roland A. Bandiola jr_2</v>
      </c>
      <c r="F1518" s="10" t="str">
        <f t="array" ref="F1518">IF(
    OR(
      IFNA(INDEX(data!M:M, MATCH(Caseslist!B1518, data!D:D, 0)), "") = "",
      IFNA(INDEX(data!M:M, MATCH(Caseslist!B1518, data!D:D, 0)), 0) = 0
    ),
    "COMPLETE",
    IF(
      IFNA(INDEX(dataICM!D:D, MATCH(Caseslist!B1518, dataICM!D:D, 0)), "INC") = "INC",
      IFNA(INDEX(dataICM!D:D, MATCH(Caseslist!B1518, dataICM!D:D, 0)), "INC"),
      "COMPLETE"
    )
  )</f>
        <v>INC</v>
      </c>
      <c r="G1518" s="10" t="str">
        <f t="array" ref="G1518">IF(IFERROR(INDEX(data!L:L,match(Caseslist!B1518,data!D:D,0)),"INC")="","COMPLETE",F1518)</f>
        <v>INC</v>
      </c>
      <c r="H1518" s="9" t="str">
        <f t="array" ref="H1518">IFERROR(INDEX(dataICM!F:F,match(Caseslist!B1518,dataICM!D:D,0)), "INC")</f>
        <v>INC</v>
      </c>
      <c r="I1518" s="10" t="str">
        <f t="shared" si="2"/>
        <v>INC</v>
      </c>
      <c r="J1518" s="9" t="str">
        <f t="array" ref="J1518">IF(
  AND(
    IFERROR(MATCH(B1518, data!D:D, 0), 0) &gt; 0,
    IFERROR(INDEX(data!N:N, MATCH(B1518, data!D:D, 0)) = 1, FALSE)
  ),
  INDEX(data!C:C, MATCH(B1518, data!D:D, 0)),
  "INC"
)</f>
        <v>2025-09-30T17:56:40.408+08</v>
      </c>
      <c r="K1518" s="9" t="str">
        <f t="array" ref="K1518">IFERROR(INDEX(dataICM!C:C,match(Caseslist!B1518,dataICM!D:D,0)), "INC")</f>
        <v>INC</v>
      </c>
      <c r="L1518" s="10" t="str">
        <f t="array" ref="L1518">IF(AND(G1518="COMPLETE", OR(K1518="INC", ISBLANK(INDEX(data!O:O, ROW())))), J1518, K1518)</f>
        <v>INC</v>
      </c>
      <c r="M1518" s="2" t="s">
        <v>8886</v>
      </c>
      <c r="N1518" s="2" t="str">
        <f t="array" ref="N1518">IF(M1518&lt;&gt;"INC", INDEX(data!M:M, MATCH(B1518, data!D:D, 0)), "")</f>
        <v/>
      </c>
      <c r="O1518" s="2" t="str">
        <f t="shared" si="3"/>
        <v/>
      </c>
    </row>
    <row r="1519">
      <c r="A1519" s="2" t="str">
        <f t="shared" si="1"/>
        <v>H030535</v>
      </c>
      <c r="B1519" s="1" t="s">
        <v>2239</v>
      </c>
      <c r="C1519" s="9" t="str">
        <f t="array" ref="C1519">IF(
  AND(
    IFERROR(MATCH(Caseslist!B1519, data!D:D, 0), 0) &gt; 0,
    IFERROR(INDEX(data!N:N, MATCH(Caseslist!B1519, data!D:D, 0)) = 1, FALSE)
  ),
  "COMPLETE",
  "INC"
)</f>
        <v>COMPLETE</v>
      </c>
      <c r="D1519" s="9" t="str">
        <f t="array" ref="D1519">IFERROR(INDEX(data!$G:$G,match(Caseslist!B1519,data!$D:$D,0)), "INC")</f>
        <v>C7502931</v>
      </c>
      <c r="E1519" s="9" t="str">
        <f t="array" ref="E1519">IFERROR(INDEX(data!H:H,match(Caseslist!B1519,data!D:D,0)), "INC")</f>
        <v>Jenny Lou Toles Estacio</v>
      </c>
      <c r="F1519" s="10" t="str">
        <f t="array" ref="F1519">IF(
    OR(
      IFNA(INDEX(data!M:M, MATCH(Caseslist!B1519, data!D:D, 0)), "") = "",
      IFNA(INDEX(data!M:M, MATCH(Caseslist!B1519, data!D:D, 0)), 0) = 0
    ),
    "COMPLETE",
    IF(
      IFNA(INDEX(dataICM!D:D, MATCH(Caseslist!B1519, dataICM!D:D, 0)), "INC") = "INC",
      IFNA(INDEX(dataICM!D:D, MATCH(Caseslist!B1519, dataICM!D:D, 0)), "INC"),
      "COMPLETE"
    )
  )</f>
        <v>COMPLETE</v>
      </c>
      <c r="G1519" s="10" t="str">
        <f t="array" ref="G1519">IF(IFERROR(INDEX(data!L:L,match(Caseslist!B1519,data!D:D,0)),"INC")="","COMPLETE",F1519)</f>
        <v>COMPLETE</v>
      </c>
      <c r="H1519" s="9" t="str">
        <f t="array" ref="H1519">IFERROR(INDEX(dataICM!F:F,match(Caseslist!B1519,dataICM!D:D,0)), "INC")</f>
        <v>Jenny Lou Toles Estacio</v>
      </c>
      <c r="I1519" s="10" t="str">
        <f t="shared" si="2"/>
        <v>C7502931</v>
      </c>
      <c r="J1519" s="9" t="str">
        <f t="array" ref="J1519">IF(
  AND(
    IFERROR(MATCH(B1519, data!D:D, 0), 0) &gt; 0,
    IFERROR(INDEX(data!N:N, MATCH(B1519, data!D:D, 0)) = 1, FALSE)
  ),
  INDEX(data!C:C, MATCH(B1519, data!D:D, 0)),
  "INC"
)</f>
        <v>2025-09-02T11:50:26.527+08</v>
      </c>
      <c r="K1519" s="9" t="str">
        <f t="array" ref="K1519">IFERROR(INDEX(dataICM!C:C,match(Caseslist!B1519,dataICM!D:D,0)), "INC")</f>
        <v>2025-09-02T18:14:46.903+08</v>
      </c>
      <c r="L1519" s="10" t="str">
        <f t="array" ref="L1519">IF(AND(G1519="COMPLETE", OR(K1519="INC", ISBLANK(INDEX(data!O:O, ROW())))), J1519, K1519)</f>
        <v>2025-09-02T18:14:46.903+08</v>
      </c>
      <c r="M1519" s="2">
        <v>45902.0</v>
      </c>
      <c r="N1519" s="2">
        <f t="array" ref="N1519">IF(M1519&lt;&gt;"INC", INDEX(data!M:M, MATCH(B1519, data!D:D, 0)), "")</f>
        <v>2</v>
      </c>
      <c r="O1519" s="2">
        <f t="shared" si="3"/>
        <v>2</v>
      </c>
    </row>
    <row r="1520">
      <c r="A1520" s="2" t="str">
        <f t="shared" si="1"/>
        <v>H030535</v>
      </c>
      <c r="B1520" s="1" t="s">
        <v>2123</v>
      </c>
      <c r="C1520" s="9" t="str">
        <f t="array" ref="C1520">IF(
  AND(
    IFERROR(MATCH(Caseslist!B1520, data!D:D, 0), 0) &gt; 0,
    IFERROR(INDEX(data!N:N, MATCH(Caseslist!B1520, data!D:D, 0)) = 1, FALSE)
  ),
  "COMPLETE",
  "INC"
)</f>
        <v>COMPLETE</v>
      </c>
      <c r="D1520" s="9">
        <f t="array" ref="D1520">IFERROR(INDEX(data!$G:$G,match(Caseslist!B1520,data!$D:$D,0)), "INC")</f>
        <v>896791</v>
      </c>
      <c r="E1520" s="9" t="str">
        <f t="array" ref="E1520">IFERROR(INDEX(data!H:H,match(Caseslist!B1520,data!D:D,0)), "INC")</f>
        <v>Roland A. Bandiola jr_2</v>
      </c>
      <c r="F1520" s="10" t="str">
        <f t="array" ref="F1520">IF(
    OR(
      IFNA(INDEX(data!M:M, MATCH(Caseslist!B1520, data!D:D, 0)), "") = "",
      IFNA(INDEX(data!M:M, MATCH(Caseslist!B1520, data!D:D, 0)), 0) = 0
    ),
    "COMPLETE",
    IF(
      IFNA(INDEX(dataICM!D:D, MATCH(Caseslist!B1520, dataICM!D:D, 0)), "INC") = "INC",
      IFNA(INDEX(dataICM!D:D, MATCH(Caseslist!B1520, dataICM!D:D, 0)), "INC"),
      "COMPLETE"
    )
  )</f>
        <v>COMPLETE</v>
      </c>
      <c r="G1520" s="10" t="str">
        <f t="array" ref="G1520">IF(IFERROR(INDEX(data!L:L,match(Caseslist!B1520,data!D:D,0)),"INC")="","COMPLETE",F1520)</f>
        <v>COMPLETE</v>
      </c>
      <c r="H1520" s="9" t="str">
        <f t="array" ref="H1520">IFERROR(INDEX(dataICM!F:F,match(Caseslist!B1520,dataICM!D:D,0)), "INC")</f>
        <v>Roland A. Bandiola jr_2</v>
      </c>
      <c r="I1520" s="10">
        <f t="shared" si="2"/>
        <v>896791</v>
      </c>
      <c r="J1520" s="9" t="str">
        <f t="array" ref="J1520">IF(
  AND(
    IFERROR(MATCH(B1520, data!D:D, 0), 0) &gt; 0,
    IFERROR(INDEX(data!N:N, MATCH(B1520, data!D:D, 0)) = 1, FALSE)
  ),
  INDEX(data!C:C, MATCH(B1520, data!D:D, 0)),
  "INC"
)</f>
        <v>2025-09-02T10:46:37.358+08</v>
      </c>
      <c r="K1520" s="9" t="str">
        <f t="array" ref="K1520">IFERROR(INDEX(dataICM!C:C,match(Caseslist!B1520,dataICM!D:D,0)), "INC")</f>
        <v>2025-09-02T10:53:00.747+08</v>
      </c>
      <c r="L1520" s="10" t="str">
        <f t="array" ref="L1520">IF(AND(G1520="COMPLETE", OR(K1520="INC", ISBLANK(INDEX(data!O:O, ROW())))), J1520, K1520)</f>
        <v>2025-09-02T10:53:00.747+08</v>
      </c>
      <c r="M1520" s="2">
        <v>45902.0</v>
      </c>
      <c r="N1520" s="2">
        <f t="array" ref="N1520">IF(M1520&lt;&gt;"INC", INDEX(data!M:M, MATCH(B1520, data!D:D, 0)), "")</f>
        <v>2</v>
      </c>
      <c r="O1520" s="2">
        <f t="shared" si="3"/>
        <v>2</v>
      </c>
    </row>
    <row r="1521">
      <c r="A1521" s="2" t="str">
        <f t="shared" si="1"/>
        <v>H030546</v>
      </c>
      <c r="B1521" s="1" t="s">
        <v>3132</v>
      </c>
      <c r="C1521" s="9" t="str">
        <f t="array" ref="C1521">IF(
  AND(
    IFERROR(MATCH(Caseslist!B1521, data!D:D, 0), 0) &gt; 0,
    IFERROR(INDEX(data!N:N, MATCH(Caseslist!B1521, data!D:D, 0)) = 1, FALSE)
  ),
  "COMPLETE",
  "INC"
)</f>
        <v>COMPLETE</v>
      </c>
      <c r="D1521" s="9" t="str">
        <f t="array" ref="D1521">IFERROR(INDEX(data!$G:$G,match(Caseslist!B1521,data!$D:$D,0)), "INC")</f>
        <v>P1068432</v>
      </c>
      <c r="E1521" s="9" t="str">
        <f t="array" ref="E1521">IFERROR(INDEX(data!H:H,match(Caseslist!B1521,data!D:D,0)), "INC")</f>
        <v>Mark Daniel Balagao Benson</v>
      </c>
      <c r="F1521" s="10" t="str">
        <f t="array" ref="F1521">IF(
    OR(
      IFNA(INDEX(data!M:M, MATCH(Caseslist!B1521, data!D:D, 0)), "") = "",
      IFNA(INDEX(data!M:M, MATCH(Caseslist!B1521, data!D:D, 0)), 0) = 0
    ),
    "COMPLETE",
    IF(
      IFNA(INDEX(dataICM!D:D, MATCH(Caseslist!B1521, dataICM!D:D, 0)), "INC") = "INC",
      IFNA(INDEX(dataICM!D:D, MATCH(Caseslist!B1521, dataICM!D:D, 0)), "INC"),
      "COMPLETE"
    )
  )</f>
        <v>COMPLETE</v>
      </c>
      <c r="G1521" s="10" t="str">
        <f t="array" ref="G1521">IF(IFERROR(INDEX(data!L:L,match(Caseslist!B1521,data!D:D,0)),"INC")="","COMPLETE",F1521)</f>
        <v>COMPLETE</v>
      </c>
      <c r="H1521" s="9" t="str">
        <f t="array" ref="H1521">IFERROR(INDEX(dataICM!F:F,match(Caseslist!B1521,dataICM!D:D,0)), "INC")</f>
        <v>INC</v>
      </c>
      <c r="I1521" s="10" t="str">
        <f t="shared" si="2"/>
        <v>P1068432</v>
      </c>
      <c r="J1521" s="9" t="str">
        <f t="array" ref="J1521">IF(
  AND(
    IFERROR(MATCH(B1521, data!D:D, 0), 0) &gt; 0,
    IFERROR(INDEX(data!N:N, MATCH(B1521, data!D:D, 0)) = 1, FALSE)
  ),
  INDEX(data!C:C, MATCH(B1521, data!D:D, 0)),
  "INC"
)</f>
        <v>2025-09-03T14:44:01.304+08</v>
      </c>
      <c r="K1521" s="9" t="str">
        <f t="array" ref="K1521">IFERROR(INDEX(dataICM!C:C,match(Caseslist!B1521,dataICM!D:D,0)), "INC")</f>
        <v>INC</v>
      </c>
      <c r="L1521" s="10" t="str">
        <f t="array" ref="L1521">IF(AND(G1521="COMPLETE", OR(K1521="INC", ISBLANK(INDEX(data!O:O, ROW())))), J1521, K1521)</f>
        <v>2025-09-03T14:44:01.304+08</v>
      </c>
      <c r="M1521" s="2">
        <v>45903.0</v>
      </c>
      <c r="N1521" s="2">
        <f t="array" ref="N1521">IF(M1521&lt;&gt;"INC", INDEX(data!M:M, MATCH(B1521, data!D:D, 0)), "")</f>
        <v>0</v>
      </c>
      <c r="O1521" s="2">
        <f t="shared" si="3"/>
        <v>0</v>
      </c>
    </row>
    <row r="1522">
      <c r="A1522" s="2" t="str">
        <f t="shared" si="1"/>
        <v>H030546</v>
      </c>
      <c r="B1522" s="1" t="s">
        <v>2946</v>
      </c>
      <c r="C1522" s="9" t="str">
        <f t="array" ref="C1522">IF(
  AND(
    IFERROR(MATCH(Caseslist!B1522, data!D:D, 0), 0) &gt; 0,
    IFERROR(INDEX(data!N:N, MATCH(Caseslist!B1522, data!D:D, 0)) = 1, FALSE)
  ),
  "COMPLETE",
  "INC"
)</f>
        <v>COMPLETE</v>
      </c>
      <c r="D1522" s="9" t="str">
        <f t="array" ref="D1522">IFERROR(INDEX(data!$G:$G,match(Caseslist!B1522,data!$D:$D,0)), "INC")</f>
        <v>N7814260</v>
      </c>
      <c r="E1522" s="9" t="str">
        <f t="array" ref="E1522">IFERROR(INDEX(data!H:H,match(Caseslist!B1522,data!D:D,0)), "INC")</f>
        <v>Jemma Marie Tillo</v>
      </c>
      <c r="F1522" s="10" t="str">
        <f t="array" ref="F1522">IF(
    OR(
      IFNA(INDEX(data!M:M, MATCH(Caseslist!B1522, data!D:D, 0)), "") = "",
      IFNA(INDEX(data!M:M, MATCH(Caseslist!B1522, data!D:D, 0)), 0) = 0
    ),
    "COMPLETE",
    IF(
      IFNA(INDEX(dataICM!D:D, MATCH(Caseslist!B1522, dataICM!D:D, 0)), "INC") = "INC",
      IFNA(INDEX(dataICM!D:D, MATCH(Caseslist!B1522, dataICM!D:D, 0)), "INC"),
      "COMPLETE"
    )
  )</f>
        <v>COMPLETE</v>
      </c>
      <c r="G1522" s="10" t="str">
        <f t="array" ref="G1522">IF(IFERROR(INDEX(data!L:L,match(Caseslist!B1522,data!D:D,0)),"INC")="","COMPLETE",F1522)</f>
        <v>COMPLETE</v>
      </c>
      <c r="H1522" s="9" t="str">
        <f t="array" ref="H1522">IFERROR(INDEX(dataICM!F:F,match(Caseslist!B1522,dataICM!D:D,0)), "INC")</f>
        <v>INC</v>
      </c>
      <c r="I1522" s="10" t="str">
        <f t="shared" si="2"/>
        <v>N7814260</v>
      </c>
      <c r="J1522" s="9" t="str">
        <f t="array" ref="J1522">IF(
  AND(
    IFERROR(MATCH(B1522, data!D:D, 0), 0) &gt; 0,
    IFERROR(INDEX(data!N:N, MATCH(B1522, data!D:D, 0)) = 1, FALSE)
  ),
  INDEX(data!C:C, MATCH(B1522, data!D:D, 0)),
  "INC"
)</f>
        <v>2025-09-03T09:24:55.897+08</v>
      </c>
      <c r="K1522" s="9" t="str">
        <f t="array" ref="K1522">IFERROR(INDEX(dataICM!C:C,match(Caseslist!B1522,dataICM!D:D,0)), "INC")</f>
        <v>INC</v>
      </c>
      <c r="L1522" s="10" t="str">
        <f t="array" ref="L1522">IF(AND(G1522="COMPLETE", OR(K1522="INC", ISBLANK(INDEX(data!O:O, ROW())))), J1522, K1522)</f>
        <v>2025-09-03T09:24:55.897+08</v>
      </c>
      <c r="M1522" s="2">
        <v>45903.0</v>
      </c>
      <c r="N1522" s="2">
        <f t="array" ref="N1522">IF(M1522&lt;&gt;"INC", INDEX(data!M:M, MATCH(B1522, data!D:D, 0)), "")</f>
        <v>0</v>
      </c>
      <c r="O1522" s="2">
        <f t="shared" si="3"/>
        <v>0</v>
      </c>
    </row>
    <row r="1523">
      <c r="A1523" s="2" t="str">
        <f t="shared" si="1"/>
        <v>H030546</v>
      </c>
      <c r="B1523" s="1" t="s">
        <v>2941</v>
      </c>
      <c r="C1523" s="9" t="str">
        <f t="array" ref="C1523">IF(
  AND(
    IFERROR(MATCH(Caseslist!B1523, data!D:D, 0), 0) &gt; 0,
    IFERROR(INDEX(data!N:N, MATCH(Caseslist!B1523, data!D:D, 0)) = 1, FALSE)
  ),
  "COMPLETE",
  "INC"
)</f>
        <v>COMPLETE</v>
      </c>
      <c r="D1523" s="9" t="str">
        <f t="array" ref="D1523">IFERROR(INDEX(data!$G:$G,match(Caseslist!B1523,data!$D:$D,0)), "INC")</f>
        <v>N7814260</v>
      </c>
      <c r="E1523" s="9" t="str">
        <f t="array" ref="E1523">IFERROR(INDEX(data!H:H,match(Caseslist!B1523,data!D:D,0)), "INC")</f>
        <v>Jemma Marie Tillo</v>
      </c>
      <c r="F1523" s="10" t="str">
        <f t="array" ref="F1523">IF(
    OR(
      IFNA(INDEX(data!M:M, MATCH(Caseslist!B1523, data!D:D, 0)), "") = "",
      IFNA(INDEX(data!M:M, MATCH(Caseslist!B1523, data!D:D, 0)), 0) = 0
    ),
    "COMPLETE",
    IF(
      IFNA(INDEX(dataICM!D:D, MATCH(Caseslist!B1523, dataICM!D:D, 0)), "INC") = "INC",
      IFNA(INDEX(dataICM!D:D, MATCH(Caseslist!B1523, dataICM!D:D, 0)), "INC"),
      "COMPLETE"
    )
  )</f>
        <v>COMPLETE</v>
      </c>
      <c r="G1523" s="10" t="str">
        <f t="array" ref="G1523">IF(IFERROR(INDEX(data!L:L,match(Caseslist!B1523,data!D:D,0)),"INC")="","COMPLETE",F1523)</f>
        <v>COMPLETE</v>
      </c>
      <c r="H1523" s="9" t="str">
        <f t="array" ref="H1523">IFERROR(INDEX(dataICM!F:F,match(Caseslist!B1523,dataICM!D:D,0)), "INC")</f>
        <v>INC</v>
      </c>
      <c r="I1523" s="10" t="str">
        <f t="shared" si="2"/>
        <v>N7814260</v>
      </c>
      <c r="J1523" s="9" t="str">
        <f t="array" ref="J1523">IF(
  AND(
    IFERROR(MATCH(B1523, data!D:D, 0), 0) &gt; 0,
    IFERROR(INDEX(data!N:N, MATCH(B1523, data!D:D, 0)) = 1, FALSE)
  ),
  INDEX(data!C:C, MATCH(B1523, data!D:D, 0)),
  "INC"
)</f>
        <v>2025-09-30T11:57:11.799+08</v>
      </c>
      <c r="K1523" s="9" t="str">
        <f t="array" ref="K1523">IFERROR(INDEX(dataICM!C:C,match(Caseslist!B1523,dataICM!D:D,0)), "INC")</f>
        <v>INC</v>
      </c>
      <c r="L1523" s="10" t="str">
        <f t="array" ref="L1523">IF(AND(G1523="COMPLETE", OR(K1523="INC", ISBLANK(INDEX(data!O:O, ROW())))), J1523, K1523)</f>
        <v>2025-09-30T11:57:11.799+08</v>
      </c>
      <c r="M1523" s="2">
        <v>45930.0</v>
      </c>
      <c r="N1523" s="2">
        <f t="array" ref="N1523">IF(M1523&lt;&gt;"INC", INDEX(data!M:M, MATCH(B1523, data!D:D, 0)), "")</f>
        <v>0</v>
      </c>
      <c r="O1523" s="2">
        <f t="shared" si="3"/>
        <v>0</v>
      </c>
    </row>
    <row r="1524">
      <c r="A1524" s="2" t="str">
        <f t="shared" si="1"/>
        <v>H030546</v>
      </c>
      <c r="B1524" s="1" t="s">
        <v>2956</v>
      </c>
      <c r="C1524" s="9" t="str">
        <f t="array" ref="C1524">IF(
  AND(
    IFERROR(MATCH(Caseslist!B1524, data!D:D, 0), 0) &gt; 0,
    IFERROR(INDEX(data!N:N, MATCH(Caseslist!B1524, data!D:D, 0)) = 1, FALSE)
  ),
  "COMPLETE",
  "INC"
)</f>
        <v>COMPLETE</v>
      </c>
      <c r="D1524" s="9" t="str">
        <f t="array" ref="D1524">IFERROR(INDEX(data!$G:$G,match(Caseslist!B1524,data!$D:$D,0)), "INC")</f>
        <v>N7814260</v>
      </c>
      <c r="E1524" s="9" t="str">
        <f t="array" ref="E1524">IFERROR(INDEX(data!H:H,match(Caseslist!B1524,data!D:D,0)), "INC")</f>
        <v>Jemma Marie Tillo</v>
      </c>
      <c r="F1524" s="10" t="str">
        <f t="array" ref="F1524">IF(
    OR(
      IFNA(INDEX(data!M:M, MATCH(Caseslist!B1524, data!D:D, 0)), "") = "",
      IFNA(INDEX(data!M:M, MATCH(Caseslist!B1524, data!D:D, 0)), 0) = 0
    ),
    "COMPLETE",
    IF(
      IFNA(INDEX(dataICM!D:D, MATCH(Caseslist!B1524, dataICM!D:D, 0)), "INC") = "INC",
      IFNA(INDEX(dataICM!D:D, MATCH(Caseslist!B1524, dataICM!D:D, 0)), "INC"),
      "COMPLETE"
    )
  )</f>
        <v>COMPLETE</v>
      </c>
      <c r="G1524" s="10" t="str">
        <f t="array" ref="G1524">IF(IFERROR(INDEX(data!L:L,match(Caseslist!B1524,data!D:D,0)),"INC")="","COMPLETE",F1524)</f>
        <v>COMPLETE</v>
      </c>
      <c r="H1524" s="9" t="str">
        <f t="array" ref="H1524">IFERROR(INDEX(dataICM!F:F,match(Caseslist!B1524,dataICM!D:D,0)), "INC")</f>
        <v>INC</v>
      </c>
      <c r="I1524" s="10" t="str">
        <f t="shared" si="2"/>
        <v>N7814260</v>
      </c>
      <c r="J1524" s="9" t="str">
        <f t="array" ref="J1524">IF(
  AND(
    IFERROR(MATCH(B1524, data!D:D, 0), 0) &gt; 0,
    IFERROR(INDEX(data!N:N, MATCH(B1524, data!D:D, 0)) = 1, FALSE)
  ),
  INDEX(data!C:C, MATCH(B1524, data!D:D, 0)),
  "INC"
)</f>
        <v>2025-09-03T13:57:13.703+08</v>
      </c>
      <c r="K1524" s="9" t="str">
        <f t="array" ref="K1524">IFERROR(INDEX(dataICM!C:C,match(Caseslist!B1524,dataICM!D:D,0)), "INC")</f>
        <v>INC</v>
      </c>
      <c r="L1524" s="10" t="str">
        <f t="array" ref="L1524">IF(AND(G1524="COMPLETE", OR(K1524="INC", ISBLANK(INDEX(data!O:O, ROW())))), J1524, K1524)</f>
        <v>2025-09-03T13:57:13.703+08</v>
      </c>
      <c r="M1524" s="2">
        <v>45903.0</v>
      </c>
      <c r="N1524" s="2">
        <f t="array" ref="N1524">IF(M1524&lt;&gt;"INC", INDEX(data!M:M, MATCH(B1524, data!D:D, 0)), "")</f>
        <v>0</v>
      </c>
      <c r="O1524" s="2">
        <f t="shared" si="3"/>
        <v>0</v>
      </c>
    </row>
    <row r="1525">
      <c r="A1525" s="2" t="str">
        <f t="shared" si="1"/>
        <v>H030546</v>
      </c>
      <c r="B1525" s="1" t="s">
        <v>2966</v>
      </c>
      <c r="C1525" s="9" t="str">
        <f t="array" ref="C1525">IF(
  AND(
    IFERROR(MATCH(Caseslist!B1525, data!D:D, 0), 0) &gt; 0,
    IFERROR(INDEX(data!N:N, MATCH(Caseslist!B1525, data!D:D, 0)) = 1, FALSE)
  ),
  "COMPLETE",
  "INC"
)</f>
        <v>COMPLETE</v>
      </c>
      <c r="D1525" s="9" t="str">
        <f t="array" ref="D1525">IFERROR(INDEX(data!$G:$G,match(Caseslist!B1525,data!$D:$D,0)), "INC")</f>
        <v>O3925718</v>
      </c>
      <c r="E1525" s="9" t="str">
        <f t="array" ref="E1525">IFERROR(INDEX(data!H:H,match(Caseslist!B1525,data!D:D,0)), "INC")</f>
        <v>Adrian Montecastro Ferrer</v>
      </c>
      <c r="F1525" s="10" t="str">
        <f t="array" ref="F1525">IF(
    OR(
      IFNA(INDEX(data!M:M, MATCH(Caseslist!B1525, data!D:D, 0)), "") = "",
      IFNA(INDEX(data!M:M, MATCH(Caseslist!B1525, data!D:D, 0)), 0) = 0
    ),
    "COMPLETE",
    IF(
      IFNA(INDEX(dataICM!D:D, MATCH(Caseslist!B1525, dataICM!D:D, 0)), "INC") = "INC",
      IFNA(INDEX(dataICM!D:D, MATCH(Caseslist!B1525, dataICM!D:D, 0)), "INC"),
      "COMPLETE"
    )
  )</f>
        <v>COMPLETE</v>
      </c>
      <c r="G1525" s="10" t="str">
        <f t="array" ref="G1525">IF(IFERROR(INDEX(data!L:L,match(Caseslist!B1525,data!D:D,0)),"INC")="","COMPLETE",F1525)</f>
        <v>COMPLETE</v>
      </c>
      <c r="H1525" s="9" t="str">
        <f t="array" ref="H1525">IFERROR(INDEX(dataICM!F:F,match(Caseslist!B1525,dataICM!D:D,0)), "INC")</f>
        <v>INC</v>
      </c>
      <c r="I1525" s="10" t="str">
        <f t="shared" si="2"/>
        <v>O3925718</v>
      </c>
      <c r="J1525" s="9" t="str">
        <f t="array" ref="J1525">IF(
  AND(
    IFERROR(MATCH(B1525, data!D:D, 0), 0) &gt; 0,
    IFERROR(INDEX(data!N:N, MATCH(B1525, data!D:D, 0)) = 1, FALSE)
  ),
  INDEX(data!C:C, MATCH(B1525, data!D:D, 0)),
  "INC"
)</f>
        <v>2025-09-03T17:56:19.902+08</v>
      </c>
      <c r="K1525" s="9" t="str">
        <f t="array" ref="K1525">IFERROR(INDEX(dataICM!C:C,match(Caseslist!B1525,dataICM!D:D,0)), "INC")</f>
        <v>INC</v>
      </c>
      <c r="L1525" s="10" t="str">
        <f t="array" ref="L1525">IF(AND(G1525="COMPLETE", OR(K1525="INC", ISBLANK(INDEX(data!O:O, ROW())))), J1525, K1525)</f>
        <v>2025-09-03T17:56:19.902+08</v>
      </c>
      <c r="M1525" s="2">
        <v>45903.0</v>
      </c>
      <c r="N1525" s="2">
        <f t="array" ref="N1525">IF(M1525&lt;&gt;"INC", INDEX(data!M:M, MATCH(B1525, data!D:D, 0)), "")</f>
        <v>0</v>
      </c>
      <c r="O1525" s="2">
        <f t="shared" si="3"/>
        <v>0</v>
      </c>
    </row>
    <row r="1526">
      <c r="A1526" s="2" t="str">
        <f t="shared" si="1"/>
        <v>H030546</v>
      </c>
      <c r="B1526" s="1" t="s">
        <v>8783</v>
      </c>
      <c r="C1526" s="9" t="str">
        <f t="array" ref="C1526">IF(
  AND(
    IFERROR(MATCH(Caseslist!B1526, data!D:D, 0), 0) &gt; 0,
    IFERROR(INDEX(data!N:N, MATCH(Caseslist!B1526, data!D:D, 0)) = 1, FALSE)
  ),
  "COMPLETE",
  "INC"
)</f>
        <v>COMPLETE</v>
      </c>
      <c r="D1526" s="9" t="str">
        <f t="array" ref="D1526">IFERROR(INDEX(data!$G:$G,match(Caseslist!B1526,data!$D:$D,0)), "INC")</f>
        <v>N7814260</v>
      </c>
      <c r="E1526" s="9" t="str">
        <f t="array" ref="E1526">IFERROR(INDEX(data!H:H,match(Caseslist!B1526,data!D:D,0)), "INC")</f>
        <v>Jemma Marie Tillo</v>
      </c>
      <c r="F1526" s="10" t="str">
        <f t="array" ref="F1526">IF(
    OR(
      IFNA(INDEX(data!M:M, MATCH(Caseslist!B1526, data!D:D, 0)), "") = "",
      IFNA(INDEX(data!M:M, MATCH(Caseslist!B1526, data!D:D, 0)), 0) = 0
    ),
    "COMPLETE",
    IF(
      IFNA(INDEX(dataICM!D:D, MATCH(Caseslist!B1526, dataICM!D:D, 0)), "INC") = "INC",
      IFNA(INDEX(dataICM!D:D, MATCH(Caseslist!B1526, dataICM!D:D, 0)), "INC"),
      "COMPLETE"
    )
  )</f>
        <v>COMPLETE</v>
      </c>
      <c r="G1526" s="10" t="str">
        <f t="array" ref="G1526">IF(IFERROR(INDEX(data!L:L,match(Caseslist!B1526,data!D:D,0)),"INC")="","COMPLETE",F1526)</f>
        <v>COMPLETE</v>
      </c>
      <c r="H1526" s="9" t="str">
        <f t="array" ref="H1526">IFERROR(INDEX(dataICM!F:F,match(Caseslist!B1526,dataICM!D:D,0)), "INC")</f>
        <v>INC</v>
      </c>
      <c r="I1526" s="10" t="str">
        <f t="shared" si="2"/>
        <v>N7814260</v>
      </c>
      <c r="J1526" s="9" t="str">
        <f t="array" ref="J1526">IF(
  AND(
    IFERROR(MATCH(B1526, data!D:D, 0), 0) &gt; 0,
    IFERROR(INDEX(data!N:N, MATCH(B1526, data!D:D, 0)) = 1, FALSE)
  ),
  INDEX(data!C:C, MATCH(B1526, data!D:D, 0)),
  "INC"
)</f>
        <v>2025-09-30T10:13:10.495+08</v>
      </c>
      <c r="K1526" s="9" t="str">
        <f t="array" ref="K1526">IFERROR(INDEX(dataICM!C:C,match(Caseslist!B1526,dataICM!D:D,0)), "INC")</f>
        <v>INC</v>
      </c>
      <c r="L1526" s="10" t="str">
        <f t="array" ref="L1526">IF(AND(G1526="COMPLETE", OR(K1526="INC", ISBLANK(INDEX(data!O:O, ROW())))), J1526, K1526)</f>
        <v>2025-09-30T10:13:10.495+08</v>
      </c>
      <c r="M1526" s="2">
        <v>45930.0</v>
      </c>
      <c r="N1526" s="2">
        <f t="array" ref="N1526">IF(M1526&lt;&gt;"INC", INDEX(data!M:M, MATCH(B1526, data!D:D, 0)), "")</f>
        <v>0</v>
      </c>
      <c r="O1526" s="2">
        <f t="shared" si="3"/>
        <v>0</v>
      </c>
    </row>
    <row r="1527">
      <c r="A1527" s="2" t="str">
        <f t="shared" si="1"/>
        <v>H030546</v>
      </c>
      <c r="B1527" s="1" t="s">
        <v>2976</v>
      </c>
      <c r="C1527" s="9" t="str">
        <f t="array" ref="C1527">IF(
  AND(
    IFERROR(MATCH(Caseslist!B1527, data!D:D, 0), 0) &gt; 0,
    IFERROR(INDEX(data!N:N, MATCH(Caseslist!B1527, data!D:D, 0)) = 1, FALSE)
  ),
  "COMPLETE",
  "INC"
)</f>
        <v>COMPLETE</v>
      </c>
      <c r="D1527" s="9" t="str">
        <f t="array" ref="D1527">IFERROR(INDEX(data!$G:$G,match(Caseslist!B1527,data!$D:$D,0)), "INC")</f>
        <v>O3925718</v>
      </c>
      <c r="E1527" s="9" t="str">
        <f t="array" ref="E1527">IFERROR(INDEX(data!H:H,match(Caseslist!B1527,data!D:D,0)), "INC")</f>
        <v>Adrian Montecastro Ferrer</v>
      </c>
      <c r="F1527" s="10" t="str">
        <f t="array" ref="F1527">IF(
    OR(
      IFNA(INDEX(data!M:M, MATCH(Caseslist!B1527, data!D:D, 0)), "") = "",
      IFNA(INDEX(data!M:M, MATCH(Caseslist!B1527, data!D:D, 0)), 0) = 0
    ),
    "COMPLETE",
    IF(
      IFNA(INDEX(dataICM!D:D, MATCH(Caseslist!B1527, dataICM!D:D, 0)), "INC") = "INC",
      IFNA(INDEX(dataICM!D:D, MATCH(Caseslist!B1527, dataICM!D:D, 0)), "INC"),
      "COMPLETE"
    )
  )</f>
        <v>COMPLETE</v>
      </c>
      <c r="G1527" s="10" t="str">
        <f t="array" ref="G1527">IF(IFERROR(INDEX(data!L:L,match(Caseslist!B1527,data!D:D,0)),"INC")="","COMPLETE",F1527)</f>
        <v>COMPLETE</v>
      </c>
      <c r="H1527" s="9" t="str">
        <f t="array" ref="H1527">IFERROR(INDEX(dataICM!F:F,match(Caseslist!B1527,dataICM!D:D,0)), "INC")</f>
        <v>INC</v>
      </c>
      <c r="I1527" s="10" t="str">
        <f t="shared" si="2"/>
        <v>O3925718</v>
      </c>
      <c r="J1527" s="9" t="str">
        <f t="array" ref="J1527">IF(
  AND(
    IFERROR(MATCH(B1527, data!D:D, 0), 0) &gt; 0,
    IFERROR(INDEX(data!N:N, MATCH(B1527, data!D:D, 0)) = 1, FALSE)
  ),
  INDEX(data!C:C, MATCH(B1527, data!D:D, 0)),
  "INC"
)</f>
        <v>2025-09-03T09:13:01.204+08</v>
      </c>
      <c r="K1527" s="9" t="str">
        <f t="array" ref="K1527">IFERROR(INDEX(dataICM!C:C,match(Caseslist!B1527,dataICM!D:D,0)), "INC")</f>
        <v>INC</v>
      </c>
      <c r="L1527" s="10" t="str">
        <f t="array" ref="L1527">IF(AND(G1527="COMPLETE", OR(K1527="INC", ISBLANK(INDEX(data!O:O, ROW())))), J1527, K1527)</f>
        <v>2025-09-03T09:13:01.204+08</v>
      </c>
      <c r="M1527" s="2">
        <v>45903.0</v>
      </c>
      <c r="N1527" s="2">
        <f t="array" ref="N1527">IF(M1527&lt;&gt;"INC", INDEX(data!M:M, MATCH(B1527, data!D:D, 0)), "")</f>
        <v>0</v>
      </c>
      <c r="O1527" s="2">
        <f t="shared" si="3"/>
        <v>0</v>
      </c>
    </row>
    <row r="1528">
      <c r="A1528" s="2" t="str">
        <f t="shared" si="1"/>
        <v>H030546</v>
      </c>
      <c r="B1528" s="1" t="s">
        <v>3117</v>
      </c>
      <c r="C1528" s="9" t="str">
        <f t="array" ref="C1528">IF(
  AND(
    IFERROR(MATCH(Caseslist!B1528, data!D:D, 0), 0) &gt; 0,
    IFERROR(INDEX(data!N:N, MATCH(Caseslist!B1528, data!D:D, 0)) = 1, FALSE)
  ),
  "COMPLETE",
  "INC"
)</f>
        <v>COMPLETE</v>
      </c>
      <c r="D1528" s="9" t="str">
        <f t="array" ref="D1528">IFERROR(INDEX(data!$G:$G,match(Caseslist!B1528,data!$D:$D,0)), "INC")</f>
        <v>P1068432</v>
      </c>
      <c r="E1528" s="9" t="str">
        <f t="array" ref="E1528">IFERROR(INDEX(data!H:H,match(Caseslist!B1528,data!D:D,0)), "INC")</f>
        <v>Mark Daniel Balagao Benson</v>
      </c>
      <c r="F1528" s="10" t="str">
        <f t="array" ref="F1528">IF(
    OR(
      IFNA(INDEX(data!M:M, MATCH(Caseslist!B1528, data!D:D, 0)), "") = "",
      IFNA(INDEX(data!M:M, MATCH(Caseslist!B1528, data!D:D, 0)), 0) = 0
    ),
    "COMPLETE",
    IF(
      IFNA(INDEX(dataICM!D:D, MATCH(Caseslist!B1528, dataICM!D:D, 0)), "INC") = "INC",
      IFNA(INDEX(dataICM!D:D, MATCH(Caseslist!B1528, dataICM!D:D, 0)), "INC"),
      "COMPLETE"
    )
  )</f>
        <v>COMPLETE</v>
      </c>
      <c r="G1528" s="10" t="str">
        <f t="array" ref="G1528">IF(IFERROR(INDEX(data!L:L,match(Caseslist!B1528,data!D:D,0)),"INC")="","COMPLETE",F1528)</f>
        <v>COMPLETE</v>
      </c>
      <c r="H1528" s="9" t="str">
        <f t="array" ref="H1528">IFERROR(INDEX(dataICM!F:F,match(Caseslist!B1528,dataICM!D:D,0)), "INC")</f>
        <v>INC</v>
      </c>
      <c r="I1528" s="10" t="str">
        <f t="shared" si="2"/>
        <v>P1068432</v>
      </c>
      <c r="J1528" s="9" t="str">
        <f t="array" ref="J1528">IF(
  AND(
    IFERROR(MATCH(B1528, data!D:D, 0), 0) &gt; 0,
    IFERROR(INDEX(data!N:N, MATCH(B1528, data!D:D, 0)) = 1, FALSE)
  ),
  INDEX(data!C:C, MATCH(B1528, data!D:D, 0)),
  "INC"
)</f>
        <v>2025-09-03T08:52:35.641+08</v>
      </c>
      <c r="K1528" s="9" t="str">
        <f t="array" ref="K1528">IFERROR(INDEX(dataICM!C:C,match(Caseslist!B1528,dataICM!D:D,0)), "INC")</f>
        <v>INC</v>
      </c>
      <c r="L1528" s="10" t="str">
        <f t="array" ref="L1528">IF(AND(G1528="COMPLETE", OR(K1528="INC", ISBLANK(INDEX(data!O:O, ROW())))), J1528, K1528)</f>
        <v>2025-09-03T08:52:35.641+08</v>
      </c>
      <c r="M1528" s="2">
        <v>45903.0</v>
      </c>
      <c r="N1528" s="2">
        <f t="array" ref="N1528">IF(M1528&lt;&gt;"INC", INDEX(data!M:M, MATCH(B1528, data!D:D, 0)), "")</f>
        <v>0</v>
      </c>
      <c r="O1528" s="2">
        <f t="shared" si="3"/>
        <v>0</v>
      </c>
    </row>
    <row r="1529">
      <c r="A1529" s="2" t="str">
        <f t="shared" si="1"/>
        <v>H030546</v>
      </c>
      <c r="B1529" s="1" t="s">
        <v>3127</v>
      </c>
      <c r="C1529" s="9" t="str">
        <f t="array" ref="C1529">IF(
  AND(
    IFERROR(MATCH(Caseslist!B1529, data!D:D, 0), 0) &gt; 0,
    IFERROR(INDEX(data!N:N, MATCH(Caseslist!B1529, data!D:D, 0)) = 1, FALSE)
  ),
  "COMPLETE",
  "INC"
)</f>
        <v>COMPLETE</v>
      </c>
      <c r="D1529" s="9" t="str">
        <f t="array" ref="D1529">IFERROR(INDEX(data!$G:$G,match(Caseslist!B1529,data!$D:$D,0)), "INC")</f>
        <v>P1068432</v>
      </c>
      <c r="E1529" s="9" t="str">
        <f t="array" ref="E1529">IFERROR(INDEX(data!H:H,match(Caseslist!B1529,data!D:D,0)), "INC")</f>
        <v>Mark Daniel Balagao Benson</v>
      </c>
      <c r="F1529" s="10" t="str">
        <f t="array" ref="F1529">IF(
    OR(
      IFNA(INDEX(data!M:M, MATCH(Caseslist!B1529, data!D:D, 0)), "") = "",
      IFNA(INDEX(data!M:M, MATCH(Caseslist!B1529, data!D:D, 0)), 0) = 0
    ),
    "COMPLETE",
    IF(
      IFNA(INDEX(dataICM!D:D, MATCH(Caseslist!B1529, dataICM!D:D, 0)), "INC") = "INC",
      IFNA(INDEX(dataICM!D:D, MATCH(Caseslist!B1529, dataICM!D:D, 0)), "INC"),
      "COMPLETE"
    )
  )</f>
        <v>COMPLETE</v>
      </c>
      <c r="G1529" s="10" t="str">
        <f t="array" ref="G1529">IF(IFERROR(INDEX(data!L:L,match(Caseslist!B1529,data!D:D,0)),"INC")="","COMPLETE",F1529)</f>
        <v>COMPLETE</v>
      </c>
      <c r="H1529" s="9" t="str">
        <f t="array" ref="H1529">IFERROR(INDEX(dataICM!F:F,match(Caseslist!B1529,dataICM!D:D,0)), "INC")</f>
        <v>INC</v>
      </c>
      <c r="I1529" s="10" t="str">
        <f t="shared" si="2"/>
        <v>P1068432</v>
      </c>
      <c r="J1529" s="9" t="str">
        <f t="array" ref="J1529">IF(
  AND(
    IFERROR(MATCH(B1529, data!D:D, 0), 0) &gt; 0,
    IFERROR(INDEX(data!N:N, MATCH(B1529, data!D:D, 0)) = 1, FALSE)
  ),
  INDEX(data!C:C, MATCH(B1529, data!D:D, 0)),
  "INC"
)</f>
        <v>2025-09-03T12:37:47.856+08</v>
      </c>
      <c r="K1529" s="9" t="str">
        <f t="array" ref="K1529">IFERROR(INDEX(dataICM!C:C,match(Caseslist!B1529,dataICM!D:D,0)), "INC")</f>
        <v>INC</v>
      </c>
      <c r="L1529" s="10" t="str">
        <f t="array" ref="L1529">IF(AND(G1529="COMPLETE", OR(K1529="INC", ISBLANK(INDEX(data!O:O, ROW())))), J1529, K1529)</f>
        <v>2025-09-03T12:37:47.856+08</v>
      </c>
      <c r="M1529" s="2">
        <v>45903.0</v>
      </c>
      <c r="N1529" s="2">
        <f t="array" ref="N1529">IF(M1529&lt;&gt;"INC", INDEX(data!M:M, MATCH(B1529, data!D:D, 0)), "")</f>
        <v>0</v>
      </c>
      <c r="O1529" s="2">
        <f t="shared" si="3"/>
        <v>0</v>
      </c>
    </row>
    <row r="1530">
      <c r="A1530" s="2" t="str">
        <f t="shared" si="1"/>
        <v>H030546</v>
      </c>
      <c r="B1530" s="1" t="s">
        <v>8788</v>
      </c>
      <c r="C1530" s="9" t="str">
        <f t="array" ref="C1530">IF(
  AND(
    IFERROR(MATCH(Caseslist!B1530, data!D:D, 0), 0) &gt; 0,
    IFERROR(INDEX(data!N:N, MATCH(Caseslist!B1530, data!D:D, 0)) = 1, FALSE)
  ),
  "COMPLETE",
  "INC"
)</f>
        <v>COMPLETE</v>
      </c>
      <c r="D1530" s="9" t="str">
        <f t="array" ref="D1530">IFERROR(INDEX(data!$G:$G,match(Caseslist!B1530,data!$D:$D,0)), "INC")</f>
        <v>N7814260</v>
      </c>
      <c r="E1530" s="9" t="str">
        <f t="array" ref="E1530">IFERROR(INDEX(data!H:H,match(Caseslist!B1530,data!D:D,0)), "INC")</f>
        <v>Jemma Marie Tillo</v>
      </c>
      <c r="F1530" s="10" t="str">
        <f t="array" ref="F1530">IF(
    OR(
      IFNA(INDEX(data!M:M, MATCH(Caseslist!B1530, data!D:D, 0)), "") = "",
      IFNA(INDEX(data!M:M, MATCH(Caseslist!B1530, data!D:D, 0)), 0) = 0
    ),
    "COMPLETE",
    IF(
      IFNA(INDEX(dataICM!D:D, MATCH(Caseslist!B1530, dataICM!D:D, 0)), "INC") = "INC",
      IFNA(INDEX(dataICM!D:D, MATCH(Caseslist!B1530, dataICM!D:D, 0)), "INC"),
      "COMPLETE"
    )
  )</f>
        <v>COMPLETE</v>
      </c>
      <c r="G1530" s="10" t="str">
        <f t="array" ref="G1530">IF(IFERROR(INDEX(data!L:L,match(Caseslist!B1530,data!D:D,0)),"INC")="","COMPLETE",F1530)</f>
        <v>COMPLETE</v>
      </c>
      <c r="H1530" s="9" t="str">
        <f t="array" ref="H1530">IFERROR(INDEX(dataICM!F:F,match(Caseslist!B1530,dataICM!D:D,0)), "INC")</f>
        <v>INC</v>
      </c>
      <c r="I1530" s="10" t="str">
        <f t="shared" si="2"/>
        <v>N7814260</v>
      </c>
      <c r="J1530" s="9" t="str">
        <f t="array" ref="J1530">IF(
  AND(
    IFERROR(MATCH(B1530, data!D:D, 0), 0) &gt; 0,
    IFERROR(INDEX(data!N:N, MATCH(B1530, data!D:D, 0)) = 1, FALSE)
  ),
  INDEX(data!C:C, MATCH(B1530, data!D:D, 0)),
  "INC"
)</f>
        <v>2025-09-30T13:38:16.793+08</v>
      </c>
      <c r="K1530" s="9" t="str">
        <f t="array" ref="K1530">IFERROR(INDEX(dataICM!C:C,match(Caseslist!B1530,dataICM!D:D,0)), "INC")</f>
        <v>INC</v>
      </c>
      <c r="L1530" s="10" t="str">
        <f t="array" ref="L1530">IF(AND(G1530="COMPLETE", OR(K1530="INC", ISBLANK(INDEX(data!O:O, ROW())))), J1530, K1530)</f>
        <v>2025-09-30T13:38:16.793+08</v>
      </c>
      <c r="M1530" s="2">
        <v>45930.0</v>
      </c>
      <c r="N1530" s="2">
        <f t="array" ref="N1530">IF(M1530&lt;&gt;"INC", INDEX(data!M:M, MATCH(B1530, data!D:D, 0)), "")</f>
        <v>0</v>
      </c>
      <c r="O1530" s="2">
        <f t="shared" si="3"/>
        <v>0</v>
      </c>
    </row>
    <row r="1531">
      <c r="A1531" s="2" t="str">
        <f t="shared" si="1"/>
        <v>H030546</v>
      </c>
      <c r="B1531" s="1" t="s">
        <v>2951</v>
      </c>
      <c r="C1531" s="9" t="str">
        <f t="array" ref="C1531">IF(
  AND(
    IFERROR(MATCH(Caseslist!B1531, data!D:D, 0), 0) &gt; 0,
    IFERROR(INDEX(data!N:N, MATCH(Caseslist!B1531, data!D:D, 0)) = 1, FALSE)
  ),
  "COMPLETE",
  "INC"
)</f>
        <v>COMPLETE</v>
      </c>
      <c r="D1531" s="9" t="str">
        <f t="array" ref="D1531">IFERROR(INDEX(data!$G:$G,match(Caseslist!B1531,data!$D:$D,0)), "INC")</f>
        <v>N7814260</v>
      </c>
      <c r="E1531" s="9" t="str">
        <f t="array" ref="E1531">IFERROR(INDEX(data!H:H,match(Caseslist!B1531,data!D:D,0)), "INC")</f>
        <v>Jemma Marie Tillo</v>
      </c>
      <c r="F1531" s="10" t="str">
        <f t="array" ref="F1531">IF(
    OR(
      IFNA(INDEX(data!M:M, MATCH(Caseslist!B1531, data!D:D, 0)), "") = "",
      IFNA(INDEX(data!M:M, MATCH(Caseslist!B1531, data!D:D, 0)), 0) = 0
    ),
    "COMPLETE",
    IF(
      IFNA(INDEX(dataICM!D:D, MATCH(Caseslist!B1531, dataICM!D:D, 0)), "INC") = "INC",
      IFNA(INDEX(dataICM!D:D, MATCH(Caseslist!B1531, dataICM!D:D, 0)), "INC"),
      "COMPLETE"
    )
  )</f>
        <v>COMPLETE</v>
      </c>
      <c r="G1531" s="10" t="str">
        <f t="array" ref="G1531">IF(IFERROR(INDEX(data!L:L,match(Caseslist!B1531,data!D:D,0)),"INC")="","COMPLETE",F1531)</f>
        <v>COMPLETE</v>
      </c>
      <c r="H1531" s="9" t="str">
        <f t="array" ref="H1531">IFERROR(INDEX(dataICM!F:F,match(Caseslist!B1531,dataICM!D:D,0)), "INC")</f>
        <v>INC</v>
      </c>
      <c r="I1531" s="10" t="str">
        <f t="shared" si="2"/>
        <v>N7814260</v>
      </c>
      <c r="J1531" s="9" t="str">
        <f t="array" ref="J1531">IF(
  AND(
    IFERROR(MATCH(B1531, data!D:D, 0), 0) &gt; 0,
    IFERROR(INDEX(data!N:N, MATCH(B1531, data!D:D, 0)) = 1, FALSE)
  ),
  INDEX(data!C:C, MATCH(B1531, data!D:D, 0)),
  "INC"
)</f>
        <v>2025-09-03T12:44:17.537+08</v>
      </c>
      <c r="K1531" s="9" t="str">
        <f t="array" ref="K1531">IFERROR(INDEX(dataICM!C:C,match(Caseslist!B1531,dataICM!D:D,0)), "INC")</f>
        <v>INC</v>
      </c>
      <c r="L1531" s="10" t="str">
        <f t="array" ref="L1531">IF(AND(G1531="COMPLETE", OR(K1531="INC", ISBLANK(INDEX(data!O:O, ROW())))), J1531, K1531)</f>
        <v>2025-09-03T12:44:17.537+08</v>
      </c>
      <c r="M1531" s="2">
        <v>45903.0</v>
      </c>
      <c r="N1531" s="2">
        <f t="array" ref="N1531">IF(M1531&lt;&gt;"INC", INDEX(data!M:M, MATCH(B1531, data!D:D, 0)), "")</f>
        <v>0</v>
      </c>
      <c r="O1531" s="2">
        <f t="shared" si="3"/>
        <v>0</v>
      </c>
    </row>
    <row r="1532">
      <c r="A1532" s="2" t="str">
        <f t="shared" si="1"/>
        <v>H030546</v>
      </c>
      <c r="B1532" s="1" t="s">
        <v>2971</v>
      </c>
      <c r="C1532" s="9" t="str">
        <f t="array" ref="C1532">IF(
  AND(
    IFERROR(MATCH(Caseslist!B1532, data!D:D, 0), 0) &gt; 0,
    IFERROR(INDEX(data!N:N, MATCH(Caseslist!B1532, data!D:D, 0)) = 1, FALSE)
  ),
  "COMPLETE",
  "INC"
)</f>
        <v>COMPLETE</v>
      </c>
      <c r="D1532" s="9" t="str">
        <f t="array" ref="D1532">IFERROR(INDEX(data!$G:$G,match(Caseslist!B1532,data!$D:$D,0)), "INC")</f>
        <v>O3925718</v>
      </c>
      <c r="E1532" s="9" t="str">
        <f t="array" ref="E1532">IFERROR(INDEX(data!H:H,match(Caseslist!B1532,data!D:D,0)), "INC")</f>
        <v>Adrian Montecastro Ferrer</v>
      </c>
      <c r="F1532" s="10" t="str">
        <f t="array" ref="F1532">IF(
    OR(
      IFNA(INDEX(data!M:M, MATCH(Caseslist!B1532, data!D:D, 0)), "") = "",
      IFNA(INDEX(data!M:M, MATCH(Caseslist!B1532, data!D:D, 0)), 0) = 0
    ),
    "COMPLETE",
    IF(
      IFNA(INDEX(dataICM!D:D, MATCH(Caseslist!B1532, dataICM!D:D, 0)), "INC") = "INC",
      IFNA(INDEX(dataICM!D:D, MATCH(Caseslist!B1532, dataICM!D:D, 0)), "INC"),
      "COMPLETE"
    )
  )</f>
        <v>COMPLETE</v>
      </c>
      <c r="G1532" s="10" t="str">
        <f t="array" ref="G1532">IF(IFERROR(INDEX(data!L:L,match(Caseslist!B1532,data!D:D,0)),"INC")="","COMPLETE",F1532)</f>
        <v>COMPLETE</v>
      </c>
      <c r="H1532" s="9" t="str">
        <f t="array" ref="H1532">IFERROR(INDEX(dataICM!F:F,match(Caseslist!B1532,dataICM!D:D,0)), "INC")</f>
        <v>INC</v>
      </c>
      <c r="I1532" s="10" t="str">
        <f t="shared" si="2"/>
        <v>O3925718</v>
      </c>
      <c r="J1532" s="9" t="str">
        <f t="array" ref="J1532">IF(
  AND(
    IFERROR(MATCH(B1532, data!D:D, 0), 0) &gt; 0,
    IFERROR(INDEX(data!N:N, MATCH(B1532, data!D:D, 0)) = 1, FALSE)
  ),
  INDEX(data!C:C, MATCH(B1532, data!D:D, 0)),
  "INC"
)</f>
        <v>2025-09-03T10:36:26.379+08</v>
      </c>
      <c r="K1532" s="9" t="str">
        <f t="array" ref="K1532">IFERROR(INDEX(dataICM!C:C,match(Caseslist!B1532,dataICM!D:D,0)), "INC")</f>
        <v>INC</v>
      </c>
      <c r="L1532" s="10" t="str">
        <f t="array" ref="L1532">IF(AND(G1532="COMPLETE", OR(K1532="INC", ISBLANK(INDEX(data!O:O, ROW())))), J1532, K1532)</f>
        <v>2025-09-03T10:36:26.379+08</v>
      </c>
      <c r="M1532" s="2">
        <v>45903.0</v>
      </c>
      <c r="N1532" s="2">
        <f t="array" ref="N1532">IF(M1532&lt;&gt;"INC", INDEX(data!M:M, MATCH(B1532, data!D:D, 0)), "")</f>
        <v>0</v>
      </c>
      <c r="O1532" s="2">
        <f t="shared" si="3"/>
        <v>0</v>
      </c>
    </row>
    <row r="1533">
      <c r="A1533" s="2" t="str">
        <f t="shared" si="1"/>
        <v>H030546</v>
      </c>
      <c r="B1533" s="1" t="s">
        <v>2961</v>
      </c>
      <c r="C1533" s="9" t="str">
        <f t="array" ref="C1533">IF(
  AND(
    IFERROR(MATCH(Caseslist!B1533, data!D:D, 0), 0) &gt; 0,
    IFERROR(INDEX(data!N:N, MATCH(Caseslist!B1533, data!D:D, 0)) = 1, FALSE)
  ),
  "COMPLETE",
  "INC"
)</f>
        <v>COMPLETE</v>
      </c>
      <c r="D1533" s="9" t="str">
        <f t="array" ref="D1533">IFERROR(INDEX(data!$G:$G,match(Caseslist!B1533,data!$D:$D,0)), "INC")</f>
        <v>O3925718</v>
      </c>
      <c r="E1533" s="9" t="str">
        <f t="array" ref="E1533">IFERROR(INDEX(data!H:H,match(Caseslist!B1533,data!D:D,0)), "INC")</f>
        <v>Adrian Montecastro Ferrer</v>
      </c>
      <c r="F1533" s="10" t="str">
        <f t="array" ref="F1533">IF(
    OR(
      IFNA(INDEX(data!M:M, MATCH(Caseslist!B1533, data!D:D, 0)), "") = "",
      IFNA(INDEX(data!M:M, MATCH(Caseslist!B1533, data!D:D, 0)), 0) = 0
    ),
    "COMPLETE",
    IF(
      IFNA(INDEX(dataICM!D:D, MATCH(Caseslist!B1533, dataICM!D:D, 0)), "INC") = "INC",
      IFNA(INDEX(dataICM!D:D, MATCH(Caseslist!B1533, dataICM!D:D, 0)), "INC"),
      "COMPLETE"
    )
  )</f>
        <v>COMPLETE</v>
      </c>
      <c r="G1533" s="10" t="str">
        <f t="array" ref="G1533">IF(IFERROR(INDEX(data!L:L,match(Caseslist!B1533,data!D:D,0)),"INC")="","COMPLETE",F1533)</f>
        <v>COMPLETE</v>
      </c>
      <c r="H1533" s="9" t="str">
        <f t="array" ref="H1533">IFERROR(INDEX(dataICM!F:F,match(Caseslist!B1533,dataICM!D:D,0)), "INC")</f>
        <v>INC</v>
      </c>
      <c r="I1533" s="10" t="str">
        <f t="shared" si="2"/>
        <v>O3925718</v>
      </c>
      <c r="J1533" s="9" t="str">
        <f t="array" ref="J1533">IF(
  AND(
    IFERROR(MATCH(B1533, data!D:D, 0), 0) &gt; 0,
    IFERROR(INDEX(data!N:N, MATCH(B1533, data!D:D, 0)) = 1, FALSE)
  ),
  INDEX(data!C:C, MATCH(B1533, data!D:D, 0)),
  "INC"
)</f>
        <v>2025-09-03T13:12:06.747+08</v>
      </c>
      <c r="K1533" s="9" t="str">
        <f t="array" ref="K1533">IFERROR(INDEX(dataICM!C:C,match(Caseslist!B1533,dataICM!D:D,0)), "INC")</f>
        <v>INC</v>
      </c>
      <c r="L1533" s="10" t="str">
        <f t="array" ref="L1533">IF(AND(G1533="COMPLETE", OR(K1533="INC", ISBLANK(INDEX(data!O:O, ROW())))), J1533, K1533)</f>
        <v>2025-09-03T13:12:06.747+08</v>
      </c>
      <c r="M1533" s="2">
        <v>45903.0</v>
      </c>
      <c r="N1533" s="2">
        <f t="array" ref="N1533">IF(M1533&lt;&gt;"INC", INDEX(data!M:M, MATCH(B1533, data!D:D, 0)), "")</f>
        <v>0</v>
      </c>
      <c r="O1533" s="2">
        <f t="shared" si="3"/>
        <v>0</v>
      </c>
    </row>
    <row r="1534">
      <c r="A1534" s="2" t="str">
        <f t="shared" si="1"/>
        <v>H030546</v>
      </c>
      <c r="B1534" s="1" t="s">
        <v>3122</v>
      </c>
      <c r="C1534" s="9" t="str">
        <f t="array" ref="C1534">IF(
  AND(
    IFERROR(MATCH(Caseslist!B1534, data!D:D, 0), 0) &gt; 0,
    IFERROR(INDEX(data!N:N, MATCH(Caseslist!B1534, data!D:D, 0)) = 1, FALSE)
  ),
  "COMPLETE",
  "INC"
)</f>
        <v>COMPLETE</v>
      </c>
      <c r="D1534" s="9" t="str">
        <f t="array" ref="D1534">IFERROR(INDEX(data!$G:$G,match(Caseslist!B1534,data!$D:$D,0)), "INC")</f>
        <v>P1068432</v>
      </c>
      <c r="E1534" s="9" t="str">
        <f t="array" ref="E1534">IFERROR(INDEX(data!H:H,match(Caseslist!B1534,data!D:D,0)), "INC")</f>
        <v>Mark Daniel Balagao Benson</v>
      </c>
      <c r="F1534" s="10" t="str">
        <f t="array" ref="F1534">IF(
    OR(
      IFNA(INDEX(data!M:M, MATCH(Caseslist!B1534, data!D:D, 0)), "") = "",
      IFNA(INDEX(data!M:M, MATCH(Caseslist!B1534, data!D:D, 0)), 0) = 0
    ),
    "COMPLETE",
    IF(
      IFNA(INDEX(dataICM!D:D, MATCH(Caseslist!B1534, dataICM!D:D, 0)), "INC") = "INC",
      IFNA(INDEX(dataICM!D:D, MATCH(Caseslist!B1534, dataICM!D:D, 0)), "INC"),
      "COMPLETE"
    )
  )</f>
        <v>COMPLETE</v>
      </c>
      <c r="G1534" s="10" t="str">
        <f t="array" ref="G1534">IF(IFERROR(INDEX(data!L:L,match(Caseslist!B1534,data!D:D,0)),"INC")="","COMPLETE",F1534)</f>
        <v>COMPLETE</v>
      </c>
      <c r="H1534" s="9" t="str">
        <f t="array" ref="H1534">IFERROR(INDEX(dataICM!F:F,match(Caseslist!B1534,dataICM!D:D,0)), "INC")</f>
        <v>INC</v>
      </c>
      <c r="I1534" s="10" t="str">
        <f t="shared" si="2"/>
        <v>P1068432</v>
      </c>
      <c r="J1534" s="9" t="str">
        <f t="array" ref="J1534">IF(
  AND(
    IFERROR(MATCH(B1534, data!D:D, 0), 0) &gt; 0,
    IFERROR(INDEX(data!N:N, MATCH(B1534, data!D:D, 0)) = 1, FALSE)
  ),
  INDEX(data!C:C, MATCH(B1534, data!D:D, 0)),
  "INC"
)</f>
        <v>2025-09-03T11:09:15.750+08</v>
      </c>
      <c r="K1534" s="9" t="str">
        <f t="array" ref="K1534">IFERROR(INDEX(dataICM!C:C,match(Caseslist!B1534,dataICM!D:D,0)), "INC")</f>
        <v>INC</v>
      </c>
      <c r="L1534" s="10" t="str">
        <f t="array" ref="L1534">IF(AND(G1534="COMPLETE", OR(K1534="INC", ISBLANK(INDEX(data!O:O, ROW())))), J1534, K1534)</f>
        <v>2025-09-03T11:09:15.750+08</v>
      </c>
      <c r="M1534" s="2">
        <v>45903.0</v>
      </c>
      <c r="N1534" s="2">
        <f t="array" ref="N1534">IF(M1534&lt;&gt;"INC", INDEX(data!M:M, MATCH(B1534, data!D:D, 0)), "")</f>
        <v>0</v>
      </c>
      <c r="O1534" s="2">
        <f t="shared" si="3"/>
        <v>0</v>
      </c>
    </row>
    <row r="1535">
      <c r="A1535" s="2" t="str">
        <f t="shared" si="1"/>
        <v>H030566</v>
      </c>
      <c r="B1535" s="1" t="s">
        <v>3392</v>
      </c>
      <c r="C1535" s="9" t="str">
        <f t="array" ref="C1535">IF(
  AND(
    IFERROR(MATCH(Caseslist!B1535, data!D:D, 0), 0) &gt; 0,
    IFERROR(INDEX(data!N:N, MATCH(Caseslist!B1535, data!D:D, 0)) = 1, FALSE)
  ),
  "COMPLETE",
  "INC"
)</f>
        <v>COMPLETE</v>
      </c>
      <c r="D1535" s="9" t="str">
        <f t="array" ref="D1535">IFERROR(INDEX(data!$G:$G,match(Caseslist!B1535,data!$D:$D,0)), "INC")</f>
        <v>B8193462</v>
      </c>
      <c r="E1535" s="9" t="str">
        <f t="array" ref="E1535">IFERROR(INDEX(data!H:H,match(Caseslist!B1535,data!D:D,0)), "INC")</f>
        <v>Mark Lorens Mendoza Gilongo</v>
      </c>
      <c r="F1535" s="10" t="str">
        <f t="array" ref="F1535">IF(
    OR(
      IFNA(INDEX(data!M:M, MATCH(Caseslist!B1535, data!D:D, 0)), "") = "",
      IFNA(INDEX(data!M:M, MATCH(Caseslist!B1535, data!D:D, 0)), 0) = 0
    ),
    "COMPLETE",
    IF(
      IFNA(INDEX(dataICM!D:D, MATCH(Caseslist!B1535, dataICM!D:D, 0)), "INC") = "INC",
      IFNA(INDEX(dataICM!D:D, MATCH(Caseslist!B1535, dataICM!D:D, 0)), "INC"),
      "COMPLETE"
    )
  )</f>
        <v>COMPLETE</v>
      </c>
      <c r="G1535" s="10" t="str">
        <f t="array" ref="G1535">IF(IFERROR(INDEX(data!L:L,match(Caseslist!B1535,data!D:D,0)),"INC")="","COMPLETE",F1535)</f>
        <v>COMPLETE</v>
      </c>
      <c r="H1535" s="9" t="str">
        <f t="array" ref="H1535">IFERROR(INDEX(dataICM!F:F,match(Caseslist!B1535,dataICM!D:D,0)), "INC")</f>
        <v>Mark Lorens Mendoza Gilongo</v>
      </c>
      <c r="I1535" s="10" t="str">
        <f t="shared" si="2"/>
        <v>B8193462</v>
      </c>
      <c r="J1535" s="9" t="str">
        <f t="array" ref="J1535">IF(
  AND(
    IFERROR(MATCH(B1535, data!D:D, 0), 0) &gt; 0,
    IFERROR(INDEX(data!N:N, MATCH(B1535, data!D:D, 0)) = 1, FALSE)
  ),
  INDEX(data!C:C, MATCH(B1535, data!D:D, 0)),
  "INC"
)</f>
        <v>2025-09-04T11:14:58.528+08</v>
      </c>
      <c r="K1535" s="9" t="str">
        <f t="array" ref="K1535">IFERROR(INDEX(dataICM!C:C,match(Caseslist!B1535,dataICM!D:D,0)), "INC")</f>
        <v>2025-09-04T11:55:55.015+08</v>
      </c>
      <c r="L1535" s="10" t="str">
        <f t="array" ref="L1535">IF(AND(G1535="COMPLETE", OR(K1535="INC", ISBLANK(INDEX(data!O:O, ROW())))), J1535, K1535)</f>
        <v>2025-09-04T11:55:55.015+08</v>
      </c>
      <c r="M1535" s="2">
        <v>45904.0</v>
      </c>
      <c r="N1535" s="2">
        <f t="array" ref="N1535">IF(M1535&lt;&gt;"INC", INDEX(data!M:M, MATCH(B1535, data!D:D, 0)), "")</f>
        <v>1</v>
      </c>
      <c r="O1535" s="2">
        <f t="shared" si="3"/>
        <v>1</v>
      </c>
    </row>
    <row r="1536">
      <c r="A1536" s="2" t="str">
        <f t="shared" si="1"/>
        <v>H030566</v>
      </c>
      <c r="B1536" s="1" t="s">
        <v>3442</v>
      </c>
      <c r="C1536" s="9" t="str">
        <f t="array" ref="C1536">IF(
  AND(
    IFERROR(MATCH(Caseslist!B1536, data!D:D, 0), 0) &gt; 0,
    IFERROR(INDEX(data!N:N, MATCH(Caseslist!B1536, data!D:D, 0)) = 1, FALSE)
  ),
  "COMPLETE",
  "INC"
)</f>
        <v>COMPLETE</v>
      </c>
      <c r="D1536" s="9" t="str">
        <f t="array" ref="D1536">IFERROR(INDEX(data!$G:$G,match(Caseslist!B1536,data!$D:$D,0)), "INC")</f>
        <v>D1284067</v>
      </c>
      <c r="E1536" s="9" t="str">
        <f t="array" ref="E1536">IFERROR(INDEX(data!H:H,match(Caseslist!B1536,data!D:D,0)), "INC")</f>
        <v>Mariel Del Rio</v>
      </c>
      <c r="F1536" s="10" t="str">
        <f t="array" ref="F1536">IF(
    OR(
      IFNA(INDEX(data!M:M, MATCH(Caseslist!B1536, data!D:D, 0)), "") = "",
      IFNA(INDEX(data!M:M, MATCH(Caseslist!B1536, data!D:D, 0)), 0) = 0
    ),
    "COMPLETE",
    IF(
      IFNA(INDEX(dataICM!D:D, MATCH(Caseslist!B1536, dataICM!D:D, 0)), "INC") = "INC",
      IFNA(INDEX(dataICM!D:D, MATCH(Caseslist!B1536, dataICM!D:D, 0)), "INC"),
      "COMPLETE"
    )
  )</f>
        <v>COMPLETE</v>
      </c>
      <c r="G1536" s="10" t="str">
        <f t="array" ref="G1536">IF(IFERROR(INDEX(data!L:L,match(Caseslist!B1536,data!D:D,0)),"INC")="","COMPLETE",F1536)</f>
        <v>COMPLETE</v>
      </c>
      <c r="H1536" s="9" t="str">
        <f t="array" ref="H1536">IFERROR(INDEX(dataICM!F:F,match(Caseslist!B1536,dataICM!D:D,0)), "INC")</f>
        <v>Mariel Del Rio</v>
      </c>
      <c r="I1536" s="10" t="str">
        <f t="shared" si="2"/>
        <v>D1284067</v>
      </c>
      <c r="J1536" s="9" t="str">
        <f t="array" ref="J1536">IF(
  AND(
    IFERROR(MATCH(B1536, data!D:D, 0), 0) &gt; 0,
    IFERROR(INDEX(data!N:N, MATCH(B1536, data!D:D, 0)) = 1, FALSE)
  ),
  INDEX(data!C:C, MATCH(B1536, data!D:D, 0)),
  "INC"
)</f>
        <v>2025-09-04T10:18:14.774+08</v>
      </c>
      <c r="K1536" s="9" t="str">
        <f t="array" ref="K1536">IFERROR(INDEX(dataICM!C:C,match(Caseslist!B1536,dataICM!D:D,0)), "INC")</f>
        <v>2025-09-04T10:38:50.181+08</v>
      </c>
      <c r="L1536" s="10" t="str">
        <f t="array" ref="L1536">IF(AND(G1536="COMPLETE", OR(K1536="INC", ISBLANK(INDEX(data!O:O, ROW())))), J1536, K1536)</f>
        <v>2025-09-04T10:38:50.181+08</v>
      </c>
      <c r="M1536" s="2">
        <v>45904.0</v>
      </c>
      <c r="N1536" s="2">
        <f t="array" ref="N1536">IF(M1536&lt;&gt;"INC", INDEX(data!M:M, MATCH(B1536, data!D:D, 0)), "")</f>
        <v>1</v>
      </c>
      <c r="O1536" s="2">
        <f t="shared" si="3"/>
        <v>1</v>
      </c>
    </row>
    <row r="1537">
      <c r="A1537" s="2" t="str">
        <f t="shared" si="1"/>
        <v>H030566</v>
      </c>
      <c r="B1537" s="1" t="s">
        <v>3387</v>
      </c>
      <c r="C1537" s="9" t="str">
        <f t="array" ref="C1537">IF(
  AND(
    IFERROR(MATCH(Caseslist!B1537, data!D:D, 0), 0) &gt; 0,
    IFERROR(INDEX(data!N:N, MATCH(Caseslist!B1537, data!D:D, 0)) = 1, FALSE)
  ),
  "COMPLETE",
  "INC"
)</f>
        <v>COMPLETE</v>
      </c>
      <c r="D1537" s="9" t="str">
        <f t="array" ref="D1537">IFERROR(INDEX(data!$G:$G,match(Caseslist!B1537,data!$D:$D,0)), "INC")</f>
        <v>D1284067</v>
      </c>
      <c r="E1537" s="9" t="str">
        <f t="array" ref="E1537">IFERROR(INDEX(data!H:H,match(Caseslist!B1537,data!D:D,0)), "INC")</f>
        <v>Mariel Del Rio</v>
      </c>
      <c r="F1537" s="10" t="str">
        <f t="array" ref="F1537">IF(
    OR(
      IFNA(INDEX(data!M:M, MATCH(Caseslist!B1537, data!D:D, 0)), "") = "",
      IFNA(INDEX(data!M:M, MATCH(Caseslist!B1537, data!D:D, 0)), 0) = 0
    ),
    "COMPLETE",
    IF(
      IFNA(INDEX(dataICM!D:D, MATCH(Caseslist!B1537, dataICM!D:D, 0)), "INC") = "INC",
      IFNA(INDEX(dataICM!D:D, MATCH(Caseslist!B1537, dataICM!D:D, 0)), "INC"),
      "COMPLETE"
    )
  )</f>
        <v>COMPLETE</v>
      </c>
      <c r="G1537" s="10" t="str">
        <f t="array" ref="G1537">IF(IFERROR(INDEX(data!L:L,match(Caseslist!B1537,data!D:D,0)),"INC")="","COMPLETE",F1537)</f>
        <v>COMPLETE</v>
      </c>
      <c r="H1537" s="9" t="str">
        <f t="array" ref="H1537">IFERROR(INDEX(dataICM!F:F,match(Caseslist!B1537,dataICM!D:D,0)), "INC")</f>
        <v>Mariel Del Rio</v>
      </c>
      <c r="I1537" s="10" t="str">
        <f t="shared" si="2"/>
        <v>D1284067</v>
      </c>
      <c r="J1537" s="9" t="str">
        <f t="array" ref="J1537">IF(
  AND(
    IFERROR(MATCH(B1537, data!D:D, 0), 0) &gt; 0,
    IFERROR(INDEX(data!N:N, MATCH(B1537, data!D:D, 0)) = 1, FALSE)
  ),
  INDEX(data!C:C, MATCH(B1537, data!D:D, 0)),
  "INC"
)</f>
        <v>2025-09-05T13:46:04.945+08</v>
      </c>
      <c r="K1537" s="9" t="str">
        <f t="array" ref="K1537">IFERROR(INDEX(dataICM!C:C,match(Caseslist!B1537,dataICM!D:D,0)), "INC")</f>
        <v>2025-09-05T14:04:25.934+08</v>
      </c>
      <c r="L1537" s="10" t="str">
        <f t="array" ref="L1537">IF(AND(G1537="COMPLETE", OR(K1537="INC", ISBLANK(INDEX(data!O:O, ROW())))), J1537, K1537)</f>
        <v>2025-09-05T14:04:25.934+08</v>
      </c>
      <c r="M1537" s="2">
        <v>45905.0</v>
      </c>
      <c r="N1537" s="2">
        <f t="array" ref="N1537">IF(M1537&lt;&gt;"INC", INDEX(data!M:M, MATCH(B1537, data!D:D, 0)), "")</f>
        <v>1</v>
      </c>
      <c r="O1537" s="2">
        <f t="shared" si="3"/>
        <v>1</v>
      </c>
    </row>
    <row r="1538">
      <c r="A1538" s="2" t="str">
        <f t="shared" si="1"/>
        <v>H030566</v>
      </c>
      <c r="B1538" s="1" t="s">
        <v>3402</v>
      </c>
      <c r="C1538" s="9" t="str">
        <f t="array" ref="C1538">IF(
  AND(
    IFERROR(MATCH(Caseslist!B1538, data!D:D, 0), 0) &gt; 0,
    IFERROR(INDEX(data!N:N, MATCH(Caseslist!B1538, data!D:D, 0)) = 1, FALSE)
  ),
  "COMPLETE",
  "INC"
)</f>
        <v>COMPLETE</v>
      </c>
      <c r="D1538" s="9" t="str">
        <f t="array" ref="D1538">IFERROR(INDEX(data!$G:$G,match(Caseslist!B1538,data!$D:$D,0)), "INC")</f>
        <v>B8193462</v>
      </c>
      <c r="E1538" s="9" t="str">
        <f t="array" ref="E1538">IFERROR(INDEX(data!H:H,match(Caseslist!B1538,data!D:D,0)), "INC")</f>
        <v>Mark Lorens Mendoza Gilongo</v>
      </c>
      <c r="F1538" s="10" t="str">
        <f t="array" ref="F1538">IF(
    OR(
      IFNA(INDEX(data!M:M, MATCH(Caseslist!B1538, data!D:D, 0)), "") = "",
      IFNA(INDEX(data!M:M, MATCH(Caseslist!B1538, data!D:D, 0)), 0) = 0
    ),
    "COMPLETE",
    IF(
      IFNA(INDEX(dataICM!D:D, MATCH(Caseslist!B1538, dataICM!D:D, 0)), "INC") = "INC",
      IFNA(INDEX(dataICM!D:D, MATCH(Caseslist!B1538, dataICM!D:D, 0)), "INC"),
      "COMPLETE"
    )
  )</f>
        <v>COMPLETE</v>
      </c>
      <c r="G1538" s="10" t="str">
        <f t="array" ref="G1538">IF(IFERROR(INDEX(data!L:L,match(Caseslist!B1538,data!D:D,0)),"INC")="","COMPLETE",F1538)</f>
        <v>COMPLETE</v>
      </c>
      <c r="H1538" s="9" t="str">
        <f t="array" ref="H1538">IFERROR(INDEX(dataICM!F:F,match(Caseslist!B1538,dataICM!D:D,0)), "INC")</f>
        <v>Mark Lorens Mendoza Gilongo</v>
      </c>
      <c r="I1538" s="10" t="str">
        <f t="shared" si="2"/>
        <v>B8193462</v>
      </c>
      <c r="J1538" s="9" t="str">
        <f t="array" ref="J1538">IF(
  AND(
    IFERROR(MATCH(B1538, data!D:D, 0), 0) &gt; 0,
    IFERROR(INDEX(data!N:N, MATCH(B1538, data!D:D, 0)) = 1, FALSE)
  ),
  INDEX(data!C:C, MATCH(B1538, data!D:D, 0)),
  "INC"
)</f>
        <v>2025-09-05T13:15:07.993+08</v>
      </c>
      <c r="K1538" s="9" t="str">
        <f t="array" ref="K1538">IFERROR(INDEX(dataICM!C:C,match(Caseslist!B1538,dataICM!D:D,0)), "INC")</f>
        <v>2025-09-05T13:49:41.545+08</v>
      </c>
      <c r="L1538" s="10" t="str">
        <f t="array" ref="L1538">IF(AND(G1538="COMPLETE", OR(K1538="INC", ISBLANK(INDEX(data!O:O, ROW())))), J1538, K1538)</f>
        <v>2025-09-05T13:49:41.545+08</v>
      </c>
      <c r="M1538" s="2">
        <v>45905.0</v>
      </c>
      <c r="N1538" s="2">
        <f t="array" ref="N1538">IF(M1538&lt;&gt;"INC", INDEX(data!M:M, MATCH(B1538, data!D:D, 0)), "")</f>
        <v>1</v>
      </c>
      <c r="O1538" s="2">
        <f t="shared" si="3"/>
        <v>1</v>
      </c>
    </row>
    <row r="1539">
      <c r="A1539" s="2" t="str">
        <f t="shared" si="1"/>
        <v>H030566</v>
      </c>
      <c r="B1539" s="1" t="s">
        <v>3747</v>
      </c>
      <c r="C1539" s="9" t="str">
        <f t="array" ref="C1539">IF(
  AND(
    IFERROR(MATCH(Caseslist!B1539, data!D:D, 0), 0) &gt; 0,
    IFERROR(INDEX(data!N:N, MATCH(Caseslist!B1539, data!D:D, 0)) = 1, FALSE)
  ),
  "COMPLETE",
  "INC"
)</f>
        <v>COMPLETE</v>
      </c>
      <c r="D1539" s="9" t="str">
        <f t="array" ref="D1539">IFERROR(INDEX(data!$G:$G,match(Caseslist!B1539,data!$D:$D,0)), "INC")</f>
        <v>B8193462</v>
      </c>
      <c r="E1539" s="9" t="str">
        <f t="array" ref="E1539">IFERROR(INDEX(data!H:H,match(Caseslist!B1539,data!D:D,0)), "INC")</f>
        <v>Mark Lorens Mendoza Gilongo</v>
      </c>
      <c r="F1539" s="10" t="str">
        <f t="array" ref="F1539">IF(
    OR(
      IFNA(INDEX(data!M:M, MATCH(Caseslist!B1539, data!D:D, 0)), "") = "",
      IFNA(INDEX(data!M:M, MATCH(Caseslist!B1539, data!D:D, 0)), 0) = 0
    ),
    "COMPLETE",
    IF(
      IFNA(INDEX(dataICM!D:D, MATCH(Caseslist!B1539, dataICM!D:D, 0)), "INC") = "INC",
      IFNA(INDEX(dataICM!D:D, MATCH(Caseslist!B1539, dataICM!D:D, 0)), "INC"),
      "COMPLETE"
    )
  )</f>
        <v>COMPLETE</v>
      </c>
      <c r="G1539" s="10" t="str">
        <f t="array" ref="G1539">IF(IFERROR(INDEX(data!L:L,match(Caseslist!B1539,data!D:D,0)),"INC")="","COMPLETE",F1539)</f>
        <v>COMPLETE</v>
      </c>
      <c r="H1539" s="9" t="str">
        <f t="array" ref="H1539">IFERROR(INDEX(dataICM!F:F,match(Caseslist!B1539,dataICM!D:D,0)), "INC")</f>
        <v>Mark Lorens Mendoza Gilongo</v>
      </c>
      <c r="I1539" s="10" t="str">
        <f t="shared" si="2"/>
        <v>B8193462</v>
      </c>
      <c r="J1539" s="9" t="str">
        <f t="array" ref="J1539">IF(
  AND(
    IFERROR(MATCH(B1539, data!D:D, 0), 0) &gt; 0,
    IFERROR(INDEX(data!N:N, MATCH(B1539, data!D:D, 0)) = 1, FALSE)
  ),
  INDEX(data!C:C, MATCH(B1539, data!D:D, 0)),
  "INC"
)</f>
        <v>2025-09-05T10:35:59.585+08</v>
      </c>
      <c r="K1539" s="9" t="str">
        <f t="array" ref="K1539">IFERROR(INDEX(dataICM!C:C,match(Caseslist!B1539,dataICM!D:D,0)), "INC")</f>
        <v>2025-09-05T10:53:24.107+08</v>
      </c>
      <c r="L1539" s="10" t="str">
        <f t="array" ref="L1539">IF(AND(G1539="COMPLETE", OR(K1539="INC", ISBLANK(INDEX(data!O:O, ROW())))), J1539, K1539)</f>
        <v>2025-09-05T10:53:24.107+08</v>
      </c>
      <c r="M1539" s="2">
        <v>45905.0</v>
      </c>
      <c r="N1539" s="2">
        <f t="array" ref="N1539">IF(M1539&lt;&gt;"INC", INDEX(data!M:M, MATCH(B1539, data!D:D, 0)), "")</f>
        <v>1</v>
      </c>
      <c r="O1539" s="2">
        <f t="shared" si="3"/>
        <v>1</v>
      </c>
    </row>
    <row r="1540">
      <c r="A1540" s="2" t="str">
        <f t="shared" si="1"/>
        <v>H030566</v>
      </c>
      <c r="B1540" s="1" t="s">
        <v>3457</v>
      </c>
      <c r="C1540" s="9" t="str">
        <f t="array" ref="C1540">IF(
  AND(
    IFERROR(MATCH(Caseslist!B1540, data!D:D, 0), 0) &gt; 0,
    IFERROR(INDEX(data!N:N, MATCH(Caseslist!B1540, data!D:D, 0)) = 1, FALSE)
  ),
  "COMPLETE",
  "INC"
)</f>
        <v>COMPLETE</v>
      </c>
      <c r="D1540" s="9" t="str">
        <f t="array" ref="D1540">IFERROR(INDEX(data!$G:$G,match(Caseslist!B1540,data!$D:$D,0)), "INC")</f>
        <v>D1284067</v>
      </c>
      <c r="E1540" s="9" t="str">
        <f t="array" ref="E1540">IFERROR(INDEX(data!H:H,match(Caseslist!B1540,data!D:D,0)), "INC")</f>
        <v>Mariel Del Rio</v>
      </c>
      <c r="F1540" s="10" t="str">
        <f t="array" ref="F1540">IF(
    OR(
      IFNA(INDEX(data!M:M, MATCH(Caseslist!B1540, data!D:D, 0)), "") = "",
      IFNA(INDEX(data!M:M, MATCH(Caseslist!B1540, data!D:D, 0)), 0) = 0
    ),
    "COMPLETE",
    IF(
      IFNA(INDEX(dataICM!D:D, MATCH(Caseslist!B1540, dataICM!D:D, 0)), "INC") = "INC",
      IFNA(INDEX(dataICM!D:D, MATCH(Caseslist!B1540, dataICM!D:D, 0)), "INC"),
      "COMPLETE"
    )
  )</f>
        <v>COMPLETE</v>
      </c>
      <c r="G1540" s="10" t="str">
        <f t="array" ref="G1540">IF(IFERROR(INDEX(data!L:L,match(Caseslist!B1540,data!D:D,0)),"INC")="","COMPLETE",F1540)</f>
        <v>COMPLETE</v>
      </c>
      <c r="H1540" s="9" t="str">
        <f t="array" ref="H1540">IFERROR(INDEX(dataICM!F:F,match(Caseslist!B1540,dataICM!D:D,0)), "INC")</f>
        <v>Mariel Del Rio</v>
      </c>
      <c r="I1540" s="10" t="str">
        <f t="shared" si="2"/>
        <v>D1284067</v>
      </c>
      <c r="J1540" s="9" t="str">
        <f t="array" ref="J1540">IF(
  AND(
    IFERROR(MATCH(B1540, data!D:D, 0), 0) &gt; 0,
    IFERROR(INDEX(data!N:N, MATCH(B1540, data!D:D, 0)) = 1, FALSE)
  ),
  INDEX(data!C:C, MATCH(B1540, data!D:D, 0)),
  "INC"
)</f>
        <v>2025-09-04T18:12:09.614+08</v>
      </c>
      <c r="K1540" s="9" t="str">
        <f t="array" ref="K1540">IFERROR(INDEX(dataICM!C:C,match(Caseslist!B1540,dataICM!D:D,0)), "INC")</f>
        <v>2025-09-08T16:09:19.964+08</v>
      </c>
      <c r="L1540" s="10" t="str">
        <f t="array" ref="L1540">IF(AND(G1540="COMPLETE", OR(K1540="INC", ISBLANK(INDEX(data!O:O, ROW())))), J1540, K1540)</f>
        <v>2025-09-08T16:09:19.964+08</v>
      </c>
      <c r="M1540" s="2">
        <v>45908.0</v>
      </c>
      <c r="N1540" s="2">
        <f t="array" ref="N1540">IF(M1540&lt;&gt;"INC", INDEX(data!M:M, MATCH(B1540, data!D:D, 0)), "")</f>
        <v>1</v>
      </c>
      <c r="O1540" s="2">
        <f t="shared" si="3"/>
        <v>1</v>
      </c>
    </row>
    <row r="1541">
      <c r="A1541" s="2" t="str">
        <f t="shared" si="1"/>
        <v>H030566</v>
      </c>
      <c r="B1541" s="1" t="s">
        <v>3397</v>
      </c>
      <c r="C1541" s="9" t="str">
        <f t="array" ref="C1541">IF(
  AND(
    IFERROR(MATCH(Caseslist!B1541, data!D:D, 0), 0) &gt; 0,
    IFERROR(INDEX(data!N:N, MATCH(Caseslist!B1541, data!D:D, 0)) = 1, FALSE)
  ),
  "COMPLETE",
  "INC"
)</f>
        <v>COMPLETE</v>
      </c>
      <c r="D1541" s="9" t="str">
        <f t="array" ref="D1541">IFERROR(INDEX(data!$G:$G,match(Caseslist!B1541,data!$D:$D,0)), "INC")</f>
        <v>B8193462</v>
      </c>
      <c r="E1541" s="9" t="str">
        <f t="array" ref="E1541">IFERROR(INDEX(data!H:H,match(Caseslist!B1541,data!D:D,0)), "INC")</f>
        <v>Mark Lorens Mendoza Gilongo</v>
      </c>
      <c r="F1541" s="10" t="str">
        <f t="array" ref="F1541">IF(
    OR(
      IFNA(INDEX(data!M:M, MATCH(Caseslist!B1541, data!D:D, 0)), "") = "",
      IFNA(INDEX(data!M:M, MATCH(Caseslist!B1541, data!D:D, 0)), 0) = 0
    ),
    "COMPLETE",
    IF(
      IFNA(INDEX(dataICM!D:D, MATCH(Caseslist!B1541, dataICM!D:D, 0)), "INC") = "INC",
      IFNA(INDEX(dataICM!D:D, MATCH(Caseslist!B1541, dataICM!D:D, 0)), "INC"),
      "COMPLETE"
    )
  )</f>
        <v>COMPLETE</v>
      </c>
      <c r="G1541" s="10" t="str">
        <f t="array" ref="G1541">IF(IFERROR(INDEX(data!L:L,match(Caseslist!B1541,data!D:D,0)),"INC")="","COMPLETE",F1541)</f>
        <v>COMPLETE</v>
      </c>
      <c r="H1541" s="9" t="str">
        <f t="array" ref="H1541">IFERROR(INDEX(dataICM!F:F,match(Caseslist!B1541,dataICM!D:D,0)), "INC")</f>
        <v>Mark Lorens Mendoza Gilongo</v>
      </c>
      <c r="I1541" s="10" t="str">
        <f t="shared" si="2"/>
        <v>B8193462</v>
      </c>
      <c r="J1541" s="9" t="str">
        <f t="array" ref="J1541">IF(
  AND(
    IFERROR(MATCH(B1541, data!D:D, 0), 0) &gt; 0,
    IFERROR(INDEX(data!N:N, MATCH(B1541, data!D:D, 0)) = 1, FALSE)
  ),
  INDEX(data!C:C, MATCH(B1541, data!D:D, 0)),
  "INC"
)</f>
        <v>2025-09-04T13:10:52.443+08</v>
      </c>
      <c r="K1541" s="9" t="str">
        <f t="array" ref="K1541">IFERROR(INDEX(dataICM!C:C,match(Caseslist!B1541,dataICM!D:D,0)), "INC")</f>
        <v>2025-09-04T13:40:08.219+08</v>
      </c>
      <c r="L1541" s="10" t="str">
        <f t="array" ref="L1541">IF(AND(G1541="COMPLETE", OR(K1541="INC", ISBLANK(INDEX(data!O:O, ROW())))), J1541, K1541)</f>
        <v>2025-09-04T13:40:08.219+08</v>
      </c>
      <c r="M1541" s="2">
        <v>45904.0</v>
      </c>
      <c r="N1541" s="2">
        <f t="array" ref="N1541">IF(M1541&lt;&gt;"INC", INDEX(data!M:M, MATCH(B1541, data!D:D, 0)), "")</f>
        <v>1</v>
      </c>
      <c r="O1541" s="2">
        <f t="shared" si="3"/>
        <v>1</v>
      </c>
    </row>
    <row r="1542">
      <c r="A1542" s="2" t="str">
        <f t="shared" si="1"/>
        <v>H030566</v>
      </c>
      <c r="B1542" s="1" t="s">
        <v>3937</v>
      </c>
      <c r="C1542" s="9" t="str">
        <f t="array" ref="C1542">IF(
  AND(
    IFERROR(MATCH(Caseslist!B1542, data!D:D, 0), 0) &gt; 0,
    IFERROR(INDEX(data!N:N, MATCH(Caseslist!B1542, data!D:D, 0)) = 1, FALSE)
  ),
  "COMPLETE",
  "INC"
)</f>
        <v>COMPLETE</v>
      </c>
      <c r="D1542" s="9" t="str">
        <f t="array" ref="D1542">IFERROR(INDEX(data!$G:$G,match(Caseslist!B1542,data!$D:$D,0)), "INC")</f>
        <v>D1284067</v>
      </c>
      <c r="E1542" s="9" t="str">
        <f t="array" ref="E1542">IFERROR(INDEX(data!H:H,match(Caseslist!B1542,data!D:D,0)), "INC")</f>
        <v>Mariel Del Rio</v>
      </c>
      <c r="F1542" s="10" t="str">
        <f t="array" ref="F1542">IF(
    OR(
      IFNA(INDEX(data!M:M, MATCH(Caseslist!B1542, data!D:D, 0)), "") = "",
      IFNA(INDEX(data!M:M, MATCH(Caseslist!B1542, data!D:D, 0)), 0) = 0
    ),
    "COMPLETE",
    IF(
      IFNA(INDEX(dataICM!D:D, MATCH(Caseslist!B1542, dataICM!D:D, 0)), "INC") = "INC",
      IFNA(INDEX(dataICM!D:D, MATCH(Caseslist!B1542, dataICM!D:D, 0)), "INC"),
      "COMPLETE"
    )
  )</f>
        <v>COMPLETE</v>
      </c>
      <c r="G1542" s="10" t="str">
        <f t="array" ref="G1542">IF(IFERROR(INDEX(data!L:L,match(Caseslist!B1542,data!D:D,0)),"INC")="","COMPLETE",F1542)</f>
        <v>COMPLETE</v>
      </c>
      <c r="H1542" s="9" t="str">
        <f t="array" ref="H1542">IFERROR(INDEX(dataICM!F:F,match(Caseslist!B1542,dataICM!D:D,0)), "INC")</f>
        <v>Mariel Del Rio</v>
      </c>
      <c r="I1542" s="10" t="str">
        <f t="shared" si="2"/>
        <v>D1284067</v>
      </c>
      <c r="J1542" s="9" t="str">
        <f t="array" ref="J1542">IF(
  AND(
    IFERROR(MATCH(B1542, data!D:D, 0), 0) &gt; 0,
    IFERROR(INDEX(data!N:N, MATCH(B1542, data!D:D, 0)) = 1, FALSE)
  ),
  INDEX(data!C:C, MATCH(B1542, data!D:D, 0)),
  "INC"
)</f>
        <v>2025-09-05T10:04:17.816+08</v>
      </c>
      <c r="K1542" s="9" t="str">
        <f t="array" ref="K1542">IFERROR(INDEX(dataICM!C:C,match(Caseslist!B1542,dataICM!D:D,0)), "INC")</f>
        <v>2025-09-05T10:27:47.728+08</v>
      </c>
      <c r="L1542" s="10" t="str">
        <f t="array" ref="L1542">IF(AND(G1542="COMPLETE", OR(K1542="INC", ISBLANK(INDEX(data!O:O, ROW())))), J1542, K1542)</f>
        <v>2025-09-05T10:27:47.728+08</v>
      </c>
      <c r="M1542" s="2">
        <v>45905.0</v>
      </c>
      <c r="N1542" s="2">
        <f t="array" ref="N1542">IF(M1542&lt;&gt;"INC", INDEX(data!M:M, MATCH(B1542, data!D:D, 0)), "")</f>
        <v>1</v>
      </c>
      <c r="O1542" s="2">
        <f t="shared" si="3"/>
        <v>1</v>
      </c>
    </row>
    <row r="1543">
      <c r="A1543" s="2" t="str">
        <f t="shared" si="1"/>
        <v>H030566</v>
      </c>
      <c r="B1543" s="1" t="s">
        <v>3957</v>
      </c>
      <c r="C1543" s="9" t="str">
        <f t="array" ref="C1543">IF(
  AND(
    IFERROR(MATCH(Caseslist!B1543, data!D:D, 0), 0) &gt; 0,
    IFERROR(INDEX(data!N:N, MATCH(Caseslist!B1543, data!D:D, 0)) = 1, FALSE)
  ),
  "COMPLETE",
  "INC"
)</f>
        <v>INC</v>
      </c>
      <c r="D1543" s="9" t="str">
        <f t="array" ref="D1543">IFERROR(INDEX(data!$G:$G,match(Caseslist!B1543,data!$D:$D,0)), "INC")</f>
        <v>B8193462</v>
      </c>
      <c r="E1543" s="9" t="str">
        <f t="array" ref="E1543">IFERROR(INDEX(data!H:H,match(Caseslist!B1543,data!D:D,0)), "INC")</f>
        <v>Mark Lorens Mendoza Gilongo</v>
      </c>
      <c r="F1543" s="10" t="str">
        <f t="array" ref="F1543">IF(
    OR(
      IFNA(INDEX(data!M:M, MATCH(Caseslist!B1543, data!D:D, 0)), "") = "",
      IFNA(INDEX(data!M:M, MATCH(Caseslist!B1543, data!D:D, 0)), 0) = 0
    ),
    "COMPLETE",
    IF(
      IFNA(INDEX(dataICM!D:D, MATCH(Caseslist!B1543, dataICM!D:D, 0)), "INC") = "INC",
      IFNA(INDEX(dataICM!D:D, MATCH(Caseslist!B1543, dataICM!D:D, 0)), "INC"),
      "COMPLETE"
    )
  )</f>
        <v>INC</v>
      </c>
      <c r="G1543" s="10" t="str">
        <f t="array" ref="G1543">IF(IFERROR(INDEX(data!L:L,match(Caseslist!B1543,data!D:D,0)),"INC")="","COMPLETE",F1543)</f>
        <v>INC</v>
      </c>
      <c r="H1543" s="9" t="str">
        <f t="array" ref="H1543">IFERROR(INDEX(dataICM!F:F,match(Caseslist!B1543,dataICM!D:D,0)), "INC")</f>
        <v>INC</v>
      </c>
      <c r="I1543" s="10" t="str">
        <f t="shared" si="2"/>
        <v>INC</v>
      </c>
      <c r="J1543" s="9" t="str">
        <f t="array" ref="J1543">IF(
  AND(
    IFERROR(MATCH(B1543, data!D:D, 0), 0) &gt; 0,
    IFERROR(INDEX(data!N:N, MATCH(B1543, data!D:D, 0)) = 1, FALSE)
  ),
  INDEX(data!C:C, MATCH(B1543, data!D:D, 0)),
  "INC"
)</f>
        <v>INC</v>
      </c>
      <c r="K1543" s="9" t="str">
        <f t="array" ref="K1543">IFERROR(INDEX(dataICM!C:C,match(Caseslist!B1543,dataICM!D:D,0)), "INC")</f>
        <v>INC</v>
      </c>
      <c r="L1543" s="10" t="str">
        <f t="array" ref="L1543">IF(AND(G1543="COMPLETE", OR(K1543="INC", ISBLANK(INDEX(data!O:O, ROW())))), J1543, K1543)</f>
        <v>INC</v>
      </c>
      <c r="M1543" s="2" t="s">
        <v>8886</v>
      </c>
      <c r="N1543" s="2" t="str">
        <f t="array" ref="N1543">IF(M1543&lt;&gt;"INC", INDEX(data!M:M, MATCH(B1543, data!D:D, 0)), "")</f>
        <v/>
      </c>
      <c r="O1543" s="2" t="str">
        <f t="shared" si="3"/>
        <v/>
      </c>
    </row>
    <row r="1544">
      <c r="A1544" s="2" t="str">
        <f t="shared" si="1"/>
        <v>H030566</v>
      </c>
      <c r="B1544" s="1" t="s">
        <v>3407</v>
      </c>
      <c r="C1544" s="9" t="str">
        <f t="array" ref="C1544">IF(
  AND(
    IFERROR(MATCH(Caseslist!B1544, data!D:D, 0), 0) &gt; 0,
    IFERROR(INDEX(data!N:N, MATCH(Caseslist!B1544, data!D:D, 0)) = 1, FALSE)
  ),
  "COMPLETE",
  "INC"
)</f>
        <v>COMPLETE</v>
      </c>
      <c r="D1544" s="9" t="str">
        <f t="array" ref="D1544">IFERROR(INDEX(data!$G:$G,match(Caseslist!B1544,data!$D:$D,0)), "INC")</f>
        <v>B8193462</v>
      </c>
      <c r="E1544" s="9" t="str">
        <f t="array" ref="E1544">IFERROR(INDEX(data!H:H,match(Caseslist!B1544,data!D:D,0)), "INC")</f>
        <v>Mark Lorens Mendoza Gilongo</v>
      </c>
      <c r="F1544" s="10" t="str">
        <f t="array" ref="F1544">IF(
    OR(
      IFNA(INDEX(data!M:M, MATCH(Caseslist!B1544, data!D:D, 0)), "") = "",
      IFNA(INDEX(data!M:M, MATCH(Caseslist!B1544, data!D:D, 0)), 0) = 0
    ),
    "COMPLETE",
    IF(
      IFNA(INDEX(dataICM!D:D, MATCH(Caseslist!B1544, dataICM!D:D, 0)), "INC") = "INC",
      IFNA(INDEX(dataICM!D:D, MATCH(Caseslist!B1544, dataICM!D:D, 0)), "INC"),
      "COMPLETE"
    )
  )</f>
        <v>COMPLETE</v>
      </c>
      <c r="G1544" s="10" t="str">
        <f t="array" ref="G1544">IF(IFERROR(INDEX(data!L:L,match(Caseslist!B1544,data!D:D,0)),"INC")="","COMPLETE",F1544)</f>
        <v>COMPLETE</v>
      </c>
      <c r="H1544" s="9" t="str">
        <f t="array" ref="H1544">IFERROR(INDEX(dataICM!F:F,match(Caseslist!B1544,dataICM!D:D,0)), "INC")</f>
        <v>Mark Lorens Mendoza Gilongo</v>
      </c>
      <c r="I1544" s="10" t="str">
        <f t="shared" si="2"/>
        <v>B8193462</v>
      </c>
      <c r="J1544" s="9" t="str">
        <f t="array" ref="J1544">IF(
  AND(
    IFERROR(MATCH(B1544, data!D:D, 0), 0) &gt; 0,
    IFERROR(INDEX(data!N:N, MATCH(B1544, data!D:D, 0)) = 1, FALSE)
  ),
  INDEX(data!C:C, MATCH(B1544, data!D:D, 0)),
  "INC"
)</f>
        <v>2025-09-04T15:37:16.296+08</v>
      </c>
      <c r="K1544" s="9" t="str">
        <f t="array" ref="K1544">IFERROR(INDEX(dataICM!C:C,match(Caseslist!B1544,dataICM!D:D,0)), "INC")</f>
        <v>2025-09-04T18:43:16.216+08</v>
      </c>
      <c r="L1544" s="10" t="str">
        <f t="array" ref="L1544">IF(AND(G1544="COMPLETE", OR(K1544="INC", ISBLANK(INDEX(data!O:O, ROW())))), J1544, K1544)</f>
        <v>2025-09-04T18:43:16.216+08</v>
      </c>
      <c r="M1544" s="2">
        <v>45904.0</v>
      </c>
      <c r="N1544" s="2">
        <f t="array" ref="N1544">IF(M1544&lt;&gt;"INC", INDEX(data!M:M, MATCH(B1544, data!D:D, 0)), "")</f>
        <v>1</v>
      </c>
      <c r="O1544" s="2">
        <f t="shared" si="3"/>
        <v>1</v>
      </c>
    </row>
    <row r="1545">
      <c r="A1545" s="2" t="str">
        <f t="shared" si="1"/>
        <v>H030566</v>
      </c>
      <c r="B1545" s="1" t="s">
        <v>3452</v>
      </c>
      <c r="C1545" s="9" t="str">
        <f t="array" ref="C1545">IF(
  AND(
    IFERROR(MATCH(Caseslist!B1545, data!D:D, 0), 0) &gt; 0,
    IFERROR(INDEX(data!N:N, MATCH(Caseslist!B1545, data!D:D, 0)) = 1, FALSE)
  ),
  "COMPLETE",
  "INC"
)</f>
        <v>COMPLETE</v>
      </c>
      <c r="D1545" s="9" t="str">
        <f t="array" ref="D1545">IFERROR(INDEX(data!$G:$G,match(Caseslist!B1545,data!$D:$D,0)), "INC")</f>
        <v>D1284067</v>
      </c>
      <c r="E1545" s="9" t="str">
        <f t="array" ref="E1545">IFERROR(INDEX(data!H:H,match(Caseslist!B1545,data!D:D,0)), "INC")</f>
        <v>Mariel Del Rio</v>
      </c>
      <c r="F1545" s="10" t="str">
        <f t="array" ref="F1545">IF(
    OR(
      IFNA(INDEX(data!M:M, MATCH(Caseslist!B1545, data!D:D, 0)), "") = "",
      IFNA(INDEX(data!M:M, MATCH(Caseslist!B1545, data!D:D, 0)), 0) = 0
    ),
    "COMPLETE",
    IF(
      IFNA(INDEX(dataICM!D:D, MATCH(Caseslist!B1545, dataICM!D:D, 0)), "INC") = "INC",
      IFNA(INDEX(dataICM!D:D, MATCH(Caseslist!B1545, dataICM!D:D, 0)), "INC"),
      "COMPLETE"
    )
  )</f>
        <v>COMPLETE</v>
      </c>
      <c r="G1545" s="10" t="str">
        <f t="array" ref="G1545">IF(IFERROR(INDEX(data!L:L,match(Caseslist!B1545,data!D:D,0)),"INC")="","COMPLETE",F1545)</f>
        <v>COMPLETE</v>
      </c>
      <c r="H1545" s="9" t="str">
        <f t="array" ref="H1545">IFERROR(INDEX(dataICM!F:F,match(Caseslist!B1545,dataICM!D:D,0)), "INC")</f>
        <v>Mariel Del Rio</v>
      </c>
      <c r="I1545" s="10" t="str">
        <f t="shared" si="2"/>
        <v>D1284067</v>
      </c>
      <c r="J1545" s="9" t="str">
        <f t="array" ref="J1545">IF(
  AND(
    IFERROR(MATCH(B1545, data!D:D, 0), 0) &gt; 0,
    IFERROR(INDEX(data!N:N, MATCH(B1545, data!D:D, 0)) = 1, FALSE)
  ),
  INDEX(data!C:C, MATCH(B1545, data!D:D, 0)),
  "INC"
)</f>
        <v>2025-09-04T15:48:37.784+08</v>
      </c>
      <c r="K1545" s="9" t="str">
        <f t="array" ref="K1545">IFERROR(INDEX(dataICM!C:C,match(Caseslist!B1545,dataICM!D:D,0)), "INC")</f>
        <v>2025-09-04T18:08:52.368+08</v>
      </c>
      <c r="L1545" s="10" t="str">
        <f t="array" ref="L1545">IF(AND(G1545="COMPLETE", OR(K1545="INC", ISBLANK(INDEX(data!O:O, ROW())))), J1545, K1545)</f>
        <v>2025-09-04T18:08:52.368+08</v>
      </c>
      <c r="M1545" s="2">
        <v>45904.0</v>
      </c>
      <c r="N1545" s="2">
        <f t="array" ref="N1545">IF(M1545&lt;&gt;"INC", INDEX(data!M:M, MATCH(B1545, data!D:D, 0)), "")</f>
        <v>1</v>
      </c>
      <c r="O1545" s="2">
        <f t="shared" si="3"/>
        <v>1</v>
      </c>
    </row>
    <row r="1546">
      <c r="A1546" s="2" t="str">
        <f t="shared" si="1"/>
        <v>H030566</v>
      </c>
      <c r="B1546" s="1" t="s">
        <v>3757</v>
      </c>
      <c r="C1546" s="9" t="str">
        <f t="array" ref="C1546">IF(
  AND(
    IFERROR(MATCH(Caseslist!B1546, data!D:D, 0), 0) &gt; 0,
    IFERROR(INDEX(data!N:N, MATCH(Caseslist!B1546, data!D:D, 0)) = 1, FALSE)
  ),
  "COMPLETE",
  "INC"
)</f>
        <v>COMPLETE</v>
      </c>
      <c r="D1546" s="9" t="str">
        <f t="array" ref="D1546">IFERROR(INDEX(data!$G:$G,match(Caseslist!B1546,data!$D:$D,0)), "INC")</f>
        <v>C7502931</v>
      </c>
      <c r="E1546" s="9" t="str">
        <f t="array" ref="E1546">IFERROR(INDEX(data!H:H,match(Caseslist!B1546,data!D:D,0)), "INC")</f>
        <v>Jenny Lou Toles Estacio</v>
      </c>
      <c r="F1546" s="10" t="str">
        <f t="array" ref="F1546">IF(
    OR(
      IFNA(INDEX(data!M:M, MATCH(Caseslist!B1546, data!D:D, 0)), "") = "",
      IFNA(INDEX(data!M:M, MATCH(Caseslist!B1546, data!D:D, 0)), 0) = 0
    ),
    "COMPLETE",
    IF(
      IFNA(INDEX(dataICM!D:D, MATCH(Caseslist!B1546, dataICM!D:D, 0)), "INC") = "INC",
      IFNA(INDEX(dataICM!D:D, MATCH(Caseslist!B1546, dataICM!D:D, 0)), "INC"),
      "COMPLETE"
    )
  )</f>
        <v>COMPLETE</v>
      </c>
      <c r="G1546" s="10" t="str">
        <f t="array" ref="G1546">IF(IFERROR(INDEX(data!L:L,match(Caseslist!B1546,data!D:D,0)),"INC")="","COMPLETE",F1546)</f>
        <v>COMPLETE</v>
      </c>
      <c r="H1546" s="9" t="str">
        <f t="array" ref="H1546">IFERROR(INDEX(dataICM!F:F,match(Caseslist!B1546,dataICM!D:D,0)), "INC")</f>
        <v>Jenny Lou Toles Estacio</v>
      </c>
      <c r="I1546" s="10" t="str">
        <f t="shared" si="2"/>
        <v>C7502931</v>
      </c>
      <c r="J1546" s="9" t="str">
        <f t="array" ref="J1546">IF(
  AND(
    IFERROR(MATCH(B1546, data!D:D, 0), 0) &gt; 0,
    IFERROR(INDEX(data!N:N, MATCH(B1546, data!D:D, 0)) = 1, FALSE)
  ),
  INDEX(data!C:C, MATCH(B1546, data!D:D, 0)),
  "INC"
)</f>
        <v>2025-09-30T14:04:55.209+08</v>
      </c>
      <c r="K1546" s="9" t="str">
        <f t="array" ref="K1546">IFERROR(INDEX(dataICM!C:C,match(Caseslist!B1546,dataICM!D:D,0)), "INC")</f>
        <v>2025-09-30T18:23:26.322+08</v>
      </c>
      <c r="L1546" s="10" t="str">
        <f t="array" ref="L1546">IF(AND(G1546="COMPLETE", OR(K1546="INC", ISBLANK(INDEX(data!O:O, ROW())))), J1546, K1546)</f>
        <v>2025-09-30T18:23:26.322+08</v>
      </c>
      <c r="M1546" s="2">
        <v>45930.0</v>
      </c>
      <c r="N1546" s="2">
        <f t="array" ref="N1546">IF(M1546&lt;&gt;"INC", INDEX(data!M:M, MATCH(B1546, data!D:D, 0)), "")</f>
        <v>1</v>
      </c>
      <c r="O1546" s="2">
        <f t="shared" si="3"/>
        <v>1</v>
      </c>
    </row>
    <row r="1547">
      <c r="A1547" s="2" t="str">
        <f t="shared" si="1"/>
        <v>H030566</v>
      </c>
      <c r="B1547" s="1" t="s">
        <v>3952</v>
      </c>
      <c r="C1547" s="9" t="str">
        <f t="array" ref="C1547">IF(
  AND(
    IFERROR(MATCH(Caseslist!B1547, data!D:D, 0), 0) &gt; 0,
    IFERROR(INDEX(data!N:N, MATCH(Caseslist!B1547, data!D:D, 0)) = 1, FALSE)
  ),
  "COMPLETE",
  "INC"
)</f>
        <v>COMPLETE</v>
      </c>
      <c r="D1547" s="9" t="str">
        <f t="array" ref="D1547">IFERROR(INDEX(data!$G:$G,match(Caseslist!B1547,data!$D:$D,0)), "INC")</f>
        <v>B8193462</v>
      </c>
      <c r="E1547" s="9" t="str">
        <f t="array" ref="E1547">IFERROR(INDEX(data!H:H,match(Caseslist!B1547,data!D:D,0)), "INC")</f>
        <v>Mark Lorens Mendoza Gilongo</v>
      </c>
      <c r="F1547" s="10" t="str">
        <f t="array" ref="F1547">IF(
    OR(
      IFNA(INDEX(data!M:M, MATCH(Caseslist!B1547, data!D:D, 0)), "") = "",
      IFNA(INDEX(data!M:M, MATCH(Caseslist!B1547, data!D:D, 0)), 0) = 0
    ),
    "COMPLETE",
    IF(
      IFNA(INDEX(dataICM!D:D, MATCH(Caseslist!B1547, dataICM!D:D, 0)), "INC") = "INC",
      IFNA(INDEX(dataICM!D:D, MATCH(Caseslist!B1547, dataICM!D:D, 0)), "INC"),
      "COMPLETE"
    )
  )</f>
        <v>INC</v>
      </c>
      <c r="G1547" s="10" t="str">
        <f t="array" ref="G1547">IF(IFERROR(INDEX(data!L:L,match(Caseslist!B1547,data!D:D,0)),"INC")="","COMPLETE",F1547)</f>
        <v>INC</v>
      </c>
      <c r="H1547" s="9" t="str">
        <f t="array" ref="H1547">IFERROR(INDEX(dataICM!F:F,match(Caseslist!B1547,dataICM!D:D,0)), "INC")</f>
        <v>INC</v>
      </c>
      <c r="I1547" s="10" t="str">
        <f t="shared" si="2"/>
        <v>INC</v>
      </c>
      <c r="J1547" s="9" t="str">
        <f t="array" ref="J1547">IF(
  AND(
    IFERROR(MATCH(B1547, data!D:D, 0), 0) &gt; 0,
    IFERROR(INDEX(data!N:N, MATCH(B1547, data!D:D, 0)) = 1, FALSE)
  ),
  INDEX(data!C:C, MATCH(B1547, data!D:D, 0)),
  "INC"
)</f>
        <v>2025-10-02T18:32:51.161+08</v>
      </c>
      <c r="K1547" s="9" t="str">
        <f t="array" ref="K1547">IFERROR(INDEX(dataICM!C:C,match(Caseslist!B1547,dataICM!D:D,0)), "INC")</f>
        <v>INC</v>
      </c>
      <c r="L1547" s="10" t="str">
        <f t="array" ref="L1547">IF(AND(G1547="COMPLETE", OR(K1547="INC", ISBLANK(INDEX(data!O:O, ROW())))), J1547, K1547)</f>
        <v>INC</v>
      </c>
      <c r="M1547" s="2" t="s">
        <v>8886</v>
      </c>
      <c r="N1547" s="2" t="str">
        <f t="array" ref="N1547">IF(M1547&lt;&gt;"INC", INDEX(data!M:M, MATCH(B1547, data!D:D, 0)), "")</f>
        <v/>
      </c>
      <c r="O1547" s="2" t="str">
        <f t="shared" si="3"/>
        <v/>
      </c>
    </row>
    <row r="1548">
      <c r="A1548" s="2" t="str">
        <f t="shared" si="1"/>
        <v>H030566</v>
      </c>
      <c r="B1548" s="1" t="s">
        <v>3752</v>
      </c>
      <c r="C1548" s="9" t="str">
        <f t="array" ref="C1548">IF(
  AND(
    IFERROR(MATCH(Caseslist!B1548, data!D:D, 0), 0) &gt; 0,
    IFERROR(INDEX(data!N:N, MATCH(Caseslist!B1548, data!D:D, 0)) = 1, FALSE)
  ),
  "COMPLETE",
  "INC"
)</f>
        <v>COMPLETE</v>
      </c>
      <c r="D1548" s="9" t="str">
        <f t="array" ref="D1548">IFERROR(INDEX(data!$G:$G,match(Caseslist!B1548,data!$D:$D,0)), "INC")</f>
        <v>B8193462</v>
      </c>
      <c r="E1548" s="9" t="str">
        <f t="array" ref="E1548">IFERROR(INDEX(data!H:H,match(Caseslist!B1548,data!D:D,0)), "INC")</f>
        <v>Mark Lorens Mendoza Gilongo</v>
      </c>
      <c r="F1548" s="10" t="str">
        <f t="array" ref="F1548">IF(
    OR(
      IFNA(INDEX(data!M:M, MATCH(Caseslist!B1548, data!D:D, 0)), "") = "",
      IFNA(INDEX(data!M:M, MATCH(Caseslist!B1548, data!D:D, 0)), 0) = 0
    ),
    "COMPLETE",
    IF(
      IFNA(INDEX(dataICM!D:D, MATCH(Caseslist!B1548, dataICM!D:D, 0)), "INC") = "INC",
      IFNA(INDEX(dataICM!D:D, MATCH(Caseslist!B1548, dataICM!D:D, 0)), "INC"),
      "COMPLETE"
    )
  )</f>
        <v>COMPLETE</v>
      </c>
      <c r="G1548" s="10" t="str">
        <f t="array" ref="G1548">IF(IFERROR(INDEX(data!L:L,match(Caseslist!B1548,data!D:D,0)),"INC")="","COMPLETE",F1548)</f>
        <v>COMPLETE</v>
      </c>
      <c r="H1548" s="9" t="str">
        <f t="array" ref="H1548">IFERROR(INDEX(dataICM!F:F,match(Caseslist!B1548,dataICM!D:D,0)), "INC")</f>
        <v>Mark Lorens Mendoza Gilongo</v>
      </c>
      <c r="I1548" s="10" t="str">
        <f t="shared" si="2"/>
        <v>B8193462</v>
      </c>
      <c r="J1548" s="9" t="str">
        <f t="array" ref="J1548">IF(
  AND(
    IFERROR(MATCH(B1548, data!D:D, 0), 0) &gt; 0,
    IFERROR(INDEX(data!N:N, MATCH(B1548, data!D:D, 0)) = 1, FALSE)
  ),
  INDEX(data!C:C, MATCH(B1548, data!D:D, 0)),
  "INC"
)</f>
        <v>2025-09-05T11:45:36.218+08</v>
      </c>
      <c r="K1548" s="9" t="str">
        <f t="array" ref="K1548">IFERROR(INDEX(dataICM!C:C,match(Caseslist!B1548,dataICM!D:D,0)), "INC")</f>
        <v>2025-09-05T11:57:04.419+08</v>
      </c>
      <c r="L1548" s="10" t="str">
        <f t="array" ref="L1548">IF(AND(G1548="COMPLETE", OR(K1548="INC", ISBLANK(INDEX(data!O:O, ROW())))), J1548, K1548)</f>
        <v>2025-09-05T11:57:04.419+08</v>
      </c>
      <c r="M1548" s="2">
        <v>45905.0</v>
      </c>
      <c r="N1548" s="2">
        <f t="array" ref="N1548">IF(M1548&lt;&gt;"INC", INDEX(data!M:M, MATCH(B1548, data!D:D, 0)), "")</f>
        <v>1</v>
      </c>
      <c r="O1548" s="2">
        <f t="shared" si="3"/>
        <v>1</v>
      </c>
    </row>
    <row r="1549">
      <c r="A1549" s="2" t="str">
        <f t="shared" si="1"/>
        <v>H030566</v>
      </c>
      <c r="B1549" s="1" t="s">
        <v>3447</v>
      </c>
      <c r="C1549" s="9" t="str">
        <f t="array" ref="C1549">IF(
  AND(
    IFERROR(MATCH(Caseslist!B1549, data!D:D, 0), 0) &gt; 0,
    IFERROR(INDEX(data!N:N, MATCH(Caseslist!B1549, data!D:D, 0)) = 1, FALSE)
  ),
  "COMPLETE",
  "INC"
)</f>
        <v>COMPLETE</v>
      </c>
      <c r="D1549" s="9" t="str">
        <f t="array" ref="D1549">IFERROR(INDEX(data!$G:$G,match(Caseslist!B1549,data!$D:$D,0)), "INC")</f>
        <v>D1284067</v>
      </c>
      <c r="E1549" s="9" t="str">
        <f t="array" ref="E1549">IFERROR(INDEX(data!H:H,match(Caseslist!B1549,data!D:D,0)), "INC")</f>
        <v>Mariel Del Rio</v>
      </c>
      <c r="F1549" s="10" t="str">
        <f t="array" ref="F1549">IF(
    OR(
      IFNA(INDEX(data!M:M, MATCH(Caseslist!B1549, data!D:D, 0)), "") = "",
      IFNA(INDEX(data!M:M, MATCH(Caseslist!B1549, data!D:D, 0)), 0) = 0
    ),
    "COMPLETE",
    IF(
      IFNA(INDEX(dataICM!D:D, MATCH(Caseslist!B1549, dataICM!D:D, 0)), "INC") = "INC",
      IFNA(INDEX(dataICM!D:D, MATCH(Caseslist!B1549, dataICM!D:D, 0)), "INC"),
      "COMPLETE"
    )
  )</f>
        <v>COMPLETE</v>
      </c>
      <c r="G1549" s="10" t="str">
        <f t="array" ref="G1549">IF(IFERROR(INDEX(data!L:L,match(Caseslist!B1549,data!D:D,0)),"INC")="","COMPLETE",F1549)</f>
        <v>COMPLETE</v>
      </c>
      <c r="H1549" s="9" t="str">
        <f t="array" ref="H1549">IFERROR(INDEX(dataICM!F:F,match(Caseslist!B1549,dataICM!D:D,0)), "INC")</f>
        <v>Mariel Del Rio</v>
      </c>
      <c r="I1549" s="10" t="str">
        <f t="shared" si="2"/>
        <v>D1284067</v>
      </c>
      <c r="J1549" s="9" t="str">
        <f t="array" ref="J1549">IF(
  AND(
    IFERROR(MATCH(B1549, data!D:D, 0), 0) &gt; 0,
    IFERROR(INDEX(data!N:N, MATCH(B1549, data!D:D, 0)) = 1, FALSE)
  ),
  INDEX(data!C:C, MATCH(B1549, data!D:D, 0)),
  "INC"
)</f>
        <v>2025-09-04T12:34:09.957+08</v>
      </c>
      <c r="K1549" s="9" t="str">
        <f t="array" ref="K1549">IFERROR(INDEX(dataICM!C:C,match(Caseslist!B1549,dataICM!D:D,0)), "INC")</f>
        <v>2025-09-04T12:41:17.365+08</v>
      </c>
      <c r="L1549" s="10" t="str">
        <f t="array" ref="L1549">IF(AND(G1549="COMPLETE", OR(K1549="INC", ISBLANK(INDEX(data!O:O, ROW())))), J1549, K1549)</f>
        <v>2025-09-04T12:41:17.365+08</v>
      </c>
      <c r="M1549" s="2">
        <v>45904.0</v>
      </c>
      <c r="N1549" s="2">
        <f t="array" ref="N1549">IF(M1549&lt;&gt;"INC", INDEX(data!M:M, MATCH(B1549, data!D:D, 0)), "")</f>
        <v>1</v>
      </c>
      <c r="O1549" s="2">
        <f t="shared" si="3"/>
        <v>1</v>
      </c>
    </row>
    <row r="1550">
      <c r="A1550" s="2" t="str">
        <f t="shared" si="1"/>
        <v>H030597</v>
      </c>
      <c r="B1550" s="1" t="s">
        <v>3107</v>
      </c>
      <c r="C1550" s="9" t="str">
        <f t="array" ref="C1550">IF(
  AND(
    IFERROR(MATCH(Caseslist!B1550, data!D:D, 0), 0) &gt; 0,
    IFERROR(INDEX(data!N:N, MATCH(Caseslist!B1550, data!D:D, 0)) = 1, FALSE)
  ),
  "COMPLETE",
  "INC"
)</f>
        <v>COMPLETE</v>
      </c>
      <c r="D1550" s="9" t="str">
        <f t="array" ref="D1550">IFERROR(INDEX(data!$G:$G,match(Caseslist!B1550,data!$D:$D,0)), "INC")</f>
        <v>F3051749</v>
      </c>
      <c r="E1550" s="9" t="str">
        <f t="array" ref="E1550">IFERROR(INDEX(data!H:H,match(Caseslist!B1550,data!D:D,0)), "INC")</f>
        <v>Elenita Gicos De La Pe�a</v>
      </c>
      <c r="F1550" s="10" t="str">
        <f t="array" ref="F1550">IF(
    OR(
      IFNA(INDEX(data!M:M, MATCH(Caseslist!B1550, data!D:D, 0)), "") = "",
      IFNA(INDEX(data!M:M, MATCH(Caseslist!B1550, data!D:D, 0)), 0) = 0
    ),
    "COMPLETE",
    IF(
      IFNA(INDEX(dataICM!D:D, MATCH(Caseslist!B1550, dataICM!D:D, 0)), "INC") = "INC",
      IFNA(INDEX(dataICM!D:D, MATCH(Caseslist!B1550, dataICM!D:D, 0)), "INC"),
      "COMPLETE"
    )
  )</f>
        <v>COMPLETE</v>
      </c>
      <c r="G1550" s="10" t="str">
        <f t="array" ref="G1550">IF(IFERROR(INDEX(data!L:L,match(Caseslist!B1550,data!D:D,0)),"INC")="","COMPLETE",F1550)</f>
        <v>COMPLETE</v>
      </c>
      <c r="H1550" s="9" t="str">
        <f t="array" ref="H1550">IFERROR(INDEX(dataICM!F:F,match(Caseslist!B1550,dataICM!D:D,0)), "INC")</f>
        <v>INC</v>
      </c>
      <c r="I1550" s="10" t="str">
        <f t="shared" si="2"/>
        <v>F3051749</v>
      </c>
      <c r="J1550" s="9" t="str">
        <f t="array" ref="J1550">IF(
  AND(
    IFERROR(MATCH(B1550, data!D:D, 0), 0) &gt; 0,
    IFERROR(INDEX(data!N:N, MATCH(B1550, data!D:D, 0)) = 1, FALSE)
  ),
  INDEX(data!C:C, MATCH(B1550, data!D:D, 0)),
  "INC"
)</f>
        <v>2025-09-03T16:35:16.170+08</v>
      </c>
      <c r="K1550" s="9" t="str">
        <f t="array" ref="K1550">IFERROR(INDEX(dataICM!C:C,match(Caseslist!B1550,dataICM!D:D,0)), "INC")</f>
        <v>INC</v>
      </c>
      <c r="L1550" s="10" t="str">
        <f t="array" ref="L1550">IF(AND(G1550="COMPLETE", OR(K1550="INC", ISBLANK(INDEX(data!O:O, ROW())))), J1550, K1550)</f>
        <v>2025-09-03T16:35:16.170+08</v>
      </c>
      <c r="M1550" s="2">
        <v>45903.0</v>
      </c>
      <c r="N1550" s="2">
        <f t="array" ref="N1550">IF(M1550&lt;&gt;"INC", INDEX(data!M:M, MATCH(B1550, data!D:D, 0)), "")</f>
        <v>0</v>
      </c>
      <c r="O1550" s="2">
        <f t="shared" si="3"/>
        <v>0</v>
      </c>
    </row>
    <row r="1551">
      <c r="A1551" s="2" t="str">
        <f t="shared" si="1"/>
        <v>H030597</v>
      </c>
      <c r="B1551" s="1" t="s">
        <v>3377</v>
      </c>
      <c r="C1551" s="9" t="str">
        <f t="array" ref="C1551">IF(
  AND(
    IFERROR(MATCH(Caseslist!B1551, data!D:D, 0), 0) &gt; 0,
    IFERROR(INDEX(data!N:N, MATCH(Caseslist!B1551, data!D:D, 0)) = 1, FALSE)
  ),
  "COMPLETE",
  "INC"
)</f>
        <v>COMPLETE</v>
      </c>
      <c r="D1551" s="9" t="str">
        <f t="array" ref="D1551">IFERROR(INDEX(data!$G:$G,match(Caseslist!B1551,data!$D:$D,0)), "INC")</f>
        <v>F3051749</v>
      </c>
      <c r="E1551" s="9" t="str">
        <f t="array" ref="E1551">IFERROR(INDEX(data!H:H,match(Caseslist!B1551,data!D:D,0)), "INC")</f>
        <v>Elenita Gicos De La Pe�a</v>
      </c>
      <c r="F1551" s="10" t="str">
        <f t="array" ref="F1551">IF(
    OR(
      IFNA(INDEX(data!M:M, MATCH(Caseslist!B1551, data!D:D, 0)), "") = "",
      IFNA(INDEX(data!M:M, MATCH(Caseslist!B1551, data!D:D, 0)), 0) = 0
    ),
    "COMPLETE",
    IF(
      IFNA(INDEX(dataICM!D:D, MATCH(Caseslist!B1551, dataICM!D:D, 0)), "INC") = "INC",
      IFNA(INDEX(dataICM!D:D, MATCH(Caseslist!B1551, dataICM!D:D, 0)), "INC"),
      "COMPLETE"
    )
  )</f>
        <v>COMPLETE</v>
      </c>
      <c r="G1551" s="10" t="str">
        <f t="array" ref="G1551">IF(IFERROR(INDEX(data!L:L,match(Caseslist!B1551,data!D:D,0)),"INC")="","COMPLETE",F1551)</f>
        <v>COMPLETE</v>
      </c>
      <c r="H1551" s="9" t="str">
        <f t="array" ref="H1551">IFERROR(INDEX(dataICM!F:F,match(Caseslist!B1551,dataICM!D:D,0)), "INC")</f>
        <v>INC</v>
      </c>
      <c r="I1551" s="10" t="str">
        <f t="shared" si="2"/>
        <v>F3051749</v>
      </c>
      <c r="J1551" s="9" t="str">
        <f t="array" ref="J1551">IF(
  AND(
    IFERROR(MATCH(B1551, data!D:D, 0), 0) &gt; 0,
    IFERROR(INDEX(data!N:N, MATCH(B1551, data!D:D, 0)) = 1, FALSE)
  ),
  INDEX(data!C:C, MATCH(B1551, data!D:D, 0)),
  "INC"
)</f>
        <v>2025-09-04T11:59:20.537+08</v>
      </c>
      <c r="K1551" s="9" t="str">
        <f t="array" ref="K1551">IFERROR(INDEX(dataICM!C:C,match(Caseslist!B1551,dataICM!D:D,0)), "INC")</f>
        <v>INC</v>
      </c>
      <c r="L1551" s="10" t="str">
        <f t="array" ref="L1551">IF(AND(G1551="COMPLETE", OR(K1551="INC", ISBLANK(INDEX(data!O:O, ROW())))), J1551, K1551)</f>
        <v>2025-09-04T11:59:20.537+08</v>
      </c>
      <c r="M1551" s="2">
        <v>45904.0</v>
      </c>
      <c r="N1551" s="2">
        <f t="array" ref="N1551">IF(M1551&lt;&gt;"INC", INDEX(data!M:M, MATCH(B1551, data!D:D, 0)), "")</f>
        <v>0</v>
      </c>
      <c r="O1551" s="2">
        <f t="shared" si="3"/>
        <v>0</v>
      </c>
    </row>
    <row r="1552">
      <c r="A1552" s="2" t="str">
        <f t="shared" si="1"/>
        <v>H030597</v>
      </c>
      <c r="B1552" s="1" t="s">
        <v>3417</v>
      </c>
      <c r="C1552" s="9" t="str">
        <f t="array" ref="C1552">IF(
  AND(
    IFERROR(MATCH(Caseslist!B1552, data!D:D, 0), 0) &gt; 0,
    IFERROR(INDEX(data!N:N, MATCH(Caseslist!B1552, data!D:D, 0)) = 1, FALSE)
  ),
  "COMPLETE",
  "INC"
)</f>
        <v>COMPLETE</v>
      </c>
      <c r="D1552" s="9" t="str">
        <f t="array" ref="D1552">IFERROR(INDEX(data!$G:$G,match(Caseslist!B1552,data!$D:$D,0)), "INC")</f>
        <v>G5472901</v>
      </c>
      <c r="E1552" s="9" t="str">
        <f t="array" ref="E1552">IFERROR(INDEX(data!H:H,match(Caseslist!B1552,data!D:D,0)), "INC")</f>
        <v>Wellyn Grace Alaban Parcia</v>
      </c>
      <c r="F1552" s="10" t="str">
        <f t="array" ref="F1552">IF(
    OR(
      IFNA(INDEX(data!M:M, MATCH(Caseslist!B1552, data!D:D, 0)), "") = "",
      IFNA(INDEX(data!M:M, MATCH(Caseslist!B1552, data!D:D, 0)), 0) = 0
    ),
    "COMPLETE",
    IF(
      IFNA(INDEX(dataICM!D:D, MATCH(Caseslist!B1552, dataICM!D:D, 0)), "INC") = "INC",
      IFNA(INDEX(dataICM!D:D, MATCH(Caseslist!B1552, dataICM!D:D, 0)), "INC"),
      "COMPLETE"
    )
  )</f>
        <v>COMPLETE</v>
      </c>
      <c r="G1552" s="10" t="str">
        <f t="array" ref="G1552">IF(IFERROR(INDEX(data!L:L,match(Caseslist!B1552,data!D:D,0)),"INC")="","COMPLETE",F1552)</f>
        <v>COMPLETE</v>
      </c>
      <c r="H1552" s="9" t="str">
        <f t="array" ref="H1552">IFERROR(INDEX(dataICM!F:F,match(Caseslist!B1552,dataICM!D:D,0)), "INC")</f>
        <v>INC</v>
      </c>
      <c r="I1552" s="10" t="str">
        <f t="shared" si="2"/>
        <v>G5472901</v>
      </c>
      <c r="J1552" s="9" t="str">
        <f t="array" ref="J1552">IF(
  AND(
    IFERROR(MATCH(B1552, data!D:D, 0), 0) &gt; 0,
    IFERROR(INDEX(data!N:N, MATCH(B1552, data!D:D, 0)) = 1, FALSE)
  ),
  INDEX(data!C:C, MATCH(B1552, data!D:D, 0)),
  "INC"
)</f>
        <v>2025-09-04T11:48:33.134+08</v>
      </c>
      <c r="K1552" s="9" t="str">
        <f t="array" ref="K1552">IFERROR(INDEX(dataICM!C:C,match(Caseslist!B1552,dataICM!D:D,0)), "INC")</f>
        <v>INC</v>
      </c>
      <c r="L1552" s="10" t="str">
        <f t="array" ref="L1552">IF(AND(G1552="COMPLETE", OR(K1552="INC", ISBLANK(INDEX(data!O:O, ROW())))), J1552, K1552)</f>
        <v>2025-09-04T11:48:33.134+08</v>
      </c>
      <c r="M1552" s="2">
        <v>45904.0</v>
      </c>
      <c r="N1552" s="2">
        <f t="array" ref="N1552">IF(M1552&lt;&gt;"INC", INDEX(data!M:M, MATCH(B1552, data!D:D, 0)), "")</f>
        <v>0</v>
      </c>
      <c r="O1552" s="2">
        <f t="shared" si="3"/>
        <v>0</v>
      </c>
    </row>
    <row r="1553">
      <c r="A1553" s="2" t="str">
        <f t="shared" si="1"/>
        <v>H030597</v>
      </c>
      <c r="B1553" s="1" t="s">
        <v>3432</v>
      </c>
      <c r="C1553" s="9" t="str">
        <f t="array" ref="C1553">IF(
  AND(
    IFERROR(MATCH(Caseslist!B1553, data!D:D, 0), 0) &gt; 0,
    IFERROR(INDEX(data!N:N, MATCH(Caseslist!B1553, data!D:D, 0)) = 1, FALSE)
  ),
  "COMPLETE",
  "INC"
)</f>
        <v>COMPLETE</v>
      </c>
      <c r="D1553" s="9" t="str">
        <f t="array" ref="D1553">IFERROR(INDEX(data!$G:$G,match(Caseslist!B1553,data!$D:$D,0)), "INC")</f>
        <v>H2846135</v>
      </c>
      <c r="E1553" s="9" t="str">
        <f t="array" ref="E1553">IFERROR(INDEX(data!H:H,match(Caseslist!B1553,data!D:D,0)), "INC")</f>
        <v>Annalou Empanado Encontro</v>
      </c>
      <c r="F1553" s="10" t="str">
        <f t="array" ref="F1553">IF(
    OR(
      IFNA(INDEX(data!M:M, MATCH(Caseslist!B1553, data!D:D, 0)), "") = "",
      IFNA(INDEX(data!M:M, MATCH(Caseslist!B1553, data!D:D, 0)), 0) = 0
    ),
    "COMPLETE",
    IF(
      IFNA(INDEX(dataICM!D:D, MATCH(Caseslist!B1553, dataICM!D:D, 0)), "INC") = "INC",
      IFNA(INDEX(dataICM!D:D, MATCH(Caseslist!B1553, dataICM!D:D, 0)), "INC"),
      "COMPLETE"
    )
  )</f>
        <v>COMPLETE</v>
      </c>
      <c r="G1553" s="10" t="str">
        <f t="array" ref="G1553">IF(IFERROR(INDEX(data!L:L,match(Caseslist!B1553,data!D:D,0)),"INC")="","COMPLETE",F1553)</f>
        <v>COMPLETE</v>
      </c>
      <c r="H1553" s="9" t="str">
        <f t="array" ref="H1553">IFERROR(INDEX(dataICM!F:F,match(Caseslist!B1553,dataICM!D:D,0)), "INC")</f>
        <v>INC</v>
      </c>
      <c r="I1553" s="10" t="str">
        <f t="shared" si="2"/>
        <v>H2846135</v>
      </c>
      <c r="J1553" s="9" t="str">
        <f t="array" ref="J1553">IF(
  AND(
    IFERROR(MATCH(B1553, data!D:D, 0), 0) &gt; 0,
    IFERROR(INDEX(data!N:N, MATCH(B1553, data!D:D, 0)) = 1, FALSE)
  ),
  INDEX(data!C:C, MATCH(B1553, data!D:D, 0)),
  "INC"
)</f>
        <v>2025-09-04T11:45:09.266+08</v>
      </c>
      <c r="K1553" s="9" t="str">
        <f t="array" ref="K1553">IFERROR(INDEX(dataICM!C:C,match(Caseslist!B1553,dataICM!D:D,0)), "INC")</f>
        <v>INC</v>
      </c>
      <c r="L1553" s="10" t="str">
        <f t="array" ref="L1553">IF(AND(G1553="COMPLETE", OR(K1553="INC", ISBLANK(INDEX(data!O:O, ROW())))), J1553, K1553)</f>
        <v>2025-09-04T11:45:09.266+08</v>
      </c>
      <c r="M1553" s="2">
        <v>45904.0</v>
      </c>
      <c r="N1553" s="2">
        <f t="array" ref="N1553">IF(M1553&lt;&gt;"INC", INDEX(data!M:M, MATCH(B1553, data!D:D, 0)), "")</f>
        <v>0</v>
      </c>
      <c r="O1553" s="2">
        <f t="shared" si="3"/>
        <v>0</v>
      </c>
    </row>
    <row r="1554">
      <c r="A1554" s="2" t="str">
        <f t="shared" si="1"/>
        <v>H030597</v>
      </c>
      <c r="B1554" s="1" t="s">
        <v>3427</v>
      </c>
      <c r="C1554" s="9" t="str">
        <f t="array" ref="C1554">IF(
  AND(
    IFERROR(MATCH(Caseslist!B1554, data!D:D, 0), 0) &gt; 0,
    IFERROR(INDEX(data!N:N, MATCH(Caseslist!B1554, data!D:D, 0)) = 1, FALSE)
  ),
  "COMPLETE",
  "INC"
)</f>
        <v>COMPLETE</v>
      </c>
      <c r="D1554" s="9" t="str">
        <f t="array" ref="D1554">IFERROR(INDEX(data!$G:$G,match(Caseslist!B1554,data!$D:$D,0)), "INC")</f>
        <v>H2846135</v>
      </c>
      <c r="E1554" s="9" t="str">
        <f t="array" ref="E1554">IFERROR(INDEX(data!H:H,match(Caseslist!B1554,data!D:D,0)), "INC")</f>
        <v>Annalou Empanado Encontro</v>
      </c>
      <c r="F1554" s="10" t="str">
        <f t="array" ref="F1554">IF(
    OR(
      IFNA(INDEX(data!M:M, MATCH(Caseslist!B1554, data!D:D, 0)), "") = "",
      IFNA(INDEX(data!M:M, MATCH(Caseslist!B1554, data!D:D, 0)), 0) = 0
    ),
    "COMPLETE",
    IF(
      IFNA(INDEX(dataICM!D:D, MATCH(Caseslist!B1554, dataICM!D:D, 0)), "INC") = "INC",
      IFNA(INDEX(dataICM!D:D, MATCH(Caseslist!B1554, dataICM!D:D, 0)), "INC"),
      "COMPLETE"
    )
  )</f>
        <v>COMPLETE</v>
      </c>
      <c r="G1554" s="10" t="str">
        <f t="array" ref="G1554">IF(IFERROR(INDEX(data!L:L,match(Caseslist!B1554,data!D:D,0)),"INC")="","COMPLETE",F1554)</f>
        <v>COMPLETE</v>
      </c>
      <c r="H1554" s="9" t="str">
        <f t="array" ref="H1554">IFERROR(INDEX(dataICM!F:F,match(Caseslist!B1554,dataICM!D:D,0)), "INC")</f>
        <v>INC</v>
      </c>
      <c r="I1554" s="10" t="str">
        <f t="shared" si="2"/>
        <v>H2846135</v>
      </c>
      <c r="J1554" s="9" t="str">
        <f t="array" ref="J1554">IF(
  AND(
    IFERROR(MATCH(B1554, data!D:D, 0), 0) &gt; 0,
    IFERROR(INDEX(data!N:N, MATCH(B1554, data!D:D, 0)) = 1, FALSE)
  ),
  INDEX(data!C:C, MATCH(B1554, data!D:D, 0)),
  "INC"
)</f>
        <v>2025-09-04T14:27:03.282+08</v>
      </c>
      <c r="K1554" s="9" t="str">
        <f t="array" ref="K1554">IFERROR(INDEX(dataICM!C:C,match(Caseslist!B1554,dataICM!D:D,0)), "INC")</f>
        <v>INC</v>
      </c>
      <c r="L1554" s="10" t="str">
        <f t="array" ref="L1554">IF(AND(G1554="COMPLETE", OR(K1554="INC", ISBLANK(INDEX(data!O:O, ROW())))), J1554, K1554)</f>
        <v>2025-09-04T14:27:03.282+08</v>
      </c>
      <c r="M1554" s="2">
        <v>45904.0</v>
      </c>
      <c r="N1554" s="2">
        <f t="array" ref="N1554">IF(M1554&lt;&gt;"INC", INDEX(data!M:M, MATCH(B1554, data!D:D, 0)), "")</f>
        <v>0</v>
      </c>
      <c r="O1554" s="2">
        <f t="shared" si="3"/>
        <v>0</v>
      </c>
    </row>
    <row r="1555">
      <c r="A1555" s="2" t="str">
        <f t="shared" si="1"/>
        <v>H030597</v>
      </c>
      <c r="B1555" s="1" t="s">
        <v>3437</v>
      </c>
      <c r="C1555" s="9" t="str">
        <f t="array" ref="C1555">IF(
  AND(
    IFERROR(MATCH(Caseslist!B1555, data!D:D, 0), 0) &gt; 0,
    IFERROR(INDEX(data!N:N, MATCH(Caseslist!B1555, data!D:D, 0)) = 1, FALSE)
  ),
  "COMPLETE",
  "INC"
)</f>
        <v>COMPLETE</v>
      </c>
      <c r="D1555" s="9" t="str">
        <f t="array" ref="D1555">IFERROR(INDEX(data!$G:$G,match(Caseslist!B1555,data!$D:$D,0)), "INC")</f>
        <v>H2846135</v>
      </c>
      <c r="E1555" s="9" t="str">
        <f t="array" ref="E1555">IFERROR(INDEX(data!H:H,match(Caseslist!B1555,data!D:D,0)), "INC")</f>
        <v>Annalou Empanado Encontro</v>
      </c>
      <c r="F1555" s="10" t="str">
        <f t="array" ref="F1555">IF(
    OR(
      IFNA(INDEX(data!M:M, MATCH(Caseslist!B1555, data!D:D, 0)), "") = "",
      IFNA(INDEX(data!M:M, MATCH(Caseslist!B1555, data!D:D, 0)), 0) = 0
    ),
    "COMPLETE",
    IF(
      IFNA(INDEX(dataICM!D:D, MATCH(Caseslist!B1555, dataICM!D:D, 0)), "INC") = "INC",
      IFNA(INDEX(dataICM!D:D, MATCH(Caseslist!B1555, dataICM!D:D, 0)), "INC"),
      "COMPLETE"
    )
  )</f>
        <v>COMPLETE</v>
      </c>
      <c r="G1555" s="10" t="str">
        <f t="array" ref="G1555">IF(IFERROR(INDEX(data!L:L,match(Caseslist!B1555,data!D:D,0)),"INC")="","COMPLETE",F1555)</f>
        <v>COMPLETE</v>
      </c>
      <c r="H1555" s="9" t="str">
        <f t="array" ref="H1555">IFERROR(INDEX(dataICM!F:F,match(Caseslist!B1555,dataICM!D:D,0)), "INC")</f>
        <v>INC</v>
      </c>
      <c r="I1555" s="10" t="str">
        <f t="shared" si="2"/>
        <v>H2846135</v>
      </c>
      <c r="J1555" s="9" t="str">
        <f t="array" ref="J1555">IF(
  AND(
    IFERROR(MATCH(B1555, data!D:D, 0), 0) &gt; 0,
    IFERROR(INDEX(data!N:N, MATCH(B1555, data!D:D, 0)) = 1, FALSE)
  ),
  INDEX(data!C:C, MATCH(B1555, data!D:D, 0)),
  "INC"
)</f>
        <v>2025-09-04T13:05:02.249+08</v>
      </c>
      <c r="K1555" s="9" t="str">
        <f t="array" ref="K1555">IFERROR(INDEX(dataICM!C:C,match(Caseslist!B1555,dataICM!D:D,0)), "INC")</f>
        <v>INC</v>
      </c>
      <c r="L1555" s="10" t="str">
        <f t="array" ref="L1555">IF(AND(G1555="COMPLETE", OR(K1555="INC", ISBLANK(INDEX(data!O:O, ROW())))), J1555, K1555)</f>
        <v>2025-09-04T13:05:02.249+08</v>
      </c>
      <c r="M1555" s="2">
        <v>45904.0</v>
      </c>
      <c r="N1555" s="2">
        <f t="array" ref="N1555">IF(M1555&lt;&gt;"INC", INDEX(data!M:M, MATCH(B1555, data!D:D, 0)), "")</f>
        <v>0</v>
      </c>
      <c r="O1555" s="2">
        <f t="shared" si="3"/>
        <v>0</v>
      </c>
    </row>
    <row r="1556">
      <c r="A1556" s="2" t="str">
        <f t="shared" si="1"/>
        <v>H030597</v>
      </c>
      <c r="B1556" s="1" t="s">
        <v>3112</v>
      </c>
      <c r="C1556" s="9" t="str">
        <f t="array" ref="C1556">IF(
  AND(
    IFERROR(MATCH(Caseslist!B1556, data!D:D, 0), 0) &gt; 0,
    IFERROR(INDEX(data!N:N, MATCH(Caseslist!B1556, data!D:D, 0)) = 1, FALSE)
  ),
  "COMPLETE",
  "INC"
)</f>
        <v>COMPLETE</v>
      </c>
      <c r="D1556" s="9" t="str">
        <f t="array" ref="D1556">IFERROR(INDEX(data!$G:$G,match(Caseslist!B1556,data!$D:$D,0)), "INC")</f>
        <v>F3051749</v>
      </c>
      <c r="E1556" s="9" t="str">
        <f t="array" ref="E1556">IFERROR(INDEX(data!H:H,match(Caseslist!B1556,data!D:D,0)), "INC")</f>
        <v>Elenita Gicos De La Pe�a</v>
      </c>
      <c r="F1556" s="10" t="str">
        <f t="array" ref="F1556">IF(
    OR(
      IFNA(INDEX(data!M:M, MATCH(Caseslist!B1556, data!D:D, 0)), "") = "",
      IFNA(INDEX(data!M:M, MATCH(Caseslist!B1556, data!D:D, 0)), 0) = 0
    ),
    "COMPLETE",
    IF(
      IFNA(INDEX(dataICM!D:D, MATCH(Caseslist!B1556, dataICM!D:D, 0)), "INC") = "INC",
      IFNA(INDEX(dataICM!D:D, MATCH(Caseslist!B1556, dataICM!D:D, 0)), "INC"),
      "COMPLETE"
    )
  )</f>
        <v>COMPLETE</v>
      </c>
      <c r="G1556" s="10" t="str">
        <f t="array" ref="G1556">IF(IFERROR(INDEX(data!L:L,match(Caseslist!B1556,data!D:D,0)),"INC")="","COMPLETE",F1556)</f>
        <v>COMPLETE</v>
      </c>
      <c r="H1556" s="9" t="str">
        <f t="array" ref="H1556">IFERROR(INDEX(dataICM!F:F,match(Caseslist!B1556,dataICM!D:D,0)), "INC")</f>
        <v>INC</v>
      </c>
      <c r="I1556" s="10" t="str">
        <f t="shared" si="2"/>
        <v>F3051749</v>
      </c>
      <c r="J1556" s="9" t="str">
        <f t="array" ref="J1556">IF(
  AND(
    IFERROR(MATCH(B1556, data!D:D, 0), 0) &gt; 0,
    IFERROR(INDEX(data!N:N, MATCH(B1556, data!D:D, 0)) = 1, FALSE)
  ),
  INDEX(data!C:C, MATCH(B1556, data!D:D, 0)),
  "INC"
)</f>
        <v>2025-09-03T11:19:43.889+08</v>
      </c>
      <c r="K1556" s="9" t="str">
        <f t="array" ref="K1556">IFERROR(INDEX(dataICM!C:C,match(Caseslist!B1556,dataICM!D:D,0)), "INC")</f>
        <v>INC</v>
      </c>
      <c r="L1556" s="10" t="str">
        <f t="array" ref="L1556">IF(AND(G1556="COMPLETE", OR(K1556="INC", ISBLANK(INDEX(data!O:O, ROW())))), J1556, K1556)</f>
        <v>2025-09-03T11:19:43.889+08</v>
      </c>
      <c r="M1556" s="2">
        <v>45903.0</v>
      </c>
      <c r="N1556" s="2">
        <f t="array" ref="N1556">IF(M1556&lt;&gt;"INC", INDEX(data!M:M, MATCH(B1556, data!D:D, 0)), "")</f>
        <v>0</v>
      </c>
      <c r="O1556" s="2">
        <f t="shared" si="3"/>
        <v>0</v>
      </c>
    </row>
    <row r="1557">
      <c r="A1557" s="2" t="str">
        <f t="shared" si="1"/>
        <v>H030597</v>
      </c>
      <c r="B1557" s="1" t="s">
        <v>3092</v>
      </c>
      <c r="C1557" s="9" t="str">
        <f t="array" ref="C1557">IF(
  AND(
    IFERROR(MATCH(Caseslist!B1557, data!D:D, 0), 0) &gt; 0,
    IFERROR(INDEX(data!N:N, MATCH(Caseslist!B1557, data!D:D, 0)) = 1, FALSE)
  ),
  "COMPLETE",
  "INC"
)</f>
        <v>COMPLETE</v>
      </c>
      <c r="D1557" s="9" t="str">
        <f t="array" ref="D1557">IFERROR(INDEX(data!$G:$G,match(Caseslist!B1557,data!$D:$D,0)), "INC")</f>
        <v>F3051749</v>
      </c>
      <c r="E1557" s="9" t="str">
        <f t="array" ref="E1557">IFERROR(INDEX(data!H:H,match(Caseslist!B1557,data!D:D,0)), "INC")</f>
        <v>Elenita Gicos De La Pe�a</v>
      </c>
      <c r="F1557" s="10" t="str">
        <f t="array" ref="F1557">IF(
    OR(
      IFNA(INDEX(data!M:M, MATCH(Caseslist!B1557, data!D:D, 0)), "") = "",
      IFNA(INDEX(data!M:M, MATCH(Caseslist!B1557, data!D:D, 0)), 0) = 0
    ),
    "COMPLETE",
    IF(
      IFNA(INDEX(dataICM!D:D, MATCH(Caseslist!B1557, dataICM!D:D, 0)), "INC") = "INC",
      IFNA(INDEX(dataICM!D:D, MATCH(Caseslist!B1557, dataICM!D:D, 0)), "INC"),
      "COMPLETE"
    )
  )</f>
        <v>COMPLETE</v>
      </c>
      <c r="G1557" s="10" t="str">
        <f t="array" ref="G1557">IF(IFERROR(INDEX(data!L:L,match(Caseslist!B1557,data!D:D,0)),"INC")="","COMPLETE",F1557)</f>
        <v>COMPLETE</v>
      </c>
      <c r="H1557" s="9" t="str">
        <f t="array" ref="H1557">IFERROR(INDEX(dataICM!F:F,match(Caseslist!B1557,dataICM!D:D,0)), "INC")</f>
        <v>INC</v>
      </c>
      <c r="I1557" s="10" t="str">
        <f t="shared" si="2"/>
        <v>F3051749</v>
      </c>
      <c r="J1557" s="9" t="str">
        <f t="array" ref="J1557">IF(
  AND(
    IFERROR(MATCH(B1557, data!D:D, 0), 0) &gt; 0,
    IFERROR(INDEX(data!N:N, MATCH(B1557, data!D:D, 0)) = 1, FALSE)
  ),
  INDEX(data!C:C, MATCH(B1557, data!D:D, 0)),
  "INC"
)</f>
        <v>2025-09-03T13:41:22.916+08</v>
      </c>
      <c r="K1557" s="9" t="str">
        <f t="array" ref="K1557">IFERROR(INDEX(dataICM!C:C,match(Caseslist!B1557,dataICM!D:D,0)), "INC")</f>
        <v>INC</v>
      </c>
      <c r="L1557" s="10" t="str">
        <f t="array" ref="L1557">IF(AND(G1557="COMPLETE", OR(K1557="INC", ISBLANK(INDEX(data!O:O, ROW())))), J1557, K1557)</f>
        <v>2025-09-03T13:41:22.916+08</v>
      </c>
      <c r="M1557" s="2">
        <v>45903.0</v>
      </c>
      <c r="N1557" s="2">
        <f t="array" ref="N1557">IF(M1557&lt;&gt;"INC", INDEX(data!M:M, MATCH(B1557, data!D:D, 0)), "")</f>
        <v>0</v>
      </c>
      <c r="O1557" s="2">
        <f t="shared" si="3"/>
        <v>0</v>
      </c>
    </row>
    <row r="1558">
      <c r="A1558" s="2" t="str">
        <f t="shared" si="1"/>
        <v>H030597</v>
      </c>
      <c r="B1558" s="1" t="s">
        <v>3097</v>
      </c>
      <c r="C1558" s="9" t="str">
        <f t="array" ref="C1558">IF(
  AND(
    IFERROR(MATCH(Caseslist!B1558, data!D:D, 0), 0) &gt; 0,
    IFERROR(INDEX(data!N:N, MATCH(Caseslist!B1558, data!D:D, 0)) = 1, FALSE)
  ),
  "COMPLETE",
  "INC"
)</f>
        <v>COMPLETE</v>
      </c>
      <c r="D1558" s="9" t="str">
        <f t="array" ref="D1558">IFERROR(INDEX(data!$G:$G,match(Caseslist!B1558,data!$D:$D,0)), "INC")</f>
        <v>F3051749</v>
      </c>
      <c r="E1558" s="9" t="str">
        <f t="array" ref="E1558">IFERROR(INDEX(data!H:H,match(Caseslist!B1558,data!D:D,0)), "INC")</f>
        <v>Elenita Gicos De La Pe�a</v>
      </c>
      <c r="F1558" s="10" t="str">
        <f t="array" ref="F1558">IF(
    OR(
      IFNA(INDEX(data!M:M, MATCH(Caseslist!B1558, data!D:D, 0)), "") = "",
      IFNA(INDEX(data!M:M, MATCH(Caseslist!B1558, data!D:D, 0)), 0) = 0
    ),
    "COMPLETE",
    IF(
      IFNA(INDEX(dataICM!D:D, MATCH(Caseslist!B1558, dataICM!D:D, 0)), "INC") = "INC",
      IFNA(INDEX(dataICM!D:D, MATCH(Caseslist!B1558, dataICM!D:D, 0)), "INC"),
      "COMPLETE"
    )
  )</f>
        <v>COMPLETE</v>
      </c>
      <c r="G1558" s="10" t="str">
        <f t="array" ref="G1558">IF(IFERROR(INDEX(data!L:L,match(Caseslist!B1558,data!D:D,0)),"INC")="","COMPLETE",F1558)</f>
        <v>COMPLETE</v>
      </c>
      <c r="H1558" s="9" t="str">
        <f t="array" ref="H1558">IFERROR(INDEX(dataICM!F:F,match(Caseslist!B1558,dataICM!D:D,0)), "INC")</f>
        <v>INC</v>
      </c>
      <c r="I1558" s="10" t="str">
        <f t="shared" si="2"/>
        <v>F3051749</v>
      </c>
      <c r="J1558" s="9" t="str">
        <f t="array" ref="J1558">IF(
  AND(
    IFERROR(MATCH(B1558, data!D:D, 0), 0) &gt; 0,
    IFERROR(INDEX(data!N:N, MATCH(B1558, data!D:D, 0)) = 1, FALSE)
  ),
  INDEX(data!C:C, MATCH(B1558, data!D:D, 0)),
  "INC"
)</f>
        <v>2025-09-03T14:49:32.338+08</v>
      </c>
      <c r="K1558" s="9" t="str">
        <f t="array" ref="K1558">IFERROR(INDEX(dataICM!C:C,match(Caseslist!B1558,dataICM!D:D,0)), "INC")</f>
        <v>INC</v>
      </c>
      <c r="L1558" s="10" t="str">
        <f t="array" ref="L1558">IF(AND(G1558="COMPLETE", OR(K1558="INC", ISBLANK(INDEX(data!O:O, ROW())))), J1558, K1558)</f>
        <v>2025-09-03T14:49:32.338+08</v>
      </c>
      <c r="M1558" s="2">
        <v>45903.0</v>
      </c>
      <c r="N1558" s="2">
        <f t="array" ref="N1558">IF(M1558&lt;&gt;"INC", INDEX(data!M:M, MATCH(B1558, data!D:D, 0)), "")</f>
        <v>0</v>
      </c>
      <c r="O1558" s="2">
        <f t="shared" si="3"/>
        <v>0</v>
      </c>
    </row>
    <row r="1559">
      <c r="A1559" s="2" t="str">
        <f t="shared" si="1"/>
        <v>H030597</v>
      </c>
      <c r="B1559" s="1" t="s">
        <v>3412</v>
      </c>
      <c r="C1559" s="9" t="str">
        <f t="array" ref="C1559">IF(
  AND(
    IFERROR(MATCH(Caseslist!B1559, data!D:D, 0), 0) &gt; 0,
    IFERROR(INDEX(data!N:N, MATCH(Caseslist!B1559, data!D:D, 0)) = 1, FALSE)
  ),
  "COMPLETE",
  "INC"
)</f>
        <v>COMPLETE</v>
      </c>
      <c r="D1559" s="9" t="str">
        <f t="array" ref="D1559">IFERROR(INDEX(data!$G:$G,match(Caseslist!B1559,data!$D:$D,0)), "INC")</f>
        <v>G5472901</v>
      </c>
      <c r="E1559" s="9" t="str">
        <f t="array" ref="E1559">IFERROR(INDEX(data!H:H,match(Caseslist!B1559,data!D:D,0)), "INC")</f>
        <v>Wellyn Grace Alaban Parcia</v>
      </c>
      <c r="F1559" s="10" t="str">
        <f t="array" ref="F1559">IF(
    OR(
      IFNA(INDEX(data!M:M, MATCH(Caseslist!B1559, data!D:D, 0)), "") = "",
      IFNA(INDEX(data!M:M, MATCH(Caseslist!B1559, data!D:D, 0)), 0) = 0
    ),
    "COMPLETE",
    IF(
      IFNA(INDEX(dataICM!D:D, MATCH(Caseslist!B1559, dataICM!D:D, 0)), "INC") = "INC",
      IFNA(INDEX(dataICM!D:D, MATCH(Caseslist!B1559, dataICM!D:D, 0)), "INC"),
      "COMPLETE"
    )
  )</f>
        <v>COMPLETE</v>
      </c>
      <c r="G1559" s="10" t="str">
        <f t="array" ref="G1559">IF(IFERROR(INDEX(data!L:L,match(Caseslist!B1559,data!D:D,0)),"INC")="","COMPLETE",F1559)</f>
        <v>COMPLETE</v>
      </c>
      <c r="H1559" s="9" t="str">
        <f t="array" ref="H1559">IFERROR(INDEX(dataICM!F:F,match(Caseslist!B1559,dataICM!D:D,0)), "INC")</f>
        <v>INC</v>
      </c>
      <c r="I1559" s="10" t="str">
        <f t="shared" si="2"/>
        <v>G5472901</v>
      </c>
      <c r="J1559" s="9" t="str">
        <f t="array" ref="J1559">IF(
  AND(
    IFERROR(MATCH(B1559, data!D:D, 0), 0) &gt; 0,
    IFERROR(INDEX(data!N:N, MATCH(B1559, data!D:D, 0)) = 1, FALSE)
  ),
  INDEX(data!C:C, MATCH(B1559, data!D:D, 0)),
  "INC"
)</f>
        <v>2025-09-04T15:23:00.612+08</v>
      </c>
      <c r="K1559" s="9" t="str">
        <f t="array" ref="K1559">IFERROR(INDEX(dataICM!C:C,match(Caseslist!B1559,dataICM!D:D,0)), "INC")</f>
        <v>INC</v>
      </c>
      <c r="L1559" s="10" t="str">
        <f t="array" ref="L1559">IF(AND(G1559="COMPLETE", OR(K1559="INC", ISBLANK(INDEX(data!O:O, ROW())))), J1559, K1559)</f>
        <v>2025-09-04T15:23:00.612+08</v>
      </c>
      <c r="M1559" s="2">
        <v>45904.0</v>
      </c>
      <c r="N1559" s="2">
        <f t="array" ref="N1559">IF(M1559&lt;&gt;"INC", INDEX(data!M:M, MATCH(B1559, data!D:D, 0)), "")</f>
        <v>0</v>
      </c>
      <c r="O1559" s="2">
        <f t="shared" si="3"/>
        <v>0</v>
      </c>
    </row>
    <row r="1560">
      <c r="A1560" s="2" t="str">
        <f t="shared" si="1"/>
        <v>H030597</v>
      </c>
      <c r="B1560" s="1" t="s">
        <v>3102</v>
      </c>
      <c r="C1560" s="9" t="str">
        <f t="array" ref="C1560">IF(
  AND(
    IFERROR(MATCH(Caseslist!B1560, data!D:D, 0), 0) &gt; 0,
    IFERROR(INDEX(data!N:N, MATCH(Caseslist!B1560, data!D:D, 0)) = 1, FALSE)
  ),
  "COMPLETE",
  "INC"
)</f>
        <v>INC</v>
      </c>
      <c r="D1560" s="9" t="str">
        <f t="array" ref="D1560">IFERROR(INDEX(data!$G:$G,match(Caseslist!B1560,data!$D:$D,0)), "INC")</f>
        <v>F3051749</v>
      </c>
      <c r="E1560" s="9" t="str">
        <f t="array" ref="E1560">IFERROR(INDEX(data!H:H,match(Caseslist!B1560,data!D:D,0)), "INC")</f>
        <v>Elenita Gicos De La Pe�a</v>
      </c>
      <c r="F1560" s="10" t="str">
        <f t="array" ref="F1560">IF(
    OR(
      IFNA(INDEX(data!M:M, MATCH(Caseslist!B1560, data!D:D, 0)), "") = "",
      IFNA(INDEX(data!M:M, MATCH(Caseslist!B1560, data!D:D, 0)), 0) = 0
    ),
    "COMPLETE",
    IF(
      IFNA(INDEX(dataICM!D:D, MATCH(Caseslist!B1560, dataICM!D:D, 0)), "INC") = "INC",
      IFNA(INDEX(dataICM!D:D, MATCH(Caseslist!B1560, dataICM!D:D, 0)), "INC"),
      "COMPLETE"
    )
  )</f>
        <v>COMPLETE</v>
      </c>
      <c r="G1560" s="10" t="str">
        <f t="array" ref="G1560">IF(IFERROR(INDEX(data!L:L,match(Caseslist!B1560,data!D:D,0)),"INC")="","COMPLETE",F1560)</f>
        <v>COMPLETE</v>
      </c>
      <c r="H1560" s="9" t="str">
        <f t="array" ref="H1560">IFERROR(INDEX(dataICM!F:F,match(Caseslist!B1560,dataICM!D:D,0)), "INC")</f>
        <v>INC</v>
      </c>
      <c r="I1560" s="10" t="str">
        <f t="shared" si="2"/>
        <v>F3051749</v>
      </c>
      <c r="J1560" s="9" t="str">
        <f t="array" ref="J1560">IF(
  AND(
    IFERROR(MATCH(B1560, data!D:D, 0), 0) &gt; 0,
    IFERROR(INDEX(data!N:N, MATCH(B1560, data!D:D, 0)) = 1, FALSE)
  ),
  INDEX(data!C:C, MATCH(B1560, data!D:D, 0)),
  "INC"
)</f>
        <v>INC</v>
      </c>
      <c r="K1560" s="9" t="str">
        <f t="array" ref="K1560">IFERROR(INDEX(dataICM!C:C,match(Caseslist!B1560,dataICM!D:D,0)), "INC")</f>
        <v>INC</v>
      </c>
      <c r="L1560" s="10" t="str">
        <f t="array" ref="L1560">IF(AND(G1560="COMPLETE", OR(K1560="INC", ISBLANK(INDEX(data!O:O, ROW())))), J1560, K1560)</f>
        <v>INC</v>
      </c>
      <c r="M1560" s="2" t="s">
        <v>8886</v>
      </c>
      <c r="N1560" s="2" t="str">
        <f t="array" ref="N1560">IF(M1560&lt;&gt;"INC", INDEX(data!M:M, MATCH(B1560, data!D:D, 0)), "")</f>
        <v/>
      </c>
      <c r="O1560" s="2" t="str">
        <f t="shared" si="3"/>
        <v/>
      </c>
    </row>
    <row r="1561">
      <c r="A1561" s="2" t="str">
        <f t="shared" si="1"/>
        <v>H030597</v>
      </c>
      <c r="B1561" s="1" t="s">
        <v>3382</v>
      </c>
      <c r="C1561" s="9" t="str">
        <f t="array" ref="C1561">IF(
  AND(
    IFERROR(MATCH(Caseslist!B1561, data!D:D, 0), 0) &gt; 0,
    IFERROR(INDEX(data!N:N, MATCH(Caseslist!B1561, data!D:D, 0)) = 1, FALSE)
  ),
  "COMPLETE",
  "INC"
)</f>
        <v>COMPLETE</v>
      </c>
      <c r="D1561" s="9" t="str">
        <f t="array" ref="D1561">IFERROR(INDEX(data!$G:$G,match(Caseslist!B1561,data!$D:$D,0)), "INC")</f>
        <v>F3051749</v>
      </c>
      <c r="E1561" s="9" t="str">
        <f t="array" ref="E1561">IFERROR(INDEX(data!H:H,match(Caseslist!B1561,data!D:D,0)), "INC")</f>
        <v>Elenita Gicos De La Pe�a</v>
      </c>
      <c r="F1561" s="10" t="str">
        <f t="array" ref="F1561">IF(
    OR(
      IFNA(INDEX(data!M:M, MATCH(Caseslist!B1561, data!D:D, 0)), "") = "",
      IFNA(INDEX(data!M:M, MATCH(Caseslist!B1561, data!D:D, 0)), 0) = 0
    ),
    "COMPLETE",
    IF(
      IFNA(INDEX(dataICM!D:D, MATCH(Caseslist!B1561, dataICM!D:D, 0)), "INC") = "INC",
      IFNA(INDEX(dataICM!D:D, MATCH(Caseslist!B1561, dataICM!D:D, 0)), "INC"),
      "COMPLETE"
    )
  )</f>
        <v>COMPLETE</v>
      </c>
      <c r="G1561" s="10" t="str">
        <f t="array" ref="G1561">IF(IFERROR(INDEX(data!L:L,match(Caseslist!B1561,data!D:D,0)),"INC")="","COMPLETE",F1561)</f>
        <v>COMPLETE</v>
      </c>
      <c r="H1561" s="9" t="str">
        <f t="array" ref="H1561">IFERROR(INDEX(dataICM!F:F,match(Caseslist!B1561,dataICM!D:D,0)), "INC")</f>
        <v>INC</v>
      </c>
      <c r="I1561" s="10" t="str">
        <f t="shared" si="2"/>
        <v>F3051749</v>
      </c>
      <c r="J1561" s="9" t="str">
        <f t="array" ref="J1561">IF(
  AND(
    IFERROR(MATCH(B1561, data!D:D, 0), 0) &gt; 0,
    IFERROR(INDEX(data!N:N, MATCH(B1561, data!D:D, 0)) = 1, FALSE)
  ),
  INDEX(data!C:C, MATCH(B1561, data!D:D, 0)),
  "INC"
)</f>
        <v>2025-09-04T13:56:26.378+08</v>
      </c>
      <c r="K1561" s="9" t="str">
        <f t="array" ref="K1561">IFERROR(INDEX(dataICM!C:C,match(Caseslist!B1561,dataICM!D:D,0)), "INC")</f>
        <v>INC</v>
      </c>
      <c r="L1561" s="10" t="str">
        <f t="array" ref="L1561">IF(AND(G1561="COMPLETE", OR(K1561="INC", ISBLANK(INDEX(data!O:O, ROW())))), J1561, K1561)</f>
        <v>2025-09-04T13:56:26.378+08</v>
      </c>
      <c r="M1561" s="2">
        <v>45904.0</v>
      </c>
      <c r="N1561" s="2">
        <f t="array" ref="N1561">IF(M1561&lt;&gt;"INC", INDEX(data!M:M, MATCH(B1561, data!D:D, 0)), "")</f>
        <v>0</v>
      </c>
      <c r="O1561" s="2">
        <f t="shared" si="3"/>
        <v>0</v>
      </c>
    </row>
    <row r="1562">
      <c r="A1562" s="2" t="str">
        <f t="shared" si="1"/>
        <v>H030597</v>
      </c>
      <c r="B1562" s="1" t="s">
        <v>3422</v>
      </c>
      <c r="C1562" s="9" t="str">
        <f t="array" ref="C1562">IF(
  AND(
    IFERROR(MATCH(Caseslist!B1562, data!D:D, 0), 0) &gt; 0,
    IFERROR(INDEX(data!N:N, MATCH(Caseslist!B1562, data!D:D, 0)) = 1, FALSE)
  ),
  "COMPLETE",
  "INC"
)</f>
        <v>COMPLETE</v>
      </c>
      <c r="D1562" s="9" t="str">
        <f t="array" ref="D1562">IFERROR(INDEX(data!$G:$G,match(Caseslist!B1562,data!$D:$D,0)), "INC")</f>
        <v>G5472901</v>
      </c>
      <c r="E1562" s="9" t="str">
        <f t="array" ref="E1562">IFERROR(INDEX(data!H:H,match(Caseslist!B1562,data!D:D,0)), "INC")</f>
        <v>Wellyn Grace Alaban Parcia</v>
      </c>
      <c r="F1562" s="10" t="str">
        <f t="array" ref="F1562">IF(
    OR(
      IFNA(INDEX(data!M:M, MATCH(Caseslist!B1562, data!D:D, 0)), "") = "",
      IFNA(INDEX(data!M:M, MATCH(Caseslist!B1562, data!D:D, 0)), 0) = 0
    ),
    "COMPLETE",
    IF(
      IFNA(INDEX(dataICM!D:D, MATCH(Caseslist!B1562, dataICM!D:D, 0)), "INC") = "INC",
      IFNA(INDEX(dataICM!D:D, MATCH(Caseslist!B1562, dataICM!D:D, 0)), "INC"),
      "COMPLETE"
    )
  )</f>
        <v>COMPLETE</v>
      </c>
      <c r="G1562" s="10" t="str">
        <f t="array" ref="G1562">IF(IFERROR(INDEX(data!L:L,match(Caseslist!B1562,data!D:D,0)),"INC")="","COMPLETE",F1562)</f>
        <v>COMPLETE</v>
      </c>
      <c r="H1562" s="9" t="str">
        <f t="array" ref="H1562">IFERROR(INDEX(dataICM!F:F,match(Caseslist!B1562,dataICM!D:D,0)), "INC")</f>
        <v>INC</v>
      </c>
      <c r="I1562" s="10" t="str">
        <f t="shared" si="2"/>
        <v>G5472901</v>
      </c>
      <c r="J1562" s="9" t="str">
        <f t="array" ref="J1562">IF(
  AND(
    IFERROR(MATCH(B1562, data!D:D, 0), 0) &gt; 0,
    IFERROR(INDEX(data!N:N, MATCH(B1562, data!D:D, 0)) = 1, FALSE)
  ),
  INDEX(data!C:C, MATCH(B1562, data!D:D, 0)),
  "INC"
)</f>
        <v>2025-09-04T13:31:14.409+08</v>
      </c>
      <c r="K1562" s="9" t="str">
        <f t="array" ref="K1562">IFERROR(INDEX(dataICM!C:C,match(Caseslist!B1562,dataICM!D:D,0)), "INC")</f>
        <v>INC</v>
      </c>
      <c r="L1562" s="10" t="str">
        <f t="array" ref="L1562">IF(AND(G1562="COMPLETE", OR(K1562="INC", ISBLANK(INDEX(data!O:O, ROW())))), J1562, K1562)</f>
        <v>2025-09-04T13:31:14.409+08</v>
      </c>
      <c r="M1562" s="2">
        <v>45904.0</v>
      </c>
      <c r="N1562" s="2">
        <f t="array" ref="N1562">IF(M1562&lt;&gt;"INC", INDEX(data!M:M, MATCH(B1562, data!D:D, 0)), "")</f>
        <v>0</v>
      </c>
      <c r="O1562" s="2">
        <f t="shared" si="3"/>
        <v>0</v>
      </c>
    </row>
    <row r="1563">
      <c r="A1563" s="2" t="str">
        <f t="shared" si="1"/>
        <v>H030634</v>
      </c>
      <c r="B1563" s="1" t="s">
        <v>2901</v>
      </c>
      <c r="C1563" s="9" t="str">
        <f t="array" ref="C1563">IF(
  AND(
    IFERROR(MATCH(Caseslist!B1563, data!D:D, 0), 0) &gt; 0,
    IFERROR(INDEX(data!N:N, MATCH(Caseslist!B1563, data!D:D, 0)) = 1, FALSE)
  ),
  "COMPLETE",
  "INC"
)</f>
        <v>COMPLETE</v>
      </c>
      <c r="D1563" s="9" t="str">
        <f t="array" ref="D1563">IFERROR(INDEX(data!$G:$G,match(Caseslist!B1563,data!$D:$D,0)), "INC")</f>
        <v>M6491032</v>
      </c>
      <c r="E1563" s="9" t="str">
        <f t="array" ref="E1563">IFERROR(INDEX(data!H:H,match(Caseslist!B1563,data!D:D,0)), "INC")</f>
        <v>Rosevil Tayo Desamparado</v>
      </c>
      <c r="F1563" s="10" t="str">
        <f t="array" ref="F1563">IF(
    OR(
      IFNA(INDEX(data!M:M, MATCH(Caseslist!B1563, data!D:D, 0)), "") = "",
      IFNA(INDEX(data!M:M, MATCH(Caseslist!B1563, data!D:D, 0)), 0) = 0
    ),
    "COMPLETE",
    IF(
      IFNA(INDEX(dataICM!D:D, MATCH(Caseslist!B1563, dataICM!D:D, 0)), "INC") = "INC",
      IFNA(INDEX(dataICM!D:D, MATCH(Caseslist!B1563, dataICM!D:D, 0)), "INC"),
      "COMPLETE"
    )
  )</f>
        <v>COMPLETE</v>
      </c>
      <c r="G1563" s="10" t="str">
        <f t="array" ref="G1563">IF(IFERROR(INDEX(data!L:L,match(Caseslist!B1563,data!D:D,0)),"INC")="","COMPLETE",F1563)</f>
        <v>COMPLETE</v>
      </c>
      <c r="H1563" s="9" t="str">
        <f t="array" ref="H1563">IFERROR(INDEX(dataICM!F:F,match(Caseslist!B1563,dataICM!D:D,0)), "INC")</f>
        <v>Rosevil Tayo Desamparado</v>
      </c>
      <c r="I1563" s="10" t="str">
        <f t="shared" si="2"/>
        <v>M6491032</v>
      </c>
      <c r="J1563" s="9" t="str">
        <f t="array" ref="J1563">IF(
  AND(
    IFERROR(MATCH(B1563, data!D:D, 0), 0) &gt; 0,
    IFERROR(INDEX(data!N:N, MATCH(B1563, data!D:D, 0)) = 1, FALSE)
  ),
  INDEX(data!C:C, MATCH(B1563, data!D:D, 0)),
  "INC"
)</f>
        <v>2025-09-02T10:06:42.570+08</v>
      </c>
      <c r="K1563" s="9" t="str">
        <f t="array" ref="K1563">IFERROR(INDEX(dataICM!C:C,match(Caseslist!B1563,dataICM!D:D,0)), "INC")</f>
        <v>2025-09-02T10:12:51.289+08</v>
      </c>
      <c r="L1563" s="10" t="str">
        <f t="array" ref="L1563">IF(AND(G1563="COMPLETE", OR(K1563="INC", ISBLANK(INDEX(data!O:O, ROW())))), J1563, K1563)</f>
        <v>2025-09-02T10:12:51.289+08</v>
      </c>
      <c r="M1563" s="2">
        <v>45902.0</v>
      </c>
      <c r="N1563" s="2">
        <f t="array" ref="N1563">IF(M1563&lt;&gt;"INC", INDEX(data!M:M, MATCH(B1563, data!D:D, 0)), "")</f>
        <v>1</v>
      </c>
      <c r="O1563" s="2">
        <f t="shared" si="3"/>
        <v>1</v>
      </c>
    </row>
    <row r="1564">
      <c r="A1564" s="2" t="str">
        <f t="shared" si="1"/>
        <v>H030634</v>
      </c>
      <c r="B1564" s="1" t="s">
        <v>2906</v>
      </c>
      <c r="C1564" s="9" t="str">
        <f t="array" ref="C1564">IF(
  AND(
    IFERROR(MATCH(Caseslist!B1564, data!D:D, 0), 0) &gt; 0,
    IFERROR(INDEX(data!N:N, MATCH(Caseslist!B1564, data!D:D, 0)) = 1, FALSE)
  ),
  "COMPLETE",
  "INC"
)</f>
        <v>COMPLETE</v>
      </c>
      <c r="D1564" s="9" t="str">
        <f t="array" ref="D1564">IFERROR(INDEX(data!$G:$G,match(Caseslist!B1564,data!$D:$D,0)), "INC")</f>
        <v>M6491032</v>
      </c>
      <c r="E1564" s="9" t="str">
        <f t="array" ref="E1564">IFERROR(INDEX(data!H:H,match(Caseslist!B1564,data!D:D,0)), "INC")</f>
        <v>Rosevil Tayo Desamparado</v>
      </c>
      <c r="F1564" s="10" t="str">
        <f t="array" ref="F1564">IF(
    OR(
      IFNA(INDEX(data!M:M, MATCH(Caseslist!B1564, data!D:D, 0)), "") = "",
      IFNA(INDEX(data!M:M, MATCH(Caseslist!B1564, data!D:D, 0)), 0) = 0
    ),
    "COMPLETE",
    IF(
      IFNA(INDEX(dataICM!D:D, MATCH(Caseslist!B1564, dataICM!D:D, 0)), "INC") = "INC",
      IFNA(INDEX(dataICM!D:D, MATCH(Caseslist!B1564, dataICM!D:D, 0)), "INC"),
      "COMPLETE"
    )
  )</f>
        <v>COMPLETE</v>
      </c>
      <c r="G1564" s="10" t="str">
        <f t="array" ref="G1564">IF(IFERROR(INDEX(data!L:L,match(Caseslist!B1564,data!D:D,0)),"INC")="","COMPLETE",F1564)</f>
        <v>COMPLETE</v>
      </c>
      <c r="H1564" s="9" t="str">
        <f t="array" ref="H1564">IFERROR(INDEX(dataICM!F:F,match(Caseslist!B1564,dataICM!D:D,0)), "INC")</f>
        <v>Rosevil Tayo Desamparado</v>
      </c>
      <c r="I1564" s="10" t="str">
        <f t="shared" si="2"/>
        <v>M6491032</v>
      </c>
      <c r="J1564" s="9" t="str">
        <f t="array" ref="J1564">IF(
  AND(
    IFERROR(MATCH(B1564, data!D:D, 0), 0) &gt; 0,
    IFERROR(INDEX(data!N:N, MATCH(B1564, data!D:D, 0)) = 1, FALSE)
  ),
  INDEX(data!C:C, MATCH(B1564, data!D:D, 0)),
  "INC"
)</f>
        <v>2025-09-02T12:48:13.256+08</v>
      </c>
      <c r="K1564" s="9" t="str">
        <f t="array" ref="K1564">IFERROR(INDEX(dataICM!C:C,match(Caseslist!B1564,dataICM!D:D,0)), "INC")</f>
        <v>2025-09-02T20:35:20.394+08</v>
      </c>
      <c r="L1564" s="10" t="str">
        <f t="array" ref="L1564">IF(AND(G1564="COMPLETE", OR(K1564="INC", ISBLANK(INDEX(data!O:O, ROW())))), J1564, K1564)</f>
        <v>2025-09-02T20:35:20.394+08</v>
      </c>
      <c r="M1564" s="2">
        <v>45902.0</v>
      </c>
      <c r="N1564" s="2">
        <f t="array" ref="N1564">IF(M1564&lt;&gt;"INC", INDEX(data!M:M, MATCH(B1564, data!D:D, 0)), "")</f>
        <v>1</v>
      </c>
      <c r="O1564" s="2">
        <f t="shared" si="3"/>
        <v>1</v>
      </c>
    </row>
    <row r="1565">
      <c r="A1565" s="2" t="str">
        <f t="shared" si="1"/>
        <v>H030634</v>
      </c>
      <c r="B1565" s="1" t="s">
        <v>2881</v>
      </c>
      <c r="C1565" s="9" t="str">
        <f t="array" ref="C1565">IF(
  AND(
    IFERROR(MATCH(Caseslist!B1565, data!D:D, 0), 0) &gt; 0,
    IFERROR(INDEX(data!N:N, MATCH(Caseslist!B1565, data!D:D, 0)) = 1, FALSE)
  ),
  "COMPLETE",
  "INC"
)</f>
        <v>COMPLETE</v>
      </c>
      <c r="D1565" s="9" t="str">
        <f t="array" ref="D1565">IFERROR(INDEX(data!$G:$G,match(Caseslist!B1565,data!$D:$D,0)), "INC")</f>
        <v>J4315980</v>
      </c>
      <c r="E1565" s="9" t="str">
        <f t="array" ref="E1565">IFERROR(INDEX(data!H:H,match(Caseslist!B1565,data!D:D,0)), "INC")</f>
        <v>Trixie Marie Jardeleza Saber</v>
      </c>
      <c r="F1565" s="10" t="str">
        <f t="array" ref="F1565">IF(
    OR(
      IFNA(INDEX(data!M:M, MATCH(Caseslist!B1565, data!D:D, 0)), "") = "",
      IFNA(INDEX(data!M:M, MATCH(Caseslist!B1565, data!D:D, 0)), 0) = 0
    ),
    "COMPLETE",
    IF(
      IFNA(INDEX(dataICM!D:D, MATCH(Caseslist!B1565, dataICM!D:D, 0)), "INC") = "INC",
      IFNA(INDEX(dataICM!D:D, MATCH(Caseslist!B1565, dataICM!D:D, 0)), "INC"),
      "COMPLETE"
    )
  )</f>
        <v>COMPLETE</v>
      </c>
      <c r="G1565" s="10" t="str">
        <f t="array" ref="G1565">IF(IFERROR(INDEX(data!L:L,match(Caseslist!B1565,data!D:D,0)),"INC")="","COMPLETE",F1565)</f>
        <v>COMPLETE</v>
      </c>
      <c r="H1565" s="9" t="str">
        <f t="array" ref="H1565">IFERROR(INDEX(dataICM!F:F,match(Caseslist!B1565,dataICM!D:D,0)), "INC")</f>
        <v>Trixie Marie Jardeleza Saber</v>
      </c>
      <c r="I1565" s="10" t="str">
        <f t="shared" si="2"/>
        <v>J4315980</v>
      </c>
      <c r="J1565" s="9" t="str">
        <f t="array" ref="J1565">IF(
  AND(
    IFERROR(MATCH(B1565, data!D:D, 0), 0) &gt; 0,
    IFERROR(INDEX(data!N:N, MATCH(B1565, data!D:D, 0)) = 1, FALSE)
  ),
  INDEX(data!C:C, MATCH(B1565, data!D:D, 0)),
  "INC"
)</f>
        <v>2025-09-02T11:34:20.076+08</v>
      </c>
      <c r="K1565" s="9" t="str">
        <f t="array" ref="K1565">IFERROR(INDEX(dataICM!C:C,match(Caseslist!B1565,dataICM!D:D,0)), "INC")</f>
        <v>2025-09-02T11:51:23.566+08</v>
      </c>
      <c r="L1565" s="10" t="str">
        <f t="array" ref="L1565">IF(AND(G1565="COMPLETE", OR(K1565="INC", ISBLANK(INDEX(data!O:O, ROW())))), J1565, K1565)</f>
        <v>2025-09-02T11:51:23.566+08</v>
      </c>
      <c r="M1565" s="2">
        <v>45902.0</v>
      </c>
      <c r="N1565" s="2">
        <f t="array" ref="N1565">IF(M1565&lt;&gt;"INC", INDEX(data!M:M, MATCH(B1565, data!D:D, 0)), "")</f>
        <v>1</v>
      </c>
      <c r="O1565" s="2">
        <f t="shared" si="3"/>
        <v>1</v>
      </c>
    </row>
    <row r="1566">
      <c r="A1566" s="2" t="str">
        <f t="shared" si="1"/>
        <v>H030634</v>
      </c>
      <c r="B1566" s="1" t="s">
        <v>2876</v>
      </c>
      <c r="C1566" s="9" t="str">
        <f t="array" ref="C1566">IF(
  AND(
    IFERROR(MATCH(Caseslist!B1566, data!D:D, 0), 0) &gt; 0,
    IFERROR(INDEX(data!N:N, MATCH(Caseslist!B1566, data!D:D, 0)) = 1, FALSE)
  ),
  "COMPLETE",
  "INC"
)</f>
        <v>COMPLETE</v>
      </c>
      <c r="D1566" s="9" t="str">
        <f t="array" ref="D1566">IFERROR(INDEX(data!$G:$G,match(Caseslist!B1566,data!$D:$D,0)), "INC")</f>
        <v>J4315980</v>
      </c>
      <c r="E1566" s="9" t="str">
        <f t="array" ref="E1566">IFERROR(INDEX(data!H:H,match(Caseslist!B1566,data!D:D,0)), "INC")</f>
        <v>Trixie Marie Jardeleza Saber</v>
      </c>
      <c r="F1566" s="10" t="str">
        <f t="array" ref="F1566">IF(
    OR(
      IFNA(INDEX(data!M:M, MATCH(Caseslist!B1566, data!D:D, 0)), "") = "",
      IFNA(INDEX(data!M:M, MATCH(Caseslist!B1566, data!D:D, 0)), 0) = 0
    ),
    "COMPLETE",
    IF(
      IFNA(INDEX(dataICM!D:D, MATCH(Caseslist!B1566, dataICM!D:D, 0)), "INC") = "INC",
      IFNA(INDEX(dataICM!D:D, MATCH(Caseslist!B1566, dataICM!D:D, 0)), "INC"),
      "COMPLETE"
    )
  )</f>
        <v>COMPLETE</v>
      </c>
      <c r="G1566" s="10" t="str">
        <f t="array" ref="G1566">IF(IFERROR(INDEX(data!L:L,match(Caseslist!B1566,data!D:D,0)),"INC")="","COMPLETE",F1566)</f>
        <v>COMPLETE</v>
      </c>
      <c r="H1566" s="9" t="str">
        <f t="array" ref="H1566">IFERROR(INDEX(dataICM!F:F,match(Caseslist!B1566,dataICM!D:D,0)), "INC")</f>
        <v>Trixie Marie Jardeleza Saber</v>
      </c>
      <c r="I1566" s="10" t="str">
        <f t="shared" si="2"/>
        <v>J4315980</v>
      </c>
      <c r="J1566" s="9" t="str">
        <f t="array" ref="J1566">IF(
  AND(
    IFERROR(MATCH(B1566, data!D:D, 0), 0) &gt; 0,
    IFERROR(INDEX(data!N:N, MATCH(B1566, data!D:D, 0)) = 1, FALSE)
  ),
  INDEX(data!C:C, MATCH(B1566, data!D:D, 0)),
  "INC"
)</f>
        <v>2025-09-02T13:57:33.359+08</v>
      </c>
      <c r="K1566" s="9" t="str">
        <f t="array" ref="K1566">IFERROR(INDEX(dataICM!C:C,match(Caseslist!B1566,dataICM!D:D,0)), "INC")</f>
        <v>2025-09-02T14:11:28.471+08</v>
      </c>
      <c r="L1566" s="10" t="str">
        <f t="array" ref="L1566">IF(AND(G1566="COMPLETE", OR(K1566="INC", ISBLANK(INDEX(data!O:O, ROW())))), J1566, K1566)</f>
        <v>2025-09-02T14:11:28.471+08</v>
      </c>
      <c r="M1566" s="2">
        <v>45902.0</v>
      </c>
      <c r="N1566" s="2">
        <f t="array" ref="N1566">IF(M1566&lt;&gt;"INC", INDEX(data!M:M, MATCH(B1566, data!D:D, 0)), "")</f>
        <v>1</v>
      </c>
      <c r="O1566" s="2">
        <f t="shared" si="3"/>
        <v>1</v>
      </c>
    </row>
    <row r="1567">
      <c r="A1567" s="2" t="str">
        <f t="shared" si="1"/>
        <v>H030634</v>
      </c>
      <c r="B1567" s="1" t="s">
        <v>2871</v>
      </c>
      <c r="C1567" s="9" t="str">
        <f t="array" ref="C1567">IF(
  AND(
    IFERROR(MATCH(Caseslist!B1567, data!D:D, 0), 0) &gt; 0,
    IFERROR(INDEX(data!N:N, MATCH(Caseslist!B1567, data!D:D, 0)) = 1, FALSE)
  ),
  "COMPLETE",
  "INC"
)</f>
        <v>COMPLETE</v>
      </c>
      <c r="D1567" s="9" t="str">
        <f t="array" ref="D1567">IFERROR(INDEX(data!$G:$G,match(Caseslist!B1567,data!$D:$D,0)), "INC")</f>
        <v>J4315980</v>
      </c>
      <c r="E1567" s="9" t="str">
        <f t="array" ref="E1567">IFERROR(INDEX(data!H:H,match(Caseslist!B1567,data!D:D,0)), "INC")</f>
        <v>Trixie Marie Jardeleza Saber</v>
      </c>
      <c r="F1567" s="10" t="str">
        <f t="array" ref="F1567">IF(
    OR(
      IFNA(INDEX(data!M:M, MATCH(Caseslist!B1567, data!D:D, 0)), "") = "",
      IFNA(INDEX(data!M:M, MATCH(Caseslist!B1567, data!D:D, 0)), 0) = 0
    ),
    "COMPLETE",
    IF(
      IFNA(INDEX(dataICM!D:D, MATCH(Caseslist!B1567, dataICM!D:D, 0)), "INC") = "INC",
      IFNA(INDEX(dataICM!D:D, MATCH(Caseslist!B1567, dataICM!D:D, 0)), "INC"),
      "COMPLETE"
    )
  )</f>
        <v>COMPLETE</v>
      </c>
      <c r="G1567" s="10" t="str">
        <f t="array" ref="G1567">IF(IFERROR(INDEX(data!L:L,match(Caseslist!B1567,data!D:D,0)),"INC")="","COMPLETE",F1567)</f>
        <v>COMPLETE</v>
      </c>
      <c r="H1567" s="9" t="str">
        <f t="array" ref="H1567">IFERROR(INDEX(dataICM!F:F,match(Caseslist!B1567,dataICM!D:D,0)), "INC")</f>
        <v>Trixie Marie Jardeleza Saber</v>
      </c>
      <c r="I1567" s="10" t="str">
        <f t="shared" si="2"/>
        <v>J4315980</v>
      </c>
      <c r="J1567" s="9" t="str">
        <f t="array" ref="J1567">IF(
  AND(
    IFERROR(MATCH(B1567, data!D:D, 0), 0) &gt; 0,
    IFERROR(INDEX(data!N:N, MATCH(B1567, data!D:D, 0)) = 1, FALSE)
  ),
  INDEX(data!C:C, MATCH(B1567, data!D:D, 0)),
  "INC"
)</f>
        <v>2025-09-02T10:21:39.235+08</v>
      </c>
      <c r="K1567" s="9" t="str">
        <f t="array" ref="K1567">IFERROR(INDEX(dataICM!C:C,match(Caseslist!B1567,dataICM!D:D,0)), "INC")</f>
        <v>2025-09-02T10:29:28.432+08</v>
      </c>
      <c r="L1567" s="10" t="str">
        <f t="array" ref="L1567">IF(AND(G1567="COMPLETE", OR(K1567="INC", ISBLANK(INDEX(data!O:O, ROW())))), J1567, K1567)</f>
        <v>2025-09-02T10:29:28.432+08</v>
      </c>
      <c r="M1567" s="2">
        <v>45902.0</v>
      </c>
      <c r="N1567" s="2">
        <f t="array" ref="N1567">IF(M1567&lt;&gt;"INC", INDEX(data!M:M, MATCH(B1567, data!D:D, 0)), "")</f>
        <v>1</v>
      </c>
      <c r="O1567" s="2">
        <f t="shared" si="3"/>
        <v>1</v>
      </c>
    </row>
    <row r="1568">
      <c r="A1568" s="2" t="str">
        <f t="shared" si="1"/>
        <v>H030634</v>
      </c>
      <c r="B1568" s="1" t="s">
        <v>2921</v>
      </c>
      <c r="C1568" s="9" t="str">
        <f t="array" ref="C1568">IF(
  AND(
    IFERROR(MATCH(Caseslist!B1568, data!D:D, 0), 0) &gt; 0,
    IFERROR(INDEX(data!N:N, MATCH(Caseslist!B1568, data!D:D, 0)) = 1, FALSE)
  ),
  "COMPLETE",
  "INC"
)</f>
        <v>COMPLETE</v>
      </c>
      <c r="D1568" s="9" t="str">
        <f t="array" ref="D1568">IFERROR(INDEX(data!$G:$G,match(Caseslist!B1568,data!$D:$D,0)), "INC")</f>
        <v>L2057896</v>
      </c>
      <c r="E1568" s="9" t="str">
        <f t="array" ref="E1568">IFERROR(INDEX(data!H:H,match(Caseslist!B1568,data!D:D,0)), "INC")</f>
        <v>Franz Reoben Posadas Geneblaza</v>
      </c>
      <c r="F1568" s="10" t="str">
        <f t="array" ref="F1568">IF(
    OR(
      IFNA(INDEX(data!M:M, MATCH(Caseslist!B1568, data!D:D, 0)), "") = "",
      IFNA(INDEX(data!M:M, MATCH(Caseslist!B1568, data!D:D, 0)), 0) = 0
    ),
    "COMPLETE",
    IF(
      IFNA(INDEX(dataICM!D:D, MATCH(Caseslist!B1568, dataICM!D:D, 0)), "INC") = "INC",
      IFNA(INDEX(dataICM!D:D, MATCH(Caseslist!B1568, dataICM!D:D, 0)), "INC"),
      "COMPLETE"
    )
  )</f>
        <v>COMPLETE</v>
      </c>
      <c r="G1568" s="10" t="str">
        <f t="array" ref="G1568">IF(IFERROR(INDEX(data!L:L,match(Caseslist!B1568,data!D:D,0)),"INC")="","COMPLETE",F1568)</f>
        <v>COMPLETE</v>
      </c>
      <c r="H1568" s="9" t="str">
        <f t="array" ref="H1568">IFERROR(INDEX(dataICM!F:F,match(Caseslist!B1568,dataICM!D:D,0)), "INC")</f>
        <v>Franz Reoben Posadas Geneblaza</v>
      </c>
      <c r="I1568" s="10" t="str">
        <f t="shared" si="2"/>
        <v>L2057896</v>
      </c>
      <c r="J1568" s="9" t="str">
        <f t="array" ref="J1568">IF(
  AND(
    IFERROR(MATCH(B1568, data!D:D, 0), 0) &gt; 0,
    IFERROR(INDEX(data!N:N, MATCH(B1568, data!D:D, 0)) = 1, FALSE)
  ),
  INDEX(data!C:C, MATCH(B1568, data!D:D, 0)),
  "INC"
)</f>
        <v>2025-10-01T10:27:45.180+08</v>
      </c>
      <c r="K1568" s="9" t="str">
        <f t="array" ref="K1568">IFERROR(INDEX(dataICM!C:C,match(Caseslist!B1568,dataICM!D:D,0)), "INC")</f>
        <v>2025-10-01T10:38:16.391+08</v>
      </c>
      <c r="L1568" s="10" t="str">
        <f t="array" ref="L1568">IF(AND(G1568="COMPLETE", OR(K1568="INC", ISBLANK(INDEX(data!O:O, ROW())))), J1568, K1568)</f>
        <v>2025-10-01T10:38:16.391+08</v>
      </c>
      <c r="M1568" s="2">
        <v>45931.0</v>
      </c>
      <c r="N1568" s="2">
        <f t="array" ref="N1568">IF(M1568&lt;&gt;"INC", INDEX(data!M:M, MATCH(B1568, data!D:D, 0)), "")</f>
        <v>1</v>
      </c>
      <c r="O1568" s="2">
        <f t="shared" si="3"/>
        <v>1</v>
      </c>
    </row>
    <row r="1569">
      <c r="A1569" s="2" t="str">
        <f t="shared" si="1"/>
        <v>H030634</v>
      </c>
      <c r="B1569" s="1" t="s">
        <v>2891</v>
      </c>
      <c r="C1569" s="9" t="str">
        <f t="array" ref="C1569">IF(
  AND(
    IFERROR(MATCH(Caseslist!B1569, data!D:D, 0), 0) &gt; 0,
    IFERROR(INDEX(data!N:N, MATCH(Caseslist!B1569, data!D:D, 0)) = 1, FALSE)
  ),
  "COMPLETE",
  "INC"
)</f>
        <v>COMPLETE</v>
      </c>
      <c r="D1569" s="9" t="str">
        <f t="array" ref="D1569">IFERROR(INDEX(data!$G:$G,match(Caseslist!B1569,data!$D:$D,0)), "INC")</f>
        <v>L2057896</v>
      </c>
      <c r="E1569" s="9" t="str">
        <f t="array" ref="E1569">IFERROR(INDEX(data!H:H,match(Caseslist!B1569,data!D:D,0)), "INC")</f>
        <v>Franz Reoben Posadas Geneblaza</v>
      </c>
      <c r="F1569" s="10" t="str">
        <f t="array" ref="F1569">IF(
    OR(
      IFNA(INDEX(data!M:M, MATCH(Caseslist!B1569, data!D:D, 0)), "") = "",
      IFNA(INDEX(data!M:M, MATCH(Caseslist!B1569, data!D:D, 0)), 0) = 0
    ),
    "COMPLETE",
    IF(
      IFNA(INDEX(dataICM!D:D, MATCH(Caseslist!B1569, dataICM!D:D, 0)), "INC") = "INC",
      IFNA(INDEX(dataICM!D:D, MATCH(Caseslist!B1569, dataICM!D:D, 0)), "INC"),
      "COMPLETE"
    )
  )</f>
        <v>COMPLETE</v>
      </c>
      <c r="G1569" s="10" t="str">
        <f t="array" ref="G1569">IF(IFERROR(INDEX(data!L:L,match(Caseslist!B1569,data!D:D,0)),"INC")="","COMPLETE",F1569)</f>
        <v>COMPLETE</v>
      </c>
      <c r="H1569" s="9" t="str">
        <f t="array" ref="H1569">IFERROR(INDEX(dataICM!F:F,match(Caseslist!B1569,dataICM!D:D,0)), "INC")</f>
        <v>Franz Reoben Posadas Geneblaza</v>
      </c>
      <c r="I1569" s="10" t="str">
        <f t="shared" si="2"/>
        <v>L2057896</v>
      </c>
      <c r="J1569" s="9" t="str">
        <f t="array" ref="J1569">IF(
  AND(
    IFERROR(MATCH(B1569, data!D:D, 0), 0) &gt; 0,
    IFERROR(INDEX(data!N:N, MATCH(B1569, data!D:D, 0)) = 1, FALSE)
  ),
  INDEX(data!C:C, MATCH(B1569, data!D:D, 0)),
  "INC"
)</f>
        <v>2025-09-02T13:31:06.103+08</v>
      </c>
      <c r="K1569" s="9" t="str">
        <f t="array" ref="K1569">IFERROR(INDEX(dataICM!C:C,match(Caseslist!B1569,dataICM!D:D,0)), "INC")</f>
        <v>2025-09-02T13:46:20.077+08</v>
      </c>
      <c r="L1569" s="10" t="str">
        <f t="array" ref="L1569">IF(AND(G1569="COMPLETE", OR(K1569="INC", ISBLANK(INDEX(data!O:O, ROW())))), J1569, K1569)</f>
        <v>2025-09-02T13:46:20.077+08</v>
      </c>
      <c r="M1569" s="2">
        <v>45902.0</v>
      </c>
      <c r="N1569" s="2">
        <f t="array" ref="N1569">IF(M1569&lt;&gt;"INC", INDEX(data!M:M, MATCH(B1569, data!D:D, 0)), "")</f>
        <v>1</v>
      </c>
      <c r="O1569" s="2">
        <f t="shared" si="3"/>
        <v>1</v>
      </c>
    </row>
    <row r="1570">
      <c r="A1570" s="2" t="str">
        <f t="shared" si="1"/>
        <v>H030634</v>
      </c>
      <c r="B1570" s="1" t="s">
        <v>2911</v>
      </c>
      <c r="C1570" s="9" t="str">
        <f t="array" ref="C1570">IF(
  AND(
    IFERROR(MATCH(Caseslist!B1570, data!D:D, 0), 0) &gt; 0,
    IFERROR(INDEX(data!N:N, MATCH(Caseslist!B1570, data!D:D, 0)) = 1, FALSE)
  ),
  "COMPLETE",
  "INC"
)</f>
        <v>COMPLETE</v>
      </c>
      <c r="D1570" s="9" t="str">
        <f t="array" ref="D1570">IFERROR(INDEX(data!$G:$G,match(Caseslist!B1570,data!$D:$D,0)), "INC")</f>
        <v>M6491032</v>
      </c>
      <c r="E1570" s="9" t="str">
        <f t="array" ref="E1570">IFERROR(INDEX(data!H:H,match(Caseslist!B1570,data!D:D,0)), "INC")</f>
        <v>Rosevil Tayo Desamparado</v>
      </c>
      <c r="F1570" s="10" t="str">
        <f t="array" ref="F1570">IF(
    OR(
      IFNA(INDEX(data!M:M, MATCH(Caseslist!B1570, data!D:D, 0)), "") = "",
      IFNA(INDEX(data!M:M, MATCH(Caseslist!B1570, data!D:D, 0)), 0) = 0
    ),
    "COMPLETE",
    IF(
      IFNA(INDEX(dataICM!D:D, MATCH(Caseslist!B1570, dataICM!D:D, 0)), "INC") = "INC",
      IFNA(INDEX(dataICM!D:D, MATCH(Caseslist!B1570, dataICM!D:D, 0)), "INC"),
      "COMPLETE"
    )
  )</f>
        <v>COMPLETE</v>
      </c>
      <c r="G1570" s="10" t="str">
        <f t="array" ref="G1570">IF(IFERROR(INDEX(data!L:L,match(Caseslist!B1570,data!D:D,0)),"INC")="","COMPLETE",F1570)</f>
        <v>COMPLETE</v>
      </c>
      <c r="H1570" s="9" t="str">
        <f t="array" ref="H1570">IFERROR(INDEX(dataICM!F:F,match(Caseslist!B1570,dataICM!D:D,0)), "INC")</f>
        <v>Rosevil Tayo Desamparado</v>
      </c>
      <c r="I1570" s="10" t="str">
        <f t="shared" si="2"/>
        <v>M6491032</v>
      </c>
      <c r="J1570" s="9" t="str">
        <f t="array" ref="J1570">IF(
  AND(
    IFERROR(MATCH(B1570, data!D:D, 0), 0) &gt; 0,
    IFERROR(INDEX(data!N:N, MATCH(B1570, data!D:D, 0)) = 1, FALSE)
  ),
  INDEX(data!C:C, MATCH(B1570, data!D:D, 0)),
  "INC"
)</f>
        <v>2025-09-02T20:34:30.959+08</v>
      </c>
      <c r="K1570" s="9" t="str">
        <f t="array" ref="K1570">IFERROR(INDEX(dataICM!C:C,match(Caseslist!B1570,dataICM!D:D,0)), "INC")</f>
        <v>2025-09-02T20:34:04.705+08</v>
      </c>
      <c r="L1570" s="10" t="str">
        <f t="array" ref="L1570">IF(AND(G1570="COMPLETE", OR(K1570="INC", ISBLANK(INDEX(data!O:O, ROW())))), J1570, K1570)</f>
        <v>2025-09-02T20:34:04.705+08</v>
      </c>
      <c r="M1570" s="2">
        <v>45902.0</v>
      </c>
      <c r="N1570" s="2">
        <f t="array" ref="N1570">IF(M1570&lt;&gt;"INC", INDEX(data!M:M, MATCH(B1570, data!D:D, 0)), "")</f>
        <v>1</v>
      </c>
      <c r="O1570" s="2">
        <f t="shared" si="3"/>
        <v>1</v>
      </c>
    </row>
    <row r="1571">
      <c r="A1571" s="2" t="str">
        <f t="shared" si="1"/>
        <v>H030634</v>
      </c>
      <c r="B1571" s="1" t="s">
        <v>2936</v>
      </c>
      <c r="C1571" s="9" t="str">
        <f t="array" ref="C1571">IF(
  AND(
    IFERROR(MATCH(Caseslist!B1571, data!D:D, 0), 0) &gt; 0,
    IFERROR(INDEX(data!N:N, MATCH(Caseslist!B1571, data!D:D, 0)) = 1, FALSE)
  ),
  "COMPLETE",
  "INC"
)</f>
        <v>COMPLETE</v>
      </c>
      <c r="D1571" s="9" t="str">
        <f t="array" ref="D1571">IFERROR(INDEX(data!$G:$G,match(Caseslist!B1571,data!$D:$D,0)), "INC")</f>
        <v>K8623174</v>
      </c>
      <c r="E1571" s="9" t="str">
        <f t="array" ref="E1571">IFERROR(INDEX(data!H:H,match(Caseslist!B1571,data!D:D,0)), "INC")</f>
        <v>Marielle Kaye Ignacio Alonzo</v>
      </c>
      <c r="F1571" s="10" t="str">
        <f t="array" ref="F1571">IF(
    OR(
      IFNA(INDEX(data!M:M, MATCH(Caseslist!B1571, data!D:D, 0)), "") = "",
      IFNA(INDEX(data!M:M, MATCH(Caseslist!B1571, data!D:D, 0)), 0) = 0
    ),
    "COMPLETE",
    IF(
      IFNA(INDEX(dataICM!D:D, MATCH(Caseslist!B1571, dataICM!D:D, 0)), "INC") = "INC",
      IFNA(INDEX(dataICM!D:D, MATCH(Caseslist!B1571, dataICM!D:D, 0)), "INC"),
      "COMPLETE"
    )
  )</f>
        <v>COMPLETE</v>
      </c>
      <c r="G1571" s="10" t="str">
        <f t="array" ref="G1571">IF(IFERROR(INDEX(data!L:L,match(Caseslist!B1571,data!D:D,0)),"INC")="","COMPLETE",F1571)</f>
        <v>COMPLETE</v>
      </c>
      <c r="H1571" s="9" t="str">
        <f t="array" ref="H1571">IFERROR(INDEX(dataICM!F:F,match(Caseslist!B1571,dataICM!D:D,0)), "INC")</f>
        <v>Marielle Kaye Ignacio Alonzo</v>
      </c>
      <c r="I1571" s="10" t="str">
        <f t="shared" si="2"/>
        <v>K8623174</v>
      </c>
      <c r="J1571" s="9" t="str">
        <f t="array" ref="J1571">IF(
  AND(
    IFERROR(MATCH(B1571, data!D:D, 0), 0) &gt; 0,
    IFERROR(INDEX(data!N:N, MATCH(B1571, data!D:D, 0)) = 1, FALSE)
  ),
  INDEX(data!C:C, MATCH(B1571, data!D:D, 0)),
  "INC"
)</f>
        <v>2025-09-02T10:30:18.239+08</v>
      </c>
      <c r="K1571" s="9" t="str">
        <f t="array" ref="K1571">IFERROR(INDEX(dataICM!C:C,match(Caseslist!B1571,dataICM!D:D,0)), "INC")</f>
        <v>2025-09-02T13:53:35.316+08</v>
      </c>
      <c r="L1571" s="10" t="str">
        <f t="array" ref="L1571">IF(AND(G1571="COMPLETE", OR(K1571="INC", ISBLANK(INDEX(data!O:O, ROW())))), J1571, K1571)</f>
        <v>2025-09-02T13:53:35.316+08</v>
      </c>
      <c r="M1571" s="2">
        <v>45902.0</v>
      </c>
      <c r="N1571" s="2">
        <f t="array" ref="N1571">IF(M1571&lt;&gt;"INC", INDEX(data!M:M, MATCH(B1571, data!D:D, 0)), "")</f>
        <v>1</v>
      </c>
      <c r="O1571" s="2">
        <f t="shared" si="3"/>
        <v>1</v>
      </c>
    </row>
    <row r="1572">
      <c r="A1572" s="2" t="str">
        <f t="shared" si="1"/>
        <v>H030634</v>
      </c>
      <c r="B1572" s="1" t="s">
        <v>3292</v>
      </c>
      <c r="C1572" s="9" t="str">
        <f t="array" ref="C1572">IF(
  AND(
    IFERROR(MATCH(Caseslist!B1572, data!D:D, 0), 0) &gt; 0,
    IFERROR(INDEX(data!N:N, MATCH(Caseslist!B1572, data!D:D, 0)) = 1, FALSE)
  ),
  "COMPLETE",
  "INC"
)</f>
        <v>COMPLETE</v>
      </c>
      <c r="D1572" s="9" t="str">
        <f t="array" ref="D1572">IFERROR(INDEX(data!$G:$G,match(Caseslist!B1572,data!$D:$D,0)), "INC")</f>
        <v>K8623174</v>
      </c>
      <c r="E1572" s="9" t="str">
        <f t="array" ref="E1572">IFERROR(INDEX(data!H:H,match(Caseslist!B1572,data!D:D,0)), "INC")</f>
        <v>Marielle Kaye Ignacio Alonzo</v>
      </c>
      <c r="F1572" s="10" t="str">
        <f t="array" ref="F1572">IF(
    OR(
      IFNA(INDEX(data!M:M, MATCH(Caseslist!B1572, data!D:D, 0)), "") = "",
      IFNA(INDEX(data!M:M, MATCH(Caseslist!B1572, data!D:D, 0)), 0) = 0
    ),
    "COMPLETE",
    IF(
      IFNA(INDEX(dataICM!D:D, MATCH(Caseslist!B1572, dataICM!D:D, 0)), "INC") = "INC",
      IFNA(INDEX(dataICM!D:D, MATCH(Caseslist!B1572, dataICM!D:D, 0)), "INC"),
      "COMPLETE"
    )
  )</f>
        <v>COMPLETE</v>
      </c>
      <c r="G1572" s="10" t="str">
        <f t="array" ref="G1572">IF(IFERROR(INDEX(data!L:L,match(Caseslist!B1572,data!D:D,0)),"INC")="","COMPLETE",F1572)</f>
        <v>COMPLETE</v>
      </c>
      <c r="H1572" s="9" t="str">
        <f t="array" ref="H1572">IFERROR(INDEX(dataICM!F:F,match(Caseslist!B1572,dataICM!D:D,0)), "INC")</f>
        <v>Marielle Kaye Ignacio Alonzo</v>
      </c>
      <c r="I1572" s="10" t="str">
        <f t="shared" si="2"/>
        <v>K8623174</v>
      </c>
      <c r="J1572" s="9" t="str">
        <f t="array" ref="J1572">IF(
  AND(
    IFERROR(MATCH(B1572, data!D:D, 0), 0) &gt; 0,
    IFERROR(INDEX(data!N:N, MATCH(B1572, data!D:D, 0)) = 1, FALSE)
  ),
  INDEX(data!C:C, MATCH(B1572, data!D:D, 0)),
  "INC"
)</f>
        <v>2025-10-01T10:39:15.454+08</v>
      </c>
      <c r="K1572" s="9" t="str">
        <f t="array" ref="K1572">IFERROR(INDEX(dataICM!C:C,match(Caseslist!B1572,dataICM!D:D,0)), "INC")</f>
        <v>2025-10-01T19:52:04.573+08</v>
      </c>
      <c r="L1572" s="10" t="str">
        <f t="array" ref="L1572">IF(AND(G1572="COMPLETE", OR(K1572="INC", ISBLANK(INDEX(data!O:O, ROW())))), J1572, K1572)</f>
        <v>2025-10-01T19:52:04.573+08</v>
      </c>
      <c r="M1572" s="2">
        <v>45931.0</v>
      </c>
      <c r="N1572" s="2">
        <f t="array" ref="N1572">IF(M1572&lt;&gt;"INC", INDEX(data!M:M, MATCH(B1572, data!D:D, 0)), "")</f>
        <v>1</v>
      </c>
      <c r="O1572" s="2">
        <f t="shared" si="3"/>
        <v>1</v>
      </c>
    </row>
    <row r="1573">
      <c r="A1573" s="2" t="str">
        <f t="shared" si="1"/>
        <v>H030634</v>
      </c>
      <c r="B1573" s="1" t="s">
        <v>2916</v>
      </c>
      <c r="C1573" s="9" t="str">
        <f t="array" ref="C1573">IF(
  AND(
    IFERROR(MATCH(Caseslist!B1573, data!D:D, 0), 0) &gt; 0,
    IFERROR(INDEX(data!N:N, MATCH(Caseslist!B1573, data!D:D, 0)) = 1, FALSE)
  ),
  "COMPLETE",
  "INC"
)</f>
        <v>COMPLETE</v>
      </c>
      <c r="D1573" s="9" t="str">
        <f t="array" ref="D1573">IFERROR(INDEX(data!$G:$G,match(Caseslist!B1573,data!$D:$D,0)), "INC")</f>
        <v>M6491032</v>
      </c>
      <c r="E1573" s="9" t="str">
        <f t="array" ref="E1573">IFERROR(INDEX(data!H:H,match(Caseslist!B1573,data!D:D,0)), "INC")</f>
        <v>Rosevil Tayo Desamparado</v>
      </c>
      <c r="F1573" s="10" t="str">
        <f t="array" ref="F1573">IF(
    OR(
      IFNA(INDEX(data!M:M, MATCH(Caseslist!B1573, data!D:D, 0)), "") = "",
      IFNA(INDEX(data!M:M, MATCH(Caseslist!B1573, data!D:D, 0)), 0) = 0
    ),
    "COMPLETE",
    IF(
      IFNA(INDEX(dataICM!D:D, MATCH(Caseslist!B1573, dataICM!D:D, 0)), "INC") = "INC",
      IFNA(INDEX(dataICM!D:D, MATCH(Caseslist!B1573, dataICM!D:D, 0)), "INC"),
      "COMPLETE"
    )
  )</f>
        <v>COMPLETE</v>
      </c>
      <c r="G1573" s="10" t="str">
        <f t="array" ref="G1573">IF(IFERROR(INDEX(data!L:L,match(Caseslist!B1573,data!D:D,0)),"INC")="","COMPLETE",F1573)</f>
        <v>COMPLETE</v>
      </c>
      <c r="H1573" s="9" t="str">
        <f t="array" ref="H1573">IFERROR(INDEX(dataICM!F:F,match(Caseslist!B1573,dataICM!D:D,0)), "INC")</f>
        <v>Rosevil Tayo Desamparado</v>
      </c>
      <c r="I1573" s="10" t="str">
        <f t="shared" si="2"/>
        <v>M6491032</v>
      </c>
      <c r="J1573" s="9" t="str">
        <f t="array" ref="J1573">IF(
  AND(
    IFERROR(MATCH(B1573, data!D:D, 0), 0) &gt; 0,
    IFERROR(INDEX(data!N:N, MATCH(B1573, data!D:D, 0)) = 1, FALSE)
  ),
  INDEX(data!C:C, MATCH(B1573, data!D:D, 0)),
  "INC"
)</f>
        <v>2025-10-01T14:57:55.343+08</v>
      </c>
      <c r="K1573" s="9" t="str">
        <f t="array" ref="K1573">IFERROR(INDEX(dataICM!C:C,match(Caseslist!B1573,dataICM!D:D,0)), "INC")</f>
        <v>2025-10-01T14:59:41.100+08</v>
      </c>
      <c r="L1573" s="10" t="str">
        <f t="array" ref="L1573">IF(AND(G1573="COMPLETE", OR(K1573="INC", ISBLANK(INDEX(data!O:O, ROW())))), J1573, K1573)</f>
        <v>2025-10-01T14:59:41.100+08</v>
      </c>
      <c r="M1573" s="2">
        <v>45931.0</v>
      </c>
      <c r="N1573" s="2">
        <f t="array" ref="N1573">IF(M1573&lt;&gt;"INC", INDEX(data!M:M, MATCH(B1573, data!D:D, 0)), "")</f>
        <v>1</v>
      </c>
      <c r="O1573" s="2">
        <f t="shared" si="3"/>
        <v>1</v>
      </c>
    </row>
    <row r="1574">
      <c r="A1574" s="2" t="str">
        <f t="shared" si="1"/>
        <v>H030634</v>
      </c>
      <c r="B1574" s="1" t="s">
        <v>2931</v>
      </c>
      <c r="C1574" s="9" t="str">
        <f t="array" ref="C1574">IF(
  AND(
    IFERROR(MATCH(Caseslist!B1574, data!D:D, 0), 0) &gt; 0,
    IFERROR(INDEX(data!N:N, MATCH(Caseslist!B1574, data!D:D, 0)) = 1, FALSE)
  ),
  "COMPLETE",
  "INC"
)</f>
        <v>COMPLETE</v>
      </c>
      <c r="D1574" s="9" t="str">
        <f t="array" ref="D1574">IFERROR(INDEX(data!$G:$G,match(Caseslist!B1574,data!$D:$D,0)), "INC")</f>
        <v>K8623174</v>
      </c>
      <c r="E1574" s="9" t="str">
        <f t="array" ref="E1574">IFERROR(INDEX(data!H:H,match(Caseslist!B1574,data!D:D,0)), "INC")</f>
        <v>Marielle Kaye Ignacio Alonzo</v>
      </c>
      <c r="F1574" s="10" t="str">
        <f t="array" ref="F1574">IF(
    OR(
      IFNA(INDEX(data!M:M, MATCH(Caseslist!B1574, data!D:D, 0)), "") = "",
      IFNA(INDEX(data!M:M, MATCH(Caseslist!B1574, data!D:D, 0)), 0) = 0
    ),
    "COMPLETE",
    IF(
      IFNA(INDEX(dataICM!D:D, MATCH(Caseslist!B1574, dataICM!D:D, 0)), "INC") = "INC",
      IFNA(INDEX(dataICM!D:D, MATCH(Caseslist!B1574, dataICM!D:D, 0)), "INC"),
      "COMPLETE"
    )
  )</f>
        <v>COMPLETE</v>
      </c>
      <c r="G1574" s="10" t="str">
        <f t="array" ref="G1574">IF(IFERROR(INDEX(data!L:L,match(Caseslist!B1574,data!D:D,0)),"INC")="","COMPLETE",F1574)</f>
        <v>COMPLETE</v>
      </c>
      <c r="H1574" s="9" t="str">
        <f t="array" ref="H1574">IFERROR(INDEX(dataICM!F:F,match(Caseslist!B1574,dataICM!D:D,0)), "INC")</f>
        <v>Marielle Kaye Ignacio Alonzo</v>
      </c>
      <c r="I1574" s="10" t="str">
        <f t="shared" si="2"/>
        <v>K8623174</v>
      </c>
      <c r="J1574" s="9" t="str">
        <f t="array" ref="J1574">IF(
  AND(
    IFERROR(MATCH(B1574, data!D:D, 0), 0) &gt; 0,
    IFERROR(INDEX(data!N:N, MATCH(B1574, data!D:D, 0)) = 1, FALSE)
  ),
  INDEX(data!C:C, MATCH(B1574, data!D:D, 0)),
  "INC"
)</f>
        <v>2025-09-02T11:22:40.440+08</v>
      </c>
      <c r="K1574" s="9" t="str">
        <f t="array" ref="K1574">IFERROR(INDEX(dataICM!C:C,match(Caseslist!B1574,dataICM!D:D,0)), "INC")</f>
        <v>2025-09-02T11:39:05.951+08</v>
      </c>
      <c r="L1574" s="10" t="str">
        <f t="array" ref="L1574">IF(AND(G1574="COMPLETE", OR(K1574="INC", ISBLANK(INDEX(data!O:O, ROW())))), J1574, K1574)</f>
        <v>2025-09-02T11:39:05.951+08</v>
      </c>
      <c r="M1574" s="2">
        <v>45902.0</v>
      </c>
      <c r="N1574" s="2">
        <f t="array" ref="N1574">IF(M1574&lt;&gt;"INC", INDEX(data!M:M, MATCH(B1574, data!D:D, 0)), "")</f>
        <v>1</v>
      </c>
      <c r="O1574" s="2">
        <f t="shared" si="3"/>
        <v>1</v>
      </c>
    </row>
    <row r="1575">
      <c r="A1575" s="2" t="str">
        <f t="shared" si="1"/>
        <v>H030634</v>
      </c>
      <c r="B1575" s="1" t="s">
        <v>2896</v>
      </c>
      <c r="C1575" s="9" t="str">
        <f t="array" ref="C1575">IF(
  AND(
    IFERROR(MATCH(Caseslist!B1575, data!D:D, 0), 0) &gt; 0,
    IFERROR(INDEX(data!N:N, MATCH(Caseslist!B1575, data!D:D, 0)) = 1, FALSE)
  ),
  "COMPLETE",
  "INC"
)</f>
        <v>COMPLETE</v>
      </c>
      <c r="D1575" s="9" t="str">
        <f t="array" ref="D1575">IFERROR(INDEX(data!$G:$G,match(Caseslist!B1575,data!$D:$D,0)), "INC")</f>
        <v>L2057896</v>
      </c>
      <c r="E1575" s="9" t="str">
        <f t="array" ref="E1575">IFERROR(INDEX(data!H:H,match(Caseslist!B1575,data!D:D,0)), "INC")</f>
        <v>Franz Reoben Posadas Geneblaza</v>
      </c>
      <c r="F1575" s="10" t="str">
        <f t="array" ref="F1575">IF(
    OR(
      IFNA(INDEX(data!M:M, MATCH(Caseslist!B1575, data!D:D, 0)), "") = "",
      IFNA(INDEX(data!M:M, MATCH(Caseslist!B1575, data!D:D, 0)), 0) = 0
    ),
    "COMPLETE",
    IF(
      IFNA(INDEX(dataICM!D:D, MATCH(Caseslist!B1575, dataICM!D:D, 0)), "INC") = "INC",
      IFNA(INDEX(dataICM!D:D, MATCH(Caseslist!B1575, dataICM!D:D, 0)), "INC"),
      "COMPLETE"
    )
  )</f>
        <v>COMPLETE</v>
      </c>
      <c r="G1575" s="10" t="str">
        <f t="array" ref="G1575">IF(IFERROR(INDEX(data!L:L,match(Caseslist!B1575,data!D:D,0)),"INC")="","COMPLETE",F1575)</f>
        <v>COMPLETE</v>
      </c>
      <c r="H1575" s="9" t="str">
        <f t="array" ref="H1575">IFERROR(INDEX(dataICM!F:F,match(Caseslist!B1575,dataICM!D:D,0)), "INC")</f>
        <v>Franz Reoben Posadas Geneblaza</v>
      </c>
      <c r="I1575" s="10" t="str">
        <f t="shared" si="2"/>
        <v>L2057896</v>
      </c>
      <c r="J1575" s="9" t="str">
        <f t="array" ref="J1575">IF(
  AND(
    IFERROR(MATCH(B1575, data!D:D, 0), 0) &gt; 0,
    IFERROR(INDEX(data!N:N, MATCH(B1575, data!D:D, 0)) = 1, FALSE)
  ),
  INDEX(data!C:C, MATCH(B1575, data!D:D, 0)),
  "INC"
)</f>
        <v>2025-09-02T14:39:29.370+08</v>
      </c>
      <c r="K1575" s="9" t="str">
        <f t="array" ref="K1575">IFERROR(INDEX(dataICM!C:C,match(Caseslist!B1575,dataICM!D:D,0)), "INC")</f>
        <v>2025-09-02T14:55:09.645+08</v>
      </c>
      <c r="L1575" s="10" t="str">
        <f t="array" ref="L1575">IF(AND(G1575="COMPLETE", OR(K1575="INC", ISBLANK(INDEX(data!O:O, ROW())))), J1575, K1575)</f>
        <v>2025-09-02T14:55:09.645+08</v>
      </c>
      <c r="M1575" s="2">
        <v>45902.0</v>
      </c>
      <c r="N1575" s="2">
        <f t="array" ref="N1575">IF(M1575&lt;&gt;"INC", INDEX(data!M:M, MATCH(B1575, data!D:D, 0)), "")</f>
        <v>1</v>
      </c>
      <c r="O1575" s="2">
        <f t="shared" si="3"/>
        <v>1</v>
      </c>
    </row>
    <row r="1576">
      <c r="A1576" s="2" t="str">
        <f t="shared" si="1"/>
        <v>H030634</v>
      </c>
      <c r="B1576" s="1" t="s">
        <v>2886</v>
      </c>
      <c r="C1576" s="9" t="str">
        <f t="array" ref="C1576">IF(
  AND(
    IFERROR(MATCH(Caseslist!B1576, data!D:D, 0), 0) &gt; 0,
    IFERROR(INDEX(data!N:N, MATCH(Caseslist!B1576, data!D:D, 0)) = 1, FALSE)
  ),
  "COMPLETE",
  "INC"
)</f>
        <v>COMPLETE</v>
      </c>
      <c r="D1576" s="9" t="str">
        <f t="array" ref="D1576">IFERROR(INDEX(data!$G:$G,match(Caseslist!B1576,data!$D:$D,0)), "INC")</f>
        <v>L2057896</v>
      </c>
      <c r="E1576" s="9" t="str">
        <f t="array" ref="E1576">IFERROR(INDEX(data!H:H,match(Caseslist!B1576,data!D:D,0)), "INC")</f>
        <v>Franz Reoben Posadas Geneblaza</v>
      </c>
      <c r="F1576" s="10" t="str">
        <f t="array" ref="F1576">IF(
    OR(
      IFNA(INDEX(data!M:M, MATCH(Caseslist!B1576, data!D:D, 0)), "") = "",
      IFNA(INDEX(data!M:M, MATCH(Caseslist!B1576, data!D:D, 0)), 0) = 0
    ),
    "COMPLETE",
    IF(
      IFNA(INDEX(dataICM!D:D, MATCH(Caseslist!B1576, dataICM!D:D, 0)), "INC") = "INC",
      IFNA(INDEX(dataICM!D:D, MATCH(Caseslist!B1576, dataICM!D:D, 0)), "INC"),
      "COMPLETE"
    )
  )</f>
        <v>COMPLETE</v>
      </c>
      <c r="G1576" s="10" t="str">
        <f t="array" ref="G1576">IF(IFERROR(INDEX(data!L:L,match(Caseslist!B1576,data!D:D,0)),"INC")="","COMPLETE",F1576)</f>
        <v>COMPLETE</v>
      </c>
      <c r="H1576" s="9" t="str">
        <f t="array" ref="H1576">IFERROR(INDEX(dataICM!F:F,match(Caseslist!B1576,dataICM!D:D,0)), "INC")</f>
        <v>Franz Reoben Posadas Geneblaza</v>
      </c>
      <c r="I1576" s="10" t="str">
        <f t="shared" si="2"/>
        <v>L2057896</v>
      </c>
      <c r="J1576" s="9" t="str">
        <f t="array" ref="J1576">IF(
  AND(
    IFERROR(MATCH(B1576, data!D:D, 0), 0) &gt; 0,
    IFERROR(INDEX(data!N:N, MATCH(B1576, data!D:D, 0)) = 1, FALSE)
  ),
  INDEX(data!C:C, MATCH(B1576, data!D:D, 0)),
  "INC"
)</f>
        <v>2025-09-02T11:09:42.255+08</v>
      </c>
      <c r="K1576" s="9" t="str">
        <f t="array" ref="K1576">IFERROR(INDEX(dataICM!C:C,match(Caseslist!B1576,dataICM!D:D,0)), "INC")</f>
        <v>2025-09-02T11:17:52.954+08</v>
      </c>
      <c r="L1576" s="10" t="str">
        <f t="array" ref="L1576">IF(AND(G1576="COMPLETE", OR(K1576="INC", ISBLANK(INDEX(data!O:O, ROW())))), J1576, K1576)</f>
        <v>2025-09-02T11:17:52.954+08</v>
      </c>
      <c r="M1576" s="2">
        <v>45902.0</v>
      </c>
      <c r="N1576" s="2">
        <f t="array" ref="N1576">IF(M1576&lt;&gt;"INC", INDEX(data!M:M, MATCH(B1576, data!D:D, 0)), "")</f>
        <v>1</v>
      </c>
      <c r="O1576" s="2">
        <f t="shared" si="3"/>
        <v>1</v>
      </c>
    </row>
    <row r="1577">
      <c r="A1577" s="2" t="str">
        <f t="shared" si="1"/>
        <v>H030634</v>
      </c>
      <c r="B1577" s="1" t="s">
        <v>2926</v>
      </c>
      <c r="C1577" s="9" t="str">
        <f t="array" ref="C1577">IF(
  AND(
    IFERROR(MATCH(Caseslist!B1577, data!D:D, 0), 0) &gt; 0,
    IFERROR(INDEX(data!N:N, MATCH(Caseslist!B1577, data!D:D, 0)) = 1, FALSE)
  ),
  "COMPLETE",
  "INC"
)</f>
        <v>COMPLETE</v>
      </c>
      <c r="D1577" s="9" t="str">
        <f t="array" ref="D1577">IFERROR(INDEX(data!$G:$G,match(Caseslist!B1577,data!$D:$D,0)), "INC")</f>
        <v>K8623174</v>
      </c>
      <c r="E1577" s="9" t="str">
        <f t="array" ref="E1577">IFERROR(INDEX(data!H:H,match(Caseslist!B1577,data!D:D,0)), "INC")</f>
        <v>Marielle Kaye Ignacio Alonzo</v>
      </c>
      <c r="F1577" s="10" t="str">
        <f t="array" ref="F1577">IF(
    OR(
      IFNA(INDEX(data!M:M, MATCH(Caseslist!B1577, data!D:D, 0)), "") = "",
      IFNA(INDEX(data!M:M, MATCH(Caseslist!B1577, data!D:D, 0)), 0) = 0
    ),
    "COMPLETE",
    IF(
      IFNA(INDEX(dataICM!D:D, MATCH(Caseslist!B1577, dataICM!D:D, 0)), "INC") = "INC",
      IFNA(INDEX(dataICM!D:D, MATCH(Caseslist!B1577, dataICM!D:D, 0)), "INC"),
      "COMPLETE"
    )
  )</f>
        <v>COMPLETE</v>
      </c>
      <c r="G1577" s="10" t="str">
        <f t="array" ref="G1577">IF(IFERROR(INDEX(data!L:L,match(Caseslist!B1577,data!D:D,0)),"INC")="","COMPLETE",F1577)</f>
        <v>COMPLETE</v>
      </c>
      <c r="H1577" s="9" t="str">
        <f t="array" ref="H1577">IFERROR(INDEX(dataICM!F:F,match(Caseslist!B1577,dataICM!D:D,0)), "INC")</f>
        <v>Marielle Kaye Ignacio Alonzo</v>
      </c>
      <c r="I1577" s="10" t="str">
        <f t="shared" si="2"/>
        <v>K8623174</v>
      </c>
      <c r="J1577" s="9" t="str">
        <f t="array" ref="J1577">IF(
  AND(
    IFERROR(MATCH(B1577, data!D:D, 0), 0) &gt; 0,
    IFERROR(INDEX(data!N:N, MATCH(B1577, data!D:D, 0)) = 1, FALSE)
  ),
  INDEX(data!C:C, MATCH(B1577, data!D:D, 0)),
  "INC"
)</f>
        <v>2025-09-02T09:34:54.212+08</v>
      </c>
      <c r="K1577" s="9" t="str">
        <f t="array" ref="K1577">IFERROR(INDEX(dataICM!C:C,match(Caseslist!B1577,dataICM!D:D,0)), "INC")</f>
        <v>2025-09-02T13:37:13.287+08</v>
      </c>
      <c r="L1577" s="10" t="str">
        <f t="array" ref="L1577">IF(AND(G1577="COMPLETE", OR(K1577="INC", ISBLANK(INDEX(data!O:O, ROW())))), J1577, K1577)</f>
        <v>2025-09-02T13:37:13.287+08</v>
      </c>
      <c r="M1577" s="2">
        <v>45902.0</v>
      </c>
      <c r="N1577" s="2">
        <f t="array" ref="N1577">IF(M1577&lt;&gt;"INC", INDEX(data!M:M, MATCH(B1577, data!D:D, 0)), "")</f>
        <v>1</v>
      </c>
      <c r="O1577" s="2">
        <f t="shared" si="3"/>
        <v>1</v>
      </c>
    </row>
    <row r="1578">
      <c r="A1578" s="2" t="str">
        <f t="shared" si="1"/>
        <v>H030636</v>
      </c>
      <c r="B1578" s="1" t="s">
        <v>919</v>
      </c>
      <c r="C1578" s="9" t="str">
        <f t="array" ref="C1578">IF(
  AND(
    IFERROR(MATCH(Caseslist!B1578, data!D:D, 0), 0) &gt; 0,
    IFERROR(INDEX(data!N:N, MATCH(Caseslist!B1578, data!D:D, 0)) = 1, FALSE)
  ),
  "COMPLETE",
  "INC"
)</f>
        <v>COMPLETE</v>
      </c>
      <c r="D1578" s="9" t="str">
        <f t="array" ref="D1578">IFERROR(INDEX(data!$G:$G,match(Caseslist!B1578,data!$D:$D,0)), "INC")</f>
        <v>B8193462</v>
      </c>
      <c r="E1578" s="9" t="str">
        <f t="array" ref="E1578">IFERROR(INDEX(data!H:H,match(Caseslist!B1578,data!D:D,0)), "INC")</f>
        <v>Mark Lorens Mendoza Gilongo</v>
      </c>
      <c r="F1578" s="10" t="str">
        <f t="array" ref="F1578">IF(
    OR(
      IFNA(INDEX(data!M:M, MATCH(Caseslist!B1578, data!D:D, 0)), "") = "",
      IFNA(INDEX(data!M:M, MATCH(Caseslist!B1578, data!D:D, 0)), 0) = 0
    ),
    "COMPLETE",
    IF(
      IFNA(INDEX(dataICM!D:D, MATCH(Caseslist!B1578, dataICM!D:D, 0)), "INC") = "INC",
      IFNA(INDEX(dataICM!D:D, MATCH(Caseslist!B1578, dataICM!D:D, 0)), "INC"),
      "COMPLETE"
    )
  )</f>
        <v>COMPLETE</v>
      </c>
      <c r="G1578" s="10" t="str">
        <f t="array" ref="G1578">IF(IFERROR(INDEX(data!L:L,match(Caseslist!B1578,data!D:D,0)),"INC")="","COMPLETE",F1578)</f>
        <v>COMPLETE</v>
      </c>
      <c r="H1578" s="9" t="str">
        <f t="array" ref="H1578">IFERROR(INDEX(dataICM!F:F,match(Caseslist!B1578,dataICM!D:D,0)), "INC")</f>
        <v>Mark Lorens Mendoza Gilongo</v>
      </c>
      <c r="I1578" s="10" t="str">
        <f t="shared" si="2"/>
        <v>B8193462</v>
      </c>
      <c r="J1578" s="9" t="str">
        <f t="array" ref="J1578">IF(
  AND(
    IFERROR(MATCH(B1578, data!D:D, 0), 0) &gt; 0,
    IFERROR(INDEX(data!N:N, MATCH(B1578, data!D:D, 0)) = 1, FALSE)
  ),
  INDEX(data!C:C, MATCH(B1578, data!D:D, 0)),
  "INC"
)</f>
        <v>2025-08-27T16:29:04.306+08</v>
      </c>
      <c r="K1578" s="9" t="str">
        <f t="array" ref="K1578">IFERROR(INDEX(dataICM!C:C,match(Caseslist!B1578,dataICM!D:D,0)), "INC")</f>
        <v>2025-08-27T17:19:05.515+08</v>
      </c>
      <c r="L1578" s="10" t="str">
        <f t="array" ref="L1578">IF(AND(G1578="COMPLETE", OR(K1578="INC", ISBLANK(INDEX(data!O:O, ROW())))), J1578, K1578)</f>
        <v>2025-08-27T17:19:05.515+08</v>
      </c>
      <c r="M1578" s="2">
        <v>45896.0</v>
      </c>
      <c r="N1578" s="2">
        <f t="array" ref="N1578">IF(M1578&lt;&gt;"INC", INDEX(data!M:M, MATCH(B1578, data!D:D, 0)), "")</f>
        <v>1</v>
      </c>
      <c r="O1578" s="2">
        <f t="shared" si="3"/>
        <v>1</v>
      </c>
    </row>
    <row r="1579">
      <c r="A1579" s="2" t="str">
        <f t="shared" si="1"/>
        <v>H030636</v>
      </c>
      <c r="B1579" s="1" t="s">
        <v>899</v>
      </c>
      <c r="C1579" s="9" t="str">
        <f t="array" ref="C1579">IF(
  AND(
    IFERROR(MATCH(Caseslist!B1579, data!D:D, 0), 0) &gt; 0,
    IFERROR(INDEX(data!N:N, MATCH(Caseslist!B1579, data!D:D, 0)) = 1, FALSE)
  ),
  "COMPLETE",
  "INC"
)</f>
        <v>COMPLETE</v>
      </c>
      <c r="D1579" s="9" t="str">
        <f t="array" ref="D1579">IFERROR(INDEX(data!$G:$G,match(Caseslist!B1579,data!$D:$D,0)), "INC")</f>
        <v>B8193462</v>
      </c>
      <c r="E1579" s="9" t="str">
        <f t="array" ref="E1579">IFERROR(INDEX(data!H:H,match(Caseslist!B1579,data!D:D,0)), "INC")</f>
        <v>Mark Lorens Mendoza Gilongo</v>
      </c>
      <c r="F1579" s="10" t="str">
        <f t="array" ref="F1579">IF(
    OR(
      IFNA(INDEX(data!M:M, MATCH(Caseslist!B1579, data!D:D, 0)), "") = "",
      IFNA(INDEX(data!M:M, MATCH(Caseslist!B1579, data!D:D, 0)), 0) = 0
    ),
    "COMPLETE",
    IF(
      IFNA(INDEX(dataICM!D:D, MATCH(Caseslist!B1579, dataICM!D:D, 0)), "INC") = "INC",
      IFNA(INDEX(dataICM!D:D, MATCH(Caseslist!B1579, dataICM!D:D, 0)), "INC"),
      "COMPLETE"
    )
  )</f>
        <v>COMPLETE</v>
      </c>
      <c r="G1579" s="10" t="str">
        <f t="array" ref="G1579">IF(IFERROR(INDEX(data!L:L,match(Caseslist!B1579,data!D:D,0)),"INC")="","COMPLETE",F1579)</f>
        <v>COMPLETE</v>
      </c>
      <c r="H1579" s="9" t="str">
        <f t="array" ref="H1579">IFERROR(INDEX(dataICM!F:F,match(Caseslist!B1579,dataICM!D:D,0)), "INC")</f>
        <v>Mark Lorens Mendoza Gilongo</v>
      </c>
      <c r="I1579" s="10" t="str">
        <f t="shared" si="2"/>
        <v>B8193462</v>
      </c>
      <c r="J1579" s="9" t="str">
        <f t="array" ref="J1579">IF(
  AND(
    IFERROR(MATCH(B1579, data!D:D, 0), 0) &gt; 0,
    IFERROR(INDEX(data!N:N, MATCH(B1579, data!D:D, 0)) = 1, FALSE)
  ),
  INDEX(data!C:C, MATCH(B1579, data!D:D, 0)),
  "INC"
)</f>
        <v>2025-08-27T13:34:44.798+08</v>
      </c>
      <c r="K1579" s="9" t="str">
        <f t="array" ref="K1579">IFERROR(INDEX(dataICM!C:C,match(Caseslist!B1579,dataICM!D:D,0)), "INC")</f>
        <v>2025-08-27T14:27:31.521+08</v>
      </c>
      <c r="L1579" s="10" t="str">
        <f t="array" ref="L1579">IF(AND(G1579="COMPLETE", OR(K1579="INC", ISBLANK(INDEX(data!O:O, ROW())))), J1579, K1579)</f>
        <v>2025-08-27T14:27:31.521+08</v>
      </c>
      <c r="M1579" s="2">
        <v>45896.0</v>
      </c>
      <c r="N1579" s="2">
        <f t="array" ref="N1579">IF(M1579&lt;&gt;"INC", INDEX(data!M:M, MATCH(B1579, data!D:D, 0)), "")</f>
        <v>1</v>
      </c>
      <c r="O1579" s="2">
        <f t="shared" si="3"/>
        <v>1</v>
      </c>
    </row>
    <row r="1580">
      <c r="A1580" s="2" t="str">
        <f t="shared" si="1"/>
        <v>H030636</v>
      </c>
      <c r="B1580" s="1" t="s">
        <v>879</v>
      </c>
      <c r="C1580" s="9" t="str">
        <f t="array" ref="C1580">IF(
  AND(
    IFERROR(MATCH(Caseslist!B1580, data!D:D, 0), 0) &gt; 0,
    IFERROR(INDEX(data!N:N, MATCH(Caseslist!B1580, data!D:D, 0)) = 1, FALSE)
  ),
  "COMPLETE",
  "INC"
)</f>
        <v>COMPLETE</v>
      </c>
      <c r="D1580" s="9">
        <f t="array" ref="D1580">IFERROR(INDEX(data!$G:$G,match(Caseslist!B1580,data!$D:$D,0)), "INC")</f>
        <v>896791</v>
      </c>
      <c r="E1580" s="9" t="str">
        <f t="array" ref="E1580">IFERROR(INDEX(data!H:H,match(Caseslist!B1580,data!D:D,0)), "INC")</f>
        <v>Roland A. Bandiola jr</v>
      </c>
      <c r="F1580" s="10" t="str">
        <f t="array" ref="F1580">IF(
    OR(
      IFNA(INDEX(data!M:M, MATCH(Caseslist!B1580, data!D:D, 0)), "") = "",
      IFNA(INDEX(data!M:M, MATCH(Caseslist!B1580, data!D:D, 0)), 0) = 0
    ),
    "COMPLETE",
    IF(
      IFNA(INDEX(dataICM!D:D, MATCH(Caseslist!B1580, dataICM!D:D, 0)), "INC") = "INC",
      IFNA(INDEX(dataICM!D:D, MATCH(Caseslist!B1580, dataICM!D:D, 0)), "INC"),
      "COMPLETE"
    )
  )</f>
        <v>COMPLETE</v>
      </c>
      <c r="G1580" s="10" t="str">
        <f t="array" ref="G1580">IF(IFERROR(INDEX(data!L:L,match(Caseslist!B1580,data!D:D,0)),"INC")="","COMPLETE",F1580)</f>
        <v>COMPLETE</v>
      </c>
      <c r="H1580" s="9" t="str">
        <f t="array" ref="H1580">IFERROR(INDEX(dataICM!F:F,match(Caseslist!B1580,dataICM!D:D,0)), "INC")</f>
        <v>Roland A. Bandiola jr</v>
      </c>
      <c r="I1580" s="10">
        <f t="shared" si="2"/>
        <v>896791</v>
      </c>
      <c r="J1580" s="9" t="str">
        <f t="array" ref="J1580">IF(
  AND(
    IFERROR(MATCH(B1580, data!D:D, 0), 0) &gt; 0,
    IFERROR(INDEX(data!N:N, MATCH(B1580, data!D:D, 0)) = 1, FALSE)
  ),
  INDEX(data!C:C, MATCH(B1580, data!D:D, 0)),
  "INC"
)</f>
        <v>2025-08-27T11:49:33.530+08</v>
      </c>
      <c r="K1580" s="9" t="str">
        <f t="array" ref="K1580">IFERROR(INDEX(dataICM!C:C,match(Caseslist!B1580,dataICM!D:D,0)), "INC")</f>
        <v>2025-08-27T12:02:53.047+08</v>
      </c>
      <c r="L1580" s="10" t="str">
        <f t="array" ref="L1580">IF(AND(G1580="COMPLETE", OR(K1580="INC", ISBLANK(INDEX(data!O:O, ROW())))), J1580, K1580)</f>
        <v>2025-08-27T12:02:53.047+08</v>
      </c>
      <c r="M1580" s="2">
        <v>45896.0</v>
      </c>
      <c r="N1580" s="2">
        <f t="array" ref="N1580">IF(M1580&lt;&gt;"INC", INDEX(data!M:M, MATCH(B1580, data!D:D, 0)), "")</f>
        <v>1</v>
      </c>
      <c r="O1580" s="2">
        <f t="shared" si="3"/>
        <v>1</v>
      </c>
    </row>
    <row r="1581">
      <c r="A1581" s="2" t="str">
        <f t="shared" si="1"/>
        <v>H030636</v>
      </c>
      <c r="B1581" s="1" t="s">
        <v>1192</v>
      </c>
      <c r="C1581" s="9" t="str">
        <f t="array" ref="C1581">IF(
  AND(
    IFERROR(MATCH(Caseslist!B1581, data!D:D, 0), 0) &gt; 0,
    IFERROR(INDEX(data!N:N, MATCH(Caseslist!B1581, data!D:D, 0)) = 1, FALSE)
  ),
  "COMPLETE",
  "INC"
)</f>
        <v>COMPLETE</v>
      </c>
      <c r="D1581" s="9">
        <f t="array" ref="D1581">IFERROR(INDEX(data!$G:$G,match(Caseslist!B1581,data!$D:$D,0)), "INC")</f>
        <v>896791</v>
      </c>
      <c r="E1581" s="9" t="str">
        <f t="array" ref="E1581">IFERROR(INDEX(data!H:H,match(Caseslist!B1581,data!D:D,0)), "INC")</f>
        <v>Roland A. Bandiola jr</v>
      </c>
      <c r="F1581" s="10" t="str">
        <f t="array" ref="F1581">IF(
    OR(
      IFNA(INDEX(data!M:M, MATCH(Caseslist!B1581, data!D:D, 0)), "") = "",
      IFNA(INDEX(data!M:M, MATCH(Caseslist!B1581, data!D:D, 0)), 0) = 0
    ),
    "COMPLETE",
    IF(
      IFNA(INDEX(dataICM!D:D, MATCH(Caseslist!B1581, dataICM!D:D, 0)), "INC") = "INC",
      IFNA(INDEX(dataICM!D:D, MATCH(Caseslist!B1581, dataICM!D:D, 0)), "INC"),
      "COMPLETE"
    )
  )</f>
        <v>COMPLETE</v>
      </c>
      <c r="G1581" s="10" t="str">
        <f t="array" ref="G1581">IF(IFERROR(INDEX(data!L:L,match(Caseslist!B1581,data!D:D,0)),"INC")="","COMPLETE",F1581)</f>
        <v>COMPLETE</v>
      </c>
      <c r="H1581" s="9" t="str">
        <f t="array" ref="H1581">IFERROR(INDEX(dataICM!F:F,match(Caseslist!B1581,dataICM!D:D,0)), "INC")</f>
        <v>Roland A. Bandiola jr</v>
      </c>
      <c r="I1581" s="10">
        <f t="shared" si="2"/>
        <v>896791</v>
      </c>
      <c r="J1581" s="9" t="str">
        <f t="array" ref="J1581">IF(
  AND(
    IFERROR(MATCH(B1581, data!D:D, 0), 0) &gt; 0,
    IFERROR(INDEX(data!N:N, MATCH(B1581, data!D:D, 0)) = 1, FALSE)
  ),
  INDEX(data!C:C, MATCH(B1581, data!D:D, 0)),
  "INC"
)</f>
        <v>2025-08-28T16:40:46.733+08</v>
      </c>
      <c r="K1581" s="9" t="str">
        <f t="array" ref="K1581">IFERROR(INDEX(dataICM!C:C,match(Caseslist!B1581,dataICM!D:D,0)), "INC")</f>
        <v>2025-08-28T16:49:29.123+08</v>
      </c>
      <c r="L1581" s="10" t="str">
        <f t="array" ref="L1581">IF(AND(G1581="COMPLETE", OR(K1581="INC", ISBLANK(INDEX(data!O:O, ROW())))), J1581, K1581)</f>
        <v>2025-08-28T16:49:29.123+08</v>
      </c>
      <c r="M1581" s="2">
        <v>45897.0</v>
      </c>
      <c r="N1581" s="2">
        <f t="array" ref="N1581">IF(M1581&lt;&gt;"INC", INDEX(data!M:M, MATCH(B1581, data!D:D, 0)), "")</f>
        <v>1</v>
      </c>
      <c r="O1581" s="2">
        <f t="shared" si="3"/>
        <v>1</v>
      </c>
    </row>
    <row r="1582">
      <c r="A1582" s="2" t="str">
        <f t="shared" si="1"/>
        <v>H030636</v>
      </c>
      <c r="B1582" s="1" t="s">
        <v>929</v>
      </c>
      <c r="C1582" s="9" t="str">
        <f t="array" ref="C1582">IF(
  AND(
    IFERROR(MATCH(Caseslist!B1582, data!D:D, 0), 0) &gt; 0,
    IFERROR(INDEX(data!N:N, MATCH(Caseslist!B1582, data!D:D, 0)) = 1, FALSE)
  ),
  "COMPLETE",
  "INC"
)</f>
        <v>COMPLETE</v>
      </c>
      <c r="D1582" s="9" t="str">
        <f t="array" ref="D1582">IFERROR(INDEX(data!$G:$G,match(Caseslist!B1582,data!$D:$D,0)), "INC")</f>
        <v>C7502931</v>
      </c>
      <c r="E1582" s="9" t="str">
        <f t="array" ref="E1582">IFERROR(INDEX(data!H:H,match(Caseslist!B1582,data!D:D,0)), "INC")</f>
        <v>Jenny Lou Toles Estacio</v>
      </c>
      <c r="F1582" s="10" t="str">
        <f t="array" ref="F1582">IF(
    OR(
      IFNA(INDEX(data!M:M, MATCH(Caseslist!B1582, data!D:D, 0)), "") = "",
      IFNA(INDEX(data!M:M, MATCH(Caseslist!B1582, data!D:D, 0)), 0) = 0
    ),
    "COMPLETE",
    IF(
      IFNA(INDEX(dataICM!D:D, MATCH(Caseslist!B1582, dataICM!D:D, 0)), "INC") = "INC",
      IFNA(INDEX(dataICM!D:D, MATCH(Caseslist!B1582, dataICM!D:D, 0)), "INC"),
      "COMPLETE"
    )
  )</f>
        <v>COMPLETE</v>
      </c>
      <c r="G1582" s="10" t="str">
        <f t="array" ref="G1582">IF(IFERROR(INDEX(data!L:L,match(Caseslist!B1582,data!D:D,0)),"INC")="","COMPLETE",F1582)</f>
        <v>COMPLETE</v>
      </c>
      <c r="H1582" s="9" t="str">
        <f t="array" ref="H1582">IFERROR(INDEX(dataICM!F:F,match(Caseslist!B1582,dataICM!D:D,0)), "INC")</f>
        <v>Jenny Lou Toles Estacio</v>
      </c>
      <c r="I1582" s="10" t="str">
        <f t="shared" si="2"/>
        <v>C7502931</v>
      </c>
      <c r="J1582" s="9" t="str">
        <f t="array" ref="J1582">IF(
  AND(
    IFERROR(MATCH(B1582, data!D:D, 0), 0) &gt; 0,
    IFERROR(INDEX(data!N:N, MATCH(B1582, data!D:D, 0)) = 1, FALSE)
  ),
  INDEX(data!C:C, MATCH(B1582, data!D:D, 0)),
  "INC"
)</f>
        <v>2025-08-27T14:04:02.323+08</v>
      </c>
      <c r="K1582" s="9" t="str">
        <f t="array" ref="K1582">IFERROR(INDEX(dataICM!C:C,match(Caseslist!B1582,dataICM!D:D,0)), "INC")</f>
        <v>2025-08-27T20:15:25.114+08</v>
      </c>
      <c r="L1582" s="10" t="str">
        <f t="array" ref="L1582">IF(AND(G1582="COMPLETE", OR(K1582="INC", ISBLANK(INDEX(data!O:O, ROW())))), J1582, K1582)</f>
        <v>2025-08-27T20:15:25.114+08</v>
      </c>
      <c r="M1582" s="2">
        <v>45896.0</v>
      </c>
      <c r="N1582" s="2">
        <f t="array" ref="N1582">IF(M1582&lt;&gt;"INC", INDEX(data!M:M, MATCH(B1582, data!D:D, 0)), "")</f>
        <v>1</v>
      </c>
      <c r="O1582" s="2">
        <f t="shared" si="3"/>
        <v>1</v>
      </c>
    </row>
    <row r="1583">
      <c r="A1583" s="2" t="str">
        <f t="shared" si="1"/>
        <v>H030636</v>
      </c>
      <c r="B1583" s="1" t="s">
        <v>924</v>
      </c>
      <c r="C1583" s="9" t="str">
        <f t="array" ref="C1583">IF(
  AND(
    IFERROR(MATCH(Caseslist!B1583, data!D:D, 0), 0) &gt; 0,
    IFERROR(INDEX(data!N:N, MATCH(Caseslist!B1583, data!D:D, 0)) = 1, FALSE)
  ),
  "COMPLETE",
  "INC"
)</f>
        <v>COMPLETE</v>
      </c>
      <c r="D1583" s="9" t="str">
        <f t="array" ref="D1583">IFERROR(INDEX(data!$G:$G,match(Caseslist!B1583,data!$D:$D,0)), "INC")</f>
        <v>C7502931</v>
      </c>
      <c r="E1583" s="9" t="str">
        <f t="array" ref="E1583">IFERROR(INDEX(data!H:H,match(Caseslist!B1583,data!D:D,0)), "INC")</f>
        <v>Jenny Lou Toles Estacio</v>
      </c>
      <c r="F1583" s="10" t="str">
        <f t="array" ref="F1583">IF(
    OR(
      IFNA(INDEX(data!M:M, MATCH(Caseslist!B1583, data!D:D, 0)), "") = "",
      IFNA(INDEX(data!M:M, MATCH(Caseslist!B1583, data!D:D, 0)), 0) = 0
    ),
    "COMPLETE",
    IF(
      IFNA(INDEX(dataICM!D:D, MATCH(Caseslist!B1583, dataICM!D:D, 0)), "INC") = "INC",
      IFNA(INDEX(dataICM!D:D, MATCH(Caseslist!B1583, dataICM!D:D, 0)), "INC"),
      "COMPLETE"
    )
  )</f>
        <v>COMPLETE</v>
      </c>
      <c r="G1583" s="10" t="str">
        <f t="array" ref="G1583">IF(IFERROR(INDEX(data!L:L,match(Caseslist!B1583,data!D:D,0)),"INC")="","COMPLETE",F1583)</f>
        <v>COMPLETE</v>
      </c>
      <c r="H1583" s="9" t="str">
        <f t="array" ref="H1583">IFERROR(INDEX(dataICM!F:F,match(Caseslist!B1583,dataICM!D:D,0)), "INC")</f>
        <v>Jenny Lou Toles Estacio</v>
      </c>
      <c r="I1583" s="10" t="str">
        <f t="shared" si="2"/>
        <v>C7502931</v>
      </c>
      <c r="J1583" s="9" t="str">
        <f t="array" ref="J1583">IF(
  AND(
    IFERROR(MATCH(B1583, data!D:D, 0), 0) &gt; 0,
    IFERROR(INDEX(data!N:N, MATCH(B1583, data!D:D, 0)) = 1, FALSE)
  ),
  INDEX(data!C:C, MATCH(B1583, data!D:D, 0)),
  "INC"
)</f>
        <v>2025-08-27T17:10:00.263+08</v>
      </c>
      <c r="K1583" s="9" t="str">
        <f t="array" ref="K1583">IFERROR(INDEX(dataICM!C:C,match(Caseslist!B1583,dataICM!D:D,0)), "INC")</f>
        <v>2025-08-27T20:14:07.983+08</v>
      </c>
      <c r="L1583" s="10" t="str">
        <f t="array" ref="L1583">IF(AND(G1583="COMPLETE", OR(K1583="INC", ISBLANK(INDEX(data!O:O, ROW())))), J1583, K1583)</f>
        <v>2025-08-27T20:14:07.983+08</v>
      </c>
      <c r="M1583" s="2">
        <v>45896.0</v>
      </c>
      <c r="N1583" s="2">
        <f t="array" ref="N1583">IF(M1583&lt;&gt;"INC", INDEX(data!M:M, MATCH(B1583, data!D:D, 0)), "")</f>
        <v>1</v>
      </c>
      <c r="O1583" s="2">
        <f t="shared" si="3"/>
        <v>1</v>
      </c>
    </row>
    <row r="1584">
      <c r="A1584" s="2" t="str">
        <f t="shared" si="1"/>
        <v>H030636</v>
      </c>
      <c r="B1584" s="1" t="s">
        <v>894</v>
      </c>
      <c r="C1584" s="9" t="str">
        <f t="array" ref="C1584">IF(
  AND(
    IFERROR(MATCH(Caseslist!B1584, data!D:D, 0), 0) &gt; 0,
    IFERROR(INDEX(data!N:N, MATCH(Caseslist!B1584, data!D:D, 0)) = 1, FALSE)
  ),
  "COMPLETE",
  "INC"
)</f>
        <v>COMPLETE</v>
      </c>
      <c r="D1584" s="9" t="str">
        <f t="array" ref="D1584">IFERROR(INDEX(data!$G:$G,match(Caseslist!B1584,data!$D:$D,0)), "INC")</f>
        <v>B8193462</v>
      </c>
      <c r="E1584" s="9" t="str">
        <f t="array" ref="E1584">IFERROR(INDEX(data!H:H,match(Caseslist!B1584,data!D:D,0)), "INC")</f>
        <v>Mark Lorens Mendoza Gilongo</v>
      </c>
      <c r="F1584" s="10" t="str">
        <f t="array" ref="F1584">IF(
    OR(
      IFNA(INDEX(data!M:M, MATCH(Caseslist!B1584, data!D:D, 0)), "") = "",
      IFNA(INDEX(data!M:M, MATCH(Caseslist!B1584, data!D:D, 0)), 0) = 0
    ),
    "COMPLETE",
    IF(
      IFNA(INDEX(dataICM!D:D, MATCH(Caseslist!B1584, dataICM!D:D, 0)), "INC") = "INC",
      IFNA(INDEX(dataICM!D:D, MATCH(Caseslist!B1584, dataICM!D:D, 0)), "INC"),
      "COMPLETE"
    )
  )</f>
        <v>COMPLETE</v>
      </c>
      <c r="G1584" s="10" t="str">
        <f t="array" ref="G1584">IF(IFERROR(INDEX(data!L:L,match(Caseslist!B1584,data!D:D,0)),"INC")="","COMPLETE",F1584)</f>
        <v>COMPLETE</v>
      </c>
      <c r="H1584" s="9" t="str">
        <f t="array" ref="H1584">IFERROR(INDEX(dataICM!F:F,match(Caseslist!B1584,dataICM!D:D,0)), "INC")</f>
        <v>Mark Lorens Mendoza Gilongo</v>
      </c>
      <c r="I1584" s="10" t="str">
        <f t="shared" si="2"/>
        <v>B8193462</v>
      </c>
      <c r="J1584" s="9" t="str">
        <f t="array" ref="J1584">IF(
  AND(
    IFERROR(MATCH(B1584, data!D:D, 0), 0) &gt; 0,
    IFERROR(INDEX(data!N:N, MATCH(B1584, data!D:D, 0)) = 1, FALSE)
  ),
  INDEX(data!C:C, MATCH(B1584, data!D:D, 0)),
  "INC"
)</f>
        <v>2025-08-27T11:50:20.429+08</v>
      </c>
      <c r="K1584" s="9" t="str">
        <f t="array" ref="K1584">IFERROR(INDEX(dataICM!C:C,match(Caseslist!B1584,dataICM!D:D,0)), "INC")</f>
        <v>2025-08-27T12:07:04.296+08</v>
      </c>
      <c r="L1584" s="10" t="str">
        <f t="array" ref="L1584">IF(AND(G1584="COMPLETE", OR(K1584="INC", ISBLANK(INDEX(data!O:O, ROW())))), J1584, K1584)</f>
        <v>2025-08-27T12:07:04.296+08</v>
      </c>
      <c r="M1584" s="2">
        <v>45896.0</v>
      </c>
      <c r="N1584" s="2">
        <f t="array" ref="N1584">IF(M1584&lt;&gt;"INC", INDEX(data!M:M, MATCH(B1584, data!D:D, 0)), "")</f>
        <v>1</v>
      </c>
      <c r="O1584" s="2">
        <f t="shared" si="3"/>
        <v>1</v>
      </c>
    </row>
    <row r="1585">
      <c r="A1585" s="2" t="str">
        <f t="shared" si="1"/>
        <v>H030636</v>
      </c>
      <c r="B1585" s="1" t="s">
        <v>1137</v>
      </c>
      <c r="C1585" s="9" t="str">
        <f t="array" ref="C1585">IF(
  AND(
    IFERROR(MATCH(Caseslist!B1585, data!D:D, 0), 0) &gt; 0,
    IFERROR(INDEX(data!N:N, MATCH(Caseslist!B1585, data!D:D, 0)) = 1, FALSE)
  ),
  "COMPLETE",
  "INC"
)</f>
        <v>COMPLETE</v>
      </c>
      <c r="D1585" s="9" t="str">
        <f t="array" ref="D1585">IFERROR(INDEX(data!$G:$G,match(Caseslist!B1585,data!$D:$D,0)), "INC")</f>
        <v>D1284067</v>
      </c>
      <c r="E1585" s="9" t="str">
        <f t="array" ref="E1585">IFERROR(INDEX(data!H:H,match(Caseslist!B1585,data!D:D,0)), "INC")</f>
        <v>Mariel Del Rio</v>
      </c>
      <c r="F1585" s="10" t="str">
        <f t="array" ref="F1585">IF(
    OR(
      IFNA(INDEX(data!M:M, MATCH(Caseslist!B1585, data!D:D, 0)), "") = "",
      IFNA(INDEX(data!M:M, MATCH(Caseslist!B1585, data!D:D, 0)), 0) = 0
    ),
    "COMPLETE",
    IF(
      IFNA(INDEX(dataICM!D:D, MATCH(Caseslist!B1585, dataICM!D:D, 0)), "INC") = "INC",
      IFNA(INDEX(dataICM!D:D, MATCH(Caseslist!B1585, dataICM!D:D, 0)), "INC"),
      "COMPLETE"
    )
  )</f>
        <v>COMPLETE</v>
      </c>
      <c r="G1585" s="10" t="str">
        <f t="array" ref="G1585">IF(IFERROR(INDEX(data!L:L,match(Caseslist!B1585,data!D:D,0)),"INC")="","COMPLETE",F1585)</f>
        <v>COMPLETE</v>
      </c>
      <c r="H1585" s="9" t="str">
        <f t="array" ref="H1585">IFERROR(INDEX(dataICM!F:F,match(Caseslist!B1585,dataICM!D:D,0)), "INC")</f>
        <v>Mariel Del Rio</v>
      </c>
      <c r="I1585" s="10" t="str">
        <f t="shared" si="2"/>
        <v>D1284067</v>
      </c>
      <c r="J1585" s="9" t="str">
        <f t="array" ref="J1585">IF(
  AND(
    IFERROR(MATCH(B1585, data!D:D, 0), 0) &gt; 0,
    IFERROR(INDEX(data!N:N, MATCH(B1585, data!D:D, 0)) = 1, FALSE)
  ),
  INDEX(data!C:C, MATCH(B1585, data!D:D, 0)),
  "INC"
)</f>
        <v>2025-08-28T13:26:01.390+08</v>
      </c>
      <c r="K1585" s="9" t="str">
        <f t="array" ref="K1585">IFERROR(INDEX(dataICM!C:C,match(Caseslist!B1585,dataICM!D:D,0)), "INC")</f>
        <v>2025-08-28T14:08:55.463+08</v>
      </c>
      <c r="L1585" s="10" t="str">
        <f t="array" ref="L1585">IF(AND(G1585="COMPLETE", OR(K1585="INC", ISBLANK(INDEX(data!O:O, ROW())))), J1585, K1585)</f>
        <v>2025-08-28T14:08:55.463+08</v>
      </c>
      <c r="M1585" s="2">
        <v>45897.0</v>
      </c>
      <c r="N1585" s="2">
        <f t="array" ref="N1585">IF(M1585&lt;&gt;"INC", INDEX(data!M:M, MATCH(B1585, data!D:D, 0)), "")</f>
        <v>1</v>
      </c>
      <c r="O1585" s="2">
        <f t="shared" si="3"/>
        <v>1</v>
      </c>
    </row>
    <row r="1586">
      <c r="A1586" s="2" t="str">
        <f t="shared" si="1"/>
        <v>H030636</v>
      </c>
      <c r="B1586" s="1" t="s">
        <v>1182</v>
      </c>
      <c r="C1586" s="9" t="str">
        <f t="array" ref="C1586">IF(
  AND(
    IFERROR(MATCH(Caseslist!B1586, data!D:D, 0), 0) &gt; 0,
    IFERROR(INDEX(data!N:N, MATCH(Caseslist!B1586, data!D:D, 0)) = 1, FALSE)
  ),
  "COMPLETE",
  "INC"
)</f>
        <v>COMPLETE</v>
      </c>
      <c r="D1586" s="9">
        <f t="array" ref="D1586">IFERROR(INDEX(data!$G:$G,match(Caseslist!B1586,data!$D:$D,0)), "INC")</f>
        <v>896791</v>
      </c>
      <c r="E1586" s="9" t="str">
        <f t="array" ref="E1586">IFERROR(INDEX(data!H:H,match(Caseslist!B1586,data!D:D,0)), "INC")</f>
        <v>Roland A. Bandiola jr</v>
      </c>
      <c r="F1586" s="10" t="str">
        <f t="array" ref="F1586">IF(
    OR(
      IFNA(INDEX(data!M:M, MATCH(Caseslist!B1586, data!D:D, 0)), "") = "",
      IFNA(INDEX(data!M:M, MATCH(Caseslist!B1586, data!D:D, 0)), 0) = 0
    ),
    "COMPLETE",
    IF(
      IFNA(INDEX(dataICM!D:D, MATCH(Caseslist!B1586, dataICM!D:D, 0)), "INC") = "INC",
      IFNA(INDEX(dataICM!D:D, MATCH(Caseslist!B1586, dataICM!D:D, 0)), "INC"),
      "COMPLETE"
    )
  )</f>
        <v>COMPLETE</v>
      </c>
      <c r="G1586" s="10" t="str">
        <f t="array" ref="G1586">IF(IFERROR(INDEX(data!L:L,match(Caseslist!B1586,data!D:D,0)),"INC")="","COMPLETE",F1586)</f>
        <v>COMPLETE</v>
      </c>
      <c r="H1586" s="9" t="str">
        <f t="array" ref="H1586">IFERROR(INDEX(dataICM!F:F,match(Caseslist!B1586,dataICM!D:D,0)), "INC")</f>
        <v>Roland A. Bandiola jr</v>
      </c>
      <c r="I1586" s="10">
        <f t="shared" si="2"/>
        <v>896791</v>
      </c>
      <c r="J1586" s="9" t="str">
        <f t="array" ref="J1586">IF(
  AND(
    IFERROR(MATCH(B1586, data!D:D, 0), 0) &gt; 0,
    IFERROR(INDEX(data!N:N, MATCH(B1586, data!D:D, 0)) = 1, FALSE)
  ),
  INDEX(data!C:C, MATCH(B1586, data!D:D, 0)),
  "INC"
)</f>
        <v>2025-08-28T11:33:20.913+08</v>
      </c>
      <c r="K1586" s="9" t="str">
        <f t="array" ref="K1586">IFERROR(INDEX(dataICM!C:C,match(Caseslist!B1586,dataICM!D:D,0)), "INC")</f>
        <v>2025-08-28T11:45:35.213+08</v>
      </c>
      <c r="L1586" s="10" t="str">
        <f t="array" ref="L1586">IF(AND(G1586="COMPLETE", OR(K1586="INC", ISBLANK(INDEX(data!O:O, ROW())))), J1586, K1586)</f>
        <v>2025-08-28T11:45:35.213+08</v>
      </c>
      <c r="M1586" s="2">
        <v>45897.0</v>
      </c>
      <c r="N1586" s="2">
        <f t="array" ref="N1586">IF(M1586&lt;&gt;"INC", INDEX(data!M:M, MATCH(B1586, data!D:D, 0)), "")</f>
        <v>1</v>
      </c>
      <c r="O1586" s="2">
        <f t="shared" si="3"/>
        <v>1</v>
      </c>
    </row>
    <row r="1587">
      <c r="A1587" s="2" t="str">
        <f t="shared" si="1"/>
        <v>H030636</v>
      </c>
      <c r="B1587" s="1" t="s">
        <v>934</v>
      </c>
      <c r="C1587" s="9" t="str">
        <f t="array" ref="C1587">IF(
  AND(
    IFERROR(MATCH(Caseslist!B1587, data!D:D, 0), 0) &gt; 0,
    IFERROR(INDEX(data!N:N, MATCH(Caseslist!B1587, data!D:D, 0)) = 1, FALSE)
  ),
  "COMPLETE",
  "INC"
)</f>
        <v>COMPLETE</v>
      </c>
      <c r="D1587" s="9" t="str">
        <f t="array" ref="D1587">IFERROR(INDEX(data!$G:$G,match(Caseslist!B1587,data!$D:$D,0)), "INC")</f>
        <v>C7502931</v>
      </c>
      <c r="E1587" s="9" t="str">
        <f t="array" ref="E1587">IFERROR(INDEX(data!H:H,match(Caseslist!B1587,data!D:D,0)), "INC")</f>
        <v>Jenny Lou Toles Estacio</v>
      </c>
      <c r="F1587" s="10" t="str">
        <f t="array" ref="F1587">IF(
    OR(
      IFNA(INDEX(data!M:M, MATCH(Caseslist!B1587, data!D:D, 0)), "") = "",
      IFNA(INDEX(data!M:M, MATCH(Caseslist!B1587, data!D:D, 0)), 0) = 0
    ),
    "COMPLETE",
    IF(
      IFNA(INDEX(dataICM!D:D, MATCH(Caseslist!B1587, dataICM!D:D, 0)), "INC") = "INC",
      IFNA(INDEX(dataICM!D:D, MATCH(Caseslist!B1587, dataICM!D:D, 0)), "INC"),
      "COMPLETE"
    )
  )</f>
        <v>COMPLETE</v>
      </c>
      <c r="G1587" s="10" t="str">
        <f t="array" ref="G1587">IF(IFERROR(INDEX(data!L:L,match(Caseslist!B1587,data!D:D,0)),"INC")="","COMPLETE",F1587)</f>
        <v>COMPLETE</v>
      </c>
      <c r="H1587" s="9" t="str">
        <f t="array" ref="H1587">IFERROR(INDEX(dataICM!F:F,match(Caseslist!B1587,dataICM!D:D,0)), "INC")</f>
        <v>Jenny Lou Toles Estacio</v>
      </c>
      <c r="I1587" s="10" t="str">
        <f t="shared" si="2"/>
        <v>C7502931</v>
      </c>
      <c r="J1587" s="9" t="str">
        <f t="array" ref="J1587">IF(
  AND(
    IFERROR(MATCH(B1587, data!D:D, 0), 0) &gt; 0,
    IFERROR(INDEX(data!N:N, MATCH(B1587, data!D:D, 0)) = 1, FALSE)
  ),
  INDEX(data!C:C, MATCH(B1587, data!D:D, 0)),
  "INC"
)</f>
        <v>2025-08-27T11:06:53.657+08</v>
      </c>
      <c r="K1587" s="9" t="str">
        <f t="array" ref="K1587">IFERROR(INDEX(dataICM!C:C,match(Caseslist!B1587,dataICM!D:D,0)), "INC")</f>
        <v>2025-08-27T12:26:09.371+08</v>
      </c>
      <c r="L1587" s="10" t="str">
        <f t="array" ref="L1587">IF(AND(G1587="COMPLETE", OR(K1587="INC", ISBLANK(INDEX(data!O:O, ROW())))), J1587, K1587)</f>
        <v>2025-08-27T12:26:09.371+08</v>
      </c>
      <c r="M1587" s="2">
        <v>45896.0</v>
      </c>
      <c r="N1587" s="2">
        <f t="array" ref="N1587">IF(M1587&lt;&gt;"INC", INDEX(data!M:M, MATCH(B1587, data!D:D, 0)), "")</f>
        <v>1</v>
      </c>
      <c r="O1587" s="2">
        <f t="shared" si="3"/>
        <v>1</v>
      </c>
    </row>
    <row r="1588">
      <c r="A1588" s="2" t="str">
        <f t="shared" si="1"/>
        <v>H030636</v>
      </c>
      <c r="B1588" s="1" t="s">
        <v>1132</v>
      </c>
      <c r="C1588" s="9" t="str">
        <f t="array" ref="C1588">IF(
  AND(
    IFERROR(MATCH(Caseslist!B1588, data!D:D, 0), 0) &gt; 0,
    IFERROR(INDEX(data!N:N, MATCH(Caseslist!B1588, data!D:D, 0)) = 1, FALSE)
  ),
  "COMPLETE",
  "INC"
)</f>
        <v>COMPLETE</v>
      </c>
      <c r="D1588" s="9" t="str">
        <f t="array" ref="D1588">IFERROR(INDEX(data!$G:$G,match(Caseslist!B1588,data!$D:$D,0)), "INC")</f>
        <v>D1284067</v>
      </c>
      <c r="E1588" s="9" t="str">
        <f t="array" ref="E1588">IFERROR(INDEX(data!H:H,match(Caseslist!B1588,data!D:D,0)), "INC")</f>
        <v>Mariel Del Rio</v>
      </c>
      <c r="F1588" s="10" t="str">
        <f t="array" ref="F1588">IF(
    OR(
      IFNA(INDEX(data!M:M, MATCH(Caseslist!B1588, data!D:D, 0)), "") = "",
      IFNA(INDEX(data!M:M, MATCH(Caseslist!B1588, data!D:D, 0)), 0) = 0
    ),
    "COMPLETE",
    IF(
      IFNA(INDEX(dataICM!D:D, MATCH(Caseslist!B1588, dataICM!D:D, 0)), "INC") = "INC",
      IFNA(INDEX(dataICM!D:D, MATCH(Caseslist!B1588, dataICM!D:D, 0)), "INC"),
      "COMPLETE"
    )
  )</f>
        <v>COMPLETE</v>
      </c>
      <c r="G1588" s="10" t="str">
        <f t="array" ref="G1588">IF(IFERROR(INDEX(data!L:L,match(Caseslist!B1588,data!D:D,0)),"INC")="","COMPLETE",F1588)</f>
        <v>COMPLETE</v>
      </c>
      <c r="H1588" s="9" t="str">
        <f t="array" ref="H1588">IFERROR(INDEX(dataICM!F:F,match(Caseslist!B1588,dataICM!D:D,0)), "INC")</f>
        <v>Mariel Del Rio</v>
      </c>
      <c r="I1588" s="10" t="str">
        <f t="shared" si="2"/>
        <v>D1284067</v>
      </c>
      <c r="J1588" s="9" t="str">
        <f t="array" ref="J1588">IF(
  AND(
    IFERROR(MATCH(B1588, data!D:D, 0), 0) &gt; 0,
    IFERROR(INDEX(data!N:N, MATCH(B1588, data!D:D, 0)) = 1, FALSE)
  ),
  INDEX(data!C:C, MATCH(B1588, data!D:D, 0)),
  "INC"
)</f>
        <v>2025-08-28T11:29:46.705+08</v>
      </c>
      <c r="K1588" s="9" t="str">
        <f t="array" ref="K1588">IFERROR(INDEX(dataICM!C:C,match(Caseslist!B1588,dataICM!D:D,0)), "INC")</f>
        <v>2025-08-28T12:15:04.966+08</v>
      </c>
      <c r="L1588" s="10" t="str">
        <f t="array" ref="L1588">IF(AND(G1588="COMPLETE", OR(K1588="INC", ISBLANK(INDEX(data!O:O, ROW())))), J1588, K1588)</f>
        <v>2025-08-28T12:15:04.966+08</v>
      </c>
      <c r="M1588" s="2">
        <v>45897.0</v>
      </c>
      <c r="N1588" s="2">
        <f t="array" ref="N1588">IF(M1588&lt;&gt;"INC", INDEX(data!M:M, MATCH(B1588, data!D:D, 0)), "")</f>
        <v>1</v>
      </c>
      <c r="O1588" s="2">
        <f t="shared" si="3"/>
        <v>1</v>
      </c>
    </row>
    <row r="1589">
      <c r="A1589" s="2" t="str">
        <f t="shared" si="1"/>
        <v>H030636</v>
      </c>
      <c r="B1589" s="1" t="s">
        <v>889</v>
      </c>
      <c r="C1589" s="9" t="str">
        <f t="array" ref="C1589">IF(
  AND(
    IFERROR(MATCH(Caseslist!B1589, data!D:D, 0), 0) &gt; 0,
    IFERROR(INDEX(data!N:N, MATCH(Caseslist!B1589, data!D:D, 0)) = 1, FALSE)
  ),
  "COMPLETE",
  "INC"
)</f>
        <v>COMPLETE</v>
      </c>
      <c r="D1589" s="9">
        <f t="array" ref="D1589">IFERROR(INDEX(data!$G:$G,match(Caseslist!B1589,data!$D:$D,0)), "INC")</f>
        <v>896791</v>
      </c>
      <c r="E1589" s="9" t="str">
        <f t="array" ref="E1589">IFERROR(INDEX(data!H:H,match(Caseslist!B1589,data!D:D,0)), "INC")</f>
        <v>Roland A. Bandiola jr</v>
      </c>
      <c r="F1589" s="10" t="str">
        <f t="array" ref="F1589">IF(
    OR(
      IFNA(INDEX(data!M:M, MATCH(Caseslist!B1589, data!D:D, 0)), "") = "",
      IFNA(INDEX(data!M:M, MATCH(Caseslist!B1589, data!D:D, 0)), 0) = 0
    ),
    "COMPLETE",
    IF(
      IFNA(INDEX(dataICM!D:D, MATCH(Caseslist!B1589, dataICM!D:D, 0)), "INC") = "INC",
      IFNA(INDEX(dataICM!D:D, MATCH(Caseslist!B1589, dataICM!D:D, 0)), "INC"),
      "COMPLETE"
    )
  )</f>
        <v>COMPLETE</v>
      </c>
      <c r="G1589" s="10" t="str">
        <f t="array" ref="G1589">IF(IFERROR(INDEX(data!L:L,match(Caseslist!B1589,data!D:D,0)),"INC")="","COMPLETE",F1589)</f>
        <v>COMPLETE</v>
      </c>
      <c r="H1589" s="9" t="str">
        <f t="array" ref="H1589">IFERROR(INDEX(dataICM!F:F,match(Caseslist!B1589,dataICM!D:D,0)), "INC")</f>
        <v>Roland A. Bandiola jr</v>
      </c>
      <c r="I1589" s="10">
        <f t="shared" si="2"/>
        <v>896791</v>
      </c>
      <c r="J1589" s="9" t="str">
        <f t="array" ref="J1589">IF(
  AND(
    IFERROR(MATCH(B1589, data!D:D, 0), 0) &gt; 0,
    IFERROR(INDEX(data!N:N, MATCH(B1589, data!D:D, 0)) = 1, FALSE)
  ),
  INDEX(data!C:C, MATCH(B1589, data!D:D, 0)),
  "INC"
)</f>
        <v>2025-08-27T17:09:36.790+08</v>
      </c>
      <c r="K1589" s="9" t="str">
        <f t="array" ref="K1589">IFERROR(INDEX(dataICM!C:C,match(Caseslist!B1589,dataICM!D:D,0)), "INC")</f>
        <v>2025-08-27T17:14:38.703+08</v>
      </c>
      <c r="L1589" s="10" t="str">
        <f t="array" ref="L1589">IF(AND(G1589="COMPLETE", OR(K1589="INC", ISBLANK(INDEX(data!O:O, ROW())))), J1589, K1589)</f>
        <v>2025-08-27T17:14:38.703+08</v>
      </c>
      <c r="M1589" s="2">
        <v>45896.0</v>
      </c>
      <c r="N1589" s="2">
        <f t="array" ref="N1589">IF(M1589&lt;&gt;"INC", INDEX(data!M:M, MATCH(B1589, data!D:D, 0)), "")</f>
        <v>1</v>
      </c>
      <c r="O1589" s="2">
        <f t="shared" si="3"/>
        <v>1</v>
      </c>
    </row>
    <row r="1590">
      <c r="A1590" s="2" t="str">
        <f t="shared" si="1"/>
        <v>H030636</v>
      </c>
      <c r="B1590" s="1" t="s">
        <v>1187</v>
      </c>
      <c r="C1590" s="9" t="str">
        <f t="array" ref="C1590">IF(
  AND(
    IFERROR(MATCH(Caseslist!B1590, data!D:D, 0), 0) &gt; 0,
    IFERROR(INDEX(data!N:N, MATCH(Caseslist!B1590, data!D:D, 0)) = 1, FALSE)
  ),
  "COMPLETE",
  "INC"
)</f>
        <v>COMPLETE</v>
      </c>
      <c r="D1590" s="9">
        <f t="array" ref="D1590">IFERROR(INDEX(data!$G:$G,match(Caseslist!B1590,data!$D:$D,0)), "INC")</f>
        <v>896791</v>
      </c>
      <c r="E1590" s="9" t="str">
        <f t="array" ref="E1590">IFERROR(INDEX(data!H:H,match(Caseslist!B1590,data!D:D,0)), "INC")</f>
        <v>Roland A. Bandiola jr</v>
      </c>
      <c r="F1590" s="10" t="str">
        <f t="array" ref="F1590">IF(
    OR(
      IFNA(INDEX(data!M:M, MATCH(Caseslist!B1590, data!D:D, 0)), "") = "",
      IFNA(INDEX(data!M:M, MATCH(Caseslist!B1590, data!D:D, 0)), 0) = 0
    ),
    "COMPLETE",
    IF(
      IFNA(INDEX(dataICM!D:D, MATCH(Caseslist!B1590, dataICM!D:D, 0)), "INC") = "INC",
      IFNA(INDEX(dataICM!D:D, MATCH(Caseslist!B1590, dataICM!D:D, 0)), "INC"),
      "COMPLETE"
    )
  )</f>
        <v>COMPLETE</v>
      </c>
      <c r="G1590" s="10" t="str">
        <f t="array" ref="G1590">IF(IFERROR(INDEX(data!L:L,match(Caseslist!B1590,data!D:D,0)),"INC")="","COMPLETE",F1590)</f>
        <v>COMPLETE</v>
      </c>
      <c r="H1590" s="9" t="str">
        <f t="array" ref="H1590">IFERROR(INDEX(dataICM!F:F,match(Caseslist!B1590,dataICM!D:D,0)), "INC")</f>
        <v>Roland A. Bandiola jr</v>
      </c>
      <c r="I1590" s="10">
        <f t="shared" si="2"/>
        <v>896791</v>
      </c>
      <c r="J1590" s="9" t="str">
        <f t="array" ref="J1590">IF(
  AND(
    IFERROR(MATCH(B1590, data!D:D, 0), 0) &gt; 0,
    IFERROR(INDEX(data!N:N, MATCH(B1590, data!D:D, 0)) = 1, FALSE)
  ),
  INDEX(data!C:C, MATCH(B1590, data!D:D, 0)),
  "INC"
)</f>
        <v>2025-08-28T13:59:41.480+08</v>
      </c>
      <c r="K1590" s="9" t="str">
        <f t="array" ref="K1590">IFERROR(INDEX(dataICM!C:C,match(Caseslist!B1590,dataICM!D:D,0)), "INC")</f>
        <v>2025-08-28T14:11:11.904+08</v>
      </c>
      <c r="L1590" s="10" t="str">
        <f t="array" ref="L1590">IF(AND(G1590="COMPLETE", OR(K1590="INC", ISBLANK(INDEX(data!O:O, ROW())))), J1590, K1590)</f>
        <v>2025-08-28T14:11:11.904+08</v>
      </c>
      <c r="M1590" s="2">
        <v>45897.0</v>
      </c>
      <c r="N1590" s="2">
        <f t="array" ref="N1590">IF(M1590&lt;&gt;"INC", INDEX(data!M:M, MATCH(B1590, data!D:D, 0)), "")</f>
        <v>1</v>
      </c>
      <c r="O1590" s="2">
        <f t="shared" si="3"/>
        <v>1</v>
      </c>
    </row>
    <row r="1591">
      <c r="A1591" s="2" t="str">
        <f t="shared" si="1"/>
        <v>H030636</v>
      </c>
      <c r="B1591" s="1" t="s">
        <v>1142</v>
      </c>
      <c r="C1591" s="9" t="str">
        <f t="array" ref="C1591">IF(
  AND(
    IFERROR(MATCH(Caseslist!B1591, data!D:D, 0), 0) &gt; 0,
    IFERROR(INDEX(data!N:N, MATCH(Caseslist!B1591, data!D:D, 0)) = 1, FALSE)
  ),
  "COMPLETE",
  "INC"
)</f>
        <v>COMPLETE</v>
      </c>
      <c r="D1591" s="9" t="str">
        <f t="array" ref="D1591">IFERROR(INDEX(data!$G:$G,match(Caseslist!B1591,data!$D:$D,0)), "INC")</f>
        <v>D1284067</v>
      </c>
      <c r="E1591" s="9" t="str">
        <f t="array" ref="E1591">IFERROR(INDEX(data!H:H,match(Caseslist!B1591,data!D:D,0)), "INC")</f>
        <v>Mariel Del Rio</v>
      </c>
      <c r="F1591" s="10" t="str">
        <f t="array" ref="F1591">IF(
    OR(
      IFNA(INDEX(data!M:M, MATCH(Caseslist!B1591, data!D:D, 0)), "") = "",
      IFNA(INDEX(data!M:M, MATCH(Caseslist!B1591, data!D:D, 0)), 0) = 0
    ),
    "COMPLETE",
    IF(
      IFNA(INDEX(dataICM!D:D, MATCH(Caseslist!B1591, dataICM!D:D, 0)), "INC") = "INC",
      IFNA(INDEX(dataICM!D:D, MATCH(Caseslist!B1591, dataICM!D:D, 0)), "INC"),
      "COMPLETE"
    )
  )</f>
        <v>COMPLETE</v>
      </c>
      <c r="G1591" s="10" t="str">
        <f t="array" ref="G1591">IF(IFERROR(INDEX(data!L:L,match(Caseslist!B1591,data!D:D,0)),"INC")="","COMPLETE",F1591)</f>
        <v>COMPLETE</v>
      </c>
      <c r="H1591" s="9" t="str">
        <f t="array" ref="H1591">IFERROR(INDEX(dataICM!F:F,match(Caseslist!B1591,dataICM!D:D,0)), "INC")</f>
        <v>Mariel Del Rio</v>
      </c>
      <c r="I1591" s="10" t="str">
        <f t="shared" si="2"/>
        <v>D1284067</v>
      </c>
      <c r="J1591" s="9" t="str">
        <f t="array" ref="J1591">IF(
  AND(
    IFERROR(MATCH(B1591, data!D:D, 0), 0) &gt; 0,
    IFERROR(INDEX(data!N:N, MATCH(B1591, data!D:D, 0)) = 1, FALSE)
  ),
  INDEX(data!C:C, MATCH(B1591, data!D:D, 0)),
  "INC"
)</f>
        <v>2025-08-28T16:53:04.755+08</v>
      </c>
      <c r="K1591" s="9" t="str">
        <f t="array" ref="K1591">IFERROR(INDEX(dataICM!C:C,match(Caseslist!B1591,dataICM!D:D,0)), "INC")</f>
        <v>2025-08-28T17:04:23.413+08</v>
      </c>
      <c r="L1591" s="10" t="str">
        <f t="array" ref="L1591">IF(AND(G1591="COMPLETE", OR(K1591="INC", ISBLANK(INDEX(data!O:O, ROW())))), J1591, K1591)</f>
        <v>2025-08-28T17:04:23.413+08</v>
      </c>
      <c r="M1591" s="2">
        <v>45897.0</v>
      </c>
      <c r="N1591" s="2">
        <f t="array" ref="N1591">IF(M1591&lt;&gt;"INC", INDEX(data!M:M, MATCH(B1591, data!D:D, 0)), "")</f>
        <v>1</v>
      </c>
      <c r="O1591" s="2">
        <f t="shared" si="3"/>
        <v>1</v>
      </c>
    </row>
    <row r="1592">
      <c r="A1592" s="2" t="str">
        <f t="shared" si="1"/>
        <v>H030636</v>
      </c>
      <c r="B1592" s="1" t="s">
        <v>884</v>
      </c>
      <c r="C1592" s="9" t="str">
        <f t="array" ref="C1592">IF(
  AND(
    IFERROR(MATCH(Caseslist!B1592, data!D:D, 0), 0) &gt; 0,
    IFERROR(INDEX(data!N:N, MATCH(Caseslist!B1592, data!D:D, 0)) = 1, FALSE)
  ),
  "COMPLETE",
  "INC"
)</f>
        <v>COMPLETE</v>
      </c>
      <c r="D1592" s="9">
        <f t="array" ref="D1592">IFERROR(INDEX(data!$G:$G,match(Caseslist!B1592,data!$D:$D,0)), "INC")</f>
        <v>896791</v>
      </c>
      <c r="E1592" s="9" t="str">
        <f t="array" ref="E1592">IFERROR(INDEX(data!H:H,match(Caseslist!B1592,data!D:D,0)), "INC")</f>
        <v>Roland A. Bandiola jr</v>
      </c>
      <c r="F1592" s="10" t="str">
        <f t="array" ref="F1592">IF(
    OR(
      IFNA(INDEX(data!M:M, MATCH(Caseslist!B1592, data!D:D, 0)), "") = "",
      IFNA(INDEX(data!M:M, MATCH(Caseslist!B1592, data!D:D, 0)), 0) = 0
    ),
    "COMPLETE",
    IF(
      IFNA(INDEX(dataICM!D:D, MATCH(Caseslist!B1592, dataICM!D:D, 0)), "INC") = "INC",
      IFNA(INDEX(dataICM!D:D, MATCH(Caseslist!B1592, dataICM!D:D, 0)), "INC"),
      "COMPLETE"
    )
  )</f>
        <v>COMPLETE</v>
      </c>
      <c r="G1592" s="10" t="str">
        <f t="array" ref="G1592">IF(IFERROR(INDEX(data!L:L,match(Caseslist!B1592,data!D:D,0)),"INC")="","COMPLETE",F1592)</f>
        <v>COMPLETE</v>
      </c>
      <c r="H1592" s="9" t="str">
        <f t="array" ref="H1592">IFERROR(INDEX(dataICM!F:F,match(Caseslist!B1592,dataICM!D:D,0)), "INC")</f>
        <v>Roland A. Bandiola jr</v>
      </c>
      <c r="I1592" s="10">
        <f t="shared" si="2"/>
        <v>896791</v>
      </c>
      <c r="J1592" s="9" t="str">
        <f t="array" ref="J1592">IF(
  AND(
    IFERROR(MATCH(B1592, data!D:D, 0), 0) &gt; 0,
    IFERROR(INDEX(data!N:N, MATCH(B1592, data!D:D, 0)) = 1, FALSE)
  ),
  INDEX(data!C:C, MATCH(B1592, data!D:D, 0)),
  "INC"
)</f>
        <v>2025-08-27T14:14:58.288+08</v>
      </c>
      <c r="K1592" s="9" t="str">
        <f t="array" ref="K1592">IFERROR(INDEX(dataICM!C:C,match(Caseslist!B1592,dataICM!D:D,0)), "INC")</f>
        <v>2025-08-27T14:32:08.048+08</v>
      </c>
      <c r="L1592" s="10" t="str">
        <f t="array" ref="L1592">IF(AND(G1592="COMPLETE", OR(K1592="INC", ISBLANK(INDEX(data!O:O, ROW())))), J1592, K1592)</f>
        <v>2025-08-27T14:32:08.048+08</v>
      </c>
      <c r="M1592" s="2">
        <v>45896.0</v>
      </c>
      <c r="N1592" s="2">
        <f t="array" ref="N1592">IF(M1592&lt;&gt;"INC", INDEX(data!M:M, MATCH(B1592, data!D:D, 0)), "")</f>
        <v>1</v>
      </c>
      <c r="O1592" s="2">
        <f t="shared" si="3"/>
        <v>1</v>
      </c>
    </row>
    <row r="1593">
      <c r="A1593" s="2" t="str">
        <f t="shared" si="1"/>
        <v>H030640</v>
      </c>
      <c r="B1593" s="1" t="s">
        <v>5773</v>
      </c>
      <c r="C1593" s="9" t="str">
        <f t="array" ref="C1593">IF(
  AND(
    IFERROR(MATCH(Caseslist!B1593, data!D:D, 0), 0) &gt; 0,
    IFERROR(INDEX(data!N:N, MATCH(Caseslist!B1593, data!D:D, 0)) = 1, FALSE)
  ),
  "COMPLETE",
  "INC"
)</f>
        <v>COMPLETE</v>
      </c>
      <c r="D1593" s="9" t="str">
        <f t="array" ref="D1593">IFERROR(INDEX(data!$G:$G,match(Caseslist!B1593,data!$D:$D,0)), "INC")</f>
        <v>H2846135</v>
      </c>
      <c r="E1593" s="9" t="str">
        <f t="array" ref="E1593">IFERROR(INDEX(data!H:H,match(Caseslist!B1593,data!D:D,0)), "INC")</f>
        <v>Annalou Empanado Encontro</v>
      </c>
      <c r="F1593" s="10" t="str">
        <f t="array" ref="F1593">IF(
    OR(
      IFNA(INDEX(data!M:M, MATCH(Caseslist!B1593, data!D:D, 0)), "") = "",
      IFNA(INDEX(data!M:M, MATCH(Caseslist!B1593, data!D:D, 0)), 0) = 0
    ),
    "COMPLETE",
    IF(
      IFNA(INDEX(dataICM!D:D, MATCH(Caseslist!B1593, dataICM!D:D, 0)), "INC") = "INC",
      IFNA(INDEX(dataICM!D:D, MATCH(Caseslist!B1593, dataICM!D:D, 0)), "INC"),
      "COMPLETE"
    )
  )</f>
        <v>COMPLETE</v>
      </c>
      <c r="G1593" s="10" t="str">
        <f t="array" ref="G1593">IF(IFERROR(INDEX(data!L:L,match(Caseslist!B1593,data!D:D,0)),"INC")="","COMPLETE",F1593)</f>
        <v>COMPLETE</v>
      </c>
      <c r="H1593" s="9" t="str">
        <f t="array" ref="H1593">IFERROR(INDEX(dataICM!F:F,match(Caseslist!B1593,dataICM!D:D,0)), "INC")</f>
        <v>INC</v>
      </c>
      <c r="I1593" s="10" t="str">
        <f t="shared" si="2"/>
        <v>H2846135</v>
      </c>
      <c r="J1593" s="9" t="str">
        <f t="array" ref="J1593">IF(
  AND(
    IFERROR(MATCH(B1593, data!D:D, 0), 0) &gt; 0,
    IFERROR(INDEX(data!N:N, MATCH(B1593, data!D:D, 0)) = 1, FALSE)
  ),
  INDEX(data!C:C, MATCH(B1593, data!D:D, 0)),
  "INC"
)</f>
        <v>2025-09-12T11:51:17.112+08</v>
      </c>
      <c r="K1593" s="9" t="str">
        <f t="array" ref="K1593">IFERROR(INDEX(dataICM!C:C,match(Caseslist!B1593,dataICM!D:D,0)), "INC")</f>
        <v>INC</v>
      </c>
      <c r="L1593" s="10" t="str">
        <f t="array" ref="L1593">IF(AND(G1593="COMPLETE", OR(K1593="INC", ISBLANK(INDEX(data!O:O, ROW())))), J1593, K1593)</f>
        <v>2025-09-12T11:51:17.112+08</v>
      </c>
      <c r="M1593" s="2">
        <v>45912.0</v>
      </c>
      <c r="N1593" s="2">
        <f t="array" ref="N1593">IF(M1593&lt;&gt;"INC", INDEX(data!M:M, MATCH(B1593, data!D:D, 0)), "")</f>
        <v>0</v>
      </c>
      <c r="O1593" s="2">
        <f t="shared" si="3"/>
        <v>0</v>
      </c>
    </row>
    <row r="1594">
      <c r="A1594" s="2" t="str">
        <f t="shared" si="1"/>
        <v>H030640</v>
      </c>
      <c r="B1594" s="1" t="s">
        <v>5758</v>
      </c>
      <c r="C1594" s="9" t="str">
        <f t="array" ref="C1594">IF(
  AND(
    IFERROR(MATCH(Caseslist!B1594, data!D:D, 0), 0) &gt; 0,
    IFERROR(INDEX(data!N:N, MATCH(Caseslist!B1594, data!D:D, 0)) = 1, FALSE)
  ),
  "COMPLETE",
  "INC"
)</f>
        <v>COMPLETE</v>
      </c>
      <c r="D1594" s="9" t="str">
        <f t="array" ref="D1594">IFERROR(INDEX(data!$G:$G,match(Caseslist!B1594,data!$D:$D,0)), "INC")</f>
        <v>H2846135</v>
      </c>
      <c r="E1594" s="9" t="str">
        <f t="array" ref="E1594">IFERROR(INDEX(data!H:H,match(Caseslist!B1594,data!D:D,0)), "INC")</f>
        <v>Annalou Empanado Encontro</v>
      </c>
      <c r="F1594" s="10" t="str">
        <f t="array" ref="F1594">IF(
    OR(
      IFNA(INDEX(data!M:M, MATCH(Caseslist!B1594, data!D:D, 0)), "") = "",
      IFNA(INDEX(data!M:M, MATCH(Caseslist!B1594, data!D:D, 0)), 0) = 0
    ),
    "COMPLETE",
    IF(
      IFNA(INDEX(dataICM!D:D, MATCH(Caseslist!B1594, dataICM!D:D, 0)), "INC") = "INC",
      IFNA(INDEX(dataICM!D:D, MATCH(Caseslist!B1594, dataICM!D:D, 0)), "INC"),
      "COMPLETE"
    )
  )</f>
        <v>COMPLETE</v>
      </c>
      <c r="G1594" s="10" t="str">
        <f t="array" ref="G1594">IF(IFERROR(INDEX(data!L:L,match(Caseslist!B1594,data!D:D,0)),"INC")="","COMPLETE",F1594)</f>
        <v>COMPLETE</v>
      </c>
      <c r="H1594" s="9" t="str">
        <f t="array" ref="H1594">IFERROR(INDEX(dataICM!F:F,match(Caseslist!B1594,dataICM!D:D,0)), "INC")</f>
        <v>INC</v>
      </c>
      <c r="I1594" s="10" t="str">
        <f t="shared" si="2"/>
        <v>H2846135</v>
      </c>
      <c r="J1594" s="9" t="str">
        <f t="array" ref="J1594">IF(
  AND(
    IFERROR(MATCH(B1594, data!D:D, 0), 0) &gt; 0,
    IFERROR(INDEX(data!N:N, MATCH(B1594, data!D:D, 0)) = 1, FALSE)
  ),
  INDEX(data!C:C, MATCH(B1594, data!D:D, 0)),
  "INC"
)</f>
        <v>2025-09-13T10:39:41.145+08</v>
      </c>
      <c r="K1594" s="9" t="str">
        <f t="array" ref="K1594">IFERROR(INDEX(dataICM!C:C,match(Caseslist!B1594,dataICM!D:D,0)), "INC")</f>
        <v>INC</v>
      </c>
      <c r="L1594" s="10" t="str">
        <f t="array" ref="L1594">IF(AND(G1594="COMPLETE", OR(K1594="INC", ISBLANK(INDEX(data!O:O, ROW())))), J1594, K1594)</f>
        <v>2025-09-13T10:39:41.145+08</v>
      </c>
      <c r="M1594" s="2">
        <v>45913.0</v>
      </c>
      <c r="N1594" s="2">
        <f t="array" ref="N1594">IF(M1594&lt;&gt;"INC", INDEX(data!M:M, MATCH(B1594, data!D:D, 0)), "")</f>
        <v>0</v>
      </c>
      <c r="O1594" s="2">
        <f t="shared" si="3"/>
        <v>0</v>
      </c>
    </row>
    <row r="1595">
      <c r="A1595" s="2" t="str">
        <f t="shared" si="1"/>
        <v>H030640</v>
      </c>
      <c r="B1595" s="1" t="s">
        <v>5763</v>
      </c>
      <c r="C1595" s="9" t="str">
        <f t="array" ref="C1595">IF(
  AND(
    IFERROR(MATCH(Caseslist!B1595, data!D:D, 0), 0) &gt; 0,
    IFERROR(INDEX(data!N:N, MATCH(Caseslist!B1595, data!D:D, 0)) = 1, FALSE)
  ),
  "COMPLETE",
  "INC"
)</f>
        <v>COMPLETE</v>
      </c>
      <c r="D1595" s="9" t="str">
        <f t="array" ref="D1595">IFERROR(INDEX(data!$G:$G,match(Caseslist!B1595,data!$D:$D,0)), "INC")</f>
        <v>H2846135</v>
      </c>
      <c r="E1595" s="9" t="str">
        <f t="array" ref="E1595">IFERROR(INDEX(data!H:H,match(Caseslist!B1595,data!D:D,0)), "INC")</f>
        <v>Annalou Empanado Encontro</v>
      </c>
      <c r="F1595" s="10" t="str">
        <f t="array" ref="F1595">IF(
    OR(
      IFNA(INDEX(data!M:M, MATCH(Caseslist!B1595, data!D:D, 0)), "") = "",
      IFNA(INDEX(data!M:M, MATCH(Caseslist!B1595, data!D:D, 0)), 0) = 0
    ),
    "COMPLETE",
    IF(
      IFNA(INDEX(dataICM!D:D, MATCH(Caseslist!B1595, dataICM!D:D, 0)), "INC") = "INC",
      IFNA(INDEX(dataICM!D:D, MATCH(Caseslist!B1595, dataICM!D:D, 0)), "INC"),
      "COMPLETE"
    )
  )</f>
        <v>COMPLETE</v>
      </c>
      <c r="G1595" s="10" t="str">
        <f t="array" ref="G1595">IF(IFERROR(INDEX(data!L:L,match(Caseslist!B1595,data!D:D,0)),"INC")="","COMPLETE",F1595)</f>
        <v>COMPLETE</v>
      </c>
      <c r="H1595" s="9" t="str">
        <f t="array" ref="H1595">IFERROR(INDEX(dataICM!F:F,match(Caseslist!B1595,dataICM!D:D,0)), "INC")</f>
        <v>INC</v>
      </c>
      <c r="I1595" s="10" t="str">
        <f t="shared" si="2"/>
        <v>H2846135</v>
      </c>
      <c r="J1595" s="9" t="str">
        <f t="array" ref="J1595">IF(
  AND(
    IFERROR(MATCH(B1595, data!D:D, 0), 0) &gt; 0,
    IFERROR(INDEX(data!N:N, MATCH(B1595, data!D:D, 0)) = 1, FALSE)
  ),
  INDEX(data!C:C, MATCH(B1595, data!D:D, 0)),
  "INC"
)</f>
        <v>2025-09-12T13:13:26.976+08</v>
      </c>
      <c r="K1595" s="9" t="str">
        <f t="array" ref="K1595">IFERROR(INDEX(dataICM!C:C,match(Caseslist!B1595,dataICM!D:D,0)), "INC")</f>
        <v>INC</v>
      </c>
      <c r="L1595" s="10" t="str">
        <f t="array" ref="L1595">IF(AND(G1595="COMPLETE", OR(K1595="INC", ISBLANK(INDEX(data!O:O, ROW())))), J1595, K1595)</f>
        <v>2025-09-12T13:13:26.976+08</v>
      </c>
      <c r="M1595" s="2">
        <v>45912.0</v>
      </c>
      <c r="N1595" s="2">
        <f t="array" ref="N1595">IF(M1595&lt;&gt;"INC", INDEX(data!M:M, MATCH(B1595, data!D:D, 0)), "")</f>
        <v>0</v>
      </c>
      <c r="O1595" s="2">
        <f t="shared" si="3"/>
        <v>0</v>
      </c>
    </row>
    <row r="1596">
      <c r="A1596" s="2" t="str">
        <f t="shared" si="1"/>
        <v>H030640</v>
      </c>
      <c r="B1596" s="1" t="s">
        <v>5693</v>
      </c>
      <c r="C1596" s="9" t="str">
        <f t="array" ref="C1596">IF(
  AND(
    IFERROR(MATCH(Caseslist!B1596, data!D:D, 0), 0) &gt; 0,
    IFERROR(INDEX(data!N:N, MATCH(Caseslist!B1596, data!D:D, 0)) = 1, FALSE)
  ),
  "COMPLETE",
  "INC"
)</f>
        <v>COMPLETE</v>
      </c>
      <c r="D1596" s="9" t="str">
        <f t="array" ref="D1596">IFERROR(INDEX(data!$G:$G,match(Caseslist!B1596,data!$D:$D,0)), "INC")</f>
        <v>F3051749</v>
      </c>
      <c r="E1596" s="9" t="str">
        <f t="array" ref="E1596">IFERROR(INDEX(data!H:H,match(Caseslist!B1596,data!D:D,0)), "INC")</f>
        <v>Elenita Gicos De La Pe�a</v>
      </c>
      <c r="F1596" s="10" t="str">
        <f t="array" ref="F1596">IF(
    OR(
      IFNA(INDEX(data!M:M, MATCH(Caseslist!B1596, data!D:D, 0)), "") = "",
      IFNA(INDEX(data!M:M, MATCH(Caseslist!B1596, data!D:D, 0)), 0) = 0
    ),
    "COMPLETE",
    IF(
      IFNA(INDEX(dataICM!D:D, MATCH(Caseslist!B1596, dataICM!D:D, 0)), "INC") = "INC",
      IFNA(INDEX(dataICM!D:D, MATCH(Caseslist!B1596, dataICM!D:D, 0)), "INC"),
      "COMPLETE"
    )
  )</f>
        <v>COMPLETE</v>
      </c>
      <c r="G1596" s="10" t="str">
        <f t="array" ref="G1596">IF(IFERROR(INDEX(data!L:L,match(Caseslist!B1596,data!D:D,0)),"INC")="","COMPLETE",F1596)</f>
        <v>COMPLETE</v>
      </c>
      <c r="H1596" s="9" t="str">
        <f t="array" ref="H1596">IFERROR(INDEX(dataICM!F:F,match(Caseslist!B1596,dataICM!D:D,0)), "INC")</f>
        <v>INC</v>
      </c>
      <c r="I1596" s="10" t="str">
        <f t="shared" si="2"/>
        <v>F3051749</v>
      </c>
      <c r="J1596" s="9" t="str">
        <f t="array" ref="J1596">IF(
  AND(
    IFERROR(MATCH(B1596, data!D:D, 0), 0) &gt; 0,
    IFERROR(INDEX(data!N:N, MATCH(B1596, data!D:D, 0)) = 1, FALSE)
  ),
  INDEX(data!C:C, MATCH(B1596, data!D:D, 0)),
  "INC"
)</f>
        <v>2025-09-12T12:43:23.752+08</v>
      </c>
      <c r="K1596" s="9" t="str">
        <f t="array" ref="K1596">IFERROR(INDEX(dataICM!C:C,match(Caseslist!B1596,dataICM!D:D,0)), "INC")</f>
        <v>INC</v>
      </c>
      <c r="L1596" s="10" t="str">
        <f t="array" ref="L1596">IF(AND(G1596="COMPLETE", OR(K1596="INC", ISBLANK(INDEX(data!O:O, ROW())))), J1596, K1596)</f>
        <v>2025-09-12T12:43:23.752+08</v>
      </c>
      <c r="M1596" s="2">
        <v>45912.0</v>
      </c>
      <c r="N1596" s="2">
        <f t="array" ref="N1596">IF(M1596&lt;&gt;"INC", INDEX(data!M:M, MATCH(B1596, data!D:D, 0)), "")</f>
        <v>0</v>
      </c>
      <c r="O1596" s="2">
        <f t="shared" si="3"/>
        <v>0</v>
      </c>
    </row>
    <row r="1597">
      <c r="A1597" s="2" t="str">
        <f t="shared" si="1"/>
        <v>H030640</v>
      </c>
      <c r="B1597" s="1" t="s">
        <v>5688</v>
      </c>
      <c r="C1597" s="9" t="str">
        <f t="array" ref="C1597">IF(
  AND(
    IFERROR(MATCH(Caseslist!B1597, data!D:D, 0), 0) &gt; 0,
    IFERROR(INDEX(data!N:N, MATCH(Caseslist!B1597, data!D:D, 0)) = 1, FALSE)
  ),
  "COMPLETE",
  "INC"
)</f>
        <v>COMPLETE</v>
      </c>
      <c r="D1597" s="9" t="str">
        <f t="array" ref="D1597">IFERROR(INDEX(data!$G:$G,match(Caseslist!B1597,data!$D:$D,0)), "INC")</f>
        <v>F3051749</v>
      </c>
      <c r="E1597" s="9" t="str">
        <f t="array" ref="E1597">IFERROR(INDEX(data!H:H,match(Caseslist!B1597,data!D:D,0)), "INC")</f>
        <v>Elenita Gicos De La Pe�a</v>
      </c>
      <c r="F1597" s="10" t="str">
        <f t="array" ref="F1597">IF(
    OR(
      IFNA(INDEX(data!M:M, MATCH(Caseslist!B1597, data!D:D, 0)), "") = "",
      IFNA(INDEX(data!M:M, MATCH(Caseslist!B1597, data!D:D, 0)), 0) = 0
    ),
    "COMPLETE",
    IF(
      IFNA(INDEX(dataICM!D:D, MATCH(Caseslist!B1597, dataICM!D:D, 0)), "INC") = "INC",
      IFNA(INDEX(dataICM!D:D, MATCH(Caseslist!B1597, dataICM!D:D, 0)), "INC"),
      "COMPLETE"
    )
  )</f>
        <v>COMPLETE</v>
      </c>
      <c r="G1597" s="10" t="str">
        <f t="array" ref="G1597">IF(IFERROR(INDEX(data!L:L,match(Caseslist!B1597,data!D:D,0)),"INC")="","COMPLETE",F1597)</f>
        <v>COMPLETE</v>
      </c>
      <c r="H1597" s="9" t="str">
        <f t="array" ref="H1597">IFERROR(INDEX(dataICM!F:F,match(Caseslist!B1597,dataICM!D:D,0)), "INC")</f>
        <v>INC</v>
      </c>
      <c r="I1597" s="10" t="str">
        <f t="shared" si="2"/>
        <v>F3051749</v>
      </c>
      <c r="J1597" s="9" t="str">
        <f t="array" ref="J1597">IF(
  AND(
    IFERROR(MATCH(B1597, data!D:D, 0), 0) &gt; 0,
    IFERROR(INDEX(data!N:N, MATCH(B1597, data!D:D, 0)) = 1, FALSE)
  ),
  INDEX(data!C:C, MATCH(B1597, data!D:D, 0)),
  "INC"
)</f>
        <v>2025-09-12T11:32:09.877+08</v>
      </c>
      <c r="K1597" s="9" t="str">
        <f t="array" ref="K1597">IFERROR(INDEX(dataICM!C:C,match(Caseslist!B1597,dataICM!D:D,0)), "INC")</f>
        <v>INC</v>
      </c>
      <c r="L1597" s="10" t="str">
        <f t="array" ref="L1597">IF(AND(G1597="COMPLETE", OR(K1597="INC", ISBLANK(INDEX(data!O:O, ROW())))), J1597, K1597)</f>
        <v>2025-09-12T11:32:09.877+08</v>
      </c>
      <c r="M1597" s="2">
        <v>45912.0</v>
      </c>
      <c r="N1597" s="2">
        <f t="array" ref="N1597">IF(M1597&lt;&gt;"INC", INDEX(data!M:M, MATCH(B1597, data!D:D, 0)), "")</f>
        <v>0</v>
      </c>
      <c r="O1597" s="2">
        <f t="shared" si="3"/>
        <v>0</v>
      </c>
    </row>
    <row r="1598">
      <c r="A1598" s="2" t="str">
        <f t="shared" si="1"/>
        <v>H030640</v>
      </c>
      <c r="B1598" s="1" t="s">
        <v>5743</v>
      </c>
      <c r="C1598" s="9" t="str">
        <f t="array" ref="C1598">IF(
  AND(
    IFERROR(MATCH(Caseslist!B1598, data!D:D, 0), 0) &gt; 0,
    IFERROR(INDEX(data!N:N, MATCH(Caseslist!B1598, data!D:D, 0)) = 1, FALSE)
  ),
  "COMPLETE",
  "INC"
)</f>
        <v>COMPLETE</v>
      </c>
      <c r="D1598" s="9" t="str">
        <f t="array" ref="D1598">IFERROR(INDEX(data!$G:$G,match(Caseslist!B1598,data!$D:$D,0)), "INC")</f>
        <v>G5472901</v>
      </c>
      <c r="E1598" s="9" t="str">
        <f t="array" ref="E1598">IFERROR(INDEX(data!H:H,match(Caseslist!B1598,data!D:D,0)), "INC")</f>
        <v>Wellyn Grace Alaban Parcia</v>
      </c>
      <c r="F1598" s="10" t="str">
        <f t="array" ref="F1598">IF(
    OR(
      IFNA(INDEX(data!M:M, MATCH(Caseslist!B1598, data!D:D, 0)), "") = "",
      IFNA(INDEX(data!M:M, MATCH(Caseslist!B1598, data!D:D, 0)), 0) = 0
    ),
    "COMPLETE",
    IF(
      IFNA(INDEX(dataICM!D:D, MATCH(Caseslist!B1598, dataICM!D:D, 0)), "INC") = "INC",
      IFNA(INDEX(dataICM!D:D, MATCH(Caseslist!B1598, dataICM!D:D, 0)), "INC"),
      "COMPLETE"
    )
  )</f>
        <v>COMPLETE</v>
      </c>
      <c r="G1598" s="10" t="str">
        <f t="array" ref="G1598">IF(IFERROR(INDEX(data!L:L,match(Caseslist!B1598,data!D:D,0)),"INC")="","COMPLETE",F1598)</f>
        <v>COMPLETE</v>
      </c>
      <c r="H1598" s="9" t="str">
        <f t="array" ref="H1598">IFERROR(INDEX(dataICM!F:F,match(Caseslist!B1598,dataICM!D:D,0)), "INC")</f>
        <v>INC</v>
      </c>
      <c r="I1598" s="10" t="str">
        <f t="shared" si="2"/>
        <v>G5472901</v>
      </c>
      <c r="J1598" s="9" t="str">
        <f t="array" ref="J1598">IF(
  AND(
    IFERROR(MATCH(B1598, data!D:D, 0), 0) &gt; 0,
    IFERROR(INDEX(data!N:N, MATCH(B1598, data!D:D, 0)) = 1, FALSE)
  ),
  INDEX(data!C:C, MATCH(B1598, data!D:D, 0)),
  "INC"
)</f>
        <v>2025-09-12T12:14:40.252+08</v>
      </c>
      <c r="K1598" s="9" t="str">
        <f t="array" ref="K1598">IFERROR(INDEX(dataICM!C:C,match(Caseslist!B1598,dataICM!D:D,0)), "INC")</f>
        <v>INC</v>
      </c>
      <c r="L1598" s="10" t="str">
        <f t="array" ref="L1598">IF(AND(G1598="COMPLETE", OR(K1598="INC", ISBLANK(INDEX(data!O:O, ROW())))), J1598, K1598)</f>
        <v>2025-09-12T12:14:40.252+08</v>
      </c>
      <c r="M1598" s="2">
        <v>45912.0</v>
      </c>
      <c r="N1598" s="2">
        <f t="array" ref="N1598">IF(M1598&lt;&gt;"INC", INDEX(data!M:M, MATCH(B1598, data!D:D, 0)), "")</f>
        <v>0</v>
      </c>
      <c r="O1598" s="2">
        <f t="shared" si="3"/>
        <v>0</v>
      </c>
    </row>
    <row r="1599">
      <c r="A1599" s="2" t="str">
        <f t="shared" si="1"/>
        <v>H030640</v>
      </c>
      <c r="B1599" s="1" t="s">
        <v>5698</v>
      </c>
      <c r="C1599" s="9" t="str">
        <f t="array" ref="C1599">IF(
  AND(
    IFERROR(MATCH(Caseslist!B1599, data!D:D, 0), 0) &gt; 0,
    IFERROR(INDEX(data!N:N, MATCH(Caseslist!B1599, data!D:D, 0)) = 1, FALSE)
  ),
  "COMPLETE",
  "INC"
)</f>
        <v>COMPLETE</v>
      </c>
      <c r="D1599" s="9" t="str">
        <f t="array" ref="D1599">IFERROR(INDEX(data!$G:$G,match(Caseslist!B1599,data!$D:$D,0)), "INC")</f>
        <v>F3051749</v>
      </c>
      <c r="E1599" s="9" t="str">
        <f t="array" ref="E1599">IFERROR(INDEX(data!H:H,match(Caseslist!B1599,data!D:D,0)), "INC")</f>
        <v>Elenita Gicos De La Pe�a</v>
      </c>
      <c r="F1599" s="10" t="str">
        <f t="array" ref="F1599">IF(
    OR(
      IFNA(INDEX(data!M:M, MATCH(Caseslist!B1599, data!D:D, 0)), "") = "",
      IFNA(INDEX(data!M:M, MATCH(Caseslist!B1599, data!D:D, 0)), 0) = 0
    ),
    "COMPLETE",
    IF(
      IFNA(INDEX(dataICM!D:D, MATCH(Caseslist!B1599, dataICM!D:D, 0)), "INC") = "INC",
      IFNA(INDEX(dataICM!D:D, MATCH(Caseslist!B1599, dataICM!D:D, 0)), "INC"),
      "COMPLETE"
    )
  )</f>
        <v>COMPLETE</v>
      </c>
      <c r="G1599" s="10" t="str">
        <f t="array" ref="G1599">IF(IFERROR(INDEX(data!L:L,match(Caseslist!B1599,data!D:D,0)),"INC")="","COMPLETE",F1599)</f>
        <v>COMPLETE</v>
      </c>
      <c r="H1599" s="9" t="str">
        <f t="array" ref="H1599">IFERROR(INDEX(dataICM!F:F,match(Caseslist!B1599,dataICM!D:D,0)), "INC")</f>
        <v>INC</v>
      </c>
      <c r="I1599" s="10" t="str">
        <f t="shared" si="2"/>
        <v>F3051749</v>
      </c>
      <c r="J1599" s="9" t="str">
        <f t="array" ref="J1599">IF(
  AND(
    IFERROR(MATCH(B1599, data!D:D, 0), 0) &gt; 0,
    IFERROR(INDEX(data!N:N, MATCH(B1599, data!D:D, 0)) = 1, FALSE)
  ),
  INDEX(data!C:C, MATCH(B1599, data!D:D, 0)),
  "INC"
)</f>
        <v>2025-09-12T16:19:57.338+08</v>
      </c>
      <c r="K1599" s="9" t="str">
        <f t="array" ref="K1599">IFERROR(INDEX(dataICM!C:C,match(Caseslist!B1599,dataICM!D:D,0)), "INC")</f>
        <v>INC</v>
      </c>
      <c r="L1599" s="10" t="str">
        <f t="array" ref="L1599">IF(AND(G1599="COMPLETE", OR(K1599="INC", ISBLANK(INDEX(data!O:O, ROW())))), J1599, K1599)</f>
        <v>2025-09-12T16:19:57.338+08</v>
      </c>
      <c r="M1599" s="2">
        <v>45912.0</v>
      </c>
      <c r="N1599" s="2">
        <f t="array" ref="N1599">IF(M1599&lt;&gt;"INC", INDEX(data!M:M, MATCH(B1599, data!D:D, 0)), "")</f>
        <v>0</v>
      </c>
      <c r="O1599" s="2">
        <f t="shared" si="3"/>
        <v>0</v>
      </c>
    </row>
    <row r="1600">
      <c r="A1600" s="2" t="str">
        <f t="shared" si="1"/>
        <v>H030640</v>
      </c>
      <c r="B1600" s="1" t="s">
        <v>5768</v>
      </c>
      <c r="C1600" s="9" t="str">
        <f t="array" ref="C1600">IF(
  AND(
    IFERROR(MATCH(Caseslist!B1600, data!D:D, 0), 0) &gt; 0,
    IFERROR(INDEX(data!N:N, MATCH(Caseslist!B1600, data!D:D, 0)) = 1, FALSE)
  ),
  "COMPLETE",
  "INC"
)</f>
        <v>COMPLETE</v>
      </c>
      <c r="D1600" s="9" t="str">
        <f t="array" ref="D1600">IFERROR(INDEX(data!$G:$G,match(Caseslist!B1600,data!$D:$D,0)), "INC")</f>
        <v>H2846135</v>
      </c>
      <c r="E1600" s="9" t="str">
        <f t="array" ref="E1600">IFERROR(INDEX(data!H:H,match(Caseslist!B1600,data!D:D,0)), "INC")</f>
        <v>Annalou Empanado Encontro</v>
      </c>
      <c r="F1600" s="10" t="str">
        <f t="array" ref="F1600">IF(
    OR(
      IFNA(INDEX(data!M:M, MATCH(Caseslist!B1600, data!D:D, 0)), "") = "",
      IFNA(INDEX(data!M:M, MATCH(Caseslist!B1600, data!D:D, 0)), 0) = 0
    ),
    "COMPLETE",
    IF(
      IFNA(INDEX(dataICM!D:D, MATCH(Caseslist!B1600, dataICM!D:D, 0)), "INC") = "INC",
      IFNA(INDEX(dataICM!D:D, MATCH(Caseslist!B1600, dataICM!D:D, 0)), "INC"),
      "COMPLETE"
    )
  )</f>
        <v>COMPLETE</v>
      </c>
      <c r="G1600" s="10" t="str">
        <f t="array" ref="G1600">IF(IFERROR(INDEX(data!L:L,match(Caseslist!B1600,data!D:D,0)),"INC")="","COMPLETE",F1600)</f>
        <v>COMPLETE</v>
      </c>
      <c r="H1600" s="9" t="str">
        <f t="array" ref="H1600">IFERROR(INDEX(dataICM!F:F,match(Caseslist!B1600,dataICM!D:D,0)), "INC")</f>
        <v>INC</v>
      </c>
      <c r="I1600" s="10" t="str">
        <f t="shared" si="2"/>
        <v>H2846135</v>
      </c>
      <c r="J1600" s="9" t="str">
        <f t="array" ref="J1600">IF(
  AND(
    IFERROR(MATCH(B1600, data!D:D, 0), 0) &gt; 0,
    IFERROR(INDEX(data!N:N, MATCH(B1600, data!D:D, 0)) = 1, FALSE)
  ),
  INDEX(data!C:C, MATCH(B1600, data!D:D, 0)),
  "INC"
)</f>
        <v>2025-09-12T15:33:47.040+08</v>
      </c>
      <c r="K1600" s="9" t="str">
        <f t="array" ref="K1600">IFERROR(INDEX(dataICM!C:C,match(Caseslist!B1600,dataICM!D:D,0)), "INC")</f>
        <v>INC</v>
      </c>
      <c r="L1600" s="10" t="str">
        <f t="array" ref="L1600">IF(AND(G1600="COMPLETE", OR(K1600="INC", ISBLANK(INDEX(data!O:O, ROW())))), J1600, K1600)</f>
        <v>2025-09-12T15:33:47.040+08</v>
      </c>
      <c r="M1600" s="2">
        <v>45912.0</v>
      </c>
      <c r="N1600" s="2">
        <f t="array" ref="N1600">IF(M1600&lt;&gt;"INC", INDEX(data!M:M, MATCH(B1600, data!D:D, 0)), "")</f>
        <v>0</v>
      </c>
      <c r="O1600" s="2">
        <f t="shared" si="3"/>
        <v>0</v>
      </c>
    </row>
    <row r="1601">
      <c r="A1601" s="2" t="str">
        <f t="shared" si="1"/>
        <v>H030640</v>
      </c>
      <c r="B1601" s="1" t="s">
        <v>6043</v>
      </c>
      <c r="C1601" s="9" t="str">
        <f t="array" ref="C1601">IF(
  AND(
    IFERROR(MATCH(Caseslist!B1601, data!D:D, 0), 0) &gt; 0,
    IFERROR(INDEX(data!N:N, MATCH(Caseslist!B1601, data!D:D, 0)) = 1, FALSE)
  ),
  "COMPLETE",
  "INC"
)</f>
        <v>COMPLETE</v>
      </c>
      <c r="D1601" s="9" t="str">
        <f t="array" ref="D1601">IFERROR(INDEX(data!$G:$G,match(Caseslist!B1601,data!$D:$D,0)), "INC")</f>
        <v>G5472901</v>
      </c>
      <c r="E1601" s="9" t="str">
        <f t="array" ref="E1601">IFERROR(INDEX(data!H:H,match(Caseslist!B1601,data!D:D,0)), "INC")</f>
        <v>Wellyn Grace Alaban Parcia</v>
      </c>
      <c r="F1601" s="10" t="str">
        <f t="array" ref="F1601">IF(
    OR(
      IFNA(INDEX(data!M:M, MATCH(Caseslist!B1601, data!D:D, 0)), "") = "",
      IFNA(INDEX(data!M:M, MATCH(Caseslist!B1601, data!D:D, 0)), 0) = 0
    ),
    "COMPLETE",
    IF(
      IFNA(INDEX(dataICM!D:D, MATCH(Caseslist!B1601, dataICM!D:D, 0)), "INC") = "INC",
      IFNA(INDEX(dataICM!D:D, MATCH(Caseslist!B1601, dataICM!D:D, 0)), "INC"),
      "COMPLETE"
    )
  )</f>
        <v>COMPLETE</v>
      </c>
      <c r="G1601" s="10" t="str">
        <f t="array" ref="G1601">IF(IFERROR(INDEX(data!L:L,match(Caseslist!B1601,data!D:D,0)),"INC")="","COMPLETE",F1601)</f>
        <v>COMPLETE</v>
      </c>
      <c r="H1601" s="9" t="str">
        <f t="array" ref="H1601">IFERROR(INDEX(dataICM!F:F,match(Caseslist!B1601,dataICM!D:D,0)), "INC")</f>
        <v>INC</v>
      </c>
      <c r="I1601" s="10" t="str">
        <f t="shared" si="2"/>
        <v>G5472901</v>
      </c>
      <c r="J1601" s="9" t="str">
        <f t="array" ref="J1601">IF(
  AND(
    IFERROR(MATCH(B1601, data!D:D, 0), 0) &gt; 0,
    IFERROR(INDEX(data!N:N, MATCH(B1601, data!D:D, 0)) = 1, FALSE)
  ),
  INDEX(data!C:C, MATCH(B1601, data!D:D, 0)),
  "INC"
)</f>
        <v>2025-09-13T10:49:56.430+08</v>
      </c>
      <c r="K1601" s="9" t="str">
        <f t="array" ref="K1601">IFERROR(INDEX(dataICM!C:C,match(Caseslist!B1601,dataICM!D:D,0)), "INC")</f>
        <v>INC</v>
      </c>
      <c r="L1601" s="10" t="str">
        <f t="array" ref="L1601">IF(AND(G1601="COMPLETE", OR(K1601="INC", ISBLANK(INDEX(data!O:O, ROW())))), J1601, K1601)</f>
        <v>2025-09-13T10:49:56.430+08</v>
      </c>
      <c r="M1601" s="2">
        <v>45913.0</v>
      </c>
      <c r="N1601" s="2">
        <f t="array" ref="N1601">IF(M1601&lt;&gt;"INC", INDEX(data!M:M, MATCH(B1601, data!D:D, 0)), "")</f>
        <v>0</v>
      </c>
      <c r="O1601" s="2">
        <f t="shared" si="3"/>
        <v>0</v>
      </c>
    </row>
    <row r="1602">
      <c r="A1602" s="2" t="str">
        <f t="shared" si="1"/>
        <v>H030640</v>
      </c>
      <c r="B1602" s="1" t="s">
        <v>6038</v>
      </c>
      <c r="C1602" s="9" t="str">
        <f t="array" ref="C1602">IF(
  AND(
    IFERROR(MATCH(Caseslist!B1602, data!D:D, 0), 0) &gt; 0,
    IFERROR(INDEX(data!N:N, MATCH(Caseslist!B1602, data!D:D, 0)) = 1, FALSE)
  ),
  "COMPLETE",
  "INC"
)</f>
        <v>COMPLETE</v>
      </c>
      <c r="D1602" s="9" t="str">
        <f t="array" ref="D1602">IFERROR(INDEX(data!$G:$G,match(Caseslist!B1602,data!$D:$D,0)), "INC")</f>
        <v>F3051749</v>
      </c>
      <c r="E1602" s="9" t="str">
        <f t="array" ref="E1602">IFERROR(INDEX(data!H:H,match(Caseslist!B1602,data!D:D,0)), "INC")</f>
        <v>Elenita Gicos De La Pe�a</v>
      </c>
      <c r="F1602" s="10" t="str">
        <f t="array" ref="F1602">IF(
    OR(
      IFNA(INDEX(data!M:M, MATCH(Caseslist!B1602, data!D:D, 0)), "") = "",
      IFNA(INDEX(data!M:M, MATCH(Caseslist!B1602, data!D:D, 0)), 0) = 0
    ),
    "COMPLETE",
    IF(
      IFNA(INDEX(dataICM!D:D, MATCH(Caseslist!B1602, dataICM!D:D, 0)), "INC") = "INC",
      IFNA(INDEX(dataICM!D:D, MATCH(Caseslist!B1602, dataICM!D:D, 0)), "INC"),
      "COMPLETE"
    )
  )</f>
        <v>COMPLETE</v>
      </c>
      <c r="G1602" s="10" t="str">
        <f t="array" ref="G1602">IF(IFERROR(INDEX(data!L:L,match(Caseslist!B1602,data!D:D,0)),"INC")="","COMPLETE",F1602)</f>
        <v>COMPLETE</v>
      </c>
      <c r="H1602" s="9" t="str">
        <f t="array" ref="H1602">IFERROR(INDEX(dataICM!F:F,match(Caseslist!B1602,dataICM!D:D,0)), "INC")</f>
        <v>INC</v>
      </c>
      <c r="I1602" s="10" t="str">
        <f t="shared" si="2"/>
        <v>F3051749</v>
      </c>
      <c r="J1602" s="9" t="str">
        <f t="array" ref="J1602">IF(
  AND(
    IFERROR(MATCH(B1602, data!D:D, 0), 0) &gt; 0,
    IFERROR(INDEX(data!N:N, MATCH(B1602, data!D:D, 0)) = 1, FALSE)
  ),
  INDEX(data!C:C, MATCH(B1602, data!D:D, 0)),
  "INC"
)</f>
        <v>2025-09-13T10:28:49.735+08</v>
      </c>
      <c r="K1602" s="9" t="str">
        <f t="array" ref="K1602">IFERROR(INDEX(dataICM!C:C,match(Caseslist!B1602,dataICM!D:D,0)), "INC")</f>
        <v>INC</v>
      </c>
      <c r="L1602" s="10" t="str">
        <f t="array" ref="L1602">IF(AND(G1602="COMPLETE", OR(K1602="INC", ISBLANK(INDEX(data!O:O, ROW())))), J1602, K1602)</f>
        <v>2025-09-13T10:28:49.735+08</v>
      </c>
      <c r="M1602" s="2">
        <v>45913.0</v>
      </c>
      <c r="N1602" s="2">
        <f t="array" ref="N1602">IF(M1602&lt;&gt;"INC", INDEX(data!M:M, MATCH(B1602, data!D:D, 0)), "")</f>
        <v>0</v>
      </c>
      <c r="O1602" s="2">
        <f t="shared" si="3"/>
        <v>0</v>
      </c>
    </row>
    <row r="1603">
      <c r="A1603" s="2" t="str">
        <f t="shared" si="1"/>
        <v>H030640</v>
      </c>
      <c r="B1603" s="1" t="s">
        <v>5748</v>
      </c>
      <c r="C1603" s="9" t="str">
        <f t="array" ref="C1603">IF(
  AND(
    IFERROR(MATCH(Caseslist!B1603, data!D:D, 0), 0) &gt; 0,
    IFERROR(INDEX(data!N:N, MATCH(Caseslist!B1603, data!D:D, 0)) = 1, FALSE)
  ),
  "COMPLETE",
  "INC"
)</f>
        <v>COMPLETE</v>
      </c>
      <c r="D1603" s="9" t="str">
        <f t="array" ref="D1603">IFERROR(INDEX(data!$G:$G,match(Caseslist!B1603,data!$D:$D,0)), "INC")</f>
        <v>G5472901</v>
      </c>
      <c r="E1603" s="9" t="str">
        <f t="array" ref="E1603">IFERROR(INDEX(data!H:H,match(Caseslist!B1603,data!D:D,0)), "INC")</f>
        <v>Wellyn Grace Alaban Parcia</v>
      </c>
      <c r="F1603" s="10" t="str">
        <f t="array" ref="F1603">IF(
    OR(
      IFNA(INDEX(data!M:M, MATCH(Caseslist!B1603, data!D:D, 0)), "") = "",
      IFNA(INDEX(data!M:M, MATCH(Caseslist!B1603, data!D:D, 0)), 0) = 0
    ),
    "COMPLETE",
    IF(
      IFNA(INDEX(dataICM!D:D, MATCH(Caseslist!B1603, dataICM!D:D, 0)), "INC") = "INC",
      IFNA(INDEX(dataICM!D:D, MATCH(Caseslist!B1603, dataICM!D:D, 0)), "INC"),
      "COMPLETE"
    )
  )</f>
        <v>COMPLETE</v>
      </c>
      <c r="G1603" s="10" t="str">
        <f t="array" ref="G1603">IF(IFERROR(INDEX(data!L:L,match(Caseslist!B1603,data!D:D,0)),"INC")="","COMPLETE",F1603)</f>
        <v>COMPLETE</v>
      </c>
      <c r="H1603" s="9" t="str">
        <f t="array" ref="H1603">IFERROR(INDEX(dataICM!F:F,match(Caseslist!B1603,dataICM!D:D,0)), "INC")</f>
        <v>INC</v>
      </c>
      <c r="I1603" s="10" t="str">
        <f t="shared" si="2"/>
        <v>G5472901</v>
      </c>
      <c r="J1603" s="9" t="str">
        <f t="array" ref="J1603">IF(
  AND(
    IFERROR(MATCH(B1603, data!D:D, 0), 0) &gt; 0,
    IFERROR(INDEX(data!N:N, MATCH(B1603, data!D:D, 0)) = 1, FALSE)
  ),
  INDEX(data!C:C, MATCH(B1603, data!D:D, 0)),
  "INC"
)</f>
        <v>2025-09-12T15:42:00.996+08</v>
      </c>
      <c r="K1603" s="9" t="str">
        <f t="array" ref="K1603">IFERROR(INDEX(dataICM!C:C,match(Caseslist!B1603,dataICM!D:D,0)), "INC")</f>
        <v>INC</v>
      </c>
      <c r="L1603" s="10" t="str">
        <f t="array" ref="L1603">IF(AND(G1603="COMPLETE", OR(K1603="INC", ISBLANK(INDEX(data!O:O, ROW())))), J1603, K1603)</f>
        <v>2025-09-12T15:42:00.996+08</v>
      </c>
      <c r="M1603" s="2">
        <v>45912.0</v>
      </c>
      <c r="N1603" s="2">
        <f t="array" ref="N1603">IF(M1603&lt;&gt;"INC", INDEX(data!M:M, MATCH(B1603, data!D:D, 0)), "")</f>
        <v>0</v>
      </c>
      <c r="O1603" s="2">
        <f t="shared" si="3"/>
        <v>0</v>
      </c>
    </row>
    <row r="1604">
      <c r="A1604" s="2" t="str">
        <f t="shared" si="1"/>
        <v>H030640</v>
      </c>
      <c r="B1604" s="1" t="s">
        <v>5753</v>
      </c>
      <c r="C1604" s="9" t="str">
        <f t="array" ref="C1604">IF(
  AND(
    IFERROR(MATCH(Caseslist!B1604, data!D:D, 0), 0) &gt; 0,
    IFERROR(INDEX(data!N:N, MATCH(Caseslist!B1604, data!D:D, 0)) = 1, FALSE)
  ),
  "COMPLETE",
  "INC"
)</f>
        <v>COMPLETE</v>
      </c>
      <c r="D1604" s="9" t="str">
        <f t="array" ref="D1604">IFERROR(INDEX(data!$G:$G,match(Caseslist!B1604,data!$D:$D,0)), "INC")</f>
        <v>G5472901</v>
      </c>
      <c r="E1604" s="9" t="str">
        <f t="array" ref="E1604">IFERROR(INDEX(data!H:H,match(Caseslist!B1604,data!D:D,0)), "INC")</f>
        <v>Wellyn Grace Alaban Parcia</v>
      </c>
      <c r="F1604" s="10" t="str">
        <f t="array" ref="F1604">IF(
    OR(
      IFNA(INDEX(data!M:M, MATCH(Caseslist!B1604, data!D:D, 0)), "") = "",
      IFNA(INDEX(data!M:M, MATCH(Caseslist!B1604, data!D:D, 0)), 0) = 0
    ),
    "COMPLETE",
    IF(
      IFNA(INDEX(dataICM!D:D, MATCH(Caseslist!B1604, dataICM!D:D, 0)), "INC") = "INC",
      IFNA(INDEX(dataICM!D:D, MATCH(Caseslist!B1604, dataICM!D:D, 0)), "INC"),
      "COMPLETE"
    )
  )</f>
        <v>COMPLETE</v>
      </c>
      <c r="G1604" s="10" t="str">
        <f t="array" ref="G1604">IF(IFERROR(INDEX(data!L:L,match(Caseslist!B1604,data!D:D,0)),"INC")="","COMPLETE",F1604)</f>
        <v>COMPLETE</v>
      </c>
      <c r="H1604" s="9" t="str">
        <f t="array" ref="H1604">IFERROR(INDEX(dataICM!F:F,match(Caseslist!B1604,dataICM!D:D,0)), "INC")</f>
        <v>INC</v>
      </c>
      <c r="I1604" s="10" t="str">
        <f t="shared" si="2"/>
        <v>G5472901</v>
      </c>
      <c r="J1604" s="9" t="str">
        <f t="array" ref="J1604">IF(
  AND(
    IFERROR(MATCH(B1604, data!D:D, 0), 0) &gt; 0,
    IFERROR(INDEX(data!N:N, MATCH(B1604, data!D:D, 0)) = 1, FALSE)
  ),
  INDEX(data!C:C, MATCH(B1604, data!D:D, 0)),
  "INC"
)</f>
        <v>2025-09-12T11:07:24.461+08</v>
      </c>
      <c r="K1604" s="9" t="str">
        <f t="array" ref="K1604">IFERROR(INDEX(dataICM!C:C,match(Caseslist!B1604,dataICM!D:D,0)), "INC")</f>
        <v>INC</v>
      </c>
      <c r="L1604" s="10" t="str">
        <f t="array" ref="L1604">IF(AND(G1604="COMPLETE", OR(K1604="INC", ISBLANK(INDEX(data!O:O, ROW())))), J1604, K1604)</f>
        <v>2025-09-12T11:07:24.461+08</v>
      </c>
      <c r="M1604" s="2">
        <v>45912.0</v>
      </c>
      <c r="N1604" s="2">
        <f t="array" ref="N1604">IF(M1604&lt;&gt;"INC", INDEX(data!M:M, MATCH(B1604, data!D:D, 0)), "")</f>
        <v>0</v>
      </c>
      <c r="O1604" s="2">
        <f t="shared" si="3"/>
        <v>0</v>
      </c>
    </row>
    <row r="1605">
      <c r="A1605" s="2" t="str">
        <f t="shared" si="1"/>
        <v>H030640</v>
      </c>
      <c r="B1605" s="1" t="s">
        <v>5778</v>
      </c>
      <c r="C1605" s="9" t="str">
        <f t="array" ref="C1605">IF(
  AND(
    IFERROR(MATCH(Caseslist!B1605, data!D:D, 0), 0) &gt; 0,
    IFERROR(INDEX(data!N:N, MATCH(Caseslist!B1605, data!D:D, 0)) = 1, FALSE)
  ),
  "COMPLETE",
  "INC"
)</f>
        <v>COMPLETE</v>
      </c>
      <c r="D1605" s="9" t="str">
        <f t="array" ref="D1605">IFERROR(INDEX(data!$G:$G,match(Caseslist!B1605,data!$D:$D,0)), "INC")</f>
        <v>H2846135</v>
      </c>
      <c r="E1605" s="9" t="str">
        <f t="array" ref="E1605">IFERROR(INDEX(data!H:H,match(Caseslist!B1605,data!D:D,0)), "INC")</f>
        <v>Annalou Empanado Encontro</v>
      </c>
      <c r="F1605" s="10" t="str">
        <f t="array" ref="F1605">IF(
    OR(
      IFNA(INDEX(data!M:M, MATCH(Caseslist!B1605, data!D:D, 0)), "") = "",
      IFNA(INDEX(data!M:M, MATCH(Caseslist!B1605, data!D:D, 0)), 0) = 0
    ),
    "COMPLETE",
    IF(
      IFNA(INDEX(dataICM!D:D, MATCH(Caseslist!B1605, dataICM!D:D, 0)), "INC") = "INC",
      IFNA(INDEX(dataICM!D:D, MATCH(Caseslist!B1605, dataICM!D:D, 0)), "INC"),
      "COMPLETE"
    )
  )</f>
        <v>COMPLETE</v>
      </c>
      <c r="G1605" s="10" t="str">
        <f t="array" ref="G1605">IF(IFERROR(INDEX(data!L:L,match(Caseslist!B1605,data!D:D,0)),"INC")="","COMPLETE",F1605)</f>
        <v>COMPLETE</v>
      </c>
      <c r="H1605" s="9" t="str">
        <f t="array" ref="H1605">IFERROR(INDEX(dataICM!F:F,match(Caseslist!B1605,dataICM!D:D,0)), "INC")</f>
        <v>INC</v>
      </c>
      <c r="I1605" s="10" t="str">
        <f t="shared" si="2"/>
        <v>H2846135</v>
      </c>
      <c r="J1605" s="9" t="str">
        <f t="array" ref="J1605">IF(
  AND(
    IFERROR(MATCH(B1605, data!D:D, 0), 0) &gt; 0,
    IFERROR(INDEX(data!N:N, MATCH(B1605, data!D:D, 0)) = 1, FALSE)
  ),
  INDEX(data!C:C, MATCH(B1605, data!D:D, 0)),
  "INC"
)</f>
        <v>2025-09-12T10:36:22.985+08</v>
      </c>
      <c r="K1605" s="9" t="str">
        <f t="array" ref="K1605">IFERROR(INDEX(dataICM!C:C,match(Caseslist!B1605,dataICM!D:D,0)), "INC")</f>
        <v>INC</v>
      </c>
      <c r="L1605" s="10" t="str">
        <f t="array" ref="L1605">IF(AND(G1605="COMPLETE", OR(K1605="INC", ISBLANK(INDEX(data!O:O, ROW())))), J1605, K1605)</f>
        <v>2025-09-12T10:36:22.985+08</v>
      </c>
      <c r="M1605" s="2">
        <v>45912.0</v>
      </c>
      <c r="N1605" s="2">
        <f t="array" ref="N1605">IF(M1605&lt;&gt;"INC", INDEX(data!M:M, MATCH(B1605, data!D:D, 0)), "")</f>
        <v>0</v>
      </c>
      <c r="O1605" s="2">
        <f t="shared" si="3"/>
        <v>0</v>
      </c>
    </row>
    <row r="1606">
      <c r="A1606" s="2" t="str">
        <f t="shared" si="1"/>
        <v>H030640</v>
      </c>
      <c r="B1606" s="1" t="s">
        <v>6048</v>
      </c>
      <c r="C1606" s="9" t="str">
        <f t="array" ref="C1606">IF(
  AND(
    IFERROR(MATCH(Caseslist!B1606, data!D:D, 0), 0) &gt; 0,
    IFERROR(INDEX(data!N:N, MATCH(Caseslist!B1606, data!D:D, 0)) = 1, FALSE)
  ),
  "COMPLETE",
  "INC"
)</f>
        <v>COMPLETE</v>
      </c>
      <c r="D1606" s="9" t="str">
        <f t="array" ref="D1606">IFERROR(INDEX(data!$G:$G,match(Caseslist!B1606,data!$D:$D,0)), "INC")</f>
        <v>G5472901</v>
      </c>
      <c r="E1606" s="9" t="str">
        <f t="array" ref="E1606">IFERROR(INDEX(data!H:H,match(Caseslist!B1606,data!D:D,0)), "INC")</f>
        <v>Wellyn Grace Alaban Parcia</v>
      </c>
      <c r="F1606" s="10" t="str">
        <f t="array" ref="F1606">IF(
    OR(
      IFNA(INDEX(data!M:M, MATCH(Caseslist!B1606, data!D:D, 0)), "") = "",
      IFNA(INDEX(data!M:M, MATCH(Caseslist!B1606, data!D:D, 0)), 0) = 0
    ),
    "COMPLETE",
    IF(
      IFNA(INDEX(dataICM!D:D, MATCH(Caseslist!B1606, dataICM!D:D, 0)), "INC") = "INC",
      IFNA(INDEX(dataICM!D:D, MATCH(Caseslist!B1606, dataICM!D:D, 0)), "INC"),
      "COMPLETE"
    )
  )</f>
        <v>COMPLETE</v>
      </c>
      <c r="G1606" s="10" t="str">
        <f t="array" ref="G1606">IF(IFERROR(INDEX(data!L:L,match(Caseslist!B1606,data!D:D,0)),"INC")="","COMPLETE",F1606)</f>
        <v>COMPLETE</v>
      </c>
      <c r="H1606" s="9" t="str">
        <f t="array" ref="H1606">IFERROR(INDEX(dataICM!F:F,match(Caseslist!B1606,dataICM!D:D,0)), "INC")</f>
        <v>INC</v>
      </c>
      <c r="I1606" s="10" t="str">
        <f t="shared" si="2"/>
        <v>G5472901</v>
      </c>
      <c r="J1606" s="9" t="str">
        <f t="array" ref="J1606">IF(
  AND(
    IFERROR(MATCH(B1606, data!D:D, 0), 0) &gt; 0,
    IFERROR(INDEX(data!N:N, MATCH(B1606, data!D:D, 0)) = 1, FALSE)
  ),
  INDEX(data!C:C, MATCH(B1606, data!D:D, 0)),
  "INC"
)</f>
        <v>2025-10-02T10:54:24.976+08</v>
      </c>
      <c r="K1606" s="9" t="str">
        <f t="array" ref="K1606">IFERROR(INDEX(dataICM!C:C,match(Caseslist!B1606,dataICM!D:D,0)), "INC")</f>
        <v>INC</v>
      </c>
      <c r="L1606" s="10" t="str">
        <f t="array" ref="L1606">IF(AND(G1606="COMPLETE", OR(K1606="INC", ISBLANK(INDEX(data!O:O, ROW())))), J1606, K1606)</f>
        <v>2025-10-02T10:54:24.976+08</v>
      </c>
      <c r="M1606" s="2">
        <v>45932.0</v>
      </c>
      <c r="N1606" s="2">
        <f t="array" ref="N1606">IF(M1606&lt;&gt;"INC", INDEX(data!M:M, MATCH(B1606, data!D:D, 0)), "")</f>
        <v>0</v>
      </c>
      <c r="O1606" s="2">
        <f t="shared" si="3"/>
        <v>0</v>
      </c>
    </row>
    <row r="1607">
      <c r="A1607" s="2" t="str">
        <f t="shared" si="1"/>
        <v>H030647</v>
      </c>
      <c r="B1607" s="1" t="s">
        <v>2199</v>
      </c>
      <c r="C1607" s="9" t="str">
        <f t="array" ref="C1607">IF(
  AND(
    IFERROR(MATCH(Caseslist!B1607, data!D:D, 0), 0) &gt; 0,
    IFERROR(INDEX(data!N:N, MATCH(Caseslist!B1607, data!D:D, 0)) = 1, FALSE)
  ),
  "COMPLETE",
  "INC"
)</f>
        <v>COMPLETE</v>
      </c>
      <c r="D1607" s="9" t="str">
        <f t="array" ref="D1607">IFERROR(INDEX(data!$G:$G,match(Caseslist!B1607,data!$D:$D,0)), "INC")</f>
        <v>F3051749</v>
      </c>
      <c r="E1607" s="9" t="str">
        <f t="array" ref="E1607">IFERROR(INDEX(data!H:H,match(Caseslist!B1607,data!D:D,0)), "INC")</f>
        <v>Elenita Gicos De La Pe�a</v>
      </c>
      <c r="F1607" s="10" t="str">
        <f t="array" ref="F1607">IF(
    OR(
      IFNA(INDEX(data!M:M, MATCH(Caseslist!B1607, data!D:D, 0)), "") = "",
      IFNA(INDEX(data!M:M, MATCH(Caseslist!B1607, data!D:D, 0)), 0) = 0
    ),
    "COMPLETE",
    IF(
      IFNA(INDEX(dataICM!D:D, MATCH(Caseslist!B1607, dataICM!D:D, 0)), "INC") = "INC",
      IFNA(INDEX(dataICM!D:D, MATCH(Caseslist!B1607, dataICM!D:D, 0)), "INC"),
      "COMPLETE"
    )
  )</f>
        <v>COMPLETE</v>
      </c>
      <c r="G1607" s="10" t="str">
        <f t="array" ref="G1607">IF(IFERROR(INDEX(data!L:L,match(Caseslist!B1607,data!D:D,0)),"INC")="","COMPLETE",F1607)</f>
        <v>COMPLETE</v>
      </c>
      <c r="H1607" s="9" t="str">
        <f t="array" ref="H1607">IFERROR(INDEX(dataICM!F:F,match(Caseslist!B1607,dataICM!D:D,0)), "INC")</f>
        <v>Elenita Gicos De La Pe�a</v>
      </c>
      <c r="I1607" s="10" t="str">
        <f t="shared" si="2"/>
        <v>F3051749</v>
      </c>
      <c r="J1607" s="9" t="str">
        <f t="array" ref="J1607">IF(
  AND(
    IFERROR(MATCH(B1607, data!D:D, 0), 0) &gt; 0,
    IFERROR(INDEX(data!N:N, MATCH(B1607, data!D:D, 0)) = 1, FALSE)
  ),
  INDEX(data!C:C, MATCH(B1607, data!D:D, 0)),
  "INC"
)</f>
        <v>2025-09-06T18:29:12.819+08</v>
      </c>
      <c r="K1607" s="9" t="str">
        <f t="array" ref="K1607">IFERROR(INDEX(dataICM!C:C,match(Caseslist!B1607,dataICM!D:D,0)), "INC")</f>
        <v>2025-09-06T18:33:56.063+08</v>
      </c>
      <c r="L1607" s="10" t="str">
        <f t="array" ref="L1607">IF(AND(G1607="COMPLETE", OR(K1607="INC", ISBLANK(INDEX(data!O:O, ROW())))), J1607, K1607)</f>
        <v>2025-09-06T18:33:56.063+08</v>
      </c>
      <c r="M1607" s="2">
        <v>45906.0</v>
      </c>
      <c r="N1607" s="2">
        <f t="array" ref="N1607">IF(M1607&lt;&gt;"INC", INDEX(data!M:M, MATCH(B1607, data!D:D, 0)), "")</f>
        <v>3</v>
      </c>
      <c r="O1607" s="2">
        <f t="shared" si="3"/>
        <v>3</v>
      </c>
    </row>
    <row r="1608">
      <c r="A1608" s="2" t="str">
        <f t="shared" si="1"/>
        <v>H030647</v>
      </c>
      <c r="B1608" s="1" t="s">
        <v>2204</v>
      </c>
      <c r="C1608" s="9" t="str">
        <f t="array" ref="C1608">IF(
  AND(
    IFERROR(MATCH(Caseslist!B1608, data!D:D, 0), 0) &gt; 0,
    IFERROR(INDEX(data!N:N, MATCH(Caseslist!B1608, data!D:D, 0)) = 1, FALSE)
  ),
  "COMPLETE",
  "INC"
)</f>
        <v>COMPLETE</v>
      </c>
      <c r="D1608" s="9" t="str">
        <f t="array" ref="D1608">IFERROR(INDEX(data!$G:$G,match(Caseslist!B1608,data!$D:$D,0)), "INC")</f>
        <v>F3051749</v>
      </c>
      <c r="E1608" s="9" t="str">
        <f t="array" ref="E1608">IFERROR(INDEX(data!H:H,match(Caseslist!B1608,data!D:D,0)), "INC")</f>
        <v>Elenita Gicos De La Pe�a</v>
      </c>
      <c r="F1608" s="10" t="str">
        <f t="array" ref="F1608">IF(
    OR(
      IFNA(INDEX(data!M:M, MATCH(Caseslist!B1608, data!D:D, 0)), "") = "",
      IFNA(INDEX(data!M:M, MATCH(Caseslist!B1608, data!D:D, 0)), 0) = 0
    ),
    "COMPLETE",
    IF(
      IFNA(INDEX(dataICM!D:D, MATCH(Caseslist!B1608, dataICM!D:D, 0)), "INC") = "INC",
      IFNA(INDEX(dataICM!D:D, MATCH(Caseslist!B1608, dataICM!D:D, 0)), "INC"),
      "COMPLETE"
    )
  )</f>
        <v>COMPLETE</v>
      </c>
      <c r="G1608" s="10" t="str">
        <f t="array" ref="G1608">IF(IFERROR(INDEX(data!L:L,match(Caseslist!B1608,data!D:D,0)),"INC")="","COMPLETE",F1608)</f>
        <v>COMPLETE</v>
      </c>
      <c r="H1608" s="9" t="str">
        <f t="array" ref="H1608">IFERROR(INDEX(dataICM!F:F,match(Caseslist!B1608,dataICM!D:D,0)), "INC")</f>
        <v>Elenita Gicos De La Pe�a</v>
      </c>
      <c r="I1608" s="10" t="str">
        <f t="shared" si="2"/>
        <v>F3051749</v>
      </c>
      <c r="J1608" s="9" t="str">
        <f t="array" ref="J1608">IF(
  AND(
    IFERROR(MATCH(B1608, data!D:D, 0), 0) &gt; 0,
    IFERROR(INDEX(data!N:N, MATCH(B1608, data!D:D, 0)) = 1, FALSE)
  ),
  INDEX(data!C:C, MATCH(B1608, data!D:D, 0)),
  "INC"
)</f>
        <v>2025-09-01T11:54:36.868+08</v>
      </c>
      <c r="K1608" s="9" t="str">
        <f t="array" ref="K1608">IFERROR(INDEX(dataICM!C:C,match(Caseslist!B1608,dataICM!D:D,0)), "INC")</f>
        <v>2025-09-01T12:12:43.094+08</v>
      </c>
      <c r="L1608" s="10" t="str">
        <f t="array" ref="L1608">IF(AND(G1608="COMPLETE", OR(K1608="INC", ISBLANK(INDEX(data!O:O, ROW())))), J1608, K1608)</f>
        <v>2025-09-01T12:12:43.094+08</v>
      </c>
      <c r="M1608" s="2">
        <v>45901.0</v>
      </c>
      <c r="N1608" s="2">
        <f t="array" ref="N1608">IF(M1608&lt;&gt;"INC", INDEX(data!M:M, MATCH(B1608, data!D:D, 0)), "")</f>
        <v>3</v>
      </c>
      <c r="O1608" s="2">
        <f t="shared" si="3"/>
        <v>3</v>
      </c>
    </row>
    <row r="1609">
      <c r="A1609" s="2" t="str">
        <f t="shared" si="1"/>
        <v>H030647</v>
      </c>
      <c r="B1609" s="1" t="s">
        <v>2209</v>
      </c>
      <c r="C1609" s="9" t="str">
        <f t="array" ref="C1609">IF(
  AND(
    IFERROR(MATCH(Caseslist!B1609, data!D:D, 0), 0) &gt; 0,
    IFERROR(INDEX(data!N:N, MATCH(Caseslist!B1609, data!D:D, 0)) = 1, FALSE)
  ),
  "COMPLETE",
  "INC"
)</f>
        <v>COMPLETE</v>
      </c>
      <c r="D1609" s="9" t="str">
        <f t="array" ref="D1609">IFERROR(INDEX(data!$G:$G,match(Caseslist!B1609,data!$D:$D,0)), "INC")</f>
        <v>F3051749</v>
      </c>
      <c r="E1609" s="9" t="str">
        <f t="array" ref="E1609">IFERROR(INDEX(data!H:H,match(Caseslist!B1609,data!D:D,0)), "INC")</f>
        <v>Elenita Gicos De La Pe�a</v>
      </c>
      <c r="F1609" s="10" t="str">
        <f t="array" ref="F1609">IF(
    OR(
      IFNA(INDEX(data!M:M, MATCH(Caseslist!B1609, data!D:D, 0)), "") = "",
      IFNA(INDEX(data!M:M, MATCH(Caseslist!B1609, data!D:D, 0)), 0) = 0
    ),
    "COMPLETE",
    IF(
      IFNA(INDEX(dataICM!D:D, MATCH(Caseslist!B1609, dataICM!D:D, 0)), "INC") = "INC",
      IFNA(INDEX(dataICM!D:D, MATCH(Caseslist!B1609, dataICM!D:D, 0)), "INC"),
      "COMPLETE"
    )
  )</f>
        <v>COMPLETE</v>
      </c>
      <c r="G1609" s="10" t="str">
        <f t="array" ref="G1609">IF(IFERROR(INDEX(data!L:L,match(Caseslist!B1609,data!D:D,0)),"INC")="","COMPLETE",F1609)</f>
        <v>COMPLETE</v>
      </c>
      <c r="H1609" s="9" t="str">
        <f t="array" ref="H1609">IFERROR(INDEX(dataICM!F:F,match(Caseslist!B1609,dataICM!D:D,0)), "INC")</f>
        <v>Elenita Gicos De La Pe�a</v>
      </c>
      <c r="I1609" s="10" t="str">
        <f t="shared" si="2"/>
        <v>F3051749</v>
      </c>
      <c r="J1609" s="9" t="str">
        <f t="array" ref="J1609">IF(
  AND(
    IFERROR(MATCH(B1609, data!D:D, 0), 0) &gt; 0,
    IFERROR(INDEX(data!N:N, MATCH(B1609, data!D:D, 0)) = 1, FALSE)
  ),
  INDEX(data!C:C, MATCH(B1609, data!D:D, 0)),
  "INC"
)</f>
        <v>2025-09-01T14:04:06.386+08</v>
      </c>
      <c r="K1609" s="9" t="str">
        <f t="array" ref="K1609">IFERROR(INDEX(dataICM!C:C,match(Caseslist!B1609,dataICM!D:D,0)), "INC")</f>
        <v>2025-09-01T14:13:44.166+08</v>
      </c>
      <c r="L1609" s="10" t="str">
        <f t="array" ref="L1609">IF(AND(G1609="COMPLETE", OR(K1609="INC", ISBLANK(INDEX(data!O:O, ROW())))), J1609, K1609)</f>
        <v>2025-09-01T14:13:44.166+08</v>
      </c>
      <c r="M1609" s="2">
        <v>45901.0</v>
      </c>
      <c r="N1609" s="2">
        <f t="array" ref="N1609">IF(M1609&lt;&gt;"INC", INDEX(data!M:M, MATCH(B1609, data!D:D, 0)), "")</f>
        <v>3</v>
      </c>
      <c r="O1609" s="2">
        <f t="shared" si="3"/>
        <v>3</v>
      </c>
    </row>
    <row r="1610">
      <c r="A1610" s="2" t="str">
        <f t="shared" si="1"/>
        <v>H030647</v>
      </c>
      <c r="B1610" s="1" t="s">
        <v>2700</v>
      </c>
      <c r="C1610" s="9" t="str">
        <f t="array" ref="C1610">IF(
  AND(
    IFERROR(MATCH(Caseslist!B1610, data!D:D, 0), 0) &gt; 0,
    IFERROR(INDEX(data!N:N, MATCH(Caseslist!B1610, data!D:D, 0)) = 1, FALSE)
  ),
  "COMPLETE",
  "INC"
)</f>
        <v>COMPLETE</v>
      </c>
      <c r="D1610" s="9" t="str">
        <f t="array" ref="D1610">IFERROR(INDEX(data!$G:$G,match(Caseslist!B1610,data!$D:$D,0)), "INC")</f>
        <v>G5472901</v>
      </c>
      <c r="E1610" s="9" t="str">
        <f t="array" ref="E1610">IFERROR(INDEX(data!H:H,match(Caseslist!B1610,data!D:D,0)), "INC")</f>
        <v>Wellyn Grace Alaban Parcia</v>
      </c>
      <c r="F1610" s="10" t="str">
        <f t="array" ref="F1610">IF(
    OR(
      IFNA(INDEX(data!M:M, MATCH(Caseslist!B1610, data!D:D, 0)), "") = "",
      IFNA(INDEX(data!M:M, MATCH(Caseslist!B1610, data!D:D, 0)), 0) = 0
    ),
    "COMPLETE",
    IF(
      IFNA(INDEX(dataICM!D:D, MATCH(Caseslist!B1610, dataICM!D:D, 0)), "INC") = "INC",
      IFNA(INDEX(dataICM!D:D, MATCH(Caseslist!B1610, dataICM!D:D, 0)), "INC"),
      "COMPLETE"
    )
  )</f>
        <v>COMPLETE</v>
      </c>
      <c r="G1610" s="10" t="str">
        <f t="array" ref="G1610">IF(IFERROR(INDEX(data!L:L,match(Caseslist!B1610,data!D:D,0)),"INC")="","COMPLETE",F1610)</f>
        <v>COMPLETE</v>
      </c>
      <c r="H1610" s="9" t="str">
        <f t="array" ref="H1610">IFERROR(INDEX(dataICM!F:F,match(Caseslist!B1610,dataICM!D:D,0)), "INC")</f>
        <v>Wellyn Grace Alaban Parcia</v>
      </c>
      <c r="I1610" s="10" t="str">
        <f t="shared" si="2"/>
        <v>G5472901</v>
      </c>
      <c r="J1610" s="9" t="str">
        <f t="array" ref="J1610">IF(
  AND(
    IFERROR(MATCH(B1610, data!D:D, 0), 0) &gt; 0,
    IFERROR(INDEX(data!N:N, MATCH(B1610, data!D:D, 0)) = 1, FALSE)
  ),
  INDEX(data!C:C, MATCH(B1610, data!D:D, 0)),
  "INC"
)</f>
        <v>2025-09-02T17:40:08.512+08</v>
      </c>
      <c r="K1610" s="9" t="str">
        <f t="array" ref="K1610">IFERROR(INDEX(dataICM!C:C,match(Caseslist!B1610,dataICM!D:D,0)), "INC")</f>
        <v>2025-09-02T17:48:29.464+08</v>
      </c>
      <c r="L1610" s="10" t="str">
        <f t="array" ref="L1610">IF(AND(G1610="COMPLETE", OR(K1610="INC", ISBLANK(INDEX(data!O:O, ROW())))), J1610, K1610)</f>
        <v>2025-09-02T17:48:29.464+08</v>
      </c>
      <c r="M1610" s="2">
        <v>45902.0</v>
      </c>
      <c r="N1610" s="2">
        <f t="array" ref="N1610">IF(M1610&lt;&gt;"INC", INDEX(data!M:M, MATCH(B1610, data!D:D, 0)), "")</f>
        <v>3</v>
      </c>
      <c r="O1610" s="2">
        <f t="shared" si="3"/>
        <v>3</v>
      </c>
    </row>
    <row r="1611">
      <c r="A1611" s="2" t="str">
        <f t="shared" si="1"/>
        <v>H030647</v>
      </c>
      <c r="B1611" s="1" t="s">
        <v>2219</v>
      </c>
      <c r="C1611" s="9" t="str">
        <f t="array" ref="C1611">IF(
  AND(
    IFERROR(MATCH(Caseslist!B1611, data!D:D, 0), 0) &gt; 0,
    IFERROR(INDEX(data!N:N, MATCH(Caseslist!B1611, data!D:D, 0)) = 1, FALSE)
  ),
  "COMPLETE",
  "INC"
)</f>
        <v>COMPLETE</v>
      </c>
      <c r="D1611" s="9" t="str">
        <f t="array" ref="D1611">IFERROR(INDEX(data!$G:$G,match(Caseslist!B1611,data!$D:$D,0)), "INC")</f>
        <v>F3051749</v>
      </c>
      <c r="E1611" s="9" t="str">
        <f t="array" ref="E1611">IFERROR(INDEX(data!H:H,match(Caseslist!B1611,data!D:D,0)), "INC")</f>
        <v>Elenita Gicos De La Pe�a</v>
      </c>
      <c r="F1611" s="10" t="str">
        <f t="array" ref="F1611">IF(
    OR(
      IFNA(INDEX(data!M:M, MATCH(Caseslist!B1611, data!D:D, 0)), "") = "",
      IFNA(INDEX(data!M:M, MATCH(Caseslist!B1611, data!D:D, 0)), 0) = 0
    ),
    "COMPLETE",
    IF(
      IFNA(INDEX(dataICM!D:D, MATCH(Caseslist!B1611, dataICM!D:D, 0)), "INC") = "INC",
      IFNA(INDEX(dataICM!D:D, MATCH(Caseslist!B1611, dataICM!D:D, 0)), "INC"),
      "COMPLETE"
    )
  )</f>
        <v>COMPLETE</v>
      </c>
      <c r="G1611" s="10" t="str">
        <f t="array" ref="G1611">IF(IFERROR(INDEX(data!L:L,match(Caseslist!B1611,data!D:D,0)),"INC")="","COMPLETE",F1611)</f>
        <v>COMPLETE</v>
      </c>
      <c r="H1611" s="9" t="str">
        <f t="array" ref="H1611">IFERROR(INDEX(dataICM!F:F,match(Caseslist!B1611,dataICM!D:D,0)), "INC")</f>
        <v>Elenita Gicos De La Pe�a</v>
      </c>
      <c r="I1611" s="10" t="str">
        <f t="shared" si="2"/>
        <v>F3051749</v>
      </c>
      <c r="J1611" s="9" t="str">
        <f t="array" ref="J1611">IF(
  AND(
    IFERROR(MATCH(B1611, data!D:D, 0), 0) &gt; 0,
    IFERROR(INDEX(data!N:N, MATCH(B1611, data!D:D, 0)) = 1, FALSE)
  ),
  INDEX(data!C:C, MATCH(B1611, data!D:D, 0)),
  "INC"
)</f>
        <v>2025-09-01T15:37:19.672+08</v>
      </c>
      <c r="K1611" s="9" t="str">
        <f t="array" ref="K1611">IFERROR(INDEX(dataICM!C:C,match(Caseslist!B1611,dataICM!D:D,0)), "INC")</f>
        <v>2025-09-01T15:48:23.856+08</v>
      </c>
      <c r="L1611" s="10" t="str">
        <f t="array" ref="L1611">IF(AND(G1611="COMPLETE", OR(K1611="INC", ISBLANK(INDEX(data!O:O, ROW())))), J1611, K1611)</f>
        <v>2025-09-01T15:48:23.856+08</v>
      </c>
      <c r="M1611" s="2">
        <v>45901.0</v>
      </c>
      <c r="N1611" s="2">
        <f t="array" ref="N1611">IF(M1611&lt;&gt;"INC", INDEX(data!M:M, MATCH(B1611, data!D:D, 0)), "")</f>
        <v>3</v>
      </c>
      <c r="O1611" s="2">
        <f t="shared" si="3"/>
        <v>3</v>
      </c>
    </row>
    <row r="1612">
      <c r="A1612" s="2" t="str">
        <f t="shared" si="1"/>
        <v>H030647</v>
      </c>
      <c r="B1612" s="1" t="s">
        <v>2705</v>
      </c>
      <c r="C1612" s="9" t="str">
        <f t="array" ref="C1612">IF(
  AND(
    IFERROR(MATCH(Caseslist!B1612, data!D:D, 0), 0) &gt; 0,
    IFERROR(INDEX(data!N:N, MATCH(Caseslist!B1612, data!D:D, 0)) = 1, FALSE)
  ),
  "COMPLETE",
  "INC"
)</f>
        <v>COMPLETE</v>
      </c>
      <c r="D1612" s="9" t="str">
        <f t="array" ref="D1612">IFERROR(INDEX(data!$G:$G,match(Caseslist!B1612,data!$D:$D,0)), "INC")</f>
        <v>G5472901</v>
      </c>
      <c r="E1612" s="9" t="str">
        <f t="array" ref="E1612">IFERROR(INDEX(data!H:H,match(Caseslist!B1612,data!D:D,0)), "INC")</f>
        <v>Wellyn Grace Alaban Parcia</v>
      </c>
      <c r="F1612" s="10" t="str">
        <f t="array" ref="F1612">IF(
    OR(
      IFNA(INDEX(data!M:M, MATCH(Caseslist!B1612, data!D:D, 0)), "") = "",
      IFNA(INDEX(data!M:M, MATCH(Caseslist!B1612, data!D:D, 0)), 0) = 0
    ),
    "COMPLETE",
    IF(
      IFNA(INDEX(dataICM!D:D, MATCH(Caseslist!B1612, dataICM!D:D, 0)), "INC") = "INC",
      IFNA(INDEX(dataICM!D:D, MATCH(Caseslist!B1612, dataICM!D:D, 0)), "INC"),
      "COMPLETE"
    )
  )</f>
        <v>COMPLETE</v>
      </c>
      <c r="G1612" s="10" t="str">
        <f t="array" ref="G1612">IF(IFERROR(INDEX(data!L:L,match(Caseslist!B1612,data!D:D,0)),"INC")="","COMPLETE",F1612)</f>
        <v>COMPLETE</v>
      </c>
      <c r="H1612" s="9" t="str">
        <f t="array" ref="H1612">IFERROR(INDEX(dataICM!F:F,match(Caseslist!B1612,dataICM!D:D,0)), "INC")</f>
        <v>Wellyn Grace Alaban Parcia</v>
      </c>
      <c r="I1612" s="10" t="str">
        <f t="shared" si="2"/>
        <v>G5472901</v>
      </c>
      <c r="J1612" s="9" t="str">
        <f t="array" ref="J1612">IF(
  AND(
    IFERROR(MATCH(B1612, data!D:D, 0), 0) &gt; 0,
    IFERROR(INDEX(data!N:N, MATCH(B1612, data!D:D, 0)) = 1, FALSE)
  ),
  INDEX(data!C:C, MATCH(B1612, data!D:D, 0)),
  "INC"
)</f>
        <v>2025-09-02T15:01:49.299+08</v>
      </c>
      <c r="K1612" s="9" t="str">
        <f t="array" ref="K1612">IFERROR(INDEX(dataICM!C:C,match(Caseslist!B1612,dataICM!D:D,0)), "INC")</f>
        <v>2025-09-02T15:07:56.614+08</v>
      </c>
      <c r="L1612" s="10" t="str">
        <f t="array" ref="L1612">IF(AND(G1612="COMPLETE", OR(K1612="INC", ISBLANK(INDEX(data!O:O, ROW())))), J1612, K1612)</f>
        <v>2025-09-02T15:07:56.614+08</v>
      </c>
      <c r="M1612" s="2">
        <v>45902.0</v>
      </c>
      <c r="N1612" s="2">
        <f t="array" ref="N1612">IF(M1612&lt;&gt;"INC", INDEX(data!M:M, MATCH(B1612, data!D:D, 0)), "")</f>
        <v>3</v>
      </c>
      <c r="O1612" s="2">
        <f t="shared" si="3"/>
        <v>3</v>
      </c>
    </row>
    <row r="1613">
      <c r="A1613" s="2" t="str">
        <f t="shared" si="1"/>
        <v>H030647</v>
      </c>
      <c r="B1613" s="1" t="s">
        <v>2214</v>
      </c>
      <c r="C1613" s="9" t="str">
        <f t="array" ref="C1613">IF(
  AND(
    IFERROR(MATCH(Caseslist!B1613, data!D:D, 0), 0) &gt; 0,
    IFERROR(INDEX(data!N:N, MATCH(Caseslist!B1613, data!D:D, 0)) = 1, FALSE)
  ),
  "COMPLETE",
  "INC"
)</f>
        <v>COMPLETE</v>
      </c>
      <c r="D1613" s="9" t="str">
        <f t="array" ref="D1613">IFERROR(INDEX(data!$G:$G,match(Caseslist!B1613,data!$D:$D,0)), "INC")</f>
        <v>F3051749</v>
      </c>
      <c r="E1613" s="9" t="str">
        <f t="array" ref="E1613">IFERROR(INDEX(data!H:H,match(Caseslist!B1613,data!D:D,0)), "INC")</f>
        <v>Elenita Gicos De La Pe�a</v>
      </c>
      <c r="F1613" s="10" t="str">
        <f t="array" ref="F1613">IF(
    OR(
      IFNA(INDEX(data!M:M, MATCH(Caseslist!B1613, data!D:D, 0)), "") = "",
      IFNA(INDEX(data!M:M, MATCH(Caseslist!B1613, data!D:D, 0)), 0) = 0
    ),
    "COMPLETE",
    IF(
      IFNA(INDEX(dataICM!D:D, MATCH(Caseslist!B1613, dataICM!D:D, 0)), "INC") = "INC",
      IFNA(INDEX(dataICM!D:D, MATCH(Caseslist!B1613, dataICM!D:D, 0)), "INC"),
      "COMPLETE"
    )
  )</f>
        <v>COMPLETE</v>
      </c>
      <c r="G1613" s="10" t="str">
        <f t="array" ref="G1613">IF(IFERROR(INDEX(data!L:L,match(Caseslist!B1613,data!D:D,0)),"INC")="","COMPLETE",F1613)</f>
        <v>COMPLETE</v>
      </c>
      <c r="H1613" s="9" t="str">
        <f t="array" ref="H1613">IFERROR(INDEX(dataICM!F:F,match(Caseslist!B1613,dataICM!D:D,0)), "INC")</f>
        <v>Elenita Gicos De La Pe�a</v>
      </c>
      <c r="I1613" s="10" t="str">
        <f t="shared" si="2"/>
        <v>F3051749</v>
      </c>
      <c r="J1613" s="9" t="str">
        <f t="array" ref="J1613">IF(
  AND(
    IFERROR(MATCH(B1613, data!D:D, 0), 0) &gt; 0,
    IFERROR(INDEX(data!N:N, MATCH(B1613, data!D:D, 0)) = 1, FALSE)
  ),
  INDEX(data!C:C, MATCH(B1613, data!D:D, 0)),
  "INC"
)</f>
        <v>2025-09-01T16:31:38.733+08</v>
      </c>
      <c r="K1613" s="9" t="str">
        <f t="array" ref="K1613">IFERROR(INDEX(dataICM!C:C,match(Caseslist!B1613,dataICM!D:D,0)), "INC")</f>
        <v>2025-09-01T17:58:19.913+08</v>
      </c>
      <c r="L1613" s="10" t="str">
        <f t="array" ref="L1613">IF(AND(G1613="COMPLETE", OR(K1613="INC", ISBLANK(INDEX(data!O:O, ROW())))), J1613, K1613)</f>
        <v>2025-09-01T17:58:19.913+08</v>
      </c>
      <c r="M1613" s="2">
        <v>45901.0</v>
      </c>
      <c r="N1613" s="2">
        <f t="array" ref="N1613">IF(M1613&lt;&gt;"INC", INDEX(data!M:M, MATCH(B1613, data!D:D, 0)), "")</f>
        <v>3</v>
      </c>
      <c r="O1613" s="2">
        <f t="shared" si="3"/>
        <v>3</v>
      </c>
    </row>
    <row r="1614">
      <c r="A1614" s="2" t="str">
        <f t="shared" si="1"/>
        <v>H030647</v>
      </c>
      <c r="B1614" s="1" t="s">
        <v>2680</v>
      </c>
      <c r="C1614" s="9" t="str">
        <f t="array" ref="C1614">IF(
  AND(
    IFERROR(MATCH(Caseslist!B1614, data!D:D, 0), 0) &gt; 0,
    IFERROR(INDEX(data!N:N, MATCH(Caseslist!B1614, data!D:D, 0)) = 1, FALSE)
  ),
  "COMPLETE",
  "INC"
)</f>
        <v>COMPLETE</v>
      </c>
      <c r="D1614" s="9" t="str">
        <f t="array" ref="D1614">IFERROR(INDEX(data!$G:$G,match(Caseslist!B1614,data!$D:$D,0)), "INC")</f>
        <v>F3051749</v>
      </c>
      <c r="E1614" s="9" t="str">
        <f t="array" ref="E1614">IFERROR(INDEX(data!H:H,match(Caseslist!B1614,data!D:D,0)), "INC")</f>
        <v>Elenita Gicos De La Pe�a</v>
      </c>
      <c r="F1614" s="10" t="str">
        <f t="array" ref="F1614">IF(
    OR(
      IFNA(INDEX(data!M:M, MATCH(Caseslist!B1614, data!D:D, 0)), "") = "",
      IFNA(INDEX(data!M:M, MATCH(Caseslist!B1614, data!D:D, 0)), 0) = 0
    ),
    "COMPLETE",
    IF(
      IFNA(INDEX(dataICM!D:D, MATCH(Caseslist!B1614, dataICM!D:D, 0)), "INC") = "INC",
      IFNA(INDEX(dataICM!D:D, MATCH(Caseslist!B1614, dataICM!D:D, 0)), "INC"),
      "COMPLETE"
    )
  )</f>
        <v>COMPLETE</v>
      </c>
      <c r="G1614" s="10" t="str">
        <f t="array" ref="G1614">IF(IFERROR(INDEX(data!L:L,match(Caseslist!B1614,data!D:D,0)),"INC")="","COMPLETE",F1614)</f>
        <v>COMPLETE</v>
      </c>
      <c r="H1614" s="9" t="str">
        <f t="array" ref="H1614">IFERROR(INDEX(dataICM!F:F,match(Caseslist!B1614,dataICM!D:D,0)), "INC")</f>
        <v>Elenita Gicos De La Pe�a</v>
      </c>
      <c r="I1614" s="10" t="str">
        <f t="shared" si="2"/>
        <v>F3051749</v>
      </c>
      <c r="J1614" s="9" t="str">
        <f t="array" ref="J1614">IF(
  AND(
    IFERROR(MATCH(B1614, data!D:D, 0), 0) &gt; 0,
    IFERROR(INDEX(data!N:N, MATCH(B1614, data!D:D, 0)) = 1, FALSE)
  ),
  INDEX(data!C:C, MATCH(B1614, data!D:D, 0)),
  "INC"
)</f>
        <v>2025-09-02T12:58:31.018+08</v>
      </c>
      <c r="K1614" s="9" t="str">
        <f t="array" ref="K1614">IFERROR(INDEX(dataICM!C:C,match(Caseslist!B1614,dataICM!D:D,0)), "INC")</f>
        <v>2025-09-02T13:33:28.420+08</v>
      </c>
      <c r="L1614" s="10" t="str">
        <f t="array" ref="L1614">IF(AND(G1614="COMPLETE", OR(K1614="INC", ISBLANK(INDEX(data!O:O, ROW())))), J1614, K1614)</f>
        <v>2025-09-02T13:33:28.420+08</v>
      </c>
      <c r="M1614" s="2">
        <v>45902.0</v>
      </c>
      <c r="N1614" s="2">
        <f t="array" ref="N1614">IF(M1614&lt;&gt;"INC", INDEX(data!M:M, MATCH(B1614, data!D:D, 0)), "")</f>
        <v>3</v>
      </c>
      <c r="O1614" s="2">
        <f t="shared" si="3"/>
        <v>3</v>
      </c>
    </row>
    <row r="1615">
      <c r="A1615" s="2" t="str">
        <f t="shared" si="1"/>
        <v>H030647</v>
      </c>
      <c r="B1615" s="1" t="s">
        <v>2710</v>
      </c>
      <c r="C1615" s="9" t="str">
        <f t="array" ref="C1615">IF(
  AND(
    IFERROR(MATCH(Caseslist!B1615, data!D:D, 0), 0) &gt; 0,
    IFERROR(INDEX(data!N:N, MATCH(Caseslist!B1615, data!D:D, 0)) = 1, FALSE)
  ),
  "COMPLETE",
  "INC"
)</f>
        <v>COMPLETE</v>
      </c>
      <c r="D1615" s="9" t="str">
        <f t="array" ref="D1615">IFERROR(INDEX(data!$G:$G,match(Caseslist!B1615,data!$D:$D,0)), "INC")</f>
        <v>G5472901</v>
      </c>
      <c r="E1615" s="9" t="str">
        <f t="array" ref="E1615">IFERROR(INDEX(data!H:H,match(Caseslist!B1615,data!D:D,0)), "INC")</f>
        <v>Wellyn Grace Alaban Parcia</v>
      </c>
      <c r="F1615" s="10" t="str">
        <f t="array" ref="F1615">IF(
    OR(
      IFNA(INDEX(data!M:M, MATCH(Caseslist!B1615, data!D:D, 0)), "") = "",
      IFNA(INDEX(data!M:M, MATCH(Caseslist!B1615, data!D:D, 0)), 0) = 0
    ),
    "COMPLETE",
    IF(
      IFNA(INDEX(dataICM!D:D, MATCH(Caseslist!B1615, dataICM!D:D, 0)), "INC") = "INC",
      IFNA(INDEX(dataICM!D:D, MATCH(Caseslist!B1615, dataICM!D:D, 0)), "INC"),
      "COMPLETE"
    )
  )</f>
        <v>COMPLETE</v>
      </c>
      <c r="G1615" s="10" t="str">
        <f t="array" ref="G1615">IF(IFERROR(INDEX(data!L:L,match(Caseslist!B1615,data!D:D,0)),"INC")="","COMPLETE",F1615)</f>
        <v>COMPLETE</v>
      </c>
      <c r="H1615" s="9" t="str">
        <f t="array" ref="H1615">IFERROR(INDEX(dataICM!F:F,match(Caseslist!B1615,dataICM!D:D,0)), "INC")</f>
        <v>Wellyn Grace Alaban Parcia</v>
      </c>
      <c r="I1615" s="10" t="str">
        <f t="shared" si="2"/>
        <v>G5472901</v>
      </c>
      <c r="J1615" s="9" t="str">
        <f t="array" ref="J1615">IF(
  AND(
    IFERROR(MATCH(B1615, data!D:D, 0), 0) &gt; 0,
    IFERROR(INDEX(data!N:N, MATCH(B1615, data!D:D, 0)) = 1, FALSE)
  ),
  INDEX(data!C:C, MATCH(B1615, data!D:D, 0)),
  "INC"
)</f>
        <v>2025-09-02T10:06:25.994+08</v>
      </c>
      <c r="K1615" s="9" t="str">
        <f t="array" ref="K1615">IFERROR(INDEX(dataICM!C:C,match(Caseslist!B1615,dataICM!D:D,0)), "INC")</f>
        <v>2025-09-02T10:18:12.003+08</v>
      </c>
      <c r="L1615" s="10" t="str">
        <f t="array" ref="L1615">IF(AND(G1615="COMPLETE", OR(K1615="INC", ISBLANK(INDEX(data!O:O, ROW())))), J1615, K1615)</f>
        <v>2025-09-02T10:18:12.003+08</v>
      </c>
      <c r="M1615" s="2">
        <v>45902.0</v>
      </c>
      <c r="N1615" s="2">
        <f t="array" ref="N1615">IF(M1615&lt;&gt;"INC", INDEX(data!M:M, MATCH(B1615, data!D:D, 0)), "")</f>
        <v>3</v>
      </c>
      <c r="O1615" s="2">
        <f t="shared" si="3"/>
        <v>3</v>
      </c>
    </row>
    <row r="1616">
      <c r="A1616" s="2" t="str">
        <f t="shared" si="1"/>
        <v>H030647</v>
      </c>
      <c r="B1616" s="1" t="s">
        <v>2695</v>
      </c>
      <c r="C1616" s="9" t="str">
        <f t="array" ref="C1616">IF(
  AND(
    IFERROR(MATCH(Caseslist!B1616, data!D:D, 0), 0) &gt; 0,
    IFERROR(INDEX(data!N:N, MATCH(Caseslist!B1616, data!D:D, 0)) = 1, FALSE)
  ),
  "COMPLETE",
  "INC"
)</f>
        <v>COMPLETE</v>
      </c>
      <c r="D1616" s="9" t="str">
        <f t="array" ref="D1616">IFERROR(INDEX(data!$G:$G,match(Caseslist!B1616,data!$D:$D,0)), "INC")</f>
        <v>G5472901</v>
      </c>
      <c r="E1616" s="9" t="str">
        <f t="array" ref="E1616">IFERROR(INDEX(data!H:H,match(Caseslist!B1616,data!D:D,0)), "INC")</f>
        <v>Wellyn Grace Alaban Parcia</v>
      </c>
      <c r="F1616" s="10" t="str">
        <f t="array" ref="F1616">IF(
    OR(
      IFNA(INDEX(data!M:M, MATCH(Caseslist!B1616, data!D:D, 0)), "") = "",
      IFNA(INDEX(data!M:M, MATCH(Caseslist!B1616, data!D:D, 0)), 0) = 0
    ),
    "COMPLETE",
    IF(
      IFNA(INDEX(dataICM!D:D, MATCH(Caseslist!B1616, dataICM!D:D, 0)), "INC") = "INC",
      IFNA(INDEX(dataICM!D:D, MATCH(Caseslist!B1616, dataICM!D:D, 0)), "INC"),
      "COMPLETE"
    )
  )</f>
        <v>COMPLETE</v>
      </c>
      <c r="G1616" s="10" t="str">
        <f t="array" ref="G1616">IF(IFERROR(INDEX(data!L:L,match(Caseslist!B1616,data!D:D,0)),"INC")="","COMPLETE",F1616)</f>
        <v>COMPLETE</v>
      </c>
      <c r="H1616" s="9" t="str">
        <f t="array" ref="H1616">IFERROR(INDEX(dataICM!F:F,match(Caseslist!B1616,dataICM!D:D,0)), "INC")</f>
        <v>Wellyn Grace Alaban Parcia</v>
      </c>
      <c r="I1616" s="10" t="str">
        <f t="shared" si="2"/>
        <v>G5472901</v>
      </c>
      <c r="J1616" s="9" t="str">
        <f t="array" ref="J1616">IF(
  AND(
    IFERROR(MATCH(B1616, data!D:D, 0), 0) &gt; 0,
    IFERROR(INDEX(data!N:N, MATCH(B1616, data!D:D, 0)) = 1, FALSE)
  ),
  INDEX(data!C:C, MATCH(B1616, data!D:D, 0)),
  "INC"
)</f>
        <v>2025-09-02T11:55:01.280+08</v>
      </c>
      <c r="K1616" s="9" t="str">
        <f t="array" ref="K1616">IFERROR(INDEX(dataICM!C:C,match(Caseslist!B1616,dataICM!D:D,0)), "INC")</f>
        <v>2025-09-02T12:47:36.293+08</v>
      </c>
      <c r="L1616" s="10" t="str">
        <f t="array" ref="L1616">IF(AND(G1616="COMPLETE", OR(K1616="INC", ISBLANK(INDEX(data!O:O, ROW())))), J1616, K1616)</f>
        <v>2025-09-02T12:47:36.293+08</v>
      </c>
      <c r="M1616" s="2">
        <v>45902.0</v>
      </c>
      <c r="N1616" s="2">
        <f t="array" ref="N1616">IF(M1616&lt;&gt;"INC", INDEX(data!M:M, MATCH(B1616, data!D:D, 0)), "")</f>
        <v>3</v>
      </c>
      <c r="O1616" s="2">
        <f t="shared" si="3"/>
        <v>3</v>
      </c>
    </row>
    <row r="1617">
      <c r="A1617" s="2" t="str">
        <f t="shared" si="1"/>
        <v>H030647</v>
      </c>
      <c r="B1617" s="1" t="s">
        <v>2675</v>
      </c>
      <c r="C1617" s="9" t="str">
        <f t="array" ref="C1617">IF(
  AND(
    IFERROR(MATCH(Caseslist!B1617, data!D:D, 0), 0) &gt; 0,
    IFERROR(INDEX(data!N:N, MATCH(Caseslist!B1617, data!D:D, 0)) = 1, FALSE)
  ),
  "COMPLETE",
  "INC"
)</f>
        <v>COMPLETE</v>
      </c>
      <c r="D1617" s="9" t="str">
        <f t="array" ref="D1617">IFERROR(INDEX(data!$G:$G,match(Caseslist!B1617,data!$D:$D,0)), "INC")</f>
        <v>F3051749</v>
      </c>
      <c r="E1617" s="9" t="str">
        <f t="array" ref="E1617">IFERROR(INDEX(data!H:H,match(Caseslist!B1617,data!D:D,0)), "INC")</f>
        <v>Elenita Gicos De La Pe�a</v>
      </c>
      <c r="F1617" s="10" t="str">
        <f t="array" ref="F1617">IF(
    OR(
      IFNA(INDEX(data!M:M, MATCH(Caseslist!B1617, data!D:D, 0)), "") = "",
      IFNA(INDEX(data!M:M, MATCH(Caseslist!B1617, data!D:D, 0)), 0) = 0
    ),
    "COMPLETE",
    IF(
      IFNA(INDEX(dataICM!D:D, MATCH(Caseslist!B1617, dataICM!D:D, 0)), "INC") = "INC",
      IFNA(INDEX(dataICM!D:D, MATCH(Caseslist!B1617, dataICM!D:D, 0)), "INC"),
      "COMPLETE"
    )
  )</f>
        <v>COMPLETE</v>
      </c>
      <c r="G1617" s="10" t="str">
        <f t="array" ref="G1617">IF(IFERROR(INDEX(data!L:L,match(Caseslist!B1617,data!D:D,0)),"INC")="","COMPLETE",F1617)</f>
        <v>COMPLETE</v>
      </c>
      <c r="H1617" s="9" t="str">
        <f t="array" ref="H1617">IFERROR(INDEX(dataICM!F:F,match(Caseslist!B1617,dataICM!D:D,0)), "INC")</f>
        <v>Elenita Gicos De La Pe�a</v>
      </c>
      <c r="I1617" s="10" t="str">
        <f t="shared" si="2"/>
        <v>F3051749</v>
      </c>
      <c r="J1617" s="9" t="str">
        <f t="array" ref="J1617">IF(
  AND(
    IFERROR(MATCH(B1617, data!D:D, 0), 0) &gt; 0,
    IFERROR(INDEX(data!N:N, MATCH(B1617, data!D:D, 0)) = 1, FALSE)
  ),
  INDEX(data!C:C, MATCH(B1617, data!D:D, 0)),
  "INC"
)</f>
        <v>2025-09-02T10:21:59.228+08</v>
      </c>
      <c r="K1617" s="9" t="str">
        <f t="array" ref="K1617">IFERROR(INDEX(dataICM!C:C,match(Caseslist!B1617,dataICM!D:D,0)), "INC")</f>
        <v>2025-09-02T11:23:01.537+08</v>
      </c>
      <c r="L1617" s="10" t="str">
        <f t="array" ref="L1617">IF(AND(G1617="COMPLETE", OR(K1617="INC", ISBLANK(INDEX(data!O:O, ROW())))), J1617, K1617)</f>
        <v>2025-09-02T11:23:01.537+08</v>
      </c>
      <c r="M1617" s="2">
        <v>45902.0</v>
      </c>
      <c r="N1617" s="2">
        <f t="array" ref="N1617">IF(M1617&lt;&gt;"INC", INDEX(data!M:M, MATCH(B1617, data!D:D, 0)), "")</f>
        <v>3</v>
      </c>
      <c r="O1617" s="2">
        <f t="shared" si="3"/>
        <v>3</v>
      </c>
    </row>
    <row r="1618">
      <c r="A1618" s="2" t="str">
        <f t="shared" si="1"/>
        <v>H030647</v>
      </c>
      <c r="B1618" s="1" t="s">
        <v>8939</v>
      </c>
      <c r="C1618" s="9" t="str">
        <f t="array" ref="C1618">IF(
  AND(
    IFERROR(MATCH(Caseslist!B1618, data!D:D, 0), 0) &gt; 0,
    IFERROR(INDEX(data!N:N, MATCH(Caseslist!B1618, data!D:D, 0)) = 1, FALSE)
  ),
  "COMPLETE",
  "INC"
)</f>
        <v>INC</v>
      </c>
      <c r="D1618" s="9" t="str">
        <f t="array" ref="D1618">IFERROR(INDEX(data!$G:$G,match(Caseslist!B1618,data!$D:$D,0)), "INC")</f>
        <v>INC</v>
      </c>
      <c r="E1618" s="9" t="str">
        <f t="array" ref="E1618">IFERROR(INDEX(data!H:H,match(Caseslist!B1618,data!D:D,0)), "INC")</f>
        <v>INC</v>
      </c>
      <c r="F1618" s="10" t="str">
        <f t="array" ref="F1618">IF(
    OR(
      IFNA(INDEX(data!M:M, MATCH(Caseslist!B1618, data!D:D, 0)), "") = "",
      IFNA(INDEX(data!M:M, MATCH(Caseslist!B1618, data!D:D, 0)), 0) = 0
    ),
    "COMPLETE",
    IF(
      IFNA(INDEX(dataICM!D:D, MATCH(Caseslist!B1618, dataICM!D:D, 0)), "INC") = "INC",
      IFNA(INDEX(dataICM!D:D, MATCH(Caseslist!B1618, dataICM!D:D, 0)), "INC"),
      "COMPLETE"
    )
  )</f>
        <v>COMPLETE</v>
      </c>
      <c r="G1618" s="10" t="str">
        <f t="array" ref="G1618">IF(IFERROR(INDEX(data!L:L,match(Caseslist!B1618,data!D:D,0)),"INC")="","COMPLETE",F1618)</f>
        <v>COMPLETE</v>
      </c>
      <c r="H1618" s="9" t="str">
        <f t="array" ref="H1618">IFERROR(INDEX(dataICM!F:F,match(Caseslist!B1618,dataICM!D:D,0)), "INC")</f>
        <v>INC</v>
      </c>
      <c r="I1618" s="10" t="str">
        <f t="shared" si="2"/>
        <v>INC</v>
      </c>
      <c r="J1618" s="9" t="str">
        <f t="array" ref="J1618">IF(
  AND(
    IFERROR(MATCH(B1618, data!D:D, 0), 0) &gt; 0,
    IFERROR(INDEX(data!N:N, MATCH(B1618, data!D:D, 0)) = 1, FALSE)
  ),
  INDEX(data!C:C, MATCH(B1618, data!D:D, 0)),
  "INC"
)</f>
        <v>INC</v>
      </c>
      <c r="K1618" s="9" t="str">
        <f t="array" ref="K1618">IFERROR(INDEX(dataICM!C:C,match(Caseslist!B1618,dataICM!D:D,0)), "INC")</f>
        <v>INC</v>
      </c>
      <c r="L1618" s="10" t="str">
        <f t="array" ref="L1618">IF(AND(G1618="COMPLETE", OR(K1618="INC", ISBLANK(INDEX(data!O:O, ROW())))), J1618, K1618)</f>
        <v>INC</v>
      </c>
      <c r="M1618" s="2" t="s">
        <v>8886</v>
      </c>
      <c r="N1618" s="2" t="str">
        <f t="array" ref="N1618">IF(M1618&lt;&gt;"INC", INDEX(data!M:M, MATCH(B1618, data!D:D, 0)), "")</f>
        <v/>
      </c>
      <c r="O1618" s="2" t="str">
        <f t="shared" si="3"/>
        <v/>
      </c>
    </row>
    <row r="1619">
      <c r="A1619" s="2" t="str">
        <f t="shared" si="1"/>
        <v>H030647</v>
      </c>
      <c r="B1619" s="1" t="s">
        <v>2685</v>
      </c>
      <c r="C1619" s="9" t="str">
        <f t="array" ref="C1619">IF(
  AND(
    IFERROR(MATCH(Caseslist!B1619, data!D:D, 0), 0) &gt; 0,
    IFERROR(INDEX(data!N:N, MATCH(Caseslist!B1619, data!D:D, 0)) = 1, FALSE)
  ),
  "COMPLETE",
  "INC"
)</f>
        <v>COMPLETE</v>
      </c>
      <c r="D1619" s="9" t="str">
        <f t="array" ref="D1619">IFERROR(INDEX(data!$G:$G,match(Caseslist!B1619,data!$D:$D,0)), "INC")</f>
        <v>G5472901</v>
      </c>
      <c r="E1619" s="9" t="str">
        <f t="array" ref="E1619">IFERROR(INDEX(data!H:H,match(Caseslist!B1619,data!D:D,0)), "INC")</f>
        <v>Wellyn Grace Alaban Parcia</v>
      </c>
      <c r="F1619" s="10" t="str">
        <f t="array" ref="F1619">IF(
    OR(
      IFNA(INDEX(data!M:M, MATCH(Caseslist!B1619, data!D:D, 0)), "") = "",
      IFNA(INDEX(data!M:M, MATCH(Caseslist!B1619, data!D:D, 0)), 0) = 0
    ),
    "COMPLETE",
    IF(
      IFNA(INDEX(dataICM!D:D, MATCH(Caseslist!B1619, dataICM!D:D, 0)), "INC") = "INC",
      IFNA(INDEX(dataICM!D:D, MATCH(Caseslist!B1619, dataICM!D:D, 0)), "INC"),
      "COMPLETE"
    )
  )</f>
        <v>COMPLETE</v>
      </c>
      <c r="G1619" s="10" t="str">
        <f t="array" ref="G1619">IF(IFERROR(INDEX(data!L:L,match(Caseslist!B1619,data!D:D,0)),"INC")="","COMPLETE",F1619)</f>
        <v>COMPLETE</v>
      </c>
      <c r="H1619" s="9" t="str">
        <f t="array" ref="H1619">IFERROR(INDEX(dataICM!F:F,match(Caseslist!B1619,dataICM!D:D,0)), "INC")</f>
        <v>Wellyn Grace Alaban Parcia</v>
      </c>
      <c r="I1619" s="10" t="str">
        <f t="shared" si="2"/>
        <v>G5472901</v>
      </c>
      <c r="J1619" s="9" t="str">
        <f t="array" ref="J1619">IF(
  AND(
    IFERROR(MATCH(B1619, data!D:D, 0), 0) &gt; 0,
    IFERROR(INDEX(data!N:N, MATCH(B1619, data!D:D, 0)) = 1, FALSE)
  ),
  INDEX(data!C:C, MATCH(B1619, data!D:D, 0)),
  "INC"
)</f>
        <v>2025-09-30T11:46:07.230+08</v>
      </c>
      <c r="K1619" s="9" t="str">
        <f t="array" ref="K1619">IFERROR(INDEX(dataICM!C:C,match(Caseslist!B1619,dataICM!D:D,0)), "INC")</f>
        <v>2025-09-30T11:51:27.986+08</v>
      </c>
      <c r="L1619" s="10" t="str">
        <f t="array" ref="L1619">IF(AND(G1619="COMPLETE", OR(K1619="INC", ISBLANK(INDEX(data!O:O, ROW())))), J1619, K1619)</f>
        <v>2025-09-30T11:51:27.986+08</v>
      </c>
      <c r="M1619" s="2">
        <v>45930.0</v>
      </c>
      <c r="N1619" s="2">
        <f t="array" ref="N1619">IF(M1619&lt;&gt;"INC", INDEX(data!M:M, MATCH(B1619, data!D:D, 0)), "")</f>
        <v>3</v>
      </c>
      <c r="O1619" s="2">
        <f t="shared" si="3"/>
        <v>3</v>
      </c>
    </row>
    <row r="1620">
      <c r="A1620" s="2" t="str">
        <f t="shared" si="1"/>
        <v>H030647</v>
      </c>
      <c r="B1620" s="1" t="s">
        <v>2690</v>
      </c>
      <c r="C1620" s="9" t="str">
        <f t="array" ref="C1620">IF(
  AND(
    IFERROR(MATCH(Caseslist!B1620, data!D:D, 0), 0) &gt; 0,
    IFERROR(INDEX(data!N:N, MATCH(Caseslist!B1620, data!D:D, 0)) = 1, FALSE)
  ),
  "COMPLETE",
  "INC"
)</f>
        <v>COMPLETE</v>
      </c>
      <c r="D1620" s="9" t="str">
        <f t="array" ref="D1620">IFERROR(INDEX(data!$G:$G,match(Caseslist!B1620,data!$D:$D,0)), "INC")</f>
        <v>F3051749</v>
      </c>
      <c r="E1620" s="9" t="str">
        <f t="array" ref="E1620">IFERROR(INDEX(data!H:H,match(Caseslist!B1620,data!D:D,0)), "INC")</f>
        <v>Elenita Gicos De La Pe�a</v>
      </c>
      <c r="F1620" s="10" t="str">
        <f t="array" ref="F1620">IF(
    OR(
      IFNA(INDEX(data!M:M, MATCH(Caseslist!B1620, data!D:D, 0)), "") = "",
      IFNA(INDEX(data!M:M, MATCH(Caseslist!B1620, data!D:D, 0)), 0) = 0
    ),
    "COMPLETE",
    IF(
      IFNA(INDEX(dataICM!D:D, MATCH(Caseslist!B1620, dataICM!D:D, 0)), "INC") = "INC",
      IFNA(INDEX(dataICM!D:D, MATCH(Caseslist!B1620, dataICM!D:D, 0)), "INC"),
      "COMPLETE"
    )
  )</f>
        <v>COMPLETE</v>
      </c>
      <c r="G1620" s="10" t="str">
        <f t="array" ref="G1620">IF(IFERROR(INDEX(data!L:L,match(Caseslist!B1620,data!D:D,0)),"INC")="","COMPLETE",F1620)</f>
        <v>COMPLETE</v>
      </c>
      <c r="H1620" s="9" t="str">
        <f t="array" ref="H1620">IFERROR(INDEX(dataICM!F:F,match(Caseslist!B1620,dataICM!D:D,0)), "INC")</f>
        <v>Elenita Gicos De La Pe�a</v>
      </c>
      <c r="I1620" s="10" t="str">
        <f t="shared" si="2"/>
        <v>F3051749</v>
      </c>
      <c r="J1620" s="9" t="str">
        <f t="array" ref="J1620">IF(
  AND(
    IFERROR(MATCH(B1620, data!D:D, 0), 0) &gt; 0,
    IFERROR(INDEX(data!N:N, MATCH(B1620, data!D:D, 0)) = 1, FALSE)
  ),
  INDEX(data!C:C, MATCH(B1620, data!D:D, 0)),
  "INC"
)</f>
        <v>2025-09-02T16:42:25.629+08</v>
      </c>
      <c r="K1620" s="9" t="str">
        <f t="array" ref="K1620">IFERROR(INDEX(dataICM!C:C,match(Caseslist!B1620,dataICM!D:D,0)), "INC")</f>
        <v>2025-09-02T16:48:21.607+08</v>
      </c>
      <c r="L1620" s="10" t="str">
        <f t="array" ref="L1620">IF(AND(G1620="COMPLETE", OR(K1620="INC", ISBLANK(INDEX(data!O:O, ROW())))), J1620, K1620)</f>
        <v>2025-09-02T16:48:21.607+08</v>
      </c>
      <c r="M1620" s="2">
        <v>45902.0</v>
      </c>
      <c r="N1620" s="2">
        <f t="array" ref="N1620">IF(M1620&lt;&gt;"INC", INDEX(data!M:M, MATCH(B1620, data!D:D, 0)), "")</f>
        <v>3</v>
      </c>
      <c r="O1620" s="2">
        <f t="shared" si="3"/>
        <v>3</v>
      </c>
    </row>
    <row r="1621">
      <c r="A1621" s="2" t="str">
        <f t="shared" si="1"/>
        <v>H030647</v>
      </c>
      <c r="B1621" s="1" t="s">
        <v>8940</v>
      </c>
      <c r="C1621" s="9" t="str">
        <f t="array" ref="C1621">IF(
  AND(
    IFERROR(MATCH(Caseslist!B1621, data!D:D, 0), 0) &gt; 0,
    IFERROR(INDEX(data!N:N, MATCH(Caseslist!B1621, data!D:D, 0)) = 1, FALSE)
  ),
  "COMPLETE",
  "INC"
)</f>
        <v>INC</v>
      </c>
      <c r="D1621" s="9" t="str">
        <f t="array" ref="D1621">IFERROR(INDEX(data!$G:$G,match(Caseslist!B1621,data!$D:$D,0)), "INC")</f>
        <v>INC</v>
      </c>
      <c r="E1621" s="9" t="str">
        <f t="array" ref="E1621">IFERROR(INDEX(data!H:H,match(Caseslist!B1621,data!D:D,0)), "INC")</f>
        <v>INC</v>
      </c>
      <c r="F1621" s="10" t="str">
        <f t="array" ref="F1621">IF(
    OR(
      IFNA(INDEX(data!M:M, MATCH(Caseslist!B1621, data!D:D, 0)), "") = "",
      IFNA(INDEX(data!M:M, MATCH(Caseslist!B1621, data!D:D, 0)), 0) = 0
    ),
    "COMPLETE",
    IF(
      IFNA(INDEX(dataICM!D:D, MATCH(Caseslist!B1621, dataICM!D:D, 0)), "INC") = "INC",
      IFNA(INDEX(dataICM!D:D, MATCH(Caseslist!B1621, dataICM!D:D, 0)), "INC"),
      "COMPLETE"
    )
  )</f>
        <v>COMPLETE</v>
      </c>
      <c r="G1621" s="10" t="str">
        <f t="array" ref="G1621">IF(IFERROR(INDEX(data!L:L,match(Caseslist!B1621,data!D:D,0)),"INC")="","COMPLETE",F1621)</f>
        <v>COMPLETE</v>
      </c>
      <c r="H1621" s="9" t="str">
        <f t="array" ref="H1621">IFERROR(INDEX(dataICM!F:F,match(Caseslist!B1621,dataICM!D:D,0)), "INC")</f>
        <v>INC</v>
      </c>
      <c r="I1621" s="10" t="str">
        <f t="shared" si="2"/>
        <v>INC</v>
      </c>
      <c r="J1621" s="9" t="str">
        <f t="array" ref="J1621">IF(
  AND(
    IFERROR(MATCH(B1621, data!D:D, 0), 0) &gt; 0,
    IFERROR(INDEX(data!N:N, MATCH(B1621, data!D:D, 0)) = 1, FALSE)
  ),
  INDEX(data!C:C, MATCH(B1621, data!D:D, 0)),
  "INC"
)</f>
        <v>INC</v>
      </c>
      <c r="K1621" s="9" t="str">
        <f t="array" ref="K1621">IFERROR(INDEX(dataICM!C:C,match(Caseslist!B1621,dataICM!D:D,0)), "INC")</f>
        <v>INC</v>
      </c>
      <c r="L1621" s="10" t="str">
        <f t="array" ref="L1621">IF(AND(G1621="COMPLETE", OR(K1621="INC", ISBLANK(INDEX(data!O:O, ROW())))), J1621, K1621)</f>
        <v>INC</v>
      </c>
      <c r="M1621" s="2" t="s">
        <v>8886</v>
      </c>
      <c r="N1621" s="2" t="str">
        <f t="array" ref="N1621">IF(M1621&lt;&gt;"INC", INDEX(data!M:M, MATCH(B1621, data!D:D, 0)), "")</f>
        <v/>
      </c>
      <c r="O1621" s="2" t="str">
        <f t="shared" si="3"/>
        <v/>
      </c>
    </row>
    <row r="1622">
      <c r="A1622" s="2" t="str">
        <f t="shared" si="1"/>
        <v>H030670</v>
      </c>
      <c r="B1622" s="1" t="s">
        <v>8848</v>
      </c>
      <c r="C1622" s="9" t="str">
        <f t="array" ref="C1622">IF(
  AND(
    IFERROR(MATCH(Caseslist!B1622, data!D:D, 0), 0) &gt; 0,
    IFERROR(INDEX(data!N:N, MATCH(Caseslist!B1622, data!D:D, 0)) = 1, FALSE)
  ),
  "COMPLETE",
  "INC"
)</f>
        <v>COMPLETE</v>
      </c>
      <c r="D1622" s="9" t="str">
        <f t="array" ref="D1622">IFERROR(INDEX(data!$G:$G,match(Caseslist!B1622,data!$D:$D,0)), "INC")</f>
        <v>P1068432</v>
      </c>
      <c r="E1622" s="9" t="str">
        <f t="array" ref="E1622">IFERROR(INDEX(data!H:H,match(Caseslist!B1622,data!D:D,0)), "INC")</f>
        <v>Mark Daniel Balagao Benson</v>
      </c>
      <c r="F1622" s="10" t="str">
        <f t="array" ref="F1622">IF(
    OR(
      IFNA(INDEX(data!M:M, MATCH(Caseslist!B1622, data!D:D, 0)), "") = "",
      IFNA(INDEX(data!M:M, MATCH(Caseslist!B1622, data!D:D, 0)), 0) = 0
    ),
    "COMPLETE",
    IF(
      IFNA(INDEX(dataICM!D:D, MATCH(Caseslist!B1622, dataICM!D:D, 0)), "INC") = "INC",
      IFNA(INDEX(dataICM!D:D, MATCH(Caseslist!B1622, dataICM!D:D, 0)), "INC"),
      "COMPLETE"
    )
  )</f>
        <v>COMPLETE</v>
      </c>
      <c r="G1622" s="10" t="str">
        <f t="array" ref="G1622">IF(IFERROR(INDEX(data!L:L,match(Caseslist!B1622,data!D:D,0)),"INC")="","COMPLETE",F1622)</f>
        <v>COMPLETE</v>
      </c>
      <c r="H1622" s="9" t="str">
        <f t="array" ref="H1622">IFERROR(INDEX(dataICM!F:F,match(Caseslist!B1622,dataICM!D:D,0)), "INC")</f>
        <v>INC</v>
      </c>
      <c r="I1622" s="10" t="str">
        <f t="shared" si="2"/>
        <v>P1068432</v>
      </c>
      <c r="J1622" s="9" t="str">
        <f t="array" ref="J1622">IF(
  AND(
    IFERROR(MATCH(B1622, data!D:D, 0), 0) &gt; 0,
    IFERROR(INDEX(data!N:N, MATCH(B1622, data!D:D, 0)) = 1, FALSE)
  ),
  INDEX(data!C:C, MATCH(B1622, data!D:D, 0)),
  "INC"
)</f>
        <v>2025-10-02T14:15:33.295+08</v>
      </c>
      <c r="K1622" s="9" t="str">
        <f t="array" ref="K1622">IFERROR(INDEX(dataICM!C:C,match(Caseslist!B1622,dataICM!D:D,0)), "INC")</f>
        <v>INC</v>
      </c>
      <c r="L1622" s="10" t="str">
        <f t="array" ref="L1622">IF(AND(G1622="COMPLETE", OR(K1622="INC", ISBLANK(INDEX(data!O:O, ROW())))), J1622, K1622)</f>
        <v>2025-10-02T14:15:33.295+08</v>
      </c>
      <c r="M1622" s="2">
        <v>45932.0</v>
      </c>
      <c r="N1622" s="2">
        <f t="array" ref="N1622">IF(M1622&lt;&gt;"INC", INDEX(data!M:M, MATCH(B1622, data!D:D, 0)), "")</f>
        <v>0</v>
      </c>
      <c r="O1622" s="2">
        <f t="shared" si="3"/>
        <v>0</v>
      </c>
    </row>
    <row r="1623">
      <c r="A1623" s="2" t="str">
        <f t="shared" si="1"/>
        <v>H030670</v>
      </c>
      <c r="B1623" s="1" t="s">
        <v>8941</v>
      </c>
      <c r="C1623" s="9" t="str">
        <f t="array" ref="C1623">IF(
  AND(
    IFERROR(MATCH(Caseslist!B1623, data!D:D, 0), 0) &gt; 0,
    IFERROR(INDEX(data!N:N, MATCH(Caseslist!B1623, data!D:D, 0)) = 1, FALSE)
  ),
  "COMPLETE",
  "INC"
)</f>
        <v>INC</v>
      </c>
      <c r="D1623" s="9" t="str">
        <f t="array" ref="D1623">IFERROR(INDEX(data!$G:$G,match(Caseslist!B1623,data!$D:$D,0)), "INC")</f>
        <v>INC</v>
      </c>
      <c r="E1623" s="9" t="str">
        <f t="array" ref="E1623">IFERROR(INDEX(data!H:H,match(Caseslist!B1623,data!D:D,0)), "INC")</f>
        <v>INC</v>
      </c>
      <c r="F1623" s="10" t="str">
        <f t="array" ref="F1623">IF(
    OR(
      IFNA(INDEX(data!M:M, MATCH(Caseslist!B1623, data!D:D, 0)), "") = "",
      IFNA(INDEX(data!M:M, MATCH(Caseslist!B1623, data!D:D, 0)), 0) = 0
    ),
    "COMPLETE",
    IF(
      IFNA(INDEX(dataICM!D:D, MATCH(Caseslist!B1623, dataICM!D:D, 0)), "INC") = "INC",
      IFNA(INDEX(dataICM!D:D, MATCH(Caseslist!B1623, dataICM!D:D, 0)), "INC"),
      "COMPLETE"
    )
  )</f>
        <v>COMPLETE</v>
      </c>
      <c r="G1623" s="10" t="str">
        <f t="array" ref="G1623">IF(IFERROR(INDEX(data!L:L,match(Caseslist!B1623,data!D:D,0)),"INC")="","COMPLETE",F1623)</f>
        <v>COMPLETE</v>
      </c>
      <c r="H1623" s="9" t="str">
        <f t="array" ref="H1623">IFERROR(INDEX(dataICM!F:F,match(Caseslist!B1623,dataICM!D:D,0)), "INC")</f>
        <v>INC</v>
      </c>
      <c r="I1623" s="10" t="str">
        <f t="shared" si="2"/>
        <v>INC</v>
      </c>
      <c r="J1623" s="9" t="str">
        <f t="array" ref="J1623">IF(
  AND(
    IFERROR(MATCH(B1623, data!D:D, 0), 0) &gt; 0,
    IFERROR(INDEX(data!N:N, MATCH(B1623, data!D:D, 0)) = 1, FALSE)
  ),
  INDEX(data!C:C, MATCH(B1623, data!D:D, 0)),
  "INC"
)</f>
        <v>INC</v>
      </c>
      <c r="K1623" s="9" t="str">
        <f t="array" ref="K1623">IFERROR(INDEX(dataICM!C:C,match(Caseslist!B1623,dataICM!D:D,0)), "INC")</f>
        <v>INC</v>
      </c>
      <c r="L1623" s="10" t="str">
        <f t="array" ref="L1623">IF(AND(G1623="COMPLETE", OR(K1623="INC", ISBLANK(INDEX(data!O:O, ROW())))), J1623, K1623)</f>
        <v>INC</v>
      </c>
      <c r="M1623" s="2" t="s">
        <v>8886</v>
      </c>
      <c r="N1623" s="2" t="str">
        <f t="array" ref="N1623">IF(M1623&lt;&gt;"INC", INDEX(data!M:M, MATCH(B1623, data!D:D, 0)), "")</f>
        <v/>
      </c>
      <c r="O1623" s="2" t="str">
        <f t="shared" si="3"/>
        <v/>
      </c>
    </row>
    <row r="1624">
      <c r="A1624" s="2" t="str">
        <f t="shared" si="1"/>
        <v>H030670</v>
      </c>
      <c r="B1624" s="1" t="s">
        <v>653</v>
      </c>
      <c r="C1624" s="9" t="str">
        <f t="array" ref="C1624">IF(
  AND(
    IFERROR(MATCH(Caseslist!B1624, data!D:D, 0), 0) &gt; 0,
    IFERROR(INDEX(data!N:N, MATCH(Caseslist!B1624, data!D:D, 0)) = 1, FALSE)
  ),
  "COMPLETE",
  "INC"
)</f>
        <v>COMPLETE</v>
      </c>
      <c r="D1624" s="9" t="str">
        <f t="array" ref="D1624">IFERROR(INDEX(data!$G:$G,match(Caseslist!B1624,data!$D:$D,0)), "INC")</f>
        <v>P1068432</v>
      </c>
      <c r="E1624" s="9" t="str">
        <f t="array" ref="E1624">IFERROR(INDEX(data!H:H,match(Caseslist!B1624,data!D:D,0)), "INC")</f>
        <v>Mark Daniel Balagao Benson</v>
      </c>
      <c r="F1624" s="10" t="str">
        <f t="array" ref="F1624">IF(
    OR(
      IFNA(INDEX(data!M:M, MATCH(Caseslist!B1624, data!D:D, 0)), "") = "",
      IFNA(INDEX(data!M:M, MATCH(Caseslist!B1624, data!D:D, 0)), 0) = 0
    ),
    "COMPLETE",
    IF(
      IFNA(INDEX(dataICM!D:D, MATCH(Caseslist!B1624, dataICM!D:D, 0)), "INC") = "INC",
      IFNA(INDEX(dataICM!D:D, MATCH(Caseslist!B1624, dataICM!D:D, 0)), "INC"),
      "COMPLETE"
    )
  )</f>
        <v>COMPLETE</v>
      </c>
      <c r="G1624" s="10" t="str">
        <f t="array" ref="G1624">IF(IFERROR(INDEX(data!L:L,match(Caseslist!B1624,data!D:D,0)),"INC")="","COMPLETE",F1624)</f>
        <v>COMPLETE</v>
      </c>
      <c r="H1624" s="9" t="str">
        <f t="array" ref="H1624">IFERROR(INDEX(dataICM!F:F,match(Caseslist!B1624,dataICM!D:D,0)), "INC")</f>
        <v>INC</v>
      </c>
      <c r="I1624" s="10" t="str">
        <f t="shared" si="2"/>
        <v>P1068432</v>
      </c>
      <c r="J1624" s="9" t="str">
        <f t="array" ref="J1624">IF(
  AND(
    IFERROR(MATCH(B1624, data!D:D, 0), 0) &gt; 0,
    IFERROR(INDEX(data!N:N, MATCH(B1624, data!D:D, 0)) = 1, FALSE)
  ),
  INDEX(data!C:C, MATCH(B1624, data!D:D, 0)),
  "INC"
)</f>
        <v>2025-08-27T11:51:15.743+08</v>
      </c>
      <c r="K1624" s="9" t="str">
        <f t="array" ref="K1624">IFERROR(INDEX(dataICM!C:C,match(Caseslist!B1624,dataICM!D:D,0)), "INC")</f>
        <v>INC</v>
      </c>
      <c r="L1624" s="10" t="str">
        <f t="array" ref="L1624">IF(AND(G1624="COMPLETE", OR(K1624="INC", ISBLANK(INDEX(data!O:O, ROW())))), J1624, K1624)</f>
        <v>2025-08-27T11:51:15.743+08</v>
      </c>
      <c r="M1624" s="2">
        <v>45896.0</v>
      </c>
      <c r="N1624" s="2">
        <f t="array" ref="N1624">IF(M1624&lt;&gt;"INC", INDEX(data!M:M, MATCH(B1624, data!D:D, 0)), "")</f>
        <v>0</v>
      </c>
      <c r="O1624" s="2">
        <f t="shared" si="3"/>
        <v>0</v>
      </c>
    </row>
    <row r="1625">
      <c r="A1625" s="2" t="str">
        <f t="shared" si="1"/>
        <v>H030670</v>
      </c>
      <c r="B1625" s="1" t="s">
        <v>618</v>
      </c>
      <c r="C1625" s="9" t="str">
        <f t="array" ref="C1625">IF(
  AND(
    IFERROR(MATCH(Caseslist!B1625, data!D:D, 0), 0) &gt; 0,
    IFERROR(INDEX(data!N:N, MATCH(Caseslist!B1625, data!D:D, 0)) = 1, FALSE)
  ),
  "COMPLETE",
  "INC"
)</f>
        <v>COMPLETE</v>
      </c>
      <c r="D1625" s="9" t="str">
        <f t="array" ref="D1625">IFERROR(INDEX(data!$G:$G,match(Caseslist!B1625,data!$D:$D,0)), "INC")</f>
        <v>N7814260</v>
      </c>
      <c r="E1625" s="9" t="str">
        <f t="array" ref="E1625">IFERROR(INDEX(data!H:H,match(Caseslist!B1625,data!D:D,0)), "INC")</f>
        <v>Jemma Marie Tillo</v>
      </c>
      <c r="F1625" s="10" t="str">
        <f t="array" ref="F1625">IF(
    OR(
      IFNA(INDEX(data!M:M, MATCH(Caseslist!B1625, data!D:D, 0)), "") = "",
      IFNA(INDEX(data!M:M, MATCH(Caseslist!B1625, data!D:D, 0)), 0) = 0
    ),
    "COMPLETE",
    IF(
      IFNA(INDEX(dataICM!D:D, MATCH(Caseslist!B1625, dataICM!D:D, 0)), "INC") = "INC",
      IFNA(INDEX(dataICM!D:D, MATCH(Caseslist!B1625, dataICM!D:D, 0)), "INC"),
      "COMPLETE"
    )
  )</f>
        <v>COMPLETE</v>
      </c>
      <c r="G1625" s="10" t="str">
        <f t="array" ref="G1625">IF(IFERROR(INDEX(data!L:L,match(Caseslist!B1625,data!D:D,0)),"INC")="","COMPLETE",F1625)</f>
        <v>COMPLETE</v>
      </c>
      <c r="H1625" s="9" t="str">
        <f t="array" ref="H1625">IFERROR(INDEX(dataICM!F:F,match(Caseslist!B1625,dataICM!D:D,0)), "INC")</f>
        <v>INC</v>
      </c>
      <c r="I1625" s="10" t="str">
        <f t="shared" si="2"/>
        <v>N7814260</v>
      </c>
      <c r="J1625" s="9" t="str">
        <f t="array" ref="J1625">IF(
  AND(
    IFERROR(MATCH(B1625, data!D:D, 0), 0) &gt; 0,
    IFERROR(INDEX(data!N:N, MATCH(B1625, data!D:D, 0)) = 1, FALSE)
  ),
  INDEX(data!C:C, MATCH(B1625, data!D:D, 0)),
  "INC"
)</f>
        <v>2025-08-27T13:25:40.656+08</v>
      </c>
      <c r="K1625" s="9" t="str">
        <f t="array" ref="K1625">IFERROR(INDEX(dataICM!C:C,match(Caseslist!B1625,dataICM!D:D,0)), "INC")</f>
        <v>INC</v>
      </c>
      <c r="L1625" s="10" t="str">
        <f t="array" ref="L1625">IF(AND(G1625="COMPLETE", OR(K1625="INC", ISBLANK(INDEX(data!O:O, ROW())))), J1625, K1625)</f>
        <v>2025-08-27T13:25:40.656+08</v>
      </c>
      <c r="M1625" s="2">
        <v>45896.0</v>
      </c>
      <c r="N1625" s="2">
        <f t="array" ref="N1625">IF(M1625&lt;&gt;"INC", INDEX(data!M:M, MATCH(B1625, data!D:D, 0)), "")</f>
        <v>0</v>
      </c>
      <c r="O1625" s="2">
        <f t="shared" si="3"/>
        <v>0</v>
      </c>
    </row>
    <row r="1626">
      <c r="A1626" s="2" t="str">
        <f t="shared" si="1"/>
        <v>H030670</v>
      </c>
      <c r="B1626" s="1" t="s">
        <v>8868</v>
      </c>
      <c r="C1626" s="9" t="str">
        <f t="array" ref="C1626">IF(
  AND(
    IFERROR(MATCH(Caseslist!B1626, data!D:D, 0), 0) &gt; 0,
    IFERROR(INDEX(data!N:N, MATCH(Caseslist!B1626, data!D:D, 0)) = 1, FALSE)
  ),
  "COMPLETE",
  "INC"
)</f>
        <v>COMPLETE</v>
      </c>
      <c r="D1626" s="9" t="str">
        <f t="array" ref="D1626">IFERROR(INDEX(data!$G:$G,match(Caseslist!B1626,data!$D:$D,0)), "INC")</f>
        <v>P1068432</v>
      </c>
      <c r="E1626" s="9" t="str">
        <f t="array" ref="E1626">IFERROR(INDEX(data!H:H,match(Caseslist!B1626,data!D:D,0)), "INC")</f>
        <v>Mark Daniel Balagao Benson</v>
      </c>
      <c r="F1626" s="10" t="str">
        <f t="array" ref="F1626">IF(
    OR(
      IFNA(INDEX(data!M:M, MATCH(Caseslist!B1626, data!D:D, 0)), "") = "",
      IFNA(INDEX(data!M:M, MATCH(Caseslist!B1626, data!D:D, 0)), 0) = 0
    ),
    "COMPLETE",
    IF(
      IFNA(INDEX(dataICM!D:D, MATCH(Caseslist!B1626, dataICM!D:D, 0)), "INC") = "INC",
      IFNA(INDEX(dataICM!D:D, MATCH(Caseslist!B1626, dataICM!D:D, 0)), "INC"),
      "COMPLETE"
    )
  )</f>
        <v>COMPLETE</v>
      </c>
      <c r="G1626" s="10" t="str">
        <f t="array" ref="G1626">IF(IFERROR(INDEX(data!L:L,match(Caseslist!B1626,data!D:D,0)),"INC")="","COMPLETE",F1626)</f>
        <v>COMPLETE</v>
      </c>
      <c r="H1626" s="9" t="str">
        <f t="array" ref="H1626">IFERROR(INDEX(dataICM!F:F,match(Caseslist!B1626,dataICM!D:D,0)), "INC")</f>
        <v>INC</v>
      </c>
      <c r="I1626" s="10" t="str">
        <f t="shared" si="2"/>
        <v>P1068432</v>
      </c>
      <c r="J1626" s="9" t="str">
        <f t="array" ref="J1626">IF(
  AND(
    IFERROR(MATCH(B1626, data!D:D, 0), 0) &gt; 0,
    IFERROR(INDEX(data!N:N, MATCH(B1626, data!D:D, 0)) = 1, FALSE)
  ),
  INDEX(data!C:C, MATCH(B1626, data!D:D, 0)),
  "INC"
)</f>
        <v>2025-10-03T15:40:54.291+08</v>
      </c>
      <c r="K1626" s="9" t="str">
        <f t="array" ref="K1626">IFERROR(INDEX(dataICM!C:C,match(Caseslist!B1626,dataICM!D:D,0)), "INC")</f>
        <v>INC</v>
      </c>
      <c r="L1626" s="10" t="str">
        <f t="array" ref="L1626">IF(AND(G1626="COMPLETE", OR(K1626="INC", ISBLANK(INDEX(data!O:O, ROW())))), J1626, K1626)</f>
        <v>2025-10-03T15:40:54.291+08</v>
      </c>
      <c r="M1626" s="2">
        <v>45933.0</v>
      </c>
      <c r="N1626" s="2">
        <f t="array" ref="N1626">IF(M1626&lt;&gt;"INC", INDEX(data!M:M, MATCH(B1626, data!D:D, 0)), "")</f>
        <v>0</v>
      </c>
      <c r="O1626" s="2">
        <f t="shared" si="3"/>
        <v>0</v>
      </c>
    </row>
    <row r="1627">
      <c r="A1627" s="2" t="str">
        <f t="shared" si="1"/>
        <v>H030670</v>
      </c>
      <c r="B1627" s="1" t="s">
        <v>8828</v>
      </c>
      <c r="C1627" s="9" t="str">
        <f t="array" ref="C1627">IF(
  AND(
    IFERROR(MATCH(Caseslist!B1627, data!D:D, 0), 0) &gt; 0,
    IFERROR(INDEX(data!N:N, MATCH(Caseslist!B1627, data!D:D, 0)) = 1, FALSE)
  ),
  "COMPLETE",
  "INC"
)</f>
        <v>COMPLETE</v>
      </c>
      <c r="D1627" s="9" t="str">
        <f t="array" ref="D1627">IFERROR(INDEX(data!$G:$G,match(Caseslist!B1627,data!$D:$D,0)), "INC")</f>
        <v>P1068432</v>
      </c>
      <c r="E1627" s="9" t="str">
        <f t="array" ref="E1627">IFERROR(INDEX(data!H:H,match(Caseslist!B1627,data!D:D,0)), "INC")</f>
        <v>Mark Daniel Balagao Benson</v>
      </c>
      <c r="F1627" s="10" t="str">
        <f t="array" ref="F1627">IF(
    OR(
      IFNA(INDEX(data!M:M, MATCH(Caseslist!B1627, data!D:D, 0)), "") = "",
      IFNA(INDEX(data!M:M, MATCH(Caseslist!B1627, data!D:D, 0)), 0) = 0
    ),
    "COMPLETE",
    IF(
      IFNA(INDEX(dataICM!D:D, MATCH(Caseslist!B1627, dataICM!D:D, 0)), "INC") = "INC",
      IFNA(INDEX(dataICM!D:D, MATCH(Caseslist!B1627, dataICM!D:D, 0)), "INC"),
      "COMPLETE"
    )
  )</f>
        <v>COMPLETE</v>
      </c>
      <c r="G1627" s="10" t="str">
        <f t="array" ref="G1627">IF(IFERROR(INDEX(data!L:L,match(Caseslist!B1627,data!D:D,0)),"INC")="","COMPLETE",F1627)</f>
        <v>COMPLETE</v>
      </c>
      <c r="H1627" s="9" t="str">
        <f t="array" ref="H1627">IFERROR(INDEX(dataICM!F:F,match(Caseslist!B1627,dataICM!D:D,0)), "INC")</f>
        <v>INC</v>
      </c>
      <c r="I1627" s="10" t="str">
        <f t="shared" si="2"/>
        <v>P1068432</v>
      </c>
      <c r="J1627" s="9" t="str">
        <f t="array" ref="J1627">IF(
  AND(
    IFERROR(MATCH(B1627, data!D:D, 0), 0) &gt; 0,
    IFERROR(INDEX(data!N:N, MATCH(B1627, data!D:D, 0)) = 1, FALSE)
  ),
  INDEX(data!C:C, MATCH(B1627, data!D:D, 0)),
  "INC"
)</f>
        <v>2025-10-01T15:11:50.455+08</v>
      </c>
      <c r="K1627" s="9" t="str">
        <f t="array" ref="K1627">IFERROR(INDEX(dataICM!C:C,match(Caseslist!B1627,dataICM!D:D,0)), "INC")</f>
        <v>INC</v>
      </c>
      <c r="L1627" s="10" t="str">
        <f t="array" ref="L1627">IF(AND(G1627="COMPLETE", OR(K1627="INC", ISBLANK(INDEX(data!O:O, ROW())))), J1627, K1627)</f>
        <v>2025-10-01T15:11:50.455+08</v>
      </c>
      <c r="M1627" s="2">
        <v>45931.0</v>
      </c>
      <c r="N1627" s="2">
        <f t="array" ref="N1627">IF(M1627&lt;&gt;"INC", INDEX(data!M:M, MATCH(B1627, data!D:D, 0)), "")</f>
        <v>0</v>
      </c>
      <c r="O1627" s="2">
        <f t="shared" si="3"/>
        <v>0</v>
      </c>
    </row>
    <row r="1628">
      <c r="A1628" s="2" t="str">
        <f t="shared" si="1"/>
        <v>H030670</v>
      </c>
      <c r="B1628" s="1" t="s">
        <v>8843</v>
      </c>
      <c r="C1628" s="9" t="str">
        <f t="array" ref="C1628">IF(
  AND(
    IFERROR(MATCH(Caseslist!B1628, data!D:D, 0), 0) &gt; 0,
    IFERROR(INDEX(data!N:N, MATCH(Caseslist!B1628, data!D:D, 0)) = 1, FALSE)
  ),
  "COMPLETE",
  "INC"
)</f>
        <v>COMPLETE</v>
      </c>
      <c r="D1628" s="9" t="str">
        <f t="array" ref="D1628">IFERROR(INDEX(data!$G:$G,match(Caseslist!B1628,data!$D:$D,0)), "INC")</f>
        <v>O3925718</v>
      </c>
      <c r="E1628" s="9" t="str">
        <f t="array" ref="E1628">IFERROR(INDEX(data!H:H,match(Caseslist!B1628,data!D:D,0)), "INC")</f>
        <v>Adrian Montecastro Ferrer</v>
      </c>
      <c r="F1628" s="10" t="str">
        <f t="array" ref="F1628">IF(
    OR(
      IFNA(INDEX(data!M:M, MATCH(Caseslist!B1628, data!D:D, 0)), "") = "",
      IFNA(INDEX(data!M:M, MATCH(Caseslist!B1628, data!D:D, 0)), 0) = 0
    ),
    "COMPLETE",
    IF(
      IFNA(INDEX(dataICM!D:D, MATCH(Caseslist!B1628, dataICM!D:D, 0)), "INC") = "INC",
      IFNA(INDEX(dataICM!D:D, MATCH(Caseslist!B1628, dataICM!D:D, 0)), "INC"),
      "COMPLETE"
    )
  )</f>
        <v>COMPLETE</v>
      </c>
      <c r="G1628" s="10" t="str">
        <f t="array" ref="G1628">IF(IFERROR(INDEX(data!L:L,match(Caseslist!B1628,data!D:D,0)),"INC")="","COMPLETE",F1628)</f>
        <v>COMPLETE</v>
      </c>
      <c r="H1628" s="9" t="str">
        <f t="array" ref="H1628">IFERROR(INDEX(dataICM!F:F,match(Caseslist!B1628,dataICM!D:D,0)), "INC")</f>
        <v>INC</v>
      </c>
      <c r="I1628" s="10" t="str">
        <f t="shared" si="2"/>
        <v>O3925718</v>
      </c>
      <c r="J1628" s="9" t="str">
        <f t="array" ref="J1628">IF(
  AND(
    IFERROR(MATCH(B1628, data!D:D, 0), 0) &gt; 0,
    IFERROR(INDEX(data!N:N, MATCH(B1628, data!D:D, 0)) = 1, FALSE)
  ),
  INDEX(data!C:C, MATCH(B1628, data!D:D, 0)),
  "INC"
)</f>
        <v>2025-10-02T10:53:23.592+08</v>
      </c>
      <c r="K1628" s="9" t="str">
        <f t="array" ref="K1628">IFERROR(INDEX(dataICM!C:C,match(Caseslist!B1628,dataICM!D:D,0)), "INC")</f>
        <v>INC</v>
      </c>
      <c r="L1628" s="10" t="str">
        <f t="array" ref="L1628">IF(AND(G1628="COMPLETE", OR(K1628="INC", ISBLANK(INDEX(data!O:O, ROW())))), J1628, K1628)</f>
        <v>2025-10-02T10:53:23.592+08</v>
      </c>
      <c r="M1628" s="2">
        <v>45932.0</v>
      </c>
      <c r="N1628" s="2">
        <f t="array" ref="N1628">IF(M1628&lt;&gt;"INC", INDEX(data!M:M, MATCH(B1628, data!D:D, 0)), "")</f>
        <v>0</v>
      </c>
      <c r="O1628" s="2">
        <f t="shared" si="3"/>
        <v>0</v>
      </c>
    </row>
    <row r="1629">
      <c r="A1629" s="2" t="str">
        <f t="shared" si="1"/>
        <v>H030670</v>
      </c>
      <c r="B1629" s="1" t="s">
        <v>623</v>
      </c>
      <c r="C1629" s="9" t="str">
        <f t="array" ref="C1629">IF(
  AND(
    IFERROR(MATCH(Caseslist!B1629, data!D:D, 0), 0) &gt; 0,
    IFERROR(INDEX(data!N:N, MATCH(Caseslist!B1629, data!D:D, 0)) = 1, FALSE)
  ),
  "COMPLETE",
  "INC"
)</f>
        <v>COMPLETE</v>
      </c>
      <c r="D1629" s="9" t="str">
        <f t="array" ref="D1629">IFERROR(INDEX(data!$G:$G,match(Caseslist!B1629,data!$D:$D,0)), "INC")</f>
        <v>N7814260</v>
      </c>
      <c r="E1629" s="9" t="str">
        <f t="array" ref="E1629">IFERROR(INDEX(data!H:H,match(Caseslist!B1629,data!D:D,0)), "INC")</f>
        <v>Jemma Marie Tillo</v>
      </c>
      <c r="F1629" s="10" t="str">
        <f t="array" ref="F1629">IF(
    OR(
      IFNA(INDEX(data!M:M, MATCH(Caseslist!B1629, data!D:D, 0)), "") = "",
      IFNA(INDEX(data!M:M, MATCH(Caseslist!B1629, data!D:D, 0)), 0) = 0
    ),
    "COMPLETE",
    IF(
      IFNA(INDEX(dataICM!D:D, MATCH(Caseslist!B1629, dataICM!D:D, 0)), "INC") = "INC",
      IFNA(INDEX(dataICM!D:D, MATCH(Caseslist!B1629, dataICM!D:D, 0)), "INC"),
      "COMPLETE"
    )
  )</f>
        <v>COMPLETE</v>
      </c>
      <c r="G1629" s="10" t="str">
        <f t="array" ref="G1629">IF(IFERROR(INDEX(data!L:L,match(Caseslist!B1629,data!D:D,0)),"INC")="","COMPLETE",F1629)</f>
        <v>COMPLETE</v>
      </c>
      <c r="H1629" s="9" t="str">
        <f t="array" ref="H1629">IFERROR(INDEX(dataICM!F:F,match(Caseslist!B1629,dataICM!D:D,0)), "INC")</f>
        <v>INC</v>
      </c>
      <c r="I1629" s="10" t="str">
        <f t="shared" si="2"/>
        <v>N7814260</v>
      </c>
      <c r="J1629" s="9" t="str">
        <f t="array" ref="J1629">IF(
  AND(
    IFERROR(MATCH(B1629, data!D:D, 0), 0) &gt; 0,
    IFERROR(INDEX(data!N:N, MATCH(B1629, data!D:D, 0)) = 1, FALSE)
  ),
  INDEX(data!C:C, MATCH(B1629, data!D:D, 0)),
  "INC"
)</f>
        <v>2025-08-27T12:57:39.082+08</v>
      </c>
      <c r="K1629" s="9" t="str">
        <f t="array" ref="K1629">IFERROR(INDEX(dataICM!C:C,match(Caseslist!B1629,dataICM!D:D,0)), "INC")</f>
        <v>INC</v>
      </c>
      <c r="L1629" s="10" t="str">
        <f t="array" ref="L1629">IF(AND(G1629="COMPLETE", OR(K1629="INC", ISBLANK(INDEX(data!O:O, ROW())))), J1629, K1629)</f>
        <v>2025-08-27T12:57:39.082+08</v>
      </c>
      <c r="M1629" s="2">
        <v>45896.0</v>
      </c>
      <c r="N1629" s="2">
        <f t="array" ref="N1629">IF(M1629&lt;&gt;"INC", INDEX(data!M:M, MATCH(B1629, data!D:D, 0)), "")</f>
        <v>0</v>
      </c>
      <c r="O1629" s="2">
        <f t="shared" si="3"/>
        <v>0</v>
      </c>
    </row>
    <row r="1630">
      <c r="A1630" s="2" t="str">
        <f t="shared" si="1"/>
        <v>H030670</v>
      </c>
      <c r="B1630" s="1" t="s">
        <v>628</v>
      </c>
      <c r="C1630" s="9" t="str">
        <f t="array" ref="C1630">IF(
  AND(
    IFERROR(MATCH(Caseslist!B1630, data!D:D, 0), 0) &gt; 0,
    IFERROR(INDEX(data!N:N, MATCH(Caseslist!B1630, data!D:D, 0)) = 1, FALSE)
  ),
  "COMPLETE",
  "INC"
)</f>
        <v>COMPLETE</v>
      </c>
      <c r="D1630" s="9" t="str">
        <f t="array" ref="D1630">IFERROR(INDEX(data!$G:$G,match(Caseslist!B1630,data!$D:$D,0)), "INC")</f>
        <v>N7814260</v>
      </c>
      <c r="E1630" s="9" t="str">
        <f t="array" ref="E1630">IFERROR(INDEX(data!H:H,match(Caseslist!B1630,data!D:D,0)), "INC")</f>
        <v>Jemma Marie Tillo</v>
      </c>
      <c r="F1630" s="10" t="str">
        <f t="array" ref="F1630">IF(
    OR(
      IFNA(INDEX(data!M:M, MATCH(Caseslist!B1630, data!D:D, 0)), "") = "",
      IFNA(INDEX(data!M:M, MATCH(Caseslist!B1630, data!D:D, 0)), 0) = 0
    ),
    "COMPLETE",
    IF(
      IFNA(INDEX(dataICM!D:D, MATCH(Caseslist!B1630, dataICM!D:D, 0)), "INC") = "INC",
      IFNA(INDEX(dataICM!D:D, MATCH(Caseslist!B1630, dataICM!D:D, 0)), "INC"),
      "COMPLETE"
    )
  )</f>
        <v>COMPLETE</v>
      </c>
      <c r="G1630" s="10" t="str">
        <f t="array" ref="G1630">IF(IFERROR(INDEX(data!L:L,match(Caseslist!B1630,data!D:D,0)),"INC")="","COMPLETE",F1630)</f>
        <v>COMPLETE</v>
      </c>
      <c r="H1630" s="9" t="str">
        <f t="array" ref="H1630">IFERROR(INDEX(dataICM!F:F,match(Caseslist!B1630,dataICM!D:D,0)), "INC")</f>
        <v>INC</v>
      </c>
      <c r="I1630" s="10" t="str">
        <f t="shared" si="2"/>
        <v>N7814260</v>
      </c>
      <c r="J1630" s="9" t="str">
        <f t="array" ref="J1630">IF(
  AND(
    IFERROR(MATCH(B1630, data!D:D, 0), 0) &gt; 0,
    IFERROR(INDEX(data!N:N, MATCH(B1630, data!D:D, 0)) = 1, FALSE)
  ),
  INDEX(data!C:C, MATCH(B1630, data!D:D, 0)),
  "INC"
)</f>
        <v>2025-08-27T15:00:28.112+08</v>
      </c>
      <c r="K1630" s="9" t="str">
        <f t="array" ref="K1630">IFERROR(INDEX(dataICM!C:C,match(Caseslist!B1630,dataICM!D:D,0)), "INC")</f>
        <v>INC</v>
      </c>
      <c r="L1630" s="10" t="str">
        <f t="array" ref="L1630">IF(AND(G1630="COMPLETE", OR(K1630="INC", ISBLANK(INDEX(data!O:O, ROW())))), J1630, K1630)</f>
        <v>2025-08-27T15:00:28.112+08</v>
      </c>
      <c r="M1630" s="2">
        <v>45896.0</v>
      </c>
      <c r="N1630" s="2">
        <f t="array" ref="N1630">IF(M1630&lt;&gt;"INC", INDEX(data!M:M, MATCH(B1630, data!D:D, 0)), "")</f>
        <v>0</v>
      </c>
      <c r="O1630" s="2">
        <f t="shared" si="3"/>
        <v>0</v>
      </c>
    </row>
    <row r="1631">
      <c r="A1631" s="2" t="str">
        <f t="shared" si="1"/>
        <v>H030670</v>
      </c>
      <c r="B1631" s="1" t="s">
        <v>8942</v>
      </c>
      <c r="C1631" s="9" t="str">
        <f t="array" ref="C1631">IF(
  AND(
    IFERROR(MATCH(Caseslist!B1631, data!D:D, 0), 0) &gt; 0,
    IFERROR(INDEX(data!N:N, MATCH(Caseslist!B1631, data!D:D, 0)) = 1, FALSE)
  ),
  "COMPLETE",
  "INC"
)</f>
        <v>INC</v>
      </c>
      <c r="D1631" s="9" t="str">
        <f t="array" ref="D1631">IFERROR(INDEX(data!$G:$G,match(Caseslist!B1631,data!$D:$D,0)), "INC")</f>
        <v>INC</v>
      </c>
      <c r="E1631" s="9" t="str">
        <f t="array" ref="E1631">IFERROR(INDEX(data!H:H,match(Caseslist!B1631,data!D:D,0)), "INC")</f>
        <v>INC</v>
      </c>
      <c r="F1631" s="10" t="str">
        <f t="array" ref="F1631">IF(
    OR(
      IFNA(INDEX(data!M:M, MATCH(Caseslist!B1631, data!D:D, 0)), "") = "",
      IFNA(INDEX(data!M:M, MATCH(Caseslist!B1631, data!D:D, 0)), 0) = 0
    ),
    "COMPLETE",
    IF(
      IFNA(INDEX(dataICM!D:D, MATCH(Caseslist!B1631, dataICM!D:D, 0)), "INC") = "INC",
      IFNA(INDEX(dataICM!D:D, MATCH(Caseslist!B1631, dataICM!D:D, 0)), "INC"),
      "COMPLETE"
    )
  )</f>
        <v>COMPLETE</v>
      </c>
      <c r="G1631" s="10" t="str">
        <f t="array" ref="G1631">IF(IFERROR(INDEX(data!L:L,match(Caseslist!B1631,data!D:D,0)),"INC")="","COMPLETE",F1631)</f>
        <v>COMPLETE</v>
      </c>
      <c r="H1631" s="9" t="str">
        <f t="array" ref="H1631">IFERROR(INDEX(dataICM!F:F,match(Caseslist!B1631,dataICM!D:D,0)), "INC")</f>
        <v>INC</v>
      </c>
      <c r="I1631" s="10" t="str">
        <f t="shared" si="2"/>
        <v>INC</v>
      </c>
      <c r="J1631" s="9" t="str">
        <f t="array" ref="J1631">IF(
  AND(
    IFERROR(MATCH(B1631, data!D:D, 0), 0) &gt; 0,
    IFERROR(INDEX(data!N:N, MATCH(B1631, data!D:D, 0)) = 1, FALSE)
  ),
  INDEX(data!C:C, MATCH(B1631, data!D:D, 0)),
  "INC"
)</f>
        <v>INC</v>
      </c>
      <c r="K1631" s="9" t="str">
        <f t="array" ref="K1631">IFERROR(INDEX(dataICM!C:C,match(Caseslist!B1631,dataICM!D:D,0)), "INC")</f>
        <v>INC</v>
      </c>
      <c r="L1631" s="10" t="str">
        <f t="array" ref="L1631">IF(AND(G1631="COMPLETE", OR(K1631="INC", ISBLANK(INDEX(data!O:O, ROW())))), J1631, K1631)</f>
        <v>INC</v>
      </c>
      <c r="M1631" s="2" t="s">
        <v>8886</v>
      </c>
      <c r="N1631" s="2" t="str">
        <f t="array" ref="N1631">IF(M1631&lt;&gt;"INC", INDEX(data!M:M, MATCH(B1631, data!D:D, 0)), "")</f>
        <v/>
      </c>
      <c r="O1631" s="2" t="str">
        <f t="shared" si="3"/>
        <v/>
      </c>
    </row>
    <row r="1632">
      <c r="A1632" s="2" t="str">
        <f t="shared" si="1"/>
        <v>H030670</v>
      </c>
      <c r="B1632" s="1" t="s">
        <v>663</v>
      </c>
      <c r="C1632" s="9" t="str">
        <f t="array" ref="C1632">IF(
  AND(
    IFERROR(MATCH(Caseslist!B1632, data!D:D, 0), 0) &gt; 0,
    IFERROR(INDEX(data!N:N, MATCH(Caseslist!B1632, data!D:D, 0)) = 1, FALSE)
  ),
  "COMPLETE",
  "INC"
)</f>
        <v>COMPLETE</v>
      </c>
      <c r="D1632" s="9" t="str">
        <f t="array" ref="D1632">IFERROR(INDEX(data!$G:$G,match(Caseslist!B1632,data!$D:$D,0)), "INC")</f>
        <v>P1068432</v>
      </c>
      <c r="E1632" s="9" t="str">
        <f t="array" ref="E1632">IFERROR(INDEX(data!H:H,match(Caseslist!B1632,data!D:D,0)), "INC")</f>
        <v>Mark Daniel Balagao Benson</v>
      </c>
      <c r="F1632" s="10" t="str">
        <f t="array" ref="F1632">IF(
    OR(
      IFNA(INDEX(data!M:M, MATCH(Caseslist!B1632, data!D:D, 0)), "") = "",
      IFNA(INDEX(data!M:M, MATCH(Caseslist!B1632, data!D:D, 0)), 0) = 0
    ),
    "COMPLETE",
    IF(
      IFNA(INDEX(dataICM!D:D, MATCH(Caseslist!B1632, dataICM!D:D, 0)), "INC") = "INC",
      IFNA(INDEX(dataICM!D:D, MATCH(Caseslist!B1632, dataICM!D:D, 0)), "INC"),
      "COMPLETE"
    )
  )</f>
        <v>COMPLETE</v>
      </c>
      <c r="G1632" s="10" t="str">
        <f t="array" ref="G1632">IF(IFERROR(INDEX(data!L:L,match(Caseslist!B1632,data!D:D,0)),"INC")="","COMPLETE",F1632)</f>
        <v>COMPLETE</v>
      </c>
      <c r="H1632" s="9" t="str">
        <f t="array" ref="H1632">IFERROR(INDEX(dataICM!F:F,match(Caseslist!B1632,dataICM!D:D,0)), "INC")</f>
        <v>INC</v>
      </c>
      <c r="I1632" s="10" t="str">
        <f t="shared" si="2"/>
        <v>P1068432</v>
      </c>
      <c r="J1632" s="9" t="str">
        <f t="array" ref="J1632">IF(
  AND(
    IFERROR(MATCH(B1632, data!D:D, 0), 0) &gt; 0,
    IFERROR(INDEX(data!N:N, MATCH(B1632, data!D:D, 0)) = 1, FALSE)
  ),
  INDEX(data!C:C, MATCH(B1632, data!D:D, 0)),
  "INC"
)</f>
        <v>2025-08-27T10:39:03.753+08</v>
      </c>
      <c r="K1632" s="9" t="str">
        <f t="array" ref="K1632">IFERROR(INDEX(dataICM!C:C,match(Caseslist!B1632,dataICM!D:D,0)), "INC")</f>
        <v>INC</v>
      </c>
      <c r="L1632" s="10" t="str">
        <f t="array" ref="L1632">IF(AND(G1632="COMPLETE", OR(K1632="INC", ISBLANK(INDEX(data!O:O, ROW())))), J1632, K1632)</f>
        <v>2025-08-27T10:39:03.753+08</v>
      </c>
      <c r="M1632" s="2">
        <v>45896.0</v>
      </c>
      <c r="N1632" s="2">
        <f t="array" ref="N1632">IF(M1632&lt;&gt;"INC", INDEX(data!M:M, MATCH(B1632, data!D:D, 0)), "")</f>
        <v>0</v>
      </c>
      <c r="O1632" s="2">
        <f t="shared" si="3"/>
        <v>0</v>
      </c>
    </row>
    <row r="1633">
      <c r="A1633" s="2" t="str">
        <f t="shared" si="1"/>
        <v>H030670</v>
      </c>
      <c r="B1633" s="1" t="s">
        <v>673</v>
      </c>
      <c r="C1633" s="9" t="str">
        <f t="array" ref="C1633">IF(
  AND(
    IFERROR(MATCH(Caseslist!B1633, data!D:D, 0), 0) &gt; 0,
    IFERROR(INDEX(data!N:N, MATCH(Caseslist!B1633, data!D:D, 0)) = 1, FALSE)
  ),
  "COMPLETE",
  "INC"
)</f>
        <v>COMPLETE</v>
      </c>
      <c r="D1633" s="9" t="str">
        <f t="array" ref="D1633">IFERROR(INDEX(data!$G:$G,match(Caseslist!B1633,data!$D:$D,0)), "INC")</f>
        <v>O3925718</v>
      </c>
      <c r="E1633" s="9" t="str">
        <f t="array" ref="E1633">IFERROR(INDEX(data!H:H,match(Caseslist!B1633,data!D:D,0)), "INC")</f>
        <v>Adrian Montecastro Ferrer</v>
      </c>
      <c r="F1633" s="10" t="str">
        <f t="array" ref="F1633">IF(
    OR(
      IFNA(INDEX(data!M:M, MATCH(Caseslist!B1633, data!D:D, 0)), "") = "",
      IFNA(INDEX(data!M:M, MATCH(Caseslist!B1633, data!D:D, 0)), 0) = 0
    ),
    "COMPLETE",
    IF(
      IFNA(INDEX(dataICM!D:D, MATCH(Caseslist!B1633, dataICM!D:D, 0)), "INC") = "INC",
      IFNA(INDEX(dataICM!D:D, MATCH(Caseslist!B1633, dataICM!D:D, 0)), "INC"),
      "COMPLETE"
    )
  )</f>
        <v>COMPLETE</v>
      </c>
      <c r="G1633" s="10" t="str">
        <f t="array" ref="G1633">IF(IFERROR(INDEX(data!L:L,match(Caseslist!B1633,data!D:D,0)),"INC")="","COMPLETE",F1633)</f>
        <v>COMPLETE</v>
      </c>
      <c r="H1633" s="9" t="str">
        <f t="array" ref="H1633">IFERROR(INDEX(dataICM!F:F,match(Caseslist!B1633,dataICM!D:D,0)), "INC")</f>
        <v>INC</v>
      </c>
      <c r="I1633" s="10" t="str">
        <f t="shared" si="2"/>
        <v>O3925718</v>
      </c>
      <c r="J1633" s="9" t="str">
        <f t="array" ref="J1633">IF(
  AND(
    IFERROR(MATCH(B1633, data!D:D, 0), 0) &gt; 0,
    IFERROR(INDEX(data!N:N, MATCH(B1633, data!D:D, 0)) = 1, FALSE)
  ),
  INDEX(data!C:C, MATCH(B1633, data!D:D, 0)),
  "INC"
)</f>
        <v>2025-08-27T11:38:40.054+08</v>
      </c>
      <c r="K1633" s="9" t="str">
        <f t="array" ref="K1633">IFERROR(INDEX(dataICM!C:C,match(Caseslist!B1633,dataICM!D:D,0)), "INC")</f>
        <v>INC</v>
      </c>
      <c r="L1633" s="10" t="str">
        <f t="array" ref="L1633">IF(AND(G1633="COMPLETE", OR(K1633="INC", ISBLANK(INDEX(data!O:O, ROW())))), J1633, K1633)</f>
        <v>2025-08-27T11:38:40.054+08</v>
      </c>
      <c r="M1633" s="2">
        <v>45896.0</v>
      </c>
      <c r="N1633" s="2">
        <f t="array" ref="N1633">IF(M1633&lt;&gt;"INC", INDEX(data!M:M, MATCH(B1633, data!D:D, 0)), "")</f>
        <v>0</v>
      </c>
      <c r="O1633" s="2">
        <f t="shared" si="3"/>
        <v>0</v>
      </c>
    </row>
    <row r="1634">
      <c r="A1634" s="2" t="str">
        <f t="shared" si="1"/>
        <v>H030670</v>
      </c>
      <c r="B1634" s="1" t="s">
        <v>658</v>
      </c>
      <c r="C1634" s="9" t="str">
        <f t="array" ref="C1634">IF(
  AND(
    IFERROR(MATCH(Caseslist!B1634, data!D:D, 0), 0) &gt; 0,
    IFERROR(INDEX(data!N:N, MATCH(Caseslist!B1634, data!D:D, 0)) = 1, FALSE)
  ),
  "COMPLETE",
  "INC"
)</f>
        <v>COMPLETE</v>
      </c>
      <c r="D1634" s="9" t="str">
        <f t="array" ref="D1634">IFERROR(INDEX(data!$G:$G,match(Caseslist!B1634,data!$D:$D,0)), "INC")</f>
        <v>P1068432</v>
      </c>
      <c r="E1634" s="9" t="str">
        <f t="array" ref="E1634">IFERROR(INDEX(data!H:H,match(Caseslist!B1634,data!D:D,0)), "INC")</f>
        <v>Mark Daniel Balagao Benson</v>
      </c>
      <c r="F1634" s="10" t="str">
        <f t="array" ref="F1634">IF(
    OR(
      IFNA(INDEX(data!M:M, MATCH(Caseslist!B1634, data!D:D, 0)), "") = "",
      IFNA(INDEX(data!M:M, MATCH(Caseslist!B1634, data!D:D, 0)), 0) = 0
    ),
    "COMPLETE",
    IF(
      IFNA(INDEX(dataICM!D:D, MATCH(Caseslist!B1634, dataICM!D:D, 0)), "INC") = "INC",
      IFNA(INDEX(dataICM!D:D, MATCH(Caseslist!B1634, dataICM!D:D, 0)), "INC"),
      "COMPLETE"
    )
  )</f>
        <v>COMPLETE</v>
      </c>
      <c r="G1634" s="10" t="str">
        <f t="array" ref="G1634">IF(IFERROR(INDEX(data!L:L,match(Caseslist!B1634,data!D:D,0)),"INC")="","COMPLETE",F1634)</f>
        <v>COMPLETE</v>
      </c>
      <c r="H1634" s="9" t="str">
        <f t="array" ref="H1634">IFERROR(INDEX(dataICM!F:F,match(Caseslist!B1634,dataICM!D:D,0)), "INC")</f>
        <v>INC</v>
      </c>
      <c r="I1634" s="10" t="str">
        <f t="shared" si="2"/>
        <v>P1068432</v>
      </c>
      <c r="J1634" s="9" t="str">
        <f t="array" ref="J1634">IF(
  AND(
    IFERROR(MATCH(B1634, data!D:D, 0), 0) &gt; 0,
    IFERROR(INDEX(data!N:N, MATCH(B1634, data!D:D, 0)) = 1, FALSE)
  ),
  INDEX(data!C:C, MATCH(B1634, data!D:D, 0)),
  "INC"
)</f>
        <v>2025-08-27T14:39:42.393+08</v>
      </c>
      <c r="K1634" s="9" t="str">
        <f t="array" ref="K1634">IFERROR(INDEX(dataICM!C:C,match(Caseslist!B1634,dataICM!D:D,0)), "INC")</f>
        <v>INC</v>
      </c>
      <c r="L1634" s="10" t="str">
        <f t="array" ref="L1634">IF(AND(G1634="COMPLETE", OR(K1634="INC", ISBLANK(INDEX(data!O:O, ROW())))), J1634, K1634)</f>
        <v>2025-08-27T14:39:42.393+08</v>
      </c>
      <c r="M1634" s="2">
        <v>45896.0</v>
      </c>
      <c r="N1634" s="2">
        <f t="array" ref="N1634">IF(M1634&lt;&gt;"INC", INDEX(data!M:M, MATCH(B1634, data!D:D, 0)), "")</f>
        <v>0</v>
      </c>
      <c r="O1634" s="2">
        <f t="shared" si="3"/>
        <v>0</v>
      </c>
    </row>
    <row r="1635">
      <c r="A1635" s="2" t="str">
        <f t="shared" si="1"/>
        <v>H030670</v>
      </c>
      <c r="B1635" s="1" t="s">
        <v>8813</v>
      </c>
      <c r="C1635" s="9" t="str">
        <f t="array" ref="C1635">IF(
  AND(
    IFERROR(MATCH(Caseslist!B1635, data!D:D, 0), 0) &gt; 0,
    IFERROR(INDEX(data!N:N, MATCH(Caseslist!B1635, data!D:D, 0)) = 1, FALSE)
  ),
  "COMPLETE",
  "INC"
)</f>
        <v>COMPLETE</v>
      </c>
      <c r="D1635" s="9" t="str">
        <f t="array" ref="D1635">IFERROR(INDEX(data!$G:$G,match(Caseslist!B1635,data!$D:$D,0)), "INC")</f>
        <v>O3925718</v>
      </c>
      <c r="E1635" s="9" t="str">
        <f t="array" ref="E1635">IFERROR(INDEX(data!H:H,match(Caseslist!B1635,data!D:D,0)), "INC")</f>
        <v>Adrian Montecastro Ferrer</v>
      </c>
      <c r="F1635" s="10" t="str">
        <f t="array" ref="F1635">IF(
    OR(
      IFNA(INDEX(data!M:M, MATCH(Caseslist!B1635, data!D:D, 0)), "") = "",
      IFNA(INDEX(data!M:M, MATCH(Caseslist!B1635, data!D:D, 0)), 0) = 0
    ),
    "COMPLETE",
    IF(
      IFNA(INDEX(dataICM!D:D, MATCH(Caseslist!B1635, dataICM!D:D, 0)), "INC") = "INC",
      IFNA(INDEX(dataICM!D:D, MATCH(Caseslist!B1635, dataICM!D:D, 0)), "INC"),
      "COMPLETE"
    )
  )</f>
        <v>COMPLETE</v>
      </c>
      <c r="G1635" s="10" t="str">
        <f t="array" ref="G1635">IF(IFERROR(INDEX(data!L:L,match(Caseslist!B1635,data!D:D,0)),"INC")="","COMPLETE",F1635)</f>
        <v>COMPLETE</v>
      </c>
      <c r="H1635" s="9" t="str">
        <f t="array" ref="H1635">IFERROR(INDEX(dataICM!F:F,match(Caseslist!B1635,dataICM!D:D,0)), "INC")</f>
        <v>INC</v>
      </c>
      <c r="I1635" s="10" t="str">
        <f t="shared" si="2"/>
        <v>O3925718</v>
      </c>
      <c r="J1635" s="9" t="str">
        <f t="array" ref="J1635">IF(
  AND(
    IFERROR(MATCH(B1635, data!D:D, 0), 0) &gt; 0,
    IFERROR(INDEX(data!N:N, MATCH(B1635, data!D:D, 0)) = 1, FALSE)
  ),
  INDEX(data!C:C, MATCH(B1635, data!D:D, 0)),
  "INC"
)</f>
        <v>2025-10-01T12:47:27.097+08</v>
      </c>
      <c r="K1635" s="9" t="str">
        <f t="array" ref="K1635">IFERROR(INDEX(dataICM!C:C,match(Caseslist!B1635,dataICM!D:D,0)), "INC")</f>
        <v>INC</v>
      </c>
      <c r="L1635" s="10" t="str">
        <f t="array" ref="L1635">IF(AND(G1635="COMPLETE", OR(K1635="INC", ISBLANK(INDEX(data!O:O, ROW())))), J1635, K1635)</f>
        <v>2025-10-01T12:47:27.097+08</v>
      </c>
      <c r="M1635" s="2">
        <v>45931.0</v>
      </c>
      <c r="N1635" s="2">
        <f t="array" ref="N1635">IF(M1635&lt;&gt;"INC", INDEX(data!M:M, MATCH(B1635, data!D:D, 0)), "")</f>
        <v>0</v>
      </c>
      <c r="O1635" s="2">
        <f t="shared" si="3"/>
        <v>0</v>
      </c>
    </row>
    <row r="1636">
      <c r="A1636" s="2" t="str">
        <f t="shared" si="1"/>
        <v>H030670</v>
      </c>
      <c r="B1636" s="1" t="s">
        <v>668</v>
      </c>
      <c r="C1636" s="9" t="str">
        <f t="array" ref="C1636">IF(
  AND(
    IFERROR(MATCH(Caseslist!B1636, data!D:D, 0), 0) &gt; 0,
    IFERROR(INDEX(data!N:N, MATCH(Caseslist!B1636, data!D:D, 0)) = 1, FALSE)
  ),
  "COMPLETE",
  "INC"
)</f>
        <v>COMPLETE</v>
      </c>
      <c r="D1636" s="9" t="str">
        <f t="array" ref="D1636">IFERROR(INDEX(data!$G:$G,match(Caseslist!B1636,data!$D:$D,0)), "INC")</f>
        <v>O3925718</v>
      </c>
      <c r="E1636" s="9" t="str">
        <f t="array" ref="E1636">IFERROR(INDEX(data!H:H,match(Caseslist!B1636,data!D:D,0)), "INC")</f>
        <v>Adrian Montecastro Ferrer</v>
      </c>
      <c r="F1636" s="10" t="str">
        <f t="array" ref="F1636">IF(
    OR(
      IFNA(INDEX(data!M:M, MATCH(Caseslist!B1636, data!D:D, 0)), "") = "",
      IFNA(INDEX(data!M:M, MATCH(Caseslist!B1636, data!D:D, 0)), 0) = 0
    ),
    "COMPLETE",
    IF(
      IFNA(INDEX(dataICM!D:D, MATCH(Caseslist!B1636, dataICM!D:D, 0)), "INC") = "INC",
      IFNA(INDEX(dataICM!D:D, MATCH(Caseslist!B1636, dataICM!D:D, 0)), "INC"),
      "COMPLETE"
    )
  )</f>
        <v>COMPLETE</v>
      </c>
      <c r="G1636" s="10" t="str">
        <f t="array" ref="G1636">IF(IFERROR(INDEX(data!L:L,match(Caseslist!B1636,data!D:D,0)),"INC")="","COMPLETE",F1636)</f>
        <v>COMPLETE</v>
      </c>
      <c r="H1636" s="9" t="str">
        <f t="array" ref="H1636">IFERROR(INDEX(dataICM!F:F,match(Caseslist!B1636,dataICM!D:D,0)), "INC")</f>
        <v>INC</v>
      </c>
      <c r="I1636" s="10" t="str">
        <f t="shared" si="2"/>
        <v>O3925718</v>
      </c>
      <c r="J1636" s="9" t="str">
        <f t="array" ref="J1636">IF(
  AND(
    IFERROR(MATCH(B1636, data!D:D, 0), 0) &gt; 0,
    IFERROR(INDEX(data!N:N, MATCH(B1636, data!D:D, 0)) = 1, FALSE)
  ),
  INDEX(data!C:C, MATCH(B1636, data!D:D, 0)),
  "INC"
)</f>
        <v>2025-08-27T13:12:59.487+08</v>
      </c>
      <c r="K1636" s="9" t="str">
        <f t="array" ref="K1636">IFERROR(INDEX(dataICM!C:C,match(Caseslist!B1636,dataICM!D:D,0)), "INC")</f>
        <v>INC</v>
      </c>
      <c r="L1636" s="10" t="str">
        <f t="array" ref="L1636">IF(AND(G1636="COMPLETE", OR(K1636="INC", ISBLANK(INDEX(data!O:O, ROW())))), J1636, K1636)</f>
        <v>2025-08-27T13:12:59.487+08</v>
      </c>
      <c r="M1636" s="2">
        <v>45896.0</v>
      </c>
      <c r="N1636" s="2">
        <f t="array" ref="N1636">IF(M1636&lt;&gt;"INC", INDEX(data!M:M, MATCH(B1636, data!D:D, 0)), "")</f>
        <v>0</v>
      </c>
      <c r="O1636" s="2">
        <f t="shared" si="3"/>
        <v>0</v>
      </c>
    </row>
    <row r="1637">
      <c r="A1637" s="2" t="str">
        <f t="shared" si="1"/>
        <v>H030676</v>
      </c>
      <c r="B1637" s="1" t="s">
        <v>2419</v>
      </c>
      <c r="C1637" s="9" t="str">
        <f t="array" ref="C1637">IF(
  AND(
    IFERROR(MATCH(Caseslist!B1637, data!D:D, 0), 0) &gt; 0,
    IFERROR(INDEX(data!N:N, MATCH(Caseslist!B1637, data!D:D, 0)) = 1, FALSE)
  ),
  "COMPLETE",
  "INC"
)</f>
        <v>COMPLETE</v>
      </c>
      <c r="D1637" s="9" t="str">
        <f t="array" ref="D1637">IFERROR(INDEX(data!$G:$G,match(Caseslist!B1637,data!$D:$D,0)), "INC")</f>
        <v>L2057896</v>
      </c>
      <c r="E1637" s="9" t="str">
        <f t="array" ref="E1637">IFERROR(INDEX(data!H:H,match(Caseslist!B1637,data!D:D,0)), "INC")</f>
        <v>Franz Reoben Posadas Geneblaza</v>
      </c>
      <c r="F1637" s="10" t="str">
        <f t="array" ref="F1637">IF(
    OR(
      IFNA(INDEX(data!M:M, MATCH(Caseslist!B1637, data!D:D, 0)), "") = "",
      IFNA(INDEX(data!M:M, MATCH(Caseslist!B1637, data!D:D, 0)), 0) = 0
    ),
    "COMPLETE",
    IF(
      IFNA(INDEX(dataICM!D:D, MATCH(Caseslist!B1637, dataICM!D:D, 0)), "INC") = "INC",
      IFNA(INDEX(dataICM!D:D, MATCH(Caseslist!B1637, dataICM!D:D, 0)), "INC"),
      "COMPLETE"
    )
  )</f>
        <v>COMPLETE</v>
      </c>
      <c r="G1637" s="10" t="str">
        <f t="array" ref="G1637">IF(IFERROR(INDEX(data!L:L,match(Caseslist!B1637,data!D:D,0)),"INC")="","COMPLETE",F1637)</f>
        <v>COMPLETE</v>
      </c>
      <c r="H1637" s="9" t="str">
        <f t="array" ref="H1637">IFERROR(INDEX(dataICM!F:F,match(Caseslist!B1637,dataICM!D:D,0)), "INC")</f>
        <v>INC</v>
      </c>
      <c r="I1637" s="10" t="str">
        <f t="shared" si="2"/>
        <v>L2057896</v>
      </c>
      <c r="J1637" s="9" t="str">
        <f t="array" ref="J1637">IF(
  AND(
    IFERROR(MATCH(B1637, data!D:D, 0), 0) &gt; 0,
    IFERROR(INDEX(data!N:N, MATCH(B1637, data!D:D, 0)) = 1, FALSE)
  ),
  INDEX(data!C:C, MATCH(B1637, data!D:D, 0)),
  "INC"
)</f>
        <v>2025-09-01T10:25:07.152+08</v>
      </c>
      <c r="K1637" s="9" t="str">
        <f t="array" ref="K1637">IFERROR(INDEX(dataICM!C:C,match(Caseslist!B1637,dataICM!D:D,0)), "INC")</f>
        <v>INC</v>
      </c>
      <c r="L1637" s="10" t="str">
        <f t="array" ref="L1637">IF(AND(G1637="COMPLETE", OR(K1637="INC", ISBLANK(INDEX(data!O:O, ROW())))), J1637, K1637)</f>
        <v>2025-09-01T10:25:07.152+08</v>
      </c>
      <c r="M1637" s="2">
        <v>45901.0</v>
      </c>
      <c r="N1637" s="2">
        <f t="array" ref="N1637">IF(M1637&lt;&gt;"INC", INDEX(data!M:M, MATCH(B1637, data!D:D, 0)), "")</f>
        <v>0</v>
      </c>
      <c r="O1637" s="2">
        <f t="shared" si="3"/>
        <v>0</v>
      </c>
    </row>
    <row r="1638">
      <c r="A1638" s="2" t="str">
        <f t="shared" si="1"/>
        <v>H030676</v>
      </c>
      <c r="B1638" s="1" t="s">
        <v>2464</v>
      </c>
      <c r="C1638" s="9" t="str">
        <f t="array" ref="C1638">IF(
  AND(
    IFERROR(MATCH(Caseslist!B1638, data!D:D, 0), 0) &gt; 0,
    IFERROR(INDEX(data!N:N, MATCH(Caseslist!B1638, data!D:D, 0)) = 1, FALSE)
  ),
  "COMPLETE",
  "INC"
)</f>
        <v>COMPLETE</v>
      </c>
      <c r="D1638" s="9" t="str">
        <f t="array" ref="D1638">IFERROR(INDEX(data!$G:$G,match(Caseslist!B1638,data!$D:$D,0)), "INC")</f>
        <v>J4315980</v>
      </c>
      <c r="E1638" s="9" t="str">
        <f t="array" ref="E1638">IFERROR(INDEX(data!H:H,match(Caseslist!B1638,data!D:D,0)), "INC")</f>
        <v>Trixie Marie Jardeleza Saber</v>
      </c>
      <c r="F1638" s="10" t="str">
        <f t="array" ref="F1638">IF(
    OR(
      IFNA(INDEX(data!M:M, MATCH(Caseslist!B1638, data!D:D, 0)), "") = "",
      IFNA(INDEX(data!M:M, MATCH(Caseslist!B1638, data!D:D, 0)), 0) = 0
    ),
    "COMPLETE",
    IF(
      IFNA(INDEX(dataICM!D:D, MATCH(Caseslist!B1638, dataICM!D:D, 0)), "INC") = "INC",
      IFNA(INDEX(dataICM!D:D, MATCH(Caseslist!B1638, dataICM!D:D, 0)), "INC"),
      "COMPLETE"
    )
  )</f>
        <v>COMPLETE</v>
      </c>
      <c r="G1638" s="10" t="str">
        <f t="array" ref="G1638">IF(IFERROR(INDEX(data!L:L,match(Caseslist!B1638,data!D:D,0)),"INC")="","COMPLETE",F1638)</f>
        <v>COMPLETE</v>
      </c>
      <c r="H1638" s="9" t="str">
        <f t="array" ref="H1638">IFERROR(INDEX(dataICM!F:F,match(Caseslist!B1638,dataICM!D:D,0)), "INC")</f>
        <v>INC</v>
      </c>
      <c r="I1638" s="10" t="str">
        <f t="shared" si="2"/>
        <v>J4315980</v>
      </c>
      <c r="J1638" s="9" t="str">
        <f t="array" ref="J1638">IF(
  AND(
    IFERROR(MATCH(B1638, data!D:D, 0), 0) &gt; 0,
    IFERROR(INDEX(data!N:N, MATCH(B1638, data!D:D, 0)) = 1, FALSE)
  ),
  INDEX(data!C:C, MATCH(B1638, data!D:D, 0)),
  "INC"
)</f>
        <v>2025-09-01T13:19:47.871+08</v>
      </c>
      <c r="K1638" s="9" t="str">
        <f t="array" ref="K1638">IFERROR(INDEX(dataICM!C:C,match(Caseslist!B1638,dataICM!D:D,0)), "INC")</f>
        <v>INC</v>
      </c>
      <c r="L1638" s="10" t="str">
        <f t="array" ref="L1638">IF(AND(G1638="COMPLETE", OR(K1638="INC", ISBLANK(INDEX(data!O:O, ROW())))), J1638, K1638)</f>
        <v>2025-09-01T13:19:47.871+08</v>
      </c>
      <c r="M1638" s="2">
        <v>45901.0</v>
      </c>
      <c r="N1638" s="2">
        <f t="array" ref="N1638">IF(M1638&lt;&gt;"INC", INDEX(data!M:M, MATCH(B1638, data!D:D, 0)), "")</f>
        <v>0</v>
      </c>
      <c r="O1638" s="2">
        <f t="shared" si="3"/>
        <v>0</v>
      </c>
    </row>
    <row r="1639">
      <c r="A1639" s="2" t="str">
        <f t="shared" si="1"/>
        <v>H030676</v>
      </c>
      <c r="B1639" s="1" t="s">
        <v>2504</v>
      </c>
      <c r="C1639" s="9" t="str">
        <f t="array" ref="C1639">IF(
  AND(
    IFERROR(MATCH(Caseslist!B1639, data!D:D, 0), 0) &gt; 0,
    IFERROR(INDEX(data!N:N, MATCH(Caseslist!B1639, data!D:D, 0)) = 1, FALSE)
  ),
  "COMPLETE",
  "INC"
)</f>
        <v>COMPLETE</v>
      </c>
      <c r="D1639" s="9" t="str">
        <f t="array" ref="D1639">IFERROR(INDEX(data!$G:$G,match(Caseslist!B1639,data!$D:$D,0)), "INC")</f>
        <v>M6491032</v>
      </c>
      <c r="E1639" s="9" t="str">
        <f t="array" ref="E1639">IFERROR(INDEX(data!H:H,match(Caseslist!B1639,data!D:D,0)), "INC")</f>
        <v>Rosevil Tayo Desamparado</v>
      </c>
      <c r="F1639" s="10" t="str">
        <f t="array" ref="F1639">IF(
    OR(
      IFNA(INDEX(data!M:M, MATCH(Caseslist!B1639, data!D:D, 0)), "") = "",
      IFNA(INDEX(data!M:M, MATCH(Caseslist!B1639, data!D:D, 0)), 0) = 0
    ),
    "COMPLETE",
    IF(
      IFNA(INDEX(dataICM!D:D, MATCH(Caseslist!B1639, dataICM!D:D, 0)), "INC") = "INC",
      IFNA(INDEX(dataICM!D:D, MATCH(Caseslist!B1639, dataICM!D:D, 0)), "INC"),
      "COMPLETE"
    )
  )</f>
        <v>COMPLETE</v>
      </c>
      <c r="G1639" s="10" t="str">
        <f t="array" ref="G1639">IF(IFERROR(INDEX(data!L:L,match(Caseslist!B1639,data!D:D,0)),"INC")="","COMPLETE",F1639)</f>
        <v>COMPLETE</v>
      </c>
      <c r="H1639" s="9" t="str">
        <f t="array" ref="H1639">IFERROR(INDEX(dataICM!F:F,match(Caseslist!B1639,dataICM!D:D,0)), "INC")</f>
        <v>INC</v>
      </c>
      <c r="I1639" s="10" t="str">
        <f t="shared" si="2"/>
        <v>M6491032</v>
      </c>
      <c r="J1639" s="9" t="str">
        <f t="array" ref="J1639">IF(
  AND(
    IFERROR(MATCH(B1639, data!D:D, 0), 0) &gt; 0,
    IFERROR(INDEX(data!N:N, MATCH(B1639, data!D:D, 0)) = 1, FALSE)
  ),
  INDEX(data!C:C, MATCH(B1639, data!D:D, 0)),
  "INC"
)</f>
        <v>2025-09-01T09:52:21.153+08</v>
      </c>
      <c r="K1639" s="9" t="str">
        <f t="array" ref="K1639">IFERROR(INDEX(dataICM!C:C,match(Caseslist!B1639,dataICM!D:D,0)), "INC")</f>
        <v>INC</v>
      </c>
      <c r="L1639" s="10" t="str">
        <f t="array" ref="L1639">IF(AND(G1639="COMPLETE", OR(K1639="INC", ISBLANK(INDEX(data!O:O, ROW())))), J1639, K1639)</f>
        <v>2025-09-01T09:52:21.153+08</v>
      </c>
      <c r="M1639" s="2">
        <v>45901.0</v>
      </c>
      <c r="N1639" s="2">
        <f t="array" ref="N1639">IF(M1639&lt;&gt;"INC", INDEX(data!M:M, MATCH(B1639, data!D:D, 0)), "")</f>
        <v>0</v>
      </c>
      <c r="O1639" s="2">
        <f t="shared" si="3"/>
        <v>0</v>
      </c>
    </row>
    <row r="1640">
      <c r="A1640" s="2" t="str">
        <f t="shared" si="1"/>
        <v>H030676</v>
      </c>
      <c r="B1640" s="1" t="s">
        <v>2459</v>
      </c>
      <c r="C1640" s="9" t="str">
        <f t="array" ref="C1640">IF(
  AND(
    IFERROR(MATCH(Caseslist!B1640, data!D:D, 0), 0) &gt; 0,
    IFERROR(INDEX(data!N:N, MATCH(Caseslist!B1640, data!D:D, 0)) = 1, FALSE)
  ),
  "COMPLETE",
  "INC"
)</f>
        <v>COMPLETE</v>
      </c>
      <c r="D1640" s="9" t="str">
        <f t="array" ref="D1640">IFERROR(INDEX(data!$G:$G,match(Caseslist!B1640,data!$D:$D,0)), "INC")</f>
        <v>J4315980</v>
      </c>
      <c r="E1640" s="9" t="str">
        <f t="array" ref="E1640">IFERROR(INDEX(data!H:H,match(Caseslist!B1640,data!D:D,0)), "INC")</f>
        <v>Trixie Marie Jardeleza Saber</v>
      </c>
      <c r="F1640" s="10" t="str">
        <f t="array" ref="F1640">IF(
    OR(
      IFNA(INDEX(data!M:M, MATCH(Caseslist!B1640, data!D:D, 0)), "") = "",
      IFNA(INDEX(data!M:M, MATCH(Caseslist!B1640, data!D:D, 0)), 0) = 0
    ),
    "COMPLETE",
    IF(
      IFNA(INDEX(dataICM!D:D, MATCH(Caseslist!B1640, dataICM!D:D, 0)), "INC") = "INC",
      IFNA(INDEX(dataICM!D:D, MATCH(Caseslist!B1640, dataICM!D:D, 0)), "INC"),
      "COMPLETE"
    )
  )</f>
        <v>COMPLETE</v>
      </c>
      <c r="G1640" s="10" t="str">
        <f t="array" ref="G1640">IF(IFERROR(INDEX(data!L:L,match(Caseslist!B1640,data!D:D,0)),"INC")="","COMPLETE",F1640)</f>
        <v>COMPLETE</v>
      </c>
      <c r="H1640" s="9" t="str">
        <f t="array" ref="H1640">IFERROR(INDEX(dataICM!F:F,match(Caseslist!B1640,dataICM!D:D,0)), "INC")</f>
        <v>INC</v>
      </c>
      <c r="I1640" s="10" t="str">
        <f t="shared" si="2"/>
        <v>J4315980</v>
      </c>
      <c r="J1640" s="9" t="str">
        <f t="array" ref="J1640">IF(
  AND(
    IFERROR(MATCH(B1640, data!D:D, 0), 0) &gt; 0,
    IFERROR(INDEX(data!N:N, MATCH(B1640, data!D:D, 0)) = 1, FALSE)
  ),
  INDEX(data!C:C, MATCH(B1640, data!D:D, 0)),
  "INC"
)</f>
        <v>2025-09-01T09:39:39.136+08</v>
      </c>
      <c r="K1640" s="9" t="str">
        <f t="array" ref="K1640">IFERROR(INDEX(dataICM!C:C,match(Caseslist!B1640,dataICM!D:D,0)), "INC")</f>
        <v>INC</v>
      </c>
      <c r="L1640" s="10" t="str">
        <f t="array" ref="L1640">IF(AND(G1640="COMPLETE", OR(K1640="INC", ISBLANK(INDEX(data!O:O, ROW())))), J1640, K1640)</f>
        <v>2025-09-01T09:39:39.136+08</v>
      </c>
      <c r="M1640" s="2">
        <v>45901.0</v>
      </c>
      <c r="N1640" s="2">
        <f t="array" ref="N1640">IF(M1640&lt;&gt;"INC", INDEX(data!M:M, MATCH(B1640, data!D:D, 0)), "")</f>
        <v>0</v>
      </c>
      <c r="O1640" s="2">
        <f t="shared" si="3"/>
        <v>0</v>
      </c>
    </row>
    <row r="1641">
      <c r="A1641" s="2" t="str">
        <f t="shared" si="1"/>
        <v>H030676</v>
      </c>
      <c r="B1641" s="1" t="s">
        <v>2414</v>
      </c>
      <c r="C1641" s="9" t="str">
        <f t="array" ref="C1641">IF(
  AND(
    IFERROR(MATCH(Caseslist!B1641, data!D:D, 0), 0) &gt; 0,
    IFERROR(INDEX(data!N:N, MATCH(Caseslist!B1641, data!D:D, 0)) = 1, FALSE)
  ),
  "COMPLETE",
  "INC"
)</f>
        <v>COMPLETE</v>
      </c>
      <c r="D1641" s="9" t="str">
        <f t="array" ref="D1641">IFERROR(INDEX(data!$G:$G,match(Caseslist!B1641,data!$D:$D,0)), "INC")</f>
        <v>L2057896</v>
      </c>
      <c r="E1641" s="9" t="str">
        <f t="array" ref="E1641">IFERROR(INDEX(data!H:H,match(Caseslist!B1641,data!D:D,0)), "INC")</f>
        <v>Franz Reoben Posadas Geneblaza</v>
      </c>
      <c r="F1641" s="10" t="str">
        <f t="array" ref="F1641">IF(
    OR(
      IFNA(INDEX(data!M:M, MATCH(Caseslist!B1641, data!D:D, 0)), "") = "",
      IFNA(INDEX(data!M:M, MATCH(Caseslist!B1641, data!D:D, 0)), 0) = 0
    ),
    "COMPLETE",
    IF(
      IFNA(INDEX(dataICM!D:D, MATCH(Caseslist!B1641, dataICM!D:D, 0)), "INC") = "INC",
      IFNA(INDEX(dataICM!D:D, MATCH(Caseslist!B1641, dataICM!D:D, 0)), "INC"),
      "COMPLETE"
    )
  )</f>
        <v>COMPLETE</v>
      </c>
      <c r="G1641" s="10" t="str">
        <f t="array" ref="G1641">IF(IFERROR(INDEX(data!L:L,match(Caseslist!B1641,data!D:D,0)),"INC")="","COMPLETE",F1641)</f>
        <v>COMPLETE</v>
      </c>
      <c r="H1641" s="9" t="str">
        <f t="array" ref="H1641">IFERROR(INDEX(dataICM!F:F,match(Caseslist!B1641,dataICM!D:D,0)), "INC")</f>
        <v>INC</v>
      </c>
      <c r="I1641" s="10" t="str">
        <f t="shared" si="2"/>
        <v>L2057896</v>
      </c>
      <c r="J1641" s="9" t="str">
        <f t="array" ref="J1641">IF(
  AND(
    IFERROR(MATCH(B1641, data!D:D, 0), 0) &gt; 0,
    IFERROR(INDEX(data!N:N, MATCH(B1641, data!D:D, 0)) = 1, FALSE)
  ),
  INDEX(data!C:C, MATCH(B1641, data!D:D, 0)),
  "INC"
)</f>
        <v>2025-09-01T09:44:18.391+08</v>
      </c>
      <c r="K1641" s="9" t="str">
        <f t="array" ref="K1641">IFERROR(INDEX(dataICM!C:C,match(Caseslist!B1641,dataICM!D:D,0)), "INC")</f>
        <v>INC</v>
      </c>
      <c r="L1641" s="10" t="str">
        <f t="array" ref="L1641">IF(AND(G1641="COMPLETE", OR(K1641="INC", ISBLANK(INDEX(data!O:O, ROW())))), J1641, K1641)</f>
        <v>2025-09-01T09:44:18.391+08</v>
      </c>
      <c r="M1641" s="2">
        <v>45901.0</v>
      </c>
      <c r="N1641" s="2">
        <f t="array" ref="N1641">IF(M1641&lt;&gt;"INC", INDEX(data!M:M, MATCH(B1641, data!D:D, 0)), "")</f>
        <v>0</v>
      </c>
      <c r="O1641" s="2">
        <f t="shared" si="3"/>
        <v>0</v>
      </c>
    </row>
    <row r="1642">
      <c r="A1642" s="2" t="str">
        <f t="shared" si="1"/>
        <v>H030676</v>
      </c>
      <c r="B1642" s="1" t="s">
        <v>2489</v>
      </c>
      <c r="C1642" s="9" t="str">
        <f t="array" ref="C1642">IF(
  AND(
    IFERROR(MATCH(Caseslist!B1642, data!D:D, 0), 0) &gt; 0,
    IFERROR(INDEX(data!N:N, MATCH(Caseslist!B1642, data!D:D, 0)) = 1, FALSE)
  ),
  "COMPLETE",
  "INC"
)</f>
        <v>COMPLETE</v>
      </c>
      <c r="D1642" s="9" t="str">
        <f t="array" ref="D1642">IFERROR(INDEX(data!$G:$G,match(Caseslist!B1642,data!$D:$D,0)), "INC")</f>
        <v>M6491032</v>
      </c>
      <c r="E1642" s="9" t="str">
        <f t="array" ref="E1642">IFERROR(INDEX(data!H:H,match(Caseslist!B1642,data!D:D,0)), "INC")</f>
        <v>Rosevil Tayo Desamparado</v>
      </c>
      <c r="F1642" s="10" t="str">
        <f t="array" ref="F1642">IF(
    OR(
      IFNA(INDEX(data!M:M, MATCH(Caseslist!B1642, data!D:D, 0)), "") = "",
      IFNA(INDEX(data!M:M, MATCH(Caseslist!B1642, data!D:D, 0)), 0) = 0
    ),
    "COMPLETE",
    IF(
      IFNA(INDEX(dataICM!D:D, MATCH(Caseslist!B1642, dataICM!D:D, 0)), "INC") = "INC",
      IFNA(INDEX(dataICM!D:D, MATCH(Caseslist!B1642, dataICM!D:D, 0)), "INC"),
      "COMPLETE"
    )
  )</f>
        <v>COMPLETE</v>
      </c>
      <c r="G1642" s="10" t="str">
        <f t="array" ref="G1642">IF(IFERROR(INDEX(data!L:L,match(Caseslist!B1642,data!D:D,0)),"INC")="","COMPLETE",F1642)</f>
        <v>COMPLETE</v>
      </c>
      <c r="H1642" s="9" t="str">
        <f t="array" ref="H1642">IFERROR(INDEX(dataICM!F:F,match(Caseslist!B1642,dataICM!D:D,0)), "INC")</f>
        <v>INC</v>
      </c>
      <c r="I1642" s="10" t="str">
        <f t="shared" si="2"/>
        <v>M6491032</v>
      </c>
      <c r="J1642" s="9" t="str">
        <f t="array" ref="J1642">IF(
  AND(
    IFERROR(MATCH(B1642, data!D:D, 0), 0) &gt; 0,
    IFERROR(INDEX(data!N:N, MATCH(B1642, data!D:D, 0)) = 1, FALSE)
  ),
  INDEX(data!C:C, MATCH(B1642, data!D:D, 0)),
  "INC"
)</f>
        <v>2025-09-01T19:16:08.338+08</v>
      </c>
      <c r="K1642" s="9" t="str">
        <f t="array" ref="K1642">IFERROR(INDEX(dataICM!C:C,match(Caseslist!B1642,dataICM!D:D,0)), "INC")</f>
        <v>INC</v>
      </c>
      <c r="L1642" s="10" t="str">
        <f t="array" ref="L1642">IF(AND(G1642="COMPLETE", OR(K1642="INC", ISBLANK(INDEX(data!O:O, ROW())))), J1642, K1642)</f>
        <v>2025-09-01T19:16:08.338+08</v>
      </c>
      <c r="M1642" s="2">
        <v>45901.0</v>
      </c>
      <c r="N1642" s="2">
        <f t="array" ref="N1642">IF(M1642&lt;&gt;"INC", INDEX(data!M:M, MATCH(B1642, data!D:D, 0)), "")</f>
        <v>0</v>
      </c>
      <c r="O1642" s="2">
        <f t="shared" si="3"/>
        <v>0</v>
      </c>
    </row>
    <row r="1643">
      <c r="A1643" s="2" t="str">
        <f t="shared" si="1"/>
        <v>H030676</v>
      </c>
      <c r="B1643" s="1" t="s">
        <v>2479</v>
      </c>
      <c r="C1643" s="9" t="str">
        <f t="array" ref="C1643">IF(
  AND(
    IFERROR(MATCH(Caseslist!B1643, data!D:D, 0), 0) &gt; 0,
    IFERROR(INDEX(data!N:N, MATCH(Caseslist!B1643, data!D:D, 0)) = 1, FALSE)
  ),
  "COMPLETE",
  "INC"
)</f>
        <v>COMPLETE</v>
      </c>
      <c r="D1643" s="9" t="str">
        <f t="array" ref="D1643">IFERROR(INDEX(data!$G:$G,match(Caseslist!B1643,data!$D:$D,0)), "INC")</f>
        <v>K8623174</v>
      </c>
      <c r="E1643" s="9" t="str">
        <f t="array" ref="E1643">IFERROR(INDEX(data!H:H,match(Caseslist!B1643,data!D:D,0)), "INC")</f>
        <v>Marielle Kaye Ignacio Alonzo</v>
      </c>
      <c r="F1643" s="10" t="str">
        <f t="array" ref="F1643">IF(
    OR(
      IFNA(INDEX(data!M:M, MATCH(Caseslist!B1643, data!D:D, 0)), "") = "",
      IFNA(INDEX(data!M:M, MATCH(Caseslist!B1643, data!D:D, 0)), 0) = 0
    ),
    "COMPLETE",
    IF(
      IFNA(INDEX(dataICM!D:D, MATCH(Caseslist!B1643, dataICM!D:D, 0)), "INC") = "INC",
      IFNA(INDEX(dataICM!D:D, MATCH(Caseslist!B1643, dataICM!D:D, 0)), "INC"),
      "COMPLETE"
    )
  )</f>
        <v>COMPLETE</v>
      </c>
      <c r="G1643" s="10" t="str">
        <f t="array" ref="G1643">IF(IFERROR(INDEX(data!L:L,match(Caseslist!B1643,data!D:D,0)),"INC")="","COMPLETE",F1643)</f>
        <v>COMPLETE</v>
      </c>
      <c r="H1643" s="9" t="str">
        <f t="array" ref="H1643">IFERROR(INDEX(dataICM!F:F,match(Caseslist!B1643,dataICM!D:D,0)), "INC")</f>
        <v>INC</v>
      </c>
      <c r="I1643" s="10" t="str">
        <f t="shared" si="2"/>
        <v>K8623174</v>
      </c>
      <c r="J1643" s="9" t="str">
        <f t="array" ref="J1643">IF(
  AND(
    IFERROR(MATCH(B1643, data!D:D, 0), 0) &gt; 0,
    IFERROR(INDEX(data!N:N, MATCH(B1643, data!D:D, 0)) = 1, FALSE)
  ),
  INDEX(data!C:C, MATCH(B1643, data!D:D, 0)),
  "INC"
)</f>
        <v>2025-09-01T09:47:46.700+08</v>
      </c>
      <c r="K1643" s="9" t="str">
        <f t="array" ref="K1643">IFERROR(INDEX(dataICM!C:C,match(Caseslist!B1643,dataICM!D:D,0)), "INC")</f>
        <v>INC</v>
      </c>
      <c r="L1643" s="10" t="str">
        <f t="array" ref="L1643">IF(AND(G1643="COMPLETE", OR(K1643="INC", ISBLANK(INDEX(data!O:O, ROW())))), J1643, K1643)</f>
        <v>2025-09-01T09:47:46.700+08</v>
      </c>
      <c r="M1643" s="2">
        <v>45901.0</v>
      </c>
      <c r="N1643" s="2">
        <f t="array" ref="N1643">IF(M1643&lt;&gt;"INC", INDEX(data!M:M, MATCH(B1643, data!D:D, 0)), "")</f>
        <v>0</v>
      </c>
      <c r="O1643" s="2">
        <f t="shared" si="3"/>
        <v>0</v>
      </c>
    </row>
    <row r="1644">
      <c r="A1644" s="2" t="str">
        <f t="shared" si="1"/>
        <v>H030676</v>
      </c>
      <c r="B1644" s="1" t="s">
        <v>2499</v>
      </c>
      <c r="C1644" s="9" t="str">
        <f t="array" ref="C1644">IF(
  AND(
    IFERROR(MATCH(Caseslist!B1644, data!D:D, 0), 0) &gt; 0,
    IFERROR(INDEX(data!N:N, MATCH(Caseslist!B1644, data!D:D, 0)) = 1, FALSE)
  ),
  "COMPLETE",
  "INC"
)</f>
        <v>COMPLETE</v>
      </c>
      <c r="D1644" s="9" t="str">
        <f t="array" ref="D1644">IFERROR(INDEX(data!$G:$G,match(Caseslist!B1644,data!$D:$D,0)), "INC")</f>
        <v>M6491032</v>
      </c>
      <c r="E1644" s="9" t="str">
        <f t="array" ref="E1644">IFERROR(INDEX(data!H:H,match(Caseslist!B1644,data!D:D,0)), "INC")</f>
        <v>Rosevil Tayo Desamparado</v>
      </c>
      <c r="F1644" s="10" t="str">
        <f t="array" ref="F1644">IF(
    OR(
      IFNA(INDEX(data!M:M, MATCH(Caseslist!B1644, data!D:D, 0)), "") = "",
      IFNA(INDEX(data!M:M, MATCH(Caseslist!B1644, data!D:D, 0)), 0) = 0
    ),
    "COMPLETE",
    IF(
      IFNA(INDEX(dataICM!D:D, MATCH(Caseslist!B1644, dataICM!D:D, 0)), "INC") = "INC",
      IFNA(INDEX(dataICM!D:D, MATCH(Caseslist!B1644, dataICM!D:D, 0)), "INC"),
      "COMPLETE"
    )
  )</f>
        <v>COMPLETE</v>
      </c>
      <c r="G1644" s="10" t="str">
        <f t="array" ref="G1644">IF(IFERROR(INDEX(data!L:L,match(Caseslist!B1644,data!D:D,0)),"INC")="","COMPLETE",F1644)</f>
        <v>COMPLETE</v>
      </c>
      <c r="H1644" s="9" t="str">
        <f t="array" ref="H1644">IFERROR(INDEX(dataICM!F:F,match(Caseslist!B1644,dataICM!D:D,0)), "INC")</f>
        <v>INC</v>
      </c>
      <c r="I1644" s="10" t="str">
        <f t="shared" si="2"/>
        <v>M6491032</v>
      </c>
      <c r="J1644" s="9" t="str">
        <f t="array" ref="J1644">IF(
  AND(
    IFERROR(MATCH(B1644, data!D:D, 0), 0) &gt; 0,
    IFERROR(INDEX(data!N:N, MATCH(B1644, data!D:D, 0)) = 1, FALSE)
  ),
  INDEX(data!C:C, MATCH(B1644, data!D:D, 0)),
  "INC"
)</f>
        <v>2025-09-01T19:24:09.965+08</v>
      </c>
      <c r="K1644" s="9" t="str">
        <f t="array" ref="K1644">IFERROR(INDEX(dataICM!C:C,match(Caseslist!B1644,dataICM!D:D,0)), "INC")</f>
        <v>INC</v>
      </c>
      <c r="L1644" s="10" t="str">
        <f t="array" ref="L1644">IF(AND(G1644="COMPLETE", OR(K1644="INC", ISBLANK(INDEX(data!O:O, ROW())))), J1644, K1644)</f>
        <v>2025-09-01T19:24:09.965+08</v>
      </c>
      <c r="M1644" s="2">
        <v>45901.0</v>
      </c>
      <c r="N1644" s="2">
        <f t="array" ref="N1644">IF(M1644&lt;&gt;"INC", INDEX(data!M:M, MATCH(B1644, data!D:D, 0)), "")</f>
        <v>0</v>
      </c>
      <c r="O1644" s="2">
        <f t="shared" si="3"/>
        <v>0</v>
      </c>
    </row>
    <row r="1645">
      <c r="A1645" s="2" t="str">
        <f t="shared" si="1"/>
        <v>H030676</v>
      </c>
      <c r="B1645" s="1" t="s">
        <v>2494</v>
      </c>
      <c r="C1645" s="9" t="str">
        <f t="array" ref="C1645">IF(
  AND(
    IFERROR(MATCH(Caseslist!B1645, data!D:D, 0), 0) &gt; 0,
    IFERROR(INDEX(data!N:N, MATCH(Caseslist!B1645, data!D:D, 0)) = 1, FALSE)
  ),
  "COMPLETE",
  "INC"
)</f>
        <v>COMPLETE</v>
      </c>
      <c r="D1645" s="9" t="str">
        <f t="array" ref="D1645">IFERROR(INDEX(data!$G:$G,match(Caseslist!B1645,data!$D:$D,0)), "INC")</f>
        <v>M6491032</v>
      </c>
      <c r="E1645" s="9" t="str">
        <f t="array" ref="E1645">IFERROR(INDEX(data!H:H,match(Caseslist!B1645,data!D:D,0)), "INC")</f>
        <v>Rosevil Tayo Desamparado</v>
      </c>
      <c r="F1645" s="10" t="str">
        <f t="array" ref="F1645">IF(
    OR(
      IFNA(INDEX(data!M:M, MATCH(Caseslist!B1645, data!D:D, 0)), "") = "",
      IFNA(INDEX(data!M:M, MATCH(Caseslist!B1645, data!D:D, 0)), 0) = 0
    ),
    "COMPLETE",
    IF(
      IFNA(INDEX(dataICM!D:D, MATCH(Caseslist!B1645, dataICM!D:D, 0)), "INC") = "INC",
      IFNA(INDEX(dataICM!D:D, MATCH(Caseslist!B1645, dataICM!D:D, 0)), "INC"),
      "COMPLETE"
    )
  )</f>
        <v>COMPLETE</v>
      </c>
      <c r="G1645" s="10" t="str">
        <f t="array" ref="G1645">IF(IFERROR(INDEX(data!L:L,match(Caseslist!B1645,data!D:D,0)),"INC")="","COMPLETE",F1645)</f>
        <v>COMPLETE</v>
      </c>
      <c r="H1645" s="9" t="str">
        <f t="array" ref="H1645">IFERROR(INDEX(dataICM!F:F,match(Caseslist!B1645,dataICM!D:D,0)), "INC")</f>
        <v>INC</v>
      </c>
      <c r="I1645" s="10" t="str">
        <f t="shared" si="2"/>
        <v>M6491032</v>
      </c>
      <c r="J1645" s="9" t="str">
        <f t="array" ref="J1645">IF(
  AND(
    IFERROR(MATCH(B1645, data!D:D, 0), 0) &gt; 0,
    IFERROR(INDEX(data!N:N, MATCH(B1645, data!D:D, 0)) = 1, FALSE)
  ),
  INDEX(data!C:C, MATCH(B1645, data!D:D, 0)),
  "INC"
)</f>
        <v>2025-09-01T19:16:59.406+08</v>
      </c>
      <c r="K1645" s="9" t="str">
        <f t="array" ref="K1645">IFERROR(INDEX(dataICM!C:C,match(Caseslist!B1645,dataICM!D:D,0)), "INC")</f>
        <v>INC</v>
      </c>
      <c r="L1645" s="10" t="str">
        <f t="array" ref="L1645">IF(AND(G1645="COMPLETE", OR(K1645="INC", ISBLANK(INDEX(data!O:O, ROW())))), J1645, K1645)</f>
        <v>2025-09-01T19:16:59.406+08</v>
      </c>
      <c r="M1645" s="2">
        <v>45901.0</v>
      </c>
      <c r="N1645" s="2">
        <f t="array" ref="N1645">IF(M1645&lt;&gt;"INC", INDEX(data!M:M, MATCH(B1645, data!D:D, 0)), "")</f>
        <v>0</v>
      </c>
      <c r="O1645" s="2">
        <f t="shared" si="3"/>
        <v>0</v>
      </c>
    </row>
    <row r="1646">
      <c r="A1646" s="2" t="str">
        <f t="shared" si="1"/>
        <v>H030676</v>
      </c>
      <c r="B1646" s="1" t="s">
        <v>2424</v>
      </c>
      <c r="C1646" s="9" t="str">
        <f t="array" ref="C1646">IF(
  AND(
    IFERROR(MATCH(Caseslist!B1646, data!D:D, 0), 0) &gt; 0,
    IFERROR(INDEX(data!N:N, MATCH(Caseslist!B1646, data!D:D, 0)) = 1, FALSE)
  ),
  "COMPLETE",
  "INC"
)</f>
        <v>COMPLETE</v>
      </c>
      <c r="D1646" s="9" t="str">
        <f t="array" ref="D1646">IFERROR(INDEX(data!$G:$G,match(Caseslist!B1646,data!$D:$D,0)), "INC")</f>
        <v>L2057896</v>
      </c>
      <c r="E1646" s="9" t="str">
        <f t="array" ref="E1646">IFERROR(INDEX(data!H:H,match(Caseslist!B1646,data!D:D,0)), "INC")</f>
        <v>Franz Reoben Posadas Geneblaza</v>
      </c>
      <c r="F1646" s="10" t="str">
        <f t="array" ref="F1646">IF(
    OR(
      IFNA(INDEX(data!M:M, MATCH(Caseslist!B1646, data!D:D, 0)), "") = "",
      IFNA(INDEX(data!M:M, MATCH(Caseslist!B1646, data!D:D, 0)), 0) = 0
    ),
    "COMPLETE",
    IF(
      IFNA(INDEX(dataICM!D:D, MATCH(Caseslist!B1646, dataICM!D:D, 0)), "INC") = "INC",
      IFNA(INDEX(dataICM!D:D, MATCH(Caseslist!B1646, dataICM!D:D, 0)), "INC"),
      "COMPLETE"
    )
  )</f>
        <v>COMPLETE</v>
      </c>
      <c r="G1646" s="10" t="str">
        <f t="array" ref="G1646">IF(IFERROR(INDEX(data!L:L,match(Caseslist!B1646,data!D:D,0)),"INC")="","COMPLETE",F1646)</f>
        <v>COMPLETE</v>
      </c>
      <c r="H1646" s="9" t="str">
        <f t="array" ref="H1646">IFERROR(INDEX(dataICM!F:F,match(Caseslist!B1646,dataICM!D:D,0)), "INC")</f>
        <v>INC</v>
      </c>
      <c r="I1646" s="10" t="str">
        <f t="shared" si="2"/>
        <v>L2057896</v>
      </c>
      <c r="J1646" s="9" t="str">
        <f t="array" ref="J1646">IF(
  AND(
    IFERROR(MATCH(B1646, data!D:D, 0), 0) &gt; 0,
    IFERROR(INDEX(data!N:N, MATCH(B1646, data!D:D, 0)) = 1, FALSE)
  ),
  INDEX(data!C:C, MATCH(B1646, data!D:D, 0)),
  "INC"
)</f>
        <v>2025-09-01T12:47:33.354+08</v>
      </c>
      <c r="K1646" s="9" t="str">
        <f t="array" ref="K1646">IFERROR(INDEX(dataICM!C:C,match(Caseslist!B1646,dataICM!D:D,0)), "INC")</f>
        <v>INC</v>
      </c>
      <c r="L1646" s="10" t="str">
        <f t="array" ref="L1646">IF(AND(G1646="COMPLETE", OR(K1646="INC", ISBLANK(INDEX(data!O:O, ROW())))), J1646, K1646)</f>
        <v>2025-09-01T12:47:33.354+08</v>
      </c>
      <c r="M1646" s="2">
        <v>45901.0</v>
      </c>
      <c r="N1646" s="2">
        <f t="array" ref="N1646">IF(M1646&lt;&gt;"INC", INDEX(data!M:M, MATCH(B1646, data!D:D, 0)), "")</f>
        <v>0</v>
      </c>
      <c r="O1646" s="2">
        <f t="shared" si="3"/>
        <v>0</v>
      </c>
    </row>
    <row r="1647">
      <c r="A1647" s="2" t="str">
        <f t="shared" si="1"/>
        <v>H030676</v>
      </c>
      <c r="B1647" s="1" t="s">
        <v>2484</v>
      </c>
      <c r="C1647" s="9" t="str">
        <f t="array" ref="C1647">IF(
  AND(
    IFERROR(MATCH(Caseslist!B1647, data!D:D, 0), 0) &gt; 0,
    IFERROR(INDEX(data!N:N, MATCH(Caseslist!B1647, data!D:D, 0)) = 1, FALSE)
  ),
  "COMPLETE",
  "INC"
)</f>
        <v>COMPLETE</v>
      </c>
      <c r="D1647" s="9" t="str">
        <f t="array" ref="D1647">IFERROR(INDEX(data!$G:$G,match(Caseslist!B1647,data!$D:$D,0)), "INC")</f>
        <v>K8623174</v>
      </c>
      <c r="E1647" s="9" t="str">
        <f t="array" ref="E1647">IFERROR(INDEX(data!H:H,match(Caseslist!B1647,data!D:D,0)), "INC")</f>
        <v>Marielle Kaye Ignacio Alonzo</v>
      </c>
      <c r="F1647" s="10" t="str">
        <f t="array" ref="F1647">IF(
    OR(
      IFNA(INDEX(data!M:M, MATCH(Caseslist!B1647, data!D:D, 0)), "") = "",
      IFNA(INDEX(data!M:M, MATCH(Caseslist!B1647, data!D:D, 0)), 0) = 0
    ),
    "COMPLETE",
    IF(
      IFNA(INDEX(dataICM!D:D, MATCH(Caseslist!B1647, dataICM!D:D, 0)), "INC") = "INC",
      IFNA(INDEX(dataICM!D:D, MATCH(Caseslist!B1647, dataICM!D:D, 0)), "INC"),
      "COMPLETE"
    )
  )</f>
        <v>COMPLETE</v>
      </c>
      <c r="G1647" s="10" t="str">
        <f t="array" ref="G1647">IF(IFERROR(INDEX(data!L:L,match(Caseslist!B1647,data!D:D,0)),"INC")="","COMPLETE",F1647)</f>
        <v>COMPLETE</v>
      </c>
      <c r="H1647" s="9" t="str">
        <f t="array" ref="H1647">IFERROR(INDEX(dataICM!F:F,match(Caseslist!B1647,dataICM!D:D,0)), "INC")</f>
        <v>INC</v>
      </c>
      <c r="I1647" s="10" t="str">
        <f t="shared" si="2"/>
        <v>K8623174</v>
      </c>
      <c r="J1647" s="9" t="str">
        <f t="array" ref="J1647">IF(
  AND(
    IFERROR(MATCH(B1647, data!D:D, 0), 0) &gt; 0,
    IFERROR(INDEX(data!N:N, MATCH(B1647, data!D:D, 0)) = 1, FALSE)
  ),
  INDEX(data!C:C, MATCH(B1647, data!D:D, 0)),
  "INC"
)</f>
        <v>2025-09-01T14:09:16.093+08</v>
      </c>
      <c r="K1647" s="9" t="str">
        <f t="array" ref="K1647">IFERROR(INDEX(dataICM!C:C,match(Caseslist!B1647,dataICM!D:D,0)), "INC")</f>
        <v>INC</v>
      </c>
      <c r="L1647" s="10" t="str">
        <f t="array" ref="L1647">IF(AND(G1647="COMPLETE", OR(K1647="INC", ISBLANK(INDEX(data!O:O, ROW())))), J1647, K1647)</f>
        <v>2025-09-01T14:09:16.093+08</v>
      </c>
      <c r="M1647" s="2">
        <v>45901.0</v>
      </c>
      <c r="N1647" s="2">
        <f t="array" ref="N1647">IF(M1647&lt;&gt;"INC", INDEX(data!M:M, MATCH(B1647, data!D:D, 0)), "")</f>
        <v>0</v>
      </c>
      <c r="O1647" s="2">
        <f t="shared" si="3"/>
        <v>0</v>
      </c>
    </row>
    <row r="1648">
      <c r="A1648" s="2" t="str">
        <f t="shared" si="1"/>
        <v>H030676</v>
      </c>
      <c r="B1648" s="1" t="s">
        <v>2469</v>
      </c>
      <c r="C1648" s="9" t="str">
        <f t="array" ref="C1648">IF(
  AND(
    IFERROR(MATCH(Caseslist!B1648, data!D:D, 0), 0) &gt; 0,
    IFERROR(INDEX(data!N:N, MATCH(Caseslist!B1648, data!D:D, 0)) = 1, FALSE)
  ),
  "COMPLETE",
  "INC"
)</f>
        <v>COMPLETE</v>
      </c>
      <c r="D1648" s="9" t="str">
        <f t="array" ref="D1648">IFERROR(INDEX(data!$G:$G,match(Caseslist!B1648,data!$D:$D,0)), "INC")</f>
        <v>J4315980</v>
      </c>
      <c r="E1648" s="9" t="str">
        <f t="array" ref="E1648">IFERROR(INDEX(data!H:H,match(Caseslist!B1648,data!D:D,0)), "INC")</f>
        <v>Trixie Marie Jardeleza Saber</v>
      </c>
      <c r="F1648" s="10" t="str">
        <f t="array" ref="F1648">IF(
    OR(
      IFNA(INDEX(data!M:M, MATCH(Caseslist!B1648, data!D:D, 0)), "") = "",
      IFNA(INDEX(data!M:M, MATCH(Caseslist!B1648, data!D:D, 0)), 0) = 0
    ),
    "COMPLETE",
    IF(
      IFNA(INDEX(dataICM!D:D, MATCH(Caseslist!B1648, dataICM!D:D, 0)), "INC") = "INC",
      IFNA(INDEX(dataICM!D:D, MATCH(Caseslist!B1648, dataICM!D:D, 0)), "INC"),
      "COMPLETE"
    )
  )</f>
        <v>COMPLETE</v>
      </c>
      <c r="G1648" s="10" t="str">
        <f t="array" ref="G1648">IF(IFERROR(INDEX(data!L:L,match(Caseslist!B1648,data!D:D,0)),"INC")="","COMPLETE",F1648)</f>
        <v>COMPLETE</v>
      </c>
      <c r="H1648" s="9" t="str">
        <f t="array" ref="H1648">IFERROR(INDEX(dataICM!F:F,match(Caseslist!B1648,dataICM!D:D,0)), "INC")</f>
        <v>INC</v>
      </c>
      <c r="I1648" s="10" t="str">
        <f t="shared" si="2"/>
        <v>J4315980</v>
      </c>
      <c r="J1648" s="9" t="str">
        <f t="array" ref="J1648">IF(
  AND(
    IFERROR(MATCH(B1648, data!D:D, 0), 0) &gt; 0,
    IFERROR(INDEX(data!N:N, MATCH(B1648, data!D:D, 0)) = 1, FALSE)
  ),
  INDEX(data!C:C, MATCH(B1648, data!D:D, 0)),
  "INC"
)</f>
        <v>2025-09-01T11:21:29.090+08</v>
      </c>
      <c r="K1648" s="9" t="str">
        <f t="array" ref="K1648">IFERROR(INDEX(dataICM!C:C,match(Caseslist!B1648,dataICM!D:D,0)), "INC")</f>
        <v>INC</v>
      </c>
      <c r="L1648" s="10" t="str">
        <f t="array" ref="L1648">IF(AND(G1648="COMPLETE", OR(K1648="INC", ISBLANK(INDEX(data!O:O, ROW())))), J1648, K1648)</f>
        <v>2025-09-01T11:21:29.090+08</v>
      </c>
      <c r="M1648" s="2">
        <v>45901.0</v>
      </c>
      <c r="N1648" s="2">
        <f t="array" ref="N1648">IF(M1648&lt;&gt;"INC", INDEX(data!M:M, MATCH(B1648, data!D:D, 0)), "")</f>
        <v>0</v>
      </c>
      <c r="O1648" s="2">
        <f t="shared" si="3"/>
        <v>0</v>
      </c>
    </row>
    <row r="1649">
      <c r="A1649" s="2" t="str">
        <f t="shared" si="1"/>
        <v>H030676</v>
      </c>
      <c r="B1649" s="1" t="s">
        <v>2474</v>
      </c>
      <c r="C1649" s="9" t="str">
        <f t="array" ref="C1649">IF(
  AND(
    IFERROR(MATCH(Caseslist!B1649, data!D:D, 0), 0) &gt; 0,
    IFERROR(INDEX(data!N:N, MATCH(Caseslist!B1649, data!D:D, 0)) = 1, FALSE)
  ),
  "COMPLETE",
  "INC"
)</f>
        <v>COMPLETE</v>
      </c>
      <c r="D1649" s="9" t="str">
        <f t="array" ref="D1649">IFERROR(INDEX(data!$G:$G,match(Caseslist!B1649,data!$D:$D,0)), "INC")</f>
        <v>K8623174</v>
      </c>
      <c r="E1649" s="9" t="str">
        <f t="array" ref="E1649">IFERROR(INDEX(data!H:H,match(Caseslist!B1649,data!D:D,0)), "INC")</f>
        <v>Marielle Kaye Ignacio Alonzo</v>
      </c>
      <c r="F1649" s="10" t="str">
        <f t="array" ref="F1649">IF(
    OR(
      IFNA(INDEX(data!M:M, MATCH(Caseslist!B1649, data!D:D, 0)), "") = "",
      IFNA(INDEX(data!M:M, MATCH(Caseslist!B1649, data!D:D, 0)), 0) = 0
    ),
    "COMPLETE",
    IF(
      IFNA(INDEX(dataICM!D:D, MATCH(Caseslist!B1649, dataICM!D:D, 0)), "INC") = "INC",
      IFNA(INDEX(dataICM!D:D, MATCH(Caseslist!B1649, dataICM!D:D, 0)), "INC"),
      "COMPLETE"
    )
  )</f>
        <v>COMPLETE</v>
      </c>
      <c r="G1649" s="10" t="str">
        <f t="array" ref="G1649">IF(IFERROR(INDEX(data!L:L,match(Caseslist!B1649,data!D:D,0)),"INC")="","COMPLETE",F1649)</f>
        <v>COMPLETE</v>
      </c>
      <c r="H1649" s="9" t="str">
        <f t="array" ref="H1649">IFERROR(INDEX(dataICM!F:F,match(Caseslist!B1649,dataICM!D:D,0)), "INC")</f>
        <v>INC</v>
      </c>
      <c r="I1649" s="10" t="str">
        <f t="shared" si="2"/>
        <v>K8623174</v>
      </c>
      <c r="J1649" s="9" t="str">
        <f t="array" ref="J1649">IF(
  AND(
    IFERROR(MATCH(B1649, data!D:D, 0), 0) &gt; 0,
    IFERROR(INDEX(data!N:N, MATCH(B1649, data!D:D, 0)) = 1, FALSE)
  ),
  INDEX(data!C:C, MATCH(B1649, data!D:D, 0)),
  "INC"
)</f>
        <v>2025-09-01T11:17:10.573+08</v>
      </c>
      <c r="K1649" s="9" t="str">
        <f t="array" ref="K1649">IFERROR(INDEX(dataICM!C:C,match(Caseslist!B1649,dataICM!D:D,0)), "INC")</f>
        <v>INC</v>
      </c>
      <c r="L1649" s="10" t="str">
        <f t="array" ref="L1649">IF(AND(G1649="COMPLETE", OR(K1649="INC", ISBLANK(INDEX(data!O:O, ROW())))), J1649, K1649)</f>
        <v>2025-09-01T11:17:10.573+08</v>
      </c>
      <c r="M1649" s="2">
        <v>45901.0</v>
      </c>
      <c r="N1649" s="2">
        <f t="array" ref="N1649">IF(M1649&lt;&gt;"INC", INDEX(data!M:M, MATCH(B1649, data!D:D, 0)), "")</f>
        <v>0</v>
      </c>
      <c r="O1649" s="2">
        <f t="shared" si="3"/>
        <v>0</v>
      </c>
    </row>
    <row r="1650">
      <c r="A1650" s="2" t="str">
        <f t="shared" si="1"/>
        <v>H030676</v>
      </c>
      <c r="B1650" s="1" t="s">
        <v>2429</v>
      </c>
      <c r="C1650" s="9" t="str">
        <f t="array" ref="C1650">IF(
  AND(
    IFERROR(MATCH(Caseslist!B1650, data!D:D, 0), 0) &gt; 0,
    IFERROR(INDEX(data!N:N, MATCH(Caseslist!B1650, data!D:D, 0)) = 1, FALSE)
  ),
  "COMPLETE",
  "INC"
)</f>
        <v>COMPLETE</v>
      </c>
      <c r="D1650" s="9" t="str">
        <f t="array" ref="D1650">IFERROR(INDEX(data!$G:$G,match(Caseslist!B1650,data!$D:$D,0)), "INC")</f>
        <v>L2057896</v>
      </c>
      <c r="E1650" s="9" t="str">
        <f t="array" ref="E1650">IFERROR(INDEX(data!H:H,match(Caseslist!B1650,data!D:D,0)), "INC")</f>
        <v>Franz Reoben Posadas Geneblaza</v>
      </c>
      <c r="F1650" s="10" t="str">
        <f t="array" ref="F1650">IF(
    OR(
      IFNA(INDEX(data!M:M, MATCH(Caseslist!B1650, data!D:D, 0)), "") = "",
      IFNA(INDEX(data!M:M, MATCH(Caseslist!B1650, data!D:D, 0)), 0) = 0
    ),
    "COMPLETE",
    IF(
      IFNA(INDEX(dataICM!D:D, MATCH(Caseslist!B1650, dataICM!D:D, 0)), "INC") = "INC",
      IFNA(INDEX(dataICM!D:D, MATCH(Caseslist!B1650, dataICM!D:D, 0)), "INC"),
      "COMPLETE"
    )
  )</f>
        <v>COMPLETE</v>
      </c>
      <c r="G1650" s="10" t="str">
        <f t="array" ref="G1650">IF(IFERROR(INDEX(data!L:L,match(Caseslist!B1650,data!D:D,0)),"INC")="","COMPLETE",F1650)</f>
        <v>COMPLETE</v>
      </c>
      <c r="H1650" s="9" t="str">
        <f t="array" ref="H1650">IFERROR(INDEX(dataICM!F:F,match(Caseslist!B1650,dataICM!D:D,0)), "INC")</f>
        <v>INC</v>
      </c>
      <c r="I1650" s="10" t="str">
        <f t="shared" si="2"/>
        <v>L2057896</v>
      </c>
      <c r="J1650" s="9" t="str">
        <f t="array" ref="J1650">IF(
  AND(
    IFERROR(MATCH(B1650, data!D:D, 0), 0) &gt; 0,
    IFERROR(INDEX(data!N:N, MATCH(B1650, data!D:D, 0)) = 1, FALSE)
  ),
  INDEX(data!C:C, MATCH(B1650, data!D:D, 0)),
  "INC"
)</f>
        <v>2025-09-01T11:27:15.745+08</v>
      </c>
      <c r="K1650" s="9" t="str">
        <f t="array" ref="K1650">IFERROR(INDEX(dataICM!C:C,match(Caseslist!B1650,dataICM!D:D,0)), "INC")</f>
        <v>INC</v>
      </c>
      <c r="L1650" s="10" t="str">
        <f t="array" ref="L1650">IF(AND(G1650="COMPLETE", OR(K1650="INC", ISBLANK(INDEX(data!O:O, ROW())))), J1650, K1650)</f>
        <v>2025-09-01T11:27:15.745+08</v>
      </c>
      <c r="M1650" s="2">
        <v>45901.0</v>
      </c>
      <c r="N1650" s="2">
        <f t="array" ref="N1650">IF(M1650&lt;&gt;"INC", INDEX(data!M:M, MATCH(B1650, data!D:D, 0)), "")</f>
        <v>0</v>
      </c>
      <c r="O1650" s="2">
        <f t="shared" si="3"/>
        <v>0</v>
      </c>
    </row>
    <row r="1651">
      <c r="A1651" s="2" t="str">
        <f t="shared" si="1"/>
        <v>H030747</v>
      </c>
      <c r="B1651" s="1" t="s">
        <v>8453</v>
      </c>
      <c r="C1651" s="9" t="str">
        <f t="array" ref="C1651">IF(
  AND(
    IFERROR(MATCH(Caseslist!B1651, data!D:D, 0), 0) &gt; 0,
    IFERROR(INDEX(data!N:N, MATCH(Caseslist!B1651, data!D:D, 0)) = 1, FALSE)
  ),
  "COMPLETE",
  "INC"
)</f>
        <v>COMPLETE</v>
      </c>
      <c r="D1651" s="9" t="str">
        <f t="array" ref="D1651">IFERROR(INDEX(data!$G:$G,match(Caseslist!B1651,data!$D:$D,0)), "INC")</f>
        <v>H2846135</v>
      </c>
      <c r="E1651" s="9" t="str">
        <f t="array" ref="E1651">IFERROR(INDEX(data!H:H,match(Caseslist!B1651,data!D:D,0)), "INC")</f>
        <v>Annalou Empanado Encontro</v>
      </c>
      <c r="F1651" s="10" t="str">
        <f t="array" ref="F1651">IF(
    OR(
      IFNA(INDEX(data!M:M, MATCH(Caseslist!B1651, data!D:D, 0)), "") = "",
      IFNA(INDEX(data!M:M, MATCH(Caseslist!B1651, data!D:D, 0)), 0) = 0
    ),
    "COMPLETE",
    IF(
      IFNA(INDEX(dataICM!D:D, MATCH(Caseslist!B1651, dataICM!D:D, 0)), "INC") = "INC",
      IFNA(INDEX(dataICM!D:D, MATCH(Caseslist!B1651, dataICM!D:D, 0)), "INC"),
      "COMPLETE"
    )
  )</f>
        <v>COMPLETE</v>
      </c>
      <c r="G1651" s="10" t="str">
        <f t="array" ref="G1651">IF(IFERROR(INDEX(data!L:L,match(Caseslist!B1651,data!D:D,0)),"INC")="","COMPLETE",F1651)</f>
        <v>COMPLETE</v>
      </c>
      <c r="H1651" s="9" t="str">
        <f t="array" ref="H1651">IFERROR(INDEX(dataICM!F:F,match(Caseslist!B1651,dataICM!D:D,0)), "INC")</f>
        <v>INC</v>
      </c>
      <c r="I1651" s="10" t="str">
        <f t="shared" si="2"/>
        <v>H2846135</v>
      </c>
      <c r="J1651" s="9" t="str">
        <f t="array" ref="J1651">IF(
  AND(
    IFERROR(MATCH(B1651, data!D:D, 0), 0) &gt; 0,
    IFERROR(INDEX(data!N:N, MATCH(B1651, data!D:D, 0)) = 1, FALSE)
  ),
  INDEX(data!C:C, MATCH(B1651, data!D:D, 0)),
  "INC"
)</f>
        <v>2025-09-24T15:15:32.859+08</v>
      </c>
      <c r="K1651" s="9" t="str">
        <f t="array" ref="K1651">IFERROR(INDEX(dataICM!C:C,match(Caseslist!B1651,dataICM!D:D,0)), "INC")</f>
        <v>INC</v>
      </c>
      <c r="L1651" s="10" t="str">
        <f t="array" ref="L1651">IF(AND(G1651="COMPLETE", OR(K1651="INC", ISBLANK(INDEX(data!O:O, ROW())))), J1651, K1651)</f>
        <v>2025-09-24T15:15:32.859+08</v>
      </c>
      <c r="M1651" s="2">
        <v>45924.0</v>
      </c>
      <c r="N1651" s="2">
        <f t="array" ref="N1651">IF(M1651&lt;&gt;"INC", INDEX(data!M:M, MATCH(B1651, data!D:D, 0)), "")</f>
        <v>0</v>
      </c>
      <c r="O1651" s="2">
        <f t="shared" si="3"/>
        <v>0</v>
      </c>
    </row>
    <row r="1652">
      <c r="A1652" s="2" t="str">
        <f t="shared" si="1"/>
        <v>H030747</v>
      </c>
      <c r="B1652" s="1" t="s">
        <v>8463</v>
      </c>
      <c r="C1652" s="9" t="str">
        <f t="array" ref="C1652">IF(
  AND(
    IFERROR(MATCH(Caseslist!B1652, data!D:D, 0), 0) &gt; 0,
    IFERROR(INDEX(data!N:N, MATCH(Caseslist!B1652, data!D:D, 0)) = 1, FALSE)
  ),
  "COMPLETE",
  "INC"
)</f>
        <v>COMPLETE</v>
      </c>
      <c r="D1652" s="9" t="str">
        <f t="array" ref="D1652">IFERROR(INDEX(data!$G:$G,match(Caseslist!B1652,data!$D:$D,0)), "INC")</f>
        <v>H2846135</v>
      </c>
      <c r="E1652" s="9" t="str">
        <f t="array" ref="E1652">IFERROR(INDEX(data!H:H,match(Caseslist!B1652,data!D:D,0)), "INC")</f>
        <v>Annalou Empanado Encontro</v>
      </c>
      <c r="F1652" s="10" t="str">
        <f t="array" ref="F1652">IF(
    OR(
      IFNA(INDEX(data!M:M, MATCH(Caseslist!B1652, data!D:D, 0)), "") = "",
      IFNA(INDEX(data!M:M, MATCH(Caseslist!B1652, data!D:D, 0)), 0) = 0
    ),
    "COMPLETE",
    IF(
      IFNA(INDEX(dataICM!D:D, MATCH(Caseslist!B1652, dataICM!D:D, 0)), "INC") = "INC",
      IFNA(INDEX(dataICM!D:D, MATCH(Caseslist!B1652, dataICM!D:D, 0)), "INC"),
      "COMPLETE"
    )
  )</f>
        <v>COMPLETE</v>
      </c>
      <c r="G1652" s="10" t="str">
        <f t="array" ref="G1652">IF(IFERROR(INDEX(data!L:L,match(Caseslist!B1652,data!D:D,0)),"INC")="","COMPLETE",F1652)</f>
        <v>COMPLETE</v>
      </c>
      <c r="H1652" s="9" t="str">
        <f t="array" ref="H1652">IFERROR(INDEX(dataICM!F:F,match(Caseslist!B1652,dataICM!D:D,0)), "INC")</f>
        <v>INC</v>
      </c>
      <c r="I1652" s="10" t="str">
        <f t="shared" si="2"/>
        <v>H2846135</v>
      </c>
      <c r="J1652" s="9" t="str">
        <f t="array" ref="J1652">IF(
  AND(
    IFERROR(MATCH(B1652, data!D:D, 0), 0) &gt; 0,
    IFERROR(INDEX(data!N:N, MATCH(B1652, data!D:D, 0)) = 1, FALSE)
  ),
  INDEX(data!C:C, MATCH(B1652, data!D:D, 0)),
  "INC"
)</f>
        <v>2025-09-24T10:31:23.597+08</v>
      </c>
      <c r="K1652" s="9" t="str">
        <f t="array" ref="K1652">IFERROR(INDEX(dataICM!C:C,match(Caseslist!B1652,dataICM!D:D,0)), "INC")</f>
        <v>INC</v>
      </c>
      <c r="L1652" s="10" t="str">
        <f t="array" ref="L1652">IF(AND(G1652="COMPLETE", OR(K1652="INC", ISBLANK(INDEX(data!O:O, ROW())))), J1652, K1652)</f>
        <v>2025-09-24T10:31:23.597+08</v>
      </c>
      <c r="M1652" s="2">
        <v>45924.0</v>
      </c>
      <c r="N1652" s="2">
        <f t="array" ref="N1652">IF(M1652&lt;&gt;"INC", INDEX(data!M:M, MATCH(B1652, data!D:D, 0)), "")</f>
        <v>0</v>
      </c>
      <c r="O1652" s="2">
        <f t="shared" si="3"/>
        <v>0</v>
      </c>
    </row>
    <row r="1653">
      <c r="A1653" s="2" t="str">
        <f t="shared" si="1"/>
        <v>H030747</v>
      </c>
      <c r="B1653" s="1" t="s">
        <v>8438</v>
      </c>
      <c r="C1653" s="9" t="str">
        <f t="array" ref="C1653">IF(
  AND(
    IFERROR(MATCH(Caseslist!B1653, data!D:D, 0), 0) &gt; 0,
    IFERROR(INDEX(data!N:N, MATCH(Caseslist!B1653, data!D:D, 0)) = 1, FALSE)
  ),
  "COMPLETE",
  "INC"
)</f>
        <v>COMPLETE</v>
      </c>
      <c r="D1653" s="9" t="str">
        <f t="array" ref="D1653">IFERROR(INDEX(data!$G:$G,match(Caseslist!B1653,data!$D:$D,0)), "INC")</f>
        <v>F3051749</v>
      </c>
      <c r="E1653" s="9" t="str">
        <f t="array" ref="E1653">IFERROR(INDEX(data!H:H,match(Caseslist!B1653,data!D:D,0)), "INC")</f>
        <v>Elenita Gicos De La Pe�a</v>
      </c>
      <c r="F1653" s="10" t="str">
        <f t="array" ref="F1653">IF(
    OR(
      IFNA(INDEX(data!M:M, MATCH(Caseslist!B1653, data!D:D, 0)), "") = "",
      IFNA(INDEX(data!M:M, MATCH(Caseslist!B1653, data!D:D, 0)), 0) = 0
    ),
    "COMPLETE",
    IF(
      IFNA(INDEX(dataICM!D:D, MATCH(Caseslist!B1653, dataICM!D:D, 0)), "INC") = "INC",
      IFNA(INDEX(dataICM!D:D, MATCH(Caseslist!B1653, dataICM!D:D, 0)), "INC"),
      "COMPLETE"
    )
  )</f>
        <v>COMPLETE</v>
      </c>
      <c r="G1653" s="10" t="str">
        <f t="array" ref="G1653">IF(IFERROR(INDEX(data!L:L,match(Caseslist!B1653,data!D:D,0)),"INC")="","COMPLETE",F1653)</f>
        <v>COMPLETE</v>
      </c>
      <c r="H1653" s="9" t="str">
        <f t="array" ref="H1653">IFERROR(INDEX(dataICM!F:F,match(Caseslist!B1653,dataICM!D:D,0)), "INC")</f>
        <v>INC</v>
      </c>
      <c r="I1653" s="10" t="str">
        <f t="shared" si="2"/>
        <v>F3051749</v>
      </c>
      <c r="J1653" s="9" t="str">
        <f t="array" ref="J1653">IF(
  AND(
    IFERROR(MATCH(B1653, data!D:D, 0), 0) &gt; 0,
    IFERROR(INDEX(data!N:N, MATCH(B1653, data!D:D, 0)) = 1, FALSE)
  ),
  INDEX(data!C:C, MATCH(B1653, data!D:D, 0)),
  "INC"
)</f>
        <v>2025-09-24T10:42:49.753+08</v>
      </c>
      <c r="K1653" s="9" t="str">
        <f t="array" ref="K1653">IFERROR(INDEX(dataICM!C:C,match(Caseslist!B1653,dataICM!D:D,0)), "INC")</f>
        <v>INC</v>
      </c>
      <c r="L1653" s="10" t="str">
        <f t="array" ref="L1653">IF(AND(G1653="COMPLETE", OR(K1653="INC", ISBLANK(INDEX(data!O:O, ROW())))), J1653, K1653)</f>
        <v>2025-09-24T10:42:49.753+08</v>
      </c>
      <c r="M1653" s="2">
        <v>45924.0</v>
      </c>
      <c r="N1653" s="2">
        <f t="array" ref="N1653">IF(M1653&lt;&gt;"INC", INDEX(data!M:M, MATCH(B1653, data!D:D, 0)), "")</f>
        <v>0</v>
      </c>
      <c r="O1653" s="2">
        <f t="shared" si="3"/>
        <v>0</v>
      </c>
    </row>
    <row r="1654">
      <c r="A1654" s="2" t="str">
        <f t="shared" si="1"/>
        <v>H030747</v>
      </c>
      <c r="B1654" s="1" t="s">
        <v>8408</v>
      </c>
      <c r="C1654" s="9" t="str">
        <f t="array" ref="C1654">IF(
  AND(
    IFERROR(MATCH(Caseslist!B1654, data!D:D, 0), 0) &gt; 0,
    IFERROR(INDEX(data!N:N, MATCH(Caseslist!B1654, data!D:D, 0)) = 1, FALSE)
  ),
  "COMPLETE",
  "INC"
)</f>
        <v>COMPLETE</v>
      </c>
      <c r="D1654" s="9" t="str">
        <f t="array" ref="D1654">IFERROR(INDEX(data!$G:$G,match(Caseslist!B1654,data!$D:$D,0)), "INC")</f>
        <v>G5472901</v>
      </c>
      <c r="E1654" s="9" t="str">
        <f t="array" ref="E1654">IFERROR(INDEX(data!H:H,match(Caseslist!B1654,data!D:D,0)), "INC")</f>
        <v>Wellyn Grace Alaban Parcia</v>
      </c>
      <c r="F1654" s="10" t="str">
        <f t="array" ref="F1654">IF(
    OR(
      IFNA(INDEX(data!M:M, MATCH(Caseslist!B1654, data!D:D, 0)), "") = "",
      IFNA(INDEX(data!M:M, MATCH(Caseslist!B1654, data!D:D, 0)), 0) = 0
    ),
    "COMPLETE",
    IF(
      IFNA(INDEX(dataICM!D:D, MATCH(Caseslist!B1654, dataICM!D:D, 0)), "INC") = "INC",
      IFNA(INDEX(dataICM!D:D, MATCH(Caseslist!B1654, dataICM!D:D, 0)), "INC"),
      "COMPLETE"
    )
  )</f>
        <v>COMPLETE</v>
      </c>
      <c r="G1654" s="10" t="str">
        <f t="array" ref="G1654">IF(IFERROR(INDEX(data!L:L,match(Caseslist!B1654,data!D:D,0)),"INC")="","COMPLETE",F1654)</f>
        <v>COMPLETE</v>
      </c>
      <c r="H1654" s="9" t="str">
        <f t="array" ref="H1654">IFERROR(INDEX(dataICM!F:F,match(Caseslist!B1654,dataICM!D:D,0)), "INC")</f>
        <v>INC</v>
      </c>
      <c r="I1654" s="10" t="str">
        <f t="shared" si="2"/>
        <v>G5472901</v>
      </c>
      <c r="J1654" s="9" t="str">
        <f t="array" ref="J1654">IF(
  AND(
    IFERROR(MATCH(B1654, data!D:D, 0), 0) &gt; 0,
    IFERROR(INDEX(data!N:N, MATCH(B1654, data!D:D, 0)) = 1, FALSE)
  ),
  INDEX(data!C:C, MATCH(B1654, data!D:D, 0)),
  "INC"
)</f>
        <v>2025-09-24T11:57:59.197+08</v>
      </c>
      <c r="K1654" s="9" t="str">
        <f t="array" ref="K1654">IFERROR(INDEX(dataICM!C:C,match(Caseslist!B1654,dataICM!D:D,0)), "INC")</f>
        <v>INC</v>
      </c>
      <c r="L1654" s="10" t="str">
        <f t="array" ref="L1654">IF(AND(G1654="COMPLETE", OR(K1654="INC", ISBLANK(INDEX(data!O:O, ROW())))), J1654, K1654)</f>
        <v>2025-09-24T11:57:59.197+08</v>
      </c>
      <c r="M1654" s="2">
        <v>45924.0</v>
      </c>
      <c r="N1654" s="2">
        <f t="array" ref="N1654">IF(M1654&lt;&gt;"INC", INDEX(data!M:M, MATCH(B1654, data!D:D, 0)), "")</f>
        <v>0</v>
      </c>
      <c r="O1654" s="2">
        <f t="shared" si="3"/>
        <v>0</v>
      </c>
    </row>
    <row r="1655">
      <c r="A1655" s="2" t="str">
        <f t="shared" si="1"/>
        <v>H030747</v>
      </c>
      <c r="B1655" s="1" t="s">
        <v>8413</v>
      </c>
      <c r="C1655" s="9" t="str">
        <f t="array" ref="C1655">IF(
  AND(
    IFERROR(MATCH(Caseslist!B1655, data!D:D, 0), 0) &gt; 0,
    IFERROR(INDEX(data!N:N, MATCH(Caseslist!B1655, data!D:D, 0)) = 1, FALSE)
  ),
  "COMPLETE",
  "INC"
)</f>
        <v>COMPLETE</v>
      </c>
      <c r="D1655" s="9" t="str">
        <f t="array" ref="D1655">IFERROR(INDEX(data!$G:$G,match(Caseslist!B1655,data!$D:$D,0)), "INC")</f>
        <v>G5472901</v>
      </c>
      <c r="E1655" s="9" t="str">
        <f t="array" ref="E1655">IFERROR(INDEX(data!H:H,match(Caseslist!B1655,data!D:D,0)), "INC")</f>
        <v>Wellyn Grace Alaban Parcia</v>
      </c>
      <c r="F1655" s="10" t="str">
        <f t="array" ref="F1655">IF(
    OR(
      IFNA(INDEX(data!M:M, MATCH(Caseslist!B1655, data!D:D, 0)), "") = "",
      IFNA(INDEX(data!M:M, MATCH(Caseslist!B1655, data!D:D, 0)), 0) = 0
    ),
    "COMPLETE",
    IF(
      IFNA(INDEX(dataICM!D:D, MATCH(Caseslist!B1655, dataICM!D:D, 0)), "INC") = "INC",
      IFNA(INDEX(dataICM!D:D, MATCH(Caseslist!B1655, dataICM!D:D, 0)), "INC"),
      "COMPLETE"
    )
  )</f>
        <v>COMPLETE</v>
      </c>
      <c r="G1655" s="10" t="str">
        <f t="array" ref="G1655">IF(IFERROR(INDEX(data!L:L,match(Caseslist!B1655,data!D:D,0)),"INC")="","COMPLETE",F1655)</f>
        <v>COMPLETE</v>
      </c>
      <c r="H1655" s="9" t="str">
        <f t="array" ref="H1655">IFERROR(INDEX(dataICM!F:F,match(Caseslist!B1655,dataICM!D:D,0)), "INC")</f>
        <v>INC</v>
      </c>
      <c r="I1655" s="10" t="str">
        <f t="shared" si="2"/>
        <v>G5472901</v>
      </c>
      <c r="J1655" s="9" t="str">
        <f t="array" ref="J1655">IF(
  AND(
    IFERROR(MATCH(B1655, data!D:D, 0), 0) &gt; 0,
    IFERROR(INDEX(data!N:N, MATCH(B1655, data!D:D, 0)) = 1, FALSE)
  ),
  INDEX(data!C:C, MATCH(B1655, data!D:D, 0)),
  "INC"
)</f>
        <v>2025-09-24T14:31:21.553+08</v>
      </c>
      <c r="K1655" s="9" t="str">
        <f t="array" ref="K1655">IFERROR(INDEX(dataICM!C:C,match(Caseslist!B1655,dataICM!D:D,0)), "INC")</f>
        <v>INC</v>
      </c>
      <c r="L1655" s="10" t="str">
        <f t="array" ref="L1655">IF(AND(G1655="COMPLETE", OR(K1655="INC", ISBLANK(INDEX(data!O:O, ROW())))), J1655, K1655)</f>
        <v>2025-09-24T14:31:21.553+08</v>
      </c>
      <c r="M1655" s="2">
        <v>45924.0</v>
      </c>
      <c r="N1655" s="2">
        <f t="array" ref="N1655">IF(M1655&lt;&gt;"INC", INDEX(data!M:M, MATCH(B1655, data!D:D, 0)), "")</f>
        <v>0</v>
      </c>
      <c r="O1655" s="2">
        <f t="shared" si="3"/>
        <v>0</v>
      </c>
    </row>
    <row r="1656">
      <c r="A1656" s="2" t="str">
        <f t="shared" si="1"/>
        <v>H030747</v>
      </c>
      <c r="B1656" s="1" t="s">
        <v>8448</v>
      </c>
      <c r="C1656" s="9" t="str">
        <f t="array" ref="C1656">IF(
  AND(
    IFERROR(MATCH(Caseslist!B1656, data!D:D, 0), 0) &gt; 0,
    IFERROR(INDEX(data!N:N, MATCH(Caseslist!B1656, data!D:D, 0)) = 1, FALSE)
  ),
  "COMPLETE",
  "INC"
)</f>
        <v>COMPLETE</v>
      </c>
      <c r="D1656" s="9" t="str">
        <f t="array" ref="D1656">IFERROR(INDEX(data!$G:$G,match(Caseslist!B1656,data!$D:$D,0)), "INC")</f>
        <v>F3051749</v>
      </c>
      <c r="E1656" s="9" t="str">
        <f t="array" ref="E1656">IFERROR(INDEX(data!H:H,match(Caseslist!B1656,data!D:D,0)), "INC")</f>
        <v>Elenita Gicos De La Pe�a</v>
      </c>
      <c r="F1656" s="10" t="str">
        <f t="array" ref="F1656">IF(
    OR(
      IFNA(INDEX(data!M:M, MATCH(Caseslist!B1656, data!D:D, 0)), "") = "",
      IFNA(INDEX(data!M:M, MATCH(Caseslist!B1656, data!D:D, 0)), 0) = 0
    ),
    "COMPLETE",
    IF(
      IFNA(INDEX(dataICM!D:D, MATCH(Caseslist!B1656, dataICM!D:D, 0)), "INC") = "INC",
      IFNA(INDEX(dataICM!D:D, MATCH(Caseslist!B1656, dataICM!D:D, 0)), "INC"),
      "COMPLETE"
    )
  )</f>
        <v>COMPLETE</v>
      </c>
      <c r="G1656" s="10" t="str">
        <f t="array" ref="G1656">IF(IFERROR(INDEX(data!L:L,match(Caseslist!B1656,data!D:D,0)),"INC")="","COMPLETE",F1656)</f>
        <v>COMPLETE</v>
      </c>
      <c r="H1656" s="9" t="str">
        <f t="array" ref="H1656">IFERROR(INDEX(dataICM!F:F,match(Caseslist!B1656,dataICM!D:D,0)), "INC")</f>
        <v>INC</v>
      </c>
      <c r="I1656" s="10" t="str">
        <f t="shared" si="2"/>
        <v>F3051749</v>
      </c>
      <c r="J1656" s="9" t="str">
        <f t="array" ref="J1656">IF(
  AND(
    IFERROR(MATCH(B1656, data!D:D, 0), 0) &gt; 0,
    IFERROR(INDEX(data!N:N, MATCH(B1656, data!D:D, 0)) = 1, FALSE)
  ),
  INDEX(data!C:C, MATCH(B1656, data!D:D, 0)),
  "INC"
)</f>
        <v>2025-09-24T12:01:03.528+08</v>
      </c>
      <c r="K1656" s="9" t="str">
        <f t="array" ref="K1656">IFERROR(INDEX(dataICM!C:C,match(Caseslist!B1656,dataICM!D:D,0)), "INC")</f>
        <v>INC</v>
      </c>
      <c r="L1656" s="10" t="str">
        <f t="array" ref="L1656">IF(AND(G1656="COMPLETE", OR(K1656="INC", ISBLANK(INDEX(data!O:O, ROW())))), J1656, K1656)</f>
        <v>2025-09-24T12:01:03.528+08</v>
      </c>
      <c r="M1656" s="2">
        <v>45924.0</v>
      </c>
      <c r="N1656" s="2">
        <f t="array" ref="N1656">IF(M1656&lt;&gt;"INC", INDEX(data!M:M, MATCH(B1656, data!D:D, 0)), "")</f>
        <v>0</v>
      </c>
      <c r="O1656" s="2">
        <f t="shared" si="3"/>
        <v>0</v>
      </c>
    </row>
    <row r="1657">
      <c r="A1657" s="2" t="str">
        <f t="shared" si="1"/>
        <v>H030747</v>
      </c>
      <c r="B1657" s="1" t="s">
        <v>8263</v>
      </c>
      <c r="C1657" s="9" t="str">
        <f t="array" ref="C1657">IF(
  AND(
    IFERROR(MATCH(Caseslist!B1657, data!D:D, 0), 0) &gt; 0,
    IFERROR(INDEX(data!N:N, MATCH(Caseslist!B1657, data!D:D, 0)) = 1, FALSE)
  ),
  "COMPLETE",
  "INC"
)</f>
        <v>COMPLETE</v>
      </c>
      <c r="D1657" s="9" t="str">
        <f t="array" ref="D1657">IFERROR(INDEX(data!$G:$G,match(Caseslist!B1657,data!$D:$D,0)), "INC")</f>
        <v>F3051749</v>
      </c>
      <c r="E1657" s="9" t="str">
        <f t="array" ref="E1657">IFERROR(INDEX(data!H:H,match(Caseslist!B1657,data!D:D,0)), "INC")</f>
        <v>Elenita Gicos De La Pe�a</v>
      </c>
      <c r="F1657" s="10" t="str">
        <f t="array" ref="F1657">IF(
    OR(
      IFNA(INDEX(data!M:M, MATCH(Caseslist!B1657, data!D:D, 0)), "") = "",
      IFNA(INDEX(data!M:M, MATCH(Caseslist!B1657, data!D:D, 0)), 0) = 0
    ),
    "COMPLETE",
    IF(
      IFNA(INDEX(dataICM!D:D, MATCH(Caseslist!B1657, dataICM!D:D, 0)), "INC") = "INC",
      IFNA(INDEX(dataICM!D:D, MATCH(Caseslist!B1657, dataICM!D:D, 0)), "INC"),
      "COMPLETE"
    )
  )</f>
        <v>COMPLETE</v>
      </c>
      <c r="G1657" s="10" t="str">
        <f t="array" ref="G1657">IF(IFERROR(INDEX(data!L:L,match(Caseslist!B1657,data!D:D,0)),"INC")="","COMPLETE",F1657)</f>
        <v>COMPLETE</v>
      </c>
      <c r="H1657" s="9" t="str">
        <f t="array" ref="H1657">IFERROR(INDEX(dataICM!F:F,match(Caseslist!B1657,dataICM!D:D,0)), "INC")</f>
        <v>INC</v>
      </c>
      <c r="I1657" s="10" t="str">
        <f t="shared" si="2"/>
        <v>F3051749</v>
      </c>
      <c r="J1657" s="9" t="str">
        <f t="array" ref="J1657">IF(
  AND(
    IFERROR(MATCH(B1657, data!D:D, 0), 0) &gt; 0,
    IFERROR(INDEX(data!N:N, MATCH(B1657, data!D:D, 0)) = 1, FALSE)
  ),
  INDEX(data!C:C, MATCH(B1657, data!D:D, 0)),
  "INC"
)</f>
        <v>2025-09-23T14:28:05.036+08</v>
      </c>
      <c r="K1657" s="9" t="str">
        <f t="array" ref="K1657">IFERROR(INDEX(dataICM!C:C,match(Caseslist!B1657,dataICM!D:D,0)), "INC")</f>
        <v>INC</v>
      </c>
      <c r="L1657" s="10" t="str">
        <f t="array" ref="L1657">IF(AND(G1657="COMPLETE", OR(K1657="INC", ISBLANK(INDEX(data!O:O, ROW())))), J1657, K1657)</f>
        <v>2025-09-23T14:28:05.036+08</v>
      </c>
      <c r="M1657" s="2">
        <v>45923.0</v>
      </c>
      <c r="N1657" s="2">
        <f t="array" ref="N1657">IF(M1657&lt;&gt;"INC", INDEX(data!M:M, MATCH(B1657, data!D:D, 0)), "")</f>
        <v>0</v>
      </c>
      <c r="O1657" s="2">
        <f t="shared" si="3"/>
        <v>0</v>
      </c>
    </row>
    <row r="1658">
      <c r="A1658" s="2" t="str">
        <f t="shared" si="1"/>
        <v>H030747</v>
      </c>
      <c r="B1658" s="1" t="s">
        <v>8253</v>
      </c>
      <c r="C1658" s="9" t="str">
        <f t="array" ref="C1658">IF(
  AND(
    IFERROR(MATCH(Caseslist!B1658, data!D:D, 0), 0) &gt; 0,
    IFERROR(INDEX(data!N:N, MATCH(Caseslist!B1658, data!D:D, 0)) = 1, FALSE)
  ),
  "COMPLETE",
  "INC"
)</f>
        <v>COMPLETE</v>
      </c>
      <c r="D1658" s="9" t="str">
        <f t="array" ref="D1658">IFERROR(INDEX(data!$G:$G,match(Caseslist!B1658,data!$D:$D,0)), "INC")</f>
        <v>F3051749</v>
      </c>
      <c r="E1658" s="9" t="str">
        <f t="array" ref="E1658">IFERROR(INDEX(data!H:H,match(Caseslist!B1658,data!D:D,0)), "INC")</f>
        <v>Elenita Gicos De La Pe�a</v>
      </c>
      <c r="F1658" s="10" t="str">
        <f t="array" ref="F1658">IF(
    OR(
      IFNA(INDEX(data!M:M, MATCH(Caseslist!B1658, data!D:D, 0)), "") = "",
      IFNA(INDEX(data!M:M, MATCH(Caseslist!B1658, data!D:D, 0)), 0) = 0
    ),
    "COMPLETE",
    IF(
      IFNA(INDEX(dataICM!D:D, MATCH(Caseslist!B1658, dataICM!D:D, 0)), "INC") = "INC",
      IFNA(INDEX(dataICM!D:D, MATCH(Caseslist!B1658, dataICM!D:D, 0)), "INC"),
      "COMPLETE"
    )
  )</f>
        <v>COMPLETE</v>
      </c>
      <c r="G1658" s="10" t="str">
        <f t="array" ref="G1658">IF(IFERROR(INDEX(data!L:L,match(Caseslist!B1658,data!D:D,0)),"INC")="","COMPLETE",F1658)</f>
        <v>COMPLETE</v>
      </c>
      <c r="H1658" s="9" t="str">
        <f t="array" ref="H1658">IFERROR(INDEX(dataICM!F:F,match(Caseslist!B1658,dataICM!D:D,0)), "INC")</f>
        <v>INC</v>
      </c>
      <c r="I1658" s="10" t="str">
        <f t="shared" si="2"/>
        <v>F3051749</v>
      </c>
      <c r="J1658" s="9" t="str">
        <f t="array" ref="J1658">IF(
  AND(
    IFERROR(MATCH(B1658, data!D:D, 0), 0) &gt; 0,
    IFERROR(INDEX(data!N:N, MATCH(B1658, data!D:D, 0)) = 1, FALSE)
  ),
  INDEX(data!C:C, MATCH(B1658, data!D:D, 0)),
  "INC"
)</f>
        <v>2025-09-23T09:59:33.805+08</v>
      </c>
      <c r="K1658" s="9" t="str">
        <f t="array" ref="K1658">IFERROR(INDEX(dataICM!C:C,match(Caseslist!B1658,dataICM!D:D,0)), "INC")</f>
        <v>INC</v>
      </c>
      <c r="L1658" s="10" t="str">
        <f t="array" ref="L1658">IF(AND(G1658="COMPLETE", OR(K1658="INC", ISBLANK(INDEX(data!O:O, ROW())))), J1658, K1658)</f>
        <v>2025-09-23T09:59:33.805+08</v>
      </c>
      <c r="M1658" s="2">
        <v>45923.0</v>
      </c>
      <c r="N1658" s="2">
        <f t="array" ref="N1658">IF(M1658&lt;&gt;"INC", INDEX(data!M:M, MATCH(B1658, data!D:D, 0)), "")</f>
        <v>0</v>
      </c>
      <c r="O1658" s="2">
        <f t="shared" si="3"/>
        <v>0</v>
      </c>
    </row>
    <row r="1659">
      <c r="A1659" s="2" t="str">
        <f t="shared" si="1"/>
        <v>H030747</v>
      </c>
      <c r="B1659" s="1" t="s">
        <v>8443</v>
      </c>
      <c r="C1659" s="9" t="str">
        <f t="array" ref="C1659">IF(
  AND(
    IFERROR(MATCH(Caseslist!B1659, data!D:D, 0), 0) &gt; 0,
    IFERROR(INDEX(data!N:N, MATCH(Caseslist!B1659, data!D:D, 0)) = 1, FALSE)
  ),
  "COMPLETE",
  "INC"
)</f>
        <v>COMPLETE</v>
      </c>
      <c r="D1659" s="9" t="str">
        <f t="array" ref="D1659">IFERROR(INDEX(data!$G:$G,match(Caseslist!B1659,data!$D:$D,0)), "INC")</f>
        <v>F3051749</v>
      </c>
      <c r="E1659" s="9" t="str">
        <f t="array" ref="E1659">IFERROR(INDEX(data!H:H,match(Caseslist!B1659,data!D:D,0)), "INC")</f>
        <v>Elenita Gicos De La Pe�a</v>
      </c>
      <c r="F1659" s="10" t="str">
        <f t="array" ref="F1659">IF(
    OR(
      IFNA(INDEX(data!M:M, MATCH(Caseslist!B1659, data!D:D, 0)), "") = "",
      IFNA(INDEX(data!M:M, MATCH(Caseslist!B1659, data!D:D, 0)), 0) = 0
    ),
    "COMPLETE",
    IF(
      IFNA(INDEX(dataICM!D:D, MATCH(Caseslist!B1659, dataICM!D:D, 0)), "INC") = "INC",
      IFNA(INDEX(dataICM!D:D, MATCH(Caseslist!B1659, dataICM!D:D, 0)), "INC"),
      "COMPLETE"
    )
  )</f>
        <v>COMPLETE</v>
      </c>
      <c r="G1659" s="10" t="str">
        <f t="array" ref="G1659">IF(IFERROR(INDEX(data!L:L,match(Caseslist!B1659,data!D:D,0)),"INC")="","COMPLETE",F1659)</f>
        <v>COMPLETE</v>
      </c>
      <c r="H1659" s="9" t="str">
        <f t="array" ref="H1659">IFERROR(INDEX(dataICM!F:F,match(Caseslist!B1659,dataICM!D:D,0)), "INC")</f>
        <v>INC</v>
      </c>
      <c r="I1659" s="10" t="str">
        <f t="shared" si="2"/>
        <v>F3051749</v>
      </c>
      <c r="J1659" s="9" t="str">
        <f t="array" ref="J1659">IF(
  AND(
    IFERROR(MATCH(B1659, data!D:D, 0), 0) &gt; 0,
    IFERROR(INDEX(data!N:N, MATCH(B1659, data!D:D, 0)) = 1, FALSE)
  ),
  INDEX(data!C:C, MATCH(B1659, data!D:D, 0)),
  "INC"
)</f>
        <v>2025-09-24T14:41:06.619+08</v>
      </c>
      <c r="K1659" s="9" t="str">
        <f t="array" ref="K1659">IFERROR(INDEX(dataICM!C:C,match(Caseslist!B1659,dataICM!D:D,0)), "INC")</f>
        <v>INC</v>
      </c>
      <c r="L1659" s="10" t="str">
        <f t="array" ref="L1659">IF(AND(G1659="COMPLETE", OR(K1659="INC", ISBLANK(INDEX(data!O:O, ROW())))), J1659, K1659)</f>
        <v>2025-09-24T14:41:06.619+08</v>
      </c>
      <c r="M1659" s="2">
        <v>45924.0</v>
      </c>
      <c r="N1659" s="2">
        <f t="array" ref="N1659">IF(M1659&lt;&gt;"INC", INDEX(data!M:M, MATCH(B1659, data!D:D, 0)), "")</f>
        <v>0</v>
      </c>
      <c r="O1659" s="2">
        <f t="shared" si="3"/>
        <v>0</v>
      </c>
    </row>
    <row r="1660">
      <c r="A1660" s="2" t="str">
        <f t="shared" si="1"/>
        <v>H030747</v>
      </c>
      <c r="B1660" s="1" t="s">
        <v>8418</v>
      </c>
      <c r="C1660" s="9" t="str">
        <f t="array" ref="C1660">IF(
  AND(
    IFERROR(MATCH(Caseslist!B1660, data!D:D, 0), 0) &gt; 0,
    IFERROR(INDEX(data!N:N, MATCH(Caseslist!B1660, data!D:D, 0)) = 1, FALSE)
  ),
  "COMPLETE",
  "INC"
)</f>
        <v>COMPLETE</v>
      </c>
      <c r="D1660" s="9" t="str">
        <f t="array" ref="D1660">IFERROR(INDEX(data!$G:$G,match(Caseslist!B1660,data!$D:$D,0)), "INC")</f>
        <v>G5472901</v>
      </c>
      <c r="E1660" s="9" t="str">
        <f t="array" ref="E1660">IFERROR(INDEX(data!H:H,match(Caseslist!B1660,data!D:D,0)), "INC")</f>
        <v>Wellyn Grace Alaban Parcia</v>
      </c>
      <c r="F1660" s="10" t="str">
        <f t="array" ref="F1660">IF(
    OR(
      IFNA(INDEX(data!M:M, MATCH(Caseslist!B1660, data!D:D, 0)), "") = "",
      IFNA(INDEX(data!M:M, MATCH(Caseslist!B1660, data!D:D, 0)), 0) = 0
    ),
    "COMPLETE",
    IF(
      IFNA(INDEX(dataICM!D:D, MATCH(Caseslist!B1660, dataICM!D:D, 0)), "INC") = "INC",
      IFNA(INDEX(dataICM!D:D, MATCH(Caseslist!B1660, dataICM!D:D, 0)), "INC"),
      "COMPLETE"
    )
  )</f>
        <v>COMPLETE</v>
      </c>
      <c r="G1660" s="10" t="str">
        <f t="array" ref="G1660">IF(IFERROR(INDEX(data!L:L,match(Caseslist!B1660,data!D:D,0)),"INC")="","COMPLETE",F1660)</f>
        <v>COMPLETE</v>
      </c>
      <c r="H1660" s="9" t="str">
        <f t="array" ref="H1660">IFERROR(INDEX(dataICM!F:F,match(Caseslist!B1660,dataICM!D:D,0)), "INC")</f>
        <v>INC</v>
      </c>
      <c r="I1660" s="10" t="str">
        <f t="shared" si="2"/>
        <v>G5472901</v>
      </c>
      <c r="J1660" s="9" t="str">
        <f t="array" ref="J1660">IF(
  AND(
    IFERROR(MATCH(B1660, data!D:D, 0), 0) &gt; 0,
    IFERROR(INDEX(data!N:N, MATCH(B1660, data!D:D, 0)) = 1, FALSE)
  ),
  INDEX(data!C:C, MATCH(B1660, data!D:D, 0)),
  "INC"
)</f>
        <v>2025-09-24T10:28:49.686+08</v>
      </c>
      <c r="K1660" s="9" t="str">
        <f t="array" ref="K1660">IFERROR(INDEX(dataICM!C:C,match(Caseslist!B1660,dataICM!D:D,0)), "INC")</f>
        <v>INC</v>
      </c>
      <c r="L1660" s="10" t="str">
        <f t="array" ref="L1660">IF(AND(G1660="COMPLETE", OR(K1660="INC", ISBLANK(INDEX(data!O:O, ROW())))), J1660, K1660)</f>
        <v>2025-09-24T10:28:49.686+08</v>
      </c>
      <c r="M1660" s="2">
        <v>45924.0</v>
      </c>
      <c r="N1660" s="2">
        <f t="array" ref="N1660">IF(M1660&lt;&gt;"INC", INDEX(data!M:M, MATCH(B1660, data!D:D, 0)), "")</f>
        <v>0</v>
      </c>
      <c r="O1660" s="2">
        <f t="shared" si="3"/>
        <v>0</v>
      </c>
    </row>
    <row r="1661">
      <c r="A1661" s="2" t="str">
        <f t="shared" si="1"/>
        <v>H030747</v>
      </c>
      <c r="B1661" s="1" t="s">
        <v>8258</v>
      </c>
      <c r="C1661" s="9" t="str">
        <f t="array" ref="C1661">IF(
  AND(
    IFERROR(MATCH(Caseslist!B1661, data!D:D, 0), 0) &gt; 0,
    IFERROR(INDEX(data!N:N, MATCH(Caseslist!B1661, data!D:D, 0)) = 1, FALSE)
  ),
  "COMPLETE",
  "INC"
)</f>
        <v>COMPLETE</v>
      </c>
      <c r="D1661" s="9" t="str">
        <f t="array" ref="D1661">IFERROR(INDEX(data!$G:$G,match(Caseslist!B1661,data!$D:$D,0)), "INC")</f>
        <v>F3051749</v>
      </c>
      <c r="E1661" s="9" t="str">
        <f t="array" ref="E1661">IFERROR(INDEX(data!H:H,match(Caseslist!B1661,data!D:D,0)), "INC")</f>
        <v>Elenita Gicos De La Pe�a</v>
      </c>
      <c r="F1661" s="10" t="str">
        <f t="array" ref="F1661">IF(
    OR(
      IFNA(INDEX(data!M:M, MATCH(Caseslist!B1661, data!D:D, 0)), "") = "",
      IFNA(INDEX(data!M:M, MATCH(Caseslist!B1661, data!D:D, 0)), 0) = 0
    ),
    "COMPLETE",
    IF(
      IFNA(INDEX(dataICM!D:D, MATCH(Caseslist!B1661, dataICM!D:D, 0)), "INC") = "INC",
      IFNA(INDEX(dataICM!D:D, MATCH(Caseslist!B1661, dataICM!D:D, 0)), "INC"),
      "COMPLETE"
    )
  )</f>
        <v>COMPLETE</v>
      </c>
      <c r="G1661" s="10" t="str">
        <f t="array" ref="G1661">IF(IFERROR(INDEX(data!L:L,match(Caseslist!B1661,data!D:D,0)),"INC")="","COMPLETE",F1661)</f>
        <v>COMPLETE</v>
      </c>
      <c r="H1661" s="9" t="str">
        <f t="array" ref="H1661">IFERROR(INDEX(dataICM!F:F,match(Caseslist!B1661,dataICM!D:D,0)), "INC")</f>
        <v>INC</v>
      </c>
      <c r="I1661" s="10" t="str">
        <f t="shared" si="2"/>
        <v>F3051749</v>
      </c>
      <c r="J1661" s="9" t="str">
        <f t="array" ref="J1661">IF(
  AND(
    IFERROR(MATCH(B1661, data!D:D, 0), 0) &gt; 0,
    IFERROR(INDEX(data!N:N, MATCH(B1661, data!D:D, 0)) = 1, FALSE)
  ),
  INDEX(data!C:C, MATCH(B1661, data!D:D, 0)),
  "INC"
)</f>
        <v>2025-09-23T11:46:19.316+08</v>
      </c>
      <c r="K1661" s="9" t="str">
        <f t="array" ref="K1661">IFERROR(INDEX(dataICM!C:C,match(Caseslist!B1661,dataICM!D:D,0)), "INC")</f>
        <v>INC</v>
      </c>
      <c r="L1661" s="10" t="str">
        <f t="array" ref="L1661">IF(AND(G1661="COMPLETE", OR(K1661="INC", ISBLANK(INDEX(data!O:O, ROW())))), J1661, K1661)</f>
        <v>2025-09-23T11:46:19.316+08</v>
      </c>
      <c r="M1661" s="2">
        <v>45923.0</v>
      </c>
      <c r="N1661" s="2">
        <f t="array" ref="N1661">IF(M1661&lt;&gt;"INC", INDEX(data!M:M, MATCH(B1661, data!D:D, 0)), "")</f>
        <v>0</v>
      </c>
      <c r="O1661" s="2">
        <f t="shared" si="3"/>
        <v>0</v>
      </c>
    </row>
    <row r="1662">
      <c r="A1662" s="2" t="str">
        <f t="shared" si="1"/>
        <v>H030747</v>
      </c>
      <c r="B1662" s="1" t="s">
        <v>8543</v>
      </c>
      <c r="C1662" s="9" t="str">
        <f t="array" ref="C1662">IF(
  AND(
    IFERROR(MATCH(Caseslist!B1662, data!D:D, 0), 0) &gt; 0,
    IFERROR(INDEX(data!N:N, MATCH(Caseslist!B1662, data!D:D, 0)) = 1, FALSE)
  ),
  "COMPLETE",
  "INC"
)</f>
        <v>COMPLETE</v>
      </c>
      <c r="D1662" s="9" t="str">
        <f t="array" ref="D1662">IFERROR(INDEX(data!$G:$G,match(Caseslist!B1662,data!$D:$D,0)), "INC")</f>
        <v>H2846135</v>
      </c>
      <c r="E1662" s="9" t="str">
        <f t="array" ref="E1662">IFERROR(INDEX(data!H:H,match(Caseslist!B1662,data!D:D,0)), "INC")</f>
        <v>Annalou Empanado Encontro</v>
      </c>
      <c r="F1662" s="10" t="str">
        <f t="array" ref="F1662">IF(
    OR(
      IFNA(INDEX(data!M:M, MATCH(Caseslist!B1662, data!D:D, 0)), "") = "",
      IFNA(INDEX(data!M:M, MATCH(Caseslist!B1662, data!D:D, 0)), 0) = 0
    ),
    "COMPLETE",
    IF(
      IFNA(INDEX(dataICM!D:D, MATCH(Caseslist!B1662, dataICM!D:D, 0)), "INC") = "INC",
      IFNA(INDEX(dataICM!D:D, MATCH(Caseslist!B1662, dataICM!D:D, 0)), "INC"),
      "COMPLETE"
    )
  )</f>
        <v>COMPLETE</v>
      </c>
      <c r="G1662" s="10" t="str">
        <f t="array" ref="G1662">IF(IFERROR(INDEX(data!L:L,match(Caseslist!B1662,data!D:D,0)),"INC")="","COMPLETE",F1662)</f>
        <v>COMPLETE</v>
      </c>
      <c r="H1662" s="9" t="str">
        <f t="array" ref="H1662">IFERROR(INDEX(dataICM!F:F,match(Caseslist!B1662,dataICM!D:D,0)), "INC")</f>
        <v>INC</v>
      </c>
      <c r="I1662" s="10" t="str">
        <f t="shared" si="2"/>
        <v>H2846135</v>
      </c>
      <c r="J1662" s="9" t="str">
        <f t="array" ref="J1662">IF(
  AND(
    IFERROR(MATCH(B1662, data!D:D, 0), 0) &gt; 0,
    IFERROR(INDEX(data!N:N, MATCH(B1662, data!D:D, 0)) = 1, FALSE)
  ),
  INDEX(data!C:C, MATCH(B1662, data!D:D, 0)),
  "INC"
)</f>
        <v>2025-09-25T08:52:16.635+08</v>
      </c>
      <c r="K1662" s="9" t="str">
        <f t="array" ref="K1662">IFERROR(INDEX(dataICM!C:C,match(Caseslist!B1662,dataICM!D:D,0)), "INC")</f>
        <v>INC</v>
      </c>
      <c r="L1662" s="10" t="str">
        <f t="array" ref="L1662">IF(AND(G1662="COMPLETE", OR(K1662="INC", ISBLANK(INDEX(data!O:O, ROW())))), J1662, K1662)</f>
        <v>2025-09-25T08:52:16.635+08</v>
      </c>
      <c r="M1662" s="2">
        <v>45925.0</v>
      </c>
      <c r="N1662" s="2">
        <f t="array" ref="N1662">IF(M1662&lt;&gt;"INC", INDEX(data!M:M, MATCH(B1662, data!D:D, 0)), "")</f>
        <v>0</v>
      </c>
      <c r="O1662" s="2">
        <f t="shared" si="3"/>
        <v>0</v>
      </c>
    </row>
    <row r="1663">
      <c r="A1663" s="2" t="str">
        <f t="shared" si="1"/>
        <v>H030747</v>
      </c>
      <c r="B1663" s="1" t="s">
        <v>8458</v>
      </c>
      <c r="C1663" s="9" t="str">
        <f t="array" ref="C1663">IF(
  AND(
    IFERROR(MATCH(Caseslist!B1663, data!D:D, 0), 0) &gt; 0,
    IFERROR(INDEX(data!N:N, MATCH(Caseslist!B1663, data!D:D, 0)) = 1, FALSE)
  ),
  "COMPLETE",
  "INC"
)</f>
        <v>COMPLETE</v>
      </c>
      <c r="D1663" s="9" t="str">
        <f t="array" ref="D1663">IFERROR(INDEX(data!$G:$G,match(Caseslist!B1663,data!$D:$D,0)), "INC")</f>
        <v>H2846135</v>
      </c>
      <c r="E1663" s="9" t="str">
        <f t="array" ref="E1663">IFERROR(INDEX(data!H:H,match(Caseslist!B1663,data!D:D,0)), "INC")</f>
        <v>Annalou Empanado Encontro</v>
      </c>
      <c r="F1663" s="10" t="str">
        <f t="array" ref="F1663">IF(
    OR(
      IFNA(INDEX(data!M:M, MATCH(Caseslist!B1663, data!D:D, 0)), "") = "",
      IFNA(INDEX(data!M:M, MATCH(Caseslist!B1663, data!D:D, 0)), 0) = 0
    ),
    "COMPLETE",
    IF(
      IFNA(INDEX(dataICM!D:D, MATCH(Caseslist!B1663, dataICM!D:D, 0)), "INC") = "INC",
      IFNA(INDEX(dataICM!D:D, MATCH(Caseslist!B1663, dataICM!D:D, 0)), "INC"),
      "COMPLETE"
    )
  )</f>
        <v>COMPLETE</v>
      </c>
      <c r="G1663" s="10" t="str">
        <f t="array" ref="G1663">IF(IFERROR(INDEX(data!L:L,match(Caseslist!B1663,data!D:D,0)),"INC")="","COMPLETE",F1663)</f>
        <v>COMPLETE</v>
      </c>
      <c r="H1663" s="9" t="str">
        <f t="array" ref="H1663">IFERROR(INDEX(dataICM!F:F,match(Caseslist!B1663,dataICM!D:D,0)), "INC")</f>
        <v>INC</v>
      </c>
      <c r="I1663" s="10" t="str">
        <f t="shared" si="2"/>
        <v>H2846135</v>
      </c>
      <c r="J1663" s="9" t="str">
        <f t="array" ref="J1663">IF(
  AND(
    IFERROR(MATCH(B1663, data!D:D, 0), 0) &gt; 0,
    IFERROR(INDEX(data!N:N, MATCH(B1663, data!D:D, 0)) = 1, FALSE)
  ),
  INDEX(data!C:C, MATCH(B1663, data!D:D, 0)),
  "INC"
)</f>
        <v>2025-09-24T15:17:25.682+08</v>
      </c>
      <c r="K1663" s="9" t="str">
        <f t="array" ref="K1663">IFERROR(INDEX(dataICM!C:C,match(Caseslist!B1663,dataICM!D:D,0)), "INC")</f>
        <v>INC</v>
      </c>
      <c r="L1663" s="10" t="str">
        <f t="array" ref="L1663">IF(AND(G1663="COMPLETE", OR(K1663="INC", ISBLANK(INDEX(data!O:O, ROW())))), J1663, K1663)</f>
        <v>2025-09-24T15:17:25.682+08</v>
      </c>
      <c r="M1663" s="2">
        <v>45924.0</v>
      </c>
      <c r="N1663" s="2">
        <f t="array" ref="N1663">IF(M1663&lt;&gt;"INC", INDEX(data!M:M, MATCH(B1663, data!D:D, 0)), "")</f>
        <v>0</v>
      </c>
      <c r="O1663" s="2">
        <f t="shared" si="3"/>
        <v>0</v>
      </c>
    </row>
    <row r="1664">
      <c r="A1664" s="2" t="str">
        <f t="shared" si="1"/>
        <v>H030747</v>
      </c>
      <c r="B1664" s="1" t="s">
        <v>8268</v>
      </c>
      <c r="C1664" s="9" t="str">
        <f t="array" ref="C1664">IF(
  AND(
    IFERROR(MATCH(Caseslist!B1664, data!D:D, 0), 0) &gt; 0,
    IFERROR(INDEX(data!N:N, MATCH(Caseslist!B1664, data!D:D, 0)) = 1, FALSE)
  ),
  "COMPLETE",
  "INC"
)</f>
        <v>COMPLETE</v>
      </c>
      <c r="D1664" s="9" t="str">
        <f t="array" ref="D1664">IFERROR(INDEX(data!$G:$G,match(Caseslist!B1664,data!$D:$D,0)), "INC")</f>
        <v>F3051749</v>
      </c>
      <c r="E1664" s="9" t="str">
        <f t="array" ref="E1664">IFERROR(INDEX(data!H:H,match(Caseslist!B1664,data!D:D,0)), "INC")</f>
        <v>Elenita Gicos De La Pe�a</v>
      </c>
      <c r="F1664" s="10" t="str">
        <f t="array" ref="F1664">IF(
    OR(
      IFNA(INDEX(data!M:M, MATCH(Caseslist!B1664, data!D:D, 0)), "") = "",
      IFNA(INDEX(data!M:M, MATCH(Caseslist!B1664, data!D:D, 0)), 0) = 0
    ),
    "COMPLETE",
    IF(
      IFNA(INDEX(dataICM!D:D, MATCH(Caseslist!B1664, dataICM!D:D, 0)), "INC") = "INC",
      IFNA(INDEX(dataICM!D:D, MATCH(Caseslist!B1664, dataICM!D:D, 0)), "INC"),
      "COMPLETE"
    )
  )</f>
        <v>COMPLETE</v>
      </c>
      <c r="G1664" s="10" t="str">
        <f t="array" ref="G1664">IF(IFERROR(INDEX(data!L:L,match(Caseslist!B1664,data!D:D,0)),"INC")="","COMPLETE",F1664)</f>
        <v>COMPLETE</v>
      </c>
      <c r="H1664" s="9" t="str">
        <f t="array" ref="H1664">IFERROR(INDEX(dataICM!F:F,match(Caseslist!B1664,dataICM!D:D,0)), "INC")</f>
        <v>INC</v>
      </c>
      <c r="I1664" s="10" t="str">
        <f t="shared" si="2"/>
        <v>F3051749</v>
      </c>
      <c r="J1664" s="9" t="str">
        <f t="array" ref="J1664">IF(
  AND(
    IFERROR(MATCH(B1664, data!D:D, 0), 0) &gt; 0,
    IFERROR(INDEX(data!N:N, MATCH(B1664, data!D:D, 0)) = 1, FALSE)
  ),
  INDEX(data!C:C, MATCH(B1664, data!D:D, 0)),
  "INC"
)</f>
        <v>2025-09-23T16:29:00.554+08</v>
      </c>
      <c r="K1664" s="9" t="str">
        <f t="array" ref="K1664">IFERROR(INDEX(dataICM!C:C,match(Caseslist!B1664,dataICM!D:D,0)), "INC")</f>
        <v>INC</v>
      </c>
      <c r="L1664" s="10" t="str">
        <f t="array" ref="L1664">IF(AND(G1664="COMPLETE", OR(K1664="INC", ISBLANK(INDEX(data!O:O, ROW())))), J1664, K1664)</f>
        <v>2025-09-23T16:29:00.554+08</v>
      </c>
      <c r="M1664" s="2">
        <v>45923.0</v>
      </c>
      <c r="N1664" s="2">
        <f t="array" ref="N1664">IF(M1664&lt;&gt;"INC", INDEX(data!M:M, MATCH(B1664, data!D:D, 0)), "")</f>
        <v>0</v>
      </c>
      <c r="O1664" s="2">
        <f t="shared" si="3"/>
        <v>0</v>
      </c>
    </row>
    <row r="1665">
      <c r="A1665" s="2" t="str">
        <f t="shared" si="1"/>
        <v>H030747</v>
      </c>
      <c r="B1665" s="1" t="s">
        <v>8623</v>
      </c>
      <c r="C1665" s="9" t="str">
        <f t="array" ref="C1665">IF(
  AND(
    IFERROR(MATCH(Caseslist!B1665, data!D:D, 0), 0) &gt; 0,
    IFERROR(INDEX(data!N:N, MATCH(Caseslist!B1665, data!D:D, 0)) = 1, FALSE)
  ),
  "COMPLETE",
  "INC"
)</f>
        <v>INC</v>
      </c>
      <c r="D1665" s="9" t="str">
        <f t="array" ref="D1665">IFERROR(INDEX(data!$G:$G,match(Caseslist!B1665,data!$D:$D,0)), "INC")</f>
        <v>F3051749</v>
      </c>
      <c r="E1665" s="9" t="str">
        <f t="array" ref="E1665">IFERROR(INDEX(data!H:H,match(Caseslist!B1665,data!D:D,0)), "INC")</f>
        <v>Elenita Gicos De La Pe�a</v>
      </c>
      <c r="F1665" s="10" t="str">
        <f t="array" ref="F1665">IF(
    OR(
      IFNA(INDEX(data!M:M, MATCH(Caseslist!B1665, data!D:D, 0)), "") = "",
      IFNA(INDEX(data!M:M, MATCH(Caseslist!B1665, data!D:D, 0)), 0) = 0
    ),
    "COMPLETE",
    IF(
      IFNA(INDEX(dataICM!D:D, MATCH(Caseslist!B1665, dataICM!D:D, 0)), "INC") = "INC",
      IFNA(INDEX(dataICM!D:D, MATCH(Caseslist!B1665, dataICM!D:D, 0)), "INC"),
      "COMPLETE"
    )
  )</f>
        <v>COMPLETE</v>
      </c>
      <c r="G1665" s="10" t="str">
        <f t="array" ref="G1665">IF(IFERROR(INDEX(data!L:L,match(Caseslist!B1665,data!D:D,0)),"INC")="","COMPLETE",F1665)</f>
        <v>COMPLETE</v>
      </c>
      <c r="H1665" s="9" t="str">
        <f t="array" ref="H1665">IFERROR(INDEX(dataICM!F:F,match(Caseslist!B1665,dataICM!D:D,0)), "INC")</f>
        <v>INC</v>
      </c>
      <c r="I1665" s="10" t="str">
        <f t="shared" si="2"/>
        <v>F3051749</v>
      </c>
      <c r="J1665" s="9" t="str">
        <f t="array" ref="J1665">IF(
  AND(
    IFERROR(MATCH(B1665, data!D:D, 0), 0) &gt; 0,
    IFERROR(INDEX(data!N:N, MATCH(B1665, data!D:D, 0)) = 1, FALSE)
  ),
  INDEX(data!C:C, MATCH(B1665, data!D:D, 0)),
  "INC"
)</f>
        <v>INC</v>
      </c>
      <c r="K1665" s="9" t="str">
        <f t="array" ref="K1665">IFERROR(INDEX(dataICM!C:C,match(Caseslist!B1665,dataICM!D:D,0)), "INC")</f>
        <v>INC</v>
      </c>
      <c r="L1665" s="10" t="str">
        <f t="array" ref="L1665">IF(AND(G1665="COMPLETE", OR(K1665="INC", ISBLANK(INDEX(data!O:O, ROW())))), J1665, K1665)</f>
        <v>INC</v>
      </c>
      <c r="M1665" s="2" t="s">
        <v>8886</v>
      </c>
      <c r="N1665" s="2" t="str">
        <f t="array" ref="N1665">IF(M1665&lt;&gt;"INC", INDEX(data!M:M, MATCH(B1665, data!D:D, 0)), "")</f>
        <v/>
      </c>
      <c r="O1665" s="2" t="str">
        <f t="shared" si="3"/>
        <v/>
      </c>
    </row>
    <row r="1666">
      <c r="A1666" s="2" t="str">
        <f t="shared" si="1"/>
        <v>H030748</v>
      </c>
      <c r="B1666" s="1" t="s">
        <v>1167</v>
      </c>
      <c r="C1666" s="9" t="str">
        <f t="array" ref="C1666">IF(
  AND(
    IFERROR(MATCH(Caseslist!B1666, data!D:D, 0), 0) &gt; 0,
    IFERROR(INDEX(data!N:N, MATCH(Caseslist!B1666, data!D:D, 0)) = 1, FALSE)
  ),
  "COMPLETE",
  "INC"
)</f>
        <v>COMPLETE</v>
      </c>
      <c r="D1666" s="9" t="str">
        <f t="array" ref="D1666">IFERROR(INDEX(data!$G:$G,match(Caseslist!B1666,data!$D:$D,0)), "INC")</f>
        <v>H2846135</v>
      </c>
      <c r="E1666" s="9" t="str">
        <f t="array" ref="E1666">IFERROR(INDEX(data!H:H,match(Caseslist!B1666,data!D:D,0)), "INC")</f>
        <v>Annalou Empanado Encontro</v>
      </c>
      <c r="F1666" s="10" t="str">
        <f t="array" ref="F1666">IF(
    OR(
      IFNA(INDEX(data!M:M, MATCH(Caseslist!B1666, data!D:D, 0)), "") = "",
      IFNA(INDEX(data!M:M, MATCH(Caseslist!B1666, data!D:D, 0)), 0) = 0
    ),
    "COMPLETE",
    IF(
      IFNA(INDEX(dataICM!D:D, MATCH(Caseslist!B1666, dataICM!D:D, 0)), "INC") = "INC",
      IFNA(INDEX(dataICM!D:D, MATCH(Caseslist!B1666, dataICM!D:D, 0)), "INC"),
      "COMPLETE"
    )
  )</f>
        <v>COMPLETE</v>
      </c>
      <c r="G1666" s="10" t="str">
        <f t="array" ref="G1666">IF(IFERROR(INDEX(data!L:L,match(Caseslist!B1666,data!D:D,0)),"INC")="","COMPLETE",F1666)</f>
        <v>COMPLETE</v>
      </c>
      <c r="H1666" s="9" t="str">
        <f t="array" ref="H1666">IFERROR(INDEX(dataICM!F:F,match(Caseslist!B1666,dataICM!D:D,0)), "INC")</f>
        <v>Annalou Empanado Encontro</v>
      </c>
      <c r="I1666" s="10" t="str">
        <f t="shared" si="2"/>
        <v>H2846135</v>
      </c>
      <c r="J1666" s="9" t="str">
        <f t="array" ref="J1666">IF(
  AND(
    IFERROR(MATCH(B1666, data!D:D, 0), 0) &gt; 0,
    IFERROR(INDEX(data!N:N, MATCH(B1666, data!D:D, 0)) = 1, FALSE)
  ),
  INDEX(data!C:C, MATCH(B1666, data!D:D, 0)),
  "INC"
)</f>
        <v>2025-09-29T11:00:34.800+08</v>
      </c>
      <c r="K1666" s="9" t="str">
        <f t="array" ref="K1666">IFERROR(INDEX(dataICM!C:C,match(Caseslist!B1666,dataICM!D:D,0)), "INC")</f>
        <v>2025-09-29T11:46:55.982+08</v>
      </c>
      <c r="L1666" s="10" t="str">
        <f t="array" ref="L1666">IF(AND(G1666="COMPLETE", OR(K1666="INC", ISBLANK(INDEX(data!O:O, ROW())))), J1666, K1666)</f>
        <v>2025-09-29T11:46:55.982+08</v>
      </c>
      <c r="M1666" s="2">
        <v>45929.0</v>
      </c>
      <c r="N1666" s="2">
        <f t="array" ref="N1666">IF(M1666&lt;&gt;"INC", INDEX(data!M:M, MATCH(B1666, data!D:D, 0)), "")</f>
        <v>2</v>
      </c>
      <c r="O1666" s="2">
        <f t="shared" si="3"/>
        <v>2</v>
      </c>
    </row>
    <row r="1667">
      <c r="A1667" s="2" t="str">
        <f t="shared" si="1"/>
        <v>H030748</v>
      </c>
      <c r="B1667" s="1" t="s">
        <v>849</v>
      </c>
      <c r="C1667" s="9" t="str">
        <f t="array" ref="C1667">IF(
  AND(
    IFERROR(MATCH(Caseslist!B1667, data!D:D, 0), 0) &gt; 0,
    IFERROR(INDEX(data!N:N, MATCH(Caseslist!B1667, data!D:D, 0)) = 1, FALSE)
  ),
  "COMPLETE",
  "INC"
)</f>
        <v>COMPLETE</v>
      </c>
      <c r="D1667" s="9" t="str">
        <f t="array" ref="D1667">IFERROR(INDEX(data!$G:$G,match(Caseslist!B1667,data!$D:$D,0)), "INC")</f>
        <v>G5472901</v>
      </c>
      <c r="E1667" s="9" t="str">
        <f t="array" ref="E1667">IFERROR(INDEX(data!H:H,match(Caseslist!B1667,data!D:D,0)), "INC")</f>
        <v>Wellyn Grace Alaban Parcia</v>
      </c>
      <c r="F1667" s="10" t="str">
        <f t="array" ref="F1667">IF(
    OR(
      IFNA(INDEX(data!M:M, MATCH(Caseslist!B1667, data!D:D, 0)), "") = "",
      IFNA(INDEX(data!M:M, MATCH(Caseslist!B1667, data!D:D, 0)), 0) = 0
    ),
    "COMPLETE",
    IF(
      IFNA(INDEX(dataICM!D:D, MATCH(Caseslist!B1667, dataICM!D:D, 0)), "INC") = "INC",
      IFNA(INDEX(dataICM!D:D, MATCH(Caseslist!B1667, dataICM!D:D, 0)), "INC"),
      "COMPLETE"
    )
  )</f>
        <v>COMPLETE</v>
      </c>
      <c r="G1667" s="10" t="str">
        <f t="array" ref="G1667">IF(IFERROR(INDEX(data!L:L,match(Caseslist!B1667,data!D:D,0)),"INC")="","COMPLETE",F1667)</f>
        <v>COMPLETE</v>
      </c>
      <c r="H1667" s="9" t="str">
        <f t="array" ref="H1667">IFERROR(INDEX(dataICM!F:F,match(Caseslist!B1667,dataICM!D:D,0)), "INC")</f>
        <v>Wellyn Grace Alaban Parcia</v>
      </c>
      <c r="I1667" s="10" t="str">
        <f t="shared" si="2"/>
        <v>G5472901</v>
      </c>
      <c r="J1667" s="9" t="str">
        <f t="array" ref="J1667">IF(
  AND(
    IFERROR(MATCH(B1667, data!D:D, 0), 0) &gt; 0,
    IFERROR(INDEX(data!N:N, MATCH(B1667, data!D:D, 0)) = 1, FALSE)
  ),
  INDEX(data!C:C, MATCH(B1667, data!D:D, 0)),
  "INC"
)</f>
        <v>2025-08-27T18:32:04.951+08</v>
      </c>
      <c r="K1667" s="9" t="str">
        <f t="array" ref="K1667">IFERROR(INDEX(dataICM!C:C,match(Caseslist!B1667,dataICM!D:D,0)), "INC")</f>
        <v>2025-08-27T18:36:08.871+08</v>
      </c>
      <c r="L1667" s="10" t="str">
        <f t="array" ref="L1667">IF(AND(G1667="COMPLETE", OR(K1667="INC", ISBLANK(INDEX(data!O:O, ROW())))), J1667, K1667)</f>
        <v>2025-08-27T18:36:08.871+08</v>
      </c>
      <c r="M1667" s="2">
        <v>45896.0</v>
      </c>
      <c r="N1667" s="2">
        <f t="array" ref="N1667">IF(M1667&lt;&gt;"INC", INDEX(data!M:M, MATCH(B1667, data!D:D, 0)), "")</f>
        <v>2</v>
      </c>
      <c r="O1667" s="2">
        <f t="shared" si="3"/>
        <v>2</v>
      </c>
    </row>
    <row r="1668">
      <c r="A1668" s="2" t="str">
        <f t="shared" si="1"/>
        <v>H030748</v>
      </c>
      <c r="B1668" s="1" t="s">
        <v>8753</v>
      </c>
      <c r="C1668" s="9" t="str">
        <f t="array" ref="C1668">IF(
  AND(
    IFERROR(MATCH(Caseslist!B1668, data!D:D, 0), 0) &gt; 0,
    IFERROR(INDEX(data!N:N, MATCH(Caseslist!B1668, data!D:D, 0)) = 1, FALSE)
  ),
  "COMPLETE",
  "INC"
)</f>
        <v>INC</v>
      </c>
      <c r="D1668" s="9" t="str">
        <f t="array" ref="D1668">IFERROR(INDEX(data!$G:$G,match(Caseslist!B1668,data!$D:$D,0)), "INC")</f>
        <v>H2846135</v>
      </c>
      <c r="E1668" s="9" t="str">
        <f t="array" ref="E1668">IFERROR(INDEX(data!H:H,match(Caseslist!B1668,data!D:D,0)), "INC")</f>
        <v>Annalou Empanado Encontro</v>
      </c>
      <c r="F1668" s="10" t="str">
        <f t="array" ref="F1668">IF(
    OR(
      IFNA(INDEX(data!M:M, MATCH(Caseslist!B1668, data!D:D, 0)), "") = "",
      IFNA(INDEX(data!M:M, MATCH(Caseslist!B1668, data!D:D, 0)), 0) = 0
    ),
    "COMPLETE",
    IF(
      IFNA(INDEX(dataICM!D:D, MATCH(Caseslist!B1668, dataICM!D:D, 0)), "INC") = "INC",
      IFNA(INDEX(dataICM!D:D, MATCH(Caseslist!B1668, dataICM!D:D, 0)), "INC"),
      "COMPLETE"
    )
  )</f>
        <v>INC</v>
      </c>
      <c r="G1668" s="10" t="str">
        <f t="array" ref="G1668">IF(IFERROR(INDEX(data!L:L,match(Caseslist!B1668,data!D:D,0)),"INC")="","COMPLETE",F1668)</f>
        <v>INC</v>
      </c>
      <c r="H1668" s="9" t="str">
        <f t="array" ref="H1668">IFERROR(INDEX(dataICM!F:F,match(Caseslist!B1668,dataICM!D:D,0)), "INC")</f>
        <v>INC</v>
      </c>
      <c r="I1668" s="10" t="str">
        <f t="shared" si="2"/>
        <v>INC</v>
      </c>
      <c r="J1668" s="9" t="str">
        <f t="array" ref="J1668">IF(
  AND(
    IFERROR(MATCH(B1668, data!D:D, 0), 0) &gt; 0,
    IFERROR(INDEX(data!N:N, MATCH(B1668, data!D:D, 0)) = 1, FALSE)
  ),
  INDEX(data!C:C, MATCH(B1668, data!D:D, 0)),
  "INC"
)</f>
        <v>INC</v>
      </c>
      <c r="K1668" s="9" t="str">
        <f t="array" ref="K1668">IFERROR(INDEX(dataICM!C:C,match(Caseslist!B1668,dataICM!D:D,0)), "INC")</f>
        <v>INC</v>
      </c>
      <c r="L1668" s="10" t="str">
        <f t="array" ref="L1668">IF(AND(G1668="COMPLETE", OR(K1668="INC", ISBLANK(INDEX(data!O:O, ROW())))), J1668, K1668)</f>
        <v>INC</v>
      </c>
      <c r="M1668" s="2" t="s">
        <v>8886</v>
      </c>
      <c r="N1668" s="2" t="str">
        <f t="array" ref="N1668">IF(M1668&lt;&gt;"INC", INDEX(data!M:M, MATCH(B1668, data!D:D, 0)), "")</f>
        <v/>
      </c>
      <c r="O1668" s="2" t="str">
        <f t="shared" si="3"/>
        <v/>
      </c>
    </row>
    <row r="1669">
      <c r="A1669" s="2" t="str">
        <f t="shared" si="1"/>
        <v>H030748</v>
      </c>
      <c r="B1669" s="1" t="s">
        <v>869</v>
      </c>
      <c r="C1669" s="9" t="str">
        <f t="array" ref="C1669">IF(
  AND(
    IFERROR(MATCH(Caseslist!B1669, data!D:D, 0), 0) &gt; 0,
    IFERROR(INDEX(data!N:N, MATCH(Caseslist!B1669, data!D:D, 0)) = 1, FALSE)
  ),
  "COMPLETE",
  "INC"
)</f>
        <v>COMPLETE</v>
      </c>
      <c r="D1669" s="9" t="str">
        <f t="array" ref="D1669">IFERROR(INDEX(data!$G:$G,match(Caseslist!B1669,data!$D:$D,0)), "INC")</f>
        <v>F3051749</v>
      </c>
      <c r="E1669" s="9" t="str">
        <f t="array" ref="E1669">IFERROR(INDEX(data!H:H,match(Caseslist!B1669,data!D:D,0)), "INC")</f>
        <v>Elenita Gicos De La Pe�a</v>
      </c>
      <c r="F1669" s="10" t="str">
        <f t="array" ref="F1669">IF(
    OR(
      IFNA(INDEX(data!M:M, MATCH(Caseslist!B1669, data!D:D, 0)), "") = "",
      IFNA(INDEX(data!M:M, MATCH(Caseslist!B1669, data!D:D, 0)), 0) = 0
    ),
    "COMPLETE",
    IF(
      IFNA(INDEX(dataICM!D:D, MATCH(Caseslist!B1669, dataICM!D:D, 0)), "INC") = "INC",
      IFNA(INDEX(dataICM!D:D, MATCH(Caseslist!B1669, dataICM!D:D, 0)), "INC"),
      "COMPLETE"
    )
  )</f>
        <v>COMPLETE</v>
      </c>
      <c r="G1669" s="10" t="str">
        <f t="array" ref="G1669">IF(IFERROR(INDEX(data!L:L,match(Caseslist!B1669,data!D:D,0)),"INC")="","COMPLETE",F1669)</f>
        <v>COMPLETE</v>
      </c>
      <c r="H1669" s="9" t="str">
        <f t="array" ref="H1669">IFERROR(INDEX(dataICM!F:F,match(Caseslist!B1669,dataICM!D:D,0)), "INC")</f>
        <v>Elenita Gicos De La Pe�a</v>
      </c>
      <c r="I1669" s="10" t="str">
        <f t="shared" si="2"/>
        <v>F3051749</v>
      </c>
      <c r="J1669" s="9" t="str">
        <f t="array" ref="J1669">IF(
  AND(
    IFERROR(MATCH(B1669, data!D:D, 0), 0) &gt; 0,
    IFERROR(INDEX(data!N:N, MATCH(B1669, data!D:D, 0)) = 1, FALSE)
  ),
  INDEX(data!C:C, MATCH(B1669, data!D:D, 0)),
  "INC"
)</f>
        <v>2025-08-27T13:30:53.665+08</v>
      </c>
      <c r="K1669" s="9" t="str">
        <f t="array" ref="K1669">IFERROR(INDEX(dataICM!C:C,match(Caseslist!B1669,dataICM!D:D,0)), "INC")</f>
        <v>2025-08-27T13:44:57.542+08</v>
      </c>
      <c r="L1669" s="10" t="str">
        <f t="array" ref="L1669">IF(AND(G1669="COMPLETE", OR(K1669="INC", ISBLANK(INDEX(data!O:O, ROW())))), J1669, K1669)</f>
        <v>2025-08-27T13:44:57.542+08</v>
      </c>
      <c r="M1669" s="2">
        <v>45896.0</v>
      </c>
      <c r="N1669" s="2">
        <f t="array" ref="N1669">IF(M1669&lt;&gt;"INC", INDEX(data!M:M, MATCH(B1669, data!D:D, 0)), "")</f>
        <v>2</v>
      </c>
      <c r="O1669" s="2">
        <f t="shared" si="3"/>
        <v>2</v>
      </c>
    </row>
    <row r="1670">
      <c r="A1670" s="2" t="str">
        <f t="shared" si="1"/>
        <v>H030748</v>
      </c>
      <c r="B1670" s="1" t="s">
        <v>874</v>
      </c>
      <c r="C1670" s="9" t="str">
        <f t="array" ref="C1670">IF(
  AND(
    IFERROR(MATCH(Caseslist!B1670, data!D:D, 0), 0) &gt; 0,
    IFERROR(INDEX(data!N:N, MATCH(Caseslist!B1670, data!D:D, 0)) = 1, FALSE)
  ),
  "COMPLETE",
  "INC"
)</f>
        <v>COMPLETE</v>
      </c>
      <c r="D1670" s="9" t="str">
        <f t="array" ref="D1670">IFERROR(INDEX(data!$G:$G,match(Caseslist!B1670,data!$D:$D,0)), "INC")</f>
        <v>F3051749</v>
      </c>
      <c r="E1670" s="9" t="str">
        <f t="array" ref="E1670">IFERROR(INDEX(data!H:H,match(Caseslist!B1670,data!D:D,0)), "INC")</f>
        <v>Elenita Gicos De La Pe�a</v>
      </c>
      <c r="F1670" s="10" t="str">
        <f t="array" ref="F1670">IF(
    OR(
      IFNA(INDEX(data!M:M, MATCH(Caseslist!B1670, data!D:D, 0)), "") = "",
      IFNA(INDEX(data!M:M, MATCH(Caseslist!B1670, data!D:D, 0)), 0) = 0
    ),
    "COMPLETE",
    IF(
      IFNA(INDEX(dataICM!D:D, MATCH(Caseslist!B1670, dataICM!D:D, 0)), "INC") = "INC",
      IFNA(INDEX(dataICM!D:D, MATCH(Caseslist!B1670, dataICM!D:D, 0)), "INC"),
      "COMPLETE"
    )
  )</f>
        <v>COMPLETE</v>
      </c>
      <c r="G1670" s="10" t="str">
        <f t="array" ref="G1670">IF(IFERROR(INDEX(data!L:L,match(Caseslist!B1670,data!D:D,0)),"INC")="","COMPLETE",F1670)</f>
        <v>COMPLETE</v>
      </c>
      <c r="H1670" s="9" t="str">
        <f t="array" ref="H1670">IFERROR(INDEX(dataICM!F:F,match(Caseslist!B1670,dataICM!D:D,0)), "INC")</f>
        <v>Elenita Gicos De La Pe�a</v>
      </c>
      <c r="I1670" s="10" t="str">
        <f t="shared" si="2"/>
        <v>F3051749</v>
      </c>
      <c r="J1670" s="9" t="str">
        <f t="array" ref="J1670">IF(
  AND(
    IFERROR(MATCH(B1670, data!D:D, 0), 0) &gt; 0,
    IFERROR(INDEX(data!N:N, MATCH(B1670, data!D:D, 0)) = 1, FALSE)
  ),
  INDEX(data!C:C, MATCH(B1670, data!D:D, 0)),
  "INC"
)</f>
        <v>2025-08-27T17:18:43.591+08</v>
      </c>
      <c r="K1670" s="9" t="str">
        <f t="array" ref="K1670">IFERROR(INDEX(dataICM!C:C,match(Caseslist!B1670,dataICM!D:D,0)), "INC")</f>
        <v>2025-08-27T17:37:47.431+08</v>
      </c>
      <c r="L1670" s="10" t="str">
        <f t="array" ref="L1670">IF(AND(G1670="COMPLETE", OR(K1670="INC", ISBLANK(INDEX(data!O:O, ROW())))), J1670, K1670)</f>
        <v>2025-08-27T17:37:47.431+08</v>
      </c>
      <c r="M1670" s="2">
        <v>45896.0</v>
      </c>
      <c r="N1670" s="2">
        <f t="array" ref="N1670">IF(M1670&lt;&gt;"INC", INDEX(data!M:M, MATCH(B1670, data!D:D, 0)), "")</f>
        <v>2</v>
      </c>
      <c r="O1670" s="2">
        <f t="shared" si="3"/>
        <v>2</v>
      </c>
    </row>
    <row r="1671">
      <c r="A1671" s="2" t="str">
        <f t="shared" si="1"/>
        <v>H030748</v>
      </c>
      <c r="B1671" s="1" t="s">
        <v>1172</v>
      </c>
      <c r="C1671" s="9" t="str">
        <f t="array" ref="C1671">IF(
  AND(
    IFERROR(MATCH(Caseslist!B1671, data!D:D, 0), 0) &gt; 0,
    IFERROR(INDEX(data!N:N, MATCH(Caseslist!B1671, data!D:D, 0)) = 1, FALSE)
  ),
  "COMPLETE",
  "INC"
)</f>
        <v>COMPLETE</v>
      </c>
      <c r="D1671" s="9" t="str">
        <f t="array" ref="D1671">IFERROR(INDEX(data!$G:$G,match(Caseslist!B1671,data!$D:$D,0)), "INC")</f>
        <v>G5472901</v>
      </c>
      <c r="E1671" s="9" t="str">
        <f t="array" ref="E1671">IFERROR(INDEX(data!H:H,match(Caseslist!B1671,data!D:D,0)), "INC")</f>
        <v>Wellyn Grace Alaban Parcia</v>
      </c>
      <c r="F1671" s="10" t="str">
        <f t="array" ref="F1671">IF(
    OR(
      IFNA(INDEX(data!M:M, MATCH(Caseslist!B1671, data!D:D, 0)), "") = "",
      IFNA(INDEX(data!M:M, MATCH(Caseslist!B1671, data!D:D, 0)), 0) = 0
    ),
    "COMPLETE",
    IF(
      IFNA(INDEX(dataICM!D:D, MATCH(Caseslist!B1671, dataICM!D:D, 0)), "INC") = "INC",
      IFNA(INDEX(dataICM!D:D, MATCH(Caseslist!B1671, dataICM!D:D, 0)), "INC"),
      "COMPLETE"
    )
  )</f>
        <v>COMPLETE</v>
      </c>
      <c r="G1671" s="10" t="str">
        <f t="array" ref="G1671">IF(IFERROR(INDEX(data!L:L,match(Caseslist!B1671,data!D:D,0)),"INC")="","COMPLETE",F1671)</f>
        <v>COMPLETE</v>
      </c>
      <c r="H1671" s="9" t="str">
        <f t="array" ref="H1671">IFERROR(INDEX(dataICM!F:F,match(Caseslist!B1671,dataICM!D:D,0)), "INC")</f>
        <v>Wellyn Grace Alaban Parcia</v>
      </c>
      <c r="I1671" s="10" t="str">
        <f t="shared" si="2"/>
        <v>G5472901</v>
      </c>
      <c r="J1671" s="9" t="str">
        <f t="array" ref="J1671">IF(
  AND(
    IFERROR(MATCH(B1671, data!D:D, 0), 0) &gt; 0,
    IFERROR(INDEX(data!N:N, MATCH(B1671, data!D:D, 0)) = 1, FALSE)
  ),
  INDEX(data!C:C, MATCH(B1671, data!D:D, 0)),
  "INC"
)</f>
        <v>2025-09-29T11:02:38.922+08</v>
      </c>
      <c r="K1671" s="9" t="str">
        <f t="array" ref="K1671">IFERROR(INDEX(dataICM!C:C,match(Caseslist!B1671,dataICM!D:D,0)), "INC")</f>
        <v>2025-09-29T11:08:23.832+08</v>
      </c>
      <c r="L1671" s="10" t="str">
        <f t="array" ref="L1671">IF(AND(G1671="COMPLETE", OR(K1671="INC", ISBLANK(INDEX(data!O:O, ROW())))), J1671, K1671)</f>
        <v>2025-09-29T11:08:23.832+08</v>
      </c>
      <c r="M1671" s="2">
        <v>45929.0</v>
      </c>
      <c r="N1671" s="2">
        <f t="array" ref="N1671">IF(M1671&lt;&gt;"INC", INDEX(data!M:M, MATCH(B1671, data!D:D, 0)), "")</f>
        <v>2</v>
      </c>
      <c r="O1671" s="2">
        <f t="shared" si="3"/>
        <v>2</v>
      </c>
    </row>
    <row r="1672">
      <c r="A1672" s="2" t="str">
        <f t="shared" si="1"/>
        <v>H030748</v>
      </c>
      <c r="B1672" s="1" t="s">
        <v>854</v>
      </c>
      <c r="C1672" s="9" t="str">
        <f t="array" ref="C1672">IF(
  AND(
    IFERROR(MATCH(Caseslist!B1672, data!D:D, 0), 0) &gt; 0,
    IFERROR(INDEX(data!N:N, MATCH(Caseslist!B1672, data!D:D, 0)) = 1, FALSE)
  ),
  "COMPLETE",
  "INC"
)</f>
        <v>COMPLETE</v>
      </c>
      <c r="D1672" s="9" t="str">
        <f t="array" ref="D1672">IFERROR(INDEX(data!$G:$G,match(Caseslist!B1672,data!$D:$D,0)), "INC")</f>
        <v>G5472901</v>
      </c>
      <c r="E1672" s="9" t="str">
        <f t="array" ref="E1672">IFERROR(INDEX(data!H:H,match(Caseslist!B1672,data!D:D,0)), "INC")</f>
        <v>Wellyn Grace Alaban Parcia</v>
      </c>
      <c r="F1672" s="10" t="str">
        <f t="array" ref="F1672">IF(
    OR(
      IFNA(INDEX(data!M:M, MATCH(Caseslist!B1672, data!D:D, 0)), "") = "",
      IFNA(INDEX(data!M:M, MATCH(Caseslist!B1672, data!D:D, 0)), 0) = 0
    ),
    "COMPLETE",
    IF(
      IFNA(INDEX(dataICM!D:D, MATCH(Caseslist!B1672, dataICM!D:D, 0)), "INC") = "INC",
      IFNA(INDEX(dataICM!D:D, MATCH(Caseslist!B1672, dataICM!D:D, 0)), "INC"),
      "COMPLETE"
    )
  )</f>
        <v>COMPLETE</v>
      </c>
      <c r="G1672" s="10" t="str">
        <f t="array" ref="G1672">IF(IFERROR(INDEX(data!L:L,match(Caseslist!B1672,data!D:D,0)),"INC")="","COMPLETE",F1672)</f>
        <v>COMPLETE</v>
      </c>
      <c r="H1672" s="9" t="str">
        <f t="array" ref="H1672">IFERROR(INDEX(dataICM!F:F,match(Caseslist!B1672,dataICM!D:D,0)), "INC")</f>
        <v>Wellyn Grace Alaban Parcia</v>
      </c>
      <c r="I1672" s="10" t="str">
        <f t="shared" si="2"/>
        <v>G5472901</v>
      </c>
      <c r="J1672" s="9" t="str">
        <f t="array" ref="J1672">IF(
  AND(
    IFERROR(MATCH(B1672, data!D:D, 0), 0) &gt; 0,
    IFERROR(INDEX(data!N:N, MATCH(B1672, data!D:D, 0)) = 1, FALSE)
  ),
  INDEX(data!C:C, MATCH(B1672, data!D:D, 0)),
  "INC"
)</f>
        <v>2025-08-27T13:59:25.335+08</v>
      </c>
      <c r="K1672" s="9" t="str">
        <f t="array" ref="K1672">IFERROR(INDEX(dataICM!C:C,match(Caseslist!B1672,dataICM!D:D,0)), "INC")</f>
        <v>2025-08-27T14:15:15.727+08</v>
      </c>
      <c r="L1672" s="10" t="str">
        <f t="array" ref="L1672">IF(AND(G1672="COMPLETE", OR(K1672="INC", ISBLANK(INDEX(data!O:O, ROW())))), J1672, K1672)</f>
        <v>2025-08-27T14:15:15.727+08</v>
      </c>
      <c r="M1672" s="2">
        <v>45896.0</v>
      </c>
      <c r="N1672" s="2">
        <f t="array" ref="N1672">IF(M1672&lt;&gt;"INC", INDEX(data!M:M, MATCH(B1672, data!D:D, 0)), "")</f>
        <v>2</v>
      </c>
      <c r="O1672" s="2">
        <f t="shared" si="3"/>
        <v>2</v>
      </c>
    </row>
    <row r="1673">
      <c r="A1673" s="2" t="str">
        <f t="shared" si="1"/>
        <v>H030748</v>
      </c>
      <c r="B1673" s="1" t="s">
        <v>1177</v>
      </c>
      <c r="C1673" s="9" t="str">
        <f t="array" ref="C1673">IF(
  AND(
    IFERROR(MATCH(Caseslist!B1673, data!D:D, 0), 0) &gt; 0,
    IFERROR(INDEX(data!N:N, MATCH(Caseslist!B1673, data!D:D, 0)) = 1, FALSE)
  ),
  "COMPLETE",
  "INC"
)</f>
        <v>COMPLETE</v>
      </c>
      <c r="D1673" s="9" t="str">
        <f t="array" ref="D1673">IFERROR(INDEX(data!$G:$G,match(Caseslist!B1673,data!$D:$D,0)), "INC")</f>
        <v>G5472901</v>
      </c>
      <c r="E1673" s="9" t="str">
        <f t="array" ref="E1673">IFERROR(INDEX(data!H:H,match(Caseslist!B1673,data!D:D,0)), "INC")</f>
        <v>Wellyn Grace Alaban Parcia</v>
      </c>
      <c r="F1673" s="10" t="str">
        <f t="array" ref="F1673">IF(
    OR(
      IFNA(INDEX(data!M:M, MATCH(Caseslist!B1673, data!D:D, 0)), "") = "",
      IFNA(INDEX(data!M:M, MATCH(Caseslist!B1673, data!D:D, 0)), 0) = 0
    ),
    "COMPLETE",
    IF(
      IFNA(INDEX(dataICM!D:D, MATCH(Caseslist!B1673, dataICM!D:D, 0)), "INC") = "INC",
      IFNA(INDEX(dataICM!D:D, MATCH(Caseslist!B1673, dataICM!D:D, 0)), "INC"),
      "COMPLETE"
    )
  )</f>
        <v>COMPLETE</v>
      </c>
      <c r="G1673" s="10" t="str">
        <f t="array" ref="G1673">IF(IFERROR(INDEX(data!L:L,match(Caseslist!B1673,data!D:D,0)),"INC")="","COMPLETE",F1673)</f>
        <v>COMPLETE</v>
      </c>
      <c r="H1673" s="9" t="str">
        <f t="array" ref="H1673">IFERROR(INDEX(dataICM!F:F,match(Caseslist!B1673,dataICM!D:D,0)), "INC")</f>
        <v>Wellyn Grace Alaban Parcia</v>
      </c>
      <c r="I1673" s="10" t="str">
        <f t="shared" si="2"/>
        <v>G5472901</v>
      </c>
      <c r="J1673" s="9" t="str">
        <f t="array" ref="J1673">IF(
  AND(
    IFERROR(MATCH(B1673, data!D:D, 0), 0) &gt; 0,
    IFERROR(INDEX(data!N:N, MATCH(B1673, data!D:D, 0)) = 1, FALSE)
  ),
  INDEX(data!C:C, MATCH(B1673, data!D:D, 0)),
  "INC"
)</f>
        <v>2025-08-28T11:32:53.829+08</v>
      </c>
      <c r="K1673" s="9" t="str">
        <f t="array" ref="K1673">IFERROR(INDEX(dataICM!C:C,match(Caseslist!B1673,dataICM!D:D,0)), "INC")</f>
        <v>2025-08-28T11:38:12.517+08</v>
      </c>
      <c r="L1673" s="10" t="str">
        <f t="array" ref="L1673">IF(AND(G1673="COMPLETE", OR(K1673="INC", ISBLANK(INDEX(data!O:O, ROW())))), J1673, K1673)</f>
        <v>2025-08-28T11:38:12.517+08</v>
      </c>
      <c r="M1673" s="2">
        <v>45897.0</v>
      </c>
      <c r="N1673" s="2">
        <f t="array" ref="N1673">IF(M1673&lt;&gt;"INC", INDEX(data!M:M, MATCH(B1673, data!D:D, 0)), "")</f>
        <v>2</v>
      </c>
      <c r="O1673" s="2">
        <f t="shared" si="3"/>
        <v>2</v>
      </c>
    </row>
    <row r="1674">
      <c r="A1674" s="2" t="str">
        <f t="shared" si="1"/>
        <v>H030748</v>
      </c>
      <c r="B1674" s="1" t="s">
        <v>1197</v>
      </c>
      <c r="C1674" s="9" t="str">
        <f t="array" ref="C1674">IF(
  AND(
    IFERROR(MATCH(Caseslist!B1674, data!D:D, 0), 0) &gt; 0,
    IFERROR(INDEX(data!N:N, MATCH(Caseslist!B1674, data!D:D, 0)) = 1, FALSE)
  ),
  "COMPLETE",
  "INC"
)</f>
        <v>COMPLETE</v>
      </c>
      <c r="D1674" s="9" t="str">
        <f t="array" ref="D1674">IFERROR(INDEX(data!$G:$G,match(Caseslist!B1674,data!$D:$D,0)), "INC")</f>
        <v>G5472901</v>
      </c>
      <c r="E1674" s="9" t="str">
        <f t="array" ref="E1674">IFERROR(INDEX(data!H:H,match(Caseslist!B1674,data!D:D,0)), "INC")</f>
        <v>Wellyn Grace Alaban Parcia</v>
      </c>
      <c r="F1674" s="10" t="str">
        <f t="array" ref="F1674">IF(
    OR(
      IFNA(INDEX(data!M:M, MATCH(Caseslist!B1674, data!D:D, 0)), "") = "",
      IFNA(INDEX(data!M:M, MATCH(Caseslist!B1674, data!D:D, 0)), 0) = 0
    ),
    "COMPLETE",
    IF(
      IFNA(INDEX(dataICM!D:D, MATCH(Caseslist!B1674, dataICM!D:D, 0)), "INC") = "INC",
      IFNA(INDEX(dataICM!D:D, MATCH(Caseslist!B1674, dataICM!D:D, 0)), "INC"),
      "COMPLETE"
    )
  )</f>
        <v>COMPLETE</v>
      </c>
      <c r="G1674" s="10" t="str">
        <f t="array" ref="G1674">IF(IFERROR(INDEX(data!L:L,match(Caseslist!B1674,data!D:D,0)),"INC")="","COMPLETE",F1674)</f>
        <v>COMPLETE</v>
      </c>
      <c r="H1674" s="9" t="str">
        <f t="array" ref="H1674">IFERROR(INDEX(dataICM!F:F,match(Caseslist!B1674,dataICM!D:D,0)), "INC")</f>
        <v>Wellyn Grace Alaban Parcia</v>
      </c>
      <c r="I1674" s="10" t="str">
        <f t="shared" si="2"/>
        <v>G5472901</v>
      </c>
      <c r="J1674" s="9" t="str">
        <f t="array" ref="J1674">IF(
  AND(
    IFERROR(MATCH(B1674, data!D:D, 0), 0) &gt; 0,
    IFERROR(INDEX(data!N:N, MATCH(B1674, data!D:D, 0)) = 1, FALSE)
  ),
  INDEX(data!C:C, MATCH(B1674, data!D:D, 0)),
  "INC"
)</f>
        <v>2025-08-28T10:14:41.754+08</v>
      </c>
      <c r="K1674" s="9" t="str">
        <f t="array" ref="K1674">IFERROR(INDEX(dataICM!C:C,match(Caseslist!B1674,dataICM!D:D,0)), "INC")</f>
        <v>2025-08-28T10:24:00.604+08</v>
      </c>
      <c r="L1674" s="10" t="str">
        <f t="array" ref="L1674">IF(AND(G1674="COMPLETE", OR(K1674="INC", ISBLANK(INDEX(data!O:O, ROW())))), J1674, K1674)</f>
        <v>2025-08-28T10:24:00.604+08</v>
      </c>
      <c r="M1674" s="2">
        <v>45897.0</v>
      </c>
      <c r="N1674" s="2">
        <f t="array" ref="N1674">IF(M1674&lt;&gt;"INC", INDEX(data!M:M, MATCH(B1674, data!D:D, 0)), "")</f>
        <v>2</v>
      </c>
      <c r="O1674" s="2">
        <f t="shared" si="3"/>
        <v>2</v>
      </c>
    </row>
    <row r="1675">
      <c r="A1675" s="2" t="str">
        <f t="shared" si="1"/>
        <v>H030748</v>
      </c>
      <c r="B1675" s="1" t="s">
        <v>1202</v>
      </c>
      <c r="C1675" s="9" t="str">
        <f t="array" ref="C1675">IF(
  AND(
    IFERROR(MATCH(Caseslist!B1675, data!D:D, 0), 0) &gt; 0,
    IFERROR(INDEX(data!N:N, MATCH(Caseslist!B1675, data!D:D, 0)) = 1, FALSE)
  ),
  "COMPLETE",
  "INC"
)</f>
        <v>COMPLETE</v>
      </c>
      <c r="D1675" s="9" t="str">
        <f t="array" ref="D1675">IFERROR(INDEX(data!$G:$G,match(Caseslist!B1675,data!$D:$D,0)), "INC")</f>
        <v>G5472901</v>
      </c>
      <c r="E1675" s="9" t="str">
        <f t="array" ref="E1675">IFERROR(INDEX(data!H:H,match(Caseslist!B1675,data!D:D,0)), "INC")</f>
        <v>Wellyn Grace Alaban Parcia</v>
      </c>
      <c r="F1675" s="10" t="str">
        <f t="array" ref="F1675">IF(
    OR(
      IFNA(INDEX(data!M:M, MATCH(Caseslist!B1675, data!D:D, 0)), "") = "",
      IFNA(INDEX(data!M:M, MATCH(Caseslist!B1675, data!D:D, 0)), 0) = 0
    ),
    "COMPLETE",
    IF(
      IFNA(INDEX(dataICM!D:D, MATCH(Caseslist!B1675, dataICM!D:D, 0)), "INC") = "INC",
      IFNA(INDEX(dataICM!D:D, MATCH(Caseslist!B1675, dataICM!D:D, 0)), "INC"),
      "COMPLETE"
    )
  )</f>
        <v>COMPLETE</v>
      </c>
      <c r="G1675" s="10" t="str">
        <f t="array" ref="G1675">IF(IFERROR(INDEX(data!L:L,match(Caseslist!B1675,data!D:D,0)),"INC")="","COMPLETE",F1675)</f>
        <v>COMPLETE</v>
      </c>
      <c r="H1675" s="9" t="str">
        <f t="array" ref="H1675">IFERROR(INDEX(dataICM!F:F,match(Caseslist!B1675,dataICM!D:D,0)), "INC")</f>
        <v>Wellyn Grace Alaban Parcia</v>
      </c>
      <c r="I1675" s="10" t="str">
        <f t="shared" si="2"/>
        <v>G5472901</v>
      </c>
      <c r="J1675" s="9" t="str">
        <f t="array" ref="J1675">IF(
  AND(
    IFERROR(MATCH(B1675, data!D:D, 0), 0) &gt; 0,
    IFERROR(INDEX(data!N:N, MATCH(B1675, data!D:D, 0)) = 1, FALSE)
  ),
  INDEX(data!C:C, MATCH(B1675, data!D:D, 0)),
  "INC"
)</f>
        <v>2025-08-28T13:53:34.023+08</v>
      </c>
      <c r="K1675" s="9" t="str">
        <f t="array" ref="K1675">IFERROR(INDEX(dataICM!C:C,match(Caseslist!B1675,dataICM!D:D,0)), "INC")</f>
        <v>2025-08-28T13:59:23.501+08</v>
      </c>
      <c r="L1675" s="10" t="str">
        <f t="array" ref="L1675">IF(AND(G1675="COMPLETE", OR(K1675="INC", ISBLANK(INDEX(data!O:O, ROW())))), J1675, K1675)</f>
        <v>2025-08-28T13:59:23.501+08</v>
      </c>
      <c r="M1675" s="2">
        <v>45897.0</v>
      </c>
      <c r="N1675" s="2">
        <f t="array" ref="N1675">IF(M1675&lt;&gt;"INC", INDEX(data!M:M, MATCH(B1675, data!D:D, 0)), "")</f>
        <v>2</v>
      </c>
      <c r="O1675" s="2">
        <f t="shared" si="3"/>
        <v>2</v>
      </c>
    </row>
    <row r="1676">
      <c r="A1676" s="2" t="str">
        <f t="shared" si="1"/>
        <v>H030748</v>
      </c>
      <c r="B1676" s="1" t="s">
        <v>859</v>
      </c>
      <c r="C1676" s="9" t="str">
        <f t="array" ref="C1676">IF(
  AND(
    IFERROR(MATCH(Caseslist!B1676, data!D:D, 0), 0) &gt; 0,
    IFERROR(INDEX(data!N:N, MATCH(Caseslist!B1676, data!D:D, 0)) = 1, FALSE)
  ),
  "COMPLETE",
  "INC"
)</f>
        <v>COMPLETE</v>
      </c>
      <c r="D1676" s="9" t="str">
        <f t="array" ref="D1676">IFERROR(INDEX(data!$G:$G,match(Caseslist!B1676,data!$D:$D,0)), "INC")</f>
        <v>G5472901</v>
      </c>
      <c r="E1676" s="9" t="str">
        <f t="array" ref="E1676">IFERROR(INDEX(data!H:H,match(Caseslist!B1676,data!D:D,0)), "INC")</f>
        <v>Wellyn Grace Alaban Parcia</v>
      </c>
      <c r="F1676" s="10" t="str">
        <f t="array" ref="F1676">IF(
    OR(
      IFNA(INDEX(data!M:M, MATCH(Caseslist!B1676, data!D:D, 0)), "") = "",
      IFNA(INDEX(data!M:M, MATCH(Caseslist!B1676, data!D:D, 0)), 0) = 0
    ),
    "COMPLETE",
    IF(
      IFNA(INDEX(dataICM!D:D, MATCH(Caseslist!B1676, dataICM!D:D, 0)), "INC") = "INC",
      IFNA(INDEX(dataICM!D:D, MATCH(Caseslist!B1676, dataICM!D:D, 0)), "INC"),
      "COMPLETE"
    )
  )</f>
        <v>COMPLETE</v>
      </c>
      <c r="G1676" s="10" t="str">
        <f t="array" ref="G1676">IF(IFERROR(INDEX(data!L:L,match(Caseslist!B1676,data!D:D,0)),"INC")="","COMPLETE",F1676)</f>
        <v>COMPLETE</v>
      </c>
      <c r="H1676" s="9" t="str">
        <f t="array" ref="H1676">IFERROR(INDEX(dataICM!F:F,match(Caseslist!B1676,dataICM!D:D,0)), "INC")</f>
        <v>Wellyn Grace Alaban Parcia</v>
      </c>
      <c r="I1676" s="10" t="str">
        <f t="shared" si="2"/>
        <v>G5472901</v>
      </c>
      <c r="J1676" s="9" t="str">
        <f t="array" ref="J1676">IF(
  AND(
    IFERROR(MATCH(B1676, data!D:D, 0), 0) &gt; 0,
    IFERROR(INDEX(data!N:N, MATCH(B1676, data!D:D, 0)) = 1, FALSE)
  ),
  INDEX(data!C:C, MATCH(B1676, data!D:D, 0)),
  "INC"
)</f>
        <v>2025-08-27T11:50:57.831+08</v>
      </c>
      <c r="K1676" s="9" t="str">
        <f t="array" ref="K1676">IFERROR(INDEX(dataICM!C:C,match(Caseslist!B1676,dataICM!D:D,0)), "INC")</f>
        <v>2025-08-27T14:31:44.927+08</v>
      </c>
      <c r="L1676" s="10" t="str">
        <f t="array" ref="L1676">IF(AND(G1676="COMPLETE", OR(K1676="INC", ISBLANK(INDEX(data!O:O, ROW())))), J1676, K1676)</f>
        <v>2025-08-27T14:31:44.927+08</v>
      </c>
      <c r="M1676" s="2">
        <v>45896.0</v>
      </c>
      <c r="N1676" s="2">
        <f t="array" ref="N1676">IF(M1676&lt;&gt;"INC", INDEX(data!M:M, MATCH(B1676, data!D:D, 0)), "")</f>
        <v>2</v>
      </c>
      <c r="O1676" s="2">
        <f t="shared" si="3"/>
        <v>2</v>
      </c>
    </row>
    <row r="1677">
      <c r="A1677" s="2" t="str">
        <f t="shared" si="1"/>
        <v>H030748</v>
      </c>
      <c r="B1677" s="1" t="s">
        <v>844</v>
      </c>
      <c r="C1677" s="9" t="str">
        <f t="array" ref="C1677">IF(
  AND(
    IFERROR(MATCH(Caseslist!B1677, data!D:D, 0), 0) &gt; 0,
    IFERROR(INDEX(data!N:N, MATCH(Caseslist!B1677, data!D:D, 0)) = 1, FALSE)
  ),
  "COMPLETE",
  "INC"
)</f>
        <v>COMPLETE</v>
      </c>
      <c r="D1677" s="9" t="str">
        <f t="array" ref="D1677">IFERROR(INDEX(data!$G:$G,match(Caseslist!B1677,data!$D:$D,0)), "INC")</f>
        <v>G5472901</v>
      </c>
      <c r="E1677" s="9" t="str">
        <f t="array" ref="E1677">IFERROR(INDEX(data!H:H,match(Caseslist!B1677,data!D:D,0)), "INC")</f>
        <v>Wellyn Grace Alaban Parcia</v>
      </c>
      <c r="F1677" s="10" t="str">
        <f t="array" ref="F1677">IF(
    OR(
      IFNA(INDEX(data!M:M, MATCH(Caseslist!B1677, data!D:D, 0)), "") = "",
      IFNA(INDEX(data!M:M, MATCH(Caseslist!B1677, data!D:D, 0)), 0) = 0
    ),
    "COMPLETE",
    IF(
      IFNA(INDEX(dataICM!D:D, MATCH(Caseslist!B1677, dataICM!D:D, 0)), "INC") = "INC",
      IFNA(INDEX(dataICM!D:D, MATCH(Caseslist!B1677, dataICM!D:D, 0)), "INC"),
      "COMPLETE"
    )
  )</f>
        <v>COMPLETE</v>
      </c>
      <c r="G1677" s="10" t="str">
        <f t="array" ref="G1677">IF(IFERROR(INDEX(data!L:L,match(Caseslist!B1677,data!D:D,0)),"INC")="","COMPLETE",F1677)</f>
        <v>COMPLETE</v>
      </c>
      <c r="H1677" s="9" t="str">
        <f t="array" ref="H1677">IFERROR(INDEX(dataICM!F:F,match(Caseslist!B1677,dataICM!D:D,0)), "INC")</f>
        <v>Wellyn Grace Alaban Parcia</v>
      </c>
      <c r="I1677" s="10" t="str">
        <f t="shared" si="2"/>
        <v>G5472901</v>
      </c>
      <c r="J1677" s="9" t="str">
        <f t="array" ref="J1677">IF(
  AND(
    IFERROR(MATCH(B1677, data!D:D, 0), 0) &gt; 0,
    IFERROR(INDEX(data!N:N, MATCH(B1677, data!D:D, 0)) = 1, FALSE)
  ),
  INDEX(data!C:C, MATCH(B1677, data!D:D, 0)),
  "INC"
)</f>
        <v>2025-08-27T10:18:20.116+08</v>
      </c>
      <c r="K1677" s="9" t="str">
        <f t="array" ref="K1677">IFERROR(INDEX(dataICM!C:C,match(Caseslist!B1677,dataICM!D:D,0)), "INC")</f>
        <v>2025-08-27T10:32:54.161+08</v>
      </c>
      <c r="L1677" s="10" t="str">
        <f t="array" ref="L1677">IF(AND(G1677="COMPLETE", OR(K1677="INC", ISBLANK(INDEX(data!O:O, ROW())))), J1677, K1677)</f>
        <v>2025-08-27T10:32:54.161+08</v>
      </c>
      <c r="M1677" s="2">
        <v>45896.0</v>
      </c>
      <c r="N1677" s="2">
        <f t="array" ref="N1677">IF(M1677&lt;&gt;"INC", INDEX(data!M:M, MATCH(B1677, data!D:D, 0)), "")</f>
        <v>2</v>
      </c>
      <c r="O1677" s="2">
        <f t="shared" si="3"/>
        <v>2</v>
      </c>
    </row>
    <row r="1678">
      <c r="A1678" s="2" t="str">
        <f t="shared" si="1"/>
        <v>H030748</v>
      </c>
      <c r="B1678" s="1" t="s">
        <v>864</v>
      </c>
      <c r="C1678" s="9" t="str">
        <f t="array" ref="C1678">IF(
  AND(
    IFERROR(MATCH(Caseslist!B1678, data!D:D, 0), 0) &gt; 0,
    IFERROR(INDEX(data!N:N, MATCH(Caseslist!B1678, data!D:D, 0)) = 1, FALSE)
  ),
  "COMPLETE",
  "INC"
)</f>
        <v>COMPLETE</v>
      </c>
      <c r="D1678" s="9" t="str">
        <f t="array" ref="D1678">IFERROR(INDEX(data!$G:$G,match(Caseslist!B1678,data!$D:$D,0)), "INC")</f>
        <v>F3051749</v>
      </c>
      <c r="E1678" s="9" t="str">
        <f t="array" ref="E1678">IFERROR(INDEX(data!H:H,match(Caseslist!B1678,data!D:D,0)), "INC")</f>
        <v>Elenita Gicos De La Pe�a</v>
      </c>
      <c r="F1678" s="10" t="str">
        <f t="array" ref="F1678">IF(
    OR(
      IFNA(INDEX(data!M:M, MATCH(Caseslist!B1678, data!D:D, 0)), "") = "",
      IFNA(INDEX(data!M:M, MATCH(Caseslist!B1678, data!D:D, 0)), 0) = 0
    ),
    "COMPLETE",
    IF(
      IFNA(INDEX(dataICM!D:D, MATCH(Caseslist!B1678, dataICM!D:D, 0)), "INC") = "INC",
      IFNA(INDEX(dataICM!D:D, MATCH(Caseslist!B1678, dataICM!D:D, 0)), "INC"),
      "COMPLETE"
    )
  )</f>
        <v>COMPLETE</v>
      </c>
      <c r="G1678" s="10" t="str">
        <f t="array" ref="G1678">IF(IFERROR(INDEX(data!L:L,match(Caseslist!B1678,data!D:D,0)),"INC")="","COMPLETE",F1678)</f>
        <v>COMPLETE</v>
      </c>
      <c r="H1678" s="9" t="str">
        <f t="array" ref="H1678">IFERROR(INDEX(dataICM!F:F,match(Caseslist!B1678,dataICM!D:D,0)), "INC")</f>
        <v>Elenita Gicos De La Pe�a</v>
      </c>
      <c r="I1678" s="10" t="str">
        <f t="shared" si="2"/>
        <v>F3051749</v>
      </c>
      <c r="J1678" s="9" t="str">
        <f t="array" ref="J1678">IF(
  AND(
    IFERROR(MATCH(B1678, data!D:D, 0), 0) &gt; 0,
    IFERROR(INDEX(data!N:N, MATCH(B1678, data!D:D, 0)) = 1, FALSE)
  ),
  INDEX(data!C:C, MATCH(B1678, data!D:D, 0)),
  "INC"
)</f>
        <v>2025-08-27T11:10:39.988+08</v>
      </c>
      <c r="K1678" s="9" t="str">
        <f t="array" ref="K1678">IFERROR(INDEX(dataICM!C:C,match(Caseslist!B1678,dataICM!D:D,0)), "INC")</f>
        <v>2025-08-27T11:17:17.247+08</v>
      </c>
      <c r="L1678" s="10" t="str">
        <f t="array" ref="L1678">IF(AND(G1678="COMPLETE", OR(K1678="INC", ISBLANK(INDEX(data!O:O, ROW())))), J1678, K1678)</f>
        <v>2025-08-27T11:17:17.247+08</v>
      </c>
      <c r="M1678" s="2">
        <v>45896.0</v>
      </c>
      <c r="N1678" s="2">
        <f t="array" ref="N1678">IF(M1678&lt;&gt;"INC", INDEX(data!M:M, MATCH(B1678, data!D:D, 0)), "")</f>
        <v>2</v>
      </c>
      <c r="O1678" s="2">
        <f t="shared" si="3"/>
        <v>2</v>
      </c>
    </row>
    <row r="1679">
      <c r="A1679" s="2" t="str">
        <f t="shared" si="1"/>
        <v>H030748</v>
      </c>
      <c r="B1679" s="1" t="s">
        <v>1207</v>
      </c>
      <c r="C1679" s="9" t="str">
        <f t="array" ref="C1679">IF(
  AND(
    IFERROR(MATCH(Caseslist!B1679, data!D:D, 0), 0) &gt; 0,
    IFERROR(INDEX(data!N:N, MATCH(Caseslist!B1679, data!D:D, 0)) = 1, FALSE)
  ),
  "COMPLETE",
  "INC"
)</f>
        <v>COMPLETE</v>
      </c>
      <c r="D1679" s="9" t="str">
        <f t="array" ref="D1679">IFERROR(INDEX(data!$G:$G,match(Caseslist!B1679,data!$D:$D,0)), "INC")</f>
        <v>G5472901</v>
      </c>
      <c r="E1679" s="9" t="str">
        <f t="array" ref="E1679">IFERROR(INDEX(data!H:H,match(Caseslist!B1679,data!D:D,0)), "INC")</f>
        <v>Wellyn Grace Alaban Parcia</v>
      </c>
      <c r="F1679" s="10" t="str">
        <f t="array" ref="F1679">IF(
    OR(
      IFNA(INDEX(data!M:M, MATCH(Caseslist!B1679, data!D:D, 0)), "") = "",
      IFNA(INDEX(data!M:M, MATCH(Caseslist!B1679, data!D:D, 0)), 0) = 0
    ),
    "COMPLETE",
    IF(
      IFNA(INDEX(dataICM!D:D, MATCH(Caseslist!B1679, dataICM!D:D, 0)), "INC") = "INC",
      IFNA(INDEX(dataICM!D:D, MATCH(Caseslist!B1679, dataICM!D:D, 0)), "INC"),
      "COMPLETE"
    )
  )</f>
        <v>COMPLETE</v>
      </c>
      <c r="G1679" s="10" t="str">
        <f t="array" ref="G1679">IF(IFERROR(INDEX(data!L:L,match(Caseslist!B1679,data!D:D,0)),"INC")="","COMPLETE",F1679)</f>
        <v>COMPLETE</v>
      </c>
      <c r="H1679" s="9" t="str">
        <f t="array" ref="H1679">IFERROR(INDEX(dataICM!F:F,match(Caseslist!B1679,dataICM!D:D,0)), "INC")</f>
        <v>Wellyn Grace Alaban Parcia</v>
      </c>
      <c r="I1679" s="10" t="str">
        <f t="shared" si="2"/>
        <v>G5472901</v>
      </c>
      <c r="J1679" s="9" t="str">
        <f t="array" ref="J1679">IF(
  AND(
    IFERROR(MATCH(B1679, data!D:D, 0), 0) &gt; 0,
    IFERROR(INDEX(data!N:N, MATCH(B1679, data!D:D, 0)) = 1, FALSE)
  ),
  INDEX(data!C:C, MATCH(B1679, data!D:D, 0)),
  "INC"
)</f>
        <v>2025-08-28T15:09:54.705+08</v>
      </c>
      <c r="K1679" s="9" t="str">
        <f t="array" ref="K1679">IFERROR(INDEX(dataICM!C:C,match(Caseslist!B1679,dataICM!D:D,0)), "INC")</f>
        <v>2025-08-28T15:27:10.902+08</v>
      </c>
      <c r="L1679" s="10" t="str">
        <f t="array" ref="L1679">IF(AND(G1679="COMPLETE", OR(K1679="INC", ISBLANK(INDEX(data!O:O, ROW())))), J1679, K1679)</f>
        <v>2025-08-28T15:27:10.902+08</v>
      </c>
      <c r="M1679" s="2">
        <v>45897.0</v>
      </c>
      <c r="N1679" s="2">
        <f t="array" ref="N1679">IF(M1679&lt;&gt;"INC", INDEX(data!M:M, MATCH(B1679, data!D:D, 0)), "")</f>
        <v>2</v>
      </c>
      <c r="O1679" s="2">
        <f t="shared" si="3"/>
        <v>2</v>
      </c>
    </row>
    <row r="1680">
      <c r="A1680" s="2" t="str">
        <f t="shared" si="1"/>
        <v>H030764</v>
      </c>
      <c r="B1680" s="1" t="s">
        <v>3852</v>
      </c>
      <c r="C1680" s="9" t="str">
        <f t="array" ref="C1680">IF(
  AND(
    IFERROR(MATCH(Caseslist!B1680, data!D:D, 0), 0) &gt; 0,
    IFERROR(INDEX(data!N:N, MATCH(Caseslist!B1680, data!D:D, 0)) = 1, FALSE)
  ),
  "COMPLETE",
  "INC"
)</f>
        <v>COMPLETE</v>
      </c>
      <c r="D1680" s="9" t="str">
        <f t="array" ref="D1680">IFERROR(INDEX(data!$G:$G,match(Caseslist!B1680,data!$D:$D,0)), "INC")</f>
        <v>C7502931</v>
      </c>
      <c r="E1680" s="9" t="str">
        <f t="array" ref="E1680">IFERROR(INDEX(data!H:H,match(Caseslist!B1680,data!D:D,0)), "INC")</f>
        <v>Jenny Lou Toles Estacio</v>
      </c>
      <c r="F1680" s="10" t="str">
        <f t="array" ref="F1680">IF(
    OR(
      IFNA(INDEX(data!M:M, MATCH(Caseslist!B1680, data!D:D, 0)), "") = "",
      IFNA(INDEX(data!M:M, MATCH(Caseslist!B1680, data!D:D, 0)), 0) = 0
    ),
    "COMPLETE",
    IF(
      IFNA(INDEX(dataICM!D:D, MATCH(Caseslist!B1680, dataICM!D:D, 0)), "INC") = "INC",
      IFNA(INDEX(dataICM!D:D, MATCH(Caseslist!B1680, dataICM!D:D, 0)), "INC"),
      "COMPLETE"
    )
  )</f>
        <v>COMPLETE</v>
      </c>
      <c r="G1680" s="10" t="str">
        <f t="array" ref="G1680">IF(IFERROR(INDEX(data!L:L,match(Caseslist!B1680,data!D:D,0)),"INC")="","COMPLETE",F1680)</f>
        <v>COMPLETE</v>
      </c>
      <c r="H1680" s="9" t="str">
        <f t="array" ref="H1680">IFERROR(INDEX(dataICM!F:F,match(Caseslist!B1680,dataICM!D:D,0)), "INC")</f>
        <v>Jenny Lou Toles Estacio</v>
      </c>
      <c r="I1680" s="10" t="str">
        <f t="shared" si="2"/>
        <v>C7502931</v>
      </c>
      <c r="J1680" s="9" t="str">
        <f t="array" ref="J1680">IF(
  AND(
    IFERROR(MATCH(B1680, data!D:D, 0), 0) &gt; 0,
    IFERROR(INDEX(data!N:N, MATCH(B1680, data!D:D, 0)) = 1, FALSE)
  ),
  INDEX(data!C:C, MATCH(B1680, data!D:D, 0)),
  "INC"
)</f>
        <v>2025-09-06T11:51:28.487+08</v>
      </c>
      <c r="K1680" s="9" t="str">
        <f t="array" ref="K1680">IFERROR(INDEX(dataICM!C:C,match(Caseslist!B1680,dataICM!D:D,0)), "INC")</f>
        <v>2025-09-06T17:36:11.710+08</v>
      </c>
      <c r="L1680" s="10" t="str">
        <f t="array" ref="L1680">IF(AND(G1680="COMPLETE", OR(K1680="INC", ISBLANK(INDEX(data!O:O, ROW())))), J1680, K1680)</f>
        <v>2025-09-06T17:36:11.710+08</v>
      </c>
      <c r="M1680" s="2">
        <v>45906.0</v>
      </c>
      <c r="N1680" s="2">
        <f t="array" ref="N1680">IF(M1680&lt;&gt;"INC", INDEX(data!M:M, MATCH(B1680, data!D:D, 0)), "")</f>
        <v>3</v>
      </c>
      <c r="O1680" s="2">
        <f t="shared" si="3"/>
        <v>3</v>
      </c>
    </row>
    <row r="1681">
      <c r="A1681" s="2" t="str">
        <f t="shared" si="1"/>
        <v>H030764</v>
      </c>
      <c r="B1681" s="1" t="s">
        <v>3847</v>
      </c>
      <c r="C1681" s="9" t="str">
        <f t="array" ref="C1681">IF(
  AND(
    IFERROR(MATCH(Caseslist!B1681, data!D:D, 0), 0) &gt; 0,
    IFERROR(INDEX(data!N:N, MATCH(Caseslist!B1681, data!D:D, 0)) = 1, FALSE)
  ),
  "COMPLETE",
  "INC"
)</f>
        <v>COMPLETE</v>
      </c>
      <c r="D1681" s="9" t="str">
        <f t="array" ref="D1681">IFERROR(INDEX(data!$G:$G,match(Caseslist!B1681,data!$D:$D,0)), "INC")</f>
        <v>C7502931</v>
      </c>
      <c r="E1681" s="9" t="str">
        <f t="array" ref="E1681">IFERROR(INDEX(data!H:H,match(Caseslist!B1681,data!D:D,0)), "INC")</f>
        <v>Jenny Lou Toles Estacio</v>
      </c>
      <c r="F1681" s="10" t="str">
        <f t="array" ref="F1681">IF(
    OR(
      IFNA(INDEX(data!M:M, MATCH(Caseslist!B1681, data!D:D, 0)), "") = "",
      IFNA(INDEX(data!M:M, MATCH(Caseslist!B1681, data!D:D, 0)), 0) = 0
    ),
    "COMPLETE",
    IF(
      IFNA(INDEX(dataICM!D:D, MATCH(Caseslist!B1681, dataICM!D:D, 0)), "INC") = "INC",
      IFNA(INDEX(dataICM!D:D, MATCH(Caseslist!B1681, dataICM!D:D, 0)), "INC"),
      "COMPLETE"
    )
  )</f>
        <v>COMPLETE</v>
      </c>
      <c r="G1681" s="10" t="str">
        <f t="array" ref="G1681">IF(IFERROR(INDEX(data!L:L,match(Caseslist!B1681,data!D:D,0)),"INC")="","COMPLETE",F1681)</f>
        <v>COMPLETE</v>
      </c>
      <c r="H1681" s="9" t="str">
        <f t="array" ref="H1681">IFERROR(INDEX(dataICM!F:F,match(Caseslist!B1681,dataICM!D:D,0)), "INC")</f>
        <v>Jenny Lou Toles Estacio</v>
      </c>
      <c r="I1681" s="10" t="str">
        <f t="shared" si="2"/>
        <v>C7502931</v>
      </c>
      <c r="J1681" s="9" t="str">
        <f t="array" ref="J1681">IF(
  AND(
    IFERROR(MATCH(B1681, data!D:D, 0), 0) &gt; 0,
    IFERROR(INDEX(data!N:N, MATCH(B1681, data!D:D, 0)) = 1, FALSE)
  ),
  INDEX(data!C:C, MATCH(B1681, data!D:D, 0)),
  "INC"
)</f>
        <v>2025-09-05T12:27:59.309+08</v>
      </c>
      <c r="K1681" s="9" t="str">
        <f t="array" ref="K1681">IFERROR(INDEX(dataICM!C:C,match(Caseslist!B1681,dataICM!D:D,0)), "INC")</f>
        <v>2025-09-05T12:43:02.926+08</v>
      </c>
      <c r="L1681" s="10" t="str">
        <f t="array" ref="L1681">IF(AND(G1681="COMPLETE", OR(K1681="INC", ISBLANK(INDEX(data!O:O, ROW())))), J1681, K1681)</f>
        <v>2025-09-05T12:43:02.926+08</v>
      </c>
      <c r="M1681" s="2">
        <v>45905.0</v>
      </c>
      <c r="N1681" s="2">
        <f t="array" ref="N1681">IF(M1681&lt;&gt;"INC", INDEX(data!M:M, MATCH(B1681, data!D:D, 0)), "")</f>
        <v>3</v>
      </c>
      <c r="O1681" s="2">
        <f t="shared" si="3"/>
        <v>3</v>
      </c>
    </row>
    <row r="1682">
      <c r="A1682" s="2" t="str">
        <f t="shared" si="1"/>
        <v>H030764</v>
      </c>
      <c r="B1682" s="1" t="s">
        <v>4107</v>
      </c>
      <c r="C1682" s="9" t="str">
        <f t="array" ref="C1682">IF(
  AND(
    IFERROR(MATCH(Caseslist!B1682, data!D:D, 0), 0) &gt; 0,
    IFERROR(INDEX(data!N:N, MATCH(Caseslist!B1682, data!D:D, 0)) = 1, FALSE)
  ),
  "COMPLETE",
  "INC"
)</f>
        <v>COMPLETE</v>
      </c>
      <c r="D1682" s="9">
        <f t="array" ref="D1682">IFERROR(INDEX(data!$G:$G,match(Caseslist!B1682,data!$D:$D,0)), "INC")</f>
        <v>896791</v>
      </c>
      <c r="E1682" s="9" t="str">
        <f t="array" ref="E1682">IFERROR(INDEX(data!H:H,match(Caseslist!B1682,data!D:D,0)), "INC")</f>
        <v>Roland A. Bandiola jr_2</v>
      </c>
      <c r="F1682" s="10" t="str">
        <f t="array" ref="F1682">IF(
    OR(
      IFNA(INDEX(data!M:M, MATCH(Caseslist!B1682, data!D:D, 0)), "") = "",
      IFNA(INDEX(data!M:M, MATCH(Caseslist!B1682, data!D:D, 0)), 0) = 0
    ),
    "COMPLETE",
    IF(
      IFNA(INDEX(dataICM!D:D, MATCH(Caseslist!B1682, dataICM!D:D, 0)), "INC") = "INC",
      IFNA(INDEX(dataICM!D:D, MATCH(Caseslist!B1682, dataICM!D:D, 0)), "INC"),
      "COMPLETE"
    )
  )</f>
        <v>COMPLETE</v>
      </c>
      <c r="G1682" s="10" t="str">
        <f t="array" ref="G1682">IF(IFERROR(INDEX(data!L:L,match(Caseslist!B1682,data!D:D,0)),"INC")="","COMPLETE",F1682)</f>
        <v>COMPLETE</v>
      </c>
      <c r="H1682" s="9" t="str">
        <f t="array" ref="H1682">IFERROR(INDEX(dataICM!F:F,match(Caseslist!B1682,dataICM!D:D,0)), "INC")</f>
        <v>Roland A. Bandiola jr_2</v>
      </c>
      <c r="I1682" s="10">
        <f t="shared" si="2"/>
        <v>896791</v>
      </c>
      <c r="J1682" s="9" t="str">
        <f t="array" ref="J1682">IF(
  AND(
    IFERROR(MATCH(B1682, data!D:D, 0), 0) &gt; 0,
    IFERROR(INDEX(data!N:N, MATCH(B1682, data!D:D, 0)) = 1, FALSE)
  ),
  INDEX(data!C:C, MATCH(B1682, data!D:D, 0)),
  "INC"
)</f>
        <v>2025-09-06T09:49:55.881+08</v>
      </c>
      <c r="K1682" s="9" t="str">
        <f t="array" ref="K1682">IFERROR(INDEX(dataICM!C:C,match(Caseslist!B1682,dataICM!D:D,0)), "INC")</f>
        <v>2025-09-06T09:55:15.544+08</v>
      </c>
      <c r="L1682" s="10" t="str">
        <f t="array" ref="L1682">IF(AND(G1682="COMPLETE", OR(K1682="INC", ISBLANK(INDEX(data!O:O, ROW())))), J1682, K1682)</f>
        <v>2025-09-06T09:55:15.544+08</v>
      </c>
      <c r="M1682" s="2">
        <v>45906.0</v>
      </c>
      <c r="N1682" s="2">
        <f t="array" ref="N1682">IF(M1682&lt;&gt;"INC", INDEX(data!M:M, MATCH(B1682, data!D:D, 0)), "")</f>
        <v>3</v>
      </c>
      <c r="O1682" s="2">
        <f t="shared" si="3"/>
        <v>3</v>
      </c>
    </row>
    <row r="1683">
      <c r="A1683" s="2" t="str">
        <f t="shared" si="1"/>
        <v>H030764</v>
      </c>
      <c r="B1683" s="1" t="s">
        <v>3772</v>
      </c>
      <c r="C1683" s="9" t="str">
        <f t="array" ref="C1683">IF(
  AND(
    IFERROR(MATCH(Caseslist!B1683, data!D:D, 0), 0) &gt; 0,
    IFERROR(INDEX(data!N:N, MATCH(Caseslist!B1683, data!D:D, 0)) = 1, FALSE)
  ),
  "COMPLETE",
  "INC"
)</f>
        <v>COMPLETE</v>
      </c>
      <c r="D1683" s="9" t="str">
        <f t="array" ref="D1683">IFERROR(INDEX(data!$G:$G,match(Caseslist!B1683,data!$D:$D,0)), "INC")</f>
        <v>C7502931</v>
      </c>
      <c r="E1683" s="9" t="str">
        <f t="array" ref="E1683">IFERROR(INDEX(data!H:H,match(Caseslist!B1683,data!D:D,0)), "INC")</f>
        <v>Jenny Lou Toles Estacio</v>
      </c>
      <c r="F1683" s="10" t="str">
        <f t="array" ref="F1683">IF(
    OR(
      IFNA(INDEX(data!M:M, MATCH(Caseslist!B1683, data!D:D, 0)), "") = "",
      IFNA(INDEX(data!M:M, MATCH(Caseslist!B1683, data!D:D, 0)), 0) = 0
    ),
    "COMPLETE",
    IF(
      IFNA(INDEX(dataICM!D:D, MATCH(Caseslist!B1683, dataICM!D:D, 0)), "INC") = "INC",
      IFNA(INDEX(dataICM!D:D, MATCH(Caseslist!B1683, dataICM!D:D, 0)), "INC"),
      "COMPLETE"
    )
  )</f>
        <v>COMPLETE</v>
      </c>
      <c r="G1683" s="10" t="str">
        <f t="array" ref="G1683">IF(IFERROR(INDEX(data!L:L,match(Caseslist!B1683,data!D:D,0)),"INC")="","COMPLETE",F1683)</f>
        <v>COMPLETE</v>
      </c>
      <c r="H1683" s="9" t="str">
        <f t="array" ref="H1683">IFERROR(INDEX(dataICM!F:F,match(Caseslist!B1683,dataICM!D:D,0)), "INC")</f>
        <v>Jenny Lou Toles Estacio</v>
      </c>
      <c r="I1683" s="10" t="str">
        <f t="shared" si="2"/>
        <v>C7502931</v>
      </c>
      <c r="J1683" s="9" t="str">
        <f t="array" ref="J1683">IF(
  AND(
    IFERROR(MATCH(B1683, data!D:D, 0), 0) &gt; 0,
    IFERROR(INDEX(data!N:N, MATCH(B1683, data!D:D, 0)) = 1, FALSE)
  ),
  INDEX(data!C:C, MATCH(B1683, data!D:D, 0)),
  "INC"
)</f>
        <v>2025-09-06T09:48:20.613+08</v>
      </c>
      <c r="K1683" s="9" t="str">
        <f t="array" ref="K1683">IFERROR(INDEX(dataICM!C:C,match(Caseslist!B1683,dataICM!D:D,0)), "INC")</f>
        <v>2025-09-06T19:54:36.217+08</v>
      </c>
      <c r="L1683" s="10" t="str">
        <f t="array" ref="L1683">IF(AND(G1683="COMPLETE", OR(K1683="INC", ISBLANK(INDEX(data!O:O, ROW())))), J1683, K1683)</f>
        <v>2025-09-06T19:54:36.217+08</v>
      </c>
      <c r="M1683" s="2">
        <v>45906.0</v>
      </c>
      <c r="N1683" s="2">
        <f t="array" ref="N1683">IF(M1683&lt;&gt;"INC", INDEX(data!M:M, MATCH(B1683, data!D:D, 0)), "")</f>
        <v>3</v>
      </c>
      <c r="O1683" s="2">
        <f t="shared" si="3"/>
        <v>3</v>
      </c>
    </row>
    <row r="1684">
      <c r="A1684" s="2" t="str">
        <f t="shared" si="1"/>
        <v>H030764</v>
      </c>
      <c r="B1684" s="1" t="s">
        <v>3767</v>
      </c>
      <c r="C1684" s="9" t="str">
        <f t="array" ref="C1684">IF(
  AND(
    IFERROR(MATCH(Caseslist!B1684, data!D:D, 0), 0) &gt; 0,
    IFERROR(INDEX(data!N:N, MATCH(Caseslist!B1684, data!D:D, 0)) = 1, FALSE)
  ),
  "COMPLETE",
  "INC"
)</f>
        <v>COMPLETE</v>
      </c>
      <c r="D1684" s="9">
        <f t="array" ref="D1684">IFERROR(INDEX(data!$G:$G,match(Caseslist!B1684,data!$D:$D,0)), "INC")</f>
        <v>896791</v>
      </c>
      <c r="E1684" s="9" t="str">
        <f t="array" ref="E1684">IFERROR(INDEX(data!H:H,match(Caseslist!B1684,data!D:D,0)), "INC")</f>
        <v>Roland A. Bandiola jr_2</v>
      </c>
      <c r="F1684" s="10" t="str">
        <f t="array" ref="F1684">IF(
    OR(
      IFNA(INDEX(data!M:M, MATCH(Caseslist!B1684, data!D:D, 0)), "") = "",
      IFNA(INDEX(data!M:M, MATCH(Caseslist!B1684, data!D:D, 0)), 0) = 0
    ),
    "COMPLETE",
    IF(
      IFNA(INDEX(dataICM!D:D, MATCH(Caseslist!B1684, dataICM!D:D, 0)), "INC") = "INC",
      IFNA(INDEX(dataICM!D:D, MATCH(Caseslist!B1684, dataICM!D:D, 0)), "INC"),
      "COMPLETE"
    )
  )</f>
        <v>COMPLETE</v>
      </c>
      <c r="G1684" s="10" t="str">
        <f t="array" ref="G1684">IF(IFERROR(INDEX(data!L:L,match(Caseslist!B1684,data!D:D,0)),"INC")="","COMPLETE",F1684)</f>
        <v>COMPLETE</v>
      </c>
      <c r="H1684" s="9" t="str">
        <f t="array" ref="H1684">IFERROR(INDEX(dataICM!F:F,match(Caseslist!B1684,dataICM!D:D,0)), "INC")</f>
        <v>Roland A. Bandiola jr_2</v>
      </c>
      <c r="I1684" s="10">
        <f t="shared" si="2"/>
        <v>896791</v>
      </c>
      <c r="J1684" s="9" t="str">
        <f t="array" ref="J1684">IF(
  AND(
    IFERROR(MATCH(B1684, data!D:D, 0), 0) &gt; 0,
    IFERROR(INDEX(data!N:N, MATCH(B1684, data!D:D, 0)) = 1, FALSE)
  ),
  INDEX(data!C:C, MATCH(B1684, data!D:D, 0)),
  "INC"
)</f>
        <v>2025-09-05T13:13:32.353+08</v>
      </c>
      <c r="K1684" s="9" t="str">
        <f t="array" ref="K1684">IFERROR(INDEX(dataICM!C:C,match(Caseslist!B1684,dataICM!D:D,0)), "INC")</f>
        <v>2025-09-05T17:56:01.113+08</v>
      </c>
      <c r="L1684" s="10" t="str">
        <f t="array" ref="L1684">IF(AND(G1684="COMPLETE", OR(K1684="INC", ISBLANK(INDEX(data!O:O, ROW())))), J1684, K1684)</f>
        <v>2025-09-05T17:56:01.113+08</v>
      </c>
      <c r="M1684" s="2">
        <v>45905.0</v>
      </c>
      <c r="N1684" s="2">
        <f t="array" ref="N1684">IF(M1684&lt;&gt;"INC", INDEX(data!M:M, MATCH(B1684, data!D:D, 0)), "")</f>
        <v>3</v>
      </c>
      <c r="O1684" s="2">
        <f t="shared" si="3"/>
        <v>3</v>
      </c>
    </row>
    <row r="1685">
      <c r="A1685" s="2" t="str">
        <f t="shared" si="1"/>
        <v>H030764</v>
      </c>
      <c r="B1685" s="1" t="s">
        <v>3762</v>
      </c>
      <c r="C1685" s="9" t="str">
        <f t="array" ref="C1685">IF(
  AND(
    IFERROR(MATCH(Caseslist!B1685, data!D:D, 0), 0) &gt; 0,
    IFERROR(INDEX(data!N:N, MATCH(Caseslist!B1685, data!D:D, 0)) = 1, FALSE)
  ),
  "COMPLETE",
  "INC"
)</f>
        <v>COMPLETE</v>
      </c>
      <c r="D1685" s="9">
        <f t="array" ref="D1685">IFERROR(INDEX(data!$G:$G,match(Caseslist!B1685,data!$D:$D,0)), "INC")</f>
        <v>896791</v>
      </c>
      <c r="E1685" s="9" t="str">
        <f t="array" ref="E1685">IFERROR(INDEX(data!H:H,match(Caseslist!B1685,data!D:D,0)), "INC")</f>
        <v>Roland A. Bandiola jr_2</v>
      </c>
      <c r="F1685" s="10" t="str">
        <f t="array" ref="F1685">IF(
    OR(
      IFNA(INDEX(data!M:M, MATCH(Caseslist!B1685, data!D:D, 0)), "") = "",
      IFNA(INDEX(data!M:M, MATCH(Caseslist!B1685, data!D:D, 0)), 0) = 0
    ),
    "COMPLETE",
    IF(
      IFNA(INDEX(dataICM!D:D, MATCH(Caseslist!B1685, dataICM!D:D, 0)), "INC") = "INC",
      IFNA(INDEX(dataICM!D:D, MATCH(Caseslist!B1685, dataICM!D:D, 0)), "INC"),
      "COMPLETE"
    )
  )</f>
        <v>COMPLETE</v>
      </c>
      <c r="G1685" s="10" t="str">
        <f t="array" ref="G1685">IF(IFERROR(INDEX(data!L:L,match(Caseslist!B1685,data!D:D,0)),"INC")="","COMPLETE",F1685)</f>
        <v>COMPLETE</v>
      </c>
      <c r="H1685" s="9" t="str">
        <f t="array" ref="H1685">IFERROR(INDEX(dataICM!F:F,match(Caseslist!B1685,dataICM!D:D,0)), "INC")</f>
        <v>Roland A. Bandiola jr_2</v>
      </c>
      <c r="I1685" s="10">
        <f t="shared" si="2"/>
        <v>896791</v>
      </c>
      <c r="J1685" s="9" t="str">
        <f t="array" ref="J1685">IF(
  AND(
    IFERROR(MATCH(B1685, data!D:D, 0), 0) &gt; 0,
    IFERROR(INDEX(data!N:N, MATCH(B1685, data!D:D, 0)) = 1, FALSE)
  ),
  INDEX(data!C:C, MATCH(B1685, data!D:D, 0)),
  "INC"
)</f>
        <v>2025-09-05T11:01:24.480+08</v>
      </c>
      <c r="K1685" s="9" t="str">
        <f t="array" ref="K1685">IFERROR(INDEX(dataICM!C:C,match(Caseslist!B1685,dataICM!D:D,0)), "INC")</f>
        <v>2025-09-05T11:14:20.342+08</v>
      </c>
      <c r="L1685" s="10" t="str">
        <f t="array" ref="L1685">IF(AND(G1685="COMPLETE", OR(K1685="INC", ISBLANK(INDEX(data!O:O, ROW())))), J1685, K1685)</f>
        <v>2025-09-05T11:14:20.342+08</v>
      </c>
      <c r="M1685" s="2">
        <v>45905.0</v>
      </c>
      <c r="N1685" s="2">
        <f t="array" ref="N1685">IF(M1685&lt;&gt;"INC", INDEX(data!M:M, MATCH(B1685, data!D:D, 0)), "")</f>
        <v>3</v>
      </c>
      <c r="O1685" s="2">
        <f t="shared" si="3"/>
        <v>3</v>
      </c>
    </row>
    <row r="1686">
      <c r="A1686" s="2" t="str">
        <f t="shared" si="1"/>
        <v>H030764</v>
      </c>
      <c r="B1686" s="1" t="s">
        <v>3842</v>
      </c>
      <c r="C1686" s="9" t="str">
        <f t="array" ref="C1686">IF(
  AND(
    IFERROR(MATCH(Caseslist!B1686, data!D:D, 0), 0) &gt; 0,
    IFERROR(INDEX(data!N:N, MATCH(Caseslist!B1686, data!D:D, 0)) = 1, FALSE)
  ),
  "COMPLETE",
  "INC"
)</f>
        <v>COMPLETE</v>
      </c>
      <c r="D1686" s="9" t="str">
        <f t="array" ref="D1686">IFERROR(INDEX(data!$G:$G,match(Caseslist!B1686,data!$D:$D,0)), "INC")</f>
        <v>C7502931</v>
      </c>
      <c r="E1686" s="9" t="str">
        <f t="array" ref="E1686">IFERROR(INDEX(data!H:H,match(Caseslist!B1686,data!D:D,0)), "INC")</f>
        <v>Jenny Lou Toles Estacio</v>
      </c>
      <c r="F1686" s="10" t="str">
        <f t="array" ref="F1686">IF(
    OR(
      IFNA(INDEX(data!M:M, MATCH(Caseslist!B1686, data!D:D, 0)), "") = "",
      IFNA(INDEX(data!M:M, MATCH(Caseslist!B1686, data!D:D, 0)), 0) = 0
    ),
    "COMPLETE",
    IF(
      IFNA(INDEX(dataICM!D:D, MATCH(Caseslist!B1686, dataICM!D:D, 0)), "INC") = "INC",
      IFNA(INDEX(dataICM!D:D, MATCH(Caseslist!B1686, dataICM!D:D, 0)), "INC"),
      "COMPLETE"
    )
  )</f>
        <v>COMPLETE</v>
      </c>
      <c r="G1686" s="10" t="str">
        <f t="array" ref="G1686">IF(IFERROR(INDEX(data!L:L,match(Caseslist!B1686,data!D:D,0)),"INC")="","COMPLETE",F1686)</f>
        <v>COMPLETE</v>
      </c>
      <c r="H1686" s="9" t="str">
        <f t="array" ref="H1686">IFERROR(INDEX(dataICM!F:F,match(Caseslist!B1686,dataICM!D:D,0)), "INC")</f>
        <v>Jenny Lou Toles Estacio</v>
      </c>
      <c r="I1686" s="10" t="str">
        <f t="shared" si="2"/>
        <v>C7502931</v>
      </c>
      <c r="J1686" s="9" t="str">
        <f t="array" ref="J1686">IF(
  AND(
    IFERROR(MATCH(B1686, data!D:D, 0), 0) &gt; 0,
    IFERROR(INDEX(data!N:N, MATCH(B1686, data!D:D, 0)) = 1, FALSE)
  ),
  INDEX(data!C:C, MATCH(B1686, data!D:D, 0)),
  "INC"
)</f>
        <v>2025-09-05T11:02:38.236+08</v>
      </c>
      <c r="K1686" s="9" t="str">
        <f t="array" ref="K1686">IFERROR(INDEX(dataICM!C:C,match(Caseslist!B1686,dataICM!D:D,0)), "INC")</f>
        <v>2025-09-05T19:15:38.324+08</v>
      </c>
      <c r="L1686" s="10" t="str">
        <f t="array" ref="L1686">IF(AND(G1686="COMPLETE", OR(K1686="INC", ISBLANK(INDEX(data!O:O, ROW())))), J1686, K1686)</f>
        <v>2025-09-05T19:15:38.324+08</v>
      </c>
      <c r="M1686" s="2">
        <v>45905.0</v>
      </c>
      <c r="N1686" s="2">
        <f t="array" ref="N1686">IF(M1686&lt;&gt;"INC", INDEX(data!M:M, MATCH(B1686, data!D:D, 0)), "")</f>
        <v>3</v>
      </c>
      <c r="O1686" s="2">
        <f t="shared" si="3"/>
        <v>3</v>
      </c>
    </row>
    <row r="1687">
      <c r="A1687" s="2" t="str">
        <f t="shared" si="1"/>
        <v>H030764</v>
      </c>
      <c r="B1687" s="1" t="s">
        <v>3857</v>
      </c>
      <c r="C1687" s="9" t="str">
        <f t="array" ref="C1687">IF(
  AND(
    IFERROR(MATCH(Caseslist!B1687, data!D:D, 0), 0) &gt; 0,
    IFERROR(INDEX(data!N:N, MATCH(Caseslist!B1687, data!D:D, 0)) = 1, FALSE)
  ),
  "COMPLETE",
  "INC"
)</f>
        <v>COMPLETE</v>
      </c>
      <c r="D1687" s="9" t="str">
        <f t="array" ref="D1687">IFERROR(INDEX(data!$G:$G,match(Caseslist!B1687,data!$D:$D,0)), "INC")</f>
        <v>C7502931</v>
      </c>
      <c r="E1687" s="9" t="str">
        <f t="array" ref="E1687">IFERROR(INDEX(data!H:H,match(Caseslist!B1687,data!D:D,0)), "INC")</f>
        <v>Jenny Lou Toles Estacio</v>
      </c>
      <c r="F1687" s="10" t="str">
        <f t="array" ref="F1687">IF(
    OR(
      IFNA(INDEX(data!M:M, MATCH(Caseslist!B1687, data!D:D, 0)), "") = "",
      IFNA(INDEX(data!M:M, MATCH(Caseslist!B1687, data!D:D, 0)), 0) = 0
    ),
    "COMPLETE",
    IF(
      IFNA(INDEX(dataICM!D:D, MATCH(Caseslist!B1687, dataICM!D:D, 0)), "INC") = "INC",
      IFNA(INDEX(dataICM!D:D, MATCH(Caseslist!B1687, dataICM!D:D, 0)), "INC"),
      "COMPLETE"
    )
  )</f>
        <v>COMPLETE</v>
      </c>
      <c r="G1687" s="10" t="str">
        <f t="array" ref="G1687">IF(IFERROR(INDEX(data!L:L,match(Caseslist!B1687,data!D:D,0)),"INC")="","COMPLETE",F1687)</f>
        <v>COMPLETE</v>
      </c>
      <c r="H1687" s="9" t="str">
        <f t="array" ref="H1687">IFERROR(INDEX(dataICM!F:F,match(Caseslist!B1687,dataICM!D:D,0)), "INC")</f>
        <v>Jenny Lou Toles Estacio</v>
      </c>
      <c r="I1687" s="10" t="str">
        <f t="shared" si="2"/>
        <v>C7502931</v>
      </c>
      <c r="J1687" s="9" t="str">
        <f t="array" ref="J1687">IF(
  AND(
    IFERROR(MATCH(B1687, data!D:D, 0), 0) &gt; 0,
    IFERROR(INDEX(data!N:N, MATCH(B1687, data!D:D, 0)) = 1, FALSE)
  ),
  INDEX(data!C:C, MATCH(B1687, data!D:D, 0)),
  "INC"
)</f>
        <v>2025-09-05T15:16:17.810+08</v>
      </c>
      <c r="K1687" s="9" t="str">
        <f t="array" ref="K1687">IFERROR(INDEX(dataICM!C:C,match(Caseslist!B1687,dataICM!D:D,0)), "INC")</f>
        <v>2025-09-05T18:00:20.502+08</v>
      </c>
      <c r="L1687" s="10" t="str">
        <f t="array" ref="L1687">IF(AND(G1687="COMPLETE", OR(K1687="INC", ISBLANK(INDEX(data!O:O, ROW())))), J1687, K1687)</f>
        <v>2025-09-05T18:00:20.502+08</v>
      </c>
      <c r="M1687" s="2">
        <v>45905.0</v>
      </c>
      <c r="N1687" s="2">
        <f t="array" ref="N1687">IF(M1687&lt;&gt;"INC", INDEX(data!M:M, MATCH(B1687, data!D:D, 0)), "")</f>
        <v>3</v>
      </c>
      <c r="O1687" s="2">
        <f t="shared" si="3"/>
        <v>3</v>
      </c>
    </row>
    <row r="1688">
      <c r="A1688" s="2" t="str">
        <f t="shared" si="1"/>
        <v>H030764</v>
      </c>
      <c r="B1688" s="1" t="s">
        <v>3862</v>
      </c>
      <c r="C1688" s="9" t="str">
        <f t="array" ref="C1688">IF(
  AND(
    IFERROR(MATCH(Caseslist!B1688, data!D:D, 0), 0) &gt; 0,
    IFERROR(INDEX(data!N:N, MATCH(Caseslist!B1688, data!D:D, 0)) = 1, FALSE)
  ),
  "COMPLETE",
  "INC"
)</f>
        <v>COMPLETE</v>
      </c>
      <c r="D1688" s="9" t="str">
        <f t="array" ref="D1688">IFERROR(INDEX(data!$G:$G,match(Caseslist!B1688,data!$D:$D,0)), "INC")</f>
        <v>C7502931</v>
      </c>
      <c r="E1688" s="9" t="str">
        <f t="array" ref="E1688">IFERROR(INDEX(data!H:H,match(Caseslist!B1688,data!D:D,0)), "INC")</f>
        <v>Jenny Lou Toles Estacio</v>
      </c>
      <c r="F1688" s="10" t="str">
        <f t="array" ref="F1688">IF(
    OR(
      IFNA(INDEX(data!M:M, MATCH(Caseslist!B1688, data!D:D, 0)), "") = "",
      IFNA(INDEX(data!M:M, MATCH(Caseslist!B1688, data!D:D, 0)), 0) = 0
    ),
    "COMPLETE",
    IF(
      IFNA(INDEX(dataICM!D:D, MATCH(Caseslist!B1688, dataICM!D:D, 0)), "INC") = "INC",
      IFNA(INDEX(dataICM!D:D, MATCH(Caseslist!B1688, dataICM!D:D, 0)), "INC"),
      "COMPLETE"
    )
  )</f>
        <v>COMPLETE</v>
      </c>
      <c r="G1688" s="10" t="str">
        <f t="array" ref="G1688">IF(IFERROR(INDEX(data!L:L,match(Caseslist!B1688,data!D:D,0)),"INC")="","COMPLETE",F1688)</f>
        <v>COMPLETE</v>
      </c>
      <c r="H1688" s="9" t="str">
        <f t="array" ref="H1688">IFERROR(INDEX(dataICM!F:F,match(Caseslist!B1688,dataICM!D:D,0)), "INC")</f>
        <v>Jenny Lou Toles Estacio</v>
      </c>
      <c r="I1688" s="10" t="str">
        <f t="shared" si="2"/>
        <v>C7502931</v>
      </c>
      <c r="J1688" s="9" t="str">
        <f t="array" ref="J1688">IF(
  AND(
    IFERROR(MATCH(B1688, data!D:D, 0), 0) &gt; 0,
    IFERROR(INDEX(data!N:N, MATCH(B1688, data!D:D, 0)) = 1, FALSE)
  ),
  INDEX(data!C:C, MATCH(B1688, data!D:D, 0)),
  "INC"
)</f>
        <v>2025-09-05T16:28:33.909+08</v>
      </c>
      <c r="K1688" s="9" t="str">
        <f t="array" ref="K1688">IFERROR(INDEX(dataICM!C:C,match(Caseslist!B1688,dataICM!D:D,0)), "INC")</f>
        <v>2025-09-05T19:16:06.198+08</v>
      </c>
      <c r="L1688" s="10" t="str">
        <f t="array" ref="L1688">IF(AND(G1688="COMPLETE", OR(K1688="INC", ISBLANK(INDEX(data!O:O, ROW())))), J1688, K1688)</f>
        <v>2025-09-05T19:16:06.198+08</v>
      </c>
      <c r="M1688" s="2">
        <v>45905.0</v>
      </c>
      <c r="N1688" s="2">
        <f t="array" ref="N1688">IF(M1688&lt;&gt;"INC", INDEX(data!M:M, MATCH(B1688, data!D:D, 0)), "")</f>
        <v>3</v>
      </c>
      <c r="O1688" s="2">
        <f t="shared" si="3"/>
        <v>3</v>
      </c>
    </row>
    <row r="1689">
      <c r="A1689" s="2" t="str">
        <f t="shared" si="1"/>
        <v>H030764</v>
      </c>
      <c r="B1689" s="1" t="s">
        <v>3782</v>
      </c>
      <c r="C1689" s="9" t="str">
        <f t="array" ref="C1689">IF(
  AND(
    IFERROR(MATCH(Caseslist!B1689, data!D:D, 0), 0) &gt; 0,
    IFERROR(INDEX(data!N:N, MATCH(Caseslist!B1689, data!D:D, 0)) = 1, FALSE)
  ),
  "COMPLETE",
  "INC"
)</f>
        <v>COMPLETE</v>
      </c>
      <c r="D1689" s="9">
        <f t="array" ref="D1689">IFERROR(INDEX(data!$G:$G,match(Caseslist!B1689,data!$D:$D,0)), "INC")</f>
        <v>896791</v>
      </c>
      <c r="E1689" s="9" t="str">
        <f t="array" ref="E1689">IFERROR(INDEX(data!H:H,match(Caseslist!B1689,data!D:D,0)), "INC")</f>
        <v>Roland A. Bandiola jr_2</v>
      </c>
      <c r="F1689" s="10" t="str">
        <f t="array" ref="F1689">IF(
    OR(
      IFNA(INDEX(data!M:M, MATCH(Caseslist!B1689, data!D:D, 0)), "") = "",
      IFNA(INDEX(data!M:M, MATCH(Caseslist!B1689, data!D:D, 0)), 0) = 0
    ),
    "COMPLETE",
    IF(
      IFNA(INDEX(dataICM!D:D, MATCH(Caseslist!B1689, dataICM!D:D, 0)), "INC") = "INC",
      IFNA(INDEX(dataICM!D:D, MATCH(Caseslist!B1689, dataICM!D:D, 0)), "INC"),
      "COMPLETE"
    )
  )</f>
        <v>COMPLETE</v>
      </c>
      <c r="G1689" s="10" t="str">
        <f t="array" ref="G1689">IF(IFERROR(INDEX(data!L:L,match(Caseslist!B1689,data!D:D,0)),"INC")="","COMPLETE",F1689)</f>
        <v>COMPLETE</v>
      </c>
      <c r="H1689" s="9" t="str">
        <f t="array" ref="H1689">IFERROR(INDEX(dataICM!F:F,match(Caseslist!B1689,dataICM!D:D,0)), "INC")</f>
        <v>Roland A. Bandiola jr_2</v>
      </c>
      <c r="I1689" s="10">
        <f t="shared" si="2"/>
        <v>896791</v>
      </c>
      <c r="J1689" s="9" t="str">
        <f t="array" ref="J1689">IF(
  AND(
    IFERROR(MATCH(B1689, data!D:D, 0), 0) &gt; 0,
    IFERROR(INDEX(data!N:N, MATCH(B1689, data!D:D, 0)) = 1, FALSE)
  ),
  INDEX(data!C:C, MATCH(B1689, data!D:D, 0)),
  "INC"
)</f>
        <v>2025-09-05T16:54:53.026+08</v>
      </c>
      <c r="K1689" s="9" t="str">
        <f t="array" ref="K1689">IFERROR(INDEX(dataICM!C:C,match(Caseslist!B1689,dataICM!D:D,0)), "INC")</f>
        <v>2025-09-05T17:00:43.922+08</v>
      </c>
      <c r="L1689" s="10" t="str">
        <f t="array" ref="L1689">IF(AND(G1689="COMPLETE", OR(K1689="INC", ISBLANK(INDEX(data!O:O, ROW())))), J1689, K1689)</f>
        <v>2025-09-05T17:00:43.922+08</v>
      </c>
      <c r="M1689" s="2">
        <v>45905.0</v>
      </c>
      <c r="N1689" s="2">
        <f t="array" ref="N1689">IF(M1689&lt;&gt;"INC", INDEX(data!M:M, MATCH(B1689, data!D:D, 0)), "")</f>
        <v>3</v>
      </c>
      <c r="O1689" s="2">
        <f t="shared" si="3"/>
        <v>3</v>
      </c>
    </row>
    <row r="1690">
      <c r="A1690" s="2" t="str">
        <f t="shared" si="1"/>
        <v>H030764</v>
      </c>
      <c r="B1690" s="1" t="s">
        <v>3787</v>
      </c>
      <c r="C1690" s="9" t="str">
        <f t="array" ref="C1690">IF(
  AND(
    IFERROR(MATCH(Caseslist!B1690, data!D:D, 0), 0) &gt; 0,
    IFERROR(INDEX(data!N:N, MATCH(Caseslist!B1690, data!D:D, 0)) = 1, FALSE)
  ),
  "COMPLETE",
  "INC"
)</f>
        <v>COMPLETE</v>
      </c>
      <c r="D1690" s="9">
        <f t="array" ref="D1690">IFERROR(INDEX(data!$G:$G,match(Caseslist!B1690,data!$D:$D,0)), "INC")</f>
        <v>896791</v>
      </c>
      <c r="E1690" s="9" t="str">
        <f t="array" ref="E1690">IFERROR(INDEX(data!H:H,match(Caseslist!B1690,data!D:D,0)), "INC")</f>
        <v>Roland A. Bandiola jr_2</v>
      </c>
      <c r="F1690" s="10" t="str">
        <f t="array" ref="F1690">IF(
    OR(
      IFNA(INDEX(data!M:M, MATCH(Caseslist!B1690, data!D:D, 0)), "") = "",
      IFNA(INDEX(data!M:M, MATCH(Caseslist!B1690, data!D:D, 0)), 0) = 0
    ),
    "COMPLETE",
    IF(
      IFNA(INDEX(dataICM!D:D, MATCH(Caseslist!B1690, dataICM!D:D, 0)), "INC") = "INC",
      IFNA(INDEX(dataICM!D:D, MATCH(Caseslist!B1690, dataICM!D:D, 0)), "INC"),
      "COMPLETE"
    )
  )</f>
        <v>COMPLETE</v>
      </c>
      <c r="G1690" s="10" t="str">
        <f t="array" ref="G1690">IF(IFERROR(INDEX(data!L:L,match(Caseslist!B1690,data!D:D,0)),"INC")="","COMPLETE",F1690)</f>
        <v>COMPLETE</v>
      </c>
      <c r="H1690" s="9" t="str">
        <f t="array" ref="H1690">IFERROR(INDEX(dataICM!F:F,match(Caseslist!B1690,dataICM!D:D,0)), "INC")</f>
        <v>Roland A. Bandiola jr_2</v>
      </c>
      <c r="I1690" s="10">
        <f t="shared" si="2"/>
        <v>896791</v>
      </c>
      <c r="J1690" s="9" t="str">
        <f t="array" ref="J1690">IF(
  AND(
    IFERROR(MATCH(B1690, data!D:D, 0), 0) &gt; 0,
    IFERROR(INDEX(data!N:N, MATCH(B1690, data!D:D, 0)) = 1, FALSE)
  ),
  INDEX(data!C:C, MATCH(B1690, data!D:D, 0)),
  "INC"
)</f>
        <v>2025-09-06T12:25:15.081+08</v>
      </c>
      <c r="K1690" s="9" t="str">
        <f t="array" ref="K1690">IFERROR(INDEX(dataICM!C:C,match(Caseslist!B1690,dataICM!D:D,0)), "INC")</f>
        <v>2025-09-06T16:57:54.460+08</v>
      </c>
      <c r="L1690" s="10" t="str">
        <f t="array" ref="L1690">IF(AND(G1690="COMPLETE", OR(K1690="INC", ISBLANK(INDEX(data!O:O, ROW())))), J1690, K1690)</f>
        <v>2025-09-06T16:57:54.460+08</v>
      </c>
      <c r="M1690" s="2">
        <v>45906.0</v>
      </c>
      <c r="N1690" s="2">
        <f t="array" ref="N1690">IF(M1690&lt;&gt;"INC", INDEX(data!M:M, MATCH(B1690, data!D:D, 0)), "")</f>
        <v>3</v>
      </c>
      <c r="O1690" s="2">
        <f t="shared" si="3"/>
        <v>3</v>
      </c>
    </row>
    <row r="1691">
      <c r="A1691" s="2" t="str">
        <f t="shared" si="1"/>
        <v>H030764</v>
      </c>
      <c r="B1691" s="1" t="s">
        <v>3867</v>
      </c>
      <c r="C1691" s="9" t="str">
        <f t="array" ref="C1691">IF(
  AND(
    IFERROR(MATCH(Caseslist!B1691, data!D:D, 0), 0) &gt; 0,
    IFERROR(INDEX(data!N:N, MATCH(Caseslist!B1691, data!D:D, 0)) = 1, FALSE)
  ),
  "COMPLETE",
  "INC"
)</f>
        <v>COMPLETE</v>
      </c>
      <c r="D1691" s="9">
        <f t="array" ref="D1691">IFERROR(INDEX(data!$G:$G,match(Caseslist!B1691,data!$D:$D,0)), "INC")</f>
        <v>896791</v>
      </c>
      <c r="E1691" s="9" t="str">
        <f t="array" ref="E1691">IFERROR(INDEX(data!H:H,match(Caseslist!B1691,data!D:D,0)), "INC")</f>
        <v>Roland A. Bandiola jr_2</v>
      </c>
      <c r="F1691" s="10" t="str">
        <f t="array" ref="F1691">IF(
    OR(
      IFNA(INDEX(data!M:M, MATCH(Caseslist!B1691, data!D:D, 0)), "") = "",
      IFNA(INDEX(data!M:M, MATCH(Caseslist!B1691, data!D:D, 0)), 0) = 0
    ),
    "COMPLETE",
    IF(
      IFNA(INDEX(dataICM!D:D, MATCH(Caseslist!B1691, dataICM!D:D, 0)), "INC") = "INC",
      IFNA(INDEX(dataICM!D:D, MATCH(Caseslist!B1691, dataICM!D:D, 0)), "INC"),
      "COMPLETE"
    )
  )</f>
        <v>COMPLETE</v>
      </c>
      <c r="G1691" s="10" t="str">
        <f t="array" ref="G1691">IF(IFERROR(INDEX(data!L:L,match(Caseslist!B1691,data!D:D,0)),"INC")="","COMPLETE",F1691)</f>
        <v>COMPLETE</v>
      </c>
      <c r="H1691" s="9" t="str">
        <f t="array" ref="H1691">IFERROR(INDEX(dataICM!F:F,match(Caseslist!B1691,dataICM!D:D,0)), "INC")</f>
        <v>Roland A. Bandiola jr_2</v>
      </c>
      <c r="I1691" s="10">
        <f t="shared" si="2"/>
        <v>896791</v>
      </c>
      <c r="J1691" s="9" t="str">
        <f t="array" ref="J1691">IF(
  AND(
    IFERROR(MATCH(B1691, data!D:D, 0), 0) &gt; 0,
    IFERROR(INDEX(data!N:N, MATCH(B1691, data!D:D, 0)) = 1, FALSE)
  ),
  INDEX(data!C:C, MATCH(B1691, data!D:D, 0)),
  "INC"
)</f>
        <v>2025-09-06T14:17:04.976+08</v>
      </c>
      <c r="K1691" s="9" t="str">
        <f t="array" ref="K1691">IFERROR(INDEX(dataICM!C:C,match(Caseslist!B1691,dataICM!D:D,0)), "INC")</f>
        <v>2025-09-06T17:11:30.043+08</v>
      </c>
      <c r="L1691" s="10" t="str">
        <f t="array" ref="L1691">IF(AND(G1691="COMPLETE", OR(K1691="INC", ISBLANK(INDEX(data!O:O, ROW())))), J1691, K1691)</f>
        <v>2025-09-06T17:11:30.043+08</v>
      </c>
      <c r="M1691" s="2">
        <v>45906.0</v>
      </c>
      <c r="N1691" s="2">
        <f t="array" ref="N1691">IF(M1691&lt;&gt;"INC", INDEX(data!M:M, MATCH(B1691, data!D:D, 0)), "")</f>
        <v>3</v>
      </c>
      <c r="O1691" s="2">
        <f t="shared" si="3"/>
        <v>3</v>
      </c>
    </row>
    <row r="1692">
      <c r="A1692" s="2" t="str">
        <f t="shared" si="1"/>
        <v>H030764</v>
      </c>
      <c r="B1692" s="1" t="s">
        <v>3777</v>
      </c>
      <c r="C1692" s="9" t="str">
        <f t="array" ref="C1692">IF(
  AND(
    IFERROR(MATCH(Caseslist!B1692, data!D:D, 0), 0) &gt; 0,
    IFERROR(INDEX(data!N:N, MATCH(Caseslist!B1692, data!D:D, 0)) = 1, FALSE)
  ),
  "COMPLETE",
  "INC"
)</f>
        <v>COMPLETE</v>
      </c>
      <c r="D1692" s="9">
        <f t="array" ref="D1692">IFERROR(INDEX(data!$G:$G,match(Caseslist!B1692,data!$D:$D,0)), "INC")</f>
        <v>896791</v>
      </c>
      <c r="E1692" s="9" t="str">
        <f t="array" ref="E1692">IFERROR(INDEX(data!H:H,match(Caseslist!B1692,data!D:D,0)), "INC")</f>
        <v>Roland A. Bandiola jr_2</v>
      </c>
      <c r="F1692" s="10" t="str">
        <f t="array" ref="F1692">IF(
    OR(
      IFNA(INDEX(data!M:M, MATCH(Caseslist!B1692, data!D:D, 0)), "") = "",
      IFNA(INDEX(data!M:M, MATCH(Caseslist!B1692, data!D:D, 0)), 0) = 0
    ),
    "COMPLETE",
    IF(
      IFNA(INDEX(dataICM!D:D, MATCH(Caseslist!B1692, dataICM!D:D, 0)), "INC") = "INC",
      IFNA(INDEX(dataICM!D:D, MATCH(Caseslist!B1692, dataICM!D:D, 0)), "INC"),
      "COMPLETE"
    )
  )</f>
        <v>COMPLETE</v>
      </c>
      <c r="G1692" s="10" t="str">
        <f t="array" ref="G1692">IF(IFERROR(INDEX(data!L:L,match(Caseslist!B1692,data!D:D,0)),"INC")="","COMPLETE",F1692)</f>
        <v>COMPLETE</v>
      </c>
      <c r="H1692" s="9" t="str">
        <f t="array" ref="H1692">IFERROR(INDEX(dataICM!F:F,match(Caseslist!B1692,dataICM!D:D,0)), "INC")</f>
        <v>Roland A. Bandiola jr_2</v>
      </c>
      <c r="I1692" s="10">
        <f t="shared" si="2"/>
        <v>896791</v>
      </c>
      <c r="J1692" s="9" t="str">
        <f t="array" ref="J1692">IF(
  AND(
    IFERROR(MATCH(B1692, data!D:D, 0), 0) &gt; 0,
    IFERROR(INDEX(data!N:N, MATCH(B1692, data!D:D, 0)) = 1, FALSE)
  ),
  INDEX(data!C:C, MATCH(B1692, data!D:D, 0)),
  "INC"
)</f>
        <v>2025-09-05T15:18:50.881+08</v>
      </c>
      <c r="K1692" s="9" t="str">
        <f t="array" ref="K1692">IFERROR(INDEX(dataICM!C:C,match(Caseslist!B1692,dataICM!D:D,0)), "INC")</f>
        <v>2025-09-05T15:22:39.626+08</v>
      </c>
      <c r="L1692" s="10" t="str">
        <f t="array" ref="L1692">IF(AND(G1692="COMPLETE", OR(K1692="INC", ISBLANK(INDEX(data!O:O, ROW())))), J1692, K1692)</f>
        <v>2025-09-05T15:22:39.626+08</v>
      </c>
      <c r="M1692" s="2">
        <v>45905.0</v>
      </c>
      <c r="N1692" s="2">
        <f t="array" ref="N1692">IF(M1692&lt;&gt;"INC", INDEX(data!M:M, MATCH(B1692, data!D:D, 0)), "")</f>
        <v>3</v>
      </c>
      <c r="O1692" s="2">
        <f t="shared" si="3"/>
        <v>3</v>
      </c>
    </row>
    <row r="1693">
      <c r="A1693" s="2" t="str">
        <f t="shared" si="1"/>
        <v>H030764</v>
      </c>
      <c r="B1693" s="1" t="s">
        <v>4337</v>
      </c>
      <c r="C1693" s="9" t="str">
        <f t="array" ref="C1693">IF(
  AND(
    IFERROR(MATCH(Caseslist!B1693, data!D:D, 0), 0) &gt; 0,
    IFERROR(INDEX(data!N:N, MATCH(Caseslist!B1693, data!D:D, 0)) = 1, FALSE)
  ),
  "COMPLETE",
  "INC"
)</f>
        <v>COMPLETE</v>
      </c>
      <c r="D1693" s="9" t="str">
        <f t="array" ref="D1693">IFERROR(INDEX(data!$G:$G,match(Caseslist!B1693,data!$D:$D,0)), "INC")</f>
        <v>C7502931</v>
      </c>
      <c r="E1693" s="9" t="str">
        <f t="array" ref="E1693">IFERROR(INDEX(data!H:H,match(Caseslist!B1693,data!D:D,0)), "INC")</f>
        <v>Jenny Lou Toles Estacio</v>
      </c>
      <c r="F1693" s="10" t="str">
        <f t="array" ref="F1693">IF(
    OR(
      IFNA(INDEX(data!M:M, MATCH(Caseslist!B1693, data!D:D, 0)), "") = "",
      IFNA(INDEX(data!M:M, MATCH(Caseslist!B1693, data!D:D, 0)), 0) = 0
    ),
    "COMPLETE",
    IF(
      IFNA(INDEX(dataICM!D:D, MATCH(Caseslist!B1693, dataICM!D:D, 0)), "INC") = "INC",
      IFNA(INDEX(dataICM!D:D, MATCH(Caseslist!B1693, dataICM!D:D, 0)), "INC"),
      "COMPLETE"
    )
  )</f>
        <v>COMPLETE</v>
      </c>
      <c r="G1693" s="10" t="str">
        <f t="array" ref="G1693">IF(IFERROR(INDEX(data!L:L,match(Caseslist!B1693,data!D:D,0)),"INC")="","COMPLETE",F1693)</f>
        <v>COMPLETE</v>
      </c>
      <c r="H1693" s="9" t="str">
        <f t="array" ref="H1693">IFERROR(INDEX(dataICM!F:F,match(Caseslist!B1693,dataICM!D:D,0)), "INC")</f>
        <v>Jenny Lou Toles Estacio</v>
      </c>
      <c r="I1693" s="10" t="str">
        <f t="shared" si="2"/>
        <v>C7502931</v>
      </c>
      <c r="J1693" s="9" t="str">
        <f t="array" ref="J1693">IF(
  AND(
    IFERROR(MATCH(B1693, data!D:D, 0), 0) &gt; 0,
    IFERROR(INDEX(data!N:N, MATCH(B1693, data!D:D, 0)) = 1, FALSE)
  ),
  INDEX(data!C:C, MATCH(B1693, data!D:D, 0)),
  "INC"
)</f>
        <v>2025-09-06T12:55:02.817+08</v>
      </c>
      <c r="K1693" s="9" t="str">
        <f t="array" ref="K1693">IFERROR(INDEX(dataICM!C:C,match(Caseslist!B1693,dataICM!D:D,0)), "INC")</f>
        <v>2025-09-06T16:57:38.845+08</v>
      </c>
      <c r="L1693" s="10" t="str">
        <f t="array" ref="L1693">IF(AND(G1693="COMPLETE", OR(K1693="INC", ISBLANK(INDEX(data!O:O, ROW())))), J1693, K1693)</f>
        <v>2025-09-06T16:57:38.845+08</v>
      </c>
      <c r="M1693" s="2">
        <v>45906.0</v>
      </c>
      <c r="N1693" s="2">
        <f t="array" ref="N1693">IF(M1693&lt;&gt;"INC", INDEX(data!M:M, MATCH(B1693, data!D:D, 0)), "")</f>
        <v>3</v>
      </c>
      <c r="O1693" s="2">
        <f t="shared" si="3"/>
        <v>3</v>
      </c>
    </row>
    <row r="1694">
      <c r="A1694" s="2" t="str">
        <f t="shared" si="1"/>
        <v>H030774</v>
      </c>
      <c r="B1694" s="1" t="s">
        <v>5733</v>
      </c>
      <c r="C1694" s="9" t="str">
        <f t="array" ref="C1694">IF(
  AND(
    IFERROR(MATCH(Caseslist!B1694, data!D:D, 0), 0) &gt; 0,
    IFERROR(INDEX(data!N:N, MATCH(Caseslist!B1694, data!D:D, 0)) = 1, FALSE)
  ),
  "COMPLETE",
  "INC"
)</f>
        <v>COMPLETE</v>
      </c>
      <c r="D1694" s="9" t="str">
        <f t="array" ref="D1694">IFERROR(INDEX(data!$G:$G,match(Caseslist!B1694,data!$D:$D,0)), "INC")</f>
        <v>D1284067</v>
      </c>
      <c r="E1694" s="9" t="str">
        <f t="array" ref="E1694">IFERROR(INDEX(data!H:H,match(Caseslist!B1694,data!D:D,0)), "INC")</f>
        <v>Mariel Del Rio</v>
      </c>
      <c r="F1694" s="10" t="str">
        <f t="array" ref="F1694">IF(
    OR(
      IFNA(INDEX(data!M:M, MATCH(Caseslist!B1694, data!D:D, 0)), "") = "",
      IFNA(INDEX(data!M:M, MATCH(Caseslist!B1694, data!D:D, 0)), 0) = 0
    ),
    "COMPLETE",
    IF(
      IFNA(INDEX(dataICM!D:D, MATCH(Caseslist!B1694, dataICM!D:D, 0)), "INC") = "INC",
      IFNA(INDEX(dataICM!D:D, MATCH(Caseslist!B1694, dataICM!D:D, 0)), "INC"),
      "COMPLETE"
    )
  )</f>
        <v>COMPLETE</v>
      </c>
      <c r="G1694" s="10" t="str">
        <f t="array" ref="G1694">IF(IFERROR(INDEX(data!L:L,match(Caseslist!B1694,data!D:D,0)),"INC")="","COMPLETE",F1694)</f>
        <v>COMPLETE</v>
      </c>
      <c r="H1694" s="9" t="str">
        <f t="array" ref="H1694">IFERROR(INDEX(dataICM!F:F,match(Caseslist!B1694,dataICM!D:D,0)), "INC")</f>
        <v>Mariel Del Rio</v>
      </c>
      <c r="I1694" s="10" t="str">
        <f t="shared" si="2"/>
        <v>D1284067</v>
      </c>
      <c r="J1694" s="9" t="str">
        <f t="array" ref="J1694">IF(
  AND(
    IFERROR(MATCH(B1694, data!D:D, 0), 0) &gt; 0,
    IFERROR(INDEX(data!N:N, MATCH(B1694, data!D:D, 0)) = 1, FALSE)
  ),
  INDEX(data!C:C, MATCH(B1694, data!D:D, 0)),
  "INC"
)</f>
        <v>2025-09-13T09:41:15.408+08</v>
      </c>
      <c r="K1694" s="9" t="str">
        <f t="array" ref="K1694">IFERROR(INDEX(dataICM!C:C,match(Caseslist!B1694,dataICM!D:D,0)), "INC")</f>
        <v>2025-09-13T10:40:33.731+08</v>
      </c>
      <c r="L1694" s="10" t="str">
        <f t="array" ref="L1694">IF(AND(G1694="COMPLETE", OR(K1694="INC", ISBLANK(INDEX(data!O:O, ROW())))), J1694, K1694)</f>
        <v>2025-09-13T10:40:33.731+08</v>
      </c>
      <c r="M1694" s="2">
        <v>45913.0</v>
      </c>
      <c r="N1694" s="2">
        <f t="array" ref="N1694">IF(M1694&lt;&gt;"INC", INDEX(data!M:M, MATCH(B1694, data!D:D, 0)), "")</f>
        <v>3</v>
      </c>
      <c r="O1694" s="2">
        <f t="shared" si="3"/>
        <v>3</v>
      </c>
    </row>
    <row r="1695">
      <c r="A1695" s="2" t="str">
        <f t="shared" si="1"/>
        <v>H030774</v>
      </c>
      <c r="B1695" s="1" t="s">
        <v>5738</v>
      </c>
      <c r="C1695" s="9" t="str">
        <f t="array" ref="C1695">IF(
  AND(
    IFERROR(MATCH(Caseslist!B1695, data!D:D, 0), 0) &gt; 0,
    IFERROR(INDEX(data!N:N, MATCH(Caseslist!B1695, data!D:D, 0)) = 1, FALSE)
  ),
  "COMPLETE",
  "INC"
)</f>
        <v>COMPLETE</v>
      </c>
      <c r="D1695" s="9">
        <f t="array" ref="D1695">IFERROR(INDEX(data!$G:$G,match(Caseslist!B1695,data!$D:$D,0)), "INC")</f>
        <v>896791</v>
      </c>
      <c r="E1695" s="9" t="str">
        <f t="array" ref="E1695">IFERROR(INDEX(data!H:H,match(Caseslist!B1695,data!D:D,0)), "INC")</f>
        <v>Roland A. Bandiola jr_2</v>
      </c>
      <c r="F1695" s="10" t="str">
        <f t="array" ref="F1695">IF(
    OR(
      IFNA(INDEX(data!M:M, MATCH(Caseslist!B1695, data!D:D, 0)), "") = "",
      IFNA(INDEX(data!M:M, MATCH(Caseslist!B1695, data!D:D, 0)), 0) = 0
    ),
    "COMPLETE",
    IF(
      IFNA(INDEX(dataICM!D:D, MATCH(Caseslist!B1695, dataICM!D:D, 0)), "INC") = "INC",
      IFNA(INDEX(dataICM!D:D, MATCH(Caseslist!B1695, dataICM!D:D, 0)), "INC"),
      "COMPLETE"
    )
  )</f>
        <v>COMPLETE</v>
      </c>
      <c r="G1695" s="10" t="str">
        <f t="array" ref="G1695">IF(IFERROR(INDEX(data!L:L,match(Caseslist!B1695,data!D:D,0)),"INC")="","COMPLETE",F1695)</f>
        <v>COMPLETE</v>
      </c>
      <c r="H1695" s="9" t="str">
        <f t="array" ref="H1695">IFERROR(INDEX(dataICM!F:F,match(Caseslist!B1695,dataICM!D:D,0)), "INC")</f>
        <v>Roland A. Bandiola jr_2</v>
      </c>
      <c r="I1695" s="10">
        <f t="shared" si="2"/>
        <v>896791</v>
      </c>
      <c r="J1695" s="9" t="str">
        <f t="array" ref="J1695">IF(
  AND(
    IFERROR(MATCH(B1695, data!D:D, 0), 0) &gt; 0,
    IFERROR(INDEX(data!N:N, MATCH(B1695, data!D:D, 0)) = 1, FALSE)
  ),
  INDEX(data!C:C, MATCH(B1695, data!D:D, 0)),
  "INC"
)</f>
        <v>2025-09-13T09:52:54.941+08</v>
      </c>
      <c r="K1695" s="9" t="str">
        <f t="array" ref="K1695">IFERROR(INDEX(dataICM!C:C,match(Caseslist!B1695,dataICM!D:D,0)), "INC")</f>
        <v>2025-09-13T18:07:43.051+08</v>
      </c>
      <c r="L1695" s="10" t="str">
        <f t="array" ref="L1695">IF(AND(G1695="COMPLETE", OR(K1695="INC", ISBLANK(INDEX(data!O:O, ROW())))), J1695, K1695)</f>
        <v>2025-09-13T18:07:43.051+08</v>
      </c>
      <c r="M1695" s="2">
        <v>45913.0</v>
      </c>
      <c r="N1695" s="2">
        <f t="array" ref="N1695">IF(M1695&lt;&gt;"INC", INDEX(data!M:M, MATCH(B1695, data!D:D, 0)), "")</f>
        <v>3</v>
      </c>
      <c r="O1695" s="2">
        <f t="shared" si="3"/>
        <v>3</v>
      </c>
    </row>
    <row r="1696">
      <c r="A1696" s="2" t="str">
        <f t="shared" si="1"/>
        <v>H030774</v>
      </c>
      <c r="B1696" s="1" t="s">
        <v>5648</v>
      </c>
      <c r="C1696" s="9" t="str">
        <f t="array" ref="C1696">IF(
  AND(
    IFERROR(MATCH(Caseslist!B1696, data!D:D, 0), 0) &gt; 0,
    IFERROR(INDEX(data!N:N, MATCH(Caseslist!B1696, data!D:D, 0)) = 1, FALSE)
  ),
  "COMPLETE",
  "INC"
)</f>
        <v>COMPLETE</v>
      </c>
      <c r="D1696" s="9" t="str">
        <f t="array" ref="D1696">IFERROR(INDEX(data!$G:$G,match(Caseslist!B1696,data!$D:$D,0)), "INC")</f>
        <v>B8193462</v>
      </c>
      <c r="E1696" s="9" t="str">
        <f t="array" ref="E1696">IFERROR(INDEX(data!H:H,match(Caseslist!B1696,data!D:D,0)), "INC")</f>
        <v>Mark Lorens Mendoza Gilongo</v>
      </c>
      <c r="F1696" s="10" t="str">
        <f t="array" ref="F1696">IF(
    OR(
      IFNA(INDEX(data!M:M, MATCH(Caseslist!B1696, data!D:D, 0)), "") = "",
      IFNA(INDEX(data!M:M, MATCH(Caseslist!B1696, data!D:D, 0)), 0) = 0
    ),
    "COMPLETE",
    IF(
      IFNA(INDEX(dataICM!D:D, MATCH(Caseslist!B1696, dataICM!D:D, 0)), "INC") = "INC",
      IFNA(INDEX(dataICM!D:D, MATCH(Caseslist!B1696, dataICM!D:D, 0)), "INC"),
      "COMPLETE"
    )
  )</f>
        <v>COMPLETE</v>
      </c>
      <c r="G1696" s="10" t="str">
        <f t="array" ref="G1696">IF(IFERROR(INDEX(data!L:L,match(Caseslist!B1696,data!D:D,0)),"INC")="","COMPLETE",F1696)</f>
        <v>COMPLETE</v>
      </c>
      <c r="H1696" s="9" t="str">
        <f t="array" ref="H1696">IFERROR(INDEX(dataICM!F:F,match(Caseslist!B1696,dataICM!D:D,0)), "INC")</f>
        <v>Mark Lorens Mendoza Gilongo</v>
      </c>
      <c r="I1696" s="10" t="str">
        <f t="shared" si="2"/>
        <v>B8193462</v>
      </c>
      <c r="J1696" s="9" t="str">
        <f t="array" ref="J1696">IF(
  AND(
    IFERROR(MATCH(B1696, data!D:D, 0), 0) &gt; 0,
    IFERROR(INDEX(data!N:N, MATCH(B1696, data!D:D, 0)) = 1, FALSE)
  ),
  INDEX(data!C:C, MATCH(B1696, data!D:D, 0)),
  "INC"
)</f>
        <v>2025-09-12T10:46:00.186+08</v>
      </c>
      <c r="K1696" s="9" t="str">
        <f t="array" ref="K1696">IFERROR(INDEX(dataICM!C:C,match(Caseslist!B1696,dataICM!D:D,0)), "INC")</f>
        <v>2025-09-12T15:38:55.298+08</v>
      </c>
      <c r="L1696" s="10" t="str">
        <f t="array" ref="L1696">IF(AND(G1696="COMPLETE", OR(K1696="INC", ISBLANK(INDEX(data!O:O, ROW())))), J1696, K1696)</f>
        <v>2025-09-12T15:38:55.298+08</v>
      </c>
      <c r="M1696" s="2">
        <v>45912.0</v>
      </c>
      <c r="N1696" s="2">
        <f t="array" ref="N1696">IF(M1696&lt;&gt;"INC", INDEX(data!M:M, MATCH(B1696, data!D:D, 0)), "")</f>
        <v>3</v>
      </c>
      <c r="O1696" s="2">
        <f t="shared" si="3"/>
        <v>3</v>
      </c>
    </row>
    <row r="1697">
      <c r="A1697" s="2" t="str">
        <f t="shared" si="1"/>
        <v>H030774</v>
      </c>
      <c r="B1697" s="1" t="s">
        <v>5653</v>
      </c>
      <c r="C1697" s="9" t="str">
        <f t="array" ref="C1697">IF(
  AND(
    IFERROR(MATCH(Caseslist!B1697, data!D:D, 0), 0) &gt; 0,
    IFERROR(INDEX(data!N:N, MATCH(Caseslist!B1697, data!D:D, 0)) = 1, FALSE)
  ),
  "COMPLETE",
  "INC"
)</f>
        <v>COMPLETE</v>
      </c>
      <c r="D1697" s="9" t="str">
        <f t="array" ref="D1697">IFERROR(INDEX(data!$G:$G,match(Caseslist!B1697,data!$D:$D,0)), "INC")</f>
        <v>B8193462</v>
      </c>
      <c r="E1697" s="9" t="str">
        <f t="array" ref="E1697">IFERROR(INDEX(data!H:H,match(Caseslist!B1697,data!D:D,0)), "INC")</f>
        <v>Mark Lorens Mendoza Gilongo</v>
      </c>
      <c r="F1697" s="10" t="str">
        <f t="array" ref="F1697">IF(
    OR(
      IFNA(INDEX(data!M:M, MATCH(Caseslist!B1697, data!D:D, 0)), "") = "",
      IFNA(INDEX(data!M:M, MATCH(Caseslist!B1697, data!D:D, 0)), 0) = 0
    ),
    "COMPLETE",
    IF(
      IFNA(INDEX(dataICM!D:D, MATCH(Caseslist!B1697, dataICM!D:D, 0)), "INC") = "INC",
      IFNA(INDEX(dataICM!D:D, MATCH(Caseslist!B1697, dataICM!D:D, 0)), "INC"),
      "COMPLETE"
    )
  )</f>
        <v>COMPLETE</v>
      </c>
      <c r="G1697" s="10" t="str">
        <f t="array" ref="G1697">IF(IFERROR(INDEX(data!L:L,match(Caseslist!B1697,data!D:D,0)),"INC")="","COMPLETE",F1697)</f>
        <v>COMPLETE</v>
      </c>
      <c r="H1697" s="9" t="str">
        <f t="array" ref="H1697">IFERROR(INDEX(dataICM!F:F,match(Caseslist!B1697,dataICM!D:D,0)), "INC")</f>
        <v>Mark Lorens Mendoza Gilongo</v>
      </c>
      <c r="I1697" s="10" t="str">
        <f t="shared" si="2"/>
        <v>B8193462</v>
      </c>
      <c r="J1697" s="9" t="str">
        <f t="array" ref="J1697">IF(
  AND(
    IFERROR(MATCH(B1697, data!D:D, 0), 0) &gt; 0,
    IFERROR(INDEX(data!N:N, MATCH(B1697, data!D:D, 0)) = 1, FALSE)
  ),
  INDEX(data!C:C, MATCH(B1697, data!D:D, 0)),
  "INC"
)</f>
        <v>2025-09-12T12:35:12.068+08</v>
      </c>
      <c r="K1697" s="9" t="str">
        <f t="array" ref="K1697">IFERROR(INDEX(dataICM!C:C,match(Caseslist!B1697,dataICM!D:D,0)), "INC")</f>
        <v>2025-09-12T17:44:01.096+08</v>
      </c>
      <c r="L1697" s="10" t="str">
        <f t="array" ref="L1697">IF(AND(G1697="COMPLETE", OR(K1697="INC", ISBLANK(INDEX(data!O:O, ROW())))), J1697, K1697)</f>
        <v>2025-09-12T17:44:01.096+08</v>
      </c>
      <c r="M1697" s="2">
        <v>45912.0</v>
      </c>
      <c r="N1697" s="2">
        <f t="array" ref="N1697">IF(M1697&lt;&gt;"INC", INDEX(data!M:M, MATCH(B1697, data!D:D, 0)), "")</f>
        <v>3</v>
      </c>
      <c r="O1697" s="2">
        <f t="shared" si="3"/>
        <v>3</v>
      </c>
    </row>
    <row r="1698">
      <c r="A1698" s="2" t="str">
        <f t="shared" si="1"/>
        <v>H030774</v>
      </c>
      <c r="B1698" s="1" t="s">
        <v>5708</v>
      </c>
      <c r="C1698" s="9" t="str">
        <f t="array" ref="C1698">IF(
  AND(
    IFERROR(MATCH(Caseslist!B1698, data!D:D, 0), 0) &gt; 0,
    IFERROR(INDEX(data!N:N, MATCH(Caseslist!B1698, data!D:D, 0)) = 1, FALSE)
  ),
  "COMPLETE",
  "INC"
)</f>
        <v>COMPLETE</v>
      </c>
      <c r="D1698" s="9" t="str">
        <f t="array" ref="D1698">IFERROR(INDEX(data!$G:$G,match(Caseslist!B1698,data!$D:$D,0)), "INC")</f>
        <v>C7502931</v>
      </c>
      <c r="E1698" s="9" t="str">
        <f t="array" ref="E1698">IFERROR(INDEX(data!H:H,match(Caseslist!B1698,data!D:D,0)), "INC")</f>
        <v>Jenny Lou Toles Estacio</v>
      </c>
      <c r="F1698" s="10" t="str">
        <f t="array" ref="F1698">IF(
    OR(
      IFNA(INDEX(data!M:M, MATCH(Caseslist!B1698, data!D:D, 0)), "") = "",
      IFNA(INDEX(data!M:M, MATCH(Caseslist!B1698, data!D:D, 0)), 0) = 0
    ),
    "COMPLETE",
    IF(
      IFNA(INDEX(dataICM!D:D, MATCH(Caseslist!B1698, dataICM!D:D, 0)), "INC") = "INC",
      IFNA(INDEX(dataICM!D:D, MATCH(Caseslist!B1698, dataICM!D:D, 0)), "INC"),
      "COMPLETE"
    )
  )</f>
        <v>COMPLETE</v>
      </c>
      <c r="G1698" s="10" t="str">
        <f t="array" ref="G1698">IF(IFERROR(INDEX(data!L:L,match(Caseslist!B1698,data!D:D,0)),"INC")="","COMPLETE",F1698)</f>
        <v>COMPLETE</v>
      </c>
      <c r="H1698" s="9" t="str">
        <f t="array" ref="H1698">IFERROR(INDEX(dataICM!F:F,match(Caseslist!B1698,dataICM!D:D,0)), "INC")</f>
        <v>Jenny Lou Toles Estacio</v>
      </c>
      <c r="I1698" s="10" t="str">
        <f t="shared" si="2"/>
        <v>C7502931</v>
      </c>
      <c r="J1698" s="9" t="str">
        <f t="array" ref="J1698">IF(
  AND(
    IFERROR(MATCH(B1698, data!D:D, 0), 0) &gt; 0,
    IFERROR(INDEX(data!N:N, MATCH(B1698, data!D:D, 0)) = 1, FALSE)
  ),
  INDEX(data!C:C, MATCH(B1698, data!D:D, 0)),
  "INC"
)</f>
        <v>2025-09-12T12:21:54.887+08</v>
      </c>
      <c r="K1698" s="9" t="str">
        <f t="array" ref="K1698">IFERROR(INDEX(dataICM!C:C,match(Caseslist!B1698,dataICM!D:D,0)), "INC")</f>
        <v>2025-09-12T15:50:13.168+08</v>
      </c>
      <c r="L1698" s="10" t="str">
        <f t="array" ref="L1698">IF(AND(G1698="COMPLETE", OR(K1698="INC", ISBLANK(INDEX(data!O:O, ROW())))), J1698, K1698)</f>
        <v>2025-09-12T15:50:13.168+08</v>
      </c>
      <c r="M1698" s="2">
        <v>45912.0</v>
      </c>
      <c r="N1698" s="2">
        <f t="array" ref="N1698">IF(M1698&lt;&gt;"INC", INDEX(data!M:M, MATCH(B1698, data!D:D, 0)), "")</f>
        <v>3</v>
      </c>
      <c r="O1698" s="2">
        <f t="shared" si="3"/>
        <v>3</v>
      </c>
    </row>
    <row r="1699">
      <c r="A1699" s="2" t="str">
        <f t="shared" si="1"/>
        <v>H030774</v>
      </c>
      <c r="B1699" s="1" t="s">
        <v>5633</v>
      </c>
      <c r="C1699" s="9" t="str">
        <f t="array" ref="C1699">IF(
  AND(
    IFERROR(MATCH(Caseslist!B1699, data!D:D, 0), 0) &gt; 0,
    IFERROR(INDEX(data!N:N, MATCH(Caseslist!B1699, data!D:D, 0)) = 1, FALSE)
  ),
  "COMPLETE",
  "INC"
)</f>
        <v>COMPLETE</v>
      </c>
      <c r="D1699" s="9">
        <f t="array" ref="D1699">IFERROR(INDEX(data!$G:$G,match(Caseslist!B1699,data!$D:$D,0)), "INC")</f>
        <v>896791</v>
      </c>
      <c r="E1699" s="9" t="str">
        <f t="array" ref="E1699">IFERROR(INDEX(data!H:H,match(Caseslist!B1699,data!D:D,0)), "INC")</f>
        <v>Roland A. Bandiola jr_2</v>
      </c>
      <c r="F1699" s="10" t="str">
        <f t="array" ref="F1699">IF(
    OR(
      IFNA(INDEX(data!M:M, MATCH(Caseslist!B1699, data!D:D, 0)), "") = "",
      IFNA(INDEX(data!M:M, MATCH(Caseslist!B1699, data!D:D, 0)), 0) = 0
    ),
    "COMPLETE",
    IF(
      IFNA(INDEX(dataICM!D:D, MATCH(Caseslist!B1699, dataICM!D:D, 0)), "INC") = "INC",
      IFNA(INDEX(dataICM!D:D, MATCH(Caseslist!B1699, dataICM!D:D, 0)), "INC"),
      "COMPLETE"
    )
  )</f>
        <v>COMPLETE</v>
      </c>
      <c r="G1699" s="10" t="str">
        <f t="array" ref="G1699">IF(IFERROR(INDEX(data!L:L,match(Caseslist!B1699,data!D:D,0)),"INC")="","COMPLETE",F1699)</f>
        <v>COMPLETE</v>
      </c>
      <c r="H1699" s="9" t="str">
        <f t="array" ref="H1699">IFERROR(INDEX(dataICM!F:F,match(Caseslist!B1699,dataICM!D:D,0)), "INC")</f>
        <v>Roland A. Bandiola jr_2</v>
      </c>
      <c r="I1699" s="10">
        <f t="shared" si="2"/>
        <v>896791</v>
      </c>
      <c r="J1699" s="9" t="str">
        <f t="array" ref="J1699">IF(
  AND(
    IFERROR(MATCH(B1699, data!D:D, 0), 0) &gt; 0,
    IFERROR(INDEX(data!N:N, MATCH(B1699, data!D:D, 0)) = 1, FALSE)
  ),
  INDEX(data!C:C, MATCH(B1699, data!D:D, 0)),
  "INC"
)</f>
        <v>2025-09-12T13:01:52.137+08</v>
      </c>
      <c r="K1699" s="9" t="str">
        <f t="array" ref="K1699">IFERROR(INDEX(dataICM!C:C,match(Caseslist!B1699,dataICM!D:D,0)), "INC")</f>
        <v>2025-09-12T15:32:30.844+08</v>
      </c>
      <c r="L1699" s="10" t="str">
        <f t="array" ref="L1699">IF(AND(G1699="COMPLETE", OR(K1699="INC", ISBLANK(INDEX(data!O:O, ROW())))), J1699, K1699)</f>
        <v>2025-09-12T15:32:30.844+08</v>
      </c>
      <c r="M1699" s="2">
        <v>45912.0</v>
      </c>
      <c r="N1699" s="2">
        <f t="array" ref="N1699">IF(M1699&lt;&gt;"INC", INDEX(data!M:M, MATCH(B1699, data!D:D, 0)), "")</f>
        <v>3</v>
      </c>
      <c r="O1699" s="2">
        <f t="shared" si="3"/>
        <v>3</v>
      </c>
    </row>
    <row r="1700">
      <c r="A1700" s="2" t="str">
        <f t="shared" si="1"/>
        <v>H030774</v>
      </c>
      <c r="B1700" s="1" t="s">
        <v>5658</v>
      </c>
      <c r="C1700" s="9" t="str">
        <f t="array" ref="C1700">IF(
  AND(
    IFERROR(MATCH(Caseslist!B1700, data!D:D, 0), 0) &gt; 0,
    IFERROR(INDEX(data!N:N, MATCH(Caseslist!B1700, data!D:D, 0)) = 1, FALSE)
  ),
  "COMPLETE",
  "INC"
)</f>
        <v>COMPLETE</v>
      </c>
      <c r="D1700" s="9" t="str">
        <f t="array" ref="D1700">IFERROR(INDEX(data!$G:$G,match(Caseslist!B1700,data!$D:$D,0)), "INC")</f>
        <v>B8193462</v>
      </c>
      <c r="E1700" s="9" t="str">
        <f t="array" ref="E1700">IFERROR(INDEX(data!H:H,match(Caseslist!B1700,data!D:D,0)), "INC")</f>
        <v>Mark Lorens Mendoza Gilongo</v>
      </c>
      <c r="F1700" s="10" t="str">
        <f t="array" ref="F1700">IF(
    OR(
      IFNA(INDEX(data!M:M, MATCH(Caseslist!B1700, data!D:D, 0)), "") = "",
      IFNA(INDEX(data!M:M, MATCH(Caseslist!B1700, data!D:D, 0)), 0) = 0
    ),
    "COMPLETE",
    IF(
      IFNA(INDEX(dataICM!D:D, MATCH(Caseslist!B1700, dataICM!D:D, 0)), "INC") = "INC",
      IFNA(INDEX(dataICM!D:D, MATCH(Caseslist!B1700, dataICM!D:D, 0)), "INC"),
      "COMPLETE"
    )
  )</f>
        <v>COMPLETE</v>
      </c>
      <c r="G1700" s="10" t="str">
        <f t="array" ref="G1700">IF(IFERROR(INDEX(data!L:L,match(Caseslist!B1700,data!D:D,0)),"INC")="","COMPLETE",F1700)</f>
        <v>COMPLETE</v>
      </c>
      <c r="H1700" s="9" t="str">
        <f t="array" ref="H1700">IFERROR(INDEX(dataICM!F:F,match(Caseslist!B1700,dataICM!D:D,0)), "INC")</f>
        <v>Mark Lorens Mendoza Gilongo</v>
      </c>
      <c r="I1700" s="10" t="str">
        <f t="shared" si="2"/>
        <v>B8193462</v>
      </c>
      <c r="J1700" s="9" t="str">
        <f t="array" ref="J1700">IF(
  AND(
    IFERROR(MATCH(B1700, data!D:D, 0), 0) &gt; 0,
    IFERROR(INDEX(data!N:N, MATCH(B1700, data!D:D, 0)) = 1, FALSE)
  ),
  INDEX(data!C:C, MATCH(B1700, data!D:D, 0)),
  "INC"
)</f>
        <v>2025-10-02T19:48:53.070+08</v>
      </c>
      <c r="K1700" s="9" t="str">
        <f t="array" ref="K1700">IFERROR(INDEX(dataICM!C:C,match(Caseslist!B1700,dataICM!D:D,0)), "INC")</f>
        <v>2025-10-03T12:42:23.271+08</v>
      </c>
      <c r="L1700" s="10" t="str">
        <f t="array" ref="L1700">IF(AND(G1700="COMPLETE", OR(K1700="INC", ISBLANK(INDEX(data!O:O, ROW())))), J1700, K1700)</f>
        <v>2025-10-03T12:42:23.271+08</v>
      </c>
      <c r="M1700" s="2">
        <v>45933.0</v>
      </c>
      <c r="N1700" s="2">
        <f t="array" ref="N1700">IF(M1700&lt;&gt;"INC", INDEX(data!M:M, MATCH(B1700, data!D:D, 0)), "")</f>
        <v>3</v>
      </c>
      <c r="O1700" s="2">
        <f t="shared" si="3"/>
        <v>3</v>
      </c>
    </row>
    <row r="1701">
      <c r="A1701" s="2" t="str">
        <f t="shared" si="1"/>
        <v>H030774</v>
      </c>
      <c r="B1701" s="1" t="s">
        <v>5703</v>
      </c>
      <c r="C1701" s="9" t="str">
        <f t="array" ref="C1701">IF(
  AND(
    IFERROR(MATCH(Caseslist!B1701, data!D:D, 0), 0) &gt; 0,
    IFERROR(INDEX(data!N:N, MATCH(Caseslist!B1701, data!D:D, 0)) = 1, FALSE)
  ),
  "COMPLETE",
  "INC"
)</f>
        <v>COMPLETE</v>
      </c>
      <c r="D1701" s="9" t="str">
        <f t="array" ref="D1701">IFERROR(INDEX(data!$G:$G,match(Caseslist!B1701,data!$D:$D,0)), "INC")</f>
        <v>C7502931</v>
      </c>
      <c r="E1701" s="9" t="str">
        <f t="array" ref="E1701">IFERROR(INDEX(data!H:H,match(Caseslist!B1701,data!D:D,0)), "INC")</f>
        <v>Jenny Lou Toles Estacio</v>
      </c>
      <c r="F1701" s="10" t="str">
        <f t="array" ref="F1701">IF(
    OR(
      IFNA(INDEX(data!M:M, MATCH(Caseslist!B1701, data!D:D, 0)), "") = "",
      IFNA(INDEX(data!M:M, MATCH(Caseslist!B1701, data!D:D, 0)), 0) = 0
    ),
    "COMPLETE",
    IF(
      IFNA(INDEX(dataICM!D:D, MATCH(Caseslist!B1701, dataICM!D:D, 0)), "INC") = "INC",
      IFNA(INDEX(dataICM!D:D, MATCH(Caseslist!B1701, dataICM!D:D, 0)), "INC"),
      "COMPLETE"
    )
  )</f>
        <v>COMPLETE</v>
      </c>
      <c r="G1701" s="10" t="str">
        <f t="array" ref="G1701">IF(IFERROR(INDEX(data!L:L,match(Caseslist!B1701,data!D:D,0)),"INC")="","COMPLETE",F1701)</f>
        <v>COMPLETE</v>
      </c>
      <c r="H1701" s="9" t="str">
        <f t="array" ref="H1701">IFERROR(INDEX(dataICM!F:F,match(Caseslist!B1701,dataICM!D:D,0)), "INC")</f>
        <v>Jenny Lou Toles Estacio</v>
      </c>
      <c r="I1701" s="10" t="str">
        <f t="shared" si="2"/>
        <v>C7502931</v>
      </c>
      <c r="J1701" s="9" t="str">
        <f t="array" ref="J1701">IF(
  AND(
    IFERROR(MATCH(B1701, data!D:D, 0), 0) &gt; 0,
    IFERROR(INDEX(data!N:N, MATCH(B1701, data!D:D, 0)) = 1, FALSE)
  ),
  INDEX(data!C:C, MATCH(B1701, data!D:D, 0)),
  "INC"
)</f>
        <v>2025-09-12T10:35:23.222+08</v>
      </c>
      <c r="K1701" s="9" t="str">
        <f t="array" ref="K1701">IFERROR(INDEX(dataICM!C:C,match(Caseslist!B1701,dataICM!D:D,0)), "INC")</f>
        <v>2025-09-12T15:49:19.530+08</v>
      </c>
      <c r="L1701" s="10" t="str">
        <f t="array" ref="L1701">IF(AND(G1701="COMPLETE", OR(K1701="INC", ISBLANK(INDEX(data!O:O, ROW())))), J1701, K1701)</f>
        <v>2025-09-12T15:49:19.530+08</v>
      </c>
      <c r="M1701" s="2">
        <v>45912.0</v>
      </c>
      <c r="N1701" s="2">
        <f t="array" ref="N1701">IF(M1701&lt;&gt;"INC", INDEX(data!M:M, MATCH(B1701, data!D:D, 0)), "")</f>
        <v>3</v>
      </c>
      <c r="O1701" s="2">
        <f t="shared" si="3"/>
        <v>3</v>
      </c>
    </row>
    <row r="1702">
      <c r="A1702" s="2" t="str">
        <f t="shared" si="1"/>
        <v>H030774</v>
      </c>
      <c r="B1702" s="1" t="s">
        <v>5723</v>
      </c>
      <c r="C1702" s="9" t="str">
        <f t="array" ref="C1702">IF(
  AND(
    IFERROR(MATCH(Caseslist!B1702, data!D:D, 0), 0) &gt; 0,
    IFERROR(INDEX(data!N:N, MATCH(Caseslist!B1702, data!D:D, 0)) = 1, FALSE)
  ),
  "COMPLETE",
  "INC"
)</f>
        <v>COMPLETE</v>
      </c>
      <c r="D1702" s="9" t="str">
        <f t="array" ref="D1702">IFERROR(INDEX(data!$G:$G,match(Caseslist!B1702,data!$D:$D,0)), "INC")</f>
        <v>D1284067</v>
      </c>
      <c r="E1702" s="9" t="str">
        <f t="array" ref="E1702">IFERROR(INDEX(data!H:H,match(Caseslist!B1702,data!D:D,0)), "INC")</f>
        <v>Mariel Del Rio</v>
      </c>
      <c r="F1702" s="10" t="str">
        <f t="array" ref="F1702">IF(
    OR(
      IFNA(INDEX(data!M:M, MATCH(Caseslist!B1702, data!D:D, 0)), "") = "",
      IFNA(INDEX(data!M:M, MATCH(Caseslist!B1702, data!D:D, 0)), 0) = 0
    ),
    "COMPLETE",
    IF(
      IFNA(INDEX(dataICM!D:D, MATCH(Caseslist!B1702, dataICM!D:D, 0)), "INC") = "INC",
      IFNA(INDEX(dataICM!D:D, MATCH(Caseslist!B1702, dataICM!D:D, 0)), "INC"),
      "COMPLETE"
    )
  )</f>
        <v>COMPLETE</v>
      </c>
      <c r="G1702" s="10" t="str">
        <f t="array" ref="G1702">IF(IFERROR(INDEX(data!L:L,match(Caseslist!B1702,data!D:D,0)),"INC")="","COMPLETE",F1702)</f>
        <v>COMPLETE</v>
      </c>
      <c r="H1702" s="9" t="str">
        <f t="array" ref="H1702">IFERROR(INDEX(dataICM!F:F,match(Caseslist!B1702,dataICM!D:D,0)), "INC")</f>
        <v>Mariel Del Rio</v>
      </c>
      <c r="I1702" s="10" t="str">
        <f t="shared" si="2"/>
        <v>D1284067</v>
      </c>
      <c r="J1702" s="9" t="str">
        <f t="array" ref="J1702">IF(
  AND(
    IFERROR(MATCH(B1702, data!D:D, 0), 0) &gt; 0,
    IFERROR(INDEX(data!N:N, MATCH(B1702, data!D:D, 0)) = 1, FALSE)
  ),
  INDEX(data!C:C, MATCH(B1702, data!D:D, 0)),
  "INC"
)</f>
        <v>2025-09-12T10:23:14.331+08</v>
      </c>
      <c r="K1702" s="9" t="str">
        <f t="array" ref="K1702">IFERROR(INDEX(dataICM!C:C,match(Caseslist!B1702,dataICM!D:D,0)), "INC")</f>
        <v>2025-09-12T15:42:57.061+08</v>
      </c>
      <c r="L1702" s="10" t="str">
        <f t="array" ref="L1702">IF(AND(G1702="COMPLETE", OR(K1702="INC", ISBLANK(INDEX(data!O:O, ROW())))), J1702, K1702)</f>
        <v>2025-09-12T15:42:57.061+08</v>
      </c>
      <c r="M1702" s="2">
        <v>45912.0</v>
      </c>
      <c r="N1702" s="2">
        <f t="array" ref="N1702">IF(M1702&lt;&gt;"INC", INDEX(data!M:M, MATCH(B1702, data!D:D, 0)), "")</f>
        <v>3</v>
      </c>
      <c r="O1702" s="2">
        <f t="shared" si="3"/>
        <v>3</v>
      </c>
    </row>
    <row r="1703">
      <c r="A1703" s="2" t="str">
        <f t="shared" si="1"/>
        <v>H030774</v>
      </c>
      <c r="B1703" s="1" t="s">
        <v>5628</v>
      </c>
      <c r="C1703" s="9" t="str">
        <f t="array" ref="C1703">IF(
  AND(
    IFERROR(MATCH(Caseslist!B1703, data!D:D, 0), 0) &gt; 0,
    IFERROR(INDEX(data!N:N, MATCH(Caseslist!B1703, data!D:D, 0)) = 1, FALSE)
  ),
  "COMPLETE",
  "INC"
)</f>
        <v>COMPLETE</v>
      </c>
      <c r="D1703" s="9">
        <f t="array" ref="D1703">IFERROR(INDEX(data!$G:$G,match(Caseslist!B1703,data!$D:$D,0)), "INC")</f>
        <v>896791</v>
      </c>
      <c r="E1703" s="9" t="str">
        <f t="array" ref="E1703">IFERROR(INDEX(data!H:H,match(Caseslist!B1703,data!D:D,0)), "INC")</f>
        <v>Roland A. Bandiola jr_2</v>
      </c>
      <c r="F1703" s="10" t="str">
        <f t="array" ref="F1703">IF(
    OR(
      IFNA(INDEX(data!M:M, MATCH(Caseslist!B1703, data!D:D, 0)), "") = "",
      IFNA(INDEX(data!M:M, MATCH(Caseslist!B1703, data!D:D, 0)), 0) = 0
    ),
    "COMPLETE",
    IF(
      IFNA(INDEX(dataICM!D:D, MATCH(Caseslist!B1703, dataICM!D:D, 0)), "INC") = "INC",
      IFNA(INDEX(dataICM!D:D, MATCH(Caseslist!B1703, dataICM!D:D, 0)), "INC"),
      "COMPLETE"
    )
  )</f>
        <v>COMPLETE</v>
      </c>
      <c r="G1703" s="10" t="str">
        <f t="array" ref="G1703">IF(IFERROR(INDEX(data!L:L,match(Caseslist!B1703,data!D:D,0)),"INC")="","COMPLETE",F1703)</f>
        <v>COMPLETE</v>
      </c>
      <c r="H1703" s="9" t="str">
        <f t="array" ref="H1703">IFERROR(INDEX(dataICM!F:F,match(Caseslist!B1703,dataICM!D:D,0)), "INC")</f>
        <v>Roland A. Bandiola jr_2</v>
      </c>
      <c r="I1703" s="10">
        <f t="shared" si="2"/>
        <v>896791</v>
      </c>
      <c r="J1703" s="9" t="str">
        <f t="array" ref="J1703">IF(
  AND(
    IFERROR(MATCH(B1703, data!D:D, 0), 0) &gt; 0,
    IFERROR(INDEX(data!N:N, MATCH(B1703, data!D:D, 0)) = 1, FALSE)
  ),
  INDEX(data!C:C, MATCH(B1703, data!D:D, 0)),
  "INC"
)</f>
        <v>2025-09-12T10:06:12.251+08</v>
      </c>
      <c r="K1703" s="9" t="str">
        <f t="array" ref="K1703">IFERROR(INDEX(dataICM!C:C,match(Caseslist!B1703,dataICM!D:D,0)), "INC")</f>
        <v>2025-09-12T11:34:47.587+08</v>
      </c>
      <c r="L1703" s="10" t="str">
        <f t="array" ref="L1703">IF(AND(G1703="COMPLETE", OR(K1703="INC", ISBLANK(INDEX(data!O:O, ROW())))), J1703, K1703)</f>
        <v>2025-09-12T11:34:47.587+08</v>
      </c>
      <c r="M1703" s="2">
        <v>45912.0</v>
      </c>
      <c r="N1703" s="2">
        <f t="array" ref="N1703">IF(M1703&lt;&gt;"INC", INDEX(data!M:M, MATCH(B1703, data!D:D, 0)), "")</f>
        <v>3</v>
      </c>
      <c r="O1703" s="2">
        <f t="shared" si="3"/>
        <v>3</v>
      </c>
    </row>
    <row r="1704">
      <c r="A1704" s="2" t="str">
        <f t="shared" si="1"/>
        <v>H030774</v>
      </c>
      <c r="B1704" s="1" t="s">
        <v>5728</v>
      </c>
      <c r="C1704" s="9" t="str">
        <f t="array" ref="C1704">IF(
  AND(
    IFERROR(MATCH(Caseslist!B1704, data!D:D, 0), 0) &gt; 0,
    IFERROR(INDEX(data!N:N, MATCH(Caseslist!B1704, data!D:D, 0)) = 1, FALSE)
  ),
  "COMPLETE",
  "INC"
)</f>
        <v>COMPLETE</v>
      </c>
      <c r="D1704" s="9" t="str">
        <f t="array" ref="D1704">IFERROR(INDEX(data!$G:$G,match(Caseslist!B1704,data!$D:$D,0)), "INC")</f>
        <v>D1284067</v>
      </c>
      <c r="E1704" s="9" t="str">
        <f t="array" ref="E1704">IFERROR(INDEX(data!H:H,match(Caseslist!B1704,data!D:D,0)), "INC")</f>
        <v>Mariel Del Rio</v>
      </c>
      <c r="F1704" s="10" t="str">
        <f t="array" ref="F1704">IF(
    OR(
      IFNA(INDEX(data!M:M, MATCH(Caseslist!B1704, data!D:D, 0)), "") = "",
      IFNA(INDEX(data!M:M, MATCH(Caseslist!B1704, data!D:D, 0)), 0) = 0
    ),
    "COMPLETE",
    IF(
      IFNA(INDEX(dataICM!D:D, MATCH(Caseslist!B1704, dataICM!D:D, 0)), "INC") = "INC",
      IFNA(INDEX(dataICM!D:D, MATCH(Caseslist!B1704, dataICM!D:D, 0)), "INC"),
      "COMPLETE"
    )
  )</f>
        <v>COMPLETE</v>
      </c>
      <c r="G1704" s="10" t="str">
        <f t="array" ref="G1704">IF(IFERROR(INDEX(data!L:L,match(Caseslist!B1704,data!D:D,0)),"INC")="","COMPLETE",F1704)</f>
        <v>COMPLETE</v>
      </c>
      <c r="H1704" s="9" t="str">
        <f t="array" ref="H1704">IFERROR(INDEX(dataICM!F:F,match(Caseslist!B1704,dataICM!D:D,0)), "INC")</f>
        <v>Mariel Del Rio</v>
      </c>
      <c r="I1704" s="10" t="str">
        <f t="shared" si="2"/>
        <v>D1284067</v>
      </c>
      <c r="J1704" s="9" t="str">
        <f t="array" ref="J1704">IF(
  AND(
    IFERROR(MATCH(B1704, data!D:D, 0), 0) &gt; 0,
    IFERROR(INDEX(data!N:N, MATCH(B1704, data!D:D, 0)) = 1, FALSE)
  ),
  INDEX(data!C:C, MATCH(B1704, data!D:D, 0)),
  "INC"
)</f>
        <v>2025-09-12T12:27:00.500+08</v>
      </c>
      <c r="K1704" s="9" t="str">
        <f t="array" ref="K1704">IFERROR(INDEX(dataICM!C:C,match(Caseslist!B1704,dataICM!D:D,0)), "INC")</f>
        <v>2025-09-12T15:56:22.959+08</v>
      </c>
      <c r="L1704" s="10" t="str">
        <f t="array" ref="L1704">IF(AND(G1704="COMPLETE", OR(K1704="INC", ISBLANK(INDEX(data!O:O, ROW())))), J1704, K1704)</f>
        <v>2025-09-12T15:56:22.959+08</v>
      </c>
      <c r="M1704" s="2">
        <v>45912.0</v>
      </c>
      <c r="N1704" s="2">
        <f t="array" ref="N1704">IF(M1704&lt;&gt;"INC", INDEX(data!M:M, MATCH(B1704, data!D:D, 0)), "")</f>
        <v>3</v>
      </c>
      <c r="O1704" s="2">
        <f t="shared" si="3"/>
        <v>3</v>
      </c>
    </row>
    <row r="1705">
      <c r="A1705" s="2" t="str">
        <f t="shared" si="1"/>
        <v>H030774</v>
      </c>
      <c r="B1705" s="1" t="s">
        <v>5638</v>
      </c>
      <c r="C1705" s="9" t="str">
        <f t="array" ref="C1705">IF(
  AND(
    IFERROR(MATCH(Caseslist!B1705, data!D:D, 0), 0) &gt; 0,
    IFERROR(INDEX(data!N:N, MATCH(Caseslist!B1705, data!D:D, 0)) = 1, FALSE)
  ),
  "COMPLETE",
  "INC"
)</f>
        <v>COMPLETE</v>
      </c>
      <c r="D1705" s="9" t="str">
        <f t="array" ref="D1705">IFERROR(INDEX(data!$G:$G,match(Caseslist!B1705,data!$D:$D,0)), "INC")</f>
        <v>C7502931</v>
      </c>
      <c r="E1705" s="9" t="str">
        <f t="array" ref="E1705">IFERROR(INDEX(data!H:H,match(Caseslist!B1705,data!D:D,0)), "INC")</f>
        <v>Jenny Lou Toles Estacio</v>
      </c>
      <c r="F1705" s="10" t="str">
        <f t="array" ref="F1705">IF(
    OR(
      IFNA(INDEX(data!M:M, MATCH(Caseslist!B1705, data!D:D, 0)), "") = "",
      IFNA(INDEX(data!M:M, MATCH(Caseslist!B1705, data!D:D, 0)), 0) = 0
    ),
    "COMPLETE",
    IF(
      IFNA(INDEX(dataICM!D:D, MATCH(Caseslist!B1705, dataICM!D:D, 0)), "INC") = "INC",
      IFNA(INDEX(dataICM!D:D, MATCH(Caseslist!B1705, dataICM!D:D, 0)), "INC"),
      "COMPLETE"
    )
  )</f>
        <v>COMPLETE</v>
      </c>
      <c r="G1705" s="10" t="str">
        <f t="array" ref="G1705">IF(IFERROR(INDEX(data!L:L,match(Caseslist!B1705,data!D:D,0)),"INC")="","COMPLETE",F1705)</f>
        <v>COMPLETE</v>
      </c>
      <c r="H1705" s="9" t="str">
        <f t="array" ref="H1705">IFERROR(INDEX(dataICM!F:F,match(Caseslist!B1705,dataICM!D:D,0)), "INC")</f>
        <v>Jenny Lou Toles Estacio</v>
      </c>
      <c r="I1705" s="10" t="str">
        <f t="shared" si="2"/>
        <v>C7502931</v>
      </c>
      <c r="J1705" s="9" t="str">
        <f t="array" ref="J1705">IF(
  AND(
    IFERROR(MATCH(B1705, data!D:D, 0), 0) &gt; 0,
    IFERROR(INDEX(data!N:N, MATCH(B1705, data!D:D, 0)) = 1, FALSE)
  ),
  INDEX(data!C:C, MATCH(B1705, data!D:D, 0)),
  "INC"
)</f>
        <v>2025-10-02T10:46:58.998+08</v>
      </c>
      <c r="K1705" s="9" t="str">
        <f t="array" ref="K1705">IFERROR(INDEX(dataICM!C:C,match(Caseslist!B1705,dataICM!D:D,0)), "INC")</f>
        <v>2025-10-02T19:21:18.189+08</v>
      </c>
      <c r="L1705" s="10" t="str">
        <f t="array" ref="L1705">IF(AND(G1705="COMPLETE", OR(K1705="INC", ISBLANK(INDEX(data!O:O, ROW())))), J1705, K1705)</f>
        <v>2025-10-02T19:21:18.189+08</v>
      </c>
      <c r="M1705" s="2">
        <v>45932.0</v>
      </c>
      <c r="N1705" s="2">
        <f t="array" ref="N1705">IF(M1705&lt;&gt;"INC", INDEX(data!M:M, MATCH(B1705, data!D:D, 0)), "")</f>
        <v>3</v>
      </c>
      <c r="O1705" s="2">
        <f t="shared" si="3"/>
        <v>3</v>
      </c>
    </row>
    <row r="1706">
      <c r="A1706" s="2" t="str">
        <f t="shared" si="1"/>
        <v>H030774</v>
      </c>
      <c r="B1706" s="1" t="s">
        <v>5718</v>
      </c>
      <c r="C1706" s="9" t="str">
        <f t="array" ref="C1706">IF(
  AND(
    IFERROR(MATCH(Caseslist!B1706, data!D:D, 0), 0) &gt; 0,
    IFERROR(INDEX(data!N:N, MATCH(Caseslist!B1706, data!D:D, 0)) = 1, FALSE)
  ),
  "COMPLETE",
  "INC"
)</f>
        <v>COMPLETE</v>
      </c>
      <c r="D1706" s="9" t="str">
        <f t="array" ref="D1706">IFERROR(INDEX(data!$G:$G,match(Caseslist!B1706,data!$D:$D,0)), "INC")</f>
        <v>B8193462</v>
      </c>
      <c r="E1706" s="9" t="str">
        <f t="array" ref="E1706">IFERROR(INDEX(data!H:H,match(Caseslist!B1706,data!D:D,0)), "INC")</f>
        <v>Mark Lorens Mendoza Gilongo</v>
      </c>
      <c r="F1706" s="10" t="str">
        <f t="array" ref="F1706">IF(
    OR(
      IFNA(INDEX(data!M:M, MATCH(Caseslist!B1706, data!D:D, 0)), "") = "",
      IFNA(INDEX(data!M:M, MATCH(Caseslist!B1706, data!D:D, 0)), 0) = 0
    ),
    "COMPLETE",
    IF(
      IFNA(INDEX(dataICM!D:D, MATCH(Caseslist!B1706, dataICM!D:D, 0)), "INC") = "INC",
      IFNA(INDEX(dataICM!D:D, MATCH(Caseslist!B1706, dataICM!D:D, 0)), "INC"),
      "COMPLETE"
    )
  )</f>
        <v>COMPLETE</v>
      </c>
      <c r="G1706" s="10" t="str">
        <f t="array" ref="G1706">IF(IFERROR(INDEX(data!L:L,match(Caseslist!B1706,data!D:D,0)),"INC")="","COMPLETE",F1706)</f>
        <v>COMPLETE</v>
      </c>
      <c r="H1706" s="9" t="str">
        <f t="array" ref="H1706">IFERROR(INDEX(dataICM!F:F,match(Caseslist!B1706,dataICM!D:D,0)), "INC")</f>
        <v>Mark Lorens Mendoza Gilongo</v>
      </c>
      <c r="I1706" s="10" t="str">
        <f t="shared" si="2"/>
        <v>B8193462</v>
      </c>
      <c r="J1706" s="9" t="str">
        <f t="array" ref="J1706">IF(
  AND(
    IFERROR(MATCH(B1706, data!D:D, 0), 0) &gt; 0,
    IFERROR(INDEX(data!N:N, MATCH(B1706, data!D:D, 0)) = 1, FALSE)
  ),
  INDEX(data!C:C, MATCH(B1706, data!D:D, 0)),
  "INC"
)</f>
        <v>2025-09-29T17:33:48.583+08</v>
      </c>
      <c r="K1706" s="9" t="str">
        <f t="array" ref="K1706">IFERROR(INDEX(dataICM!C:C,match(Caseslist!B1706,dataICM!D:D,0)), "INC")</f>
        <v>2025-09-29T19:44:43.723+08</v>
      </c>
      <c r="L1706" s="10" t="str">
        <f t="array" ref="L1706">IF(AND(G1706="COMPLETE", OR(K1706="INC", ISBLANK(INDEX(data!O:O, ROW())))), J1706, K1706)</f>
        <v>2025-09-29T19:44:43.723+08</v>
      </c>
      <c r="M1706" s="2">
        <v>45929.0</v>
      </c>
      <c r="N1706" s="2">
        <f t="array" ref="N1706">IF(M1706&lt;&gt;"INC", INDEX(data!M:M, MATCH(B1706, data!D:D, 0)), "")</f>
        <v>3</v>
      </c>
      <c r="O1706" s="2">
        <f t="shared" si="3"/>
        <v>3</v>
      </c>
    </row>
    <row r="1707">
      <c r="A1707" s="2" t="str">
        <f t="shared" si="1"/>
        <v>H030774</v>
      </c>
      <c r="B1707" s="1" t="s">
        <v>5713</v>
      </c>
      <c r="C1707" s="9" t="str">
        <f t="array" ref="C1707">IF(
  AND(
    IFERROR(MATCH(Caseslist!B1707, data!D:D, 0), 0) &gt; 0,
    IFERROR(INDEX(data!N:N, MATCH(Caseslist!B1707, data!D:D, 0)) = 1, FALSE)
  ),
  "COMPLETE",
  "INC"
)</f>
        <v>COMPLETE</v>
      </c>
      <c r="D1707" s="9" t="str">
        <f t="array" ref="D1707">IFERROR(INDEX(data!$G:$G,match(Caseslist!B1707,data!$D:$D,0)), "INC")</f>
        <v>C7502931</v>
      </c>
      <c r="E1707" s="9" t="str">
        <f t="array" ref="E1707">IFERROR(INDEX(data!H:H,match(Caseslist!B1707,data!D:D,0)), "INC")</f>
        <v>Jenny Lou Toles Estacio</v>
      </c>
      <c r="F1707" s="10" t="str">
        <f t="array" ref="F1707">IF(
    OR(
      IFNA(INDEX(data!M:M, MATCH(Caseslist!B1707, data!D:D, 0)), "") = "",
      IFNA(INDEX(data!M:M, MATCH(Caseslist!B1707, data!D:D, 0)), 0) = 0
    ),
    "COMPLETE",
    IF(
      IFNA(INDEX(dataICM!D:D, MATCH(Caseslist!B1707, dataICM!D:D, 0)), "INC") = "INC",
      IFNA(INDEX(dataICM!D:D, MATCH(Caseslist!B1707, dataICM!D:D, 0)), "INC"),
      "COMPLETE"
    )
  )</f>
        <v>COMPLETE</v>
      </c>
      <c r="G1707" s="10" t="str">
        <f t="array" ref="G1707">IF(IFERROR(INDEX(data!L:L,match(Caseslist!B1707,data!D:D,0)),"INC")="","COMPLETE",F1707)</f>
        <v>COMPLETE</v>
      </c>
      <c r="H1707" s="9" t="str">
        <f t="array" ref="H1707">IFERROR(INDEX(dataICM!F:F,match(Caseslist!B1707,dataICM!D:D,0)), "INC")</f>
        <v>Jenny Lou Toles Estacio</v>
      </c>
      <c r="I1707" s="10" t="str">
        <f t="shared" si="2"/>
        <v>C7502931</v>
      </c>
      <c r="J1707" s="9" t="str">
        <f t="array" ref="J1707">IF(
  AND(
    IFERROR(MATCH(B1707, data!D:D, 0), 0) &gt; 0,
    IFERROR(INDEX(data!N:N, MATCH(B1707, data!D:D, 0)) = 1, FALSE)
  ),
  INDEX(data!C:C, MATCH(B1707, data!D:D, 0)),
  "INC"
)</f>
        <v>2025-09-13T10:09:45.520+08</v>
      </c>
      <c r="K1707" s="9" t="str">
        <f t="array" ref="K1707">IFERROR(INDEX(dataICM!C:C,match(Caseslist!B1707,dataICM!D:D,0)), "INC")</f>
        <v>2025-09-13T18:54:37.438+08</v>
      </c>
      <c r="L1707" s="10" t="str">
        <f t="array" ref="L1707">IF(AND(G1707="COMPLETE", OR(K1707="INC", ISBLANK(INDEX(data!O:O, ROW())))), J1707, K1707)</f>
        <v>2025-09-13T18:54:37.438+08</v>
      </c>
      <c r="M1707" s="2">
        <v>45913.0</v>
      </c>
      <c r="N1707" s="2">
        <f t="array" ref="N1707">IF(M1707&lt;&gt;"INC", INDEX(data!M:M, MATCH(B1707, data!D:D, 0)), "")</f>
        <v>3</v>
      </c>
      <c r="O1707" s="2">
        <f t="shared" si="3"/>
        <v>3</v>
      </c>
    </row>
    <row r="1708">
      <c r="A1708" s="2" t="str">
        <f t="shared" si="1"/>
        <v>H030774</v>
      </c>
      <c r="B1708" s="1" t="s">
        <v>5643</v>
      </c>
      <c r="C1708" s="9" t="str">
        <f t="array" ref="C1708">IF(
  AND(
    IFERROR(MATCH(Caseslist!B1708, data!D:D, 0), 0) &gt; 0,
    IFERROR(INDEX(data!N:N, MATCH(Caseslist!B1708, data!D:D, 0)) = 1, FALSE)
  ),
  "COMPLETE",
  "INC"
)</f>
        <v>COMPLETE</v>
      </c>
      <c r="D1708" s="9" t="str">
        <f t="array" ref="D1708">IFERROR(INDEX(data!$G:$G,match(Caseslist!B1708,data!$D:$D,0)), "INC")</f>
        <v>B8193462</v>
      </c>
      <c r="E1708" s="9" t="str">
        <f t="array" ref="E1708">IFERROR(INDEX(data!H:H,match(Caseslist!B1708,data!D:D,0)), "INC")</f>
        <v>Mark Lorens Mendoza Gilongo</v>
      </c>
      <c r="F1708" s="10" t="str">
        <f t="array" ref="F1708">IF(
    OR(
      IFNA(INDEX(data!M:M, MATCH(Caseslist!B1708, data!D:D, 0)), "") = "",
      IFNA(INDEX(data!M:M, MATCH(Caseslist!B1708, data!D:D, 0)), 0) = 0
    ),
    "COMPLETE",
    IF(
      IFNA(INDEX(dataICM!D:D, MATCH(Caseslist!B1708, dataICM!D:D, 0)), "INC") = "INC",
      IFNA(INDEX(dataICM!D:D, MATCH(Caseslist!B1708, dataICM!D:D, 0)), "INC"),
      "COMPLETE"
    )
  )</f>
        <v>COMPLETE</v>
      </c>
      <c r="G1708" s="10" t="str">
        <f t="array" ref="G1708">IF(IFERROR(INDEX(data!L:L,match(Caseslist!B1708,data!D:D,0)),"INC")="","COMPLETE",F1708)</f>
        <v>COMPLETE</v>
      </c>
      <c r="H1708" s="9" t="str">
        <f t="array" ref="H1708">IFERROR(INDEX(dataICM!F:F,match(Caseslist!B1708,dataICM!D:D,0)), "INC")</f>
        <v>Mark Lorens Mendoza Gilongo</v>
      </c>
      <c r="I1708" s="10" t="str">
        <f t="shared" si="2"/>
        <v>B8193462</v>
      </c>
      <c r="J1708" s="9" t="str">
        <f t="array" ref="J1708">IF(
  AND(
    IFERROR(MATCH(B1708, data!D:D, 0), 0) &gt; 0,
    IFERROR(INDEX(data!N:N, MATCH(B1708, data!D:D, 0)) = 1, FALSE)
  ),
  INDEX(data!C:C, MATCH(B1708, data!D:D, 0)),
  "INC"
)</f>
        <v>2025-09-13T11:52:15.169+08</v>
      </c>
      <c r="K1708" s="9" t="str">
        <f t="array" ref="K1708">IFERROR(INDEX(dataICM!C:C,match(Caseslist!B1708,dataICM!D:D,0)), "INC")</f>
        <v>2025-09-13T14:02:46.131+08</v>
      </c>
      <c r="L1708" s="10" t="str">
        <f t="array" ref="L1708">IF(AND(G1708="COMPLETE", OR(K1708="INC", ISBLANK(INDEX(data!O:O, ROW())))), J1708, K1708)</f>
        <v>2025-09-13T14:02:46.131+08</v>
      </c>
      <c r="M1708" s="2">
        <v>45913.0</v>
      </c>
      <c r="N1708" s="2">
        <f t="array" ref="N1708">IF(M1708&lt;&gt;"INC", INDEX(data!M:M, MATCH(B1708, data!D:D, 0)), "")</f>
        <v>3</v>
      </c>
      <c r="O1708" s="2">
        <f t="shared" si="3"/>
        <v>3</v>
      </c>
    </row>
    <row r="1709">
      <c r="A1709" s="2" t="str">
        <f t="shared" si="1"/>
        <v>H030790</v>
      </c>
      <c r="B1709" s="1" t="s">
        <v>4747</v>
      </c>
      <c r="C1709" s="9" t="str">
        <f t="array" ref="C1709">IF(
  AND(
    IFERROR(MATCH(Caseslist!B1709, data!D:D, 0), 0) &gt; 0,
    IFERROR(INDEX(data!N:N, MATCH(Caseslist!B1709, data!D:D, 0)) = 1, FALSE)
  ),
  "COMPLETE",
  "INC"
)</f>
        <v>COMPLETE</v>
      </c>
      <c r="D1709" s="9" t="str">
        <f t="array" ref="D1709">IFERROR(INDEX(data!$G:$G,match(Caseslist!B1709,data!$D:$D,0)), "INC")</f>
        <v>G5472901</v>
      </c>
      <c r="E1709" s="9" t="str">
        <f t="array" ref="E1709">IFERROR(INDEX(data!H:H,match(Caseslist!B1709,data!D:D,0)), "INC")</f>
        <v>Wellyn Grace Alaban Parcia</v>
      </c>
      <c r="F1709" s="10" t="str">
        <f t="array" ref="F1709">IF(
    OR(
      IFNA(INDEX(data!M:M, MATCH(Caseslist!B1709, data!D:D, 0)), "") = "",
      IFNA(INDEX(data!M:M, MATCH(Caseslist!B1709, data!D:D, 0)), 0) = 0
    ),
    "COMPLETE",
    IF(
      IFNA(INDEX(dataICM!D:D, MATCH(Caseslist!B1709, dataICM!D:D, 0)), "INC") = "INC",
      IFNA(INDEX(dataICM!D:D, MATCH(Caseslist!B1709, dataICM!D:D, 0)), "INC"),
      "COMPLETE"
    )
  )</f>
        <v>COMPLETE</v>
      </c>
      <c r="G1709" s="10" t="str">
        <f t="array" ref="G1709">IF(IFERROR(INDEX(data!L:L,match(Caseslist!B1709,data!D:D,0)),"INC")="","COMPLETE",F1709)</f>
        <v>COMPLETE</v>
      </c>
      <c r="H1709" s="9" t="str">
        <f t="array" ref="H1709">IFERROR(INDEX(dataICM!F:F,match(Caseslist!B1709,dataICM!D:D,0)), "INC")</f>
        <v>Wellyn Grace Alaban Parcia</v>
      </c>
      <c r="I1709" s="10" t="str">
        <f t="shared" si="2"/>
        <v>G5472901</v>
      </c>
      <c r="J1709" s="9" t="str">
        <f t="array" ref="J1709">IF(
  AND(
    IFERROR(MATCH(B1709, data!D:D, 0), 0) &gt; 0,
    IFERROR(INDEX(data!N:N, MATCH(B1709, data!D:D, 0)) = 1, FALSE)
  ),
  INDEX(data!C:C, MATCH(B1709, data!D:D, 0)),
  "INC"
)</f>
        <v>2025-09-09T10:14:28.614+08</v>
      </c>
      <c r="K1709" s="9" t="str">
        <f t="array" ref="K1709">IFERROR(INDEX(dataICM!C:C,match(Caseslist!B1709,dataICM!D:D,0)), "INC")</f>
        <v>2025-09-09T10:35:53.532+08</v>
      </c>
      <c r="L1709" s="10" t="str">
        <f t="array" ref="L1709">IF(AND(G1709="COMPLETE", OR(K1709="INC", ISBLANK(INDEX(data!O:O, ROW())))), J1709, K1709)</f>
        <v>2025-09-09T10:35:53.532+08</v>
      </c>
      <c r="M1709" s="2">
        <v>45909.0</v>
      </c>
      <c r="N1709" s="2">
        <f t="array" ref="N1709">IF(M1709&lt;&gt;"INC", INDEX(data!M:M, MATCH(B1709, data!D:D, 0)), "")</f>
        <v>1</v>
      </c>
      <c r="O1709" s="2">
        <f t="shared" si="3"/>
        <v>1</v>
      </c>
    </row>
    <row r="1710">
      <c r="A1710" s="2" t="str">
        <f t="shared" si="1"/>
        <v>H030790</v>
      </c>
      <c r="B1710" s="1" t="s">
        <v>4777</v>
      </c>
      <c r="C1710" s="9" t="str">
        <f t="array" ref="C1710">IF(
  AND(
    IFERROR(MATCH(Caseslist!B1710, data!D:D, 0), 0) &gt; 0,
    IFERROR(INDEX(data!N:N, MATCH(Caseslist!B1710, data!D:D, 0)) = 1, FALSE)
  ),
  "COMPLETE",
  "INC"
)</f>
        <v>COMPLETE</v>
      </c>
      <c r="D1710" s="9" t="str">
        <f t="array" ref="D1710">IFERROR(INDEX(data!$G:$G,match(Caseslist!B1710,data!$D:$D,0)), "INC")</f>
        <v>H2846135</v>
      </c>
      <c r="E1710" s="9" t="str">
        <f t="array" ref="E1710">IFERROR(INDEX(data!H:H,match(Caseslist!B1710,data!D:D,0)), "INC")</f>
        <v>Annalou Empanado Encontro</v>
      </c>
      <c r="F1710" s="10" t="str">
        <f t="array" ref="F1710">IF(
    OR(
      IFNA(INDEX(data!M:M, MATCH(Caseslist!B1710, data!D:D, 0)), "") = "",
      IFNA(INDEX(data!M:M, MATCH(Caseslist!B1710, data!D:D, 0)), 0) = 0
    ),
    "COMPLETE",
    IF(
      IFNA(INDEX(dataICM!D:D, MATCH(Caseslist!B1710, dataICM!D:D, 0)), "INC") = "INC",
      IFNA(INDEX(dataICM!D:D, MATCH(Caseslist!B1710, dataICM!D:D, 0)), "INC"),
      "COMPLETE"
    )
  )</f>
        <v>COMPLETE</v>
      </c>
      <c r="G1710" s="10" t="str">
        <f t="array" ref="G1710">IF(IFERROR(INDEX(data!L:L,match(Caseslist!B1710,data!D:D,0)),"INC")="","COMPLETE",F1710)</f>
        <v>COMPLETE</v>
      </c>
      <c r="H1710" s="9" t="str">
        <f t="array" ref="H1710">IFERROR(INDEX(dataICM!F:F,match(Caseslist!B1710,dataICM!D:D,0)), "INC")</f>
        <v>Annalou Empanado Encontro</v>
      </c>
      <c r="I1710" s="10" t="str">
        <f t="shared" si="2"/>
        <v>H2846135</v>
      </c>
      <c r="J1710" s="9" t="str">
        <f t="array" ref="J1710">IF(
  AND(
    IFERROR(MATCH(B1710, data!D:D, 0), 0) &gt; 0,
    IFERROR(INDEX(data!N:N, MATCH(B1710, data!D:D, 0)) = 1, FALSE)
  ),
  INDEX(data!C:C, MATCH(B1710, data!D:D, 0)),
  "INC"
)</f>
        <v>2025-09-09T10:00:42.127+08</v>
      </c>
      <c r="K1710" s="9" t="str">
        <f t="array" ref="K1710">IFERROR(INDEX(dataICM!C:C,match(Caseslist!B1710,dataICM!D:D,0)), "INC")</f>
        <v>2025-09-09T10:11:42.074+08</v>
      </c>
      <c r="L1710" s="10" t="str">
        <f t="array" ref="L1710">IF(AND(G1710="COMPLETE", OR(K1710="INC", ISBLANK(INDEX(data!O:O, ROW())))), J1710, K1710)</f>
        <v>2025-09-09T10:11:42.074+08</v>
      </c>
      <c r="M1710" s="2">
        <v>45909.0</v>
      </c>
      <c r="N1710" s="2">
        <f t="array" ref="N1710">IF(M1710&lt;&gt;"INC", INDEX(data!M:M, MATCH(B1710, data!D:D, 0)), "")</f>
        <v>1</v>
      </c>
      <c r="O1710" s="2">
        <f t="shared" si="3"/>
        <v>1</v>
      </c>
    </row>
    <row r="1711">
      <c r="A1711" s="2" t="str">
        <f t="shared" si="1"/>
        <v>H030790</v>
      </c>
      <c r="B1711" s="1" t="s">
        <v>4767</v>
      </c>
      <c r="C1711" s="9" t="str">
        <f t="array" ref="C1711">IF(
  AND(
    IFERROR(MATCH(Caseslist!B1711, data!D:D, 0), 0) &gt; 0,
    IFERROR(INDEX(data!N:N, MATCH(Caseslist!B1711, data!D:D, 0)) = 1, FALSE)
  ),
  "COMPLETE",
  "INC"
)</f>
        <v>COMPLETE</v>
      </c>
      <c r="D1711" s="9" t="str">
        <f t="array" ref="D1711">IFERROR(INDEX(data!$G:$G,match(Caseslist!B1711,data!$D:$D,0)), "INC")</f>
        <v>H2846135</v>
      </c>
      <c r="E1711" s="9" t="str">
        <f t="array" ref="E1711">IFERROR(INDEX(data!H:H,match(Caseslist!B1711,data!D:D,0)), "INC")</f>
        <v>Annalou Empanado Encontro</v>
      </c>
      <c r="F1711" s="10" t="str">
        <f t="array" ref="F1711">IF(
    OR(
      IFNA(INDEX(data!M:M, MATCH(Caseslist!B1711, data!D:D, 0)), "") = "",
      IFNA(INDEX(data!M:M, MATCH(Caseslist!B1711, data!D:D, 0)), 0) = 0
    ),
    "COMPLETE",
    IF(
      IFNA(INDEX(dataICM!D:D, MATCH(Caseslist!B1711, dataICM!D:D, 0)), "INC") = "INC",
      IFNA(INDEX(dataICM!D:D, MATCH(Caseslist!B1711, dataICM!D:D, 0)), "INC"),
      "COMPLETE"
    )
  )</f>
        <v>COMPLETE</v>
      </c>
      <c r="G1711" s="10" t="str">
        <f t="array" ref="G1711">IF(IFERROR(INDEX(data!L:L,match(Caseslist!B1711,data!D:D,0)),"INC")="","COMPLETE",F1711)</f>
        <v>COMPLETE</v>
      </c>
      <c r="H1711" s="9" t="str">
        <f t="array" ref="H1711">IFERROR(INDEX(dataICM!F:F,match(Caseslist!B1711,dataICM!D:D,0)), "INC")</f>
        <v>Annalou Empanado Encontro</v>
      </c>
      <c r="I1711" s="10" t="str">
        <f t="shared" si="2"/>
        <v>H2846135</v>
      </c>
      <c r="J1711" s="9" t="str">
        <f t="array" ref="J1711">IF(
  AND(
    IFERROR(MATCH(B1711, data!D:D, 0), 0) &gt; 0,
    IFERROR(INDEX(data!N:N, MATCH(B1711, data!D:D, 0)) = 1, FALSE)
  ),
  INDEX(data!C:C, MATCH(B1711, data!D:D, 0)),
  "INC"
)</f>
        <v>2025-09-09T11:36:00.824+08</v>
      </c>
      <c r="K1711" s="9" t="str">
        <f t="array" ref="K1711">IFERROR(INDEX(dataICM!C:C,match(Caseslist!B1711,dataICM!D:D,0)), "INC")</f>
        <v>2025-09-09T11:43:19.664+08</v>
      </c>
      <c r="L1711" s="10" t="str">
        <f t="array" ref="L1711">IF(AND(G1711="COMPLETE", OR(K1711="INC", ISBLANK(INDEX(data!O:O, ROW())))), J1711, K1711)</f>
        <v>2025-09-09T11:43:19.664+08</v>
      </c>
      <c r="M1711" s="2">
        <v>45909.0</v>
      </c>
      <c r="N1711" s="2">
        <f t="array" ref="N1711">IF(M1711&lt;&gt;"INC", INDEX(data!M:M, MATCH(B1711, data!D:D, 0)), "")</f>
        <v>1</v>
      </c>
      <c r="O1711" s="2">
        <f t="shared" si="3"/>
        <v>1</v>
      </c>
    </row>
    <row r="1712">
      <c r="A1712" s="2" t="str">
        <f t="shared" si="1"/>
        <v>H030790</v>
      </c>
      <c r="B1712" s="1" t="s">
        <v>4742</v>
      </c>
      <c r="C1712" s="9" t="str">
        <f t="array" ref="C1712">IF(
  AND(
    IFERROR(MATCH(Caseslist!B1712, data!D:D, 0), 0) &gt; 0,
    IFERROR(INDEX(data!N:N, MATCH(Caseslist!B1712, data!D:D, 0)) = 1, FALSE)
  ),
  "COMPLETE",
  "INC"
)</f>
        <v>INC</v>
      </c>
      <c r="D1712" s="9" t="str">
        <f t="array" ref="D1712">IFERROR(INDEX(data!$G:$G,match(Caseslist!B1712,data!$D:$D,0)), "INC")</f>
        <v>G5472901</v>
      </c>
      <c r="E1712" s="9" t="str">
        <f t="array" ref="E1712">IFERROR(INDEX(data!H:H,match(Caseslist!B1712,data!D:D,0)), "INC")</f>
        <v>Wellyn Grace Alaban Parcia</v>
      </c>
      <c r="F1712" s="10" t="str">
        <f t="array" ref="F1712">IF(
    OR(
      IFNA(INDEX(data!M:M, MATCH(Caseslist!B1712, data!D:D, 0)), "") = "",
      IFNA(INDEX(data!M:M, MATCH(Caseslist!B1712, data!D:D, 0)), 0) = 0
    ),
    "COMPLETE",
    IF(
      IFNA(INDEX(dataICM!D:D, MATCH(Caseslist!B1712, dataICM!D:D, 0)), "INC") = "INC",
      IFNA(INDEX(dataICM!D:D, MATCH(Caseslist!B1712, dataICM!D:D, 0)), "INC"),
      "COMPLETE"
    )
  )</f>
        <v>INC</v>
      </c>
      <c r="G1712" s="10" t="str">
        <f t="array" ref="G1712">IF(IFERROR(INDEX(data!L:L,match(Caseslist!B1712,data!D:D,0)),"INC")="","COMPLETE",F1712)</f>
        <v>INC</v>
      </c>
      <c r="H1712" s="9" t="str">
        <f t="array" ref="H1712">IFERROR(INDEX(dataICM!F:F,match(Caseslist!B1712,dataICM!D:D,0)), "INC")</f>
        <v>INC</v>
      </c>
      <c r="I1712" s="10" t="str">
        <f t="shared" si="2"/>
        <v>INC</v>
      </c>
      <c r="J1712" s="9" t="str">
        <f t="array" ref="J1712">IF(
  AND(
    IFERROR(MATCH(B1712, data!D:D, 0), 0) &gt; 0,
    IFERROR(INDEX(data!N:N, MATCH(B1712, data!D:D, 0)) = 1, FALSE)
  ),
  INDEX(data!C:C, MATCH(B1712, data!D:D, 0)),
  "INC"
)</f>
        <v>INC</v>
      </c>
      <c r="K1712" s="9" t="str">
        <f t="array" ref="K1712">IFERROR(INDEX(dataICM!C:C,match(Caseslist!B1712,dataICM!D:D,0)), "INC")</f>
        <v>INC</v>
      </c>
      <c r="L1712" s="10" t="str">
        <f t="array" ref="L1712">IF(AND(G1712="COMPLETE", OR(K1712="INC", ISBLANK(INDEX(data!O:O, ROW())))), J1712, K1712)</f>
        <v>INC</v>
      </c>
      <c r="M1712" s="2" t="s">
        <v>8886</v>
      </c>
      <c r="N1712" s="2" t="str">
        <f t="array" ref="N1712">IF(M1712&lt;&gt;"INC", INDEX(data!M:M, MATCH(B1712, data!D:D, 0)), "")</f>
        <v/>
      </c>
      <c r="O1712" s="2" t="str">
        <f t="shared" si="3"/>
        <v/>
      </c>
    </row>
    <row r="1713">
      <c r="A1713" s="2" t="str">
        <f t="shared" si="1"/>
        <v>H030790</v>
      </c>
      <c r="B1713" s="1" t="s">
        <v>4752</v>
      </c>
      <c r="C1713" s="9" t="str">
        <f t="array" ref="C1713">IF(
  AND(
    IFERROR(MATCH(Caseslist!B1713, data!D:D, 0), 0) &gt; 0,
    IFERROR(INDEX(data!N:N, MATCH(Caseslist!B1713, data!D:D, 0)) = 1, FALSE)
  ),
  "COMPLETE",
  "INC"
)</f>
        <v>COMPLETE</v>
      </c>
      <c r="D1713" s="9" t="str">
        <f t="array" ref="D1713">IFERROR(INDEX(data!$G:$G,match(Caseslist!B1713,data!$D:$D,0)), "INC")</f>
        <v>G5472901</v>
      </c>
      <c r="E1713" s="9" t="str">
        <f t="array" ref="E1713">IFERROR(INDEX(data!H:H,match(Caseslist!B1713,data!D:D,0)), "INC")</f>
        <v>Wellyn Grace Alaban Parcia</v>
      </c>
      <c r="F1713" s="10" t="str">
        <f t="array" ref="F1713">IF(
    OR(
      IFNA(INDEX(data!M:M, MATCH(Caseslist!B1713, data!D:D, 0)), "") = "",
      IFNA(INDEX(data!M:M, MATCH(Caseslist!B1713, data!D:D, 0)), 0) = 0
    ),
    "COMPLETE",
    IF(
      IFNA(INDEX(dataICM!D:D, MATCH(Caseslist!B1713, dataICM!D:D, 0)), "INC") = "INC",
      IFNA(INDEX(dataICM!D:D, MATCH(Caseslist!B1713, dataICM!D:D, 0)), "INC"),
      "COMPLETE"
    )
  )</f>
        <v>COMPLETE</v>
      </c>
      <c r="G1713" s="10" t="str">
        <f t="array" ref="G1713">IF(IFERROR(INDEX(data!L:L,match(Caseslist!B1713,data!D:D,0)),"INC")="","COMPLETE",F1713)</f>
        <v>COMPLETE</v>
      </c>
      <c r="H1713" s="9" t="str">
        <f t="array" ref="H1713">IFERROR(INDEX(dataICM!F:F,match(Caseslist!B1713,dataICM!D:D,0)), "INC")</f>
        <v>Wellyn Grace Alaban Parcia</v>
      </c>
      <c r="I1713" s="10" t="str">
        <f t="shared" si="2"/>
        <v>G5472901</v>
      </c>
      <c r="J1713" s="9" t="str">
        <f t="array" ref="J1713">IF(
  AND(
    IFERROR(MATCH(B1713, data!D:D, 0), 0) &gt; 0,
    IFERROR(INDEX(data!N:N, MATCH(B1713, data!D:D, 0)) = 1, FALSE)
  ),
  INDEX(data!C:C, MATCH(B1713, data!D:D, 0)),
  "INC"
)</f>
        <v>2025-09-09T12:03:28.779+08</v>
      </c>
      <c r="K1713" s="9" t="str">
        <f t="array" ref="K1713">IFERROR(INDEX(dataICM!C:C,match(Caseslist!B1713,dataICM!D:D,0)), "INC")</f>
        <v>2025-09-09T12:14:03.603+08</v>
      </c>
      <c r="L1713" s="10" t="str">
        <f t="array" ref="L1713">IF(AND(G1713="COMPLETE", OR(K1713="INC", ISBLANK(INDEX(data!O:O, ROW())))), J1713, K1713)</f>
        <v>2025-09-09T12:14:03.603+08</v>
      </c>
      <c r="M1713" s="2">
        <v>45909.0</v>
      </c>
      <c r="N1713" s="2">
        <f t="array" ref="N1713">IF(M1713&lt;&gt;"INC", INDEX(data!M:M, MATCH(B1713, data!D:D, 0)), "")</f>
        <v>1</v>
      </c>
      <c r="O1713" s="2">
        <f t="shared" si="3"/>
        <v>1</v>
      </c>
    </row>
    <row r="1714">
      <c r="A1714" s="2" t="str">
        <f t="shared" si="1"/>
        <v>H030790</v>
      </c>
      <c r="B1714" s="1" t="s">
        <v>5047</v>
      </c>
      <c r="C1714" s="9" t="str">
        <f t="array" ref="C1714">IF(
  AND(
    IFERROR(MATCH(Caseslist!B1714, data!D:D, 0), 0) &gt; 0,
    IFERROR(INDEX(data!N:N, MATCH(Caseslist!B1714, data!D:D, 0)) = 1, FALSE)
  ),
  "COMPLETE",
  "INC"
)</f>
        <v>COMPLETE</v>
      </c>
      <c r="D1714" s="9" t="str">
        <f t="array" ref="D1714">IFERROR(INDEX(data!$G:$G,match(Caseslist!B1714,data!$D:$D,0)), "INC")</f>
        <v>F3051749</v>
      </c>
      <c r="E1714" s="9" t="str">
        <f t="array" ref="E1714">IFERROR(INDEX(data!H:H,match(Caseslist!B1714,data!D:D,0)), "INC")</f>
        <v>Elenita Gicos De La Pe�a</v>
      </c>
      <c r="F1714" s="10" t="str">
        <f t="array" ref="F1714">IF(
    OR(
      IFNA(INDEX(data!M:M, MATCH(Caseslist!B1714, data!D:D, 0)), "") = "",
      IFNA(INDEX(data!M:M, MATCH(Caseslist!B1714, data!D:D, 0)), 0) = 0
    ),
    "COMPLETE",
    IF(
      IFNA(INDEX(dataICM!D:D, MATCH(Caseslist!B1714, dataICM!D:D, 0)), "INC") = "INC",
      IFNA(INDEX(dataICM!D:D, MATCH(Caseslist!B1714, dataICM!D:D, 0)), "INC"),
      "COMPLETE"
    )
  )</f>
        <v>COMPLETE</v>
      </c>
      <c r="G1714" s="10" t="str">
        <f t="array" ref="G1714">IF(IFERROR(INDEX(data!L:L,match(Caseslist!B1714,data!D:D,0)),"INC")="","COMPLETE",F1714)</f>
        <v>COMPLETE</v>
      </c>
      <c r="H1714" s="9" t="str">
        <f t="array" ref="H1714">IFERROR(INDEX(dataICM!F:F,match(Caseslist!B1714,dataICM!D:D,0)), "INC")</f>
        <v>Elenita Gicos De La Pe�a</v>
      </c>
      <c r="I1714" s="10" t="str">
        <f t="shared" si="2"/>
        <v>F3051749</v>
      </c>
      <c r="J1714" s="9" t="str">
        <f t="array" ref="J1714">IF(
  AND(
    IFERROR(MATCH(B1714, data!D:D, 0), 0) &gt; 0,
    IFERROR(INDEX(data!N:N, MATCH(B1714, data!D:D, 0)) = 1, FALSE)
  ),
  INDEX(data!C:C, MATCH(B1714, data!D:D, 0)),
  "INC"
)</f>
        <v>2025-09-09T17:07:29.970+08</v>
      </c>
      <c r="K1714" s="9" t="str">
        <f t="array" ref="K1714">IFERROR(INDEX(dataICM!C:C,match(Caseslist!B1714,dataICM!D:D,0)), "INC")</f>
        <v>2025-09-09T17:25:22.308+08</v>
      </c>
      <c r="L1714" s="10" t="str">
        <f t="array" ref="L1714">IF(AND(G1714="COMPLETE", OR(K1714="INC", ISBLANK(INDEX(data!O:O, ROW())))), J1714, K1714)</f>
        <v>2025-09-09T17:25:22.308+08</v>
      </c>
      <c r="M1714" s="2">
        <v>45909.0</v>
      </c>
      <c r="N1714" s="2">
        <f t="array" ref="N1714">IF(M1714&lt;&gt;"INC", INDEX(data!M:M, MATCH(B1714, data!D:D, 0)), "")</f>
        <v>1</v>
      </c>
      <c r="O1714" s="2">
        <f t="shared" si="3"/>
        <v>1</v>
      </c>
    </row>
    <row r="1715">
      <c r="A1715" s="2" t="str">
        <f t="shared" si="1"/>
        <v>H030790</v>
      </c>
      <c r="B1715" s="1" t="s">
        <v>5037</v>
      </c>
      <c r="C1715" s="9" t="str">
        <f t="array" ref="C1715">IF(
  AND(
    IFERROR(MATCH(Caseslist!B1715, data!D:D, 0), 0) &gt; 0,
    IFERROR(INDEX(data!N:N, MATCH(Caseslist!B1715, data!D:D, 0)) = 1, FALSE)
  ),
  "COMPLETE",
  "INC"
)</f>
        <v>COMPLETE</v>
      </c>
      <c r="D1715" s="9" t="str">
        <f t="array" ref="D1715">IFERROR(INDEX(data!$G:$G,match(Caseslist!B1715,data!$D:$D,0)), "INC")</f>
        <v>F3051749</v>
      </c>
      <c r="E1715" s="9" t="str">
        <f t="array" ref="E1715">IFERROR(INDEX(data!H:H,match(Caseslist!B1715,data!D:D,0)), "INC")</f>
        <v>Elenita Gicos De La Pe�a</v>
      </c>
      <c r="F1715" s="10" t="str">
        <f t="array" ref="F1715">IF(
    OR(
      IFNA(INDEX(data!M:M, MATCH(Caseslist!B1715, data!D:D, 0)), "") = "",
      IFNA(INDEX(data!M:M, MATCH(Caseslist!B1715, data!D:D, 0)), 0) = 0
    ),
    "COMPLETE",
    IF(
      IFNA(INDEX(dataICM!D:D, MATCH(Caseslist!B1715, dataICM!D:D, 0)), "INC") = "INC",
      IFNA(INDEX(dataICM!D:D, MATCH(Caseslist!B1715, dataICM!D:D, 0)), "INC"),
      "COMPLETE"
    )
  )</f>
        <v>COMPLETE</v>
      </c>
      <c r="G1715" s="10" t="str">
        <f t="array" ref="G1715">IF(IFERROR(INDEX(data!L:L,match(Caseslist!B1715,data!D:D,0)),"INC")="","COMPLETE",F1715)</f>
        <v>COMPLETE</v>
      </c>
      <c r="H1715" s="9" t="str">
        <f t="array" ref="H1715">IFERROR(INDEX(dataICM!F:F,match(Caseslist!B1715,dataICM!D:D,0)), "INC")</f>
        <v>Elenita Gicos De La Pe�a</v>
      </c>
      <c r="I1715" s="10" t="str">
        <f t="shared" si="2"/>
        <v>F3051749</v>
      </c>
      <c r="J1715" s="9" t="str">
        <f t="array" ref="J1715">IF(
  AND(
    IFERROR(MATCH(B1715, data!D:D, 0), 0) &gt; 0,
    IFERROR(INDEX(data!N:N, MATCH(B1715, data!D:D, 0)) = 1, FALSE)
  ),
  INDEX(data!C:C, MATCH(B1715, data!D:D, 0)),
  "INC"
)</f>
        <v>2025-09-09T10:11:33.196+08</v>
      </c>
      <c r="K1715" s="9" t="str">
        <f t="array" ref="K1715">IFERROR(INDEX(dataICM!C:C,match(Caseslist!B1715,dataICM!D:D,0)), "INC")</f>
        <v>2025-09-09T10:36:56.020+08</v>
      </c>
      <c r="L1715" s="10" t="str">
        <f t="array" ref="L1715">IF(AND(G1715="COMPLETE", OR(K1715="INC", ISBLANK(INDEX(data!O:O, ROW())))), J1715, K1715)</f>
        <v>2025-09-09T10:36:56.020+08</v>
      </c>
      <c r="M1715" s="2">
        <v>45909.0</v>
      </c>
      <c r="N1715" s="2">
        <f t="array" ref="N1715">IF(M1715&lt;&gt;"INC", INDEX(data!M:M, MATCH(B1715, data!D:D, 0)), "")</f>
        <v>1</v>
      </c>
      <c r="O1715" s="2">
        <f t="shared" si="3"/>
        <v>1</v>
      </c>
    </row>
    <row r="1716">
      <c r="A1716" s="2" t="str">
        <f t="shared" si="1"/>
        <v>H030790</v>
      </c>
      <c r="B1716" s="1" t="s">
        <v>4757</v>
      </c>
      <c r="C1716" s="9" t="str">
        <f t="array" ref="C1716">IF(
  AND(
    IFERROR(MATCH(Caseslist!B1716, data!D:D, 0), 0) &gt; 0,
    IFERROR(INDEX(data!N:N, MATCH(Caseslist!B1716, data!D:D, 0)) = 1, FALSE)
  ),
  "COMPLETE",
  "INC"
)</f>
        <v>COMPLETE</v>
      </c>
      <c r="D1716" s="9" t="str">
        <f t="array" ref="D1716">IFERROR(INDEX(data!$G:$G,match(Caseslist!B1716,data!$D:$D,0)), "INC")</f>
        <v>G5472901</v>
      </c>
      <c r="E1716" s="9" t="str">
        <f t="array" ref="E1716">IFERROR(INDEX(data!H:H,match(Caseslist!B1716,data!D:D,0)), "INC")</f>
        <v>Wellyn Grace Alaban Parcia</v>
      </c>
      <c r="F1716" s="10" t="str">
        <f t="array" ref="F1716">IF(
    OR(
      IFNA(INDEX(data!M:M, MATCH(Caseslist!B1716, data!D:D, 0)), "") = "",
      IFNA(INDEX(data!M:M, MATCH(Caseslist!B1716, data!D:D, 0)), 0) = 0
    ),
    "COMPLETE",
    IF(
      IFNA(INDEX(dataICM!D:D, MATCH(Caseslist!B1716, dataICM!D:D, 0)), "INC") = "INC",
      IFNA(INDEX(dataICM!D:D, MATCH(Caseslist!B1716, dataICM!D:D, 0)), "INC"),
      "COMPLETE"
    )
  )</f>
        <v>COMPLETE</v>
      </c>
      <c r="G1716" s="10" t="str">
        <f t="array" ref="G1716">IF(IFERROR(INDEX(data!L:L,match(Caseslist!B1716,data!D:D,0)),"INC")="","COMPLETE",F1716)</f>
        <v>COMPLETE</v>
      </c>
      <c r="H1716" s="9" t="str">
        <f t="array" ref="H1716">IFERROR(INDEX(dataICM!F:F,match(Caseslist!B1716,dataICM!D:D,0)), "INC")</f>
        <v>Wellyn Grace Alaban Parcia</v>
      </c>
      <c r="I1716" s="10" t="str">
        <f t="shared" si="2"/>
        <v>G5472901</v>
      </c>
      <c r="J1716" s="9" t="str">
        <f t="array" ref="J1716">IF(
  AND(
    IFERROR(MATCH(B1716, data!D:D, 0), 0) &gt; 0,
    IFERROR(INDEX(data!N:N, MATCH(B1716, data!D:D, 0)) = 1, FALSE)
  ),
  INDEX(data!C:C, MATCH(B1716, data!D:D, 0)),
  "INC"
)</f>
        <v>2025-09-09T14:57:49.647+08</v>
      </c>
      <c r="K1716" s="9" t="str">
        <f t="array" ref="K1716">IFERROR(INDEX(dataICM!C:C,match(Caseslist!B1716,dataICM!D:D,0)), "INC")</f>
        <v>2025-09-09T15:07:44.140+08</v>
      </c>
      <c r="L1716" s="10" t="str">
        <f t="array" ref="L1716">IF(AND(G1716="COMPLETE", OR(K1716="INC", ISBLANK(INDEX(data!O:O, ROW())))), J1716, K1716)</f>
        <v>2025-09-09T15:07:44.140+08</v>
      </c>
      <c r="M1716" s="2">
        <v>45909.0</v>
      </c>
      <c r="N1716" s="2">
        <f t="array" ref="N1716">IF(M1716&lt;&gt;"INC", INDEX(data!M:M, MATCH(B1716, data!D:D, 0)), "")</f>
        <v>1</v>
      </c>
      <c r="O1716" s="2">
        <f t="shared" si="3"/>
        <v>1</v>
      </c>
    </row>
    <row r="1717">
      <c r="A1717" s="2" t="str">
        <f t="shared" si="1"/>
        <v>H030790</v>
      </c>
      <c r="B1717" s="1" t="s">
        <v>5042</v>
      </c>
      <c r="C1717" s="9" t="str">
        <f t="array" ref="C1717">IF(
  AND(
    IFERROR(MATCH(Caseslist!B1717, data!D:D, 0), 0) &gt; 0,
    IFERROR(INDEX(data!N:N, MATCH(Caseslist!B1717, data!D:D, 0)) = 1, FALSE)
  ),
  "COMPLETE",
  "INC"
)</f>
        <v>COMPLETE</v>
      </c>
      <c r="D1717" s="9" t="str">
        <f t="array" ref="D1717">IFERROR(INDEX(data!$G:$G,match(Caseslist!B1717,data!$D:$D,0)), "INC")</f>
        <v>F3051749</v>
      </c>
      <c r="E1717" s="9" t="str">
        <f t="array" ref="E1717">IFERROR(INDEX(data!H:H,match(Caseslist!B1717,data!D:D,0)), "INC")</f>
        <v>Elenita Gicos De La Pe�a</v>
      </c>
      <c r="F1717" s="10" t="str">
        <f t="array" ref="F1717">IF(
    OR(
      IFNA(INDEX(data!M:M, MATCH(Caseslist!B1717, data!D:D, 0)), "") = "",
      IFNA(INDEX(data!M:M, MATCH(Caseslist!B1717, data!D:D, 0)), 0) = 0
    ),
    "COMPLETE",
    IF(
      IFNA(INDEX(dataICM!D:D, MATCH(Caseslist!B1717, dataICM!D:D, 0)), "INC") = "INC",
      IFNA(INDEX(dataICM!D:D, MATCH(Caseslist!B1717, dataICM!D:D, 0)), "INC"),
      "COMPLETE"
    )
  )</f>
        <v>COMPLETE</v>
      </c>
      <c r="G1717" s="10" t="str">
        <f t="array" ref="G1717">IF(IFERROR(INDEX(data!L:L,match(Caseslist!B1717,data!D:D,0)),"INC")="","COMPLETE",F1717)</f>
        <v>COMPLETE</v>
      </c>
      <c r="H1717" s="9" t="str">
        <f t="array" ref="H1717">IFERROR(INDEX(dataICM!F:F,match(Caseslist!B1717,dataICM!D:D,0)), "INC")</f>
        <v>Elenita Gicos De La Pe�a</v>
      </c>
      <c r="I1717" s="10" t="str">
        <f t="shared" si="2"/>
        <v>F3051749</v>
      </c>
      <c r="J1717" s="9" t="str">
        <f t="array" ref="J1717">IF(
  AND(
    IFERROR(MATCH(B1717, data!D:D, 0), 0) &gt; 0,
    IFERROR(INDEX(data!N:N, MATCH(B1717, data!D:D, 0)) = 1, FALSE)
  ),
  INDEX(data!C:C, MATCH(B1717, data!D:D, 0)),
  "INC"
)</f>
        <v>2025-09-09T15:01:56.796+08</v>
      </c>
      <c r="K1717" s="9" t="str">
        <f t="array" ref="K1717">IFERROR(INDEX(dataICM!C:C,match(Caseslist!B1717,dataICM!D:D,0)), "INC")</f>
        <v>2025-09-09T15:16:52.526+08</v>
      </c>
      <c r="L1717" s="10" t="str">
        <f t="array" ref="L1717">IF(AND(G1717="COMPLETE", OR(K1717="INC", ISBLANK(INDEX(data!O:O, ROW())))), J1717, K1717)</f>
        <v>2025-09-09T15:16:52.526+08</v>
      </c>
      <c r="M1717" s="2">
        <v>45909.0</v>
      </c>
      <c r="N1717" s="2">
        <f t="array" ref="N1717">IF(M1717&lt;&gt;"INC", INDEX(data!M:M, MATCH(B1717, data!D:D, 0)), "")</f>
        <v>1</v>
      </c>
      <c r="O1717" s="2">
        <f t="shared" si="3"/>
        <v>1</v>
      </c>
    </row>
    <row r="1718">
      <c r="A1718" s="2" t="str">
        <f t="shared" si="1"/>
        <v>H030790</v>
      </c>
      <c r="B1718" s="1" t="s">
        <v>4762</v>
      </c>
      <c r="C1718" s="9" t="str">
        <f t="array" ref="C1718">IF(
  AND(
    IFERROR(MATCH(Caseslist!B1718, data!D:D, 0), 0) &gt; 0,
    IFERROR(INDEX(data!N:N, MATCH(Caseslist!B1718, data!D:D, 0)) = 1, FALSE)
  ),
  "COMPLETE",
  "INC"
)</f>
        <v>COMPLETE</v>
      </c>
      <c r="D1718" s="9" t="str">
        <f t="array" ref="D1718">IFERROR(INDEX(data!$G:$G,match(Caseslist!B1718,data!$D:$D,0)), "INC")</f>
        <v>H2846135</v>
      </c>
      <c r="E1718" s="9" t="str">
        <f t="array" ref="E1718">IFERROR(INDEX(data!H:H,match(Caseslist!B1718,data!D:D,0)), "INC")</f>
        <v>Annalou Empanado Encontro</v>
      </c>
      <c r="F1718" s="10" t="str">
        <f t="array" ref="F1718">IF(
    OR(
      IFNA(INDEX(data!M:M, MATCH(Caseslist!B1718, data!D:D, 0)), "") = "",
      IFNA(INDEX(data!M:M, MATCH(Caseslist!B1718, data!D:D, 0)), 0) = 0
    ),
    "COMPLETE",
    IF(
      IFNA(INDEX(dataICM!D:D, MATCH(Caseslist!B1718, dataICM!D:D, 0)), "INC") = "INC",
      IFNA(INDEX(dataICM!D:D, MATCH(Caseslist!B1718, dataICM!D:D, 0)), "INC"),
      "COMPLETE"
    )
  )</f>
        <v>COMPLETE</v>
      </c>
      <c r="G1718" s="10" t="str">
        <f t="array" ref="G1718">IF(IFERROR(INDEX(data!L:L,match(Caseslist!B1718,data!D:D,0)),"INC")="","COMPLETE",F1718)</f>
        <v>COMPLETE</v>
      </c>
      <c r="H1718" s="9" t="str">
        <f t="array" ref="H1718">IFERROR(INDEX(dataICM!F:F,match(Caseslist!B1718,dataICM!D:D,0)), "INC")</f>
        <v>Annalou Empanado Encontro</v>
      </c>
      <c r="I1718" s="10" t="str">
        <f t="shared" si="2"/>
        <v>H2846135</v>
      </c>
      <c r="J1718" s="9" t="str">
        <f t="array" ref="J1718">IF(
  AND(
    IFERROR(MATCH(B1718, data!D:D, 0), 0) &gt; 0,
    IFERROR(INDEX(data!N:N, MATCH(B1718, data!D:D, 0)) = 1, FALSE)
  ),
  INDEX(data!C:C, MATCH(B1718, data!D:D, 0)),
  "INC"
)</f>
        <v>2025-09-09T15:43:48.898+08</v>
      </c>
      <c r="K1718" s="9" t="str">
        <f t="array" ref="K1718">IFERROR(INDEX(dataICM!C:C,match(Caseslist!B1718,dataICM!D:D,0)), "INC")</f>
        <v>2025-09-09T16:08:47.776+08</v>
      </c>
      <c r="L1718" s="10" t="str">
        <f t="array" ref="L1718">IF(AND(G1718="COMPLETE", OR(K1718="INC", ISBLANK(INDEX(data!O:O, ROW())))), J1718, K1718)</f>
        <v>2025-09-09T16:08:47.776+08</v>
      </c>
      <c r="M1718" s="2">
        <v>45909.0</v>
      </c>
      <c r="N1718" s="2">
        <f t="array" ref="N1718">IF(M1718&lt;&gt;"INC", INDEX(data!M:M, MATCH(B1718, data!D:D, 0)), "")</f>
        <v>1</v>
      </c>
      <c r="O1718" s="2">
        <f t="shared" si="3"/>
        <v>1</v>
      </c>
    </row>
    <row r="1719">
      <c r="A1719" s="2" t="str">
        <f t="shared" si="1"/>
        <v>H030790</v>
      </c>
      <c r="B1719" s="1" t="s">
        <v>4782</v>
      </c>
      <c r="C1719" s="9" t="str">
        <f t="array" ref="C1719">IF(
  AND(
    IFERROR(MATCH(Caseslist!B1719, data!D:D, 0), 0) &gt; 0,
    IFERROR(INDEX(data!N:N, MATCH(Caseslist!B1719, data!D:D, 0)) = 1, FALSE)
  ),
  "COMPLETE",
  "INC"
)</f>
        <v>COMPLETE</v>
      </c>
      <c r="D1719" s="9" t="str">
        <f t="array" ref="D1719">IFERROR(INDEX(data!$G:$G,match(Caseslist!B1719,data!$D:$D,0)), "INC")</f>
        <v>H2846135</v>
      </c>
      <c r="E1719" s="9" t="str">
        <f t="array" ref="E1719">IFERROR(INDEX(data!H:H,match(Caseslist!B1719,data!D:D,0)), "INC")</f>
        <v>Annalou Empanado Encontro</v>
      </c>
      <c r="F1719" s="10" t="str">
        <f t="array" ref="F1719">IF(
    OR(
      IFNA(INDEX(data!M:M, MATCH(Caseslist!B1719, data!D:D, 0)), "") = "",
      IFNA(INDEX(data!M:M, MATCH(Caseslist!B1719, data!D:D, 0)), 0) = 0
    ),
    "COMPLETE",
    IF(
      IFNA(INDEX(dataICM!D:D, MATCH(Caseslist!B1719, dataICM!D:D, 0)), "INC") = "INC",
      IFNA(INDEX(dataICM!D:D, MATCH(Caseslist!B1719, dataICM!D:D, 0)), "INC"),
      "COMPLETE"
    )
  )</f>
        <v>COMPLETE</v>
      </c>
      <c r="G1719" s="10" t="str">
        <f t="array" ref="G1719">IF(IFERROR(INDEX(data!L:L,match(Caseslist!B1719,data!D:D,0)),"INC")="","COMPLETE",F1719)</f>
        <v>COMPLETE</v>
      </c>
      <c r="H1719" s="9" t="str">
        <f t="array" ref="H1719">IFERROR(INDEX(dataICM!F:F,match(Caseslist!B1719,dataICM!D:D,0)), "INC")</f>
        <v>Annalou Empanado Encontro</v>
      </c>
      <c r="I1719" s="10" t="str">
        <f t="shared" si="2"/>
        <v>H2846135</v>
      </c>
      <c r="J1719" s="9" t="str">
        <f t="array" ref="J1719">IF(
  AND(
    IFERROR(MATCH(B1719, data!D:D, 0), 0) &gt; 0,
    IFERROR(INDEX(data!N:N, MATCH(B1719, data!D:D, 0)) = 1, FALSE)
  ),
  INDEX(data!C:C, MATCH(B1719, data!D:D, 0)),
  "INC"
)</f>
        <v>2025-09-09T12:45:29.486+08</v>
      </c>
      <c r="K1719" s="9" t="str">
        <f t="array" ref="K1719">IFERROR(INDEX(dataICM!C:C,match(Caseslist!B1719,dataICM!D:D,0)), "INC")</f>
        <v>2025-09-09T13:00:21.151+08</v>
      </c>
      <c r="L1719" s="10" t="str">
        <f t="array" ref="L1719">IF(AND(G1719="COMPLETE", OR(K1719="INC", ISBLANK(INDEX(data!O:O, ROW())))), J1719, K1719)</f>
        <v>2025-09-09T13:00:21.151+08</v>
      </c>
      <c r="M1719" s="2">
        <v>45909.0</v>
      </c>
      <c r="N1719" s="2">
        <f t="array" ref="N1719">IF(M1719&lt;&gt;"INC", INDEX(data!M:M, MATCH(B1719, data!D:D, 0)), "")</f>
        <v>1</v>
      </c>
      <c r="O1719" s="2">
        <f t="shared" si="3"/>
        <v>1</v>
      </c>
    </row>
    <row r="1720">
      <c r="A1720" s="2" t="str">
        <f t="shared" si="1"/>
        <v>H030790</v>
      </c>
      <c r="B1720" s="1" t="s">
        <v>4772</v>
      </c>
      <c r="C1720" s="9" t="str">
        <f t="array" ref="C1720">IF(
  AND(
    IFERROR(MATCH(Caseslist!B1720, data!D:D, 0), 0) &gt; 0,
    IFERROR(INDEX(data!N:N, MATCH(Caseslist!B1720, data!D:D, 0)) = 1, FALSE)
  ),
  "COMPLETE",
  "INC"
)</f>
        <v>COMPLETE</v>
      </c>
      <c r="D1720" s="9" t="str">
        <f t="array" ref="D1720">IFERROR(INDEX(data!$G:$G,match(Caseslist!B1720,data!$D:$D,0)), "INC")</f>
        <v>F3051749</v>
      </c>
      <c r="E1720" s="9" t="str">
        <f t="array" ref="E1720">IFERROR(INDEX(data!H:H,match(Caseslist!B1720,data!D:D,0)), "INC")</f>
        <v>Elenita Gicos De La Pe�a</v>
      </c>
      <c r="F1720" s="10" t="str">
        <f t="array" ref="F1720">IF(
    OR(
      IFNA(INDEX(data!M:M, MATCH(Caseslist!B1720, data!D:D, 0)), "") = "",
      IFNA(INDEX(data!M:M, MATCH(Caseslist!B1720, data!D:D, 0)), 0) = 0
    ),
    "COMPLETE",
    IF(
      IFNA(INDEX(dataICM!D:D, MATCH(Caseslist!B1720, dataICM!D:D, 0)), "INC") = "INC",
      IFNA(INDEX(dataICM!D:D, MATCH(Caseslist!B1720, dataICM!D:D, 0)), "INC"),
      "COMPLETE"
    )
  )</f>
        <v>INC</v>
      </c>
      <c r="G1720" s="10" t="str">
        <f t="array" ref="G1720">IF(IFERROR(INDEX(data!L:L,match(Caseslist!B1720,data!D:D,0)),"INC")="","COMPLETE",F1720)</f>
        <v>INC</v>
      </c>
      <c r="H1720" s="9" t="str">
        <f t="array" ref="H1720">IFERROR(INDEX(dataICM!F:F,match(Caseslist!B1720,dataICM!D:D,0)), "INC")</f>
        <v>INC</v>
      </c>
      <c r="I1720" s="10" t="str">
        <f t="shared" si="2"/>
        <v>INC</v>
      </c>
      <c r="J1720" s="9" t="str">
        <f t="array" ref="J1720">IF(
  AND(
    IFERROR(MATCH(B1720, data!D:D, 0), 0) &gt; 0,
    IFERROR(INDEX(data!N:N, MATCH(B1720, data!D:D, 0)) = 1, FALSE)
  ),
  INDEX(data!C:C, MATCH(B1720, data!D:D, 0)),
  "INC"
)</f>
        <v>2025-10-01T12:14:59.520+08</v>
      </c>
      <c r="K1720" s="9" t="str">
        <f t="array" ref="K1720">IFERROR(INDEX(dataICM!C:C,match(Caseslist!B1720,dataICM!D:D,0)), "INC")</f>
        <v>INC</v>
      </c>
      <c r="L1720" s="10" t="str">
        <f t="array" ref="L1720">IF(AND(G1720="COMPLETE", OR(K1720="INC", ISBLANK(INDEX(data!O:O, ROW())))), J1720, K1720)</f>
        <v>INC</v>
      </c>
      <c r="M1720" s="2" t="s">
        <v>8886</v>
      </c>
      <c r="N1720" s="2" t="str">
        <f t="array" ref="N1720">IF(M1720&lt;&gt;"INC", INDEX(data!M:M, MATCH(B1720, data!D:D, 0)), "")</f>
        <v/>
      </c>
      <c r="O1720" s="2" t="str">
        <f t="shared" si="3"/>
        <v/>
      </c>
    </row>
    <row r="1721">
      <c r="A1721" s="2" t="str">
        <f t="shared" si="1"/>
        <v>H030790</v>
      </c>
      <c r="B1721" s="1" t="s">
        <v>5052</v>
      </c>
      <c r="C1721" s="9" t="str">
        <f t="array" ref="C1721">IF(
  AND(
    IFERROR(MATCH(Caseslist!B1721, data!D:D, 0), 0) &gt; 0,
    IFERROR(INDEX(data!N:N, MATCH(Caseslist!B1721, data!D:D, 0)) = 1, FALSE)
  ),
  "COMPLETE",
  "INC"
)</f>
        <v>COMPLETE</v>
      </c>
      <c r="D1721" s="9" t="str">
        <f t="array" ref="D1721">IFERROR(INDEX(data!$G:$G,match(Caseslist!B1721,data!$D:$D,0)), "INC")</f>
        <v>F3051749</v>
      </c>
      <c r="E1721" s="9" t="str">
        <f t="array" ref="E1721">IFERROR(INDEX(data!H:H,match(Caseslist!B1721,data!D:D,0)), "INC")</f>
        <v>Elenita Gicos De La Pe�a</v>
      </c>
      <c r="F1721" s="10" t="str">
        <f t="array" ref="F1721">IF(
    OR(
      IFNA(INDEX(data!M:M, MATCH(Caseslist!B1721, data!D:D, 0)), "") = "",
      IFNA(INDEX(data!M:M, MATCH(Caseslist!B1721, data!D:D, 0)), 0) = 0
    ),
    "COMPLETE",
    IF(
      IFNA(INDEX(dataICM!D:D, MATCH(Caseslist!B1721, dataICM!D:D, 0)), "INC") = "INC",
      IFNA(INDEX(dataICM!D:D, MATCH(Caseslist!B1721, dataICM!D:D, 0)), "INC"),
      "COMPLETE"
    )
  )</f>
        <v>COMPLETE</v>
      </c>
      <c r="G1721" s="10" t="str">
        <f t="array" ref="G1721">IF(IFERROR(INDEX(data!L:L,match(Caseslist!B1721,data!D:D,0)),"INC")="","COMPLETE",F1721)</f>
        <v>COMPLETE</v>
      </c>
      <c r="H1721" s="9" t="str">
        <f t="array" ref="H1721">IFERROR(INDEX(dataICM!F:F,match(Caseslist!B1721,dataICM!D:D,0)), "INC")</f>
        <v>Elenita Gicos De La Pe�a</v>
      </c>
      <c r="I1721" s="10" t="str">
        <f t="shared" si="2"/>
        <v>F3051749</v>
      </c>
      <c r="J1721" s="9" t="str">
        <f t="array" ref="J1721">IF(
  AND(
    IFERROR(MATCH(B1721, data!D:D, 0), 0) &gt; 0,
    IFERROR(INDEX(data!N:N, MATCH(B1721, data!D:D, 0)) = 1, FALSE)
  ),
  INDEX(data!C:C, MATCH(B1721, data!D:D, 0)),
  "INC"
)</f>
        <v>2025-09-09T12:50:13.750+08</v>
      </c>
      <c r="K1721" s="9" t="str">
        <f t="array" ref="K1721">IFERROR(INDEX(dataICM!C:C,match(Caseslist!B1721,dataICM!D:D,0)), "INC")</f>
        <v>2025-09-09T13:04:25.016+08</v>
      </c>
      <c r="L1721" s="10" t="str">
        <f t="array" ref="L1721">IF(AND(G1721="COMPLETE", OR(K1721="INC", ISBLANK(INDEX(data!O:O, ROW())))), J1721, K1721)</f>
        <v>2025-09-09T13:04:25.016+08</v>
      </c>
      <c r="M1721" s="2">
        <v>45909.0</v>
      </c>
      <c r="N1721" s="2">
        <f t="array" ref="N1721">IF(M1721&lt;&gt;"INC", INDEX(data!M:M, MATCH(B1721, data!D:D, 0)), "")</f>
        <v>1</v>
      </c>
      <c r="O1721" s="2">
        <f t="shared" si="3"/>
        <v>1</v>
      </c>
    </row>
    <row r="1722">
      <c r="A1722" s="2" t="str">
        <f t="shared" si="1"/>
        <v>H030792</v>
      </c>
      <c r="B1722" s="1" t="s">
        <v>4547</v>
      </c>
      <c r="C1722" s="9" t="str">
        <f t="array" ref="C1722">IF(
  AND(
    IFERROR(MATCH(Caseslist!B1722, data!D:D, 0), 0) &gt; 0,
    IFERROR(INDEX(data!N:N, MATCH(Caseslist!B1722, data!D:D, 0)) = 1, FALSE)
  ),
  "COMPLETE",
  "INC"
)</f>
        <v>COMPLETE</v>
      </c>
      <c r="D1722" s="9" t="str">
        <f t="array" ref="D1722">IFERROR(INDEX(data!$G:$G,match(Caseslist!B1722,data!$D:$D,0)), "INC")</f>
        <v>G5472901</v>
      </c>
      <c r="E1722" s="9" t="str">
        <f t="array" ref="E1722">IFERROR(INDEX(data!H:H,match(Caseslist!B1722,data!D:D,0)), "INC")</f>
        <v>Wellyn Grace Alaban Parcia</v>
      </c>
      <c r="F1722" s="10" t="str">
        <f t="array" ref="F1722">IF(
    OR(
      IFNA(INDEX(data!M:M, MATCH(Caseslist!B1722, data!D:D, 0)), "") = "",
      IFNA(INDEX(data!M:M, MATCH(Caseslist!B1722, data!D:D, 0)), 0) = 0
    ),
    "COMPLETE",
    IF(
      IFNA(INDEX(dataICM!D:D, MATCH(Caseslist!B1722, dataICM!D:D, 0)), "INC") = "INC",
      IFNA(INDEX(dataICM!D:D, MATCH(Caseslist!B1722, dataICM!D:D, 0)), "INC"),
      "COMPLETE"
    )
  )</f>
        <v>COMPLETE</v>
      </c>
      <c r="G1722" s="10" t="str">
        <f t="array" ref="G1722">IF(IFERROR(INDEX(data!L:L,match(Caseslist!B1722,data!D:D,0)),"INC")="","COMPLETE",F1722)</f>
        <v>COMPLETE</v>
      </c>
      <c r="H1722" s="9" t="str">
        <f t="array" ref="H1722">IFERROR(INDEX(dataICM!F:F,match(Caseslist!B1722,dataICM!D:D,0)), "INC")</f>
        <v>INC</v>
      </c>
      <c r="I1722" s="10" t="str">
        <f t="shared" si="2"/>
        <v>G5472901</v>
      </c>
      <c r="J1722" s="9" t="str">
        <f t="array" ref="J1722">IF(
  AND(
    IFERROR(MATCH(B1722, data!D:D, 0), 0) &gt; 0,
    IFERROR(INDEX(data!N:N, MATCH(B1722, data!D:D, 0)) = 1, FALSE)
  ),
  INDEX(data!C:C, MATCH(B1722, data!D:D, 0)),
  "INC"
)</f>
        <v>2025-09-08T13:03:11.984+08</v>
      </c>
      <c r="K1722" s="9" t="str">
        <f t="array" ref="K1722">IFERROR(INDEX(dataICM!C:C,match(Caseslist!B1722,dataICM!D:D,0)), "INC")</f>
        <v>INC</v>
      </c>
      <c r="L1722" s="10" t="str">
        <f t="array" ref="L1722">IF(AND(G1722="COMPLETE", OR(K1722="INC", ISBLANK(INDEX(data!O:O, ROW())))), J1722, K1722)</f>
        <v>2025-09-08T13:03:11.984+08</v>
      </c>
      <c r="M1722" s="2">
        <v>45908.0</v>
      </c>
      <c r="N1722" s="2">
        <f t="array" ref="N1722">IF(M1722&lt;&gt;"INC", INDEX(data!M:M, MATCH(B1722, data!D:D, 0)), "")</f>
        <v>0</v>
      </c>
      <c r="O1722" s="2">
        <f t="shared" si="3"/>
        <v>0</v>
      </c>
    </row>
    <row r="1723">
      <c r="A1723" s="2" t="str">
        <f t="shared" si="1"/>
        <v>H030792</v>
      </c>
      <c r="B1723" s="1" t="s">
        <v>4542</v>
      </c>
      <c r="C1723" s="9" t="str">
        <f t="array" ref="C1723">IF(
  AND(
    IFERROR(MATCH(Caseslist!B1723, data!D:D, 0), 0) &gt; 0,
    IFERROR(INDEX(data!N:N, MATCH(Caseslist!B1723, data!D:D, 0)) = 1, FALSE)
  ),
  "COMPLETE",
  "INC"
)</f>
        <v>COMPLETE</v>
      </c>
      <c r="D1723" s="9" t="str">
        <f t="array" ref="D1723">IFERROR(INDEX(data!$G:$G,match(Caseslist!B1723,data!$D:$D,0)), "INC")</f>
        <v>G5472901</v>
      </c>
      <c r="E1723" s="9" t="str">
        <f t="array" ref="E1723">IFERROR(INDEX(data!H:H,match(Caseslist!B1723,data!D:D,0)), "INC")</f>
        <v>Wellyn Grace Alaban Parcia</v>
      </c>
      <c r="F1723" s="10" t="str">
        <f t="array" ref="F1723">IF(
    OR(
      IFNA(INDEX(data!M:M, MATCH(Caseslist!B1723, data!D:D, 0)), "") = "",
      IFNA(INDEX(data!M:M, MATCH(Caseslist!B1723, data!D:D, 0)), 0) = 0
    ),
    "COMPLETE",
    IF(
      IFNA(INDEX(dataICM!D:D, MATCH(Caseslist!B1723, dataICM!D:D, 0)), "INC") = "INC",
      IFNA(INDEX(dataICM!D:D, MATCH(Caseslist!B1723, dataICM!D:D, 0)), "INC"),
      "COMPLETE"
    )
  )</f>
        <v>COMPLETE</v>
      </c>
      <c r="G1723" s="10" t="str">
        <f t="array" ref="G1723">IF(IFERROR(INDEX(data!L:L,match(Caseslist!B1723,data!D:D,0)),"INC")="","COMPLETE",F1723)</f>
        <v>COMPLETE</v>
      </c>
      <c r="H1723" s="9" t="str">
        <f t="array" ref="H1723">IFERROR(INDEX(dataICM!F:F,match(Caseslist!B1723,dataICM!D:D,0)), "INC")</f>
        <v>INC</v>
      </c>
      <c r="I1723" s="10" t="str">
        <f t="shared" si="2"/>
        <v>G5472901</v>
      </c>
      <c r="J1723" s="9" t="str">
        <f t="array" ref="J1723">IF(
  AND(
    IFERROR(MATCH(B1723, data!D:D, 0), 0) &gt; 0,
    IFERROR(INDEX(data!N:N, MATCH(B1723, data!D:D, 0)) = 1, FALSE)
  ),
  INDEX(data!C:C, MATCH(B1723, data!D:D, 0)),
  "INC"
)</f>
        <v>2025-09-08T18:39:41.966+08</v>
      </c>
      <c r="K1723" s="9" t="str">
        <f t="array" ref="K1723">IFERROR(INDEX(dataICM!C:C,match(Caseslist!B1723,dataICM!D:D,0)), "INC")</f>
        <v>INC</v>
      </c>
      <c r="L1723" s="10" t="str">
        <f t="array" ref="L1723">IF(AND(G1723="COMPLETE", OR(K1723="INC", ISBLANK(INDEX(data!O:O, ROW())))), J1723, K1723)</f>
        <v>2025-09-08T18:39:41.966+08</v>
      </c>
      <c r="M1723" s="2">
        <v>45908.0</v>
      </c>
      <c r="N1723" s="2">
        <f t="array" ref="N1723">IF(M1723&lt;&gt;"INC", INDEX(data!M:M, MATCH(B1723, data!D:D, 0)), "")</f>
        <v>0</v>
      </c>
      <c r="O1723" s="2">
        <f t="shared" si="3"/>
        <v>0</v>
      </c>
    </row>
    <row r="1724">
      <c r="A1724" s="2" t="str">
        <f t="shared" si="1"/>
        <v>H030792</v>
      </c>
      <c r="B1724" s="1" t="s">
        <v>4442</v>
      </c>
      <c r="C1724" s="9" t="str">
        <f t="array" ref="C1724">IF(
  AND(
    IFERROR(MATCH(Caseslist!B1724, data!D:D, 0), 0) &gt; 0,
    IFERROR(INDEX(data!N:N, MATCH(Caseslist!B1724, data!D:D, 0)) = 1, FALSE)
  ),
  "COMPLETE",
  "INC"
)</f>
        <v>COMPLETE</v>
      </c>
      <c r="D1724" s="9" t="str">
        <f t="array" ref="D1724">IFERROR(INDEX(data!$G:$G,match(Caseslist!B1724,data!$D:$D,0)), "INC")</f>
        <v>F3051749</v>
      </c>
      <c r="E1724" s="9" t="str">
        <f t="array" ref="E1724">IFERROR(INDEX(data!H:H,match(Caseslist!B1724,data!D:D,0)), "INC")</f>
        <v>Elenita Gicos De La Pe�a</v>
      </c>
      <c r="F1724" s="10" t="str">
        <f t="array" ref="F1724">IF(
    OR(
      IFNA(INDEX(data!M:M, MATCH(Caseslist!B1724, data!D:D, 0)), "") = "",
      IFNA(INDEX(data!M:M, MATCH(Caseslist!B1724, data!D:D, 0)), 0) = 0
    ),
    "COMPLETE",
    IF(
      IFNA(INDEX(dataICM!D:D, MATCH(Caseslist!B1724, dataICM!D:D, 0)), "INC") = "INC",
      IFNA(INDEX(dataICM!D:D, MATCH(Caseslist!B1724, dataICM!D:D, 0)), "INC"),
      "COMPLETE"
    )
  )</f>
        <v>COMPLETE</v>
      </c>
      <c r="G1724" s="10" t="str">
        <f t="array" ref="G1724">IF(IFERROR(INDEX(data!L:L,match(Caseslist!B1724,data!D:D,0)),"INC")="","COMPLETE",F1724)</f>
        <v>COMPLETE</v>
      </c>
      <c r="H1724" s="9" t="str">
        <f t="array" ref="H1724">IFERROR(INDEX(dataICM!F:F,match(Caseslist!B1724,dataICM!D:D,0)), "INC")</f>
        <v>INC</v>
      </c>
      <c r="I1724" s="10" t="str">
        <f t="shared" si="2"/>
        <v>F3051749</v>
      </c>
      <c r="J1724" s="9" t="str">
        <f t="array" ref="J1724">IF(
  AND(
    IFERROR(MATCH(B1724, data!D:D, 0), 0) &gt; 0,
    IFERROR(INDEX(data!N:N, MATCH(B1724, data!D:D, 0)) = 1, FALSE)
  ),
  INDEX(data!C:C, MATCH(B1724, data!D:D, 0)),
  "INC"
)</f>
        <v>2025-09-08T10:00:24.313+08</v>
      </c>
      <c r="K1724" s="9" t="str">
        <f t="array" ref="K1724">IFERROR(INDEX(dataICM!C:C,match(Caseslist!B1724,dataICM!D:D,0)), "INC")</f>
        <v>INC</v>
      </c>
      <c r="L1724" s="10" t="str">
        <f t="array" ref="L1724">IF(AND(G1724="COMPLETE", OR(K1724="INC", ISBLANK(INDEX(data!O:O, ROW())))), J1724, K1724)</f>
        <v>2025-09-08T10:00:24.313+08</v>
      </c>
      <c r="M1724" s="2">
        <v>45908.0</v>
      </c>
      <c r="N1724" s="2">
        <f t="array" ref="N1724">IF(M1724&lt;&gt;"INC", INDEX(data!M:M, MATCH(B1724, data!D:D, 0)), "")</f>
        <v>0</v>
      </c>
      <c r="O1724" s="2">
        <f t="shared" si="3"/>
        <v>0</v>
      </c>
    </row>
    <row r="1725">
      <c r="A1725" s="2" t="str">
        <f t="shared" si="1"/>
        <v>H030792</v>
      </c>
      <c r="B1725" s="1" t="s">
        <v>4327</v>
      </c>
      <c r="C1725" s="9" t="str">
        <f t="array" ref="C1725">IF(
  AND(
    IFERROR(MATCH(Caseslist!B1725, data!D:D, 0), 0) &gt; 0,
    IFERROR(INDEX(data!N:N, MATCH(Caseslist!B1725, data!D:D, 0)) = 1, FALSE)
  ),
  "COMPLETE",
  "INC"
)</f>
        <v>COMPLETE</v>
      </c>
      <c r="D1725" s="9" t="str">
        <f t="array" ref="D1725">IFERROR(INDEX(data!$G:$G,match(Caseslist!B1725,data!$D:$D,0)), "INC")</f>
        <v>F3051749</v>
      </c>
      <c r="E1725" s="9" t="str">
        <f t="array" ref="E1725">IFERROR(INDEX(data!H:H,match(Caseslist!B1725,data!D:D,0)), "INC")</f>
        <v>Elenita Gicos De La Pe�a</v>
      </c>
      <c r="F1725" s="10" t="str">
        <f t="array" ref="F1725">IF(
    OR(
      IFNA(INDEX(data!M:M, MATCH(Caseslist!B1725, data!D:D, 0)), "") = "",
      IFNA(INDEX(data!M:M, MATCH(Caseslist!B1725, data!D:D, 0)), 0) = 0
    ),
    "COMPLETE",
    IF(
      IFNA(INDEX(dataICM!D:D, MATCH(Caseslist!B1725, dataICM!D:D, 0)), "INC") = "INC",
      IFNA(INDEX(dataICM!D:D, MATCH(Caseslist!B1725, dataICM!D:D, 0)), "INC"),
      "COMPLETE"
    )
  )</f>
        <v>COMPLETE</v>
      </c>
      <c r="G1725" s="10" t="str">
        <f t="array" ref="G1725">IF(IFERROR(INDEX(data!L:L,match(Caseslist!B1725,data!D:D,0)),"INC")="","COMPLETE",F1725)</f>
        <v>COMPLETE</v>
      </c>
      <c r="H1725" s="9" t="str">
        <f t="array" ref="H1725">IFERROR(INDEX(dataICM!F:F,match(Caseslist!B1725,dataICM!D:D,0)), "INC")</f>
        <v>INC</v>
      </c>
      <c r="I1725" s="10" t="str">
        <f t="shared" si="2"/>
        <v>F3051749</v>
      </c>
      <c r="J1725" s="9" t="str">
        <f t="array" ref="J1725">IF(
  AND(
    IFERROR(MATCH(B1725, data!D:D, 0), 0) &gt; 0,
    IFERROR(INDEX(data!N:N, MATCH(B1725, data!D:D, 0)) = 1, FALSE)
  ),
  INDEX(data!C:C, MATCH(B1725, data!D:D, 0)),
  "INC"
)</f>
        <v>2025-09-06T11:21:30.204+08</v>
      </c>
      <c r="K1725" s="9" t="str">
        <f t="array" ref="K1725">IFERROR(INDEX(dataICM!C:C,match(Caseslist!B1725,dataICM!D:D,0)), "INC")</f>
        <v>INC</v>
      </c>
      <c r="L1725" s="10" t="str">
        <f t="array" ref="L1725">IF(AND(G1725="COMPLETE", OR(K1725="INC", ISBLANK(INDEX(data!O:O, ROW())))), J1725, K1725)</f>
        <v>2025-09-06T11:21:30.204+08</v>
      </c>
      <c r="M1725" s="2">
        <v>45906.0</v>
      </c>
      <c r="N1725" s="2">
        <f t="array" ref="N1725">IF(M1725&lt;&gt;"INC", INDEX(data!M:M, MATCH(B1725, data!D:D, 0)), "")</f>
        <v>0</v>
      </c>
      <c r="O1725" s="2">
        <f t="shared" si="3"/>
        <v>0</v>
      </c>
    </row>
    <row r="1726">
      <c r="A1726" s="2" t="str">
        <f t="shared" si="1"/>
        <v>H030792</v>
      </c>
      <c r="B1726" s="1" t="s">
        <v>4322</v>
      </c>
      <c r="C1726" s="9" t="str">
        <f t="array" ref="C1726">IF(
  AND(
    IFERROR(MATCH(Caseslist!B1726, data!D:D, 0), 0) &gt; 0,
    IFERROR(INDEX(data!N:N, MATCH(Caseslist!B1726, data!D:D, 0)) = 1, FALSE)
  ),
  "COMPLETE",
  "INC"
)</f>
        <v>COMPLETE</v>
      </c>
      <c r="D1726" s="9" t="str">
        <f t="array" ref="D1726">IFERROR(INDEX(data!$G:$G,match(Caseslist!B1726,data!$D:$D,0)), "INC")</f>
        <v>F3051749</v>
      </c>
      <c r="E1726" s="9" t="str">
        <f t="array" ref="E1726">IFERROR(INDEX(data!H:H,match(Caseslist!B1726,data!D:D,0)), "INC")</f>
        <v>Elenita Gicos De La Pe�a</v>
      </c>
      <c r="F1726" s="10" t="str">
        <f t="array" ref="F1726">IF(
    OR(
      IFNA(INDEX(data!M:M, MATCH(Caseslist!B1726, data!D:D, 0)), "") = "",
      IFNA(INDEX(data!M:M, MATCH(Caseslist!B1726, data!D:D, 0)), 0) = 0
    ),
    "COMPLETE",
    IF(
      IFNA(INDEX(dataICM!D:D, MATCH(Caseslist!B1726, dataICM!D:D, 0)), "INC") = "INC",
      IFNA(INDEX(dataICM!D:D, MATCH(Caseslist!B1726, dataICM!D:D, 0)), "INC"),
      "COMPLETE"
    )
  )</f>
        <v>COMPLETE</v>
      </c>
      <c r="G1726" s="10" t="str">
        <f t="array" ref="G1726">IF(IFERROR(INDEX(data!L:L,match(Caseslist!B1726,data!D:D,0)),"INC")="","COMPLETE",F1726)</f>
        <v>COMPLETE</v>
      </c>
      <c r="H1726" s="9" t="str">
        <f t="array" ref="H1726">IFERROR(INDEX(dataICM!F:F,match(Caseslist!B1726,dataICM!D:D,0)), "INC")</f>
        <v>INC</v>
      </c>
      <c r="I1726" s="10" t="str">
        <f t="shared" si="2"/>
        <v>F3051749</v>
      </c>
      <c r="J1726" s="9" t="str">
        <f t="array" ref="J1726">IF(
  AND(
    IFERROR(MATCH(B1726, data!D:D, 0), 0) &gt; 0,
    IFERROR(INDEX(data!N:N, MATCH(B1726, data!D:D, 0)) = 1, FALSE)
  ),
  INDEX(data!C:C, MATCH(B1726, data!D:D, 0)),
  "INC"
)</f>
        <v>2025-09-06T09:57:07.907+08</v>
      </c>
      <c r="K1726" s="9" t="str">
        <f t="array" ref="K1726">IFERROR(INDEX(dataICM!C:C,match(Caseslist!B1726,dataICM!D:D,0)), "INC")</f>
        <v>INC</v>
      </c>
      <c r="L1726" s="10" t="str">
        <f t="array" ref="L1726">IF(AND(G1726="COMPLETE", OR(K1726="INC", ISBLANK(INDEX(data!O:O, ROW())))), J1726, K1726)</f>
        <v>2025-09-06T09:57:07.907+08</v>
      </c>
      <c r="M1726" s="2">
        <v>45906.0</v>
      </c>
      <c r="N1726" s="2">
        <f t="array" ref="N1726">IF(M1726&lt;&gt;"INC", INDEX(data!M:M, MATCH(B1726, data!D:D, 0)), "")</f>
        <v>0</v>
      </c>
      <c r="O1726" s="2">
        <f t="shared" si="3"/>
        <v>0</v>
      </c>
    </row>
    <row r="1727">
      <c r="A1727" s="2" t="str">
        <f t="shared" si="1"/>
        <v>H030792</v>
      </c>
      <c r="B1727" s="1" t="s">
        <v>4552</v>
      </c>
      <c r="C1727" s="9" t="str">
        <f t="array" ref="C1727">IF(
  AND(
    IFERROR(MATCH(Caseslist!B1727, data!D:D, 0), 0) &gt; 0,
    IFERROR(INDEX(data!N:N, MATCH(Caseslist!B1727, data!D:D, 0)) = 1, FALSE)
  ),
  "COMPLETE",
  "INC"
)</f>
        <v>COMPLETE</v>
      </c>
      <c r="D1727" s="9" t="str">
        <f t="array" ref="D1727">IFERROR(INDEX(data!$G:$G,match(Caseslist!B1727,data!$D:$D,0)), "INC")</f>
        <v>G5472901</v>
      </c>
      <c r="E1727" s="9" t="str">
        <f t="array" ref="E1727">IFERROR(INDEX(data!H:H,match(Caseslist!B1727,data!D:D,0)), "INC")</f>
        <v>Wellyn Grace Alaban Parcia</v>
      </c>
      <c r="F1727" s="10" t="str">
        <f t="array" ref="F1727">IF(
    OR(
      IFNA(INDEX(data!M:M, MATCH(Caseslist!B1727, data!D:D, 0)), "") = "",
      IFNA(INDEX(data!M:M, MATCH(Caseslist!B1727, data!D:D, 0)), 0) = 0
    ),
    "COMPLETE",
    IF(
      IFNA(INDEX(dataICM!D:D, MATCH(Caseslist!B1727, dataICM!D:D, 0)), "INC") = "INC",
      IFNA(INDEX(dataICM!D:D, MATCH(Caseslist!B1727, dataICM!D:D, 0)), "INC"),
      "COMPLETE"
    )
  )</f>
        <v>COMPLETE</v>
      </c>
      <c r="G1727" s="10" t="str">
        <f t="array" ref="G1727">IF(IFERROR(INDEX(data!L:L,match(Caseslist!B1727,data!D:D,0)),"INC")="","COMPLETE",F1727)</f>
        <v>COMPLETE</v>
      </c>
      <c r="H1727" s="9" t="str">
        <f t="array" ref="H1727">IFERROR(INDEX(dataICM!F:F,match(Caseslist!B1727,dataICM!D:D,0)), "INC")</f>
        <v>INC</v>
      </c>
      <c r="I1727" s="10" t="str">
        <f t="shared" si="2"/>
        <v>G5472901</v>
      </c>
      <c r="J1727" s="9" t="str">
        <f t="array" ref="J1727">IF(
  AND(
    IFERROR(MATCH(B1727, data!D:D, 0), 0) &gt; 0,
    IFERROR(INDEX(data!N:N, MATCH(B1727, data!D:D, 0)) = 1, FALSE)
  ),
  INDEX(data!C:C, MATCH(B1727, data!D:D, 0)),
  "INC"
)</f>
        <v>2025-09-08T11:30:08.844+08</v>
      </c>
      <c r="K1727" s="9" t="str">
        <f t="array" ref="K1727">IFERROR(INDEX(dataICM!C:C,match(Caseslist!B1727,dataICM!D:D,0)), "INC")</f>
        <v>INC</v>
      </c>
      <c r="L1727" s="10" t="str">
        <f t="array" ref="L1727">IF(AND(G1727="COMPLETE", OR(K1727="INC", ISBLANK(INDEX(data!O:O, ROW())))), J1727, K1727)</f>
        <v>2025-09-08T11:30:08.844+08</v>
      </c>
      <c r="M1727" s="2">
        <v>45908.0</v>
      </c>
      <c r="N1727" s="2">
        <f t="array" ref="N1727">IF(M1727&lt;&gt;"INC", INDEX(data!M:M, MATCH(B1727, data!D:D, 0)), "")</f>
        <v>0</v>
      </c>
      <c r="O1727" s="2">
        <f t="shared" si="3"/>
        <v>0</v>
      </c>
    </row>
    <row r="1728">
      <c r="A1728" s="2" t="str">
        <f t="shared" si="1"/>
        <v>H030792</v>
      </c>
      <c r="B1728" s="1" t="s">
        <v>4557</v>
      </c>
      <c r="C1728" s="9" t="str">
        <f t="array" ref="C1728">IF(
  AND(
    IFERROR(MATCH(Caseslist!B1728, data!D:D, 0), 0) &gt; 0,
    IFERROR(INDEX(data!N:N, MATCH(Caseslist!B1728, data!D:D, 0)) = 1, FALSE)
  ),
  "COMPLETE",
  "INC"
)</f>
        <v>COMPLETE</v>
      </c>
      <c r="D1728" s="9" t="str">
        <f t="array" ref="D1728">IFERROR(INDEX(data!$G:$G,match(Caseslist!B1728,data!$D:$D,0)), "INC")</f>
        <v>G5472901</v>
      </c>
      <c r="E1728" s="9" t="str">
        <f t="array" ref="E1728">IFERROR(INDEX(data!H:H,match(Caseslist!B1728,data!D:D,0)), "INC")</f>
        <v>Wellyn Grace Alaban Parcia</v>
      </c>
      <c r="F1728" s="10" t="str">
        <f t="array" ref="F1728">IF(
    OR(
      IFNA(INDEX(data!M:M, MATCH(Caseslist!B1728, data!D:D, 0)), "") = "",
      IFNA(INDEX(data!M:M, MATCH(Caseslist!B1728, data!D:D, 0)), 0) = 0
    ),
    "COMPLETE",
    IF(
      IFNA(INDEX(dataICM!D:D, MATCH(Caseslist!B1728, dataICM!D:D, 0)), "INC") = "INC",
      IFNA(INDEX(dataICM!D:D, MATCH(Caseslist!B1728, dataICM!D:D, 0)), "INC"),
      "COMPLETE"
    )
  )</f>
        <v>COMPLETE</v>
      </c>
      <c r="G1728" s="10" t="str">
        <f t="array" ref="G1728">IF(IFERROR(INDEX(data!L:L,match(Caseslist!B1728,data!D:D,0)),"INC")="","COMPLETE",F1728)</f>
        <v>COMPLETE</v>
      </c>
      <c r="H1728" s="9" t="str">
        <f t="array" ref="H1728">IFERROR(INDEX(dataICM!F:F,match(Caseslist!B1728,dataICM!D:D,0)), "INC")</f>
        <v>INC</v>
      </c>
      <c r="I1728" s="10" t="str">
        <f t="shared" si="2"/>
        <v>G5472901</v>
      </c>
      <c r="J1728" s="9" t="str">
        <f t="array" ref="J1728">IF(
  AND(
    IFERROR(MATCH(B1728, data!D:D, 0), 0) &gt; 0,
    IFERROR(INDEX(data!N:N, MATCH(B1728, data!D:D, 0)) = 1, FALSE)
  ),
  INDEX(data!C:C, MATCH(B1728, data!D:D, 0)),
  "INC"
)</f>
        <v>2025-09-08T10:20:11.834+08</v>
      </c>
      <c r="K1728" s="9" t="str">
        <f t="array" ref="K1728">IFERROR(INDEX(dataICM!C:C,match(Caseslist!B1728,dataICM!D:D,0)), "INC")</f>
        <v>INC</v>
      </c>
      <c r="L1728" s="10" t="str">
        <f t="array" ref="L1728">IF(AND(G1728="COMPLETE", OR(K1728="INC", ISBLANK(INDEX(data!O:O, ROW())))), J1728, K1728)</f>
        <v>2025-09-08T10:20:11.834+08</v>
      </c>
      <c r="M1728" s="2">
        <v>45908.0</v>
      </c>
      <c r="N1728" s="2">
        <f t="array" ref="N1728">IF(M1728&lt;&gt;"INC", INDEX(data!M:M, MATCH(B1728, data!D:D, 0)), "")</f>
        <v>0</v>
      </c>
      <c r="O1728" s="2">
        <f t="shared" si="3"/>
        <v>0</v>
      </c>
    </row>
    <row r="1729">
      <c r="A1729" s="2" t="str">
        <f t="shared" si="1"/>
        <v>H030792</v>
      </c>
      <c r="B1729" s="1" t="s">
        <v>4447</v>
      </c>
      <c r="C1729" s="9" t="str">
        <f t="array" ref="C1729">IF(
  AND(
    IFERROR(MATCH(Caseslist!B1729, data!D:D, 0), 0) &gt; 0,
    IFERROR(INDEX(data!N:N, MATCH(Caseslist!B1729, data!D:D, 0)) = 1, FALSE)
  ),
  "COMPLETE",
  "INC"
)</f>
        <v>COMPLETE</v>
      </c>
      <c r="D1729" s="9" t="str">
        <f t="array" ref="D1729">IFERROR(INDEX(data!$G:$G,match(Caseslist!B1729,data!$D:$D,0)), "INC")</f>
        <v>F3051749</v>
      </c>
      <c r="E1729" s="9" t="str">
        <f t="array" ref="E1729">IFERROR(INDEX(data!H:H,match(Caseslist!B1729,data!D:D,0)), "INC")</f>
        <v>Elenita Gicos De La Pe�a</v>
      </c>
      <c r="F1729" s="10" t="str">
        <f t="array" ref="F1729">IF(
    OR(
      IFNA(INDEX(data!M:M, MATCH(Caseslist!B1729, data!D:D, 0)), "") = "",
      IFNA(INDEX(data!M:M, MATCH(Caseslist!B1729, data!D:D, 0)), 0) = 0
    ),
    "COMPLETE",
    IF(
      IFNA(INDEX(dataICM!D:D, MATCH(Caseslist!B1729, dataICM!D:D, 0)), "INC") = "INC",
      IFNA(INDEX(dataICM!D:D, MATCH(Caseslist!B1729, dataICM!D:D, 0)), "INC"),
      "COMPLETE"
    )
  )</f>
        <v>COMPLETE</v>
      </c>
      <c r="G1729" s="10" t="str">
        <f t="array" ref="G1729">IF(IFERROR(INDEX(data!L:L,match(Caseslist!B1729,data!D:D,0)),"INC")="","COMPLETE",F1729)</f>
        <v>COMPLETE</v>
      </c>
      <c r="H1729" s="9" t="str">
        <f t="array" ref="H1729">IFERROR(INDEX(dataICM!F:F,match(Caseslist!B1729,dataICM!D:D,0)), "INC")</f>
        <v>INC</v>
      </c>
      <c r="I1729" s="10" t="str">
        <f t="shared" si="2"/>
        <v>F3051749</v>
      </c>
      <c r="J1729" s="9" t="str">
        <f t="array" ref="J1729">IF(
  AND(
    IFERROR(MATCH(B1729, data!D:D, 0), 0) &gt; 0,
    IFERROR(INDEX(data!N:N, MATCH(B1729, data!D:D, 0)) = 1, FALSE)
  ),
  INDEX(data!C:C, MATCH(B1729, data!D:D, 0)),
  "INC"
)</f>
        <v>2025-09-08T16:07:36.561+08</v>
      </c>
      <c r="K1729" s="9" t="str">
        <f t="array" ref="K1729">IFERROR(INDEX(dataICM!C:C,match(Caseslist!B1729,dataICM!D:D,0)), "INC")</f>
        <v>INC</v>
      </c>
      <c r="L1729" s="10" t="str">
        <f t="array" ref="L1729">IF(AND(G1729="COMPLETE", OR(K1729="INC", ISBLANK(INDEX(data!O:O, ROW())))), J1729, K1729)</f>
        <v>2025-09-08T16:07:36.561+08</v>
      </c>
      <c r="M1729" s="2">
        <v>45908.0</v>
      </c>
      <c r="N1729" s="2">
        <f t="array" ref="N1729">IF(M1729&lt;&gt;"INC", INDEX(data!M:M, MATCH(B1729, data!D:D, 0)), "")</f>
        <v>0</v>
      </c>
      <c r="O1729" s="2">
        <f t="shared" si="3"/>
        <v>0</v>
      </c>
    </row>
    <row r="1730">
      <c r="A1730" s="2" t="str">
        <f t="shared" si="1"/>
        <v>H030792</v>
      </c>
      <c r="B1730" s="1" t="s">
        <v>4332</v>
      </c>
      <c r="C1730" s="9" t="str">
        <f t="array" ref="C1730">IF(
  AND(
    IFERROR(MATCH(Caseslist!B1730, data!D:D, 0), 0) &gt; 0,
    IFERROR(INDEX(data!N:N, MATCH(Caseslist!B1730, data!D:D, 0)) = 1, FALSE)
  ),
  "COMPLETE",
  "INC"
)</f>
        <v>COMPLETE</v>
      </c>
      <c r="D1730" s="9" t="str">
        <f t="array" ref="D1730">IFERROR(INDEX(data!$G:$G,match(Caseslist!B1730,data!$D:$D,0)), "INC")</f>
        <v>F3051749</v>
      </c>
      <c r="E1730" s="9" t="str">
        <f t="array" ref="E1730">IFERROR(INDEX(data!H:H,match(Caseslist!B1730,data!D:D,0)), "INC")</f>
        <v>Elenita Gicos De La Pe�a</v>
      </c>
      <c r="F1730" s="10" t="str">
        <f t="array" ref="F1730">IF(
    OR(
      IFNA(INDEX(data!M:M, MATCH(Caseslist!B1730, data!D:D, 0)), "") = "",
      IFNA(INDEX(data!M:M, MATCH(Caseslist!B1730, data!D:D, 0)), 0) = 0
    ),
    "COMPLETE",
    IF(
      IFNA(INDEX(dataICM!D:D, MATCH(Caseslist!B1730, dataICM!D:D, 0)), "INC") = "INC",
      IFNA(INDEX(dataICM!D:D, MATCH(Caseslist!B1730, dataICM!D:D, 0)), "INC"),
      "COMPLETE"
    )
  )</f>
        <v>COMPLETE</v>
      </c>
      <c r="G1730" s="10" t="str">
        <f t="array" ref="G1730">IF(IFERROR(INDEX(data!L:L,match(Caseslist!B1730,data!D:D,0)),"INC")="","COMPLETE",F1730)</f>
        <v>COMPLETE</v>
      </c>
      <c r="H1730" s="9" t="str">
        <f t="array" ref="H1730">IFERROR(INDEX(dataICM!F:F,match(Caseslist!B1730,dataICM!D:D,0)), "INC")</f>
        <v>INC</v>
      </c>
      <c r="I1730" s="10" t="str">
        <f t="shared" si="2"/>
        <v>F3051749</v>
      </c>
      <c r="J1730" s="9" t="str">
        <f t="array" ref="J1730">IF(
  AND(
    IFERROR(MATCH(B1730, data!D:D, 0), 0) &gt; 0,
    IFERROR(INDEX(data!N:N, MATCH(B1730, data!D:D, 0)) = 1, FALSE)
  ),
  INDEX(data!C:C, MATCH(B1730, data!D:D, 0)),
  "INC"
)</f>
        <v>2025-09-06T14:55:34.769+08</v>
      </c>
      <c r="K1730" s="9" t="str">
        <f t="array" ref="K1730">IFERROR(INDEX(dataICM!C:C,match(Caseslist!B1730,dataICM!D:D,0)), "INC")</f>
        <v>INC</v>
      </c>
      <c r="L1730" s="10" t="str">
        <f t="array" ref="L1730">IF(AND(G1730="COMPLETE", OR(K1730="INC", ISBLANK(INDEX(data!O:O, ROW())))), J1730, K1730)</f>
        <v>2025-09-06T14:55:34.769+08</v>
      </c>
      <c r="M1730" s="2">
        <v>45906.0</v>
      </c>
      <c r="N1730" s="2">
        <f t="array" ref="N1730">IF(M1730&lt;&gt;"INC", INDEX(data!M:M, MATCH(B1730, data!D:D, 0)), "")</f>
        <v>0</v>
      </c>
      <c r="O1730" s="2">
        <f t="shared" si="3"/>
        <v>0</v>
      </c>
    </row>
    <row r="1731">
      <c r="A1731" s="2" t="str">
        <f t="shared" si="1"/>
        <v>H030792</v>
      </c>
      <c r="B1731" s="1" t="s">
        <v>4307</v>
      </c>
      <c r="C1731" s="9" t="str">
        <f t="array" ref="C1731">IF(
  AND(
    IFERROR(MATCH(Caseslist!B1731, data!D:D, 0), 0) &gt; 0,
    IFERROR(INDEX(data!N:N, MATCH(Caseslist!B1731, data!D:D, 0)) = 1, FALSE)
  ),
  "COMPLETE",
  "INC"
)</f>
        <v>COMPLETE</v>
      </c>
      <c r="D1731" s="9" t="str">
        <f t="array" ref="D1731">IFERROR(INDEX(data!$G:$G,match(Caseslist!B1731,data!$D:$D,0)), "INC")</f>
        <v>G5472901</v>
      </c>
      <c r="E1731" s="9" t="str">
        <f t="array" ref="E1731">IFERROR(INDEX(data!H:H,match(Caseslist!B1731,data!D:D,0)), "INC")</f>
        <v>Wellyn Grace Alaban Parcia</v>
      </c>
      <c r="F1731" s="10" t="str">
        <f t="array" ref="F1731">IF(
    OR(
      IFNA(INDEX(data!M:M, MATCH(Caseslist!B1731, data!D:D, 0)), "") = "",
      IFNA(INDEX(data!M:M, MATCH(Caseslist!B1731, data!D:D, 0)), 0) = 0
    ),
    "COMPLETE",
    IF(
      IFNA(INDEX(dataICM!D:D, MATCH(Caseslist!B1731, dataICM!D:D, 0)), "INC") = "INC",
      IFNA(INDEX(dataICM!D:D, MATCH(Caseslist!B1731, dataICM!D:D, 0)), "INC"),
      "COMPLETE"
    )
  )</f>
        <v>COMPLETE</v>
      </c>
      <c r="G1731" s="10" t="str">
        <f t="array" ref="G1731">IF(IFERROR(INDEX(data!L:L,match(Caseslist!B1731,data!D:D,0)),"INC")="","COMPLETE",F1731)</f>
        <v>COMPLETE</v>
      </c>
      <c r="H1731" s="9" t="str">
        <f t="array" ref="H1731">IFERROR(INDEX(dataICM!F:F,match(Caseslist!B1731,dataICM!D:D,0)), "INC")</f>
        <v>INC</v>
      </c>
      <c r="I1731" s="10" t="str">
        <f t="shared" si="2"/>
        <v>G5472901</v>
      </c>
      <c r="J1731" s="9" t="str">
        <f t="array" ref="J1731">IF(
  AND(
    IFERROR(MATCH(B1731, data!D:D, 0), 0) &gt; 0,
    IFERROR(INDEX(data!N:N, MATCH(B1731, data!D:D, 0)) = 1, FALSE)
  ),
  INDEX(data!C:C, MATCH(B1731, data!D:D, 0)),
  "INC"
)</f>
        <v>2025-09-06T11:55:16.654+08</v>
      </c>
      <c r="K1731" s="9" t="str">
        <f t="array" ref="K1731">IFERROR(INDEX(dataICM!C:C,match(Caseslist!B1731,dataICM!D:D,0)), "INC")</f>
        <v>INC</v>
      </c>
      <c r="L1731" s="10" t="str">
        <f t="array" ref="L1731">IF(AND(G1731="COMPLETE", OR(K1731="INC", ISBLANK(INDEX(data!O:O, ROW())))), J1731, K1731)</f>
        <v>2025-09-06T11:55:16.654+08</v>
      </c>
      <c r="M1731" s="2">
        <v>45906.0</v>
      </c>
      <c r="N1731" s="2">
        <f t="array" ref="N1731">IF(M1731&lt;&gt;"INC", INDEX(data!M:M, MATCH(B1731, data!D:D, 0)), "")</f>
        <v>0</v>
      </c>
      <c r="O1731" s="2">
        <f t="shared" si="3"/>
        <v>0</v>
      </c>
    </row>
    <row r="1732">
      <c r="A1732" s="2" t="str">
        <f t="shared" si="1"/>
        <v>H030792</v>
      </c>
      <c r="B1732" s="1" t="s">
        <v>4312</v>
      </c>
      <c r="C1732" s="9" t="str">
        <f t="array" ref="C1732">IF(
  AND(
    IFERROR(MATCH(Caseslist!B1732, data!D:D, 0), 0) &gt; 0,
    IFERROR(INDEX(data!N:N, MATCH(Caseslist!B1732, data!D:D, 0)) = 1, FALSE)
  ),
  "COMPLETE",
  "INC"
)</f>
        <v>COMPLETE</v>
      </c>
      <c r="D1732" s="9" t="str">
        <f t="array" ref="D1732">IFERROR(INDEX(data!$G:$G,match(Caseslist!B1732,data!$D:$D,0)), "INC")</f>
        <v>G5472901</v>
      </c>
      <c r="E1732" s="9" t="str">
        <f t="array" ref="E1732">IFERROR(INDEX(data!H:H,match(Caseslist!B1732,data!D:D,0)), "INC")</f>
        <v>Wellyn Grace Alaban Parcia</v>
      </c>
      <c r="F1732" s="10" t="str">
        <f t="array" ref="F1732">IF(
    OR(
      IFNA(INDEX(data!M:M, MATCH(Caseslist!B1732, data!D:D, 0)), "") = "",
      IFNA(INDEX(data!M:M, MATCH(Caseslist!B1732, data!D:D, 0)), 0) = 0
    ),
    "COMPLETE",
    IF(
      IFNA(INDEX(dataICM!D:D, MATCH(Caseslist!B1732, dataICM!D:D, 0)), "INC") = "INC",
      IFNA(INDEX(dataICM!D:D, MATCH(Caseslist!B1732, dataICM!D:D, 0)), "INC"),
      "COMPLETE"
    )
  )</f>
        <v>COMPLETE</v>
      </c>
      <c r="G1732" s="10" t="str">
        <f t="array" ref="G1732">IF(IFERROR(INDEX(data!L:L,match(Caseslist!B1732,data!D:D,0)),"INC")="","COMPLETE",F1732)</f>
        <v>COMPLETE</v>
      </c>
      <c r="H1732" s="9" t="str">
        <f t="array" ref="H1732">IFERROR(INDEX(dataICM!F:F,match(Caseslist!B1732,dataICM!D:D,0)), "INC")</f>
        <v>INC</v>
      </c>
      <c r="I1732" s="10" t="str">
        <f t="shared" si="2"/>
        <v>G5472901</v>
      </c>
      <c r="J1732" s="9" t="str">
        <f t="array" ref="J1732">IF(
  AND(
    IFERROR(MATCH(B1732, data!D:D, 0), 0) &gt; 0,
    IFERROR(INDEX(data!N:N, MATCH(B1732, data!D:D, 0)) = 1, FALSE)
  ),
  INDEX(data!C:C, MATCH(B1732, data!D:D, 0)),
  "INC"
)</f>
        <v>2025-09-06T15:39:32.535+08</v>
      </c>
      <c r="K1732" s="9" t="str">
        <f t="array" ref="K1732">IFERROR(INDEX(dataICM!C:C,match(Caseslist!B1732,dataICM!D:D,0)), "INC")</f>
        <v>INC</v>
      </c>
      <c r="L1732" s="10" t="str">
        <f t="array" ref="L1732">IF(AND(G1732="COMPLETE", OR(K1732="INC", ISBLANK(INDEX(data!O:O, ROW())))), J1732, K1732)</f>
        <v>2025-09-06T15:39:32.535+08</v>
      </c>
      <c r="M1732" s="2">
        <v>45906.0</v>
      </c>
      <c r="N1732" s="2">
        <f t="array" ref="N1732">IF(M1732&lt;&gt;"INC", INDEX(data!M:M, MATCH(B1732, data!D:D, 0)), "")</f>
        <v>0</v>
      </c>
      <c r="O1732" s="2">
        <f t="shared" si="3"/>
        <v>0</v>
      </c>
    </row>
    <row r="1733">
      <c r="A1733" s="2" t="str">
        <f t="shared" si="1"/>
        <v>H030792</v>
      </c>
      <c r="B1733" s="1" t="s">
        <v>4302</v>
      </c>
      <c r="C1733" s="9" t="str">
        <f t="array" ref="C1733">IF(
  AND(
    IFERROR(MATCH(Caseslist!B1733, data!D:D, 0), 0) &gt; 0,
    IFERROR(INDEX(data!N:N, MATCH(Caseslist!B1733, data!D:D, 0)) = 1, FALSE)
  ),
  "COMPLETE",
  "INC"
)</f>
        <v>COMPLETE</v>
      </c>
      <c r="D1733" s="9" t="str">
        <f t="array" ref="D1733">IFERROR(INDEX(data!$G:$G,match(Caseslist!B1733,data!$D:$D,0)), "INC")</f>
        <v>G5472901</v>
      </c>
      <c r="E1733" s="9" t="str">
        <f t="array" ref="E1733">IFERROR(INDEX(data!H:H,match(Caseslist!B1733,data!D:D,0)), "INC")</f>
        <v>Wellyn Grace Alaban Parcia</v>
      </c>
      <c r="F1733" s="10" t="str">
        <f t="array" ref="F1733">IF(
    OR(
      IFNA(INDEX(data!M:M, MATCH(Caseslist!B1733, data!D:D, 0)), "") = "",
      IFNA(INDEX(data!M:M, MATCH(Caseslist!B1733, data!D:D, 0)), 0) = 0
    ),
    "COMPLETE",
    IF(
      IFNA(INDEX(dataICM!D:D, MATCH(Caseslist!B1733, dataICM!D:D, 0)), "INC") = "INC",
      IFNA(INDEX(dataICM!D:D, MATCH(Caseslist!B1733, dataICM!D:D, 0)), "INC"),
      "COMPLETE"
    )
  )</f>
        <v>COMPLETE</v>
      </c>
      <c r="G1733" s="10" t="str">
        <f t="array" ref="G1733">IF(IFERROR(INDEX(data!L:L,match(Caseslist!B1733,data!D:D,0)),"INC")="","COMPLETE",F1733)</f>
        <v>COMPLETE</v>
      </c>
      <c r="H1733" s="9" t="str">
        <f t="array" ref="H1733">IFERROR(INDEX(dataICM!F:F,match(Caseslist!B1733,dataICM!D:D,0)), "INC")</f>
        <v>INC</v>
      </c>
      <c r="I1733" s="10" t="str">
        <f t="shared" si="2"/>
        <v>G5472901</v>
      </c>
      <c r="J1733" s="9" t="str">
        <f t="array" ref="J1733">IF(
  AND(
    IFERROR(MATCH(B1733, data!D:D, 0), 0) &gt; 0,
    IFERROR(INDEX(data!N:N, MATCH(B1733, data!D:D, 0)) = 1, FALSE)
  ),
  INDEX(data!C:C, MATCH(B1733, data!D:D, 0)),
  "INC"
)</f>
        <v>2025-09-06T13:59:21.788+08</v>
      </c>
      <c r="K1733" s="9" t="str">
        <f t="array" ref="K1733">IFERROR(INDEX(dataICM!C:C,match(Caseslist!B1733,dataICM!D:D,0)), "INC")</f>
        <v>INC</v>
      </c>
      <c r="L1733" s="10" t="str">
        <f t="array" ref="L1733">IF(AND(G1733="COMPLETE", OR(K1733="INC", ISBLANK(INDEX(data!O:O, ROW())))), J1733, K1733)</f>
        <v>2025-09-06T13:59:21.788+08</v>
      </c>
      <c r="M1733" s="2">
        <v>45906.0</v>
      </c>
      <c r="N1733" s="2">
        <f t="array" ref="N1733">IF(M1733&lt;&gt;"INC", INDEX(data!M:M, MATCH(B1733, data!D:D, 0)), "")</f>
        <v>0</v>
      </c>
      <c r="O1733" s="2">
        <f t="shared" si="3"/>
        <v>0</v>
      </c>
    </row>
    <row r="1734">
      <c r="A1734" s="2" t="str">
        <f t="shared" si="1"/>
        <v>H030792</v>
      </c>
      <c r="B1734" s="1" t="s">
        <v>8873</v>
      </c>
      <c r="C1734" s="9" t="str">
        <f t="array" ref="C1734">IF(
  AND(
    IFERROR(MATCH(Caseslist!B1734, data!D:D, 0), 0) &gt; 0,
    IFERROR(INDEX(data!N:N, MATCH(Caseslist!B1734, data!D:D, 0)) = 1, FALSE)
  ),
  "COMPLETE",
  "INC"
)</f>
        <v>COMPLETE</v>
      </c>
      <c r="D1734" s="9" t="str">
        <f t="array" ref="D1734">IFERROR(INDEX(data!$G:$G,match(Caseslist!B1734,data!$D:$D,0)), "INC")</f>
        <v>H2846135</v>
      </c>
      <c r="E1734" s="9" t="str">
        <f t="array" ref="E1734">IFERROR(INDEX(data!H:H,match(Caseslist!B1734,data!D:D,0)), "INC")</f>
        <v>Annalou Empanado Encontro</v>
      </c>
      <c r="F1734" s="10" t="str">
        <f t="array" ref="F1734">IF(
    OR(
      IFNA(INDEX(data!M:M, MATCH(Caseslist!B1734, data!D:D, 0)), "") = "",
      IFNA(INDEX(data!M:M, MATCH(Caseslist!B1734, data!D:D, 0)), 0) = 0
    ),
    "COMPLETE",
    IF(
      IFNA(INDEX(dataICM!D:D, MATCH(Caseslist!B1734, dataICM!D:D, 0)), "INC") = "INC",
      IFNA(INDEX(dataICM!D:D, MATCH(Caseslist!B1734, dataICM!D:D, 0)), "INC"),
      "COMPLETE"
    )
  )</f>
        <v>COMPLETE</v>
      </c>
      <c r="G1734" s="10" t="str">
        <f t="array" ref="G1734">IF(IFERROR(INDEX(data!L:L,match(Caseslist!B1734,data!D:D,0)),"INC")="","COMPLETE",F1734)</f>
        <v>COMPLETE</v>
      </c>
      <c r="H1734" s="9" t="str">
        <f t="array" ref="H1734">IFERROR(INDEX(dataICM!F:F,match(Caseslist!B1734,dataICM!D:D,0)), "INC")</f>
        <v>INC</v>
      </c>
      <c r="I1734" s="10" t="str">
        <f t="shared" si="2"/>
        <v>H2846135</v>
      </c>
      <c r="J1734" s="9" t="str">
        <f t="array" ref="J1734">IF(
  AND(
    IFERROR(MATCH(B1734, data!D:D, 0), 0) &gt; 0,
    IFERROR(INDEX(data!N:N, MATCH(B1734, data!D:D, 0)) = 1, FALSE)
  ),
  INDEX(data!C:C, MATCH(B1734, data!D:D, 0)),
  "INC"
)</f>
        <v>2025-10-05T12:53:50.399+08</v>
      </c>
      <c r="K1734" s="9" t="str">
        <f t="array" ref="K1734">IFERROR(INDEX(dataICM!C:C,match(Caseslist!B1734,dataICM!D:D,0)), "INC")</f>
        <v>INC</v>
      </c>
      <c r="L1734" s="10" t="str">
        <f t="array" ref="L1734">IF(AND(G1734="COMPLETE", OR(K1734="INC", ISBLANK(INDEX(data!O:O, ROW())))), J1734, K1734)</f>
        <v>2025-10-05T12:53:50.399+08</v>
      </c>
      <c r="M1734" s="2">
        <v>45935.0</v>
      </c>
      <c r="N1734" s="2">
        <f t="array" ref="N1734">IF(M1734&lt;&gt;"INC", INDEX(data!M:M, MATCH(B1734, data!D:D, 0)), "")</f>
        <v>0</v>
      </c>
      <c r="O1734" s="2">
        <f t="shared" si="3"/>
        <v>0</v>
      </c>
    </row>
    <row r="1735">
      <c r="A1735" s="2" t="str">
        <f t="shared" si="1"/>
        <v>H030792</v>
      </c>
      <c r="B1735" s="1" t="s">
        <v>4452</v>
      </c>
      <c r="C1735" s="9" t="str">
        <f t="array" ref="C1735">IF(
  AND(
    IFERROR(MATCH(Caseslist!B1735, data!D:D, 0), 0) &gt; 0,
    IFERROR(INDEX(data!N:N, MATCH(Caseslist!B1735, data!D:D, 0)) = 1, FALSE)
  ),
  "COMPLETE",
  "INC"
)</f>
        <v>COMPLETE</v>
      </c>
      <c r="D1735" s="9" t="str">
        <f t="array" ref="D1735">IFERROR(INDEX(data!$G:$G,match(Caseslist!B1735,data!$D:$D,0)), "INC")</f>
        <v>F3051749</v>
      </c>
      <c r="E1735" s="9" t="str">
        <f t="array" ref="E1735">IFERROR(INDEX(data!H:H,match(Caseslist!B1735,data!D:D,0)), "INC")</f>
        <v>Elenita Gicos De La Pe�a</v>
      </c>
      <c r="F1735" s="10" t="str">
        <f t="array" ref="F1735">IF(
    OR(
      IFNA(INDEX(data!M:M, MATCH(Caseslist!B1735, data!D:D, 0)), "") = "",
      IFNA(INDEX(data!M:M, MATCH(Caseslist!B1735, data!D:D, 0)), 0) = 0
    ),
    "COMPLETE",
    IF(
      IFNA(INDEX(dataICM!D:D, MATCH(Caseslist!B1735, dataICM!D:D, 0)), "INC") = "INC",
      IFNA(INDEX(dataICM!D:D, MATCH(Caseslist!B1735, dataICM!D:D, 0)), "INC"),
      "COMPLETE"
    )
  )</f>
        <v>COMPLETE</v>
      </c>
      <c r="G1735" s="10" t="str">
        <f t="array" ref="G1735">IF(IFERROR(INDEX(data!L:L,match(Caseslist!B1735,data!D:D,0)),"INC")="","COMPLETE",F1735)</f>
        <v>COMPLETE</v>
      </c>
      <c r="H1735" s="9" t="str">
        <f t="array" ref="H1735">IFERROR(INDEX(dataICM!F:F,match(Caseslist!B1735,dataICM!D:D,0)), "INC")</f>
        <v>INC</v>
      </c>
      <c r="I1735" s="10" t="str">
        <f t="shared" si="2"/>
        <v>F3051749</v>
      </c>
      <c r="J1735" s="9" t="str">
        <f t="array" ref="J1735">IF(
  AND(
    IFERROR(MATCH(B1735, data!D:D, 0), 0) &gt; 0,
    IFERROR(INDEX(data!N:N, MATCH(B1735, data!D:D, 0)) = 1, FALSE)
  ),
  INDEX(data!C:C, MATCH(B1735, data!D:D, 0)),
  "INC"
)</f>
        <v>2025-09-08T11:48:11.420+08</v>
      </c>
      <c r="K1735" s="9" t="str">
        <f t="array" ref="K1735">IFERROR(INDEX(dataICM!C:C,match(Caseslist!B1735,dataICM!D:D,0)), "INC")</f>
        <v>INC</v>
      </c>
      <c r="L1735" s="10" t="str">
        <f t="array" ref="L1735">IF(AND(G1735="COMPLETE", OR(K1735="INC", ISBLANK(INDEX(data!O:O, ROW())))), J1735, K1735)</f>
        <v>2025-09-08T11:48:11.420+08</v>
      </c>
      <c r="M1735" s="2">
        <v>45908.0</v>
      </c>
      <c r="N1735" s="2">
        <f t="array" ref="N1735">IF(M1735&lt;&gt;"INC", INDEX(data!M:M, MATCH(B1735, data!D:D, 0)), "")</f>
        <v>0</v>
      </c>
      <c r="O1735" s="2">
        <f t="shared" si="3"/>
        <v>0</v>
      </c>
    </row>
    <row r="1736">
      <c r="A1736" s="2" t="str">
        <f t="shared" si="1"/>
        <v>H030792</v>
      </c>
      <c r="B1736" s="1" t="s">
        <v>4317</v>
      </c>
      <c r="C1736" s="9" t="str">
        <f t="array" ref="C1736">IF(
  AND(
    IFERROR(MATCH(Caseslist!B1736, data!D:D, 0), 0) &gt; 0,
    IFERROR(INDEX(data!N:N, MATCH(Caseslist!B1736, data!D:D, 0)) = 1, FALSE)
  ),
  "COMPLETE",
  "INC"
)</f>
        <v>COMPLETE</v>
      </c>
      <c r="D1736" s="9" t="str">
        <f t="array" ref="D1736">IFERROR(INDEX(data!$G:$G,match(Caseslist!B1736,data!$D:$D,0)), "INC")</f>
        <v>G5472901</v>
      </c>
      <c r="E1736" s="9" t="str">
        <f t="array" ref="E1736">IFERROR(INDEX(data!H:H,match(Caseslist!B1736,data!D:D,0)), "INC")</f>
        <v>Wellyn Grace Alaban Parcia</v>
      </c>
      <c r="F1736" s="10" t="str">
        <f t="array" ref="F1736">IF(
    OR(
      IFNA(INDEX(data!M:M, MATCH(Caseslist!B1736, data!D:D, 0)), "") = "",
      IFNA(INDEX(data!M:M, MATCH(Caseslist!B1736, data!D:D, 0)), 0) = 0
    ),
    "COMPLETE",
    IF(
      IFNA(INDEX(dataICM!D:D, MATCH(Caseslist!B1736, dataICM!D:D, 0)), "INC") = "INC",
      IFNA(INDEX(dataICM!D:D, MATCH(Caseslist!B1736, dataICM!D:D, 0)), "INC"),
      "COMPLETE"
    )
  )</f>
        <v>COMPLETE</v>
      </c>
      <c r="G1736" s="10" t="str">
        <f t="array" ref="G1736">IF(IFERROR(INDEX(data!L:L,match(Caseslist!B1736,data!D:D,0)),"INC")="","COMPLETE",F1736)</f>
        <v>COMPLETE</v>
      </c>
      <c r="H1736" s="9" t="str">
        <f t="array" ref="H1736">IFERROR(INDEX(dataICM!F:F,match(Caseslist!B1736,dataICM!D:D,0)), "INC")</f>
        <v>INC</v>
      </c>
      <c r="I1736" s="10" t="str">
        <f t="shared" si="2"/>
        <v>G5472901</v>
      </c>
      <c r="J1736" s="9" t="str">
        <f t="array" ref="J1736">IF(
  AND(
    IFERROR(MATCH(B1736, data!D:D, 0), 0) &gt; 0,
    IFERROR(INDEX(data!N:N, MATCH(B1736, data!D:D, 0)) = 1, FALSE)
  ),
  INDEX(data!C:C, MATCH(B1736, data!D:D, 0)),
  "INC"
)</f>
        <v>2025-09-06T09:52:18.755+08</v>
      </c>
      <c r="K1736" s="9" t="str">
        <f t="array" ref="K1736">IFERROR(INDEX(dataICM!C:C,match(Caseslist!B1736,dataICM!D:D,0)), "INC")</f>
        <v>INC</v>
      </c>
      <c r="L1736" s="10" t="str">
        <f t="array" ref="L1736">IF(AND(G1736="COMPLETE", OR(K1736="INC", ISBLANK(INDEX(data!O:O, ROW())))), J1736, K1736)</f>
        <v>2025-09-06T09:52:18.755+08</v>
      </c>
      <c r="M1736" s="2">
        <v>45906.0</v>
      </c>
      <c r="N1736" s="2">
        <f t="array" ref="N1736">IF(M1736&lt;&gt;"INC", INDEX(data!M:M, MATCH(B1736, data!D:D, 0)), "")</f>
        <v>0</v>
      </c>
      <c r="O1736" s="2">
        <f t="shared" si="3"/>
        <v>0</v>
      </c>
    </row>
    <row r="1737">
      <c r="A1737" s="2" t="str">
        <f t="shared" si="1"/>
        <v>H030821</v>
      </c>
      <c r="B1737" s="1" t="s">
        <v>397</v>
      </c>
      <c r="C1737" s="9" t="str">
        <f t="array" ref="C1737">IF(
  AND(
    IFERROR(MATCH(Caseslist!B1737, data!D:D, 0), 0) &gt; 0,
    IFERROR(INDEX(data!N:N, MATCH(Caseslist!B1737, data!D:D, 0)) = 1, FALSE)
  ),
  "COMPLETE",
  "INC"
)</f>
        <v>COMPLETE</v>
      </c>
      <c r="D1737" s="9" t="str">
        <f t="array" ref="D1737">IFERROR(INDEX(data!$G:$G,match(Caseslist!B1737,data!$D:$D,0)), "INC")</f>
        <v>H2846135</v>
      </c>
      <c r="E1737" s="9" t="str">
        <f t="array" ref="E1737">IFERROR(INDEX(data!H:H,match(Caseslist!B1737,data!D:D,0)), "INC")</f>
        <v>Annalou Empanado Encontro</v>
      </c>
      <c r="F1737" s="10" t="str">
        <f t="array" ref="F1737">IF(
    OR(
      IFNA(INDEX(data!M:M, MATCH(Caseslist!B1737, data!D:D, 0)), "") = "",
      IFNA(INDEX(data!M:M, MATCH(Caseslist!B1737, data!D:D, 0)), 0) = 0
    ),
    "COMPLETE",
    IF(
      IFNA(INDEX(dataICM!D:D, MATCH(Caseslist!B1737, dataICM!D:D, 0)), "INC") = "INC",
      IFNA(INDEX(dataICM!D:D, MATCH(Caseslist!B1737, dataICM!D:D, 0)), "INC"),
      "COMPLETE"
    )
  )</f>
        <v>COMPLETE</v>
      </c>
      <c r="G1737" s="10" t="str">
        <f t="array" ref="G1737">IF(IFERROR(INDEX(data!L:L,match(Caseslist!B1737,data!D:D,0)),"INC")="","COMPLETE",F1737)</f>
        <v>COMPLETE</v>
      </c>
      <c r="H1737" s="9" t="str">
        <f t="array" ref="H1737">IFERROR(INDEX(dataICM!F:F,match(Caseslist!B1737,dataICM!D:D,0)), "INC")</f>
        <v>Annalou Empanado Encontro</v>
      </c>
      <c r="I1737" s="10" t="str">
        <f t="shared" si="2"/>
        <v>H2846135</v>
      </c>
      <c r="J1737" s="9" t="str">
        <f t="array" ref="J1737">IF(
  AND(
    IFERROR(MATCH(B1737, data!D:D, 0), 0) &gt; 0,
    IFERROR(INDEX(data!N:N, MATCH(B1737, data!D:D, 0)) = 1, FALSE)
  ),
  INDEX(data!C:C, MATCH(B1737, data!D:D, 0)),
  "INC"
)</f>
        <v>2025-08-26T13:26:13.922+08</v>
      </c>
      <c r="K1737" s="9" t="str">
        <f t="array" ref="K1737">IFERROR(INDEX(dataICM!C:C,match(Caseslist!B1737,dataICM!D:D,0)), "INC")</f>
        <v>2025-08-26T13:28:36.232+08</v>
      </c>
      <c r="L1737" s="10" t="str">
        <f t="array" ref="L1737">IF(AND(G1737="COMPLETE", OR(K1737="INC", ISBLANK(INDEX(data!O:O, ROW())))), J1737, K1737)</f>
        <v>2025-08-26T13:28:36.232+08</v>
      </c>
      <c r="M1737" s="2">
        <v>45895.0</v>
      </c>
      <c r="N1737" s="2">
        <f t="array" ref="N1737">IF(M1737&lt;&gt;"INC", INDEX(data!M:M, MATCH(B1737, data!D:D, 0)), "")</f>
        <v>3</v>
      </c>
      <c r="O1737" s="2">
        <f t="shared" si="3"/>
        <v>3</v>
      </c>
    </row>
    <row r="1738">
      <c r="A1738" s="2" t="str">
        <f t="shared" si="1"/>
        <v>H030821</v>
      </c>
      <c r="B1738" s="1" t="s">
        <v>779</v>
      </c>
      <c r="C1738" s="9" t="str">
        <f t="array" ref="C1738">IF(
  AND(
    IFERROR(MATCH(Caseslist!B1738, data!D:D, 0), 0) &gt; 0,
    IFERROR(INDEX(data!N:N, MATCH(Caseslist!B1738, data!D:D, 0)) = 1, FALSE)
  ),
  "COMPLETE",
  "INC"
)</f>
        <v>COMPLETE</v>
      </c>
      <c r="D1738" s="9" t="str">
        <f t="array" ref="D1738">IFERROR(INDEX(data!$G:$G,match(Caseslist!B1738,data!$D:$D,0)), "INC")</f>
        <v>H2846135</v>
      </c>
      <c r="E1738" s="9" t="str">
        <f t="array" ref="E1738">IFERROR(INDEX(data!H:H,match(Caseslist!B1738,data!D:D,0)), "INC")</f>
        <v>Annalou Empanado Encontro</v>
      </c>
      <c r="F1738" s="10" t="str">
        <f t="array" ref="F1738">IF(
    OR(
      IFNA(INDEX(data!M:M, MATCH(Caseslist!B1738, data!D:D, 0)), "") = "",
      IFNA(INDEX(data!M:M, MATCH(Caseslist!B1738, data!D:D, 0)), 0) = 0
    ),
    "COMPLETE",
    IF(
      IFNA(INDEX(dataICM!D:D, MATCH(Caseslist!B1738, dataICM!D:D, 0)), "INC") = "INC",
      IFNA(INDEX(dataICM!D:D, MATCH(Caseslist!B1738, dataICM!D:D, 0)), "INC"),
      "COMPLETE"
    )
  )</f>
        <v>COMPLETE</v>
      </c>
      <c r="G1738" s="10" t="str">
        <f t="array" ref="G1738">IF(IFERROR(INDEX(data!L:L,match(Caseslist!B1738,data!D:D,0)),"INC")="","COMPLETE",F1738)</f>
        <v>COMPLETE</v>
      </c>
      <c r="H1738" s="9" t="str">
        <f t="array" ref="H1738">IFERROR(INDEX(dataICM!F:F,match(Caseslist!B1738,dataICM!D:D,0)), "INC")</f>
        <v>Annalou Empanado Encontro</v>
      </c>
      <c r="I1738" s="10" t="str">
        <f t="shared" si="2"/>
        <v>H2846135</v>
      </c>
      <c r="J1738" s="9" t="str">
        <f t="array" ref="J1738">IF(
  AND(
    IFERROR(MATCH(B1738, data!D:D, 0), 0) &gt; 0,
    IFERROR(INDEX(data!N:N, MATCH(B1738, data!D:D, 0)) = 1, FALSE)
  ),
  INDEX(data!C:C, MATCH(B1738, data!D:D, 0)),
  "INC"
)</f>
        <v>2025-08-27T12:31:50.930+08</v>
      </c>
      <c r="K1738" s="9" t="str">
        <f t="array" ref="K1738">IFERROR(INDEX(dataICM!C:C,match(Caseslist!B1738,dataICM!D:D,0)), "INC")</f>
        <v>2025-08-27T12:42:02.380+08</v>
      </c>
      <c r="L1738" s="10" t="str">
        <f t="array" ref="L1738">IF(AND(G1738="COMPLETE", OR(K1738="INC", ISBLANK(INDEX(data!O:O, ROW())))), J1738, K1738)</f>
        <v>2025-08-27T12:42:02.380+08</v>
      </c>
      <c r="M1738" s="2">
        <v>45896.0</v>
      </c>
      <c r="N1738" s="2">
        <f t="array" ref="N1738">IF(M1738&lt;&gt;"INC", INDEX(data!M:M, MATCH(B1738, data!D:D, 0)), "")</f>
        <v>3</v>
      </c>
      <c r="O1738" s="2">
        <f t="shared" si="3"/>
        <v>3</v>
      </c>
    </row>
    <row r="1739">
      <c r="A1739" s="2" t="str">
        <f t="shared" si="1"/>
        <v>H030821</v>
      </c>
      <c r="B1739" s="1" t="s">
        <v>418</v>
      </c>
      <c r="C1739" s="9" t="str">
        <f t="array" ref="C1739">IF(
  AND(
    IFERROR(MATCH(Caseslist!B1739, data!D:D, 0), 0) &gt; 0,
    IFERROR(INDEX(data!N:N, MATCH(Caseslist!B1739, data!D:D, 0)) = 1, FALSE)
  ),
  "COMPLETE",
  "INC"
)</f>
        <v>COMPLETE</v>
      </c>
      <c r="D1739" s="9" t="str">
        <f t="array" ref="D1739">IFERROR(INDEX(data!$G:$G,match(Caseslist!B1739,data!$D:$D,0)), "INC")</f>
        <v>G5472901</v>
      </c>
      <c r="E1739" s="9" t="str">
        <f t="array" ref="E1739">IFERROR(INDEX(data!H:H,match(Caseslist!B1739,data!D:D,0)), "INC")</f>
        <v>Wellyn Grace Alaban Parcia</v>
      </c>
      <c r="F1739" s="10" t="str">
        <f t="array" ref="F1739">IF(
    OR(
      IFNA(INDEX(data!M:M, MATCH(Caseslist!B1739, data!D:D, 0)), "") = "",
      IFNA(INDEX(data!M:M, MATCH(Caseslist!B1739, data!D:D, 0)), 0) = 0
    ),
    "COMPLETE",
    IF(
      IFNA(INDEX(dataICM!D:D, MATCH(Caseslist!B1739, dataICM!D:D, 0)), "INC") = "INC",
      IFNA(INDEX(dataICM!D:D, MATCH(Caseslist!B1739, dataICM!D:D, 0)), "INC"),
      "COMPLETE"
    )
  )</f>
        <v>COMPLETE</v>
      </c>
      <c r="G1739" s="10" t="str">
        <f t="array" ref="G1739">IF(IFERROR(INDEX(data!L:L,match(Caseslist!B1739,data!D:D,0)),"INC")="","COMPLETE",F1739)</f>
        <v>COMPLETE</v>
      </c>
      <c r="H1739" s="9" t="str">
        <f t="array" ref="H1739">IFERROR(INDEX(dataICM!F:F,match(Caseslist!B1739,dataICM!D:D,0)), "INC")</f>
        <v>Wellyn Grace Alaban Parcia</v>
      </c>
      <c r="I1739" s="10" t="str">
        <f t="shared" si="2"/>
        <v>G5472901</v>
      </c>
      <c r="J1739" s="9" t="str">
        <f t="array" ref="J1739">IF(
  AND(
    IFERROR(MATCH(B1739, data!D:D, 0), 0) &gt; 0,
    IFERROR(INDEX(data!N:N, MATCH(B1739, data!D:D, 0)) = 1, FALSE)
  ),
  INDEX(data!C:C, MATCH(B1739, data!D:D, 0)),
  "INC"
)</f>
        <v>2025-08-26T16:36:00.433+08</v>
      </c>
      <c r="K1739" s="9" t="str">
        <f t="array" ref="K1739">IFERROR(INDEX(dataICM!C:C,match(Caseslist!B1739,dataICM!D:D,0)), "INC")</f>
        <v>2025-08-26T17:00:35.458+08</v>
      </c>
      <c r="L1739" s="10" t="str">
        <f t="array" ref="L1739">IF(AND(G1739="COMPLETE", OR(K1739="INC", ISBLANK(INDEX(data!O:O, ROW())))), J1739, K1739)</f>
        <v>2025-08-26T17:00:35.458+08</v>
      </c>
      <c r="M1739" s="2">
        <v>45895.0</v>
      </c>
      <c r="N1739" s="2">
        <f t="array" ref="N1739">IF(M1739&lt;&gt;"INC", INDEX(data!M:M, MATCH(B1739, data!D:D, 0)), "")</f>
        <v>3</v>
      </c>
      <c r="O1739" s="2">
        <f t="shared" si="3"/>
        <v>3</v>
      </c>
    </row>
    <row r="1740">
      <c r="A1740" s="2" t="str">
        <f t="shared" si="1"/>
        <v>H030821</v>
      </c>
      <c r="B1740" s="1" t="s">
        <v>408</v>
      </c>
      <c r="C1740" s="9" t="str">
        <f t="array" ref="C1740">IF(
  AND(
    IFERROR(MATCH(Caseslist!B1740, data!D:D, 0), 0) &gt; 0,
    IFERROR(INDEX(data!N:N, MATCH(Caseslist!B1740, data!D:D, 0)) = 1, FALSE)
  ),
  "COMPLETE",
  "INC"
)</f>
        <v>COMPLETE</v>
      </c>
      <c r="D1740" s="9" t="str">
        <f t="array" ref="D1740">IFERROR(INDEX(data!$G:$G,match(Caseslist!B1740,data!$D:$D,0)), "INC")</f>
        <v>H2846135</v>
      </c>
      <c r="E1740" s="9" t="str">
        <f t="array" ref="E1740">IFERROR(INDEX(data!H:H,match(Caseslist!B1740,data!D:D,0)), "INC")</f>
        <v>Annalou Empanado Encontro</v>
      </c>
      <c r="F1740" s="10" t="str">
        <f t="array" ref="F1740">IF(
    OR(
      IFNA(INDEX(data!M:M, MATCH(Caseslist!B1740, data!D:D, 0)), "") = "",
      IFNA(INDEX(data!M:M, MATCH(Caseslist!B1740, data!D:D, 0)), 0) = 0
    ),
    "COMPLETE",
    IF(
      IFNA(INDEX(dataICM!D:D, MATCH(Caseslist!B1740, dataICM!D:D, 0)), "INC") = "INC",
      IFNA(INDEX(dataICM!D:D, MATCH(Caseslist!B1740, dataICM!D:D, 0)), "INC"),
      "COMPLETE"
    )
  )</f>
        <v>COMPLETE</v>
      </c>
      <c r="G1740" s="10" t="str">
        <f t="array" ref="G1740">IF(IFERROR(INDEX(data!L:L,match(Caseslist!B1740,data!D:D,0)),"INC")="","COMPLETE",F1740)</f>
        <v>COMPLETE</v>
      </c>
      <c r="H1740" s="9" t="str">
        <f t="array" ref="H1740">IFERROR(INDEX(dataICM!F:F,match(Caseslist!B1740,dataICM!D:D,0)), "INC")</f>
        <v>Annalou Empanado Encontro</v>
      </c>
      <c r="I1740" s="10" t="str">
        <f t="shared" si="2"/>
        <v>H2846135</v>
      </c>
      <c r="J1740" s="9" t="str">
        <f t="array" ref="J1740">IF(
  AND(
    IFERROR(MATCH(B1740, data!D:D, 0), 0) &gt; 0,
    IFERROR(INDEX(data!N:N, MATCH(B1740, data!D:D, 0)) = 1, FALSE)
  ),
  INDEX(data!C:C, MATCH(B1740, data!D:D, 0)),
  "INC"
)</f>
        <v>2025-08-26T11:24:46.774+08</v>
      </c>
      <c r="K1740" s="9" t="str">
        <f t="array" ref="K1740">IFERROR(INDEX(dataICM!C:C,match(Caseslist!B1740,dataICM!D:D,0)), "INC")</f>
        <v>2025-08-26T12:01:50.712+08</v>
      </c>
      <c r="L1740" s="10" t="str">
        <f t="array" ref="L1740">IF(AND(G1740="COMPLETE", OR(K1740="INC", ISBLANK(INDEX(data!O:O, ROW())))), J1740, K1740)</f>
        <v>2025-08-26T12:01:50.712+08</v>
      </c>
      <c r="M1740" s="2">
        <v>45895.0</v>
      </c>
      <c r="N1740" s="2">
        <f t="array" ref="N1740">IF(M1740&lt;&gt;"INC", INDEX(data!M:M, MATCH(B1740, data!D:D, 0)), "")</f>
        <v>3</v>
      </c>
      <c r="O1740" s="2">
        <f t="shared" si="3"/>
        <v>3</v>
      </c>
    </row>
    <row r="1741">
      <c r="A1741" s="2" t="str">
        <f t="shared" si="1"/>
        <v>H030821</v>
      </c>
      <c r="B1741" s="1" t="s">
        <v>423</v>
      </c>
      <c r="C1741" s="9" t="str">
        <f t="array" ref="C1741">IF(
  AND(
    IFERROR(MATCH(Caseslist!B1741, data!D:D, 0), 0) &gt; 0,
    IFERROR(INDEX(data!N:N, MATCH(Caseslist!B1741, data!D:D, 0)) = 1, FALSE)
  ),
  "COMPLETE",
  "INC"
)</f>
        <v>COMPLETE</v>
      </c>
      <c r="D1741" s="9" t="str">
        <f t="array" ref="D1741">IFERROR(INDEX(data!$G:$G,match(Caseslist!B1741,data!$D:$D,0)), "INC")</f>
        <v>G5472901</v>
      </c>
      <c r="E1741" s="9" t="str">
        <f t="array" ref="E1741">IFERROR(INDEX(data!H:H,match(Caseslist!B1741,data!D:D,0)), "INC")</f>
        <v>Wellyn Grace Alaban Parcia</v>
      </c>
      <c r="F1741" s="10" t="str">
        <f t="array" ref="F1741">IF(
    OR(
      IFNA(INDEX(data!M:M, MATCH(Caseslist!B1741, data!D:D, 0)), "") = "",
      IFNA(INDEX(data!M:M, MATCH(Caseslist!B1741, data!D:D, 0)), 0) = 0
    ),
    "COMPLETE",
    IF(
      IFNA(INDEX(dataICM!D:D, MATCH(Caseslist!B1741, dataICM!D:D, 0)), "INC") = "INC",
      IFNA(INDEX(dataICM!D:D, MATCH(Caseslist!B1741, dataICM!D:D, 0)), "INC"),
      "COMPLETE"
    )
  )</f>
        <v>COMPLETE</v>
      </c>
      <c r="G1741" s="10" t="str">
        <f t="array" ref="G1741">IF(IFERROR(INDEX(data!L:L,match(Caseslist!B1741,data!D:D,0)),"INC")="","COMPLETE",F1741)</f>
        <v>COMPLETE</v>
      </c>
      <c r="H1741" s="9" t="str">
        <f t="array" ref="H1741">IFERROR(INDEX(dataICM!F:F,match(Caseslist!B1741,dataICM!D:D,0)), "INC")</f>
        <v>Wellyn Grace Alaban Parcia</v>
      </c>
      <c r="I1741" s="10" t="str">
        <f t="shared" si="2"/>
        <v>G5472901</v>
      </c>
      <c r="J1741" s="9" t="str">
        <f t="array" ref="J1741">IF(
  AND(
    IFERROR(MATCH(B1741, data!D:D, 0), 0) &gt; 0,
    IFERROR(INDEX(data!N:N, MATCH(B1741, data!D:D, 0)) = 1, FALSE)
  ),
  INDEX(data!C:C, MATCH(B1741, data!D:D, 0)),
  "INC"
)</f>
        <v>2025-08-26T13:52:28.381+08</v>
      </c>
      <c r="K1741" s="9" t="str">
        <f t="array" ref="K1741">IFERROR(INDEX(dataICM!C:C,match(Caseslist!B1741,dataICM!D:D,0)), "INC")</f>
        <v>2025-08-26T14:08:16.507+08</v>
      </c>
      <c r="L1741" s="10" t="str">
        <f t="array" ref="L1741">IF(AND(G1741="COMPLETE", OR(K1741="INC", ISBLANK(INDEX(data!O:O, ROW())))), J1741, K1741)</f>
        <v>2025-08-26T14:08:16.507+08</v>
      </c>
      <c r="M1741" s="2">
        <v>45895.0</v>
      </c>
      <c r="N1741" s="2">
        <f t="array" ref="N1741">IF(M1741&lt;&gt;"INC", INDEX(data!M:M, MATCH(B1741, data!D:D, 0)), "")</f>
        <v>3</v>
      </c>
      <c r="O1741" s="2">
        <f t="shared" si="3"/>
        <v>3</v>
      </c>
    </row>
    <row r="1742">
      <c r="A1742" s="2" t="str">
        <f t="shared" si="1"/>
        <v>H030821</v>
      </c>
      <c r="B1742" s="1" t="s">
        <v>558</v>
      </c>
      <c r="C1742" s="9" t="str">
        <f t="array" ref="C1742">IF(
  AND(
    IFERROR(MATCH(Caseslist!B1742, data!D:D, 0), 0) &gt; 0,
    IFERROR(INDEX(data!N:N, MATCH(Caseslist!B1742, data!D:D, 0)) = 1, FALSE)
  ),
  "COMPLETE",
  "INC"
)</f>
        <v>COMPLETE</v>
      </c>
      <c r="D1742" s="9" t="str">
        <f t="array" ref="D1742">IFERROR(INDEX(data!$G:$G,match(Caseslist!B1742,data!$D:$D,0)), "INC")</f>
        <v>F3051749</v>
      </c>
      <c r="E1742" s="9" t="str">
        <f t="array" ref="E1742">IFERROR(INDEX(data!H:H,match(Caseslist!B1742,data!D:D,0)), "INC")</f>
        <v>Elenita Gicos De La Pe�a</v>
      </c>
      <c r="F1742" s="10" t="str">
        <f t="array" ref="F1742">IF(
    OR(
      IFNA(INDEX(data!M:M, MATCH(Caseslist!B1742, data!D:D, 0)), "") = "",
      IFNA(INDEX(data!M:M, MATCH(Caseslist!B1742, data!D:D, 0)), 0) = 0
    ),
    "COMPLETE",
    IF(
      IFNA(INDEX(dataICM!D:D, MATCH(Caseslist!B1742, dataICM!D:D, 0)), "INC") = "INC",
      IFNA(INDEX(dataICM!D:D, MATCH(Caseslist!B1742, dataICM!D:D, 0)), "INC"),
      "COMPLETE"
    )
  )</f>
        <v>INC</v>
      </c>
      <c r="G1742" s="10" t="str">
        <f t="array" ref="G1742">IF(IFERROR(INDEX(data!L:L,match(Caseslist!B1742,data!D:D,0)),"INC")="","COMPLETE",F1742)</f>
        <v>INC</v>
      </c>
      <c r="H1742" s="9" t="str">
        <f t="array" ref="H1742">IFERROR(INDEX(dataICM!F:F,match(Caseslist!B1742,dataICM!D:D,0)), "INC")</f>
        <v>INC</v>
      </c>
      <c r="I1742" s="10" t="str">
        <f t="shared" si="2"/>
        <v>INC</v>
      </c>
      <c r="J1742" s="9" t="str">
        <f t="array" ref="J1742">IF(
  AND(
    IFERROR(MATCH(B1742, data!D:D, 0), 0) &gt; 0,
    IFERROR(INDEX(data!N:N, MATCH(B1742, data!D:D, 0)) = 1, FALSE)
  ),
  INDEX(data!C:C, MATCH(B1742, data!D:D, 0)),
  "INC"
)</f>
        <v>2025-08-26T10:31:19.117+08</v>
      </c>
      <c r="K1742" s="9" t="str">
        <f t="array" ref="K1742">IFERROR(INDEX(dataICM!C:C,match(Caseslist!B1742,dataICM!D:D,0)), "INC")</f>
        <v>INC</v>
      </c>
      <c r="L1742" s="10" t="str">
        <f t="array" ref="L1742">IF(AND(G1742="COMPLETE", OR(K1742="INC", ISBLANK(INDEX(data!O:O, ROW())))), J1742, K1742)</f>
        <v>INC</v>
      </c>
      <c r="M1742" s="2" t="s">
        <v>8886</v>
      </c>
      <c r="N1742" s="2" t="str">
        <f t="array" ref="N1742">IF(M1742&lt;&gt;"INC", INDEX(data!M:M, MATCH(B1742, data!D:D, 0)), "")</f>
        <v/>
      </c>
      <c r="O1742" s="2" t="str">
        <f t="shared" si="3"/>
        <v/>
      </c>
    </row>
    <row r="1743">
      <c r="A1743" s="2" t="str">
        <f t="shared" si="1"/>
        <v>H030821</v>
      </c>
      <c r="B1743" s="1" t="s">
        <v>774</v>
      </c>
      <c r="C1743" s="9" t="str">
        <f t="array" ref="C1743">IF(
  AND(
    IFERROR(MATCH(Caseslist!B1743, data!D:D, 0), 0) &gt; 0,
    IFERROR(INDEX(data!N:N, MATCH(Caseslist!B1743, data!D:D, 0)) = 1, FALSE)
  ),
  "COMPLETE",
  "INC"
)</f>
        <v>COMPLETE</v>
      </c>
      <c r="D1743" s="9" t="str">
        <f t="array" ref="D1743">IFERROR(INDEX(data!$G:$G,match(Caseslist!B1743,data!$D:$D,0)), "INC")</f>
        <v>H2846135</v>
      </c>
      <c r="E1743" s="9" t="str">
        <f t="array" ref="E1743">IFERROR(INDEX(data!H:H,match(Caseslist!B1743,data!D:D,0)), "INC")</f>
        <v>Annalou Empanado Encontro</v>
      </c>
      <c r="F1743" s="10" t="str">
        <f t="array" ref="F1743">IF(
    OR(
      IFNA(INDEX(data!M:M, MATCH(Caseslist!B1743, data!D:D, 0)), "") = "",
      IFNA(INDEX(data!M:M, MATCH(Caseslist!B1743, data!D:D, 0)), 0) = 0
    ),
    "COMPLETE",
    IF(
      IFNA(INDEX(dataICM!D:D, MATCH(Caseslist!B1743, dataICM!D:D, 0)), "INC") = "INC",
      IFNA(INDEX(dataICM!D:D, MATCH(Caseslist!B1743, dataICM!D:D, 0)), "INC"),
      "COMPLETE"
    )
  )</f>
        <v>COMPLETE</v>
      </c>
      <c r="G1743" s="10" t="str">
        <f t="array" ref="G1743">IF(IFERROR(INDEX(data!L:L,match(Caseslist!B1743,data!D:D,0)),"INC")="","COMPLETE",F1743)</f>
        <v>COMPLETE</v>
      </c>
      <c r="H1743" s="9" t="str">
        <f t="array" ref="H1743">IFERROR(INDEX(dataICM!F:F,match(Caseslist!B1743,dataICM!D:D,0)), "INC")</f>
        <v>Annalou Empanado Encontro</v>
      </c>
      <c r="I1743" s="10" t="str">
        <f t="shared" si="2"/>
        <v>H2846135</v>
      </c>
      <c r="J1743" s="9" t="str">
        <f t="array" ref="J1743">IF(
  AND(
    IFERROR(MATCH(B1743, data!D:D, 0), 0) &gt; 0,
    IFERROR(INDEX(data!N:N, MATCH(B1743, data!D:D, 0)) = 1, FALSE)
  ),
  INDEX(data!C:C, MATCH(B1743, data!D:D, 0)),
  "INC"
)</f>
        <v>2025-08-27T15:44:00.913+08</v>
      </c>
      <c r="K1743" s="9" t="str">
        <f t="array" ref="K1743">IFERROR(INDEX(dataICM!C:C,match(Caseslist!B1743,dataICM!D:D,0)), "INC")</f>
        <v>2025-08-27T15:50:37.529+08</v>
      </c>
      <c r="L1743" s="10" t="str">
        <f t="array" ref="L1743">IF(AND(G1743="COMPLETE", OR(K1743="INC", ISBLANK(INDEX(data!O:O, ROW())))), J1743, K1743)</f>
        <v>2025-08-27T15:50:37.529+08</v>
      </c>
      <c r="M1743" s="2">
        <v>45896.0</v>
      </c>
      <c r="N1743" s="2">
        <f t="array" ref="N1743">IF(M1743&lt;&gt;"INC", INDEX(data!M:M, MATCH(B1743, data!D:D, 0)), "")</f>
        <v>3</v>
      </c>
      <c r="O1743" s="2">
        <f t="shared" si="3"/>
        <v>3</v>
      </c>
    </row>
    <row r="1744">
      <c r="A1744" s="2" t="str">
        <f t="shared" si="1"/>
        <v>H030821</v>
      </c>
      <c r="B1744" s="1" t="s">
        <v>403</v>
      </c>
      <c r="C1744" s="9" t="str">
        <f t="array" ref="C1744">IF(
  AND(
    IFERROR(MATCH(Caseslist!B1744, data!D:D, 0), 0) &gt; 0,
    IFERROR(INDEX(data!N:N, MATCH(Caseslist!B1744, data!D:D, 0)) = 1, FALSE)
  ),
  "COMPLETE",
  "INC"
)</f>
        <v>COMPLETE</v>
      </c>
      <c r="D1744" s="9" t="str">
        <f t="array" ref="D1744">IFERROR(INDEX(data!$G:$G,match(Caseslist!B1744,data!$D:$D,0)), "INC")</f>
        <v>H2846135</v>
      </c>
      <c r="E1744" s="9" t="str">
        <f t="array" ref="E1744">IFERROR(INDEX(data!H:H,match(Caseslist!B1744,data!D:D,0)), "INC")</f>
        <v>Annalou Empanado Encontro</v>
      </c>
      <c r="F1744" s="10" t="str">
        <f t="array" ref="F1744">IF(
    OR(
      IFNA(INDEX(data!M:M, MATCH(Caseslist!B1744, data!D:D, 0)), "") = "",
      IFNA(INDEX(data!M:M, MATCH(Caseslist!B1744, data!D:D, 0)), 0) = 0
    ),
    "COMPLETE",
    IF(
      IFNA(INDEX(dataICM!D:D, MATCH(Caseslist!B1744, dataICM!D:D, 0)), "INC") = "INC",
      IFNA(INDEX(dataICM!D:D, MATCH(Caseslist!B1744, dataICM!D:D, 0)), "INC"),
      "COMPLETE"
    )
  )</f>
        <v>COMPLETE</v>
      </c>
      <c r="G1744" s="10" t="str">
        <f t="array" ref="G1744">IF(IFERROR(INDEX(data!L:L,match(Caseslist!B1744,data!D:D,0)),"INC")="","COMPLETE",F1744)</f>
        <v>COMPLETE</v>
      </c>
      <c r="H1744" s="9" t="str">
        <f t="array" ref="H1744">IFERROR(INDEX(dataICM!F:F,match(Caseslist!B1744,dataICM!D:D,0)), "INC")</f>
        <v>Annalou Empanado Encontro</v>
      </c>
      <c r="I1744" s="10" t="str">
        <f t="shared" si="2"/>
        <v>H2846135</v>
      </c>
      <c r="J1744" s="9" t="str">
        <f t="array" ref="J1744">IF(
  AND(
    IFERROR(MATCH(B1744, data!D:D, 0), 0) &gt; 0,
    IFERROR(INDEX(data!N:N, MATCH(B1744, data!D:D, 0)) = 1, FALSE)
  ),
  INDEX(data!C:C, MATCH(B1744, data!D:D, 0)),
  "INC"
)</f>
        <v>2025-08-26T09:49:02.812+08</v>
      </c>
      <c r="K1744" s="9" t="str">
        <f t="array" ref="K1744">IFERROR(INDEX(dataICM!C:C,match(Caseslist!B1744,dataICM!D:D,0)), "INC")</f>
        <v>2025-08-26T10:01:10.612+08</v>
      </c>
      <c r="L1744" s="10" t="str">
        <f t="array" ref="L1744">IF(AND(G1744="COMPLETE", OR(K1744="INC", ISBLANK(INDEX(data!O:O, ROW())))), J1744, K1744)</f>
        <v>2025-08-26T10:01:10.612+08</v>
      </c>
      <c r="M1744" s="2">
        <v>45895.0</v>
      </c>
      <c r="N1744" s="2">
        <f t="array" ref="N1744">IF(M1744&lt;&gt;"INC", INDEX(data!M:M, MATCH(B1744, data!D:D, 0)), "")</f>
        <v>3</v>
      </c>
      <c r="O1744" s="2">
        <f t="shared" si="3"/>
        <v>3</v>
      </c>
    </row>
    <row r="1745">
      <c r="A1745" s="2" t="str">
        <f t="shared" si="1"/>
        <v>H030821</v>
      </c>
      <c r="B1745" s="1" t="s">
        <v>428</v>
      </c>
      <c r="C1745" s="9" t="str">
        <f t="array" ref="C1745">IF(
  AND(
    IFERROR(MATCH(Caseslist!B1745, data!D:D, 0), 0) &gt; 0,
    IFERROR(INDEX(data!N:N, MATCH(Caseslist!B1745, data!D:D, 0)) = 1, FALSE)
  ),
  "COMPLETE",
  "INC"
)</f>
        <v>COMPLETE</v>
      </c>
      <c r="D1745" s="9" t="str">
        <f t="array" ref="D1745">IFERROR(INDEX(data!$G:$G,match(Caseslist!B1745,data!$D:$D,0)), "INC")</f>
        <v>G5472901</v>
      </c>
      <c r="E1745" s="9" t="str">
        <f t="array" ref="E1745">IFERROR(INDEX(data!H:H,match(Caseslist!B1745,data!D:D,0)), "INC")</f>
        <v>Wellyn Grace Alaban Parcia</v>
      </c>
      <c r="F1745" s="10" t="str">
        <f t="array" ref="F1745">IF(
    OR(
      IFNA(INDEX(data!M:M, MATCH(Caseslist!B1745, data!D:D, 0)), "") = "",
      IFNA(INDEX(data!M:M, MATCH(Caseslist!B1745, data!D:D, 0)), 0) = 0
    ),
    "COMPLETE",
    IF(
      IFNA(INDEX(dataICM!D:D, MATCH(Caseslist!B1745, dataICM!D:D, 0)), "INC") = "INC",
      IFNA(INDEX(dataICM!D:D, MATCH(Caseslist!B1745, dataICM!D:D, 0)), "INC"),
      "COMPLETE"
    )
  )</f>
        <v>COMPLETE</v>
      </c>
      <c r="G1745" s="10" t="str">
        <f t="array" ref="G1745">IF(IFERROR(INDEX(data!L:L,match(Caseslist!B1745,data!D:D,0)),"INC")="","COMPLETE",F1745)</f>
        <v>COMPLETE</v>
      </c>
      <c r="H1745" s="9" t="str">
        <f t="array" ref="H1745">IFERROR(INDEX(dataICM!F:F,match(Caseslist!B1745,dataICM!D:D,0)), "INC")</f>
        <v>Wellyn Grace Alaban Parcia</v>
      </c>
      <c r="I1745" s="10" t="str">
        <f t="shared" si="2"/>
        <v>G5472901</v>
      </c>
      <c r="J1745" s="9" t="str">
        <f t="array" ref="J1745">IF(
  AND(
    IFERROR(MATCH(B1745, data!D:D, 0), 0) &gt; 0,
    IFERROR(INDEX(data!N:N, MATCH(B1745, data!D:D, 0)) = 1, FALSE)
  ),
  INDEX(data!C:C, MATCH(B1745, data!D:D, 0)),
  "INC"
)</f>
        <v>2025-08-26T11:20:50.280+08</v>
      </c>
      <c r="K1745" s="9" t="str">
        <f t="array" ref="K1745">IFERROR(INDEX(dataICM!C:C,match(Caseslist!B1745,dataICM!D:D,0)), "INC")</f>
        <v>2025-08-26T11:39:12.947+08</v>
      </c>
      <c r="L1745" s="10" t="str">
        <f t="array" ref="L1745">IF(AND(G1745="COMPLETE", OR(K1745="INC", ISBLANK(INDEX(data!O:O, ROW())))), J1745, K1745)</f>
        <v>2025-08-26T11:39:12.947+08</v>
      </c>
      <c r="M1745" s="2">
        <v>45895.0</v>
      </c>
      <c r="N1745" s="2">
        <f t="array" ref="N1745">IF(M1745&lt;&gt;"INC", INDEX(data!M:M, MATCH(B1745, data!D:D, 0)), "")</f>
        <v>3</v>
      </c>
      <c r="O1745" s="2">
        <f t="shared" si="3"/>
        <v>3</v>
      </c>
    </row>
    <row r="1746">
      <c r="A1746" s="2" t="str">
        <f t="shared" si="1"/>
        <v>H030821</v>
      </c>
      <c r="B1746" s="1" t="s">
        <v>769</v>
      </c>
      <c r="C1746" s="9" t="str">
        <f t="array" ref="C1746">IF(
  AND(
    IFERROR(MATCH(Caseslist!B1746, data!D:D, 0), 0) &gt; 0,
    IFERROR(INDEX(data!N:N, MATCH(Caseslist!B1746, data!D:D, 0)) = 1, FALSE)
  ),
  "COMPLETE",
  "INC"
)</f>
        <v>COMPLETE</v>
      </c>
      <c r="D1746" s="9" t="str">
        <f t="array" ref="D1746">IFERROR(INDEX(data!$G:$G,match(Caseslist!B1746,data!$D:$D,0)), "INC")</f>
        <v>H2846135</v>
      </c>
      <c r="E1746" s="9" t="str">
        <f t="array" ref="E1746">IFERROR(INDEX(data!H:H,match(Caseslist!B1746,data!D:D,0)), "INC")</f>
        <v>Annalou Empanado Encontro</v>
      </c>
      <c r="F1746" s="10" t="str">
        <f t="array" ref="F1746">IF(
    OR(
      IFNA(INDEX(data!M:M, MATCH(Caseslist!B1746, data!D:D, 0)), "") = "",
      IFNA(INDEX(data!M:M, MATCH(Caseslist!B1746, data!D:D, 0)), 0) = 0
    ),
    "COMPLETE",
    IF(
      IFNA(INDEX(dataICM!D:D, MATCH(Caseslist!B1746, dataICM!D:D, 0)), "INC") = "INC",
      IFNA(INDEX(dataICM!D:D, MATCH(Caseslist!B1746, dataICM!D:D, 0)), "INC"),
      "COMPLETE"
    )
  )</f>
        <v>COMPLETE</v>
      </c>
      <c r="G1746" s="10" t="str">
        <f t="array" ref="G1746">IF(IFERROR(INDEX(data!L:L,match(Caseslist!B1746,data!D:D,0)),"INC")="","COMPLETE",F1746)</f>
        <v>COMPLETE</v>
      </c>
      <c r="H1746" s="9" t="str">
        <f t="array" ref="H1746">IFERROR(INDEX(dataICM!F:F,match(Caseslist!B1746,dataICM!D:D,0)), "INC")</f>
        <v>Annalou Empanado Encontro</v>
      </c>
      <c r="I1746" s="10" t="str">
        <f t="shared" si="2"/>
        <v>H2846135</v>
      </c>
      <c r="J1746" s="9" t="str">
        <f t="array" ref="J1746">IF(
  AND(
    IFERROR(MATCH(B1746, data!D:D, 0), 0) &gt; 0,
    IFERROR(INDEX(data!N:N, MATCH(B1746, data!D:D, 0)) = 1, FALSE)
  ),
  INDEX(data!C:C, MATCH(B1746, data!D:D, 0)),
  "INC"
)</f>
        <v>2025-08-27T11:10:16.957+08</v>
      </c>
      <c r="K1746" s="9" t="str">
        <f t="array" ref="K1746">IFERROR(INDEX(dataICM!C:C,match(Caseslist!B1746,dataICM!D:D,0)), "INC")</f>
        <v>2025-08-27T11:11:05.811+08</v>
      </c>
      <c r="L1746" s="10" t="str">
        <f t="array" ref="L1746">IF(AND(G1746="COMPLETE", OR(K1746="INC", ISBLANK(INDEX(data!O:O, ROW())))), J1746, K1746)</f>
        <v>2025-08-27T11:11:05.811+08</v>
      </c>
      <c r="M1746" s="2">
        <v>45896.0</v>
      </c>
      <c r="N1746" s="2">
        <f t="array" ref="N1746">IF(M1746&lt;&gt;"INC", INDEX(data!M:M, MATCH(B1746, data!D:D, 0)), "")</f>
        <v>3</v>
      </c>
      <c r="O1746" s="2">
        <f t="shared" si="3"/>
        <v>3</v>
      </c>
    </row>
    <row r="1747">
      <c r="A1747" s="2" t="str">
        <f t="shared" si="1"/>
        <v>H030821</v>
      </c>
      <c r="B1747" s="1" t="s">
        <v>563</v>
      </c>
      <c r="C1747" s="9" t="str">
        <f t="array" ref="C1747">IF(
  AND(
    IFERROR(MATCH(Caseslist!B1747, data!D:D, 0), 0) &gt; 0,
    IFERROR(INDEX(data!N:N, MATCH(Caseslist!B1747, data!D:D, 0)) = 1, FALSE)
  ),
  "COMPLETE",
  "INC"
)</f>
        <v>COMPLETE</v>
      </c>
      <c r="D1747" s="9" t="str">
        <f t="array" ref="D1747">IFERROR(INDEX(data!$G:$G,match(Caseslist!B1747,data!$D:$D,0)), "INC")</f>
        <v>F3051749</v>
      </c>
      <c r="E1747" s="9" t="str">
        <f t="array" ref="E1747">IFERROR(INDEX(data!H:H,match(Caseslist!B1747,data!D:D,0)), "INC")</f>
        <v>Elenita Gicos De La Pe�a</v>
      </c>
      <c r="F1747" s="10" t="str">
        <f t="array" ref="F1747">IF(
    OR(
      IFNA(INDEX(data!M:M, MATCH(Caseslist!B1747, data!D:D, 0)), "") = "",
      IFNA(INDEX(data!M:M, MATCH(Caseslist!B1747, data!D:D, 0)), 0) = 0
    ),
    "COMPLETE",
    IF(
      IFNA(INDEX(dataICM!D:D, MATCH(Caseslist!B1747, dataICM!D:D, 0)), "INC") = "INC",
      IFNA(INDEX(dataICM!D:D, MATCH(Caseslist!B1747, dataICM!D:D, 0)), "INC"),
      "COMPLETE"
    )
  )</f>
        <v>COMPLETE</v>
      </c>
      <c r="G1747" s="10" t="str">
        <f t="array" ref="G1747">IF(IFERROR(INDEX(data!L:L,match(Caseslist!B1747,data!D:D,0)),"INC")="","COMPLETE",F1747)</f>
        <v>COMPLETE</v>
      </c>
      <c r="H1747" s="9" t="str">
        <f t="array" ref="H1747">IFERROR(INDEX(dataICM!F:F,match(Caseslist!B1747,dataICM!D:D,0)), "INC")</f>
        <v>Elenita Gicos De La Pe�a</v>
      </c>
      <c r="I1747" s="10" t="str">
        <f t="shared" si="2"/>
        <v>F3051749</v>
      </c>
      <c r="J1747" s="9" t="str">
        <f t="array" ref="J1747">IF(
  AND(
    IFERROR(MATCH(B1747, data!D:D, 0), 0) &gt; 0,
    IFERROR(INDEX(data!N:N, MATCH(B1747, data!D:D, 0)) = 1, FALSE)
  ),
  INDEX(data!C:C, MATCH(B1747, data!D:D, 0)),
  "INC"
)</f>
        <v>2025-08-26T13:35:23.008+08</v>
      </c>
      <c r="K1747" s="9" t="str">
        <f t="array" ref="K1747">IFERROR(INDEX(dataICM!C:C,match(Caseslist!B1747,dataICM!D:D,0)), "INC")</f>
        <v>2025-08-26T14:36:54.605+08</v>
      </c>
      <c r="L1747" s="10" t="str">
        <f t="array" ref="L1747">IF(AND(G1747="COMPLETE", OR(K1747="INC", ISBLANK(INDEX(data!O:O, ROW())))), J1747, K1747)</f>
        <v>2025-08-26T14:36:54.605+08</v>
      </c>
      <c r="M1747" s="2">
        <v>45895.0</v>
      </c>
      <c r="N1747" s="2">
        <f t="array" ref="N1747">IF(M1747&lt;&gt;"INC", INDEX(data!M:M, MATCH(B1747, data!D:D, 0)), "")</f>
        <v>3</v>
      </c>
      <c r="O1747" s="2">
        <f t="shared" si="3"/>
        <v>3</v>
      </c>
    </row>
    <row r="1748">
      <c r="A1748" s="2" t="str">
        <f t="shared" si="1"/>
        <v>H030821</v>
      </c>
      <c r="B1748" s="1" t="s">
        <v>413</v>
      </c>
      <c r="C1748" s="9" t="str">
        <f t="array" ref="C1748">IF(
  AND(
    IFERROR(MATCH(Caseslist!B1748, data!D:D, 0), 0) &gt; 0,
    IFERROR(INDEX(data!N:N, MATCH(Caseslist!B1748, data!D:D, 0)) = 1, FALSE)
  ),
  "COMPLETE",
  "INC"
)</f>
        <v>COMPLETE</v>
      </c>
      <c r="D1748" s="9" t="str">
        <f t="array" ref="D1748">IFERROR(INDEX(data!$G:$G,match(Caseslist!B1748,data!$D:$D,0)), "INC")</f>
        <v>H2846135</v>
      </c>
      <c r="E1748" s="9" t="str">
        <f t="array" ref="E1748">IFERROR(INDEX(data!H:H,match(Caseslist!B1748,data!D:D,0)), "INC")</f>
        <v>Annalou Empanado Encontro</v>
      </c>
      <c r="F1748" s="10" t="str">
        <f t="array" ref="F1748">IF(
    OR(
      IFNA(INDEX(data!M:M, MATCH(Caseslist!B1748, data!D:D, 0)), "") = "",
      IFNA(INDEX(data!M:M, MATCH(Caseslist!B1748, data!D:D, 0)), 0) = 0
    ),
    "COMPLETE",
    IF(
      IFNA(INDEX(dataICM!D:D, MATCH(Caseslist!B1748, dataICM!D:D, 0)), "INC") = "INC",
      IFNA(INDEX(dataICM!D:D, MATCH(Caseslist!B1748, dataICM!D:D, 0)), "INC"),
      "COMPLETE"
    )
  )</f>
        <v>COMPLETE</v>
      </c>
      <c r="G1748" s="10" t="str">
        <f t="array" ref="G1748">IF(IFERROR(INDEX(data!L:L,match(Caseslist!B1748,data!D:D,0)),"INC")="","COMPLETE",F1748)</f>
        <v>COMPLETE</v>
      </c>
      <c r="H1748" s="9" t="str">
        <f t="array" ref="H1748">IFERROR(INDEX(dataICM!F:F,match(Caseslist!B1748,dataICM!D:D,0)), "INC")</f>
        <v>Annalou Empanado Encontro</v>
      </c>
      <c r="I1748" s="10" t="str">
        <f t="shared" si="2"/>
        <v>H2846135</v>
      </c>
      <c r="J1748" s="9" t="str">
        <f t="array" ref="J1748">IF(
  AND(
    IFERROR(MATCH(B1748, data!D:D, 0), 0) &gt; 0,
    IFERROR(INDEX(data!N:N, MATCH(B1748, data!D:D, 0)) = 1, FALSE)
  ),
  INDEX(data!C:C, MATCH(B1748, data!D:D, 0)),
  "INC"
)</f>
        <v>2025-08-26T15:23:27.371+08</v>
      </c>
      <c r="K1748" s="9" t="str">
        <f t="array" ref="K1748">IFERROR(INDEX(dataICM!C:C,match(Caseslist!B1748,dataICM!D:D,0)), "INC")</f>
        <v>2025-08-26T15:36:22.880+08</v>
      </c>
      <c r="L1748" s="10" t="str">
        <f t="array" ref="L1748">IF(AND(G1748="COMPLETE", OR(K1748="INC", ISBLANK(INDEX(data!O:O, ROW())))), J1748, K1748)</f>
        <v>2025-08-26T15:36:22.880+08</v>
      </c>
      <c r="M1748" s="2">
        <v>45895.0</v>
      </c>
      <c r="N1748" s="2">
        <f t="array" ref="N1748">IF(M1748&lt;&gt;"INC", INDEX(data!M:M, MATCH(B1748, data!D:D, 0)), "")</f>
        <v>3</v>
      </c>
      <c r="O1748" s="2">
        <f t="shared" si="3"/>
        <v>3</v>
      </c>
    </row>
    <row r="1749">
      <c r="A1749" s="2" t="str">
        <f t="shared" si="1"/>
        <v>H030821</v>
      </c>
      <c r="B1749" s="1" t="s">
        <v>8748</v>
      </c>
      <c r="C1749" s="9" t="str">
        <f t="array" ref="C1749">IF(
  AND(
    IFERROR(MATCH(Caseslist!B1749, data!D:D, 0), 0) &gt; 0,
    IFERROR(INDEX(data!N:N, MATCH(Caseslist!B1749, data!D:D, 0)) = 1, FALSE)
  ),
  "COMPLETE",
  "INC"
)</f>
        <v>INC</v>
      </c>
      <c r="D1749" s="9" t="str">
        <f t="array" ref="D1749">IFERROR(INDEX(data!$G:$G,match(Caseslist!B1749,data!$D:$D,0)), "INC")</f>
        <v>G5472901</v>
      </c>
      <c r="E1749" s="9" t="str">
        <f t="array" ref="E1749">IFERROR(INDEX(data!H:H,match(Caseslist!B1749,data!D:D,0)), "INC")</f>
        <v>Wellyn Grace Alaban Parcia</v>
      </c>
      <c r="F1749" s="10" t="str">
        <f t="array" ref="F1749">IF(
    OR(
      IFNA(INDEX(data!M:M, MATCH(Caseslist!B1749, data!D:D, 0)), "") = "",
      IFNA(INDEX(data!M:M, MATCH(Caseslist!B1749, data!D:D, 0)), 0) = 0
    ),
    "COMPLETE",
    IF(
      IFNA(INDEX(dataICM!D:D, MATCH(Caseslist!B1749, dataICM!D:D, 0)), "INC") = "INC",
      IFNA(INDEX(dataICM!D:D, MATCH(Caseslist!B1749, dataICM!D:D, 0)), "INC"),
      "COMPLETE"
    )
  )</f>
        <v>INC</v>
      </c>
      <c r="G1749" s="10" t="str">
        <f t="array" ref="G1749">IF(IFERROR(INDEX(data!L:L,match(Caseslist!B1749,data!D:D,0)),"INC")="","COMPLETE",F1749)</f>
        <v>INC</v>
      </c>
      <c r="H1749" s="9" t="str">
        <f t="array" ref="H1749">IFERROR(INDEX(dataICM!F:F,match(Caseslist!B1749,dataICM!D:D,0)), "INC")</f>
        <v>INC</v>
      </c>
      <c r="I1749" s="10" t="str">
        <f t="shared" si="2"/>
        <v>INC</v>
      </c>
      <c r="J1749" s="9" t="str">
        <f t="array" ref="J1749">IF(
  AND(
    IFERROR(MATCH(B1749, data!D:D, 0), 0) &gt; 0,
    IFERROR(INDEX(data!N:N, MATCH(B1749, data!D:D, 0)) = 1, FALSE)
  ),
  INDEX(data!C:C, MATCH(B1749, data!D:D, 0)),
  "INC"
)</f>
        <v>INC</v>
      </c>
      <c r="K1749" s="9" t="str">
        <f t="array" ref="K1749">IFERROR(INDEX(dataICM!C:C,match(Caseslist!B1749,dataICM!D:D,0)), "INC")</f>
        <v>INC</v>
      </c>
      <c r="L1749" s="10" t="str">
        <f t="array" ref="L1749">IF(AND(G1749="COMPLETE", OR(K1749="INC", ISBLANK(INDEX(data!O:O, ROW())))), J1749, K1749)</f>
        <v>INC</v>
      </c>
      <c r="M1749" s="2" t="s">
        <v>8886</v>
      </c>
      <c r="N1749" s="2" t="str">
        <f t="array" ref="N1749">IF(M1749&lt;&gt;"INC", INDEX(data!M:M, MATCH(B1749, data!D:D, 0)), "")</f>
        <v/>
      </c>
      <c r="O1749" s="2" t="str">
        <f t="shared" si="3"/>
        <v/>
      </c>
    </row>
    <row r="1750">
      <c r="A1750" s="2" t="str">
        <f t="shared" si="1"/>
        <v>H030821</v>
      </c>
      <c r="B1750" s="1" t="s">
        <v>784</v>
      </c>
      <c r="C1750" s="9" t="str">
        <f t="array" ref="C1750">IF(
  AND(
    IFERROR(MATCH(Caseslist!B1750, data!D:D, 0), 0) &gt; 0,
    IFERROR(INDEX(data!N:N, MATCH(Caseslist!B1750, data!D:D, 0)) = 1, FALSE)
  ),
  "COMPLETE",
  "INC"
)</f>
        <v>COMPLETE</v>
      </c>
      <c r="D1750" s="9" t="str">
        <f t="array" ref="D1750">IFERROR(INDEX(data!$G:$G,match(Caseslist!B1750,data!$D:$D,0)), "INC")</f>
        <v>H2846135</v>
      </c>
      <c r="E1750" s="9" t="str">
        <f t="array" ref="E1750">IFERROR(INDEX(data!H:H,match(Caseslist!B1750,data!D:D,0)), "INC")</f>
        <v>Annalou Empanado Encontro</v>
      </c>
      <c r="F1750" s="10" t="str">
        <f t="array" ref="F1750">IF(
    OR(
      IFNA(INDEX(data!M:M, MATCH(Caseslist!B1750, data!D:D, 0)), "") = "",
      IFNA(INDEX(data!M:M, MATCH(Caseslist!B1750, data!D:D, 0)), 0) = 0
    ),
    "COMPLETE",
    IF(
      IFNA(INDEX(dataICM!D:D, MATCH(Caseslist!B1750, dataICM!D:D, 0)), "INC") = "INC",
      IFNA(INDEX(dataICM!D:D, MATCH(Caseslist!B1750, dataICM!D:D, 0)), "INC"),
      "COMPLETE"
    )
  )</f>
        <v>COMPLETE</v>
      </c>
      <c r="G1750" s="10" t="str">
        <f t="array" ref="G1750">IF(IFERROR(INDEX(data!L:L,match(Caseslist!B1750,data!D:D,0)),"INC")="","COMPLETE",F1750)</f>
        <v>COMPLETE</v>
      </c>
      <c r="H1750" s="9" t="str">
        <f t="array" ref="H1750">IFERROR(INDEX(dataICM!F:F,match(Caseslist!B1750,dataICM!D:D,0)), "INC")</f>
        <v>Annalou Empanado Encontro</v>
      </c>
      <c r="I1750" s="10" t="str">
        <f t="shared" si="2"/>
        <v>H2846135</v>
      </c>
      <c r="J1750" s="9" t="str">
        <f t="array" ref="J1750">IF(
  AND(
    IFERROR(MATCH(B1750, data!D:D, 0), 0) &gt; 0,
    IFERROR(INDEX(data!N:N, MATCH(B1750, data!D:D, 0)) = 1, FALSE)
  ),
  INDEX(data!C:C, MATCH(B1750, data!D:D, 0)),
  "INC"
)</f>
        <v>2025-08-27T09:46:18.352+08</v>
      </c>
      <c r="K1750" s="9" t="str">
        <f t="array" ref="K1750">IFERROR(INDEX(dataICM!C:C,match(Caseslist!B1750,dataICM!D:D,0)), "INC")</f>
        <v>2025-08-27T09:58:21.064+08</v>
      </c>
      <c r="L1750" s="10" t="str">
        <f t="array" ref="L1750">IF(AND(G1750="COMPLETE", OR(K1750="INC", ISBLANK(INDEX(data!O:O, ROW())))), J1750, K1750)</f>
        <v>2025-08-27T09:58:21.064+08</v>
      </c>
      <c r="M1750" s="2">
        <v>45896.0</v>
      </c>
      <c r="N1750" s="2">
        <f t="array" ref="N1750">IF(M1750&lt;&gt;"INC", INDEX(data!M:M, MATCH(B1750, data!D:D, 0)), "")</f>
        <v>3</v>
      </c>
      <c r="O1750" s="2">
        <f t="shared" si="3"/>
        <v>3</v>
      </c>
    </row>
    <row r="1751">
      <c r="A1751" s="2" t="str">
        <f t="shared" si="1"/>
        <v>H030829</v>
      </c>
      <c r="B1751" s="1" t="s">
        <v>939</v>
      </c>
      <c r="C1751" s="9" t="str">
        <f t="array" ref="C1751">IF(
  AND(
    IFERROR(MATCH(Caseslist!B1751, data!D:D, 0), 0) &gt; 0,
    IFERROR(INDEX(data!N:N, MATCH(Caseslist!B1751, data!D:D, 0)) = 1, FALSE)
  ),
  "COMPLETE",
  "INC"
)</f>
        <v>COMPLETE</v>
      </c>
      <c r="D1751" s="9" t="str">
        <f t="array" ref="D1751">IFERROR(INDEX(data!$G:$G,match(Caseslist!B1751,data!$D:$D,0)), "INC")</f>
        <v>L2057896</v>
      </c>
      <c r="E1751" s="9" t="str">
        <f t="array" ref="E1751">IFERROR(INDEX(data!H:H,match(Caseslist!B1751,data!D:D,0)), "INC")</f>
        <v>Franz Reoben Posadas Geneblaza</v>
      </c>
      <c r="F1751" s="10" t="str">
        <f t="array" ref="F1751">IF(
    OR(
      IFNA(INDEX(data!M:M, MATCH(Caseslist!B1751, data!D:D, 0)), "") = "",
      IFNA(INDEX(data!M:M, MATCH(Caseslist!B1751, data!D:D, 0)), 0) = 0
    ),
    "COMPLETE",
    IF(
      IFNA(INDEX(dataICM!D:D, MATCH(Caseslist!B1751, dataICM!D:D, 0)), "INC") = "INC",
      IFNA(INDEX(dataICM!D:D, MATCH(Caseslist!B1751, dataICM!D:D, 0)), "INC"),
      "COMPLETE"
    )
  )</f>
        <v>COMPLETE</v>
      </c>
      <c r="G1751" s="10" t="str">
        <f t="array" ref="G1751">IF(IFERROR(INDEX(data!L:L,match(Caseslist!B1751,data!D:D,0)),"INC")="","COMPLETE",F1751)</f>
        <v>COMPLETE</v>
      </c>
      <c r="H1751" s="9" t="str">
        <f t="array" ref="H1751">IFERROR(INDEX(dataICM!F:F,match(Caseslist!B1751,dataICM!D:D,0)), "INC")</f>
        <v>Franz Reoben Posadas Geneblaza</v>
      </c>
      <c r="I1751" s="10" t="str">
        <f t="shared" si="2"/>
        <v>L2057896</v>
      </c>
      <c r="J1751" s="9" t="str">
        <f t="array" ref="J1751">IF(
  AND(
    IFERROR(MATCH(B1751, data!D:D, 0), 0) &gt; 0,
    IFERROR(INDEX(data!N:N, MATCH(B1751, data!D:D, 0)) = 1, FALSE)
  ),
  INDEX(data!C:C, MATCH(B1751, data!D:D, 0)),
  "INC"
)</f>
        <v>2025-09-30T19:23:45.633+08</v>
      </c>
      <c r="K1751" s="9" t="str">
        <f t="array" ref="K1751">IFERROR(INDEX(dataICM!C:C,match(Caseslist!B1751,dataICM!D:D,0)), "INC")</f>
        <v>2025-09-30T19:56:36.801+08</v>
      </c>
      <c r="L1751" s="10" t="str">
        <f t="array" ref="L1751">IF(AND(G1751="COMPLETE", OR(K1751="INC", ISBLANK(INDEX(data!O:O, ROW())))), J1751, K1751)</f>
        <v>2025-09-30T19:56:36.801+08</v>
      </c>
      <c r="M1751" s="2">
        <v>45930.0</v>
      </c>
      <c r="N1751" s="2">
        <f t="array" ref="N1751">IF(M1751&lt;&gt;"INC", INDEX(data!M:M, MATCH(B1751, data!D:D, 0)), "")</f>
        <v>2</v>
      </c>
      <c r="O1751" s="2">
        <f t="shared" si="3"/>
        <v>2</v>
      </c>
    </row>
    <row r="1752">
      <c r="A1752" s="2" t="str">
        <f t="shared" si="1"/>
        <v>H030829</v>
      </c>
      <c r="B1752" s="1" t="s">
        <v>949</v>
      </c>
      <c r="C1752" s="9" t="str">
        <f t="array" ref="C1752">IF(
  AND(
    IFERROR(MATCH(Caseslist!B1752, data!D:D, 0), 0) &gt; 0,
    IFERROR(INDEX(data!N:N, MATCH(Caseslist!B1752, data!D:D, 0)) = 1, FALSE)
  ),
  "COMPLETE",
  "INC"
)</f>
        <v>COMPLETE</v>
      </c>
      <c r="D1752" s="9" t="str">
        <f t="array" ref="D1752">IFERROR(INDEX(data!$G:$G,match(Caseslist!B1752,data!$D:$D,0)), "INC")</f>
        <v>M6491032</v>
      </c>
      <c r="E1752" s="9" t="str">
        <f t="array" ref="E1752">IFERROR(INDEX(data!H:H,match(Caseslist!B1752,data!D:D,0)), "INC")</f>
        <v>Rosevil Tayo Desamparado</v>
      </c>
      <c r="F1752" s="10" t="str">
        <f t="array" ref="F1752">IF(
    OR(
      IFNA(INDEX(data!M:M, MATCH(Caseslist!B1752, data!D:D, 0)), "") = "",
      IFNA(INDEX(data!M:M, MATCH(Caseslist!B1752, data!D:D, 0)), 0) = 0
    ),
    "COMPLETE",
    IF(
      IFNA(INDEX(dataICM!D:D, MATCH(Caseslist!B1752, dataICM!D:D, 0)), "INC") = "INC",
      IFNA(INDEX(dataICM!D:D, MATCH(Caseslist!B1752, dataICM!D:D, 0)), "INC"),
      "COMPLETE"
    )
  )</f>
        <v>COMPLETE</v>
      </c>
      <c r="G1752" s="10" t="str">
        <f t="array" ref="G1752">IF(IFERROR(INDEX(data!L:L,match(Caseslist!B1752,data!D:D,0)),"INC")="","COMPLETE",F1752)</f>
        <v>COMPLETE</v>
      </c>
      <c r="H1752" s="9" t="str">
        <f t="array" ref="H1752">IFERROR(INDEX(dataICM!F:F,match(Caseslist!B1752,dataICM!D:D,0)), "INC")</f>
        <v>Rosevil Tayo Desamparado</v>
      </c>
      <c r="I1752" s="10" t="str">
        <f t="shared" si="2"/>
        <v>M6491032</v>
      </c>
      <c r="J1752" s="9" t="str">
        <f t="array" ref="J1752">IF(
  AND(
    IFERROR(MATCH(B1752, data!D:D, 0), 0) &gt; 0,
    IFERROR(INDEX(data!N:N, MATCH(B1752, data!D:D, 0)) = 1, FALSE)
  ),
  INDEX(data!C:C, MATCH(B1752, data!D:D, 0)),
  "INC"
)</f>
        <v>2025-09-30T16:12:03.376+08</v>
      </c>
      <c r="K1752" s="9" t="str">
        <f t="array" ref="K1752">IFERROR(INDEX(dataICM!C:C,match(Caseslist!B1752,dataICM!D:D,0)), "INC")</f>
        <v>2025-09-30T20:30:02.728+08</v>
      </c>
      <c r="L1752" s="10" t="str">
        <f t="array" ref="L1752">IF(AND(G1752="COMPLETE", OR(K1752="INC", ISBLANK(INDEX(data!O:O, ROW())))), J1752, K1752)</f>
        <v>2025-09-30T20:30:02.728+08</v>
      </c>
      <c r="M1752" s="2">
        <v>45930.0</v>
      </c>
      <c r="N1752" s="2">
        <f t="array" ref="N1752">IF(M1752&lt;&gt;"INC", INDEX(data!M:M, MATCH(B1752, data!D:D, 0)), "")</f>
        <v>2</v>
      </c>
      <c r="O1752" s="2">
        <f t="shared" si="3"/>
        <v>2</v>
      </c>
    </row>
    <row r="1753">
      <c r="A1753" s="2" t="str">
        <f t="shared" si="1"/>
        <v>H030829</v>
      </c>
      <c r="B1753" s="1" t="s">
        <v>8943</v>
      </c>
      <c r="C1753" s="9" t="str">
        <f t="array" ref="C1753">IF(
  AND(
    IFERROR(MATCH(Caseslist!B1753, data!D:D, 0), 0) &gt; 0,
    IFERROR(INDEX(data!N:N, MATCH(Caseslist!B1753, data!D:D, 0)) = 1, FALSE)
  ),
  "COMPLETE",
  "INC"
)</f>
        <v>INC</v>
      </c>
      <c r="D1753" s="9" t="str">
        <f t="array" ref="D1753">IFERROR(INDEX(data!$G:$G,match(Caseslist!B1753,data!$D:$D,0)), "INC")</f>
        <v>INC</v>
      </c>
      <c r="E1753" s="9" t="str">
        <f t="array" ref="E1753">IFERROR(INDEX(data!H:H,match(Caseslist!B1753,data!D:D,0)), "INC")</f>
        <v>INC</v>
      </c>
      <c r="F1753" s="10" t="str">
        <f t="array" ref="F1753">IF(
    OR(
      IFNA(INDEX(data!M:M, MATCH(Caseslist!B1753, data!D:D, 0)), "") = "",
      IFNA(INDEX(data!M:M, MATCH(Caseslist!B1753, data!D:D, 0)), 0) = 0
    ),
    "COMPLETE",
    IF(
      IFNA(INDEX(dataICM!D:D, MATCH(Caseslist!B1753, dataICM!D:D, 0)), "INC") = "INC",
      IFNA(INDEX(dataICM!D:D, MATCH(Caseslist!B1753, dataICM!D:D, 0)), "INC"),
      "COMPLETE"
    )
  )</f>
        <v>COMPLETE</v>
      </c>
      <c r="G1753" s="10" t="str">
        <f t="array" ref="G1753">IF(IFERROR(INDEX(data!L:L,match(Caseslist!B1753,data!D:D,0)),"INC")="","COMPLETE",F1753)</f>
        <v>COMPLETE</v>
      </c>
      <c r="H1753" s="9" t="str">
        <f t="array" ref="H1753">IFERROR(INDEX(dataICM!F:F,match(Caseslist!B1753,dataICM!D:D,0)), "INC")</f>
        <v>INC</v>
      </c>
      <c r="I1753" s="10" t="str">
        <f t="shared" si="2"/>
        <v>INC</v>
      </c>
      <c r="J1753" s="9" t="str">
        <f t="array" ref="J1753">IF(
  AND(
    IFERROR(MATCH(B1753, data!D:D, 0), 0) &gt; 0,
    IFERROR(INDEX(data!N:N, MATCH(B1753, data!D:D, 0)) = 1, FALSE)
  ),
  INDEX(data!C:C, MATCH(B1753, data!D:D, 0)),
  "INC"
)</f>
        <v>INC</v>
      </c>
      <c r="K1753" s="9" t="str">
        <f t="array" ref="K1753">IFERROR(INDEX(dataICM!C:C,match(Caseslist!B1753,dataICM!D:D,0)), "INC")</f>
        <v>INC</v>
      </c>
      <c r="L1753" s="10" t="str">
        <f t="array" ref="L1753">IF(AND(G1753="COMPLETE", OR(K1753="INC", ISBLANK(INDEX(data!O:O, ROW())))), J1753, K1753)</f>
        <v>INC</v>
      </c>
      <c r="M1753" s="2" t="s">
        <v>8886</v>
      </c>
      <c r="N1753" s="2" t="str">
        <f t="array" ref="N1753">IF(M1753&lt;&gt;"INC", INDEX(data!M:M, MATCH(B1753, data!D:D, 0)), "")</f>
        <v/>
      </c>
      <c r="O1753" s="2" t="str">
        <f t="shared" si="3"/>
        <v/>
      </c>
    </row>
    <row r="1754">
      <c r="A1754" s="2" t="str">
        <f t="shared" si="1"/>
        <v>H030829</v>
      </c>
      <c r="B1754" s="1" t="s">
        <v>829</v>
      </c>
      <c r="C1754" s="9" t="str">
        <f t="array" ref="C1754">IF(
  AND(
    IFERROR(MATCH(Caseslist!B1754, data!D:D, 0), 0) &gt; 0,
    IFERROR(INDEX(data!N:N, MATCH(Caseslist!B1754, data!D:D, 0)) = 1, FALSE)
  ),
  "COMPLETE",
  "INC"
)</f>
        <v>COMPLETE</v>
      </c>
      <c r="D1754" s="9" t="str">
        <f t="array" ref="D1754">IFERROR(INDEX(data!$G:$G,match(Caseslist!B1754,data!$D:$D,0)), "INC")</f>
        <v>K8623174</v>
      </c>
      <c r="E1754" s="9" t="str">
        <f t="array" ref="E1754">IFERROR(INDEX(data!H:H,match(Caseslist!B1754,data!D:D,0)), "INC")</f>
        <v>Marielle Kaye Ignacio Alonzo</v>
      </c>
      <c r="F1754" s="10" t="str">
        <f t="array" ref="F1754">IF(
    OR(
      IFNA(INDEX(data!M:M, MATCH(Caseslist!B1754, data!D:D, 0)), "") = "",
      IFNA(INDEX(data!M:M, MATCH(Caseslist!B1754, data!D:D, 0)), 0) = 0
    ),
    "COMPLETE",
    IF(
      IFNA(INDEX(dataICM!D:D, MATCH(Caseslist!B1754, dataICM!D:D, 0)), "INC") = "INC",
      IFNA(INDEX(dataICM!D:D, MATCH(Caseslist!B1754, dataICM!D:D, 0)), "INC"),
      "COMPLETE"
    )
  )</f>
        <v>COMPLETE</v>
      </c>
      <c r="G1754" s="10" t="str">
        <f t="array" ref="G1754">IF(IFERROR(INDEX(data!L:L,match(Caseslist!B1754,data!D:D,0)),"INC")="","COMPLETE",F1754)</f>
        <v>COMPLETE</v>
      </c>
      <c r="H1754" s="9" t="str">
        <f t="array" ref="H1754">IFERROR(INDEX(dataICM!F:F,match(Caseslist!B1754,dataICM!D:D,0)), "INC")</f>
        <v>Marielle Kaye Ignacio Alonzo</v>
      </c>
      <c r="I1754" s="10" t="str">
        <f t="shared" si="2"/>
        <v>K8623174</v>
      </c>
      <c r="J1754" s="9" t="str">
        <f t="array" ref="J1754">IF(
  AND(
    IFERROR(MATCH(B1754, data!D:D, 0), 0) &gt; 0,
    IFERROR(INDEX(data!N:N, MATCH(B1754, data!D:D, 0)) = 1, FALSE)
  ),
  INDEX(data!C:C, MATCH(B1754, data!D:D, 0)),
  "INC"
)</f>
        <v>2025-08-27T10:54:23.242+08</v>
      </c>
      <c r="K1754" s="9" t="str">
        <f t="array" ref="K1754">IFERROR(INDEX(dataICM!C:C,match(Caseslist!B1754,dataICM!D:D,0)), "INC")</f>
        <v>2025-08-27T12:14:22.558+08</v>
      </c>
      <c r="L1754" s="10" t="str">
        <f t="array" ref="L1754">IF(AND(G1754="COMPLETE", OR(K1754="INC", ISBLANK(INDEX(data!O:O, ROW())))), J1754, K1754)</f>
        <v>2025-08-27T12:14:22.558+08</v>
      </c>
      <c r="M1754" s="2">
        <v>45896.0</v>
      </c>
      <c r="N1754" s="2">
        <f t="array" ref="N1754">IF(M1754&lt;&gt;"INC", INDEX(data!M:M, MATCH(B1754, data!D:D, 0)), "")</f>
        <v>2</v>
      </c>
      <c r="O1754" s="2">
        <f t="shared" si="3"/>
        <v>2</v>
      </c>
    </row>
    <row r="1755">
      <c r="A1755" s="2" t="str">
        <f t="shared" si="1"/>
        <v>H030829</v>
      </c>
      <c r="B1755" s="1" t="s">
        <v>734</v>
      </c>
      <c r="C1755" s="9" t="str">
        <f t="array" ref="C1755">IF(
  AND(
    IFERROR(MATCH(Caseslist!B1755, data!D:D, 0), 0) &gt; 0,
    IFERROR(INDEX(data!N:N, MATCH(Caseslist!B1755, data!D:D, 0)) = 1, FALSE)
  ),
  "COMPLETE",
  "INC"
)</f>
        <v>COMPLETE</v>
      </c>
      <c r="D1755" s="9" t="str">
        <f t="array" ref="D1755">IFERROR(INDEX(data!$G:$G,match(Caseslist!B1755,data!$D:$D,0)), "INC")</f>
        <v>L2057896</v>
      </c>
      <c r="E1755" s="9" t="str">
        <f t="array" ref="E1755">IFERROR(INDEX(data!H:H,match(Caseslist!B1755,data!D:D,0)), "INC")</f>
        <v>Franz Reoben Posadas Geneblaza</v>
      </c>
      <c r="F1755" s="10" t="str">
        <f t="array" ref="F1755">IF(
    OR(
      IFNA(INDEX(data!M:M, MATCH(Caseslist!B1755, data!D:D, 0)), "") = "",
      IFNA(INDEX(data!M:M, MATCH(Caseslist!B1755, data!D:D, 0)), 0) = 0
    ),
    "COMPLETE",
    IF(
      IFNA(INDEX(dataICM!D:D, MATCH(Caseslist!B1755, dataICM!D:D, 0)), "INC") = "INC",
      IFNA(INDEX(dataICM!D:D, MATCH(Caseslist!B1755, dataICM!D:D, 0)), "INC"),
      "COMPLETE"
    )
  )</f>
        <v>COMPLETE</v>
      </c>
      <c r="G1755" s="10" t="str">
        <f t="array" ref="G1755">IF(IFERROR(INDEX(data!L:L,match(Caseslist!B1755,data!D:D,0)),"INC")="","COMPLETE",F1755)</f>
        <v>COMPLETE</v>
      </c>
      <c r="H1755" s="9" t="str">
        <f t="array" ref="H1755">IFERROR(INDEX(dataICM!F:F,match(Caseslist!B1755,dataICM!D:D,0)), "INC")</f>
        <v>Franz Reoben Posadas Geneblaza</v>
      </c>
      <c r="I1755" s="10" t="str">
        <f t="shared" si="2"/>
        <v>L2057896</v>
      </c>
      <c r="J1755" s="9" t="str">
        <f t="array" ref="J1755">IF(
  AND(
    IFERROR(MATCH(B1755, data!D:D, 0), 0) &gt; 0,
    IFERROR(INDEX(data!N:N, MATCH(B1755, data!D:D, 0)) = 1, FALSE)
  ),
  INDEX(data!C:C, MATCH(B1755, data!D:D, 0)),
  "INC"
)</f>
        <v>2025-08-27T12:59:55.906+08</v>
      </c>
      <c r="K1755" s="9" t="str">
        <f t="array" ref="K1755">IFERROR(INDEX(dataICM!C:C,match(Caseslist!B1755,dataICM!D:D,0)), "INC")</f>
        <v>2025-08-27T13:15:43.366+08</v>
      </c>
      <c r="L1755" s="10" t="str">
        <f t="array" ref="L1755">IF(AND(G1755="COMPLETE", OR(K1755="INC", ISBLANK(INDEX(data!O:O, ROW())))), J1755, K1755)</f>
        <v>2025-08-27T13:15:43.366+08</v>
      </c>
      <c r="M1755" s="2">
        <v>45896.0</v>
      </c>
      <c r="N1755" s="2">
        <f t="array" ref="N1755">IF(M1755&lt;&gt;"INC", INDEX(data!M:M, MATCH(B1755, data!D:D, 0)), "")</f>
        <v>2</v>
      </c>
      <c r="O1755" s="2">
        <f t="shared" si="3"/>
        <v>2</v>
      </c>
    </row>
    <row r="1756">
      <c r="A1756" s="2" t="str">
        <f t="shared" si="1"/>
        <v>H030829</v>
      </c>
      <c r="B1756" s="1" t="s">
        <v>914</v>
      </c>
      <c r="C1756" s="9" t="str">
        <f t="array" ref="C1756">IF(
  AND(
    IFERROR(MATCH(Caseslist!B1756, data!D:D, 0), 0) &gt; 0,
    IFERROR(INDEX(data!N:N, MATCH(Caseslist!B1756, data!D:D, 0)) = 1, FALSE)
  ),
  "COMPLETE",
  "INC"
)</f>
        <v>COMPLETE</v>
      </c>
      <c r="D1756" s="9" t="str">
        <f t="array" ref="D1756">IFERROR(INDEX(data!$G:$G,match(Caseslist!B1756,data!$D:$D,0)), "INC")</f>
        <v>M6491032</v>
      </c>
      <c r="E1756" s="9" t="str">
        <f t="array" ref="E1756">IFERROR(INDEX(data!H:H,match(Caseslist!B1756,data!D:D,0)), "INC")</f>
        <v>Rosevil Tayo Desamparado</v>
      </c>
      <c r="F1756" s="10" t="str">
        <f t="array" ref="F1756">IF(
    OR(
      IFNA(INDEX(data!M:M, MATCH(Caseslist!B1756, data!D:D, 0)), "") = "",
      IFNA(INDEX(data!M:M, MATCH(Caseslist!B1756, data!D:D, 0)), 0) = 0
    ),
    "COMPLETE",
    IF(
      IFNA(INDEX(dataICM!D:D, MATCH(Caseslist!B1756, dataICM!D:D, 0)), "INC") = "INC",
      IFNA(INDEX(dataICM!D:D, MATCH(Caseslist!B1756, dataICM!D:D, 0)), "INC"),
      "COMPLETE"
    )
  )</f>
        <v>COMPLETE</v>
      </c>
      <c r="G1756" s="10" t="str">
        <f t="array" ref="G1756">IF(IFERROR(INDEX(data!L:L,match(Caseslist!B1756,data!D:D,0)),"INC")="","COMPLETE",F1756)</f>
        <v>COMPLETE</v>
      </c>
      <c r="H1756" s="9" t="str">
        <f t="array" ref="H1756">IFERROR(INDEX(dataICM!F:F,match(Caseslist!B1756,dataICM!D:D,0)), "INC")</f>
        <v>Rosevil Tayo Desamparado</v>
      </c>
      <c r="I1756" s="10" t="str">
        <f t="shared" si="2"/>
        <v>M6491032</v>
      </c>
      <c r="J1756" s="9" t="str">
        <f t="array" ref="J1756">IF(
  AND(
    IFERROR(MATCH(B1756, data!D:D, 0), 0) &gt; 0,
    IFERROR(INDEX(data!N:N, MATCH(B1756, data!D:D, 0)) = 1, FALSE)
  ),
  INDEX(data!C:C, MATCH(B1756, data!D:D, 0)),
  "INC"
)</f>
        <v>2025-08-27T13:06:08.501+08</v>
      </c>
      <c r="K1756" s="9" t="str">
        <f t="array" ref="K1756">IFERROR(INDEX(dataICM!C:C,match(Caseslist!B1756,dataICM!D:D,0)), "INC")</f>
        <v>2025-08-27T13:25:27.085+08</v>
      </c>
      <c r="L1756" s="10" t="str">
        <f t="array" ref="L1756">IF(AND(G1756="COMPLETE", OR(K1756="INC", ISBLANK(INDEX(data!O:O, ROW())))), J1756, K1756)</f>
        <v>2025-08-27T13:25:27.085+08</v>
      </c>
      <c r="M1756" s="2">
        <v>45896.0</v>
      </c>
      <c r="N1756" s="2">
        <f t="array" ref="N1756">IF(M1756&lt;&gt;"INC", INDEX(data!M:M, MATCH(B1756, data!D:D, 0)), "")</f>
        <v>2</v>
      </c>
      <c r="O1756" s="2">
        <f t="shared" si="3"/>
        <v>2</v>
      </c>
    </row>
    <row r="1757">
      <c r="A1757" s="2" t="str">
        <f t="shared" si="1"/>
        <v>H030829</v>
      </c>
      <c r="B1757" s="1" t="s">
        <v>909</v>
      </c>
      <c r="C1757" s="9" t="str">
        <f t="array" ref="C1757">IF(
  AND(
    IFERROR(MATCH(Caseslist!B1757, data!D:D, 0), 0) &gt; 0,
    IFERROR(INDEX(data!N:N, MATCH(Caseslist!B1757, data!D:D, 0)) = 1, FALSE)
  ),
  "COMPLETE",
  "INC"
)</f>
        <v>COMPLETE</v>
      </c>
      <c r="D1757" s="9" t="str">
        <f t="array" ref="D1757">IFERROR(INDEX(data!$G:$G,match(Caseslist!B1757,data!$D:$D,0)), "INC")</f>
        <v>M6491032</v>
      </c>
      <c r="E1757" s="9" t="str">
        <f t="array" ref="E1757">IFERROR(INDEX(data!H:H,match(Caseslist!B1757,data!D:D,0)), "INC")</f>
        <v>Rosevil Tayo Desamparado</v>
      </c>
      <c r="F1757" s="10" t="str">
        <f t="array" ref="F1757">IF(
    OR(
      IFNA(INDEX(data!M:M, MATCH(Caseslist!B1757, data!D:D, 0)), "") = "",
      IFNA(INDEX(data!M:M, MATCH(Caseslist!B1757, data!D:D, 0)), 0) = 0
    ),
    "COMPLETE",
    IF(
      IFNA(INDEX(dataICM!D:D, MATCH(Caseslist!B1757, dataICM!D:D, 0)), "INC") = "INC",
      IFNA(INDEX(dataICM!D:D, MATCH(Caseslist!B1757, dataICM!D:D, 0)), "INC"),
      "COMPLETE"
    )
  )</f>
        <v>COMPLETE</v>
      </c>
      <c r="G1757" s="10" t="str">
        <f t="array" ref="G1757">IF(IFERROR(INDEX(data!L:L,match(Caseslist!B1757,data!D:D,0)),"INC")="","COMPLETE",F1757)</f>
        <v>COMPLETE</v>
      </c>
      <c r="H1757" s="9" t="str">
        <f t="array" ref="H1757">IFERROR(INDEX(dataICM!F:F,match(Caseslist!B1757,dataICM!D:D,0)), "INC")</f>
        <v>Rosevil Tayo Desamparado</v>
      </c>
      <c r="I1757" s="10" t="str">
        <f t="shared" si="2"/>
        <v>M6491032</v>
      </c>
      <c r="J1757" s="9" t="str">
        <f t="array" ref="J1757">IF(
  AND(
    IFERROR(MATCH(B1757, data!D:D, 0), 0) &gt; 0,
    IFERROR(INDEX(data!N:N, MATCH(B1757, data!D:D, 0)) = 1, FALSE)
  ),
  INDEX(data!C:C, MATCH(B1757, data!D:D, 0)),
  "INC"
)</f>
        <v>2025-08-27T11:18:24.404+08</v>
      </c>
      <c r="K1757" s="9" t="str">
        <f t="array" ref="K1757">IFERROR(INDEX(dataICM!C:C,match(Caseslist!B1757,dataICM!D:D,0)), "INC")</f>
        <v>2025-08-27T11:21:44.472+08</v>
      </c>
      <c r="L1757" s="10" t="str">
        <f t="array" ref="L1757">IF(AND(G1757="COMPLETE", OR(K1757="INC", ISBLANK(INDEX(data!O:O, ROW())))), J1757, K1757)</f>
        <v>2025-08-27T11:21:44.472+08</v>
      </c>
      <c r="M1757" s="2">
        <v>45896.0</v>
      </c>
      <c r="N1757" s="2">
        <f t="array" ref="N1757">IF(M1757&lt;&gt;"INC", INDEX(data!M:M, MATCH(B1757, data!D:D, 0)), "")</f>
        <v>2</v>
      </c>
      <c r="O1757" s="2">
        <f t="shared" si="3"/>
        <v>2</v>
      </c>
    </row>
    <row r="1758">
      <c r="A1758" s="2" t="str">
        <f t="shared" si="1"/>
        <v>H030829</v>
      </c>
      <c r="B1758" s="1" t="s">
        <v>839</v>
      </c>
      <c r="C1758" s="9" t="str">
        <f t="array" ref="C1758">IF(
  AND(
    IFERROR(MATCH(Caseslist!B1758, data!D:D, 0), 0) &gt; 0,
    IFERROR(INDEX(data!N:N, MATCH(Caseslist!B1758, data!D:D, 0)) = 1, FALSE)
  ),
  "COMPLETE",
  "INC"
)</f>
        <v>COMPLETE</v>
      </c>
      <c r="D1758" s="9" t="str">
        <f t="array" ref="D1758">IFERROR(INDEX(data!$G:$G,match(Caseslist!B1758,data!$D:$D,0)), "INC")</f>
        <v>K8623174</v>
      </c>
      <c r="E1758" s="9" t="str">
        <f t="array" ref="E1758">IFERROR(INDEX(data!H:H,match(Caseslist!B1758,data!D:D,0)), "INC")</f>
        <v>Marielle Kaye Ignacio Alonzo</v>
      </c>
      <c r="F1758" s="10" t="str">
        <f t="array" ref="F1758">IF(
    OR(
      IFNA(INDEX(data!M:M, MATCH(Caseslist!B1758, data!D:D, 0)), "") = "",
      IFNA(INDEX(data!M:M, MATCH(Caseslist!B1758, data!D:D, 0)), 0) = 0
    ),
    "COMPLETE",
    IF(
      IFNA(INDEX(dataICM!D:D, MATCH(Caseslist!B1758, dataICM!D:D, 0)), "INC") = "INC",
      IFNA(INDEX(dataICM!D:D, MATCH(Caseslist!B1758, dataICM!D:D, 0)), "INC"),
      "COMPLETE"
    )
  )</f>
        <v>COMPLETE</v>
      </c>
      <c r="G1758" s="10" t="str">
        <f t="array" ref="G1758">IF(IFERROR(INDEX(data!L:L,match(Caseslist!B1758,data!D:D,0)),"INC")="","COMPLETE",F1758)</f>
        <v>COMPLETE</v>
      </c>
      <c r="H1758" s="9" t="str">
        <f t="array" ref="H1758">IFERROR(INDEX(dataICM!F:F,match(Caseslist!B1758,dataICM!D:D,0)), "INC")</f>
        <v>Marielle Kaye Ignacio Alonzo</v>
      </c>
      <c r="I1758" s="10" t="str">
        <f t="shared" si="2"/>
        <v>K8623174</v>
      </c>
      <c r="J1758" s="9" t="str">
        <f t="array" ref="J1758">IF(
  AND(
    IFERROR(MATCH(B1758, data!D:D, 0), 0) &gt; 0,
    IFERROR(INDEX(data!N:N, MATCH(B1758, data!D:D, 0)) = 1, FALSE)
  ),
  INDEX(data!C:C, MATCH(B1758, data!D:D, 0)),
  "INC"
)</f>
        <v>2025-08-27T13:59:31.589+08</v>
      </c>
      <c r="K1758" s="9" t="str">
        <f t="array" ref="K1758">IFERROR(INDEX(dataICM!C:C,match(Caseslist!B1758,dataICM!D:D,0)), "INC")</f>
        <v>2025-08-27T15:14:32.790+08</v>
      </c>
      <c r="L1758" s="10" t="str">
        <f t="array" ref="L1758">IF(AND(G1758="COMPLETE", OR(K1758="INC", ISBLANK(INDEX(data!O:O, ROW())))), J1758, K1758)</f>
        <v>2025-08-27T15:14:32.790+08</v>
      </c>
      <c r="M1758" s="2">
        <v>45896.0</v>
      </c>
      <c r="N1758" s="2">
        <f t="array" ref="N1758">IF(M1758&lt;&gt;"INC", INDEX(data!M:M, MATCH(B1758, data!D:D, 0)), "")</f>
        <v>2</v>
      </c>
      <c r="O1758" s="2">
        <f t="shared" si="3"/>
        <v>2</v>
      </c>
    </row>
    <row r="1759">
      <c r="A1759" s="2" t="str">
        <f t="shared" si="1"/>
        <v>H030829</v>
      </c>
      <c r="B1759" s="1" t="s">
        <v>834</v>
      </c>
      <c r="C1759" s="9" t="str">
        <f t="array" ref="C1759">IF(
  AND(
    IFERROR(MATCH(Caseslist!B1759, data!D:D, 0), 0) &gt; 0,
    IFERROR(INDEX(data!N:N, MATCH(Caseslist!B1759, data!D:D, 0)) = 1, FALSE)
  ),
  "COMPLETE",
  "INC"
)</f>
        <v>COMPLETE</v>
      </c>
      <c r="D1759" s="9" t="str">
        <f t="array" ref="D1759">IFERROR(INDEX(data!$G:$G,match(Caseslist!B1759,data!$D:$D,0)), "INC")</f>
        <v>K8623174</v>
      </c>
      <c r="E1759" s="9" t="str">
        <f t="array" ref="E1759">IFERROR(INDEX(data!H:H,match(Caseslist!B1759,data!D:D,0)), "INC")</f>
        <v>Marielle Kaye Ignacio Alonzo</v>
      </c>
      <c r="F1759" s="10" t="str">
        <f t="array" ref="F1759">IF(
    OR(
      IFNA(INDEX(data!M:M, MATCH(Caseslist!B1759, data!D:D, 0)), "") = "",
      IFNA(INDEX(data!M:M, MATCH(Caseslist!B1759, data!D:D, 0)), 0) = 0
    ),
    "COMPLETE",
    IF(
      IFNA(INDEX(dataICM!D:D, MATCH(Caseslist!B1759, dataICM!D:D, 0)), "INC") = "INC",
      IFNA(INDEX(dataICM!D:D, MATCH(Caseslist!B1759, dataICM!D:D, 0)), "INC"),
      "COMPLETE"
    )
  )</f>
        <v>COMPLETE</v>
      </c>
      <c r="G1759" s="10" t="str">
        <f t="array" ref="G1759">IF(IFERROR(INDEX(data!L:L,match(Caseslist!B1759,data!D:D,0)),"INC")="","COMPLETE",F1759)</f>
        <v>COMPLETE</v>
      </c>
      <c r="H1759" s="9" t="str">
        <f t="array" ref="H1759">IFERROR(INDEX(dataICM!F:F,match(Caseslist!B1759,dataICM!D:D,0)), "INC")</f>
        <v>Marielle Kaye Ignacio Alonzo</v>
      </c>
      <c r="I1759" s="10" t="str">
        <f t="shared" si="2"/>
        <v>K8623174</v>
      </c>
      <c r="J1759" s="9" t="str">
        <f t="array" ref="J1759">IF(
  AND(
    IFERROR(MATCH(B1759, data!D:D, 0), 0) &gt; 0,
    IFERROR(INDEX(data!N:N, MATCH(B1759, data!D:D, 0)) = 1, FALSE)
  ),
  INDEX(data!C:C, MATCH(B1759, data!D:D, 0)),
  "INC"
)</f>
        <v>2025-08-27T09:39:05.283+08</v>
      </c>
      <c r="K1759" s="9" t="str">
        <f t="array" ref="K1759">IFERROR(INDEX(dataICM!C:C,match(Caseslist!B1759,dataICM!D:D,0)), "INC")</f>
        <v>2025-08-27T19:52:38.685+08</v>
      </c>
      <c r="L1759" s="10" t="str">
        <f t="array" ref="L1759">IF(AND(G1759="COMPLETE", OR(K1759="INC", ISBLANK(INDEX(data!O:O, ROW())))), J1759, K1759)</f>
        <v>2025-08-27T19:52:38.685+08</v>
      </c>
      <c r="M1759" s="2">
        <v>45896.0</v>
      </c>
      <c r="N1759" s="2">
        <f t="array" ref="N1759">IF(M1759&lt;&gt;"INC", INDEX(data!M:M, MATCH(B1759, data!D:D, 0)), "")</f>
        <v>2</v>
      </c>
      <c r="O1759" s="2">
        <f t="shared" si="3"/>
        <v>2</v>
      </c>
    </row>
    <row r="1760">
      <c r="A1760" s="2" t="str">
        <f t="shared" si="1"/>
        <v>H030829</v>
      </c>
      <c r="B1760" s="1" t="s">
        <v>724</v>
      </c>
      <c r="C1760" s="9" t="str">
        <f t="array" ref="C1760">IF(
  AND(
    IFERROR(MATCH(Caseslist!B1760, data!D:D, 0), 0) &gt; 0,
    IFERROR(INDEX(data!N:N, MATCH(Caseslist!B1760, data!D:D, 0)) = 1, FALSE)
  ),
  "COMPLETE",
  "INC"
)</f>
        <v>COMPLETE</v>
      </c>
      <c r="D1760" s="9" t="str">
        <f t="array" ref="D1760">IFERROR(INDEX(data!$G:$G,match(Caseslist!B1760,data!$D:$D,0)), "INC")</f>
        <v>L2057896</v>
      </c>
      <c r="E1760" s="9" t="str">
        <f t="array" ref="E1760">IFERROR(INDEX(data!H:H,match(Caseslist!B1760,data!D:D,0)), "INC")</f>
        <v>Franz Reoben Posadas Geneblaza</v>
      </c>
      <c r="F1760" s="10" t="str">
        <f t="array" ref="F1760">IF(
    OR(
      IFNA(INDEX(data!M:M, MATCH(Caseslist!B1760, data!D:D, 0)), "") = "",
      IFNA(INDEX(data!M:M, MATCH(Caseslist!B1760, data!D:D, 0)), 0) = 0
    ),
    "COMPLETE",
    IF(
      IFNA(INDEX(dataICM!D:D, MATCH(Caseslist!B1760, dataICM!D:D, 0)), "INC") = "INC",
      IFNA(INDEX(dataICM!D:D, MATCH(Caseslist!B1760, dataICM!D:D, 0)), "INC"),
      "COMPLETE"
    )
  )</f>
        <v>COMPLETE</v>
      </c>
      <c r="G1760" s="10" t="str">
        <f t="array" ref="G1760">IF(IFERROR(INDEX(data!L:L,match(Caseslist!B1760,data!D:D,0)),"INC")="","COMPLETE",F1760)</f>
        <v>COMPLETE</v>
      </c>
      <c r="H1760" s="9" t="str">
        <f t="array" ref="H1760">IFERROR(INDEX(dataICM!F:F,match(Caseslist!B1760,dataICM!D:D,0)), "INC")</f>
        <v>Franz Reoben Posadas Geneblaza</v>
      </c>
      <c r="I1760" s="10" t="str">
        <f t="shared" si="2"/>
        <v>L2057896</v>
      </c>
      <c r="J1760" s="9" t="str">
        <f t="array" ref="J1760">IF(
  AND(
    IFERROR(MATCH(B1760, data!D:D, 0), 0) &gt; 0,
    IFERROR(INDEX(data!N:N, MATCH(B1760, data!D:D, 0)) = 1, FALSE)
  ),
  INDEX(data!C:C, MATCH(B1760, data!D:D, 0)),
  "INC"
)</f>
        <v>2025-08-27T09:40:23.794+08</v>
      </c>
      <c r="K1760" s="9" t="str">
        <f t="array" ref="K1760">IFERROR(INDEX(dataICM!C:C,match(Caseslist!B1760,dataICM!D:D,0)), "INC")</f>
        <v>2025-08-27T09:48:29.931+08</v>
      </c>
      <c r="L1760" s="10" t="str">
        <f t="array" ref="L1760">IF(AND(G1760="COMPLETE", OR(K1760="INC", ISBLANK(INDEX(data!O:O, ROW())))), J1760, K1760)</f>
        <v>2025-08-27T09:48:29.931+08</v>
      </c>
      <c r="M1760" s="2">
        <v>45896.0</v>
      </c>
      <c r="N1760" s="2">
        <f t="array" ref="N1760">IF(M1760&lt;&gt;"INC", INDEX(data!M:M, MATCH(B1760, data!D:D, 0)), "")</f>
        <v>2</v>
      </c>
      <c r="O1760" s="2">
        <f t="shared" si="3"/>
        <v>2</v>
      </c>
    </row>
    <row r="1761">
      <c r="A1761" s="2" t="str">
        <f t="shared" si="1"/>
        <v>H030829</v>
      </c>
      <c r="B1761" s="1" t="s">
        <v>8944</v>
      </c>
      <c r="C1761" s="9" t="str">
        <f t="array" ref="C1761">IF(
  AND(
    IFERROR(MATCH(Caseslist!B1761, data!D:D, 0), 0) &gt; 0,
    IFERROR(INDEX(data!N:N, MATCH(Caseslist!B1761, data!D:D, 0)) = 1, FALSE)
  ),
  "COMPLETE",
  "INC"
)</f>
        <v>INC</v>
      </c>
      <c r="D1761" s="9" t="str">
        <f t="array" ref="D1761">IFERROR(INDEX(data!$G:$G,match(Caseslist!B1761,data!$D:$D,0)), "INC")</f>
        <v>INC</v>
      </c>
      <c r="E1761" s="9" t="str">
        <f t="array" ref="E1761">IFERROR(INDEX(data!H:H,match(Caseslist!B1761,data!D:D,0)), "INC")</f>
        <v>INC</v>
      </c>
      <c r="F1761" s="10" t="str">
        <f t="array" ref="F1761">IF(
    OR(
      IFNA(INDEX(data!M:M, MATCH(Caseslist!B1761, data!D:D, 0)), "") = "",
      IFNA(INDEX(data!M:M, MATCH(Caseslist!B1761, data!D:D, 0)), 0) = 0
    ),
    "COMPLETE",
    IF(
      IFNA(INDEX(dataICM!D:D, MATCH(Caseslist!B1761, dataICM!D:D, 0)), "INC") = "INC",
      IFNA(INDEX(dataICM!D:D, MATCH(Caseslist!B1761, dataICM!D:D, 0)), "INC"),
      "COMPLETE"
    )
  )</f>
        <v>COMPLETE</v>
      </c>
      <c r="G1761" s="10" t="str">
        <f t="array" ref="G1761">IF(IFERROR(INDEX(data!L:L,match(Caseslist!B1761,data!D:D,0)),"INC")="","COMPLETE",F1761)</f>
        <v>COMPLETE</v>
      </c>
      <c r="H1761" s="9" t="str">
        <f t="array" ref="H1761">IFERROR(INDEX(dataICM!F:F,match(Caseslist!B1761,dataICM!D:D,0)), "INC")</f>
        <v>INC</v>
      </c>
      <c r="I1761" s="10" t="str">
        <f t="shared" si="2"/>
        <v>INC</v>
      </c>
      <c r="J1761" s="9" t="str">
        <f t="array" ref="J1761">IF(
  AND(
    IFERROR(MATCH(B1761, data!D:D, 0), 0) &gt; 0,
    IFERROR(INDEX(data!N:N, MATCH(B1761, data!D:D, 0)) = 1, FALSE)
  ),
  INDEX(data!C:C, MATCH(B1761, data!D:D, 0)),
  "INC"
)</f>
        <v>INC</v>
      </c>
      <c r="K1761" s="9" t="str">
        <f t="array" ref="K1761">IFERROR(INDEX(dataICM!C:C,match(Caseslist!B1761,dataICM!D:D,0)), "INC")</f>
        <v>INC</v>
      </c>
      <c r="L1761" s="10" t="str">
        <f t="array" ref="L1761">IF(AND(G1761="COMPLETE", OR(K1761="INC", ISBLANK(INDEX(data!O:O, ROW())))), J1761, K1761)</f>
        <v>INC</v>
      </c>
      <c r="M1761" s="2" t="s">
        <v>8886</v>
      </c>
      <c r="N1761" s="2" t="str">
        <f t="array" ref="N1761">IF(M1761&lt;&gt;"INC", INDEX(data!M:M, MATCH(B1761, data!D:D, 0)), "")</f>
        <v/>
      </c>
      <c r="O1761" s="2" t="str">
        <f t="shared" si="3"/>
        <v/>
      </c>
    </row>
    <row r="1762">
      <c r="A1762" s="2" t="str">
        <f t="shared" si="1"/>
        <v>H030829</v>
      </c>
      <c r="B1762" s="1" t="s">
        <v>613</v>
      </c>
      <c r="C1762" s="9" t="str">
        <f t="array" ref="C1762">IF(
  AND(
    IFERROR(MATCH(Caseslist!B1762, data!D:D, 0), 0) &gt; 0,
    IFERROR(INDEX(data!N:N, MATCH(Caseslist!B1762, data!D:D, 0)) = 1, FALSE)
  ),
  "COMPLETE",
  "INC"
)</f>
        <v>COMPLETE</v>
      </c>
      <c r="D1762" s="9" t="str">
        <f t="array" ref="D1762">IFERROR(INDEX(data!$G:$G,match(Caseslist!B1762,data!$D:$D,0)), "INC")</f>
        <v>J4315980</v>
      </c>
      <c r="E1762" s="9" t="str">
        <f t="array" ref="E1762">IFERROR(INDEX(data!H:H,match(Caseslist!B1762,data!D:D,0)), "INC")</f>
        <v>Trixie Marie Jardeleza Saber</v>
      </c>
      <c r="F1762" s="10" t="str">
        <f t="array" ref="F1762">IF(
    OR(
      IFNA(INDEX(data!M:M, MATCH(Caseslist!B1762, data!D:D, 0)), "") = "",
      IFNA(INDEX(data!M:M, MATCH(Caseslist!B1762, data!D:D, 0)), 0) = 0
    ),
    "COMPLETE",
    IF(
      IFNA(INDEX(dataICM!D:D, MATCH(Caseslist!B1762, dataICM!D:D, 0)), "INC") = "INC",
      IFNA(INDEX(dataICM!D:D, MATCH(Caseslist!B1762, dataICM!D:D, 0)), "INC"),
      "COMPLETE"
    )
  )</f>
        <v>COMPLETE</v>
      </c>
      <c r="G1762" s="10" t="str">
        <f t="array" ref="G1762">IF(IFERROR(INDEX(data!L:L,match(Caseslist!B1762,data!D:D,0)),"INC")="","COMPLETE",F1762)</f>
        <v>COMPLETE</v>
      </c>
      <c r="H1762" s="9" t="str">
        <f t="array" ref="H1762">IFERROR(INDEX(dataICM!F:F,match(Caseslist!B1762,dataICM!D:D,0)), "INC")</f>
        <v>Trixie Marie Jardeleza Saber</v>
      </c>
      <c r="I1762" s="10" t="str">
        <f t="shared" si="2"/>
        <v>J4315980</v>
      </c>
      <c r="J1762" s="9" t="str">
        <f t="array" ref="J1762">IF(
  AND(
    IFERROR(MATCH(B1762, data!D:D, 0), 0) &gt; 0,
    IFERROR(INDEX(data!N:N, MATCH(B1762, data!D:D, 0)) = 1, FALSE)
  ),
  INDEX(data!C:C, MATCH(B1762, data!D:D, 0)),
  "INC"
)</f>
        <v>2025-08-27T11:24:45.638+08</v>
      </c>
      <c r="K1762" s="9" t="str">
        <f t="array" ref="K1762">IFERROR(INDEX(dataICM!C:C,match(Caseslist!B1762,dataICM!D:D,0)), "INC")</f>
        <v>2025-08-27T11:34:41.554+08</v>
      </c>
      <c r="L1762" s="10" t="str">
        <f t="array" ref="L1762">IF(AND(G1762="COMPLETE", OR(K1762="INC", ISBLANK(INDEX(data!O:O, ROW())))), J1762, K1762)</f>
        <v>2025-08-27T11:24:45.638+08</v>
      </c>
      <c r="M1762" s="2">
        <v>45896.0</v>
      </c>
      <c r="N1762" s="2">
        <f t="array" ref="N1762">IF(M1762&lt;&gt;"INC", INDEX(data!M:M, MATCH(B1762, data!D:D, 0)), "")</f>
        <v>2</v>
      </c>
      <c r="O1762" s="2">
        <f t="shared" si="3"/>
        <v>2</v>
      </c>
    </row>
    <row r="1763">
      <c r="A1763" s="2" t="str">
        <f t="shared" si="1"/>
        <v>H030829</v>
      </c>
      <c r="B1763" s="1" t="s">
        <v>944</v>
      </c>
      <c r="C1763" s="9" t="str">
        <f t="array" ref="C1763">IF(
  AND(
    IFERROR(MATCH(Caseslist!B1763, data!D:D, 0), 0) &gt; 0,
    IFERROR(INDEX(data!N:N, MATCH(Caseslist!B1763, data!D:D, 0)) = 1, FALSE)
  ),
  "COMPLETE",
  "INC"
)</f>
        <v>COMPLETE</v>
      </c>
      <c r="D1763" s="9" t="str">
        <f t="array" ref="D1763">IFERROR(INDEX(data!$G:$G,match(Caseslist!B1763,data!$D:$D,0)), "INC")</f>
        <v>J4315980</v>
      </c>
      <c r="E1763" s="9" t="str">
        <f t="array" ref="E1763">IFERROR(INDEX(data!H:H,match(Caseslist!B1763,data!D:D,0)), "INC")</f>
        <v>Trixie Marie Jardeleza Saber</v>
      </c>
      <c r="F1763" s="10" t="str">
        <f t="array" ref="F1763">IF(
    OR(
      IFNA(INDEX(data!M:M, MATCH(Caseslist!B1763, data!D:D, 0)), "") = "",
      IFNA(INDEX(data!M:M, MATCH(Caseslist!B1763, data!D:D, 0)), 0) = 0
    ),
    "COMPLETE",
    IF(
      IFNA(INDEX(dataICM!D:D, MATCH(Caseslist!B1763, dataICM!D:D, 0)), "INC") = "INC",
      IFNA(INDEX(dataICM!D:D, MATCH(Caseslist!B1763, dataICM!D:D, 0)), "INC"),
      "COMPLETE"
    )
  )</f>
        <v>COMPLETE</v>
      </c>
      <c r="G1763" s="10" t="str">
        <f t="array" ref="G1763">IF(IFERROR(INDEX(data!L:L,match(Caseslist!B1763,data!D:D,0)),"INC")="","COMPLETE",F1763)</f>
        <v>COMPLETE</v>
      </c>
      <c r="H1763" s="9" t="str">
        <f t="array" ref="H1763">IFERROR(INDEX(dataICM!F:F,match(Caseslist!B1763,dataICM!D:D,0)), "INC")</f>
        <v>Trixie Marie Jardeleza Saber</v>
      </c>
      <c r="I1763" s="10" t="str">
        <f t="shared" si="2"/>
        <v>J4315980</v>
      </c>
      <c r="J1763" s="9" t="str">
        <f t="array" ref="J1763">IF(
  AND(
    IFERROR(MATCH(B1763, data!D:D, 0), 0) &gt; 0,
    IFERROR(INDEX(data!N:N, MATCH(B1763, data!D:D, 0)) = 1, FALSE)
  ),
  INDEX(data!C:C, MATCH(B1763, data!D:D, 0)),
  "INC"
)</f>
        <v>2025-08-31T16:50:16.084+08</v>
      </c>
      <c r="K1763" s="9" t="str">
        <f t="array" ref="K1763">IFERROR(INDEX(dataICM!C:C,match(Caseslist!B1763,dataICM!D:D,0)), "INC")</f>
        <v>2025-08-31T16:56:11.746+08</v>
      </c>
      <c r="L1763" s="10" t="str">
        <f t="array" ref="L1763">IF(AND(G1763="COMPLETE", OR(K1763="INC", ISBLANK(INDEX(data!O:O, ROW())))), J1763, K1763)</f>
        <v>2025-08-31T16:50:16.084+08</v>
      </c>
      <c r="M1763" s="2">
        <v>45900.0</v>
      </c>
      <c r="N1763" s="2">
        <f t="array" ref="N1763">IF(M1763&lt;&gt;"INC", INDEX(data!M:M, MATCH(B1763, data!D:D, 0)), "")</f>
        <v>2</v>
      </c>
      <c r="O1763" s="2">
        <f t="shared" si="3"/>
        <v>2</v>
      </c>
    </row>
    <row r="1764">
      <c r="A1764" s="2" t="str">
        <f t="shared" si="1"/>
        <v>H030829</v>
      </c>
      <c r="B1764" s="1" t="s">
        <v>729</v>
      </c>
      <c r="C1764" s="9" t="str">
        <f t="array" ref="C1764">IF(
  AND(
    IFERROR(MATCH(Caseslist!B1764, data!D:D, 0), 0) &gt; 0,
    IFERROR(INDEX(data!N:N, MATCH(Caseslist!B1764, data!D:D, 0)) = 1, FALSE)
  ),
  "COMPLETE",
  "INC"
)</f>
        <v>COMPLETE</v>
      </c>
      <c r="D1764" s="9" t="str">
        <f t="array" ref="D1764">IFERROR(INDEX(data!$G:$G,match(Caseslist!B1764,data!$D:$D,0)), "INC")</f>
        <v>L2057896</v>
      </c>
      <c r="E1764" s="9" t="str">
        <f t="array" ref="E1764">IFERROR(INDEX(data!H:H,match(Caseslist!B1764,data!D:D,0)), "INC")</f>
        <v>Franz Reoben Posadas Geneblaza</v>
      </c>
      <c r="F1764" s="10" t="str">
        <f t="array" ref="F1764">IF(
    OR(
      IFNA(INDEX(data!M:M, MATCH(Caseslist!B1764, data!D:D, 0)), "") = "",
      IFNA(INDEX(data!M:M, MATCH(Caseslist!B1764, data!D:D, 0)), 0) = 0
    ),
    "COMPLETE",
    IF(
      IFNA(INDEX(dataICM!D:D, MATCH(Caseslist!B1764, dataICM!D:D, 0)), "INC") = "INC",
      IFNA(INDEX(dataICM!D:D, MATCH(Caseslist!B1764, dataICM!D:D, 0)), "INC"),
      "COMPLETE"
    )
  )</f>
        <v>COMPLETE</v>
      </c>
      <c r="G1764" s="10" t="str">
        <f t="array" ref="G1764">IF(IFERROR(INDEX(data!L:L,match(Caseslist!B1764,data!D:D,0)),"INC")="","COMPLETE",F1764)</f>
        <v>COMPLETE</v>
      </c>
      <c r="H1764" s="9" t="str">
        <f t="array" ref="H1764">IFERROR(INDEX(dataICM!F:F,match(Caseslist!B1764,dataICM!D:D,0)), "INC")</f>
        <v>Franz Reoben Posadas Geneblaza</v>
      </c>
      <c r="I1764" s="10" t="str">
        <f t="shared" si="2"/>
        <v>L2057896</v>
      </c>
      <c r="J1764" s="9" t="str">
        <f t="array" ref="J1764">IF(
  AND(
    IFERROR(MATCH(B1764, data!D:D, 0), 0) &gt; 0,
    IFERROR(INDEX(data!N:N, MATCH(B1764, data!D:D, 0)) = 1, FALSE)
  ),
  INDEX(data!C:C, MATCH(B1764, data!D:D, 0)),
  "INC"
)</f>
        <v>2025-08-27T11:08:10.756+08</v>
      </c>
      <c r="K1764" s="9" t="str">
        <f t="array" ref="K1764">IFERROR(INDEX(dataICM!C:C,match(Caseslist!B1764,dataICM!D:D,0)), "INC")</f>
        <v>2025-08-27T11:26:47.704+08</v>
      </c>
      <c r="L1764" s="10" t="str">
        <f t="array" ref="L1764">IF(AND(G1764="COMPLETE", OR(K1764="INC", ISBLANK(INDEX(data!O:O, ROW())))), J1764, K1764)</f>
        <v>2025-08-27T11:08:10.756+08</v>
      </c>
      <c r="M1764" s="2">
        <v>45896.0</v>
      </c>
      <c r="N1764" s="2">
        <f t="array" ref="N1764">IF(M1764&lt;&gt;"INC", INDEX(data!M:M, MATCH(B1764, data!D:D, 0)), "")</f>
        <v>2</v>
      </c>
      <c r="O1764" s="2">
        <f t="shared" si="3"/>
        <v>2</v>
      </c>
    </row>
    <row r="1765">
      <c r="A1765" s="2" t="str">
        <f t="shared" si="1"/>
        <v>H030829</v>
      </c>
      <c r="B1765" s="1" t="s">
        <v>904</v>
      </c>
      <c r="C1765" s="9" t="str">
        <f t="array" ref="C1765">IF(
  AND(
    IFERROR(MATCH(Caseslist!B1765, data!D:D, 0), 0) &gt; 0,
    IFERROR(INDEX(data!N:N, MATCH(Caseslist!B1765, data!D:D, 0)) = 1, FALSE)
  ),
  "COMPLETE",
  "INC"
)</f>
        <v>COMPLETE</v>
      </c>
      <c r="D1765" s="9" t="str">
        <f t="array" ref="D1765">IFERROR(INDEX(data!$G:$G,match(Caseslist!B1765,data!$D:$D,0)), "INC")</f>
        <v>M6491032</v>
      </c>
      <c r="E1765" s="9" t="str">
        <f t="array" ref="E1765">IFERROR(INDEX(data!H:H,match(Caseslist!B1765,data!D:D,0)), "INC")</f>
        <v>Rosevil Tayo Desamparado</v>
      </c>
      <c r="F1765" s="10" t="str">
        <f t="array" ref="F1765">IF(
    OR(
      IFNA(INDEX(data!M:M, MATCH(Caseslist!B1765, data!D:D, 0)), "") = "",
      IFNA(INDEX(data!M:M, MATCH(Caseslist!B1765, data!D:D, 0)), 0) = 0
    ),
    "COMPLETE",
    IF(
      IFNA(INDEX(dataICM!D:D, MATCH(Caseslist!B1765, dataICM!D:D, 0)), "INC") = "INC",
      IFNA(INDEX(dataICM!D:D, MATCH(Caseslist!B1765, dataICM!D:D, 0)), "INC"),
      "COMPLETE"
    )
  )</f>
        <v>COMPLETE</v>
      </c>
      <c r="G1765" s="10" t="str">
        <f t="array" ref="G1765">IF(IFERROR(INDEX(data!L:L,match(Caseslist!B1765,data!D:D,0)),"INC")="","COMPLETE",F1765)</f>
        <v>COMPLETE</v>
      </c>
      <c r="H1765" s="9" t="str">
        <f t="array" ref="H1765">IFERROR(INDEX(dataICM!F:F,match(Caseslist!B1765,dataICM!D:D,0)), "INC")</f>
        <v>Rosevil Tayo Desamparado</v>
      </c>
      <c r="I1765" s="10" t="str">
        <f t="shared" si="2"/>
        <v>M6491032</v>
      </c>
      <c r="J1765" s="9" t="str">
        <f t="array" ref="J1765">IF(
  AND(
    IFERROR(MATCH(B1765, data!D:D, 0), 0) &gt; 0,
    IFERROR(INDEX(data!N:N, MATCH(B1765, data!D:D, 0)) = 1, FALSE)
  ),
  INDEX(data!C:C, MATCH(B1765, data!D:D, 0)),
  "INC"
)</f>
        <v>2025-08-27T09:42:07.610+08</v>
      </c>
      <c r="K1765" s="9" t="str">
        <f t="array" ref="K1765">IFERROR(INDEX(dataICM!C:C,match(Caseslist!B1765,dataICM!D:D,0)), "INC")</f>
        <v>2025-08-27T09:47:30.597+08</v>
      </c>
      <c r="L1765" s="10" t="str">
        <f t="array" ref="L1765">IF(AND(G1765="COMPLETE", OR(K1765="INC", ISBLANK(INDEX(data!O:O, ROW())))), J1765, K1765)</f>
        <v>2025-08-27T09:42:07.610+08</v>
      </c>
      <c r="M1765" s="2">
        <v>45896.0</v>
      </c>
      <c r="N1765" s="2">
        <f t="array" ref="N1765">IF(M1765&lt;&gt;"INC", INDEX(data!M:M, MATCH(B1765, data!D:D, 0)), "")</f>
        <v>2</v>
      </c>
      <c r="O1765" s="2">
        <f t="shared" si="3"/>
        <v>2</v>
      </c>
    </row>
    <row r="1766">
      <c r="A1766" s="2" t="str">
        <f t="shared" si="1"/>
        <v>H030832</v>
      </c>
      <c r="B1766" s="1" t="s">
        <v>8628</v>
      </c>
      <c r="C1766" s="9" t="str">
        <f t="array" ref="C1766">IF(
  AND(
    IFERROR(MATCH(Caseslist!B1766, data!D:D, 0), 0) &gt; 0,
    IFERROR(INDEX(data!N:N, MATCH(Caseslist!B1766, data!D:D, 0)) = 1, FALSE)
  ),
  "COMPLETE",
  "INC"
)</f>
        <v>COMPLETE</v>
      </c>
      <c r="D1766" s="9" t="str">
        <f t="array" ref="D1766">IFERROR(INDEX(data!$G:$G,match(Caseslist!B1766,data!$D:$D,0)), "INC")</f>
        <v>F3051749</v>
      </c>
      <c r="E1766" s="9" t="str">
        <f t="array" ref="E1766">IFERROR(INDEX(data!H:H,match(Caseslist!B1766,data!D:D,0)), "INC")</f>
        <v>Elenita Gicos De La Pe�a</v>
      </c>
      <c r="F1766" s="10" t="str">
        <f t="array" ref="F1766">IF(
    OR(
      IFNA(INDEX(data!M:M, MATCH(Caseslist!B1766, data!D:D, 0)), "") = "",
      IFNA(INDEX(data!M:M, MATCH(Caseslist!B1766, data!D:D, 0)), 0) = 0
    ),
    "COMPLETE",
    IF(
      IFNA(INDEX(dataICM!D:D, MATCH(Caseslist!B1766, dataICM!D:D, 0)), "INC") = "INC",
      IFNA(INDEX(dataICM!D:D, MATCH(Caseslist!B1766, dataICM!D:D, 0)), "INC"),
      "COMPLETE"
    )
  )</f>
        <v>COMPLETE</v>
      </c>
      <c r="G1766" s="10" t="str">
        <f t="array" ref="G1766">IF(IFERROR(INDEX(data!L:L,match(Caseslist!B1766,data!D:D,0)),"INC")="","COMPLETE",F1766)</f>
        <v>COMPLETE</v>
      </c>
      <c r="H1766" s="9" t="str">
        <f t="array" ref="H1766">IFERROR(INDEX(dataICM!F:F,match(Caseslist!B1766,dataICM!D:D,0)), "INC")</f>
        <v>Elenita Gicos De La Pe�a</v>
      </c>
      <c r="I1766" s="10" t="str">
        <f t="shared" si="2"/>
        <v>F3051749</v>
      </c>
      <c r="J1766" s="9" t="str">
        <f t="array" ref="J1766">IF(
  AND(
    IFERROR(MATCH(B1766, data!D:D, 0), 0) &gt; 0,
    IFERROR(INDEX(data!N:N, MATCH(B1766, data!D:D, 0)) = 1, FALSE)
  ),
  INDEX(data!C:C, MATCH(B1766, data!D:D, 0)),
  "INC"
)</f>
        <v>2025-09-25T12:12:01.744+08</v>
      </c>
      <c r="K1766" s="9" t="str">
        <f t="array" ref="K1766">IFERROR(INDEX(dataICM!C:C,match(Caseslist!B1766,dataICM!D:D,0)), "INC")</f>
        <v>2025-09-25T12:18:21.987+08</v>
      </c>
      <c r="L1766" s="10" t="str">
        <f t="array" ref="L1766">IF(AND(G1766="COMPLETE", OR(K1766="INC", ISBLANK(INDEX(data!O:O, ROW())))), J1766, K1766)</f>
        <v>2025-09-25T12:12:01.744+08</v>
      </c>
      <c r="M1766" s="2">
        <v>45925.0</v>
      </c>
      <c r="N1766" s="2">
        <f t="array" ref="N1766">IF(M1766&lt;&gt;"INC", INDEX(data!M:M, MATCH(B1766, data!D:D, 0)), "")</f>
        <v>1</v>
      </c>
      <c r="O1766" s="2">
        <f t="shared" si="3"/>
        <v>1</v>
      </c>
    </row>
    <row r="1767">
      <c r="A1767" s="2" t="str">
        <f t="shared" si="1"/>
        <v>H030832</v>
      </c>
      <c r="B1767" s="1" t="s">
        <v>8603</v>
      </c>
      <c r="C1767" s="9" t="str">
        <f t="array" ref="C1767">IF(
  AND(
    IFERROR(MATCH(Caseslist!B1767, data!D:D, 0), 0) &gt; 0,
    IFERROR(INDEX(data!N:N, MATCH(Caseslist!B1767, data!D:D, 0)) = 1, FALSE)
  ),
  "COMPLETE",
  "INC"
)</f>
        <v>COMPLETE</v>
      </c>
      <c r="D1767" s="9" t="str">
        <f t="array" ref="D1767">IFERROR(INDEX(data!$G:$G,match(Caseslist!B1767,data!$D:$D,0)), "INC")</f>
        <v>G5472901</v>
      </c>
      <c r="E1767" s="9" t="str">
        <f t="array" ref="E1767">IFERROR(INDEX(data!H:H,match(Caseslist!B1767,data!D:D,0)), "INC")</f>
        <v>Wellyn Grace Alaban Parcia</v>
      </c>
      <c r="F1767" s="10" t="str">
        <f t="array" ref="F1767">IF(
    OR(
      IFNA(INDEX(data!M:M, MATCH(Caseslist!B1767, data!D:D, 0)), "") = "",
      IFNA(INDEX(data!M:M, MATCH(Caseslist!B1767, data!D:D, 0)), 0) = 0
    ),
    "COMPLETE",
    IF(
      IFNA(INDEX(dataICM!D:D, MATCH(Caseslist!B1767, dataICM!D:D, 0)), "INC") = "INC",
      IFNA(INDEX(dataICM!D:D, MATCH(Caseslist!B1767, dataICM!D:D, 0)), "INC"),
      "COMPLETE"
    )
  )</f>
        <v>COMPLETE</v>
      </c>
      <c r="G1767" s="10" t="str">
        <f t="array" ref="G1767">IF(IFERROR(INDEX(data!L:L,match(Caseslist!B1767,data!D:D,0)),"INC")="","COMPLETE",F1767)</f>
        <v>COMPLETE</v>
      </c>
      <c r="H1767" s="9" t="str">
        <f t="array" ref="H1767">IFERROR(INDEX(dataICM!F:F,match(Caseslist!B1767,dataICM!D:D,0)), "INC")</f>
        <v>Wellyn Grace Alaban Parcia</v>
      </c>
      <c r="I1767" s="10" t="str">
        <f t="shared" si="2"/>
        <v>G5472901</v>
      </c>
      <c r="J1767" s="9" t="str">
        <f t="array" ref="J1767">IF(
  AND(
    IFERROR(MATCH(B1767, data!D:D, 0), 0) &gt; 0,
    IFERROR(INDEX(data!N:N, MATCH(B1767, data!D:D, 0)) = 1, FALSE)
  ),
  INDEX(data!C:C, MATCH(B1767, data!D:D, 0)),
  "INC"
)</f>
        <v>2025-09-25T15:21:05.845+08</v>
      </c>
      <c r="K1767" s="9" t="str">
        <f t="array" ref="K1767">IFERROR(INDEX(dataICM!C:C,match(Caseslist!B1767,dataICM!D:D,0)), "INC")</f>
        <v>2025-09-25T15:25:54.626+08</v>
      </c>
      <c r="L1767" s="10" t="str">
        <f t="array" ref="L1767">IF(AND(G1767="COMPLETE", OR(K1767="INC", ISBLANK(INDEX(data!O:O, ROW())))), J1767, K1767)</f>
        <v>2025-09-25T15:21:05.845+08</v>
      </c>
      <c r="M1767" s="2">
        <v>45925.0</v>
      </c>
      <c r="N1767" s="2">
        <f t="array" ref="N1767">IF(M1767&lt;&gt;"INC", INDEX(data!M:M, MATCH(B1767, data!D:D, 0)), "")</f>
        <v>1</v>
      </c>
      <c r="O1767" s="2">
        <f t="shared" si="3"/>
        <v>1</v>
      </c>
    </row>
    <row r="1768">
      <c r="A1768" s="2" t="str">
        <f t="shared" si="1"/>
        <v>H030832</v>
      </c>
      <c r="B1768" s="1" t="s">
        <v>8703</v>
      </c>
      <c r="C1768" s="9" t="str">
        <f t="array" ref="C1768">IF(
  AND(
    IFERROR(MATCH(Caseslist!B1768, data!D:D, 0), 0) &gt; 0,
    IFERROR(INDEX(data!N:N, MATCH(Caseslist!B1768, data!D:D, 0)) = 1, FALSE)
  ),
  "COMPLETE",
  "INC"
)</f>
        <v>COMPLETE</v>
      </c>
      <c r="D1768" s="9" t="str">
        <f t="array" ref="D1768">IFERROR(INDEX(data!$G:$G,match(Caseslist!B1768,data!$D:$D,0)), "INC")</f>
        <v>H2846135</v>
      </c>
      <c r="E1768" s="9" t="str">
        <f t="array" ref="E1768">IFERROR(INDEX(data!H:H,match(Caseslist!B1768,data!D:D,0)), "INC")</f>
        <v>Annalou Empanado Encontro</v>
      </c>
      <c r="F1768" s="10" t="str">
        <f t="array" ref="F1768">IF(
    OR(
      IFNA(INDEX(data!M:M, MATCH(Caseslist!B1768, data!D:D, 0)), "") = "",
      IFNA(INDEX(data!M:M, MATCH(Caseslist!B1768, data!D:D, 0)), 0) = 0
    ),
    "COMPLETE",
    IF(
      IFNA(INDEX(dataICM!D:D, MATCH(Caseslist!B1768, dataICM!D:D, 0)), "INC") = "INC",
      IFNA(INDEX(dataICM!D:D, MATCH(Caseslist!B1768, dataICM!D:D, 0)), "INC"),
      "COMPLETE"
    )
  )</f>
        <v>COMPLETE</v>
      </c>
      <c r="G1768" s="10" t="str">
        <f t="array" ref="G1768">IF(IFERROR(INDEX(data!L:L,match(Caseslist!B1768,data!D:D,0)),"INC")="","COMPLETE",F1768)</f>
        <v>COMPLETE</v>
      </c>
      <c r="H1768" s="9" t="str">
        <f t="array" ref="H1768">IFERROR(INDEX(dataICM!F:F,match(Caseslist!B1768,dataICM!D:D,0)), "INC")</f>
        <v>Annalou Empanado Encontro</v>
      </c>
      <c r="I1768" s="10" t="str">
        <f t="shared" si="2"/>
        <v>H2846135</v>
      </c>
      <c r="J1768" s="9" t="str">
        <f t="array" ref="J1768">IF(
  AND(
    IFERROR(MATCH(B1768, data!D:D, 0), 0) &gt; 0,
    IFERROR(INDEX(data!N:N, MATCH(B1768, data!D:D, 0)) = 1, FALSE)
  ),
  INDEX(data!C:C, MATCH(B1768, data!D:D, 0)),
  "INC"
)</f>
        <v>2025-09-28T14:33:53.308+08</v>
      </c>
      <c r="K1768" s="9" t="str">
        <f t="array" ref="K1768">IFERROR(INDEX(dataICM!C:C,match(Caseslist!B1768,dataICM!D:D,0)), "INC")</f>
        <v>2025-09-28T14:43:04.415+08</v>
      </c>
      <c r="L1768" s="10" t="str">
        <f t="array" ref="L1768">IF(AND(G1768="COMPLETE", OR(K1768="INC", ISBLANK(INDEX(data!O:O, ROW())))), J1768, K1768)</f>
        <v>2025-09-28T14:33:53.308+08</v>
      </c>
      <c r="M1768" s="2">
        <v>45928.0</v>
      </c>
      <c r="N1768" s="2">
        <f t="array" ref="N1768">IF(M1768&lt;&gt;"INC", INDEX(data!M:M, MATCH(B1768, data!D:D, 0)), "")</f>
        <v>1</v>
      </c>
      <c r="O1768" s="2">
        <f t="shared" si="3"/>
        <v>1</v>
      </c>
    </row>
    <row r="1769">
      <c r="A1769" s="2" t="str">
        <f t="shared" si="1"/>
        <v>H030832</v>
      </c>
      <c r="B1769" s="1" t="s">
        <v>8713</v>
      </c>
      <c r="C1769" s="9" t="str">
        <f t="array" ref="C1769">IF(
  AND(
    IFERROR(MATCH(Caseslist!B1769, data!D:D, 0), 0) &gt; 0,
    IFERROR(INDEX(data!N:N, MATCH(Caseslist!B1769, data!D:D, 0)) = 1, FALSE)
  ),
  "COMPLETE",
  "INC"
)</f>
        <v>COMPLETE</v>
      </c>
      <c r="D1769" s="9" t="str">
        <f t="array" ref="D1769">IFERROR(INDEX(data!$G:$G,match(Caseslist!B1769,data!$D:$D,0)), "INC")</f>
        <v>F3051749</v>
      </c>
      <c r="E1769" s="9" t="str">
        <f t="array" ref="E1769">IFERROR(INDEX(data!H:H,match(Caseslist!B1769,data!D:D,0)), "INC")</f>
        <v>Elenita Gicos De La Pe�a</v>
      </c>
      <c r="F1769" s="10" t="str">
        <f t="array" ref="F1769">IF(
    OR(
      IFNA(INDEX(data!M:M, MATCH(Caseslist!B1769, data!D:D, 0)), "") = "",
      IFNA(INDEX(data!M:M, MATCH(Caseslist!B1769, data!D:D, 0)), 0) = 0
    ),
    "COMPLETE",
    IF(
      IFNA(INDEX(dataICM!D:D, MATCH(Caseslist!B1769, dataICM!D:D, 0)), "INC") = "INC",
      IFNA(INDEX(dataICM!D:D, MATCH(Caseslist!B1769, dataICM!D:D, 0)), "INC"),
      "COMPLETE"
    )
  )</f>
        <v>COMPLETE</v>
      </c>
      <c r="G1769" s="10" t="str">
        <f t="array" ref="G1769">IF(IFERROR(INDEX(data!L:L,match(Caseslist!B1769,data!D:D,0)),"INC")="","COMPLETE",F1769)</f>
        <v>COMPLETE</v>
      </c>
      <c r="H1769" s="9" t="str">
        <f t="array" ref="H1769">IFERROR(INDEX(dataICM!F:F,match(Caseslist!B1769,dataICM!D:D,0)), "INC")</f>
        <v>Elenita Gicos De La Pe�a</v>
      </c>
      <c r="I1769" s="10" t="str">
        <f t="shared" si="2"/>
        <v>F3051749</v>
      </c>
      <c r="J1769" s="9" t="str">
        <f t="array" ref="J1769">IF(
  AND(
    IFERROR(MATCH(B1769, data!D:D, 0), 0) &gt; 0,
    IFERROR(INDEX(data!N:N, MATCH(B1769, data!D:D, 0)) = 1, FALSE)
  ),
  INDEX(data!C:C, MATCH(B1769, data!D:D, 0)),
  "INC"
)</f>
        <v>2025-09-28T12:34:02.974+08</v>
      </c>
      <c r="K1769" s="9" t="str">
        <f t="array" ref="K1769">IFERROR(INDEX(dataICM!C:C,match(Caseslist!B1769,dataICM!D:D,0)), "INC")</f>
        <v>2025-09-28T12:58:02.462+08</v>
      </c>
      <c r="L1769" s="10" t="str">
        <f t="array" ref="L1769">IF(AND(G1769="COMPLETE", OR(K1769="INC", ISBLANK(INDEX(data!O:O, ROW())))), J1769, K1769)</f>
        <v>2025-09-28T12:34:02.974+08</v>
      </c>
      <c r="M1769" s="2">
        <v>45928.0</v>
      </c>
      <c r="N1769" s="2">
        <f t="array" ref="N1769">IF(M1769&lt;&gt;"INC", INDEX(data!M:M, MATCH(B1769, data!D:D, 0)), "")</f>
        <v>1</v>
      </c>
      <c r="O1769" s="2">
        <f t="shared" si="3"/>
        <v>1</v>
      </c>
    </row>
    <row r="1770">
      <c r="A1770" s="2" t="str">
        <f t="shared" si="1"/>
        <v>H030832</v>
      </c>
      <c r="B1770" s="1" t="s">
        <v>8618</v>
      </c>
      <c r="C1770" s="9" t="str">
        <f t="array" ref="C1770">IF(
  AND(
    IFERROR(MATCH(Caseslist!B1770, data!D:D, 0), 0) &gt; 0,
    IFERROR(INDEX(data!N:N, MATCH(Caseslist!B1770, data!D:D, 0)) = 1, FALSE)
  ),
  "COMPLETE",
  "INC"
)</f>
        <v>COMPLETE</v>
      </c>
      <c r="D1770" s="9" t="str">
        <f t="array" ref="D1770">IFERROR(INDEX(data!$G:$G,match(Caseslist!B1770,data!$D:$D,0)), "INC")</f>
        <v>F3051749</v>
      </c>
      <c r="E1770" s="9" t="str">
        <f t="array" ref="E1770">IFERROR(INDEX(data!H:H,match(Caseslist!B1770,data!D:D,0)), "INC")</f>
        <v>Elenita Gicos De La Pe�a</v>
      </c>
      <c r="F1770" s="10" t="str">
        <f t="array" ref="F1770">IF(
    OR(
      IFNA(INDEX(data!M:M, MATCH(Caseslist!B1770, data!D:D, 0)), "") = "",
      IFNA(INDEX(data!M:M, MATCH(Caseslist!B1770, data!D:D, 0)), 0) = 0
    ),
    "COMPLETE",
    IF(
      IFNA(INDEX(dataICM!D:D, MATCH(Caseslist!B1770, dataICM!D:D, 0)), "INC") = "INC",
      IFNA(INDEX(dataICM!D:D, MATCH(Caseslist!B1770, dataICM!D:D, 0)), "INC"),
      "COMPLETE"
    )
  )</f>
        <v>COMPLETE</v>
      </c>
      <c r="G1770" s="10" t="str">
        <f t="array" ref="G1770">IF(IFERROR(INDEX(data!L:L,match(Caseslist!B1770,data!D:D,0)),"INC")="","COMPLETE",F1770)</f>
        <v>COMPLETE</v>
      </c>
      <c r="H1770" s="9" t="str">
        <f t="array" ref="H1770">IFERROR(INDEX(dataICM!F:F,match(Caseslist!B1770,dataICM!D:D,0)), "INC")</f>
        <v>Elenita Gicos De La Pe�a</v>
      </c>
      <c r="I1770" s="10" t="str">
        <f t="shared" si="2"/>
        <v>F3051749</v>
      </c>
      <c r="J1770" s="9" t="str">
        <f t="array" ref="J1770">IF(
  AND(
    IFERROR(MATCH(B1770, data!D:D, 0), 0) &gt; 0,
    IFERROR(INDEX(data!N:N, MATCH(B1770, data!D:D, 0)) = 1, FALSE)
  ),
  INDEX(data!C:C, MATCH(B1770, data!D:D, 0)),
  "INC"
)</f>
        <v>2025-09-25T10:40:34.375+08</v>
      </c>
      <c r="K1770" s="9" t="str">
        <f t="array" ref="K1770">IFERROR(INDEX(dataICM!C:C,match(Caseslist!B1770,dataICM!D:D,0)), "INC")</f>
        <v>2025-09-25T10:55:10.358+08</v>
      </c>
      <c r="L1770" s="10" t="str">
        <f t="array" ref="L1770">IF(AND(G1770="COMPLETE", OR(K1770="INC", ISBLANK(INDEX(data!O:O, ROW())))), J1770, K1770)</f>
        <v>2025-09-25T10:40:34.375+08</v>
      </c>
      <c r="M1770" s="2">
        <v>45925.0</v>
      </c>
      <c r="N1770" s="2">
        <f t="array" ref="N1770">IF(M1770&lt;&gt;"INC", INDEX(data!M:M, MATCH(B1770, data!D:D, 0)), "")</f>
        <v>1</v>
      </c>
      <c r="O1770" s="2">
        <f t="shared" si="3"/>
        <v>1</v>
      </c>
    </row>
    <row r="1771">
      <c r="A1771" s="2" t="str">
        <f t="shared" si="1"/>
        <v>H030832</v>
      </c>
      <c r="B1771" s="1" t="s">
        <v>8708</v>
      </c>
      <c r="C1771" s="9" t="str">
        <f t="array" ref="C1771">IF(
  AND(
    IFERROR(MATCH(Caseslist!B1771, data!D:D, 0), 0) &gt; 0,
    IFERROR(INDEX(data!N:N, MATCH(Caseslist!B1771, data!D:D, 0)) = 1, FALSE)
  ),
  "COMPLETE",
  "INC"
)</f>
        <v>COMPLETE</v>
      </c>
      <c r="D1771" s="9" t="str">
        <f t="array" ref="D1771">IFERROR(INDEX(data!$G:$G,match(Caseslist!B1771,data!$D:$D,0)), "INC")</f>
        <v>H2846135</v>
      </c>
      <c r="E1771" s="9" t="str">
        <f t="array" ref="E1771">IFERROR(INDEX(data!H:H,match(Caseslist!B1771,data!D:D,0)), "INC")</f>
        <v>Annalou Empanado Encontro</v>
      </c>
      <c r="F1771" s="10" t="str">
        <f t="array" ref="F1771">IF(
    OR(
      IFNA(INDEX(data!M:M, MATCH(Caseslist!B1771, data!D:D, 0)), "") = "",
      IFNA(INDEX(data!M:M, MATCH(Caseslist!B1771, data!D:D, 0)), 0) = 0
    ),
    "COMPLETE",
    IF(
      IFNA(INDEX(dataICM!D:D, MATCH(Caseslist!B1771, dataICM!D:D, 0)), "INC") = "INC",
      IFNA(INDEX(dataICM!D:D, MATCH(Caseslist!B1771, dataICM!D:D, 0)), "INC"),
      "COMPLETE"
    )
  )</f>
        <v>COMPLETE</v>
      </c>
      <c r="G1771" s="10" t="str">
        <f t="array" ref="G1771">IF(IFERROR(INDEX(data!L:L,match(Caseslist!B1771,data!D:D,0)),"INC")="","COMPLETE",F1771)</f>
        <v>COMPLETE</v>
      </c>
      <c r="H1771" s="9" t="str">
        <f t="array" ref="H1771">IFERROR(INDEX(dataICM!F:F,match(Caseslist!B1771,dataICM!D:D,0)), "INC")</f>
        <v>Annalou Empanado Encontro</v>
      </c>
      <c r="I1771" s="10" t="str">
        <f t="shared" si="2"/>
        <v>H2846135</v>
      </c>
      <c r="J1771" s="9" t="str">
        <f t="array" ref="J1771">IF(
  AND(
    IFERROR(MATCH(B1771, data!D:D, 0), 0) &gt; 0,
    IFERROR(INDEX(data!N:N, MATCH(B1771, data!D:D, 0)) = 1, FALSE)
  ),
  INDEX(data!C:C, MATCH(B1771, data!D:D, 0)),
  "INC"
)</f>
        <v>2025-09-28T12:08:02.776+08</v>
      </c>
      <c r="K1771" s="9" t="str">
        <f t="array" ref="K1771">IFERROR(INDEX(dataICM!C:C,match(Caseslist!B1771,dataICM!D:D,0)), "INC")</f>
        <v>2025-09-28T12:21:11.031+08</v>
      </c>
      <c r="L1771" s="10" t="str">
        <f t="array" ref="L1771">IF(AND(G1771="COMPLETE", OR(K1771="INC", ISBLANK(INDEX(data!O:O, ROW())))), J1771, K1771)</f>
        <v>2025-09-28T12:08:02.776+08</v>
      </c>
      <c r="M1771" s="2">
        <v>45928.0</v>
      </c>
      <c r="N1771" s="2">
        <f t="array" ref="N1771">IF(M1771&lt;&gt;"INC", INDEX(data!M:M, MATCH(B1771, data!D:D, 0)), "")</f>
        <v>1</v>
      </c>
      <c r="O1771" s="2">
        <f t="shared" si="3"/>
        <v>1</v>
      </c>
    </row>
    <row r="1772">
      <c r="A1772" s="2" t="str">
        <f t="shared" si="1"/>
        <v>H030832</v>
      </c>
      <c r="B1772" s="1" t="s">
        <v>8558</v>
      </c>
      <c r="C1772" s="9" t="str">
        <f t="array" ref="C1772">IF(
  AND(
    IFERROR(MATCH(Caseslist!B1772, data!D:D, 0), 0) &gt; 0,
    IFERROR(INDEX(data!N:N, MATCH(Caseslist!B1772, data!D:D, 0)) = 1, FALSE)
  ),
  "COMPLETE",
  "INC"
)</f>
        <v>COMPLETE</v>
      </c>
      <c r="D1772" s="9" t="str">
        <f t="array" ref="D1772">IFERROR(INDEX(data!$G:$G,match(Caseslist!B1772,data!$D:$D,0)), "INC")</f>
        <v>H2846135</v>
      </c>
      <c r="E1772" s="9" t="str">
        <f t="array" ref="E1772">IFERROR(INDEX(data!H:H,match(Caseslist!B1772,data!D:D,0)), "INC")</f>
        <v>Annalou Empanado Encontro</v>
      </c>
      <c r="F1772" s="10" t="str">
        <f t="array" ref="F1772">IF(
    OR(
      IFNA(INDEX(data!M:M, MATCH(Caseslist!B1772, data!D:D, 0)), "") = "",
      IFNA(INDEX(data!M:M, MATCH(Caseslist!B1772, data!D:D, 0)), 0) = 0
    ),
    "COMPLETE",
    IF(
      IFNA(INDEX(dataICM!D:D, MATCH(Caseslist!B1772, dataICM!D:D, 0)), "INC") = "INC",
      IFNA(INDEX(dataICM!D:D, MATCH(Caseslist!B1772, dataICM!D:D, 0)), "INC"),
      "COMPLETE"
    )
  )</f>
        <v>COMPLETE</v>
      </c>
      <c r="G1772" s="10" t="str">
        <f t="array" ref="G1772">IF(IFERROR(INDEX(data!L:L,match(Caseslist!B1772,data!D:D,0)),"INC")="","COMPLETE",F1772)</f>
        <v>COMPLETE</v>
      </c>
      <c r="H1772" s="9" t="str">
        <f t="array" ref="H1772">IFERROR(INDEX(dataICM!F:F,match(Caseslist!B1772,dataICM!D:D,0)), "INC")</f>
        <v>Annalou Empanado Encontro</v>
      </c>
      <c r="I1772" s="10" t="str">
        <f t="shared" si="2"/>
        <v>H2846135</v>
      </c>
      <c r="J1772" s="9" t="str">
        <f t="array" ref="J1772">IF(
  AND(
    IFERROR(MATCH(B1772, data!D:D, 0), 0) &gt; 0,
    IFERROR(INDEX(data!N:N, MATCH(B1772, data!D:D, 0)) = 1, FALSE)
  ),
  INDEX(data!C:C, MATCH(B1772, data!D:D, 0)),
  "INC"
)</f>
        <v>2025-09-25T12:36:36.715+08</v>
      </c>
      <c r="K1772" s="9" t="str">
        <f t="array" ref="K1772">IFERROR(INDEX(dataICM!C:C,match(Caseslist!B1772,dataICM!D:D,0)), "INC")</f>
        <v>2025-09-25T12:52:44.675+08</v>
      </c>
      <c r="L1772" s="10" t="str">
        <f t="array" ref="L1772">IF(AND(G1772="COMPLETE", OR(K1772="INC", ISBLANK(INDEX(data!O:O, ROW())))), J1772, K1772)</f>
        <v>2025-09-25T12:36:36.715+08</v>
      </c>
      <c r="M1772" s="2">
        <v>45925.0</v>
      </c>
      <c r="N1772" s="2">
        <f t="array" ref="N1772">IF(M1772&lt;&gt;"INC", INDEX(data!M:M, MATCH(B1772, data!D:D, 0)), "")</f>
        <v>1</v>
      </c>
      <c r="O1772" s="2">
        <f t="shared" si="3"/>
        <v>1</v>
      </c>
    </row>
    <row r="1773">
      <c r="A1773" s="2" t="str">
        <f t="shared" si="1"/>
        <v>H030832</v>
      </c>
      <c r="B1773" s="1" t="s">
        <v>8718</v>
      </c>
      <c r="C1773" s="9" t="str">
        <f t="array" ref="C1773">IF(
  AND(
    IFERROR(MATCH(Caseslist!B1773, data!D:D, 0), 0) &gt; 0,
    IFERROR(INDEX(data!N:N, MATCH(Caseslist!B1773, data!D:D, 0)) = 1, FALSE)
  ),
  "COMPLETE",
  "INC"
)</f>
        <v>COMPLETE</v>
      </c>
      <c r="D1773" s="9" t="str">
        <f t="array" ref="D1773">IFERROR(INDEX(data!$G:$G,match(Caseslist!B1773,data!$D:$D,0)), "INC")</f>
        <v>F3051749</v>
      </c>
      <c r="E1773" s="9" t="str">
        <f t="array" ref="E1773">IFERROR(INDEX(data!H:H,match(Caseslist!B1773,data!D:D,0)), "INC")</f>
        <v>Elenita Gicos De La Pe�a</v>
      </c>
      <c r="F1773" s="10" t="str">
        <f t="array" ref="F1773">IF(
    OR(
      IFNA(INDEX(data!M:M, MATCH(Caseslist!B1773, data!D:D, 0)), "") = "",
      IFNA(INDEX(data!M:M, MATCH(Caseslist!B1773, data!D:D, 0)), 0) = 0
    ),
    "COMPLETE",
    IF(
      IFNA(INDEX(dataICM!D:D, MATCH(Caseslist!B1773, dataICM!D:D, 0)), "INC") = "INC",
      IFNA(INDEX(dataICM!D:D, MATCH(Caseslist!B1773, dataICM!D:D, 0)), "INC"),
      "COMPLETE"
    )
  )</f>
        <v>COMPLETE</v>
      </c>
      <c r="G1773" s="10" t="str">
        <f t="array" ref="G1773">IF(IFERROR(INDEX(data!L:L,match(Caseslist!B1773,data!D:D,0)),"INC")="","COMPLETE",F1773)</f>
        <v>COMPLETE</v>
      </c>
      <c r="H1773" s="9" t="str">
        <f t="array" ref="H1773">IFERROR(INDEX(dataICM!F:F,match(Caseslist!B1773,dataICM!D:D,0)), "INC")</f>
        <v>Elenita Gicos De La Pe�a</v>
      </c>
      <c r="I1773" s="10" t="str">
        <f t="shared" si="2"/>
        <v>F3051749</v>
      </c>
      <c r="J1773" s="9" t="str">
        <f t="array" ref="J1773">IF(
  AND(
    IFERROR(MATCH(B1773, data!D:D, 0), 0) &gt; 0,
    IFERROR(INDEX(data!N:N, MATCH(B1773, data!D:D, 0)) = 1, FALSE)
  ),
  INDEX(data!C:C, MATCH(B1773, data!D:D, 0)),
  "INC"
)</f>
        <v>2025-09-28T16:11:24.251+08</v>
      </c>
      <c r="K1773" s="9" t="str">
        <f t="array" ref="K1773">IFERROR(INDEX(dataICM!C:C,match(Caseslist!B1773,dataICM!D:D,0)), "INC")</f>
        <v>2025-09-28T16:22:53.281+08</v>
      </c>
      <c r="L1773" s="10" t="str">
        <f t="array" ref="L1773">IF(AND(G1773="COMPLETE", OR(K1773="INC", ISBLANK(INDEX(data!O:O, ROW())))), J1773, K1773)</f>
        <v>2025-09-28T16:11:24.251+08</v>
      </c>
      <c r="M1773" s="2">
        <v>45928.0</v>
      </c>
      <c r="N1773" s="2">
        <f t="array" ref="N1773">IF(M1773&lt;&gt;"INC", INDEX(data!M:M, MATCH(B1773, data!D:D, 0)), "")</f>
        <v>1</v>
      </c>
      <c r="O1773" s="2">
        <f t="shared" si="3"/>
        <v>1</v>
      </c>
    </row>
    <row r="1774">
      <c r="A1774" s="2" t="str">
        <f t="shared" si="1"/>
        <v>H030832</v>
      </c>
      <c r="B1774" s="1" t="s">
        <v>8678</v>
      </c>
      <c r="C1774" s="9" t="str">
        <f t="array" ref="C1774">IF(
  AND(
    IFERROR(MATCH(Caseslist!B1774, data!D:D, 0), 0) &gt; 0,
    IFERROR(INDEX(data!N:N, MATCH(Caseslist!B1774, data!D:D, 0)) = 1, FALSE)
  ),
  "COMPLETE",
  "INC"
)</f>
        <v>COMPLETE</v>
      </c>
      <c r="D1774" s="9" t="str">
        <f t="array" ref="D1774">IFERROR(INDEX(data!$G:$G,match(Caseslist!B1774,data!$D:$D,0)), "INC")</f>
        <v>G5472901</v>
      </c>
      <c r="E1774" s="9" t="str">
        <f t="array" ref="E1774">IFERROR(INDEX(data!H:H,match(Caseslist!B1774,data!D:D,0)), "INC")</f>
        <v>Wellyn Grace Alaban Parcia</v>
      </c>
      <c r="F1774" s="10" t="str">
        <f t="array" ref="F1774">IF(
    OR(
      IFNA(INDEX(data!M:M, MATCH(Caseslist!B1774, data!D:D, 0)), "") = "",
      IFNA(INDEX(data!M:M, MATCH(Caseslist!B1774, data!D:D, 0)), 0) = 0
    ),
    "COMPLETE",
    IF(
      IFNA(INDEX(dataICM!D:D, MATCH(Caseslist!B1774, dataICM!D:D, 0)), "INC") = "INC",
      IFNA(INDEX(dataICM!D:D, MATCH(Caseslist!B1774, dataICM!D:D, 0)), "INC"),
      "COMPLETE"
    )
  )</f>
        <v>COMPLETE</v>
      </c>
      <c r="G1774" s="10" t="str">
        <f t="array" ref="G1774">IF(IFERROR(INDEX(data!L:L,match(Caseslist!B1774,data!D:D,0)),"INC")="","COMPLETE",F1774)</f>
        <v>COMPLETE</v>
      </c>
      <c r="H1774" s="9" t="str">
        <f t="array" ref="H1774">IFERROR(INDEX(dataICM!F:F,match(Caseslist!B1774,dataICM!D:D,0)), "INC")</f>
        <v>Wellyn Grace Alaban Parcia</v>
      </c>
      <c r="I1774" s="10" t="str">
        <f t="shared" si="2"/>
        <v>G5472901</v>
      </c>
      <c r="J1774" s="9" t="str">
        <f t="array" ref="J1774">IF(
  AND(
    IFERROR(MATCH(B1774, data!D:D, 0), 0) &gt; 0,
    IFERROR(INDEX(data!N:N, MATCH(B1774, data!D:D, 0)) = 1, FALSE)
  ),
  INDEX(data!C:C, MATCH(B1774, data!D:D, 0)),
  "INC"
)</f>
        <v>2025-09-28T15:33:40.333+08</v>
      </c>
      <c r="K1774" s="9" t="str">
        <f t="array" ref="K1774">IFERROR(INDEX(dataICM!C:C,match(Caseslist!B1774,dataICM!D:D,0)), "INC")</f>
        <v>2025-09-28T16:01:07.535+08</v>
      </c>
      <c r="L1774" s="10" t="str">
        <f t="array" ref="L1774">IF(AND(G1774="COMPLETE", OR(K1774="INC", ISBLANK(INDEX(data!O:O, ROW())))), J1774, K1774)</f>
        <v>2025-09-28T15:33:40.333+08</v>
      </c>
      <c r="M1774" s="2">
        <v>45928.0</v>
      </c>
      <c r="N1774" s="2">
        <f t="array" ref="N1774">IF(M1774&lt;&gt;"INC", INDEX(data!M:M, MATCH(B1774, data!D:D, 0)), "")</f>
        <v>1</v>
      </c>
      <c r="O1774" s="2">
        <f t="shared" si="3"/>
        <v>1</v>
      </c>
    </row>
    <row r="1775">
      <c r="A1775" s="2" t="str">
        <f t="shared" si="1"/>
        <v>H030832</v>
      </c>
      <c r="B1775" s="1" t="s">
        <v>8548</v>
      </c>
      <c r="C1775" s="9" t="str">
        <f t="array" ref="C1775">IF(
  AND(
    IFERROR(MATCH(Caseslist!B1775, data!D:D, 0), 0) &gt; 0,
    IFERROR(INDEX(data!N:N, MATCH(Caseslist!B1775, data!D:D, 0)) = 1, FALSE)
  ),
  "COMPLETE",
  "INC"
)</f>
        <v>COMPLETE</v>
      </c>
      <c r="D1775" s="9" t="str">
        <f t="array" ref="D1775">IFERROR(INDEX(data!$G:$G,match(Caseslist!B1775,data!$D:$D,0)), "INC")</f>
        <v>H2846135</v>
      </c>
      <c r="E1775" s="9" t="str">
        <f t="array" ref="E1775">IFERROR(INDEX(data!H:H,match(Caseslist!B1775,data!D:D,0)), "INC")</f>
        <v>Annalou Empanado Encontro</v>
      </c>
      <c r="F1775" s="10" t="str">
        <f t="array" ref="F1775">IF(
    OR(
      IFNA(INDEX(data!M:M, MATCH(Caseslist!B1775, data!D:D, 0)), "") = "",
      IFNA(INDEX(data!M:M, MATCH(Caseslist!B1775, data!D:D, 0)), 0) = 0
    ),
    "COMPLETE",
    IF(
      IFNA(INDEX(dataICM!D:D, MATCH(Caseslist!B1775, dataICM!D:D, 0)), "INC") = "INC",
      IFNA(INDEX(dataICM!D:D, MATCH(Caseslist!B1775, dataICM!D:D, 0)), "INC"),
      "COMPLETE"
    )
  )</f>
        <v>COMPLETE</v>
      </c>
      <c r="G1775" s="10" t="str">
        <f t="array" ref="G1775">IF(IFERROR(INDEX(data!L:L,match(Caseslist!B1775,data!D:D,0)),"INC")="","COMPLETE",F1775)</f>
        <v>COMPLETE</v>
      </c>
      <c r="H1775" s="9" t="str">
        <f t="array" ref="H1775">IFERROR(INDEX(dataICM!F:F,match(Caseslist!B1775,dataICM!D:D,0)), "INC")</f>
        <v>Annalou Empanado Encontro</v>
      </c>
      <c r="I1775" s="10" t="str">
        <f t="shared" si="2"/>
        <v>H2846135</v>
      </c>
      <c r="J1775" s="9" t="str">
        <f t="array" ref="J1775">IF(
  AND(
    IFERROR(MATCH(B1775, data!D:D, 0), 0) &gt; 0,
    IFERROR(INDEX(data!N:N, MATCH(B1775, data!D:D, 0)) = 1, FALSE)
  ),
  INDEX(data!C:C, MATCH(B1775, data!D:D, 0)),
  "INC"
)</f>
        <v>2025-09-25T14:58:55.497+08</v>
      </c>
      <c r="K1775" s="9" t="str">
        <f t="array" ref="K1775">IFERROR(INDEX(dataICM!C:C,match(Caseslist!B1775,dataICM!D:D,0)), "INC")</f>
        <v>2025-09-25T15:06:04.101+08</v>
      </c>
      <c r="L1775" s="10" t="str">
        <f t="array" ref="L1775">IF(AND(G1775="COMPLETE", OR(K1775="INC", ISBLANK(INDEX(data!O:O, ROW())))), J1775, K1775)</f>
        <v>2025-09-25T14:58:55.497+08</v>
      </c>
      <c r="M1775" s="2">
        <v>45925.0</v>
      </c>
      <c r="N1775" s="2">
        <f t="array" ref="N1775">IF(M1775&lt;&gt;"INC", INDEX(data!M:M, MATCH(B1775, data!D:D, 0)), "")</f>
        <v>1</v>
      </c>
      <c r="O1775" s="2">
        <f t="shared" si="3"/>
        <v>1</v>
      </c>
    </row>
    <row r="1776">
      <c r="A1776" s="2" t="str">
        <f t="shared" si="1"/>
        <v>H030832</v>
      </c>
      <c r="B1776" s="1" t="s">
        <v>8683</v>
      </c>
      <c r="C1776" s="9" t="str">
        <f t="array" ref="C1776">IF(
  AND(
    IFERROR(MATCH(Caseslist!B1776, data!D:D, 0), 0) &gt; 0,
    IFERROR(INDEX(data!N:N, MATCH(Caseslist!B1776, data!D:D, 0)) = 1, FALSE)
  ),
  "COMPLETE",
  "INC"
)</f>
        <v>COMPLETE</v>
      </c>
      <c r="D1776" s="9" t="str">
        <f t="array" ref="D1776">IFERROR(INDEX(data!$G:$G,match(Caseslist!B1776,data!$D:$D,0)), "INC")</f>
        <v>G5472901</v>
      </c>
      <c r="E1776" s="9" t="str">
        <f t="array" ref="E1776">IFERROR(INDEX(data!H:H,match(Caseslist!B1776,data!D:D,0)), "INC")</f>
        <v>Wellyn Grace Alaban Parcia</v>
      </c>
      <c r="F1776" s="10" t="str">
        <f t="array" ref="F1776">IF(
    OR(
      IFNA(INDEX(data!M:M, MATCH(Caseslist!B1776, data!D:D, 0)), "") = "",
      IFNA(INDEX(data!M:M, MATCH(Caseslist!B1776, data!D:D, 0)), 0) = 0
    ),
    "COMPLETE",
    IF(
      IFNA(INDEX(dataICM!D:D, MATCH(Caseslist!B1776, dataICM!D:D, 0)), "INC") = "INC",
      IFNA(INDEX(dataICM!D:D, MATCH(Caseslist!B1776, dataICM!D:D, 0)), "INC"),
      "COMPLETE"
    )
  )</f>
        <v>COMPLETE</v>
      </c>
      <c r="G1776" s="10" t="str">
        <f t="array" ref="G1776">IF(IFERROR(INDEX(data!L:L,match(Caseslist!B1776,data!D:D,0)),"INC")="","COMPLETE",F1776)</f>
        <v>COMPLETE</v>
      </c>
      <c r="H1776" s="9" t="str">
        <f t="array" ref="H1776">IFERROR(INDEX(dataICM!F:F,match(Caseslist!B1776,dataICM!D:D,0)), "INC")</f>
        <v>Wellyn Grace Alaban Parcia</v>
      </c>
      <c r="I1776" s="10" t="str">
        <f t="shared" si="2"/>
        <v>G5472901</v>
      </c>
      <c r="J1776" s="9" t="str">
        <f t="array" ref="J1776">IF(
  AND(
    IFERROR(MATCH(B1776, data!D:D, 0), 0) &gt; 0,
    IFERROR(INDEX(data!N:N, MATCH(B1776, data!D:D, 0)) = 1, FALSE)
  ),
  INDEX(data!C:C, MATCH(B1776, data!D:D, 0)),
  "INC"
)</f>
        <v>2025-09-28T13:15:30.887+08</v>
      </c>
      <c r="K1776" s="9" t="str">
        <f t="array" ref="K1776">IFERROR(INDEX(dataICM!C:C,match(Caseslist!B1776,dataICM!D:D,0)), "INC")</f>
        <v>2025-09-28T13:21:01.519+08</v>
      </c>
      <c r="L1776" s="10" t="str">
        <f t="array" ref="L1776">IF(AND(G1776="COMPLETE", OR(K1776="INC", ISBLANK(INDEX(data!O:O, ROW())))), J1776, K1776)</f>
        <v>2025-09-28T13:15:30.887+08</v>
      </c>
      <c r="M1776" s="2">
        <v>45928.0</v>
      </c>
      <c r="N1776" s="2">
        <f t="array" ref="N1776">IF(M1776&lt;&gt;"INC", INDEX(data!M:M, MATCH(B1776, data!D:D, 0)), "")</f>
        <v>1</v>
      </c>
      <c r="O1776" s="2">
        <f t="shared" si="3"/>
        <v>1</v>
      </c>
    </row>
    <row r="1777">
      <c r="A1777" s="2" t="str">
        <f t="shared" si="1"/>
        <v>H030832</v>
      </c>
      <c r="B1777" s="1" t="s">
        <v>8608</v>
      </c>
      <c r="C1777" s="9" t="str">
        <f t="array" ref="C1777">IF(
  AND(
    IFERROR(MATCH(Caseslist!B1777, data!D:D, 0), 0) &gt; 0,
    IFERROR(INDEX(data!N:N, MATCH(Caseslist!B1777, data!D:D, 0)) = 1, FALSE)
  ),
  "COMPLETE",
  "INC"
)</f>
        <v>COMPLETE</v>
      </c>
      <c r="D1777" s="9" t="str">
        <f t="array" ref="D1777">IFERROR(INDEX(data!$G:$G,match(Caseslist!B1777,data!$D:$D,0)), "INC")</f>
        <v>G5472901</v>
      </c>
      <c r="E1777" s="9" t="str">
        <f t="array" ref="E1777">IFERROR(INDEX(data!H:H,match(Caseslist!B1777,data!D:D,0)), "INC")</f>
        <v>Wellyn Grace Alaban Parcia</v>
      </c>
      <c r="F1777" s="10" t="str">
        <f t="array" ref="F1777">IF(
    OR(
      IFNA(INDEX(data!M:M, MATCH(Caseslist!B1777, data!D:D, 0)), "") = "",
      IFNA(INDEX(data!M:M, MATCH(Caseslist!B1777, data!D:D, 0)), 0) = 0
    ),
    "COMPLETE",
    IF(
      IFNA(INDEX(dataICM!D:D, MATCH(Caseslist!B1777, dataICM!D:D, 0)), "INC") = "INC",
      IFNA(INDEX(dataICM!D:D, MATCH(Caseslist!B1777, dataICM!D:D, 0)), "INC"),
      "COMPLETE"
    )
  )</f>
        <v>COMPLETE</v>
      </c>
      <c r="G1777" s="10" t="str">
        <f t="array" ref="G1777">IF(IFERROR(INDEX(data!L:L,match(Caseslist!B1777,data!D:D,0)),"INC")="","COMPLETE",F1777)</f>
        <v>COMPLETE</v>
      </c>
      <c r="H1777" s="9" t="str">
        <f t="array" ref="H1777">IFERROR(INDEX(dataICM!F:F,match(Caseslist!B1777,dataICM!D:D,0)), "INC")</f>
        <v>Wellyn Grace Alaban Parcia</v>
      </c>
      <c r="I1777" s="10" t="str">
        <f t="shared" si="2"/>
        <v>G5472901</v>
      </c>
      <c r="J1777" s="9" t="str">
        <f t="array" ref="J1777">IF(
  AND(
    IFERROR(MATCH(B1777, data!D:D, 0), 0) &gt; 0,
    IFERROR(INDEX(data!N:N, MATCH(B1777, data!D:D, 0)) = 1, FALSE)
  ),
  INDEX(data!C:C, MATCH(B1777, data!D:D, 0)),
  "INC"
)</f>
        <v>2025-09-25T11:53:15.366+08</v>
      </c>
      <c r="K1777" s="9" t="str">
        <f t="array" ref="K1777">IFERROR(INDEX(dataICM!C:C,match(Caseslist!B1777,dataICM!D:D,0)), "INC")</f>
        <v>2025-09-25T11:57:31.798+08</v>
      </c>
      <c r="L1777" s="10" t="str">
        <f t="array" ref="L1777">IF(AND(G1777="COMPLETE", OR(K1777="INC", ISBLANK(INDEX(data!O:O, ROW())))), J1777, K1777)</f>
        <v>2025-09-25T11:53:15.366+08</v>
      </c>
      <c r="M1777" s="2">
        <v>45925.0</v>
      </c>
      <c r="N1777" s="2">
        <f t="array" ref="N1777">IF(M1777&lt;&gt;"INC", INDEX(data!M:M, MATCH(B1777, data!D:D, 0)), "")</f>
        <v>1</v>
      </c>
      <c r="O1777" s="2">
        <f t="shared" si="3"/>
        <v>1</v>
      </c>
    </row>
    <row r="1778">
      <c r="A1778" s="2" t="str">
        <f t="shared" si="1"/>
        <v>H030832</v>
      </c>
      <c r="B1778" s="1" t="s">
        <v>8553</v>
      </c>
      <c r="C1778" s="9" t="str">
        <f t="array" ref="C1778">IF(
  AND(
    IFERROR(MATCH(Caseslist!B1778, data!D:D, 0), 0) &gt; 0,
    IFERROR(INDEX(data!N:N, MATCH(Caseslist!B1778, data!D:D, 0)) = 1, FALSE)
  ),
  "COMPLETE",
  "INC"
)</f>
        <v>COMPLETE</v>
      </c>
      <c r="D1778" s="9" t="str">
        <f t="array" ref="D1778">IFERROR(INDEX(data!$G:$G,match(Caseslist!B1778,data!$D:$D,0)), "INC")</f>
        <v>H2846135</v>
      </c>
      <c r="E1778" s="9" t="str">
        <f t="array" ref="E1778">IFERROR(INDEX(data!H:H,match(Caseslist!B1778,data!D:D,0)), "INC")</f>
        <v>Annalou Empanado Encontro</v>
      </c>
      <c r="F1778" s="10" t="str">
        <f t="array" ref="F1778">IF(
    OR(
      IFNA(INDEX(data!M:M, MATCH(Caseslist!B1778, data!D:D, 0)), "") = "",
      IFNA(INDEX(data!M:M, MATCH(Caseslist!B1778, data!D:D, 0)), 0) = 0
    ),
    "COMPLETE",
    IF(
      IFNA(INDEX(dataICM!D:D, MATCH(Caseslist!B1778, dataICM!D:D, 0)), "INC") = "INC",
      IFNA(INDEX(dataICM!D:D, MATCH(Caseslist!B1778, dataICM!D:D, 0)), "INC"),
      "COMPLETE"
    )
  )</f>
        <v>COMPLETE</v>
      </c>
      <c r="G1778" s="10" t="str">
        <f t="array" ref="G1778">IF(IFERROR(INDEX(data!L:L,match(Caseslist!B1778,data!D:D,0)),"INC")="","COMPLETE",F1778)</f>
        <v>COMPLETE</v>
      </c>
      <c r="H1778" s="9" t="str">
        <f t="array" ref="H1778">IFERROR(INDEX(dataICM!F:F,match(Caseslist!B1778,dataICM!D:D,0)), "INC")</f>
        <v>Annalou Empanado Encontro</v>
      </c>
      <c r="I1778" s="10" t="str">
        <f t="shared" si="2"/>
        <v>H2846135</v>
      </c>
      <c r="J1778" s="9" t="str">
        <f t="array" ref="J1778">IF(
  AND(
    IFERROR(MATCH(B1778, data!D:D, 0), 0) &gt; 0,
    IFERROR(INDEX(data!N:N, MATCH(B1778, data!D:D, 0)) = 1, FALSE)
  ),
  INDEX(data!C:C, MATCH(B1778, data!D:D, 0)),
  "INC"
)</f>
        <v>2025-09-25T11:07:08.130+08</v>
      </c>
      <c r="K1778" s="9" t="str">
        <f t="array" ref="K1778">IFERROR(INDEX(dataICM!C:C,match(Caseslist!B1778,dataICM!D:D,0)), "INC")</f>
        <v>2025-09-25T11:14:50.710+08</v>
      </c>
      <c r="L1778" s="10" t="str">
        <f t="array" ref="L1778">IF(AND(G1778="COMPLETE", OR(K1778="INC", ISBLANK(INDEX(data!O:O, ROW())))), J1778, K1778)</f>
        <v>2025-09-25T11:07:08.130+08</v>
      </c>
      <c r="M1778" s="2">
        <v>45925.0</v>
      </c>
      <c r="N1778" s="2">
        <f t="array" ref="N1778">IF(M1778&lt;&gt;"INC", INDEX(data!M:M, MATCH(B1778, data!D:D, 0)), "")</f>
        <v>1</v>
      </c>
      <c r="O1778" s="2">
        <f t="shared" si="3"/>
        <v>1</v>
      </c>
    </row>
    <row r="1779">
      <c r="A1779" s="2" t="str">
        <f t="shared" si="1"/>
        <v>H030832</v>
      </c>
      <c r="B1779" s="1" t="s">
        <v>8613</v>
      </c>
      <c r="C1779" s="9" t="str">
        <f t="array" ref="C1779">IF(
  AND(
    IFERROR(MATCH(Caseslist!B1779, data!D:D, 0), 0) &gt; 0,
    IFERROR(INDEX(data!N:N, MATCH(Caseslist!B1779, data!D:D, 0)) = 1, FALSE)
  ),
  "COMPLETE",
  "INC"
)</f>
        <v>COMPLETE</v>
      </c>
      <c r="D1779" s="9" t="str">
        <f t="array" ref="D1779">IFERROR(INDEX(data!$G:$G,match(Caseslist!B1779,data!$D:$D,0)), "INC")</f>
        <v>G5472901</v>
      </c>
      <c r="E1779" s="9" t="str">
        <f t="array" ref="E1779">IFERROR(INDEX(data!H:H,match(Caseslist!B1779,data!D:D,0)), "INC")</f>
        <v>Wellyn Grace Alaban Parcia</v>
      </c>
      <c r="F1779" s="10" t="str">
        <f t="array" ref="F1779">IF(
    OR(
      IFNA(INDEX(data!M:M, MATCH(Caseslist!B1779, data!D:D, 0)), "") = "",
      IFNA(INDEX(data!M:M, MATCH(Caseslist!B1779, data!D:D, 0)), 0) = 0
    ),
    "COMPLETE",
    IF(
      IFNA(INDEX(dataICM!D:D, MATCH(Caseslist!B1779, dataICM!D:D, 0)), "INC") = "INC",
      IFNA(INDEX(dataICM!D:D, MATCH(Caseslist!B1779, dataICM!D:D, 0)), "INC"),
      "COMPLETE"
    )
  )</f>
        <v>COMPLETE</v>
      </c>
      <c r="G1779" s="10" t="str">
        <f t="array" ref="G1779">IF(IFERROR(INDEX(data!L:L,match(Caseslist!B1779,data!D:D,0)),"INC")="","COMPLETE",F1779)</f>
        <v>COMPLETE</v>
      </c>
      <c r="H1779" s="9" t="str">
        <f t="array" ref="H1779">IFERROR(INDEX(dataICM!F:F,match(Caseslist!B1779,dataICM!D:D,0)), "INC")</f>
        <v>Wellyn Grace Alaban Parcia</v>
      </c>
      <c r="I1779" s="10" t="str">
        <f t="shared" si="2"/>
        <v>G5472901</v>
      </c>
      <c r="J1779" s="9" t="str">
        <f t="array" ref="J1779">IF(
  AND(
    IFERROR(MATCH(B1779, data!D:D, 0), 0) &gt; 0,
    IFERROR(INDEX(data!N:N, MATCH(B1779, data!D:D, 0)) = 1, FALSE)
  ),
  INDEX(data!C:C, MATCH(B1779, data!D:D, 0)),
  "INC"
)</f>
        <v>2025-09-25T13:09:26.969+08</v>
      </c>
      <c r="K1779" s="9" t="str">
        <f t="array" ref="K1779">IFERROR(INDEX(dataICM!C:C,match(Caseslist!B1779,dataICM!D:D,0)), "INC")</f>
        <v>2025-09-25T13:22:22.665+08</v>
      </c>
      <c r="L1779" s="10" t="str">
        <f t="array" ref="L1779">IF(AND(G1779="COMPLETE", OR(K1779="INC", ISBLANK(INDEX(data!O:O, ROW())))), J1779, K1779)</f>
        <v>2025-09-25T13:09:26.969+08</v>
      </c>
      <c r="M1779" s="2">
        <v>45925.0</v>
      </c>
      <c r="N1779" s="2">
        <f t="array" ref="N1779">IF(M1779&lt;&gt;"INC", INDEX(data!M:M, MATCH(B1779, data!D:D, 0)), "")</f>
        <v>1</v>
      </c>
      <c r="O1779" s="2">
        <f t="shared" si="3"/>
        <v>1</v>
      </c>
    </row>
    <row r="1780">
      <c r="A1780" s="2" t="str">
        <f t="shared" si="1"/>
        <v>H030837</v>
      </c>
      <c r="B1780" s="1" t="s">
        <v>8583</v>
      </c>
      <c r="C1780" s="9" t="str">
        <f t="array" ref="C1780">IF(
  AND(
    IFERROR(MATCH(Caseslist!B1780, data!D:D, 0), 0) &gt; 0,
    IFERROR(INDEX(data!N:N, MATCH(Caseslist!B1780, data!D:D, 0)) = 1, FALSE)
  ),
  "COMPLETE",
  "INC"
)</f>
        <v>COMPLETE</v>
      </c>
      <c r="D1780" s="9" t="str">
        <f t="array" ref="D1780">IFERROR(INDEX(data!$G:$G,match(Caseslist!B1780,data!$D:$D,0)), "INC")</f>
        <v>B8193462</v>
      </c>
      <c r="E1780" s="9" t="str">
        <f t="array" ref="E1780">IFERROR(INDEX(data!H:H,match(Caseslist!B1780,data!D:D,0)), "INC")</f>
        <v>Mark Lorens Mendoza Gilongo</v>
      </c>
      <c r="F1780" s="10" t="str">
        <f t="array" ref="F1780">IF(
    OR(
      IFNA(INDEX(data!M:M, MATCH(Caseslist!B1780, data!D:D, 0)), "") = "",
      IFNA(INDEX(data!M:M, MATCH(Caseslist!B1780, data!D:D, 0)), 0) = 0
    ),
    "COMPLETE",
    IF(
      IFNA(INDEX(dataICM!D:D, MATCH(Caseslist!B1780, dataICM!D:D, 0)), "INC") = "INC",
      IFNA(INDEX(dataICM!D:D, MATCH(Caseslist!B1780, dataICM!D:D, 0)), "INC"),
      "COMPLETE"
    )
  )</f>
        <v>COMPLETE</v>
      </c>
      <c r="G1780" s="10" t="str">
        <f t="array" ref="G1780">IF(IFERROR(INDEX(data!L:L,match(Caseslist!B1780,data!D:D,0)),"INC")="","COMPLETE",F1780)</f>
        <v>COMPLETE</v>
      </c>
      <c r="H1780" s="9" t="str">
        <f t="array" ref="H1780">IFERROR(INDEX(dataICM!F:F,match(Caseslist!B1780,dataICM!D:D,0)), "INC")</f>
        <v>INC</v>
      </c>
      <c r="I1780" s="10" t="str">
        <f t="shared" si="2"/>
        <v>B8193462</v>
      </c>
      <c r="J1780" s="9" t="str">
        <f t="array" ref="J1780">IF(
  AND(
    IFERROR(MATCH(B1780, data!D:D, 0), 0) &gt; 0,
    IFERROR(INDEX(data!N:N, MATCH(B1780, data!D:D, 0)) = 1, FALSE)
  ),
  INDEX(data!C:C, MATCH(B1780, data!D:D, 0)),
  "INC"
)</f>
        <v>2025-09-28T18:55:07.460+08</v>
      </c>
      <c r="K1780" s="9" t="str">
        <f t="array" ref="K1780">IFERROR(INDEX(dataICM!C:C,match(Caseslist!B1780,dataICM!D:D,0)), "INC")</f>
        <v>INC</v>
      </c>
      <c r="L1780" s="10" t="str">
        <f t="array" ref="L1780">IF(AND(G1780="COMPLETE", OR(K1780="INC", ISBLANK(INDEX(data!O:O, ROW())))), J1780, K1780)</f>
        <v>2025-09-28T18:55:07.460+08</v>
      </c>
      <c r="M1780" s="2">
        <v>45928.0</v>
      </c>
      <c r="N1780" s="2">
        <f t="array" ref="N1780">IF(M1780&lt;&gt;"INC", INDEX(data!M:M, MATCH(B1780, data!D:D, 0)), "")</f>
        <v>0</v>
      </c>
      <c r="O1780" s="2">
        <f t="shared" si="3"/>
        <v>0</v>
      </c>
    </row>
    <row r="1781">
      <c r="A1781" s="2" t="str">
        <f t="shared" si="1"/>
        <v>H030837</v>
      </c>
      <c r="B1781" s="1" t="s">
        <v>8573</v>
      </c>
      <c r="C1781" s="9" t="str">
        <f t="array" ref="C1781">IF(
  AND(
    IFERROR(MATCH(Caseslist!B1781, data!D:D, 0), 0) &gt; 0,
    IFERROR(INDEX(data!N:N, MATCH(Caseslist!B1781, data!D:D, 0)) = 1, FALSE)
  ),
  "COMPLETE",
  "INC"
)</f>
        <v>COMPLETE</v>
      </c>
      <c r="D1781" s="9" t="str">
        <f t="array" ref="D1781">IFERROR(INDEX(data!$G:$G,match(Caseslist!B1781,data!$D:$D,0)), "INC")</f>
        <v>B8193462</v>
      </c>
      <c r="E1781" s="9" t="str">
        <f t="array" ref="E1781">IFERROR(INDEX(data!H:H,match(Caseslist!B1781,data!D:D,0)), "INC")</f>
        <v>Mark Lorens Mendoza Gilongo</v>
      </c>
      <c r="F1781" s="10" t="str">
        <f t="array" ref="F1781">IF(
    OR(
      IFNA(INDEX(data!M:M, MATCH(Caseslist!B1781, data!D:D, 0)), "") = "",
      IFNA(INDEX(data!M:M, MATCH(Caseslist!B1781, data!D:D, 0)), 0) = 0
    ),
    "COMPLETE",
    IF(
      IFNA(INDEX(dataICM!D:D, MATCH(Caseslist!B1781, dataICM!D:D, 0)), "INC") = "INC",
      IFNA(INDEX(dataICM!D:D, MATCH(Caseslist!B1781, dataICM!D:D, 0)), "INC"),
      "COMPLETE"
    )
  )</f>
        <v>COMPLETE</v>
      </c>
      <c r="G1781" s="10" t="str">
        <f t="array" ref="G1781">IF(IFERROR(INDEX(data!L:L,match(Caseslist!B1781,data!D:D,0)),"INC")="","COMPLETE",F1781)</f>
        <v>COMPLETE</v>
      </c>
      <c r="H1781" s="9" t="str">
        <f t="array" ref="H1781">IFERROR(INDEX(dataICM!F:F,match(Caseslist!B1781,dataICM!D:D,0)), "INC")</f>
        <v>INC</v>
      </c>
      <c r="I1781" s="10" t="str">
        <f t="shared" si="2"/>
        <v>B8193462</v>
      </c>
      <c r="J1781" s="9" t="str">
        <f t="array" ref="J1781">IF(
  AND(
    IFERROR(MATCH(B1781, data!D:D, 0), 0) &gt; 0,
    IFERROR(INDEX(data!N:N, MATCH(B1781, data!D:D, 0)) = 1, FALSE)
  ),
  INDEX(data!C:C, MATCH(B1781, data!D:D, 0)),
  "INC"
)</f>
        <v>2025-09-28T18:13:10.137+08</v>
      </c>
      <c r="K1781" s="9" t="str">
        <f t="array" ref="K1781">IFERROR(INDEX(dataICM!C:C,match(Caseslist!B1781,dataICM!D:D,0)), "INC")</f>
        <v>INC</v>
      </c>
      <c r="L1781" s="10" t="str">
        <f t="array" ref="L1781">IF(AND(G1781="COMPLETE", OR(K1781="INC", ISBLANK(INDEX(data!O:O, ROW())))), J1781, K1781)</f>
        <v>2025-09-28T18:13:10.137+08</v>
      </c>
      <c r="M1781" s="2">
        <v>45928.0</v>
      </c>
      <c r="N1781" s="2">
        <f t="array" ref="N1781">IF(M1781&lt;&gt;"INC", INDEX(data!M:M, MATCH(B1781, data!D:D, 0)), "")</f>
        <v>0</v>
      </c>
      <c r="O1781" s="2">
        <f t="shared" si="3"/>
        <v>0</v>
      </c>
    </row>
    <row r="1782">
      <c r="A1782" s="2" t="str">
        <f t="shared" si="1"/>
        <v>H030837</v>
      </c>
      <c r="B1782" s="1" t="s">
        <v>8488</v>
      </c>
      <c r="C1782" s="9" t="str">
        <f t="array" ref="C1782">IF(
  AND(
    IFERROR(MATCH(Caseslist!B1782, data!D:D, 0), 0) &gt; 0,
    IFERROR(INDEX(data!N:N, MATCH(Caseslist!B1782, data!D:D, 0)) = 1, FALSE)
  ),
  "COMPLETE",
  "INC"
)</f>
        <v>COMPLETE</v>
      </c>
      <c r="D1782" s="9" t="str">
        <f t="array" ref="D1782">IFERROR(INDEX(data!$G:$G,match(Caseslist!B1782,data!$D:$D,0)), "INC")</f>
        <v>D1284067</v>
      </c>
      <c r="E1782" s="9" t="str">
        <f t="array" ref="E1782">IFERROR(INDEX(data!H:H,match(Caseslist!B1782,data!D:D,0)), "INC")</f>
        <v>Mariel Del Rio</v>
      </c>
      <c r="F1782" s="10" t="str">
        <f t="array" ref="F1782">IF(
    OR(
      IFNA(INDEX(data!M:M, MATCH(Caseslist!B1782, data!D:D, 0)), "") = "",
      IFNA(INDEX(data!M:M, MATCH(Caseslist!B1782, data!D:D, 0)), 0) = 0
    ),
    "COMPLETE",
    IF(
      IFNA(INDEX(dataICM!D:D, MATCH(Caseslist!B1782, dataICM!D:D, 0)), "INC") = "INC",
      IFNA(INDEX(dataICM!D:D, MATCH(Caseslist!B1782, dataICM!D:D, 0)), "INC"),
      "COMPLETE"
    )
  )</f>
        <v>COMPLETE</v>
      </c>
      <c r="G1782" s="10" t="str">
        <f t="array" ref="G1782">IF(IFERROR(INDEX(data!L:L,match(Caseslist!B1782,data!D:D,0)),"INC")="","COMPLETE",F1782)</f>
        <v>COMPLETE</v>
      </c>
      <c r="H1782" s="9" t="str">
        <f t="array" ref="H1782">IFERROR(INDEX(dataICM!F:F,match(Caseslist!B1782,dataICM!D:D,0)), "INC")</f>
        <v>INC</v>
      </c>
      <c r="I1782" s="10" t="str">
        <f t="shared" si="2"/>
        <v>D1284067</v>
      </c>
      <c r="J1782" s="9" t="str">
        <f t="array" ref="J1782">IF(
  AND(
    IFERROR(MATCH(B1782, data!D:D, 0), 0) &gt; 0,
    IFERROR(INDEX(data!N:N, MATCH(B1782, data!D:D, 0)) = 1, FALSE)
  ),
  INDEX(data!C:C, MATCH(B1782, data!D:D, 0)),
  "INC"
)</f>
        <v>2025-09-28T18:28:19.457+08</v>
      </c>
      <c r="K1782" s="9" t="str">
        <f t="array" ref="K1782">IFERROR(INDEX(dataICM!C:C,match(Caseslist!B1782,dataICM!D:D,0)), "INC")</f>
        <v>INC</v>
      </c>
      <c r="L1782" s="10" t="str">
        <f t="array" ref="L1782">IF(AND(G1782="COMPLETE", OR(K1782="INC", ISBLANK(INDEX(data!O:O, ROW())))), J1782, K1782)</f>
        <v>2025-09-28T18:28:19.457+08</v>
      </c>
      <c r="M1782" s="2">
        <v>45928.0</v>
      </c>
      <c r="N1782" s="2">
        <f t="array" ref="N1782">IF(M1782&lt;&gt;"INC", INDEX(data!M:M, MATCH(B1782, data!D:D, 0)), "")</f>
        <v>0</v>
      </c>
      <c r="O1782" s="2">
        <f t="shared" si="3"/>
        <v>0</v>
      </c>
    </row>
    <row r="1783">
      <c r="A1783" s="2" t="str">
        <f t="shared" si="1"/>
        <v>H030837</v>
      </c>
      <c r="B1783" s="1" t="s">
        <v>8568</v>
      </c>
      <c r="C1783" s="9" t="str">
        <f t="array" ref="C1783">IF(
  AND(
    IFERROR(MATCH(Caseslist!B1783, data!D:D, 0), 0) &gt; 0,
    IFERROR(INDEX(data!N:N, MATCH(Caseslist!B1783, data!D:D, 0)) = 1, FALSE)
  ),
  "COMPLETE",
  "INC"
)</f>
        <v>COMPLETE</v>
      </c>
      <c r="D1783" s="9">
        <f t="array" ref="D1783">IFERROR(INDEX(data!$G:$G,match(Caseslist!B1783,data!$D:$D,0)), "INC")</f>
        <v>896791</v>
      </c>
      <c r="E1783" s="9" t="str">
        <f t="array" ref="E1783">IFERROR(INDEX(data!H:H,match(Caseslist!B1783,data!D:D,0)), "INC")</f>
        <v>Roland A. Bandiola jr_2</v>
      </c>
      <c r="F1783" s="10" t="str">
        <f t="array" ref="F1783">IF(
    OR(
      IFNA(INDEX(data!M:M, MATCH(Caseslist!B1783, data!D:D, 0)), "") = "",
      IFNA(INDEX(data!M:M, MATCH(Caseslist!B1783, data!D:D, 0)), 0) = 0
    ),
    "COMPLETE",
    IF(
      IFNA(INDEX(dataICM!D:D, MATCH(Caseslist!B1783, dataICM!D:D, 0)), "INC") = "INC",
      IFNA(INDEX(dataICM!D:D, MATCH(Caseslist!B1783, dataICM!D:D, 0)), "INC"),
      "COMPLETE"
    )
  )</f>
        <v>COMPLETE</v>
      </c>
      <c r="G1783" s="10" t="str">
        <f t="array" ref="G1783">IF(IFERROR(INDEX(data!L:L,match(Caseslist!B1783,data!D:D,0)),"INC")="","COMPLETE",F1783)</f>
        <v>COMPLETE</v>
      </c>
      <c r="H1783" s="9" t="str">
        <f t="array" ref="H1783">IFERROR(INDEX(dataICM!F:F,match(Caseslist!B1783,dataICM!D:D,0)), "INC")</f>
        <v>INC</v>
      </c>
      <c r="I1783" s="10">
        <f t="shared" si="2"/>
        <v>896791</v>
      </c>
      <c r="J1783" s="9" t="str">
        <f t="array" ref="J1783">IF(
  AND(
    IFERROR(MATCH(B1783, data!D:D, 0), 0) &gt; 0,
    IFERROR(INDEX(data!N:N, MATCH(B1783, data!D:D, 0)) = 1, FALSE)
  ),
  INDEX(data!C:C, MATCH(B1783, data!D:D, 0)),
  "INC"
)</f>
        <v>2025-09-28T11:24:14.770+08</v>
      </c>
      <c r="K1783" s="9" t="str">
        <f t="array" ref="K1783">IFERROR(INDEX(dataICM!C:C,match(Caseslist!B1783,dataICM!D:D,0)), "INC")</f>
        <v>INC</v>
      </c>
      <c r="L1783" s="10" t="str">
        <f t="array" ref="L1783">IF(AND(G1783="COMPLETE", OR(K1783="INC", ISBLANK(INDEX(data!O:O, ROW())))), J1783, K1783)</f>
        <v>2025-09-28T11:24:14.770+08</v>
      </c>
      <c r="M1783" s="2">
        <v>45928.0</v>
      </c>
      <c r="N1783" s="2">
        <f t="array" ref="N1783">IF(M1783&lt;&gt;"INC", INDEX(data!M:M, MATCH(B1783, data!D:D, 0)), "")</f>
        <v>0</v>
      </c>
      <c r="O1783" s="2">
        <f t="shared" si="3"/>
        <v>0</v>
      </c>
    </row>
    <row r="1784">
      <c r="A1784" s="2" t="str">
        <f t="shared" si="1"/>
        <v>H030837</v>
      </c>
      <c r="B1784" s="1" t="s">
        <v>8643</v>
      </c>
      <c r="C1784" s="9" t="str">
        <f t="array" ref="C1784">IF(
  AND(
    IFERROR(MATCH(Caseslist!B1784, data!D:D, 0), 0) &gt; 0,
    IFERROR(INDEX(data!N:N, MATCH(Caseslist!B1784, data!D:D, 0)) = 1, FALSE)
  ),
  "COMPLETE",
  "INC"
)</f>
        <v>COMPLETE</v>
      </c>
      <c r="D1784" s="9" t="str">
        <f t="array" ref="D1784">IFERROR(INDEX(data!$G:$G,match(Caseslist!B1784,data!$D:$D,0)), "INC")</f>
        <v>C7502931</v>
      </c>
      <c r="E1784" s="9" t="str">
        <f t="array" ref="E1784">IFERROR(INDEX(data!H:H,match(Caseslist!B1784,data!D:D,0)), "INC")</f>
        <v>Jenny Lou Toles Estacio</v>
      </c>
      <c r="F1784" s="10" t="str">
        <f t="array" ref="F1784">IF(
    OR(
      IFNA(INDEX(data!M:M, MATCH(Caseslist!B1784, data!D:D, 0)), "") = "",
      IFNA(INDEX(data!M:M, MATCH(Caseslist!B1784, data!D:D, 0)), 0) = 0
    ),
    "COMPLETE",
    IF(
      IFNA(INDEX(dataICM!D:D, MATCH(Caseslist!B1784, dataICM!D:D, 0)), "INC") = "INC",
      IFNA(INDEX(dataICM!D:D, MATCH(Caseslist!B1784, dataICM!D:D, 0)), "INC"),
      "COMPLETE"
    )
  )</f>
        <v>COMPLETE</v>
      </c>
      <c r="G1784" s="10" t="str">
        <f t="array" ref="G1784">IF(IFERROR(INDEX(data!L:L,match(Caseslist!B1784,data!D:D,0)),"INC")="","COMPLETE",F1784)</f>
        <v>COMPLETE</v>
      </c>
      <c r="H1784" s="9" t="str">
        <f t="array" ref="H1784">IFERROR(INDEX(dataICM!F:F,match(Caseslist!B1784,dataICM!D:D,0)), "INC")</f>
        <v>INC</v>
      </c>
      <c r="I1784" s="10" t="str">
        <f t="shared" si="2"/>
        <v>C7502931</v>
      </c>
      <c r="J1784" s="9" t="str">
        <f t="array" ref="J1784">IF(
  AND(
    IFERROR(MATCH(B1784, data!D:D, 0), 0) &gt; 0,
    IFERROR(INDEX(data!N:N, MATCH(B1784, data!D:D, 0)) = 1, FALSE)
  ),
  INDEX(data!C:C, MATCH(B1784, data!D:D, 0)),
  "INC"
)</f>
        <v>2025-09-28T18:10:50.056+08</v>
      </c>
      <c r="K1784" s="9" t="str">
        <f t="array" ref="K1784">IFERROR(INDEX(dataICM!C:C,match(Caseslist!B1784,dataICM!D:D,0)), "INC")</f>
        <v>INC</v>
      </c>
      <c r="L1784" s="10" t="str">
        <f t="array" ref="L1784">IF(AND(G1784="COMPLETE", OR(K1784="INC", ISBLANK(INDEX(data!O:O, ROW())))), J1784, K1784)</f>
        <v>2025-09-28T18:10:50.056+08</v>
      </c>
      <c r="M1784" s="2">
        <v>45928.0</v>
      </c>
      <c r="N1784" s="2">
        <f t="array" ref="N1784">IF(M1784&lt;&gt;"INC", INDEX(data!M:M, MATCH(B1784, data!D:D, 0)), "")</f>
        <v>0</v>
      </c>
      <c r="O1784" s="2">
        <f t="shared" si="3"/>
        <v>0</v>
      </c>
    </row>
    <row r="1785">
      <c r="A1785" s="2" t="str">
        <f t="shared" si="1"/>
        <v>H030837</v>
      </c>
      <c r="B1785" s="1" t="s">
        <v>8638</v>
      </c>
      <c r="C1785" s="9" t="str">
        <f t="array" ref="C1785">IF(
  AND(
    IFERROR(MATCH(Caseslist!B1785, data!D:D, 0), 0) &gt; 0,
    IFERROR(INDEX(data!N:N, MATCH(Caseslist!B1785, data!D:D, 0)) = 1, FALSE)
  ),
  "COMPLETE",
  "INC"
)</f>
        <v>COMPLETE</v>
      </c>
      <c r="D1785" s="9">
        <f t="array" ref="D1785">IFERROR(INDEX(data!$G:$G,match(Caseslist!B1785,data!$D:$D,0)), "INC")</f>
        <v>896791</v>
      </c>
      <c r="E1785" s="9" t="str">
        <f t="array" ref="E1785">IFERROR(INDEX(data!H:H,match(Caseslist!B1785,data!D:D,0)), "INC")</f>
        <v>Roland A. Bandiola jr_2</v>
      </c>
      <c r="F1785" s="10" t="str">
        <f t="array" ref="F1785">IF(
    OR(
      IFNA(INDEX(data!M:M, MATCH(Caseslist!B1785, data!D:D, 0)), "") = "",
      IFNA(INDEX(data!M:M, MATCH(Caseslist!B1785, data!D:D, 0)), 0) = 0
    ),
    "COMPLETE",
    IF(
      IFNA(INDEX(dataICM!D:D, MATCH(Caseslist!B1785, dataICM!D:D, 0)), "INC") = "INC",
      IFNA(INDEX(dataICM!D:D, MATCH(Caseslist!B1785, dataICM!D:D, 0)), "INC"),
      "COMPLETE"
    )
  )</f>
        <v>COMPLETE</v>
      </c>
      <c r="G1785" s="10" t="str">
        <f t="array" ref="G1785">IF(IFERROR(INDEX(data!L:L,match(Caseslist!B1785,data!D:D,0)),"INC")="","COMPLETE",F1785)</f>
        <v>COMPLETE</v>
      </c>
      <c r="H1785" s="9" t="str">
        <f t="array" ref="H1785">IFERROR(INDEX(dataICM!F:F,match(Caseslist!B1785,dataICM!D:D,0)), "INC")</f>
        <v>INC</v>
      </c>
      <c r="I1785" s="10">
        <f t="shared" si="2"/>
        <v>896791</v>
      </c>
      <c r="J1785" s="9" t="str">
        <f t="array" ref="J1785">IF(
  AND(
    IFERROR(MATCH(B1785, data!D:D, 0), 0) &gt; 0,
    IFERROR(INDEX(data!N:N, MATCH(B1785, data!D:D, 0)) = 1, FALSE)
  ),
  INDEX(data!C:C, MATCH(B1785, data!D:D, 0)),
  "INC"
)</f>
        <v>2025-09-25T14:42:18.495+08</v>
      </c>
      <c r="K1785" s="9" t="str">
        <f t="array" ref="K1785">IFERROR(INDEX(dataICM!C:C,match(Caseslist!B1785,dataICM!D:D,0)), "INC")</f>
        <v>INC</v>
      </c>
      <c r="L1785" s="10" t="str">
        <f t="array" ref="L1785">IF(AND(G1785="COMPLETE", OR(K1785="INC", ISBLANK(INDEX(data!O:O, ROW())))), J1785, K1785)</f>
        <v>2025-09-25T14:42:18.495+08</v>
      </c>
      <c r="M1785" s="2">
        <v>45925.0</v>
      </c>
      <c r="N1785" s="2">
        <f t="array" ref="N1785">IF(M1785&lt;&gt;"INC", INDEX(data!M:M, MATCH(B1785, data!D:D, 0)), "")</f>
        <v>0</v>
      </c>
      <c r="O1785" s="2">
        <f t="shared" si="3"/>
        <v>0</v>
      </c>
    </row>
    <row r="1786">
      <c r="A1786" s="2" t="str">
        <f t="shared" si="1"/>
        <v>H030837</v>
      </c>
      <c r="B1786" s="1" t="s">
        <v>8578</v>
      </c>
      <c r="C1786" s="9" t="str">
        <f t="array" ref="C1786">IF(
  AND(
    IFERROR(MATCH(Caseslist!B1786, data!D:D, 0), 0) &gt; 0,
    IFERROR(INDEX(data!N:N, MATCH(Caseslist!B1786, data!D:D, 0)) = 1, FALSE)
  ),
  "COMPLETE",
  "INC"
)</f>
        <v>COMPLETE</v>
      </c>
      <c r="D1786" s="9" t="str">
        <f t="array" ref="D1786">IFERROR(INDEX(data!$G:$G,match(Caseslist!B1786,data!$D:$D,0)), "INC")</f>
        <v>D1284067</v>
      </c>
      <c r="E1786" s="9" t="str">
        <f t="array" ref="E1786">IFERROR(INDEX(data!H:H,match(Caseslist!B1786,data!D:D,0)), "INC")</f>
        <v>Mariel Del Rio</v>
      </c>
      <c r="F1786" s="10" t="str">
        <f t="array" ref="F1786">IF(
    OR(
      IFNA(INDEX(data!M:M, MATCH(Caseslist!B1786, data!D:D, 0)), "") = "",
      IFNA(INDEX(data!M:M, MATCH(Caseslist!B1786, data!D:D, 0)), 0) = 0
    ),
    "COMPLETE",
    IF(
      IFNA(INDEX(dataICM!D:D, MATCH(Caseslist!B1786, dataICM!D:D, 0)), "INC") = "INC",
      IFNA(INDEX(dataICM!D:D, MATCH(Caseslist!B1786, dataICM!D:D, 0)), "INC"),
      "COMPLETE"
    )
  )</f>
        <v>COMPLETE</v>
      </c>
      <c r="G1786" s="10" t="str">
        <f t="array" ref="G1786">IF(IFERROR(INDEX(data!L:L,match(Caseslist!B1786,data!D:D,0)),"INC")="","COMPLETE",F1786)</f>
        <v>COMPLETE</v>
      </c>
      <c r="H1786" s="9" t="str">
        <f t="array" ref="H1786">IFERROR(INDEX(dataICM!F:F,match(Caseslist!B1786,dataICM!D:D,0)), "INC")</f>
        <v>INC</v>
      </c>
      <c r="I1786" s="10" t="str">
        <f t="shared" si="2"/>
        <v>D1284067</v>
      </c>
      <c r="J1786" s="9" t="str">
        <f t="array" ref="J1786">IF(
  AND(
    IFERROR(MATCH(B1786, data!D:D, 0), 0) &gt; 0,
    IFERROR(INDEX(data!N:N, MATCH(B1786, data!D:D, 0)) = 1, FALSE)
  ),
  INDEX(data!C:C, MATCH(B1786, data!D:D, 0)),
  "INC"
)</f>
        <v>2025-09-25T17:41:29.935+08</v>
      </c>
      <c r="K1786" s="9" t="str">
        <f t="array" ref="K1786">IFERROR(INDEX(dataICM!C:C,match(Caseslist!B1786,dataICM!D:D,0)), "INC")</f>
        <v>INC</v>
      </c>
      <c r="L1786" s="10" t="str">
        <f t="array" ref="L1786">IF(AND(G1786="COMPLETE", OR(K1786="INC", ISBLANK(INDEX(data!O:O, ROW())))), J1786, K1786)</f>
        <v>2025-09-25T17:41:29.935+08</v>
      </c>
      <c r="M1786" s="2">
        <v>45925.0</v>
      </c>
      <c r="N1786" s="2">
        <f t="array" ref="N1786">IF(M1786&lt;&gt;"INC", INDEX(data!M:M, MATCH(B1786, data!D:D, 0)), "")</f>
        <v>0</v>
      </c>
      <c r="O1786" s="2">
        <f t="shared" si="3"/>
        <v>0</v>
      </c>
    </row>
    <row r="1787">
      <c r="A1787" s="2" t="str">
        <f t="shared" si="1"/>
        <v>H030837</v>
      </c>
      <c r="B1787" s="1" t="s">
        <v>8588</v>
      </c>
      <c r="C1787" s="9" t="str">
        <f t="array" ref="C1787">IF(
  AND(
    IFERROR(MATCH(Caseslist!B1787, data!D:D, 0), 0) &gt; 0,
    IFERROR(INDEX(data!N:N, MATCH(Caseslist!B1787, data!D:D, 0)) = 1, FALSE)
  ),
  "COMPLETE",
  "INC"
)</f>
        <v>COMPLETE</v>
      </c>
      <c r="D1787" s="9" t="str">
        <f t="array" ref="D1787">IFERROR(INDEX(data!$G:$G,match(Caseslist!B1787,data!$D:$D,0)), "INC")</f>
        <v>C7502931</v>
      </c>
      <c r="E1787" s="9" t="str">
        <f t="array" ref="E1787">IFERROR(INDEX(data!H:H,match(Caseslist!B1787,data!D:D,0)), "INC")</f>
        <v>Jenny Lou Toles Estacio</v>
      </c>
      <c r="F1787" s="10" t="str">
        <f t="array" ref="F1787">IF(
    OR(
      IFNA(INDEX(data!M:M, MATCH(Caseslist!B1787, data!D:D, 0)), "") = "",
      IFNA(INDEX(data!M:M, MATCH(Caseslist!B1787, data!D:D, 0)), 0) = 0
    ),
    "COMPLETE",
    IF(
      IFNA(INDEX(dataICM!D:D, MATCH(Caseslist!B1787, dataICM!D:D, 0)), "INC") = "INC",
      IFNA(INDEX(dataICM!D:D, MATCH(Caseslist!B1787, dataICM!D:D, 0)), "INC"),
      "COMPLETE"
    )
  )</f>
        <v>COMPLETE</v>
      </c>
      <c r="G1787" s="10" t="str">
        <f t="array" ref="G1787">IF(IFERROR(INDEX(data!L:L,match(Caseslist!B1787,data!D:D,0)),"INC")="","COMPLETE",F1787)</f>
        <v>COMPLETE</v>
      </c>
      <c r="H1787" s="9" t="str">
        <f t="array" ref="H1787">IFERROR(INDEX(dataICM!F:F,match(Caseslist!B1787,dataICM!D:D,0)), "INC")</f>
        <v>INC</v>
      </c>
      <c r="I1787" s="10" t="str">
        <f t="shared" si="2"/>
        <v>C7502931</v>
      </c>
      <c r="J1787" s="9" t="str">
        <f t="array" ref="J1787">IF(
  AND(
    IFERROR(MATCH(B1787, data!D:D, 0), 0) &gt; 0,
    IFERROR(INDEX(data!N:N, MATCH(B1787, data!D:D, 0)) = 1, FALSE)
  ),
  INDEX(data!C:C, MATCH(B1787, data!D:D, 0)),
  "INC"
)</f>
        <v>2025-09-25T14:38:47.402+08</v>
      </c>
      <c r="K1787" s="9" t="str">
        <f t="array" ref="K1787">IFERROR(INDEX(dataICM!C:C,match(Caseslist!B1787,dataICM!D:D,0)), "INC")</f>
        <v>INC</v>
      </c>
      <c r="L1787" s="10" t="str">
        <f t="array" ref="L1787">IF(AND(G1787="COMPLETE", OR(K1787="INC", ISBLANK(INDEX(data!O:O, ROW())))), J1787, K1787)</f>
        <v>2025-09-25T14:38:47.402+08</v>
      </c>
      <c r="M1787" s="2">
        <v>45925.0</v>
      </c>
      <c r="N1787" s="2">
        <f t="array" ref="N1787">IF(M1787&lt;&gt;"INC", INDEX(data!M:M, MATCH(B1787, data!D:D, 0)), "")</f>
        <v>0</v>
      </c>
      <c r="O1787" s="2">
        <f t="shared" si="3"/>
        <v>0</v>
      </c>
    </row>
    <row r="1788">
      <c r="A1788" s="2" t="str">
        <f t="shared" si="1"/>
        <v>H030837</v>
      </c>
      <c r="B1788" s="1" t="s">
        <v>8478</v>
      </c>
      <c r="C1788" s="9" t="str">
        <f t="array" ref="C1788">IF(
  AND(
    IFERROR(MATCH(Caseslist!B1788, data!D:D, 0), 0) &gt; 0,
    IFERROR(INDEX(data!N:N, MATCH(Caseslist!B1788, data!D:D, 0)) = 1, FALSE)
  ),
  "COMPLETE",
  "INC"
)</f>
        <v>COMPLETE</v>
      </c>
      <c r="D1788" s="9" t="str">
        <f t="array" ref="D1788">IFERROR(INDEX(data!$G:$G,match(Caseslist!B1788,data!$D:$D,0)), "INC")</f>
        <v>B8193462</v>
      </c>
      <c r="E1788" s="9" t="str">
        <f t="array" ref="E1788">IFERROR(INDEX(data!H:H,match(Caseslist!B1788,data!D:D,0)), "INC")</f>
        <v>Mark Lorens Mendoza Gilongo</v>
      </c>
      <c r="F1788" s="10" t="str">
        <f t="array" ref="F1788">IF(
    OR(
      IFNA(INDEX(data!M:M, MATCH(Caseslist!B1788, data!D:D, 0)), "") = "",
      IFNA(INDEX(data!M:M, MATCH(Caseslist!B1788, data!D:D, 0)), 0) = 0
    ),
    "COMPLETE",
    IF(
      IFNA(INDEX(dataICM!D:D, MATCH(Caseslist!B1788, dataICM!D:D, 0)), "INC") = "INC",
      IFNA(INDEX(dataICM!D:D, MATCH(Caseslist!B1788, dataICM!D:D, 0)), "INC"),
      "COMPLETE"
    )
  )</f>
        <v>COMPLETE</v>
      </c>
      <c r="G1788" s="10" t="str">
        <f t="array" ref="G1788">IF(IFERROR(INDEX(data!L:L,match(Caseslist!B1788,data!D:D,0)),"INC")="","COMPLETE",F1788)</f>
        <v>COMPLETE</v>
      </c>
      <c r="H1788" s="9" t="str">
        <f t="array" ref="H1788">IFERROR(INDEX(dataICM!F:F,match(Caseslist!B1788,dataICM!D:D,0)), "INC")</f>
        <v>INC</v>
      </c>
      <c r="I1788" s="10" t="str">
        <f t="shared" si="2"/>
        <v>B8193462</v>
      </c>
      <c r="J1788" s="9" t="str">
        <f t="array" ref="J1788">IF(
  AND(
    IFERROR(MATCH(B1788, data!D:D, 0), 0) &gt; 0,
    IFERROR(INDEX(data!N:N, MATCH(B1788, data!D:D, 0)) = 1, FALSE)
  ),
  INDEX(data!C:C, MATCH(B1788, data!D:D, 0)),
  "INC"
)</f>
        <v>2025-09-25T14:41:01.077+08</v>
      </c>
      <c r="K1788" s="9" t="str">
        <f t="array" ref="K1788">IFERROR(INDEX(dataICM!C:C,match(Caseslist!B1788,dataICM!D:D,0)), "INC")</f>
        <v>INC</v>
      </c>
      <c r="L1788" s="10" t="str">
        <f t="array" ref="L1788">IF(AND(G1788="COMPLETE", OR(K1788="INC", ISBLANK(INDEX(data!O:O, ROW())))), J1788, K1788)</f>
        <v>2025-09-25T14:41:01.077+08</v>
      </c>
      <c r="M1788" s="2">
        <v>45925.0</v>
      </c>
      <c r="N1788" s="2">
        <f t="array" ref="N1788">IF(M1788&lt;&gt;"INC", INDEX(data!M:M, MATCH(B1788, data!D:D, 0)), "")</f>
        <v>0</v>
      </c>
      <c r="O1788" s="2">
        <f t="shared" si="3"/>
        <v>0</v>
      </c>
    </row>
    <row r="1789">
      <c r="A1789" s="2" t="str">
        <f t="shared" si="1"/>
        <v>H030837</v>
      </c>
      <c r="B1789" s="1" t="s">
        <v>8563</v>
      </c>
      <c r="C1789" s="9" t="str">
        <f t="array" ref="C1789">IF(
  AND(
    IFERROR(MATCH(Caseslist!B1789, data!D:D, 0), 0) &gt; 0,
    IFERROR(INDEX(data!N:N, MATCH(Caseslist!B1789, data!D:D, 0)) = 1, FALSE)
  ),
  "COMPLETE",
  "INC"
)</f>
        <v>COMPLETE</v>
      </c>
      <c r="D1789" s="9" t="str">
        <f t="array" ref="D1789">IFERROR(INDEX(data!$G:$G,match(Caseslist!B1789,data!$D:$D,0)), "INC")</f>
        <v>D1284067</v>
      </c>
      <c r="E1789" s="9" t="str">
        <f t="array" ref="E1789">IFERROR(INDEX(data!H:H,match(Caseslist!B1789,data!D:D,0)), "INC")</f>
        <v>Mariel Del Rio</v>
      </c>
      <c r="F1789" s="10" t="str">
        <f t="array" ref="F1789">IF(
    OR(
      IFNA(INDEX(data!M:M, MATCH(Caseslist!B1789, data!D:D, 0)), "") = "",
      IFNA(INDEX(data!M:M, MATCH(Caseslist!B1789, data!D:D, 0)), 0) = 0
    ),
    "COMPLETE",
    IF(
      IFNA(INDEX(dataICM!D:D, MATCH(Caseslist!B1789, dataICM!D:D, 0)), "INC") = "INC",
      IFNA(INDEX(dataICM!D:D, MATCH(Caseslist!B1789, dataICM!D:D, 0)), "INC"),
      "COMPLETE"
    )
  )</f>
        <v>COMPLETE</v>
      </c>
      <c r="G1789" s="10" t="str">
        <f t="array" ref="G1789">IF(IFERROR(INDEX(data!L:L,match(Caseslist!B1789,data!D:D,0)),"INC")="","COMPLETE",F1789)</f>
        <v>COMPLETE</v>
      </c>
      <c r="H1789" s="9" t="str">
        <f t="array" ref="H1789">IFERROR(INDEX(dataICM!F:F,match(Caseslist!B1789,dataICM!D:D,0)), "INC")</f>
        <v>INC</v>
      </c>
      <c r="I1789" s="10" t="str">
        <f t="shared" si="2"/>
        <v>D1284067</v>
      </c>
      <c r="J1789" s="9" t="str">
        <f t="array" ref="J1789">IF(
  AND(
    IFERROR(MATCH(B1789, data!D:D, 0), 0) &gt; 0,
    IFERROR(INDEX(data!N:N, MATCH(B1789, data!D:D, 0)) = 1, FALSE)
  ),
  INDEX(data!C:C, MATCH(B1789, data!D:D, 0)),
  "INC"
)</f>
        <v>2025-09-25T10:45:08.747+08</v>
      </c>
      <c r="K1789" s="9" t="str">
        <f t="array" ref="K1789">IFERROR(INDEX(dataICM!C:C,match(Caseslist!B1789,dataICM!D:D,0)), "INC")</f>
        <v>INC</v>
      </c>
      <c r="L1789" s="10" t="str">
        <f t="array" ref="L1789">IF(AND(G1789="COMPLETE", OR(K1789="INC", ISBLANK(INDEX(data!O:O, ROW())))), J1789, K1789)</f>
        <v>2025-09-25T10:45:08.747+08</v>
      </c>
      <c r="M1789" s="2">
        <v>45925.0</v>
      </c>
      <c r="N1789" s="2">
        <f t="array" ref="N1789">IF(M1789&lt;&gt;"INC", INDEX(data!M:M, MATCH(B1789, data!D:D, 0)), "")</f>
        <v>0</v>
      </c>
      <c r="O1789" s="2">
        <f t="shared" si="3"/>
        <v>0</v>
      </c>
    </row>
    <row r="1790">
      <c r="A1790" s="2" t="str">
        <f t="shared" si="1"/>
        <v>H030837</v>
      </c>
      <c r="B1790" s="1" t="s">
        <v>8633</v>
      </c>
      <c r="C1790" s="9" t="str">
        <f t="array" ref="C1790">IF(
  AND(
    IFERROR(MATCH(Caseslist!B1790, data!D:D, 0), 0) &gt; 0,
    IFERROR(INDEX(data!N:N, MATCH(Caseslist!B1790, data!D:D, 0)) = 1, FALSE)
  ),
  "COMPLETE",
  "INC"
)</f>
        <v>COMPLETE</v>
      </c>
      <c r="D1790" s="9">
        <f t="array" ref="D1790">IFERROR(INDEX(data!$G:$G,match(Caseslist!B1790,data!$D:$D,0)), "INC")</f>
        <v>896791</v>
      </c>
      <c r="E1790" s="9" t="str">
        <f t="array" ref="E1790">IFERROR(INDEX(data!H:H,match(Caseslist!B1790,data!D:D,0)), "INC")</f>
        <v>Roland A. Bandiola jr_2</v>
      </c>
      <c r="F1790" s="10" t="str">
        <f t="array" ref="F1790">IF(
    OR(
      IFNA(INDEX(data!M:M, MATCH(Caseslist!B1790, data!D:D, 0)), "") = "",
      IFNA(INDEX(data!M:M, MATCH(Caseslist!B1790, data!D:D, 0)), 0) = 0
    ),
    "COMPLETE",
    IF(
      IFNA(INDEX(dataICM!D:D, MATCH(Caseslist!B1790, dataICM!D:D, 0)), "INC") = "INC",
      IFNA(INDEX(dataICM!D:D, MATCH(Caseslist!B1790, dataICM!D:D, 0)), "INC"),
      "COMPLETE"
    )
  )</f>
        <v>COMPLETE</v>
      </c>
      <c r="G1790" s="10" t="str">
        <f t="array" ref="G1790">IF(IFERROR(INDEX(data!L:L,match(Caseslist!B1790,data!D:D,0)),"INC")="","COMPLETE",F1790)</f>
        <v>COMPLETE</v>
      </c>
      <c r="H1790" s="9" t="str">
        <f t="array" ref="H1790">IFERROR(INDEX(dataICM!F:F,match(Caseslist!B1790,dataICM!D:D,0)), "INC")</f>
        <v>INC</v>
      </c>
      <c r="I1790" s="10">
        <f t="shared" si="2"/>
        <v>896791</v>
      </c>
      <c r="J1790" s="9" t="str">
        <f t="array" ref="J1790">IF(
  AND(
    IFERROR(MATCH(B1790, data!D:D, 0), 0) &gt; 0,
    IFERROR(INDEX(data!N:N, MATCH(B1790, data!D:D, 0)) = 1, FALSE)
  ),
  INDEX(data!C:C, MATCH(B1790, data!D:D, 0)),
  "INC"
)</f>
        <v>2025-09-25T11:27:04.646+08</v>
      </c>
      <c r="K1790" s="9" t="str">
        <f t="array" ref="K1790">IFERROR(INDEX(dataICM!C:C,match(Caseslist!B1790,dataICM!D:D,0)), "INC")</f>
        <v>INC</v>
      </c>
      <c r="L1790" s="10" t="str">
        <f t="array" ref="L1790">IF(AND(G1790="COMPLETE", OR(K1790="INC", ISBLANK(INDEX(data!O:O, ROW())))), J1790, K1790)</f>
        <v>2025-09-25T11:27:04.646+08</v>
      </c>
      <c r="M1790" s="2">
        <v>45925.0</v>
      </c>
      <c r="N1790" s="2">
        <f t="array" ref="N1790">IF(M1790&lt;&gt;"INC", INDEX(data!M:M, MATCH(B1790, data!D:D, 0)), "")</f>
        <v>0</v>
      </c>
      <c r="O1790" s="2">
        <f t="shared" si="3"/>
        <v>0</v>
      </c>
    </row>
    <row r="1791">
      <c r="A1791" s="2" t="str">
        <f t="shared" si="1"/>
        <v>H030837</v>
      </c>
      <c r="B1791" s="1" t="s">
        <v>8483</v>
      </c>
      <c r="C1791" s="9" t="str">
        <f t="array" ref="C1791">IF(
  AND(
    IFERROR(MATCH(Caseslist!B1791, data!D:D, 0), 0) &gt; 0,
    IFERROR(INDEX(data!N:N, MATCH(Caseslist!B1791, data!D:D, 0)) = 1, FALSE)
  ),
  "COMPLETE",
  "INC"
)</f>
        <v>COMPLETE</v>
      </c>
      <c r="D1791" s="9" t="str">
        <f t="array" ref="D1791">IFERROR(INDEX(data!$G:$G,match(Caseslist!B1791,data!$D:$D,0)), "INC")</f>
        <v>B8193462</v>
      </c>
      <c r="E1791" s="9" t="str">
        <f t="array" ref="E1791">IFERROR(INDEX(data!H:H,match(Caseslist!B1791,data!D:D,0)), "INC")</f>
        <v>Mark Lorens Mendoza Gilongo</v>
      </c>
      <c r="F1791" s="10" t="str">
        <f t="array" ref="F1791">IF(
    OR(
      IFNA(INDEX(data!M:M, MATCH(Caseslist!B1791, data!D:D, 0)), "") = "",
      IFNA(INDEX(data!M:M, MATCH(Caseslist!B1791, data!D:D, 0)), 0) = 0
    ),
    "COMPLETE",
    IF(
      IFNA(INDEX(dataICM!D:D, MATCH(Caseslist!B1791, dataICM!D:D, 0)), "INC") = "INC",
      IFNA(INDEX(dataICM!D:D, MATCH(Caseslist!B1791, dataICM!D:D, 0)), "INC"),
      "COMPLETE"
    )
  )</f>
        <v>COMPLETE</v>
      </c>
      <c r="G1791" s="10" t="str">
        <f t="array" ref="G1791">IF(IFERROR(INDEX(data!L:L,match(Caseslist!B1791,data!D:D,0)),"INC")="","COMPLETE",F1791)</f>
        <v>COMPLETE</v>
      </c>
      <c r="H1791" s="9" t="str">
        <f t="array" ref="H1791">IFERROR(INDEX(dataICM!F:F,match(Caseslist!B1791,dataICM!D:D,0)), "INC")</f>
        <v>INC</v>
      </c>
      <c r="I1791" s="10" t="str">
        <f t="shared" si="2"/>
        <v>B8193462</v>
      </c>
      <c r="J1791" s="9" t="str">
        <f t="array" ref="J1791">IF(
  AND(
    IFERROR(MATCH(B1791, data!D:D, 0), 0) &gt; 0,
    IFERROR(INDEX(data!N:N, MATCH(B1791, data!D:D, 0)) = 1, FALSE)
  ),
  INDEX(data!C:C, MATCH(B1791, data!D:D, 0)),
  "INC"
)</f>
        <v>2025-09-25T15:33:23.745+08</v>
      </c>
      <c r="K1791" s="9" t="str">
        <f t="array" ref="K1791">IFERROR(INDEX(dataICM!C:C,match(Caseslist!B1791,dataICM!D:D,0)), "INC")</f>
        <v>INC</v>
      </c>
      <c r="L1791" s="10" t="str">
        <f t="array" ref="L1791">IF(AND(G1791="COMPLETE", OR(K1791="INC", ISBLANK(INDEX(data!O:O, ROW())))), J1791, K1791)</f>
        <v>2025-09-25T15:33:23.745+08</v>
      </c>
      <c r="M1791" s="2">
        <v>45925.0</v>
      </c>
      <c r="N1791" s="2">
        <f t="array" ref="N1791">IF(M1791&lt;&gt;"INC", INDEX(data!M:M, MATCH(B1791, data!D:D, 0)), "")</f>
        <v>0</v>
      </c>
      <c r="O1791" s="2">
        <f t="shared" si="3"/>
        <v>0</v>
      </c>
    </row>
    <row r="1792">
      <c r="A1792" s="2" t="str">
        <f t="shared" si="1"/>
        <v>H030837</v>
      </c>
      <c r="B1792" s="1" t="s">
        <v>8648</v>
      </c>
      <c r="C1792" s="9" t="str">
        <f t="array" ref="C1792">IF(
  AND(
    IFERROR(MATCH(Caseslist!B1792, data!D:D, 0), 0) &gt; 0,
    IFERROR(INDEX(data!N:N, MATCH(Caseslist!B1792, data!D:D, 0)) = 1, FALSE)
  ),
  "COMPLETE",
  "INC"
)</f>
        <v>COMPLETE</v>
      </c>
      <c r="D1792" s="9" t="str">
        <f t="array" ref="D1792">IFERROR(INDEX(data!$G:$G,match(Caseslist!B1792,data!$D:$D,0)), "INC")</f>
        <v>C7502931</v>
      </c>
      <c r="E1792" s="9" t="str">
        <f t="array" ref="E1792">IFERROR(INDEX(data!H:H,match(Caseslist!B1792,data!D:D,0)), "INC")</f>
        <v>Jenny Lou Toles Estacio</v>
      </c>
      <c r="F1792" s="10" t="str">
        <f t="array" ref="F1792">IF(
    OR(
      IFNA(INDEX(data!M:M, MATCH(Caseslist!B1792, data!D:D, 0)), "") = "",
      IFNA(INDEX(data!M:M, MATCH(Caseslist!B1792, data!D:D, 0)), 0) = 0
    ),
    "COMPLETE",
    IF(
      IFNA(INDEX(dataICM!D:D, MATCH(Caseslist!B1792, dataICM!D:D, 0)), "INC") = "INC",
      IFNA(INDEX(dataICM!D:D, MATCH(Caseslist!B1792, dataICM!D:D, 0)), "INC"),
      "COMPLETE"
    )
  )</f>
        <v>COMPLETE</v>
      </c>
      <c r="G1792" s="10" t="str">
        <f t="array" ref="G1792">IF(IFERROR(INDEX(data!L:L,match(Caseslist!B1792,data!D:D,0)),"INC")="","COMPLETE",F1792)</f>
        <v>COMPLETE</v>
      </c>
      <c r="H1792" s="9" t="str">
        <f t="array" ref="H1792">IFERROR(INDEX(dataICM!F:F,match(Caseslist!B1792,dataICM!D:D,0)), "INC")</f>
        <v>INC</v>
      </c>
      <c r="I1792" s="10" t="str">
        <f t="shared" si="2"/>
        <v>C7502931</v>
      </c>
      <c r="J1792" s="9" t="str">
        <f t="array" ref="J1792">IF(
  AND(
    IFERROR(MATCH(B1792, data!D:D, 0), 0) &gt; 0,
    IFERROR(INDEX(data!N:N, MATCH(B1792, data!D:D, 0)) = 1, FALSE)
  ),
  INDEX(data!C:C, MATCH(B1792, data!D:D, 0)),
  "INC"
)</f>
        <v>2025-10-03T19:45:06.118+08</v>
      </c>
      <c r="K1792" s="9" t="str">
        <f t="array" ref="K1792">IFERROR(INDEX(dataICM!C:C,match(Caseslist!B1792,dataICM!D:D,0)), "INC")</f>
        <v>INC</v>
      </c>
      <c r="L1792" s="10" t="str">
        <f t="array" ref="L1792">IF(AND(G1792="COMPLETE", OR(K1792="INC", ISBLANK(INDEX(data!O:O, ROW())))), J1792, K1792)</f>
        <v>2025-10-03T19:45:06.118+08</v>
      </c>
      <c r="M1792" s="2">
        <v>45933.0</v>
      </c>
      <c r="N1792" s="2">
        <f t="array" ref="N1792">IF(M1792&lt;&gt;"INC", INDEX(data!M:M, MATCH(B1792, data!D:D, 0)), "")</f>
        <v>0</v>
      </c>
      <c r="O1792" s="2">
        <f t="shared" si="3"/>
        <v>0</v>
      </c>
    </row>
    <row r="1793">
      <c r="A1793" s="2" t="str">
        <f t="shared" si="1"/>
        <v>H030837</v>
      </c>
      <c r="B1793" s="1" t="s">
        <v>8593</v>
      </c>
      <c r="C1793" s="9" t="str">
        <f t="array" ref="C1793">IF(
  AND(
    IFERROR(MATCH(Caseslist!B1793, data!D:D, 0), 0) &gt; 0,
    IFERROR(INDEX(data!N:N, MATCH(Caseslist!B1793, data!D:D, 0)) = 1, FALSE)
  ),
  "COMPLETE",
  "INC"
)</f>
        <v>COMPLETE</v>
      </c>
      <c r="D1793" s="9" t="str">
        <f t="array" ref="D1793">IFERROR(INDEX(data!$G:$G,match(Caseslist!B1793,data!$D:$D,0)), "INC")</f>
        <v>C7502931</v>
      </c>
      <c r="E1793" s="9" t="str">
        <f t="array" ref="E1793">IFERROR(INDEX(data!H:H,match(Caseslist!B1793,data!D:D,0)), "INC")</f>
        <v>Jenny Lou Toles Estacio</v>
      </c>
      <c r="F1793" s="10" t="str">
        <f t="array" ref="F1793">IF(
    OR(
      IFNA(INDEX(data!M:M, MATCH(Caseslist!B1793, data!D:D, 0)), "") = "",
      IFNA(INDEX(data!M:M, MATCH(Caseslist!B1793, data!D:D, 0)), 0) = 0
    ),
    "COMPLETE",
    IF(
      IFNA(INDEX(dataICM!D:D, MATCH(Caseslist!B1793, dataICM!D:D, 0)), "INC") = "INC",
      IFNA(INDEX(dataICM!D:D, MATCH(Caseslist!B1793, dataICM!D:D, 0)), "INC"),
      "COMPLETE"
    )
  )</f>
        <v>COMPLETE</v>
      </c>
      <c r="G1793" s="10" t="str">
        <f t="array" ref="G1793">IF(IFERROR(INDEX(data!L:L,match(Caseslist!B1793,data!D:D,0)),"INC")="","COMPLETE",F1793)</f>
        <v>COMPLETE</v>
      </c>
      <c r="H1793" s="9" t="str">
        <f t="array" ref="H1793">IFERROR(INDEX(dataICM!F:F,match(Caseslist!B1793,dataICM!D:D,0)), "INC")</f>
        <v>INC</v>
      </c>
      <c r="I1793" s="10" t="str">
        <f t="shared" si="2"/>
        <v>C7502931</v>
      </c>
      <c r="J1793" s="9" t="str">
        <f t="array" ref="J1793">IF(
  AND(
    IFERROR(MATCH(B1793, data!D:D, 0), 0) &gt; 0,
    IFERROR(INDEX(data!N:N, MATCH(B1793, data!D:D, 0)) = 1, FALSE)
  ),
  INDEX(data!C:C, MATCH(B1793, data!D:D, 0)),
  "INC"
)</f>
        <v>2025-09-25T14:41:27.749+08</v>
      </c>
      <c r="K1793" s="9" t="str">
        <f t="array" ref="K1793">IFERROR(INDEX(dataICM!C:C,match(Caseslist!B1793,dataICM!D:D,0)), "INC")</f>
        <v>INC</v>
      </c>
      <c r="L1793" s="10" t="str">
        <f t="array" ref="L1793">IF(AND(G1793="COMPLETE", OR(K1793="INC", ISBLANK(INDEX(data!O:O, ROW())))), J1793, K1793)</f>
        <v>2025-09-25T14:41:27.749+08</v>
      </c>
      <c r="M1793" s="2">
        <v>45925.0</v>
      </c>
      <c r="N1793" s="2">
        <f t="array" ref="N1793">IF(M1793&lt;&gt;"INC", INDEX(data!M:M, MATCH(B1793, data!D:D, 0)), "")</f>
        <v>0</v>
      </c>
      <c r="O1793" s="2">
        <f t="shared" si="3"/>
        <v>0</v>
      </c>
    </row>
    <row r="1794">
      <c r="A1794" s="2" t="str">
        <f t="shared" si="1"/>
        <v>H030837</v>
      </c>
      <c r="B1794" s="1" t="s">
        <v>8598</v>
      </c>
      <c r="C1794" s="9" t="str">
        <f t="array" ref="C1794">IF(
  AND(
    IFERROR(MATCH(Caseslist!B1794, data!D:D, 0), 0) &gt; 0,
    IFERROR(INDEX(data!N:N, MATCH(Caseslist!B1794, data!D:D, 0)) = 1, FALSE)
  ),
  "COMPLETE",
  "INC"
)</f>
        <v>COMPLETE</v>
      </c>
      <c r="D1794" s="9">
        <f t="array" ref="D1794">IFERROR(INDEX(data!$G:$G,match(Caseslist!B1794,data!$D:$D,0)), "INC")</f>
        <v>896791</v>
      </c>
      <c r="E1794" s="9" t="str">
        <f t="array" ref="E1794">IFERROR(INDEX(data!H:H,match(Caseslist!B1794,data!D:D,0)), "INC")</f>
        <v>Roland A. Bandiola jr_2</v>
      </c>
      <c r="F1794" s="10" t="str">
        <f t="array" ref="F1794">IF(
    OR(
      IFNA(INDEX(data!M:M, MATCH(Caseslist!B1794, data!D:D, 0)), "") = "",
      IFNA(INDEX(data!M:M, MATCH(Caseslist!B1794, data!D:D, 0)), 0) = 0
    ),
    "COMPLETE",
    IF(
      IFNA(INDEX(dataICM!D:D, MATCH(Caseslist!B1794, dataICM!D:D, 0)), "INC") = "INC",
      IFNA(INDEX(dataICM!D:D, MATCH(Caseslist!B1794, dataICM!D:D, 0)), "INC"),
      "COMPLETE"
    )
  )</f>
        <v>COMPLETE</v>
      </c>
      <c r="G1794" s="10" t="str">
        <f t="array" ref="G1794">IF(IFERROR(INDEX(data!L:L,match(Caseslist!B1794,data!D:D,0)),"INC")="","COMPLETE",F1794)</f>
        <v>COMPLETE</v>
      </c>
      <c r="H1794" s="9" t="str">
        <f t="array" ref="H1794">IFERROR(INDEX(dataICM!F:F,match(Caseslist!B1794,dataICM!D:D,0)), "INC")</f>
        <v>INC</v>
      </c>
      <c r="I1794" s="10">
        <f t="shared" si="2"/>
        <v>896791</v>
      </c>
      <c r="J1794" s="9" t="str">
        <f t="array" ref="J1794">IF(
  AND(
    IFERROR(MATCH(B1794, data!D:D, 0), 0) &gt; 0,
    IFERROR(INDEX(data!N:N, MATCH(B1794, data!D:D, 0)) = 1, FALSE)
  ),
  INDEX(data!C:C, MATCH(B1794, data!D:D, 0)),
  "INC"
)</f>
        <v>2025-09-28T18:58:25.383+08</v>
      </c>
      <c r="K1794" s="9" t="str">
        <f t="array" ref="K1794">IFERROR(INDEX(dataICM!C:C,match(Caseslist!B1794,dataICM!D:D,0)), "INC")</f>
        <v>INC</v>
      </c>
      <c r="L1794" s="10" t="str">
        <f t="array" ref="L1794">IF(AND(G1794="COMPLETE", OR(K1794="INC", ISBLANK(INDEX(data!O:O, ROW())))), J1794, K1794)</f>
        <v>2025-09-28T18:58:25.383+08</v>
      </c>
      <c r="M1794" s="2">
        <v>45928.0</v>
      </c>
      <c r="N1794" s="2">
        <f t="array" ref="N1794">IF(M1794&lt;&gt;"INC", INDEX(data!M:M, MATCH(B1794, data!D:D, 0)), "")</f>
        <v>0</v>
      </c>
      <c r="O1794" s="2">
        <f t="shared" si="3"/>
        <v>0</v>
      </c>
    </row>
    <row r="1795">
      <c r="A1795" s="2" t="str">
        <f t="shared" si="1"/>
        <v>H030844</v>
      </c>
      <c r="B1795" s="1" t="s">
        <v>2665</v>
      </c>
      <c r="C1795" s="9" t="str">
        <f t="array" ref="C1795">IF(
  AND(
    IFERROR(MATCH(Caseslist!B1795, data!D:D, 0), 0) &gt; 0,
    IFERROR(INDEX(data!N:N, MATCH(Caseslist!B1795, data!D:D, 0)) = 1, FALSE)
  ),
  "COMPLETE",
  "INC"
)</f>
        <v>COMPLETE</v>
      </c>
      <c r="D1795" s="9" t="str">
        <f t="array" ref="D1795">IFERROR(INDEX(data!$G:$G,match(Caseslist!B1795,data!$D:$D,0)), "INC")</f>
        <v>H2846135</v>
      </c>
      <c r="E1795" s="9" t="str">
        <f t="array" ref="E1795">IFERROR(INDEX(data!H:H,match(Caseslist!B1795,data!D:D,0)), "INC")</f>
        <v>Annalou Empanado Encontro</v>
      </c>
      <c r="F1795" s="10" t="str">
        <f t="array" ref="F1795">IF(
    OR(
      IFNA(INDEX(data!M:M, MATCH(Caseslist!B1795, data!D:D, 0)), "") = "",
      IFNA(INDEX(data!M:M, MATCH(Caseslist!B1795, data!D:D, 0)), 0) = 0
    ),
    "COMPLETE",
    IF(
      IFNA(INDEX(dataICM!D:D, MATCH(Caseslist!B1795, dataICM!D:D, 0)), "INC") = "INC",
      IFNA(INDEX(dataICM!D:D, MATCH(Caseslist!B1795, dataICM!D:D, 0)), "INC"),
      "COMPLETE"
    )
  )</f>
        <v>COMPLETE</v>
      </c>
      <c r="G1795" s="10" t="str">
        <f t="array" ref="G1795">IF(IFERROR(INDEX(data!L:L,match(Caseslist!B1795,data!D:D,0)),"INC")="","COMPLETE",F1795)</f>
        <v>COMPLETE</v>
      </c>
      <c r="H1795" s="9" t="str">
        <f t="array" ref="H1795">IFERROR(INDEX(dataICM!F:F,match(Caseslist!B1795,dataICM!D:D,0)), "INC")</f>
        <v>INC</v>
      </c>
      <c r="I1795" s="10" t="str">
        <f t="shared" si="2"/>
        <v>H2846135</v>
      </c>
      <c r="J1795" s="9" t="str">
        <f t="array" ref="J1795">IF(
  AND(
    IFERROR(MATCH(B1795, data!D:D, 0), 0) &gt; 0,
    IFERROR(INDEX(data!N:N, MATCH(B1795, data!D:D, 0)) = 1, FALSE)
  ),
  INDEX(data!C:C, MATCH(B1795, data!D:D, 0)),
  "INC"
)</f>
        <v>2025-09-02T14:53:46.021+08</v>
      </c>
      <c r="K1795" s="9" t="str">
        <f t="array" ref="K1795">IFERROR(INDEX(dataICM!C:C,match(Caseslist!B1795,dataICM!D:D,0)), "INC")</f>
        <v>INC</v>
      </c>
      <c r="L1795" s="10" t="str">
        <f t="array" ref="L1795">IF(AND(G1795="COMPLETE", OR(K1795="INC", ISBLANK(INDEX(data!O:O, ROW())))), J1795, K1795)</f>
        <v>2025-09-02T14:53:46.021+08</v>
      </c>
      <c r="M1795" s="2">
        <v>45902.0</v>
      </c>
      <c r="N1795" s="2">
        <f t="array" ref="N1795">IF(M1795&lt;&gt;"INC", INDEX(data!M:M, MATCH(B1795, data!D:D, 0)), "")</f>
        <v>0</v>
      </c>
      <c r="O1795" s="2">
        <f t="shared" si="3"/>
        <v>0</v>
      </c>
    </row>
    <row r="1796">
      <c r="A1796" s="2" t="str">
        <f t="shared" si="1"/>
        <v>H030844</v>
      </c>
      <c r="B1796" s="1" t="s">
        <v>2650</v>
      </c>
      <c r="C1796" s="9" t="str">
        <f t="array" ref="C1796">IF(
  AND(
    IFERROR(MATCH(Caseslist!B1796, data!D:D, 0), 0) &gt; 0,
    IFERROR(INDEX(data!N:N, MATCH(Caseslist!B1796, data!D:D, 0)) = 1, FALSE)
  ),
  "COMPLETE",
  "INC"
)</f>
        <v>COMPLETE</v>
      </c>
      <c r="D1796" s="9" t="str">
        <f t="array" ref="D1796">IFERROR(INDEX(data!$G:$G,match(Caseslist!B1796,data!$D:$D,0)), "INC")</f>
        <v>H2846135</v>
      </c>
      <c r="E1796" s="9" t="str">
        <f t="array" ref="E1796">IFERROR(INDEX(data!H:H,match(Caseslist!B1796,data!D:D,0)), "INC")</f>
        <v>Annalou Empanado Encontro</v>
      </c>
      <c r="F1796" s="10" t="str">
        <f t="array" ref="F1796">IF(
    OR(
      IFNA(INDEX(data!M:M, MATCH(Caseslist!B1796, data!D:D, 0)), "") = "",
      IFNA(INDEX(data!M:M, MATCH(Caseslist!B1796, data!D:D, 0)), 0) = 0
    ),
    "COMPLETE",
    IF(
      IFNA(INDEX(dataICM!D:D, MATCH(Caseslist!B1796, dataICM!D:D, 0)), "INC") = "INC",
      IFNA(INDEX(dataICM!D:D, MATCH(Caseslist!B1796, dataICM!D:D, 0)), "INC"),
      "COMPLETE"
    )
  )</f>
        <v>COMPLETE</v>
      </c>
      <c r="G1796" s="10" t="str">
        <f t="array" ref="G1796">IF(IFERROR(INDEX(data!L:L,match(Caseslist!B1796,data!D:D,0)),"INC")="","COMPLETE",F1796)</f>
        <v>COMPLETE</v>
      </c>
      <c r="H1796" s="9" t="str">
        <f t="array" ref="H1796">IFERROR(INDEX(dataICM!F:F,match(Caseslist!B1796,dataICM!D:D,0)), "INC")</f>
        <v>INC</v>
      </c>
      <c r="I1796" s="10" t="str">
        <f t="shared" si="2"/>
        <v>H2846135</v>
      </c>
      <c r="J1796" s="9" t="str">
        <f t="array" ref="J1796">IF(
  AND(
    IFERROR(MATCH(B1796, data!D:D, 0), 0) &gt; 0,
    IFERROR(INDEX(data!N:N, MATCH(B1796, data!D:D, 0)) = 1, FALSE)
  ),
  INDEX(data!C:C, MATCH(B1796, data!D:D, 0)),
  "INC"
)</f>
        <v>2025-09-02T14:10:27.589+08</v>
      </c>
      <c r="K1796" s="9" t="str">
        <f t="array" ref="K1796">IFERROR(INDEX(dataICM!C:C,match(Caseslist!B1796,dataICM!D:D,0)), "INC")</f>
        <v>INC</v>
      </c>
      <c r="L1796" s="10" t="str">
        <f t="array" ref="L1796">IF(AND(G1796="COMPLETE", OR(K1796="INC", ISBLANK(INDEX(data!O:O, ROW())))), J1796, K1796)</f>
        <v>2025-09-02T14:10:27.589+08</v>
      </c>
      <c r="M1796" s="2">
        <v>45902.0</v>
      </c>
      <c r="N1796" s="2">
        <f t="array" ref="N1796">IF(M1796&lt;&gt;"INC", INDEX(data!M:M, MATCH(B1796, data!D:D, 0)), "")</f>
        <v>0</v>
      </c>
      <c r="O1796" s="2">
        <f t="shared" si="3"/>
        <v>0</v>
      </c>
    </row>
    <row r="1797">
      <c r="A1797" s="2" t="str">
        <f t="shared" si="1"/>
        <v>H030844</v>
      </c>
      <c r="B1797" s="1" t="s">
        <v>3137</v>
      </c>
      <c r="C1797" s="9" t="str">
        <f t="array" ref="C1797">IF(
  AND(
    IFERROR(MATCH(Caseslist!B1797, data!D:D, 0), 0) &gt; 0,
    IFERROR(INDEX(data!N:N, MATCH(Caseslist!B1797, data!D:D, 0)) = 1, FALSE)
  ),
  "COMPLETE",
  "INC"
)</f>
        <v>COMPLETE</v>
      </c>
      <c r="D1797" s="9" t="str">
        <f t="array" ref="D1797">IFERROR(INDEX(data!$G:$G,match(Caseslist!B1797,data!$D:$D,0)), "INC")</f>
        <v>G5472901</v>
      </c>
      <c r="E1797" s="9" t="str">
        <f t="array" ref="E1797">IFERROR(INDEX(data!H:H,match(Caseslist!B1797,data!D:D,0)), "INC")</f>
        <v>Wellyn Grace Alaban Parcia</v>
      </c>
      <c r="F1797" s="10" t="str">
        <f t="array" ref="F1797">IF(
    OR(
      IFNA(INDEX(data!M:M, MATCH(Caseslist!B1797, data!D:D, 0)), "") = "",
      IFNA(INDEX(data!M:M, MATCH(Caseslist!B1797, data!D:D, 0)), 0) = 0
    ),
    "COMPLETE",
    IF(
      IFNA(INDEX(dataICM!D:D, MATCH(Caseslist!B1797, dataICM!D:D, 0)), "INC") = "INC",
      IFNA(INDEX(dataICM!D:D, MATCH(Caseslist!B1797, dataICM!D:D, 0)), "INC"),
      "COMPLETE"
    )
  )</f>
        <v>COMPLETE</v>
      </c>
      <c r="G1797" s="10" t="str">
        <f t="array" ref="G1797">IF(IFERROR(INDEX(data!L:L,match(Caseslist!B1797,data!D:D,0)),"INC")="","COMPLETE",F1797)</f>
        <v>COMPLETE</v>
      </c>
      <c r="H1797" s="9" t="str">
        <f t="array" ref="H1797">IFERROR(INDEX(dataICM!F:F,match(Caseslist!B1797,dataICM!D:D,0)), "INC")</f>
        <v>INC</v>
      </c>
      <c r="I1797" s="10" t="str">
        <f t="shared" si="2"/>
        <v>G5472901</v>
      </c>
      <c r="J1797" s="9" t="str">
        <f t="array" ref="J1797">IF(
  AND(
    IFERROR(MATCH(B1797, data!D:D, 0), 0) &gt; 0,
    IFERROR(INDEX(data!N:N, MATCH(B1797, data!D:D, 0)) = 1, FALSE)
  ),
  INDEX(data!C:C, MATCH(B1797, data!D:D, 0)),
  "INC"
)</f>
        <v>2025-09-03T09:57:29.241+08</v>
      </c>
      <c r="K1797" s="9" t="str">
        <f t="array" ref="K1797">IFERROR(INDEX(dataICM!C:C,match(Caseslist!B1797,dataICM!D:D,0)), "INC")</f>
        <v>INC</v>
      </c>
      <c r="L1797" s="10" t="str">
        <f t="array" ref="L1797">IF(AND(G1797="COMPLETE", OR(K1797="INC", ISBLANK(INDEX(data!O:O, ROW())))), J1797, K1797)</f>
        <v>2025-09-03T09:57:29.241+08</v>
      </c>
      <c r="M1797" s="2">
        <v>45903.0</v>
      </c>
      <c r="N1797" s="2">
        <f t="array" ref="N1797">IF(M1797&lt;&gt;"INC", INDEX(data!M:M, MATCH(B1797, data!D:D, 0)), "")</f>
        <v>0</v>
      </c>
      <c r="O1797" s="2">
        <f t="shared" si="3"/>
        <v>0</v>
      </c>
    </row>
    <row r="1798">
      <c r="A1798" s="2" t="str">
        <f t="shared" si="1"/>
        <v>H030844</v>
      </c>
      <c r="B1798" s="1" t="s">
        <v>2655</v>
      </c>
      <c r="C1798" s="9" t="str">
        <f t="array" ref="C1798">IF(
  AND(
    IFERROR(MATCH(Caseslist!B1798, data!D:D, 0), 0) &gt; 0,
    IFERROR(INDEX(data!N:N, MATCH(Caseslist!B1798, data!D:D, 0)) = 1, FALSE)
  ),
  "COMPLETE",
  "INC"
)</f>
        <v>COMPLETE</v>
      </c>
      <c r="D1798" s="9" t="str">
        <f t="array" ref="D1798">IFERROR(INDEX(data!$G:$G,match(Caseslist!B1798,data!$D:$D,0)), "INC")</f>
        <v>H2846135</v>
      </c>
      <c r="E1798" s="9" t="str">
        <f t="array" ref="E1798">IFERROR(INDEX(data!H:H,match(Caseslist!B1798,data!D:D,0)), "INC")</f>
        <v>Annalou Empanado Encontro</v>
      </c>
      <c r="F1798" s="10" t="str">
        <f t="array" ref="F1798">IF(
    OR(
      IFNA(INDEX(data!M:M, MATCH(Caseslist!B1798, data!D:D, 0)), "") = "",
      IFNA(INDEX(data!M:M, MATCH(Caseslist!B1798, data!D:D, 0)), 0) = 0
    ),
    "COMPLETE",
    IF(
      IFNA(INDEX(dataICM!D:D, MATCH(Caseslist!B1798, dataICM!D:D, 0)), "INC") = "INC",
      IFNA(INDEX(dataICM!D:D, MATCH(Caseslist!B1798, dataICM!D:D, 0)), "INC"),
      "COMPLETE"
    )
  )</f>
        <v>COMPLETE</v>
      </c>
      <c r="G1798" s="10" t="str">
        <f t="array" ref="G1798">IF(IFERROR(INDEX(data!L:L,match(Caseslist!B1798,data!D:D,0)),"INC")="","COMPLETE",F1798)</f>
        <v>COMPLETE</v>
      </c>
      <c r="H1798" s="9" t="str">
        <f t="array" ref="H1798">IFERROR(INDEX(dataICM!F:F,match(Caseslist!B1798,dataICM!D:D,0)), "INC")</f>
        <v>INC</v>
      </c>
      <c r="I1798" s="10" t="str">
        <f t="shared" si="2"/>
        <v>H2846135</v>
      </c>
      <c r="J1798" s="9" t="str">
        <f t="array" ref="J1798">IF(
  AND(
    IFERROR(MATCH(B1798, data!D:D, 0), 0) &gt; 0,
    IFERROR(INDEX(data!N:N, MATCH(B1798, data!D:D, 0)) = 1, FALSE)
  ),
  INDEX(data!C:C, MATCH(B1798, data!D:D, 0)),
  "INC"
)</f>
        <v>2025-09-02T13:27:52.301+08</v>
      </c>
      <c r="K1798" s="9" t="str">
        <f t="array" ref="K1798">IFERROR(INDEX(dataICM!C:C,match(Caseslist!B1798,dataICM!D:D,0)), "INC")</f>
        <v>INC</v>
      </c>
      <c r="L1798" s="10" t="str">
        <f t="array" ref="L1798">IF(AND(G1798="COMPLETE", OR(K1798="INC", ISBLANK(INDEX(data!O:O, ROW())))), J1798, K1798)</f>
        <v>2025-09-02T13:27:52.301+08</v>
      </c>
      <c r="M1798" s="2">
        <v>45902.0</v>
      </c>
      <c r="N1798" s="2">
        <f t="array" ref="N1798">IF(M1798&lt;&gt;"INC", INDEX(data!M:M, MATCH(B1798, data!D:D, 0)), "")</f>
        <v>0</v>
      </c>
      <c r="O1798" s="2">
        <f t="shared" si="3"/>
        <v>0</v>
      </c>
    </row>
    <row r="1799">
      <c r="A1799" s="2" t="str">
        <f t="shared" si="1"/>
        <v>H030844</v>
      </c>
      <c r="B1799" s="1" t="s">
        <v>3036</v>
      </c>
      <c r="C1799" s="9" t="str">
        <f t="array" ref="C1799">IF(
  AND(
    IFERROR(MATCH(Caseslist!B1799, data!D:D, 0), 0) &gt; 0,
    IFERROR(INDEX(data!N:N, MATCH(Caseslist!B1799, data!D:D, 0)) = 1, FALSE)
  ),
  "COMPLETE",
  "INC"
)</f>
        <v>COMPLETE</v>
      </c>
      <c r="D1799" s="9" t="str">
        <f t="array" ref="D1799">IFERROR(INDEX(data!$G:$G,match(Caseslist!B1799,data!$D:$D,0)), "INC")</f>
        <v>H2846135</v>
      </c>
      <c r="E1799" s="9" t="str">
        <f t="array" ref="E1799">IFERROR(INDEX(data!H:H,match(Caseslist!B1799,data!D:D,0)), "INC")</f>
        <v>Annalou Empanado Encontro</v>
      </c>
      <c r="F1799" s="10" t="str">
        <f t="array" ref="F1799">IF(
    OR(
      IFNA(INDEX(data!M:M, MATCH(Caseslist!B1799, data!D:D, 0)), "") = "",
      IFNA(INDEX(data!M:M, MATCH(Caseslist!B1799, data!D:D, 0)), 0) = 0
    ),
    "COMPLETE",
    IF(
      IFNA(INDEX(dataICM!D:D, MATCH(Caseslist!B1799, dataICM!D:D, 0)), "INC") = "INC",
      IFNA(INDEX(dataICM!D:D, MATCH(Caseslist!B1799, dataICM!D:D, 0)), "INC"),
      "COMPLETE"
    )
  )</f>
        <v>COMPLETE</v>
      </c>
      <c r="G1799" s="10" t="str">
        <f t="array" ref="G1799">IF(IFERROR(INDEX(data!L:L,match(Caseslist!B1799,data!D:D,0)),"INC")="","COMPLETE",F1799)</f>
        <v>COMPLETE</v>
      </c>
      <c r="H1799" s="9" t="str">
        <f t="array" ref="H1799">IFERROR(INDEX(dataICM!F:F,match(Caseslist!B1799,dataICM!D:D,0)), "INC")</f>
        <v>INC</v>
      </c>
      <c r="I1799" s="10" t="str">
        <f t="shared" si="2"/>
        <v>H2846135</v>
      </c>
      <c r="J1799" s="9" t="str">
        <f t="array" ref="J1799">IF(
  AND(
    IFERROR(MATCH(B1799, data!D:D, 0), 0) &gt; 0,
    IFERROR(INDEX(data!N:N, MATCH(B1799, data!D:D, 0)) = 1, FALSE)
  ),
  INDEX(data!C:C, MATCH(B1799, data!D:D, 0)),
  "INC"
)</f>
        <v>2025-09-03T09:31:34.175+08</v>
      </c>
      <c r="K1799" s="9" t="str">
        <f t="array" ref="K1799">IFERROR(INDEX(dataICM!C:C,match(Caseslist!B1799,dataICM!D:D,0)), "INC")</f>
        <v>INC</v>
      </c>
      <c r="L1799" s="10" t="str">
        <f t="array" ref="L1799">IF(AND(G1799="COMPLETE", OR(K1799="INC", ISBLANK(INDEX(data!O:O, ROW())))), J1799, K1799)</f>
        <v>2025-09-03T09:31:34.175+08</v>
      </c>
      <c r="M1799" s="2">
        <v>45903.0</v>
      </c>
      <c r="N1799" s="2">
        <f t="array" ref="N1799">IF(M1799&lt;&gt;"INC", INDEX(data!M:M, MATCH(B1799, data!D:D, 0)), "")</f>
        <v>0</v>
      </c>
      <c r="O1799" s="2">
        <f t="shared" si="3"/>
        <v>0</v>
      </c>
    </row>
    <row r="1800">
      <c r="A1800" s="2" t="str">
        <f t="shared" si="1"/>
        <v>H030844</v>
      </c>
      <c r="B1800" s="1" t="s">
        <v>3152</v>
      </c>
      <c r="C1800" s="9" t="str">
        <f t="array" ref="C1800">IF(
  AND(
    IFERROR(MATCH(Caseslist!B1800, data!D:D, 0), 0) &gt; 0,
    IFERROR(INDEX(data!N:N, MATCH(Caseslist!B1800, data!D:D, 0)) = 1, FALSE)
  ),
  "COMPLETE",
  "INC"
)</f>
        <v>COMPLETE</v>
      </c>
      <c r="D1800" s="9" t="str">
        <f t="array" ref="D1800">IFERROR(INDEX(data!$G:$G,match(Caseslist!B1800,data!$D:$D,0)), "INC")</f>
        <v>G5472901</v>
      </c>
      <c r="E1800" s="9" t="str">
        <f t="array" ref="E1800">IFERROR(INDEX(data!H:H,match(Caseslist!B1800,data!D:D,0)), "INC")</f>
        <v>Wellyn Grace Alaban Parcia</v>
      </c>
      <c r="F1800" s="10" t="str">
        <f t="array" ref="F1800">IF(
    OR(
      IFNA(INDEX(data!M:M, MATCH(Caseslist!B1800, data!D:D, 0)), "") = "",
      IFNA(INDEX(data!M:M, MATCH(Caseslist!B1800, data!D:D, 0)), 0) = 0
    ),
    "COMPLETE",
    IF(
      IFNA(INDEX(dataICM!D:D, MATCH(Caseslist!B1800, dataICM!D:D, 0)), "INC") = "INC",
      IFNA(INDEX(dataICM!D:D, MATCH(Caseslist!B1800, dataICM!D:D, 0)), "INC"),
      "COMPLETE"
    )
  )</f>
        <v>COMPLETE</v>
      </c>
      <c r="G1800" s="10" t="str">
        <f t="array" ref="G1800">IF(IFERROR(INDEX(data!L:L,match(Caseslist!B1800,data!D:D,0)),"INC")="","COMPLETE",F1800)</f>
        <v>COMPLETE</v>
      </c>
      <c r="H1800" s="9" t="str">
        <f t="array" ref="H1800">IFERROR(INDEX(dataICM!F:F,match(Caseslist!B1800,dataICM!D:D,0)), "INC")</f>
        <v>INC</v>
      </c>
      <c r="I1800" s="10" t="str">
        <f t="shared" si="2"/>
        <v>G5472901</v>
      </c>
      <c r="J1800" s="9" t="str">
        <f t="array" ref="J1800">IF(
  AND(
    IFERROR(MATCH(B1800, data!D:D, 0), 0) &gt; 0,
    IFERROR(INDEX(data!N:N, MATCH(B1800, data!D:D, 0)) = 1, FALSE)
  ),
  INDEX(data!C:C, MATCH(B1800, data!D:D, 0)),
  "INC"
)</f>
        <v>2025-09-03T12:57:52.491+08</v>
      </c>
      <c r="K1800" s="9" t="str">
        <f t="array" ref="K1800">IFERROR(INDEX(dataICM!C:C,match(Caseslist!B1800,dataICM!D:D,0)), "INC")</f>
        <v>INC</v>
      </c>
      <c r="L1800" s="10" t="str">
        <f t="array" ref="L1800">IF(AND(G1800="COMPLETE", OR(K1800="INC", ISBLANK(INDEX(data!O:O, ROW())))), J1800, K1800)</f>
        <v>2025-09-03T12:57:52.491+08</v>
      </c>
      <c r="M1800" s="2">
        <v>45903.0</v>
      </c>
      <c r="N1800" s="2">
        <f t="array" ref="N1800">IF(M1800&lt;&gt;"INC", INDEX(data!M:M, MATCH(B1800, data!D:D, 0)), "")</f>
        <v>0</v>
      </c>
      <c r="O1800" s="2">
        <f t="shared" si="3"/>
        <v>0</v>
      </c>
    </row>
    <row r="1801">
      <c r="A1801" s="2" t="str">
        <f t="shared" si="1"/>
        <v>H030844</v>
      </c>
      <c r="B1801" s="1" t="s">
        <v>3031</v>
      </c>
      <c r="C1801" s="9" t="str">
        <f t="array" ref="C1801">IF(
  AND(
    IFERROR(MATCH(Caseslist!B1801, data!D:D, 0), 0) &gt; 0,
    IFERROR(INDEX(data!N:N, MATCH(Caseslist!B1801, data!D:D, 0)) = 1, FALSE)
  ),
  "COMPLETE",
  "INC"
)</f>
        <v>COMPLETE</v>
      </c>
      <c r="D1801" s="9" t="str">
        <f t="array" ref="D1801">IFERROR(INDEX(data!$G:$G,match(Caseslist!B1801,data!$D:$D,0)), "INC")</f>
        <v>H2846135</v>
      </c>
      <c r="E1801" s="9" t="str">
        <f t="array" ref="E1801">IFERROR(INDEX(data!H:H,match(Caseslist!B1801,data!D:D,0)), "INC")</f>
        <v>Annalou Empanado Encontro</v>
      </c>
      <c r="F1801" s="10" t="str">
        <f t="array" ref="F1801">IF(
    OR(
      IFNA(INDEX(data!M:M, MATCH(Caseslist!B1801, data!D:D, 0)), "") = "",
      IFNA(INDEX(data!M:M, MATCH(Caseslist!B1801, data!D:D, 0)), 0) = 0
    ),
    "COMPLETE",
    IF(
      IFNA(INDEX(dataICM!D:D, MATCH(Caseslist!B1801, dataICM!D:D, 0)), "INC") = "INC",
      IFNA(INDEX(dataICM!D:D, MATCH(Caseslist!B1801, dataICM!D:D, 0)), "INC"),
      "COMPLETE"
    )
  )</f>
        <v>COMPLETE</v>
      </c>
      <c r="G1801" s="10" t="str">
        <f t="array" ref="G1801">IF(IFERROR(INDEX(data!L:L,match(Caseslist!B1801,data!D:D,0)),"INC")="","COMPLETE",F1801)</f>
        <v>COMPLETE</v>
      </c>
      <c r="H1801" s="9" t="str">
        <f t="array" ref="H1801">IFERROR(INDEX(dataICM!F:F,match(Caseslist!B1801,dataICM!D:D,0)), "INC")</f>
        <v>INC</v>
      </c>
      <c r="I1801" s="10" t="str">
        <f t="shared" si="2"/>
        <v>H2846135</v>
      </c>
      <c r="J1801" s="9" t="str">
        <f t="array" ref="J1801">IF(
  AND(
    IFERROR(MATCH(B1801, data!D:D, 0), 0) &gt; 0,
    IFERROR(INDEX(data!N:N, MATCH(B1801, data!D:D, 0)) = 1, FALSE)
  ),
  INDEX(data!C:C, MATCH(B1801, data!D:D, 0)),
  "INC"
)</f>
        <v>2025-09-03T11:26:46.453+08</v>
      </c>
      <c r="K1801" s="9" t="str">
        <f t="array" ref="K1801">IFERROR(INDEX(dataICM!C:C,match(Caseslist!B1801,dataICM!D:D,0)), "INC")</f>
        <v>INC</v>
      </c>
      <c r="L1801" s="10" t="str">
        <f t="array" ref="L1801">IF(AND(G1801="COMPLETE", OR(K1801="INC", ISBLANK(INDEX(data!O:O, ROW())))), J1801, K1801)</f>
        <v>2025-09-03T11:26:46.453+08</v>
      </c>
      <c r="M1801" s="2">
        <v>45903.0</v>
      </c>
      <c r="N1801" s="2">
        <f t="array" ref="N1801">IF(M1801&lt;&gt;"INC", INDEX(data!M:M, MATCH(B1801, data!D:D, 0)), "")</f>
        <v>0</v>
      </c>
      <c r="O1801" s="2">
        <f t="shared" si="3"/>
        <v>0</v>
      </c>
    </row>
    <row r="1802">
      <c r="A1802" s="2" t="str">
        <f t="shared" si="1"/>
        <v>H030844</v>
      </c>
      <c r="B1802" s="1" t="s">
        <v>2645</v>
      </c>
      <c r="C1802" s="9" t="str">
        <f t="array" ref="C1802">IF(
  AND(
    IFERROR(MATCH(Caseslist!B1802, data!D:D, 0), 0) &gt; 0,
    IFERROR(INDEX(data!N:N, MATCH(Caseslist!B1802, data!D:D, 0)) = 1, FALSE)
  ),
  "COMPLETE",
  "INC"
)</f>
        <v>COMPLETE</v>
      </c>
      <c r="D1802" s="9" t="str">
        <f t="array" ref="D1802">IFERROR(INDEX(data!$G:$G,match(Caseslist!B1802,data!$D:$D,0)), "INC")</f>
        <v>H2846135</v>
      </c>
      <c r="E1802" s="9" t="str">
        <f t="array" ref="E1802">IFERROR(INDEX(data!H:H,match(Caseslist!B1802,data!D:D,0)), "INC")</f>
        <v>Annalou Empanado Encontro</v>
      </c>
      <c r="F1802" s="10" t="str">
        <f t="array" ref="F1802">IF(
    OR(
      IFNA(INDEX(data!M:M, MATCH(Caseslist!B1802, data!D:D, 0)), "") = "",
      IFNA(INDEX(data!M:M, MATCH(Caseslist!B1802, data!D:D, 0)), 0) = 0
    ),
    "COMPLETE",
    IF(
      IFNA(INDEX(dataICM!D:D, MATCH(Caseslist!B1802, dataICM!D:D, 0)), "INC") = "INC",
      IFNA(INDEX(dataICM!D:D, MATCH(Caseslist!B1802, dataICM!D:D, 0)), "INC"),
      "COMPLETE"
    )
  )</f>
        <v>COMPLETE</v>
      </c>
      <c r="G1802" s="10" t="str">
        <f t="array" ref="G1802">IF(IFERROR(INDEX(data!L:L,match(Caseslist!B1802,data!D:D,0)),"INC")="","COMPLETE",F1802)</f>
        <v>COMPLETE</v>
      </c>
      <c r="H1802" s="9" t="str">
        <f t="array" ref="H1802">IFERROR(INDEX(dataICM!F:F,match(Caseslist!B1802,dataICM!D:D,0)), "INC")</f>
        <v>INC</v>
      </c>
      <c r="I1802" s="10" t="str">
        <f t="shared" si="2"/>
        <v>H2846135</v>
      </c>
      <c r="J1802" s="9" t="str">
        <f t="array" ref="J1802">IF(
  AND(
    IFERROR(MATCH(B1802, data!D:D, 0), 0) &gt; 0,
    IFERROR(INDEX(data!N:N, MATCH(B1802, data!D:D, 0)) = 1, FALSE)
  ),
  INDEX(data!C:C, MATCH(B1802, data!D:D, 0)),
  "INC"
)</f>
        <v>2025-09-02T11:54:09.195+08</v>
      </c>
      <c r="K1802" s="9" t="str">
        <f t="array" ref="K1802">IFERROR(INDEX(dataICM!C:C,match(Caseslist!B1802,dataICM!D:D,0)), "INC")</f>
        <v>INC</v>
      </c>
      <c r="L1802" s="10" t="str">
        <f t="array" ref="L1802">IF(AND(G1802="COMPLETE", OR(K1802="INC", ISBLANK(INDEX(data!O:O, ROW())))), J1802, K1802)</f>
        <v>2025-09-02T11:54:09.195+08</v>
      </c>
      <c r="M1802" s="2">
        <v>45902.0</v>
      </c>
      <c r="N1802" s="2">
        <f t="array" ref="N1802">IF(M1802&lt;&gt;"INC", INDEX(data!M:M, MATCH(B1802, data!D:D, 0)), "")</f>
        <v>0</v>
      </c>
      <c r="O1802" s="2">
        <f t="shared" si="3"/>
        <v>0</v>
      </c>
    </row>
    <row r="1803">
      <c r="A1803" s="2" t="str">
        <f t="shared" si="1"/>
        <v>H030844</v>
      </c>
      <c r="B1803" s="1" t="s">
        <v>2670</v>
      </c>
      <c r="C1803" s="9" t="str">
        <f t="array" ref="C1803">IF(
  AND(
    IFERROR(MATCH(Caseslist!B1803, data!D:D, 0), 0) &gt; 0,
    IFERROR(INDEX(data!N:N, MATCH(Caseslist!B1803, data!D:D, 0)) = 1, FALSE)
  ),
  "COMPLETE",
  "INC"
)</f>
        <v>COMPLETE</v>
      </c>
      <c r="D1803" s="9" t="str">
        <f t="array" ref="D1803">IFERROR(INDEX(data!$G:$G,match(Caseslist!B1803,data!$D:$D,0)), "INC")</f>
        <v>H2846135</v>
      </c>
      <c r="E1803" s="9" t="str">
        <f t="array" ref="E1803">IFERROR(INDEX(data!H:H,match(Caseslist!B1803,data!D:D,0)), "INC")</f>
        <v>Annalou Empanado Encontro</v>
      </c>
      <c r="F1803" s="10" t="str">
        <f t="array" ref="F1803">IF(
    OR(
      IFNA(INDEX(data!M:M, MATCH(Caseslist!B1803, data!D:D, 0)), "") = "",
      IFNA(INDEX(data!M:M, MATCH(Caseslist!B1803, data!D:D, 0)), 0) = 0
    ),
    "COMPLETE",
    IF(
      IFNA(INDEX(dataICM!D:D, MATCH(Caseslist!B1803, dataICM!D:D, 0)), "INC") = "INC",
      IFNA(INDEX(dataICM!D:D, MATCH(Caseslist!B1803, dataICM!D:D, 0)), "INC"),
      "COMPLETE"
    )
  )</f>
        <v>COMPLETE</v>
      </c>
      <c r="G1803" s="10" t="str">
        <f t="array" ref="G1803">IF(IFERROR(INDEX(data!L:L,match(Caseslist!B1803,data!D:D,0)),"INC")="","COMPLETE",F1803)</f>
        <v>COMPLETE</v>
      </c>
      <c r="H1803" s="9" t="str">
        <f t="array" ref="H1803">IFERROR(INDEX(dataICM!F:F,match(Caseslist!B1803,dataICM!D:D,0)), "INC")</f>
        <v>INC</v>
      </c>
      <c r="I1803" s="10" t="str">
        <f t="shared" si="2"/>
        <v>H2846135</v>
      </c>
      <c r="J1803" s="9" t="str">
        <f t="array" ref="J1803">IF(
  AND(
    IFERROR(MATCH(B1803, data!D:D, 0), 0) &gt; 0,
    IFERROR(INDEX(data!N:N, MATCH(B1803, data!D:D, 0)) = 1, FALSE)
  ),
  INDEX(data!C:C, MATCH(B1803, data!D:D, 0)),
  "INC"
)</f>
        <v>2025-09-02T09:54:26.894+08</v>
      </c>
      <c r="K1803" s="9" t="str">
        <f t="array" ref="K1803">IFERROR(INDEX(dataICM!C:C,match(Caseslist!B1803,dataICM!D:D,0)), "INC")</f>
        <v>INC</v>
      </c>
      <c r="L1803" s="10" t="str">
        <f t="array" ref="L1803">IF(AND(G1803="COMPLETE", OR(K1803="INC", ISBLANK(INDEX(data!O:O, ROW())))), J1803, K1803)</f>
        <v>2025-09-02T09:54:26.894+08</v>
      </c>
      <c r="M1803" s="2">
        <v>45902.0</v>
      </c>
      <c r="N1803" s="2">
        <f t="array" ref="N1803">IF(M1803&lt;&gt;"INC", INDEX(data!M:M, MATCH(B1803, data!D:D, 0)), "")</f>
        <v>0</v>
      </c>
      <c r="O1803" s="2">
        <f t="shared" si="3"/>
        <v>0</v>
      </c>
    </row>
    <row r="1804">
      <c r="A1804" s="2" t="str">
        <f t="shared" si="1"/>
        <v>H030844</v>
      </c>
      <c r="B1804" s="1" t="s">
        <v>2640</v>
      </c>
      <c r="C1804" s="9" t="str">
        <f t="array" ref="C1804">IF(
  AND(
    IFERROR(MATCH(Caseslist!B1804, data!D:D, 0), 0) &gt; 0,
    IFERROR(INDEX(data!N:N, MATCH(Caseslist!B1804, data!D:D, 0)) = 1, FALSE)
  ),
  "COMPLETE",
  "INC"
)</f>
        <v>COMPLETE</v>
      </c>
      <c r="D1804" s="9" t="str">
        <f t="array" ref="D1804">IFERROR(INDEX(data!$G:$G,match(Caseslist!B1804,data!$D:$D,0)), "INC")</f>
        <v>H2846135</v>
      </c>
      <c r="E1804" s="9" t="str">
        <f t="array" ref="E1804">IFERROR(INDEX(data!H:H,match(Caseslist!B1804,data!D:D,0)), "INC")</f>
        <v>Annalou Empanado Encontro</v>
      </c>
      <c r="F1804" s="10" t="str">
        <f t="array" ref="F1804">IF(
    OR(
      IFNA(INDEX(data!M:M, MATCH(Caseslist!B1804, data!D:D, 0)), "") = "",
      IFNA(INDEX(data!M:M, MATCH(Caseslist!B1804, data!D:D, 0)), 0) = 0
    ),
    "COMPLETE",
    IF(
      IFNA(INDEX(dataICM!D:D, MATCH(Caseslist!B1804, dataICM!D:D, 0)), "INC") = "INC",
      IFNA(INDEX(dataICM!D:D, MATCH(Caseslist!B1804, dataICM!D:D, 0)), "INC"),
      "COMPLETE"
    )
  )</f>
        <v>COMPLETE</v>
      </c>
      <c r="G1804" s="10" t="str">
        <f t="array" ref="G1804">IF(IFERROR(INDEX(data!L:L,match(Caseslist!B1804,data!D:D,0)),"INC")="","COMPLETE",F1804)</f>
        <v>COMPLETE</v>
      </c>
      <c r="H1804" s="9" t="str">
        <f t="array" ref="H1804">IFERROR(INDEX(dataICM!F:F,match(Caseslist!B1804,dataICM!D:D,0)), "INC")</f>
        <v>INC</v>
      </c>
      <c r="I1804" s="10" t="str">
        <f t="shared" si="2"/>
        <v>H2846135</v>
      </c>
      <c r="J1804" s="9" t="str">
        <f t="array" ref="J1804">IF(
  AND(
    IFERROR(MATCH(B1804, data!D:D, 0), 0) &gt; 0,
    IFERROR(INDEX(data!N:N, MATCH(B1804, data!D:D, 0)) = 1, FALSE)
  ),
  INDEX(data!C:C, MATCH(B1804, data!D:D, 0)),
  "INC"
)</f>
        <v>2025-09-02T10:55:49.727+08</v>
      </c>
      <c r="K1804" s="9" t="str">
        <f t="array" ref="K1804">IFERROR(INDEX(dataICM!C:C,match(Caseslist!B1804,dataICM!D:D,0)), "INC")</f>
        <v>INC</v>
      </c>
      <c r="L1804" s="10" t="str">
        <f t="array" ref="L1804">IF(AND(G1804="COMPLETE", OR(K1804="INC", ISBLANK(INDEX(data!O:O, ROW())))), J1804, K1804)</f>
        <v>2025-09-02T10:55:49.727+08</v>
      </c>
      <c r="M1804" s="2">
        <v>45902.0</v>
      </c>
      <c r="N1804" s="2">
        <f t="array" ref="N1804">IF(M1804&lt;&gt;"INC", INDEX(data!M:M, MATCH(B1804, data!D:D, 0)), "")</f>
        <v>0</v>
      </c>
      <c r="O1804" s="2">
        <f t="shared" si="3"/>
        <v>0</v>
      </c>
    </row>
    <row r="1805">
      <c r="A1805" s="2" t="str">
        <f t="shared" si="1"/>
        <v>H030844</v>
      </c>
      <c r="B1805" s="1" t="s">
        <v>2660</v>
      </c>
      <c r="C1805" s="9" t="str">
        <f t="array" ref="C1805">IF(
  AND(
    IFERROR(MATCH(Caseslist!B1805, data!D:D, 0), 0) &gt; 0,
    IFERROR(INDEX(data!N:N, MATCH(Caseslist!B1805, data!D:D, 0)) = 1, FALSE)
  ),
  "COMPLETE",
  "INC"
)</f>
        <v>COMPLETE</v>
      </c>
      <c r="D1805" s="9" t="str">
        <f t="array" ref="D1805">IFERROR(INDEX(data!$G:$G,match(Caseslist!B1805,data!$D:$D,0)), "INC")</f>
        <v>H2846135</v>
      </c>
      <c r="E1805" s="9" t="str">
        <f t="array" ref="E1805">IFERROR(INDEX(data!H:H,match(Caseslist!B1805,data!D:D,0)), "INC")</f>
        <v>Annalou Empanado Encontro</v>
      </c>
      <c r="F1805" s="10" t="str">
        <f t="array" ref="F1805">IF(
    OR(
      IFNA(INDEX(data!M:M, MATCH(Caseslist!B1805, data!D:D, 0)), "") = "",
      IFNA(INDEX(data!M:M, MATCH(Caseslist!B1805, data!D:D, 0)), 0) = 0
    ),
    "COMPLETE",
    IF(
      IFNA(INDEX(dataICM!D:D, MATCH(Caseslist!B1805, dataICM!D:D, 0)), "INC") = "INC",
      IFNA(INDEX(dataICM!D:D, MATCH(Caseslist!B1805, dataICM!D:D, 0)), "INC"),
      "COMPLETE"
    )
  )</f>
        <v>COMPLETE</v>
      </c>
      <c r="G1805" s="10" t="str">
        <f t="array" ref="G1805">IF(IFERROR(INDEX(data!L:L,match(Caseslist!B1805,data!D:D,0)),"INC")="","COMPLETE",F1805)</f>
        <v>COMPLETE</v>
      </c>
      <c r="H1805" s="9" t="str">
        <f t="array" ref="H1805">IFERROR(INDEX(dataICM!F:F,match(Caseslist!B1805,dataICM!D:D,0)), "INC")</f>
        <v>INC</v>
      </c>
      <c r="I1805" s="10" t="str">
        <f t="shared" si="2"/>
        <v>H2846135</v>
      </c>
      <c r="J1805" s="9" t="str">
        <f t="array" ref="J1805">IF(
  AND(
    IFERROR(MATCH(B1805, data!D:D, 0), 0) &gt; 0,
    IFERROR(INDEX(data!N:N, MATCH(B1805, data!D:D, 0)) = 1, FALSE)
  ),
  INDEX(data!C:C, MATCH(B1805, data!D:D, 0)),
  "INC"
)</f>
        <v>2025-09-02T15:57:32.966+08</v>
      </c>
      <c r="K1805" s="9" t="str">
        <f t="array" ref="K1805">IFERROR(INDEX(dataICM!C:C,match(Caseslist!B1805,dataICM!D:D,0)), "INC")</f>
        <v>INC</v>
      </c>
      <c r="L1805" s="10" t="str">
        <f t="array" ref="L1805">IF(AND(G1805="COMPLETE", OR(K1805="INC", ISBLANK(INDEX(data!O:O, ROW())))), J1805, K1805)</f>
        <v>2025-09-02T15:57:32.966+08</v>
      </c>
      <c r="M1805" s="2">
        <v>45902.0</v>
      </c>
      <c r="N1805" s="2">
        <f t="array" ref="N1805">IF(M1805&lt;&gt;"INC", INDEX(data!M:M, MATCH(B1805, data!D:D, 0)), "")</f>
        <v>0</v>
      </c>
      <c r="O1805" s="2">
        <f t="shared" si="3"/>
        <v>0</v>
      </c>
    </row>
    <row r="1806">
      <c r="A1806" s="2" t="str">
        <f t="shared" si="1"/>
        <v>H030844</v>
      </c>
      <c r="B1806" s="1" t="s">
        <v>3142</v>
      </c>
      <c r="C1806" s="9" t="str">
        <f t="array" ref="C1806">IF(
  AND(
    IFERROR(MATCH(Caseslist!B1806, data!D:D, 0), 0) &gt; 0,
    IFERROR(INDEX(data!N:N, MATCH(Caseslist!B1806, data!D:D, 0)) = 1, FALSE)
  ),
  "COMPLETE",
  "INC"
)</f>
        <v>COMPLETE</v>
      </c>
      <c r="D1806" s="9" t="str">
        <f t="array" ref="D1806">IFERROR(INDEX(data!$G:$G,match(Caseslist!B1806,data!$D:$D,0)), "INC")</f>
        <v>G5472901</v>
      </c>
      <c r="E1806" s="9" t="str">
        <f t="array" ref="E1806">IFERROR(INDEX(data!H:H,match(Caseslist!B1806,data!D:D,0)), "INC")</f>
        <v>Wellyn Grace Alaban Parcia</v>
      </c>
      <c r="F1806" s="10" t="str">
        <f t="array" ref="F1806">IF(
    OR(
      IFNA(INDEX(data!M:M, MATCH(Caseslist!B1806, data!D:D, 0)), "") = "",
      IFNA(INDEX(data!M:M, MATCH(Caseslist!B1806, data!D:D, 0)), 0) = 0
    ),
    "COMPLETE",
    IF(
      IFNA(INDEX(dataICM!D:D, MATCH(Caseslist!B1806, dataICM!D:D, 0)), "INC") = "INC",
      IFNA(INDEX(dataICM!D:D, MATCH(Caseslist!B1806, dataICM!D:D, 0)), "INC"),
      "COMPLETE"
    )
  )</f>
        <v>COMPLETE</v>
      </c>
      <c r="G1806" s="10" t="str">
        <f t="array" ref="G1806">IF(IFERROR(INDEX(data!L:L,match(Caseslist!B1806,data!D:D,0)),"INC")="","COMPLETE",F1806)</f>
        <v>COMPLETE</v>
      </c>
      <c r="H1806" s="9" t="str">
        <f t="array" ref="H1806">IFERROR(INDEX(dataICM!F:F,match(Caseslist!B1806,dataICM!D:D,0)), "INC")</f>
        <v>INC</v>
      </c>
      <c r="I1806" s="10" t="str">
        <f t="shared" si="2"/>
        <v>G5472901</v>
      </c>
      <c r="J1806" s="9" t="str">
        <f t="array" ref="J1806">IF(
  AND(
    IFERROR(MATCH(B1806, data!D:D, 0), 0) &gt; 0,
    IFERROR(INDEX(data!N:N, MATCH(B1806, data!D:D, 0)) = 1, FALSE)
  ),
  INDEX(data!C:C, MATCH(B1806, data!D:D, 0)),
  "INC"
)</f>
        <v>2025-09-03T11:46:42.364+08</v>
      </c>
      <c r="K1806" s="9" t="str">
        <f t="array" ref="K1806">IFERROR(INDEX(dataICM!C:C,match(Caseslist!B1806,dataICM!D:D,0)), "INC")</f>
        <v>INC</v>
      </c>
      <c r="L1806" s="10" t="str">
        <f t="array" ref="L1806">IF(AND(G1806="COMPLETE", OR(K1806="INC", ISBLANK(INDEX(data!O:O, ROW())))), J1806, K1806)</f>
        <v>2025-09-03T11:46:42.364+08</v>
      </c>
      <c r="M1806" s="2">
        <v>45903.0</v>
      </c>
      <c r="N1806" s="2">
        <f t="array" ref="N1806">IF(M1806&lt;&gt;"INC", INDEX(data!M:M, MATCH(B1806, data!D:D, 0)), "")</f>
        <v>0</v>
      </c>
      <c r="O1806" s="2">
        <f t="shared" si="3"/>
        <v>0</v>
      </c>
    </row>
    <row r="1807">
      <c r="A1807" s="2" t="str">
        <f t="shared" si="1"/>
        <v>H030844</v>
      </c>
      <c r="B1807" s="1" t="s">
        <v>3147</v>
      </c>
      <c r="C1807" s="9" t="str">
        <f t="array" ref="C1807">IF(
  AND(
    IFERROR(MATCH(Caseslist!B1807, data!D:D, 0), 0) &gt; 0,
    IFERROR(INDEX(data!N:N, MATCH(Caseslist!B1807, data!D:D, 0)) = 1, FALSE)
  ),
  "COMPLETE",
  "INC"
)</f>
        <v>COMPLETE</v>
      </c>
      <c r="D1807" s="9" t="str">
        <f t="array" ref="D1807">IFERROR(INDEX(data!$G:$G,match(Caseslist!B1807,data!$D:$D,0)), "INC")</f>
        <v>G5472901</v>
      </c>
      <c r="E1807" s="9" t="str">
        <f t="array" ref="E1807">IFERROR(INDEX(data!H:H,match(Caseslist!B1807,data!D:D,0)), "INC")</f>
        <v>Wellyn Grace Alaban Parcia</v>
      </c>
      <c r="F1807" s="10" t="str">
        <f t="array" ref="F1807">IF(
    OR(
      IFNA(INDEX(data!M:M, MATCH(Caseslist!B1807, data!D:D, 0)), "") = "",
      IFNA(INDEX(data!M:M, MATCH(Caseslist!B1807, data!D:D, 0)), 0) = 0
    ),
    "COMPLETE",
    IF(
      IFNA(INDEX(dataICM!D:D, MATCH(Caseslist!B1807, dataICM!D:D, 0)), "INC") = "INC",
      IFNA(INDEX(dataICM!D:D, MATCH(Caseslist!B1807, dataICM!D:D, 0)), "INC"),
      "COMPLETE"
    )
  )</f>
        <v>COMPLETE</v>
      </c>
      <c r="G1807" s="10" t="str">
        <f t="array" ref="G1807">IF(IFERROR(INDEX(data!L:L,match(Caseslist!B1807,data!D:D,0)),"INC")="","COMPLETE",F1807)</f>
        <v>COMPLETE</v>
      </c>
      <c r="H1807" s="9" t="str">
        <f t="array" ref="H1807">IFERROR(INDEX(dataICM!F:F,match(Caseslist!B1807,dataICM!D:D,0)), "INC")</f>
        <v>INC</v>
      </c>
      <c r="I1807" s="10" t="str">
        <f t="shared" si="2"/>
        <v>G5472901</v>
      </c>
      <c r="J1807" s="9" t="str">
        <f t="array" ref="J1807">IF(
  AND(
    IFERROR(MATCH(B1807, data!D:D, 0), 0) &gt; 0,
    IFERROR(INDEX(data!N:N, MATCH(B1807, data!D:D, 0)) = 1, FALSE)
  ),
  INDEX(data!C:C, MATCH(B1807, data!D:D, 0)),
  "INC"
)</f>
        <v>2025-09-03T14:17:07.319+08</v>
      </c>
      <c r="K1807" s="9" t="str">
        <f t="array" ref="K1807">IFERROR(INDEX(dataICM!C:C,match(Caseslist!B1807,dataICM!D:D,0)), "INC")</f>
        <v>INC</v>
      </c>
      <c r="L1807" s="10" t="str">
        <f t="array" ref="L1807">IF(AND(G1807="COMPLETE", OR(K1807="INC", ISBLANK(INDEX(data!O:O, ROW())))), J1807, K1807)</f>
        <v>2025-09-03T14:17:07.319+08</v>
      </c>
      <c r="M1807" s="2">
        <v>45903.0</v>
      </c>
      <c r="N1807" s="2">
        <f t="array" ref="N1807">IF(M1807&lt;&gt;"INC", INDEX(data!M:M, MATCH(B1807, data!D:D, 0)), "")</f>
        <v>0</v>
      </c>
      <c r="O1807" s="2">
        <f t="shared" si="3"/>
        <v>0</v>
      </c>
    </row>
    <row r="1808">
      <c r="A1808" s="2" t="str">
        <f t="shared" si="1"/>
        <v>H030844</v>
      </c>
      <c r="B1808" s="1" t="s">
        <v>3026</v>
      </c>
      <c r="C1808" s="9" t="str">
        <f t="array" ref="C1808">IF(
  AND(
    IFERROR(MATCH(Caseslist!B1808, data!D:D, 0), 0) &gt; 0,
    IFERROR(INDEX(data!N:N, MATCH(Caseslist!B1808, data!D:D, 0)) = 1, FALSE)
  ),
  "COMPLETE",
  "INC"
)</f>
        <v>COMPLETE</v>
      </c>
      <c r="D1808" s="9" t="str">
        <f t="array" ref="D1808">IFERROR(INDEX(data!$G:$G,match(Caseslist!B1808,data!$D:$D,0)), "INC")</f>
        <v>H2846135</v>
      </c>
      <c r="E1808" s="9" t="str">
        <f t="array" ref="E1808">IFERROR(INDEX(data!H:H,match(Caseslist!B1808,data!D:D,0)), "INC")</f>
        <v>Annalou Empanado Encontro</v>
      </c>
      <c r="F1808" s="10" t="str">
        <f t="array" ref="F1808">IF(
    OR(
      IFNA(INDEX(data!M:M, MATCH(Caseslist!B1808, data!D:D, 0)), "") = "",
      IFNA(INDEX(data!M:M, MATCH(Caseslist!B1808, data!D:D, 0)), 0) = 0
    ),
    "COMPLETE",
    IF(
      IFNA(INDEX(dataICM!D:D, MATCH(Caseslist!B1808, dataICM!D:D, 0)), "INC") = "INC",
      IFNA(INDEX(dataICM!D:D, MATCH(Caseslist!B1808, dataICM!D:D, 0)), "INC"),
      "COMPLETE"
    )
  )</f>
        <v>COMPLETE</v>
      </c>
      <c r="G1808" s="10" t="str">
        <f t="array" ref="G1808">IF(IFERROR(INDEX(data!L:L,match(Caseslist!B1808,data!D:D,0)),"INC")="","COMPLETE",F1808)</f>
        <v>COMPLETE</v>
      </c>
      <c r="H1808" s="9" t="str">
        <f t="array" ref="H1808">IFERROR(INDEX(dataICM!F:F,match(Caseslist!B1808,dataICM!D:D,0)), "INC")</f>
        <v>INC</v>
      </c>
      <c r="I1808" s="10" t="str">
        <f t="shared" si="2"/>
        <v>H2846135</v>
      </c>
      <c r="J1808" s="9" t="str">
        <f t="array" ref="J1808">IF(
  AND(
    IFERROR(MATCH(B1808, data!D:D, 0), 0) &gt; 0,
    IFERROR(INDEX(data!N:N, MATCH(B1808, data!D:D, 0)) = 1, FALSE)
  ),
  INDEX(data!C:C, MATCH(B1808, data!D:D, 0)),
  "INC"
)</f>
        <v>2025-09-30T12:29:13.784+08</v>
      </c>
      <c r="K1808" s="9" t="str">
        <f t="array" ref="K1808">IFERROR(INDEX(dataICM!C:C,match(Caseslist!B1808,dataICM!D:D,0)), "INC")</f>
        <v>INC</v>
      </c>
      <c r="L1808" s="10" t="str">
        <f t="array" ref="L1808">IF(AND(G1808="COMPLETE", OR(K1808="INC", ISBLANK(INDEX(data!O:O, ROW())))), J1808, K1808)</f>
        <v>2025-09-30T12:29:13.784+08</v>
      </c>
      <c r="M1808" s="2">
        <v>45930.0</v>
      </c>
      <c r="N1808" s="2">
        <f t="array" ref="N1808">IF(M1808&lt;&gt;"INC", INDEX(data!M:M, MATCH(B1808, data!D:D, 0)), "")</f>
        <v>0</v>
      </c>
      <c r="O1808" s="2">
        <f t="shared" si="3"/>
        <v>0</v>
      </c>
    </row>
    <row r="1809">
      <c r="A1809" s="2" t="str">
        <f t="shared" si="1"/>
        <v>H030844</v>
      </c>
      <c r="B1809" s="1" t="s">
        <v>3041</v>
      </c>
      <c r="C1809" s="9" t="str">
        <f t="array" ref="C1809">IF(
  AND(
    IFERROR(MATCH(Caseslist!B1809, data!D:D, 0), 0) &gt; 0,
    IFERROR(INDEX(data!N:N, MATCH(Caseslist!B1809, data!D:D, 0)) = 1, FALSE)
  ),
  "COMPLETE",
  "INC"
)</f>
        <v>COMPLETE</v>
      </c>
      <c r="D1809" s="9" t="str">
        <f t="array" ref="D1809">IFERROR(INDEX(data!$G:$G,match(Caseslist!B1809,data!$D:$D,0)), "INC")</f>
        <v>H2846135</v>
      </c>
      <c r="E1809" s="9" t="str">
        <f t="array" ref="E1809">IFERROR(INDEX(data!H:H,match(Caseslist!B1809,data!D:D,0)), "INC")</f>
        <v>Annalou Empanado Encontro</v>
      </c>
      <c r="F1809" s="10" t="str">
        <f t="array" ref="F1809">IF(
    OR(
      IFNA(INDEX(data!M:M, MATCH(Caseslist!B1809, data!D:D, 0)), "") = "",
      IFNA(INDEX(data!M:M, MATCH(Caseslist!B1809, data!D:D, 0)), 0) = 0
    ),
    "COMPLETE",
    IF(
      IFNA(INDEX(dataICM!D:D, MATCH(Caseslist!B1809, dataICM!D:D, 0)), "INC") = "INC",
      IFNA(INDEX(dataICM!D:D, MATCH(Caseslist!B1809, dataICM!D:D, 0)), "INC"),
      "COMPLETE"
    )
  )</f>
        <v>COMPLETE</v>
      </c>
      <c r="G1809" s="10" t="str">
        <f t="array" ref="G1809">IF(IFERROR(INDEX(data!L:L,match(Caseslist!B1809,data!D:D,0)),"INC")="","COMPLETE",F1809)</f>
        <v>COMPLETE</v>
      </c>
      <c r="H1809" s="9" t="str">
        <f t="array" ref="H1809">IFERROR(INDEX(dataICM!F:F,match(Caseslist!B1809,dataICM!D:D,0)), "INC")</f>
        <v>INC</v>
      </c>
      <c r="I1809" s="10" t="str">
        <f t="shared" si="2"/>
        <v>H2846135</v>
      </c>
      <c r="J1809" s="9" t="str">
        <f t="array" ref="J1809">IF(
  AND(
    IFERROR(MATCH(B1809, data!D:D, 0), 0) &gt; 0,
    IFERROR(INDEX(data!N:N, MATCH(B1809, data!D:D, 0)) = 1, FALSE)
  ),
  INDEX(data!C:C, MATCH(B1809, data!D:D, 0)),
  "INC"
)</f>
        <v>2025-09-03T14:14:09.375+08</v>
      </c>
      <c r="K1809" s="9" t="str">
        <f t="array" ref="K1809">IFERROR(INDEX(dataICM!C:C,match(Caseslist!B1809,dataICM!D:D,0)), "INC")</f>
        <v>INC</v>
      </c>
      <c r="L1809" s="10" t="str">
        <f t="array" ref="L1809">IF(AND(G1809="COMPLETE", OR(K1809="INC", ISBLANK(INDEX(data!O:O, ROW())))), J1809, K1809)</f>
        <v>2025-09-03T14:14:09.375+08</v>
      </c>
      <c r="M1809" s="2">
        <v>45903.0</v>
      </c>
      <c r="N1809" s="2">
        <f t="array" ref="N1809">IF(M1809&lt;&gt;"INC", INDEX(data!M:M, MATCH(B1809, data!D:D, 0)), "")</f>
        <v>0</v>
      </c>
      <c r="O1809" s="2">
        <f t="shared" si="3"/>
        <v>0</v>
      </c>
    </row>
    <row r="1810">
      <c r="A1810" s="2" t="str">
        <f t="shared" si="1"/>
        <v>H030852</v>
      </c>
      <c r="B1810" s="1" t="s">
        <v>2023</v>
      </c>
      <c r="C1810" s="9" t="str">
        <f t="array" ref="C1810">IF(
  AND(
    IFERROR(MATCH(Caseslist!B1810, data!D:D, 0), 0) &gt; 0,
    IFERROR(INDEX(data!N:N, MATCH(Caseslist!B1810, data!D:D, 0)) = 1, FALSE)
  ),
  "COMPLETE",
  "INC"
)</f>
        <v>COMPLETE</v>
      </c>
      <c r="D1810" s="9" t="str">
        <f t="array" ref="D1810">IFERROR(INDEX(data!$G:$G,match(Caseslist!B1810,data!$D:$D,0)), "INC")</f>
        <v>L2057896</v>
      </c>
      <c r="E1810" s="9" t="str">
        <f t="array" ref="E1810">IFERROR(INDEX(data!H:H,match(Caseslist!B1810,data!D:D,0)), "INC")</f>
        <v>Franz Reoben Posadas Geneblaza</v>
      </c>
      <c r="F1810" s="10" t="str">
        <f t="array" ref="F1810">IF(
    OR(
      IFNA(INDEX(data!M:M, MATCH(Caseslist!B1810, data!D:D, 0)), "") = "",
      IFNA(INDEX(data!M:M, MATCH(Caseslist!B1810, data!D:D, 0)), 0) = 0
    ),
    "COMPLETE",
    IF(
      IFNA(INDEX(dataICM!D:D, MATCH(Caseslist!B1810, dataICM!D:D, 0)), "INC") = "INC",
      IFNA(INDEX(dataICM!D:D, MATCH(Caseslist!B1810, dataICM!D:D, 0)), "INC"),
      "COMPLETE"
    )
  )</f>
        <v>COMPLETE</v>
      </c>
      <c r="G1810" s="10" t="str">
        <f t="array" ref="G1810">IF(IFERROR(INDEX(data!L:L,match(Caseslist!B1810,data!D:D,0)),"INC")="","COMPLETE",F1810)</f>
        <v>COMPLETE</v>
      </c>
      <c r="H1810" s="9" t="str">
        <f t="array" ref="H1810">IFERROR(INDEX(dataICM!F:F,match(Caseslist!B1810,dataICM!D:D,0)), "INC")</f>
        <v>INC</v>
      </c>
      <c r="I1810" s="10" t="str">
        <f t="shared" si="2"/>
        <v>L2057896</v>
      </c>
      <c r="J1810" s="9" t="str">
        <f t="array" ref="J1810">IF(
  AND(
    IFERROR(MATCH(B1810, data!D:D, 0), 0) &gt; 0,
    IFERROR(INDEX(data!N:N, MATCH(B1810, data!D:D, 0)) = 1, FALSE)
  ),
  INDEX(data!C:C, MATCH(B1810, data!D:D, 0)),
  "INC"
)</f>
        <v>2025-08-30T15:00:54.900+08</v>
      </c>
      <c r="K1810" s="9" t="str">
        <f t="array" ref="K1810">IFERROR(INDEX(dataICM!C:C,match(Caseslist!B1810,dataICM!D:D,0)), "INC")</f>
        <v>INC</v>
      </c>
      <c r="L1810" s="10" t="str">
        <f t="array" ref="L1810">IF(AND(G1810="COMPLETE", OR(K1810="INC", ISBLANK(INDEX(data!O:O, ROW())))), J1810, K1810)</f>
        <v>2025-08-30T15:00:54.900+08</v>
      </c>
      <c r="M1810" s="2">
        <v>45899.0</v>
      </c>
      <c r="N1810" s="2">
        <f t="array" ref="N1810">IF(M1810&lt;&gt;"INC", INDEX(data!M:M, MATCH(B1810, data!D:D, 0)), "")</f>
        <v>0</v>
      </c>
      <c r="O1810" s="2">
        <f t="shared" si="3"/>
        <v>0</v>
      </c>
    </row>
    <row r="1811">
      <c r="A1811" s="2" t="str">
        <f t="shared" si="1"/>
        <v>H030852</v>
      </c>
      <c r="B1811" s="1" t="s">
        <v>2018</v>
      </c>
      <c r="C1811" s="9" t="str">
        <f t="array" ref="C1811">IF(
  AND(
    IFERROR(MATCH(Caseslist!B1811, data!D:D, 0), 0) &gt; 0,
    IFERROR(INDEX(data!N:N, MATCH(Caseslist!B1811, data!D:D, 0)) = 1, FALSE)
  ),
  "COMPLETE",
  "INC"
)</f>
        <v>COMPLETE</v>
      </c>
      <c r="D1811" s="9" t="str">
        <f t="array" ref="D1811">IFERROR(INDEX(data!$G:$G,match(Caseslist!B1811,data!$D:$D,0)), "INC")</f>
        <v>L2057896</v>
      </c>
      <c r="E1811" s="9" t="str">
        <f t="array" ref="E1811">IFERROR(INDEX(data!H:H,match(Caseslist!B1811,data!D:D,0)), "INC")</f>
        <v>Franz Reoben Posadas Geneblaza</v>
      </c>
      <c r="F1811" s="10" t="str">
        <f t="array" ref="F1811">IF(
    OR(
      IFNA(INDEX(data!M:M, MATCH(Caseslist!B1811, data!D:D, 0)), "") = "",
      IFNA(INDEX(data!M:M, MATCH(Caseslist!B1811, data!D:D, 0)), 0) = 0
    ),
    "COMPLETE",
    IF(
      IFNA(INDEX(dataICM!D:D, MATCH(Caseslist!B1811, dataICM!D:D, 0)), "INC") = "INC",
      IFNA(INDEX(dataICM!D:D, MATCH(Caseslist!B1811, dataICM!D:D, 0)), "INC"),
      "COMPLETE"
    )
  )</f>
        <v>COMPLETE</v>
      </c>
      <c r="G1811" s="10" t="str">
        <f t="array" ref="G1811">IF(IFERROR(INDEX(data!L:L,match(Caseslist!B1811,data!D:D,0)),"INC")="","COMPLETE",F1811)</f>
        <v>COMPLETE</v>
      </c>
      <c r="H1811" s="9" t="str">
        <f t="array" ref="H1811">IFERROR(INDEX(dataICM!F:F,match(Caseslist!B1811,dataICM!D:D,0)), "INC")</f>
        <v>INC</v>
      </c>
      <c r="I1811" s="10" t="str">
        <f t="shared" si="2"/>
        <v>L2057896</v>
      </c>
      <c r="J1811" s="9" t="str">
        <f t="array" ref="J1811">IF(
  AND(
    IFERROR(MATCH(B1811, data!D:D, 0), 0) &gt; 0,
    IFERROR(INDEX(data!N:N, MATCH(B1811, data!D:D, 0)) = 1, FALSE)
  ),
  INDEX(data!C:C, MATCH(B1811, data!D:D, 0)),
  "INC"
)</f>
        <v>2025-08-30T13:42:06.126+08</v>
      </c>
      <c r="K1811" s="9" t="str">
        <f t="array" ref="K1811">IFERROR(INDEX(dataICM!C:C,match(Caseslist!B1811,dataICM!D:D,0)), "INC")</f>
        <v>INC</v>
      </c>
      <c r="L1811" s="10" t="str">
        <f t="array" ref="L1811">IF(AND(G1811="COMPLETE", OR(K1811="INC", ISBLANK(INDEX(data!O:O, ROW())))), J1811, K1811)</f>
        <v>2025-08-30T13:42:06.126+08</v>
      </c>
      <c r="M1811" s="2">
        <v>45899.0</v>
      </c>
      <c r="N1811" s="2">
        <f t="array" ref="N1811">IF(M1811&lt;&gt;"INC", INDEX(data!M:M, MATCH(B1811, data!D:D, 0)), "")</f>
        <v>0</v>
      </c>
      <c r="O1811" s="2">
        <f t="shared" si="3"/>
        <v>0</v>
      </c>
    </row>
    <row r="1812">
      <c r="A1812" s="2" t="str">
        <f t="shared" si="1"/>
        <v>H030852</v>
      </c>
      <c r="B1812" s="1" t="s">
        <v>2028</v>
      </c>
      <c r="C1812" s="9" t="str">
        <f t="array" ref="C1812">IF(
  AND(
    IFERROR(MATCH(Caseslist!B1812, data!D:D, 0), 0) &gt; 0,
    IFERROR(INDEX(data!N:N, MATCH(Caseslist!B1812, data!D:D, 0)) = 1, FALSE)
  ),
  "COMPLETE",
  "INC"
)</f>
        <v>COMPLETE</v>
      </c>
      <c r="D1812" s="9" t="str">
        <f t="array" ref="D1812">IFERROR(INDEX(data!$G:$G,match(Caseslist!B1812,data!$D:$D,0)), "INC")</f>
        <v>L2057896</v>
      </c>
      <c r="E1812" s="9" t="str">
        <f t="array" ref="E1812">IFERROR(INDEX(data!H:H,match(Caseslist!B1812,data!D:D,0)), "INC")</f>
        <v>Franz Reoben Posadas Geneblaza</v>
      </c>
      <c r="F1812" s="10" t="str">
        <f t="array" ref="F1812">IF(
    OR(
      IFNA(INDEX(data!M:M, MATCH(Caseslist!B1812, data!D:D, 0)), "") = "",
      IFNA(INDEX(data!M:M, MATCH(Caseslist!B1812, data!D:D, 0)), 0) = 0
    ),
    "COMPLETE",
    IF(
      IFNA(INDEX(dataICM!D:D, MATCH(Caseslist!B1812, dataICM!D:D, 0)), "INC") = "INC",
      IFNA(INDEX(dataICM!D:D, MATCH(Caseslist!B1812, dataICM!D:D, 0)), "INC"),
      "COMPLETE"
    )
  )</f>
        <v>COMPLETE</v>
      </c>
      <c r="G1812" s="10" t="str">
        <f t="array" ref="G1812">IF(IFERROR(INDEX(data!L:L,match(Caseslist!B1812,data!D:D,0)),"INC")="","COMPLETE",F1812)</f>
        <v>COMPLETE</v>
      </c>
      <c r="H1812" s="9" t="str">
        <f t="array" ref="H1812">IFERROR(INDEX(dataICM!F:F,match(Caseslist!B1812,dataICM!D:D,0)), "INC")</f>
        <v>INC</v>
      </c>
      <c r="I1812" s="10" t="str">
        <f t="shared" si="2"/>
        <v>L2057896</v>
      </c>
      <c r="J1812" s="9" t="str">
        <f t="array" ref="J1812">IF(
  AND(
    IFERROR(MATCH(B1812, data!D:D, 0), 0) &gt; 0,
    IFERROR(INDEX(data!N:N, MATCH(B1812, data!D:D, 0)) = 1, FALSE)
  ),
  INDEX(data!C:C, MATCH(B1812, data!D:D, 0)),
  "INC"
)</f>
        <v>2025-08-30T20:27:08.554+08</v>
      </c>
      <c r="K1812" s="9" t="str">
        <f t="array" ref="K1812">IFERROR(INDEX(dataICM!C:C,match(Caseslist!B1812,dataICM!D:D,0)), "INC")</f>
        <v>INC</v>
      </c>
      <c r="L1812" s="10" t="str">
        <f t="array" ref="L1812">IF(AND(G1812="COMPLETE", OR(K1812="INC", ISBLANK(INDEX(data!O:O, ROW())))), J1812, K1812)</f>
        <v>2025-08-30T20:27:08.554+08</v>
      </c>
      <c r="M1812" s="2">
        <v>45899.0</v>
      </c>
      <c r="N1812" s="2">
        <f t="array" ref="N1812">IF(M1812&lt;&gt;"INC", INDEX(data!M:M, MATCH(B1812, data!D:D, 0)), "")</f>
        <v>0</v>
      </c>
      <c r="O1812" s="2">
        <f t="shared" si="3"/>
        <v>0</v>
      </c>
    </row>
    <row r="1813">
      <c r="A1813" s="2" t="str">
        <f t="shared" si="1"/>
        <v>H030852</v>
      </c>
      <c r="B1813" s="1" t="s">
        <v>2003</v>
      </c>
      <c r="C1813" s="9" t="str">
        <f t="array" ref="C1813">IF(
  AND(
    IFERROR(MATCH(Caseslist!B1813, data!D:D, 0), 0) &gt; 0,
    IFERROR(INDEX(data!N:N, MATCH(Caseslist!B1813, data!D:D, 0)) = 1, FALSE)
  ),
  "COMPLETE",
  "INC"
)</f>
        <v>COMPLETE</v>
      </c>
      <c r="D1813" s="9" t="str">
        <f t="array" ref="D1813">IFERROR(INDEX(data!$G:$G,match(Caseslist!B1813,data!$D:$D,0)), "INC")</f>
        <v>M6491032</v>
      </c>
      <c r="E1813" s="9" t="str">
        <f t="array" ref="E1813">IFERROR(INDEX(data!H:H,match(Caseslist!B1813,data!D:D,0)), "INC")</f>
        <v>Rosevil Tayo Desamparado</v>
      </c>
      <c r="F1813" s="10" t="str">
        <f t="array" ref="F1813">IF(
    OR(
      IFNA(INDEX(data!M:M, MATCH(Caseslist!B1813, data!D:D, 0)), "") = "",
      IFNA(INDEX(data!M:M, MATCH(Caseslist!B1813, data!D:D, 0)), 0) = 0
    ),
    "COMPLETE",
    IF(
      IFNA(INDEX(dataICM!D:D, MATCH(Caseslist!B1813, dataICM!D:D, 0)), "INC") = "INC",
      IFNA(INDEX(dataICM!D:D, MATCH(Caseslist!B1813, dataICM!D:D, 0)), "INC"),
      "COMPLETE"
    )
  )</f>
        <v>COMPLETE</v>
      </c>
      <c r="G1813" s="10" t="str">
        <f t="array" ref="G1813">IF(IFERROR(INDEX(data!L:L,match(Caseslist!B1813,data!D:D,0)),"INC")="","COMPLETE",F1813)</f>
        <v>COMPLETE</v>
      </c>
      <c r="H1813" s="9" t="str">
        <f t="array" ref="H1813">IFERROR(INDEX(dataICM!F:F,match(Caseslist!B1813,dataICM!D:D,0)), "INC")</f>
        <v>INC</v>
      </c>
      <c r="I1813" s="10" t="str">
        <f t="shared" si="2"/>
        <v>M6491032</v>
      </c>
      <c r="J1813" s="9" t="str">
        <f t="array" ref="J1813">IF(
  AND(
    IFERROR(MATCH(B1813, data!D:D, 0), 0) &gt; 0,
    IFERROR(INDEX(data!N:N, MATCH(B1813, data!D:D, 0)) = 1, FALSE)
  ),
  INDEX(data!C:C, MATCH(B1813, data!D:D, 0)),
  "INC"
)</f>
        <v>2025-08-30T10:57:18.189+08</v>
      </c>
      <c r="K1813" s="9" t="str">
        <f t="array" ref="K1813">IFERROR(INDEX(dataICM!C:C,match(Caseslist!B1813,dataICM!D:D,0)), "INC")</f>
        <v>INC</v>
      </c>
      <c r="L1813" s="10" t="str">
        <f t="array" ref="L1813">IF(AND(G1813="COMPLETE", OR(K1813="INC", ISBLANK(INDEX(data!O:O, ROW())))), J1813, K1813)</f>
        <v>2025-08-30T10:57:18.189+08</v>
      </c>
      <c r="M1813" s="2">
        <v>45899.0</v>
      </c>
      <c r="N1813" s="2">
        <f t="array" ref="N1813">IF(M1813&lt;&gt;"INC", INDEX(data!M:M, MATCH(B1813, data!D:D, 0)), "")</f>
        <v>0</v>
      </c>
      <c r="O1813" s="2">
        <f t="shared" si="3"/>
        <v>0</v>
      </c>
    </row>
    <row r="1814">
      <c r="A1814" s="2" t="str">
        <f t="shared" si="1"/>
        <v>H030852</v>
      </c>
      <c r="B1814" s="1" t="s">
        <v>2063</v>
      </c>
      <c r="C1814" s="9" t="str">
        <f t="array" ref="C1814">IF(
  AND(
    IFERROR(MATCH(Caseslist!B1814, data!D:D, 0), 0) &gt; 0,
    IFERROR(INDEX(data!N:N, MATCH(Caseslist!B1814, data!D:D, 0)) = 1, FALSE)
  ),
  "COMPLETE",
  "INC"
)</f>
        <v>COMPLETE</v>
      </c>
      <c r="D1814" s="9" t="str">
        <f t="array" ref="D1814">IFERROR(INDEX(data!$G:$G,match(Caseslist!B1814,data!$D:$D,0)), "INC")</f>
        <v>J4315980</v>
      </c>
      <c r="E1814" s="9" t="str">
        <f t="array" ref="E1814">IFERROR(INDEX(data!H:H,match(Caseslist!B1814,data!D:D,0)), "INC")</f>
        <v>Trixie Marie Jardeleza Saber</v>
      </c>
      <c r="F1814" s="10" t="str">
        <f t="array" ref="F1814">IF(
    OR(
      IFNA(INDEX(data!M:M, MATCH(Caseslist!B1814, data!D:D, 0)), "") = "",
      IFNA(INDEX(data!M:M, MATCH(Caseslist!B1814, data!D:D, 0)), 0) = 0
    ),
    "COMPLETE",
    IF(
      IFNA(INDEX(dataICM!D:D, MATCH(Caseslist!B1814, dataICM!D:D, 0)), "INC") = "INC",
      IFNA(INDEX(dataICM!D:D, MATCH(Caseslist!B1814, dataICM!D:D, 0)), "INC"),
      "COMPLETE"
    )
  )</f>
        <v>COMPLETE</v>
      </c>
      <c r="G1814" s="10" t="str">
        <f t="array" ref="G1814">IF(IFERROR(INDEX(data!L:L,match(Caseslist!B1814,data!D:D,0)),"INC")="","COMPLETE",F1814)</f>
        <v>COMPLETE</v>
      </c>
      <c r="H1814" s="9" t="str">
        <f t="array" ref="H1814">IFERROR(INDEX(dataICM!F:F,match(Caseslist!B1814,dataICM!D:D,0)), "INC")</f>
        <v>INC</v>
      </c>
      <c r="I1814" s="10" t="str">
        <f t="shared" si="2"/>
        <v>J4315980</v>
      </c>
      <c r="J1814" s="9" t="str">
        <f t="array" ref="J1814">IF(
  AND(
    IFERROR(MATCH(B1814, data!D:D, 0), 0) &gt; 0,
    IFERROR(INDEX(data!N:N, MATCH(B1814, data!D:D, 0)) = 1, FALSE)
  ),
  INDEX(data!C:C, MATCH(B1814, data!D:D, 0)),
  "INC"
)</f>
        <v>2025-08-30T15:20:17.749+08</v>
      </c>
      <c r="K1814" s="9" t="str">
        <f t="array" ref="K1814">IFERROR(INDEX(dataICM!C:C,match(Caseslist!B1814,dataICM!D:D,0)), "INC")</f>
        <v>INC</v>
      </c>
      <c r="L1814" s="10" t="str">
        <f t="array" ref="L1814">IF(AND(G1814="COMPLETE", OR(K1814="INC", ISBLANK(INDEX(data!O:O, ROW())))), J1814, K1814)</f>
        <v>2025-08-30T15:20:17.749+08</v>
      </c>
      <c r="M1814" s="2">
        <v>45899.0</v>
      </c>
      <c r="N1814" s="2">
        <f t="array" ref="N1814">IF(M1814&lt;&gt;"INC", INDEX(data!M:M, MATCH(B1814, data!D:D, 0)), "")</f>
        <v>0</v>
      </c>
      <c r="O1814" s="2">
        <f t="shared" si="3"/>
        <v>0</v>
      </c>
    </row>
    <row r="1815">
      <c r="A1815" s="2" t="str">
        <f t="shared" si="1"/>
        <v>H030852</v>
      </c>
      <c r="B1815" s="1" t="s">
        <v>2033</v>
      </c>
      <c r="C1815" s="9" t="str">
        <f t="array" ref="C1815">IF(
  AND(
    IFERROR(MATCH(Caseslist!B1815, data!D:D, 0), 0) &gt; 0,
    IFERROR(INDEX(data!N:N, MATCH(Caseslist!B1815, data!D:D, 0)) = 1, FALSE)
  ),
  "COMPLETE",
  "INC"
)</f>
        <v>COMPLETE</v>
      </c>
      <c r="D1815" s="9" t="str">
        <f t="array" ref="D1815">IFERROR(INDEX(data!$G:$G,match(Caseslist!B1815,data!$D:$D,0)), "INC")</f>
        <v>J4315980</v>
      </c>
      <c r="E1815" s="9" t="str">
        <f t="array" ref="E1815">IFERROR(INDEX(data!H:H,match(Caseslist!B1815,data!D:D,0)), "INC")</f>
        <v>Trixie Marie Jardeleza Saber</v>
      </c>
      <c r="F1815" s="10" t="str">
        <f t="array" ref="F1815">IF(
    OR(
      IFNA(INDEX(data!M:M, MATCH(Caseslist!B1815, data!D:D, 0)), "") = "",
      IFNA(INDEX(data!M:M, MATCH(Caseslist!B1815, data!D:D, 0)), 0) = 0
    ),
    "COMPLETE",
    IF(
      IFNA(INDEX(dataICM!D:D, MATCH(Caseslist!B1815, dataICM!D:D, 0)), "INC") = "INC",
      IFNA(INDEX(dataICM!D:D, MATCH(Caseslist!B1815, dataICM!D:D, 0)), "INC"),
      "COMPLETE"
    )
  )</f>
        <v>COMPLETE</v>
      </c>
      <c r="G1815" s="10" t="str">
        <f t="array" ref="G1815">IF(IFERROR(INDEX(data!L:L,match(Caseslist!B1815,data!D:D,0)),"INC")="","COMPLETE",F1815)</f>
        <v>COMPLETE</v>
      </c>
      <c r="H1815" s="9" t="str">
        <f t="array" ref="H1815">IFERROR(INDEX(dataICM!F:F,match(Caseslist!B1815,dataICM!D:D,0)), "INC")</f>
        <v>INC</v>
      </c>
      <c r="I1815" s="10" t="str">
        <f t="shared" si="2"/>
        <v>J4315980</v>
      </c>
      <c r="J1815" s="9" t="str">
        <f t="array" ref="J1815">IF(
  AND(
    IFERROR(MATCH(B1815, data!D:D, 0), 0) &gt; 0,
    IFERROR(INDEX(data!N:N, MATCH(B1815, data!D:D, 0)) = 1, FALSE)
  ),
  INDEX(data!C:C, MATCH(B1815, data!D:D, 0)),
  "INC"
)</f>
        <v>2025-08-31T11:42:04.860+08</v>
      </c>
      <c r="K1815" s="9" t="str">
        <f t="array" ref="K1815">IFERROR(INDEX(dataICM!C:C,match(Caseslist!B1815,dataICM!D:D,0)), "INC")</f>
        <v>INC</v>
      </c>
      <c r="L1815" s="10" t="str">
        <f t="array" ref="L1815">IF(AND(G1815="COMPLETE", OR(K1815="INC", ISBLANK(INDEX(data!O:O, ROW())))), J1815, K1815)</f>
        <v>2025-08-31T11:42:04.860+08</v>
      </c>
      <c r="M1815" s="2">
        <v>45900.0</v>
      </c>
      <c r="N1815" s="2">
        <f t="array" ref="N1815">IF(M1815&lt;&gt;"INC", INDEX(data!M:M, MATCH(B1815, data!D:D, 0)), "")</f>
        <v>0</v>
      </c>
      <c r="O1815" s="2">
        <f t="shared" si="3"/>
        <v>0</v>
      </c>
    </row>
    <row r="1816">
      <c r="A1816" s="2" t="str">
        <f t="shared" si="1"/>
        <v>H030852</v>
      </c>
      <c r="B1816" s="1" t="s">
        <v>2053</v>
      </c>
      <c r="C1816" s="9" t="str">
        <f t="array" ref="C1816">IF(
  AND(
    IFERROR(MATCH(Caseslist!B1816, data!D:D, 0), 0) &gt; 0,
    IFERROR(INDEX(data!N:N, MATCH(Caseslist!B1816, data!D:D, 0)) = 1, FALSE)
  ),
  "COMPLETE",
  "INC"
)</f>
        <v>COMPLETE</v>
      </c>
      <c r="D1816" s="9" t="str">
        <f t="array" ref="D1816">IFERROR(INDEX(data!$G:$G,match(Caseslist!B1816,data!$D:$D,0)), "INC")</f>
        <v>J4315980</v>
      </c>
      <c r="E1816" s="9" t="str">
        <f t="array" ref="E1816">IFERROR(INDEX(data!H:H,match(Caseslist!B1816,data!D:D,0)), "INC")</f>
        <v>Trixie Marie Jardeleza Saber</v>
      </c>
      <c r="F1816" s="10" t="str">
        <f t="array" ref="F1816">IF(
    OR(
      IFNA(INDEX(data!M:M, MATCH(Caseslist!B1816, data!D:D, 0)), "") = "",
      IFNA(INDEX(data!M:M, MATCH(Caseslist!B1816, data!D:D, 0)), 0) = 0
    ),
    "COMPLETE",
    IF(
      IFNA(INDEX(dataICM!D:D, MATCH(Caseslist!B1816, dataICM!D:D, 0)), "INC") = "INC",
      IFNA(INDEX(dataICM!D:D, MATCH(Caseslist!B1816, dataICM!D:D, 0)), "INC"),
      "COMPLETE"
    )
  )</f>
        <v>COMPLETE</v>
      </c>
      <c r="G1816" s="10" t="str">
        <f t="array" ref="G1816">IF(IFERROR(INDEX(data!L:L,match(Caseslist!B1816,data!D:D,0)),"INC")="","COMPLETE",F1816)</f>
        <v>COMPLETE</v>
      </c>
      <c r="H1816" s="9" t="str">
        <f t="array" ref="H1816">IFERROR(INDEX(dataICM!F:F,match(Caseslist!B1816,dataICM!D:D,0)), "INC")</f>
        <v>INC</v>
      </c>
      <c r="I1816" s="10" t="str">
        <f t="shared" si="2"/>
        <v>J4315980</v>
      </c>
      <c r="J1816" s="9" t="str">
        <f t="array" ref="J1816">IF(
  AND(
    IFERROR(MATCH(B1816, data!D:D, 0), 0) &gt; 0,
    IFERROR(INDEX(data!N:N, MATCH(B1816, data!D:D, 0)) = 1, FALSE)
  ),
  INDEX(data!C:C, MATCH(B1816, data!D:D, 0)),
  "INC"
)</f>
        <v>2025-08-30T11:16:52.187+08</v>
      </c>
      <c r="K1816" s="9" t="str">
        <f t="array" ref="K1816">IFERROR(INDEX(dataICM!C:C,match(Caseslist!B1816,dataICM!D:D,0)), "INC")</f>
        <v>INC</v>
      </c>
      <c r="L1816" s="10" t="str">
        <f t="array" ref="L1816">IF(AND(G1816="COMPLETE", OR(K1816="INC", ISBLANK(INDEX(data!O:O, ROW())))), J1816, K1816)</f>
        <v>2025-08-30T11:16:52.187+08</v>
      </c>
      <c r="M1816" s="2">
        <v>45899.0</v>
      </c>
      <c r="N1816" s="2">
        <f t="array" ref="N1816">IF(M1816&lt;&gt;"INC", INDEX(data!M:M, MATCH(B1816, data!D:D, 0)), "")</f>
        <v>0</v>
      </c>
      <c r="O1816" s="2">
        <f t="shared" si="3"/>
        <v>0</v>
      </c>
    </row>
    <row r="1817">
      <c r="A1817" s="2" t="str">
        <f t="shared" si="1"/>
        <v>H030852</v>
      </c>
      <c r="B1817" s="1" t="s">
        <v>2058</v>
      </c>
      <c r="C1817" s="9" t="str">
        <f t="array" ref="C1817">IF(
  AND(
    IFERROR(MATCH(Caseslist!B1817, data!D:D, 0), 0) &gt; 0,
    IFERROR(INDEX(data!N:N, MATCH(Caseslist!B1817, data!D:D, 0)) = 1, FALSE)
  ),
  "COMPLETE",
  "INC"
)</f>
        <v>COMPLETE</v>
      </c>
      <c r="D1817" s="9" t="str">
        <f t="array" ref="D1817">IFERROR(INDEX(data!$G:$G,match(Caseslist!B1817,data!$D:$D,0)), "INC")</f>
        <v>J4315980</v>
      </c>
      <c r="E1817" s="9" t="str">
        <f t="array" ref="E1817">IFERROR(INDEX(data!H:H,match(Caseslist!B1817,data!D:D,0)), "INC")</f>
        <v>Trixie Marie Jardeleza Saber</v>
      </c>
      <c r="F1817" s="10" t="str">
        <f t="array" ref="F1817">IF(
    OR(
      IFNA(INDEX(data!M:M, MATCH(Caseslist!B1817, data!D:D, 0)), "") = "",
      IFNA(INDEX(data!M:M, MATCH(Caseslist!B1817, data!D:D, 0)), 0) = 0
    ),
    "COMPLETE",
    IF(
      IFNA(INDEX(dataICM!D:D, MATCH(Caseslist!B1817, dataICM!D:D, 0)), "INC") = "INC",
      IFNA(INDEX(dataICM!D:D, MATCH(Caseslist!B1817, dataICM!D:D, 0)), "INC"),
      "COMPLETE"
    )
  )</f>
        <v>COMPLETE</v>
      </c>
      <c r="G1817" s="10" t="str">
        <f t="array" ref="G1817">IF(IFERROR(INDEX(data!L:L,match(Caseslist!B1817,data!D:D,0)),"INC")="","COMPLETE",F1817)</f>
        <v>COMPLETE</v>
      </c>
      <c r="H1817" s="9" t="str">
        <f t="array" ref="H1817">IFERROR(INDEX(dataICM!F:F,match(Caseslist!B1817,dataICM!D:D,0)), "INC")</f>
        <v>INC</v>
      </c>
      <c r="I1817" s="10" t="str">
        <f t="shared" si="2"/>
        <v>J4315980</v>
      </c>
      <c r="J1817" s="9" t="str">
        <f t="array" ref="J1817">IF(
  AND(
    IFERROR(MATCH(B1817, data!D:D, 0), 0) &gt; 0,
    IFERROR(INDEX(data!N:N, MATCH(B1817, data!D:D, 0)) = 1, FALSE)
  ),
  INDEX(data!C:C, MATCH(B1817, data!D:D, 0)),
  "INC"
)</f>
        <v>2025-08-30T13:31:03.700+08</v>
      </c>
      <c r="K1817" s="9" t="str">
        <f t="array" ref="K1817">IFERROR(INDEX(dataICM!C:C,match(Caseslist!B1817,dataICM!D:D,0)), "INC")</f>
        <v>INC</v>
      </c>
      <c r="L1817" s="10" t="str">
        <f t="array" ref="L1817">IF(AND(G1817="COMPLETE", OR(K1817="INC", ISBLANK(INDEX(data!O:O, ROW())))), J1817, K1817)</f>
        <v>2025-08-30T13:31:03.700+08</v>
      </c>
      <c r="M1817" s="2">
        <v>45899.0</v>
      </c>
      <c r="N1817" s="2">
        <f t="array" ref="N1817">IF(M1817&lt;&gt;"INC", INDEX(data!M:M, MATCH(B1817, data!D:D, 0)), "")</f>
        <v>0</v>
      </c>
      <c r="O1817" s="2">
        <f t="shared" si="3"/>
        <v>0</v>
      </c>
    </row>
    <row r="1818">
      <c r="A1818" s="2" t="str">
        <f t="shared" si="1"/>
        <v>H030852</v>
      </c>
      <c r="B1818" s="1" t="s">
        <v>2038</v>
      </c>
      <c r="C1818" s="9" t="str">
        <f t="array" ref="C1818">IF(
  AND(
    IFERROR(MATCH(Caseslist!B1818, data!D:D, 0), 0) &gt; 0,
    IFERROR(INDEX(data!N:N, MATCH(Caseslist!B1818, data!D:D, 0)) = 1, FALSE)
  ),
  "COMPLETE",
  "INC"
)</f>
        <v>COMPLETE</v>
      </c>
      <c r="D1818" s="9" t="str">
        <f t="array" ref="D1818">IFERROR(INDEX(data!$G:$G,match(Caseslist!B1818,data!$D:$D,0)), "INC")</f>
        <v>K8623174</v>
      </c>
      <c r="E1818" s="9" t="str">
        <f t="array" ref="E1818">IFERROR(INDEX(data!H:H,match(Caseslist!B1818,data!D:D,0)), "INC")</f>
        <v>Marielle Kaye Ignacio Alonzo</v>
      </c>
      <c r="F1818" s="10" t="str">
        <f t="array" ref="F1818">IF(
    OR(
      IFNA(INDEX(data!M:M, MATCH(Caseslist!B1818, data!D:D, 0)), "") = "",
      IFNA(INDEX(data!M:M, MATCH(Caseslist!B1818, data!D:D, 0)), 0) = 0
    ),
    "COMPLETE",
    IF(
      IFNA(INDEX(dataICM!D:D, MATCH(Caseslist!B1818, dataICM!D:D, 0)), "INC") = "INC",
      IFNA(INDEX(dataICM!D:D, MATCH(Caseslist!B1818, dataICM!D:D, 0)), "INC"),
      "COMPLETE"
    )
  )</f>
        <v>COMPLETE</v>
      </c>
      <c r="G1818" s="10" t="str">
        <f t="array" ref="G1818">IF(IFERROR(INDEX(data!L:L,match(Caseslist!B1818,data!D:D,0)),"INC")="","COMPLETE",F1818)</f>
        <v>COMPLETE</v>
      </c>
      <c r="H1818" s="9" t="str">
        <f t="array" ref="H1818">IFERROR(INDEX(dataICM!F:F,match(Caseslist!B1818,dataICM!D:D,0)), "INC")</f>
        <v>INC</v>
      </c>
      <c r="I1818" s="10" t="str">
        <f t="shared" si="2"/>
        <v>K8623174</v>
      </c>
      <c r="J1818" s="9" t="str">
        <f t="array" ref="J1818">IF(
  AND(
    IFERROR(MATCH(B1818, data!D:D, 0), 0) &gt; 0,
    IFERROR(INDEX(data!N:N, MATCH(B1818, data!D:D, 0)) = 1, FALSE)
  ),
  INDEX(data!C:C, MATCH(B1818, data!D:D, 0)),
  "INC"
)</f>
        <v>2025-08-30T13:44:09.429+08</v>
      </c>
      <c r="K1818" s="9" t="str">
        <f t="array" ref="K1818">IFERROR(INDEX(dataICM!C:C,match(Caseslist!B1818,dataICM!D:D,0)), "INC")</f>
        <v>INC</v>
      </c>
      <c r="L1818" s="10" t="str">
        <f t="array" ref="L1818">IF(AND(G1818="COMPLETE", OR(K1818="INC", ISBLANK(INDEX(data!O:O, ROW())))), J1818, K1818)</f>
        <v>2025-08-30T13:44:09.429+08</v>
      </c>
      <c r="M1818" s="2">
        <v>45899.0</v>
      </c>
      <c r="N1818" s="2">
        <f t="array" ref="N1818">IF(M1818&lt;&gt;"INC", INDEX(data!M:M, MATCH(B1818, data!D:D, 0)), "")</f>
        <v>0</v>
      </c>
      <c r="O1818" s="2">
        <f t="shared" si="3"/>
        <v>0</v>
      </c>
    </row>
    <row r="1819">
      <c r="A1819" s="2" t="str">
        <f t="shared" si="1"/>
        <v>H030852</v>
      </c>
      <c r="B1819" s="1" t="s">
        <v>2013</v>
      </c>
      <c r="C1819" s="9" t="str">
        <f t="array" ref="C1819">IF(
  AND(
    IFERROR(MATCH(Caseslist!B1819, data!D:D, 0), 0) &gt; 0,
    IFERROR(INDEX(data!N:N, MATCH(Caseslist!B1819, data!D:D, 0)) = 1, FALSE)
  ),
  "COMPLETE",
  "INC"
)</f>
        <v>COMPLETE</v>
      </c>
      <c r="D1819" s="9" t="str">
        <f t="array" ref="D1819">IFERROR(INDEX(data!$G:$G,match(Caseslist!B1819,data!$D:$D,0)), "INC")</f>
        <v>J4315980</v>
      </c>
      <c r="E1819" s="9" t="str">
        <f t="array" ref="E1819">IFERROR(INDEX(data!H:H,match(Caseslist!B1819,data!D:D,0)), "INC")</f>
        <v>Trixie Marie Jardeleza Saber</v>
      </c>
      <c r="F1819" s="10" t="str">
        <f t="array" ref="F1819">IF(
    OR(
      IFNA(INDEX(data!M:M, MATCH(Caseslist!B1819, data!D:D, 0)), "") = "",
      IFNA(INDEX(data!M:M, MATCH(Caseslist!B1819, data!D:D, 0)), 0) = 0
    ),
    "COMPLETE",
    IF(
      IFNA(INDEX(dataICM!D:D, MATCH(Caseslist!B1819, dataICM!D:D, 0)), "INC") = "INC",
      IFNA(INDEX(dataICM!D:D, MATCH(Caseslist!B1819, dataICM!D:D, 0)), "INC"),
      "COMPLETE"
    )
  )</f>
        <v>COMPLETE</v>
      </c>
      <c r="G1819" s="10" t="str">
        <f t="array" ref="G1819">IF(IFERROR(INDEX(data!L:L,match(Caseslist!B1819,data!D:D,0)),"INC")="","COMPLETE",F1819)</f>
        <v>COMPLETE</v>
      </c>
      <c r="H1819" s="9" t="str">
        <f t="array" ref="H1819">IFERROR(INDEX(dataICM!F:F,match(Caseslist!B1819,dataICM!D:D,0)), "INC")</f>
        <v>INC</v>
      </c>
      <c r="I1819" s="10" t="str">
        <f t="shared" si="2"/>
        <v>J4315980</v>
      </c>
      <c r="J1819" s="9" t="str">
        <f t="array" ref="J1819">IF(
  AND(
    IFERROR(MATCH(B1819, data!D:D, 0), 0) &gt; 0,
    IFERROR(INDEX(data!N:N, MATCH(B1819, data!D:D, 0)) = 1, FALSE)
  ),
  INDEX(data!C:C, MATCH(B1819, data!D:D, 0)),
  "INC"
)</f>
        <v>2025-08-31T10:22:16.976+08</v>
      </c>
      <c r="K1819" s="9" t="str">
        <f t="array" ref="K1819">IFERROR(INDEX(dataICM!C:C,match(Caseslist!B1819,dataICM!D:D,0)), "INC")</f>
        <v>INC</v>
      </c>
      <c r="L1819" s="10" t="str">
        <f t="array" ref="L1819">IF(AND(G1819="COMPLETE", OR(K1819="INC", ISBLANK(INDEX(data!O:O, ROW())))), J1819, K1819)</f>
        <v>2025-08-31T10:22:16.976+08</v>
      </c>
      <c r="M1819" s="2">
        <v>45900.0</v>
      </c>
      <c r="N1819" s="2">
        <f t="array" ref="N1819">IF(M1819&lt;&gt;"INC", INDEX(data!M:M, MATCH(B1819, data!D:D, 0)), "")</f>
        <v>0</v>
      </c>
      <c r="O1819" s="2">
        <f t="shared" si="3"/>
        <v>0</v>
      </c>
    </row>
    <row r="1820">
      <c r="A1820" s="2" t="str">
        <f t="shared" si="1"/>
        <v>H030852</v>
      </c>
      <c r="B1820" s="1" t="s">
        <v>2008</v>
      </c>
      <c r="C1820" s="9" t="str">
        <f t="array" ref="C1820">IF(
  AND(
    IFERROR(MATCH(Caseslist!B1820, data!D:D, 0), 0) &gt; 0,
    IFERROR(INDEX(data!N:N, MATCH(Caseslist!B1820, data!D:D, 0)) = 1, FALSE)
  ),
  "COMPLETE",
  "INC"
)</f>
        <v>COMPLETE</v>
      </c>
      <c r="D1820" s="9" t="str">
        <f t="array" ref="D1820">IFERROR(INDEX(data!$G:$G,match(Caseslist!B1820,data!$D:$D,0)), "INC")</f>
        <v>M6491032</v>
      </c>
      <c r="E1820" s="9" t="str">
        <f t="array" ref="E1820">IFERROR(INDEX(data!H:H,match(Caseslist!B1820,data!D:D,0)), "INC")</f>
        <v>Rosevil Tayo Desamparado</v>
      </c>
      <c r="F1820" s="10" t="str">
        <f t="array" ref="F1820">IF(
    OR(
      IFNA(INDEX(data!M:M, MATCH(Caseslist!B1820, data!D:D, 0)), "") = "",
      IFNA(INDEX(data!M:M, MATCH(Caseslist!B1820, data!D:D, 0)), 0) = 0
    ),
    "COMPLETE",
    IF(
      IFNA(INDEX(dataICM!D:D, MATCH(Caseslist!B1820, dataICM!D:D, 0)), "INC") = "INC",
      IFNA(INDEX(dataICM!D:D, MATCH(Caseslist!B1820, dataICM!D:D, 0)), "INC"),
      "COMPLETE"
    )
  )</f>
        <v>COMPLETE</v>
      </c>
      <c r="G1820" s="10" t="str">
        <f t="array" ref="G1820">IF(IFERROR(INDEX(data!L:L,match(Caseslist!B1820,data!D:D,0)),"INC")="","COMPLETE",F1820)</f>
        <v>COMPLETE</v>
      </c>
      <c r="H1820" s="9" t="str">
        <f t="array" ref="H1820">IFERROR(INDEX(dataICM!F:F,match(Caseslist!B1820,dataICM!D:D,0)), "INC")</f>
        <v>INC</v>
      </c>
      <c r="I1820" s="10" t="str">
        <f t="shared" si="2"/>
        <v>M6491032</v>
      </c>
      <c r="J1820" s="9" t="str">
        <f t="array" ref="J1820">IF(
  AND(
    IFERROR(MATCH(B1820, data!D:D, 0), 0) &gt; 0,
    IFERROR(INDEX(data!N:N, MATCH(B1820, data!D:D, 0)) = 1, FALSE)
  ),
  INDEX(data!C:C, MATCH(B1820, data!D:D, 0)),
  "INC"
)</f>
        <v>2025-08-30T13:35:38.779+08</v>
      </c>
      <c r="K1820" s="9" t="str">
        <f t="array" ref="K1820">IFERROR(INDEX(dataICM!C:C,match(Caseslist!B1820,dataICM!D:D,0)), "INC")</f>
        <v>INC</v>
      </c>
      <c r="L1820" s="10" t="str">
        <f t="array" ref="L1820">IF(AND(G1820="COMPLETE", OR(K1820="INC", ISBLANK(INDEX(data!O:O, ROW())))), J1820, K1820)</f>
        <v>2025-08-30T13:35:38.779+08</v>
      </c>
      <c r="M1820" s="2">
        <v>45899.0</v>
      </c>
      <c r="N1820" s="2">
        <f t="array" ref="N1820">IF(M1820&lt;&gt;"INC", INDEX(data!M:M, MATCH(B1820, data!D:D, 0)), "")</f>
        <v>0</v>
      </c>
      <c r="O1820" s="2">
        <f t="shared" si="3"/>
        <v>0</v>
      </c>
    </row>
    <row r="1821">
      <c r="A1821" s="2" t="str">
        <f t="shared" si="1"/>
        <v>H030852</v>
      </c>
      <c r="B1821" s="1" t="s">
        <v>2043</v>
      </c>
      <c r="C1821" s="9" t="str">
        <f t="array" ref="C1821">IF(
  AND(
    IFERROR(MATCH(Caseslist!B1821, data!D:D, 0), 0) &gt; 0,
    IFERROR(INDEX(data!N:N, MATCH(Caseslist!B1821, data!D:D, 0)) = 1, FALSE)
  ),
  "COMPLETE",
  "INC"
)</f>
        <v>COMPLETE</v>
      </c>
      <c r="D1821" s="9" t="str">
        <f t="array" ref="D1821">IFERROR(INDEX(data!$G:$G,match(Caseslist!B1821,data!$D:$D,0)), "INC")</f>
        <v>K8623174</v>
      </c>
      <c r="E1821" s="9" t="str">
        <f t="array" ref="E1821">IFERROR(INDEX(data!H:H,match(Caseslist!B1821,data!D:D,0)), "INC")</f>
        <v>Marielle Kaye Ignacio Alonzo</v>
      </c>
      <c r="F1821" s="10" t="str">
        <f t="array" ref="F1821">IF(
    OR(
      IFNA(INDEX(data!M:M, MATCH(Caseslist!B1821, data!D:D, 0)), "") = "",
      IFNA(INDEX(data!M:M, MATCH(Caseslist!B1821, data!D:D, 0)), 0) = 0
    ),
    "COMPLETE",
    IF(
      IFNA(INDEX(dataICM!D:D, MATCH(Caseslist!B1821, dataICM!D:D, 0)), "INC") = "INC",
      IFNA(INDEX(dataICM!D:D, MATCH(Caseslist!B1821, dataICM!D:D, 0)), "INC"),
      "COMPLETE"
    )
  )</f>
        <v>COMPLETE</v>
      </c>
      <c r="G1821" s="10" t="str">
        <f t="array" ref="G1821">IF(IFERROR(INDEX(data!L:L,match(Caseslist!B1821,data!D:D,0)),"INC")="","COMPLETE",F1821)</f>
        <v>COMPLETE</v>
      </c>
      <c r="H1821" s="9" t="str">
        <f t="array" ref="H1821">IFERROR(INDEX(dataICM!F:F,match(Caseslist!B1821,dataICM!D:D,0)), "INC")</f>
        <v>INC</v>
      </c>
      <c r="I1821" s="10" t="str">
        <f t="shared" si="2"/>
        <v>K8623174</v>
      </c>
      <c r="J1821" s="9" t="str">
        <f t="array" ref="J1821">IF(
  AND(
    IFERROR(MATCH(B1821, data!D:D, 0), 0) &gt; 0,
    IFERROR(INDEX(data!N:N, MATCH(B1821, data!D:D, 0)) = 1, FALSE)
  ),
  INDEX(data!C:C, MATCH(B1821, data!D:D, 0)),
  "INC"
)</f>
        <v>2025-08-30T15:45:27.816+08</v>
      </c>
      <c r="K1821" s="9" t="str">
        <f t="array" ref="K1821">IFERROR(INDEX(dataICM!C:C,match(Caseslist!B1821,dataICM!D:D,0)), "INC")</f>
        <v>INC</v>
      </c>
      <c r="L1821" s="10" t="str">
        <f t="array" ref="L1821">IF(AND(G1821="COMPLETE", OR(K1821="INC", ISBLANK(INDEX(data!O:O, ROW())))), J1821, K1821)</f>
        <v>2025-08-30T15:45:27.816+08</v>
      </c>
      <c r="M1821" s="2">
        <v>45899.0</v>
      </c>
      <c r="N1821" s="2">
        <f t="array" ref="N1821">IF(M1821&lt;&gt;"INC", INDEX(data!M:M, MATCH(B1821, data!D:D, 0)), "")</f>
        <v>0</v>
      </c>
      <c r="O1821" s="2">
        <f t="shared" si="3"/>
        <v>0</v>
      </c>
    </row>
    <row r="1822">
      <c r="A1822" s="2" t="str">
        <f t="shared" si="1"/>
        <v>H030852</v>
      </c>
      <c r="B1822" s="1" t="s">
        <v>2068</v>
      </c>
      <c r="C1822" s="9" t="str">
        <f t="array" ref="C1822">IF(
  AND(
    IFERROR(MATCH(Caseslist!B1822, data!D:D, 0), 0) &gt; 0,
    IFERROR(INDEX(data!N:N, MATCH(Caseslist!B1822, data!D:D, 0)) = 1, FALSE)
  ),
  "COMPLETE",
  "INC"
)</f>
        <v>COMPLETE</v>
      </c>
      <c r="D1822" s="9" t="str">
        <f t="array" ref="D1822">IFERROR(INDEX(data!$G:$G,match(Caseslist!B1822,data!$D:$D,0)), "INC")</f>
        <v>J4315980</v>
      </c>
      <c r="E1822" s="9" t="str">
        <f t="array" ref="E1822">IFERROR(INDEX(data!H:H,match(Caseslist!B1822,data!D:D,0)), "INC")</f>
        <v>Trixie Marie Jardeleza Saber</v>
      </c>
      <c r="F1822" s="10" t="str">
        <f t="array" ref="F1822">IF(
    OR(
      IFNA(INDEX(data!M:M, MATCH(Caseslist!B1822, data!D:D, 0)), "") = "",
      IFNA(INDEX(data!M:M, MATCH(Caseslist!B1822, data!D:D, 0)), 0) = 0
    ),
    "COMPLETE",
    IF(
      IFNA(INDEX(dataICM!D:D, MATCH(Caseslist!B1822, dataICM!D:D, 0)), "INC") = "INC",
      IFNA(INDEX(dataICM!D:D, MATCH(Caseslist!B1822, dataICM!D:D, 0)), "INC"),
      "COMPLETE"
    )
  )</f>
        <v>COMPLETE</v>
      </c>
      <c r="G1822" s="10" t="str">
        <f t="array" ref="G1822">IF(IFERROR(INDEX(data!L:L,match(Caseslist!B1822,data!D:D,0)),"INC")="","COMPLETE",F1822)</f>
        <v>COMPLETE</v>
      </c>
      <c r="H1822" s="9" t="str">
        <f t="array" ref="H1822">IFERROR(INDEX(dataICM!F:F,match(Caseslist!B1822,dataICM!D:D,0)), "INC")</f>
        <v>INC</v>
      </c>
      <c r="I1822" s="10" t="str">
        <f t="shared" si="2"/>
        <v>J4315980</v>
      </c>
      <c r="J1822" s="9" t="str">
        <f t="array" ref="J1822">IF(
  AND(
    IFERROR(MATCH(B1822, data!D:D, 0), 0) &gt; 0,
    IFERROR(INDEX(data!N:N, MATCH(B1822, data!D:D, 0)) = 1, FALSE)
  ),
  INDEX(data!C:C, MATCH(B1822, data!D:D, 0)),
  "INC"
)</f>
        <v>2025-08-31T09:07:38.243+08</v>
      </c>
      <c r="K1822" s="9" t="str">
        <f t="array" ref="K1822">IFERROR(INDEX(dataICM!C:C,match(Caseslist!B1822,dataICM!D:D,0)), "INC")</f>
        <v>INC</v>
      </c>
      <c r="L1822" s="10" t="str">
        <f t="array" ref="L1822">IF(AND(G1822="COMPLETE", OR(K1822="INC", ISBLANK(INDEX(data!O:O, ROW())))), J1822, K1822)</f>
        <v>2025-08-31T09:07:38.243+08</v>
      </c>
      <c r="M1822" s="2">
        <v>45900.0</v>
      </c>
      <c r="N1822" s="2">
        <f t="array" ref="N1822">IF(M1822&lt;&gt;"INC", INDEX(data!M:M, MATCH(B1822, data!D:D, 0)), "")</f>
        <v>0</v>
      </c>
      <c r="O1822" s="2">
        <f t="shared" si="3"/>
        <v>0</v>
      </c>
    </row>
    <row r="1823">
      <c r="A1823" s="12"/>
      <c r="B1823" s="1"/>
      <c r="F1823" s="10"/>
      <c r="M1823" s="2" t="s">
        <v>8886</v>
      </c>
      <c r="N1823" s="2" t="str">
        <f t="array" ref="N1823">IF(M1823&lt;&gt;"INC", INDEX(data!M:M, MATCH(B1823, data!D:D, 0)), "")</f>
        <v/>
      </c>
    </row>
    <row r="1824">
      <c r="A1824" s="12"/>
      <c r="B1824" s="1"/>
      <c r="F1824" s="10"/>
      <c r="M1824" s="2" t="s">
        <v>8886</v>
      </c>
      <c r="N1824" s="2" t="str">
        <f t="array" ref="N1824">IF(M1824&lt;&gt;"INC", INDEX(data!M:M, MATCH(B1824, data!D:D, 0)), "")</f>
        <v/>
      </c>
    </row>
    <row r="1825">
      <c r="A1825" s="12"/>
      <c r="B1825" s="1"/>
      <c r="F1825" s="10"/>
      <c r="M1825" s="2" t="s">
        <v>8886</v>
      </c>
      <c r="N1825" s="2" t="str">
        <f t="array" ref="N1825">IF(M1825&lt;&gt;"INC", INDEX(data!M:M, MATCH(B1825, data!D:D, 0)), "")</f>
        <v/>
      </c>
    </row>
    <row r="1826">
      <c r="A1826" s="12"/>
      <c r="B1826" s="1"/>
      <c r="F1826" s="10"/>
      <c r="M1826" s="2" t="s">
        <v>8886</v>
      </c>
      <c r="N1826" s="2" t="str">
        <f t="array" ref="N1826">IF(M1826&lt;&gt;"INC", INDEX(data!M:M, MATCH(B1826, data!D:D, 0)), "")</f>
        <v/>
      </c>
    </row>
    <row r="1827">
      <c r="A1827" s="12"/>
      <c r="B1827" s="1"/>
      <c r="F1827" s="10"/>
      <c r="M1827" s="2" t="s">
        <v>8886</v>
      </c>
      <c r="N1827" s="2" t="str">
        <f t="array" ref="N1827">IF(M1827&lt;&gt;"INC", INDEX(data!M:M, MATCH(B1827, data!D:D, 0)), "")</f>
        <v/>
      </c>
    </row>
    <row r="1828">
      <c r="A1828" s="12"/>
      <c r="B1828" s="1"/>
      <c r="F1828" s="10"/>
      <c r="M1828" s="2" t="s">
        <v>8886</v>
      </c>
      <c r="N1828" s="2" t="str">
        <f t="array" ref="N1828">IF(M1828&lt;&gt;"INC", INDEX(data!M:M, MATCH(B1828, data!D:D, 0)), "")</f>
        <v/>
      </c>
    </row>
    <row r="1829">
      <c r="A1829" s="12"/>
      <c r="B1829" s="1"/>
      <c r="F1829" s="10"/>
      <c r="M1829" s="2" t="s">
        <v>8886</v>
      </c>
      <c r="N1829" s="2" t="str">
        <f t="array" ref="N1829">IF(M1829&lt;&gt;"INC", INDEX(data!M:M, MATCH(B1829, data!D:D, 0)), "")</f>
        <v/>
      </c>
    </row>
    <row r="1830">
      <c r="A1830" s="12"/>
      <c r="B1830" s="1"/>
      <c r="F1830" s="10"/>
      <c r="M1830" s="2" t="s">
        <v>8886</v>
      </c>
      <c r="N1830" s="2" t="str">
        <f t="array" ref="N1830">IF(M1830&lt;&gt;"INC", INDEX(data!M:M, MATCH(B1830, data!D:D, 0)), "")</f>
        <v/>
      </c>
    </row>
    <row r="1831">
      <c r="A1831" s="12"/>
      <c r="B1831" s="1"/>
      <c r="F1831" s="10"/>
      <c r="M1831" s="2" t="s">
        <v>8886</v>
      </c>
      <c r="N1831" s="2" t="str">
        <f t="array" ref="N1831">IF(M1831&lt;&gt;"INC", INDEX(data!M:M, MATCH(B1831, data!D:D, 0)), "")</f>
        <v/>
      </c>
    </row>
    <row r="1832">
      <c r="A1832" s="12"/>
      <c r="B1832" s="1"/>
      <c r="F1832" s="10"/>
      <c r="M1832" s="2" t="s">
        <v>8886</v>
      </c>
      <c r="N1832" s="2" t="str">
        <f t="array" ref="N1832">IF(M1832&lt;&gt;"INC", INDEX(data!M:M, MATCH(B1832, data!D:D, 0)), "")</f>
        <v/>
      </c>
    </row>
    <row r="1833">
      <c r="A1833" s="12"/>
      <c r="B1833" s="1"/>
      <c r="F1833" s="10"/>
      <c r="M1833" s="2" t="s">
        <v>8886</v>
      </c>
      <c r="N1833" s="2" t="str">
        <f t="array" ref="N1833">IF(M1833&lt;&gt;"INC", INDEX(data!M:M, MATCH(B1833, data!D:D, 0)), "")</f>
        <v/>
      </c>
    </row>
    <row r="1834">
      <c r="A1834" s="12"/>
      <c r="B1834" s="1"/>
      <c r="F1834" s="10"/>
      <c r="M1834" s="2" t="s">
        <v>8886</v>
      </c>
      <c r="N1834" s="2" t="str">
        <f t="array" ref="N1834">IF(M1834&lt;&gt;"INC", INDEX(data!M:M, MATCH(B1834, data!D:D, 0)), "")</f>
        <v/>
      </c>
    </row>
    <row r="1835">
      <c r="A1835" s="12"/>
      <c r="B1835" s="1"/>
      <c r="F1835" s="10"/>
      <c r="M1835" s="2" t="s">
        <v>8886</v>
      </c>
      <c r="N1835" s="2" t="str">
        <f t="array" ref="N1835">IF(M1835&lt;&gt;"INC", INDEX(data!M:M, MATCH(B1835, data!D:D, 0)), "")</f>
        <v/>
      </c>
    </row>
    <row r="1836">
      <c r="A1836" s="12"/>
      <c r="B1836" s="1"/>
      <c r="F1836" s="10"/>
      <c r="M1836" s="2" t="s">
        <v>8886</v>
      </c>
      <c r="N1836" s="2" t="str">
        <f t="array" ref="N1836">IF(M1836&lt;&gt;"INC", INDEX(data!M:M, MATCH(B1836, data!D:D, 0)), "")</f>
        <v/>
      </c>
    </row>
    <row r="1837">
      <c r="A1837" s="12"/>
      <c r="B1837" s="1"/>
      <c r="F1837" s="10"/>
      <c r="M1837" s="2" t="s">
        <v>8886</v>
      </c>
      <c r="N1837" s="2" t="str">
        <f t="array" ref="N1837">IF(M1837&lt;&gt;"INC", INDEX(data!M:M, MATCH(B1837, data!D:D, 0)), "")</f>
        <v/>
      </c>
    </row>
    <row r="1838">
      <c r="A1838" s="12"/>
      <c r="B1838" s="1"/>
      <c r="F1838" s="10"/>
      <c r="M1838" s="2" t="s">
        <v>8886</v>
      </c>
      <c r="N1838" s="2" t="str">
        <f t="array" ref="N1838">IF(M1838&lt;&gt;"INC", INDEX(data!M:M, MATCH(B1838, data!D:D, 0)), "")</f>
        <v/>
      </c>
    </row>
    <row r="1839">
      <c r="A1839" s="12"/>
      <c r="B1839" s="1"/>
      <c r="F1839" s="10"/>
      <c r="M1839" s="2" t="s">
        <v>8886</v>
      </c>
      <c r="N1839" s="2" t="str">
        <f t="array" ref="N1839">IF(M1839&lt;&gt;"INC", INDEX(data!M:M, MATCH(B1839, data!D:D, 0)), "")</f>
        <v/>
      </c>
    </row>
    <row r="1840">
      <c r="A1840" s="12"/>
      <c r="B1840" s="1"/>
      <c r="F1840" s="10"/>
      <c r="M1840" s="2" t="s">
        <v>8886</v>
      </c>
      <c r="N1840" s="2" t="str">
        <f t="array" ref="N1840">IF(M1840&lt;&gt;"INC", INDEX(data!M:M, MATCH(B1840, data!D:D, 0)), "")</f>
        <v/>
      </c>
    </row>
    <row r="1841">
      <c r="A1841" s="12"/>
      <c r="B1841" s="1"/>
      <c r="F1841" s="10"/>
      <c r="M1841" s="2" t="s">
        <v>8886</v>
      </c>
      <c r="N1841" s="2" t="str">
        <f t="array" ref="N1841">IF(M1841&lt;&gt;"INC", INDEX(data!M:M, MATCH(B1841, data!D:D, 0)), "")</f>
        <v/>
      </c>
    </row>
    <row r="1842">
      <c r="A1842" s="12"/>
      <c r="B1842" s="1"/>
      <c r="F1842" s="10"/>
      <c r="M1842" s="2" t="s">
        <v>8886</v>
      </c>
      <c r="N1842" s="2" t="str">
        <f t="array" ref="N1842">IF(M1842&lt;&gt;"INC", INDEX(data!M:M, MATCH(B1842, data!D:D, 0)), "")</f>
        <v/>
      </c>
    </row>
    <row r="1843">
      <c r="A1843" s="12"/>
      <c r="B1843" s="1"/>
      <c r="F1843" s="10"/>
      <c r="M1843" s="2" t="s">
        <v>8886</v>
      </c>
      <c r="N1843" s="2" t="str">
        <f t="array" ref="N1843">IF(M1843&lt;&gt;"INC", INDEX(data!M:M, MATCH(B1843, data!D:D, 0)), "")</f>
        <v/>
      </c>
    </row>
    <row r="1844">
      <c r="A1844" s="12"/>
      <c r="B1844" s="1"/>
      <c r="F1844" s="10"/>
      <c r="M1844" s="2" t="s">
        <v>8886</v>
      </c>
      <c r="N1844" s="2" t="str">
        <f t="array" ref="N1844">IF(M1844&lt;&gt;"INC", INDEX(data!M:M, MATCH(B1844, data!D:D, 0)), "")</f>
        <v/>
      </c>
    </row>
    <row r="1845">
      <c r="A1845" s="12"/>
      <c r="B1845" s="1"/>
      <c r="F1845" s="10"/>
      <c r="M1845" s="2" t="s">
        <v>8886</v>
      </c>
      <c r="N1845" s="2" t="str">
        <f t="array" ref="N1845">IF(M1845&lt;&gt;"INC", INDEX(data!M:M, MATCH(B1845, data!D:D, 0)), "")</f>
        <v/>
      </c>
    </row>
    <row r="1846">
      <c r="A1846" s="12"/>
      <c r="B1846" s="1"/>
      <c r="F1846" s="10"/>
      <c r="M1846" s="2" t="s">
        <v>8886</v>
      </c>
      <c r="N1846" s="2" t="str">
        <f t="array" ref="N1846">IF(M1846&lt;&gt;"INC", INDEX(data!M:M, MATCH(B1846, data!D:D, 0)), "")</f>
        <v/>
      </c>
    </row>
    <row r="1847">
      <c r="A1847" s="12"/>
      <c r="B1847" s="1"/>
      <c r="F1847" s="10"/>
      <c r="M1847" s="2" t="s">
        <v>8886</v>
      </c>
      <c r="N1847" s="2" t="str">
        <f t="array" ref="N1847">IF(M1847&lt;&gt;"INC", INDEX(data!M:M, MATCH(B1847, data!D:D, 0)), "")</f>
        <v/>
      </c>
    </row>
    <row r="1848">
      <c r="A1848" s="12"/>
      <c r="B1848" s="1"/>
      <c r="F1848" s="10"/>
      <c r="M1848" s="2" t="s">
        <v>8886</v>
      </c>
      <c r="N1848" s="2" t="str">
        <f t="array" ref="N1848">IF(M1848&lt;&gt;"INC", INDEX(data!M:M, MATCH(B1848, data!D:D, 0)), "")</f>
        <v/>
      </c>
    </row>
    <row r="1849">
      <c r="A1849" s="12"/>
      <c r="B1849" s="1"/>
      <c r="F1849" s="10"/>
      <c r="M1849" s="2" t="s">
        <v>8886</v>
      </c>
      <c r="N1849" s="2" t="str">
        <f t="array" ref="N1849">IF(M1849&lt;&gt;"INC", INDEX(data!M:M, MATCH(B1849, data!D:D, 0)), "")</f>
        <v/>
      </c>
    </row>
    <row r="1850">
      <c r="A1850" s="12"/>
      <c r="B1850" s="1"/>
      <c r="F1850" s="10"/>
      <c r="M1850" s="2" t="s">
        <v>8886</v>
      </c>
      <c r="N1850" s="2" t="str">
        <f t="array" ref="N1850">IF(M1850&lt;&gt;"INC", INDEX(data!M:M, MATCH(B1850, data!D:D, 0)), "")</f>
        <v/>
      </c>
    </row>
    <row r="1851">
      <c r="A1851" s="12"/>
      <c r="B1851" s="1"/>
      <c r="F1851" s="10"/>
      <c r="M1851" s="2" t="s">
        <v>8886</v>
      </c>
      <c r="N1851" s="2" t="str">
        <f t="array" ref="N1851">IF(M1851&lt;&gt;"INC", INDEX(data!M:M, MATCH(B1851, data!D:D, 0)), "")</f>
        <v/>
      </c>
    </row>
    <row r="1852">
      <c r="A1852" s="12"/>
      <c r="B1852" s="1"/>
      <c r="M1852" s="2" t="s">
        <v>8886</v>
      </c>
      <c r="N1852" s="2" t="str">
        <f t="array" ref="N1852">IF(M1852&lt;&gt;"INC", INDEX(data!M:M, MATCH(B1852, data!D:D, 0)), "")</f>
        <v/>
      </c>
    </row>
    <row r="1853">
      <c r="A1853" s="12"/>
      <c r="B1853" s="1"/>
      <c r="M1853" s="2" t="s">
        <v>8886</v>
      </c>
      <c r="N1853" s="2" t="str">
        <f t="array" ref="N1853">IF(M1853&lt;&gt;"INC", INDEX(data!M:M, MATCH(B1853, data!D:D, 0)), "")</f>
        <v/>
      </c>
    </row>
    <row r="1854">
      <c r="A1854" s="12"/>
      <c r="B1854" s="1"/>
      <c r="M1854" s="2" t="s">
        <v>8886</v>
      </c>
      <c r="N1854" s="2" t="str">
        <f t="array" ref="N1854">IF(M1854&lt;&gt;"INC", INDEX(data!M:M, MATCH(B1854, data!D:D, 0)), "")</f>
        <v/>
      </c>
    </row>
    <row r="1855">
      <c r="A1855" s="12"/>
      <c r="B1855" s="1"/>
      <c r="M1855" s="2" t="s">
        <v>8886</v>
      </c>
      <c r="N1855" s="2" t="str">
        <f t="array" ref="N1855">IF(M1855&lt;&gt;"INC", INDEX(data!M:M, MATCH(B1855, data!D:D, 0)), "")</f>
        <v/>
      </c>
    </row>
    <row r="1856">
      <c r="A1856" s="12"/>
      <c r="B1856" s="1"/>
      <c r="M1856" s="2" t="s">
        <v>8886</v>
      </c>
      <c r="N1856" s="2" t="str">
        <f t="array" ref="N1856">IF(M1856&lt;&gt;"INC", INDEX(data!M:M, MATCH(B1856, data!D:D, 0)), "")</f>
        <v/>
      </c>
    </row>
    <row r="1857">
      <c r="A1857" s="12"/>
      <c r="B1857" s="1"/>
      <c r="M1857" s="2" t="s">
        <v>8886</v>
      </c>
      <c r="N1857" s="2" t="str">
        <f t="array" ref="N1857">IF(M1857&lt;&gt;"INC", INDEX(data!M:M, MATCH(B1857, data!D:D, 0)), "")</f>
        <v/>
      </c>
    </row>
    <row r="1858">
      <c r="A1858" s="12"/>
      <c r="B1858" s="1"/>
      <c r="M1858" s="2" t="s">
        <v>8886</v>
      </c>
      <c r="N1858" s="2" t="str">
        <f t="array" ref="N1858">IF(M1858&lt;&gt;"INC", INDEX(data!M:M, MATCH(B1858, data!D:D, 0)), "")</f>
        <v/>
      </c>
    </row>
    <row r="1859">
      <c r="A1859" s="12"/>
      <c r="B1859" s="1"/>
      <c r="M1859" s="2" t="s">
        <v>8886</v>
      </c>
      <c r="N1859" s="2" t="str">
        <f t="array" ref="N1859">IF(M1859&lt;&gt;"INC", INDEX(data!M:M, MATCH(B1859, data!D:D, 0)), "")</f>
        <v/>
      </c>
    </row>
    <row r="1860">
      <c r="A1860" s="12"/>
      <c r="B1860" s="1"/>
      <c r="M1860" s="2" t="s">
        <v>8886</v>
      </c>
      <c r="N1860" s="2" t="str">
        <f t="array" ref="N1860">IF(M1860&lt;&gt;"INC", INDEX(data!M:M, MATCH(B1860, data!D:D, 0)), "")</f>
        <v/>
      </c>
    </row>
    <row r="1861">
      <c r="A1861" s="12"/>
      <c r="B1861" s="1"/>
      <c r="M1861" s="2" t="s">
        <v>8886</v>
      </c>
      <c r="N1861" s="2" t="str">
        <f t="array" ref="N1861">IF(M1861&lt;&gt;"INC", INDEX(data!M:M, MATCH(B1861, data!D:D, 0)), "")</f>
        <v/>
      </c>
    </row>
    <row r="1862">
      <c r="A1862" s="12"/>
      <c r="B1862" s="1"/>
      <c r="M1862" s="2" t="s">
        <v>8886</v>
      </c>
      <c r="N1862" s="2" t="str">
        <f t="array" ref="N1862">IF(M1862&lt;&gt;"INC", INDEX(data!M:M, MATCH(B1862, data!D:D, 0)), "")</f>
        <v/>
      </c>
    </row>
    <row r="1863">
      <c r="A1863" s="12"/>
      <c r="B1863" s="1"/>
      <c r="M1863" s="2" t="s">
        <v>8886</v>
      </c>
      <c r="N1863" s="2" t="str">
        <f t="array" ref="N1863">IF(M1863&lt;&gt;"INC", INDEX(data!M:M, MATCH(B1863, data!D:D, 0)), "")</f>
        <v/>
      </c>
    </row>
    <row r="1864">
      <c r="A1864" s="12"/>
      <c r="B1864" s="1"/>
      <c r="M1864" s="2" t="s">
        <v>8886</v>
      </c>
      <c r="N1864" s="2" t="str">
        <f t="array" ref="N1864">IF(M1864&lt;&gt;"INC", INDEX(data!M:M, MATCH(B1864, data!D:D, 0)), "")</f>
        <v/>
      </c>
    </row>
    <row r="1865">
      <c r="A1865" s="12"/>
      <c r="B1865" s="1"/>
      <c r="M1865" s="2" t="s">
        <v>8886</v>
      </c>
      <c r="N1865" s="2" t="str">
        <f t="array" ref="N1865">IF(M1865&lt;&gt;"INC", INDEX(data!M:M, MATCH(B1865, data!D:D, 0)), "")</f>
        <v/>
      </c>
    </row>
    <row r="1866">
      <c r="A1866" s="12"/>
      <c r="B1866" s="1"/>
      <c r="M1866" s="2" t="s">
        <v>8886</v>
      </c>
      <c r="N1866" s="2" t="str">
        <f t="array" ref="N1866">IF(M1866&lt;&gt;"INC", INDEX(data!M:M, MATCH(B1866, data!D:D, 0)), "")</f>
        <v/>
      </c>
    </row>
    <row r="1867">
      <c r="A1867" s="12"/>
      <c r="B1867" s="1"/>
      <c r="M1867" s="2" t="s">
        <v>8886</v>
      </c>
      <c r="N1867" s="2" t="str">
        <f t="array" ref="N1867">IF(M1867&lt;&gt;"INC", INDEX(data!M:M, MATCH(B1867, data!D:D, 0)), "")</f>
        <v/>
      </c>
    </row>
    <row r="1868">
      <c r="A1868" s="12"/>
      <c r="B1868" s="1"/>
      <c r="M1868" s="2" t="s">
        <v>8886</v>
      </c>
      <c r="N1868" s="2" t="str">
        <f t="array" ref="N1868">IF(M1868&lt;&gt;"INC", INDEX(data!M:M, MATCH(B1868, data!D:D, 0)), "")</f>
        <v/>
      </c>
    </row>
    <row r="1869">
      <c r="A1869" s="12"/>
      <c r="B1869" s="1"/>
      <c r="M1869" s="2" t="s">
        <v>8886</v>
      </c>
      <c r="N1869" s="2" t="str">
        <f t="array" ref="N1869">IF(M1869&lt;&gt;"INC", INDEX(data!M:M, MATCH(B1869, data!D:D, 0)), "")</f>
        <v/>
      </c>
    </row>
    <row r="1870">
      <c r="A1870" s="12"/>
      <c r="B1870" s="1"/>
      <c r="M1870" s="2" t="s">
        <v>8886</v>
      </c>
      <c r="N1870" s="2" t="str">
        <f t="array" ref="N1870">IF(M1870&lt;&gt;"INC", INDEX(data!M:M, MATCH(B1870, data!D:D, 0)), "")</f>
        <v/>
      </c>
    </row>
    <row r="1871">
      <c r="A1871" s="12"/>
      <c r="B1871" s="1"/>
      <c r="M1871" s="2" t="s">
        <v>8886</v>
      </c>
      <c r="N1871" s="2" t="str">
        <f t="array" ref="N1871">IF(M1871&lt;&gt;"INC", INDEX(data!M:M, MATCH(B1871, data!D:D, 0)), "")</f>
        <v/>
      </c>
    </row>
    <row r="1872">
      <c r="A1872" s="12"/>
      <c r="B1872" s="1"/>
      <c r="M1872" s="2" t="s">
        <v>8886</v>
      </c>
      <c r="N1872" s="2" t="str">
        <f t="array" ref="N1872">IF(M1872&lt;&gt;"INC", INDEX(data!M:M, MATCH(B1872, data!D:D, 0)), "")</f>
        <v/>
      </c>
    </row>
    <row r="1873">
      <c r="A1873" s="12"/>
      <c r="B1873" s="1"/>
      <c r="M1873" s="2" t="s">
        <v>8886</v>
      </c>
      <c r="N1873" s="2" t="str">
        <f t="array" ref="N1873">IF(M1873&lt;&gt;"INC", INDEX(data!M:M, MATCH(B1873, data!D:D, 0)), "")</f>
        <v/>
      </c>
    </row>
    <row r="1874">
      <c r="A1874" s="12"/>
      <c r="B1874" s="1"/>
      <c r="M1874" s="2" t="s">
        <v>8886</v>
      </c>
      <c r="N1874" s="2" t="str">
        <f t="array" ref="N1874">IF(M1874&lt;&gt;"INC", INDEX(data!M:M, MATCH(B1874, data!D:D, 0)), "")</f>
        <v/>
      </c>
    </row>
    <row r="1875">
      <c r="A1875" s="12"/>
      <c r="B1875" s="1"/>
      <c r="M1875" s="2" t="s">
        <v>8886</v>
      </c>
      <c r="N1875" s="2" t="str">
        <f t="array" ref="N1875">IF(M1875&lt;&gt;"INC", INDEX(data!M:M, MATCH(B1875, data!D:D, 0)), "")</f>
        <v/>
      </c>
    </row>
    <row r="1876">
      <c r="A1876" s="12"/>
      <c r="B1876" s="1"/>
      <c r="M1876" s="2" t="s">
        <v>8886</v>
      </c>
      <c r="N1876" s="2" t="str">
        <f t="array" ref="N1876">IF(M1876&lt;&gt;"INC", INDEX(data!M:M, MATCH(B1876, data!D:D, 0)), "")</f>
        <v/>
      </c>
    </row>
    <row r="1877">
      <c r="A1877" s="12"/>
      <c r="B1877" s="1"/>
      <c r="M1877" s="2" t="s">
        <v>8886</v>
      </c>
      <c r="N1877" s="2" t="str">
        <f t="array" ref="N1877">IF(M1877&lt;&gt;"INC", INDEX(data!M:M, MATCH(B1877, data!D:D, 0)), "")</f>
        <v/>
      </c>
    </row>
    <row r="1878">
      <c r="A1878" s="12"/>
      <c r="B1878" s="1"/>
      <c r="M1878" s="2" t="s">
        <v>8886</v>
      </c>
      <c r="N1878" s="2" t="str">
        <f t="array" ref="N1878">IF(M1878&lt;&gt;"INC", INDEX(data!M:M, MATCH(B1878, data!D:D, 0)), "")</f>
        <v/>
      </c>
    </row>
    <row r="1879">
      <c r="A1879" s="12"/>
      <c r="B1879" s="1"/>
      <c r="M1879" s="2" t="s">
        <v>8886</v>
      </c>
      <c r="N1879" s="2" t="str">
        <f t="array" ref="N1879">IF(M1879&lt;&gt;"INC", INDEX(data!M:M, MATCH(B1879, data!D:D, 0)), "")</f>
        <v/>
      </c>
    </row>
    <row r="1880">
      <c r="A1880" s="12"/>
      <c r="B1880" s="1"/>
      <c r="M1880" s="2" t="s">
        <v>8886</v>
      </c>
      <c r="N1880" s="2" t="str">
        <f t="array" ref="N1880">IF(M1880&lt;&gt;"INC", INDEX(data!M:M, MATCH(B1880, data!D:D, 0)), "")</f>
        <v/>
      </c>
    </row>
    <row r="1881">
      <c r="A1881" s="12"/>
      <c r="B1881" s="1"/>
      <c r="M1881" s="2" t="s">
        <v>8886</v>
      </c>
      <c r="N1881" s="2" t="str">
        <f t="array" ref="N1881">IF(M1881&lt;&gt;"INC", INDEX(data!M:M, MATCH(B1881, data!D:D, 0)), "")</f>
        <v/>
      </c>
    </row>
    <row r="1882">
      <c r="A1882" s="12"/>
      <c r="B1882" s="1"/>
      <c r="M1882" s="2" t="s">
        <v>8886</v>
      </c>
      <c r="N1882" s="2" t="str">
        <f t="array" ref="N1882">IF(M1882&lt;&gt;"INC", INDEX(data!M:M, MATCH(B1882, data!D:D, 0)), "")</f>
        <v/>
      </c>
    </row>
    <row r="1883">
      <c r="A1883" s="12"/>
      <c r="B1883" s="1"/>
      <c r="M1883" s="2" t="s">
        <v>8886</v>
      </c>
      <c r="N1883" s="2" t="str">
        <f t="array" ref="N1883">IF(M1883&lt;&gt;"INC", INDEX(data!M:M, MATCH(B1883, data!D:D, 0)), "")</f>
        <v/>
      </c>
    </row>
    <row r="1884">
      <c r="A1884" s="12"/>
      <c r="B1884" s="1"/>
      <c r="M1884" s="2" t="s">
        <v>8886</v>
      </c>
      <c r="N1884" s="2" t="str">
        <f t="array" ref="N1884">IF(M1884&lt;&gt;"INC", INDEX(data!M:M, MATCH(B1884, data!D:D, 0)), "")</f>
        <v/>
      </c>
    </row>
    <row r="1885">
      <c r="A1885" s="12"/>
      <c r="B1885" s="1"/>
      <c r="M1885" s="2" t="s">
        <v>8886</v>
      </c>
    </row>
    <row r="1886">
      <c r="A1886" s="12"/>
      <c r="B1886" s="1"/>
      <c r="M1886" s="2" t="s">
        <v>8886</v>
      </c>
    </row>
    <row r="1887">
      <c r="A1887" s="12"/>
      <c r="B1887" s="1"/>
      <c r="M1887" s="2" t="s">
        <v>8886</v>
      </c>
    </row>
    <row r="1888">
      <c r="A1888" s="12"/>
      <c r="B1888" s="1"/>
      <c r="M1888" s="2" t="s">
        <v>8886</v>
      </c>
    </row>
    <row r="1889">
      <c r="A1889" s="12"/>
      <c r="B1889" s="1"/>
      <c r="M1889" s="2" t="s">
        <v>8886</v>
      </c>
    </row>
    <row r="1890">
      <c r="A1890" s="12"/>
      <c r="B1890" s="1"/>
      <c r="M1890" s="2" t="s">
        <v>8886</v>
      </c>
    </row>
    <row r="1891">
      <c r="A1891" s="12"/>
      <c r="B1891" s="1"/>
      <c r="M1891" s="2" t="s">
        <v>8886</v>
      </c>
    </row>
    <row r="1892">
      <c r="A1892" s="12"/>
      <c r="B1892" s="1"/>
      <c r="M1892" s="2" t="s">
        <v>8886</v>
      </c>
    </row>
    <row r="1893">
      <c r="A1893" s="12"/>
      <c r="B1893" s="1"/>
      <c r="M1893" s="2" t="s">
        <v>8886</v>
      </c>
    </row>
    <row r="1894">
      <c r="A1894" s="12"/>
      <c r="B1894" s="1"/>
      <c r="M1894" s="2" t="s">
        <v>8886</v>
      </c>
    </row>
    <row r="1895">
      <c r="A1895" s="12"/>
      <c r="B1895" s="1"/>
      <c r="M1895" s="2" t="s">
        <v>8886</v>
      </c>
    </row>
    <row r="1896">
      <c r="A1896" s="12"/>
      <c r="B1896" s="1"/>
      <c r="M1896" s="2" t="s">
        <v>8886</v>
      </c>
    </row>
    <row r="1897">
      <c r="A1897" s="12"/>
      <c r="B1897" s="1"/>
      <c r="M1897" s="2" t="s">
        <v>8886</v>
      </c>
    </row>
    <row r="1898">
      <c r="A1898" s="12"/>
      <c r="B1898" s="1"/>
      <c r="M1898" s="2" t="s">
        <v>8886</v>
      </c>
    </row>
    <row r="1899">
      <c r="A1899" s="12"/>
      <c r="B1899" s="1"/>
      <c r="M1899" s="2" t="s">
        <v>8886</v>
      </c>
    </row>
    <row r="1900">
      <c r="A1900" s="12"/>
      <c r="B1900" s="1"/>
      <c r="M1900" s="2" t="s">
        <v>8886</v>
      </c>
    </row>
    <row r="1901">
      <c r="A1901" s="12"/>
      <c r="B1901" s="1"/>
      <c r="M1901" s="2" t="s">
        <v>8886</v>
      </c>
    </row>
    <row r="1902">
      <c r="A1902" s="12"/>
      <c r="B1902" s="1"/>
      <c r="M1902" s="2" t="s">
        <v>8886</v>
      </c>
    </row>
    <row r="1903">
      <c r="A1903" s="12"/>
      <c r="B1903" s="1"/>
      <c r="M1903" s="2" t="s">
        <v>8886</v>
      </c>
    </row>
    <row r="1904">
      <c r="A1904" s="12"/>
      <c r="B1904" s="1"/>
      <c r="M1904" s="2" t="s">
        <v>8886</v>
      </c>
    </row>
    <row r="1905">
      <c r="A1905" s="12"/>
      <c r="B1905" s="1"/>
      <c r="M1905" s="2" t="s">
        <v>8886</v>
      </c>
    </row>
    <row r="1906">
      <c r="A1906" s="12"/>
      <c r="B1906" s="1"/>
      <c r="M1906" s="2" t="s">
        <v>8886</v>
      </c>
    </row>
    <row r="1907">
      <c r="A1907" s="12"/>
      <c r="B1907" s="1"/>
      <c r="M1907" s="2" t="s">
        <v>8886</v>
      </c>
    </row>
    <row r="1908">
      <c r="A1908" s="12"/>
      <c r="B1908" s="1"/>
      <c r="M1908" s="2" t="s">
        <v>8886</v>
      </c>
    </row>
    <row r="1909">
      <c r="A1909" s="12"/>
      <c r="B1909" s="1"/>
      <c r="M1909" s="2" t="s">
        <v>8886</v>
      </c>
    </row>
    <row r="1910">
      <c r="A1910" s="12"/>
      <c r="B1910" s="1"/>
      <c r="M1910" s="2" t="s">
        <v>8886</v>
      </c>
    </row>
    <row r="1911">
      <c r="A1911" s="12"/>
      <c r="B1911" s="1"/>
      <c r="M1911" s="2" t="s">
        <v>8886</v>
      </c>
    </row>
    <row r="1912">
      <c r="A1912" s="12"/>
      <c r="B1912" s="1"/>
      <c r="M1912" s="2" t="s">
        <v>8886</v>
      </c>
    </row>
    <row r="1913">
      <c r="A1913" s="12"/>
      <c r="B1913" s="1"/>
      <c r="M1913" s="2" t="s">
        <v>8886</v>
      </c>
    </row>
    <row r="1914">
      <c r="A1914" s="12"/>
      <c r="B1914" s="1"/>
      <c r="M1914" s="2" t="s">
        <v>8886</v>
      </c>
    </row>
    <row r="1915">
      <c r="A1915" s="12"/>
      <c r="B1915" s="1"/>
      <c r="M1915" s="2" t="s">
        <v>8886</v>
      </c>
    </row>
    <row r="1916">
      <c r="A1916" s="12"/>
      <c r="B1916" s="1"/>
      <c r="M1916" s="2" t="s">
        <v>8886</v>
      </c>
    </row>
    <row r="1917">
      <c r="A1917" s="12"/>
      <c r="B1917" s="1"/>
      <c r="M1917" s="2" t="s">
        <v>8886</v>
      </c>
    </row>
    <row r="1918">
      <c r="A1918" s="12"/>
      <c r="B1918" s="1"/>
      <c r="M1918" s="2" t="s">
        <v>8886</v>
      </c>
    </row>
    <row r="1919">
      <c r="A1919" s="12"/>
      <c r="B1919" s="1"/>
      <c r="M1919" s="2" t="s">
        <v>8886</v>
      </c>
    </row>
    <row r="1920">
      <c r="A1920" s="12"/>
      <c r="B1920" s="1"/>
      <c r="M1920" s="2" t="s">
        <v>8886</v>
      </c>
    </row>
    <row r="1921">
      <c r="A1921" s="12"/>
      <c r="B1921" s="1"/>
      <c r="M1921" s="2" t="s">
        <v>8886</v>
      </c>
    </row>
    <row r="1922">
      <c r="A1922" s="12"/>
      <c r="B1922" s="1"/>
      <c r="M1922" s="2" t="s">
        <v>8886</v>
      </c>
    </row>
    <row r="1923">
      <c r="A1923" s="12"/>
      <c r="B1923" s="1"/>
      <c r="M1923" s="2" t="s">
        <v>8886</v>
      </c>
    </row>
    <row r="1924">
      <c r="A1924" s="12"/>
      <c r="B1924" s="1"/>
      <c r="M1924" s="2" t="s">
        <v>8886</v>
      </c>
    </row>
    <row r="1925">
      <c r="A1925" s="12"/>
      <c r="B1925" s="1"/>
      <c r="M1925" s="2" t="s">
        <v>8886</v>
      </c>
    </row>
    <row r="1926">
      <c r="A1926" s="12"/>
      <c r="B1926" s="1"/>
      <c r="M1926" s="2" t="s">
        <v>8886</v>
      </c>
    </row>
    <row r="1927">
      <c r="A1927" s="12"/>
      <c r="B1927" s="1"/>
      <c r="M1927" s="2" t="s">
        <v>8886</v>
      </c>
    </row>
    <row r="1928">
      <c r="A1928" s="12"/>
      <c r="B1928" s="1"/>
      <c r="M1928" s="2" t="s">
        <v>8886</v>
      </c>
    </row>
    <row r="1929">
      <c r="A1929" s="12"/>
      <c r="B1929" s="1"/>
      <c r="M1929" s="2" t="s">
        <v>8886</v>
      </c>
    </row>
    <row r="1930">
      <c r="A1930" s="12"/>
      <c r="B1930" s="1"/>
      <c r="M1930" s="2" t="s">
        <v>8886</v>
      </c>
    </row>
    <row r="1931">
      <c r="A1931" s="12"/>
      <c r="B1931" s="1"/>
      <c r="M1931" s="2" t="s">
        <v>8886</v>
      </c>
    </row>
    <row r="1932">
      <c r="A1932" s="12"/>
      <c r="B1932" s="1"/>
      <c r="M1932" s="2" t="s">
        <v>8886</v>
      </c>
    </row>
    <row r="1933">
      <c r="A1933" s="12"/>
      <c r="B1933" s="1"/>
      <c r="M1933" s="2" t="s">
        <v>8886</v>
      </c>
    </row>
    <row r="1934">
      <c r="A1934" s="12"/>
      <c r="B1934" s="1"/>
      <c r="M1934" s="2" t="s">
        <v>8886</v>
      </c>
    </row>
    <row r="1935">
      <c r="A1935" s="12"/>
      <c r="B1935" s="1"/>
      <c r="M1935" s="2" t="s">
        <v>8886</v>
      </c>
    </row>
    <row r="1936">
      <c r="A1936" s="12"/>
      <c r="B1936" s="1"/>
      <c r="M1936" s="2" t="s">
        <v>8886</v>
      </c>
    </row>
    <row r="1937">
      <c r="A1937" s="12"/>
      <c r="B1937" s="1"/>
      <c r="M1937" s="2" t="s">
        <v>8886</v>
      </c>
    </row>
    <row r="1938">
      <c r="A1938" s="12"/>
      <c r="B1938" s="1"/>
      <c r="M1938" s="2" t="s">
        <v>8886</v>
      </c>
    </row>
    <row r="1939">
      <c r="A1939" s="12"/>
      <c r="B1939" s="1"/>
      <c r="M1939" s="2" t="s">
        <v>8886</v>
      </c>
    </row>
    <row r="1940">
      <c r="A1940" s="12"/>
      <c r="B1940" s="1"/>
      <c r="M1940" s="2" t="s">
        <v>8886</v>
      </c>
    </row>
    <row r="1941">
      <c r="A1941" s="12"/>
      <c r="B1941" s="1"/>
      <c r="M1941" s="2" t="s">
        <v>8886</v>
      </c>
    </row>
    <row r="1942">
      <c r="A1942" s="12"/>
      <c r="B1942" s="1"/>
      <c r="M1942" s="2" t="s">
        <v>8886</v>
      </c>
    </row>
    <row r="1943">
      <c r="A1943" s="12"/>
      <c r="B1943" s="1"/>
      <c r="M1943" s="2" t="s">
        <v>8886</v>
      </c>
    </row>
    <row r="1944">
      <c r="A1944" s="12"/>
      <c r="B1944" s="1"/>
      <c r="M1944" s="2" t="s">
        <v>8886</v>
      </c>
    </row>
    <row r="1945">
      <c r="A1945" s="12"/>
      <c r="B1945" s="1"/>
      <c r="M1945" s="2" t="s">
        <v>8886</v>
      </c>
    </row>
    <row r="1946">
      <c r="A1946" s="12"/>
      <c r="B1946" s="1"/>
      <c r="M1946" s="2" t="s">
        <v>8886</v>
      </c>
    </row>
    <row r="1947">
      <c r="A1947" s="12"/>
      <c r="B1947" s="1"/>
      <c r="M1947" s="2" t="s">
        <v>8886</v>
      </c>
    </row>
    <row r="1948">
      <c r="A1948" s="12"/>
      <c r="B1948" s="1"/>
      <c r="M1948" s="2" t="s">
        <v>8886</v>
      </c>
    </row>
    <row r="1949">
      <c r="A1949" s="12"/>
      <c r="B1949" s="1"/>
      <c r="M1949" s="2" t="s">
        <v>8886</v>
      </c>
    </row>
    <row r="1950">
      <c r="A1950" s="12"/>
      <c r="B1950" s="1"/>
      <c r="M1950" s="2" t="s">
        <v>8886</v>
      </c>
    </row>
    <row r="1951">
      <c r="A1951" s="12"/>
      <c r="B1951" s="1"/>
      <c r="M1951" s="2" t="s">
        <v>8886</v>
      </c>
    </row>
    <row r="1952">
      <c r="A1952" s="12"/>
      <c r="B1952" s="1"/>
      <c r="M1952" s="2" t="s">
        <v>8886</v>
      </c>
    </row>
    <row r="1953">
      <c r="A1953" s="12"/>
      <c r="B1953" s="1"/>
      <c r="M1953" s="2" t="s">
        <v>8886</v>
      </c>
    </row>
    <row r="1954">
      <c r="A1954" s="12"/>
      <c r="B1954" s="1"/>
      <c r="M1954" s="2" t="s">
        <v>8886</v>
      </c>
    </row>
    <row r="1955">
      <c r="A1955" s="12"/>
      <c r="B1955" s="1"/>
      <c r="M1955" s="2" t="s">
        <v>8886</v>
      </c>
    </row>
    <row r="1956">
      <c r="A1956" s="12"/>
      <c r="B1956" s="1"/>
      <c r="M1956" s="2" t="s">
        <v>8886</v>
      </c>
    </row>
    <row r="1957">
      <c r="A1957" s="12"/>
      <c r="B1957" s="1"/>
      <c r="M1957" s="2" t="s">
        <v>8886</v>
      </c>
    </row>
    <row r="1958">
      <c r="A1958" s="12"/>
      <c r="B1958" s="1"/>
      <c r="M1958" s="2" t="s">
        <v>8886</v>
      </c>
    </row>
    <row r="1959">
      <c r="A1959" s="12"/>
      <c r="B1959" s="1"/>
      <c r="M1959" s="2" t="s">
        <v>8886</v>
      </c>
    </row>
    <row r="1960">
      <c r="A1960" s="12"/>
      <c r="B1960" s="1"/>
      <c r="M1960" s="2" t="s">
        <v>8886</v>
      </c>
    </row>
    <row r="1961">
      <c r="A1961" s="12"/>
      <c r="B1961" s="1"/>
      <c r="M1961" s="2" t="s">
        <v>8886</v>
      </c>
    </row>
    <row r="1962">
      <c r="A1962" s="12"/>
      <c r="B1962" s="1"/>
      <c r="M1962" s="2" t="s">
        <v>8886</v>
      </c>
    </row>
    <row r="1963">
      <c r="A1963" s="12"/>
      <c r="B1963" s="1"/>
      <c r="M1963" s="2" t="s">
        <v>8886</v>
      </c>
    </row>
    <row r="1964">
      <c r="A1964" s="12"/>
      <c r="B1964" s="1"/>
      <c r="M1964" s="2" t="s">
        <v>8886</v>
      </c>
    </row>
    <row r="1965">
      <c r="A1965" s="12"/>
      <c r="B1965" s="1"/>
      <c r="M1965" s="2" t="s">
        <v>8886</v>
      </c>
    </row>
    <row r="1966">
      <c r="A1966" s="12"/>
      <c r="B1966" s="1"/>
      <c r="M1966" s="2" t="s">
        <v>8886</v>
      </c>
    </row>
    <row r="1967">
      <c r="A1967" s="12"/>
      <c r="B1967" s="1"/>
      <c r="M1967" s="2" t="s">
        <v>8886</v>
      </c>
    </row>
    <row r="1968">
      <c r="A1968" s="12"/>
      <c r="B1968" s="1"/>
      <c r="M1968" s="2" t="s">
        <v>8886</v>
      </c>
    </row>
    <row r="1969">
      <c r="A1969" s="12"/>
      <c r="B1969" s="1"/>
      <c r="M1969" s="2" t="s">
        <v>8886</v>
      </c>
    </row>
    <row r="1970">
      <c r="A1970" s="12"/>
      <c r="B1970" s="1"/>
      <c r="M1970" s="2" t="s">
        <v>8886</v>
      </c>
    </row>
    <row r="1971">
      <c r="A1971" s="12"/>
      <c r="B1971" s="1"/>
      <c r="M1971" s="2" t="s">
        <v>8886</v>
      </c>
    </row>
    <row r="1972">
      <c r="A1972" s="12"/>
      <c r="B1972" s="1"/>
      <c r="M1972" s="2" t="s">
        <v>8886</v>
      </c>
    </row>
    <row r="1973">
      <c r="A1973" s="12"/>
      <c r="B1973" s="1"/>
      <c r="M1973" s="2" t="s">
        <v>8886</v>
      </c>
    </row>
    <row r="1974">
      <c r="A1974" s="12"/>
      <c r="B1974" s="1"/>
      <c r="M1974" s="2" t="s">
        <v>8886</v>
      </c>
    </row>
    <row r="1975">
      <c r="A1975" s="12"/>
      <c r="B1975" s="1"/>
      <c r="M1975" s="2" t="s">
        <v>8886</v>
      </c>
    </row>
    <row r="1976">
      <c r="A1976" s="12"/>
      <c r="B1976" s="1"/>
      <c r="M1976" s="2" t="s">
        <v>8886</v>
      </c>
    </row>
    <row r="1977">
      <c r="A1977" s="12"/>
      <c r="B1977" s="1"/>
      <c r="M1977" s="2" t="s">
        <v>8886</v>
      </c>
    </row>
    <row r="1978">
      <c r="A1978" s="12"/>
      <c r="B1978" s="1"/>
      <c r="M1978" s="2" t="s">
        <v>8886</v>
      </c>
    </row>
    <row r="1979">
      <c r="A1979" s="12"/>
      <c r="B1979" s="1"/>
      <c r="M1979" s="2" t="s">
        <v>8886</v>
      </c>
    </row>
    <row r="1980">
      <c r="A1980" s="12"/>
      <c r="B1980" s="1"/>
      <c r="M1980" s="2" t="s">
        <v>8886</v>
      </c>
    </row>
    <row r="1981">
      <c r="A1981" s="12"/>
      <c r="B1981" s="1"/>
      <c r="M1981" s="2" t="s">
        <v>8886</v>
      </c>
    </row>
    <row r="1982">
      <c r="A1982" s="12"/>
      <c r="B1982" s="1"/>
      <c r="M1982" s="2" t="s">
        <v>8886</v>
      </c>
    </row>
    <row r="1983">
      <c r="A1983" s="12"/>
      <c r="B1983" s="1"/>
      <c r="M1983" s="2" t="s">
        <v>8886</v>
      </c>
    </row>
    <row r="1984">
      <c r="A1984" s="12"/>
      <c r="B1984" s="1"/>
      <c r="M1984" s="2" t="s">
        <v>8886</v>
      </c>
    </row>
    <row r="1985">
      <c r="A1985" s="12"/>
      <c r="B1985" s="1"/>
      <c r="M1985" s="2" t="s">
        <v>8886</v>
      </c>
    </row>
    <row r="1986">
      <c r="A1986" s="12"/>
      <c r="B1986" s="1"/>
      <c r="M1986" s="2" t="s">
        <v>8886</v>
      </c>
    </row>
    <row r="1987">
      <c r="A1987" s="12"/>
      <c r="B1987" s="1"/>
      <c r="M1987" s="2" t="s">
        <v>8886</v>
      </c>
    </row>
    <row r="1988">
      <c r="A1988" s="12"/>
      <c r="B1988" s="1"/>
      <c r="M1988" s="2" t="s">
        <v>8886</v>
      </c>
    </row>
    <row r="1989">
      <c r="A1989" s="12"/>
      <c r="B1989" s="1"/>
      <c r="M1989" s="2" t="s">
        <v>8886</v>
      </c>
    </row>
    <row r="1990">
      <c r="A1990" s="12"/>
      <c r="B1990" s="1"/>
      <c r="M1990" s="2" t="s">
        <v>8886</v>
      </c>
    </row>
    <row r="1991">
      <c r="A1991" s="12"/>
      <c r="B1991" s="1"/>
      <c r="M1991" s="2" t="s">
        <v>8886</v>
      </c>
    </row>
    <row r="1992">
      <c r="A1992" s="12"/>
      <c r="B1992" s="1"/>
      <c r="M1992" s="2" t="s">
        <v>8886</v>
      </c>
    </row>
    <row r="1993">
      <c r="A1993" s="12"/>
      <c r="B1993" s="1"/>
      <c r="M1993" s="2" t="s">
        <v>8886</v>
      </c>
    </row>
    <row r="1994">
      <c r="A1994" s="12"/>
      <c r="B1994" s="1"/>
      <c r="M1994" s="2" t="s">
        <v>8886</v>
      </c>
    </row>
    <row r="1995">
      <c r="A1995" s="12"/>
      <c r="B1995" s="1"/>
      <c r="M1995" s="2" t="s">
        <v>8886</v>
      </c>
    </row>
    <row r="1996">
      <c r="A1996" s="12"/>
      <c r="B1996" s="1"/>
      <c r="M1996" s="2" t="s">
        <v>8886</v>
      </c>
    </row>
    <row r="1997">
      <c r="A1997" s="12"/>
      <c r="B1997" s="1"/>
      <c r="M1997" s="2" t="s">
        <v>8886</v>
      </c>
    </row>
    <row r="1998">
      <c r="A1998" s="12"/>
      <c r="B1998" s="1"/>
      <c r="M1998" s="2" t="s">
        <v>8886</v>
      </c>
    </row>
    <row r="1999">
      <c r="A1999" s="12"/>
      <c r="B1999" s="1"/>
      <c r="M1999" s="2" t="s">
        <v>8886</v>
      </c>
    </row>
    <row r="2000">
      <c r="A2000" s="12"/>
      <c r="B2000" s="1"/>
      <c r="M2000" s="2" t="s">
        <v>8886</v>
      </c>
    </row>
    <row r="2001">
      <c r="A2001" s="12"/>
      <c r="B2001" s="1"/>
      <c r="M2001" s="2" t="s">
        <v>8886</v>
      </c>
    </row>
    <row r="2002">
      <c r="A2002" s="12"/>
      <c r="B2002" s="1"/>
      <c r="M2002" s="2" t="s">
        <v>8886</v>
      </c>
    </row>
    <row r="2003">
      <c r="A2003" s="12"/>
      <c r="B2003" s="1"/>
      <c r="M2003" s="2" t="s">
        <v>8886</v>
      </c>
    </row>
    <row r="2004">
      <c r="A2004" s="12"/>
      <c r="B2004" s="1"/>
      <c r="M2004" s="2" t="s">
        <v>8886</v>
      </c>
    </row>
    <row r="2005">
      <c r="A2005" s="12"/>
      <c r="B2005" s="1"/>
      <c r="M2005" s="2" t="s">
        <v>8886</v>
      </c>
    </row>
    <row r="2006">
      <c r="A2006" s="12"/>
      <c r="B2006" s="1"/>
      <c r="M2006" s="2" t="s">
        <v>8886</v>
      </c>
    </row>
    <row r="2007">
      <c r="A2007" s="12"/>
      <c r="B2007" s="1"/>
      <c r="M2007" s="2" t="s">
        <v>8886</v>
      </c>
    </row>
    <row r="2008">
      <c r="A2008" s="12"/>
      <c r="B2008" s="1"/>
      <c r="M2008" s="2" t="s">
        <v>8886</v>
      </c>
    </row>
    <row r="2009">
      <c r="A2009" s="12"/>
      <c r="B2009" s="1"/>
      <c r="M2009" s="2" t="s">
        <v>8886</v>
      </c>
    </row>
    <row r="2010">
      <c r="A2010" s="12"/>
      <c r="B2010" s="1"/>
      <c r="M2010" s="2" t="s">
        <v>8886</v>
      </c>
    </row>
    <row r="2011">
      <c r="A2011" s="12"/>
      <c r="B2011" s="1"/>
      <c r="M2011" s="2" t="s">
        <v>8886</v>
      </c>
    </row>
    <row r="2012">
      <c r="A2012" s="12"/>
      <c r="B2012" s="1"/>
      <c r="M2012" s="2" t="s">
        <v>8886</v>
      </c>
    </row>
    <row r="2013">
      <c r="A2013" s="12"/>
      <c r="B2013" s="1"/>
      <c r="M2013" s="2" t="s">
        <v>8886</v>
      </c>
    </row>
    <row r="2014">
      <c r="A2014" s="12"/>
      <c r="B2014" s="1"/>
      <c r="M2014" s="2" t="s">
        <v>8886</v>
      </c>
    </row>
    <row r="2015">
      <c r="A2015" s="12"/>
      <c r="B2015" s="1"/>
      <c r="M2015" s="2" t="s">
        <v>8886</v>
      </c>
    </row>
    <row r="2016">
      <c r="A2016" s="12"/>
      <c r="B2016" s="1"/>
      <c r="M2016" s="2" t="s">
        <v>8886</v>
      </c>
    </row>
    <row r="2017">
      <c r="A2017" s="12"/>
      <c r="B2017" s="1"/>
      <c r="M2017" s="2" t="s">
        <v>8886</v>
      </c>
    </row>
    <row r="2018">
      <c r="A2018" s="12"/>
      <c r="B2018" s="1"/>
      <c r="M2018" s="2" t="s">
        <v>8886</v>
      </c>
    </row>
    <row r="2019">
      <c r="A2019" s="12"/>
      <c r="B2019" s="1"/>
      <c r="M2019" s="2" t="s">
        <v>8886</v>
      </c>
    </row>
    <row r="2020">
      <c r="A2020" s="12"/>
      <c r="B2020" s="1"/>
      <c r="M2020" s="2" t="s">
        <v>8886</v>
      </c>
    </row>
    <row r="2021">
      <c r="A2021" s="12"/>
      <c r="B2021" s="1"/>
      <c r="M2021" s="2" t="s">
        <v>8886</v>
      </c>
    </row>
    <row r="2022">
      <c r="A2022" s="12"/>
      <c r="B2022" s="1"/>
      <c r="M2022" s="2" t="s">
        <v>8886</v>
      </c>
    </row>
    <row r="2023">
      <c r="A2023" s="12"/>
      <c r="B2023" s="1"/>
      <c r="M2023" s="2" t="s">
        <v>8886</v>
      </c>
    </row>
    <row r="2024">
      <c r="A2024" s="12"/>
      <c r="B2024" s="1"/>
      <c r="M2024" s="2" t="s">
        <v>8886</v>
      </c>
    </row>
    <row r="2025">
      <c r="A2025" s="12"/>
      <c r="B2025" s="1"/>
      <c r="M2025" s="2" t="s">
        <v>8886</v>
      </c>
    </row>
    <row r="2026">
      <c r="A2026" s="12"/>
      <c r="B2026" s="1"/>
      <c r="M2026" s="2" t="s">
        <v>8886</v>
      </c>
    </row>
    <row r="2027">
      <c r="A2027" s="12"/>
      <c r="B2027" s="1"/>
      <c r="M2027" s="2" t="s">
        <v>8886</v>
      </c>
    </row>
    <row r="2028">
      <c r="A2028" s="12"/>
      <c r="B2028" s="1"/>
      <c r="M2028" s="2" t="s">
        <v>8886</v>
      </c>
    </row>
    <row r="2029">
      <c r="A2029" s="12"/>
      <c r="B2029" s="1"/>
      <c r="M2029" s="2" t="s">
        <v>8886</v>
      </c>
    </row>
    <row r="2030">
      <c r="A2030" s="12"/>
      <c r="B2030" s="1"/>
      <c r="M2030" s="2" t="s">
        <v>8886</v>
      </c>
    </row>
    <row r="2031">
      <c r="A2031" s="12"/>
      <c r="B2031" s="1"/>
      <c r="M2031" s="2" t="s">
        <v>8886</v>
      </c>
    </row>
    <row r="2032">
      <c r="A2032" s="12"/>
      <c r="B2032" s="1"/>
      <c r="M2032" s="2" t="s">
        <v>8886</v>
      </c>
    </row>
    <row r="2033">
      <c r="A2033" s="12"/>
      <c r="B2033" s="1"/>
      <c r="M2033" s="2" t="s">
        <v>8886</v>
      </c>
    </row>
    <row r="2034">
      <c r="A2034" s="12"/>
      <c r="B2034" s="1"/>
      <c r="M2034" s="2" t="s">
        <v>8886</v>
      </c>
    </row>
    <row r="2035">
      <c r="A2035" s="12"/>
      <c r="B2035" s="1"/>
      <c r="M2035" s="2" t="s">
        <v>8886</v>
      </c>
    </row>
    <row r="2036">
      <c r="A2036" s="12"/>
      <c r="B2036" s="1"/>
      <c r="M2036" s="2" t="s">
        <v>8886</v>
      </c>
    </row>
    <row r="2037">
      <c r="A2037" s="12"/>
      <c r="B2037" s="1"/>
      <c r="M2037" s="2" t="s">
        <v>8886</v>
      </c>
    </row>
    <row r="2038">
      <c r="A2038" s="12"/>
      <c r="B2038" s="1"/>
      <c r="M2038" s="2" t="s">
        <v>8886</v>
      </c>
    </row>
    <row r="2039">
      <c r="A2039" s="12"/>
      <c r="B2039" s="1"/>
      <c r="M2039" s="2" t="s">
        <v>8886</v>
      </c>
    </row>
    <row r="2040">
      <c r="A2040" s="12"/>
      <c r="B2040" s="1"/>
      <c r="M2040" s="2" t="s">
        <v>8886</v>
      </c>
    </row>
    <row r="2041">
      <c r="A2041" s="12"/>
      <c r="B2041" s="1"/>
      <c r="M2041" s="2" t="s">
        <v>8886</v>
      </c>
    </row>
    <row r="2042">
      <c r="A2042" s="12"/>
      <c r="B2042" s="1"/>
      <c r="M2042" s="2" t="s">
        <v>8886</v>
      </c>
    </row>
    <row r="2043">
      <c r="A2043" s="12"/>
      <c r="B2043" s="1"/>
      <c r="M2043" s="2" t="s">
        <v>8886</v>
      </c>
    </row>
    <row r="2044">
      <c r="A2044" s="12"/>
      <c r="B2044" s="1"/>
      <c r="M2044" s="2" t="s">
        <v>8886</v>
      </c>
    </row>
    <row r="2045">
      <c r="A2045" s="12"/>
      <c r="B2045" s="1"/>
      <c r="M2045" s="2" t="s">
        <v>8886</v>
      </c>
    </row>
    <row r="2046">
      <c r="A2046" s="12"/>
      <c r="B2046" s="1"/>
      <c r="M2046" s="2" t="s">
        <v>8886</v>
      </c>
    </row>
    <row r="2047">
      <c r="A2047" s="12"/>
      <c r="B2047" s="1"/>
      <c r="M2047" s="2" t="s">
        <v>8886</v>
      </c>
    </row>
    <row r="2048">
      <c r="A2048" s="12"/>
      <c r="B2048" s="1"/>
      <c r="M2048" s="2" t="s">
        <v>8886</v>
      </c>
    </row>
    <row r="2049">
      <c r="A2049" s="12"/>
      <c r="B2049" s="1"/>
      <c r="M2049" s="2" t="s">
        <v>8886</v>
      </c>
    </row>
    <row r="2050">
      <c r="A2050" s="12"/>
      <c r="B2050" s="1"/>
      <c r="M2050" s="2" t="s">
        <v>8886</v>
      </c>
    </row>
    <row r="2051">
      <c r="A2051" s="12"/>
      <c r="B2051" s="1"/>
      <c r="M2051" s="2" t="s">
        <v>8886</v>
      </c>
    </row>
    <row r="2052">
      <c r="A2052" s="12"/>
      <c r="B2052" s="1"/>
      <c r="M2052" s="2" t="s">
        <v>8886</v>
      </c>
    </row>
    <row r="2053">
      <c r="A2053" s="12"/>
      <c r="B2053" s="1"/>
      <c r="M2053" s="2" t="s">
        <v>8886</v>
      </c>
    </row>
    <row r="2054">
      <c r="A2054" s="12"/>
      <c r="B2054" s="1"/>
      <c r="M2054" s="2" t="s">
        <v>8886</v>
      </c>
    </row>
    <row r="2055">
      <c r="A2055" s="12"/>
      <c r="B2055" s="1"/>
      <c r="M2055" s="2" t="s">
        <v>8886</v>
      </c>
    </row>
    <row r="2056">
      <c r="A2056" s="12"/>
      <c r="B2056" s="1"/>
      <c r="M2056" s="2" t="s">
        <v>8886</v>
      </c>
    </row>
    <row r="2057">
      <c r="A2057" s="12"/>
      <c r="B2057" s="1"/>
      <c r="M2057" s="2" t="s">
        <v>8886</v>
      </c>
    </row>
    <row r="2058">
      <c r="A2058" s="12"/>
      <c r="B2058" s="1"/>
      <c r="M2058" s="2" t="s">
        <v>8886</v>
      </c>
    </row>
    <row r="2059">
      <c r="A2059" s="12"/>
      <c r="B2059" s="1"/>
      <c r="M2059" s="2" t="s">
        <v>8886</v>
      </c>
    </row>
    <row r="2060">
      <c r="A2060" s="12"/>
      <c r="B2060" s="1"/>
      <c r="M2060" s="2" t="s">
        <v>8886</v>
      </c>
    </row>
    <row r="2061">
      <c r="A2061" s="12"/>
      <c r="B2061" s="1"/>
      <c r="M2061" s="2" t="s">
        <v>8886</v>
      </c>
    </row>
    <row r="2062">
      <c r="A2062" s="12"/>
      <c r="B2062" s="1"/>
      <c r="M2062" s="2" t="s">
        <v>8886</v>
      </c>
    </row>
    <row r="2063">
      <c r="A2063" s="12"/>
      <c r="B2063" s="1"/>
      <c r="M2063" s="2" t="s">
        <v>8886</v>
      </c>
    </row>
    <row r="2064">
      <c r="A2064" s="12"/>
      <c r="B2064" s="1"/>
      <c r="M2064" s="2" t="s">
        <v>8886</v>
      </c>
    </row>
    <row r="2065">
      <c r="A2065" s="12"/>
      <c r="B2065" s="1"/>
      <c r="M2065" s="2" t="s">
        <v>8886</v>
      </c>
    </row>
    <row r="2066">
      <c r="A2066" s="12"/>
      <c r="B2066" s="1"/>
      <c r="M2066" s="2" t="s">
        <v>8886</v>
      </c>
    </row>
    <row r="2067">
      <c r="A2067" s="12"/>
      <c r="B2067" s="1"/>
      <c r="M2067" s="2" t="s">
        <v>8886</v>
      </c>
    </row>
    <row r="2068">
      <c r="A2068" s="12"/>
      <c r="B2068" s="1"/>
      <c r="M2068" s="2" t="s">
        <v>8886</v>
      </c>
    </row>
    <row r="2069">
      <c r="A2069" s="12"/>
      <c r="B2069" s="1"/>
      <c r="M2069" s="2" t="s">
        <v>8886</v>
      </c>
    </row>
    <row r="2070">
      <c r="A2070" s="12"/>
      <c r="B2070" s="1"/>
      <c r="M2070" s="2" t="s">
        <v>8886</v>
      </c>
    </row>
    <row r="2071">
      <c r="A2071" s="12"/>
      <c r="B2071" s="1"/>
      <c r="M2071" s="2" t="s">
        <v>8886</v>
      </c>
    </row>
    <row r="2072">
      <c r="A2072" s="12"/>
      <c r="B2072" s="1"/>
      <c r="M2072" s="2" t="s">
        <v>8886</v>
      </c>
    </row>
    <row r="2073">
      <c r="A2073" s="12"/>
      <c r="B2073" s="1"/>
      <c r="M2073" s="2" t="s">
        <v>8886</v>
      </c>
    </row>
    <row r="2074">
      <c r="A2074" s="12"/>
      <c r="B2074" s="1"/>
      <c r="M2074" s="2" t="s">
        <v>8886</v>
      </c>
    </row>
    <row r="2075">
      <c r="A2075" s="12"/>
      <c r="B2075" s="1"/>
      <c r="M2075" s="2" t="s">
        <v>8886</v>
      </c>
    </row>
    <row r="2076">
      <c r="A2076" s="12"/>
      <c r="B2076" s="1"/>
      <c r="M2076" s="2" t="s">
        <v>8886</v>
      </c>
    </row>
    <row r="2077">
      <c r="A2077" s="12"/>
      <c r="B2077" s="1"/>
      <c r="M2077" s="2" t="s">
        <v>8886</v>
      </c>
    </row>
    <row r="2078">
      <c r="A2078" s="12"/>
      <c r="B2078" s="1"/>
      <c r="M2078" s="2" t="s">
        <v>8886</v>
      </c>
    </row>
    <row r="2079">
      <c r="A2079" s="12"/>
      <c r="B2079" s="1"/>
      <c r="M2079" s="2" t="s">
        <v>8886</v>
      </c>
    </row>
    <row r="2080">
      <c r="A2080" s="12"/>
      <c r="B2080" s="1"/>
      <c r="M2080" s="2" t="s">
        <v>8886</v>
      </c>
    </row>
    <row r="2081">
      <c r="A2081" s="12"/>
      <c r="B2081" s="1"/>
      <c r="M2081" s="2" t="s">
        <v>8886</v>
      </c>
    </row>
    <row r="2082">
      <c r="A2082" s="12"/>
      <c r="B2082" s="1"/>
      <c r="M2082" s="2" t="s">
        <v>8886</v>
      </c>
    </row>
    <row r="2083">
      <c r="A2083" s="12"/>
      <c r="B2083" s="1"/>
      <c r="M2083" s="2" t="s">
        <v>8886</v>
      </c>
    </row>
    <row r="2084">
      <c r="A2084" s="12"/>
      <c r="B2084" s="1"/>
      <c r="M2084" s="2" t="s">
        <v>8886</v>
      </c>
    </row>
    <row r="2085">
      <c r="A2085" s="12"/>
      <c r="B2085" s="1"/>
      <c r="M2085" s="2" t="s">
        <v>8886</v>
      </c>
    </row>
    <row r="2086">
      <c r="A2086" s="12"/>
      <c r="B2086" s="1"/>
      <c r="M2086" s="2" t="s">
        <v>8886</v>
      </c>
    </row>
    <row r="2087">
      <c r="A2087" s="12"/>
      <c r="B2087" s="1"/>
      <c r="M2087" s="2" t="s">
        <v>8886</v>
      </c>
    </row>
    <row r="2088">
      <c r="A2088" s="12"/>
      <c r="B2088" s="1"/>
      <c r="M2088" s="2" t="s">
        <v>8886</v>
      </c>
    </row>
    <row r="2089">
      <c r="A2089" s="12"/>
      <c r="B2089" s="1"/>
      <c r="M2089" s="2" t="s">
        <v>8886</v>
      </c>
    </row>
    <row r="2090">
      <c r="A2090" s="12"/>
      <c r="B2090" s="1"/>
      <c r="M2090" s="2" t="s">
        <v>8886</v>
      </c>
    </row>
    <row r="2091">
      <c r="A2091" s="12"/>
      <c r="B2091" s="1"/>
      <c r="M2091" s="2" t="s">
        <v>8886</v>
      </c>
    </row>
    <row r="2092">
      <c r="A2092" s="12"/>
      <c r="B2092" s="1"/>
      <c r="M2092" s="2" t="s">
        <v>8886</v>
      </c>
    </row>
    <row r="2093">
      <c r="A2093" s="12"/>
      <c r="B2093" s="1"/>
      <c r="M2093" s="2" t="s">
        <v>8886</v>
      </c>
    </row>
    <row r="2094">
      <c r="A2094" s="12"/>
      <c r="B2094" s="1"/>
      <c r="M2094" s="2" t="s">
        <v>8886</v>
      </c>
    </row>
    <row r="2095">
      <c r="A2095" s="12"/>
      <c r="B2095" s="1"/>
      <c r="M2095" s="2" t="s">
        <v>8886</v>
      </c>
    </row>
    <row r="2096">
      <c r="A2096" s="12"/>
      <c r="B2096" s="1"/>
      <c r="M2096" s="2" t="s">
        <v>8886</v>
      </c>
    </row>
    <row r="2097">
      <c r="A2097" s="12"/>
      <c r="B2097" s="1"/>
      <c r="M2097" s="2" t="s">
        <v>8886</v>
      </c>
    </row>
    <row r="2098">
      <c r="A2098" s="12"/>
      <c r="B2098" s="1"/>
      <c r="M2098" s="2" t="s">
        <v>8886</v>
      </c>
    </row>
    <row r="2099">
      <c r="A2099" s="12"/>
      <c r="B2099" s="1"/>
      <c r="M2099" s="2" t="s">
        <v>8886</v>
      </c>
    </row>
    <row r="2100">
      <c r="A2100" s="12"/>
      <c r="B2100" s="1"/>
      <c r="M2100" s="2" t="s">
        <v>8886</v>
      </c>
    </row>
    <row r="2101">
      <c r="A2101" s="12"/>
      <c r="B2101" s="1"/>
      <c r="M2101" s="2" t="s">
        <v>8886</v>
      </c>
    </row>
    <row r="2102">
      <c r="A2102" s="12"/>
      <c r="B2102" s="1"/>
      <c r="M2102" s="2" t="s">
        <v>8886</v>
      </c>
    </row>
    <row r="2103">
      <c r="A2103" s="12"/>
      <c r="B2103" s="1"/>
      <c r="M2103" s="2" t="s">
        <v>8886</v>
      </c>
    </row>
    <row r="2104">
      <c r="A2104" s="12"/>
      <c r="B2104" s="1"/>
      <c r="M2104" s="2" t="s">
        <v>8886</v>
      </c>
    </row>
    <row r="2105">
      <c r="A2105" s="12"/>
      <c r="B2105" s="1"/>
      <c r="M2105" s="2" t="s">
        <v>8886</v>
      </c>
    </row>
    <row r="2106">
      <c r="A2106" s="12"/>
      <c r="B2106" s="1"/>
      <c r="M2106" s="2" t="s">
        <v>8886</v>
      </c>
    </row>
    <row r="2107">
      <c r="A2107" s="12"/>
      <c r="B2107" s="1"/>
      <c r="M2107" s="2" t="s">
        <v>8886</v>
      </c>
    </row>
    <row r="2108">
      <c r="A2108" s="12"/>
      <c r="B2108" s="1"/>
      <c r="M2108" s="2" t="s">
        <v>8886</v>
      </c>
    </row>
    <row r="2109">
      <c r="A2109" s="12"/>
      <c r="B2109" s="1"/>
      <c r="M2109" s="2" t="s">
        <v>8886</v>
      </c>
    </row>
    <row r="2110">
      <c r="A2110" s="12"/>
      <c r="B2110" s="1"/>
      <c r="M2110" s="2" t="s">
        <v>8886</v>
      </c>
    </row>
    <row r="2111">
      <c r="A2111" s="12"/>
      <c r="B2111" s="1"/>
      <c r="M2111" s="2" t="s">
        <v>8886</v>
      </c>
    </row>
    <row r="2112">
      <c r="A2112" s="12"/>
      <c r="B2112" s="1"/>
      <c r="M2112" s="2" t="s">
        <v>8886</v>
      </c>
    </row>
    <row r="2113">
      <c r="A2113" s="12"/>
      <c r="B2113" s="1"/>
      <c r="M2113" s="2" t="s">
        <v>8886</v>
      </c>
    </row>
    <row r="2114">
      <c r="A2114" s="12"/>
      <c r="B2114" s="1"/>
      <c r="M2114" s="2" t="s">
        <v>8886</v>
      </c>
    </row>
    <row r="2115">
      <c r="A2115" s="12"/>
      <c r="B2115" s="1"/>
      <c r="M2115" s="2" t="s">
        <v>8886</v>
      </c>
    </row>
    <row r="2116">
      <c r="A2116" s="12"/>
      <c r="B2116" s="1"/>
      <c r="M2116" s="2" t="s">
        <v>8886</v>
      </c>
    </row>
    <row r="2117">
      <c r="A2117" s="12"/>
      <c r="B2117" s="1"/>
      <c r="M2117" s="2" t="s">
        <v>8886</v>
      </c>
    </row>
    <row r="2118">
      <c r="A2118" s="12"/>
      <c r="B2118" s="1"/>
      <c r="M2118" s="2" t="s">
        <v>8886</v>
      </c>
    </row>
    <row r="2119">
      <c r="A2119" s="12"/>
      <c r="B2119" s="1"/>
      <c r="M2119" s="2" t="s">
        <v>8886</v>
      </c>
    </row>
    <row r="2120">
      <c r="A2120" s="12"/>
      <c r="B2120" s="1"/>
      <c r="M2120" s="2" t="s">
        <v>8886</v>
      </c>
    </row>
    <row r="2121">
      <c r="A2121" s="12"/>
      <c r="B2121" s="1"/>
      <c r="M2121" s="2" t="s">
        <v>8886</v>
      </c>
    </row>
    <row r="2122">
      <c r="A2122" s="12"/>
      <c r="B2122" s="1"/>
      <c r="M2122" s="2" t="s">
        <v>8886</v>
      </c>
    </row>
    <row r="2123">
      <c r="A2123" s="12"/>
      <c r="B2123" s="1"/>
      <c r="M2123" s="2" t="s">
        <v>8886</v>
      </c>
    </row>
    <row r="2124">
      <c r="A2124" s="12"/>
      <c r="B2124" s="1"/>
      <c r="M2124" s="2" t="s">
        <v>8886</v>
      </c>
    </row>
    <row r="2125">
      <c r="A2125" s="12"/>
      <c r="B2125" s="1"/>
      <c r="M2125" s="2" t="s">
        <v>8886</v>
      </c>
    </row>
    <row r="2126">
      <c r="A2126" s="12"/>
      <c r="B2126" s="1"/>
      <c r="M2126" s="2" t="s">
        <v>8886</v>
      </c>
    </row>
    <row r="2127">
      <c r="A2127" s="12"/>
      <c r="B2127" s="1"/>
      <c r="M2127" s="2" t="s">
        <v>8886</v>
      </c>
    </row>
    <row r="2128">
      <c r="A2128" s="12"/>
      <c r="B2128" s="1"/>
      <c r="M2128" s="2" t="s">
        <v>8886</v>
      </c>
    </row>
    <row r="2129">
      <c r="A2129" s="12"/>
      <c r="B2129" s="1"/>
      <c r="M2129" s="2" t="s">
        <v>8886</v>
      </c>
    </row>
    <row r="2130">
      <c r="A2130" s="12"/>
      <c r="B2130" s="1"/>
      <c r="M2130" s="2" t="s">
        <v>8886</v>
      </c>
    </row>
    <row r="2131">
      <c r="A2131" s="12"/>
      <c r="B2131" s="1"/>
      <c r="M2131" s="2" t="s">
        <v>8886</v>
      </c>
    </row>
    <row r="2132">
      <c r="A2132" s="12"/>
      <c r="B2132" s="1"/>
      <c r="M2132" s="2" t="s">
        <v>8886</v>
      </c>
    </row>
    <row r="2133">
      <c r="A2133" s="12"/>
      <c r="B2133" s="1"/>
      <c r="M2133" s="2" t="s">
        <v>8886</v>
      </c>
    </row>
    <row r="2134">
      <c r="A2134" s="12"/>
      <c r="B2134" s="1"/>
      <c r="M2134" s="2" t="s">
        <v>8886</v>
      </c>
    </row>
    <row r="2135">
      <c r="A2135" s="12"/>
      <c r="B2135" s="1"/>
      <c r="M2135" s="2" t="s">
        <v>8886</v>
      </c>
    </row>
    <row r="2136">
      <c r="A2136" s="12"/>
      <c r="B2136" s="1"/>
      <c r="M2136" s="2" t="s">
        <v>8886</v>
      </c>
    </row>
    <row r="2137">
      <c r="A2137" s="12"/>
      <c r="B2137" s="1"/>
      <c r="M2137" s="2" t="s">
        <v>8886</v>
      </c>
    </row>
    <row r="2138">
      <c r="A2138" s="12"/>
      <c r="B2138" s="1"/>
      <c r="M2138" s="2" t="s">
        <v>8886</v>
      </c>
    </row>
    <row r="2139">
      <c r="A2139" s="12"/>
      <c r="B2139" s="1"/>
      <c r="M2139" s="2" t="s">
        <v>8886</v>
      </c>
    </row>
    <row r="2140">
      <c r="A2140" s="12"/>
      <c r="B2140" s="1"/>
      <c r="M2140" s="2" t="s">
        <v>8886</v>
      </c>
    </row>
    <row r="2141">
      <c r="A2141" s="12"/>
      <c r="B2141" s="1"/>
      <c r="M2141" s="2" t="s">
        <v>8886</v>
      </c>
    </row>
    <row r="2142">
      <c r="A2142" s="12"/>
      <c r="B2142" s="1"/>
      <c r="M2142" s="2" t="s">
        <v>8886</v>
      </c>
    </row>
    <row r="2143">
      <c r="A2143" s="12"/>
      <c r="B2143" s="1"/>
      <c r="M2143" s="2" t="s">
        <v>8886</v>
      </c>
    </row>
    <row r="2144">
      <c r="A2144" s="12"/>
      <c r="B2144" s="1"/>
      <c r="M2144" s="2" t="s">
        <v>8886</v>
      </c>
    </row>
    <row r="2145">
      <c r="A2145" s="12"/>
      <c r="B2145" s="1"/>
      <c r="M2145" s="2" t="s">
        <v>8886</v>
      </c>
    </row>
    <row r="2146">
      <c r="A2146" s="12"/>
      <c r="B2146" s="1"/>
      <c r="M2146" s="2" t="s">
        <v>8886</v>
      </c>
    </row>
    <row r="2147">
      <c r="A2147" s="12"/>
      <c r="B2147" s="1"/>
      <c r="M2147" s="2" t="s">
        <v>8886</v>
      </c>
    </row>
    <row r="2148">
      <c r="A2148" s="12"/>
      <c r="B2148" s="1"/>
      <c r="M2148" s="2" t="s">
        <v>8886</v>
      </c>
    </row>
    <row r="2149">
      <c r="A2149" s="12"/>
      <c r="B2149" s="1"/>
      <c r="M2149" s="2" t="s">
        <v>8886</v>
      </c>
    </row>
    <row r="2150">
      <c r="A2150" s="12"/>
      <c r="B2150" s="1"/>
      <c r="M2150" s="2" t="s">
        <v>8886</v>
      </c>
    </row>
    <row r="2151">
      <c r="A2151" s="12"/>
      <c r="B2151" s="1"/>
      <c r="M2151" s="2" t="s">
        <v>8886</v>
      </c>
    </row>
    <row r="2152">
      <c r="A2152" s="12"/>
      <c r="B2152" s="1"/>
      <c r="M2152" s="2" t="s">
        <v>8886</v>
      </c>
    </row>
    <row r="2153">
      <c r="A2153" s="12"/>
      <c r="B2153" s="1"/>
      <c r="M2153" s="2" t="s">
        <v>8886</v>
      </c>
    </row>
    <row r="2154">
      <c r="A2154" s="12"/>
      <c r="B2154" s="1"/>
      <c r="M2154" s="2" t="s">
        <v>8886</v>
      </c>
    </row>
    <row r="2155">
      <c r="A2155" s="12"/>
      <c r="B2155" s="1"/>
      <c r="M2155" s="2" t="s">
        <v>8886</v>
      </c>
    </row>
    <row r="2156">
      <c r="A2156" s="12"/>
      <c r="B2156" s="1"/>
      <c r="M2156" s="2" t="s">
        <v>8886</v>
      </c>
    </row>
    <row r="2157">
      <c r="A2157" s="12"/>
      <c r="B2157" s="1"/>
      <c r="M2157" s="2" t="s">
        <v>8886</v>
      </c>
    </row>
    <row r="2158">
      <c r="A2158" s="12"/>
      <c r="B2158" s="1"/>
      <c r="M2158" s="2" t="s">
        <v>8886</v>
      </c>
    </row>
    <row r="2159">
      <c r="A2159" s="12"/>
      <c r="B2159" s="1"/>
      <c r="M2159" s="2" t="s">
        <v>8886</v>
      </c>
    </row>
    <row r="2160">
      <c r="A2160" s="12"/>
      <c r="B2160" s="1"/>
      <c r="M2160" s="2" t="s">
        <v>8886</v>
      </c>
    </row>
    <row r="2161">
      <c r="A2161" s="12"/>
      <c r="B2161" s="1"/>
      <c r="M2161" s="2" t="s">
        <v>8886</v>
      </c>
    </row>
    <row r="2162">
      <c r="A2162" s="12"/>
      <c r="B2162" s="1"/>
      <c r="M2162" s="2" t="s">
        <v>8886</v>
      </c>
    </row>
    <row r="2163">
      <c r="A2163" s="12"/>
      <c r="B2163" s="1"/>
      <c r="M2163" s="2" t="s">
        <v>8886</v>
      </c>
    </row>
    <row r="2164">
      <c r="A2164" s="12"/>
      <c r="B2164" s="1"/>
      <c r="M2164" s="2" t="s">
        <v>8886</v>
      </c>
    </row>
    <row r="2165">
      <c r="A2165" s="12"/>
      <c r="B2165" s="1"/>
      <c r="M2165" s="2" t="s">
        <v>8886</v>
      </c>
    </row>
    <row r="2166">
      <c r="A2166" s="12"/>
      <c r="B2166" s="1"/>
      <c r="M2166" s="2" t="s">
        <v>8886</v>
      </c>
    </row>
    <row r="2167">
      <c r="A2167" s="12"/>
      <c r="B2167" s="1"/>
      <c r="M2167" s="2" t="s">
        <v>8886</v>
      </c>
    </row>
    <row r="2168">
      <c r="A2168" s="12"/>
      <c r="B2168" s="1"/>
      <c r="M2168" s="2" t="s">
        <v>8886</v>
      </c>
    </row>
    <row r="2169">
      <c r="A2169" s="12"/>
      <c r="B2169" s="1"/>
      <c r="M2169" s="2" t="s">
        <v>8886</v>
      </c>
    </row>
    <row r="2170">
      <c r="A2170" s="12"/>
      <c r="B2170" s="1"/>
      <c r="M2170" s="2" t="s">
        <v>8886</v>
      </c>
    </row>
    <row r="2171">
      <c r="A2171" s="12"/>
      <c r="B2171" s="1"/>
      <c r="M2171" s="2" t="s">
        <v>8886</v>
      </c>
    </row>
    <row r="2172">
      <c r="A2172" s="12"/>
      <c r="B2172" s="1"/>
      <c r="M2172" s="2" t="s">
        <v>8886</v>
      </c>
    </row>
    <row r="2173">
      <c r="A2173" s="12"/>
      <c r="B2173" s="1"/>
      <c r="M2173" s="2" t="s">
        <v>8886</v>
      </c>
    </row>
    <row r="2174">
      <c r="A2174" s="12"/>
      <c r="B2174" s="1"/>
      <c r="M2174" s="2" t="s">
        <v>8886</v>
      </c>
    </row>
    <row r="2175">
      <c r="A2175" s="12"/>
      <c r="B2175" s="1"/>
      <c r="M2175" s="2" t="s">
        <v>8886</v>
      </c>
    </row>
    <row r="2176">
      <c r="A2176" s="12"/>
      <c r="B2176" s="1"/>
      <c r="M2176" s="2" t="s">
        <v>8886</v>
      </c>
    </row>
    <row r="2177">
      <c r="A2177" s="12"/>
      <c r="B2177" s="1"/>
      <c r="M2177" s="2" t="s">
        <v>8886</v>
      </c>
    </row>
    <row r="2178">
      <c r="A2178" s="12"/>
      <c r="B2178" s="1"/>
      <c r="M2178" s="2" t="s">
        <v>8886</v>
      </c>
    </row>
    <row r="2179">
      <c r="A2179" s="12"/>
      <c r="B2179" s="1"/>
      <c r="M2179" s="2" t="s">
        <v>8886</v>
      </c>
    </row>
    <row r="2180">
      <c r="A2180" s="12"/>
      <c r="B2180" s="1"/>
      <c r="M2180" s="2" t="s">
        <v>8886</v>
      </c>
    </row>
    <row r="2181">
      <c r="A2181" s="12"/>
      <c r="B2181" s="1"/>
      <c r="M2181" s="2" t="s">
        <v>8886</v>
      </c>
    </row>
    <row r="2182">
      <c r="A2182" s="12"/>
      <c r="B2182" s="1"/>
      <c r="M2182" s="2" t="s">
        <v>8886</v>
      </c>
    </row>
    <row r="2183">
      <c r="A2183" s="12"/>
      <c r="B2183" s="1"/>
      <c r="M2183" s="2" t="s">
        <v>8886</v>
      </c>
    </row>
    <row r="2184">
      <c r="A2184" s="12"/>
      <c r="B2184" s="1"/>
      <c r="M2184" s="2" t="s">
        <v>8886</v>
      </c>
    </row>
    <row r="2185">
      <c r="A2185" s="12"/>
      <c r="B2185" s="1"/>
      <c r="M2185" s="2" t="s">
        <v>8886</v>
      </c>
    </row>
    <row r="2186">
      <c r="A2186" s="12"/>
      <c r="B2186" s="1"/>
      <c r="M2186" s="2" t="s">
        <v>8886</v>
      </c>
    </row>
    <row r="2187">
      <c r="A2187" s="12"/>
      <c r="B2187" s="1"/>
      <c r="M2187" s="2" t="s">
        <v>8886</v>
      </c>
    </row>
    <row r="2188">
      <c r="A2188" s="12"/>
      <c r="B2188" s="1"/>
      <c r="M2188" s="2" t="s">
        <v>8886</v>
      </c>
    </row>
    <row r="2189">
      <c r="A2189" s="12"/>
      <c r="B2189" s="1"/>
      <c r="M2189" s="2" t="s">
        <v>8886</v>
      </c>
    </row>
    <row r="2190">
      <c r="A2190" s="12"/>
      <c r="B2190" s="1"/>
      <c r="M2190" s="2" t="s">
        <v>8886</v>
      </c>
    </row>
    <row r="2191">
      <c r="A2191" s="12"/>
      <c r="B2191" s="1"/>
      <c r="M2191" s="2" t="s">
        <v>8886</v>
      </c>
    </row>
    <row r="2192">
      <c r="A2192" s="12"/>
      <c r="B2192" s="1"/>
      <c r="M2192" s="2" t="s">
        <v>8886</v>
      </c>
    </row>
    <row r="2193">
      <c r="A2193" s="12"/>
      <c r="B2193" s="1"/>
      <c r="M2193" s="2" t="s">
        <v>8886</v>
      </c>
    </row>
    <row r="2194">
      <c r="A2194" s="12"/>
      <c r="B2194" s="1"/>
      <c r="M2194" s="2" t="s">
        <v>8886</v>
      </c>
    </row>
    <row r="2195">
      <c r="A2195" s="12"/>
      <c r="B2195" s="1"/>
      <c r="M2195" s="2" t="s">
        <v>8886</v>
      </c>
    </row>
    <row r="2196">
      <c r="A2196" s="12"/>
      <c r="B2196" s="1"/>
      <c r="M2196" s="2" t="s">
        <v>8886</v>
      </c>
    </row>
    <row r="2197">
      <c r="A2197" s="12"/>
      <c r="B2197" s="1"/>
      <c r="M2197" s="2" t="s">
        <v>8886</v>
      </c>
    </row>
    <row r="2198">
      <c r="A2198" s="12"/>
      <c r="B2198" s="1"/>
      <c r="M2198" s="2" t="s">
        <v>8886</v>
      </c>
    </row>
    <row r="2199">
      <c r="A2199" s="12"/>
      <c r="B2199" s="1"/>
      <c r="M2199" s="2" t="s">
        <v>8886</v>
      </c>
    </row>
    <row r="2200">
      <c r="A2200" s="12"/>
      <c r="B2200" s="1"/>
      <c r="M2200" s="2" t="s">
        <v>8886</v>
      </c>
    </row>
    <row r="2201">
      <c r="A2201" s="12"/>
      <c r="B2201" s="1"/>
      <c r="M2201" s="2" t="s">
        <v>8886</v>
      </c>
    </row>
    <row r="2202">
      <c r="A2202" s="12"/>
      <c r="B2202" s="1"/>
      <c r="M2202" s="2" t="s">
        <v>8886</v>
      </c>
    </row>
    <row r="2203">
      <c r="A2203" s="12"/>
      <c r="B2203" s="1"/>
      <c r="M2203" s="2" t="s">
        <v>8886</v>
      </c>
    </row>
    <row r="2204">
      <c r="A2204" s="12"/>
      <c r="B2204" s="1"/>
      <c r="M2204" s="2" t="s">
        <v>8886</v>
      </c>
    </row>
    <row r="2205">
      <c r="A2205" s="12"/>
      <c r="B2205" s="1"/>
      <c r="M2205" s="2" t="s">
        <v>8886</v>
      </c>
    </row>
    <row r="2206">
      <c r="A2206" s="12"/>
      <c r="B2206" s="1"/>
      <c r="M2206" s="2" t="s">
        <v>8886</v>
      </c>
    </row>
    <row r="2207">
      <c r="A2207" s="12"/>
      <c r="B2207" s="1"/>
      <c r="M2207" s="2" t="s">
        <v>8886</v>
      </c>
    </row>
    <row r="2208">
      <c r="A2208" s="12"/>
      <c r="B2208" s="1"/>
      <c r="M2208" s="2" t="s">
        <v>8886</v>
      </c>
    </row>
    <row r="2209">
      <c r="A2209" s="12"/>
      <c r="B2209" s="1"/>
      <c r="M2209" s="2" t="s">
        <v>8886</v>
      </c>
    </row>
    <row r="2210">
      <c r="A2210" s="12"/>
      <c r="B2210" s="1"/>
      <c r="M2210" s="2" t="s">
        <v>8886</v>
      </c>
    </row>
    <row r="2211">
      <c r="A2211" s="12"/>
      <c r="B2211" s="1"/>
      <c r="M2211" s="2" t="s">
        <v>8886</v>
      </c>
    </row>
    <row r="2212">
      <c r="A2212" s="12"/>
      <c r="B2212" s="1"/>
      <c r="M2212" s="2" t="s">
        <v>8886</v>
      </c>
    </row>
    <row r="2213">
      <c r="A2213" s="12"/>
      <c r="B2213" s="1"/>
      <c r="M2213" s="2" t="s">
        <v>8886</v>
      </c>
    </row>
    <row r="2214">
      <c r="A2214" s="12"/>
      <c r="B2214" s="1"/>
      <c r="M2214" s="2" t="s">
        <v>8886</v>
      </c>
    </row>
    <row r="2215">
      <c r="A2215" s="12"/>
      <c r="B2215" s="1"/>
      <c r="M2215" s="2" t="s">
        <v>8886</v>
      </c>
    </row>
    <row r="2216">
      <c r="A2216" s="12"/>
      <c r="B2216" s="1"/>
      <c r="M2216" s="2" t="s">
        <v>8886</v>
      </c>
    </row>
    <row r="2217">
      <c r="A2217" s="12"/>
      <c r="B2217" s="1"/>
      <c r="M2217" s="2" t="s">
        <v>8886</v>
      </c>
    </row>
    <row r="2218">
      <c r="A2218" s="12"/>
      <c r="B2218" s="1"/>
      <c r="M2218" s="2" t="s">
        <v>8886</v>
      </c>
    </row>
    <row r="2219">
      <c r="A2219" s="12"/>
      <c r="B2219" s="1"/>
      <c r="M2219" s="2" t="s">
        <v>8886</v>
      </c>
    </row>
    <row r="2220">
      <c r="A2220" s="12"/>
      <c r="B2220" s="1"/>
      <c r="M2220" s="2" t="s">
        <v>8886</v>
      </c>
    </row>
    <row r="2221">
      <c r="A2221" s="12"/>
      <c r="B2221" s="1"/>
      <c r="M2221" s="2" t="s">
        <v>8886</v>
      </c>
    </row>
    <row r="2222">
      <c r="A2222" s="12"/>
      <c r="B2222" s="1"/>
      <c r="M2222" s="2" t="s">
        <v>8886</v>
      </c>
    </row>
    <row r="2223">
      <c r="A2223" s="12"/>
      <c r="B2223" s="1"/>
      <c r="M2223" s="2" t="s">
        <v>8886</v>
      </c>
    </row>
    <row r="2224">
      <c r="A2224" s="12"/>
      <c r="B2224" s="1"/>
      <c r="M2224" s="2" t="s">
        <v>8886</v>
      </c>
    </row>
    <row r="2225">
      <c r="A2225" s="12"/>
      <c r="B2225" s="1"/>
      <c r="M2225" s="2" t="s">
        <v>8886</v>
      </c>
    </row>
    <row r="2226">
      <c r="A2226" s="12"/>
      <c r="B2226" s="1"/>
      <c r="M2226" s="2" t="s">
        <v>8886</v>
      </c>
    </row>
    <row r="2227">
      <c r="A2227" s="12"/>
      <c r="B2227" s="1"/>
      <c r="M2227" s="2" t="s">
        <v>8886</v>
      </c>
    </row>
    <row r="2228">
      <c r="A2228" s="12"/>
      <c r="B2228" s="1"/>
      <c r="M2228" s="2" t="s">
        <v>8886</v>
      </c>
    </row>
    <row r="2229">
      <c r="A2229" s="12"/>
      <c r="B2229" s="1"/>
      <c r="M2229" s="2" t="s">
        <v>8886</v>
      </c>
    </row>
    <row r="2230">
      <c r="A2230" s="12"/>
      <c r="B2230" s="1"/>
      <c r="M2230" s="2" t="s">
        <v>8886</v>
      </c>
    </row>
    <row r="2231">
      <c r="A2231" s="12"/>
      <c r="B2231" s="1"/>
      <c r="M2231" s="2" t="s">
        <v>8886</v>
      </c>
    </row>
    <row r="2232">
      <c r="A2232" s="12"/>
      <c r="B2232" s="1"/>
      <c r="M2232" s="2" t="s">
        <v>8886</v>
      </c>
    </row>
    <row r="2233">
      <c r="A2233" s="12"/>
      <c r="B2233" s="1"/>
      <c r="M2233" s="2" t="s">
        <v>8886</v>
      </c>
    </row>
    <row r="2234">
      <c r="A2234" s="12"/>
      <c r="B2234" s="1"/>
      <c r="M2234" s="2" t="s">
        <v>8886</v>
      </c>
    </row>
    <row r="2235">
      <c r="A2235" s="12"/>
      <c r="B2235" s="1"/>
      <c r="M2235" s="2" t="s">
        <v>8886</v>
      </c>
    </row>
    <row r="2236">
      <c r="A2236" s="12"/>
      <c r="B2236" s="1"/>
      <c r="M2236" s="2" t="s">
        <v>8886</v>
      </c>
    </row>
    <row r="2237">
      <c r="A2237" s="12"/>
      <c r="B2237" s="1"/>
      <c r="M2237" s="2" t="s">
        <v>8886</v>
      </c>
    </row>
    <row r="2238">
      <c r="A2238" s="12"/>
      <c r="B2238" s="1"/>
      <c r="M2238" s="2" t="s">
        <v>8886</v>
      </c>
    </row>
    <row r="2239">
      <c r="A2239" s="12"/>
      <c r="B2239" s="1"/>
      <c r="M2239" s="2" t="s">
        <v>8886</v>
      </c>
    </row>
    <row r="2240">
      <c r="A2240" s="12"/>
      <c r="B2240" s="1"/>
      <c r="M2240" s="2" t="s">
        <v>8886</v>
      </c>
    </row>
    <row r="2241">
      <c r="A2241" s="12"/>
      <c r="B2241" s="1"/>
      <c r="M2241" s="2" t="s">
        <v>8886</v>
      </c>
    </row>
    <row r="2242">
      <c r="A2242" s="12"/>
      <c r="B2242" s="1"/>
      <c r="M2242" s="2" t="s">
        <v>8886</v>
      </c>
    </row>
    <row r="2243">
      <c r="A2243" s="12"/>
      <c r="B2243" s="1"/>
      <c r="M2243" s="2" t="s">
        <v>8886</v>
      </c>
    </row>
    <row r="2244">
      <c r="A2244" s="12"/>
      <c r="B2244" s="1"/>
      <c r="M2244" s="2" t="s">
        <v>8886</v>
      </c>
    </row>
    <row r="2245">
      <c r="A2245" s="12"/>
      <c r="B2245" s="1"/>
      <c r="M2245" s="2" t="s">
        <v>8886</v>
      </c>
    </row>
    <row r="2246">
      <c r="A2246" s="12"/>
      <c r="B2246" s="1"/>
      <c r="M2246" s="2" t="s">
        <v>8886</v>
      </c>
    </row>
    <row r="2247">
      <c r="A2247" s="12"/>
      <c r="B2247" s="1"/>
      <c r="M2247" s="2" t="s">
        <v>8886</v>
      </c>
    </row>
    <row r="2248">
      <c r="A2248" s="12"/>
      <c r="B2248" s="1"/>
      <c r="M2248" s="2" t="s">
        <v>8886</v>
      </c>
    </row>
    <row r="2249">
      <c r="A2249" s="12"/>
      <c r="B2249" s="1"/>
      <c r="M2249" s="2" t="s">
        <v>8886</v>
      </c>
    </row>
    <row r="2250">
      <c r="A2250" s="12"/>
      <c r="B2250" s="1"/>
      <c r="M2250" s="2" t="s">
        <v>8886</v>
      </c>
    </row>
    <row r="2251">
      <c r="A2251" s="12"/>
      <c r="B2251" s="1"/>
      <c r="M2251" s="2" t="s">
        <v>8886</v>
      </c>
    </row>
    <row r="2252">
      <c r="A2252" s="12"/>
      <c r="B2252" s="1"/>
      <c r="M2252" s="2" t="s">
        <v>8886</v>
      </c>
    </row>
    <row r="2253">
      <c r="A2253" s="12"/>
      <c r="B2253" s="1"/>
      <c r="M2253" s="2" t="s">
        <v>8886</v>
      </c>
    </row>
    <row r="2254">
      <c r="A2254" s="12"/>
      <c r="B2254" s="1"/>
      <c r="M2254" s="2" t="s">
        <v>8886</v>
      </c>
    </row>
    <row r="2255">
      <c r="A2255" s="12"/>
      <c r="B2255" s="1"/>
      <c r="M2255" s="2" t="s">
        <v>8886</v>
      </c>
    </row>
    <row r="2256">
      <c r="A2256" s="12"/>
      <c r="B2256" s="1"/>
      <c r="M2256" s="2" t="s">
        <v>8886</v>
      </c>
    </row>
    <row r="2257">
      <c r="A2257" s="12"/>
      <c r="B2257" s="1"/>
      <c r="M2257" s="2" t="s">
        <v>8886</v>
      </c>
    </row>
    <row r="2258">
      <c r="A2258" s="12"/>
      <c r="B2258" s="1"/>
      <c r="M2258" s="2" t="s">
        <v>8886</v>
      </c>
    </row>
    <row r="2259">
      <c r="A2259" s="12"/>
      <c r="B2259" s="1"/>
      <c r="M2259" s="2" t="s">
        <v>8886</v>
      </c>
    </row>
    <row r="2260">
      <c r="A2260" s="12"/>
      <c r="B2260" s="1"/>
      <c r="M2260" s="2" t="s">
        <v>8886</v>
      </c>
    </row>
    <row r="2261">
      <c r="A2261" s="12"/>
      <c r="B2261" s="1"/>
      <c r="M2261" s="2" t="s">
        <v>8886</v>
      </c>
    </row>
    <row r="2262">
      <c r="A2262" s="12"/>
      <c r="B2262" s="1"/>
      <c r="M2262" s="2" t="s">
        <v>8886</v>
      </c>
    </row>
    <row r="2263">
      <c r="A2263" s="12"/>
      <c r="B2263" s="1"/>
      <c r="M2263" s="2" t="s">
        <v>8886</v>
      </c>
    </row>
    <row r="2264">
      <c r="A2264" s="12"/>
      <c r="B2264" s="1"/>
      <c r="M2264" s="2" t="s">
        <v>8886</v>
      </c>
    </row>
    <row r="2265">
      <c r="A2265" s="12"/>
      <c r="B2265" s="1"/>
      <c r="M2265" s="2" t="s">
        <v>8886</v>
      </c>
    </row>
    <row r="2266">
      <c r="A2266" s="12"/>
      <c r="B2266" s="1"/>
      <c r="M2266" s="2" t="s">
        <v>8886</v>
      </c>
    </row>
    <row r="2267">
      <c r="A2267" s="12"/>
      <c r="B2267" s="1"/>
      <c r="M2267" s="2" t="s">
        <v>8886</v>
      </c>
    </row>
    <row r="2268">
      <c r="A2268" s="12"/>
      <c r="B2268" s="1"/>
      <c r="M2268" s="2" t="s">
        <v>8886</v>
      </c>
    </row>
    <row r="2269">
      <c r="A2269" s="12"/>
      <c r="B2269" s="1"/>
      <c r="M2269" s="2" t="s">
        <v>8886</v>
      </c>
    </row>
    <row r="2270">
      <c r="A2270" s="12"/>
      <c r="B2270" s="1"/>
      <c r="M2270" s="2" t="s">
        <v>8886</v>
      </c>
    </row>
    <row r="2271">
      <c r="A2271" s="12"/>
      <c r="B2271" s="1"/>
      <c r="M2271" s="2" t="s">
        <v>8886</v>
      </c>
    </row>
    <row r="2272">
      <c r="A2272" s="12"/>
      <c r="B2272" s="1"/>
      <c r="M2272" s="2" t="s">
        <v>8886</v>
      </c>
    </row>
    <row r="2273">
      <c r="A2273" s="12"/>
      <c r="B2273" s="1"/>
      <c r="M2273" s="2" t="s">
        <v>8886</v>
      </c>
    </row>
    <row r="2274">
      <c r="A2274" s="12"/>
      <c r="B2274" s="1"/>
      <c r="M2274" s="2" t="s">
        <v>8886</v>
      </c>
    </row>
    <row r="2275">
      <c r="A2275" s="12"/>
      <c r="B2275" s="1"/>
      <c r="M2275" s="2" t="s">
        <v>8886</v>
      </c>
    </row>
    <row r="2276">
      <c r="A2276" s="12"/>
      <c r="B2276" s="1"/>
      <c r="M2276" s="2" t="s">
        <v>8886</v>
      </c>
    </row>
    <row r="2277">
      <c r="A2277" s="12"/>
      <c r="B2277" s="1"/>
      <c r="M2277" s="2" t="s">
        <v>8886</v>
      </c>
    </row>
    <row r="2278">
      <c r="A2278" s="12"/>
      <c r="B2278" s="1"/>
      <c r="M2278" s="2" t="s">
        <v>8886</v>
      </c>
    </row>
    <row r="2279">
      <c r="A2279" s="12"/>
      <c r="B2279" s="1"/>
      <c r="M2279" s="2" t="s">
        <v>8886</v>
      </c>
    </row>
    <row r="2280">
      <c r="A2280" s="12"/>
      <c r="B2280" s="1"/>
      <c r="M2280" s="2" t="s">
        <v>8886</v>
      </c>
    </row>
    <row r="2281">
      <c r="A2281" s="12"/>
      <c r="B2281" s="1"/>
      <c r="M2281" s="2" t="s">
        <v>8886</v>
      </c>
    </row>
    <row r="2282">
      <c r="A2282" s="12"/>
      <c r="B2282" s="1"/>
      <c r="M2282" s="2" t="s">
        <v>8886</v>
      </c>
    </row>
    <row r="2283">
      <c r="A2283" s="12"/>
      <c r="B2283" s="1"/>
      <c r="M2283" s="2" t="s">
        <v>8886</v>
      </c>
    </row>
    <row r="2284">
      <c r="A2284" s="12"/>
      <c r="B2284" s="1"/>
      <c r="M2284" s="2" t="s">
        <v>8886</v>
      </c>
    </row>
    <row r="2285">
      <c r="A2285" s="12"/>
      <c r="B2285" s="1"/>
      <c r="M2285" s="2" t="s">
        <v>8886</v>
      </c>
    </row>
    <row r="2286">
      <c r="A2286" s="12"/>
      <c r="B2286" s="1"/>
      <c r="M2286" s="2" t="s">
        <v>8886</v>
      </c>
    </row>
    <row r="2287">
      <c r="A2287" s="12"/>
      <c r="B2287" s="1"/>
      <c r="M2287" s="2" t="s">
        <v>8886</v>
      </c>
    </row>
    <row r="2288">
      <c r="A2288" s="12"/>
      <c r="B2288" s="1"/>
      <c r="M2288" s="2" t="s">
        <v>8886</v>
      </c>
    </row>
    <row r="2289">
      <c r="A2289" s="12"/>
      <c r="B2289" s="1"/>
      <c r="M2289" s="2" t="s">
        <v>8886</v>
      </c>
    </row>
    <row r="2290">
      <c r="A2290" s="12"/>
      <c r="B2290" s="1"/>
      <c r="M2290" s="2" t="s">
        <v>8886</v>
      </c>
    </row>
    <row r="2291">
      <c r="A2291" s="12"/>
      <c r="B2291" s="1"/>
      <c r="M2291" s="2" t="s">
        <v>8886</v>
      </c>
    </row>
    <row r="2292">
      <c r="A2292" s="12"/>
      <c r="B2292" s="1"/>
      <c r="M2292" s="2" t="s">
        <v>8886</v>
      </c>
    </row>
    <row r="2293">
      <c r="A2293" s="12"/>
      <c r="B2293" s="1"/>
      <c r="M2293" s="2" t="s">
        <v>8886</v>
      </c>
    </row>
    <row r="2294">
      <c r="A2294" s="12"/>
      <c r="B2294" s="1"/>
      <c r="M2294" s="2" t="s">
        <v>8886</v>
      </c>
    </row>
    <row r="2295">
      <c r="A2295" s="12"/>
      <c r="B2295" s="1"/>
      <c r="M2295" s="2" t="s">
        <v>8886</v>
      </c>
    </row>
    <row r="2296">
      <c r="A2296" s="12"/>
      <c r="B2296" s="1"/>
      <c r="M2296" s="2" t="s">
        <v>8886</v>
      </c>
    </row>
    <row r="2297">
      <c r="A2297" s="12"/>
      <c r="B2297" s="1"/>
      <c r="M2297" s="2" t="s">
        <v>8886</v>
      </c>
    </row>
    <row r="2298">
      <c r="A2298" s="12"/>
      <c r="B2298" s="1"/>
      <c r="M2298" s="2" t="s">
        <v>8886</v>
      </c>
    </row>
    <row r="2299">
      <c r="A2299" s="12"/>
      <c r="B2299" s="1"/>
      <c r="M2299" s="2" t="s">
        <v>8886</v>
      </c>
    </row>
    <row r="2300">
      <c r="A2300" s="12"/>
      <c r="B2300" s="1"/>
      <c r="M2300" s="2" t="s">
        <v>8886</v>
      </c>
    </row>
    <row r="2301">
      <c r="A2301" s="12"/>
      <c r="B2301" s="1"/>
      <c r="M2301" s="2" t="s">
        <v>8886</v>
      </c>
    </row>
    <row r="2302">
      <c r="A2302" s="12"/>
      <c r="B2302" s="1"/>
      <c r="M2302" s="2" t="s">
        <v>8886</v>
      </c>
    </row>
    <row r="2303">
      <c r="A2303" s="12"/>
      <c r="B2303" s="1"/>
      <c r="M2303" s="2" t="s">
        <v>8886</v>
      </c>
    </row>
    <row r="2304">
      <c r="A2304" s="12"/>
      <c r="B2304" s="1"/>
      <c r="M2304" s="2" t="s">
        <v>8886</v>
      </c>
    </row>
    <row r="2305">
      <c r="A2305" s="12"/>
      <c r="B2305" s="1"/>
      <c r="M2305" s="2" t="s">
        <v>8886</v>
      </c>
    </row>
    <row r="2306">
      <c r="A2306" s="12"/>
      <c r="B2306" s="1"/>
      <c r="M2306" s="2" t="s">
        <v>8886</v>
      </c>
    </row>
    <row r="2307">
      <c r="A2307" s="12"/>
      <c r="B2307" s="1"/>
      <c r="M2307" s="2" t="s">
        <v>8886</v>
      </c>
    </row>
    <row r="2308">
      <c r="A2308" s="12"/>
      <c r="B2308" s="1"/>
      <c r="M2308" s="2" t="s">
        <v>8886</v>
      </c>
    </row>
    <row r="2309">
      <c r="A2309" s="12"/>
      <c r="B2309" s="1"/>
      <c r="M2309" s="2" t="s">
        <v>8886</v>
      </c>
    </row>
    <row r="2310">
      <c r="A2310" s="12"/>
      <c r="B2310" s="1"/>
      <c r="M2310" s="2" t="s">
        <v>8886</v>
      </c>
    </row>
    <row r="2311">
      <c r="A2311" s="12"/>
      <c r="B2311" s="1"/>
      <c r="M2311" s="2" t="s">
        <v>8886</v>
      </c>
    </row>
    <row r="2312">
      <c r="A2312" s="12"/>
      <c r="B2312" s="1"/>
      <c r="M2312" s="2" t="s">
        <v>8886</v>
      </c>
    </row>
    <row r="2313">
      <c r="A2313" s="12"/>
      <c r="B2313" s="1"/>
      <c r="M2313" s="2" t="s">
        <v>8886</v>
      </c>
    </row>
    <row r="2314">
      <c r="A2314" s="12"/>
      <c r="B2314" s="1"/>
      <c r="M2314" s="2" t="s">
        <v>8886</v>
      </c>
    </row>
    <row r="2315">
      <c r="A2315" s="12"/>
      <c r="B2315" s="1"/>
      <c r="M2315" s="2" t="s">
        <v>8886</v>
      </c>
    </row>
    <row r="2316">
      <c r="A2316" s="12"/>
      <c r="B2316" s="1"/>
      <c r="M2316" s="2" t="s">
        <v>8886</v>
      </c>
    </row>
    <row r="2317">
      <c r="A2317" s="12"/>
      <c r="B2317" s="1"/>
      <c r="M2317" s="2" t="s">
        <v>8886</v>
      </c>
    </row>
    <row r="2318">
      <c r="A2318" s="12"/>
      <c r="B2318" s="1"/>
      <c r="M2318" s="2" t="s">
        <v>8886</v>
      </c>
    </row>
    <row r="2319">
      <c r="A2319" s="12"/>
      <c r="B2319" s="1"/>
      <c r="M2319" s="2" t="s">
        <v>8886</v>
      </c>
    </row>
    <row r="2320">
      <c r="A2320" s="12"/>
      <c r="B2320" s="1"/>
      <c r="M2320" s="2" t="s">
        <v>8886</v>
      </c>
    </row>
    <row r="2321">
      <c r="A2321" s="12"/>
      <c r="B2321" s="1"/>
      <c r="M2321" s="2" t="s">
        <v>8886</v>
      </c>
    </row>
    <row r="2322">
      <c r="A2322" s="12"/>
      <c r="B2322" s="1"/>
      <c r="M2322" s="2" t="s">
        <v>8886</v>
      </c>
    </row>
    <row r="2323">
      <c r="A2323" s="12"/>
      <c r="B2323" s="1"/>
      <c r="M2323" s="2" t="s">
        <v>8886</v>
      </c>
    </row>
    <row r="2324">
      <c r="A2324" s="12"/>
      <c r="B2324" s="1"/>
      <c r="M2324" s="2" t="s">
        <v>8886</v>
      </c>
    </row>
    <row r="2325">
      <c r="A2325" s="12"/>
      <c r="B2325" s="1"/>
      <c r="M2325" s="2" t="s">
        <v>8886</v>
      </c>
    </row>
    <row r="2326">
      <c r="A2326" s="12"/>
      <c r="B2326" s="1"/>
      <c r="M2326" s="2" t="s">
        <v>8886</v>
      </c>
    </row>
    <row r="2327">
      <c r="A2327" s="12"/>
      <c r="B2327" s="1"/>
      <c r="M2327" s="2" t="s">
        <v>8886</v>
      </c>
    </row>
    <row r="2328">
      <c r="A2328" s="12"/>
      <c r="B2328" s="1"/>
      <c r="M2328" s="2" t="s">
        <v>8886</v>
      </c>
    </row>
    <row r="2329">
      <c r="A2329" s="12"/>
      <c r="B2329" s="1"/>
      <c r="M2329" s="2" t="s">
        <v>8886</v>
      </c>
    </row>
    <row r="2330">
      <c r="A2330" s="12"/>
      <c r="B2330" s="1"/>
      <c r="M2330" s="2" t="s">
        <v>8886</v>
      </c>
    </row>
    <row r="2331">
      <c r="A2331" s="12"/>
      <c r="B2331" s="1"/>
      <c r="M2331" s="2" t="s">
        <v>8886</v>
      </c>
    </row>
    <row r="2332">
      <c r="A2332" s="12"/>
      <c r="B2332" s="1"/>
      <c r="M2332" s="2" t="s">
        <v>8886</v>
      </c>
    </row>
    <row r="2333">
      <c r="A2333" s="12"/>
      <c r="B2333" s="1"/>
      <c r="M2333" s="2" t="s">
        <v>8886</v>
      </c>
    </row>
    <row r="2334">
      <c r="A2334" s="12"/>
      <c r="B2334" s="1"/>
      <c r="M2334" s="2" t="s">
        <v>8886</v>
      </c>
    </row>
    <row r="2335">
      <c r="A2335" s="12"/>
      <c r="B2335" s="1"/>
      <c r="M2335" s="2" t="s">
        <v>8886</v>
      </c>
    </row>
    <row r="2336">
      <c r="A2336" s="12"/>
      <c r="B2336" s="1"/>
      <c r="M2336" s="2" t="s">
        <v>8886</v>
      </c>
    </row>
    <row r="2337">
      <c r="A2337" s="12"/>
      <c r="B2337" s="1"/>
      <c r="M2337" s="2" t="s">
        <v>8886</v>
      </c>
    </row>
    <row r="2338">
      <c r="A2338" s="12"/>
      <c r="B2338" s="1"/>
      <c r="M2338" s="2" t="s">
        <v>8886</v>
      </c>
    </row>
    <row r="2339">
      <c r="A2339" s="12"/>
      <c r="B2339" s="1"/>
      <c r="M2339" s="2" t="s">
        <v>8886</v>
      </c>
    </row>
    <row r="2340">
      <c r="A2340" s="12"/>
      <c r="B2340" s="1"/>
      <c r="M2340" s="2" t="s">
        <v>8886</v>
      </c>
    </row>
    <row r="2341">
      <c r="A2341" s="12"/>
      <c r="B2341" s="1"/>
      <c r="M2341" s="2" t="s">
        <v>8886</v>
      </c>
    </row>
    <row r="2342">
      <c r="A2342" s="12"/>
      <c r="B2342" s="1"/>
      <c r="M2342" s="2" t="s">
        <v>8886</v>
      </c>
    </row>
    <row r="2343">
      <c r="A2343" s="12"/>
      <c r="B2343" s="1"/>
      <c r="M2343" s="2" t="s">
        <v>8886</v>
      </c>
    </row>
    <row r="2344">
      <c r="A2344" s="12"/>
      <c r="B2344" s="1"/>
      <c r="M2344" s="2" t="s">
        <v>8886</v>
      </c>
    </row>
    <row r="2345">
      <c r="A2345" s="12"/>
      <c r="B2345" s="1"/>
      <c r="M2345" s="2" t="s">
        <v>8886</v>
      </c>
    </row>
    <row r="2346">
      <c r="A2346" s="12"/>
      <c r="B2346" s="1"/>
      <c r="M2346" s="2" t="s">
        <v>8886</v>
      </c>
    </row>
    <row r="2347">
      <c r="A2347" s="12"/>
      <c r="B2347" s="1"/>
      <c r="M2347" s="2" t="s">
        <v>8886</v>
      </c>
    </row>
    <row r="2348">
      <c r="A2348" s="12"/>
      <c r="B2348" s="1"/>
      <c r="M2348" s="2" t="s">
        <v>8886</v>
      </c>
    </row>
    <row r="2349">
      <c r="A2349" s="12"/>
      <c r="B2349" s="1"/>
      <c r="M2349" s="2" t="s">
        <v>8886</v>
      </c>
    </row>
    <row r="2350">
      <c r="A2350" s="12"/>
      <c r="B2350" s="1"/>
      <c r="M2350" s="2" t="s">
        <v>8886</v>
      </c>
    </row>
    <row r="2351">
      <c r="A2351" s="12"/>
      <c r="B2351" s="1"/>
      <c r="M2351" s="2" t="s">
        <v>8886</v>
      </c>
    </row>
    <row r="2352">
      <c r="A2352" s="12"/>
      <c r="B2352" s="1"/>
      <c r="M2352" s="2" t="s">
        <v>8886</v>
      </c>
    </row>
    <row r="2353">
      <c r="A2353" s="12"/>
      <c r="B2353" s="1"/>
      <c r="M2353" s="2" t="s">
        <v>8886</v>
      </c>
    </row>
    <row r="2354">
      <c r="A2354" s="12"/>
      <c r="B2354" s="1"/>
      <c r="M2354" s="2" t="s">
        <v>8886</v>
      </c>
    </row>
    <row r="2355">
      <c r="A2355" s="12"/>
      <c r="B2355" s="1"/>
      <c r="M2355" s="2" t="s">
        <v>8886</v>
      </c>
    </row>
    <row r="2356">
      <c r="A2356" s="12"/>
      <c r="B2356" s="1"/>
      <c r="M2356" s="2" t="s">
        <v>8886</v>
      </c>
    </row>
    <row r="2357">
      <c r="A2357" s="12"/>
      <c r="B2357" s="1"/>
      <c r="M2357" s="2" t="s">
        <v>8886</v>
      </c>
    </row>
    <row r="2358">
      <c r="A2358" s="12"/>
      <c r="B2358" s="1"/>
      <c r="M2358" s="2" t="s">
        <v>8886</v>
      </c>
    </row>
    <row r="2359">
      <c r="A2359" s="12"/>
      <c r="B2359" s="1"/>
      <c r="M2359" s="2" t="s">
        <v>8886</v>
      </c>
    </row>
    <row r="2360">
      <c r="A2360" s="12"/>
      <c r="B2360" s="1"/>
      <c r="M2360" s="2" t="s">
        <v>8886</v>
      </c>
    </row>
    <row r="2361">
      <c r="A2361" s="12"/>
      <c r="B2361" s="1"/>
      <c r="M2361" s="2" t="s">
        <v>8886</v>
      </c>
    </row>
    <row r="2362">
      <c r="A2362" s="12"/>
      <c r="B2362" s="1"/>
      <c r="M2362" s="2" t="s">
        <v>8886</v>
      </c>
    </row>
    <row r="2363">
      <c r="A2363" s="12"/>
      <c r="B2363" s="1"/>
      <c r="M2363" s="2" t="s">
        <v>8886</v>
      </c>
    </row>
    <row r="2364">
      <c r="A2364" s="12"/>
      <c r="B2364" s="1"/>
      <c r="M2364" s="2" t="s">
        <v>8886</v>
      </c>
    </row>
    <row r="2365">
      <c r="A2365" s="12"/>
      <c r="B2365" s="1"/>
      <c r="M2365" s="2" t="s">
        <v>8886</v>
      </c>
    </row>
    <row r="2366">
      <c r="A2366" s="12"/>
      <c r="B2366" s="1"/>
      <c r="M2366" s="2" t="s">
        <v>8886</v>
      </c>
    </row>
    <row r="2367">
      <c r="A2367" s="12"/>
      <c r="B2367" s="1"/>
      <c r="M2367" s="2" t="s">
        <v>8886</v>
      </c>
    </row>
    <row r="2368">
      <c r="A2368" s="12"/>
      <c r="B2368" s="1"/>
      <c r="M2368" s="2" t="s">
        <v>8886</v>
      </c>
    </row>
    <row r="2369">
      <c r="A2369" s="12"/>
      <c r="B2369" s="1"/>
      <c r="M2369" s="2" t="s">
        <v>8886</v>
      </c>
    </row>
    <row r="2370">
      <c r="A2370" s="12"/>
      <c r="B2370" s="1"/>
      <c r="M2370" s="2" t="s">
        <v>8886</v>
      </c>
    </row>
    <row r="2371">
      <c r="A2371" s="12"/>
      <c r="B2371" s="1"/>
      <c r="M2371" s="2" t="s">
        <v>8886</v>
      </c>
    </row>
    <row r="2372">
      <c r="A2372" s="12"/>
      <c r="B2372" s="1"/>
      <c r="M2372" s="2" t="s">
        <v>8886</v>
      </c>
    </row>
    <row r="2373">
      <c r="A2373" s="12"/>
      <c r="B2373" s="1"/>
      <c r="M2373" s="2" t="s">
        <v>8886</v>
      </c>
    </row>
    <row r="2374">
      <c r="A2374" s="12"/>
      <c r="B2374" s="1"/>
      <c r="M2374" s="2" t="s">
        <v>8886</v>
      </c>
    </row>
    <row r="2375">
      <c r="A2375" s="12"/>
      <c r="B2375" s="1"/>
      <c r="M2375" s="2" t="s">
        <v>8886</v>
      </c>
    </row>
    <row r="2376">
      <c r="A2376" s="12"/>
      <c r="B2376" s="1"/>
      <c r="M2376" s="2" t="s">
        <v>8886</v>
      </c>
    </row>
    <row r="2377">
      <c r="A2377" s="12"/>
      <c r="B2377" s="1"/>
      <c r="M2377" s="2" t="s">
        <v>8886</v>
      </c>
    </row>
    <row r="2378">
      <c r="A2378" s="12"/>
      <c r="B2378" s="1"/>
      <c r="M2378" s="2" t="s">
        <v>8886</v>
      </c>
    </row>
    <row r="2379">
      <c r="A2379" s="12"/>
      <c r="B2379" s="1"/>
      <c r="M2379" s="2" t="s">
        <v>8886</v>
      </c>
    </row>
    <row r="2380">
      <c r="A2380" s="12"/>
      <c r="B2380" s="1"/>
      <c r="M2380" s="2" t="s">
        <v>8886</v>
      </c>
    </row>
    <row r="2381">
      <c r="A2381" s="12"/>
      <c r="B2381" s="1"/>
      <c r="M2381" s="2" t="s">
        <v>8886</v>
      </c>
    </row>
    <row r="2382">
      <c r="A2382" s="12"/>
      <c r="B2382" s="1"/>
      <c r="M2382" s="2" t="s">
        <v>8886</v>
      </c>
    </row>
    <row r="2383">
      <c r="A2383" s="12"/>
      <c r="B2383" s="1"/>
      <c r="M2383" s="2" t="s">
        <v>8886</v>
      </c>
    </row>
    <row r="2384">
      <c r="A2384" s="12"/>
      <c r="B2384" s="1"/>
      <c r="M2384" s="2" t="s">
        <v>8886</v>
      </c>
    </row>
    <row r="2385">
      <c r="A2385" s="12"/>
      <c r="B2385" s="1"/>
      <c r="M2385" s="2" t="s">
        <v>8886</v>
      </c>
    </row>
    <row r="2386">
      <c r="A2386" s="12"/>
      <c r="B2386" s="1"/>
      <c r="M2386" s="2" t="s">
        <v>8886</v>
      </c>
    </row>
    <row r="2387">
      <c r="A2387" s="12"/>
      <c r="B2387" s="1"/>
      <c r="M2387" s="2" t="s">
        <v>8886</v>
      </c>
    </row>
    <row r="2388">
      <c r="A2388" s="12"/>
      <c r="B2388" s="1"/>
      <c r="M2388" s="2" t="s">
        <v>8886</v>
      </c>
    </row>
    <row r="2389">
      <c r="A2389" s="12"/>
      <c r="B2389" s="1"/>
      <c r="M2389" s="2" t="s">
        <v>8886</v>
      </c>
    </row>
    <row r="2390">
      <c r="A2390" s="12"/>
      <c r="B2390" s="1"/>
      <c r="M2390" s="2" t="s">
        <v>8886</v>
      </c>
    </row>
    <row r="2391">
      <c r="A2391" s="12"/>
      <c r="B2391" s="1"/>
      <c r="M2391" s="2" t="s">
        <v>8886</v>
      </c>
    </row>
    <row r="2392">
      <c r="A2392" s="12"/>
      <c r="B2392" s="1"/>
      <c r="M2392" s="2" t="s">
        <v>8886</v>
      </c>
    </row>
    <row r="2393">
      <c r="A2393" s="12"/>
      <c r="B2393" s="1"/>
      <c r="M2393" s="2" t="s">
        <v>8886</v>
      </c>
    </row>
    <row r="2394">
      <c r="A2394" s="12"/>
      <c r="B2394" s="1"/>
      <c r="M2394" s="2" t="s">
        <v>8886</v>
      </c>
    </row>
    <row r="2395">
      <c r="A2395" s="12"/>
      <c r="B2395" s="1"/>
      <c r="M2395" s="2" t="s">
        <v>8886</v>
      </c>
    </row>
    <row r="2396">
      <c r="A2396" s="12"/>
      <c r="B2396" s="1"/>
      <c r="M2396" s="2" t="s">
        <v>8886</v>
      </c>
    </row>
    <row r="2397">
      <c r="A2397" s="12"/>
      <c r="B2397" s="1"/>
      <c r="M2397" s="2" t="s">
        <v>8886</v>
      </c>
    </row>
    <row r="2398">
      <c r="A2398" s="12"/>
      <c r="B2398" s="1"/>
      <c r="M2398" s="2" t="s">
        <v>8886</v>
      </c>
    </row>
    <row r="2399">
      <c r="A2399" s="12"/>
      <c r="B2399" s="1"/>
      <c r="M2399" s="2" t="s">
        <v>8886</v>
      </c>
    </row>
    <row r="2400">
      <c r="A2400" s="12"/>
      <c r="B2400" s="1"/>
      <c r="M2400" s="2" t="s">
        <v>8886</v>
      </c>
    </row>
    <row r="2401">
      <c r="A2401" s="12"/>
      <c r="B2401" s="1"/>
      <c r="M2401" s="2" t="s">
        <v>8886</v>
      </c>
    </row>
    <row r="2402">
      <c r="A2402" s="12"/>
      <c r="B2402" s="1"/>
      <c r="M2402" s="2" t="s">
        <v>8886</v>
      </c>
    </row>
    <row r="2403">
      <c r="A2403" s="12"/>
      <c r="B2403" s="1"/>
      <c r="M2403" s="2" t="s">
        <v>8886</v>
      </c>
    </row>
    <row r="2404">
      <c r="A2404" s="12"/>
      <c r="B2404" s="1"/>
      <c r="M2404" s="2" t="s">
        <v>8886</v>
      </c>
    </row>
    <row r="2405">
      <c r="A2405" s="12"/>
      <c r="B2405" s="1"/>
      <c r="M2405" s="2" t="s">
        <v>8886</v>
      </c>
    </row>
    <row r="2406">
      <c r="A2406" s="12"/>
      <c r="B2406" s="1"/>
      <c r="M2406" s="2" t="s">
        <v>8886</v>
      </c>
    </row>
    <row r="2407">
      <c r="A2407" s="12"/>
      <c r="B2407" s="1"/>
      <c r="M2407" s="2" t="s">
        <v>8886</v>
      </c>
    </row>
    <row r="2408">
      <c r="A2408" s="12"/>
      <c r="B2408" s="1"/>
      <c r="M2408" s="2" t="s">
        <v>8886</v>
      </c>
    </row>
    <row r="2409">
      <c r="A2409" s="12"/>
      <c r="B2409" s="1"/>
      <c r="M2409" s="2" t="s">
        <v>8886</v>
      </c>
    </row>
    <row r="2410">
      <c r="A2410" s="12"/>
      <c r="B2410" s="1"/>
      <c r="M2410" s="2" t="s">
        <v>8886</v>
      </c>
    </row>
    <row r="2411">
      <c r="A2411" s="12"/>
      <c r="B2411" s="1"/>
      <c r="M2411" s="2" t="s">
        <v>8886</v>
      </c>
    </row>
    <row r="2412">
      <c r="A2412" s="12"/>
      <c r="B2412" s="1"/>
      <c r="M2412" s="2" t="s">
        <v>8886</v>
      </c>
    </row>
    <row r="2413">
      <c r="A2413" s="12"/>
      <c r="B2413" s="1"/>
      <c r="M2413" s="2" t="s">
        <v>8886</v>
      </c>
    </row>
    <row r="2414">
      <c r="A2414" s="12"/>
      <c r="B2414" s="1"/>
      <c r="M2414" s="2" t="s">
        <v>8886</v>
      </c>
    </row>
    <row r="2415">
      <c r="A2415" s="12"/>
      <c r="B2415" s="1"/>
      <c r="M2415" s="2" t="s">
        <v>8886</v>
      </c>
    </row>
    <row r="2416">
      <c r="A2416" s="12"/>
      <c r="B2416" s="1"/>
      <c r="M2416" s="2" t="s">
        <v>8886</v>
      </c>
    </row>
    <row r="2417">
      <c r="A2417" s="12"/>
      <c r="B2417" s="1"/>
      <c r="M2417" s="2" t="s">
        <v>8886</v>
      </c>
    </row>
    <row r="2418">
      <c r="A2418" s="12"/>
      <c r="B2418" s="1"/>
      <c r="M2418" s="2" t="s">
        <v>8886</v>
      </c>
    </row>
    <row r="2419">
      <c r="A2419" s="12"/>
      <c r="B2419" s="1"/>
      <c r="M2419" s="2" t="s">
        <v>8886</v>
      </c>
    </row>
    <row r="2420">
      <c r="A2420" s="12"/>
      <c r="B2420" s="1"/>
      <c r="M2420" s="2" t="s">
        <v>8886</v>
      </c>
    </row>
    <row r="2421">
      <c r="A2421" s="12"/>
      <c r="B2421" s="1"/>
      <c r="M2421" s="2" t="s">
        <v>8886</v>
      </c>
    </row>
    <row r="2422">
      <c r="A2422" s="12"/>
      <c r="B2422" s="1"/>
      <c r="M2422" s="2" t="s">
        <v>8886</v>
      </c>
    </row>
    <row r="2423">
      <c r="A2423" s="12"/>
      <c r="B2423" s="1"/>
      <c r="M2423" s="2" t="s">
        <v>8886</v>
      </c>
    </row>
    <row r="2424">
      <c r="A2424" s="12"/>
      <c r="B2424" s="1"/>
      <c r="M2424" s="2" t="s">
        <v>8886</v>
      </c>
    </row>
    <row r="2425">
      <c r="A2425" s="12"/>
      <c r="B2425" s="1"/>
      <c r="M2425" s="2" t="s">
        <v>8886</v>
      </c>
    </row>
    <row r="2426">
      <c r="A2426" s="12"/>
      <c r="B2426" s="1"/>
      <c r="M2426" s="2" t="s">
        <v>8886</v>
      </c>
    </row>
    <row r="2427">
      <c r="A2427" s="12"/>
      <c r="B2427" s="1"/>
      <c r="M2427" s="2" t="s">
        <v>8886</v>
      </c>
    </row>
    <row r="2428">
      <c r="A2428" s="12"/>
      <c r="B2428" s="1"/>
      <c r="M2428" s="2" t="s">
        <v>8886</v>
      </c>
    </row>
    <row r="2429">
      <c r="A2429" s="12"/>
      <c r="B2429" s="1"/>
      <c r="M2429" s="2" t="s">
        <v>8886</v>
      </c>
    </row>
    <row r="2430">
      <c r="A2430" s="12"/>
      <c r="B2430" s="1"/>
      <c r="M2430" s="2" t="s">
        <v>8886</v>
      </c>
    </row>
    <row r="2431">
      <c r="A2431" s="12"/>
      <c r="B2431" s="1"/>
      <c r="M2431" s="2" t="s">
        <v>8886</v>
      </c>
    </row>
    <row r="2432">
      <c r="A2432" s="12"/>
      <c r="B2432" s="1"/>
      <c r="M2432" s="2" t="s">
        <v>8886</v>
      </c>
    </row>
    <row r="2433">
      <c r="A2433" s="12"/>
      <c r="B2433" s="1"/>
      <c r="M2433" s="2" t="s">
        <v>8886</v>
      </c>
    </row>
    <row r="2434">
      <c r="A2434" s="12"/>
      <c r="B2434" s="1"/>
      <c r="M2434" s="2" t="s">
        <v>8886</v>
      </c>
    </row>
    <row r="2435">
      <c r="A2435" s="12"/>
      <c r="B2435" s="1"/>
      <c r="M2435" s="2" t="s">
        <v>8886</v>
      </c>
    </row>
    <row r="2436">
      <c r="A2436" s="12"/>
      <c r="B2436" s="1"/>
      <c r="M2436" s="2" t="s">
        <v>8886</v>
      </c>
    </row>
    <row r="2437">
      <c r="A2437" s="12"/>
      <c r="B2437" s="1"/>
      <c r="M2437" s="2" t="s">
        <v>8886</v>
      </c>
    </row>
    <row r="2438">
      <c r="A2438" s="12"/>
      <c r="B2438" s="1"/>
      <c r="M2438" s="2" t="s">
        <v>8886</v>
      </c>
    </row>
    <row r="2439">
      <c r="A2439" s="12"/>
      <c r="B2439" s="1"/>
      <c r="M2439" s="2" t="s">
        <v>8886</v>
      </c>
    </row>
    <row r="2440">
      <c r="A2440" s="12"/>
      <c r="B2440" s="1"/>
      <c r="M2440" s="2" t="s">
        <v>8886</v>
      </c>
    </row>
    <row r="2441">
      <c r="A2441" s="12"/>
      <c r="B2441" s="1"/>
      <c r="M2441" s="2" t="s">
        <v>8886</v>
      </c>
    </row>
    <row r="2442">
      <c r="A2442" s="12"/>
      <c r="B2442" s="1"/>
      <c r="M2442" s="2" t="s">
        <v>8886</v>
      </c>
    </row>
    <row r="2443">
      <c r="A2443" s="12"/>
      <c r="B2443" s="1"/>
      <c r="M2443" s="2" t="s">
        <v>8886</v>
      </c>
    </row>
    <row r="2444">
      <c r="A2444" s="12"/>
      <c r="B2444" s="1"/>
      <c r="M2444" s="2" t="s">
        <v>8886</v>
      </c>
    </row>
    <row r="2445">
      <c r="A2445" s="12"/>
      <c r="B2445" s="1"/>
      <c r="M2445" s="2" t="s">
        <v>8886</v>
      </c>
    </row>
    <row r="2446">
      <c r="A2446" s="12"/>
      <c r="B2446" s="1"/>
      <c r="M2446" s="2" t="s">
        <v>8886</v>
      </c>
    </row>
    <row r="2447">
      <c r="A2447" s="12"/>
      <c r="B2447" s="1"/>
      <c r="M2447" s="2" t="s">
        <v>8886</v>
      </c>
    </row>
    <row r="2448">
      <c r="A2448" s="12"/>
      <c r="B2448" s="1"/>
      <c r="M2448" s="2" t="s">
        <v>8886</v>
      </c>
    </row>
    <row r="2449">
      <c r="A2449" s="12"/>
      <c r="B2449" s="1"/>
      <c r="M2449" s="2" t="s">
        <v>8886</v>
      </c>
    </row>
    <row r="2450">
      <c r="A2450" s="12"/>
      <c r="B2450" s="1"/>
      <c r="M2450" s="2" t="s">
        <v>8886</v>
      </c>
    </row>
    <row r="2451">
      <c r="A2451" s="12"/>
      <c r="B2451" s="1"/>
      <c r="M2451" s="2" t="s">
        <v>8886</v>
      </c>
    </row>
    <row r="2452">
      <c r="A2452" s="12"/>
      <c r="B2452" s="1"/>
      <c r="M2452" s="2" t="s">
        <v>8886</v>
      </c>
    </row>
    <row r="2453">
      <c r="A2453" s="12"/>
      <c r="B2453" s="1"/>
      <c r="M2453" s="2" t="s">
        <v>8886</v>
      </c>
    </row>
    <row r="2454">
      <c r="A2454" s="12"/>
      <c r="B2454" s="1"/>
      <c r="M2454" s="2" t="s">
        <v>8886</v>
      </c>
    </row>
    <row r="2455">
      <c r="A2455" s="12"/>
      <c r="B2455" s="1"/>
      <c r="M2455" s="2" t="s">
        <v>8886</v>
      </c>
    </row>
    <row r="2456">
      <c r="A2456" s="12"/>
      <c r="B2456" s="1"/>
      <c r="M2456" s="2" t="s">
        <v>8886</v>
      </c>
    </row>
    <row r="2457">
      <c r="A2457" s="12"/>
      <c r="B2457" s="1"/>
      <c r="M2457" s="2" t="s">
        <v>8886</v>
      </c>
    </row>
    <row r="2458">
      <c r="A2458" s="12"/>
      <c r="B2458" s="1"/>
      <c r="M2458" s="2" t="s">
        <v>8886</v>
      </c>
    </row>
    <row r="2459">
      <c r="A2459" s="12"/>
      <c r="B2459" s="1"/>
      <c r="M2459" s="2" t="s">
        <v>8886</v>
      </c>
    </row>
    <row r="2460">
      <c r="A2460" s="12"/>
      <c r="B2460" s="1"/>
      <c r="M2460" s="2" t="s">
        <v>8886</v>
      </c>
    </row>
    <row r="2461">
      <c r="A2461" s="12"/>
      <c r="B2461" s="1"/>
      <c r="M2461" s="2" t="s">
        <v>8886</v>
      </c>
    </row>
    <row r="2462">
      <c r="A2462" s="12"/>
      <c r="B2462" s="1"/>
      <c r="M2462" s="2" t="s">
        <v>8886</v>
      </c>
    </row>
    <row r="2463">
      <c r="A2463" s="12"/>
      <c r="B2463" s="1"/>
      <c r="M2463" s="2" t="s">
        <v>8886</v>
      </c>
    </row>
    <row r="2464">
      <c r="A2464" s="12"/>
      <c r="B2464" s="1"/>
      <c r="M2464" s="2" t="s">
        <v>8886</v>
      </c>
    </row>
    <row r="2465">
      <c r="A2465" s="12"/>
      <c r="B2465" s="1"/>
      <c r="M2465" s="2" t="s">
        <v>8886</v>
      </c>
    </row>
    <row r="2466">
      <c r="A2466" s="12"/>
      <c r="B2466" s="1"/>
      <c r="M2466" s="2" t="s">
        <v>8886</v>
      </c>
    </row>
    <row r="2467">
      <c r="A2467" s="12"/>
      <c r="B2467" s="1"/>
      <c r="M2467" s="2" t="s">
        <v>8886</v>
      </c>
    </row>
    <row r="2468">
      <c r="A2468" s="12"/>
      <c r="B2468" s="1"/>
      <c r="M2468" s="2" t="s">
        <v>8886</v>
      </c>
    </row>
    <row r="2469">
      <c r="A2469" s="12"/>
      <c r="B2469" s="1"/>
      <c r="M2469" s="2" t="s">
        <v>8886</v>
      </c>
    </row>
    <row r="2470">
      <c r="A2470" s="12"/>
      <c r="B2470" s="1"/>
      <c r="M2470" s="2" t="s">
        <v>8886</v>
      </c>
    </row>
    <row r="2471">
      <c r="A2471" s="12"/>
      <c r="B2471" s="1"/>
      <c r="M2471" s="2" t="s">
        <v>8886</v>
      </c>
    </row>
    <row r="2472">
      <c r="A2472" s="12"/>
      <c r="B2472" s="1"/>
      <c r="M2472" s="2" t="s">
        <v>8886</v>
      </c>
    </row>
    <row r="2473">
      <c r="A2473" s="12"/>
      <c r="B2473" s="1"/>
      <c r="M2473" s="2" t="s">
        <v>8886</v>
      </c>
    </row>
    <row r="2474">
      <c r="A2474" s="12"/>
      <c r="B2474" s="1"/>
      <c r="M2474" s="2" t="s">
        <v>8886</v>
      </c>
    </row>
    <row r="2475">
      <c r="A2475" s="12"/>
      <c r="B2475" s="1"/>
      <c r="M2475" s="2" t="s">
        <v>8886</v>
      </c>
    </row>
    <row r="2476">
      <c r="A2476" s="12"/>
      <c r="B2476" s="1"/>
      <c r="M2476" s="2" t="s">
        <v>8886</v>
      </c>
    </row>
    <row r="2477">
      <c r="A2477" s="12"/>
      <c r="B2477" s="1"/>
      <c r="M2477" s="2" t="s">
        <v>8886</v>
      </c>
    </row>
    <row r="2478">
      <c r="A2478" s="12"/>
      <c r="B2478" s="1"/>
      <c r="M2478" s="2" t="s">
        <v>8886</v>
      </c>
    </row>
    <row r="2479">
      <c r="A2479" s="12"/>
      <c r="B2479" s="1"/>
      <c r="M2479" s="2" t="s">
        <v>8886</v>
      </c>
    </row>
    <row r="2480">
      <c r="A2480" s="12"/>
      <c r="B2480" s="1"/>
      <c r="M2480" s="2" t="s">
        <v>8886</v>
      </c>
    </row>
    <row r="2481">
      <c r="A2481" s="12"/>
      <c r="B2481" s="1"/>
      <c r="M2481" s="2" t="s">
        <v>8886</v>
      </c>
    </row>
    <row r="2482">
      <c r="A2482" s="12"/>
      <c r="B2482" s="1"/>
      <c r="M2482" s="2" t="s">
        <v>8886</v>
      </c>
    </row>
    <row r="2483">
      <c r="A2483" s="12"/>
      <c r="B2483" s="1"/>
      <c r="M2483" s="2" t="s">
        <v>8886</v>
      </c>
    </row>
    <row r="2484">
      <c r="A2484" s="12"/>
      <c r="B2484" s="1"/>
      <c r="M2484" s="2" t="s">
        <v>8886</v>
      </c>
    </row>
    <row r="2485">
      <c r="A2485" s="12"/>
      <c r="B2485" s="1"/>
      <c r="M2485" s="2" t="s">
        <v>8886</v>
      </c>
    </row>
    <row r="2486">
      <c r="A2486" s="12"/>
      <c r="B2486" s="1"/>
      <c r="M2486" s="2" t="s">
        <v>8886</v>
      </c>
    </row>
    <row r="2487">
      <c r="A2487" s="12"/>
      <c r="B2487" s="1"/>
      <c r="M2487" s="2" t="s">
        <v>8886</v>
      </c>
    </row>
    <row r="2488">
      <c r="A2488" s="12"/>
      <c r="B2488" s="1"/>
      <c r="M2488" s="2" t="s">
        <v>8886</v>
      </c>
    </row>
    <row r="2489">
      <c r="A2489" s="12"/>
      <c r="B2489" s="1"/>
      <c r="M2489" s="2" t="s">
        <v>8886</v>
      </c>
    </row>
    <row r="2490">
      <c r="A2490" s="12"/>
      <c r="B2490" s="1"/>
      <c r="M2490" s="2" t="s">
        <v>8886</v>
      </c>
    </row>
    <row r="2491">
      <c r="A2491" s="12"/>
      <c r="B2491" s="1"/>
      <c r="M2491" s="2" t="s">
        <v>8886</v>
      </c>
    </row>
    <row r="2492">
      <c r="A2492" s="12"/>
      <c r="B2492" s="1"/>
      <c r="M2492" s="2" t="s">
        <v>8886</v>
      </c>
    </row>
    <row r="2493">
      <c r="A2493" s="12"/>
      <c r="B2493" s="1"/>
      <c r="M2493" s="2" t="s">
        <v>8886</v>
      </c>
    </row>
    <row r="2494">
      <c r="A2494" s="12"/>
      <c r="B2494" s="1"/>
      <c r="M2494" s="2" t="s">
        <v>8886</v>
      </c>
    </row>
    <row r="2495">
      <c r="A2495" s="12"/>
      <c r="B2495" s="1"/>
      <c r="M2495" s="2" t="s">
        <v>8886</v>
      </c>
    </row>
    <row r="2496">
      <c r="A2496" s="12"/>
      <c r="B2496" s="1"/>
      <c r="M2496" s="2" t="s">
        <v>8886</v>
      </c>
    </row>
    <row r="2497">
      <c r="A2497" s="12"/>
      <c r="B2497" s="1"/>
      <c r="M2497" s="2" t="s">
        <v>8886</v>
      </c>
    </row>
    <row r="2498">
      <c r="A2498" s="12"/>
      <c r="B2498" s="1"/>
      <c r="M2498" s="2" t="s">
        <v>8886</v>
      </c>
    </row>
    <row r="2499">
      <c r="A2499" s="12"/>
      <c r="B2499" s="1"/>
      <c r="M2499" s="2" t="s">
        <v>8886</v>
      </c>
    </row>
    <row r="2500">
      <c r="A2500" s="12"/>
      <c r="B2500" s="1"/>
      <c r="M2500" s="2" t="s">
        <v>8886</v>
      </c>
    </row>
    <row r="2501">
      <c r="A2501" s="12"/>
      <c r="B2501" s="1"/>
      <c r="M2501" s="2" t="s">
        <v>8886</v>
      </c>
    </row>
    <row r="2502">
      <c r="A2502" s="12"/>
      <c r="B2502" s="1"/>
      <c r="M2502" s="2" t="s">
        <v>8886</v>
      </c>
    </row>
    <row r="2503">
      <c r="A2503" s="12"/>
      <c r="B2503" s="1"/>
      <c r="M2503" s="2" t="s">
        <v>8886</v>
      </c>
    </row>
    <row r="2504">
      <c r="A2504" s="12"/>
      <c r="B2504" s="1"/>
      <c r="M2504" s="2" t="s">
        <v>8886</v>
      </c>
    </row>
    <row r="2505">
      <c r="A2505" s="12"/>
      <c r="B2505" s="1"/>
      <c r="M2505" s="2" t="s">
        <v>8886</v>
      </c>
    </row>
    <row r="2506">
      <c r="A2506" s="12"/>
      <c r="B2506" s="1"/>
      <c r="M2506" s="2" t="s">
        <v>8886</v>
      </c>
    </row>
    <row r="2507">
      <c r="A2507" s="12"/>
      <c r="B2507" s="1"/>
      <c r="M2507" s="2" t="s">
        <v>8886</v>
      </c>
    </row>
    <row r="2508">
      <c r="A2508" s="12"/>
      <c r="B2508" s="1"/>
      <c r="M2508" s="2" t="s">
        <v>8886</v>
      </c>
    </row>
    <row r="2509">
      <c r="A2509" s="12"/>
      <c r="B2509" s="1"/>
      <c r="M2509" s="2" t="s">
        <v>8886</v>
      </c>
    </row>
    <row r="2510">
      <c r="A2510" s="12"/>
      <c r="B2510" s="1"/>
      <c r="M2510" s="2" t="s">
        <v>8886</v>
      </c>
    </row>
    <row r="2511">
      <c r="A2511" s="12"/>
      <c r="B2511" s="1"/>
      <c r="M2511" s="2" t="s">
        <v>8886</v>
      </c>
    </row>
    <row r="2512">
      <c r="A2512" s="12"/>
      <c r="B2512" s="1"/>
      <c r="M2512" s="2" t="s">
        <v>8886</v>
      </c>
    </row>
    <row r="2513">
      <c r="A2513" s="12"/>
      <c r="B2513" s="1"/>
      <c r="M2513" s="2" t="s">
        <v>8886</v>
      </c>
    </row>
    <row r="2514">
      <c r="A2514" s="12"/>
      <c r="B2514" s="1"/>
      <c r="M2514" s="2" t="s">
        <v>8886</v>
      </c>
    </row>
    <row r="2515">
      <c r="A2515" s="12"/>
      <c r="B2515" s="1"/>
      <c r="M2515" s="2" t="s">
        <v>8886</v>
      </c>
    </row>
    <row r="2516">
      <c r="A2516" s="12"/>
      <c r="B2516" s="1"/>
      <c r="M2516" s="2" t="s">
        <v>8886</v>
      </c>
    </row>
    <row r="2517">
      <c r="A2517" s="12"/>
      <c r="B2517" s="1"/>
      <c r="M2517" s="2" t="s">
        <v>8886</v>
      </c>
    </row>
    <row r="2518">
      <c r="A2518" s="12"/>
      <c r="B2518" s="1"/>
      <c r="M2518" s="2" t="s">
        <v>8886</v>
      </c>
    </row>
    <row r="2519">
      <c r="A2519" s="12"/>
      <c r="B2519" s="1"/>
      <c r="M2519" s="2" t="s">
        <v>8886</v>
      </c>
    </row>
    <row r="2520">
      <c r="A2520" s="12"/>
      <c r="B2520" s="1"/>
      <c r="M2520" s="2" t="s">
        <v>8886</v>
      </c>
    </row>
    <row r="2521">
      <c r="A2521" s="12"/>
      <c r="B2521" s="1"/>
      <c r="M2521" s="2" t="s">
        <v>8886</v>
      </c>
    </row>
    <row r="2522">
      <c r="A2522" s="12"/>
      <c r="B2522" s="1"/>
      <c r="M2522" s="2" t="s">
        <v>8886</v>
      </c>
    </row>
    <row r="2523">
      <c r="A2523" s="12"/>
      <c r="B2523" s="1"/>
      <c r="M2523" s="2" t="s">
        <v>8886</v>
      </c>
    </row>
    <row r="2524">
      <c r="A2524" s="12"/>
      <c r="B2524" s="1"/>
      <c r="M2524" s="2" t="s">
        <v>8886</v>
      </c>
    </row>
    <row r="2525">
      <c r="A2525" s="12"/>
      <c r="B2525" s="1"/>
      <c r="M2525" s="2" t="s">
        <v>8886</v>
      </c>
    </row>
    <row r="2526">
      <c r="A2526" s="12"/>
      <c r="B2526" s="1"/>
      <c r="M2526" s="2" t="s">
        <v>8886</v>
      </c>
    </row>
    <row r="2527">
      <c r="A2527" s="12"/>
      <c r="B2527" s="1"/>
      <c r="M2527" s="2" t="s">
        <v>8886</v>
      </c>
    </row>
    <row r="2528">
      <c r="A2528" s="12"/>
      <c r="B2528" s="1"/>
      <c r="M2528" s="2" t="s">
        <v>8886</v>
      </c>
    </row>
    <row r="2529">
      <c r="A2529" s="12"/>
      <c r="B2529" s="1"/>
      <c r="M2529" s="2" t="s">
        <v>8886</v>
      </c>
    </row>
    <row r="2530">
      <c r="A2530" s="12"/>
      <c r="B2530" s="1"/>
      <c r="M2530" s="2" t="s">
        <v>8886</v>
      </c>
    </row>
    <row r="2531">
      <c r="A2531" s="12"/>
      <c r="B2531" s="1"/>
      <c r="M2531" s="2" t="s">
        <v>8886</v>
      </c>
    </row>
    <row r="2532">
      <c r="A2532" s="12"/>
      <c r="B2532" s="1"/>
      <c r="M2532" s="2" t="s">
        <v>8886</v>
      </c>
    </row>
    <row r="2533">
      <c r="A2533" s="12"/>
      <c r="B2533" s="1"/>
      <c r="M2533" s="2" t="s">
        <v>8886</v>
      </c>
    </row>
    <row r="2534">
      <c r="A2534" s="12"/>
      <c r="B2534" s="1"/>
      <c r="M2534" s="2" t="s">
        <v>8886</v>
      </c>
    </row>
    <row r="2535">
      <c r="A2535" s="12"/>
      <c r="B2535" s="1"/>
      <c r="M2535" s="2" t="s">
        <v>8886</v>
      </c>
    </row>
    <row r="2536">
      <c r="A2536" s="12"/>
      <c r="B2536" s="1"/>
      <c r="M2536" s="2" t="s">
        <v>8886</v>
      </c>
    </row>
    <row r="2537">
      <c r="A2537" s="12"/>
      <c r="B2537" s="1"/>
      <c r="M2537" s="2" t="s">
        <v>8886</v>
      </c>
    </row>
    <row r="2538">
      <c r="A2538" s="12"/>
      <c r="B2538" s="1"/>
      <c r="M2538" s="2" t="s">
        <v>8886</v>
      </c>
    </row>
    <row r="2539">
      <c r="A2539" s="12"/>
      <c r="B2539" s="1"/>
      <c r="M2539" s="2" t="s">
        <v>8886</v>
      </c>
    </row>
    <row r="2540">
      <c r="A2540" s="12"/>
      <c r="B2540" s="1"/>
      <c r="M2540" s="2" t="s">
        <v>8886</v>
      </c>
    </row>
    <row r="2541">
      <c r="A2541" s="12"/>
      <c r="B2541" s="1"/>
      <c r="M2541" s="2" t="s">
        <v>8886</v>
      </c>
    </row>
    <row r="2542">
      <c r="A2542" s="12"/>
      <c r="B2542" s="1"/>
      <c r="M2542" s="2" t="s">
        <v>8886</v>
      </c>
    </row>
    <row r="2543">
      <c r="A2543" s="12"/>
      <c r="B2543" s="1"/>
      <c r="M2543" s="2" t="s">
        <v>8886</v>
      </c>
    </row>
    <row r="2544">
      <c r="A2544" s="12"/>
      <c r="B2544" s="1"/>
      <c r="M2544" s="2" t="s">
        <v>8886</v>
      </c>
    </row>
    <row r="2545">
      <c r="A2545" s="12"/>
      <c r="B2545" s="1"/>
      <c r="M2545" s="2" t="s">
        <v>8886</v>
      </c>
    </row>
    <row r="2546">
      <c r="A2546" s="12"/>
      <c r="B2546" s="1"/>
      <c r="M2546" s="2" t="s">
        <v>8886</v>
      </c>
    </row>
    <row r="2547">
      <c r="A2547" s="12"/>
      <c r="B2547" s="1"/>
      <c r="M2547" s="2" t="s">
        <v>8886</v>
      </c>
    </row>
    <row r="2548">
      <c r="A2548" s="12"/>
      <c r="B2548" s="1"/>
      <c r="M2548" s="2" t="s">
        <v>8886</v>
      </c>
    </row>
    <row r="2549">
      <c r="A2549" s="12"/>
      <c r="B2549" s="1"/>
      <c r="M2549" s="2" t="s">
        <v>8886</v>
      </c>
    </row>
    <row r="2550">
      <c r="A2550" s="12"/>
      <c r="B2550" s="1"/>
      <c r="M2550" s="2" t="s">
        <v>8886</v>
      </c>
    </row>
    <row r="2551">
      <c r="A2551" s="12"/>
      <c r="B2551" s="1"/>
      <c r="M2551" s="2" t="s">
        <v>8886</v>
      </c>
    </row>
    <row r="2552">
      <c r="A2552" s="12"/>
      <c r="B2552" s="1"/>
      <c r="M2552" s="2" t="s">
        <v>8886</v>
      </c>
    </row>
    <row r="2553">
      <c r="A2553" s="12"/>
      <c r="B2553" s="1"/>
      <c r="M2553" s="2" t="s">
        <v>8886</v>
      </c>
    </row>
    <row r="2554">
      <c r="A2554" s="12"/>
      <c r="B2554" s="1"/>
      <c r="M2554" s="2" t="s">
        <v>8886</v>
      </c>
    </row>
    <row r="2555">
      <c r="A2555" s="12"/>
      <c r="B2555" s="1"/>
      <c r="M2555" s="2" t="s">
        <v>8886</v>
      </c>
    </row>
    <row r="2556">
      <c r="A2556" s="12"/>
      <c r="B2556" s="1"/>
      <c r="M2556" s="2" t="s">
        <v>8886</v>
      </c>
    </row>
    <row r="2557">
      <c r="A2557" s="12"/>
      <c r="B2557" s="1"/>
      <c r="M2557" s="2" t="s">
        <v>8886</v>
      </c>
    </row>
    <row r="2558">
      <c r="A2558" s="12"/>
      <c r="B2558" s="1"/>
      <c r="M2558" s="2" t="s">
        <v>8886</v>
      </c>
    </row>
    <row r="2559">
      <c r="A2559" s="12"/>
      <c r="B2559" s="1"/>
      <c r="M2559" s="2" t="s">
        <v>8886</v>
      </c>
    </row>
    <row r="2560">
      <c r="A2560" s="12"/>
      <c r="B2560" s="1"/>
      <c r="M2560" s="2" t="s">
        <v>8886</v>
      </c>
    </row>
    <row r="2561">
      <c r="A2561" s="12"/>
      <c r="B2561" s="1"/>
      <c r="M2561" s="2" t="s">
        <v>8886</v>
      </c>
    </row>
    <row r="2562">
      <c r="A2562" s="12"/>
      <c r="B2562" s="1"/>
      <c r="M2562" s="2" t="s">
        <v>8886</v>
      </c>
    </row>
    <row r="2563">
      <c r="A2563" s="12"/>
      <c r="B2563" s="1"/>
      <c r="M2563" s="2" t="s">
        <v>8886</v>
      </c>
    </row>
    <row r="2564">
      <c r="A2564" s="12"/>
      <c r="B2564" s="1"/>
      <c r="M2564" s="2" t="s">
        <v>8886</v>
      </c>
    </row>
    <row r="2565">
      <c r="A2565" s="12"/>
      <c r="B2565" s="1"/>
      <c r="M2565" s="2" t="s">
        <v>8886</v>
      </c>
    </row>
    <row r="2566">
      <c r="A2566" s="12"/>
      <c r="B2566" s="1"/>
      <c r="M2566" s="2" t="s">
        <v>8886</v>
      </c>
    </row>
    <row r="2567">
      <c r="A2567" s="12"/>
      <c r="B2567" s="1"/>
      <c r="M2567" s="2" t="s">
        <v>8886</v>
      </c>
    </row>
    <row r="2568">
      <c r="A2568" s="12"/>
      <c r="B2568" s="1"/>
      <c r="M2568" s="2" t="s">
        <v>8886</v>
      </c>
    </row>
    <row r="2569">
      <c r="A2569" s="12"/>
      <c r="B2569" s="1"/>
      <c r="M2569" s="2" t="s">
        <v>8886</v>
      </c>
    </row>
    <row r="2570">
      <c r="A2570" s="12"/>
      <c r="B2570" s="1"/>
      <c r="M2570" s="2" t="s">
        <v>8886</v>
      </c>
    </row>
    <row r="2571">
      <c r="A2571" s="12"/>
      <c r="B2571" s="1"/>
      <c r="M2571" s="2" t="s">
        <v>8886</v>
      </c>
    </row>
    <row r="2572">
      <c r="A2572" s="12"/>
      <c r="B2572" s="1"/>
      <c r="M2572" s="2" t="s">
        <v>8886</v>
      </c>
    </row>
    <row r="2573">
      <c r="A2573" s="12"/>
      <c r="B2573" s="1"/>
      <c r="M2573" s="2" t="s">
        <v>8886</v>
      </c>
    </row>
    <row r="2574">
      <c r="A2574" s="12"/>
      <c r="B2574" s="1"/>
      <c r="M2574" s="2" t="s">
        <v>8886</v>
      </c>
    </row>
    <row r="2575">
      <c r="A2575" s="12"/>
      <c r="B2575" s="1"/>
      <c r="M2575" s="2" t="s">
        <v>8886</v>
      </c>
    </row>
    <row r="2576">
      <c r="A2576" s="12"/>
      <c r="B2576" s="1"/>
      <c r="M2576" s="2" t="s">
        <v>8886</v>
      </c>
    </row>
    <row r="2577">
      <c r="A2577" s="12"/>
      <c r="B2577" s="1"/>
      <c r="M2577" s="2" t="s">
        <v>8886</v>
      </c>
    </row>
    <row r="2578">
      <c r="A2578" s="12"/>
      <c r="B2578" s="1"/>
      <c r="M2578" s="2" t="s">
        <v>8886</v>
      </c>
    </row>
    <row r="2579">
      <c r="A2579" s="12"/>
      <c r="B2579" s="1"/>
      <c r="M2579" s="2" t="s">
        <v>8886</v>
      </c>
    </row>
    <row r="2580">
      <c r="A2580" s="12"/>
      <c r="B2580" s="1"/>
      <c r="M2580" s="2" t="s">
        <v>8886</v>
      </c>
    </row>
    <row r="2581">
      <c r="A2581" s="12"/>
      <c r="B2581" s="1"/>
      <c r="M2581" s="2" t="s">
        <v>8886</v>
      </c>
    </row>
    <row r="2582">
      <c r="A2582" s="12"/>
      <c r="B2582" s="1"/>
      <c r="M2582" s="2" t="s">
        <v>8886</v>
      </c>
    </row>
    <row r="2583">
      <c r="A2583" s="12"/>
      <c r="B2583" s="1"/>
      <c r="M2583" s="2" t="s">
        <v>8886</v>
      </c>
    </row>
    <row r="2584">
      <c r="A2584" s="12"/>
      <c r="B2584" s="1"/>
      <c r="M2584" s="2" t="s">
        <v>8886</v>
      </c>
    </row>
    <row r="2585">
      <c r="A2585" s="12"/>
      <c r="B2585" s="1"/>
      <c r="M2585" s="2" t="s">
        <v>8886</v>
      </c>
    </row>
    <row r="2586">
      <c r="A2586" s="12"/>
      <c r="B2586" s="1"/>
      <c r="M2586" s="2" t="s">
        <v>8886</v>
      </c>
    </row>
    <row r="2587">
      <c r="A2587" s="12"/>
      <c r="B2587" s="1"/>
      <c r="M2587" s="2" t="s">
        <v>8886</v>
      </c>
    </row>
    <row r="2588">
      <c r="A2588" s="12"/>
      <c r="B2588" s="1"/>
      <c r="M2588" s="2" t="s">
        <v>8886</v>
      </c>
    </row>
    <row r="2589">
      <c r="A2589" s="12"/>
      <c r="B2589" s="1"/>
      <c r="M2589" s="2" t="s">
        <v>8886</v>
      </c>
    </row>
    <row r="2590">
      <c r="A2590" s="12"/>
      <c r="B2590" s="1"/>
      <c r="M2590" s="2" t="s">
        <v>8886</v>
      </c>
    </row>
    <row r="2591">
      <c r="A2591" s="12"/>
      <c r="B2591" s="1"/>
      <c r="M2591" s="2" t="s">
        <v>8886</v>
      </c>
    </row>
    <row r="2592">
      <c r="A2592" s="12"/>
      <c r="B2592" s="1"/>
      <c r="M2592" s="2" t="s">
        <v>8886</v>
      </c>
    </row>
    <row r="2593">
      <c r="A2593" s="12"/>
      <c r="B2593" s="1"/>
      <c r="M2593" s="2" t="s">
        <v>8886</v>
      </c>
    </row>
    <row r="2594">
      <c r="A2594" s="12"/>
      <c r="B2594" s="1"/>
      <c r="M2594" s="2" t="s">
        <v>8886</v>
      </c>
    </row>
    <row r="2595">
      <c r="A2595" s="12"/>
      <c r="B2595" s="1"/>
      <c r="M2595" s="2" t="s">
        <v>8886</v>
      </c>
    </row>
    <row r="2596">
      <c r="A2596" s="12"/>
      <c r="B2596" s="1"/>
      <c r="M2596" s="2" t="s">
        <v>8886</v>
      </c>
    </row>
    <row r="2597">
      <c r="A2597" s="12"/>
      <c r="B2597" s="1"/>
      <c r="M2597" s="2" t="s">
        <v>8886</v>
      </c>
    </row>
    <row r="2598">
      <c r="A2598" s="12"/>
      <c r="B2598" s="1"/>
      <c r="M2598" s="2" t="s">
        <v>8886</v>
      </c>
    </row>
    <row r="2599">
      <c r="A2599" s="12"/>
      <c r="B2599" s="1"/>
      <c r="M2599" s="2" t="s">
        <v>8886</v>
      </c>
    </row>
    <row r="2600">
      <c r="A2600" s="12"/>
      <c r="B2600" s="1"/>
      <c r="M2600" s="2" t="s">
        <v>8886</v>
      </c>
    </row>
    <row r="2601">
      <c r="A2601" s="12"/>
      <c r="B2601" s="1"/>
      <c r="M2601" s="2" t="s">
        <v>8886</v>
      </c>
    </row>
    <row r="2602">
      <c r="A2602" s="12"/>
      <c r="B2602" s="1"/>
      <c r="M2602" s="2" t="s">
        <v>8886</v>
      </c>
    </row>
    <row r="2603">
      <c r="A2603" s="12"/>
      <c r="B2603" s="1"/>
      <c r="M2603" s="2" t="s">
        <v>8886</v>
      </c>
    </row>
    <row r="2604">
      <c r="A2604" s="12"/>
      <c r="B2604" s="1"/>
      <c r="M2604" s="2" t="s">
        <v>8886</v>
      </c>
    </row>
    <row r="2605">
      <c r="A2605" s="12"/>
      <c r="B2605" s="1"/>
      <c r="M2605" s="2" t="s">
        <v>8886</v>
      </c>
    </row>
    <row r="2606">
      <c r="A2606" s="12"/>
      <c r="B2606" s="1"/>
      <c r="M2606" s="2" t="s">
        <v>8886</v>
      </c>
    </row>
    <row r="2607">
      <c r="A2607" s="12"/>
      <c r="B2607" s="1"/>
      <c r="M2607" s="2" t="s">
        <v>8886</v>
      </c>
    </row>
    <row r="2608">
      <c r="A2608" s="12"/>
      <c r="B2608" s="1"/>
      <c r="M2608" s="2" t="s">
        <v>8886</v>
      </c>
    </row>
    <row r="2609">
      <c r="A2609" s="12"/>
      <c r="B2609" s="1"/>
      <c r="M2609" s="2" t="s">
        <v>8886</v>
      </c>
    </row>
    <row r="2610">
      <c r="A2610" s="12"/>
      <c r="B2610" s="1"/>
      <c r="M2610" s="2" t="s">
        <v>8886</v>
      </c>
    </row>
    <row r="2611">
      <c r="A2611" s="12"/>
      <c r="B2611" s="1"/>
      <c r="M2611" s="2" t="s">
        <v>8886</v>
      </c>
    </row>
    <row r="2612">
      <c r="A2612" s="12"/>
      <c r="B2612" s="1"/>
      <c r="M2612" s="2" t="s">
        <v>8886</v>
      </c>
    </row>
    <row r="2613">
      <c r="A2613" s="12"/>
      <c r="B2613" s="1"/>
      <c r="M2613" s="2" t="s">
        <v>8886</v>
      </c>
    </row>
    <row r="2614">
      <c r="A2614" s="12"/>
      <c r="B2614" s="1"/>
      <c r="M2614" s="2" t="s">
        <v>8886</v>
      </c>
    </row>
    <row r="2615">
      <c r="A2615" s="12"/>
      <c r="B2615" s="1"/>
      <c r="M2615" s="2" t="s">
        <v>8886</v>
      </c>
    </row>
    <row r="2616">
      <c r="A2616" s="12"/>
      <c r="B2616" s="1"/>
      <c r="M2616" s="2" t="s">
        <v>8886</v>
      </c>
    </row>
    <row r="2617">
      <c r="A2617" s="12"/>
      <c r="B2617" s="1"/>
      <c r="M2617" s="2" t="s">
        <v>8886</v>
      </c>
    </row>
    <row r="2618">
      <c r="A2618" s="12"/>
      <c r="B2618" s="1"/>
      <c r="M2618" s="2" t="s">
        <v>8886</v>
      </c>
    </row>
    <row r="2619">
      <c r="A2619" s="12"/>
      <c r="B2619" s="1"/>
      <c r="M2619" s="2" t="s">
        <v>8886</v>
      </c>
    </row>
    <row r="2620">
      <c r="A2620" s="12"/>
      <c r="B2620" s="1"/>
      <c r="M2620" s="2" t="s">
        <v>8886</v>
      </c>
    </row>
    <row r="2621">
      <c r="A2621" s="12"/>
      <c r="B2621" s="1"/>
      <c r="M2621" s="2" t="s">
        <v>8886</v>
      </c>
    </row>
    <row r="2622">
      <c r="A2622" s="12"/>
      <c r="B2622" s="1"/>
      <c r="M2622" s="2" t="s">
        <v>8886</v>
      </c>
    </row>
    <row r="2623">
      <c r="A2623" s="12"/>
      <c r="B2623" s="1"/>
      <c r="M2623" s="2" t="s">
        <v>8886</v>
      </c>
    </row>
    <row r="2624">
      <c r="A2624" s="12"/>
      <c r="B2624" s="1"/>
      <c r="M2624" s="2" t="s">
        <v>8886</v>
      </c>
    </row>
    <row r="2625">
      <c r="A2625" s="12"/>
      <c r="B2625" s="1"/>
      <c r="M2625" s="2" t="s">
        <v>8886</v>
      </c>
    </row>
    <row r="2626">
      <c r="A2626" s="12"/>
      <c r="B2626" s="1"/>
      <c r="M2626" s="2" t="s">
        <v>8886</v>
      </c>
    </row>
    <row r="2627">
      <c r="A2627" s="12"/>
      <c r="B2627" s="1"/>
      <c r="M2627" s="2" t="s">
        <v>8886</v>
      </c>
    </row>
    <row r="2628">
      <c r="A2628" s="12"/>
      <c r="B2628" s="1"/>
      <c r="M2628" s="2" t="s">
        <v>8886</v>
      </c>
    </row>
    <row r="2629">
      <c r="A2629" s="12"/>
      <c r="B2629" s="1"/>
      <c r="M2629" s="2" t="s">
        <v>8886</v>
      </c>
    </row>
    <row r="2630">
      <c r="A2630" s="12"/>
      <c r="B2630" s="1"/>
      <c r="M2630" s="2" t="s">
        <v>8886</v>
      </c>
    </row>
    <row r="2631">
      <c r="A2631" s="12"/>
      <c r="B2631" s="1"/>
      <c r="M2631" s="2" t="s">
        <v>8886</v>
      </c>
    </row>
    <row r="2632">
      <c r="A2632" s="12"/>
      <c r="B2632" s="1"/>
      <c r="M2632" s="2" t="s">
        <v>8886</v>
      </c>
    </row>
    <row r="2633">
      <c r="A2633" s="12"/>
      <c r="B2633" s="1"/>
      <c r="M2633" s="2" t="s">
        <v>8886</v>
      </c>
    </row>
    <row r="2634">
      <c r="A2634" s="12"/>
      <c r="B2634" s="1"/>
      <c r="M2634" s="2" t="s">
        <v>8886</v>
      </c>
    </row>
    <row r="2635">
      <c r="A2635" s="12"/>
      <c r="B2635" s="1"/>
      <c r="M2635" s="2" t="s">
        <v>8886</v>
      </c>
    </row>
    <row r="2636">
      <c r="A2636" s="12"/>
      <c r="B2636" s="1"/>
      <c r="M2636" s="2" t="s">
        <v>8886</v>
      </c>
    </row>
    <row r="2637">
      <c r="A2637" s="12"/>
      <c r="B2637" s="1"/>
      <c r="M2637" s="2" t="s">
        <v>8886</v>
      </c>
    </row>
    <row r="2638">
      <c r="A2638" s="12"/>
      <c r="B2638" s="1"/>
      <c r="M2638" s="2" t="s">
        <v>8886</v>
      </c>
    </row>
    <row r="2639">
      <c r="A2639" s="12"/>
      <c r="B2639" s="1"/>
      <c r="M2639" s="2" t="s">
        <v>8886</v>
      </c>
    </row>
    <row r="2640">
      <c r="A2640" s="12"/>
      <c r="B2640" s="1"/>
      <c r="M2640" s="2" t="s">
        <v>8886</v>
      </c>
    </row>
    <row r="2641">
      <c r="A2641" s="12"/>
      <c r="B2641" s="1"/>
      <c r="M2641" s="2" t="s">
        <v>8886</v>
      </c>
    </row>
    <row r="2642">
      <c r="A2642" s="12"/>
      <c r="B2642" s="1"/>
      <c r="M2642" s="2" t="s">
        <v>8886</v>
      </c>
    </row>
    <row r="2643">
      <c r="A2643" s="12"/>
      <c r="B2643" s="1"/>
      <c r="M2643" s="2" t="s">
        <v>8886</v>
      </c>
    </row>
    <row r="2644">
      <c r="A2644" s="12"/>
      <c r="B2644" s="1"/>
      <c r="M2644" s="2" t="s">
        <v>8886</v>
      </c>
    </row>
    <row r="2645">
      <c r="A2645" s="12"/>
      <c r="B2645" s="1"/>
      <c r="M2645" s="2" t="s">
        <v>8886</v>
      </c>
    </row>
    <row r="2646">
      <c r="A2646" s="12"/>
      <c r="B2646" s="1"/>
      <c r="M2646" s="2" t="s">
        <v>8886</v>
      </c>
    </row>
    <row r="2647">
      <c r="A2647" s="12"/>
      <c r="B2647" s="1"/>
      <c r="M2647" s="2" t="s">
        <v>8886</v>
      </c>
    </row>
    <row r="2648">
      <c r="A2648" s="12"/>
      <c r="B2648" s="1"/>
      <c r="M2648" s="2" t="s">
        <v>8886</v>
      </c>
    </row>
    <row r="2649">
      <c r="A2649" s="12"/>
      <c r="B2649" s="1"/>
      <c r="M2649" s="2" t="s">
        <v>8886</v>
      </c>
    </row>
    <row r="2650">
      <c r="A2650" s="12"/>
      <c r="B2650" s="1"/>
      <c r="M2650" s="2" t="s">
        <v>8886</v>
      </c>
    </row>
    <row r="2651">
      <c r="A2651" s="12"/>
      <c r="B2651" s="1"/>
      <c r="M2651" s="2" t="s">
        <v>8886</v>
      </c>
    </row>
    <row r="2652">
      <c r="A2652" s="12"/>
      <c r="B2652" s="1"/>
      <c r="M2652" s="2" t="s">
        <v>8886</v>
      </c>
    </row>
    <row r="2653">
      <c r="A2653" s="12"/>
      <c r="B2653" s="1"/>
      <c r="M2653" s="2" t="s">
        <v>8886</v>
      </c>
    </row>
    <row r="2654">
      <c r="A2654" s="12"/>
      <c r="B2654" s="1"/>
      <c r="M2654" s="2" t="s">
        <v>8886</v>
      </c>
    </row>
    <row r="2655">
      <c r="A2655" s="12"/>
      <c r="B2655" s="1"/>
      <c r="M2655" s="2" t="s">
        <v>8886</v>
      </c>
    </row>
    <row r="2656">
      <c r="A2656" s="12"/>
      <c r="B2656" s="1"/>
      <c r="M2656" s="2" t="s">
        <v>8886</v>
      </c>
    </row>
    <row r="2657">
      <c r="A2657" s="12"/>
      <c r="B2657" s="1"/>
      <c r="M2657" s="2" t="s">
        <v>8886</v>
      </c>
    </row>
    <row r="2658">
      <c r="A2658" s="12"/>
      <c r="B2658" s="1"/>
      <c r="M2658" s="2" t="s">
        <v>8886</v>
      </c>
    </row>
    <row r="2659">
      <c r="A2659" s="12"/>
      <c r="B2659" s="1"/>
      <c r="M2659" s="2" t="s">
        <v>8886</v>
      </c>
    </row>
    <row r="2660">
      <c r="A2660" s="12"/>
      <c r="B2660" s="1"/>
      <c r="M2660" s="2" t="s">
        <v>8886</v>
      </c>
    </row>
    <row r="2661">
      <c r="A2661" s="12"/>
      <c r="B2661" s="1"/>
      <c r="M2661" s="2" t="s">
        <v>8886</v>
      </c>
    </row>
    <row r="2662">
      <c r="A2662" s="12"/>
      <c r="B2662" s="1"/>
      <c r="M2662" s="2" t="s">
        <v>8886</v>
      </c>
    </row>
    <row r="2663">
      <c r="A2663" s="12"/>
      <c r="B2663" s="1"/>
      <c r="M2663" s="2" t="s">
        <v>8886</v>
      </c>
    </row>
    <row r="2664">
      <c r="A2664" s="12"/>
      <c r="B2664" s="1"/>
      <c r="M2664" s="2" t="s">
        <v>8886</v>
      </c>
    </row>
    <row r="2665">
      <c r="A2665" s="12"/>
      <c r="B2665" s="1"/>
      <c r="M2665" s="2" t="s">
        <v>8886</v>
      </c>
    </row>
    <row r="2666">
      <c r="A2666" s="12"/>
      <c r="B2666" s="1"/>
      <c r="M2666" s="2" t="s">
        <v>8886</v>
      </c>
    </row>
    <row r="2667">
      <c r="A2667" s="12"/>
      <c r="B2667" s="1"/>
      <c r="M2667" s="2" t="s">
        <v>8886</v>
      </c>
    </row>
    <row r="2668">
      <c r="A2668" s="12"/>
      <c r="B2668" s="1"/>
      <c r="M2668" s="2" t="s">
        <v>8886</v>
      </c>
    </row>
    <row r="2669">
      <c r="A2669" s="12"/>
      <c r="B2669" s="1"/>
      <c r="M2669" s="2" t="s">
        <v>8886</v>
      </c>
    </row>
    <row r="2670">
      <c r="A2670" s="12"/>
      <c r="B2670" s="1"/>
      <c r="M2670" s="2" t="s">
        <v>8886</v>
      </c>
    </row>
    <row r="2671">
      <c r="A2671" s="12"/>
      <c r="B2671" s="1"/>
      <c r="M2671" s="2" t="s">
        <v>8886</v>
      </c>
    </row>
    <row r="2672">
      <c r="A2672" s="12"/>
      <c r="B2672" s="1"/>
      <c r="M2672" s="2" t="s">
        <v>8886</v>
      </c>
    </row>
    <row r="2673">
      <c r="A2673" s="12"/>
      <c r="B2673" s="1"/>
      <c r="M2673" s="2" t="s">
        <v>8886</v>
      </c>
    </row>
    <row r="2674">
      <c r="A2674" s="12"/>
      <c r="B2674" s="1"/>
      <c r="M2674" s="2" t="s">
        <v>8886</v>
      </c>
    </row>
    <row r="2675">
      <c r="A2675" s="12"/>
      <c r="B2675" s="1"/>
      <c r="M2675" s="2" t="s">
        <v>8886</v>
      </c>
    </row>
    <row r="2676">
      <c r="A2676" s="12"/>
      <c r="B2676" s="1"/>
      <c r="M2676" s="2" t="s">
        <v>8886</v>
      </c>
    </row>
    <row r="2677">
      <c r="A2677" s="12"/>
      <c r="B2677" s="1"/>
      <c r="M2677" s="2" t="s">
        <v>8886</v>
      </c>
    </row>
    <row r="2678">
      <c r="A2678" s="12"/>
      <c r="B2678" s="1"/>
      <c r="M2678" s="2" t="s">
        <v>8886</v>
      </c>
    </row>
    <row r="2679">
      <c r="A2679" s="12"/>
      <c r="B2679" s="1"/>
      <c r="M2679" s="2" t="s">
        <v>8886</v>
      </c>
    </row>
    <row r="2680">
      <c r="A2680" s="12"/>
      <c r="B2680" s="1"/>
      <c r="M2680" s="2" t="s">
        <v>8886</v>
      </c>
    </row>
    <row r="2681">
      <c r="A2681" s="12"/>
      <c r="B2681" s="1"/>
      <c r="M2681" s="2" t="s">
        <v>8886</v>
      </c>
    </row>
    <row r="2682">
      <c r="A2682" s="12"/>
      <c r="B2682" s="1"/>
      <c r="M2682" s="2" t="s">
        <v>8886</v>
      </c>
    </row>
    <row r="2683">
      <c r="A2683" s="12"/>
      <c r="B2683" s="1"/>
      <c r="M2683" s="2" t="s">
        <v>8886</v>
      </c>
    </row>
    <row r="2684">
      <c r="A2684" s="12"/>
      <c r="B2684" s="1"/>
      <c r="M2684" s="2" t="s">
        <v>8886</v>
      </c>
    </row>
    <row r="2685">
      <c r="A2685" s="12"/>
      <c r="B2685" s="1"/>
      <c r="M2685" s="2" t="s">
        <v>8886</v>
      </c>
    </row>
    <row r="2686">
      <c r="A2686" s="12"/>
      <c r="B2686" s="1"/>
      <c r="M2686" s="2" t="s">
        <v>8886</v>
      </c>
    </row>
    <row r="2687">
      <c r="A2687" s="12"/>
      <c r="B2687" s="1"/>
      <c r="M2687" s="2" t="s">
        <v>8886</v>
      </c>
    </row>
    <row r="2688">
      <c r="A2688" s="12"/>
      <c r="B2688" s="1"/>
      <c r="M2688" s="2" t="s">
        <v>8886</v>
      </c>
    </row>
    <row r="2689">
      <c r="A2689" s="12"/>
      <c r="B2689" s="1"/>
      <c r="M2689" s="2" t="s">
        <v>8886</v>
      </c>
    </row>
    <row r="2690">
      <c r="A2690" s="12"/>
      <c r="B2690" s="1"/>
      <c r="M2690" s="2" t="s">
        <v>8886</v>
      </c>
    </row>
    <row r="2691">
      <c r="A2691" s="12"/>
      <c r="B2691" s="1"/>
      <c r="M2691" s="2" t="s">
        <v>8886</v>
      </c>
    </row>
    <row r="2692">
      <c r="A2692" s="12"/>
      <c r="B2692" s="1"/>
      <c r="M2692" s="2" t="s">
        <v>8886</v>
      </c>
    </row>
    <row r="2693">
      <c r="A2693" s="12"/>
      <c r="B2693" s="1"/>
      <c r="M2693" s="2" t="s">
        <v>8886</v>
      </c>
    </row>
    <row r="2694">
      <c r="A2694" s="12"/>
      <c r="B2694" s="1"/>
      <c r="M2694" s="2" t="s">
        <v>8886</v>
      </c>
    </row>
    <row r="2695">
      <c r="A2695" s="12"/>
      <c r="B2695" s="1"/>
      <c r="M2695" s="2" t="s">
        <v>8886</v>
      </c>
    </row>
    <row r="2696">
      <c r="A2696" s="12"/>
      <c r="B2696" s="1"/>
      <c r="M2696" s="2" t="s">
        <v>8886</v>
      </c>
    </row>
    <row r="2697">
      <c r="A2697" s="12"/>
      <c r="B2697" s="1"/>
      <c r="M2697" s="2" t="s">
        <v>8886</v>
      </c>
    </row>
    <row r="2698">
      <c r="A2698" s="12"/>
      <c r="B2698" s="1"/>
      <c r="M2698" s="2" t="s">
        <v>8886</v>
      </c>
    </row>
    <row r="2699">
      <c r="A2699" s="12"/>
      <c r="B2699" s="1"/>
      <c r="M2699" s="2" t="s">
        <v>8886</v>
      </c>
    </row>
    <row r="2700">
      <c r="A2700" s="12"/>
      <c r="B2700" s="1"/>
      <c r="M2700" s="2" t="s">
        <v>8886</v>
      </c>
    </row>
    <row r="2701">
      <c r="A2701" s="12"/>
      <c r="B2701" s="1"/>
      <c r="M2701" s="2" t="s">
        <v>8886</v>
      </c>
    </row>
    <row r="2702">
      <c r="A2702" s="12"/>
      <c r="B2702" s="1"/>
      <c r="M2702" s="2" t="s">
        <v>8886</v>
      </c>
    </row>
    <row r="2703">
      <c r="A2703" s="12"/>
      <c r="B2703" s="1"/>
      <c r="M2703" s="2" t="s">
        <v>8886</v>
      </c>
    </row>
    <row r="2704">
      <c r="A2704" s="12"/>
      <c r="B2704" s="1"/>
      <c r="M2704" s="2" t="s">
        <v>8886</v>
      </c>
    </row>
    <row r="2705">
      <c r="A2705" s="12"/>
      <c r="B2705" s="1"/>
      <c r="M2705" s="2" t="s">
        <v>8886</v>
      </c>
    </row>
    <row r="2706">
      <c r="A2706" s="12"/>
      <c r="B2706" s="1"/>
      <c r="M2706" s="2" t="s">
        <v>8886</v>
      </c>
    </row>
    <row r="2707">
      <c r="A2707" s="12"/>
      <c r="B2707" s="1"/>
      <c r="M2707" s="2" t="s">
        <v>8886</v>
      </c>
    </row>
    <row r="2708">
      <c r="A2708" s="12"/>
      <c r="B2708" s="1"/>
      <c r="M2708" s="2" t="s">
        <v>8886</v>
      </c>
    </row>
    <row r="2709">
      <c r="A2709" s="12"/>
      <c r="B2709" s="1"/>
      <c r="M2709" s="2" t="s">
        <v>8886</v>
      </c>
    </row>
    <row r="2710">
      <c r="A2710" s="12"/>
      <c r="B2710" s="1"/>
      <c r="M2710" s="2" t="s">
        <v>8886</v>
      </c>
    </row>
    <row r="2711">
      <c r="A2711" s="12"/>
      <c r="B2711" s="1"/>
      <c r="M2711" s="2" t="s">
        <v>8886</v>
      </c>
    </row>
    <row r="2712">
      <c r="A2712" s="12"/>
      <c r="B2712" s="1"/>
      <c r="M2712" s="2" t="s">
        <v>8886</v>
      </c>
    </row>
    <row r="2713">
      <c r="A2713" s="12"/>
      <c r="B2713" s="1"/>
      <c r="M2713" s="2" t="s">
        <v>8886</v>
      </c>
    </row>
    <row r="2714">
      <c r="A2714" s="12"/>
      <c r="B2714" s="1"/>
      <c r="M2714" s="2" t="s">
        <v>8886</v>
      </c>
    </row>
    <row r="2715">
      <c r="A2715" s="12"/>
      <c r="B2715" s="1"/>
      <c r="M2715" s="2" t="s">
        <v>8886</v>
      </c>
    </row>
    <row r="2716">
      <c r="A2716" s="12"/>
      <c r="B2716" s="1"/>
      <c r="M2716" s="2" t="s">
        <v>8886</v>
      </c>
    </row>
    <row r="2717">
      <c r="A2717" s="12"/>
      <c r="B2717" s="1"/>
      <c r="M2717" s="2" t="s">
        <v>8886</v>
      </c>
    </row>
    <row r="2718">
      <c r="A2718" s="12"/>
      <c r="B2718" s="1"/>
      <c r="M2718" s="2" t="s">
        <v>8886</v>
      </c>
    </row>
    <row r="2719">
      <c r="A2719" s="12"/>
      <c r="B2719" s="1"/>
      <c r="M2719" s="2" t="s">
        <v>8886</v>
      </c>
    </row>
    <row r="2720">
      <c r="A2720" s="12"/>
      <c r="B2720" s="1"/>
      <c r="M2720" s="2" t="s">
        <v>8886</v>
      </c>
    </row>
    <row r="2721">
      <c r="A2721" s="12"/>
      <c r="B2721" s="1"/>
      <c r="M2721" s="2" t="s">
        <v>8886</v>
      </c>
    </row>
    <row r="2722">
      <c r="A2722" s="12"/>
      <c r="B2722" s="1"/>
      <c r="M2722" s="2" t="s">
        <v>8886</v>
      </c>
    </row>
    <row r="2723">
      <c r="A2723" s="12"/>
      <c r="B2723" s="1"/>
      <c r="M2723" s="2" t="s">
        <v>8886</v>
      </c>
    </row>
    <row r="2724">
      <c r="A2724" s="12"/>
      <c r="B2724" s="1"/>
      <c r="M2724" s="2" t="s">
        <v>8886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1.25"/>
    <col customWidth="1" min="3" max="3" width="14.0"/>
    <col customWidth="1" min="4" max="4" width="19.13"/>
    <col customWidth="1" min="6" max="6" width="23.88"/>
    <col customWidth="1" min="7" max="7" width="25.5"/>
  </cols>
  <sheetData>
    <row r="1">
      <c r="A1" s="13"/>
      <c r="B1" s="14" t="s">
        <v>8945</v>
      </c>
      <c r="C1" s="14" t="s">
        <v>488</v>
      </c>
      <c r="D1" s="14" t="s">
        <v>8946</v>
      </c>
      <c r="F1" s="15" t="s">
        <v>8947</v>
      </c>
      <c r="G1" s="16">
        <v>45895.0</v>
      </c>
    </row>
    <row r="2">
      <c r="A2" s="13" t="s">
        <v>8948</v>
      </c>
      <c r="B2" s="17">
        <f>(698-1)</f>
        <v>697</v>
      </c>
      <c r="C2" s="18">
        <f>COUNTIFS(Caseslist!N:N,0,Caseslist!M:M,"&lt;&gt;INC")
</f>
        <v>675</v>
      </c>
      <c r="D2" s="19">
        <f t="shared" ref="D2:D6" si="1">(C2/B2)</f>
        <v>0.9684361549</v>
      </c>
      <c r="F2" s="15" t="s">
        <v>8949</v>
      </c>
      <c r="G2" s="20">
        <f>TODAY()</f>
        <v>45960</v>
      </c>
    </row>
    <row r="3">
      <c r="A3" s="13" t="s">
        <v>8950</v>
      </c>
      <c r="B3" s="21">
        <f>(349-6)</f>
        <v>343</v>
      </c>
      <c r="C3" s="18">
        <f>COUNTIFS(Caseslist!N:N,1,Caseslist!M:M,"&lt;&gt;INC")
</f>
        <v>317</v>
      </c>
      <c r="D3" s="19">
        <f t="shared" si="1"/>
        <v>0.9241982507</v>
      </c>
      <c r="F3" s="22" t="s">
        <v>8951</v>
      </c>
      <c r="G3" s="23">
        <f>IFERROR(_xlfn.NETWORKDAYS.INTL(G1,G2,"0000001"),0)
</f>
        <v>57</v>
      </c>
    </row>
    <row r="4">
      <c r="A4" s="13" t="s">
        <v>8952</v>
      </c>
      <c r="B4" s="21">
        <f>(354-6)</f>
        <v>348</v>
      </c>
      <c r="C4" s="18">
        <f>COUNTIFS(Caseslist!N:N,2,Caseslist!M:M,"&lt;&gt;INC")
</f>
        <v>329</v>
      </c>
      <c r="D4" s="19">
        <f t="shared" si="1"/>
        <v>0.9454022989</v>
      </c>
      <c r="F4" s="24" t="s">
        <v>8953</v>
      </c>
      <c r="G4" s="25">
        <f>G3</f>
        <v>57</v>
      </c>
    </row>
    <row r="5">
      <c r="A5" s="26" t="s">
        <v>8954</v>
      </c>
      <c r="B5" s="27">
        <f>(350-8)</f>
        <v>342</v>
      </c>
      <c r="C5" s="28">
        <f>COUNTIFS(Caseslist!N:N,3,Caseslist!M:M,"&lt;&gt;INC")
</f>
        <v>323</v>
      </c>
      <c r="D5" s="29">
        <f t="shared" si="1"/>
        <v>0.9444444444</v>
      </c>
      <c r="F5" s="30"/>
      <c r="G5" s="30"/>
    </row>
    <row r="6">
      <c r="A6" s="13" t="s">
        <v>8955</v>
      </c>
      <c r="B6" s="31">
        <f t="shared" ref="B6:C6" si="2">SUM(B2:B5)</f>
        <v>1730</v>
      </c>
      <c r="C6" s="32">
        <f t="shared" si="2"/>
        <v>1644</v>
      </c>
      <c r="D6" s="19">
        <f t="shared" si="1"/>
        <v>0.9502890173</v>
      </c>
      <c r="F6" s="33" t="s">
        <v>8956</v>
      </c>
      <c r="G6" s="34">
        <f>'Daily FO Productivity'!B2</f>
        <v>1.43245614</v>
      </c>
    </row>
    <row r="7">
      <c r="F7" s="33" t="s">
        <v>8957</v>
      </c>
      <c r="G7" s="35">
        <f>IFERROR((B6-C6)/G6,"")/20</f>
        <v>3.00183711</v>
      </c>
    </row>
    <row r="8">
      <c r="F8" s="33" t="s">
        <v>8958</v>
      </c>
      <c r="G8" s="35">
        <f>G7/6</f>
        <v>0.5003061849</v>
      </c>
    </row>
    <row r="9">
      <c r="F9" s="36" t="s">
        <v>8959</v>
      </c>
      <c r="G9" s="37">
        <f>TODAY() + roundup(G8*7,0)</f>
        <v>45964</v>
      </c>
    </row>
    <row r="12">
      <c r="A12" s="38"/>
      <c r="B12" s="38"/>
      <c r="C12" s="38"/>
      <c r="D12" s="38"/>
    </row>
    <row r="13">
      <c r="A13" s="39"/>
      <c r="B13" s="39"/>
      <c r="C13" s="40"/>
      <c r="D13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63"/>
    <col customWidth="1" hidden="1" min="2" max="2" width="27.0"/>
    <col customWidth="1" min="3" max="4" width="16.75"/>
    <col customWidth="1" min="5" max="5" width="14.88"/>
    <col customWidth="1" min="6" max="6" width="15.88"/>
    <col customWidth="1" min="7" max="8" width="16.75"/>
  </cols>
  <sheetData>
    <row r="1">
      <c r="A1" s="41" t="s">
        <v>8960</v>
      </c>
      <c r="B1" s="42">
        <f>SUM(D2:V2)</f>
        <v>1633</v>
      </c>
      <c r="C1" s="43"/>
      <c r="D1" s="43">
        <f>D2/20/5</f>
        <v>3.17</v>
      </c>
      <c r="E1" s="43">
        <f t="shared" ref="E1:I1" si="1">E2/20/6</f>
        <v>3.35</v>
      </c>
      <c r="F1" s="43">
        <f t="shared" si="1"/>
        <v>2.516666667</v>
      </c>
      <c r="G1" s="43">
        <f t="shared" si="1"/>
        <v>2.5</v>
      </c>
      <c r="H1" s="43">
        <f t="shared" si="1"/>
        <v>1.841666667</v>
      </c>
      <c r="I1" s="43">
        <f t="shared" si="1"/>
        <v>0.7583333333</v>
      </c>
      <c r="J1" s="43">
        <f t="shared" ref="J1:X1" si="2">J2/20</f>
        <v>0</v>
      </c>
      <c r="K1" s="43">
        <f t="shared" si="2"/>
        <v>0</v>
      </c>
      <c r="L1" s="43">
        <f t="shared" si="2"/>
        <v>0</v>
      </c>
      <c r="M1" s="43">
        <f t="shared" si="2"/>
        <v>0</v>
      </c>
      <c r="N1" s="43">
        <f t="shared" si="2"/>
        <v>0</v>
      </c>
      <c r="O1" s="43">
        <f t="shared" si="2"/>
        <v>0</v>
      </c>
      <c r="P1" s="43">
        <f t="shared" si="2"/>
        <v>0</v>
      </c>
      <c r="Q1" s="43">
        <f t="shared" si="2"/>
        <v>0</v>
      </c>
      <c r="R1" s="43">
        <f t="shared" si="2"/>
        <v>0</v>
      </c>
      <c r="S1" s="43">
        <f t="shared" si="2"/>
        <v>0</v>
      </c>
      <c r="T1" s="43">
        <f t="shared" si="2"/>
        <v>0</v>
      </c>
      <c r="U1" s="43">
        <f t="shared" si="2"/>
        <v>0</v>
      </c>
      <c r="V1" s="43">
        <f t="shared" si="2"/>
        <v>0</v>
      </c>
      <c r="W1" s="44">
        <f t="shared" si="2"/>
        <v>0</v>
      </c>
      <c r="X1" s="44">
        <f t="shared" si="2"/>
        <v>0</v>
      </c>
      <c r="Y1" s="45"/>
      <c r="Z1" s="45"/>
      <c r="AA1" s="45"/>
    </row>
    <row r="2">
      <c r="A2" s="46" t="s">
        <v>8961</v>
      </c>
      <c r="B2" s="47">
        <f>IFERROR((B1/DashBoard!G4)/20,"")</f>
        <v>1.43245614</v>
      </c>
      <c r="C2" s="48" t="s">
        <v>8962</v>
      </c>
      <c r="D2" s="49">
        <f t="shared" ref="D2:V2" si="3">SUM(D4,D12,D20)</f>
        <v>317</v>
      </c>
      <c r="E2" s="49">
        <f t="shared" si="3"/>
        <v>402</v>
      </c>
      <c r="F2" s="49">
        <f t="shared" si="3"/>
        <v>302</v>
      </c>
      <c r="G2" s="49">
        <f t="shared" si="3"/>
        <v>300</v>
      </c>
      <c r="H2" s="49">
        <f t="shared" si="3"/>
        <v>221</v>
      </c>
      <c r="I2" s="49">
        <f t="shared" si="3"/>
        <v>91</v>
      </c>
      <c r="J2" s="49">
        <f t="shared" si="3"/>
        <v>0</v>
      </c>
      <c r="K2" s="49">
        <f t="shared" si="3"/>
        <v>0</v>
      </c>
      <c r="L2" s="49">
        <f t="shared" si="3"/>
        <v>0</v>
      </c>
      <c r="M2" s="49">
        <f t="shared" si="3"/>
        <v>0</v>
      </c>
      <c r="N2" s="49">
        <f t="shared" si="3"/>
        <v>0</v>
      </c>
      <c r="O2" s="49">
        <f t="shared" si="3"/>
        <v>0</v>
      </c>
      <c r="P2" s="49">
        <f t="shared" si="3"/>
        <v>0</v>
      </c>
      <c r="Q2" s="49">
        <f t="shared" si="3"/>
        <v>0</v>
      </c>
      <c r="R2" s="49">
        <f t="shared" si="3"/>
        <v>0</v>
      </c>
      <c r="S2" s="49">
        <f t="shared" si="3"/>
        <v>0</v>
      </c>
      <c r="T2" s="49">
        <f t="shared" si="3"/>
        <v>0</v>
      </c>
      <c r="U2" s="49">
        <f t="shared" si="3"/>
        <v>0</v>
      </c>
      <c r="V2" s="49">
        <f t="shared" si="3"/>
        <v>0</v>
      </c>
      <c r="W2" s="49"/>
      <c r="X2" s="49"/>
    </row>
    <row r="3">
      <c r="A3" s="5" t="s">
        <v>8877</v>
      </c>
      <c r="B3" s="5" t="s">
        <v>8963</v>
      </c>
      <c r="D3" s="50" t="s">
        <v>8964</v>
      </c>
      <c r="E3" s="50" t="s">
        <v>8965</v>
      </c>
      <c r="F3" s="50" t="s">
        <v>8966</v>
      </c>
      <c r="G3" s="50" t="s">
        <v>8967</v>
      </c>
      <c r="H3" s="50" t="s">
        <v>8968</v>
      </c>
      <c r="I3" s="50" t="s">
        <v>8969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49"/>
      <c r="X3" s="49"/>
    </row>
    <row r="4">
      <c r="A4" s="52" t="s">
        <v>1112</v>
      </c>
      <c r="B4" s="52" t="s">
        <v>8970</v>
      </c>
      <c r="C4" s="53">
        <f>AVERAGE(C5:C11)</f>
        <v>72.12770333</v>
      </c>
      <c r="D4" s="54">
        <f t="shared" ref="D4:V4" si="4">SUM(D5:D11)</f>
        <v>110</v>
      </c>
      <c r="E4" s="54">
        <f t="shared" si="4"/>
        <v>143</v>
      </c>
      <c r="F4" s="54">
        <f t="shared" si="4"/>
        <v>90</v>
      </c>
      <c r="G4" s="54">
        <f t="shared" si="4"/>
        <v>95</v>
      </c>
      <c r="H4" s="54">
        <f t="shared" si="4"/>
        <v>83</v>
      </c>
      <c r="I4" s="54">
        <f t="shared" si="4"/>
        <v>28</v>
      </c>
      <c r="J4" s="54">
        <f t="shared" si="4"/>
        <v>0</v>
      </c>
      <c r="K4" s="54">
        <f t="shared" si="4"/>
        <v>0</v>
      </c>
      <c r="L4" s="54">
        <f t="shared" si="4"/>
        <v>0</v>
      </c>
      <c r="M4" s="54">
        <f t="shared" si="4"/>
        <v>0</v>
      </c>
      <c r="N4" s="54">
        <f t="shared" si="4"/>
        <v>0</v>
      </c>
      <c r="O4" s="54">
        <f t="shared" si="4"/>
        <v>0</v>
      </c>
      <c r="P4" s="54">
        <f t="shared" si="4"/>
        <v>0</v>
      </c>
      <c r="Q4" s="54">
        <f t="shared" si="4"/>
        <v>0</v>
      </c>
      <c r="R4" s="54">
        <f t="shared" si="4"/>
        <v>0</v>
      </c>
      <c r="S4" s="54">
        <f t="shared" si="4"/>
        <v>0</v>
      </c>
      <c r="T4" s="54">
        <f t="shared" si="4"/>
        <v>0</v>
      </c>
      <c r="U4" s="54">
        <f t="shared" si="4"/>
        <v>0</v>
      </c>
      <c r="V4" s="54">
        <f t="shared" si="4"/>
        <v>0</v>
      </c>
      <c r="W4" s="55"/>
      <c r="X4" s="55"/>
      <c r="Y4" s="55"/>
      <c r="Z4" s="55"/>
      <c r="AA4" s="55"/>
    </row>
    <row r="5">
      <c r="A5" s="1" t="s">
        <v>220</v>
      </c>
      <c r="B5" s="1" t="s">
        <v>221</v>
      </c>
      <c r="C5" s="56">
        <f>(IFERROR(AVERAGEIFS(data!E:E, data!N:N, 1, data!G:G, $A5:$A1001), "No Match"))/60</f>
        <v>71.42445887</v>
      </c>
      <c r="D5" s="49">
        <f>SUM('Daily FO Productivity'!E5:J5)</f>
        <v>16</v>
      </c>
      <c r="E5" s="49">
        <f>SUM('Daily FO Productivity'!K5:Q5)</f>
        <v>19</v>
      </c>
      <c r="F5" s="49">
        <f>SUM('Daily FO Productivity'!R5:X5)</f>
        <v>14</v>
      </c>
      <c r="G5" s="49">
        <f>SUM('Daily FO Productivity'!Y5:AE5)</f>
        <v>11</v>
      </c>
      <c r="H5" s="49">
        <f>SUM('Daily FO Productivity'!AF5:AL5)</f>
        <v>11</v>
      </c>
      <c r="I5" s="49">
        <f>SUM('Daily FO Productivity'!AM5:AV5)</f>
        <v>3</v>
      </c>
    </row>
    <row r="6">
      <c r="A6" s="1" t="s">
        <v>132</v>
      </c>
      <c r="B6" s="1" t="s">
        <v>133</v>
      </c>
      <c r="C6" s="56">
        <f>(IFERROR(AVERAGEIFS(data!E:E, data!N:N, 1, data!G:G, $A6:$A1001), "No Match"))/60</f>
        <v>68.10488889</v>
      </c>
      <c r="D6" s="49">
        <f>SUM('Daily FO Productivity'!E6:J6)</f>
        <v>15</v>
      </c>
      <c r="E6" s="49">
        <f>SUM('Daily FO Productivity'!K6:Q6)</f>
        <v>21</v>
      </c>
      <c r="F6" s="49">
        <f>SUM('Daily FO Productivity'!R6:X6)</f>
        <v>10</v>
      </c>
      <c r="G6" s="49">
        <f>SUM('Daily FO Productivity'!Y6:AE6)</f>
        <v>13</v>
      </c>
      <c r="H6" s="49">
        <f>SUM('Daily FO Productivity'!AF6:AL6)</f>
        <v>9</v>
      </c>
      <c r="I6" s="49">
        <f>SUM('Daily FO Productivity'!AM6:AV6)</f>
        <v>4</v>
      </c>
    </row>
    <row r="7">
      <c r="A7" s="1" t="s">
        <v>167</v>
      </c>
      <c r="B7" s="1" t="s">
        <v>168</v>
      </c>
      <c r="C7" s="56">
        <f>(IFERROR(AVERAGEIFS(data!E:E, data!N:N, 1, data!G:G, $A7:$A1001), "No Match"))/60</f>
        <v>73.198</v>
      </c>
      <c r="D7" s="49">
        <f>SUM('Daily FO Productivity'!E7:J7)</f>
        <v>15</v>
      </c>
      <c r="E7" s="49">
        <f>SUM('Daily FO Productivity'!K7:Q7)</f>
        <v>19</v>
      </c>
      <c r="F7" s="49">
        <f>SUM('Daily FO Productivity'!R7:X7)</f>
        <v>13</v>
      </c>
      <c r="G7" s="49">
        <f>SUM('Daily FO Productivity'!Y7:AE7)</f>
        <v>11</v>
      </c>
      <c r="H7" s="49">
        <f>SUM('Daily FO Productivity'!AF7:AL7)</f>
        <v>10</v>
      </c>
      <c r="I7" s="49">
        <f>SUM('Daily FO Productivity'!AM7:AV7)</f>
        <v>2</v>
      </c>
    </row>
    <row r="8">
      <c r="A8" s="1" t="s">
        <v>8971</v>
      </c>
      <c r="B8" s="1" t="s">
        <v>8972</v>
      </c>
      <c r="C8" s="56">
        <f>IFERROR(__xludf.DUMMYFUNCTION("IFERROR(AVERAGE(FILTER(data!E:E, (data!N:N=1) * ((data!G:G=$A8) + (data!G:G=896791))))/60, ""No Match"")"),75.15131578947368)</f>
        <v>75.15131579</v>
      </c>
      <c r="D8" s="49">
        <f>SUM('Daily FO Productivity'!E8:J8)</f>
        <v>12</v>
      </c>
      <c r="E8" s="49">
        <f>SUM('Daily FO Productivity'!K8:Q8)</f>
        <v>20</v>
      </c>
      <c r="F8" s="49">
        <f>SUM('Daily FO Productivity'!R8:X8)</f>
        <v>10</v>
      </c>
      <c r="G8" s="49">
        <f>SUM('Daily FO Productivity'!Y8:AE8)</f>
        <v>13</v>
      </c>
      <c r="H8" s="49">
        <f>SUM('Daily FO Productivity'!AF8:AL8)</f>
        <v>10</v>
      </c>
      <c r="I8" s="49">
        <f>SUM('Daily FO Productivity'!AM8:AV8)</f>
        <v>3</v>
      </c>
    </row>
    <row r="9">
      <c r="A9" s="1" t="s">
        <v>179</v>
      </c>
      <c r="B9" s="1" t="s">
        <v>8973</v>
      </c>
      <c r="C9" s="56">
        <f>(IFERROR(AVERAGEIFS(data!E:E, data!N:N, 1, data!G:G, $A9:$A1001), "No Match"))/60</f>
        <v>89.26811594</v>
      </c>
      <c r="D9" s="49">
        <f>SUM('Daily FO Productivity'!E9:J9)</f>
        <v>17</v>
      </c>
      <c r="E9" s="49">
        <f>SUM('Daily FO Productivity'!K9:Q9)</f>
        <v>21</v>
      </c>
      <c r="F9" s="49">
        <f>SUM('Daily FO Productivity'!R9:X9)</f>
        <v>15</v>
      </c>
      <c r="G9" s="49">
        <f>SUM('Daily FO Productivity'!Y9:AE9)</f>
        <v>16</v>
      </c>
      <c r="H9" s="49">
        <f>SUM('Daily FO Productivity'!AF9:AL9)</f>
        <v>14</v>
      </c>
      <c r="I9" s="49">
        <f>SUM('Daily FO Productivity'!AM9:AV9)</f>
        <v>4</v>
      </c>
    </row>
    <row r="10">
      <c r="A10" s="1" t="s">
        <v>232</v>
      </c>
      <c r="B10" s="1" t="s">
        <v>233</v>
      </c>
      <c r="C10" s="56">
        <f>(IFERROR(AVERAGEIFS(data!E:E, data!N:N, 1, data!G:G, $A10:$A1001), "No Match"))/60</f>
        <v>66.25742754</v>
      </c>
      <c r="D10" s="49">
        <f>SUM('Daily FO Productivity'!E10:J10)</f>
        <v>18</v>
      </c>
      <c r="E10" s="49">
        <f>SUM('Daily FO Productivity'!K10:Q10)</f>
        <v>21</v>
      </c>
      <c r="F10" s="49">
        <f>SUM('Daily FO Productivity'!R10:X10)</f>
        <v>14</v>
      </c>
      <c r="G10" s="49">
        <f>SUM('Daily FO Productivity'!Y10:AE10)</f>
        <v>14</v>
      </c>
      <c r="H10" s="49">
        <f>SUM('Daily FO Productivity'!AF10:AL10)</f>
        <v>14</v>
      </c>
      <c r="I10" s="49">
        <f>SUM('Daily FO Productivity'!AM10:AV10)</f>
        <v>5</v>
      </c>
    </row>
    <row r="11">
      <c r="A11" s="1" t="s">
        <v>155</v>
      </c>
      <c r="B11" s="1" t="s">
        <v>156</v>
      </c>
      <c r="C11" s="56">
        <f>(IFERROR(AVERAGEIFS(data!E:E, data!N:N, 1, data!G:G, $A11:$A1001), "No Match"))/60</f>
        <v>61.48971631</v>
      </c>
      <c r="D11" s="49">
        <f>SUM('Daily FO Productivity'!E11:J11)</f>
        <v>17</v>
      </c>
      <c r="E11" s="49">
        <f>SUM('Daily FO Productivity'!K11:Q11)</f>
        <v>22</v>
      </c>
      <c r="F11" s="49">
        <f>SUM('Daily FO Productivity'!R11:X11)</f>
        <v>14</v>
      </c>
      <c r="G11" s="49">
        <f>SUM('Daily FO Productivity'!Y11:AE11)</f>
        <v>17</v>
      </c>
      <c r="H11" s="49">
        <f>SUM('Daily FO Productivity'!AF11:AL11)</f>
        <v>15</v>
      </c>
      <c r="I11" s="49">
        <f>SUM('Daily FO Productivity'!AM11:AV11)</f>
        <v>7</v>
      </c>
    </row>
    <row r="12">
      <c r="A12" s="52" t="s">
        <v>486</v>
      </c>
      <c r="B12" s="52" t="s">
        <v>8974</v>
      </c>
      <c r="C12" s="53">
        <f>AVERAGE(C13:C19)</f>
        <v>61.44314947</v>
      </c>
      <c r="D12" s="54">
        <f t="shared" ref="D12:V12" si="5">SUM(D13:D19)</f>
        <v>112</v>
      </c>
      <c r="E12" s="54">
        <f t="shared" si="5"/>
        <v>132</v>
      </c>
      <c r="F12" s="54">
        <f t="shared" si="5"/>
        <v>106</v>
      </c>
      <c r="G12" s="54">
        <f t="shared" si="5"/>
        <v>102</v>
      </c>
      <c r="H12" s="54">
        <f t="shared" si="5"/>
        <v>68</v>
      </c>
      <c r="I12" s="54">
        <f t="shared" si="5"/>
        <v>43</v>
      </c>
      <c r="J12" s="54">
        <f t="shared" si="5"/>
        <v>0</v>
      </c>
      <c r="K12" s="54">
        <f t="shared" si="5"/>
        <v>0</v>
      </c>
      <c r="L12" s="54">
        <f t="shared" si="5"/>
        <v>0</v>
      </c>
      <c r="M12" s="54">
        <f t="shared" si="5"/>
        <v>0</v>
      </c>
      <c r="N12" s="54">
        <f t="shared" si="5"/>
        <v>0</v>
      </c>
      <c r="O12" s="54">
        <f t="shared" si="5"/>
        <v>0</v>
      </c>
      <c r="P12" s="54">
        <f t="shared" si="5"/>
        <v>0</v>
      </c>
      <c r="Q12" s="54">
        <f t="shared" si="5"/>
        <v>0</v>
      </c>
      <c r="R12" s="54">
        <f t="shared" si="5"/>
        <v>0</v>
      </c>
      <c r="S12" s="54">
        <f t="shared" si="5"/>
        <v>0</v>
      </c>
      <c r="T12" s="54">
        <f t="shared" si="5"/>
        <v>0</v>
      </c>
      <c r="U12" s="54">
        <f t="shared" si="5"/>
        <v>0</v>
      </c>
      <c r="V12" s="54">
        <f t="shared" si="5"/>
        <v>0</v>
      </c>
      <c r="W12" s="55"/>
      <c r="X12" s="55"/>
      <c r="Y12" s="55"/>
      <c r="Z12" s="55"/>
      <c r="AA12" s="55"/>
    </row>
    <row r="13">
      <c r="A13" s="1" t="s">
        <v>474</v>
      </c>
      <c r="B13" s="1" t="s">
        <v>475</v>
      </c>
      <c r="C13" s="56">
        <f>(IFERROR(AVERAGEIFS(data!E:E, data!N:N, 1, data!G:G, $A13:$A1001), "No Match"))/60</f>
        <v>63.45025253</v>
      </c>
      <c r="D13" s="49">
        <f>SUM('Daily FO Productivity'!E13:J13)</f>
        <v>18</v>
      </c>
      <c r="E13" s="49">
        <f>SUM('Daily FO Productivity'!K13:Q13)</f>
        <v>15</v>
      </c>
      <c r="F13" s="49">
        <f>SUM('Daily FO Productivity'!R13:X13)</f>
        <v>13</v>
      </c>
      <c r="G13" s="49">
        <f>SUM('Daily FO Productivity'!Y13:AE13)</f>
        <v>11</v>
      </c>
      <c r="H13" s="49">
        <f>SUM('Daily FO Productivity'!AF13:AL13)</f>
        <v>6</v>
      </c>
      <c r="I13" s="49">
        <f>SUM('Daily FO Productivity'!AM13:AV13)</f>
        <v>3</v>
      </c>
    </row>
    <row r="14">
      <c r="A14" s="1" t="s">
        <v>119</v>
      </c>
      <c r="B14" s="1" t="s">
        <v>120</v>
      </c>
      <c r="C14" s="56">
        <f>(IFERROR(AVERAGEIFS(data!E:E, data!N:N, 1, data!G:G, $A14:$A1001), "No Match"))/60</f>
        <v>56.4518018</v>
      </c>
      <c r="D14" s="49">
        <f>SUM('Daily FO Productivity'!E14:J14)</f>
        <v>16</v>
      </c>
      <c r="E14" s="49">
        <f>SUM('Daily FO Productivity'!K14:Q14)</f>
        <v>18</v>
      </c>
      <c r="F14" s="49">
        <f>SUM('Daily FO Productivity'!R14:X14)</f>
        <v>14</v>
      </c>
      <c r="G14" s="49">
        <f>SUM('Daily FO Productivity'!Y14:AE14)</f>
        <v>14</v>
      </c>
      <c r="H14" s="49">
        <f>SUM('Daily FO Productivity'!AF14:AL14)</f>
        <v>7</v>
      </c>
      <c r="I14" s="49">
        <f>SUM('Daily FO Productivity'!AM14:AV14)</f>
        <v>3</v>
      </c>
    </row>
    <row r="15">
      <c r="A15" s="1" t="s">
        <v>191</v>
      </c>
      <c r="B15" s="1" t="s">
        <v>192</v>
      </c>
      <c r="C15" s="56">
        <f>(IFERROR(AVERAGEIFS(data!E:E, data!N:N, 1, data!G:G, $A15:$A1001), "No Match"))/60</f>
        <v>49.31666667</v>
      </c>
      <c r="D15" s="49">
        <f>SUM('Daily FO Productivity'!E15:J15)</f>
        <v>15</v>
      </c>
      <c r="E15" s="49">
        <f>SUM('Daily FO Productivity'!K15:Q15)</f>
        <v>20</v>
      </c>
      <c r="F15" s="49">
        <f>SUM('Daily FO Productivity'!R15:X15)</f>
        <v>15</v>
      </c>
      <c r="G15" s="49">
        <f>SUM('Daily FO Productivity'!Y15:AE15)</f>
        <v>13</v>
      </c>
      <c r="H15" s="49">
        <f>SUM('Daily FO Productivity'!AF15:AL15)</f>
        <v>8</v>
      </c>
      <c r="I15" s="49">
        <f>SUM('Daily FO Productivity'!AM15:AV15)</f>
        <v>4</v>
      </c>
    </row>
    <row r="16">
      <c r="A16" s="1" t="s">
        <v>107</v>
      </c>
      <c r="B16" s="1" t="s">
        <v>108</v>
      </c>
      <c r="C16" s="56">
        <f>(IFERROR(AVERAGEIFS(data!E:E, data!N:N, 1, data!G:G, $A16:$A1001), "No Match"))/60</f>
        <v>59.46559829</v>
      </c>
      <c r="D16" s="49">
        <f>SUM('Daily FO Productivity'!E16:J16)</f>
        <v>15</v>
      </c>
      <c r="E16" s="49">
        <f>SUM('Daily FO Productivity'!K16:Q16)</f>
        <v>20</v>
      </c>
      <c r="F16" s="49">
        <f>SUM('Daily FO Productivity'!R16:X16)</f>
        <v>16</v>
      </c>
      <c r="G16" s="49">
        <f>SUM('Daily FO Productivity'!Y16:AE16)</f>
        <v>13</v>
      </c>
      <c r="H16" s="49">
        <f>SUM('Daily FO Productivity'!AF16:AL16)</f>
        <v>7</v>
      </c>
      <c r="I16" s="49">
        <f>SUM('Daily FO Productivity'!AM16:AV16)</f>
        <v>5</v>
      </c>
    </row>
    <row r="17">
      <c r="A17" s="1" t="s">
        <v>208</v>
      </c>
      <c r="B17" s="1" t="s">
        <v>209</v>
      </c>
      <c r="C17" s="56">
        <f>(IFERROR(AVERAGEIFS(data!E:E, data!N:N, 1, data!G:G, $A17:$A1001), "No Match"))/60</f>
        <v>68.40942761</v>
      </c>
      <c r="D17" s="49">
        <f>SUM('Daily FO Productivity'!E17:J17)</f>
        <v>16</v>
      </c>
      <c r="E17" s="49">
        <f>SUM('Daily FO Productivity'!K17:Q17)</f>
        <v>21</v>
      </c>
      <c r="F17" s="49">
        <f>SUM('Daily FO Productivity'!R17:X17)</f>
        <v>15</v>
      </c>
      <c r="G17" s="49">
        <f>SUM('Daily FO Productivity'!Y17:AE17)</f>
        <v>21</v>
      </c>
      <c r="H17" s="49">
        <f>SUM('Daily FO Productivity'!AF17:AL17)</f>
        <v>15</v>
      </c>
      <c r="I17" s="49">
        <f>SUM('Daily FO Productivity'!AM17:AV17)</f>
        <v>11</v>
      </c>
    </row>
    <row r="18">
      <c r="A18" s="1" t="s">
        <v>57</v>
      </c>
      <c r="B18" s="1" t="s">
        <v>58</v>
      </c>
      <c r="C18" s="56">
        <f>(IFERROR(AVERAGEIFS(data!E:E, data!N:N, 1, data!G:G, $A18:$A1001), "No Match"))/60</f>
        <v>58.33901099</v>
      </c>
      <c r="D18" s="49">
        <f>SUM('Daily FO Productivity'!E18:J18)</f>
        <v>17</v>
      </c>
      <c r="E18" s="49">
        <f>SUM('Daily FO Productivity'!K18:Q18)</f>
        <v>19</v>
      </c>
      <c r="F18" s="49">
        <f>SUM('Daily FO Productivity'!R18:X18)</f>
        <v>17</v>
      </c>
      <c r="G18" s="49">
        <f>SUM('Daily FO Productivity'!Y18:AE18)</f>
        <v>15</v>
      </c>
      <c r="H18" s="49">
        <f>SUM('Daily FO Productivity'!AF18:AL18)</f>
        <v>13</v>
      </c>
      <c r="I18" s="49">
        <f>SUM('Daily FO Productivity'!AM18:AV18)</f>
        <v>7</v>
      </c>
    </row>
    <row r="19">
      <c r="A19" s="1" t="s">
        <v>260</v>
      </c>
      <c r="B19" s="1" t="s">
        <v>261</v>
      </c>
      <c r="C19" s="56">
        <f>(IFERROR(AVERAGEIFS(data!E:E, data!N:N, 1, data!G:G, $A19:$A1001), "No Match"))/60</f>
        <v>74.66928839</v>
      </c>
      <c r="D19" s="49">
        <f>SUM('Daily FO Productivity'!E19:J19)</f>
        <v>15</v>
      </c>
      <c r="E19" s="49">
        <f>SUM('Daily FO Productivity'!K19:Q19)</f>
        <v>19</v>
      </c>
      <c r="F19" s="49">
        <f>SUM('Daily FO Productivity'!R19:X19)</f>
        <v>16</v>
      </c>
      <c r="G19" s="49">
        <f>SUM('Daily FO Productivity'!Y19:AE19)</f>
        <v>15</v>
      </c>
      <c r="H19" s="49">
        <f>SUM('Daily FO Productivity'!AF19:AL19)</f>
        <v>12</v>
      </c>
      <c r="I19" s="49">
        <f>SUM('Daily FO Productivity'!AM19:AV19)</f>
        <v>10</v>
      </c>
    </row>
    <row r="20">
      <c r="A20" s="52" t="s">
        <v>1051</v>
      </c>
      <c r="B20" s="52" t="s">
        <v>8975</v>
      </c>
      <c r="C20" s="53">
        <f>AVERAGE(C21:C26)</f>
        <v>56.95095738</v>
      </c>
      <c r="D20" s="54">
        <f t="shared" ref="D20:AA20" si="6">SUM(D21:D26)</f>
        <v>95</v>
      </c>
      <c r="E20" s="54">
        <f t="shared" si="6"/>
        <v>127</v>
      </c>
      <c r="F20" s="54">
        <f t="shared" si="6"/>
        <v>106</v>
      </c>
      <c r="G20" s="54">
        <f t="shared" si="6"/>
        <v>103</v>
      </c>
      <c r="H20" s="54">
        <f t="shared" si="6"/>
        <v>70</v>
      </c>
      <c r="I20" s="54">
        <f t="shared" si="6"/>
        <v>20</v>
      </c>
      <c r="J20" s="54">
        <f t="shared" si="6"/>
        <v>0</v>
      </c>
      <c r="K20" s="54">
        <f t="shared" si="6"/>
        <v>0</v>
      </c>
      <c r="L20" s="54">
        <f t="shared" si="6"/>
        <v>0</v>
      </c>
      <c r="M20" s="54">
        <f t="shared" si="6"/>
        <v>0</v>
      </c>
      <c r="N20" s="54">
        <f t="shared" si="6"/>
        <v>0</v>
      </c>
      <c r="O20" s="54">
        <f t="shared" si="6"/>
        <v>0</v>
      </c>
      <c r="P20" s="54">
        <f t="shared" si="6"/>
        <v>0</v>
      </c>
      <c r="Q20" s="54">
        <f t="shared" si="6"/>
        <v>0</v>
      </c>
      <c r="R20" s="54">
        <f t="shared" si="6"/>
        <v>0</v>
      </c>
      <c r="S20" s="54">
        <f t="shared" si="6"/>
        <v>0</v>
      </c>
      <c r="T20" s="54">
        <f t="shared" si="6"/>
        <v>0</v>
      </c>
      <c r="U20" s="54">
        <f t="shared" si="6"/>
        <v>0</v>
      </c>
      <c r="V20" s="54">
        <f t="shared" si="6"/>
        <v>0</v>
      </c>
      <c r="W20" s="54">
        <f t="shared" si="6"/>
        <v>0</v>
      </c>
      <c r="X20" s="54">
        <f t="shared" si="6"/>
        <v>0</v>
      </c>
      <c r="Y20" s="54">
        <f t="shared" si="6"/>
        <v>0</v>
      </c>
      <c r="Z20" s="54">
        <f t="shared" si="6"/>
        <v>0</v>
      </c>
      <c r="AA20" s="54">
        <f t="shared" si="6"/>
        <v>0</v>
      </c>
    </row>
    <row r="21">
      <c r="A21" s="1" t="s">
        <v>8976</v>
      </c>
      <c r="B21" s="1" t="s">
        <v>8977</v>
      </c>
      <c r="C21" s="56">
        <f>IFERROR(__xludf.DUMMYFUNCTION("IFERROR(AVERAGE(FILTER(data!E:E, (data!N:N=1) * ((data!G:G=$A21) + (data!G:G=859767))))/60, ""No Match"")"),73.7014184397163)</f>
        <v>73.70141844</v>
      </c>
      <c r="D21" s="49">
        <f>SUM('Daily FO Productivity'!E21:J21)</f>
        <v>17</v>
      </c>
      <c r="E21" s="49">
        <f>SUM('Daily FO Productivity'!K21:Q21)</f>
        <v>20</v>
      </c>
      <c r="F21" s="49">
        <f>SUM('Daily FO Productivity'!R21:X21)</f>
        <v>16</v>
      </c>
      <c r="G21" s="49">
        <f>SUM('Daily FO Productivity'!Y21:AE21)</f>
        <v>17</v>
      </c>
      <c r="H21" s="49">
        <f>SUM('Daily FO Productivity'!AF21:AL21)</f>
        <v>11</v>
      </c>
      <c r="I21" s="49">
        <f>SUM('Daily FO Productivity'!AM21:AV21)</f>
        <v>5</v>
      </c>
    </row>
    <row r="22">
      <c r="A22" s="1" t="s">
        <v>304</v>
      </c>
      <c r="B22" s="1" t="s">
        <v>272</v>
      </c>
      <c r="C22" s="56">
        <f>(IFERROR(AVERAGEIFS(data!E:E, data!N:N, 1, data!G:G, $A22:$A1001), "No Match"))/60</f>
        <v>59.70913978</v>
      </c>
      <c r="D22" s="49">
        <f>SUM('Daily FO Productivity'!E22:J22)</f>
        <v>14</v>
      </c>
      <c r="E22" s="49">
        <f>SUM('Daily FO Productivity'!K22:Q22)</f>
        <v>21</v>
      </c>
      <c r="F22" s="49">
        <f>SUM('Daily FO Productivity'!R22:X22)</f>
        <v>16</v>
      </c>
      <c r="G22" s="49">
        <f>SUM('Daily FO Productivity'!Y22:AE22)</f>
        <v>16</v>
      </c>
      <c r="H22" s="49">
        <f>SUM('Daily FO Productivity'!AF22:AL22)</f>
        <v>13</v>
      </c>
      <c r="I22" s="49">
        <f>SUM('Daily FO Productivity'!AM22:AV22)</f>
        <v>7</v>
      </c>
    </row>
    <row r="23">
      <c r="A23" s="1" t="s">
        <v>8978</v>
      </c>
      <c r="B23" s="1" t="s">
        <v>8979</v>
      </c>
      <c r="C23" s="56">
        <f>IFERROR(__xludf.DUMMYFUNCTION("IFERROR(AVERAGE(FILTER(data!E:E, (data!N:N=1) * ((data!G:G=$A23) + (data!G:G=729375))))/60, ""No Match"")"),40.33203703703704)</f>
        <v>40.33203704</v>
      </c>
      <c r="D23" s="49">
        <f>SUM('Daily FO Productivity'!E23:J23)</f>
        <v>15</v>
      </c>
      <c r="E23" s="49">
        <f>SUM('Daily FO Productivity'!K23:Q23)</f>
        <v>20</v>
      </c>
      <c r="F23" s="49">
        <f>SUM('Daily FO Productivity'!R23:X23)</f>
        <v>15</v>
      </c>
      <c r="G23" s="49">
        <f>SUM('Daily FO Productivity'!Y23:AE23)</f>
        <v>16</v>
      </c>
      <c r="H23" s="49">
        <f>SUM('Daily FO Productivity'!AF23:AL23)</f>
        <v>15</v>
      </c>
      <c r="I23" s="49">
        <f>SUM('Daily FO Productivity'!AM23:AV23)</f>
        <v>3</v>
      </c>
    </row>
    <row r="24">
      <c r="A24" s="1" t="s">
        <v>8980</v>
      </c>
      <c r="B24" s="1" t="s">
        <v>8981</v>
      </c>
      <c r="C24" s="56">
        <f>IFERROR(__xludf.DUMMYFUNCTION("IFERROR(AVERAGE(FILTER(data!E:E, (data!N:N=1) * ((data!G:G=$A24) + (data!G:G=555127))))/60, ""No Match"")"),58.620609318996415)</f>
        <v>58.62060932</v>
      </c>
      <c r="D24" s="49">
        <f>SUM('Daily FO Productivity'!E24:J24)</f>
        <v>16</v>
      </c>
      <c r="E24" s="49">
        <f>SUM('Daily FO Productivity'!K24:Q24)</f>
        <v>22</v>
      </c>
      <c r="F24" s="49">
        <f>SUM('Daily FO Productivity'!R24:X24)</f>
        <v>20</v>
      </c>
      <c r="G24" s="49">
        <f>SUM('Daily FO Productivity'!Y24:AE24)</f>
        <v>18</v>
      </c>
      <c r="H24" s="49">
        <f>SUM('Daily FO Productivity'!AF24:AL24)</f>
        <v>11</v>
      </c>
      <c r="I24" s="49">
        <f>SUM('Daily FO Productivity'!AM24:AV24)</f>
        <v>2</v>
      </c>
    </row>
    <row r="25">
      <c r="A25" s="1" t="s">
        <v>8982</v>
      </c>
      <c r="B25" s="1" t="s">
        <v>69</v>
      </c>
      <c r="C25" s="56">
        <f>IFERROR(__xludf.DUMMYFUNCTION("IFERROR(AVERAGE(FILTER(data!E:E, (data!N:N=1) * ((data!G:G=$A25) + (data!G:G=455939))))/60, ""No Match"")"),48.47142857142857)</f>
        <v>48.47142857</v>
      </c>
      <c r="D25" s="49">
        <f>SUM('Daily FO Productivity'!E25:J25)</f>
        <v>17</v>
      </c>
      <c r="E25" s="49">
        <f>SUM('Daily FO Productivity'!K25:Q25)</f>
        <v>22</v>
      </c>
      <c r="F25" s="49">
        <f>SUM('Daily FO Productivity'!R25:X25)</f>
        <v>20</v>
      </c>
      <c r="G25" s="49">
        <f>SUM('Daily FO Productivity'!Y25:AE25)</f>
        <v>18</v>
      </c>
      <c r="H25" s="49">
        <f>SUM('Daily FO Productivity'!AF25:AL25)</f>
        <v>10</v>
      </c>
      <c r="I25" s="49">
        <f>SUM('Daily FO Productivity'!AM25:AV25)</f>
        <v>1</v>
      </c>
    </row>
    <row r="26">
      <c r="A26" s="1" t="s">
        <v>8983</v>
      </c>
      <c r="B26" s="1" t="s">
        <v>8984</v>
      </c>
      <c r="C26" s="56">
        <f>IFERROR(__xludf.DUMMYFUNCTION("IFERROR(AVERAGE(FILTER(data!E:E, (data!N:N=1) * ((data!G:G=$A26) + (data!G:G=841329))))/60, ""No Match"")"),60.87111111111111)</f>
        <v>60.87111111</v>
      </c>
      <c r="D26" s="49">
        <f>SUM('Daily FO Productivity'!E26:J26)</f>
        <v>16</v>
      </c>
      <c r="E26" s="49">
        <f>SUM('Daily FO Productivity'!K26:Q26)</f>
        <v>22</v>
      </c>
      <c r="F26" s="49">
        <f>SUM('Daily FO Productivity'!R26:X26)</f>
        <v>19</v>
      </c>
      <c r="G26" s="49">
        <f>SUM('Daily FO Productivity'!Y26:AE26)</f>
        <v>18</v>
      </c>
      <c r="H26" s="49">
        <f>SUM('Daily FO Productivity'!AF26:AL26)</f>
        <v>10</v>
      </c>
      <c r="I26" s="49">
        <f>SUM('Daily FO Productivity'!AM26:AV26)</f>
        <v>2</v>
      </c>
    </row>
    <row r="27">
      <c r="C27" s="57"/>
      <c r="I27" s="49"/>
    </row>
    <row r="28">
      <c r="C28" s="57"/>
      <c r="I28" s="49"/>
    </row>
    <row r="29">
      <c r="C29" s="57"/>
      <c r="I29" s="49"/>
    </row>
    <row r="30">
      <c r="C30" s="57"/>
      <c r="I30" s="49"/>
    </row>
    <row r="31">
      <c r="C31" s="57"/>
      <c r="I31" s="49"/>
    </row>
    <row r="32">
      <c r="C32" s="57"/>
      <c r="I32" s="49"/>
    </row>
    <row r="33">
      <c r="C33" s="57"/>
      <c r="I33" s="49"/>
    </row>
    <row r="34">
      <c r="C34" s="57"/>
      <c r="I34" s="49"/>
    </row>
    <row r="35">
      <c r="C35" s="57"/>
      <c r="I35" s="49"/>
    </row>
    <row r="36">
      <c r="C36" s="57"/>
      <c r="I36" s="49"/>
    </row>
    <row r="37">
      <c r="C37" s="57"/>
      <c r="I37" s="49"/>
    </row>
    <row r="38">
      <c r="C38" s="57"/>
      <c r="I38" s="49"/>
    </row>
    <row r="39">
      <c r="C39" s="57"/>
      <c r="I39" s="49"/>
    </row>
    <row r="40">
      <c r="C40" s="57"/>
      <c r="I40" s="49"/>
    </row>
    <row r="41">
      <c r="C41" s="57"/>
      <c r="I41" s="49"/>
    </row>
    <row r="42">
      <c r="C42" s="57"/>
      <c r="I42" s="49"/>
    </row>
    <row r="43">
      <c r="C43" s="57"/>
      <c r="I43" s="49"/>
    </row>
    <row r="44">
      <c r="C44" s="57"/>
      <c r="I44" s="49"/>
    </row>
    <row r="45">
      <c r="C45" s="57"/>
      <c r="I45" s="49"/>
    </row>
    <row r="46">
      <c r="C46" s="57"/>
      <c r="I46" s="49"/>
    </row>
    <row r="47">
      <c r="C47" s="57"/>
      <c r="I47" s="49"/>
    </row>
    <row r="48">
      <c r="C48" s="57"/>
      <c r="I48" s="49"/>
    </row>
    <row r="49">
      <c r="C49" s="57"/>
      <c r="I49" s="49"/>
    </row>
    <row r="50">
      <c r="C50" s="57"/>
      <c r="I50" s="49"/>
    </row>
    <row r="51">
      <c r="C51" s="57"/>
      <c r="I51" s="49"/>
    </row>
    <row r="52">
      <c r="C52" s="57"/>
      <c r="I52" s="49"/>
    </row>
    <row r="53">
      <c r="C53" s="57"/>
      <c r="I53" s="49"/>
    </row>
    <row r="54">
      <c r="C54" s="57"/>
      <c r="I54" s="49"/>
    </row>
    <row r="55">
      <c r="C55" s="57"/>
      <c r="I55" s="49"/>
    </row>
    <row r="56">
      <c r="C56" s="57"/>
      <c r="I56" s="49"/>
    </row>
    <row r="57">
      <c r="C57" s="57"/>
      <c r="I57" s="49"/>
    </row>
    <row r="58">
      <c r="C58" s="57"/>
      <c r="I58" s="49"/>
    </row>
    <row r="59">
      <c r="C59" s="57"/>
      <c r="I59" s="49"/>
    </row>
    <row r="60">
      <c r="C60" s="57"/>
      <c r="I60" s="49"/>
    </row>
    <row r="61">
      <c r="C61" s="57"/>
      <c r="I61" s="49"/>
    </row>
    <row r="62">
      <c r="C62" s="57"/>
      <c r="I62" s="49"/>
    </row>
    <row r="63">
      <c r="C63" s="57"/>
      <c r="I63" s="49"/>
    </row>
    <row r="64">
      <c r="C64" s="57"/>
      <c r="I64" s="49"/>
    </row>
    <row r="65">
      <c r="C65" s="57"/>
      <c r="I65" s="49"/>
    </row>
    <row r="66">
      <c r="C66" s="57"/>
      <c r="I66" s="49"/>
    </row>
    <row r="67">
      <c r="C67" s="57"/>
      <c r="I67" s="49"/>
    </row>
    <row r="68">
      <c r="C68" s="57"/>
      <c r="I68" s="49"/>
    </row>
    <row r="69">
      <c r="C69" s="57"/>
      <c r="I69" s="49"/>
    </row>
    <row r="70">
      <c r="C70" s="57"/>
      <c r="I70" s="49"/>
    </row>
    <row r="71">
      <c r="C71" s="57"/>
      <c r="I71" s="49"/>
    </row>
    <row r="72">
      <c r="C72" s="57"/>
      <c r="I72" s="49"/>
    </row>
    <row r="73">
      <c r="C73" s="57"/>
      <c r="I73" s="49"/>
    </row>
    <row r="74">
      <c r="C74" s="57"/>
      <c r="I74" s="49"/>
    </row>
    <row r="75">
      <c r="C75" s="57"/>
      <c r="I75" s="49"/>
    </row>
    <row r="76">
      <c r="C76" s="57"/>
      <c r="I76" s="49"/>
    </row>
    <row r="77">
      <c r="C77" s="57"/>
      <c r="I77" s="49"/>
    </row>
    <row r="78">
      <c r="C78" s="57"/>
      <c r="I78" s="49"/>
    </row>
    <row r="79">
      <c r="C79" s="57"/>
      <c r="I79" s="49"/>
    </row>
    <row r="80">
      <c r="C80" s="57"/>
      <c r="I80" s="49"/>
    </row>
    <row r="81">
      <c r="C81" s="57"/>
      <c r="I81" s="49"/>
    </row>
    <row r="82">
      <c r="C82" s="57"/>
      <c r="I82" s="49"/>
    </row>
    <row r="83">
      <c r="C83" s="57"/>
      <c r="I83" s="49"/>
    </row>
    <row r="84">
      <c r="C84" s="57"/>
      <c r="I84" s="49"/>
    </row>
    <row r="85">
      <c r="C85" s="57"/>
      <c r="I85" s="49"/>
    </row>
    <row r="86">
      <c r="C86" s="57"/>
      <c r="I86" s="49"/>
    </row>
    <row r="87">
      <c r="C87" s="57"/>
      <c r="I87" s="49"/>
    </row>
    <row r="88">
      <c r="C88" s="57"/>
      <c r="I88" s="49"/>
    </row>
    <row r="89">
      <c r="C89" s="57"/>
      <c r="I89" s="49"/>
    </row>
    <row r="90">
      <c r="C90" s="57"/>
      <c r="I90" s="49"/>
    </row>
    <row r="91">
      <c r="C91" s="57"/>
      <c r="I91" s="49"/>
    </row>
    <row r="92">
      <c r="C92" s="57"/>
      <c r="I92" s="49"/>
    </row>
    <row r="93">
      <c r="C93" s="57"/>
      <c r="I93" s="49"/>
    </row>
    <row r="94">
      <c r="C94" s="57"/>
      <c r="I94" s="49"/>
    </row>
    <row r="95">
      <c r="C95" s="57"/>
      <c r="I95" s="49"/>
    </row>
    <row r="96">
      <c r="C96" s="57"/>
      <c r="I96" s="49"/>
    </row>
    <row r="97">
      <c r="C97" s="57"/>
      <c r="I97" s="49"/>
    </row>
    <row r="98">
      <c r="C98" s="57"/>
      <c r="I98" s="49"/>
    </row>
    <row r="99">
      <c r="C99" s="57"/>
      <c r="I99" s="49"/>
    </row>
    <row r="100">
      <c r="C100" s="57"/>
      <c r="I100" s="49"/>
    </row>
    <row r="101">
      <c r="C101" s="57"/>
      <c r="I101" s="49"/>
    </row>
    <row r="102">
      <c r="C102" s="57"/>
      <c r="I102" s="49"/>
    </row>
    <row r="103">
      <c r="C103" s="57"/>
      <c r="I103" s="49"/>
    </row>
    <row r="104">
      <c r="C104" s="57"/>
      <c r="I104" s="49"/>
    </row>
    <row r="105">
      <c r="C105" s="57"/>
      <c r="I105" s="49"/>
    </row>
    <row r="106">
      <c r="C106" s="57"/>
      <c r="I106" s="49"/>
    </row>
    <row r="107">
      <c r="C107" s="57"/>
      <c r="I107" s="49"/>
    </row>
    <row r="108">
      <c r="C108" s="57"/>
      <c r="I108" s="49"/>
    </row>
    <row r="109">
      <c r="C109" s="57"/>
      <c r="I109" s="49"/>
    </row>
    <row r="110">
      <c r="C110" s="57"/>
      <c r="I110" s="49"/>
    </row>
    <row r="111">
      <c r="C111" s="57"/>
      <c r="I111" s="49"/>
    </row>
    <row r="112">
      <c r="C112" s="57"/>
      <c r="I112" s="49"/>
    </row>
    <row r="113">
      <c r="C113" s="57"/>
      <c r="I113" s="49"/>
    </row>
    <row r="114">
      <c r="C114" s="57"/>
      <c r="I114" s="49"/>
    </row>
    <row r="115">
      <c r="C115" s="57"/>
      <c r="I115" s="49"/>
    </row>
    <row r="116">
      <c r="C116" s="57"/>
      <c r="I116" s="49"/>
    </row>
    <row r="117">
      <c r="C117" s="57"/>
      <c r="I117" s="49"/>
    </row>
    <row r="118">
      <c r="C118" s="57"/>
      <c r="I118" s="49"/>
    </row>
    <row r="119">
      <c r="C119" s="57"/>
      <c r="I119" s="49"/>
    </row>
    <row r="120">
      <c r="C120" s="57"/>
      <c r="I120" s="49"/>
    </row>
    <row r="121">
      <c r="C121" s="57"/>
      <c r="I121" s="49"/>
    </row>
    <row r="122">
      <c r="C122" s="57"/>
      <c r="I122" s="49"/>
    </row>
    <row r="123">
      <c r="C123" s="57"/>
      <c r="I123" s="49"/>
    </row>
    <row r="124">
      <c r="C124" s="57"/>
      <c r="I124" s="49"/>
    </row>
    <row r="125">
      <c r="C125" s="57"/>
      <c r="I125" s="49"/>
    </row>
    <row r="126">
      <c r="C126" s="57"/>
      <c r="I126" s="49"/>
    </row>
    <row r="127">
      <c r="C127" s="57"/>
      <c r="I127" s="49"/>
    </row>
    <row r="128">
      <c r="C128" s="57"/>
      <c r="I128" s="49"/>
    </row>
    <row r="129">
      <c r="C129" s="57"/>
      <c r="I129" s="49"/>
    </row>
    <row r="130">
      <c r="C130" s="57"/>
      <c r="I130" s="49"/>
    </row>
    <row r="131">
      <c r="C131" s="57"/>
      <c r="I131" s="49"/>
    </row>
    <row r="132">
      <c r="C132" s="57"/>
      <c r="I132" s="49"/>
    </row>
    <row r="133">
      <c r="C133" s="57"/>
      <c r="I133" s="49"/>
    </row>
    <row r="134">
      <c r="C134" s="57"/>
      <c r="I134" s="49"/>
    </row>
    <row r="135">
      <c r="C135" s="57"/>
      <c r="I135" s="49"/>
    </row>
    <row r="136">
      <c r="C136" s="57"/>
      <c r="I136" s="49"/>
    </row>
    <row r="137">
      <c r="C137" s="57"/>
      <c r="I137" s="49"/>
    </row>
    <row r="138">
      <c r="C138" s="57"/>
      <c r="I138" s="49"/>
    </row>
    <row r="139">
      <c r="C139" s="57"/>
      <c r="I139" s="49"/>
    </row>
    <row r="140">
      <c r="C140" s="57"/>
      <c r="I140" s="49"/>
    </row>
    <row r="141">
      <c r="C141" s="57"/>
      <c r="I141" s="49"/>
    </row>
    <row r="142">
      <c r="C142" s="57"/>
      <c r="I142" s="49"/>
    </row>
    <row r="143">
      <c r="C143" s="57"/>
      <c r="I143" s="49"/>
    </row>
    <row r="144">
      <c r="C144" s="57"/>
      <c r="I144" s="49"/>
    </row>
    <row r="145">
      <c r="C145" s="57"/>
      <c r="I145" s="49"/>
    </row>
    <row r="146">
      <c r="C146" s="57"/>
      <c r="I146" s="49"/>
    </row>
    <row r="147">
      <c r="C147" s="57"/>
      <c r="I147" s="49"/>
    </row>
    <row r="148">
      <c r="C148" s="57"/>
      <c r="I148" s="49"/>
    </row>
    <row r="149">
      <c r="C149" s="57"/>
      <c r="I149" s="49"/>
    </row>
    <row r="150">
      <c r="C150" s="57"/>
      <c r="I150" s="49"/>
    </row>
    <row r="151">
      <c r="C151" s="57"/>
      <c r="I151" s="49"/>
    </row>
    <row r="152">
      <c r="C152" s="57"/>
      <c r="I152" s="49"/>
    </row>
    <row r="153">
      <c r="C153" s="57"/>
      <c r="I153" s="49"/>
    </row>
    <row r="154">
      <c r="C154" s="57"/>
      <c r="I154" s="49"/>
    </row>
    <row r="155">
      <c r="C155" s="57"/>
      <c r="I155" s="49"/>
    </row>
    <row r="156">
      <c r="C156" s="57"/>
      <c r="I156" s="49"/>
    </row>
    <row r="157">
      <c r="C157" s="57"/>
      <c r="I157" s="49"/>
    </row>
    <row r="158">
      <c r="C158" s="57"/>
      <c r="I158" s="49"/>
    </row>
    <row r="159">
      <c r="C159" s="57"/>
      <c r="I159" s="49"/>
    </row>
    <row r="160">
      <c r="C160" s="57"/>
      <c r="I160" s="49"/>
    </row>
    <row r="161">
      <c r="C161" s="57"/>
      <c r="I161" s="49"/>
    </row>
    <row r="162">
      <c r="C162" s="57"/>
      <c r="I162" s="49"/>
    </row>
    <row r="163">
      <c r="C163" s="57"/>
      <c r="I163" s="49"/>
    </row>
    <row r="164">
      <c r="C164" s="57"/>
      <c r="I164" s="49"/>
    </row>
    <row r="165">
      <c r="C165" s="57"/>
      <c r="I165" s="49"/>
    </row>
    <row r="166">
      <c r="C166" s="57"/>
      <c r="I166" s="49"/>
    </row>
    <row r="167">
      <c r="C167" s="57"/>
      <c r="I167" s="49"/>
    </row>
    <row r="168">
      <c r="C168" s="57"/>
      <c r="I168" s="49"/>
    </row>
    <row r="169">
      <c r="C169" s="57"/>
      <c r="I169" s="49"/>
    </row>
    <row r="170">
      <c r="C170" s="57"/>
      <c r="I170" s="49"/>
    </row>
    <row r="171">
      <c r="C171" s="57"/>
      <c r="I171" s="49"/>
    </row>
    <row r="172">
      <c r="C172" s="57"/>
      <c r="I172" s="49"/>
    </row>
    <row r="173">
      <c r="C173" s="57"/>
      <c r="I173" s="49"/>
    </row>
    <row r="174">
      <c r="C174" s="57"/>
      <c r="I174" s="49"/>
    </row>
    <row r="175">
      <c r="C175" s="57"/>
      <c r="I175" s="49"/>
    </row>
    <row r="176">
      <c r="C176" s="57"/>
      <c r="I176" s="49"/>
    </row>
    <row r="177">
      <c r="C177" s="57"/>
      <c r="I177" s="49"/>
    </row>
    <row r="178">
      <c r="C178" s="57"/>
      <c r="I178" s="49"/>
    </row>
    <row r="179">
      <c r="C179" s="57"/>
      <c r="I179" s="49"/>
    </row>
    <row r="180">
      <c r="C180" s="57"/>
      <c r="I180" s="49"/>
    </row>
    <row r="181">
      <c r="C181" s="57"/>
      <c r="I181" s="49"/>
    </row>
    <row r="182">
      <c r="C182" s="57"/>
      <c r="I182" s="49"/>
    </row>
    <row r="183">
      <c r="C183" s="57"/>
      <c r="I183" s="49"/>
    </row>
    <row r="184">
      <c r="C184" s="57"/>
      <c r="I184" s="49"/>
    </row>
    <row r="185">
      <c r="C185" s="57"/>
      <c r="I185" s="49"/>
    </row>
    <row r="186">
      <c r="C186" s="57"/>
      <c r="I186" s="49"/>
    </row>
    <row r="187">
      <c r="C187" s="57"/>
      <c r="I187" s="49"/>
    </row>
    <row r="188">
      <c r="C188" s="57"/>
      <c r="I188" s="49"/>
    </row>
    <row r="189">
      <c r="C189" s="57"/>
      <c r="I189" s="49"/>
    </row>
    <row r="190">
      <c r="C190" s="57"/>
      <c r="I190" s="49"/>
    </row>
    <row r="191">
      <c r="C191" s="57"/>
      <c r="I191" s="49"/>
    </row>
    <row r="192">
      <c r="C192" s="57"/>
      <c r="I192" s="49"/>
    </row>
    <row r="193">
      <c r="C193" s="57"/>
      <c r="I193" s="49"/>
    </row>
    <row r="194">
      <c r="C194" s="57"/>
      <c r="I194" s="49"/>
    </row>
    <row r="195">
      <c r="C195" s="57"/>
      <c r="I195" s="49"/>
    </row>
    <row r="196">
      <c r="C196" s="57"/>
      <c r="I196" s="49"/>
    </row>
    <row r="197">
      <c r="C197" s="57"/>
      <c r="I197" s="49"/>
    </row>
    <row r="198">
      <c r="C198" s="57"/>
      <c r="I198" s="49"/>
    </row>
    <row r="199">
      <c r="C199" s="57"/>
      <c r="I199" s="49"/>
    </row>
    <row r="200">
      <c r="C200" s="57"/>
      <c r="I200" s="49"/>
    </row>
    <row r="201">
      <c r="C201" s="57"/>
      <c r="I201" s="49"/>
    </row>
    <row r="202">
      <c r="C202" s="57"/>
      <c r="I202" s="49"/>
    </row>
    <row r="203">
      <c r="C203" s="57"/>
      <c r="I203" s="49"/>
    </row>
    <row r="204">
      <c r="C204" s="57"/>
      <c r="I204" s="49"/>
    </row>
    <row r="205">
      <c r="C205" s="57"/>
      <c r="I205" s="49"/>
    </row>
    <row r="206">
      <c r="C206" s="57"/>
      <c r="I206" s="49"/>
    </row>
    <row r="207">
      <c r="C207" s="57"/>
      <c r="I207" s="49"/>
    </row>
    <row r="208">
      <c r="C208" s="57"/>
      <c r="I208" s="49"/>
    </row>
    <row r="209">
      <c r="C209" s="57"/>
      <c r="I209" s="49"/>
    </row>
    <row r="210">
      <c r="C210" s="57"/>
      <c r="I210" s="49"/>
    </row>
    <row r="211">
      <c r="C211" s="57"/>
      <c r="I211" s="49"/>
    </row>
    <row r="212">
      <c r="C212" s="57"/>
      <c r="I212" s="49"/>
    </row>
    <row r="213">
      <c r="C213" s="57"/>
      <c r="I213" s="49"/>
    </row>
    <row r="214">
      <c r="C214" s="57"/>
      <c r="I214" s="49"/>
    </row>
    <row r="215">
      <c r="C215" s="57"/>
      <c r="I215" s="49"/>
    </row>
    <row r="216">
      <c r="C216" s="57"/>
      <c r="I216" s="49"/>
    </row>
    <row r="217">
      <c r="C217" s="57"/>
      <c r="I217" s="49"/>
    </row>
    <row r="218">
      <c r="C218" s="57"/>
      <c r="I218" s="49"/>
    </row>
    <row r="219">
      <c r="C219" s="57"/>
      <c r="I219" s="49"/>
    </row>
    <row r="220">
      <c r="C220" s="57"/>
      <c r="I220" s="49"/>
    </row>
    <row r="221">
      <c r="C221" s="57"/>
      <c r="I221" s="49"/>
    </row>
    <row r="222">
      <c r="C222" s="57"/>
      <c r="I222" s="49"/>
    </row>
    <row r="223">
      <c r="C223" s="57"/>
      <c r="I223" s="49"/>
    </row>
    <row r="224">
      <c r="C224" s="57"/>
      <c r="I224" s="49"/>
    </row>
    <row r="225">
      <c r="C225" s="57"/>
      <c r="I225" s="49"/>
    </row>
    <row r="226">
      <c r="C226" s="57"/>
      <c r="I226" s="49"/>
    </row>
    <row r="227">
      <c r="C227" s="57"/>
      <c r="I227" s="49"/>
    </row>
    <row r="228">
      <c r="C228" s="57"/>
      <c r="I228" s="49"/>
    </row>
    <row r="229">
      <c r="C229" s="57"/>
      <c r="I229" s="49"/>
    </row>
    <row r="230">
      <c r="C230" s="57"/>
      <c r="I230" s="49"/>
    </row>
    <row r="231">
      <c r="C231" s="57"/>
      <c r="I231" s="49"/>
    </row>
    <row r="232">
      <c r="C232" s="57"/>
      <c r="I232" s="49"/>
    </row>
    <row r="233">
      <c r="C233" s="57"/>
      <c r="I233" s="49"/>
    </row>
    <row r="234">
      <c r="C234" s="57"/>
      <c r="I234" s="49"/>
    </row>
    <row r="235">
      <c r="C235" s="57"/>
      <c r="I235" s="49"/>
    </row>
    <row r="236">
      <c r="C236" s="57"/>
      <c r="I236" s="49"/>
    </row>
    <row r="237">
      <c r="C237" s="57"/>
      <c r="I237" s="49"/>
    </row>
    <row r="238">
      <c r="C238" s="57"/>
      <c r="I238" s="49"/>
    </row>
    <row r="239">
      <c r="C239" s="57"/>
      <c r="I239" s="49"/>
    </row>
    <row r="240">
      <c r="C240" s="57"/>
      <c r="I240" s="49"/>
    </row>
    <row r="241">
      <c r="C241" s="57"/>
      <c r="I241" s="49"/>
    </row>
    <row r="242">
      <c r="C242" s="57"/>
      <c r="I242" s="49"/>
    </row>
    <row r="243">
      <c r="C243" s="57"/>
      <c r="I243" s="49"/>
    </row>
    <row r="244">
      <c r="C244" s="57"/>
      <c r="I244" s="49"/>
    </row>
    <row r="245">
      <c r="C245" s="57"/>
      <c r="I245" s="49"/>
    </row>
    <row r="246">
      <c r="C246" s="57"/>
      <c r="I246" s="49"/>
    </row>
    <row r="247">
      <c r="C247" s="57"/>
      <c r="I247" s="49"/>
    </row>
    <row r="248">
      <c r="C248" s="57"/>
      <c r="I248" s="49"/>
    </row>
    <row r="249">
      <c r="C249" s="57"/>
      <c r="I249" s="49"/>
    </row>
    <row r="250">
      <c r="C250" s="57"/>
      <c r="I250" s="49"/>
    </row>
    <row r="251">
      <c r="C251" s="57"/>
      <c r="I251" s="49"/>
    </row>
    <row r="252">
      <c r="C252" s="57"/>
      <c r="I252" s="49"/>
    </row>
    <row r="253">
      <c r="C253" s="57"/>
      <c r="I253" s="49"/>
    </row>
    <row r="254">
      <c r="C254" s="57"/>
      <c r="I254" s="49"/>
    </row>
    <row r="255">
      <c r="C255" s="57"/>
      <c r="I255" s="49"/>
    </row>
    <row r="256">
      <c r="C256" s="57"/>
      <c r="I256" s="49"/>
    </row>
    <row r="257">
      <c r="C257" s="57"/>
      <c r="I257" s="49"/>
    </row>
    <row r="258">
      <c r="C258" s="57"/>
      <c r="I258" s="49"/>
    </row>
    <row r="259">
      <c r="C259" s="57"/>
      <c r="I259" s="49"/>
    </row>
    <row r="260">
      <c r="C260" s="57"/>
      <c r="I260" s="49"/>
    </row>
    <row r="261">
      <c r="C261" s="57"/>
      <c r="I261" s="49"/>
    </row>
    <row r="262">
      <c r="C262" s="57"/>
      <c r="I262" s="49"/>
    </row>
    <row r="263">
      <c r="C263" s="57"/>
      <c r="I263" s="49"/>
    </row>
    <row r="264">
      <c r="C264" s="57"/>
      <c r="I264" s="49"/>
    </row>
    <row r="265">
      <c r="C265" s="57"/>
      <c r="I265" s="49"/>
    </row>
    <row r="266">
      <c r="C266" s="57"/>
      <c r="I266" s="49"/>
    </row>
    <row r="267">
      <c r="C267" s="57"/>
      <c r="I267" s="49"/>
    </row>
    <row r="268">
      <c r="C268" s="57"/>
      <c r="I268" s="49"/>
    </row>
    <row r="269">
      <c r="C269" s="57"/>
      <c r="I269" s="49"/>
    </row>
    <row r="270">
      <c r="C270" s="57"/>
      <c r="I270" s="49"/>
    </row>
    <row r="271">
      <c r="C271" s="57"/>
      <c r="I271" s="49"/>
    </row>
    <row r="272">
      <c r="C272" s="57"/>
      <c r="I272" s="49"/>
    </row>
    <row r="273">
      <c r="C273" s="57"/>
      <c r="I273" s="49"/>
    </row>
    <row r="274">
      <c r="C274" s="57"/>
      <c r="I274" s="49"/>
    </row>
    <row r="275">
      <c r="C275" s="57"/>
      <c r="I275" s="49"/>
    </row>
    <row r="276">
      <c r="C276" s="57"/>
      <c r="I276" s="49"/>
    </row>
    <row r="277">
      <c r="C277" s="57"/>
      <c r="I277" s="49"/>
    </row>
    <row r="278">
      <c r="C278" s="57"/>
      <c r="I278" s="49"/>
    </row>
    <row r="279">
      <c r="C279" s="57"/>
      <c r="I279" s="49"/>
    </row>
    <row r="280">
      <c r="C280" s="57"/>
      <c r="I280" s="49"/>
    </row>
    <row r="281">
      <c r="C281" s="57"/>
      <c r="I281" s="49"/>
    </row>
    <row r="282">
      <c r="C282" s="57"/>
      <c r="I282" s="49"/>
    </row>
    <row r="283">
      <c r="C283" s="57"/>
      <c r="I283" s="49"/>
    </row>
    <row r="284">
      <c r="C284" s="57"/>
      <c r="I284" s="49"/>
    </row>
    <row r="285">
      <c r="C285" s="57"/>
      <c r="I285" s="49"/>
    </row>
    <row r="286">
      <c r="C286" s="57"/>
      <c r="I286" s="49"/>
    </row>
    <row r="287">
      <c r="C287" s="57"/>
      <c r="I287" s="49"/>
    </row>
    <row r="288">
      <c r="C288" s="57"/>
      <c r="I288" s="49"/>
    </row>
    <row r="289">
      <c r="C289" s="57"/>
      <c r="I289" s="49"/>
    </row>
    <row r="290">
      <c r="C290" s="57"/>
      <c r="I290" s="49"/>
    </row>
    <row r="291">
      <c r="C291" s="57"/>
      <c r="I291" s="49"/>
    </row>
    <row r="292">
      <c r="C292" s="57"/>
      <c r="I292" s="49"/>
    </row>
    <row r="293">
      <c r="C293" s="57"/>
      <c r="I293" s="49"/>
    </row>
    <row r="294">
      <c r="C294" s="57"/>
      <c r="I294" s="49"/>
    </row>
    <row r="295">
      <c r="C295" s="57"/>
      <c r="I295" s="49"/>
    </row>
    <row r="296">
      <c r="C296" s="57"/>
      <c r="I296" s="49"/>
    </row>
    <row r="297">
      <c r="C297" s="57"/>
      <c r="I297" s="49"/>
    </row>
    <row r="298">
      <c r="C298" s="57"/>
      <c r="I298" s="49"/>
    </row>
    <row r="299">
      <c r="C299" s="57"/>
      <c r="I299" s="49"/>
    </row>
    <row r="300">
      <c r="C300" s="57"/>
      <c r="I300" s="49"/>
    </row>
    <row r="301">
      <c r="C301" s="57"/>
      <c r="I301" s="49"/>
    </row>
    <row r="302">
      <c r="C302" s="57"/>
      <c r="I302" s="49"/>
    </row>
    <row r="303">
      <c r="C303" s="57"/>
      <c r="I303" s="49"/>
    </row>
    <row r="304">
      <c r="C304" s="57"/>
      <c r="I304" s="49"/>
    </row>
    <row r="305">
      <c r="C305" s="57"/>
      <c r="I305" s="49"/>
    </row>
    <row r="306">
      <c r="C306" s="57"/>
      <c r="I306" s="49"/>
    </row>
    <row r="307">
      <c r="C307" s="57"/>
      <c r="I307" s="49"/>
    </row>
    <row r="308">
      <c r="C308" s="57"/>
      <c r="I308" s="49"/>
    </row>
    <row r="309">
      <c r="C309" s="57"/>
      <c r="I309" s="49"/>
    </row>
    <row r="310">
      <c r="C310" s="57"/>
      <c r="I310" s="49"/>
    </row>
    <row r="311">
      <c r="C311" s="57"/>
      <c r="I311" s="49"/>
    </row>
    <row r="312">
      <c r="C312" s="57"/>
      <c r="I312" s="49"/>
    </row>
    <row r="313">
      <c r="C313" s="57"/>
      <c r="I313" s="49"/>
    </row>
    <row r="314">
      <c r="C314" s="57"/>
      <c r="I314" s="49"/>
    </row>
    <row r="315">
      <c r="C315" s="57"/>
      <c r="I315" s="49"/>
    </row>
    <row r="316">
      <c r="C316" s="57"/>
      <c r="I316" s="49"/>
    </row>
    <row r="317">
      <c r="C317" s="57"/>
      <c r="I317" s="49"/>
    </row>
    <row r="318">
      <c r="C318" s="57"/>
      <c r="I318" s="49"/>
    </row>
    <row r="319">
      <c r="C319" s="57"/>
      <c r="I319" s="49"/>
    </row>
    <row r="320">
      <c r="C320" s="57"/>
      <c r="I320" s="49"/>
    </row>
    <row r="321">
      <c r="C321" s="57"/>
      <c r="I321" s="49"/>
    </row>
    <row r="322">
      <c r="C322" s="57"/>
      <c r="I322" s="49"/>
    </row>
    <row r="323">
      <c r="C323" s="57"/>
      <c r="I323" s="49"/>
    </row>
    <row r="324">
      <c r="C324" s="57"/>
      <c r="I324" s="49"/>
    </row>
    <row r="325">
      <c r="C325" s="57"/>
      <c r="I325" s="49"/>
    </row>
    <row r="326">
      <c r="C326" s="57"/>
      <c r="I326" s="49"/>
    </row>
    <row r="327">
      <c r="C327" s="57"/>
      <c r="I327" s="49"/>
    </row>
    <row r="328">
      <c r="C328" s="57"/>
      <c r="I328" s="49"/>
    </row>
    <row r="329">
      <c r="C329" s="57"/>
      <c r="I329" s="49"/>
    </row>
    <row r="330">
      <c r="C330" s="57"/>
      <c r="I330" s="49"/>
    </row>
    <row r="331">
      <c r="C331" s="57"/>
      <c r="I331" s="49"/>
    </row>
    <row r="332">
      <c r="C332" s="57"/>
      <c r="I332" s="49"/>
    </row>
    <row r="333">
      <c r="C333" s="57"/>
      <c r="I333" s="49"/>
    </row>
    <row r="334">
      <c r="C334" s="57"/>
      <c r="I334" s="49"/>
    </row>
    <row r="335">
      <c r="C335" s="57"/>
      <c r="I335" s="49"/>
    </row>
    <row r="336">
      <c r="C336" s="57"/>
      <c r="I336" s="49"/>
    </row>
    <row r="337">
      <c r="C337" s="57"/>
      <c r="I337" s="49"/>
    </row>
    <row r="338">
      <c r="C338" s="57"/>
      <c r="I338" s="49"/>
    </row>
    <row r="339">
      <c r="C339" s="57"/>
      <c r="I339" s="49"/>
    </row>
    <row r="340">
      <c r="C340" s="57"/>
      <c r="I340" s="49"/>
    </row>
    <row r="341">
      <c r="C341" s="57"/>
      <c r="I341" s="49"/>
    </row>
    <row r="342">
      <c r="C342" s="57"/>
      <c r="I342" s="49"/>
    </row>
    <row r="343">
      <c r="C343" s="57"/>
      <c r="I343" s="49"/>
    </row>
    <row r="344">
      <c r="C344" s="57"/>
      <c r="I344" s="49"/>
    </row>
    <row r="345">
      <c r="C345" s="57"/>
      <c r="I345" s="49"/>
    </row>
    <row r="346">
      <c r="C346" s="57"/>
      <c r="I346" s="49"/>
    </row>
    <row r="347">
      <c r="C347" s="57"/>
      <c r="I347" s="49"/>
    </row>
    <row r="348">
      <c r="C348" s="57"/>
      <c r="I348" s="49"/>
    </row>
    <row r="349">
      <c r="C349" s="57"/>
      <c r="I349" s="49"/>
    </row>
    <row r="350">
      <c r="C350" s="57"/>
      <c r="I350" s="49"/>
    </row>
    <row r="351">
      <c r="C351" s="57"/>
      <c r="I351" s="49"/>
    </row>
    <row r="352">
      <c r="C352" s="57"/>
      <c r="I352" s="49"/>
    </row>
    <row r="353">
      <c r="C353" s="57"/>
      <c r="I353" s="49"/>
    </row>
    <row r="354">
      <c r="C354" s="57"/>
      <c r="I354" s="49"/>
    </row>
    <row r="355">
      <c r="C355" s="57"/>
      <c r="I355" s="49"/>
    </row>
    <row r="356">
      <c r="C356" s="57"/>
      <c r="I356" s="49"/>
    </row>
    <row r="357">
      <c r="C357" s="57"/>
      <c r="I357" s="49"/>
    </row>
    <row r="358">
      <c r="C358" s="57"/>
      <c r="I358" s="49"/>
    </row>
    <row r="359">
      <c r="C359" s="57"/>
      <c r="I359" s="49"/>
    </row>
    <row r="360">
      <c r="C360" s="57"/>
      <c r="I360" s="49"/>
    </row>
    <row r="361">
      <c r="C361" s="57"/>
      <c r="I361" s="49"/>
    </row>
    <row r="362">
      <c r="C362" s="57"/>
      <c r="I362" s="49"/>
    </row>
    <row r="363">
      <c r="C363" s="57"/>
      <c r="I363" s="49"/>
    </row>
    <row r="364">
      <c r="C364" s="57"/>
      <c r="I364" s="49"/>
    </row>
    <row r="365">
      <c r="C365" s="57"/>
      <c r="I365" s="49"/>
    </row>
    <row r="366">
      <c r="C366" s="57"/>
      <c r="I366" s="49"/>
    </row>
    <row r="367">
      <c r="C367" s="57"/>
      <c r="I367" s="49"/>
    </row>
    <row r="368">
      <c r="C368" s="57"/>
      <c r="I368" s="49"/>
    </row>
    <row r="369">
      <c r="C369" s="57"/>
      <c r="I369" s="49"/>
    </row>
    <row r="370">
      <c r="C370" s="57"/>
      <c r="I370" s="49"/>
    </row>
    <row r="371">
      <c r="C371" s="57"/>
      <c r="I371" s="49"/>
    </row>
    <row r="372">
      <c r="C372" s="57"/>
      <c r="I372" s="49"/>
    </row>
    <row r="373">
      <c r="C373" s="57"/>
      <c r="I373" s="49"/>
    </row>
    <row r="374">
      <c r="C374" s="57"/>
      <c r="I374" s="49"/>
    </row>
    <row r="375">
      <c r="C375" s="57"/>
      <c r="I375" s="49"/>
    </row>
    <row r="376">
      <c r="C376" s="57"/>
      <c r="I376" s="49"/>
    </row>
    <row r="377">
      <c r="C377" s="57"/>
      <c r="I377" s="49"/>
    </row>
    <row r="378">
      <c r="C378" s="57"/>
      <c r="I378" s="49"/>
    </row>
    <row r="379">
      <c r="C379" s="57"/>
      <c r="I379" s="49"/>
    </row>
    <row r="380">
      <c r="C380" s="57"/>
      <c r="I380" s="49"/>
    </row>
    <row r="381">
      <c r="C381" s="57"/>
      <c r="I381" s="49"/>
    </row>
    <row r="382">
      <c r="C382" s="57"/>
      <c r="I382" s="49"/>
    </row>
    <row r="383">
      <c r="C383" s="57"/>
      <c r="I383" s="49"/>
    </row>
    <row r="384">
      <c r="C384" s="57"/>
      <c r="I384" s="49"/>
    </row>
    <row r="385">
      <c r="C385" s="57"/>
      <c r="I385" s="49"/>
    </row>
    <row r="386">
      <c r="C386" s="57"/>
      <c r="I386" s="49"/>
    </row>
    <row r="387">
      <c r="C387" s="57"/>
      <c r="I387" s="49"/>
    </row>
    <row r="388">
      <c r="C388" s="57"/>
      <c r="I388" s="49"/>
    </row>
    <row r="389">
      <c r="C389" s="57"/>
      <c r="I389" s="49"/>
    </row>
    <row r="390">
      <c r="C390" s="57"/>
      <c r="I390" s="49"/>
    </row>
    <row r="391">
      <c r="C391" s="57"/>
      <c r="I391" s="49"/>
    </row>
    <row r="392">
      <c r="C392" s="57"/>
      <c r="I392" s="49"/>
    </row>
    <row r="393">
      <c r="C393" s="57"/>
      <c r="I393" s="49"/>
    </row>
    <row r="394">
      <c r="C394" s="57"/>
      <c r="I394" s="49"/>
    </row>
    <row r="395">
      <c r="C395" s="57"/>
      <c r="I395" s="49"/>
    </row>
    <row r="396">
      <c r="C396" s="57"/>
      <c r="I396" s="49"/>
    </row>
    <row r="397">
      <c r="C397" s="57"/>
      <c r="I397" s="49"/>
    </row>
    <row r="398">
      <c r="C398" s="57"/>
      <c r="I398" s="49"/>
    </row>
    <row r="399">
      <c r="C399" s="57"/>
      <c r="I399" s="49"/>
    </row>
    <row r="400">
      <c r="C400" s="57"/>
      <c r="I400" s="49"/>
    </row>
    <row r="401">
      <c r="C401" s="57"/>
      <c r="I401" s="49"/>
    </row>
    <row r="402">
      <c r="C402" s="57"/>
      <c r="I402" s="49"/>
    </row>
    <row r="403">
      <c r="C403" s="57"/>
      <c r="I403" s="49"/>
    </row>
    <row r="404">
      <c r="C404" s="57"/>
      <c r="I404" s="49"/>
    </row>
    <row r="405">
      <c r="C405" s="57"/>
      <c r="I405" s="49"/>
    </row>
    <row r="406">
      <c r="C406" s="57"/>
      <c r="I406" s="49"/>
    </row>
    <row r="407">
      <c r="C407" s="57"/>
      <c r="I407" s="49"/>
    </row>
    <row r="408">
      <c r="C408" s="57"/>
      <c r="I408" s="49"/>
    </row>
    <row r="409">
      <c r="C409" s="57"/>
      <c r="I409" s="49"/>
    </row>
    <row r="410">
      <c r="C410" s="57"/>
      <c r="I410" s="49"/>
    </row>
    <row r="411">
      <c r="C411" s="57"/>
      <c r="I411" s="49"/>
    </row>
    <row r="412">
      <c r="C412" s="57"/>
      <c r="I412" s="49"/>
    </row>
    <row r="413">
      <c r="C413" s="57"/>
      <c r="I413" s="49"/>
    </row>
    <row r="414">
      <c r="C414" s="57"/>
      <c r="I414" s="49"/>
    </row>
    <row r="415">
      <c r="C415" s="57"/>
      <c r="I415" s="49"/>
    </row>
    <row r="416">
      <c r="C416" s="57"/>
      <c r="I416" s="49"/>
    </row>
    <row r="417">
      <c r="C417" s="57"/>
      <c r="I417" s="49"/>
    </row>
    <row r="418">
      <c r="C418" s="57"/>
      <c r="I418" s="49"/>
    </row>
    <row r="419">
      <c r="C419" s="57"/>
      <c r="I419" s="49"/>
    </row>
    <row r="420">
      <c r="C420" s="57"/>
      <c r="I420" s="49"/>
    </row>
    <row r="421">
      <c r="C421" s="57"/>
      <c r="I421" s="49"/>
    </row>
    <row r="422">
      <c r="C422" s="57"/>
      <c r="I422" s="49"/>
    </row>
    <row r="423">
      <c r="C423" s="57"/>
      <c r="I423" s="49"/>
    </row>
    <row r="424">
      <c r="C424" s="57"/>
      <c r="I424" s="49"/>
    </row>
    <row r="425">
      <c r="C425" s="57"/>
      <c r="I425" s="49"/>
    </row>
    <row r="426">
      <c r="C426" s="57"/>
      <c r="I426" s="49"/>
    </row>
    <row r="427">
      <c r="C427" s="57"/>
      <c r="I427" s="49"/>
    </row>
    <row r="428">
      <c r="C428" s="57"/>
      <c r="I428" s="49"/>
    </row>
    <row r="429">
      <c r="C429" s="57"/>
      <c r="I429" s="49"/>
    </row>
    <row r="430">
      <c r="C430" s="57"/>
      <c r="I430" s="49"/>
    </row>
    <row r="431">
      <c r="C431" s="57"/>
      <c r="I431" s="49"/>
    </row>
    <row r="432">
      <c r="C432" s="57"/>
      <c r="I432" s="49"/>
    </row>
    <row r="433">
      <c r="C433" s="57"/>
      <c r="I433" s="49"/>
    </row>
    <row r="434">
      <c r="C434" s="57"/>
      <c r="I434" s="49"/>
    </row>
    <row r="435">
      <c r="C435" s="57"/>
      <c r="I435" s="49"/>
    </row>
    <row r="436">
      <c r="C436" s="57"/>
      <c r="I436" s="49"/>
    </row>
    <row r="437">
      <c r="C437" s="57"/>
      <c r="I437" s="49"/>
    </row>
    <row r="438">
      <c r="C438" s="57"/>
      <c r="I438" s="49"/>
    </row>
    <row r="439">
      <c r="C439" s="57"/>
      <c r="I439" s="49"/>
    </row>
    <row r="440">
      <c r="C440" s="57"/>
      <c r="I440" s="49"/>
    </row>
    <row r="441">
      <c r="C441" s="57"/>
      <c r="I441" s="49"/>
    </row>
    <row r="442">
      <c r="C442" s="57"/>
      <c r="I442" s="49"/>
    </row>
    <row r="443">
      <c r="C443" s="57"/>
      <c r="I443" s="49"/>
    </row>
    <row r="444">
      <c r="C444" s="57"/>
      <c r="I444" s="49"/>
    </row>
    <row r="445">
      <c r="C445" s="57"/>
      <c r="I445" s="49"/>
    </row>
    <row r="446">
      <c r="C446" s="57"/>
      <c r="I446" s="49"/>
    </row>
    <row r="447">
      <c r="C447" s="57"/>
      <c r="I447" s="49"/>
    </row>
    <row r="448">
      <c r="C448" s="57"/>
      <c r="I448" s="49"/>
    </row>
    <row r="449">
      <c r="C449" s="57"/>
      <c r="I449" s="49"/>
    </row>
    <row r="450">
      <c r="C450" s="57"/>
      <c r="I450" s="49"/>
    </row>
    <row r="451">
      <c r="C451" s="57"/>
      <c r="I451" s="49"/>
    </row>
    <row r="452">
      <c r="C452" s="57"/>
      <c r="I452" s="49"/>
    </row>
    <row r="453">
      <c r="C453" s="57"/>
      <c r="I453" s="49"/>
    </row>
    <row r="454">
      <c r="C454" s="57"/>
      <c r="I454" s="49"/>
    </row>
    <row r="455">
      <c r="C455" s="57"/>
      <c r="I455" s="49"/>
    </row>
    <row r="456">
      <c r="C456" s="57"/>
      <c r="I456" s="49"/>
    </row>
    <row r="457">
      <c r="C457" s="57"/>
      <c r="I457" s="49"/>
    </row>
    <row r="458">
      <c r="C458" s="57"/>
      <c r="I458" s="49"/>
    </row>
    <row r="459">
      <c r="C459" s="57"/>
      <c r="I459" s="49"/>
    </row>
    <row r="460">
      <c r="C460" s="57"/>
      <c r="I460" s="49"/>
    </row>
    <row r="461">
      <c r="C461" s="57"/>
      <c r="I461" s="49"/>
    </row>
    <row r="462">
      <c r="C462" s="57"/>
      <c r="I462" s="49"/>
    </row>
    <row r="463">
      <c r="C463" s="57"/>
      <c r="I463" s="49"/>
    </row>
    <row r="464">
      <c r="C464" s="57"/>
      <c r="I464" s="49"/>
    </row>
    <row r="465">
      <c r="C465" s="57"/>
      <c r="I465" s="49"/>
    </row>
    <row r="466">
      <c r="C466" s="57"/>
      <c r="I466" s="49"/>
    </row>
    <row r="467">
      <c r="C467" s="57"/>
      <c r="I467" s="49"/>
    </row>
    <row r="468">
      <c r="C468" s="57"/>
      <c r="I468" s="49"/>
    </row>
    <row r="469">
      <c r="C469" s="57"/>
      <c r="I469" s="49"/>
    </row>
    <row r="470">
      <c r="C470" s="57"/>
      <c r="I470" s="49"/>
    </row>
    <row r="471">
      <c r="C471" s="57"/>
      <c r="I471" s="49"/>
    </row>
    <row r="472">
      <c r="C472" s="57"/>
      <c r="I472" s="49"/>
    </row>
    <row r="473">
      <c r="C473" s="57"/>
      <c r="I473" s="49"/>
    </row>
    <row r="474">
      <c r="C474" s="57"/>
      <c r="I474" s="49"/>
    </row>
    <row r="475">
      <c r="C475" s="57"/>
      <c r="I475" s="49"/>
    </row>
    <row r="476">
      <c r="C476" s="57"/>
      <c r="I476" s="49"/>
    </row>
    <row r="477">
      <c r="C477" s="57"/>
      <c r="I477" s="49"/>
    </row>
    <row r="478">
      <c r="C478" s="57"/>
      <c r="I478" s="49"/>
    </row>
    <row r="479">
      <c r="C479" s="57"/>
      <c r="I479" s="49"/>
    </row>
    <row r="480">
      <c r="C480" s="57"/>
      <c r="I480" s="49"/>
    </row>
    <row r="481">
      <c r="C481" s="57"/>
      <c r="I481" s="49"/>
    </row>
    <row r="482">
      <c r="C482" s="57"/>
      <c r="I482" s="49"/>
    </row>
    <row r="483">
      <c r="C483" s="57"/>
      <c r="I483" s="49"/>
    </row>
    <row r="484">
      <c r="C484" s="57"/>
      <c r="I484" s="49"/>
    </row>
    <row r="485">
      <c r="C485" s="57"/>
      <c r="I485" s="49"/>
    </row>
    <row r="486">
      <c r="C486" s="57"/>
      <c r="I486" s="49"/>
    </row>
    <row r="487">
      <c r="C487" s="57"/>
      <c r="I487" s="49"/>
    </row>
    <row r="488">
      <c r="C488" s="57"/>
      <c r="I488" s="49"/>
    </row>
    <row r="489">
      <c r="C489" s="57"/>
      <c r="I489" s="49"/>
    </row>
    <row r="490">
      <c r="C490" s="57"/>
      <c r="I490" s="49"/>
    </row>
    <row r="491">
      <c r="C491" s="57"/>
      <c r="I491" s="49"/>
    </row>
    <row r="492">
      <c r="C492" s="57"/>
      <c r="I492" s="49"/>
    </row>
    <row r="493">
      <c r="C493" s="57"/>
      <c r="I493" s="49"/>
    </row>
    <row r="494">
      <c r="C494" s="57"/>
      <c r="I494" s="49"/>
    </row>
    <row r="495">
      <c r="C495" s="57"/>
      <c r="I495" s="49"/>
    </row>
    <row r="496">
      <c r="C496" s="57"/>
      <c r="I496" s="49"/>
    </row>
    <row r="497">
      <c r="C497" s="57"/>
      <c r="I497" s="49"/>
    </row>
    <row r="498">
      <c r="C498" s="57"/>
      <c r="I498" s="49"/>
    </row>
    <row r="499">
      <c r="C499" s="57"/>
      <c r="I499" s="49"/>
    </row>
    <row r="500">
      <c r="C500" s="57"/>
      <c r="I500" s="49"/>
    </row>
    <row r="501">
      <c r="C501" s="57"/>
      <c r="I501" s="49"/>
    </row>
    <row r="502">
      <c r="C502" s="57"/>
      <c r="I502" s="49"/>
    </row>
    <row r="503">
      <c r="C503" s="57"/>
      <c r="I503" s="49"/>
    </row>
    <row r="504">
      <c r="C504" s="57"/>
      <c r="I504" s="49"/>
    </row>
    <row r="505">
      <c r="C505" s="57"/>
      <c r="I505" s="49"/>
    </row>
    <row r="506">
      <c r="C506" s="57"/>
      <c r="I506" s="49"/>
    </row>
    <row r="507">
      <c r="C507" s="57"/>
      <c r="I507" s="49"/>
    </row>
    <row r="508">
      <c r="C508" s="57"/>
      <c r="I508" s="49"/>
    </row>
    <row r="509">
      <c r="C509" s="57"/>
      <c r="I509" s="49"/>
    </row>
    <row r="510">
      <c r="C510" s="57"/>
      <c r="I510" s="49"/>
    </row>
    <row r="511">
      <c r="C511" s="57"/>
      <c r="I511" s="49"/>
    </row>
    <row r="512">
      <c r="C512" s="57"/>
      <c r="I512" s="49"/>
    </row>
    <row r="513">
      <c r="C513" s="57"/>
      <c r="I513" s="49"/>
    </row>
    <row r="514">
      <c r="C514" s="57"/>
      <c r="I514" s="49"/>
    </row>
    <row r="515">
      <c r="C515" s="57"/>
      <c r="I515" s="49"/>
    </row>
    <row r="516">
      <c r="C516" s="57"/>
      <c r="I516" s="49"/>
    </row>
    <row r="517">
      <c r="C517" s="57"/>
      <c r="I517" s="49"/>
    </row>
    <row r="518">
      <c r="C518" s="57"/>
      <c r="I518" s="49"/>
    </row>
    <row r="519">
      <c r="C519" s="57"/>
      <c r="I519" s="49"/>
    </row>
    <row r="520">
      <c r="C520" s="57"/>
      <c r="I520" s="49"/>
    </row>
    <row r="521">
      <c r="C521" s="57"/>
      <c r="I521" s="49"/>
    </row>
    <row r="522">
      <c r="C522" s="57"/>
      <c r="I522" s="49"/>
    </row>
    <row r="523">
      <c r="C523" s="57"/>
      <c r="I523" s="49"/>
    </row>
    <row r="524">
      <c r="C524" s="57"/>
      <c r="I524" s="49"/>
    </row>
    <row r="525">
      <c r="C525" s="57"/>
      <c r="I525" s="49"/>
    </row>
    <row r="526">
      <c r="C526" s="57"/>
      <c r="I526" s="49"/>
    </row>
    <row r="527">
      <c r="C527" s="57"/>
      <c r="I527" s="49"/>
    </row>
    <row r="528">
      <c r="C528" s="57"/>
      <c r="I528" s="49"/>
    </row>
    <row r="529">
      <c r="C529" s="57"/>
      <c r="I529" s="49"/>
    </row>
    <row r="530">
      <c r="C530" s="57"/>
      <c r="I530" s="49"/>
    </row>
    <row r="531">
      <c r="C531" s="57"/>
      <c r="I531" s="49"/>
    </row>
    <row r="532">
      <c r="C532" s="57"/>
      <c r="I532" s="49"/>
    </row>
    <row r="533">
      <c r="C533" s="57"/>
      <c r="I533" s="49"/>
    </row>
    <row r="534">
      <c r="C534" s="57"/>
      <c r="I534" s="49"/>
    </row>
    <row r="535">
      <c r="C535" s="57"/>
      <c r="I535" s="49"/>
    </row>
    <row r="536">
      <c r="C536" s="57"/>
      <c r="I536" s="49"/>
    </row>
    <row r="537">
      <c r="C537" s="57"/>
      <c r="I537" s="49"/>
    </row>
    <row r="538">
      <c r="C538" s="57"/>
      <c r="I538" s="49"/>
    </row>
    <row r="539">
      <c r="C539" s="57"/>
      <c r="I539" s="49"/>
    </row>
    <row r="540">
      <c r="C540" s="57"/>
      <c r="I540" s="49"/>
    </row>
    <row r="541">
      <c r="C541" s="57"/>
      <c r="I541" s="49"/>
    </row>
    <row r="542">
      <c r="C542" s="57"/>
      <c r="I542" s="49"/>
    </row>
    <row r="543">
      <c r="C543" s="57"/>
      <c r="I543" s="49"/>
    </row>
    <row r="544">
      <c r="C544" s="57"/>
      <c r="I544" s="49"/>
    </row>
    <row r="545">
      <c r="C545" s="57"/>
      <c r="I545" s="49"/>
    </row>
    <row r="546">
      <c r="C546" s="57"/>
      <c r="I546" s="49"/>
    </row>
    <row r="547">
      <c r="C547" s="57"/>
      <c r="I547" s="49"/>
    </row>
    <row r="548">
      <c r="C548" s="57"/>
      <c r="I548" s="49"/>
    </row>
    <row r="549">
      <c r="C549" s="57"/>
      <c r="I549" s="49"/>
    </row>
    <row r="550">
      <c r="C550" s="57"/>
      <c r="I550" s="49"/>
    </row>
    <row r="551">
      <c r="C551" s="57"/>
      <c r="I551" s="49"/>
    </row>
    <row r="552">
      <c r="C552" s="57"/>
      <c r="I552" s="49"/>
    </row>
    <row r="553">
      <c r="C553" s="57"/>
      <c r="I553" s="49"/>
    </row>
    <row r="554">
      <c r="C554" s="57"/>
      <c r="I554" s="49"/>
    </row>
    <row r="555">
      <c r="C555" s="57"/>
      <c r="I555" s="49"/>
    </row>
    <row r="556">
      <c r="C556" s="57"/>
      <c r="I556" s="49"/>
    </row>
    <row r="557">
      <c r="C557" s="57"/>
      <c r="I557" s="49"/>
    </row>
    <row r="558">
      <c r="C558" s="57"/>
      <c r="I558" s="49"/>
    </row>
    <row r="559">
      <c r="C559" s="57"/>
      <c r="I559" s="49"/>
    </row>
    <row r="560">
      <c r="C560" s="57"/>
      <c r="I560" s="49"/>
    </row>
    <row r="561">
      <c r="C561" s="57"/>
      <c r="I561" s="49"/>
    </row>
    <row r="562">
      <c r="C562" s="57"/>
      <c r="I562" s="49"/>
    </row>
    <row r="563">
      <c r="C563" s="57"/>
      <c r="I563" s="49"/>
    </row>
    <row r="564">
      <c r="C564" s="57"/>
      <c r="I564" s="49"/>
    </row>
    <row r="565">
      <c r="C565" s="57"/>
      <c r="I565" s="49"/>
    </row>
    <row r="566">
      <c r="C566" s="57"/>
      <c r="I566" s="49"/>
    </row>
    <row r="567">
      <c r="C567" s="57"/>
      <c r="I567" s="49"/>
    </row>
    <row r="568">
      <c r="C568" s="57"/>
      <c r="I568" s="49"/>
    </row>
    <row r="569">
      <c r="C569" s="57"/>
      <c r="I569" s="49"/>
    </row>
    <row r="570">
      <c r="C570" s="57"/>
      <c r="I570" s="49"/>
    </row>
    <row r="571">
      <c r="C571" s="57"/>
      <c r="I571" s="49"/>
    </row>
    <row r="572">
      <c r="C572" s="57"/>
      <c r="I572" s="49"/>
    </row>
    <row r="573">
      <c r="C573" s="57"/>
      <c r="I573" s="49"/>
    </row>
    <row r="574">
      <c r="C574" s="57"/>
      <c r="I574" s="49"/>
    </row>
    <row r="575">
      <c r="C575" s="57"/>
      <c r="I575" s="49"/>
    </row>
    <row r="576">
      <c r="C576" s="57"/>
      <c r="I576" s="49"/>
    </row>
    <row r="577">
      <c r="C577" s="57"/>
      <c r="I577" s="49"/>
    </row>
    <row r="578">
      <c r="C578" s="57"/>
      <c r="I578" s="49"/>
    </row>
    <row r="579">
      <c r="C579" s="57"/>
      <c r="I579" s="49"/>
    </row>
    <row r="580">
      <c r="C580" s="57"/>
      <c r="I580" s="49"/>
    </row>
    <row r="581">
      <c r="C581" s="57"/>
      <c r="I581" s="49"/>
    </row>
    <row r="582">
      <c r="C582" s="57"/>
      <c r="I582" s="49"/>
    </row>
    <row r="583">
      <c r="C583" s="57"/>
      <c r="I583" s="49"/>
    </row>
    <row r="584">
      <c r="C584" s="57"/>
      <c r="I584" s="49"/>
    </row>
    <row r="585">
      <c r="C585" s="57"/>
      <c r="I585" s="49"/>
    </row>
    <row r="586">
      <c r="C586" s="57"/>
      <c r="I586" s="49"/>
    </row>
    <row r="587">
      <c r="C587" s="57"/>
      <c r="I587" s="49"/>
    </row>
    <row r="588">
      <c r="C588" s="57"/>
      <c r="I588" s="49"/>
    </row>
    <row r="589">
      <c r="C589" s="57"/>
      <c r="I589" s="49"/>
    </row>
    <row r="590">
      <c r="C590" s="57"/>
      <c r="I590" s="49"/>
    </row>
    <row r="591">
      <c r="C591" s="57"/>
      <c r="I591" s="49"/>
    </row>
    <row r="592">
      <c r="C592" s="57"/>
      <c r="I592" s="49"/>
    </row>
    <row r="593">
      <c r="C593" s="57"/>
      <c r="I593" s="49"/>
    </row>
    <row r="594">
      <c r="C594" s="57"/>
      <c r="I594" s="49"/>
    </row>
    <row r="595">
      <c r="C595" s="57"/>
      <c r="I595" s="49"/>
    </row>
    <row r="596">
      <c r="C596" s="57"/>
      <c r="I596" s="49"/>
    </row>
    <row r="597">
      <c r="C597" s="57"/>
      <c r="I597" s="49"/>
    </row>
    <row r="598">
      <c r="C598" s="57"/>
      <c r="I598" s="49"/>
    </row>
    <row r="599">
      <c r="C599" s="57"/>
      <c r="I599" s="49"/>
    </row>
    <row r="600">
      <c r="C600" s="57"/>
      <c r="I600" s="49"/>
    </row>
    <row r="601">
      <c r="C601" s="57"/>
      <c r="I601" s="49"/>
    </row>
    <row r="602">
      <c r="C602" s="57"/>
      <c r="I602" s="49"/>
    </row>
    <row r="603">
      <c r="C603" s="57"/>
      <c r="I603" s="49"/>
    </row>
    <row r="604">
      <c r="C604" s="57"/>
      <c r="I604" s="49"/>
    </row>
    <row r="605">
      <c r="C605" s="57"/>
      <c r="I605" s="49"/>
    </row>
    <row r="606">
      <c r="C606" s="57"/>
      <c r="I606" s="49"/>
    </row>
    <row r="607">
      <c r="C607" s="57"/>
      <c r="I607" s="49"/>
    </row>
    <row r="608">
      <c r="C608" s="57"/>
      <c r="I608" s="49"/>
    </row>
    <row r="609">
      <c r="C609" s="57"/>
      <c r="I609" s="49"/>
    </row>
    <row r="610">
      <c r="C610" s="57"/>
      <c r="I610" s="49"/>
    </row>
    <row r="611">
      <c r="C611" s="57"/>
      <c r="I611" s="49"/>
    </row>
    <row r="612">
      <c r="C612" s="57"/>
      <c r="I612" s="49"/>
    </row>
    <row r="613">
      <c r="C613" s="57"/>
      <c r="I613" s="49"/>
    </row>
    <row r="614">
      <c r="C614" s="57"/>
      <c r="I614" s="49"/>
    </row>
    <row r="615">
      <c r="C615" s="57"/>
      <c r="I615" s="49"/>
    </row>
    <row r="616">
      <c r="C616" s="57"/>
      <c r="I616" s="49"/>
    </row>
    <row r="617">
      <c r="C617" s="57"/>
      <c r="I617" s="49"/>
    </row>
    <row r="618">
      <c r="C618" s="57"/>
      <c r="I618" s="49"/>
    </row>
    <row r="619">
      <c r="C619" s="57"/>
      <c r="I619" s="49"/>
    </row>
    <row r="620">
      <c r="C620" s="57"/>
      <c r="I620" s="49"/>
    </row>
    <row r="621">
      <c r="C621" s="57"/>
      <c r="I621" s="49"/>
    </row>
    <row r="622">
      <c r="C622" s="57"/>
      <c r="I622" s="49"/>
    </row>
    <row r="623">
      <c r="C623" s="57"/>
      <c r="I623" s="49"/>
    </row>
    <row r="624">
      <c r="C624" s="57"/>
      <c r="I624" s="49"/>
    </row>
    <row r="625">
      <c r="C625" s="57"/>
      <c r="I625" s="49"/>
    </row>
    <row r="626">
      <c r="C626" s="57"/>
      <c r="I626" s="49"/>
    </row>
    <row r="627">
      <c r="C627" s="57"/>
      <c r="I627" s="49"/>
    </row>
    <row r="628">
      <c r="C628" s="57"/>
      <c r="I628" s="49"/>
    </row>
    <row r="629">
      <c r="C629" s="57"/>
      <c r="I629" s="49"/>
    </row>
    <row r="630">
      <c r="C630" s="57"/>
      <c r="I630" s="49"/>
    </row>
    <row r="631">
      <c r="C631" s="57"/>
      <c r="I631" s="49"/>
    </row>
    <row r="632">
      <c r="C632" s="57"/>
      <c r="I632" s="49"/>
    </row>
    <row r="633">
      <c r="C633" s="57"/>
      <c r="I633" s="49"/>
    </row>
    <row r="634">
      <c r="C634" s="57"/>
      <c r="I634" s="49"/>
    </row>
    <row r="635">
      <c r="C635" s="57"/>
      <c r="I635" s="49"/>
    </row>
    <row r="636">
      <c r="C636" s="57"/>
      <c r="I636" s="49"/>
    </row>
    <row r="637">
      <c r="C637" s="57"/>
      <c r="I637" s="49"/>
    </row>
    <row r="638">
      <c r="C638" s="57"/>
      <c r="I638" s="49"/>
    </row>
    <row r="639">
      <c r="C639" s="57"/>
      <c r="I639" s="49"/>
    </row>
    <row r="640">
      <c r="C640" s="57"/>
      <c r="I640" s="49"/>
    </row>
    <row r="641">
      <c r="C641" s="57"/>
      <c r="I641" s="49"/>
    </row>
    <row r="642">
      <c r="C642" s="57"/>
      <c r="I642" s="49"/>
    </row>
    <row r="643">
      <c r="C643" s="57"/>
      <c r="I643" s="49"/>
    </row>
    <row r="644">
      <c r="C644" s="57"/>
      <c r="I644" s="49"/>
    </row>
    <row r="645">
      <c r="C645" s="57"/>
      <c r="I645" s="49"/>
    </row>
    <row r="646">
      <c r="C646" s="57"/>
      <c r="I646" s="49"/>
    </row>
    <row r="647">
      <c r="C647" s="57"/>
      <c r="I647" s="49"/>
    </row>
    <row r="648">
      <c r="C648" s="57"/>
      <c r="I648" s="49"/>
    </row>
    <row r="649">
      <c r="C649" s="57"/>
      <c r="I649" s="49"/>
    </row>
    <row r="650">
      <c r="C650" s="57"/>
      <c r="I650" s="49"/>
    </row>
    <row r="651">
      <c r="C651" s="57"/>
      <c r="I651" s="49"/>
    </row>
    <row r="652">
      <c r="C652" s="57"/>
      <c r="I652" s="49"/>
    </row>
    <row r="653">
      <c r="C653" s="57"/>
      <c r="I653" s="49"/>
    </row>
    <row r="654">
      <c r="C654" s="57"/>
      <c r="I654" s="49"/>
    </row>
    <row r="655">
      <c r="C655" s="57"/>
      <c r="I655" s="49"/>
    </row>
    <row r="656">
      <c r="C656" s="57"/>
      <c r="I656" s="49"/>
    </row>
    <row r="657">
      <c r="C657" s="57"/>
      <c r="I657" s="49"/>
    </row>
    <row r="658">
      <c r="C658" s="57"/>
      <c r="I658" s="49"/>
    </row>
    <row r="659">
      <c r="C659" s="57"/>
      <c r="I659" s="49"/>
    </row>
    <row r="660">
      <c r="C660" s="57"/>
      <c r="I660" s="49"/>
    </row>
    <row r="661">
      <c r="C661" s="57"/>
      <c r="I661" s="49"/>
    </row>
    <row r="662">
      <c r="C662" s="57"/>
      <c r="I662" s="49"/>
    </row>
    <row r="663">
      <c r="C663" s="57"/>
      <c r="I663" s="49"/>
    </row>
    <row r="664">
      <c r="C664" s="57"/>
      <c r="I664" s="49"/>
    </row>
    <row r="665">
      <c r="C665" s="57"/>
      <c r="I665" s="49"/>
    </row>
    <row r="666">
      <c r="C666" s="57"/>
      <c r="I666" s="49"/>
    </row>
    <row r="667">
      <c r="C667" s="57"/>
      <c r="I667" s="49"/>
    </row>
    <row r="668">
      <c r="C668" s="57"/>
      <c r="I668" s="49"/>
    </row>
    <row r="669">
      <c r="C669" s="57"/>
      <c r="I669" s="49"/>
    </row>
    <row r="670">
      <c r="C670" s="57"/>
      <c r="I670" s="49"/>
    </row>
    <row r="671">
      <c r="C671" s="57"/>
      <c r="I671" s="49"/>
    </row>
    <row r="672">
      <c r="C672" s="57"/>
      <c r="I672" s="49"/>
    </row>
    <row r="673">
      <c r="C673" s="57"/>
      <c r="I673" s="49"/>
    </row>
    <row r="674">
      <c r="C674" s="57"/>
      <c r="I674" s="49"/>
    </row>
    <row r="675">
      <c r="C675" s="57"/>
      <c r="I675" s="49"/>
    </row>
    <row r="676">
      <c r="C676" s="57"/>
      <c r="I676" s="49"/>
    </row>
    <row r="677">
      <c r="C677" s="57"/>
      <c r="I677" s="49"/>
    </row>
    <row r="678">
      <c r="C678" s="57"/>
      <c r="I678" s="49"/>
    </row>
    <row r="679">
      <c r="C679" s="57"/>
      <c r="I679" s="49"/>
    </row>
    <row r="680">
      <c r="C680" s="57"/>
      <c r="I680" s="49"/>
    </row>
    <row r="681">
      <c r="C681" s="57"/>
      <c r="I681" s="49"/>
    </row>
    <row r="682">
      <c r="C682" s="57"/>
      <c r="I682" s="49"/>
    </row>
    <row r="683">
      <c r="C683" s="57"/>
      <c r="I683" s="49"/>
    </row>
    <row r="684">
      <c r="C684" s="57"/>
      <c r="I684" s="49"/>
    </row>
    <row r="685">
      <c r="C685" s="57"/>
      <c r="I685" s="49"/>
    </row>
    <row r="686">
      <c r="C686" s="57"/>
      <c r="I686" s="49"/>
    </row>
    <row r="687">
      <c r="C687" s="57"/>
      <c r="I687" s="49"/>
    </row>
    <row r="688">
      <c r="C688" s="57"/>
      <c r="I688" s="49"/>
    </row>
    <row r="689">
      <c r="C689" s="57"/>
      <c r="I689" s="49"/>
    </row>
    <row r="690">
      <c r="C690" s="57"/>
      <c r="I690" s="49"/>
    </row>
    <row r="691">
      <c r="C691" s="57"/>
      <c r="I691" s="49"/>
    </row>
    <row r="692">
      <c r="C692" s="57"/>
      <c r="I692" s="49"/>
    </row>
    <row r="693">
      <c r="C693" s="57"/>
      <c r="I693" s="49"/>
    </row>
    <row r="694">
      <c r="C694" s="57"/>
      <c r="I694" s="49"/>
    </row>
    <row r="695">
      <c r="C695" s="57"/>
      <c r="I695" s="49"/>
    </row>
    <row r="696">
      <c r="C696" s="57"/>
      <c r="I696" s="49"/>
    </row>
    <row r="697">
      <c r="C697" s="57"/>
      <c r="I697" s="49"/>
    </row>
    <row r="698">
      <c r="C698" s="57"/>
      <c r="I698" s="49"/>
    </row>
    <row r="699">
      <c r="C699" s="57"/>
      <c r="I699" s="49"/>
    </row>
    <row r="700">
      <c r="C700" s="57"/>
      <c r="I700" s="49"/>
    </row>
    <row r="701">
      <c r="C701" s="57"/>
      <c r="I701" s="49"/>
    </row>
    <row r="702">
      <c r="C702" s="57"/>
      <c r="I702" s="49"/>
    </row>
    <row r="703">
      <c r="C703" s="57"/>
      <c r="I703" s="49"/>
    </row>
    <row r="704">
      <c r="C704" s="57"/>
      <c r="I704" s="49"/>
    </row>
    <row r="705">
      <c r="C705" s="57"/>
      <c r="I705" s="49"/>
    </row>
    <row r="706">
      <c r="C706" s="57"/>
      <c r="I706" s="49"/>
    </row>
    <row r="707">
      <c r="C707" s="57"/>
      <c r="I707" s="49"/>
    </row>
    <row r="708">
      <c r="C708" s="57"/>
      <c r="I708" s="49"/>
    </row>
    <row r="709">
      <c r="C709" s="57"/>
      <c r="I709" s="49"/>
    </row>
    <row r="710">
      <c r="C710" s="57"/>
      <c r="I710" s="49"/>
    </row>
    <row r="711">
      <c r="C711" s="57"/>
      <c r="I711" s="49"/>
    </row>
    <row r="712">
      <c r="C712" s="57"/>
      <c r="I712" s="49"/>
    </row>
    <row r="713">
      <c r="C713" s="57"/>
      <c r="I713" s="49"/>
    </row>
    <row r="714">
      <c r="C714" s="57"/>
      <c r="I714" s="49"/>
    </row>
    <row r="715">
      <c r="C715" s="57"/>
      <c r="I715" s="49"/>
    </row>
    <row r="716">
      <c r="C716" s="57"/>
      <c r="I716" s="49"/>
    </row>
    <row r="717">
      <c r="C717" s="57"/>
      <c r="I717" s="49"/>
    </row>
    <row r="718">
      <c r="C718" s="57"/>
      <c r="I718" s="49"/>
    </row>
    <row r="719">
      <c r="C719" s="57"/>
      <c r="I719" s="49"/>
    </row>
    <row r="720">
      <c r="C720" s="57"/>
      <c r="I720" s="49"/>
    </row>
    <row r="721">
      <c r="C721" s="57"/>
      <c r="I721" s="49"/>
    </row>
    <row r="722">
      <c r="C722" s="57"/>
      <c r="I722" s="49"/>
    </row>
    <row r="723">
      <c r="C723" s="57"/>
      <c r="I723" s="49"/>
    </row>
    <row r="724">
      <c r="C724" s="57"/>
      <c r="I724" s="49"/>
    </row>
    <row r="725">
      <c r="C725" s="57"/>
      <c r="I725" s="49"/>
    </row>
    <row r="726">
      <c r="C726" s="57"/>
      <c r="I726" s="49"/>
    </row>
    <row r="727">
      <c r="C727" s="57"/>
      <c r="I727" s="49"/>
    </row>
    <row r="728">
      <c r="C728" s="57"/>
      <c r="I728" s="49"/>
    </row>
    <row r="729">
      <c r="C729" s="57"/>
      <c r="I729" s="49"/>
    </row>
    <row r="730">
      <c r="C730" s="57"/>
      <c r="I730" s="49"/>
    </row>
    <row r="731">
      <c r="C731" s="57"/>
      <c r="I731" s="49"/>
    </row>
    <row r="732">
      <c r="C732" s="57"/>
      <c r="I732" s="49"/>
    </row>
    <row r="733">
      <c r="C733" s="57"/>
      <c r="I733" s="49"/>
    </row>
    <row r="734">
      <c r="C734" s="57"/>
      <c r="I734" s="49"/>
    </row>
    <row r="735">
      <c r="C735" s="57"/>
      <c r="I735" s="49"/>
    </row>
    <row r="736">
      <c r="C736" s="57"/>
      <c r="I736" s="49"/>
    </row>
    <row r="737">
      <c r="C737" s="57"/>
      <c r="I737" s="49"/>
    </row>
    <row r="738">
      <c r="C738" s="57"/>
      <c r="I738" s="49"/>
    </row>
    <row r="739">
      <c r="C739" s="57"/>
      <c r="I739" s="49"/>
    </row>
    <row r="740">
      <c r="C740" s="57"/>
      <c r="I740" s="49"/>
    </row>
    <row r="741">
      <c r="C741" s="57"/>
      <c r="I741" s="49"/>
    </row>
    <row r="742">
      <c r="C742" s="57"/>
      <c r="I742" s="49"/>
    </row>
    <row r="743">
      <c r="C743" s="57"/>
      <c r="I743" s="49"/>
    </row>
    <row r="744">
      <c r="C744" s="57"/>
      <c r="I744" s="49"/>
    </row>
    <row r="745">
      <c r="C745" s="57"/>
      <c r="I745" s="49"/>
    </row>
    <row r="746">
      <c r="C746" s="57"/>
      <c r="I746" s="49"/>
    </row>
    <row r="747">
      <c r="C747" s="57"/>
      <c r="I747" s="49"/>
    </row>
    <row r="748">
      <c r="C748" s="57"/>
      <c r="I748" s="49"/>
    </row>
    <row r="749">
      <c r="C749" s="57"/>
      <c r="I749" s="49"/>
    </row>
    <row r="750">
      <c r="C750" s="57"/>
      <c r="I750" s="49"/>
    </row>
    <row r="751">
      <c r="C751" s="57"/>
      <c r="I751" s="49"/>
    </row>
    <row r="752">
      <c r="C752" s="57"/>
      <c r="I752" s="49"/>
    </row>
    <row r="753">
      <c r="C753" s="57"/>
      <c r="I753" s="49"/>
    </row>
    <row r="754">
      <c r="C754" s="57"/>
      <c r="I754" s="49"/>
    </row>
    <row r="755">
      <c r="C755" s="57"/>
      <c r="I755" s="49"/>
    </row>
    <row r="756">
      <c r="C756" s="57"/>
      <c r="I756" s="49"/>
    </row>
    <row r="757">
      <c r="C757" s="57"/>
      <c r="I757" s="49"/>
    </row>
    <row r="758">
      <c r="C758" s="57"/>
      <c r="I758" s="49"/>
    </row>
    <row r="759">
      <c r="C759" s="57"/>
      <c r="I759" s="49"/>
    </row>
    <row r="760">
      <c r="C760" s="57"/>
      <c r="I760" s="49"/>
    </row>
    <row r="761">
      <c r="C761" s="57"/>
      <c r="I761" s="49"/>
    </row>
    <row r="762">
      <c r="C762" s="57"/>
      <c r="I762" s="49"/>
    </row>
    <row r="763">
      <c r="C763" s="57"/>
      <c r="I763" s="49"/>
    </row>
    <row r="764">
      <c r="C764" s="57"/>
      <c r="I764" s="49"/>
    </row>
    <row r="765">
      <c r="C765" s="57"/>
      <c r="I765" s="49"/>
    </row>
    <row r="766">
      <c r="C766" s="57"/>
      <c r="I766" s="49"/>
    </row>
    <row r="767">
      <c r="C767" s="57"/>
      <c r="I767" s="49"/>
    </row>
    <row r="768">
      <c r="C768" s="57"/>
      <c r="I768" s="49"/>
    </row>
    <row r="769">
      <c r="C769" s="57"/>
      <c r="I769" s="49"/>
    </row>
    <row r="770">
      <c r="C770" s="57"/>
      <c r="I770" s="49"/>
    </row>
    <row r="771">
      <c r="C771" s="57"/>
      <c r="I771" s="49"/>
    </row>
    <row r="772">
      <c r="C772" s="57"/>
      <c r="I772" s="49"/>
    </row>
    <row r="773">
      <c r="C773" s="57"/>
      <c r="I773" s="49"/>
    </row>
    <row r="774">
      <c r="C774" s="57"/>
      <c r="I774" s="49"/>
    </row>
    <row r="775">
      <c r="C775" s="57"/>
      <c r="I775" s="49"/>
    </row>
    <row r="776">
      <c r="C776" s="57"/>
      <c r="I776" s="49"/>
    </row>
    <row r="777">
      <c r="C777" s="57"/>
      <c r="I777" s="49"/>
    </row>
    <row r="778">
      <c r="C778" s="57"/>
      <c r="I778" s="49"/>
    </row>
    <row r="779">
      <c r="C779" s="57"/>
      <c r="I779" s="49"/>
    </row>
    <row r="780">
      <c r="C780" s="57"/>
      <c r="I780" s="49"/>
    </row>
    <row r="781">
      <c r="C781" s="57"/>
      <c r="I781" s="49"/>
    </row>
    <row r="782">
      <c r="C782" s="57"/>
      <c r="I782" s="49"/>
    </row>
    <row r="783">
      <c r="C783" s="57"/>
      <c r="I783" s="49"/>
    </row>
    <row r="784">
      <c r="C784" s="57"/>
      <c r="I784" s="49"/>
    </row>
    <row r="785">
      <c r="C785" s="57"/>
      <c r="I785" s="49"/>
    </row>
    <row r="786">
      <c r="C786" s="57"/>
      <c r="I786" s="49"/>
    </row>
    <row r="787">
      <c r="C787" s="57"/>
      <c r="I787" s="49"/>
    </row>
    <row r="788">
      <c r="C788" s="57"/>
      <c r="I788" s="49"/>
    </row>
    <row r="789">
      <c r="C789" s="57"/>
      <c r="I789" s="49"/>
    </row>
    <row r="790">
      <c r="C790" s="57"/>
      <c r="I790" s="49"/>
    </row>
    <row r="791">
      <c r="C791" s="57"/>
      <c r="I791" s="49"/>
    </row>
    <row r="792">
      <c r="C792" s="57"/>
      <c r="I792" s="49"/>
    </row>
    <row r="793">
      <c r="C793" s="57"/>
      <c r="I793" s="49"/>
    </row>
    <row r="794">
      <c r="C794" s="57"/>
      <c r="I794" s="49"/>
    </row>
    <row r="795">
      <c r="C795" s="57"/>
      <c r="I795" s="49"/>
    </row>
    <row r="796">
      <c r="C796" s="57"/>
      <c r="I796" s="49"/>
    </row>
    <row r="797">
      <c r="C797" s="57"/>
      <c r="I797" s="49"/>
    </row>
    <row r="798">
      <c r="C798" s="57"/>
      <c r="I798" s="49"/>
    </row>
    <row r="799">
      <c r="C799" s="57"/>
      <c r="I799" s="49"/>
    </row>
    <row r="800">
      <c r="C800" s="57"/>
      <c r="I800" s="49"/>
    </row>
    <row r="801">
      <c r="C801" s="57"/>
      <c r="I801" s="49"/>
    </row>
    <row r="802">
      <c r="C802" s="57"/>
      <c r="I802" s="49"/>
    </row>
    <row r="803">
      <c r="C803" s="57"/>
      <c r="I803" s="49"/>
    </row>
    <row r="804">
      <c r="C804" s="57"/>
      <c r="I804" s="49"/>
    </row>
    <row r="805">
      <c r="C805" s="57"/>
      <c r="I805" s="49"/>
    </row>
    <row r="806">
      <c r="C806" s="57"/>
      <c r="I806" s="49"/>
    </row>
    <row r="807">
      <c r="C807" s="57"/>
      <c r="I807" s="49"/>
    </row>
    <row r="808">
      <c r="C808" s="57"/>
      <c r="I808" s="49"/>
    </row>
    <row r="809">
      <c r="C809" s="57"/>
      <c r="I809" s="49"/>
    </row>
    <row r="810">
      <c r="C810" s="57"/>
      <c r="I810" s="49"/>
    </row>
    <row r="811">
      <c r="C811" s="57"/>
      <c r="I811" s="49"/>
    </row>
    <row r="812">
      <c r="C812" s="57"/>
      <c r="I812" s="49"/>
    </row>
    <row r="813">
      <c r="C813" s="57"/>
      <c r="I813" s="49"/>
    </row>
    <row r="814">
      <c r="C814" s="57"/>
      <c r="I814" s="49"/>
    </row>
    <row r="815">
      <c r="C815" s="57"/>
      <c r="I815" s="49"/>
    </row>
    <row r="816">
      <c r="C816" s="57"/>
      <c r="I816" s="49"/>
    </row>
    <row r="817">
      <c r="C817" s="57"/>
      <c r="I817" s="49"/>
    </row>
    <row r="818">
      <c r="C818" s="57"/>
      <c r="I818" s="49"/>
    </row>
    <row r="819">
      <c r="C819" s="57"/>
      <c r="I819" s="49"/>
    </row>
    <row r="820">
      <c r="C820" s="57"/>
      <c r="I820" s="49"/>
    </row>
    <row r="821">
      <c r="C821" s="57"/>
      <c r="I821" s="49"/>
    </row>
    <row r="822">
      <c r="C822" s="57"/>
      <c r="I822" s="49"/>
    </row>
    <row r="823">
      <c r="C823" s="57"/>
      <c r="I823" s="49"/>
    </row>
    <row r="824">
      <c r="C824" s="57"/>
      <c r="I824" s="49"/>
    </row>
    <row r="825">
      <c r="C825" s="57"/>
      <c r="I825" s="49"/>
    </row>
    <row r="826">
      <c r="C826" s="57"/>
      <c r="I826" s="49"/>
    </row>
    <row r="827">
      <c r="C827" s="57"/>
      <c r="I827" s="49"/>
    </row>
    <row r="828">
      <c r="C828" s="57"/>
      <c r="I828" s="49"/>
    </row>
    <row r="829">
      <c r="C829" s="57"/>
      <c r="I829" s="49"/>
    </row>
    <row r="830">
      <c r="C830" s="57"/>
      <c r="I830" s="49"/>
    </row>
    <row r="831">
      <c r="C831" s="57"/>
      <c r="I831" s="49"/>
    </row>
    <row r="832">
      <c r="C832" s="57"/>
      <c r="I832" s="49"/>
    </row>
    <row r="833">
      <c r="C833" s="57"/>
      <c r="I833" s="49"/>
    </row>
    <row r="834">
      <c r="C834" s="57"/>
      <c r="I834" s="49"/>
    </row>
    <row r="835">
      <c r="C835" s="57"/>
      <c r="I835" s="49"/>
    </row>
    <row r="836">
      <c r="C836" s="57"/>
      <c r="I836" s="49"/>
    </row>
    <row r="837">
      <c r="C837" s="57"/>
      <c r="I837" s="49"/>
    </row>
    <row r="838">
      <c r="C838" s="57"/>
      <c r="I838" s="49"/>
    </row>
    <row r="839">
      <c r="C839" s="57"/>
      <c r="I839" s="49"/>
    </row>
    <row r="840">
      <c r="C840" s="57"/>
      <c r="I840" s="49"/>
    </row>
    <row r="841">
      <c r="C841" s="57"/>
      <c r="I841" s="49"/>
    </row>
    <row r="842">
      <c r="C842" s="57"/>
      <c r="I842" s="49"/>
    </row>
    <row r="843">
      <c r="C843" s="57"/>
      <c r="I843" s="49"/>
    </row>
    <row r="844">
      <c r="C844" s="57"/>
      <c r="I844" s="49"/>
    </row>
    <row r="845">
      <c r="C845" s="57"/>
      <c r="I845" s="49"/>
    </row>
    <row r="846">
      <c r="C846" s="57"/>
      <c r="I846" s="49"/>
    </row>
    <row r="847">
      <c r="C847" s="57"/>
      <c r="I847" s="49"/>
    </row>
    <row r="848">
      <c r="C848" s="57"/>
      <c r="I848" s="49"/>
    </row>
    <row r="849">
      <c r="C849" s="57"/>
      <c r="I849" s="49"/>
    </row>
    <row r="850">
      <c r="C850" s="57"/>
      <c r="I850" s="49"/>
    </row>
    <row r="851">
      <c r="C851" s="57"/>
      <c r="I851" s="49"/>
    </row>
    <row r="852">
      <c r="C852" s="57"/>
      <c r="I852" s="49"/>
    </row>
    <row r="853">
      <c r="C853" s="57"/>
      <c r="I853" s="49"/>
    </row>
    <row r="854">
      <c r="C854" s="57"/>
      <c r="I854" s="49"/>
    </row>
    <row r="855">
      <c r="C855" s="57"/>
      <c r="I855" s="49"/>
    </row>
    <row r="856">
      <c r="C856" s="57"/>
      <c r="I856" s="49"/>
    </row>
    <row r="857">
      <c r="C857" s="57"/>
      <c r="I857" s="49"/>
    </row>
    <row r="858">
      <c r="C858" s="57"/>
      <c r="I858" s="49"/>
    </row>
    <row r="859">
      <c r="C859" s="57"/>
      <c r="I859" s="49"/>
    </row>
    <row r="860">
      <c r="C860" s="57"/>
      <c r="I860" s="49"/>
    </row>
    <row r="861">
      <c r="C861" s="57"/>
      <c r="I861" s="49"/>
    </row>
    <row r="862">
      <c r="C862" s="57"/>
      <c r="I862" s="49"/>
    </row>
    <row r="863">
      <c r="C863" s="57"/>
      <c r="I863" s="49"/>
    </row>
    <row r="864">
      <c r="C864" s="57"/>
      <c r="I864" s="49"/>
    </row>
    <row r="865">
      <c r="C865" s="57"/>
      <c r="I865" s="49"/>
    </row>
    <row r="866">
      <c r="C866" s="57"/>
      <c r="I866" s="49"/>
    </row>
    <row r="867">
      <c r="C867" s="57"/>
      <c r="I867" s="49"/>
    </row>
    <row r="868">
      <c r="C868" s="57"/>
      <c r="I868" s="49"/>
    </row>
    <row r="869">
      <c r="C869" s="57"/>
      <c r="I869" s="49"/>
    </row>
    <row r="870">
      <c r="C870" s="57"/>
      <c r="I870" s="49"/>
    </row>
    <row r="871">
      <c r="C871" s="57"/>
      <c r="I871" s="49"/>
    </row>
    <row r="872">
      <c r="C872" s="57"/>
      <c r="I872" s="49"/>
    </row>
    <row r="873">
      <c r="C873" s="57"/>
      <c r="I873" s="49"/>
    </row>
    <row r="874">
      <c r="C874" s="57"/>
      <c r="I874" s="49"/>
    </row>
    <row r="875">
      <c r="C875" s="57"/>
      <c r="I875" s="49"/>
    </row>
    <row r="876">
      <c r="C876" s="57"/>
      <c r="I876" s="49"/>
    </row>
    <row r="877">
      <c r="C877" s="57"/>
      <c r="I877" s="49"/>
    </row>
    <row r="878">
      <c r="C878" s="57"/>
      <c r="I878" s="49"/>
    </row>
    <row r="879">
      <c r="C879" s="57"/>
      <c r="I879" s="49"/>
    </row>
    <row r="880">
      <c r="C880" s="57"/>
      <c r="I880" s="49"/>
    </row>
    <row r="881">
      <c r="C881" s="57"/>
      <c r="I881" s="49"/>
    </row>
    <row r="882">
      <c r="C882" s="57"/>
      <c r="I882" s="49"/>
    </row>
    <row r="883">
      <c r="C883" s="57"/>
      <c r="I883" s="49"/>
    </row>
    <row r="884">
      <c r="C884" s="57"/>
      <c r="I884" s="49"/>
    </row>
    <row r="885">
      <c r="C885" s="57"/>
      <c r="I885" s="49"/>
    </row>
    <row r="886">
      <c r="C886" s="57"/>
      <c r="I886" s="49"/>
    </row>
    <row r="887">
      <c r="C887" s="57"/>
      <c r="I887" s="49"/>
    </row>
    <row r="888">
      <c r="C888" s="57"/>
      <c r="I888" s="49"/>
    </row>
    <row r="889">
      <c r="C889" s="57"/>
      <c r="I889" s="49"/>
    </row>
    <row r="890">
      <c r="C890" s="57"/>
      <c r="I890" s="49"/>
    </row>
    <row r="891">
      <c r="C891" s="57"/>
      <c r="I891" s="49"/>
    </row>
    <row r="892">
      <c r="C892" s="57"/>
      <c r="I892" s="49"/>
    </row>
    <row r="893">
      <c r="C893" s="57"/>
      <c r="I893" s="49"/>
    </row>
    <row r="894">
      <c r="C894" s="57"/>
      <c r="I894" s="49"/>
    </row>
    <row r="895">
      <c r="C895" s="57"/>
      <c r="I895" s="49"/>
    </row>
    <row r="896">
      <c r="C896" s="57"/>
      <c r="I896" s="49"/>
    </row>
    <row r="897">
      <c r="C897" s="57"/>
      <c r="I897" s="49"/>
    </row>
    <row r="898">
      <c r="C898" s="57"/>
      <c r="I898" s="49"/>
    </row>
    <row r="899">
      <c r="C899" s="57"/>
      <c r="I899" s="49"/>
    </row>
    <row r="900">
      <c r="C900" s="57"/>
      <c r="I900" s="49"/>
    </row>
    <row r="901">
      <c r="C901" s="57"/>
      <c r="I901" s="49"/>
    </row>
    <row r="902">
      <c r="C902" s="57"/>
      <c r="I902" s="49"/>
    </row>
    <row r="903">
      <c r="C903" s="57"/>
      <c r="I903" s="49"/>
    </row>
    <row r="904">
      <c r="C904" s="57"/>
      <c r="I904" s="49"/>
    </row>
    <row r="905">
      <c r="C905" s="57"/>
      <c r="I905" s="49"/>
    </row>
    <row r="906">
      <c r="C906" s="57"/>
      <c r="I906" s="49"/>
    </row>
    <row r="907">
      <c r="C907" s="57"/>
      <c r="I907" s="49"/>
    </row>
    <row r="908">
      <c r="C908" s="57"/>
      <c r="I908" s="49"/>
    </row>
    <row r="909">
      <c r="C909" s="57"/>
      <c r="I909" s="49"/>
    </row>
    <row r="910">
      <c r="C910" s="57"/>
      <c r="I910" s="49"/>
    </row>
    <row r="911">
      <c r="C911" s="57"/>
      <c r="I911" s="49"/>
    </row>
    <row r="912">
      <c r="C912" s="57"/>
      <c r="I912" s="49"/>
    </row>
    <row r="913">
      <c r="C913" s="57"/>
      <c r="I913" s="49"/>
    </row>
    <row r="914">
      <c r="C914" s="57"/>
      <c r="I914" s="49"/>
    </row>
    <row r="915">
      <c r="C915" s="57"/>
      <c r="I915" s="49"/>
    </row>
    <row r="916">
      <c r="C916" s="57"/>
      <c r="I916" s="49"/>
    </row>
    <row r="917">
      <c r="C917" s="57"/>
      <c r="I917" s="49"/>
    </row>
    <row r="918">
      <c r="C918" s="57"/>
      <c r="I918" s="49"/>
    </row>
    <row r="919">
      <c r="C919" s="57"/>
      <c r="I919" s="49"/>
    </row>
    <row r="920">
      <c r="C920" s="57"/>
      <c r="I920" s="49"/>
    </row>
    <row r="921">
      <c r="C921" s="57"/>
      <c r="I921" s="49"/>
    </row>
    <row r="922">
      <c r="C922" s="57"/>
      <c r="I922" s="49"/>
    </row>
    <row r="923">
      <c r="C923" s="57"/>
      <c r="I923" s="49"/>
    </row>
    <row r="924">
      <c r="C924" s="57"/>
      <c r="I924" s="49"/>
    </row>
    <row r="925">
      <c r="C925" s="57"/>
      <c r="I925" s="49"/>
    </row>
    <row r="926">
      <c r="C926" s="57"/>
      <c r="I926" s="49"/>
    </row>
    <row r="927">
      <c r="C927" s="57"/>
      <c r="I927" s="49"/>
    </row>
    <row r="928">
      <c r="C928" s="57"/>
      <c r="I928" s="49"/>
    </row>
    <row r="929">
      <c r="C929" s="57"/>
      <c r="I929" s="49"/>
    </row>
    <row r="930">
      <c r="C930" s="57"/>
      <c r="I930" s="49"/>
    </row>
    <row r="931">
      <c r="C931" s="57"/>
      <c r="I931" s="49"/>
    </row>
    <row r="932">
      <c r="C932" s="57"/>
      <c r="I932" s="49"/>
    </row>
    <row r="933">
      <c r="C933" s="57"/>
      <c r="I933" s="49"/>
    </row>
    <row r="934">
      <c r="C934" s="57"/>
      <c r="I934" s="49"/>
    </row>
    <row r="935">
      <c r="C935" s="57"/>
      <c r="I935" s="49"/>
    </row>
    <row r="936">
      <c r="C936" s="57"/>
      <c r="I936" s="49"/>
    </row>
    <row r="937">
      <c r="C937" s="57"/>
      <c r="I937" s="49"/>
    </row>
    <row r="938">
      <c r="C938" s="57"/>
      <c r="I938" s="49"/>
    </row>
    <row r="939">
      <c r="C939" s="57"/>
      <c r="I939" s="49"/>
    </row>
    <row r="940">
      <c r="C940" s="57"/>
      <c r="I940" s="49"/>
    </row>
    <row r="941">
      <c r="C941" s="57"/>
      <c r="I941" s="49"/>
    </row>
    <row r="942">
      <c r="C942" s="57"/>
      <c r="I942" s="49"/>
    </row>
    <row r="943">
      <c r="C943" s="57"/>
      <c r="I943" s="49"/>
    </row>
    <row r="944">
      <c r="C944" s="57"/>
      <c r="I944" s="49"/>
    </row>
    <row r="945">
      <c r="C945" s="57"/>
      <c r="I945" s="49"/>
    </row>
    <row r="946">
      <c r="C946" s="57"/>
      <c r="I946" s="49"/>
    </row>
    <row r="947">
      <c r="C947" s="57"/>
      <c r="I947" s="49"/>
    </row>
    <row r="948">
      <c r="C948" s="57"/>
      <c r="I948" s="49"/>
    </row>
    <row r="949">
      <c r="C949" s="57"/>
      <c r="I949" s="49"/>
    </row>
    <row r="950">
      <c r="C950" s="57"/>
      <c r="I950" s="49"/>
    </row>
    <row r="951">
      <c r="C951" s="57"/>
      <c r="I951" s="49"/>
    </row>
    <row r="952">
      <c r="C952" s="57"/>
      <c r="I952" s="49"/>
    </row>
    <row r="953">
      <c r="C953" s="57"/>
      <c r="I953" s="49"/>
    </row>
    <row r="954">
      <c r="C954" s="57"/>
      <c r="I954" s="49"/>
    </row>
    <row r="955">
      <c r="C955" s="57"/>
      <c r="I955" s="49"/>
    </row>
    <row r="956">
      <c r="C956" s="57"/>
      <c r="I956" s="49"/>
    </row>
    <row r="957">
      <c r="C957" s="57"/>
      <c r="I957" s="49"/>
    </row>
    <row r="958">
      <c r="C958" s="57"/>
      <c r="I958" s="49"/>
    </row>
    <row r="959">
      <c r="C959" s="57"/>
      <c r="I959" s="49"/>
    </row>
    <row r="960">
      <c r="C960" s="57"/>
      <c r="I960" s="49"/>
    </row>
    <row r="961">
      <c r="C961" s="57"/>
      <c r="I961" s="49"/>
    </row>
    <row r="962">
      <c r="C962" s="57"/>
      <c r="I962" s="49"/>
    </row>
    <row r="963">
      <c r="C963" s="57"/>
      <c r="I963" s="49"/>
    </row>
    <row r="964">
      <c r="C964" s="57"/>
      <c r="I964" s="49"/>
    </row>
    <row r="965">
      <c r="C965" s="57"/>
      <c r="I965" s="49"/>
    </row>
    <row r="966">
      <c r="C966" s="57"/>
      <c r="I966" s="49"/>
    </row>
    <row r="967">
      <c r="C967" s="57"/>
      <c r="I967" s="49"/>
    </row>
    <row r="968">
      <c r="C968" s="57"/>
      <c r="I968" s="49"/>
    </row>
    <row r="969">
      <c r="C969" s="57"/>
      <c r="I969" s="49"/>
    </row>
    <row r="970">
      <c r="C970" s="57"/>
      <c r="I970" s="49"/>
    </row>
    <row r="971">
      <c r="C971" s="57"/>
      <c r="I971" s="49"/>
    </row>
    <row r="972">
      <c r="C972" s="57"/>
      <c r="I972" s="49"/>
    </row>
    <row r="973">
      <c r="C973" s="57"/>
      <c r="I973" s="49"/>
    </row>
    <row r="974">
      <c r="C974" s="57"/>
      <c r="I974" s="49"/>
    </row>
    <row r="975">
      <c r="C975" s="57"/>
      <c r="I975" s="49"/>
    </row>
    <row r="976">
      <c r="C976" s="57"/>
      <c r="I976" s="49"/>
    </row>
    <row r="977">
      <c r="C977" s="57"/>
      <c r="I977" s="49"/>
    </row>
    <row r="978">
      <c r="C978" s="57"/>
      <c r="I978" s="49"/>
    </row>
    <row r="979">
      <c r="C979" s="57"/>
      <c r="I979" s="49"/>
    </row>
    <row r="980">
      <c r="C980" s="57"/>
      <c r="I980" s="49"/>
    </row>
    <row r="981">
      <c r="C981" s="57"/>
      <c r="I981" s="49"/>
    </row>
    <row r="982">
      <c r="C982" s="57"/>
      <c r="I982" s="49"/>
    </row>
    <row r="983">
      <c r="C983" s="57"/>
      <c r="I983" s="49"/>
    </row>
    <row r="984">
      <c r="C984" s="57"/>
      <c r="I984" s="49"/>
    </row>
    <row r="985">
      <c r="C985" s="57"/>
      <c r="I985" s="49"/>
    </row>
    <row r="986">
      <c r="C986" s="57"/>
      <c r="I986" s="49"/>
    </row>
    <row r="987">
      <c r="C987" s="57"/>
      <c r="I987" s="49"/>
    </row>
    <row r="988">
      <c r="C988" s="57"/>
      <c r="I988" s="49"/>
    </row>
    <row r="989">
      <c r="C989" s="57"/>
      <c r="I989" s="49"/>
    </row>
    <row r="990">
      <c r="C990" s="57"/>
      <c r="I990" s="49"/>
    </row>
    <row r="991">
      <c r="C991" s="57"/>
      <c r="I991" s="49"/>
    </row>
    <row r="992">
      <c r="C992" s="57"/>
      <c r="I992" s="49"/>
    </row>
    <row r="993">
      <c r="C993" s="57"/>
      <c r="I993" s="49"/>
    </row>
    <row r="994">
      <c r="C994" s="57"/>
      <c r="I994" s="49"/>
    </row>
    <row r="995">
      <c r="C995" s="57"/>
      <c r="I995" s="49"/>
    </row>
    <row r="996">
      <c r="C996" s="57"/>
      <c r="I996" s="49"/>
    </row>
    <row r="997">
      <c r="C997" s="57"/>
      <c r="I997" s="49"/>
    </row>
    <row r="998">
      <c r="C998" s="57"/>
      <c r="I998" s="49"/>
    </row>
    <row r="999">
      <c r="C999" s="57"/>
      <c r="I999" s="49"/>
    </row>
    <row r="1000">
      <c r="C1000" s="57"/>
      <c r="I1000" s="49"/>
    </row>
    <row r="1001">
      <c r="C1001" s="57"/>
      <c r="I1001" s="49"/>
    </row>
  </sheetData>
  <mergeCells count="1">
    <mergeCell ref="C2:C3"/>
  </mergeCells>
  <conditionalFormatting sqref="C4:C26">
    <cfRule type="cellIs" dxfId="0" priority="1" operator="lessThan">
      <formula>59.5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63"/>
    <col customWidth="1" hidden="1" min="2" max="2" width="27.0"/>
    <col hidden="1" min="10" max="10" width="12.63"/>
  </cols>
  <sheetData>
    <row r="1">
      <c r="A1" s="46" t="s">
        <v>8960</v>
      </c>
      <c r="B1" s="58">
        <f>SUM(E2:AT2)</f>
        <v>1633</v>
      </c>
      <c r="C1" s="59"/>
      <c r="D1" s="60">
        <f t="shared" ref="D1:AT1" si="1">D2/20</f>
        <v>2.3</v>
      </c>
      <c r="E1" s="60">
        <f t="shared" si="1"/>
        <v>2.95</v>
      </c>
      <c r="F1" s="60">
        <f t="shared" si="1"/>
        <v>3.25</v>
      </c>
      <c r="G1" s="60">
        <f t="shared" si="1"/>
        <v>3.2</v>
      </c>
      <c r="H1" s="60">
        <f t="shared" si="1"/>
        <v>3.4</v>
      </c>
      <c r="I1" s="60">
        <f t="shared" si="1"/>
        <v>2.8</v>
      </c>
      <c r="J1" s="60">
        <f t="shared" si="1"/>
        <v>0.25</v>
      </c>
      <c r="K1" s="60">
        <f t="shared" si="1"/>
        <v>3.6</v>
      </c>
      <c r="L1" s="60">
        <f t="shared" si="1"/>
        <v>3.5</v>
      </c>
      <c r="M1" s="60">
        <f t="shared" si="1"/>
        <v>3.55</v>
      </c>
      <c r="N1" s="60">
        <f t="shared" si="1"/>
        <v>3</v>
      </c>
      <c r="O1" s="60">
        <f t="shared" si="1"/>
        <v>3.5</v>
      </c>
      <c r="P1" s="60">
        <f t="shared" si="1"/>
        <v>2.65</v>
      </c>
      <c r="Q1" s="60">
        <f t="shared" si="1"/>
        <v>0.3</v>
      </c>
      <c r="R1" s="60">
        <f t="shared" si="1"/>
        <v>2.65</v>
      </c>
      <c r="S1" s="60">
        <f t="shared" si="1"/>
        <v>3.05</v>
      </c>
      <c r="T1" s="60">
        <f t="shared" si="1"/>
        <v>1.1</v>
      </c>
      <c r="U1" s="60">
        <f t="shared" si="1"/>
        <v>2.8</v>
      </c>
      <c r="V1" s="60">
        <f t="shared" si="1"/>
        <v>3.05</v>
      </c>
      <c r="W1" s="60">
        <f t="shared" si="1"/>
        <v>2.05</v>
      </c>
      <c r="X1" s="60">
        <f t="shared" si="1"/>
        <v>0.4</v>
      </c>
      <c r="Y1" s="60">
        <f t="shared" si="1"/>
        <v>3</v>
      </c>
      <c r="Z1" s="60">
        <f t="shared" si="1"/>
        <v>3.2</v>
      </c>
      <c r="AA1" s="60">
        <f t="shared" si="1"/>
        <v>1.3</v>
      </c>
      <c r="AB1" s="60">
        <f t="shared" si="1"/>
        <v>3</v>
      </c>
      <c r="AC1" s="60">
        <f t="shared" si="1"/>
        <v>2.35</v>
      </c>
      <c r="AD1" s="60">
        <f t="shared" si="1"/>
        <v>1.85</v>
      </c>
      <c r="AE1" s="60">
        <f t="shared" si="1"/>
        <v>0.3</v>
      </c>
      <c r="AF1" s="60">
        <f t="shared" si="1"/>
        <v>3.15</v>
      </c>
      <c r="AG1" s="60">
        <f t="shared" si="1"/>
        <v>2.05</v>
      </c>
      <c r="AH1" s="60">
        <f t="shared" si="1"/>
        <v>1.95</v>
      </c>
      <c r="AI1" s="60">
        <f t="shared" si="1"/>
        <v>1.9</v>
      </c>
      <c r="AJ1" s="60">
        <f t="shared" si="1"/>
        <v>0</v>
      </c>
      <c r="AK1" s="60">
        <f t="shared" si="1"/>
        <v>0.05</v>
      </c>
      <c r="AL1" s="60">
        <f t="shared" si="1"/>
        <v>1.95</v>
      </c>
      <c r="AM1" s="60">
        <f t="shared" si="1"/>
        <v>1.4</v>
      </c>
      <c r="AN1" s="60">
        <f t="shared" si="1"/>
        <v>0.65</v>
      </c>
      <c r="AO1" s="60">
        <f t="shared" si="1"/>
        <v>0.9</v>
      </c>
      <c r="AP1" s="60">
        <f t="shared" si="1"/>
        <v>0.7</v>
      </c>
      <c r="AQ1" s="60">
        <f t="shared" si="1"/>
        <v>0.5</v>
      </c>
      <c r="AR1" s="60">
        <f t="shared" si="1"/>
        <v>0</v>
      </c>
      <c r="AS1" s="60">
        <f t="shared" si="1"/>
        <v>0.4</v>
      </c>
      <c r="AT1" s="60">
        <f t="shared" si="1"/>
        <v>0</v>
      </c>
    </row>
    <row r="2">
      <c r="A2" s="46" t="s">
        <v>8961</v>
      </c>
      <c r="B2" s="47">
        <f>IFERROR((B1/DashBoard!G4)/20,"")</f>
        <v>1.43245614</v>
      </c>
      <c r="C2" s="48" t="s">
        <v>8962</v>
      </c>
      <c r="D2" s="49">
        <f t="shared" ref="D2:AT2" si="2">SUM(D4,D12,D20)</f>
        <v>46</v>
      </c>
      <c r="E2" s="49">
        <f t="shared" si="2"/>
        <v>59</v>
      </c>
      <c r="F2" s="49">
        <f t="shared" si="2"/>
        <v>65</v>
      </c>
      <c r="G2" s="49">
        <f t="shared" si="2"/>
        <v>64</v>
      </c>
      <c r="H2" s="49">
        <f t="shared" si="2"/>
        <v>68</v>
      </c>
      <c r="I2" s="49">
        <f t="shared" si="2"/>
        <v>56</v>
      </c>
      <c r="J2" s="49">
        <f t="shared" si="2"/>
        <v>5</v>
      </c>
      <c r="K2" s="49">
        <f t="shared" si="2"/>
        <v>72</v>
      </c>
      <c r="L2" s="49">
        <f t="shared" si="2"/>
        <v>70</v>
      </c>
      <c r="M2" s="49">
        <f t="shared" si="2"/>
        <v>71</v>
      </c>
      <c r="N2" s="49">
        <f t="shared" si="2"/>
        <v>60</v>
      </c>
      <c r="O2" s="49">
        <f t="shared" si="2"/>
        <v>70</v>
      </c>
      <c r="P2" s="49">
        <f t="shared" si="2"/>
        <v>53</v>
      </c>
      <c r="Q2" s="49">
        <f t="shared" si="2"/>
        <v>6</v>
      </c>
      <c r="R2" s="49">
        <f t="shared" si="2"/>
        <v>53</v>
      </c>
      <c r="S2" s="49">
        <f t="shared" si="2"/>
        <v>61</v>
      </c>
      <c r="T2" s="49">
        <f t="shared" si="2"/>
        <v>22</v>
      </c>
      <c r="U2" s="49">
        <f t="shared" si="2"/>
        <v>56</v>
      </c>
      <c r="V2" s="49">
        <f t="shared" si="2"/>
        <v>61</v>
      </c>
      <c r="W2" s="49">
        <f t="shared" si="2"/>
        <v>41</v>
      </c>
      <c r="X2" s="49">
        <f t="shared" si="2"/>
        <v>8</v>
      </c>
      <c r="Y2" s="49">
        <f t="shared" si="2"/>
        <v>60</v>
      </c>
      <c r="Z2" s="49">
        <f t="shared" si="2"/>
        <v>64</v>
      </c>
      <c r="AA2" s="49">
        <f t="shared" si="2"/>
        <v>26</v>
      </c>
      <c r="AB2" s="49">
        <f t="shared" si="2"/>
        <v>60</v>
      </c>
      <c r="AC2" s="49">
        <f t="shared" si="2"/>
        <v>47</v>
      </c>
      <c r="AD2" s="49">
        <f t="shared" si="2"/>
        <v>37</v>
      </c>
      <c r="AE2" s="49">
        <f t="shared" si="2"/>
        <v>6</v>
      </c>
      <c r="AF2" s="49">
        <f t="shared" si="2"/>
        <v>63</v>
      </c>
      <c r="AG2" s="49">
        <f t="shared" si="2"/>
        <v>41</v>
      </c>
      <c r="AH2" s="49">
        <f t="shared" si="2"/>
        <v>39</v>
      </c>
      <c r="AI2" s="49">
        <f t="shared" si="2"/>
        <v>38</v>
      </c>
      <c r="AJ2" s="49">
        <f t="shared" si="2"/>
        <v>0</v>
      </c>
      <c r="AK2" s="49">
        <f t="shared" si="2"/>
        <v>1</v>
      </c>
      <c r="AL2" s="49">
        <f t="shared" si="2"/>
        <v>39</v>
      </c>
      <c r="AM2" s="49">
        <f t="shared" si="2"/>
        <v>28</v>
      </c>
      <c r="AN2" s="49">
        <f t="shared" si="2"/>
        <v>13</v>
      </c>
      <c r="AO2" s="49">
        <f t="shared" si="2"/>
        <v>18</v>
      </c>
      <c r="AP2" s="49">
        <f t="shared" si="2"/>
        <v>14</v>
      </c>
      <c r="AQ2" s="49">
        <f t="shared" si="2"/>
        <v>10</v>
      </c>
      <c r="AR2" s="49">
        <f t="shared" si="2"/>
        <v>0</v>
      </c>
      <c r="AS2" s="49">
        <f t="shared" si="2"/>
        <v>8</v>
      </c>
      <c r="AT2" s="49">
        <f t="shared" si="2"/>
        <v>0</v>
      </c>
    </row>
    <row r="3">
      <c r="A3" s="5" t="s">
        <v>8877</v>
      </c>
      <c r="B3" s="5" t="s">
        <v>8963</v>
      </c>
      <c r="D3" s="51">
        <v>45894.0</v>
      </c>
      <c r="E3" s="51">
        <v>45895.0</v>
      </c>
      <c r="F3" s="51">
        <v>45896.0</v>
      </c>
      <c r="G3" s="51">
        <v>45897.0</v>
      </c>
      <c r="H3" s="51">
        <v>45898.0</v>
      </c>
      <c r="I3" s="51">
        <v>45899.0</v>
      </c>
      <c r="J3" s="51">
        <v>45900.0</v>
      </c>
      <c r="K3" s="51">
        <v>45901.0</v>
      </c>
      <c r="L3" s="51">
        <v>45902.0</v>
      </c>
      <c r="M3" s="51">
        <v>45903.0</v>
      </c>
      <c r="N3" s="51">
        <v>45904.0</v>
      </c>
      <c r="O3" s="51">
        <v>45905.0</v>
      </c>
      <c r="P3" s="51">
        <v>45906.0</v>
      </c>
      <c r="Q3" s="51">
        <v>45907.0</v>
      </c>
      <c r="R3" s="51">
        <v>45908.0</v>
      </c>
      <c r="S3" s="51">
        <v>45909.0</v>
      </c>
      <c r="T3" s="51">
        <v>45910.0</v>
      </c>
      <c r="U3" s="51">
        <v>45911.0</v>
      </c>
      <c r="V3" s="51">
        <v>45912.0</v>
      </c>
      <c r="W3" s="51">
        <v>45913.0</v>
      </c>
      <c r="X3" s="51">
        <v>45914.0</v>
      </c>
      <c r="Y3" s="51">
        <v>45915.0</v>
      </c>
      <c r="Z3" s="51">
        <v>45916.0</v>
      </c>
      <c r="AA3" s="51">
        <v>45917.0</v>
      </c>
      <c r="AB3" s="51">
        <v>45918.0</v>
      </c>
      <c r="AC3" s="51">
        <v>45919.0</v>
      </c>
      <c r="AD3" s="51">
        <v>45920.0</v>
      </c>
      <c r="AE3" s="51">
        <v>45921.0</v>
      </c>
      <c r="AF3" s="51">
        <v>45922.0</v>
      </c>
      <c r="AG3" s="51">
        <v>45923.0</v>
      </c>
      <c r="AH3" s="51">
        <v>45924.0</v>
      </c>
      <c r="AI3" s="51">
        <v>45925.0</v>
      </c>
      <c r="AJ3" s="51">
        <v>45926.0</v>
      </c>
      <c r="AK3" s="51">
        <v>45927.0</v>
      </c>
      <c r="AL3" s="51">
        <v>45928.0</v>
      </c>
      <c r="AM3" s="51">
        <v>45929.0</v>
      </c>
      <c r="AN3" s="51">
        <v>45930.0</v>
      </c>
      <c r="AO3" s="51">
        <v>45931.0</v>
      </c>
      <c r="AP3" s="51">
        <v>45932.0</v>
      </c>
      <c r="AQ3" s="51">
        <v>45933.0</v>
      </c>
      <c r="AR3" s="51">
        <v>45934.0</v>
      </c>
      <c r="AS3" s="51">
        <v>45935.0</v>
      </c>
      <c r="AT3" s="51">
        <v>45936.0</v>
      </c>
    </row>
    <row r="4">
      <c r="A4" s="52" t="s">
        <v>1112</v>
      </c>
      <c r="B4" s="52" t="s">
        <v>8970</v>
      </c>
      <c r="C4" s="53">
        <f>AVERAGE(C5:C11)</f>
        <v>72.12770333</v>
      </c>
      <c r="D4" s="54">
        <f t="shared" ref="D4:AT4" si="3">SUM(D5:D11)</f>
        <v>15</v>
      </c>
      <c r="E4" s="54">
        <f t="shared" si="3"/>
        <v>19</v>
      </c>
      <c r="F4" s="54">
        <f t="shared" si="3"/>
        <v>24</v>
      </c>
      <c r="G4" s="54">
        <f t="shared" si="3"/>
        <v>23</v>
      </c>
      <c r="H4" s="54">
        <f t="shared" si="3"/>
        <v>22</v>
      </c>
      <c r="I4" s="54">
        <f t="shared" si="3"/>
        <v>22</v>
      </c>
      <c r="J4" s="54">
        <f t="shared" si="3"/>
        <v>0</v>
      </c>
      <c r="K4" s="54">
        <f t="shared" si="3"/>
        <v>19</v>
      </c>
      <c r="L4" s="54">
        <f t="shared" si="3"/>
        <v>23</v>
      </c>
      <c r="M4" s="54">
        <f t="shared" si="3"/>
        <v>27</v>
      </c>
      <c r="N4" s="54">
        <f t="shared" si="3"/>
        <v>20</v>
      </c>
      <c r="O4" s="54">
        <f t="shared" si="3"/>
        <v>23</v>
      </c>
      <c r="P4" s="54">
        <f t="shared" si="3"/>
        <v>25</v>
      </c>
      <c r="Q4" s="54">
        <f t="shared" si="3"/>
        <v>6</v>
      </c>
      <c r="R4" s="54">
        <f t="shared" si="3"/>
        <v>14</v>
      </c>
      <c r="S4" s="54">
        <f t="shared" si="3"/>
        <v>25</v>
      </c>
      <c r="T4" s="54">
        <f t="shared" si="3"/>
        <v>8</v>
      </c>
      <c r="U4" s="54">
        <f t="shared" si="3"/>
        <v>18</v>
      </c>
      <c r="V4" s="54">
        <f t="shared" si="3"/>
        <v>18</v>
      </c>
      <c r="W4" s="54">
        <f t="shared" si="3"/>
        <v>7</v>
      </c>
      <c r="X4" s="54">
        <f t="shared" si="3"/>
        <v>0</v>
      </c>
      <c r="Y4" s="54">
        <f t="shared" si="3"/>
        <v>16</v>
      </c>
      <c r="Z4" s="54">
        <f t="shared" si="3"/>
        <v>20</v>
      </c>
      <c r="AA4" s="54">
        <f t="shared" si="3"/>
        <v>11</v>
      </c>
      <c r="AB4" s="54">
        <f t="shared" si="3"/>
        <v>23</v>
      </c>
      <c r="AC4" s="54">
        <f t="shared" si="3"/>
        <v>14</v>
      </c>
      <c r="AD4" s="54">
        <f t="shared" si="3"/>
        <v>11</v>
      </c>
      <c r="AE4" s="54">
        <f t="shared" si="3"/>
        <v>0</v>
      </c>
      <c r="AF4" s="54">
        <f t="shared" si="3"/>
        <v>14</v>
      </c>
      <c r="AG4" s="54">
        <f t="shared" si="3"/>
        <v>22</v>
      </c>
      <c r="AH4" s="54">
        <f t="shared" si="3"/>
        <v>15</v>
      </c>
      <c r="AI4" s="54">
        <f t="shared" si="3"/>
        <v>17</v>
      </c>
      <c r="AJ4" s="54">
        <f t="shared" si="3"/>
        <v>0</v>
      </c>
      <c r="AK4" s="54">
        <f t="shared" si="3"/>
        <v>0</v>
      </c>
      <c r="AL4" s="54">
        <f t="shared" si="3"/>
        <v>15</v>
      </c>
      <c r="AM4" s="54">
        <f t="shared" si="3"/>
        <v>8</v>
      </c>
      <c r="AN4" s="54">
        <f t="shared" si="3"/>
        <v>3</v>
      </c>
      <c r="AO4" s="54">
        <f t="shared" si="3"/>
        <v>4</v>
      </c>
      <c r="AP4" s="54">
        <f t="shared" si="3"/>
        <v>6</v>
      </c>
      <c r="AQ4" s="54">
        <f t="shared" si="3"/>
        <v>5</v>
      </c>
      <c r="AR4" s="54">
        <f t="shared" si="3"/>
        <v>0</v>
      </c>
      <c r="AS4" s="54">
        <f t="shared" si="3"/>
        <v>2</v>
      </c>
      <c r="AT4" s="54">
        <f t="shared" si="3"/>
        <v>0</v>
      </c>
      <c r="AU4" s="55"/>
      <c r="AV4" s="55"/>
    </row>
    <row r="5">
      <c r="A5" s="1" t="s">
        <v>220</v>
      </c>
      <c r="B5" s="1" t="s">
        <v>221</v>
      </c>
      <c r="C5" s="56">
        <f>(IFERROR(AVERAGEIFS(data!E:E, data!N:N, 1, data!G:G, $A5:$A1001), "No Match"))/60</f>
        <v>71.42445887</v>
      </c>
      <c r="D5" s="49">
        <f>COUNTIFS(Caseslist!$I:$I,$A5:$A1001,Caseslist!$M:$M,"45894")</f>
        <v>2</v>
      </c>
      <c r="E5" s="49">
        <f>COUNTIFS(Caseslist!$I:$I,$A5:$A1001,Caseslist!$M:$M,"45895")</f>
        <v>3</v>
      </c>
      <c r="F5" s="49">
        <f>COUNTIFS(Caseslist!$I:$I,$A5:$A1001,Caseslist!$M:$M,"45896")</f>
        <v>3</v>
      </c>
      <c r="G5" s="49">
        <f>COUNTIFS(Caseslist!$I:$I,$A5:$A1001,Caseslist!$M:$M,"45897")</f>
        <v>3</v>
      </c>
      <c r="H5" s="49">
        <f>COUNTIFS(Caseslist!$I:$I,$A5:$A1001,Caseslist!$M:$M,"45898")</f>
        <v>3</v>
      </c>
      <c r="I5" s="49">
        <f>COUNTIFS(Caseslist!$I:$I,$A5:$A1001,Caseslist!$M:$M,"45899")</f>
        <v>4</v>
      </c>
      <c r="J5" s="49">
        <f>COUNTIFS(Caseslist!$I:$I,$A5:$A1001,Caseslist!$M:$M,"45900")</f>
        <v>0</v>
      </c>
      <c r="K5" s="49">
        <f>COUNTIFS(Caseslist!$I:$I,$A5:$A1001,Caseslist!$M:$M,"45901")</f>
        <v>3</v>
      </c>
      <c r="L5" s="49">
        <f>COUNTIFS(Caseslist!$I:$I,$A5:$A1001,Caseslist!$M:$M,"45902")</f>
        <v>2</v>
      </c>
      <c r="M5" s="49">
        <f>COUNTIFS(Caseslist!$I:$I,$A5:$A1001,Caseslist!$M:$M,"45903")</f>
        <v>4</v>
      </c>
      <c r="N5" s="49">
        <f>COUNTIFS(Caseslist!$I:$I,$A5:$A1001,Caseslist!$M:$M,"45904")</f>
        <v>3</v>
      </c>
      <c r="O5" s="49">
        <f>COUNTIFS(Caseslist!$I:$I,$A5:$A1001,Caseslist!$M:$M,"45905")</f>
        <v>3</v>
      </c>
      <c r="P5" s="49">
        <f>COUNTIFS(Caseslist!$I:$I,$A5:$A1001,Caseslist!$M:$M,"45906")</f>
        <v>4</v>
      </c>
      <c r="Q5" s="49">
        <f>COUNTIFS(Caseslist!$I:$I,$A5:$A1001,Caseslist!$M:$M,"45907")</f>
        <v>0</v>
      </c>
      <c r="R5" s="49">
        <f>COUNTIFS(Caseslist!$I:$I,$A5:$A1001,Caseslist!$M:$M,"45908")</f>
        <v>3</v>
      </c>
      <c r="S5" s="49">
        <f>COUNTIFS(Caseslist!$I:$I,$A5:$A1001,Caseslist!$M:$M,"45909")</f>
        <v>4</v>
      </c>
      <c r="T5" s="49">
        <f>COUNTIFS(Caseslist!$I:$I,$A5:$A1001,Caseslist!$M:$M,"45910")</f>
        <v>1</v>
      </c>
      <c r="U5" s="49">
        <f>COUNTIFS(Caseslist!$I:$I,$A5:$A1001,Caseslist!$M:$M,"45911")</f>
        <v>3</v>
      </c>
      <c r="V5" s="49">
        <f>COUNTIFS(Caseslist!$I:$I,$A5:$A1001,Caseslist!$M:$M,"45912")</f>
        <v>2</v>
      </c>
      <c r="W5" s="49">
        <f>COUNTIFS(Caseslist!$I:$I,$A5:$A1001,Caseslist!$M:$M,"45913")</f>
        <v>1</v>
      </c>
      <c r="X5" s="49">
        <f>COUNTIFS(Caseslist!$I:$I,$A5:$A1001,Caseslist!$M:$M,"45914")</f>
        <v>0</v>
      </c>
      <c r="Y5" s="49">
        <f>COUNTIFS(Caseslist!$I:$I,$A5:$A1001,Caseslist!$M:$M,"45915")</f>
        <v>2</v>
      </c>
      <c r="Z5" s="49">
        <f>COUNTIFS(Caseslist!$I:$I,$A5:$A1001,Caseslist!$M:$M,"45916")</f>
        <v>3</v>
      </c>
      <c r="AA5" s="49">
        <f>COUNTIFS(Caseslist!$I:$I,$A5:$A1001,Caseslist!$M:$M,"45917")</f>
        <v>1</v>
      </c>
      <c r="AB5" s="49">
        <f>COUNTIFS(Caseslist!$I:$I,$A5:$A1001,Caseslist!$M:$M,"45918")</f>
        <v>2</v>
      </c>
      <c r="AC5" s="49">
        <f>COUNTIFS(Caseslist!$I:$I,$A5:$A1001,Caseslist!$M:$M,"45919")</f>
        <v>2</v>
      </c>
      <c r="AD5" s="49">
        <f>COUNTIFS(Caseslist!$I:$I,$A5:$A1001,Caseslist!$M:$M,"45920")</f>
        <v>1</v>
      </c>
      <c r="AE5" s="49">
        <f>COUNTIFS(Caseslist!$I:$I,$A5:$A1001,Caseslist!$M:$M,"45921")</f>
        <v>0</v>
      </c>
      <c r="AF5" s="49">
        <f>COUNTIFS(Caseslist!$I:$I,$A5:$A1001,Caseslist!$M:$M,"45922")</f>
        <v>2</v>
      </c>
      <c r="AG5" s="49">
        <f>COUNTIFS(Caseslist!$I:$I,$A5:$A1001,Caseslist!$M:$M,"45923")</f>
        <v>3</v>
      </c>
      <c r="AH5" s="49">
        <f>COUNTIFS(Caseslist!$I:$I,$A5:$A1001,Caseslist!$M:$M,"45924")</f>
        <v>2</v>
      </c>
      <c r="AI5" s="49">
        <f>COUNTIFS(Caseslist!$I:$I,$A5:$A1001,Caseslist!$M:$M,"45925")</f>
        <v>2</v>
      </c>
      <c r="AJ5" s="49">
        <f>COUNTIFS(Caseslist!$I:$I,$A5:$A1001,Caseslist!$M:$M,"45926")</f>
        <v>0</v>
      </c>
      <c r="AK5" s="49">
        <f>COUNTIFS(Caseslist!$I:$I,$A5:$A1001,Caseslist!$M:$M,"45927")</f>
        <v>0</v>
      </c>
      <c r="AL5" s="49">
        <f>COUNTIFS(Caseslist!$I:$I,$A5:$A1001,Caseslist!$M:$M,"45928")</f>
        <v>2</v>
      </c>
      <c r="AM5" s="49">
        <f>COUNTIFS(Caseslist!$I:$I,$A5:$A1001,Caseslist!$M:$M,"45929")</f>
        <v>1</v>
      </c>
      <c r="AN5" s="49">
        <f>COUNTIFS(Caseslist!$I:$I,$A5:$A1001,Caseslist!$M:$M,"45930")</f>
        <v>0</v>
      </c>
      <c r="AO5" s="49">
        <f>COUNTIFS(Caseslist!$I:$I,$A5:$A1001,Caseslist!$M:$M,"45931")</f>
        <v>1</v>
      </c>
      <c r="AP5" s="49">
        <f>COUNTIFS(Caseslist!$I:$I,$A5:$A1001,Caseslist!$M:$M,"45932")</f>
        <v>0</v>
      </c>
      <c r="AQ5" s="49">
        <f>COUNTIFS(Caseslist!$I:$I,$A5:$A1001,Caseslist!$M:$M,"45933")</f>
        <v>1</v>
      </c>
      <c r="AR5" s="49">
        <f>COUNTIFS(Caseslist!$I:$I,$A5:$A1001,Caseslist!$M:$M,"45934")</f>
        <v>0</v>
      </c>
      <c r="AS5" s="49">
        <f>COUNTIFS(Caseslist!$I:$I,$A5:$A1001,Caseslist!$M:$M,"45935")</f>
        <v>0</v>
      </c>
      <c r="AT5" s="49">
        <f>COUNTIFS(Caseslist!$I:$I,$A5:$A1001,Caseslist!$M:$M,"45936")</f>
        <v>0</v>
      </c>
    </row>
    <row r="6">
      <c r="A6" s="1" t="s">
        <v>132</v>
      </c>
      <c r="B6" s="1" t="s">
        <v>133</v>
      </c>
      <c r="C6" s="56">
        <f>(IFERROR(AVERAGEIFS(data!E:E, data!N:N, 1, data!G:G, $A6:$A1001), "No Match"))/60</f>
        <v>68.10488889</v>
      </c>
      <c r="D6" s="49">
        <f>COUNTIFS(Caseslist!$I:$I,$A6:$A1001,Caseslist!$M:$M,"45894")</f>
        <v>2</v>
      </c>
      <c r="E6" s="49">
        <f>COUNTIFS(Caseslist!$I:$I,$A6:$A1001,Caseslist!$M:$M,"45895")</f>
        <v>3</v>
      </c>
      <c r="F6" s="49">
        <f>COUNTIFS(Caseslist!$I:$I,$A6:$A1001,Caseslist!$M:$M,"45896")</f>
        <v>3</v>
      </c>
      <c r="G6" s="49">
        <f>COUNTIFS(Caseslist!$I:$I,$A6:$A1001,Caseslist!$M:$M,"45897")</f>
        <v>3</v>
      </c>
      <c r="H6" s="49">
        <f>COUNTIFS(Caseslist!$I:$I,$A6:$A1001,Caseslist!$M:$M,"45898")</f>
        <v>3</v>
      </c>
      <c r="I6" s="49">
        <f>COUNTIFS(Caseslist!$I:$I,$A6:$A1001,Caseslist!$M:$M,"45899")</f>
        <v>3</v>
      </c>
      <c r="J6" s="49">
        <f>COUNTIFS(Caseslist!$I:$I,$A6:$A1001,Caseslist!$M:$M,"45900")</f>
        <v>0</v>
      </c>
      <c r="K6" s="49">
        <f>COUNTIFS(Caseslist!$I:$I,$A6:$A1001,Caseslist!$M:$M,"45901")</f>
        <v>1</v>
      </c>
      <c r="L6" s="49">
        <f>COUNTIFS(Caseslist!$I:$I,$A6:$A1001,Caseslist!$M:$M,"45902")</f>
        <v>3</v>
      </c>
      <c r="M6" s="49">
        <f>COUNTIFS(Caseslist!$I:$I,$A6:$A1001,Caseslist!$M:$M,"45903")</f>
        <v>4</v>
      </c>
      <c r="N6" s="49">
        <f>COUNTIFS(Caseslist!$I:$I,$A6:$A1001,Caseslist!$M:$M,"45904")</f>
        <v>3</v>
      </c>
      <c r="O6" s="49">
        <f>COUNTIFS(Caseslist!$I:$I,$A6:$A1001,Caseslist!$M:$M,"45905")</f>
        <v>4</v>
      </c>
      <c r="P6" s="49">
        <f>COUNTIFS(Caseslist!$I:$I,$A6:$A1001,Caseslist!$M:$M,"45906")</f>
        <v>3</v>
      </c>
      <c r="Q6" s="49">
        <f>COUNTIFS(Caseslist!$I:$I,$A6:$A1001,Caseslist!$M:$M,"45907")</f>
        <v>3</v>
      </c>
      <c r="R6" s="49">
        <f>COUNTIFS(Caseslist!$I:$I,$A6:$A1001,Caseslist!$M:$M,"45908")</f>
        <v>0</v>
      </c>
      <c r="S6" s="49">
        <f>COUNTIFS(Caseslist!$I:$I,$A6:$A1001,Caseslist!$M:$M,"45909")</f>
        <v>3</v>
      </c>
      <c r="T6" s="49">
        <f>COUNTIFS(Caseslist!$I:$I,$A6:$A1001,Caseslist!$M:$M,"45910")</f>
        <v>1</v>
      </c>
      <c r="U6" s="49">
        <f>COUNTIFS(Caseslist!$I:$I,$A6:$A1001,Caseslist!$M:$M,"45911")</f>
        <v>3</v>
      </c>
      <c r="V6" s="49">
        <f>COUNTIFS(Caseslist!$I:$I,$A6:$A1001,Caseslist!$M:$M,"45912")</f>
        <v>2</v>
      </c>
      <c r="W6" s="49">
        <f>COUNTIFS(Caseslist!$I:$I,$A6:$A1001,Caseslist!$M:$M,"45913")</f>
        <v>1</v>
      </c>
      <c r="X6" s="49">
        <f>COUNTIFS(Caseslist!$I:$I,$A6:$A1001,Caseslist!$M:$M,"45914")</f>
        <v>0</v>
      </c>
      <c r="Y6" s="49">
        <f>COUNTIFS(Caseslist!$I:$I,$A6:$A1001,Caseslist!$M:$M,"45915")</f>
        <v>3</v>
      </c>
      <c r="Z6" s="49">
        <f>COUNTIFS(Caseslist!$I:$I,$A6:$A1001,Caseslist!$M:$M,"45916")</f>
        <v>3</v>
      </c>
      <c r="AA6" s="49">
        <f>COUNTIFS(Caseslist!$I:$I,$A6:$A1001,Caseslist!$M:$M,"45917")</f>
        <v>1</v>
      </c>
      <c r="AB6" s="49">
        <f>COUNTIFS(Caseslist!$I:$I,$A6:$A1001,Caseslist!$M:$M,"45918")</f>
        <v>3</v>
      </c>
      <c r="AC6" s="49">
        <f>COUNTIFS(Caseslist!$I:$I,$A6:$A1001,Caseslist!$M:$M,"45919")</f>
        <v>2</v>
      </c>
      <c r="AD6" s="49">
        <f>COUNTIFS(Caseslist!$I:$I,$A6:$A1001,Caseslist!$M:$M,"45920")</f>
        <v>1</v>
      </c>
      <c r="AE6" s="49">
        <f>COUNTIFS(Caseslist!$I:$I,$A6:$A1001,Caseslist!$M:$M,"45921")</f>
        <v>0</v>
      </c>
      <c r="AF6" s="49">
        <f>COUNTIFS(Caseslist!$I:$I,$A6:$A1001,Caseslist!$M:$M,"45922")</f>
        <v>2</v>
      </c>
      <c r="AG6" s="49">
        <f>COUNTIFS(Caseslist!$I:$I,$A6:$A1001,Caseslist!$M:$M,"45923")</f>
        <v>2</v>
      </c>
      <c r="AH6" s="49">
        <f>COUNTIFS(Caseslist!$I:$I,$A6:$A1001,Caseslist!$M:$M,"45924")</f>
        <v>2</v>
      </c>
      <c r="AI6" s="49">
        <f>COUNTIFS(Caseslist!$I:$I,$A6:$A1001,Caseslist!$M:$M,"45925")</f>
        <v>2</v>
      </c>
      <c r="AJ6" s="49">
        <f>COUNTIFS(Caseslist!$I:$I,$A6:$A1001,Caseslist!$M:$M,"45926")</f>
        <v>0</v>
      </c>
      <c r="AK6" s="49">
        <f>COUNTIFS(Caseslist!$I:$I,$A6:$A1001,Caseslist!$M:$M,"45927")</f>
        <v>0</v>
      </c>
      <c r="AL6" s="49">
        <f>COUNTIFS(Caseslist!$I:$I,$A6:$A1001,Caseslist!$M:$M,"45928")</f>
        <v>1</v>
      </c>
      <c r="AM6" s="49">
        <f>COUNTIFS(Caseslist!$I:$I,$A6:$A1001,Caseslist!$M:$M,"45929")</f>
        <v>1</v>
      </c>
      <c r="AN6" s="49">
        <f>COUNTIFS(Caseslist!$I:$I,$A6:$A1001,Caseslist!$M:$M,"45930")</f>
        <v>1</v>
      </c>
      <c r="AO6" s="49">
        <f>COUNTIFS(Caseslist!$I:$I,$A6:$A1001,Caseslist!$M:$M,"45931")</f>
        <v>0</v>
      </c>
      <c r="AP6" s="49">
        <f>COUNTIFS(Caseslist!$I:$I,$A6:$A1001,Caseslist!$M:$M,"45932")</f>
        <v>1</v>
      </c>
      <c r="AQ6" s="49">
        <f>COUNTIFS(Caseslist!$I:$I,$A6:$A1001,Caseslist!$M:$M,"45933")</f>
        <v>1</v>
      </c>
      <c r="AR6" s="49">
        <f>COUNTIFS(Caseslist!$I:$I,$A6:$A1001,Caseslist!$M:$M,"45934")</f>
        <v>0</v>
      </c>
      <c r="AS6" s="49">
        <f>COUNTIFS(Caseslist!$I:$I,$A6:$A1001,Caseslist!$M:$M,"45935")</f>
        <v>0</v>
      </c>
      <c r="AT6" s="49">
        <f>COUNTIFS(Caseslist!$I:$I,$A6:$A1001,Caseslist!$M:$M,"45936")</f>
        <v>0</v>
      </c>
    </row>
    <row r="7">
      <c r="A7" s="1" t="s">
        <v>167</v>
      </c>
      <c r="B7" s="1" t="s">
        <v>168</v>
      </c>
      <c r="C7" s="56">
        <f>(IFERROR(AVERAGEIFS(data!E:E, data!N:N, 1, data!G:G, $A7:$A1001), "No Match"))/60</f>
        <v>73.198</v>
      </c>
      <c r="D7" s="49">
        <f>COUNTIFS(Caseslist!$I:$I,$A7:$A1001,Caseslist!$M:$M,"45894")</f>
        <v>2</v>
      </c>
      <c r="E7" s="49">
        <f>COUNTIFS(Caseslist!$I:$I,$A7:$A1001,Caseslist!$M:$M,"45895")</f>
        <v>2</v>
      </c>
      <c r="F7" s="49">
        <f>COUNTIFS(Caseslist!$I:$I,$A7:$A1001,Caseslist!$M:$M,"45896")</f>
        <v>4</v>
      </c>
      <c r="G7" s="49">
        <f>COUNTIFS(Caseslist!$I:$I,$A7:$A1001,Caseslist!$M:$M,"45897")</f>
        <v>3</v>
      </c>
      <c r="H7" s="49">
        <f>COUNTIFS(Caseslist!$I:$I,$A7:$A1001,Caseslist!$M:$M,"45898")</f>
        <v>3</v>
      </c>
      <c r="I7" s="49">
        <f>COUNTIFS(Caseslist!$I:$I,$A7:$A1001,Caseslist!$M:$M,"45899")</f>
        <v>3</v>
      </c>
      <c r="J7" s="49">
        <f>COUNTIFS(Caseslist!$I:$I,$A7:$A1001,Caseslist!$M:$M,"45900")</f>
        <v>0</v>
      </c>
      <c r="K7" s="49">
        <f>COUNTIFS(Caseslist!$I:$I,$A7:$A1001,Caseslist!$M:$M,"45901")</f>
        <v>4</v>
      </c>
      <c r="L7" s="49">
        <f>COUNTIFS(Caseslist!$I:$I,$A7:$A1001,Caseslist!$M:$M,"45902")</f>
        <v>2</v>
      </c>
      <c r="M7" s="49">
        <f>COUNTIFS(Caseslist!$I:$I,$A7:$A1001,Caseslist!$M:$M,"45903")</f>
        <v>4</v>
      </c>
      <c r="N7" s="49">
        <f>COUNTIFS(Caseslist!$I:$I,$A7:$A1001,Caseslist!$M:$M,"45904")</f>
        <v>3</v>
      </c>
      <c r="O7" s="49">
        <f>COUNTIFS(Caseslist!$I:$I,$A7:$A1001,Caseslist!$M:$M,"45905")</f>
        <v>2</v>
      </c>
      <c r="P7" s="49">
        <f>COUNTIFS(Caseslist!$I:$I,$A7:$A1001,Caseslist!$M:$M,"45906")</f>
        <v>4</v>
      </c>
      <c r="Q7" s="49">
        <f>COUNTIFS(Caseslist!$I:$I,$A7:$A1001,Caseslist!$M:$M,"45907")</f>
        <v>0</v>
      </c>
      <c r="R7" s="49">
        <f>COUNTIFS(Caseslist!$I:$I,$A7:$A1001,Caseslist!$M:$M,"45908")</f>
        <v>4</v>
      </c>
      <c r="S7" s="49">
        <f>COUNTIFS(Caseslist!$I:$I,$A7:$A1001,Caseslist!$M:$M,"45909")</f>
        <v>3</v>
      </c>
      <c r="T7" s="49">
        <f>COUNTIFS(Caseslist!$I:$I,$A7:$A1001,Caseslist!$M:$M,"45910")</f>
        <v>1</v>
      </c>
      <c r="U7" s="49">
        <f>COUNTIFS(Caseslist!$I:$I,$A7:$A1001,Caseslist!$M:$M,"45911")</f>
        <v>2</v>
      </c>
      <c r="V7" s="49">
        <f>COUNTIFS(Caseslist!$I:$I,$A7:$A1001,Caseslist!$M:$M,"45912")</f>
        <v>2</v>
      </c>
      <c r="W7" s="49">
        <f>COUNTIFS(Caseslist!$I:$I,$A7:$A1001,Caseslist!$M:$M,"45913")</f>
        <v>1</v>
      </c>
      <c r="X7" s="49">
        <f>COUNTIFS(Caseslist!$I:$I,$A7:$A1001,Caseslist!$M:$M,"45914")</f>
        <v>0</v>
      </c>
      <c r="Y7" s="49">
        <f>COUNTIFS(Caseslist!$I:$I,$A7:$A1001,Caseslist!$M:$M,"45915")</f>
        <v>2</v>
      </c>
      <c r="Z7" s="49">
        <f>COUNTIFS(Caseslist!$I:$I,$A7:$A1001,Caseslist!$M:$M,"45916")</f>
        <v>2</v>
      </c>
      <c r="AA7" s="49">
        <f>COUNTIFS(Caseslist!$I:$I,$A7:$A1001,Caseslist!$M:$M,"45917")</f>
        <v>1</v>
      </c>
      <c r="AB7" s="49">
        <f>COUNTIFS(Caseslist!$I:$I,$A7:$A1001,Caseslist!$M:$M,"45918")</f>
        <v>3</v>
      </c>
      <c r="AC7" s="49">
        <f>COUNTIFS(Caseslist!$I:$I,$A7:$A1001,Caseslist!$M:$M,"45919")</f>
        <v>2</v>
      </c>
      <c r="AD7" s="49">
        <f>COUNTIFS(Caseslist!$I:$I,$A7:$A1001,Caseslist!$M:$M,"45920")</f>
        <v>1</v>
      </c>
      <c r="AE7" s="49">
        <f>COUNTIFS(Caseslist!$I:$I,$A7:$A1001,Caseslist!$M:$M,"45921")</f>
        <v>0</v>
      </c>
      <c r="AF7" s="49">
        <f>COUNTIFS(Caseslist!$I:$I,$A7:$A1001,Caseslist!$M:$M,"45922")</f>
        <v>2</v>
      </c>
      <c r="AG7" s="49">
        <f>COUNTIFS(Caseslist!$I:$I,$A7:$A1001,Caseslist!$M:$M,"45923")</f>
        <v>3</v>
      </c>
      <c r="AH7" s="49">
        <f>COUNTIFS(Caseslist!$I:$I,$A7:$A1001,Caseslist!$M:$M,"45924")</f>
        <v>1</v>
      </c>
      <c r="AI7" s="49">
        <f>COUNTIFS(Caseslist!$I:$I,$A7:$A1001,Caseslist!$M:$M,"45925")</f>
        <v>2</v>
      </c>
      <c r="AJ7" s="49">
        <f>COUNTIFS(Caseslist!$I:$I,$A7:$A1001,Caseslist!$M:$M,"45926")</f>
        <v>0</v>
      </c>
      <c r="AK7" s="49">
        <f>COUNTIFS(Caseslist!$I:$I,$A7:$A1001,Caseslist!$M:$M,"45927")</f>
        <v>0</v>
      </c>
      <c r="AL7" s="49">
        <f>COUNTIFS(Caseslist!$I:$I,$A7:$A1001,Caseslist!$M:$M,"45928")</f>
        <v>2</v>
      </c>
      <c r="AM7" s="49">
        <f>COUNTIFS(Caseslist!$I:$I,$A7:$A1001,Caseslist!$M:$M,"45929")</f>
        <v>1</v>
      </c>
      <c r="AN7" s="49">
        <f>COUNTIFS(Caseslist!$I:$I,$A7:$A1001,Caseslist!$M:$M,"45930")</f>
        <v>0</v>
      </c>
      <c r="AO7" s="49">
        <f>COUNTIFS(Caseslist!$I:$I,$A7:$A1001,Caseslist!$M:$M,"45931")</f>
        <v>0</v>
      </c>
      <c r="AP7" s="49">
        <f>COUNTIFS(Caseslist!$I:$I,$A7:$A1001,Caseslist!$M:$M,"45932")</f>
        <v>0</v>
      </c>
      <c r="AQ7" s="49">
        <f>COUNTIFS(Caseslist!$I:$I,$A7:$A1001,Caseslist!$M:$M,"45933")</f>
        <v>0</v>
      </c>
      <c r="AR7" s="49">
        <f>COUNTIFS(Caseslist!$I:$I,$A7:$A1001,Caseslist!$M:$M,"45934")</f>
        <v>0</v>
      </c>
      <c r="AS7" s="49">
        <f>COUNTIFS(Caseslist!$I:$I,$A7:$A1001,Caseslist!$M:$M,"45935")</f>
        <v>1</v>
      </c>
      <c r="AT7" s="49">
        <f>COUNTIFS(Caseslist!$I:$I,$A7:$A1001,Caseslist!$M:$M,"45936")</f>
        <v>0</v>
      </c>
    </row>
    <row r="8">
      <c r="A8" s="1" t="s">
        <v>8971</v>
      </c>
      <c r="B8" s="1" t="s">
        <v>8972</v>
      </c>
      <c r="C8" s="56">
        <f>IFERROR(__xludf.DUMMYFUNCTION("IFERROR(AVERAGE(FILTER(data!E:E, (data!N:N=1) * ((data!G:G=$A8) + (data!G:G=896791))))/60, ""No Match"")"),75.15131578947368)</f>
        <v>75.15131579</v>
      </c>
      <c r="D8" s="49">
        <f>COUNTIFS(Caseslist!$I:$I,$A22,Caseslist!$M:$M,"45894")
+COUNTIFS(Caseslist!$I:$I,896791,Caseslist!$M:$M,"45894")
-IF($A22=896791,COUNTIFS(Caseslist!$I:$I,896791,Caseslist!$M:$M,"45894"),0)</f>
        <v>3</v>
      </c>
      <c r="E8" s="49">
        <f>COUNTIFS(Caseslist!$I:$I,$A8,Caseslist!$M:$M,"45895")
+COUNTIFS(Caseslist!$I:$I,896791,Caseslist!$M:$M,"45895")
-IF($A8=896791,COUNTIFS(Caseslist!$I:$I,896791,Caseslist!$M:$M,"45895"),0)</f>
        <v>3</v>
      </c>
      <c r="F8" s="49">
        <f>COUNTIFS(Caseslist!$I:$I,$A8,Caseslist!$M:$M,"45896")
+COUNTIFS(Caseslist!$I:$I,896791,Caseslist!$M:$M,"45896")
-IF($A8=896791,COUNTIFS(Caseslist!$I:$I,896791,Caseslist!$M:$M,"45896"),0)</f>
        <v>3</v>
      </c>
      <c r="G8" s="49">
        <f>COUNTIFS(Caseslist!$I:$I,$A8,Caseslist!$M:$M,"45897")
+COUNTIFS(Caseslist!$I:$I,896791,Caseslist!$M:$M,"45897")
-IF($A8=896791,COUNTIFS(Caseslist!$I:$I,896791,Caseslist!$M:$M,"45897"),0)</f>
        <v>3</v>
      </c>
      <c r="H8" s="49">
        <f>COUNTIFS(Caseslist!$I:$I,$A8,Caseslist!$M:$M,"45898")
+COUNTIFS(Caseslist!$I:$I,896791,Caseslist!$M:$M,"45898")
-IF($A8=896791,COUNTIFS(Caseslist!$I:$I,896791,Caseslist!$M:$M,"45898"),0)</f>
        <v>3</v>
      </c>
      <c r="I8" s="49">
        <f>COUNTIFS(Caseslist!$I:$I,$A8:$A1001,Caseslist!$M:$M,"45899")</f>
        <v>0</v>
      </c>
      <c r="J8" s="49">
        <f>COUNTIFS(Caseslist!$I:$I,$A8:$A1001,Caseslist!$M:$M,"45900")</f>
        <v>0</v>
      </c>
      <c r="K8" s="49">
        <f>COUNTIFS(Caseslist!$I:$I,$A8:$A1001,Caseslist!$M:$M,"45901")
+COUNTIFS(Caseslist!$I:$I,896791,Caseslist!$M:$M,"45901")
-IF($A8=896791,COUNTIFS(Caseslist!$I:$I,896791,Caseslist!$M:$M,"45901"),0)</f>
        <v>2</v>
      </c>
      <c r="L8" s="49">
        <f>COUNTIFS(Caseslist!$I:$I,$A8:$A1001,Caseslist!$M:$M,"45902")
+COUNTIFS(Caseslist!$I:$I,896791,Caseslist!$M:$M,"45902")
-IF($A8=896791,COUNTIFS(Caseslist!$I:$I,896791,Caseslist!$M:$M,"45902"),0)</f>
        <v>2</v>
      </c>
      <c r="M8" s="49">
        <f>COUNTIFS(Caseslist!$I:$I,$A8:$A1001,Caseslist!$M:$M,"45903")
+COUNTIFS(Caseslist!$I:$I,896791,Caseslist!$M:$M,"45903")
-IF($A8=896791,COUNTIFS(Caseslist!$I:$I,896791,Caseslist!$M:$M,"45903"),0)</f>
        <v>4</v>
      </c>
      <c r="N8" s="49">
        <f>COUNTIFS(Caseslist!$I:$I,$A8:$A1001,Caseslist!$M:$M,"45904")
+COUNTIFS(Caseslist!$I:$I,896791,Caseslist!$M:$M,"45904")
-IF($A8=896791,COUNTIFS(Caseslist!$I:$I,896791,Caseslist!$M:$M,"45904"),0)</f>
        <v>3</v>
      </c>
      <c r="O8" s="49">
        <f>COUNTIFS(Caseslist!$I:$I,$A8:$A1001,Caseslist!$M:$M,"45905")
+COUNTIFS(Caseslist!$I:$I,896791,Caseslist!$M:$M,"45905")
-IF($A8=896791,COUNTIFS(Caseslist!$I:$I,896791,Caseslist!$M:$M,"45905"),0)</f>
        <v>4</v>
      </c>
      <c r="P8" s="49">
        <f>COUNTIFS(Caseslist!$I:$I,$A8:$A1001,Caseslist!$M:$M,"45906")
+COUNTIFS(Caseslist!$I:$I,896791,Caseslist!$M:$M,"45906")
-IF($A8=896791,COUNTIFS(Caseslist!$I:$I,896791,Caseslist!$M:$M,"45906"),0)</f>
        <v>3</v>
      </c>
      <c r="Q8" s="49">
        <f>COUNTIFS(Caseslist!$I:$I,$A8:$A1001,Caseslist!$M:$M,"45907")
+COUNTIFS(Caseslist!$I:$I,896791,Caseslist!$M:$M,"45907")
-IF($A8=896791,COUNTIFS(Caseslist!$I:$I,896791,Caseslist!$M:$M,"45907"),0)</f>
        <v>2</v>
      </c>
      <c r="R8" s="49">
        <f>COUNTIFS(Caseslist!$I:$I,$A8:$A1001,Caseslist!$M:$M,"45908")
+COUNTIFS(Caseslist!$I:$I,896791,Caseslist!$M:$M,"45908")
-IF($A8=896791,COUNTIFS(Caseslist!$I:$I,896791,Caseslist!$M:$M,"45908"),0)</f>
        <v>0</v>
      </c>
      <c r="S8" s="49">
        <f>COUNTIFS(Caseslist!$I:$I,$A8:$A1001,Caseslist!$M:$M,"45909")
+COUNTIFS(Caseslist!$I:$I,896791,Caseslist!$M:$M,"45909")
-IF($A8=896791,COUNTIFS(Caseslist!$I:$I,896791,Caseslist!$M:$M,"45909"),0)</f>
        <v>4</v>
      </c>
      <c r="T8" s="49">
        <f>COUNTIFS(Caseslist!$I:$I,$A8:$A1001,Caseslist!$M:$M,"45910")
+COUNTIFS(Caseslist!$I:$I,896791,Caseslist!$M:$M,"45910")
-IF($A8=896791,COUNTIFS(Caseslist!$I:$I,896791,Caseslist!$M:$M,"45910"),0)</f>
        <v>1</v>
      </c>
      <c r="U8" s="49">
        <f>COUNTIFS(Caseslist!$I:$I,$A8:$A1001,Caseslist!$M:$M,"45911")
+COUNTIFS(Caseslist!$I:$I,896791,Caseslist!$M:$M,"45911")
-IF($A8=896791,COUNTIFS(Caseslist!$I:$I,896791,Caseslist!$M:$M,"45911"),0)</f>
        <v>2</v>
      </c>
      <c r="V8" s="49">
        <f>COUNTIFS(Caseslist!$I:$I,$A8:$A1001,Caseslist!$M:$M,"45912")
+COUNTIFS(Caseslist!$I:$I,896791,Caseslist!$M:$M,"45912")
-IF($A8=896791,COUNTIFS(Caseslist!$I:$I,896791,Caseslist!$M:$M,"45912"),0)</f>
        <v>2</v>
      </c>
      <c r="W8" s="49">
        <f>COUNTIFS(Caseslist!$I:$I,$A8:$A1001,Caseslist!$M:$M,"45913")
+COUNTIFS(Caseslist!$I:$I,896791,Caseslist!$M:$M,"45913")
-IF($A8=896791,COUNTIFS(Caseslist!$I:$I,896791,Caseslist!$M:$M,"45913"),0)</f>
        <v>1</v>
      </c>
      <c r="X8" s="49">
        <f>COUNTIFS(Caseslist!$I:$I,$A8:$A1001,Caseslist!$M:$M,"45914")
+COUNTIFS(Caseslist!$I:$I,896791,Caseslist!$M:$M,"45914")
-IF($A8=896791,COUNTIFS(Caseslist!$I:$I,896791,Caseslist!$M:$M,"45914"),0)</f>
        <v>0</v>
      </c>
      <c r="Y8" s="49">
        <f>COUNTIFS(Caseslist!$I:$I,$A8:$A1001,Caseslist!$M:$M,"45915")
+COUNTIFS(Caseslist!$I:$I,896791,Caseslist!$M:$M,"45915")
-IF($A8=896791,COUNTIFS(Caseslist!$I:$I,896791,Caseslist!$M:$M,"45915"),0)</f>
        <v>2</v>
      </c>
      <c r="Z8" s="49">
        <f>COUNTIFS(Caseslist!$I:$I,$A8:$A1001,Caseslist!$M:$M,"45916")
+COUNTIFS(Caseslist!$I:$I,896791,Caseslist!$M:$M,"45916")
-IF($A8=896791,COUNTIFS(Caseslist!$I:$I,896791,Caseslist!$M:$M,"45916"),0)</f>
        <v>3</v>
      </c>
      <c r="AA8" s="49">
        <f>COUNTIFS(Caseslist!$I:$I,$A8:$A1001,Caseslist!$M:$M,"45917")
+COUNTIFS(Caseslist!$I:$I,896791,Caseslist!$M:$M,"45917")
-IF($A8=896791,COUNTIFS(Caseslist!$I:$I,896791,Caseslist!$M:$M,"45917"),0)</f>
        <v>1</v>
      </c>
      <c r="AB8" s="49">
        <f>COUNTIFS(Caseslist!$I:$I,$A8:$A1001,Caseslist!$M:$M,"45918")
+COUNTIFS(Caseslist!$I:$I,896791,Caseslist!$M:$M,"45918")
-IF($A8=896791,COUNTIFS(Caseslist!$I:$I,896791,Caseslist!$M:$M,"45918"),0)</f>
        <v>3</v>
      </c>
      <c r="AC8" s="49">
        <f>COUNTIFS(Caseslist!$I:$I,$A8:$A1001,Caseslist!$M:$M,"45919")
+COUNTIFS(Caseslist!$I:$I,896791,Caseslist!$M:$M,"45919")
-IF($A8=896791,COUNTIFS(Caseslist!$I:$I,896791,Caseslist!$M:$M,"45919"),0)</f>
        <v>2</v>
      </c>
      <c r="AD8" s="49">
        <f>COUNTIFS(Caseslist!$I:$I,$A8:$A1001,Caseslist!$M:$M,"45920")
+COUNTIFS(Caseslist!$I:$I,896791,Caseslist!$M:$M,"45920")
-IF($A8=896791,COUNTIFS(Caseslist!$I:$I,896791,Caseslist!$M:$M,"45920"),0)</f>
        <v>2</v>
      </c>
      <c r="AE8" s="49">
        <f>COUNTIFS(Caseslist!$I:$I,$A8:$A1001,Caseslist!$M:$M,"45921")
+COUNTIFS(Caseslist!$I:$I,896791,Caseslist!$M:$M,"45921")
-IF($A8=896791,COUNTIFS(Caseslist!$I:$I,896791,Caseslist!$M:$M,"45921"),0)</f>
        <v>0</v>
      </c>
      <c r="AF8" s="49">
        <f>COUNTIFS(Caseslist!$I:$I,$A8:$A1001,Caseslist!$M:$M,"45922")
+COUNTIFS(Caseslist!$I:$I,896791,Caseslist!$M:$M,"45922")
-IF($A8=896791,COUNTIFS(Caseslist!$I:$I,896791,Caseslist!$M:$M,"45922"),0)</f>
        <v>2</v>
      </c>
      <c r="AG8" s="49">
        <f>COUNTIFS(Caseslist!$I:$I,$A8:$A1001,Caseslist!$M:$M,"45923")
+COUNTIFS(Caseslist!$I:$I,896791,Caseslist!$M:$M,"45923")
-IF($A8=896791,COUNTIFS(Caseslist!$I:$I,896791,Caseslist!$M:$M,"45923"),0)</f>
        <v>3</v>
      </c>
      <c r="AH8" s="49">
        <f>COUNTIFS(Caseslist!$I:$I,$A8:$A1001,Caseslist!$M:$M,"45924")
+COUNTIFS(Caseslist!$I:$I,896791,Caseslist!$M:$M,"45924")
-IF($A8=896791,COUNTIFS(Caseslist!$I:$I,896791,Caseslist!$M:$M,"45924"),0)</f>
        <v>1</v>
      </c>
      <c r="AI8" s="49">
        <f>COUNTIFS(Caseslist!$I:$I,$A8:$A1001,Caseslist!$M:$M,"45925")
+COUNTIFS(Caseslist!$I:$I,896791,Caseslist!$M:$M,"45925")
-IF($A8=896791,COUNTIFS(Caseslist!$I:$I,896791,Caseslist!$M:$M,"45925"),0)</f>
        <v>2</v>
      </c>
      <c r="AJ8" s="49">
        <f>COUNTIFS(Caseslist!$I:$I,$A8:$A1001,Caseslist!$M:$M,"45926")
+COUNTIFS(Caseslist!$I:$I,896791,Caseslist!$M:$M,"45926")
-IF($A8=896791,COUNTIFS(Caseslist!$I:$I,896791,Caseslist!$M:$M,"45926"),0)</f>
        <v>0</v>
      </c>
      <c r="AK8" s="49">
        <f>COUNTIFS(Caseslist!$I:$I,$A8:$A1001,Caseslist!$M:$M,"45927")
+COUNTIFS(Caseslist!$I:$I,896791,Caseslist!$M:$M,"45927")
-IF($A8=896791,COUNTIFS(Caseslist!$I:$I,896791,Caseslist!$M:$M,"45927"),0)</f>
        <v>0</v>
      </c>
      <c r="AL8" s="49">
        <f>COUNTIFS(Caseslist!$I:$I,$A8:$A1001,Caseslist!$M:$M,"45928")
+COUNTIFS(Caseslist!$I:$I,896791,Caseslist!$M:$M,"45928")
-IF($A8=896791,COUNTIFS(Caseslist!$I:$I,896791,Caseslist!$M:$M,"45928"),0)</f>
        <v>2</v>
      </c>
      <c r="AM8" s="49">
        <f>COUNTIFS(Caseslist!$I:$I,$A8:$A1001,Caseslist!$M:$M,"45929")
+COUNTIFS(Caseslist!$I:$I,896791,Caseslist!$M:$M,"45929")
-IF($A8=896791,COUNTIFS(Caseslist!$I:$I,896791,Caseslist!$M:$M,"45929"),0)</f>
        <v>1</v>
      </c>
      <c r="AN8" s="49">
        <f>COUNTIFS(Caseslist!$I:$I,$A8:$A1001,Caseslist!$M:$M,"45930")
+COUNTIFS(Caseslist!$I:$I,896791,Caseslist!$M:$M,"45930")
-IF($A8=896791,COUNTIFS(Caseslist!$I:$I,896791,Caseslist!$M:$M,"45930"),0)</f>
        <v>0</v>
      </c>
      <c r="AO8" s="49">
        <f>COUNTIFS(Caseslist!$I:$I,$A8:$A1001,Caseslist!$M:$M,"45931")
+COUNTIFS(Caseslist!$I:$I,896791,Caseslist!$M:$M,"45931")
-IF($A8=896791,COUNTIFS(Caseslist!$I:$I,896791,Caseslist!$M:$M,"45931"),0)</f>
        <v>0</v>
      </c>
      <c r="AP8" s="49">
        <f>COUNTIFS(Caseslist!$I:$I,$A8:$A1001,Caseslist!$M:$M,"45932")
+COUNTIFS(Caseslist!$I:$I,896791,Caseslist!$M:$M,"45932")
-IF($A8=896791,COUNTIFS(Caseslist!$I:$I,896791,Caseslist!$M:$M,"45932"),0)</f>
        <v>1</v>
      </c>
      <c r="AQ8" s="49">
        <f>COUNTIFS(Caseslist!$I:$I,$A8:$A1001,Caseslist!$M:$M,"45933")
+COUNTIFS(Caseslist!$I:$I,896791,Caseslist!$M:$M,"45933")
-IF($A8=896791,COUNTIFS(Caseslist!$I:$I,896791,Caseslist!$M:$M,"45933"),0)</f>
        <v>1</v>
      </c>
      <c r="AR8" s="49">
        <f>COUNTIFS(Caseslist!$I:$I,$A8:$A1001,Caseslist!$M:$M,"45934")
+COUNTIFS(Caseslist!$I:$I,896791,Caseslist!$M:$M,"45934")
-IF($A8=896791,COUNTIFS(Caseslist!$I:$I,896791,Caseslist!$M:$M,"45934"),0)</f>
        <v>0</v>
      </c>
      <c r="AS8" s="49">
        <f>COUNTIFS(Caseslist!$I:$I,$A8:$A1001,Caseslist!$M:$M,"45935")
+COUNTIFS(Caseslist!$I:$I,896791,Caseslist!$M:$M,"45935")
-IF($A8=896791,COUNTIFS(Caseslist!$I:$I,896791,Caseslist!$M:$M,"45935"),0)</f>
        <v>0</v>
      </c>
      <c r="AT8" s="49">
        <f>COUNTIFS(Caseslist!$I:$I,$A8:$A1001,Caseslist!$M:$M,"45936")
+COUNTIFS(Caseslist!$I:$I,896791,Caseslist!$M:$M,"45936")
-IF($A8=896791,COUNTIFS(Caseslist!$I:$I,896791,Caseslist!$M:$M,"45936"),0)</f>
        <v>0</v>
      </c>
    </row>
    <row r="9">
      <c r="A9" s="1" t="s">
        <v>179</v>
      </c>
      <c r="B9" s="1" t="s">
        <v>8973</v>
      </c>
      <c r="C9" s="56">
        <f>(IFERROR(AVERAGEIFS(data!E:E, data!N:N, 1, data!G:G, $A9:$A1001), "No Match"))/60</f>
        <v>89.26811594</v>
      </c>
      <c r="D9" s="49">
        <f>COUNTIFS(Caseslist!$I:$I,$A9:$A1001,Caseslist!$M:$M,"45894")</f>
        <v>2</v>
      </c>
      <c r="E9" s="49">
        <f>COUNTIFS(Caseslist!$I:$I,$A9:$A1001,Caseslist!$M:$M,"45895")</f>
        <v>1</v>
      </c>
      <c r="F9" s="49">
        <f>COUNTIFS(Caseslist!$I:$I,$A9:$A1001,Caseslist!$M:$M,"45896")</f>
        <v>3</v>
      </c>
      <c r="G9" s="49">
        <f>COUNTIFS(Caseslist!$I:$I,$A9:$A1001,Caseslist!$M:$M,"45897")</f>
        <v>4</v>
      </c>
      <c r="H9" s="49">
        <f>COUNTIFS(Caseslist!$I:$I,$A9:$A1001,Caseslist!$M:$M,"45897")</f>
        <v>4</v>
      </c>
      <c r="I9" s="49">
        <f>COUNTIFS(Caseslist!$I:$I,$A9:$A1001,Caseslist!$M:$M,"45899")</f>
        <v>5</v>
      </c>
      <c r="J9" s="49">
        <f>COUNTIFS(Caseslist!$I:$I,$A9:$A1001,Caseslist!$M:$M,"45900")</f>
        <v>0</v>
      </c>
      <c r="K9" s="49">
        <f>COUNTIFS(Caseslist!$I:$I,$A9:$A1001,Caseslist!$M:$M,"45901")</f>
        <v>4</v>
      </c>
      <c r="L9" s="49">
        <f>COUNTIFS(Caseslist!$I:$I,$A9:$A1001,Caseslist!$M:$M,"45902")</f>
        <v>3</v>
      </c>
      <c r="M9" s="49">
        <f>COUNTIFS(Caseslist!$I:$I,$A9:$A1001,Caseslist!$M:$M,"45903")</f>
        <v>4</v>
      </c>
      <c r="N9" s="49">
        <f>COUNTIFS(Caseslist!$I:$I,$A9:$A1001,Caseslist!$M:$M,"45904")</f>
        <v>2</v>
      </c>
      <c r="O9" s="49">
        <f>COUNTIFS(Caseslist!$I:$I,$A9:$A1001,Caseslist!$M:$M,"45905")</f>
        <v>4</v>
      </c>
      <c r="P9" s="49">
        <f>COUNTIFS(Caseslist!$I:$I,$A9:$A1001,Caseslist!$M:$M,"45906")</f>
        <v>4</v>
      </c>
      <c r="Q9" s="49">
        <f>COUNTIFS(Caseslist!$I:$I,$A9:$A1001,Caseslist!$M:$M,"45907")</f>
        <v>0</v>
      </c>
      <c r="R9" s="49">
        <f>COUNTIFS(Caseslist!$I:$I,$A9:$A1001,Caseslist!$M:$M,"45908")</f>
        <v>3</v>
      </c>
      <c r="S9" s="49">
        <f>COUNTIFS(Caseslist!$I:$I,$A9:$A1001,Caseslist!$M:$M,"45909")</f>
        <v>4</v>
      </c>
      <c r="T9" s="49">
        <f>COUNTIFS(Caseslist!$I:$I,$A9:$A1001,Caseslist!$M:$M,"45910")</f>
        <v>1</v>
      </c>
      <c r="U9" s="49">
        <f>COUNTIFS(Caseslist!$I:$I,$A9:$A1001,Caseslist!$M:$M,"45911")</f>
        <v>3</v>
      </c>
      <c r="V9" s="49">
        <f>COUNTIFS(Caseslist!$I:$I,$A9:$A1001,Caseslist!$M:$M,"45912")</f>
        <v>3</v>
      </c>
      <c r="W9" s="49">
        <f>COUNTIFS(Caseslist!$I:$I,$A9:$A1001,Caseslist!$M:$M,"45913")</f>
        <v>1</v>
      </c>
      <c r="X9" s="49">
        <f>COUNTIFS(Caseslist!$I:$I,$A9:$A1001,Caseslist!$M:$M,"45914")</f>
        <v>0</v>
      </c>
      <c r="Y9" s="49">
        <f>COUNTIFS(Caseslist!$I:$I,$A9:$A1001,Caseslist!$M:$M,"45915")</f>
        <v>4</v>
      </c>
      <c r="Z9" s="49">
        <f>COUNTIFS(Caseslist!$I:$I,$A9:$A1001,Caseslist!$M:$M,"45916")</f>
        <v>3</v>
      </c>
      <c r="AA9" s="49">
        <f>COUNTIFS(Caseslist!$I:$I,$A9:$A1001,Caseslist!$M:$M,"45917")</f>
        <v>1</v>
      </c>
      <c r="AB9" s="49">
        <f>COUNTIFS(Caseslist!$I:$I,$A9:$A1001,Caseslist!$M:$M,"45918")</f>
        <v>4</v>
      </c>
      <c r="AC9" s="49">
        <f>COUNTIFS(Caseslist!$I:$I,$A9:$A1001,Caseslist!$M:$M,"45919")</f>
        <v>2</v>
      </c>
      <c r="AD9" s="49">
        <f>COUNTIFS(Caseslist!$I:$I,$A9:$A1001,Caseslist!$M:$M,"45920")</f>
        <v>2</v>
      </c>
      <c r="AE9" s="49">
        <f>COUNTIFS(Caseslist!$I:$I,$A9:$A1001,Caseslist!$M:$M,"45921")</f>
        <v>0</v>
      </c>
      <c r="AF9" s="49">
        <f>COUNTIFS(Caseslist!$I:$I,$A9:$A1001,Caseslist!$M:$M,"45922")</f>
        <v>2</v>
      </c>
      <c r="AG9" s="49">
        <f>COUNTIFS(Caseslist!$I:$I,$A9:$A1001,Caseslist!$M:$M,"45923")</f>
        <v>4</v>
      </c>
      <c r="AH9" s="49">
        <f>COUNTIFS(Caseslist!$I:$I,$A9:$A1001,Caseslist!$M:$M,"45924")</f>
        <v>3</v>
      </c>
      <c r="AI9" s="49">
        <f>COUNTIFS(Caseslist!$I:$I,$A9:$A1001,Caseslist!$M:$M,"45925")</f>
        <v>2</v>
      </c>
      <c r="AJ9" s="49">
        <f>COUNTIFS(Caseslist!$I:$I,$A9:$A1001,Caseslist!$M:$M,"45926")</f>
        <v>0</v>
      </c>
      <c r="AK9" s="49">
        <f>COUNTIFS(Caseslist!$I:$I,$A9:$A1001,Caseslist!$M:$M,"45927")</f>
        <v>0</v>
      </c>
      <c r="AL9" s="49">
        <f>COUNTIFS(Caseslist!$I:$I,$A9:$A1001,Caseslist!$M:$M,"45928")</f>
        <v>3</v>
      </c>
      <c r="AM9" s="49">
        <f>COUNTIFS(Caseslist!$I:$I,$A9:$A1001,Caseslist!$M:$M,"45929")</f>
        <v>2</v>
      </c>
      <c r="AN9" s="49">
        <f>COUNTIFS(Caseslist!$I:$I,$A9:$A1001,Caseslist!$M:$M,"45930")</f>
        <v>0</v>
      </c>
      <c r="AO9" s="49">
        <f>COUNTIFS(Caseslist!$I:$I,$A9:$A1001,Caseslist!$M:$M,"45931")</f>
        <v>0</v>
      </c>
      <c r="AP9" s="49">
        <f>COUNTIFS(Caseslist!$I:$I,$A9:$A1001,Caseslist!$M:$M,"45932")</f>
        <v>2</v>
      </c>
      <c r="AQ9" s="49">
        <f>COUNTIFS(Caseslist!$I:$I,$A9:$A1001,Caseslist!$M:$M,"45933")</f>
        <v>0</v>
      </c>
      <c r="AR9" s="49">
        <f>COUNTIFS(Caseslist!$I:$I,$A9:$A1001,Caseslist!$M:$M,"45934")</f>
        <v>0</v>
      </c>
      <c r="AS9" s="49">
        <f>COUNTIFS(Caseslist!$I:$I,$A9:$A1001,Caseslist!$M:$M,"45935")</f>
        <v>0</v>
      </c>
      <c r="AT9" s="49">
        <f>COUNTIFS(Caseslist!$I:$I,$A9:$A1001,Caseslist!$M:$M,"45936")</f>
        <v>0</v>
      </c>
    </row>
    <row r="10">
      <c r="A10" s="1" t="s">
        <v>232</v>
      </c>
      <c r="B10" s="1" t="s">
        <v>233</v>
      </c>
      <c r="C10" s="56">
        <f>(IFERROR(AVERAGEIFS(data!E:E, data!N:N, 1, data!G:G, $A10:$A1001), "No Match"))/60</f>
        <v>66.25742754</v>
      </c>
      <c r="D10" s="49">
        <f>COUNTIFS(Caseslist!$I:$I,$A10:$A1001,Caseslist!$M:$M,"45894")</f>
        <v>2</v>
      </c>
      <c r="E10" s="49">
        <f>COUNTIFS(Caseslist!$I:$I,$A10:$A1001,Caseslist!$M:$M,"45895")</f>
        <v>3</v>
      </c>
      <c r="F10" s="49">
        <f>COUNTIFS(Caseslist!$I:$I,$A10:$A1001,Caseslist!$M:$M,"45896")</f>
        <v>4</v>
      </c>
      <c r="G10" s="49">
        <f>COUNTIFS(Caseslist!$I:$I,$A10:$A1001,Caseslist!$M:$M,"45897")</f>
        <v>4</v>
      </c>
      <c r="H10" s="49">
        <f>COUNTIFS(Caseslist!$I:$I,$A10:$A1001,Caseslist!$M:$M,"45898")</f>
        <v>4</v>
      </c>
      <c r="I10" s="49">
        <f>COUNTIFS(Caseslist!$I:$I,$A10:$A1001,Caseslist!$M:$M,"45899")</f>
        <v>3</v>
      </c>
      <c r="J10" s="49">
        <f>COUNTIFS(Caseslist!$I:$I,$A10:$A1001,Caseslist!$M:$M,"45900")</f>
        <v>0</v>
      </c>
      <c r="K10" s="49">
        <f>COUNTIFS(Caseslist!$I:$I,$A10:$A1001,Caseslist!$M:$M,"45901")</f>
        <v>3</v>
      </c>
      <c r="L10" s="49">
        <f>COUNTIFS(Caseslist!$I:$I,$A10:$A1001,Caseslist!$M:$M,"45902")</f>
        <v>4</v>
      </c>
      <c r="M10" s="49">
        <f>COUNTIFS(Caseslist!$I:$I,$A10:$A1001,Caseslist!$M:$M,"45903")</f>
        <v>4</v>
      </c>
      <c r="N10" s="49">
        <f>COUNTIFS(Caseslist!$I:$I,$A10:$A1001,Caseslist!$M:$M,"45904")</f>
        <v>3</v>
      </c>
      <c r="O10" s="49">
        <f>COUNTIFS(Caseslist!$I:$I,$A10:$A1001,Caseslist!$M:$M,"45905")</f>
        <v>3</v>
      </c>
      <c r="P10" s="49">
        <f>COUNTIFS(Caseslist!$I:$I,$A10:$A1001,Caseslist!$M:$M,"45906")</f>
        <v>4</v>
      </c>
      <c r="Q10" s="49">
        <f>COUNTIFS(Caseslist!$I:$I,$A10:$A1001,Caseslist!$M:$M,"45907")</f>
        <v>0</v>
      </c>
      <c r="R10" s="49">
        <f>COUNTIFS(Caseslist!$I:$I,$A10:$A1001,Caseslist!$M:$M,"45908")</f>
        <v>4</v>
      </c>
      <c r="S10" s="49">
        <f>COUNTIFS(Caseslist!$I:$I,$A10:$A1001,Caseslist!$M:$M,"45909")</f>
        <v>3</v>
      </c>
      <c r="T10" s="49">
        <f>COUNTIFS(Caseslist!$I:$I,$A10:$A1001,Caseslist!$M:$M,"45910")</f>
        <v>1</v>
      </c>
      <c r="U10" s="49">
        <f>COUNTIFS(Caseslist!$I:$I,$A10:$A1001,Caseslist!$M:$M,"45911")</f>
        <v>2</v>
      </c>
      <c r="V10" s="49">
        <f>COUNTIFS(Caseslist!$I:$I,$A10:$A1001,Caseslist!$M:$M,"45912")</f>
        <v>3</v>
      </c>
      <c r="W10" s="49">
        <f>COUNTIFS(Caseslist!$I:$I,$A10:$A1001,Caseslist!$M:$M,"45913")</f>
        <v>1</v>
      </c>
      <c r="X10" s="49">
        <f>COUNTIFS(Caseslist!$I:$I,$A10:$A1001,Caseslist!$M:$M,"45914")</f>
        <v>0</v>
      </c>
      <c r="Y10" s="49">
        <f>COUNTIFS(Caseslist!$I:$I,$A10:$A1001,Caseslist!$M:$M,"45915)")</f>
        <v>0</v>
      </c>
      <c r="Z10" s="49">
        <f>COUNTIFS(Caseslist!$I:$I,$A10:$A1001,Caseslist!$M:$M,"45916")</f>
        <v>3</v>
      </c>
      <c r="AA10" s="49">
        <f>COUNTIFS(Caseslist!$I:$I,$A10:$A1001,Caseslist!$M:$M,"45917")</f>
        <v>3</v>
      </c>
      <c r="AB10" s="49">
        <f>COUNTIFS(Caseslist!$I:$I,$A10:$A1001,Caseslist!$M:$M,"45918")</f>
        <v>4</v>
      </c>
      <c r="AC10" s="49">
        <f>COUNTIFS(Caseslist!$I:$I,$A10:$A1001,Caseslist!$M:$M,"45919")</f>
        <v>2</v>
      </c>
      <c r="AD10" s="49">
        <f>COUNTIFS(Caseslist!$I:$I,$A10:$A1001,Caseslist!$M:$M,"45920")</f>
        <v>2</v>
      </c>
      <c r="AE10" s="49">
        <f>COUNTIFS(Caseslist!$I:$I,$A10:$A1001,Caseslist!$M:$M,"45921")</f>
        <v>0</v>
      </c>
      <c r="AF10" s="49">
        <f>COUNTIFS(Caseslist!$I:$I,$A10:$A1001,Caseslist!$M:$M,"45922")</f>
        <v>2</v>
      </c>
      <c r="AG10" s="49">
        <f>COUNTIFS(Caseslist!$I:$I,$A10:$A1001,Caseslist!$M:$M,"45923")</f>
        <v>4</v>
      </c>
      <c r="AH10" s="49">
        <f>COUNTIFS(Caseslist!$I:$I,$A10:$A1001,Caseslist!$M:$M,"45924")</f>
        <v>3</v>
      </c>
      <c r="AI10" s="49">
        <f>COUNTIFS(Caseslist!$I:$I,$A10:$A1001,Caseslist!$M:$M,"45925")</f>
        <v>3</v>
      </c>
      <c r="AJ10" s="49">
        <f>COUNTIFS(Caseslist!$I:$I,$A10:$A1001,Caseslist!$M:$M,"45926")</f>
        <v>0</v>
      </c>
      <c r="AK10" s="49">
        <f>COUNTIFS(Caseslist!$I:$I,$A10:$A1001,Caseslist!$M:$M,"45927")</f>
        <v>0</v>
      </c>
      <c r="AL10" s="49">
        <f>COUNTIFS(Caseslist!$I:$I,$A10:$A1001,Caseslist!$M:$M,"45928")</f>
        <v>2</v>
      </c>
      <c r="AM10" s="49">
        <f>COUNTIFS(Caseslist!$I:$I,$A10:$A1001,Caseslist!$M:$M,"45929")</f>
        <v>1</v>
      </c>
      <c r="AN10" s="49">
        <f>COUNTIFS(Caseslist!$I:$I,$A10:$A1001,Caseslist!$M:$M,"45930")</f>
        <v>1</v>
      </c>
      <c r="AO10" s="49">
        <f>COUNTIFS(Caseslist!$I:$I,$A10:$A1001,Caseslist!$M:$M,"45931")</f>
        <v>1</v>
      </c>
      <c r="AP10" s="49">
        <f>COUNTIFS(Caseslist!$I:$I,$A10:$A1001,Caseslist!$M:$M,"45932")</f>
        <v>1</v>
      </c>
      <c r="AQ10" s="49">
        <f>COUNTIFS(Caseslist!$I:$I,$A10:$A1001,Caseslist!$M:$M,"45933")</f>
        <v>1</v>
      </c>
      <c r="AR10" s="49">
        <f>COUNTIFS(Caseslist!$I:$I,$A10:$A1001,Caseslist!$M:$M,"45934")</f>
        <v>0</v>
      </c>
      <c r="AS10" s="49">
        <f>COUNTIFS(Caseslist!$I:$I,$A10:$A1001,Caseslist!$M:$M,"45935")</f>
        <v>0</v>
      </c>
      <c r="AT10" s="49">
        <f>COUNTIFS(Caseslist!$I:$I,$A10:$A1001,Caseslist!$M:$M,"45936")</f>
        <v>0</v>
      </c>
    </row>
    <row r="11">
      <c r="A11" s="1" t="s">
        <v>155</v>
      </c>
      <c r="B11" s="1" t="s">
        <v>156</v>
      </c>
      <c r="C11" s="56">
        <f>(IFERROR(AVERAGEIFS(data!E:E, data!N:N, 1, data!G:G, $A11:$A1001), "No Match"))/60</f>
        <v>61.48971631</v>
      </c>
      <c r="D11" s="49">
        <f>COUNTIFS(Caseslist!$I:$I,$A11:$A1001,Caseslist!$M:$M,"45894")</f>
        <v>2</v>
      </c>
      <c r="E11" s="49">
        <f>COUNTIFS(Caseslist!$I:$I,$A11:$A1001,Caseslist!$M:$M,"45895")</f>
        <v>4</v>
      </c>
      <c r="F11" s="49">
        <f>COUNTIFS(Caseslist!$I:$I,$A11:$A1001,Caseslist!$M:$M,"45896")</f>
        <v>4</v>
      </c>
      <c r="G11" s="49">
        <f>COUNTIFS(Caseslist!$I:$I,$A11:$A1001,Caseslist!$M:$M,"45897")</f>
        <v>3</v>
      </c>
      <c r="H11" s="49">
        <f>COUNTIFS(Caseslist!$I:$I,$A11:$A1001,Caseslist!$M:$M,"45898")</f>
        <v>2</v>
      </c>
      <c r="I11" s="49">
        <f>COUNTIFS(Caseslist!$I:$I,$A11:$A1001,Caseslist!$M:$M,"45899")</f>
        <v>4</v>
      </c>
      <c r="J11" s="49">
        <f>COUNTIFS(Caseslist!$I:$I,$A11:$A1001,Caseslist!$M:$M,"45900")</f>
        <v>0</v>
      </c>
      <c r="K11" s="49">
        <f>COUNTIFS(Caseslist!$I:$I,$A11:$A1001,Caseslist!$M:$M,"45901")</f>
        <v>2</v>
      </c>
      <c r="L11" s="49">
        <f>COUNTIFS(Caseslist!$I:$I,$A11:$A1001,Caseslist!$M:$M,"45902")</f>
        <v>7</v>
      </c>
      <c r="M11" s="49">
        <f>COUNTIFS(Caseslist!$I:$I,$A11:$A1001,Caseslist!$M:$M,"45903")</f>
        <v>3</v>
      </c>
      <c r="N11" s="49">
        <f>COUNTIFS(Caseslist!$I:$I,$A11:$A1001,Caseslist!$M:$M,"45904")</f>
        <v>3</v>
      </c>
      <c r="O11" s="49">
        <f>COUNTIFS(Caseslist!$I:$I,$A11:$A1001,Caseslist!$M:$M,"45905")</f>
        <v>3</v>
      </c>
      <c r="P11" s="49">
        <f>COUNTIFS(Caseslist!$I:$I,$A11:$A1001,Caseslist!$M:$M,"45906")</f>
        <v>3</v>
      </c>
      <c r="Q11" s="49">
        <f>COUNTIFS(Caseslist!$I:$I,$A11:$A1001,Caseslist!$M:$M,"45907")</f>
        <v>1</v>
      </c>
      <c r="R11" s="49">
        <f>COUNTIFS(Caseslist!$I:$I,$A11:$A1001,Caseslist!$M:$M,"45908")</f>
        <v>0</v>
      </c>
      <c r="S11" s="49">
        <f>COUNTIFS(Caseslist!$I:$I,$A11:$A1001,Caseslist!$M:$M,"45909")</f>
        <v>4</v>
      </c>
      <c r="T11" s="49">
        <f>COUNTIFS(Caseslist!$I:$I,$A11:$A1001,Caseslist!$M:$M,"45910")</f>
        <v>2</v>
      </c>
      <c r="U11" s="49">
        <f>COUNTIFS(Caseslist!$I:$I,$A11:$A1001,Caseslist!$M:$M,"45911")</f>
        <v>3</v>
      </c>
      <c r="V11" s="49">
        <f>COUNTIFS(Caseslist!$I:$I,$A11:$A1001,Caseslist!$M:$M,"45912")</f>
        <v>4</v>
      </c>
      <c r="W11" s="49">
        <f>COUNTIFS(Caseslist!$I:$I,$A11:$A1001,Caseslist!$M:$M,"45913")</f>
        <v>1</v>
      </c>
      <c r="X11" s="49">
        <f>COUNTIFS(Caseslist!$I:$I,$A11:$A1001,Caseslist!$M:$M,"45914")</f>
        <v>0</v>
      </c>
      <c r="Y11" s="49">
        <f>COUNTIFS(Caseslist!$I:$I,$A11:$A1001,Caseslist!$M:$M,"45915")</f>
        <v>3</v>
      </c>
      <c r="Z11" s="49">
        <f>COUNTIFS(Caseslist!$I:$I,$A11:$A1001,Caseslist!$M:$M,"45916")</f>
        <v>3</v>
      </c>
      <c r="AA11" s="49">
        <f>COUNTIFS(Caseslist!$I:$I,$A11:$A1001,Caseslist!$M:$M,"45917")</f>
        <v>3</v>
      </c>
      <c r="AB11" s="49">
        <f>COUNTIFS(Caseslist!$I:$I,$A11:$A1001,Caseslist!$M:$M,"45918")</f>
        <v>4</v>
      </c>
      <c r="AC11" s="49">
        <f>COUNTIFS(Caseslist!$I:$I,$A11:$A1001,Caseslist!$M:$M,"45919")</f>
        <v>2</v>
      </c>
      <c r="AD11" s="49">
        <f>COUNTIFS(Caseslist!$I:$I,$A11:$A1001,Caseslist!$M:$M,"45920")</f>
        <v>2</v>
      </c>
      <c r="AE11" s="49">
        <f>COUNTIFS(Caseslist!$I:$I,$A11:$A1001,Caseslist!$M:$M,"45921")</f>
        <v>0</v>
      </c>
      <c r="AF11" s="49">
        <f>COUNTIFS(Caseslist!$I:$I,$A11:$A1001,Caseslist!$M:$M,"45922")</f>
        <v>2</v>
      </c>
      <c r="AG11" s="49">
        <f>COUNTIFS(Caseslist!$I:$I,$A11:$A1001,Caseslist!$M:$M,"45923")</f>
        <v>3</v>
      </c>
      <c r="AH11" s="49">
        <f>COUNTIFS(Caseslist!$I:$I,$A11:$A1001,Caseslist!$M:$M,"45924")</f>
        <v>3</v>
      </c>
      <c r="AI11" s="49">
        <f>COUNTIFS(Caseslist!$I:$I,$A11:$A1001,Caseslist!$M:$M,"45925")</f>
        <v>4</v>
      </c>
      <c r="AJ11" s="49">
        <f>COUNTIFS(Caseslist!$I:$I,$A11:$A1001,Caseslist!$M:$M,"45926")</f>
        <v>0</v>
      </c>
      <c r="AK11" s="49">
        <f>COUNTIFS(Caseslist!$I:$I,$A11:$A1001,Caseslist!$M:$M,"45927")</f>
        <v>0</v>
      </c>
      <c r="AL11" s="49">
        <f>COUNTIFS(Caseslist!$I:$I,$A11:$A1001,Caseslist!$M:$M,"45928")</f>
        <v>3</v>
      </c>
      <c r="AM11" s="49">
        <f>COUNTIFS(Caseslist!$I:$I,$A11:$A1001,Caseslist!$M:$M,"45929")</f>
        <v>1</v>
      </c>
      <c r="AN11" s="49">
        <f>COUNTIFS(Caseslist!$I:$I,$A11:$A1001,Caseslist!$M:$M,"45930")</f>
        <v>1</v>
      </c>
      <c r="AO11" s="49">
        <f>COUNTIFS(Caseslist!$I:$I,$A11:$A1001,Caseslist!$M:$M,"45931")</f>
        <v>2</v>
      </c>
      <c r="AP11" s="49">
        <f>COUNTIFS(Caseslist!$I:$I,$A11:$A1001,Caseslist!$M:$M,"45932")</f>
        <v>1</v>
      </c>
      <c r="AQ11" s="49">
        <f>COUNTIFS(Caseslist!$I:$I,$A11:$A1001,Caseslist!$M:$M,"45933")</f>
        <v>1</v>
      </c>
      <c r="AR11" s="49">
        <f>COUNTIFS(Caseslist!$I:$I,$A11:$A1001,Caseslist!$M:$M,"45934")</f>
        <v>0</v>
      </c>
      <c r="AS11" s="49">
        <f>COUNTIFS(Caseslist!$I:$I,$A11:$A1001,Caseslist!$M:$M,"45935")</f>
        <v>1</v>
      </c>
      <c r="AT11" s="49">
        <f>COUNTIFS(Caseslist!$I:$I,$A11:$A1001,Caseslist!$M:$M,"45936")</f>
        <v>0</v>
      </c>
    </row>
    <row r="12">
      <c r="A12" s="52" t="s">
        <v>486</v>
      </c>
      <c r="B12" s="52" t="s">
        <v>8974</v>
      </c>
      <c r="C12" s="53">
        <f>AVERAGE(C13:C19)</f>
        <v>61.44314947</v>
      </c>
      <c r="D12" s="54">
        <f t="shared" ref="D12:AT12" si="4">SUM(D13:D19)</f>
        <v>15</v>
      </c>
      <c r="E12" s="54">
        <f t="shared" si="4"/>
        <v>22</v>
      </c>
      <c r="F12" s="54">
        <f t="shared" si="4"/>
        <v>19</v>
      </c>
      <c r="G12" s="54">
        <f t="shared" si="4"/>
        <v>23</v>
      </c>
      <c r="H12" s="54">
        <f t="shared" si="4"/>
        <v>23</v>
      </c>
      <c r="I12" s="54">
        <f t="shared" si="4"/>
        <v>20</v>
      </c>
      <c r="J12" s="54">
        <f t="shared" si="4"/>
        <v>5</v>
      </c>
      <c r="K12" s="54">
        <f t="shared" si="4"/>
        <v>25</v>
      </c>
      <c r="L12" s="54">
        <f t="shared" si="4"/>
        <v>23</v>
      </c>
      <c r="M12" s="54">
        <f t="shared" si="4"/>
        <v>23</v>
      </c>
      <c r="N12" s="54">
        <f t="shared" si="4"/>
        <v>19</v>
      </c>
      <c r="O12" s="54">
        <f t="shared" si="4"/>
        <v>24</v>
      </c>
      <c r="P12" s="54">
        <f t="shared" si="4"/>
        <v>18</v>
      </c>
      <c r="Q12" s="54">
        <f t="shared" si="4"/>
        <v>0</v>
      </c>
      <c r="R12" s="54">
        <f t="shared" si="4"/>
        <v>22</v>
      </c>
      <c r="S12" s="54">
        <f t="shared" si="4"/>
        <v>10</v>
      </c>
      <c r="T12" s="54">
        <f t="shared" si="4"/>
        <v>14</v>
      </c>
      <c r="U12" s="54">
        <f t="shared" si="4"/>
        <v>18</v>
      </c>
      <c r="V12" s="54">
        <f t="shared" si="4"/>
        <v>25</v>
      </c>
      <c r="W12" s="54">
        <f t="shared" si="4"/>
        <v>17</v>
      </c>
      <c r="X12" s="54">
        <f t="shared" si="4"/>
        <v>0</v>
      </c>
      <c r="Y12" s="54">
        <f t="shared" si="4"/>
        <v>21</v>
      </c>
      <c r="Z12" s="54">
        <f t="shared" si="4"/>
        <v>19</v>
      </c>
      <c r="AA12" s="54">
        <f t="shared" si="4"/>
        <v>9</v>
      </c>
      <c r="AB12" s="54">
        <f t="shared" si="4"/>
        <v>17</v>
      </c>
      <c r="AC12" s="54">
        <f t="shared" si="4"/>
        <v>14</v>
      </c>
      <c r="AD12" s="54">
        <f t="shared" si="4"/>
        <v>16</v>
      </c>
      <c r="AE12" s="54">
        <f t="shared" si="4"/>
        <v>6</v>
      </c>
      <c r="AF12" s="54">
        <f t="shared" si="4"/>
        <v>25</v>
      </c>
      <c r="AG12" s="54">
        <f t="shared" si="4"/>
        <v>11</v>
      </c>
      <c r="AH12" s="54">
        <f t="shared" si="4"/>
        <v>9</v>
      </c>
      <c r="AI12" s="54">
        <f t="shared" si="4"/>
        <v>6</v>
      </c>
      <c r="AJ12" s="54">
        <f t="shared" si="4"/>
        <v>0</v>
      </c>
      <c r="AK12" s="54">
        <f t="shared" si="4"/>
        <v>0</v>
      </c>
      <c r="AL12" s="54">
        <f t="shared" si="4"/>
        <v>17</v>
      </c>
      <c r="AM12" s="54">
        <f t="shared" si="4"/>
        <v>11</v>
      </c>
      <c r="AN12" s="54">
        <f t="shared" si="4"/>
        <v>7</v>
      </c>
      <c r="AO12" s="54">
        <f t="shared" si="4"/>
        <v>9</v>
      </c>
      <c r="AP12" s="54">
        <f t="shared" si="4"/>
        <v>6</v>
      </c>
      <c r="AQ12" s="54">
        <f t="shared" si="4"/>
        <v>4</v>
      </c>
      <c r="AR12" s="54">
        <f t="shared" si="4"/>
        <v>0</v>
      </c>
      <c r="AS12" s="54">
        <f t="shared" si="4"/>
        <v>6</v>
      </c>
      <c r="AT12" s="54">
        <f t="shared" si="4"/>
        <v>0</v>
      </c>
      <c r="AU12" s="54"/>
      <c r="AV12" s="54">
        <f>SUM(AV13:AV19)</f>
        <v>0</v>
      </c>
    </row>
    <row r="13">
      <c r="A13" s="1" t="s">
        <v>474</v>
      </c>
      <c r="B13" s="1" t="s">
        <v>475</v>
      </c>
      <c r="C13" s="56">
        <f>(IFERROR(AVERAGEIFS(data!E:E, data!N:N, 1, data!G:G, $A13:$A1001), "No Match"))/60</f>
        <v>63.45025253</v>
      </c>
      <c r="D13" s="49">
        <f>COUNTIFS(Caseslist!$I:$I,$A21,Caseslist!$M:$M,"45894")
+COUNTIFS(Caseslist!$I:$I,365637,Caseslist!$M:$M,"45894")
-IF($A21=365637,COUNTIFS(Caseslist!$I:$I,365637,Caseslist!$M:$M,"45894"),0)</f>
        <v>2</v>
      </c>
      <c r="E13" s="49">
        <f>COUNTIFS(Caseslist!$I:$I,$A13:$A1001,Caseslist!$M:$M,"45895")</f>
        <v>3</v>
      </c>
      <c r="F13" s="49">
        <f>COUNTIFS(Caseslist!$I:$I,$A13:$A1001,Caseslist!$M:$M,"45896")</f>
        <v>1</v>
      </c>
      <c r="G13" s="49">
        <f>COUNTIFS(Caseslist!$I:$I,$A13:$A1001,Caseslist!$M:$M,"45897")</f>
        <v>4</v>
      </c>
      <c r="H13" s="49">
        <f>COUNTIFS(Caseslist!$I:$I,$A13:$A1001,Caseslist!$M:$M,"45898")</f>
        <v>2</v>
      </c>
      <c r="I13" s="49">
        <f>COUNTIFS(Caseslist!$I:$I,$A13:$A1001,Caseslist!$M:$M,"45899")</f>
        <v>3</v>
      </c>
      <c r="J13" s="49">
        <f>COUNTIFS(Caseslist!$I:$I,$A13:$A1001,Caseslist!$M:$M,"45900")</f>
        <v>5</v>
      </c>
      <c r="K13" s="49">
        <f>COUNTIFS(Caseslist!$I:$I,$A13:$A1001,Caseslist!$M:$M,"45901")</f>
        <v>3</v>
      </c>
      <c r="L13" s="49">
        <f>COUNTIFS(Caseslist!$I:$I,$A13:$A1001,Caseslist!$M:$M,"45902")</f>
        <v>3</v>
      </c>
      <c r="M13" s="49">
        <f>COUNTIFS(Caseslist!$I:$I,$A13:$A1001,Caseslist!$M:$M,"45903")</f>
        <v>3</v>
      </c>
      <c r="N13" s="49">
        <f>COUNTIFS(Caseslist!$I:$I,$A13:$A1001,Caseslist!$M:$M,"45904")</f>
        <v>0</v>
      </c>
      <c r="O13" s="49">
        <f>COUNTIFS(Caseslist!$I:$I,$A13:$A1001,Caseslist!$M:$M,"45905")</f>
        <v>4</v>
      </c>
      <c r="P13" s="49">
        <f>COUNTIFS(Caseslist!$I:$I,$A13:$A1001,Caseslist!$M:$M,"45906")</f>
        <v>2</v>
      </c>
      <c r="Q13" s="49">
        <f>COUNTIFS(Caseslist!$I:$I,$A13:$A1001,Caseslist!$M:$M,"45907")</f>
        <v>0</v>
      </c>
      <c r="R13" s="49">
        <f>COUNTIFS(Caseslist!$I:$I,$A13:$A1001,Caseslist!$M:$M,"45908")</f>
        <v>2</v>
      </c>
      <c r="S13" s="49">
        <f>COUNTIFS(Caseslist!$I:$I,$A13:$A1001,Caseslist!$M:$M,"45909")</f>
        <v>2</v>
      </c>
      <c r="T13" s="49">
        <f>COUNTIFS(Caseslist!$I:$I,$A13:$A1001,Caseslist!$M:$M,"45910")</f>
        <v>2</v>
      </c>
      <c r="U13" s="49">
        <f>COUNTIFS(Caseslist!$I:$I,$A13:$A1001,Caseslist!$M:$M,"45911")</f>
        <v>1</v>
      </c>
      <c r="V13" s="49">
        <f>COUNTIFS(Caseslist!$I:$I,$A13:$A1001,Caseslist!$M:$M,"45912")</f>
        <v>4</v>
      </c>
      <c r="W13" s="49">
        <f>COUNTIFS(Caseslist!$I:$I,$A13:$A1001,Caseslist!$M:$M,"45913")</f>
        <v>2</v>
      </c>
      <c r="X13" s="49">
        <f>COUNTIFS(Caseslist!$I:$I,$A13:$A1001,Caseslist!$M:$M,"45914")</f>
        <v>0</v>
      </c>
      <c r="Y13" s="49">
        <f>COUNTIFS(Caseslist!$I:$I,$A13:$A1001,Caseslist!$M:$M,"45915")</f>
        <v>2</v>
      </c>
      <c r="Z13" s="49">
        <f>COUNTIFS(Caseslist!$I:$I,$A13:$A1001,Caseslist!$M:$M,"45916")</f>
        <v>2</v>
      </c>
      <c r="AA13" s="49">
        <f>COUNTIFS(Caseslist!$I:$I,$A13:$A1001,Caseslist!$M:$M,"45917")</f>
        <v>1</v>
      </c>
      <c r="AB13" s="49">
        <f>COUNTIFS(Caseslist!$I:$I,$A13:$A1001,Caseslist!$M:$M,"45918")</f>
        <v>2</v>
      </c>
      <c r="AC13" s="49">
        <f>COUNTIFS(Caseslist!$I:$I,$A13:$A1001,Caseslist!$M:$M,"45919")</f>
        <v>2</v>
      </c>
      <c r="AD13" s="49">
        <f>COUNTIFS(Caseslist!$I:$I,$A13:$A1001,Caseslist!$M:$M,"45920")</f>
        <v>2</v>
      </c>
      <c r="AE13" s="49">
        <f>COUNTIFS(Caseslist!$I:$I,$A13:$A1001,Caseslist!$M:$M,"45921")</f>
        <v>0</v>
      </c>
      <c r="AF13" s="49">
        <f>COUNTIFS(Caseslist!$I:$I,$A13:$A1001,Caseslist!$M:$M,"45922")</f>
        <v>3</v>
      </c>
      <c r="AG13" s="49">
        <f>COUNTIFS(Caseslist!$I:$I,$A13:$A1001,Caseslist!$M:$M,"45923")</f>
        <v>1</v>
      </c>
      <c r="AH13" s="49">
        <f>COUNTIFS(Caseslist!$I:$I,$A13:$A1001,Caseslist!$M:$M,"45924")</f>
        <v>0</v>
      </c>
      <c r="AI13" s="49">
        <f>COUNTIFS(Caseslist!$I:$I,$A13:$A1001,Caseslist!$M:$M,"45925")</f>
        <v>0</v>
      </c>
      <c r="AJ13" s="49">
        <f>COUNTIFS(Caseslist!$I:$I,$A13:$A1001,Caseslist!$M:$M,"45926")</f>
        <v>0</v>
      </c>
      <c r="AK13" s="49">
        <f>COUNTIFS(Caseslist!$I:$I,$A13:$A1001,Caseslist!$M:$M,"45927")</f>
        <v>0</v>
      </c>
      <c r="AL13" s="49">
        <f>COUNTIFS(Caseslist!$I:$I,$A13:$A1001,Caseslist!$M:$M,"45928")</f>
        <v>2</v>
      </c>
      <c r="AM13" s="49">
        <f>COUNTIFS(Caseslist!$I:$I,$A13:$A1001,Caseslist!$M:$M,"45929")</f>
        <v>1</v>
      </c>
      <c r="AN13" s="49">
        <f>COUNTIFS(Caseslist!$I:$I,$A13:$A1001,Caseslist!$M:$M,"45930")</f>
        <v>0</v>
      </c>
      <c r="AO13" s="49">
        <f>COUNTIFS(Caseslist!$I:$I,$A13:$A1001,Caseslist!$M:$M,"45931")</f>
        <v>1</v>
      </c>
      <c r="AP13" s="49">
        <f>COUNTIFS(Caseslist!$I:$I,$A13:$A1001,Caseslist!$M:$M,"45932")</f>
        <v>1</v>
      </c>
      <c r="AQ13" s="49">
        <f>COUNTIFS(Caseslist!$I:$I,$A13:$A1001,Caseslist!$M:$M,"45933")</f>
        <v>0</v>
      </c>
      <c r="AR13" s="49">
        <f>COUNTIFS(Caseslist!$I:$I,$A13:$A1001,Caseslist!$M:$M,"45934")</f>
        <v>0</v>
      </c>
      <c r="AS13" s="49">
        <f>COUNTIFS(Caseslist!$I:$I,$A13:$A1001,Caseslist!$M:$M,"45935")</f>
        <v>0</v>
      </c>
      <c r="AT13" s="49">
        <f>COUNTIFS(Caseslist!$I:$I,$A13:$A1001,Caseslist!$M:$M,"45936")</f>
        <v>0</v>
      </c>
    </row>
    <row r="14">
      <c r="A14" s="1" t="s">
        <v>119</v>
      </c>
      <c r="B14" s="1" t="s">
        <v>120</v>
      </c>
      <c r="C14" s="56">
        <f>(IFERROR(AVERAGEIFS(data!E:E, data!N:N, 1, data!G:G, $A14:$A1001), "No Match"))/60</f>
        <v>56.4518018</v>
      </c>
      <c r="D14" s="49">
        <f>COUNTIFS(Caseslist!$I:$I,$A14:$A1001,Caseslist!$M:$M,"45894")</f>
        <v>2</v>
      </c>
      <c r="E14" s="49">
        <f>COUNTIFS(Caseslist!$I:$I,$A14:$A1001,Caseslist!$M:$M,"45895")</f>
        <v>4</v>
      </c>
      <c r="F14" s="49">
        <f>COUNTIFS(Caseslist!$I:$I,$A14:$A1001,Caseslist!$M:$M,"45896")</f>
        <v>3</v>
      </c>
      <c r="G14" s="49">
        <f>COUNTIFS(Caseslist!$I:$I,$A14:$A1001,Caseslist!$M:$M,"45897")</f>
        <v>3</v>
      </c>
      <c r="H14" s="49">
        <f>COUNTIFS(Caseslist!$I:$I,$A14:$A1001,Caseslist!$M:$M,"45898")</f>
        <v>4</v>
      </c>
      <c r="I14" s="49">
        <f>COUNTIFS(Caseslist!$I:$I,$A14:$A1001,Caseslist!$M:$M,"45899")</f>
        <v>2</v>
      </c>
      <c r="J14" s="49">
        <f>COUNTIFS(Caseslist!$I:$I,$A14:$A1001,Caseslist!$M:$M,"45900")</f>
        <v>0</v>
      </c>
      <c r="K14" s="49">
        <f>COUNTIFS(Caseslist!$I:$I,$A14:$A1001,Caseslist!$M:$M,"45901")</f>
        <v>3</v>
      </c>
      <c r="L14" s="49">
        <f>COUNTIFS(Caseslist!$I:$I,$A14:$A1001,Caseslist!$M:$M,"45902")</f>
        <v>3</v>
      </c>
      <c r="M14" s="49">
        <f>COUNTIFS(Caseslist!$I:$I,$A14:$A1001,Caseslist!$M:$M,"45903")</f>
        <v>3</v>
      </c>
      <c r="N14" s="49">
        <f>COUNTIFS(Caseslist!$I:$I,$A14:$A1001,Caseslist!$M:$M,"45904")</f>
        <v>4</v>
      </c>
      <c r="O14" s="49">
        <f>COUNTIFS(Caseslist!$I:$I,$A14:$A1001,Caseslist!$M:$M,"45905")</f>
        <v>3</v>
      </c>
      <c r="P14" s="49">
        <f>COUNTIFS(Caseslist!$I:$I,$A14:$A1001,Caseslist!$M:$M,"45906")</f>
        <v>2</v>
      </c>
      <c r="Q14" s="49">
        <f>COUNTIFS(Caseslist!$I:$I,$A14:$A1001,Caseslist!$M:$M,"45907")</f>
        <v>0</v>
      </c>
      <c r="R14" s="49">
        <f>COUNTIFS(Caseslist!$I:$I,$A14:$A1001,Caseslist!$M:$M,"45908")</f>
        <v>2</v>
      </c>
      <c r="S14" s="49">
        <f>COUNTIFS(Caseslist!$I:$I,$A14:$A1001,Caseslist!$M:$M,"45909")</f>
        <v>2</v>
      </c>
      <c r="T14" s="49">
        <f>COUNTIFS(Caseslist!$I:$I,$A14:$A1001,Caseslist!$M:$M,"45910")</f>
        <v>2</v>
      </c>
      <c r="U14" s="49">
        <f>COUNTIFS(Caseslist!$I:$I,$A14:$A1001,Caseslist!$M:$M,"45911")</f>
        <v>3</v>
      </c>
      <c r="V14" s="49">
        <f>COUNTIFS(Caseslist!$I:$I,$A14:$A1001,Caseslist!$M:$M,"45912")</f>
        <v>3</v>
      </c>
      <c r="W14" s="49">
        <f>COUNTIFS(Caseslist!$I:$I,$A14:$A1001,Caseslist!$M:$M,"45913")</f>
        <v>2</v>
      </c>
      <c r="X14" s="49">
        <f>COUNTIFS(Caseslist!$I:$I,$A14:$A1001,Caseslist!$M:$M,"45914")</f>
        <v>0</v>
      </c>
      <c r="Y14" s="49">
        <f>COUNTIFS(Caseslist!$I:$I,$A14:$A1001,Caseslist!$M:$M,"45915")</f>
        <v>3</v>
      </c>
      <c r="Z14" s="49">
        <f>COUNTIFS(Caseslist!$I:$I,$A14:$A1001,Caseslist!$M:$M,"45916")</f>
        <v>3</v>
      </c>
      <c r="AA14" s="49">
        <f>COUNTIFS(Caseslist!$I:$I,$A14:$A1001,Caseslist!$M:$M,"45917")</f>
        <v>1</v>
      </c>
      <c r="AB14" s="49">
        <f>COUNTIFS(Caseslist!$I:$I,$A14:$A1001,Caseslist!$M:$M,"45918")</f>
        <v>2</v>
      </c>
      <c r="AC14" s="49">
        <f>COUNTIFS(Caseslist!$I:$I,$A14:$A1001,Caseslist!$M:$M,"45919")</f>
        <v>2</v>
      </c>
      <c r="AD14" s="49">
        <f>COUNTIFS(Caseslist!$I:$I,$A14:$A1001,Caseslist!$M:$M,"45920")</f>
        <v>3</v>
      </c>
      <c r="AE14" s="49">
        <f>COUNTIFS(Caseslist!$I:$I,$A14:$A1001,Caseslist!$M:$M,"45921")</f>
        <v>0</v>
      </c>
      <c r="AF14" s="49">
        <f>COUNTIFS(Caseslist!$I:$I,$A14:$A1001,Caseslist!$M:$M,"45922")</f>
        <v>3</v>
      </c>
      <c r="AG14" s="49">
        <f>COUNTIFS(Caseslist!$I:$I,$A14:$A1001,Caseslist!$M:$M,"45923")</f>
        <v>1</v>
      </c>
      <c r="AH14" s="49">
        <f>COUNTIFS(Caseslist!$I:$I,$A14:$A1001,Caseslist!$M:$M,"45924")</f>
        <v>1</v>
      </c>
      <c r="AI14" s="49">
        <f>COUNTIFS(Caseslist!$I:$I,$A14:$A1001,Caseslist!$M:$M,"45925")</f>
        <v>0</v>
      </c>
      <c r="AJ14" s="49">
        <f>COUNTIFS(Caseslist!$I:$I,$A14:$A1001,Caseslist!$M:$M,"45926")</f>
        <v>0</v>
      </c>
      <c r="AK14" s="49">
        <f>COUNTIFS(Caseslist!$I:$I,$A14:$A1001,Caseslist!$M:$M,"45927")</f>
        <v>0</v>
      </c>
      <c r="AL14" s="49">
        <f>COUNTIFS(Caseslist!$I:$I,$A14:$A1001,Caseslist!$M:$M,"45928")</f>
        <v>2</v>
      </c>
      <c r="AM14" s="49">
        <f>COUNTIFS(Caseslist!$I:$I,$A14:$A1001,Caseslist!$M:$M,"45929")</f>
        <v>1</v>
      </c>
      <c r="AN14" s="49">
        <f>COUNTIFS(Caseslist!$I:$I,$A14:$A1001,Caseslist!$M:$M,"45930")</f>
        <v>0</v>
      </c>
      <c r="AO14" s="49">
        <f>COUNTIFS(Caseslist!$I:$I,$A14:$A1001,Caseslist!$M:$M,"45931")</f>
        <v>1</v>
      </c>
      <c r="AP14" s="49">
        <f>COUNTIFS(Caseslist!$I:$I,$A14:$A1001,Caseslist!$M:$M,"45932")</f>
        <v>1</v>
      </c>
      <c r="AQ14" s="49">
        <f>COUNTIFS(Caseslist!$I:$I,$A14:$A1001,Caseslist!$M:$M,"45933")</f>
        <v>0</v>
      </c>
      <c r="AR14" s="49">
        <f>COUNTIFS(Caseslist!$I:$I,$A14:$A1001,Caseslist!$M:$M,"45934")</f>
        <v>0</v>
      </c>
      <c r="AS14" s="49">
        <f>COUNTIFS(Caseslist!$I:$I,$A14:$A1001,Caseslist!$M:$M,"45935")</f>
        <v>0</v>
      </c>
      <c r="AT14" s="49">
        <f>COUNTIFS(Caseslist!$I:$I,$A14:$A1001,Caseslist!$M:$M,"45936")</f>
        <v>0</v>
      </c>
    </row>
    <row r="15">
      <c r="A15" s="1" t="s">
        <v>191</v>
      </c>
      <c r="B15" s="1" t="s">
        <v>192</v>
      </c>
      <c r="C15" s="56">
        <f>(IFERROR(AVERAGEIFS(data!E:E, data!N:N, 1, data!G:G, $A15:$A1001), "No Match"))/60</f>
        <v>49.31666667</v>
      </c>
      <c r="D15" s="49">
        <f>COUNTIFS(Caseslist!$I:$I,$A15:$A1001,Caseslist!$M:$M,"45894")</f>
        <v>3</v>
      </c>
      <c r="E15" s="49">
        <f>COUNTIFS(Caseslist!$I:$I,$A15:$A1001,Caseslist!$M:$M,"45895")</f>
        <v>3</v>
      </c>
      <c r="F15" s="49">
        <f>COUNTIFS(Caseslist!$I:$I,$A15:$A1001,Caseslist!$M:$M,"45896")</f>
        <v>3</v>
      </c>
      <c r="G15" s="49">
        <f>COUNTIFS(Caseslist!$I:$I,$A15:$A1001,Caseslist!$M:$M,"45897")</f>
        <v>3</v>
      </c>
      <c r="H15" s="49">
        <f>COUNTIFS(Caseslist!$I:$I,$A15:$A1001,Caseslist!$M:$M,"45898")</f>
        <v>3</v>
      </c>
      <c r="I15" s="49">
        <f>COUNTIFS(Caseslist!$I:$I,$A15:$A1001,Caseslist!$M:$M,"45899")</f>
        <v>3</v>
      </c>
      <c r="J15" s="49">
        <f>COUNTIFS(Caseslist!$I:$I,$A15:$A1001,Caseslist!$M:$M,"45900")</f>
        <v>0</v>
      </c>
      <c r="K15" s="49">
        <f>COUNTIFS(Caseslist!$I:$I,$A15:$A1001,Caseslist!$M:$M,"45901")</f>
        <v>4</v>
      </c>
      <c r="L15" s="49">
        <f>COUNTIFS(Caseslist!$I:$I,$A15:$A1001,Caseslist!$M:$M,"45902")</f>
        <v>3</v>
      </c>
      <c r="M15" s="49">
        <f>COUNTIFS(Caseslist!$I:$I,$A15:$A1001,Caseslist!$M:$M,"45903")</f>
        <v>3</v>
      </c>
      <c r="N15" s="49">
        <f>COUNTIFS(Caseslist!$I:$I,$A15:$A1001,Caseslist!$M:$M,"45904")</f>
        <v>4</v>
      </c>
      <c r="O15" s="49">
        <f>COUNTIFS(Caseslist!$I:$I,$A15:$A1001,Caseslist!$M:$M,"45905")</f>
        <v>3</v>
      </c>
      <c r="P15" s="49">
        <f>COUNTIFS(Caseslist!$I:$I,$A15:$A1001,Caseslist!$M:$M,"45906")</f>
        <v>3</v>
      </c>
      <c r="Q15" s="49">
        <f>COUNTIFS(Caseslist!$I:$I,$A15:$A1001,Caseslist!$M:$M,"45907")</f>
        <v>0</v>
      </c>
      <c r="R15" s="49">
        <f>COUNTIFS(Caseslist!$I:$I,$A15:$A1001,Caseslist!$M:$M,"45908")</f>
        <v>3</v>
      </c>
      <c r="S15" s="49">
        <f>COUNTIFS(Caseslist!$I:$I,$A15:$A1001,Caseslist!$M:$M,"45909")</f>
        <v>2</v>
      </c>
      <c r="T15" s="49">
        <f>COUNTIFS(Caseslist!$I:$I,$A15:$A1001,Caseslist!$M:$M,"45910")</f>
        <v>2</v>
      </c>
      <c r="U15" s="49">
        <f>COUNTIFS(Caseslist!$I:$I,$A15:$A1001,Caseslist!$M:$M,"45911")</f>
        <v>3</v>
      </c>
      <c r="V15" s="49">
        <f>COUNTIFS(Caseslist!$I:$I,$A15:$A1001,Caseslist!$M:$M,"45912")</f>
        <v>3</v>
      </c>
      <c r="W15" s="49">
        <f>COUNTIFS(Caseslist!$I:$I,$A15:$A1001,Caseslist!$M:$M,"45913")</f>
        <v>2</v>
      </c>
      <c r="X15" s="49">
        <f>COUNTIFS(Caseslist!$I:$I,$A15:$A1001,Caseslist!$M:$M,"45914")</f>
        <v>0</v>
      </c>
      <c r="Y15" s="49">
        <f>COUNTIFS(Caseslist!$I:$I,$A15:$A1001,Caseslist!$M:$M,"45915")</f>
        <v>3</v>
      </c>
      <c r="Z15" s="49">
        <f>COUNTIFS(Caseslist!$I:$I,$A15:$A1001,Caseslist!$M:$M,"45916")</f>
        <v>2</v>
      </c>
      <c r="AA15" s="49">
        <f>COUNTIFS(Caseslist!$I:$I,$A15:$A1001,Caseslist!$M:$M,"45917")</f>
        <v>1</v>
      </c>
      <c r="AB15" s="49">
        <f>COUNTIFS(Caseslist!$I:$I,$A15:$A1001,Caseslist!$M:$M,"45918")</f>
        <v>3</v>
      </c>
      <c r="AC15" s="49">
        <f>COUNTIFS(Caseslist!$I:$I,$A15:$A1001,Caseslist!$M:$M,"45919")</f>
        <v>2</v>
      </c>
      <c r="AD15" s="49">
        <f>COUNTIFS(Caseslist!$I:$I,$A15:$A1001,Caseslist!$M:$M,"45920")</f>
        <v>2</v>
      </c>
      <c r="AE15" s="49">
        <f>COUNTIFS(Caseslist!$I:$I,$A15:$A1001,Caseslist!$M:$M,"45921")</f>
        <v>0</v>
      </c>
      <c r="AF15" s="49">
        <f>COUNTIFS(Caseslist!$I:$I,$A15:$A1001,Caseslist!$M:$M,"45922")</f>
        <v>4</v>
      </c>
      <c r="AG15" s="49">
        <f>COUNTIFS(Caseslist!$I:$I,$A15:$A1001,Caseslist!$M:$M,"45923")</f>
        <v>1</v>
      </c>
      <c r="AH15" s="49">
        <f>COUNTIFS(Caseslist!$I:$I,$A15:$A1001,Caseslist!$M:$M,"45924")</f>
        <v>1</v>
      </c>
      <c r="AI15" s="49">
        <f>COUNTIFS(Caseslist!$I:$I,$A15:$A1001,Caseslist!$M:$M,"45925")</f>
        <v>0</v>
      </c>
      <c r="AJ15" s="49">
        <f>COUNTIFS(Caseslist!$I:$I,$A15:$A1001,Caseslist!$M:$M,"45926")</f>
        <v>0</v>
      </c>
      <c r="AK15" s="49">
        <f>COUNTIFS(Caseslist!$I:$I,$A15:$A1001,Caseslist!$M:$M,"45927")</f>
        <v>0</v>
      </c>
      <c r="AL15" s="49">
        <f>COUNTIFS(Caseslist!$I:$I,$A15:$A1001,Caseslist!$M:$M,"45928")</f>
        <v>2</v>
      </c>
      <c r="AM15" s="49">
        <f>COUNTIFS(Caseslist!$I:$I,$A15:$A1001,Caseslist!$M:$M,"45929")</f>
        <v>1</v>
      </c>
      <c r="AN15" s="49">
        <f>COUNTIFS(Caseslist!$I:$I,$A15:$A1001,Caseslist!$M:$M,"45930")</f>
        <v>1</v>
      </c>
      <c r="AO15" s="49">
        <f>COUNTIFS(Caseslist!$I:$I,$A15:$A1001,Caseslist!$M:$M,"45931")</f>
        <v>1</v>
      </c>
      <c r="AP15" s="49">
        <f>COUNTIFS(Caseslist!$I:$I,$A15:$A1001,Caseslist!$M:$M,"45932")</f>
        <v>1</v>
      </c>
      <c r="AQ15" s="49">
        <f>COUNTIFS(Caseslist!$I:$I,$A15:$A1001,Caseslist!$M:$M,"45933")</f>
        <v>0</v>
      </c>
      <c r="AR15" s="49">
        <f>COUNTIFS(Caseslist!$I:$I,$A15:$A1001,Caseslist!$M:$M,"45934")</f>
        <v>0</v>
      </c>
      <c r="AS15" s="49">
        <f>COUNTIFS(Caseslist!$I:$I,$A15:$A1001,Caseslist!$M:$M,"45935")</f>
        <v>0</v>
      </c>
      <c r="AT15" s="49">
        <f>COUNTIFS(Caseslist!$I:$I,$A15:$A1001,Caseslist!$M:$M,"45936")</f>
        <v>0</v>
      </c>
    </row>
    <row r="16">
      <c r="A16" s="1" t="s">
        <v>107</v>
      </c>
      <c r="B16" s="1" t="s">
        <v>108</v>
      </c>
      <c r="C16" s="56">
        <f>(IFERROR(AVERAGEIFS(data!E:E, data!N:N, 1, data!G:G, $A16:$A1001), "No Match"))/60</f>
        <v>59.46559829</v>
      </c>
      <c r="D16" s="49">
        <f>COUNTIFS(Caseslist!$I:$I,$A16:$A1001,Caseslist!$M:$M,"45894")</f>
        <v>2</v>
      </c>
      <c r="E16" s="49">
        <f>COUNTIFS(Caseslist!$I:$I,$A16:$A1001,Caseslist!$M:$M,"45895")</f>
        <v>3</v>
      </c>
      <c r="F16" s="49">
        <f>COUNTIFS(Caseslist!$I:$I,$A16:$A1001,Caseslist!$M:$M,"45896")</f>
        <v>3</v>
      </c>
      <c r="G16" s="49">
        <f>COUNTIFS(Caseslist!$I:$I,$A16:$A1001,Caseslist!$M:$M,"45897")</f>
        <v>3</v>
      </c>
      <c r="H16" s="49">
        <f>COUNTIFS(Caseslist!$I:$I,$A16:$A1001,Caseslist!$M:$M,"45898")</f>
        <v>4</v>
      </c>
      <c r="I16" s="49">
        <f>COUNTIFS(Caseslist!$I:$I,$A16:$A1001,Caseslist!$M:$M,"45899")</f>
        <v>2</v>
      </c>
      <c r="J16" s="49">
        <f>COUNTIFS(Caseslist!$I:$I,$A16:$A1001,Caseslist!$M:$M,"45900")</f>
        <v>0</v>
      </c>
      <c r="K16" s="49">
        <f>COUNTIFS(Caseslist!$I:$I,$A16:$A1001,Caseslist!$M:$M,"45901")</f>
        <v>4</v>
      </c>
      <c r="L16" s="49">
        <f>COUNTIFS(Caseslist!$I:$I,$A16:$A1001,Caseslist!$M:$M,"45902")</f>
        <v>3</v>
      </c>
      <c r="M16" s="49">
        <f>COUNTIFS(Caseslist!$I:$I,$A16:$A1001,Caseslist!$M:$M,"45903")</f>
        <v>3</v>
      </c>
      <c r="N16" s="49">
        <f>COUNTIFS(Caseslist!$I:$I,$A16:$A1001,Caseslist!$M:$M,"45904")</f>
        <v>4</v>
      </c>
      <c r="O16" s="49">
        <f>COUNTIFS(Caseslist!$I:$I,$A16:$A1001,Caseslist!$M:$M,"45905")</f>
        <v>4</v>
      </c>
      <c r="P16" s="49">
        <f>COUNTIFS(Caseslist!$I:$I,$A16:$A1001,Caseslist!$M:$M,"45906")</f>
        <v>2</v>
      </c>
      <c r="Q16" s="49">
        <f>COUNTIFS(Caseslist!$I:$I,$A16:$A1001,Caseslist!$M:$M,"45907")</f>
        <v>0</v>
      </c>
      <c r="R16" s="49">
        <f>COUNTIFS(Caseslist!$I:$I,$A16:$A1001,Caseslist!$M:$M,"45908")</f>
        <v>3</v>
      </c>
      <c r="S16" s="49">
        <f>COUNTIFS(Caseslist!$I:$I,$A16:$A1001,Caseslist!$M:$M,"45909")</f>
        <v>2</v>
      </c>
      <c r="T16" s="49">
        <f>COUNTIFS(Caseslist!$I:$I,$A16:$A1001,Caseslist!$M:$M,"45910")</f>
        <v>2</v>
      </c>
      <c r="U16" s="49">
        <f>COUNTIFS(Caseslist!$I:$I,$A16:$A1001,Caseslist!$M:$M,"45911")</f>
        <v>3</v>
      </c>
      <c r="V16" s="49">
        <f>COUNTIFS(Caseslist!$I:$I,$A16:$A1001,Caseslist!$M:$M,"45912")</f>
        <v>3</v>
      </c>
      <c r="W16" s="49">
        <f>COUNTIFS(Caseslist!$I:$I,$A16:$A1001,Caseslist!$M:$M,"45913")</f>
        <v>3</v>
      </c>
      <c r="X16" s="49">
        <f>COUNTIFS(Caseslist!$I:$I,$A16:$A1001,Caseslist!$M:$M,"45914")</f>
        <v>0</v>
      </c>
      <c r="Y16" s="49">
        <f>COUNTIFS(Caseslist!$I:$I,$A16:$A1001,Caseslist!$M:$M,"45915")</f>
        <v>3</v>
      </c>
      <c r="Z16" s="49">
        <f>COUNTIFS(Caseslist!$I:$I,$A16:$A1001,Caseslist!$M:$M,"45916")</f>
        <v>2</v>
      </c>
      <c r="AA16" s="49">
        <f>COUNTIFS(Caseslist!$I:$I,$A16:$A1001,Caseslist!$M:$M,"45917")</f>
        <v>1</v>
      </c>
      <c r="AB16" s="49">
        <f>COUNTIFS(Caseslist!$I:$I,$A16:$A1001,Caseslist!$M:$M,"45918")</f>
        <v>2</v>
      </c>
      <c r="AC16" s="49">
        <f>COUNTIFS(Caseslist!$I:$I,$A16:$A1001,Caseslist!$M:$M,"45919")</f>
        <v>2</v>
      </c>
      <c r="AD16" s="49">
        <f>COUNTIFS(Caseslist!$I:$I,$A16:$A1001,Caseslist!$M:$M,"45920")</f>
        <v>2</v>
      </c>
      <c r="AE16" s="49">
        <f>COUNTIFS(Caseslist!$I:$I,$A16:$A1001,Caseslist!$M:$M,"45921")</f>
        <v>1</v>
      </c>
      <c r="AF16" s="49">
        <f>COUNTIFS(Caseslist!$I:$I,$A16:$A1001,Caseslist!$M:$M,"45922")</f>
        <v>4</v>
      </c>
      <c r="AG16" s="49">
        <f>COUNTIFS(Caseslist!$I:$I,$A16:$A1001,Caseslist!$M:$M,"45923")</f>
        <v>1</v>
      </c>
      <c r="AH16" s="49">
        <f>COUNTIFS(Caseslist!$I:$I,$A16:$A1001,Caseslist!$M:$M,"45924")</f>
        <v>0</v>
      </c>
      <c r="AI16" s="49">
        <f>COUNTIFS(Caseslist!$I:$I,$A16:$A1001,Caseslist!$M:$M,"45925")</f>
        <v>0</v>
      </c>
      <c r="AJ16" s="49">
        <f>COUNTIFS(Caseslist!$I:$I,$A16:$A1001,Caseslist!$M:$M,"45926")</f>
        <v>0</v>
      </c>
      <c r="AK16" s="49">
        <f>COUNTIFS(Caseslist!$I:$I,$A16:$A1001,Caseslist!$M:$M,"45927")</f>
        <v>0</v>
      </c>
      <c r="AL16" s="49">
        <f>COUNTIFS(Caseslist!$I:$I,$A16:$A1001,Caseslist!$M:$M,"45928")</f>
        <v>2</v>
      </c>
      <c r="AM16" s="49">
        <f>COUNTIFS(Caseslist!$I:$I,$A16:$A1001,Caseslist!$M:$M,"45929")</f>
        <v>1</v>
      </c>
      <c r="AN16" s="49">
        <f>COUNTIFS(Caseslist!$I:$I,$A16:$A1001,Caseslist!$M:$M,"45930")</f>
        <v>1</v>
      </c>
      <c r="AO16" s="49">
        <f>COUNTIFS(Caseslist!$I:$I,$A16:$A1001,Caseslist!$M:$M,"45931")</f>
        <v>1</v>
      </c>
      <c r="AP16" s="49">
        <f>COUNTIFS(Caseslist!$I:$I,$A16:$A1001,Caseslist!$M:$M,"45932")</f>
        <v>0</v>
      </c>
      <c r="AQ16" s="49">
        <f>COUNTIFS(Caseslist!$I:$I,$A16:$A1001,Caseslist!$M:$M,"45933")</f>
        <v>1</v>
      </c>
      <c r="AR16" s="49">
        <f>COUNTIFS(Caseslist!$I:$I,$A16:$A1001,Caseslist!$M:$M,"45934")</f>
        <v>0</v>
      </c>
      <c r="AS16" s="49">
        <f>COUNTIFS(Caseslist!$I:$I,$A16:$A1001,Caseslist!$M:$M,"45935")</f>
        <v>1</v>
      </c>
      <c r="AT16" s="49">
        <f>COUNTIFS(Caseslist!$I:$I,$A16:$A1001,Caseslist!$M:$M,"45936")</f>
        <v>0</v>
      </c>
    </row>
    <row r="17">
      <c r="A17" s="1" t="s">
        <v>208</v>
      </c>
      <c r="B17" s="1" t="s">
        <v>209</v>
      </c>
      <c r="C17" s="56">
        <f>(IFERROR(AVERAGEIFS(data!E:E, data!N:N, 1, data!G:G, $A17:$A1001), "No Match"))/60</f>
        <v>68.40942761</v>
      </c>
      <c r="D17" s="49">
        <f>COUNTIFS(Caseslist!$I:$I,$A17:$A1001,Caseslist!$M:$M,"45894")</f>
        <v>2</v>
      </c>
      <c r="E17" s="49">
        <f>COUNTIFS(Caseslist!$I:$I,$A17:$A1001,Caseslist!$M:$M,"45895")</f>
        <v>3</v>
      </c>
      <c r="F17" s="49">
        <f>COUNTIFS(Caseslist!$I:$I,$A17:$A1001,Caseslist!$M:$M,"45896")</f>
        <v>3</v>
      </c>
      <c r="G17" s="49">
        <f>COUNTIFS(Caseslist!$I:$I,$A17:$A1001,Caseslist!$M:$M,"45897")</f>
        <v>3</v>
      </c>
      <c r="H17" s="49">
        <f>COUNTIFS(Caseslist!$I:$I,$A17:$A1001,Caseslist!$M:$M,"45898")</f>
        <v>4</v>
      </c>
      <c r="I17" s="49">
        <f>COUNTIFS(Caseslist!$I:$I,$A17:$A1001,Caseslist!$M:$M,"45899")</f>
        <v>3</v>
      </c>
      <c r="J17" s="49">
        <f>COUNTIFS(Caseslist!$I:$I,$A17:$A1001,Caseslist!$M:$M,"45900")</f>
        <v>0</v>
      </c>
      <c r="K17" s="49">
        <f>COUNTIFS(Caseslist!$I:$I,$A17:$A1001,Caseslist!$M:$M,"45901")</f>
        <v>4</v>
      </c>
      <c r="L17" s="49">
        <f>COUNTIFS(Caseslist!$I:$I,$A17:$A1001,Caseslist!$M:$M,"45902")</f>
        <v>4</v>
      </c>
      <c r="M17" s="49">
        <f>COUNTIFS(Caseslist!$I:$I,$A17:$A1001,Caseslist!$M:$M,"45903")</f>
        <v>3</v>
      </c>
      <c r="N17" s="49">
        <f>COUNTIFS(Caseslist!$I:$I,$A17:$A1001,Caseslist!$M:$M,"45904")</f>
        <v>3</v>
      </c>
      <c r="O17" s="49">
        <f>COUNTIFS(Caseslist!$I:$I,$A17:$A1001,Caseslist!$M:$M,"45905")</f>
        <v>4</v>
      </c>
      <c r="P17" s="49">
        <f>COUNTIFS(Caseslist!$I:$I,$A17:$A1001,Caseslist!$M:$M,"45906")</f>
        <v>3</v>
      </c>
      <c r="Q17" s="49">
        <f>COUNTIFS(Caseslist!$I:$I,$A17:$A1001,Caseslist!$M:$M,"45907")</f>
        <v>0</v>
      </c>
      <c r="R17" s="49">
        <f>COUNTIFS(Caseslist!$I:$I,$A17:$A1001,Caseslist!$M:$M,"45908")</f>
        <v>4</v>
      </c>
      <c r="S17" s="49">
        <f>COUNTIFS(Caseslist!$I:$I,$A17:$A1001,Caseslist!$M:$M,"45909")</f>
        <v>0</v>
      </c>
      <c r="T17" s="49">
        <f>COUNTIFS(Caseslist!$I:$I,$A17:$A1001,Caseslist!$M:$M,"45910")</f>
        <v>2</v>
      </c>
      <c r="U17" s="49">
        <f>COUNTIFS(Caseslist!$I:$I,$A17:$A1001,Caseslist!$M:$M,"45911")</f>
        <v>2</v>
      </c>
      <c r="V17" s="49">
        <f>COUNTIFS(Caseslist!$I:$I,$A17:$A1001,Caseslist!$M:$M,"45912")</f>
        <v>4</v>
      </c>
      <c r="W17" s="49">
        <f>COUNTIFS(Caseslist!$I:$I,$A17:$A1001,Caseslist!$M:$M,"45913")</f>
        <v>3</v>
      </c>
      <c r="X17" s="49">
        <f>COUNTIFS(Caseslist!$I:$I,$A17:$A1001,Caseslist!$M:$M,"45914")</f>
        <v>0</v>
      </c>
      <c r="Y17" s="49">
        <f>COUNTIFS(Caseslist!$I:$I,$A17:$A1001,Caseslist!$M:$M,"45915")</f>
        <v>4</v>
      </c>
      <c r="Z17" s="49">
        <f>COUNTIFS(Caseslist!$I:$I,$A17:$A1001,Caseslist!$M:$M,"45916")</f>
        <v>4</v>
      </c>
      <c r="AA17" s="49">
        <f>COUNTIFS(Caseslist!$I:$I,$A17:$A1001,Caseslist!$M:$M,"45917")</f>
        <v>2</v>
      </c>
      <c r="AB17" s="49">
        <f>COUNTIFS(Caseslist!$I:$I,$A17:$A1001,Caseslist!$M:$M,"45918")</f>
        <v>2</v>
      </c>
      <c r="AC17" s="49">
        <f>COUNTIFS(Caseslist!$I:$I,$A17:$A1001,Caseslist!$M:$M,"45919")</f>
        <v>2</v>
      </c>
      <c r="AD17" s="49">
        <f>COUNTIFS(Caseslist!$I:$I,$A17:$A1001,Caseslist!$M:$M,"45920")</f>
        <v>2</v>
      </c>
      <c r="AE17" s="49">
        <f>COUNTIFS(Caseslist!$I:$I,$A17:$A1001,Caseslist!$M:$M,"45921")</f>
        <v>5</v>
      </c>
      <c r="AF17" s="49">
        <f>COUNTIFS(Caseslist!$I:$I,$A17:$A1001,Caseslist!$M:$M,"45922")</f>
        <v>3</v>
      </c>
      <c r="AG17" s="49">
        <f>COUNTIFS(Caseslist!$I:$I,$A17:$A1001,Caseslist!$M:$M,"45923")</f>
        <v>3</v>
      </c>
      <c r="AH17" s="49">
        <f>COUNTIFS(Caseslist!$I:$I,$A17:$A1001,Caseslist!$M:$M,"45924")</f>
        <v>2</v>
      </c>
      <c r="AI17" s="49">
        <f>COUNTIFS(Caseslist!$I:$I,$A17:$A1001,Caseslist!$M:$M,"45925")</f>
        <v>3</v>
      </c>
      <c r="AJ17" s="49">
        <f>COUNTIFS(Caseslist!$I:$I,$A17:$A1001,Caseslist!$M:$M,"45926")</f>
        <v>0</v>
      </c>
      <c r="AK17" s="49">
        <f>COUNTIFS(Caseslist!$I:$I,$A17:$A1001,Caseslist!$M:$M,"45927")</f>
        <v>0</v>
      </c>
      <c r="AL17" s="49">
        <f>COUNTIFS(Caseslist!$I:$I,$A17:$A1001,Caseslist!$M:$M,"45928")</f>
        <v>4</v>
      </c>
      <c r="AM17" s="49">
        <f>COUNTIFS(Caseslist!$I:$I,$A17:$A1001,Caseslist!$M:$M,"45929")</f>
        <v>3</v>
      </c>
      <c r="AN17" s="49">
        <f>COUNTIFS(Caseslist!$I:$I,$A17:$A1001,Caseslist!$M:$M,"45930")</f>
        <v>3</v>
      </c>
      <c r="AO17" s="49">
        <f>COUNTIFS(Caseslist!$I:$I,$A17:$A1001,Caseslist!$M:$M,"45931")</f>
        <v>2</v>
      </c>
      <c r="AP17" s="49">
        <f>COUNTIFS(Caseslist!$I:$I,$A17:$A1001,Caseslist!$M:$M,"45932")</f>
        <v>1</v>
      </c>
      <c r="AQ17" s="49">
        <f>COUNTIFS(Caseslist!$I:$I,$A17:$A1001,Caseslist!$M:$M,"45933")</f>
        <v>1</v>
      </c>
      <c r="AR17" s="49">
        <f>COUNTIFS(Caseslist!$I:$I,$A17:$A1001,Caseslist!$M:$M,"45934")</f>
        <v>0</v>
      </c>
      <c r="AS17" s="49">
        <f>COUNTIFS(Caseslist!$I:$I,$A17:$A1001,Caseslist!$M:$M,"45935")</f>
        <v>1</v>
      </c>
      <c r="AT17" s="49">
        <f>COUNTIFS(Caseslist!$I:$I,$A17:$A1001,Caseslist!$M:$M,"45936")</f>
        <v>0</v>
      </c>
    </row>
    <row r="18">
      <c r="A18" s="1" t="s">
        <v>57</v>
      </c>
      <c r="B18" s="1" t="s">
        <v>58</v>
      </c>
      <c r="C18" s="56">
        <f>(IFERROR(AVERAGEIFS(data!E:E, data!N:N, 1, data!G:G, $A18:$A1001), "No Match"))/60</f>
        <v>58.33901099</v>
      </c>
      <c r="D18" s="49">
        <f>COUNTIFS(Caseslist!$I:$I,$A18:$A1001,Caseslist!$M:$M,"45894")</f>
        <v>2</v>
      </c>
      <c r="E18" s="49">
        <f>COUNTIFS(Caseslist!$I:$I,$A18:$A1001,Caseslist!$M:$M,"45895")</f>
        <v>3</v>
      </c>
      <c r="F18" s="49">
        <f>COUNTIFS(Caseslist!$I:$I,$A18:$A1001,Caseslist!$M:$M,"45896")</f>
        <v>3</v>
      </c>
      <c r="G18" s="49">
        <f>COUNTIFS(Caseslist!$I:$I,$A18:$A1001,Caseslist!$M:$M,"45897")</f>
        <v>4</v>
      </c>
      <c r="H18" s="49">
        <f>COUNTIFS(Caseslist!$I:$I,$A18:$A1001,Caseslist!$M:$M,"45898")</f>
        <v>3</v>
      </c>
      <c r="I18" s="49">
        <f>COUNTIFS(Caseslist!$I:$I,$A18:$A1001,Caseslist!$M:$M,"45899")</f>
        <v>4</v>
      </c>
      <c r="J18" s="49">
        <f>COUNTIFS(Caseslist!$I:$I,$A18:$A1001,Caseslist!$M:$M,"45900")</f>
        <v>0</v>
      </c>
      <c r="K18" s="49">
        <f>COUNTIFS(Caseslist!$I:$I,$A18:$A1001,Caseslist!$M:$M,"45901")</f>
        <v>3</v>
      </c>
      <c r="L18" s="49">
        <f>COUNTIFS(Caseslist!$I:$I,$A18:$A1001,Caseslist!$M:$M,"45902")</f>
        <v>4</v>
      </c>
      <c r="M18" s="49">
        <f>COUNTIFS(Caseslist!$I:$I,$A18:$A1001,Caseslist!$M:$M,"45903")</f>
        <v>4</v>
      </c>
      <c r="N18" s="49">
        <f>COUNTIFS(Caseslist!$I:$I,$A18:$A1001,Caseslist!$M:$M,"45904")</f>
        <v>2</v>
      </c>
      <c r="O18" s="49">
        <f>COUNTIFS(Caseslist!$I:$I,$A18:$A1001,Caseslist!$M:$M,"45905")</f>
        <v>3</v>
      </c>
      <c r="P18" s="49">
        <f>COUNTIFS(Caseslist!$I:$I,$A18:$A1001,Caseslist!$M:$M,"45906")</f>
        <v>3</v>
      </c>
      <c r="Q18" s="49">
        <f>COUNTIFS(Caseslist!$I:$I,$A18:$A1001,Caseslist!$M:$M,"45907")</f>
        <v>0</v>
      </c>
      <c r="R18" s="49">
        <f>COUNTIFS(Caseslist!$I:$I,$A18:$A1001,Caseslist!$M:$M,"45908")</f>
        <v>4</v>
      </c>
      <c r="S18" s="49">
        <f>COUNTIFS(Caseslist!$I:$I,$A18:$A1001,Caseslist!$M:$M,"45909")</f>
        <v>1</v>
      </c>
      <c r="T18" s="49">
        <f>COUNTIFS(Caseslist!$I:$I,$A18:$A1001,Caseslist!$M:$M,"45910")</f>
        <v>2</v>
      </c>
      <c r="U18" s="49">
        <f>COUNTIFS(Caseslist!$I:$I,$A18:$A1001,Caseslist!$M:$M,"45911")</f>
        <v>3</v>
      </c>
      <c r="V18" s="49">
        <f>COUNTIFS(Caseslist!$I:$I,$A18:$A1001,Caseslist!$M:$M,"45912")</f>
        <v>4</v>
      </c>
      <c r="W18" s="49">
        <f>COUNTIFS(Caseslist!$I:$I,$A18:$A1001,Caseslist!$M:$M,"45913")</f>
        <v>3</v>
      </c>
      <c r="X18" s="49">
        <f>COUNTIFS(Caseslist!$I:$I,$A18:$A1001,Caseslist!$M:$M,"45914")</f>
        <v>0</v>
      </c>
      <c r="Y18" s="49">
        <f>COUNTIFS(Caseslist!$I:$I,$A18:$A1001,Caseslist!$M:$M,"45915")</f>
        <v>3</v>
      </c>
      <c r="Z18" s="49">
        <f>COUNTIFS(Caseslist!$I:$I,$A18:$A1001,Caseslist!$M:$M,"45916")</f>
        <v>3</v>
      </c>
      <c r="AA18" s="49">
        <f>COUNTIFS(Caseslist!$I:$I,$A18:$A1001,Caseslist!$M:$M,"45917")</f>
        <v>1</v>
      </c>
      <c r="AB18" s="49">
        <f>COUNTIFS(Caseslist!$I:$I,$A18:$A1001,Caseslist!$M:$M,"45918")</f>
        <v>3</v>
      </c>
      <c r="AC18" s="49">
        <f>COUNTIFS(Caseslist!$I:$I,$A18:$A1001,Caseslist!$M:$M,"45919")</f>
        <v>2</v>
      </c>
      <c r="AD18" s="49">
        <f>COUNTIFS(Caseslist!$I:$I,$A18:$A1001,Caseslist!$M:$M,"45920")</f>
        <v>3</v>
      </c>
      <c r="AE18" s="49">
        <f>COUNTIFS(Caseslist!$I:$I,$A18:$A1001,Caseslist!$M:$M,"45921")</f>
        <v>0</v>
      </c>
      <c r="AF18" s="49">
        <f>COUNTIFS(Caseslist!$I:$I,$A18:$A1001,Caseslist!$M:$M,"45922")</f>
        <v>4</v>
      </c>
      <c r="AG18" s="49">
        <f>COUNTIFS(Caseslist!$I:$I,$A18:$A1001,Caseslist!$M:$M,"45923")</f>
        <v>2</v>
      </c>
      <c r="AH18" s="49">
        <f>COUNTIFS(Caseslist!$I:$I,$A18:$A1001,Caseslist!$M:$M,"45924")</f>
        <v>3</v>
      </c>
      <c r="AI18" s="49">
        <f>COUNTIFS(Caseslist!$I:$I,$A18:$A1001,Caseslist!$M:$M,"45925")</f>
        <v>1</v>
      </c>
      <c r="AJ18" s="49">
        <f>COUNTIFS(Caseslist!$I:$I,$A18:$A1001,Caseslist!$M:$M,"45926")</f>
        <v>0</v>
      </c>
      <c r="AK18" s="49">
        <f>COUNTIFS(Caseslist!$I:$I,$A18:$A1001,Caseslist!$M:$M,"45927")</f>
        <v>0</v>
      </c>
      <c r="AL18" s="49">
        <f>COUNTIFS(Caseslist!$I:$I,$A18:$A1001,Caseslist!$M:$M,"45928")</f>
        <v>3</v>
      </c>
      <c r="AM18" s="49">
        <f>COUNTIFS(Caseslist!$I:$I,$A18:$A1001,Caseslist!$M:$M,"45929")</f>
        <v>2</v>
      </c>
      <c r="AN18" s="49">
        <f>COUNTIFS(Caseslist!$I:$I,$A18:$A1001,Caseslist!$M:$M,"45930")</f>
        <v>1</v>
      </c>
      <c r="AO18" s="49">
        <f>COUNTIFS(Caseslist!$I:$I,$A18:$A1001,Caseslist!$M:$M,"45931")</f>
        <v>1</v>
      </c>
      <c r="AP18" s="49">
        <f>COUNTIFS(Caseslist!$I:$I,$A18:$A1001,Caseslist!$M:$M,"45932")</f>
        <v>1</v>
      </c>
      <c r="AQ18" s="49">
        <f>COUNTIFS(Caseslist!$I:$I,$A18:$A1001,Caseslist!$M:$M,"45933")</f>
        <v>1</v>
      </c>
      <c r="AR18" s="49">
        <f>COUNTIFS(Caseslist!$I:$I,$A18:$A1001,Caseslist!$M:$M,"45934")</f>
        <v>0</v>
      </c>
      <c r="AS18" s="49">
        <f>COUNTIFS(Caseslist!$I:$I,$A18:$A1001,Caseslist!$M:$M,"45935")</f>
        <v>1</v>
      </c>
      <c r="AT18" s="49">
        <f>COUNTIFS(Caseslist!$I:$I,$A18:$A1001,Caseslist!$M:$M,"459356")</f>
        <v>0</v>
      </c>
    </row>
    <row r="19">
      <c r="A19" s="1" t="s">
        <v>260</v>
      </c>
      <c r="B19" s="1" t="s">
        <v>261</v>
      </c>
      <c r="C19" s="56">
        <f>(IFERROR(AVERAGEIFS(data!E:E, data!N:N, 1, data!G:G, $A19:$A1001), "No Match"))/60</f>
        <v>74.66928839</v>
      </c>
      <c r="D19" s="49">
        <f>COUNTIFS(Caseslist!$I:$I,$A19:$A1001,Caseslist!$M:$M,"45894")</f>
        <v>2</v>
      </c>
      <c r="E19" s="49">
        <f>COUNTIFS(Caseslist!$I:$I,$A19:$A1001,Caseslist!$M:$M,"45895")</f>
        <v>3</v>
      </c>
      <c r="F19" s="49">
        <f>COUNTIFS(Caseslist!$I:$I,$A19:$A1001,Caseslist!$M:$M,"45896")</f>
        <v>3</v>
      </c>
      <c r="G19" s="49">
        <f>COUNTIFS(Caseslist!$I:$I,$A19:$A1001,Caseslist!$M:$M,"45897")</f>
        <v>3</v>
      </c>
      <c r="H19" s="49">
        <f>COUNTIFS(Caseslist!$I:$I,$A19:$A1001,Caseslist!$M:$M,"45898")</f>
        <v>3</v>
      </c>
      <c r="I19" s="49">
        <f>COUNTIFS(Caseslist!$I:$I,$A19:$A1001,Caseslist!$M:$M,"45899")</f>
        <v>3</v>
      </c>
      <c r="J19" s="49">
        <f>COUNTIFS(Caseslist!$I:$I,$A19:$A1001,Caseslist!$M:$M,"45900")</f>
        <v>0</v>
      </c>
      <c r="K19" s="49">
        <f>COUNTIFS(Caseslist!$I:$I,$A19:$A1001,Caseslist!$M:$M,"45901")</f>
        <v>4</v>
      </c>
      <c r="L19" s="49">
        <f>COUNTIFS(Caseslist!$I:$I,$A19:$A1001,Caseslist!$M:$M,"45902")</f>
        <v>3</v>
      </c>
      <c r="M19" s="49">
        <f>COUNTIFS(Caseslist!$I:$I,$A19:$A1001,Caseslist!$M:$M,"45903")</f>
        <v>4</v>
      </c>
      <c r="N19" s="49">
        <f>COUNTIFS(Caseslist!$I:$I,$A19:$A1001,Caseslist!$M:$M,"45904")</f>
        <v>2</v>
      </c>
      <c r="O19" s="49">
        <f>COUNTIFS(Caseslist!$I:$I,$A19:$A1001,Caseslist!$M:$M,"45905")</f>
        <v>3</v>
      </c>
      <c r="P19" s="49">
        <f>COUNTIFS(Caseslist!$I:$I,$A19:$A1001,Caseslist!$M:$M,"45906")</f>
        <v>3</v>
      </c>
      <c r="Q19" s="49">
        <f>COUNTIFS(Caseslist!$I:$I,$A19:$A1001,Caseslist!$M:$M,"45907")</f>
        <v>0</v>
      </c>
      <c r="R19" s="49">
        <f>COUNTIFS(Caseslist!$I:$I,$A19:$A1001,Caseslist!$M:$M,"45908")</f>
        <v>4</v>
      </c>
      <c r="S19" s="49">
        <f>COUNTIFS(Caseslist!$I:$I,$A19:$A1001,Caseslist!$M:$M,"45909")</f>
        <v>1</v>
      </c>
      <c r="T19" s="49">
        <f>COUNTIFS(Caseslist!$I:$I,$A19:$A1001,Caseslist!$M:$M,"45910")</f>
        <v>2</v>
      </c>
      <c r="U19" s="49">
        <f>COUNTIFS(Caseslist!$I:$I,$A19:$A1001,Caseslist!$M:$M,"45911")</f>
        <v>3</v>
      </c>
      <c r="V19" s="49">
        <f>COUNTIFS(Caseslist!$I:$I,$A19:$A1001,Caseslist!$M:$M,"45912")</f>
        <v>4</v>
      </c>
      <c r="W19" s="49">
        <f>COUNTIFS(Caseslist!$I:$I,$A19:$A1001,Caseslist!$M:$M,"45913")</f>
        <v>2</v>
      </c>
      <c r="X19" s="49">
        <f>COUNTIFS(Caseslist!$I:$I,$A19:$A1001,Caseslist!$M:$M,"45914")</f>
        <v>0</v>
      </c>
      <c r="Y19" s="49">
        <f>COUNTIFS(Caseslist!$I:$I,$A19:$A1001,Caseslist!$M:$M,"45915")</f>
        <v>3</v>
      </c>
      <c r="Z19" s="49">
        <f>COUNTIFS(Caseslist!$I:$I,$A19:$A1001,Caseslist!$M:$M,"45916")</f>
        <v>3</v>
      </c>
      <c r="AA19" s="49">
        <f>COUNTIFS(Caseslist!$I:$I,$A19:$A1001,Caseslist!$M:$M,"45917")</f>
        <v>2</v>
      </c>
      <c r="AB19" s="49">
        <f>COUNTIFS(Caseslist!$I:$I,$A19:$A1001,Caseslist!$M:$M,"45918")</f>
        <v>3</v>
      </c>
      <c r="AC19" s="49">
        <f>COUNTIFS(Caseslist!$I:$I,$A19:$A1001,Caseslist!$M:$M,"45919")</f>
        <v>2</v>
      </c>
      <c r="AD19" s="49">
        <f>COUNTIFS(Caseslist!$I:$I,$A19:$A1001,Caseslist!$M:$M,"45920")</f>
        <v>2</v>
      </c>
      <c r="AE19" s="49">
        <f>COUNTIFS(Caseslist!$I:$I,$A19:$A1001,Caseslist!$M:$M,"45921")</f>
        <v>0</v>
      </c>
      <c r="AF19" s="49">
        <f>COUNTIFS(Caseslist!$I:$I,$A19:$A1001,Caseslist!$M:$M,"45922")</f>
        <v>4</v>
      </c>
      <c r="AG19" s="49">
        <f>COUNTIFS(Caseslist!$I:$I,$A19:$A1001,Caseslist!$M:$M,"45923")</f>
        <v>2</v>
      </c>
      <c r="AH19" s="49">
        <f>COUNTIFS(Caseslist!$I:$I,$A19:$A1001,Caseslist!$M:$M,"45924")</f>
        <v>2</v>
      </c>
      <c r="AI19" s="49">
        <f>COUNTIFS(Caseslist!$I:$I,$A19:$A1001,Caseslist!$M:$M,"45925")</f>
        <v>2</v>
      </c>
      <c r="AJ19" s="49">
        <f>COUNTIFS(Caseslist!$I:$I,$A19:$A1001,Caseslist!$M:$M,"45926")</f>
        <v>0</v>
      </c>
      <c r="AK19" s="49">
        <f>COUNTIFS(Caseslist!$I:$I,$A19:$A1001,Caseslist!$M:$M,"45927")</f>
        <v>0</v>
      </c>
      <c r="AL19" s="49">
        <f>COUNTIFS(Caseslist!$I:$I,$A19:$A1001,Caseslist!$M:$M,"45928")</f>
        <v>2</v>
      </c>
      <c r="AM19" s="49">
        <f>COUNTIFS(Caseslist!$I:$I,$A19:$A1001,Caseslist!$M:$M,"45929")</f>
        <v>2</v>
      </c>
      <c r="AN19" s="49">
        <f>COUNTIFS(Caseslist!$I:$I,$A19:$A1001,Caseslist!$M:$M,"45930")</f>
        <v>1</v>
      </c>
      <c r="AO19" s="49">
        <f>COUNTIFS(Caseslist!$I:$I,$A19:$A1001,Caseslist!$M:$M,"45931")</f>
        <v>2</v>
      </c>
      <c r="AP19" s="49">
        <f>COUNTIFS(Caseslist!$I:$I,$A19:$A1001,Caseslist!$M:$M,"45932")</f>
        <v>1</v>
      </c>
      <c r="AQ19" s="49">
        <f>COUNTIFS(Caseslist!$I:$I,$A19:$A1001,Caseslist!$M:$M,"45933")</f>
        <v>1</v>
      </c>
      <c r="AR19" s="49">
        <f>COUNTIFS(Caseslist!$I:$I,$A19:$A1001,Caseslist!$M:$M,"45934")</f>
        <v>0</v>
      </c>
      <c r="AS19" s="49">
        <f>COUNTIFS(Caseslist!$I:$I,$A19:$A1001,Caseslist!$M:$M,"45935")</f>
        <v>3</v>
      </c>
      <c r="AT19" s="49">
        <f>COUNTIFS(Caseslist!$I:$I,$A19:$A1001,Caseslist!$M:$M,"45936")</f>
        <v>0</v>
      </c>
    </row>
    <row r="20">
      <c r="A20" s="52" t="s">
        <v>1051</v>
      </c>
      <c r="B20" s="52" t="s">
        <v>8975</v>
      </c>
      <c r="C20" s="53">
        <f>AVERAGE(C21:C26)</f>
        <v>56.95095738</v>
      </c>
      <c r="D20" s="54">
        <f t="shared" ref="D20:AT20" si="5">SUM(D21:D26)</f>
        <v>16</v>
      </c>
      <c r="E20" s="54">
        <f t="shared" si="5"/>
        <v>18</v>
      </c>
      <c r="F20" s="54">
        <f t="shared" si="5"/>
        <v>22</v>
      </c>
      <c r="G20" s="54">
        <f t="shared" si="5"/>
        <v>18</v>
      </c>
      <c r="H20" s="54">
        <f t="shared" si="5"/>
        <v>23</v>
      </c>
      <c r="I20" s="54">
        <f t="shared" si="5"/>
        <v>14</v>
      </c>
      <c r="J20" s="54">
        <f t="shared" si="5"/>
        <v>0</v>
      </c>
      <c r="K20" s="54">
        <f t="shared" si="5"/>
        <v>28</v>
      </c>
      <c r="L20" s="54">
        <f t="shared" si="5"/>
        <v>24</v>
      </c>
      <c r="M20" s="54">
        <f t="shared" si="5"/>
        <v>21</v>
      </c>
      <c r="N20" s="54">
        <f t="shared" si="5"/>
        <v>21</v>
      </c>
      <c r="O20" s="54">
        <f t="shared" si="5"/>
        <v>23</v>
      </c>
      <c r="P20" s="54">
        <f t="shared" si="5"/>
        <v>10</v>
      </c>
      <c r="Q20" s="54">
        <f t="shared" si="5"/>
        <v>0</v>
      </c>
      <c r="R20" s="54">
        <f t="shared" si="5"/>
        <v>17</v>
      </c>
      <c r="S20" s="54">
        <f t="shared" si="5"/>
        <v>26</v>
      </c>
      <c r="T20" s="54">
        <f t="shared" si="5"/>
        <v>0</v>
      </c>
      <c r="U20" s="54">
        <f t="shared" si="5"/>
        <v>20</v>
      </c>
      <c r="V20" s="54">
        <f t="shared" si="5"/>
        <v>18</v>
      </c>
      <c r="W20" s="54">
        <f t="shared" si="5"/>
        <v>17</v>
      </c>
      <c r="X20" s="54">
        <f t="shared" si="5"/>
        <v>8</v>
      </c>
      <c r="Y20" s="54">
        <f t="shared" si="5"/>
        <v>23</v>
      </c>
      <c r="Z20" s="54">
        <f t="shared" si="5"/>
        <v>25</v>
      </c>
      <c r="AA20" s="54">
        <f t="shared" si="5"/>
        <v>6</v>
      </c>
      <c r="AB20" s="54">
        <f t="shared" si="5"/>
        <v>20</v>
      </c>
      <c r="AC20" s="54">
        <f t="shared" si="5"/>
        <v>19</v>
      </c>
      <c r="AD20" s="54">
        <f t="shared" si="5"/>
        <v>10</v>
      </c>
      <c r="AE20" s="54">
        <f t="shared" si="5"/>
        <v>0</v>
      </c>
      <c r="AF20" s="54">
        <f t="shared" si="5"/>
        <v>24</v>
      </c>
      <c r="AG20" s="54">
        <f t="shared" si="5"/>
        <v>8</v>
      </c>
      <c r="AH20" s="54">
        <f t="shared" si="5"/>
        <v>15</v>
      </c>
      <c r="AI20" s="54">
        <f t="shared" si="5"/>
        <v>15</v>
      </c>
      <c r="AJ20" s="54">
        <f t="shared" si="5"/>
        <v>0</v>
      </c>
      <c r="AK20" s="54">
        <f t="shared" si="5"/>
        <v>1</v>
      </c>
      <c r="AL20" s="54">
        <f t="shared" si="5"/>
        <v>7</v>
      </c>
      <c r="AM20" s="54">
        <f t="shared" si="5"/>
        <v>9</v>
      </c>
      <c r="AN20" s="54">
        <f t="shared" si="5"/>
        <v>3</v>
      </c>
      <c r="AO20" s="54">
        <f t="shared" si="5"/>
        <v>5</v>
      </c>
      <c r="AP20" s="54">
        <f t="shared" si="5"/>
        <v>2</v>
      </c>
      <c r="AQ20" s="54">
        <f t="shared" si="5"/>
        <v>1</v>
      </c>
      <c r="AR20" s="54">
        <f t="shared" si="5"/>
        <v>0</v>
      </c>
      <c r="AS20" s="54">
        <f t="shared" si="5"/>
        <v>0</v>
      </c>
      <c r="AT20" s="54">
        <f t="shared" si="5"/>
        <v>0</v>
      </c>
      <c r="AU20" s="54"/>
      <c r="AV20" s="54">
        <f>SUM(AV21:AV26)</f>
        <v>0</v>
      </c>
    </row>
    <row r="21">
      <c r="A21" s="1" t="s">
        <v>8976</v>
      </c>
      <c r="B21" s="1" t="s">
        <v>8977</v>
      </c>
      <c r="C21" s="56">
        <f>IFERROR(__xludf.DUMMYFUNCTION("IFERROR(AVERAGE(FILTER(data!E:E, (data!N:N=1) * ((data!G:G=$A21) + (data!G:G=859767))))/60, ""No Match"")"),73.7014184397163)</f>
        <v>73.70141844</v>
      </c>
      <c r="D21" s="49">
        <f>COUNTIFS(Caseslist!$I:$I,$A21,Caseslist!$M:$M,"45894")
+COUNTIFS(Caseslist!$I:$I,859767,Caseslist!$M:$M,"45894")
-IF($A21=859767,COUNTIFS(Caseslist!$I:$I,859767,Caseslist!$M:$M,"45894"),0)</f>
        <v>2</v>
      </c>
      <c r="E21" s="49">
        <f>COUNTIFS(Caseslist!$I:$I,$A21,Caseslist!$M:$M,"45895")
+COUNTIFS(Caseslist!$I:$I,859767,Caseslist!$M:$M,"45895")
-IF($A21=859767,COUNTIFS(Caseslist!$I:$I,859767,Caseslist!$M:$M,"45895"),0)</f>
        <v>3</v>
      </c>
      <c r="F21" s="49">
        <f>COUNTIFS(Caseslist!$I:$I,$A21,Caseslist!$M:$M,"45896")
+COUNTIFS(Caseslist!$I:$I,859767,Caseslist!$M:$M,"45896")
-IF($A21=859767,COUNTIFS(Caseslist!$I:$I,859767,Caseslist!$M:$M,"45896"),0)</f>
        <v>4</v>
      </c>
      <c r="G21" s="49">
        <f>COUNTIFS(Caseslist!$I:$I,$A21,Caseslist!$M:$M,"45897")
+COUNTIFS(Caseslist!$I:$I,859767,Caseslist!$M:$M,"45897")
-IF($A21=859767,COUNTIFS(Caseslist!$I:$I,859767,Caseslist!$M:$M,"45897"),0)</f>
        <v>4</v>
      </c>
      <c r="H21" s="49">
        <f>COUNTIFS(Caseslist!$I:$I,$A21,Caseslist!$M:$M,"45898")
+COUNTIFS(Caseslist!$I:$I,859767,Caseslist!$M:$M,"45898")
-IF($A21=859767,COUNTIFS(Caseslist!$I:$I,859767,Caseslist!$M:$M,"45898"),0)</f>
        <v>3</v>
      </c>
      <c r="I21" s="49">
        <f>COUNTIFS(Caseslist!$I:$I,$A21,Caseslist!$M:$M,"45899")
+COUNTIFS(Caseslist!$I:$I,859767,Caseslist!$M:$M,"45899")
-IF($A21=859767,COUNTIFS(Caseslist!$I:$I,859767,Caseslist!$M:$M,"45899"),0)</f>
        <v>3</v>
      </c>
      <c r="J21" s="49">
        <f>COUNTIFS(Caseslist!$I:$I,$A21:$A1001,Caseslist!$M:$M,"45900")</f>
        <v>0</v>
      </c>
      <c r="K21" s="49">
        <f>COUNTIFS(Caseslist!$I:$I,$A21,Caseslist!$M:$M,"45901")
+COUNTIFS(Caseslist!$I:$I,859767,Caseslist!$M:$M,"45901")
-IF($A21=859767,COUNTIFS(Caseslist!$I:$I,859767,Caseslist!$M:$M,"45901"),0)</f>
        <v>4</v>
      </c>
      <c r="L21" s="49">
        <f>COUNTIFS(Caseslist!$I:$I,$A21,Caseslist!$M:$M,"45902")
+COUNTIFS(Caseslist!$I:$I,859767,Caseslist!$M:$M,"45902")
-IF($A21=859767,COUNTIFS(Caseslist!$I:$I,859767,Caseslist!$M:$M,"45902"),0)</f>
        <v>5</v>
      </c>
      <c r="M21" s="49">
        <f>COUNTIFS(Caseslist!$I:$I,$A21,Caseslist!$M:$M,"45903")
+COUNTIFS(Caseslist!$I:$I,859767,Caseslist!$M:$M,"45903")
-IF($A21=859767,COUNTIFS(Caseslist!$I:$I,859767,Caseslist!$M:$M,"45903"),0)</f>
        <v>4</v>
      </c>
      <c r="N21" s="49">
        <f>COUNTIFS(Caseslist!$I:$I,$A21,Caseslist!$M:$M,"45904")
+COUNTIFS(Caseslist!$I:$I,859767,Caseslist!$M:$M,"45904")
-IF($A21=859767,COUNTIFS(Caseslist!$I:$I,859767,Caseslist!$M:$M,"45904"),0)</f>
        <v>3</v>
      </c>
      <c r="O21" s="49">
        <f>COUNTIFS(Caseslist!$I:$I,$A21,Caseslist!$M:$M,"45905")
+COUNTIFS(Caseslist!$I:$I,859767,Caseslist!$M:$M,"45905")
-IF($A21=859767,COUNTIFS(Caseslist!$I:$I,859767,Caseslist!$M:$M,"45905"),0)</f>
        <v>3</v>
      </c>
      <c r="P21" s="49">
        <f>COUNTIFS(Caseslist!$I:$I,$A21,Caseslist!$M:$M,"45906")
+COUNTIFS(Caseslist!$I:$I,859767,Caseslist!$M:$M,"45906")
-IF($A21=859767,COUNTIFS(Caseslist!$I:$I,859767,Caseslist!$M:$M,"45906"),0)</f>
        <v>1</v>
      </c>
      <c r="Q21" s="49">
        <f>COUNTIFS(Caseslist!$I:$I,$A21,Caseslist!$M:$M,"45907")
+COUNTIFS(Caseslist!$I:$I,859767,Caseslist!$M:$M,"45907")
-IF($A21=859767,COUNTIFS(Caseslist!$I:$I,859767,Caseslist!$M:$M,"45907"),0)</f>
        <v>0</v>
      </c>
      <c r="R21" s="49">
        <f>COUNTIFS(Caseslist!$I:$I,$A21,Caseslist!$M:$M,"45908")
+COUNTIFS(Caseslist!$I:$I,859767,Caseslist!$M:$M,"45907")
-IF($A21=859767,COUNTIFS(Caseslist!$I:$I,859767,Caseslist!$M:$M,"45907"),0)</f>
        <v>0</v>
      </c>
      <c r="S21" s="49">
        <f>COUNTIFS(Caseslist!$I:$I,$A21,Caseslist!$M:$M,"45909")
+COUNTIFS(Caseslist!$I:$I,859767,Caseslist!$M:$M,"45909")
-IF($A21=859767,COUNTIFS(Caseslist!$I:$I,859767,Caseslist!$M:$M,"45909"),0)</f>
        <v>4</v>
      </c>
      <c r="T21" s="49">
        <f>COUNTIFS(Caseslist!$I:$I,$A21,Caseslist!$M:$M,"45910")
+COUNTIFS(Caseslist!$I:$I,859767,Caseslist!$M:$M,"45910")
-IF($A21=859767,COUNTIFS(Caseslist!$I:$I,859767,Caseslist!$M:$M,"45910"),0)</f>
        <v>0</v>
      </c>
      <c r="U21" s="49">
        <f>COUNTIFS(Caseslist!$I:$I,$A21,Caseslist!$M:$M,"45911")
+COUNTIFS(Caseslist!$I:$I,859767,Caseslist!$M:$M,"45911")
-IF($A21=859767,COUNTIFS(Caseslist!$I:$I,859767,Caseslist!$M:$M,"45911"),0)</f>
        <v>4</v>
      </c>
      <c r="V21" s="49">
        <f>COUNTIFS(Caseslist!$I:$I,$A21,Caseslist!$M:$M,"45912")
+COUNTIFS(Caseslist!$I:$I,859767,Caseslist!$M:$M,"45912")
-IF($A21=859767,COUNTIFS(Caseslist!$I:$I,859767,Caseslist!$M:$M,"45912"),0)</f>
        <v>5</v>
      </c>
      <c r="W21" s="49">
        <f>COUNTIFS(Caseslist!$I:$I,$A21,Caseslist!$M:$M,"45913")
+COUNTIFS(Caseslist!$I:$I,859767,Caseslist!$M:$M,"45913")
-IF($A21=859767,COUNTIFS(Caseslist!$I:$I,859767,Caseslist!$M:$M,"45913"),0)</f>
        <v>3</v>
      </c>
      <c r="X21" s="49">
        <f>COUNTIFS(Caseslist!$I:$I,$A21,Caseslist!$M:$M,"45914")
+COUNTIFS(Caseslist!$I:$I,859767,Caseslist!$M:$M,"45914")
-IF($A21=859767,COUNTIFS(Caseslist!$I:$I,859767,Caseslist!$M:$M,"45914"),0)</f>
        <v>0</v>
      </c>
      <c r="Y21" s="49">
        <f>COUNTIFS(Caseslist!$I:$I,$A21,Caseslist!$M:$M,"45915")
+COUNTIFS(Caseslist!$I:$I,859767,Caseslist!$M:$M,"45915")
-IF($A21=859767,COUNTIFS(Caseslist!$I:$I,859767,Caseslist!$M:$M,"45915"),0)</f>
        <v>4</v>
      </c>
      <c r="Z21" s="49">
        <f>COUNTIFS(Caseslist!$I:$I,$A21,Caseslist!$M:$M,"45916")
+COUNTIFS(Caseslist!$I:$I,859767,Caseslist!$M:$M,"45916")
-IF($A21=859767,COUNTIFS(Caseslist!$I:$I,859767,Caseslist!$M:$M,"45916"),0)</f>
        <v>4</v>
      </c>
      <c r="AA21" s="49">
        <f>COUNTIFS(Caseslist!$I:$I,$A21,Caseslist!$M:$M,"45917")
+COUNTIFS(Caseslist!$I:$I,859767,Caseslist!$M:$M,"45917")
-IF($A21=859767,COUNTIFS(Caseslist!$I:$I,859767,Caseslist!$M:$M,"45917"),0)</f>
        <v>2</v>
      </c>
      <c r="AB21" s="49">
        <f>COUNTIFS(Caseslist!$I:$I,$A21,Caseslist!$M:$M,"45918")
+COUNTIFS(Caseslist!$I:$I,859767,Caseslist!$M:$M,"45918")
-IF($A21=859767,COUNTIFS(Caseslist!$I:$I,859767,Caseslist!$M:$M,"45918"),0)</f>
        <v>2</v>
      </c>
      <c r="AC21" s="49">
        <f>COUNTIFS(Caseslist!$I:$I,$A21,Caseslist!$M:$M,"45919")
+COUNTIFS(Caseslist!$I:$I,859767,Caseslist!$M:$M,"45919")
-IF($A21=859767,COUNTIFS(Caseslist!$I:$I,859767,Caseslist!$M:$M,"45919"),0)</f>
        <v>3</v>
      </c>
      <c r="AD21" s="49">
        <f>COUNTIFS(Caseslist!$I:$I,$A21,Caseslist!$M:$M,"45920")
+COUNTIFS(Caseslist!$I:$I,859767,Caseslist!$M:$M,"45920")
-IF($A21=859767,COUNTIFS(Caseslist!$I:$I,859767,Caseslist!$M:$M,"45920"),0)</f>
        <v>2</v>
      </c>
      <c r="AE21" s="49">
        <f>COUNTIFS(Caseslist!$I:$I,$A21,Caseslist!$M:$M,"45921")
+COUNTIFS(Caseslist!$I:$I,859767,Caseslist!$M:$M,"45921")
-IF($A21=859767,COUNTIFS(Caseslist!$I:$I,859767,Caseslist!$M:$M,"45921"),0)</f>
        <v>0</v>
      </c>
      <c r="AF21" s="49">
        <f>COUNTIFS(Caseslist!$I:$I,$A21,Caseslist!$M:$M,"45922")
+COUNTIFS(Caseslist!$I:$I,859767,Caseslist!$M:$M,"45922")
-IF($A21=859767,COUNTIFS(Caseslist!$I:$I,859767,Caseslist!$M:$M,"45922"),0)</f>
        <v>4</v>
      </c>
      <c r="AG21" s="49">
        <f>COUNTIFS(Caseslist!$I:$I,$A21,Caseslist!$M:$M,"45923")
+COUNTIFS(Caseslist!$I:$I,859767,Caseslist!$M:$M,"45923")
-IF($A21=859767,COUNTIFS(Caseslist!$I:$I,859767,Caseslist!$M:$M,"45923"),0)</f>
        <v>1</v>
      </c>
      <c r="AH21" s="49">
        <f>COUNTIFS(Caseslist!$I:$I,$A21,Caseslist!$M:$M,"45924")
+COUNTIFS(Caseslist!$I:$I,859767,Caseslist!$M:$M,"45924")
-IF($A21=859767,COUNTIFS(Caseslist!$I:$I,859767,Caseslist!$M:$M,"45924"),0)</f>
        <v>2</v>
      </c>
      <c r="AI21" s="49">
        <f>COUNTIFS(Caseslist!$I:$I,$A21,Caseslist!$M:$M,"45925")
+COUNTIFS(Caseslist!$I:$I,859767,Caseslist!$M:$M,"45925")
-IF($A21=859767,COUNTIFS(Caseslist!$I:$I,859767,Caseslist!$M:$M,"45925"),0)</f>
        <v>3</v>
      </c>
      <c r="AJ21" s="49">
        <f>COUNTIFS(Caseslist!$I:$I,$A21,Caseslist!$M:$M,"45926")
+COUNTIFS(Caseslist!$I:$I,859767,Caseslist!$M:$M,"45926")
-IF($A21=859767,COUNTIFS(Caseslist!$I:$I,859767,Caseslist!$M:$M,"45926"),0)</f>
        <v>0</v>
      </c>
      <c r="AK21" s="49">
        <f>COUNTIFS(Caseslist!$I:$I,$A21,Caseslist!$M:$M,"45927")
+COUNTIFS(Caseslist!$I:$I,859767,Caseslist!$M:$M,"45927")
-IF($A21=859767,COUNTIFS(Caseslist!$I:$I,859767,Caseslist!$M:$M,"45927"),0)</f>
        <v>0</v>
      </c>
      <c r="AL21" s="49">
        <f>COUNTIFS(Caseslist!$I:$I,$A21,Caseslist!$M:$M,"45928")
+COUNTIFS(Caseslist!$I:$I,859767,Caseslist!$M:$M,"45928")
-IF($A21=859767,COUNTIFS(Caseslist!$I:$I,859767,Caseslist!$M:$M,"45928"),0)</f>
        <v>1</v>
      </c>
      <c r="AM21" s="49">
        <f>COUNTIFS(Caseslist!$I:$I,$A21,Caseslist!$M:$M,"45929")
+COUNTIFS(Caseslist!$I:$I,859767,Caseslist!$M:$M,"45929")
-IF($A21=859767,COUNTIFS(Caseslist!$I:$I,859767,Caseslist!$M:$M,"45929"),0)</f>
        <v>3</v>
      </c>
      <c r="AN21" s="49">
        <f>COUNTIFS(Caseslist!$I:$I,$A21,Caseslist!$M:$M,"45930")
+COUNTIFS(Caseslist!$I:$I,859767,Caseslist!$M:$M,"45930")
-IF($A21=859767,COUNTIFS(Caseslist!$I:$I,859767,Caseslist!$M:$M,"45930"),0)</f>
        <v>1</v>
      </c>
      <c r="AO21" s="49">
        <f>COUNTIFS(Caseslist!$I:$I,$A21,Caseslist!$M:$M,"45931")
+COUNTIFS(Caseslist!$I:$I,859767,Caseslist!$M:$M,"45931")
-IF($A21=859767,COUNTIFS(Caseslist!$I:$I,859767,Caseslist!$M:$M,"45931"),0)</f>
        <v>1</v>
      </c>
      <c r="AP21" s="49">
        <f>COUNTIFS(Caseslist!$I:$I,$A21,Caseslist!$M:$M,"45932")
+COUNTIFS(Caseslist!$I:$I,859767,Caseslist!$M:$M,"45932")
-IF($A21=859767,COUNTIFS(Caseslist!$I:$I,859767,Caseslist!$M:$M,"45932"),0)</f>
        <v>0</v>
      </c>
      <c r="AQ21" s="49">
        <f>COUNTIFS(Caseslist!$I:$I,$A21,Caseslist!$M:$M,"45933")
+COUNTIFS(Caseslist!$I:$I,859767,Caseslist!$M:$M,"45933")
-IF($A21=859767,COUNTIFS(Caseslist!$I:$I,859767,Caseslist!$M:$M,"45933"),0)</f>
        <v>0</v>
      </c>
      <c r="AR21" s="49">
        <f>COUNTIFS(Caseslist!$I:$I,$A21,Caseslist!$M:$M,"45934")
+COUNTIFS(Caseslist!$I:$I,859767,Caseslist!$M:$M,"45934")
-IF($A21=859767,COUNTIFS(Caseslist!$I:$I,859767,Caseslist!$M:$M,"45934"),0)</f>
        <v>0</v>
      </c>
      <c r="AS21" s="49">
        <f>COUNTIFS(Caseslist!$I:$I,$A21,Caseslist!$M:$M,"45935")
+COUNTIFS(Caseslist!$I:$I,859767,Caseslist!$M:$M,"45935")
-IF($A21=859767,COUNTIFS(Caseslist!$I:$I,859767,Caseslist!$M:$M,"45935"),0)</f>
        <v>0</v>
      </c>
      <c r="AT21" s="49">
        <f>COUNTIFS(Caseslist!$I:$I,$A21,Caseslist!$M:$M,"45936")
+COUNTIFS(Caseslist!$I:$I,859767,Caseslist!$M:$M,"45936")
-IF($A21=859767,COUNTIFS(Caseslist!$I:$I,859767,Caseslist!$M:$M,"45936"),0)</f>
        <v>0</v>
      </c>
    </row>
    <row r="22">
      <c r="A22" s="1" t="s">
        <v>304</v>
      </c>
      <c r="B22" s="1" t="s">
        <v>272</v>
      </c>
      <c r="C22" s="56">
        <f>(IFERROR(AVERAGEIFS(data!E:E, data!N:N, 1, data!G:G, $A22:$A1001), "No Match"))/60</f>
        <v>59.70913978</v>
      </c>
      <c r="D22" s="49">
        <f>COUNTIFS(Caseslist!$I:$I,$A22,Caseslist!$M:$M,"45894")+1
+COUNTIFS(Caseslist!$I:$I,642334,Caseslist!$M:$M,"45894")
-IF($A22=642334,COUNTIFS(Caseslist!$I:$I,642334,Caseslist!$M:$M,"45894"),0)</f>
        <v>4</v>
      </c>
      <c r="E22" s="49">
        <f>COUNTIFS(Caseslist!$I:$I,$A22,Caseslist!$M:$M,"45895") -1
+COUNTIFS(Caseslist!$I:$I,642334,Caseslist!$M:$M,"45895")
-IF($A22=642334,COUNTIFS(Caseslist!$I:$I,642334,Caseslist!$M:$M,"45895"),0)</f>
        <v>1</v>
      </c>
      <c r="F22" s="49">
        <f>COUNTIFS(Caseslist!$I:$I,$A22,Caseslist!$M:$M,"45896")
+COUNTIFS(Caseslist!$I:$I,642334,Caseslist!$M:$M,"45896")
-IF($A22=642334,COUNTIFS(Caseslist!$I:$I,642334,Caseslist!$M:$M,"45896"),0)</f>
        <v>3</v>
      </c>
      <c r="G22" s="49">
        <f>COUNTIFS(Caseslist!$I:$I,$A22,Caseslist!$M:$M,"45897")
+COUNTIFS(Caseslist!$I:$I,642334,Caseslist!$M:$M,"45897")
-IF($A22=642334,COUNTIFS(Caseslist!$I:$I,642334,Caseslist!$M:$M,"45897"),0)</f>
        <v>2</v>
      </c>
      <c r="H22" s="49">
        <f>COUNTIFS(Caseslist!$I:$I,$A22,Caseslist!$M:$M,"45898")
+COUNTIFS(Caseslist!$I:$I,642334,Caseslist!$M:$M,"45898")
-IF($A22=642334,COUNTIFS(Caseslist!$I:$I,642334,Caseslist!$M:$M,"45898"),0)</f>
        <v>4</v>
      </c>
      <c r="I22" s="49">
        <f>COUNTIFS(Caseslist!$I:$I,$A22,Caseslist!$M:$M,"45899")
+COUNTIFS(Caseslist!$I:$I,642334,Caseslist!$M:$M,"45899")
-IF($A22=642334,COUNTIFS(Caseslist!$I:$I,642334,Caseslist!$M:$M,"45899"),0)</f>
        <v>4</v>
      </c>
      <c r="J22" s="49">
        <f>COUNTIFS(Caseslist!$I:$I,$A22:$A1001,Caseslist!$M:$M,"45900")</f>
        <v>0</v>
      </c>
      <c r="K22" s="49">
        <f>COUNTIFS(Caseslist!$I:$I,$A22,Caseslist!$M:$M,"45901")
+COUNTIFS(Caseslist!$I:$I,642334,Caseslist!$M:$M,"45901")
-IF($A22=642334,COUNTIFS(Caseslist!$I:$I,642334,Caseslist!$M:$M,"45901"),0)</f>
        <v>5</v>
      </c>
      <c r="L22" s="49">
        <f>COUNTIFS(Caseslist!$I:$I,$A22,Caseslist!$M:$M,"45902")
+COUNTIFS(Caseslist!$I:$I,642334,Caseslist!$M:$M,"45902")
-IF($A22=642334,COUNTIFS(Caseslist!$I:$I,642334,Caseslist!$M:$M,"45902"),0)</f>
        <v>2</v>
      </c>
      <c r="M22" s="49">
        <f>COUNTIFS(Caseslist!$I:$I,$A22,Caseslist!$M:$M,"45903")
+COUNTIFS(Caseslist!$I:$I,642334,Caseslist!$M:$M,"45903")
-IF($A22=642334,COUNTIFS(Caseslist!$I:$I,642334,Caseslist!$M:$M,"45903"),0)</f>
        <v>4</v>
      </c>
      <c r="N22" s="49">
        <f>COUNTIFS(Caseslist!$I:$I,$A22,Caseslist!$M:$M,"45904")
+COUNTIFS(Caseslist!$I:$I,642334,Caseslist!$M:$M,"45904")
-IF($A22=642334,COUNTIFS(Caseslist!$I:$I,642334,Caseslist!$M:$M,"45904"),0)</f>
        <v>4</v>
      </c>
      <c r="O22" s="49">
        <f>COUNTIFS(Caseslist!$I:$I,$A22,Caseslist!$M:$M,"45905")
+COUNTIFS(Caseslist!$I:$I,642334,Caseslist!$M:$M,"45905")
-IF($A22=642334,COUNTIFS(Caseslist!$I:$I,642334,Caseslist!$M:$M,"45905"),0)</f>
        <v>4</v>
      </c>
      <c r="P22" s="49">
        <f>COUNTIFS(Caseslist!$I:$I,$A22,Caseslist!$M:$M,"45906")
+COUNTIFS(Caseslist!$I:$I,642334,Caseslist!$M:$M,"45906")
-IF($A22=642334,COUNTIFS(Caseslist!$I:$I,642334,Caseslist!$M:$M,"45906"),0)</f>
        <v>2</v>
      </c>
      <c r="Q22" s="49">
        <f>COUNTIFS(Caseslist!$I:$I,$A22,Caseslist!$M:$M,"45907")
+COUNTIFS(Caseslist!$I:$I,642334,Caseslist!$M:$M,"45907")
-IF($A22=642334,COUNTIFS(Caseslist!$I:$I,642334,Caseslist!$M:$M,"45907"),0)</f>
        <v>0</v>
      </c>
      <c r="R22" s="49">
        <f>COUNTIFS(Caseslist!$I:$I,$A22,Caseslist!$M:$M,"45908")
+COUNTIFS(Caseslist!$I:$I,642334,Caseslist!$M:$M,"45908")
-IF($A22=642334,COUNTIFS(Caseslist!$I:$I,642334,Caseslist!$M:$M,"45908"),0)</f>
        <v>2</v>
      </c>
      <c r="S22" s="49">
        <f>COUNTIFS(Caseslist!$I:$I,$A22,Caseslist!$M:$M,"45909")
+COUNTIFS(Caseslist!$I:$I,642334,Caseslist!$M:$M,"45909")
-IF($A22=642334,COUNTIFS(Caseslist!$I:$I,642334,Caseslist!$M:$M,"45909"),0)</f>
        <v>5</v>
      </c>
      <c r="T22" s="49">
        <f>COUNTIFS(Caseslist!$I:$I,$A22,Caseslist!$M:$M,"45910")
+COUNTIFS(Caseslist!$I:$I,642334,Caseslist!$M:$M,"45910")
-IF($A22=642334,COUNTIFS(Caseslist!$I:$I,642334,Caseslist!$M:$M,"45910"),0)</f>
        <v>0</v>
      </c>
      <c r="U22" s="49">
        <f>COUNTIFS(Caseslist!$I:$I,$A22,Caseslist!$M:$M,"45911")
+COUNTIFS(Caseslist!$I:$I,642334,Caseslist!$M:$M,"45910")
-IF($A22=642334,COUNTIFS(Caseslist!$I:$I,642334,Caseslist!$M:$M,"45910"),0)</f>
        <v>3</v>
      </c>
      <c r="V22" s="49">
        <f>COUNTIFS(Caseslist!$I:$I,$A22,Caseslist!$M:$M,"45912")
+COUNTIFS(Caseslist!$I:$I,642334,Caseslist!$M:$M,"45912")
-IF($A22=642334,COUNTIFS(Caseslist!$I:$I,642334,Caseslist!$M:$M,"45912"),0)</f>
        <v>3</v>
      </c>
      <c r="W22" s="49">
        <f>COUNTIFS(Caseslist!$I:$I,$A22,Caseslist!$M:$M,"45913")
+COUNTIFS(Caseslist!$I:$I,642334,Caseslist!$M:$M,"45913")
-IF($A22=642334,COUNTIFS(Caseslist!$I:$I,642334,Caseslist!$M:$M,"45913"),0)</f>
        <v>3</v>
      </c>
      <c r="X22" s="49">
        <f>COUNTIFS(Caseslist!$I:$I,$A22,Caseslist!$M:$M,"45914")
+COUNTIFS(Caseslist!$I:$I,642334,Caseslist!$M:$M,"45914")
-IF($A22=642334,COUNTIFS(Caseslist!$I:$I,642334,Caseslist!$M:$M,"45914"),0)</f>
        <v>0</v>
      </c>
      <c r="Y22" s="49">
        <f>COUNTIFS(Caseslist!$I:$I,$A22,Caseslist!$M:$M,"45915")
+COUNTIFS(Caseslist!$I:$I,642334,Caseslist!$M:$M,"45915")
-IF($A22=642334,COUNTIFS(Caseslist!$I:$I,642334,Caseslist!$M:$M,"45915"),0)</f>
        <v>3</v>
      </c>
      <c r="Z22" s="49">
        <f>COUNTIFS(Caseslist!$I:$I,$A22,Caseslist!$M:$M,"45916")
+COUNTIFS(Caseslist!$I:$I,642334,Caseslist!$M:$M,"45916")
-IF($A22=642334,COUNTIFS(Caseslist!$I:$I,642334,Caseslist!$M:$M,"45916"),0)</f>
        <v>5</v>
      </c>
      <c r="AA22" s="49">
        <f>COUNTIFS(Caseslist!$I:$I,$A22,Caseslist!$M:$M,"45917")
+COUNTIFS(Caseslist!$I:$I,642334,Caseslist!$M:$M,"45917")
-IF($A22=642334,COUNTIFS(Caseslist!$I:$I,642334,Caseslist!$M:$M,"45917"),0)</f>
        <v>2</v>
      </c>
      <c r="AB22" s="49">
        <f>COUNTIFS(Caseslist!$I:$I,$A22,Caseslist!$M:$M,"45918")
+COUNTIFS(Caseslist!$I:$I,642334,Caseslist!$M:$M,"45918")
-IF($A22=642334,COUNTIFS(Caseslist!$I:$I,642334,Caseslist!$M:$M,"45918"),0)</f>
        <v>2</v>
      </c>
      <c r="AC22" s="49">
        <f>COUNTIFS(Caseslist!$I:$I,$A22,Caseslist!$M:$M,"45919")
+COUNTIFS(Caseslist!$I:$I,642334,Caseslist!$M:$M,"45919")
-IF($A22=642334,COUNTIFS(Caseslist!$I:$I,642334,Caseslist!$M:$M,"45919"),0)</f>
        <v>3</v>
      </c>
      <c r="AD22" s="49">
        <f>COUNTIFS(Caseslist!$I:$I,$A22,Caseslist!$M:$M,"45920")
+COUNTIFS(Caseslist!$I:$I,642334,Caseslist!$M:$M,"45920")
-IF($A22=642334,COUNTIFS(Caseslist!$I:$I,642334,Caseslist!$M:$M,"45920"),0)</f>
        <v>1</v>
      </c>
      <c r="AE22" s="49">
        <f>COUNTIFS(Caseslist!$I:$I,$A22,Caseslist!$M:$M,"45921")
+COUNTIFS(Caseslist!$I:$I,642334,Caseslist!$M:$M,"45921")
-IF($A22=642334,COUNTIFS(Caseslist!$I:$I,642334,Caseslist!$M:$M,"45921"),0)</f>
        <v>0</v>
      </c>
      <c r="AF22" s="49">
        <f>COUNTIFS(Caseslist!$I:$I,$A22,Caseslist!$M:$M,"45922")
+COUNTIFS(Caseslist!$I:$I,642334,Caseslist!$M:$M,"45922")
-IF($A22=642334,COUNTIFS(Caseslist!$I:$I,642334,Caseslist!$M:$M,"45922"),0)</f>
        <v>4</v>
      </c>
      <c r="AG22" s="49">
        <f>COUNTIFS(Caseslist!$I:$I,$A22,Caseslist!$M:$M,"45923")
+COUNTIFS(Caseslist!$I:$I,642334,Caseslist!$M:$M,"45923")
-IF($A22=642334,COUNTIFS(Caseslist!$I:$I,642334,Caseslist!$M:$M,"45923"),0)</f>
        <v>2</v>
      </c>
      <c r="AH22" s="49">
        <f>COUNTIFS(Caseslist!$I:$I,$A22,Caseslist!$M:$M,"45924")
+COUNTIFS(Caseslist!$I:$I,642334,Caseslist!$M:$M,"45924")
-IF($A22=642334,COUNTIFS(Caseslist!$I:$I,642334,Caseslist!$M:$M,"45924"),0)</f>
        <v>2</v>
      </c>
      <c r="AI22" s="49">
        <f>COUNTIFS(Caseslist!$I:$I,$A22,Caseslist!$M:$M,"45925")
+COUNTIFS(Caseslist!$I:$I,642334,Caseslist!$M:$M,"45925")
-IF($A22=642334,COUNTIFS(Caseslist!$I:$I,642334,Caseslist!$M:$M,"45925"),0)</f>
        <v>3</v>
      </c>
      <c r="AJ22" s="49">
        <f>COUNTIFS(Caseslist!$I:$I,$A22,Caseslist!$M:$M,"45926")
+COUNTIFS(Caseslist!$I:$I,642334,Caseslist!$M:$M,"45926")
-IF($A22=642334,COUNTIFS(Caseslist!$I:$I,642334,Caseslist!$M:$M,"45926"),0)</f>
        <v>0</v>
      </c>
      <c r="AK22" s="49">
        <f>COUNTIFS(Caseslist!$I:$I,$A22,Caseslist!$M:$M,"45927")
+COUNTIFS(Caseslist!$I:$I,642334,Caseslist!$M:$M,"45927")
-IF($A22=642334,COUNTIFS(Caseslist!$I:$I,642334,Caseslist!$M:$M,"45927"),0)</f>
        <v>1</v>
      </c>
      <c r="AL22" s="49">
        <f>COUNTIFS(Caseslist!$I:$I,$A22,Caseslist!$M:$M,"45928")
+COUNTIFS(Caseslist!$I:$I,642334,Caseslist!$M:$M,"45928")
-IF($A22=642334,COUNTIFS(Caseslist!$I:$I,642334,Caseslist!$M:$M,"45928"),0)</f>
        <v>1</v>
      </c>
      <c r="AM22" s="49">
        <f>COUNTIFS(Caseslist!$I:$I,$A22,Caseslist!$M:$M,"45929")
+COUNTIFS(Caseslist!$I:$I,642334,Caseslist!$M:$M,"45929")
-IF($A22=642334,COUNTIFS(Caseslist!$I:$I,642334,Caseslist!$M:$M,"45929"),0)</f>
        <v>2</v>
      </c>
      <c r="AN22" s="49">
        <f>COUNTIFS(Caseslist!$I:$I,$A22,Caseslist!$M:$M,"45930")
+COUNTIFS(Caseslist!$I:$I,642334,Caseslist!$M:$M,"45930")
-IF($A22=642334,COUNTIFS(Caseslist!$I:$I,642334,Caseslist!$M:$M,"45930"),0)</f>
        <v>2</v>
      </c>
      <c r="AO22" s="49">
        <f>COUNTIFS(Caseslist!$I:$I,$A22,Caseslist!$M:$M,"45931")
+COUNTIFS(Caseslist!$I:$I,642334,Caseslist!$M:$M,"45931")
-IF($A22=642334,COUNTIFS(Caseslist!$I:$I,642334,Caseslist!$M:$M,"45931"),0)</f>
        <v>2</v>
      </c>
      <c r="AP22" s="49">
        <f>COUNTIFS(Caseslist!$I:$I,$A22,Caseslist!$M:$M,"45932")
+COUNTIFS(Caseslist!$I:$I,642334,Caseslist!$M:$M,"45932")
-IF($A22=642334,COUNTIFS(Caseslist!$I:$I,642334,Caseslist!$M:$M,"45932"),0)</f>
        <v>1</v>
      </c>
      <c r="AQ22" s="49">
        <f>COUNTIFS(Caseslist!$I:$I,$A22,Caseslist!$M:$M,"45933")
+COUNTIFS(Caseslist!$I:$I,642334,Caseslist!$M:$M,"45933")
-IF($A22=642334,COUNTIFS(Caseslist!$I:$I,642334,Caseslist!$M:$M,"45933"),0)</f>
        <v>0</v>
      </c>
      <c r="AR22" s="49">
        <f>COUNTIFS(Caseslist!$I:$I,$A22,Caseslist!$M:$M,"45934")
+COUNTIFS(Caseslist!$I:$I,642334,Caseslist!$M:$M,"45934")
-IF($A22=642334,COUNTIFS(Caseslist!$I:$I,642334,Caseslist!$M:$M,"45934"),0)</f>
        <v>0</v>
      </c>
      <c r="AS22" s="49">
        <f>COUNTIFS(Caseslist!$I:$I,$A22,Caseslist!$M:$M,"45935")
+COUNTIFS(Caseslist!$I:$I,642334,Caseslist!$M:$M,"45935")
-IF($A22=642334,COUNTIFS(Caseslist!$I:$I,642334,Caseslist!$M:$M,"45935"),0)</f>
        <v>0</v>
      </c>
      <c r="AT22" s="49">
        <f>COUNTIFS(Caseslist!$I:$I,$A22,Caseslist!$M:$M,"45936")
+COUNTIFS(Caseslist!$I:$I,642334,Caseslist!$M:$M,"45936")
-IF($A22=642334,COUNTIFS(Caseslist!$I:$I,642334,Caseslist!$M:$M,"45936"),0)</f>
        <v>0</v>
      </c>
    </row>
    <row r="23">
      <c r="A23" s="1" t="s">
        <v>8978</v>
      </c>
      <c r="B23" s="1" t="s">
        <v>8979</v>
      </c>
      <c r="C23" s="56">
        <f>IFERROR(__xludf.DUMMYFUNCTION("IFERROR(AVERAGE(FILTER(data!E:E, (data!N:N=1) * ((data!G:G=$A23) + (data!G:G=729375))))/60, ""No Match"")"),40.33203703703704)</f>
        <v>40.33203704</v>
      </c>
      <c r="D23" s="49">
        <f>COUNTIFS(Caseslist!$I:$I,$A21,Caseslist!$M:$M,"45894")
+COUNTIFS(Caseslist!$I:$I,729375,Caseslist!$M:$M,"45894")
-IF($A21=729375,COUNTIFS(Caseslist!$I:$I,729375,Caseslist!$M:$M,"45894"),0)</f>
        <v>3</v>
      </c>
      <c r="E23" s="49">
        <f>COUNTIFS(Caseslist!$I:$I,$A23,Caseslist!$M:$M,"45895")
+COUNTIFS(Caseslist!$I:$I,729375,Caseslist!$M:$M,"45895")
-IF($A23=729375,COUNTIFS(Caseslist!$I:$I,729375,Caseslist!$M:$M,"45895"),0)</f>
        <v>3</v>
      </c>
      <c r="F23" s="49">
        <f>COUNTIFS(Caseslist!$I:$I,$A23,Caseslist!$M:$M,"45896")
+COUNTIFS(Caseslist!$I:$I,729375,Caseslist!$M:$M,"45896")
-IF($A23=729375,COUNTIFS(Caseslist!$I:$I,729375,Caseslist!$M:$M,"45896"),0)</f>
        <v>3</v>
      </c>
      <c r="G23" s="49">
        <f>COUNTIFS(Caseslist!$I:$I,$A23,Caseslist!$M:$M,"45897")
+COUNTIFS(Caseslist!$I:$I,729375,Caseslist!$M:$M,"45897")
-IF($A23=729375,COUNTIFS(Caseslist!$I:$I,729375,Caseslist!$M:$M,"45897"),0)</f>
        <v>2</v>
      </c>
      <c r="H23" s="49">
        <f>COUNTIFS(Caseslist!$I:$I,$A23,Caseslist!$M:$M,"45898")
+COUNTIFS(Caseslist!$I:$I,729375,Caseslist!$M:$M,"45898")
-IF($A23=729375,COUNTIFS(Caseslist!$I:$I,729375,Caseslist!$M:$M,"45898"),0)</f>
        <v>4</v>
      </c>
      <c r="I23" s="49">
        <f>COUNTIFS(Caseslist!$I:$I,$A23,Caseslist!$M:$M,"45899")
+COUNTIFS(Caseslist!$I:$I,729375,Caseslist!$M:$M,"45899")
-IF($A23=729375,COUNTIFS(Caseslist!$I:$I,729375,Caseslist!$M:$M,"45899"),0)</f>
        <v>3</v>
      </c>
      <c r="J23" s="49">
        <f>COUNTIFS(Caseslist!$I:$I,$A23:$A1001,Caseslist!$M:$M,"45900")</f>
        <v>0</v>
      </c>
      <c r="K23" s="49">
        <f>COUNTIFS(Caseslist!$I:$I,$A23,Caseslist!$M:$M,"45901")
+COUNTIFS(Caseslist!$I:$I,729375,Caseslist!$M:$M,"45901")
-IF($A23=729375,COUNTIFS(Caseslist!$I:$I,729375,Caseslist!$M:$M,"45901"),0)</f>
        <v>5</v>
      </c>
      <c r="L23" s="49">
        <f>COUNTIFS(Caseslist!$I:$I,$A23,Caseslist!$M:$M,"45902")
+COUNTIFS(Caseslist!$I:$I,729375,Caseslist!$M:$M,"45902")
-IF($A23=729375,COUNTIFS(Caseslist!$I:$I,729375,Caseslist!$M:$M,"45902"),0)</f>
        <v>3</v>
      </c>
      <c r="M23" s="49">
        <f>COUNTIFS(Caseslist!$I:$I,$A23,Caseslist!$M:$M,"45903")
+COUNTIFS(Caseslist!$I:$I,729375,Caseslist!$M:$M,"45903")
-IF($A23=729375,COUNTIFS(Caseslist!$I:$I,729375,Caseslist!$M:$M,"45903"),0)</f>
        <v>3</v>
      </c>
      <c r="N23" s="49">
        <f>COUNTIFS(Caseslist!$I:$I,$A23,Caseslist!$M:$M,"45904")
+COUNTIFS(Caseslist!$I:$I,729375,Caseslist!$M:$M,"45904")
-IF($A23=729375,COUNTIFS(Caseslist!$I:$I,729375,Caseslist!$M:$M,"45904"),0)</f>
        <v>3</v>
      </c>
      <c r="O23" s="49">
        <f>COUNTIFS(Caseslist!$I:$I,$A23,Caseslist!$M:$M,"45905")
+COUNTIFS(Caseslist!$I:$I,729375,Caseslist!$M:$M,"45905")
-IF($A23=729375,COUNTIFS(Caseslist!$I:$I,729375,Caseslist!$M:$M,"45905"),0)</f>
        <v>4</v>
      </c>
      <c r="P23" s="49">
        <f>COUNTIFS(Caseslist!$I:$I,$A23,Caseslist!$M:$M,"45906")
+COUNTIFS(Caseslist!$I:$I,729375,Caseslist!$M:$M,"45906")
-IF($A23=729375,COUNTIFS(Caseslist!$I:$I,729375,Caseslist!$M:$M,"45906"),0)</f>
        <v>2</v>
      </c>
      <c r="Q23" s="49">
        <f>COUNTIFS(Caseslist!$I:$I,$A23,Caseslist!$M:$M,"45907")
+COUNTIFS(Caseslist!$I:$I,729375,Caseslist!$M:$M,"45907")
-IF($A23=729375,COUNTIFS(Caseslist!$I:$I,729375,Caseslist!$M:$M,"45907"),0)</f>
        <v>0</v>
      </c>
      <c r="R23" s="49">
        <f>COUNTIFS(Caseslist!$I:$I,$A23,Caseslist!$M:$M,"45908")
+COUNTIFS(Caseslist!$I:$I,729375,Caseslist!$M:$M,"45908")
-IF($A23=729375,COUNTIFS(Caseslist!$I:$I,729375,Caseslist!$M:$M,"45908"),0)</f>
        <v>3</v>
      </c>
      <c r="S23" s="49">
        <f>COUNTIFS(Caseslist!$I:$I,$A23,Caseslist!$M:$M,"45909")
+COUNTIFS(Caseslist!$I:$I,729375,Caseslist!$M:$M,"45909")
-IF($A23=729375,COUNTIFS(Caseslist!$I:$I,729375,Caseslist!$M:$M,"45909"),0)</f>
        <v>4</v>
      </c>
      <c r="T23" s="49">
        <f>COUNTIFS(Caseslist!$I:$I,$A23,Caseslist!$M:$M,"45910")
+COUNTIFS(Caseslist!$I:$I,729375,Caseslist!$M:$M,"45910")
-IF($A23=729375,COUNTIFS(Caseslist!$I:$I,729375,Caseslist!$M:$M,"45910"),0)</f>
        <v>0</v>
      </c>
      <c r="U23" s="49">
        <f>COUNTIFS(Caseslist!$I:$I,$A23,Caseslist!$M:$M,"45911")
+COUNTIFS(Caseslist!$I:$I,729375,Caseslist!$M:$M,"45911")
-IF($A23=729375,COUNTIFS(Caseslist!$I:$I,729375,Caseslist!$M:$M,"45911"),0)</f>
        <v>2</v>
      </c>
      <c r="V23" s="49">
        <f>COUNTIFS(Caseslist!$I:$I,$A23,Caseslist!$M:$M,"45912")
+COUNTIFS(Caseslist!$I:$I,729375,Caseslist!$M:$M,"45912")
-IF($A23=729375,COUNTIFS(Caseslist!$I:$I,729375,Caseslist!$M:$M,"45912"),0)</f>
        <v>3</v>
      </c>
      <c r="W23" s="49">
        <f>COUNTIFS(Caseslist!$I:$I,$A23,Caseslist!$M:$M,"45913")
+COUNTIFS(Caseslist!$I:$I,729375,Caseslist!$M:$M,"45913")
-IF($A23=729375,COUNTIFS(Caseslist!$I:$I,729375,Caseslist!$M:$M,"45913"),0)</f>
        <v>3</v>
      </c>
      <c r="X23" s="49">
        <f>COUNTIFS(Caseslist!$I:$I,$A23,Caseslist!$M:$M,"45914")
+COUNTIFS(Caseslist!$I:$I,729375,Caseslist!$M:$M,"45914")
-IF($A23=729375,COUNTIFS(Caseslist!$I:$I,729375,Caseslist!$M:$M,"45914"),0)</f>
        <v>0</v>
      </c>
      <c r="Y23" s="49">
        <f>COUNTIFS(Caseslist!$I:$I,$A23,Caseslist!$M:$M,"45915")
+COUNTIFS(Caseslist!$I:$I,729375,Caseslist!$M:$M,"45915")
-IF($A23=729375,COUNTIFS(Caseslist!$I:$I,729375,Caseslist!$M:$M,"45915"),0)</f>
        <v>4</v>
      </c>
      <c r="Z23" s="49">
        <f>COUNTIFS(Caseslist!$I:$I,$A23,Caseslist!$M:$M,"45916")
+COUNTIFS(Caseslist!$I:$I,729375,Caseslist!$M:$M,"45916")
-IF($A23=729375,COUNTIFS(Caseslist!$I:$I,729375,Caseslist!$M:$M,"45916"),0)</f>
        <v>4</v>
      </c>
      <c r="AA23" s="49">
        <f>COUNTIFS(Caseslist!$I:$I,$A23,Caseslist!$M:$M,"45917")
+COUNTIFS(Caseslist!$I:$I,729375,Caseslist!$M:$M,"45917")
-IF($A23=729375,COUNTIFS(Caseslist!$I:$I,729375,Caseslist!$M:$M,"45917"),0)</f>
        <v>2</v>
      </c>
      <c r="AB23" s="49">
        <f>COUNTIFS(Caseslist!$I:$I,$A23,Caseslist!$M:$M,"45918")
+COUNTIFS(Caseslist!$I:$I,729375,Caseslist!$M:$M,"45918")
-IF($A23=729375,COUNTIFS(Caseslist!$I:$I,729375,Caseslist!$M:$M,"45918"),0)</f>
        <v>2</v>
      </c>
      <c r="AC23" s="49">
        <f>COUNTIFS(Caseslist!$I:$I,$A23,Caseslist!$M:$M,"45919")
+COUNTIFS(Caseslist!$I:$I,729375,Caseslist!$M:$M,"45919")
-IF($A23=729375,COUNTIFS(Caseslist!$I:$I,729375,Caseslist!$M:$M,"45919"),0)</f>
        <v>3</v>
      </c>
      <c r="AD23" s="49">
        <f>COUNTIFS(Caseslist!$I:$I,$A23,Caseslist!$M:$M,"45920")
+COUNTIFS(Caseslist!$I:$I,729375,Caseslist!$M:$M,"45920")
-IF($A23=729375,COUNTIFS(Caseslist!$I:$I,729375,Caseslist!$M:$M,"45920"),0)</f>
        <v>1</v>
      </c>
      <c r="AE23" s="49">
        <f>COUNTIFS(Caseslist!$I:$I,$A23,Caseslist!$M:$M,"45921")
+COUNTIFS(Caseslist!$I:$I,729375,Caseslist!$M:$M,"45921")
-IF($A23=729375,COUNTIFS(Caseslist!$I:$I,729375,Caseslist!$M:$M,"45921"),0)</f>
        <v>0</v>
      </c>
      <c r="AF23" s="49">
        <f>COUNTIFS(Caseslist!$I:$I,$A23,Caseslist!$M:$M,"45922")
+COUNTIFS(Caseslist!$I:$I,729375,Caseslist!$M:$M,"45922")
-IF($A23=729375,COUNTIFS(Caseslist!$I:$I,729375,Caseslist!$M:$M,"45922"),0)</f>
        <v>4</v>
      </c>
      <c r="AG23" s="49">
        <f>COUNTIFS(Caseslist!$I:$I,$A23,Caseslist!$M:$M,"45923")
+COUNTIFS(Caseslist!$I:$I,729375,Caseslist!$M:$M,"45923")
-IF($A23=729375,COUNTIFS(Caseslist!$I:$I,729375,Caseslist!$M:$M,"45923"),0)</f>
        <v>1</v>
      </c>
      <c r="AH23" s="49">
        <f>COUNTIFS(Caseslist!$I:$I,$A23,Caseslist!$M:$M,"45924")
+COUNTIFS(Caseslist!$I:$I,729375,Caseslist!$M:$M,"45924")
-IF($A23=729375,COUNTIFS(Caseslist!$I:$I,729375,Caseslist!$M:$M,"45924"),0)</f>
        <v>5</v>
      </c>
      <c r="AI23" s="49">
        <f>COUNTIFS(Caseslist!$I:$I,$A23,Caseslist!$M:$M,"45925")
+COUNTIFS(Caseslist!$I:$I,729375,Caseslist!$M:$M,"45925")
-IF($A23=729375,COUNTIFS(Caseslist!$I:$I,729375,Caseslist!$M:$M,"45925"),0)</f>
        <v>4</v>
      </c>
      <c r="AJ23" s="49">
        <f>COUNTIFS(Caseslist!$I:$I,$A23,Caseslist!$M:$M,"45926")
+COUNTIFS(Caseslist!$I:$I,729375,Caseslist!$M:$M,"45926")
-IF($A23=729375,COUNTIFS(Caseslist!$I:$I,729375,Caseslist!$M:$M,"45926"),0)</f>
        <v>0</v>
      </c>
      <c r="AK23" s="49">
        <f>COUNTIFS(Caseslist!$I:$I,$A23,Caseslist!$M:$M,"45927")
+COUNTIFS(Caseslist!$I:$I,729375,Caseslist!$M:$M,"45927")
-IF($A23=729375,COUNTIFS(Caseslist!$I:$I,729375,Caseslist!$M:$M,"45927"),0)</f>
        <v>0</v>
      </c>
      <c r="AL23" s="49">
        <f>COUNTIFS(Caseslist!$I:$I,$A23,Caseslist!$M:$M,"45928")
+COUNTIFS(Caseslist!$I:$I,729375,Caseslist!$M:$M,"45928")
-IF($A23=729375,COUNTIFS(Caseslist!$I:$I,729375,Caseslist!$M:$M,"45928"),0)</f>
        <v>1</v>
      </c>
      <c r="AM23" s="49">
        <f>COUNTIFS(Caseslist!$I:$I,$A23,Caseslist!$M:$M,"45929")
+COUNTIFS(Caseslist!$I:$I,729375,Caseslist!$M:$M,"45929")
-IF($A23=729375,COUNTIFS(Caseslist!$I:$I,729375,Caseslist!$M:$M,"45929"),0)</f>
        <v>2</v>
      </c>
      <c r="AN23" s="49">
        <f>COUNTIFS(Caseslist!$I:$I,$A23,Caseslist!$M:$M,"45930")
+COUNTIFS(Caseslist!$I:$I,729375,Caseslist!$M:$M,"45930")
-IF($A23=729375,COUNTIFS(Caseslist!$I:$I,729375,Caseslist!$M:$M,"45930"),0)</f>
        <v>0</v>
      </c>
      <c r="AO23" s="49">
        <f>COUNTIFS(Caseslist!$I:$I,$A23,Caseslist!$M:$M,"45931")
+COUNTIFS(Caseslist!$I:$I,729375,Caseslist!$M:$M,"45931")
-IF($A23=729375,COUNTIFS(Caseslist!$I:$I,729375,Caseslist!$M:$M,"45931"),0)</f>
        <v>0</v>
      </c>
      <c r="AP23" s="49">
        <f>COUNTIFS(Caseslist!$I:$I,$A23,Caseslist!$M:$M,"45932")
+COUNTIFS(Caseslist!$I:$I,729375,Caseslist!$M:$M,"45932")
-IF($A23=729375,COUNTIFS(Caseslist!$I:$I,729375,Caseslist!$M:$M,"45932"),0)</f>
        <v>1</v>
      </c>
      <c r="AQ23" s="49">
        <f>COUNTIFS(Caseslist!$I:$I,$A23,Caseslist!$M:$M,"45933")
+COUNTIFS(Caseslist!$I:$I,729375,Caseslist!$M:$M,"45933")
-IF($A23=729375,COUNTIFS(Caseslist!$I:$I,729375,Caseslist!$M:$M,"45933"),0)</f>
        <v>0</v>
      </c>
      <c r="AR23" s="49">
        <f>COUNTIFS(Caseslist!$I:$I,$A23,Caseslist!$M:$M,"45934")
+COUNTIFS(Caseslist!$I:$I,729375,Caseslist!$M:$M,"45934")
-IF($A23=729375,COUNTIFS(Caseslist!$I:$I,729375,Caseslist!$M:$M,"45934"),0)</f>
        <v>0</v>
      </c>
      <c r="AS23" s="49">
        <f>COUNTIFS(Caseslist!$I:$I,$A23,Caseslist!$M:$M,"45935")
+COUNTIFS(Caseslist!$I:$I,729375,Caseslist!$M:$M,"45935")
-IF($A23=729375,COUNTIFS(Caseslist!$I:$I,729375,Caseslist!$M:$M,"45935"),0)</f>
        <v>0</v>
      </c>
      <c r="AT23" s="49">
        <f>COUNTIFS(Caseslist!$I:$I,$A23,Caseslist!$M:$M,"45936")
+COUNTIFS(Caseslist!$I:$I,729375,Caseslist!$M:$M,"45936")
-IF($A23=729375,COUNTIFS(Caseslist!$I:$I,729375,Caseslist!$M:$M,"45936"),0)</f>
        <v>0</v>
      </c>
    </row>
    <row r="24">
      <c r="A24" s="1" t="s">
        <v>8980</v>
      </c>
      <c r="B24" s="1" t="s">
        <v>8981</v>
      </c>
      <c r="C24" s="56">
        <f>IFERROR(__xludf.DUMMYFUNCTION("IFERROR(AVERAGE(FILTER(data!E:E, (data!N:N=1) * ((data!G:G=$A24) + (data!G:G=555127))))/60, ""No Match"")"),58.620609318996415)</f>
        <v>58.62060932</v>
      </c>
      <c r="D24" s="61">
        <f>COUNTIFS(Caseslist!$I:$I,$A21,Caseslist!$M:$M,"45894")
+COUNTIFS(Caseslist!$I:$I,555127,Caseslist!$M:$M,"45894")
-IF($A21=555127,COUNTIFS(Caseslist!$I:$I,555127,Caseslist!$M:$M,"45894"),0)</f>
        <v>3</v>
      </c>
      <c r="E24" s="61">
        <f>COUNTIFS(Caseslist!$I:$I,$A24,Caseslist!$M:$M,"45895")
+COUNTIFS(Caseslist!$I:$I,555127,Caseslist!$M:$M,"45895")
-IF($A24=555127,COUNTIFS(Caseslist!$I:$I,555127,Caseslist!$M:$M,"45895"),0)</f>
        <v>4</v>
      </c>
      <c r="F24" s="61">
        <f>COUNTIFS(Caseslist!$I:$I,$A24,Caseslist!$M:$M,"45896")
+COUNTIFS(Caseslist!$I:$I,555127,Caseslist!$M:$M,"45896")
-IF($A24=555127,COUNTIFS(Caseslist!$I:$I,555127,Caseslist!$M:$M,"45896"),0)</f>
        <v>3</v>
      </c>
      <c r="G24" s="61">
        <f>COUNTIFS(Caseslist!$I:$I,$A24,Caseslist!$M:$M,"45897")
+COUNTIFS(Caseslist!$I:$I,555127,Caseslist!$M:$M,"45897")
-IF($A24=555127,COUNTIFS(Caseslist!$I:$I,555127,Caseslist!$M:$M,"45897"),0)</f>
        <v>3</v>
      </c>
      <c r="H24" s="61">
        <f>COUNTIFS(Caseslist!$I:$I,$A24,Caseslist!$M:$M,"45898")
+COUNTIFS(Caseslist!$I:$I,555127,Caseslist!$M:$M,"45898")
-IF($A24=555127,COUNTIFS(Caseslist!$I:$I,555127,Caseslist!$M:$M,"45898"),0)</f>
        <v>4</v>
      </c>
      <c r="I24" s="61">
        <f>COUNTIFS(Caseslist!$I:$I,$A24,Caseslist!$M:$M,"45899")
+COUNTIFS(Caseslist!$I:$I,555127,Caseslist!$M:$M,"45899")
-IF($A24=555127,COUNTIFS(Caseslist!$I:$I,555127,Caseslist!$M:$M,"45899"),0)</f>
        <v>2</v>
      </c>
      <c r="J24" s="49">
        <f>COUNTIFS(Caseslist!$I:$I,$A24:$A1001,Caseslist!$M:$M,"45900")</f>
        <v>0</v>
      </c>
      <c r="K24" s="61">
        <f>COUNTIFS(Caseslist!$I:$I,$A24,Caseslist!$M:$M,"45901")
+COUNTIFS(Caseslist!$I:$I,555127,Caseslist!$M:$M,"45901")
-IF($A24=555127,COUNTIFS(Caseslist!$I:$I,555127,Caseslist!$M:$M,"45901"),0)</f>
        <v>4</v>
      </c>
      <c r="L24" s="61">
        <f>COUNTIFS(Caseslist!$I:$I,$A24,Caseslist!$M:$M,"45902")
+COUNTIFS(Caseslist!$I:$I,555127,Caseslist!$M:$M,"45902")
-IF($A24=555127,COUNTIFS(Caseslist!$I:$I,555127,Caseslist!$M:$M,"45902"),0)</f>
        <v>5</v>
      </c>
      <c r="M24" s="61">
        <f>COUNTIFS(Caseslist!$I:$I,$A24,Caseslist!$M:$M,"45903")
+COUNTIFS(Caseslist!$I:$I,555127,Caseslist!$M:$M,"45903")
-IF($A24=555127,COUNTIFS(Caseslist!$I:$I,555127,Caseslist!$M:$M,"45903"),0)</f>
        <v>4</v>
      </c>
      <c r="N24" s="61">
        <f>COUNTIFS(Caseslist!$I:$I,$A24,Caseslist!$M:$M,"45904")
+COUNTIFS(Caseslist!$I:$I,555127,Caseslist!$M:$M,"45904")
-IF($A24=555127,COUNTIFS(Caseslist!$I:$I,555127,Caseslist!$M:$M,"45904"),0)</f>
        <v>4</v>
      </c>
      <c r="O24" s="61">
        <f>COUNTIFS(Caseslist!$I:$I,$A24,Caseslist!$M:$M,"45905")
+COUNTIFS(Caseslist!$I:$I,555127,Caseslist!$M:$M,"45905")
-IF($A24=555127,COUNTIFS(Caseslist!$I:$I,555127,Caseslist!$M:$M,"45905"),0)</f>
        <v>4</v>
      </c>
      <c r="P24" s="61">
        <f>COUNTIFS(Caseslist!$I:$I,$A24,Caseslist!$M:$M,"45906")
+COUNTIFS(Caseslist!$I:$I,555127,Caseslist!$M:$M,"45906")
-IF($A24=555127,COUNTIFS(Caseslist!$I:$I,555127,Caseslist!$M:$M,"45906"),0)</f>
        <v>1</v>
      </c>
      <c r="Q24" s="61">
        <f>COUNTIFS(Caseslist!$I:$I,$A24,Caseslist!$M:$M,"45907")
+COUNTIFS(Caseslist!$I:$I,555127,Caseslist!$M:$M,"45907")
-IF($A24=555127,COUNTIFS(Caseslist!$I:$I,555127,Caseslist!$M:$M,"45907"),0)</f>
        <v>0</v>
      </c>
      <c r="R24" s="61">
        <f>COUNTIFS(Caseslist!$I:$I,$A24,Caseslist!$M:$M,"45908")
+COUNTIFS(Caseslist!$I:$I,555127,Caseslist!$M:$M,"45908")
-IF($A24=555127,COUNTIFS(Caseslist!$I:$I,555127,Caseslist!$M:$M,"45908"),0)</f>
        <v>4</v>
      </c>
      <c r="S24" s="61">
        <f>COUNTIFS(Caseslist!$I:$I,$A24,Caseslist!$M:$M,"45909")
+COUNTIFS(Caseslist!$I:$I,555127,Caseslist!$M:$M,"45909")
-IF($A24=555127,COUNTIFS(Caseslist!$I:$I,555127,Caseslist!$M:$M,"45909"),0)</f>
        <v>4</v>
      </c>
      <c r="T24" s="61">
        <f>COUNTIFS(Caseslist!$I:$I,$A24,Caseslist!$M:$M,"45910")
+COUNTIFS(Caseslist!$I:$I,555127,Caseslist!$M:$M,"45910")
-IF($A24=555127,COUNTIFS(Caseslist!$I:$I,555127,Caseslist!$M:$M,"45910"),0)</f>
        <v>0</v>
      </c>
      <c r="U24" s="61">
        <f>COUNTIFS(Caseslist!$I:$I,$A24,Caseslist!$M:$M,"45911")
+COUNTIFS(Caseslist!$I:$I,555127,Caseslist!$M:$M,"45911")
-IF($A24=555127,COUNTIFS(Caseslist!$I:$I,555127,Caseslist!$M:$M,"45911"),0)</f>
        <v>3</v>
      </c>
      <c r="V24" s="61">
        <f>COUNTIFS(Caseslist!$I:$I,$A24,Caseslist!$M:$M,"45912")
+COUNTIFS(Caseslist!$I:$I,555127,Caseslist!$M:$M,"45912")
-IF($A24=555127,COUNTIFS(Caseslist!$I:$I,555127,Caseslist!$M:$M,"45912"),0)</f>
        <v>4</v>
      </c>
      <c r="W24" s="61">
        <f>COUNTIFS(Caseslist!$I:$I,$A24,Caseslist!$M:$M,"45913")
+COUNTIFS(Caseslist!$I:$I,555127,Caseslist!$M:$M,"45913")
-IF($A24=555127,COUNTIFS(Caseslist!$I:$I,555127,Caseslist!$M:$M,"45913"),0)</f>
        <v>2</v>
      </c>
      <c r="X24" s="61">
        <f>COUNTIFS(Caseslist!$I:$I,$A24,Caseslist!$M:$M,"45914")
+COUNTIFS(Caseslist!$I:$I,555127,Caseslist!$M:$M,"45914")
-IF($A24=555127,COUNTIFS(Caseslist!$I:$I,555127,Caseslist!$M:$M,"45914"),0)</f>
        <v>3</v>
      </c>
      <c r="Y24" s="61">
        <f>COUNTIFS(Caseslist!$I:$I,$A24,Caseslist!$M:$M,"45915")
+COUNTIFS(Caseslist!$I:$I,555127,Caseslist!$M:$M,"45915")
-IF($A24=555127,COUNTIFS(Caseslist!$I:$I,555127,Caseslist!$M:$M,"45915"),0)</f>
        <v>4</v>
      </c>
      <c r="Z24" s="61">
        <f>COUNTIFS(Caseslist!$I:$I,$A24,Caseslist!$M:$M,"45916")
+COUNTIFS(Caseslist!$I:$I,555127,Caseslist!$M:$M,"45916")
-IF($A24=555127,COUNTIFS(Caseslist!$I:$I,555127,Caseslist!$M:$M,"45916"),0)</f>
        <v>4</v>
      </c>
      <c r="AA24" s="61">
        <f>COUNTIFS(Caseslist!$I:$I,$A24,Caseslist!$M:$M,"45917")
+COUNTIFS(Caseslist!$I:$I,555127,Caseslist!$M:$M,"45917")
-IF($A24=555127,COUNTIFS(Caseslist!$I:$I,555127,Caseslist!$M:$M,"45917"),0)</f>
        <v>0</v>
      </c>
      <c r="AB24" s="61">
        <f>COUNTIFS(Caseslist!$I:$I,$A24,Caseslist!$M:$M,"45918")
+COUNTIFS(Caseslist!$I:$I,555127,Caseslist!$M:$M,"45918")
-IF($A24=555127,COUNTIFS(Caseslist!$I:$I,555127,Caseslist!$M:$M,"45918"),0)</f>
        <v>5</v>
      </c>
      <c r="AC24" s="61">
        <f>COUNTIFS(Caseslist!$I:$I,$A24,Caseslist!$M:$M,"45919")
+COUNTIFS(Caseslist!$I:$I,555127,Caseslist!$M:$M,"45919")
-IF($A24=555127,COUNTIFS(Caseslist!$I:$I,555127,Caseslist!$M:$M,"45919"),0)</f>
        <v>4</v>
      </c>
      <c r="AD24" s="61">
        <f>COUNTIFS(Caseslist!$I:$I,$A24,Caseslist!$M:$M,"45920")
+COUNTIFS(Caseslist!$I:$I,555127,Caseslist!$M:$M,"45920")
-IF($A24=555127,COUNTIFS(Caseslist!$I:$I,555127,Caseslist!$M:$M,"45920"),0)</f>
        <v>1</v>
      </c>
      <c r="AE24" s="61">
        <f>COUNTIFS(Caseslist!$I:$I,$A24,Caseslist!$M:$M,"45921")
+COUNTIFS(Caseslist!$I:$I,555127,Caseslist!$M:$M,"45921")
-IF($A24=555127,COUNTIFS(Caseslist!$I:$I,555127,Caseslist!$M:$M,"45921"),0)</f>
        <v>0</v>
      </c>
      <c r="AF24" s="61">
        <f>COUNTIFS(Caseslist!$I:$I,$A24,Caseslist!$M:$M,"45922")
+COUNTIFS(Caseslist!$I:$I,555127,Caseslist!$M:$M,"45922")
-IF($A24=555127,COUNTIFS(Caseslist!$I:$I,555127,Caseslist!$M:$M,"45922"),0)</f>
        <v>5</v>
      </c>
      <c r="AG24" s="61">
        <f>COUNTIFS(Caseslist!$I:$I,$A24,Caseslist!$M:$M,"45923")
+COUNTIFS(Caseslist!$I:$I,555127,Caseslist!$M:$M,"45923")
-IF($A24=555127,COUNTIFS(Caseslist!$I:$I,555127,Caseslist!$M:$M,"45923"),0)</f>
        <v>1</v>
      </c>
      <c r="AH24" s="61">
        <f>COUNTIFS(Caseslist!$I:$I,$A24,Caseslist!$M:$M,"45924")
+COUNTIFS(Caseslist!$I:$I,555127,Caseslist!$M:$M,"45924")
-IF($A24=555127,COUNTIFS(Caseslist!$I:$I,555127,Caseslist!$M:$M,"45924"),0)</f>
        <v>1</v>
      </c>
      <c r="AI24" s="61">
        <f>COUNTIFS(Caseslist!$I:$I,$A24,Caseslist!$M:$M,"45925")
+COUNTIFS(Caseslist!$I:$I,555127,Caseslist!$M:$M,"45925")
-IF($A24=555127,COUNTIFS(Caseslist!$I:$I,555127,Caseslist!$M:$M,"45925"),0)</f>
        <v>3</v>
      </c>
      <c r="AJ24" s="61">
        <f>COUNTIFS(Caseslist!$I:$I,$A24,Caseslist!$M:$M,"45926")
+COUNTIFS(Caseslist!$I:$I,555127,Caseslist!$M:$M,"45926")
-IF($A24=555127,COUNTIFS(Caseslist!$I:$I,555127,Caseslist!$M:$M,"45926"),0)</f>
        <v>0</v>
      </c>
      <c r="AK24" s="61">
        <f>COUNTIFS(Caseslist!$I:$I,$A24,Caseslist!$M:$M,"45927")
+COUNTIFS(Caseslist!$I:$I,555127,Caseslist!$M:$M,"45927")
-IF($A24=555127,COUNTIFS(Caseslist!$I:$I,555127,Caseslist!$M:$M,"45927"),0)</f>
        <v>0</v>
      </c>
      <c r="AL24" s="61">
        <f>COUNTIFS(Caseslist!$I:$I,$A24,Caseslist!$M:$M,"45928")
+COUNTIFS(Caseslist!$I:$I,555127,Caseslist!$M:$M,"45928")
-IF($A24=555127,COUNTIFS(Caseslist!$I:$I,555127,Caseslist!$M:$M,"45928"),0)</f>
        <v>1</v>
      </c>
      <c r="AM24" s="61">
        <f>COUNTIFS(Caseslist!$I:$I,$A24,Caseslist!$M:$M,"45929")
+COUNTIFS(Caseslist!$I:$I,555127,Caseslist!$M:$M,"45929")
-IF($A24=555127,COUNTIFS(Caseslist!$I:$I,555127,Caseslist!$M:$M,"45929"),0)</f>
        <v>1</v>
      </c>
      <c r="AN24" s="61">
        <f>COUNTIFS(Caseslist!$I:$I,$A24,Caseslist!$M:$M,"45930")
+COUNTIFS(Caseslist!$I:$I,555127,Caseslist!$M:$M,"45930")
-IF($A24=555127,COUNTIFS(Caseslist!$I:$I,555127,Caseslist!$M:$M,"45930"),0)</f>
        <v>0</v>
      </c>
      <c r="AO24" s="61">
        <f>COUNTIFS(Caseslist!$I:$I,$A24,Caseslist!$M:$M,"45931")
+COUNTIFS(Caseslist!$I:$I,555127,Caseslist!$M:$M,"45931")
-IF($A24=555127,COUNTIFS(Caseslist!$I:$I,555127,Caseslist!$M:$M,"45931"),0)</f>
        <v>0</v>
      </c>
      <c r="AP24" s="61">
        <f>COUNTIFS(Caseslist!$I:$I,$A24,Caseslist!$M:$M,"45932")
+COUNTIFS(Caseslist!$I:$I,555127,Caseslist!$M:$M,"45932")
-IF($A24=555127,COUNTIFS(Caseslist!$I:$I,555127,Caseslist!$M:$M,"45932"),0)</f>
        <v>0</v>
      </c>
      <c r="AQ24" s="61">
        <f>COUNTIFS(Caseslist!$I:$I,$A24,Caseslist!$M:$M,"45933")
+COUNTIFS(Caseslist!$I:$I,555127,Caseslist!$M:$M,"45933")
-IF($A24=555127,COUNTIFS(Caseslist!$I:$I,555127,Caseslist!$M:$M,"45933"),0)</f>
        <v>1</v>
      </c>
      <c r="AR24" s="61">
        <f>COUNTIFS(Caseslist!$I:$I,$A24,Caseslist!$M:$M,"45934")
+COUNTIFS(Caseslist!$I:$I,555127,Caseslist!$M:$M,"45934")
-IF($A24=555127,COUNTIFS(Caseslist!$I:$I,555127,Caseslist!$M:$M,"45934"),0)</f>
        <v>0</v>
      </c>
      <c r="AS24" s="61">
        <f>COUNTIFS(Caseslist!$I:$I,$A24,Caseslist!$M:$M,"45935")
+COUNTIFS(Caseslist!$I:$I,555127,Caseslist!$M:$M,"45935")
-IF($A24=555127,COUNTIFS(Caseslist!$I:$I,555127,Caseslist!$M:$M,"45935"),0)</f>
        <v>0</v>
      </c>
      <c r="AT24" s="61">
        <f>COUNTIFS(Caseslist!$I:$I,$A24,Caseslist!$M:$M,"45936")
+COUNTIFS(Caseslist!$I:$I,555127,Caseslist!$M:$M,"45936")
-IF($A24=555127,COUNTIFS(Caseslist!$I:$I,555127,Caseslist!$M:$M,"45936"),0)</f>
        <v>0</v>
      </c>
    </row>
    <row r="25">
      <c r="A25" s="1" t="s">
        <v>8982</v>
      </c>
      <c r="B25" s="1" t="s">
        <v>69</v>
      </c>
      <c r="C25" s="56">
        <f>IFERROR(__xludf.DUMMYFUNCTION("IFERROR(AVERAGE(FILTER(data!E:E, (data!N:N=1) * ((data!G:G=$A25) + (data!G:G=455939))))/60, ""No Match"")"),48.47142857142857)</f>
        <v>48.47142857</v>
      </c>
      <c r="D25" s="49">
        <f>COUNTIFS(Caseslist!$I:$I,$A21,Caseslist!$M:$M,"45894")
+COUNTIFS(Caseslist!$I:$I,455939,Caseslist!$M:$M,"45894")
-IF($A21=455939,COUNTIFS(Caseslist!$I:$I,455939,Caseslist!$M:$M,"45894"),0)</f>
        <v>2</v>
      </c>
      <c r="E25" s="49">
        <f>COUNTIFS(Caseslist!$I:$I,$A25,Caseslist!$M:$M,"45895")
+COUNTIFS(Caseslist!$I:$I,455939,Caseslist!$M:$M,"45895")
-IF($A25=455939,COUNTIFS(Caseslist!$I:$I,455939,Caseslist!$M:$M,"45895"),0)</f>
        <v>4</v>
      </c>
      <c r="F25" s="49">
        <f>COUNTIFS(Caseslist!$I:$I,$A25,Caseslist!$M:$M,"45896")
+COUNTIFS(Caseslist!$I:$I,455939,Caseslist!$M:$M,"45896")
-IF($A25=455939,COUNTIFS(Caseslist!$I:$I,455939,Caseslist!$M:$M,"45896"),0)</f>
        <v>4</v>
      </c>
      <c r="G25" s="49">
        <f>COUNTIFS(Caseslist!$I:$I,$A25,Caseslist!$M:$M,"45897")
+COUNTIFS(Caseslist!$I:$I,455939,Caseslist!$M:$M,"45897")
-IF($A25=455939,COUNTIFS(Caseslist!$I:$I,455939,Caseslist!$M:$M,"45897"),0)</f>
        <v>4</v>
      </c>
      <c r="H25" s="49">
        <f>COUNTIFS(Caseslist!$I:$I,$A25,Caseslist!$M:$M,"45898")
+COUNTIFS(Caseslist!$I:$I,455939,Caseslist!$M:$M,"45898")
-IF($A25=455939,COUNTIFS(Caseslist!$I:$I,455939,Caseslist!$M:$M,"45898"),0)</f>
        <v>4</v>
      </c>
      <c r="I25" s="49">
        <f>COUNTIFS(Caseslist!$I:$I,$A25,Caseslist!$M:$M,"45899")
+COUNTIFS(Caseslist!$I:$I,455939,Caseslist!$M:$M,"45899")
-IF($A25=455939,COUNTIFS(Caseslist!$I:$I,455939,Caseslist!$M:$M,"45899"),0)</f>
        <v>1</v>
      </c>
      <c r="J25" s="49">
        <f>COUNTIFS(Caseslist!$I:$I,$A25:$A1001,Caseslist!$M:$M,"45900")</f>
        <v>0</v>
      </c>
      <c r="K25" s="49">
        <f>COUNTIFS(Caseslist!$I:$I,$A25,Caseslist!$M:$M,"45901")
+COUNTIFS(Caseslist!$I:$I,455939,Caseslist!$M:$M,"45901")
-IF($A25=455939,COUNTIFS(Caseslist!$I:$I,455939,Caseslist!$M:$M,"45901"),0)</f>
        <v>5</v>
      </c>
      <c r="L25" s="49">
        <f>COUNTIFS(Caseslist!$I:$I,$A25,Caseslist!$M:$M,"45902")
+COUNTIFS(Caseslist!$I:$I,455939,Caseslist!$M:$M,"45902")
-IF($A25=455939,COUNTIFS(Caseslist!$I:$I,455939,Caseslist!$M:$M,"45902"),0)</f>
        <v>5</v>
      </c>
      <c r="M25" s="49">
        <f>COUNTIFS(Caseslist!$I:$I,$A25,Caseslist!$M:$M,"45903")
+COUNTIFS(Caseslist!$I:$I,455939,Caseslist!$M:$M,"45903")
-IF($A25=455939,COUNTIFS(Caseslist!$I:$I,455939,Caseslist!$M:$M,"45903"),0)</f>
        <v>3</v>
      </c>
      <c r="N25" s="49">
        <f>COUNTIFS(Caseslist!$I:$I,$A25,Caseslist!$M:$M,"45904")
+COUNTIFS(Caseslist!$I:$I,455939,Caseslist!$M:$M,"45904")
-IF($A25=455939,COUNTIFS(Caseslist!$I:$I,455939,Caseslist!$M:$M,"45904"),0)</f>
        <v>3</v>
      </c>
      <c r="O25" s="49">
        <f>COUNTIFS(Caseslist!$I:$I,$A25,Caseslist!$M:$M,"45905")
+COUNTIFS(Caseslist!$I:$I,455939,Caseslist!$M:$M,"45905")
-IF($A25=455939,COUNTIFS(Caseslist!$I:$I,455939,Caseslist!$M:$M,"45905"),0)</f>
        <v>4</v>
      </c>
      <c r="P25" s="49">
        <f>COUNTIFS(Caseslist!$I:$I,$A25,Caseslist!$M:$M,"45906")
+COUNTIFS(Caseslist!$I:$I,455939,Caseslist!$M:$M,"45906")
-IF($A25=455939,COUNTIFS(Caseslist!$I:$I,455939,Caseslist!$M:$M,"45906"),0)</f>
        <v>2</v>
      </c>
      <c r="Q25" s="49">
        <f>COUNTIFS(Caseslist!$I:$I,$A25,Caseslist!$M:$M,"45907")
+COUNTIFS(Caseslist!$I:$I,455939,Caseslist!$M:$M,"45907")
-IF($A25=455939,COUNTIFS(Caseslist!$I:$I,455939,Caseslist!$M:$M,"45907"),0)</f>
        <v>0</v>
      </c>
      <c r="R25" s="49">
        <f>COUNTIFS(Caseslist!$I:$I,$A25,Caseslist!$M:$M,"45908")
+COUNTIFS(Caseslist!$I:$I,455939,Caseslist!$M:$M,"45908")
-IF($A25=455939,COUNTIFS(Caseslist!$I:$I,455939,Caseslist!$M:$M,"45908"),0)</f>
        <v>4</v>
      </c>
      <c r="S25" s="49">
        <f>COUNTIFS(Caseslist!$I:$I,$A25,Caseslist!$M:$M,"45909")
+COUNTIFS(Caseslist!$I:$I,455939,Caseslist!$M:$M,"45909")
-IF($A25=455939,COUNTIFS(Caseslist!$I:$I,455939,Caseslist!$M:$M,"45909"),0)</f>
        <v>4</v>
      </c>
      <c r="T25" s="49">
        <f>COUNTIFS(Caseslist!$I:$I,$A25,Caseslist!$M:$M,"45910")
+COUNTIFS(Caseslist!$I:$I,455939,Caseslist!$M:$M,"45910")
-IF($A25=455939,COUNTIFS(Caseslist!$I:$I,455939,Caseslist!$M:$M,"45910"),0)</f>
        <v>0</v>
      </c>
      <c r="U25" s="49">
        <f>COUNTIFS(Caseslist!$I:$I,$A25,Caseslist!$M:$M,"45911")
+COUNTIFS(Caseslist!$I:$I,455939,Caseslist!$M:$M,"45911")
-IF($A25=455939,COUNTIFS(Caseslist!$I:$I,455939,Caseslist!$M:$M,"45911"),0)</f>
        <v>4</v>
      </c>
      <c r="V25" s="49">
        <f>COUNTIFS(Caseslist!$I:$I,$A25,Caseslist!$M:$M,"45912")
+COUNTIFS(Caseslist!$I:$I,455939,Caseslist!$M:$M,"45912")
-IF($A25=455939,COUNTIFS(Caseslist!$I:$I,455939,Caseslist!$M:$M,"45912"),0)</f>
        <v>2</v>
      </c>
      <c r="W25" s="49">
        <f>COUNTIFS(Caseslist!$I:$I,$A25,Caseslist!$M:$M,"45913")
+COUNTIFS(Caseslist!$I:$I,455939,Caseslist!$M:$M,"45913")
-IF($A25=455939,COUNTIFS(Caseslist!$I:$I,455939,Caseslist!$M:$M,"45913"),0)</f>
        <v>4</v>
      </c>
      <c r="X25" s="49">
        <f>COUNTIFS(Caseslist!$I:$I,$A25,Caseslist!$M:$M,"45914")
+COUNTIFS(Caseslist!$I:$I,455939,Caseslist!$M:$M,"45914")
-IF($A25=455939,COUNTIFS(Caseslist!$I:$I,455939,Caseslist!$M:$M,"45914"),0)</f>
        <v>2</v>
      </c>
      <c r="Y25" s="49">
        <f>COUNTIFS(Caseslist!$I:$I,$A25,Caseslist!$M:$M,"45915")
+COUNTIFS(Caseslist!$I:$I,455939,Caseslist!$M:$M,"45915")
-IF($A25=455939,COUNTIFS(Caseslist!$I:$I,455939,Caseslist!$M:$M,"45915"),0)</f>
        <v>4</v>
      </c>
      <c r="Z25" s="49">
        <f>COUNTIFS(Caseslist!$I:$I,$A25,Caseslist!$M:$M,"45916")
+COUNTIFS(Caseslist!$I:$I,455939,Caseslist!$M:$M,"45916")
-IF($A25=455939,COUNTIFS(Caseslist!$I:$I,455939,Caseslist!$M:$M,"45916"),0)</f>
        <v>4</v>
      </c>
      <c r="AA25" s="49">
        <f>COUNTIFS(Caseslist!$I:$I,$A25,Caseslist!$M:$M,"45917")
+COUNTIFS(Caseslist!$I:$I,455939,Caseslist!$M:$M,"45917")
-IF($A25=455939,COUNTIFS(Caseslist!$I:$I,455939,Caseslist!$M:$M,"45917"),0)</f>
        <v>0</v>
      </c>
      <c r="AB25" s="49">
        <f>COUNTIFS(Caseslist!$I:$I,$A25,Caseslist!$M:$M,"45918")
+COUNTIFS(Caseslist!$I:$I,455939,Caseslist!$M:$M,"45918")
-IF($A25=455939,COUNTIFS(Caseslist!$I:$I,455939,Caseslist!$M:$M,"45918"),0)</f>
        <v>5</v>
      </c>
      <c r="AC25" s="49">
        <f>COUNTIFS(Caseslist!$I:$I,$A25,Caseslist!$M:$M,"45919")
+COUNTIFS(Caseslist!$I:$I,455939,Caseslist!$M:$M,"45919")
-IF($A25=455939,COUNTIFS(Caseslist!$I:$I,455939,Caseslist!$M:$M,"45919"),0)</f>
        <v>3</v>
      </c>
      <c r="AD25" s="49">
        <f>COUNTIFS(Caseslist!$I:$I,$A25,Caseslist!$M:$M,"45920")
+COUNTIFS(Caseslist!$I:$I,455939,Caseslist!$M:$M,"45920")
-IF($A25=455939,COUNTIFS(Caseslist!$I:$I,455939,Caseslist!$M:$M,"45920"),0)</f>
        <v>2</v>
      </c>
      <c r="AE25" s="49">
        <f>COUNTIFS(Caseslist!$I:$I,$A25,Caseslist!$M:$M,"45921")
+COUNTIFS(Caseslist!$I:$I,455939,Caseslist!$M:$M,"45921")
-IF($A25=455939,COUNTIFS(Caseslist!$I:$I,455939,Caseslist!$M:$M,"45921"),0)</f>
        <v>0</v>
      </c>
      <c r="AF25" s="49">
        <f>COUNTIFS(Caseslist!$I:$I,$A25,Caseslist!$M:$M,"45922")
+COUNTIFS(Caseslist!$I:$I,455939,Caseslist!$M:$M,"45922")
-IF($A25=455939,COUNTIFS(Caseslist!$I:$I,455939,Caseslist!$M:$M,"45922"),0)</f>
        <v>3</v>
      </c>
      <c r="AG25" s="49">
        <f>COUNTIFS(Caseslist!$I:$I,$A25,Caseslist!$M:$M,"45923")
+COUNTIFS(Caseslist!$I:$I,455939,Caseslist!$M:$M,"45923")
-IF($A25=455939,COUNTIFS(Caseslist!$I:$I,455939,Caseslist!$M:$M,"45923"),0)</f>
        <v>1</v>
      </c>
      <c r="AH25" s="49">
        <f>COUNTIFS(Caseslist!$I:$I,$A25,Caseslist!$M:$M,"45924")
+COUNTIFS(Caseslist!$I:$I,455939,Caseslist!$M:$M,"45924")
-IF($A25=455939,COUNTIFS(Caseslist!$I:$I,455939,Caseslist!$M:$M,"45924"),0)</f>
        <v>4</v>
      </c>
      <c r="AI25" s="49">
        <f>COUNTIFS(Caseslist!$I:$I,$A25,Caseslist!$M:$M,"45925")
+COUNTIFS(Caseslist!$I:$I,455939,Caseslist!$M:$M,"45925")
-IF($A25=455939,COUNTIFS(Caseslist!$I:$I,455939,Caseslist!$M:$M,"45925"),0)</f>
        <v>1</v>
      </c>
      <c r="AJ25" s="49">
        <f>COUNTIFS(Caseslist!$I:$I,$A25,Caseslist!$M:$M,"45926")
+COUNTIFS(Caseslist!$I:$I,455939,Caseslist!$M:$M,"45926")
-IF($A25=455939,COUNTIFS(Caseslist!$I:$I,455939,Caseslist!$M:$M,"45926"),0)</f>
        <v>0</v>
      </c>
      <c r="AK25" s="49">
        <f>COUNTIFS(Caseslist!$I:$I,$A25,Caseslist!$M:$M,"45927")
+COUNTIFS(Caseslist!$I:$I,455939,Caseslist!$M:$M,"45927")
-IF($A25=455939,COUNTIFS(Caseslist!$I:$I,455939,Caseslist!$M:$M,"45927"),0)</f>
        <v>0</v>
      </c>
      <c r="AL25" s="49">
        <f>COUNTIFS(Caseslist!$I:$I,$A25,Caseslist!$M:$M,"45928")
+COUNTIFS(Caseslist!$I:$I,455939,Caseslist!$M:$M,"45928")
-IF($A25=455939,COUNTIFS(Caseslist!$I:$I,455939,Caseslist!$M:$M,"45928"),0)</f>
        <v>1</v>
      </c>
      <c r="AM25" s="49">
        <f>COUNTIFS(Caseslist!$I:$I,$A25,Caseslist!$M:$M,"45929")
+COUNTIFS(Caseslist!$I:$I,455939,Caseslist!$M:$M,"45929")
-IF($A25=455939,COUNTIFS(Caseslist!$I:$I,455939,Caseslist!$M:$M,"45929"),0)</f>
        <v>0</v>
      </c>
      <c r="AN25" s="49">
        <f>COUNTIFS(Caseslist!$I:$I,$A25,Caseslist!$M:$M,"45930")
+COUNTIFS(Caseslist!$I:$I,455939,Caseslist!$M:$M,"45930")
-IF($A25=455939,COUNTIFS(Caseslist!$I:$I,455939,Caseslist!$M:$M,"45930"),0)</f>
        <v>0</v>
      </c>
      <c r="AO25" s="49">
        <f>COUNTIFS(Caseslist!$I:$I,$A25,Caseslist!$M:$M,"45931")
+COUNTIFS(Caseslist!$I:$I,455939,Caseslist!$M:$M,"45931")
-IF($A25=455939,COUNTIFS(Caseslist!$I:$I,455939,Caseslist!$M:$M,"45931"),0)</f>
        <v>1</v>
      </c>
      <c r="AP25" s="49">
        <f>COUNTIFS(Caseslist!$I:$I,$A25,Caseslist!$M:$M,"45932")
+COUNTIFS(Caseslist!$I:$I,455939,Caseslist!$M:$M,"45932")
-IF($A25=455939,COUNTIFS(Caseslist!$I:$I,455939,Caseslist!$M:$M,"45932"),0)</f>
        <v>0</v>
      </c>
      <c r="AQ25" s="49">
        <f>COUNTIFS(Caseslist!$I:$I,$A25,Caseslist!$M:$M,"45933")
+COUNTIFS(Caseslist!$I:$I,455939,Caseslist!$M:$M,"45933")
-IF($A25=455939,COUNTIFS(Caseslist!$I:$I,455939,Caseslist!$M:$M,"45933"),0)</f>
        <v>0</v>
      </c>
      <c r="AR25" s="49">
        <f>COUNTIFS(Caseslist!$I:$I,$A25,Caseslist!$M:$M,"45934")
+COUNTIFS(Caseslist!$I:$I,455939,Caseslist!$M:$M,"45934")
-IF($A25=455939,COUNTIFS(Caseslist!$I:$I,455939,Caseslist!$M:$M,"45934"),0)</f>
        <v>0</v>
      </c>
      <c r="AS25" s="49">
        <f>COUNTIFS(Caseslist!$I:$I,$A25,Caseslist!$M:$M,"45935")
+COUNTIFS(Caseslist!$I:$I,455939,Caseslist!$M:$M,"45935")
-IF($A25=455939,COUNTIFS(Caseslist!$I:$I,455939,Caseslist!$M:$M,"45935"),0)</f>
        <v>0</v>
      </c>
      <c r="AT25" s="49">
        <f>COUNTIFS(Caseslist!$I:$I,$A25,Caseslist!$M:$M,"45936")
+COUNTIFS(Caseslist!$I:$I,455939,Caseslist!$M:$M,"45936")
-IF($A25=455939,COUNTIFS(Caseslist!$I:$I,455939,Caseslist!$M:$M,"45936"),0)</f>
        <v>0</v>
      </c>
    </row>
    <row r="26">
      <c r="A26" s="1" t="s">
        <v>8983</v>
      </c>
      <c r="B26" s="1" t="s">
        <v>8984</v>
      </c>
      <c r="C26" s="56">
        <f>IFERROR(__xludf.DUMMYFUNCTION("IFERROR(AVERAGE(FILTER(data!E:E, (data!N:N=1) * ((data!G:G=$A26) + (data!G:G=841329))))/60, ""No Match"")"),60.87111111111111)</f>
        <v>60.87111111</v>
      </c>
      <c r="D26" s="49">
        <f>COUNTIFS(Caseslist!$I:$I,$A21,Caseslist!$M:$M,"45894")
+COUNTIFS(Caseslist!$I:$I,841329,Caseslist!$M:$M,"45894")
-IF($A21=841329,COUNTIFS(Caseslist!$I:$I,841329,Caseslist!$M:$M,"45894"),0)</f>
        <v>2</v>
      </c>
      <c r="E26" s="49">
        <f>COUNTIFS(Caseslist!$I:$I,$A26,Caseslist!$M:$M,"45895")
+COUNTIFS(Caseslist!$I:$I,841329,Caseslist!$M:$M,"45895")
-IF($A26=841329,COUNTIFS(Caseslist!$I:$I,841329,Caseslist!$M:$M,"45895"),0)</f>
        <v>3</v>
      </c>
      <c r="F26" s="49">
        <f>COUNTIFS(Caseslist!$I:$I,$A26,Caseslist!$M:$M,"45896")
+COUNTIFS(Caseslist!$I:$I,841329,Caseslist!$M:$M,"45896")
-IF($A26=841329,COUNTIFS(Caseslist!$I:$I,841329,Caseslist!$M:$M,"45896"),0)</f>
        <v>5</v>
      </c>
      <c r="G26" s="49">
        <f>COUNTIFS(Caseslist!$I:$I,$A26,Caseslist!$M:$M,"45897")
+COUNTIFS(Caseslist!$I:$I,841329,Caseslist!$M:$M,"45897")
-IF($A26=841329,COUNTIFS(Caseslist!$I:$I,841329,Caseslist!$M:$M,"45897"),0)</f>
        <v>3</v>
      </c>
      <c r="H26" s="49">
        <f>COUNTIFS(Caseslist!$I:$I,$A26,Caseslist!$M:$M,"45898")
+COUNTIFS(Caseslist!$I:$I,841329,Caseslist!$M:$M,"45898")
-IF($A26=841329,COUNTIFS(Caseslist!$I:$I,841329,Caseslist!$M:$M,"45898"),0)</f>
        <v>4</v>
      </c>
      <c r="I26" s="49">
        <f>COUNTIFS(Caseslist!$I:$I,$A25,Caseslist!$M:$M,"45899")
+COUNTIFS(Caseslist!$I:$I,841329,Caseslist!$M:$M,"45899")
-IF($A25=841329,COUNTIFS(Caseslist!$I:$I,841329,Caseslist!$M:$M,"45899"),0)</f>
        <v>1</v>
      </c>
      <c r="J26" s="49">
        <f>COUNTIFS(Caseslist!$I:$I,$A26:$A1001,Caseslist!$M:$M,"45900")</f>
        <v>0</v>
      </c>
      <c r="K26" s="49">
        <f>COUNTIFS(Caseslist!$I:$I,$A25,Caseslist!$M:$M,"45901")
+COUNTIFS(Caseslist!$I:$I,841329,Caseslist!$M:$M,"45901")
-IF($A25=841329,COUNTIFS(Caseslist!$I:$I,841329,Caseslist!$M:$M,"45901"),0)</f>
        <v>5</v>
      </c>
      <c r="L26" s="49">
        <f>COUNTIFS(Caseslist!$I:$I,$A25,Caseslist!$M:$M,"45902")
+COUNTIFS(Caseslist!$I:$I,841329,Caseslist!$M:$M,"45902")
-IF($A25=841329,COUNTIFS(Caseslist!$I:$I,841329,Caseslist!$M:$M,"45902"),0)</f>
        <v>4</v>
      </c>
      <c r="M26" s="49">
        <f>COUNTIFS(Caseslist!$I:$I,$A25,Caseslist!$M:$M,"45903")
+COUNTIFS(Caseslist!$I:$I,841329,Caseslist!$M:$M,"45903")
-IF($A25=841329,COUNTIFS(Caseslist!$I:$I,841329,Caseslist!$M:$M,"45903"),0)</f>
        <v>3</v>
      </c>
      <c r="N26" s="49">
        <f>COUNTIFS(Caseslist!$I:$I,$A25,Caseslist!$M:$M,"45904")
+COUNTIFS(Caseslist!$I:$I,841329,Caseslist!$M:$M,"45904")
-IF($A25=841329,COUNTIFS(Caseslist!$I:$I,841329,Caseslist!$M:$M,"45904"),0)</f>
        <v>4</v>
      </c>
      <c r="O26" s="49">
        <f>COUNTIFS(Caseslist!$I:$I,$A25,Caseslist!$M:$M,"45905")
+COUNTIFS(Caseslist!$I:$I,841329,Caseslist!$M:$M,"45905")
-IF($A25=841329,COUNTIFS(Caseslist!$I:$I,841329,Caseslist!$M:$M,"45905"),0)</f>
        <v>4</v>
      </c>
      <c r="P26" s="49">
        <f>COUNTIFS(Caseslist!$I:$I,$A25,Caseslist!$M:$M,"45906")
+COUNTIFS(Caseslist!$I:$I,841329,Caseslist!$M:$M,"45906")
-IF($A25=841329,COUNTIFS(Caseslist!$I:$I,841329,Caseslist!$M:$M,"45906"),0)</f>
        <v>2</v>
      </c>
      <c r="Q26" s="49">
        <f>COUNTIFS(Caseslist!$I:$I,$A25,Caseslist!$M:$M,"45907")
+COUNTIFS(Caseslist!$I:$I,841329,Caseslist!$M:$M,"45907")
-IF($A25=841329,COUNTIFS(Caseslist!$I:$I,841329,Caseslist!$M:$M,"45907"),0)</f>
        <v>0</v>
      </c>
      <c r="R26" s="49">
        <f>COUNTIFS(Caseslist!$I:$I,$A25,Caseslist!$M:$M,"45908")
+COUNTIFS(Caseslist!$I:$I,841329,Caseslist!$M:$M,"45908")
-IF($A25=841329,COUNTIFS(Caseslist!$I:$I,841329,Caseslist!$M:$M,"45908"),0)</f>
        <v>4</v>
      </c>
      <c r="S26" s="49">
        <f>COUNTIFS(Caseslist!$I:$I,$A25,Caseslist!$M:$M,"45909")
+COUNTIFS(Caseslist!$I:$I,841329,Caseslist!$M:$M,"45909")
-IF($A25=841329,COUNTIFS(Caseslist!$I:$I,841329,Caseslist!$M:$M,"45909"),0)</f>
        <v>5</v>
      </c>
      <c r="T26" s="49">
        <f>COUNTIFS(Caseslist!$I:$I,$A25,Caseslist!$M:$M,"45910")
+COUNTIFS(Caseslist!$I:$I,841329,Caseslist!$M:$M,"45910")
-IF($A25=841329,COUNTIFS(Caseslist!$I:$I,841329,Caseslist!$M:$M,"45910"),0)</f>
        <v>0</v>
      </c>
      <c r="U26" s="49">
        <f>COUNTIFS(Caseslist!$I:$I,$A25,Caseslist!$M:$M,"45911")
+COUNTIFS(Caseslist!$I:$I,841329,Caseslist!$M:$M,"45911")
-IF($A25=841329,COUNTIFS(Caseslist!$I:$I,841329,Caseslist!$M:$M,"45911"),0)</f>
        <v>4</v>
      </c>
      <c r="V26" s="49">
        <f>COUNTIFS(Caseslist!$I:$I,$A25,Caseslist!$M:$M,"45912")
+COUNTIFS(Caseslist!$I:$I,841329,Caseslist!$M:$M,"45912")
-IF($A25=841329,COUNTIFS(Caseslist!$I:$I,841329,Caseslist!$M:$M,"45912"),0)</f>
        <v>1</v>
      </c>
      <c r="W26" s="49">
        <f>COUNTIFS(Caseslist!$I:$I,$A25,Caseslist!$M:$M,"45913")
+COUNTIFS(Caseslist!$I:$I,841329,Caseslist!$M:$M,"45913")
-IF($A25=841329,COUNTIFS(Caseslist!$I:$I,841329,Caseslist!$M:$M,"45913"),0)</f>
        <v>2</v>
      </c>
      <c r="X26" s="49">
        <f>COUNTIFS(Caseslist!$I:$I,$A25,Caseslist!$M:$M,"45914")
+COUNTIFS(Caseslist!$I:$I,841329,Caseslist!$M:$M,"45914")
-IF($A25=841329,COUNTIFS(Caseslist!$I:$I,841329,Caseslist!$M:$M,"45914"),0)</f>
        <v>3</v>
      </c>
      <c r="Y26" s="49">
        <f>COUNTIFS(Caseslist!$I:$I,$A25,Caseslist!$M:$M,"45915")
+COUNTIFS(Caseslist!$I:$I,841329,Caseslist!$M:$M,"45915")
-IF($A25=841329,COUNTIFS(Caseslist!$I:$I,841329,Caseslist!$M:$M,"45915"),0)</f>
        <v>4</v>
      </c>
      <c r="Z26" s="49">
        <f>COUNTIFS(Caseslist!$I:$I,$A25,Caseslist!$M:$M,"45916")
+COUNTIFS(Caseslist!$I:$I,841329,Caseslist!$M:$M,"45916")
-IF($A25=841329,COUNTIFS(Caseslist!$I:$I,841329,Caseslist!$M:$M,"45916"),0)</f>
        <v>4</v>
      </c>
      <c r="AA26" s="49">
        <f>COUNTIFS(Caseslist!$I:$I,$A25,Caseslist!$M:$M,"45917")
+COUNTIFS(Caseslist!$I:$I,841329,Caseslist!$M:$M,"45917")
-IF($A25=841329,COUNTIFS(Caseslist!$I:$I,841329,Caseslist!$M:$M,"45917"),0)</f>
        <v>0</v>
      </c>
      <c r="AB26" s="49">
        <f>COUNTIFS(Caseslist!$I:$I,$A25,Caseslist!$M:$M,"45918")
+COUNTIFS(Caseslist!$I:$I,841329,Caseslist!$M:$M,"45918")
-IF($A25=841329,COUNTIFS(Caseslist!$I:$I,841329,Caseslist!$M:$M,"45918"),0)</f>
        <v>4</v>
      </c>
      <c r="AC26" s="49">
        <f>COUNTIFS(Caseslist!$I:$I,$A25,Caseslist!$M:$M,"45919")
+COUNTIFS(Caseslist!$I:$I,841329,Caseslist!$M:$M,"45919")
-IF($A25=841329,COUNTIFS(Caseslist!$I:$I,841329,Caseslist!$M:$M,"45919"),0)</f>
        <v>3</v>
      </c>
      <c r="AD26" s="49">
        <f>COUNTIFS(Caseslist!$I:$I,$A25,Caseslist!$M:$M,"45920")
+COUNTIFS(Caseslist!$I:$I,841329,Caseslist!$M:$M,"45920")
-IF($A25=841329,COUNTIFS(Caseslist!$I:$I,841329,Caseslist!$M:$M,"45920"),0)</f>
        <v>3</v>
      </c>
      <c r="AE26" s="49">
        <f>COUNTIFS(Caseslist!$I:$I,$A25,Caseslist!$M:$M,"45921")
+COUNTIFS(Caseslist!$I:$I,841329,Caseslist!$M:$M,"45921")
-IF($A25=841329,COUNTIFS(Caseslist!$I:$I,841329,Caseslist!$M:$M,"45921"),0)</f>
        <v>0</v>
      </c>
      <c r="AF26" s="49">
        <f>COUNTIFS(Caseslist!$I:$I,$A25,Caseslist!$M:$M,"45922")
+COUNTIFS(Caseslist!$I:$I,841329,Caseslist!$M:$M,"45922")
-IF($A25=841329,COUNTIFS(Caseslist!$I:$I,841329,Caseslist!$M:$M,"45922"),0)</f>
        <v>4</v>
      </c>
      <c r="AG26" s="49">
        <f>COUNTIFS(Caseslist!$I:$I,$A25,Caseslist!$M:$M,"45923")
+COUNTIFS(Caseslist!$I:$I,841329,Caseslist!$M:$M,"45923")
-IF($A25=841329,COUNTIFS(Caseslist!$I:$I,841329,Caseslist!$M:$M,"45923"),0)</f>
        <v>2</v>
      </c>
      <c r="AH26" s="49">
        <f>COUNTIFS(Caseslist!$I:$I,$A25,Caseslist!$M:$M,"45924")
+COUNTIFS(Caseslist!$I:$I,841329,Caseslist!$M:$M,"45924")
-IF($A25=841329,COUNTIFS(Caseslist!$I:$I,841329,Caseslist!$M:$M,"45924"),0)</f>
        <v>1</v>
      </c>
      <c r="AI26" s="49">
        <f>COUNTIFS(Caseslist!$I:$I,$A25,Caseslist!$M:$M,"45925")
+COUNTIFS(Caseslist!$I:$I,841329,Caseslist!$M:$M,"45925")
-IF($A25=841329,COUNTIFS(Caseslist!$I:$I,841329,Caseslist!$M:$M,"45925"),0)</f>
        <v>1</v>
      </c>
      <c r="AJ26" s="49">
        <f>COUNTIFS(Caseslist!$I:$I,$A25,Caseslist!$M:$M,"45926")
+COUNTIFS(Caseslist!$I:$I,841329,Caseslist!$M:$M,"45926")
-IF($A25=841329,COUNTIFS(Caseslist!$I:$I,841329,Caseslist!$M:$M,"45926"),0)</f>
        <v>0</v>
      </c>
      <c r="AK26" s="49">
        <f>COUNTIFS(Caseslist!$I:$I,$A25,Caseslist!$M:$M,"45927")
+COUNTIFS(Caseslist!$I:$I,841329,Caseslist!$M:$M,"45927")
-IF($A25=841329,COUNTIFS(Caseslist!$I:$I,841329,Caseslist!$M:$M,"45927"),0)</f>
        <v>0</v>
      </c>
      <c r="AL26" s="49">
        <f>COUNTIFS(Caseslist!$I:$I,$A25,Caseslist!$M:$M,"45928")
+COUNTIFS(Caseslist!$I:$I,841329,Caseslist!$M:$M,"45928")
-IF($A25=841329,COUNTIFS(Caseslist!$I:$I,841329,Caseslist!$M:$M,"45928"),0)</f>
        <v>2</v>
      </c>
      <c r="AM26" s="49">
        <f>COUNTIFS(Caseslist!$I:$I,$A25,Caseslist!$M:$M,"45929")
+COUNTIFS(Caseslist!$I:$I,841329,Caseslist!$M:$M,"45929")
-IF($A25=841329,COUNTIFS(Caseslist!$I:$I,841329,Caseslist!$M:$M,"45929"),0)</f>
        <v>1</v>
      </c>
      <c r="AN26" s="49">
        <f>COUNTIFS(Caseslist!$I:$I,$A25,Caseslist!$M:$M,"45930")
+COUNTIFS(Caseslist!$I:$I,841329,Caseslist!$M:$M,"45930")
-IF($A25=841329,COUNTIFS(Caseslist!$I:$I,841329,Caseslist!$M:$M,"45930"),0)</f>
        <v>0</v>
      </c>
      <c r="AO26" s="49">
        <f>COUNTIFS(Caseslist!$I:$I,$A25,Caseslist!$M:$M,"45931")
+COUNTIFS(Caseslist!$I:$I,841329,Caseslist!$M:$M,"45931")
-IF($A25=841329,COUNTIFS(Caseslist!$I:$I,841329,Caseslist!$M:$M,"45931"),0)</f>
        <v>1</v>
      </c>
      <c r="AP26" s="49">
        <f>COUNTIFS(Caseslist!$I:$I,$A25,Caseslist!$M:$M,"45932")
+COUNTIFS(Caseslist!$I:$I,841329,Caseslist!$M:$M,"45932")
-IF($A25=841329,COUNTIFS(Caseslist!$I:$I,841329,Caseslist!$M:$M,"45932"),0)</f>
        <v>0</v>
      </c>
      <c r="AQ26" s="49">
        <f>COUNTIFS(Caseslist!$I:$I,$A25,Caseslist!$M:$M,"45933")
+COUNTIFS(Caseslist!$I:$I,841329,Caseslist!$M:$M,"45933")
-IF($A25=841329,COUNTIFS(Caseslist!$I:$I,841329,Caseslist!$M:$M,"45933"),0)</f>
        <v>0</v>
      </c>
      <c r="AR26" s="49">
        <f>COUNTIFS(Caseslist!$I:$I,$A25,Caseslist!$M:$M,"45934")
+COUNTIFS(Caseslist!$I:$I,841329,Caseslist!$M:$M,"45934")
-IF($A25=841329,COUNTIFS(Caseslist!$I:$I,841329,Caseslist!$M:$M,"45934"),0)</f>
        <v>0</v>
      </c>
      <c r="AS26" s="49">
        <f>COUNTIFS(Caseslist!$I:$I,$A25,Caseslist!$M:$M,"45935")
+COUNTIFS(Caseslist!$I:$I,841329,Caseslist!$M:$M,"45935")
-IF($A25=841329,COUNTIFS(Caseslist!$I:$I,841329,Caseslist!$M:$M,"45935"),0)</f>
        <v>0</v>
      </c>
      <c r="AT26" s="49">
        <f>COUNTIFS(Caseslist!$I:$I,$A25,Caseslist!$M:$M,"45936")
+COUNTIFS(Caseslist!$I:$I,841329,Caseslist!$M:$M,"45936")
-IF($A25=841329,COUNTIFS(Caseslist!$I:$I,841329,Caseslist!$M:$M,"45936"),0)</f>
        <v>0</v>
      </c>
    </row>
    <row r="27">
      <c r="C27" s="57"/>
    </row>
    <row r="28">
      <c r="C28" s="57"/>
    </row>
    <row r="29">
      <c r="C29" s="57"/>
    </row>
    <row r="30">
      <c r="C30" s="57"/>
    </row>
    <row r="31">
      <c r="C31" s="57"/>
    </row>
    <row r="32">
      <c r="C32" s="57"/>
    </row>
    <row r="33">
      <c r="C33" s="57"/>
    </row>
    <row r="34">
      <c r="C34" s="57"/>
    </row>
    <row r="35">
      <c r="C35" s="57"/>
    </row>
    <row r="36">
      <c r="C36" s="57"/>
    </row>
    <row r="37">
      <c r="C37" s="57"/>
    </row>
    <row r="38">
      <c r="C38" s="57"/>
    </row>
    <row r="39">
      <c r="C39" s="57"/>
    </row>
    <row r="40">
      <c r="C40" s="57"/>
    </row>
    <row r="41">
      <c r="C41" s="57"/>
    </row>
    <row r="42">
      <c r="C42" s="57"/>
    </row>
    <row r="43">
      <c r="C43" s="57"/>
    </row>
    <row r="44">
      <c r="C44" s="57"/>
    </row>
    <row r="45">
      <c r="C45" s="57"/>
    </row>
    <row r="46">
      <c r="C46" s="57"/>
    </row>
    <row r="47">
      <c r="C47" s="57"/>
    </row>
    <row r="48">
      <c r="C48" s="57"/>
    </row>
    <row r="49">
      <c r="C49" s="57"/>
    </row>
    <row r="50">
      <c r="C50" s="57"/>
    </row>
    <row r="51">
      <c r="C51" s="57"/>
    </row>
    <row r="52">
      <c r="C52" s="57"/>
    </row>
    <row r="53">
      <c r="C53" s="57"/>
    </row>
    <row r="54">
      <c r="C54" s="57"/>
    </row>
    <row r="55">
      <c r="C55" s="57"/>
    </row>
    <row r="56">
      <c r="C56" s="57"/>
    </row>
    <row r="57">
      <c r="C57" s="57"/>
    </row>
    <row r="58">
      <c r="C58" s="57"/>
    </row>
    <row r="59">
      <c r="C59" s="57"/>
    </row>
    <row r="60">
      <c r="C60" s="57"/>
    </row>
    <row r="61">
      <c r="C61" s="57"/>
    </row>
    <row r="62">
      <c r="C62" s="57"/>
    </row>
    <row r="63">
      <c r="C63" s="57"/>
    </row>
    <row r="64">
      <c r="C64" s="57"/>
    </row>
    <row r="65">
      <c r="C65" s="57"/>
    </row>
    <row r="66">
      <c r="C66" s="57"/>
    </row>
    <row r="67">
      <c r="C67" s="57"/>
    </row>
    <row r="68">
      <c r="C68" s="57"/>
    </row>
    <row r="69">
      <c r="C69" s="57"/>
    </row>
    <row r="70">
      <c r="C70" s="57"/>
    </row>
    <row r="71">
      <c r="C71" s="57"/>
    </row>
    <row r="72">
      <c r="C72" s="57"/>
    </row>
    <row r="73">
      <c r="C73" s="57"/>
    </row>
    <row r="74">
      <c r="C74" s="57"/>
    </row>
    <row r="75">
      <c r="C75" s="57"/>
    </row>
    <row r="76">
      <c r="C76" s="57"/>
    </row>
    <row r="77">
      <c r="C77" s="57"/>
    </row>
    <row r="78">
      <c r="C78" s="57"/>
    </row>
    <row r="79">
      <c r="C79" s="57"/>
    </row>
    <row r="80">
      <c r="C80" s="57"/>
    </row>
    <row r="81">
      <c r="C81" s="57"/>
    </row>
    <row r="82">
      <c r="C82" s="57"/>
    </row>
    <row r="83">
      <c r="C83" s="57"/>
    </row>
    <row r="84">
      <c r="C84" s="57"/>
    </row>
    <row r="85">
      <c r="C85" s="57"/>
    </row>
    <row r="86">
      <c r="C86" s="57"/>
    </row>
    <row r="87">
      <c r="C87" s="57"/>
    </row>
    <row r="88">
      <c r="C88" s="57"/>
    </row>
    <row r="89">
      <c r="C89" s="57"/>
    </row>
    <row r="90">
      <c r="C90" s="57"/>
    </row>
    <row r="91">
      <c r="C91" s="57"/>
    </row>
    <row r="92">
      <c r="C92" s="57"/>
    </row>
    <row r="93">
      <c r="C93" s="57"/>
    </row>
    <row r="94">
      <c r="C94" s="57"/>
    </row>
    <row r="95">
      <c r="C95" s="57"/>
    </row>
    <row r="96">
      <c r="C96" s="57"/>
    </row>
    <row r="97">
      <c r="C97" s="57"/>
    </row>
    <row r="98">
      <c r="C98" s="57"/>
    </row>
    <row r="99">
      <c r="C99" s="57"/>
    </row>
    <row r="100">
      <c r="C100" s="57"/>
    </row>
    <row r="101">
      <c r="C101" s="57"/>
    </row>
    <row r="102">
      <c r="C102" s="57"/>
    </row>
    <row r="103">
      <c r="C103" s="57"/>
    </row>
    <row r="104">
      <c r="C104" s="57"/>
    </row>
    <row r="105">
      <c r="C105" s="57"/>
    </row>
    <row r="106">
      <c r="C106" s="57"/>
    </row>
    <row r="107">
      <c r="C107" s="57"/>
    </row>
    <row r="108">
      <c r="C108" s="57"/>
    </row>
    <row r="109">
      <c r="C109" s="57"/>
    </row>
    <row r="110">
      <c r="C110" s="57"/>
    </row>
    <row r="111">
      <c r="C111" s="57"/>
    </row>
    <row r="112">
      <c r="C112" s="57"/>
    </row>
    <row r="113">
      <c r="C113" s="57"/>
    </row>
    <row r="114">
      <c r="C114" s="57"/>
    </row>
    <row r="115">
      <c r="C115" s="57"/>
    </row>
    <row r="116">
      <c r="C116" s="57"/>
    </row>
    <row r="117">
      <c r="C117" s="57"/>
    </row>
    <row r="118">
      <c r="C118" s="57"/>
    </row>
    <row r="119">
      <c r="C119" s="57"/>
    </row>
    <row r="120">
      <c r="C120" s="57"/>
    </row>
    <row r="121">
      <c r="C121" s="57"/>
    </row>
    <row r="122">
      <c r="C122" s="57"/>
    </row>
    <row r="123">
      <c r="C123" s="57"/>
    </row>
    <row r="124">
      <c r="C124" s="57"/>
    </row>
    <row r="125">
      <c r="C125" s="57"/>
    </row>
    <row r="126">
      <c r="C126" s="57"/>
    </row>
    <row r="127">
      <c r="C127" s="57"/>
    </row>
    <row r="128">
      <c r="C128" s="57"/>
    </row>
    <row r="129">
      <c r="C129" s="57"/>
    </row>
    <row r="130">
      <c r="C130" s="57"/>
    </row>
    <row r="131">
      <c r="C131" s="57"/>
    </row>
    <row r="132">
      <c r="C132" s="57"/>
    </row>
    <row r="133">
      <c r="C133" s="57"/>
    </row>
    <row r="134">
      <c r="C134" s="57"/>
    </row>
    <row r="135">
      <c r="C135" s="57"/>
    </row>
    <row r="136">
      <c r="C136" s="57"/>
    </row>
    <row r="137">
      <c r="C137" s="57"/>
    </row>
    <row r="138">
      <c r="C138" s="57"/>
    </row>
    <row r="139">
      <c r="C139" s="57"/>
    </row>
    <row r="140">
      <c r="C140" s="57"/>
    </row>
    <row r="141">
      <c r="C141" s="57"/>
    </row>
    <row r="142">
      <c r="C142" s="57"/>
    </row>
    <row r="143">
      <c r="C143" s="57"/>
    </row>
    <row r="144">
      <c r="C144" s="57"/>
    </row>
    <row r="145">
      <c r="C145" s="57"/>
    </row>
    <row r="146">
      <c r="C146" s="57"/>
    </row>
    <row r="147">
      <c r="C147" s="57"/>
    </row>
    <row r="148">
      <c r="C148" s="57"/>
    </row>
    <row r="149">
      <c r="C149" s="57"/>
    </row>
    <row r="150">
      <c r="C150" s="57"/>
    </row>
    <row r="151">
      <c r="C151" s="57"/>
    </row>
    <row r="152">
      <c r="C152" s="57"/>
    </row>
    <row r="153">
      <c r="C153" s="57"/>
    </row>
    <row r="154">
      <c r="C154" s="57"/>
    </row>
    <row r="155">
      <c r="C155" s="57"/>
    </row>
    <row r="156">
      <c r="C156" s="57"/>
    </row>
    <row r="157">
      <c r="C157" s="57"/>
    </row>
    <row r="158">
      <c r="C158" s="57"/>
    </row>
    <row r="159">
      <c r="C159" s="57"/>
    </row>
    <row r="160">
      <c r="C160" s="57"/>
    </row>
    <row r="161">
      <c r="C161" s="57"/>
    </row>
    <row r="162">
      <c r="C162" s="57"/>
    </row>
    <row r="163">
      <c r="C163" s="57"/>
    </row>
    <row r="164">
      <c r="C164" s="57"/>
    </row>
    <row r="165">
      <c r="C165" s="57"/>
    </row>
    <row r="166">
      <c r="C166" s="57"/>
    </row>
    <row r="167">
      <c r="C167" s="57"/>
    </row>
    <row r="168">
      <c r="C168" s="57"/>
    </row>
    <row r="169">
      <c r="C169" s="57"/>
    </row>
    <row r="170">
      <c r="C170" s="57"/>
    </row>
    <row r="171">
      <c r="C171" s="57"/>
    </row>
    <row r="172">
      <c r="C172" s="57"/>
    </row>
    <row r="173">
      <c r="C173" s="57"/>
    </row>
    <row r="174">
      <c r="C174" s="57"/>
    </row>
    <row r="175">
      <c r="C175" s="57"/>
    </row>
    <row r="176">
      <c r="C176" s="57"/>
    </row>
    <row r="177">
      <c r="C177" s="57"/>
    </row>
    <row r="178">
      <c r="C178" s="57"/>
    </row>
    <row r="179">
      <c r="C179" s="57"/>
    </row>
    <row r="180">
      <c r="C180" s="57"/>
    </row>
    <row r="181">
      <c r="C181" s="57"/>
    </row>
    <row r="182">
      <c r="C182" s="57"/>
    </row>
    <row r="183">
      <c r="C183" s="57"/>
    </row>
    <row r="184">
      <c r="C184" s="57"/>
    </row>
    <row r="185">
      <c r="C185" s="57"/>
    </row>
    <row r="186">
      <c r="C186" s="57"/>
    </row>
    <row r="187">
      <c r="C187" s="57"/>
    </row>
    <row r="188">
      <c r="C188" s="57"/>
    </row>
    <row r="189">
      <c r="C189" s="57"/>
    </row>
    <row r="190">
      <c r="C190" s="57"/>
    </row>
    <row r="191">
      <c r="C191" s="57"/>
    </row>
    <row r="192">
      <c r="C192" s="57"/>
    </row>
    <row r="193">
      <c r="C193" s="57"/>
    </row>
    <row r="194">
      <c r="C194" s="57"/>
    </row>
    <row r="195">
      <c r="C195" s="57"/>
    </row>
    <row r="196">
      <c r="C196" s="57"/>
    </row>
    <row r="197">
      <c r="C197" s="57"/>
    </row>
    <row r="198">
      <c r="C198" s="57"/>
    </row>
    <row r="199">
      <c r="C199" s="57"/>
    </row>
    <row r="200">
      <c r="C200" s="57"/>
    </row>
    <row r="201">
      <c r="C201" s="57"/>
    </row>
    <row r="202">
      <c r="C202" s="57"/>
    </row>
    <row r="203">
      <c r="C203" s="57"/>
    </row>
    <row r="204">
      <c r="C204" s="57"/>
    </row>
    <row r="205">
      <c r="C205" s="57"/>
    </row>
    <row r="206">
      <c r="C206" s="57"/>
    </row>
    <row r="207">
      <c r="C207" s="57"/>
    </row>
    <row r="208">
      <c r="C208" s="57"/>
    </row>
    <row r="209">
      <c r="C209" s="57"/>
    </row>
    <row r="210">
      <c r="C210" s="57"/>
    </row>
    <row r="211">
      <c r="C211" s="57"/>
    </row>
    <row r="212">
      <c r="C212" s="57"/>
    </row>
    <row r="213">
      <c r="C213" s="57"/>
    </row>
    <row r="214">
      <c r="C214" s="57"/>
    </row>
    <row r="215">
      <c r="C215" s="57"/>
    </row>
    <row r="216">
      <c r="C216" s="57"/>
    </row>
    <row r="217">
      <c r="C217" s="57"/>
    </row>
    <row r="218">
      <c r="C218" s="57"/>
    </row>
    <row r="219">
      <c r="C219" s="57"/>
    </row>
    <row r="220">
      <c r="C220" s="57"/>
    </row>
    <row r="221">
      <c r="C221" s="57"/>
    </row>
    <row r="222">
      <c r="C222" s="57"/>
    </row>
    <row r="223">
      <c r="C223" s="57"/>
    </row>
    <row r="224">
      <c r="C224" s="57"/>
    </row>
    <row r="225">
      <c r="C225" s="57"/>
    </row>
    <row r="226">
      <c r="C226" s="57"/>
    </row>
    <row r="227">
      <c r="C227" s="57"/>
    </row>
    <row r="228">
      <c r="C228" s="57"/>
    </row>
    <row r="229">
      <c r="C229" s="57"/>
    </row>
    <row r="230">
      <c r="C230" s="57"/>
    </row>
    <row r="231">
      <c r="C231" s="57"/>
    </row>
    <row r="232">
      <c r="C232" s="57"/>
    </row>
    <row r="233">
      <c r="C233" s="57"/>
    </row>
    <row r="234">
      <c r="C234" s="57"/>
    </row>
    <row r="235">
      <c r="C235" s="57"/>
    </row>
    <row r="236">
      <c r="C236" s="57"/>
    </row>
    <row r="237">
      <c r="C237" s="57"/>
    </row>
    <row r="238">
      <c r="C238" s="57"/>
    </row>
    <row r="239">
      <c r="C239" s="57"/>
    </row>
    <row r="240">
      <c r="C240" s="57"/>
    </row>
    <row r="241">
      <c r="C241" s="57"/>
    </row>
    <row r="242">
      <c r="C242" s="57"/>
    </row>
    <row r="243">
      <c r="C243" s="57"/>
    </row>
    <row r="244">
      <c r="C244" s="57"/>
    </row>
    <row r="245">
      <c r="C245" s="57"/>
    </row>
    <row r="246">
      <c r="C246" s="57"/>
    </row>
    <row r="247">
      <c r="C247" s="57"/>
    </row>
    <row r="248">
      <c r="C248" s="57"/>
    </row>
    <row r="249">
      <c r="C249" s="57"/>
    </row>
    <row r="250">
      <c r="C250" s="57"/>
    </row>
    <row r="251">
      <c r="C251" s="57"/>
    </row>
    <row r="252">
      <c r="C252" s="57"/>
    </row>
    <row r="253">
      <c r="C253" s="57"/>
    </row>
    <row r="254">
      <c r="C254" s="57"/>
    </row>
    <row r="255">
      <c r="C255" s="57"/>
    </row>
    <row r="256">
      <c r="C256" s="57"/>
    </row>
    <row r="257">
      <c r="C257" s="57"/>
    </row>
    <row r="258">
      <c r="C258" s="57"/>
    </row>
    <row r="259">
      <c r="C259" s="57"/>
    </row>
    <row r="260">
      <c r="C260" s="57"/>
    </row>
    <row r="261">
      <c r="C261" s="57"/>
    </row>
    <row r="262">
      <c r="C262" s="57"/>
    </row>
    <row r="263">
      <c r="C263" s="57"/>
    </row>
    <row r="264">
      <c r="C264" s="57"/>
    </row>
    <row r="265">
      <c r="C265" s="57"/>
    </row>
    <row r="266">
      <c r="C266" s="57"/>
    </row>
    <row r="267">
      <c r="C267" s="57"/>
    </row>
    <row r="268">
      <c r="C268" s="57"/>
    </row>
    <row r="269">
      <c r="C269" s="57"/>
    </row>
    <row r="270">
      <c r="C270" s="57"/>
    </row>
    <row r="271">
      <c r="C271" s="57"/>
    </row>
    <row r="272">
      <c r="C272" s="57"/>
    </row>
    <row r="273">
      <c r="C273" s="57"/>
    </row>
    <row r="274">
      <c r="C274" s="57"/>
    </row>
    <row r="275">
      <c r="C275" s="57"/>
    </row>
    <row r="276">
      <c r="C276" s="57"/>
    </row>
    <row r="277">
      <c r="C277" s="57"/>
    </row>
    <row r="278">
      <c r="C278" s="57"/>
    </row>
    <row r="279">
      <c r="C279" s="57"/>
    </row>
    <row r="280">
      <c r="C280" s="57"/>
    </row>
    <row r="281">
      <c r="C281" s="57"/>
    </row>
    <row r="282">
      <c r="C282" s="57"/>
    </row>
    <row r="283">
      <c r="C283" s="57"/>
    </row>
    <row r="284">
      <c r="C284" s="57"/>
    </row>
    <row r="285">
      <c r="C285" s="57"/>
    </row>
    <row r="286">
      <c r="C286" s="57"/>
    </row>
    <row r="287">
      <c r="C287" s="57"/>
    </row>
    <row r="288">
      <c r="C288" s="57"/>
    </row>
    <row r="289">
      <c r="C289" s="57"/>
    </row>
    <row r="290">
      <c r="C290" s="57"/>
    </row>
    <row r="291">
      <c r="C291" s="57"/>
    </row>
    <row r="292">
      <c r="C292" s="57"/>
    </row>
    <row r="293">
      <c r="C293" s="57"/>
    </row>
    <row r="294">
      <c r="C294" s="57"/>
    </row>
    <row r="295">
      <c r="C295" s="57"/>
    </row>
    <row r="296">
      <c r="C296" s="57"/>
    </row>
    <row r="297">
      <c r="C297" s="57"/>
    </row>
    <row r="298">
      <c r="C298" s="57"/>
    </row>
    <row r="299">
      <c r="C299" s="57"/>
    </row>
    <row r="300">
      <c r="C300" s="57"/>
    </row>
    <row r="301">
      <c r="C301" s="57"/>
    </row>
    <row r="302">
      <c r="C302" s="57"/>
    </row>
    <row r="303">
      <c r="C303" s="57"/>
    </row>
    <row r="304">
      <c r="C304" s="57"/>
    </row>
    <row r="305">
      <c r="C305" s="57"/>
    </row>
    <row r="306">
      <c r="C306" s="57"/>
    </row>
    <row r="307">
      <c r="C307" s="57"/>
    </row>
    <row r="308">
      <c r="C308" s="57"/>
    </row>
    <row r="309">
      <c r="C309" s="57"/>
    </row>
    <row r="310">
      <c r="C310" s="57"/>
    </row>
    <row r="311">
      <c r="C311" s="57"/>
    </row>
    <row r="312">
      <c r="C312" s="57"/>
    </row>
    <row r="313">
      <c r="C313" s="57"/>
    </row>
    <row r="314">
      <c r="C314" s="57"/>
    </row>
    <row r="315">
      <c r="C315" s="57"/>
    </row>
    <row r="316">
      <c r="C316" s="57"/>
    </row>
    <row r="317">
      <c r="C317" s="57"/>
    </row>
    <row r="318">
      <c r="C318" s="57"/>
    </row>
    <row r="319">
      <c r="C319" s="57"/>
    </row>
    <row r="320">
      <c r="C320" s="57"/>
    </row>
    <row r="321">
      <c r="C321" s="57"/>
    </row>
    <row r="322">
      <c r="C322" s="57"/>
    </row>
    <row r="323">
      <c r="C323" s="57"/>
    </row>
    <row r="324">
      <c r="C324" s="57"/>
    </row>
    <row r="325">
      <c r="C325" s="57"/>
    </row>
    <row r="326">
      <c r="C326" s="57"/>
    </row>
    <row r="327">
      <c r="C327" s="57"/>
    </row>
    <row r="328">
      <c r="C328" s="57"/>
    </row>
    <row r="329">
      <c r="C329" s="57"/>
    </row>
    <row r="330">
      <c r="C330" s="57"/>
    </row>
    <row r="331">
      <c r="C331" s="57"/>
    </row>
    <row r="332">
      <c r="C332" s="57"/>
    </row>
    <row r="333">
      <c r="C333" s="57"/>
    </row>
    <row r="334">
      <c r="C334" s="57"/>
    </row>
    <row r="335">
      <c r="C335" s="57"/>
    </row>
    <row r="336">
      <c r="C336" s="57"/>
    </row>
    <row r="337">
      <c r="C337" s="57"/>
    </row>
    <row r="338">
      <c r="C338" s="57"/>
    </row>
    <row r="339">
      <c r="C339" s="57"/>
    </row>
    <row r="340">
      <c r="C340" s="57"/>
    </row>
    <row r="341">
      <c r="C341" s="57"/>
    </row>
    <row r="342">
      <c r="C342" s="57"/>
    </row>
    <row r="343">
      <c r="C343" s="57"/>
    </row>
    <row r="344">
      <c r="C344" s="57"/>
    </row>
    <row r="345">
      <c r="C345" s="57"/>
    </row>
    <row r="346">
      <c r="C346" s="57"/>
    </row>
    <row r="347">
      <c r="C347" s="57"/>
    </row>
    <row r="348">
      <c r="C348" s="57"/>
    </row>
    <row r="349">
      <c r="C349" s="57"/>
    </row>
    <row r="350">
      <c r="C350" s="57"/>
    </row>
    <row r="351">
      <c r="C351" s="57"/>
    </row>
    <row r="352">
      <c r="C352" s="57"/>
    </row>
    <row r="353">
      <c r="C353" s="57"/>
    </row>
    <row r="354">
      <c r="C354" s="57"/>
    </row>
    <row r="355">
      <c r="C355" s="57"/>
    </row>
    <row r="356">
      <c r="C356" s="57"/>
    </row>
    <row r="357">
      <c r="C357" s="57"/>
    </row>
    <row r="358">
      <c r="C358" s="57"/>
    </row>
    <row r="359">
      <c r="C359" s="57"/>
    </row>
    <row r="360">
      <c r="C360" s="57"/>
    </row>
    <row r="361">
      <c r="C361" s="57"/>
    </row>
    <row r="362">
      <c r="C362" s="57"/>
    </row>
    <row r="363">
      <c r="C363" s="57"/>
    </row>
    <row r="364">
      <c r="C364" s="57"/>
    </row>
    <row r="365">
      <c r="C365" s="57"/>
    </row>
    <row r="366">
      <c r="C366" s="57"/>
    </row>
    <row r="367">
      <c r="C367" s="57"/>
    </row>
    <row r="368">
      <c r="C368" s="57"/>
    </row>
    <row r="369">
      <c r="C369" s="57"/>
    </row>
    <row r="370">
      <c r="C370" s="57"/>
    </row>
    <row r="371">
      <c r="C371" s="57"/>
    </row>
    <row r="372">
      <c r="C372" s="57"/>
    </row>
    <row r="373">
      <c r="C373" s="57"/>
    </row>
    <row r="374">
      <c r="C374" s="57"/>
    </row>
    <row r="375">
      <c r="C375" s="57"/>
    </row>
    <row r="376">
      <c r="C376" s="57"/>
    </row>
    <row r="377">
      <c r="C377" s="57"/>
    </row>
    <row r="378">
      <c r="C378" s="57"/>
    </row>
    <row r="379">
      <c r="C379" s="57"/>
    </row>
    <row r="380">
      <c r="C380" s="57"/>
    </row>
    <row r="381">
      <c r="C381" s="57"/>
    </row>
    <row r="382">
      <c r="C382" s="57"/>
    </row>
    <row r="383">
      <c r="C383" s="57"/>
    </row>
    <row r="384">
      <c r="C384" s="57"/>
    </row>
    <row r="385">
      <c r="C385" s="57"/>
    </row>
    <row r="386">
      <c r="C386" s="57"/>
    </row>
    <row r="387">
      <c r="C387" s="57"/>
    </row>
    <row r="388">
      <c r="C388" s="57"/>
    </row>
    <row r="389">
      <c r="C389" s="57"/>
    </row>
    <row r="390">
      <c r="C390" s="57"/>
    </row>
    <row r="391">
      <c r="C391" s="57"/>
    </row>
    <row r="392">
      <c r="C392" s="57"/>
    </row>
    <row r="393">
      <c r="C393" s="57"/>
    </row>
    <row r="394">
      <c r="C394" s="57"/>
    </row>
    <row r="395">
      <c r="C395" s="57"/>
    </row>
    <row r="396">
      <c r="C396" s="57"/>
    </row>
    <row r="397">
      <c r="C397" s="57"/>
    </row>
    <row r="398">
      <c r="C398" s="57"/>
    </row>
    <row r="399">
      <c r="C399" s="57"/>
    </row>
    <row r="400">
      <c r="C400" s="57"/>
    </row>
    <row r="401">
      <c r="C401" s="57"/>
    </row>
    <row r="402">
      <c r="C402" s="57"/>
    </row>
    <row r="403">
      <c r="C403" s="57"/>
    </row>
    <row r="404">
      <c r="C404" s="57"/>
    </row>
    <row r="405">
      <c r="C405" s="57"/>
    </row>
    <row r="406">
      <c r="C406" s="57"/>
    </row>
    <row r="407">
      <c r="C407" s="57"/>
    </row>
    <row r="408">
      <c r="C408" s="57"/>
    </row>
    <row r="409">
      <c r="C409" s="57"/>
    </row>
    <row r="410">
      <c r="C410" s="57"/>
    </row>
    <row r="411">
      <c r="C411" s="57"/>
    </row>
    <row r="412">
      <c r="C412" s="57"/>
    </row>
    <row r="413">
      <c r="C413" s="57"/>
    </row>
    <row r="414">
      <c r="C414" s="57"/>
    </row>
    <row r="415">
      <c r="C415" s="57"/>
    </row>
    <row r="416">
      <c r="C416" s="57"/>
    </row>
    <row r="417">
      <c r="C417" s="57"/>
    </row>
    <row r="418">
      <c r="C418" s="57"/>
    </row>
    <row r="419">
      <c r="C419" s="57"/>
    </row>
    <row r="420">
      <c r="C420" s="57"/>
    </row>
    <row r="421">
      <c r="C421" s="57"/>
    </row>
    <row r="422">
      <c r="C422" s="57"/>
    </row>
    <row r="423">
      <c r="C423" s="57"/>
    </row>
    <row r="424">
      <c r="C424" s="57"/>
    </row>
    <row r="425">
      <c r="C425" s="57"/>
    </row>
    <row r="426">
      <c r="C426" s="57"/>
    </row>
    <row r="427">
      <c r="C427" s="57"/>
    </row>
    <row r="428">
      <c r="C428" s="57"/>
    </row>
    <row r="429">
      <c r="C429" s="57"/>
    </row>
    <row r="430">
      <c r="C430" s="57"/>
    </row>
    <row r="431">
      <c r="C431" s="57"/>
    </row>
    <row r="432">
      <c r="C432" s="57"/>
    </row>
    <row r="433">
      <c r="C433" s="57"/>
    </row>
    <row r="434">
      <c r="C434" s="57"/>
    </row>
    <row r="435">
      <c r="C435" s="57"/>
    </row>
    <row r="436">
      <c r="C436" s="57"/>
    </row>
    <row r="437">
      <c r="C437" s="57"/>
    </row>
    <row r="438">
      <c r="C438" s="57"/>
    </row>
    <row r="439">
      <c r="C439" s="57"/>
    </row>
    <row r="440">
      <c r="C440" s="57"/>
    </row>
    <row r="441">
      <c r="C441" s="57"/>
    </row>
    <row r="442">
      <c r="C442" s="57"/>
    </row>
    <row r="443">
      <c r="C443" s="57"/>
    </row>
    <row r="444">
      <c r="C444" s="57"/>
    </row>
    <row r="445">
      <c r="C445" s="57"/>
    </row>
    <row r="446">
      <c r="C446" s="57"/>
    </row>
    <row r="447">
      <c r="C447" s="57"/>
    </row>
    <row r="448">
      <c r="C448" s="57"/>
    </row>
    <row r="449">
      <c r="C449" s="57"/>
    </row>
    <row r="450">
      <c r="C450" s="57"/>
    </row>
    <row r="451">
      <c r="C451" s="57"/>
    </row>
    <row r="452">
      <c r="C452" s="57"/>
    </row>
    <row r="453">
      <c r="C453" s="57"/>
    </row>
    <row r="454">
      <c r="C454" s="57"/>
    </row>
    <row r="455">
      <c r="C455" s="57"/>
    </row>
    <row r="456">
      <c r="C456" s="57"/>
    </row>
    <row r="457">
      <c r="C457" s="57"/>
    </row>
    <row r="458">
      <c r="C458" s="57"/>
    </row>
    <row r="459">
      <c r="C459" s="57"/>
    </row>
    <row r="460">
      <c r="C460" s="57"/>
    </row>
    <row r="461">
      <c r="C461" s="57"/>
    </row>
    <row r="462">
      <c r="C462" s="57"/>
    </row>
    <row r="463">
      <c r="C463" s="57"/>
    </row>
    <row r="464">
      <c r="C464" s="57"/>
    </row>
    <row r="465">
      <c r="C465" s="57"/>
    </row>
    <row r="466">
      <c r="C466" s="57"/>
    </row>
    <row r="467">
      <c r="C467" s="57"/>
    </row>
    <row r="468">
      <c r="C468" s="57"/>
    </row>
    <row r="469">
      <c r="C469" s="57"/>
    </row>
    <row r="470">
      <c r="C470" s="57"/>
    </row>
    <row r="471">
      <c r="C471" s="57"/>
    </row>
    <row r="472">
      <c r="C472" s="57"/>
    </row>
    <row r="473">
      <c r="C473" s="57"/>
    </row>
    <row r="474">
      <c r="C474" s="57"/>
    </row>
    <row r="475">
      <c r="C475" s="57"/>
    </row>
    <row r="476">
      <c r="C476" s="57"/>
    </row>
    <row r="477">
      <c r="C477" s="57"/>
    </row>
    <row r="478">
      <c r="C478" s="57"/>
    </row>
    <row r="479">
      <c r="C479" s="57"/>
    </row>
    <row r="480">
      <c r="C480" s="57"/>
    </row>
    <row r="481">
      <c r="C481" s="57"/>
    </row>
    <row r="482">
      <c r="C482" s="57"/>
    </row>
    <row r="483">
      <c r="C483" s="57"/>
    </row>
    <row r="484">
      <c r="C484" s="57"/>
    </row>
    <row r="485">
      <c r="C485" s="57"/>
    </row>
    <row r="486">
      <c r="C486" s="57"/>
    </row>
    <row r="487">
      <c r="C487" s="57"/>
    </row>
    <row r="488">
      <c r="C488" s="57"/>
    </row>
    <row r="489">
      <c r="C489" s="57"/>
    </row>
    <row r="490">
      <c r="C490" s="57"/>
    </row>
    <row r="491">
      <c r="C491" s="57"/>
    </row>
    <row r="492">
      <c r="C492" s="57"/>
    </row>
    <row r="493">
      <c r="C493" s="57"/>
    </row>
    <row r="494">
      <c r="C494" s="57"/>
    </row>
    <row r="495">
      <c r="C495" s="57"/>
    </row>
    <row r="496">
      <c r="C496" s="57"/>
    </row>
    <row r="497">
      <c r="C497" s="57"/>
    </row>
    <row r="498">
      <c r="C498" s="57"/>
    </row>
    <row r="499">
      <c r="C499" s="57"/>
    </row>
    <row r="500">
      <c r="C500" s="57"/>
    </row>
    <row r="501">
      <c r="C501" s="57"/>
    </row>
    <row r="502">
      <c r="C502" s="57"/>
    </row>
    <row r="503">
      <c r="C503" s="57"/>
    </row>
    <row r="504">
      <c r="C504" s="57"/>
    </row>
    <row r="505">
      <c r="C505" s="57"/>
    </row>
    <row r="506">
      <c r="C506" s="57"/>
    </row>
    <row r="507">
      <c r="C507" s="57"/>
    </row>
    <row r="508">
      <c r="C508" s="57"/>
    </row>
    <row r="509">
      <c r="C509" s="57"/>
    </row>
    <row r="510">
      <c r="C510" s="57"/>
    </row>
    <row r="511">
      <c r="C511" s="57"/>
    </row>
    <row r="512">
      <c r="C512" s="57"/>
    </row>
    <row r="513">
      <c r="C513" s="57"/>
    </row>
    <row r="514">
      <c r="C514" s="57"/>
    </row>
    <row r="515">
      <c r="C515" s="57"/>
    </row>
    <row r="516">
      <c r="C516" s="57"/>
    </row>
    <row r="517">
      <c r="C517" s="57"/>
    </row>
    <row r="518">
      <c r="C518" s="57"/>
    </row>
    <row r="519">
      <c r="C519" s="57"/>
    </row>
    <row r="520">
      <c r="C520" s="57"/>
    </row>
    <row r="521">
      <c r="C521" s="57"/>
    </row>
    <row r="522">
      <c r="C522" s="57"/>
    </row>
    <row r="523">
      <c r="C523" s="57"/>
    </row>
    <row r="524">
      <c r="C524" s="57"/>
    </row>
    <row r="525">
      <c r="C525" s="57"/>
    </row>
    <row r="526">
      <c r="C526" s="57"/>
    </row>
    <row r="527">
      <c r="C527" s="57"/>
    </row>
    <row r="528">
      <c r="C528" s="57"/>
    </row>
    <row r="529">
      <c r="C529" s="57"/>
    </row>
    <row r="530">
      <c r="C530" s="57"/>
    </row>
    <row r="531">
      <c r="C531" s="57"/>
    </row>
    <row r="532">
      <c r="C532" s="57"/>
    </row>
    <row r="533">
      <c r="C533" s="57"/>
    </row>
    <row r="534">
      <c r="C534" s="57"/>
    </row>
    <row r="535">
      <c r="C535" s="57"/>
    </row>
    <row r="536">
      <c r="C536" s="57"/>
    </row>
    <row r="537">
      <c r="C537" s="57"/>
    </row>
    <row r="538">
      <c r="C538" s="57"/>
    </row>
    <row r="539">
      <c r="C539" s="57"/>
    </row>
    <row r="540">
      <c r="C540" s="57"/>
    </row>
    <row r="541">
      <c r="C541" s="57"/>
    </row>
    <row r="542">
      <c r="C542" s="57"/>
    </row>
    <row r="543">
      <c r="C543" s="57"/>
    </row>
    <row r="544">
      <c r="C544" s="57"/>
    </row>
    <row r="545">
      <c r="C545" s="57"/>
    </row>
    <row r="546">
      <c r="C546" s="57"/>
    </row>
    <row r="547">
      <c r="C547" s="57"/>
    </row>
    <row r="548">
      <c r="C548" s="57"/>
    </row>
    <row r="549">
      <c r="C549" s="57"/>
    </row>
    <row r="550">
      <c r="C550" s="57"/>
    </row>
    <row r="551">
      <c r="C551" s="57"/>
    </row>
    <row r="552">
      <c r="C552" s="57"/>
    </row>
    <row r="553">
      <c r="C553" s="57"/>
    </row>
    <row r="554">
      <c r="C554" s="57"/>
    </row>
    <row r="555">
      <c r="C555" s="57"/>
    </row>
    <row r="556">
      <c r="C556" s="57"/>
    </row>
    <row r="557">
      <c r="C557" s="57"/>
    </row>
    <row r="558">
      <c r="C558" s="57"/>
    </row>
    <row r="559">
      <c r="C559" s="57"/>
    </row>
    <row r="560">
      <c r="C560" s="57"/>
    </row>
    <row r="561">
      <c r="C561" s="57"/>
    </row>
    <row r="562">
      <c r="C562" s="57"/>
    </row>
    <row r="563">
      <c r="C563" s="57"/>
    </row>
    <row r="564">
      <c r="C564" s="57"/>
    </row>
    <row r="565">
      <c r="C565" s="57"/>
    </row>
    <row r="566">
      <c r="C566" s="57"/>
    </row>
    <row r="567">
      <c r="C567" s="57"/>
    </row>
    <row r="568">
      <c r="C568" s="57"/>
    </row>
    <row r="569">
      <c r="C569" s="57"/>
    </row>
    <row r="570">
      <c r="C570" s="57"/>
    </row>
    <row r="571">
      <c r="C571" s="57"/>
    </row>
    <row r="572">
      <c r="C572" s="57"/>
    </row>
    <row r="573">
      <c r="C573" s="57"/>
    </row>
    <row r="574">
      <c r="C574" s="57"/>
    </row>
    <row r="575">
      <c r="C575" s="57"/>
    </row>
    <row r="576">
      <c r="C576" s="57"/>
    </row>
    <row r="577">
      <c r="C577" s="57"/>
    </row>
    <row r="578">
      <c r="C578" s="57"/>
    </row>
    <row r="579">
      <c r="C579" s="57"/>
    </row>
    <row r="580">
      <c r="C580" s="57"/>
    </row>
    <row r="581">
      <c r="C581" s="57"/>
    </row>
    <row r="582">
      <c r="C582" s="57"/>
    </row>
    <row r="583">
      <c r="C583" s="57"/>
    </row>
    <row r="584">
      <c r="C584" s="57"/>
    </row>
    <row r="585">
      <c r="C585" s="57"/>
    </row>
    <row r="586">
      <c r="C586" s="57"/>
    </row>
    <row r="587">
      <c r="C587" s="57"/>
    </row>
    <row r="588">
      <c r="C588" s="57"/>
    </row>
    <row r="589">
      <c r="C589" s="57"/>
    </row>
    <row r="590">
      <c r="C590" s="57"/>
    </row>
    <row r="591">
      <c r="C591" s="57"/>
    </row>
    <row r="592">
      <c r="C592" s="57"/>
    </row>
    <row r="593">
      <c r="C593" s="57"/>
    </row>
    <row r="594">
      <c r="C594" s="57"/>
    </row>
    <row r="595">
      <c r="C595" s="57"/>
    </row>
    <row r="596">
      <c r="C596" s="57"/>
    </row>
    <row r="597">
      <c r="C597" s="57"/>
    </row>
    <row r="598">
      <c r="C598" s="57"/>
    </row>
    <row r="599">
      <c r="C599" s="57"/>
    </row>
    <row r="600">
      <c r="C600" s="57"/>
    </row>
    <row r="601">
      <c r="C601" s="57"/>
    </row>
    <row r="602">
      <c r="C602" s="57"/>
    </row>
    <row r="603">
      <c r="C603" s="57"/>
    </row>
    <row r="604">
      <c r="C604" s="57"/>
    </row>
    <row r="605">
      <c r="C605" s="57"/>
    </row>
    <row r="606">
      <c r="C606" s="57"/>
    </row>
    <row r="607">
      <c r="C607" s="57"/>
    </row>
    <row r="608">
      <c r="C608" s="57"/>
    </row>
    <row r="609">
      <c r="C609" s="57"/>
    </row>
    <row r="610">
      <c r="C610" s="57"/>
    </row>
    <row r="611">
      <c r="C611" s="57"/>
    </row>
    <row r="612">
      <c r="C612" s="57"/>
    </row>
    <row r="613">
      <c r="C613" s="57"/>
    </row>
    <row r="614">
      <c r="C614" s="57"/>
    </row>
    <row r="615">
      <c r="C615" s="57"/>
    </row>
    <row r="616">
      <c r="C616" s="57"/>
    </row>
    <row r="617">
      <c r="C617" s="57"/>
    </row>
    <row r="618">
      <c r="C618" s="57"/>
    </row>
    <row r="619">
      <c r="C619" s="57"/>
    </row>
    <row r="620">
      <c r="C620" s="57"/>
    </row>
    <row r="621">
      <c r="C621" s="57"/>
    </row>
    <row r="622">
      <c r="C622" s="57"/>
    </row>
    <row r="623">
      <c r="C623" s="57"/>
    </row>
    <row r="624">
      <c r="C624" s="57"/>
    </row>
    <row r="625">
      <c r="C625" s="57"/>
    </row>
    <row r="626">
      <c r="C626" s="57"/>
    </row>
    <row r="627">
      <c r="C627" s="57"/>
    </row>
    <row r="628">
      <c r="C628" s="57"/>
    </row>
    <row r="629">
      <c r="C629" s="57"/>
    </row>
    <row r="630">
      <c r="C630" s="57"/>
    </row>
    <row r="631">
      <c r="C631" s="57"/>
    </row>
    <row r="632">
      <c r="C632" s="57"/>
    </row>
    <row r="633">
      <c r="C633" s="57"/>
    </row>
    <row r="634">
      <c r="C634" s="57"/>
    </row>
    <row r="635">
      <c r="C635" s="57"/>
    </row>
    <row r="636">
      <c r="C636" s="57"/>
    </row>
    <row r="637">
      <c r="C637" s="57"/>
    </row>
    <row r="638">
      <c r="C638" s="57"/>
    </row>
    <row r="639">
      <c r="C639" s="57"/>
    </row>
    <row r="640">
      <c r="C640" s="57"/>
    </row>
    <row r="641">
      <c r="C641" s="57"/>
    </row>
    <row r="642">
      <c r="C642" s="57"/>
    </row>
    <row r="643">
      <c r="C643" s="57"/>
    </row>
    <row r="644">
      <c r="C644" s="57"/>
    </row>
    <row r="645">
      <c r="C645" s="57"/>
    </row>
    <row r="646">
      <c r="C646" s="57"/>
    </row>
    <row r="647">
      <c r="C647" s="57"/>
    </row>
    <row r="648">
      <c r="C648" s="57"/>
    </row>
    <row r="649">
      <c r="C649" s="57"/>
    </row>
    <row r="650">
      <c r="C650" s="57"/>
    </row>
    <row r="651">
      <c r="C651" s="57"/>
    </row>
    <row r="652">
      <c r="C652" s="57"/>
    </row>
    <row r="653">
      <c r="C653" s="57"/>
    </row>
    <row r="654">
      <c r="C654" s="57"/>
    </row>
    <row r="655">
      <c r="C655" s="57"/>
    </row>
    <row r="656">
      <c r="C656" s="57"/>
    </row>
    <row r="657">
      <c r="C657" s="57"/>
    </row>
    <row r="658">
      <c r="C658" s="57"/>
    </row>
    <row r="659">
      <c r="C659" s="57"/>
    </row>
    <row r="660">
      <c r="C660" s="57"/>
    </row>
    <row r="661">
      <c r="C661" s="57"/>
    </row>
    <row r="662">
      <c r="C662" s="57"/>
    </row>
    <row r="663">
      <c r="C663" s="57"/>
    </row>
    <row r="664">
      <c r="C664" s="57"/>
    </row>
    <row r="665">
      <c r="C665" s="57"/>
    </row>
    <row r="666">
      <c r="C666" s="57"/>
    </row>
    <row r="667">
      <c r="C667" s="57"/>
    </row>
    <row r="668">
      <c r="C668" s="57"/>
    </row>
    <row r="669">
      <c r="C669" s="57"/>
    </row>
    <row r="670">
      <c r="C670" s="57"/>
    </row>
    <row r="671">
      <c r="C671" s="57"/>
    </row>
    <row r="672">
      <c r="C672" s="57"/>
    </row>
    <row r="673">
      <c r="C673" s="57"/>
    </row>
    <row r="674">
      <c r="C674" s="57"/>
    </row>
    <row r="675">
      <c r="C675" s="57"/>
    </row>
    <row r="676">
      <c r="C676" s="57"/>
    </row>
    <row r="677">
      <c r="C677" s="57"/>
    </row>
    <row r="678">
      <c r="C678" s="57"/>
    </row>
    <row r="679">
      <c r="C679" s="57"/>
    </row>
    <row r="680">
      <c r="C680" s="57"/>
    </row>
    <row r="681">
      <c r="C681" s="57"/>
    </row>
    <row r="682">
      <c r="C682" s="57"/>
    </row>
    <row r="683">
      <c r="C683" s="57"/>
    </row>
    <row r="684">
      <c r="C684" s="57"/>
    </row>
    <row r="685">
      <c r="C685" s="57"/>
    </row>
    <row r="686">
      <c r="C686" s="57"/>
    </row>
    <row r="687">
      <c r="C687" s="57"/>
    </row>
    <row r="688">
      <c r="C688" s="57"/>
    </row>
    <row r="689">
      <c r="C689" s="57"/>
    </row>
    <row r="690">
      <c r="C690" s="57"/>
    </row>
    <row r="691">
      <c r="C691" s="57"/>
    </row>
    <row r="692">
      <c r="C692" s="57"/>
    </row>
    <row r="693">
      <c r="C693" s="57"/>
    </row>
    <row r="694">
      <c r="C694" s="57"/>
    </row>
    <row r="695">
      <c r="C695" s="57"/>
    </row>
    <row r="696">
      <c r="C696" s="57"/>
    </row>
    <row r="697">
      <c r="C697" s="57"/>
    </row>
    <row r="698">
      <c r="C698" s="57"/>
    </row>
    <row r="699">
      <c r="C699" s="57"/>
    </row>
    <row r="700">
      <c r="C700" s="57"/>
    </row>
    <row r="701">
      <c r="C701" s="57"/>
    </row>
    <row r="702">
      <c r="C702" s="57"/>
    </row>
    <row r="703">
      <c r="C703" s="57"/>
    </row>
    <row r="704">
      <c r="C704" s="57"/>
    </row>
    <row r="705">
      <c r="C705" s="57"/>
    </row>
    <row r="706">
      <c r="C706" s="57"/>
    </row>
    <row r="707">
      <c r="C707" s="57"/>
    </row>
    <row r="708">
      <c r="C708" s="57"/>
    </row>
    <row r="709">
      <c r="C709" s="57"/>
    </row>
    <row r="710">
      <c r="C710" s="57"/>
    </row>
    <row r="711">
      <c r="C711" s="57"/>
    </row>
    <row r="712">
      <c r="C712" s="57"/>
    </row>
    <row r="713">
      <c r="C713" s="57"/>
    </row>
    <row r="714">
      <c r="C714" s="57"/>
    </row>
    <row r="715">
      <c r="C715" s="57"/>
    </row>
    <row r="716">
      <c r="C716" s="57"/>
    </row>
    <row r="717">
      <c r="C717" s="57"/>
    </row>
    <row r="718">
      <c r="C718" s="57"/>
    </row>
    <row r="719">
      <c r="C719" s="57"/>
    </row>
    <row r="720">
      <c r="C720" s="57"/>
    </row>
    <row r="721">
      <c r="C721" s="57"/>
    </row>
    <row r="722">
      <c r="C722" s="57"/>
    </row>
    <row r="723">
      <c r="C723" s="57"/>
    </row>
    <row r="724">
      <c r="C724" s="57"/>
    </row>
    <row r="725">
      <c r="C725" s="57"/>
    </row>
    <row r="726">
      <c r="C726" s="57"/>
    </row>
    <row r="727">
      <c r="C727" s="57"/>
    </row>
    <row r="728">
      <c r="C728" s="57"/>
    </row>
    <row r="729">
      <c r="C729" s="57"/>
    </row>
    <row r="730">
      <c r="C730" s="57"/>
    </row>
    <row r="731">
      <c r="C731" s="57"/>
    </row>
    <row r="732">
      <c r="C732" s="57"/>
    </row>
    <row r="733">
      <c r="C733" s="57"/>
    </row>
    <row r="734">
      <c r="C734" s="57"/>
    </row>
    <row r="735">
      <c r="C735" s="57"/>
    </row>
    <row r="736">
      <c r="C736" s="57"/>
    </row>
    <row r="737">
      <c r="C737" s="57"/>
    </row>
    <row r="738">
      <c r="C738" s="57"/>
    </row>
    <row r="739">
      <c r="C739" s="57"/>
    </row>
    <row r="740">
      <c r="C740" s="57"/>
    </row>
    <row r="741">
      <c r="C741" s="57"/>
    </row>
    <row r="742">
      <c r="C742" s="57"/>
    </row>
    <row r="743">
      <c r="C743" s="57"/>
    </row>
    <row r="744">
      <c r="C744" s="57"/>
    </row>
    <row r="745">
      <c r="C745" s="57"/>
    </row>
    <row r="746">
      <c r="C746" s="57"/>
    </row>
    <row r="747">
      <c r="C747" s="57"/>
    </row>
    <row r="748">
      <c r="C748" s="57"/>
    </row>
    <row r="749">
      <c r="C749" s="57"/>
    </row>
    <row r="750">
      <c r="C750" s="57"/>
    </row>
    <row r="751">
      <c r="C751" s="57"/>
    </row>
    <row r="752">
      <c r="C752" s="57"/>
    </row>
    <row r="753">
      <c r="C753" s="57"/>
    </row>
    <row r="754">
      <c r="C754" s="57"/>
    </row>
    <row r="755">
      <c r="C755" s="57"/>
    </row>
    <row r="756">
      <c r="C756" s="57"/>
    </row>
    <row r="757">
      <c r="C757" s="57"/>
    </row>
    <row r="758">
      <c r="C758" s="57"/>
    </row>
    <row r="759">
      <c r="C759" s="57"/>
    </row>
    <row r="760">
      <c r="C760" s="57"/>
    </row>
    <row r="761">
      <c r="C761" s="57"/>
    </row>
    <row r="762">
      <c r="C762" s="57"/>
    </row>
    <row r="763">
      <c r="C763" s="57"/>
    </row>
    <row r="764">
      <c r="C764" s="57"/>
    </row>
    <row r="765">
      <c r="C765" s="57"/>
    </row>
    <row r="766">
      <c r="C766" s="57"/>
    </row>
    <row r="767">
      <c r="C767" s="57"/>
    </row>
    <row r="768">
      <c r="C768" s="57"/>
    </row>
    <row r="769">
      <c r="C769" s="57"/>
    </row>
    <row r="770">
      <c r="C770" s="57"/>
    </row>
    <row r="771">
      <c r="C771" s="57"/>
    </row>
    <row r="772">
      <c r="C772" s="57"/>
    </row>
    <row r="773">
      <c r="C773" s="57"/>
    </row>
    <row r="774">
      <c r="C774" s="57"/>
    </row>
    <row r="775">
      <c r="C775" s="57"/>
    </row>
    <row r="776">
      <c r="C776" s="57"/>
    </row>
    <row r="777">
      <c r="C777" s="57"/>
    </row>
    <row r="778">
      <c r="C778" s="57"/>
    </row>
    <row r="779">
      <c r="C779" s="57"/>
    </row>
    <row r="780">
      <c r="C780" s="57"/>
    </row>
    <row r="781">
      <c r="C781" s="57"/>
    </row>
    <row r="782">
      <c r="C782" s="57"/>
    </row>
    <row r="783">
      <c r="C783" s="57"/>
    </row>
    <row r="784">
      <c r="C784" s="57"/>
    </row>
    <row r="785">
      <c r="C785" s="57"/>
    </row>
    <row r="786">
      <c r="C786" s="57"/>
    </row>
    <row r="787">
      <c r="C787" s="57"/>
    </row>
    <row r="788">
      <c r="C788" s="57"/>
    </row>
    <row r="789">
      <c r="C789" s="57"/>
    </row>
    <row r="790">
      <c r="C790" s="57"/>
    </row>
    <row r="791">
      <c r="C791" s="57"/>
    </row>
    <row r="792">
      <c r="C792" s="57"/>
    </row>
    <row r="793">
      <c r="C793" s="57"/>
    </row>
    <row r="794">
      <c r="C794" s="57"/>
    </row>
    <row r="795">
      <c r="C795" s="57"/>
    </row>
    <row r="796">
      <c r="C796" s="57"/>
    </row>
    <row r="797">
      <c r="C797" s="57"/>
    </row>
    <row r="798">
      <c r="C798" s="57"/>
    </row>
    <row r="799">
      <c r="C799" s="57"/>
    </row>
    <row r="800">
      <c r="C800" s="57"/>
    </row>
    <row r="801">
      <c r="C801" s="57"/>
    </row>
    <row r="802">
      <c r="C802" s="57"/>
    </row>
    <row r="803">
      <c r="C803" s="57"/>
    </row>
    <row r="804">
      <c r="C804" s="57"/>
    </row>
    <row r="805">
      <c r="C805" s="57"/>
    </row>
    <row r="806">
      <c r="C806" s="57"/>
    </row>
    <row r="807">
      <c r="C807" s="57"/>
    </row>
    <row r="808">
      <c r="C808" s="57"/>
    </row>
    <row r="809">
      <c r="C809" s="57"/>
    </row>
    <row r="810">
      <c r="C810" s="57"/>
    </row>
    <row r="811">
      <c r="C811" s="57"/>
    </row>
    <row r="812">
      <c r="C812" s="57"/>
    </row>
    <row r="813">
      <c r="C813" s="57"/>
    </row>
    <row r="814">
      <c r="C814" s="57"/>
    </row>
    <row r="815">
      <c r="C815" s="57"/>
    </row>
    <row r="816">
      <c r="C816" s="57"/>
    </row>
    <row r="817">
      <c r="C817" s="57"/>
    </row>
    <row r="818">
      <c r="C818" s="57"/>
    </row>
    <row r="819">
      <c r="C819" s="57"/>
    </row>
    <row r="820">
      <c r="C820" s="57"/>
    </row>
    <row r="821">
      <c r="C821" s="57"/>
    </row>
    <row r="822">
      <c r="C822" s="57"/>
    </row>
    <row r="823">
      <c r="C823" s="57"/>
    </row>
    <row r="824">
      <c r="C824" s="57"/>
    </row>
    <row r="825">
      <c r="C825" s="57"/>
    </row>
    <row r="826">
      <c r="C826" s="57"/>
    </row>
    <row r="827">
      <c r="C827" s="57"/>
    </row>
    <row r="828">
      <c r="C828" s="57"/>
    </row>
    <row r="829">
      <c r="C829" s="57"/>
    </row>
    <row r="830">
      <c r="C830" s="57"/>
    </row>
    <row r="831">
      <c r="C831" s="57"/>
    </row>
    <row r="832">
      <c r="C832" s="57"/>
    </row>
    <row r="833">
      <c r="C833" s="57"/>
    </row>
    <row r="834">
      <c r="C834" s="57"/>
    </row>
    <row r="835">
      <c r="C835" s="57"/>
    </row>
    <row r="836">
      <c r="C836" s="57"/>
    </row>
    <row r="837">
      <c r="C837" s="57"/>
    </row>
    <row r="838">
      <c r="C838" s="57"/>
    </row>
    <row r="839">
      <c r="C839" s="57"/>
    </row>
    <row r="840">
      <c r="C840" s="57"/>
    </row>
    <row r="841">
      <c r="C841" s="57"/>
    </row>
    <row r="842">
      <c r="C842" s="57"/>
    </row>
    <row r="843">
      <c r="C843" s="57"/>
    </row>
    <row r="844">
      <c r="C844" s="57"/>
    </row>
    <row r="845">
      <c r="C845" s="57"/>
    </row>
    <row r="846">
      <c r="C846" s="57"/>
    </row>
    <row r="847">
      <c r="C847" s="57"/>
    </row>
    <row r="848">
      <c r="C848" s="57"/>
    </row>
    <row r="849">
      <c r="C849" s="57"/>
    </row>
    <row r="850">
      <c r="C850" s="57"/>
    </row>
    <row r="851">
      <c r="C851" s="57"/>
    </row>
    <row r="852">
      <c r="C852" s="57"/>
    </row>
    <row r="853">
      <c r="C853" s="57"/>
    </row>
    <row r="854">
      <c r="C854" s="57"/>
    </row>
    <row r="855">
      <c r="C855" s="57"/>
    </row>
    <row r="856">
      <c r="C856" s="57"/>
    </row>
    <row r="857">
      <c r="C857" s="57"/>
    </row>
    <row r="858">
      <c r="C858" s="57"/>
    </row>
    <row r="859">
      <c r="C859" s="57"/>
    </row>
    <row r="860">
      <c r="C860" s="57"/>
    </row>
    <row r="861">
      <c r="C861" s="57"/>
    </row>
    <row r="862">
      <c r="C862" s="57"/>
    </row>
    <row r="863">
      <c r="C863" s="57"/>
    </row>
    <row r="864">
      <c r="C864" s="57"/>
    </row>
    <row r="865">
      <c r="C865" s="57"/>
    </row>
    <row r="866">
      <c r="C866" s="57"/>
    </row>
    <row r="867">
      <c r="C867" s="57"/>
    </row>
    <row r="868">
      <c r="C868" s="57"/>
    </row>
    <row r="869">
      <c r="C869" s="57"/>
    </row>
    <row r="870">
      <c r="C870" s="57"/>
    </row>
    <row r="871">
      <c r="C871" s="57"/>
    </row>
    <row r="872">
      <c r="C872" s="57"/>
    </row>
    <row r="873">
      <c r="C873" s="57"/>
    </row>
    <row r="874">
      <c r="C874" s="57"/>
    </row>
    <row r="875">
      <c r="C875" s="57"/>
    </row>
    <row r="876">
      <c r="C876" s="57"/>
    </row>
    <row r="877">
      <c r="C877" s="57"/>
    </row>
    <row r="878">
      <c r="C878" s="57"/>
    </row>
    <row r="879">
      <c r="C879" s="57"/>
    </row>
    <row r="880">
      <c r="C880" s="57"/>
    </row>
    <row r="881">
      <c r="C881" s="57"/>
    </row>
    <row r="882">
      <c r="C882" s="57"/>
    </row>
    <row r="883">
      <c r="C883" s="57"/>
    </row>
    <row r="884">
      <c r="C884" s="57"/>
    </row>
    <row r="885">
      <c r="C885" s="57"/>
    </row>
    <row r="886">
      <c r="C886" s="57"/>
    </row>
    <row r="887">
      <c r="C887" s="57"/>
    </row>
    <row r="888">
      <c r="C888" s="57"/>
    </row>
    <row r="889">
      <c r="C889" s="57"/>
    </row>
    <row r="890">
      <c r="C890" s="57"/>
    </row>
    <row r="891">
      <c r="C891" s="57"/>
    </row>
    <row r="892">
      <c r="C892" s="57"/>
    </row>
    <row r="893">
      <c r="C893" s="57"/>
    </row>
    <row r="894">
      <c r="C894" s="57"/>
    </row>
    <row r="895">
      <c r="C895" s="57"/>
    </row>
    <row r="896">
      <c r="C896" s="57"/>
    </row>
    <row r="897">
      <c r="C897" s="57"/>
    </row>
    <row r="898">
      <c r="C898" s="57"/>
    </row>
    <row r="899">
      <c r="C899" s="57"/>
    </row>
    <row r="900">
      <c r="C900" s="57"/>
    </row>
    <row r="901">
      <c r="C901" s="57"/>
    </row>
    <row r="902">
      <c r="C902" s="57"/>
    </row>
    <row r="903">
      <c r="C903" s="57"/>
    </row>
    <row r="904">
      <c r="C904" s="57"/>
    </row>
    <row r="905">
      <c r="C905" s="57"/>
    </row>
    <row r="906">
      <c r="C906" s="57"/>
    </row>
    <row r="907">
      <c r="C907" s="57"/>
    </row>
    <row r="908">
      <c r="C908" s="57"/>
    </row>
    <row r="909">
      <c r="C909" s="57"/>
    </row>
    <row r="910">
      <c r="C910" s="57"/>
    </row>
    <row r="911">
      <c r="C911" s="57"/>
    </row>
    <row r="912">
      <c r="C912" s="57"/>
    </row>
    <row r="913">
      <c r="C913" s="57"/>
    </row>
    <row r="914">
      <c r="C914" s="57"/>
    </row>
    <row r="915">
      <c r="C915" s="57"/>
    </row>
    <row r="916">
      <c r="C916" s="57"/>
    </row>
    <row r="917">
      <c r="C917" s="57"/>
    </row>
    <row r="918">
      <c r="C918" s="57"/>
    </row>
    <row r="919">
      <c r="C919" s="57"/>
    </row>
    <row r="920">
      <c r="C920" s="57"/>
    </row>
    <row r="921">
      <c r="C921" s="57"/>
    </row>
    <row r="922">
      <c r="C922" s="57"/>
    </row>
    <row r="923">
      <c r="C923" s="57"/>
    </row>
    <row r="924">
      <c r="C924" s="57"/>
    </row>
    <row r="925">
      <c r="C925" s="57"/>
    </row>
    <row r="926">
      <c r="C926" s="57"/>
    </row>
    <row r="927">
      <c r="C927" s="57"/>
    </row>
    <row r="928">
      <c r="C928" s="57"/>
    </row>
    <row r="929">
      <c r="C929" s="57"/>
    </row>
    <row r="930">
      <c r="C930" s="57"/>
    </row>
    <row r="931">
      <c r="C931" s="57"/>
    </row>
    <row r="932">
      <c r="C932" s="57"/>
    </row>
    <row r="933">
      <c r="C933" s="57"/>
    </row>
    <row r="934">
      <c r="C934" s="57"/>
    </row>
    <row r="935">
      <c r="C935" s="57"/>
    </row>
    <row r="936">
      <c r="C936" s="57"/>
    </row>
    <row r="937">
      <c r="C937" s="57"/>
    </row>
    <row r="938">
      <c r="C938" s="57"/>
    </row>
    <row r="939">
      <c r="C939" s="57"/>
    </row>
    <row r="940">
      <c r="C940" s="57"/>
    </row>
    <row r="941">
      <c r="C941" s="57"/>
    </row>
    <row r="942">
      <c r="C942" s="57"/>
    </row>
    <row r="943">
      <c r="C943" s="57"/>
    </row>
    <row r="944">
      <c r="C944" s="57"/>
    </row>
    <row r="945">
      <c r="C945" s="57"/>
    </row>
    <row r="946">
      <c r="C946" s="57"/>
    </row>
    <row r="947">
      <c r="C947" s="57"/>
    </row>
    <row r="948">
      <c r="C948" s="57"/>
    </row>
    <row r="949">
      <c r="C949" s="57"/>
    </row>
    <row r="950">
      <c r="C950" s="57"/>
    </row>
    <row r="951">
      <c r="C951" s="57"/>
    </row>
    <row r="952">
      <c r="C952" s="57"/>
    </row>
    <row r="953">
      <c r="C953" s="57"/>
    </row>
    <row r="954">
      <c r="C954" s="57"/>
    </row>
    <row r="955">
      <c r="C955" s="57"/>
    </row>
    <row r="956">
      <c r="C956" s="57"/>
    </row>
    <row r="957">
      <c r="C957" s="57"/>
    </row>
    <row r="958">
      <c r="C958" s="57"/>
    </row>
    <row r="959">
      <c r="C959" s="57"/>
    </row>
    <row r="960">
      <c r="C960" s="57"/>
    </row>
    <row r="961">
      <c r="C961" s="57"/>
    </row>
    <row r="962">
      <c r="C962" s="57"/>
    </row>
    <row r="963">
      <c r="C963" s="57"/>
    </row>
    <row r="964">
      <c r="C964" s="57"/>
    </row>
    <row r="965">
      <c r="C965" s="57"/>
    </row>
    <row r="966">
      <c r="C966" s="57"/>
    </row>
    <row r="967">
      <c r="C967" s="57"/>
    </row>
    <row r="968">
      <c r="C968" s="57"/>
    </row>
    <row r="969">
      <c r="C969" s="57"/>
    </row>
    <row r="970">
      <c r="C970" s="57"/>
    </row>
    <row r="971">
      <c r="C971" s="57"/>
    </row>
    <row r="972">
      <c r="C972" s="57"/>
    </row>
    <row r="973">
      <c r="C973" s="57"/>
    </row>
    <row r="974">
      <c r="C974" s="57"/>
    </row>
    <row r="975">
      <c r="C975" s="57"/>
    </row>
    <row r="976">
      <c r="C976" s="57"/>
    </row>
    <row r="977">
      <c r="C977" s="57"/>
    </row>
    <row r="978">
      <c r="C978" s="57"/>
    </row>
    <row r="979">
      <c r="C979" s="57"/>
    </row>
    <row r="980">
      <c r="C980" s="57"/>
    </row>
    <row r="981">
      <c r="C981" s="57"/>
    </row>
    <row r="982">
      <c r="C982" s="57"/>
    </row>
    <row r="983">
      <c r="C983" s="57"/>
    </row>
    <row r="984">
      <c r="C984" s="57"/>
    </row>
    <row r="985">
      <c r="C985" s="57"/>
    </row>
    <row r="986">
      <c r="C986" s="57"/>
    </row>
    <row r="987">
      <c r="C987" s="57"/>
    </row>
    <row r="988">
      <c r="C988" s="57"/>
    </row>
    <row r="989">
      <c r="C989" s="57"/>
    </row>
    <row r="990">
      <c r="C990" s="57"/>
    </row>
    <row r="991">
      <c r="C991" s="57"/>
    </row>
    <row r="992">
      <c r="C992" s="57"/>
    </row>
    <row r="993">
      <c r="C993" s="57"/>
    </row>
    <row r="994">
      <c r="C994" s="57"/>
    </row>
    <row r="995">
      <c r="C995" s="57"/>
    </row>
    <row r="996">
      <c r="C996" s="57"/>
    </row>
    <row r="997">
      <c r="C997" s="57"/>
    </row>
    <row r="998">
      <c r="C998" s="57"/>
    </row>
    <row r="999">
      <c r="C999" s="57"/>
    </row>
    <row r="1000">
      <c r="C1000" s="57"/>
    </row>
    <row r="1001">
      <c r="C1001" s="57"/>
    </row>
  </sheetData>
  <mergeCells count="1">
    <mergeCell ref="C2:C3"/>
  </mergeCells>
  <conditionalFormatting sqref="C4:C26">
    <cfRule type="cellIs" dxfId="0" priority="1" operator="lessThan">
      <formula>59.5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8985</v>
      </c>
      <c r="B1" s="62" t="str">
        <f>IFERROR(__xludf.DUMMYFUNCTION("QUERY({Caseslist!A:A, ARRAYFORMULA(TEXT(Caseslist!M:M, ""@""))},
 ""select Col1, count(Col2) 
  where Col2 &lt;&gt; 'INC' 
  and Col2  &lt;&gt; '45894' 
  group by Col1 
  label Col1 'brgy_prefix', count(Col2) 'Completed'"", 1)"),"brgy_prefix")</f>
        <v>brgy_prefix</v>
      </c>
      <c r="C1" s="62" t="str">
        <f>IFERROR(__xludf.DUMMYFUNCTION("""COMPUTED_VALUE"""),"Completed")</f>
        <v>Completed</v>
      </c>
      <c r="D1" s="62" t="s">
        <v>8945</v>
      </c>
      <c r="E1" s="63" t="s">
        <v>8986</v>
      </c>
      <c r="F1" s="64"/>
      <c r="G1" s="64"/>
      <c r="H1" s="64"/>
      <c r="I1" s="64"/>
      <c r="J1" s="64"/>
    </row>
    <row r="2">
      <c r="A2" s="65" t="str">
        <f t="array" ref="A2">IFERROR(INDEX(data!F:F, MATCH(B2, data!Q:Q, 0)),"")</f>
        <v>team_e</v>
      </c>
      <c r="B2" s="66" t="str">
        <f>IFERROR(__xludf.DUMMYFUNCTION("""COMPUTED_VALUE"""),"H004001")</f>
        <v>H004001</v>
      </c>
      <c r="C2" s="65">
        <f>IFERROR(__xludf.DUMMYFUNCTION("""COMPUTED_VALUE"""),15.0)</f>
        <v>15</v>
      </c>
      <c r="D2" s="65">
        <f t="array" ref="D2">IFERROR(INDEX(brgy_target!F:F, MATCH(B2, brgy_target!A:A, 0)),"")</f>
        <v>15</v>
      </c>
      <c r="E2" s="67">
        <f t="shared" ref="E2:E121" si="1">C2/D2</f>
        <v>1</v>
      </c>
      <c r="F2" s="68"/>
      <c r="G2" s="68"/>
      <c r="H2" s="69"/>
      <c r="I2" s="70"/>
      <c r="J2" s="70"/>
    </row>
    <row r="3">
      <c r="A3" s="65" t="str">
        <f t="array" ref="A3">IFERROR(INDEX(data!F:F, MATCH(B3, data!Q:Q, 0)),"")</f>
        <v>team_f</v>
      </c>
      <c r="B3" s="66" t="str">
        <f>IFERROR(__xludf.DUMMYFUNCTION("""COMPUTED_VALUE"""),"H004042")</f>
        <v>H004042</v>
      </c>
      <c r="C3" s="65">
        <f>IFERROR(__xludf.DUMMYFUNCTION("""COMPUTED_VALUE"""),13.0)</f>
        <v>13</v>
      </c>
      <c r="D3" s="65">
        <f t="array" ref="D3">IFERROR(INDEX(brgy_target!F:F, MATCH(B3, brgy_target!A:A, 0)),"")</f>
        <v>15</v>
      </c>
      <c r="E3" s="67">
        <f t="shared" si="1"/>
        <v>0.8666666667</v>
      </c>
      <c r="F3" s="68"/>
      <c r="G3" s="68"/>
      <c r="H3" s="69"/>
      <c r="I3" s="70"/>
      <c r="J3" s="70"/>
    </row>
    <row r="4">
      <c r="A4" s="65" t="str">
        <f t="array" ref="A4">IFERROR(INDEX(data!F:F, MATCH(B4, data!Q:Q, 0)),"")</f>
        <v>team_f</v>
      </c>
      <c r="B4" s="66" t="str">
        <f>IFERROR(__xludf.DUMMYFUNCTION("""COMPUTED_VALUE"""),"H004132")</f>
        <v>H004132</v>
      </c>
      <c r="C4" s="65">
        <f>IFERROR(__xludf.DUMMYFUNCTION("""COMPUTED_VALUE"""),14.0)</f>
        <v>14</v>
      </c>
      <c r="D4" s="65">
        <f t="array" ref="D4">IFERROR(INDEX(brgy_target!F:F, MATCH(B4, brgy_target!A:A, 0)),"")</f>
        <v>15</v>
      </c>
      <c r="E4" s="67">
        <f t="shared" si="1"/>
        <v>0.9333333333</v>
      </c>
      <c r="F4" s="68"/>
      <c r="G4" s="68"/>
      <c r="H4" s="69"/>
      <c r="I4" s="68"/>
      <c r="J4" s="68"/>
    </row>
    <row r="5">
      <c r="A5" s="65" t="str">
        <f t="array" ref="A5">IFERROR(INDEX(data!F:F, MATCH(B5, data!Q:Q, 0)),"")</f>
        <v>team_f</v>
      </c>
      <c r="B5" s="66" t="str">
        <f>IFERROR(__xludf.DUMMYFUNCTION("""COMPUTED_VALUE"""),"H004137")</f>
        <v>H004137</v>
      </c>
      <c r="C5" s="65">
        <f>IFERROR(__xludf.DUMMYFUNCTION("""COMPUTED_VALUE"""),14.0)</f>
        <v>14</v>
      </c>
      <c r="D5" s="65">
        <f t="array" ref="D5">IFERROR(INDEX(brgy_target!F:F, MATCH(B5, brgy_target!A:A, 0)),"")</f>
        <v>15</v>
      </c>
      <c r="E5" s="67">
        <f t="shared" si="1"/>
        <v>0.9333333333</v>
      </c>
      <c r="F5" s="68"/>
      <c r="G5" s="68"/>
      <c r="H5" s="69"/>
      <c r="I5" s="71"/>
      <c r="J5" s="71"/>
      <c r="K5" s="71"/>
      <c r="L5" s="71"/>
    </row>
    <row r="6">
      <c r="A6" s="65" t="str">
        <f t="array" ref="A6">IFERROR(INDEX(data!F:F, MATCH(B6, data!Q:Q, 0)),"")</f>
        <v>team_f</v>
      </c>
      <c r="B6" s="66" t="str">
        <f>IFERROR(__xludf.DUMMYFUNCTION("""COMPUTED_VALUE"""),"H004285")</f>
        <v>H004285</v>
      </c>
      <c r="C6" s="65">
        <f>IFERROR(__xludf.DUMMYFUNCTION("""COMPUTED_VALUE"""),11.0)</f>
        <v>11</v>
      </c>
      <c r="D6" s="65">
        <f t="array" ref="D6">IFERROR(INDEX(brgy_target!F:F, MATCH(B6, brgy_target!A:A, 0)),"")</f>
        <v>13</v>
      </c>
      <c r="E6" s="67">
        <f t="shared" si="1"/>
        <v>0.8461538462</v>
      </c>
      <c r="F6" s="68"/>
      <c r="G6" s="68"/>
      <c r="H6" s="69"/>
      <c r="I6" s="71"/>
      <c r="J6" s="71"/>
      <c r="K6" s="71"/>
      <c r="L6" s="71"/>
    </row>
    <row r="7">
      <c r="A7" s="65" t="str">
        <f t="array" ref="A7">IFERROR(INDEX(data!F:F, MATCH(B7, data!Q:Q, 0)),"")</f>
        <v>team_e</v>
      </c>
      <c r="B7" s="66" t="str">
        <f>IFERROR(__xludf.DUMMYFUNCTION("""COMPUTED_VALUE"""),"H004306")</f>
        <v>H004306</v>
      </c>
      <c r="C7" s="65">
        <f>IFERROR(__xludf.DUMMYFUNCTION("""COMPUTED_VALUE"""),15.0)</f>
        <v>15</v>
      </c>
      <c r="D7" s="65">
        <f t="array" ref="D7">IFERROR(INDEX(brgy_target!F:F, MATCH(B7, brgy_target!A:A, 0)),"")</f>
        <v>15</v>
      </c>
      <c r="E7" s="67">
        <f t="shared" si="1"/>
        <v>1</v>
      </c>
      <c r="F7" s="68"/>
      <c r="G7" s="68"/>
      <c r="H7" s="69"/>
      <c r="I7" s="71"/>
      <c r="J7" s="71"/>
      <c r="K7" s="71"/>
      <c r="L7" s="71"/>
    </row>
    <row r="8">
      <c r="A8" s="65" t="str">
        <f t="array" ref="A8">IFERROR(INDEX(data!F:F, MATCH(B8, data!Q:Q, 0)),"")</f>
        <v>team_e</v>
      </c>
      <c r="B8" s="66" t="str">
        <f>IFERROR(__xludf.DUMMYFUNCTION("""COMPUTED_VALUE"""),"H004344")</f>
        <v>H004344</v>
      </c>
      <c r="C8" s="65">
        <f>IFERROR(__xludf.DUMMYFUNCTION("""COMPUTED_VALUE"""),12.0)</f>
        <v>12</v>
      </c>
      <c r="D8" s="65">
        <f t="array" ref="D8">IFERROR(INDEX(brgy_target!F:F, MATCH(B8, brgy_target!A:A, 0)),"")</f>
        <v>14</v>
      </c>
      <c r="E8" s="67">
        <f t="shared" si="1"/>
        <v>0.8571428571</v>
      </c>
      <c r="F8" s="68"/>
      <c r="G8" s="68"/>
      <c r="H8" s="69"/>
      <c r="I8" s="71"/>
      <c r="J8" s="71"/>
      <c r="K8" s="71"/>
      <c r="L8" s="71"/>
    </row>
    <row r="9">
      <c r="A9" s="65" t="str">
        <f t="array" ref="A9">IFERROR(INDEX(data!F:F, MATCH(B9, data!Q:Q, 0)),"")</f>
        <v>team_e</v>
      </c>
      <c r="B9" s="66" t="str">
        <f>IFERROR(__xludf.DUMMYFUNCTION("""COMPUTED_VALUE"""),"H004380")</f>
        <v>H004380</v>
      </c>
      <c r="C9" s="65">
        <f>IFERROR(__xludf.DUMMYFUNCTION("""COMPUTED_VALUE"""),13.0)</f>
        <v>13</v>
      </c>
      <c r="D9" s="65">
        <f t="array" ref="D9">IFERROR(INDEX(brgy_target!F:F, MATCH(B9, brgy_target!A:A, 0)),"")</f>
        <v>14</v>
      </c>
      <c r="E9" s="67">
        <f t="shared" si="1"/>
        <v>0.9285714286</v>
      </c>
      <c r="F9" s="68"/>
      <c r="G9" s="68"/>
      <c r="H9" s="69"/>
      <c r="I9" s="71"/>
      <c r="J9" s="71"/>
      <c r="K9" s="71"/>
      <c r="L9" s="71"/>
    </row>
    <row r="10">
      <c r="A10" s="65" t="str">
        <f t="array" ref="A10">IFERROR(INDEX(data!F:F, MATCH(B10, data!Q:Q, 0)),"")</f>
        <v>team_f</v>
      </c>
      <c r="B10" s="66" t="str">
        <f>IFERROR(__xludf.DUMMYFUNCTION("""COMPUTED_VALUE"""),"H004407")</f>
        <v>H004407</v>
      </c>
      <c r="C10" s="65">
        <f>IFERROR(__xludf.DUMMYFUNCTION("""COMPUTED_VALUE"""),15.0)</f>
        <v>15</v>
      </c>
      <c r="D10" s="65">
        <f t="array" ref="D10">IFERROR(INDEX(brgy_target!F:F, MATCH(B10, brgy_target!A:A, 0)),"")</f>
        <v>15</v>
      </c>
      <c r="E10" s="67">
        <f t="shared" si="1"/>
        <v>1</v>
      </c>
      <c r="F10" s="68"/>
      <c r="G10" s="68"/>
      <c r="H10" s="69"/>
      <c r="I10" s="71"/>
      <c r="J10" s="71"/>
      <c r="K10" s="71"/>
      <c r="L10" s="71"/>
    </row>
    <row r="11">
      <c r="A11" s="65" t="str">
        <f t="array" ref="A11">IFERROR(INDEX(data!F:F, MATCH(B11, data!Q:Q, 0)),"")</f>
        <v>team_f</v>
      </c>
      <c r="B11" s="66" t="str">
        <f>IFERROR(__xludf.DUMMYFUNCTION("""COMPUTED_VALUE"""),"H004541")</f>
        <v>H004541</v>
      </c>
      <c r="C11" s="65">
        <f>IFERROR(__xludf.DUMMYFUNCTION("""COMPUTED_VALUE"""),15.0)</f>
        <v>15</v>
      </c>
      <c r="D11" s="65">
        <f t="array" ref="D11">IFERROR(INDEX(brgy_target!F:F, MATCH(B11, brgy_target!A:A, 0)),"")</f>
        <v>15</v>
      </c>
      <c r="E11" s="67">
        <f t="shared" si="1"/>
        <v>1</v>
      </c>
      <c r="F11" s="68"/>
      <c r="G11" s="68"/>
      <c r="H11" s="69"/>
      <c r="I11" s="71"/>
      <c r="J11" s="71"/>
      <c r="K11" s="71"/>
      <c r="L11" s="71"/>
    </row>
    <row r="12">
      <c r="A12" s="65" t="str">
        <f t="array" ref="A12">IFERROR(INDEX(data!F:F, MATCH(B12, data!Q:Q, 0)),"")</f>
        <v>team_e</v>
      </c>
      <c r="B12" s="66" t="str">
        <f>IFERROR(__xludf.DUMMYFUNCTION("""COMPUTED_VALUE"""),"H004579")</f>
        <v>H004579</v>
      </c>
      <c r="C12" s="65">
        <f>IFERROR(__xludf.DUMMYFUNCTION("""COMPUTED_VALUE"""),14.0)</f>
        <v>14</v>
      </c>
      <c r="D12" s="65">
        <f t="array" ref="D12">IFERROR(INDEX(brgy_target!F:F, MATCH(B12, brgy_target!A:A, 0)),"")</f>
        <v>15</v>
      </c>
      <c r="E12" s="67">
        <f t="shared" si="1"/>
        <v>0.9333333333</v>
      </c>
      <c r="F12" s="68"/>
      <c r="G12" s="68"/>
      <c r="H12" s="69"/>
      <c r="I12" s="71"/>
      <c r="J12" s="71"/>
      <c r="K12" s="71"/>
      <c r="L12" s="71"/>
    </row>
    <row r="13">
      <c r="A13" s="65" t="str">
        <f t="array" ref="A13">IFERROR(INDEX(data!F:F, MATCH(B13, data!Q:Q, 0)),"")</f>
        <v>team_e</v>
      </c>
      <c r="B13" s="66" t="str">
        <f>IFERROR(__xludf.DUMMYFUNCTION("""COMPUTED_VALUE"""),"H004588")</f>
        <v>H004588</v>
      </c>
      <c r="C13" s="65">
        <f>IFERROR(__xludf.DUMMYFUNCTION("""COMPUTED_VALUE"""),15.0)</f>
        <v>15</v>
      </c>
      <c r="D13" s="65">
        <f t="array" ref="D13">IFERROR(INDEX(brgy_target!F:F, MATCH(B13, brgy_target!A:A, 0)),"")</f>
        <v>15</v>
      </c>
      <c r="E13" s="67">
        <f t="shared" si="1"/>
        <v>1</v>
      </c>
      <c r="F13" s="68"/>
      <c r="G13" s="68"/>
      <c r="H13" s="69"/>
      <c r="I13" s="70"/>
      <c r="J13" s="72"/>
    </row>
    <row r="14">
      <c r="A14" s="65" t="str">
        <f t="array" ref="A14">IFERROR(INDEX(data!F:F, MATCH(B14, data!Q:Q, 0)),"")</f>
        <v>team_e</v>
      </c>
      <c r="B14" s="66" t="str">
        <f>IFERROR(__xludf.DUMMYFUNCTION("""COMPUTED_VALUE"""),"H004596")</f>
        <v>H004596</v>
      </c>
      <c r="C14" s="65">
        <f>IFERROR(__xludf.DUMMYFUNCTION("""COMPUTED_VALUE"""),13.0)</f>
        <v>13</v>
      </c>
      <c r="D14" s="65">
        <f t="array" ref="D14">IFERROR(INDEX(brgy_target!F:F, MATCH(B14, brgy_target!A:A, 0)),"")</f>
        <v>15</v>
      </c>
      <c r="E14" s="67">
        <f t="shared" si="1"/>
        <v>0.8666666667</v>
      </c>
      <c r="F14" s="68"/>
      <c r="G14" s="68"/>
      <c r="H14" s="69"/>
      <c r="I14" s="70"/>
      <c r="J14" s="70"/>
    </row>
    <row r="15">
      <c r="A15" s="65" t="str">
        <f t="array" ref="A15">IFERROR(INDEX(data!F:F, MATCH(B15, data!Q:Q, 0)),"")</f>
        <v>team_f</v>
      </c>
      <c r="B15" s="66" t="str">
        <f>IFERROR(__xludf.DUMMYFUNCTION("""COMPUTED_VALUE"""),"H004680")</f>
        <v>H004680</v>
      </c>
      <c r="C15" s="65">
        <f>IFERROR(__xludf.DUMMYFUNCTION("""COMPUTED_VALUE"""),15.0)</f>
        <v>15</v>
      </c>
      <c r="D15" s="65">
        <f t="array" ref="D15">IFERROR(INDEX(brgy_target!F:F, MATCH(B15, brgy_target!A:A, 0)),"")</f>
        <v>15</v>
      </c>
      <c r="E15" s="67">
        <f t="shared" si="1"/>
        <v>1</v>
      </c>
      <c r="F15" s="68"/>
      <c r="G15" s="68"/>
      <c r="H15" s="69"/>
      <c r="I15" s="70"/>
      <c r="J15" s="70"/>
    </row>
    <row r="16">
      <c r="A16" s="65" t="str">
        <f t="array" ref="A16">IFERROR(INDEX(data!F:F, MATCH(B16, data!Q:Q, 0)),"")</f>
        <v>team_f</v>
      </c>
      <c r="B16" s="66" t="str">
        <f>IFERROR(__xludf.DUMMYFUNCTION("""COMPUTED_VALUE"""),"H004787")</f>
        <v>H004787</v>
      </c>
      <c r="C16" s="65">
        <f>IFERROR(__xludf.DUMMYFUNCTION("""COMPUTED_VALUE"""),15.0)</f>
        <v>15</v>
      </c>
      <c r="D16" s="65">
        <f t="array" ref="D16">IFERROR(INDEX(brgy_target!F:F, MATCH(B16, brgy_target!A:A, 0)),"")</f>
        <v>15</v>
      </c>
      <c r="E16" s="67">
        <f t="shared" si="1"/>
        <v>1</v>
      </c>
      <c r="F16" s="68"/>
      <c r="G16" s="68"/>
      <c r="H16" s="69"/>
      <c r="I16" s="70"/>
      <c r="J16" s="70"/>
    </row>
    <row r="17">
      <c r="A17" s="65" t="str">
        <f t="array" ref="A17">IFERROR(INDEX(data!F:F, MATCH(B17, data!Q:Q, 0)),"")</f>
        <v>team_e</v>
      </c>
      <c r="B17" s="66" t="str">
        <f>IFERROR(__xludf.DUMMYFUNCTION("""COMPUTED_VALUE"""),"H004854")</f>
        <v>H004854</v>
      </c>
      <c r="C17" s="65">
        <f>IFERROR(__xludf.DUMMYFUNCTION("""COMPUTED_VALUE"""),15.0)</f>
        <v>15</v>
      </c>
      <c r="D17" s="65">
        <f t="array" ref="D17">IFERROR(INDEX(brgy_target!F:F, MATCH(B17, brgy_target!A:A, 0)),"")</f>
        <v>15</v>
      </c>
      <c r="E17" s="67">
        <f t="shared" si="1"/>
        <v>1</v>
      </c>
      <c r="F17" s="68"/>
      <c r="G17" s="68"/>
      <c r="H17" s="69"/>
      <c r="I17" s="70"/>
      <c r="J17" s="70"/>
    </row>
    <row r="18">
      <c r="A18" s="65" t="str">
        <f t="array" ref="A18">IFERROR(INDEX(data!F:F, MATCH(B18, data!Q:Q, 0)),"")</f>
        <v>team_d</v>
      </c>
      <c r="B18" s="66" t="str">
        <f>IFERROR(__xludf.DUMMYFUNCTION("""COMPUTED_VALUE"""),"H006029")</f>
        <v>H006029</v>
      </c>
      <c r="C18" s="65">
        <f>IFERROR(__xludf.DUMMYFUNCTION("""COMPUTED_VALUE"""),15.0)</f>
        <v>15</v>
      </c>
      <c r="D18" s="65">
        <f t="array" ref="D18">IFERROR(INDEX(brgy_target!F:F, MATCH(B18, brgy_target!A:A, 0)),"")</f>
        <v>15</v>
      </c>
      <c r="E18" s="67">
        <f t="shared" si="1"/>
        <v>1</v>
      </c>
      <c r="F18" s="68"/>
      <c r="G18" s="68"/>
      <c r="H18" s="69"/>
      <c r="I18" s="70"/>
      <c r="J18" s="70"/>
    </row>
    <row r="19">
      <c r="A19" s="65" t="str">
        <f t="array" ref="A19">IFERROR(INDEX(data!F:F, MATCH(B19, data!Q:Q, 0)),"")</f>
        <v>team_c</v>
      </c>
      <c r="B19" s="66" t="str">
        <f>IFERROR(__xludf.DUMMYFUNCTION("""COMPUTED_VALUE"""),"H006033")</f>
        <v>H006033</v>
      </c>
      <c r="C19" s="65">
        <f>IFERROR(__xludf.DUMMYFUNCTION("""COMPUTED_VALUE"""),13.0)</f>
        <v>13</v>
      </c>
      <c r="D19" s="65">
        <f t="array" ref="D19">IFERROR(INDEX(brgy_target!F:F, MATCH(B19, brgy_target!A:A, 0)),"")</f>
        <v>14</v>
      </c>
      <c r="E19" s="67">
        <f t="shared" si="1"/>
        <v>0.9285714286</v>
      </c>
      <c r="F19" s="68"/>
      <c r="G19" s="68"/>
      <c r="H19" s="69"/>
      <c r="I19" s="70"/>
      <c r="J19" s="70"/>
    </row>
    <row r="20">
      <c r="A20" s="65" t="str">
        <f t="array" ref="A20">IFERROR(INDEX(data!F:F, MATCH(B20, data!Q:Q, 0)),"")</f>
        <v>team_c</v>
      </c>
      <c r="B20" s="66" t="str">
        <f>IFERROR(__xludf.DUMMYFUNCTION("""COMPUTED_VALUE"""),"H006068")</f>
        <v>H006068</v>
      </c>
      <c r="C20" s="65">
        <f>IFERROR(__xludf.DUMMYFUNCTION("""COMPUTED_VALUE"""),15.0)</f>
        <v>15</v>
      </c>
      <c r="D20" s="65">
        <f t="array" ref="D20">IFERROR(INDEX(brgy_target!F:F, MATCH(B20, brgy_target!A:A, 0)),"")</f>
        <v>15</v>
      </c>
      <c r="E20" s="67">
        <f t="shared" si="1"/>
        <v>1</v>
      </c>
      <c r="F20" s="68"/>
      <c r="G20" s="68"/>
      <c r="H20" s="69"/>
      <c r="I20" s="70"/>
      <c r="J20" s="70"/>
    </row>
    <row r="21">
      <c r="A21" s="65" t="str">
        <f t="array" ref="A21">IFERROR(INDEX(data!F:F, MATCH(B21, data!Q:Q, 0)),"")</f>
        <v>team_d</v>
      </c>
      <c r="B21" s="66" t="str">
        <f>IFERROR(__xludf.DUMMYFUNCTION("""COMPUTED_VALUE"""),"H006183")</f>
        <v>H006183</v>
      </c>
      <c r="C21" s="65">
        <f>IFERROR(__xludf.DUMMYFUNCTION("""COMPUTED_VALUE"""),13.0)</f>
        <v>13</v>
      </c>
      <c r="D21" s="65">
        <f t="array" ref="D21">IFERROR(INDEX(brgy_target!F:F, MATCH(B21, brgy_target!A:A, 0)),"")</f>
        <v>14</v>
      </c>
      <c r="E21" s="67">
        <f t="shared" si="1"/>
        <v>0.9285714286</v>
      </c>
      <c r="F21" s="68"/>
      <c r="G21" s="68"/>
      <c r="H21" s="69"/>
      <c r="I21" s="70"/>
      <c r="J21" s="70"/>
    </row>
    <row r="22">
      <c r="A22" s="65" t="str">
        <f t="array" ref="A22">IFERROR(INDEX(data!F:F, MATCH(B22, data!Q:Q, 0)),"")</f>
        <v>team_d</v>
      </c>
      <c r="B22" s="66" t="str">
        <f>IFERROR(__xludf.DUMMYFUNCTION("""COMPUTED_VALUE"""),"H006213")</f>
        <v>H006213</v>
      </c>
      <c r="C22" s="65">
        <f>IFERROR(__xludf.DUMMYFUNCTION("""COMPUTED_VALUE"""),15.0)</f>
        <v>15</v>
      </c>
      <c r="D22" s="65">
        <f t="array" ref="D22">IFERROR(INDEX(brgy_target!F:F, MATCH(B22, brgy_target!A:A, 0)),"")</f>
        <v>15</v>
      </c>
      <c r="E22" s="67">
        <f t="shared" si="1"/>
        <v>1</v>
      </c>
      <c r="F22" s="68"/>
      <c r="G22" s="68"/>
      <c r="H22" s="69"/>
      <c r="I22" s="70"/>
      <c r="J22" s="70"/>
    </row>
    <row r="23">
      <c r="A23" s="65" t="str">
        <f t="array" ref="A23">IFERROR(INDEX(data!F:F, MATCH(B23, data!Q:Q, 0)),"")</f>
        <v>team_d</v>
      </c>
      <c r="B23" s="66" t="str">
        <f>IFERROR(__xludf.DUMMYFUNCTION("""COMPUTED_VALUE"""),"H006233")</f>
        <v>H006233</v>
      </c>
      <c r="C23" s="65">
        <f>IFERROR(__xludf.DUMMYFUNCTION("""COMPUTED_VALUE"""),14.0)</f>
        <v>14</v>
      </c>
      <c r="D23" s="65">
        <f t="array" ref="D23">IFERROR(INDEX(brgy_target!F:F, MATCH(B23, brgy_target!A:A, 0)),"")</f>
        <v>14</v>
      </c>
      <c r="E23" s="67">
        <f t="shared" si="1"/>
        <v>1</v>
      </c>
      <c r="F23" s="68"/>
      <c r="G23" s="68"/>
      <c r="H23" s="69"/>
      <c r="I23" s="70"/>
      <c r="J23" s="70"/>
    </row>
    <row r="24">
      <c r="A24" s="65" t="str">
        <f t="array" ref="A24">IFERROR(INDEX(data!F:F, MATCH(B24, data!Q:Q, 0)),"")</f>
        <v>team_c</v>
      </c>
      <c r="B24" s="66" t="str">
        <f>IFERROR(__xludf.DUMMYFUNCTION("""COMPUTED_VALUE"""),"H006248")</f>
        <v>H006248</v>
      </c>
      <c r="C24" s="65">
        <f>IFERROR(__xludf.DUMMYFUNCTION("""COMPUTED_VALUE"""),13.0)</f>
        <v>13</v>
      </c>
      <c r="D24" s="65">
        <f t="array" ref="D24">IFERROR(INDEX(brgy_target!F:F, MATCH(B24, brgy_target!A:A, 0)),"")</f>
        <v>15</v>
      </c>
      <c r="E24" s="67">
        <f t="shared" si="1"/>
        <v>0.8666666667</v>
      </c>
      <c r="F24" s="68"/>
      <c r="G24" s="68"/>
      <c r="H24" s="69"/>
      <c r="I24" s="70"/>
      <c r="J24" s="70"/>
    </row>
    <row r="25">
      <c r="A25" s="65" t="str">
        <f t="array" ref="A25">IFERROR(INDEX(data!F:F, MATCH(B25, data!Q:Q, 0)),"")</f>
        <v>team_c</v>
      </c>
      <c r="B25" s="66" t="str">
        <f>IFERROR(__xludf.DUMMYFUNCTION("""COMPUTED_VALUE"""),"H006319")</f>
        <v>H006319</v>
      </c>
      <c r="C25" s="65">
        <f>IFERROR(__xludf.DUMMYFUNCTION("""COMPUTED_VALUE"""),10.0)</f>
        <v>10</v>
      </c>
      <c r="D25" s="65">
        <f t="array" ref="D25">IFERROR(INDEX(brgy_target!F:F, MATCH(B25, brgy_target!A:A, 0)),"")</f>
        <v>12</v>
      </c>
      <c r="E25" s="67">
        <f t="shared" si="1"/>
        <v>0.8333333333</v>
      </c>
      <c r="F25" s="68"/>
      <c r="G25" s="68"/>
      <c r="H25" s="69"/>
      <c r="I25" s="70"/>
      <c r="J25" s="70"/>
    </row>
    <row r="26">
      <c r="A26" s="65" t="str">
        <f t="array" ref="A26">IFERROR(INDEX(data!F:F, MATCH(B26, data!Q:Q, 0)),"")</f>
        <v>team_c</v>
      </c>
      <c r="B26" s="66" t="str">
        <f>IFERROR(__xludf.DUMMYFUNCTION("""COMPUTED_VALUE"""),"H006405")</f>
        <v>H006405</v>
      </c>
      <c r="C26" s="65">
        <f>IFERROR(__xludf.DUMMYFUNCTION("""COMPUTED_VALUE"""),14.0)</f>
        <v>14</v>
      </c>
      <c r="D26" s="65">
        <f t="array" ref="D26">IFERROR(INDEX(brgy_target!F:F, MATCH(B26, brgy_target!A:A, 0)),"")</f>
        <v>15</v>
      </c>
      <c r="E26" s="67">
        <f t="shared" si="1"/>
        <v>0.9333333333</v>
      </c>
      <c r="F26" s="68"/>
      <c r="G26" s="68"/>
      <c r="H26" s="69"/>
      <c r="I26" s="70"/>
      <c r="J26" s="70"/>
    </row>
    <row r="27">
      <c r="A27" s="65" t="str">
        <f t="array" ref="A27">IFERROR(INDEX(data!F:F, MATCH(B27, data!Q:Q, 0)),"")</f>
        <v>team_c</v>
      </c>
      <c r="B27" s="66" t="str">
        <f>IFERROR(__xludf.DUMMYFUNCTION("""COMPUTED_VALUE"""),"H006417")</f>
        <v>H006417</v>
      </c>
      <c r="C27" s="65">
        <f>IFERROR(__xludf.DUMMYFUNCTION("""COMPUTED_VALUE"""),11.0)</f>
        <v>11</v>
      </c>
      <c r="D27" s="65">
        <f t="array" ref="D27">IFERROR(INDEX(brgy_target!F:F, MATCH(B27, brgy_target!A:A, 0)),"")</f>
        <v>14</v>
      </c>
      <c r="E27" s="67">
        <f t="shared" si="1"/>
        <v>0.7857142857</v>
      </c>
      <c r="F27" s="68"/>
      <c r="G27" s="68"/>
      <c r="H27" s="69"/>
      <c r="I27" s="70"/>
      <c r="J27" s="70"/>
    </row>
    <row r="28">
      <c r="A28" s="65" t="str">
        <f t="array" ref="A28">IFERROR(INDEX(data!F:F, MATCH(B28, data!Q:Q, 0)),"")</f>
        <v>team_c</v>
      </c>
      <c r="B28" s="66" t="str">
        <f>IFERROR(__xludf.DUMMYFUNCTION("""COMPUTED_VALUE"""),"H006422")</f>
        <v>H006422</v>
      </c>
      <c r="C28" s="65">
        <f>IFERROR(__xludf.DUMMYFUNCTION("""COMPUTED_VALUE"""),12.0)</f>
        <v>12</v>
      </c>
      <c r="D28" s="65">
        <f t="array" ref="D28">IFERROR(INDEX(brgy_target!F:F, MATCH(B28, brgy_target!A:A, 0)),"")</f>
        <v>14</v>
      </c>
      <c r="E28" s="67">
        <f t="shared" si="1"/>
        <v>0.8571428571</v>
      </c>
      <c r="F28" s="68"/>
      <c r="G28" s="68"/>
      <c r="H28" s="69"/>
      <c r="I28" s="70"/>
      <c r="J28" s="70"/>
    </row>
    <row r="29">
      <c r="A29" s="65" t="str">
        <f t="array" ref="A29">IFERROR(INDEX(data!F:F, MATCH(B29, data!Q:Q, 0)),"")</f>
        <v>team_c</v>
      </c>
      <c r="B29" s="66" t="str">
        <f>IFERROR(__xludf.DUMMYFUNCTION("""COMPUTED_VALUE"""),"H006510")</f>
        <v>H006510</v>
      </c>
      <c r="C29" s="65">
        <f>IFERROR(__xludf.DUMMYFUNCTION("""COMPUTED_VALUE"""),15.0)</f>
        <v>15</v>
      </c>
      <c r="D29" s="65">
        <f t="array" ref="D29">IFERROR(INDEX(brgy_target!F:F, MATCH(B29, brgy_target!A:A, 0)),"")</f>
        <v>15</v>
      </c>
      <c r="E29" s="67">
        <f t="shared" si="1"/>
        <v>1</v>
      </c>
      <c r="F29" s="68"/>
      <c r="G29" s="68"/>
      <c r="H29" s="69"/>
      <c r="I29" s="70"/>
      <c r="J29" s="70"/>
    </row>
    <row r="30">
      <c r="A30" s="65" t="str">
        <f t="array" ref="A30">IFERROR(INDEX(data!F:F, MATCH(B30, data!Q:Q, 0)),"")</f>
        <v>team_d</v>
      </c>
      <c r="B30" s="66" t="str">
        <f>IFERROR(__xludf.DUMMYFUNCTION("""COMPUTED_VALUE"""),"H006525")</f>
        <v>H006525</v>
      </c>
      <c r="C30" s="65">
        <f>IFERROR(__xludf.DUMMYFUNCTION("""COMPUTED_VALUE"""),14.0)</f>
        <v>14</v>
      </c>
      <c r="D30" s="65">
        <f t="array" ref="D30">IFERROR(INDEX(brgy_target!F:F, MATCH(B30, brgy_target!A:A, 0)),"")</f>
        <v>15</v>
      </c>
      <c r="E30" s="67">
        <f t="shared" si="1"/>
        <v>0.9333333333</v>
      </c>
      <c r="F30" s="68"/>
      <c r="G30" s="68"/>
      <c r="H30" s="69"/>
      <c r="I30" s="70"/>
      <c r="J30" s="70"/>
    </row>
    <row r="31">
      <c r="A31" s="65" t="str">
        <f t="array" ref="A31">IFERROR(INDEX(data!F:F, MATCH(B31, data!Q:Q, 0)),"")</f>
        <v>team_d</v>
      </c>
      <c r="B31" s="66" t="str">
        <f>IFERROR(__xludf.DUMMYFUNCTION("""COMPUTED_VALUE"""),"H006567")</f>
        <v>H006567</v>
      </c>
      <c r="C31" s="65">
        <f>IFERROR(__xludf.DUMMYFUNCTION("""COMPUTED_VALUE"""),15.0)</f>
        <v>15</v>
      </c>
      <c r="D31" s="65">
        <f t="array" ref="D31">IFERROR(INDEX(brgy_target!F:F, MATCH(B31, brgy_target!A:A, 0)),"")</f>
        <v>15</v>
      </c>
      <c r="E31" s="67">
        <f t="shared" si="1"/>
        <v>1</v>
      </c>
      <c r="F31" s="68"/>
      <c r="G31" s="68"/>
      <c r="H31" s="69"/>
      <c r="I31" s="70"/>
      <c r="J31" s="70"/>
    </row>
    <row r="32">
      <c r="A32" s="65" t="str">
        <f t="array" ref="A32">IFERROR(INDEX(data!F:F, MATCH(B32, data!Q:Q, 0)),"")</f>
        <v>team_d</v>
      </c>
      <c r="B32" s="66" t="str">
        <f>IFERROR(__xludf.DUMMYFUNCTION("""COMPUTED_VALUE"""),"H006626")</f>
        <v>H006626</v>
      </c>
      <c r="C32" s="65">
        <f>IFERROR(__xludf.DUMMYFUNCTION("""COMPUTED_VALUE"""),14.0)</f>
        <v>14</v>
      </c>
      <c r="D32" s="65">
        <f t="array" ref="D32">IFERROR(INDEX(brgy_target!F:F, MATCH(B32, brgy_target!A:A, 0)),"")</f>
        <v>14</v>
      </c>
      <c r="E32" s="67">
        <f t="shared" si="1"/>
        <v>1</v>
      </c>
      <c r="F32" s="68"/>
      <c r="G32" s="68"/>
      <c r="H32" s="69"/>
      <c r="I32" s="70"/>
      <c r="J32" s="70"/>
    </row>
    <row r="33">
      <c r="A33" s="65" t="str">
        <f t="array" ref="A33">IFERROR(INDEX(data!F:F, MATCH(B33, data!Q:Q, 0)),"")</f>
        <v>team_d</v>
      </c>
      <c r="B33" s="66" t="str">
        <f>IFERROR(__xludf.DUMMYFUNCTION("""COMPUTED_VALUE"""),"H006631")</f>
        <v>H006631</v>
      </c>
      <c r="C33" s="65">
        <f>IFERROR(__xludf.DUMMYFUNCTION("""COMPUTED_VALUE"""),14.0)</f>
        <v>14</v>
      </c>
      <c r="D33" s="65">
        <f t="array" ref="D33">IFERROR(INDEX(brgy_target!F:F, MATCH(B33, brgy_target!A:A, 0)),"")</f>
        <v>15</v>
      </c>
      <c r="E33" s="67">
        <f t="shared" si="1"/>
        <v>0.9333333333</v>
      </c>
      <c r="F33" s="68"/>
      <c r="G33" s="68"/>
      <c r="H33" s="69"/>
      <c r="I33" s="70"/>
      <c r="J33" s="70"/>
    </row>
    <row r="34">
      <c r="A34" s="65" t="str">
        <f t="array" ref="A34">IFERROR(INDEX(data!F:F, MATCH(B34, data!Q:Q, 0)),"")</f>
        <v>team_c</v>
      </c>
      <c r="B34" s="66" t="str">
        <f>IFERROR(__xludf.DUMMYFUNCTION("""COMPUTED_VALUE"""),"H006657")</f>
        <v>H006657</v>
      </c>
      <c r="C34" s="65">
        <f>IFERROR(__xludf.DUMMYFUNCTION("""COMPUTED_VALUE"""),15.0)</f>
        <v>15</v>
      </c>
      <c r="D34" s="65">
        <f t="array" ref="D34">IFERROR(INDEX(brgy_target!F:F, MATCH(B34, brgy_target!A:A, 0)),"")</f>
        <v>15</v>
      </c>
      <c r="E34" s="67">
        <f t="shared" si="1"/>
        <v>1</v>
      </c>
      <c r="F34" s="68"/>
      <c r="G34" s="68"/>
      <c r="H34" s="69"/>
      <c r="I34" s="70"/>
      <c r="J34" s="70"/>
    </row>
    <row r="35">
      <c r="A35" s="65" t="str">
        <f t="array" ref="A35">IFERROR(INDEX(data!F:F, MATCH(B35, data!Q:Q, 0)),"")</f>
        <v>team_d</v>
      </c>
      <c r="B35" s="66" t="str">
        <f>IFERROR(__xludf.DUMMYFUNCTION("""COMPUTED_VALUE"""),"H006689")</f>
        <v>H006689</v>
      </c>
      <c r="C35" s="65">
        <f>IFERROR(__xludf.DUMMYFUNCTION("""COMPUTED_VALUE"""),13.0)</f>
        <v>13</v>
      </c>
      <c r="D35" s="65">
        <f t="array" ref="D35">IFERROR(INDEX(brgy_target!F:F, MATCH(B35, brgy_target!A:A, 0)),"")</f>
        <v>14</v>
      </c>
      <c r="E35" s="67">
        <f t="shared" si="1"/>
        <v>0.9285714286</v>
      </c>
      <c r="F35" s="68"/>
      <c r="G35" s="68"/>
      <c r="H35" s="69"/>
      <c r="I35" s="70"/>
      <c r="J35" s="70"/>
    </row>
    <row r="36">
      <c r="A36" s="65" t="str">
        <f t="array" ref="A36">IFERROR(INDEX(data!F:F, MATCH(B36, data!Q:Q, 0)),"")</f>
        <v>team_d</v>
      </c>
      <c r="B36" s="66" t="str">
        <f>IFERROR(__xludf.DUMMYFUNCTION("""COMPUTED_VALUE"""),"H006706")</f>
        <v>H006706</v>
      </c>
      <c r="C36" s="65">
        <f>IFERROR(__xludf.DUMMYFUNCTION("""COMPUTED_VALUE"""),15.0)</f>
        <v>15</v>
      </c>
      <c r="D36" s="65">
        <f t="array" ref="D36">IFERROR(INDEX(brgy_target!F:F, MATCH(B36, brgy_target!A:A, 0)),"")</f>
        <v>14</v>
      </c>
      <c r="E36" s="67">
        <f t="shared" si="1"/>
        <v>1.071428571</v>
      </c>
      <c r="F36" s="68"/>
      <c r="G36" s="68"/>
      <c r="H36" s="69"/>
      <c r="I36" s="73"/>
      <c r="J36" s="73"/>
    </row>
    <row r="37">
      <c r="A37" s="65" t="str">
        <f t="array" ref="A37">IFERROR(INDEX(data!F:F, MATCH(B37, data!Q:Q, 0)),"")</f>
        <v>team_d</v>
      </c>
      <c r="B37" s="66" t="str">
        <f>IFERROR(__xludf.DUMMYFUNCTION("""COMPUTED_VALUE"""),"H006719")</f>
        <v>H006719</v>
      </c>
      <c r="C37" s="65">
        <f>IFERROR(__xludf.DUMMYFUNCTION("""COMPUTED_VALUE"""),12.0)</f>
        <v>12</v>
      </c>
      <c r="D37" s="65">
        <f t="array" ref="D37">IFERROR(INDEX(brgy_target!F:F, MATCH(B37, brgy_target!A:A, 0)),"")</f>
        <v>13</v>
      </c>
      <c r="E37" s="67">
        <f t="shared" si="1"/>
        <v>0.9230769231</v>
      </c>
      <c r="F37" s="68"/>
      <c r="G37" s="68"/>
      <c r="H37" s="69"/>
      <c r="I37" s="73"/>
      <c r="J37" s="73"/>
    </row>
    <row r="38">
      <c r="A38" s="65" t="str">
        <f t="array" ref="A38">IFERROR(INDEX(data!F:F, MATCH(B38, data!Q:Q, 0)),"")</f>
        <v>team_c</v>
      </c>
      <c r="B38" s="66" t="str">
        <f>IFERROR(__xludf.DUMMYFUNCTION("""COMPUTED_VALUE"""),"H006734")</f>
        <v>H006734</v>
      </c>
      <c r="C38" s="65">
        <f>IFERROR(__xludf.DUMMYFUNCTION("""COMPUTED_VALUE"""),15.0)</f>
        <v>15</v>
      </c>
      <c r="D38" s="65">
        <f t="array" ref="D38">IFERROR(INDEX(brgy_target!F:F, MATCH(B38, brgy_target!A:A, 0)),"")</f>
        <v>15</v>
      </c>
      <c r="E38" s="67">
        <f t="shared" si="1"/>
        <v>1</v>
      </c>
      <c r="F38" s="68"/>
      <c r="G38" s="68"/>
      <c r="H38" s="69"/>
      <c r="I38" s="73"/>
      <c r="J38" s="73"/>
    </row>
    <row r="39">
      <c r="A39" s="65" t="str">
        <f t="array" ref="A39">IFERROR(INDEX(data!F:F, MATCH(B39, data!Q:Q, 0)),"")</f>
        <v>team_c</v>
      </c>
      <c r="B39" s="66" t="str">
        <f>IFERROR(__xludf.DUMMYFUNCTION("""COMPUTED_VALUE"""),"H006742")</f>
        <v>H006742</v>
      </c>
      <c r="C39" s="65">
        <f>IFERROR(__xludf.DUMMYFUNCTION("""COMPUTED_VALUE"""),13.0)</f>
        <v>13</v>
      </c>
      <c r="D39" s="65">
        <f t="array" ref="D39">IFERROR(INDEX(brgy_target!F:F, MATCH(B39, brgy_target!A:A, 0)),"")</f>
        <v>13</v>
      </c>
      <c r="E39" s="67">
        <f t="shared" si="1"/>
        <v>1</v>
      </c>
      <c r="F39" s="68"/>
      <c r="G39" s="68"/>
      <c r="H39" s="69"/>
      <c r="I39" s="73"/>
      <c r="J39" s="73"/>
    </row>
    <row r="40">
      <c r="A40" s="65" t="str">
        <f t="array" ref="A40">IFERROR(INDEX(data!F:F, MATCH(B40, data!Q:Q, 0)),"")</f>
        <v>team_d</v>
      </c>
      <c r="B40" s="66" t="str">
        <f>IFERROR(__xludf.DUMMYFUNCTION("""COMPUTED_VALUE"""),"H006809")</f>
        <v>H006809</v>
      </c>
      <c r="C40" s="65">
        <f>IFERROR(__xludf.DUMMYFUNCTION("""COMPUTED_VALUE"""),14.0)</f>
        <v>14</v>
      </c>
      <c r="D40" s="65">
        <f t="array" ref="D40">IFERROR(INDEX(brgy_target!F:F, MATCH(B40, brgy_target!A:A, 0)),"")</f>
        <v>13</v>
      </c>
      <c r="E40" s="67">
        <f t="shared" si="1"/>
        <v>1.076923077</v>
      </c>
      <c r="F40" s="68"/>
      <c r="G40" s="68"/>
      <c r="H40" s="69"/>
      <c r="I40" s="73"/>
      <c r="J40" s="73"/>
    </row>
    <row r="41">
      <c r="A41" s="65" t="str">
        <f t="array" ref="A41">IFERROR(INDEX(data!F:F, MATCH(B41, data!Q:Q, 0)),"")</f>
        <v>team_c</v>
      </c>
      <c r="B41" s="66" t="str">
        <f>IFERROR(__xludf.DUMMYFUNCTION("""COMPUTED_VALUE"""),"H006817")</f>
        <v>H006817</v>
      </c>
      <c r="C41" s="65">
        <f>IFERROR(__xludf.DUMMYFUNCTION("""COMPUTED_VALUE"""),15.0)</f>
        <v>15</v>
      </c>
      <c r="D41" s="65">
        <f t="array" ref="D41">IFERROR(INDEX(brgy_target!F:F, MATCH(B41, brgy_target!A:A, 0)),"")</f>
        <v>15</v>
      </c>
      <c r="E41" s="67">
        <f t="shared" si="1"/>
        <v>1</v>
      </c>
      <c r="F41" s="68"/>
      <c r="G41" s="68"/>
      <c r="H41" s="69"/>
      <c r="I41" s="73"/>
      <c r="J41" s="73"/>
    </row>
    <row r="42">
      <c r="A42" s="65" t="str">
        <f t="array" ref="A42">IFERROR(INDEX(data!F:F, MATCH(B42, data!Q:Q, 0)),"")</f>
        <v>team_c</v>
      </c>
      <c r="B42" s="66" t="str">
        <f>IFERROR(__xludf.DUMMYFUNCTION("""COMPUTED_VALUE"""),"H006863")</f>
        <v>H006863</v>
      </c>
      <c r="C42" s="65">
        <f>IFERROR(__xludf.DUMMYFUNCTION("""COMPUTED_VALUE"""),15.0)</f>
        <v>15</v>
      </c>
      <c r="D42" s="65">
        <f t="array" ref="D42">IFERROR(INDEX(brgy_target!F:F, MATCH(B42, brgy_target!A:A, 0)),"")</f>
        <v>15</v>
      </c>
      <c r="E42" s="67">
        <f t="shared" si="1"/>
        <v>1</v>
      </c>
      <c r="F42" s="68"/>
      <c r="G42" s="68"/>
      <c r="H42" s="69"/>
      <c r="I42" s="73"/>
      <c r="J42" s="73"/>
    </row>
    <row r="43">
      <c r="A43" s="65" t="str">
        <f t="array" ref="A43">IFERROR(INDEX(data!F:F, MATCH(B43, data!Q:Q, 0)),"")</f>
        <v>team_e</v>
      </c>
      <c r="B43" s="66" t="str">
        <f>IFERROR(__xludf.DUMMYFUNCTION("""COMPUTED_VALUE"""),"H019096")</f>
        <v>H019096</v>
      </c>
      <c r="C43" s="65">
        <f>IFERROR(__xludf.DUMMYFUNCTION("""COMPUTED_VALUE"""),15.0)</f>
        <v>15</v>
      </c>
      <c r="D43" s="65">
        <f t="array" ref="D43">IFERROR(INDEX(brgy_target!F:F, MATCH(B43, brgy_target!A:A, 0)),"")</f>
        <v>15</v>
      </c>
      <c r="E43" s="67">
        <f t="shared" si="1"/>
        <v>1</v>
      </c>
      <c r="F43" s="68"/>
      <c r="G43" s="68"/>
      <c r="H43" s="69"/>
      <c r="I43" s="73"/>
      <c r="J43" s="73"/>
    </row>
    <row r="44">
      <c r="A44" s="65" t="str">
        <f t="array" ref="A44">IFERROR(INDEX(data!F:F, MATCH(B44, data!Q:Q, 0)),"")</f>
        <v>team_e</v>
      </c>
      <c r="B44" s="66" t="str">
        <f>IFERROR(__xludf.DUMMYFUNCTION("""COMPUTED_VALUE"""),"H019196")</f>
        <v>H019196</v>
      </c>
      <c r="C44" s="65">
        <f>IFERROR(__xludf.DUMMYFUNCTION("""COMPUTED_VALUE"""),14.0)</f>
        <v>14</v>
      </c>
      <c r="D44" s="65">
        <f t="array" ref="D44">IFERROR(INDEX(brgy_target!F:F, MATCH(B44, brgy_target!A:A, 0)),"")</f>
        <v>15</v>
      </c>
      <c r="E44" s="67">
        <f t="shared" si="1"/>
        <v>0.9333333333</v>
      </c>
      <c r="F44" s="68"/>
      <c r="G44" s="68"/>
      <c r="H44" s="69"/>
      <c r="I44" s="73"/>
      <c r="J44" s="73"/>
    </row>
    <row r="45">
      <c r="A45" s="65" t="str">
        <f t="array" ref="A45">IFERROR(INDEX(data!F:F, MATCH(B45, data!Q:Q, 0)),"")</f>
        <v>team_f</v>
      </c>
      <c r="B45" s="66" t="str">
        <f>IFERROR(__xludf.DUMMYFUNCTION("""COMPUTED_VALUE"""),"H019227")</f>
        <v>H019227</v>
      </c>
      <c r="C45" s="65">
        <f>IFERROR(__xludf.DUMMYFUNCTION("""COMPUTED_VALUE"""),15.0)</f>
        <v>15</v>
      </c>
      <c r="D45" s="65">
        <f t="array" ref="D45">IFERROR(INDEX(brgy_target!F:F, MATCH(B45, brgy_target!A:A, 0)),"")</f>
        <v>15</v>
      </c>
      <c r="E45" s="67">
        <f t="shared" si="1"/>
        <v>1</v>
      </c>
      <c r="F45" s="68"/>
      <c r="G45" s="68"/>
      <c r="H45" s="69"/>
      <c r="I45" s="73"/>
      <c r="J45" s="73"/>
    </row>
    <row r="46">
      <c r="A46" s="65" t="str">
        <f t="array" ref="A46">IFERROR(INDEX(data!F:F, MATCH(B46, data!Q:Q, 0)),"")</f>
        <v>team_f</v>
      </c>
      <c r="B46" s="66" t="str">
        <f>IFERROR(__xludf.DUMMYFUNCTION("""COMPUTED_VALUE"""),"H019277")</f>
        <v>H019277</v>
      </c>
      <c r="C46" s="65">
        <f>IFERROR(__xludf.DUMMYFUNCTION("""COMPUTED_VALUE"""),12.0)</f>
        <v>12</v>
      </c>
      <c r="D46" s="65">
        <f t="array" ref="D46">IFERROR(INDEX(brgy_target!F:F, MATCH(B46, brgy_target!A:A, 0)),"")</f>
        <v>13</v>
      </c>
      <c r="E46" s="67">
        <f t="shared" si="1"/>
        <v>0.9230769231</v>
      </c>
      <c r="F46" s="68"/>
      <c r="G46" s="68"/>
      <c r="H46" s="69"/>
      <c r="I46" s="73"/>
      <c r="J46" s="73"/>
    </row>
    <row r="47">
      <c r="A47" s="65" t="str">
        <f t="array" ref="A47">IFERROR(INDEX(data!F:F, MATCH(B47, data!Q:Q, 0)),"")</f>
        <v>team_e</v>
      </c>
      <c r="B47" s="66" t="str">
        <f>IFERROR(__xludf.DUMMYFUNCTION("""COMPUTED_VALUE"""),"H019412")</f>
        <v>H019412</v>
      </c>
      <c r="C47" s="65">
        <f>IFERROR(__xludf.DUMMYFUNCTION("""COMPUTED_VALUE"""),12.0)</f>
        <v>12</v>
      </c>
      <c r="D47" s="65">
        <f t="array" ref="D47">IFERROR(INDEX(brgy_target!F:F, MATCH(B47, brgy_target!A:A, 0)),"")</f>
        <v>15</v>
      </c>
      <c r="E47" s="67">
        <f t="shared" si="1"/>
        <v>0.8</v>
      </c>
      <c r="F47" s="68"/>
      <c r="G47" s="68"/>
      <c r="H47" s="69"/>
      <c r="I47" s="73"/>
      <c r="J47" s="73"/>
    </row>
    <row r="48">
      <c r="A48" s="65" t="str">
        <f t="array" ref="A48">IFERROR(INDEX(data!F:F, MATCH(B48, data!Q:Q, 0)),"")</f>
        <v>team_e</v>
      </c>
      <c r="B48" s="66" t="str">
        <f>IFERROR(__xludf.DUMMYFUNCTION("""COMPUTED_VALUE"""),"H019423")</f>
        <v>H019423</v>
      </c>
      <c r="C48" s="65">
        <f>IFERROR(__xludf.DUMMYFUNCTION("""COMPUTED_VALUE"""),15.0)</f>
        <v>15</v>
      </c>
      <c r="D48" s="65">
        <f t="array" ref="D48">IFERROR(INDEX(brgy_target!F:F, MATCH(B48, brgy_target!A:A, 0)),"")</f>
        <v>15</v>
      </c>
      <c r="E48" s="67">
        <f t="shared" si="1"/>
        <v>1</v>
      </c>
      <c r="F48" s="68"/>
      <c r="G48" s="68"/>
      <c r="H48" s="69"/>
      <c r="I48" s="73"/>
      <c r="J48" s="73"/>
    </row>
    <row r="49">
      <c r="A49" s="65" t="str">
        <f t="array" ref="A49">IFERROR(INDEX(data!F:F, MATCH(B49, data!Q:Q, 0)),"")</f>
        <v>team_e</v>
      </c>
      <c r="B49" s="66" t="str">
        <f>IFERROR(__xludf.DUMMYFUNCTION("""COMPUTED_VALUE"""),"H019429")</f>
        <v>H019429</v>
      </c>
      <c r="C49" s="65">
        <f>IFERROR(__xludf.DUMMYFUNCTION("""COMPUTED_VALUE"""),15.0)</f>
        <v>15</v>
      </c>
      <c r="D49" s="65">
        <f t="array" ref="D49">IFERROR(INDEX(brgy_target!F:F, MATCH(B49, brgy_target!A:A, 0)),"")</f>
        <v>15</v>
      </c>
      <c r="E49" s="67">
        <f t="shared" si="1"/>
        <v>1</v>
      </c>
      <c r="F49" s="68"/>
      <c r="G49" s="68"/>
      <c r="H49" s="69"/>
      <c r="I49" s="73"/>
      <c r="J49" s="73"/>
    </row>
    <row r="50">
      <c r="A50" s="65" t="str">
        <f t="array" ref="A50">IFERROR(INDEX(data!F:F, MATCH(B50, data!Q:Q, 0)),"")</f>
        <v>team_f</v>
      </c>
      <c r="B50" s="66" t="str">
        <f>IFERROR(__xludf.DUMMYFUNCTION("""COMPUTED_VALUE"""),"H019447")</f>
        <v>H019447</v>
      </c>
      <c r="C50" s="65">
        <f>IFERROR(__xludf.DUMMYFUNCTION("""COMPUTED_VALUE"""),15.0)</f>
        <v>15</v>
      </c>
      <c r="D50" s="65">
        <f t="array" ref="D50">IFERROR(INDEX(brgy_target!F:F, MATCH(B50, brgy_target!A:A, 0)),"")</f>
        <v>15</v>
      </c>
      <c r="E50" s="67">
        <f t="shared" si="1"/>
        <v>1</v>
      </c>
      <c r="F50" s="68"/>
      <c r="G50" s="68"/>
      <c r="H50" s="69"/>
      <c r="I50" s="73"/>
      <c r="J50" s="73"/>
    </row>
    <row r="51">
      <c r="A51" s="65" t="str">
        <f t="array" ref="A51">IFERROR(INDEX(data!F:F, MATCH(B51, data!Q:Q, 0)),"")</f>
        <v>team_f</v>
      </c>
      <c r="B51" s="66" t="str">
        <f>IFERROR(__xludf.DUMMYFUNCTION("""COMPUTED_VALUE"""),"H019499")</f>
        <v>H019499</v>
      </c>
      <c r="C51" s="65">
        <f>IFERROR(__xludf.DUMMYFUNCTION("""COMPUTED_VALUE"""),15.0)</f>
        <v>15</v>
      </c>
      <c r="D51" s="65">
        <f t="array" ref="D51">IFERROR(INDEX(brgy_target!F:F, MATCH(B51, brgy_target!A:A, 0)),"")</f>
        <v>15</v>
      </c>
      <c r="E51" s="67">
        <f t="shared" si="1"/>
        <v>1</v>
      </c>
      <c r="F51" s="68"/>
      <c r="G51" s="68"/>
      <c r="H51" s="69"/>
      <c r="I51" s="73"/>
      <c r="J51" s="73"/>
    </row>
    <row r="52">
      <c r="A52" s="65" t="str">
        <f t="array" ref="A52">IFERROR(INDEX(data!F:F, MATCH(B52, data!Q:Q, 0)),"")</f>
        <v>team_e</v>
      </c>
      <c r="B52" s="66" t="str">
        <f>IFERROR(__xludf.DUMMYFUNCTION("""COMPUTED_VALUE"""),"H019500")</f>
        <v>H019500</v>
      </c>
      <c r="C52" s="65">
        <f>IFERROR(__xludf.DUMMYFUNCTION("""COMPUTED_VALUE"""),13.0)</f>
        <v>13</v>
      </c>
      <c r="D52" s="65">
        <f t="array" ref="D52">IFERROR(INDEX(brgy_target!F:F, MATCH(B52, brgy_target!A:A, 0)),"")</f>
        <v>15</v>
      </c>
      <c r="E52" s="67">
        <f t="shared" si="1"/>
        <v>0.8666666667</v>
      </c>
      <c r="F52" s="68"/>
      <c r="G52" s="68"/>
      <c r="H52" s="69"/>
      <c r="I52" s="73"/>
      <c r="J52" s="73"/>
    </row>
    <row r="53">
      <c r="A53" s="65" t="str">
        <f t="array" ref="A53">IFERROR(INDEX(data!F:F, MATCH(B53, data!Q:Q, 0)),"")</f>
        <v>team_e</v>
      </c>
      <c r="B53" s="66" t="str">
        <f>IFERROR(__xludf.DUMMYFUNCTION("""COMPUTED_VALUE"""),"H019505")</f>
        <v>H019505</v>
      </c>
      <c r="C53" s="65">
        <f>IFERROR(__xludf.DUMMYFUNCTION("""COMPUTED_VALUE"""),13.0)</f>
        <v>13</v>
      </c>
      <c r="D53" s="65">
        <f t="array" ref="D53">IFERROR(INDEX(brgy_target!F:F, MATCH(B53, brgy_target!A:A, 0)),"")</f>
        <v>13</v>
      </c>
      <c r="E53" s="67">
        <f t="shared" si="1"/>
        <v>1</v>
      </c>
      <c r="F53" s="68"/>
      <c r="G53" s="68"/>
      <c r="H53" s="69"/>
      <c r="I53" s="73"/>
      <c r="J53" s="73"/>
    </row>
    <row r="54">
      <c r="A54" s="65" t="str">
        <f t="array" ref="A54">IFERROR(INDEX(data!F:F, MATCH(B54, data!Q:Q, 0)),"")</f>
        <v>team_e</v>
      </c>
      <c r="B54" s="66" t="str">
        <f>IFERROR(__xludf.DUMMYFUNCTION("""COMPUTED_VALUE"""),"H019506")</f>
        <v>H019506</v>
      </c>
      <c r="C54" s="65">
        <f>IFERROR(__xludf.DUMMYFUNCTION("""COMPUTED_VALUE"""),12.0)</f>
        <v>12</v>
      </c>
      <c r="D54" s="65">
        <f t="array" ref="D54">IFERROR(INDEX(brgy_target!F:F, MATCH(B54, brgy_target!A:A, 0)),"")</f>
        <v>15</v>
      </c>
      <c r="E54" s="67">
        <f t="shared" si="1"/>
        <v>0.8</v>
      </c>
      <c r="F54" s="68"/>
      <c r="G54" s="68"/>
      <c r="H54" s="69"/>
      <c r="I54" s="73"/>
      <c r="J54" s="73"/>
    </row>
    <row r="55">
      <c r="A55" s="65" t="str">
        <f t="array" ref="A55">IFERROR(INDEX(data!F:F, MATCH(B55, data!Q:Q, 0)),"")</f>
        <v>team_e</v>
      </c>
      <c r="B55" s="66" t="str">
        <f>IFERROR(__xludf.DUMMYFUNCTION("""COMPUTED_VALUE"""),"H019559")</f>
        <v>H019559</v>
      </c>
      <c r="C55" s="65">
        <f>IFERROR(__xludf.DUMMYFUNCTION("""COMPUTED_VALUE"""),11.0)</f>
        <v>11</v>
      </c>
      <c r="D55" s="65">
        <f t="array" ref="D55">IFERROR(INDEX(brgy_target!F:F, MATCH(B55, brgy_target!A:A, 0)),"")</f>
        <v>13</v>
      </c>
      <c r="E55" s="67">
        <f t="shared" si="1"/>
        <v>0.8461538462</v>
      </c>
      <c r="F55" s="68"/>
      <c r="G55" s="68"/>
      <c r="H55" s="69"/>
      <c r="I55" s="73"/>
      <c r="J55" s="73"/>
    </row>
    <row r="56">
      <c r="A56" s="65" t="str">
        <f t="array" ref="A56">IFERROR(INDEX(data!F:F, MATCH(B56, data!Q:Q, 0)),"")</f>
        <v>team_f</v>
      </c>
      <c r="B56" s="66" t="str">
        <f>IFERROR(__xludf.DUMMYFUNCTION("""COMPUTED_VALUE"""),"H019575")</f>
        <v>H019575</v>
      </c>
      <c r="C56" s="65">
        <f>IFERROR(__xludf.DUMMYFUNCTION("""COMPUTED_VALUE"""),12.0)</f>
        <v>12</v>
      </c>
      <c r="D56" s="65">
        <f t="array" ref="D56">IFERROR(INDEX(brgy_target!F:F, MATCH(B56, brgy_target!A:A, 0)),"")</f>
        <v>13</v>
      </c>
      <c r="E56" s="67">
        <f t="shared" si="1"/>
        <v>0.9230769231</v>
      </c>
      <c r="F56" s="68"/>
      <c r="G56" s="68"/>
      <c r="H56" s="69"/>
      <c r="I56" s="73"/>
      <c r="J56" s="73"/>
    </row>
    <row r="57">
      <c r="A57" s="65" t="str">
        <f t="array" ref="A57">IFERROR(INDEX(data!F:F, MATCH(B57, data!Q:Q, 0)),"")</f>
        <v>team_f</v>
      </c>
      <c r="B57" s="66" t="str">
        <f>IFERROR(__xludf.DUMMYFUNCTION("""COMPUTED_VALUE"""),"H019589")</f>
        <v>H019589</v>
      </c>
      <c r="C57" s="65">
        <f>IFERROR(__xludf.DUMMYFUNCTION("""COMPUTED_VALUE"""),13.0)</f>
        <v>13</v>
      </c>
      <c r="D57" s="65">
        <f t="array" ref="D57">IFERROR(INDEX(brgy_target!F:F, MATCH(B57, brgy_target!A:A, 0)),"")</f>
        <v>15</v>
      </c>
      <c r="E57" s="67">
        <f t="shared" si="1"/>
        <v>0.8666666667</v>
      </c>
      <c r="F57" s="68"/>
      <c r="G57" s="68"/>
      <c r="H57" s="69"/>
      <c r="I57" s="73"/>
      <c r="J57" s="73"/>
    </row>
    <row r="58">
      <c r="A58" s="65" t="str">
        <f t="array" ref="A58">IFERROR(INDEX(data!F:F, MATCH(B58, data!Q:Q, 0)),"")</f>
        <v>team_f</v>
      </c>
      <c r="B58" s="66" t="str">
        <f>IFERROR(__xludf.DUMMYFUNCTION("""COMPUTED_VALUE"""),"H019591")</f>
        <v>H019591</v>
      </c>
      <c r="C58" s="65">
        <f>IFERROR(__xludf.DUMMYFUNCTION("""COMPUTED_VALUE"""),14.0)</f>
        <v>14</v>
      </c>
      <c r="D58" s="65">
        <f t="array" ref="D58">IFERROR(INDEX(brgy_target!F:F, MATCH(B58, brgy_target!A:A, 0)),"")</f>
        <v>15</v>
      </c>
      <c r="E58" s="67">
        <f t="shared" si="1"/>
        <v>0.9333333333</v>
      </c>
      <c r="F58" s="68"/>
      <c r="G58" s="68"/>
      <c r="H58" s="69"/>
      <c r="I58" s="73"/>
      <c r="J58" s="73"/>
    </row>
    <row r="59">
      <c r="A59" s="65" t="str">
        <f t="array" ref="A59">IFERROR(INDEX(data!F:F, MATCH(B59, data!Q:Q, 0)),"")</f>
        <v>team_e</v>
      </c>
      <c r="B59" s="66" t="str">
        <f>IFERROR(__xludf.DUMMYFUNCTION("""COMPUTED_VALUE"""),"H019611")</f>
        <v>H019611</v>
      </c>
      <c r="C59" s="65">
        <f>IFERROR(__xludf.DUMMYFUNCTION("""COMPUTED_VALUE"""),14.0)</f>
        <v>14</v>
      </c>
      <c r="D59" s="65">
        <f t="array" ref="D59">IFERROR(INDEX(brgy_target!F:F, MATCH(B59, brgy_target!A:A, 0)),"")</f>
        <v>15</v>
      </c>
      <c r="E59" s="67">
        <f t="shared" si="1"/>
        <v>0.9333333333</v>
      </c>
      <c r="F59" s="68"/>
      <c r="G59" s="68"/>
      <c r="H59" s="69"/>
      <c r="I59" s="73"/>
      <c r="J59" s="73"/>
    </row>
    <row r="60">
      <c r="A60" s="65" t="str">
        <f t="array" ref="A60">IFERROR(INDEX(data!F:F, MATCH(B60, data!Q:Q, 0)),"")</f>
        <v>team_f</v>
      </c>
      <c r="B60" s="66" t="str">
        <f>IFERROR(__xludf.DUMMYFUNCTION("""COMPUTED_VALUE"""),"H019625")</f>
        <v>H019625</v>
      </c>
      <c r="C60" s="65">
        <f>IFERROR(__xludf.DUMMYFUNCTION("""COMPUTED_VALUE"""),15.0)</f>
        <v>15</v>
      </c>
      <c r="D60" s="65">
        <f t="array" ref="D60">IFERROR(INDEX(brgy_target!F:F, MATCH(B60, brgy_target!A:A, 0)),"")</f>
        <v>15</v>
      </c>
      <c r="E60" s="67">
        <f t="shared" si="1"/>
        <v>1</v>
      </c>
      <c r="F60" s="68"/>
      <c r="G60" s="68"/>
      <c r="H60" s="69"/>
      <c r="I60" s="73"/>
      <c r="J60" s="73"/>
    </row>
    <row r="61">
      <c r="A61" s="65" t="str">
        <f t="array" ref="A61">IFERROR(INDEX(data!F:F, MATCH(B61, data!Q:Q, 0)),"")</f>
        <v>team_e</v>
      </c>
      <c r="B61" s="66" t="str">
        <f>IFERROR(__xludf.DUMMYFUNCTION("""COMPUTED_VALUE"""),"H019687")</f>
        <v>H019687</v>
      </c>
      <c r="C61" s="65">
        <f>IFERROR(__xludf.DUMMYFUNCTION("""COMPUTED_VALUE"""),15.0)</f>
        <v>15</v>
      </c>
      <c r="D61" s="65">
        <f t="array" ref="D61">IFERROR(INDEX(brgy_target!F:F, MATCH(B61, brgy_target!A:A, 0)),"")</f>
        <v>15</v>
      </c>
      <c r="E61" s="67">
        <f t="shared" si="1"/>
        <v>1</v>
      </c>
      <c r="F61" s="68"/>
      <c r="G61" s="68"/>
      <c r="H61" s="69"/>
      <c r="I61" s="73"/>
      <c r="J61" s="73"/>
    </row>
    <row r="62">
      <c r="A62" s="65" t="str">
        <f t="array" ref="A62">IFERROR(INDEX(data!F:F, MATCH(B62, data!Q:Q, 0)),"")</f>
        <v>team_f</v>
      </c>
      <c r="B62" s="66" t="str">
        <f>IFERROR(__xludf.DUMMYFUNCTION("""COMPUTED_VALUE"""),"H019728")</f>
        <v>H019728</v>
      </c>
      <c r="C62" s="65">
        <f>IFERROR(__xludf.DUMMYFUNCTION("""COMPUTED_VALUE"""),13.0)</f>
        <v>13</v>
      </c>
      <c r="D62" s="65">
        <f t="array" ref="D62">IFERROR(INDEX(brgy_target!F:F, MATCH(B62, brgy_target!A:A, 0)),"")</f>
        <v>13</v>
      </c>
      <c r="E62" s="67">
        <f t="shared" si="1"/>
        <v>1</v>
      </c>
      <c r="F62" s="68"/>
      <c r="G62" s="68"/>
      <c r="H62" s="69"/>
      <c r="I62" s="73"/>
      <c r="J62" s="73"/>
    </row>
    <row r="63">
      <c r="A63" s="65" t="str">
        <f t="array" ref="A63">IFERROR(INDEX(data!F:F, MATCH(B63, data!Q:Q, 0)),"")</f>
        <v>team_f</v>
      </c>
      <c r="B63" s="66" t="str">
        <f>IFERROR(__xludf.DUMMYFUNCTION("""COMPUTED_VALUE"""),"H019820")</f>
        <v>H019820</v>
      </c>
      <c r="C63" s="65">
        <f>IFERROR(__xludf.DUMMYFUNCTION("""COMPUTED_VALUE"""),12.0)</f>
        <v>12</v>
      </c>
      <c r="D63" s="65">
        <f t="array" ref="D63">IFERROR(INDEX(brgy_target!F:F, MATCH(B63, brgy_target!A:A, 0)),"")</f>
        <v>13</v>
      </c>
      <c r="E63" s="67">
        <f t="shared" si="1"/>
        <v>0.9230769231</v>
      </c>
      <c r="F63" s="68"/>
      <c r="G63" s="68"/>
      <c r="H63" s="69"/>
      <c r="I63" s="73"/>
      <c r="J63" s="73"/>
    </row>
    <row r="64">
      <c r="A64" s="65" t="str">
        <f t="array" ref="A64">IFERROR(INDEX(data!F:F, MATCH(B64, data!Q:Q, 0)),"")</f>
        <v>team_f</v>
      </c>
      <c r="B64" s="66" t="str">
        <f>IFERROR(__xludf.DUMMYFUNCTION("""COMPUTED_VALUE"""),"H019838")</f>
        <v>H019838</v>
      </c>
      <c r="C64" s="65">
        <f>IFERROR(__xludf.DUMMYFUNCTION("""COMPUTED_VALUE"""),15.0)</f>
        <v>15</v>
      </c>
      <c r="D64" s="65">
        <f t="array" ref="D64">IFERROR(INDEX(brgy_target!F:F, MATCH(B64, brgy_target!A:A, 0)),"")</f>
        <v>15</v>
      </c>
      <c r="E64" s="67">
        <f t="shared" si="1"/>
        <v>1</v>
      </c>
      <c r="F64" s="68"/>
      <c r="G64" s="68"/>
      <c r="H64" s="69"/>
      <c r="I64" s="73"/>
      <c r="J64" s="73"/>
    </row>
    <row r="65">
      <c r="A65" s="65" t="str">
        <f t="array" ref="A65">IFERROR(INDEX(data!F:F, MATCH(B65, data!Q:Q, 0)),"")</f>
        <v>team_d</v>
      </c>
      <c r="B65" s="66" t="str">
        <f>IFERROR(__xludf.DUMMYFUNCTION("""COMPUTED_VALUE"""),"H030004")</f>
        <v>H030004</v>
      </c>
      <c r="C65" s="65">
        <f>IFERROR(__xludf.DUMMYFUNCTION("""COMPUTED_VALUE"""),15.0)</f>
        <v>15</v>
      </c>
      <c r="D65" s="65">
        <f t="array" ref="D65">IFERROR(INDEX(brgy_target!F:F, MATCH(B65, brgy_target!A:A, 0)),"")</f>
        <v>15</v>
      </c>
      <c r="E65" s="67">
        <f t="shared" si="1"/>
        <v>1</v>
      </c>
      <c r="F65" s="68"/>
      <c r="G65" s="68"/>
      <c r="H65" s="69"/>
      <c r="I65" s="73"/>
      <c r="J65" s="73"/>
    </row>
    <row r="66">
      <c r="A66" s="65" t="str">
        <f t="array" ref="A66">IFERROR(INDEX(data!F:F, MATCH(B66, data!Q:Q, 0)),"")</f>
        <v>team_b</v>
      </c>
      <c r="B66" s="66" t="str">
        <f>IFERROR(__xludf.DUMMYFUNCTION("""COMPUTED_VALUE"""),"H030015")</f>
        <v>H030015</v>
      </c>
      <c r="C66" s="65">
        <f>IFERROR(__xludf.DUMMYFUNCTION("""COMPUTED_VALUE"""),10.0)</f>
        <v>10</v>
      </c>
      <c r="D66" s="65">
        <f t="array" ref="D66">IFERROR(INDEX(brgy_target!F:F, MATCH(B66, brgy_target!A:A, 0)),"")</f>
        <v>13</v>
      </c>
      <c r="E66" s="67">
        <f t="shared" si="1"/>
        <v>0.7692307692</v>
      </c>
      <c r="F66" s="68"/>
      <c r="G66" s="68"/>
      <c r="H66" s="69"/>
      <c r="I66" s="73"/>
      <c r="J66" s="73"/>
    </row>
    <row r="67">
      <c r="A67" s="65" t="str">
        <f t="array" ref="A67">IFERROR(INDEX(data!F:F, MATCH(B67, data!Q:Q, 0)),"")</f>
        <v>team_a</v>
      </c>
      <c r="B67" s="66" t="str">
        <f>IFERROR(__xludf.DUMMYFUNCTION("""COMPUTED_VALUE"""),"H030031")</f>
        <v>H030031</v>
      </c>
      <c r="C67" s="65">
        <f>IFERROR(__xludf.DUMMYFUNCTION("""COMPUTED_VALUE"""),15.0)</f>
        <v>15</v>
      </c>
      <c r="D67" s="65">
        <f t="array" ref="D67">IFERROR(INDEX(brgy_target!F:F, MATCH(B67, brgy_target!A:A, 0)),"")</f>
        <v>15</v>
      </c>
      <c r="E67" s="67">
        <f t="shared" si="1"/>
        <v>1</v>
      </c>
      <c r="F67" s="68"/>
      <c r="G67" s="68"/>
      <c r="H67" s="69"/>
      <c r="I67" s="73"/>
      <c r="J67" s="73"/>
    </row>
    <row r="68">
      <c r="A68" s="65" t="str">
        <f t="array" ref="A68">IFERROR(INDEX(data!F:F, MATCH(B68, data!Q:Q, 0)),"")</f>
        <v>team_b</v>
      </c>
      <c r="B68" s="66" t="str">
        <f>IFERROR(__xludf.DUMMYFUNCTION("""COMPUTED_VALUE"""),"H030048")</f>
        <v>H030048</v>
      </c>
      <c r="C68" s="65">
        <f>IFERROR(__xludf.DUMMYFUNCTION("""COMPUTED_VALUE"""),14.0)</f>
        <v>14</v>
      </c>
      <c r="D68" s="65">
        <f t="array" ref="D68">IFERROR(INDEX(brgy_target!F:F, MATCH(B68, brgy_target!A:A, 0)),"")</f>
        <v>15</v>
      </c>
      <c r="E68" s="67">
        <f t="shared" si="1"/>
        <v>0.9333333333</v>
      </c>
      <c r="F68" s="68"/>
      <c r="G68" s="68"/>
      <c r="H68" s="69"/>
      <c r="I68" s="73"/>
      <c r="J68" s="73"/>
    </row>
    <row r="69">
      <c r="A69" s="65" t="str">
        <f t="array" ref="A69">IFERROR(INDEX(data!F:F, MATCH(B69, data!Q:Q, 0)),"")</f>
        <v>team_a</v>
      </c>
      <c r="B69" s="66" t="str">
        <f>IFERROR(__xludf.DUMMYFUNCTION("""COMPUTED_VALUE"""),"H030060")</f>
        <v>H030060</v>
      </c>
      <c r="C69" s="65">
        <f>IFERROR(__xludf.DUMMYFUNCTION("""COMPUTED_VALUE"""),13.0)</f>
        <v>13</v>
      </c>
      <c r="D69" s="65">
        <f t="array" ref="D69">IFERROR(INDEX(brgy_target!F:F, MATCH(B69, brgy_target!A:A, 0)),"")</f>
        <v>14</v>
      </c>
      <c r="E69" s="67">
        <f t="shared" si="1"/>
        <v>0.9285714286</v>
      </c>
      <c r="F69" s="68"/>
      <c r="G69" s="68"/>
      <c r="H69" s="69"/>
      <c r="I69" s="73"/>
      <c r="J69" s="73"/>
    </row>
    <row r="70">
      <c r="A70" s="65" t="str">
        <f t="array" ref="A70">IFERROR(INDEX(data!F:F, MATCH(B70, data!Q:Q, 0)),"")</f>
        <v>team_c</v>
      </c>
      <c r="B70" s="66" t="str">
        <f>IFERROR(__xludf.DUMMYFUNCTION("""COMPUTED_VALUE"""),"H030076")</f>
        <v>H030076</v>
      </c>
      <c r="C70" s="65">
        <f>IFERROR(__xludf.DUMMYFUNCTION("""COMPUTED_VALUE"""),14.0)</f>
        <v>14</v>
      </c>
      <c r="D70" s="65">
        <f t="array" ref="D70">IFERROR(INDEX(brgy_target!F:F, MATCH(B70, brgy_target!A:A, 0)),"")</f>
        <v>15</v>
      </c>
      <c r="E70" s="67">
        <f t="shared" si="1"/>
        <v>0.9333333333</v>
      </c>
      <c r="F70" s="68"/>
      <c r="G70" s="68"/>
      <c r="H70" s="69"/>
      <c r="I70" s="73"/>
      <c r="J70" s="73"/>
    </row>
    <row r="71">
      <c r="A71" s="65" t="str">
        <f t="array" ref="A71">IFERROR(INDEX(data!F:F, MATCH(B71, data!Q:Q, 0)),"")</f>
        <v>team_d</v>
      </c>
      <c r="B71" s="66" t="str">
        <f>IFERROR(__xludf.DUMMYFUNCTION("""COMPUTED_VALUE"""),"H030106")</f>
        <v>H030106</v>
      </c>
      <c r="C71" s="65">
        <f>IFERROR(__xludf.DUMMYFUNCTION("""COMPUTED_VALUE"""),12.0)</f>
        <v>12</v>
      </c>
      <c r="D71" s="65">
        <f t="array" ref="D71">IFERROR(INDEX(brgy_target!F:F, MATCH(B71, brgy_target!A:A, 0)),"")</f>
        <v>14</v>
      </c>
      <c r="E71" s="67">
        <f t="shared" si="1"/>
        <v>0.8571428571</v>
      </c>
      <c r="F71" s="68"/>
      <c r="G71" s="68"/>
      <c r="H71" s="69"/>
      <c r="I71" s="73"/>
      <c r="J71" s="73"/>
    </row>
    <row r="72">
      <c r="A72" s="65" t="str">
        <f t="array" ref="A72">IFERROR(INDEX(data!F:F, MATCH(B72, data!Q:Q, 0)),"")</f>
        <v>team_a</v>
      </c>
      <c r="B72" s="66" t="str">
        <f>IFERROR(__xludf.DUMMYFUNCTION("""COMPUTED_VALUE"""),"H030129")</f>
        <v>H030129</v>
      </c>
      <c r="C72" s="65">
        <f>IFERROR(__xludf.DUMMYFUNCTION("""COMPUTED_VALUE"""),15.0)</f>
        <v>15</v>
      </c>
      <c r="D72" s="65">
        <f t="array" ref="D72">IFERROR(INDEX(brgy_target!F:F, MATCH(B72, brgy_target!A:A, 0)),"")</f>
        <v>15</v>
      </c>
      <c r="E72" s="67">
        <f t="shared" si="1"/>
        <v>1</v>
      </c>
      <c r="F72" s="68"/>
      <c r="G72" s="68"/>
      <c r="H72" s="69"/>
      <c r="I72" s="73"/>
      <c r="J72" s="73"/>
    </row>
    <row r="73">
      <c r="A73" s="65" t="str">
        <f t="array" ref="A73">IFERROR(INDEX(data!F:F, MATCH(B73, data!Q:Q, 0)),"")</f>
        <v>team_b</v>
      </c>
      <c r="B73" s="66" t="str">
        <f>IFERROR(__xludf.DUMMYFUNCTION("""COMPUTED_VALUE"""),"H030160")</f>
        <v>H030160</v>
      </c>
      <c r="C73" s="65">
        <f>IFERROR(__xludf.DUMMYFUNCTION("""COMPUTED_VALUE"""),14.0)</f>
        <v>14</v>
      </c>
      <c r="D73" s="65">
        <f t="array" ref="D73">IFERROR(INDEX(brgy_target!F:F, MATCH(B73, brgy_target!A:A, 0)),"")</f>
        <v>15</v>
      </c>
      <c r="E73" s="67">
        <f t="shared" si="1"/>
        <v>0.9333333333</v>
      </c>
      <c r="F73" s="68"/>
      <c r="G73" s="68"/>
      <c r="H73" s="69"/>
      <c r="I73" s="73"/>
      <c r="J73" s="73"/>
    </row>
    <row r="74">
      <c r="A74" s="65" t="str">
        <f t="array" ref="A74">IFERROR(INDEX(data!F:F, MATCH(B74, data!Q:Q, 0)),"")</f>
        <v>team_a</v>
      </c>
      <c r="B74" s="66" t="str">
        <f>IFERROR(__xludf.DUMMYFUNCTION("""COMPUTED_VALUE"""),"H030173")</f>
        <v>H030173</v>
      </c>
      <c r="C74" s="65">
        <f>IFERROR(__xludf.DUMMYFUNCTION("""COMPUTED_VALUE"""),14.0)</f>
        <v>14</v>
      </c>
      <c r="D74" s="65">
        <f t="array" ref="D74">IFERROR(INDEX(brgy_target!F:F, MATCH(B74, brgy_target!A:A, 0)),"")</f>
        <v>15</v>
      </c>
      <c r="E74" s="67">
        <f t="shared" si="1"/>
        <v>0.9333333333</v>
      </c>
      <c r="F74" s="68"/>
      <c r="G74" s="68"/>
      <c r="H74" s="69"/>
      <c r="I74" s="73"/>
      <c r="J74" s="73"/>
    </row>
    <row r="75">
      <c r="A75" s="65" t="str">
        <f t="array" ref="A75">IFERROR(INDEX(data!F:F, MATCH(B75, data!Q:Q, 0)),"")</f>
        <v>team_d</v>
      </c>
      <c r="B75" s="66" t="str">
        <f>IFERROR(__xludf.DUMMYFUNCTION("""COMPUTED_VALUE"""),"H030179")</f>
        <v>H030179</v>
      </c>
      <c r="C75" s="65">
        <f>IFERROR(__xludf.DUMMYFUNCTION("""COMPUTED_VALUE"""),13.0)</f>
        <v>13</v>
      </c>
      <c r="D75" s="65">
        <f t="array" ref="D75">IFERROR(INDEX(brgy_target!F:F, MATCH(B75, brgy_target!A:A, 0)),"")</f>
        <v>14</v>
      </c>
      <c r="E75" s="67">
        <f t="shared" si="1"/>
        <v>0.9285714286</v>
      </c>
      <c r="F75" s="68"/>
      <c r="G75" s="68"/>
      <c r="H75" s="69"/>
      <c r="I75" s="73"/>
      <c r="J75" s="73"/>
    </row>
    <row r="76">
      <c r="A76" s="65" t="str">
        <f t="array" ref="A76">IFERROR(INDEX(data!F:F, MATCH(B76, data!Q:Q, 0)),"")</f>
        <v>team_a</v>
      </c>
      <c r="B76" s="66" t="str">
        <f>IFERROR(__xludf.DUMMYFUNCTION("""COMPUTED_VALUE"""),"H030195")</f>
        <v>H030195</v>
      </c>
      <c r="C76" s="65">
        <f>IFERROR(__xludf.DUMMYFUNCTION("""COMPUTED_VALUE"""),14.0)</f>
        <v>14</v>
      </c>
      <c r="D76" s="65">
        <f t="array" ref="D76">IFERROR(INDEX(brgy_target!F:F, MATCH(B76, brgy_target!A:A, 0)),"")</f>
        <v>15</v>
      </c>
      <c r="E76" s="67">
        <f t="shared" si="1"/>
        <v>0.9333333333</v>
      </c>
      <c r="F76" s="68"/>
      <c r="G76" s="68"/>
      <c r="H76" s="69"/>
      <c r="I76" s="73"/>
      <c r="J76" s="73"/>
    </row>
    <row r="77">
      <c r="A77" s="65" t="str">
        <f t="array" ref="A77">IFERROR(INDEX(data!F:F, MATCH(B77, data!Q:Q, 0)),"")</f>
        <v>team_b</v>
      </c>
      <c r="B77" s="66" t="str">
        <f>IFERROR(__xludf.DUMMYFUNCTION("""COMPUTED_VALUE"""),"H030200")</f>
        <v>H030200</v>
      </c>
      <c r="C77" s="65">
        <f>IFERROR(__xludf.DUMMYFUNCTION("""COMPUTED_VALUE"""),14.0)</f>
        <v>14</v>
      </c>
      <c r="D77" s="65">
        <f t="array" ref="D77">IFERROR(INDEX(brgy_target!F:F, MATCH(B77, brgy_target!A:A, 0)),"")</f>
        <v>15</v>
      </c>
      <c r="E77" s="67">
        <f t="shared" si="1"/>
        <v>0.9333333333</v>
      </c>
      <c r="F77" s="68"/>
      <c r="G77" s="68"/>
      <c r="H77" s="69"/>
      <c r="I77" s="73"/>
      <c r="J77" s="73"/>
    </row>
    <row r="78">
      <c r="A78" s="65" t="str">
        <f t="array" ref="A78">IFERROR(INDEX(data!F:F, MATCH(B78, data!Q:Q, 0)),"")</f>
        <v>team_a</v>
      </c>
      <c r="B78" s="66" t="str">
        <f>IFERROR(__xludf.DUMMYFUNCTION("""COMPUTED_VALUE"""),"H030214")</f>
        <v>H030214</v>
      </c>
      <c r="C78" s="65">
        <f>IFERROR(__xludf.DUMMYFUNCTION("""COMPUTED_VALUE"""),11.0)</f>
        <v>11</v>
      </c>
      <c r="D78" s="65">
        <f t="array" ref="D78">IFERROR(INDEX(brgy_target!F:F, MATCH(B78, brgy_target!A:A, 0)),"")</f>
        <v>15</v>
      </c>
      <c r="E78" s="67">
        <f t="shared" si="1"/>
        <v>0.7333333333</v>
      </c>
      <c r="F78" s="68"/>
      <c r="G78" s="68"/>
      <c r="H78" s="69"/>
      <c r="I78" s="73"/>
      <c r="J78" s="73"/>
    </row>
    <row r="79">
      <c r="A79" s="65" t="str">
        <f t="array" ref="A79">IFERROR(INDEX(data!F:F, MATCH(B79, data!Q:Q, 0)),"")</f>
        <v>team_a</v>
      </c>
      <c r="B79" s="66" t="str">
        <f>IFERROR(__xludf.DUMMYFUNCTION("""COMPUTED_VALUE"""),"H030244")</f>
        <v>H030244</v>
      </c>
      <c r="C79" s="65">
        <f>IFERROR(__xludf.DUMMYFUNCTION("""COMPUTED_VALUE"""),14.0)</f>
        <v>14</v>
      </c>
      <c r="D79" s="65">
        <f t="array" ref="D79">IFERROR(INDEX(brgy_target!F:F, MATCH(B79, brgy_target!A:A, 0)),"")</f>
        <v>15</v>
      </c>
      <c r="E79" s="67">
        <f t="shared" si="1"/>
        <v>0.9333333333</v>
      </c>
      <c r="F79" s="68"/>
      <c r="G79" s="68"/>
      <c r="H79" s="69"/>
      <c r="I79" s="73"/>
      <c r="J79" s="73"/>
    </row>
    <row r="80">
      <c r="A80" s="65" t="str">
        <f t="array" ref="A80">IFERROR(INDEX(data!F:F, MATCH(B80, data!Q:Q, 0)),"")</f>
        <v>team_d</v>
      </c>
      <c r="B80" s="66" t="str">
        <f>IFERROR(__xludf.DUMMYFUNCTION("""COMPUTED_VALUE"""),"H030255")</f>
        <v>H030255</v>
      </c>
      <c r="C80" s="65">
        <f>IFERROR(__xludf.DUMMYFUNCTION("""COMPUTED_VALUE"""),10.0)</f>
        <v>10</v>
      </c>
      <c r="D80" s="65">
        <f t="array" ref="D80">IFERROR(INDEX(brgy_target!F:F, MATCH(B80, brgy_target!A:A, 0)),"")</f>
        <v>14</v>
      </c>
      <c r="E80" s="67">
        <f t="shared" si="1"/>
        <v>0.7142857143</v>
      </c>
      <c r="F80" s="68"/>
      <c r="G80" s="68"/>
      <c r="H80" s="69"/>
      <c r="I80" s="73"/>
      <c r="J80" s="73"/>
    </row>
    <row r="81">
      <c r="A81" s="65" t="str">
        <f t="array" ref="A81">IFERROR(INDEX(data!F:F, MATCH(B81, data!Q:Q, 0)),"")</f>
        <v>team_c</v>
      </c>
      <c r="B81" s="66" t="str">
        <f>IFERROR(__xludf.DUMMYFUNCTION("""COMPUTED_VALUE"""),"H030264")</f>
        <v>H030264</v>
      </c>
      <c r="C81" s="65">
        <f>IFERROR(__xludf.DUMMYFUNCTION("""COMPUTED_VALUE"""),14.0)</f>
        <v>14</v>
      </c>
      <c r="D81" s="65">
        <f t="array" ref="D81">IFERROR(INDEX(brgy_target!F:F, MATCH(B81, brgy_target!A:A, 0)),"")</f>
        <v>15</v>
      </c>
      <c r="E81" s="67">
        <f t="shared" si="1"/>
        <v>0.9333333333</v>
      </c>
      <c r="F81" s="68"/>
      <c r="G81" s="68"/>
      <c r="H81" s="69"/>
      <c r="I81" s="73"/>
      <c r="J81" s="73"/>
    </row>
    <row r="82">
      <c r="A82" s="65" t="str">
        <f t="array" ref="A82">IFERROR(INDEX(data!F:F, MATCH(B82, data!Q:Q, 0)),"")</f>
        <v>team_a</v>
      </c>
      <c r="B82" s="66" t="str">
        <f>IFERROR(__xludf.DUMMYFUNCTION("""COMPUTED_VALUE"""),"H030270")</f>
        <v>H030270</v>
      </c>
      <c r="C82" s="65">
        <f>IFERROR(__xludf.DUMMYFUNCTION("""COMPUTED_VALUE"""),14.0)</f>
        <v>14</v>
      </c>
      <c r="D82" s="65">
        <f t="array" ref="D82">IFERROR(INDEX(brgy_target!F:F, MATCH(B82, brgy_target!A:A, 0)),"")</f>
        <v>15</v>
      </c>
      <c r="E82" s="67">
        <f t="shared" si="1"/>
        <v>0.9333333333</v>
      </c>
      <c r="F82" s="68"/>
      <c r="G82" s="68"/>
      <c r="H82" s="69"/>
      <c r="I82" s="73"/>
      <c r="J82" s="73"/>
    </row>
    <row r="83">
      <c r="A83" s="65" t="str">
        <f t="array" ref="A83">IFERROR(INDEX(data!F:F, MATCH(B83, data!Q:Q, 0)),"")</f>
        <v>team_b</v>
      </c>
      <c r="B83" s="66" t="str">
        <f>IFERROR(__xludf.DUMMYFUNCTION("""COMPUTED_VALUE"""),"H030310")</f>
        <v>H030310</v>
      </c>
      <c r="C83" s="65">
        <f>IFERROR(__xludf.DUMMYFUNCTION("""COMPUTED_VALUE"""),15.0)</f>
        <v>15</v>
      </c>
      <c r="D83" s="65">
        <f t="array" ref="D83">IFERROR(INDEX(brgy_target!F:F, MATCH(B83, brgy_target!A:A, 0)),"")</f>
        <v>15</v>
      </c>
      <c r="E83" s="67">
        <f t="shared" si="1"/>
        <v>1</v>
      </c>
      <c r="F83" s="68"/>
      <c r="G83" s="68"/>
      <c r="H83" s="69"/>
      <c r="I83" s="73"/>
      <c r="J83" s="73"/>
    </row>
    <row r="84">
      <c r="A84" s="65" t="str">
        <f t="array" ref="A84">IFERROR(INDEX(data!F:F, MATCH(B84, data!Q:Q, 0)),"")</f>
        <v>team_b</v>
      </c>
      <c r="B84" s="66" t="str">
        <f>IFERROR(__xludf.DUMMYFUNCTION("""COMPUTED_VALUE"""),"H030323")</f>
        <v>H030323</v>
      </c>
      <c r="C84" s="65">
        <f>IFERROR(__xludf.DUMMYFUNCTION("""COMPUTED_VALUE"""),13.0)</f>
        <v>13</v>
      </c>
      <c r="D84" s="65">
        <f t="array" ref="D84">IFERROR(INDEX(brgy_target!F:F, MATCH(B84, brgy_target!A:A, 0)),"")</f>
        <v>14</v>
      </c>
      <c r="E84" s="67">
        <f t="shared" si="1"/>
        <v>0.9285714286</v>
      </c>
      <c r="F84" s="68"/>
      <c r="G84" s="68"/>
      <c r="H84" s="69"/>
      <c r="I84" s="73"/>
      <c r="J84" s="73"/>
    </row>
    <row r="85">
      <c r="A85" s="65" t="str">
        <f t="array" ref="A85">IFERROR(INDEX(data!F:F, MATCH(B85, data!Q:Q, 0)),"")</f>
        <v>team_b</v>
      </c>
      <c r="B85" s="66" t="str">
        <f>IFERROR(__xludf.DUMMYFUNCTION("""COMPUTED_VALUE"""),"H030326")</f>
        <v>H030326</v>
      </c>
      <c r="C85" s="65">
        <f>IFERROR(__xludf.DUMMYFUNCTION("""COMPUTED_VALUE"""),14.0)</f>
        <v>14</v>
      </c>
      <c r="D85" s="65">
        <f t="array" ref="D85">IFERROR(INDEX(brgy_target!F:F, MATCH(B85, brgy_target!A:A, 0)),"")</f>
        <v>14</v>
      </c>
      <c r="E85" s="67">
        <f t="shared" si="1"/>
        <v>1</v>
      </c>
      <c r="F85" s="68"/>
      <c r="G85" s="68"/>
      <c r="H85" s="69"/>
      <c r="I85" s="73"/>
      <c r="J85" s="73"/>
    </row>
    <row r="86">
      <c r="A86" s="65" t="str">
        <f t="array" ref="A86">IFERROR(INDEX(data!F:F, MATCH(B86, data!Q:Q, 0)),"")</f>
        <v>team_a</v>
      </c>
      <c r="B86" s="66" t="str">
        <f>IFERROR(__xludf.DUMMYFUNCTION("""COMPUTED_VALUE"""),"H030327")</f>
        <v>H030327</v>
      </c>
      <c r="C86" s="65">
        <f>IFERROR(__xludf.DUMMYFUNCTION("""COMPUTED_VALUE"""),15.0)</f>
        <v>15</v>
      </c>
      <c r="D86" s="65">
        <f t="array" ref="D86">IFERROR(INDEX(brgy_target!F:F, MATCH(B86, brgy_target!A:A, 0)),"")</f>
        <v>15</v>
      </c>
      <c r="E86" s="67">
        <f t="shared" si="1"/>
        <v>1</v>
      </c>
      <c r="F86" s="68"/>
      <c r="G86" s="68"/>
      <c r="H86" s="69"/>
      <c r="I86" s="73"/>
      <c r="J86" s="73"/>
    </row>
    <row r="87">
      <c r="A87" s="65" t="str">
        <f t="array" ref="A87">IFERROR(INDEX(data!F:F, MATCH(B87, data!Q:Q, 0)),"")</f>
        <v>team_a</v>
      </c>
      <c r="B87" s="66" t="str">
        <f>IFERROR(__xludf.DUMMYFUNCTION("""COMPUTED_VALUE"""),"H030332")</f>
        <v>H030332</v>
      </c>
      <c r="C87" s="65">
        <f>IFERROR(__xludf.DUMMYFUNCTION("""COMPUTED_VALUE"""),13.0)</f>
        <v>13</v>
      </c>
      <c r="D87" s="65">
        <f t="array" ref="D87">IFERROR(INDEX(brgy_target!F:F, MATCH(B87, brgy_target!A:A, 0)),"")</f>
        <v>13</v>
      </c>
      <c r="E87" s="67">
        <f t="shared" si="1"/>
        <v>1</v>
      </c>
      <c r="F87" s="68"/>
      <c r="G87" s="68"/>
      <c r="H87" s="69"/>
      <c r="I87" s="73"/>
      <c r="J87" s="73"/>
    </row>
    <row r="88">
      <c r="A88" s="65" t="str">
        <f t="array" ref="A88">IFERROR(INDEX(data!F:F, MATCH(B88, data!Q:Q, 0)),"")</f>
        <v>team_b</v>
      </c>
      <c r="B88" s="66" t="str">
        <f>IFERROR(__xludf.DUMMYFUNCTION("""COMPUTED_VALUE"""),"H030351")</f>
        <v>H030351</v>
      </c>
      <c r="C88" s="65">
        <f>IFERROR(__xludf.DUMMYFUNCTION("""COMPUTED_VALUE"""),14.0)</f>
        <v>14</v>
      </c>
      <c r="D88" s="65">
        <f t="array" ref="D88">IFERROR(INDEX(brgy_target!F:F, MATCH(B88, brgy_target!A:A, 0)),"")</f>
        <v>14</v>
      </c>
      <c r="E88" s="67">
        <f t="shared" si="1"/>
        <v>1</v>
      </c>
      <c r="F88" s="68"/>
      <c r="G88" s="68"/>
      <c r="H88" s="69"/>
      <c r="I88" s="73"/>
      <c r="J88" s="73"/>
    </row>
    <row r="89">
      <c r="A89" s="65" t="str">
        <f t="array" ref="A89">IFERROR(INDEX(data!F:F, MATCH(B89, data!Q:Q, 0)),"")</f>
        <v>team_a</v>
      </c>
      <c r="B89" s="66" t="str">
        <f>IFERROR(__xludf.DUMMYFUNCTION("""COMPUTED_VALUE"""),"H030370")</f>
        <v>H030370</v>
      </c>
      <c r="C89" s="65">
        <f>IFERROR(__xludf.DUMMYFUNCTION("""COMPUTED_VALUE"""),14.0)</f>
        <v>14</v>
      </c>
      <c r="D89" s="65">
        <f t="array" ref="D89">IFERROR(INDEX(brgy_target!F:F, MATCH(B89, brgy_target!A:A, 0)),"")</f>
        <v>15</v>
      </c>
      <c r="E89" s="67">
        <f t="shared" si="1"/>
        <v>0.9333333333</v>
      </c>
      <c r="F89" s="68"/>
      <c r="G89" s="68"/>
      <c r="H89" s="69"/>
      <c r="I89" s="73"/>
      <c r="J89" s="73"/>
    </row>
    <row r="90">
      <c r="A90" s="65" t="str">
        <f t="array" ref="A90">IFERROR(INDEX(data!F:F, MATCH(B90, data!Q:Q, 0)),"")</f>
        <v>team_b</v>
      </c>
      <c r="B90" s="66" t="str">
        <f>IFERROR(__xludf.DUMMYFUNCTION("""COMPUTED_VALUE"""),"H030373")</f>
        <v>H030373</v>
      </c>
      <c r="C90" s="65">
        <f>IFERROR(__xludf.DUMMYFUNCTION("""COMPUTED_VALUE"""),14.0)</f>
        <v>14</v>
      </c>
      <c r="D90" s="65">
        <f t="array" ref="D90">IFERROR(INDEX(brgy_target!F:F, MATCH(B90, brgy_target!A:A, 0)),"")</f>
        <v>14</v>
      </c>
      <c r="E90" s="67">
        <f t="shared" si="1"/>
        <v>1</v>
      </c>
      <c r="F90" s="68"/>
      <c r="G90" s="68"/>
      <c r="H90" s="69"/>
      <c r="I90" s="73"/>
      <c r="J90" s="73"/>
    </row>
    <row r="91">
      <c r="A91" s="65" t="str">
        <f t="array" ref="A91">IFERROR(INDEX(data!F:F, MATCH(B91, data!Q:Q, 0)),"")</f>
        <v>team_c</v>
      </c>
      <c r="B91" s="66" t="str">
        <f>IFERROR(__xludf.DUMMYFUNCTION("""COMPUTED_VALUE"""),"H030375")</f>
        <v>H030375</v>
      </c>
      <c r="C91" s="65">
        <f>IFERROR(__xludf.DUMMYFUNCTION("""COMPUTED_VALUE"""),15.0)</f>
        <v>15</v>
      </c>
      <c r="D91" s="65">
        <f t="array" ref="D91">IFERROR(INDEX(brgy_target!F:F, MATCH(B91, brgy_target!A:A, 0)),"")</f>
        <v>15</v>
      </c>
      <c r="E91" s="67">
        <f t="shared" si="1"/>
        <v>1</v>
      </c>
      <c r="F91" s="68"/>
      <c r="G91" s="68"/>
      <c r="H91" s="69"/>
      <c r="I91" s="73"/>
      <c r="J91" s="73"/>
    </row>
    <row r="92">
      <c r="A92" s="65" t="str">
        <f t="array" ref="A92">IFERROR(INDEX(data!F:F, MATCH(B92, data!Q:Q, 0)),"")</f>
        <v>team_b</v>
      </c>
      <c r="B92" s="66" t="str">
        <f>IFERROR(__xludf.DUMMYFUNCTION("""COMPUTED_VALUE"""),"H030396")</f>
        <v>H030396</v>
      </c>
      <c r="C92" s="65">
        <f>IFERROR(__xludf.DUMMYFUNCTION("""COMPUTED_VALUE"""),14.0)</f>
        <v>14</v>
      </c>
      <c r="D92" s="65">
        <f t="array" ref="D92">IFERROR(INDEX(brgy_target!F:F, MATCH(B92, brgy_target!A:A, 0)),"")</f>
        <v>14</v>
      </c>
      <c r="E92" s="67">
        <f t="shared" si="1"/>
        <v>1</v>
      </c>
      <c r="F92" s="68"/>
      <c r="G92" s="68"/>
      <c r="H92" s="69"/>
      <c r="I92" s="73"/>
      <c r="J92" s="73"/>
    </row>
    <row r="93">
      <c r="A93" s="65" t="str">
        <f t="array" ref="A93">IFERROR(INDEX(data!F:F, MATCH(B93, data!Q:Q, 0)),"")</f>
        <v>team_d</v>
      </c>
      <c r="B93" s="66" t="str">
        <f>IFERROR(__xludf.DUMMYFUNCTION("""COMPUTED_VALUE"""),"H030415")</f>
        <v>H030415</v>
      </c>
      <c r="C93" s="65">
        <f>IFERROR(__xludf.DUMMYFUNCTION("""COMPUTED_VALUE"""),15.0)</f>
        <v>15</v>
      </c>
      <c r="D93" s="65">
        <f t="array" ref="D93">IFERROR(INDEX(brgy_target!F:F, MATCH(B93, brgy_target!A:A, 0)),"")</f>
        <v>15</v>
      </c>
      <c r="E93" s="67">
        <f t="shared" si="1"/>
        <v>1</v>
      </c>
      <c r="F93" s="68"/>
      <c r="G93" s="68"/>
      <c r="H93" s="69"/>
      <c r="I93" s="73"/>
      <c r="J93" s="73"/>
    </row>
    <row r="94">
      <c r="A94" s="65" t="str">
        <f t="array" ref="A94">IFERROR(INDEX(data!F:F, MATCH(B94, data!Q:Q, 0)),"")</f>
        <v>team_d</v>
      </c>
      <c r="B94" s="66" t="str">
        <f>IFERROR(__xludf.DUMMYFUNCTION("""COMPUTED_VALUE"""),"H030433")</f>
        <v>H030433</v>
      </c>
      <c r="C94" s="65">
        <f>IFERROR(__xludf.DUMMYFUNCTION("""COMPUTED_VALUE"""),14.0)</f>
        <v>14</v>
      </c>
      <c r="D94" s="65">
        <f t="array" ref="D94">IFERROR(INDEX(brgy_target!F:F, MATCH(B94, brgy_target!A:A, 0)),"")</f>
        <v>15</v>
      </c>
      <c r="E94" s="67">
        <f t="shared" si="1"/>
        <v>0.9333333333</v>
      </c>
      <c r="F94" s="68"/>
      <c r="G94" s="68"/>
      <c r="H94" s="69"/>
      <c r="I94" s="73"/>
      <c r="J94" s="73"/>
    </row>
    <row r="95">
      <c r="A95" s="65" t="str">
        <f t="array" ref="A95">IFERROR(INDEX(data!F:F, MATCH(B95, data!Q:Q, 0)),"")</f>
        <v>team_a</v>
      </c>
      <c r="B95" s="66" t="str">
        <f>IFERROR(__xludf.DUMMYFUNCTION("""COMPUTED_VALUE"""),"H030470")</f>
        <v>H030470</v>
      </c>
      <c r="C95" s="65">
        <f>IFERROR(__xludf.DUMMYFUNCTION("""COMPUTED_VALUE"""),13.0)</f>
        <v>13</v>
      </c>
      <c r="D95" s="65">
        <f t="array" ref="D95">IFERROR(INDEX(brgy_target!F:F, MATCH(B95, brgy_target!A:A, 0)),"")</f>
        <v>13</v>
      </c>
      <c r="E95" s="67">
        <f t="shared" si="1"/>
        <v>1</v>
      </c>
      <c r="F95" s="68"/>
      <c r="G95" s="68"/>
      <c r="H95" s="69"/>
      <c r="I95" s="73"/>
      <c r="J95" s="73"/>
    </row>
    <row r="96">
      <c r="A96" s="65" t="str">
        <f t="array" ref="A96">IFERROR(INDEX(data!F:F, MATCH(B96, data!Q:Q, 0)),"")</f>
        <v>team_c</v>
      </c>
      <c r="B96" s="66" t="str">
        <f>IFERROR(__xludf.DUMMYFUNCTION("""COMPUTED_VALUE"""),"H030507")</f>
        <v>H030507</v>
      </c>
      <c r="C96" s="65">
        <f>IFERROR(__xludf.DUMMYFUNCTION("""COMPUTED_VALUE"""),15.0)</f>
        <v>15</v>
      </c>
      <c r="D96" s="65">
        <f t="array" ref="D96">IFERROR(INDEX(brgy_target!F:F, MATCH(B96, brgy_target!A:A, 0)),"")</f>
        <v>15</v>
      </c>
      <c r="E96" s="67">
        <f t="shared" si="1"/>
        <v>1</v>
      </c>
      <c r="F96" s="68"/>
      <c r="G96" s="68"/>
      <c r="H96" s="69"/>
      <c r="I96" s="73"/>
      <c r="J96" s="73"/>
    </row>
    <row r="97">
      <c r="A97" s="65" t="str">
        <f t="array" ref="A97">IFERROR(INDEX(data!F:F, MATCH(B97, data!Q:Q, 0)),"")</f>
        <v>team_a</v>
      </c>
      <c r="B97" s="66" t="str">
        <f>IFERROR(__xludf.DUMMYFUNCTION("""COMPUTED_VALUE"""),"H030514")</f>
        <v>H030514</v>
      </c>
      <c r="C97" s="65">
        <f>IFERROR(__xludf.DUMMYFUNCTION("""COMPUTED_VALUE"""),13.0)</f>
        <v>13</v>
      </c>
      <c r="D97" s="65">
        <f t="array" ref="D97">IFERROR(INDEX(brgy_target!F:F, MATCH(B97, brgy_target!A:A, 0)),"")</f>
        <v>13</v>
      </c>
      <c r="E97" s="67">
        <f t="shared" si="1"/>
        <v>1</v>
      </c>
      <c r="F97" s="68"/>
      <c r="G97" s="68"/>
      <c r="H97" s="69"/>
      <c r="I97" s="73"/>
      <c r="J97" s="73"/>
    </row>
    <row r="98">
      <c r="A98" s="65" t="str">
        <f t="array" ref="A98">IFERROR(INDEX(data!F:F, MATCH(B98, data!Q:Q, 0)),"")</f>
        <v>team_a</v>
      </c>
      <c r="B98" s="66" t="str">
        <f>IFERROR(__xludf.DUMMYFUNCTION("""COMPUTED_VALUE"""),"H030515")</f>
        <v>H030515</v>
      </c>
      <c r="C98" s="65">
        <f>IFERROR(__xludf.DUMMYFUNCTION("""COMPUTED_VALUE"""),13.0)</f>
        <v>13</v>
      </c>
      <c r="D98" s="65">
        <f t="array" ref="D98">IFERROR(INDEX(brgy_target!F:F, MATCH(B98, brgy_target!A:A, 0)),"")</f>
        <v>14</v>
      </c>
      <c r="E98" s="67">
        <f t="shared" si="1"/>
        <v>0.9285714286</v>
      </c>
      <c r="F98" s="68"/>
      <c r="G98" s="68"/>
      <c r="H98" s="69"/>
      <c r="I98" s="73"/>
      <c r="J98" s="73"/>
    </row>
    <row r="99">
      <c r="A99" s="65" t="str">
        <f t="array" ref="A99">IFERROR(INDEX(data!F:F, MATCH(B99, data!Q:Q, 0)),"")</f>
        <v>team_a</v>
      </c>
      <c r="B99" s="66" t="str">
        <f>IFERROR(__xludf.DUMMYFUNCTION("""COMPUTED_VALUE"""),"H030517")</f>
        <v>H030517</v>
      </c>
      <c r="C99" s="65">
        <f>IFERROR(__xludf.DUMMYFUNCTION("""COMPUTED_VALUE"""),13.0)</f>
        <v>13</v>
      </c>
      <c r="D99" s="65">
        <f t="array" ref="D99">IFERROR(INDEX(brgy_target!F:F, MATCH(B99, brgy_target!A:A, 0)),"")</f>
        <v>14</v>
      </c>
      <c r="E99" s="67">
        <f t="shared" si="1"/>
        <v>0.9285714286</v>
      </c>
      <c r="F99" s="68"/>
      <c r="G99" s="68"/>
      <c r="H99" s="69"/>
      <c r="I99" s="73"/>
      <c r="J99" s="73"/>
    </row>
    <row r="100">
      <c r="A100" s="65" t="str">
        <f t="array" ref="A100">IFERROR(INDEX(data!F:F, MATCH(B100, data!Q:Q, 0)),"")</f>
        <v>team_a</v>
      </c>
      <c r="B100" s="66" t="str">
        <f>IFERROR(__xludf.DUMMYFUNCTION("""COMPUTED_VALUE"""),"H030535")</f>
        <v>H030535</v>
      </c>
      <c r="C100" s="65">
        <f>IFERROR(__xludf.DUMMYFUNCTION("""COMPUTED_VALUE"""),12.0)</f>
        <v>12</v>
      </c>
      <c r="D100" s="65">
        <f t="array" ref="D100">IFERROR(INDEX(brgy_target!F:F, MATCH(B100, brgy_target!A:A, 0)),"")</f>
        <v>13</v>
      </c>
      <c r="E100" s="67">
        <f t="shared" si="1"/>
        <v>0.9230769231</v>
      </c>
      <c r="F100" s="68"/>
      <c r="G100" s="68"/>
      <c r="H100" s="69"/>
      <c r="I100" s="73"/>
      <c r="J100" s="73"/>
    </row>
    <row r="101">
      <c r="A101" s="65" t="str">
        <f t="array" ref="A101">IFERROR(INDEX(data!F:F, MATCH(B101, data!Q:Q, 0)),"")</f>
        <v>team_d</v>
      </c>
      <c r="B101" s="66" t="str">
        <f>IFERROR(__xludf.DUMMYFUNCTION("""COMPUTED_VALUE"""),"H030546")</f>
        <v>H030546</v>
      </c>
      <c r="C101" s="65">
        <f>IFERROR(__xludf.DUMMYFUNCTION("""COMPUTED_VALUE"""),14.0)</f>
        <v>14</v>
      </c>
      <c r="D101" s="65">
        <f t="array" ref="D101">IFERROR(INDEX(brgy_target!F:F, MATCH(B101, brgy_target!A:A, 0)),"")</f>
        <v>14</v>
      </c>
      <c r="E101" s="67">
        <f t="shared" si="1"/>
        <v>1</v>
      </c>
      <c r="F101" s="68"/>
      <c r="G101" s="68"/>
      <c r="H101" s="69"/>
      <c r="I101" s="73"/>
      <c r="J101" s="73"/>
    </row>
    <row r="102">
      <c r="A102" s="65" t="str">
        <f t="array" ref="A102">IFERROR(INDEX(data!F:F, MATCH(B102, data!Q:Q, 0)),"")</f>
        <v>team_a</v>
      </c>
      <c r="B102" s="66" t="str">
        <f>IFERROR(__xludf.DUMMYFUNCTION("""COMPUTED_VALUE"""),"H030566")</f>
        <v>H030566</v>
      </c>
      <c r="C102" s="65">
        <f>IFERROR(__xludf.DUMMYFUNCTION("""COMPUTED_VALUE"""),13.0)</f>
        <v>13</v>
      </c>
      <c r="D102" s="65">
        <f t="array" ref="D102">IFERROR(INDEX(brgy_target!F:F, MATCH(B102, brgy_target!A:A, 0)),"")</f>
        <v>15</v>
      </c>
      <c r="E102" s="67">
        <f t="shared" si="1"/>
        <v>0.8666666667</v>
      </c>
      <c r="F102" s="68"/>
      <c r="G102" s="68"/>
      <c r="H102" s="69"/>
      <c r="I102" s="73"/>
      <c r="J102" s="73"/>
    </row>
    <row r="103">
      <c r="A103" s="65" t="str">
        <f t="array" ref="A103">IFERROR(INDEX(data!F:F, MATCH(B103, data!Q:Q, 0)),"")</f>
        <v>team_b</v>
      </c>
      <c r="B103" s="66" t="str">
        <f>IFERROR(__xludf.DUMMYFUNCTION("""COMPUTED_VALUE"""),"H030597")</f>
        <v>H030597</v>
      </c>
      <c r="C103" s="65">
        <f>IFERROR(__xludf.DUMMYFUNCTION("""COMPUTED_VALUE"""),12.0)</f>
        <v>12</v>
      </c>
      <c r="D103" s="65">
        <f t="array" ref="D103">IFERROR(INDEX(brgy_target!F:F, MATCH(B103, brgy_target!A:A, 0)),"")</f>
        <v>13</v>
      </c>
      <c r="E103" s="67">
        <f t="shared" si="1"/>
        <v>0.9230769231</v>
      </c>
      <c r="F103" s="68"/>
      <c r="G103" s="68"/>
      <c r="H103" s="69"/>
      <c r="I103" s="73"/>
      <c r="J103" s="73"/>
    </row>
    <row r="104">
      <c r="A104" s="65" t="str">
        <f t="array" ref="A104">IFERROR(INDEX(data!F:F, MATCH(B104, data!Q:Q, 0)),"")</f>
        <v>team_c</v>
      </c>
      <c r="B104" s="66" t="str">
        <f>IFERROR(__xludf.DUMMYFUNCTION("""COMPUTED_VALUE"""),"H030634")</f>
        <v>H030634</v>
      </c>
      <c r="C104" s="65">
        <f>IFERROR(__xludf.DUMMYFUNCTION("""COMPUTED_VALUE"""),15.0)</f>
        <v>15</v>
      </c>
      <c r="D104" s="65">
        <f t="array" ref="D104">IFERROR(INDEX(brgy_target!F:F, MATCH(B104, brgy_target!A:A, 0)),"")</f>
        <v>15</v>
      </c>
      <c r="E104" s="67">
        <f t="shared" si="1"/>
        <v>1</v>
      </c>
      <c r="F104" s="68"/>
      <c r="G104" s="68"/>
      <c r="H104" s="69"/>
      <c r="I104" s="73"/>
      <c r="J104" s="73"/>
    </row>
    <row r="105">
      <c r="A105" s="65" t="str">
        <f t="array" ref="A105">IFERROR(INDEX(data!F:F, MATCH(B105, data!Q:Q, 0)),"")</f>
        <v>team_a</v>
      </c>
      <c r="B105" s="66" t="str">
        <f>IFERROR(__xludf.DUMMYFUNCTION("""COMPUTED_VALUE"""),"H030636")</f>
        <v>H030636</v>
      </c>
      <c r="C105" s="65">
        <f>IFERROR(__xludf.DUMMYFUNCTION("""COMPUTED_VALUE"""),15.0)</f>
        <v>15</v>
      </c>
      <c r="D105" s="65">
        <f t="array" ref="D105">IFERROR(INDEX(brgy_target!F:F, MATCH(B105, brgy_target!A:A, 0)),"")</f>
        <v>15</v>
      </c>
      <c r="E105" s="67">
        <f t="shared" si="1"/>
        <v>1</v>
      </c>
      <c r="F105" s="68"/>
      <c r="G105" s="68"/>
      <c r="H105" s="69"/>
      <c r="I105" s="73"/>
      <c r="J105" s="73"/>
    </row>
    <row r="106">
      <c r="A106" s="65" t="str">
        <f t="array" ref="A106">IFERROR(INDEX(data!F:F, MATCH(B106, data!Q:Q, 0)),"")</f>
        <v>team_b</v>
      </c>
      <c r="B106" s="66" t="str">
        <f>IFERROR(__xludf.DUMMYFUNCTION("""COMPUTED_VALUE"""),"H030640")</f>
        <v>H030640</v>
      </c>
      <c r="C106" s="65">
        <f>IFERROR(__xludf.DUMMYFUNCTION("""COMPUTED_VALUE"""),14.0)</f>
        <v>14</v>
      </c>
      <c r="D106" s="65">
        <f t="array" ref="D106">IFERROR(INDEX(brgy_target!F:F, MATCH(B106, brgy_target!A:A, 0)),"")</f>
        <v>14</v>
      </c>
      <c r="E106" s="67">
        <f t="shared" si="1"/>
        <v>1</v>
      </c>
      <c r="F106" s="68"/>
      <c r="G106" s="68"/>
      <c r="H106" s="69"/>
      <c r="I106" s="73"/>
      <c r="J106" s="73"/>
    </row>
    <row r="107">
      <c r="A107" s="65" t="str">
        <f t="array" ref="A107">IFERROR(INDEX(data!F:F, MATCH(B107, data!Q:Q, 0)),"")</f>
        <v>team_b</v>
      </c>
      <c r="B107" s="66" t="str">
        <f>IFERROR(__xludf.DUMMYFUNCTION("""COMPUTED_VALUE"""),"H030647")</f>
        <v>H030647</v>
      </c>
      <c r="C107" s="65">
        <f>IFERROR(__xludf.DUMMYFUNCTION("""COMPUTED_VALUE"""),13.0)</f>
        <v>13</v>
      </c>
      <c r="D107" s="65">
        <f t="array" ref="D107">IFERROR(INDEX(brgy_target!F:F, MATCH(B107, brgy_target!A:A, 0)),"")</f>
        <v>13</v>
      </c>
      <c r="E107" s="67">
        <f t="shared" si="1"/>
        <v>1</v>
      </c>
      <c r="F107" s="68"/>
      <c r="G107" s="68"/>
      <c r="H107" s="69"/>
      <c r="I107" s="73"/>
      <c r="J107" s="73"/>
    </row>
    <row r="108">
      <c r="A108" s="65" t="str">
        <f t="array" ref="A108">IFERROR(INDEX(data!F:F, MATCH(B108, data!Q:Q, 0)),"")</f>
        <v>team_d</v>
      </c>
      <c r="B108" s="66" t="str">
        <f>IFERROR(__xludf.DUMMYFUNCTION("""COMPUTED_VALUE"""),"H030670")</f>
        <v>H030670</v>
      </c>
      <c r="C108" s="65">
        <f>IFERROR(__xludf.DUMMYFUNCTION("""COMPUTED_VALUE"""),13.0)</f>
        <v>13</v>
      </c>
      <c r="D108" s="65">
        <f t="array" ref="D108">IFERROR(INDEX(brgy_target!F:F, MATCH(B108, brgy_target!A:A, 0)),"")</f>
        <v>14</v>
      </c>
      <c r="E108" s="67">
        <f t="shared" si="1"/>
        <v>0.9285714286</v>
      </c>
      <c r="F108" s="68"/>
      <c r="G108" s="68"/>
      <c r="H108" s="69"/>
      <c r="I108" s="73"/>
      <c r="J108" s="73"/>
    </row>
    <row r="109">
      <c r="A109" s="65" t="str">
        <f t="array" ref="A109">IFERROR(INDEX(data!F:F, MATCH(B109, data!Q:Q, 0)),"")</f>
        <v>team_c</v>
      </c>
      <c r="B109" s="66" t="str">
        <f>IFERROR(__xludf.DUMMYFUNCTION("""COMPUTED_VALUE"""),"H030676")</f>
        <v>H030676</v>
      </c>
      <c r="C109" s="65">
        <f>IFERROR(__xludf.DUMMYFUNCTION("""COMPUTED_VALUE"""),14.0)</f>
        <v>14</v>
      </c>
      <c r="D109" s="65">
        <f t="array" ref="D109">IFERROR(INDEX(brgy_target!F:F, MATCH(B109, brgy_target!A:A, 0)),"")</f>
        <v>14</v>
      </c>
      <c r="E109" s="67">
        <f t="shared" si="1"/>
        <v>1</v>
      </c>
      <c r="F109" s="68"/>
      <c r="G109" s="68"/>
      <c r="H109" s="69"/>
      <c r="I109" s="73"/>
      <c r="J109" s="73"/>
    </row>
    <row r="110">
      <c r="A110" s="65" t="str">
        <f t="array" ref="A110">IFERROR(INDEX(data!F:F, MATCH(B110, data!Q:Q, 0)),"")</f>
        <v>team_b</v>
      </c>
      <c r="B110" s="66" t="str">
        <f>IFERROR(__xludf.DUMMYFUNCTION("""COMPUTED_VALUE"""),"H030747")</f>
        <v>H030747</v>
      </c>
      <c r="C110" s="65">
        <f>IFERROR(__xludf.DUMMYFUNCTION("""COMPUTED_VALUE"""),14.0)</f>
        <v>14</v>
      </c>
      <c r="D110" s="65">
        <f t="array" ref="D110">IFERROR(INDEX(brgy_target!F:F, MATCH(B110, brgy_target!A:A, 0)),"")</f>
        <v>15</v>
      </c>
      <c r="E110" s="67">
        <f t="shared" si="1"/>
        <v>0.9333333333</v>
      </c>
      <c r="F110" s="68"/>
      <c r="G110" s="68"/>
      <c r="H110" s="69"/>
      <c r="I110" s="73"/>
      <c r="J110" s="73"/>
    </row>
    <row r="111">
      <c r="A111" s="65" t="str">
        <f t="array" ref="A111">IFERROR(INDEX(data!F:F, MATCH(B111, data!Q:Q, 0)),"")</f>
        <v>team_b</v>
      </c>
      <c r="B111" s="66" t="str">
        <f>IFERROR(__xludf.DUMMYFUNCTION("""COMPUTED_VALUE"""),"H030748")</f>
        <v>H030748</v>
      </c>
      <c r="C111" s="65">
        <f>IFERROR(__xludf.DUMMYFUNCTION("""COMPUTED_VALUE"""),13.0)</f>
        <v>13</v>
      </c>
      <c r="D111" s="65">
        <f t="array" ref="D111">IFERROR(INDEX(brgy_target!F:F, MATCH(B111, brgy_target!A:A, 0)),"")</f>
        <v>14</v>
      </c>
      <c r="E111" s="67">
        <f t="shared" si="1"/>
        <v>0.9285714286</v>
      </c>
      <c r="F111" s="68"/>
      <c r="G111" s="68"/>
      <c r="H111" s="69"/>
      <c r="I111" s="73"/>
      <c r="J111" s="73"/>
    </row>
    <row r="112">
      <c r="A112" s="65" t="str">
        <f t="array" ref="A112">IFERROR(INDEX(data!F:F, MATCH(B112, data!Q:Q, 0)),"")</f>
        <v>team_a</v>
      </c>
      <c r="B112" s="66" t="str">
        <f>IFERROR(__xludf.DUMMYFUNCTION("""COMPUTED_VALUE"""),"H030764")</f>
        <v>H030764</v>
      </c>
      <c r="C112" s="65">
        <f>IFERROR(__xludf.DUMMYFUNCTION("""COMPUTED_VALUE"""),14.0)</f>
        <v>14</v>
      </c>
      <c r="D112" s="65">
        <f t="array" ref="D112">IFERROR(INDEX(brgy_target!F:F, MATCH(B112, brgy_target!A:A, 0)),"")</f>
        <v>14</v>
      </c>
      <c r="E112" s="67">
        <f t="shared" si="1"/>
        <v>1</v>
      </c>
      <c r="F112" s="68"/>
      <c r="G112" s="68"/>
      <c r="H112" s="69"/>
      <c r="I112" s="73"/>
      <c r="J112" s="73"/>
    </row>
    <row r="113">
      <c r="A113" s="65" t="str">
        <f t="array" ref="A113">IFERROR(INDEX(data!F:F, MATCH(B113, data!Q:Q, 0)),"")</f>
        <v>team_a</v>
      </c>
      <c r="B113" s="66" t="str">
        <f>IFERROR(__xludf.DUMMYFUNCTION("""COMPUTED_VALUE"""),"H030774")</f>
        <v>H030774</v>
      </c>
      <c r="C113" s="65">
        <f>IFERROR(__xludf.DUMMYFUNCTION("""COMPUTED_VALUE"""),15.0)</f>
        <v>15</v>
      </c>
      <c r="D113" s="65">
        <f t="array" ref="D113">IFERROR(INDEX(brgy_target!F:F, MATCH(B113, brgy_target!A:A, 0)),"")</f>
        <v>15</v>
      </c>
      <c r="E113" s="67">
        <f t="shared" si="1"/>
        <v>1</v>
      </c>
      <c r="F113" s="68"/>
      <c r="G113" s="68"/>
      <c r="H113" s="69"/>
      <c r="I113" s="73"/>
      <c r="J113" s="73"/>
    </row>
    <row r="114">
      <c r="A114" s="65" t="str">
        <f t="array" ref="A114">IFERROR(INDEX(data!F:F, MATCH(B114, data!Q:Q, 0)),"")</f>
        <v>team_b</v>
      </c>
      <c r="B114" s="66" t="str">
        <f>IFERROR(__xludf.DUMMYFUNCTION("""COMPUTED_VALUE"""),"H030790")</f>
        <v>H030790</v>
      </c>
      <c r="C114" s="65">
        <f>IFERROR(__xludf.DUMMYFUNCTION("""COMPUTED_VALUE"""),11.0)</f>
        <v>11</v>
      </c>
      <c r="D114" s="65">
        <f t="array" ref="D114">IFERROR(INDEX(brgy_target!F:F, MATCH(B114, brgy_target!A:A, 0)),"")</f>
        <v>13</v>
      </c>
      <c r="E114" s="67">
        <f t="shared" si="1"/>
        <v>0.8461538462</v>
      </c>
      <c r="F114" s="68"/>
      <c r="G114" s="68"/>
      <c r="H114" s="69"/>
      <c r="I114" s="73"/>
      <c r="J114" s="73"/>
    </row>
    <row r="115">
      <c r="A115" s="65" t="str">
        <f t="array" ref="A115">IFERROR(INDEX(data!F:F, MATCH(B115, data!Q:Q, 0)),"")</f>
        <v>team_b</v>
      </c>
      <c r="B115" s="66" t="str">
        <f>IFERROR(__xludf.DUMMYFUNCTION("""COMPUTED_VALUE"""),"H030792")</f>
        <v>H030792</v>
      </c>
      <c r="C115" s="65">
        <f>IFERROR(__xludf.DUMMYFUNCTION("""COMPUTED_VALUE"""),15.0)</f>
        <v>15</v>
      </c>
      <c r="D115" s="65">
        <f t="array" ref="D115">IFERROR(INDEX(brgy_target!F:F, MATCH(B115, brgy_target!A:A, 0)),"")</f>
        <v>15</v>
      </c>
      <c r="E115" s="67">
        <f t="shared" si="1"/>
        <v>1</v>
      </c>
      <c r="F115" s="68"/>
      <c r="G115" s="68"/>
      <c r="H115" s="69"/>
      <c r="I115" s="73"/>
      <c r="J115" s="73"/>
    </row>
    <row r="116">
      <c r="A116" s="65" t="str">
        <f t="array" ref="A116">IFERROR(INDEX(data!F:F, MATCH(B116, data!Q:Q, 0)),"")</f>
        <v>team_b</v>
      </c>
      <c r="B116" s="66" t="str">
        <f>IFERROR(__xludf.DUMMYFUNCTION("""COMPUTED_VALUE"""),"H030821")</f>
        <v>H030821</v>
      </c>
      <c r="C116" s="65">
        <f>IFERROR(__xludf.DUMMYFUNCTION("""COMPUTED_VALUE"""),12.0)</f>
        <v>12</v>
      </c>
      <c r="D116" s="65">
        <f t="array" ref="D116">IFERROR(INDEX(brgy_target!F:F, MATCH(B116, brgy_target!A:A, 0)),"")</f>
        <v>14</v>
      </c>
      <c r="E116" s="67">
        <f t="shared" si="1"/>
        <v>0.8571428571</v>
      </c>
      <c r="F116" s="68"/>
      <c r="G116" s="68"/>
      <c r="H116" s="69"/>
      <c r="I116" s="73"/>
      <c r="J116" s="73"/>
    </row>
    <row r="117">
      <c r="A117" s="65" t="str">
        <f t="array" ref="A117">IFERROR(INDEX(data!F:F, MATCH(B117, data!Q:Q, 0)),"")</f>
        <v>team_c</v>
      </c>
      <c r="B117" s="66" t="str">
        <f>IFERROR(__xludf.DUMMYFUNCTION("""COMPUTED_VALUE"""),"H030829")</f>
        <v>H030829</v>
      </c>
      <c r="C117" s="65">
        <f>IFERROR(__xludf.DUMMYFUNCTION("""COMPUTED_VALUE"""),13.0)</f>
        <v>13</v>
      </c>
      <c r="D117" s="65">
        <f t="array" ref="D117">IFERROR(INDEX(brgy_target!F:F, MATCH(B117, brgy_target!A:A, 0)),"")</f>
        <v>15</v>
      </c>
      <c r="E117" s="67">
        <f t="shared" si="1"/>
        <v>0.8666666667</v>
      </c>
      <c r="F117" s="68"/>
      <c r="G117" s="68"/>
      <c r="H117" s="69"/>
      <c r="I117" s="73"/>
      <c r="J117" s="73"/>
    </row>
    <row r="118">
      <c r="A118" s="65" t="str">
        <f t="array" ref="A118">IFERROR(INDEX(data!F:F, MATCH(B118, data!Q:Q, 0)),"")</f>
        <v>team_b</v>
      </c>
      <c r="B118" s="66" t="str">
        <f>IFERROR(__xludf.DUMMYFUNCTION("""COMPUTED_VALUE"""),"H030832")</f>
        <v>H030832</v>
      </c>
      <c r="C118" s="65">
        <f>IFERROR(__xludf.DUMMYFUNCTION("""COMPUTED_VALUE"""),14.0)</f>
        <v>14</v>
      </c>
      <c r="D118" s="65">
        <f t="array" ref="D118">IFERROR(INDEX(brgy_target!F:F, MATCH(B118, brgy_target!A:A, 0)),"")</f>
        <v>14</v>
      </c>
      <c r="E118" s="67">
        <f t="shared" si="1"/>
        <v>1</v>
      </c>
      <c r="F118" s="68"/>
      <c r="G118" s="68"/>
      <c r="H118" s="69"/>
      <c r="I118" s="73"/>
      <c r="J118" s="73"/>
    </row>
    <row r="119">
      <c r="A119" s="65" t="str">
        <f t="array" ref="A119">IFERROR(INDEX(data!F:F, MATCH(B119, data!Q:Q, 0)),"")</f>
        <v>team_a</v>
      </c>
      <c r="B119" s="66" t="str">
        <f>IFERROR(__xludf.DUMMYFUNCTION("""COMPUTED_VALUE"""),"H030837")</f>
        <v>H030837</v>
      </c>
      <c r="C119" s="65">
        <f>IFERROR(__xludf.DUMMYFUNCTION("""COMPUTED_VALUE"""),15.0)</f>
        <v>15</v>
      </c>
      <c r="D119" s="65">
        <f t="array" ref="D119">IFERROR(INDEX(brgy_target!F:F, MATCH(B119, brgy_target!A:A, 0)),"")</f>
        <v>15</v>
      </c>
      <c r="E119" s="67">
        <f t="shared" si="1"/>
        <v>1</v>
      </c>
      <c r="F119" s="68"/>
      <c r="G119" s="68"/>
      <c r="H119" s="69"/>
      <c r="I119" s="73"/>
      <c r="J119" s="73"/>
    </row>
    <row r="120">
      <c r="A120" s="65" t="str">
        <f t="array" ref="A120">IFERROR(INDEX(data!F:F, MATCH(B120, data!Q:Q, 0)),"")</f>
        <v>team_b</v>
      </c>
      <c r="B120" s="66" t="str">
        <f>IFERROR(__xludf.DUMMYFUNCTION("""COMPUTED_VALUE"""),"H030844")</f>
        <v>H030844</v>
      </c>
      <c r="C120" s="65">
        <f>IFERROR(__xludf.DUMMYFUNCTION("""COMPUTED_VALUE"""),15.0)</f>
        <v>15</v>
      </c>
      <c r="D120" s="65">
        <f t="array" ref="D120">IFERROR(INDEX(brgy_target!F:F, MATCH(B120, brgy_target!A:A, 0)),"")</f>
        <v>15</v>
      </c>
      <c r="E120" s="67">
        <f t="shared" si="1"/>
        <v>1</v>
      </c>
      <c r="F120" s="68"/>
      <c r="G120" s="68"/>
      <c r="H120" s="69"/>
      <c r="I120" s="73"/>
      <c r="J120" s="73"/>
    </row>
    <row r="121">
      <c r="A121" s="65" t="str">
        <f t="array" ref="A121">IFERROR(INDEX(data!F:F, MATCH(B121, data!Q:Q, 0)),"")</f>
        <v>team_c</v>
      </c>
      <c r="B121" s="2" t="str">
        <f>IFERROR(__xludf.DUMMYFUNCTION("""COMPUTED_VALUE"""),"H030852")</f>
        <v>H030852</v>
      </c>
      <c r="C121" s="2">
        <f>IFERROR(__xludf.DUMMYFUNCTION("""COMPUTED_VALUE"""),13.0)</f>
        <v>13</v>
      </c>
      <c r="D121" s="65">
        <f t="array" ref="D121">IFERROR(INDEX(brgy_target!F:F, MATCH(B121, brgy_target!A:A, 0)),"")</f>
        <v>13</v>
      </c>
      <c r="E121" s="67">
        <f t="shared" si="1"/>
        <v>1</v>
      </c>
    </row>
    <row r="122">
      <c r="E122" s="74"/>
    </row>
    <row r="123">
      <c r="E123" s="74"/>
    </row>
    <row r="124">
      <c r="E124" s="74"/>
    </row>
    <row r="125">
      <c r="E125" s="74"/>
    </row>
    <row r="126">
      <c r="E126" s="74"/>
    </row>
    <row r="127">
      <c r="E127" s="74"/>
    </row>
    <row r="128">
      <c r="E128" s="74"/>
    </row>
    <row r="129">
      <c r="E129" s="74"/>
    </row>
    <row r="130">
      <c r="E130" s="74"/>
    </row>
    <row r="131">
      <c r="E131" s="74"/>
    </row>
    <row r="132">
      <c r="E132" s="74"/>
    </row>
    <row r="133">
      <c r="E133" s="74"/>
    </row>
    <row r="134">
      <c r="E134" s="74"/>
    </row>
    <row r="135">
      <c r="E135" s="74"/>
    </row>
    <row r="136">
      <c r="E136" s="74"/>
    </row>
    <row r="137">
      <c r="E137" s="74"/>
    </row>
    <row r="138">
      <c r="E138" s="74"/>
    </row>
    <row r="139">
      <c r="E139" s="74"/>
    </row>
    <row r="140">
      <c r="E140" s="74"/>
    </row>
    <row r="141">
      <c r="E141" s="74"/>
    </row>
    <row r="142">
      <c r="E142" s="74"/>
    </row>
    <row r="143">
      <c r="E143" s="74"/>
    </row>
    <row r="144">
      <c r="E144" s="74"/>
    </row>
    <row r="145">
      <c r="E145" s="74"/>
    </row>
    <row r="146">
      <c r="E146" s="74"/>
    </row>
    <row r="147">
      <c r="E147" s="74"/>
    </row>
    <row r="148">
      <c r="E148" s="74"/>
    </row>
    <row r="149">
      <c r="E149" s="74"/>
    </row>
    <row r="150">
      <c r="E150" s="74"/>
    </row>
    <row r="151">
      <c r="E151" s="74"/>
    </row>
    <row r="152">
      <c r="E152" s="74"/>
    </row>
    <row r="153">
      <c r="E153" s="74"/>
    </row>
    <row r="154">
      <c r="E154" s="74"/>
    </row>
    <row r="155">
      <c r="E155" s="74"/>
    </row>
    <row r="156">
      <c r="E156" s="74"/>
    </row>
    <row r="157">
      <c r="E157" s="74"/>
    </row>
    <row r="158">
      <c r="E158" s="74"/>
    </row>
    <row r="159">
      <c r="E159" s="74"/>
    </row>
    <row r="160">
      <c r="E160" s="74"/>
    </row>
    <row r="161">
      <c r="E161" s="74"/>
    </row>
    <row r="162">
      <c r="E162" s="74"/>
    </row>
    <row r="163">
      <c r="E163" s="74"/>
    </row>
    <row r="164">
      <c r="E164" s="74"/>
    </row>
    <row r="165">
      <c r="E165" s="74"/>
    </row>
    <row r="166">
      <c r="E166" s="74"/>
    </row>
    <row r="167">
      <c r="E167" s="74"/>
    </row>
    <row r="168">
      <c r="E168" s="74"/>
    </row>
    <row r="169">
      <c r="E169" s="74"/>
    </row>
    <row r="170">
      <c r="E170" s="74"/>
    </row>
    <row r="171">
      <c r="E171" s="74"/>
    </row>
    <row r="172">
      <c r="E172" s="74"/>
    </row>
    <row r="173">
      <c r="E173" s="74"/>
    </row>
    <row r="174">
      <c r="E174" s="74"/>
    </row>
    <row r="175">
      <c r="E175" s="74"/>
    </row>
    <row r="176">
      <c r="E176" s="74"/>
    </row>
    <row r="177">
      <c r="E177" s="74"/>
    </row>
    <row r="178">
      <c r="E178" s="74"/>
    </row>
    <row r="179">
      <c r="E179" s="74"/>
    </row>
    <row r="180">
      <c r="E180" s="74"/>
    </row>
    <row r="181">
      <c r="E181" s="74"/>
    </row>
    <row r="182">
      <c r="E182" s="74"/>
    </row>
    <row r="183">
      <c r="E183" s="74"/>
    </row>
    <row r="184">
      <c r="E184" s="74"/>
    </row>
    <row r="185">
      <c r="E185" s="74"/>
    </row>
    <row r="186">
      <c r="E186" s="74"/>
    </row>
    <row r="187">
      <c r="E187" s="74"/>
    </row>
    <row r="188">
      <c r="E188" s="74"/>
    </row>
    <row r="189">
      <c r="E189" s="74"/>
    </row>
    <row r="190">
      <c r="E190" s="74"/>
    </row>
    <row r="191">
      <c r="E191" s="74"/>
    </row>
    <row r="192">
      <c r="E192" s="74"/>
    </row>
    <row r="193">
      <c r="E193" s="74"/>
    </row>
    <row r="194">
      <c r="E194" s="74"/>
    </row>
    <row r="195">
      <c r="E195" s="74"/>
    </row>
    <row r="196">
      <c r="E196" s="74"/>
    </row>
    <row r="197">
      <c r="E197" s="74"/>
    </row>
    <row r="198">
      <c r="E198" s="74"/>
    </row>
    <row r="199">
      <c r="E199" s="74"/>
    </row>
    <row r="200">
      <c r="E200" s="74"/>
    </row>
    <row r="201">
      <c r="E201" s="74"/>
    </row>
    <row r="202">
      <c r="E202" s="74"/>
    </row>
    <row r="203">
      <c r="E203" s="74"/>
    </row>
    <row r="204">
      <c r="E204" s="74"/>
    </row>
    <row r="205">
      <c r="E205" s="74"/>
    </row>
    <row r="206">
      <c r="E206" s="74"/>
    </row>
    <row r="207">
      <c r="E207" s="74"/>
    </row>
    <row r="208">
      <c r="E208" s="74"/>
    </row>
    <row r="209">
      <c r="E209" s="74"/>
    </row>
    <row r="210">
      <c r="E210" s="74"/>
    </row>
    <row r="211">
      <c r="E211" s="74"/>
    </row>
    <row r="212">
      <c r="E212" s="74"/>
    </row>
    <row r="213">
      <c r="E213" s="74"/>
    </row>
    <row r="214">
      <c r="E214" s="74"/>
    </row>
    <row r="215">
      <c r="E215" s="74"/>
    </row>
    <row r="216">
      <c r="E216" s="74"/>
    </row>
    <row r="217">
      <c r="E217" s="74"/>
    </row>
    <row r="218">
      <c r="E218" s="74"/>
    </row>
    <row r="219">
      <c r="E219" s="74"/>
    </row>
    <row r="220">
      <c r="E220" s="74"/>
    </row>
    <row r="221">
      <c r="E221" s="74"/>
    </row>
    <row r="222">
      <c r="E222" s="74"/>
    </row>
    <row r="223">
      <c r="E223" s="74"/>
    </row>
    <row r="224">
      <c r="E224" s="74"/>
    </row>
    <row r="225">
      <c r="E225" s="74"/>
    </row>
    <row r="226">
      <c r="E226" s="74"/>
    </row>
    <row r="227">
      <c r="E227" s="74"/>
    </row>
    <row r="228">
      <c r="E228" s="74"/>
    </row>
    <row r="229">
      <c r="E229" s="74"/>
    </row>
    <row r="230">
      <c r="E230" s="74"/>
    </row>
    <row r="231">
      <c r="E231" s="74"/>
    </row>
    <row r="232">
      <c r="E232" s="74"/>
    </row>
    <row r="233">
      <c r="E233" s="74"/>
    </row>
    <row r="234">
      <c r="E234" s="74"/>
    </row>
    <row r="235">
      <c r="E235" s="74"/>
    </row>
    <row r="236">
      <c r="E236" s="74"/>
    </row>
    <row r="237">
      <c r="E237" s="74"/>
    </row>
    <row r="238">
      <c r="E238" s="74"/>
    </row>
    <row r="239">
      <c r="E239" s="74"/>
    </row>
    <row r="240">
      <c r="E240" s="74"/>
    </row>
    <row r="241">
      <c r="E241" s="74"/>
    </row>
    <row r="242">
      <c r="E242" s="74"/>
    </row>
    <row r="243">
      <c r="E243" s="74"/>
    </row>
    <row r="244">
      <c r="E244" s="74"/>
    </row>
    <row r="245">
      <c r="E245" s="74"/>
    </row>
    <row r="246">
      <c r="E246" s="74"/>
    </row>
    <row r="247">
      <c r="E247" s="74"/>
    </row>
    <row r="248">
      <c r="E248" s="74"/>
    </row>
    <row r="249">
      <c r="E249" s="74"/>
    </row>
    <row r="250">
      <c r="E250" s="74"/>
    </row>
    <row r="251">
      <c r="E251" s="74"/>
    </row>
    <row r="252">
      <c r="E252" s="74"/>
    </row>
    <row r="253">
      <c r="E253" s="74"/>
    </row>
    <row r="254">
      <c r="E254" s="74"/>
    </row>
    <row r="255">
      <c r="E255" s="74"/>
    </row>
    <row r="256">
      <c r="E256" s="74"/>
    </row>
    <row r="257">
      <c r="E257" s="74"/>
    </row>
    <row r="258">
      <c r="E258" s="74"/>
    </row>
    <row r="259">
      <c r="E259" s="74"/>
    </row>
    <row r="260">
      <c r="E260" s="74"/>
    </row>
    <row r="261">
      <c r="E261" s="74"/>
    </row>
    <row r="262">
      <c r="E262" s="74"/>
    </row>
    <row r="263">
      <c r="E263" s="74"/>
    </row>
    <row r="264">
      <c r="E264" s="74"/>
    </row>
    <row r="265">
      <c r="E265" s="74"/>
    </row>
    <row r="266">
      <c r="E266" s="74"/>
    </row>
    <row r="267">
      <c r="E267" s="74"/>
    </row>
    <row r="268">
      <c r="E268" s="74"/>
    </row>
    <row r="269">
      <c r="E269" s="74"/>
    </row>
    <row r="270">
      <c r="E270" s="74"/>
    </row>
    <row r="271">
      <c r="E271" s="74"/>
    </row>
    <row r="272">
      <c r="E272" s="74"/>
    </row>
    <row r="273">
      <c r="E273" s="74"/>
    </row>
    <row r="274">
      <c r="E274" s="74"/>
    </row>
    <row r="275">
      <c r="E275" s="74"/>
    </row>
    <row r="276">
      <c r="E276" s="74"/>
    </row>
    <row r="277">
      <c r="E277" s="74"/>
    </row>
    <row r="278">
      <c r="E278" s="74"/>
    </row>
    <row r="279">
      <c r="E279" s="74"/>
    </row>
    <row r="280">
      <c r="E280" s="74"/>
    </row>
    <row r="281">
      <c r="E281" s="74"/>
    </row>
    <row r="282">
      <c r="E282" s="74"/>
    </row>
    <row r="283">
      <c r="E283" s="74"/>
    </row>
    <row r="284">
      <c r="E284" s="74"/>
    </row>
    <row r="285">
      <c r="E285" s="74"/>
    </row>
    <row r="286">
      <c r="E286" s="74"/>
    </row>
    <row r="287">
      <c r="E287" s="74"/>
    </row>
    <row r="288">
      <c r="E288" s="74"/>
    </row>
    <row r="289">
      <c r="E289" s="74"/>
    </row>
    <row r="290">
      <c r="E290" s="74"/>
    </row>
    <row r="291">
      <c r="E291" s="74"/>
    </row>
    <row r="292">
      <c r="E292" s="74"/>
    </row>
    <row r="293">
      <c r="E293" s="74"/>
    </row>
    <row r="294">
      <c r="E294" s="74"/>
    </row>
    <row r="295">
      <c r="E295" s="74"/>
    </row>
    <row r="296">
      <c r="E296" s="74"/>
    </row>
    <row r="297">
      <c r="E297" s="74"/>
    </row>
    <row r="298">
      <c r="E298" s="74"/>
    </row>
    <row r="299">
      <c r="E299" s="74"/>
    </row>
    <row r="300">
      <c r="E300" s="74"/>
    </row>
    <row r="301">
      <c r="E301" s="74"/>
    </row>
    <row r="302">
      <c r="E302" s="74"/>
    </row>
    <row r="303">
      <c r="E303" s="74"/>
    </row>
    <row r="304">
      <c r="E304" s="74"/>
    </row>
    <row r="305">
      <c r="E305" s="74"/>
    </row>
    <row r="306">
      <c r="E306" s="74"/>
    </row>
    <row r="307">
      <c r="E307" s="74"/>
    </row>
    <row r="308">
      <c r="E308" s="74"/>
    </row>
    <row r="309">
      <c r="E309" s="74"/>
    </row>
    <row r="310">
      <c r="E310" s="74"/>
    </row>
    <row r="311">
      <c r="E311" s="74"/>
    </row>
    <row r="312">
      <c r="E312" s="74"/>
    </row>
    <row r="313">
      <c r="E313" s="74"/>
    </row>
    <row r="314">
      <c r="E314" s="74"/>
    </row>
    <row r="315">
      <c r="E315" s="74"/>
    </row>
    <row r="316">
      <c r="E316" s="74"/>
    </row>
    <row r="317">
      <c r="E317" s="74"/>
    </row>
    <row r="318">
      <c r="E318" s="74"/>
    </row>
    <row r="319">
      <c r="E319" s="74"/>
    </row>
    <row r="320">
      <c r="E320" s="74"/>
    </row>
    <row r="321">
      <c r="E321" s="74"/>
    </row>
    <row r="322">
      <c r="E322" s="74"/>
    </row>
    <row r="323">
      <c r="E323" s="74"/>
    </row>
    <row r="324">
      <c r="E324" s="74"/>
    </row>
    <row r="325">
      <c r="E325" s="74"/>
    </row>
    <row r="326">
      <c r="E326" s="74"/>
    </row>
    <row r="327">
      <c r="E327" s="74"/>
    </row>
    <row r="328">
      <c r="E328" s="74"/>
    </row>
    <row r="329">
      <c r="E329" s="74"/>
    </row>
    <row r="330">
      <c r="E330" s="74"/>
    </row>
    <row r="331">
      <c r="E331" s="74"/>
    </row>
    <row r="332">
      <c r="E332" s="74"/>
    </row>
    <row r="333">
      <c r="E333" s="74"/>
    </row>
    <row r="334">
      <c r="E334" s="74"/>
    </row>
    <row r="335">
      <c r="E335" s="74"/>
    </row>
    <row r="336">
      <c r="E336" s="74"/>
    </row>
    <row r="337">
      <c r="E337" s="74"/>
    </row>
    <row r="338">
      <c r="E338" s="74"/>
    </row>
    <row r="339">
      <c r="E339" s="74"/>
    </row>
    <row r="340">
      <c r="E340" s="74"/>
    </row>
    <row r="341">
      <c r="E341" s="74"/>
    </row>
    <row r="342">
      <c r="E342" s="74"/>
    </row>
    <row r="343">
      <c r="E343" s="74"/>
    </row>
    <row r="344">
      <c r="E344" s="74"/>
    </row>
    <row r="345">
      <c r="E345" s="74"/>
    </row>
    <row r="346">
      <c r="E346" s="74"/>
    </row>
    <row r="347">
      <c r="E347" s="74"/>
    </row>
    <row r="348">
      <c r="E348" s="74"/>
    </row>
    <row r="349">
      <c r="E349" s="74"/>
    </row>
    <row r="350">
      <c r="E350" s="74"/>
    </row>
    <row r="351">
      <c r="E351" s="74"/>
    </row>
    <row r="352">
      <c r="E352" s="74"/>
    </row>
    <row r="353">
      <c r="E353" s="74"/>
    </row>
    <row r="354">
      <c r="E354" s="74"/>
    </row>
    <row r="355">
      <c r="E355" s="74"/>
    </row>
    <row r="356">
      <c r="E356" s="74"/>
    </row>
    <row r="357">
      <c r="E357" s="74"/>
    </row>
    <row r="358">
      <c r="E358" s="74"/>
    </row>
    <row r="359">
      <c r="E359" s="74"/>
    </row>
    <row r="360">
      <c r="E360" s="74"/>
    </row>
    <row r="361">
      <c r="E361" s="74"/>
    </row>
    <row r="362">
      <c r="E362" s="74"/>
    </row>
    <row r="363">
      <c r="E363" s="74"/>
    </row>
    <row r="364">
      <c r="E364" s="74"/>
    </row>
    <row r="365">
      <c r="E365" s="74"/>
    </row>
    <row r="366">
      <c r="E366" s="74"/>
    </row>
    <row r="367">
      <c r="E367" s="74"/>
    </row>
    <row r="368">
      <c r="E368" s="74"/>
    </row>
    <row r="369">
      <c r="E369" s="74"/>
    </row>
    <row r="370">
      <c r="E370" s="74"/>
    </row>
    <row r="371">
      <c r="E371" s="74"/>
    </row>
    <row r="372">
      <c r="E372" s="74"/>
    </row>
    <row r="373">
      <c r="E373" s="74"/>
    </row>
    <row r="374">
      <c r="E374" s="74"/>
    </row>
    <row r="375">
      <c r="E375" s="74"/>
    </row>
    <row r="376">
      <c r="E376" s="74"/>
    </row>
    <row r="377">
      <c r="E377" s="74"/>
    </row>
    <row r="378">
      <c r="E378" s="74"/>
    </row>
    <row r="379">
      <c r="E379" s="74"/>
    </row>
    <row r="380">
      <c r="E380" s="74"/>
    </row>
    <row r="381">
      <c r="E381" s="74"/>
    </row>
    <row r="382">
      <c r="E382" s="74"/>
    </row>
    <row r="383">
      <c r="E383" s="74"/>
    </row>
    <row r="384">
      <c r="E384" s="74"/>
    </row>
    <row r="385">
      <c r="E385" s="74"/>
    </row>
    <row r="386">
      <c r="E386" s="74"/>
    </row>
    <row r="387">
      <c r="E387" s="74"/>
    </row>
    <row r="388">
      <c r="E388" s="74"/>
    </row>
    <row r="389">
      <c r="E389" s="74"/>
    </row>
    <row r="390">
      <c r="E390" s="74"/>
    </row>
    <row r="391">
      <c r="E391" s="74"/>
    </row>
    <row r="392">
      <c r="E392" s="74"/>
    </row>
    <row r="393">
      <c r="E393" s="74"/>
    </row>
    <row r="394">
      <c r="E394" s="74"/>
    </row>
    <row r="395">
      <c r="E395" s="74"/>
    </row>
    <row r="396">
      <c r="E396" s="74"/>
    </row>
    <row r="397">
      <c r="E397" s="74"/>
    </row>
    <row r="398">
      <c r="E398" s="74"/>
    </row>
    <row r="399">
      <c r="E399" s="74"/>
    </row>
    <row r="400">
      <c r="E400" s="74"/>
    </row>
    <row r="401">
      <c r="E401" s="74"/>
    </row>
    <row r="402">
      <c r="E402" s="74"/>
    </row>
    <row r="403">
      <c r="E403" s="74"/>
    </row>
    <row r="404">
      <c r="E404" s="74"/>
    </row>
    <row r="405">
      <c r="E405" s="74"/>
    </row>
    <row r="406">
      <c r="E406" s="74"/>
    </row>
    <row r="407">
      <c r="E407" s="74"/>
    </row>
    <row r="408">
      <c r="E408" s="74"/>
    </row>
    <row r="409">
      <c r="E409" s="74"/>
    </row>
    <row r="410">
      <c r="E410" s="74"/>
    </row>
    <row r="411">
      <c r="E411" s="74"/>
    </row>
    <row r="412">
      <c r="E412" s="74"/>
    </row>
    <row r="413">
      <c r="E413" s="74"/>
    </row>
    <row r="414">
      <c r="E414" s="74"/>
    </row>
    <row r="415">
      <c r="E415" s="74"/>
    </row>
    <row r="416">
      <c r="E416" s="74"/>
    </row>
    <row r="417">
      <c r="E417" s="74"/>
    </row>
    <row r="418">
      <c r="E418" s="74"/>
    </row>
    <row r="419">
      <c r="E419" s="74"/>
    </row>
    <row r="420">
      <c r="E420" s="74"/>
    </row>
    <row r="421">
      <c r="E421" s="74"/>
    </row>
    <row r="422">
      <c r="E422" s="74"/>
    </row>
    <row r="423">
      <c r="E423" s="74"/>
    </row>
    <row r="424">
      <c r="E424" s="74"/>
    </row>
    <row r="425">
      <c r="E425" s="74"/>
    </row>
    <row r="426">
      <c r="E426" s="74"/>
    </row>
    <row r="427">
      <c r="E427" s="74"/>
    </row>
    <row r="428">
      <c r="E428" s="74"/>
    </row>
    <row r="429">
      <c r="E429" s="74"/>
    </row>
    <row r="430">
      <c r="E430" s="74"/>
    </row>
    <row r="431">
      <c r="E431" s="74"/>
    </row>
    <row r="432">
      <c r="E432" s="74"/>
    </row>
    <row r="433">
      <c r="E433" s="74"/>
    </row>
    <row r="434">
      <c r="E434" s="74"/>
    </row>
    <row r="435">
      <c r="E435" s="74"/>
    </row>
    <row r="436">
      <c r="E436" s="74"/>
    </row>
    <row r="437">
      <c r="E437" s="74"/>
    </row>
    <row r="438">
      <c r="E438" s="74"/>
    </row>
    <row r="439">
      <c r="E439" s="74"/>
    </row>
    <row r="440">
      <c r="E440" s="74"/>
    </row>
    <row r="441">
      <c r="E441" s="74"/>
    </row>
    <row r="442">
      <c r="E442" s="74"/>
    </row>
    <row r="443">
      <c r="E443" s="74"/>
    </row>
    <row r="444">
      <c r="E444" s="74"/>
    </row>
    <row r="445">
      <c r="E445" s="74"/>
    </row>
    <row r="446">
      <c r="E446" s="74"/>
    </row>
    <row r="447">
      <c r="E447" s="74"/>
    </row>
    <row r="448">
      <c r="E448" s="74"/>
    </row>
    <row r="449">
      <c r="E449" s="74"/>
    </row>
    <row r="450">
      <c r="E450" s="74"/>
    </row>
    <row r="451">
      <c r="E451" s="74"/>
    </row>
    <row r="452">
      <c r="E452" s="74"/>
    </row>
    <row r="453">
      <c r="E453" s="74"/>
    </row>
    <row r="454">
      <c r="E454" s="74"/>
    </row>
    <row r="455">
      <c r="E455" s="74"/>
    </row>
    <row r="456">
      <c r="E456" s="74"/>
    </row>
    <row r="457">
      <c r="E457" s="74"/>
    </row>
    <row r="458">
      <c r="E458" s="74"/>
    </row>
    <row r="459">
      <c r="E459" s="74"/>
    </row>
    <row r="460">
      <c r="E460" s="74"/>
    </row>
    <row r="461">
      <c r="E461" s="74"/>
    </row>
    <row r="462">
      <c r="E462" s="74"/>
    </row>
    <row r="463">
      <c r="E463" s="74"/>
    </row>
    <row r="464">
      <c r="E464" s="74"/>
    </row>
    <row r="465">
      <c r="E465" s="74"/>
    </row>
    <row r="466">
      <c r="E466" s="74"/>
    </row>
    <row r="467">
      <c r="E467" s="74"/>
    </row>
    <row r="468">
      <c r="E468" s="74"/>
    </row>
    <row r="469">
      <c r="E469" s="74"/>
    </row>
    <row r="470">
      <c r="E470" s="74"/>
    </row>
    <row r="471">
      <c r="E471" s="74"/>
    </row>
    <row r="472">
      <c r="E472" s="74"/>
    </row>
    <row r="473">
      <c r="E473" s="74"/>
    </row>
    <row r="474">
      <c r="E474" s="74"/>
    </row>
    <row r="475">
      <c r="E475" s="74"/>
    </row>
    <row r="476">
      <c r="E476" s="74"/>
    </row>
    <row r="477">
      <c r="E477" s="74"/>
    </row>
    <row r="478">
      <c r="E478" s="74"/>
    </row>
    <row r="479">
      <c r="E479" s="74"/>
    </row>
    <row r="480">
      <c r="E480" s="74"/>
    </row>
    <row r="481">
      <c r="E481" s="74"/>
    </row>
    <row r="482">
      <c r="E482" s="74"/>
    </row>
    <row r="483">
      <c r="E483" s="74"/>
    </row>
    <row r="484">
      <c r="E484" s="74"/>
    </row>
    <row r="485">
      <c r="E485" s="74"/>
    </row>
    <row r="486">
      <c r="E486" s="74"/>
    </row>
    <row r="487">
      <c r="E487" s="74"/>
    </row>
    <row r="488">
      <c r="E488" s="74"/>
    </row>
    <row r="489">
      <c r="E489" s="74"/>
    </row>
    <row r="490">
      <c r="E490" s="74"/>
    </row>
    <row r="491">
      <c r="E491" s="74"/>
    </row>
    <row r="492">
      <c r="E492" s="74"/>
    </row>
    <row r="493">
      <c r="E493" s="74"/>
    </row>
    <row r="494">
      <c r="E494" s="74"/>
    </row>
    <row r="495">
      <c r="E495" s="74"/>
    </row>
    <row r="496">
      <c r="E496" s="74"/>
    </row>
    <row r="497">
      <c r="E497" s="74"/>
    </row>
    <row r="498">
      <c r="E498" s="74"/>
    </row>
    <row r="499">
      <c r="E499" s="74"/>
    </row>
    <row r="500">
      <c r="E500" s="74"/>
    </row>
    <row r="501">
      <c r="E501" s="74"/>
    </row>
    <row r="502">
      <c r="E502" s="74"/>
    </row>
    <row r="503">
      <c r="E503" s="74"/>
    </row>
    <row r="504">
      <c r="E504" s="74"/>
    </row>
    <row r="505">
      <c r="E505" s="74"/>
    </row>
    <row r="506">
      <c r="E506" s="74"/>
    </row>
    <row r="507">
      <c r="E507" s="74"/>
    </row>
    <row r="508">
      <c r="E508" s="74"/>
    </row>
    <row r="509">
      <c r="E509" s="74"/>
    </row>
    <row r="510">
      <c r="E510" s="74"/>
    </row>
    <row r="511">
      <c r="E511" s="74"/>
    </row>
    <row r="512">
      <c r="E512" s="74"/>
    </row>
    <row r="513">
      <c r="E513" s="74"/>
    </row>
    <row r="514">
      <c r="E514" s="74"/>
    </row>
    <row r="515">
      <c r="E515" s="74"/>
    </row>
    <row r="516">
      <c r="E516" s="74"/>
    </row>
    <row r="517">
      <c r="E517" s="74"/>
    </row>
    <row r="518">
      <c r="E518" s="74"/>
    </row>
    <row r="519">
      <c r="E519" s="74"/>
    </row>
    <row r="520">
      <c r="E520" s="74"/>
    </row>
    <row r="521">
      <c r="E521" s="74"/>
    </row>
    <row r="522">
      <c r="E522" s="74"/>
    </row>
    <row r="523">
      <c r="E523" s="74"/>
    </row>
    <row r="524">
      <c r="E524" s="74"/>
    </row>
    <row r="525">
      <c r="E525" s="74"/>
    </row>
    <row r="526">
      <c r="E526" s="74"/>
    </row>
    <row r="527">
      <c r="E527" s="74"/>
    </row>
    <row r="528">
      <c r="E528" s="74"/>
    </row>
    <row r="529">
      <c r="E529" s="74"/>
    </row>
    <row r="530">
      <c r="E530" s="74"/>
    </row>
    <row r="531">
      <c r="E531" s="74"/>
    </row>
    <row r="532">
      <c r="E532" s="74"/>
    </row>
    <row r="533">
      <c r="E533" s="74"/>
    </row>
    <row r="534">
      <c r="E534" s="74"/>
    </row>
    <row r="535">
      <c r="E535" s="74"/>
    </row>
    <row r="536">
      <c r="E536" s="74"/>
    </row>
    <row r="537">
      <c r="E537" s="74"/>
    </row>
    <row r="538">
      <c r="E538" s="74"/>
    </row>
    <row r="539">
      <c r="E539" s="74"/>
    </row>
    <row r="540">
      <c r="E540" s="74"/>
    </row>
    <row r="541">
      <c r="E541" s="74"/>
    </row>
    <row r="542">
      <c r="E542" s="74"/>
    </row>
    <row r="543">
      <c r="E543" s="74"/>
    </row>
    <row r="544">
      <c r="E544" s="74"/>
    </row>
    <row r="545">
      <c r="E545" s="74"/>
    </row>
    <row r="546">
      <c r="E546" s="74"/>
    </row>
    <row r="547">
      <c r="E547" s="74"/>
    </row>
    <row r="548">
      <c r="E548" s="74"/>
    </row>
    <row r="549">
      <c r="E549" s="74"/>
    </row>
    <row r="550">
      <c r="E550" s="74"/>
    </row>
    <row r="551">
      <c r="E551" s="74"/>
    </row>
    <row r="552">
      <c r="E552" s="74"/>
    </row>
    <row r="553">
      <c r="E553" s="74"/>
    </row>
    <row r="554">
      <c r="E554" s="74"/>
    </row>
    <row r="555">
      <c r="E555" s="74"/>
    </row>
    <row r="556">
      <c r="E556" s="74"/>
    </row>
    <row r="557">
      <c r="E557" s="74"/>
    </row>
    <row r="558">
      <c r="E558" s="74"/>
    </row>
    <row r="559">
      <c r="E559" s="74"/>
    </row>
    <row r="560">
      <c r="E560" s="74"/>
    </row>
    <row r="561">
      <c r="E561" s="74"/>
    </row>
    <row r="562">
      <c r="E562" s="74"/>
    </row>
    <row r="563">
      <c r="E563" s="74"/>
    </row>
    <row r="564">
      <c r="E564" s="74"/>
    </row>
    <row r="565">
      <c r="E565" s="74"/>
    </row>
    <row r="566">
      <c r="E566" s="74"/>
    </row>
    <row r="567">
      <c r="E567" s="74"/>
    </row>
    <row r="568">
      <c r="E568" s="74"/>
    </row>
    <row r="569">
      <c r="E569" s="74"/>
    </row>
    <row r="570">
      <c r="E570" s="74"/>
    </row>
    <row r="571">
      <c r="E571" s="74"/>
    </row>
    <row r="572">
      <c r="E572" s="74"/>
    </row>
    <row r="573">
      <c r="E573" s="74"/>
    </row>
    <row r="574">
      <c r="E574" s="74"/>
    </row>
    <row r="575">
      <c r="E575" s="74"/>
    </row>
    <row r="576">
      <c r="E576" s="74"/>
    </row>
    <row r="577">
      <c r="E577" s="74"/>
    </row>
    <row r="578">
      <c r="E578" s="74"/>
    </row>
    <row r="579">
      <c r="E579" s="74"/>
    </row>
    <row r="580">
      <c r="E580" s="74"/>
    </row>
    <row r="581">
      <c r="E581" s="74"/>
    </row>
    <row r="582">
      <c r="E582" s="74"/>
    </row>
    <row r="583">
      <c r="E583" s="74"/>
    </row>
    <row r="584">
      <c r="E584" s="74"/>
    </row>
    <row r="585">
      <c r="E585" s="74"/>
    </row>
    <row r="586">
      <c r="E586" s="74"/>
    </row>
    <row r="587">
      <c r="E587" s="74"/>
    </row>
    <row r="588">
      <c r="E588" s="74"/>
    </row>
    <row r="589">
      <c r="E589" s="74"/>
    </row>
    <row r="590">
      <c r="E590" s="74"/>
    </row>
    <row r="591">
      <c r="E591" s="74"/>
    </row>
    <row r="592">
      <c r="E592" s="74"/>
    </row>
    <row r="593">
      <c r="E593" s="74"/>
    </row>
    <row r="594">
      <c r="E594" s="74"/>
    </row>
    <row r="595">
      <c r="E595" s="74"/>
    </row>
    <row r="596">
      <c r="E596" s="74"/>
    </row>
    <row r="597">
      <c r="E597" s="74"/>
    </row>
    <row r="598">
      <c r="E598" s="74"/>
    </row>
    <row r="599">
      <c r="E599" s="74"/>
    </row>
    <row r="600">
      <c r="E600" s="74"/>
    </row>
    <row r="601">
      <c r="E601" s="74"/>
    </row>
    <row r="602">
      <c r="E602" s="74"/>
    </row>
    <row r="603">
      <c r="E603" s="74"/>
    </row>
    <row r="604">
      <c r="E604" s="74"/>
    </row>
    <row r="605">
      <c r="E605" s="74"/>
    </row>
    <row r="606">
      <c r="E606" s="74"/>
    </row>
    <row r="607">
      <c r="E607" s="74"/>
    </row>
    <row r="608">
      <c r="E608" s="74"/>
    </row>
    <row r="609">
      <c r="E609" s="74"/>
    </row>
    <row r="610">
      <c r="E610" s="74"/>
    </row>
    <row r="611">
      <c r="E611" s="74"/>
    </row>
    <row r="612">
      <c r="E612" s="74"/>
    </row>
    <row r="613">
      <c r="E613" s="74"/>
    </row>
    <row r="614">
      <c r="E614" s="74"/>
    </row>
    <row r="615">
      <c r="E615" s="74"/>
    </row>
    <row r="616">
      <c r="E616" s="74"/>
    </row>
    <row r="617">
      <c r="E617" s="74"/>
    </row>
    <row r="618">
      <c r="E618" s="74"/>
    </row>
    <row r="619">
      <c r="E619" s="74"/>
    </row>
    <row r="620">
      <c r="E620" s="74"/>
    </row>
    <row r="621">
      <c r="E621" s="74"/>
    </row>
    <row r="622">
      <c r="E622" s="74"/>
    </row>
    <row r="623">
      <c r="E623" s="74"/>
    </row>
    <row r="624">
      <c r="E624" s="74"/>
    </row>
    <row r="625">
      <c r="E625" s="74"/>
    </row>
    <row r="626">
      <c r="E626" s="74"/>
    </row>
    <row r="627">
      <c r="E627" s="74"/>
    </row>
    <row r="628">
      <c r="E628" s="74"/>
    </row>
    <row r="629">
      <c r="E629" s="74"/>
    </row>
    <row r="630">
      <c r="E630" s="74"/>
    </row>
    <row r="631">
      <c r="E631" s="74"/>
    </row>
    <row r="632">
      <c r="E632" s="74"/>
    </row>
    <row r="633">
      <c r="E633" s="74"/>
    </row>
    <row r="634">
      <c r="E634" s="74"/>
    </row>
    <row r="635">
      <c r="E635" s="74"/>
    </row>
    <row r="636">
      <c r="E636" s="74"/>
    </row>
    <row r="637">
      <c r="E637" s="74"/>
    </row>
    <row r="638">
      <c r="E638" s="74"/>
    </row>
    <row r="639">
      <c r="E639" s="74"/>
    </row>
    <row r="640">
      <c r="E640" s="74"/>
    </row>
    <row r="641">
      <c r="E641" s="74"/>
    </row>
    <row r="642">
      <c r="E642" s="74"/>
    </row>
    <row r="643">
      <c r="E643" s="74"/>
    </row>
    <row r="644">
      <c r="E644" s="74"/>
    </row>
    <row r="645">
      <c r="E645" s="74"/>
    </row>
    <row r="646">
      <c r="E646" s="74"/>
    </row>
    <row r="647">
      <c r="E647" s="74"/>
    </row>
    <row r="648">
      <c r="E648" s="74"/>
    </row>
    <row r="649">
      <c r="E649" s="74"/>
    </row>
    <row r="650">
      <c r="E650" s="74"/>
    </row>
    <row r="651">
      <c r="E651" s="74"/>
    </row>
    <row r="652">
      <c r="E652" s="74"/>
    </row>
    <row r="653">
      <c r="E653" s="74"/>
    </row>
    <row r="654">
      <c r="E654" s="74"/>
    </row>
    <row r="655">
      <c r="E655" s="74"/>
    </row>
    <row r="656">
      <c r="E656" s="74"/>
    </row>
    <row r="657">
      <c r="E657" s="74"/>
    </row>
    <row r="658">
      <c r="E658" s="74"/>
    </row>
    <row r="659">
      <c r="E659" s="74"/>
    </row>
    <row r="660">
      <c r="E660" s="74"/>
    </row>
    <row r="661">
      <c r="E661" s="74"/>
    </row>
    <row r="662">
      <c r="E662" s="74"/>
    </row>
    <row r="663">
      <c r="E663" s="74"/>
    </row>
    <row r="664">
      <c r="E664" s="74"/>
    </row>
    <row r="665">
      <c r="E665" s="74"/>
    </row>
    <row r="666">
      <c r="E666" s="74"/>
    </row>
    <row r="667">
      <c r="E667" s="74"/>
    </row>
    <row r="668">
      <c r="E668" s="74"/>
    </row>
    <row r="669">
      <c r="E669" s="74"/>
    </row>
    <row r="670">
      <c r="E670" s="74"/>
    </row>
    <row r="671">
      <c r="E671" s="74"/>
    </row>
    <row r="672">
      <c r="E672" s="74"/>
    </row>
    <row r="673">
      <c r="E673" s="74"/>
    </row>
    <row r="674">
      <c r="E674" s="74"/>
    </row>
    <row r="675">
      <c r="E675" s="74"/>
    </row>
    <row r="676">
      <c r="E676" s="74"/>
    </row>
    <row r="677">
      <c r="E677" s="74"/>
    </row>
    <row r="678">
      <c r="E678" s="74"/>
    </row>
    <row r="679">
      <c r="E679" s="74"/>
    </row>
    <row r="680">
      <c r="E680" s="74"/>
    </row>
    <row r="681">
      <c r="E681" s="74"/>
    </row>
    <row r="682">
      <c r="E682" s="74"/>
    </row>
    <row r="683">
      <c r="E683" s="74"/>
    </row>
    <row r="684">
      <c r="E684" s="74"/>
    </row>
    <row r="685">
      <c r="E685" s="74"/>
    </row>
    <row r="686">
      <c r="E686" s="74"/>
    </row>
    <row r="687">
      <c r="E687" s="74"/>
    </row>
    <row r="688">
      <c r="E688" s="74"/>
    </row>
    <row r="689">
      <c r="E689" s="74"/>
    </row>
    <row r="690">
      <c r="E690" s="74"/>
    </row>
    <row r="691">
      <c r="E691" s="74"/>
    </row>
    <row r="692">
      <c r="E692" s="74"/>
    </row>
    <row r="693">
      <c r="E693" s="74"/>
    </row>
    <row r="694">
      <c r="E694" s="74"/>
    </row>
    <row r="695">
      <c r="E695" s="74"/>
    </row>
    <row r="696">
      <c r="E696" s="74"/>
    </row>
    <row r="697">
      <c r="E697" s="74"/>
    </row>
    <row r="698">
      <c r="E698" s="74"/>
    </row>
    <row r="699">
      <c r="E699" s="74"/>
    </row>
    <row r="700">
      <c r="E700" s="74"/>
    </row>
    <row r="701">
      <c r="E701" s="74"/>
    </row>
    <row r="702">
      <c r="E702" s="74"/>
    </row>
    <row r="703">
      <c r="E703" s="74"/>
    </row>
    <row r="704">
      <c r="E704" s="74"/>
    </row>
    <row r="705">
      <c r="E705" s="74"/>
    </row>
    <row r="706">
      <c r="E706" s="74"/>
    </row>
    <row r="707">
      <c r="E707" s="74"/>
    </row>
    <row r="708">
      <c r="E708" s="74"/>
    </row>
    <row r="709">
      <c r="E709" s="74"/>
    </row>
    <row r="710">
      <c r="E710" s="74"/>
    </row>
    <row r="711">
      <c r="E711" s="74"/>
    </row>
    <row r="712">
      <c r="E712" s="74"/>
    </row>
    <row r="713">
      <c r="E713" s="74"/>
    </row>
    <row r="714">
      <c r="E714" s="74"/>
    </row>
    <row r="715">
      <c r="E715" s="74"/>
    </row>
    <row r="716">
      <c r="E716" s="74"/>
    </row>
    <row r="717">
      <c r="E717" s="74"/>
    </row>
    <row r="718">
      <c r="E718" s="74"/>
    </row>
    <row r="719">
      <c r="E719" s="74"/>
    </row>
    <row r="720">
      <c r="E720" s="74"/>
    </row>
    <row r="721">
      <c r="E721" s="74"/>
    </row>
    <row r="722">
      <c r="E722" s="74"/>
    </row>
    <row r="723">
      <c r="E723" s="74"/>
    </row>
    <row r="724">
      <c r="E724" s="74"/>
    </row>
    <row r="725">
      <c r="E725" s="74"/>
    </row>
    <row r="726">
      <c r="E726" s="74"/>
    </row>
    <row r="727">
      <c r="E727" s="74"/>
    </row>
    <row r="728">
      <c r="E728" s="74"/>
    </row>
    <row r="729">
      <c r="E729" s="74"/>
    </row>
    <row r="730">
      <c r="E730" s="74"/>
    </row>
    <row r="731">
      <c r="E731" s="74"/>
    </row>
    <row r="732">
      <c r="E732" s="74"/>
    </row>
    <row r="733">
      <c r="E733" s="74"/>
    </row>
    <row r="734">
      <c r="E734" s="74"/>
    </row>
    <row r="735">
      <c r="E735" s="74"/>
    </row>
    <row r="736">
      <c r="E736" s="74"/>
    </row>
    <row r="737">
      <c r="E737" s="74"/>
    </row>
    <row r="738">
      <c r="E738" s="74"/>
    </row>
    <row r="739">
      <c r="E739" s="74"/>
    </row>
    <row r="740">
      <c r="E740" s="74"/>
    </row>
    <row r="741">
      <c r="E741" s="74"/>
    </row>
    <row r="742">
      <c r="E742" s="74"/>
    </row>
    <row r="743">
      <c r="E743" s="74"/>
    </row>
    <row r="744">
      <c r="E744" s="74"/>
    </row>
    <row r="745">
      <c r="E745" s="74"/>
    </row>
    <row r="746">
      <c r="E746" s="74"/>
    </row>
    <row r="747">
      <c r="E747" s="74"/>
    </row>
    <row r="748">
      <c r="E748" s="74"/>
    </row>
    <row r="749">
      <c r="E749" s="74"/>
    </row>
    <row r="750">
      <c r="E750" s="74"/>
    </row>
    <row r="751">
      <c r="E751" s="74"/>
    </row>
    <row r="752">
      <c r="E752" s="74"/>
    </row>
    <row r="753">
      <c r="E753" s="74"/>
    </row>
    <row r="754">
      <c r="E754" s="74"/>
    </row>
    <row r="755">
      <c r="E755" s="74"/>
    </row>
    <row r="756">
      <c r="E756" s="74"/>
    </row>
    <row r="757">
      <c r="E757" s="74"/>
    </row>
    <row r="758">
      <c r="E758" s="74"/>
    </row>
    <row r="759">
      <c r="E759" s="74"/>
    </row>
    <row r="760">
      <c r="E760" s="74"/>
    </row>
    <row r="761">
      <c r="E761" s="74"/>
    </row>
    <row r="762">
      <c r="E762" s="74"/>
    </row>
    <row r="763">
      <c r="E763" s="74"/>
    </row>
    <row r="764">
      <c r="E764" s="74"/>
    </row>
    <row r="765">
      <c r="E765" s="74"/>
    </row>
    <row r="766">
      <c r="E766" s="74"/>
    </row>
    <row r="767">
      <c r="E767" s="74"/>
    </row>
    <row r="768">
      <c r="E768" s="74"/>
    </row>
    <row r="769">
      <c r="E769" s="74"/>
    </row>
    <row r="770">
      <c r="E770" s="74"/>
    </row>
    <row r="771">
      <c r="E771" s="74"/>
    </row>
    <row r="772">
      <c r="E772" s="74"/>
    </row>
    <row r="773">
      <c r="E773" s="74"/>
    </row>
    <row r="774">
      <c r="E774" s="74"/>
    </row>
    <row r="775">
      <c r="E775" s="74"/>
    </row>
    <row r="776">
      <c r="E776" s="74"/>
    </row>
    <row r="777">
      <c r="E777" s="74"/>
    </row>
    <row r="778">
      <c r="E778" s="74"/>
    </row>
    <row r="779">
      <c r="E779" s="74"/>
    </row>
    <row r="780">
      <c r="E780" s="74"/>
    </row>
    <row r="781">
      <c r="E781" s="74"/>
    </row>
    <row r="782">
      <c r="E782" s="74"/>
    </row>
    <row r="783">
      <c r="E783" s="74"/>
    </row>
    <row r="784">
      <c r="E784" s="74"/>
    </row>
    <row r="785">
      <c r="E785" s="74"/>
    </row>
    <row r="786">
      <c r="E786" s="74"/>
    </row>
    <row r="787">
      <c r="E787" s="74"/>
    </row>
    <row r="788">
      <c r="E788" s="74"/>
    </row>
    <row r="789">
      <c r="E789" s="74"/>
    </row>
    <row r="790">
      <c r="E790" s="74"/>
    </row>
    <row r="791">
      <c r="E791" s="74"/>
    </row>
    <row r="792">
      <c r="E792" s="74"/>
    </row>
    <row r="793">
      <c r="E793" s="74"/>
    </row>
    <row r="794">
      <c r="E794" s="74"/>
    </row>
    <row r="795">
      <c r="E795" s="74"/>
    </row>
    <row r="796">
      <c r="E796" s="74"/>
    </row>
    <row r="797">
      <c r="E797" s="74"/>
    </row>
    <row r="798">
      <c r="E798" s="74"/>
    </row>
    <row r="799">
      <c r="E799" s="74"/>
    </row>
    <row r="800">
      <c r="E800" s="74"/>
    </row>
    <row r="801">
      <c r="E801" s="74"/>
    </row>
    <row r="802">
      <c r="E802" s="74"/>
    </row>
    <row r="803">
      <c r="E803" s="74"/>
    </row>
    <row r="804">
      <c r="E804" s="74"/>
    </row>
    <row r="805">
      <c r="E805" s="74"/>
    </row>
    <row r="806">
      <c r="E806" s="74"/>
    </row>
    <row r="807">
      <c r="E807" s="74"/>
    </row>
    <row r="808">
      <c r="E808" s="74"/>
    </row>
    <row r="809">
      <c r="E809" s="74"/>
    </row>
    <row r="810">
      <c r="E810" s="74"/>
    </row>
    <row r="811">
      <c r="E811" s="74"/>
    </row>
    <row r="812">
      <c r="E812" s="74"/>
    </row>
    <row r="813">
      <c r="E813" s="74"/>
    </row>
    <row r="814">
      <c r="E814" s="74"/>
    </row>
    <row r="815">
      <c r="E815" s="74"/>
    </row>
    <row r="816">
      <c r="E816" s="74"/>
    </row>
    <row r="817">
      <c r="E817" s="74"/>
    </row>
    <row r="818">
      <c r="E818" s="74"/>
    </row>
    <row r="819">
      <c r="E819" s="74"/>
    </row>
    <row r="820">
      <c r="E820" s="74"/>
    </row>
    <row r="821">
      <c r="E821" s="74"/>
    </row>
    <row r="822">
      <c r="E822" s="74"/>
    </row>
    <row r="823">
      <c r="E823" s="74"/>
    </row>
    <row r="824">
      <c r="E824" s="74"/>
    </row>
    <row r="825">
      <c r="E825" s="74"/>
    </row>
    <row r="826">
      <c r="E826" s="74"/>
    </row>
    <row r="827">
      <c r="E827" s="74"/>
    </row>
    <row r="828">
      <c r="E828" s="74"/>
    </row>
    <row r="829">
      <c r="E829" s="74"/>
    </row>
    <row r="830">
      <c r="E830" s="74"/>
    </row>
    <row r="831">
      <c r="E831" s="74"/>
    </row>
    <row r="832">
      <c r="E832" s="74"/>
    </row>
    <row r="833">
      <c r="E833" s="74"/>
    </row>
    <row r="834">
      <c r="E834" s="74"/>
    </row>
    <row r="835">
      <c r="E835" s="74"/>
    </row>
    <row r="836">
      <c r="E836" s="74"/>
    </row>
    <row r="837">
      <c r="E837" s="74"/>
    </row>
    <row r="838">
      <c r="E838" s="74"/>
    </row>
    <row r="839">
      <c r="E839" s="74"/>
    </row>
    <row r="840">
      <c r="E840" s="74"/>
    </row>
    <row r="841">
      <c r="E841" s="74"/>
    </row>
    <row r="842">
      <c r="E842" s="74"/>
    </row>
    <row r="843">
      <c r="E843" s="74"/>
    </row>
    <row r="844">
      <c r="E844" s="74"/>
    </row>
    <row r="845">
      <c r="E845" s="74"/>
    </row>
    <row r="846">
      <c r="E846" s="74"/>
    </row>
    <row r="847">
      <c r="E847" s="74"/>
    </row>
    <row r="848">
      <c r="E848" s="74"/>
    </row>
    <row r="849">
      <c r="E849" s="74"/>
    </row>
    <row r="850">
      <c r="E850" s="74"/>
    </row>
    <row r="851">
      <c r="E851" s="74"/>
    </row>
    <row r="852">
      <c r="E852" s="74"/>
    </row>
    <row r="853">
      <c r="E853" s="74"/>
    </row>
    <row r="854">
      <c r="E854" s="74"/>
    </row>
    <row r="855">
      <c r="E855" s="74"/>
    </row>
    <row r="856">
      <c r="E856" s="74"/>
    </row>
    <row r="857">
      <c r="E857" s="74"/>
    </row>
    <row r="858">
      <c r="E858" s="74"/>
    </row>
    <row r="859">
      <c r="E859" s="74"/>
    </row>
    <row r="860">
      <c r="E860" s="74"/>
    </row>
    <row r="861">
      <c r="E861" s="74"/>
    </row>
    <row r="862">
      <c r="E862" s="74"/>
    </row>
    <row r="863">
      <c r="E863" s="74"/>
    </row>
    <row r="864">
      <c r="E864" s="74"/>
    </row>
    <row r="865">
      <c r="E865" s="74"/>
    </row>
    <row r="866">
      <c r="E866" s="74"/>
    </row>
    <row r="867">
      <c r="E867" s="74"/>
    </row>
    <row r="868">
      <c r="E868" s="74"/>
    </row>
    <row r="869">
      <c r="E869" s="74"/>
    </row>
    <row r="870">
      <c r="E870" s="74"/>
    </row>
    <row r="871">
      <c r="E871" s="74"/>
    </row>
    <row r="872">
      <c r="E872" s="74"/>
    </row>
    <row r="873">
      <c r="E873" s="74"/>
    </row>
    <row r="874">
      <c r="E874" s="74"/>
    </row>
    <row r="875">
      <c r="E875" s="74"/>
    </row>
    <row r="876">
      <c r="E876" s="74"/>
    </row>
    <row r="877">
      <c r="E877" s="74"/>
    </row>
    <row r="878">
      <c r="E878" s="74"/>
    </row>
    <row r="879">
      <c r="E879" s="74"/>
    </row>
    <row r="880">
      <c r="E880" s="74"/>
    </row>
    <row r="881">
      <c r="E881" s="74"/>
    </row>
    <row r="882">
      <c r="E882" s="74"/>
    </row>
    <row r="883">
      <c r="E883" s="74"/>
    </row>
    <row r="884">
      <c r="E884" s="74"/>
    </row>
    <row r="885">
      <c r="E885" s="74"/>
    </row>
    <row r="886">
      <c r="E886" s="74"/>
    </row>
    <row r="887">
      <c r="E887" s="74"/>
    </row>
    <row r="888">
      <c r="E888" s="74"/>
    </row>
    <row r="889">
      <c r="E889" s="74"/>
    </row>
    <row r="890">
      <c r="E890" s="74"/>
    </row>
    <row r="891">
      <c r="E891" s="74"/>
    </row>
    <row r="892">
      <c r="E892" s="74"/>
    </row>
    <row r="893">
      <c r="E893" s="74"/>
    </row>
    <row r="894">
      <c r="E894" s="74"/>
    </row>
    <row r="895">
      <c r="E895" s="74"/>
    </row>
    <row r="896">
      <c r="E896" s="74"/>
    </row>
    <row r="897">
      <c r="E897" s="74"/>
    </row>
    <row r="898">
      <c r="E898" s="74"/>
    </row>
    <row r="899">
      <c r="E899" s="74"/>
    </row>
    <row r="900">
      <c r="E900" s="74"/>
    </row>
    <row r="901">
      <c r="E901" s="74"/>
    </row>
    <row r="902">
      <c r="E902" s="74"/>
    </row>
    <row r="903">
      <c r="E903" s="74"/>
    </row>
    <row r="904">
      <c r="E904" s="74"/>
    </row>
    <row r="905">
      <c r="E905" s="74"/>
    </row>
    <row r="906">
      <c r="E906" s="74"/>
    </row>
    <row r="907">
      <c r="E907" s="74"/>
    </row>
    <row r="908">
      <c r="E908" s="74"/>
    </row>
    <row r="909">
      <c r="E909" s="74"/>
    </row>
    <row r="910">
      <c r="E910" s="74"/>
    </row>
    <row r="911">
      <c r="E911" s="74"/>
    </row>
    <row r="912">
      <c r="E912" s="74"/>
    </row>
    <row r="913">
      <c r="E913" s="74"/>
    </row>
    <row r="914">
      <c r="E914" s="74"/>
    </row>
    <row r="915">
      <c r="E915" s="74"/>
    </row>
    <row r="916">
      <c r="E916" s="74"/>
    </row>
    <row r="917">
      <c r="E917" s="74"/>
    </row>
    <row r="918">
      <c r="E918" s="74"/>
    </row>
    <row r="919">
      <c r="E919" s="74"/>
    </row>
    <row r="920">
      <c r="E920" s="74"/>
    </row>
    <row r="921">
      <c r="E921" s="74"/>
    </row>
    <row r="922">
      <c r="E922" s="74"/>
    </row>
    <row r="923">
      <c r="E923" s="74"/>
    </row>
    <row r="924">
      <c r="E924" s="74"/>
    </row>
    <row r="925">
      <c r="E925" s="74"/>
    </row>
    <row r="926">
      <c r="E926" s="74"/>
    </row>
    <row r="927">
      <c r="E927" s="74"/>
    </row>
    <row r="928">
      <c r="E928" s="74"/>
    </row>
    <row r="929">
      <c r="E929" s="74"/>
    </row>
    <row r="930">
      <c r="E930" s="74"/>
    </row>
    <row r="931">
      <c r="E931" s="74"/>
    </row>
    <row r="932">
      <c r="E932" s="74"/>
    </row>
    <row r="933">
      <c r="E933" s="74"/>
    </row>
    <row r="934">
      <c r="E934" s="74"/>
    </row>
    <row r="935">
      <c r="E935" s="74"/>
    </row>
    <row r="936">
      <c r="E936" s="74"/>
    </row>
    <row r="937">
      <c r="E937" s="74"/>
    </row>
    <row r="938">
      <c r="E938" s="74"/>
    </row>
    <row r="939">
      <c r="E939" s="74"/>
    </row>
    <row r="940">
      <c r="E940" s="74"/>
    </row>
    <row r="941">
      <c r="E941" s="74"/>
    </row>
    <row r="942">
      <c r="E942" s="74"/>
    </row>
    <row r="943">
      <c r="E943" s="74"/>
    </row>
    <row r="944">
      <c r="E944" s="74"/>
    </row>
    <row r="945">
      <c r="E945" s="74"/>
    </row>
    <row r="946">
      <c r="E946" s="74"/>
    </row>
    <row r="947">
      <c r="E947" s="74"/>
    </row>
    <row r="948">
      <c r="E948" s="74"/>
    </row>
    <row r="949">
      <c r="E949" s="74"/>
    </row>
    <row r="950">
      <c r="E950" s="74"/>
    </row>
    <row r="951">
      <c r="E951" s="74"/>
    </row>
    <row r="952">
      <c r="E952" s="74"/>
    </row>
    <row r="953">
      <c r="E953" s="74"/>
    </row>
    <row r="954">
      <c r="E954" s="74"/>
    </row>
    <row r="955">
      <c r="E955" s="74"/>
    </row>
    <row r="956">
      <c r="E956" s="74"/>
    </row>
    <row r="957">
      <c r="E957" s="74"/>
    </row>
    <row r="958">
      <c r="E958" s="74"/>
    </row>
    <row r="959">
      <c r="E959" s="74"/>
    </row>
    <row r="960">
      <c r="E960" s="74"/>
    </row>
    <row r="961">
      <c r="E961" s="74"/>
    </row>
    <row r="962">
      <c r="E962" s="74"/>
    </row>
    <row r="963">
      <c r="E963" s="74"/>
    </row>
    <row r="964">
      <c r="E964" s="74"/>
    </row>
    <row r="965">
      <c r="E965" s="74"/>
    </row>
    <row r="966">
      <c r="E966" s="74"/>
    </row>
    <row r="967">
      <c r="E967" s="74"/>
    </row>
    <row r="968">
      <c r="E968" s="74"/>
    </row>
    <row r="969">
      <c r="E969" s="74"/>
    </row>
    <row r="970">
      <c r="E970" s="74"/>
    </row>
    <row r="971">
      <c r="E971" s="74"/>
    </row>
    <row r="972">
      <c r="E972" s="74"/>
    </row>
    <row r="973">
      <c r="E973" s="74"/>
    </row>
    <row r="974">
      <c r="E974" s="74"/>
    </row>
    <row r="975">
      <c r="E975" s="74"/>
    </row>
    <row r="976">
      <c r="E976" s="74"/>
    </row>
    <row r="977">
      <c r="E977" s="74"/>
    </row>
    <row r="978">
      <c r="E978" s="74"/>
    </row>
    <row r="979">
      <c r="E979" s="74"/>
    </row>
    <row r="980">
      <c r="E980" s="74"/>
    </row>
    <row r="981">
      <c r="E981" s="74"/>
    </row>
    <row r="982">
      <c r="E982" s="74"/>
    </row>
    <row r="983">
      <c r="E983" s="74"/>
    </row>
    <row r="984">
      <c r="E984" s="74"/>
    </row>
    <row r="985">
      <c r="E985" s="74"/>
    </row>
    <row r="986">
      <c r="E986" s="74"/>
    </row>
    <row r="987">
      <c r="E987" s="74"/>
    </row>
    <row r="988">
      <c r="E988" s="74"/>
    </row>
    <row r="989">
      <c r="E989" s="74"/>
    </row>
    <row r="990">
      <c r="E990" s="74"/>
    </row>
    <row r="991">
      <c r="E991" s="74"/>
    </row>
    <row r="992">
      <c r="E992" s="74"/>
    </row>
    <row r="993">
      <c r="E993" s="74"/>
    </row>
    <row r="994">
      <c r="E994" s="74"/>
    </row>
    <row r="995">
      <c r="E995" s="74"/>
    </row>
    <row r="996">
      <c r="E996" s="74"/>
    </row>
    <row r="997">
      <c r="E997" s="74"/>
    </row>
    <row r="998">
      <c r="E998" s="74"/>
    </row>
  </sheetData>
  <conditionalFormatting sqref="A2:A121 B2:C52 D2:E121">
    <cfRule type="cellIs" dxfId="1" priority="1" operator="equal">
      <formula>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5.75"/>
    <col customWidth="1" min="6" max="6" width="14.75"/>
  </cols>
  <sheetData>
    <row r="1">
      <c r="A1" s="65" t="s">
        <v>8987</v>
      </c>
      <c r="B1" s="65" t="s">
        <v>8988</v>
      </c>
      <c r="C1" s="65" t="s">
        <v>8989</v>
      </c>
      <c r="D1" s="65" t="s">
        <v>8990</v>
      </c>
      <c r="E1" s="65" t="s">
        <v>8991</v>
      </c>
      <c r="F1" s="65" t="s">
        <v>8992</v>
      </c>
    </row>
    <row r="2">
      <c r="A2" s="65" t="s">
        <v>8993</v>
      </c>
      <c r="B2" s="65" t="s">
        <v>8994</v>
      </c>
      <c r="C2" s="65" t="s">
        <v>8995</v>
      </c>
      <c r="D2" s="65" t="s">
        <v>8996</v>
      </c>
      <c r="E2" s="68">
        <v>0.0</v>
      </c>
      <c r="F2" s="68">
        <v>15.0</v>
      </c>
    </row>
    <row r="3">
      <c r="A3" s="65" t="s">
        <v>8997</v>
      </c>
      <c r="B3" s="65" t="s">
        <v>8994</v>
      </c>
      <c r="C3" s="65" t="s">
        <v>8995</v>
      </c>
      <c r="D3" s="65" t="s">
        <v>8998</v>
      </c>
      <c r="E3" s="68">
        <v>1.0</v>
      </c>
      <c r="F3" s="68">
        <v>15.0</v>
      </c>
    </row>
    <row r="4">
      <c r="A4" s="65" t="s">
        <v>8999</v>
      </c>
      <c r="B4" s="65" t="s">
        <v>8994</v>
      </c>
      <c r="C4" s="65" t="s">
        <v>9000</v>
      </c>
      <c r="D4" s="65" t="s">
        <v>9001</v>
      </c>
      <c r="E4" s="68">
        <v>1.0</v>
      </c>
      <c r="F4" s="68">
        <v>15.0</v>
      </c>
    </row>
    <row r="5">
      <c r="A5" s="65" t="s">
        <v>9002</v>
      </c>
      <c r="B5" s="65" t="s">
        <v>8994</v>
      </c>
      <c r="C5" s="65" t="s">
        <v>9003</v>
      </c>
      <c r="D5" s="65" t="s">
        <v>9004</v>
      </c>
      <c r="E5" s="68">
        <v>2.0</v>
      </c>
      <c r="F5" s="68">
        <v>15.0</v>
      </c>
    </row>
    <row r="6">
      <c r="A6" s="65" t="s">
        <v>9005</v>
      </c>
      <c r="B6" s="65" t="s">
        <v>8994</v>
      </c>
      <c r="C6" s="65" t="s">
        <v>9006</v>
      </c>
      <c r="D6" s="65" t="s">
        <v>9007</v>
      </c>
      <c r="E6" s="68">
        <v>0.0</v>
      </c>
      <c r="F6" s="68">
        <v>13.0</v>
      </c>
    </row>
    <row r="7">
      <c r="A7" s="65" t="s">
        <v>9008</v>
      </c>
      <c r="B7" s="65" t="s">
        <v>8994</v>
      </c>
      <c r="C7" s="65" t="s">
        <v>9009</v>
      </c>
      <c r="D7" s="65" t="s">
        <v>9010</v>
      </c>
      <c r="E7" s="68">
        <v>2.0</v>
      </c>
      <c r="F7" s="68">
        <v>15.0</v>
      </c>
    </row>
    <row r="8">
      <c r="A8" s="65" t="s">
        <v>9011</v>
      </c>
      <c r="B8" s="65" t="s">
        <v>8994</v>
      </c>
      <c r="C8" s="65" t="s">
        <v>9012</v>
      </c>
      <c r="D8" s="65" t="s">
        <v>9013</v>
      </c>
      <c r="E8" s="68">
        <v>3.0</v>
      </c>
      <c r="F8" s="68">
        <v>14.0</v>
      </c>
    </row>
    <row r="9">
      <c r="A9" s="65" t="s">
        <v>9014</v>
      </c>
      <c r="B9" s="65" t="s">
        <v>8994</v>
      </c>
      <c r="C9" s="65" t="s">
        <v>9015</v>
      </c>
      <c r="D9" s="65" t="s">
        <v>9016</v>
      </c>
      <c r="E9" s="68">
        <v>1.0</v>
      </c>
      <c r="F9" s="68">
        <v>14.0</v>
      </c>
    </row>
    <row r="10">
      <c r="A10" s="65" t="s">
        <v>9017</v>
      </c>
      <c r="B10" s="65" t="s">
        <v>8994</v>
      </c>
      <c r="C10" s="65" t="s">
        <v>9018</v>
      </c>
      <c r="D10" s="65" t="s">
        <v>9019</v>
      </c>
      <c r="E10" s="68">
        <v>3.0</v>
      </c>
      <c r="F10" s="68">
        <v>15.0</v>
      </c>
    </row>
    <row r="11">
      <c r="A11" s="65" t="s">
        <v>9020</v>
      </c>
      <c r="B11" s="65" t="s">
        <v>8994</v>
      </c>
      <c r="C11" s="65" t="s">
        <v>9021</v>
      </c>
      <c r="D11" s="65" t="s">
        <v>9022</v>
      </c>
      <c r="E11" s="68">
        <v>0.0</v>
      </c>
      <c r="F11" s="68">
        <v>15.0</v>
      </c>
    </row>
    <row r="12">
      <c r="A12" s="65" t="s">
        <v>9023</v>
      </c>
      <c r="B12" s="65" t="s">
        <v>8994</v>
      </c>
      <c r="C12" s="65" t="s">
        <v>9024</v>
      </c>
      <c r="D12" s="65" t="s">
        <v>9025</v>
      </c>
      <c r="E12" s="68">
        <v>2.0</v>
      </c>
      <c r="F12" s="68">
        <v>15.0</v>
      </c>
    </row>
    <row r="13">
      <c r="A13" s="65" t="s">
        <v>9026</v>
      </c>
      <c r="B13" s="65" t="s">
        <v>8994</v>
      </c>
      <c r="C13" s="65" t="s">
        <v>9027</v>
      </c>
      <c r="D13" s="65" t="s">
        <v>9028</v>
      </c>
      <c r="E13" s="68">
        <v>1.0</v>
      </c>
      <c r="F13" s="68">
        <v>15.0</v>
      </c>
    </row>
    <row r="14">
      <c r="A14" s="65" t="s">
        <v>9029</v>
      </c>
      <c r="B14" s="65" t="s">
        <v>8994</v>
      </c>
      <c r="C14" s="65" t="s">
        <v>8995</v>
      </c>
      <c r="D14" s="65" t="s">
        <v>9030</v>
      </c>
      <c r="E14" s="68">
        <v>0.0</v>
      </c>
      <c r="F14" s="68">
        <v>15.0</v>
      </c>
    </row>
    <row r="15">
      <c r="A15" s="65" t="s">
        <v>9031</v>
      </c>
      <c r="B15" s="65" t="s">
        <v>8994</v>
      </c>
      <c r="C15" s="65" t="s">
        <v>9015</v>
      </c>
      <c r="D15" s="65" t="s">
        <v>9032</v>
      </c>
      <c r="E15" s="68">
        <v>0.0</v>
      </c>
      <c r="F15" s="68">
        <v>15.0</v>
      </c>
    </row>
    <row r="16">
      <c r="A16" s="65" t="s">
        <v>9033</v>
      </c>
      <c r="B16" s="65" t="s">
        <v>8994</v>
      </c>
      <c r="C16" s="65" t="s">
        <v>9015</v>
      </c>
      <c r="D16" s="65" t="s">
        <v>9034</v>
      </c>
      <c r="E16" s="68">
        <v>2.0</v>
      </c>
      <c r="F16" s="68">
        <v>15.0</v>
      </c>
    </row>
    <row r="17">
      <c r="A17" s="65" t="s">
        <v>9035</v>
      </c>
      <c r="B17" s="65" t="s">
        <v>8994</v>
      </c>
      <c r="C17" s="65" t="s">
        <v>9024</v>
      </c>
      <c r="D17" s="65" t="s">
        <v>9036</v>
      </c>
      <c r="E17" s="68">
        <v>0.0</v>
      </c>
      <c r="F17" s="68">
        <v>15.0</v>
      </c>
    </row>
    <row r="18">
      <c r="A18" s="65" t="s">
        <v>9037</v>
      </c>
      <c r="B18" s="65" t="s">
        <v>9038</v>
      </c>
      <c r="C18" s="65" t="s">
        <v>9039</v>
      </c>
      <c r="D18" s="65" t="s">
        <v>9040</v>
      </c>
      <c r="E18" s="68">
        <v>2.0</v>
      </c>
      <c r="F18" s="68">
        <v>15.0</v>
      </c>
    </row>
    <row r="19">
      <c r="A19" s="65" t="s">
        <v>9041</v>
      </c>
      <c r="B19" s="65" t="s">
        <v>9038</v>
      </c>
      <c r="C19" s="65" t="s">
        <v>9042</v>
      </c>
      <c r="D19" s="65" t="s">
        <v>9043</v>
      </c>
      <c r="E19" s="68">
        <v>1.0</v>
      </c>
      <c r="F19" s="68">
        <v>14.0</v>
      </c>
    </row>
    <row r="20">
      <c r="A20" s="65" t="s">
        <v>9044</v>
      </c>
      <c r="B20" s="65" t="s">
        <v>9038</v>
      </c>
      <c r="C20" s="65" t="s">
        <v>9045</v>
      </c>
      <c r="D20" s="65" t="s">
        <v>9046</v>
      </c>
      <c r="E20" s="68">
        <v>0.0</v>
      </c>
      <c r="F20" s="68">
        <v>15.0</v>
      </c>
    </row>
    <row r="21">
      <c r="A21" s="65" t="s">
        <v>9047</v>
      </c>
      <c r="B21" s="65" t="s">
        <v>9038</v>
      </c>
      <c r="C21" s="65" t="s">
        <v>9048</v>
      </c>
      <c r="D21" s="65" t="s">
        <v>9049</v>
      </c>
      <c r="E21" s="68">
        <v>1.0</v>
      </c>
      <c r="F21" s="68">
        <v>14.0</v>
      </c>
    </row>
    <row r="22">
      <c r="A22" s="65" t="s">
        <v>9050</v>
      </c>
      <c r="B22" s="65" t="s">
        <v>9038</v>
      </c>
      <c r="C22" s="65" t="s">
        <v>9045</v>
      </c>
      <c r="D22" s="65" t="s">
        <v>9051</v>
      </c>
      <c r="E22" s="68">
        <v>0.0</v>
      </c>
      <c r="F22" s="68">
        <v>15.0</v>
      </c>
    </row>
    <row r="23">
      <c r="A23" s="65" t="s">
        <v>9052</v>
      </c>
      <c r="B23" s="65" t="s">
        <v>9038</v>
      </c>
      <c r="C23" s="65" t="s">
        <v>9053</v>
      </c>
      <c r="D23" s="65" t="s">
        <v>9054</v>
      </c>
      <c r="E23" s="68">
        <v>3.0</v>
      </c>
      <c r="F23" s="68">
        <v>14.0</v>
      </c>
    </row>
    <row r="24">
      <c r="A24" s="65" t="s">
        <v>9055</v>
      </c>
      <c r="B24" s="65" t="s">
        <v>9038</v>
      </c>
      <c r="C24" s="65" t="s">
        <v>9056</v>
      </c>
      <c r="D24" s="65" t="s">
        <v>9057</v>
      </c>
      <c r="E24" s="68">
        <v>3.0</v>
      </c>
      <c r="F24" s="68">
        <v>15.0</v>
      </c>
    </row>
    <row r="25">
      <c r="A25" s="65" t="s">
        <v>9058</v>
      </c>
      <c r="B25" s="65" t="s">
        <v>9038</v>
      </c>
      <c r="C25" s="65" t="s">
        <v>9059</v>
      </c>
      <c r="D25" s="65" t="s">
        <v>9060</v>
      </c>
      <c r="E25" s="68">
        <v>0.0</v>
      </c>
      <c r="F25" s="68">
        <v>12.0</v>
      </c>
    </row>
    <row r="26">
      <c r="A26" s="65" t="s">
        <v>9061</v>
      </c>
      <c r="B26" s="65" t="s">
        <v>9038</v>
      </c>
      <c r="C26" s="65" t="s">
        <v>9062</v>
      </c>
      <c r="D26" s="65" t="s">
        <v>9063</v>
      </c>
      <c r="E26" s="68">
        <v>3.0</v>
      </c>
      <c r="F26" s="68">
        <v>15.0</v>
      </c>
    </row>
    <row r="27">
      <c r="A27" s="65" t="s">
        <v>9064</v>
      </c>
      <c r="B27" s="65" t="s">
        <v>9038</v>
      </c>
      <c r="C27" s="65" t="s">
        <v>9039</v>
      </c>
      <c r="D27" s="65" t="s">
        <v>9065</v>
      </c>
      <c r="E27" s="68">
        <v>1.0</v>
      </c>
      <c r="F27" s="68">
        <v>14.0</v>
      </c>
    </row>
    <row r="28">
      <c r="A28" s="65" t="s">
        <v>9066</v>
      </c>
      <c r="B28" s="65" t="s">
        <v>9038</v>
      </c>
      <c r="C28" s="65" t="s">
        <v>9067</v>
      </c>
      <c r="D28" s="65" t="s">
        <v>9068</v>
      </c>
      <c r="E28" s="68">
        <v>3.0</v>
      </c>
      <c r="F28" s="68">
        <v>14.0</v>
      </c>
    </row>
    <row r="29">
      <c r="A29" s="65" t="s">
        <v>9069</v>
      </c>
      <c r="B29" s="65" t="s">
        <v>9038</v>
      </c>
      <c r="C29" s="65" t="s">
        <v>9070</v>
      </c>
      <c r="D29" s="65" t="s">
        <v>9071</v>
      </c>
      <c r="E29" s="68">
        <v>3.0</v>
      </c>
      <c r="F29" s="68">
        <v>15.0</v>
      </c>
    </row>
    <row r="30">
      <c r="A30" s="65" t="s">
        <v>9072</v>
      </c>
      <c r="B30" s="65" t="s">
        <v>9038</v>
      </c>
      <c r="C30" s="65" t="s">
        <v>9056</v>
      </c>
      <c r="D30" s="65" t="s">
        <v>9073</v>
      </c>
      <c r="E30" s="68">
        <v>3.0</v>
      </c>
      <c r="F30" s="68">
        <v>15.0</v>
      </c>
    </row>
    <row r="31">
      <c r="A31" s="65" t="s">
        <v>9074</v>
      </c>
      <c r="B31" s="65" t="s">
        <v>9038</v>
      </c>
      <c r="C31" s="65" t="s">
        <v>9062</v>
      </c>
      <c r="D31" s="65" t="s">
        <v>9075</v>
      </c>
      <c r="E31" s="68">
        <v>0.0</v>
      </c>
      <c r="F31" s="68">
        <v>15.0</v>
      </c>
    </row>
    <row r="32">
      <c r="A32" s="65" t="s">
        <v>9076</v>
      </c>
      <c r="B32" s="65" t="s">
        <v>9038</v>
      </c>
      <c r="C32" s="65" t="s">
        <v>9053</v>
      </c>
      <c r="D32" s="65" t="s">
        <v>9077</v>
      </c>
      <c r="E32" s="68">
        <v>0.0</v>
      </c>
      <c r="F32" s="68">
        <v>14.0</v>
      </c>
    </row>
    <row r="33">
      <c r="A33" s="65" t="s">
        <v>9078</v>
      </c>
      <c r="B33" s="65" t="s">
        <v>9038</v>
      </c>
      <c r="C33" s="65" t="s">
        <v>9070</v>
      </c>
      <c r="D33" s="65" t="s">
        <v>9079</v>
      </c>
      <c r="E33" s="68">
        <v>0.0</v>
      </c>
      <c r="F33" s="68">
        <v>15.0</v>
      </c>
    </row>
    <row r="34">
      <c r="A34" s="65" t="s">
        <v>9080</v>
      </c>
      <c r="B34" s="65" t="s">
        <v>9038</v>
      </c>
      <c r="C34" s="65" t="s">
        <v>9081</v>
      </c>
      <c r="D34" s="65" t="s">
        <v>9082</v>
      </c>
      <c r="E34" s="68">
        <v>0.0</v>
      </c>
      <c r="F34" s="68">
        <v>15.0</v>
      </c>
    </row>
    <row r="35">
      <c r="A35" s="65" t="s">
        <v>9083</v>
      </c>
      <c r="B35" s="65" t="s">
        <v>9038</v>
      </c>
      <c r="C35" s="65" t="s">
        <v>9084</v>
      </c>
      <c r="D35" s="65" t="s">
        <v>9085</v>
      </c>
      <c r="E35" s="68">
        <v>1.0</v>
      </c>
      <c r="F35" s="68">
        <v>14.0</v>
      </c>
    </row>
    <row r="36">
      <c r="A36" s="65" t="s">
        <v>9086</v>
      </c>
      <c r="B36" s="65" t="s">
        <v>9038</v>
      </c>
      <c r="C36" s="65" t="s">
        <v>9067</v>
      </c>
      <c r="D36" s="65" t="s">
        <v>9087</v>
      </c>
      <c r="E36" s="68">
        <v>0.0</v>
      </c>
      <c r="F36" s="68">
        <v>14.0</v>
      </c>
    </row>
    <row r="37">
      <c r="A37" s="65" t="s">
        <v>9088</v>
      </c>
      <c r="B37" s="65" t="s">
        <v>9038</v>
      </c>
      <c r="C37" s="65" t="s">
        <v>9056</v>
      </c>
      <c r="D37" s="65" t="s">
        <v>9089</v>
      </c>
      <c r="E37" s="68">
        <v>0.0</v>
      </c>
      <c r="F37" s="68">
        <v>13.0</v>
      </c>
    </row>
    <row r="38">
      <c r="A38" s="65" t="s">
        <v>9090</v>
      </c>
      <c r="B38" s="65" t="s">
        <v>9038</v>
      </c>
      <c r="C38" s="65" t="s">
        <v>9081</v>
      </c>
      <c r="D38" s="65" t="s">
        <v>9091</v>
      </c>
      <c r="E38" s="68">
        <v>2.0</v>
      </c>
      <c r="F38" s="68">
        <v>15.0</v>
      </c>
    </row>
    <row r="39">
      <c r="A39" s="65" t="s">
        <v>9092</v>
      </c>
      <c r="B39" s="65" t="s">
        <v>9038</v>
      </c>
      <c r="C39" s="65" t="s">
        <v>9053</v>
      </c>
      <c r="D39" s="65" t="s">
        <v>9093</v>
      </c>
      <c r="E39" s="68">
        <v>0.0</v>
      </c>
      <c r="F39" s="68">
        <v>13.0</v>
      </c>
    </row>
    <row r="40">
      <c r="A40" s="65" t="s">
        <v>9094</v>
      </c>
      <c r="B40" s="65" t="s">
        <v>9038</v>
      </c>
      <c r="C40" s="65" t="s">
        <v>9095</v>
      </c>
      <c r="D40" s="65" t="s">
        <v>9096</v>
      </c>
      <c r="E40" s="68">
        <v>2.0</v>
      </c>
      <c r="F40" s="68">
        <v>13.0</v>
      </c>
    </row>
    <row r="41">
      <c r="A41" s="65" t="s">
        <v>9097</v>
      </c>
      <c r="B41" s="65" t="s">
        <v>9038</v>
      </c>
      <c r="C41" s="65" t="s">
        <v>9098</v>
      </c>
      <c r="D41" s="65" t="s">
        <v>9099</v>
      </c>
      <c r="E41" s="68">
        <v>2.0</v>
      </c>
      <c r="F41" s="68">
        <v>15.0</v>
      </c>
    </row>
    <row r="42">
      <c r="A42" s="65" t="s">
        <v>9100</v>
      </c>
      <c r="B42" s="65" t="s">
        <v>9038</v>
      </c>
      <c r="C42" s="65" t="s">
        <v>9084</v>
      </c>
      <c r="D42" s="65" t="s">
        <v>9101</v>
      </c>
      <c r="E42" s="68">
        <v>0.0</v>
      </c>
      <c r="F42" s="68">
        <v>15.0</v>
      </c>
    </row>
    <row r="43">
      <c r="A43" s="65" t="s">
        <v>9102</v>
      </c>
      <c r="B43" s="65" t="s">
        <v>9103</v>
      </c>
      <c r="C43" s="65" t="s">
        <v>9104</v>
      </c>
      <c r="D43" s="65" t="s">
        <v>9105</v>
      </c>
      <c r="E43" s="68">
        <v>0.0</v>
      </c>
      <c r="F43" s="68">
        <v>15.0</v>
      </c>
    </row>
    <row r="44">
      <c r="A44" s="65" t="s">
        <v>9106</v>
      </c>
      <c r="B44" s="65" t="s">
        <v>9103</v>
      </c>
      <c r="C44" s="65" t="s">
        <v>9107</v>
      </c>
      <c r="D44" s="65" t="s">
        <v>9108</v>
      </c>
      <c r="E44" s="68">
        <v>0.0</v>
      </c>
      <c r="F44" s="68">
        <v>15.0</v>
      </c>
    </row>
    <row r="45">
      <c r="A45" s="65" t="s">
        <v>9109</v>
      </c>
      <c r="B45" s="65" t="s">
        <v>9103</v>
      </c>
      <c r="C45" s="65" t="s">
        <v>9110</v>
      </c>
      <c r="D45" s="65" t="s">
        <v>9111</v>
      </c>
      <c r="E45" s="68">
        <v>0.0</v>
      </c>
      <c r="F45" s="68">
        <v>15.0</v>
      </c>
    </row>
    <row r="46">
      <c r="A46" s="65" t="s">
        <v>9112</v>
      </c>
      <c r="B46" s="65" t="s">
        <v>9103</v>
      </c>
      <c r="C46" s="65" t="s">
        <v>9113</v>
      </c>
      <c r="D46" s="65" t="s">
        <v>9114</v>
      </c>
      <c r="E46" s="68">
        <v>3.0</v>
      </c>
      <c r="F46" s="68">
        <v>13.0</v>
      </c>
    </row>
    <row r="47">
      <c r="A47" s="65" t="s">
        <v>9115</v>
      </c>
      <c r="B47" s="65" t="s">
        <v>9103</v>
      </c>
      <c r="C47" s="65" t="s">
        <v>9116</v>
      </c>
      <c r="D47" s="65" t="s">
        <v>9117</v>
      </c>
      <c r="E47" s="68">
        <v>2.0</v>
      </c>
      <c r="F47" s="68">
        <v>15.0</v>
      </c>
    </row>
    <row r="48">
      <c r="A48" s="65" t="s">
        <v>9118</v>
      </c>
      <c r="B48" s="65" t="s">
        <v>9103</v>
      </c>
      <c r="C48" s="65" t="s">
        <v>9110</v>
      </c>
      <c r="D48" s="65" t="s">
        <v>9119</v>
      </c>
      <c r="E48" s="68">
        <v>1.0</v>
      </c>
      <c r="F48" s="68">
        <v>15.0</v>
      </c>
    </row>
    <row r="49">
      <c r="A49" s="65" t="s">
        <v>9120</v>
      </c>
      <c r="B49" s="65" t="s">
        <v>9103</v>
      </c>
      <c r="C49" s="65" t="s">
        <v>9121</v>
      </c>
      <c r="D49" s="65" t="s">
        <v>9122</v>
      </c>
      <c r="E49" s="68">
        <v>0.0</v>
      </c>
      <c r="F49" s="68">
        <v>15.0</v>
      </c>
    </row>
    <row r="50">
      <c r="A50" s="65" t="s">
        <v>9123</v>
      </c>
      <c r="B50" s="65" t="s">
        <v>9103</v>
      </c>
      <c r="C50" s="65" t="s">
        <v>9124</v>
      </c>
      <c r="D50" s="65" t="s">
        <v>9125</v>
      </c>
      <c r="E50" s="68">
        <v>0.0</v>
      </c>
      <c r="F50" s="68">
        <v>15.0</v>
      </c>
    </row>
    <row r="51">
      <c r="A51" s="65" t="s">
        <v>9126</v>
      </c>
      <c r="B51" s="65" t="s">
        <v>9103</v>
      </c>
      <c r="C51" s="65" t="s">
        <v>9104</v>
      </c>
      <c r="D51" s="65" t="s">
        <v>9127</v>
      </c>
      <c r="E51" s="68">
        <v>1.0</v>
      </c>
      <c r="F51" s="68">
        <v>15.0</v>
      </c>
    </row>
    <row r="52">
      <c r="A52" s="65" t="s">
        <v>9128</v>
      </c>
      <c r="B52" s="65" t="s">
        <v>9103</v>
      </c>
      <c r="C52" s="65" t="s">
        <v>9129</v>
      </c>
      <c r="D52" s="65" t="s">
        <v>9130</v>
      </c>
      <c r="E52" s="68">
        <v>1.0</v>
      </c>
      <c r="F52" s="68">
        <v>15.0</v>
      </c>
    </row>
    <row r="53">
      <c r="A53" s="65" t="s">
        <v>9131</v>
      </c>
      <c r="B53" s="65" t="s">
        <v>9103</v>
      </c>
      <c r="C53" s="65" t="s">
        <v>9107</v>
      </c>
      <c r="D53" s="65" t="s">
        <v>9132</v>
      </c>
      <c r="E53" s="68">
        <v>1.0</v>
      </c>
      <c r="F53" s="68">
        <v>13.0</v>
      </c>
    </row>
    <row r="54">
      <c r="A54" s="65" t="s">
        <v>9133</v>
      </c>
      <c r="B54" s="65" t="s">
        <v>9103</v>
      </c>
      <c r="C54" s="65" t="s">
        <v>9134</v>
      </c>
      <c r="D54" s="65" t="s">
        <v>9135</v>
      </c>
      <c r="E54" s="68">
        <v>1.0</v>
      </c>
      <c r="F54" s="68">
        <v>15.0</v>
      </c>
    </row>
    <row r="55">
      <c r="A55" s="65" t="s">
        <v>9136</v>
      </c>
      <c r="B55" s="65" t="s">
        <v>9103</v>
      </c>
      <c r="C55" s="65" t="s">
        <v>9107</v>
      </c>
      <c r="D55" s="65" t="s">
        <v>9137</v>
      </c>
      <c r="E55" s="68">
        <v>1.0</v>
      </c>
      <c r="F55" s="68">
        <v>13.0</v>
      </c>
    </row>
    <row r="56">
      <c r="A56" s="65" t="s">
        <v>9138</v>
      </c>
      <c r="B56" s="65" t="s">
        <v>9103</v>
      </c>
      <c r="C56" s="65" t="s">
        <v>9107</v>
      </c>
      <c r="D56" s="65" t="s">
        <v>9139</v>
      </c>
      <c r="E56" s="68">
        <v>2.0</v>
      </c>
      <c r="F56" s="68">
        <v>13.0</v>
      </c>
    </row>
    <row r="57">
      <c r="A57" s="65" t="s">
        <v>9140</v>
      </c>
      <c r="B57" s="65" t="s">
        <v>9103</v>
      </c>
      <c r="C57" s="65" t="s">
        <v>9121</v>
      </c>
      <c r="D57" s="65" t="s">
        <v>9141</v>
      </c>
      <c r="E57" s="68">
        <v>0.0</v>
      </c>
      <c r="F57" s="68">
        <v>15.0</v>
      </c>
    </row>
    <row r="58">
      <c r="A58" s="65" t="s">
        <v>9142</v>
      </c>
      <c r="B58" s="65" t="s">
        <v>9103</v>
      </c>
      <c r="C58" s="65" t="s">
        <v>9110</v>
      </c>
      <c r="D58" s="65" t="s">
        <v>9143</v>
      </c>
      <c r="E58" s="68">
        <v>2.0</v>
      </c>
      <c r="F58" s="68">
        <v>15.0</v>
      </c>
    </row>
    <row r="59">
      <c r="A59" s="65" t="s">
        <v>9144</v>
      </c>
      <c r="B59" s="65" t="s">
        <v>9103</v>
      </c>
      <c r="C59" s="65" t="s">
        <v>9104</v>
      </c>
      <c r="D59" s="65" t="s">
        <v>9145</v>
      </c>
      <c r="E59" s="68">
        <v>2.0</v>
      </c>
      <c r="F59" s="68">
        <v>15.0</v>
      </c>
    </row>
    <row r="60">
      <c r="A60" s="65" t="s">
        <v>9146</v>
      </c>
      <c r="B60" s="65" t="s">
        <v>9103</v>
      </c>
      <c r="C60" s="65" t="s">
        <v>9147</v>
      </c>
      <c r="D60" s="65" t="s">
        <v>9148</v>
      </c>
      <c r="E60" s="68">
        <v>0.0</v>
      </c>
      <c r="F60" s="68">
        <v>15.0</v>
      </c>
    </row>
    <row r="61">
      <c r="A61" s="65" t="s">
        <v>9149</v>
      </c>
      <c r="B61" s="65" t="s">
        <v>9103</v>
      </c>
      <c r="C61" s="65" t="s">
        <v>9147</v>
      </c>
      <c r="D61" s="65" t="s">
        <v>9150</v>
      </c>
      <c r="E61" s="68">
        <v>0.0</v>
      </c>
      <c r="F61" s="68">
        <v>15.0</v>
      </c>
    </row>
    <row r="62">
      <c r="A62" s="65" t="s">
        <v>9151</v>
      </c>
      <c r="B62" s="65" t="s">
        <v>9103</v>
      </c>
      <c r="C62" s="65" t="s">
        <v>9107</v>
      </c>
      <c r="D62" s="65" t="s">
        <v>9152</v>
      </c>
      <c r="E62" s="68">
        <v>3.0</v>
      </c>
      <c r="F62" s="68">
        <v>13.0</v>
      </c>
    </row>
    <row r="63">
      <c r="A63" s="65" t="s">
        <v>9153</v>
      </c>
      <c r="B63" s="65" t="s">
        <v>9103</v>
      </c>
      <c r="C63" s="65" t="s">
        <v>9147</v>
      </c>
      <c r="D63" s="65" t="s">
        <v>9022</v>
      </c>
      <c r="E63" s="68">
        <v>3.0</v>
      </c>
      <c r="F63" s="68">
        <v>13.0</v>
      </c>
    </row>
    <row r="64">
      <c r="A64" s="65" t="s">
        <v>9154</v>
      </c>
      <c r="B64" s="65" t="s">
        <v>9103</v>
      </c>
      <c r="C64" s="65" t="s">
        <v>9155</v>
      </c>
      <c r="D64" s="65" t="s">
        <v>9156</v>
      </c>
      <c r="E64" s="68">
        <v>3.0</v>
      </c>
      <c r="F64" s="68">
        <v>15.0</v>
      </c>
    </row>
    <row r="65">
      <c r="A65" s="65" t="s">
        <v>9157</v>
      </c>
      <c r="B65" s="65" t="s">
        <v>9158</v>
      </c>
      <c r="C65" s="65" t="s">
        <v>9159</v>
      </c>
      <c r="D65" s="65" t="s">
        <v>9160</v>
      </c>
      <c r="E65" s="68">
        <v>0.0</v>
      </c>
      <c r="F65" s="68">
        <v>15.0</v>
      </c>
    </row>
    <row r="66">
      <c r="A66" s="65" t="s">
        <v>9161</v>
      </c>
      <c r="B66" s="65" t="s">
        <v>9158</v>
      </c>
      <c r="C66" s="65" t="s">
        <v>9162</v>
      </c>
      <c r="D66" s="65" t="s">
        <v>9163</v>
      </c>
      <c r="E66" s="68">
        <v>1.0</v>
      </c>
      <c r="F66" s="68">
        <v>13.0</v>
      </c>
    </row>
    <row r="67">
      <c r="A67" s="65" t="s">
        <v>9164</v>
      </c>
      <c r="B67" s="65" t="s">
        <v>9158</v>
      </c>
      <c r="C67" s="65" t="s">
        <v>9165</v>
      </c>
      <c r="D67" s="65" t="s">
        <v>9166</v>
      </c>
      <c r="E67" s="68">
        <v>2.0</v>
      </c>
      <c r="F67" s="68">
        <v>15.0</v>
      </c>
    </row>
    <row r="68">
      <c r="A68" s="65" t="s">
        <v>9167</v>
      </c>
      <c r="B68" s="65" t="s">
        <v>9158</v>
      </c>
      <c r="C68" s="65" t="s">
        <v>9168</v>
      </c>
      <c r="D68" s="65" t="s">
        <v>9169</v>
      </c>
      <c r="E68" s="68">
        <v>0.0</v>
      </c>
      <c r="F68" s="68">
        <v>15.0</v>
      </c>
    </row>
    <row r="69">
      <c r="A69" s="65" t="s">
        <v>9170</v>
      </c>
      <c r="B69" s="65" t="s">
        <v>9158</v>
      </c>
      <c r="C69" s="65" t="s">
        <v>9171</v>
      </c>
      <c r="D69" s="65" t="s">
        <v>9172</v>
      </c>
      <c r="E69" s="68">
        <v>2.0</v>
      </c>
      <c r="F69" s="68">
        <v>14.0</v>
      </c>
    </row>
    <row r="70">
      <c r="A70" s="65" t="s">
        <v>9173</v>
      </c>
      <c r="B70" s="65" t="s">
        <v>9158</v>
      </c>
      <c r="C70" s="65" t="s">
        <v>9174</v>
      </c>
      <c r="D70" s="65" t="s">
        <v>9175</v>
      </c>
      <c r="E70" s="68">
        <v>2.0</v>
      </c>
      <c r="F70" s="68">
        <v>15.0</v>
      </c>
    </row>
    <row r="71">
      <c r="A71" s="65" t="s">
        <v>9176</v>
      </c>
      <c r="B71" s="65" t="s">
        <v>9158</v>
      </c>
      <c r="C71" s="65" t="s">
        <v>9177</v>
      </c>
      <c r="D71" s="65" t="s">
        <v>9178</v>
      </c>
      <c r="E71" s="68">
        <v>1.0</v>
      </c>
      <c r="F71" s="68">
        <v>14.0</v>
      </c>
    </row>
    <row r="72">
      <c r="A72" s="65" t="s">
        <v>9179</v>
      </c>
      <c r="B72" s="65" t="s">
        <v>9158</v>
      </c>
      <c r="C72" s="65" t="s">
        <v>9180</v>
      </c>
      <c r="D72" s="65" t="s">
        <v>9181</v>
      </c>
      <c r="E72" s="68">
        <v>0.0</v>
      </c>
      <c r="F72" s="68">
        <v>15.0</v>
      </c>
    </row>
    <row r="73">
      <c r="A73" s="65" t="s">
        <v>9182</v>
      </c>
      <c r="B73" s="65" t="s">
        <v>9158</v>
      </c>
      <c r="C73" s="65" t="s">
        <v>9183</v>
      </c>
      <c r="D73" s="65" t="s">
        <v>9184</v>
      </c>
      <c r="E73" s="68">
        <v>2.0</v>
      </c>
      <c r="F73" s="68">
        <v>15.0</v>
      </c>
    </row>
    <row r="74">
      <c r="A74" s="65" t="s">
        <v>9185</v>
      </c>
      <c r="B74" s="65" t="s">
        <v>9158</v>
      </c>
      <c r="C74" s="65" t="s">
        <v>9186</v>
      </c>
      <c r="D74" s="65" t="s">
        <v>9187</v>
      </c>
      <c r="E74" s="68">
        <v>0.0</v>
      </c>
      <c r="F74" s="68">
        <v>15.0</v>
      </c>
    </row>
    <row r="75">
      <c r="A75" s="65" t="s">
        <v>9188</v>
      </c>
      <c r="B75" s="65" t="s">
        <v>9158</v>
      </c>
      <c r="C75" s="65" t="s">
        <v>9189</v>
      </c>
      <c r="D75" s="65" t="s">
        <v>9190</v>
      </c>
      <c r="E75" s="68">
        <v>0.0</v>
      </c>
      <c r="F75" s="68">
        <v>14.0</v>
      </c>
    </row>
    <row r="76">
      <c r="A76" s="65" t="s">
        <v>9191</v>
      </c>
      <c r="B76" s="65" t="s">
        <v>9158</v>
      </c>
      <c r="C76" s="65" t="s">
        <v>9192</v>
      </c>
      <c r="D76" s="65" t="s">
        <v>9193</v>
      </c>
      <c r="E76" s="68">
        <v>0.0</v>
      </c>
      <c r="F76" s="68">
        <v>15.0</v>
      </c>
    </row>
    <row r="77">
      <c r="A77" s="65" t="s">
        <v>9194</v>
      </c>
      <c r="B77" s="65" t="s">
        <v>9158</v>
      </c>
      <c r="C77" s="65" t="s">
        <v>9195</v>
      </c>
      <c r="D77" s="65" t="s">
        <v>9196</v>
      </c>
      <c r="E77" s="68">
        <v>0.0</v>
      </c>
      <c r="F77" s="68">
        <v>15.0</v>
      </c>
    </row>
    <row r="78">
      <c r="A78" s="65" t="s">
        <v>9197</v>
      </c>
      <c r="B78" s="65" t="s">
        <v>9158</v>
      </c>
      <c r="C78" s="65" t="s">
        <v>9198</v>
      </c>
      <c r="D78" s="65" t="s">
        <v>9199</v>
      </c>
      <c r="E78" s="68">
        <v>2.0</v>
      </c>
      <c r="F78" s="68">
        <v>15.0</v>
      </c>
    </row>
    <row r="79">
      <c r="A79" s="65" t="s">
        <v>9200</v>
      </c>
      <c r="B79" s="65" t="s">
        <v>9158</v>
      </c>
      <c r="C79" s="65" t="s">
        <v>9201</v>
      </c>
      <c r="D79" s="65" t="s">
        <v>9202</v>
      </c>
      <c r="E79" s="68">
        <v>0.0</v>
      </c>
      <c r="F79" s="68">
        <v>15.0</v>
      </c>
    </row>
    <row r="80">
      <c r="A80" s="65" t="s">
        <v>9203</v>
      </c>
      <c r="B80" s="65" t="s">
        <v>9158</v>
      </c>
      <c r="C80" s="65" t="s">
        <v>9204</v>
      </c>
      <c r="D80" s="65" t="s">
        <v>9205</v>
      </c>
      <c r="E80" s="68">
        <v>3.0</v>
      </c>
      <c r="F80" s="68">
        <v>14.0</v>
      </c>
    </row>
    <row r="81">
      <c r="A81" s="65" t="s">
        <v>9206</v>
      </c>
      <c r="B81" s="65" t="s">
        <v>9158</v>
      </c>
      <c r="C81" s="65" t="s">
        <v>9159</v>
      </c>
      <c r="D81" s="65" t="s">
        <v>9207</v>
      </c>
      <c r="E81" s="68">
        <v>0.0</v>
      </c>
      <c r="F81" s="68">
        <v>15.0</v>
      </c>
    </row>
    <row r="82">
      <c r="A82" s="65" t="s">
        <v>9208</v>
      </c>
      <c r="B82" s="65" t="s">
        <v>9158</v>
      </c>
      <c r="C82" s="65" t="s">
        <v>9209</v>
      </c>
      <c r="D82" s="65" t="s">
        <v>9210</v>
      </c>
      <c r="E82" s="68">
        <v>3.0</v>
      </c>
      <c r="F82" s="68">
        <v>15.0</v>
      </c>
    </row>
    <row r="83">
      <c r="A83" s="65" t="s">
        <v>9211</v>
      </c>
      <c r="B83" s="65" t="s">
        <v>9158</v>
      </c>
      <c r="C83" s="65" t="s">
        <v>9195</v>
      </c>
      <c r="D83" s="65" t="s">
        <v>9212</v>
      </c>
      <c r="E83" s="68">
        <v>1.0</v>
      </c>
      <c r="F83" s="68">
        <v>15.0</v>
      </c>
    </row>
    <row r="84">
      <c r="A84" s="65" t="s">
        <v>9213</v>
      </c>
      <c r="B84" s="65" t="s">
        <v>9158</v>
      </c>
      <c r="C84" s="65" t="s">
        <v>9214</v>
      </c>
      <c r="D84" s="65" t="s">
        <v>9215</v>
      </c>
      <c r="E84" s="68">
        <v>2.0</v>
      </c>
      <c r="F84" s="68">
        <v>14.0</v>
      </c>
    </row>
    <row r="85">
      <c r="A85" s="65" t="s">
        <v>9216</v>
      </c>
      <c r="B85" s="65" t="s">
        <v>9158</v>
      </c>
      <c r="C85" s="65" t="s">
        <v>9209</v>
      </c>
      <c r="D85" s="65" t="s">
        <v>9217</v>
      </c>
      <c r="E85" s="68">
        <v>0.0</v>
      </c>
      <c r="F85" s="68">
        <v>14.0</v>
      </c>
    </row>
    <row r="86">
      <c r="A86" s="65" t="s">
        <v>9218</v>
      </c>
      <c r="B86" s="65" t="s">
        <v>9158</v>
      </c>
      <c r="C86" s="65" t="s">
        <v>9219</v>
      </c>
      <c r="D86" s="65" t="s">
        <v>9220</v>
      </c>
      <c r="E86" s="68">
        <v>3.0</v>
      </c>
      <c r="F86" s="68">
        <v>15.0</v>
      </c>
    </row>
    <row r="87">
      <c r="A87" s="65" t="s">
        <v>9221</v>
      </c>
      <c r="B87" s="65" t="s">
        <v>9158</v>
      </c>
      <c r="C87" s="65" t="s">
        <v>9222</v>
      </c>
      <c r="D87" s="65" t="s">
        <v>9223</v>
      </c>
      <c r="E87" s="68">
        <v>2.0</v>
      </c>
      <c r="F87" s="68">
        <v>13.0</v>
      </c>
    </row>
    <row r="88">
      <c r="A88" s="65" t="s">
        <v>9224</v>
      </c>
      <c r="B88" s="65" t="s">
        <v>9158</v>
      </c>
      <c r="C88" s="65" t="s">
        <v>9165</v>
      </c>
      <c r="D88" s="65" t="s">
        <v>9225</v>
      </c>
      <c r="E88" s="68">
        <v>0.0</v>
      </c>
      <c r="F88" s="68">
        <v>14.0</v>
      </c>
    </row>
    <row r="89">
      <c r="A89" s="65" t="s">
        <v>9226</v>
      </c>
      <c r="B89" s="65" t="s">
        <v>9158</v>
      </c>
      <c r="C89" s="65" t="s">
        <v>9168</v>
      </c>
      <c r="D89" s="65" t="s">
        <v>9227</v>
      </c>
      <c r="E89" s="68">
        <v>3.0</v>
      </c>
      <c r="F89" s="68">
        <v>15.0</v>
      </c>
    </row>
    <row r="90">
      <c r="A90" s="65" t="s">
        <v>9228</v>
      </c>
      <c r="B90" s="65" t="s">
        <v>9158</v>
      </c>
      <c r="C90" s="65" t="s">
        <v>9192</v>
      </c>
      <c r="D90" s="65" t="s">
        <v>9229</v>
      </c>
      <c r="E90" s="68">
        <v>3.0</v>
      </c>
      <c r="F90" s="68">
        <v>14.0</v>
      </c>
    </row>
    <row r="91">
      <c r="A91" s="65" t="s">
        <v>9230</v>
      </c>
      <c r="B91" s="65" t="s">
        <v>9158</v>
      </c>
      <c r="C91" s="65" t="s">
        <v>9204</v>
      </c>
      <c r="D91" s="65" t="s">
        <v>9231</v>
      </c>
      <c r="E91" s="68">
        <v>1.0</v>
      </c>
      <c r="F91" s="68">
        <v>15.0</v>
      </c>
    </row>
    <row r="92">
      <c r="A92" s="65" t="s">
        <v>9232</v>
      </c>
      <c r="B92" s="65" t="s">
        <v>9158</v>
      </c>
      <c r="C92" s="65" t="s">
        <v>9201</v>
      </c>
      <c r="D92" s="65" t="s">
        <v>9233</v>
      </c>
      <c r="E92" s="68">
        <v>2.0</v>
      </c>
      <c r="F92" s="68">
        <v>14.0</v>
      </c>
    </row>
    <row r="93">
      <c r="A93" s="65" t="s">
        <v>9234</v>
      </c>
      <c r="B93" s="65" t="s">
        <v>9158</v>
      </c>
      <c r="C93" s="65" t="s">
        <v>9159</v>
      </c>
      <c r="D93" s="65" t="s">
        <v>9235</v>
      </c>
      <c r="E93" s="68">
        <v>2.0</v>
      </c>
      <c r="F93" s="68">
        <v>15.0</v>
      </c>
    </row>
    <row r="94">
      <c r="A94" s="65" t="s">
        <v>9236</v>
      </c>
      <c r="B94" s="65" t="s">
        <v>9158</v>
      </c>
      <c r="C94" s="65" t="s">
        <v>9189</v>
      </c>
      <c r="D94" s="65" t="s">
        <v>9237</v>
      </c>
      <c r="E94" s="68">
        <v>0.0</v>
      </c>
      <c r="F94" s="68">
        <v>15.0</v>
      </c>
    </row>
    <row r="95">
      <c r="A95" s="65" t="s">
        <v>9238</v>
      </c>
      <c r="B95" s="65" t="s">
        <v>9158</v>
      </c>
      <c r="C95" s="65" t="s">
        <v>9201</v>
      </c>
      <c r="D95" s="65" t="s">
        <v>9239</v>
      </c>
      <c r="E95" s="68">
        <v>3.0</v>
      </c>
      <c r="F95" s="68">
        <v>13.0</v>
      </c>
    </row>
    <row r="96">
      <c r="A96" s="65" t="s">
        <v>9240</v>
      </c>
      <c r="B96" s="65" t="s">
        <v>9158</v>
      </c>
      <c r="C96" s="65" t="s">
        <v>9241</v>
      </c>
      <c r="D96" s="65" t="s">
        <v>9242</v>
      </c>
      <c r="E96" s="68">
        <v>3.0</v>
      </c>
      <c r="F96" s="68">
        <v>15.0</v>
      </c>
    </row>
    <row r="97">
      <c r="A97" s="65" t="s">
        <v>9243</v>
      </c>
      <c r="B97" s="65" t="s">
        <v>9158</v>
      </c>
      <c r="C97" s="65" t="s">
        <v>9244</v>
      </c>
      <c r="D97" s="65" t="s">
        <v>9245</v>
      </c>
      <c r="E97" s="68">
        <v>1.0</v>
      </c>
      <c r="F97" s="68">
        <v>13.0</v>
      </c>
    </row>
    <row r="98">
      <c r="A98" s="65" t="s">
        <v>9246</v>
      </c>
      <c r="B98" s="65" t="s">
        <v>9158</v>
      </c>
      <c r="C98" s="65" t="s">
        <v>9247</v>
      </c>
      <c r="D98" s="65" t="s">
        <v>9248</v>
      </c>
      <c r="E98" s="68">
        <v>0.0</v>
      </c>
      <c r="F98" s="68">
        <v>14.0</v>
      </c>
    </row>
    <row r="99">
      <c r="A99" s="65" t="s">
        <v>9249</v>
      </c>
      <c r="B99" s="65" t="s">
        <v>9158</v>
      </c>
      <c r="C99" s="65" t="s">
        <v>9250</v>
      </c>
      <c r="D99" s="65" t="s">
        <v>9251</v>
      </c>
      <c r="E99" s="68">
        <v>3.0</v>
      </c>
      <c r="F99" s="68">
        <v>14.0</v>
      </c>
    </row>
    <row r="100">
      <c r="A100" s="65" t="s">
        <v>9252</v>
      </c>
      <c r="B100" s="65" t="s">
        <v>9158</v>
      </c>
      <c r="C100" s="65" t="s">
        <v>9250</v>
      </c>
      <c r="D100" s="65" t="s">
        <v>9253</v>
      </c>
      <c r="E100" s="68">
        <v>2.0</v>
      </c>
      <c r="F100" s="68">
        <v>13.0</v>
      </c>
    </row>
    <row r="101">
      <c r="A101" s="65" t="s">
        <v>9254</v>
      </c>
      <c r="B101" s="65" t="s">
        <v>9158</v>
      </c>
      <c r="C101" s="65" t="s">
        <v>9255</v>
      </c>
      <c r="D101" s="65" t="s">
        <v>9256</v>
      </c>
      <c r="E101" s="68">
        <v>0.0</v>
      </c>
      <c r="F101" s="68">
        <v>14.0</v>
      </c>
    </row>
    <row r="102">
      <c r="A102" s="65" t="s">
        <v>9257</v>
      </c>
      <c r="B102" s="65" t="s">
        <v>9158</v>
      </c>
      <c r="C102" s="65" t="s">
        <v>9219</v>
      </c>
      <c r="D102" s="65" t="s">
        <v>9258</v>
      </c>
      <c r="E102" s="68">
        <v>1.0</v>
      </c>
      <c r="F102" s="68">
        <v>15.0</v>
      </c>
    </row>
    <row r="103">
      <c r="A103" s="65" t="s">
        <v>9259</v>
      </c>
      <c r="B103" s="65" t="s">
        <v>9158</v>
      </c>
      <c r="C103" s="65" t="s">
        <v>9219</v>
      </c>
      <c r="D103" s="65" t="s">
        <v>9260</v>
      </c>
      <c r="E103" s="68">
        <v>0.0</v>
      </c>
      <c r="F103" s="68">
        <v>13.0</v>
      </c>
    </row>
    <row r="104">
      <c r="A104" s="65" t="s">
        <v>9261</v>
      </c>
      <c r="B104" s="65" t="s">
        <v>9158</v>
      </c>
      <c r="C104" s="65" t="s">
        <v>9262</v>
      </c>
      <c r="D104" s="65" t="s">
        <v>9263</v>
      </c>
      <c r="E104" s="68">
        <v>1.0</v>
      </c>
      <c r="F104" s="68">
        <v>15.0</v>
      </c>
    </row>
    <row r="105">
      <c r="A105" s="65" t="s">
        <v>9264</v>
      </c>
      <c r="B105" s="65" t="s">
        <v>9158</v>
      </c>
      <c r="C105" s="65" t="s">
        <v>9168</v>
      </c>
      <c r="D105" s="65" t="s">
        <v>9265</v>
      </c>
      <c r="E105" s="68">
        <v>1.0</v>
      </c>
      <c r="F105" s="68">
        <v>15.0</v>
      </c>
    </row>
    <row r="106">
      <c r="A106" s="65" t="s">
        <v>9266</v>
      </c>
      <c r="B106" s="65" t="s">
        <v>9158</v>
      </c>
      <c r="C106" s="65" t="s">
        <v>9198</v>
      </c>
      <c r="D106" s="65" t="s">
        <v>9267</v>
      </c>
      <c r="E106" s="68">
        <v>0.0</v>
      </c>
      <c r="F106" s="68">
        <v>14.0</v>
      </c>
    </row>
    <row r="107">
      <c r="A107" s="65" t="s">
        <v>9268</v>
      </c>
      <c r="B107" s="65" t="s">
        <v>9158</v>
      </c>
      <c r="C107" s="65" t="s">
        <v>9269</v>
      </c>
      <c r="D107" s="65" t="s">
        <v>9270</v>
      </c>
      <c r="E107" s="68">
        <v>3.0</v>
      </c>
      <c r="F107" s="68">
        <v>13.0</v>
      </c>
    </row>
    <row r="108">
      <c r="A108" s="65" t="s">
        <v>9271</v>
      </c>
      <c r="B108" s="65" t="s">
        <v>9158</v>
      </c>
      <c r="C108" s="65" t="s">
        <v>9204</v>
      </c>
      <c r="D108" s="65" t="s">
        <v>9272</v>
      </c>
      <c r="E108" s="68">
        <v>0.0</v>
      </c>
      <c r="F108" s="68">
        <v>14.0</v>
      </c>
    </row>
    <row r="109">
      <c r="A109" s="65" t="s">
        <v>9273</v>
      </c>
      <c r="B109" s="65" t="s">
        <v>9158</v>
      </c>
      <c r="C109" s="65" t="s">
        <v>9274</v>
      </c>
      <c r="D109" s="65" t="s">
        <v>9275</v>
      </c>
      <c r="E109" s="68">
        <v>0.0</v>
      </c>
      <c r="F109" s="68">
        <v>14.0</v>
      </c>
    </row>
    <row r="110">
      <c r="A110" s="65" t="s">
        <v>9276</v>
      </c>
      <c r="B110" s="65" t="s">
        <v>9158</v>
      </c>
      <c r="C110" s="65" t="s">
        <v>9277</v>
      </c>
      <c r="D110" s="65" t="s">
        <v>9278</v>
      </c>
      <c r="E110" s="68">
        <v>0.0</v>
      </c>
      <c r="F110" s="68">
        <v>15.0</v>
      </c>
    </row>
    <row r="111">
      <c r="A111" s="65" t="s">
        <v>9279</v>
      </c>
      <c r="B111" s="65" t="s">
        <v>9158</v>
      </c>
      <c r="C111" s="65" t="s">
        <v>9162</v>
      </c>
      <c r="D111" s="65" t="s">
        <v>9280</v>
      </c>
      <c r="E111" s="68">
        <v>2.0</v>
      </c>
      <c r="F111" s="68">
        <v>14.0</v>
      </c>
    </row>
    <row r="112">
      <c r="A112" s="65" t="s">
        <v>9281</v>
      </c>
      <c r="B112" s="65" t="s">
        <v>9158</v>
      </c>
      <c r="C112" s="65" t="s">
        <v>9282</v>
      </c>
      <c r="D112" s="65" t="s">
        <v>9283</v>
      </c>
      <c r="E112" s="68">
        <v>3.0</v>
      </c>
      <c r="F112" s="68">
        <v>14.0</v>
      </c>
    </row>
    <row r="113">
      <c r="A113" s="65" t="s">
        <v>9284</v>
      </c>
      <c r="B113" s="65" t="s">
        <v>9158</v>
      </c>
      <c r="C113" s="65" t="s">
        <v>9195</v>
      </c>
      <c r="D113" s="65" t="s">
        <v>9285</v>
      </c>
      <c r="E113" s="68">
        <v>3.0</v>
      </c>
      <c r="F113" s="68">
        <v>15.0</v>
      </c>
    </row>
    <row r="114">
      <c r="A114" s="65" t="s">
        <v>9286</v>
      </c>
      <c r="B114" s="65" t="s">
        <v>9158</v>
      </c>
      <c r="C114" s="65" t="s">
        <v>9282</v>
      </c>
      <c r="D114" s="65" t="s">
        <v>9287</v>
      </c>
      <c r="E114" s="68">
        <v>1.0</v>
      </c>
      <c r="F114" s="68">
        <v>13.0</v>
      </c>
    </row>
    <row r="115">
      <c r="A115" s="65" t="s">
        <v>9288</v>
      </c>
      <c r="B115" s="65" t="s">
        <v>9158</v>
      </c>
      <c r="C115" s="65" t="s">
        <v>9186</v>
      </c>
      <c r="D115" s="65" t="s">
        <v>9289</v>
      </c>
      <c r="E115" s="68">
        <v>0.0</v>
      </c>
      <c r="F115" s="68">
        <v>15.0</v>
      </c>
    </row>
    <row r="116">
      <c r="A116" s="65" t="s">
        <v>9290</v>
      </c>
      <c r="B116" s="65" t="s">
        <v>9158</v>
      </c>
      <c r="C116" s="65" t="s">
        <v>9180</v>
      </c>
      <c r="D116" s="65" t="s">
        <v>9291</v>
      </c>
      <c r="E116" s="68">
        <v>3.0</v>
      </c>
      <c r="F116" s="68">
        <v>14.0</v>
      </c>
    </row>
    <row r="117">
      <c r="A117" s="65" t="s">
        <v>9292</v>
      </c>
      <c r="B117" s="65" t="s">
        <v>9158</v>
      </c>
      <c r="C117" s="65" t="s">
        <v>9293</v>
      </c>
      <c r="D117" s="65" t="s">
        <v>9294</v>
      </c>
      <c r="E117" s="68">
        <v>2.0</v>
      </c>
      <c r="F117" s="68">
        <v>15.0</v>
      </c>
    </row>
    <row r="118">
      <c r="A118" s="65" t="s">
        <v>9295</v>
      </c>
      <c r="B118" s="65" t="s">
        <v>9158</v>
      </c>
      <c r="C118" s="65" t="s">
        <v>9296</v>
      </c>
      <c r="D118" s="65" t="s">
        <v>9297</v>
      </c>
      <c r="E118" s="68">
        <v>1.0</v>
      </c>
      <c r="F118" s="68">
        <v>14.0</v>
      </c>
    </row>
    <row r="119">
      <c r="A119" s="65" t="s">
        <v>9298</v>
      </c>
      <c r="B119" s="65" t="s">
        <v>9158</v>
      </c>
      <c r="C119" s="65" t="s">
        <v>9296</v>
      </c>
      <c r="D119" s="65" t="s">
        <v>9299</v>
      </c>
      <c r="E119" s="68">
        <v>0.0</v>
      </c>
      <c r="F119" s="68">
        <v>15.0</v>
      </c>
    </row>
    <row r="120">
      <c r="A120" s="65" t="s">
        <v>9300</v>
      </c>
      <c r="B120" s="65" t="s">
        <v>9158</v>
      </c>
      <c r="C120" s="65" t="s">
        <v>9219</v>
      </c>
      <c r="D120" s="65" t="s">
        <v>9301</v>
      </c>
      <c r="E120" s="68">
        <v>0.0</v>
      </c>
      <c r="F120" s="68">
        <v>15.0</v>
      </c>
    </row>
    <row r="121">
      <c r="A121" s="65" t="s">
        <v>9302</v>
      </c>
      <c r="B121" s="65" t="s">
        <v>9158</v>
      </c>
      <c r="C121" s="65" t="s">
        <v>9241</v>
      </c>
      <c r="D121" s="65" t="s">
        <v>9303</v>
      </c>
      <c r="E121" s="68">
        <v>0.0</v>
      </c>
      <c r="F121" s="68">
        <v>13.0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1782</v>
      </c>
    </row>
    <row r="2">
      <c r="A2" s="2">
        <f>IFERROR(__xludf.DUMMYFUNCTION("IFERROR(MATCH(IF(ISNUMBER(A1), A1, TO_TEXT(A1)), data!D:D, 0), 0)"),344.0)</f>
        <v>344</v>
      </c>
    </row>
  </sheetData>
  <drawing r:id="rId1"/>
</worksheet>
</file>